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6f88f48ee549c0" /></Relationships>
</file>

<file path=xl/workbook.xml><?xml version="1.0" encoding="utf-8"?>
<x:workbook xmlns:x="http://schemas.openxmlformats.org/spreadsheetml/2006/main">
  <x:sheets>
    <x:sheet xmlns:r="http://schemas.openxmlformats.org/officeDocument/2006/relationships" name="Solution" sheetId="1" r:id="Rf0361bcb25be4e3b"/>
    <x:sheet xmlns:r="http://schemas.openxmlformats.org/officeDocument/2006/relationships" name="Campaigns" sheetId="2" r:id="R9ec5b6acfd144827"/>
    <x:sheet xmlns:r="http://schemas.openxmlformats.org/officeDocument/2006/relationships" name="Mix" sheetId="3" r:id="Rdf8f3970a0154d09"/>
    <x:sheet xmlns:r="http://schemas.openxmlformats.org/officeDocument/2006/relationships" name="Workflow" sheetId="4" r:id="R9e4e70fa67184b80"/>
    <x:sheet xmlns:r="http://schemas.openxmlformats.org/officeDocument/2006/relationships" name="Daily Usage" sheetId="5" r:id="R26d94cc46a8a40ce"/>
    <x:sheet xmlns:r="http://schemas.openxmlformats.org/officeDocument/2006/relationships" name="Tasks" sheetId="6" r:id="R6e1c6ece96d04ef4"/>
    <x:sheet xmlns:r="http://schemas.openxmlformats.org/officeDocument/2006/relationships" name="Prompt Totals" sheetId="7" r:id="R904e57eeb6d34100"/>
    <x:sheet xmlns:r="http://schemas.openxmlformats.org/officeDocument/2006/relationships" name="Priced Usage" sheetId="8" r:id="R4bc47cdfa31f425a"/>
    <x:sheet xmlns:r="http://schemas.openxmlformats.org/officeDocument/2006/relationships" name="Raw Work Log" sheetId="9" r:id="R676b9c66b5744e23"/>
    <x:sheet xmlns:r="http://schemas.openxmlformats.org/officeDocument/2006/relationships" name="Raw AI Usage" sheetId="10" r:id="R0075b5aa48b8411d"/>
    <x:sheet xmlns:r="http://schemas.openxmlformats.org/officeDocument/2006/relationships" name="Model Pricing" sheetId="11" r:id="R74937785a8fc41a1"/>
    <x:sheet xmlns:r="http://schemas.openxmlformats.org/officeDocument/2006/relationships" name="Campaign Inputs" sheetId="12" r:id="Rf74cdf4102084bad"/>
    <x:sheet xmlns:r="http://schemas.openxmlformats.org/officeDocument/2006/relationships" name="Preparation" sheetId="13" r:id="Re59f63dd9ab14c06"/>
    <x:sheet xmlns:r="http://schemas.openxmlformats.org/officeDocument/2006/relationships" name="Data Dictionary" sheetId="14" r:id="R3ba96a19635649a6"/>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yyyy-mm-dd"/>
    <x:numFmt numFmtId="202" formatCode="#,##0.00;[Red](#,##0.00);0.00"/>
    <x:numFmt numFmtId="203" formatCode="&quot;$&quot;#,##0.00;[Red](&quot;$&quot;#,##0.00);&quot;$&quot;0.00"/>
    <x:numFmt numFmtId="204" formatCode="&quot;$&quot;0.000000;[Red](&quot;$&quot;0.000000);&quot;$&quot;0.000000"/>
    <x:numFmt numFmtId="205" formatCode="0.00%;[Red](0.00%);0.00%"/>
    <x:numFmt numFmtId="206" formatCode="#,##0.00;(#,##0.00);0.00"/>
  </x:numFmts>
  <x:fonts count="10">
    <x:font>
      <x:sz val="11"/>
      <x:name val="Carlito"/>
    </x:font>
    <x:font>
      <x:sz val="11"/>
      <x:color rgb="FF202E3B"/>
      <x:name val="Arial"/>
    </x:font>
    <x:font>
      <x:b/>
      <x:sz val="16"/>
      <x:color rgb="FF16324F"/>
      <x:name val="Arial"/>
    </x:font>
    <x:font>
      <x:sz val="11"/>
      <x:color rgb="FF596B7B"/>
      <x:name val="Arial"/>
    </x:font>
    <x:font>
      <x:b/>
      <x:sz val="11"/>
      <x:color rgb="FFFFFFFF"/>
      <x:name val="Arial"/>
    </x:font>
    <x:font>
      <x:sz val="11"/>
      <x:color rgb="FF2154A0"/>
      <x:name val="Arial"/>
    </x:font>
    <x:font>
      <x:sz val="11"/>
      <x:color rgb="FF23784D"/>
      <x:name val="Arial"/>
    </x:font>
    <x:font>
      <x:b/>
      <x:sz val="11"/>
      <x:color rgb="FF202E3B"/>
      <x:name val="Arial"/>
    </x:font>
    <x:font>
      <x:b/>
      <x:sz val="11"/>
      <x:color rgb="FF23784D"/>
      <x:name val="Arial"/>
    </x:font>
    <x:font>
      <x:b/>
      <x:sz val="11"/>
      <x:color rgb="FF16324F"/>
      <x:name val="Arial"/>
    </x:font>
  </x:fonts>
  <x:fills count="6">
    <x:fill>
      <x:patternFill patternType="none"/>
    </x:fill>
    <x:fill>
      <x:patternFill patternType="gray125"/>
    </x:fill>
    <x:fill>
      <x:patternFill patternType="solid">
        <x:fgColor rgb="FF16324F"/>
      </x:patternFill>
    </x:fill>
    <x:fill>
      <x:patternFill patternType="solid">
        <x:fgColor rgb="FFFFF1C9"/>
      </x:patternFill>
    </x:fill>
    <x:fill>
      <x:patternFill patternType="solid">
        <x:fgColor rgb="FFEEF3F7"/>
      </x:patternFill>
    </x:fill>
    <x:fill>
      <x:patternFill patternType="solid">
        <x:fgColor rgb="FF16324F"/>
      </x:patternFill>
    </x:fill>
  </x:fills>
  <x:borders count="6">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CCD6DF"/>
      </x:bottom>
      <x:diagonal/>
    </x:border>
    <x:border>
      <x:left/>
      <x:right/>
      <x:top style="thin">
        <x:color rgb="FFCCD6DF"/>
      </x:top>
      <x:bottom/>
      <x:diagonal/>
    </x:border>
  </x:borders>
  <x:cellStyleXfs count="1">
    <x:xf numFmtId="0" fontId="0" fillId="0" borderId="0"/>
  </x:cellStyleXfs>
  <x:cellXfs count="6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0"/>
    </x:xf>
    <x:xf numFmtId="0" fontId="1" fillId="0" borderId="0" xfId="0" applyNumberFormat="1" applyFont="1" applyFill="1" applyBorder="1" applyAlignment="1">
      <x:alignment vertical="center" wrapText="0"/>
    </x:xf>
    <x:xf numFmtId="0" fontId="2"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0"/>
    </x:xf>
    <x:xf numFmtId="0" fontId="1" fillId="2" borderId="0" xfId="0" applyNumberFormat="1" applyFont="1" applyFill="1" applyBorder="1" applyAlignment="1">
      <x:alignment vertical="center" wrapText="0"/>
    </x:xf>
    <x:xf numFmtId="0" fontId="4" fillId="2" borderId="0" xfId="0" applyNumberFormat="1" applyFont="1" applyFill="1" applyBorder="1" applyAlignment="1">
      <x:alignment vertical="center" wrapText="0"/>
    </x:xf>
    <x:xf numFmtId="0" fontId="4" fillId="2" borderId="1" xfId="0" applyNumberFormat="1" applyFont="1" applyFill="1" applyBorder="1" applyAlignment="1">
      <x:alignment vertical="center" wrapText="0"/>
    </x:xf>
    <x:xf numFmtId="0" fontId="4" fillId="2" borderId="2" xfId="0" applyNumberFormat="1" applyFont="1" applyFill="1" applyBorder="1" applyAlignment="1">
      <x:alignment vertical="center" wrapText="0"/>
    </x:xf>
    <x:xf numFmtId="0" fontId="4" fillId="2" borderId="3" xfId="0" applyNumberFormat="1" applyFont="1" applyFill="1" applyBorder="1" applyAlignment="1">
      <x:alignment vertical="center" wrapText="0"/>
    </x:xf>
    <x:xf numFmtId="0" fontId="4" fillId="2" borderId="1" xfId="0" applyNumberFormat="1" applyFont="1" applyFill="1" applyBorder="1" applyAlignment="1">
      <x:alignment vertical="center" wrapText="1"/>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1" fillId="0" borderId="0" xfId="0" applyNumberFormat="1" applyFont="1" applyFill="1" applyBorder="1" applyAlignment="1">
      <x:alignment vertical="center" wrapText="0"/>
    </x:xf>
    <x:xf numFmtId="201" fontId="1" fillId="0" borderId="0" xfId="0" applyNumberFormat="1" applyFont="1" applyFill="1" applyBorder="1" applyAlignment="1">
      <x:alignment vertical="center" wrapText="0"/>
    </x:xf>
    <x:xf numFmtId="202" fontId="1" fillId="0" borderId="0" xfId="0" applyNumberFormat="1" applyFont="1" applyFill="1" applyBorder="1" applyAlignment="1">
      <x:alignment vertical="center" wrapText="0"/>
    </x:xf>
    <x:xf numFmtId="202" fontId="5" fillId="0" borderId="0" xfId="0" applyNumberFormat="1" applyFont="1" applyFill="1" applyBorder="1" applyAlignment="1">
      <x:alignment vertical="center" wrapText="0"/>
    </x:xf>
    <x:xf numFmtId="200" fontId="5" fillId="0" borderId="0" xfId="0" applyNumberFormat="1" applyFont="1" applyFill="1" applyBorder="1" applyAlignment="1">
      <x:alignment vertical="center" wrapText="0"/>
    </x:xf>
    <x:xf numFmtId="203" fontId="1" fillId="0" borderId="0" xfId="0" applyNumberFormat="1" applyFont="1" applyFill="1" applyBorder="1" applyAlignment="1">
      <x:alignment vertical="center" wrapText="0"/>
    </x:xf>
    <x:xf numFmtId="203" fontId="5" fillId="0" borderId="0" xfId="0" applyNumberFormat="1" applyFont="1" applyFill="1" applyBorder="1" applyAlignment="1">
      <x:alignment vertical="center" wrapText="0"/>
    </x:xf>
    <x:xf numFmtId="0" fontId="1" fillId="0" borderId="4" xfId="0" applyNumberFormat="1" applyFont="1" applyFill="1" applyBorder="1" applyAlignment="1">
      <x:alignment vertical="center" wrapText="0"/>
    </x:xf>
    <x:xf numFmtId="203" fontId="1" fillId="3" borderId="0" xfId="0" applyNumberFormat="1" applyFont="1" applyFill="1" applyBorder="1" applyAlignment="1">
      <x:alignment vertical="center" wrapText="0"/>
    </x:xf>
    <x:xf numFmtId="203" fontId="5" fillId="3" borderId="0" xfId="0" applyNumberFormat="1" applyFont="1" applyFill="1" applyBorder="1" applyAlignment="1">
      <x:alignment vertical="center" wrapText="0"/>
    </x:xf>
    <x:xf numFmtId="202" fontId="6" fillId="0" borderId="0" xfId="0" applyNumberFormat="1" applyFont="1" applyFill="1" applyBorder="1" applyAlignment="1">
      <x:alignment vertical="center" wrapText="0"/>
    </x:xf>
    <x:xf numFmtId="204" fontId="1" fillId="0" borderId="0" xfId="0" applyNumberFormat="1" applyFont="1" applyFill="1" applyBorder="1" applyAlignment="1">
      <x:alignment vertical="center" wrapText="0"/>
    </x:xf>
    <x:xf numFmtId="200" fontId="6" fillId="0" borderId="0" xfId="0" applyNumberFormat="1" applyFont="1" applyFill="1" applyBorder="1" applyAlignment="1">
      <x:alignment vertical="center" wrapText="0"/>
    </x:xf>
    <x:xf numFmtId="203" fontId="6" fillId="0" borderId="0" xfId="0" applyNumberFormat="1" applyFont="1" applyFill="1" applyBorder="1" applyAlignment="1">
      <x:alignment vertical="center" wrapText="0"/>
    </x:xf>
    <x:xf numFmtId="205" fontId="1" fillId="0" borderId="0" xfId="0" applyNumberFormat="1" applyFont="1" applyFill="1" applyBorder="1" applyAlignment="1">
      <x:alignment vertical="center" wrapText="0"/>
    </x:xf>
    <x:xf numFmtId="200" fontId="1" fillId="4" borderId="0" xfId="0" applyNumberFormat="1" applyFont="1" applyFill="1" applyBorder="1" applyAlignment="1">
      <x:alignment vertical="center" wrapText="0"/>
    </x:xf>
    <x:xf numFmtId="203" fontId="1" fillId="4" borderId="0" xfId="0" applyNumberFormat="1" applyFont="1" applyFill="1" applyBorder="1" applyAlignment="1">
      <x:alignment vertical="center" wrapText="0"/>
    </x:xf>
    <x:xf numFmtId="202" fontId="1" fillId="4" borderId="0" xfId="0" applyNumberFormat="1" applyFont="1" applyFill="1" applyBorder="1" applyAlignment="1">
      <x:alignment vertical="center" wrapText="0"/>
    </x:xf>
    <x:xf numFmtId="205" fontId="1" fillId="4" borderId="0" xfId="0" applyNumberFormat="1" applyFont="1" applyFill="1" applyBorder="1" applyAlignment="1">
      <x:alignment vertical="center" wrapText="0"/>
    </x:xf>
    <x:xf numFmtId="203" fontId="6" fillId="4" borderId="0" xfId="0" applyNumberFormat="1" applyFont="1" applyFill="1" applyBorder="1" applyAlignment="1">
      <x:alignment vertical="center" wrapText="0"/>
    </x:xf>
    <x:xf numFmtId="200" fontId="7" fillId="4" borderId="0" xfId="0" applyNumberFormat="1" applyFont="1" applyFill="1" applyBorder="1" applyAlignment="1">
      <x:alignment vertical="center" wrapText="0"/>
    </x:xf>
    <x:xf numFmtId="203" fontId="7" fillId="4" borderId="0" xfId="0" applyNumberFormat="1" applyFont="1" applyFill="1" applyBorder="1" applyAlignment="1">
      <x:alignment vertical="center" wrapText="0"/>
    </x:xf>
    <x:xf numFmtId="202" fontId="7" fillId="4" borderId="0" xfId="0" applyNumberFormat="1" applyFont="1" applyFill="1" applyBorder="1" applyAlignment="1">
      <x:alignment vertical="center" wrapText="0"/>
    </x:xf>
    <x:xf numFmtId="205" fontId="7" fillId="4" borderId="0" xfId="0" applyNumberFormat="1" applyFont="1" applyFill="1" applyBorder="1" applyAlignment="1">
      <x:alignment vertical="center" wrapText="0"/>
    </x:xf>
    <x:xf numFmtId="203" fontId="8" fillId="4" borderId="0" xfId="0" applyNumberFormat="1" applyFont="1" applyFill="1" applyBorder="1" applyAlignment="1">
      <x:alignment vertical="center" wrapText="0"/>
    </x:xf>
    <x:xf numFmtId="200" fontId="7" fillId="4" borderId="5" xfId="0" applyNumberFormat="1" applyFont="1" applyFill="1" applyBorder="1" applyAlignment="1">
      <x:alignment vertical="center" wrapText="0"/>
    </x:xf>
    <x:xf numFmtId="203" fontId="7" fillId="4" borderId="5" xfId="0" applyNumberFormat="1" applyFont="1" applyFill="1" applyBorder="1" applyAlignment="1">
      <x:alignment vertical="center" wrapText="0"/>
    </x:xf>
    <x:xf numFmtId="202" fontId="7" fillId="4" borderId="5" xfId="0" applyNumberFormat="1" applyFont="1" applyFill="1" applyBorder="1" applyAlignment="1">
      <x:alignment vertical="center" wrapText="0"/>
    </x:xf>
    <x:xf numFmtId="205" fontId="7" fillId="4" borderId="5" xfId="0" applyNumberFormat="1" applyFont="1" applyFill="1" applyBorder="1" applyAlignment="1">
      <x:alignment vertical="center" wrapText="0"/>
    </x:xf>
    <x:xf numFmtId="203" fontId="8" fillId="4" borderId="5" xfId="0" applyNumberFormat="1" applyFont="1" applyFill="1" applyBorder="1" applyAlignment="1">
      <x:alignment vertical="center" wrapText="0"/>
    </x:xf>
    <x:xf numFmtId="0" fontId="9" fillId="0" borderId="0" xfId="0" applyNumberFormat="1" applyFont="1" applyFill="1" applyBorder="1" applyAlignment="1">
      <x:alignment vertical="center" wrapText="0"/>
    </x:xf>
    <x:xf numFmtId="0" fontId="1" fillId="4" borderId="0" xfId="0" applyNumberFormat="1" applyFont="1" applyFill="1" applyBorder="1" applyAlignment="1">
      <x:alignment vertical="center" wrapText="0"/>
    </x:xf>
    <x:xf numFmtId="0" fontId="7" fillId="4" borderId="0" xfId="0" applyNumberFormat="1" applyFont="1" applyFill="1" applyBorder="1" applyAlignment="1">
      <x:alignment vertical="center" wrapText="0"/>
    </x:xf>
    <x:xf numFmtId="0" fontId="7" fillId="4" borderId="5" xfId="0" applyNumberFormat="1" applyFont="1" applyFill="1" applyBorder="1" applyAlignment="1">
      <x:alignment vertical="center" wrapText="0"/>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2" fontId="1" fillId="0" borderId="0" xfId="0" applyNumberFormat="1" applyFont="1" applyFill="1" applyBorder="1" applyAlignment="1">
      <x:alignment horizontal="left" vertical="center" wrapText="0"/>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top" wrapText="1"/>
    </x:xf>
    <x:xf numFmtId="206" fontId="1" fillId="0" borderId="0" xfId="0" applyNumberFormat="1" applyFont="1" applyFill="1" applyBorder="1" applyAlignment="1">
      <x:alignment horizontal="left" vertical="center" wrapText="0"/>
    </x:xf>
    <x:xf numFmtId="206" fontId="1" fillId="0" borderId="0" xfId="0" applyNumberFormat="1" applyFont="1" applyFill="1" applyBorder="1" applyAlignment="1">
      <x:alignment vertical="center" wrapText="0"/>
    </x:xf>
    <x:xf numFmtId="200" fontId="1" fillId="0" borderId="0" xfId="0" applyNumberFormat="1" applyFont="1" applyFill="1" applyBorder="1" applyAlignment="1">
      <x:alignment horizontal="left" vertical="center" wrapText="0"/>
    </x:xf>
    <x:xf numFmtId="0" fontId="1"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206" fontId="1" fillId="0" borderId="0" xfId="0" applyNumberFormat="1" applyFont="1" applyFill="1" applyBorder="1" applyAlignment="1">
      <x:alignment vertical="center"/>
    </x:xf>
  </x:cellXfs>
  <x:cellStyles count="1">
    <x:cellStyle name="Normal" xfId="0"/>
  </x:cellStyles>
  <x:dxfs count="11">
    <x:dxf>
      <x:font>
        <x:color rgb="FFAC3232"/>
      </x:font>
    </x:dxf>
    <x:dxf>
      <x:font>
        <x:color rgb="FF23784D"/>
      </x:font>
    </x:dxf>
    <x:dxf>
      <x:font>
        <x:color rgb="FFAC3232"/>
      </x:font>
    </x:dxf>
    <x:dxf>
      <x:font>
        <x:color rgb="FF23784D"/>
      </x:font>
    </x:dxf>
    <x:dxf>
      <x:font>
        <x:color rgb="FFAC3232"/>
      </x:font>
    </x:dxf>
    <x:dxf>
      <x:font>
        <x:color rgb="FF23784D"/>
      </x:font>
    </x:dxf>
    <x:dxf>
      <x:font>
        <x:color rgb="FFAC3232"/>
      </x:font>
    </x:dxf>
    <x:dxf>
      <x:font>
        <x:color rgb="FF23784D"/>
      </x:font>
    </x:dxf>
    <x:dxf>
      <x:font>
        <x:color rgb="FFAC3232"/>
      </x:font>
    </x:dxf>
    <x:dxf>
      <x:font>
        <x:color rgb="FF23784D"/>
      </x:font>
    </x:dxf>
    <x:dxf>
      <x:font>
        <x:b/>
        <x:color rgb="FFAC3232"/>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89cb052fe554b28" /><Relationship Type="http://schemas.openxmlformats.org/officeDocument/2006/relationships/theme" Target="/xl/theme/theme1.xml" Id="R940b67c91f694e7a" /><Relationship Type="http://schemas.openxmlformats.org/officeDocument/2006/relationships/sharedStrings" Target="/xl/sharedStrings.xml" Id="Rad3912ff5c75432d" /><Relationship Type="http://schemas.openxmlformats.org/officeDocument/2006/relationships/worksheet" Target="/xl/worksheets/sheet1.xml" Id="Rf0361bcb25be4e3b" /><Relationship Type="http://schemas.openxmlformats.org/officeDocument/2006/relationships/worksheet" Target="/xl/worksheets/sheet2.xml" Id="R9ec5b6acfd144827" /><Relationship Type="http://schemas.openxmlformats.org/officeDocument/2006/relationships/worksheet" Target="/xl/worksheets/sheet3.xml" Id="Rdf8f3970a0154d09" /><Relationship Type="http://schemas.openxmlformats.org/officeDocument/2006/relationships/worksheet" Target="/xl/worksheets/sheet4.xml" Id="R9e4e70fa67184b80" /><Relationship Type="http://schemas.openxmlformats.org/officeDocument/2006/relationships/worksheet" Target="/xl/worksheets/sheet5.xml" Id="R26d94cc46a8a40ce" /><Relationship Type="http://schemas.openxmlformats.org/officeDocument/2006/relationships/worksheet" Target="/xl/worksheets/sheet6.xml" Id="R6e1c6ece96d04ef4" /><Relationship Type="http://schemas.openxmlformats.org/officeDocument/2006/relationships/worksheet" Target="/xl/worksheets/sheet7.xml" Id="R904e57eeb6d34100" /><Relationship Type="http://schemas.openxmlformats.org/officeDocument/2006/relationships/worksheet" Target="/xl/worksheets/sheet8.xml" Id="R4bc47cdfa31f425a" /><Relationship Type="http://schemas.openxmlformats.org/officeDocument/2006/relationships/worksheet" Target="/xl/worksheets/sheet9.xml" Id="R676b9c66b5744e23" /><Relationship Type="http://schemas.openxmlformats.org/officeDocument/2006/relationships/worksheet" Target="/xl/worksheets/sheet10.xml" Id="R0075b5aa48b8411d" /><Relationship Type="http://schemas.openxmlformats.org/officeDocument/2006/relationships/worksheet" Target="/xl/worksheets/sheet11.xml" Id="R74937785a8fc41a1" /><Relationship Type="http://schemas.openxmlformats.org/officeDocument/2006/relationships/worksheet" Target="/xl/worksheets/sheet12.xml" Id="Rf74cdf4102084bad" /><Relationship Type="http://schemas.openxmlformats.org/officeDocument/2006/relationships/worksheet" Target="/xl/worksheets/sheet13.xml" Id="Re59f63dd9ab14c06" /><Relationship Type="http://schemas.openxmlformats.org/officeDocument/2006/relationships/worksheet" Target="/xl/worksheets/sheet14.xml" Id="R3ba96a19635649a6" /></Relationships>
</file>

<file path=xl/drawings/_rels/drawing1.xml.rels>&#65279;<?xml version="1.0" encoding="utf-8"?><Relationships xmlns="http://schemas.openxmlformats.org/package/2006/relationships"><Relationship Type="http://schemas.openxmlformats.org/officeDocument/2006/relationships/chart" Target="/xl/drawings/charts/chart1.xml" Id="R1775c196b7d844aa" /><Relationship Type="http://schemas.openxmlformats.org/officeDocument/2006/relationships/chart" Target="/xl/drawings/charts/chart2.xml" Id="R3cd55e7ae6814f11" /></Relationships>
</file>

<file path=xl/drawings/charts/chart1.xml><?xml version="1.0" encoding="utf-8"?>
<c:chartSpace xmlns:a="http://schemas.openxmlformats.org/drawingml/2006/main" xmlns:c="http://schemas.openxmlformats.org/drawingml/2006/chart">
  <c:lang val="en-US"/>
  <c:roundedCorners val="0"/>
  <c:chart>
    <c:title>
      <c:tx>
        <c:rich>
          <a:bodyPr/>
          <a:lstStyle/>
          <a:p>
            <a:r>
              <a:rPr sz="1050">
                <a:latin typeface="Arial"/>
                <a:ea typeface="Arial"/>
                <a:cs typeface="Arial"/>
              </a:rPr>
              <a:t>Net AI value after fees (USD)</a:t>
            </a:r>
          </a:p>
        </c:rich>
      </c:tx>
      <c:overlay val="0"/>
      <c:txPr>
        <a:bodyPr anchorCtr="1"/>
        <a:lstStyle/>
        <a:p>
          <a:pPr>
            <a:defRPr sz="1050">
              <a:latin typeface="Arial"/>
              <a:ea typeface="Arial"/>
              <a:cs typeface="Arial"/>
            </a:defRPr>
          </a:pPr>
        </a:p>
      </c:txPr>
    </c:title>
    <c:plotArea>
      <c:barChart>
        <c:barDir val="col"/>
        <c:varyColors val="0"/>
        <c:ser>
          <c:idx val="0"/>
          <c:order val="0"/>
          <c:tx>
            <c:v>net_ai_value_usd</c:v>
          </c:tx>
          <c:spPr>
            <a:solidFill>
              <a:srgbClr val="245A81"/>
            </a:solidFill>
          </c:spPr>
          <c:invertIfNegative val="0"/>
          <c:cat>
            <c:strRef>
              <c:f>'Campaigns'!$B$7:$B$10</c:f>
              <c:strCache>
                <c:ptCount val="4"/>
                <c:pt idx="0">
                  <c:v>Campaign 1</c:v>
                </c:pt>
                <c:pt idx="1">
                  <c:v>Campaign 2</c:v>
                </c:pt>
                <c:pt idx="2">
                  <c:v>Campaign 3</c:v>
                </c:pt>
                <c:pt idx="3">
                  <c:v>Campaign 4</c:v>
                </c:pt>
              </c:strCache>
            </c:strRef>
          </c:cat>
          <c:val>
            <c:numRef>
              <c:f>'Campaigns'!$P$7:$P$10</c:f>
              <c:numCache>
                <c:formatCode>"$"#,##0.00;[Red]("$"#,##0.00);"$"0.00</c:formatCode>
                <c:ptCount val="4"/>
                <c:pt idx="0">
                  <c:v>4500.000000000001</c:v>
                </c:pt>
                <c:pt idx="1">
                  <c:v>-4899.999999999999</c:v>
                </c:pt>
                <c:pt idx="2">
                  <c:v>1859.9999999999998</c:v>
                </c:pt>
                <c:pt idx="3">
                  <c:v>1360.0000000000002</c:v>
                </c:pt>
              </c:numCache>
            </c:numRef>
          </c:val>
        </c:ser>
        <c:axId val="48650112"/>
        <c:axId val="48672768"/>
      </c:barChart>
      <c:catAx>
        <c:axId val="48650112"/>
        <c:scaling>
          <c:orientation val="minMax"/>
        </c:scaling>
        <c:delete val="0"/>
        <c:axPos val="b"/>
        <c:numFmt formatCode="General"/>
        <c:majorTickMark val="none"/>
        <c:minorTickMark val="none"/>
        <c:tickLblPos val="low"/>
        <c:txPr>
          <a:bodyPr anchorCtr="1"/>
          <a:lstStyle/>
          <a:p>
            <a:pPr>
              <a:defRPr sz="975">
                <a:latin typeface="Arial"/>
                <a:ea typeface="Arial"/>
                <a:cs typeface="Arial"/>
              </a:defRPr>
            </a:pPr>
          </a:p>
        </c:txPr>
        <c:crossAx val="48672768"/>
      </c:catAx>
      <c:valAx>
        <c:axId val="48672768"/>
        <c:scaling>
          <c:orientation val="minMax"/>
        </c:scaling>
        <c:delete val="0"/>
        <c:axPos val="l"/>
        <c:majorGridlines>
          <c:spPr>
            <a:ln w="9525">
              <a:solidFill>
                <a:srgbClr val="CCCCCC"/>
              </a:solidFill>
              <a:prstDash val="dash"/>
            </a:ln>
          </c:spPr>
        </c:majorGridlines>
        <c:numFmt formatCode="$#,##0;($#,##0)" sourceLinked="0"/>
        <c:majorTickMark val="none"/>
        <c:minorTickMark val="none"/>
        <c:txPr>
          <a:bodyPr anchorCtr="1"/>
          <a:lstStyle/>
          <a:p>
            <a:pPr>
              <a:defRPr sz="975">
                <a:latin typeface="Arial"/>
                <a:ea typeface="Arial"/>
                <a:cs typeface="Arial"/>
              </a:defRPr>
            </a:pPr>
          </a:p>
        </c:txPr>
        <c:crossAx val="48650112"/>
        <c:crossBetween val="between"/>
      </c:valAx>
    </c:plotArea>
    <c:plotVisOnly val="1"/>
  </c:chart>
  <c:spPr>
    <a:ln w="9525">
      <a:solidFill>
        <a:srgbClr val="D9D9D9"/>
      </a:solidFill>
      <a:prstDash val="solid"/>
    </a:ln>
  </c:spPr>
</c:chartSpace>
</file>

<file path=xl/drawings/charts/chart2.xml><?xml version="1.0" encoding="utf-8"?>
<c:chartSpace xmlns:a="http://schemas.openxmlformats.org/drawingml/2006/main" xmlns:c="http://schemas.openxmlformats.org/drawingml/2006/chart">
  <c:lang val="en-US"/>
  <c:roundedCorners val="0"/>
  <c:chart>
    <c:title>
      <c:tx>
        <c:rich>
          <a:bodyPr/>
          <a:lstStyle/>
          <a:p>
            <a:r>
              <a:rPr sz="1050">
                <a:latin typeface="Arial"/>
                <a:ea typeface="Arial"/>
                <a:cs typeface="Arial"/>
              </a:rPr>
              <a:t>Estimated and actual hours</a:t>
            </a:r>
          </a:p>
        </c:rich>
      </c:tx>
      <c:overlay val="0"/>
      <c:txPr>
        <a:bodyPr anchorCtr="1"/>
        <a:lstStyle/>
        <a:p>
          <a:pPr>
            <a:defRPr sz="1050">
              <a:latin typeface="Arial"/>
              <a:ea typeface="Arial"/>
              <a:cs typeface="Arial"/>
            </a:defRPr>
          </a:pPr>
        </a:p>
      </c:txPr>
    </c:title>
    <c:plotArea>
      <c:barChart>
        <c:barDir val="col"/>
        <c:varyColors val="0"/>
        <c:ser>
          <c:idx val="0"/>
          <c:order val="0"/>
          <c:tx>
            <c:v>Estimated hours</c:v>
          </c:tx>
          <c:spPr>
            <a:solidFill>
              <a:srgbClr val="A8BAC9"/>
            </a:solidFill>
          </c:spPr>
          <c:invertIfNegative val="0"/>
          <c:cat>
            <c:strRef>
              <c:f>'Campaigns'!$A$16:$A$19</c:f>
              <c:strCache>
                <c:ptCount val="4"/>
                <c:pt idx="0">
                  <c:v>Campaign 1</c:v>
                </c:pt>
                <c:pt idx="1">
                  <c:v>Campaign 2</c:v>
                </c:pt>
                <c:pt idx="2">
                  <c:v>Campaign 3</c:v>
                </c:pt>
                <c:pt idx="3">
                  <c:v>Campaign 4</c:v>
                </c:pt>
              </c:strCache>
            </c:strRef>
          </c:cat>
          <c:val>
            <c:numRef>
              <c:f>'Campaigns'!$B$16:$B$19</c:f>
              <c:numCache>
                <c:formatCode>#,##0.00;(#,##0.00);0.00</c:formatCode>
                <c:ptCount val="4"/>
                <c:pt idx="0">
                  <c:v>240</c:v>
                </c:pt>
                <c:pt idx="1">
                  <c:v>200</c:v>
                </c:pt>
                <c:pt idx="2">
                  <c:v>220.00000000000006</c:v>
                </c:pt>
                <c:pt idx="3">
                  <c:v>260</c:v>
                </c:pt>
              </c:numCache>
            </c:numRef>
          </c:val>
        </c:ser>
        <c:ser>
          <c:idx val="1"/>
          <c:order val="1"/>
          <c:tx>
            <c:v>Actual hours</c:v>
          </c:tx>
          <c:spPr>
            <a:solidFill>
              <a:srgbClr val="245A81"/>
            </a:solidFill>
          </c:spPr>
          <c:invertIfNegative val="0"/>
          <c:cat>
            <c:strRef>
              <c:f>'Campaigns'!$A$16:$A$19</c:f>
              <c:strCache>
                <c:ptCount val="4"/>
                <c:pt idx="0">
                  <c:v>Campaign 1</c:v>
                </c:pt>
                <c:pt idx="1">
                  <c:v>Campaign 2</c:v>
                </c:pt>
                <c:pt idx="2">
                  <c:v>Campaign 3</c:v>
                </c:pt>
                <c:pt idx="3">
                  <c:v>Campaign 4</c:v>
                </c:pt>
              </c:strCache>
            </c:strRef>
          </c:cat>
          <c:val>
            <c:numRef>
              <c:f>'Campaigns'!$C$16:$C$19</c:f>
              <c:numCache>
                <c:formatCode>#,##0.00;(#,##0.00);0.00</c:formatCode>
                <c:ptCount val="4"/>
                <c:pt idx="0">
                  <c:v>140</c:v>
                </c:pt>
                <c:pt idx="1">
                  <c:v>270</c:v>
                </c:pt>
                <c:pt idx="2">
                  <c:v>171.99999999999997</c:v>
                </c:pt>
                <c:pt idx="3">
                  <c:v>217.99999999999997</c:v>
                </c:pt>
              </c:numCache>
            </c:numRef>
          </c:val>
        </c:ser>
        <c:axId val="48650112"/>
        <c:axId val="48672768"/>
      </c:barChart>
      <c:catAx>
        <c:axId val="48650112"/>
        <c:scaling>
          <c:orientation val="minMax"/>
        </c:scaling>
        <c:delete val="0"/>
        <c:axPos val="b"/>
        <c:numFmt formatCode="General"/>
        <c:majorTickMark val="none"/>
        <c:minorTickMark val="none"/>
        <c:tickLblPos val="low"/>
        <c:txPr>
          <a:bodyPr anchorCtr="1"/>
          <a:lstStyle/>
          <a:p>
            <a:pPr>
              <a:defRPr sz="975">
                <a:latin typeface="Arial"/>
                <a:ea typeface="Arial"/>
                <a:cs typeface="Arial"/>
              </a:defRPr>
            </a:pPr>
          </a:p>
        </c:txPr>
        <c:crossAx val="48672768"/>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xPr>
          <a:bodyPr anchorCtr="1"/>
          <a:lstStyle/>
          <a:p>
            <a:pPr>
              <a:defRPr sz="975">
                <a:latin typeface="Arial"/>
                <a:ea typeface="Arial"/>
                <a:cs typeface="Arial"/>
              </a:defRPr>
            </a:pPr>
          </a:p>
        </c:txPr>
        <c:crossAx val="48650112"/>
        <c:crossBetween val="between"/>
      </c:valAx>
    </c:plotArea>
    <c:legend>
      <c:legendPos val="t"/>
      <c:overlay val="0"/>
      <c:txPr>
        <a:bodyPr anchorCtr="1"/>
        <a:lstStyle/>
        <a:p>
          <a:pPr>
            <a:defRPr sz="975">
              <a:latin typeface="Arial"/>
              <a:ea typeface="Arial"/>
              <a:cs typeface="Arial"/>
            </a:defRPr>
          </a:pPr>
        </a:p>
      </c:txPr>
    </c:legend>
    <c:plotVisOnly val="1"/>
  </c:chart>
  <c:spPr>
    <a:l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7</xdr:row>
      <xdr:rowOff>0</xdr:rowOff>
    </xdr:from>
    <xdr:to>
      <xdr:col>13</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75c196b7d844aa"/>
        </a:graphicData>
      </a:graphic>
    </xdr:graphicFrame>
    <xdr:clientData/>
  </xdr:twoCellAnchor>
  <xdr:twoCellAnchor>
    <xdr:from>
      <xdr:col>7</xdr:col>
      <xdr:colOff>0</xdr:colOff>
      <xdr:row>24</xdr:row>
      <xdr:rowOff>0</xdr:rowOff>
    </xdr:from>
    <xdr:to>
      <xdr:col>13</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cd55e7ae6814f11"/>
        </a:graphicData>
      </a:graphic>
    </xdr:graphicFrame>
    <xdr:clientData/>
  </xdr:twoCellAnchor>
</xdr:wsDr>
</file>

<file path=xl/tables/table1.xml><?xml version="1.0" encoding="utf-8"?>
<x:table xmlns:x="http://schemas.openxmlformats.org/spreadsheetml/2006/main" id="8" name="Campaigns" displayName="Campaigns" ref="A6:AE10" headerRowCount="1" totalsRowCount="0" totalsRowShown="0">
  <x:autoFilter ref="A6:AE10"/>
  <x:tableColumns count="31">
    <x:tableColumn id="1" name="campaign_id"/>
    <x:tableColumn id="2" name="campaign_name"/>
    <x:tableColumn id="3" name="tasks"/>
    <x:tableColumn id="4" name="input_tokens"/>
    <x:tableColumn id="5" name="output_tokens"/>
    <x:tableColumn id="6" name="total_tokens"/>
    <x:tableColumn id="7" name="input_cost_usd"/>
    <x:tableColumn id="8" name="output_cost_usd"/>
    <x:tableColumn id="9" name="ai_cost_usd"/>
    <x:tableColumn id="10" name="prompt_count"/>
    <x:tableColumn id="11" name="cost_per_prompt_usd"/>
    <x:tableColumn id="12" name="baseline_hours"/>
    <x:tableColumn id="13" name="actual_hours"/>
    <x:tableColumn id="14" name="hours_saved"/>
    <x:tableColumn id="15" name="time_value_usd"/>
    <x:tableColumn id="16" name="net_ai_value_usd"/>
    <x:tableColumn id="17" name="ai_roi"/>
    <x:tableColumn id="18" name="rework_hours"/>
    <x:tableColumn id="19" name="rework_share"/>
    <x:tableColumn id="20" name="correction_prompts"/>
    <x:tableColumn id="21" name="correction_share"/>
    <x:tableColumn id="22" name="template_tasks"/>
    <x:tableColumn id="23" name="changed_brief_tasks"/>
    <x:tableColumn id="24" name="positive_net_value_tasks"/>
    <x:tableColumn id="25" name="negative_net_value_tasks"/>
    <x:tableColumn id="26" name="campaign_revenue_usd"/>
    <x:tableColumn id="27" name="other_campaign_cost_usd"/>
    <x:tableColumn id="28" name="actual_staff_cost_usd"/>
    <x:tableColumn id="29" name="campaign_result_usd"/>
    <x:tableColumn id="30" name="net_ai_value_lower20_usd"/>
    <x:tableColumn id="31" name="net_ai_value_higher20_usd"/>
  </x:tableColumns>
  <x:tableStyleInfo name="TableStyleMedium2" showFirstColumn="0" showLastColumn="0" showRowStripes="1" showColumnStripes="0"/>
</x:table>
</file>

<file path=xl/tables/table2.xml><?xml version="1.0" encoding="utf-8"?>
<x:table xmlns:x="http://schemas.openxmlformats.org/spreadsheetml/2006/main" id="9" name="Mix" displayName="Mix" ref="A6:Z46" headerRowCount="1" totalsRowCount="0" totalsRowShown="0">
  <x:autoFilter ref="A6:Z46"/>
  <x:tableColumns count="26">
    <x:tableColumn id="1" name="campaign_id"/>
    <x:tableColumn id="2" name="dimension"/>
    <x:tableColumn id="3" name="group"/>
    <x:tableColumn id="4" name="tasks"/>
    <x:tableColumn id="5" name="input_tokens"/>
    <x:tableColumn id="6" name="output_tokens"/>
    <x:tableColumn id="7" name="total_tokens"/>
    <x:tableColumn id="8" name="input_cost_usd"/>
    <x:tableColumn id="9" name="output_cost_usd"/>
    <x:tableColumn id="10" name="ai_cost_usd"/>
    <x:tableColumn id="11" name="prompt_count"/>
    <x:tableColumn id="12" name="cost_per_prompt_usd"/>
    <x:tableColumn id="13" name="baseline_hours"/>
    <x:tableColumn id="14" name="actual_hours"/>
    <x:tableColumn id="15" name="hours_saved"/>
    <x:tableColumn id="16" name="time_value_usd"/>
    <x:tableColumn id="17" name="net_ai_value_usd"/>
    <x:tableColumn id="18" name="ai_roi"/>
    <x:tableColumn id="19" name="rework_hours"/>
    <x:tableColumn id="20" name="rework_share"/>
    <x:tableColumn id="21" name="correction_prompts"/>
    <x:tableColumn id="22" name="correction_share"/>
    <x:tableColumn id="23" name="template_tasks"/>
    <x:tableColumn id="24" name="changed_brief_tasks"/>
    <x:tableColumn id="25" name="positive_net_value_tasks"/>
    <x:tableColumn id="26" name="negative_net_value_tasks"/>
  </x:tableColumns>
  <x:tableStyleInfo name="TableStyleMedium2" showFirstColumn="0" showLastColumn="0" showRowStripes="1" showColumnStripes="0"/>
</x:table>
</file>

<file path=xl/tables/table3.xml><?xml version="1.0" encoding="utf-8"?>
<x:table xmlns:x="http://schemas.openxmlformats.org/spreadsheetml/2006/main" id="10" name="Workflow" displayName="Workflow" ref="A6:AD186" headerRowCount="1" totalsRowCount="0" totalsRowShown="0">
  <x:autoFilter ref="A6:AD186"/>
  <x:tableColumns count="30">
    <x:tableColumn id="1" name="campaign_id"/>
    <x:tableColumn id="2" name="task_type"/>
    <x:tableColumn id="3" name="dimension"/>
    <x:tableColumn id="4" name="flag"/>
    <x:tableColumn id="5" name="tasks"/>
    <x:tableColumn id="6" name="input_tokens"/>
    <x:tableColumn id="7" name="output_tokens"/>
    <x:tableColumn id="8" name="total_tokens"/>
    <x:tableColumn id="9" name="input_cost_usd"/>
    <x:tableColumn id="10" name="output_cost_usd"/>
    <x:tableColumn id="11" name="ai_cost_usd"/>
    <x:tableColumn id="12" name="prompt_count"/>
    <x:tableColumn id="13" name="cost_per_prompt_usd"/>
    <x:tableColumn id="14" name="baseline_hours"/>
    <x:tableColumn id="15" name="actual_hours"/>
    <x:tableColumn id="16" name="hours_saved"/>
    <x:tableColumn id="17" name="time_value_usd"/>
    <x:tableColumn id="18" name="net_ai_value_usd"/>
    <x:tableColumn id="19" name="ai_roi"/>
    <x:tableColumn id="20" name="rework_hours"/>
    <x:tableColumn id="21" name="rework_share"/>
    <x:tableColumn id="22" name="correction_prompts"/>
    <x:tableColumn id="23" name="correction_share"/>
    <x:tableColumn id="24" name="template_tasks"/>
    <x:tableColumn id="25" name="changed_brief_tasks"/>
    <x:tableColumn id="26" name="positive_net_value_tasks"/>
    <x:tableColumn id="27" name="negative_net_value_tasks"/>
    <x:tableColumn id="28" name="corrections_per_task"/>
    <x:tableColumn id="29" name="ai_cost_per_task_usd"/>
    <x:tableColumn id="30" name="hours_saved_per_task"/>
  </x:tableColumns>
  <x:tableStyleInfo name="TableStyleMedium2" showFirstColumn="0" showLastColumn="0" showRowStripes="1" showColumnStripes="0"/>
</x:table>
</file>

<file path=xl/tables/table4.xml><?xml version="1.0" encoding="utf-8"?>
<x:table xmlns:x="http://schemas.openxmlformats.org/spreadsheetml/2006/main" id="11" name="DailyUsage" displayName="DailyUsage" ref="A6:K90" headerRowCount="1" totalsRowCount="0" totalsRowShown="0">
  <x:autoFilter ref="A6:K90"/>
  <x:tableColumns count="11">
    <x:tableColumn id="1" name="usage_date"/>
    <x:tableColumn id="2" name="campaign_id"/>
    <x:tableColumn id="3" name="input_tokens"/>
    <x:tableColumn id="4" name="output_tokens"/>
    <x:tableColumn id="5" name="total_tokens"/>
    <x:tableColumn id="6" name="input_cost_usd"/>
    <x:tableColumn id="7" name="output_cost_usd"/>
    <x:tableColumn id="8" name="ai_cost_usd"/>
    <x:tableColumn id="9" name="prompt_count"/>
    <x:tableColumn id="10" name="correction_prompts"/>
    <x:tableColumn id="11" name="correction_share"/>
  </x:tableColumns>
  <x:tableStyleInfo name="TableStyleMedium2" showFirstColumn="0" showLastColumn="0" showRowStripes="1" showColumnStripes="0"/>
</x:table>
</file>

<file path=xl/tables/table5.xml><?xml version="1.0" encoding="utf-8"?>
<x:table xmlns:x="http://schemas.openxmlformats.org/spreadsheetml/2006/main" id="7" name="Tasks" displayName="Tasks" ref="A6:AA246" headerRowCount="1" totalsRowCount="0" totalsRowShown="0">
  <x:autoFilter ref="A6:AA246"/>
  <x:tableColumns count="27">
    <x:tableColumn id="1" name="work_item_id"/>
    <x:tableColumn id="2" name="completion_date"/>
    <x:tableColumn id="3" name="campaign_id"/>
    <x:tableColumn id="4" name="department"/>
    <x:tableColumn id="5" name="employee"/>
    <x:tableColumn id="6" name="task_type"/>
    <x:tableColumn id="7" name="baseline_hours"/>
    <x:tableColumn id="8" name="actual_hours"/>
    <x:tableColumn id="9" name="rework_hours"/>
    <x:tableColumn id="10" name="issue_tag"/>
    <x:tableColumn id="11" name="brief_changed"/>
    <x:tableColumn id="12" name="prompt_template_used"/>
    <x:tableColumn id="13" name="product"/>
    <x:tableColumn id="14" name="model"/>
    <x:tableColumn id="15" name="input_tokens"/>
    <x:tableColumn id="16" name="output_tokens"/>
    <x:tableColumn id="17" name="total_tokens"/>
    <x:tableColumn id="18" name="prompt_count"/>
    <x:tableColumn id="19" name="input_cost_usd"/>
    <x:tableColumn id="20" name="output_cost_usd"/>
    <x:tableColumn id="21" name="ai_cost_usd"/>
    <x:tableColumn id="22" name="first_attempt_prompts"/>
    <x:tableColumn id="23" name="followup_prompts"/>
    <x:tableColumn id="24" name="correction_prompts"/>
    <x:tableColumn id="25" name="hours_saved"/>
    <x:tableColumn id="26" name="time_value_usd"/>
    <x:tableColumn id="27" name="net_ai_value_usd"/>
  </x:tableColumns>
  <x:tableStyleInfo name="TableStyleMedium2" showFirstColumn="0" showLastColumn="0" showRowStripes="1" showColumnStripes="0"/>
</x:table>
</file>

<file path=xl/tables/table6.xml><?xml version="1.0" encoding="utf-8"?>
<x:table xmlns:x="http://schemas.openxmlformats.org/spreadsheetml/2006/main" id="6" name="PromptTotals" displayName="PromptTotals" ref="A6:N246" headerRowCount="1" totalsRowCount="0" totalsRowShown="0">
  <x:autoFilter ref="A6:N246"/>
  <x:tableColumns count="14">
    <x:tableColumn id="1" name="work_item_id"/>
    <x:tableColumn id="2" name="campaign_id"/>
    <x:tableColumn id="3" name="product"/>
    <x:tableColumn id="4" name="model"/>
    <x:tableColumn id="5" name="input_tokens"/>
    <x:tableColumn id="6" name="output_tokens"/>
    <x:tableColumn id="7" name="total_tokens"/>
    <x:tableColumn id="8" name="prompt_count"/>
    <x:tableColumn id="9" name="input_cost_usd"/>
    <x:tableColumn id="10" name="output_cost_usd"/>
    <x:tableColumn id="11" name="ai_cost_usd"/>
    <x:tableColumn id="12" name="first_attempt_prompts"/>
    <x:tableColumn id="13" name="followup_prompts"/>
    <x:tableColumn id="14" name="correction_prompts"/>
  </x:tableColumns>
  <x:tableStyleInfo name="TableStyleMedium2" showFirstColumn="0" showLastColumn="0" showRowStripes="1" showColumnStripes="0"/>
</x:table>
</file>

<file path=xl/tables/table7.xml><?xml version="1.0" encoding="utf-8"?>
<x:table xmlns:x="http://schemas.openxmlformats.org/spreadsheetml/2006/main" id="5" name="PricedUsage" displayName="PricedUsage" ref="A6:O3366" headerRowCount="1" totalsRowCount="0" totalsRowShown="0">
  <x:autoFilter ref="A6:O3366"/>
  <x:tableColumns count="15">
    <x:tableColumn id="1" name="usage_id"/>
    <x:tableColumn id="2" name="usage_date"/>
    <x:tableColumn id="3" name="work_item_id"/>
    <x:tableColumn id="4" name="campaign_id"/>
    <x:tableColumn id="5" name="product"/>
    <x:tableColumn id="6" name="model"/>
    <x:tableColumn id="7" name="input_tokens"/>
    <x:tableColumn id="8" name="output_tokens"/>
    <x:tableColumn id="9" name="prompt_reason"/>
    <x:tableColumn id="10" name="input_rate_usd_per_million"/>
    <x:tableColumn id="11" name="output_rate_usd_per_million"/>
    <x:tableColumn id="12" name="total_tokens"/>
    <x:tableColumn id="13" name="input_cost_usd"/>
    <x:tableColumn id="14" name="output_cost_usd"/>
    <x:tableColumn id="15" name="ai_cost_usd"/>
  </x:tableColumns>
  <x:tableStyleInfo name="TableStyleMedium2" showFirstColumn="0" showLastColumn="0" showRowStripes="1" showColumnStripes="0"/>
</x:table>
</file>

<file path=xl/tables/table8.xml><?xml version="1.0" encoding="utf-8"?>
<x:table xmlns:x="http://schemas.openxmlformats.org/spreadsheetml/2006/main" id="1" name="RawWorkLog" displayName="RawWorkLog" ref="A6:L248" headerRowCount="1" totalsRowCount="0" totalsRowShown="0">
  <x:autoFilter ref="A6:L248"/>
  <x:tableColumns count="12">
    <x:tableColumn id="1" name="work_item_id"/>
    <x:tableColumn id="2" name="completion_date"/>
    <x:tableColumn id="3" name="campaign_id"/>
    <x:tableColumn id="4" name="department"/>
    <x:tableColumn id="5" name="employee"/>
    <x:tableColumn id="6" name="task_type"/>
    <x:tableColumn id="7" name="baseline_hours"/>
    <x:tableColumn id="8" name="actual_hours"/>
    <x:tableColumn id="9" name="rework_hours"/>
    <x:tableColumn id="10" name="issue_tag"/>
    <x:tableColumn id="11" name="brief_changed"/>
    <x:tableColumn id="12" name="prompt_template_used"/>
  </x:tableColumns>
  <x:tableStyleInfo name="TableStyleMedium2" showFirstColumn="0" showLastColumn="0" showRowStripes="1" showColumnStripes="0"/>
</x:table>
</file>

<file path=xl/tables/table9.xml><?xml version="1.0" encoding="utf-8"?>
<x:table xmlns:x="http://schemas.openxmlformats.org/spreadsheetml/2006/main" id="2" name="RawAIUsage" displayName="RawAIUsage" ref="A6:I3366" headerRowCount="1" totalsRowCount="0" totalsRowShown="0">
  <x:autoFilter ref="A6:I3366"/>
  <x:tableColumns count="9">
    <x:tableColumn id="1" name="usage_id"/>
    <x:tableColumn id="2" name="usage_date"/>
    <x:tableColumn id="3" name="work_item_id"/>
    <x:tableColumn id="4" name="campaign_id"/>
    <x:tableColumn id="5" name="product"/>
    <x:tableColumn id="6" name="model"/>
    <x:tableColumn id="7" name="input_tokens"/>
    <x:tableColumn id="8" name="output_tokens"/>
    <x:tableColumn id="9" name="prompt_reason"/>
  </x:tableColumns>
  <x:tableStyleInfo name="TableStyleMedium2" showFirstColumn="0" showLastColumn="0" showRowStripes="1" showColumnStripes="0"/>
</x:table>
</file>

<file path=xl/tables/table10.xml><?xml version="1.0" encoding="utf-8"?>
<x:table xmlns:x="http://schemas.openxmlformats.org/spreadsheetml/2006/main" id="3" name="ModelPricing" displayName="ModelPricing" ref="A6:C8" headerRowCount="1" totalsRowCount="0" totalsRowShown="0">
  <x:autoFilter ref="A6:C8"/>
  <x:tableColumns count="3">
    <x:tableColumn id="1" name="model"/>
    <x:tableColumn id="2" name="input_rate_usd_per_million"/>
    <x:tableColumn id="3" name="output_rate_usd_per_million"/>
  </x:tableColumns>
  <x:tableStyleInfo name="TableStyleMedium2" showFirstColumn="0" showLastColumn="0" showRowStripes="1" showColumnStripes="0"/>
</x:table>
</file>

<file path=xl/tables/table11.xml><?xml version="1.0" encoding="utf-8"?>
<x:table xmlns:x="http://schemas.openxmlformats.org/spreadsheetml/2006/main" id="4" name="CampaignInputs" displayName="CampaignInputs" ref="A6:D10" headerRowCount="1" totalsRowCount="0" totalsRowShown="0">
  <x:autoFilter ref="A6:D10"/>
  <x:tableColumns count="4">
    <x:tableColumn id="1" name="campaign_id"/>
    <x:tableColumn id="2" name="campaign_name"/>
    <x:tableColumn id="3" name="campaign_revenue_usd"/>
    <x:tableColumn id="4" name="other_campaign_cost_usd"/>
  </x:tableColumns>
  <x:tableStyleInfo name="TableStyleMedium2" showFirstColumn="0" showLastColumn="0" showRowStripes="1" showColumnStripes="0"/>
</x:table>
</file>

<file path=xl/tables/table12.xml><?xml version="1.0" encoding="utf-8"?>
<x:table xmlns:x="http://schemas.openxmlformats.org/spreadsheetml/2006/main" id="12" name="PortfolioDictionary" displayName="PortfolioDictionary" ref="A6:D188" headerRowCount="1" totalsRowCount="0" totalsRowShown="0">
  <x:autoFilter ref="A6:D188"/>
  <x:tableColumns count="4">
    <x:tableColumn id="1" name="worksheet"/>
    <x:tableColumn id="2" name="column"/>
    <x:tableColumn id="3" name="type_and_units"/>
    <x:tableColumn id="4" name="mea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32184ce3f18442f" /></Relationships>
</file>

<file path=xl/worksheets/_rels/sheet2.xml.rels>&#65279;<?xml version="1.0" encoding="utf-8"?><Relationships xmlns="http://schemas.openxmlformats.org/package/2006/relationships"><Relationship Type="http://schemas.openxmlformats.org/officeDocument/2006/relationships/table" Target="/xl/tables/table1.xml" Id="R4558c86fe8f74a0b" /></Relationships>
</file>

<file path=xl/worksheets/_rels/sheet3.xml.rels>&#65279;<?xml version="1.0" encoding="utf-8"?><Relationships xmlns="http://schemas.openxmlformats.org/package/2006/relationships"><Relationship Type="http://schemas.openxmlformats.org/officeDocument/2006/relationships/table" Target="/xl/tables/table2.xml" Id="Rd3dbeab563844b8e" /></Relationships>
</file>

<file path=xl/worksheets/_rels/sheet4.xml.rels>&#65279;<?xml version="1.0" encoding="utf-8"?><Relationships xmlns="http://schemas.openxmlformats.org/package/2006/relationships"><Relationship Type="http://schemas.openxmlformats.org/officeDocument/2006/relationships/table" Target="/xl/tables/table3.xml" Id="R0e3a327855844c39" /></Relationships>
</file>

<file path=xl/worksheets/_rels/sheet5.xml.rels>&#65279;<?xml version="1.0" encoding="utf-8"?><Relationships xmlns="http://schemas.openxmlformats.org/package/2006/relationships"><Relationship Type="http://schemas.openxmlformats.org/officeDocument/2006/relationships/table" Target="/xl/tables/table4.xml" Id="R9743405782d84b55" /></Relationships>
</file>

<file path=xl/worksheets/_rels/sheet6.xml.rels>&#65279;<?xml version="1.0" encoding="utf-8"?><Relationships xmlns="http://schemas.openxmlformats.org/package/2006/relationships"><Relationship Type="http://schemas.openxmlformats.org/officeDocument/2006/relationships/table" Target="/xl/tables/table5.xml" Id="Rfa9356b34afe4f94" /></Relationships>
</file>

<file path=xl/worksheets/_rels/sheet7.xml.rels>&#65279;<?xml version="1.0" encoding="utf-8"?><Relationships xmlns="http://schemas.openxmlformats.org/package/2006/relationships"><Relationship Type="http://schemas.openxmlformats.org/officeDocument/2006/relationships/table" Target="/xl/tables/table6.xml" Id="R545385e8270e4758" /></Relationships>
</file>

<file path=xl/worksheets/_rels/sheet8.xml.rels>&#65279;<?xml version="1.0" encoding="utf-8"?><Relationships xmlns="http://schemas.openxmlformats.org/package/2006/relationships"><Relationship Type="http://schemas.openxmlformats.org/officeDocument/2006/relationships/table" Target="/xl/tables/table7.xml" Id="R80e36dce52184131" /></Relationships>
</file>

<file path=xl/worksheets/_rels/sheet9.xml.rels>&#65279;<?xml version="1.0" encoding="utf-8"?><Relationships xmlns="http://schemas.openxmlformats.org/package/2006/relationships"><Relationship Type="http://schemas.openxmlformats.org/officeDocument/2006/relationships/table" Target="/xl/tables/table8.xml" Id="R984e76772389485e" /></Relationships>
</file>

<file path=xl/worksheets/_rels/sheet10.xml.rels>&#65279;<?xml version="1.0" encoding="utf-8"?><Relationships xmlns="http://schemas.openxmlformats.org/package/2006/relationships"><Relationship Type="http://schemas.openxmlformats.org/officeDocument/2006/relationships/table" Target="/xl/tables/table9.xml" Id="Rf225bd4bc25044ea" /></Relationships>
</file>

<file path=xl/worksheets/_rels/sheet11.xml.rels>&#65279;<?xml version="1.0" encoding="utf-8"?><Relationships xmlns="http://schemas.openxmlformats.org/package/2006/relationships"><Relationship Type="http://schemas.openxmlformats.org/officeDocument/2006/relationships/table" Target="/xl/tables/table10.xml" Id="R22990f21fddb41f8" /></Relationships>
</file>

<file path=xl/worksheets/_rels/sheet12.xml.rels>&#65279;<?xml version="1.0" encoding="utf-8"?><Relationships xmlns="http://schemas.openxmlformats.org/package/2006/relationships"><Relationship Type="http://schemas.openxmlformats.org/officeDocument/2006/relationships/table" Target="/xl/tables/table11.xml" Id="R5fddb89498604815" /></Relationships>
</file>

<file path=xl/worksheets/_rels/sheet14.xml.rels>&#65279;<?xml version="1.0" encoding="utf-8"?><Relationships xmlns="http://schemas.openxmlformats.org/package/2006/relationships"><Relationship Type="http://schemas.openxmlformats.org/officeDocument/2006/relationships/table" Target="/xl/tables/table12.xml" Id="Re6f9692a168c4fda" /></Relationships>
</file>

<file path=xl/worksheets/sheet1.xml><?xml version="1.0" encoding="utf-8"?>
<x:worksheet xmlns:x="http://schemas.openxmlformats.org/spreadsheetml/2006/main">
  <x:sheetPr>
    <x:tabColor rgb="FF16324F"/>
  </x:sheetPr>
  <x:sheetViews>
    <x:sheetView showGridLines="0" workbookViewId="0"/>
  </x:sheetViews>
  <x:sheetFormatPr defaultRowHeight="15"/>
  <x:cols>
    <x:col min="1" max="1" width="3" hidden="0" customWidth="1"/>
    <x:col min="2" max="2" width="30" hidden="0" customWidth="1"/>
    <x:col min="3" max="3" width="16" hidden="0" customWidth="1"/>
    <x:col min="4" max="4" width="16" hidden="0" customWidth="1"/>
    <x:col min="5" max="5" width="16" hidden="0" customWidth="1"/>
    <x:col min="6" max="6" width="16" hidden="0" customWidth="1"/>
    <x:col min="7" max="7" width="3"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s>
  <x:sheetData>
    <x:row r="1" ht="23" customHeight="1">
      <x:c r="A1" s="3"/>
      <x:c r="B1" s="3"/>
      <x:c r="C1" s="3"/>
      <x:c r="D1" s="3"/>
      <x:c r="E1" s="3"/>
      <x:c r="F1" s="3"/>
      <x:c r="G1" s="3"/>
      <x:c r="H1" s="3"/>
      <x:c r="I1" s="3"/>
      <x:c r="J1" s="3"/>
      <x:c r="K1" s="3"/>
      <x:c r="L1" s="3"/>
      <x:c r="M1" s="3"/>
    </x:row>
    <x:row r="2" ht="29" customHeight="1">
      <x:c r="A2" s="3"/>
      <x:c r="B2" s="4" t="str">
        <x:v>Portfolio Project worked solution</x:v>
      </x:c>
      <x:c r="C2" s="3"/>
      <x:c r="D2" s="3"/>
      <x:c r="E2" s="3"/>
      <x:c r="F2" s="3"/>
      <x:c r="G2" s="3"/>
      <x:c r="H2" s="3"/>
      <x:c r="I2" s="3"/>
      <x:c r="J2" s="3"/>
      <x:c r="K2" s="3"/>
      <x:c r="L2" s="3"/>
      <x:c r="M2" s="3"/>
    </x:row>
    <x:row r="3" ht="23" customHeight="1">
      <x:c r="A3" s="3"/>
      <x:c r="B3" s="3" t="str">
        <x:v>Marketing R Us (MRU). September 2026. Fictional teaching data.</x:v>
      </x:c>
      <x:c r="C3" s="3"/>
      <x:c r="D3" s="3"/>
      <x:c r="E3" s="3"/>
      <x:c r="F3" s="3"/>
      <x:c r="G3" s="3"/>
      <x:c r="H3" s="3"/>
      <x:c r="I3" s="3"/>
      <x:c r="J3" s="3"/>
      <x:c r="K3" s="3"/>
      <x:c r="L3" s="3"/>
      <x:c r="M3" s="3"/>
    </x:row>
    <x:row r="4" ht="23" customHeight="1">
      <x:c r="A4" s="3"/>
      <x:c r="B4" s="24"/>
      <x:c r="C4" s="24"/>
      <x:c r="D4" s="24"/>
      <x:c r="E4" s="24"/>
      <x:c r="F4" s="24"/>
      <x:c r="G4" s="24"/>
      <x:c r="H4" s="24"/>
      <x:c r="I4" s="24"/>
      <x:c r="J4" s="24"/>
      <x:c r="K4" s="24"/>
      <x:c r="L4" s="24"/>
      <x:c r="M4" s="24"/>
    </x:row>
    <x:row r="5" ht="23" customHeight="1">
      <x:c r="A5" s="3"/>
      <x:c r="B5" s="3" t="str">
        <x:v>USD per staff hour</x:v>
      </x:c>
      <x:c r="C5" s="26" t="n">
        <x:v>50</x:v>
      </x:c>
      <x:c r="D5" s="3"/>
      <x:c r="E5" s="3" t="str">
        <x:v>Editable assumption. Reference answers use $50.</x:v>
      </x:c>
      <x:c r="F5" s="3"/>
      <x:c r="G5" s="3"/>
      <x:c r="H5" s="3"/>
      <x:c r="I5" s="3"/>
      <x:c r="J5" s="3"/>
      <x:c r="K5" s="3"/>
      <x:c r="L5" s="3"/>
      <x:c r="M5" s="3"/>
    </x:row>
    <x:row r="6" ht="23" customHeight="1">
      <x:c r="A6" s="3"/>
      <x:c r="B6" s="3"/>
      <x:c r="C6" s="3"/>
      <x:c r="D6" s="3"/>
      <x:c r="E6" s="3"/>
      <x:c r="F6" s="3"/>
      <x:c r="G6" s="3"/>
      <x:c r="H6" s="3"/>
      <x:c r="I6" s="3"/>
      <x:c r="J6" s="3"/>
      <x:c r="K6" s="3"/>
      <x:c r="L6" s="3"/>
      <x:c r="M6" s="3"/>
    </x:row>
    <x:row r="7" ht="28" customHeight="1">
      <x:c r="A7" s="3"/>
      <x:c r="B7" s="47" t="str">
        <x:v>Company overview and focal comparison</x:v>
      </x:c>
      <x:c r="C7" s="3"/>
      <x:c r="D7" s="3"/>
      <x:c r="E7" s="3"/>
      <x:c r="F7" s="3"/>
      <x:c r="G7" s="3"/>
      <x:c r="H7" s="3"/>
      <x:c r="I7" s="3"/>
      <x:c r="J7" s="3"/>
      <x:c r="K7" s="3"/>
      <x:c r="L7" s="3"/>
      <x:c r="M7" s="3"/>
    </x:row>
    <x:row r="8" ht="44" customHeight="1">
      <x:c r="A8" s="3"/>
      <x:c r="B8" s="14" t="str">
        <x:v>Metric</x:v>
      </x:c>
      <x:c r="C8" s="15" t="str">
        <x:v>All campaigns</x:v>
      </x:c>
      <x:c r="D8" s="16" t="str">
        <x:v>C001 and C002</x:v>
      </x:c>
      <x:c r="E8" s="3"/>
      <x:c r="F8" s="3"/>
      <x:c r="G8" s="3"/>
      <x:c r="H8" s="3"/>
      <x:c r="I8" s="3"/>
      <x:c r="J8" s="3"/>
      <x:c r="K8" s="3"/>
      <x:c r="L8" s="3"/>
      <x:c r="M8" s="3"/>
    </x:row>
    <x:row r="9" ht="23" customHeight="1">
      <x:c r="A9" s="3"/>
      <x:c r="B9" s="3" t="str">
        <x:v>AI spending</x:v>
      </x:c>
      <x:c r="C9" s="22" t="n">
        <x:f>INDEX('Campaigns'!$I$7:$I$12,MATCH("ALL",'Campaigns'!$A$7:$A$12,0))</x:f>
        <x:v>3180</x:v>
      </x:c>
      <x:c r="D9" s="22" t="n">
        <x:f>INDEX('Campaigns'!$I$7:$I$12,MATCH("FOCAL",'Campaigns'!$A$7:$A$12,0))</x:f>
        <x:v>1900</x:v>
      </x:c>
      <x:c r="E9" s="3"/>
      <x:c r="F9" s="3"/>
      <x:c r="G9" s="3"/>
      <x:c r="H9" s="3"/>
      <x:c r="I9" s="3"/>
      <x:c r="J9" s="3"/>
      <x:c r="K9" s="3"/>
      <x:c r="L9" s="3"/>
      <x:c r="M9" s="3"/>
    </x:row>
    <x:row r="10" ht="23" customHeight="1">
      <x:c r="A10" s="3"/>
      <x:c r="B10" s="3" t="str">
        <x:v>Hours saved</x:v>
      </x:c>
      <x:c r="C10" s="19" t="n">
        <x:f>INDEX('Campaigns'!$N$7:$N$12,MATCH("ALL",'Campaigns'!$A$7:$A$12,0))</x:f>
        <x:v>120.00000000000003</x:v>
      </x:c>
      <x:c r="D10" s="19" t="n">
        <x:f>INDEX('Campaigns'!$N$7:$N$12,MATCH("FOCAL",'Campaigns'!$A$7:$A$12,0))</x:f>
        <x:v>30.00000000000003</x:v>
      </x:c>
      <x:c r="E10" s="3"/>
      <x:c r="F10" s="3"/>
      <x:c r="G10" s="3"/>
      <x:c r="H10" s="3"/>
      <x:c r="I10" s="3"/>
      <x:c r="J10" s="3"/>
      <x:c r="K10" s="3"/>
      <x:c r="L10" s="3"/>
      <x:c r="M10" s="3"/>
    </x:row>
    <x:row r="11" ht="23" customHeight="1">
      <x:c r="A11" s="3"/>
      <x:c r="B11" s="50" t="str">
        <x:v>Net AI value</x:v>
      </x:c>
      <x:c r="C11" s="43" t="n">
        <x:f>INDEX('Campaigns'!$P$7:$P$12,MATCH("ALL",'Campaigns'!$A$7:$A$12,0))</x:f>
        <x:v>2820.000000000002</x:v>
      </x:c>
      <x:c r="D11" s="43" t="n">
        <x:f>INDEX('Campaigns'!$P$7:$P$12,MATCH("FOCAL",'Campaigns'!$A$7:$A$12,0))</x:f>
        <x:v>-399.9999999999982</x:v>
      </x:c>
      <x:c r="E11" s="3"/>
      <x:c r="F11" s="3"/>
      <x:c r="G11" s="3"/>
      <x:c r="H11" s="3"/>
      <x:c r="I11" s="3"/>
      <x:c r="J11" s="3"/>
      <x:c r="K11" s="3"/>
      <x:c r="L11" s="3"/>
      <x:c r="M11" s="3"/>
    </x:row>
    <x:row r="12" ht="23" customHeight="1">
      <x:c r="A12" s="3"/>
      <x:c r="B12" s="3" t="str">
        <x:v>AI ROI</x:v>
      </x:c>
      <x:c r="C12" s="31" t="n">
        <x:f>INDEX('Campaigns'!$Q$7:$Q$12,MATCH("ALL",'Campaigns'!$A$7:$A$12,0))</x:f>
        <x:v>0.8867924528301893</x:v>
      </x:c>
      <x:c r="D12" s="31" t="n">
        <x:f>INDEX('Campaigns'!$Q$7:$Q$12,MATCH("FOCAL",'Campaigns'!$A$7:$A$12,0))</x:f>
        <x:v>-0.21052631578947273</x:v>
      </x:c>
      <x:c r="E12" s="3"/>
      <x:c r="F12" s="3"/>
      <x:c r="G12" s="3"/>
      <x:c r="H12" s="3"/>
      <x:c r="I12" s="3"/>
      <x:c r="J12" s="3"/>
      <x:c r="K12" s="3"/>
      <x:c r="L12" s="3"/>
      <x:c r="M12" s="3"/>
    </x:row>
    <x:row r="13" ht="23" customHeight="1">
      <x:c r="A13" s="3"/>
      <x:c r="B13" s="3" t="str">
        <x:v>Campaign result</x:v>
      </x:c>
      <x:c r="C13" s="22" t="n">
        <x:f>INDEX('Campaigns'!$AC$7:$AC$12,MATCH("ALL",'Campaigns'!$A$7:$A$12,0))</x:f>
        <x:v>12820</x:v>
      </x:c>
      <x:c r="D13" s="22" t="n">
        <x:f>INDEX('Campaigns'!$AC$7:$AC$12,MATCH("FOCAL",'Campaigns'!$A$7:$A$12,0))</x:f>
        <x:v>5100</x:v>
      </x:c>
      <x:c r="E13" s="3"/>
      <x:c r="F13" s="3"/>
      <x:c r="G13" s="3"/>
      <x:c r="H13" s="3"/>
      <x:c r="I13" s="3"/>
      <x:c r="J13" s="3"/>
      <x:c r="K13" s="3"/>
      <x:c r="L13" s="3"/>
      <x:c r="M13" s="3"/>
    </x:row>
    <x:row r="14" ht="23" customHeight="1">
      <x:c r="A14" s="3"/>
      <x:c r="B14" s="3"/>
      <x:c r="C14" s="3"/>
      <x:c r="D14" s="3"/>
      <x:c r="E14" s="3"/>
      <x:c r="F14" s="3"/>
      <x:c r="G14" s="3"/>
      <x:c r="H14" s="3"/>
      <x:c r="I14" s="3"/>
      <x:c r="J14" s="3"/>
      <x:c r="K14" s="3"/>
      <x:c r="L14" s="3"/>
      <x:c r="M14" s="3"/>
    </x:row>
    <x:row r="15" ht="23" customHeight="1">
      <x:c r="A15" s="3"/>
      <x:c r="B15" s="3"/>
      <x:c r="C15" s="3"/>
      <x:c r="D15" s="3"/>
      <x:c r="E15" s="3"/>
      <x:c r="F15" s="3"/>
      <x:c r="G15" s="3"/>
      <x:c r="H15" s="3"/>
      <x:c r="I15" s="3"/>
      <x:c r="J15" s="3"/>
      <x:c r="K15" s="3"/>
      <x:c r="L15" s="3"/>
      <x:c r="M15" s="3"/>
    </x:row>
    <x:row r="16" ht="28" customHeight="1">
      <x:c r="A16" s="3"/>
      <x:c r="B16" s="47" t="str">
        <x:v>Q1. Campaign costs and estimated value</x:v>
      </x:c>
      <x:c r="C16" s="3"/>
      <x:c r="D16" s="3"/>
      <x:c r="E16" s="3"/>
      <x:c r="F16" s="3"/>
      <x:c r="G16" s="3"/>
      <x:c r="H16" s="3"/>
      <x:c r="I16" s="3"/>
      <x:c r="J16" s="3"/>
      <x:c r="K16" s="3"/>
      <x:c r="L16" s="3"/>
      <x:c r="M16" s="3"/>
    </x:row>
    <x:row r="17" ht="44" customHeight="1">
      <x:c r="A17" s="3"/>
      <x:c r="B17" s="14" t="str">
        <x:v>Campaign</x:v>
      </x:c>
      <x:c r="C17" s="15" t="str">
        <x:v>AI cost</x:v>
      </x:c>
      <x:c r="D17" s="15" t="str">
        <x:v>Hours saved</x:v>
      </x:c>
      <x:c r="E17" s="15" t="str">
        <x:v>Net AI value</x:v>
      </x:c>
      <x:c r="F17" s="16" t="str">
        <x:v>AI ROI</x:v>
      </x:c>
      <x:c r="G17" s="3"/>
      <x:c r="H17" s="3"/>
      <x:c r="I17" s="3"/>
      <x:c r="J17" s="3"/>
      <x:c r="K17" s="3"/>
      <x:c r="L17" s="3"/>
      <x:c r="M17" s="3"/>
    </x:row>
    <x:row r="18" ht="23" customHeight="1">
      <x:c r="A18" s="3"/>
      <x:c r="B18" s="3" t="str">
        <x:f>INDEX('Campaigns'!$B$7:$B$12,MATCH("C001",'Campaigns'!$A$7:$A$12,0))</x:f>
        <x:v>Campaign 1</x:v>
      </x:c>
      <x:c r="C18" s="22" t="n">
        <x:f>INDEX('Campaigns'!$I$7:$I$12,MATCH("C001",'Campaigns'!$A$7:$A$12,0))</x:f>
        <x:v>500.0000000000001</x:v>
      </x:c>
      <x:c r="D18" s="19" t="n">
        <x:f>INDEX('Campaigns'!$N$7:$N$12,MATCH("C001",'Campaigns'!$A$7:$A$12,0))</x:f>
        <x:v>100</x:v>
      </x:c>
      <x:c r="E18" s="22" t="n">
        <x:f>INDEX('Campaigns'!$P$7:$P$12,MATCH("C001",'Campaigns'!$A$7:$A$12,0))</x:f>
        <x:v>4500.000000000001</x:v>
      </x:c>
      <x:c r="F18" s="31" t="n">
        <x:f>INDEX('Campaigns'!$Q$7:$Q$12,MATCH("C001",'Campaigns'!$A$7:$A$12,0))</x:f>
        <x:v>9</x:v>
      </x:c>
      <x:c r="G18" s="3"/>
      <x:c r="H18" s="3"/>
      <x:c r="I18" s="3"/>
      <x:c r="J18" s="3"/>
      <x:c r="K18" s="3"/>
      <x:c r="L18" s="3"/>
      <x:c r="M18" s="3"/>
    </x:row>
    <x:row r="19" ht="23" customHeight="1">
      <x:c r="A19" s="3"/>
      <x:c r="B19" s="3" t="str">
        <x:f>INDEX('Campaigns'!$B$7:$B$12,MATCH("C002",'Campaigns'!$A$7:$A$12,0))</x:f>
        <x:v>Campaign 2</x:v>
      </x:c>
      <x:c r="C19" s="22" t="n">
        <x:f>INDEX('Campaigns'!$I$7:$I$12,MATCH("C002",'Campaigns'!$A$7:$A$12,0))</x:f>
        <x:v>1400</x:v>
      </x:c>
      <x:c r="D19" s="19" t="n">
        <x:f>INDEX('Campaigns'!$N$7:$N$12,MATCH("C002",'Campaigns'!$A$7:$A$12,0))</x:f>
        <x:v>-69.99999999999997</x:v>
      </x:c>
      <x:c r="E19" s="22" t="n">
        <x:f>INDEX('Campaigns'!$P$7:$P$12,MATCH("C002",'Campaigns'!$A$7:$A$12,0))</x:f>
        <x:v>-4899.999999999999</x:v>
      </x:c>
      <x:c r="F19" s="31" t="n">
        <x:f>INDEX('Campaigns'!$Q$7:$Q$12,MATCH("C002",'Campaigns'!$A$7:$A$12,0))</x:f>
        <x:v>-3.4999999999999996</x:v>
      </x:c>
      <x:c r="G19" s="3"/>
      <x:c r="H19" s="3"/>
      <x:c r="I19" s="3"/>
      <x:c r="J19" s="3"/>
      <x:c r="K19" s="3"/>
      <x:c r="L19" s="3"/>
      <x:c r="M19" s="3"/>
    </x:row>
    <x:row r="20" ht="23" customHeight="1">
      <x:c r="A20" s="3"/>
      <x:c r="B20" s="3" t="str">
        <x:f>INDEX('Campaigns'!$B$7:$B$12,MATCH("C003",'Campaigns'!$A$7:$A$12,0))</x:f>
        <x:v>Campaign 3</x:v>
      </x:c>
      <x:c r="C20" s="22" t="n">
        <x:f>INDEX('Campaigns'!$I$7:$I$12,MATCH("C003",'Campaigns'!$A$7:$A$12,0))</x:f>
        <x:v>539.9999999999998</x:v>
      </x:c>
      <x:c r="D20" s="19" t="n">
        <x:f>INDEX('Campaigns'!$N$7:$N$12,MATCH("C003",'Campaigns'!$A$7:$A$12,0))</x:f>
        <x:v>48</x:v>
      </x:c>
      <x:c r="E20" s="22" t="n">
        <x:f>INDEX('Campaigns'!$P$7:$P$12,MATCH("C003",'Campaigns'!$A$7:$A$12,0))</x:f>
        <x:v>1859.9999999999998</x:v>
      </x:c>
      <x:c r="F20" s="31" t="n">
        <x:f>INDEX('Campaigns'!$Q$7:$Q$12,MATCH("C003",'Campaigns'!$A$7:$A$12,0))</x:f>
        <x:v>3.4444444444444455</x:v>
      </x:c>
      <x:c r="G20" s="3"/>
      <x:c r="H20" s="3"/>
      <x:c r="I20" s="3"/>
      <x:c r="J20" s="3"/>
      <x:c r="K20" s="3"/>
      <x:c r="L20" s="3"/>
      <x:c r="M20" s="3"/>
    </x:row>
    <x:row r="21" ht="23" customHeight="1">
      <x:c r="A21" s="3"/>
      <x:c r="B21" s="3" t="str">
        <x:f>INDEX('Campaigns'!$B$7:$B$12,MATCH("C004",'Campaigns'!$A$7:$A$12,0))</x:f>
        <x:v>Campaign 4</x:v>
      </x:c>
      <x:c r="C21" s="22" t="n">
        <x:f>INDEX('Campaigns'!$I$7:$I$12,MATCH("C004",'Campaigns'!$A$7:$A$12,0))</x:f>
        <x:v>739.9999999999998</x:v>
      </x:c>
      <x:c r="D21" s="19" t="n">
        <x:f>INDEX('Campaigns'!$N$7:$N$12,MATCH("C004",'Campaigns'!$A$7:$A$12,0))</x:f>
        <x:v>42.00000000000001</x:v>
      </x:c>
      <x:c r="E21" s="22" t="n">
        <x:f>INDEX('Campaigns'!$P$7:$P$12,MATCH("C004",'Campaigns'!$A$7:$A$12,0))</x:f>
        <x:v>1360.0000000000002</x:v>
      </x:c>
      <x:c r="F21" s="31" t="n">
        <x:f>INDEX('Campaigns'!$Q$7:$Q$12,MATCH("C004",'Campaigns'!$A$7:$A$12,0))</x:f>
        <x:v>1.8378378378378386</x:v>
      </x:c>
      <x:c r="G21" s="3"/>
      <x:c r="H21" s="3"/>
      <x:c r="I21" s="3"/>
      <x:c r="J21" s="3"/>
      <x:c r="K21" s="3"/>
      <x:c r="L21" s="3"/>
      <x:c r="M21" s="3"/>
    </x:row>
    <x:row r="22" ht="23" customHeight="1">
      <x:c r="A22" s="3"/>
      <x:c r="B22" s="3"/>
      <x:c r="C22" s="3"/>
      <x:c r="D22" s="3"/>
      <x:c r="E22" s="3"/>
      <x:c r="F22" s="3"/>
      <x:c r="G22" s="3"/>
      <x:c r="H22" s="3"/>
      <x:c r="I22" s="3"/>
      <x:c r="J22" s="3"/>
      <x:c r="K22" s="3"/>
      <x:c r="L22" s="3"/>
      <x:c r="M22" s="3"/>
    </x:row>
    <x:row r="23" ht="23" customHeight="1">
      <x:c r="A23" s="3"/>
      <x:c r="B23" s="3"/>
      <x:c r="C23" s="3"/>
      <x:c r="D23" s="3"/>
      <x:c r="E23" s="3"/>
      <x:c r="F23" s="3"/>
      <x:c r="G23" s="3"/>
      <x:c r="H23" s="3"/>
      <x:c r="I23" s="3"/>
      <x:c r="J23" s="3"/>
      <x:c r="K23" s="3"/>
      <x:c r="L23" s="3"/>
      <x:c r="M23" s="3"/>
    </x:row>
    <x:row r="24" ht="28" customHeight="1">
      <x:c r="A24" s="3"/>
      <x:c r="B24" s="47" t="str">
        <x:v>Q4. Whole campaign financial results</x:v>
      </x:c>
      <x:c r="C24" s="3"/>
      <x:c r="D24" s="3"/>
      <x:c r="E24" s="3"/>
      <x:c r="F24" s="3"/>
      <x:c r="G24" s="3"/>
      <x:c r="H24" s="3"/>
      <x:c r="I24" s="3"/>
      <x:c r="J24" s="3"/>
      <x:c r="K24" s="3"/>
      <x:c r="L24" s="3"/>
      <x:c r="M24" s="3"/>
    </x:row>
    <x:row r="25" ht="44" customHeight="1">
      <x:c r="A25" s="3"/>
      <x:c r="B25" s="14" t="str">
        <x:v>Campaign</x:v>
      </x:c>
      <x:c r="C25" s="15" t="str">
        <x:v>Revenue</x:v>
      </x:c>
      <x:c r="D25" s="15" t="str">
        <x:v>Other spending</x:v>
      </x:c>
      <x:c r="E25" s="15" t="str">
        <x:v>Labor value</x:v>
      </x:c>
      <x:c r="F25" s="16" t="str">
        <x:v>Profit or loss</x:v>
      </x:c>
      <x:c r="G25" s="3"/>
      <x:c r="H25" s="3"/>
      <x:c r="I25" s="3"/>
      <x:c r="J25" s="3"/>
      <x:c r="K25" s="3"/>
      <x:c r="L25" s="3"/>
      <x:c r="M25" s="3"/>
    </x:row>
    <x:row r="26" ht="23" customHeight="1">
      <x:c r="A26" s="3"/>
      <x:c r="B26" s="3" t="str">
        <x:f>INDEX('Campaigns'!$B$7:$B$12,MATCH("C001",'Campaigns'!$A$7:$A$12,0))</x:f>
        <x:v>Campaign 1</x:v>
      </x:c>
      <x:c r="C26" s="22" t="n">
        <x:f>INDEX('Campaigns'!$Z$7:$Z$12,MATCH("C001",'Campaigns'!$A$7:$A$12,0))</x:f>
        <x:v>25000</x:v>
      </x:c>
      <x:c r="D26" s="22" t="n">
        <x:f>INDEX('Campaigns'!$AA$7:$AA$12,MATCH("C001",'Campaigns'!$A$7:$A$12,0))</x:f>
        <x:v>10000</x:v>
      </x:c>
      <x:c r="E26" s="22" t="n">
        <x:f>INDEX('Campaigns'!$AB$7:$AB$12,MATCH("C001",'Campaigns'!$A$7:$A$12,0))</x:f>
        <x:v>7000</x:v>
      </x:c>
      <x:c r="F26" s="22" t="n">
        <x:f>INDEX('Campaigns'!$AC$7:$AC$12,MATCH("C001",'Campaigns'!$A$7:$A$12,0))</x:f>
        <x:v>7500</x:v>
      </x:c>
      <x:c r="G26" s="3"/>
      <x:c r="H26" s="3"/>
      <x:c r="I26" s="3"/>
      <x:c r="J26" s="3"/>
      <x:c r="K26" s="3"/>
      <x:c r="L26" s="3"/>
      <x:c r="M26" s="3"/>
    </x:row>
    <x:row r="27" ht="23" customHeight="1">
      <x:c r="A27" s="3"/>
      <x:c r="B27" s="3" t="str">
        <x:f>INDEX('Campaigns'!$B$7:$B$12,MATCH("C002",'Campaigns'!$A$7:$A$12,0))</x:f>
        <x:v>Campaign 2</x:v>
      </x:c>
      <x:c r="C27" s="22" t="n">
        <x:f>INDEX('Campaigns'!$Z$7:$Z$12,MATCH("C002",'Campaigns'!$A$7:$A$12,0))</x:f>
        <x:v>20000</x:v>
      </x:c>
      <x:c r="D27" s="22" t="n">
        <x:f>INDEX('Campaigns'!$AA$7:$AA$12,MATCH("C002",'Campaigns'!$A$7:$A$12,0))</x:f>
        <x:v>7500</x:v>
      </x:c>
      <x:c r="E27" s="22" t="n">
        <x:f>INDEX('Campaigns'!$AB$7:$AB$12,MATCH("C002",'Campaigns'!$A$7:$A$12,0))</x:f>
        <x:v>13500</x:v>
      </x:c>
      <x:c r="F27" s="22" t="n">
        <x:f>INDEX('Campaigns'!$AC$7:$AC$12,MATCH("C002",'Campaigns'!$A$7:$A$12,0))</x:f>
        <x:v>-2400</x:v>
      </x:c>
      <x:c r="G27" s="3"/>
      <x:c r="H27" s="3"/>
      <x:c r="I27" s="3"/>
      <x:c r="J27" s="3"/>
      <x:c r="K27" s="3"/>
      <x:c r="L27" s="3"/>
      <x:c r="M27" s="3"/>
    </x:row>
    <x:row r="28" ht="23" customHeight="1">
      <x:c r="A28" s="3"/>
      <x:c r="B28" s="3" t="str">
        <x:f>INDEX('Campaigns'!$B$7:$B$12,MATCH("C003",'Campaigns'!$A$7:$A$12,0))</x:f>
        <x:v>Campaign 3</x:v>
      </x:c>
      <x:c r="C28" s="22" t="n">
        <x:f>INDEX('Campaigns'!$Z$7:$Z$12,MATCH("C003",'Campaigns'!$A$7:$A$12,0))</x:f>
        <x:v>23000</x:v>
      </x:c>
      <x:c r="D28" s="22" t="n">
        <x:f>INDEX('Campaigns'!$AA$7:$AA$12,MATCH("C003",'Campaigns'!$A$7:$A$12,0))</x:f>
        <x:v>9500</x:v>
      </x:c>
      <x:c r="E28" s="22" t="n">
        <x:f>INDEX('Campaigns'!$AB$7:$AB$12,MATCH("C003",'Campaigns'!$A$7:$A$12,0))</x:f>
        <x:v>8599.999999999998</x:v>
      </x:c>
      <x:c r="F28" s="22" t="n">
        <x:f>INDEX('Campaigns'!$AC$7:$AC$12,MATCH("C003",'Campaigns'!$A$7:$A$12,0))</x:f>
        <x:v>4360.000000000002</x:v>
      </x:c>
      <x:c r="G28" s="3"/>
      <x:c r="H28" s="3"/>
      <x:c r="I28" s="3"/>
      <x:c r="J28" s="3"/>
      <x:c r="K28" s="3"/>
      <x:c r="L28" s="3"/>
      <x:c r="M28" s="3"/>
    </x:row>
    <x:row r="29" ht="23" customHeight="1">
      <x:c r="A29" s="3"/>
      <x:c r="B29" s="3" t="str">
        <x:f>INDEX('Campaigns'!$B$7:$B$12,MATCH("C004",'Campaigns'!$A$7:$A$12,0))</x:f>
        <x:v>Campaign 4</x:v>
      </x:c>
      <x:c r="C29" s="22" t="n">
        <x:f>INDEX('Campaigns'!$Z$7:$Z$12,MATCH("C004",'Campaigns'!$A$7:$A$12,0))</x:f>
        <x:v>27000</x:v>
      </x:c>
      <x:c r="D29" s="22" t="n">
        <x:f>INDEX('Campaigns'!$AA$7:$AA$12,MATCH("C004",'Campaigns'!$A$7:$A$12,0))</x:f>
        <x:v>12000</x:v>
      </x:c>
      <x:c r="E29" s="22" t="n">
        <x:f>INDEX('Campaigns'!$AB$7:$AB$12,MATCH("C004",'Campaigns'!$A$7:$A$12,0))</x:f>
        <x:v>10899.999999999998</x:v>
      </x:c>
      <x:c r="F29" s="22" t="n">
        <x:f>INDEX('Campaigns'!$AC$7:$AC$12,MATCH("C004",'Campaigns'!$A$7:$A$12,0))</x:f>
        <x:v>3360.000000000002</x:v>
      </x:c>
      <x:c r="G29" s="3"/>
      <x:c r="H29" s="3"/>
      <x:c r="I29" s="3"/>
      <x:c r="J29" s="3"/>
      <x:c r="K29" s="3"/>
      <x:c r="L29" s="3"/>
      <x:c r="M29" s="3"/>
    </x:row>
    <x:row r="30" ht="23" customHeight="1">
      <x:c r="A30" s="3"/>
      <x:c r="B30" s="3" t="str">
        <x:v>Profit also deducts the AI fees shown above. Net AI value measures a different comparison.</x:v>
      </x:c>
      <x:c r="C30" s="3"/>
      <x:c r="D30" s="3"/>
      <x:c r="E30" s="3"/>
      <x:c r="F30" s="3"/>
      <x:c r="G30" s="3"/>
      <x:c r="H30" s="3"/>
      <x:c r="I30" s="3"/>
      <x:c r="J30" s="3"/>
      <x:c r="K30" s="3"/>
      <x:c r="L30" s="3"/>
      <x:c r="M30" s="3"/>
    </x:row>
    <x:row r="31" ht="23" customHeight="1">
      <x:c r="A31" s="3"/>
      <x:c r="B31" s="3"/>
      <x:c r="C31" s="3"/>
      <x:c r="D31" s="3"/>
      <x:c r="E31" s="3"/>
      <x:c r="F31" s="3"/>
      <x:c r="G31" s="3"/>
      <x:c r="H31" s="3"/>
      <x:c r="I31" s="3"/>
      <x:c r="J31" s="3"/>
      <x:c r="K31" s="3"/>
      <x:c r="L31" s="3"/>
      <x:c r="M31" s="3"/>
    </x:row>
    <x:row r="32" ht="23" customHeight="1">
      <x:c r="A32" s="3"/>
      <x:c r="B32" s="3"/>
      <x:c r="C32" s="3"/>
      <x:c r="D32" s="3"/>
      <x:c r="E32" s="3"/>
      <x:c r="F32" s="3"/>
      <x:c r="G32" s="3"/>
      <x:c r="H32" s="3"/>
      <x:c r="I32" s="3"/>
      <x:c r="J32" s="3"/>
      <x:c r="K32" s="3"/>
      <x:c r="L32" s="3"/>
      <x:c r="M32" s="3"/>
    </x:row>
    <x:row r="33" ht="28" customHeight="1">
      <x:c r="A33" s="3"/>
      <x:c r="B33" s="47" t="str">
        <x:v>Q5. Sensitivity to the estimated baseline</x:v>
      </x:c>
      <x:c r="C33" s="3"/>
      <x:c r="D33" s="3"/>
      <x:c r="E33" s="3"/>
      <x:c r="F33" s="3"/>
      <x:c r="G33" s="3"/>
      <x:c r="H33" s="3"/>
      <x:c r="I33" s="3"/>
      <x:c r="J33" s="3"/>
      <x:c r="K33" s="3"/>
      <x:c r="L33" s="3"/>
      <x:c r="M33" s="3"/>
    </x:row>
    <x:row r="34" ht="44" customHeight="1">
      <x:c r="A34" s="3"/>
      <x:c r="B34" s="14" t="str">
        <x:v>Campaign</x:v>
      </x:c>
      <x:c r="C34" s="15" t="str">
        <x:v>Baseline 20% lower</x:v>
      </x:c>
      <x:c r="D34" s="15" t="str">
        <x:v>Stated baseline</x:v>
      </x:c>
      <x:c r="E34" s="16" t="str">
        <x:v>Baseline 20% higher</x:v>
      </x:c>
      <x:c r="F34" s="3"/>
      <x:c r="G34" s="3"/>
      <x:c r="H34" s="3"/>
      <x:c r="I34" s="3"/>
      <x:c r="J34" s="3"/>
      <x:c r="K34" s="3"/>
      <x:c r="L34" s="3"/>
      <x:c r="M34" s="3"/>
    </x:row>
    <x:row r="35" ht="23" customHeight="1">
      <x:c r="A35" s="3"/>
      <x:c r="B35" s="3" t="str">
        <x:f>INDEX('Campaigns'!$B$7:$B$12,MATCH("C001",'Campaigns'!$A$7:$A$12,0))</x:f>
        <x:v>Campaign 1</x:v>
      </x:c>
      <x:c r="C35" s="22" t="n">
        <x:f>INDEX('Campaigns'!$AD$7:$AD$12,MATCH("C001",'Campaigns'!$A$7:$A$12,0))</x:f>
        <x:v>2100</x:v>
      </x:c>
      <x:c r="D35" s="22" t="n">
        <x:f>INDEX('Campaigns'!$P$7:$P$12,MATCH("C001",'Campaigns'!$A$7:$A$12,0))</x:f>
        <x:v>4500.000000000001</x:v>
      </x:c>
      <x:c r="E35" s="22" t="n">
        <x:f>INDEX('Campaigns'!$AE$7:$AE$12,MATCH("C001",'Campaigns'!$A$7:$A$12,0))</x:f>
        <x:v>6900</x:v>
      </x:c>
      <x:c r="F35" s="3"/>
      <x:c r="G35" s="3"/>
      <x:c r="H35" s="3"/>
      <x:c r="I35" s="3"/>
      <x:c r="J35" s="3"/>
      <x:c r="K35" s="3"/>
      <x:c r="L35" s="3"/>
      <x:c r="M35" s="3"/>
    </x:row>
    <x:row r="36" ht="23" customHeight="1">
      <x:c r="A36" s="3"/>
      <x:c r="B36" s="3" t="str">
        <x:f>INDEX('Campaigns'!$B$7:$B$12,MATCH("C002",'Campaigns'!$A$7:$A$12,0))</x:f>
        <x:v>Campaign 2</x:v>
      </x:c>
      <x:c r="C36" s="22" t="n">
        <x:f>INDEX('Campaigns'!$AD$7:$AD$12,MATCH("C002",'Campaigns'!$A$7:$A$12,0))</x:f>
        <x:v>-6900</x:v>
      </x:c>
      <x:c r="D36" s="22" t="n">
        <x:f>INDEX('Campaigns'!$P$7:$P$12,MATCH("C002",'Campaigns'!$A$7:$A$12,0))</x:f>
        <x:v>-4899.999999999999</x:v>
      </x:c>
      <x:c r="E36" s="22" t="n">
        <x:f>INDEX('Campaigns'!$AE$7:$AE$12,MATCH("C002",'Campaigns'!$A$7:$A$12,0))</x:f>
        <x:v>-2900</x:v>
      </x:c>
      <x:c r="F36" s="3"/>
      <x:c r="G36" s="3"/>
      <x:c r="H36" s="3"/>
      <x:c r="I36" s="3"/>
      <x:c r="J36" s="3"/>
      <x:c r="K36" s="3"/>
      <x:c r="L36" s="3"/>
      <x:c r="M36" s="3"/>
    </x:row>
    <x:row r="37" ht="23" customHeight="1">
      <x:c r="A37" s="3"/>
      <x:c r="B37" s="3" t="str">
        <x:f>INDEX('Campaigns'!$B$7:$B$12,MATCH("C003",'Campaigns'!$A$7:$A$12,0))</x:f>
        <x:v>Campaign 3</x:v>
      </x:c>
      <x:c r="C37" s="22" t="n">
        <x:f>INDEX('Campaigns'!$AD$7:$AD$12,MATCH("C003",'Campaigns'!$A$7:$A$12,0))</x:f>
        <x:v>-339.9999999999955</x:v>
      </x:c>
      <x:c r="D37" s="22" t="n">
        <x:f>INDEX('Campaigns'!$P$7:$P$12,MATCH("C003",'Campaigns'!$A$7:$A$12,0))</x:f>
        <x:v>1859.9999999999998</x:v>
      </x:c>
      <x:c r="E37" s="22" t="n">
        <x:f>INDEX('Campaigns'!$AE$7:$AE$12,MATCH("C003",'Campaigns'!$A$7:$A$12,0))</x:f>
        <x:v>4060.0000000000045</x:v>
      </x:c>
      <x:c r="F37" s="3"/>
      <x:c r="G37" s="3"/>
      <x:c r="H37" s="3"/>
      <x:c r="I37" s="3"/>
      <x:c r="J37" s="3"/>
      <x:c r="K37" s="3"/>
      <x:c r="L37" s="3"/>
      <x:c r="M37" s="3"/>
    </x:row>
    <x:row r="38" ht="23" customHeight="1">
      <x:c r="A38" s="3"/>
      <x:c r="B38" s="3" t="str">
        <x:f>INDEX('Campaigns'!$B$7:$B$12,MATCH("C004",'Campaigns'!$A$7:$A$12,0))</x:f>
        <x:v>Campaign 4</x:v>
      </x:c>
      <x:c r="C38" s="22" t="n">
        <x:f>INDEX('Campaigns'!$AD$7:$AD$12,MATCH("C004",'Campaigns'!$A$7:$A$12,0))</x:f>
        <x:v>-1239.9999999999984</x:v>
      </x:c>
      <x:c r="D38" s="22" t="n">
        <x:f>INDEX('Campaigns'!$P$7:$P$12,MATCH("C004",'Campaigns'!$A$7:$A$12,0))</x:f>
        <x:v>1360.0000000000002</x:v>
      </x:c>
      <x:c r="E38" s="22" t="n">
        <x:f>INDEX('Campaigns'!$AE$7:$AE$12,MATCH("C004",'Campaigns'!$A$7:$A$12,0))</x:f>
        <x:v>3960.000000000002</x:v>
      </x:c>
      <x:c r="F38" s="3"/>
      <x:c r="G38" s="3"/>
      <x:c r="H38" s="3"/>
      <x:c r="I38" s="3"/>
      <x:c r="J38" s="3"/>
      <x:c r="K38" s="3"/>
      <x:c r="L38" s="3"/>
      <x:c r="M38" s="3"/>
    </x:row>
    <x:row r="39" ht="23" customHeight="1">
      <x:c r="A39" s="3"/>
      <x:c r="B39" s="3"/>
      <x:c r="C39" s="3"/>
      <x:c r="D39" s="3"/>
      <x:c r="E39" s="3"/>
      <x:c r="F39" s="3"/>
      <x:c r="G39" s="3"/>
      <x:c r="H39" s="3"/>
      <x:c r="I39" s="3"/>
      <x:c r="J39" s="3"/>
      <x:c r="K39" s="3"/>
      <x:c r="L39" s="3"/>
      <x:c r="M39" s="3"/>
    </x:row>
    <x:row r="40" ht="23" customHeight="1">
      <x:c r="A40" s="3"/>
      <x:c r="B40" s="3" t="str">
        <x:v>At the supplied $50 rate, C001 remains positive and C002 remains negative in all three cases.</x:v>
      </x:c>
      <x:c r="C40" s="3"/>
      <x:c r="D40" s="3"/>
      <x:c r="E40" s="3"/>
      <x:c r="F40" s="3"/>
      <x:c r="G40" s="3"/>
      <x:c r="H40" s="3"/>
      <x:c r="I40" s="3"/>
      <x:c r="J40" s="3"/>
      <x:c r="K40" s="3"/>
      <x:c r="L40" s="3"/>
      <x:c r="M40" s="3"/>
    </x:row>
    <x:row r="41" ht="23" customHeight="1">
      <x:c r="A41" s="3"/>
      <x:c r="B41" s="3" t="str">
        <x:v>C003 and C004 change sign. At the lower baseline, company net AI value falls to a $6,380 loss.</x:v>
      </x:c>
      <x:c r="C41" s="3"/>
      <x:c r="D41" s="3"/>
      <x:c r="E41" s="3"/>
      <x:c r="F41" s="3"/>
      <x:c r="G41" s="3"/>
      <x:c r="H41" s="3"/>
      <x:c r="I41" s="3"/>
      <x:c r="J41" s="3"/>
      <x:c r="K41" s="3"/>
      <x:c r="L41" s="3"/>
      <x:c r="M41" s="3"/>
    </x:row>
    <x:row r="42" ht="23" customHeight="1">
      <x:c r="A42" s="3"/>
      <x:c r="B42" s="3" t="str">
        <x:v>Whole campaign profit does not use baseline hours and remains unchanged by this test.</x:v>
      </x:c>
      <x:c r="C42" s="3"/>
      <x:c r="D42" s="3"/>
      <x:c r="E42" s="3"/>
      <x:c r="F42" s="3"/>
      <x:c r="G42" s="3"/>
      <x:c r="H42" s="3"/>
      <x:c r="I42" s="3"/>
      <x:c r="J42" s="3"/>
      <x:c r="K42" s="3"/>
      <x:c r="L42" s="3"/>
      <x:c r="M42" s="3"/>
    </x:row>
    <x:row r="43" ht="23" customHeight="1">
      <x:c r="A43" s="3"/>
      <x:c r="B43" s="3"/>
      <x:c r="C43" s="3"/>
      <x:c r="D43" s="3"/>
      <x:c r="E43" s="3"/>
      <x:c r="F43" s="3"/>
      <x:c r="G43" s="3"/>
      <x:c r="H43" s="3"/>
      <x:c r="I43" s="3"/>
      <x:c r="J43" s="3"/>
      <x:c r="K43" s="3"/>
      <x:c r="L43" s="3"/>
      <x:c r="M43" s="3"/>
    </x:row>
    <x:row r="44" ht="28" customHeight="1">
      <x:c r="A44" s="3"/>
      <x:c r="B44" s="47" t="str">
        <x:v>Q2. Why do the focal campaigns spend differently?</x:v>
      </x:c>
      <x:c r="C44" s="3"/>
      <x:c r="D44" s="3"/>
      <x:c r="E44" s="3"/>
      <x:c r="F44" s="3"/>
      <x:c r="G44" s="3"/>
      <x:c r="H44" s="3"/>
      <x:c r="I44" s="3"/>
      <x:c r="J44" s="3"/>
      <x:c r="K44" s="3"/>
      <x:c r="L44" s="3"/>
      <x:c r="M44" s="3"/>
    </x:row>
    <x:row r="45" ht="44" customHeight="1">
      <x:c r="A45" s="3"/>
      <x:c r="B45" s="14" t="str">
        <x:v>Metric</x:v>
      </x:c>
      <x:c r="C45" s="15" t="str">
        <x:v>Campaign 1</x:v>
      </x:c>
      <x:c r="D45" s="16" t="str">
        <x:v>Campaign 2</x:v>
      </x:c>
      <x:c r="E45" s="3"/>
      <x:c r="F45" s="3"/>
      <x:c r="G45" s="3"/>
      <x:c r="H45" s="3"/>
      <x:c r="I45" s="3"/>
      <x:c r="J45" s="3"/>
      <x:c r="K45" s="3"/>
      <x:c r="L45" s="3"/>
      <x:c r="M45" s="3"/>
    </x:row>
    <x:row r="46" ht="23" customHeight="1">
      <x:c r="A46" s="3"/>
      <x:c r="B46" s="3" t="str">
        <x:v>Pro model tasks</x:v>
      </x:c>
      <x:c r="C46" s="17" t="n">
        <x:f>SUMIFS('Mix'!$D$7:$D$46,'Mix'!$A$7:$A$46,"C001",'Mix'!$B$7:$B$46,"model",'Mix'!$C$7:$C$46,"Pro")</x:f>
        <x:v>12</x:v>
      </x:c>
      <x:c r="D46" s="17" t="n">
        <x:f>SUMIFS('Mix'!$D$7:$D$46,'Mix'!$A$7:$A$46,"C002",'Mix'!$B$7:$B$46,"model",'Mix'!$C$7:$C$46,"Pro")</x:f>
        <x:v>30</x:v>
      </x:c>
      <x:c r="E46" s="3"/>
      <x:c r="F46" s="3" t="str">
        <x:v>C002 used twice as many prompts and more Pro tokens.</x:v>
      </x:c>
      <x:c r="G46" s="3"/>
      <x:c r="H46" s="3"/>
      <x:c r="I46" s="3"/>
      <x:c r="J46" s="3"/>
      <x:c r="K46" s="3"/>
      <x:c r="L46" s="3"/>
      <x:c r="M46" s="3"/>
    </x:row>
    <x:row r="47" ht="23" customHeight="1">
      <x:c r="A47" s="3"/>
      <x:c r="B47" s="3" t="str">
        <x:v>Pro model tokens</x:v>
      </x:c>
      <x:c r="C47" s="17" t="n">
        <x:f>SUMIFS('Mix'!$G$7:$G$46,'Mix'!$A$7:$A$46,"C001",'Mix'!$B$7:$B$46,"model",'Mix'!$C$7:$C$46,"Pro")</x:f>
        <x:v>3000000</x:v>
      </x:c>
      <x:c r="D47" s="17" t="n">
        <x:f>SUMIFS('Mix'!$G$7:$G$46,'Mix'!$A$7:$A$46,"C002",'Mix'!$B$7:$B$46,"model",'Mix'!$C$7:$C$46,"Pro")</x:f>
        <x:v>18000000</x:v>
      </x:c>
      <x:c r="E47" s="3"/>
      <x:c r="F47" s="3" t="str">
        <x:v>Lite spending was equal. Pro spending explains the $900 gap.</x:v>
      </x:c>
      <x:c r="G47" s="3"/>
      <x:c r="H47" s="3"/>
      <x:c r="I47" s="3"/>
      <x:c r="J47" s="3"/>
      <x:c r="K47" s="3"/>
      <x:c r="L47" s="3"/>
      <x:c r="M47" s="3"/>
    </x:row>
    <x:row r="48" ht="23" customHeight="1">
      <x:c r="A48" s="3"/>
      <x:c r="B48" s="3" t="str">
        <x:v>Pro model spending</x:v>
      </x:c>
      <x:c r="C48" s="22" t="n">
        <x:f>SUMIFS('Mix'!$J$7:$J$46,'Mix'!$A$7:$A$46,"C001",'Mix'!$B$7:$B$46,"model",'Mix'!$C$7:$C$46,"Pro")</x:f>
        <x:v>180.00000000000003</x:v>
      </x:c>
      <x:c r="D48" s="22" t="n">
        <x:f>SUMIFS('Mix'!$J$7:$J$46,'Mix'!$A$7:$A$46,"C002",'Mix'!$B$7:$B$46,"model",'Mix'!$C$7:$C$46,"Pro")</x:f>
        <x:v>1079.9999999999998</x:v>
      </x:c>
      <x:c r="E48" s="3"/>
      <x:c r="F48" s="3" t="str">
        <x:v>All four products show negative net value in C002.</x:v>
      </x:c>
      <x:c r="G48" s="3"/>
      <x:c r="H48" s="3"/>
      <x:c r="I48" s="3"/>
      <x:c r="J48" s="3"/>
      <x:c r="K48" s="3"/>
      <x:c r="L48" s="3"/>
      <x:c r="M48" s="3"/>
    </x:row>
    <x:row r="49" ht="23" customHeight="1">
      <x:c r="A49" s="3"/>
      <x:c r="B49" s="3" t="str">
        <x:v>Lite model spending</x:v>
      </x:c>
      <x:c r="C49" s="22" t="n">
        <x:f>SUMIFS('Mix'!$J$7:$J$46,'Mix'!$A$7:$A$46,"C001",'Mix'!$B$7:$B$46,"model",'Mix'!$C$7:$C$46,"Lite")</x:f>
        <x:v>320.0000000000001</x:v>
      </x:c>
      <x:c r="D49" s="22" t="n">
        <x:f>SUMIFS('Mix'!$J$7:$J$46,'Mix'!$A$7:$A$46,"C002",'Mix'!$B$7:$B$46,"model",'Mix'!$C$7:$C$46,"Lite")</x:f>
        <x:v>319.99999999999994</x:v>
      </x:c>
      <x:c r="E49" s="3"/>
      <x:c r="F49" s="3" t="str">
        <x:v>Mix provides every product, model and department result.</x:v>
      </x:c>
      <x:c r="G49" s="3"/>
      <x:c r="H49" s="3"/>
      <x:c r="I49" s="3"/>
      <x:c r="J49" s="3"/>
      <x:c r="K49" s="3"/>
      <x:c r="L49" s="3"/>
      <x:c r="M49" s="3"/>
    </x:row>
    <x:row r="50" ht="23" customHeight="1">
      <x:c r="A50" s="3"/>
      <x:c r="B50" s="3"/>
      <x:c r="C50" s="3"/>
      <x:c r="D50" s="3"/>
      <x:c r="E50" s="3"/>
      <x:c r="F50" s="3"/>
      <x:c r="G50" s="3"/>
      <x:c r="H50" s="3"/>
      <x:c r="I50" s="3"/>
      <x:c r="J50" s="3"/>
      <x:c r="K50" s="3"/>
      <x:c r="L50" s="3"/>
      <x:c r="M50" s="3"/>
    </x:row>
    <x:row r="51" ht="23" customHeight="1">
      <x:c r="A51" s="3"/>
      <x:c r="B51" s="3"/>
      <x:c r="C51" s="3"/>
      <x:c r="D51" s="3"/>
      <x:c r="E51" s="3"/>
      <x:c r="F51" s="3"/>
      <x:c r="G51" s="3"/>
      <x:c r="H51" s="3"/>
      <x:c r="I51" s="3"/>
      <x:c r="J51" s="3"/>
      <x:c r="K51" s="3"/>
      <x:c r="L51" s="3"/>
      <x:c r="M51" s="3"/>
    </x:row>
    <x:row r="52" ht="28" customHeight="1">
      <x:c r="A52" s="3"/>
      <x:c r="B52" s="47" t="str">
        <x:v>Q3. Similar task types and workflow observations</x:v>
      </x:c>
      <x:c r="C52" s="3"/>
      <x:c r="D52" s="3"/>
      <x:c r="E52" s="3"/>
      <x:c r="F52" s="3"/>
      <x:c r="G52" s="3"/>
      <x:c r="H52" s="3"/>
      <x:c r="I52" s="3"/>
      <x:c r="J52" s="3"/>
      <x:c r="K52" s="3"/>
      <x:c r="L52" s="3"/>
      <x:c r="M52" s="3"/>
    </x:row>
    <x:row r="53" ht="23" customHeight="1">
      <x:c r="A53" s="3"/>
      <x:c r="B53" s="3" t="str">
        <x:v>C002, Draft email sequence. Template and changed brief groups overlap.</x:v>
      </x:c>
      <x:c r="C53" s="3"/>
      <x:c r="D53" s="3"/>
      <x:c r="E53" s="3"/>
      <x:c r="F53" s="3"/>
      <x:c r="G53" s="3"/>
      <x:c r="H53" s="3"/>
      <x:c r="I53" s="3"/>
      <x:c r="J53" s="3"/>
      <x:c r="K53" s="3"/>
      <x:c r="L53" s="3"/>
      <x:c r="M53" s="3"/>
    </x:row>
    <x:row r="54" ht="44" customHeight="1">
      <x:c r="A54" s="3"/>
      <x:c r="B54" s="14" t="str">
        <x:v>Observation</x:v>
      </x:c>
      <x:c r="C54" s="15" t="str">
        <x:v>Tasks</x:v>
      </x:c>
      <x:c r="D54" s="15" t="str">
        <x:v>Rework share</x:v>
      </x:c>
      <x:c r="E54" s="16" t="str">
        <x:v>Corrections per task</x:v>
      </x:c>
      <x:c r="F54" s="3"/>
      <x:c r="G54" s="3"/>
      <x:c r="H54" s="3"/>
      <x:c r="I54" s="3"/>
      <x:c r="J54" s="3"/>
      <x:c r="K54" s="3"/>
      <x:c r="L54" s="3"/>
      <x:c r="M54" s="3"/>
    </x:row>
    <x:row r="55" ht="23" customHeight="1">
      <x:c r="A55" s="3"/>
      <x:c r="B55" s="3" t="str">
        <x:v>Template used</x:v>
      </x:c>
      <x:c r="C55" s="17" t="n">
        <x:f>SUMIFS('Workflow'!$E$7:$E$186,'Workflow'!$A$7:$A$186,"C002",'Workflow'!$B$7:$B$186,"Draft email sequence",'Workflow'!$C$7:$C$186,"prompt_template_used",'Workflow'!$D$7:$D$186,"Yes")</x:f>
        <x:v>3</x:v>
      </x:c>
      <x:c r="D55" s="31" t="n">
        <x:f>SUMIFS('Workflow'!$U$7:$U$186,'Workflow'!$A$7:$A$186,"C002",'Workflow'!$B$7:$B$186,"Draft email sequence",'Workflow'!$C$7:$C$186,"prompt_template_used",'Workflow'!$D$7:$D$186,"Yes")</x:f>
        <x:v>0.25738916256157635</x:v>
      </x:c>
      <x:c r="E55" s="19" t="n">
        <x:f>SUMIFS('Workflow'!$AB$7:$AB$186,'Workflow'!$A$7:$A$186,"C002",'Workflow'!$B$7:$B$186,"Draft email sequence",'Workflow'!$C$7:$C$186,"prompt_template_used",'Workflow'!$D$7:$D$186,"Yes")</x:f>
        <x:v>5.666666666666667</x:v>
      </x:c>
      <x:c r="F55" s="3"/>
      <x:c r="G55" s="3" t="str">
        <x:v>Only five tasks are represented in this example.</x:v>
      </x:c>
      <x:c r="H55" s="3"/>
      <x:c r="I55" s="3"/>
      <x:c r="J55" s="3"/>
      <x:c r="K55" s="3"/>
      <x:c r="L55" s="3"/>
      <x:c r="M55" s="3"/>
    </x:row>
    <x:row r="56" ht="23" customHeight="1">
      <x:c r="A56" s="3"/>
      <x:c r="B56" s="3" t="str">
        <x:v>No template</x:v>
      </x:c>
      <x:c r="C56" s="17" t="n">
        <x:f>SUMIFS('Workflow'!$E$7:$E$186,'Workflow'!$A$7:$A$186,"C002",'Workflow'!$B$7:$B$186,"Draft email sequence",'Workflow'!$C$7:$C$186,"prompt_template_used",'Workflow'!$D$7:$D$186,"No")</x:f>
        <x:v>2</x:v>
      </x:c>
      <x:c r="D56" s="31" t="n">
        <x:f>SUMIFS('Workflow'!$U$7:$U$186,'Workflow'!$A$7:$A$186,"C002",'Workflow'!$B$7:$B$186,"Draft email sequence",'Workflow'!$C$7:$C$186,"prompt_template_used",'Workflow'!$D$7:$D$186,"No")</x:f>
        <x:v>0.3043478260869566</x:v>
      </x:c>
      <x:c r="E56" s="19" t="n">
        <x:f>SUMIFS('Workflow'!$AB$7:$AB$186,'Workflow'!$A$7:$A$186,"C002",'Workflow'!$B$7:$B$186,"Draft email sequence",'Workflow'!$C$7:$C$186,"prompt_template_used",'Workflow'!$D$7:$D$186,"No")</x:f>
        <x:v>13</x:v>
      </x:c>
      <x:c r="F56" s="3"/>
      <x:c r="G56" s="3" t="str">
        <x:v>Template use coincides with less rework and fewer corrections.</x:v>
      </x:c>
      <x:c r="H56" s="3"/>
      <x:c r="I56" s="3"/>
      <x:c r="J56" s="3"/>
      <x:c r="K56" s="3"/>
      <x:c r="L56" s="3"/>
      <x:c r="M56" s="3"/>
    </x:row>
    <x:row r="57" ht="23" customHeight="1">
      <x:c r="A57" s="3"/>
      <x:c r="B57" s="3" t="str">
        <x:v>Brief changed</x:v>
      </x:c>
      <x:c r="C57" s="17" t="n">
        <x:f>SUMIFS('Workflow'!$E$7:$E$186,'Workflow'!$A$7:$A$186,"C002",'Workflow'!$B$7:$B$186,"Draft email sequence",'Workflow'!$C$7:$C$186,"brief_changed",'Workflow'!$D$7:$D$186,"Yes")</x:f>
        <x:v>3</x:v>
      </x:c>
      <x:c r="D57" s="31" t="n">
        <x:f>SUMIFS('Workflow'!$U$7:$U$186,'Workflow'!$A$7:$A$186,"C002",'Workflow'!$B$7:$B$186,"Draft email sequence",'Workflow'!$C$7:$C$186,"brief_changed",'Workflow'!$D$7:$D$186,"Yes")</x:f>
        <x:v>0.31020408163265306</x:v>
      </x:c>
      <x:c r="E57" s="19" t="n">
        <x:f>SUMIFS('Workflow'!$AB$7:$AB$186,'Workflow'!$A$7:$A$186,"C002",'Workflow'!$B$7:$B$186,"Draft email sequence",'Workflow'!$C$7:$C$186,"brief_changed",'Workflow'!$D$7:$D$186,"Yes")</x:f>
        <x:v>11</x:v>
      </x:c>
      <x:c r="F57" s="3"/>
      <x:c r="G57" s="3" t="str">
        <x:v>Changed briefs coincide with more rework and corrections.</x:v>
      </x:c>
      <x:c r="H57" s="3"/>
      <x:c r="I57" s="3"/>
      <x:c r="J57" s="3"/>
      <x:c r="K57" s="3"/>
      <x:c r="L57" s="3"/>
      <x:c r="M57" s="3"/>
    </x:row>
    <x:row r="58" ht="23" customHeight="1">
      <x:c r="A58" s="3"/>
      <x:c r="B58" s="3" t="str">
        <x:v>Brief unchanged</x:v>
      </x:c>
      <x:c r="C58" s="17" t="n">
        <x:f>SUMIFS('Workflow'!$E$7:$E$186,'Workflow'!$A$7:$A$186,"C002",'Workflow'!$B$7:$B$186,"Draft email sequence",'Workflow'!$C$7:$C$186,"brief_changed",'Workflow'!$D$7:$D$186,"No")</x:f>
        <x:v>2</x:v>
      </x:c>
      <x:c r="D58" s="31" t="n">
        <x:f>SUMIFS('Workflow'!$U$7:$U$186,'Workflow'!$A$7:$A$186,"C002",'Workflow'!$B$7:$B$186,"Draft email sequence",'Workflow'!$C$7:$C$186,"brief_changed",'Workflow'!$D$7:$D$186,"No")</x:f>
        <x:v>0.2089887640449438</x:v>
      </x:c>
      <x:c r="E58" s="19" t="n">
        <x:f>SUMIFS('Workflow'!$AB$7:$AB$186,'Workflow'!$A$7:$A$186,"C002",'Workflow'!$B$7:$B$186,"Draft email sequence",'Workflow'!$C$7:$C$186,"brief_changed",'Workflow'!$D$7:$D$186,"No")</x:f>
        <x:v>5</x:v>
      </x:c>
      <x:c r="F58" s="3"/>
      <x:c r="G58" s="3" t="str">
        <x:v>These associations do not isolate a causal effect.</x:v>
      </x:c>
      <x:c r="H58" s="3"/>
      <x:c r="I58" s="3"/>
      <x:c r="J58" s="3"/>
      <x:c r="K58" s="3"/>
      <x:c r="L58" s="3"/>
      <x:c r="M58" s="3"/>
    </x:row>
    <x:row r="59" ht="23" customHeight="1">
      <x:c r="A59" s="3"/>
      <x:c r="B59" s="3"/>
      <x:c r="C59" s="3"/>
      <x:c r="D59" s="3"/>
      <x:c r="E59" s="3"/>
      <x:c r="F59" s="3"/>
      <x:c r="G59" s="3"/>
      <x:c r="H59" s="3"/>
      <x:c r="I59" s="3"/>
      <x:c r="J59" s="3"/>
      <x:c r="K59" s="3"/>
      <x:c r="L59" s="3"/>
      <x:c r="M59" s="3"/>
    </x:row>
    <x:row r="60" ht="23" customHeight="1">
      <x:c r="A60" s="3"/>
      <x:c r="B60" s="3"/>
      <x:c r="C60" s="3"/>
      <x:c r="D60" s="3"/>
      <x:c r="E60" s="3"/>
      <x:c r="F60" s="3"/>
      <x:c r="G60" s="3"/>
      <x:c r="H60" s="3"/>
      <x:c r="I60" s="3"/>
      <x:c r="J60" s="3"/>
      <x:c r="K60" s="3"/>
      <x:c r="L60" s="3"/>
      <x:c r="M60" s="3"/>
    </x:row>
    <x:row r="61" ht="28" customHeight="1">
      <x:c r="A61" s="3"/>
      <x:c r="B61" s="47" t="str">
        <x:v>Q6. Recommendations from the supplied case</x:v>
      </x:c>
      <x:c r="C61" s="3"/>
      <x:c r="D61" s="3"/>
      <x:c r="E61" s="3"/>
      <x:c r="F61" s="3"/>
      <x:c r="G61" s="3"/>
      <x:c r="H61" s="3"/>
      <x:c r="I61" s="3"/>
      <x:c r="J61" s="3"/>
      <x:c r="K61" s="3"/>
      <x:c r="L61" s="3"/>
      <x:c r="M61" s="3"/>
    </x:row>
    <x:row r="62" ht="23" customHeight="1">
      <x:c r="A62" s="3"/>
      <x:c r="B62" s="3"/>
      <x:c r="C62" s="3"/>
      <x:c r="D62" s="3"/>
      <x:c r="E62" s="3"/>
      <x:c r="F62" s="3"/>
      <x:c r="G62" s="3"/>
      <x:c r="H62" s="3"/>
      <x:c r="I62" s="3"/>
      <x:c r="J62" s="3"/>
      <x:c r="K62" s="3"/>
      <x:c r="L62" s="3"/>
      <x:c r="M62" s="3"/>
    </x:row>
    <x:row r="63" ht="23" customHeight="1">
      <x:c r="A63" s="3"/>
      <x:c r="B63" s="3" t="str">
        <x:v>1. Retain the successful Campaign 1 workflow and document its preparation and review process.</x:v>
      </x:c>
      <x:c r="C63" s="3"/>
      <x:c r="D63" s="3"/>
      <x:c r="E63" s="3"/>
      <x:c r="F63" s="3"/>
      <x:c r="G63" s="3"/>
      <x:c r="H63" s="3"/>
      <x:c r="I63" s="3"/>
      <x:c r="J63" s="3"/>
      <x:c r="K63" s="3"/>
      <x:c r="L63" s="3"/>
      <x:c r="M63" s="3"/>
    </x:row>
    <x:row r="64" ht="23" customHeight="1">
      <x:c r="A64" s="3"/>
      <x:c r="B64" s="3" t="str">
        <x:v>It saves 100 estimated hours and returns $4,500 after AI fees. Recheck acceptable quality and actual</x:v>
      </x:c>
      <x:c r="C64" s="3"/>
      <x:c r="D64" s="3"/>
      <x:c r="E64" s="3"/>
      <x:c r="F64" s="3"/>
      <x:c r="G64" s="3"/>
      <x:c r="H64" s="3"/>
      <x:c r="I64" s="3"/>
      <x:c r="J64" s="3"/>
      <x:c r="K64" s="3"/>
      <x:c r="L64" s="3"/>
      <x:c r="M64" s="3"/>
    </x:row>
    <x:row r="65" ht="23" customHeight="1">
      <x:c r="A65" s="3"/>
      <x:c r="B65" s="3" t="str">
        <x:v>effort on comparable future tasks. The no AI baseline is an estimate, not a measured counterfactual.</x:v>
      </x:c>
      <x:c r="C65" s="3"/>
      <x:c r="D65" s="3"/>
      <x:c r="E65" s="3"/>
      <x:c r="F65" s="3"/>
      <x:c r="G65" s="3"/>
      <x:c r="H65" s="3"/>
      <x:c r="I65" s="3"/>
      <x:c r="J65" s="3"/>
      <x:c r="K65" s="3"/>
      <x:c r="L65" s="3"/>
      <x:c r="M65" s="3"/>
    </x:row>
    <x:row r="66" ht="23" customHeight="1">
      <x:c r="A66" s="3"/>
      <x:c r="B66" s="3" t="str"/>
      <x:c r="C66" s="3"/>
      <x:c r="D66" s="3"/>
      <x:c r="E66" s="3"/>
      <x:c r="F66" s="3"/>
      <x:c r="G66" s="3"/>
      <x:c r="H66" s="3"/>
      <x:c r="I66" s="3"/>
      <x:c r="J66" s="3"/>
      <x:c r="K66" s="3"/>
      <x:c r="L66" s="3"/>
      <x:c r="M66" s="3"/>
    </x:row>
    <x:row r="67" ht="23" customHeight="1">
      <x:c r="A67" s="3"/>
      <x:c r="B67" s="3" t="str">
        <x:v>2. Narrow Campaign 2 use while investigating changed briefs, corrections and model selection.</x:v>
      </x:c>
      <x:c r="C67" s="3"/>
      <x:c r="D67" s="3"/>
      <x:c r="E67" s="3"/>
      <x:c r="F67" s="3"/>
      <x:c r="G67" s="3"/>
      <x:c r="H67" s="3"/>
      <x:c r="I67" s="3"/>
      <x:c r="J67" s="3"/>
      <x:c r="K67" s="3"/>
      <x:c r="L67" s="3"/>
      <x:c r="M67" s="3"/>
    </x:row>
    <x:row r="68" ht="23" customHeight="1">
      <x:c r="A68" s="3"/>
      <x:c r="B68" s="3" t="str">
        <x:v>Its 1,200 prompts cost $1,400, yet actual effort exceeds the baseline by 70 hours. Review Pro usage</x:v>
      </x:c>
      <x:c r="C68" s="3"/>
      <x:c r="D68" s="3"/>
      <x:c r="E68" s="3"/>
      <x:c r="F68" s="3"/>
      <x:c r="G68" s="3"/>
      <x:c r="H68" s="3"/>
      <x:c r="I68" s="3"/>
      <x:c r="J68" s="3"/>
      <x:c r="K68" s="3"/>
      <x:c r="L68" s="3"/>
      <x:c r="M68" s="3"/>
    </x:row>
    <x:row r="69" ht="23" customHeight="1">
      <x:c r="A69" s="3"/>
      <x:c r="B69" s="3" t="str">
        <x:v>and establish a brief approval checkpoint. Model prices and repeat prompts both affect spending.</x:v>
      </x:c>
      <x:c r="C69" s="3"/>
      <x:c r="D69" s="3"/>
      <x:c r="E69" s="3"/>
      <x:c r="F69" s="3"/>
      <x:c r="G69" s="3"/>
      <x:c r="H69" s="3"/>
      <x:c r="I69" s="3"/>
      <x:c r="J69" s="3"/>
      <x:c r="K69" s="3"/>
      <x:c r="L69" s="3"/>
      <x:c r="M69" s="3"/>
    </x:row>
    <x:row r="70" ht="23" customHeight="1">
      <x:c r="A70" s="3"/>
      <x:c r="B70" s="3" t="str"/>
      <x:c r="C70" s="3"/>
      <x:c r="D70" s="3"/>
      <x:c r="E70" s="3"/>
      <x:c r="F70" s="3"/>
      <x:c r="G70" s="3"/>
      <x:c r="H70" s="3"/>
      <x:c r="I70" s="3"/>
      <x:c r="J70" s="3"/>
      <x:c r="K70" s="3"/>
      <x:c r="L70" s="3"/>
      <x:c r="M70" s="3"/>
    </x:row>
    <x:row r="71" ht="23" customHeight="1">
      <x:c r="A71" s="3"/>
      <x:c r="B71" s="3" t="str">
        <x:v>3. Test templates within comparable task types and track rework, corrections and net value.</x:v>
      </x:c>
      <x:c r="C71" s="3"/>
      <x:c r="D71" s="3"/>
      <x:c r="E71" s="3"/>
      <x:c r="F71" s="3"/>
      <x:c r="G71" s="3"/>
      <x:c r="H71" s="3"/>
      <x:c r="I71" s="3"/>
      <x:c r="J71" s="3"/>
      <x:c r="K71" s="3"/>
      <x:c r="L71" s="3"/>
      <x:c r="M71" s="3"/>
    </x:row>
    <x:row r="72" ht="23" customHeight="1">
      <x:c r="A72" s="3"/>
      <x:c r="B72" s="3" t="str">
        <x:v>The five task email example supports investigation, but its small overlapping groups cannot prove</x:v>
      </x:c>
      <x:c r="C72" s="3"/>
      <x:c r="D72" s="3"/>
      <x:c r="E72" s="3"/>
      <x:c r="F72" s="3"/>
      <x:c r="G72" s="3"/>
      <x:c r="H72" s="3"/>
      <x:c r="I72" s="3"/>
      <x:c r="J72" s="3"/>
      <x:c r="K72" s="3"/>
      <x:c r="L72" s="3"/>
      <x:c r="M72" s="3"/>
    </x:row>
    <x:row r="73" ht="23" customHeight="1">
      <x:c r="A73" s="3"/>
      <x:c r="B73" s="3" t="str">
        <x:v>that templates caused the difference. Compare future cohorts before expanding the practice.</x:v>
      </x:c>
      <x:c r="C73" s="3"/>
      <x:c r="D73" s="3"/>
      <x:c r="E73" s="3"/>
      <x:c r="F73" s="3"/>
      <x:c r="G73" s="3"/>
      <x:c r="H73" s="3"/>
      <x:c r="I73" s="3"/>
      <x:c r="J73" s="3"/>
      <x:c r="K73" s="3"/>
      <x:c r="L73" s="3"/>
      <x:c r="M73" s="3"/>
    </x:row>
    <x:row r="74" ht="23" customHeight="1">
      <x:c r="A74" s="3"/>
      <x:c r="B74" s="3" t="str"/>
      <x:c r="C74" s="3"/>
      <x:c r="D74" s="3"/>
      <x:c r="E74" s="3"/>
      <x:c r="F74" s="3"/>
      <x:c r="G74" s="3"/>
      <x:c r="H74" s="3"/>
      <x:c r="I74" s="3"/>
      <x:c r="J74" s="3"/>
      <x:c r="K74" s="3"/>
      <x:c r="L74" s="3"/>
      <x:c r="M74" s="3"/>
    </x:row>
    <x:row r="75" ht="23" customHeight="1">
      <x:c r="A75" s="3"/>
      <x:c r="B75" s="3" t="str">
        <x:v>Results above are reference answers for the supplied data and $50 hourly assumption. Written findings</x:v>
      </x:c>
      <x:c r="C75" s="3"/>
      <x:c r="D75" s="3"/>
      <x:c r="E75" s="3"/>
      <x:c r="F75" s="3"/>
      <x:c r="G75" s="3"/>
      <x:c r="H75" s="3"/>
      <x:c r="I75" s="3"/>
      <x:c r="J75" s="3"/>
      <x:c r="K75" s="3"/>
      <x:c r="L75" s="3"/>
      <x:c r="M75" s="3"/>
    </x:row>
    <x:row r="76" ht="23" customHeight="1">
      <x:c r="A76" s="3"/>
      <x:c r="B76" s="3" t="str">
        <x:v>need review after inputs change. Estimated time value represents staff capacity, not payroll cash savings.</x:v>
      </x:c>
      <x:c r="C76" s="3"/>
      <x:c r="D76" s="3"/>
      <x:c r="E76" s="3"/>
      <x:c r="F76" s="3"/>
      <x:c r="G76" s="3"/>
      <x:c r="H76" s="3"/>
      <x:c r="I76" s="3"/>
      <x:c r="J76" s="3"/>
      <x:c r="K76" s="3"/>
      <x:c r="L76" s="3"/>
      <x:c r="M76" s="3"/>
    </x:row>
    <x:row r="77" ht="23" customHeight="1">
      <x:c r="A77" s="3"/>
      <x:c r="B77" s="3"/>
      <x:c r="C77" s="3"/>
      <x:c r="D77" s="3"/>
      <x:c r="E77" s="3"/>
      <x:c r="F77" s="3"/>
      <x:c r="G77" s="3"/>
      <x:c r="H77" s="3"/>
      <x:c r="I77" s="3"/>
      <x:c r="J77" s="3"/>
      <x:c r="K77" s="3"/>
      <x:c r="L77" s="3"/>
      <x:c r="M77" s="3"/>
    </x:row>
    <x:row r="78" ht="23" customHeight="1">
      <x:c r="A78" s="3"/>
      <x:c r="B78" s="3"/>
      <x:c r="C78" s="3"/>
      <x:c r="D78" s="3"/>
      <x:c r="E78" s="3"/>
      <x:c r="F78" s="3"/>
      <x:c r="G78" s="3"/>
      <x:c r="H78" s="3"/>
      <x:c r="I78" s="3"/>
      <x:c r="J78" s="3"/>
      <x:c r="K78" s="3"/>
      <x:c r="L78" s="3"/>
      <x:c r="M78" s="3"/>
    </x:row>
    <x:row r="79" ht="28" customHeight="1">
      <x:c r="A79" s="3"/>
      <x:c r="B79" s="47" t="str">
        <x:v>Reading and using the workbook</x:v>
      </x:c>
      <x:c r="C79" s="3"/>
      <x:c r="D79" s="3"/>
      <x:c r="E79" s="3"/>
      <x:c r="F79" s="3"/>
      <x:c r="G79" s="3"/>
      <x:c r="H79" s="3"/>
      <x:c r="I79" s="3"/>
      <x:c r="J79" s="3"/>
      <x:c r="K79" s="3"/>
      <x:c r="L79" s="3"/>
      <x:c r="M79" s="3"/>
    </x:row>
    <x:row r="80" ht="23" customHeight="1">
      <x:c r="A80" s="3"/>
      <x:c r="B80" s="5" t="str">
        <x:v>Campaigns, Mix and Workflow contain full grouped answers. Daily Usage retains prompt dates.</x:v>
      </x:c>
      <x:c r="C80" s="3"/>
      <x:c r="D80" s="3"/>
      <x:c r="E80" s="3"/>
      <x:c r="F80" s="3"/>
      <x:c r="G80" s="3"/>
      <x:c r="H80" s="3"/>
      <x:c r="I80" s="3"/>
      <x:c r="J80" s="3"/>
      <x:c r="K80" s="3"/>
      <x:c r="L80" s="3"/>
      <x:c r="M80" s="3"/>
    </x:row>
    <x:row r="81" ht="23" customHeight="1">
      <x:c r="A81" s="3"/>
      <x:c r="B81" s="5" t="str">
        <x:v>Tasks is the complete cleaned table. Prompt Totals and Priced Usage expose the calculations behind it.</x:v>
      </x:c>
      <x:c r="C81" s="3"/>
      <x:c r="D81" s="3"/>
      <x:c r="E81" s="3"/>
      <x:c r="F81" s="3"/>
      <x:c r="G81" s="3"/>
      <x:c r="H81" s="3"/>
      <x:c r="I81" s="3"/>
      <x:c r="J81" s="3"/>
      <x:c r="K81" s="3"/>
      <x:c r="L81" s="3"/>
      <x:c r="M81" s="3"/>
    </x:row>
    <x:row r="82" ht="23" customHeight="1">
      <x:c r="A82" s="3"/>
      <x:c r="B82" s="5" t="str">
        <x:v>Original input records, the ten preparation steps and field definitions are retained on the remaining tabs.</x:v>
      </x:c>
      <x:c r="C82" s="3"/>
      <x:c r="D82" s="3"/>
      <x:c r="E82" s="3"/>
      <x:c r="F82" s="3"/>
      <x:c r="G82" s="3"/>
      <x:c r="H82" s="3"/>
      <x:c r="I82" s="3"/>
      <x:c r="J82" s="3"/>
      <x:c r="K82" s="3"/>
      <x:c r="L82" s="3"/>
      <x:c r="M82" s="3"/>
    </x:row>
    <x:row r="83" ht="23" customHeight="1">
      <x:c r="A83" s="3"/>
      <x:c r="B83" s="5" t="str">
        <x:v>Existing numeric input edits update formulas and charts. New records or changed keys require a rebuild.</x:v>
      </x:c>
      <x:c r="C83" s="3"/>
      <x:c r="D83" s="3"/>
      <x:c r="E83" s="3"/>
      <x:c r="F83" s="3"/>
      <x:c r="G83" s="3"/>
      <x:c r="H83" s="3"/>
      <x:c r="I83" s="3"/>
      <x:c r="J83" s="3"/>
      <x:c r="K83" s="3"/>
      <x:c r="L83" s="3"/>
      <x:c r="M83" s="3"/>
    </x:row>
    <x:row r="84" ht="23" customHeight="1">
      <x:c r="A84" s="3"/>
      <x:c r="B84" s="5" t="str">
        <x:v>Filter table rows to inspect records. Summary formulas still use their labeled complete groups.</x:v>
      </x:c>
      <x:c r="C84" s="3"/>
      <x:c r="D84" s="3"/>
      <x:c r="E84" s="3"/>
      <x:c r="F84" s="3"/>
      <x:c r="G84" s="3"/>
      <x:c r="H84" s="3"/>
      <x:c r="I84" s="3"/>
      <x:c r="J84" s="3"/>
      <x:c r="K84" s="3"/>
      <x:c r="L84" s="3"/>
      <x:c r="M84" s="3"/>
    </x:row>
    <x:row r="85" ht="23" customHeight="1">
      <x:c r="A85" s="3"/>
      <x:c r="B85" s="3"/>
      <x:c r="C85" s="3"/>
      <x:c r="D85" s="3"/>
      <x:c r="E85" s="3"/>
      <x:c r="F85" s="3"/>
      <x:c r="G85" s="3"/>
      <x:c r="H85" s="3"/>
      <x:c r="I85" s="3"/>
      <x:c r="J85" s="3"/>
      <x:c r="K85" s="3"/>
      <x:c r="L85" s="3"/>
      <x:c r="M85" s="3"/>
    </x:row>
    <x:row r="86" ht="23" customHeight="1">
      <x:c r="A86" s="3"/>
      <x:c r="B86" s="3"/>
      <x:c r="C86" s="3"/>
      <x:c r="D86" s="3"/>
      <x:c r="E86" s="3"/>
      <x:c r="F86" s="3"/>
      <x:c r="G86" s="3"/>
      <x:c r="H86" s="3"/>
      <x:c r="I86" s="3"/>
      <x:c r="J86" s="3"/>
      <x:c r="K86" s="3"/>
      <x:c r="L86" s="3"/>
      <x:c r="M86" s="3"/>
    </x:row>
    <x:row r="87" ht="23" customHeight="1">
      <x:c r="A87" s="3"/>
      <x:c r="B87" s="3"/>
      <x:c r="C87" s="3"/>
      <x:c r="D87" s="3"/>
      <x:c r="E87" s="3"/>
      <x:c r="F87" s="3"/>
      <x:c r="G87" s="3"/>
      <x:c r="H87" s="3"/>
      <x:c r="I87" s="3"/>
      <x:c r="J87" s="3"/>
      <x:c r="K87" s="3"/>
      <x:c r="L87" s="3"/>
      <x:c r="M87" s="3"/>
    </x:row>
    <x:row r="88" ht="23" customHeight="1">
      <x:c r="A88" s="3"/>
      <x:c r="B88" s="3"/>
      <x:c r="C88" s="3"/>
      <x:c r="D88" s="3"/>
      <x:c r="E88" s="3"/>
      <x:c r="F88" s="3"/>
      <x:c r="G88" s="3"/>
      <x:c r="H88" s="3"/>
      <x:c r="I88" s="3"/>
      <x:c r="J88" s="3"/>
      <x:c r="K88" s="3"/>
      <x:c r="L88" s="3"/>
      <x:c r="M88" s="3"/>
    </x:row>
  </x:sheetData>
  <x:conditionalFormatting sqref="C10:D13">
    <x:cfRule type="cellIs" dxfId="2" priority="1" operator="lessThan">
      <x:formula>0</x:formula>
    </x:cfRule>
    <x:cfRule type="cellIs" dxfId="3" priority="2" operator="greaterThan">
      <x:formula>0</x:formula>
    </x:cfRule>
  </x:conditionalFormatting>
  <x:conditionalFormatting sqref="D18:F21">
    <x:cfRule type="cellIs" dxfId="4" priority="3" operator="lessThan">
      <x:formula>0</x:formula>
    </x:cfRule>
    <x:cfRule type="cellIs" dxfId="5" priority="4" operator="greaterThan">
      <x:formula>0</x:formula>
    </x:cfRule>
  </x:conditionalFormatting>
  <x:conditionalFormatting sqref="F26:F29">
    <x:cfRule type="cellIs" dxfId="6" priority="5" operator="lessThan">
      <x:formula>0</x:formula>
    </x:cfRule>
    <x:cfRule type="cellIs" dxfId="7" priority="6" operator="greaterThan">
      <x:formula>0</x:formula>
    </x:cfRule>
  </x:conditionalFormatting>
  <x:conditionalFormatting sqref="C35:E38">
    <x:cfRule type="cellIs" dxfId="8" priority="7" operator="lessThan">
      <x:formula>0</x:formula>
    </x:cfRule>
    <x:cfRule type="cellIs" dxfId="9" priority="8" operator="greaterThan">
      <x:formula>0</x:formula>
    </x:cfRule>
  </x:conditionalFormatting>
  <x:dataValidations count="1">
    <x:dataValidation type="decimal" operator="greaterThanOrEqual" sqref="C5">
      <x:formula1>0</x:formula1>
    </x:dataValidation>
  </x:dataValidations>
  <x:pageMargins left="0.7" right="0.7" top="0.75" bottom="0.75" header="0.3" footer="0.3"/>
  <x:drawing xmlns:r="http://schemas.openxmlformats.org/officeDocument/2006/relationships" r:id="Rd32184ce3f18442f"/>
</x:worksheet>
</file>

<file path=xl/worksheets/sheet2.xml><?xml version="1.0" encoding="utf-8"?>
<x:worksheet xmlns:x="http://schemas.openxmlformats.org/spreadsheetml/2006/main">
  <x:sheetPr>
    <x:tabColor rgb="FF245A81"/>
  </x:sheetPr>
  <x:sheetViews>
    <x:sheetView showGridLines="0" workbookViewId="0">
      <x:pane xSplit="2" ySplit="6" topLeftCell="C7" activePane="bottomRight" state="frozen"/>
    </x:sheetView>
  </x:sheetViews>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s>
  <x:sheetData>
    <x:row r="1" ht="23"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row>
    <x:row r="2" ht="29" customHeight="1">
      <x:c r="A2" s="4" t="str">
        <x:v>Campaign performance and financial results</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row>
    <x:row r="3" ht="23" customHeight="1">
      <x:c r="A3" s="3"/>
      <x:c r="B3" s="3"/>
      <x:c r="C3" s="3"/>
      <x:c r="D3" s="3"/>
      <x:c r="E3" s="3"/>
      <x:c r="F3" s="3"/>
      <x:c r="G3" s="3"/>
      <x:c r="H3" s="3"/>
      <x:c r="I3" s="3"/>
      <x:c r="J3" s="3"/>
      <x:c r="K3" s="3"/>
      <x:c r="L3" s="3"/>
      <x:c r="M3" s="3"/>
      <x:c r="N3" s="3"/>
      <x:c r="O3" s="3"/>
      <x:c r="P3" s="3"/>
      <x:c r="Q3" s="3"/>
      <x:c r="R3" s="3"/>
      <x:c r="S3" s="3"/>
      <x:c r="T3" s="3"/>
      <x:c r="U3" s="3"/>
      <x:c r="V3" s="3"/>
      <x:c r="W3" s="3"/>
      <x:c r="X3" s="3"/>
      <x:c r="Y3" s="3"/>
      <x:c r="Z3" s="3"/>
      <x:c r="AA3" s="3"/>
      <x:c r="AB3" s="3"/>
      <x:c r="AC3" s="3"/>
      <x:c r="AD3" s="3"/>
      <x:c r="AE3" s="3"/>
    </x:row>
    <x:row r="4" ht="23" customHeight="1">
      <x:c r="A4" s="5" t="str">
        <x:v>ALL includes four campaigns. FOCAL includes C001 and C002. Financial results always cover complete campaigns.</x:v>
      </x:c>
      <x:c r="B4" s="3"/>
      <x:c r="C4" s="3"/>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row>
    <x:row r="5" ht="23" customHeight="1">
      <x:c r="A5" s="3"/>
      <x:c r="B5" s="3"/>
      <x:c r="C5" s="3"/>
      <x:c r="D5" s="3"/>
      <x:c r="E5" s="3"/>
      <x:c r="F5" s="3"/>
      <x:c r="G5" s="3"/>
      <x:c r="H5" s="3"/>
      <x:c r="I5" s="3"/>
      <x:c r="J5" s="3"/>
      <x:c r="K5" s="3"/>
      <x:c r="L5" s="3"/>
      <x:c r="M5" s="3"/>
      <x:c r="N5" s="3"/>
      <x:c r="O5" s="3"/>
      <x:c r="P5" s="3"/>
      <x:c r="Q5" s="3"/>
      <x:c r="R5" s="3"/>
      <x:c r="S5" s="3"/>
      <x:c r="T5" s="3"/>
      <x:c r="U5" s="3"/>
      <x:c r="V5" s="3"/>
      <x:c r="W5" s="3"/>
      <x:c r="X5" s="3"/>
      <x:c r="Y5" s="3"/>
      <x:c r="Z5" s="3"/>
      <x:c r="AA5" s="3"/>
      <x:c r="AB5" s="3"/>
      <x:c r="AC5" s="3"/>
      <x:c r="AD5" s="3"/>
      <x:c r="AE5" s="3"/>
    </x:row>
    <x:row r="6" ht="44" customHeight="1">
      <x:c r="A6" s="14" t="str">
        <x:v>campaign_id</x:v>
      </x:c>
      <x:c r="B6" s="15" t="str">
        <x:v>campaign_name</x:v>
      </x:c>
      <x:c r="C6" s="15" t="str">
        <x:v>tasks</x:v>
      </x:c>
      <x:c r="D6" s="15" t="str">
        <x:v>input_tokens</x:v>
      </x:c>
      <x:c r="E6" s="15" t="str">
        <x:v>output_tokens</x:v>
      </x:c>
      <x:c r="F6" s="15" t="str">
        <x:v>total_tokens</x:v>
      </x:c>
      <x:c r="G6" s="15" t="str">
        <x:v>input_cost_usd</x:v>
      </x:c>
      <x:c r="H6" s="15" t="str">
        <x:v>output_cost_usd</x:v>
      </x:c>
      <x:c r="I6" s="15" t="str">
        <x:v>ai_cost_usd</x:v>
      </x:c>
      <x:c r="J6" s="15" t="str">
        <x:v>prompt_count</x:v>
      </x:c>
      <x:c r="K6" s="15" t="str">
        <x:v>cost_per_prompt_usd</x:v>
      </x:c>
      <x:c r="L6" s="15" t="str">
        <x:v>baseline_hours</x:v>
      </x:c>
      <x:c r="M6" s="15" t="str">
        <x:v>actual_hours</x:v>
      </x:c>
      <x:c r="N6" s="15" t="str">
        <x:v>hours_saved</x:v>
      </x:c>
      <x:c r="O6" s="15" t="str">
        <x:v>time_value_usd</x:v>
      </x:c>
      <x:c r="P6" s="15" t="str">
        <x:v>net_ai_value_usd</x:v>
      </x:c>
      <x:c r="Q6" s="15" t="str">
        <x:v>ai_roi</x:v>
      </x:c>
      <x:c r="R6" s="15" t="str">
        <x:v>rework_hours</x:v>
      </x:c>
      <x:c r="S6" s="15" t="str">
        <x:v>rework_share</x:v>
      </x:c>
      <x:c r="T6" s="15" t="str">
        <x:v>correction_prompts</x:v>
      </x:c>
      <x:c r="U6" s="15" t="str">
        <x:v>correction_share</x:v>
      </x:c>
      <x:c r="V6" s="15" t="str">
        <x:v>template_tasks</x:v>
      </x:c>
      <x:c r="W6" s="15" t="str">
        <x:v>changed_brief_tasks</x:v>
      </x:c>
      <x:c r="X6" s="15" t="str">
        <x:v>positive_net_value_tasks</x:v>
      </x:c>
      <x:c r="Y6" s="15" t="str">
        <x:v>negative_net_value_tasks</x:v>
      </x:c>
      <x:c r="Z6" s="15" t="str">
        <x:v>campaign_revenue_usd</x:v>
      </x:c>
      <x:c r="AA6" s="15" t="str">
        <x:v>other_campaign_cost_usd</x:v>
      </x:c>
      <x:c r="AB6" s="15" t="str">
        <x:v>actual_staff_cost_usd</x:v>
      </x:c>
      <x:c r="AC6" s="15" t="str">
        <x:v>campaign_result_usd</x:v>
      </x:c>
      <x:c r="AD6" s="15" t="str">
        <x:v>net_ai_value_lower20_usd</x:v>
      </x:c>
      <x:c r="AE6" s="16" t="str">
        <x:v>net_ai_value_higher20_usd</x:v>
      </x:c>
    </x:row>
    <x:row r="7" ht="23" customHeight="1">
      <x:c r="A7" s="17" t="str">
        <x:v>C001</x:v>
      </x:c>
      <x:c r="B7" s="17" t="str">
        <x:v>Campaign 1</x:v>
      </x:c>
      <x:c r="C7" s="17" t="n">
        <x:f>COUNTIFS('Tasks'!$C$7:$C$246,$A7)</x:f>
        <x:v>60</x:v>
      </x:c>
      <x:c r="D7" s="17" t="n">
        <x:f>SUMIFS('Tasks'!$O$7:$O$246,'Tasks'!$C$7:$C$246,$A7)</x:f>
        <x:v>22000000</x:v>
      </x:c>
      <x:c r="E7" s="17" t="n">
        <x:f>SUMIFS('Tasks'!$P$7:$P$246,'Tasks'!$C$7:$C$246,$A7)</x:f>
        <x:v>5000000</x:v>
      </x:c>
      <x:c r="F7" s="17" t="n">
        <x:f>SUMIFS('Tasks'!$Q$7:$Q$246,'Tasks'!$C$7:$C$246,$A7)</x:f>
        <x:v>27000000</x:v>
      </x:c>
      <x:c r="G7" s="22" t="n">
        <x:f>SUMIFS('Tasks'!$S$7:$S$246,'Tasks'!$C$7:$C$246,$A7)</x:f>
        <x:v>279.99999999999994</x:v>
      </x:c>
      <x:c r="H7" s="22" t="n">
        <x:f>SUMIFS('Tasks'!$T$7:$T$246,'Tasks'!$C$7:$C$246,$A7)</x:f>
        <x:v>219.99999999999997</x:v>
      </x:c>
      <x:c r="I7" s="22" t="n">
        <x:f>SUMIFS('Tasks'!$U$7:$U$246,'Tasks'!$C$7:$C$246,$A7)</x:f>
        <x:v>500.0000000000001</x:v>
      </x:c>
      <x:c r="J7" s="17" t="n">
        <x:f>SUMIFS('Tasks'!$R$7:$R$246,'Tasks'!$C$7:$C$246,$A7)</x:f>
        <x:v>600</x:v>
      </x:c>
      <x:c r="K7" s="22" t="n">
        <x:f>IF(J7=0,"N/A",I7/J7)</x:f>
        <x:v>0.8333333333333335</x:v>
      </x:c>
      <x:c r="L7" s="19" t="n">
        <x:f>SUMIFS('Tasks'!$G$7:$G$246,'Tasks'!$C$7:$C$246,$A7)</x:f>
        <x:v>240</x:v>
      </x:c>
      <x:c r="M7" s="19" t="n">
        <x:f>SUMIFS('Tasks'!$H$7:$H$246,'Tasks'!$C$7:$C$246,$A7)</x:f>
        <x:v>140</x:v>
      </x:c>
      <x:c r="N7" s="19" t="n">
        <x:f>SUMIFS('Tasks'!$Y$7:$Y$246,'Tasks'!$C$7:$C$246,$A7)</x:f>
        <x:v>100</x:v>
      </x:c>
      <x:c r="O7" s="22" t="n">
        <x:f>SUMIFS('Tasks'!$Z$7:$Z$246,'Tasks'!$C$7:$C$246,$A7)</x:f>
        <x:v>5000</x:v>
      </x:c>
      <x:c r="P7" s="22" t="n">
        <x:f>SUMIFS('Tasks'!$AA$7:$AA$246,'Tasks'!$C$7:$C$246,$A7)</x:f>
        <x:v>4500.000000000001</x:v>
      </x:c>
      <x:c r="Q7" s="31" t="n">
        <x:f>IF(I7=0,"N/A",P7/I7)</x:f>
        <x:v>9</x:v>
      </x:c>
      <x:c r="R7" s="19" t="n">
        <x:f>SUMIFS('Tasks'!$I$7:$I$246,'Tasks'!$C$7:$C$246,$A7)</x:f>
        <x:v>10.739999999999998</x:v>
      </x:c>
      <x:c r="S7" s="31" t="n">
        <x:f>IF(M7=0,"N/A",R7/M7)</x:f>
        <x:v>0.07671428571428571</x:v>
      </x:c>
      <x:c r="T7" s="17" t="n">
        <x:f>SUMIFS('Tasks'!$X$7:$X$246,'Tasks'!$C$7:$C$246,$A7)</x:f>
        <x:v>68</x:v>
      </x:c>
      <x:c r="U7" s="31" t="n">
        <x:f>IF(J7=0,"N/A",T7/J7)</x:f>
        <x:v>0.11333333333333333</x:v>
      </x:c>
      <x:c r="V7" s="17" t="n">
        <x:f>COUNTIFS('Tasks'!$C$7:$C$246,$A7,'Tasks'!$L$7:$L$246,"Yes")</x:f>
        <x:v>53</x:v>
      </x:c>
      <x:c r="W7" s="17" t="n">
        <x:f>COUNTIFS('Tasks'!$C$7:$C$246,$A7,'Tasks'!$K$7:$K$246,"Yes")</x:f>
        <x:v>10</x:v>
      </x:c>
      <x:c r="X7" s="17" t="n">
        <x:f>COUNTIFS('Tasks'!$C$7:$C$246,$A7,'Tasks'!$AA$7:$AA$246,"&gt;0")</x:f>
        <x:v>52</x:v>
      </x:c>
      <x:c r="Y7" s="17" t="n">
        <x:f>COUNTIFS('Tasks'!$C$7:$C$246,$A7,'Tasks'!$AA$7:$AA$246,"&lt;0")</x:f>
        <x:v>8</x:v>
      </x:c>
      <x:c r="Z7" s="22" t="n">
        <x:f>INDEX('Campaign Inputs'!$C$7:$C$10,MATCH($A7,'Campaign Inputs'!$A$7:$A$10,0))</x:f>
        <x:v>25000</x:v>
      </x:c>
      <x:c r="AA7" s="22" t="n">
        <x:f>INDEX('Campaign Inputs'!$D$7:$D$10,MATCH($A7,'Campaign Inputs'!$A$7:$A$10,0))</x:f>
        <x:v>10000</x:v>
      </x:c>
      <x:c r="AB7" s="30" t="n">
        <x:f>M7*'Solution'!$C$5</x:f>
        <x:v>7000</x:v>
      </x:c>
      <x:c r="AC7" s="22" t="n">
        <x:f>Z7-AA7-AB7-I7</x:f>
        <x:v>7500</x:v>
      </x:c>
      <x:c r="AD7" s="30" t="n">
        <x:f>(L7*0.8-M7)*'Solution'!$C$5-I7</x:f>
        <x:v>2100</x:v>
      </x:c>
      <x:c r="AE7" s="30" t="n">
        <x:f>(L7*1.2-M7)*'Solution'!$C$5-I7</x:f>
        <x:v>6900</x:v>
      </x:c>
    </x:row>
    <x:row r="8" ht="23" customHeight="1">
      <x:c r="A8" s="17" t="str">
        <x:v>C002</x:v>
      </x:c>
      <x:c r="B8" s="17" t="str">
        <x:v>Campaign 2</x:v>
      </x:c>
      <x:c r="C8" s="17" t="n">
        <x:f>COUNTIFS('Tasks'!$C$7:$C$246,$A8)</x:f>
        <x:v>60</x:v>
      </x:c>
      <x:c r="D8" s="17" t="n">
        <x:f>SUMIFS('Tasks'!$O$7:$O$246,'Tasks'!$C$7:$C$246,$A8)</x:f>
        <x:v>32000000</x:v>
      </x:c>
      <x:c r="E8" s="17" t="n">
        <x:f>SUMIFS('Tasks'!$P$7:$P$246,'Tasks'!$C$7:$C$246,$A8)</x:f>
        <x:v>10000000</x:v>
      </x:c>
      <x:c r="F8" s="17" t="n">
        <x:f>SUMIFS('Tasks'!$Q$7:$Q$246,'Tasks'!$C$7:$C$246,$A8)</x:f>
        <x:v>42000000</x:v>
      </x:c>
      <x:c r="G8" s="22" t="n">
        <x:f>SUMIFS('Tasks'!$S$7:$S$246,'Tasks'!$C$7:$C$246,$A8)</x:f>
        <x:v>679.9999999999998</x:v>
      </x:c>
      <x:c r="H8" s="22" t="n">
        <x:f>SUMIFS('Tasks'!$T$7:$T$246,'Tasks'!$C$7:$C$246,$A8)</x:f>
        <x:v>720.0000000000001</x:v>
      </x:c>
      <x:c r="I8" s="22" t="n">
        <x:f>SUMIFS('Tasks'!$U$7:$U$246,'Tasks'!$C$7:$C$246,$A8)</x:f>
        <x:v>1400</x:v>
      </x:c>
      <x:c r="J8" s="17" t="n">
        <x:f>SUMIFS('Tasks'!$R$7:$R$246,'Tasks'!$C$7:$C$246,$A8)</x:f>
        <x:v>1200</x:v>
      </x:c>
      <x:c r="K8" s="22" t="n">
        <x:f>IF(J8=0,"N/A",I8/J8)</x:f>
        <x:v>1.1666666666666667</x:v>
      </x:c>
      <x:c r="L8" s="19" t="n">
        <x:f>SUMIFS('Tasks'!$G$7:$G$246,'Tasks'!$C$7:$C$246,$A8)</x:f>
        <x:v>200</x:v>
      </x:c>
      <x:c r="M8" s="19" t="n">
        <x:f>SUMIFS('Tasks'!$H$7:$H$246,'Tasks'!$C$7:$C$246,$A8)</x:f>
        <x:v>270</x:v>
      </x:c>
      <x:c r="N8" s="19" t="n">
        <x:f>SUMIFS('Tasks'!$Y$7:$Y$246,'Tasks'!$C$7:$C$246,$A8)</x:f>
        <x:v>-69.99999999999997</x:v>
      </x:c>
      <x:c r="O8" s="22" t="n">
        <x:f>SUMIFS('Tasks'!$Z$7:$Z$246,'Tasks'!$C$7:$C$246,$A8)</x:f>
        <x:v>-3500</x:v>
      </x:c>
      <x:c r="P8" s="22" t="n">
        <x:f>SUMIFS('Tasks'!$AA$7:$AA$246,'Tasks'!$C$7:$C$246,$A8)</x:f>
        <x:v>-4899.999999999999</x:v>
      </x:c>
      <x:c r="Q8" s="31" t="n">
        <x:f>IF(I8=0,"N/A",P8/I8)</x:f>
        <x:v>-3.4999999999999996</x:v>
      </x:c>
      <x:c r="R8" s="19" t="n">
        <x:f>SUMIFS('Tasks'!$I$7:$I$246,'Tasks'!$C$7:$C$246,$A8)</x:f>
        <x:v>87.81999999999998</x:v>
      </x:c>
      <x:c r="S8" s="31" t="n">
        <x:f>IF(M8=0,"N/A",R8/M8)</x:f>
        <x:v>0.3252592592592592</x:v>
      </x:c>
      <x:c r="T8" s="17" t="n">
        <x:f>SUMIFS('Tasks'!$X$7:$X$246,'Tasks'!$C$7:$C$246,$A8)</x:f>
        <x:v>482</x:v>
      </x:c>
      <x:c r="U8" s="31" t="n">
        <x:f>IF(J8=0,"N/A",T8/J8)</x:f>
        <x:v>0.40166666666666667</x:v>
      </x:c>
      <x:c r="V8" s="17" t="n">
        <x:f>COUNTIFS('Tasks'!$C$7:$C$246,$A8,'Tasks'!$L$7:$L$246,"Yes")</x:f>
        <x:v>19</x:v>
      </x:c>
      <x:c r="W8" s="17" t="n">
        <x:f>COUNTIFS('Tasks'!$C$7:$C$246,$A8,'Tasks'!$K$7:$K$246,"Yes")</x:f>
        <x:v>27</x:v>
      </x:c>
      <x:c r="X8" s="17" t="n">
        <x:f>COUNTIFS('Tasks'!$C$7:$C$246,$A8,'Tasks'!$AA$7:$AA$246,"&gt;0")</x:f>
        <x:v>10</x:v>
      </x:c>
      <x:c r="Y8" s="17" t="n">
        <x:f>COUNTIFS('Tasks'!$C$7:$C$246,$A8,'Tasks'!$AA$7:$AA$246,"&lt;0")</x:f>
        <x:v>50</x:v>
      </x:c>
      <x:c r="Z8" s="22" t="n">
        <x:f>INDEX('Campaign Inputs'!$C$7:$C$10,MATCH($A8,'Campaign Inputs'!$A$7:$A$10,0))</x:f>
        <x:v>20000</x:v>
      </x:c>
      <x:c r="AA8" s="22" t="n">
        <x:f>INDEX('Campaign Inputs'!$D$7:$D$10,MATCH($A8,'Campaign Inputs'!$A$7:$A$10,0))</x:f>
        <x:v>7500</x:v>
      </x:c>
      <x:c r="AB8" s="30" t="n">
        <x:f>M8*'Solution'!$C$5</x:f>
        <x:v>13500</x:v>
      </x:c>
      <x:c r="AC8" s="22" t="n">
        <x:f>Z8-AA8-AB8-I8</x:f>
        <x:v>-2400</x:v>
      </x:c>
      <x:c r="AD8" s="30" t="n">
        <x:f>(L8*0.8-M8)*'Solution'!$C$5-I8</x:f>
        <x:v>-6900</x:v>
      </x:c>
      <x:c r="AE8" s="30" t="n">
        <x:f>(L8*1.2-M8)*'Solution'!$C$5-I8</x:f>
        <x:v>-2900</x:v>
      </x:c>
    </x:row>
    <x:row r="9" ht="23" customHeight="1">
      <x:c r="A9" s="17" t="str">
        <x:v>C003</x:v>
      </x:c>
      <x:c r="B9" s="17" t="str">
        <x:v>Campaign 3</x:v>
      </x:c>
      <x:c r="C9" s="17" t="n">
        <x:f>COUNTIFS('Tasks'!$C$7:$C$246,$A9)</x:f>
        <x:v>60</x:v>
      </x:c>
      <x:c r="D9" s="17" t="n">
        <x:f>SUMIFS('Tasks'!$O$7:$O$246,'Tasks'!$C$7:$C$246,$A9)</x:f>
        <x:v>18000000</x:v>
      </x:c>
      <x:c r="E9" s="17" t="n">
        <x:f>SUMIFS('Tasks'!$P$7:$P$246,'Tasks'!$C$7:$C$246,$A9)</x:f>
        <x:v>4500000</x:v>
      </x:c>
      <x:c r="F9" s="17" t="n">
        <x:f>SUMIFS('Tasks'!$Q$7:$Q$246,'Tasks'!$C$7:$C$246,$A9)</x:f>
        <x:v>22500000</x:v>
      </x:c>
      <x:c r="G9" s="22" t="n">
        <x:f>SUMIFS('Tasks'!$S$7:$S$246,'Tasks'!$C$7:$C$246,$A9)</x:f>
        <x:v>299.99999999999994</x:v>
      </x:c>
      <x:c r="H9" s="22" t="n">
        <x:f>SUMIFS('Tasks'!$T$7:$T$246,'Tasks'!$C$7:$C$246,$A9)</x:f>
        <x:v>239.99999999999994</x:v>
      </x:c>
      <x:c r="I9" s="22" t="n">
        <x:f>SUMIFS('Tasks'!$U$7:$U$246,'Tasks'!$C$7:$C$246,$A9)</x:f>
        <x:v>539.9999999999998</x:v>
      </x:c>
      <x:c r="J9" s="17" t="n">
        <x:f>SUMIFS('Tasks'!$R$7:$R$246,'Tasks'!$C$7:$C$246,$A9)</x:f>
        <x:v>720</x:v>
      </x:c>
      <x:c r="K9" s="22" t="n">
        <x:f>IF(J9=0,"N/A",I9/J9)</x:f>
        <x:v>0.7499999999999997</x:v>
      </x:c>
      <x:c r="L9" s="19" t="n">
        <x:f>SUMIFS('Tasks'!$G$7:$G$246,'Tasks'!$C$7:$C$246,$A9)</x:f>
        <x:v>220.00000000000006</x:v>
      </x:c>
      <x:c r="M9" s="19" t="n">
        <x:f>SUMIFS('Tasks'!$H$7:$H$246,'Tasks'!$C$7:$C$246,$A9)</x:f>
        <x:v>171.99999999999997</x:v>
      </x:c>
      <x:c r="N9" s="19" t="n">
        <x:f>SUMIFS('Tasks'!$Y$7:$Y$246,'Tasks'!$C$7:$C$246,$A9)</x:f>
        <x:v>48</x:v>
      </x:c>
      <x:c r="O9" s="22" t="n">
        <x:f>SUMIFS('Tasks'!$Z$7:$Z$246,'Tasks'!$C$7:$C$246,$A9)</x:f>
        <x:v>2400</x:v>
      </x:c>
      <x:c r="P9" s="22" t="n">
        <x:f>SUMIFS('Tasks'!$AA$7:$AA$246,'Tasks'!$C$7:$C$246,$A9)</x:f>
        <x:v>1859.9999999999998</x:v>
      </x:c>
      <x:c r="Q9" s="31" t="n">
        <x:f>IF(I9=0,"N/A",P9/I9)</x:f>
        <x:v>3.4444444444444455</x:v>
      </x:c>
      <x:c r="R9" s="19" t="n">
        <x:f>SUMIFS('Tasks'!$I$7:$I$246,'Tasks'!$C$7:$C$246,$A9)</x:f>
        <x:v>14.94</x:v>
      </x:c>
      <x:c r="S9" s="31" t="n">
        <x:f>IF(M9=0,"N/A",R9/M9)</x:f>
        <x:v>0.08686046511627908</x:v>
      </x:c>
      <x:c r="T9" s="17" t="n">
        <x:f>SUMIFS('Tasks'!$X$7:$X$246,'Tasks'!$C$7:$C$246,$A9)</x:f>
        <x:v>152</x:v>
      </x:c>
      <x:c r="U9" s="31" t="n">
        <x:f>IF(J9=0,"N/A",T9/J9)</x:f>
        <x:v>0.2111111111111111</x:v>
      </x:c>
      <x:c r="V9" s="17" t="n">
        <x:f>COUNTIFS('Tasks'!$C$7:$C$246,$A9,'Tasks'!$L$7:$L$246,"Yes")</x:f>
        <x:v>42</x:v>
      </x:c>
      <x:c r="W9" s="17" t="n">
        <x:f>COUNTIFS('Tasks'!$C$7:$C$246,$A9,'Tasks'!$K$7:$K$246,"Yes")</x:f>
        <x:v>10</x:v>
      </x:c>
      <x:c r="X9" s="17" t="n">
        <x:f>COUNTIFS('Tasks'!$C$7:$C$246,$A9,'Tasks'!$AA$7:$AA$246,"&gt;0")</x:f>
        <x:v>44</x:v>
      </x:c>
      <x:c r="Y9" s="17" t="n">
        <x:f>COUNTIFS('Tasks'!$C$7:$C$246,$A9,'Tasks'!$AA$7:$AA$246,"&lt;0")</x:f>
        <x:v>16</x:v>
      </x:c>
      <x:c r="Z9" s="22" t="n">
        <x:f>INDEX('Campaign Inputs'!$C$7:$C$10,MATCH($A9,'Campaign Inputs'!$A$7:$A$10,0))</x:f>
        <x:v>23000</x:v>
      </x:c>
      <x:c r="AA9" s="22" t="n">
        <x:f>INDEX('Campaign Inputs'!$D$7:$D$10,MATCH($A9,'Campaign Inputs'!$A$7:$A$10,0))</x:f>
        <x:v>9500</x:v>
      </x:c>
      <x:c r="AB9" s="30" t="n">
        <x:f>M9*'Solution'!$C$5</x:f>
        <x:v>8599.999999999998</x:v>
      </x:c>
      <x:c r="AC9" s="22" t="n">
        <x:f>Z9-AA9-AB9-I9</x:f>
        <x:v>4360.000000000002</x:v>
      </x:c>
      <x:c r="AD9" s="30" t="n">
        <x:f>(L9*0.8-M9)*'Solution'!$C$5-I9</x:f>
        <x:v>-339.9999999999955</x:v>
      </x:c>
      <x:c r="AE9" s="30" t="n">
        <x:f>(L9*1.2-M9)*'Solution'!$C$5-I9</x:f>
        <x:v>4060.0000000000045</x:v>
      </x:c>
    </x:row>
    <x:row r="10" ht="23" customHeight="1">
      <x:c r="A10" s="17" t="str">
        <x:v>C004</x:v>
      </x:c>
      <x:c r="B10" s="17" t="str">
        <x:v>Campaign 4</x:v>
      </x:c>
      <x:c r="C10" s="17" t="n">
        <x:f>COUNTIFS('Tasks'!$C$7:$C$246,$A10)</x:f>
        <x:v>60</x:v>
      </x:c>
      <x:c r="D10" s="17" t="n">
        <x:f>SUMIFS('Tasks'!$O$7:$O$246,'Tasks'!$C$7:$C$246,$A10)</x:f>
        <x:v>17000000</x:v>
      </x:c>
      <x:c r="E10" s="17" t="n">
        <x:f>SUMIFS('Tasks'!$P$7:$P$246,'Tasks'!$C$7:$C$246,$A10)</x:f>
        <x:v>5000000</x:v>
      </x:c>
      <x:c r="F10" s="17" t="n">
        <x:f>SUMIFS('Tasks'!$Q$7:$Q$246,'Tasks'!$C$7:$C$246,$A10)</x:f>
        <x:v>22000000</x:v>
      </x:c>
      <x:c r="G10" s="22" t="n">
        <x:f>SUMIFS('Tasks'!$S$7:$S$246,'Tasks'!$C$7:$C$246,$A10)</x:f>
        <x:v>379.99999999999994</x:v>
      </x:c>
      <x:c r="H10" s="22" t="n">
        <x:f>SUMIFS('Tasks'!$T$7:$T$246,'Tasks'!$C$7:$C$246,$A10)</x:f>
        <x:v>359.99999999999994</x:v>
      </x:c>
      <x:c r="I10" s="22" t="n">
        <x:f>SUMIFS('Tasks'!$U$7:$U$246,'Tasks'!$C$7:$C$246,$A10)</x:f>
        <x:v>739.9999999999998</x:v>
      </x:c>
      <x:c r="J10" s="17" t="n">
        <x:f>SUMIFS('Tasks'!$R$7:$R$246,'Tasks'!$C$7:$C$246,$A10)</x:f>
        <x:v>840</x:v>
      </x:c>
      <x:c r="K10" s="22" t="n">
        <x:f>IF(J10=0,"N/A",I10/J10)</x:f>
        <x:v>0.8809523809523807</x:v>
      </x:c>
      <x:c r="L10" s="19" t="n">
        <x:f>SUMIFS('Tasks'!$G$7:$G$246,'Tasks'!$C$7:$C$246,$A10)</x:f>
        <x:v>260</x:v>
      </x:c>
      <x:c r="M10" s="19" t="n">
        <x:f>SUMIFS('Tasks'!$H$7:$H$246,'Tasks'!$C$7:$C$246,$A10)</x:f>
        <x:v>217.99999999999997</x:v>
      </x:c>
      <x:c r="N10" s="19" t="n">
        <x:f>SUMIFS('Tasks'!$Y$7:$Y$246,'Tasks'!$C$7:$C$246,$A10)</x:f>
        <x:v>42.00000000000001</x:v>
      </x:c>
      <x:c r="O10" s="22" t="n">
        <x:f>SUMIFS('Tasks'!$Z$7:$Z$246,'Tasks'!$C$7:$C$246,$A10)</x:f>
        <x:v>2100</x:v>
      </x:c>
      <x:c r="P10" s="22" t="n">
        <x:f>SUMIFS('Tasks'!$AA$7:$AA$246,'Tasks'!$C$7:$C$246,$A10)</x:f>
        <x:v>1360.0000000000002</x:v>
      </x:c>
      <x:c r="Q10" s="31" t="n">
        <x:f>IF(I10=0,"N/A",P10/I10)</x:f>
        <x:v>1.8378378378378386</x:v>
      </x:c>
      <x:c r="R10" s="19" t="n">
        <x:f>SUMIFS('Tasks'!$I$7:$I$246,'Tasks'!$C$7:$C$246,$A10)</x:f>
        <x:v>18.539999999999992</x:v>
      </x:c>
      <x:c r="S10" s="31" t="n">
        <x:f>IF(M10=0,"N/A",R10/M10)</x:f>
        <x:v>0.085045871559633</x:v>
      </x:c>
      <x:c r="T10" s="17" t="n">
        <x:f>SUMIFS('Tasks'!$X$7:$X$246,'Tasks'!$C$7:$C$246,$A10)</x:f>
        <x:v>180</x:v>
      </x:c>
      <x:c r="U10" s="31" t="n">
        <x:f>IF(J10=0,"N/A",T10/J10)</x:f>
        <x:v>0.21428571428571427</x:v>
      </x:c>
      <x:c r="V10" s="17" t="n">
        <x:f>COUNTIFS('Tasks'!$C$7:$C$246,$A10,'Tasks'!$L$7:$L$246,"Yes")</x:f>
        <x:v>40</x:v>
      </x:c>
      <x:c r="W10" s="17" t="n">
        <x:f>COUNTIFS('Tasks'!$C$7:$C$246,$A10,'Tasks'!$K$7:$K$246,"Yes")</x:f>
        <x:v>10</x:v>
      </x:c>
      <x:c r="X10" s="17" t="n">
        <x:f>COUNTIFS('Tasks'!$C$7:$C$246,$A10,'Tasks'!$AA$7:$AA$246,"&gt;0")</x:f>
        <x:v>35</x:v>
      </x:c>
      <x:c r="Y10" s="17" t="n">
        <x:f>COUNTIFS('Tasks'!$C$7:$C$246,$A10,'Tasks'!$AA$7:$AA$246,"&lt;0")</x:f>
        <x:v>25</x:v>
      </x:c>
      <x:c r="Z10" s="22" t="n">
        <x:f>INDEX('Campaign Inputs'!$C$7:$C$10,MATCH($A10,'Campaign Inputs'!$A$7:$A$10,0))</x:f>
        <x:v>27000</x:v>
      </x:c>
      <x:c r="AA10" s="22" t="n">
        <x:f>INDEX('Campaign Inputs'!$D$7:$D$10,MATCH($A10,'Campaign Inputs'!$A$7:$A$10,0))</x:f>
        <x:v>12000</x:v>
      </x:c>
      <x:c r="AB10" s="30" t="n">
        <x:f>M10*'Solution'!$C$5</x:f>
        <x:v>10899.999999999998</x:v>
      </x:c>
      <x:c r="AC10" s="22" t="n">
        <x:f>Z10-AA10-AB10-I10</x:f>
        <x:v>3360.000000000002</x:v>
      </x:c>
      <x:c r="AD10" s="30" t="n">
        <x:f>(L10*0.8-M10)*'Solution'!$C$5-I10</x:f>
        <x:v>-1239.9999999999984</x:v>
      </x:c>
      <x:c r="AE10" s="30" t="n">
        <x:f>(L10*1.2-M10)*'Solution'!$C$5-I10</x:f>
        <x:v>3960.000000000002</x:v>
      </x:c>
    </x:row>
    <x:row r="11" ht="23" customHeight="1">
      <x:c r="A11" s="42" t="str">
        <x:v>ALL</x:v>
      </x:c>
      <x:c r="B11" s="42" t="str">
        <x:v>All four campaigns</x:v>
      </x:c>
      <x:c r="C11" s="42" t="n">
        <x:f>SUM(C7:C10)</x:f>
        <x:v>240</x:v>
      </x:c>
      <x:c r="D11" s="42" t="n">
        <x:f>SUM(D7:D10)</x:f>
        <x:v>89000000</x:v>
      </x:c>
      <x:c r="E11" s="42" t="n">
        <x:f>SUM(E7:E10)</x:f>
        <x:v>24500000</x:v>
      </x:c>
      <x:c r="F11" s="42" t="n">
        <x:f>SUM(F7:F10)</x:f>
        <x:v>113500000</x:v>
      </x:c>
      <x:c r="G11" s="43" t="n">
        <x:f>SUM(G7:G10)</x:f>
        <x:v>1639.9999999999998</x:v>
      </x:c>
      <x:c r="H11" s="43" t="n">
        <x:f>SUM(H7:H10)</x:f>
        <x:v>1540</x:v>
      </x:c>
      <x:c r="I11" s="43" t="n">
        <x:f>SUM(I7:I10)</x:f>
        <x:v>3180</x:v>
      </x:c>
      <x:c r="J11" s="42" t="n">
        <x:f>SUM(J7:J10)</x:f>
        <x:v>3360</x:v>
      </x:c>
      <x:c r="K11" s="43" t="n">
        <x:f>IF(J11=0,"N/A",I11/J11)</x:f>
        <x:v>0.9464285714285714</x:v>
      </x:c>
      <x:c r="L11" s="44" t="n">
        <x:f>SUM(L7:L10)</x:f>
        <x:v>920</x:v>
      </x:c>
      <x:c r="M11" s="44" t="n">
        <x:f>SUM(M7:M10)</x:f>
        <x:v>800</x:v>
      </x:c>
      <x:c r="N11" s="44" t="n">
        <x:f>SUM(N7:N10)</x:f>
        <x:v>120.00000000000003</x:v>
      </x:c>
      <x:c r="O11" s="43" t="n">
        <x:f>SUM(O7:O10)</x:f>
        <x:v>6000</x:v>
      </x:c>
      <x:c r="P11" s="43" t="n">
        <x:f>SUM(P7:P10)</x:f>
        <x:v>2820.000000000002</x:v>
      </x:c>
      <x:c r="Q11" s="45" t="n">
        <x:f>IF(I11=0,"N/A",P11/I11)</x:f>
        <x:v>0.8867924528301893</x:v>
      </x:c>
      <x:c r="R11" s="44" t="n">
        <x:f>SUM(R7:R10)</x:f>
        <x:v>132.03999999999996</x:v>
      </x:c>
      <x:c r="S11" s="45" t="n">
        <x:f>IF(M11=0,"N/A",R11/M11)</x:f>
        <x:v>0.16504999999999995</x:v>
      </x:c>
      <x:c r="T11" s="42" t="n">
        <x:f>SUM(T7:T10)</x:f>
        <x:v>882</x:v>
      </x:c>
      <x:c r="U11" s="45" t="n">
        <x:f>IF(J11=0,"N/A",T11/J11)</x:f>
        <x:v>0.2625</x:v>
      </x:c>
      <x:c r="V11" s="42" t="n">
        <x:f>SUM(V7:V10)</x:f>
        <x:v>154</x:v>
      </x:c>
      <x:c r="W11" s="42" t="n">
        <x:f>SUM(W7:W10)</x:f>
        <x:v>57</x:v>
      </x:c>
      <x:c r="X11" s="42" t="n">
        <x:f>SUM(X7:X10)</x:f>
        <x:v>141</x:v>
      </x:c>
      <x:c r="Y11" s="42" t="n">
        <x:f>SUM(Y7:Y10)</x:f>
        <x:v>99</x:v>
      </x:c>
      <x:c r="Z11" s="43" t="n">
        <x:f>SUM(Z7:Z10)</x:f>
        <x:v>95000</x:v>
      </x:c>
      <x:c r="AA11" s="43" t="n">
        <x:f>SUM(AA7:AA10)</x:f>
        <x:v>39000</x:v>
      </x:c>
      <x:c r="AB11" s="46" t="n">
        <x:f>M11*'Solution'!$C$5</x:f>
        <x:v>40000</x:v>
      </x:c>
      <x:c r="AC11" s="43" t="n">
        <x:f>Z11-AA11-AB11-I11</x:f>
        <x:v>12820</x:v>
      </x:c>
      <x:c r="AD11" s="46" t="n">
        <x:f>(L11*0.8-M11)*'Solution'!$C$5-I11</x:f>
        <x:v>-6380</x:v>
      </x:c>
      <x:c r="AE11" s="46" t="n">
        <x:f>(L11*1.2-M11)*'Solution'!$C$5-I11</x:f>
        <x:v>12020</x:v>
      </x:c>
    </x:row>
    <x:row r="12" ht="23" customHeight="1">
      <x:c r="A12" s="37" t="str">
        <x:v>FOCAL</x:v>
      </x:c>
      <x:c r="B12" s="37" t="str">
        <x:v>Campaigns 1 and 2</x:v>
      </x:c>
      <x:c r="C12" s="37" t="n">
        <x:f>SUMIFS(C$7:C$10,$A$7:$A$10,"C001")+SUMIFS(C$7:C$10,$A$7:$A$10,"C002")</x:f>
        <x:v>120</x:v>
      </x:c>
      <x:c r="D12" s="37" t="n">
        <x:f>SUMIFS(D$7:D$10,$A$7:$A$10,"C001")+SUMIFS(D$7:D$10,$A$7:$A$10,"C002")</x:f>
        <x:v>54000000</x:v>
      </x:c>
      <x:c r="E12" s="37" t="n">
        <x:f>SUMIFS(E$7:E$10,$A$7:$A$10,"C001")+SUMIFS(E$7:E$10,$A$7:$A$10,"C002")</x:f>
        <x:v>15000000</x:v>
      </x:c>
      <x:c r="F12" s="37" t="n">
        <x:f>SUMIFS(F$7:F$10,$A$7:$A$10,"C001")+SUMIFS(F$7:F$10,$A$7:$A$10,"C002")</x:f>
        <x:v>69000000</x:v>
      </x:c>
      <x:c r="G12" s="38" t="n">
        <x:f>SUMIFS(G$7:G$10,$A$7:$A$10,"C001")+SUMIFS(G$7:G$10,$A$7:$A$10,"C002")</x:f>
        <x:v>959.9999999999998</x:v>
      </x:c>
      <x:c r="H12" s="38" t="n">
        <x:f>SUMIFS(H$7:H$10,$A$7:$A$10,"C001")+SUMIFS(H$7:H$10,$A$7:$A$10,"C002")</x:f>
        <x:v>940.0000000000001</x:v>
      </x:c>
      <x:c r="I12" s="38" t="n">
        <x:f>SUMIFS(I$7:I$10,$A$7:$A$10,"C001")+SUMIFS(I$7:I$10,$A$7:$A$10,"C002")</x:f>
        <x:v>1900</x:v>
      </x:c>
      <x:c r="J12" s="37" t="n">
        <x:f>SUMIFS(J$7:J$10,$A$7:$A$10,"C001")+SUMIFS(J$7:J$10,$A$7:$A$10,"C002")</x:f>
        <x:v>1800</x:v>
      </x:c>
      <x:c r="K12" s="38" t="n">
        <x:f>IF(J12=0,"N/A",I12/J12)</x:f>
        <x:v>1.0555555555555556</x:v>
      </x:c>
      <x:c r="L12" s="39" t="n">
        <x:f>SUMIFS(L$7:L$10,$A$7:$A$10,"C001")+SUMIFS(L$7:L$10,$A$7:$A$10,"C002")</x:f>
        <x:v>440</x:v>
      </x:c>
      <x:c r="M12" s="39" t="n">
        <x:f>SUMIFS(M$7:M$10,$A$7:$A$10,"C001")+SUMIFS(M$7:M$10,$A$7:$A$10,"C002")</x:f>
        <x:v>410</x:v>
      </x:c>
      <x:c r="N12" s="39" t="n">
        <x:f>SUMIFS(N$7:N$10,$A$7:$A$10,"C001")+SUMIFS(N$7:N$10,$A$7:$A$10,"C002")</x:f>
        <x:v>30.00000000000003</x:v>
      </x:c>
      <x:c r="O12" s="38" t="n">
        <x:f>SUMIFS(O$7:O$10,$A$7:$A$10,"C001")+SUMIFS(O$7:O$10,$A$7:$A$10,"C002")</x:f>
        <x:v>1500</x:v>
      </x:c>
      <x:c r="P12" s="38" t="n">
        <x:f>SUMIFS(P$7:P$10,$A$7:$A$10,"C001")+SUMIFS(P$7:P$10,$A$7:$A$10,"C002")</x:f>
        <x:v>-399.9999999999982</x:v>
      </x:c>
      <x:c r="Q12" s="40" t="n">
        <x:f>IF(I12=0,"N/A",P12/I12)</x:f>
        <x:v>-0.21052631578947273</x:v>
      </x:c>
      <x:c r="R12" s="39" t="n">
        <x:f>SUMIFS(R$7:R$10,$A$7:$A$10,"C001")+SUMIFS(R$7:R$10,$A$7:$A$10,"C002")</x:f>
        <x:v>98.55999999999997</x:v>
      </x:c>
      <x:c r="S12" s="40" t="n">
        <x:f>IF(M12=0,"N/A",R12/M12)</x:f>
        <x:v>0.24039024390243896</x:v>
      </x:c>
      <x:c r="T12" s="37" t="n">
        <x:f>SUMIFS(T$7:T$10,$A$7:$A$10,"C001")+SUMIFS(T$7:T$10,$A$7:$A$10,"C002")</x:f>
        <x:v>550</x:v>
      </x:c>
      <x:c r="U12" s="40" t="n">
        <x:f>IF(J12=0,"N/A",T12/J12)</x:f>
        <x:v>0.3055555555555556</x:v>
      </x:c>
      <x:c r="V12" s="37" t="n">
        <x:f>SUMIFS(V$7:V$10,$A$7:$A$10,"C001")+SUMIFS(V$7:V$10,$A$7:$A$10,"C002")</x:f>
        <x:v>72</x:v>
      </x:c>
      <x:c r="W12" s="37" t="n">
        <x:f>SUMIFS(W$7:W$10,$A$7:$A$10,"C001")+SUMIFS(W$7:W$10,$A$7:$A$10,"C002")</x:f>
        <x:v>37</x:v>
      </x:c>
      <x:c r="X12" s="37" t="n">
        <x:f>SUMIFS(X$7:X$10,$A$7:$A$10,"C001")+SUMIFS(X$7:X$10,$A$7:$A$10,"C002")</x:f>
        <x:v>62</x:v>
      </x:c>
      <x:c r="Y12" s="37" t="n">
        <x:f>SUMIFS(Y$7:Y$10,$A$7:$A$10,"C001")+SUMIFS(Y$7:Y$10,$A$7:$A$10,"C002")</x:f>
        <x:v>58</x:v>
      </x:c>
      <x:c r="Z12" s="38" t="n">
        <x:f>SUMIFS(Z$7:Z$10,$A$7:$A$10,"C001")+SUMIFS(Z$7:Z$10,$A$7:$A$10,"C002")</x:f>
        <x:v>45000</x:v>
      </x:c>
      <x:c r="AA12" s="38" t="n">
        <x:f>SUMIFS(AA$7:AA$10,$A$7:$A$10,"C001")+SUMIFS(AA$7:AA$10,$A$7:$A$10,"C002")</x:f>
        <x:v>17500</x:v>
      </x:c>
      <x:c r="AB12" s="41" t="n">
        <x:f>M12*'Solution'!$C$5</x:f>
        <x:v>20500</x:v>
      </x:c>
      <x:c r="AC12" s="38" t="n">
        <x:f>Z12-AA12-AB12-I12</x:f>
        <x:v>5100</x:v>
      </x:c>
      <x:c r="AD12" s="41" t="n">
        <x:f>(L12*0.8-M12)*'Solution'!$C$5-I12</x:f>
        <x:v>-4800</x:v>
      </x:c>
      <x:c r="AE12" s="41" t="n">
        <x:f>(L12*1.2-M12)*'Solution'!$C$5-I12</x:f>
        <x:v>4000</x:v>
      </x:c>
    </x:row>
    <x:row r="15" ht="44" customHeight="1">
      <x:c r="A15" s="62" t="str">
        <x:v>Campaign</x:v>
      </x:c>
      <x:c r="B15" s="62" t="str">
        <x:v>Estimated hours</x:v>
      </x:c>
      <x:c r="C15" s="62" t="str">
        <x:v>Actual hours</x:v>
      </x:c>
    </x:row>
    <x:row r="16" ht="23" customHeight="1">
      <x:c r="A16" s="59" t="str">
        <x:f>INDEX($B$7:$B$10,MATCH("C001",$A$7:$A$10,0))</x:f>
        <x:v>Campaign 1</x:v>
      </x:c>
      <x:c r="B16" s="63" t="n">
        <x:f>INDEX($L$7:$L$10,MATCH("C001",$A$7:$A$10,0))</x:f>
        <x:v>240</x:v>
      </x:c>
      <x:c r="C16" s="63" t="n">
        <x:f>INDEX($M$7:$M$10,MATCH("C001",$A$7:$A$10,0))</x:f>
        <x:v>140</x:v>
      </x:c>
    </x:row>
    <x:row r="17" ht="23" customHeight="1">
      <x:c r="A17" s="59" t="str">
        <x:f>INDEX($B$7:$B$10,MATCH("C002",$A$7:$A$10,0))</x:f>
        <x:v>Campaign 2</x:v>
      </x:c>
      <x:c r="B17" s="63" t="n">
        <x:f>INDEX($L$7:$L$10,MATCH("C002",$A$7:$A$10,0))</x:f>
        <x:v>200</x:v>
      </x:c>
      <x:c r="C17" s="63" t="n">
        <x:f>INDEX($M$7:$M$10,MATCH("C002",$A$7:$A$10,0))</x:f>
        <x:v>270</x:v>
      </x:c>
    </x:row>
    <x:row r="18" ht="23" customHeight="1">
      <x:c r="A18" s="59" t="str">
        <x:f>INDEX($B$7:$B$10,MATCH("C003",$A$7:$A$10,0))</x:f>
        <x:v>Campaign 3</x:v>
      </x:c>
      <x:c r="B18" s="63" t="n">
        <x:f>INDEX($L$7:$L$10,MATCH("C003",$A$7:$A$10,0))</x:f>
        <x:v>220.00000000000006</x:v>
      </x:c>
      <x:c r="C18" s="63" t="n">
        <x:f>INDEX($M$7:$M$10,MATCH("C003",$A$7:$A$10,0))</x:f>
        <x:v>171.99999999999997</x:v>
      </x:c>
    </x:row>
    <x:row r="19" ht="23" customHeight="1">
      <x:c r="A19" s="59" t="str">
        <x:f>INDEX($B$7:$B$10,MATCH("C004",$A$7:$A$10,0))</x:f>
        <x:v>Campaign 4</x:v>
      </x:c>
      <x:c r="B19" s="63" t="n">
        <x:f>INDEX($L$7:$L$10,MATCH("C004",$A$7:$A$10,0))</x:f>
        <x:v>260</x:v>
      </x:c>
      <x:c r="C19" s="63" t="n">
        <x:f>INDEX($M$7:$M$10,MATCH("C004",$A$7:$A$10,0))</x:f>
        <x:v>217.99999999999997</x:v>
      </x:c>
    </x:row>
  </x:sheetData>
  <x:pageMargins left="0.7" right="0.7" top="0.75" bottom="0.75" header="0.3" footer="0.3"/>
  <x:tableParts count="1">
    <x:tablePart xmlns:r="http://schemas.openxmlformats.org/officeDocument/2006/relationships" r:id="R4558c86fe8f74a0b"/>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8" hidden="0" customWidth="1"/>
    <x:col min="2" max="2" width="30" hidden="0" customWidth="1"/>
    <x:col min="3" max="3" width="24"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3" customHeight="1">
      <x:c r="A1" s="3"/>
      <x:c r="B1" s="3"/>
      <x:c r="C1" s="3"/>
      <x:c r="D1" s="3"/>
      <x:c r="E1" s="3"/>
      <x:c r="F1" s="3"/>
      <x:c r="G1" s="3"/>
      <x:c r="H1" s="3"/>
      <x:c r="I1" s="3"/>
      <x:c r="J1" s="3"/>
      <x:c r="K1" s="3"/>
      <x:c r="L1" s="3"/>
      <x:c r="M1" s="3"/>
      <x:c r="N1" s="3"/>
      <x:c r="O1" s="3"/>
      <x:c r="P1" s="3"/>
      <x:c r="Q1" s="3"/>
      <x:c r="R1" s="3"/>
      <x:c r="S1" s="3"/>
      <x:c r="T1" s="3"/>
      <x:c r="U1" s="3"/>
      <x:c r="V1" s="3"/>
      <x:c r="W1" s="3"/>
      <x:c r="X1" s="3"/>
      <x:c r="Y1" s="3"/>
      <x:c r="Z1" s="3"/>
    </x:row>
    <x:row r="2" ht="29" customHeight="1">
      <x:c r="A2" s="4" t="str">
        <x:v>Product, model and department comparisons</x:v>
      </x:c>
      <x:c r="B2" s="3"/>
      <x:c r="C2" s="3"/>
      <x:c r="D2" s="3"/>
      <x:c r="E2" s="3"/>
      <x:c r="F2" s="3"/>
      <x:c r="G2" s="3"/>
      <x:c r="H2" s="3"/>
      <x:c r="I2" s="3"/>
      <x:c r="J2" s="3"/>
      <x:c r="K2" s="3"/>
      <x:c r="L2" s="3"/>
      <x:c r="M2" s="3"/>
      <x:c r="N2" s="3"/>
      <x:c r="O2" s="3"/>
      <x:c r="P2" s="3"/>
      <x:c r="Q2" s="3"/>
      <x:c r="R2" s="3"/>
      <x:c r="S2" s="3"/>
      <x:c r="T2" s="3"/>
      <x:c r="U2" s="3"/>
      <x:c r="V2" s="3"/>
      <x:c r="W2" s="3"/>
      <x:c r="X2" s="3"/>
      <x:c r="Y2" s="3"/>
      <x:c r="Z2" s="3"/>
    </x:row>
    <x:row r="3" ht="23" customHeight="1">
      <x:c r="A3" s="3"/>
      <x:c r="B3" s="3"/>
      <x:c r="C3" s="3"/>
      <x:c r="D3" s="3"/>
      <x:c r="E3" s="3"/>
      <x:c r="F3" s="3"/>
      <x:c r="G3" s="3"/>
      <x:c r="H3" s="3"/>
      <x:c r="I3" s="3"/>
      <x:c r="J3" s="3"/>
      <x:c r="K3" s="3"/>
      <x:c r="L3" s="3"/>
      <x:c r="M3" s="3"/>
      <x:c r="N3" s="3"/>
      <x:c r="O3" s="3"/>
      <x:c r="P3" s="3"/>
      <x:c r="Q3" s="3"/>
      <x:c r="R3" s="3"/>
      <x:c r="S3" s="3"/>
      <x:c r="T3" s="3"/>
      <x:c r="U3" s="3"/>
      <x:c r="V3" s="3"/>
      <x:c r="W3" s="3"/>
      <x:c r="X3" s="3"/>
      <x:c r="Y3" s="3"/>
      <x:c r="Z3" s="3"/>
    </x:row>
    <x:row r="4" ht="23" customHeight="1">
      <x:c r="A4" s="5" t="str">
        <x:v>Filter campaign_id to C001 and C002 for the focal comparison. Rows from different dimensions overlap and must not be added together.</x:v>
      </x:c>
      <x:c r="B4" s="3"/>
      <x:c r="C4" s="3"/>
      <x:c r="D4" s="3"/>
      <x:c r="E4" s="3"/>
      <x:c r="F4" s="3"/>
      <x:c r="G4" s="3"/>
      <x:c r="H4" s="3"/>
      <x:c r="I4" s="3"/>
      <x:c r="J4" s="3"/>
      <x:c r="K4" s="3"/>
      <x:c r="L4" s="3"/>
      <x:c r="M4" s="3"/>
      <x:c r="N4" s="3"/>
      <x:c r="O4" s="3"/>
      <x:c r="P4" s="3"/>
      <x:c r="Q4" s="3"/>
      <x:c r="R4" s="3"/>
      <x:c r="S4" s="3"/>
      <x:c r="T4" s="3"/>
      <x:c r="U4" s="3"/>
      <x:c r="V4" s="3"/>
      <x:c r="W4" s="3"/>
      <x:c r="X4" s="3"/>
      <x:c r="Y4" s="3"/>
      <x:c r="Z4" s="3"/>
    </x:row>
    <x:row r="5" ht="23" customHeight="1">
      <x:c r="A5" s="3"/>
      <x:c r="B5" s="3"/>
      <x:c r="C5" s="3"/>
      <x:c r="D5" s="3"/>
      <x:c r="E5" s="3"/>
      <x:c r="F5" s="3"/>
      <x:c r="G5" s="3"/>
      <x:c r="H5" s="3"/>
      <x:c r="I5" s="3"/>
      <x:c r="J5" s="3"/>
      <x:c r="K5" s="3"/>
      <x:c r="L5" s="3"/>
      <x:c r="M5" s="3"/>
      <x:c r="N5" s="3"/>
      <x:c r="O5" s="3"/>
      <x:c r="P5" s="3"/>
      <x:c r="Q5" s="3"/>
      <x:c r="R5" s="3"/>
      <x:c r="S5" s="3"/>
      <x:c r="T5" s="3"/>
      <x:c r="U5" s="3"/>
      <x:c r="V5" s="3"/>
      <x:c r="W5" s="3"/>
      <x:c r="X5" s="3"/>
      <x:c r="Y5" s="3"/>
      <x:c r="Z5" s="3"/>
    </x:row>
    <x:row r="6" ht="44" customHeight="1">
      <x:c r="A6" s="14" t="str">
        <x:v>campaign_id</x:v>
      </x:c>
      <x:c r="B6" s="15" t="str">
        <x:v>dimension</x:v>
      </x:c>
      <x:c r="C6" s="15" t="str">
        <x:v>group</x:v>
      </x:c>
      <x:c r="D6" s="15" t="str">
        <x:v>tasks</x:v>
      </x:c>
      <x:c r="E6" s="15" t="str">
        <x:v>input_tokens</x:v>
      </x:c>
      <x:c r="F6" s="15" t="str">
        <x:v>output_tokens</x:v>
      </x:c>
      <x:c r="G6" s="15" t="str">
        <x:v>total_tokens</x:v>
      </x:c>
      <x:c r="H6" s="15" t="str">
        <x:v>input_cost_usd</x:v>
      </x:c>
      <x:c r="I6" s="15" t="str">
        <x:v>output_cost_usd</x:v>
      </x:c>
      <x:c r="J6" s="15" t="str">
        <x:v>ai_cost_usd</x:v>
      </x:c>
      <x:c r="K6" s="15" t="str">
        <x:v>prompt_count</x:v>
      </x:c>
      <x:c r="L6" s="15" t="str">
        <x:v>cost_per_prompt_usd</x:v>
      </x:c>
      <x:c r="M6" s="15" t="str">
        <x:v>baseline_hours</x:v>
      </x:c>
      <x:c r="N6" s="15" t="str">
        <x:v>actual_hours</x:v>
      </x:c>
      <x:c r="O6" s="15" t="str">
        <x:v>hours_saved</x:v>
      </x:c>
      <x:c r="P6" s="15" t="str">
        <x:v>time_value_usd</x:v>
      </x:c>
      <x:c r="Q6" s="15" t="str">
        <x:v>net_ai_value_usd</x:v>
      </x:c>
      <x:c r="R6" s="15" t="str">
        <x:v>ai_roi</x:v>
      </x:c>
      <x:c r="S6" s="15" t="str">
        <x:v>rework_hours</x:v>
      </x:c>
      <x:c r="T6" s="15" t="str">
        <x:v>rework_share</x:v>
      </x:c>
      <x:c r="U6" s="15" t="str">
        <x:v>correction_prompts</x:v>
      </x:c>
      <x:c r="V6" s="15" t="str">
        <x:v>correction_share</x:v>
      </x:c>
      <x:c r="W6" s="15" t="str">
        <x:v>template_tasks</x:v>
      </x:c>
      <x:c r="X6" s="15" t="str">
        <x:v>changed_brief_tasks</x:v>
      </x:c>
      <x:c r="Y6" s="15" t="str">
        <x:v>positive_net_value_tasks</x:v>
      </x:c>
      <x:c r="Z6" s="16" t="str">
        <x:v>negative_net_value_tasks</x:v>
      </x:c>
    </x:row>
    <x:row r="7" ht="23" customHeight="1">
      <x:c r="A7" s="17" t="str">
        <x:v>C001</x:v>
      </x:c>
      <x:c r="B7" s="17" t="str">
        <x:v>product</x:v>
      </x:c>
      <x:c r="C7" s="17" t="str">
        <x:v>CampaignChat</x:v>
      </x:c>
      <x:c r="D7" s="17" t="n">
        <x:f>COUNTIFS('Tasks'!$C$7:$C$246,$A7,'Tasks'!$M$7:$M$246,$C7)</x:f>
        <x:v>18</x:v>
      </x:c>
      <x:c r="E7" s="17" t="n">
        <x:f>SUMIFS('Tasks'!$O$7:$O$246,'Tasks'!$C$7:$C$246,$A7,'Tasks'!$M$7:$M$246,$C7)</x:f>
        <x:v>5467766</x:v>
      </x:c>
      <x:c r="F7" s="17" t="n">
        <x:f>SUMIFS('Tasks'!$P$7:$P$246,'Tasks'!$C$7:$C$246,$A7,'Tasks'!$M$7:$M$246,$C7)</x:f>
        <x:v>1408252</x:v>
      </x:c>
      <x:c r="G7" s="17" t="n">
        <x:f>SUMIFS('Tasks'!$Q$7:$Q$246,'Tasks'!$C$7:$C$246,$A7,'Tasks'!$M$7:$M$246,$C7)</x:f>
        <x:v>6876018</x:v>
      </x:c>
      <x:c r="H7" s="22" t="n">
        <x:f>SUMIFS('Tasks'!$S$7:$S$246,'Tasks'!$C$7:$C$246,$A7,'Tasks'!$M$7:$M$246,$C7)</x:f>
        <x:v>74.12897</x:v>
      </x:c>
      <x:c r="I7" s="22" t="n">
        <x:f>SUMIFS('Tasks'!$T$7:$T$246,'Tasks'!$C$7:$C$246,$A7,'Tasks'!$M$7:$M$246,$C7)</x:f>
        <x:v>62.41624</x:v>
      </x:c>
      <x:c r="J7" s="22" t="n">
        <x:f>SUMIFS('Tasks'!$U$7:$U$246,'Tasks'!$C$7:$C$246,$A7,'Tasks'!$M$7:$M$246,$C7)</x:f>
        <x:v>136.54521</x:v>
      </x:c>
      <x:c r="K7" s="17" t="n">
        <x:f>SUMIFS('Tasks'!$R$7:$R$246,'Tasks'!$C$7:$C$246,$A7,'Tasks'!$M$7:$M$246,$C7)</x:f>
        <x:v>176</x:v>
      </x:c>
      <x:c r="L7" s="22" t="n">
        <x:f>IF(K7=0,"N/A",J7/K7)</x:f>
        <x:v>0.7758250568181818</x:v>
      </x:c>
      <x:c r="M7" s="19" t="n">
        <x:f>SUMIFS('Tasks'!$G$7:$G$246,'Tasks'!$C$7:$C$246,$A7,'Tasks'!$M$7:$M$246,$C7)</x:f>
        <x:v>72.02000000000001</x:v>
      </x:c>
      <x:c r="N7" s="19" t="n">
        <x:f>SUMIFS('Tasks'!$H$7:$H$246,'Tasks'!$C$7:$C$246,$A7,'Tasks'!$M$7:$M$246,$C7)</x:f>
        <x:v>36.98</x:v>
      </x:c>
      <x:c r="O7" s="19" t="n">
        <x:f>SUMIFS('Tasks'!$Y$7:$Y$246,'Tasks'!$C$7:$C$246,$A7,'Tasks'!$M$7:$M$246,$C7)</x:f>
        <x:v>35.040000000000006</x:v>
      </x:c>
      <x:c r="P7" s="22" t="n">
        <x:f>SUMIFS('Tasks'!$Z$7:$Z$246,'Tasks'!$C$7:$C$246,$A7,'Tasks'!$M$7:$M$246,$C7)</x:f>
        <x:v>1752</x:v>
      </x:c>
      <x:c r="Q7" s="22" t="n">
        <x:f>SUMIFS('Tasks'!$AA$7:$AA$246,'Tasks'!$C$7:$C$246,$A7,'Tasks'!$M$7:$M$246,$C7)</x:f>
        <x:v>1615.4547899999998</x:v>
      </x:c>
      <x:c r="R7" s="31" t="n">
        <x:f>IF(J7=0,"N/A",Q7/J7)</x:f>
        <x:v>11.830915123276752</x:v>
      </x:c>
      <x:c r="S7" s="19" t="n">
        <x:f>SUMIFS('Tasks'!$I$7:$I$246,'Tasks'!$C$7:$C$246,$A7,'Tasks'!$M$7:$M$246,$C7)</x:f>
        <x:v>2.3400000000000003</x:v>
      </x:c>
      <x:c r="T7" s="31" t="n">
        <x:f>IF(N7=0,"N/A",S7/N7)</x:f>
        <x:v>0.06327744726879396</x:v>
      </x:c>
      <x:c r="U7" s="17" t="n">
        <x:f>SUMIFS('Tasks'!$X$7:$X$246,'Tasks'!$C$7:$C$246,$A7,'Tasks'!$M$7:$M$246,$C7)</x:f>
        <x:v>20</x:v>
      </x:c>
      <x:c r="V7" s="31" t="n">
        <x:f>IF(K7=0,"N/A",U7/K7)</x:f>
        <x:v>0.11363636363636363</x:v>
      </x:c>
      <x:c r="W7" s="17" t="n">
        <x:f>COUNTIFS('Tasks'!$C$7:$C$246,$A7,'Tasks'!$M$7:$M$246,$C7,'Tasks'!$L$7:$L$246,"Yes")</x:f>
        <x:v>17</x:v>
      </x:c>
      <x:c r="X7" s="17" t="n">
        <x:f>COUNTIFS('Tasks'!$C$7:$C$246,$A7,'Tasks'!$M$7:$M$246,$C7,'Tasks'!$K$7:$K$246,"Yes")</x:f>
        <x:v>3</x:v>
      </x:c>
      <x:c r="Y7" s="17" t="n">
        <x:f>COUNTIFS('Tasks'!$C$7:$C$246,$A7,'Tasks'!$M$7:$M$246,$C7,'Tasks'!$AA$7:$AA$246,"&gt;0")</x:f>
        <x:v>17</x:v>
      </x:c>
      <x:c r="Z7" s="17" t="n">
        <x:f>COUNTIFS('Tasks'!$C$7:$C$246,$A7,'Tasks'!$M$7:$M$246,$C7,'Tasks'!$AA$7:$AA$246,"&lt;0")</x:f>
        <x:v>1</x:v>
      </x:c>
    </x:row>
    <x:row r="8" ht="23" customHeight="1">
      <x:c r="A8" s="17" t="str">
        <x:v>C001</x:v>
      </x:c>
      <x:c r="B8" s="17" t="str">
        <x:v>product</x:v>
      </x:c>
      <x:c r="C8" s="17" t="str">
        <x:v>CopyStudio</x:v>
      </x:c>
      <x:c r="D8" s="17" t="n">
        <x:f>COUNTIFS('Tasks'!$C$7:$C$246,$A8,'Tasks'!$M$7:$M$246,$C8)</x:f>
        <x:v>15</x:v>
      </x:c>
      <x:c r="E8" s="17" t="n">
        <x:f>SUMIFS('Tasks'!$O$7:$O$246,'Tasks'!$C$7:$C$246,$A8,'Tasks'!$M$7:$M$246,$C8)</x:f>
        <x:v>6654483</x:v>
      </x:c>
      <x:c r="F8" s="17" t="n">
        <x:f>SUMIFS('Tasks'!$P$7:$P$246,'Tasks'!$C$7:$C$246,$A8,'Tasks'!$M$7:$M$246,$C8)</x:f>
        <x:v>1306015</x:v>
      </x:c>
      <x:c r="G8" s="17" t="n">
        <x:f>SUMIFS('Tasks'!$Q$7:$Q$246,'Tasks'!$C$7:$C$246,$A8,'Tasks'!$M$7:$M$246,$C8)</x:f>
        <x:v>7960498</x:v>
      </x:c>
      <x:c r="H8" s="22" t="n">
        <x:f>SUMIFS('Tasks'!$S$7:$S$246,'Tasks'!$C$7:$C$246,$A8,'Tasks'!$M$7:$M$246,$C8)</x:f>
        <x:v>74.29266</x:v>
      </x:c>
      <x:c r="I8" s="22" t="n">
        <x:f>SUMIFS('Tasks'!$T$7:$T$246,'Tasks'!$C$7:$C$246,$A8,'Tasks'!$M$7:$M$246,$C8)</x:f>
        <x:v>47.10515</x:v>
      </x:c>
      <x:c r="J8" s="22" t="n">
        <x:f>SUMIFS('Tasks'!$U$7:$U$246,'Tasks'!$C$7:$C$246,$A8,'Tasks'!$M$7:$M$246,$C8)</x:f>
        <x:v>121.39780999999999</x:v>
      </x:c>
      <x:c r="K8" s="17" t="n">
        <x:f>SUMIFS('Tasks'!$R$7:$R$246,'Tasks'!$C$7:$C$246,$A8,'Tasks'!$M$7:$M$246,$C8)</x:f>
        <x:v>155</x:v>
      </x:c>
      <x:c r="L8" s="22" t="n">
        <x:f>IF(K8=0,"N/A",J8/K8)</x:f>
        <x:v>0.7832116774193548</x:v>
      </x:c>
      <x:c r="M8" s="19" t="n">
        <x:f>SUMIFS('Tasks'!$G$7:$G$246,'Tasks'!$C$7:$C$246,$A8,'Tasks'!$M$7:$M$246,$C8)</x:f>
        <x:v>63.56000000000001</x:v>
      </x:c>
      <x:c r="N8" s="19" t="n">
        <x:f>SUMIFS('Tasks'!$H$7:$H$246,'Tasks'!$C$7:$C$246,$A8,'Tasks'!$M$7:$M$246,$C8)</x:f>
        <x:v>36.940000000000005</x:v>
      </x:c>
      <x:c r="O8" s="19" t="n">
        <x:f>SUMIFS('Tasks'!$Y$7:$Y$246,'Tasks'!$C$7:$C$246,$A8,'Tasks'!$M$7:$M$246,$C8)</x:f>
        <x:v>26.619999999999997</x:v>
      </x:c>
      <x:c r="P8" s="22" t="n">
        <x:f>SUMIFS('Tasks'!$Z$7:$Z$246,'Tasks'!$C$7:$C$246,$A8,'Tasks'!$M$7:$M$246,$C8)</x:f>
        <x:v>1331</x:v>
      </x:c>
      <x:c r="Q8" s="22" t="n">
        <x:f>SUMIFS('Tasks'!$AA$7:$AA$246,'Tasks'!$C$7:$C$246,$A8,'Tasks'!$M$7:$M$246,$C8)</x:f>
        <x:v>1209.6021899999998</x:v>
      </x:c>
      <x:c r="R8" s="31" t="n">
        <x:f>IF(J8=0,"N/A",Q8/J8)</x:f>
        <x:v>9.963953962596195</x:v>
      </x:c>
      <x:c r="S8" s="19" t="n">
        <x:f>SUMIFS('Tasks'!$I$7:$I$246,'Tasks'!$C$7:$C$246,$A8,'Tasks'!$M$7:$M$246,$C8)</x:f>
        <x:v>2.9199999999999995</x:v>
      </x:c>
      <x:c r="T8" s="31" t="n">
        <x:f>IF(N8=0,"N/A",S8/N8)</x:f>
        <x:v>0.07904710341093663</x:v>
      </x:c>
      <x:c r="U8" s="17" t="n">
        <x:f>SUMIFS('Tasks'!$X$7:$X$246,'Tasks'!$C$7:$C$246,$A8,'Tasks'!$M$7:$M$246,$C8)</x:f>
        <x:v>16</x:v>
      </x:c>
      <x:c r="V8" s="31" t="n">
        <x:f>IF(K8=0,"N/A",U8/K8)</x:f>
        <x:v>0.1032258064516129</x:v>
      </x:c>
      <x:c r="W8" s="17" t="n">
        <x:f>COUNTIFS('Tasks'!$C$7:$C$246,$A8,'Tasks'!$M$7:$M$246,$C8,'Tasks'!$L$7:$L$246,"Yes")</x:f>
        <x:v>15</x:v>
      </x:c>
      <x:c r="X8" s="17" t="n">
        <x:f>COUNTIFS('Tasks'!$C$7:$C$246,$A8,'Tasks'!$M$7:$M$246,$C8,'Tasks'!$K$7:$K$246,"Yes")</x:f>
        <x:v>1</x:v>
      </x:c>
      <x:c r="Y8" s="17" t="n">
        <x:f>COUNTIFS('Tasks'!$C$7:$C$246,$A8,'Tasks'!$M$7:$M$246,$C8,'Tasks'!$AA$7:$AA$246,"&gt;0")</x:f>
        <x:v>13</x:v>
      </x:c>
      <x:c r="Z8" s="17" t="n">
        <x:f>COUNTIFS('Tasks'!$C$7:$C$246,$A8,'Tasks'!$M$7:$M$246,$C8,'Tasks'!$AA$7:$AA$246,"&lt;0")</x:f>
        <x:v>2</x:v>
      </x:c>
    </x:row>
    <x:row r="9" ht="23" customHeight="1">
      <x:c r="A9" s="17" t="str">
        <x:v>C001</x:v>
      </x:c>
      <x:c r="B9" s="17" t="str">
        <x:v>product</x:v>
      </x:c>
      <x:c r="C9" s="17" t="str">
        <x:v>DataFlow</x:v>
      </x:c>
      <x:c r="D9" s="17" t="n">
        <x:f>COUNTIFS('Tasks'!$C$7:$C$246,$A9,'Tasks'!$M$7:$M$246,$C9)</x:f>
        <x:v>13</x:v>
      </x:c>
      <x:c r="E9" s="17" t="n">
        <x:f>SUMIFS('Tasks'!$O$7:$O$246,'Tasks'!$C$7:$C$246,$A9,'Tasks'!$M$7:$M$246,$C9)</x:f>
        <x:v>5338631</x:v>
      </x:c>
      <x:c r="F9" s="17" t="n">
        <x:f>SUMIFS('Tasks'!$P$7:$P$246,'Tasks'!$C$7:$C$246,$A9,'Tasks'!$M$7:$M$246,$C9)</x:f>
        <x:v>1096502</x:v>
      </x:c>
      <x:c r="G9" s="17" t="n">
        <x:f>SUMIFS('Tasks'!$Q$7:$Q$246,'Tasks'!$C$7:$C$246,$A9,'Tasks'!$M$7:$M$246,$C9)</x:f>
        <x:v>6435133</x:v>
      </x:c>
      <x:c r="H9" s="22" t="n">
        <x:f>SUMIFS('Tasks'!$S$7:$S$246,'Tasks'!$C$7:$C$246,$A9,'Tasks'!$M$7:$M$246,$C9)</x:f>
        <x:v>61.905799999999985</x:v>
      </x:c>
      <x:c r="I9" s="22" t="n">
        <x:f>SUMIFS('Tasks'!$T$7:$T$246,'Tasks'!$C$7:$C$246,$A9,'Tasks'!$M$7:$M$246,$C9)</x:f>
        <x:v>46.932930000000006</x:v>
      </x:c>
      <x:c r="J9" s="22" t="n">
        <x:f>SUMIFS('Tasks'!$U$7:$U$246,'Tasks'!$C$7:$C$246,$A9,'Tasks'!$M$7:$M$246,$C9)</x:f>
        <x:v>108.83872999999998</x:v>
      </x:c>
      <x:c r="K9" s="17" t="n">
        <x:f>SUMIFS('Tasks'!$R$7:$R$246,'Tasks'!$C$7:$C$246,$A9,'Tasks'!$M$7:$M$246,$C9)</x:f>
        <x:v>132</x:v>
      </x:c>
      <x:c r="L9" s="22" t="n">
        <x:f>IF(K9=0,"N/A",J9/K9)</x:f>
        <x:v>0.8245358333333332</x:v>
      </x:c>
      <x:c r="M9" s="19" t="n">
        <x:f>SUMIFS('Tasks'!$G$7:$G$246,'Tasks'!$C$7:$C$246,$A9,'Tasks'!$M$7:$M$246,$C9)</x:f>
        <x:v>52.16</x:v>
      </x:c>
      <x:c r="N9" s="19" t="n">
        <x:f>SUMIFS('Tasks'!$H$7:$H$246,'Tasks'!$C$7:$C$246,$A9,'Tasks'!$M$7:$M$246,$C9)</x:f>
        <x:v>31.459999999999997</x:v>
      </x:c>
      <x:c r="O9" s="19" t="n">
        <x:f>SUMIFS('Tasks'!$Y$7:$Y$246,'Tasks'!$C$7:$C$246,$A9,'Tasks'!$M$7:$M$246,$C9)</x:f>
        <x:v>20.7</x:v>
      </x:c>
      <x:c r="P9" s="22" t="n">
        <x:f>SUMIFS('Tasks'!$Z$7:$Z$246,'Tasks'!$C$7:$C$246,$A9,'Tasks'!$M$7:$M$246,$C9)</x:f>
        <x:v>1035</x:v>
      </x:c>
      <x:c r="Q9" s="22" t="n">
        <x:f>SUMIFS('Tasks'!$AA$7:$AA$246,'Tasks'!$C$7:$C$246,$A9,'Tasks'!$M$7:$M$246,$C9)</x:f>
        <x:v>926.1612700000001</x:v>
      </x:c>
      <x:c r="R9" s="31" t="n">
        <x:f>IF(J9=0,"N/A",Q9/J9)</x:f>
        <x:v>8.509482516012454</x:v>
      </x:c>
      <x:c r="S9" s="19" t="n">
        <x:f>SUMIFS('Tasks'!$I$7:$I$246,'Tasks'!$C$7:$C$246,$A9,'Tasks'!$M$7:$M$246,$C9)</x:f>
        <x:v>3.17</x:v>
      </x:c>
      <x:c r="T9" s="31" t="n">
        <x:f>IF(N9=0,"N/A",S9/N9)</x:f>
        <x:v>0.10076287349014622</x:v>
      </x:c>
      <x:c r="U9" s="17" t="n">
        <x:f>SUMIFS('Tasks'!$X$7:$X$246,'Tasks'!$C$7:$C$246,$A9,'Tasks'!$M$7:$M$246,$C9)</x:f>
        <x:v>17</x:v>
      </x:c>
      <x:c r="V9" s="31" t="n">
        <x:f>IF(K9=0,"N/A",U9/K9)</x:f>
        <x:v>0.12878787878787878</x:v>
      </x:c>
      <x:c r="W9" s="17" t="n">
        <x:f>COUNTIFS('Tasks'!$C$7:$C$246,$A9,'Tasks'!$M$7:$M$246,$C9,'Tasks'!$L$7:$L$246,"Yes")</x:f>
        <x:v>7</x:v>
      </x:c>
      <x:c r="X9" s="17" t="n">
        <x:f>COUNTIFS('Tasks'!$C$7:$C$246,$A9,'Tasks'!$M$7:$M$246,$C9,'Tasks'!$K$7:$K$246,"Yes")</x:f>
        <x:v>3</x:v>
      </x:c>
      <x:c r="Y9" s="17" t="n">
        <x:f>COUNTIFS('Tasks'!$C$7:$C$246,$A9,'Tasks'!$M$7:$M$246,$C9,'Tasks'!$AA$7:$AA$246,"&gt;0")</x:f>
        <x:v>11</x:v>
      </x:c>
      <x:c r="Z9" s="17" t="n">
        <x:f>COUNTIFS('Tasks'!$C$7:$C$246,$A9,'Tasks'!$M$7:$M$246,$C9,'Tasks'!$AA$7:$AA$246,"&lt;0")</x:f>
        <x:v>2</x:v>
      </x:c>
    </x:row>
    <x:row r="10" ht="23" customHeight="1">
      <x:c r="A10" s="17" t="str">
        <x:v>C001</x:v>
      </x:c>
      <x:c r="B10" s="17" t="str">
        <x:v>product</x:v>
      </x:c>
      <x:c r="C10" s="17" t="str">
        <x:v>InsightDesk</x:v>
      </x:c>
      <x:c r="D10" s="17" t="n">
        <x:f>COUNTIFS('Tasks'!$C$7:$C$246,$A10,'Tasks'!$M$7:$M$246,$C10)</x:f>
        <x:v>14</x:v>
      </x:c>
      <x:c r="E10" s="17" t="n">
        <x:f>SUMIFS('Tasks'!$O$7:$O$246,'Tasks'!$C$7:$C$246,$A10,'Tasks'!$M$7:$M$246,$C10)</x:f>
        <x:v>4539120</x:v>
      </x:c>
      <x:c r="F10" s="17" t="n">
        <x:f>SUMIFS('Tasks'!$P$7:$P$246,'Tasks'!$C$7:$C$246,$A10,'Tasks'!$M$7:$M$246,$C10)</x:f>
        <x:v>1189231</x:v>
      </x:c>
      <x:c r="G10" s="17" t="n">
        <x:f>SUMIFS('Tasks'!$Q$7:$Q$246,'Tasks'!$C$7:$C$246,$A10,'Tasks'!$M$7:$M$246,$C10)</x:f>
        <x:v>5728351</x:v>
      </x:c>
      <x:c r="H10" s="22" t="n">
        <x:f>SUMIFS('Tasks'!$S$7:$S$246,'Tasks'!$C$7:$C$246,$A10,'Tasks'!$M$7:$M$246,$C10)</x:f>
        <x:v>69.67257</x:v>
      </x:c>
      <x:c r="I10" s="22" t="n">
        <x:f>SUMIFS('Tasks'!$T$7:$T$246,'Tasks'!$C$7:$C$246,$A10,'Tasks'!$M$7:$M$246,$C10)</x:f>
        <x:v>63.54567999999999</x:v>
      </x:c>
      <x:c r="J10" s="22" t="n">
        <x:f>SUMIFS('Tasks'!$U$7:$U$246,'Tasks'!$C$7:$C$246,$A10,'Tasks'!$M$7:$M$246,$C10)</x:f>
        <x:v>133.21824999999998</x:v>
      </x:c>
      <x:c r="K10" s="17" t="n">
        <x:f>SUMIFS('Tasks'!$R$7:$R$246,'Tasks'!$C$7:$C$246,$A10,'Tasks'!$M$7:$M$246,$C10)</x:f>
        <x:v>137</x:v>
      </x:c>
      <x:c r="L10" s="22" t="n">
        <x:f>IF(K10=0,"N/A",J10/K10)</x:f>
        <x:v>0.9723959854014598</x:v>
      </x:c>
      <x:c r="M10" s="19" t="n">
        <x:f>SUMIFS('Tasks'!$G$7:$G$246,'Tasks'!$C$7:$C$246,$A10,'Tasks'!$M$7:$M$246,$C10)</x:f>
        <x:v>52.260000000000005</x:v>
      </x:c>
      <x:c r="N10" s="19" t="n">
        <x:f>SUMIFS('Tasks'!$H$7:$H$246,'Tasks'!$C$7:$C$246,$A10,'Tasks'!$M$7:$M$246,$C10)</x:f>
        <x:v>34.62</x:v>
      </x:c>
      <x:c r="O10" s="19" t="n">
        <x:f>SUMIFS('Tasks'!$Y$7:$Y$246,'Tasks'!$C$7:$C$246,$A10,'Tasks'!$M$7:$M$246,$C10)</x:f>
        <x:v>17.64</x:v>
      </x:c>
      <x:c r="P10" s="22" t="n">
        <x:f>SUMIFS('Tasks'!$Z$7:$Z$246,'Tasks'!$C$7:$C$246,$A10,'Tasks'!$M$7:$M$246,$C10)</x:f>
        <x:v>882</x:v>
      </x:c>
      <x:c r="Q10" s="22" t="n">
        <x:f>SUMIFS('Tasks'!$AA$7:$AA$246,'Tasks'!$C$7:$C$246,$A10,'Tasks'!$M$7:$M$246,$C10)</x:f>
        <x:v>748.78175</x:v>
      </x:c>
      <x:c r="R10" s="31" t="n">
        <x:f>IF(J10=0,"N/A",Q10/J10)</x:f>
        <x:v>5.620714504206444</x:v>
      </x:c>
      <x:c r="S10" s="19" t="n">
        <x:f>SUMIFS('Tasks'!$I$7:$I$246,'Tasks'!$C$7:$C$246,$A10,'Tasks'!$M$7:$M$246,$C10)</x:f>
        <x:v>2.31</x:v>
      </x:c>
      <x:c r="T10" s="31" t="n">
        <x:f>IF(N10=0,"N/A",S10/N10)</x:f>
        <x:v>0.06672443674176777</x:v>
      </x:c>
      <x:c r="U10" s="17" t="n">
        <x:f>SUMIFS('Tasks'!$X$7:$X$246,'Tasks'!$C$7:$C$246,$A10,'Tasks'!$M$7:$M$246,$C10)</x:f>
        <x:v>15</x:v>
      </x:c>
      <x:c r="V10" s="31" t="n">
        <x:f>IF(K10=0,"N/A",U10/K10)</x:f>
        <x:v>0.10948905109489052</x:v>
      </x:c>
      <x:c r="W10" s="17" t="n">
        <x:f>COUNTIFS('Tasks'!$C$7:$C$246,$A10,'Tasks'!$M$7:$M$246,$C10,'Tasks'!$L$7:$L$246,"Yes")</x:f>
        <x:v>14</x:v>
      </x:c>
      <x:c r="X10" s="17" t="n">
        <x:f>COUNTIFS('Tasks'!$C$7:$C$246,$A10,'Tasks'!$M$7:$M$246,$C10,'Tasks'!$K$7:$K$246,"Yes")</x:f>
        <x:v>3</x:v>
      </x:c>
      <x:c r="Y10" s="17" t="n">
        <x:f>COUNTIFS('Tasks'!$C$7:$C$246,$A10,'Tasks'!$M$7:$M$246,$C10,'Tasks'!$AA$7:$AA$246,"&gt;0")</x:f>
        <x:v>11</x:v>
      </x:c>
      <x:c r="Z10" s="17" t="n">
        <x:f>COUNTIFS('Tasks'!$C$7:$C$246,$A10,'Tasks'!$M$7:$M$246,$C10,'Tasks'!$AA$7:$AA$246,"&lt;0")</x:f>
        <x:v>3</x:v>
      </x:c>
    </x:row>
    <x:row r="11" ht="23" customHeight="1">
      <x:c r="A11" s="17" t="str">
        <x:v>C001</x:v>
      </x:c>
      <x:c r="B11" s="17" t="str">
        <x:v>model</x:v>
      </x:c>
      <x:c r="C11" s="17" t="str">
        <x:v>Lite</x:v>
      </x:c>
      <x:c r="D11" s="17" t="n">
        <x:f>COUNTIFS('Tasks'!$C$7:$C$246,$A11,'Tasks'!$N$7:$N$246,$C11)</x:f>
        <x:v>48</x:v>
      </x:c>
      <x:c r="E11" s="17" t="n">
        <x:f>SUMIFS('Tasks'!$O$7:$O$246,'Tasks'!$C$7:$C$246,$A11,'Tasks'!$N$7:$N$246,$C11)</x:f>
        <x:v>20000000</x:v>
      </x:c>
      <x:c r="F11" s="17" t="n">
        <x:f>SUMIFS('Tasks'!$P$7:$P$246,'Tasks'!$C$7:$C$246,$A11,'Tasks'!$N$7:$N$246,$C11)</x:f>
        <x:v>4000000</x:v>
      </x:c>
      <x:c r="G11" s="17" t="n">
        <x:f>SUMIFS('Tasks'!$Q$7:$Q$246,'Tasks'!$C$7:$C$246,$A11,'Tasks'!$N$7:$N$246,$C11)</x:f>
        <x:v>24000000</x:v>
      </x:c>
      <x:c r="H11" s="22" t="n">
        <x:f>SUMIFS('Tasks'!$S$7:$S$246,'Tasks'!$C$7:$C$246,$A11,'Tasks'!$N$7:$N$246,$C11)</x:f>
        <x:v>200</x:v>
      </x:c>
      <x:c r="I11" s="22" t="n">
        <x:f>SUMIFS('Tasks'!$T$7:$T$246,'Tasks'!$C$7:$C$246,$A11,'Tasks'!$N$7:$N$246,$C11)</x:f>
        <x:v>120.00000000000003</x:v>
      </x:c>
      <x:c r="J11" s="22" t="n">
        <x:f>SUMIFS('Tasks'!$U$7:$U$246,'Tasks'!$C$7:$C$246,$A11,'Tasks'!$N$7:$N$246,$C11)</x:f>
        <x:v>320.0000000000001</x:v>
      </x:c>
      <x:c r="K11" s="17" t="n">
        <x:f>SUMIFS('Tasks'!$R$7:$R$246,'Tasks'!$C$7:$C$246,$A11,'Tasks'!$N$7:$N$246,$C11)</x:f>
        <x:v>487</x:v>
      </x:c>
      <x:c r="L11" s="22" t="n">
        <x:f>IF(K11=0,"N/A",J11/K11)</x:f>
        <x:v>0.6570841889117045</x:v>
      </x:c>
      <x:c r="M11" s="19" t="n">
        <x:f>SUMIFS('Tasks'!$G$7:$G$246,'Tasks'!$C$7:$C$246,$A11,'Tasks'!$N$7:$N$246,$C11)</x:f>
        <x:v>192.45999999999998</x:v>
      </x:c>
      <x:c r="N11" s="19" t="n">
        <x:f>SUMIFS('Tasks'!$H$7:$H$246,'Tasks'!$C$7:$C$246,$A11,'Tasks'!$N$7:$N$246,$C11)</x:f>
        <x:v>112.45</x:v>
      </x:c>
      <x:c r="O11" s="19" t="n">
        <x:f>SUMIFS('Tasks'!$Y$7:$Y$246,'Tasks'!$C$7:$C$246,$A11,'Tasks'!$N$7:$N$246,$C11)</x:f>
        <x:v>80.01</x:v>
      </x:c>
      <x:c r="P11" s="22" t="n">
        <x:f>SUMIFS('Tasks'!$Z$7:$Z$246,'Tasks'!$C$7:$C$246,$A11,'Tasks'!$N$7:$N$246,$C11)</x:f>
        <x:v>4000.5</x:v>
      </x:c>
      <x:c r="Q11" s="22" t="n">
        <x:f>SUMIFS('Tasks'!$AA$7:$AA$246,'Tasks'!$C$7:$C$246,$A11,'Tasks'!$N$7:$N$246,$C11)</x:f>
        <x:v>3680.5000000000005</x:v>
      </x:c>
      <x:c r="R11" s="31" t="n">
        <x:f>IF(J11=0,"N/A",Q11/J11)</x:f>
        <x:v>11.501562499999997</x:v>
      </x:c>
      <x:c r="S11" s="19" t="n">
        <x:f>SUMIFS('Tasks'!$I$7:$I$246,'Tasks'!$C$7:$C$246,$A11,'Tasks'!$N$7:$N$246,$C11)</x:f>
        <x:v>8.790000000000001</x:v>
      </x:c>
      <x:c r="T11" s="31" t="n">
        <x:f>IF(N11=0,"N/A",S11/N11)</x:f>
        <x:v>0.07816807469986661</x:v>
      </x:c>
      <x:c r="U11" s="17" t="n">
        <x:f>SUMIFS('Tasks'!$X$7:$X$246,'Tasks'!$C$7:$C$246,$A11,'Tasks'!$N$7:$N$246,$C11)</x:f>
        <x:v>55</x:v>
      </x:c>
      <x:c r="V11" s="31" t="n">
        <x:f>IF(K11=0,"N/A",U11/K11)</x:f>
        <x:v>0.11293634496919917</x:v>
      </x:c>
      <x:c r="W11" s="17" t="n">
        <x:f>COUNTIFS('Tasks'!$C$7:$C$246,$A11,'Tasks'!$N$7:$N$246,$C11,'Tasks'!$L$7:$L$246,"Yes")</x:f>
        <x:v>43</x:v>
      </x:c>
      <x:c r="X11" s="17" t="n">
        <x:f>COUNTIFS('Tasks'!$C$7:$C$246,$A11,'Tasks'!$N$7:$N$246,$C11,'Tasks'!$K$7:$K$246,"Yes")</x:f>
        <x:v>9</x:v>
      </x:c>
      <x:c r="Y11" s="17" t="n">
        <x:f>COUNTIFS('Tasks'!$C$7:$C$246,$A11,'Tasks'!$N$7:$N$246,$C11,'Tasks'!$AA$7:$AA$246,"&gt;0")</x:f>
        <x:v>42</x:v>
      </x:c>
      <x:c r="Z11" s="17" t="n">
        <x:f>COUNTIFS('Tasks'!$C$7:$C$246,$A11,'Tasks'!$N$7:$N$246,$C11,'Tasks'!$AA$7:$AA$246,"&lt;0")</x:f>
        <x:v>6</x:v>
      </x:c>
    </x:row>
    <x:row r="12" ht="23" customHeight="1">
      <x:c r="A12" s="17" t="str">
        <x:v>C001</x:v>
      </x:c>
      <x:c r="B12" s="17" t="str">
        <x:v>model</x:v>
      </x:c>
      <x:c r="C12" s="17" t="str">
        <x:v>Pro</x:v>
      </x:c>
      <x:c r="D12" s="17" t="n">
        <x:f>COUNTIFS('Tasks'!$C$7:$C$246,$A12,'Tasks'!$N$7:$N$246,$C12)</x:f>
        <x:v>12</x:v>
      </x:c>
      <x:c r="E12" s="17" t="n">
        <x:f>SUMIFS('Tasks'!$O$7:$O$246,'Tasks'!$C$7:$C$246,$A12,'Tasks'!$N$7:$N$246,$C12)</x:f>
        <x:v>2000000</x:v>
      </x:c>
      <x:c r="F12" s="17" t="n">
        <x:f>SUMIFS('Tasks'!$P$7:$P$246,'Tasks'!$C$7:$C$246,$A12,'Tasks'!$N$7:$N$246,$C12)</x:f>
        <x:v>1000000</x:v>
      </x:c>
      <x:c r="G12" s="17" t="n">
        <x:f>SUMIFS('Tasks'!$Q$7:$Q$246,'Tasks'!$C$7:$C$246,$A12,'Tasks'!$N$7:$N$246,$C12)</x:f>
        <x:v>3000000</x:v>
      </x:c>
      <x:c r="H12" s="22" t="n">
        <x:f>SUMIFS('Tasks'!$S$7:$S$246,'Tasks'!$C$7:$C$246,$A12,'Tasks'!$N$7:$N$246,$C12)</x:f>
        <x:v>80</x:v>
      </x:c>
      <x:c r="I12" s="22" t="n">
        <x:f>SUMIFS('Tasks'!$T$7:$T$246,'Tasks'!$C$7:$C$246,$A12,'Tasks'!$N$7:$N$246,$C12)</x:f>
        <x:v>100</x:v>
      </x:c>
      <x:c r="J12" s="22" t="n">
        <x:f>SUMIFS('Tasks'!$U$7:$U$246,'Tasks'!$C$7:$C$246,$A12,'Tasks'!$N$7:$N$246,$C12)</x:f>
        <x:v>180.00000000000003</x:v>
      </x:c>
      <x:c r="K12" s="17" t="n">
        <x:f>SUMIFS('Tasks'!$R$7:$R$246,'Tasks'!$C$7:$C$246,$A12,'Tasks'!$N$7:$N$246,$C12)</x:f>
        <x:v>113</x:v>
      </x:c>
      <x:c r="L12" s="22" t="n">
        <x:f>IF(K12=0,"N/A",J12/K12)</x:f>
        <x:v>1.5929203539823011</x:v>
      </x:c>
      <x:c r="M12" s="19" t="n">
        <x:f>SUMIFS('Tasks'!$G$7:$G$246,'Tasks'!$C$7:$C$246,$A12,'Tasks'!$N$7:$N$246,$C12)</x:f>
        <x:v>47.54</x:v>
      </x:c>
      <x:c r="N12" s="19" t="n">
        <x:f>SUMIFS('Tasks'!$H$7:$H$246,'Tasks'!$C$7:$C$246,$A12,'Tasks'!$N$7:$N$246,$C12)</x:f>
        <x:v>27.550000000000004</x:v>
      </x:c>
      <x:c r="O12" s="19" t="n">
        <x:f>SUMIFS('Tasks'!$Y$7:$Y$246,'Tasks'!$C$7:$C$246,$A12,'Tasks'!$N$7:$N$246,$C12)</x:f>
        <x:v>19.99</x:v>
      </x:c>
      <x:c r="P12" s="22" t="n">
        <x:f>SUMIFS('Tasks'!$Z$7:$Z$246,'Tasks'!$C$7:$C$246,$A12,'Tasks'!$N$7:$N$246,$C12)</x:f>
        <x:v>999.5</x:v>
      </x:c>
      <x:c r="Q12" s="22" t="n">
        <x:f>SUMIFS('Tasks'!$AA$7:$AA$246,'Tasks'!$C$7:$C$246,$A12,'Tasks'!$N$7:$N$246,$C12)</x:f>
        <x:v>819.5000000000001</x:v>
      </x:c>
      <x:c r="R12" s="31" t="n">
        <x:f>IF(J12=0,"N/A",Q12/J12)</x:f>
        <x:v>4.552777777777778</x:v>
      </x:c>
      <x:c r="S12" s="19" t="n">
        <x:f>SUMIFS('Tasks'!$I$7:$I$246,'Tasks'!$C$7:$C$246,$A12,'Tasks'!$N$7:$N$246,$C12)</x:f>
        <x:v>1.9500000000000002</x:v>
      </x:c>
      <x:c r="T12" s="31" t="n">
        <x:f>IF(N12=0,"N/A",S12/N12)</x:f>
        <x:v>0.07078039927404718</x:v>
      </x:c>
      <x:c r="U12" s="17" t="n">
        <x:f>SUMIFS('Tasks'!$X$7:$X$246,'Tasks'!$C$7:$C$246,$A12,'Tasks'!$N$7:$N$246,$C12)</x:f>
        <x:v>13</x:v>
      </x:c>
      <x:c r="V12" s="31" t="n">
        <x:f>IF(K12=0,"N/A",U12/K12)</x:f>
        <x:v>0.11504424778761062</x:v>
      </x:c>
      <x:c r="W12" s="17" t="n">
        <x:f>COUNTIFS('Tasks'!$C$7:$C$246,$A12,'Tasks'!$N$7:$N$246,$C12,'Tasks'!$L$7:$L$246,"Yes")</x:f>
        <x:v>10</x:v>
      </x:c>
      <x:c r="X12" s="17" t="n">
        <x:f>COUNTIFS('Tasks'!$C$7:$C$246,$A12,'Tasks'!$N$7:$N$246,$C12,'Tasks'!$K$7:$K$246,"Yes")</x:f>
        <x:v>1</x:v>
      </x:c>
      <x:c r="Y12" s="17" t="n">
        <x:f>COUNTIFS('Tasks'!$C$7:$C$246,$A12,'Tasks'!$N$7:$N$246,$C12,'Tasks'!$AA$7:$AA$246,"&gt;0")</x:f>
        <x:v>10</x:v>
      </x:c>
      <x:c r="Z12" s="17" t="n">
        <x:f>COUNTIFS('Tasks'!$C$7:$C$246,$A12,'Tasks'!$N$7:$N$246,$C12,'Tasks'!$AA$7:$AA$246,"&lt;0")</x:f>
        <x:v>2</x:v>
      </x:c>
    </x:row>
    <x:row r="13" ht="23" customHeight="1">
      <x:c r="A13" s="17" t="str">
        <x:v>C001</x:v>
      </x:c>
      <x:c r="B13" s="17" t="str">
        <x:v>department</x:v>
      </x:c>
      <x:c r="C13" s="17" t="str">
        <x:v>Analytics</x:v>
      </x:c>
      <x:c r="D13" s="17" t="n">
        <x:f>COUNTIFS('Tasks'!$C$7:$C$246,$A13,'Tasks'!$D$7:$D$246,$C13)</x:f>
        <x:v>14</x:v>
      </x:c>
      <x:c r="E13" s="17" t="n">
        <x:f>SUMIFS('Tasks'!$O$7:$O$246,'Tasks'!$C$7:$C$246,$A13,'Tasks'!$D$7:$D$246,$C13)</x:f>
        <x:v>4756168</x:v>
      </x:c>
      <x:c r="F13" s="17" t="n">
        <x:f>SUMIFS('Tasks'!$P$7:$P$246,'Tasks'!$C$7:$C$246,$A13,'Tasks'!$D$7:$D$246,$C13)</x:f>
        <x:v>1225683</x:v>
      </x:c>
      <x:c r="G13" s="17" t="n">
        <x:f>SUMIFS('Tasks'!$Q$7:$Q$246,'Tasks'!$C$7:$C$246,$A13,'Tasks'!$D$7:$D$246,$C13)</x:f>
        <x:v>5981851</x:v>
      </x:c>
      <x:c r="H13" s="22" t="n">
        <x:f>SUMIFS('Tasks'!$S$7:$S$246,'Tasks'!$C$7:$C$246,$A13,'Tasks'!$D$7:$D$246,$C13)</x:f>
        <x:v>67.11001</x:v>
      </x:c>
      <x:c r="I13" s="22" t="n">
        <x:f>SUMIFS('Tasks'!$T$7:$T$246,'Tasks'!$C$7:$C$246,$A13,'Tasks'!$D$7:$D$246,$C13)</x:f>
        <x:v>59.67953</x:v>
      </x:c>
      <x:c r="J13" s="22" t="n">
        <x:f>SUMIFS('Tasks'!$U$7:$U$246,'Tasks'!$C$7:$C$246,$A13,'Tasks'!$D$7:$D$246,$C13)</x:f>
        <x:v>126.78954</x:v>
      </x:c>
      <x:c r="K13" s="17" t="n">
        <x:f>SUMIFS('Tasks'!$R$7:$R$246,'Tasks'!$C$7:$C$246,$A13,'Tasks'!$D$7:$D$246,$C13)</x:f>
        <x:v>140</x:v>
      </x:c>
      <x:c r="L13" s="22" t="n">
        <x:f>IF(K13=0,"N/A",J13/K13)</x:f>
        <x:v>0.9056395714285714</x:v>
      </x:c>
      <x:c r="M13" s="19" t="n">
        <x:f>SUMIFS('Tasks'!$G$7:$G$246,'Tasks'!$C$7:$C$246,$A13,'Tasks'!$D$7:$D$246,$C13)</x:f>
        <x:v>52.650000000000006</x:v>
      </x:c>
      <x:c r="N13" s="19" t="n">
        <x:f>SUMIFS('Tasks'!$H$7:$H$246,'Tasks'!$C$7:$C$246,$A13,'Tasks'!$D$7:$D$246,$C13)</x:f>
        <x:v>32.349999999999994</x:v>
      </x:c>
      <x:c r="O13" s="19" t="n">
        <x:f>SUMIFS('Tasks'!$Y$7:$Y$246,'Tasks'!$C$7:$C$246,$A13,'Tasks'!$D$7:$D$246,$C13)</x:f>
        <x:v>20.3</x:v>
      </x:c>
      <x:c r="P13" s="22" t="n">
        <x:f>SUMIFS('Tasks'!$Z$7:$Z$246,'Tasks'!$C$7:$C$246,$A13,'Tasks'!$D$7:$D$246,$C13)</x:f>
        <x:v>1015</x:v>
      </x:c>
      <x:c r="Q13" s="22" t="n">
        <x:f>SUMIFS('Tasks'!$AA$7:$AA$246,'Tasks'!$C$7:$C$246,$A13,'Tasks'!$D$7:$D$246,$C13)</x:f>
        <x:v>888.2104599999999</x:v>
      </x:c>
      <x:c r="R13" s="31" t="n">
        <x:f>IF(J13=0,"N/A",Q13/J13)</x:f>
        <x:v>7.005392242924771</x:v>
      </x:c>
      <x:c r="S13" s="19" t="n">
        <x:f>SUMIFS('Tasks'!$I$7:$I$246,'Tasks'!$C$7:$C$246,$A13,'Tasks'!$D$7:$D$246,$C13)</x:f>
        <x:v>2.1500000000000004</x:v>
      </x:c>
      <x:c r="T13" s="31" t="n">
        <x:f>IF(N13=0,"N/A",S13/N13)</x:f>
        <x:v>0.06646058732612058</x:v>
      </x:c>
      <x:c r="U13" s="17" t="n">
        <x:f>SUMIFS('Tasks'!$X$7:$X$246,'Tasks'!$C$7:$C$246,$A13,'Tasks'!$D$7:$D$246,$C13)</x:f>
        <x:v>16</x:v>
      </x:c>
      <x:c r="V13" s="31" t="n">
        <x:f>IF(K13=0,"N/A",U13/K13)</x:f>
        <x:v>0.11428571428571428</x:v>
      </x:c>
      <x:c r="W13" s="17" t="n">
        <x:f>COUNTIFS('Tasks'!$C$7:$C$246,$A13,'Tasks'!$D$7:$D$246,$C13,'Tasks'!$L$7:$L$246,"Yes")</x:f>
        <x:v>14</x:v>
      </x:c>
      <x:c r="X13" s="17" t="n">
        <x:f>COUNTIFS('Tasks'!$C$7:$C$246,$A13,'Tasks'!$D$7:$D$246,$C13,'Tasks'!$K$7:$K$246,"Yes")</x:f>
        <x:v>3</x:v>
      </x:c>
      <x:c r="Y13" s="17" t="n">
        <x:f>COUNTIFS('Tasks'!$C$7:$C$246,$A13,'Tasks'!$D$7:$D$246,$C13,'Tasks'!$AA$7:$AA$246,"&gt;0")</x:f>
        <x:v>12</x:v>
      </x:c>
      <x:c r="Z13" s="17" t="n">
        <x:f>COUNTIFS('Tasks'!$C$7:$C$246,$A13,'Tasks'!$D$7:$D$246,$C13,'Tasks'!$AA$7:$AA$246,"&lt;0")</x:f>
        <x:v>2</x:v>
      </x:c>
    </x:row>
    <x:row r="14" ht="23" customHeight="1">
      <x:c r="A14" s="17" t="str">
        <x:v>C001</x:v>
      </x:c>
      <x:c r="B14" s="17" t="str">
        <x:v>department</x:v>
      </x:c>
      <x:c r="C14" s="17" t="str">
        <x:v>Content</x:v>
      </x:c>
      <x:c r="D14" s="17" t="n">
        <x:f>COUNTIFS('Tasks'!$C$7:$C$246,$A14,'Tasks'!$D$7:$D$246,$C14)</x:f>
        <x:v>16</x:v>
      </x:c>
      <x:c r="E14" s="17" t="n">
        <x:f>SUMIFS('Tasks'!$O$7:$O$246,'Tasks'!$C$7:$C$246,$A14,'Tasks'!$D$7:$D$246,$C14)</x:f>
        <x:v>6717391</x:v>
      </x:c>
      <x:c r="F14" s="17" t="n">
        <x:f>SUMIFS('Tasks'!$P$7:$P$246,'Tasks'!$C$7:$C$246,$A14,'Tasks'!$D$7:$D$246,$C14)</x:f>
        <x:v>1335900</x:v>
      </x:c>
      <x:c r="G14" s="17" t="n">
        <x:f>SUMIFS('Tasks'!$Q$7:$Q$246,'Tasks'!$C$7:$C$246,$A14,'Tasks'!$D$7:$D$246,$C14)</x:f>
        <x:v>8053291</x:v>
      </x:c>
      <x:c r="H14" s="22" t="n">
        <x:f>SUMIFS('Tasks'!$S$7:$S$246,'Tasks'!$C$7:$C$246,$A14,'Tasks'!$D$7:$D$246,$C14)</x:f>
        <x:v>74.92174000000001</x:v>
      </x:c>
      <x:c r="I14" s="22" t="n">
        <x:f>SUMIFS('Tasks'!$T$7:$T$246,'Tasks'!$C$7:$C$246,$A14,'Tasks'!$D$7:$D$246,$C14)</x:f>
        <x:v>48.00170000000001</x:v>
      </x:c>
      <x:c r="J14" s="22" t="n">
        <x:f>SUMIFS('Tasks'!$U$7:$U$246,'Tasks'!$C$7:$C$246,$A14,'Tasks'!$D$7:$D$246,$C14)</x:f>
        <x:v>122.92344</x:v>
      </x:c>
      <x:c r="K14" s="17" t="n">
        <x:f>SUMIFS('Tasks'!$R$7:$R$246,'Tasks'!$C$7:$C$246,$A14,'Tasks'!$D$7:$D$246,$C14)</x:f>
        <x:v>167</x:v>
      </x:c>
      <x:c r="L14" s="22" t="n">
        <x:f>IF(K14=0,"N/A",J14/K14)</x:f>
        <x:v>0.7360685029940119</x:v>
      </x:c>
      <x:c r="M14" s="19" t="n">
        <x:f>SUMIFS('Tasks'!$G$7:$G$246,'Tasks'!$C$7:$C$246,$A14,'Tasks'!$D$7:$D$246,$C14)</x:f>
        <x:v>68.92</x:v>
      </x:c>
      <x:c r="N14" s="19" t="n">
        <x:f>SUMIFS('Tasks'!$H$7:$H$246,'Tasks'!$C$7:$C$246,$A14,'Tasks'!$D$7:$D$246,$C14)</x:f>
        <x:v>40.54</x:v>
      </x:c>
      <x:c r="O14" s="19" t="n">
        <x:f>SUMIFS('Tasks'!$Y$7:$Y$246,'Tasks'!$C$7:$C$246,$A14,'Tasks'!$D$7:$D$246,$C14)</x:f>
        <x:v>28.379999999999995</x:v>
      </x:c>
      <x:c r="P14" s="22" t="n">
        <x:f>SUMIFS('Tasks'!$Z$7:$Z$246,'Tasks'!$C$7:$C$246,$A14,'Tasks'!$D$7:$D$246,$C14)</x:f>
        <x:v>1419</x:v>
      </x:c>
      <x:c r="Q14" s="22" t="n">
        <x:f>SUMIFS('Tasks'!$AA$7:$AA$246,'Tasks'!$C$7:$C$246,$A14,'Tasks'!$D$7:$D$246,$C14)</x:f>
        <x:v>1296.0765599999997</x:v>
      </x:c>
      <x:c r="R14" s="31" t="n">
        <x:f>IF(J14=0,"N/A",Q14/J14)</x:f>
        <x:v>10.543770659200554</x:v>
      </x:c>
      <x:c r="S14" s="19" t="n">
        <x:f>SUMIFS('Tasks'!$I$7:$I$246,'Tasks'!$C$7:$C$246,$A14,'Tasks'!$D$7:$D$246,$C14)</x:f>
        <x:v>3.1899999999999995</x:v>
      </x:c>
      <x:c r="T14" s="31" t="n">
        <x:f>IF(N14=0,"N/A",S14/N14)</x:f>
        <x:v>0.07868771583621113</x:v>
      </x:c>
      <x:c r="U14" s="17" t="n">
        <x:f>SUMIFS('Tasks'!$X$7:$X$246,'Tasks'!$C$7:$C$246,$A14,'Tasks'!$D$7:$D$246,$C14)</x:f>
        <x:v>18</x:v>
      </x:c>
      <x:c r="V14" s="31" t="n">
        <x:f>IF(K14=0,"N/A",U14/K14)</x:f>
        <x:v>0.10778443113772455</x:v>
      </x:c>
      <x:c r="W14" s="17" t="n">
        <x:f>COUNTIFS('Tasks'!$C$7:$C$246,$A14,'Tasks'!$D$7:$D$246,$C14,'Tasks'!$L$7:$L$246,"Yes")</x:f>
        <x:v>16</x:v>
      </x:c>
      <x:c r="X14" s="17" t="n">
        <x:f>COUNTIFS('Tasks'!$C$7:$C$246,$A14,'Tasks'!$D$7:$D$246,$C14,'Tasks'!$K$7:$K$246,"Yes")</x:f>
        <x:v>2</x:v>
      </x:c>
      <x:c r="Y14" s="17" t="n">
        <x:f>COUNTIFS('Tasks'!$C$7:$C$246,$A14,'Tasks'!$D$7:$D$246,$C14,'Tasks'!$AA$7:$AA$246,"&gt;0")</x:f>
        <x:v>14</x:v>
      </x:c>
      <x:c r="Z14" s="17" t="n">
        <x:f>COUNTIFS('Tasks'!$C$7:$C$246,$A14,'Tasks'!$D$7:$D$246,$C14,'Tasks'!$AA$7:$AA$246,"&lt;0")</x:f>
        <x:v>2</x:v>
      </x:c>
    </x:row>
    <x:row r="15" ht="23" customHeight="1">
      <x:c r="A15" s="17" t="str">
        <x:v>C001</x:v>
      </x:c>
      <x:c r="B15" s="17" t="str">
        <x:v>department</x:v>
      </x:c>
      <x:c r="C15" s="17" t="str">
        <x:v>Creative</x:v>
      </x:c>
      <x:c r="D15" s="17" t="n">
        <x:f>COUNTIFS('Tasks'!$C$7:$C$246,$A15,'Tasks'!$D$7:$D$246,$C15)</x:f>
        <x:v>16</x:v>
      </x:c>
      <x:c r="E15" s="17" t="n">
        <x:f>SUMIFS('Tasks'!$O$7:$O$246,'Tasks'!$C$7:$C$246,$A15,'Tasks'!$D$7:$D$246,$C15)</x:f>
        <x:v>4489747</x:v>
      </x:c>
      <x:c r="F15" s="17" t="n">
        <x:f>SUMIFS('Tasks'!$P$7:$P$246,'Tasks'!$C$7:$C$246,$A15,'Tasks'!$D$7:$D$246,$C15)</x:f>
        <x:v>1220237</x:v>
      </x:c>
      <x:c r="G15" s="17" t="n">
        <x:f>SUMIFS('Tasks'!$Q$7:$Q$246,'Tasks'!$C$7:$C$246,$A15,'Tasks'!$D$7:$D$246,$C15)</x:f>
        <x:v>5709984</x:v>
      </x:c>
      <x:c r="H15" s="22" t="n">
        <x:f>SUMIFS('Tasks'!$S$7:$S$246,'Tasks'!$C$7:$C$246,$A15,'Tasks'!$D$7:$D$246,$C15)</x:f>
        <x:v>69.08182000000001</x:v>
      </x:c>
      <x:c r="I15" s="22" t="n">
        <x:f>SUMIFS('Tasks'!$T$7:$T$246,'Tasks'!$C$7:$C$246,$A15,'Tasks'!$D$7:$D$246,$C15)</x:f>
        <x:v>61.7355</x:v>
      </x:c>
      <x:c r="J15" s="22" t="n">
        <x:f>SUMIFS('Tasks'!$U$7:$U$246,'Tasks'!$C$7:$C$246,$A15,'Tasks'!$D$7:$D$246,$C15)</x:f>
        <x:v>130.81732</x:v>
      </x:c>
      <x:c r="K15" s="17" t="n">
        <x:f>SUMIFS('Tasks'!$R$7:$R$246,'Tasks'!$C$7:$C$246,$A15,'Tasks'!$D$7:$D$246,$C15)</x:f>
        <x:v>153</x:v>
      </x:c>
      <x:c r="L15" s="22" t="n">
        <x:f>IF(K15=0,"N/A",J15/K15)</x:f>
        <x:v>0.8550151633986928</x:v>
      </x:c>
      <x:c r="M15" s="19" t="n">
        <x:f>SUMIFS('Tasks'!$G$7:$G$246,'Tasks'!$C$7:$C$246,$A15,'Tasks'!$D$7:$D$246,$C15)</x:f>
        <x:v>62.49999999999999</x:v>
      </x:c>
      <x:c r="N15" s="19" t="n">
        <x:f>SUMIFS('Tasks'!$H$7:$H$246,'Tasks'!$C$7:$C$246,$A15,'Tasks'!$D$7:$D$246,$C15)</x:f>
        <x:v>34.49</x:v>
      </x:c>
      <x:c r="O15" s="19" t="n">
        <x:f>SUMIFS('Tasks'!$Y$7:$Y$246,'Tasks'!$C$7:$C$246,$A15,'Tasks'!$D$7:$D$246,$C15)</x:f>
        <x:v>28.01</x:v>
      </x:c>
      <x:c r="P15" s="22" t="n">
        <x:f>SUMIFS('Tasks'!$Z$7:$Z$246,'Tasks'!$C$7:$C$246,$A15,'Tasks'!$D$7:$D$246,$C15)</x:f>
        <x:v>1400.5</x:v>
      </x:c>
      <x:c r="Q15" s="22" t="n">
        <x:f>SUMIFS('Tasks'!$AA$7:$AA$246,'Tasks'!$C$7:$C$246,$A15,'Tasks'!$D$7:$D$246,$C15)</x:f>
        <x:v>1269.6826800000001</x:v>
      </x:c>
      <x:c r="R15" s="31" t="n">
        <x:f>IF(J15=0,"N/A",Q15/J15)</x:f>
        <x:v>9.705768930291494</x:v>
      </x:c>
      <x:c r="S15" s="19" t="n">
        <x:f>SUMIFS('Tasks'!$I$7:$I$246,'Tasks'!$C$7:$C$246,$A15,'Tasks'!$D$7:$D$246,$C15)</x:f>
        <x:v>2.15</x:v>
      </x:c>
      <x:c r="T15" s="31" t="n">
        <x:f>IF(N15=0,"N/A",S15/N15)</x:f>
        <x:v>0.062336909249057694</x:v>
      </x:c>
      <x:c r="U15" s="17" t="n">
        <x:f>SUMIFS('Tasks'!$X$7:$X$246,'Tasks'!$C$7:$C$246,$A15,'Tasks'!$D$7:$D$246,$C15)</x:f>
        <x:v>17</x:v>
      </x:c>
      <x:c r="V15" s="31" t="n">
        <x:f>IF(K15=0,"N/A",U15/K15)</x:f>
        <x:v>0.1111111111111111</x:v>
      </x:c>
      <x:c r="W15" s="17" t="n">
        <x:f>COUNTIFS('Tasks'!$C$7:$C$246,$A15,'Tasks'!$D$7:$D$246,$C15,'Tasks'!$L$7:$L$246,"Yes")</x:f>
        <x:v>15</x:v>
      </x:c>
      <x:c r="X15" s="17" t="n">
        <x:f>COUNTIFS('Tasks'!$C$7:$C$246,$A15,'Tasks'!$D$7:$D$246,$C15,'Tasks'!$K$7:$K$246,"Yes")</x:f>
        <x:v>2</x:v>
      </x:c>
      <x:c r="Y15" s="17" t="n">
        <x:f>COUNTIFS('Tasks'!$C$7:$C$246,$A15,'Tasks'!$D$7:$D$246,$C15,'Tasks'!$AA$7:$AA$246,"&gt;0")</x:f>
        <x:v>14</x:v>
      </x:c>
      <x:c r="Z15" s="17" t="n">
        <x:f>COUNTIFS('Tasks'!$C$7:$C$246,$A15,'Tasks'!$D$7:$D$246,$C15,'Tasks'!$AA$7:$AA$246,"&lt;0")</x:f>
        <x:v>2</x:v>
      </x:c>
    </x:row>
    <x:row r="16" ht="23" customHeight="1">
      <x:c r="A16" s="17" t="str">
        <x:v>C001</x:v>
      </x:c>
      <x:c r="B16" s="17" t="str">
        <x:v>department</x:v>
      </x:c>
      <x:c r="C16" s="17" t="str">
        <x:v>Marketing Operations</x:v>
      </x:c>
      <x:c r="D16" s="17" t="n">
        <x:f>COUNTIFS('Tasks'!$C$7:$C$246,$A16,'Tasks'!$D$7:$D$246,$C16)</x:f>
        <x:v>14</x:v>
      </x:c>
      <x:c r="E16" s="17" t="n">
        <x:f>SUMIFS('Tasks'!$O$7:$O$246,'Tasks'!$C$7:$C$246,$A16,'Tasks'!$D$7:$D$246,$C16)</x:f>
        <x:v>6036694</x:v>
      </x:c>
      <x:c r="F16" s="17" t="n">
        <x:f>SUMIFS('Tasks'!$P$7:$P$246,'Tasks'!$C$7:$C$246,$A16,'Tasks'!$D$7:$D$246,$C16)</x:f>
        <x:v>1218180</x:v>
      </x:c>
      <x:c r="G16" s="17" t="n">
        <x:f>SUMIFS('Tasks'!$Q$7:$Q$246,'Tasks'!$C$7:$C$246,$A16,'Tasks'!$D$7:$D$246,$C16)</x:f>
        <x:v>7254874</x:v>
      </x:c>
      <x:c r="H16" s="22" t="n">
        <x:f>SUMIFS('Tasks'!$S$7:$S$246,'Tasks'!$C$7:$C$246,$A16,'Tasks'!$D$7:$D$246,$C16)</x:f>
        <x:v>68.88642999999999</x:v>
      </x:c>
      <x:c r="I16" s="22" t="n">
        <x:f>SUMIFS('Tasks'!$T$7:$T$246,'Tasks'!$C$7:$C$246,$A16,'Tasks'!$D$7:$D$246,$C16)</x:f>
        <x:v>50.58326999999999</x:v>
      </x:c>
      <x:c r="J16" s="22" t="n">
        <x:f>SUMIFS('Tasks'!$U$7:$U$246,'Tasks'!$C$7:$C$246,$A16,'Tasks'!$D$7:$D$246,$C16)</x:f>
        <x:v>119.46969999999999</x:v>
      </x:c>
      <x:c r="K16" s="17" t="n">
        <x:f>SUMIFS('Tasks'!$R$7:$R$246,'Tasks'!$C$7:$C$246,$A16,'Tasks'!$D$7:$D$246,$C16)</x:f>
        <x:v>140</x:v>
      </x:c>
      <x:c r="L16" s="22" t="n">
        <x:f>IF(K16=0,"N/A",J16/K16)</x:f>
        <x:v>0.853355</x:v>
      </x:c>
      <x:c r="M16" s="19" t="n">
        <x:f>SUMIFS('Tasks'!$G$7:$G$246,'Tasks'!$C$7:$C$246,$A16,'Tasks'!$D$7:$D$246,$C16)</x:f>
        <x:v>55.93</x:v>
      </x:c>
      <x:c r="N16" s="19" t="n">
        <x:f>SUMIFS('Tasks'!$H$7:$H$246,'Tasks'!$C$7:$C$246,$A16,'Tasks'!$D$7:$D$246,$C16)</x:f>
        <x:v>32.62</x:v>
      </x:c>
      <x:c r="O16" s="19" t="n">
        <x:f>SUMIFS('Tasks'!$Y$7:$Y$246,'Tasks'!$C$7:$C$246,$A16,'Tasks'!$D$7:$D$246,$C16)</x:f>
        <x:v>23.31</x:v>
      </x:c>
      <x:c r="P16" s="22" t="n">
        <x:f>SUMIFS('Tasks'!$Z$7:$Z$246,'Tasks'!$C$7:$C$246,$A16,'Tasks'!$D$7:$D$246,$C16)</x:f>
        <x:v>1165.5</x:v>
      </x:c>
      <x:c r="Q16" s="22" t="n">
        <x:f>SUMIFS('Tasks'!$AA$7:$AA$246,'Tasks'!$C$7:$C$246,$A16,'Tasks'!$D$7:$D$246,$C16)</x:f>
        <x:v>1046.0303000000001</x:v>
      </x:c>
      <x:c r="R16" s="31" t="n">
        <x:f>IF(J16=0,"N/A",Q16/J16)</x:f>
        <x:v>8.755611673922344</x:v>
      </x:c>
      <x:c r="S16" s="19" t="n">
        <x:f>SUMIFS('Tasks'!$I$7:$I$246,'Tasks'!$C$7:$C$246,$A16,'Tasks'!$D$7:$D$246,$C16)</x:f>
        <x:v>3.25</x:v>
      </x:c>
      <x:c r="T16" s="31" t="n">
        <x:f>IF(N16=0,"N/A",S16/N16)</x:f>
        <x:v>0.09963212752912325</x:v>
      </x:c>
      <x:c r="U16" s="17" t="n">
        <x:f>SUMIFS('Tasks'!$X$7:$X$246,'Tasks'!$C$7:$C$246,$A16,'Tasks'!$D$7:$D$246,$C16)</x:f>
        <x:v>17</x:v>
      </x:c>
      <x:c r="V16" s="31" t="n">
        <x:f>IF(K16=0,"N/A",U16/K16)</x:f>
        <x:v>0.12142857142857143</x:v>
      </x:c>
      <x:c r="W16" s="17" t="n">
        <x:f>COUNTIFS('Tasks'!$C$7:$C$246,$A16,'Tasks'!$D$7:$D$246,$C16,'Tasks'!$L$7:$L$246,"Yes")</x:f>
        <x:v>8</x:v>
      </x:c>
      <x:c r="X16" s="17" t="n">
        <x:f>COUNTIFS('Tasks'!$C$7:$C$246,$A16,'Tasks'!$D$7:$D$246,$C16,'Tasks'!$K$7:$K$246,"Yes")</x:f>
        <x:v>3</x:v>
      </x:c>
      <x:c r="Y16" s="17" t="n">
        <x:f>COUNTIFS('Tasks'!$C$7:$C$246,$A16,'Tasks'!$D$7:$D$246,$C16,'Tasks'!$AA$7:$AA$246,"&gt;0")</x:f>
        <x:v>12</x:v>
      </x:c>
      <x:c r="Z16" s="17" t="n">
        <x:f>COUNTIFS('Tasks'!$C$7:$C$246,$A16,'Tasks'!$D$7:$D$246,$C16,'Tasks'!$AA$7:$AA$246,"&lt;0")</x:f>
        <x:v>2</x:v>
      </x:c>
    </x:row>
    <x:row r="17" ht="23" customHeight="1">
      <x:c r="A17" s="17" t="str">
        <x:v>C002</x:v>
      </x:c>
      <x:c r="B17" s="17" t="str">
        <x:v>product</x:v>
      </x:c>
      <x:c r="C17" s="17" t="str">
        <x:v>CampaignChat</x:v>
      </x:c>
      <x:c r="D17" s="17" t="n">
        <x:f>COUNTIFS('Tasks'!$C$7:$C$246,$A17,'Tasks'!$M$7:$M$246,$C17)</x:f>
        <x:v>17</x:v>
      </x:c>
      <x:c r="E17" s="17" t="n">
        <x:f>SUMIFS('Tasks'!$O$7:$O$246,'Tasks'!$C$7:$C$246,$A17,'Tasks'!$M$7:$M$246,$C17)</x:f>
        <x:v>8512933</x:v>
      </x:c>
      <x:c r="F17" s="17" t="n">
        <x:f>SUMIFS('Tasks'!$P$7:$P$246,'Tasks'!$C$7:$C$246,$A17,'Tasks'!$M$7:$M$246,$C17)</x:f>
        <x:v>2852512</x:v>
      </x:c>
      <x:c r="G17" s="17" t="n">
        <x:f>SUMIFS('Tasks'!$Q$7:$Q$246,'Tasks'!$C$7:$C$246,$A17,'Tasks'!$M$7:$M$246,$C17)</x:f>
        <x:v>11365445</x:v>
      </x:c>
      <x:c r="H17" s="22" t="n">
        <x:f>SUMIFS('Tasks'!$S$7:$S$246,'Tasks'!$C$7:$C$246,$A17,'Tasks'!$M$7:$M$246,$C17)</x:f>
        <x:v>172.41088000000002</x:v>
      </x:c>
      <x:c r="I17" s="22" t="n">
        <x:f>SUMIFS('Tasks'!$T$7:$T$246,'Tasks'!$C$7:$C$246,$A17,'Tasks'!$M$7:$M$246,$C17)</x:f>
        <x:v>199.21245000000002</x:v>
      </x:c>
      <x:c r="J17" s="22" t="n">
        <x:f>SUMIFS('Tasks'!$U$7:$U$246,'Tasks'!$C$7:$C$246,$A17,'Tasks'!$M$7:$M$246,$C17)</x:f>
        <x:v>371.6233299999999</x:v>
      </x:c>
      <x:c r="K17" s="17" t="n">
        <x:f>SUMIFS('Tasks'!$R$7:$R$246,'Tasks'!$C$7:$C$246,$A17,'Tasks'!$M$7:$M$246,$C17)</x:f>
        <x:v>331</x:v>
      </x:c>
      <x:c r="L17" s="22" t="n">
        <x:f>IF(K17=0,"N/A",J17/K17)</x:f>
        <x:v>1.1227290936555887</x:v>
      </x:c>
      <x:c r="M17" s="19" t="n">
        <x:f>SUMIFS('Tasks'!$G$7:$G$246,'Tasks'!$C$7:$C$246,$A17,'Tasks'!$M$7:$M$246,$C17)</x:f>
        <x:v>55.30999999999999</x:v>
      </x:c>
      <x:c r="N17" s="19" t="n">
        <x:f>SUMIFS('Tasks'!$H$7:$H$246,'Tasks'!$C$7:$C$246,$A17,'Tasks'!$M$7:$M$246,$C17)</x:f>
        <x:v>70.68</x:v>
      </x:c>
      <x:c r="O17" s="19" t="n">
        <x:f>SUMIFS('Tasks'!$Y$7:$Y$246,'Tasks'!$C$7:$C$246,$A17,'Tasks'!$M$7:$M$246,$C17)</x:f>
        <x:v>-15.369999999999997</x:v>
      </x:c>
      <x:c r="P17" s="22" t="n">
        <x:f>SUMIFS('Tasks'!$Z$7:$Z$246,'Tasks'!$C$7:$C$246,$A17,'Tasks'!$M$7:$M$246,$C17)</x:f>
        <x:v>-768.5</x:v>
      </x:c>
      <x:c r="Q17" s="22" t="n">
        <x:f>SUMIFS('Tasks'!$AA$7:$AA$246,'Tasks'!$C$7:$C$246,$A17,'Tasks'!$M$7:$M$246,$C17)</x:f>
        <x:v>-1140.1233300000001</x:v>
      </x:c>
      <x:c r="R17" s="31" t="n">
        <x:f>IF(J17=0,"N/A",Q17/J17)</x:f>
        <x:v>-3.067954129790507</x:v>
      </x:c>
      <x:c r="S17" s="19" t="n">
        <x:f>SUMIFS('Tasks'!$I$7:$I$246,'Tasks'!$C$7:$C$246,$A17,'Tasks'!$M$7:$M$246,$C17)</x:f>
        <x:v>20.37</x:v>
      </x:c>
      <x:c r="T17" s="31" t="n">
        <x:f>IF(N17=0,"N/A",S17/N17)</x:f>
        <x:v>0.2882003395585738</x:v>
      </x:c>
      <x:c r="U17" s="17" t="n">
        <x:f>SUMIFS('Tasks'!$X$7:$X$246,'Tasks'!$C$7:$C$246,$A17,'Tasks'!$M$7:$M$246,$C17)</x:f>
        <x:v>135</x:v>
      </x:c>
      <x:c r="V17" s="31" t="n">
        <x:f>IF(K17=0,"N/A",U17/K17)</x:f>
        <x:v>0.4078549848942598</x:v>
      </x:c>
      <x:c r="W17" s="17" t="n">
        <x:f>COUNTIFS('Tasks'!$C$7:$C$246,$A17,'Tasks'!$M$7:$M$246,$C17,'Tasks'!$L$7:$L$246,"Yes")</x:f>
        <x:v>6</x:v>
      </x:c>
      <x:c r="X17" s="17" t="n">
        <x:f>COUNTIFS('Tasks'!$C$7:$C$246,$A17,'Tasks'!$M$7:$M$246,$C17,'Tasks'!$K$7:$K$246,"Yes")</x:f>
        <x:v>6</x:v>
      </x:c>
      <x:c r="Y17" s="17" t="n">
        <x:f>COUNTIFS('Tasks'!$C$7:$C$246,$A17,'Tasks'!$M$7:$M$246,$C17,'Tasks'!$AA$7:$AA$246,"&gt;0")</x:f>
        <x:v>3</x:v>
      </x:c>
      <x:c r="Z17" s="17" t="n">
        <x:f>COUNTIFS('Tasks'!$C$7:$C$246,$A17,'Tasks'!$M$7:$M$246,$C17,'Tasks'!$AA$7:$AA$246,"&lt;0")</x:f>
        <x:v>14</x:v>
      </x:c>
    </x:row>
    <x:row r="18" ht="23" customHeight="1">
      <x:c r="A18" s="17" t="str">
        <x:v>C002</x:v>
      </x:c>
      <x:c r="B18" s="17" t="str">
        <x:v>product</x:v>
      </x:c>
      <x:c r="C18" s="17" t="str">
        <x:v>CopyStudio</x:v>
      </x:c>
      <x:c r="D18" s="17" t="n">
        <x:f>COUNTIFS('Tasks'!$C$7:$C$246,$A18,'Tasks'!$M$7:$M$246,$C18)</x:f>
        <x:v>17</x:v>
      </x:c>
      <x:c r="E18" s="17" t="n">
        <x:f>SUMIFS('Tasks'!$O$7:$O$246,'Tasks'!$C$7:$C$246,$A18,'Tasks'!$M$7:$M$246,$C18)</x:f>
        <x:v>9947903</x:v>
      </x:c>
      <x:c r="F18" s="17" t="n">
        <x:f>SUMIFS('Tasks'!$P$7:$P$246,'Tasks'!$C$7:$C$246,$A18,'Tasks'!$M$7:$M$246,$C18)</x:f>
        <x:v>2801310</x:v>
      </x:c>
      <x:c r="G18" s="17" t="n">
        <x:f>SUMIFS('Tasks'!$Q$7:$Q$246,'Tasks'!$C$7:$C$246,$A18,'Tasks'!$M$7:$M$246,$C18)</x:f>
        <x:v>12749213</x:v>
      </x:c>
      <x:c r="H18" s="22" t="n">
        <x:f>SUMIFS('Tasks'!$S$7:$S$246,'Tasks'!$C$7:$C$246,$A18,'Tasks'!$M$7:$M$246,$C18)</x:f>
        <x:v>182.02784</x:v>
      </x:c>
      <x:c r="I18" s="22" t="n">
        <x:f>SUMIFS('Tasks'!$T$7:$T$246,'Tasks'!$C$7:$C$246,$A18,'Tasks'!$M$7:$M$246,$C18)</x:f>
        <x:v>176.92013</x:v>
      </x:c>
      <x:c r="J18" s="22" t="n">
        <x:f>SUMIFS('Tasks'!$U$7:$U$246,'Tasks'!$C$7:$C$246,$A18,'Tasks'!$M$7:$M$246,$C18)</x:f>
        <x:v>358.94797</x:v>
      </x:c>
      <x:c r="K18" s="17" t="n">
        <x:f>SUMIFS('Tasks'!$R$7:$R$246,'Tasks'!$C$7:$C$246,$A18,'Tasks'!$M$7:$M$246,$C18)</x:f>
        <x:v>354</x:v>
      </x:c>
      <x:c r="L18" s="22" t="n">
        <x:f>IF(K18=0,"N/A",J18/K18)</x:f>
        <x:v>1.0139773163841808</x:v>
      </x:c>
      <x:c r="M18" s="19" t="n">
        <x:f>SUMIFS('Tasks'!$G$7:$G$246,'Tasks'!$C$7:$C$246,$A18,'Tasks'!$M$7:$M$246,$C18)</x:f>
        <x:v>57.54999999999999</x:v>
      </x:c>
      <x:c r="N18" s="19" t="n">
        <x:f>SUMIFS('Tasks'!$H$7:$H$246,'Tasks'!$C$7:$C$246,$A18,'Tasks'!$M$7:$M$246,$C18)</x:f>
        <x:v>81.49</x:v>
      </x:c>
      <x:c r="O18" s="19" t="n">
        <x:f>SUMIFS('Tasks'!$Y$7:$Y$246,'Tasks'!$C$7:$C$246,$A18,'Tasks'!$M$7:$M$246,$C18)</x:f>
        <x:v>-23.94</x:v>
      </x:c>
      <x:c r="P18" s="22" t="n">
        <x:f>SUMIFS('Tasks'!$Z$7:$Z$246,'Tasks'!$C$7:$C$246,$A18,'Tasks'!$M$7:$M$246,$C18)</x:f>
        <x:v>-1197</x:v>
      </x:c>
      <x:c r="Q18" s="22" t="n">
        <x:f>SUMIFS('Tasks'!$AA$7:$AA$246,'Tasks'!$C$7:$C$246,$A18,'Tasks'!$M$7:$M$246,$C18)</x:f>
        <x:v>-1555.9479700000002</x:v>
      </x:c>
      <x:c r="R18" s="31" t="n">
        <x:f>IF(J18=0,"N/A",Q18/J18)</x:f>
        <x:v>-4.334745144261437</x:v>
      </x:c>
      <x:c r="S18" s="19" t="n">
        <x:f>SUMIFS('Tasks'!$I$7:$I$246,'Tasks'!$C$7:$C$246,$A18,'Tasks'!$M$7:$M$246,$C18)</x:f>
        <x:v>26.93</x:v>
      </x:c>
      <x:c r="T18" s="31" t="n">
        <x:f>IF(N18=0,"N/A",S18/N18)</x:f>
        <x:v>0.3304699963185667</x:v>
      </x:c>
      <x:c r="U18" s="17" t="n">
        <x:f>SUMIFS('Tasks'!$X$7:$X$246,'Tasks'!$C$7:$C$246,$A18,'Tasks'!$M$7:$M$246,$C18)</x:f>
        <x:v>135</x:v>
      </x:c>
      <x:c r="V18" s="31" t="n">
        <x:f>IF(K18=0,"N/A",U18/K18)</x:f>
        <x:v>0.3813559322033898</x:v>
      </x:c>
      <x:c r="W18" s="17" t="n">
        <x:f>COUNTIFS('Tasks'!$C$7:$C$246,$A18,'Tasks'!$M$7:$M$246,$C18,'Tasks'!$L$7:$L$246,"Yes")</x:f>
        <x:v>6</x:v>
      </x:c>
      <x:c r="X18" s="17" t="n">
        <x:f>COUNTIFS('Tasks'!$C$7:$C$246,$A18,'Tasks'!$M$7:$M$246,$C18,'Tasks'!$K$7:$K$246,"Yes")</x:f>
        <x:v>9</x:v>
      </x:c>
      <x:c r="Y18" s="17" t="n">
        <x:f>COUNTIFS('Tasks'!$C$7:$C$246,$A18,'Tasks'!$M$7:$M$246,$C18,'Tasks'!$AA$7:$AA$246,"&gt;0")</x:f>
        <x:v>3</x:v>
      </x:c>
      <x:c r="Z18" s="17" t="n">
        <x:f>COUNTIFS('Tasks'!$C$7:$C$246,$A18,'Tasks'!$M$7:$M$246,$C18,'Tasks'!$AA$7:$AA$246,"&lt;0")</x:f>
        <x:v>14</x:v>
      </x:c>
    </x:row>
    <x:row r="19" ht="23" customHeight="1">
      <x:c r="A19" s="17" t="str">
        <x:v>C002</x:v>
      </x:c>
      <x:c r="B19" s="17" t="str">
        <x:v>product</x:v>
      </x:c>
      <x:c r="C19" s="17" t="str">
        <x:v>DataFlow</x:v>
      </x:c>
      <x:c r="D19" s="17" t="n">
        <x:f>COUNTIFS('Tasks'!$C$7:$C$246,$A19,'Tasks'!$M$7:$M$246,$C19)</x:f>
        <x:v>15</x:v>
      </x:c>
      <x:c r="E19" s="17" t="n">
        <x:f>SUMIFS('Tasks'!$O$7:$O$246,'Tasks'!$C$7:$C$246,$A19,'Tasks'!$M$7:$M$246,$C19)</x:f>
        <x:v>8377173</x:v>
      </x:c>
      <x:c r="F19" s="17" t="n">
        <x:f>SUMIFS('Tasks'!$P$7:$P$246,'Tasks'!$C$7:$C$246,$A19,'Tasks'!$M$7:$M$246,$C19)</x:f>
        <x:v>2586444</x:v>
      </x:c>
      <x:c r="G19" s="17" t="n">
        <x:f>SUMIFS('Tasks'!$Q$7:$Q$246,'Tasks'!$C$7:$C$246,$A19,'Tasks'!$M$7:$M$246,$C19)</x:f>
        <x:v>10963617</x:v>
      </x:c>
      <x:c r="H19" s="22" t="n">
        <x:f>SUMIFS('Tasks'!$S$7:$S$246,'Tasks'!$C$7:$C$246,$A19,'Tasks'!$M$7:$M$246,$C19)</x:f>
        <x:v>188.72394</x:v>
      </x:c>
      <x:c r="I19" s="22" t="n">
        <x:f>SUMIFS('Tasks'!$T$7:$T$246,'Tasks'!$C$7:$C$246,$A19,'Tasks'!$M$7:$M$246,$C19)</x:f>
        <x:v>197.7402</x:v>
      </x:c>
      <x:c r="J19" s="22" t="n">
        <x:f>SUMIFS('Tasks'!$U$7:$U$246,'Tasks'!$C$7:$C$246,$A19,'Tasks'!$M$7:$M$246,$C19)</x:f>
        <x:v>386.46413999999993</x:v>
      </x:c>
      <x:c r="K19" s="17" t="n">
        <x:f>SUMIFS('Tasks'!$R$7:$R$246,'Tasks'!$C$7:$C$246,$A19,'Tasks'!$M$7:$M$246,$C19)</x:f>
        <x:v>305</x:v>
      </x:c>
      <x:c r="L19" s="22" t="n">
        <x:f>IF(K19=0,"N/A",J19/K19)</x:f>
        <x:v>1.2670955409836062</x:v>
      </x:c>
      <x:c r="M19" s="19" t="n">
        <x:f>SUMIFS('Tasks'!$G$7:$G$246,'Tasks'!$C$7:$C$246,$A19,'Tasks'!$M$7:$M$246,$C19)</x:f>
        <x:v>47.88</x:v>
      </x:c>
      <x:c r="N19" s="19" t="n">
        <x:f>SUMIFS('Tasks'!$H$7:$H$246,'Tasks'!$C$7:$C$246,$A19,'Tasks'!$M$7:$M$246,$C19)</x:f>
        <x:v>61.809999999999995</x:v>
      </x:c>
      <x:c r="O19" s="19" t="n">
        <x:f>SUMIFS('Tasks'!$Y$7:$Y$246,'Tasks'!$C$7:$C$246,$A19,'Tasks'!$M$7:$M$246,$C19)</x:f>
        <x:v>-13.93</x:v>
      </x:c>
      <x:c r="P19" s="22" t="n">
        <x:f>SUMIFS('Tasks'!$Z$7:$Z$246,'Tasks'!$C$7:$C$246,$A19,'Tasks'!$M$7:$M$246,$C19)</x:f>
        <x:v>-696.4999999999999</x:v>
      </x:c>
      <x:c r="Q19" s="22" t="n">
        <x:f>SUMIFS('Tasks'!$AA$7:$AA$246,'Tasks'!$C$7:$C$246,$A19,'Tasks'!$M$7:$M$246,$C19)</x:f>
        <x:v>-1082.9641399999998</x:v>
      </x:c>
      <x:c r="R19" s="31" t="n">
        <x:f>IF(J19=0,"N/A",Q19/J19)</x:f>
        <x:v>-2.802237071724171</x:v>
      </x:c>
      <x:c r="S19" s="19" t="n">
        <x:f>SUMIFS('Tasks'!$I$7:$I$246,'Tasks'!$C$7:$C$246,$A19,'Tasks'!$M$7:$M$246,$C19)</x:f>
        <x:v>20.18</x:v>
      </x:c>
      <x:c r="T19" s="31" t="n">
        <x:f>IF(N19=0,"N/A",S19/N19)</x:f>
        <x:v>0.3264843876395406</x:v>
      </x:c>
      <x:c r="U19" s="17" t="n">
        <x:f>SUMIFS('Tasks'!$X$7:$X$246,'Tasks'!$C$7:$C$246,$A19,'Tasks'!$M$7:$M$246,$C19)</x:f>
        <x:v>128</x:v>
      </x:c>
      <x:c r="V19" s="31" t="n">
        <x:f>IF(K19=0,"N/A",U19/K19)</x:f>
        <x:v>0.419672131147541</x:v>
      </x:c>
      <x:c r="W19" s="17" t="n">
        <x:f>COUNTIFS('Tasks'!$C$7:$C$246,$A19,'Tasks'!$M$7:$M$246,$C19,'Tasks'!$L$7:$L$246,"Yes")</x:f>
        <x:v>4</x:v>
      </x:c>
      <x:c r="X19" s="17" t="n">
        <x:f>COUNTIFS('Tasks'!$C$7:$C$246,$A19,'Tasks'!$M$7:$M$246,$C19,'Tasks'!$K$7:$K$246,"Yes")</x:f>
        <x:v>6</x:v>
      </x:c>
      <x:c r="Y19" s="17" t="n">
        <x:f>COUNTIFS('Tasks'!$C$7:$C$246,$A19,'Tasks'!$M$7:$M$246,$C19,'Tasks'!$AA$7:$AA$246,"&gt;0")</x:f>
        <x:v>3</x:v>
      </x:c>
      <x:c r="Z19" s="17" t="n">
        <x:f>COUNTIFS('Tasks'!$C$7:$C$246,$A19,'Tasks'!$M$7:$M$246,$C19,'Tasks'!$AA$7:$AA$246,"&lt;0")</x:f>
        <x:v>12</x:v>
      </x:c>
    </x:row>
    <x:row r="20" ht="23" customHeight="1">
      <x:c r="A20" s="17" t="str">
        <x:v>C002</x:v>
      </x:c>
      <x:c r="B20" s="17" t="str">
        <x:v>product</x:v>
      </x:c>
      <x:c r="C20" s="17" t="str">
        <x:v>InsightDesk</x:v>
      </x:c>
      <x:c r="D20" s="17" t="n">
        <x:f>COUNTIFS('Tasks'!$C$7:$C$246,$A20,'Tasks'!$M$7:$M$246,$C20)</x:f>
        <x:v>11</x:v>
      </x:c>
      <x:c r="E20" s="17" t="n">
        <x:f>SUMIFS('Tasks'!$O$7:$O$246,'Tasks'!$C$7:$C$246,$A20,'Tasks'!$M$7:$M$246,$C20)</x:f>
        <x:v>5161991</x:v>
      </x:c>
      <x:c r="F20" s="17" t="n">
        <x:f>SUMIFS('Tasks'!$P$7:$P$246,'Tasks'!$C$7:$C$246,$A20,'Tasks'!$M$7:$M$246,$C20)</x:f>
        <x:v>1759734</x:v>
      </x:c>
      <x:c r="G20" s="17" t="n">
        <x:f>SUMIFS('Tasks'!$Q$7:$Q$246,'Tasks'!$C$7:$C$246,$A20,'Tasks'!$M$7:$M$246,$C20)</x:f>
        <x:v>6921725</x:v>
      </x:c>
      <x:c r="H20" s="22" t="n">
        <x:f>SUMIFS('Tasks'!$S$7:$S$246,'Tasks'!$C$7:$C$246,$A20,'Tasks'!$M$7:$M$246,$C20)</x:f>
        <x:v>136.83733999999998</x:v>
      </x:c>
      <x:c r="I20" s="22" t="n">
        <x:f>SUMIFS('Tasks'!$T$7:$T$246,'Tasks'!$C$7:$C$246,$A20,'Tasks'!$M$7:$M$246,$C20)</x:f>
        <x:v>146.12722</x:v>
      </x:c>
      <x:c r="J20" s="22" t="n">
        <x:f>SUMIFS('Tasks'!$U$7:$U$246,'Tasks'!$C$7:$C$246,$A20,'Tasks'!$M$7:$M$246,$C20)</x:f>
        <x:v>282.96455999999995</x:v>
      </x:c>
      <x:c r="K20" s="17" t="n">
        <x:f>SUMIFS('Tasks'!$R$7:$R$246,'Tasks'!$C$7:$C$246,$A20,'Tasks'!$M$7:$M$246,$C20)</x:f>
        <x:v>210</x:v>
      </x:c>
      <x:c r="L20" s="22" t="n">
        <x:f>IF(K20=0,"N/A",J20/K20)</x:f>
        <x:v>1.3474502857142854</x:v>
      </x:c>
      <x:c r="M20" s="19" t="n">
        <x:f>SUMIFS('Tasks'!$G$7:$G$246,'Tasks'!$C$7:$C$246,$A20,'Tasks'!$M$7:$M$246,$C20)</x:f>
        <x:v>39.260000000000005</x:v>
      </x:c>
      <x:c r="N20" s="19" t="n">
        <x:f>SUMIFS('Tasks'!$H$7:$H$246,'Tasks'!$C$7:$C$246,$A20,'Tasks'!$M$7:$M$246,$C20)</x:f>
        <x:v>56.02</x:v>
      </x:c>
      <x:c r="O20" s="19" t="n">
        <x:f>SUMIFS('Tasks'!$Y$7:$Y$246,'Tasks'!$C$7:$C$246,$A20,'Tasks'!$M$7:$M$246,$C20)</x:f>
        <x:v>-16.76</x:v>
      </x:c>
      <x:c r="P20" s="22" t="n">
        <x:f>SUMIFS('Tasks'!$Z$7:$Z$246,'Tasks'!$C$7:$C$246,$A20,'Tasks'!$M$7:$M$246,$C20)</x:f>
        <x:v>-838</x:v>
      </x:c>
      <x:c r="Q20" s="22" t="n">
        <x:f>SUMIFS('Tasks'!$AA$7:$AA$246,'Tasks'!$C$7:$C$246,$A20,'Tasks'!$M$7:$M$246,$C20)</x:f>
        <x:v>-1120.96456</x:v>
      </x:c>
      <x:c r="R20" s="31" t="n">
        <x:f>IF(J20=0,"N/A",Q20/J20)</x:f>
        <x:v>-3.9615016099542646</x:v>
      </x:c>
      <x:c r="S20" s="19" t="n">
        <x:f>SUMIFS('Tasks'!$I$7:$I$246,'Tasks'!$C$7:$C$246,$A20,'Tasks'!$M$7:$M$246,$C20)</x:f>
        <x:v>20.340000000000003</x:v>
      </x:c>
      <x:c r="T20" s="31" t="n">
        <x:f>IF(N20=0,"N/A",S20/N20)</x:f>
        <x:v>0.36308461263834346</x:v>
      </x:c>
      <x:c r="U20" s="17" t="n">
        <x:f>SUMIFS('Tasks'!$X$7:$X$246,'Tasks'!$C$7:$C$246,$A20,'Tasks'!$M$7:$M$246,$C20)</x:f>
        <x:v>84</x:v>
      </x:c>
      <x:c r="V20" s="31" t="n">
        <x:f>IF(K20=0,"N/A",U20/K20)</x:f>
        <x:v>0.4</x:v>
      </x:c>
      <x:c r="W20" s="17" t="n">
        <x:f>COUNTIFS('Tasks'!$C$7:$C$246,$A20,'Tasks'!$M$7:$M$246,$C20,'Tasks'!$L$7:$L$246,"Yes")</x:f>
        <x:v>3</x:v>
      </x:c>
      <x:c r="X20" s="17" t="n">
        <x:f>COUNTIFS('Tasks'!$C$7:$C$246,$A20,'Tasks'!$M$7:$M$246,$C20,'Tasks'!$K$7:$K$246,"Yes")</x:f>
        <x:v>6</x:v>
      </x:c>
      <x:c r="Y20" s="17" t="n">
        <x:f>COUNTIFS('Tasks'!$C$7:$C$246,$A20,'Tasks'!$M$7:$M$246,$C20,'Tasks'!$AA$7:$AA$246,"&gt;0")</x:f>
        <x:v>1</x:v>
      </x:c>
      <x:c r="Z20" s="17" t="n">
        <x:f>COUNTIFS('Tasks'!$C$7:$C$246,$A20,'Tasks'!$M$7:$M$246,$C20,'Tasks'!$AA$7:$AA$246,"&lt;0")</x:f>
        <x:v>10</x:v>
      </x:c>
    </x:row>
    <x:row r="21" ht="23" customHeight="1">
      <x:c r="A21" s="17" t="str">
        <x:v>C002</x:v>
      </x:c>
      <x:c r="B21" s="17" t="str">
        <x:v>model</x:v>
      </x:c>
      <x:c r="C21" s="17" t="str">
        <x:v>Lite</x:v>
      </x:c>
      <x:c r="D21" s="17" t="n">
        <x:f>COUNTIFS('Tasks'!$C$7:$C$246,$A21,'Tasks'!$N$7:$N$246,$C21)</x:f>
        <x:v>30</x:v>
      </x:c>
      <x:c r="E21" s="17" t="n">
        <x:f>SUMIFS('Tasks'!$O$7:$O$246,'Tasks'!$C$7:$C$246,$A21,'Tasks'!$N$7:$N$246,$C21)</x:f>
        <x:v>20000000</x:v>
      </x:c>
      <x:c r="F21" s="17" t="n">
        <x:f>SUMIFS('Tasks'!$P$7:$P$246,'Tasks'!$C$7:$C$246,$A21,'Tasks'!$N$7:$N$246,$C21)</x:f>
        <x:v>4000000</x:v>
      </x:c>
      <x:c r="G21" s="17" t="n">
        <x:f>SUMIFS('Tasks'!$Q$7:$Q$246,'Tasks'!$C$7:$C$246,$A21,'Tasks'!$N$7:$N$246,$C21)</x:f>
        <x:v>24000000</x:v>
      </x:c>
      <x:c r="H21" s="22" t="n">
        <x:f>SUMIFS('Tasks'!$S$7:$S$246,'Tasks'!$C$7:$C$246,$A21,'Tasks'!$N$7:$N$246,$C21)</x:f>
        <x:v>200.00000000000006</x:v>
      </x:c>
      <x:c r="I21" s="22" t="n">
        <x:f>SUMIFS('Tasks'!$T$7:$T$246,'Tasks'!$C$7:$C$246,$A21,'Tasks'!$N$7:$N$246,$C21)</x:f>
        <x:v>119.99999999999999</x:v>
      </x:c>
      <x:c r="J21" s="22" t="n">
        <x:f>SUMIFS('Tasks'!$U$7:$U$246,'Tasks'!$C$7:$C$246,$A21,'Tasks'!$N$7:$N$246,$C21)</x:f>
        <x:v>319.99999999999994</x:v>
      </x:c>
      <x:c r="K21" s="17" t="n">
        <x:f>SUMIFS('Tasks'!$R$7:$R$246,'Tasks'!$C$7:$C$246,$A21,'Tasks'!$N$7:$N$246,$C21)</x:f>
        <x:v>616</x:v>
      </x:c>
      <x:c r="L21" s="22" t="n">
        <x:f>IF(K21=0,"N/A",J21/K21)</x:f>
        <x:v>0.5194805194805194</x:v>
      </x:c>
      <x:c r="M21" s="19" t="n">
        <x:f>SUMIFS('Tasks'!$G$7:$G$246,'Tasks'!$C$7:$C$246,$A21,'Tasks'!$N$7:$N$246,$C21)</x:f>
        <x:v>97.21000000000002</x:v>
      </x:c>
      <x:c r="N21" s="19" t="n">
        <x:f>SUMIFS('Tasks'!$H$7:$H$246,'Tasks'!$C$7:$C$246,$A21,'Tasks'!$N$7:$N$246,$C21)</x:f>
        <x:v>133.75</x:v>
      </x:c>
      <x:c r="O21" s="19" t="n">
        <x:f>SUMIFS('Tasks'!$Y$7:$Y$246,'Tasks'!$C$7:$C$246,$A21,'Tasks'!$N$7:$N$246,$C21)</x:f>
        <x:v>-36.540000000000006</x:v>
      </x:c>
      <x:c r="P21" s="22" t="n">
        <x:f>SUMIFS('Tasks'!$Z$7:$Z$246,'Tasks'!$C$7:$C$246,$A21,'Tasks'!$N$7:$N$246,$C21)</x:f>
        <x:v>-1827</x:v>
      </x:c>
      <x:c r="Q21" s="22" t="n">
        <x:f>SUMIFS('Tasks'!$AA$7:$AA$246,'Tasks'!$C$7:$C$246,$A21,'Tasks'!$N$7:$N$246,$C21)</x:f>
        <x:v>-2147.0000000000005</x:v>
      </x:c>
      <x:c r="R21" s="31" t="n">
        <x:f>IF(J21=0,"N/A",Q21/J21)</x:f>
        <x:v>-6.709375000000002</x:v>
      </x:c>
      <x:c r="S21" s="19" t="n">
        <x:f>SUMIFS('Tasks'!$I$7:$I$246,'Tasks'!$C$7:$C$246,$A21,'Tasks'!$N$7:$N$246,$C21)</x:f>
        <x:v>42.65</x:v>
      </x:c>
      <x:c r="T21" s="31" t="n">
        <x:f>IF(N21=0,"N/A",S21/N21)</x:f>
        <x:v>0.3188785046728972</x:v>
      </x:c>
      <x:c r="U21" s="17" t="n">
        <x:f>SUMIFS('Tasks'!$X$7:$X$246,'Tasks'!$C$7:$C$246,$A21,'Tasks'!$N$7:$N$246,$C21)</x:f>
        <x:v>245</x:v>
      </x:c>
      <x:c r="V21" s="31" t="n">
        <x:f>IF(K21=0,"N/A",U21/K21)</x:f>
        <x:v>0.3977272727272727</x:v>
      </x:c>
      <x:c r="W21" s="17" t="n">
        <x:f>COUNTIFS('Tasks'!$C$7:$C$246,$A21,'Tasks'!$N$7:$N$246,$C21,'Tasks'!$L$7:$L$246,"Yes")</x:f>
        <x:v>12</x:v>
      </x:c>
      <x:c r="X21" s="17" t="n">
        <x:f>COUNTIFS('Tasks'!$C$7:$C$246,$A21,'Tasks'!$N$7:$N$246,$C21,'Tasks'!$K$7:$K$246,"Yes")</x:f>
        <x:v>15</x:v>
      </x:c>
      <x:c r="Y21" s="17" t="n">
        <x:f>COUNTIFS('Tasks'!$C$7:$C$246,$A21,'Tasks'!$N$7:$N$246,$C21,'Tasks'!$AA$7:$AA$246,"&gt;0")</x:f>
        <x:v>3</x:v>
      </x:c>
      <x:c r="Z21" s="17" t="n">
        <x:f>COUNTIFS('Tasks'!$C$7:$C$246,$A21,'Tasks'!$N$7:$N$246,$C21,'Tasks'!$AA$7:$AA$246,"&lt;0")</x:f>
        <x:v>27</x:v>
      </x:c>
    </x:row>
    <x:row r="22" ht="23" customHeight="1">
      <x:c r="A22" s="17" t="str">
        <x:v>C002</x:v>
      </x:c>
      <x:c r="B22" s="17" t="str">
        <x:v>model</x:v>
      </x:c>
      <x:c r="C22" s="17" t="str">
        <x:v>Pro</x:v>
      </x:c>
      <x:c r="D22" s="17" t="n">
        <x:f>COUNTIFS('Tasks'!$C$7:$C$246,$A22,'Tasks'!$N$7:$N$246,$C22)</x:f>
        <x:v>30</x:v>
      </x:c>
      <x:c r="E22" s="17" t="n">
        <x:f>SUMIFS('Tasks'!$O$7:$O$246,'Tasks'!$C$7:$C$246,$A22,'Tasks'!$N$7:$N$246,$C22)</x:f>
        <x:v>12000000</x:v>
      </x:c>
      <x:c r="F22" s="17" t="n">
        <x:f>SUMIFS('Tasks'!$P$7:$P$246,'Tasks'!$C$7:$C$246,$A22,'Tasks'!$N$7:$N$246,$C22)</x:f>
        <x:v>6000000</x:v>
      </x:c>
      <x:c r="G22" s="17" t="n">
        <x:f>SUMIFS('Tasks'!$Q$7:$Q$246,'Tasks'!$C$7:$C$246,$A22,'Tasks'!$N$7:$N$246,$C22)</x:f>
        <x:v>18000000</x:v>
      </x:c>
      <x:c r="H22" s="22" t="n">
        <x:f>SUMIFS('Tasks'!$S$7:$S$246,'Tasks'!$C$7:$C$246,$A22,'Tasks'!$N$7:$N$246,$C22)</x:f>
        <x:v>480.00000000000006</x:v>
      </x:c>
      <x:c r="I22" s="22" t="n">
        <x:f>SUMIFS('Tasks'!$T$7:$T$246,'Tasks'!$C$7:$C$246,$A22,'Tasks'!$N$7:$N$246,$C22)</x:f>
        <x:v>600</x:v>
      </x:c>
      <x:c r="J22" s="22" t="n">
        <x:f>SUMIFS('Tasks'!$U$7:$U$246,'Tasks'!$C$7:$C$246,$A22,'Tasks'!$N$7:$N$246,$C22)</x:f>
        <x:v>1079.9999999999998</x:v>
      </x:c>
      <x:c r="K22" s="17" t="n">
        <x:f>SUMIFS('Tasks'!$R$7:$R$246,'Tasks'!$C$7:$C$246,$A22,'Tasks'!$N$7:$N$246,$C22)</x:f>
        <x:v>584</x:v>
      </x:c>
      <x:c r="L22" s="22" t="n">
        <x:f>IF(K22=0,"N/A",J22/K22)</x:f>
        <x:v>1.8493150684931503</x:v>
      </x:c>
      <x:c r="M22" s="19" t="n">
        <x:f>SUMIFS('Tasks'!$G$7:$G$246,'Tasks'!$C$7:$C$246,$A22,'Tasks'!$N$7:$N$246,$C22)</x:f>
        <x:v>102.78999999999999</x:v>
      </x:c>
      <x:c r="N22" s="19" t="n">
        <x:f>SUMIFS('Tasks'!$H$7:$H$246,'Tasks'!$C$7:$C$246,$A22,'Tasks'!$N$7:$N$246,$C22)</x:f>
        <x:v>136.24999999999994</x:v>
      </x:c>
      <x:c r="O22" s="19" t="n">
        <x:f>SUMIFS('Tasks'!$Y$7:$Y$246,'Tasks'!$C$7:$C$246,$A22,'Tasks'!$N$7:$N$246,$C22)</x:f>
        <x:v>-33.46</x:v>
      </x:c>
      <x:c r="P22" s="22" t="n">
        <x:f>SUMIFS('Tasks'!$Z$7:$Z$246,'Tasks'!$C$7:$C$246,$A22,'Tasks'!$N$7:$N$246,$C22)</x:f>
        <x:v>-1673</x:v>
      </x:c>
      <x:c r="Q22" s="22" t="n">
        <x:f>SUMIFS('Tasks'!$AA$7:$AA$246,'Tasks'!$C$7:$C$246,$A22,'Tasks'!$N$7:$N$246,$C22)</x:f>
        <x:v>-2752.9999999999995</x:v>
      </x:c>
      <x:c r="R22" s="31" t="n">
        <x:f>IF(J22=0,"N/A",Q22/J22)</x:f>
        <x:v>-2.549074074074074</x:v>
      </x:c>
      <x:c r="S22" s="19" t="n">
        <x:f>SUMIFS('Tasks'!$I$7:$I$246,'Tasks'!$C$7:$C$246,$A22,'Tasks'!$N$7:$N$246,$C22)</x:f>
        <x:v>45.17000000000001</x:v>
      </x:c>
      <x:c r="T22" s="31" t="n">
        <x:f>IF(N22=0,"N/A",S22/N22)</x:f>
        <x:v>0.33152293577981673</x:v>
      </x:c>
      <x:c r="U22" s="17" t="n">
        <x:f>SUMIFS('Tasks'!$X$7:$X$246,'Tasks'!$C$7:$C$246,$A22,'Tasks'!$N$7:$N$246,$C22)</x:f>
        <x:v>237</x:v>
      </x:c>
      <x:c r="V22" s="31" t="n">
        <x:f>IF(K22=0,"N/A",U22/K22)</x:f>
        <x:v>0.4058219178082192</x:v>
      </x:c>
      <x:c r="W22" s="17" t="n">
        <x:f>COUNTIFS('Tasks'!$C$7:$C$246,$A22,'Tasks'!$N$7:$N$246,$C22,'Tasks'!$L$7:$L$246,"Yes")</x:f>
        <x:v>7</x:v>
      </x:c>
      <x:c r="X22" s="17" t="n">
        <x:f>COUNTIFS('Tasks'!$C$7:$C$246,$A22,'Tasks'!$N$7:$N$246,$C22,'Tasks'!$K$7:$K$246,"Yes")</x:f>
        <x:v>12</x:v>
      </x:c>
      <x:c r="Y22" s="17" t="n">
        <x:f>COUNTIFS('Tasks'!$C$7:$C$246,$A22,'Tasks'!$N$7:$N$246,$C22,'Tasks'!$AA$7:$AA$246,"&gt;0")</x:f>
        <x:v>7</x:v>
      </x:c>
      <x:c r="Z22" s="17" t="n">
        <x:f>COUNTIFS('Tasks'!$C$7:$C$246,$A22,'Tasks'!$N$7:$N$246,$C22,'Tasks'!$AA$7:$AA$246,"&lt;0")</x:f>
        <x:v>23</x:v>
      </x:c>
    </x:row>
    <x:row r="23" ht="23" customHeight="1">
      <x:c r="A23" s="17" t="str">
        <x:v>C002</x:v>
      </x:c>
      <x:c r="B23" s="17" t="str">
        <x:v>department</x:v>
      </x:c>
      <x:c r="C23" s="17" t="str">
        <x:v>Analytics</x:v>
      </x:c>
      <x:c r="D23" s="17" t="n">
        <x:f>COUNTIFS('Tasks'!$C$7:$C$246,$A23,'Tasks'!$D$7:$D$246,$C23)</x:f>
        <x:v>14</x:v>
      </x:c>
      <x:c r="E23" s="17" t="n">
        <x:f>SUMIFS('Tasks'!$O$7:$O$246,'Tasks'!$C$7:$C$246,$A23,'Tasks'!$D$7:$D$246,$C23)</x:f>
        <x:v>7182411</x:v>
      </x:c>
      <x:c r="F23" s="17" t="n">
        <x:f>SUMIFS('Tasks'!$P$7:$P$246,'Tasks'!$C$7:$C$246,$A23,'Tasks'!$D$7:$D$246,$C23)</x:f>
        <x:v>2215464</x:v>
      </x:c>
      <x:c r="G23" s="17" t="n">
        <x:f>SUMIFS('Tasks'!$Q$7:$Q$246,'Tasks'!$C$7:$C$246,$A23,'Tasks'!$D$7:$D$246,$C23)</x:f>
        <x:v>9397875</x:v>
      </x:c>
      <x:c r="H23" s="22" t="n">
        <x:f>SUMIFS('Tasks'!$S$7:$S$246,'Tasks'!$C$7:$C$246,$A23,'Tasks'!$D$7:$D$246,$C23)</x:f>
        <x:v>165.86628</x:v>
      </x:c>
      <x:c r="I23" s="22" t="n">
        <x:f>SUMIFS('Tasks'!$T$7:$T$246,'Tasks'!$C$7:$C$246,$A23,'Tasks'!$D$7:$D$246,$C23)</x:f>
        <x:v>167.883</x:v>
      </x:c>
      <x:c r="J23" s="22" t="n">
        <x:f>SUMIFS('Tasks'!$U$7:$U$246,'Tasks'!$C$7:$C$246,$A23,'Tasks'!$D$7:$D$246,$C23)</x:f>
        <x:v>333.74928000000006</x:v>
      </x:c>
      <x:c r="K23" s="17" t="n">
        <x:f>SUMIFS('Tasks'!$R$7:$R$246,'Tasks'!$C$7:$C$246,$A23,'Tasks'!$D$7:$D$246,$C23)</x:f>
        <x:v>264</x:v>
      </x:c>
      <x:c r="L23" s="22" t="n">
        <x:f>IF(K23=0,"N/A",J23/K23)</x:f>
        <x:v>1.2642018181818184</x:v>
      </x:c>
      <x:c r="M23" s="19" t="n">
        <x:f>SUMIFS('Tasks'!$G$7:$G$246,'Tasks'!$C$7:$C$246,$A23,'Tasks'!$D$7:$D$246,$C23)</x:f>
        <x:v>49.78</x:v>
      </x:c>
      <x:c r="N23" s="19" t="n">
        <x:f>SUMIFS('Tasks'!$H$7:$H$246,'Tasks'!$C$7:$C$246,$A23,'Tasks'!$D$7:$D$246,$C23)</x:f>
        <x:v>69.51</x:v>
      </x:c>
      <x:c r="O23" s="19" t="n">
        <x:f>SUMIFS('Tasks'!$Y$7:$Y$246,'Tasks'!$C$7:$C$246,$A23,'Tasks'!$D$7:$D$246,$C23)</x:f>
        <x:v>-19.730000000000004</x:v>
      </x:c>
      <x:c r="P23" s="22" t="n">
        <x:f>SUMIFS('Tasks'!$Z$7:$Z$246,'Tasks'!$C$7:$C$246,$A23,'Tasks'!$D$7:$D$246,$C23)</x:f>
        <x:v>-986.5</x:v>
      </x:c>
      <x:c r="Q23" s="22" t="n">
        <x:f>SUMIFS('Tasks'!$AA$7:$AA$246,'Tasks'!$C$7:$C$246,$A23,'Tasks'!$D$7:$D$246,$C23)</x:f>
        <x:v>-1320.24928</x:v>
      </x:c>
      <x:c r="R23" s="31" t="n">
        <x:f>IF(J23=0,"N/A",Q23/J23)</x:f>
        <x:v>-3.9558116200280633</x:v>
      </x:c>
      <x:c r="S23" s="19" t="n">
        <x:f>SUMIFS('Tasks'!$I$7:$I$246,'Tasks'!$C$7:$C$246,$A23,'Tasks'!$D$7:$D$246,$C23)</x:f>
        <x:v>25.169999999999998</x:v>
      </x:c>
      <x:c r="T23" s="31" t="n">
        <x:f>IF(N23=0,"N/A",S23/N23)</x:f>
        <x:v>0.3621061717738454</x:v>
      </x:c>
      <x:c r="U23" s="17" t="n">
        <x:f>SUMIFS('Tasks'!$X$7:$X$246,'Tasks'!$C$7:$C$246,$A23,'Tasks'!$D$7:$D$246,$C23)</x:f>
        <x:v>107</x:v>
      </x:c>
      <x:c r="V23" s="31" t="n">
        <x:f>IF(K23=0,"N/A",U23/K23)</x:f>
        <x:v>0.4053030303030303</x:v>
      </x:c>
      <x:c r="W23" s="17" t="n">
        <x:f>COUNTIFS('Tasks'!$C$7:$C$246,$A23,'Tasks'!$D$7:$D$246,$C23,'Tasks'!$L$7:$L$246,"Yes")</x:f>
        <x:v>3</x:v>
      </x:c>
      <x:c r="X23" s="17" t="n">
        <x:f>COUNTIFS('Tasks'!$C$7:$C$246,$A23,'Tasks'!$D$7:$D$246,$C23,'Tasks'!$K$7:$K$246,"Yes")</x:f>
        <x:v>7</x:v>
      </x:c>
      <x:c r="Y23" s="17" t="n">
        <x:f>COUNTIFS('Tasks'!$C$7:$C$246,$A23,'Tasks'!$D$7:$D$246,$C23,'Tasks'!$AA$7:$AA$246,"&gt;0")</x:f>
        <x:v>2</x:v>
      </x:c>
      <x:c r="Z23" s="17" t="n">
        <x:f>COUNTIFS('Tasks'!$C$7:$C$246,$A23,'Tasks'!$D$7:$D$246,$C23,'Tasks'!$AA$7:$AA$246,"&lt;0")</x:f>
        <x:v>12</x:v>
      </x:c>
    </x:row>
    <x:row r="24" ht="23" customHeight="1">
      <x:c r="A24" s="17" t="str">
        <x:v>C002</x:v>
      </x:c>
      <x:c r="B24" s="17" t="str">
        <x:v>department</x:v>
      </x:c>
      <x:c r="C24" s="17" t="str">
        <x:v>Content</x:v>
      </x:c>
      <x:c r="D24" s="17" t="n">
        <x:f>COUNTIFS('Tasks'!$C$7:$C$246,$A24,'Tasks'!$D$7:$D$246,$C24)</x:f>
        <x:v>15</x:v>
      </x:c>
      <x:c r="E24" s="17" t="n">
        <x:f>SUMIFS('Tasks'!$O$7:$O$246,'Tasks'!$C$7:$C$246,$A24,'Tasks'!$D$7:$D$246,$C24)</x:f>
        <x:v>7694343</x:v>
      </x:c>
      <x:c r="F24" s="17" t="n">
        <x:f>SUMIFS('Tasks'!$P$7:$P$246,'Tasks'!$C$7:$C$246,$A24,'Tasks'!$D$7:$D$246,$C24)</x:f>
        <x:v>2427940</x:v>
      </x:c>
      <x:c r="G24" s="17" t="n">
        <x:f>SUMIFS('Tasks'!$Q$7:$Q$246,'Tasks'!$C$7:$C$246,$A24,'Tasks'!$D$7:$D$246,$C24)</x:f>
        <x:v>10122283</x:v>
      </x:c>
      <x:c r="H24" s="22" t="n">
        <x:f>SUMIFS('Tasks'!$S$7:$S$246,'Tasks'!$C$7:$C$246,$A24,'Tasks'!$D$7:$D$246,$C24)</x:f>
        <x:v>159.49223999999998</x:v>
      </x:c>
      <x:c r="I24" s="22" t="n">
        <x:f>SUMIFS('Tasks'!$T$7:$T$246,'Tasks'!$C$7:$C$246,$A24,'Tasks'!$D$7:$D$246,$C24)</x:f>
        <x:v>165.71902999999998</x:v>
      </x:c>
      <x:c r="J24" s="22" t="n">
        <x:f>SUMIFS('Tasks'!$U$7:$U$246,'Tasks'!$C$7:$C$246,$A24,'Tasks'!$D$7:$D$246,$C24)</x:f>
        <x:v>325.21127</x:v>
      </x:c>
      <x:c r="K24" s="17" t="n">
        <x:f>SUMIFS('Tasks'!$R$7:$R$246,'Tasks'!$C$7:$C$246,$A24,'Tasks'!$D$7:$D$246,$C24)</x:f>
        <x:v>291</x:v>
      </x:c>
      <x:c r="L24" s="22" t="n">
        <x:f>IF(K24=0,"N/A",J24/K24)</x:f>
        <x:v>1.1175645017182132</x:v>
      </x:c>
      <x:c r="M24" s="19" t="n">
        <x:f>SUMIFS('Tasks'!$G$7:$G$246,'Tasks'!$C$7:$C$246,$A24,'Tasks'!$D$7:$D$246,$C24)</x:f>
        <x:v>50.29</x:v>
      </x:c>
      <x:c r="N24" s="19" t="n">
        <x:f>SUMIFS('Tasks'!$H$7:$H$246,'Tasks'!$C$7:$C$246,$A24,'Tasks'!$D$7:$D$246,$C24)</x:f>
        <x:v>72.67</x:v>
      </x:c>
      <x:c r="O24" s="19" t="n">
        <x:f>SUMIFS('Tasks'!$Y$7:$Y$246,'Tasks'!$C$7:$C$246,$A24,'Tasks'!$D$7:$D$246,$C24)</x:f>
        <x:v>-22.38</x:v>
      </x:c>
      <x:c r="P24" s="22" t="n">
        <x:f>SUMIFS('Tasks'!$Z$7:$Z$246,'Tasks'!$C$7:$C$246,$A24,'Tasks'!$D$7:$D$246,$C24)</x:f>
        <x:v>-1119</x:v>
      </x:c>
      <x:c r="Q24" s="22" t="n">
        <x:f>SUMIFS('Tasks'!$AA$7:$AA$246,'Tasks'!$C$7:$C$246,$A24,'Tasks'!$D$7:$D$246,$C24)</x:f>
        <x:v>-1444.21127</x:v>
      </x:c>
      <x:c r="R24" s="31" t="n">
        <x:f>IF(J24=0,"N/A",Q24/J24)</x:f>
        <x:v>-4.4408401652255165</x:v>
      </x:c>
      <x:c r="S24" s="19" t="n">
        <x:f>SUMIFS('Tasks'!$I$7:$I$246,'Tasks'!$C$7:$C$246,$A24,'Tasks'!$D$7:$D$246,$C24)</x:f>
        <x:v>22.46</x:v>
      </x:c>
      <x:c r="T24" s="31" t="n">
        <x:f>IF(N24=0,"N/A",S24/N24)</x:f>
        <x:v>0.3090683913581946</x:v>
      </x:c>
      <x:c r="U24" s="17" t="n">
        <x:f>SUMIFS('Tasks'!$X$7:$X$246,'Tasks'!$C$7:$C$246,$A24,'Tasks'!$D$7:$D$246,$C24)</x:f>
        <x:v>100</x:v>
      </x:c>
      <x:c r="V24" s="31" t="n">
        <x:f>IF(K24=0,"N/A",U24/K24)</x:f>
        <x:v>0.3436426116838488</x:v>
      </x:c>
      <x:c r="W24" s="17" t="n">
        <x:f>COUNTIFS('Tasks'!$C$7:$C$246,$A24,'Tasks'!$D$7:$D$246,$C24,'Tasks'!$L$7:$L$246,"Yes")</x:f>
        <x:v>5</x:v>
      </x:c>
      <x:c r="X24" s="17" t="n">
        <x:f>COUNTIFS('Tasks'!$C$7:$C$246,$A24,'Tasks'!$D$7:$D$246,$C24,'Tasks'!$K$7:$K$246,"Yes")</x:f>
        <x:v>9</x:v>
      </x:c>
      <x:c r="Y24" s="17" t="n">
        <x:f>COUNTIFS('Tasks'!$C$7:$C$246,$A24,'Tasks'!$D$7:$D$246,$C24,'Tasks'!$AA$7:$AA$246,"&gt;0")</x:f>
        <x:v>3</x:v>
      </x:c>
      <x:c r="Z24" s="17" t="n">
        <x:f>COUNTIFS('Tasks'!$C$7:$C$246,$A24,'Tasks'!$D$7:$D$246,$C24,'Tasks'!$AA$7:$AA$246,"&lt;0")</x:f>
        <x:v>12</x:v>
      </x:c>
    </x:row>
    <x:row r="25" ht="23" customHeight="1">
      <x:c r="A25" s="17" t="str">
        <x:v>C002</x:v>
      </x:c>
      <x:c r="B25" s="17" t="str">
        <x:v>department</x:v>
      </x:c>
      <x:c r="C25" s="17" t="str">
        <x:v>Creative</x:v>
      </x:c>
      <x:c r="D25" s="17" t="n">
        <x:f>COUNTIFS('Tasks'!$C$7:$C$246,$A25,'Tasks'!$D$7:$D$246,$C25)</x:f>
        <x:v>16</x:v>
      </x:c>
      <x:c r="E25" s="17" t="n">
        <x:f>SUMIFS('Tasks'!$O$7:$O$246,'Tasks'!$C$7:$C$246,$A25,'Tasks'!$D$7:$D$246,$C25)</x:f>
        <x:v>8362860</x:v>
      </x:c>
      <x:c r="F25" s="17" t="n">
        <x:f>SUMIFS('Tasks'!$P$7:$P$246,'Tasks'!$C$7:$C$246,$A25,'Tasks'!$D$7:$D$246,$C25)</x:f>
        <x:v>2766709</x:v>
      </x:c>
      <x:c r="G25" s="17" t="n">
        <x:f>SUMIFS('Tasks'!$Q$7:$Q$246,'Tasks'!$C$7:$C$246,$A25,'Tasks'!$D$7:$D$246,$C25)</x:f>
        <x:v>11129569</x:v>
      </x:c>
      <x:c r="H25" s="22" t="n">
        <x:f>SUMIFS('Tasks'!$S$7:$S$246,'Tasks'!$C$7:$C$246,$A25,'Tasks'!$D$7:$D$246,$C25)</x:f>
        <x:v>170.91015000000002</x:v>
      </x:c>
      <x:c r="I25" s="22" t="n">
        <x:f>SUMIFS('Tasks'!$T$7:$T$246,'Tasks'!$C$7:$C$246,$A25,'Tasks'!$D$7:$D$246,$C25)</x:f>
        <x:v>196.63836</x:v>
      </x:c>
      <x:c r="J25" s="22" t="n">
        <x:f>SUMIFS('Tasks'!$U$7:$U$246,'Tasks'!$C$7:$C$246,$A25,'Tasks'!$D$7:$D$246,$C25)</x:f>
        <x:v>367.54850999999996</x:v>
      </x:c>
      <x:c r="K25" s="17" t="n">
        <x:f>SUMIFS('Tasks'!$R$7:$R$246,'Tasks'!$C$7:$C$246,$A25,'Tasks'!$D$7:$D$246,$C25)</x:f>
        <x:v>317</x:v>
      </x:c>
      <x:c r="L25" s="22" t="n">
        <x:f>IF(K25=0,"N/A",J25/K25)</x:f>
        <x:v>1.159459022082019</x:v>
      </x:c>
      <x:c r="M25" s="19" t="n">
        <x:f>SUMIFS('Tasks'!$G$7:$G$246,'Tasks'!$C$7:$C$246,$A25,'Tasks'!$D$7:$D$246,$C25)</x:f>
        <x:v>50.51999999999999</x:v>
      </x:c>
      <x:c r="N25" s="19" t="n">
        <x:f>SUMIFS('Tasks'!$H$7:$H$246,'Tasks'!$C$7:$C$246,$A25,'Tasks'!$D$7:$D$246,$C25)</x:f>
        <x:v>60.93</x:v>
      </x:c>
      <x:c r="O25" s="19" t="n">
        <x:f>SUMIFS('Tasks'!$Y$7:$Y$246,'Tasks'!$C$7:$C$246,$A25,'Tasks'!$D$7:$D$246,$C25)</x:f>
        <x:v>-10.41</x:v>
      </x:c>
      <x:c r="P25" s="22" t="n">
        <x:f>SUMIFS('Tasks'!$Z$7:$Z$246,'Tasks'!$C$7:$C$246,$A25,'Tasks'!$D$7:$D$246,$C25)</x:f>
        <x:v>-520.5</x:v>
      </x:c>
      <x:c r="Q25" s="22" t="n">
        <x:f>SUMIFS('Tasks'!$AA$7:$AA$246,'Tasks'!$C$7:$C$246,$A25,'Tasks'!$D$7:$D$246,$C25)</x:f>
        <x:v>-888.04851</x:v>
      </x:c>
      <x:c r="R25" s="31" t="n">
        <x:f>IF(J25=0,"N/A",Q25/J25)</x:f>
        <x:v>-2.4161396001850206</x:v>
      </x:c>
      <x:c r="S25" s="19" t="n">
        <x:f>SUMIFS('Tasks'!$I$7:$I$246,'Tasks'!$C$7:$C$246,$A25,'Tasks'!$D$7:$D$246,$C25)</x:f>
        <x:v>17.94</x:v>
      </x:c>
      <x:c r="T25" s="31" t="n">
        <x:f>IF(N25=0,"N/A",S25/N25)</x:f>
        <x:v>0.2944362383062531</x:v>
      </x:c>
      <x:c r="U25" s="17" t="n">
        <x:f>SUMIFS('Tasks'!$X$7:$X$246,'Tasks'!$C$7:$C$246,$A25,'Tasks'!$D$7:$D$246,$C25)</x:f>
        <x:v>136</x:v>
      </x:c>
      <x:c r="V25" s="31" t="n">
        <x:f>IF(K25=0,"N/A",U25/K25)</x:f>
        <x:v>0.42902208201892744</x:v>
      </x:c>
      <x:c r="W25" s="17" t="n">
        <x:f>COUNTIFS('Tasks'!$C$7:$C$246,$A25,'Tasks'!$D$7:$D$246,$C25,'Tasks'!$L$7:$L$246,"Yes")</x:f>
        <x:v>6</x:v>
      </x:c>
      <x:c r="X25" s="17" t="n">
        <x:f>COUNTIFS('Tasks'!$C$7:$C$246,$A25,'Tasks'!$D$7:$D$246,$C25,'Tasks'!$K$7:$K$246,"Yes")</x:f>
        <x:v>5</x:v>
      </x:c>
      <x:c r="Y25" s="17" t="n">
        <x:f>COUNTIFS('Tasks'!$C$7:$C$246,$A25,'Tasks'!$D$7:$D$246,$C25,'Tasks'!$AA$7:$AA$246,"&gt;0")</x:f>
        <x:v>3</x:v>
      </x:c>
      <x:c r="Z25" s="17" t="n">
        <x:f>COUNTIFS('Tasks'!$C$7:$C$246,$A25,'Tasks'!$D$7:$D$246,$C25,'Tasks'!$AA$7:$AA$246,"&lt;0")</x:f>
        <x:v>13</x:v>
      </x:c>
    </x:row>
    <x:row r="26" ht="23" customHeight="1">
      <x:c r="A26" s="17" t="str">
        <x:v>C002</x:v>
      </x:c>
      <x:c r="B26" s="17" t="str">
        <x:v>department</x:v>
      </x:c>
      <x:c r="C26" s="17" t="str">
        <x:v>Marketing Operations</x:v>
      </x:c>
      <x:c r="D26" s="17" t="n">
        <x:f>COUNTIFS('Tasks'!$C$7:$C$246,$A26,'Tasks'!$D$7:$D$246,$C26)</x:f>
        <x:v>15</x:v>
      </x:c>
      <x:c r="E26" s="17" t="n">
        <x:f>SUMIFS('Tasks'!$O$7:$O$246,'Tasks'!$C$7:$C$246,$A26,'Tasks'!$D$7:$D$246,$C26)</x:f>
        <x:v>8760386</x:v>
      </x:c>
      <x:c r="F26" s="17" t="n">
        <x:f>SUMIFS('Tasks'!$P$7:$P$246,'Tasks'!$C$7:$C$246,$A26,'Tasks'!$D$7:$D$246,$C26)</x:f>
        <x:v>2589887</x:v>
      </x:c>
      <x:c r="G26" s="17" t="n">
        <x:f>SUMIFS('Tasks'!$Q$7:$Q$246,'Tasks'!$C$7:$C$246,$A26,'Tasks'!$D$7:$D$246,$C26)</x:f>
        <x:v>11350273</x:v>
      </x:c>
      <x:c r="H26" s="22" t="n">
        <x:f>SUMIFS('Tasks'!$S$7:$S$246,'Tasks'!$C$7:$C$246,$A26,'Tasks'!$D$7:$D$246,$C26)</x:f>
        <x:v>183.73133</x:v>
      </x:c>
      <x:c r="I26" s="22" t="n">
        <x:f>SUMIFS('Tasks'!$T$7:$T$246,'Tasks'!$C$7:$C$246,$A26,'Tasks'!$D$7:$D$246,$C26)</x:f>
        <x:v>189.75961000000004</x:v>
      </x:c>
      <x:c r="J26" s="22" t="n">
        <x:f>SUMIFS('Tasks'!$U$7:$U$246,'Tasks'!$C$7:$C$246,$A26,'Tasks'!$D$7:$D$246,$C26)</x:f>
        <x:v>373.4909399999999</x:v>
      </x:c>
      <x:c r="K26" s="17" t="n">
        <x:f>SUMIFS('Tasks'!$R$7:$R$246,'Tasks'!$C$7:$C$246,$A26,'Tasks'!$D$7:$D$246,$C26)</x:f>
        <x:v>328</x:v>
      </x:c>
      <x:c r="L26" s="22" t="n">
        <x:f>IF(K26=0,"N/A",J26/K26)</x:f>
        <x:v>1.1386918902439023</x:v>
      </x:c>
      <x:c r="M26" s="19" t="n">
        <x:f>SUMIFS('Tasks'!$G$7:$G$246,'Tasks'!$C$7:$C$246,$A26,'Tasks'!$D$7:$D$246,$C26)</x:f>
        <x:v>49.410000000000004</x:v>
      </x:c>
      <x:c r="N26" s="19" t="n">
        <x:f>SUMIFS('Tasks'!$H$7:$H$246,'Tasks'!$C$7:$C$246,$A26,'Tasks'!$D$7:$D$246,$C26)</x:f>
        <x:v>66.88999999999999</x:v>
      </x:c>
      <x:c r="O26" s="19" t="n">
        <x:f>SUMIFS('Tasks'!$Y$7:$Y$246,'Tasks'!$C$7:$C$246,$A26,'Tasks'!$D$7:$D$246,$C26)</x:f>
        <x:v>-17.479999999999997</x:v>
      </x:c>
      <x:c r="P26" s="22" t="n">
        <x:f>SUMIFS('Tasks'!$Z$7:$Z$246,'Tasks'!$C$7:$C$246,$A26,'Tasks'!$D$7:$D$246,$C26)</x:f>
        <x:v>-874</x:v>
      </x:c>
      <x:c r="Q26" s="22" t="n">
        <x:f>SUMIFS('Tasks'!$AA$7:$AA$246,'Tasks'!$C$7:$C$246,$A26,'Tasks'!$D$7:$D$246,$C26)</x:f>
        <x:v>-1247.49094</x:v>
      </x:c>
      <x:c r="R26" s="31" t="n">
        <x:f>IF(J26=0,"N/A",Q26/J26)</x:f>
        <x:v>-3.340083537233862</x:v>
      </x:c>
      <x:c r="S26" s="19" t="n">
        <x:f>SUMIFS('Tasks'!$I$7:$I$246,'Tasks'!$C$7:$C$246,$A26,'Tasks'!$D$7:$D$246,$C26)</x:f>
        <x:v>22.25</x:v>
      </x:c>
      <x:c r="T26" s="31" t="n">
        <x:f>IF(N26=0,"N/A",S26/N26)</x:f>
        <x:v>0.3326356705038123</x:v>
      </x:c>
      <x:c r="U26" s="17" t="n">
        <x:f>SUMIFS('Tasks'!$X$7:$X$246,'Tasks'!$C$7:$C$246,$A26,'Tasks'!$D$7:$D$246,$C26)</x:f>
        <x:v>139</x:v>
      </x:c>
      <x:c r="V26" s="31" t="n">
        <x:f>IF(K26=0,"N/A",U26/K26)</x:f>
        <x:v>0.42378048780487804</x:v>
      </x:c>
      <x:c r="W26" s="17" t="n">
        <x:f>COUNTIFS('Tasks'!$C$7:$C$246,$A26,'Tasks'!$D$7:$D$246,$C26,'Tasks'!$L$7:$L$246,"Yes")</x:f>
        <x:v>5</x:v>
      </x:c>
      <x:c r="X26" s="17" t="n">
        <x:f>COUNTIFS('Tasks'!$C$7:$C$246,$A26,'Tasks'!$D$7:$D$246,$C26,'Tasks'!$K$7:$K$246,"Yes")</x:f>
        <x:v>6</x:v>
      </x:c>
      <x:c r="Y26" s="17" t="n">
        <x:f>COUNTIFS('Tasks'!$C$7:$C$246,$A26,'Tasks'!$D$7:$D$246,$C26,'Tasks'!$AA$7:$AA$246,"&gt;0")</x:f>
        <x:v>2</x:v>
      </x:c>
      <x:c r="Z26" s="17" t="n">
        <x:f>COUNTIFS('Tasks'!$C$7:$C$246,$A26,'Tasks'!$D$7:$D$246,$C26,'Tasks'!$AA$7:$AA$246,"&lt;0")</x:f>
        <x:v>13</x:v>
      </x:c>
    </x:row>
    <x:row r="27" ht="23" customHeight="1">
      <x:c r="A27" s="17" t="str">
        <x:v>C003</x:v>
      </x:c>
      <x:c r="B27" s="17" t="str">
        <x:v>product</x:v>
      </x:c>
      <x:c r="C27" s="17" t="str">
        <x:v>CampaignChat</x:v>
      </x:c>
      <x:c r="D27" s="17" t="n">
        <x:f>COUNTIFS('Tasks'!$C$7:$C$246,$A27,'Tasks'!$M$7:$M$246,$C27)</x:f>
        <x:v>13</x:v>
      </x:c>
      <x:c r="E27" s="17" t="n">
        <x:f>SUMIFS('Tasks'!$O$7:$O$246,'Tasks'!$C$7:$C$246,$A27,'Tasks'!$M$7:$M$246,$C27)</x:f>
        <x:v>3632133</x:v>
      </x:c>
      <x:c r="F27" s="17" t="n">
        <x:f>SUMIFS('Tasks'!$P$7:$P$246,'Tasks'!$C$7:$C$246,$A27,'Tasks'!$M$7:$M$246,$C27)</x:f>
        <x:v>1037425</x:v>
      </x:c>
      <x:c r="G27" s="17" t="n">
        <x:f>SUMIFS('Tasks'!$Q$7:$Q$246,'Tasks'!$C$7:$C$246,$A27,'Tasks'!$M$7:$M$246,$C27)</x:f>
        <x:v>4669558</x:v>
      </x:c>
      <x:c r="H27" s="22" t="n">
        <x:f>SUMIFS('Tasks'!$S$7:$S$246,'Tasks'!$C$7:$C$246,$A27,'Tasks'!$M$7:$M$246,$C27)</x:f>
        <x:v>77.87037</x:v>
      </x:c>
      <x:c r="I27" s="22" t="n">
        <x:f>SUMIFS('Tasks'!$T$7:$T$246,'Tasks'!$C$7:$C$246,$A27,'Tasks'!$M$7:$M$246,$C27)</x:f>
        <x:v>70.32919000000001</x:v>
      </x:c>
      <x:c r="J27" s="22" t="n">
        <x:f>SUMIFS('Tasks'!$U$7:$U$246,'Tasks'!$C$7:$C$246,$A27,'Tasks'!$M$7:$M$246,$C27)</x:f>
        <x:v>148.19956</x:v>
      </x:c>
      <x:c r="K27" s="17" t="n">
        <x:f>SUMIFS('Tasks'!$R$7:$R$246,'Tasks'!$C$7:$C$246,$A27,'Tasks'!$M$7:$M$246,$C27)</x:f>
        <x:v>154</x:v>
      </x:c>
      <x:c r="L27" s="22" t="n">
        <x:f>IF(K27=0,"N/A",J27/K27)</x:f>
        <x:v>0.9623348051948052</x:v>
      </x:c>
      <x:c r="M27" s="19" t="n">
        <x:f>SUMIFS('Tasks'!$G$7:$G$246,'Tasks'!$C$7:$C$246,$A27,'Tasks'!$M$7:$M$246,$C27)</x:f>
        <x:v>46.910000000000004</x:v>
      </x:c>
      <x:c r="N27" s="19" t="n">
        <x:f>SUMIFS('Tasks'!$H$7:$H$246,'Tasks'!$C$7:$C$246,$A27,'Tasks'!$M$7:$M$246,$C27)</x:f>
        <x:v>37.08</x:v>
      </x:c>
      <x:c r="O27" s="19" t="n">
        <x:f>SUMIFS('Tasks'!$Y$7:$Y$246,'Tasks'!$C$7:$C$246,$A27,'Tasks'!$M$7:$M$246,$C27)</x:f>
        <x:v>9.830000000000002</x:v>
      </x:c>
      <x:c r="P27" s="22" t="n">
        <x:f>SUMIFS('Tasks'!$Z$7:$Z$246,'Tasks'!$C$7:$C$246,$A27,'Tasks'!$M$7:$M$246,$C27)</x:f>
        <x:v>491.5</x:v>
      </x:c>
      <x:c r="Q27" s="22" t="n">
        <x:f>SUMIFS('Tasks'!$AA$7:$AA$246,'Tasks'!$C$7:$C$246,$A27,'Tasks'!$M$7:$M$246,$C27)</x:f>
        <x:v>343.30044</x:v>
      </x:c>
      <x:c r="R27" s="31" t="n">
        <x:f>IF(J27=0,"N/A",Q27/J27)</x:f>
        <x:v>2.3164740839986298</x:v>
      </x:c>
      <x:c r="S27" s="19" t="n">
        <x:f>SUMIFS('Tasks'!$I$7:$I$246,'Tasks'!$C$7:$C$246,$A27,'Tasks'!$M$7:$M$246,$C27)</x:f>
        <x:v>4.040000000000001</x:v>
      </x:c>
      <x:c r="T27" s="31" t="n">
        <x:f>IF(N27=0,"N/A",S27/N27)</x:f>
        <x:v>0.10895361380798277</x:v>
      </x:c>
      <x:c r="U27" s="17" t="n">
        <x:f>SUMIFS('Tasks'!$X$7:$X$246,'Tasks'!$C$7:$C$246,$A27,'Tasks'!$M$7:$M$246,$C27)</x:f>
        <x:v>35</x:v>
      </x:c>
      <x:c r="V27" s="31" t="n">
        <x:f>IF(K27=0,"N/A",U27/K27)</x:f>
        <x:v>0.22727272727272727</x:v>
      </x:c>
      <x:c r="W27" s="17" t="n">
        <x:f>COUNTIFS('Tasks'!$C$7:$C$246,$A27,'Tasks'!$M$7:$M$246,$C27,'Tasks'!$L$7:$L$246,"Yes")</x:f>
        <x:v>9</x:v>
      </x:c>
      <x:c r="X27" s="17" t="n">
        <x:f>COUNTIFS('Tasks'!$C$7:$C$246,$A27,'Tasks'!$M$7:$M$246,$C27,'Tasks'!$K$7:$K$246,"Yes")</x:f>
        <x:v>3</x:v>
      </x:c>
      <x:c r="Y27" s="17" t="n">
        <x:f>COUNTIFS('Tasks'!$C$7:$C$246,$A27,'Tasks'!$M$7:$M$246,$C27,'Tasks'!$AA$7:$AA$246,"&gt;0")</x:f>
        <x:v>10</x:v>
      </x:c>
      <x:c r="Z27" s="17" t="n">
        <x:f>COUNTIFS('Tasks'!$C$7:$C$246,$A27,'Tasks'!$M$7:$M$246,$C27,'Tasks'!$AA$7:$AA$246,"&lt;0")</x:f>
        <x:v>3</x:v>
      </x:c>
    </x:row>
    <x:row r="28" ht="23" customHeight="1">
      <x:c r="A28" s="17" t="str">
        <x:v>C003</x:v>
      </x:c>
      <x:c r="B28" s="17" t="str">
        <x:v>product</x:v>
      </x:c>
      <x:c r="C28" s="17" t="str">
        <x:v>CopyStudio</x:v>
      </x:c>
      <x:c r="D28" s="17" t="n">
        <x:f>COUNTIFS('Tasks'!$C$7:$C$246,$A28,'Tasks'!$M$7:$M$246,$C28)</x:f>
        <x:v>17</x:v>
      </x:c>
      <x:c r="E28" s="17" t="n">
        <x:f>SUMIFS('Tasks'!$O$7:$O$246,'Tasks'!$C$7:$C$246,$A28,'Tasks'!$M$7:$M$246,$C28)</x:f>
        <x:v>5598125</x:v>
      </x:c>
      <x:c r="F28" s="17" t="n">
        <x:f>SUMIFS('Tasks'!$P$7:$P$246,'Tasks'!$C$7:$C$246,$A28,'Tasks'!$M$7:$M$246,$C28)</x:f>
        <x:v>1302121</x:v>
      </x:c>
      <x:c r="G28" s="17" t="n">
        <x:f>SUMIFS('Tasks'!$Q$7:$Q$246,'Tasks'!$C$7:$C$246,$A28,'Tasks'!$M$7:$M$246,$C28)</x:f>
        <x:v>6900246</x:v>
      </x:c>
      <x:c r="H28" s="22" t="n">
        <x:f>SUMIFS('Tasks'!$S$7:$S$246,'Tasks'!$C$7:$C$246,$A28,'Tasks'!$M$7:$M$246,$C28)</x:f>
        <x:v>89.44403</x:v>
      </x:c>
      <x:c r="I28" s="22" t="n">
        <x:f>SUMIFS('Tasks'!$T$7:$T$246,'Tasks'!$C$7:$C$246,$A28,'Tasks'!$M$7:$M$246,$C28)</x:f>
        <x:v>62.47905</x:v>
      </x:c>
      <x:c r="J28" s="22" t="n">
        <x:f>SUMIFS('Tasks'!$U$7:$U$246,'Tasks'!$C$7:$C$246,$A28,'Tasks'!$M$7:$M$246,$C28)</x:f>
        <x:v>151.92307999999997</x:v>
      </x:c>
      <x:c r="K28" s="17" t="n">
        <x:f>SUMIFS('Tasks'!$R$7:$R$246,'Tasks'!$C$7:$C$246,$A28,'Tasks'!$M$7:$M$246,$C28)</x:f>
        <x:v>212</x:v>
      </x:c>
      <x:c r="L28" s="22" t="n">
        <x:f>IF(K28=0,"N/A",J28/K28)</x:f>
        <x:v>0.7166183018867923</x:v>
      </x:c>
      <x:c r="M28" s="19" t="n">
        <x:f>SUMIFS('Tasks'!$G$7:$G$246,'Tasks'!$C$7:$C$246,$A28,'Tasks'!$M$7:$M$246,$C28)</x:f>
        <x:v>61.71</x:v>
      </x:c>
      <x:c r="N28" s="19" t="n">
        <x:f>SUMIFS('Tasks'!$H$7:$H$246,'Tasks'!$C$7:$C$246,$A28,'Tasks'!$M$7:$M$246,$C28)</x:f>
        <x:v>48.870000000000005</x:v>
      </x:c>
      <x:c r="O28" s="19" t="n">
        <x:f>SUMIFS('Tasks'!$Y$7:$Y$246,'Tasks'!$C$7:$C$246,$A28,'Tasks'!$M$7:$M$246,$C28)</x:f>
        <x:v>12.84</x:v>
      </x:c>
      <x:c r="P28" s="22" t="n">
        <x:f>SUMIFS('Tasks'!$Z$7:$Z$246,'Tasks'!$C$7:$C$246,$A28,'Tasks'!$M$7:$M$246,$C28)</x:f>
        <x:v>642</x:v>
      </x:c>
      <x:c r="Q28" s="22" t="n">
        <x:f>SUMIFS('Tasks'!$AA$7:$AA$246,'Tasks'!$C$7:$C$246,$A28,'Tasks'!$M$7:$M$246,$C28)</x:f>
        <x:v>490.07692000000014</x:v>
      </x:c>
      <x:c r="R28" s="31" t="n">
        <x:f>IF(J28=0,"N/A",Q28/J28)</x:f>
        <x:v>3.2258226992238455</x:v>
      </x:c>
      <x:c r="S28" s="19" t="n">
        <x:f>SUMIFS('Tasks'!$I$7:$I$246,'Tasks'!$C$7:$C$246,$A28,'Tasks'!$M$7:$M$246,$C28)</x:f>
        <x:v>3.24</x:v>
      </x:c>
      <x:c r="T28" s="31" t="n">
        <x:f>IF(N28=0,"N/A",S28/N28)</x:f>
        <x:v>0.06629834254143646</x:v>
      </x:c>
      <x:c r="U28" s="17" t="n">
        <x:f>SUMIFS('Tasks'!$X$7:$X$246,'Tasks'!$C$7:$C$246,$A28,'Tasks'!$M$7:$M$246,$C28)</x:f>
        <x:v>44</x:v>
      </x:c>
      <x:c r="V28" s="31" t="n">
        <x:f>IF(K28=0,"N/A",U28/K28)</x:f>
        <x:v>0.20754716981132076</x:v>
      </x:c>
      <x:c r="W28" s="17" t="n">
        <x:f>COUNTIFS('Tasks'!$C$7:$C$246,$A28,'Tasks'!$M$7:$M$246,$C28,'Tasks'!$L$7:$L$246,"Yes")</x:f>
        <x:v>14</x:v>
      </x:c>
      <x:c r="X28" s="17" t="n">
        <x:f>COUNTIFS('Tasks'!$C$7:$C$246,$A28,'Tasks'!$M$7:$M$246,$C28,'Tasks'!$K$7:$K$246,"Yes")</x:f>
        <x:v>2</x:v>
      </x:c>
      <x:c r="Y28" s="17" t="n">
        <x:f>COUNTIFS('Tasks'!$C$7:$C$246,$A28,'Tasks'!$M$7:$M$246,$C28,'Tasks'!$AA$7:$AA$246,"&gt;0")</x:f>
        <x:v>11</x:v>
      </x:c>
      <x:c r="Z28" s="17" t="n">
        <x:f>COUNTIFS('Tasks'!$C$7:$C$246,$A28,'Tasks'!$M$7:$M$246,$C28,'Tasks'!$AA$7:$AA$246,"&lt;0")</x:f>
        <x:v>6</x:v>
      </x:c>
    </x:row>
    <x:row r="29" ht="23" customHeight="1">
      <x:c r="A29" s="17" t="str">
        <x:v>C003</x:v>
      </x:c>
      <x:c r="B29" s="17" t="str">
        <x:v>product</x:v>
      </x:c>
      <x:c r="C29" s="17" t="str">
        <x:v>DataFlow</x:v>
      </x:c>
      <x:c r="D29" s="17" t="n">
        <x:f>COUNTIFS('Tasks'!$C$7:$C$246,$A29,'Tasks'!$M$7:$M$246,$C29)</x:f>
        <x:v>16</x:v>
      </x:c>
      <x:c r="E29" s="17" t="n">
        <x:f>SUMIFS('Tasks'!$O$7:$O$246,'Tasks'!$C$7:$C$246,$A29,'Tasks'!$M$7:$M$246,$C29)</x:f>
        <x:v>4477611</x:v>
      </x:c>
      <x:c r="F29" s="17" t="n">
        <x:f>SUMIFS('Tasks'!$P$7:$P$246,'Tasks'!$C$7:$C$246,$A29,'Tasks'!$M$7:$M$246,$C29)</x:f>
        <x:v>1097988</x:v>
      </x:c>
      <x:c r="G29" s="17" t="n">
        <x:f>SUMIFS('Tasks'!$Q$7:$Q$246,'Tasks'!$C$7:$C$246,$A29,'Tasks'!$M$7:$M$246,$C29)</x:f>
        <x:v>5575599</x:v>
      </x:c>
      <x:c r="H29" s="22" t="n">
        <x:f>SUMIFS('Tasks'!$S$7:$S$246,'Tasks'!$C$7:$C$246,$A29,'Tasks'!$M$7:$M$246,$C29)</x:f>
        <x:v>68.84796000000003</x:v>
      </x:c>
      <x:c r="I29" s="22" t="n">
        <x:f>SUMIFS('Tasks'!$T$7:$T$246,'Tasks'!$C$7:$C$246,$A29,'Tasks'!$M$7:$M$246,$C29)</x:f>
        <x:v>55.32669</x:v>
      </x:c>
      <x:c r="J29" s="22" t="n">
        <x:f>SUMIFS('Tasks'!$U$7:$U$246,'Tasks'!$C$7:$C$246,$A29,'Tasks'!$M$7:$M$246,$C29)</x:f>
        <x:v>124.17465</x:v>
      </x:c>
      <x:c r="K29" s="17" t="n">
        <x:f>SUMIFS('Tasks'!$R$7:$R$246,'Tasks'!$C$7:$C$246,$A29,'Tasks'!$M$7:$M$246,$C29)</x:f>
        <x:v>188</x:v>
      </x:c>
      <x:c r="L29" s="22" t="n">
        <x:f>IF(K29=0,"N/A",J29/K29)</x:f>
        <x:v>0.6605034574468085</x:v>
      </x:c>
      <x:c r="M29" s="19" t="n">
        <x:f>SUMIFS('Tasks'!$G$7:$G$246,'Tasks'!$C$7:$C$246,$A29,'Tasks'!$M$7:$M$246,$C29)</x:f>
        <x:v>58.769999999999996</x:v>
      </x:c>
      <x:c r="N29" s="19" t="n">
        <x:f>SUMIFS('Tasks'!$H$7:$H$246,'Tasks'!$C$7:$C$246,$A29,'Tasks'!$M$7:$M$246,$C29)</x:f>
        <x:v>46.30000000000001</x:v>
      </x:c>
      <x:c r="O29" s="19" t="n">
        <x:f>SUMIFS('Tasks'!$Y$7:$Y$246,'Tasks'!$C$7:$C$246,$A29,'Tasks'!$M$7:$M$246,$C29)</x:f>
        <x:v>12.469999999999999</x:v>
      </x:c>
      <x:c r="P29" s="22" t="n">
        <x:f>SUMIFS('Tasks'!$Z$7:$Z$246,'Tasks'!$C$7:$C$246,$A29,'Tasks'!$M$7:$M$246,$C29)</x:f>
        <x:v>623.5</x:v>
      </x:c>
      <x:c r="Q29" s="22" t="n">
        <x:f>SUMIFS('Tasks'!$AA$7:$AA$246,'Tasks'!$C$7:$C$246,$A29,'Tasks'!$M$7:$M$246,$C29)</x:f>
        <x:v>499.32534999999984</x:v>
      </x:c>
      <x:c r="R29" s="31" t="n">
        <x:f>IF(J29=0,"N/A",Q29/J29)</x:f>
        <x:v>4.021153673475221</x:v>
      </x:c>
      <x:c r="S29" s="19" t="n">
        <x:f>SUMIFS('Tasks'!$I$7:$I$246,'Tasks'!$C$7:$C$246,$A29,'Tasks'!$M$7:$M$246,$C29)</x:f>
        <x:v>4.880000000000001</x:v>
      </x:c>
      <x:c r="T29" s="31" t="n">
        <x:f>IF(N29=0,"N/A",S29/N29)</x:f>
        <x:v>0.10539956803455723</x:v>
      </x:c>
      <x:c r="U29" s="17" t="n">
        <x:f>SUMIFS('Tasks'!$X$7:$X$246,'Tasks'!$C$7:$C$246,$A29,'Tasks'!$M$7:$M$246,$C29)</x:f>
        <x:v>40</x:v>
      </x:c>
      <x:c r="V29" s="31" t="n">
        <x:f>IF(K29=0,"N/A",U29/K29)</x:f>
        <x:v>0.2127659574468085</x:v>
      </x:c>
      <x:c r="W29" s="17" t="n">
        <x:f>COUNTIFS('Tasks'!$C$7:$C$246,$A29,'Tasks'!$M$7:$M$246,$C29,'Tasks'!$L$7:$L$246,"Yes")</x:f>
        <x:v>8</x:v>
      </x:c>
      <x:c r="X29" s="17" t="n">
        <x:f>COUNTIFS('Tasks'!$C$7:$C$246,$A29,'Tasks'!$M$7:$M$246,$C29,'Tasks'!$K$7:$K$246,"Yes")</x:f>
        <x:v>4</x:v>
      </x:c>
      <x:c r="Y29" s="17" t="n">
        <x:f>COUNTIFS('Tasks'!$C$7:$C$246,$A29,'Tasks'!$M$7:$M$246,$C29,'Tasks'!$AA$7:$AA$246,"&gt;0")</x:f>
        <x:v>12</x:v>
      </x:c>
      <x:c r="Z29" s="17" t="n">
        <x:f>COUNTIFS('Tasks'!$C$7:$C$246,$A29,'Tasks'!$M$7:$M$246,$C29,'Tasks'!$AA$7:$AA$246,"&lt;0")</x:f>
        <x:v>4</x:v>
      </x:c>
    </x:row>
    <x:row r="30" ht="23" customHeight="1">
      <x:c r="A30" s="17" t="str">
        <x:v>C003</x:v>
      </x:c>
      <x:c r="B30" s="17" t="str">
        <x:v>product</x:v>
      </x:c>
      <x:c r="C30" s="17" t="str">
        <x:v>InsightDesk</x:v>
      </x:c>
      <x:c r="D30" s="17" t="n">
        <x:f>COUNTIFS('Tasks'!$C$7:$C$246,$A30,'Tasks'!$M$7:$M$246,$C30)</x:f>
        <x:v>14</x:v>
      </x:c>
      <x:c r="E30" s="17" t="n">
        <x:f>SUMIFS('Tasks'!$O$7:$O$246,'Tasks'!$C$7:$C$246,$A30,'Tasks'!$M$7:$M$246,$C30)</x:f>
        <x:v>4292131</x:v>
      </x:c>
      <x:c r="F30" s="17" t="n">
        <x:f>SUMIFS('Tasks'!$P$7:$P$246,'Tasks'!$C$7:$C$246,$A30,'Tasks'!$M$7:$M$246,$C30)</x:f>
        <x:v>1062466</x:v>
      </x:c>
      <x:c r="G30" s="17" t="n">
        <x:f>SUMIFS('Tasks'!$Q$7:$Q$246,'Tasks'!$C$7:$C$246,$A30,'Tasks'!$M$7:$M$246,$C30)</x:f>
        <x:v>5354597</x:v>
      </x:c>
      <x:c r="H30" s="22" t="n">
        <x:f>SUMIFS('Tasks'!$S$7:$S$246,'Tasks'!$C$7:$C$246,$A30,'Tasks'!$M$7:$M$246,$C30)</x:f>
        <x:v>63.83763999999999</x:v>
      </x:c>
      <x:c r="I30" s="22" t="n">
        <x:f>SUMIFS('Tasks'!$T$7:$T$246,'Tasks'!$C$7:$C$246,$A30,'Tasks'!$M$7:$M$246,$C30)</x:f>
        <x:v>51.865069999999996</x:v>
      </x:c>
      <x:c r="J30" s="22" t="n">
        <x:f>SUMIFS('Tasks'!$U$7:$U$246,'Tasks'!$C$7:$C$246,$A30,'Tasks'!$M$7:$M$246,$C30)</x:f>
        <x:v>115.70271</x:v>
      </x:c>
      <x:c r="K30" s="17" t="n">
        <x:f>SUMIFS('Tasks'!$R$7:$R$246,'Tasks'!$C$7:$C$246,$A30,'Tasks'!$M$7:$M$246,$C30)</x:f>
        <x:v>166</x:v>
      </x:c>
      <x:c r="L30" s="22" t="n">
        <x:f>IF(K30=0,"N/A",J30/K30)</x:f>
        <x:v>0.6970042771084337</x:v>
      </x:c>
      <x:c r="M30" s="19" t="n">
        <x:f>SUMIFS('Tasks'!$G$7:$G$246,'Tasks'!$C$7:$C$246,$A30,'Tasks'!$M$7:$M$246,$C30)</x:f>
        <x:v>52.61</x:v>
      </x:c>
      <x:c r="N30" s="19" t="n">
        <x:f>SUMIFS('Tasks'!$H$7:$H$246,'Tasks'!$C$7:$C$246,$A30,'Tasks'!$M$7:$M$246,$C30)</x:f>
        <x:v>39.74999999999999</x:v>
      </x:c>
      <x:c r="O30" s="19" t="n">
        <x:f>SUMIFS('Tasks'!$Y$7:$Y$246,'Tasks'!$C$7:$C$246,$A30,'Tasks'!$M$7:$M$246,$C30)</x:f>
        <x:v>12.860000000000003</x:v>
      </x:c>
      <x:c r="P30" s="22" t="n">
        <x:f>SUMIFS('Tasks'!$Z$7:$Z$246,'Tasks'!$C$7:$C$246,$A30,'Tasks'!$M$7:$M$246,$C30)</x:f>
        <x:v>643</x:v>
      </x:c>
      <x:c r="Q30" s="22" t="n">
        <x:f>SUMIFS('Tasks'!$AA$7:$AA$246,'Tasks'!$C$7:$C$246,$A30,'Tasks'!$M$7:$M$246,$C30)</x:f>
        <x:v>527.29729</x:v>
      </x:c>
      <x:c r="R30" s="31" t="n">
        <x:f>IF(J30=0,"N/A",Q30/J30)</x:f>
        <x:v>4.557346063890811</x:v>
      </x:c>
      <x:c r="S30" s="19" t="n">
        <x:f>SUMIFS('Tasks'!$I$7:$I$246,'Tasks'!$C$7:$C$246,$A30,'Tasks'!$M$7:$M$246,$C30)</x:f>
        <x:v>2.78</x:v>
      </x:c>
      <x:c r="T30" s="31" t="n">
        <x:f>IF(N30=0,"N/A",S30/N30)</x:f>
        <x:v>0.069937106918239</x:v>
      </x:c>
      <x:c r="U30" s="17" t="n">
        <x:f>SUMIFS('Tasks'!$X$7:$X$246,'Tasks'!$C$7:$C$246,$A30,'Tasks'!$M$7:$M$246,$C30)</x:f>
        <x:v>33</x:v>
      </x:c>
      <x:c r="V30" s="31" t="n">
        <x:f>IF(K30=0,"N/A",U30/K30)</x:f>
        <x:v>0.19879518072289157</x:v>
      </x:c>
      <x:c r="W30" s="17" t="n">
        <x:f>COUNTIFS('Tasks'!$C$7:$C$246,$A30,'Tasks'!$M$7:$M$246,$C30,'Tasks'!$L$7:$L$246,"Yes")</x:f>
        <x:v>11</x:v>
      </x:c>
      <x:c r="X30" s="17" t="n">
        <x:f>COUNTIFS('Tasks'!$C$7:$C$246,$A30,'Tasks'!$M$7:$M$246,$C30,'Tasks'!$K$7:$K$246,"Yes")</x:f>
        <x:v>1</x:v>
      </x:c>
      <x:c r="Y30" s="17" t="n">
        <x:f>COUNTIFS('Tasks'!$C$7:$C$246,$A30,'Tasks'!$M$7:$M$246,$C30,'Tasks'!$AA$7:$AA$246,"&gt;0")</x:f>
        <x:v>11</x:v>
      </x:c>
      <x:c r="Z30" s="17" t="n">
        <x:f>COUNTIFS('Tasks'!$C$7:$C$246,$A30,'Tasks'!$M$7:$M$246,$C30,'Tasks'!$AA$7:$AA$246,"&lt;0")</x:f>
        <x:v>3</x:v>
      </x:c>
    </x:row>
    <x:row r="31" ht="23" customHeight="1">
      <x:c r="A31" s="17" t="str">
        <x:v>C003</x:v>
      </x:c>
      <x:c r="B31" s="17" t="str">
        <x:v>model</x:v>
      </x:c>
      <x:c r="C31" s="17" t="str">
        <x:v>Lite</x:v>
      </x:c>
      <x:c r="D31" s="17" t="n">
        <x:f>COUNTIFS('Tasks'!$C$7:$C$246,$A31,'Tasks'!$N$7:$N$246,$C31)</x:f>
        <x:v>42</x:v>
      </x:c>
      <x:c r="E31" s="17" t="n">
        <x:f>SUMIFS('Tasks'!$O$7:$O$246,'Tasks'!$C$7:$C$246,$A31,'Tasks'!$N$7:$N$246,$C31)</x:f>
        <x:v>14000000</x:v>
      </x:c>
      <x:c r="F31" s="17" t="n">
        <x:f>SUMIFS('Tasks'!$P$7:$P$246,'Tasks'!$C$7:$C$246,$A31,'Tasks'!$N$7:$N$246,$C31)</x:f>
        <x:v>3000000</x:v>
      </x:c>
      <x:c r="G31" s="17" t="n">
        <x:f>SUMIFS('Tasks'!$Q$7:$Q$246,'Tasks'!$C$7:$C$246,$A31,'Tasks'!$N$7:$N$246,$C31)</x:f>
        <x:v>17000000</x:v>
      </x:c>
      <x:c r="H31" s="22" t="n">
        <x:f>SUMIFS('Tasks'!$S$7:$S$246,'Tasks'!$C$7:$C$246,$A31,'Tasks'!$N$7:$N$246,$C31)</x:f>
        <x:v>140</x:v>
      </x:c>
      <x:c r="I31" s="22" t="n">
        <x:f>SUMIFS('Tasks'!$T$7:$T$246,'Tasks'!$C$7:$C$246,$A31,'Tasks'!$N$7:$N$246,$C31)</x:f>
        <x:v>90.00000000000001</x:v>
      </x:c>
      <x:c r="J31" s="22" t="n">
        <x:f>SUMIFS('Tasks'!$U$7:$U$246,'Tasks'!$C$7:$C$246,$A31,'Tasks'!$N$7:$N$246,$C31)</x:f>
        <x:v>230.00000000000006</x:v>
      </x:c>
      <x:c r="K31" s="17" t="n">
        <x:f>SUMIFS('Tasks'!$R$7:$R$246,'Tasks'!$C$7:$C$246,$A31,'Tasks'!$N$7:$N$246,$C31)</x:f>
        <x:v>531</x:v>
      </x:c>
      <x:c r="L31" s="22" t="n">
        <x:f>IF(K31=0,"N/A",J31/K31)</x:f>
        <x:v>0.43314500941619594</x:v>
      </x:c>
      <x:c r="M31" s="19" t="n">
        <x:f>SUMIFS('Tasks'!$G$7:$G$246,'Tasks'!$C$7:$C$246,$A31,'Tasks'!$N$7:$N$246,$C31)</x:f>
        <x:v>158.65000000000006</x:v>
      </x:c>
      <x:c r="N31" s="19" t="n">
        <x:f>SUMIFS('Tasks'!$H$7:$H$246,'Tasks'!$C$7:$C$246,$A31,'Tasks'!$N$7:$N$246,$C31)</x:f>
        <x:v>125.82000000000001</x:v>
      </x:c>
      <x:c r="O31" s="19" t="n">
        <x:f>SUMIFS('Tasks'!$Y$7:$Y$246,'Tasks'!$C$7:$C$246,$A31,'Tasks'!$N$7:$N$246,$C31)</x:f>
        <x:v>32.83</x:v>
      </x:c>
      <x:c r="P31" s="22" t="n">
        <x:f>SUMIFS('Tasks'!$Z$7:$Z$246,'Tasks'!$C$7:$C$246,$A31,'Tasks'!$N$7:$N$246,$C31)</x:f>
        <x:v>1641.5</x:v>
      </x:c>
      <x:c r="Q31" s="22" t="n">
        <x:f>SUMIFS('Tasks'!$AA$7:$AA$246,'Tasks'!$C$7:$C$246,$A31,'Tasks'!$N$7:$N$246,$C31)</x:f>
        <x:v>1411.5</x:v>
      </x:c>
      <x:c r="R31" s="31" t="n">
        <x:f>IF(J31=0,"N/A",Q31/J31)</x:f>
        <x:v>6.136956521739129</x:v>
      </x:c>
      <x:c r="S31" s="19" t="n">
        <x:f>SUMIFS('Tasks'!$I$7:$I$246,'Tasks'!$C$7:$C$246,$A31,'Tasks'!$N$7:$N$246,$C31)</x:f>
        <x:v>10.28</x:v>
      </x:c>
      <x:c r="T31" s="31" t="n">
        <x:f>IF(N31=0,"N/A",S31/N31)</x:f>
        <x:v>0.0817040216181847</x:v>
      </x:c>
      <x:c r="U31" s="17" t="n">
        <x:f>SUMIFS('Tasks'!$X$7:$X$246,'Tasks'!$C$7:$C$246,$A31,'Tasks'!$N$7:$N$246,$C31)</x:f>
        <x:v>111</x:v>
      </x:c>
      <x:c r="V31" s="31" t="n">
        <x:f>IF(K31=0,"N/A",U31/K31)</x:f>
        <x:v>0.20903954802259886</x:v>
      </x:c>
      <x:c r="W31" s="17" t="n">
        <x:f>COUNTIFS('Tasks'!$C$7:$C$246,$A31,'Tasks'!$N$7:$N$246,$C31,'Tasks'!$L$7:$L$246,"Yes")</x:f>
        <x:v>29</x:v>
      </x:c>
      <x:c r="X31" s="17" t="n">
        <x:f>COUNTIFS('Tasks'!$C$7:$C$246,$A31,'Tasks'!$N$7:$N$246,$C31,'Tasks'!$K$7:$K$246,"Yes")</x:f>
        <x:v>6</x:v>
      </x:c>
      <x:c r="Y31" s="17" t="n">
        <x:f>COUNTIFS('Tasks'!$C$7:$C$246,$A31,'Tasks'!$N$7:$N$246,$C31,'Tasks'!$AA$7:$AA$246,"&gt;0")</x:f>
        <x:v>30</x:v>
      </x:c>
      <x:c r="Z31" s="17" t="n">
        <x:f>COUNTIFS('Tasks'!$C$7:$C$246,$A31,'Tasks'!$N$7:$N$246,$C31,'Tasks'!$AA$7:$AA$246,"&lt;0")</x:f>
        <x:v>12</x:v>
      </x:c>
    </x:row>
    <x:row r="32" ht="23" customHeight="1">
      <x:c r="A32" s="17" t="str">
        <x:v>C003</x:v>
      </x:c>
      <x:c r="B32" s="17" t="str">
        <x:v>model</x:v>
      </x:c>
      <x:c r="C32" s="17" t="str">
        <x:v>Pro</x:v>
      </x:c>
      <x:c r="D32" s="17" t="n">
        <x:f>COUNTIFS('Tasks'!$C$7:$C$246,$A32,'Tasks'!$N$7:$N$246,$C32)</x:f>
        <x:v>18</x:v>
      </x:c>
      <x:c r="E32" s="17" t="n">
        <x:f>SUMIFS('Tasks'!$O$7:$O$246,'Tasks'!$C$7:$C$246,$A32,'Tasks'!$N$7:$N$246,$C32)</x:f>
        <x:v>4000000</x:v>
      </x:c>
      <x:c r="F32" s="17" t="n">
        <x:f>SUMIFS('Tasks'!$P$7:$P$246,'Tasks'!$C$7:$C$246,$A32,'Tasks'!$N$7:$N$246,$C32)</x:f>
        <x:v>1500000</x:v>
      </x:c>
      <x:c r="G32" s="17" t="n">
        <x:f>SUMIFS('Tasks'!$Q$7:$Q$246,'Tasks'!$C$7:$C$246,$A32,'Tasks'!$N$7:$N$246,$C32)</x:f>
        <x:v>5500000</x:v>
      </x:c>
      <x:c r="H32" s="22" t="n">
        <x:f>SUMIFS('Tasks'!$S$7:$S$246,'Tasks'!$C$7:$C$246,$A32,'Tasks'!$N$7:$N$246,$C32)</x:f>
        <x:v>160.00000000000003</x:v>
      </x:c>
      <x:c r="I32" s="22" t="n">
        <x:f>SUMIFS('Tasks'!$T$7:$T$246,'Tasks'!$C$7:$C$246,$A32,'Tasks'!$N$7:$N$246,$C32)</x:f>
        <x:v>150</x:v>
      </x:c>
      <x:c r="J32" s="22" t="n">
        <x:f>SUMIFS('Tasks'!$U$7:$U$246,'Tasks'!$C$7:$C$246,$A32,'Tasks'!$N$7:$N$246,$C32)</x:f>
        <x:v>310</x:v>
      </x:c>
      <x:c r="K32" s="17" t="n">
        <x:f>SUMIFS('Tasks'!$R$7:$R$246,'Tasks'!$C$7:$C$246,$A32,'Tasks'!$N$7:$N$246,$C32)</x:f>
        <x:v>189</x:v>
      </x:c>
      <x:c r="L32" s="22" t="n">
        <x:f>IF(K32=0,"N/A",J32/K32)</x:f>
        <x:v>1.6402116402116402</x:v>
      </x:c>
      <x:c r="M32" s="19" t="n">
        <x:f>SUMIFS('Tasks'!$G$7:$G$246,'Tasks'!$C$7:$C$246,$A32,'Tasks'!$N$7:$N$246,$C32)</x:f>
        <x:v>61.35</x:v>
      </x:c>
      <x:c r="N32" s="19" t="n">
        <x:f>SUMIFS('Tasks'!$H$7:$H$246,'Tasks'!$C$7:$C$246,$A32,'Tasks'!$N$7:$N$246,$C32)</x:f>
        <x:v>46.17999999999999</x:v>
      </x:c>
      <x:c r="O32" s="19" t="n">
        <x:f>SUMIFS('Tasks'!$Y$7:$Y$246,'Tasks'!$C$7:$C$246,$A32,'Tasks'!$N$7:$N$246,$C32)</x:f>
        <x:v>15.169999999999998</x:v>
      </x:c>
      <x:c r="P32" s="22" t="n">
        <x:f>SUMIFS('Tasks'!$Z$7:$Z$246,'Tasks'!$C$7:$C$246,$A32,'Tasks'!$N$7:$N$246,$C32)</x:f>
        <x:v>758.5</x:v>
      </x:c>
      <x:c r="Q32" s="22" t="n">
        <x:f>SUMIFS('Tasks'!$AA$7:$AA$246,'Tasks'!$C$7:$C$246,$A32,'Tasks'!$N$7:$N$246,$C32)</x:f>
        <x:v>448.5</x:v>
      </x:c>
      <x:c r="R32" s="31" t="n">
        <x:f>IF(J32=0,"N/A",Q32/J32)</x:f>
        <x:v>1.446774193548387</x:v>
      </x:c>
      <x:c r="S32" s="19" t="n">
        <x:f>SUMIFS('Tasks'!$I$7:$I$246,'Tasks'!$C$7:$C$246,$A32,'Tasks'!$N$7:$N$246,$C32)</x:f>
        <x:v>4.659999999999999</x:v>
      </x:c>
      <x:c r="T32" s="31" t="n">
        <x:f>IF(N32=0,"N/A",S32/N32)</x:f>
        <x:v>0.10090948462537895</x:v>
      </x:c>
      <x:c r="U32" s="17" t="n">
        <x:f>SUMIFS('Tasks'!$X$7:$X$246,'Tasks'!$C$7:$C$246,$A32,'Tasks'!$N$7:$N$246,$C32)</x:f>
        <x:v>41</x:v>
      </x:c>
      <x:c r="V32" s="31" t="n">
        <x:f>IF(K32=0,"N/A",U32/K32)</x:f>
        <x:v>0.21693121693121692</x:v>
      </x:c>
      <x:c r="W32" s="17" t="n">
        <x:f>COUNTIFS('Tasks'!$C$7:$C$246,$A32,'Tasks'!$N$7:$N$246,$C32,'Tasks'!$L$7:$L$246,"Yes")</x:f>
        <x:v>13</x:v>
      </x:c>
      <x:c r="X32" s="17" t="n">
        <x:f>COUNTIFS('Tasks'!$C$7:$C$246,$A32,'Tasks'!$N$7:$N$246,$C32,'Tasks'!$K$7:$K$246,"Yes")</x:f>
        <x:v>4</x:v>
      </x:c>
      <x:c r="Y32" s="17" t="n">
        <x:f>COUNTIFS('Tasks'!$C$7:$C$246,$A32,'Tasks'!$N$7:$N$246,$C32,'Tasks'!$AA$7:$AA$246,"&gt;0")</x:f>
        <x:v>14</x:v>
      </x:c>
      <x:c r="Z32" s="17" t="n">
        <x:f>COUNTIFS('Tasks'!$C$7:$C$246,$A32,'Tasks'!$N$7:$N$246,$C32,'Tasks'!$AA$7:$AA$246,"&lt;0")</x:f>
        <x:v>4</x:v>
      </x:c>
    </x:row>
    <x:row r="33" ht="23" customHeight="1">
      <x:c r="A33" s="17" t="str">
        <x:v>C003</x:v>
      </x:c>
      <x:c r="B33" s="17" t="str">
        <x:v>department</x:v>
      </x:c>
      <x:c r="C33" s="17" t="str">
        <x:v>Analytics</x:v>
      </x:c>
      <x:c r="D33" s="17" t="n">
        <x:f>COUNTIFS('Tasks'!$C$7:$C$246,$A33,'Tasks'!$D$7:$D$246,$C33)</x:f>
        <x:v>14</x:v>
      </x:c>
      <x:c r="E33" s="17" t="n">
        <x:f>SUMIFS('Tasks'!$O$7:$O$246,'Tasks'!$C$7:$C$246,$A33,'Tasks'!$D$7:$D$246,$C33)</x:f>
        <x:v>4361573</x:v>
      </x:c>
      <x:c r="F33" s="17" t="n">
        <x:f>SUMIFS('Tasks'!$P$7:$P$246,'Tasks'!$C$7:$C$246,$A33,'Tasks'!$D$7:$D$246,$C33)</x:f>
        <x:v>1027850</x:v>
      </x:c>
      <x:c r="G33" s="17" t="n">
        <x:f>SUMIFS('Tasks'!$Q$7:$Q$246,'Tasks'!$C$7:$C$246,$A33,'Tasks'!$D$7:$D$246,$C33)</x:f>
        <x:v>5389423</x:v>
      </x:c>
      <x:c r="H33" s="22" t="n">
        <x:f>SUMIFS('Tasks'!$S$7:$S$246,'Tasks'!$C$7:$C$246,$A33,'Tasks'!$D$7:$D$246,$C33)</x:f>
        <x:v>56.01839</x:v>
      </x:c>
      <x:c r="I33" s="22" t="n">
        <x:f>SUMIFS('Tasks'!$T$7:$T$246,'Tasks'!$C$7:$C$246,$A33,'Tasks'!$D$7:$D$246,$C33)</x:f>
        <x:v>42.57429</x:v>
      </x:c>
      <x:c r="J33" s="22" t="n">
        <x:f>SUMIFS('Tasks'!$U$7:$U$246,'Tasks'!$C$7:$C$246,$A33,'Tasks'!$D$7:$D$246,$C33)</x:f>
        <x:v>98.59268</x:v>
      </x:c>
      <x:c r="K33" s="17" t="n">
        <x:f>SUMIFS('Tasks'!$R$7:$R$246,'Tasks'!$C$7:$C$246,$A33,'Tasks'!$D$7:$D$246,$C33)</x:f>
        <x:v>174</x:v>
      </x:c>
      <x:c r="L33" s="22" t="n">
        <x:f>IF(K33=0,"N/A",J33/K33)</x:f>
        <x:v>0.5666245977011495</x:v>
      </x:c>
      <x:c r="M33" s="19" t="n">
        <x:f>SUMIFS('Tasks'!$G$7:$G$246,'Tasks'!$C$7:$C$246,$A33,'Tasks'!$D$7:$D$246,$C33)</x:f>
        <x:v>53.33</x:v>
      </x:c>
      <x:c r="N33" s="19" t="n">
        <x:f>SUMIFS('Tasks'!$H$7:$H$246,'Tasks'!$C$7:$C$246,$A33,'Tasks'!$D$7:$D$246,$C33)</x:f>
        <x:v>39.349999999999994</x:v>
      </x:c>
      <x:c r="O33" s="19" t="n">
        <x:f>SUMIFS('Tasks'!$Y$7:$Y$246,'Tasks'!$C$7:$C$246,$A33,'Tasks'!$D$7:$D$246,$C33)</x:f>
        <x:v>13.98</x:v>
      </x:c>
      <x:c r="P33" s="22" t="n">
        <x:f>SUMIFS('Tasks'!$Z$7:$Z$246,'Tasks'!$C$7:$C$246,$A33,'Tasks'!$D$7:$D$246,$C33)</x:f>
        <x:v>699</x:v>
      </x:c>
      <x:c r="Q33" s="22" t="n">
        <x:f>SUMIFS('Tasks'!$AA$7:$AA$246,'Tasks'!$C$7:$C$246,$A33,'Tasks'!$D$7:$D$246,$C33)</x:f>
        <x:v>600.40732</x:v>
      </x:c>
      <x:c r="R33" s="31" t="n">
        <x:f>IF(J33=0,"N/A",Q33/J33)</x:f>
        <x:v>6.089775833256587</x:v>
      </x:c>
      <x:c r="S33" s="19" t="n">
        <x:f>SUMIFS('Tasks'!$I$7:$I$246,'Tasks'!$C$7:$C$246,$A33,'Tasks'!$D$7:$D$246,$C33)</x:f>
        <x:v>2.97</x:v>
      </x:c>
      <x:c r="T33" s="31" t="n">
        <x:f>IF(N33=0,"N/A",S33/N33)</x:f>
        <x:v>0.07547649301143584</x:v>
      </x:c>
      <x:c r="U33" s="17" t="n">
        <x:f>SUMIFS('Tasks'!$X$7:$X$246,'Tasks'!$C$7:$C$246,$A33,'Tasks'!$D$7:$D$246,$C33)</x:f>
        <x:v>36</x:v>
      </x:c>
      <x:c r="V33" s="31" t="n">
        <x:f>IF(K33=0,"N/A",U33/K33)</x:f>
        <x:v>0.20689655172413793</x:v>
      </x:c>
      <x:c r="W33" s="17" t="n">
        <x:f>COUNTIFS('Tasks'!$C$7:$C$246,$A33,'Tasks'!$D$7:$D$246,$C33,'Tasks'!$L$7:$L$246,"Yes")</x:f>
        <x:v>11</x:v>
      </x:c>
      <x:c r="X33" s="17" t="n">
        <x:f>COUNTIFS('Tasks'!$C$7:$C$246,$A33,'Tasks'!$D$7:$D$246,$C33,'Tasks'!$K$7:$K$246,"Yes")</x:f>
        <x:v>0</x:v>
      </x:c>
      <x:c r="Y33" s="17" t="n">
        <x:f>COUNTIFS('Tasks'!$C$7:$C$246,$A33,'Tasks'!$D$7:$D$246,$C33,'Tasks'!$AA$7:$AA$246,"&gt;0")</x:f>
        <x:v>12</x:v>
      </x:c>
      <x:c r="Z33" s="17" t="n">
        <x:f>COUNTIFS('Tasks'!$C$7:$C$246,$A33,'Tasks'!$D$7:$D$246,$C33,'Tasks'!$AA$7:$AA$246,"&lt;0")</x:f>
        <x:v>2</x:v>
      </x:c>
    </x:row>
    <x:row r="34" ht="23" customHeight="1">
      <x:c r="A34" s="17" t="str">
        <x:v>C003</x:v>
      </x:c>
      <x:c r="B34" s="17" t="str">
        <x:v>department</x:v>
      </x:c>
      <x:c r="C34" s="17" t="str">
        <x:v>Content</x:v>
      </x:c>
      <x:c r="D34" s="17" t="n">
        <x:f>COUNTIFS('Tasks'!$C$7:$C$246,$A34,'Tasks'!$D$7:$D$246,$C34)</x:f>
        <x:v>14</x:v>
      </x:c>
      <x:c r="E34" s="17" t="n">
        <x:f>SUMIFS('Tasks'!$O$7:$O$246,'Tasks'!$C$7:$C$246,$A34,'Tasks'!$D$7:$D$246,$C34)</x:f>
        <x:v>4271326</x:v>
      </x:c>
      <x:c r="F34" s="17" t="n">
        <x:f>SUMIFS('Tasks'!$P$7:$P$246,'Tasks'!$C$7:$C$246,$A34,'Tasks'!$D$7:$D$246,$C34)</x:f>
        <x:v>1077232</x:v>
      </x:c>
      <x:c r="G34" s="17" t="n">
        <x:f>SUMIFS('Tasks'!$Q$7:$Q$246,'Tasks'!$C$7:$C$246,$A34,'Tasks'!$D$7:$D$246,$C34)</x:f>
        <x:v>5348558</x:v>
      </x:c>
      <x:c r="H34" s="22" t="n">
        <x:f>SUMIFS('Tasks'!$S$7:$S$246,'Tasks'!$C$7:$C$246,$A34,'Tasks'!$D$7:$D$246,$C34)</x:f>
        <x:v>81.47446</x:v>
      </x:c>
      <x:c r="I34" s="22" t="n">
        <x:f>SUMIFS('Tasks'!$T$7:$T$246,'Tasks'!$C$7:$C$246,$A34,'Tasks'!$D$7:$D$246,$C34)</x:f>
        <x:v>62.33443000000001</x:v>
      </x:c>
      <x:c r="J34" s="22" t="n">
        <x:f>SUMIFS('Tasks'!$U$7:$U$246,'Tasks'!$C$7:$C$246,$A34,'Tasks'!$D$7:$D$246,$C34)</x:f>
        <x:v>143.80889000000002</x:v>
      </x:c>
      <x:c r="K34" s="17" t="n">
        <x:f>SUMIFS('Tasks'!$R$7:$R$246,'Tasks'!$C$7:$C$246,$A34,'Tasks'!$D$7:$D$246,$C34)</x:f>
        <x:v>170</x:v>
      </x:c>
      <x:c r="L34" s="22" t="n">
        <x:f>IF(K34=0,"N/A",J34/K34)</x:f>
        <x:v>0.8459346470588236</x:v>
      </x:c>
      <x:c r="M34" s="19" t="n">
        <x:f>SUMIFS('Tasks'!$G$7:$G$246,'Tasks'!$C$7:$C$246,$A34,'Tasks'!$D$7:$D$246,$C34)</x:f>
        <x:v>49.92000000000001</x:v>
      </x:c>
      <x:c r="N34" s="19" t="n">
        <x:f>SUMIFS('Tasks'!$H$7:$H$246,'Tasks'!$C$7:$C$246,$A34,'Tasks'!$D$7:$D$246,$C34)</x:f>
        <x:v>39.66</x:v>
      </x:c>
      <x:c r="O34" s="19" t="n">
        <x:f>SUMIFS('Tasks'!$Y$7:$Y$246,'Tasks'!$C$7:$C$246,$A34,'Tasks'!$D$7:$D$246,$C34)</x:f>
        <x:v>10.26</x:v>
      </x:c>
      <x:c r="P34" s="22" t="n">
        <x:f>SUMIFS('Tasks'!$Z$7:$Z$246,'Tasks'!$C$7:$C$246,$A34,'Tasks'!$D$7:$D$246,$C34)</x:f>
        <x:v>513</x:v>
      </x:c>
      <x:c r="Q34" s="22" t="n">
        <x:f>SUMIFS('Tasks'!$AA$7:$AA$246,'Tasks'!$C$7:$C$246,$A34,'Tasks'!$D$7:$D$246,$C34)</x:f>
        <x:v>369.1911100000001</x:v>
      </x:c>
      <x:c r="R34" s="31" t="n">
        <x:f>IF(J34=0,"N/A",Q34/J34)</x:f>
        <x:v>2.567234264863598</x:v>
      </x:c>
      <x:c r="S34" s="19" t="n">
        <x:f>SUMIFS('Tasks'!$I$7:$I$246,'Tasks'!$C$7:$C$246,$A34,'Tasks'!$D$7:$D$246,$C34)</x:f>
        <x:v>2.37</x:v>
      </x:c>
      <x:c r="T34" s="31" t="n">
        <x:f>IF(N34=0,"N/A",S34/N34)</x:f>
        <x:v>0.05975794251134645</x:v>
      </x:c>
      <x:c r="U34" s="17" t="n">
        <x:f>SUMIFS('Tasks'!$X$7:$X$246,'Tasks'!$C$7:$C$246,$A34,'Tasks'!$D$7:$D$246,$C34)</x:f>
        <x:v>35</x:v>
      </x:c>
      <x:c r="V34" s="31" t="n">
        <x:f>IF(K34=0,"N/A",U34/K34)</x:f>
        <x:v>0.20588235294117646</x:v>
      </x:c>
      <x:c r="W34" s="17" t="n">
        <x:f>COUNTIFS('Tasks'!$C$7:$C$246,$A34,'Tasks'!$D$7:$D$246,$C34,'Tasks'!$L$7:$L$246,"Yes")</x:f>
        <x:v>12</x:v>
      </x:c>
      <x:c r="X34" s="17" t="n">
        <x:f>COUNTIFS('Tasks'!$C$7:$C$246,$A34,'Tasks'!$D$7:$D$246,$C34,'Tasks'!$K$7:$K$246,"Yes")</x:f>
        <x:v>2</x:v>
      </x:c>
      <x:c r="Y34" s="17" t="n">
        <x:f>COUNTIFS('Tasks'!$C$7:$C$246,$A34,'Tasks'!$D$7:$D$246,$C34,'Tasks'!$AA$7:$AA$246,"&gt;0")</x:f>
        <x:v>8</x:v>
      </x:c>
      <x:c r="Z34" s="17" t="n">
        <x:f>COUNTIFS('Tasks'!$C$7:$C$246,$A34,'Tasks'!$D$7:$D$246,$C34,'Tasks'!$AA$7:$AA$246,"&lt;0")</x:f>
        <x:v>6</x:v>
      </x:c>
    </x:row>
    <x:row r="35" ht="23" customHeight="1">
      <x:c r="A35" s="17" t="str">
        <x:v>C003</x:v>
      </x:c>
      <x:c r="B35" s="17" t="str">
        <x:v>department</x:v>
      </x:c>
      <x:c r="C35" s="17" t="str">
        <x:v>Creative</x:v>
      </x:c>
      <x:c r="D35" s="17" t="n">
        <x:f>COUNTIFS('Tasks'!$C$7:$C$246,$A35,'Tasks'!$D$7:$D$246,$C35)</x:f>
        <x:v>16</x:v>
      </x:c>
      <x:c r="E35" s="17" t="n">
        <x:f>SUMIFS('Tasks'!$O$7:$O$246,'Tasks'!$C$7:$C$246,$A35,'Tasks'!$D$7:$D$246,$C35)</x:f>
        <x:v>4767842</x:v>
      </x:c>
      <x:c r="F35" s="17" t="n">
        <x:f>SUMIFS('Tasks'!$P$7:$P$246,'Tasks'!$C$7:$C$246,$A35,'Tasks'!$D$7:$D$246,$C35)</x:f>
        <x:v>1265358</x:v>
      </x:c>
      <x:c r="G35" s="17" t="n">
        <x:f>SUMIFS('Tasks'!$Q$7:$Q$246,'Tasks'!$C$7:$C$246,$A35,'Tasks'!$D$7:$D$246,$C35)</x:f>
        <x:v>6033200</x:v>
      </x:c>
      <x:c r="H35" s="22" t="n">
        <x:f>SUMIFS('Tasks'!$S$7:$S$246,'Tasks'!$C$7:$C$246,$A35,'Tasks'!$D$7:$D$246,$C35)</x:f>
        <x:v>89.22745999999998</x:v>
      </x:c>
      <x:c r="I35" s="22" t="n">
        <x:f>SUMIFS('Tasks'!$T$7:$T$246,'Tasks'!$C$7:$C$246,$A35,'Tasks'!$D$7:$D$246,$C35)</x:f>
        <x:v>77.16718</x:v>
      </x:c>
      <x:c r="J35" s="22" t="n">
        <x:f>SUMIFS('Tasks'!$U$7:$U$246,'Tasks'!$C$7:$C$246,$A35,'Tasks'!$D$7:$D$246,$C35)</x:f>
        <x:v>166.39463999999998</x:v>
      </x:c>
      <x:c r="K35" s="17" t="n">
        <x:f>SUMIFS('Tasks'!$R$7:$R$246,'Tasks'!$C$7:$C$246,$A35,'Tasks'!$D$7:$D$246,$C35)</x:f>
        <x:v>192</x:v>
      </x:c>
      <x:c r="L35" s="22" t="n">
        <x:f>IF(K35=0,"N/A",J35/K35)</x:f>
        <x:v>0.8666387499999999</x:v>
      </x:c>
      <x:c r="M35" s="19" t="n">
        <x:f>SUMIFS('Tasks'!$G$7:$G$246,'Tasks'!$C$7:$C$246,$A35,'Tasks'!$D$7:$D$246,$C35)</x:f>
        <x:v>58.02</x:v>
      </x:c>
      <x:c r="N35" s="19" t="n">
        <x:f>SUMIFS('Tasks'!$H$7:$H$246,'Tasks'!$C$7:$C$246,$A35,'Tasks'!$D$7:$D$246,$C35)</x:f>
        <x:v>47.849999999999994</x:v>
      </x:c>
      <x:c r="O35" s="19" t="n">
        <x:f>SUMIFS('Tasks'!$Y$7:$Y$246,'Tasks'!$C$7:$C$246,$A35,'Tasks'!$D$7:$D$246,$C35)</x:f>
        <x:v>10.170000000000002</x:v>
      </x:c>
      <x:c r="P35" s="22" t="n">
        <x:f>SUMIFS('Tasks'!$Z$7:$Z$246,'Tasks'!$C$7:$C$246,$A35,'Tasks'!$D$7:$D$246,$C35)</x:f>
        <x:v>508.5</x:v>
      </x:c>
      <x:c r="Q35" s="22" t="n">
        <x:f>SUMIFS('Tasks'!$AA$7:$AA$246,'Tasks'!$C$7:$C$246,$A35,'Tasks'!$D$7:$D$246,$C35)</x:f>
        <x:v>342.10536</x:v>
      </x:c>
      <x:c r="R35" s="31" t="n">
        <x:f>IF(J35=0,"N/A",Q35/J35)</x:f>
        <x:v>2.0559878611474507</x:v>
      </x:c>
      <x:c r="S35" s="19" t="n">
        <x:f>SUMIFS('Tasks'!$I$7:$I$246,'Tasks'!$C$7:$C$246,$A35,'Tasks'!$D$7:$D$246,$C35)</x:f>
        <x:v>5.22</x:v>
      </x:c>
      <x:c r="T35" s="31" t="n">
        <x:f>IF(N35=0,"N/A",S35/N35)</x:f>
        <x:v>0.1090909090909091</x:v>
      </x:c>
      <x:c r="U35" s="17" t="n">
        <x:f>SUMIFS('Tasks'!$X$7:$X$246,'Tasks'!$C$7:$C$246,$A35,'Tasks'!$D$7:$D$246,$C35)</x:f>
        <x:v>42</x:v>
      </x:c>
      <x:c r="V35" s="31" t="n">
        <x:f>IF(K35=0,"N/A",U35/K35)</x:f>
        <x:v>0.21875</x:v>
      </x:c>
      <x:c r="W35" s="17" t="n">
        <x:f>COUNTIFS('Tasks'!$C$7:$C$246,$A35,'Tasks'!$D$7:$D$246,$C35,'Tasks'!$L$7:$L$246,"Yes")</x:f>
        <x:v>11</x:v>
      </x:c>
      <x:c r="X35" s="17" t="n">
        <x:f>COUNTIFS('Tasks'!$C$7:$C$246,$A35,'Tasks'!$D$7:$D$246,$C35,'Tasks'!$K$7:$K$246,"Yes")</x:f>
        <x:v>4</x:v>
      </x:c>
      <x:c r="Y35" s="17" t="n">
        <x:f>COUNTIFS('Tasks'!$C$7:$C$246,$A35,'Tasks'!$D$7:$D$246,$C35,'Tasks'!$AA$7:$AA$246,"&gt;0")</x:f>
        <x:v>12</x:v>
      </x:c>
      <x:c r="Z35" s="17" t="n">
        <x:f>COUNTIFS('Tasks'!$C$7:$C$246,$A35,'Tasks'!$D$7:$D$246,$C35,'Tasks'!$AA$7:$AA$246,"&lt;0")</x:f>
        <x:v>4</x:v>
      </x:c>
    </x:row>
    <x:row r="36" ht="23" customHeight="1">
      <x:c r="A36" s="17" t="str">
        <x:v>C003</x:v>
      </x:c>
      <x:c r="B36" s="17" t="str">
        <x:v>department</x:v>
      </x:c>
      <x:c r="C36" s="17" t="str">
        <x:v>Marketing Operations</x:v>
      </x:c>
      <x:c r="D36" s="17" t="n">
        <x:f>COUNTIFS('Tasks'!$C$7:$C$246,$A36,'Tasks'!$D$7:$D$246,$C36)</x:f>
        <x:v>16</x:v>
      </x:c>
      <x:c r="E36" s="17" t="n">
        <x:f>SUMIFS('Tasks'!$O$7:$O$246,'Tasks'!$C$7:$C$246,$A36,'Tasks'!$D$7:$D$246,$C36)</x:f>
        <x:v>4599259</x:v>
      </x:c>
      <x:c r="F36" s="17" t="n">
        <x:f>SUMIFS('Tasks'!$P$7:$P$246,'Tasks'!$C$7:$C$246,$A36,'Tasks'!$D$7:$D$246,$C36)</x:f>
        <x:v>1129560</x:v>
      </x:c>
      <x:c r="G36" s="17" t="n">
        <x:f>SUMIFS('Tasks'!$Q$7:$Q$246,'Tasks'!$C$7:$C$246,$A36,'Tasks'!$D$7:$D$246,$C36)</x:f>
        <x:v>5728819</x:v>
      </x:c>
      <x:c r="H36" s="22" t="n">
        <x:f>SUMIFS('Tasks'!$S$7:$S$246,'Tasks'!$C$7:$C$246,$A36,'Tasks'!$D$7:$D$246,$C36)</x:f>
        <x:v>73.27969000000002</x:v>
      </x:c>
      <x:c r="I36" s="22" t="n">
        <x:f>SUMIFS('Tasks'!$T$7:$T$246,'Tasks'!$C$7:$C$246,$A36,'Tasks'!$D$7:$D$246,$C36)</x:f>
        <x:v>57.9241</x:v>
      </x:c>
      <x:c r="J36" s="22" t="n">
        <x:f>SUMIFS('Tasks'!$U$7:$U$246,'Tasks'!$C$7:$C$246,$A36,'Tasks'!$D$7:$D$246,$C36)</x:f>
        <x:v>131.20379</x:v>
      </x:c>
      <x:c r="K36" s="17" t="n">
        <x:f>SUMIFS('Tasks'!$R$7:$R$246,'Tasks'!$C$7:$C$246,$A36,'Tasks'!$D$7:$D$246,$C36)</x:f>
        <x:v>184</x:v>
      </x:c>
      <x:c r="L36" s="22" t="n">
        <x:f>IF(K36=0,"N/A",J36/K36)</x:f>
        <x:v>0.7130640760869565</x:v>
      </x:c>
      <x:c r="M36" s="19" t="n">
        <x:f>SUMIFS('Tasks'!$G$7:$G$246,'Tasks'!$C$7:$C$246,$A36,'Tasks'!$D$7:$D$246,$C36)</x:f>
        <x:v>58.72999999999999</x:v>
      </x:c>
      <x:c r="N36" s="19" t="n">
        <x:f>SUMIFS('Tasks'!$H$7:$H$246,'Tasks'!$C$7:$C$246,$A36,'Tasks'!$D$7:$D$246,$C36)</x:f>
        <x:v>45.14</x:v>
      </x:c>
      <x:c r="O36" s="19" t="n">
        <x:f>SUMIFS('Tasks'!$Y$7:$Y$246,'Tasks'!$C$7:$C$246,$A36,'Tasks'!$D$7:$D$246,$C36)</x:f>
        <x:v>13.59</x:v>
      </x:c>
      <x:c r="P36" s="22" t="n">
        <x:f>SUMIFS('Tasks'!$Z$7:$Z$246,'Tasks'!$C$7:$C$246,$A36,'Tasks'!$D$7:$D$246,$C36)</x:f>
        <x:v>679.5</x:v>
      </x:c>
      <x:c r="Q36" s="22" t="n">
        <x:f>SUMIFS('Tasks'!$AA$7:$AA$246,'Tasks'!$C$7:$C$246,$A36,'Tasks'!$D$7:$D$246,$C36)</x:f>
        <x:v>548.2962099999999</x:v>
      </x:c>
      <x:c r="R36" s="31" t="n">
        <x:f>IF(J36=0,"N/A",Q36/J36)</x:f>
        <x:v>4.178966247850004</x:v>
      </x:c>
      <x:c r="S36" s="19" t="n">
        <x:f>SUMIFS('Tasks'!$I$7:$I$246,'Tasks'!$C$7:$C$246,$A36,'Tasks'!$D$7:$D$246,$C36)</x:f>
        <x:v>4.38</x:v>
      </x:c>
      <x:c r="T36" s="31" t="n">
        <x:f>IF(N36=0,"N/A",S36/N36)</x:f>
        <x:v>0.09703145768719539</x:v>
      </x:c>
      <x:c r="U36" s="17" t="n">
        <x:f>SUMIFS('Tasks'!$X$7:$X$246,'Tasks'!$C$7:$C$246,$A36,'Tasks'!$D$7:$D$246,$C36)</x:f>
        <x:v>39</x:v>
      </x:c>
      <x:c r="V36" s="31" t="n">
        <x:f>IF(K36=0,"N/A",U36/K36)</x:f>
        <x:v>0.21195652173913043</x:v>
      </x:c>
      <x:c r="W36" s="17" t="n">
        <x:f>COUNTIFS('Tasks'!$C$7:$C$246,$A36,'Tasks'!$D$7:$D$246,$C36,'Tasks'!$L$7:$L$246,"Yes")</x:f>
        <x:v>8</x:v>
      </x:c>
      <x:c r="X36" s="17" t="n">
        <x:f>COUNTIFS('Tasks'!$C$7:$C$246,$A36,'Tasks'!$D$7:$D$246,$C36,'Tasks'!$K$7:$K$246,"Yes")</x:f>
        <x:v>4</x:v>
      </x:c>
      <x:c r="Y36" s="17" t="n">
        <x:f>COUNTIFS('Tasks'!$C$7:$C$246,$A36,'Tasks'!$D$7:$D$246,$C36,'Tasks'!$AA$7:$AA$246,"&gt;0")</x:f>
        <x:v>12</x:v>
      </x:c>
      <x:c r="Z36" s="17" t="n">
        <x:f>COUNTIFS('Tasks'!$C$7:$C$246,$A36,'Tasks'!$D$7:$D$246,$C36,'Tasks'!$AA$7:$AA$246,"&lt;0")</x:f>
        <x:v>4</x:v>
      </x:c>
    </x:row>
    <x:row r="37" ht="23" customHeight="1">
      <x:c r="A37" s="17" t="str">
        <x:v>C004</x:v>
      </x:c>
      <x:c r="B37" s="17" t="str">
        <x:v>product</x:v>
      </x:c>
      <x:c r="C37" s="17" t="str">
        <x:v>CampaignChat</x:v>
      </x:c>
      <x:c r="D37" s="17" t="n">
        <x:f>COUNTIFS('Tasks'!$C$7:$C$246,$A37,'Tasks'!$M$7:$M$246,$C37)</x:f>
        <x:v>16</x:v>
      </x:c>
      <x:c r="E37" s="17" t="n">
        <x:f>SUMIFS('Tasks'!$O$7:$O$246,'Tasks'!$C$7:$C$246,$A37,'Tasks'!$M$7:$M$246,$C37)</x:f>
        <x:v>4903622</x:v>
      </x:c>
      <x:c r="F37" s="17" t="n">
        <x:f>SUMIFS('Tasks'!$P$7:$P$246,'Tasks'!$C$7:$C$246,$A37,'Tasks'!$M$7:$M$246,$C37)</x:f>
        <x:v>1357756</x:v>
      </x:c>
      <x:c r="G37" s="17" t="n">
        <x:f>SUMIFS('Tasks'!$Q$7:$Q$246,'Tasks'!$C$7:$C$246,$A37,'Tasks'!$M$7:$M$246,$C37)</x:f>
        <x:v>6261378</x:v>
      </x:c>
      <x:c r="H37" s="22" t="n">
        <x:f>SUMIFS('Tasks'!$S$7:$S$246,'Tasks'!$C$7:$C$246,$A37,'Tasks'!$M$7:$M$246,$C37)</x:f>
        <x:v>82.80857</x:v>
      </x:c>
      <x:c r="I37" s="22" t="n">
        <x:f>SUMIFS('Tasks'!$T$7:$T$246,'Tasks'!$C$7:$C$246,$A37,'Tasks'!$M$7:$M$246,$C37)</x:f>
        <x:v>77.36501</x:v>
      </x:c>
      <x:c r="J37" s="22" t="n">
        <x:f>SUMIFS('Tasks'!$U$7:$U$246,'Tasks'!$C$7:$C$246,$A37,'Tasks'!$M$7:$M$246,$C37)</x:f>
        <x:v>160.17357999999996</x:v>
      </x:c>
      <x:c r="K37" s="17" t="n">
        <x:f>SUMIFS('Tasks'!$R$7:$R$246,'Tasks'!$C$7:$C$246,$A37,'Tasks'!$M$7:$M$246,$C37)</x:f>
        <x:v>237</x:v>
      </x:c>
      <x:c r="L37" s="22" t="n">
        <x:f>IF(K37=0,"N/A",J37/K37)</x:f>
        <x:v>0.6758378902953585</x:v>
      </x:c>
      <x:c r="M37" s="19" t="n">
        <x:f>SUMIFS('Tasks'!$G$7:$G$246,'Tasks'!$C$7:$C$246,$A37,'Tasks'!$M$7:$M$246,$C37)</x:f>
        <x:v>66.52000000000001</x:v>
      </x:c>
      <x:c r="N37" s="19" t="n">
        <x:f>SUMIFS('Tasks'!$H$7:$H$246,'Tasks'!$C$7:$C$246,$A37,'Tasks'!$M$7:$M$246,$C37)</x:f>
        <x:v>54.88999999999999</x:v>
      </x:c>
      <x:c r="O37" s="19" t="n">
        <x:f>SUMIFS('Tasks'!$Y$7:$Y$246,'Tasks'!$C$7:$C$246,$A37,'Tasks'!$M$7:$M$246,$C37)</x:f>
        <x:v>11.629999999999999</x:v>
      </x:c>
      <x:c r="P37" s="22" t="n">
        <x:f>SUMIFS('Tasks'!$Z$7:$Z$246,'Tasks'!$C$7:$C$246,$A37,'Tasks'!$M$7:$M$246,$C37)</x:f>
        <x:v>581.5</x:v>
      </x:c>
      <x:c r="Q37" s="22" t="n">
        <x:f>SUMIFS('Tasks'!$AA$7:$AA$246,'Tasks'!$C$7:$C$246,$A37,'Tasks'!$M$7:$M$246,$C37)</x:f>
        <x:v>421.32642</x:v>
      </x:c>
      <x:c r="R37" s="31" t="n">
        <x:f>IF(J37=0,"N/A",Q37/J37)</x:f>
        <x:v>2.6304364302777032</x:v>
      </x:c>
      <x:c r="S37" s="19" t="n">
        <x:f>SUMIFS('Tasks'!$I$7:$I$246,'Tasks'!$C$7:$C$246,$A37,'Tasks'!$M$7:$M$246,$C37)</x:f>
        <x:v>4.470000000000001</x:v>
      </x:c>
      <x:c r="T37" s="31" t="n">
        <x:f>IF(N37=0,"N/A",S37/N37)</x:f>
        <x:v>0.08143559846966662</x:v>
      </x:c>
      <x:c r="U37" s="17" t="n">
        <x:f>SUMIFS('Tasks'!$X$7:$X$246,'Tasks'!$C$7:$C$246,$A37,'Tasks'!$M$7:$M$246,$C37)</x:f>
        <x:v>55</x:v>
      </x:c>
      <x:c r="V37" s="31" t="n">
        <x:f>IF(K37=0,"N/A",U37/K37)</x:f>
        <x:v>0.2320675105485232</x:v>
      </x:c>
      <x:c r="W37" s="17" t="n">
        <x:f>COUNTIFS('Tasks'!$C$7:$C$246,$A37,'Tasks'!$M$7:$M$246,$C37,'Tasks'!$L$7:$L$246,"Yes")</x:f>
        <x:v>9</x:v>
      </x:c>
      <x:c r="X37" s="17" t="n">
        <x:f>COUNTIFS('Tasks'!$C$7:$C$246,$A37,'Tasks'!$M$7:$M$246,$C37,'Tasks'!$K$7:$K$246,"Yes")</x:f>
        <x:v>3</x:v>
      </x:c>
      <x:c r="Y37" s="17" t="n">
        <x:f>COUNTIFS('Tasks'!$C$7:$C$246,$A37,'Tasks'!$M$7:$M$246,$C37,'Tasks'!$AA$7:$AA$246,"&gt;0")</x:f>
        <x:v>10</x:v>
      </x:c>
      <x:c r="Z37" s="17" t="n">
        <x:f>COUNTIFS('Tasks'!$C$7:$C$246,$A37,'Tasks'!$M$7:$M$246,$C37,'Tasks'!$AA$7:$AA$246,"&lt;0")</x:f>
        <x:v>6</x:v>
      </x:c>
    </x:row>
    <x:row r="38" ht="23" customHeight="1">
      <x:c r="A38" s="17" t="str">
        <x:v>C004</x:v>
      </x:c>
      <x:c r="B38" s="17" t="str">
        <x:v>product</x:v>
      </x:c>
      <x:c r="C38" s="17" t="str">
        <x:v>CopyStudio</x:v>
      </x:c>
      <x:c r="D38" s="17" t="n">
        <x:f>COUNTIFS('Tasks'!$C$7:$C$246,$A38,'Tasks'!$M$7:$M$246,$C38)</x:f>
        <x:v>14</x:v>
      </x:c>
      <x:c r="E38" s="17" t="n">
        <x:f>SUMIFS('Tasks'!$O$7:$O$246,'Tasks'!$C$7:$C$246,$A38,'Tasks'!$M$7:$M$246,$C38)</x:f>
        <x:v>3883842</x:v>
      </x:c>
      <x:c r="F38" s="17" t="n">
        <x:f>SUMIFS('Tasks'!$P$7:$P$246,'Tasks'!$C$7:$C$246,$A38,'Tasks'!$M$7:$M$246,$C38)</x:f>
        <x:v>994637</x:v>
      </x:c>
      <x:c r="G38" s="17" t="n">
        <x:f>SUMIFS('Tasks'!$Q$7:$Q$246,'Tasks'!$C$7:$C$246,$A38,'Tasks'!$M$7:$M$246,$C38)</x:f>
        <x:v>4878479</x:v>
      </x:c>
      <x:c r="H38" s="22" t="n">
        <x:f>SUMIFS('Tasks'!$S$7:$S$246,'Tasks'!$C$7:$C$246,$A38,'Tasks'!$M$7:$M$246,$C38)</x:f>
        <x:v>95.35593</x:v>
      </x:c>
      <x:c r="I38" s="22" t="n">
        <x:f>SUMIFS('Tasks'!$T$7:$T$246,'Tasks'!$C$7:$C$246,$A38,'Tasks'!$M$7:$M$246,$C38)</x:f>
        <x:v>72.20926999999998</x:v>
      </x:c>
      <x:c r="J38" s="22" t="n">
        <x:f>SUMIFS('Tasks'!$U$7:$U$246,'Tasks'!$C$7:$C$246,$A38,'Tasks'!$M$7:$M$246,$C38)</x:f>
        <x:v>167.56520000000003</x:v>
      </x:c>
      <x:c r="K38" s="17" t="n">
        <x:f>SUMIFS('Tasks'!$R$7:$R$246,'Tasks'!$C$7:$C$246,$A38,'Tasks'!$M$7:$M$246,$C38)</x:f>
        <x:v>183</x:v>
      </x:c>
      <x:c r="L38" s="22" t="n">
        <x:f>IF(K38=0,"N/A",J38/K38)</x:f>
        <x:v>0.915656830601093</x:v>
      </x:c>
      <x:c r="M38" s="19" t="n">
        <x:f>SUMIFS('Tasks'!$G$7:$G$246,'Tasks'!$C$7:$C$246,$A38,'Tasks'!$M$7:$M$246,$C38)</x:f>
        <x:v>59.890000000000015</x:v>
      </x:c>
      <x:c r="N38" s="19" t="n">
        <x:f>SUMIFS('Tasks'!$H$7:$H$246,'Tasks'!$C$7:$C$246,$A38,'Tasks'!$M$7:$M$246,$C38)</x:f>
        <x:v>51.34</x:v>
      </x:c>
      <x:c r="O38" s="19" t="n">
        <x:f>SUMIFS('Tasks'!$Y$7:$Y$246,'Tasks'!$C$7:$C$246,$A38,'Tasks'!$M$7:$M$246,$C38)</x:f>
        <x:v>8.55</x:v>
      </x:c>
      <x:c r="P38" s="22" t="n">
        <x:f>SUMIFS('Tasks'!$Z$7:$Z$246,'Tasks'!$C$7:$C$246,$A38,'Tasks'!$M$7:$M$246,$C38)</x:f>
        <x:v>427.49999999999994</x:v>
      </x:c>
      <x:c r="Q38" s="22" t="n">
        <x:f>SUMIFS('Tasks'!$AA$7:$AA$246,'Tasks'!$C$7:$C$246,$A38,'Tasks'!$M$7:$M$246,$C38)</x:f>
        <x:v>259.9348</x:v>
      </x:c>
      <x:c r="R38" s="31" t="n">
        <x:f>IF(J38=0,"N/A",Q38/J38)</x:f>
        <x:v>1.551245724052488</x:v>
      </x:c>
      <x:c r="S38" s="19" t="n">
        <x:f>SUMIFS('Tasks'!$I$7:$I$246,'Tasks'!$C$7:$C$246,$A38,'Tasks'!$M$7:$M$246,$C38)</x:f>
        <x:v>4.179999999999999</x:v>
      </x:c>
      <x:c r="T38" s="31" t="n">
        <x:f>IF(N38=0,"N/A",S38/N38)</x:f>
        <x:v>0.08141799766264118</x:v>
      </x:c>
      <x:c r="U38" s="17" t="n">
        <x:f>SUMIFS('Tasks'!$X$7:$X$246,'Tasks'!$C$7:$C$246,$A38,'Tasks'!$M$7:$M$246,$C38)</x:f>
        <x:v>41</x:v>
      </x:c>
      <x:c r="V38" s="31" t="n">
        <x:f>IF(K38=0,"N/A",U38/K38)</x:f>
        <x:v>0.22404371584699453</x:v>
      </x:c>
      <x:c r="W38" s="17" t="n">
        <x:f>COUNTIFS('Tasks'!$C$7:$C$246,$A38,'Tasks'!$M$7:$M$246,$C38,'Tasks'!$L$7:$L$246,"Yes")</x:f>
        <x:v>10</x:v>
      </x:c>
      <x:c r="X38" s="17" t="n">
        <x:f>COUNTIFS('Tasks'!$C$7:$C$246,$A38,'Tasks'!$M$7:$M$246,$C38,'Tasks'!$K$7:$K$246,"Yes")</x:f>
        <x:v>3</x:v>
      </x:c>
      <x:c r="Y38" s="17" t="n">
        <x:f>COUNTIFS('Tasks'!$C$7:$C$246,$A38,'Tasks'!$M$7:$M$246,$C38,'Tasks'!$AA$7:$AA$246,"&gt;0")</x:f>
        <x:v>8</x:v>
      </x:c>
      <x:c r="Z38" s="17" t="n">
        <x:f>COUNTIFS('Tasks'!$C$7:$C$246,$A38,'Tasks'!$M$7:$M$246,$C38,'Tasks'!$AA$7:$AA$246,"&lt;0")</x:f>
        <x:v>6</x:v>
      </x:c>
    </x:row>
    <x:row r="39" ht="23" customHeight="1">
      <x:c r="A39" s="17" t="str">
        <x:v>C004</x:v>
      </x:c>
      <x:c r="B39" s="17" t="str">
        <x:v>product</x:v>
      </x:c>
      <x:c r="C39" s="17" t="str">
        <x:v>DataFlow</x:v>
      </x:c>
      <x:c r="D39" s="17" t="n">
        <x:f>COUNTIFS('Tasks'!$C$7:$C$246,$A39,'Tasks'!$M$7:$M$246,$C39)</x:f>
        <x:v>15</x:v>
      </x:c>
      <x:c r="E39" s="17" t="n">
        <x:f>SUMIFS('Tasks'!$O$7:$O$246,'Tasks'!$C$7:$C$246,$A39,'Tasks'!$M$7:$M$246,$C39)</x:f>
        <x:v>4279678</x:v>
      </x:c>
      <x:c r="F39" s="17" t="n">
        <x:f>SUMIFS('Tasks'!$P$7:$P$246,'Tasks'!$C$7:$C$246,$A39,'Tasks'!$M$7:$M$246,$C39)</x:f>
        <x:v>1324426</x:v>
      </x:c>
      <x:c r="G39" s="17" t="n">
        <x:f>SUMIFS('Tasks'!$Q$7:$Q$246,'Tasks'!$C$7:$C$246,$A39,'Tasks'!$M$7:$M$246,$C39)</x:f>
        <x:v>5604104</x:v>
      </x:c>
      <x:c r="H39" s="22" t="n">
        <x:f>SUMIFS('Tasks'!$S$7:$S$246,'Tasks'!$C$7:$C$246,$A39,'Tasks'!$M$7:$M$246,$C39)</x:f>
        <x:v>112.89903999999999</x:v>
      </x:c>
      <x:c r="I39" s="22" t="n">
        <x:f>SUMIFS('Tasks'!$T$7:$T$246,'Tasks'!$C$7:$C$246,$A39,'Tasks'!$M$7:$M$246,$C39)</x:f>
        <x:v>111.28657</x:v>
      </x:c>
      <x:c r="J39" s="22" t="n">
        <x:f>SUMIFS('Tasks'!$U$7:$U$246,'Tasks'!$C$7:$C$246,$A39,'Tasks'!$M$7:$M$246,$C39)</x:f>
        <x:v>224.18561</x:v>
      </x:c>
      <x:c r="K39" s="17" t="n">
        <x:f>SUMIFS('Tasks'!$R$7:$R$246,'Tasks'!$C$7:$C$246,$A39,'Tasks'!$M$7:$M$246,$C39)</x:f>
        <x:v>212</x:v>
      </x:c>
      <x:c r="L39" s="22" t="n">
        <x:f>IF(K39=0,"N/A",J39/K39)</x:f>
        <x:v>1.0574792924528302</x:v>
      </x:c>
      <x:c r="M39" s="19" t="n">
        <x:f>SUMIFS('Tasks'!$G$7:$G$246,'Tasks'!$C$7:$C$246,$A39,'Tasks'!$M$7:$M$246,$C39)</x:f>
        <x:v>67.64</x:v>
      </x:c>
      <x:c r="N39" s="19" t="n">
        <x:f>SUMIFS('Tasks'!$H$7:$H$246,'Tasks'!$C$7:$C$246,$A39,'Tasks'!$M$7:$M$246,$C39)</x:f>
        <x:v>58.6</x:v>
      </x:c>
      <x:c r="O39" s="19" t="n">
        <x:f>SUMIFS('Tasks'!$Y$7:$Y$246,'Tasks'!$C$7:$C$246,$A39,'Tasks'!$M$7:$M$246,$C39)</x:f>
        <x:v>9.04</x:v>
      </x:c>
      <x:c r="P39" s="22" t="n">
        <x:f>SUMIFS('Tasks'!$Z$7:$Z$246,'Tasks'!$C$7:$C$246,$A39,'Tasks'!$M$7:$M$246,$C39)</x:f>
        <x:v>452</x:v>
      </x:c>
      <x:c r="Q39" s="22" t="n">
        <x:f>SUMIFS('Tasks'!$AA$7:$AA$246,'Tasks'!$C$7:$C$246,$A39,'Tasks'!$M$7:$M$246,$C39)</x:f>
        <x:v>227.81439000000006</x:v>
      </x:c>
      <x:c r="R39" s="31" t="n">
        <x:f>IF(J39=0,"N/A",Q39/J39)</x:f>
        <x:v>1.0161864983216364</x:v>
      </x:c>
      <x:c r="S39" s="19" t="n">
        <x:f>SUMIFS('Tasks'!$I$7:$I$246,'Tasks'!$C$7:$C$246,$A39,'Tasks'!$M$7:$M$246,$C39)</x:f>
        <x:v>5.049999999999999</x:v>
      </x:c>
      <x:c r="T39" s="31" t="n">
        <x:f>IF(N39=0,"N/A",S39/N39)</x:f>
        <x:v>0.08617747440273035</x:v>
      </x:c>
      <x:c r="U39" s="17" t="n">
        <x:f>SUMIFS('Tasks'!$X$7:$X$246,'Tasks'!$C$7:$C$246,$A39,'Tasks'!$M$7:$M$246,$C39)</x:f>
        <x:v>45</x:v>
      </x:c>
      <x:c r="V39" s="31" t="n">
        <x:f>IF(K39=0,"N/A",U39/K39)</x:f>
        <x:v>0.21226415094339623</x:v>
      </x:c>
      <x:c r="W39" s="17" t="n">
        <x:f>COUNTIFS('Tasks'!$C$7:$C$246,$A39,'Tasks'!$M$7:$M$246,$C39,'Tasks'!$L$7:$L$246,"Yes")</x:f>
        <x:v>9</x:v>
      </x:c>
      <x:c r="X39" s="17" t="n">
        <x:f>COUNTIFS('Tasks'!$C$7:$C$246,$A39,'Tasks'!$M$7:$M$246,$C39,'Tasks'!$K$7:$K$246,"Yes")</x:f>
        <x:v>2</x:v>
      </x:c>
      <x:c r="Y39" s="17" t="n">
        <x:f>COUNTIFS('Tasks'!$C$7:$C$246,$A39,'Tasks'!$M$7:$M$246,$C39,'Tasks'!$AA$7:$AA$246,"&gt;0")</x:f>
        <x:v>8</x:v>
      </x:c>
      <x:c r="Z39" s="17" t="n">
        <x:f>COUNTIFS('Tasks'!$C$7:$C$246,$A39,'Tasks'!$M$7:$M$246,$C39,'Tasks'!$AA$7:$AA$246,"&lt;0")</x:f>
        <x:v>7</x:v>
      </x:c>
    </x:row>
    <x:row r="40" ht="23" customHeight="1">
      <x:c r="A40" s="17" t="str">
        <x:v>C004</x:v>
      </x:c>
      <x:c r="B40" s="17" t="str">
        <x:v>product</x:v>
      </x:c>
      <x:c r="C40" s="17" t="str">
        <x:v>InsightDesk</x:v>
      </x:c>
      <x:c r="D40" s="17" t="n">
        <x:f>COUNTIFS('Tasks'!$C$7:$C$246,$A40,'Tasks'!$M$7:$M$246,$C40)</x:f>
        <x:v>15</x:v>
      </x:c>
      <x:c r="E40" s="17" t="n">
        <x:f>SUMIFS('Tasks'!$O$7:$O$246,'Tasks'!$C$7:$C$246,$A40,'Tasks'!$M$7:$M$246,$C40)</x:f>
        <x:v>3932858</x:v>
      </x:c>
      <x:c r="F40" s="17" t="n">
        <x:f>SUMIFS('Tasks'!$P$7:$P$246,'Tasks'!$C$7:$C$246,$A40,'Tasks'!$M$7:$M$246,$C40)</x:f>
        <x:v>1323181</x:v>
      </x:c>
      <x:c r="G40" s="17" t="n">
        <x:f>SUMIFS('Tasks'!$Q$7:$Q$246,'Tasks'!$C$7:$C$246,$A40,'Tasks'!$M$7:$M$246,$C40)</x:f>
        <x:v>5256039</x:v>
      </x:c>
      <x:c r="H40" s="22" t="n">
        <x:f>SUMIFS('Tasks'!$S$7:$S$246,'Tasks'!$C$7:$C$246,$A40,'Tasks'!$M$7:$M$246,$C40)</x:f>
        <x:v>88.93646</x:v>
      </x:c>
      <x:c r="I40" s="22" t="n">
        <x:f>SUMIFS('Tasks'!$T$7:$T$246,'Tasks'!$C$7:$C$246,$A40,'Tasks'!$M$7:$M$246,$C40)</x:f>
        <x:v>99.13914999999999</x:v>
      </x:c>
      <x:c r="J40" s="22" t="n">
        <x:f>SUMIFS('Tasks'!$U$7:$U$246,'Tasks'!$C$7:$C$246,$A40,'Tasks'!$M$7:$M$246,$C40)</x:f>
        <x:v>188.07560999999998</x:v>
      </x:c>
      <x:c r="K40" s="17" t="n">
        <x:f>SUMIFS('Tasks'!$R$7:$R$246,'Tasks'!$C$7:$C$246,$A40,'Tasks'!$M$7:$M$246,$C40)</x:f>
        <x:v>208</x:v>
      </x:c>
      <x:c r="L40" s="22" t="n">
        <x:f>IF(K40=0,"N/A",J40/K40)</x:f>
        <x:v>0.9042096634615384</x:v>
      </x:c>
      <x:c r="M40" s="19" t="n">
        <x:f>SUMIFS('Tasks'!$G$7:$G$246,'Tasks'!$C$7:$C$246,$A40,'Tasks'!$M$7:$M$246,$C40)</x:f>
        <x:v>65.95</x:v>
      </x:c>
      <x:c r="N40" s="19" t="n">
        <x:f>SUMIFS('Tasks'!$H$7:$H$246,'Tasks'!$C$7:$C$246,$A40,'Tasks'!$M$7:$M$246,$C40)</x:f>
        <x:v>53.17</x:v>
      </x:c>
      <x:c r="O40" s="19" t="n">
        <x:f>SUMIFS('Tasks'!$Y$7:$Y$246,'Tasks'!$C$7:$C$246,$A40,'Tasks'!$M$7:$M$246,$C40)</x:f>
        <x:v>12.780000000000001</x:v>
      </x:c>
      <x:c r="P40" s="22" t="n">
        <x:f>SUMIFS('Tasks'!$Z$7:$Z$246,'Tasks'!$C$7:$C$246,$A40,'Tasks'!$M$7:$M$246,$C40)</x:f>
        <x:v>639</x:v>
      </x:c>
      <x:c r="Q40" s="22" t="n">
        <x:f>SUMIFS('Tasks'!$AA$7:$AA$246,'Tasks'!$C$7:$C$246,$A40,'Tasks'!$M$7:$M$246,$C40)</x:f>
        <x:v>450.92439</x:v>
      </x:c>
      <x:c r="R40" s="31" t="n">
        <x:f>IF(J40=0,"N/A",Q40/J40)</x:f>
        <x:v>2.39756973272611</x:v>
      </x:c>
      <x:c r="S40" s="19" t="n">
        <x:f>SUMIFS('Tasks'!$I$7:$I$246,'Tasks'!$C$7:$C$246,$A40,'Tasks'!$M$7:$M$246,$C40)</x:f>
        <x:v>4.840000000000001</x:v>
      </x:c>
      <x:c r="T40" s="31" t="n">
        <x:f>IF(N40=0,"N/A",S40/N40)</x:f>
        <x:v>0.09102877562535265</x:v>
      </x:c>
      <x:c r="U40" s="17" t="n">
        <x:f>SUMIFS('Tasks'!$X$7:$X$246,'Tasks'!$C$7:$C$246,$A40,'Tasks'!$M$7:$M$246,$C40)</x:f>
        <x:v>39</x:v>
      </x:c>
      <x:c r="V40" s="31" t="n">
        <x:f>IF(K40=0,"N/A",U40/K40)</x:f>
        <x:v>0.1875</x:v>
      </x:c>
      <x:c r="W40" s="17" t="n">
        <x:f>COUNTIFS('Tasks'!$C$7:$C$246,$A40,'Tasks'!$M$7:$M$246,$C40,'Tasks'!$L$7:$L$246,"Yes")</x:f>
        <x:v>12</x:v>
      </x:c>
      <x:c r="X40" s="17" t="n">
        <x:f>COUNTIFS('Tasks'!$C$7:$C$246,$A40,'Tasks'!$M$7:$M$246,$C40,'Tasks'!$K$7:$K$246,"Yes")</x:f>
        <x:v>2</x:v>
      </x:c>
      <x:c r="Y40" s="17" t="n">
        <x:f>COUNTIFS('Tasks'!$C$7:$C$246,$A40,'Tasks'!$M$7:$M$246,$C40,'Tasks'!$AA$7:$AA$246,"&gt;0")</x:f>
        <x:v>9</x:v>
      </x:c>
      <x:c r="Z40" s="17" t="n">
        <x:f>COUNTIFS('Tasks'!$C$7:$C$246,$A40,'Tasks'!$M$7:$M$246,$C40,'Tasks'!$AA$7:$AA$246,"&lt;0")</x:f>
        <x:v>6</x:v>
      </x:c>
    </x:row>
    <x:row r="41" ht="23" customHeight="1">
      <x:c r="A41" s="17" t="str">
        <x:v>C004</x:v>
      </x:c>
      <x:c r="B41" s="17" t="str">
        <x:v>model</x:v>
      </x:c>
      <x:c r="C41" s="17" t="str">
        <x:v>Lite</x:v>
      </x:c>
      <x:c r="D41" s="17" t="n">
        <x:f>COUNTIFS('Tasks'!$C$7:$C$246,$A41,'Tasks'!$N$7:$N$246,$C41)</x:f>
        <x:v>36</x:v>
      </x:c>
      <x:c r="E41" s="17" t="n">
        <x:f>SUMIFS('Tasks'!$O$7:$O$246,'Tasks'!$C$7:$C$246,$A41,'Tasks'!$N$7:$N$246,$C41)</x:f>
        <x:v>10000000</x:v>
      </x:c>
      <x:c r="F41" s="17" t="n">
        <x:f>SUMIFS('Tasks'!$P$7:$P$246,'Tasks'!$C$7:$C$246,$A41,'Tasks'!$N$7:$N$246,$C41)</x:f>
        <x:v>2000000</x:v>
      </x:c>
      <x:c r="G41" s="17" t="n">
        <x:f>SUMIFS('Tasks'!$Q$7:$Q$246,'Tasks'!$C$7:$C$246,$A41,'Tasks'!$N$7:$N$246,$C41)</x:f>
        <x:v>12000000</x:v>
      </x:c>
      <x:c r="H41" s="22" t="n">
        <x:f>SUMIFS('Tasks'!$S$7:$S$246,'Tasks'!$C$7:$C$246,$A41,'Tasks'!$N$7:$N$246,$C41)</x:f>
        <x:v>99.99999999999997</x:v>
      </x:c>
      <x:c r="I41" s="22" t="n">
        <x:f>SUMIFS('Tasks'!$T$7:$T$246,'Tasks'!$C$7:$C$246,$A41,'Tasks'!$N$7:$N$246,$C41)</x:f>
        <x:v>60.000000000000014</x:v>
      </x:c>
      <x:c r="J41" s="22" t="n">
        <x:f>SUMIFS('Tasks'!$U$7:$U$246,'Tasks'!$C$7:$C$246,$A41,'Tasks'!$N$7:$N$246,$C41)</x:f>
        <x:v>159.99999999999997</x:v>
      </x:c>
      <x:c r="K41" s="17" t="n">
        <x:f>SUMIFS('Tasks'!$R$7:$R$246,'Tasks'!$C$7:$C$246,$A41,'Tasks'!$N$7:$N$246,$C41)</x:f>
        <x:v>498</x:v>
      </x:c>
      <x:c r="L41" s="22" t="n">
        <x:f>IF(K41=0,"N/A",J41/K41)</x:f>
        <x:v>0.32128514056224894</x:v>
      </x:c>
      <x:c r="M41" s="19" t="n">
        <x:f>SUMIFS('Tasks'!$G$7:$G$246,'Tasks'!$C$7:$C$246,$A41,'Tasks'!$N$7:$N$246,$C41)</x:f>
        <x:v>149.13000000000002</x:v>
      </x:c>
      <x:c r="N41" s="19" t="n">
        <x:f>SUMIFS('Tasks'!$H$7:$H$246,'Tasks'!$C$7:$C$246,$A41,'Tasks'!$N$7:$N$246,$C41)</x:f>
        <x:v>119.38999999999997</x:v>
      </x:c>
      <x:c r="O41" s="19" t="n">
        <x:f>SUMIFS('Tasks'!$Y$7:$Y$246,'Tasks'!$C$7:$C$246,$A41,'Tasks'!$N$7:$N$246,$C41)</x:f>
        <x:v>29.74</x:v>
      </x:c>
      <x:c r="P41" s="22" t="n">
        <x:f>SUMIFS('Tasks'!$Z$7:$Z$246,'Tasks'!$C$7:$C$246,$A41,'Tasks'!$N$7:$N$246,$C41)</x:f>
        <x:v>1487.0000000000002</x:v>
      </x:c>
      <x:c r="Q41" s="22" t="n">
        <x:f>SUMIFS('Tasks'!$AA$7:$AA$246,'Tasks'!$C$7:$C$246,$A41,'Tasks'!$N$7:$N$246,$C41)</x:f>
        <x:v>1327.0000000000005</x:v>
      </x:c>
      <x:c r="R41" s="31" t="n">
        <x:f>IF(J41=0,"N/A",Q41/J41)</x:f>
        <x:v>8.293750000000005</x:v>
      </x:c>
      <x:c r="S41" s="19" t="n">
        <x:f>SUMIFS('Tasks'!$I$7:$I$246,'Tasks'!$C$7:$C$246,$A41,'Tasks'!$N$7:$N$246,$C41)</x:f>
        <x:v>10.22</x:v>
      </x:c>
      <x:c r="T41" s="31" t="n">
        <x:f>IF(N41=0,"N/A",S41/N41)</x:f>
        <x:v>0.08560180919675017</x:v>
      </x:c>
      <x:c r="U41" s="17" t="n">
        <x:f>SUMIFS('Tasks'!$X$7:$X$246,'Tasks'!$C$7:$C$246,$A41,'Tasks'!$N$7:$N$246,$C41)</x:f>
        <x:v>108</x:v>
      </x:c>
      <x:c r="V41" s="31" t="n">
        <x:f>IF(K41=0,"N/A",U41/K41)</x:f>
        <x:v>0.21686746987951808</x:v>
      </x:c>
      <x:c r="W41" s="17" t="n">
        <x:f>COUNTIFS('Tasks'!$C$7:$C$246,$A41,'Tasks'!$N$7:$N$246,$C41,'Tasks'!$L$7:$L$246,"Yes")</x:f>
        <x:v>27</x:v>
      </x:c>
      <x:c r="X41" s="17" t="n">
        <x:f>COUNTIFS('Tasks'!$C$7:$C$246,$A41,'Tasks'!$N$7:$N$246,$C41,'Tasks'!$K$7:$K$246,"Yes")</x:f>
        <x:v>7</x:v>
      </x:c>
      <x:c r="Y41" s="17" t="n">
        <x:f>COUNTIFS('Tasks'!$C$7:$C$246,$A41,'Tasks'!$N$7:$N$246,$C41,'Tasks'!$AA$7:$AA$246,"&gt;0")</x:f>
        <x:v>25</x:v>
      </x:c>
      <x:c r="Z41" s="17" t="n">
        <x:f>COUNTIFS('Tasks'!$C$7:$C$246,$A41,'Tasks'!$N$7:$N$246,$C41,'Tasks'!$AA$7:$AA$246,"&lt;0")</x:f>
        <x:v>11</x:v>
      </x:c>
    </x:row>
    <x:row r="42" ht="23" customHeight="1">
      <x:c r="A42" s="17" t="str">
        <x:v>C004</x:v>
      </x:c>
      <x:c r="B42" s="17" t="str">
        <x:v>model</x:v>
      </x:c>
      <x:c r="C42" s="17" t="str">
        <x:v>Pro</x:v>
      </x:c>
      <x:c r="D42" s="17" t="n">
        <x:f>COUNTIFS('Tasks'!$C$7:$C$246,$A42,'Tasks'!$N$7:$N$246,$C42)</x:f>
        <x:v>24</x:v>
      </x:c>
      <x:c r="E42" s="17" t="n">
        <x:f>SUMIFS('Tasks'!$O$7:$O$246,'Tasks'!$C$7:$C$246,$A42,'Tasks'!$N$7:$N$246,$C42)</x:f>
        <x:v>7000000</x:v>
      </x:c>
      <x:c r="F42" s="17" t="n">
        <x:f>SUMIFS('Tasks'!$P$7:$P$246,'Tasks'!$C$7:$C$246,$A42,'Tasks'!$N$7:$N$246,$C42)</x:f>
        <x:v>3000000</x:v>
      </x:c>
      <x:c r="G42" s="17" t="n">
        <x:f>SUMIFS('Tasks'!$Q$7:$Q$246,'Tasks'!$C$7:$C$246,$A42,'Tasks'!$N$7:$N$246,$C42)</x:f>
        <x:v>10000000</x:v>
      </x:c>
      <x:c r="H42" s="22" t="n">
        <x:f>SUMIFS('Tasks'!$S$7:$S$246,'Tasks'!$C$7:$C$246,$A42,'Tasks'!$N$7:$N$246,$C42)</x:f>
        <x:v>279.99999999999994</x:v>
      </x:c>
      <x:c r="I42" s="22" t="n">
        <x:f>SUMIFS('Tasks'!$T$7:$T$246,'Tasks'!$C$7:$C$246,$A42,'Tasks'!$N$7:$N$246,$C42)</x:f>
        <x:v>300</x:v>
      </x:c>
      <x:c r="J42" s="22" t="n">
        <x:f>SUMIFS('Tasks'!$U$7:$U$246,'Tasks'!$C$7:$C$246,$A42,'Tasks'!$N$7:$N$246,$C42)</x:f>
        <x:v>580</x:v>
      </x:c>
      <x:c r="K42" s="17" t="n">
        <x:f>SUMIFS('Tasks'!$R$7:$R$246,'Tasks'!$C$7:$C$246,$A42,'Tasks'!$N$7:$N$246,$C42)</x:f>
        <x:v>342</x:v>
      </x:c>
      <x:c r="L42" s="22" t="n">
        <x:f>IF(K42=0,"N/A",J42/K42)</x:f>
        <x:v>1.695906432748538</x:v>
      </x:c>
      <x:c r="M42" s="19" t="n">
        <x:f>SUMIFS('Tasks'!$G$7:$G$246,'Tasks'!$C$7:$C$246,$A42,'Tasks'!$N$7:$N$246,$C42)</x:f>
        <x:v>110.86999999999999</x:v>
      </x:c>
      <x:c r="N42" s="19" t="n">
        <x:f>SUMIFS('Tasks'!$H$7:$H$246,'Tasks'!$C$7:$C$246,$A42,'Tasks'!$N$7:$N$246,$C42)</x:f>
        <x:v>98.60999999999999</x:v>
      </x:c>
      <x:c r="O42" s="19" t="n">
        <x:f>SUMIFS('Tasks'!$Y$7:$Y$246,'Tasks'!$C$7:$C$246,$A42,'Tasks'!$N$7:$N$246,$C42)</x:f>
        <x:v>12.260000000000002</x:v>
      </x:c>
      <x:c r="P42" s="22" t="n">
        <x:f>SUMIFS('Tasks'!$Z$7:$Z$246,'Tasks'!$C$7:$C$246,$A42,'Tasks'!$N$7:$N$246,$C42)</x:f>
        <x:v>613</x:v>
      </x:c>
      <x:c r="Q42" s="22" t="n">
        <x:f>SUMIFS('Tasks'!$AA$7:$AA$246,'Tasks'!$C$7:$C$246,$A42,'Tasks'!$N$7:$N$246,$C42)</x:f>
        <x:v>32.999999999999936</x:v>
      </x:c>
      <x:c r="R42" s="31" t="n">
        <x:f>IF(J42=0,"N/A",Q42/J42)</x:f>
        <x:v>0.05689655172413782</x:v>
      </x:c>
      <x:c r="S42" s="19" t="n">
        <x:f>SUMIFS('Tasks'!$I$7:$I$246,'Tasks'!$C$7:$C$246,$A42,'Tasks'!$N$7:$N$246,$C42)</x:f>
        <x:v>8.32</x:v>
      </x:c>
      <x:c r="T42" s="31" t="n">
        <x:f>IF(N42=0,"N/A",S42/N42)</x:f>
        <x:v>0.08437278166514554</x:v>
      </x:c>
      <x:c r="U42" s="17" t="n">
        <x:f>SUMIFS('Tasks'!$X$7:$X$246,'Tasks'!$C$7:$C$246,$A42,'Tasks'!$N$7:$N$246,$C42)</x:f>
        <x:v>72</x:v>
      </x:c>
      <x:c r="V42" s="31" t="n">
        <x:f>IF(K42=0,"N/A",U42/K42)</x:f>
        <x:v>0.21052631578947367</x:v>
      </x:c>
      <x:c r="W42" s="17" t="n">
        <x:f>COUNTIFS('Tasks'!$C$7:$C$246,$A42,'Tasks'!$N$7:$N$246,$C42,'Tasks'!$L$7:$L$246,"Yes")</x:f>
        <x:v>13</x:v>
      </x:c>
      <x:c r="X42" s="17" t="n">
        <x:f>COUNTIFS('Tasks'!$C$7:$C$246,$A42,'Tasks'!$N$7:$N$246,$C42,'Tasks'!$K$7:$K$246,"Yes")</x:f>
        <x:v>3</x:v>
      </x:c>
      <x:c r="Y42" s="17" t="n">
        <x:f>COUNTIFS('Tasks'!$C$7:$C$246,$A42,'Tasks'!$N$7:$N$246,$C42,'Tasks'!$AA$7:$AA$246,"&gt;0")</x:f>
        <x:v>10</x:v>
      </x:c>
      <x:c r="Z42" s="17" t="n">
        <x:f>COUNTIFS('Tasks'!$C$7:$C$246,$A42,'Tasks'!$N$7:$N$246,$C42,'Tasks'!$AA$7:$AA$246,"&lt;0")</x:f>
        <x:v>14</x:v>
      </x:c>
    </x:row>
    <x:row r="43" ht="23" customHeight="1">
      <x:c r="A43" s="17" t="str">
        <x:v>C004</x:v>
      </x:c>
      <x:c r="B43" s="17" t="str">
        <x:v>department</x:v>
      </x:c>
      <x:c r="C43" s="17" t="str">
        <x:v>Analytics</x:v>
      </x:c>
      <x:c r="D43" s="17" t="n">
        <x:f>COUNTIFS('Tasks'!$C$7:$C$246,$A43,'Tasks'!$D$7:$D$246,$C43)</x:f>
        <x:v>15</x:v>
      </x:c>
      <x:c r="E43" s="17" t="n">
        <x:f>SUMIFS('Tasks'!$O$7:$O$246,'Tasks'!$C$7:$C$246,$A43,'Tasks'!$D$7:$D$246,$C43)</x:f>
        <x:v>4084708</x:v>
      </x:c>
      <x:c r="F43" s="17" t="n">
        <x:f>SUMIFS('Tasks'!$P$7:$P$246,'Tasks'!$C$7:$C$246,$A43,'Tasks'!$D$7:$D$246,$C43)</x:f>
        <x:v>1369106</x:v>
      </x:c>
      <x:c r="G43" s="17" t="n">
        <x:f>SUMIFS('Tasks'!$Q$7:$Q$246,'Tasks'!$C$7:$C$246,$A43,'Tasks'!$D$7:$D$246,$C43)</x:f>
        <x:v>5453814</x:v>
      </x:c>
      <x:c r="H43" s="22" t="n">
        <x:f>SUMIFS('Tasks'!$S$7:$S$246,'Tasks'!$C$7:$C$246,$A43,'Tasks'!$D$7:$D$246,$C43)</x:f>
        <x:v>114.32752</x:v>
      </x:c>
      <x:c r="I43" s="22" t="n">
        <x:f>SUMIFS('Tasks'!$T$7:$T$246,'Tasks'!$C$7:$C$246,$A43,'Tasks'!$D$7:$D$246,$C43)</x:f>
        <x:v>115.45321999999999</x:v>
      </x:c>
      <x:c r="J43" s="22" t="n">
        <x:f>SUMIFS('Tasks'!$U$7:$U$246,'Tasks'!$C$7:$C$246,$A43,'Tasks'!$D$7:$D$246,$C43)</x:f>
        <x:v>229.78073999999998</x:v>
      </x:c>
      <x:c r="K43" s="17" t="n">
        <x:f>SUMIFS('Tasks'!$R$7:$R$246,'Tasks'!$C$7:$C$246,$A43,'Tasks'!$D$7:$D$246,$C43)</x:f>
        <x:v>215</x:v>
      </x:c>
      <x:c r="L43" s="22" t="n">
        <x:f>IF(K43=0,"N/A",J43/K43)</x:f>
        <x:v>1.0687476279069767</x:v>
      </x:c>
      <x:c r="M43" s="19" t="n">
        <x:f>SUMIFS('Tasks'!$G$7:$G$246,'Tasks'!$C$7:$C$246,$A43,'Tasks'!$D$7:$D$246,$C43)</x:f>
        <x:v>68.61999999999999</x:v>
      </x:c>
      <x:c r="N43" s="19" t="n">
        <x:f>SUMIFS('Tasks'!$H$7:$H$246,'Tasks'!$C$7:$C$246,$A43,'Tasks'!$D$7:$D$246,$C43)</x:f>
        <x:v>58.78999999999999</x:v>
      </x:c>
      <x:c r="O43" s="19" t="n">
        <x:f>SUMIFS('Tasks'!$Y$7:$Y$246,'Tasks'!$C$7:$C$246,$A43,'Tasks'!$D$7:$D$246,$C43)</x:f>
        <x:v>9.83</x:v>
      </x:c>
      <x:c r="P43" s="22" t="n">
        <x:f>SUMIFS('Tasks'!$Z$7:$Z$246,'Tasks'!$C$7:$C$246,$A43,'Tasks'!$D$7:$D$246,$C43)</x:f>
        <x:v>491.5</x:v>
      </x:c>
      <x:c r="Q43" s="22" t="n">
        <x:f>SUMIFS('Tasks'!$AA$7:$AA$246,'Tasks'!$C$7:$C$246,$A43,'Tasks'!$D$7:$D$246,$C43)</x:f>
        <x:v>261.71925999999996</x:v>
      </x:c>
      <x:c r="R43" s="31" t="n">
        <x:f>IF(J43=0,"N/A",Q43/J43)</x:f>
        <x:v>1.1389956355785085</x:v>
      </x:c>
      <x:c r="S43" s="19" t="n">
        <x:f>SUMIFS('Tasks'!$I$7:$I$246,'Tasks'!$C$7:$C$246,$A43,'Tasks'!$D$7:$D$246,$C43)</x:f>
        <x:v>5.17</x:v>
      </x:c>
      <x:c r="T43" s="31" t="n">
        <x:f>IF(N43=0,"N/A",S43/N43)</x:f>
        <x:v>0.0879401258717469</x:v>
      </x:c>
      <x:c r="U43" s="17" t="n">
        <x:f>SUMIFS('Tasks'!$X$7:$X$246,'Tasks'!$C$7:$C$246,$A43,'Tasks'!$D$7:$D$246,$C43)</x:f>
        <x:v>44</x:v>
      </x:c>
      <x:c r="V43" s="31" t="n">
        <x:f>IF(K43=0,"N/A",U43/K43)</x:f>
        <x:v>0.20465116279069767</x:v>
      </x:c>
      <x:c r="W43" s="17" t="n">
        <x:f>COUNTIFS('Tasks'!$C$7:$C$246,$A43,'Tasks'!$D$7:$D$246,$C43,'Tasks'!$L$7:$L$246,"Yes")</x:f>
        <x:v>10</x:v>
      </x:c>
      <x:c r="X43" s="17" t="n">
        <x:f>COUNTIFS('Tasks'!$C$7:$C$246,$A43,'Tasks'!$D$7:$D$246,$C43,'Tasks'!$K$7:$K$246,"Yes")</x:f>
        <x:v>1</x:v>
      </x:c>
      <x:c r="Y43" s="17" t="n">
        <x:f>COUNTIFS('Tasks'!$C$7:$C$246,$A43,'Tasks'!$D$7:$D$246,$C43,'Tasks'!$AA$7:$AA$246,"&gt;0")</x:f>
        <x:v>7</x:v>
      </x:c>
      <x:c r="Z43" s="17" t="n">
        <x:f>COUNTIFS('Tasks'!$C$7:$C$246,$A43,'Tasks'!$D$7:$D$246,$C43,'Tasks'!$AA$7:$AA$246,"&lt;0")</x:f>
        <x:v>8</x:v>
      </x:c>
    </x:row>
    <x:row r="44" ht="23" customHeight="1">
      <x:c r="A44" s="17" t="str">
        <x:v>C004</x:v>
      </x:c>
      <x:c r="B44" s="17" t="str">
        <x:v>department</x:v>
      </x:c>
      <x:c r="C44" s="17" t="str">
        <x:v>Content</x:v>
      </x:c>
      <x:c r="D44" s="17" t="n">
        <x:f>COUNTIFS('Tasks'!$C$7:$C$246,$A44,'Tasks'!$D$7:$D$246,$C44)</x:f>
        <x:v>14</x:v>
      </x:c>
      <x:c r="E44" s="17" t="n">
        <x:f>SUMIFS('Tasks'!$O$7:$O$246,'Tasks'!$C$7:$C$246,$A44,'Tasks'!$D$7:$D$246,$C44)</x:f>
        <x:v>4103348</x:v>
      </x:c>
      <x:c r="F44" s="17" t="n">
        <x:f>SUMIFS('Tasks'!$P$7:$P$246,'Tasks'!$C$7:$C$246,$A44,'Tasks'!$D$7:$D$246,$C44)</x:f>
        <x:v>1016002</x:v>
      </x:c>
      <x:c r="G44" s="17" t="n">
        <x:f>SUMIFS('Tasks'!$Q$7:$Q$246,'Tasks'!$C$7:$C$246,$A44,'Tasks'!$D$7:$D$246,$C44)</x:f>
        <x:v>5119350</x:v>
      </x:c>
      <x:c r="H44" s="22" t="n">
        <x:f>SUMIFS('Tasks'!$S$7:$S$246,'Tasks'!$C$7:$C$246,$A44,'Tasks'!$D$7:$D$246,$C44)</x:f>
        <x:v>89.90213</x:v>
      </x:c>
      <x:c r="I44" s="22" t="n">
        <x:f>SUMIFS('Tasks'!$T$7:$T$246,'Tasks'!$C$7:$C$246,$A44,'Tasks'!$D$7:$D$246,$C44)</x:f>
        <x:v>68.85938</x:v>
      </x:c>
      <x:c r="J44" s="22" t="n">
        <x:f>SUMIFS('Tasks'!$U$7:$U$246,'Tasks'!$C$7:$C$246,$A44,'Tasks'!$D$7:$D$246,$C44)</x:f>
        <x:v>158.76151</x:v>
      </x:c>
      <x:c r="K44" s="17" t="n">
        <x:f>SUMIFS('Tasks'!$R$7:$R$246,'Tasks'!$C$7:$C$246,$A44,'Tasks'!$D$7:$D$246,$C44)</x:f>
        <x:v>188</x:v>
      </x:c>
      <x:c r="L44" s="22" t="n">
        <x:f>IF(K44=0,"N/A",J44/K44)</x:f>
        <x:v>0.8444761170212766</x:v>
      </x:c>
      <x:c r="M44" s="19" t="n">
        <x:f>SUMIFS('Tasks'!$G$7:$G$246,'Tasks'!$C$7:$C$246,$A44,'Tasks'!$D$7:$D$246,$C44)</x:f>
        <x:v>60.22</x:v>
      </x:c>
      <x:c r="N44" s="19" t="n">
        <x:f>SUMIFS('Tasks'!$H$7:$H$246,'Tasks'!$C$7:$C$246,$A44,'Tasks'!$D$7:$D$246,$C44)</x:f>
        <x:v>50.49</x:v>
      </x:c>
      <x:c r="O44" s="19" t="n">
        <x:f>SUMIFS('Tasks'!$Y$7:$Y$246,'Tasks'!$C$7:$C$246,$A44,'Tasks'!$D$7:$D$246,$C44)</x:f>
        <x:v>9.729999999999997</x:v>
      </x:c>
      <x:c r="P44" s="22" t="n">
        <x:f>SUMIFS('Tasks'!$Z$7:$Z$246,'Tasks'!$C$7:$C$246,$A44,'Tasks'!$D$7:$D$246,$C44)</x:f>
        <x:v>486.5</x:v>
      </x:c>
      <x:c r="Q44" s="22" t="n">
        <x:f>SUMIFS('Tasks'!$AA$7:$AA$246,'Tasks'!$C$7:$C$246,$A44,'Tasks'!$D$7:$D$246,$C44)</x:f>
        <x:v>327.73849</x:v>
      </x:c>
      <x:c r="R44" s="31" t="n">
        <x:f>IF(J44=0,"N/A",Q44/J44)</x:f>
        <x:v>2.064344752074984</x:v>
      </x:c>
      <x:c r="S44" s="19" t="n">
        <x:f>SUMIFS('Tasks'!$I$7:$I$246,'Tasks'!$C$7:$C$246,$A44,'Tasks'!$D$7:$D$246,$C44)</x:f>
        <x:v>3.4500000000000006</x:v>
      </x:c>
      <x:c r="T44" s="31" t="n">
        <x:f>IF(N44=0,"N/A",S44/N44)</x:f>
        <x:v>0.06833036244800951</x:v>
      </x:c>
      <x:c r="U44" s="17" t="n">
        <x:f>SUMIFS('Tasks'!$X$7:$X$246,'Tasks'!$C$7:$C$246,$A44,'Tasks'!$D$7:$D$246,$C44)</x:f>
        <x:v>39</x:v>
      </x:c>
      <x:c r="V44" s="31" t="n">
        <x:f>IF(K44=0,"N/A",U44/K44)</x:f>
        <x:v>0.2074468085106383</x:v>
      </x:c>
      <x:c r="W44" s="17" t="n">
        <x:f>COUNTIFS('Tasks'!$C$7:$C$246,$A44,'Tasks'!$D$7:$D$246,$C44,'Tasks'!$L$7:$L$246,"Yes")</x:f>
        <x:v>11</x:v>
      </x:c>
      <x:c r="X44" s="17" t="n">
        <x:f>COUNTIFS('Tasks'!$C$7:$C$246,$A44,'Tasks'!$D$7:$D$246,$C44,'Tasks'!$K$7:$K$246,"Yes")</x:f>
        <x:v>2</x:v>
      </x:c>
      <x:c r="Y44" s="17" t="n">
        <x:f>COUNTIFS('Tasks'!$C$7:$C$246,$A44,'Tasks'!$D$7:$D$246,$C44,'Tasks'!$AA$7:$AA$246,"&gt;0")</x:f>
        <x:v>9</x:v>
      </x:c>
      <x:c r="Z44" s="17" t="n">
        <x:f>COUNTIFS('Tasks'!$C$7:$C$246,$A44,'Tasks'!$D$7:$D$246,$C44,'Tasks'!$AA$7:$AA$246,"&lt;0")</x:f>
        <x:v>5</x:v>
      </x:c>
    </x:row>
    <x:row r="45" ht="23" customHeight="1">
      <x:c r="A45" s="17" t="str">
        <x:v>C004</x:v>
      </x:c>
      <x:c r="B45" s="17" t="str">
        <x:v>department</x:v>
      </x:c>
      <x:c r="C45" s="17" t="str">
        <x:v>Creative</x:v>
      </x:c>
      <x:c r="D45" s="17" t="n">
        <x:f>COUNTIFS('Tasks'!$C$7:$C$246,$A45,'Tasks'!$D$7:$D$246,$C45)</x:f>
        <x:v>15</x:v>
      </x:c>
      <x:c r="E45" s="17" t="n">
        <x:f>SUMIFS('Tasks'!$O$7:$O$246,'Tasks'!$C$7:$C$246,$A45,'Tasks'!$D$7:$D$246,$C45)</x:f>
        <x:v>4678981</x:v>
      </x:c>
      <x:c r="F45" s="17" t="n">
        <x:f>SUMIFS('Tasks'!$P$7:$P$246,'Tasks'!$C$7:$C$246,$A45,'Tasks'!$D$7:$D$246,$C45)</x:f>
        <x:v>1276804</x:v>
      </x:c>
      <x:c r="G45" s="17" t="n">
        <x:f>SUMIFS('Tasks'!$Q$7:$Q$246,'Tasks'!$C$7:$C$246,$A45,'Tasks'!$D$7:$D$246,$C45)</x:f>
        <x:v>5955785</x:v>
      </x:c>
      <x:c r="H45" s="22" t="n">
        <x:f>SUMIFS('Tasks'!$S$7:$S$246,'Tasks'!$C$7:$C$246,$A45,'Tasks'!$D$7:$D$246,$C45)</x:f>
        <x:v>80.56215999999999</x:v>
      </x:c>
      <x:c r="I45" s="22" t="n">
        <x:f>SUMIFS('Tasks'!$T$7:$T$246,'Tasks'!$C$7:$C$246,$A45,'Tasks'!$D$7:$D$246,$C45)</x:f>
        <x:v>74.93644999999998</x:v>
      </x:c>
      <x:c r="J45" s="22" t="n">
        <x:f>SUMIFS('Tasks'!$U$7:$U$246,'Tasks'!$C$7:$C$246,$A45,'Tasks'!$D$7:$D$246,$C45)</x:f>
        <x:v>155.49860999999999</x:v>
      </x:c>
      <x:c r="K45" s="17" t="n">
        <x:f>SUMIFS('Tasks'!$R$7:$R$246,'Tasks'!$C$7:$C$246,$A45,'Tasks'!$D$7:$D$246,$C45)</x:f>
        <x:v>222</x:v>
      </x:c>
      <x:c r="L45" s="22" t="n">
        <x:f>IF(K45=0,"N/A",J45/K45)</x:f>
        <x:v>0.7004441891891892</x:v>
      </x:c>
      <x:c r="M45" s="19" t="n">
        <x:f>SUMIFS('Tasks'!$G$7:$G$246,'Tasks'!$C$7:$C$246,$A45,'Tasks'!$D$7:$D$246,$C45)</x:f>
        <x:v>60.81000000000001</x:v>
      </x:c>
      <x:c r="N45" s="19" t="n">
        <x:f>SUMIFS('Tasks'!$H$7:$H$246,'Tasks'!$C$7:$C$246,$A45,'Tasks'!$D$7:$D$246,$C45)</x:f>
        <x:v>49.28999999999999</x:v>
      </x:c>
      <x:c r="O45" s="19" t="n">
        <x:f>SUMIFS('Tasks'!$Y$7:$Y$246,'Tasks'!$C$7:$C$246,$A45,'Tasks'!$D$7:$D$246,$C45)</x:f>
        <x:v>11.52</x:v>
      </x:c>
      <x:c r="P45" s="22" t="n">
        <x:f>SUMIFS('Tasks'!$Z$7:$Z$246,'Tasks'!$C$7:$C$246,$A45,'Tasks'!$D$7:$D$246,$C45)</x:f>
        <x:v>576</x:v>
      </x:c>
      <x:c r="Q45" s="22" t="n">
        <x:f>SUMIFS('Tasks'!$AA$7:$AA$246,'Tasks'!$C$7:$C$246,$A45,'Tasks'!$D$7:$D$246,$C45)</x:f>
        <x:v>420.50139</x:v>
      </x:c>
      <x:c r="R45" s="31" t="n">
        <x:f>IF(J45=0,"N/A",Q45/J45)</x:f>
        <x:v>2.7042131759248527</x:v>
      </x:c>
      <x:c r="S45" s="19" t="n">
        <x:f>SUMIFS('Tasks'!$I$7:$I$246,'Tasks'!$C$7:$C$246,$A45,'Tasks'!$D$7:$D$246,$C45)</x:f>
        <x:v>4.62</x:v>
      </x:c>
      <x:c r="T45" s="31" t="n">
        <x:f>IF(N45=0,"N/A",S45/N45)</x:f>
        <x:v>0.09373097991479004</x:v>
      </x:c>
      <x:c r="U45" s="17" t="n">
        <x:f>SUMIFS('Tasks'!$X$7:$X$246,'Tasks'!$C$7:$C$246,$A45,'Tasks'!$D$7:$D$246,$C45)</x:f>
        <x:v>49</x:v>
      </x:c>
      <x:c r="V45" s="31" t="n">
        <x:f>IF(K45=0,"N/A",U45/K45)</x:f>
        <x:v>0.22072072072072071</x:v>
      </x:c>
      <x:c r="W45" s="17" t="n">
        <x:f>COUNTIFS('Tasks'!$C$7:$C$246,$A45,'Tasks'!$D$7:$D$246,$C45,'Tasks'!$L$7:$L$246,"Yes")</x:f>
        <x:v>10</x:v>
      </x:c>
      <x:c r="X45" s="17" t="n">
        <x:f>COUNTIFS('Tasks'!$C$7:$C$246,$A45,'Tasks'!$D$7:$D$246,$C45,'Tasks'!$K$7:$K$246,"Yes")</x:f>
        <x:v>4</x:v>
      </x:c>
      <x:c r="Y45" s="17" t="n">
        <x:f>COUNTIFS('Tasks'!$C$7:$C$246,$A45,'Tasks'!$D$7:$D$246,$C45,'Tasks'!$AA$7:$AA$246,"&gt;0")</x:f>
        <x:v>10</x:v>
      </x:c>
      <x:c r="Z45" s="17" t="n">
        <x:f>COUNTIFS('Tasks'!$C$7:$C$246,$A45,'Tasks'!$D$7:$D$246,$C45,'Tasks'!$AA$7:$AA$246,"&lt;0")</x:f>
        <x:v>5</x:v>
      </x:c>
    </x:row>
    <x:row r="46" ht="23" customHeight="1">
      <x:c r="A46" s="17" t="str">
        <x:v>C004</x:v>
      </x:c>
      <x:c r="B46" s="17" t="str">
        <x:v>department</x:v>
      </x:c>
      <x:c r="C46" s="17" t="str">
        <x:v>Marketing Operations</x:v>
      </x:c>
      <x:c r="D46" s="17" t="n">
        <x:f>COUNTIFS('Tasks'!$C$7:$C$246,$A46,'Tasks'!$D$7:$D$246,$C46)</x:f>
        <x:v>16</x:v>
      </x:c>
      <x:c r="E46" s="17" t="n">
        <x:f>SUMIFS('Tasks'!$O$7:$O$246,'Tasks'!$C$7:$C$246,$A46,'Tasks'!$D$7:$D$246,$C46)</x:f>
        <x:v>4132963</x:v>
      </x:c>
      <x:c r="F46" s="17" t="n">
        <x:f>SUMIFS('Tasks'!$P$7:$P$246,'Tasks'!$C$7:$C$246,$A46,'Tasks'!$D$7:$D$246,$C46)</x:f>
        <x:v>1338088</x:v>
      </x:c>
      <x:c r="G46" s="17" t="n">
        <x:f>SUMIFS('Tasks'!$Q$7:$Q$246,'Tasks'!$C$7:$C$246,$A46,'Tasks'!$D$7:$D$246,$C46)</x:f>
        <x:v>5471051</x:v>
      </x:c>
      <x:c r="H46" s="22" t="n">
        <x:f>SUMIFS('Tasks'!$S$7:$S$246,'Tasks'!$C$7:$C$246,$A46,'Tasks'!$D$7:$D$246,$C46)</x:f>
        <x:v>95.20819</x:v>
      </x:c>
      <x:c r="I46" s="22" t="n">
        <x:f>SUMIFS('Tasks'!$T$7:$T$246,'Tasks'!$C$7:$C$246,$A46,'Tasks'!$D$7:$D$246,$C46)</x:f>
        <x:v>100.75095</x:v>
      </x:c>
      <x:c r="J46" s="22" t="n">
        <x:f>SUMIFS('Tasks'!$U$7:$U$246,'Tasks'!$C$7:$C$246,$A46,'Tasks'!$D$7:$D$246,$C46)</x:f>
        <x:v>195.95914</x:v>
      </x:c>
      <x:c r="K46" s="17" t="n">
        <x:f>SUMIFS('Tasks'!$R$7:$R$246,'Tasks'!$C$7:$C$246,$A46,'Tasks'!$D$7:$D$246,$C46)</x:f>
        <x:v>215</x:v>
      </x:c>
      <x:c r="L46" s="22" t="n">
        <x:f>IF(K46=0,"N/A",J46/K46)</x:f>
        <x:v>0.9114378604651162</x:v>
      </x:c>
      <x:c r="M46" s="19" t="n">
        <x:f>SUMIFS('Tasks'!$G$7:$G$246,'Tasks'!$C$7:$C$246,$A46,'Tasks'!$D$7:$D$246,$C46)</x:f>
        <x:v>70.35000000000001</x:v>
      </x:c>
      <x:c r="N46" s="19" t="n">
        <x:f>SUMIFS('Tasks'!$H$7:$H$246,'Tasks'!$C$7:$C$246,$A46,'Tasks'!$D$7:$D$246,$C46)</x:f>
        <x:v>59.43</x:v>
      </x:c>
      <x:c r="O46" s="19" t="n">
        <x:f>SUMIFS('Tasks'!$Y$7:$Y$246,'Tasks'!$C$7:$C$246,$A46,'Tasks'!$D$7:$D$246,$C46)</x:f>
        <x:v>10.919999999999998</x:v>
      </x:c>
      <x:c r="P46" s="22" t="n">
        <x:f>SUMIFS('Tasks'!$Z$7:$Z$246,'Tasks'!$C$7:$C$246,$A46,'Tasks'!$D$7:$D$246,$C46)</x:f>
        <x:v>546</x:v>
      </x:c>
      <x:c r="Q46" s="22" t="n">
        <x:f>SUMIFS('Tasks'!$AA$7:$AA$246,'Tasks'!$C$7:$C$246,$A46,'Tasks'!$D$7:$D$246,$C46)</x:f>
        <x:v>350.04086</x:v>
      </x:c>
      <x:c r="R46" s="31" t="n">
        <x:f>IF(J46=0,"N/A",Q46/J46)</x:f>
        <x:v>1.786295142956843</x:v>
      </x:c>
      <x:c r="S46" s="19" t="n">
        <x:f>SUMIFS('Tasks'!$I$7:$I$246,'Tasks'!$C$7:$C$246,$A46,'Tasks'!$D$7:$D$246,$C46)</x:f>
        <x:v>5.299999999999998</x:v>
      </x:c>
      <x:c r="T46" s="31" t="n">
        <x:f>IF(N46=0,"N/A",S46/N46)</x:f>
        <x:v>0.0891805485445061</x:v>
      </x:c>
      <x:c r="U46" s="17" t="n">
        <x:f>SUMIFS('Tasks'!$X$7:$X$246,'Tasks'!$C$7:$C$246,$A46,'Tasks'!$D$7:$D$246,$C46)</x:f>
        <x:v>48</x:v>
      </x:c>
      <x:c r="V46" s="31" t="n">
        <x:f>IF(K46=0,"N/A",U46/K46)</x:f>
        <x:v>0.22325581395348837</x:v>
      </x:c>
      <x:c r="W46" s="17" t="n">
        <x:f>COUNTIFS('Tasks'!$C$7:$C$246,$A46,'Tasks'!$D$7:$D$246,$C46,'Tasks'!$L$7:$L$246,"Yes")</x:f>
        <x:v>9</x:v>
      </x:c>
      <x:c r="X46" s="17" t="n">
        <x:f>COUNTIFS('Tasks'!$C$7:$C$246,$A46,'Tasks'!$D$7:$D$246,$C46,'Tasks'!$K$7:$K$246,"Yes")</x:f>
        <x:v>3</x:v>
      </x:c>
      <x:c r="Y46" s="17" t="n">
        <x:f>COUNTIFS('Tasks'!$C$7:$C$246,$A46,'Tasks'!$D$7:$D$246,$C46,'Tasks'!$AA$7:$AA$246,"&gt;0")</x:f>
        <x:v>9</x:v>
      </x:c>
      <x:c r="Z46" s="17" t="n">
        <x:f>COUNTIFS('Tasks'!$C$7:$C$246,$A46,'Tasks'!$D$7:$D$246,$C46,'Tasks'!$AA$7:$AA$246,"&lt;0")</x:f>
        <x:v>7</x:v>
      </x:c>
    </x:row>
  </x:sheetData>
  <x:pageMargins left="0.7" right="0.7" top="0.75" bottom="0.75" header="0.3" footer="0.3"/>
  <x:tableParts count="1">
    <x:tablePart xmlns:r="http://schemas.openxmlformats.org/officeDocument/2006/relationships" r:id="Rd3dbeab563844b8e"/>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8" hidden="0" customWidth="1"/>
    <x:col min="2" max="2" width="30" hidden="0" customWidth="1"/>
    <x:col min="3" max="3" width="30"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s>
  <x:sheetData>
    <x:row r="1" ht="23"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row>
    <x:row r="2" ht="29" customHeight="1">
      <x:c r="A2" s="4" t="str">
        <x:v>Comparable workflow cohorts</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row>
    <x:row r="3" ht="23" customHeight="1">
      <x:c r="A3" s="3"/>
      <x:c r="B3" s="3"/>
      <x:c r="C3" s="3"/>
      <x:c r="D3" s="3"/>
      <x:c r="E3" s="3"/>
      <x:c r="F3" s="3"/>
      <x:c r="G3" s="3"/>
      <x:c r="H3" s="3"/>
      <x:c r="I3" s="3"/>
      <x:c r="J3" s="3"/>
      <x:c r="K3" s="3"/>
      <x:c r="L3" s="3"/>
      <x:c r="M3" s="3"/>
      <x:c r="N3" s="3"/>
      <x:c r="O3" s="3"/>
      <x:c r="P3" s="3"/>
      <x:c r="Q3" s="3"/>
      <x:c r="R3" s="3"/>
      <x:c r="S3" s="3"/>
      <x:c r="T3" s="3"/>
      <x:c r="U3" s="3"/>
      <x:c r="V3" s="3"/>
      <x:c r="W3" s="3"/>
      <x:c r="X3" s="3"/>
      <x:c r="Y3" s="3"/>
      <x:c r="Z3" s="3"/>
      <x:c r="AA3" s="3"/>
      <x:c r="AB3" s="3"/>
      <x:c r="AC3" s="3"/>
      <x:c r="AD3" s="3"/>
    </x:row>
    <x:row r="4" ht="23" customHeight="1">
      <x:c r="A4" s="5" t="str">
        <x:v>Compare Yes and No within the same campaign and task type. Groups overlap. Small observed groups do not establish causation.</x:v>
      </x:c>
      <x:c r="B4" s="3"/>
      <x:c r="C4" s="3"/>
      <x:c r="D4" s="3"/>
      <x:c r="E4" s="3"/>
      <x:c r="F4" s="3"/>
      <x:c r="G4" s="3"/>
      <x:c r="H4" s="3"/>
      <x:c r="I4" s="3"/>
      <x:c r="J4" s="3"/>
      <x:c r="K4" s="3"/>
      <x:c r="L4" s="3"/>
      <x:c r="M4" s="3"/>
      <x:c r="N4" s="3"/>
      <x:c r="O4" s="3"/>
      <x:c r="P4" s="3"/>
      <x:c r="Q4" s="3"/>
      <x:c r="R4" s="3"/>
      <x:c r="S4" s="3"/>
      <x:c r="T4" s="3"/>
      <x:c r="U4" s="3"/>
      <x:c r="V4" s="3"/>
      <x:c r="W4" s="3"/>
      <x:c r="X4" s="3"/>
      <x:c r="Y4" s="3"/>
      <x:c r="Z4" s="3"/>
      <x:c r="AA4" s="3"/>
      <x:c r="AB4" s="3"/>
      <x:c r="AC4" s="3"/>
      <x:c r="AD4" s="3"/>
    </x:row>
    <x:row r="5" ht="23" customHeight="1">
      <x:c r="A5" s="3"/>
      <x:c r="B5" s="3"/>
      <x:c r="C5" s="3"/>
      <x:c r="D5" s="3"/>
      <x:c r="E5" s="3"/>
      <x:c r="F5" s="3"/>
      <x:c r="G5" s="3"/>
      <x:c r="H5" s="3"/>
      <x:c r="I5" s="3"/>
      <x:c r="J5" s="3"/>
      <x:c r="K5" s="3"/>
      <x:c r="L5" s="3"/>
      <x:c r="M5" s="3"/>
      <x:c r="N5" s="3"/>
      <x:c r="O5" s="3"/>
      <x:c r="P5" s="3"/>
      <x:c r="Q5" s="3"/>
      <x:c r="R5" s="3"/>
      <x:c r="S5" s="3"/>
      <x:c r="T5" s="3"/>
      <x:c r="U5" s="3"/>
      <x:c r="V5" s="3"/>
      <x:c r="W5" s="3"/>
      <x:c r="X5" s="3"/>
      <x:c r="Y5" s="3"/>
      <x:c r="Z5" s="3"/>
      <x:c r="AA5" s="3"/>
      <x:c r="AB5" s="3"/>
      <x:c r="AC5" s="3"/>
      <x:c r="AD5" s="3"/>
    </x:row>
    <x:row r="6" ht="44" customHeight="1">
      <x:c r="A6" s="14" t="str">
        <x:v>campaign_id</x:v>
      </x:c>
      <x:c r="B6" s="15" t="str">
        <x:v>task_type</x:v>
      </x:c>
      <x:c r="C6" s="15" t="str">
        <x:v>dimension</x:v>
      </x:c>
      <x:c r="D6" s="15" t="str">
        <x:v>flag</x:v>
      </x:c>
      <x:c r="E6" s="15" t="str">
        <x:v>tasks</x:v>
      </x:c>
      <x:c r="F6" s="15" t="str">
        <x:v>input_tokens</x:v>
      </x:c>
      <x:c r="G6" s="15" t="str">
        <x:v>output_tokens</x:v>
      </x:c>
      <x:c r="H6" s="15" t="str">
        <x:v>total_tokens</x:v>
      </x:c>
      <x:c r="I6" s="15" t="str">
        <x:v>input_cost_usd</x:v>
      </x:c>
      <x:c r="J6" s="15" t="str">
        <x:v>output_cost_usd</x:v>
      </x:c>
      <x:c r="K6" s="15" t="str">
        <x:v>ai_cost_usd</x:v>
      </x:c>
      <x:c r="L6" s="15" t="str">
        <x:v>prompt_count</x:v>
      </x:c>
      <x:c r="M6" s="15" t="str">
        <x:v>cost_per_prompt_usd</x:v>
      </x:c>
      <x:c r="N6" s="15" t="str">
        <x:v>baseline_hours</x:v>
      </x:c>
      <x:c r="O6" s="15" t="str">
        <x:v>actual_hours</x:v>
      </x:c>
      <x:c r="P6" s="15" t="str">
        <x:v>hours_saved</x:v>
      </x:c>
      <x:c r="Q6" s="15" t="str">
        <x:v>time_value_usd</x:v>
      </x:c>
      <x:c r="R6" s="15" t="str">
        <x:v>net_ai_value_usd</x:v>
      </x:c>
      <x:c r="S6" s="15" t="str">
        <x:v>ai_roi</x:v>
      </x:c>
      <x:c r="T6" s="15" t="str">
        <x:v>rework_hours</x:v>
      </x:c>
      <x:c r="U6" s="15" t="str">
        <x:v>rework_share</x:v>
      </x:c>
      <x:c r="V6" s="15" t="str">
        <x:v>correction_prompts</x:v>
      </x:c>
      <x:c r="W6" s="15" t="str">
        <x:v>correction_share</x:v>
      </x:c>
      <x:c r="X6" s="15" t="str">
        <x:v>template_tasks</x:v>
      </x:c>
      <x:c r="Y6" s="15" t="str">
        <x:v>changed_brief_tasks</x:v>
      </x:c>
      <x:c r="Z6" s="15" t="str">
        <x:v>positive_net_value_tasks</x:v>
      </x:c>
      <x:c r="AA6" s="15" t="str">
        <x:v>negative_net_value_tasks</x:v>
      </x:c>
      <x:c r="AB6" s="15" t="str">
        <x:v>corrections_per_task</x:v>
      </x:c>
      <x:c r="AC6" s="15" t="str">
        <x:v>ai_cost_per_task_usd</x:v>
      </x:c>
      <x:c r="AD6" s="16" t="str">
        <x:v>hours_saved_per_task</x:v>
      </x:c>
    </x:row>
    <x:row r="7" ht="23" customHeight="1">
      <x:c r="A7" s="17" t="str">
        <x:v>C001</x:v>
      </x:c>
      <x:c r="B7" s="17" t="str">
        <x:v>All task types</x:v>
      </x:c>
      <x:c r="C7" s="17" t="str">
        <x:v>prompt_template_used</x:v>
      </x:c>
      <x:c r="D7" s="17" t="str">
        <x:v>No</x:v>
      </x:c>
      <x:c r="E7" s="17" t="n">
        <x:f>COUNTIFS('Tasks'!$C$7:$C$246,$A7,'Tasks'!$L$7:$L$246,$D7)</x:f>
        <x:v>7</x:v>
      </x:c>
      <x:c r="F7" s="17" t="n">
        <x:f>SUMIFS('Tasks'!$O$7:$O$246,'Tasks'!$C$7:$C$246,$A7,'Tasks'!$L$7:$L$246,$D7)</x:f>
        <x:v>2732885</x:v>
      </x:c>
      <x:c r="G7" s="17" t="n">
        <x:f>SUMIFS('Tasks'!$P$7:$P$246,'Tasks'!$C$7:$C$246,$A7,'Tasks'!$L$7:$L$246,$D7)</x:f>
        <x:v>572902</x:v>
      </x:c>
      <x:c r="H7" s="17" t="n">
        <x:f>SUMIFS('Tasks'!$Q$7:$Q$246,'Tasks'!$C$7:$C$246,$A7,'Tasks'!$L$7:$L$246,$D7)</x:f>
        <x:v>3305787</x:v>
      </x:c>
      <x:c r="I7" s="22" t="n">
        <x:f>SUMIFS('Tasks'!$S$7:$S$246,'Tasks'!$C$7:$C$246,$A7,'Tasks'!$L$7:$L$246,$D7)</x:f>
        <x:v>34.87061</x:v>
      </x:c>
      <x:c r="J7" s="22" t="n">
        <x:f>SUMIFS('Tasks'!$T$7:$T$246,'Tasks'!$C$7:$C$246,$A7,'Tasks'!$L$7:$L$246,$D7)</x:f>
        <x:v>27.80459</x:v>
      </x:c>
      <x:c r="K7" s="22" t="n">
        <x:f>SUMIFS('Tasks'!$U$7:$U$246,'Tasks'!$C$7:$C$246,$A7,'Tasks'!$L$7:$L$246,$D7)</x:f>
        <x:v>62.67519999999999</x:v>
      </x:c>
      <x:c r="L7" s="17" t="n">
        <x:f>SUMIFS('Tasks'!$R$7:$R$246,'Tasks'!$C$7:$C$246,$A7,'Tasks'!$L$7:$L$246,$D7)</x:f>
        <x:v>72</x:v>
      </x:c>
      <x:c r="M7" s="22" t="n">
        <x:f>IF(L7=0,"N/A",K7/L7)</x:f>
        <x:v>0.8704888888888888</x:v>
      </x:c>
      <x:c r="N7" s="19" t="n">
        <x:f>SUMIFS('Tasks'!$G$7:$G$246,'Tasks'!$C$7:$C$246,$A7,'Tasks'!$L$7:$L$246,$D7)</x:f>
        <x:v>25.43</x:v>
      </x:c>
      <x:c r="O7" s="19" t="n">
        <x:f>SUMIFS('Tasks'!$H$7:$H$246,'Tasks'!$C$7:$C$246,$A7,'Tasks'!$L$7:$L$246,$D7)</x:f>
        <x:v>12.08</x:v>
      </x:c>
      <x:c r="P7" s="19" t="n">
        <x:f>SUMIFS('Tasks'!$Y$7:$Y$246,'Tasks'!$C$7:$C$246,$A7,'Tasks'!$L$7:$L$246,$D7)</x:f>
        <x:v>13.350000000000001</x:v>
      </x:c>
      <x:c r="Q7" s="22" t="n">
        <x:f>SUMIFS('Tasks'!$Z$7:$Z$246,'Tasks'!$C$7:$C$246,$A7,'Tasks'!$L$7:$L$246,$D7)</x:f>
        <x:v>667.5</x:v>
      </x:c>
      <x:c r="R7" s="22" t="n">
        <x:f>SUMIFS('Tasks'!$AA$7:$AA$246,'Tasks'!$C$7:$C$246,$A7,'Tasks'!$L$7:$L$246,$D7)</x:f>
        <x:v>604.8248000000001</x:v>
      </x:c>
      <x:c r="S7" s="31" t="n">
        <x:f>IF(K7=0,"N/A",R7/K7)</x:f>
        <x:v>9.650145512100483</x:v>
      </x:c>
      <x:c r="T7" s="19" t="n">
        <x:f>SUMIFS('Tasks'!$I$7:$I$246,'Tasks'!$C$7:$C$246,$A7,'Tasks'!$L$7:$L$246,$D7)</x:f>
        <x:v>1.0899999999999999</x:v>
      </x:c>
      <x:c r="U7" s="31" t="n">
        <x:f>IF(O7=0,"N/A",T7/O7)</x:f>
        <x:v>0.09023178807947019</x:v>
      </x:c>
      <x:c r="V7" s="17" t="n">
        <x:f>SUMIFS('Tasks'!$X$7:$X$246,'Tasks'!$C$7:$C$246,$A7,'Tasks'!$L$7:$L$246,$D7)</x:f>
        <x:v>9</x:v>
      </x:c>
      <x:c r="W7" s="31" t="n">
        <x:f>IF(L7=0,"N/A",V7/L7)</x:f>
        <x:v>0.125</x:v>
      </x:c>
      <x:c r="X7" s="17" t="n">
        <x:f>COUNTIFS('Tasks'!$C$7:$C$246,$A7,'Tasks'!$L$7:$L$246,$D7,'Tasks'!$L$7:$L$246,"Yes")</x:f>
        <x:v>0</x:v>
      </x:c>
      <x:c r="Y7" s="17" t="n">
        <x:f>COUNTIFS('Tasks'!$C$7:$C$246,$A7,'Tasks'!$L$7:$L$246,$D7,'Tasks'!$K$7:$K$246,"Yes")</x:f>
        <x:v>2</x:v>
      </x:c>
      <x:c r="Z7" s="17" t="n">
        <x:f>COUNTIFS('Tasks'!$C$7:$C$246,$A7,'Tasks'!$L$7:$L$246,$D7,'Tasks'!$AA$7:$AA$246,"&gt;0")</x:f>
        <x:v>7</x:v>
      </x:c>
      <x:c r="AA7" s="17" t="n">
        <x:f>COUNTIFS('Tasks'!$C$7:$C$246,$A7,'Tasks'!$L$7:$L$246,$D7,'Tasks'!$AA$7:$AA$246,"&lt;0")</x:f>
        <x:v>0</x:v>
      </x:c>
      <x:c r="AB7" s="19" t="n">
        <x:f>IF(E7=0,"N/A",V7/E7)</x:f>
        <x:v>1.2857142857142858</x:v>
      </x:c>
      <x:c r="AC7" s="22" t="n">
        <x:f>IF(E7=0,"N/A",K7/E7)</x:f>
        <x:v>8.953599999999998</x:v>
      </x:c>
      <x:c r="AD7" s="19" t="n">
        <x:f>IF(E7=0,"N/A",P7/E7)</x:f>
        <x:v>1.9071428571428573</x:v>
      </x:c>
    </x:row>
    <x:row r="8" ht="23" customHeight="1">
      <x:c r="A8" s="17" t="str">
        <x:v>C001</x:v>
      </x:c>
      <x:c r="B8" s="17" t="str">
        <x:v>All task types</x:v>
      </x:c>
      <x:c r="C8" s="17" t="str">
        <x:v>prompt_template_used</x:v>
      </x:c>
      <x:c r="D8" s="17" t="str">
        <x:v>Yes</x:v>
      </x:c>
      <x:c r="E8" s="17" t="n">
        <x:f>COUNTIFS('Tasks'!$C$7:$C$246,$A8,'Tasks'!$L$7:$L$246,$D8)</x:f>
        <x:v>53</x:v>
      </x:c>
      <x:c r="F8" s="17" t="n">
        <x:f>SUMIFS('Tasks'!$O$7:$O$246,'Tasks'!$C$7:$C$246,$A8,'Tasks'!$L$7:$L$246,$D8)</x:f>
        <x:v>19267115</x:v>
      </x:c>
      <x:c r="G8" s="17" t="n">
        <x:f>SUMIFS('Tasks'!$P$7:$P$246,'Tasks'!$C$7:$C$246,$A8,'Tasks'!$L$7:$L$246,$D8)</x:f>
        <x:v>4427098</x:v>
      </x:c>
      <x:c r="H8" s="17" t="n">
        <x:f>SUMIFS('Tasks'!$Q$7:$Q$246,'Tasks'!$C$7:$C$246,$A8,'Tasks'!$L$7:$L$246,$D8)</x:f>
        <x:v>23694213</x:v>
      </x:c>
      <x:c r="I8" s="22" t="n">
        <x:f>SUMIFS('Tasks'!$S$7:$S$246,'Tasks'!$C$7:$C$246,$A8,'Tasks'!$L$7:$L$246,$D8)</x:f>
        <x:v>245.12938999999997</x:v>
      </x:c>
      <x:c r="J8" s="22" t="n">
        <x:f>SUMIFS('Tasks'!$T$7:$T$246,'Tasks'!$C$7:$C$246,$A8,'Tasks'!$L$7:$L$246,$D8)</x:f>
        <x:v>192.19540999999998</x:v>
      </x:c>
      <x:c r="K8" s="22" t="n">
        <x:f>SUMIFS('Tasks'!$U$7:$U$246,'Tasks'!$C$7:$C$246,$A8,'Tasks'!$L$7:$L$246,$D8)</x:f>
        <x:v>437.32480000000004</x:v>
      </x:c>
      <x:c r="L8" s="17" t="n">
        <x:f>SUMIFS('Tasks'!$R$7:$R$246,'Tasks'!$C$7:$C$246,$A8,'Tasks'!$L$7:$L$246,$D8)</x:f>
        <x:v>528</x:v>
      </x:c>
      <x:c r="M8" s="22" t="n">
        <x:f>IF(L8=0,"N/A",K8/L8)</x:f>
        <x:v>0.8282666666666667</x:v>
      </x:c>
      <x:c r="N8" s="19" t="n">
        <x:f>SUMIFS('Tasks'!$G$7:$G$246,'Tasks'!$C$7:$C$246,$A8,'Tasks'!$L$7:$L$246,$D8)</x:f>
        <x:v>214.57</x:v>
      </x:c>
      <x:c r="O8" s="19" t="n">
        <x:f>SUMIFS('Tasks'!$H$7:$H$246,'Tasks'!$C$7:$C$246,$A8,'Tasks'!$L$7:$L$246,$D8)</x:f>
        <x:v>127.91999999999999</x:v>
      </x:c>
      <x:c r="P8" s="19" t="n">
        <x:f>SUMIFS('Tasks'!$Y$7:$Y$246,'Tasks'!$C$7:$C$246,$A8,'Tasks'!$L$7:$L$246,$D8)</x:f>
        <x:v>86.64999999999999</x:v>
      </x:c>
      <x:c r="Q8" s="22" t="n">
        <x:f>SUMIFS('Tasks'!$Z$7:$Z$246,'Tasks'!$C$7:$C$246,$A8,'Tasks'!$L$7:$L$246,$D8)</x:f>
        <x:v>4332.5</x:v>
      </x:c>
      <x:c r="R8" s="22" t="n">
        <x:f>SUMIFS('Tasks'!$AA$7:$AA$246,'Tasks'!$C$7:$C$246,$A8,'Tasks'!$L$7:$L$246,$D8)</x:f>
        <x:v>3895.1752</x:v>
      </x:c>
      <x:c r="S8" s="31" t="n">
        <x:f>IF(K8=0,"N/A",R8/K8)</x:f>
        <x:v>8.906824401451734</x:v>
      </x:c>
      <x:c r="T8" s="19" t="n">
        <x:f>SUMIFS('Tasks'!$I$7:$I$246,'Tasks'!$C$7:$C$246,$A8,'Tasks'!$L$7:$L$246,$D8)</x:f>
        <x:v>9.649999999999999</x:v>
      </x:c>
      <x:c r="U8" s="31" t="n">
        <x:f>IF(O8=0,"N/A",T8/O8)</x:f>
        <x:v>0.07543777360850532</x:v>
      </x:c>
      <x:c r="V8" s="17" t="n">
        <x:f>SUMIFS('Tasks'!$X$7:$X$246,'Tasks'!$C$7:$C$246,$A8,'Tasks'!$L$7:$L$246,$D8)</x:f>
        <x:v>59</x:v>
      </x:c>
      <x:c r="W8" s="31" t="n">
        <x:f>IF(L8=0,"N/A",V8/L8)</x:f>
        <x:v>0.11174242424242424</x:v>
      </x:c>
      <x:c r="X8" s="17" t="n">
        <x:f>COUNTIFS('Tasks'!$C$7:$C$246,$A8,'Tasks'!$L$7:$L$246,$D8,'Tasks'!$L$7:$L$246,"Yes")</x:f>
        <x:v>53</x:v>
      </x:c>
      <x:c r="Y8" s="17" t="n">
        <x:f>COUNTIFS('Tasks'!$C$7:$C$246,$A8,'Tasks'!$L$7:$L$246,$D8,'Tasks'!$K$7:$K$246,"Yes")</x:f>
        <x:v>8</x:v>
      </x:c>
      <x:c r="Z8" s="17" t="n">
        <x:f>COUNTIFS('Tasks'!$C$7:$C$246,$A8,'Tasks'!$L$7:$L$246,$D8,'Tasks'!$AA$7:$AA$246,"&gt;0")</x:f>
        <x:v>45</x:v>
      </x:c>
      <x:c r="AA8" s="17" t="n">
        <x:f>COUNTIFS('Tasks'!$C$7:$C$246,$A8,'Tasks'!$L$7:$L$246,$D8,'Tasks'!$AA$7:$AA$246,"&lt;0")</x:f>
        <x:v>8</x:v>
      </x:c>
      <x:c r="AB8" s="19" t="n">
        <x:f>IF(E8=0,"N/A",V8/E8)</x:f>
        <x:v>1.1132075471698113</x:v>
      </x:c>
      <x:c r="AC8" s="22" t="n">
        <x:f>IF(E8=0,"N/A",K8/E8)</x:f>
        <x:v>8.251411320754718</x:v>
      </x:c>
      <x:c r="AD8" s="19" t="n">
        <x:f>IF(E8=0,"N/A",P8/E8)</x:f>
        <x:v>1.6349056603773584</x:v>
      </x:c>
    </x:row>
    <x:row r="9" ht="23" customHeight="1">
      <x:c r="A9" s="17" t="str">
        <x:v>C001</x:v>
      </x:c>
      <x:c r="B9" s="17" t="str">
        <x:v>All task types</x:v>
      </x:c>
      <x:c r="C9" s="17" t="str">
        <x:v>brief_changed</x:v>
      </x:c>
      <x:c r="D9" s="17" t="str">
        <x:v>No</x:v>
      </x:c>
      <x:c r="E9" s="17" t="n">
        <x:f>COUNTIFS('Tasks'!$C$7:$C$246,$A9,'Tasks'!$K$7:$K$246,$D9)</x:f>
        <x:v>50</x:v>
      </x:c>
      <x:c r="F9" s="17" t="n">
        <x:f>SUMIFS('Tasks'!$O$7:$O$246,'Tasks'!$C$7:$C$246,$A9,'Tasks'!$K$7:$K$246,$D9)</x:f>
        <x:v>18948900</x:v>
      </x:c>
      <x:c r="G9" s="17" t="n">
        <x:f>SUMIFS('Tasks'!$P$7:$P$246,'Tasks'!$C$7:$C$246,$A9,'Tasks'!$K$7:$K$246,$D9)</x:f>
        <x:v>4109451</x:v>
      </x:c>
      <x:c r="H9" s="17" t="n">
        <x:f>SUMIFS('Tasks'!$Q$7:$Q$246,'Tasks'!$C$7:$C$246,$A9,'Tasks'!$K$7:$K$246,$D9)</x:f>
        <x:v>23058351</x:v>
      </x:c>
      <x:c r="I9" s="22" t="n">
        <x:f>SUMIFS('Tasks'!$S$7:$S$246,'Tasks'!$C$7:$C$246,$A9,'Tasks'!$K$7:$K$246,$D9)</x:f>
        <x:v>243.89048999999997</x:v>
      </x:c>
      <x:c r="J9" s="22" t="n">
        <x:f>SUMIFS('Tasks'!$T$7:$T$246,'Tasks'!$C$7:$C$246,$A9,'Tasks'!$K$7:$K$246,$D9)</x:f>
        <x:v>185.80983999999998</x:v>
      </x:c>
      <x:c r="K9" s="22" t="n">
        <x:f>SUMIFS('Tasks'!$U$7:$U$246,'Tasks'!$C$7:$C$246,$A9,'Tasks'!$K$7:$K$246,$D9)</x:f>
        <x:v>429.70033000000006</x:v>
      </x:c>
      <x:c r="L9" s="17" t="n">
        <x:f>SUMIFS('Tasks'!$R$7:$R$246,'Tasks'!$C$7:$C$246,$A9,'Tasks'!$K$7:$K$246,$D9)</x:f>
        <x:v>499</x:v>
      </x:c>
      <x:c r="M9" s="22" t="n">
        <x:f>IF(L9=0,"N/A",K9/L9)</x:f>
        <x:v>0.8611229058116234</x:v>
      </x:c>
      <x:c r="N9" s="19" t="n">
        <x:f>SUMIFS('Tasks'!$G$7:$G$246,'Tasks'!$C$7:$C$246,$A9,'Tasks'!$K$7:$K$246,$D9)</x:f>
        <x:v>202.54</x:v>
      </x:c>
      <x:c r="O9" s="19" t="n">
        <x:f>SUMIFS('Tasks'!$H$7:$H$246,'Tasks'!$C$7:$C$246,$A9,'Tasks'!$K$7:$K$246,$D9)</x:f>
        <x:v>119.98</x:v>
      </x:c>
      <x:c r="P9" s="19" t="n">
        <x:f>SUMIFS('Tasks'!$Y$7:$Y$246,'Tasks'!$C$7:$C$246,$A9,'Tasks'!$K$7:$K$246,$D9)</x:f>
        <x:v>82.56</x:v>
      </x:c>
      <x:c r="Q9" s="22" t="n">
        <x:f>SUMIFS('Tasks'!$Z$7:$Z$246,'Tasks'!$C$7:$C$246,$A9,'Tasks'!$K$7:$K$246,$D9)</x:f>
        <x:v>4128</x:v>
      </x:c>
      <x:c r="R9" s="22" t="n">
        <x:f>SUMIFS('Tasks'!$AA$7:$AA$246,'Tasks'!$C$7:$C$246,$A9,'Tasks'!$K$7:$K$246,$D9)</x:f>
        <x:v>3698.299670000001</x:v>
      </x:c>
      <x:c r="S9" s="31" t="n">
        <x:f>IF(K9=0,"N/A",R9/K9)</x:f>
        <x:v>8.606694972749963</x:v>
      </x:c>
      <x:c r="T9" s="19" t="n">
        <x:f>SUMIFS('Tasks'!$I$7:$I$246,'Tasks'!$C$7:$C$246,$A9,'Tasks'!$K$7:$K$246,$D9)</x:f>
        <x:v>8.51</x:v>
      </x:c>
      <x:c r="U9" s="31" t="n">
        <x:f>IF(O9=0,"N/A",T9/O9)</x:f>
        <x:v>0.07092848808134689</x:v>
      </x:c>
      <x:c r="V9" s="17" t="n">
        <x:f>SUMIFS('Tasks'!$X$7:$X$246,'Tasks'!$C$7:$C$246,$A9,'Tasks'!$K$7:$K$246,$D9)</x:f>
        <x:v>56</x:v>
      </x:c>
      <x:c r="W9" s="31" t="n">
        <x:f>IF(L9=0,"N/A",V9/L9)</x:f>
        <x:v>0.11222444889779559</x:v>
      </x:c>
      <x:c r="X9" s="17" t="n">
        <x:f>COUNTIFS('Tasks'!$C$7:$C$246,$A9,'Tasks'!$K$7:$K$246,$D9,'Tasks'!$L$7:$L$246,"Yes")</x:f>
        <x:v>45</x:v>
      </x:c>
      <x:c r="Y9" s="17" t="n">
        <x:f>COUNTIFS('Tasks'!$C$7:$C$246,$A9,'Tasks'!$K$7:$K$246,$D9,'Tasks'!$K$7:$K$246,"Yes")</x:f>
        <x:v>0</x:v>
      </x:c>
      <x:c r="Z9" s="17" t="n">
        <x:f>COUNTIFS('Tasks'!$C$7:$C$246,$A9,'Tasks'!$K$7:$K$246,$D9,'Tasks'!$AA$7:$AA$246,"&gt;0")</x:f>
        <x:v>43</x:v>
      </x:c>
      <x:c r="AA9" s="17" t="n">
        <x:f>COUNTIFS('Tasks'!$C$7:$C$246,$A9,'Tasks'!$K$7:$K$246,$D9,'Tasks'!$AA$7:$AA$246,"&lt;0")</x:f>
        <x:v>7</x:v>
      </x:c>
      <x:c r="AB9" s="19" t="n">
        <x:f>IF(E9=0,"N/A",V9/E9)</x:f>
        <x:v>1.12</x:v>
      </x:c>
      <x:c r="AC9" s="22" t="n">
        <x:f>IF(E9=0,"N/A",K9/E9)</x:f>
        <x:v>8.594006600000002</x:v>
      </x:c>
      <x:c r="AD9" s="19" t="n">
        <x:f>IF(E9=0,"N/A",P9/E9)</x:f>
        <x:v>1.6512</x:v>
      </x:c>
    </x:row>
    <x:row r="10" ht="23" customHeight="1">
      <x:c r="A10" s="17" t="str">
        <x:v>C001</x:v>
      </x:c>
      <x:c r="B10" s="17" t="str">
        <x:v>All task types</x:v>
      </x:c>
      <x:c r="C10" s="17" t="str">
        <x:v>brief_changed</x:v>
      </x:c>
      <x:c r="D10" s="17" t="str">
        <x:v>Yes</x:v>
      </x:c>
      <x:c r="E10" s="17" t="n">
        <x:f>COUNTIFS('Tasks'!$C$7:$C$246,$A10,'Tasks'!$K$7:$K$246,$D10)</x:f>
        <x:v>10</x:v>
      </x:c>
      <x:c r="F10" s="17" t="n">
        <x:f>SUMIFS('Tasks'!$O$7:$O$246,'Tasks'!$C$7:$C$246,$A10,'Tasks'!$K$7:$K$246,$D10)</x:f>
        <x:v>3051100</x:v>
      </x:c>
      <x:c r="G10" s="17" t="n">
        <x:f>SUMIFS('Tasks'!$P$7:$P$246,'Tasks'!$C$7:$C$246,$A10,'Tasks'!$K$7:$K$246,$D10)</x:f>
        <x:v>890549</x:v>
      </x:c>
      <x:c r="H10" s="17" t="n">
        <x:f>SUMIFS('Tasks'!$Q$7:$Q$246,'Tasks'!$C$7:$C$246,$A10,'Tasks'!$K$7:$K$246,$D10)</x:f>
        <x:v>3941649</x:v>
      </x:c>
      <x:c r="I10" s="22" t="n">
        <x:f>SUMIFS('Tasks'!$S$7:$S$246,'Tasks'!$C$7:$C$246,$A10,'Tasks'!$K$7:$K$246,$D10)</x:f>
        <x:v>36.10951</x:v>
      </x:c>
      <x:c r="J10" s="22" t="n">
        <x:f>SUMIFS('Tasks'!$T$7:$T$246,'Tasks'!$C$7:$C$246,$A10,'Tasks'!$K$7:$K$246,$D10)</x:f>
        <x:v>34.19016</x:v>
      </x:c>
      <x:c r="K10" s="22" t="n">
        <x:f>SUMIFS('Tasks'!$U$7:$U$246,'Tasks'!$C$7:$C$246,$A10,'Tasks'!$K$7:$K$246,$D10)</x:f>
        <x:v>70.29967</x:v>
      </x:c>
      <x:c r="L10" s="17" t="n">
        <x:f>SUMIFS('Tasks'!$R$7:$R$246,'Tasks'!$C$7:$C$246,$A10,'Tasks'!$K$7:$K$246,$D10)</x:f>
        <x:v>101</x:v>
      </x:c>
      <x:c r="M10" s="22" t="n">
        <x:f>IF(L10=0,"N/A",K10/L10)</x:f>
        <x:v>0.6960363366336634</x:v>
      </x:c>
      <x:c r="N10" s="19" t="n">
        <x:f>SUMIFS('Tasks'!$G$7:$G$246,'Tasks'!$C$7:$C$246,$A10,'Tasks'!$K$7:$K$246,$D10)</x:f>
        <x:v>37.46</x:v>
      </x:c>
      <x:c r="O10" s="19" t="n">
        <x:f>SUMIFS('Tasks'!$H$7:$H$246,'Tasks'!$C$7:$C$246,$A10,'Tasks'!$K$7:$K$246,$D10)</x:f>
        <x:v>20.020000000000007</x:v>
      </x:c>
      <x:c r="P10" s="19" t="n">
        <x:f>SUMIFS('Tasks'!$Y$7:$Y$246,'Tasks'!$C$7:$C$246,$A10,'Tasks'!$K$7:$K$246,$D10)</x:f>
        <x:v>17.44</x:v>
      </x:c>
      <x:c r="Q10" s="22" t="n">
        <x:f>SUMIFS('Tasks'!$Z$7:$Z$246,'Tasks'!$C$7:$C$246,$A10,'Tasks'!$K$7:$K$246,$D10)</x:f>
        <x:v>872</x:v>
      </x:c>
      <x:c r="R10" s="22" t="n">
        <x:f>SUMIFS('Tasks'!$AA$7:$AA$246,'Tasks'!$C$7:$C$246,$A10,'Tasks'!$K$7:$K$246,$D10)</x:f>
        <x:v>801.70033</x:v>
      </x:c>
      <x:c r="S10" s="31" t="n">
        <x:f>IF(K10=0,"N/A",R10/K10)</x:f>
        <x:v>11.404041156949953</x:v>
      </x:c>
      <x:c r="T10" s="19" t="n">
        <x:f>SUMIFS('Tasks'!$I$7:$I$246,'Tasks'!$C$7:$C$246,$A10,'Tasks'!$K$7:$K$246,$D10)</x:f>
        <x:v>2.23</x:v>
      </x:c>
      <x:c r="U10" s="31" t="n">
        <x:f>IF(O10=0,"N/A",T10/O10)</x:f>
        <x:v>0.11138861138861135</x:v>
      </x:c>
      <x:c r="V10" s="17" t="n">
        <x:f>SUMIFS('Tasks'!$X$7:$X$246,'Tasks'!$C$7:$C$246,$A10,'Tasks'!$K$7:$K$246,$D10)</x:f>
        <x:v>12</x:v>
      </x:c>
      <x:c r="W10" s="31" t="n">
        <x:f>IF(L10=0,"N/A",V10/L10)</x:f>
        <x:v>0.1188118811881188</x:v>
      </x:c>
      <x:c r="X10" s="17" t="n">
        <x:f>COUNTIFS('Tasks'!$C$7:$C$246,$A10,'Tasks'!$K$7:$K$246,$D10,'Tasks'!$L$7:$L$246,"Yes")</x:f>
        <x:v>8</x:v>
      </x:c>
      <x:c r="Y10" s="17" t="n">
        <x:f>COUNTIFS('Tasks'!$C$7:$C$246,$A10,'Tasks'!$K$7:$K$246,$D10,'Tasks'!$K$7:$K$246,"Yes")</x:f>
        <x:v>10</x:v>
      </x:c>
      <x:c r="Z10" s="17" t="n">
        <x:f>COUNTIFS('Tasks'!$C$7:$C$246,$A10,'Tasks'!$K$7:$K$246,$D10,'Tasks'!$AA$7:$AA$246,"&gt;0")</x:f>
        <x:v>9</x:v>
      </x:c>
      <x:c r="AA10" s="17" t="n">
        <x:f>COUNTIFS('Tasks'!$C$7:$C$246,$A10,'Tasks'!$K$7:$K$246,$D10,'Tasks'!$AA$7:$AA$246,"&lt;0")</x:f>
        <x:v>1</x:v>
      </x:c>
      <x:c r="AB10" s="19" t="n">
        <x:f>IF(E10=0,"N/A",V10/E10)</x:f>
        <x:v>1.2</x:v>
      </x:c>
      <x:c r="AC10" s="22" t="n">
        <x:f>IF(E10=0,"N/A",K10/E10)</x:f>
        <x:v>7.029967000000001</x:v>
      </x:c>
      <x:c r="AD10" s="19" t="n">
        <x:f>IF(E10=0,"N/A",P10/E10)</x:f>
        <x:v>1.7440000000000002</x:v>
      </x:c>
    </x:row>
    <x:row r="11" ht="23" customHeight="1">
      <x:c r="A11" s="17" t="str">
        <x:v>C001</x:v>
      </x:c>
      <x:c r="B11" s="17" t="str">
        <x:v>Analyze campaign results</x:v>
      </x:c>
      <x:c r="C11" s="17" t="str">
        <x:v>prompt_template_used</x:v>
      </x:c>
      <x:c r="D11" s="17" t="str">
        <x:v>Yes</x:v>
      </x:c>
      <x:c r="E11" s="17" t="n">
        <x:f>COUNTIFS('Tasks'!$C$7:$C$246,$A11,'Tasks'!$L$7:$L$246,$D11,'Tasks'!$F$7:$F$246,$B11)</x:f>
        <x:v>5</x:v>
      </x:c>
      <x:c r="F11" s="17" t="n">
        <x:f>SUMIFS('Tasks'!$O$7:$O$246,'Tasks'!$C$7:$C$246,$A11,'Tasks'!$L$7:$L$246,$D11,'Tasks'!$F$7:$F$246,$B11)</x:f>
        <x:v>1690483</x:v>
      </x:c>
      <x:c r="G11" s="17" t="n">
        <x:f>SUMIFS('Tasks'!$P$7:$P$246,'Tasks'!$C$7:$C$246,$A11,'Tasks'!$L$7:$L$246,$D11,'Tasks'!$F$7:$F$246,$B11)</x:f>
        <x:v>476803</x:v>
      </x:c>
      <x:c r="H11" s="17" t="n">
        <x:f>SUMIFS('Tasks'!$Q$7:$Q$246,'Tasks'!$C$7:$C$246,$A11,'Tasks'!$L$7:$L$246,$D11,'Tasks'!$F$7:$F$246,$B11)</x:f>
        <x:v>2167286</x:v>
      </x:c>
      <x:c r="I11" s="22" t="n">
        <x:f>SUMIFS('Tasks'!$S$7:$S$246,'Tasks'!$C$7:$C$246,$A11,'Tasks'!$L$7:$L$246,$D11,'Tasks'!$F$7:$F$246,$B11)</x:f>
        <x:v>25.973770000000002</x:v>
      </x:c>
      <x:c r="J11" s="22" t="n">
        <x:f>SUMIFS('Tasks'!$T$7:$T$246,'Tasks'!$C$7:$C$246,$A11,'Tasks'!$L$7:$L$246,$D11,'Tasks'!$F$7:$F$246,$B11)</x:f>
        <x:v>28.58934</x:v>
      </x:c>
      <x:c r="K11" s="22" t="n">
        <x:f>SUMIFS('Tasks'!$U$7:$U$246,'Tasks'!$C$7:$C$246,$A11,'Tasks'!$L$7:$L$246,$D11,'Tasks'!$F$7:$F$246,$B11)</x:f>
        <x:v>54.56311000000001</x:v>
      </x:c>
      <x:c r="L11" s="17" t="n">
        <x:f>SUMIFS('Tasks'!$R$7:$R$246,'Tasks'!$C$7:$C$246,$A11,'Tasks'!$L$7:$L$246,$D11,'Tasks'!$F$7:$F$246,$B11)</x:f>
        <x:v>53</x:v>
      </x:c>
      <x:c r="M11" s="22" t="n">
        <x:f>IF(L11=0,"N/A",K11/L11)</x:f>
        <x:v>1.029492641509434</x:v>
      </x:c>
      <x:c r="N11" s="19" t="n">
        <x:f>SUMIFS('Tasks'!$G$7:$G$246,'Tasks'!$C$7:$C$246,$A11,'Tasks'!$L$7:$L$246,$D11,'Tasks'!$F$7:$F$246,$B11)</x:f>
        <x:v>20.54</x:v>
      </x:c>
      <x:c r="O11" s="19" t="n">
        <x:f>SUMIFS('Tasks'!$H$7:$H$246,'Tasks'!$C$7:$C$246,$A11,'Tasks'!$L$7:$L$246,$D11,'Tasks'!$F$7:$F$246,$B11)</x:f>
        <x:v>13.000000000000002</x:v>
      </x:c>
      <x:c r="P11" s="19" t="n">
        <x:f>SUMIFS('Tasks'!$Y$7:$Y$246,'Tasks'!$C$7:$C$246,$A11,'Tasks'!$L$7:$L$246,$D11,'Tasks'!$F$7:$F$246,$B11)</x:f>
        <x:v>7.54</x:v>
      </x:c>
      <x:c r="Q11" s="22" t="n">
        <x:f>SUMIFS('Tasks'!$Z$7:$Z$246,'Tasks'!$C$7:$C$246,$A11,'Tasks'!$L$7:$L$246,$D11,'Tasks'!$F$7:$F$246,$B11)</x:f>
        <x:v>377</x:v>
      </x:c>
      <x:c r="R11" s="22" t="n">
        <x:f>SUMIFS('Tasks'!$AA$7:$AA$246,'Tasks'!$C$7:$C$246,$A11,'Tasks'!$L$7:$L$246,$D11,'Tasks'!$F$7:$F$246,$B11)</x:f>
        <x:v>322.43689000000006</x:v>
      </x:c>
      <x:c r="S11" s="31" t="n">
        <x:f>IF(K11=0,"N/A",R11/K11)</x:f>
        <x:v>5.909430199268334</x:v>
      </x:c>
      <x:c r="T11" s="19" t="n">
        <x:f>SUMIFS('Tasks'!$I$7:$I$246,'Tasks'!$C$7:$C$246,$A11,'Tasks'!$L$7:$L$246,$D11,'Tasks'!$F$7:$F$246,$B11)</x:f>
        <x:v>1.06</x:v>
      </x:c>
      <x:c r="U11" s="31" t="n">
        <x:f>IF(O11=0,"N/A",T11/O11)</x:f>
        <x:v>0.08153846153846153</x:v>
      </x:c>
      <x:c r="V11" s="17" t="n">
        <x:f>SUMIFS('Tasks'!$X$7:$X$246,'Tasks'!$C$7:$C$246,$A11,'Tasks'!$L$7:$L$246,$D11,'Tasks'!$F$7:$F$246,$B11)</x:f>
        <x:v>6</x:v>
      </x:c>
      <x:c r="W11" s="31" t="n">
        <x:f>IF(L11=0,"N/A",V11/L11)</x:f>
        <x:v>0.11320754716981132</x:v>
      </x:c>
      <x:c r="X11" s="17" t="n">
        <x:f>COUNTIFS('Tasks'!$C$7:$C$246,$A11,'Tasks'!$L$7:$L$246,$D11,'Tasks'!$F$7:$F$246,$B11,'Tasks'!$L$7:$L$246,"Yes")</x:f>
        <x:v>5</x:v>
      </x:c>
      <x:c r="Y11" s="17" t="n">
        <x:f>COUNTIFS('Tasks'!$C$7:$C$246,$A11,'Tasks'!$L$7:$L$246,$D11,'Tasks'!$F$7:$F$246,$B11,'Tasks'!$K$7:$K$246,"Yes")</x:f>
        <x:v>2</x:v>
      </x:c>
      <x:c r="Z11" s="17" t="n">
        <x:f>COUNTIFS('Tasks'!$C$7:$C$246,$A11,'Tasks'!$L$7:$L$246,$D11,'Tasks'!$F$7:$F$246,$B11,'Tasks'!$AA$7:$AA$246,"&gt;0")</x:f>
        <x:v>4</x:v>
      </x:c>
      <x:c r="AA11" s="17" t="n">
        <x:f>COUNTIFS('Tasks'!$C$7:$C$246,$A11,'Tasks'!$L$7:$L$246,$D11,'Tasks'!$F$7:$F$246,$B11,'Tasks'!$AA$7:$AA$246,"&lt;0")</x:f>
        <x:v>1</x:v>
      </x:c>
      <x:c r="AB11" s="19" t="n">
        <x:f>IF(E11=0,"N/A",V11/E11)</x:f>
        <x:v>1.2</x:v>
      </x:c>
      <x:c r="AC11" s="22" t="n">
        <x:f>IF(E11=0,"N/A",K11/E11)</x:f>
        <x:v>10.912622000000002</x:v>
      </x:c>
      <x:c r="AD11" s="19" t="n">
        <x:f>IF(E11=0,"N/A",P11/E11)</x:f>
        <x:v>1.508</x:v>
      </x:c>
    </x:row>
    <x:row r="12" ht="23" customHeight="1">
      <x:c r="A12" s="17" t="str">
        <x:v>C001</x:v>
      </x:c>
      <x:c r="B12" s="17" t="str">
        <x:v>Analyze campaign results</x:v>
      </x:c>
      <x:c r="C12" s="17" t="str">
        <x:v>brief_changed</x:v>
      </x:c>
      <x:c r="D12" s="17" t="str">
        <x:v>No</x:v>
      </x:c>
      <x:c r="E12" s="17" t="n">
        <x:f>COUNTIFS('Tasks'!$C$7:$C$246,$A12,'Tasks'!$K$7:$K$246,$D12,'Tasks'!$F$7:$F$246,$B12)</x:f>
        <x:v>3</x:v>
      </x:c>
      <x:c r="F12" s="17" t="n">
        <x:f>SUMIFS('Tasks'!$O$7:$O$246,'Tasks'!$C$7:$C$246,$A12,'Tasks'!$K$7:$K$246,$D12,'Tasks'!$F$7:$F$246,$B12)</x:f>
        <x:v>1234814</x:v>
      </x:c>
      <x:c r="G12" s="17" t="n">
        <x:f>SUMIFS('Tasks'!$P$7:$P$246,'Tasks'!$C$7:$C$246,$A12,'Tasks'!$K$7:$K$246,$D12,'Tasks'!$F$7:$F$246,$B12)</x:f>
        <x:v>296892</x:v>
      </x:c>
      <x:c r="H12" s="17" t="n">
        <x:f>SUMIFS('Tasks'!$Q$7:$Q$246,'Tasks'!$C$7:$C$246,$A12,'Tasks'!$K$7:$K$246,$D12,'Tasks'!$F$7:$F$246,$B12)</x:f>
        <x:v>1531706</x:v>
      </x:c>
      <x:c r="I12" s="22" t="n">
        <x:f>SUMIFS('Tasks'!$S$7:$S$246,'Tasks'!$C$7:$C$246,$A12,'Tasks'!$K$7:$K$246,$D12,'Tasks'!$F$7:$F$246,$B12)</x:f>
        <x:v>15.818570000000001</x:v>
      </x:c>
      <x:c r="J12" s="22" t="n">
        <x:f>SUMIFS('Tasks'!$T$7:$T$246,'Tasks'!$C$7:$C$246,$A12,'Tasks'!$K$7:$K$246,$D12,'Tasks'!$F$7:$F$246,$B12)</x:f>
        <x:v>15.71832</x:v>
      </x:c>
      <x:c r="K12" s="22" t="n">
        <x:f>SUMIFS('Tasks'!$U$7:$U$246,'Tasks'!$C$7:$C$246,$A12,'Tasks'!$K$7:$K$246,$D12,'Tasks'!$F$7:$F$246,$B12)</x:f>
        <x:v>31.53689</x:v>
      </x:c>
      <x:c r="L12" s="17" t="n">
        <x:f>SUMIFS('Tasks'!$R$7:$R$246,'Tasks'!$C$7:$C$246,$A12,'Tasks'!$K$7:$K$246,$D12,'Tasks'!$F$7:$F$246,$B12)</x:f>
        <x:v>33</x:v>
      </x:c>
      <x:c r="M12" s="22" t="n">
        <x:f>IF(L12=0,"N/A",K12/L12)</x:f>
        <x:v>0.9556633333333333</x:v>
      </x:c>
      <x:c r="N12" s="19" t="n">
        <x:f>SUMIFS('Tasks'!$G$7:$G$246,'Tasks'!$C$7:$C$246,$A12,'Tasks'!$K$7:$K$246,$D12,'Tasks'!$F$7:$F$246,$B12)</x:f>
        <x:v>13.75</x:v>
      </x:c>
      <x:c r="O12" s="19" t="n">
        <x:f>SUMIFS('Tasks'!$H$7:$H$246,'Tasks'!$C$7:$C$246,$A12,'Tasks'!$K$7:$K$246,$D12,'Tasks'!$F$7:$F$246,$B12)</x:f>
        <x:v>9.31</x:v>
      </x:c>
      <x:c r="P12" s="19" t="n">
        <x:f>SUMIFS('Tasks'!$Y$7:$Y$246,'Tasks'!$C$7:$C$246,$A12,'Tasks'!$K$7:$K$246,$D12,'Tasks'!$F$7:$F$246,$B12)</x:f>
        <x:v>4.44</x:v>
      </x:c>
      <x:c r="Q12" s="22" t="n">
        <x:f>SUMIFS('Tasks'!$Z$7:$Z$246,'Tasks'!$C$7:$C$246,$A12,'Tasks'!$K$7:$K$246,$D12,'Tasks'!$F$7:$F$246,$B12)</x:f>
        <x:v>222</x:v>
      </x:c>
      <x:c r="R12" s="22" t="n">
        <x:f>SUMIFS('Tasks'!$AA$7:$AA$246,'Tasks'!$C$7:$C$246,$A12,'Tasks'!$K$7:$K$246,$D12,'Tasks'!$F$7:$F$246,$B12)</x:f>
        <x:v>190.46311000000003</x:v>
      </x:c>
      <x:c r="S12" s="31" t="n">
        <x:f>IF(K12=0,"N/A",R12/K12)</x:f>
        <x:v>6.039375157157222</x:v>
      </x:c>
      <x:c r="T12" s="19" t="n">
        <x:f>SUMIFS('Tasks'!$I$7:$I$246,'Tasks'!$C$7:$C$246,$A12,'Tasks'!$K$7:$K$246,$D12,'Tasks'!$F$7:$F$246,$B12)</x:f>
        <x:v>0.56</x:v>
      </x:c>
      <x:c r="U12" s="31" t="n">
        <x:f>IF(O12=0,"N/A",T12/O12)</x:f>
        <x:v>0.06015037593984963</x:v>
      </x:c>
      <x:c r="V12" s="17" t="n">
        <x:f>SUMIFS('Tasks'!$X$7:$X$246,'Tasks'!$C$7:$C$246,$A12,'Tasks'!$K$7:$K$246,$D12,'Tasks'!$F$7:$F$246,$B12)</x:f>
        <x:v>4</x:v>
      </x:c>
      <x:c r="W12" s="31" t="n">
        <x:f>IF(L12=0,"N/A",V12/L12)</x:f>
        <x:v>0.12121212121212122</x:v>
      </x:c>
      <x:c r="X12" s="17" t="n">
        <x:f>COUNTIFS('Tasks'!$C$7:$C$246,$A12,'Tasks'!$K$7:$K$246,$D12,'Tasks'!$F$7:$F$246,$B12,'Tasks'!$L$7:$L$246,"Yes")</x:f>
        <x:v>3</x:v>
      </x:c>
      <x:c r="Y12" s="17" t="n">
        <x:f>COUNTIFS('Tasks'!$C$7:$C$246,$A12,'Tasks'!$K$7:$K$246,$D12,'Tasks'!$F$7:$F$246,$B12,'Tasks'!$K$7:$K$246,"Yes")</x:f>
        <x:v>0</x:v>
      </x:c>
      <x:c r="Z12" s="17" t="n">
        <x:f>COUNTIFS('Tasks'!$C$7:$C$246,$A12,'Tasks'!$K$7:$K$246,$D12,'Tasks'!$F$7:$F$246,$B12,'Tasks'!$AA$7:$AA$246,"&gt;0")</x:f>
        <x:v>2</x:v>
      </x:c>
      <x:c r="AA12" s="17" t="n">
        <x:f>COUNTIFS('Tasks'!$C$7:$C$246,$A12,'Tasks'!$K$7:$K$246,$D12,'Tasks'!$F$7:$F$246,$B12,'Tasks'!$AA$7:$AA$246,"&lt;0")</x:f>
        <x:v>1</x:v>
      </x:c>
      <x:c r="AB12" s="19" t="n">
        <x:f>IF(E12=0,"N/A",V12/E12)</x:f>
        <x:v>1.3333333333333333</x:v>
      </x:c>
      <x:c r="AC12" s="22" t="n">
        <x:f>IF(E12=0,"N/A",K12/E12)</x:f>
        <x:v>10.512296666666666</x:v>
      </x:c>
      <x:c r="AD12" s="19" t="n">
        <x:f>IF(E12=0,"N/A",P12/E12)</x:f>
        <x:v>1.4800000000000002</x:v>
      </x:c>
    </x:row>
    <x:row r="13" ht="23" customHeight="1">
      <x:c r="A13" s="17" t="str">
        <x:v>C001</x:v>
      </x:c>
      <x:c r="B13" s="17" t="str">
        <x:v>Analyze campaign results</x:v>
      </x:c>
      <x:c r="C13" s="17" t="str">
        <x:v>brief_changed</x:v>
      </x:c>
      <x:c r="D13" s="17" t="str">
        <x:v>Yes</x:v>
      </x:c>
      <x:c r="E13" s="17" t="n">
        <x:f>COUNTIFS('Tasks'!$C$7:$C$246,$A13,'Tasks'!$K$7:$K$246,$D13,'Tasks'!$F$7:$F$246,$B13)</x:f>
        <x:v>2</x:v>
      </x:c>
      <x:c r="F13" s="17" t="n">
        <x:f>SUMIFS('Tasks'!$O$7:$O$246,'Tasks'!$C$7:$C$246,$A13,'Tasks'!$K$7:$K$246,$D13,'Tasks'!$F$7:$F$246,$B13)</x:f>
        <x:v>455669</x:v>
      </x:c>
      <x:c r="G13" s="17" t="n">
        <x:f>SUMIFS('Tasks'!$P$7:$P$246,'Tasks'!$C$7:$C$246,$A13,'Tasks'!$K$7:$K$246,$D13,'Tasks'!$F$7:$F$246,$B13)</x:f>
        <x:v>179911</x:v>
      </x:c>
      <x:c r="H13" s="17" t="n">
        <x:f>SUMIFS('Tasks'!$Q$7:$Q$246,'Tasks'!$C$7:$C$246,$A13,'Tasks'!$K$7:$K$246,$D13,'Tasks'!$F$7:$F$246,$B13)</x:f>
        <x:v>635580</x:v>
      </x:c>
      <x:c r="I13" s="22" t="n">
        <x:f>SUMIFS('Tasks'!$S$7:$S$246,'Tasks'!$C$7:$C$246,$A13,'Tasks'!$K$7:$K$246,$D13,'Tasks'!$F$7:$F$246,$B13)</x:f>
        <x:v>10.155199999999999</x:v>
      </x:c>
      <x:c r="J13" s="22" t="n">
        <x:f>SUMIFS('Tasks'!$T$7:$T$246,'Tasks'!$C$7:$C$246,$A13,'Tasks'!$K$7:$K$246,$D13,'Tasks'!$F$7:$F$246,$B13)</x:f>
        <x:v>12.871019999999998</x:v>
      </x:c>
      <x:c r="K13" s="22" t="n">
        <x:f>SUMIFS('Tasks'!$U$7:$U$246,'Tasks'!$C$7:$C$246,$A13,'Tasks'!$K$7:$K$246,$D13,'Tasks'!$F$7:$F$246,$B13)</x:f>
        <x:v>23.02622</x:v>
      </x:c>
      <x:c r="L13" s="17" t="n">
        <x:f>SUMIFS('Tasks'!$R$7:$R$246,'Tasks'!$C$7:$C$246,$A13,'Tasks'!$K$7:$K$246,$D13,'Tasks'!$F$7:$F$246,$B13)</x:f>
        <x:v>20</x:v>
      </x:c>
      <x:c r="M13" s="22" t="n">
        <x:f>IF(L13=0,"N/A",K13/L13)</x:f>
        <x:v>1.151311</x:v>
      </x:c>
      <x:c r="N13" s="19" t="n">
        <x:f>SUMIFS('Tasks'!$G$7:$G$246,'Tasks'!$C$7:$C$246,$A13,'Tasks'!$K$7:$K$246,$D13,'Tasks'!$F$7:$F$246,$B13)</x:f>
        <x:v>6.79</x:v>
      </x:c>
      <x:c r="O13" s="19" t="n">
        <x:f>SUMIFS('Tasks'!$H$7:$H$246,'Tasks'!$C$7:$C$246,$A13,'Tasks'!$K$7:$K$246,$D13,'Tasks'!$F$7:$F$246,$B13)</x:f>
        <x:v>3.69</x:v>
      </x:c>
      <x:c r="P13" s="19" t="n">
        <x:f>SUMIFS('Tasks'!$Y$7:$Y$246,'Tasks'!$C$7:$C$246,$A13,'Tasks'!$K$7:$K$246,$D13,'Tasks'!$F$7:$F$246,$B13)</x:f>
        <x:v>3.1</x:v>
      </x:c>
      <x:c r="Q13" s="22" t="n">
        <x:f>SUMIFS('Tasks'!$Z$7:$Z$246,'Tasks'!$C$7:$C$246,$A13,'Tasks'!$K$7:$K$246,$D13,'Tasks'!$F$7:$F$246,$B13)</x:f>
        <x:v>155</x:v>
      </x:c>
      <x:c r="R13" s="22" t="n">
        <x:f>SUMIFS('Tasks'!$AA$7:$AA$246,'Tasks'!$C$7:$C$246,$A13,'Tasks'!$K$7:$K$246,$D13,'Tasks'!$F$7:$F$246,$B13)</x:f>
        <x:v>131.97378</x:v>
      </x:c>
      <x:c r="S13" s="31" t="n">
        <x:f>IF(K13=0,"N/A",R13/K13)</x:f>
        <x:v>5.731456574287921</x:v>
      </x:c>
      <x:c r="T13" s="19" t="n">
        <x:f>SUMIFS('Tasks'!$I$7:$I$246,'Tasks'!$C$7:$C$246,$A13,'Tasks'!$K$7:$K$246,$D13,'Tasks'!$F$7:$F$246,$B13)</x:f>
        <x:v>0.5</x:v>
      </x:c>
      <x:c r="U13" s="31" t="n">
        <x:f>IF(O13=0,"N/A",T13/O13)</x:f>
        <x:v>0.13550135501355015</x:v>
      </x:c>
      <x:c r="V13" s="17" t="n">
        <x:f>SUMIFS('Tasks'!$X$7:$X$246,'Tasks'!$C$7:$C$246,$A13,'Tasks'!$K$7:$K$246,$D13,'Tasks'!$F$7:$F$246,$B13)</x:f>
        <x:v>2</x:v>
      </x:c>
      <x:c r="W13" s="31" t="n">
        <x:f>IF(L13=0,"N/A",V13/L13)</x:f>
        <x:v>0.1</x:v>
      </x:c>
      <x:c r="X13" s="17" t="n">
        <x:f>COUNTIFS('Tasks'!$C$7:$C$246,$A13,'Tasks'!$K$7:$K$246,$D13,'Tasks'!$F$7:$F$246,$B13,'Tasks'!$L$7:$L$246,"Yes")</x:f>
        <x:v>2</x:v>
      </x:c>
      <x:c r="Y13" s="17" t="n">
        <x:f>COUNTIFS('Tasks'!$C$7:$C$246,$A13,'Tasks'!$K$7:$K$246,$D13,'Tasks'!$F$7:$F$246,$B13,'Tasks'!$K$7:$K$246,"Yes")</x:f>
        <x:v>2</x:v>
      </x:c>
      <x:c r="Z13" s="17" t="n">
        <x:f>COUNTIFS('Tasks'!$C$7:$C$246,$A13,'Tasks'!$K$7:$K$246,$D13,'Tasks'!$F$7:$F$246,$B13,'Tasks'!$AA$7:$AA$246,"&gt;0")</x:f>
        <x:v>2</x:v>
      </x:c>
      <x:c r="AA13" s="17" t="n">
        <x:f>COUNTIFS('Tasks'!$C$7:$C$246,$A13,'Tasks'!$K$7:$K$246,$D13,'Tasks'!$F$7:$F$246,$B13,'Tasks'!$AA$7:$AA$246,"&lt;0")</x:f>
        <x:v>0</x:v>
      </x:c>
      <x:c r="AB13" s="19" t="n">
        <x:f>IF(E13=0,"N/A",V13/E13)</x:f>
        <x:v>1</x:v>
      </x:c>
      <x:c r="AC13" s="22" t="n">
        <x:f>IF(E13=0,"N/A",K13/E13)</x:f>
        <x:v>11.51311</x:v>
      </x:c>
      <x:c r="AD13" s="19" t="n">
        <x:f>IF(E13=0,"N/A",P13/E13)</x:f>
        <x:v>1.55</x:v>
      </x:c>
    </x:row>
    <x:row r="14" ht="23" customHeight="1">
      <x:c r="A14" s="17" t="str">
        <x:v>C001</x:v>
      </x:c>
      <x:c r="B14" s="17" t="str">
        <x:v>Build campaign plan</x:v>
      </x:c>
      <x:c r="C14" s="17" t="str">
        <x:v>prompt_template_used</x:v>
      </x:c>
      <x:c r="D14" s="17" t="str">
        <x:v>No</x:v>
      </x:c>
      <x:c r="E14" s="17" t="n">
        <x:f>COUNTIFS('Tasks'!$C$7:$C$246,$A14,'Tasks'!$L$7:$L$246,$D14,'Tasks'!$F$7:$F$246,$B14)</x:f>
        <x:v>3</x:v>
      </x:c>
      <x:c r="F14" s="17" t="n">
        <x:f>SUMIFS('Tasks'!$O$7:$O$246,'Tasks'!$C$7:$C$246,$A14,'Tasks'!$L$7:$L$246,$D14,'Tasks'!$F$7:$F$246,$B14)</x:f>
        <x:v>1404718</x:v>
      </x:c>
      <x:c r="G14" s="17" t="n">
        <x:f>SUMIFS('Tasks'!$P$7:$P$246,'Tasks'!$C$7:$C$246,$A14,'Tasks'!$L$7:$L$246,$D14,'Tasks'!$F$7:$F$246,$B14)</x:f>
        <x:v>295103</x:v>
      </x:c>
      <x:c r="H14" s="17" t="n">
        <x:f>SUMIFS('Tasks'!$Q$7:$Q$246,'Tasks'!$C$7:$C$246,$A14,'Tasks'!$L$7:$L$246,$D14,'Tasks'!$F$7:$F$246,$B14)</x:f>
        <x:v>1699821</x:v>
      </x:c>
      <x:c r="I14" s="22" t="n">
        <x:f>SUMIFS('Tasks'!$S$7:$S$246,'Tasks'!$C$7:$C$246,$A14,'Tasks'!$L$7:$L$246,$D14,'Tasks'!$F$7:$F$246,$B14)</x:f>
        <x:v>14.04718</x:v>
      </x:c>
      <x:c r="J14" s="22" t="n">
        <x:f>SUMIFS('Tasks'!$T$7:$T$246,'Tasks'!$C$7:$C$246,$A14,'Tasks'!$L$7:$L$246,$D14,'Tasks'!$F$7:$F$246,$B14)</x:f>
        <x:v>8.853090000000002</x:v>
      </x:c>
      <x:c r="K14" s="22" t="n">
        <x:f>SUMIFS('Tasks'!$U$7:$U$246,'Tasks'!$C$7:$C$246,$A14,'Tasks'!$L$7:$L$246,$D14,'Tasks'!$F$7:$F$246,$B14)</x:f>
        <x:v>22.90027</x:v>
      </x:c>
      <x:c r="L14" s="17" t="n">
        <x:f>SUMIFS('Tasks'!$R$7:$R$246,'Tasks'!$C$7:$C$246,$A14,'Tasks'!$L$7:$L$246,$D14,'Tasks'!$F$7:$F$246,$B14)</x:f>
        <x:v>34</x:v>
      </x:c>
      <x:c r="M14" s="22" t="n">
        <x:f>IF(L14=0,"N/A",K14/L14)</x:f>
        <x:v>0.6735373529411764</x:v>
      </x:c>
      <x:c r="N14" s="19" t="n">
        <x:f>SUMIFS('Tasks'!$G$7:$G$246,'Tasks'!$C$7:$C$246,$A14,'Tasks'!$L$7:$L$246,$D14,'Tasks'!$F$7:$F$246,$B14)</x:f>
        <x:v>11.07</x:v>
      </x:c>
      <x:c r="O14" s="19" t="n">
        <x:f>SUMIFS('Tasks'!$H$7:$H$246,'Tasks'!$C$7:$C$246,$A14,'Tasks'!$L$7:$L$246,$D14,'Tasks'!$F$7:$F$246,$B14)</x:f>
        <x:v>4.57</x:v>
      </x:c>
      <x:c r="P14" s="19" t="n">
        <x:f>SUMIFS('Tasks'!$Y$7:$Y$246,'Tasks'!$C$7:$C$246,$A14,'Tasks'!$L$7:$L$246,$D14,'Tasks'!$F$7:$F$246,$B14)</x:f>
        <x:v>6.5</x:v>
      </x:c>
      <x:c r="Q14" s="22" t="n">
        <x:f>SUMIFS('Tasks'!$Z$7:$Z$246,'Tasks'!$C$7:$C$246,$A14,'Tasks'!$L$7:$L$246,$D14,'Tasks'!$F$7:$F$246,$B14)</x:f>
        <x:v>325.00000000000006</x:v>
      </x:c>
      <x:c r="R14" s="22" t="n">
        <x:f>SUMIFS('Tasks'!$AA$7:$AA$246,'Tasks'!$C$7:$C$246,$A14,'Tasks'!$L$7:$L$246,$D14,'Tasks'!$F$7:$F$246,$B14)</x:f>
        <x:v>302.09973</x:v>
      </x:c>
      <x:c r="S14" s="31" t="n">
        <x:f>IF(K14=0,"N/A",R14/K14)</x:f>
        <x:v>13.191972409058934</x:v>
      </x:c>
      <x:c r="T14" s="19" t="n">
        <x:f>SUMIFS('Tasks'!$I$7:$I$246,'Tasks'!$C$7:$C$246,$A14,'Tasks'!$L$7:$L$246,$D14,'Tasks'!$F$7:$F$246,$B14)</x:f>
        <x:v>0.51</x:v>
      </x:c>
      <x:c r="U14" s="31" t="n">
        <x:f>IF(O14=0,"N/A",T14/O14)</x:f>
        <x:v>0.11159737417943107</x:v>
      </x:c>
      <x:c r="V14" s="17" t="n">
        <x:f>SUMIFS('Tasks'!$X$7:$X$246,'Tasks'!$C$7:$C$246,$A14,'Tasks'!$L$7:$L$246,$D14,'Tasks'!$F$7:$F$246,$B14)</x:f>
        <x:v>4</x:v>
      </x:c>
      <x:c r="W14" s="31" t="n">
        <x:f>IF(L14=0,"N/A",V14/L14)</x:f>
        <x:v>0.11764705882352941</x:v>
      </x:c>
      <x:c r="X14" s="17" t="n">
        <x:f>COUNTIFS('Tasks'!$C$7:$C$246,$A14,'Tasks'!$L$7:$L$246,$D14,'Tasks'!$F$7:$F$246,$B14,'Tasks'!$L$7:$L$246,"Yes")</x:f>
        <x:v>0</x:v>
      </x:c>
      <x:c r="Y14" s="17" t="n">
        <x:f>COUNTIFS('Tasks'!$C$7:$C$246,$A14,'Tasks'!$L$7:$L$246,$D14,'Tasks'!$F$7:$F$246,$B14,'Tasks'!$K$7:$K$246,"Yes")</x:f>
        <x:v>2</x:v>
      </x:c>
      <x:c r="Z14" s="17" t="n">
        <x:f>COUNTIFS('Tasks'!$C$7:$C$246,$A14,'Tasks'!$L$7:$L$246,$D14,'Tasks'!$F$7:$F$246,$B14,'Tasks'!$AA$7:$AA$246,"&gt;0")</x:f>
        <x:v>3</x:v>
      </x:c>
      <x:c r="AA14" s="17" t="n">
        <x:f>COUNTIFS('Tasks'!$C$7:$C$246,$A14,'Tasks'!$L$7:$L$246,$D14,'Tasks'!$F$7:$F$246,$B14,'Tasks'!$AA$7:$AA$246,"&lt;0")</x:f>
        <x:v>0</x:v>
      </x:c>
      <x:c r="AB14" s="19" t="n">
        <x:f>IF(E14=0,"N/A",V14/E14)</x:f>
        <x:v>1.3333333333333333</x:v>
      </x:c>
      <x:c r="AC14" s="22" t="n">
        <x:f>IF(E14=0,"N/A",K14/E14)</x:f>
        <x:v>7.633423333333333</x:v>
      </x:c>
      <x:c r="AD14" s="19" t="n">
        <x:f>IF(E14=0,"N/A",P14/E14)</x:f>
        <x:v>2.1666666666666665</x:v>
      </x:c>
    </x:row>
    <x:row r="15" ht="23" customHeight="1">
      <x:c r="A15" s="17" t="str">
        <x:v>C001</x:v>
      </x:c>
      <x:c r="B15" s="17" t="str">
        <x:v>Build campaign plan</x:v>
      </x:c>
      <x:c r="C15" s="17" t="str">
        <x:v>prompt_template_used</x:v>
      </x:c>
      <x:c r="D15" s="17" t="str">
        <x:v>Yes</x:v>
      </x:c>
      <x:c r="E15" s="17" t="n">
        <x:f>COUNTIFS('Tasks'!$C$7:$C$246,$A15,'Tasks'!$L$7:$L$246,$D15,'Tasks'!$F$7:$F$246,$B15)</x:f>
        <x:v>1</x:v>
      </x:c>
      <x:c r="F15" s="17" t="n">
        <x:f>SUMIFS('Tasks'!$O$7:$O$246,'Tasks'!$C$7:$C$246,$A15,'Tasks'!$L$7:$L$246,$D15,'Tasks'!$F$7:$F$246,$B15)</x:f>
        <x:v>536072</x:v>
      </x:c>
      <x:c r="G15" s="17" t="n">
        <x:f>SUMIFS('Tasks'!$P$7:$P$246,'Tasks'!$C$7:$C$246,$A15,'Tasks'!$L$7:$L$246,$D15,'Tasks'!$F$7:$F$246,$B15)</x:f>
        <x:v>82842</x:v>
      </x:c>
      <x:c r="H15" s="17" t="n">
        <x:f>SUMIFS('Tasks'!$Q$7:$Q$246,'Tasks'!$C$7:$C$246,$A15,'Tasks'!$L$7:$L$246,$D15,'Tasks'!$F$7:$F$246,$B15)</x:f>
        <x:v>618914</x:v>
      </x:c>
      <x:c r="I15" s="22" t="n">
        <x:f>SUMIFS('Tasks'!$S$7:$S$246,'Tasks'!$C$7:$C$246,$A15,'Tasks'!$L$7:$L$246,$D15,'Tasks'!$F$7:$F$246,$B15)</x:f>
        <x:v>5.36072</x:v>
      </x:c>
      <x:c r="J15" s="22" t="n">
        <x:f>SUMIFS('Tasks'!$T$7:$T$246,'Tasks'!$C$7:$C$246,$A15,'Tasks'!$L$7:$L$246,$D15,'Tasks'!$F$7:$F$246,$B15)</x:f>
        <x:v>2.4852600000000002</x:v>
      </x:c>
      <x:c r="K15" s="22" t="n">
        <x:f>SUMIFS('Tasks'!$U$7:$U$246,'Tasks'!$C$7:$C$246,$A15,'Tasks'!$L$7:$L$246,$D15,'Tasks'!$F$7:$F$246,$B15)</x:f>
        <x:v>7.845980000000001</x:v>
      </x:c>
      <x:c r="L15" s="17" t="n">
        <x:f>SUMIFS('Tasks'!$R$7:$R$246,'Tasks'!$C$7:$C$246,$A15,'Tasks'!$L$7:$L$246,$D15,'Tasks'!$F$7:$F$246,$B15)</x:f>
        <x:v>10</x:v>
      </x:c>
      <x:c r="M15" s="22" t="n">
        <x:f>IF(L15=0,"N/A",K15/L15)</x:f>
        <x:v>0.7845980000000001</x:v>
      </x:c>
      <x:c r="N15" s="19" t="n">
        <x:f>SUMIFS('Tasks'!$G$7:$G$246,'Tasks'!$C$7:$C$246,$A15,'Tasks'!$L$7:$L$246,$D15,'Tasks'!$F$7:$F$246,$B15)</x:f>
        <x:v>4.96</x:v>
      </x:c>
      <x:c r="O15" s="19" t="n">
        <x:f>SUMIFS('Tasks'!$H$7:$H$246,'Tasks'!$C$7:$C$246,$A15,'Tasks'!$L$7:$L$246,$D15,'Tasks'!$F$7:$F$246,$B15)</x:f>
        <x:v>2.3</x:v>
      </x:c>
      <x:c r="P15" s="19" t="n">
        <x:f>SUMIFS('Tasks'!$Y$7:$Y$246,'Tasks'!$C$7:$C$246,$A15,'Tasks'!$L$7:$L$246,$D15,'Tasks'!$F$7:$F$246,$B15)</x:f>
        <x:v>2.66</x:v>
      </x:c>
      <x:c r="Q15" s="22" t="n">
        <x:f>SUMIFS('Tasks'!$Z$7:$Z$246,'Tasks'!$C$7:$C$246,$A15,'Tasks'!$L$7:$L$246,$D15,'Tasks'!$F$7:$F$246,$B15)</x:f>
        <x:v>133</x:v>
      </x:c>
      <x:c r="R15" s="22" t="n">
        <x:f>SUMIFS('Tasks'!$AA$7:$AA$246,'Tasks'!$C$7:$C$246,$A15,'Tasks'!$L$7:$L$246,$D15,'Tasks'!$F$7:$F$246,$B15)</x:f>
        <x:v>125.15402</x:v>
      </x:c>
      <x:c r="S15" s="31" t="n">
        <x:f>IF(K15=0,"N/A",R15/K15)</x:f>
        <x:v>15.951355981024676</x:v>
      </x:c>
      <x:c r="T15" s="19" t="n">
        <x:f>SUMIFS('Tasks'!$I$7:$I$246,'Tasks'!$C$7:$C$246,$A15,'Tasks'!$L$7:$L$246,$D15,'Tasks'!$F$7:$F$246,$B15)</x:f>
        <x:v>0.03</x:v>
      </x:c>
      <x:c r="U15" s="31" t="n">
        <x:f>IF(O15=0,"N/A",T15/O15)</x:f>
        <x:v>0.013043478260869566</x:v>
      </x:c>
      <x:c r="V15" s="17" t="n">
        <x:f>SUMIFS('Tasks'!$X$7:$X$246,'Tasks'!$C$7:$C$246,$A15,'Tasks'!$L$7:$L$246,$D15,'Tasks'!$F$7:$F$246,$B15)</x:f>
        <x:v>1</x:v>
      </x:c>
      <x:c r="W15" s="31" t="n">
        <x:f>IF(L15=0,"N/A",V15/L15)</x:f>
        <x:v>0.1</x:v>
      </x:c>
      <x:c r="X15" s="17" t="n">
        <x:f>COUNTIFS('Tasks'!$C$7:$C$246,$A15,'Tasks'!$L$7:$L$246,$D15,'Tasks'!$F$7:$F$246,$B15,'Tasks'!$L$7:$L$246,"Yes")</x:f>
        <x:v>1</x:v>
      </x:c>
      <x:c r="Y15" s="17" t="n">
        <x:f>COUNTIFS('Tasks'!$C$7:$C$246,$A15,'Tasks'!$L$7:$L$246,$D15,'Tasks'!$F$7:$F$246,$B15,'Tasks'!$K$7:$K$246,"Yes")</x:f>
        <x:v>0</x:v>
      </x:c>
      <x:c r="Z15" s="17" t="n">
        <x:f>COUNTIFS('Tasks'!$C$7:$C$246,$A15,'Tasks'!$L$7:$L$246,$D15,'Tasks'!$F$7:$F$246,$B15,'Tasks'!$AA$7:$AA$246,"&gt;0")</x:f>
        <x:v>1</x:v>
      </x:c>
      <x:c r="AA15" s="17" t="n">
        <x:f>COUNTIFS('Tasks'!$C$7:$C$246,$A15,'Tasks'!$L$7:$L$246,$D15,'Tasks'!$F$7:$F$246,$B15,'Tasks'!$AA$7:$AA$246,"&lt;0")</x:f>
        <x:v>0</x:v>
      </x:c>
      <x:c r="AB15" s="19" t="n">
        <x:f>IF(E15=0,"N/A",V15/E15)</x:f>
        <x:v>1</x:v>
      </x:c>
      <x:c r="AC15" s="22" t="n">
        <x:f>IF(E15=0,"N/A",K15/E15)</x:f>
        <x:v>7.845980000000001</x:v>
      </x:c>
      <x:c r="AD15" s="19" t="n">
        <x:f>IF(E15=0,"N/A",P15/E15)</x:f>
        <x:v>2.66</x:v>
      </x:c>
    </x:row>
    <x:row r="16" ht="23" customHeight="1">
      <x:c r="A16" s="17" t="str">
        <x:v>C001</x:v>
      </x:c>
      <x:c r="B16" s="17" t="str">
        <x:v>Build campaign plan</x:v>
      </x:c>
      <x:c r="C16" s="17" t="str">
        <x:v>brief_changed</x:v>
      </x:c>
      <x:c r="D16" s="17" t="str">
        <x:v>No</x:v>
      </x:c>
      <x:c r="E16" s="17" t="n">
        <x:f>COUNTIFS('Tasks'!$C$7:$C$246,$A16,'Tasks'!$K$7:$K$246,$D16,'Tasks'!$F$7:$F$246,$B16)</x:f>
        <x:v>2</x:v>
      </x:c>
      <x:c r="F16" s="17" t="n">
        <x:f>SUMIFS('Tasks'!$O$7:$O$246,'Tasks'!$C$7:$C$246,$A16,'Tasks'!$K$7:$K$246,$D16,'Tasks'!$F$7:$F$246,$B16)</x:f>
        <x:v>1195444</x:v>
      </x:c>
      <x:c r="G16" s="17" t="n">
        <x:f>SUMIFS('Tasks'!$P$7:$P$246,'Tasks'!$C$7:$C$246,$A16,'Tasks'!$K$7:$K$246,$D16,'Tasks'!$F$7:$F$246,$B16)</x:f>
        <x:v>203630</x:v>
      </x:c>
      <x:c r="H16" s="17" t="n">
        <x:f>SUMIFS('Tasks'!$Q$7:$Q$246,'Tasks'!$C$7:$C$246,$A16,'Tasks'!$K$7:$K$246,$D16,'Tasks'!$F$7:$F$246,$B16)</x:f>
        <x:v>1399074</x:v>
      </x:c>
      <x:c r="I16" s="22" t="n">
        <x:f>SUMIFS('Tasks'!$S$7:$S$246,'Tasks'!$C$7:$C$246,$A16,'Tasks'!$K$7:$K$246,$D16,'Tasks'!$F$7:$F$246,$B16)</x:f>
        <x:v>11.954439999999998</x:v>
      </x:c>
      <x:c r="J16" s="22" t="n">
        <x:f>SUMIFS('Tasks'!$T$7:$T$246,'Tasks'!$C$7:$C$246,$A16,'Tasks'!$K$7:$K$246,$D16,'Tasks'!$F$7:$F$246,$B16)</x:f>
        <x:v>6.1089</x:v>
      </x:c>
      <x:c r="K16" s="22" t="n">
        <x:f>SUMIFS('Tasks'!$U$7:$U$246,'Tasks'!$C$7:$C$246,$A16,'Tasks'!$K$7:$K$246,$D16,'Tasks'!$F$7:$F$246,$B16)</x:f>
        <x:v>18.06334</x:v>
      </x:c>
      <x:c r="L16" s="17" t="n">
        <x:f>SUMIFS('Tasks'!$R$7:$R$246,'Tasks'!$C$7:$C$246,$A16,'Tasks'!$K$7:$K$246,$D16,'Tasks'!$F$7:$F$246,$B16)</x:f>
        <x:v>22</x:v>
      </x:c>
      <x:c r="M16" s="22" t="n">
        <x:f>IF(L16=0,"N/A",K16/L16)</x:f>
        <x:v>0.8210609090909091</x:v>
      </x:c>
      <x:c r="N16" s="19" t="n">
        <x:f>SUMIFS('Tasks'!$G$7:$G$246,'Tasks'!$C$7:$C$246,$A16,'Tasks'!$K$7:$K$246,$D16,'Tasks'!$F$7:$F$246,$B16)</x:f>
        <x:v>8.18</x:v>
      </x:c>
      <x:c r="O16" s="19" t="n">
        <x:f>SUMIFS('Tasks'!$H$7:$H$246,'Tasks'!$C$7:$C$246,$A16,'Tasks'!$K$7:$K$246,$D16,'Tasks'!$F$7:$F$246,$B16)</x:f>
        <x:v>3.87</x:v>
      </x:c>
      <x:c r="P16" s="19" t="n">
        <x:f>SUMIFS('Tasks'!$Y$7:$Y$246,'Tasks'!$C$7:$C$246,$A16,'Tasks'!$K$7:$K$246,$D16,'Tasks'!$F$7:$F$246,$B16)</x:f>
        <x:v>4.3100000000000005</x:v>
      </x:c>
      <x:c r="Q16" s="22" t="n">
        <x:f>SUMIFS('Tasks'!$Z$7:$Z$246,'Tasks'!$C$7:$C$246,$A16,'Tasks'!$K$7:$K$246,$D16,'Tasks'!$F$7:$F$246,$B16)</x:f>
        <x:v>215.5</x:v>
      </x:c>
      <x:c r="R16" s="22" t="n">
        <x:f>SUMIFS('Tasks'!$AA$7:$AA$246,'Tasks'!$C$7:$C$246,$A16,'Tasks'!$K$7:$K$246,$D16,'Tasks'!$F$7:$F$246,$B16)</x:f>
        <x:v>197.43666000000002</x:v>
      </x:c>
      <x:c r="S16" s="31" t="n">
        <x:f>IF(K16=0,"N/A",R16/K16)</x:f>
        <x:v>10.930241029621323</x:v>
      </x:c>
      <x:c r="T16" s="19" t="n">
        <x:f>SUMIFS('Tasks'!$I$7:$I$246,'Tasks'!$C$7:$C$246,$A16,'Tasks'!$K$7:$K$246,$D16,'Tasks'!$F$7:$F$246,$B16)</x:f>
        <x:v>0.1</x:v>
      </x:c>
      <x:c r="U16" s="31" t="n">
        <x:f>IF(O16=0,"N/A",T16/O16)</x:f>
        <x:v>0.02583979328165375</x:v>
      </x:c>
      <x:c r="V16" s="17" t="n">
        <x:f>SUMIFS('Tasks'!$X$7:$X$246,'Tasks'!$C$7:$C$246,$A16,'Tasks'!$K$7:$K$246,$D16,'Tasks'!$F$7:$F$246,$B16)</x:f>
        <x:v>2</x:v>
      </x:c>
      <x:c r="W16" s="31" t="n">
        <x:f>IF(L16=0,"N/A",V16/L16)</x:f>
        <x:v>0.09090909090909091</x:v>
      </x:c>
      <x:c r="X16" s="17" t="n">
        <x:f>COUNTIFS('Tasks'!$C$7:$C$246,$A16,'Tasks'!$K$7:$K$246,$D16,'Tasks'!$F$7:$F$246,$B16,'Tasks'!$L$7:$L$246,"Yes")</x:f>
        <x:v>1</x:v>
      </x:c>
      <x:c r="Y16" s="17" t="n">
        <x:f>COUNTIFS('Tasks'!$C$7:$C$246,$A16,'Tasks'!$K$7:$K$246,$D16,'Tasks'!$F$7:$F$246,$B16,'Tasks'!$K$7:$K$246,"Yes")</x:f>
        <x:v>0</x:v>
      </x:c>
      <x:c r="Z16" s="17" t="n">
        <x:f>COUNTIFS('Tasks'!$C$7:$C$246,$A16,'Tasks'!$K$7:$K$246,$D16,'Tasks'!$F$7:$F$246,$B16,'Tasks'!$AA$7:$AA$246,"&gt;0")</x:f>
        <x:v>2</x:v>
      </x:c>
      <x:c r="AA16" s="17" t="n">
        <x:f>COUNTIFS('Tasks'!$C$7:$C$246,$A16,'Tasks'!$K$7:$K$246,$D16,'Tasks'!$F$7:$F$246,$B16,'Tasks'!$AA$7:$AA$246,"&lt;0")</x:f>
        <x:v>0</x:v>
      </x:c>
      <x:c r="AB16" s="19" t="n">
        <x:f>IF(E16=0,"N/A",V16/E16)</x:f>
        <x:v>1</x:v>
      </x:c>
      <x:c r="AC16" s="22" t="n">
        <x:f>IF(E16=0,"N/A",K16/E16)</x:f>
        <x:v>9.03167</x:v>
      </x:c>
      <x:c r="AD16" s="19" t="n">
        <x:f>IF(E16=0,"N/A",P16/E16)</x:f>
        <x:v>2.1550000000000002</x:v>
      </x:c>
    </x:row>
    <x:row r="17" ht="23" customHeight="1">
      <x:c r="A17" s="17" t="str">
        <x:v>C001</x:v>
      </x:c>
      <x:c r="B17" s="17" t="str">
        <x:v>Build campaign plan</x:v>
      </x:c>
      <x:c r="C17" s="17" t="str">
        <x:v>brief_changed</x:v>
      </x:c>
      <x:c r="D17" s="17" t="str">
        <x:v>Yes</x:v>
      </x:c>
      <x:c r="E17" s="17" t="n">
        <x:f>COUNTIFS('Tasks'!$C$7:$C$246,$A17,'Tasks'!$K$7:$K$246,$D17,'Tasks'!$F$7:$F$246,$B17)</x:f>
        <x:v>2</x:v>
      </x:c>
      <x:c r="F17" s="17" t="n">
        <x:f>SUMIFS('Tasks'!$O$7:$O$246,'Tasks'!$C$7:$C$246,$A17,'Tasks'!$K$7:$K$246,$D17,'Tasks'!$F$7:$F$246,$B17)</x:f>
        <x:v>745346</x:v>
      </x:c>
      <x:c r="G17" s="17" t="n">
        <x:f>SUMIFS('Tasks'!$P$7:$P$246,'Tasks'!$C$7:$C$246,$A17,'Tasks'!$K$7:$K$246,$D17,'Tasks'!$F$7:$F$246,$B17)</x:f>
        <x:v>174315</x:v>
      </x:c>
      <x:c r="H17" s="17" t="n">
        <x:f>SUMIFS('Tasks'!$Q$7:$Q$246,'Tasks'!$C$7:$C$246,$A17,'Tasks'!$K$7:$K$246,$D17,'Tasks'!$F$7:$F$246,$B17)</x:f>
        <x:v>919661</x:v>
      </x:c>
      <x:c r="I17" s="22" t="n">
        <x:f>SUMIFS('Tasks'!$S$7:$S$246,'Tasks'!$C$7:$C$246,$A17,'Tasks'!$K$7:$K$246,$D17,'Tasks'!$F$7:$F$246,$B17)</x:f>
        <x:v>7.453460000000001</x:v>
      </x:c>
      <x:c r="J17" s="22" t="n">
        <x:f>SUMIFS('Tasks'!$T$7:$T$246,'Tasks'!$C$7:$C$246,$A17,'Tasks'!$K$7:$K$246,$D17,'Tasks'!$F$7:$F$246,$B17)</x:f>
        <x:v>5.22945</x:v>
      </x:c>
      <x:c r="K17" s="22" t="n">
        <x:f>SUMIFS('Tasks'!$U$7:$U$246,'Tasks'!$C$7:$C$246,$A17,'Tasks'!$K$7:$K$246,$D17,'Tasks'!$F$7:$F$246,$B17)</x:f>
        <x:v>12.682910000000001</x:v>
      </x:c>
      <x:c r="L17" s="17" t="n">
        <x:f>SUMIFS('Tasks'!$R$7:$R$246,'Tasks'!$C$7:$C$246,$A17,'Tasks'!$K$7:$K$246,$D17,'Tasks'!$F$7:$F$246,$B17)</x:f>
        <x:v>22</x:v>
      </x:c>
      <x:c r="M17" s="22" t="n">
        <x:f>IF(L17=0,"N/A",K17/L17)</x:f>
        <x:v>0.5764959090909092</x:v>
      </x:c>
      <x:c r="N17" s="19" t="n">
        <x:f>SUMIFS('Tasks'!$G$7:$G$246,'Tasks'!$C$7:$C$246,$A17,'Tasks'!$K$7:$K$246,$D17,'Tasks'!$F$7:$F$246,$B17)</x:f>
        <x:v>7.8500000000000005</x:v>
      </x:c>
      <x:c r="O17" s="19" t="n">
        <x:f>SUMIFS('Tasks'!$H$7:$H$246,'Tasks'!$C$7:$C$246,$A17,'Tasks'!$K$7:$K$246,$D17,'Tasks'!$F$7:$F$246,$B17)</x:f>
        <x:v>3</x:v>
      </x:c>
      <x:c r="P17" s="19" t="n">
        <x:f>SUMIFS('Tasks'!$Y$7:$Y$246,'Tasks'!$C$7:$C$246,$A17,'Tasks'!$K$7:$K$246,$D17,'Tasks'!$F$7:$F$246,$B17)</x:f>
        <x:v>4.8500000000000005</x:v>
      </x:c>
      <x:c r="Q17" s="22" t="n">
        <x:f>SUMIFS('Tasks'!$Z$7:$Z$246,'Tasks'!$C$7:$C$246,$A17,'Tasks'!$K$7:$K$246,$D17,'Tasks'!$F$7:$F$246,$B17)</x:f>
        <x:v>242.50000000000006</x:v>
      </x:c>
      <x:c r="R17" s="22" t="n">
        <x:f>SUMIFS('Tasks'!$AA$7:$AA$246,'Tasks'!$C$7:$C$246,$A17,'Tasks'!$K$7:$K$246,$D17,'Tasks'!$F$7:$F$246,$B17)</x:f>
        <x:v>229.81709000000004</x:v>
      </x:c>
      <x:c r="S17" s="31" t="n">
        <x:f>IF(K17=0,"N/A",R17/K17)</x:f>
        <x:v>18.120217678750382</x:v>
      </x:c>
      <x:c r="T17" s="19" t="n">
        <x:f>SUMIFS('Tasks'!$I$7:$I$246,'Tasks'!$C$7:$C$246,$A17,'Tasks'!$K$7:$K$246,$D17,'Tasks'!$F$7:$F$246,$B17)</x:f>
        <x:v>0.44</x:v>
      </x:c>
      <x:c r="U17" s="31" t="n">
        <x:f>IF(O17=0,"N/A",T17/O17)</x:f>
        <x:v>0.14666666666666667</x:v>
      </x:c>
      <x:c r="V17" s="17" t="n">
        <x:f>SUMIFS('Tasks'!$X$7:$X$246,'Tasks'!$C$7:$C$246,$A17,'Tasks'!$K$7:$K$246,$D17,'Tasks'!$F$7:$F$246,$B17)</x:f>
        <x:v>3</x:v>
      </x:c>
      <x:c r="W17" s="31" t="n">
        <x:f>IF(L17=0,"N/A",V17/L17)</x:f>
        <x:v>0.13636363636363635</x:v>
      </x:c>
      <x:c r="X17" s="17" t="n">
        <x:f>COUNTIFS('Tasks'!$C$7:$C$246,$A17,'Tasks'!$K$7:$K$246,$D17,'Tasks'!$F$7:$F$246,$B17,'Tasks'!$L$7:$L$246,"Yes")</x:f>
        <x:v>0</x:v>
      </x:c>
      <x:c r="Y17" s="17" t="n">
        <x:f>COUNTIFS('Tasks'!$C$7:$C$246,$A17,'Tasks'!$K$7:$K$246,$D17,'Tasks'!$F$7:$F$246,$B17,'Tasks'!$K$7:$K$246,"Yes")</x:f>
        <x:v>2</x:v>
      </x:c>
      <x:c r="Z17" s="17" t="n">
        <x:f>COUNTIFS('Tasks'!$C$7:$C$246,$A17,'Tasks'!$K$7:$K$246,$D17,'Tasks'!$F$7:$F$246,$B17,'Tasks'!$AA$7:$AA$246,"&gt;0")</x:f>
        <x:v>2</x:v>
      </x:c>
      <x:c r="AA17" s="17" t="n">
        <x:f>COUNTIFS('Tasks'!$C$7:$C$246,$A17,'Tasks'!$K$7:$K$246,$D17,'Tasks'!$F$7:$F$246,$B17,'Tasks'!$AA$7:$AA$246,"&lt;0")</x:f>
        <x:v>0</x:v>
      </x:c>
      <x:c r="AB17" s="19" t="n">
        <x:f>IF(E17=0,"N/A",V17/E17)</x:f>
        <x:v>1.5</x:v>
      </x:c>
      <x:c r="AC17" s="22" t="n">
        <x:f>IF(E17=0,"N/A",K17/E17)</x:f>
        <x:v>6.341455000000001</x:v>
      </x:c>
      <x:c r="AD17" s="19" t="n">
        <x:f>IF(E17=0,"N/A",P17/E17)</x:f>
        <x:v>2.4250000000000003</x:v>
      </x:c>
    </x:row>
    <x:row r="18" ht="23" customHeight="1">
      <x:c r="A18" s="17" t="str">
        <x:v>C001</x:v>
      </x:c>
      <x:c r="B18" s="17" t="str">
        <x:v>Check measurement plan</x:v>
      </x:c>
      <x:c r="C18" s="17" t="str">
        <x:v>prompt_template_used</x:v>
      </x:c>
      <x:c r="D18" s="17" t="str">
        <x:v>Yes</x:v>
      </x:c>
      <x:c r="E18" s="17" t="n">
        <x:f>COUNTIFS('Tasks'!$C$7:$C$246,$A18,'Tasks'!$L$7:$L$246,$D18,'Tasks'!$F$7:$F$246,$B18)</x:f>
        <x:v>4</x:v>
      </x:c>
      <x:c r="F18" s="17" t="n">
        <x:f>SUMIFS('Tasks'!$O$7:$O$246,'Tasks'!$C$7:$C$246,$A18,'Tasks'!$L$7:$L$246,$D18,'Tasks'!$F$7:$F$246,$B18)</x:f>
        <x:v>1509287</x:v>
      </x:c>
      <x:c r="G18" s="17" t="n">
        <x:f>SUMIFS('Tasks'!$P$7:$P$246,'Tasks'!$C$7:$C$246,$A18,'Tasks'!$L$7:$L$246,$D18,'Tasks'!$F$7:$F$246,$B18)</x:f>
        <x:v>289333</x:v>
      </x:c>
      <x:c r="H18" s="17" t="n">
        <x:f>SUMIFS('Tasks'!$Q$7:$Q$246,'Tasks'!$C$7:$C$246,$A18,'Tasks'!$L$7:$L$246,$D18,'Tasks'!$F$7:$F$246,$B18)</x:f>
        <x:v>1798620</x:v>
      </x:c>
      <x:c r="I18" s="22" t="n">
        <x:f>SUMIFS('Tasks'!$S$7:$S$246,'Tasks'!$C$7:$C$246,$A18,'Tasks'!$L$7:$L$246,$D18,'Tasks'!$F$7:$F$246,$B18)</x:f>
        <x:v>20.3384</x:v>
      </x:c>
      <x:c r="J18" s="22" t="n">
        <x:f>SUMIFS('Tasks'!$T$7:$T$246,'Tasks'!$C$7:$C$246,$A18,'Tasks'!$L$7:$L$246,$D18,'Tasks'!$F$7:$F$246,$B18)</x:f>
        <x:v>13.1217</x:v>
      </x:c>
      <x:c r="K18" s="22" t="n">
        <x:f>SUMIFS('Tasks'!$U$7:$U$246,'Tasks'!$C$7:$C$246,$A18,'Tasks'!$L$7:$L$246,$D18,'Tasks'!$F$7:$F$246,$B18)</x:f>
        <x:v>33.4601</x:v>
      </x:c>
      <x:c r="L18" s="17" t="n">
        <x:f>SUMIFS('Tasks'!$R$7:$R$246,'Tasks'!$C$7:$C$246,$A18,'Tasks'!$L$7:$L$246,$D18,'Tasks'!$F$7:$F$246,$B18)</x:f>
        <x:v>38</x:v>
      </x:c>
      <x:c r="M18" s="22" t="n">
        <x:f>IF(L18=0,"N/A",K18/L18)</x:f>
        <x:v>0.880528947368421</x:v>
      </x:c>
      <x:c r="N18" s="19" t="n">
        <x:f>SUMIFS('Tasks'!$G$7:$G$246,'Tasks'!$C$7:$C$246,$A18,'Tasks'!$L$7:$L$246,$D18,'Tasks'!$F$7:$F$246,$B18)</x:f>
        <x:v>13.57</x:v>
      </x:c>
      <x:c r="O18" s="19" t="n">
        <x:f>SUMIFS('Tasks'!$H$7:$H$246,'Tasks'!$C$7:$C$246,$A18,'Tasks'!$L$7:$L$246,$D18,'Tasks'!$F$7:$F$246,$B18)</x:f>
        <x:v>6.24</x:v>
      </x:c>
      <x:c r="P18" s="19" t="n">
        <x:f>SUMIFS('Tasks'!$Y$7:$Y$246,'Tasks'!$C$7:$C$246,$A18,'Tasks'!$L$7:$L$246,$D18,'Tasks'!$F$7:$F$246,$B18)</x:f>
        <x:v>7.33</x:v>
      </x:c>
      <x:c r="Q18" s="22" t="n">
        <x:f>SUMIFS('Tasks'!$Z$7:$Z$246,'Tasks'!$C$7:$C$246,$A18,'Tasks'!$L$7:$L$246,$D18,'Tasks'!$F$7:$F$246,$B18)</x:f>
        <x:v>366.5</x:v>
      </x:c>
      <x:c r="R18" s="22" t="n">
        <x:f>SUMIFS('Tasks'!$AA$7:$AA$246,'Tasks'!$C$7:$C$246,$A18,'Tasks'!$L$7:$L$246,$D18,'Tasks'!$F$7:$F$246,$B18)</x:f>
        <x:v>333.0399</x:v>
      </x:c>
      <x:c r="S18" s="31" t="n">
        <x:f>IF(K18=0,"N/A",R18/K18)</x:f>
        <x:v>9.95334443112842</x:v>
      </x:c>
      <x:c r="T18" s="19" t="n">
        <x:f>SUMIFS('Tasks'!$I$7:$I$246,'Tasks'!$C$7:$C$246,$A18,'Tasks'!$L$7:$L$246,$D18,'Tasks'!$F$7:$F$246,$B18)</x:f>
        <x:v>0.41000000000000003</x:v>
      </x:c>
      <x:c r="U18" s="31" t="n">
        <x:f>IF(O18=0,"N/A",T18/O18)</x:f>
        <x:v>0.06570512820512821</x:v>
      </x:c>
      <x:c r="V18" s="17" t="n">
        <x:f>SUMIFS('Tasks'!$X$7:$X$246,'Tasks'!$C$7:$C$246,$A18,'Tasks'!$L$7:$L$246,$D18,'Tasks'!$F$7:$F$246,$B18)</x:f>
        <x:v>5</x:v>
      </x:c>
      <x:c r="W18" s="31" t="n">
        <x:f>IF(L18=0,"N/A",V18/L18)</x:f>
        <x:v>0.13157894736842105</x:v>
      </x:c>
      <x:c r="X18" s="17" t="n">
        <x:f>COUNTIFS('Tasks'!$C$7:$C$246,$A18,'Tasks'!$L$7:$L$246,$D18,'Tasks'!$F$7:$F$246,$B18,'Tasks'!$L$7:$L$246,"Yes")</x:f>
        <x:v>4</x:v>
      </x:c>
      <x:c r="Y18" s="17" t="n">
        <x:f>COUNTIFS('Tasks'!$C$7:$C$246,$A18,'Tasks'!$L$7:$L$246,$D18,'Tasks'!$F$7:$F$246,$B18,'Tasks'!$K$7:$K$246,"Yes")</x:f>
        <x:v>1</x:v>
      </x:c>
      <x:c r="Z18" s="17" t="n">
        <x:f>COUNTIFS('Tasks'!$C$7:$C$246,$A18,'Tasks'!$L$7:$L$246,$D18,'Tasks'!$F$7:$F$246,$B18,'Tasks'!$AA$7:$AA$246,"&gt;0")</x:f>
        <x:v>4</x:v>
      </x:c>
      <x:c r="AA18" s="17" t="n">
        <x:f>COUNTIFS('Tasks'!$C$7:$C$246,$A18,'Tasks'!$L$7:$L$246,$D18,'Tasks'!$F$7:$F$246,$B18,'Tasks'!$AA$7:$AA$246,"&lt;0")</x:f>
        <x:v>0</x:v>
      </x:c>
      <x:c r="AB18" s="19" t="n">
        <x:f>IF(E18=0,"N/A",V18/E18)</x:f>
        <x:v>1.25</x:v>
      </x:c>
      <x:c r="AC18" s="22" t="n">
        <x:f>IF(E18=0,"N/A",K18/E18)</x:f>
        <x:v>8.365025</x:v>
      </x:c>
      <x:c r="AD18" s="19" t="n">
        <x:f>IF(E18=0,"N/A",P18/E18)</x:f>
        <x:v>1.8325</x:v>
      </x:c>
    </x:row>
    <x:row r="19" ht="23" customHeight="1">
      <x:c r="A19" s="17" t="str">
        <x:v>C001</x:v>
      </x:c>
      <x:c r="B19" s="17" t="str">
        <x:v>Check measurement plan</x:v>
      </x:c>
      <x:c r="C19" s="17" t="str">
        <x:v>brief_changed</x:v>
      </x:c>
      <x:c r="D19" s="17" t="str">
        <x:v>No</x:v>
      </x:c>
      <x:c r="E19" s="17" t="n">
        <x:f>COUNTIFS('Tasks'!$C$7:$C$246,$A19,'Tasks'!$K$7:$K$246,$D19,'Tasks'!$F$7:$F$246,$B19)</x:f>
        <x:v>3</x:v>
      </x:c>
      <x:c r="F19" s="17" t="n">
        <x:f>SUMIFS('Tasks'!$O$7:$O$246,'Tasks'!$C$7:$C$246,$A19,'Tasks'!$K$7:$K$246,$D19,'Tasks'!$F$7:$F$246,$B19)</x:f>
        <x:v>1059890</x:v>
      </x:c>
      <x:c r="G19" s="17" t="n">
        <x:f>SUMIFS('Tasks'!$P$7:$P$246,'Tasks'!$C$7:$C$246,$A19,'Tasks'!$K$7:$K$246,$D19,'Tasks'!$F$7:$F$246,$B19)</x:f>
        <x:v>219417</x:v>
      </x:c>
      <x:c r="H19" s="17" t="n">
        <x:f>SUMIFS('Tasks'!$Q$7:$Q$246,'Tasks'!$C$7:$C$246,$A19,'Tasks'!$K$7:$K$246,$D19,'Tasks'!$F$7:$F$246,$B19)</x:f>
        <x:v>1279307</x:v>
      </x:c>
      <x:c r="I19" s="22" t="n">
        <x:f>SUMIFS('Tasks'!$S$7:$S$246,'Tasks'!$C$7:$C$246,$A19,'Tasks'!$K$7:$K$246,$D19,'Tasks'!$F$7:$F$246,$B19)</x:f>
        <x:v>15.84443</x:v>
      </x:c>
      <x:c r="J19" s="22" t="n">
        <x:f>SUMIFS('Tasks'!$T$7:$T$246,'Tasks'!$C$7:$C$246,$A19,'Tasks'!$K$7:$K$246,$D19,'Tasks'!$F$7:$F$246,$B19)</x:f>
        <x:v>11.024220000000001</x:v>
      </x:c>
      <x:c r="K19" s="22" t="n">
        <x:f>SUMIFS('Tasks'!$U$7:$U$246,'Tasks'!$C$7:$C$246,$A19,'Tasks'!$K$7:$K$246,$D19,'Tasks'!$F$7:$F$246,$B19)</x:f>
        <x:v>26.868649999999995</x:v>
      </x:c>
      <x:c r="L19" s="17" t="n">
        <x:f>SUMIFS('Tasks'!$R$7:$R$246,'Tasks'!$C$7:$C$246,$A19,'Tasks'!$K$7:$K$246,$D19,'Tasks'!$F$7:$F$246,$B19)</x:f>
        <x:v>29</x:v>
      </x:c>
      <x:c r="M19" s="22" t="n">
        <x:f>IF(L19=0,"N/A",K19/L19)</x:f>
        <x:v>0.9265051724137929</x:v>
      </x:c>
      <x:c r="N19" s="19" t="n">
        <x:f>SUMIFS('Tasks'!$G$7:$G$246,'Tasks'!$C$7:$C$246,$A19,'Tasks'!$K$7:$K$246,$D19,'Tasks'!$F$7:$F$246,$B19)</x:f>
        <x:v>10.86</x:v>
      </x:c>
      <x:c r="O19" s="19" t="n">
        <x:f>SUMIFS('Tasks'!$H$7:$H$246,'Tasks'!$C$7:$C$246,$A19,'Tasks'!$K$7:$K$246,$D19,'Tasks'!$F$7:$F$246,$B19)</x:f>
        <x:v>5.12</x:v>
      </x:c>
      <x:c r="P19" s="19" t="n">
        <x:f>SUMIFS('Tasks'!$Y$7:$Y$246,'Tasks'!$C$7:$C$246,$A19,'Tasks'!$K$7:$K$246,$D19,'Tasks'!$F$7:$F$246,$B19)</x:f>
        <x:v>5.74</x:v>
      </x:c>
      <x:c r="Q19" s="22" t="n">
        <x:f>SUMIFS('Tasks'!$Z$7:$Z$246,'Tasks'!$C$7:$C$246,$A19,'Tasks'!$K$7:$K$246,$D19,'Tasks'!$F$7:$F$246,$B19)</x:f>
        <x:v>287</x:v>
      </x:c>
      <x:c r="R19" s="22" t="n">
        <x:f>SUMIFS('Tasks'!$AA$7:$AA$246,'Tasks'!$C$7:$C$246,$A19,'Tasks'!$K$7:$K$246,$D19,'Tasks'!$F$7:$F$246,$B19)</x:f>
        <x:v>260.13135</x:v>
      </x:c>
      <x:c r="S19" s="31" t="n">
        <x:f>IF(K19=0,"N/A",R19/K19)</x:f>
        <x:v>9.681593604442353</x:v>
      </x:c>
      <x:c r="T19" s="19" t="n">
        <x:f>SUMIFS('Tasks'!$I$7:$I$246,'Tasks'!$C$7:$C$246,$A19,'Tasks'!$K$7:$K$246,$D19,'Tasks'!$F$7:$F$246,$B19)</x:f>
        <x:v>0.31</x:v>
      </x:c>
      <x:c r="U19" s="31" t="n">
        <x:f>IF(O19=0,"N/A",T19/O19)</x:f>
        <x:v>0.060546875</x:v>
      </x:c>
      <x:c r="V19" s="17" t="n">
        <x:f>SUMIFS('Tasks'!$X$7:$X$246,'Tasks'!$C$7:$C$246,$A19,'Tasks'!$K$7:$K$246,$D19,'Tasks'!$F$7:$F$246,$B19)</x:f>
        <x:v>4</x:v>
      </x:c>
      <x:c r="W19" s="31" t="n">
        <x:f>IF(L19=0,"N/A",V19/L19)</x:f>
        <x:v>0.13793103448275862</x:v>
      </x:c>
      <x:c r="X19" s="17" t="n">
        <x:f>COUNTIFS('Tasks'!$C$7:$C$246,$A19,'Tasks'!$K$7:$K$246,$D19,'Tasks'!$F$7:$F$246,$B19,'Tasks'!$L$7:$L$246,"Yes")</x:f>
        <x:v>3</x:v>
      </x:c>
      <x:c r="Y19" s="17" t="n">
        <x:f>COUNTIFS('Tasks'!$C$7:$C$246,$A19,'Tasks'!$K$7:$K$246,$D19,'Tasks'!$F$7:$F$246,$B19,'Tasks'!$K$7:$K$246,"Yes")</x:f>
        <x:v>0</x:v>
      </x:c>
      <x:c r="Z19" s="17" t="n">
        <x:f>COUNTIFS('Tasks'!$C$7:$C$246,$A19,'Tasks'!$K$7:$K$246,$D19,'Tasks'!$F$7:$F$246,$B19,'Tasks'!$AA$7:$AA$246,"&gt;0")</x:f>
        <x:v>3</x:v>
      </x:c>
      <x:c r="AA19" s="17" t="n">
        <x:f>COUNTIFS('Tasks'!$C$7:$C$246,$A19,'Tasks'!$K$7:$K$246,$D19,'Tasks'!$F$7:$F$246,$B19,'Tasks'!$AA$7:$AA$246,"&lt;0")</x:f>
        <x:v>0</x:v>
      </x:c>
      <x:c r="AB19" s="19" t="n">
        <x:f>IF(E19=0,"N/A",V19/E19)</x:f>
        <x:v>1.3333333333333333</x:v>
      </x:c>
      <x:c r="AC19" s="22" t="n">
        <x:f>IF(E19=0,"N/A",K19/E19)</x:f>
        <x:v>8.956216666666664</x:v>
      </x:c>
      <x:c r="AD19" s="19" t="n">
        <x:f>IF(E19=0,"N/A",P19/E19)</x:f>
        <x:v>1.9133333333333333</x:v>
      </x:c>
    </x:row>
    <x:row r="20" ht="23" customHeight="1">
      <x:c r="A20" s="17" t="str">
        <x:v>C001</x:v>
      </x:c>
      <x:c r="B20" s="17" t="str">
        <x:v>Check measurement plan</x:v>
      </x:c>
      <x:c r="C20" s="17" t="str">
        <x:v>brief_changed</x:v>
      </x:c>
      <x:c r="D20" s="17" t="str">
        <x:v>Yes</x:v>
      </x:c>
      <x:c r="E20" s="17" t="n">
        <x:f>COUNTIFS('Tasks'!$C$7:$C$246,$A20,'Tasks'!$K$7:$K$246,$D20,'Tasks'!$F$7:$F$246,$B20)</x:f>
        <x:v>1</x:v>
      </x:c>
      <x:c r="F20" s="17" t="n">
        <x:f>SUMIFS('Tasks'!$O$7:$O$246,'Tasks'!$C$7:$C$246,$A20,'Tasks'!$K$7:$K$246,$D20,'Tasks'!$F$7:$F$246,$B20)</x:f>
        <x:v>449397</x:v>
      </x:c>
      <x:c r="G20" s="17" t="n">
        <x:f>SUMIFS('Tasks'!$P$7:$P$246,'Tasks'!$C$7:$C$246,$A20,'Tasks'!$K$7:$K$246,$D20,'Tasks'!$F$7:$F$246,$B20)</x:f>
        <x:v>69916</x:v>
      </x:c>
      <x:c r="H20" s="17" t="n">
        <x:f>SUMIFS('Tasks'!$Q$7:$Q$246,'Tasks'!$C$7:$C$246,$A20,'Tasks'!$K$7:$K$246,$D20,'Tasks'!$F$7:$F$246,$B20)</x:f>
        <x:v>519313</x:v>
      </x:c>
      <x:c r="I20" s="22" t="n">
        <x:f>SUMIFS('Tasks'!$S$7:$S$246,'Tasks'!$C$7:$C$246,$A20,'Tasks'!$K$7:$K$246,$D20,'Tasks'!$F$7:$F$246,$B20)</x:f>
        <x:v>4.49397</x:v>
      </x:c>
      <x:c r="J20" s="22" t="n">
        <x:f>SUMIFS('Tasks'!$T$7:$T$246,'Tasks'!$C$7:$C$246,$A20,'Tasks'!$K$7:$K$246,$D20,'Tasks'!$F$7:$F$246,$B20)</x:f>
        <x:v>2.09748</x:v>
      </x:c>
      <x:c r="K20" s="22" t="n">
        <x:f>SUMIFS('Tasks'!$U$7:$U$246,'Tasks'!$C$7:$C$246,$A20,'Tasks'!$K$7:$K$246,$D20,'Tasks'!$F$7:$F$246,$B20)</x:f>
        <x:v>6.59145</x:v>
      </x:c>
      <x:c r="L20" s="17" t="n">
        <x:f>SUMIFS('Tasks'!$R$7:$R$246,'Tasks'!$C$7:$C$246,$A20,'Tasks'!$K$7:$K$246,$D20,'Tasks'!$F$7:$F$246,$B20)</x:f>
        <x:v>9</x:v>
      </x:c>
      <x:c r="M20" s="22" t="n">
        <x:f>IF(L20=0,"N/A",K20/L20)</x:f>
        <x:v>0.7323833333333334</x:v>
      </x:c>
      <x:c r="N20" s="19" t="n">
        <x:f>SUMIFS('Tasks'!$G$7:$G$246,'Tasks'!$C$7:$C$246,$A20,'Tasks'!$K$7:$K$246,$D20,'Tasks'!$F$7:$F$246,$B20)</x:f>
        <x:v>2.71</x:v>
      </x:c>
      <x:c r="O20" s="19" t="n">
        <x:f>SUMIFS('Tasks'!$H$7:$H$246,'Tasks'!$C$7:$C$246,$A20,'Tasks'!$K$7:$K$246,$D20,'Tasks'!$F$7:$F$246,$B20)</x:f>
        <x:v>1.12</x:v>
      </x:c>
      <x:c r="P20" s="19" t="n">
        <x:f>SUMIFS('Tasks'!$Y$7:$Y$246,'Tasks'!$C$7:$C$246,$A20,'Tasks'!$K$7:$K$246,$D20,'Tasks'!$F$7:$F$246,$B20)</x:f>
        <x:v>1.5899999999999999</x:v>
      </x:c>
      <x:c r="Q20" s="22" t="n">
        <x:f>SUMIFS('Tasks'!$Z$7:$Z$246,'Tasks'!$C$7:$C$246,$A20,'Tasks'!$K$7:$K$246,$D20,'Tasks'!$F$7:$F$246,$B20)</x:f>
        <x:v>79.5</x:v>
      </x:c>
      <x:c r="R20" s="22" t="n">
        <x:f>SUMIFS('Tasks'!$AA$7:$AA$246,'Tasks'!$C$7:$C$246,$A20,'Tasks'!$K$7:$K$246,$D20,'Tasks'!$F$7:$F$246,$B20)</x:f>
        <x:v>72.90855</x:v>
      </x:c>
      <x:c r="S20" s="31" t="n">
        <x:f>IF(K20=0,"N/A",R20/K20)</x:f>
        <x:v>11.061079125230412</x:v>
      </x:c>
      <x:c r="T20" s="19" t="n">
        <x:f>SUMIFS('Tasks'!$I$7:$I$246,'Tasks'!$C$7:$C$246,$A20,'Tasks'!$K$7:$K$246,$D20,'Tasks'!$F$7:$F$246,$B20)</x:f>
        <x:v>0.1</x:v>
      </x:c>
      <x:c r="U20" s="31" t="n">
        <x:f>IF(O20=0,"N/A",T20/O20)</x:f>
        <x:v>0.08928571428571429</x:v>
      </x:c>
      <x:c r="V20" s="17" t="n">
        <x:f>SUMIFS('Tasks'!$X$7:$X$246,'Tasks'!$C$7:$C$246,$A20,'Tasks'!$K$7:$K$246,$D20,'Tasks'!$F$7:$F$246,$B20)</x:f>
        <x:v>1</x:v>
      </x:c>
      <x:c r="W20" s="31" t="n">
        <x:f>IF(L20=0,"N/A",V20/L20)</x:f>
        <x:v>0.1111111111111111</x:v>
      </x:c>
      <x:c r="X20" s="17" t="n">
        <x:f>COUNTIFS('Tasks'!$C$7:$C$246,$A20,'Tasks'!$K$7:$K$246,$D20,'Tasks'!$F$7:$F$246,$B20,'Tasks'!$L$7:$L$246,"Yes")</x:f>
        <x:v>1</x:v>
      </x:c>
      <x:c r="Y20" s="17" t="n">
        <x:f>COUNTIFS('Tasks'!$C$7:$C$246,$A20,'Tasks'!$K$7:$K$246,$D20,'Tasks'!$F$7:$F$246,$B20,'Tasks'!$K$7:$K$246,"Yes")</x:f>
        <x:v>1</x:v>
      </x:c>
      <x:c r="Z20" s="17" t="n">
        <x:f>COUNTIFS('Tasks'!$C$7:$C$246,$A20,'Tasks'!$K$7:$K$246,$D20,'Tasks'!$F$7:$F$246,$B20,'Tasks'!$AA$7:$AA$246,"&gt;0")</x:f>
        <x:v>1</x:v>
      </x:c>
      <x:c r="AA20" s="17" t="n">
        <x:f>COUNTIFS('Tasks'!$C$7:$C$246,$A20,'Tasks'!$K$7:$K$246,$D20,'Tasks'!$F$7:$F$246,$B20,'Tasks'!$AA$7:$AA$246,"&lt;0")</x:f>
        <x:v>0</x:v>
      </x:c>
      <x:c r="AB20" s="19" t="n">
        <x:f>IF(E20=0,"N/A",V20/E20)</x:f>
        <x:v>1</x:v>
      </x:c>
      <x:c r="AC20" s="22" t="n">
        <x:f>IF(E20=0,"N/A",K20/E20)</x:f>
        <x:v>6.59145</x:v>
      </x:c>
      <x:c r="AD20" s="19" t="n">
        <x:f>IF(E20=0,"N/A",P20/E20)</x:f>
        <x:v>1.5899999999999999</x:v>
      </x:c>
    </x:row>
    <x:row r="21" ht="23" customHeight="1">
      <x:c r="A21" s="17" t="str">
        <x:v>C001</x:v>
      </x:c>
      <x:c r="B21" s="17" t="str">
        <x:v>Clean audience data</x:v>
      </x:c>
      <x:c r="C21" s="17" t="str">
        <x:v>prompt_template_used</x:v>
      </x:c>
      <x:c r="D21" s="17" t="str">
        <x:v>No</x:v>
      </x:c>
      <x:c r="E21" s="17" t="n">
        <x:f>COUNTIFS('Tasks'!$C$7:$C$246,$A21,'Tasks'!$L$7:$L$246,$D21,'Tasks'!$F$7:$F$246,$B21)</x:f>
        <x:v>1</x:v>
      </x:c>
      <x:c r="F21" s="17" t="n">
        <x:f>SUMIFS('Tasks'!$O$7:$O$246,'Tasks'!$C$7:$C$246,$A21,'Tasks'!$L$7:$L$246,$D21,'Tasks'!$F$7:$F$246,$B21)</x:f>
        <x:v>104495</x:v>
      </x:c>
      <x:c r="G21" s="17" t="n">
        <x:f>SUMIFS('Tasks'!$P$7:$P$246,'Tasks'!$C$7:$C$246,$A21,'Tasks'!$L$7:$L$246,$D21,'Tasks'!$F$7:$F$246,$B21)</x:f>
        <x:v>106942</x:v>
      </x:c>
      <x:c r="H21" s="17" t="n">
        <x:f>SUMIFS('Tasks'!$Q$7:$Q$246,'Tasks'!$C$7:$C$246,$A21,'Tasks'!$L$7:$L$246,$D21,'Tasks'!$F$7:$F$246,$B21)</x:f>
        <x:v>211437</x:v>
      </x:c>
      <x:c r="I21" s="22" t="n">
        <x:f>SUMIFS('Tasks'!$S$7:$S$246,'Tasks'!$C$7:$C$246,$A21,'Tasks'!$L$7:$L$246,$D21,'Tasks'!$F$7:$F$246,$B21)</x:f>
        <x:v>4.1798</x:v>
      </x:c>
      <x:c r="J21" s="22" t="n">
        <x:f>SUMIFS('Tasks'!$T$7:$T$246,'Tasks'!$C$7:$C$246,$A21,'Tasks'!$L$7:$L$246,$D21,'Tasks'!$F$7:$F$246,$B21)</x:f>
        <x:v>10.6942</x:v>
      </x:c>
      <x:c r="K21" s="22" t="n">
        <x:f>SUMIFS('Tasks'!$U$7:$U$246,'Tasks'!$C$7:$C$246,$A21,'Tasks'!$L$7:$L$246,$D21,'Tasks'!$F$7:$F$246,$B21)</x:f>
        <x:v>14.873999999999999</x:v>
      </x:c>
      <x:c r="L21" s="17" t="n">
        <x:f>SUMIFS('Tasks'!$R$7:$R$246,'Tasks'!$C$7:$C$246,$A21,'Tasks'!$L$7:$L$246,$D21,'Tasks'!$F$7:$F$246,$B21)</x:f>
        <x:v>10</x:v>
      </x:c>
      <x:c r="M21" s="22" t="n">
        <x:f>IF(L21=0,"N/A",K21/L21)</x:f>
        <x:v>1.4873999999999998</x:v>
      </x:c>
      <x:c r="N21" s="19" t="n">
        <x:f>SUMIFS('Tasks'!$G$7:$G$246,'Tasks'!$C$7:$C$246,$A21,'Tasks'!$L$7:$L$246,$D21,'Tasks'!$F$7:$F$246,$B21)</x:f>
        <x:v>3.42</x:v>
      </x:c>
      <x:c r="O21" s="19" t="n">
        <x:f>SUMIFS('Tasks'!$H$7:$H$246,'Tasks'!$C$7:$C$246,$A21,'Tasks'!$L$7:$L$246,$D21,'Tasks'!$F$7:$F$246,$B21)</x:f>
        <x:v>1.77</x:v>
      </x:c>
      <x:c r="P21" s="19" t="n">
        <x:f>SUMIFS('Tasks'!$Y$7:$Y$246,'Tasks'!$C$7:$C$246,$A21,'Tasks'!$L$7:$L$246,$D21,'Tasks'!$F$7:$F$246,$B21)</x:f>
        <x:v>1.65</x:v>
      </x:c>
      <x:c r="Q21" s="22" t="n">
        <x:f>SUMIFS('Tasks'!$Z$7:$Z$246,'Tasks'!$C$7:$C$246,$A21,'Tasks'!$L$7:$L$246,$D21,'Tasks'!$F$7:$F$246,$B21)</x:f>
        <x:v>82.5</x:v>
      </x:c>
      <x:c r="R21" s="22" t="n">
        <x:f>SUMIFS('Tasks'!$AA$7:$AA$246,'Tasks'!$C$7:$C$246,$A21,'Tasks'!$L$7:$L$246,$D21,'Tasks'!$F$7:$F$246,$B21)</x:f>
        <x:v>67.626</x:v>
      </x:c>
      <x:c r="S21" s="31" t="n">
        <x:f>IF(K21=0,"N/A",R21/K21)</x:f>
        <x:v>4.546591367486891</x:v>
      </x:c>
      <x:c r="T21" s="19" t="n">
        <x:f>SUMIFS('Tasks'!$I$7:$I$246,'Tasks'!$C$7:$C$246,$A21,'Tasks'!$L$7:$L$246,$D21,'Tasks'!$F$7:$F$246,$B21)</x:f>
        <x:v>0.12</x:v>
      </x:c>
      <x:c r="U21" s="31" t="n">
        <x:f>IF(O21=0,"N/A",T21/O21)</x:f>
        <x:v>0.06779661016949153</x:v>
      </x:c>
      <x:c r="V21" s="17" t="n">
        <x:f>SUMIFS('Tasks'!$X$7:$X$246,'Tasks'!$C$7:$C$246,$A21,'Tasks'!$L$7:$L$246,$D21,'Tasks'!$F$7:$F$246,$B21)</x:f>
        <x:v>1</x:v>
      </x:c>
      <x:c r="W21" s="31" t="n">
        <x:f>IF(L21=0,"N/A",V21/L21)</x:f>
        <x:v>0.1</x:v>
      </x:c>
      <x:c r="X21" s="17" t="n">
        <x:f>COUNTIFS('Tasks'!$C$7:$C$246,$A21,'Tasks'!$L$7:$L$246,$D21,'Tasks'!$F$7:$F$246,$B21,'Tasks'!$L$7:$L$246,"Yes")</x:f>
        <x:v>0</x:v>
      </x:c>
      <x:c r="Y21" s="17" t="n">
        <x:f>COUNTIFS('Tasks'!$C$7:$C$246,$A21,'Tasks'!$L$7:$L$246,$D21,'Tasks'!$F$7:$F$246,$B21,'Tasks'!$K$7:$K$246,"Yes")</x:f>
        <x:v>0</x:v>
      </x:c>
      <x:c r="Z21" s="17" t="n">
        <x:f>COUNTIFS('Tasks'!$C$7:$C$246,$A21,'Tasks'!$L$7:$L$246,$D21,'Tasks'!$F$7:$F$246,$B21,'Tasks'!$AA$7:$AA$246,"&gt;0")</x:f>
        <x:v>1</x:v>
      </x:c>
      <x:c r="AA21" s="17" t="n">
        <x:f>COUNTIFS('Tasks'!$C$7:$C$246,$A21,'Tasks'!$L$7:$L$246,$D21,'Tasks'!$F$7:$F$246,$B21,'Tasks'!$AA$7:$AA$246,"&lt;0")</x:f>
        <x:v>0</x:v>
      </x:c>
      <x:c r="AB21" s="19" t="n">
        <x:f>IF(E21=0,"N/A",V21/E21)</x:f>
        <x:v>1</x:v>
      </x:c>
      <x:c r="AC21" s="22" t="n">
        <x:f>IF(E21=0,"N/A",K21/E21)</x:f>
        <x:v>14.873999999999999</x:v>
      </x:c>
      <x:c r="AD21" s="19" t="n">
        <x:f>IF(E21=0,"N/A",P21/E21)</x:f>
        <x:v>1.65</x:v>
      </x:c>
    </x:row>
    <x:row r="22" ht="23" customHeight="1">
      <x:c r="A22" s="17" t="str">
        <x:v>C001</x:v>
      </x:c>
      <x:c r="B22" s="17" t="str">
        <x:v>Clean audience data</x:v>
      </x:c>
      <x:c r="C22" s="17" t="str">
        <x:v>prompt_template_used</x:v>
      </x:c>
      <x:c r="D22" s="17" t="str">
        <x:v>Yes</x:v>
      </x:c>
      <x:c r="E22" s="17" t="n">
        <x:f>COUNTIFS('Tasks'!$C$7:$C$246,$A22,'Tasks'!$L$7:$L$246,$D22,'Tasks'!$F$7:$F$246,$B22)</x:f>
        <x:v>4</x:v>
      </x:c>
      <x:c r="F22" s="17" t="n">
        <x:f>SUMIFS('Tasks'!$O$7:$O$246,'Tasks'!$C$7:$C$246,$A22,'Tasks'!$L$7:$L$246,$D22,'Tasks'!$F$7:$F$246,$B22)</x:f>
        <x:v>1681796</x:v>
      </x:c>
      <x:c r="G22" s="17" t="n">
        <x:f>SUMIFS('Tasks'!$P$7:$P$246,'Tasks'!$C$7:$C$246,$A22,'Tasks'!$L$7:$L$246,$D22,'Tasks'!$F$7:$F$246,$B22)</x:f>
        <x:v>373489</x:v>
      </x:c>
      <x:c r="H22" s="17" t="n">
        <x:f>SUMIFS('Tasks'!$Q$7:$Q$246,'Tasks'!$C$7:$C$246,$A22,'Tasks'!$L$7:$L$246,$D22,'Tasks'!$F$7:$F$246,$B22)</x:f>
        <x:v>2055285</x:v>
      </x:c>
      <x:c r="I22" s="22" t="n">
        <x:f>SUMIFS('Tasks'!$S$7:$S$246,'Tasks'!$C$7:$C$246,$A22,'Tasks'!$L$7:$L$246,$D22,'Tasks'!$F$7:$F$246,$B22)</x:f>
        <x:v>22.2026</x:v>
      </x:c>
      <x:c r="J22" s="22" t="n">
        <x:f>SUMIFS('Tasks'!$T$7:$T$246,'Tasks'!$C$7:$C$246,$A22,'Tasks'!$L$7:$L$246,$D22,'Tasks'!$F$7:$F$246,$B22)</x:f>
        <x:v>17.7566</x:v>
      </x:c>
      <x:c r="K22" s="22" t="n">
        <x:f>SUMIFS('Tasks'!$U$7:$U$246,'Tasks'!$C$7:$C$246,$A22,'Tasks'!$L$7:$L$246,$D22,'Tasks'!$F$7:$F$246,$B22)</x:f>
        <x:v>39.9592</x:v>
      </x:c>
      <x:c r="L22" s="17" t="n">
        <x:f>SUMIFS('Tasks'!$R$7:$R$246,'Tasks'!$C$7:$C$246,$A22,'Tasks'!$L$7:$L$246,$D22,'Tasks'!$F$7:$F$246,$B22)</x:f>
        <x:v>40</x:v>
      </x:c>
      <x:c r="M22" s="22" t="n">
        <x:f>IF(L22=0,"N/A",K22/L22)</x:f>
        <x:v>0.9989800000000001</x:v>
      </x:c>
      <x:c r="N22" s="19" t="n">
        <x:f>SUMIFS('Tasks'!$G$7:$G$246,'Tasks'!$C$7:$C$246,$A22,'Tasks'!$L$7:$L$246,$D22,'Tasks'!$F$7:$F$246,$B22)</x:f>
        <x:v>14.45</x:v>
      </x:c>
      <x:c r="O22" s="19" t="n">
        <x:f>SUMIFS('Tasks'!$H$7:$H$246,'Tasks'!$C$7:$C$246,$A22,'Tasks'!$L$7:$L$246,$D22,'Tasks'!$F$7:$F$246,$B22)</x:f>
        <x:v>9.790000000000001</x:v>
      </x:c>
      <x:c r="P22" s="19" t="n">
        <x:f>SUMIFS('Tasks'!$Y$7:$Y$246,'Tasks'!$C$7:$C$246,$A22,'Tasks'!$L$7:$L$246,$D22,'Tasks'!$F$7:$F$246,$B22)</x:f>
        <x:v>4.66</x:v>
      </x:c>
      <x:c r="Q22" s="22" t="n">
        <x:f>SUMIFS('Tasks'!$Z$7:$Z$246,'Tasks'!$C$7:$C$246,$A22,'Tasks'!$L$7:$L$246,$D22,'Tasks'!$F$7:$F$246,$B22)</x:f>
        <x:v>233</x:v>
      </x:c>
      <x:c r="R22" s="22" t="n">
        <x:f>SUMIFS('Tasks'!$AA$7:$AA$246,'Tasks'!$C$7:$C$246,$A22,'Tasks'!$L$7:$L$246,$D22,'Tasks'!$F$7:$F$246,$B22)</x:f>
        <x:v>193.0408</x:v>
      </x:c>
      <x:c r="S22" s="31" t="n">
        <x:f>IF(K22=0,"N/A",R22/K22)</x:f>
        <x:v>4.830947566517848</x:v>
      </x:c>
      <x:c r="T22" s="19" t="n">
        <x:f>SUMIFS('Tasks'!$I$7:$I$246,'Tasks'!$C$7:$C$246,$A22,'Tasks'!$L$7:$L$246,$D22,'Tasks'!$F$7:$F$246,$B22)</x:f>
        <x:v>1.2300000000000002</x:v>
      </x:c>
      <x:c r="U22" s="31" t="n">
        <x:f>IF(O22=0,"N/A",T22/O22)</x:f>
        <x:v>0.12563840653728295</x:v>
      </x:c>
      <x:c r="V22" s="17" t="n">
        <x:f>SUMIFS('Tasks'!$X$7:$X$246,'Tasks'!$C$7:$C$246,$A22,'Tasks'!$L$7:$L$246,$D22,'Tasks'!$F$7:$F$246,$B22)</x:f>
        <x:v>5</x:v>
      </x:c>
      <x:c r="W22" s="31" t="n">
        <x:f>IF(L22=0,"N/A",V22/L22)</x:f>
        <x:v>0.125</x:v>
      </x:c>
      <x:c r="X22" s="17" t="n">
        <x:f>COUNTIFS('Tasks'!$C$7:$C$246,$A22,'Tasks'!$L$7:$L$246,$D22,'Tasks'!$F$7:$F$246,$B22,'Tasks'!$L$7:$L$246,"Yes")</x:f>
        <x:v>4</x:v>
      </x:c>
      <x:c r="Y22" s="17" t="n">
        <x:f>COUNTIFS('Tasks'!$C$7:$C$246,$A22,'Tasks'!$L$7:$L$246,$D22,'Tasks'!$F$7:$F$246,$B22,'Tasks'!$K$7:$K$246,"Yes")</x:f>
        <x:v>0</x:v>
      </x:c>
      <x:c r="Z22" s="17" t="n">
        <x:f>COUNTIFS('Tasks'!$C$7:$C$246,$A22,'Tasks'!$L$7:$L$246,$D22,'Tasks'!$F$7:$F$246,$B22,'Tasks'!$AA$7:$AA$246,"&gt;0")</x:f>
        <x:v>3</x:v>
      </x:c>
      <x:c r="AA22" s="17" t="n">
        <x:f>COUNTIFS('Tasks'!$C$7:$C$246,$A22,'Tasks'!$L$7:$L$246,$D22,'Tasks'!$F$7:$F$246,$B22,'Tasks'!$AA$7:$AA$246,"&lt;0")</x:f>
        <x:v>1</x:v>
      </x:c>
      <x:c r="AB22" s="19" t="n">
        <x:f>IF(E22=0,"N/A",V22/E22)</x:f>
        <x:v>1.25</x:v>
      </x:c>
      <x:c r="AC22" s="22" t="n">
        <x:f>IF(E22=0,"N/A",K22/E22)</x:f>
        <x:v>9.9898</x:v>
      </x:c>
      <x:c r="AD22" s="19" t="n">
        <x:f>IF(E22=0,"N/A",P22/E22)</x:f>
        <x:v>1.165</x:v>
      </x:c>
    </x:row>
    <x:row r="23" ht="23" customHeight="1">
      <x:c r="A23" s="17" t="str">
        <x:v>C001</x:v>
      </x:c>
      <x:c r="B23" s="17" t="str">
        <x:v>Clean audience data</x:v>
      </x:c>
      <x:c r="C23" s="17" t="str">
        <x:v>brief_changed</x:v>
      </x:c>
      <x:c r="D23" s="17" t="str">
        <x:v>No</x:v>
      </x:c>
      <x:c r="E23" s="17" t="n">
        <x:f>COUNTIFS('Tasks'!$C$7:$C$246,$A23,'Tasks'!$K$7:$K$246,$D23,'Tasks'!$F$7:$F$246,$B23)</x:f>
        <x:v>5</x:v>
      </x:c>
      <x:c r="F23" s="17" t="n">
        <x:f>SUMIFS('Tasks'!$O$7:$O$246,'Tasks'!$C$7:$C$246,$A23,'Tasks'!$K$7:$K$246,$D23,'Tasks'!$F$7:$F$246,$B23)</x:f>
        <x:v>1786291</x:v>
      </x:c>
      <x:c r="G23" s="17" t="n">
        <x:f>SUMIFS('Tasks'!$P$7:$P$246,'Tasks'!$C$7:$C$246,$A23,'Tasks'!$K$7:$K$246,$D23,'Tasks'!$F$7:$F$246,$B23)</x:f>
        <x:v>480431</x:v>
      </x:c>
      <x:c r="H23" s="17" t="n">
        <x:f>SUMIFS('Tasks'!$Q$7:$Q$246,'Tasks'!$C$7:$C$246,$A23,'Tasks'!$K$7:$K$246,$D23,'Tasks'!$F$7:$F$246,$B23)</x:f>
        <x:v>2266722</x:v>
      </x:c>
      <x:c r="I23" s="22" t="n">
        <x:f>SUMIFS('Tasks'!$S$7:$S$246,'Tasks'!$C$7:$C$246,$A23,'Tasks'!$K$7:$K$246,$D23,'Tasks'!$F$7:$F$246,$B23)</x:f>
        <x:v>26.3824</x:v>
      </x:c>
      <x:c r="J23" s="22" t="n">
        <x:f>SUMIFS('Tasks'!$T$7:$T$246,'Tasks'!$C$7:$C$246,$A23,'Tasks'!$K$7:$K$246,$D23,'Tasks'!$F$7:$F$246,$B23)</x:f>
        <x:v>28.450799999999997</x:v>
      </x:c>
      <x:c r="K23" s="22" t="n">
        <x:f>SUMIFS('Tasks'!$U$7:$U$246,'Tasks'!$C$7:$C$246,$A23,'Tasks'!$K$7:$K$246,$D23,'Tasks'!$F$7:$F$246,$B23)</x:f>
        <x:v>54.8332</x:v>
      </x:c>
      <x:c r="L23" s="17" t="n">
        <x:f>SUMIFS('Tasks'!$R$7:$R$246,'Tasks'!$C$7:$C$246,$A23,'Tasks'!$K$7:$K$246,$D23,'Tasks'!$F$7:$F$246,$B23)</x:f>
        <x:v>50</x:v>
      </x:c>
      <x:c r="M23" s="22" t="n">
        <x:f>IF(L23=0,"N/A",K23/L23)</x:f>
        <x:v>1.0966639999999999</x:v>
      </x:c>
      <x:c r="N23" s="19" t="n">
        <x:f>SUMIFS('Tasks'!$G$7:$G$246,'Tasks'!$C$7:$C$246,$A23,'Tasks'!$K$7:$K$246,$D23,'Tasks'!$F$7:$F$246,$B23)</x:f>
        <x:v>17.87</x:v>
      </x:c>
      <x:c r="O23" s="19" t="n">
        <x:f>SUMIFS('Tasks'!$H$7:$H$246,'Tasks'!$C$7:$C$246,$A23,'Tasks'!$K$7:$K$246,$D23,'Tasks'!$F$7:$F$246,$B23)</x:f>
        <x:v>11.56</x:v>
      </x:c>
      <x:c r="P23" s="19" t="n">
        <x:f>SUMIFS('Tasks'!$Y$7:$Y$246,'Tasks'!$C$7:$C$246,$A23,'Tasks'!$K$7:$K$246,$D23,'Tasks'!$F$7:$F$246,$B23)</x:f>
        <x:v>6.3100000000000005</x:v>
      </x:c>
      <x:c r="Q23" s="22" t="n">
        <x:f>SUMIFS('Tasks'!$Z$7:$Z$246,'Tasks'!$C$7:$C$246,$A23,'Tasks'!$K$7:$K$246,$D23,'Tasks'!$F$7:$F$246,$B23)</x:f>
        <x:v>315.5</x:v>
      </x:c>
      <x:c r="R23" s="22" t="n">
        <x:f>SUMIFS('Tasks'!$AA$7:$AA$246,'Tasks'!$C$7:$C$246,$A23,'Tasks'!$K$7:$K$246,$D23,'Tasks'!$F$7:$F$246,$B23)</x:f>
        <x:v>260.6668</x:v>
      </x:c>
      <x:c r="S23" s="31" t="n">
        <x:f>IF(K23=0,"N/A",R23/K23)</x:f>
        <x:v>4.753813383132847</x:v>
      </x:c>
      <x:c r="T23" s="19" t="n">
        <x:f>SUMIFS('Tasks'!$I$7:$I$246,'Tasks'!$C$7:$C$246,$A23,'Tasks'!$K$7:$K$246,$D23,'Tasks'!$F$7:$F$246,$B23)</x:f>
        <x:v>1.3500000000000003</x:v>
      </x:c>
      <x:c r="U23" s="31" t="n">
        <x:f>IF(O23=0,"N/A",T23/O23)</x:f>
        <x:v>0.11678200692041525</x:v>
      </x:c>
      <x:c r="V23" s="17" t="n">
        <x:f>SUMIFS('Tasks'!$X$7:$X$246,'Tasks'!$C$7:$C$246,$A23,'Tasks'!$K$7:$K$246,$D23,'Tasks'!$F$7:$F$246,$B23)</x:f>
        <x:v>6</x:v>
      </x:c>
      <x:c r="W23" s="31" t="n">
        <x:f>IF(L23=0,"N/A",V23/L23)</x:f>
        <x:v>0.12</x:v>
      </x:c>
      <x:c r="X23" s="17" t="n">
        <x:f>COUNTIFS('Tasks'!$C$7:$C$246,$A23,'Tasks'!$K$7:$K$246,$D23,'Tasks'!$F$7:$F$246,$B23,'Tasks'!$L$7:$L$246,"Yes")</x:f>
        <x:v>4</x:v>
      </x:c>
      <x:c r="Y23" s="17" t="n">
        <x:f>COUNTIFS('Tasks'!$C$7:$C$246,$A23,'Tasks'!$K$7:$K$246,$D23,'Tasks'!$F$7:$F$246,$B23,'Tasks'!$K$7:$K$246,"Yes")</x:f>
        <x:v>0</x:v>
      </x:c>
      <x:c r="Z23" s="17" t="n">
        <x:f>COUNTIFS('Tasks'!$C$7:$C$246,$A23,'Tasks'!$K$7:$K$246,$D23,'Tasks'!$F$7:$F$246,$B23,'Tasks'!$AA$7:$AA$246,"&gt;0")</x:f>
        <x:v>4</x:v>
      </x:c>
      <x:c r="AA23" s="17" t="n">
        <x:f>COUNTIFS('Tasks'!$C$7:$C$246,$A23,'Tasks'!$K$7:$K$246,$D23,'Tasks'!$F$7:$F$246,$B23,'Tasks'!$AA$7:$AA$246,"&lt;0")</x:f>
        <x:v>1</x:v>
      </x:c>
      <x:c r="AB23" s="19" t="n">
        <x:f>IF(E23=0,"N/A",V23/E23)</x:f>
        <x:v>1.2</x:v>
      </x:c>
      <x:c r="AC23" s="22" t="n">
        <x:f>IF(E23=0,"N/A",K23/E23)</x:f>
        <x:v>10.96664</x:v>
      </x:c>
      <x:c r="AD23" s="19" t="n">
        <x:f>IF(E23=0,"N/A",P23/E23)</x:f>
        <x:v>1.262</x:v>
      </x:c>
    </x:row>
    <x:row r="24" ht="23" customHeight="1">
      <x:c r="A24" s="17" t="str">
        <x:v>C001</x:v>
      </x:c>
      <x:c r="B24" s="17" t="str">
        <x:v>Develop concept brief</x:v>
      </x:c>
      <x:c r="C24" s="17" t="str">
        <x:v>prompt_template_used</x:v>
      </x:c>
      <x:c r="D24" s="17" t="str">
        <x:v>No</x:v>
      </x:c>
      <x:c r="E24" s="17" t="n">
        <x:f>COUNTIFS('Tasks'!$C$7:$C$246,$A24,'Tasks'!$L$7:$L$246,$D24,'Tasks'!$F$7:$F$246,$B24)</x:f>
        <x:v>1</x:v>
      </x:c>
      <x:c r="F24" s="17" t="n">
        <x:f>SUMIFS('Tasks'!$O$7:$O$246,'Tasks'!$C$7:$C$246,$A24,'Tasks'!$L$7:$L$246,$D24,'Tasks'!$F$7:$F$246,$B24)</x:f>
        <x:v>146897</x:v>
      </x:c>
      <x:c r="G24" s="17" t="n">
        <x:f>SUMIFS('Tasks'!$P$7:$P$246,'Tasks'!$C$7:$C$246,$A24,'Tasks'!$L$7:$L$246,$D24,'Tasks'!$F$7:$F$246,$B24)</x:f>
        <x:v>44737</x:v>
      </x:c>
      <x:c r="H24" s="17" t="n">
        <x:f>SUMIFS('Tasks'!$Q$7:$Q$246,'Tasks'!$C$7:$C$246,$A24,'Tasks'!$L$7:$L$246,$D24,'Tasks'!$F$7:$F$246,$B24)</x:f>
        <x:v>191634</x:v>
      </x:c>
      <x:c r="I24" s="22" t="n">
        <x:f>SUMIFS('Tasks'!$S$7:$S$246,'Tasks'!$C$7:$C$246,$A24,'Tasks'!$L$7:$L$246,$D24,'Tasks'!$F$7:$F$246,$B24)</x:f>
        <x:v>5.87588</x:v>
      </x:c>
      <x:c r="J24" s="22" t="n">
        <x:f>SUMIFS('Tasks'!$T$7:$T$246,'Tasks'!$C$7:$C$246,$A24,'Tasks'!$L$7:$L$246,$D24,'Tasks'!$F$7:$F$246,$B24)</x:f>
        <x:v>4.4737</x:v>
      </x:c>
      <x:c r="K24" s="22" t="n">
        <x:f>SUMIFS('Tasks'!$U$7:$U$246,'Tasks'!$C$7:$C$246,$A24,'Tasks'!$L$7:$L$246,$D24,'Tasks'!$F$7:$F$246,$B24)</x:f>
        <x:v>10.34958</x:v>
      </x:c>
      <x:c r="L24" s="17" t="n">
        <x:f>SUMIFS('Tasks'!$R$7:$R$246,'Tasks'!$C$7:$C$246,$A24,'Tasks'!$L$7:$L$246,$D24,'Tasks'!$F$7:$F$246,$B24)</x:f>
        <x:v>8</x:v>
      </x:c>
      <x:c r="M24" s="22" t="n">
        <x:f>IF(L24=0,"N/A",K24/L24)</x:f>
        <x:v>1.2936975</x:v>
      </x:c>
      <x:c r="N24" s="19" t="n">
        <x:f>SUMIFS('Tasks'!$G$7:$G$246,'Tasks'!$C$7:$C$246,$A24,'Tasks'!$L$7:$L$246,$D24,'Tasks'!$F$7:$F$246,$B24)</x:f>
        <x:v>3</x:v>
      </x:c>
      <x:c r="O24" s="19" t="n">
        <x:f>SUMIFS('Tasks'!$H$7:$H$246,'Tasks'!$C$7:$C$246,$A24,'Tasks'!$L$7:$L$246,$D24,'Tasks'!$F$7:$F$246,$B24)</x:f>
        <x:v>1.51</x:v>
      </x:c>
      <x:c r="P24" s="19" t="n">
        <x:f>SUMIFS('Tasks'!$Y$7:$Y$246,'Tasks'!$C$7:$C$246,$A24,'Tasks'!$L$7:$L$246,$D24,'Tasks'!$F$7:$F$246,$B24)</x:f>
        <x:v>1.49</x:v>
      </x:c>
      <x:c r="Q24" s="22" t="n">
        <x:f>SUMIFS('Tasks'!$Z$7:$Z$246,'Tasks'!$C$7:$C$246,$A24,'Tasks'!$L$7:$L$246,$D24,'Tasks'!$F$7:$F$246,$B24)</x:f>
        <x:v>74.5</x:v>
      </x:c>
      <x:c r="R24" s="22" t="n">
        <x:f>SUMIFS('Tasks'!$AA$7:$AA$246,'Tasks'!$C$7:$C$246,$A24,'Tasks'!$L$7:$L$246,$D24,'Tasks'!$F$7:$F$246,$B24)</x:f>
        <x:v>64.15042</x:v>
      </x:c>
      <x:c r="S24" s="31" t="n">
        <x:f>IF(K24=0,"N/A",R24/K24)</x:f>
        <x:v>6.198359740202018</x:v>
      </x:c>
      <x:c r="T24" s="19" t="n">
        <x:f>SUMIFS('Tasks'!$I$7:$I$246,'Tasks'!$C$7:$C$246,$A24,'Tasks'!$L$7:$L$246,$D24,'Tasks'!$F$7:$F$246,$B24)</x:f>
        <x:v>0.08</x:v>
      </x:c>
      <x:c r="U24" s="31" t="n">
        <x:f>IF(O24=0,"N/A",T24/O24)</x:f>
        <x:v>0.052980132450331126</x:v>
      </x:c>
      <x:c r="V24" s="17" t="n">
        <x:f>SUMIFS('Tasks'!$X$7:$X$246,'Tasks'!$C$7:$C$246,$A24,'Tasks'!$L$7:$L$246,$D24,'Tasks'!$F$7:$F$246,$B24)</x:f>
        <x:v>1</x:v>
      </x:c>
      <x:c r="W24" s="31" t="n">
        <x:f>IF(L24=0,"N/A",V24/L24)</x:f>
        <x:v>0.125</x:v>
      </x:c>
      <x:c r="X24" s="17" t="n">
        <x:f>COUNTIFS('Tasks'!$C$7:$C$246,$A24,'Tasks'!$L$7:$L$246,$D24,'Tasks'!$F$7:$F$246,$B24,'Tasks'!$L$7:$L$246,"Yes")</x:f>
        <x:v>0</x:v>
      </x:c>
      <x:c r="Y24" s="17" t="n">
        <x:f>COUNTIFS('Tasks'!$C$7:$C$246,$A24,'Tasks'!$L$7:$L$246,$D24,'Tasks'!$F$7:$F$246,$B24,'Tasks'!$K$7:$K$246,"Yes")</x:f>
        <x:v>0</x:v>
      </x:c>
      <x:c r="Z24" s="17" t="n">
        <x:f>COUNTIFS('Tasks'!$C$7:$C$246,$A24,'Tasks'!$L$7:$L$246,$D24,'Tasks'!$F$7:$F$246,$B24,'Tasks'!$AA$7:$AA$246,"&gt;0")</x:f>
        <x:v>1</x:v>
      </x:c>
      <x:c r="AA24" s="17" t="n">
        <x:f>COUNTIFS('Tasks'!$C$7:$C$246,$A24,'Tasks'!$L$7:$L$246,$D24,'Tasks'!$F$7:$F$246,$B24,'Tasks'!$AA$7:$AA$246,"&lt;0")</x:f>
        <x:v>0</x:v>
      </x:c>
      <x:c r="AB24" s="19" t="n">
        <x:f>IF(E24=0,"N/A",V24/E24)</x:f>
        <x:v>1</x:v>
      </x:c>
      <x:c r="AC24" s="22" t="n">
        <x:f>IF(E24=0,"N/A",K24/E24)</x:f>
        <x:v>10.34958</x:v>
      </x:c>
      <x:c r="AD24" s="19" t="n">
        <x:f>IF(E24=0,"N/A",P24/E24)</x:f>
        <x:v>1.49</x:v>
      </x:c>
    </x:row>
    <x:row r="25" ht="23" customHeight="1">
      <x:c r="A25" s="17" t="str">
        <x:v>C001</x:v>
      </x:c>
      <x:c r="B25" s="17" t="str">
        <x:v>Develop concept brief</x:v>
      </x:c>
      <x:c r="C25" s="17" t="str">
        <x:v>prompt_template_used</x:v>
      </x:c>
      <x:c r="D25" s="17" t="str">
        <x:v>Yes</x:v>
      </x:c>
      <x:c r="E25" s="17" t="n">
        <x:f>COUNTIFS('Tasks'!$C$7:$C$246,$A25,'Tasks'!$L$7:$L$246,$D25,'Tasks'!$F$7:$F$246,$B25)</x:f>
        <x:v>4</x:v>
      </x:c>
      <x:c r="F25" s="17" t="n">
        <x:f>SUMIFS('Tasks'!$O$7:$O$246,'Tasks'!$C$7:$C$246,$A25,'Tasks'!$L$7:$L$246,$D25,'Tasks'!$F$7:$F$246,$B25)</x:f>
        <x:v>860169</x:v>
      </x:c>
      <x:c r="G25" s="17" t="n">
        <x:f>SUMIFS('Tasks'!$P$7:$P$246,'Tasks'!$C$7:$C$246,$A25,'Tasks'!$L$7:$L$246,$D25,'Tasks'!$F$7:$F$246,$B25)</x:f>
        <x:v>297942</x:v>
      </x:c>
      <x:c r="H25" s="17" t="n">
        <x:f>SUMIFS('Tasks'!$Q$7:$Q$246,'Tasks'!$C$7:$C$246,$A25,'Tasks'!$L$7:$L$246,$D25,'Tasks'!$F$7:$F$246,$B25)</x:f>
        <x:v>1158111</x:v>
      </x:c>
      <x:c r="I25" s="22" t="n">
        <x:f>SUMIFS('Tasks'!$S$7:$S$246,'Tasks'!$C$7:$C$246,$A25,'Tasks'!$L$7:$L$246,$D25,'Tasks'!$F$7:$F$246,$B25)</x:f>
        <x:v>15.9663</x:v>
      </x:c>
      <x:c r="J25" s="22" t="n">
        <x:f>SUMIFS('Tasks'!$T$7:$T$246,'Tasks'!$C$7:$C$246,$A25,'Tasks'!$L$7:$L$246,$D25,'Tasks'!$F$7:$F$246,$B25)</x:f>
        <x:v>18.25932</x:v>
      </x:c>
      <x:c r="K25" s="22" t="n">
        <x:f>SUMIFS('Tasks'!$U$7:$U$246,'Tasks'!$C$7:$C$246,$A25,'Tasks'!$L$7:$L$246,$D25,'Tasks'!$F$7:$F$246,$B25)</x:f>
        <x:v>34.22562</x:v>
      </x:c>
      <x:c r="L25" s="17" t="n">
        <x:f>SUMIFS('Tasks'!$R$7:$R$246,'Tasks'!$C$7:$C$246,$A25,'Tasks'!$L$7:$L$246,$D25,'Tasks'!$F$7:$F$246,$B25)</x:f>
        <x:v>37</x:v>
      </x:c>
      <x:c r="M25" s="22" t="n">
        <x:f>IF(L25=0,"N/A",K25/L25)</x:f>
        <x:v>0.9250167567567568</x:v>
      </x:c>
      <x:c r="N25" s="19" t="n">
        <x:f>SUMIFS('Tasks'!$G$7:$G$246,'Tasks'!$C$7:$C$246,$A25,'Tasks'!$L$7:$L$246,$D25,'Tasks'!$F$7:$F$246,$B25)</x:f>
        <x:v>16.92</x:v>
      </x:c>
      <x:c r="O25" s="19" t="n">
        <x:f>SUMIFS('Tasks'!$H$7:$H$246,'Tasks'!$C$7:$C$246,$A25,'Tasks'!$L$7:$L$246,$D25,'Tasks'!$F$7:$F$246,$B25)</x:f>
        <x:v>10.95</x:v>
      </x:c>
      <x:c r="P25" s="19" t="n">
        <x:f>SUMIFS('Tasks'!$Y$7:$Y$246,'Tasks'!$C$7:$C$246,$A25,'Tasks'!$L$7:$L$246,$D25,'Tasks'!$F$7:$F$246,$B25)</x:f>
        <x:v>5.970000000000001</x:v>
      </x:c>
      <x:c r="Q25" s="22" t="n">
        <x:f>SUMIFS('Tasks'!$Z$7:$Z$246,'Tasks'!$C$7:$C$246,$A25,'Tasks'!$L$7:$L$246,$D25,'Tasks'!$F$7:$F$246,$B25)</x:f>
        <x:v>298.5</x:v>
      </x:c>
      <x:c r="R25" s="22" t="n">
        <x:f>SUMIFS('Tasks'!$AA$7:$AA$246,'Tasks'!$C$7:$C$246,$A25,'Tasks'!$L$7:$L$246,$D25,'Tasks'!$F$7:$F$246,$B25)</x:f>
        <x:v>264.27438000000006</x:v>
      </x:c>
      <x:c r="S25" s="31" t="n">
        <x:f>IF(K25=0,"N/A",R25/K25)</x:f>
        <x:v>7.721536673404311</x:v>
      </x:c>
      <x:c r="T25" s="19" t="n">
        <x:f>SUMIFS('Tasks'!$I$7:$I$246,'Tasks'!$C$7:$C$246,$A25,'Tasks'!$L$7:$L$246,$D25,'Tasks'!$F$7:$F$246,$B25)</x:f>
        <x:v>0.64</x:v>
      </x:c>
      <x:c r="U25" s="31" t="n">
        <x:f>IF(O25=0,"N/A",T25/O25)</x:f>
        <x:v>0.05844748858447489</x:v>
      </x:c>
      <x:c r="V25" s="17" t="n">
        <x:f>SUMIFS('Tasks'!$X$7:$X$246,'Tasks'!$C$7:$C$246,$A25,'Tasks'!$L$7:$L$246,$D25,'Tasks'!$F$7:$F$246,$B25)</x:f>
        <x:v>4</x:v>
      </x:c>
      <x:c r="W25" s="31" t="n">
        <x:f>IF(L25=0,"N/A",V25/L25)</x:f>
        <x:v>0.10810810810810811</x:v>
      </x:c>
      <x:c r="X25" s="17" t="n">
        <x:f>COUNTIFS('Tasks'!$C$7:$C$246,$A25,'Tasks'!$L$7:$L$246,$D25,'Tasks'!$F$7:$F$246,$B25,'Tasks'!$L$7:$L$246,"Yes")</x:f>
        <x:v>4</x:v>
      </x:c>
      <x:c r="Y25" s="17" t="n">
        <x:f>COUNTIFS('Tasks'!$C$7:$C$246,$A25,'Tasks'!$L$7:$L$246,$D25,'Tasks'!$F$7:$F$246,$B25,'Tasks'!$K$7:$K$246,"Yes")</x:f>
        <x:v>0</x:v>
      </x:c>
      <x:c r="Z25" s="17" t="n">
        <x:f>COUNTIFS('Tasks'!$C$7:$C$246,$A25,'Tasks'!$L$7:$L$246,$D25,'Tasks'!$F$7:$F$246,$B25,'Tasks'!$AA$7:$AA$246,"&gt;0")</x:f>
        <x:v>3</x:v>
      </x:c>
      <x:c r="AA25" s="17" t="n">
        <x:f>COUNTIFS('Tasks'!$C$7:$C$246,$A25,'Tasks'!$L$7:$L$246,$D25,'Tasks'!$F$7:$F$246,$B25,'Tasks'!$AA$7:$AA$246,"&lt;0")</x:f>
        <x:v>1</x:v>
      </x:c>
      <x:c r="AB25" s="19" t="n">
        <x:f>IF(E25=0,"N/A",V25/E25)</x:f>
        <x:v>1</x:v>
      </x:c>
      <x:c r="AC25" s="22" t="n">
        <x:f>IF(E25=0,"N/A",K25/E25)</x:f>
        <x:v>8.556405</x:v>
      </x:c>
      <x:c r="AD25" s="19" t="n">
        <x:f>IF(E25=0,"N/A",P25/E25)</x:f>
        <x:v>1.4925000000000002</x:v>
      </x:c>
    </x:row>
    <x:row r="26" ht="23" customHeight="1">
      <x:c r="A26" s="17" t="str">
        <x:v>C001</x:v>
      </x:c>
      <x:c r="B26" s="17" t="str">
        <x:v>Develop concept brief</x:v>
      </x:c>
      <x:c r="C26" s="17" t="str">
        <x:v>brief_changed</x:v>
      </x:c>
      <x:c r="D26" s="17" t="str">
        <x:v>No</x:v>
      </x:c>
      <x:c r="E26" s="17" t="n">
        <x:f>COUNTIFS('Tasks'!$C$7:$C$246,$A26,'Tasks'!$K$7:$K$246,$D26,'Tasks'!$F$7:$F$246,$B26)</x:f>
        <x:v>5</x:v>
      </x:c>
      <x:c r="F26" s="17" t="n">
        <x:f>SUMIFS('Tasks'!$O$7:$O$246,'Tasks'!$C$7:$C$246,$A26,'Tasks'!$K$7:$K$246,$D26,'Tasks'!$F$7:$F$246,$B26)</x:f>
        <x:v>1007066</x:v>
      </x:c>
      <x:c r="G26" s="17" t="n">
        <x:f>SUMIFS('Tasks'!$P$7:$P$246,'Tasks'!$C$7:$C$246,$A26,'Tasks'!$K$7:$K$246,$D26,'Tasks'!$F$7:$F$246,$B26)</x:f>
        <x:v>342679</x:v>
      </x:c>
      <x:c r="H26" s="17" t="n">
        <x:f>SUMIFS('Tasks'!$Q$7:$Q$246,'Tasks'!$C$7:$C$246,$A26,'Tasks'!$K$7:$K$246,$D26,'Tasks'!$F$7:$F$246,$B26)</x:f>
        <x:v>1349745</x:v>
      </x:c>
      <x:c r="I26" s="22" t="n">
        <x:f>SUMIFS('Tasks'!$S$7:$S$246,'Tasks'!$C$7:$C$246,$A26,'Tasks'!$K$7:$K$246,$D26,'Tasks'!$F$7:$F$246,$B26)</x:f>
        <x:v>21.842179999999995</x:v>
      </x:c>
      <x:c r="J26" s="22" t="n">
        <x:f>SUMIFS('Tasks'!$T$7:$T$246,'Tasks'!$C$7:$C$246,$A26,'Tasks'!$K$7:$K$246,$D26,'Tasks'!$F$7:$F$246,$B26)</x:f>
        <x:v>22.733019999999996</x:v>
      </x:c>
      <x:c r="K26" s="22" t="n">
        <x:f>SUMIFS('Tasks'!$U$7:$U$246,'Tasks'!$C$7:$C$246,$A26,'Tasks'!$K$7:$K$246,$D26,'Tasks'!$F$7:$F$246,$B26)</x:f>
        <x:v>44.5752</x:v>
      </x:c>
      <x:c r="L26" s="17" t="n">
        <x:f>SUMIFS('Tasks'!$R$7:$R$246,'Tasks'!$C$7:$C$246,$A26,'Tasks'!$K$7:$K$246,$D26,'Tasks'!$F$7:$F$246,$B26)</x:f>
        <x:v>45</x:v>
      </x:c>
      <x:c r="M26" s="22" t="n">
        <x:f>IF(L26=0,"N/A",K26/L26)</x:f>
        <x:v>0.9905600000000001</x:v>
      </x:c>
      <x:c r="N26" s="19" t="n">
        <x:f>SUMIFS('Tasks'!$G$7:$G$246,'Tasks'!$C$7:$C$246,$A26,'Tasks'!$K$7:$K$246,$D26,'Tasks'!$F$7:$F$246,$B26)</x:f>
        <x:v>19.92</x:v>
      </x:c>
      <x:c r="O26" s="19" t="n">
        <x:f>SUMIFS('Tasks'!$H$7:$H$246,'Tasks'!$C$7:$C$246,$A26,'Tasks'!$K$7:$K$246,$D26,'Tasks'!$F$7:$F$246,$B26)</x:f>
        <x:v>12.46</x:v>
      </x:c>
      <x:c r="P26" s="19" t="n">
        <x:f>SUMIFS('Tasks'!$Y$7:$Y$246,'Tasks'!$C$7:$C$246,$A26,'Tasks'!$K$7:$K$246,$D26,'Tasks'!$F$7:$F$246,$B26)</x:f>
        <x:v>7.46</x:v>
      </x:c>
      <x:c r="Q26" s="22" t="n">
        <x:f>SUMIFS('Tasks'!$Z$7:$Z$246,'Tasks'!$C$7:$C$246,$A26,'Tasks'!$K$7:$K$246,$D26,'Tasks'!$F$7:$F$246,$B26)</x:f>
        <x:v>373</x:v>
      </x:c>
      <x:c r="R26" s="22" t="n">
        <x:f>SUMIFS('Tasks'!$AA$7:$AA$246,'Tasks'!$C$7:$C$246,$A26,'Tasks'!$K$7:$K$246,$D26,'Tasks'!$F$7:$F$246,$B26)</x:f>
        <x:v>328.4248</x:v>
      </x:c>
      <x:c r="S26" s="31" t="n">
        <x:f>IF(K26=0,"N/A",R26/K26)</x:f>
        <x:v>7.367881692061953</x:v>
      </x:c>
      <x:c r="T26" s="19" t="n">
        <x:f>SUMIFS('Tasks'!$I$7:$I$246,'Tasks'!$C$7:$C$246,$A26,'Tasks'!$K$7:$K$246,$D26,'Tasks'!$F$7:$F$246,$B26)</x:f>
        <x:v>0.72</x:v>
      </x:c>
      <x:c r="U26" s="31" t="n">
        <x:f>IF(O26=0,"N/A",T26/O26)</x:f>
        <x:v>0.05778491171749598</x:v>
      </x:c>
      <x:c r="V26" s="17" t="n">
        <x:f>SUMIFS('Tasks'!$X$7:$X$246,'Tasks'!$C$7:$C$246,$A26,'Tasks'!$K$7:$K$246,$D26,'Tasks'!$F$7:$F$246,$B26)</x:f>
        <x:v>5</x:v>
      </x:c>
      <x:c r="W26" s="31" t="n">
        <x:f>IF(L26=0,"N/A",V26/L26)</x:f>
        <x:v>0.1111111111111111</x:v>
      </x:c>
      <x:c r="X26" s="17" t="n">
        <x:f>COUNTIFS('Tasks'!$C$7:$C$246,$A26,'Tasks'!$K$7:$K$246,$D26,'Tasks'!$F$7:$F$246,$B26,'Tasks'!$L$7:$L$246,"Yes")</x:f>
        <x:v>4</x:v>
      </x:c>
      <x:c r="Y26" s="17" t="n">
        <x:f>COUNTIFS('Tasks'!$C$7:$C$246,$A26,'Tasks'!$K$7:$K$246,$D26,'Tasks'!$F$7:$F$246,$B26,'Tasks'!$K$7:$K$246,"Yes")</x:f>
        <x:v>0</x:v>
      </x:c>
      <x:c r="Z26" s="17" t="n">
        <x:f>COUNTIFS('Tasks'!$C$7:$C$246,$A26,'Tasks'!$K$7:$K$246,$D26,'Tasks'!$F$7:$F$246,$B26,'Tasks'!$AA$7:$AA$246,"&gt;0")</x:f>
        <x:v>4</x:v>
      </x:c>
      <x:c r="AA26" s="17" t="n">
        <x:f>COUNTIFS('Tasks'!$C$7:$C$246,$A26,'Tasks'!$K$7:$K$246,$D26,'Tasks'!$F$7:$F$246,$B26,'Tasks'!$AA$7:$AA$246,"&lt;0")</x:f>
        <x:v>1</x:v>
      </x:c>
      <x:c r="AB26" s="19" t="n">
        <x:f>IF(E26=0,"N/A",V26/E26)</x:f>
        <x:v>1</x:v>
      </x:c>
      <x:c r="AC26" s="22" t="n">
        <x:f>IF(E26=0,"N/A",K26/E26)</x:f>
        <x:v>8.915040000000001</x:v>
      </x:c>
      <x:c r="AD26" s="19" t="n">
        <x:f>IF(E26=0,"N/A",P26/E26)</x:f>
        <x:v>1.492</x:v>
      </x:c>
    </x:row>
    <x:row r="27" ht="23" customHeight="1">
      <x:c r="A27" s="17" t="str">
        <x:v>C001</x:v>
      </x:c>
      <x:c r="B27" s="17" t="str">
        <x:v>Draft email sequence</x:v>
      </x:c>
      <x:c r="C27" s="17" t="str">
        <x:v>prompt_template_used</x:v>
      </x:c>
      <x:c r="D27" s="17" t="str">
        <x:v>Yes</x:v>
      </x:c>
      <x:c r="E27" s="17" t="n">
        <x:f>COUNTIFS('Tasks'!$C$7:$C$246,$A27,'Tasks'!$L$7:$L$246,$D27,'Tasks'!$F$7:$F$246,$B27)</x:f>
        <x:v>5</x:v>
      </x:c>
      <x:c r="F27" s="17" t="n">
        <x:f>SUMIFS('Tasks'!$O$7:$O$246,'Tasks'!$C$7:$C$246,$A27,'Tasks'!$L$7:$L$246,$D27,'Tasks'!$F$7:$F$246,$B27)</x:f>
        <x:v>2679271</x:v>
      </x:c>
      <x:c r="G27" s="17" t="n">
        <x:f>SUMIFS('Tasks'!$P$7:$P$246,'Tasks'!$C$7:$C$246,$A27,'Tasks'!$L$7:$L$246,$D27,'Tasks'!$F$7:$F$246,$B27)</x:f>
        <x:v>420120</x:v>
      </x:c>
      <x:c r="H27" s="17" t="n">
        <x:f>SUMIFS('Tasks'!$Q$7:$Q$246,'Tasks'!$C$7:$C$246,$A27,'Tasks'!$L$7:$L$246,$D27,'Tasks'!$F$7:$F$246,$B27)</x:f>
        <x:v>3099391</x:v>
      </x:c>
      <x:c r="I27" s="22" t="n">
        <x:f>SUMIFS('Tasks'!$S$7:$S$246,'Tasks'!$C$7:$C$246,$A27,'Tasks'!$L$7:$L$246,$D27,'Tasks'!$F$7:$F$246,$B27)</x:f>
        <x:v>26.79271</x:v>
      </x:c>
      <x:c r="J27" s="22" t="n">
        <x:f>SUMIFS('Tasks'!$T$7:$T$246,'Tasks'!$C$7:$C$246,$A27,'Tasks'!$L$7:$L$246,$D27,'Tasks'!$F$7:$F$246,$B27)</x:f>
        <x:v>12.6036</x:v>
      </x:c>
      <x:c r="K27" s="22" t="n">
        <x:f>SUMIFS('Tasks'!$U$7:$U$246,'Tasks'!$C$7:$C$246,$A27,'Tasks'!$L$7:$L$246,$D27,'Tasks'!$F$7:$F$246,$B27)</x:f>
        <x:v>39.39631</x:v>
      </x:c>
      <x:c r="L27" s="17" t="n">
        <x:f>SUMIFS('Tasks'!$R$7:$R$246,'Tasks'!$C$7:$C$246,$A27,'Tasks'!$L$7:$L$246,$D27,'Tasks'!$F$7:$F$246,$B27)</x:f>
        <x:v>55</x:v>
      </x:c>
      <x:c r="M27" s="22" t="n">
        <x:f>IF(L27=0,"N/A",K27/L27)</x:f>
        <x:v>0.7162965454545455</x:v>
      </x:c>
      <x:c r="N27" s="19" t="n">
        <x:f>SUMIFS('Tasks'!$G$7:$G$246,'Tasks'!$C$7:$C$246,$A27,'Tasks'!$L$7:$L$246,$D27,'Tasks'!$F$7:$F$246,$B27)</x:f>
        <x:v>19.57</x:v>
      </x:c>
      <x:c r="O27" s="19" t="n">
        <x:f>SUMIFS('Tasks'!$H$7:$H$246,'Tasks'!$C$7:$C$246,$A27,'Tasks'!$L$7:$L$246,$D27,'Tasks'!$F$7:$F$246,$B27)</x:f>
        <x:v>12.280000000000001</x:v>
      </x:c>
      <x:c r="P27" s="19" t="n">
        <x:f>SUMIFS('Tasks'!$Y$7:$Y$246,'Tasks'!$C$7:$C$246,$A27,'Tasks'!$L$7:$L$246,$D27,'Tasks'!$F$7:$F$246,$B27)</x:f>
        <x:v>7.289999999999999</x:v>
      </x:c>
      <x:c r="Q27" s="22" t="n">
        <x:f>SUMIFS('Tasks'!$Z$7:$Z$246,'Tasks'!$C$7:$C$246,$A27,'Tasks'!$L$7:$L$246,$D27,'Tasks'!$F$7:$F$246,$B27)</x:f>
        <x:v>364.5</x:v>
      </x:c>
      <x:c r="R27" s="22" t="n">
        <x:f>SUMIFS('Tasks'!$AA$7:$AA$246,'Tasks'!$C$7:$C$246,$A27,'Tasks'!$L$7:$L$246,$D27,'Tasks'!$F$7:$F$246,$B27)</x:f>
        <x:v>325.10369</x:v>
      </x:c>
      <x:c r="S27" s="31" t="n">
        <x:f>IF(K27=0,"N/A",R27/K27)</x:f>
        <x:v>8.25213554264346</x:v>
      </x:c>
      <x:c r="T27" s="19" t="n">
        <x:f>SUMIFS('Tasks'!$I$7:$I$246,'Tasks'!$C$7:$C$246,$A27,'Tasks'!$L$7:$L$246,$D27,'Tasks'!$F$7:$F$246,$B27)</x:f>
        <x:v>0.56</x:v>
      </x:c>
      <x:c r="U27" s="31" t="n">
        <x:f>IF(O27=0,"N/A",T27/O27)</x:f>
        <x:v>0.04560260586319218</x:v>
      </x:c>
      <x:c r="V27" s="17" t="n">
        <x:f>SUMIFS('Tasks'!$X$7:$X$246,'Tasks'!$C$7:$C$246,$A27,'Tasks'!$L$7:$L$246,$D27,'Tasks'!$F$7:$F$246,$B27)</x:f>
        <x:v>5</x:v>
      </x:c>
      <x:c r="W27" s="31" t="n">
        <x:f>IF(L27=0,"N/A",V27/L27)</x:f>
        <x:v>0.09090909090909091</x:v>
      </x:c>
      <x:c r="X27" s="17" t="n">
        <x:f>COUNTIFS('Tasks'!$C$7:$C$246,$A27,'Tasks'!$L$7:$L$246,$D27,'Tasks'!$F$7:$F$246,$B27,'Tasks'!$L$7:$L$246,"Yes")</x:f>
        <x:v>5</x:v>
      </x:c>
      <x:c r="Y27" s="17" t="n">
        <x:f>COUNTIFS('Tasks'!$C$7:$C$246,$A27,'Tasks'!$L$7:$L$246,$D27,'Tasks'!$F$7:$F$246,$B27,'Tasks'!$K$7:$K$246,"Yes")</x:f>
        <x:v>0</x:v>
      </x:c>
      <x:c r="Z27" s="17" t="n">
        <x:f>COUNTIFS('Tasks'!$C$7:$C$246,$A27,'Tasks'!$L$7:$L$246,$D27,'Tasks'!$F$7:$F$246,$B27,'Tasks'!$AA$7:$AA$246,"&gt;0")</x:f>
        <x:v>4</x:v>
      </x:c>
      <x:c r="AA27" s="17" t="n">
        <x:f>COUNTIFS('Tasks'!$C$7:$C$246,$A27,'Tasks'!$L$7:$L$246,$D27,'Tasks'!$F$7:$F$246,$B27,'Tasks'!$AA$7:$AA$246,"&lt;0")</x:f>
        <x:v>1</x:v>
      </x:c>
      <x:c r="AB27" s="19" t="n">
        <x:f>IF(E27=0,"N/A",V27/E27)</x:f>
        <x:v>1</x:v>
      </x:c>
      <x:c r="AC27" s="22" t="n">
        <x:f>IF(E27=0,"N/A",K27/E27)</x:f>
        <x:v>7.879262</x:v>
      </x:c>
      <x:c r="AD27" s="19" t="n">
        <x:f>IF(E27=0,"N/A",P27/E27)</x:f>
        <x:v>1.4579999999999997</x:v>
      </x:c>
    </x:row>
    <x:row r="28" ht="23" customHeight="1">
      <x:c r="A28" s="17" t="str">
        <x:v>C001</x:v>
      </x:c>
      <x:c r="B28" s="17" t="str">
        <x:v>Draft email sequence</x:v>
      </x:c>
      <x:c r="C28" s="17" t="str">
        <x:v>brief_changed</x:v>
      </x:c>
      <x:c r="D28" s="17" t="str">
        <x:v>No</x:v>
      </x:c>
      <x:c r="E28" s="17" t="n">
        <x:f>COUNTIFS('Tasks'!$C$7:$C$246,$A28,'Tasks'!$K$7:$K$246,$D28,'Tasks'!$F$7:$F$246,$B28)</x:f>
        <x:v>5</x:v>
      </x:c>
      <x:c r="F28" s="17" t="n">
        <x:f>SUMIFS('Tasks'!$O$7:$O$246,'Tasks'!$C$7:$C$246,$A28,'Tasks'!$K$7:$K$246,$D28,'Tasks'!$F$7:$F$246,$B28)</x:f>
        <x:v>2679271</x:v>
      </x:c>
      <x:c r="G28" s="17" t="n">
        <x:f>SUMIFS('Tasks'!$P$7:$P$246,'Tasks'!$C$7:$C$246,$A28,'Tasks'!$K$7:$K$246,$D28,'Tasks'!$F$7:$F$246,$B28)</x:f>
        <x:v>420120</x:v>
      </x:c>
      <x:c r="H28" s="17" t="n">
        <x:f>SUMIFS('Tasks'!$Q$7:$Q$246,'Tasks'!$C$7:$C$246,$A28,'Tasks'!$K$7:$K$246,$D28,'Tasks'!$F$7:$F$246,$B28)</x:f>
        <x:v>3099391</x:v>
      </x:c>
      <x:c r="I28" s="22" t="n">
        <x:f>SUMIFS('Tasks'!$S$7:$S$246,'Tasks'!$C$7:$C$246,$A28,'Tasks'!$K$7:$K$246,$D28,'Tasks'!$F$7:$F$246,$B28)</x:f>
        <x:v>26.79271</x:v>
      </x:c>
      <x:c r="J28" s="22" t="n">
        <x:f>SUMIFS('Tasks'!$T$7:$T$246,'Tasks'!$C$7:$C$246,$A28,'Tasks'!$K$7:$K$246,$D28,'Tasks'!$F$7:$F$246,$B28)</x:f>
        <x:v>12.6036</x:v>
      </x:c>
      <x:c r="K28" s="22" t="n">
        <x:f>SUMIFS('Tasks'!$U$7:$U$246,'Tasks'!$C$7:$C$246,$A28,'Tasks'!$K$7:$K$246,$D28,'Tasks'!$F$7:$F$246,$B28)</x:f>
        <x:v>39.39631</x:v>
      </x:c>
      <x:c r="L28" s="17" t="n">
        <x:f>SUMIFS('Tasks'!$R$7:$R$246,'Tasks'!$C$7:$C$246,$A28,'Tasks'!$K$7:$K$246,$D28,'Tasks'!$F$7:$F$246,$B28)</x:f>
        <x:v>55</x:v>
      </x:c>
      <x:c r="M28" s="22" t="n">
        <x:f>IF(L28=0,"N/A",K28/L28)</x:f>
        <x:v>0.7162965454545455</x:v>
      </x:c>
      <x:c r="N28" s="19" t="n">
        <x:f>SUMIFS('Tasks'!$G$7:$G$246,'Tasks'!$C$7:$C$246,$A28,'Tasks'!$K$7:$K$246,$D28,'Tasks'!$F$7:$F$246,$B28)</x:f>
        <x:v>19.57</x:v>
      </x:c>
      <x:c r="O28" s="19" t="n">
        <x:f>SUMIFS('Tasks'!$H$7:$H$246,'Tasks'!$C$7:$C$246,$A28,'Tasks'!$K$7:$K$246,$D28,'Tasks'!$F$7:$F$246,$B28)</x:f>
        <x:v>12.280000000000001</x:v>
      </x:c>
      <x:c r="P28" s="19" t="n">
        <x:f>SUMIFS('Tasks'!$Y$7:$Y$246,'Tasks'!$C$7:$C$246,$A28,'Tasks'!$K$7:$K$246,$D28,'Tasks'!$F$7:$F$246,$B28)</x:f>
        <x:v>7.289999999999999</x:v>
      </x:c>
      <x:c r="Q28" s="22" t="n">
        <x:f>SUMIFS('Tasks'!$Z$7:$Z$246,'Tasks'!$C$7:$C$246,$A28,'Tasks'!$K$7:$K$246,$D28,'Tasks'!$F$7:$F$246,$B28)</x:f>
        <x:v>364.5</x:v>
      </x:c>
      <x:c r="R28" s="22" t="n">
        <x:f>SUMIFS('Tasks'!$AA$7:$AA$246,'Tasks'!$C$7:$C$246,$A28,'Tasks'!$K$7:$K$246,$D28,'Tasks'!$F$7:$F$246,$B28)</x:f>
        <x:v>325.10369</x:v>
      </x:c>
      <x:c r="S28" s="31" t="n">
        <x:f>IF(K28=0,"N/A",R28/K28)</x:f>
        <x:v>8.25213554264346</x:v>
      </x:c>
      <x:c r="T28" s="19" t="n">
        <x:f>SUMIFS('Tasks'!$I$7:$I$246,'Tasks'!$C$7:$C$246,$A28,'Tasks'!$K$7:$K$246,$D28,'Tasks'!$F$7:$F$246,$B28)</x:f>
        <x:v>0.56</x:v>
      </x:c>
      <x:c r="U28" s="31" t="n">
        <x:f>IF(O28=0,"N/A",T28/O28)</x:f>
        <x:v>0.04560260586319218</x:v>
      </x:c>
      <x:c r="V28" s="17" t="n">
        <x:f>SUMIFS('Tasks'!$X$7:$X$246,'Tasks'!$C$7:$C$246,$A28,'Tasks'!$K$7:$K$246,$D28,'Tasks'!$F$7:$F$246,$B28)</x:f>
        <x:v>5</x:v>
      </x:c>
      <x:c r="W28" s="31" t="n">
        <x:f>IF(L28=0,"N/A",V28/L28)</x:f>
        <x:v>0.09090909090909091</x:v>
      </x:c>
      <x:c r="X28" s="17" t="n">
        <x:f>COUNTIFS('Tasks'!$C$7:$C$246,$A28,'Tasks'!$K$7:$K$246,$D28,'Tasks'!$F$7:$F$246,$B28,'Tasks'!$L$7:$L$246,"Yes")</x:f>
        <x:v>5</x:v>
      </x:c>
      <x:c r="Y28" s="17" t="n">
        <x:f>COUNTIFS('Tasks'!$C$7:$C$246,$A28,'Tasks'!$K$7:$K$246,$D28,'Tasks'!$F$7:$F$246,$B28,'Tasks'!$K$7:$K$246,"Yes")</x:f>
        <x:v>0</x:v>
      </x:c>
      <x:c r="Z28" s="17" t="n">
        <x:f>COUNTIFS('Tasks'!$C$7:$C$246,$A28,'Tasks'!$K$7:$K$246,$D28,'Tasks'!$F$7:$F$246,$B28,'Tasks'!$AA$7:$AA$246,"&gt;0")</x:f>
        <x:v>4</x:v>
      </x:c>
      <x:c r="AA28" s="17" t="n">
        <x:f>COUNTIFS('Tasks'!$C$7:$C$246,$A28,'Tasks'!$K$7:$K$246,$D28,'Tasks'!$F$7:$F$246,$B28,'Tasks'!$AA$7:$AA$246,"&lt;0")</x:f>
        <x:v>1</x:v>
      </x:c>
      <x:c r="AB28" s="19" t="n">
        <x:f>IF(E28=0,"N/A",V28/E28)</x:f>
        <x:v>1</x:v>
      </x:c>
      <x:c r="AC28" s="22" t="n">
        <x:f>IF(E28=0,"N/A",K28/E28)</x:f>
        <x:v>7.879262</x:v>
      </x:c>
      <x:c r="AD28" s="19" t="n">
        <x:f>IF(E28=0,"N/A",P28/E28)</x:f>
        <x:v>1.4579999999999997</x:v>
      </x:c>
    </x:row>
    <x:row r="29" ht="23" customHeight="1">
      <x:c r="A29" s="17" t="str">
        <x:v>C001</x:v>
      </x:c>
      <x:c r="B29" s="17" t="str">
        <x:v>Edit landing page</x:v>
      </x:c>
      <x:c r="C29" s="17" t="str">
        <x:v>prompt_template_used</x:v>
      </x:c>
      <x:c r="D29" s="17" t="str">
        <x:v>Yes</x:v>
      </x:c>
      <x:c r="E29" s="17" t="n">
        <x:f>COUNTIFS('Tasks'!$C$7:$C$246,$A29,'Tasks'!$L$7:$L$246,$D29,'Tasks'!$F$7:$F$246,$B29)</x:f>
        <x:v>5</x:v>
      </x:c>
      <x:c r="F29" s="17" t="n">
        <x:f>SUMIFS('Tasks'!$O$7:$O$246,'Tasks'!$C$7:$C$246,$A29,'Tasks'!$L$7:$L$246,$D29,'Tasks'!$F$7:$F$246,$B29)</x:f>
        <x:v>1875085</x:v>
      </x:c>
      <x:c r="G29" s="17" t="n">
        <x:f>SUMIFS('Tasks'!$P$7:$P$246,'Tasks'!$C$7:$C$246,$A29,'Tasks'!$L$7:$L$246,$D29,'Tasks'!$F$7:$F$246,$B29)</x:f>
        <x:v>413149</x:v>
      </x:c>
      <x:c r="H29" s="17" t="n">
        <x:f>SUMIFS('Tasks'!$Q$7:$Q$246,'Tasks'!$C$7:$C$246,$A29,'Tasks'!$L$7:$L$246,$D29,'Tasks'!$F$7:$F$246,$B29)</x:f>
        <x:v>2288234</x:v>
      </x:c>
      <x:c r="I29" s="22" t="n">
        <x:f>SUMIFS('Tasks'!$S$7:$S$246,'Tasks'!$C$7:$C$246,$A29,'Tasks'!$L$7:$L$246,$D29,'Tasks'!$F$7:$F$246,$B29)</x:f>
        <x:v>18.75085</x:v>
      </x:c>
      <x:c r="J29" s="22" t="n">
        <x:f>SUMIFS('Tasks'!$T$7:$T$246,'Tasks'!$C$7:$C$246,$A29,'Tasks'!$L$7:$L$246,$D29,'Tasks'!$F$7:$F$246,$B29)</x:f>
        <x:v>12.39447</x:v>
      </x:c>
      <x:c r="K29" s="22" t="n">
        <x:f>SUMIFS('Tasks'!$U$7:$U$246,'Tasks'!$C$7:$C$246,$A29,'Tasks'!$L$7:$L$246,$D29,'Tasks'!$F$7:$F$246,$B29)</x:f>
        <x:v>31.145319999999998</x:v>
      </x:c>
      <x:c r="L29" s="17" t="n">
        <x:f>SUMIFS('Tasks'!$R$7:$R$246,'Tasks'!$C$7:$C$246,$A29,'Tasks'!$L$7:$L$246,$D29,'Tasks'!$F$7:$F$246,$B29)</x:f>
        <x:v>53</x:v>
      </x:c>
      <x:c r="M29" s="22" t="n">
        <x:f>IF(L29=0,"N/A",K29/L29)</x:f>
        <x:v>0.5876475471698113</x:v>
      </x:c>
      <x:c r="N29" s="19" t="n">
        <x:f>SUMIFS('Tasks'!$G$7:$G$246,'Tasks'!$C$7:$C$246,$A29,'Tasks'!$L$7:$L$246,$D29,'Tasks'!$F$7:$F$246,$B29)</x:f>
        <x:v>22.75</x:v>
      </x:c>
      <x:c r="O29" s="19" t="n">
        <x:f>SUMIFS('Tasks'!$H$7:$H$246,'Tasks'!$C$7:$C$246,$A29,'Tasks'!$L$7:$L$246,$D29,'Tasks'!$F$7:$F$246,$B29)</x:f>
        <x:v>12.410000000000002</x:v>
      </x:c>
      <x:c r="P29" s="19" t="n">
        <x:f>SUMIFS('Tasks'!$Y$7:$Y$246,'Tasks'!$C$7:$C$246,$A29,'Tasks'!$L$7:$L$246,$D29,'Tasks'!$F$7:$F$246,$B29)</x:f>
        <x:v>10.34</x:v>
      </x:c>
      <x:c r="Q29" s="22" t="n">
        <x:f>SUMIFS('Tasks'!$Z$7:$Z$246,'Tasks'!$C$7:$C$246,$A29,'Tasks'!$L$7:$L$246,$D29,'Tasks'!$F$7:$F$246,$B29)</x:f>
        <x:v>517</x:v>
      </x:c>
      <x:c r="R29" s="22" t="n">
        <x:f>SUMIFS('Tasks'!$AA$7:$AA$246,'Tasks'!$C$7:$C$246,$A29,'Tasks'!$L$7:$L$246,$D29,'Tasks'!$F$7:$F$246,$B29)</x:f>
        <x:v>485.85468</x:v>
      </x:c>
      <x:c r="S29" s="31" t="n">
        <x:f>IF(K29=0,"N/A",R29/K29)</x:f>
        <x:v>15.599604691812445</x:v>
      </x:c>
      <x:c r="T29" s="19" t="n">
        <x:f>SUMIFS('Tasks'!$I$7:$I$246,'Tasks'!$C$7:$C$246,$A29,'Tasks'!$L$7:$L$246,$D29,'Tasks'!$F$7:$F$246,$B29)</x:f>
        <x:v>1.2100000000000002</x:v>
      </x:c>
      <x:c r="U29" s="31" t="n">
        <x:f>IF(O29=0,"N/A",T29/O29)</x:f>
        <x:v>0.09750201450443191</x:v>
      </x:c>
      <x:c r="V29" s="17" t="n">
        <x:f>SUMIFS('Tasks'!$X$7:$X$246,'Tasks'!$C$7:$C$246,$A29,'Tasks'!$L$7:$L$246,$D29,'Tasks'!$F$7:$F$246,$B29)</x:f>
        <x:v>6</x:v>
      </x:c>
      <x:c r="W29" s="31" t="n">
        <x:f>IF(L29=0,"N/A",V29/L29)</x:f>
        <x:v>0.11320754716981132</x:v>
      </x:c>
      <x:c r="X29" s="17" t="n">
        <x:f>COUNTIFS('Tasks'!$C$7:$C$246,$A29,'Tasks'!$L$7:$L$246,$D29,'Tasks'!$F$7:$F$246,$B29,'Tasks'!$L$7:$L$246,"Yes")</x:f>
        <x:v>5</x:v>
      </x:c>
      <x:c r="Y29" s="17" t="n">
        <x:f>COUNTIFS('Tasks'!$C$7:$C$246,$A29,'Tasks'!$L$7:$L$246,$D29,'Tasks'!$F$7:$F$246,$B29,'Tasks'!$K$7:$K$246,"Yes")</x:f>
        <x:v>1</x:v>
      </x:c>
      <x:c r="Z29" s="17" t="n">
        <x:f>COUNTIFS('Tasks'!$C$7:$C$246,$A29,'Tasks'!$L$7:$L$246,$D29,'Tasks'!$F$7:$F$246,$B29,'Tasks'!$AA$7:$AA$246,"&gt;0")</x:f>
        <x:v>5</x:v>
      </x:c>
      <x:c r="AA29" s="17" t="n">
        <x:f>COUNTIFS('Tasks'!$C$7:$C$246,$A29,'Tasks'!$L$7:$L$246,$D29,'Tasks'!$F$7:$F$246,$B29,'Tasks'!$AA$7:$AA$246,"&lt;0")</x:f>
        <x:v>0</x:v>
      </x:c>
      <x:c r="AB29" s="19" t="n">
        <x:f>IF(E29=0,"N/A",V29/E29)</x:f>
        <x:v>1.2</x:v>
      </x:c>
      <x:c r="AC29" s="22" t="n">
        <x:f>IF(E29=0,"N/A",K29/E29)</x:f>
        <x:v>6.229063999999999</x:v>
      </x:c>
      <x:c r="AD29" s="19" t="n">
        <x:f>IF(E29=0,"N/A",P29/E29)</x:f>
        <x:v>2.068</x:v>
      </x:c>
    </x:row>
    <x:row r="30" ht="23" customHeight="1">
      <x:c r="A30" s="17" t="str">
        <x:v>C001</x:v>
      </x:c>
      <x:c r="B30" s="17" t="str">
        <x:v>Edit landing page</x:v>
      </x:c>
      <x:c r="C30" s="17" t="str">
        <x:v>brief_changed</x:v>
      </x:c>
      <x:c r="D30" s="17" t="str">
        <x:v>No</x:v>
      </x:c>
      <x:c r="E30" s="17" t="n">
        <x:f>COUNTIFS('Tasks'!$C$7:$C$246,$A30,'Tasks'!$K$7:$K$246,$D30,'Tasks'!$F$7:$F$246,$B30)</x:f>
        <x:v>4</x:v>
      </x:c>
      <x:c r="F30" s="17" t="n">
        <x:f>SUMIFS('Tasks'!$O$7:$O$246,'Tasks'!$C$7:$C$246,$A30,'Tasks'!$K$7:$K$246,$D30,'Tasks'!$F$7:$F$246,$B30)</x:f>
        <x:v>1650186</x:v>
      </x:c>
      <x:c r="G30" s="17" t="n">
        <x:f>SUMIFS('Tasks'!$P$7:$P$246,'Tasks'!$C$7:$C$246,$A30,'Tasks'!$K$7:$K$246,$D30,'Tasks'!$F$7:$F$246,$B30)</x:f>
        <x:v>344428</x:v>
      </x:c>
      <x:c r="H30" s="17" t="n">
        <x:f>SUMIFS('Tasks'!$Q$7:$Q$246,'Tasks'!$C$7:$C$246,$A30,'Tasks'!$K$7:$K$246,$D30,'Tasks'!$F$7:$F$246,$B30)</x:f>
        <x:v>1994614</x:v>
      </x:c>
      <x:c r="I30" s="22" t="n">
        <x:f>SUMIFS('Tasks'!$S$7:$S$246,'Tasks'!$C$7:$C$246,$A30,'Tasks'!$K$7:$K$246,$D30,'Tasks'!$F$7:$F$246,$B30)</x:f>
        <x:v>16.50186</x:v>
      </x:c>
      <x:c r="J30" s="22" t="n">
        <x:f>SUMIFS('Tasks'!$T$7:$T$246,'Tasks'!$C$7:$C$246,$A30,'Tasks'!$K$7:$K$246,$D30,'Tasks'!$F$7:$F$246,$B30)</x:f>
        <x:v>10.332840000000001</x:v>
      </x:c>
      <x:c r="K30" s="22" t="n">
        <x:f>SUMIFS('Tasks'!$U$7:$U$246,'Tasks'!$C$7:$C$246,$A30,'Tasks'!$K$7:$K$246,$D30,'Tasks'!$F$7:$F$246,$B30)</x:f>
        <x:v>26.834699999999998</x:v>
      </x:c>
      <x:c r="L30" s="17" t="n">
        <x:f>SUMIFS('Tasks'!$R$7:$R$246,'Tasks'!$C$7:$C$246,$A30,'Tasks'!$K$7:$K$246,$D30,'Tasks'!$F$7:$F$246,$B30)</x:f>
        <x:v>43</x:v>
      </x:c>
      <x:c r="M30" s="22" t="n">
        <x:f>IF(L30=0,"N/A",K30/L30)</x:f>
        <x:v>0.6240627906976743</x:v>
      </x:c>
      <x:c r="N30" s="19" t="n">
        <x:f>SUMIFS('Tasks'!$G$7:$G$246,'Tasks'!$C$7:$C$246,$A30,'Tasks'!$K$7:$K$246,$D30,'Tasks'!$F$7:$F$246,$B30)</x:f>
        <x:v>18.58</x:v>
      </x:c>
      <x:c r="O30" s="19" t="n">
        <x:f>SUMIFS('Tasks'!$H$7:$H$246,'Tasks'!$C$7:$C$246,$A30,'Tasks'!$K$7:$K$246,$D30,'Tasks'!$F$7:$F$246,$B30)</x:f>
        <x:v>9.950000000000001</x:v>
      </x:c>
      <x:c r="P30" s="19" t="n">
        <x:f>SUMIFS('Tasks'!$Y$7:$Y$246,'Tasks'!$C$7:$C$246,$A30,'Tasks'!$K$7:$K$246,$D30,'Tasks'!$F$7:$F$246,$B30)</x:f>
        <x:v>8.629999999999999</x:v>
      </x:c>
      <x:c r="Q30" s="22" t="n">
        <x:f>SUMIFS('Tasks'!$Z$7:$Z$246,'Tasks'!$C$7:$C$246,$A30,'Tasks'!$K$7:$K$246,$D30,'Tasks'!$F$7:$F$246,$B30)</x:f>
        <x:v>431.5</x:v>
      </x:c>
      <x:c r="R30" s="22" t="n">
        <x:f>SUMIFS('Tasks'!$AA$7:$AA$246,'Tasks'!$C$7:$C$246,$A30,'Tasks'!$K$7:$K$246,$D30,'Tasks'!$F$7:$F$246,$B30)</x:f>
        <x:v>404.6653</x:v>
      </x:c>
      <x:c r="S30" s="31" t="n">
        <x:f>IF(K30=0,"N/A",R30/K30)</x:f>
        <x:v>15.079926363998853</x:v>
      </x:c>
      <x:c r="T30" s="19" t="n">
        <x:f>SUMIFS('Tasks'!$I$7:$I$246,'Tasks'!$C$7:$C$246,$A30,'Tasks'!$K$7:$K$246,$D30,'Tasks'!$F$7:$F$246,$B30)</x:f>
        <x:v>0.89</x:v>
      </x:c>
      <x:c r="U30" s="31" t="n">
        <x:f>IF(O30=0,"N/A",T30/O30)</x:f>
        <x:v>0.08944723618090451</x:v>
      </x:c>
      <x:c r="V30" s="17" t="n">
        <x:f>SUMIFS('Tasks'!$X$7:$X$246,'Tasks'!$C$7:$C$246,$A30,'Tasks'!$K$7:$K$246,$D30,'Tasks'!$F$7:$F$246,$B30)</x:f>
        <x:v>5</x:v>
      </x:c>
      <x:c r="W30" s="31" t="n">
        <x:f>IF(L30=0,"N/A",V30/L30)</x:f>
        <x:v>0.11627906976744186</x:v>
      </x:c>
      <x:c r="X30" s="17" t="n">
        <x:f>COUNTIFS('Tasks'!$C$7:$C$246,$A30,'Tasks'!$K$7:$K$246,$D30,'Tasks'!$F$7:$F$246,$B30,'Tasks'!$L$7:$L$246,"Yes")</x:f>
        <x:v>4</x:v>
      </x:c>
      <x:c r="Y30" s="17" t="n">
        <x:f>COUNTIFS('Tasks'!$C$7:$C$246,$A30,'Tasks'!$K$7:$K$246,$D30,'Tasks'!$F$7:$F$246,$B30,'Tasks'!$K$7:$K$246,"Yes")</x:f>
        <x:v>0</x:v>
      </x:c>
      <x:c r="Z30" s="17" t="n">
        <x:f>COUNTIFS('Tasks'!$C$7:$C$246,$A30,'Tasks'!$K$7:$K$246,$D30,'Tasks'!$F$7:$F$246,$B30,'Tasks'!$AA$7:$AA$246,"&gt;0")</x:f>
        <x:v>4</x:v>
      </x:c>
      <x:c r="AA30" s="17" t="n">
        <x:f>COUNTIFS('Tasks'!$C$7:$C$246,$A30,'Tasks'!$K$7:$K$246,$D30,'Tasks'!$F$7:$F$246,$B30,'Tasks'!$AA$7:$AA$246,"&lt;0")</x:f>
        <x:v>0</x:v>
      </x:c>
      <x:c r="AB30" s="19" t="n">
        <x:f>IF(E30=0,"N/A",V30/E30)</x:f>
        <x:v>1.25</x:v>
      </x:c>
      <x:c r="AC30" s="22" t="n">
        <x:f>IF(E30=0,"N/A",K30/E30)</x:f>
        <x:v>6.7086749999999995</x:v>
      </x:c>
      <x:c r="AD30" s="19" t="n">
        <x:f>IF(E30=0,"N/A",P30/E30)</x:f>
        <x:v>2.1574999999999998</x:v>
      </x:c>
    </x:row>
    <x:row r="31" ht="23" customHeight="1">
      <x:c r="A31" s="17" t="str">
        <x:v>C001</x:v>
      </x:c>
      <x:c r="B31" s="17" t="str">
        <x:v>Edit landing page</x:v>
      </x:c>
      <x:c r="C31" s="17" t="str">
        <x:v>brief_changed</x:v>
      </x:c>
      <x:c r="D31" s="17" t="str">
        <x:v>Yes</x:v>
      </x:c>
      <x:c r="E31" s="17" t="n">
        <x:f>COUNTIFS('Tasks'!$C$7:$C$246,$A31,'Tasks'!$K$7:$K$246,$D31,'Tasks'!$F$7:$F$246,$B31)</x:f>
        <x:v>1</x:v>
      </x:c>
      <x:c r="F31" s="17" t="n">
        <x:f>SUMIFS('Tasks'!$O$7:$O$246,'Tasks'!$C$7:$C$246,$A31,'Tasks'!$K$7:$K$246,$D31,'Tasks'!$F$7:$F$246,$B31)</x:f>
        <x:v>224899</x:v>
      </x:c>
      <x:c r="G31" s="17" t="n">
        <x:f>SUMIFS('Tasks'!$P$7:$P$246,'Tasks'!$C$7:$C$246,$A31,'Tasks'!$K$7:$K$246,$D31,'Tasks'!$F$7:$F$246,$B31)</x:f>
        <x:v>68721</x:v>
      </x:c>
      <x:c r="H31" s="17" t="n">
        <x:f>SUMIFS('Tasks'!$Q$7:$Q$246,'Tasks'!$C$7:$C$246,$A31,'Tasks'!$K$7:$K$246,$D31,'Tasks'!$F$7:$F$246,$B31)</x:f>
        <x:v>293620</x:v>
      </x:c>
      <x:c r="I31" s="22" t="n">
        <x:f>SUMIFS('Tasks'!$S$7:$S$246,'Tasks'!$C$7:$C$246,$A31,'Tasks'!$K$7:$K$246,$D31,'Tasks'!$F$7:$F$246,$B31)</x:f>
        <x:v>2.2489899999999996</x:v>
      </x:c>
      <x:c r="J31" s="22" t="n">
        <x:f>SUMIFS('Tasks'!$T$7:$T$246,'Tasks'!$C$7:$C$246,$A31,'Tasks'!$K$7:$K$246,$D31,'Tasks'!$F$7:$F$246,$B31)</x:f>
        <x:v>2.06163</x:v>
      </x:c>
      <x:c r="K31" s="22" t="n">
        <x:f>SUMIFS('Tasks'!$U$7:$U$246,'Tasks'!$C$7:$C$246,$A31,'Tasks'!$K$7:$K$246,$D31,'Tasks'!$F$7:$F$246,$B31)</x:f>
        <x:v>4.31062</x:v>
      </x:c>
      <x:c r="L31" s="17" t="n">
        <x:f>SUMIFS('Tasks'!$R$7:$R$246,'Tasks'!$C$7:$C$246,$A31,'Tasks'!$K$7:$K$246,$D31,'Tasks'!$F$7:$F$246,$B31)</x:f>
        <x:v>10</x:v>
      </x:c>
      <x:c r="M31" s="22" t="n">
        <x:f>IF(L31=0,"N/A",K31/L31)</x:f>
        <x:v>0.431062</x:v>
      </x:c>
      <x:c r="N31" s="19" t="n">
        <x:f>SUMIFS('Tasks'!$G$7:$G$246,'Tasks'!$C$7:$C$246,$A31,'Tasks'!$K$7:$K$246,$D31,'Tasks'!$F$7:$F$246,$B31)</x:f>
        <x:v>4.17</x:v>
      </x:c>
      <x:c r="O31" s="19" t="n">
        <x:f>SUMIFS('Tasks'!$H$7:$H$246,'Tasks'!$C$7:$C$246,$A31,'Tasks'!$K$7:$K$246,$D31,'Tasks'!$F$7:$F$246,$B31)</x:f>
        <x:v>2.46</x:v>
      </x:c>
      <x:c r="P31" s="19" t="n">
        <x:f>SUMIFS('Tasks'!$Y$7:$Y$246,'Tasks'!$C$7:$C$246,$A31,'Tasks'!$K$7:$K$246,$D31,'Tasks'!$F$7:$F$246,$B31)</x:f>
        <x:v>1.71</x:v>
      </x:c>
      <x:c r="Q31" s="22" t="n">
        <x:f>SUMIFS('Tasks'!$Z$7:$Z$246,'Tasks'!$C$7:$C$246,$A31,'Tasks'!$K$7:$K$246,$D31,'Tasks'!$F$7:$F$246,$B31)</x:f>
        <x:v>85.5</x:v>
      </x:c>
      <x:c r="R31" s="22" t="n">
        <x:f>SUMIFS('Tasks'!$AA$7:$AA$246,'Tasks'!$C$7:$C$246,$A31,'Tasks'!$K$7:$K$246,$D31,'Tasks'!$F$7:$F$246,$B31)</x:f>
        <x:v>81.18938</x:v>
      </x:c>
      <x:c r="S31" s="31" t="n">
        <x:f>IF(K31=0,"N/A",R31/K31)</x:f>
        <x:v>18.834733750597362</x:v>
      </x:c>
      <x:c r="T31" s="19" t="n">
        <x:f>SUMIFS('Tasks'!$I$7:$I$246,'Tasks'!$C$7:$C$246,$A31,'Tasks'!$K$7:$K$246,$D31,'Tasks'!$F$7:$F$246,$B31)</x:f>
        <x:v>0.32</x:v>
      </x:c>
      <x:c r="U31" s="31" t="n">
        <x:f>IF(O31=0,"N/A",T31/O31)</x:f>
        <x:v>0.13008130081300814</x:v>
      </x:c>
      <x:c r="V31" s="17" t="n">
        <x:f>SUMIFS('Tasks'!$X$7:$X$246,'Tasks'!$C$7:$C$246,$A31,'Tasks'!$K$7:$K$246,$D31,'Tasks'!$F$7:$F$246,$B31)</x:f>
        <x:v>1</x:v>
      </x:c>
      <x:c r="W31" s="31" t="n">
        <x:f>IF(L31=0,"N/A",V31/L31)</x:f>
        <x:v>0.1</x:v>
      </x:c>
      <x:c r="X31" s="17" t="n">
        <x:f>COUNTIFS('Tasks'!$C$7:$C$246,$A31,'Tasks'!$K$7:$K$246,$D31,'Tasks'!$F$7:$F$246,$B31,'Tasks'!$L$7:$L$246,"Yes")</x:f>
        <x:v>1</x:v>
      </x:c>
      <x:c r="Y31" s="17" t="n">
        <x:f>COUNTIFS('Tasks'!$C$7:$C$246,$A31,'Tasks'!$K$7:$K$246,$D31,'Tasks'!$F$7:$F$246,$B31,'Tasks'!$K$7:$K$246,"Yes")</x:f>
        <x:v>1</x:v>
      </x:c>
      <x:c r="Z31" s="17" t="n">
        <x:f>COUNTIFS('Tasks'!$C$7:$C$246,$A31,'Tasks'!$K$7:$K$246,$D31,'Tasks'!$F$7:$F$246,$B31,'Tasks'!$AA$7:$AA$246,"&gt;0")</x:f>
        <x:v>1</x:v>
      </x:c>
      <x:c r="AA31" s="17" t="n">
        <x:f>COUNTIFS('Tasks'!$C$7:$C$246,$A31,'Tasks'!$K$7:$K$246,$D31,'Tasks'!$F$7:$F$246,$B31,'Tasks'!$AA$7:$AA$246,"&lt;0")</x:f>
        <x:v>0</x:v>
      </x:c>
      <x:c r="AB31" s="19" t="n">
        <x:f>IF(E31=0,"N/A",V31/E31)</x:f>
        <x:v>1</x:v>
      </x:c>
      <x:c r="AC31" s="22" t="n">
        <x:f>IF(E31=0,"N/A",K31/E31)</x:f>
        <x:v>4.31062</x:v>
      </x:c>
      <x:c r="AD31" s="19" t="n">
        <x:f>IF(E31=0,"N/A",P31/E31)</x:f>
        <x:v>1.71</x:v>
      </x:c>
    </x:row>
    <x:row r="32" ht="23" customHeight="1">
      <x:c r="A32" s="17" t="str">
        <x:v>C001</x:v>
      </x:c>
      <x:c r="B32" s="17" t="str">
        <x:v>Plan visual narrative</x:v>
      </x:c>
      <x:c r="C32" s="17" t="str">
        <x:v>prompt_template_used</x:v>
      </x:c>
      <x:c r="D32" s="17" t="str">
        <x:v>Yes</x:v>
      </x:c>
      <x:c r="E32" s="17" t="n">
        <x:f>COUNTIFS('Tasks'!$C$7:$C$246,$A32,'Tasks'!$L$7:$L$246,$D32,'Tasks'!$F$7:$F$246,$B32)</x:f>
        <x:v>6</x:v>
      </x:c>
      <x:c r="F32" s="17" t="n">
        <x:f>SUMIFS('Tasks'!$O$7:$O$246,'Tasks'!$C$7:$C$246,$A32,'Tasks'!$L$7:$L$246,$D32,'Tasks'!$F$7:$F$246,$B32)</x:f>
        <x:v>1994709</x:v>
      </x:c>
      <x:c r="G32" s="17" t="n">
        <x:f>SUMIFS('Tasks'!$P$7:$P$246,'Tasks'!$C$7:$C$246,$A32,'Tasks'!$L$7:$L$246,$D32,'Tasks'!$F$7:$F$246,$B32)</x:f>
        <x:v>564820</x:v>
      </x:c>
      <x:c r="H32" s="17" t="n">
        <x:f>SUMIFS('Tasks'!$Q$7:$Q$246,'Tasks'!$C$7:$C$246,$A32,'Tasks'!$L$7:$L$246,$D32,'Tasks'!$F$7:$F$246,$B32)</x:f>
        <x:v>2559529</x:v>
      </x:c>
      <x:c r="I32" s="22" t="n">
        <x:f>SUMIFS('Tasks'!$S$7:$S$246,'Tasks'!$C$7:$C$246,$A32,'Tasks'!$L$7:$L$246,$D32,'Tasks'!$F$7:$F$246,$B32)</x:f>
        <x:v>25.29807</x:v>
      </x:c>
      <x:c r="J32" s="22" t="n">
        <x:f>SUMIFS('Tasks'!$T$7:$T$246,'Tasks'!$C$7:$C$246,$A32,'Tasks'!$L$7:$L$246,$D32,'Tasks'!$F$7:$F$246,$B32)</x:f>
        <x:v>24.079420000000002</x:v>
      </x:c>
      <x:c r="K32" s="22" t="n">
        <x:f>SUMIFS('Tasks'!$U$7:$U$246,'Tasks'!$C$7:$C$246,$A32,'Tasks'!$L$7:$L$246,$D32,'Tasks'!$F$7:$F$246,$B32)</x:f>
        <x:v>49.377489999999995</x:v>
      </x:c>
      <x:c r="L32" s="17" t="n">
        <x:f>SUMIFS('Tasks'!$R$7:$R$246,'Tasks'!$C$7:$C$246,$A32,'Tasks'!$L$7:$L$246,$D32,'Tasks'!$F$7:$F$246,$B32)</x:f>
        <x:v>60</x:v>
      </x:c>
      <x:c r="M32" s="22" t="n">
        <x:f>IF(L32=0,"N/A",K32/L32)</x:f>
        <x:v>0.8229581666666665</x:v>
      </x:c>
      <x:c r="N32" s="19" t="n">
        <x:f>SUMIFS('Tasks'!$G$7:$G$246,'Tasks'!$C$7:$C$246,$A32,'Tasks'!$L$7:$L$246,$D32,'Tasks'!$F$7:$F$246,$B32)</x:f>
        <x:v>23.560000000000002</x:v>
      </x:c>
      <x:c r="O32" s="19" t="n">
        <x:f>SUMIFS('Tasks'!$H$7:$H$246,'Tasks'!$C$7:$C$246,$A32,'Tasks'!$L$7:$L$246,$D32,'Tasks'!$F$7:$F$246,$B32)</x:f>
        <x:v>13.329999999999998</x:v>
      </x:c>
      <x:c r="P32" s="19" t="n">
        <x:f>SUMIFS('Tasks'!$Y$7:$Y$246,'Tasks'!$C$7:$C$246,$A32,'Tasks'!$L$7:$L$246,$D32,'Tasks'!$F$7:$F$246,$B32)</x:f>
        <x:v>10.23</x:v>
      </x:c>
      <x:c r="Q32" s="22" t="n">
        <x:f>SUMIFS('Tasks'!$Z$7:$Z$246,'Tasks'!$C$7:$C$246,$A32,'Tasks'!$L$7:$L$246,$D32,'Tasks'!$F$7:$F$246,$B32)</x:f>
        <x:v>511.5</x:v>
      </x:c>
      <x:c r="R32" s="22" t="n">
        <x:f>SUMIFS('Tasks'!$AA$7:$AA$246,'Tasks'!$C$7:$C$246,$A32,'Tasks'!$L$7:$L$246,$D32,'Tasks'!$F$7:$F$246,$B32)</x:f>
        <x:v>462.1225099999999</x:v>
      </x:c>
      <x:c r="S32" s="31" t="n">
        <x:f>IF(K32=0,"N/A",R32/K32)</x:f>
        <x:v>9.358971264031444</x:v>
      </x:c>
      <x:c r="T32" s="19" t="n">
        <x:f>SUMIFS('Tasks'!$I$7:$I$246,'Tasks'!$C$7:$C$246,$A32,'Tasks'!$L$7:$L$246,$D32,'Tasks'!$F$7:$F$246,$B32)</x:f>
        <x:v>0.91</x:v>
      </x:c>
      <x:c r="U32" s="31" t="n">
        <x:f>IF(O32=0,"N/A",T32/O32)</x:f>
        <x:v>0.06826706676669168</x:v>
      </x:c>
      <x:c r="V32" s="17" t="n">
        <x:f>SUMIFS('Tasks'!$X$7:$X$246,'Tasks'!$C$7:$C$246,$A32,'Tasks'!$L$7:$L$246,$D32,'Tasks'!$F$7:$F$246,$B32)</x:f>
        <x:v>8</x:v>
      </x:c>
      <x:c r="W32" s="31" t="n">
        <x:f>IF(L32=0,"N/A",V32/L32)</x:f>
        <x:v>0.13333333333333333</x:v>
      </x:c>
      <x:c r="X32" s="17" t="n">
        <x:f>COUNTIFS('Tasks'!$C$7:$C$246,$A32,'Tasks'!$L$7:$L$246,$D32,'Tasks'!$F$7:$F$246,$B32,'Tasks'!$L$7:$L$246,"Yes")</x:f>
        <x:v>6</x:v>
      </x:c>
      <x:c r="Y32" s="17" t="n">
        <x:f>COUNTIFS('Tasks'!$C$7:$C$246,$A32,'Tasks'!$L$7:$L$246,$D32,'Tasks'!$F$7:$F$246,$B32,'Tasks'!$K$7:$K$246,"Yes")</x:f>
        <x:v>2</x:v>
      </x:c>
      <x:c r="Z32" s="17" t="n">
        <x:f>COUNTIFS('Tasks'!$C$7:$C$246,$A32,'Tasks'!$L$7:$L$246,$D32,'Tasks'!$F$7:$F$246,$B32,'Tasks'!$AA$7:$AA$246,"&gt;0")</x:f>
        <x:v>5</x:v>
      </x:c>
      <x:c r="AA32" s="17" t="n">
        <x:f>COUNTIFS('Tasks'!$C$7:$C$246,$A32,'Tasks'!$L$7:$L$246,$D32,'Tasks'!$F$7:$F$246,$B32,'Tasks'!$AA$7:$AA$246,"&lt;0")</x:f>
        <x:v>1</x:v>
      </x:c>
      <x:c r="AB32" s="19" t="n">
        <x:f>IF(E32=0,"N/A",V32/E32)</x:f>
        <x:v>1.3333333333333333</x:v>
      </x:c>
      <x:c r="AC32" s="22" t="n">
        <x:f>IF(E32=0,"N/A",K32/E32)</x:f>
        <x:v>8.229581666666666</x:v>
      </x:c>
      <x:c r="AD32" s="19" t="n">
        <x:f>IF(E32=0,"N/A",P32/E32)</x:f>
        <x:v>1.705</x:v>
      </x:c>
    </x:row>
    <x:row r="33" ht="23" customHeight="1">
      <x:c r="A33" s="17" t="str">
        <x:v>C001</x:v>
      </x:c>
      <x:c r="B33" s="17" t="str">
        <x:v>Plan visual narrative</x:v>
      </x:c>
      <x:c r="C33" s="17" t="str">
        <x:v>brief_changed</x:v>
      </x:c>
      <x:c r="D33" s="17" t="str">
        <x:v>No</x:v>
      </x:c>
      <x:c r="E33" s="17" t="n">
        <x:f>COUNTIFS('Tasks'!$C$7:$C$246,$A33,'Tasks'!$K$7:$K$246,$D33,'Tasks'!$F$7:$F$246,$B33)</x:f>
        <x:v>4</x:v>
      </x:c>
      <x:c r="F33" s="17" t="n">
        <x:f>SUMIFS('Tasks'!$O$7:$O$246,'Tasks'!$C$7:$C$246,$A33,'Tasks'!$K$7:$K$246,$D33,'Tasks'!$F$7:$F$246,$B33)</x:f>
        <x:v>1453340</x:v>
      </x:c>
      <x:c r="G33" s="17" t="n">
        <x:f>SUMIFS('Tasks'!$P$7:$P$246,'Tasks'!$C$7:$C$246,$A33,'Tasks'!$K$7:$K$246,$D33,'Tasks'!$F$7:$F$246,$B33)</x:f>
        <x:v>326841</x:v>
      </x:c>
      <x:c r="H33" s="17" t="n">
        <x:f>SUMIFS('Tasks'!$Q$7:$Q$246,'Tasks'!$C$7:$C$246,$A33,'Tasks'!$K$7:$K$246,$D33,'Tasks'!$F$7:$F$246,$B33)</x:f>
        <x:v>1780181</x:v>
      </x:c>
      <x:c r="I33" s="22" t="n">
        <x:f>SUMIFS('Tasks'!$S$7:$S$246,'Tasks'!$C$7:$C$246,$A33,'Tasks'!$K$7:$K$246,$D33,'Tasks'!$F$7:$F$246,$B33)</x:f>
        <x:v>19.88438</x:v>
      </x:c>
      <x:c r="J33" s="22" t="n">
        <x:f>SUMIFS('Tasks'!$T$7:$T$246,'Tasks'!$C$7:$C$246,$A33,'Tasks'!$K$7:$K$246,$D33,'Tasks'!$F$7:$F$246,$B33)</x:f>
        <x:v>16.94005</x:v>
      </x:c>
      <x:c r="K33" s="22" t="n">
        <x:f>SUMIFS('Tasks'!$U$7:$U$246,'Tasks'!$C$7:$C$246,$A33,'Tasks'!$K$7:$K$246,$D33,'Tasks'!$F$7:$F$246,$B33)</x:f>
        <x:v>36.82442999999999</x:v>
      </x:c>
      <x:c r="L33" s="17" t="n">
        <x:f>SUMIFS('Tasks'!$R$7:$R$246,'Tasks'!$C$7:$C$246,$A33,'Tasks'!$K$7:$K$246,$D33,'Tasks'!$F$7:$F$246,$B33)</x:f>
        <x:v>38</x:v>
      </x:c>
      <x:c r="M33" s="22" t="n">
        <x:f>IF(L33=0,"N/A",K33/L33)</x:f>
        <x:v>0.9690639473684208</x:v>
      </x:c>
      <x:c r="N33" s="19" t="n">
        <x:f>SUMIFS('Tasks'!$G$7:$G$246,'Tasks'!$C$7:$C$246,$A33,'Tasks'!$K$7:$K$246,$D33,'Tasks'!$F$7:$F$246,$B33)</x:f>
        <x:v>17.18</x:v>
      </x:c>
      <x:c r="O33" s="19" t="n">
        <x:f>SUMIFS('Tasks'!$H$7:$H$246,'Tasks'!$C$7:$C$246,$A33,'Tasks'!$K$7:$K$246,$D33,'Tasks'!$F$7:$F$246,$B33)</x:f>
        <x:v>8.67</x:v>
      </x:c>
      <x:c r="P33" s="19" t="n">
        <x:f>SUMIFS('Tasks'!$Y$7:$Y$246,'Tasks'!$C$7:$C$246,$A33,'Tasks'!$K$7:$K$246,$D33,'Tasks'!$F$7:$F$246,$B33)</x:f>
        <x:v>8.510000000000002</x:v>
      </x:c>
      <x:c r="Q33" s="22" t="n">
        <x:f>SUMIFS('Tasks'!$Z$7:$Z$246,'Tasks'!$C$7:$C$246,$A33,'Tasks'!$K$7:$K$246,$D33,'Tasks'!$F$7:$F$246,$B33)</x:f>
        <x:v>425.5</x:v>
      </x:c>
      <x:c r="R33" s="22" t="n">
        <x:f>SUMIFS('Tasks'!$AA$7:$AA$246,'Tasks'!$C$7:$C$246,$A33,'Tasks'!$K$7:$K$246,$D33,'Tasks'!$F$7:$F$246,$B33)</x:f>
        <x:v>388.67557</x:v>
      </x:c>
      <x:c r="S33" s="31" t="n">
        <x:f>IF(K33=0,"N/A",R33/K33)</x:f>
        <x:v>10.554829226141452</x:v>
      </x:c>
      <x:c r="T33" s="19" t="n">
        <x:f>SUMIFS('Tasks'!$I$7:$I$246,'Tasks'!$C$7:$C$246,$A33,'Tasks'!$K$7:$K$246,$D33,'Tasks'!$F$7:$F$246,$B33)</x:f>
        <x:v>0.43000000000000005</x:v>
      </x:c>
      <x:c r="U33" s="31" t="n">
        <x:f>IF(O33=0,"N/A",T33/O33)</x:f>
        <x:v>0.04959630911188005</x:v>
      </x:c>
      <x:c r="V33" s="17" t="n">
        <x:f>SUMIFS('Tasks'!$X$7:$X$246,'Tasks'!$C$7:$C$246,$A33,'Tasks'!$K$7:$K$246,$D33,'Tasks'!$F$7:$F$246,$B33)</x:f>
        <x:v>5</x:v>
      </x:c>
      <x:c r="W33" s="31" t="n">
        <x:f>IF(L33=0,"N/A",V33/L33)</x:f>
        <x:v>0.13157894736842105</x:v>
      </x:c>
      <x:c r="X33" s="17" t="n">
        <x:f>COUNTIFS('Tasks'!$C$7:$C$246,$A33,'Tasks'!$K$7:$K$246,$D33,'Tasks'!$F$7:$F$246,$B33,'Tasks'!$L$7:$L$246,"Yes")</x:f>
        <x:v>4</x:v>
      </x:c>
      <x:c r="Y33" s="17" t="n">
        <x:f>COUNTIFS('Tasks'!$C$7:$C$246,$A33,'Tasks'!$K$7:$K$246,$D33,'Tasks'!$F$7:$F$246,$B33,'Tasks'!$K$7:$K$246,"Yes")</x:f>
        <x:v>0</x:v>
      </x:c>
      <x:c r="Z33" s="17" t="n">
        <x:f>COUNTIFS('Tasks'!$C$7:$C$246,$A33,'Tasks'!$K$7:$K$246,$D33,'Tasks'!$F$7:$F$246,$B33,'Tasks'!$AA$7:$AA$246,"&gt;0")</x:f>
        <x:v>4</x:v>
      </x:c>
      <x:c r="AA33" s="17" t="n">
        <x:f>COUNTIFS('Tasks'!$C$7:$C$246,$A33,'Tasks'!$K$7:$K$246,$D33,'Tasks'!$F$7:$F$246,$B33,'Tasks'!$AA$7:$AA$246,"&lt;0")</x:f>
        <x:v>0</x:v>
      </x:c>
      <x:c r="AB33" s="19" t="n">
        <x:f>IF(E33=0,"N/A",V33/E33)</x:f>
        <x:v>1.25</x:v>
      </x:c>
      <x:c r="AC33" s="22" t="n">
        <x:f>IF(E33=0,"N/A",K33/E33)</x:f>
        <x:v>9.206107499999998</x:v>
      </x:c>
      <x:c r="AD33" s="19" t="n">
        <x:f>IF(E33=0,"N/A",P33/E33)</x:f>
        <x:v>2.1275000000000004</x:v>
      </x:c>
    </x:row>
    <x:row r="34" ht="23" customHeight="1">
      <x:c r="A34" s="17" t="str">
        <x:v>C001</x:v>
      </x:c>
      <x:c r="B34" s="17" t="str">
        <x:v>Plan visual narrative</x:v>
      </x:c>
      <x:c r="C34" s="17" t="str">
        <x:v>brief_changed</x:v>
      </x:c>
      <x:c r="D34" s="17" t="str">
        <x:v>Yes</x:v>
      </x:c>
      <x:c r="E34" s="17" t="n">
        <x:f>COUNTIFS('Tasks'!$C$7:$C$246,$A34,'Tasks'!$K$7:$K$246,$D34,'Tasks'!$F$7:$F$246,$B34)</x:f>
        <x:v>2</x:v>
      </x:c>
      <x:c r="F34" s="17" t="n">
        <x:f>SUMIFS('Tasks'!$O$7:$O$246,'Tasks'!$C$7:$C$246,$A34,'Tasks'!$K$7:$K$246,$D34,'Tasks'!$F$7:$F$246,$B34)</x:f>
        <x:v>541369</x:v>
      </x:c>
      <x:c r="G34" s="17" t="n">
        <x:f>SUMIFS('Tasks'!$P$7:$P$246,'Tasks'!$C$7:$C$246,$A34,'Tasks'!$K$7:$K$246,$D34,'Tasks'!$F$7:$F$246,$B34)</x:f>
        <x:v>237979</x:v>
      </x:c>
      <x:c r="H34" s="17" t="n">
        <x:f>SUMIFS('Tasks'!$Q$7:$Q$246,'Tasks'!$C$7:$C$246,$A34,'Tasks'!$K$7:$K$246,$D34,'Tasks'!$F$7:$F$246,$B34)</x:f>
        <x:v>779348</x:v>
      </x:c>
      <x:c r="I34" s="22" t="n">
        <x:f>SUMIFS('Tasks'!$S$7:$S$246,'Tasks'!$C$7:$C$246,$A34,'Tasks'!$K$7:$K$246,$D34,'Tasks'!$F$7:$F$246,$B34)</x:f>
        <x:v>5.413690000000001</x:v>
      </x:c>
      <x:c r="J34" s="22" t="n">
        <x:f>SUMIFS('Tasks'!$T$7:$T$246,'Tasks'!$C$7:$C$246,$A34,'Tasks'!$K$7:$K$246,$D34,'Tasks'!$F$7:$F$246,$B34)</x:f>
        <x:v>7.1393699999999995</x:v>
      </x:c>
      <x:c r="K34" s="22" t="n">
        <x:f>SUMIFS('Tasks'!$U$7:$U$246,'Tasks'!$C$7:$C$246,$A34,'Tasks'!$K$7:$K$246,$D34,'Tasks'!$F$7:$F$246,$B34)</x:f>
        <x:v>12.553060000000002</x:v>
      </x:c>
      <x:c r="L34" s="17" t="n">
        <x:f>SUMIFS('Tasks'!$R$7:$R$246,'Tasks'!$C$7:$C$246,$A34,'Tasks'!$K$7:$K$246,$D34,'Tasks'!$F$7:$F$246,$B34)</x:f>
        <x:v>22</x:v>
      </x:c>
      <x:c r="M34" s="22" t="n">
        <x:f>IF(L34=0,"N/A",K34/L34)</x:f>
        <x:v>0.5705936363636365</x:v>
      </x:c>
      <x:c r="N34" s="19" t="n">
        <x:f>SUMIFS('Tasks'!$G$7:$G$246,'Tasks'!$C$7:$C$246,$A34,'Tasks'!$K$7:$K$246,$D34,'Tasks'!$F$7:$F$246,$B34)</x:f>
        <x:v>6.38</x:v>
      </x:c>
      <x:c r="O34" s="19" t="n">
        <x:f>SUMIFS('Tasks'!$H$7:$H$246,'Tasks'!$C$7:$C$246,$A34,'Tasks'!$K$7:$K$246,$D34,'Tasks'!$F$7:$F$246,$B34)</x:f>
        <x:v>4.66</x:v>
      </x:c>
      <x:c r="P34" s="19" t="n">
        <x:f>SUMIFS('Tasks'!$Y$7:$Y$246,'Tasks'!$C$7:$C$246,$A34,'Tasks'!$K$7:$K$246,$D34,'Tasks'!$F$7:$F$246,$B34)</x:f>
        <x:v>1.7199999999999998</x:v>
      </x:c>
      <x:c r="Q34" s="22" t="n">
        <x:f>SUMIFS('Tasks'!$Z$7:$Z$246,'Tasks'!$C$7:$C$246,$A34,'Tasks'!$K$7:$K$246,$D34,'Tasks'!$F$7:$F$246,$B34)</x:f>
        <x:v>85.99999999999999</x:v>
      </x:c>
      <x:c r="R34" s="22" t="n">
        <x:f>SUMIFS('Tasks'!$AA$7:$AA$246,'Tasks'!$C$7:$C$246,$A34,'Tasks'!$K$7:$K$246,$D34,'Tasks'!$F$7:$F$246,$B34)</x:f>
        <x:v>73.44693999999998</x:v>
      </x:c>
      <x:c r="S34" s="31" t="n">
        <x:f>IF(K34=0,"N/A",R34/K34)</x:f>
        <x:v>5.8509192181029945</x:v>
      </x:c>
      <x:c r="T34" s="19" t="n">
        <x:f>SUMIFS('Tasks'!$I$7:$I$246,'Tasks'!$C$7:$C$246,$A34,'Tasks'!$K$7:$K$246,$D34,'Tasks'!$F$7:$F$246,$B34)</x:f>
        <x:v>0.48</x:v>
      </x:c>
      <x:c r="U34" s="31" t="n">
        <x:f>IF(O34=0,"N/A",T34/O34)</x:f>
        <x:v>0.10300429184549356</x:v>
      </x:c>
      <x:c r="V34" s="17" t="n">
        <x:f>SUMIFS('Tasks'!$X$7:$X$246,'Tasks'!$C$7:$C$246,$A34,'Tasks'!$K$7:$K$246,$D34,'Tasks'!$F$7:$F$246,$B34)</x:f>
        <x:v>3</x:v>
      </x:c>
      <x:c r="W34" s="31" t="n">
        <x:f>IF(L34=0,"N/A",V34/L34)</x:f>
        <x:v>0.13636363636363635</x:v>
      </x:c>
      <x:c r="X34" s="17" t="n">
        <x:f>COUNTIFS('Tasks'!$C$7:$C$246,$A34,'Tasks'!$K$7:$K$246,$D34,'Tasks'!$F$7:$F$246,$B34,'Tasks'!$L$7:$L$246,"Yes")</x:f>
        <x:v>2</x:v>
      </x:c>
      <x:c r="Y34" s="17" t="n">
        <x:f>COUNTIFS('Tasks'!$C$7:$C$246,$A34,'Tasks'!$K$7:$K$246,$D34,'Tasks'!$F$7:$F$246,$B34,'Tasks'!$K$7:$K$246,"Yes")</x:f>
        <x:v>2</x:v>
      </x:c>
      <x:c r="Z34" s="17" t="n">
        <x:f>COUNTIFS('Tasks'!$C$7:$C$246,$A34,'Tasks'!$K$7:$K$246,$D34,'Tasks'!$F$7:$F$246,$B34,'Tasks'!$AA$7:$AA$246,"&gt;0")</x:f>
        <x:v>1</x:v>
      </x:c>
      <x:c r="AA34" s="17" t="n">
        <x:f>COUNTIFS('Tasks'!$C$7:$C$246,$A34,'Tasks'!$K$7:$K$246,$D34,'Tasks'!$F$7:$F$246,$B34,'Tasks'!$AA$7:$AA$246,"&lt;0")</x:f>
        <x:v>1</x:v>
      </x:c>
      <x:c r="AB34" s="19" t="n">
        <x:f>IF(E34=0,"N/A",V34/E34)</x:f>
        <x:v>1.5</x:v>
      </x:c>
      <x:c r="AC34" s="22" t="n">
        <x:f>IF(E34=0,"N/A",K34/E34)</x:f>
        <x:v>6.276530000000001</x:v>
      </x:c>
      <x:c r="AD34" s="19" t="n">
        <x:f>IF(E34=0,"N/A",P34/E34)</x:f>
        <x:v>0.8599999999999999</x:v>
      </x:c>
    </x:row>
    <x:row r="35" ht="23" customHeight="1">
      <x:c r="A35" s="17" t="str">
        <x:v>C001</x:v>
      </x:c>
      <x:c r="B35" s="17" t="str">
        <x:v>Prepare launch checklist</x:v>
      </x:c>
      <x:c r="C35" s="17" t="str">
        <x:v>prompt_template_used</x:v>
      </x:c>
      <x:c r="D35" s="17" t="str">
        <x:v>No</x:v>
      </x:c>
      <x:c r="E35" s="17" t="n">
        <x:f>COUNTIFS('Tasks'!$C$7:$C$246,$A35,'Tasks'!$L$7:$L$246,$D35,'Tasks'!$F$7:$F$246,$B35)</x:f>
        <x:v>2</x:v>
      </x:c>
      <x:c r="F35" s="17" t="n">
        <x:f>SUMIFS('Tasks'!$O$7:$O$246,'Tasks'!$C$7:$C$246,$A35,'Tasks'!$L$7:$L$246,$D35,'Tasks'!$F$7:$F$246,$B35)</x:f>
        <x:v>1076775</x:v>
      </x:c>
      <x:c r="G35" s="17" t="n">
        <x:f>SUMIFS('Tasks'!$P$7:$P$246,'Tasks'!$C$7:$C$246,$A35,'Tasks'!$L$7:$L$246,$D35,'Tasks'!$F$7:$F$246,$B35)</x:f>
        <x:v>126120</x:v>
      </x:c>
      <x:c r="H35" s="17" t="n">
        <x:f>SUMIFS('Tasks'!$Q$7:$Q$246,'Tasks'!$C$7:$C$246,$A35,'Tasks'!$L$7:$L$246,$D35,'Tasks'!$F$7:$F$246,$B35)</x:f>
        <x:v>1202895</x:v>
      </x:c>
      <x:c r="I35" s="22" t="n">
        <x:f>SUMIFS('Tasks'!$S$7:$S$246,'Tasks'!$C$7:$C$246,$A35,'Tasks'!$L$7:$L$246,$D35,'Tasks'!$F$7:$F$246,$B35)</x:f>
        <x:v>10.76775</x:v>
      </x:c>
      <x:c r="J35" s="22" t="n">
        <x:f>SUMIFS('Tasks'!$T$7:$T$246,'Tasks'!$C$7:$C$246,$A35,'Tasks'!$L$7:$L$246,$D35,'Tasks'!$F$7:$F$246,$B35)</x:f>
        <x:v>3.7836000000000003</x:v>
      </x:c>
      <x:c r="K35" s="22" t="n">
        <x:f>SUMIFS('Tasks'!$U$7:$U$246,'Tasks'!$C$7:$C$246,$A35,'Tasks'!$L$7:$L$246,$D35,'Tasks'!$F$7:$F$246,$B35)</x:f>
        <x:v>14.551349999999998</x:v>
      </x:c>
      <x:c r="L35" s="17" t="n">
        <x:f>SUMIFS('Tasks'!$R$7:$R$246,'Tasks'!$C$7:$C$246,$A35,'Tasks'!$L$7:$L$246,$D35,'Tasks'!$F$7:$F$246,$B35)</x:f>
        <x:v>20</x:v>
      </x:c>
      <x:c r="M35" s="22" t="n">
        <x:f>IF(L35=0,"N/A",K35/L35)</x:f>
        <x:v>0.7275674999999999</x:v>
      </x:c>
      <x:c r="N35" s="19" t="n">
        <x:f>SUMIFS('Tasks'!$G$7:$G$246,'Tasks'!$C$7:$C$246,$A35,'Tasks'!$L$7:$L$246,$D35,'Tasks'!$F$7:$F$246,$B35)</x:f>
        <x:v>7.9399999999999995</x:v>
      </x:c>
      <x:c r="O35" s="19" t="n">
        <x:f>SUMIFS('Tasks'!$H$7:$H$246,'Tasks'!$C$7:$C$246,$A35,'Tasks'!$L$7:$L$246,$D35,'Tasks'!$F$7:$F$246,$B35)</x:f>
        <x:v>4.23</x:v>
      </x:c>
      <x:c r="P35" s="19" t="n">
        <x:f>SUMIFS('Tasks'!$Y$7:$Y$246,'Tasks'!$C$7:$C$246,$A35,'Tasks'!$L$7:$L$246,$D35,'Tasks'!$F$7:$F$246,$B35)</x:f>
        <x:v>3.71</x:v>
      </x:c>
      <x:c r="Q35" s="22" t="n">
        <x:f>SUMIFS('Tasks'!$Z$7:$Z$246,'Tasks'!$C$7:$C$246,$A35,'Tasks'!$L$7:$L$246,$D35,'Tasks'!$F$7:$F$246,$B35)</x:f>
        <x:v>185.5</x:v>
      </x:c>
      <x:c r="R35" s="22" t="n">
        <x:f>SUMIFS('Tasks'!$AA$7:$AA$246,'Tasks'!$C$7:$C$246,$A35,'Tasks'!$L$7:$L$246,$D35,'Tasks'!$F$7:$F$246,$B35)</x:f>
        <x:v>170.94865</x:v>
      </x:c>
      <x:c r="S35" s="31" t="n">
        <x:f>IF(K35=0,"N/A",R35/K35)</x:f>
        <x:v>11.747958093235336</x:v>
      </x:c>
      <x:c r="T35" s="19" t="n">
        <x:f>SUMIFS('Tasks'!$I$7:$I$246,'Tasks'!$C$7:$C$246,$A35,'Tasks'!$L$7:$L$246,$D35,'Tasks'!$F$7:$F$246,$B35)</x:f>
        <x:v>0.38</x:v>
      </x:c>
      <x:c r="U35" s="31" t="n">
        <x:f>IF(O35=0,"N/A",T35/O35)</x:f>
        <x:v>0.08983451536643025</x:v>
      </x:c>
      <x:c r="V35" s="17" t="n">
        <x:f>SUMIFS('Tasks'!$X$7:$X$246,'Tasks'!$C$7:$C$246,$A35,'Tasks'!$L$7:$L$246,$D35,'Tasks'!$F$7:$F$246,$B35)</x:f>
        <x:v>3</x:v>
      </x:c>
      <x:c r="W35" s="31" t="n">
        <x:f>IF(L35=0,"N/A",V35/L35)</x:f>
        <x:v>0.15</x:v>
      </x:c>
      <x:c r="X35" s="17" t="n">
        <x:f>COUNTIFS('Tasks'!$C$7:$C$246,$A35,'Tasks'!$L$7:$L$246,$D35,'Tasks'!$F$7:$F$246,$B35,'Tasks'!$L$7:$L$246,"Yes")</x:f>
        <x:v>0</x:v>
      </x:c>
      <x:c r="Y35" s="17" t="n">
        <x:f>COUNTIFS('Tasks'!$C$7:$C$246,$A35,'Tasks'!$L$7:$L$246,$D35,'Tasks'!$F$7:$F$246,$B35,'Tasks'!$K$7:$K$246,"Yes")</x:f>
        <x:v>0</x:v>
      </x:c>
      <x:c r="Z35" s="17" t="n">
        <x:f>COUNTIFS('Tasks'!$C$7:$C$246,$A35,'Tasks'!$L$7:$L$246,$D35,'Tasks'!$F$7:$F$246,$B35,'Tasks'!$AA$7:$AA$246,"&gt;0")</x:f>
        <x:v>2</x:v>
      </x:c>
      <x:c r="AA35" s="17" t="n">
        <x:f>COUNTIFS('Tasks'!$C$7:$C$246,$A35,'Tasks'!$L$7:$L$246,$D35,'Tasks'!$F$7:$F$246,$B35,'Tasks'!$AA$7:$AA$246,"&lt;0")</x:f>
        <x:v>0</x:v>
      </x:c>
      <x:c r="AB35" s="19" t="n">
        <x:f>IF(E35=0,"N/A",V35/E35)</x:f>
        <x:v>1.5</x:v>
      </x:c>
      <x:c r="AC35" s="22" t="n">
        <x:f>IF(E35=0,"N/A",K35/E35)</x:f>
        <x:v>7.275674999999999</x:v>
      </x:c>
      <x:c r="AD35" s="19" t="n">
        <x:f>IF(E35=0,"N/A",P35/E35)</x:f>
        <x:v>1.855</x:v>
      </x:c>
    </x:row>
    <x:row r="36" ht="23" customHeight="1">
      <x:c r="A36" s="17" t="str">
        <x:v>C001</x:v>
      </x:c>
      <x:c r="B36" s="17" t="str">
        <x:v>Prepare launch checklist</x:v>
      </x:c>
      <x:c r="C36" s="17" t="str">
        <x:v>prompt_template_used</x:v>
      </x:c>
      <x:c r="D36" s="17" t="str">
        <x:v>Yes</x:v>
      </x:c>
      <x:c r="E36" s="17" t="n">
        <x:f>COUNTIFS('Tasks'!$C$7:$C$246,$A36,'Tasks'!$L$7:$L$246,$D36,'Tasks'!$F$7:$F$246,$B36)</x:f>
        <x:v>3</x:v>
      </x:c>
      <x:c r="F36" s="17" t="n">
        <x:f>SUMIFS('Tasks'!$O$7:$O$246,'Tasks'!$C$7:$C$246,$A36,'Tasks'!$L$7:$L$246,$D36,'Tasks'!$F$7:$F$246,$B36)</x:f>
        <x:v>1232838</x:v>
      </x:c>
      <x:c r="G36" s="17" t="n">
        <x:f>SUMIFS('Tasks'!$P$7:$P$246,'Tasks'!$C$7:$C$246,$A36,'Tasks'!$L$7:$L$246,$D36,'Tasks'!$F$7:$F$246,$B36)</x:f>
        <x:v>233684</x:v>
      </x:c>
      <x:c r="H36" s="17" t="n">
        <x:f>SUMIFS('Tasks'!$Q$7:$Q$246,'Tasks'!$C$7:$C$246,$A36,'Tasks'!$L$7:$L$246,$D36,'Tasks'!$F$7:$F$246,$B36)</x:f>
        <x:v>1466522</x:v>
      </x:c>
      <x:c r="I36" s="22" t="n">
        <x:f>SUMIFS('Tasks'!$S$7:$S$246,'Tasks'!$C$7:$C$246,$A36,'Tasks'!$L$7:$L$246,$D36,'Tasks'!$F$7:$F$246,$B36)</x:f>
        <x:v>12.32838</x:v>
      </x:c>
      <x:c r="J36" s="22" t="n">
        <x:f>SUMIFS('Tasks'!$T$7:$T$246,'Tasks'!$C$7:$C$246,$A36,'Tasks'!$L$7:$L$246,$D36,'Tasks'!$F$7:$F$246,$B36)</x:f>
        <x:v>7.01052</x:v>
      </x:c>
      <x:c r="K36" s="22" t="n">
        <x:f>SUMIFS('Tasks'!$U$7:$U$246,'Tasks'!$C$7:$C$246,$A36,'Tasks'!$L$7:$L$246,$D36,'Tasks'!$F$7:$F$246,$B36)</x:f>
        <x:v>19.3389</x:v>
      </x:c>
      <x:c r="L36" s="17" t="n">
        <x:f>SUMIFS('Tasks'!$R$7:$R$246,'Tasks'!$C$7:$C$246,$A36,'Tasks'!$L$7:$L$246,$D36,'Tasks'!$F$7:$F$246,$B36)</x:f>
        <x:v>26</x:v>
      </x:c>
      <x:c r="M36" s="22" t="n">
        <x:f>IF(L36=0,"N/A",K36/L36)</x:f>
        <x:v>0.7438038461538461</x:v>
      </x:c>
      <x:c r="N36" s="19" t="n">
        <x:f>SUMIFS('Tasks'!$G$7:$G$246,'Tasks'!$C$7:$C$246,$A36,'Tasks'!$L$7:$L$246,$D36,'Tasks'!$F$7:$F$246,$B36)</x:f>
        <x:v>14.09</x:v>
      </x:c>
      <x:c r="O36" s="19" t="n">
        <x:f>SUMIFS('Tasks'!$H$7:$H$246,'Tasks'!$C$7:$C$246,$A36,'Tasks'!$L$7:$L$246,$D36,'Tasks'!$F$7:$F$246,$B36)</x:f>
        <x:v>9.959999999999999</x:v>
      </x:c>
      <x:c r="P36" s="19" t="n">
        <x:f>SUMIFS('Tasks'!$Y$7:$Y$246,'Tasks'!$C$7:$C$246,$A36,'Tasks'!$L$7:$L$246,$D36,'Tasks'!$F$7:$F$246,$B36)</x:f>
        <x:v>4.129999999999999</x:v>
      </x:c>
      <x:c r="Q36" s="22" t="n">
        <x:f>SUMIFS('Tasks'!$Z$7:$Z$246,'Tasks'!$C$7:$C$246,$A36,'Tasks'!$L$7:$L$246,$D36,'Tasks'!$F$7:$F$246,$B36)</x:f>
        <x:v>206.49999999999994</x:v>
      </x:c>
      <x:c r="R36" s="22" t="n">
        <x:f>SUMIFS('Tasks'!$AA$7:$AA$246,'Tasks'!$C$7:$C$246,$A36,'Tasks'!$L$7:$L$246,$D36,'Tasks'!$F$7:$F$246,$B36)</x:f>
        <x:v>187.16109999999998</x:v>
      </x:c>
      <x:c r="S36" s="31" t="n">
        <x:f>IF(K36=0,"N/A",R36/K36)</x:f>
        <x:v>9.677959966699243</x:v>
      </x:c>
      <x:c r="T36" s="19" t="n">
        <x:f>SUMIFS('Tasks'!$I$7:$I$246,'Tasks'!$C$7:$C$246,$A36,'Tasks'!$L$7:$L$246,$D36,'Tasks'!$F$7:$F$246,$B36)</x:f>
        <x:v>0.98</x:v>
      </x:c>
      <x:c r="U36" s="31" t="n">
        <x:f>IF(O36=0,"N/A",T36/O36)</x:f>
        <x:v>0.09839357429718876</x:v>
      </x:c>
      <x:c r="V36" s="17" t="n">
        <x:f>SUMIFS('Tasks'!$X$7:$X$246,'Tasks'!$C$7:$C$246,$A36,'Tasks'!$L$7:$L$246,$D36,'Tasks'!$F$7:$F$246,$B36)</x:f>
        <x:v>3</x:v>
      </x:c>
      <x:c r="W36" s="31" t="n">
        <x:f>IF(L36=0,"N/A",V36/L36)</x:f>
        <x:v>0.11538461538461539</x:v>
      </x:c>
      <x:c r="X36" s="17" t="n">
        <x:f>COUNTIFS('Tasks'!$C$7:$C$246,$A36,'Tasks'!$L$7:$L$246,$D36,'Tasks'!$F$7:$F$246,$B36,'Tasks'!$L$7:$L$246,"Yes")</x:f>
        <x:v>3</x:v>
      </x:c>
      <x:c r="Y36" s="17" t="n">
        <x:f>COUNTIFS('Tasks'!$C$7:$C$246,$A36,'Tasks'!$L$7:$L$246,$D36,'Tasks'!$F$7:$F$246,$B36,'Tasks'!$K$7:$K$246,"Yes")</x:f>
        <x:v>1</x:v>
      </x:c>
      <x:c r="Z36" s="17" t="n">
        <x:f>COUNTIFS('Tasks'!$C$7:$C$246,$A36,'Tasks'!$L$7:$L$246,$D36,'Tasks'!$F$7:$F$246,$B36,'Tasks'!$AA$7:$AA$246,"&gt;0")</x:f>
        <x:v>2</x:v>
      </x:c>
      <x:c r="AA36" s="17" t="n">
        <x:f>COUNTIFS('Tasks'!$C$7:$C$246,$A36,'Tasks'!$L$7:$L$246,$D36,'Tasks'!$F$7:$F$246,$B36,'Tasks'!$AA$7:$AA$246,"&lt;0")</x:f>
        <x:v>1</x:v>
      </x:c>
      <x:c r="AB36" s="19" t="n">
        <x:f>IF(E36=0,"N/A",V36/E36)</x:f>
        <x:v>1</x:v>
      </x:c>
      <x:c r="AC36" s="22" t="n">
        <x:f>IF(E36=0,"N/A",K36/E36)</x:f>
        <x:v>6.4463</x:v>
      </x:c>
      <x:c r="AD36" s="19" t="n">
        <x:f>IF(E36=0,"N/A",P36/E36)</x:f>
        <x:v>1.3766666666666663</x:v>
      </x:c>
    </x:row>
    <x:row r="37" ht="23" customHeight="1">
      <x:c r="A37" s="17" t="str">
        <x:v>C001</x:v>
      </x:c>
      <x:c r="B37" s="17" t="str">
        <x:v>Prepare launch checklist</x:v>
      </x:c>
      <x:c r="C37" s="17" t="str">
        <x:v>brief_changed</x:v>
      </x:c>
      <x:c r="D37" s="17" t="str">
        <x:v>No</x:v>
      </x:c>
      <x:c r="E37" s="17" t="n">
        <x:f>COUNTIFS('Tasks'!$C$7:$C$246,$A37,'Tasks'!$K$7:$K$246,$D37,'Tasks'!$F$7:$F$246,$B37)</x:f>
        <x:v>4</x:v>
      </x:c>
      <x:c r="F37" s="17" t="n">
        <x:f>SUMIFS('Tasks'!$O$7:$O$246,'Tasks'!$C$7:$C$246,$A37,'Tasks'!$K$7:$K$246,$D37,'Tasks'!$F$7:$F$246,$B37)</x:f>
        <x:v>1970517</x:v>
      </x:c>
      <x:c r="G37" s="17" t="n">
        <x:f>SUMIFS('Tasks'!$P$7:$P$246,'Tasks'!$C$7:$C$246,$A37,'Tasks'!$K$7:$K$246,$D37,'Tasks'!$F$7:$F$246,$B37)</x:f>
        <x:v>303503</x:v>
      </x:c>
      <x:c r="H37" s="17" t="n">
        <x:f>SUMIFS('Tasks'!$Q$7:$Q$246,'Tasks'!$C$7:$C$246,$A37,'Tasks'!$K$7:$K$246,$D37,'Tasks'!$F$7:$F$246,$B37)</x:f>
        <x:v>2274020</x:v>
      </x:c>
      <x:c r="I37" s="22" t="n">
        <x:f>SUMIFS('Tasks'!$S$7:$S$246,'Tasks'!$C$7:$C$246,$A37,'Tasks'!$K$7:$K$246,$D37,'Tasks'!$F$7:$F$246,$B37)</x:f>
        <x:v>19.70517</x:v>
      </x:c>
      <x:c r="J37" s="22" t="n">
        <x:f>SUMIFS('Tasks'!$T$7:$T$246,'Tasks'!$C$7:$C$246,$A37,'Tasks'!$K$7:$K$246,$D37,'Tasks'!$F$7:$F$246,$B37)</x:f>
        <x:v>9.10509</x:v>
      </x:c>
      <x:c r="K37" s="22" t="n">
        <x:f>SUMIFS('Tasks'!$U$7:$U$246,'Tasks'!$C$7:$C$246,$A37,'Tasks'!$K$7:$K$246,$D37,'Tasks'!$F$7:$F$246,$B37)</x:f>
        <x:v>28.81026</x:v>
      </x:c>
      <x:c r="L37" s="17" t="n">
        <x:f>SUMIFS('Tasks'!$R$7:$R$246,'Tasks'!$C$7:$C$246,$A37,'Tasks'!$K$7:$K$246,$D37,'Tasks'!$F$7:$F$246,$B37)</x:f>
        <x:v>37</x:v>
      </x:c>
      <x:c r="M37" s="22" t="n">
        <x:f>IF(L37=0,"N/A",K37/L37)</x:f>
        <x:v>0.7786556756756756</x:v>
      </x:c>
      <x:c r="N37" s="19" t="n">
        <x:f>SUMIFS('Tasks'!$G$7:$G$246,'Tasks'!$C$7:$C$246,$A37,'Tasks'!$K$7:$K$246,$D37,'Tasks'!$F$7:$F$246,$B37)</x:f>
        <x:v>17.389999999999997</x:v>
      </x:c>
      <x:c r="O37" s="19" t="n">
        <x:f>SUMIFS('Tasks'!$H$7:$H$246,'Tasks'!$C$7:$C$246,$A37,'Tasks'!$K$7:$K$246,$D37,'Tasks'!$F$7:$F$246,$B37)</x:f>
        <x:v>11.84</x:v>
      </x:c>
      <x:c r="P37" s="19" t="n">
        <x:f>SUMIFS('Tasks'!$Y$7:$Y$246,'Tasks'!$C$7:$C$246,$A37,'Tasks'!$K$7:$K$246,$D37,'Tasks'!$F$7:$F$246,$B37)</x:f>
        <x:v>5.549999999999999</x:v>
      </x:c>
      <x:c r="Q37" s="22" t="n">
        <x:f>SUMIFS('Tasks'!$Z$7:$Z$246,'Tasks'!$C$7:$C$246,$A37,'Tasks'!$K$7:$K$246,$D37,'Tasks'!$F$7:$F$246,$B37)</x:f>
        <x:v>277.5</x:v>
      </x:c>
      <x:c r="R37" s="22" t="n">
        <x:f>SUMIFS('Tasks'!$AA$7:$AA$246,'Tasks'!$C$7:$C$246,$A37,'Tasks'!$K$7:$K$246,$D37,'Tasks'!$F$7:$F$246,$B37)</x:f>
        <x:v>248.68973999999997</x:v>
      </x:c>
      <x:c r="S37" s="31" t="n">
        <x:f>IF(K37=0,"N/A",R37/K37)</x:f>
        <x:v>8.631985271913546</x:v>
      </x:c>
      <x:c r="T37" s="19" t="n">
        <x:f>SUMIFS('Tasks'!$I$7:$I$246,'Tasks'!$C$7:$C$246,$A37,'Tasks'!$K$7:$K$246,$D37,'Tasks'!$F$7:$F$246,$B37)</x:f>
        <x:v>1.04</x:v>
      </x:c>
      <x:c r="U37" s="31" t="n">
        <x:f>IF(O37=0,"N/A",T37/O37)</x:f>
        <x:v>0.08783783783783784</x:v>
      </x:c>
      <x:c r="V37" s="17" t="n">
        <x:f>SUMIFS('Tasks'!$X$7:$X$246,'Tasks'!$C$7:$C$246,$A37,'Tasks'!$K$7:$K$246,$D37,'Tasks'!$F$7:$F$246,$B37)</x:f>
        <x:v>5</x:v>
      </x:c>
      <x:c r="W37" s="31" t="n">
        <x:f>IF(L37=0,"N/A",V37/L37)</x:f>
        <x:v>0.13513513513513514</x:v>
      </x:c>
      <x:c r="X37" s="17" t="n">
        <x:f>COUNTIFS('Tasks'!$C$7:$C$246,$A37,'Tasks'!$K$7:$K$246,$D37,'Tasks'!$F$7:$F$246,$B37,'Tasks'!$L$7:$L$246,"Yes")</x:f>
        <x:v>2</x:v>
      </x:c>
      <x:c r="Y37" s="17" t="n">
        <x:f>COUNTIFS('Tasks'!$C$7:$C$246,$A37,'Tasks'!$K$7:$K$246,$D37,'Tasks'!$F$7:$F$246,$B37,'Tasks'!$K$7:$K$246,"Yes")</x:f>
        <x:v>0</x:v>
      </x:c>
      <x:c r="Z37" s="17" t="n">
        <x:f>COUNTIFS('Tasks'!$C$7:$C$246,$A37,'Tasks'!$K$7:$K$246,$D37,'Tasks'!$F$7:$F$246,$B37,'Tasks'!$AA$7:$AA$246,"&gt;0")</x:f>
        <x:v>3</x:v>
      </x:c>
      <x:c r="AA37" s="17" t="n">
        <x:f>COUNTIFS('Tasks'!$C$7:$C$246,$A37,'Tasks'!$K$7:$K$246,$D37,'Tasks'!$F$7:$F$246,$B37,'Tasks'!$AA$7:$AA$246,"&lt;0")</x:f>
        <x:v>1</x:v>
      </x:c>
      <x:c r="AB37" s="19" t="n">
        <x:f>IF(E37=0,"N/A",V37/E37)</x:f>
        <x:v>1.25</x:v>
      </x:c>
      <x:c r="AC37" s="22" t="n">
        <x:f>IF(E37=0,"N/A",K37/E37)</x:f>
        <x:v>7.202565</x:v>
      </x:c>
      <x:c r="AD37" s="19" t="n">
        <x:f>IF(E37=0,"N/A",P37/E37)</x:f>
        <x:v>1.3874999999999997</x:v>
      </x:c>
    </x:row>
    <x:row r="38" ht="23" customHeight="1">
      <x:c r="A38" s="17" t="str">
        <x:v>C001</x:v>
      </x:c>
      <x:c r="B38" s="17" t="str">
        <x:v>Prepare launch checklist</x:v>
      </x:c>
      <x:c r="C38" s="17" t="str">
        <x:v>brief_changed</x:v>
      </x:c>
      <x:c r="D38" s="17" t="str">
        <x:v>Yes</x:v>
      </x:c>
      <x:c r="E38" s="17" t="n">
        <x:f>COUNTIFS('Tasks'!$C$7:$C$246,$A38,'Tasks'!$K$7:$K$246,$D38,'Tasks'!$F$7:$F$246,$B38)</x:f>
        <x:v>1</x:v>
      </x:c>
      <x:c r="F38" s="17" t="n">
        <x:f>SUMIFS('Tasks'!$O$7:$O$246,'Tasks'!$C$7:$C$246,$A38,'Tasks'!$K$7:$K$246,$D38,'Tasks'!$F$7:$F$246,$B38)</x:f>
        <x:v>339096</x:v>
      </x:c>
      <x:c r="G38" s="17" t="n">
        <x:f>SUMIFS('Tasks'!$P$7:$P$246,'Tasks'!$C$7:$C$246,$A38,'Tasks'!$K$7:$K$246,$D38,'Tasks'!$F$7:$F$246,$B38)</x:f>
        <x:v>56301</x:v>
      </x:c>
      <x:c r="H38" s="17" t="n">
        <x:f>SUMIFS('Tasks'!$Q$7:$Q$246,'Tasks'!$C$7:$C$246,$A38,'Tasks'!$K$7:$K$246,$D38,'Tasks'!$F$7:$F$246,$B38)</x:f>
        <x:v>395397</x:v>
      </x:c>
      <x:c r="I38" s="22" t="n">
        <x:f>SUMIFS('Tasks'!$S$7:$S$246,'Tasks'!$C$7:$C$246,$A38,'Tasks'!$K$7:$K$246,$D38,'Tasks'!$F$7:$F$246,$B38)</x:f>
        <x:v>3.3909599999999998</x:v>
      </x:c>
      <x:c r="J38" s="22" t="n">
        <x:f>SUMIFS('Tasks'!$T$7:$T$246,'Tasks'!$C$7:$C$246,$A38,'Tasks'!$K$7:$K$246,$D38,'Tasks'!$F$7:$F$246,$B38)</x:f>
        <x:v>1.6890299999999998</x:v>
      </x:c>
      <x:c r="K38" s="22" t="n">
        <x:f>SUMIFS('Tasks'!$U$7:$U$246,'Tasks'!$C$7:$C$246,$A38,'Tasks'!$K$7:$K$246,$D38,'Tasks'!$F$7:$F$246,$B38)</x:f>
        <x:v>5.07999</x:v>
      </x:c>
      <x:c r="L38" s="17" t="n">
        <x:f>SUMIFS('Tasks'!$R$7:$R$246,'Tasks'!$C$7:$C$246,$A38,'Tasks'!$K$7:$K$246,$D38,'Tasks'!$F$7:$F$246,$B38)</x:f>
        <x:v>9</x:v>
      </x:c>
      <x:c r="M38" s="22" t="n">
        <x:f>IF(L38=0,"N/A",K38/L38)</x:f>
        <x:v>0.5644433333333333</x:v>
      </x:c>
      <x:c r="N38" s="19" t="n">
        <x:f>SUMIFS('Tasks'!$G$7:$G$246,'Tasks'!$C$7:$C$246,$A38,'Tasks'!$K$7:$K$246,$D38,'Tasks'!$F$7:$F$246,$B38)</x:f>
        <x:v>4.64</x:v>
      </x:c>
      <x:c r="O38" s="19" t="n">
        <x:f>SUMIFS('Tasks'!$H$7:$H$246,'Tasks'!$C$7:$C$246,$A38,'Tasks'!$K$7:$K$246,$D38,'Tasks'!$F$7:$F$246,$B38)</x:f>
        <x:v>2.35</x:v>
      </x:c>
      <x:c r="P38" s="19" t="n">
        <x:f>SUMIFS('Tasks'!$Y$7:$Y$246,'Tasks'!$C$7:$C$246,$A38,'Tasks'!$K$7:$K$246,$D38,'Tasks'!$F$7:$F$246,$B38)</x:f>
        <x:v>2.2899999999999996</x:v>
      </x:c>
      <x:c r="Q38" s="22" t="n">
        <x:f>SUMIFS('Tasks'!$Z$7:$Z$246,'Tasks'!$C$7:$C$246,$A38,'Tasks'!$K$7:$K$246,$D38,'Tasks'!$F$7:$F$246,$B38)</x:f>
        <x:v>114.49999999999999</x:v>
      </x:c>
      <x:c r="R38" s="22" t="n">
        <x:f>SUMIFS('Tasks'!$AA$7:$AA$246,'Tasks'!$C$7:$C$246,$A38,'Tasks'!$K$7:$K$246,$D38,'Tasks'!$F$7:$F$246,$B38)</x:f>
        <x:v>109.42000999999999</x:v>
      </x:c>
      <x:c r="S38" s="31" t="n">
        <x:f>IF(K38=0,"N/A",R38/K38)</x:f>
        <x:v>21.539414447666235</x:v>
      </x:c>
      <x:c r="T38" s="19" t="n">
        <x:f>SUMIFS('Tasks'!$I$7:$I$246,'Tasks'!$C$7:$C$246,$A38,'Tasks'!$K$7:$K$246,$D38,'Tasks'!$F$7:$F$246,$B38)</x:f>
        <x:v>0.32</x:v>
      </x:c>
      <x:c r="U38" s="31" t="n">
        <x:f>IF(O38=0,"N/A",T38/O38)</x:f>
        <x:v>0.13617021276595745</x:v>
      </x:c>
      <x:c r="V38" s="17" t="n">
        <x:f>SUMIFS('Tasks'!$X$7:$X$246,'Tasks'!$C$7:$C$246,$A38,'Tasks'!$K$7:$K$246,$D38,'Tasks'!$F$7:$F$246,$B38)</x:f>
        <x:v>1</x:v>
      </x:c>
      <x:c r="W38" s="31" t="n">
        <x:f>IF(L38=0,"N/A",V38/L38)</x:f>
        <x:v>0.1111111111111111</x:v>
      </x:c>
      <x:c r="X38" s="17" t="n">
        <x:f>COUNTIFS('Tasks'!$C$7:$C$246,$A38,'Tasks'!$K$7:$K$246,$D38,'Tasks'!$F$7:$F$246,$B38,'Tasks'!$L$7:$L$246,"Yes")</x:f>
        <x:v>1</x:v>
      </x:c>
      <x:c r="Y38" s="17" t="n">
        <x:f>COUNTIFS('Tasks'!$C$7:$C$246,$A38,'Tasks'!$K$7:$K$246,$D38,'Tasks'!$F$7:$F$246,$B38,'Tasks'!$K$7:$K$246,"Yes")</x:f>
        <x:v>1</x:v>
      </x:c>
      <x:c r="Z38" s="17" t="n">
        <x:f>COUNTIFS('Tasks'!$C$7:$C$246,$A38,'Tasks'!$K$7:$K$246,$D38,'Tasks'!$F$7:$F$246,$B38,'Tasks'!$AA$7:$AA$246,"&gt;0")</x:f>
        <x:v>1</x:v>
      </x:c>
      <x:c r="AA38" s="17" t="n">
        <x:f>COUNTIFS('Tasks'!$C$7:$C$246,$A38,'Tasks'!$K$7:$K$246,$D38,'Tasks'!$F$7:$F$246,$B38,'Tasks'!$AA$7:$AA$246,"&lt;0")</x:f>
        <x:v>0</x:v>
      </x:c>
      <x:c r="AB38" s="19" t="n">
        <x:f>IF(E38=0,"N/A",V38/E38)</x:f>
        <x:v>1</x:v>
      </x:c>
      <x:c r="AC38" s="22" t="n">
        <x:f>IF(E38=0,"N/A",K38/E38)</x:f>
        <x:v>5.07999</x:v>
      </x:c>
      <x:c r="AD38" s="19" t="n">
        <x:f>IF(E38=0,"N/A",P38/E38)</x:f>
        <x:v>2.2899999999999996</x:v>
      </x:c>
    </x:row>
    <x:row r="39" ht="23" customHeight="1">
      <x:c r="A39" s="17" t="str">
        <x:v>C001</x:v>
      </x:c>
      <x:c r="B39" s="17" t="str">
        <x:v>Review creative variants</x:v>
      </x:c>
      <x:c r="C39" s="17" t="str">
        <x:v>prompt_template_used</x:v>
      </x:c>
      <x:c r="D39" s="17" t="str">
        <x:v>Yes</x:v>
      </x:c>
      <x:c r="E39" s="17" t="n">
        <x:f>COUNTIFS('Tasks'!$C$7:$C$246,$A39,'Tasks'!$L$7:$L$246,$D39,'Tasks'!$F$7:$F$246,$B39)</x:f>
        <x:v>5</x:v>
      </x:c>
      <x:c r="F39" s="17" t="n">
        <x:f>SUMIFS('Tasks'!$O$7:$O$246,'Tasks'!$C$7:$C$246,$A39,'Tasks'!$L$7:$L$246,$D39,'Tasks'!$F$7:$F$246,$B39)</x:f>
        <x:v>1487972</x:v>
      </x:c>
      <x:c r="G39" s="17" t="n">
        <x:f>SUMIFS('Tasks'!$P$7:$P$246,'Tasks'!$C$7:$C$246,$A39,'Tasks'!$L$7:$L$246,$D39,'Tasks'!$F$7:$F$246,$B39)</x:f>
        <x:v>312738</x:v>
      </x:c>
      <x:c r="H39" s="17" t="n">
        <x:f>SUMIFS('Tasks'!$Q$7:$Q$246,'Tasks'!$C$7:$C$246,$A39,'Tasks'!$L$7:$L$246,$D39,'Tasks'!$F$7:$F$246,$B39)</x:f>
        <x:v>1800710</x:v>
      </x:c>
      <x:c r="I39" s="22" t="n">
        <x:f>SUMIFS('Tasks'!$S$7:$S$246,'Tasks'!$C$7:$C$246,$A39,'Tasks'!$L$7:$L$246,$D39,'Tasks'!$F$7:$F$246,$B39)</x:f>
        <x:v>21.94157</x:v>
      </x:c>
      <x:c r="J39" s="22" t="n">
        <x:f>SUMIFS('Tasks'!$T$7:$T$246,'Tasks'!$C$7:$C$246,$A39,'Tasks'!$L$7:$L$246,$D39,'Tasks'!$F$7:$F$246,$B39)</x:f>
        <x:v>14.92306</x:v>
      </x:c>
      <x:c r="K39" s="22" t="n">
        <x:f>SUMIFS('Tasks'!$U$7:$U$246,'Tasks'!$C$7:$C$246,$A39,'Tasks'!$L$7:$L$246,$D39,'Tasks'!$F$7:$F$246,$B39)</x:f>
        <x:v>36.864630000000005</x:v>
      </x:c>
      <x:c r="L39" s="17" t="n">
        <x:f>SUMIFS('Tasks'!$R$7:$R$246,'Tasks'!$C$7:$C$246,$A39,'Tasks'!$L$7:$L$246,$D39,'Tasks'!$F$7:$F$246,$B39)</x:f>
        <x:v>48</x:v>
      </x:c>
      <x:c r="M39" s="22" t="n">
        <x:f>IF(L39=0,"N/A",K39/L39)</x:f>
        <x:v>0.7680131250000001</x:v>
      </x:c>
      <x:c r="N39" s="19" t="n">
        <x:f>SUMIFS('Tasks'!$G$7:$G$246,'Tasks'!$C$7:$C$246,$A39,'Tasks'!$L$7:$L$246,$D39,'Tasks'!$F$7:$F$246,$B39)</x:f>
        <x:v>19.02</x:v>
      </x:c>
      <x:c r="O39" s="19" t="n">
        <x:f>SUMIFS('Tasks'!$H$7:$H$246,'Tasks'!$C$7:$C$246,$A39,'Tasks'!$L$7:$L$246,$D39,'Tasks'!$F$7:$F$246,$B39)</x:f>
        <x:v>8.7</x:v>
      </x:c>
      <x:c r="P39" s="19" t="n">
        <x:f>SUMIFS('Tasks'!$Y$7:$Y$246,'Tasks'!$C$7:$C$246,$A39,'Tasks'!$L$7:$L$246,$D39,'Tasks'!$F$7:$F$246,$B39)</x:f>
        <x:v>10.32</x:v>
      </x:c>
      <x:c r="Q39" s="22" t="n">
        <x:f>SUMIFS('Tasks'!$Z$7:$Z$246,'Tasks'!$C$7:$C$246,$A39,'Tasks'!$L$7:$L$246,$D39,'Tasks'!$F$7:$F$246,$B39)</x:f>
        <x:v>516</x:v>
      </x:c>
      <x:c r="R39" s="22" t="n">
        <x:f>SUMIFS('Tasks'!$AA$7:$AA$246,'Tasks'!$C$7:$C$246,$A39,'Tasks'!$L$7:$L$246,$D39,'Tasks'!$F$7:$F$246,$B39)</x:f>
        <x:v>479.13537</x:v>
      </x:c>
      <x:c r="S39" s="31" t="n">
        <x:f>IF(K39=0,"N/A",R39/K39)</x:f>
        <x:v>12.997156624113682</x:v>
      </x:c>
      <x:c r="T39" s="19" t="n">
        <x:f>SUMIFS('Tasks'!$I$7:$I$246,'Tasks'!$C$7:$C$246,$A39,'Tasks'!$L$7:$L$246,$D39,'Tasks'!$F$7:$F$246,$B39)</x:f>
        <x:v>0.52</x:v>
      </x:c>
      <x:c r="U39" s="31" t="n">
        <x:f>IF(O39=0,"N/A",T39/O39)</x:f>
        <x:v>0.05977011494252874</x:v>
      </x:c>
      <x:c r="V39" s="17" t="n">
        <x:f>SUMIFS('Tasks'!$X$7:$X$246,'Tasks'!$C$7:$C$246,$A39,'Tasks'!$L$7:$L$246,$D39,'Tasks'!$F$7:$F$246,$B39)</x:f>
        <x:v>4</x:v>
      </x:c>
      <x:c r="W39" s="31" t="n">
        <x:f>IF(L39=0,"N/A",V39/L39)</x:f>
        <x:v>0.08333333333333333</x:v>
      </x:c>
      <x:c r="X39" s="17" t="n">
        <x:f>COUNTIFS('Tasks'!$C$7:$C$246,$A39,'Tasks'!$L$7:$L$246,$D39,'Tasks'!$F$7:$F$246,$B39,'Tasks'!$L$7:$L$246,"Yes")</x:f>
        <x:v>5</x:v>
      </x:c>
      <x:c r="Y39" s="17" t="n">
        <x:f>COUNTIFS('Tasks'!$C$7:$C$246,$A39,'Tasks'!$L$7:$L$246,$D39,'Tasks'!$F$7:$F$246,$B39,'Tasks'!$K$7:$K$246,"Yes")</x:f>
        <x:v>0</x:v>
      </x:c>
      <x:c r="Z39" s="17" t="n">
        <x:f>COUNTIFS('Tasks'!$C$7:$C$246,$A39,'Tasks'!$L$7:$L$246,$D39,'Tasks'!$F$7:$F$246,$B39,'Tasks'!$AA$7:$AA$246,"&gt;0")</x:f>
        <x:v>5</x:v>
      </x:c>
      <x:c r="AA39" s="17" t="n">
        <x:f>COUNTIFS('Tasks'!$C$7:$C$246,$A39,'Tasks'!$L$7:$L$246,$D39,'Tasks'!$F$7:$F$246,$B39,'Tasks'!$AA$7:$AA$246,"&lt;0")</x:f>
        <x:v>0</x:v>
      </x:c>
      <x:c r="AB39" s="19" t="n">
        <x:f>IF(E39=0,"N/A",V39/E39)</x:f>
        <x:v>0.8</x:v>
      </x:c>
      <x:c r="AC39" s="22" t="n">
        <x:f>IF(E39=0,"N/A",K39/E39)</x:f>
        <x:v>7.372926000000001</x:v>
      </x:c>
      <x:c r="AD39" s="19" t="n">
        <x:f>IF(E39=0,"N/A",P39/E39)</x:f>
        <x:v>2.064</x:v>
      </x:c>
    </x:row>
    <x:row r="40" ht="23" customHeight="1">
      <x:c r="A40" s="17" t="str">
        <x:v>C001</x:v>
      </x:c>
      <x:c r="B40" s="17" t="str">
        <x:v>Review creative variants</x:v>
      </x:c>
      <x:c r="C40" s="17" t="str">
        <x:v>brief_changed</x:v>
      </x:c>
      <x:c r="D40" s="17" t="str">
        <x:v>No</x:v>
      </x:c>
      <x:c r="E40" s="17" t="n">
        <x:f>COUNTIFS('Tasks'!$C$7:$C$246,$A40,'Tasks'!$K$7:$K$246,$D40,'Tasks'!$F$7:$F$246,$B40)</x:f>
        <x:v>5</x:v>
      </x:c>
      <x:c r="F40" s="17" t="n">
        <x:f>SUMIFS('Tasks'!$O$7:$O$246,'Tasks'!$C$7:$C$246,$A40,'Tasks'!$K$7:$K$246,$D40,'Tasks'!$F$7:$F$246,$B40)</x:f>
        <x:v>1487972</x:v>
      </x:c>
      <x:c r="G40" s="17" t="n">
        <x:f>SUMIFS('Tasks'!$P$7:$P$246,'Tasks'!$C$7:$C$246,$A40,'Tasks'!$K$7:$K$246,$D40,'Tasks'!$F$7:$F$246,$B40)</x:f>
        <x:v>312738</x:v>
      </x:c>
      <x:c r="H40" s="17" t="n">
        <x:f>SUMIFS('Tasks'!$Q$7:$Q$246,'Tasks'!$C$7:$C$246,$A40,'Tasks'!$K$7:$K$246,$D40,'Tasks'!$F$7:$F$246,$B40)</x:f>
        <x:v>1800710</x:v>
      </x:c>
      <x:c r="I40" s="22" t="n">
        <x:f>SUMIFS('Tasks'!$S$7:$S$246,'Tasks'!$C$7:$C$246,$A40,'Tasks'!$K$7:$K$246,$D40,'Tasks'!$F$7:$F$246,$B40)</x:f>
        <x:v>21.94157</x:v>
      </x:c>
      <x:c r="J40" s="22" t="n">
        <x:f>SUMIFS('Tasks'!$T$7:$T$246,'Tasks'!$C$7:$C$246,$A40,'Tasks'!$K$7:$K$246,$D40,'Tasks'!$F$7:$F$246,$B40)</x:f>
        <x:v>14.92306</x:v>
      </x:c>
      <x:c r="K40" s="22" t="n">
        <x:f>SUMIFS('Tasks'!$U$7:$U$246,'Tasks'!$C$7:$C$246,$A40,'Tasks'!$K$7:$K$246,$D40,'Tasks'!$F$7:$F$246,$B40)</x:f>
        <x:v>36.864630000000005</x:v>
      </x:c>
      <x:c r="L40" s="17" t="n">
        <x:f>SUMIFS('Tasks'!$R$7:$R$246,'Tasks'!$C$7:$C$246,$A40,'Tasks'!$K$7:$K$246,$D40,'Tasks'!$F$7:$F$246,$B40)</x:f>
        <x:v>48</x:v>
      </x:c>
      <x:c r="M40" s="22" t="n">
        <x:f>IF(L40=0,"N/A",K40/L40)</x:f>
        <x:v>0.7680131250000001</x:v>
      </x:c>
      <x:c r="N40" s="19" t="n">
        <x:f>SUMIFS('Tasks'!$G$7:$G$246,'Tasks'!$C$7:$C$246,$A40,'Tasks'!$K$7:$K$246,$D40,'Tasks'!$F$7:$F$246,$B40)</x:f>
        <x:v>19.02</x:v>
      </x:c>
      <x:c r="O40" s="19" t="n">
        <x:f>SUMIFS('Tasks'!$H$7:$H$246,'Tasks'!$C$7:$C$246,$A40,'Tasks'!$K$7:$K$246,$D40,'Tasks'!$F$7:$F$246,$B40)</x:f>
        <x:v>8.7</x:v>
      </x:c>
      <x:c r="P40" s="19" t="n">
        <x:f>SUMIFS('Tasks'!$Y$7:$Y$246,'Tasks'!$C$7:$C$246,$A40,'Tasks'!$K$7:$K$246,$D40,'Tasks'!$F$7:$F$246,$B40)</x:f>
        <x:v>10.32</x:v>
      </x:c>
      <x:c r="Q40" s="22" t="n">
        <x:f>SUMIFS('Tasks'!$Z$7:$Z$246,'Tasks'!$C$7:$C$246,$A40,'Tasks'!$K$7:$K$246,$D40,'Tasks'!$F$7:$F$246,$B40)</x:f>
        <x:v>516</x:v>
      </x:c>
      <x:c r="R40" s="22" t="n">
        <x:f>SUMIFS('Tasks'!$AA$7:$AA$246,'Tasks'!$C$7:$C$246,$A40,'Tasks'!$K$7:$K$246,$D40,'Tasks'!$F$7:$F$246,$B40)</x:f>
        <x:v>479.13537</x:v>
      </x:c>
      <x:c r="S40" s="31" t="n">
        <x:f>IF(K40=0,"N/A",R40/K40)</x:f>
        <x:v>12.997156624113682</x:v>
      </x:c>
      <x:c r="T40" s="19" t="n">
        <x:f>SUMIFS('Tasks'!$I$7:$I$246,'Tasks'!$C$7:$C$246,$A40,'Tasks'!$K$7:$K$246,$D40,'Tasks'!$F$7:$F$246,$B40)</x:f>
        <x:v>0.52</x:v>
      </x:c>
      <x:c r="U40" s="31" t="n">
        <x:f>IF(O40=0,"N/A",T40/O40)</x:f>
        <x:v>0.05977011494252874</x:v>
      </x:c>
      <x:c r="V40" s="17" t="n">
        <x:f>SUMIFS('Tasks'!$X$7:$X$246,'Tasks'!$C$7:$C$246,$A40,'Tasks'!$K$7:$K$246,$D40,'Tasks'!$F$7:$F$246,$B40)</x:f>
        <x:v>4</x:v>
      </x:c>
      <x:c r="W40" s="31" t="n">
        <x:f>IF(L40=0,"N/A",V40/L40)</x:f>
        <x:v>0.08333333333333333</x:v>
      </x:c>
      <x:c r="X40" s="17" t="n">
        <x:f>COUNTIFS('Tasks'!$C$7:$C$246,$A40,'Tasks'!$K$7:$K$246,$D40,'Tasks'!$F$7:$F$246,$B40,'Tasks'!$L$7:$L$246,"Yes")</x:f>
        <x:v>5</x:v>
      </x:c>
      <x:c r="Y40" s="17" t="n">
        <x:f>COUNTIFS('Tasks'!$C$7:$C$246,$A40,'Tasks'!$K$7:$K$246,$D40,'Tasks'!$F$7:$F$246,$B40,'Tasks'!$K$7:$K$246,"Yes")</x:f>
        <x:v>0</x:v>
      </x:c>
      <x:c r="Z40" s="17" t="n">
        <x:f>COUNTIFS('Tasks'!$C$7:$C$246,$A40,'Tasks'!$K$7:$K$246,$D40,'Tasks'!$F$7:$F$246,$B40,'Tasks'!$AA$7:$AA$246,"&gt;0")</x:f>
        <x:v>5</x:v>
      </x:c>
      <x:c r="AA40" s="17" t="n">
        <x:f>COUNTIFS('Tasks'!$C$7:$C$246,$A40,'Tasks'!$K$7:$K$246,$D40,'Tasks'!$F$7:$F$246,$B40,'Tasks'!$AA$7:$AA$246,"&lt;0")</x:f>
        <x:v>0</x:v>
      </x:c>
      <x:c r="AB40" s="19" t="n">
        <x:f>IF(E40=0,"N/A",V40/E40)</x:f>
        <x:v>0.8</x:v>
      </x:c>
      <x:c r="AC40" s="22" t="n">
        <x:f>IF(E40=0,"N/A",K40/E40)</x:f>
        <x:v>7.372926000000001</x:v>
      </x:c>
      <x:c r="AD40" s="19" t="n">
        <x:f>IF(E40=0,"N/A",P40/E40)</x:f>
        <x:v>2.064</x:v>
      </x:c>
    </x:row>
    <x:row r="41" ht="23" customHeight="1">
      <x:c r="A41" s="17" t="str">
        <x:v>C001</x:v>
      </x:c>
      <x:c r="B41" s="17" t="str">
        <x:v>Summarize audience insights</x:v>
      </x:c>
      <x:c r="C41" s="17" t="str">
        <x:v>prompt_template_used</x:v>
      </x:c>
      <x:c r="D41" s="17" t="str">
        <x:v>Yes</x:v>
      </x:c>
      <x:c r="E41" s="17" t="n">
        <x:f>COUNTIFS('Tasks'!$C$7:$C$246,$A41,'Tasks'!$L$7:$L$246,$D41,'Tasks'!$F$7:$F$246,$B41)</x:f>
        <x:v>5</x:v>
      </x:c>
      <x:c r="F41" s="17" t="n">
        <x:f>SUMIFS('Tasks'!$O$7:$O$246,'Tasks'!$C$7:$C$246,$A41,'Tasks'!$L$7:$L$246,$D41,'Tasks'!$F$7:$F$246,$B41)</x:f>
        <x:v>1556398</x:v>
      </x:c>
      <x:c r="G41" s="17" t="n">
        <x:f>SUMIFS('Tasks'!$P$7:$P$246,'Tasks'!$C$7:$C$246,$A41,'Tasks'!$L$7:$L$246,$D41,'Tasks'!$F$7:$F$246,$B41)</x:f>
        <x:v>459547</x:v>
      </x:c>
      <x:c r="H41" s="17" t="n">
        <x:f>SUMIFS('Tasks'!$Q$7:$Q$246,'Tasks'!$C$7:$C$246,$A41,'Tasks'!$L$7:$L$246,$D41,'Tasks'!$F$7:$F$246,$B41)</x:f>
        <x:v>2015945</x:v>
      </x:c>
      <x:c r="I41" s="22" t="n">
        <x:f>SUMIFS('Tasks'!$S$7:$S$246,'Tasks'!$C$7:$C$246,$A41,'Tasks'!$L$7:$L$246,$D41,'Tasks'!$F$7:$F$246,$B41)</x:f>
        <x:v>20.79784</x:v>
      </x:c>
      <x:c r="J41" s="22" t="n">
        <x:f>SUMIFS('Tasks'!$T$7:$T$246,'Tasks'!$C$7:$C$246,$A41,'Tasks'!$L$7:$L$246,$D41,'Tasks'!$F$7:$F$246,$B41)</x:f>
        <x:v>17.96849</x:v>
      </x:c>
      <x:c r="K41" s="22" t="n">
        <x:f>SUMIFS('Tasks'!$U$7:$U$246,'Tasks'!$C$7:$C$246,$A41,'Tasks'!$L$7:$L$246,$D41,'Tasks'!$F$7:$F$246,$B41)</x:f>
        <x:v>38.76633</x:v>
      </x:c>
      <x:c r="L41" s="17" t="n">
        <x:f>SUMIFS('Tasks'!$R$7:$R$246,'Tasks'!$C$7:$C$246,$A41,'Tasks'!$L$7:$L$246,$D41,'Tasks'!$F$7:$F$246,$B41)</x:f>
        <x:v>49</x:v>
      </x:c>
      <x:c r="M41" s="22" t="n">
        <x:f>IF(L41=0,"N/A",K41/L41)</x:f>
        <x:v>0.7911495918367347</x:v>
      </x:c>
      <x:c r="N41" s="19" t="n">
        <x:f>SUMIFS('Tasks'!$G$7:$G$246,'Tasks'!$C$7:$C$246,$A41,'Tasks'!$L$7:$L$246,$D41,'Tasks'!$F$7:$F$246,$B41)</x:f>
        <x:v>18.54</x:v>
      </x:c>
      <x:c r="O41" s="19" t="n">
        <x:f>SUMIFS('Tasks'!$H$7:$H$246,'Tasks'!$C$7:$C$246,$A41,'Tasks'!$L$7:$L$246,$D41,'Tasks'!$F$7:$F$246,$B41)</x:f>
        <x:v>13.11</x:v>
      </x:c>
      <x:c r="P41" s="19" t="n">
        <x:f>SUMIFS('Tasks'!$Y$7:$Y$246,'Tasks'!$C$7:$C$246,$A41,'Tasks'!$L$7:$L$246,$D41,'Tasks'!$F$7:$F$246,$B41)</x:f>
        <x:v>5.43</x:v>
      </x:c>
      <x:c r="Q41" s="22" t="n">
        <x:f>SUMIFS('Tasks'!$Z$7:$Z$246,'Tasks'!$C$7:$C$246,$A41,'Tasks'!$L$7:$L$246,$D41,'Tasks'!$F$7:$F$246,$B41)</x:f>
        <x:v>271.5</x:v>
      </x:c>
      <x:c r="R41" s="22" t="n">
        <x:f>SUMIFS('Tasks'!$AA$7:$AA$246,'Tasks'!$C$7:$C$246,$A41,'Tasks'!$L$7:$L$246,$D41,'Tasks'!$F$7:$F$246,$B41)</x:f>
        <x:v>232.73367000000002</x:v>
      </x:c>
      <x:c r="S41" s="31" t="n">
        <x:f>IF(K41=0,"N/A",R41/K41)</x:f>
        <x:v>6.0035002023663315</x:v>
      </x:c>
      <x:c r="T41" s="19" t="n">
        <x:f>SUMIFS('Tasks'!$I$7:$I$246,'Tasks'!$C$7:$C$246,$A41,'Tasks'!$L$7:$L$246,$D41,'Tasks'!$F$7:$F$246,$B41)</x:f>
        <x:v>0.6799999999999999</x:v>
      </x:c>
      <x:c r="U41" s="31" t="n">
        <x:f>IF(O41=0,"N/A",T41/O41)</x:f>
        <x:v>0.05186880244088482</x:v>
      </x:c>
      <x:c r="V41" s="17" t="n">
        <x:f>SUMIFS('Tasks'!$X$7:$X$246,'Tasks'!$C$7:$C$246,$A41,'Tasks'!$L$7:$L$246,$D41,'Tasks'!$F$7:$F$246,$B41)</x:f>
        <x:v>5</x:v>
      </x:c>
      <x:c r="W41" s="31" t="n">
        <x:f>IF(L41=0,"N/A",V41/L41)</x:f>
        <x:v>0.10204081632653061</x:v>
      </x:c>
      <x:c r="X41" s="17" t="n">
        <x:f>COUNTIFS('Tasks'!$C$7:$C$246,$A41,'Tasks'!$L$7:$L$246,$D41,'Tasks'!$F$7:$F$246,$B41,'Tasks'!$L$7:$L$246,"Yes")</x:f>
        <x:v>5</x:v>
      </x:c>
      <x:c r="Y41" s="17" t="n">
        <x:f>COUNTIFS('Tasks'!$C$7:$C$246,$A41,'Tasks'!$L$7:$L$246,$D41,'Tasks'!$F$7:$F$246,$B41,'Tasks'!$K$7:$K$246,"Yes")</x:f>
        <x:v>0</x:v>
      </x:c>
      <x:c r="Z41" s="17" t="n">
        <x:f>COUNTIFS('Tasks'!$C$7:$C$246,$A41,'Tasks'!$L$7:$L$246,$D41,'Tasks'!$F$7:$F$246,$B41,'Tasks'!$AA$7:$AA$246,"&gt;0")</x:f>
        <x:v>4</x:v>
      </x:c>
      <x:c r="AA41" s="17" t="n">
        <x:f>COUNTIFS('Tasks'!$C$7:$C$246,$A41,'Tasks'!$L$7:$L$246,$D41,'Tasks'!$F$7:$F$246,$B41,'Tasks'!$AA$7:$AA$246,"&lt;0")</x:f>
        <x:v>1</x:v>
      </x:c>
      <x:c r="AB41" s="19" t="n">
        <x:f>IF(E41=0,"N/A",V41/E41)</x:f>
        <x:v>1</x:v>
      </x:c>
      <x:c r="AC41" s="22" t="n">
        <x:f>IF(E41=0,"N/A",K41/E41)</x:f>
        <x:v>7.753266000000001</x:v>
      </x:c>
      <x:c r="AD41" s="19" t="n">
        <x:f>IF(E41=0,"N/A",P41/E41)</x:f>
        <x:v>1.0859999999999999</x:v>
      </x:c>
    </x:row>
    <x:row r="42" ht="23" customHeight="1">
      <x:c r="A42" s="17" t="str">
        <x:v>C001</x:v>
      </x:c>
      <x:c r="B42" s="17" t="str">
        <x:v>Summarize audience insights</x:v>
      </x:c>
      <x:c r="C42" s="17" t="str">
        <x:v>brief_changed</x:v>
      </x:c>
      <x:c r="D42" s="17" t="str">
        <x:v>No</x:v>
      </x:c>
      <x:c r="E42" s="17" t="n">
        <x:f>COUNTIFS('Tasks'!$C$7:$C$246,$A42,'Tasks'!$K$7:$K$246,$D42,'Tasks'!$F$7:$F$246,$B42)</x:f>
        <x:v>5</x:v>
      </x:c>
      <x:c r="F42" s="17" t="n">
        <x:f>SUMIFS('Tasks'!$O$7:$O$246,'Tasks'!$C$7:$C$246,$A42,'Tasks'!$K$7:$K$246,$D42,'Tasks'!$F$7:$F$246,$B42)</x:f>
        <x:v>1556398</x:v>
      </x:c>
      <x:c r="G42" s="17" t="n">
        <x:f>SUMIFS('Tasks'!$P$7:$P$246,'Tasks'!$C$7:$C$246,$A42,'Tasks'!$K$7:$K$246,$D42,'Tasks'!$F$7:$F$246,$B42)</x:f>
        <x:v>459547</x:v>
      </x:c>
      <x:c r="H42" s="17" t="n">
        <x:f>SUMIFS('Tasks'!$Q$7:$Q$246,'Tasks'!$C$7:$C$246,$A42,'Tasks'!$K$7:$K$246,$D42,'Tasks'!$F$7:$F$246,$B42)</x:f>
        <x:v>2015945</x:v>
      </x:c>
      <x:c r="I42" s="22" t="n">
        <x:f>SUMIFS('Tasks'!$S$7:$S$246,'Tasks'!$C$7:$C$246,$A42,'Tasks'!$K$7:$K$246,$D42,'Tasks'!$F$7:$F$246,$B42)</x:f>
        <x:v>20.79784</x:v>
      </x:c>
      <x:c r="J42" s="22" t="n">
        <x:f>SUMIFS('Tasks'!$T$7:$T$246,'Tasks'!$C$7:$C$246,$A42,'Tasks'!$K$7:$K$246,$D42,'Tasks'!$F$7:$F$246,$B42)</x:f>
        <x:v>17.96849</x:v>
      </x:c>
      <x:c r="K42" s="22" t="n">
        <x:f>SUMIFS('Tasks'!$U$7:$U$246,'Tasks'!$C$7:$C$246,$A42,'Tasks'!$K$7:$K$246,$D42,'Tasks'!$F$7:$F$246,$B42)</x:f>
        <x:v>38.76633</x:v>
      </x:c>
      <x:c r="L42" s="17" t="n">
        <x:f>SUMIFS('Tasks'!$R$7:$R$246,'Tasks'!$C$7:$C$246,$A42,'Tasks'!$K$7:$K$246,$D42,'Tasks'!$F$7:$F$246,$B42)</x:f>
        <x:v>49</x:v>
      </x:c>
      <x:c r="M42" s="22" t="n">
        <x:f>IF(L42=0,"N/A",K42/L42)</x:f>
        <x:v>0.7911495918367347</x:v>
      </x:c>
      <x:c r="N42" s="19" t="n">
        <x:f>SUMIFS('Tasks'!$G$7:$G$246,'Tasks'!$C$7:$C$246,$A42,'Tasks'!$K$7:$K$246,$D42,'Tasks'!$F$7:$F$246,$B42)</x:f>
        <x:v>18.54</x:v>
      </x:c>
      <x:c r="O42" s="19" t="n">
        <x:f>SUMIFS('Tasks'!$H$7:$H$246,'Tasks'!$C$7:$C$246,$A42,'Tasks'!$K$7:$K$246,$D42,'Tasks'!$F$7:$F$246,$B42)</x:f>
        <x:v>13.11</x:v>
      </x:c>
      <x:c r="P42" s="19" t="n">
        <x:f>SUMIFS('Tasks'!$Y$7:$Y$246,'Tasks'!$C$7:$C$246,$A42,'Tasks'!$K$7:$K$246,$D42,'Tasks'!$F$7:$F$246,$B42)</x:f>
        <x:v>5.43</x:v>
      </x:c>
      <x:c r="Q42" s="22" t="n">
        <x:f>SUMIFS('Tasks'!$Z$7:$Z$246,'Tasks'!$C$7:$C$246,$A42,'Tasks'!$K$7:$K$246,$D42,'Tasks'!$F$7:$F$246,$B42)</x:f>
        <x:v>271.5</x:v>
      </x:c>
      <x:c r="R42" s="22" t="n">
        <x:f>SUMIFS('Tasks'!$AA$7:$AA$246,'Tasks'!$C$7:$C$246,$A42,'Tasks'!$K$7:$K$246,$D42,'Tasks'!$F$7:$F$246,$B42)</x:f>
        <x:v>232.73367000000002</x:v>
      </x:c>
      <x:c r="S42" s="31" t="n">
        <x:f>IF(K42=0,"N/A",R42/K42)</x:f>
        <x:v>6.0035002023663315</x:v>
      </x:c>
      <x:c r="T42" s="19" t="n">
        <x:f>SUMIFS('Tasks'!$I$7:$I$246,'Tasks'!$C$7:$C$246,$A42,'Tasks'!$K$7:$K$246,$D42,'Tasks'!$F$7:$F$246,$B42)</x:f>
        <x:v>0.6799999999999999</x:v>
      </x:c>
      <x:c r="U42" s="31" t="n">
        <x:f>IF(O42=0,"N/A",T42/O42)</x:f>
        <x:v>0.05186880244088482</x:v>
      </x:c>
      <x:c r="V42" s="17" t="n">
        <x:f>SUMIFS('Tasks'!$X$7:$X$246,'Tasks'!$C$7:$C$246,$A42,'Tasks'!$K$7:$K$246,$D42,'Tasks'!$F$7:$F$246,$B42)</x:f>
        <x:v>5</x:v>
      </x:c>
      <x:c r="W42" s="31" t="n">
        <x:f>IF(L42=0,"N/A",V42/L42)</x:f>
        <x:v>0.10204081632653061</x:v>
      </x:c>
      <x:c r="X42" s="17" t="n">
        <x:f>COUNTIFS('Tasks'!$C$7:$C$246,$A42,'Tasks'!$K$7:$K$246,$D42,'Tasks'!$F$7:$F$246,$B42,'Tasks'!$L$7:$L$246,"Yes")</x:f>
        <x:v>5</x:v>
      </x:c>
      <x:c r="Y42" s="17" t="n">
        <x:f>COUNTIFS('Tasks'!$C$7:$C$246,$A42,'Tasks'!$K$7:$K$246,$D42,'Tasks'!$F$7:$F$246,$B42,'Tasks'!$K$7:$K$246,"Yes")</x:f>
        <x:v>0</x:v>
      </x:c>
      <x:c r="Z42" s="17" t="n">
        <x:f>COUNTIFS('Tasks'!$C$7:$C$246,$A42,'Tasks'!$K$7:$K$246,$D42,'Tasks'!$F$7:$F$246,$B42,'Tasks'!$AA$7:$AA$246,"&gt;0")</x:f>
        <x:v>4</x:v>
      </x:c>
      <x:c r="AA42" s="17" t="n">
        <x:f>COUNTIFS('Tasks'!$C$7:$C$246,$A42,'Tasks'!$K$7:$K$246,$D42,'Tasks'!$F$7:$F$246,$B42,'Tasks'!$AA$7:$AA$246,"&lt;0")</x:f>
        <x:v>1</x:v>
      </x:c>
      <x:c r="AB42" s="19" t="n">
        <x:f>IF(E42=0,"N/A",V42/E42)</x:f>
        <x:v>1</x:v>
      </x:c>
      <x:c r="AC42" s="22" t="n">
        <x:f>IF(E42=0,"N/A",K42/E42)</x:f>
        <x:v>7.753266000000001</x:v>
      </x:c>
      <x:c r="AD42" s="19" t="n">
        <x:f>IF(E42=0,"N/A",P42/E42)</x:f>
        <x:v>1.0859999999999999</x:v>
      </x:c>
    </x:row>
    <x:row r="43" ht="23" customHeight="1">
      <x:c r="A43" s="17" t="str">
        <x:v>C001</x:v>
      </x:c>
      <x:c r="B43" s="17" t="str">
        <x:v>Write ad copy</x:v>
      </x:c>
      <x:c r="C43" s="17" t="str">
        <x:v>prompt_template_used</x:v>
      </x:c>
      <x:c r="D43" s="17" t="str">
        <x:v>Yes</x:v>
      </x:c>
      <x:c r="E43" s="17" t="n">
        <x:f>COUNTIFS('Tasks'!$C$7:$C$246,$A43,'Tasks'!$L$7:$L$246,$D43,'Tasks'!$F$7:$F$246,$B43)</x:f>
        <x:v>6</x:v>
      </x:c>
      <x:c r="F43" s="17" t="n">
        <x:f>SUMIFS('Tasks'!$O$7:$O$246,'Tasks'!$C$7:$C$246,$A43,'Tasks'!$L$7:$L$246,$D43,'Tasks'!$F$7:$F$246,$B43)</x:f>
        <x:v>2163035</x:v>
      </x:c>
      <x:c r="G43" s="17" t="n">
        <x:f>SUMIFS('Tasks'!$P$7:$P$246,'Tasks'!$C$7:$C$246,$A43,'Tasks'!$L$7:$L$246,$D43,'Tasks'!$F$7:$F$246,$B43)</x:f>
        <x:v>502631</x:v>
      </x:c>
      <x:c r="H43" s="17" t="n">
        <x:f>SUMIFS('Tasks'!$Q$7:$Q$246,'Tasks'!$C$7:$C$246,$A43,'Tasks'!$L$7:$L$246,$D43,'Tasks'!$F$7:$F$246,$B43)</x:f>
        <x:v>2665666</x:v>
      </x:c>
      <x:c r="I43" s="22" t="n">
        <x:f>SUMIFS('Tasks'!$S$7:$S$246,'Tasks'!$C$7:$C$246,$A43,'Tasks'!$L$7:$L$246,$D43,'Tasks'!$F$7:$F$246,$B43)</x:f>
        <x:v>29.37818</x:v>
      </x:c>
      <x:c r="J43" s="22" t="n">
        <x:f>SUMIFS('Tasks'!$T$7:$T$246,'Tasks'!$C$7:$C$246,$A43,'Tasks'!$L$7:$L$246,$D43,'Tasks'!$F$7:$F$246,$B43)</x:f>
        <x:v>23.00363</x:v>
      </x:c>
      <x:c r="K43" s="22" t="n">
        <x:f>SUMIFS('Tasks'!$U$7:$U$246,'Tasks'!$C$7:$C$246,$A43,'Tasks'!$L$7:$L$246,$D43,'Tasks'!$F$7:$F$246,$B43)</x:f>
        <x:v>52.38181</x:v>
      </x:c>
      <x:c r="L43" s="17" t="n">
        <x:f>SUMIFS('Tasks'!$R$7:$R$246,'Tasks'!$C$7:$C$246,$A43,'Tasks'!$L$7:$L$246,$D43,'Tasks'!$F$7:$F$246,$B43)</x:f>
        <x:v>59</x:v>
      </x:c>
      <x:c r="M43" s="22" t="n">
        <x:f>IF(L43=0,"N/A",K43/L43)</x:f>
        <x:v>0.8878272881355932</x:v>
      </x:c>
      <x:c r="N43" s="19" t="n">
        <x:f>SUMIFS('Tasks'!$G$7:$G$246,'Tasks'!$C$7:$C$246,$A43,'Tasks'!$L$7:$L$246,$D43,'Tasks'!$F$7:$F$246,$B43)</x:f>
        <x:v>26.6</x:v>
      </x:c>
      <x:c r="O43" s="19" t="n">
        <x:f>SUMIFS('Tasks'!$H$7:$H$246,'Tasks'!$C$7:$C$246,$A43,'Tasks'!$L$7:$L$246,$D43,'Tasks'!$F$7:$F$246,$B43)</x:f>
        <x:v>15.849999999999998</x:v>
      </x:c>
      <x:c r="P43" s="19" t="n">
        <x:f>SUMIFS('Tasks'!$Y$7:$Y$246,'Tasks'!$C$7:$C$246,$A43,'Tasks'!$L$7:$L$246,$D43,'Tasks'!$F$7:$F$246,$B43)</x:f>
        <x:v>10.75</x:v>
      </x:c>
      <x:c r="Q43" s="22" t="n">
        <x:f>SUMIFS('Tasks'!$Z$7:$Z$246,'Tasks'!$C$7:$C$246,$A43,'Tasks'!$L$7:$L$246,$D43,'Tasks'!$F$7:$F$246,$B43)</x:f>
        <x:v>537.5</x:v>
      </x:c>
      <x:c r="R43" s="22" t="n">
        <x:f>SUMIFS('Tasks'!$AA$7:$AA$246,'Tasks'!$C$7:$C$246,$A43,'Tasks'!$L$7:$L$246,$D43,'Tasks'!$F$7:$F$246,$B43)</x:f>
        <x:v>485.11818999999997</x:v>
      </x:c>
      <x:c r="S43" s="31" t="n">
        <x:f>IF(K43=0,"N/A",R43/K43)</x:f>
        <x:v>9.26119563260605</x:v>
      </x:c>
      <x:c r="T43" s="19" t="n">
        <x:f>SUMIFS('Tasks'!$I$7:$I$246,'Tasks'!$C$7:$C$246,$A43,'Tasks'!$L$7:$L$246,$D43,'Tasks'!$F$7:$F$246,$B43)</x:f>
        <x:v>1.4200000000000002</x:v>
      </x:c>
      <x:c r="U43" s="31" t="n">
        <x:f>IF(O43=0,"N/A",T43/O43)</x:f>
        <x:v>0.08958990536277604</x:v>
      </x:c>
      <x:c r="V43" s="17" t="n">
        <x:f>SUMIFS('Tasks'!$X$7:$X$246,'Tasks'!$C$7:$C$246,$A43,'Tasks'!$L$7:$L$246,$D43,'Tasks'!$F$7:$F$246,$B43)</x:f>
        <x:v>7</x:v>
      </x:c>
      <x:c r="W43" s="31" t="n">
        <x:f>IF(L43=0,"N/A",V43/L43)</x:f>
        <x:v>0.11864406779661017</x:v>
      </x:c>
      <x:c r="X43" s="17" t="n">
        <x:f>COUNTIFS('Tasks'!$C$7:$C$246,$A43,'Tasks'!$L$7:$L$246,$D43,'Tasks'!$F$7:$F$246,$B43,'Tasks'!$L$7:$L$246,"Yes")</x:f>
        <x:v>6</x:v>
      </x:c>
      <x:c r="Y43" s="17" t="n">
        <x:f>COUNTIFS('Tasks'!$C$7:$C$246,$A43,'Tasks'!$L$7:$L$246,$D43,'Tasks'!$F$7:$F$246,$B43,'Tasks'!$K$7:$K$246,"Yes")</x:f>
        <x:v>1</x:v>
      </x:c>
      <x:c r="Z43" s="17" t="n">
        <x:f>COUNTIFS('Tasks'!$C$7:$C$246,$A43,'Tasks'!$L$7:$L$246,$D43,'Tasks'!$F$7:$F$246,$B43,'Tasks'!$AA$7:$AA$246,"&gt;0")</x:f>
        <x:v>5</x:v>
      </x:c>
      <x:c r="AA43" s="17" t="n">
        <x:f>COUNTIFS('Tasks'!$C$7:$C$246,$A43,'Tasks'!$L$7:$L$246,$D43,'Tasks'!$F$7:$F$246,$B43,'Tasks'!$AA$7:$AA$246,"&lt;0")</x:f>
        <x:v>1</x:v>
      </x:c>
      <x:c r="AB43" s="19" t="n">
        <x:f>IF(E43=0,"N/A",V43/E43)</x:f>
        <x:v>1.1666666666666667</x:v>
      </x:c>
      <x:c r="AC43" s="22" t="n">
        <x:f>IF(E43=0,"N/A",K43/E43)</x:f>
        <x:v>8.730301666666668</x:v>
      </x:c>
      <x:c r="AD43" s="19" t="n">
        <x:f>IF(E43=0,"N/A",P43/E43)</x:f>
        <x:v>1.7916666666666667</x:v>
      </x:c>
    </x:row>
    <x:row r="44" ht="23" customHeight="1">
      <x:c r="A44" s="17" t="str">
        <x:v>C001</x:v>
      </x:c>
      <x:c r="B44" s="17" t="str">
        <x:v>Write ad copy</x:v>
      </x:c>
      <x:c r="C44" s="17" t="str">
        <x:v>brief_changed</x:v>
      </x:c>
      <x:c r="D44" s="17" t="str">
        <x:v>No</x:v>
      </x:c>
      <x:c r="E44" s="17" t="n">
        <x:f>COUNTIFS('Tasks'!$C$7:$C$246,$A44,'Tasks'!$K$7:$K$246,$D44,'Tasks'!$F$7:$F$246,$B44)</x:f>
        <x:v>5</x:v>
      </x:c>
      <x:c r="F44" s="17" t="n">
        <x:f>SUMIFS('Tasks'!$O$7:$O$246,'Tasks'!$C$7:$C$246,$A44,'Tasks'!$K$7:$K$246,$D44,'Tasks'!$F$7:$F$246,$B44)</x:f>
        <x:v>1867711</x:v>
      </x:c>
      <x:c r="G44" s="17" t="n">
        <x:f>SUMIFS('Tasks'!$P$7:$P$246,'Tasks'!$C$7:$C$246,$A44,'Tasks'!$K$7:$K$246,$D44,'Tasks'!$F$7:$F$246,$B44)</x:f>
        <x:v>399225</x:v>
      </x:c>
      <x:c r="H44" s="17" t="n">
        <x:f>SUMIFS('Tasks'!$Q$7:$Q$246,'Tasks'!$C$7:$C$246,$A44,'Tasks'!$K$7:$K$246,$D44,'Tasks'!$F$7:$F$246,$B44)</x:f>
        <x:v>2266936</x:v>
      </x:c>
      <x:c r="I44" s="22" t="n">
        <x:f>SUMIFS('Tasks'!$S$7:$S$246,'Tasks'!$C$7:$C$246,$A44,'Tasks'!$K$7:$K$246,$D44,'Tasks'!$F$7:$F$246,$B44)</x:f>
        <x:v>26.42494</x:v>
      </x:c>
      <x:c r="J44" s="22" t="n">
        <x:f>SUMIFS('Tasks'!$T$7:$T$246,'Tasks'!$C$7:$C$246,$A44,'Tasks'!$K$7:$K$246,$D44,'Tasks'!$F$7:$F$246,$B44)</x:f>
        <x:v>19.90145</x:v>
      </x:c>
      <x:c r="K44" s="22" t="n">
        <x:f>SUMIFS('Tasks'!$U$7:$U$246,'Tasks'!$C$7:$C$246,$A44,'Tasks'!$K$7:$K$246,$D44,'Tasks'!$F$7:$F$246,$B44)</x:f>
        <x:v>46.326389999999996</x:v>
      </x:c>
      <x:c r="L44" s="17" t="n">
        <x:f>SUMIFS('Tasks'!$R$7:$R$246,'Tasks'!$C$7:$C$246,$A44,'Tasks'!$K$7:$K$246,$D44,'Tasks'!$F$7:$F$246,$B44)</x:f>
        <x:v>50</x:v>
      </x:c>
      <x:c r="M44" s="22" t="n">
        <x:f>IF(L44=0,"N/A",K44/L44)</x:f>
        <x:v>0.9265277999999999</x:v>
      </x:c>
      <x:c r="N44" s="19" t="n">
        <x:f>SUMIFS('Tasks'!$G$7:$G$246,'Tasks'!$C$7:$C$246,$A44,'Tasks'!$K$7:$K$246,$D44,'Tasks'!$F$7:$F$246,$B44)</x:f>
        <x:v>21.68</x:v>
      </x:c>
      <x:c r="O44" s="19" t="n">
        <x:f>SUMIFS('Tasks'!$H$7:$H$246,'Tasks'!$C$7:$C$246,$A44,'Tasks'!$K$7:$K$246,$D44,'Tasks'!$F$7:$F$246,$B44)</x:f>
        <x:v>13.11</x:v>
      </x:c>
      <x:c r="P44" s="19" t="n">
        <x:f>SUMIFS('Tasks'!$Y$7:$Y$246,'Tasks'!$C$7:$C$246,$A44,'Tasks'!$K$7:$K$246,$D44,'Tasks'!$F$7:$F$246,$B44)</x:f>
        <x:v>8.57</x:v>
      </x:c>
      <x:c r="Q44" s="22" t="n">
        <x:f>SUMIFS('Tasks'!$Z$7:$Z$246,'Tasks'!$C$7:$C$246,$A44,'Tasks'!$K$7:$K$246,$D44,'Tasks'!$F$7:$F$246,$B44)</x:f>
        <x:v>428.49999999999994</x:v>
      </x:c>
      <x:c r="R44" s="22" t="n">
        <x:f>SUMIFS('Tasks'!$AA$7:$AA$246,'Tasks'!$C$7:$C$246,$A44,'Tasks'!$K$7:$K$246,$D44,'Tasks'!$F$7:$F$246,$B44)</x:f>
        <x:v>382.17361</x:v>
      </x:c>
      <x:c r="S44" s="31" t="n">
        <x:f>IF(K44=0,"N/A",R44/K44)</x:f>
        <x:v>8.249587546104932</x:v>
      </x:c>
      <x:c r="T44" s="19" t="n">
        <x:f>SUMIFS('Tasks'!$I$7:$I$246,'Tasks'!$C$7:$C$246,$A44,'Tasks'!$K$7:$K$246,$D44,'Tasks'!$F$7:$F$246,$B44)</x:f>
        <x:v>1.35</x:v>
      </x:c>
      <x:c r="U44" s="31" t="n">
        <x:f>IF(O44=0,"N/A",T44/O44)</x:f>
        <x:v>0.10297482837528606</x:v>
      </x:c>
      <x:c r="V44" s="17" t="n">
        <x:f>SUMIFS('Tasks'!$X$7:$X$246,'Tasks'!$C$7:$C$246,$A44,'Tasks'!$K$7:$K$246,$D44,'Tasks'!$F$7:$F$246,$B44)</x:f>
        <x:v>6</x:v>
      </x:c>
      <x:c r="W44" s="31" t="n">
        <x:f>IF(L44=0,"N/A",V44/L44)</x:f>
        <x:v>0.12</x:v>
      </x:c>
      <x:c r="X44" s="17" t="n">
        <x:f>COUNTIFS('Tasks'!$C$7:$C$246,$A44,'Tasks'!$K$7:$K$246,$D44,'Tasks'!$F$7:$F$246,$B44,'Tasks'!$L$7:$L$246,"Yes")</x:f>
        <x:v>5</x:v>
      </x:c>
      <x:c r="Y44" s="17" t="n">
        <x:f>COUNTIFS('Tasks'!$C$7:$C$246,$A44,'Tasks'!$K$7:$K$246,$D44,'Tasks'!$F$7:$F$246,$B44,'Tasks'!$K$7:$K$246,"Yes")</x:f>
        <x:v>0</x:v>
      </x:c>
      <x:c r="Z44" s="17" t="n">
        <x:f>COUNTIFS('Tasks'!$C$7:$C$246,$A44,'Tasks'!$K$7:$K$246,$D44,'Tasks'!$F$7:$F$246,$B44,'Tasks'!$AA$7:$AA$246,"&gt;0")</x:f>
        <x:v>4</x:v>
      </x:c>
      <x:c r="AA44" s="17" t="n">
        <x:f>COUNTIFS('Tasks'!$C$7:$C$246,$A44,'Tasks'!$K$7:$K$246,$D44,'Tasks'!$F$7:$F$246,$B44,'Tasks'!$AA$7:$AA$246,"&lt;0")</x:f>
        <x:v>1</x:v>
      </x:c>
      <x:c r="AB44" s="19" t="n">
        <x:f>IF(E44=0,"N/A",V44/E44)</x:f>
        <x:v>1.2</x:v>
      </x:c>
      <x:c r="AC44" s="22" t="n">
        <x:f>IF(E44=0,"N/A",K44/E44)</x:f>
        <x:v>9.265277999999999</x:v>
      </x:c>
      <x:c r="AD44" s="19" t="n">
        <x:f>IF(E44=0,"N/A",P44/E44)</x:f>
        <x:v>1.714</x:v>
      </x:c>
    </x:row>
    <x:row r="45" ht="23" customHeight="1">
      <x:c r="A45" s="17" t="str">
        <x:v>C001</x:v>
      </x:c>
      <x:c r="B45" s="17" t="str">
        <x:v>Write ad copy</x:v>
      </x:c>
      <x:c r="C45" s="17" t="str">
        <x:v>brief_changed</x:v>
      </x:c>
      <x:c r="D45" s="17" t="str">
        <x:v>Yes</x:v>
      </x:c>
      <x:c r="E45" s="17" t="n">
        <x:f>COUNTIFS('Tasks'!$C$7:$C$246,$A45,'Tasks'!$K$7:$K$246,$D45,'Tasks'!$F$7:$F$246,$B45)</x:f>
        <x:v>1</x:v>
      </x:c>
      <x:c r="F45" s="17" t="n">
        <x:f>SUMIFS('Tasks'!$O$7:$O$246,'Tasks'!$C$7:$C$246,$A45,'Tasks'!$K$7:$K$246,$D45,'Tasks'!$F$7:$F$246,$B45)</x:f>
        <x:v>295324</x:v>
      </x:c>
      <x:c r="G45" s="17" t="n">
        <x:f>SUMIFS('Tasks'!$P$7:$P$246,'Tasks'!$C$7:$C$246,$A45,'Tasks'!$K$7:$K$246,$D45,'Tasks'!$F$7:$F$246,$B45)</x:f>
        <x:v>103406</x:v>
      </x:c>
      <x:c r="H45" s="17" t="n">
        <x:f>SUMIFS('Tasks'!$Q$7:$Q$246,'Tasks'!$C$7:$C$246,$A45,'Tasks'!$K$7:$K$246,$D45,'Tasks'!$F$7:$F$246,$B45)</x:f>
        <x:v>398730</x:v>
      </x:c>
      <x:c r="I45" s="22" t="n">
        <x:f>SUMIFS('Tasks'!$S$7:$S$246,'Tasks'!$C$7:$C$246,$A45,'Tasks'!$K$7:$K$246,$D45,'Tasks'!$F$7:$F$246,$B45)</x:f>
        <x:v>2.9532400000000005</x:v>
      </x:c>
      <x:c r="J45" s="22" t="n">
        <x:f>SUMIFS('Tasks'!$T$7:$T$246,'Tasks'!$C$7:$C$246,$A45,'Tasks'!$K$7:$K$246,$D45,'Tasks'!$F$7:$F$246,$B45)</x:f>
        <x:v>3.1021800000000006</x:v>
      </x:c>
      <x:c r="K45" s="22" t="n">
        <x:f>SUMIFS('Tasks'!$U$7:$U$246,'Tasks'!$C$7:$C$246,$A45,'Tasks'!$K$7:$K$246,$D45,'Tasks'!$F$7:$F$246,$B45)</x:f>
        <x:v>6.055420000000001</x:v>
      </x:c>
      <x:c r="L45" s="17" t="n">
        <x:f>SUMIFS('Tasks'!$R$7:$R$246,'Tasks'!$C$7:$C$246,$A45,'Tasks'!$K$7:$K$246,$D45,'Tasks'!$F$7:$F$246,$B45)</x:f>
        <x:v>9</x:v>
      </x:c>
      <x:c r="M45" s="22" t="n">
        <x:f>IF(L45=0,"N/A",K45/L45)</x:f>
        <x:v>0.6728244444444446</x:v>
      </x:c>
      <x:c r="N45" s="19" t="n">
        <x:f>SUMIFS('Tasks'!$G$7:$G$246,'Tasks'!$C$7:$C$246,$A45,'Tasks'!$K$7:$K$246,$D45,'Tasks'!$F$7:$F$246,$B45)</x:f>
        <x:v>4.92</x:v>
      </x:c>
      <x:c r="O45" s="19" t="n">
        <x:f>SUMIFS('Tasks'!$H$7:$H$246,'Tasks'!$C$7:$C$246,$A45,'Tasks'!$K$7:$K$246,$D45,'Tasks'!$F$7:$F$246,$B45)</x:f>
        <x:v>2.74</x:v>
      </x:c>
      <x:c r="P45" s="19" t="n">
        <x:f>SUMIFS('Tasks'!$Y$7:$Y$246,'Tasks'!$C$7:$C$246,$A45,'Tasks'!$K$7:$K$246,$D45,'Tasks'!$F$7:$F$246,$B45)</x:f>
        <x:v>2.1799999999999997</x:v>
      </x:c>
      <x:c r="Q45" s="22" t="n">
        <x:f>SUMIFS('Tasks'!$Z$7:$Z$246,'Tasks'!$C$7:$C$246,$A45,'Tasks'!$K$7:$K$246,$D45,'Tasks'!$F$7:$F$246,$B45)</x:f>
        <x:v>108.99999999999999</x:v>
      </x:c>
      <x:c r="R45" s="22" t="n">
        <x:f>SUMIFS('Tasks'!$AA$7:$AA$246,'Tasks'!$C$7:$C$246,$A45,'Tasks'!$K$7:$K$246,$D45,'Tasks'!$F$7:$F$246,$B45)</x:f>
        <x:v>102.94457999999999</x:v>
      </x:c>
      <x:c r="S45" s="31" t="n">
        <x:f>IF(K45=0,"N/A",R45/K45)</x:f>
        <x:v>17.000402944799863</x:v>
      </x:c>
      <x:c r="T45" s="19" t="n">
        <x:f>SUMIFS('Tasks'!$I$7:$I$246,'Tasks'!$C$7:$C$246,$A45,'Tasks'!$K$7:$K$246,$D45,'Tasks'!$F$7:$F$246,$B45)</x:f>
        <x:v>0.07</x:v>
      </x:c>
      <x:c r="U45" s="31" t="n">
        <x:f>IF(O45=0,"N/A",T45/O45)</x:f>
        <x:v>0.025547445255474453</x:v>
      </x:c>
      <x:c r="V45" s="17" t="n">
        <x:f>SUMIFS('Tasks'!$X$7:$X$246,'Tasks'!$C$7:$C$246,$A45,'Tasks'!$K$7:$K$246,$D45,'Tasks'!$F$7:$F$246,$B45)</x:f>
        <x:v>1</x:v>
      </x:c>
      <x:c r="W45" s="31" t="n">
        <x:f>IF(L45=0,"N/A",V45/L45)</x:f>
        <x:v>0.1111111111111111</x:v>
      </x:c>
      <x:c r="X45" s="17" t="n">
        <x:f>COUNTIFS('Tasks'!$C$7:$C$246,$A45,'Tasks'!$K$7:$K$246,$D45,'Tasks'!$F$7:$F$246,$B45,'Tasks'!$L$7:$L$246,"Yes")</x:f>
        <x:v>1</x:v>
      </x:c>
      <x:c r="Y45" s="17" t="n">
        <x:f>COUNTIFS('Tasks'!$C$7:$C$246,$A45,'Tasks'!$K$7:$K$246,$D45,'Tasks'!$F$7:$F$246,$B45,'Tasks'!$K$7:$K$246,"Yes")</x:f>
        <x:v>1</x:v>
      </x:c>
      <x:c r="Z45" s="17" t="n">
        <x:f>COUNTIFS('Tasks'!$C$7:$C$246,$A45,'Tasks'!$K$7:$K$246,$D45,'Tasks'!$F$7:$F$246,$B45,'Tasks'!$AA$7:$AA$246,"&gt;0")</x:f>
        <x:v>1</x:v>
      </x:c>
      <x:c r="AA45" s="17" t="n">
        <x:f>COUNTIFS('Tasks'!$C$7:$C$246,$A45,'Tasks'!$K$7:$K$246,$D45,'Tasks'!$F$7:$F$246,$B45,'Tasks'!$AA$7:$AA$246,"&lt;0")</x:f>
        <x:v>0</x:v>
      </x:c>
      <x:c r="AB45" s="19" t="n">
        <x:f>IF(E45=0,"N/A",V45/E45)</x:f>
        <x:v>1</x:v>
      </x:c>
      <x:c r="AC45" s="22" t="n">
        <x:f>IF(E45=0,"N/A",K45/E45)</x:f>
        <x:v>6.055420000000001</x:v>
      </x:c>
      <x:c r="AD45" s="19" t="n">
        <x:f>IF(E45=0,"N/A",P45/E45)</x:f>
        <x:v>2.1799999999999997</x:v>
      </x:c>
    </x:row>
    <x:row r="46" ht="23" customHeight="1">
      <x:c r="A46" s="17" t="str">
        <x:v>C002</x:v>
      </x:c>
      <x:c r="B46" s="17" t="str">
        <x:v>All task types</x:v>
      </x:c>
      <x:c r="C46" s="17" t="str">
        <x:v>prompt_template_used</x:v>
      </x:c>
      <x:c r="D46" s="17" t="str">
        <x:v>No</x:v>
      </x:c>
      <x:c r="E46" s="17" t="n">
        <x:f>COUNTIFS('Tasks'!$C$7:$C$246,$A46,'Tasks'!$L$7:$L$246,$D46)</x:f>
        <x:v>41</x:v>
      </x:c>
      <x:c r="F46" s="17" t="n">
        <x:f>SUMIFS('Tasks'!$O$7:$O$246,'Tasks'!$C$7:$C$246,$A46,'Tasks'!$L$7:$L$246,$D46)</x:f>
        <x:v>22393249</x:v>
      </x:c>
      <x:c r="G46" s="17" t="n">
        <x:f>SUMIFS('Tasks'!$P$7:$P$246,'Tasks'!$C$7:$C$246,$A46,'Tasks'!$L$7:$L$246,$D46)</x:f>
        <x:v>7174548</x:v>
      </x:c>
      <x:c r="H46" s="17" t="n">
        <x:f>SUMIFS('Tasks'!$Q$7:$Q$246,'Tasks'!$C$7:$C$246,$A46,'Tasks'!$L$7:$L$246,$D46)</x:f>
        <x:v>29567797</x:v>
      </x:c>
      <x:c r="I46" s="22" t="n">
        <x:f>SUMIFS('Tasks'!$S$7:$S$246,'Tasks'!$C$7:$C$246,$A46,'Tasks'!$L$7:$L$246,$D46)</x:f>
        <x:v>504.7673200000001</x:v>
      </x:c>
      <x:c r="J46" s="22" t="n">
        <x:f>SUMIFS('Tasks'!$T$7:$T$246,'Tasks'!$C$7:$C$246,$A46,'Tasks'!$L$7:$L$246,$D46)</x:f>
        <x:v>536.3372899999999</x:v>
      </x:c>
      <x:c r="K46" s="22" t="n">
        <x:f>SUMIFS('Tasks'!$U$7:$U$246,'Tasks'!$C$7:$C$246,$A46,'Tasks'!$L$7:$L$246,$D46)</x:f>
        <x:v>1041.1046099999996</x:v>
      </x:c>
      <x:c r="L46" s="17" t="n">
        <x:f>SUMIFS('Tasks'!$R$7:$R$246,'Tasks'!$C$7:$C$246,$A46,'Tasks'!$L$7:$L$246,$D46)</x:f>
        <x:v>844</x:v>
      </x:c>
      <x:c r="M46" s="22" t="n">
        <x:f>IF(L46=0,"N/A",K46/L46)</x:f>
        <x:v>1.2335362677725115</x:v>
      </x:c>
      <x:c r="N46" s="19" t="n">
        <x:f>SUMIFS('Tasks'!$G$7:$G$246,'Tasks'!$C$7:$C$246,$A46,'Tasks'!$L$7:$L$246,$D46)</x:f>
        <x:v>136.52999999999997</x:v>
      </x:c>
      <x:c r="O46" s="19" t="n">
        <x:f>SUMIFS('Tasks'!$H$7:$H$246,'Tasks'!$C$7:$C$246,$A46,'Tasks'!$L$7:$L$246,$D46)</x:f>
        <x:v>191.44999999999993</x:v>
      </x:c>
      <x:c r="P46" s="19" t="n">
        <x:f>SUMIFS('Tasks'!$Y$7:$Y$246,'Tasks'!$C$7:$C$246,$A46,'Tasks'!$L$7:$L$246,$D46)</x:f>
        <x:v>-54.92</x:v>
      </x:c>
      <x:c r="Q46" s="22" t="n">
        <x:f>SUMIFS('Tasks'!$Z$7:$Z$246,'Tasks'!$C$7:$C$246,$A46,'Tasks'!$L$7:$L$246,$D46)</x:f>
        <x:v>-2746</x:v>
      </x:c>
      <x:c r="R46" s="22" t="n">
        <x:f>SUMIFS('Tasks'!$AA$7:$AA$246,'Tasks'!$C$7:$C$246,$A46,'Tasks'!$L$7:$L$246,$D46)</x:f>
        <x:v>-3787.10461</x:v>
      </x:c>
      <x:c r="S46" s="31" t="n">
        <x:f>IF(K46=0,"N/A",R46/K46)</x:f>
        <x:v>-3.637583172357676</x:v>
      </x:c>
      <x:c r="T46" s="19" t="n">
        <x:f>SUMIFS('Tasks'!$I$7:$I$246,'Tasks'!$C$7:$C$246,$A46,'Tasks'!$L$7:$L$246,$D46)</x:f>
        <x:v>66.25</x:v>
      </x:c>
      <x:c r="U46" s="31" t="n">
        <x:f>IF(O46=0,"N/A",T46/O46)</x:f>
        <x:v>0.34604335335596775</x:v>
      </x:c>
      <x:c r="V46" s="17" t="n">
        <x:f>SUMIFS('Tasks'!$X$7:$X$246,'Tasks'!$C$7:$C$246,$A46,'Tasks'!$L$7:$L$246,$D46)</x:f>
        <x:v>342</x:v>
      </x:c>
      <x:c r="W46" s="31" t="n">
        <x:f>IF(L46=0,"N/A",V46/L46)</x:f>
        <x:v>0.4052132701421801</x:v>
      </x:c>
      <x:c r="X46" s="17" t="n">
        <x:f>COUNTIFS('Tasks'!$C$7:$C$246,$A46,'Tasks'!$L$7:$L$246,$D46,'Tasks'!$L$7:$L$246,"Yes")</x:f>
        <x:v>0</x:v>
      </x:c>
      <x:c r="Y46" s="17" t="n">
        <x:f>COUNTIFS('Tasks'!$C$7:$C$246,$A46,'Tasks'!$L$7:$L$246,$D46,'Tasks'!$K$7:$K$246,"Yes")</x:f>
        <x:v>20</x:v>
      </x:c>
      <x:c r="Z46" s="17" t="n">
        <x:f>COUNTIFS('Tasks'!$C$7:$C$246,$A46,'Tasks'!$L$7:$L$246,$D46,'Tasks'!$AA$7:$AA$246,"&gt;0")</x:f>
        <x:v>4</x:v>
      </x:c>
      <x:c r="AA46" s="17" t="n">
        <x:f>COUNTIFS('Tasks'!$C$7:$C$246,$A46,'Tasks'!$L$7:$L$246,$D46,'Tasks'!$AA$7:$AA$246,"&lt;0")</x:f>
        <x:v>37</x:v>
      </x:c>
      <x:c r="AB46" s="19" t="n">
        <x:f>IF(E46=0,"N/A",V46/E46)</x:f>
        <x:v>8.341463414634147</x:v>
      </x:c>
      <x:c r="AC46" s="22" t="n">
        <x:f>IF(E46=0,"N/A",K46/E46)</x:f>
        <x:v>25.39279536585365</x:v>
      </x:c>
      <x:c r="AD46" s="19" t="n">
        <x:f>IF(E46=0,"N/A",P46/E46)</x:f>
        <x:v>-1.3395121951219513</x:v>
      </x:c>
    </x:row>
    <x:row r="47" ht="23" customHeight="1">
      <x:c r="A47" s="17" t="str">
        <x:v>C002</x:v>
      </x:c>
      <x:c r="B47" s="17" t="str">
        <x:v>All task types</x:v>
      </x:c>
      <x:c r="C47" s="17" t="str">
        <x:v>prompt_template_used</x:v>
      </x:c>
      <x:c r="D47" s="17" t="str">
        <x:v>Yes</x:v>
      </x:c>
      <x:c r="E47" s="17" t="n">
        <x:f>COUNTIFS('Tasks'!$C$7:$C$246,$A47,'Tasks'!$L$7:$L$246,$D47)</x:f>
        <x:v>19</x:v>
      </x:c>
      <x:c r="F47" s="17" t="n">
        <x:f>SUMIFS('Tasks'!$O$7:$O$246,'Tasks'!$C$7:$C$246,$A47,'Tasks'!$L$7:$L$246,$D47)</x:f>
        <x:v>9606751</x:v>
      </x:c>
      <x:c r="G47" s="17" t="n">
        <x:f>SUMIFS('Tasks'!$P$7:$P$246,'Tasks'!$C$7:$C$246,$A47,'Tasks'!$L$7:$L$246,$D47)</x:f>
        <x:v>2825452</x:v>
      </x:c>
      <x:c r="H47" s="17" t="n">
        <x:f>SUMIFS('Tasks'!$Q$7:$Q$246,'Tasks'!$C$7:$C$246,$A47,'Tasks'!$L$7:$L$246,$D47)</x:f>
        <x:v>12432203</x:v>
      </x:c>
      <x:c r="I47" s="22" t="n">
        <x:f>SUMIFS('Tasks'!$S$7:$S$246,'Tasks'!$C$7:$C$246,$A47,'Tasks'!$L$7:$L$246,$D47)</x:f>
        <x:v>175.23268000000002</x:v>
      </x:c>
      <x:c r="J47" s="22" t="n">
        <x:f>SUMIFS('Tasks'!$T$7:$T$246,'Tasks'!$C$7:$C$246,$A47,'Tasks'!$L$7:$L$246,$D47)</x:f>
        <x:v>183.66271</x:v>
      </x:c>
      <x:c r="K47" s="22" t="n">
        <x:f>SUMIFS('Tasks'!$U$7:$U$246,'Tasks'!$C$7:$C$246,$A47,'Tasks'!$L$7:$L$246,$D47)</x:f>
        <x:v>358.89538999999996</x:v>
      </x:c>
      <x:c r="L47" s="17" t="n">
        <x:f>SUMIFS('Tasks'!$R$7:$R$246,'Tasks'!$C$7:$C$246,$A47,'Tasks'!$L$7:$L$246,$D47)</x:f>
        <x:v>356</x:v>
      </x:c>
      <x:c r="M47" s="22" t="n">
        <x:f>IF(L47=0,"N/A",K47/L47)</x:f>
        <x:v>1.008133117977528</x:v>
      </x:c>
      <x:c r="N47" s="19" t="n">
        <x:f>SUMIFS('Tasks'!$G$7:$G$246,'Tasks'!$C$7:$C$246,$A47,'Tasks'!$L$7:$L$246,$D47)</x:f>
        <x:v>63.47</x:v>
      </x:c>
      <x:c r="O47" s="19" t="n">
        <x:f>SUMIFS('Tasks'!$H$7:$H$246,'Tasks'!$C$7:$C$246,$A47,'Tasks'!$L$7:$L$246,$D47)</x:f>
        <x:v>78.55</x:v>
      </x:c>
      <x:c r="P47" s="19" t="n">
        <x:f>SUMIFS('Tasks'!$Y$7:$Y$246,'Tasks'!$C$7:$C$246,$A47,'Tasks'!$L$7:$L$246,$D47)</x:f>
        <x:v>-15.079999999999997</x:v>
      </x:c>
      <x:c r="Q47" s="22" t="n">
        <x:f>SUMIFS('Tasks'!$Z$7:$Z$246,'Tasks'!$C$7:$C$246,$A47,'Tasks'!$L$7:$L$246,$D47)</x:f>
        <x:v>-754</x:v>
      </x:c>
      <x:c r="R47" s="22" t="n">
        <x:f>SUMIFS('Tasks'!$AA$7:$AA$246,'Tasks'!$C$7:$C$246,$A47,'Tasks'!$L$7:$L$246,$D47)</x:f>
        <x:v>-1112.8953900000001</x:v>
      </x:c>
      <x:c r="S47" s="31" t="n">
        <x:f>IF(K47=0,"N/A",R47/K47)</x:f>
        <x:v>-3.100890735877104</x:v>
      </x:c>
      <x:c r="T47" s="19" t="n">
        <x:f>SUMIFS('Tasks'!$I$7:$I$246,'Tasks'!$C$7:$C$246,$A47,'Tasks'!$L$7:$L$246,$D47)</x:f>
        <x:v>21.57</x:v>
      </x:c>
      <x:c r="U47" s="31" t="n">
        <x:f>IF(O47=0,"N/A",T47/O47)</x:f>
        <x:v>0.27460216422660727</x:v>
      </x:c>
      <x:c r="V47" s="17" t="n">
        <x:f>SUMIFS('Tasks'!$X$7:$X$246,'Tasks'!$C$7:$C$246,$A47,'Tasks'!$L$7:$L$246,$D47)</x:f>
        <x:v>140</x:v>
      </x:c>
      <x:c r="W47" s="31" t="n">
        <x:f>IF(L47=0,"N/A",V47/L47)</x:f>
        <x:v>0.39325842696629215</x:v>
      </x:c>
      <x:c r="X47" s="17" t="n">
        <x:f>COUNTIFS('Tasks'!$C$7:$C$246,$A47,'Tasks'!$L$7:$L$246,$D47,'Tasks'!$L$7:$L$246,"Yes")</x:f>
        <x:v>19</x:v>
      </x:c>
      <x:c r="Y47" s="17" t="n">
        <x:f>COUNTIFS('Tasks'!$C$7:$C$246,$A47,'Tasks'!$L$7:$L$246,$D47,'Tasks'!$K$7:$K$246,"Yes")</x:f>
        <x:v>7</x:v>
      </x:c>
      <x:c r="Z47" s="17" t="n">
        <x:f>COUNTIFS('Tasks'!$C$7:$C$246,$A47,'Tasks'!$L$7:$L$246,$D47,'Tasks'!$AA$7:$AA$246,"&gt;0")</x:f>
        <x:v>6</x:v>
      </x:c>
      <x:c r="AA47" s="17" t="n">
        <x:f>COUNTIFS('Tasks'!$C$7:$C$246,$A47,'Tasks'!$L$7:$L$246,$D47,'Tasks'!$AA$7:$AA$246,"&lt;0")</x:f>
        <x:v>13</x:v>
      </x:c>
      <x:c r="AB47" s="19" t="n">
        <x:f>IF(E47=0,"N/A",V47/E47)</x:f>
        <x:v>7.368421052631579</x:v>
      </x:c>
      <x:c r="AC47" s="22" t="n">
        <x:f>IF(E47=0,"N/A",K47/E47)</x:f>
        <x:v>18.889231052631576</x:v>
      </x:c>
      <x:c r="AD47" s="19" t="n">
        <x:f>IF(E47=0,"N/A",P47/E47)</x:f>
        <x:v>-0.7936842105263157</x:v>
      </x:c>
    </x:row>
    <x:row r="48" ht="23" customHeight="1">
      <x:c r="A48" s="17" t="str">
        <x:v>C002</x:v>
      </x:c>
      <x:c r="B48" s="17" t="str">
        <x:v>All task types</x:v>
      </x:c>
      <x:c r="C48" s="17" t="str">
        <x:v>brief_changed</x:v>
      </x:c>
      <x:c r="D48" s="17" t="str">
        <x:v>No</x:v>
      </x:c>
      <x:c r="E48" s="17" t="n">
        <x:f>COUNTIFS('Tasks'!$C$7:$C$246,$A48,'Tasks'!$K$7:$K$246,$D48)</x:f>
        <x:v>33</x:v>
      </x:c>
      <x:c r="F48" s="17" t="n">
        <x:f>SUMIFS('Tasks'!$O$7:$O$246,'Tasks'!$C$7:$C$246,$A48,'Tasks'!$K$7:$K$246,$D48)</x:f>
        <x:v>18349243</x:v>
      </x:c>
      <x:c r="G48" s="17" t="n">
        <x:f>SUMIFS('Tasks'!$P$7:$P$246,'Tasks'!$C$7:$C$246,$A48,'Tasks'!$K$7:$K$246,$D48)</x:f>
        <x:v>5866639</x:v>
      </x:c>
      <x:c r="H48" s="17" t="n">
        <x:f>SUMIFS('Tasks'!$Q$7:$Q$246,'Tasks'!$C$7:$C$246,$A48,'Tasks'!$K$7:$K$246,$D48)</x:f>
        <x:v>24215882</x:v>
      </x:c>
      <x:c r="I48" s="22" t="n">
        <x:f>SUMIFS('Tasks'!$S$7:$S$246,'Tasks'!$C$7:$C$246,$A48,'Tasks'!$K$7:$K$246,$D48)</x:f>
        <x:v>425.03695</x:v>
      </x:c>
      <x:c r="J48" s="22" t="n">
        <x:f>SUMIFS('Tasks'!$T$7:$T$246,'Tasks'!$C$7:$C$246,$A48,'Tasks'!$K$7:$K$246,$D48)</x:f>
        <x:v>445.26096</x:v>
      </x:c>
      <x:c r="K48" s="22" t="n">
        <x:f>SUMIFS('Tasks'!$U$7:$U$246,'Tasks'!$C$7:$C$246,$A48,'Tasks'!$K$7:$K$246,$D48)</x:f>
        <x:v>870.2979099999998</x:v>
      </x:c>
      <x:c r="L48" s="17" t="n">
        <x:f>SUMIFS('Tasks'!$R$7:$R$246,'Tasks'!$C$7:$C$246,$A48,'Tasks'!$K$7:$K$246,$D48)</x:f>
        <x:v>666</x:v>
      </x:c>
      <x:c r="M48" s="22" t="n">
        <x:f>IF(L48=0,"N/A",K48/L48)</x:f>
        <x:v>1.3067536186186184</x:v>
      </x:c>
      <x:c r="N48" s="19" t="n">
        <x:f>SUMIFS('Tasks'!$G$7:$G$246,'Tasks'!$C$7:$C$246,$A48,'Tasks'!$K$7:$K$246,$D48)</x:f>
        <x:v>113.72000000000003</x:v>
      </x:c>
      <x:c r="O48" s="19" t="n">
        <x:f>SUMIFS('Tasks'!$H$7:$H$246,'Tasks'!$C$7:$C$246,$A48,'Tasks'!$K$7:$K$246,$D48)</x:f>
        <x:v>154.68999999999997</x:v>
      </x:c>
      <x:c r="P48" s="19" t="n">
        <x:f>SUMIFS('Tasks'!$Y$7:$Y$246,'Tasks'!$C$7:$C$246,$A48,'Tasks'!$K$7:$K$246,$D48)</x:f>
        <x:v>-40.970000000000006</x:v>
      </x:c>
      <x:c r="Q48" s="22" t="n">
        <x:f>SUMIFS('Tasks'!$Z$7:$Z$246,'Tasks'!$C$7:$C$246,$A48,'Tasks'!$K$7:$K$246,$D48)</x:f>
        <x:v>-2048.5</x:v>
      </x:c>
      <x:c r="R48" s="22" t="n">
        <x:f>SUMIFS('Tasks'!$AA$7:$AA$246,'Tasks'!$C$7:$C$246,$A48,'Tasks'!$K$7:$K$246,$D48)</x:f>
        <x:v>-2918.79791</x:v>
      </x:c>
      <x:c r="S48" s="31" t="n">
        <x:f>IF(K48=0,"N/A",R48/K48)</x:f>
        <x:v>-3.35379170334903</x:v>
      </x:c>
      <x:c r="T48" s="19" t="n">
        <x:f>SUMIFS('Tasks'!$I$7:$I$246,'Tasks'!$C$7:$C$246,$A48,'Tasks'!$K$7:$K$246,$D48)</x:f>
        <x:v>46.44</x:v>
      </x:c>
      <x:c r="U48" s="31" t="n">
        <x:f>IF(O48=0,"N/A",T48/O48)</x:f>
        <x:v>0.30021332988557764</x:v>
      </x:c>
      <x:c r="V48" s="17" t="n">
        <x:f>SUMIFS('Tasks'!$X$7:$X$246,'Tasks'!$C$7:$C$246,$A48,'Tasks'!$K$7:$K$246,$D48)</x:f>
        <x:v>264</x:v>
      </x:c>
      <x:c r="W48" s="31" t="n">
        <x:f>IF(L48=0,"N/A",V48/L48)</x:f>
        <x:v>0.3963963963963964</x:v>
      </x:c>
      <x:c r="X48" s="17" t="n">
        <x:f>COUNTIFS('Tasks'!$C$7:$C$246,$A48,'Tasks'!$K$7:$K$246,$D48,'Tasks'!$L$7:$L$246,"Yes")</x:f>
        <x:v>12</x:v>
      </x:c>
      <x:c r="Y48" s="17" t="n">
        <x:f>COUNTIFS('Tasks'!$C$7:$C$246,$A48,'Tasks'!$K$7:$K$246,$D48,'Tasks'!$K$7:$K$246,"Yes")</x:f>
        <x:v>0</x:v>
      </x:c>
      <x:c r="Z48" s="17" t="n">
        <x:f>COUNTIFS('Tasks'!$C$7:$C$246,$A48,'Tasks'!$K$7:$K$246,$D48,'Tasks'!$AA$7:$AA$246,"&gt;0")</x:f>
        <x:v>5</x:v>
      </x:c>
      <x:c r="AA48" s="17" t="n">
        <x:f>COUNTIFS('Tasks'!$C$7:$C$246,$A48,'Tasks'!$K$7:$K$246,$D48,'Tasks'!$AA$7:$AA$246,"&lt;0")</x:f>
        <x:v>28</x:v>
      </x:c>
      <x:c r="AB48" s="19" t="n">
        <x:f>IF(E48=0,"N/A",V48/E48)</x:f>
        <x:v>8</x:v>
      </x:c>
      <x:c r="AC48" s="22" t="n">
        <x:f>IF(E48=0,"N/A",K48/E48)</x:f>
        <x:v>26.37266393939393</x:v>
      </x:c>
      <x:c r="AD48" s="19" t="n">
        <x:f>IF(E48=0,"N/A",P48/E48)</x:f>
        <x:v>-1.2415151515151517</x:v>
      </x:c>
    </x:row>
    <x:row r="49" ht="23" customHeight="1">
      <x:c r="A49" s="17" t="str">
        <x:v>C002</x:v>
      </x:c>
      <x:c r="B49" s="17" t="str">
        <x:v>All task types</x:v>
      </x:c>
      <x:c r="C49" s="17" t="str">
        <x:v>brief_changed</x:v>
      </x:c>
      <x:c r="D49" s="17" t="str">
        <x:v>Yes</x:v>
      </x:c>
      <x:c r="E49" s="17" t="n">
        <x:f>COUNTIFS('Tasks'!$C$7:$C$246,$A49,'Tasks'!$K$7:$K$246,$D49)</x:f>
        <x:v>27</x:v>
      </x:c>
      <x:c r="F49" s="17" t="n">
        <x:f>SUMIFS('Tasks'!$O$7:$O$246,'Tasks'!$C$7:$C$246,$A49,'Tasks'!$K$7:$K$246,$D49)</x:f>
        <x:v>13650757</x:v>
      </x:c>
      <x:c r="G49" s="17" t="n">
        <x:f>SUMIFS('Tasks'!$P$7:$P$246,'Tasks'!$C$7:$C$246,$A49,'Tasks'!$K$7:$K$246,$D49)</x:f>
        <x:v>4133361</x:v>
      </x:c>
      <x:c r="H49" s="17" t="n">
        <x:f>SUMIFS('Tasks'!$Q$7:$Q$246,'Tasks'!$C$7:$C$246,$A49,'Tasks'!$K$7:$K$246,$D49)</x:f>
        <x:v>17784118</x:v>
      </x:c>
      <x:c r="I49" s="22" t="n">
        <x:f>SUMIFS('Tasks'!$S$7:$S$246,'Tasks'!$C$7:$C$246,$A49,'Tasks'!$K$7:$K$246,$D49)</x:f>
        <x:v>254.96305</x:v>
      </x:c>
      <x:c r="J49" s="22" t="n">
        <x:f>SUMIFS('Tasks'!$T$7:$T$246,'Tasks'!$C$7:$C$246,$A49,'Tasks'!$K$7:$K$246,$D49)</x:f>
        <x:v>274.73904000000005</x:v>
      </x:c>
      <x:c r="K49" s="22" t="n">
        <x:f>SUMIFS('Tasks'!$U$7:$U$246,'Tasks'!$C$7:$C$246,$A49,'Tasks'!$K$7:$K$246,$D49)</x:f>
        <x:v>529.7020899999999</x:v>
      </x:c>
      <x:c r="L49" s="17" t="n">
        <x:f>SUMIFS('Tasks'!$R$7:$R$246,'Tasks'!$C$7:$C$246,$A49,'Tasks'!$K$7:$K$246,$D49)</x:f>
        <x:v>534</x:v>
      </x:c>
      <x:c r="M49" s="22" t="n">
        <x:f>IF(L49=0,"N/A",K49/L49)</x:f>
        <x:v>0.9919514794007488</x:v>
      </x:c>
      <x:c r="N49" s="19" t="n">
        <x:f>SUMIFS('Tasks'!$G$7:$G$246,'Tasks'!$C$7:$C$246,$A49,'Tasks'!$K$7:$K$246,$D49)</x:f>
        <x:v>86.28</x:v>
      </x:c>
      <x:c r="O49" s="19" t="n">
        <x:f>SUMIFS('Tasks'!$H$7:$H$246,'Tasks'!$C$7:$C$246,$A49,'Tasks'!$K$7:$K$246,$D49)</x:f>
        <x:v>115.30999999999999</x:v>
      </x:c>
      <x:c r="P49" s="19" t="n">
        <x:f>SUMIFS('Tasks'!$Y$7:$Y$246,'Tasks'!$C$7:$C$246,$A49,'Tasks'!$K$7:$K$246,$D49)</x:f>
        <x:v>-29.030000000000005</x:v>
      </x:c>
      <x:c r="Q49" s="22" t="n">
        <x:f>SUMIFS('Tasks'!$Z$7:$Z$246,'Tasks'!$C$7:$C$246,$A49,'Tasks'!$K$7:$K$246,$D49)</x:f>
        <x:v>-1451.5</x:v>
      </x:c>
      <x:c r="R49" s="22" t="n">
        <x:f>SUMIFS('Tasks'!$AA$7:$AA$246,'Tasks'!$C$7:$C$246,$A49,'Tasks'!$K$7:$K$246,$D49)</x:f>
        <x:v>-1981.20209</x:v>
      </x:c>
      <x:c r="S49" s="31" t="n">
        <x:f>IF(K49=0,"N/A",R49/K49)</x:f>
        <x:v>-3.7402195071573163</x:v>
      </x:c>
      <x:c r="T49" s="19" t="n">
        <x:f>SUMIFS('Tasks'!$I$7:$I$246,'Tasks'!$C$7:$C$246,$A49,'Tasks'!$K$7:$K$246,$D49)</x:f>
        <x:v>41.38000000000001</x:v>
      </x:c>
      <x:c r="U49" s="31" t="n">
        <x:f>IF(O49=0,"N/A",T49/O49)</x:f>
        <x:v>0.35885872864452356</x:v>
      </x:c>
      <x:c r="V49" s="17" t="n">
        <x:f>SUMIFS('Tasks'!$X$7:$X$246,'Tasks'!$C$7:$C$246,$A49,'Tasks'!$K$7:$K$246,$D49)</x:f>
        <x:v>218</x:v>
      </x:c>
      <x:c r="W49" s="31" t="n">
        <x:f>IF(L49=0,"N/A",V49/L49)</x:f>
        <x:v>0.40823970037453183</x:v>
      </x:c>
      <x:c r="X49" s="17" t="n">
        <x:f>COUNTIFS('Tasks'!$C$7:$C$246,$A49,'Tasks'!$K$7:$K$246,$D49,'Tasks'!$L$7:$L$246,"Yes")</x:f>
        <x:v>7</x:v>
      </x:c>
      <x:c r="Y49" s="17" t="n">
        <x:f>COUNTIFS('Tasks'!$C$7:$C$246,$A49,'Tasks'!$K$7:$K$246,$D49,'Tasks'!$K$7:$K$246,"Yes")</x:f>
        <x:v>27</x:v>
      </x:c>
      <x:c r="Z49" s="17" t="n">
        <x:f>COUNTIFS('Tasks'!$C$7:$C$246,$A49,'Tasks'!$K$7:$K$246,$D49,'Tasks'!$AA$7:$AA$246,"&gt;0")</x:f>
        <x:v>5</x:v>
      </x:c>
      <x:c r="AA49" s="17" t="n">
        <x:f>COUNTIFS('Tasks'!$C$7:$C$246,$A49,'Tasks'!$K$7:$K$246,$D49,'Tasks'!$AA$7:$AA$246,"&lt;0")</x:f>
        <x:v>22</x:v>
      </x:c>
      <x:c r="AB49" s="19" t="n">
        <x:f>IF(E49=0,"N/A",V49/E49)</x:f>
        <x:v>8.074074074074074</x:v>
      </x:c>
      <x:c r="AC49" s="22" t="n">
        <x:f>IF(E49=0,"N/A",K49/E49)</x:f>
        <x:v>19.61859592592592</x:v>
      </x:c>
      <x:c r="AD49" s="19" t="n">
        <x:f>IF(E49=0,"N/A",P49/E49)</x:f>
        <x:v>-1.0751851851851855</x:v>
      </x:c>
    </x:row>
    <x:row r="50" ht="23" customHeight="1">
      <x:c r="A50" s="17" t="str">
        <x:v>C002</x:v>
      </x:c>
      <x:c r="B50" s="17" t="str">
        <x:v>Analyze campaign results</x:v>
      </x:c>
      <x:c r="C50" s="17" t="str">
        <x:v>prompt_template_used</x:v>
      </x:c>
      <x:c r="D50" s="17" t="str">
        <x:v>No</x:v>
      </x:c>
      <x:c r="E50" s="17" t="n">
        <x:f>COUNTIFS('Tasks'!$C$7:$C$246,$A50,'Tasks'!$L$7:$L$246,$D50,'Tasks'!$F$7:$F$246,$B50)</x:f>
        <x:v>4</x:v>
      </x:c>
      <x:c r="F50" s="17" t="n">
        <x:f>SUMIFS('Tasks'!$O$7:$O$246,'Tasks'!$C$7:$C$246,$A50,'Tasks'!$L$7:$L$246,$D50,'Tasks'!$F$7:$F$246,$B50)</x:f>
        <x:v>2454757</x:v>
      </x:c>
      <x:c r="G50" s="17" t="n">
        <x:f>SUMIFS('Tasks'!$P$7:$P$246,'Tasks'!$C$7:$C$246,$A50,'Tasks'!$L$7:$L$246,$D50,'Tasks'!$F$7:$F$246,$B50)</x:f>
        <x:v>714146</x:v>
      </x:c>
      <x:c r="H50" s="17" t="n">
        <x:f>SUMIFS('Tasks'!$Q$7:$Q$246,'Tasks'!$C$7:$C$246,$A50,'Tasks'!$L$7:$L$246,$D50,'Tasks'!$F$7:$F$246,$B50)</x:f>
        <x:v>3168903</x:v>
      </x:c>
      <x:c r="I50" s="22" t="n">
        <x:f>SUMIFS('Tasks'!$S$7:$S$246,'Tasks'!$C$7:$C$246,$A50,'Tasks'!$L$7:$L$246,$D50,'Tasks'!$F$7:$F$246,$B50)</x:f>
        <x:v>46.981869999999994</x:v>
      </x:c>
      <x:c r="J50" s="22" t="n">
        <x:f>SUMIFS('Tasks'!$T$7:$T$246,'Tasks'!$C$7:$C$246,$A50,'Tasks'!$L$7:$L$246,$D50,'Tasks'!$F$7:$F$246,$B50)</x:f>
        <x:v>45.16418</x:v>
      </x:c>
      <x:c r="K50" s="22" t="n">
        <x:f>SUMIFS('Tasks'!$U$7:$U$246,'Tasks'!$C$7:$C$246,$A50,'Tasks'!$L$7:$L$246,$D50,'Tasks'!$F$7:$F$246,$B50)</x:f>
        <x:v>92.14605</x:v>
      </x:c>
      <x:c r="L50" s="17" t="n">
        <x:f>SUMIFS('Tasks'!$R$7:$R$246,'Tasks'!$C$7:$C$246,$A50,'Tasks'!$L$7:$L$246,$D50,'Tasks'!$F$7:$F$246,$B50)</x:f>
        <x:v>78</x:v>
      </x:c>
      <x:c r="M50" s="22" t="n">
        <x:f>IF(L50=0,"N/A",K50/L50)</x:f>
        <x:v>1.1813596153846153</x:v>
      </x:c>
      <x:c r="N50" s="19" t="n">
        <x:f>SUMIFS('Tasks'!$G$7:$G$246,'Tasks'!$C$7:$C$246,$A50,'Tasks'!$L$7:$L$246,$D50,'Tasks'!$F$7:$F$246,$B50)</x:f>
        <x:v>14.400000000000002</x:v>
      </x:c>
      <x:c r="O50" s="19" t="n">
        <x:f>SUMIFS('Tasks'!$H$7:$H$246,'Tasks'!$C$7:$C$246,$A50,'Tasks'!$L$7:$L$246,$D50,'Tasks'!$F$7:$F$246,$B50)</x:f>
        <x:v>21.09</x:v>
      </x:c>
      <x:c r="P50" s="19" t="n">
        <x:f>SUMIFS('Tasks'!$Y$7:$Y$246,'Tasks'!$C$7:$C$246,$A50,'Tasks'!$L$7:$L$246,$D50,'Tasks'!$F$7:$F$246,$B50)</x:f>
        <x:v>-6.69</x:v>
      </x:c>
      <x:c r="Q50" s="22" t="n">
        <x:f>SUMIFS('Tasks'!$Z$7:$Z$246,'Tasks'!$C$7:$C$246,$A50,'Tasks'!$L$7:$L$246,$D50,'Tasks'!$F$7:$F$246,$B50)</x:f>
        <x:v>-334.5</x:v>
      </x:c>
      <x:c r="R50" s="22" t="n">
        <x:f>SUMIFS('Tasks'!$AA$7:$AA$246,'Tasks'!$C$7:$C$246,$A50,'Tasks'!$L$7:$L$246,$D50,'Tasks'!$F$7:$F$246,$B50)</x:f>
        <x:v>-426.64605</x:v>
      </x:c>
      <x:c r="S50" s="31" t="n">
        <x:f>IF(K50=0,"N/A",R50/K50)</x:f>
        <x:v>-4.630106770718875</x:v>
      </x:c>
      <x:c r="T50" s="19" t="n">
        <x:f>SUMIFS('Tasks'!$I$7:$I$246,'Tasks'!$C$7:$C$246,$A50,'Tasks'!$L$7:$L$246,$D50,'Tasks'!$F$7:$F$246,$B50)</x:f>
        <x:v>8.950000000000001</x:v>
      </x:c>
      <x:c r="U50" s="31" t="n">
        <x:f>IF(O50=0,"N/A",T50/O50)</x:f>
        <x:v>0.4243717401612139</x:v>
      </x:c>
      <x:c r="V50" s="17" t="n">
        <x:f>SUMIFS('Tasks'!$X$7:$X$246,'Tasks'!$C$7:$C$246,$A50,'Tasks'!$L$7:$L$246,$D50,'Tasks'!$F$7:$F$246,$B50)</x:f>
        <x:v>29</x:v>
      </x:c>
      <x:c r="W50" s="31" t="n">
        <x:f>IF(L50=0,"N/A",V50/L50)</x:f>
        <x:v>0.3717948717948718</x:v>
      </x:c>
      <x:c r="X50" s="17" t="n">
        <x:f>COUNTIFS('Tasks'!$C$7:$C$246,$A50,'Tasks'!$L$7:$L$246,$D50,'Tasks'!$F$7:$F$246,$B50,'Tasks'!$L$7:$L$246,"Yes")</x:f>
        <x:v>0</x:v>
      </x:c>
      <x:c r="Y50" s="17" t="n">
        <x:f>COUNTIFS('Tasks'!$C$7:$C$246,$A50,'Tasks'!$L$7:$L$246,$D50,'Tasks'!$F$7:$F$246,$B50,'Tasks'!$K$7:$K$246,"Yes")</x:f>
        <x:v>2</x:v>
      </x:c>
      <x:c r="Z50" s="17" t="n">
        <x:f>COUNTIFS('Tasks'!$C$7:$C$246,$A50,'Tasks'!$L$7:$L$246,$D50,'Tasks'!$F$7:$F$246,$B50,'Tasks'!$AA$7:$AA$246,"&gt;0")</x:f>
        <x:v>0</x:v>
      </x:c>
      <x:c r="AA50" s="17" t="n">
        <x:f>COUNTIFS('Tasks'!$C$7:$C$246,$A50,'Tasks'!$L$7:$L$246,$D50,'Tasks'!$F$7:$F$246,$B50,'Tasks'!$AA$7:$AA$246,"&lt;0")</x:f>
        <x:v>4</x:v>
      </x:c>
      <x:c r="AB50" s="19" t="n">
        <x:f>IF(E50=0,"N/A",V50/E50)</x:f>
        <x:v>7.25</x:v>
      </x:c>
      <x:c r="AC50" s="22" t="n">
        <x:f>IF(E50=0,"N/A",K50/E50)</x:f>
        <x:v>23.0365125</x:v>
      </x:c>
      <x:c r="AD50" s="19" t="n">
        <x:f>IF(E50=0,"N/A",P50/E50)</x:f>
        <x:v>-1.6725</x:v>
      </x:c>
    </x:row>
    <x:row r="51" ht="23" customHeight="1">
      <x:c r="A51" s="17" t="str">
        <x:v>C002</x:v>
      </x:c>
      <x:c r="B51" s="17" t="str">
        <x:v>Analyze campaign results</x:v>
      </x:c>
      <x:c r="C51" s="17" t="str">
        <x:v>prompt_template_used</x:v>
      </x:c>
      <x:c r="D51" s="17" t="str">
        <x:v>Yes</x:v>
      </x:c>
      <x:c r="E51" s="17" t="n">
        <x:f>COUNTIFS('Tasks'!$C$7:$C$246,$A51,'Tasks'!$L$7:$L$246,$D51,'Tasks'!$F$7:$F$246,$B51)</x:f>
        <x:v>1</x:v>
      </x:c>
      <x:c r="F51" s="17" t="n">
        <x:f>SUMIFS('Tasks'!$O$7:$O$246,'Tasks'!$C$7:$C$246,$A51,'Tasks'!$L$7:$L$246,$D51,'Tasks'!$F$7:$F$246,$B51)</x:f>
        <x:v>448703</x:v>
      </x:c>
      <x:c r="G51" s="17" t="n">
        <x:f>SUMIFS('Tasks'!$P$7:$P$246,'Tasks'!$C$7:$C$246,$A51,'Tasks'!$L$7:$L$246,$D51,'Tasks'!$F$7:$F$246,$B51)</x:f>
        <x:v>217814</x:v>
      </x:c>
      <x:c r="H51" s="17" t="n">
        <x:f>SUMIFS('Tasks'!$Q$7:$Q$246,'Tasks'!$C$7:$C$246,$A51,'Tasks'!$L$7:$L$246,$D51,'Tasks'!$F$7:$F$246,$B51)</x:f>
        <x:v>666517</x:v>
      </x:c>
      <x:c r="I51" s="22" t="n">
        <x:f>SUMIFS('Tasks'!$S$7:$S$246,'Tasks'!$C$7:$C$246,$A51,'Tasks'!$L$7:$L$246,$D51,'Tasks'!$F$7:$F$246,$B51)</x:f>
        <x:v>17.948120000000003</x:v>
      </x:c>
      <x:c r="J51" s="22" t="n">
        <x:f>SUMIFS('Tasks'!$T$7:$T$246,'Tasks'!$C$7:$C$246,$A51,'Tasks'!$L$7:$L$246,$D51,'Tasks'!$F$7:$F$246,$B51)</x:f>
        <x:v>21.7814</x:v>
      </x:c>
      <x:c r="K51" s="22" t="n">
        <x:f>SUMIFS('Tasks'!$U$7:$U$246,'Tasks'!$C$7:$C$246,$A51,'Tasks'!$L$7:$L$246,$D51,'Tasks'!$F$7:$F$246,$B51)</x:f>
        <x:v>39.729519999999994</x:v>
      </x:c>
      <x:c r="L51" s="17" t="n">
        <x:f>SUMIFS('Tasks'!$R$7:$R$246,'Tasks'!$C$7:$C$246,$A51,'Tasks'!$L$7:$L$246,$D51,'Tasks'!$F$7:$F$246,$B51)</x:f>
        <x:v>16</x:v>
      </x:c>
      <x:c r="M51" s="22" t="n">
        <x:f>IF(L51=0,"N/A",K51/L51)</x:f>
        <x:v>2.4830949999999996</x:v>
      </x:c>
      <x:c r="N51" s="19" t="n">
        <x:f>SUMIFS('Tasks'!$G$7:$G$246,'Tasks'!$C$7:$C$246,$A51,'Tasks'!$L$7:$L$246,$D51,'Tasks'!$F$7:$F$246,$B51)</x:f>
        <x:v>4.38</x:v>
      </x:c>
      <x:c r="O51" s="19" t="n">
        <x:f>SUMIFS('Tasks'!$H$7:$H$246,'Tasks'!$C$7:$C$246,$A51,'Tasks'!$L$7:$L$246,$D51,'Tasks'!$F$7:$F$246,$B51)</x:f>
        <x:v>2.43</x:v>
      </x:c>
      <x:c r="P51" s="19" t="n">
        <x:f>SUMIFS('Tasks'!$Y$7:$Y$246,'Tasks'!$C$7:$C$246,$A51,'Tasks'!$L$7:$L$246,$D51,'Tasks'!$F$7:$F$246,$B51)</x:f>
        <x:v>1.9499999999999997</x:v>
      </x:c>
      <x:c r="Q51" s="22" t="n">
        <x:f>SUMIFS('Tasks'!$Z$7:$Z$246,'Tasks'!$C$7:$C$246,$A51,'Tasks'!$L$7:$L$246,$D51,'Tasks'!$F$7:$F$246,$B51)</x:f>
        <x:v>97.49999999999999</x:v>
      </x:c>
      <x:c r="R51" s="22" t="n">
        <x:f>SUMIFS('Tasks'!$AA$7:$AA$246,'Tasks'!$C$7:$C$246,$A51,'Tasks'!$L$7:$L$246,$D51,'Tasks'!$F$7:$F$246,$B51)</x:f>
        <x:v>57.77047999999999</x:v>
      </x:c>
      <x:c r="S51" s="31" t="n">
        <x:f>IF(K51=0,"N/A",R51/K51)</x:f>
        <x:v>1.4540945876013605</x:v>
      </x:c>
      <x:c r="T51" s="19" t="n">
        <x:f>SUMIFS('Tasks'!$I$7:$I$246,'Tasks'!$C$7:$C$246,$A51,'Tasks'!$L$7:$L$246,$D51,'Tasks'!$F$7:$F$246,$B51)</x:f>
        <x:v>0.78</x:v>
      </x:c>
      <x:c r="U51" s="31" t="n">
        <x:f>IF(O51=0,"N/A",T51/O51)</x:f>
        <x:v>0.32098765432098764</x:v>
      </x:c>
      <x:c r="V51" s="17" t="n">
        <x:f>SUMIFS('Tasks'!$X$7:$X$246,'Tasks'!$C$7:$C$246,$A51,'Tasks'!$L$7:$L$246,$D51,'Tasks'!$F$7:$F$246,$B51)</x:f>
        <x:v>8</x:v>
      </x:c>
      <x:c r="W51" s="31" t="n">
        <x:f>IF(L51=0,"N/A",V51/L51)</x:f>
        <x:v>0.5</x:v>
      </x:c>
      <x:c r="X51" s="17" t="n">
        <x:f>COUNTIFS('Tasks'!$C$7:$C$246,$A51,'Tasks'!$L$7:$L$246,$D51,'Tasks'!$F$7:$F$246,$B51,'Tasks'!$L$7:$L$246,"Yes")</x:f>
        <x:v>1</x:v>
      </x:c>
      <x:c r="Y51" s="17" t="n">
        <x:f>COUNTIFS('Tasks'!$C$7:$C$246,$A51,'Tasks'!$L$7:$L$246,$D51,'Tasks'!$F$7:$F$246,$B51,'Tasks'!$K$7:$K$246,"Yes")</x:f>
        <x:v>0</x:v>
      </x:c>
      <x:c r="Z51" s="17" t="n">
        <x:f>COUNTIFS('Tasks'!$C$7:$C$246,$A51,'Tasks'!$L$7:$L$246,$D51,'Tasks'!$F$7:$F$246,$B51,'Tasks'!$AA$7:$AA$246,"&gt;0")</x:f>
        <x:v>1</x:v>
      </x:c>
      <x:c r="AA51" s="17" t="n">
        <x:f>COUNTIFS('Tasks'!$C$7:$C$246,$A51,'Tasks'!$L$7:$L$246,$D51,'Tasks'!$F$7:$F$246,$B51,'Tasks'!$AA$7:$AA$246,"&lt;0")</x:f>
        <x:v>0</x:v>
      </x:c>
      <x:c r="AB51" s="19" t="n">
        <x:f>IF(E51=0,"N/A",V51/E51)</x:f>
        <x:v>8</x:v>
      </x:c>
      <x:c r="AC51" s="22" t="n">
        <x:f>IF(E51=0,"N/A",K51/E51)</x:f>
        <x:v>39.729519999999994</x:v>
      </x:c>
      <x:c r="AD51" s="19" t="n">
        <x:f>IF(E51=0,"N/A",P51/E51)</x:f>
        <x:v>1.9499999999999997</x:v>
      </x:c>
    </x:row>
    <x:row r="52" ht="23" customHeight="1">
      <x:c r="A52" s="17" t="str">
        <x:v>C002</x:v>
      </x:c>
      <x:c r="B52" s="17" t="str">
        <x:v>Analyze campaign results</x:v>
      </x:c>
      <x:c r="C52" s="17" t="str">
        <x:v>brief_changed</x:v>
      </x:c>
      <x:c r="D52" s="17" t="str">
        <x:v>No</x:v>
      </x:c>
      <x:c r="E52" s="17" t="n">
        <x:f>COUNTIFS('Tasks'!$C$7:$C$246,$A52,'Tasks'!$K$7:$K$246,$D52,'Tasks'!$F$7:$F$246,$B52)</x:f>
        <x:v>3</x:v>
      </x:c>
      <x:c r="F52" s="17" t="n">
        <x:f>SUMIFS('Tasks'!$O$7:$O$246,'Tasks'!$C$7:$C$246,$A52,'Tasks'!$K$7:$K$246,$D52,'Tasks'!$F$7:$F$246,$B52)</x:f>
        <x:v>2032378</x:v>
      </x:c>
      <x:c r="G52" s="17" t="n">
        <x:f>SUMIFS('Tasks'!$P$7:$P$246,'Tasks'!$C$7:$C$246,$A52,'Tasks'!$K$7:$K$246,$D52,'Tasks'!$F$7:$F$246,$B52)</x:f>
        <x:v>607310</x:v>
      </x:c>
      <x:c r="H52" s="17" t="n">
        <x:f>SUMIFS('Tasks'!$Q$7:$Q$246,'Tasks'!$C$7:$C$246,$A52,'Tasks'!$K$7:$K$246,$D52,'Tasks'!$F$7:$F$246,$B52)</x:f>
        <x:v>2639688</x:v>
      </x:c>
      <x:c r="I52" s="22" t="n">
        <x:f>SUMIFS('Tasks'!$S$7:$S$246,'Tasks'!$C$7:$C$246,$A52,'Tasks'!$K$7:$K$246,$D52,'Tasks'!$F$7:$F$246,$B52)</x:f>
        <x:v>47.89438</x:v>
      </x:c>
      <x:c r="J52" s="22" t="n">
        <x:f>SUMIFS('Tasks'!$T$7:$T$246,'Tasks'!$C$7:$C$246,$A52,'Tasks'!$K$7:$K$246,$D52,'Tasks'!$F$7:$F$246,$B52)</x:f>
        <x:v>44.18572999999999</x:v>
      </x:c>
      <x:c r="K52" s="22" t="n">
        <x:f>SUMIFS('Tasks'!$U$7:$U$246,'Tasks'!$C$7:$C$246,$A52,'Tasks'!$K$7:$K$246,$D52,'Tasks'!$F$7:$F$246,$B52)</x:f>
        <x:v>92.08010999999999</x:v>
      </x:c>
      <x:c r="L52" s="17" t="n">
        <x:f>SUMIFS('Tasks'!$R$7:$R$246,'Tasks'!$C$7:$C$246,$A52,'Tasks'!$K$7:$K$246,$D52,'Tasks'!$F$7:$F$246,$B52)</x:f>
        <x:v>60</x:v>
      </x:c>
      <x:c r="M52" s="22" t="n">
        <x:f>IF(L52=0,"N/A",K52/L52)</x:f>
        <x:v>1.5346684999999998</x:v>
      </x:c>
      <x:c r="N52" s="19" t="n">
        <x:f>SUMIFS('Tasks'!$G$7:$G$246,'Tasks'!$C$7:$C$246,$A52,'Tasks'!$K$7:$K$246,$D52,'Tasks'!$F$7:$F$246,$B52)</x:f>
        <x:v>13</x:v>
      </x:c>
      <x:c r="O52" s="19" t="n">
        <x:f>SUMIFS('Tasks'!$H$7:$H$246,'Tasks'!$C$7:$C$246,$A52,'Tasks'!$K$7:$K$246,$D52,'Tasks'!$F$7:$F$246,$B52)</x:f>
        <x:v>15.670000000000002</x:v>
      </x:c>
      <x:c r="P52" s="19" t="n">
        <x:f>SUMIFS('Tasks'!$Y$7:$Y$246,'Tasks'!$C$7:$C$246,$A52,'Tasks'!$K$7:$K$246,$D52,'Tasks'!$F$7:$F$246,$B52)</x:f>
        <x:v>-2.6700000000000004</x:v>
      </x:c>
      <x:c r="Q52" s="22" t="n">
        <x:f>SUMIFS('Tasks'!$Z$7:$Z$246,'Tasks'!$C$7:$C$246,$A52,'Tasks'!$K$7:$K$246,$D52,'Tasks'!$F$7:$F$246,$B52)</x:f>
        <x:v>-133.5</x:v>
      </x:c>
      <x:c r="R52" s="22" t="n">
        <x:f>SUMIFS('Tasks'!$AA$7:$AA$246,'Tasks'!$C$7:$C$246,$A52,'Tasks'!$K$7:$K$246,$D52,'Tasks'!$F$7:$F$246,$B52)</x:f>
        <x:v>-225.58011000000002</x:v>
      </x:c>
      <x:c r="S52" s="31" t="n">
        <x:f>IF(K52=0,"N/A",R52/K52)</x:f>
        <x:v>-2.4498245060741137</x:v>
      </x:c>
      <x:c r="T52" s="19" t="n">
        <x:f>SUMIFS('Tasks'!$I$7:$I$246,'Tasks'!$C$7:$C$246,$A52,'Tasks'!$K$7:$K$246,$D52,'Tasks'!$F$7:$F$246,$B52)</x:f>
        <x:v>6.75</x:v>
      </x:c>
      <x:c r="U52" s="31" t="n">
        <x:f>IF(O52=0,"N/A",T52/O52)</x:f>
        <x:v>0.4307594128908742</x:v>
      </x:c>
      <x:c r="V52" s="17" t="n">
        <x:f>SUMIFS('Tasks'!$X$7:$X$246,'Tasks'!$C$7:$C$246,$A52,'Tasks'!$K$7:$K$246,$D52,'Tasks'!$F$7:$F$246,$B52)</x:f>
        <x:v>24</x:v>
      </x:c>
      <x:c r="W52" s="31" t="n">
        <x:f>IF(L52=0,"N/A",V52/L52)</x:f>
        <x:v>0.4</x:v>
      </x:c>
      <x:c r="X52" s="17" t="n">
        <x:f>COUNTIFS('Tasks'!$C$7:$C$246,$A52,'Tasks'!$K$7:$K$246,$D52,'Tasks'!$F$7:$F$246,$B52,'Tasks'!$L$7:$L$246,"Yes")</x:f>
        <x:v>1</x:v>
      </x:c>
      <x:c r="Y52" s="17" t="n">
        <x:f>COUNTIFS('Tasks'!$C$7:$C$246,$A52,'Tasks'!$K$7:$K$246,$D52,'Tasks'!$F$7:$F$246,$B52,'Tasks'!$K$7:$K$246,"Yes")</x:f>
        <x:v>0</x:v>
      </x:c>
      <x:c r="Z52" s="17" t="n">
        <x:f>COUNTIFS('Tasks'!$C$7:$C$246,$A52,'Tasks'!$K$7:$K$246,$D52,'Tasks'!$F$7:$F$246,$B52,'Tasks'!$AA$7:$AA$246,"&gt;0")</x:f>
        <x:v>1</x:v>
      </x:c>
      <x:c r="AA52" s="17" t="n">
        <x:f>COUNTIFS('Tasks'!$C$7:$C$246,$A52,'Tasks'!$K$7:$K$246,$D52,'Tasks'!$F$7:$F$246,$B52,'Tasks'!$AA$7:$AA$246,"&lt;0")</x:f>
        <x:v>2</x:v>
      </x:c>
      <x:c r="AB52" s="19" t="n">
        <x:f>IF(E52=0,"N/A",V52/E52)</x:f>
        <x:v>8</x:v>
      </x:c>
      <x:c r="AC52" s="22" t="n">
        <x:f>IF(E52=0,"N/A",K52/E52)</x:f>
        <x:v>30.693369999999998</x:v>
      </x:c>
      <x:c r="AD52" s="19" t="n">
        <x:f>IF(E52=0,"N/A",P52/E52)</x:f>
        <x:v>-0.8900000000000001</x:v>
      </x:c>
    </x:row>
    <x:row r="53" ht="23" customHeight="1">
      <x:c r="A53" s="17" t="str">
        <x:v>C002</x:v>
      </x:c>
      <x:c r="B53" s="17" t="str">
        <x:v>Analyze campaign results</x:v>
      </x:c>
      <x:c r="C53" s="17" t="str">
        <x:v>brief_changed</x:v>
      </x:c>
      <x:c r="D53" s="17" t="str">
        <x:v>Yes</x:v>
      </x:c>
      <x:c r="E53" s="17" t="n">
        <x:f>COUNTIFS('Tasks'!$C$7:$C$246,$A53,'Tasks'!$K$7:$K$246,$D53,'Tasks'!$F$7:$F$246,$B53)</x:f>
        <x:v>2</x:v>
      </x:c>
      <x:c r="F53" s="17" t="n">
        <x:f>SUMIFS('Tasks'!$O$7:$O$246,'Tasks'!$C$7:$C$246,$A53,'Tasks'!$K$7:$K$246,$D53,'Tasks'!$F$7:$F$246,$B53)</x:f>
        <x:v>871082</x:v>
      </x:c>
      <x:c r="G53" s="17" t="n">
        <x:f>SUMIFS('Tasks'!$P$7:$P$246,'Tasks'!$C$7:$C$246,$A53,'Tasks'!$K$7:$K$246,$D53,'Tasks'!$F$7:$F$246,$B53)</x:f>
        <x:v>324650</x:v>
      </x:c>
      <x:c r="H53" s="17" t="n">
        <x:f>SUMIFS('Tasks'!$Q$7:$Q$246,'Tasks'!$C$7:$C$246,$A53,'Tasks'!$K$7:$K$246,$D53,'Tasks'!$F$7:$F$246,$B53)</x:f>
        <x:v>1195732</x:v>
      </x:c>
      <x:c r="I53" s="22" t="n">
        <x:f>SUMIFS('Tasks'!$S$7:$S$246,'Tasks'!$C$7:$C$246,$A53,'Tasks'!$K$7:$K$246,$D53,'Tasks'!$F$7:$F$246,$B53)</x:f>
        <x:v>17.03561</x:v>
      </x:c>
      <x:c r="J53" s="22" t="n">
        <x:f>SUMIFS('Tasks'!$T$7:$T$246,'Tasks'!$C$7:$C$246,$A53,'Tasks'!$K$7:$K$246,$D53,'Tasks'!$F$7:$F$246,$B53)</x:f>
        <x:v>22.75985</x:v>
      </x:c>
      <x:c r="K53" s="22" t="n">
        <x:f>SUMIFS('Tasks'!$U$7:$U$246,'Tasks'!$C$7:$C$246,$A53,'Tasks'!$K$7:$K$246,$D53,'Tasks'!$F$7:$F$246,$B53)</x:f>
        <x:v>39.79546</x:v>
      </x:c>
      <x:c r="L53" s="17" t="n">
        <x:f>SUMIFS('Tasks'!$R$7:$R$246,'Tasks'!$C$7:$C$246,$A53,'Tasks'!$K$7:$K$246,$D53,'Tasks'!$F$7:$F$246,$B53)</x:f>
        <x:v>34</x:v>
      </x:c>
      <x:c r="M53" s="22" t="n">
        <x:f>IF(L53=0,"N/A",K53/L53)</x:f>
        <x:v>1.170454705882353</x:v>
      </x:c>
      <x:c r="N53" s="19" t="n">
        <x:f>SUMIFS('Tasks'!$G$7:$G$246,'Tasks'!$C$7:$C$246,$A53,'Tasks'!$K$7:$K$246,$D53,'Tasks'!$F$7:$F$246,$B53)</x:f>
        <x:v>5.779999999999999</x:v>
      </x:c>
      <x:c r="O53" s="19" t="n">
        <x:f>SUMIFS('Tasks'!$H$7:$H$246,'Tasks'!$C$7:$C$246,$A53,'Tasks'!$K$7:$K$246,$D53,'Tasks'!$F$7:$F$246,$B53)</x:f>
        <x:v>7.85</x:v>
      </x:c>
      <x:c r="P53" s="19" t="n">
        <x:f>SUMIFS('Tasks'!$Y$7:$Y$246,'Tasks'!$C$7:$C$246,$A53,'Tasks'!$K$7:$K$246,$D53,'Tasks'!$F$7:$F$246,$B53)</x:f>
        <x:v>-2.0700000000000003</x:v>
      </x:c>
      <x:c r="Q53" s="22" t="n">
        <x:f>SUMIFS('Tasks'!$Z$7:$Z$246,'Tasks'!$C$7:$C$246,$A53,'Tasks'!$K$7:$K$246,$D53,'Tasks'!$F$7:$F$246,$B53)</x:f>
        <x:v>-103.50000000000001</x:v>
      </x:c>
      <x:c r="R53" s="22" t="n">
        <x:f>SUMIFS('Tasks'!$AA$7:$AA$246,'Tasks'!$C$7:$C$246,$A53,'Tasks'!$K$7:$K$246,$D53,'Tasks'!$F$7:$F$246,$B53)</x:f>
        <x:v>-143.29546000000002</x:v>
      </x:c>
      <x:c r="S53" s="31" t="n">
        <x:f>IF(K53=0,"N/A",R53/K53)</x:f>
        <x:v>-3.600799186640889</x:v>
      </x:c>
      <x:c r="T53" s="19" t="n">
        <x:f>SUMIFS('Tasks'!$I$7:$I$246,'Tasks'!$C$7:$C$246,$A53,'Tasks'!$K$7:$K$246,$D53,'Tasks'!$F$7:$F$246,$B53)</x:f>
        <x:v>2.98</x:v>
      </x:c>
      <x:c r="U53" s="31" t="n">
        <x:f>IF(O53=0,"N/A",T53/O53)</x:f>
        <x:v>0.3796178343949045</x:v>
      </x:c>
      <x:c r="V53" s="17" t="n">
        <x:f>SUMIFS('Tasks'!$X$7:$X$246,'Tasks'!$C$7:$C$246,$A53,'Tasks'!$K$7:$K$246,$D53,'Tasks'!$F$7:$F$246,$B53)</x:f>
        <x:v>13</x:v>
      </x:c>
      <x:c r="W53" s="31" t="n">
        <x:f>IF(L53=0,"N/A",V53/L53)</x:f>
        <x:v>0.38235294117647056</x:v>
      </x:c>
      <x:c r="X53" s="17" t="n">
        <x:f>COUNTIFS('Tasks'!$C$7:$C$246,$A53,'Tasks'!$K$7:$K$246,$D53,'Tasks'!$F$7:$F$246,$B53,'Tasks'!$L$7:$L$246,"Yes")</x:f>
        <x:v>0</x:v>
      </x:c>
      <x:c r="Y53" s="17" t="n">
        <x:f>COUNTIFS('Tasks'!$C$7:$C$246,$A53,'Tasks'!$K$7:$K$246,$D53,'Tasks'!$F$7:$F$246,$B53,'Tasks'!$K$7:$K$246,"Yes")</x:f>
        <x:v>2</x:v>
      </x:c>
      <x:c r="Z53" s="17" t="n">
        <x:f>COUNTIFS('Tasks'!$C$7:$C$246,$A53,'Tasks'!$K$7:$K$246,$D53,'Tasks'!$F$7:$F$246,$B53,'Tasks'!$AA$7:$AA$246,"&gt;0")</x:f>
        <x:v>0</x:v>
      </x:c>
      <x:c r="AA53" s="17" t="n">
        <x:f>COUNTIFS('Tasks'!$C$7:$C$246,$A53,'Tasks'!$K$7:$K$246,$D53,'Tasks'!$F$7:$F$246,$B53,'Tasks'!$AA$7:$AA$246,"&lt;0")</x:f>
        <x:v>2</x:v>
      </x:c>
      <x:c r="AB53" s="19" t="n">
        <x:f>IF(E53=0,"N/A",V53/E53)</x:f>
        <x:v>6.5</x:v>
      </x:c>
      <x:c r="AC53" s="22" t="n">
        <x:f>IF(E53=0,"N/A",K53/E53)</x:f>
        <x:v>19.89773</x:v>
      </x:c>
      <x:c r="AD53" s="19" t="n">
        <x:f>IF(E53=0,"N/A",P53/E53)</x:f>
        <x:v>-1.0350000000000001</x:v>
      </x:c>
    </x:row>
    <x:row r="54" ht="23" customHeight="1">
      <x:c r="A54" s="17" t="str">
        <x:v>C002</x:v>
      </x:c>
      <x:c r="B54" s="17" t="str">
        <x:v>Build campaign plan</x:v>
      </x:c>
      <x:c r="C54" s="17" t="str">
        <x:v>prompt_template_used</x:v>
      </x:c>
      <x:c r="D54" s="17" t="str">
        <x:v>No</x:v>
      </x:c>
      <x:c r="E54" s="17" t="n">
        <x:f>COUNTIFS('Tasks'!$C$7:$C$246,$A54,'Tasks'!$L$7:$L$246,$D54,'Tasks'!$F$7:$F$246,$B54)</x:f>
        <x:v>4</x:v>
      </x:c>
      <x:c r="F54" s="17" t="n">
        <x:f>SUMIFS('Tasks'!$O$7:$O$246,'Tasks'!$C$7:$C$246,$A54,'Tasks'!$L$7:$L$246,$D54,'Tasks'!$F$7:$F$246,$B54)</x:f>
        <x:v>3203627</x:v>
      </x:c>
      <x:c r="G54" s="17" t="n">
        <x:f>SUMIFS('Tasks'!$P$7:$P$246,'Tasks'!$C$7:$C$246,$A54,'Tasks'!$L$7:$L$246,$D54,'Tasks'!$F$7:$F$246,$B54)</x:f>
        <x:v>641783</x:v>
      </x:c>
      <x:c r="H54" s="17" t="n">
        <x:f>SUMIFS('Tasks'!$Q$7:$Q$246,'Tasks'!$C$7:$C$246,$A54,'Tasks'!$L$7:$L$246,$D54,'Tasks'!$F$7:$F$246,$B54)</x:f>
        <x:v>3845410</x:v>
      </x:c>
      <x:c r="I54" s="22" t="n">
        <x:f>SUMIFS('Tasks'!$S$7:$S$246,'Tasks'!$C$7:$C$246,$A54,'Tasks'!$L$7:$L$246,$D54,'Tasks'!$F$7:$F$246,$B54)</x:f>
        <x:v>50.499230000000004</x:v>
      </x:c>
      <x:c r="J54" s="22" t="n">
        <x:f>SUMIFS('Tasks'!$T$7:$T$246,'Tasks'!$C$7:$C$246,$A54,'Tasks'!$L$7:$L$246,$D54,'Tasks'!$F$7:$F$246,$B54)</x:f>
        <x:v>32.478100000000005</x:v>
      </x:c>
      <x:c r="K54" s="22" t="n">
        <x:f>SUMIFS('Tasks'!$U$7:$U$246,'Tasks'!$C$7:$C$246,$A54,'Tasks'!$L$7:$L$246,$D54,'Tasks'!$F$7:$F$246,$B54)</x:f>
        <x:v>82.97733</x:v>
      </x:c>
      <x:c r="L54" s="17" t="n">
        <x:f>SUMIFS('Tasks'!$R$7:$R$246,'Tasks'!$C$7:$C$246,$A54,'Tasks'!$L$7:$L$246,$D54,'Tasks'!$F$7:$F$246,$B54)</x:f>
        <x:v>98</x:v>
      </x:c>
      <x:c r="M54" s="22" t="n">
        <x:f>IF(L54=0,"N/A",K54/L54)</x:f>
        <x:v>0.8467074489795918</x:v>
      </x:c>
      <x:c r="N54" s="19" t="n">
        <x:f>SUMIFS('Tasks'!$G$7:$G$246,'Tasks'!$C$7:$C$246,$A54,'Tasks'!$L$7:$L$246,$D54,'Tasks'!$F$7:$F$246,$B54)</x:f>
        <x:v>13.45</x:v>
      </x:c>
      <x:c r="O54" s="19" t="n">
        <x:f>SUMIFS('Tasks'!$H$7:$H$246,'Tasks'!$C$7:$C$246,$A54,'Tasks'!$L$7:$L$246,$D54,'Tasks'!$F$7:$F$246,$B54)</x:f>
        <x:v>20.02</x:v>
      </x:c>
      <x:c r="P54" s="19" t="n">
        <x:f>SUMIFS('Tasks'!$Y$7:$Y$246,'Tasks'!$C$7:$C$246,$A54,'Tasks'!$L$7:$L$246,$D54,'Tasks'!$F$7:$F$246,$B54)</x:f>
        <x:v>-6.57</x:v>
      </x:c>
      <x:c r="Q54" s="22" t="n">
        <x:f>SUMIFS('Tasks'!$Z$7:$Z$246,'Tasks'!$C$7:$C$246,$A54,'Tasks'!$L$7:$L$246,$D54,'Tasks'!$F$7:$F$246,$B54)</x:f>
        <x:v>-328.5</x:v>
      </x:c>
      <x:c r="R54" s="22" t="n">
        <x:f>SUMIFS('Tasks'!$AA$7:$AA$246,'Tasks'!$C$7:$C$246,$A54,'Tasks'!$L$7:$L$246,$D54,'Tasks'!$F$7:$F$246,$B54)</x:f>
        <x:v>-411.47732999999994</x:v>
      </x:c>
      <x:c r="S54" s="31" t="n">
        <x:f>IF(K54=0,"N/A",R54/K54)</x:f>
        <x:v>-4.958912633125216</x:v>
      </x:c>
      <x:c r="T54" s="19" t="n">
        <x:f>SUMIFS('Tasks'!$I$7:$I$246,'Tasks'!$C$7:$C$246,$A54,'Tasks'!$L$7:$L$246,$D54,'Tasks'!$F$7:$F$246,$B54)</x:f>
        <x:v>5.880000000000001</x:v>
      </x:c>
      <x:c r="U54" s="31" t="n">
        <x:f>IF(O54=0,"N/A",T54/O54)</x:f>
        <x:v>0.29370629370629375</x:v>
      </x:c>
      <x:c r="V54" s="17" t="n">
        <x:f>SUMIFS('Tasks'!$X$7:$X$246,'Tasks'!$C$7:$C$246,$A54,'Tasks'!$L$7:$L$246,$D54,'Tasks'!$F$7:$F$246,$B54)</x:f>
        <x:v>40</x:v>
      </x:c>
      <x:c r="W54" s="31" t="n">
        <x:f>IF(L54=0,"N/A",V54/L54)</x:f>
        <x:v>0.40816326530612246</x:v>
      </x:c>
      <x:c r="X54" s="17" t="n">
        <x:f>COUNTIFS('Tasks'!$C$7:$C$246,$A54,'Tasks'!$L$7:$L$246,$D54,'Tasks'!$F$7:$F$246,$B54,'Tasks'!$L$7:$L$246,"Yes")</x:f>
        <x:v>0</x:v>
      </x:c>
      <x:c r="Y54" s="17" t="n">
        <x:f>COUNTIFS('Tasks'!$C$7:$C$246,$A54,'Tasks'!$L$7:$L$246,$D54,'Tasks'!$F$7:$F$246,$B54,'Tasks'!$K$7:$K$246,"Yes")</x:f>
        <x:v>3</x:v>
      </x:c>
      <x:c r="Z54" s="17" t="n">
        <x:f>COUNTIFS('Tasks'!$C$7:$C$246,$A54,'Tasks'!$L$7:$L$246,$D54,'Tasks'!$F$7:$F$246,$B54,'Tasks'!$AA$7:$AA$246,"&gt;0")</x:f>
        <x:v>0</x:v>
      </x:c>
      <x:c r="AA54" s="17" t="n">
        <x:f>COUNTIFS('Tasks'!$C$7:$C$246,$A54,'Tasks'!$L$7:$L$246,$D54,'Tasks'!$F$7:$F$246,$B54,'Tasks'!$AA$7:$AA$246,"&lt;0")</x:f>
        <x:v>4</x:v>
      </x:c>
      <x:c r="AB54" s="19" t="n">
        <x:f>IF(E54=0,"N/A",V54/E54)</x:f>
        <x:v>10</x:v>
      </x:c>
      <x:c r="AC54" s="22" t="n">
        <x:f>IF(E54=0,"N/A",K54/E54)</x:f>
        <x:v>20.7443325</x:v>
      </x:c>
      <x:c r="AD54" s="19" t="n">
        <x:f>IF(E54=0,"N/A",P54/E54)</x:f>
        <x:v>-1.6425</x:v>
      </x:c>
    </x:row>
    <x:row r="55" ht="23" customHeight="1">
      <x:c r="A55" s="17" t="str">
        <x:v>C002</x:v>
      </x:c>
      <x:c r="B55" s="17" t="str">
        <x:v>Build campaign plan</x:v>
      </x:c>
      <x:c r="C55" s="17" t="str">
        <x:v>prompt_template_used</x:v>
      </x:c>
      <x:c r="D55" s="17" t="str">
        <x:v>Yes</x:v>
      </x:c>
      <x:c r="E55" s="17" t="n">
        <x:f>COUNTIFS('Tasks'!$C$7:$C$246,$A55,'Tasks'!$L$7:$L$246,$D55,'Tasks'!$F$7:$F$246,$B55)</x:f>
        <x:v>1</x:v>
      </x:c>
      <x:c r="F55" s="17" t="n">
        <x:f>SUMIFS('Tasks'!$O$7:$O$246,'Tasks'!$C$7:$C$246,$A55,'Tasks'!$L$7:$L$246,$D55,'Tasks'!$F$7:$F$246,$B55)</x:f>
        <x:v>543371</x:v>
      </x:c>
      <x:c r="G55" s="17" t="n">
        <x:f>SUMIFS('Tasks'!$P$7:$P$246,'Tasks'!$C$7:$C$246,$A55,'Tasks'!$L$7:$L$246,$D55,'Tasks'!$F$7:$F$246,$B55)</x:f>
        <x:v>88841</x:v>
      </x:c>
      <x:c r="H55" s="17" t="n">
        <x:f>SUMIFS('Tasks'!$Q$7:$Q$246,'Tasks'!$C$7:$C$246,$A55,'Tasks'!$L$7:$L$246,$D55,'Tasks'!$F$7:$F$246,$B55)</x:f>
        <x:v>632212</x:v>
      </x:c>
      <x:c r="I55" s="22" t="n">
        <x:f>SUMIFS('Tasks'!$S$7:$S$246,'Tasks'!$C$7:$C$246,$A55,'Tasks'!$L$7:$L$246,$D55,'Tasks'!$F$7:$F$246,$B55)</x:f>
        <x:v>5.43371</x:v>
      </x:c>
      <x:c r="J55" s="22" t="n">
        <x:f>SUMIFS('Tasks'!$T$7:$T$246,'Tasks'!$C$7:$C$246,$A55,'Tasks'!$L$7:$L$246,$D55,'Tasks'!$F$7:$F$246,$B55)</x:f>
        <x:v>2.66523</x:v>
      </x:c>
      <x:c r="K55" s="22" t="n">
        <x:f>SUMIFS('Tasks'!$U$7:$U$246,'Tasks'!$C$7:$C$246,$A55,'Tasks'!$L$7:$L$246,$D55,'Tasks'!$F$7:$F$246,$B55)</x:f>
        <x:v>8.09894</x:v>
      </x:c>
      <x:c r="L55" s="17" t="n">
        <x:f>SUMIFS('Tasks'!$R$7:$R$246,'Tasks'!$C$7:$C$246,$A55,'Tasks'!$L$7:$L$246,$D55,'Tasks'!$F$7:$F$246,$B55)</x:f>
        <x:v>16</x:v>
      </x:c>
      <x:c r="M55" s="22" t="n">
        <x:f>IF(L55=0,"N/A",K55/L55)</x:f>
        <x:v>0.50618375</x:v>
      </x:c>
      <x:c r="N55" s="19" t="n">
        <x:f>SUMIFS('Tasks'!$G$7:$G$246,'Tasks'!$C$7:$C$246,$A55,'Tasks'!$L$7:$L$246,$D55,'Tasks'!$F$7:$F$246,$B55)</x:f>
        <x:v>2.53</x:v>
      </x:c>
      <x:c r="O55" s="19" t="n">
        <x:f>SUMIFS('Tasks'!$H$7:$H$246,'Tasks'!$C$7:$C$246,$A55,'Tasks'!$L$7:$L$246,$D55,'Tasks'!$F$7:$F$246,$B55)</x:f>
        <x:v>1.18</x:v>
      </x:c>
      <x:c r="P55" s="19" t="n">
        <x:f>SUMIFS('Tasks'!$Y$7:$Y$246,'Tasks'!$C$7:$C$246,$A55,'Tasks'!$L$7:$L$246,$D55,'Tasks'!$F$7:$F$246,$B55)</x:f>
        <x:v>1.3499999999999999</x:v>
      </x:c>
      <x:c r="Q55" s="22" t="n">
        <x:f>SUMIFS('Tasks'!$Z$7:$Z$246,'Tasks'!$C$7:$C$246,$A55,'Tasks'!$L$7:$L$246,$D55,'Tasks'!$F$7:$F$246,$B55)</x:f>
        <x:v>67.5</x:v>
      </x:c>
      <x:c r="R55" s="22" t="n">
        <x:f>SUMIFS('Tasks'!$AA$7:$AA$246,'Tasks'!$C$7:$C$246,$A55,'Tasks'!$L$7:$L$246,$D55,'Tasks'!$F$7:$F$246,$B55)</x:f>
        <x:v>59.40106</x:v>
      </x:c>
      <x:c r="S55" s="31" t="n">
        <x:f>IF(K55=0,"N/A",R55/K55)</x:f>
        <x:v>7.33442401104342</x:v>
      </x:c>
      <x:c r="T55" s="19" t="n">
        <x:f>SUMIFS('Tasks'!$I$7:$I$246,'Tasks'!$C$7:$C$246,$A55,'Tasks'!$L$7:$L$246,$D55,'Tasks'!$F$7:$F$246,$B55)</x:f>
        <x:v>0.27</x:v>
      </x:c>
      <x:c r="U55" s="31" t="n">
        <x:f>IF(O55=0,"N/A",T55/O55)</x:f>
        <x:v>0.22881355932203393</x:v>
      </x:c>
      <x:c r="V55" s="17" t="n">
        <x:f>SUMIFS('Tasks'!$X$7:$X$246,'Tasks'!$C$7:$C$246,$A55,'Tasks'!$L$7:$L$246,$D55,'Tasks'!$F$7:$F$246,$B55)</x:f>
        <x:v>8</x:v>
      </x:c>
      <x:c r="W55" s="31" t="n">
        <x:f>IF(L55=0,"N/A",V55/L55)</x:f>
        <x:v>0.5</x:v>
      </x:c>
      <x:c r="X55" s="17" t="n">
        <x:f>COUNTIFS('Tasks'!$C$7:$C$246,$A55,'Tasks'!$L$7:$L$246,$D55,'Tasks'!$F$7:$F$246,$B55,'Tasks'!$L$7:$L$246,"Yes")</x:f>
        <x:v>1</x:v>
      </x:c>
      <x:c r="Y55" s="17" t="n">
        <x:f>COUNTIFS('Tasks'!$C$7:$C$246,$A55,'Tasks'!$L$7:$L$246,$D55,'Tasks'!$F$7:$F$246,$B55,'Tasks'!$K$7:$K$246,"Yes")</x:f>
        <x:v>0</x:v>
      </x:c>
      <x:c r="Z55" s="17" t="n">
        <x:f>COUNTIFS('Tasks'!$C$7:$C$246,$A55,'Tasks'!$L$7:$L$246,$D55,'Tasks'!$F$7:$F$246,$B55,'Tasks'!$AA$7:$AA$246,"&gt;0")</x:f>
        <x:v>1</x:v>
      </x:c>
      <x:c r="AA55" s="17" t="n">
        <x:f>COUNTIFS('Tasks'!$C$7:$C$246,$A55,'Tasks'!$L$7:$L$246,$D55,'Tasks'!$F$7:$F$246,$B55,'Tasks'!$AA$7:$AA$246,"&lt;0")</x:f>
        <x:v>0</x:v>
      </x:c>
      <x:c r="AB55" s="19" t="n">
        <x:f>IF(E55=0,"N/A",V55/E55)</x:f>
        <x:v>8</x:v>
      </x:c>
      <x:c r="AC55" s="22" t="n">
        <x:f>IF(E55=0,"N/A",K55/E55)</x:f>
        <x:v>8.09894</x:v>
      </x:c>
      <x:c r="AD55" s="19" t="n">
        <x:f>IF(E55=0,"N/A",P55/E55)</x:f>
        <x:v>1.3499999999999999</x:v>
      </x:c>
    </x:row>
    <x:row r="56" ht="23" customHeight="1">
      <x:c r="A56" s="17" t="str">
        <x:v>C002</x:v>
      </x:c>
      <x:c r="B56" s="17" t="str">
        <x:v>Build campaign plan</x:v>
      </x:c>
      <x:c r="C56" s="17" t="str">
        <x:v>brief_changed</x:v>
      </x:c>
      <x:c r="D56" s="17" t="str">
        <x:v>No</x:v>
      </x:c>
      <x:c r="E56" s="17" t="n">
        <x:f>COUNTIFS('Tasks'!$C$7:$C$246,$A56,'Tasks'!$K$7:$K$246,$D56,'Tasks'!$F$7:$F$246,$B56)</x:f>
        <x:v>2</x:v>
      </x:c>
      <x:c r="F56" s="17" t="n">
        <x:f>SUMIFS('Tasks'!$O$7:$O$246,'Tasks'!$C$7:$C$246,$A56,'Tasks'!$K$7:$K$246,$D56,'Tasks'!$F$7:$F$246,$B56)</x:f>
        <x:v>1546933</x:v>
      </x:c>
      <x:c r="G56" s="17" t="n">
        <x:f>SUMIFS('Tasks'!$P$7:$P$246,'Tasks'!$C$7:$C$246,$A56,'Tasks'!$K$7:$K$246,$D56,'Tasks'!$F$7:$F$246,$B56)</x:f>
        <x:v>216878</x:v>
      </x:c>
      <x:c r="H56" s="17" t="n">
        <x:f>SUMIFS('Tasks'!$Q$7:$Q$246,'Tasks'!$C$7:$C$246,$A56,'Tasks'!$K$7:$K$246,$D56,'Tasks'!$F$7:$F$246,$B56)</x:f>
        <x:v>1763811</x:v>
      </x:c>
      <x:c r="I56" s="22" t="n">
        <x:f>SUMIFS('Tasks'!$S$7:$S$246,'Tasks'!$C$7:$C$246,$A56,'Tasks'!$K$7:$K$246,$D56,'Tasks'!$F$7:$F$246,$B56)</x:f>
        <x:v>15.469330000000001</x:v>
      </x:c>
      <x:c r="J56" s="22" t="n">
        <x:f>SUMIFS('Tasks'!$T$7:$T$246,'Tasks'!$C$7:$C$246,$A56,'Tasks'!$K$7:$K$246,$D56,'Tasks'!$F$7:$F$246,$B56)</x:f>
        <x:v>6.50634</x:v>
      </x:c>
      <x:c r="K56" s="22" t="n">
        <x:f>SUMIFS('Tasks'!$U$7:$U$246,'Tasks'!$C$7:$C$246,$A56,'Tasks'!$K$7:$K$246,$D56,'Tasks'!$F$7:$F$246,$B56)</x:f>
        <x:v>21.97567</x:v>
      </x:c>
      <x:c r="L56" s="17" t="n">
        <x:f>SUMIFS('Tasks'!$R$7:$R$246,'Tasks'!$C$7:$C$246,$A56,'Tasks'!$K$7:$K$246,$D56,'Tasks'!$F$7:$F$246,$B56)</x:f>
        <x:v>39</x:v>
      </x:c>
      <x:c r="M56" s="22" t="n">
        <x:f>IF(L56=0,"N/A",K56/L56)</x:f>
        <x:v>0.563478717948718</x:v>
      </x:c>
      <x:c r="N56" s="19" t="n">
        <x:f>SUMIFS('Tasks'!$G$7:$G$246,'Tasks'!$C$7:$C$246,$A56,'Tasks'!$K$7:$K$246,$D56,'Tasks'!$F$7:$F$246,$B56)</x:f>
        <x:v>5.63</x:v>
      </x:c>
      <x:c r="O56" s="19" t="n">
        <x:f>SUMIFS('Tasks'!$H$7:$H$246,'Tasks'!$C$7:$C$246,$A56,'Tasks'!$K$7:$K$246,$D56,'Tasks'!$F$7:$F$246,$B56)</x:f>
        <x:v>6.3999999999999995</x:v>
      </x:c>
      <x:c r="P56" s="19" t="n">
        <x:f>SUMIFS('Tasks'!$Y$7:$Y$246,'Tasks'!$C$7:$C$246,$A56,'Tasks'!$K$7:$K$246,$D56,'Tasks'!$F$7:$F$246,$B56)</x:f>
        <x:v>-0.7699999999999998</x:v>
      </x:c>
      <x:c r="Q56" s="22" t="n">
        <x:f>SUMIFS('Tasks'!$Z$7:$Z$246,'Tasks'!$C$7:$C$246,$A56,'Tasks'!$K$7:$K$246,$D56,'Tasks'!$F$7:$F$246,$B56)</x:f>
        <x:v>-38.499999999999986</x:v>
      </x:c>
      <x:c r="R56" s="22" t="n">
        <x:f>SUMIFS('Tasks'!$AA$7:$AA$246,'Tasks'!$C$7:$C$246,$A56,'Tasks'!$K$7:$K$246,$D56,'Tasks'!$F$7:$F$246,$B56)</x:f>
        <x:v>-60.47566999999998</x:v>
      </x:c>
      <x:c r="S56" s="31" t="n">
        <x:f>IF(K56=0,"N/A",R56/K56)</x:f>
        <x:v>-2.7519374835898054</x:v>
      </x:c>
      <x:c r="T56" s="19" t="n">
        <x:f>SUMIFS('Tasks'!$I$7:$I$246,'Tasks'!$C$7:$C$246,$A56,'Tasks'!$K$7:$K$246,$D56,'Tasks'!$F$7:$F$246,$B56)</x:f>
        <x:v>1.62</x:v>
      </x:c>
      <x:c r="U56" s="31" t="n">
        <x:f>IF(O56=0,"N/A",T56/O56)</x:f>
        <x:v>0.25312500000000004</x:v>
      </x:c>
      <x:c r="V56" s="17" t="n">
        <x:f>SUMIFS('Tasks'!$X$7:$X$246,'Tasks'!$C$7:$C$246,$A56,'Tasks'!$K$7:$K$246,$D56,'Tasks'!$F$7:$F$246,$B56)</x:f>
        <x:v>18</x:v>
      </x:c>
      <x:c r="W56" s="31" t="n">
        <x:f>IF(L56=0,"N/A",V56/L56)</x:f>
        <x:v>0.46153846153846156</x:v>
      </x:c>
      <x:c r="X56" s="17" t="n">
        <x:f>COUNTIFS('Tasks'!$C$7:$C$246,$A56,'Tasks'!$K$7:$K$246,$D56,'Tasks'!$F$7:$F$246,$B56,'Tasks'!$L$7:$L$246,"Yes")</x:f>
        <x:v>1</x:v>
      </x:c>
      <x:c r="Y56" s="17" t="n">
        <x:f>COUNTIFS('Tasks'!$C$7:$C$246,$A56,'Tasks'!$K$7:$K$246,$D56,'Tasks'!$F$7:$F$246,$B56,'Tasks'!$K$7:$K$246,"Yes")</x:f>
        <x:v>0</x:v>
      </x:c>
      <x:c r="Z56" s="17" t="n">
        <x:f>COUNTIFS('Tasks'!$C$7:$C$246,$A56,'Tasks'!$K$7:$K$246,$D56,'Tasks'!$F$7:$F$246,$B56,'Tasks'!$AA$7:$AA$246,"&gt;0")</x:f>
        <x:v>1</x:v>
      </x:c>
      <x:c r="AA56" s="17" t="n">
        <x:f>COUNTIFS('Tasks'!$C$7:$C$246,$A56,'Tasks'!$K$7:$K$246,$D56,'Tasks'!$F$7:$F$246,$B56,'Tasks'!$AA$7:$AA$246,"&lt;0")</x:f>
        <x:v>1</x:v>
      </x:c>
      <x:c r="AB56" s="19" t="n">
        <x:f>IF(E56=0,"N/A",V56/E56)</x:f>
        <x:v>9</x:v>
      </x:c>
      <x:c r="AC56" s="22" t="n">
        <x:f>IF(E56=0,"N/A",K56/E56)</x:f>
        <x:v>10.987835</x:v>
      </x:c>
      <x:c r="AD56" s="19" t="n">
        <x:f>IF(E56=0,"N/A",P56/E56)</x:f>
        <x:v>-0.3849999999999999</x:v>
      </x:c>
    </x:row>
    <x:row r="57" ht="23" customHeight="1">
      <x:c r="A57" s="17" t="str">
        <x:v>C002</x:v>
      </x:c>
      <x:c r="B57" s="17" t="str">
        <x:v>Build campaign plan</x:v>
      </x:c>
      <x:c r="C57" s="17" t="str">
        <x:v>brief_changed</x:v>
      </x:c>
      <x:c r="D57" s="17" t="str">
        <x:v>Yes</x:v>
      </x:c>
      <x:c r="E57" s="17" t="n">
        <x:f>COUNTIFS('Tasks'!$C$7:$C$246,$A57,'Tasks'!$K$7:$K$246,$D57,'Tasks'!$F$7:$F$246,$B57)</x:f>
        <x:v>3</x:v>
      </x:c>
      <x:c r="F57" s="17" t="n">
        <x:f>SUMIFS('Tasks'!$O$7:$O$246,'Tasks'!$C$7:$C$246,$A57,'Tasks'!$K$7:$K$246,$D57,'Tasks'!$F$7:$F$246,$B57)</x:f>
        <x:v>2200065</x:v>
      </x:c>
      <x:c r="G57" s="17" t="n">
        <x:f>SUMIFS('Tasks'!$P$7:$P$246,'Tasks'!$C$7:$C$246,$A57,'Tasks'!$K$7:$K$246,$D57,'Tasks'!$F$7:$F$246,$B57)</x:f>
        <x:v>513746</x:v>
      </x:c>
      <x:c r="H57" s="17" t="n">
        <x:f>SUMIFS('Tasks'!$Q$7:$Q$246,'Tasks'!$C$7:$C$246,$A57,'Tasks'!$K$7:$K$246,$D57,'Tasks'!$F$7:$F$246,$B57)</x:f>
        <x:v>2713811</x:v>
      </x:c>
      <x:c r="I57" s="22" t="n">
        <x:f>SUMIFS('Tasks'!$S$7:$S$246,'Tasks'!$C$7:$C$246,$A57,'Tasks'!$K$7:$K$246,$D57,'Tasks'!$F$7:$F$246,$B57)</x:f>
        <x:v>40.46361</x:v>
      </x:c>
      <x:c r="J57" s="22" t="n">
        <x:f>SUMIFS('Tasks'!$T$7:$T$246,'Tasks'!$C$7:$C$246,$A57,'Tasks'!$K$7:$K$246,$D57,'Tasks'!$F$7:$F$246,$B57)</x:f>
        <x:v>28.636990000000004</x:v>
      </x:c>
      <x:c r="K57" s="22" t="n">
        <x:f>SUMIFS('Tasks'!$U$7:$U$246,'Tasks'!$C$7:$C$246,$A57,'Tasks'!$K$7:$K$246,$D57,'Tasks'!$F$7:$F$246,$B57)</x:f>
        <x:v>69.1006</x:v>
      </x:c>
      <x:c r="L57" s="17" t="n">
        <x:f>SUMIFS('Tasks'!$R$7:$R$246,'Tasks'!$C$7:$C$246,$A57,'Tasks'!$K$7:$K$246,$D57,'Tasks'!$F$7:$F$246,$B57)</x:f>
        <x:v>75</x:v>
      </x:c>
      <x:c r="M57" s="22" t="n">
        <x:f>IF(L57=0,"N/A",K57/L57)</x:f>
        <x:v>0.9213413333333333</x:v>
      </x:c>
      <x:c r="N57" s="19" t="n">
        <x:f>SUMIFS('Tasks'!$G$7:$G$246,'Tasks'!$C$7:$C$246,$A57,'Tasks'!$K$7:$K$246,$D57,'Tasks'!$F$7:$F$246,$B57)</x:f>
        <x:v>10.350000000000001</x:v>
      </x:c>
      <x:c r="O57" s="19" t="n">
        <x:f>SUMIFS('Tasks'!$H$7:$H$246,'Tasks'!$C$7:$C$246,$A57,'Tasks'!$K$7:$K$246,$D57,'Tasks'!$F$7:$F$246,$B57)</x:f>
        <x:v>14.8</x:v>
      </x:c>
      <x:c r="P57" s="19" t="n">
        <x:f>SUMIFS('Tasks'!$Y$7:$Y$246,'Tasks'!$C$7:$C$246,$A57,'Tasks'!$K$7:$K$246,$D57,'Tasks'!$F$7:$F$246,$B57)</x:f>
        <x:v>-4.45</x:v>
      </x:c>
      <x:c r="Q57" s="22" t="n">
        <x:f>SUMIFS('Tasks'!$Z$7:$Z$246,'Tasks'!$C$7:$C$246,$A57,'Tasks'!$K$7:$K$246,$D57,'Tasks'!$F$7:$F$246,$B57)</x:f>
        <x:v>-222.5</x:v>
      </x:c>
      <x:c r="R57" s="22" t="n">
        <x:f>SUMIFS('Tasks'!$AA$7:$AA$246,'Tasks'!$C$7:$C$246,$A57,'Tasks'!$K$7:$K$246,$D57,'Tasks'!$F$7:$F$246,$B57)</x:f>
        <x:v>-291.6006</x:v>
      </x:c>
      <x:c r="S57" s="31" t="n">
        <x:f>IF(K57=0,"N/A",R57/K57)</x:f>
        <x:v>-4.2199430974550145</x:v>
      </x:c>
      <x:c r="T57" s="19" t="n">
        <x:f>SUMIFS('Tasks'!$I$7:$I$246,'Tasks'!$C$7:$C$246,$A57,'Tasks'!$K$7:$K$246,$D57,'Tasks'!$F$7:$F$246,$B57)</x:f>
        <x:v>4.53</x:v>
      </x:c>
      <x:c r="U57" s="31" t="n">
        <x:f>IF(O57=0,"N/A",T57/O57)</x:f>
        <x:v>0.30608108108108106</x:v>
      </x:c>
      <x:c r="V57" s="17" t="n">
        <x:f>SUMIFS('Tasks'!$X$7:$X$246,'Tasks'!$C$7:$C$246,$A57,'Tasks'!$K$7:$K$246,$D57,'Tasks'!$F$7:$F$246,$B57)</x:f>
        <x:v>30</x:v>
      </x:c>
      <x:c r="W57" s="31" t="n">
        <x:f>IF(L57=0,"N/A",V57/L57)</x:f>
        <x:v>0.4</x:v>
      </x:c>
      <x:c r="X57" s="17" t="n">
        <x:f>COUNTIFS('Tasks'!$C$7:$C$246,$A57,'Tasks'!$K$7:$K$246,$D57,'Tasks'!$F$7:$F$246,$B57,'Tasks'!$L$7:$L$246,"Yes")</x:f>
        <x:v>0</x:v>
      </x:c>
      <x:c r="Y57" s="17" t="n">
        <x:f>COUNTIFS('Tasks'!$C$7:$C$246,$A57,'Tasks'!$K$7:$K$246,$D57,'Tasks'!$F$7:$F$246,$B57,'Tasks'!$K$7:$K$246,"Yes")</x:f>
        <x:v>3</x:v>
      </x:c>
      <x:c r="Z57" s="17" t="n">
        <x:f>COUNTIFS('Tasks'!$C$7:$C$246,$A57,'Tasks'!$K$7:$K$246,$D57,'Tasks'!$F$7:$F$246,$B57,'Tasks'!$AA$7:$AA$246,"&gt;0")</x:f>
        <x:v>0</x:v>
      </x:c>
      <x:c r="AA57" s="17" t="n">
        <x:f>COUNTIFS('Tasks'!$C$7:$C$246,$A57,'Tasks'!$K$7:$K$246,$D57,'Tasks'!$F$7:$F$246,$B57,'Tasks'!$AA$7:$AA$246,"&lt;0")</x:f>
        <x:v>3</x:v>
      </x:c>
      <x:c r="AB57" s="19" t="n">
        <x:f>IF(E57=0,"N/A",V57/E57)</x:f>
        <x:v>10</x:v>
      </x:c>
      <x:c r="AC57" s="22" t="n">
        <x:f>IF(E57=0,"N/A",K57/E57)</x:f>
        <x:v>23.033533333333335</x:v>
      </x:c>
      <x:c r="AD57" s="19" t="n">
        <x:f>IF(E57=0,"N/A",P57/E57)</x:f>
        <x:v>-1.4833333333333334</x:v>
      </x:c>
    </x:row>
    <x:row r="58" ht="23" customHeight="1">
      <x:c r="A58" s="17" t="str">
        <x:v>C002</x:v>
      </x:c>
      <x:c r="B58" s="17" t="str">
        <x:v>Check measurement plan</x:v>
      </x:c>
      <x:c r="C58" s="17" t="str">
        <x:v>prompt_template_used</x:v>
      </x:c>
      <x:c r="D58" s="17" t="str">
        <x:v>No</x:v>
      </x:c>
      <x:c r="E58" s="17" t="n">
        <x:f>COUNTIFS('Tasks'!$C$7:$C$246,$A58,'Tasks'!$L$7:$L$246,$D58,'Tasks'!$F$7:$F$246,$B58)</x:f>
        <x:v>3</x:v>
      </x:c>
      <x:c r="F58" s="17" t="n">
        <x:f>SUMIFS('Tasks'!$O$7:$O$246,'Tasks'!$C$7:$C$246,$A58,'Tasks'!$L$7:$L$246,$D58,'Tasks'!$F$7:$F$246,$B58)</x:f>
        <x:v>1212819</x:v>
      </x:c>
      <x:c r="G58" s="17" t="n">
        <x:f>SUMIFS('Tasks'!$P$7:$P$246,'Tasks'!$C$7:$C$246,$A58,'Tasks'!$L$7:$L$246,$D58,'Tasks'!$F$7:$F$246,$B58)</x:f>
        <x:v>432649</x:v>
      </x:c>
      <x:c r="H58" s="17" t="n">
        <x:f>SUMIFS('Tasks'!$Q$7:$Q$246,'Tasks'!$C$7:$C$246,$A58,'Tasks'!$L$7:$L$246,$D58,'Tasks'!$F$7:$F$246,$B58)</x:f>
        <x:v>1645468</x:v>
      </x:c>
      <x:c r="I58" s="22" t="n">
        <x:f>SUMIFS('Tasks'!$S$7:$S$246,'Tasks'!$C$7:$C$246,$A58,'Tasks'!$L$7:$L$246,$D58,'Tasks'!$F$7:$F$246,$B58)</x:f>
        <x:v>28.93746</x:v>
      </x:c>
      <x:c r="J58" s="22" t="n">
        <x:f>SUMIFS('Tasks'!$T$7:$T$246,'Tasks'!$C$7:$C$246,$A58,'Tasks'!$L$7:$L$246,$D58,'Tasks'!$F$7:$F$246,$B58)</x:f>
        <x:v>38.75914</x:v>
      </x:c>
      <x:c r="K58" s="22" t="n">
        <x:f>SUMIFS('Tasks'!$U$7:$U$246,'Tasks'!$C$7:$C$246,$A58,'Tasks'!$L$7:$L$246,$D58,'Tasks'!$F$7:$F$246,$B58)</x:f>
        <x:v>67.69659999999999</x:v>
      </x:c>
      <x:c r="L58" s="17" t="n">
        <x:f>SUMIFS('Tasks'!$R$7:$R$246,'Tasks'!$C$7:$C$246,$A58,'Tasks'!$L$7:$L$246,$D58,'Tasks'!$F$7:$F$246,$B58)</x:f>
        <x:v>51</x:v>
      </x:c>
      <x:c r="M58" s="22" t="n">
        <x:f>IF(L58=0,"N/A",K58/L58)</x:f>
        <x:v>1.32738431372549</x:v>
      </x:c>
      <x:c r="N58" s="19" t="n">
        <x:f>SUMIFS('Tasks'!$G$7:$G$246,'Tasks'!$C$7:$C$246,$A58,'Tasks'!$L$7:$L$246,$D58,'Tasks'!$F$7:$F$246,$B58)</x:f>
        <x:v>8.120000000000001</x:v>
      </x:c>
      <x:c r="O58" s="19" t="n">
        <x:f>SUMIFS('Tasks'!$H$7:$H$246,'Tasks'!$C$7:$C$246,$A58,'Tasks'!$L$7:$L$246,$D58,'Tasks'!$F$7:$F$246,$B58)</x:f>
        <x:v>9.51</x:v>
      </x:c>
      <x:c r="P58" s="19" t="n">
        <x:f>SUMIFS('Tasks'!$Y$7:$Y$246,'Tasks'!$C$7:$C$246,$A58,'Tasks'!$L$7:$L$246,$D58,'Tasks'!$F$7:$F$246,$B58)</x:f>
        <x:v>-1.3900000000000001</x:v>
      </x:c>
      <x:c r="Q58" s="22" t="n">
        <x:f>SUMIFS('Tasks'!$Z$7:$Z$246,'Tasks'!$C$7:$C$246,$A58,'Tasks'!$L$7:$L$246,$D58,'Tasks'!$F$7:$F$246,$B58)</x:f>
        <x:v>-69.5</x:v>
      </x:c>
      <x:c r="R58" s="22" t="n">
        <x:f>SUMIFS('Tasks'!$AA$7:$AA$246,'Tasks'!$C$7:$C$246,$A58,'Tasks'!$L$7:$L$246,$D58,'Tasks'!$F$7:$F$246,$B58)</x:f>
        <x:v>-137.1966</x:v>
      </x:c>
      <x:c r="S58" s="31" t="n">
        <x:f>IF(K58=0,"N/A",R58/K58)</x:f>
        <x:v>-2.0266394471805085</x:v>
      </x:c>
      <x:c r="T58" s="19" t="n">
        <x:f>SUMIFS('Tasks'!$I$7:$I$246,'Tasks'!$C$7:$C$246,$A58,'Tasks'!$L$7:$L$246,$D58,'Tasks'!$F$7:$F$246,$B58)</x:f>
        <x:v>3.67</x:v>
      </x:c>
      <x:c r="U58" s="31" t="n">
        <x:f>IF(O58=0,"N/A",T58/O58)</x:f>
        <x:v>0.38590956887486855</x:v>
      </x:c>
      <x:c r="V58" s="17" t="n">
        <x:f>SUMIFS('Tasks'!$X$7:$X$246,'Tasks'!$C$7:$C$246,$A58,'Tasks'!$L$7:$L$246,$D58,'Tasks'!$F$7:$F$246,$B58)</x:f>
        <x:v>23</x:v>
      </x:c>
      <x:c r="W58" s="31" t="n">
        <x:f>IF(L58=0,"N/A",V58/L58)</x:f>
        <x:v>0.45098039215686275</x:v>
      </x:c>
      <x:c r="X58" s="17" t="n">
        <x:f>COUNTIFS('Tasks'!$C$7:$C$246,$A58,'Tasks'!$L$7:$L$246,$D58,'Tasks'!$F$7:$F$246,$B58,'Tasks'!$L$7:$L$246,"Yes")</x:f>
        <x:v>0</x:v>
      </x:c>
      <x:c r="Y58" s="17" t="n">
        <x:f>COUNTIFS('Tasks'!$C$7:$C$246,$A58,'Tasks'!$L$7:$L$246,$D58,'Tasks'!$F$7:$F$246,$B58,'Tasks'!$K$7:$K$246,"Yes")</x:f>
        <x:v>3</x:v>
      </x:c>
      <x:c r="Z58" s="17" t="n">
        <x:f>COUNTIFS('Tasks'!$C$7:$C$246,$A58,'Tasks'!$L$7:$L$246,$D58,'Tasks'!$F$7:$F$246,$B58,'Tasks'!$AA$7:$AA$246,"&gt;0")</x:f>
        <x:v>1</x:v>
      </x:c>
      <x:c r="AA58" s="17" t="n">
        <x:f>COUNTIFS('Tasks'!$C$7:$C$246,$A58,'Tasks'!$L$7:$L$246,$D58,'Tasks'!$F$7:$F$246,$B58,'Tasks'!$AA$7:$AA$246,"&lt;0")</x:f>
        <x:v>2</x:v>
      </x:c>
      <x:c r="AB58" s="19" t="n">
        <x:f>IF(E58=0,"N/A",V58/E58)</x:f>
        <x:v>7.666666666666667</x:v>
      </x:c>
      <x:c r="AC58" s="22" t="n">
        <x:f>IF(E58=0,"N/A",K58/E58)</x:f>
        <x:v>22.56553333333333</x:v>
      </x:c>
      <x:c r="AD58" s="19" t="n">
        <x:f>IF(E58=0,"N/A",P58/E58)</x:f>
        <x:v>-0.4633333333333334</x:v>
      </x:c>
    </x:row>
    <x:row r="59" ht="23" customHeight="1">
      <x:c r="A59" s="17" t="str">
        <x:v>C002</x:v>
      </x:c>
      <x:c r="B59" s="17" t="str">
        <x:v>Check measurement plan</x:v>
      </x:c>
      <x:c r="C59" s="17" t="str">
        <x:v>prompt_template_used</x:v>
      </x:c>
      <x:c r="D59" s="17" t="str">
        <x:v>Yes</x:v>
      </x:c>
      <x:c r="E59" s="17" t="n">
        <x:f>COUNTIFS('Tasks'!$C$7:$C$246,$A59,'Tasks'!$L$7:$L$246,$D59,'Tasks'!$F$7:$F$246,$B59)</x:f>
        <x:v>2</x:v>
      </x:c>
      <x:c r="F59" s="17" t="n">
        <x:f>SUMIFS('Tasks'!$O$7:$O$246,'Tasks'!$C$7:$C$246,$A59,'Tasks'!$L$7:$L$246,$D59,'Tasks'!$F$7:$F$246,$B59)</x:f>
        <x:v>709221</x:v>
      </x:c>
      <x:c r="G59" s="17" t="n">
        <x:f>SUMIFS('Tasks'!$P$7:$P$246,'Tasks'!$C$7:$C$246,$A59,'Tasks'!$L$7:$L$246,$D59,'Tasks'!$F$7:$F$246,$B59)</x:f>
        <x:v>312343</x:v>
      </x:c>
      <x:c r="H59" s="17" t="n">
        <x:f>SUMIFS('Tasks'!$Q$7:$Q$246,'Tasks'!$C$7:$C$246,$A59,'Tasks'!$L$7:$L$246,$D59,'Tasks'!$F$7:$F$246,$B59)</x:f>
        <x:v>1021564</x:v>
      </x:c>
      <x:c r="I59" s="22" t="n">
        <x:f>SUMIFS('Tasks'!$S$7:$S$246,'Tasks'!$C$7:$C$246,$A59,'Tasks'!$L$7:$L$246,$D59,'Tasks'!$F$7:$F$246,$B59)</x:f>
        <x:v>15.42888</x:v>
      </x:c>
      <x:c r="J59" s="22" t="n">
        <x:f>SUMIFS('Tasks'!$T$7:$T$246,'Tasks'!$C$7:$C$246,$A59,'Tasks'!$L$7:$L$246,$D59,'Tasks'!$F$7:$F$246,$B59)</x:f>
        <x:v>23.908800000000003</x:v>
      </x:c>
      <x:c r="K59" s="22" t="n">
        <x:f>SUMIFS('Tasks'!$U$7:$U$246,'Tasks'!$C$7:$C$246,$A59,'Tasks'!$L$7:$L$246,$D59,'Tasks'!$F$7:$F$246,$B59)</x:f>
        <x:v>39.33768</x:v>
      </x:c>
      <x:c r="L59" s="17" t="n">
        <x:f>SUMIFS('Tasks'!$R$7:$R$246,'Tasks'!$C$7:$C$246,$A59,'Tasks'!$L$7:$L$246,$D59,'Tasks'!$F$7:$F$246,$B59)</x:f>
        <x:v>39</x:v>
      </x:c>
      <x:c r="M59" s="22" t="n">
        <x:f>IF(L59=0,"N/A",K59/L59)</x:f>
        <x:v>1.0086584615384615</x:v>
      </x:c>
      <x:c r="N59" s="19" t="n">
        <x:f>SUMIFS('Tasks'!$G$7:$G$246,'Tasks'!$C$7:$C$246,$A59,'Tasks'!$L$7:$L$246,$D59,'Tasks'!$F$7:$F$246,$B59)</x:f>
        <x:v>7.630000000000001</x:v>
      </x:c>
      <x:c r="O59" s="19" t="n">
        <x:f>SUMIFS('Tasks'!$H$7:$H$246,'Tasks'!$C$7:$C$246,$A59,'Tasks'!$L$7:$L$246,$D59,'Tasks'!$F$7:$F$246,$B59)</x:f>
        <x:v>11.75</x:v>
      </x:c>
      <x:c r="P59" s="19" t="n">
        <x:f>SUMIFS('Tasks'!$Y$7:$Y$246,'Tasks'!$C$7:$C$246,$A59,'Tasks'!$L$7:$L$246,$D59,'Tasks'!$F$7:$F$246,$B59)</x:f>
        <x:v>-4.119999999999999</x:v>
      </x:c>
      <x:c r="Q59" s="22" t="n">
        <x:f>SUMIFS('Tasks'!$Z$7:$Z$246,'Tasks'!$C$7:$C$246,$A59,'Tasks'!$L$7:$L$246,$D59,'Tasks'!$F$7:$F$246,$B59)</x:f>
        <x:v>-206</x:v>
      </x:c>
      <x:c r="R59" s="22" t="n">
        <x:f>SUMIFS('Tasks'!$AA$7:$AA$246,'Tasks'!$C$7:$C$246,$A59,'Tasks'!$L$7:$L$246,$D59,'Tasks'!$F$7:$F$246,$B59)</x:f>
        <x:v>-245.33767999999998</x:v>
      </x:c>
      <x:c r="S59" s="31" t="n">
        <x:f>IF(K59=0,"N/A",R59/K59)</x:f>
        <x:v>-6.236709434821779</x:v>
      </x:c>
      <x:c r="T59" s="19" t="n">
        <x:f>SUMIFS('Tasks'!$I$7:$I$246,'Tasks'!$C$7:$C$246,$A59,'Tasks'!$L$7:$L$246,$D59,'Tasks'!$F$7:$F$246,$B59)</x:f>
        <x:v>3.9800000000000004</x:v>
      </x:c>
      <x:c r="U59" s="31" t="n">
        <x:f>IF(O59=0,"N/A",T59/O59)</x:f>
        <x:v>0.33872340425531916</x:v>
      </x:c>
      <x:c r="V59" s="17" t="n">
        <x:f>SUMIFS('Tasks'!$X$7:$X$246,'Tasks'!$C$7:$C$246,$A59,'Tasks'!$L$7:$L$246,$D59,'Tasks'!$F$7:$F$246,$B59)</x:f>
        <x:v>13</x:v>
      </x:c>
      <x:c r="W59" s="31" t="n">
        <x:f>IF(L59=0,"N/A",V59/L59)</x:f>
        <x:v>0.3333333333333333</x:v>
      </x:c>
      <x:c r="X59" s="17" t="n">
        <x:f>COUNTIFS('Tasks'!$C$7:$C$246,$A59,'Tasks'!$L$7:$L$246,$D59,'Tasks'!$F$7:$F$246,$B59,'Tasks'!$L$7:$L$246,"Yes")</x:f>
        <x:v>2</x:v>
      </x:c>
      <x:c r="Y59" s="17" t="n">
        <x:f>COUNTIFS('Tasks'!$C$7:$C$246,$A59,'Tasks'!$L$7:$L$246,$D59,'Tasks'!$F$7:$F$246,$B59,'Tasks'!$K$7:$K$246,"Yes")</x:f>
        <x:v>1</x:v>
      </x:c>
      <x:c r="Z59" s="17" t="n">
        <x:f>COUNTIFS('Tasks'!$C$7:$C$246,$A59,'Tasks'!$L$7:$L$246,$D59,'Tasks'!$F$7:$F$246,$B59,'Tasks'!$AA$7:$AA$246,"&gt;0")</x:f>
        <x:v>0</x:v>
      </x:c>
      <x:c r="AA59" s="17" t="n">
        <x:f>COUNTIFS('Tasks'!$C$7:$C$246,$A59,'Tasks'!$L$7:$L$246,$D59,'Tasks'!$F$7:$F$246,$B59,'Tasks'!$AA$7:$AA$246,"&lt;0")</x:f>
        <x:v>2</x:v>
      </x:c>
      <x:c r="AB59" s="19" t="n">
        <x:f>IF(E59=0,"N/A",V59/E59)</x:f>
        <x:v>6.5</x:v>
      </x:c>
      <x:c r="AC59" s="22" t="n">
        <x:f>IF(E59=0,"N/A",K59/E59)</x:f>
        <x:v>19.66884</x:v>
      </x:c>
      <x:c r="AD59" s="19" t="n">
        <x:f>IF(E59=0,"N/A",P59/E59)</x:f>
        <x:v>-2.0599999999999996</x:v>
      </x:c>
    </x:row>
    <x:row r="60" ht="23" customHeight="1">
      <x:c r="A60" s="17" t="str">
        <x:v>C002</x:v>
      </x:c>
      <x:c r="B60" s="17" t="str">
        <x:v>Check measurement plan</x:v>
      </x:c>
      <x:c r="C60" s="17" t="str">
        <x:v>brief_changed</x:v>
      </x:c>
      <x:c r="D60" s="17" t="str">
        <x:v>No</x:v>
      </x:c>
      <x:c r="E60" s="17" t="n">
        <x:f>COUNTIFS('Tasks'!$C$7:$C$246,$A60,'Tasks'!$K$7:$K$246,$D60,'Tasks'!$F$7:$F$246,$B60)</x:f>
        <x:v>1</x:v>
      </x:c>
      <x:c r="F60" s="17" t="n">
        <x:f>SUMIFS('Tasks'!$O$7:$O$246,'Tasks'!$C$7:$C$246,$A60,'Tasks'!$K$7:$K$246,$D60,'Tasks'!$F$7:$F$246,$B60)</x:f>
        <x:v>277889</x:v>
      </x:c>
      <x:c r="G60" s="17" t="n">
        <x:f>SUMIFS('Tasks'!$P$7:$P$246,'Tasks'!$C$7:$C$246,$A60,'Tasks'!$K$7:$K$246,$D60,'Tasks'!$F$7:$F$246,$B60)</x:f>
        <x:v>207693</x:v>
      </x:c>
      <x:c r="H60" s="17" t="n">
        <x:f>SUMIFS('Tasks'!$Q$7:$Q$246,'Tasks'!$C$7:$C$246,$A60,'Tasks'!$K$7:$K$246,$D60,'Tasks'!$F$7:$F$246,$B60)</x:f>
        <x:v>485582</x:v>
      </x:c>
      <x:c r="I60" s="22" t="n">
        <x:f>SUMIFS('Tasks'!$S$7:$S$246,'Tasks'!$C$7:$C$246,$A60,'Tasks'!$K$7:$K$246,$D60,'Tasks'!$F$7:$F$246,$B60)</x:f>
        <x:v>11.115559999999999</x:v>
      </x:c>
      <x:c r="J60" s="22" t="n">
        <x:f>SUMIFS('Tasks'!$T$7:$T$246,'Tasks'!$C$7:$C$246,$A60,'Tasks'!$K$7:$K$246,$D60,'Tasks'!$F$7:$F$246,$B60)</x:f>
        <x:v>20.769300000000005</x:v>
      </x:c>
      <x:c r="K60" s="22" t="n">
        <x:f>SUMIFS('Tasks'!$U$7:$U$246,'Tasks'!$C$7:$C$246,$A60,'Tasks'!$K$7:$K$246,$D60,'Tasks'!$F$7:$F$246,$B60)</x:f>
        <x:v>31.88486</x:v>
      </x:c>
      <x:c r="L60" s="17" t="n">
        <x:f>SUMIFS('Tasks'!$R$7:$R$246,'Tasks'!$C$7:$C$246,$A60,'Tasks'!$K$7:$K$246,$D60,'Tasks'!$F$7:$F$246,$B60)</x:f>
        <x:v>18</x:v>
      </x:c>
      <x:c r="M60" s="22" t="n">
        <x:f>IF(L60=0,"N/A",K60/L60)</x:f>
        <x:v>1.771381111111111</x:v>
      </x:c>
      <x:c r="N60" s="19" t="n">
        <x:f>SUMIFS('Tasks'!$G$7:$G$246,'Tasks'!$C$7:$C$246,$A60,'Tasks'!$K$7:$K$246,$D60,'Tasks'!$F$7:$F$246,$B60)</x:f>
        <x:v>4.07</x:v>
      </x:c>
      <x:c r="O60" s="19" t="n">
        <x:f>SUMIFS('Tasks'!$H$7:$H$246,'Tasks'!$C$7:$C$246,$A60,'Tasks'!$K$7:$K$246,$D60,'Tasks'!$F$7:$F$246,$B60)</x:f>
        <x:v>7.66</x:v>
      </x:c>
      <x:c r="P60" s="19" t="n">
        <x:f>SUMIFS('Tasks'!$Y$7:$Y$246,'Tasks'!$C$7:$C$246,$A60,'Tasks'!$K$7:$K$246,$D60,'Tasks'!$F$7:$F$246,$B60)</x:f>
        <x:v>-3.59</x:v>
      </x:c>
      <x:c r="Q60" s="22" t="n">
        <x:f>SUMIFS('Tasks'!$Z$7:$Z$246,'Tasks'!$C$7:$C$246,$A60,'Tasks'!$K$7:$K$246,$D60,'Tasks'!$F$7:$F$246,$B60)</x:f>
        <x:v>-179.5</x:v>
      </x:c>
      <x:c r="R60" s="22" t="n">
        <x:f>SUMIFS('Tasks'!$AA$7:$AA$246,'Tasks'!$C$7:$C$246,$A60,'Tasks'!$K$7:$K$246,$D60,'Tasks'!$F$7:$F$246,$B60)</x:f>
        <x:v>-211.38486</x:v>
      </x:c>
      <x:c r="S60" s="31" t="n">
        <x:f>IF(K60=0,"N/A",R60/K60)</x:f>
        <x:v>-6.629631116460916</x:v>
      </x:c>
      <x:c r="T60" s="19" t="n">
        <x:f>SUMIFS('Tasks'!$I$7:$I$246,'Tasks'!$C$7:$C$246,$A60,'Tasks'!$K$7:$K$246,$D60,'Tasks'!$F$7:$F$246,$B60)</x:f>
        <x:v>2.66</x:v>
      </x:c>
      <x:c r="U60" s="31" t="n">
        <x:f>IF(O60=0,"N/A",T60/O60)</x:f>
        <x:v>0.3472584856396867</x:v>
      </x:c>
      <x:c r="V60" s="17" t="n">
        <x:f>SUMIFS('Tasks'!$X$7:$X$246,'Tasks'!$C$7:$C$246,$A60,'Tasks'!$K$7:$K$246,$D60,'Tasks'!$F$7:$F$246,$B60)</x:f>
        <x:v>7</x:v>
      </x:c>
      <x:c r="W60" s="31" t="n">
        <x:f>IF(L60=0,"N/A",V60/L60)</x:f>
        <x:v>0.3888888888888889</x:v>
      </x:c>
      <x:c r="X60" s="17" t="n">
        <x:f>COUNTIFS('Tasks'!$C$7:$C$246,$A60,'Tasks'!$K$7:$K$246,$D60,'Tasks'!$F$7:$F$246,$B60,'Tasks'!$L$7:$L$246,"Yes")</x:f>
        <x:v>1</x:v>
      </x:c>
      <x:c r="Y60" s="17" t="n">
        <x:f>COUNTIFS('Tasks'!$C$7:$C$246,$A60,'Tasks'!$K$7:$K$246,$D60,'Tasks'!$F$7:$F$246,$B60,'Tasks'!$K$7:$K$246,"Yes")</x:f>
        <x:v>0</x:v>
      </x:c>
      <x:c r="Z60" s="17" t="n">
        <x:f>COUNTIFS('Tasks'!$C$7:$C$246,$A60,'Tasks'!$K$7:$K$246,$D60,'Tasks'!$F$7:$F$246,$B60,'Tasks'!$AA$7:$AA$246,"&gt;0")</x:f>
        <x:v>0</x:v>
      </x:c>
      <x:c r="AA60" s="17" t="n">
        <x:f>COUNTIFS('Tasks'!$C$7:$C$246,$A60,'Tasks'!$K$7:$K$246,$D60,'Tasks'!$F$7:$F$246,$B60,'Tasks'!$AA$7:$AA$246,"&lt;0")</x:f>
        <x:v>1</x:v>
      </x:c>
      <x:c r="AB60" s="19" t="n">
        <x:f>IF(E60=0,"N/A",V60/E60)</x:f>
        <x:v>7</x:v>
      </x:c>
      <x:c r="AC60" s="22" t="n">
        <x:f>IF(E60=0,"N/A",K60/E60)</x:f>
        <x:v>31.88486</x:v>
      </x:c>
      <x:c r="AD60" s="19" t="n">
        <x:f>IF(E60=0,"N/A",P60/E60)</x:f>
        <x:v>-3.59</x:v>
      </x:c>
    </x:row>
    <x:row r="61" ht="23" customHeight="1">
      <x:c r="A61" s="17" t="str">
        <x:v>C002</x:v>
      </x:c>
      <x:c r="B61" s="17" t="str">
        <x:v>Check measurement plan</x:v>
      </x:c>
      <x:c r="C61" s="17" t="str">
        <x:v>brief_changed</x:v>
      </x:c>
      <x:c r="D61" s="17" t="str">
        <x:v>Yes</x:v>
      </x:c>
      <x:c r="E61" s="17" t="n">
        <x:f>COUNTIFS('Tasks'!$C$7:$C$246,$A61,'Tasks'!$K$7:$K$246,$D61,'Tasks'!$F$7:$F$246,$B61)</x:f>
        <x:v>4</x:v>
      </x:c>
      <x:c r="F61" s="17" t="n">
        <x:f>SUMIFS('Tasks'!$O$7:$O$246,'Tasks'!$C$7:$C$246,$A61,'Tasks'!$K$7:$K$246,$D61,'Tasks'!$F$7:$F$246,$B61)</x:f>
        <x:v>1644151</x:v>
      </x:c>
      <x:c r="G61" s="17" t="n">
        <x:f>SUMIFS('Tasks'!$P$7:$P$246,'Tasks'!$C$7:$C$246,$A61,'Tasks'!$K$7:$K$246,$D61,'Tasks'!$F$7:$F$246,$B61)</x:f>
        <x:v>537299</x:v>
      </x:c>
      <x:c r="H61" s="17" t="n">
        <x:f>SUMIFS('Tasks'!$Q$7:$Q$246,'Tasks'!$C$7:$C$246,$A61,'Tasks'!$K$7:$K$246,$D61,'Tasks'!$F$7:$F$246,$B61)</x:f>
        <x:v>2181450</x:v>
      </x:c>
      <x:c r="I61" s="22" t="n">
        <x:f>SUMIFS('Tasks'!$S$7:$S$246,'Tasks'!$C$7:$C$246,$A61,'Tasks'!$K$7:$K$246,$D61,'Tasks'!$F$7:$F$246,$B61)</x:f>
        <x:v>33.25078</x:v>
      </x:c>
      <x:c r="J61" s="22" t="n">
        <x:f>SUMIFS('Tasks'!$T$7:$T$246,'Tasks'!$C$7:$C$246,$A61,'Tasks'!$K$7:$K$246,$D61,'Tasks'!$F$7:$F$246,$B61)</x:f>
        <x:v>41.89864000000001</x:v>
      </x:c>
      <x:c r="K61" s="22" t="n">
        <x:f>SUMIFS('Tasks'!$U$7:$U$246,'Tasks'!$C$7:$C$246,$A61,'Tasks'!$K$7:$K$246,$D61,'Tasks'!$F$7:$F$246,$B61)</x:f>
        <x:v>75.14941999999999</x:v>
      </x:c>
      <x:c r="L61" s="17" t="n">
        <x:f>SUMIFS('Tasks'!$R$7:$R$246,'Tasks'!$C$7:$C$246,$A61,'Tasks'!$K$7:$K$246,$D61,'Tasks'!$F$7:$F$246,$B61)</x:f>
        <x:v>72</x:v>
      </x:c>
      <x:c r="M61" s="22" t="n">
        <x:f>IF(L61=0,"N/A",K61/L61)</x:f>
        <x:v>1.0437419444444442</x:v>
      </x:c>
      <x:c r="N61" s="19" t="n">
        <x:f>SUMIFS('Tasks'!$G$7:$G$246,'Tasks'!$C$7:$C$246,$A61,'Tasks'!$K$7:$K$246,$D61,'Tasks'!$F$7:$F$246,$B61)</x:f>
        <x:v>11.680000000000001</x:v>
      </x:c>
      <x:c r="O61" s="19" t="n">
        <x:f>SUMIFS('Tasks'!$H$7:$H$246,'Tasks'!$C$7:$C$246,$A61,'Tasks'!$K$7:$K$246,$D61,'Tasks'!$F$7:$F$246,$B61)</x:f>
        <x:v>13.6</x:v>
      </x:c>
      <x:c r="P61" s="19" t="n">
        <x:f>SUMIFS('Tasks'!$Y$7:$Y$246,'Tasks'!$C$7:$C$246,$A61,'Tasks'!$K$7:$K$246,$D61,'Tasks'!$F$7:$F$246,$B61)</x:f>
        <x:v>-1.92</x:v>
      </x:c>
      <x:c r="Q61" s="22" t="n">
        <x:f>SUMIFS('Tasks'!$Z$7:$Z$246,'Tasks'!$C$7:$C$246,$A61,'Tasks'!$K$7:$K$246,$D61,'Tasks'!$F$7:$F$246,$B61)</x:f>
        <x:v>-96</x:v>
      </x:c>
      <x:c r="R61" s="22" t="n">
        <x:f>SUMIFS('Tasks'!$AA$7:$AA$246,'Tasks'!$C$7:$C$246,$A61,'Tasks'!$K$7:$K$246,$D61,'Tasks'!$F$7:$F$246,$B61)</x:f>
        <x:v>-171.14941999999996</x:v>
      </x:c>
      <x:c r="S61" s="31" t="n">
        <x:f>IF(K61=0,"N/A",R61/K61)</x:f>
        <x:v>-2.2774549690469996</x:v>
      </x:c>
      <x:c r="T61" s="19" t="n">
        <x:f>SUMIFS('Tasks'!$I$7:$I$246,'Tasks'!$C$7:$C$246,$A61,'Tasks'!$K$7:$K$246,$D61,'Tasks'!$F$7:$F$246,$B61)</x:f>
        <x:v>4.99</x:v>
      </x:c>
      <x:c r="U61" s="31" t="n">
        <x:f>IF(O61=0,"N/A",T61/O61)</x:f>
        <x:v>0.3669117647058824</x:v>
      </x:c>
      <x:c r="V61" s="17" t="n">
        <x:f>SUMIFS('Tasks'!$X$7:$X$246,'Tasks'!$C$7:$C$246,$A61,'Tasks'!$K$7:$K$246,$D61,'Tasks'!$F$7:$F$246,$B61)</x:f>
        <x:v>29</x:v>
      </x:c>
      <x:c r="W61" s="31" t="n">
        <x:f>IF(L61=0,"N/A",V61/L61)</x:f>
        <x:v>0.4027777777777778</x:v>
      </x:c>
      <x:c r="X61" s="17" t="n">
        <x:f>COUNTIFS('Tasks'!$C$7:$C$246,$A61,'Tasks'!$K$7:$K$246,$D61,'Tasks'!$F$7:$F$246,$B61,'Tasks'!$L$7:$L$246,"Yes")</x:f>
        <x:v>1</x:v>
      </x:c>
      <x:c r="Y61" s="17" t="n">
        <x:f>COUNTIFS('Tasks'!$C$7:$C$246,$A61,'Tasks'!$K$7:$K$246,$D61,'Tasks'!$F$7:$F$246,$B61,'Tasks'!$K$7:$K$246,"Yes")</x:f>
        <x:v>4</x:v>
      </x:c>
      <x:c r="Z61" s="17" t="n">
        <x:f>COUNTIFS('Tasks'!$C$7:$C$246,$A61,'Tasks'!$K$7:$K$246,$D61,'Tasks'!$F$7:$F$246,$B61,'Tasks'!$AA$7:$AA$246,"&gt;0")</x:f>
        <x:v>1</x:v>
      </x:c>
      <x:c r="AA61" s="17" t="n">
        <x:f>COUNTIFS('Tasks'!$C$7:$C$246,$A61,'Tasks'!$K$7:$K$246,$D61,'Tasks'!$F$7:$F$246,$B61,'Tasks'!$AA$7:$AA$246,"&lt;0")</x:f>
        <x:v>3</x:v>
      </x:c>
      <x:c r="AB61" s="19" t="n">
        <x:f>IF(E61=0,"N/A",V61/E61)</x:f>
        <x:v>7.25</x:v>
      </x:c>
      <x:c r="AC61" s="22" t="n">
        <x:f>IF(E61=0,"N/A",K61/E61)</x:f>
        <x:v>18.787354999999998</x:v>
      </x:c>
      <x:c r="AD61" s="19" t="n">
        <x:f>IF(E61=0,"N/A",P61/E61)</x:f>
        <x:v>-0.48</x:v>
      </x:c>
    </x:row>
    <x:row r="62" ht="23" customHeight="1">
      <x:c r="A62" s="17" t="str">
        <x:v>C002</x:v>
      </x:c>
      <x:c r="B62" s="17" t="str">
        <x:v>Clean audience data</x:v>
      </x:c>
      <x:c r="C62" s="17" t="str">
        <x:v>prompt_template_used</x:v>
      </x:c>
      <x:c r="D62" s="17" t="str">
        <x:v>No</x:v>
      </x:c>
      <x:c r="E62" s="17" t="n">
        <x:f>COUNTIFS('Tasks'!$C$7:$C$246,$A62,'Tasks'!$L$7:$L$246,$D62,'Tasks'!$F$7:$F$246,$B62)</x:f>
        <x:v>2</x:v>
      </x:c>
      <x:c r="F62" s="17" t="n">
        <x:f>SUMIFS('Tasks'!$O$7:$O$246,'Tasks'!$C$7:$C$246,$A62,'Tasks'!$L$7:$L$246,$D62,'Tasks'!$F$7:$F$246,$B62)</x:f>
        <x:v>1068861</x:v>
      </x:c>
      <x:c r="G62" s="17" t="n">
        <x:f>SUMIFS('Tasks'!$P$7:$P$246,'Tasks'!$C$7:$C$246,$A62,'Tasks'!$L$7:$L$246,$D62,'Tasks'!$F$7:$F$246,$B62)</x:f>
        <x:v>512642</x:v>
      </x:c>
      <x:c r="H62" s="17" t="n">
        <x:f>SUMIFS('Tasks'!$Q$7:$Q$246,'Tasks'!$C$7:$C$246,$A62,'Tasks'!$L$7:$L$246,$D62,'Tasks'!$F$7:$F$246,$B62)</x:f>
        <x:v>1581503</x:v>
      </x:c>
      <x:c r="I62" s="22" t="n">
        <x:f>SUMIFS('Tasks'!$S$7:$S$246,'Tasks'!$C$7:$C$246,$A62,'Tasks'!$L$7:$L$246,$D62,'Tasks'!$F$7:$F$246,$B62)</x:f>
        <x:v>42.75444</x:v>
      </x:c>
      <x:c r="J62" s="22" t="n">
        <x:f>SUMIFS('Tasks'!$T$7:$T$246,'Tasks'!$C$7:$C$246,$A62,'Tasks'!$L$7:$L$246,$D62,'Tasks'!$F$7:$F$246,$B62)</x:f>
        <x:v>51.2642</x:v>
      </x:c>
      <x:c r="K62" s="22" t="n">
        <x:f>SUMIFS('Tasks'!$U$7:$U$246,'Tasks'!$C$7:$C$246,$A62,'Tasks'!$L$7:$L$246,$D62,'Tasks'!$F$7:$F$246,$B62)</x:f>
        <x:v>94.01863999999998</x:v>
      </x:c>
      <x:c r="L62" s="17" t="n">
        <x:f>SUMIFS('Tasks'!$R$7:$R$246,'Tasks'!$C$7:$C$246,$A62,'Tasks'!$L$7:$L$246,$D62,'Tasks'!$F$7:$F$246,$B62)</x:f>
        <x:v>45</x:v>
      </x:c>
      <x:c r="M62" s="22" t="n">
        <x:f>IF(L62=0,"N/A",K62/L62)</x:f>
        <x:v>2.0893031111111107</x:v>
      </x:c>
      <x:c r="N62" s="19" t="n">
        <x:f>SUMIFS('Tasks'!$G$7:$G$246,'Tasks'!$C$7:$C$246,$A62,'Tasks'!$L$7:$L$246,$D62,'Tasks'!$F$7:$F$246,$B62)</x:f>
        <x:v>5.87</x:v>
      </x:c>
      <x:c r="O62" s="19" t="n">
        <x:f>SUMIFS('Tasks'!$H$7:$H$246,'Tasks'!$C$7:$C$246,$A62,'Tasks'!$L$7:$L$246,$D62,'Tasks'!$F$7:$F$246,$B62)</x:f>
        <x:v>7.88</x:v>
      </x:c>
      <x:c r="P62" s="19" t="n">
        <x:f>SUMIFS('Tasks'!$Y$7:$Y$246,'Tasks'!$C$7:$C$246,$A62,'Tasks'!$L$7:$L$246,$D62,'Tasks'!$F$7:$F$246,$B62)</x:f>
        <x:v>-2.01</x:v>
      </x:c>
      <x:c r="Q62" s="22" t="n">
        <x:f>SUMIFS('Tasks'!$Z$7:$Z$246,'Tasks'!$C$7:$C$246,$A62,'Tasks'!$L$7:$L$246,$D62,'Tasks'!$F$7:$F$246,$B62)</x:f>
        <x:v>-100.5</x:v>
      </x:c>
      <x:c r="R62" s="22" t="n">
        <x:f>SUMIFS('Tasks'!$AA$7:$AA$246,'Tasks'!$C$7:$C$246,$A62,'Tasks'!$L$7:$L$246,$D62,'Tasks'!$F$7:$F$246,$B62)</x:f>
        <x:v>-194.51863999999998</x:v>
      </x:c>
      <x:c r="S62" s="31" t="n">
        <x:f>IF(K62=0,"N/A",R62/K62)</x:f>
        <x:v>-2.068936968243744</x:v>
      </x:c>
      <x:c r="T62" s="19" t="n">
        <x:f>SUMIFS('Tasks'!$I$7:$I$246,'Tasks'!$C$7:$C$246,$A62,'Tasks'!$L$7:$L$246,$D62,'Tasks'!$F$7:$F$246,$B62)</x:f>
        <x:v>2.77</x:v>
      </x:c>
      <x:c r="U62" s="31" t="n">
        <x:f>IF(O62=0,"N/A",T62/O62)</x:f>
        <x:v>0.35152284263959394</x:v>
      </x:c>
      <x:c r="V62" s="17" t="n">
        <x:f>SUMIFS('Tasks'!$X$7:$X$246,'Tasks'!$C$7:$C$246,$A62,'Tasks'!$L$7:$L$246,$D62,'Tasks'!$F$7:$F$246,$B62)</x:f>
        <x:v>17</x:v>
      </x:c>
      <x:c r="W62" s="31" t="n">
        <x:f>IF(L62=0,"N/A",V62/L62)</x:f>
        <x:v>0.37777777777777777</x:v>
      </x:c>
      <x:c r="X62" s="17" t="n">
        <x:f>COUNTIFS('Tasks'!$C$7:$C$246,$A62,'Tasks'!$L$7:$L$246,$D62,'Tasks'!$F$7:$F$246,$B62,'Tasks'!$L$7:$L$246,"Yes")</x:f>
        <x:v>0</x:v>
      </x:c>
      <x:c r="Y62" s="17" t="n">
        <x:f>COUNTIFS('Tasks'!$C$7:$C$246,$A62,'Tasks'!$L$7:$L$246,$D62,'Tasks'!$F$7:$F$246,$B62,'Tasks'!$K$7:$K$246,"Yes")</x:f>
        <x:v>0</x:v>
      </x:c>
      <x:c r="Z62" s="17" t="n">
        <x:f>COUNTIFS('Tasks'!$C$7:$C$246,$A62,'Tasks'!$L$7:$L$246,$D62,'Tasks'!$F$7:$F$246,$B62,'Tasks'!$AA$7:$AA$246,"&gt;0")</x:f>
        <x:v>0</x:v>
      </x:c>
      <x:c r="AA62" s="17" t="n">
        <x:f>COUNTIFS('Tasks'!$C$7:$C$246,$A62,'Tasks'!$L$7:$L$246,$D62,'Tasks'!$F$7:$F$246,$B62,'Tasks'!$AA$7:$AA$246,"&lt;0")</x:f>
        <x:v>2</x:v>
      </x:c>
      <x:c r="AB62" s="19" t="n">
        <x:f>IF(E62=0,"N/A",V62/E62)</x:f>
        <x:v>8.5</x:v>
      </x:c>
      <x:c r="AC62" s="22" t="n">
        <x:f>IF(E62=0,"N/A",K62/E62)</x:f>
        <x:v>47.00931999999999</x:v>
      </x:c>
      <x:c r="AD62" s="19" t="n">
        <x:f>IF(E62=0,"N/A",P62/E62)</x:f>
        <x:v>-1.005</x:v>
      </x:c>
    </x:row>
    <x:row r="63" ht="23" customHeight="1">
      <x:c r="A63" s="17" t="str">
        <x:v>C002</x:v>
      </x:c>
      <x:c r="B63" s="17" t="str">
        <x:v>Clean audience data</x:v>
      </x:c>
      <x:c r="C63" s="17" t="str">
        <x:v>prompt_template_used</x:v>
      </x:c>
      <x:c r="D63" s="17" t="str">
        <x:v>Yes</x:v>
      </x:c>
      <x:c r="E63" s="17" t="n">
        <x:f>COUNTIFS('Tasks'!$C$7:$C$246,$A63,'Tasks'!$L$7:$L$246,$D63,'Tasks'!$F$7:$F$246,$B63)</x:f>
        <x:v>3</x:v>
      </x:c>
      <x:c r="F63" s="17" t="n">
        <x:f>SUMIFS('Tasks'!$O$7:$O$246,'Tasks'!$C$7:$C$246,$A63,'Tasks'!$L$7:$L$246,$D63,'Tasks'!$F$7:$F$246,$B63)</x:f>
        <x:v>1364579</x:v>
      </x:c>
      <x:c r="G63" s="17" t="n">
        <x:f>SUMIFS('Tasks'!$P$7:$P$246,'Tasks'!$C$7:$C$246,$A63,'Tasks'!$L$7:$L$246,$D63,'Tasks'!$F$7:$F$246,$B63)</x:f>
        <x:v>399331</x:v>
      </x:c>
      <x:c r="H63" s="17" t="n">
        <x:f>SUMIFS('Tasks'!$Q$7:$Q$246,'Tasks'!$C$7:$C$246,$A63,'Tasks'!$L$7:$L$246,$D63,'Tasks'!$F$7:$F$246,$B63)</x:f>
        <x:v>1763910</x:v>
      </x:c>
      <x:c r="I63" s="22" t="n">
        <x:f>SUMIFS('Tasks'!$S$7:$S$246,'Tasks'!$C$7:$C$246,$A63,'Tasks'!$L$7:$L$246,$D63,'Tasks'!$F$7:$F$246,$B63)</x:f>
        <x:v>23.215580000000003</x:v>
      </x:c>
      <x:c r="J63" s="22" t="n">
        <x:f>SUMIFS('Tasks'!$T$7:$T$246,'Tasks'!$C$7:$C$246,$A63,'Tasks'!$L$7:$L$246,$D63,'Tasks'!$F$7:$F$246,$B63)</x:f>
        <x:v>25.747040000000002</x:v>
      </x:c>
      <x:c r="K63" s="22" t="n">
        <x:f>SUMIFS('Tasks'!$U$7:$U$246,'Tasks'!$C$7:$C$246,$A63,'Tasks'!$L$7:$L$246,$D63,'Tasks'!$F$7:$F$246,$B63)</x:f>
        <x:v>48.96262</x:v>
      </x:c>
      <x:c r="L63" s="17" t="n">
        <x:f>SUMIFS('Tasks'!$R$7:$R$246,'Tasks'!$C$7:$C$246,$A63,'Tasks'!$L$7:$L$246,$D63,'Tasks'!$F$7:$F$246,$B63)</x:f>
        <x:v>56</x:v>
      </x:c>
      <x:c r="M63" s="22" t="n">
        <x:f>IF(L63=0,"N/A",K63/L63)</x:f>
        <x:v>0.8743325000000001</x:v>
      </x:c>
      <x:c r="N63" s="19" t="n">
        <x:f>SUMIFS('Tasks'!$G$7:$G$246,'Tasks'!$C$7:$C$246,$A63,'Tasks'!$L$7:$L$246,$D63,'Tasks'!$F$7:$F$246,$B63)</x:f>
        <x:v>9.59</x:v>
      </x:c>
      <x:c r="O63" s="19" t="n">
        <x:f>SUMIFS('Tasks'!$H$7:$H$246,'Tasks'!$C$7:$C$246,$A63,'Tasks'!$L$7:$L$246,$D63,'Tasks'!$F$7:$F$246,$B63)</x:f>
        <x:v>10.14</x:v>
      </x:c>
      <x:c r="P63" s="19" t="n">
        <x:f>SUMIFS('Tasks'!$Y$7:$Y$246,'Tasks'!$C$7:$C$246,$A63,'Tasks'!$L$7:$L$246,$D63,'Tasks'!$F$7:$F$246,$B63)</x:f>
        <x:v>-0.5500000000000005</x:v>
      </x:c>
      <x:c r="Q63" s="22" t="n">
        <x:f>SUMIFS('Tasks'!$Z$7:$Z$246,'Tasks'!$C$7:$C$246,$A63,'Tasks'!$L$7:$L$246,$D63,'Tasks'!$F$7:$F$246,$B63)</x:f>
        <x:v>-27.500000000000014</x:v>
      </x:c>
      <x:c r="R63" s="22" t="n">
        <x:f>SUMIFS('Tasks'!$AA$7:$AA$246,'Tasks'!$C$7:$C$246,$A63,'Tasks'!$L$7:$L$246,$D63,'Tasks'!$F$7:$F$246,$B63)</x:f>
        <x:v>-76.46262000000002</x:v>
      </x:c>
      <x:c r="S63" s="31" t="n">
        <x:f>IF(K63=0,"N/A",R63/K63)</x:f>
        <x:v>-1.5616529507612136</x:v>
      </x:c>
      <x:c r="T63" s="19" t="n">
        <x:f>SUMIFS('Tasks'!$I$7:$I$246,'Tasks'!$C$7:$C$246,$A63,'Tasks'!$L$7:$L$246,$D63,'Tasks'!$F$7:$F$246,$B63)</x:f>
        <x:v>3.24</x:v>
      </x:c>
      <x:c r="U63" s="31" t="n">
        <x:f>IF(O63=0,"N/A",T63/O63)</x:f>
        <x:v>0.31952662721893493</x:v>
      </x:c>
      <x:c r="V63" s="17" t="n">
        <x:f>SUMIFS('Tasks'!$X$7:$X$246,'Tasks'!$C$7:$C$246,$A63,'Tasks'!$L$7:$L$246,$D63,'Tasks'!$F$7:$F$246,$B63)</x:f>
        <x:v>23</x:v>
      </x:c>
      <x:c r="W63" s="31" t="n">
        <x:f>IF(L63=0,"N/A",V63/L63)</x:f>
        <x:v>0.4107142857142857</x:v>
      </x:c>
      <x:c r="X63" s="17" t="n">
        <x:f>COUNTIFS('Tasks'!$C$7:$C$246,$A63,'Tasks'!$L$7:$L$246,$D63,'Tasks'!$F$7:$F$246,$B63,'Tasks'!$L$7:$L$246,"Yes")</x:f>
        <x:v>3</x:v>
      </x:c>
      <x:c r="Y63" s="17" t="n">
        <x:f>COUNTIFS('Tasks'!$C$7:$C$246,$A63,'Tasks'!$L$7:$L$246,$D63,'Tasks'!$F$7:$F$246,$B63,'Tasks'!$K$7:$K$246,"Yes")</x:f>
        <x:v>2</x:v>
      </x:c>
      <x:c r="Z63" s="17" t="n">
        <x:f>COUNTIFS('Tasks'!$C$7:$C$246,$A63,'Tasks'!$L$7:$L$246,$D63,'Tasks'!$F$7:$F$246,$B63,'Tasks'!$AA$7:$AA$246,"&gt;0")</x:f>
        <x:v>1</x:v>
      </x:c>
      <x:c r="AA63" s="17" t="n">
        <x:f>COUNTIFS('Tasks'!$C$7:$C$246,$A63,'Tasks'!$L$7:$L$246,$D63,'Tasks'!$F$7:$F$246,$B63,'Tasks'!$AA$7:$AA$246,"&lt;0")</x:f>
        <x:v>2</x:v>
      </x:c>
      <x:c r="AB63" s="19" t="n">
        <x:f>IF(E63=0,"N/A",V63/E63)</x:f>
        <x:v>7.666666666666667</x:v>
      </x:c>
      <x:c r="AC63" s="22" t="n">
        <x:f>IF(E63=0,"N/A",K63/E63)</x:f>
        <x:v>16.320873333333335</x:v>
      </x:c>
      <x:c r="AD63" s="19" t="n">
        <x:f>IF(E63=0,"N/A",P63/E63)</x:f>
        <x:v>-0.1833333333333335</x:v>
      </x:c>
    </x:row>
    <x:row r="64" ht="23" customHeight="1">
      <x:c r="A64" s="17" t="str">
        <x:v>C002</x:v>
      </x:c>
      <x:c r="B64" s="17" t="str">
        <x:v>Clean audience data</x:v>
      </x:c>
      <x:c r="C64" s="17" t="str">
        <x:v>brief_changed</x:v>
      </x:c>
      <x:c r="D64" s="17" t="str">
        <x:v>No</x:v>
      </x:c>
      <x:c r="E64" s="17" t="n">
        <x:f>COUNTIFS('Tasks'!$C$7:$C$246,$A64,'Tasks'!$K$7:$K$246,$D64,'Tasks'!$F$7:$F$246,$B64)</x:f>
        <x:v>3</x:v>
      </x:c>
      <x:c r="F64" s="17" t="n">
        <x:f>SUMIFS('Tasks'!$O$7:$O$246,'Tasks'!$C$7:$C$246,$A64,'Tasks'!$K$7:$K$246,$D64,'Tasks'!$F$7:$F$246,$B64)</x:f>
        <x:v>1645437</x:v>
      </x:c>
      <x:c r="G64" s="17" t="n">
        <x:f>SUMIFS('Tasks'!$P$7:$P$246,'Tasks'!$C$7:$C$246,$A64,'Tasks'!$K$7:$K$246,$D64,'Tasks'!$F$7:$F$246,$B64)</x:f>
        <x:v>596482</x:v>
      </x:c>
      <x:c r="H64" s="17" t="n">
        <x:f>SUMIFS('Tasks'!$Q$7:$Q$246,'Tasks'!$C$7:$C$246,$A64,'Tasks'!$K$7:$K$246,$D64,'Tasks'!$F$7:$F$246,$B64)</x:f>
        <x:v>2241919</x:v>
      </x:c>
      <x:c r="I64" s="22" t="n">
        <x:f>SUMIFS('Tasks'!$S$7:$S$246,'Tasks'!$C$7:$C$246,$A64,'Tasks'!$K$7:$K$246,$D64,'Tasks'!$F$7:$F$246,$B64)</x:f>
        <x:v>48.5202</x:v>
      </x:c>
      <x:c r="J64" s="22" t="n">
        <x:f>SUMIFS('Tasks'!$T$7:$T$246,'Tasks'!$C$7:$C$246,$A64,'Tasks'!$K$7:$K$246,$D64,'Tasks'!$F$7:$F$246,$B64)</x:f>
        <x:v>53.77940000000001</x:v>
      </x:c>
      <x:c r="K64" s="22" t="n">
        <x:f>SUMIFS('Tasks'!$U$7:$U$246,'Tasks'!$C$7:$C$246,$A64,'Tasks'!$K$7:$K$246,$D64,'Tasks'!$F$7:$F$246,$B64)</x:f>
        <x:v>102.29959999999997</x:v>
      </x:c>
      <x:c r="L64" s="17" t="n">
        <x:f>SUMIFS('Tasks'!$R$7:$R$246,'Tasks'!$C$7:$C$246,$A64,'Tasks'!$K$7:$K$246,$D64,'Tasks'!$F$7:$F$246,$B64)</x:f>
        <x:v>64</x:v>
      </x:c>
      <x:c r="M64" s="22" t="n">
        <x:f>IF(L64=0,"N/A",K64/L64)</x:f>
        <x:v>1.5984312499999995</x:v>
      </x:c>
      <x:c r="N64" s="19" t="n">
        <x:f>SUMIFS('Tasks'!$G$7:$G$246,'Tasks'!$C$7:$C$246,$A64,'Tasks'!$K$7:$K$246,$D64,'Tasks'!$F$7:$F$246,$B64)</x:f>
        <x:v>8.73</x:v>
      </x:c>
      <x:c r="O64" s="19" t="n">
        <x:f>SUMIFS('Tasks'!$H$7:$H$246,'Tasks'!$C$7:$C$246,$A64,'Tasks'!$K$7:$K$246,$D64,'Tasks'!$F$7:$F$246,$B64)</x:f>
        <x:v>11.309999999999999</x:v>
      </x:c>
      <x:c r="P64" s="19" t="n">
        <x:f>SUMIFS('Tasks'!$Y$7:$Y$246,'Tasks'!$C$7:$C$246,$A64,'Tasks'!$K$7:$K$246,$D64,'Tasks'!$F$7:$F$246,$B64)</x:f>
        <x:v>-2.58</x:v>
      </x:c>
      <x:c r="Q64" s="22" t="n">
        <x:f>SUMIFS('Tasks'!$Z$7:$Z$246,'Tasks'!$C$7:$C$246,$A64,'Tasks'!$K$7:$K$246,$D64,'Tasks'!$F$7:$F$246,$B64)</x:f>
        <x:v>-129</x:v>
      </x:c>
      <x:c r="R64" s="22" t="n">
        <x:f>SUMIFS('Tasks'!$AA$7:$AA$246,'Tasks'!$C$7:$C$246,$A64,'Tasks'!$K$7:$K$246,$D64,'Tasks'!$F$7:$F$246,$B64)</x:f>
        <x:v>-231.2996</x:v>
      </x:c>
      <x:c r="S64" s="31" t="n">
        <x:f>IF(K64=0,"N/A",R64/K64)</x:f>
        <x:v>-2.261001998052779</x:v>
      </x:c>
      <x:c r="T64" s="19" t="n">
        <x:f>SUMIFS('Tasks'!$I$7:$I$246,'Tasks'!$C$7:$C$246,$A64,'Tasks'!$K$7:$K$246,$D64,'Tasks'!$F$7:$F$246,$B64)</x:f>
        <x:v>3.58</x:v>
      </x:c>
      <x:c r="U64" s="31" t="n">
        <x:f>IF(O64=0,"N/A",T64/O64)</x:f>
        <x:v>0.3165340406719718</x:v>
      </x:c>
      <x:c r="V64" s="17" t="n">
        <x:f>SUMIFS('Tasks'!$X$7:$X$246,'Tasks'!$C$7:$C$246,$A64,'Tasks'!$K$7:$K$246,$D64,'Tasks'!$F$7:$F$246,$B64)</x:f>
        <x:v>24</x:v>
      </x:c>
      <x:c r="W64" s="31" t="n">
        <x:f>IF(L64=0,"N/A",V64/L64)</x:f>
        <x:v>0.375</x:v>
      </x:c>
      <x:c r="X64" s="17" t="n">
        <x:f>COUNTIFS('Tasks'!$C$7:$C$246,$A64,'Tasks'!$K$7:$K$246,$D64,'Tasks'!$F$7:$F$246,$B64,'Tasks'!$L$7:$L$246,"Yes")</x:f>
        <x:v>1</x:v>
      </x:c>
      <x:c r="Y64" s="17" t="n">
        <x:f>COUNTIFS('Tasks'!$C$7:$C$246,$A64,'Tasks'!$K$7:$K$246,$D64,'Tasks'!$F$7:$F$246,$B64,'Tasks'!$K$7:$K$246,"Yes")</x:f>
        <x:v>0</x:v>
      </x:c>
      <x:c r="Z64" s="17" t="n">
        <x:f>COUNTIFS('Tasks'!$C$7:$C$246,$A64,'Tasks'!$K$7:$K$246,$D64,'Tasks'!$F$7:$F$246,$B64,'Tasks'!$AA$7:$AA$246,"&gt;0")</x:f>
        <x:v>0</x:v>
      </x:c>
      <x:c r="AA64" s="17" t="n">
        <x:f>COUNTIFS('Tasks'!$C$7:$C$246,$A64,'Tasks'!$K$7:$K$246,$D64,'Tasks'!$F$7:$F$246,$B64,'Tasks'!$AA$7:$AA$246,"&lt;0")</x:f>
        <x:v>3</x:v>
      </x:c>
      <x:c r="AB64" s="19" t="n">
        <x:f>IF(E64=0,"N/A",V64/E64)</x:f>
        <x:v>8</x:v>
      </x:c>
      <x:c r="AC64" s="22" t="n">
        <x:f>IF(E64=0,"N/A",K64/E64)</x:f>
        <x:v>34.09986666666666</x:v>
      </x:c>
      <x:c r="AD64" s="19" t="n">
        <x:f>IF(E64=0,"N/A",P64/E64)</x:f>
        <x:v>-0.86</x:v>
      </x:c>
    </x:row>
    <x:row r="65" ht="23" customHeight="1">
      <x:c r="A65" s="17" t="str">
        <x:v>C002</x:v>
      </x:c>
      <x:c r="B65" s="17" t="str">
        <x:v>Clean audience data</x:v>
      </x:c>
      <x:c r="C65" s="17" t="str">
        <x:v>brief_changed</x:v>
      </x:c>
      <x:c r="D65" s="17" t="str">
        <x:v>Yes</x:v>
      </x:c>
      <x:c r="E65" s="17" t="n">
        <x:f>COUNTIFS('Tasks'!$C$7:$C$246,$A65,'Tasks'!$K$7:$K$246,$D65,'Tasks'!$F$7:$F$246,$B65)</x:f>
        <x:v>2</x:v>
      </x:c>
      <x:c r="F65" s="17" t="n">
        <x:f>SUMIFS('Tasks'!$O$7:$O$246,'Tasks'!$C$7:$C$246,$A65,'Tasks'!$K$7:$K$246,$D65,'Tasks'!$F$7:$F$246,$B65)</x:f>
        <x:v>788003</x:v>
      </x:c>
      <x:c r="G65" s="17" t="n">
        <x:f>SUMIFS('Tasks'!$P$7:$P$246,'Tasks'!$C$7:$C$246,$A65,'Tasks'!$K$7:$K$246,$D65,'Tasks'!$F$7:$F$246,$B65)</x:f>
        <x:v>315491</x:v>
      </x:c>
      <x:c r="H65" s="17" t="n">
        <x:f>SUMIFS('Tasks'!$Q$7:$Q$246,'Tasks'!$C$7:$C$246,$A65,'Tasks'!$K$7:$K$246,$D65,'Tasks'!$F$7:$F$246,$B65)</x:f>
        <x:v>1103494</x:v>
      </x:c>
      <x:c r="I65" s="22" t="n">
        <x:f>SUMIFS('Tasks'!$S$7:$S$246,'Tasks'!$C$7:$C$246,$A65,'Tasks'!$K$7:$K$246,$D65,'Tasks'!$F$7:$F$246,$B65)</x:f>
        <x:v>17.449820000000003</x:v>
      </x:c>
      <x:c r="J65" s="22" t="n">
        <x:f>SUMIFS('Tasks'!$T$7:$T$246,'Tasks'!$C$7:$C$246,$A65,'Tasks'!$K$7:$K$246,$D65,'Tasks'!$F$7:$F$246,$B65)</x:f>
        <x:v>23.231840000000002</x:v>
      </x:c>
      <x:c r="K65" s="22" t="n">
        <x:f>SUMIFS('Tasks'!$U$7:$U$246,'Tasks'!$C$7:$C$246,$A65,'Tasks'!$K$7:$K$246,$D65,'Tasks'!$F$7:$F$246,$B65)</x:f>
        <x:v>40.68166</x:v>
      </x:c>
      <x:c r="L65" s="17" t="n">
        <x:f>SUMIFS('Tasks'!$R$7:$R$246,'Tasks'!$C$7:$C$246,$A65,'Tasks'!$K$7:$K$246,$D65,'Tasks'!$F$7:$F$246,$B65)</x:f>
        <x:v>37</x:v>
      </x:c>
      <x:c r="M65" s="22" t="n">
        <x:f>IF(L65=0,"N/A",K65/L65)</x:f>
        <x:v>1.0995043243243243</x:v>
      </x:c>
      <x:c r="N65" s="19" t="n">
        <x:f>SUMIFS('Tasks'!$G$7:$G$246,'Tasks'!$C$7:$C$246,$A65,'Tasks'!$K$7:$K$246,$D65,'Tasks'!$F$7:$F$246,$B65)</x:f>
        <x:v>6.73</x:v>
      </x:c>
      <x:c r="O65" s="19" t="n">
        <x:f>SUMIFS('Tasks'!$H$7:$H$246,'Tasks'!$C$7:$C$246,$A65,'Tasks'!$K$7:$K$246,$D65,'Tasks'!$F$7:$F$246,$B65)</x:f>
        <x:v>6.71</x:v>
      </x:c>
      <x:c r="P65" s="19" t="n">
        <x:f>SUMIFS('Tasks'!$Y$7:$Y$246,'Tasks'!$C$7:$C$246,$A65,'Tasks'!$K$7:$K$246,$D65,'Tasks'!$F$7:$F$246,$B65)</x:f>
        <x:v>0.019999999999999796</x:v>
      </x:c>
      <x:c r="Q65" s="22" t="n">
        <x:f>SUMIFS('Tasks'!$Z$7:$Z$246,'Tasks'!$C$7:$C$246,$A65,'Tasks'!$K$7:$K$246,$D65,'Tasks'!$F$7:$F$246,$B65)</x:f>
        <x:v>1</x:v>
      </x:c>
      <x:c r="R65" s="22" t="n">
        <x:f>SUMIFS('Tasks'!$AA$7:$AA$246,'Tasks'!$C$7:$C$246,$A65,'Tasks'!$K$7:$K$246,$D65,'Tasks'!$F$7:$F$246,$B65)</x:f>
        <x:v>-39.681659999999994</x:v>
      </x:c>
      <x:c r="S65" s="31" t="n">
        <x:f>IF(K65=0,"N/A",R65/K65)</x:f>
        <x:v>-0.9754188988354947</x:v>
      </x:c>
      <x:c r="T65" s="19" t="n">
        <x:f>SUMIFS('Tasks'!$I$7:$I$246,'Tasks'!$C$7:$C$246,$A65,'Tasks'!$K$7:$K$246,$D65,'Tasks'!$F$7:$F$246,$B65)</x:f>
        <x:v>2.43</x:v>
      </x:c>
      <x:c r="U65" s="31" t="n">
        <x:f>IF(O65=0,"N/A",T65/O65)</x:f>
        <x:v>0.3621460506706409</x:v>
      </x:c>
      <x:c r="V65" s="17" t="n">
        <x:f>SUMIFS('Tasks'!$X$7:$X$246,'Tasks'!$C$7:$C$246,$A65,'Tasks'!$K$7:$K$246,$D65,'Tasks'!$F$7:$F$246,$B65)</x:f>
        <x:v>16</x:v>
      </x:c>
      <x:c r="W65" s="31" t="n">
        <x:f>IF(L65=0,"N/A",V65/L65)</x:f>
        <x:v>0.43243243243243246</x:v>
      </x:c>
      <x:c r="X65" s="17" t="n">
        <x:f>COUNTIFS('Tasks'!$C$7:$C$246,$A65,'Tasks'!$K$7:$K$246,$D65,'Tasks'!$F$7:$F$246,$B65,'Tasks'!$L$7:$L$246,"Yes")</x:f>
        <x:v>2</x:v>
      </x:c>
      <x:c r="Y65" s="17" t="n">
        <x:f>COUNTIFS('Tasks'!$C$7:$C$246,$A65,'Tasks'!$K$7:$K$246,$D65,'Tasks'!$F$7:$F$246,$B65,'Tasks'!$K$7:$K$246,"Yes")</x:f>
        <x:v>2</x:v>
      </x:c>
      <x:c r="Z65" s="17" t="n">
        <x:f>COUNTIFS('Tasks'!$C$7:$C$246,$A65,'Tasks'!$K$7:$K$246,$D65,'Tasks'!$F$7:$F$246,$B65,'Tasks'!$AA$7:$AA$246,"&gt;0")</x:f>
        <x:v>1</x:v>
      </x:c>
      <x:c r="AA65" s="17" t="n">
        <x:f>COUNTIFS('Tasks'!$C$7:$C$246,$A65,'Tasks'!$K$7:$K$246,$D65,'Tasks'!$F$7:$F$246,$B65,'Tasks'!$AA$7:$AA$246,"&lt;0")</x:f>
        <x:v>1</x:v>
      </x:c>
      <x:c r="AB65" s="19" t="n">
        <x:f>IF(E65=0,"N/A",V65/E65)</x:f>
        <x:v>8</x:v>
      </x:c>
      <x:c r="AC65" s="22" t="n">
        <x:f>IF(E65=0,"N/A",K65/E65)</x:f>
        <x:v>20.34083</x:v>
      </x:c>
      <x:c r="AD65" s="19" t="n">
        <x:f>IF(E65=0,"N/A",P65/E65)</x:f>
        <x:v>0.009999999999999898</x:v>
      </x:c>
    </x:row>
    <x:row r="66" ht="23" customHeight="1">
      <x:c r="A66" s="17" t="str">
        <x:v>C002</x:v>
      </x:c>
      <x:c r="B66" s="17" t="str">
        <x:v>Develop concept brief</x:v>
      </x:c>
      <x:c r="C66" s="17" t="str">
        <x:v>prompt_template_used</x:v>
      </x:c>
      <x:c r="D66" s="17" t="str">
        <x:v>No</x:v>
      </x:c>
      <x:c r="E66" s="17" t="n">
        <x:f>COUNTIFS('Tasks'!$C$7:$C$246,$A66,'Tasks'!$L$7:$L$246,$D66,'Tasks'!$F$7:$F$246,$B66)</x:f>
        <x:v>3</x:v>
      </x:c>
      <x:c r="F66" s="17" t="n">
        <x:f>SUMIFS('Tasks'!$O$7:$O$246,'Tasks'!$C$7:$C$246,$A66,'Tasks'!$L$7:$L$246,$D66,'Tasks'!$F$7:$F$246,$B66)</x:f>
        <x:v>842882</x:v>
      </x:c>
      <x:c r="G66" s="17" t="n">
        <x:f>SUMIFS('Tasks'!$P$7:$P$246,'Tasks'!$C$7:$C$246,$A66,'Tasks'!$L$7:$L$246,$D66,'Tasks'!$F$7:$F$246,$B66)</x:f>
        <x:v>635187</x:v>
      </x:c>
      <x:c r="H66" s="17" t="n">
        <x:f>SUMIFS('Tasks'!$Q$7:$Q$246,'Tasks'!$C$7:$C$246,$A66,'Tasks'!$L$7:$L$246,$D66,'Tasks'!$F$7:$F$246,$B66)</x:f>
        <x:v>1478069</x:v>
      </x:c>
      <x:c r="I66" s="22" t="n">
        <x:f>SUMIFS('Tasks'!$S$7:$S$246,'Tasks'!$C$7:$C$246,$A66,'Tasks'!$L$7:$L$246,$D66,'Tasks'!$F$7:$F$246,$B66)</x:f>
        <x:v>33.71528</x:v>
      </x:c>
      <x:c r="J66" s="22" t="n">
        <x:f>SUMIFS('Tasks'!$T$7:$T$246,'Tasks'!$C$7:$C$246,$A66,'Tasks'!$L$7:$L$246,$D66,'Tasks'!$F$7:$F$246,$B66)</x:f>
        <x:v>63.518699999999995</x:v>
      </x:c>
      <x:c r="K66" s="22" t="n">
        <x:f>SUMIFS('Tasks'!$U$7:$U$246,'Tasks'!$C$7:$C$246,$A66,'Tasks'!$L$7:$L$246,$D66,'Tasks'!$F$7:$F$246,$B66)</x:f>
        <x:v>97.23397999999999</x:v>
      </x:c>
      <x:c r="L66" s="17" t="n">
        <x:f>SUMIFS('Tasks'!$R$7:$R$246,'Tasks'!$C$7:$C$246,$A66,'Tasks'!$L$7:$L$246,$D66,'Tasks'!$F$7:$F$246,$B66)</x:f>
        <x:v>60</x:v>
      </x:c>
      <x:c r="M66" s="22" t="n">
        <x:f>IF(L66=0,"N/A",K66/L66)</x:f>
        <x:v>1.620566333333333</x:v>
      </x:c>
      <x:c r="N66" s="19" t="n">
        <x:f>SUMIFS('Tasks'!$G$7:$G$246,'Tasks'!$C$7:$C$246,$A66,'Tasks'!$L$7:$L$246,$D66,'Tasks'!$F$7:$F$246,$B66)</x:f>
        <x:v>11.399999999999999</x:v>
      </x:c>
      <x:c r="O66" s="19" t="n">
        <x:f>SUMIFS('Tasks'!$H$7:$H$246,'Tasks'!$C$7:$C$246,$A66,'Tasks'!$L$7:$L$246,$D66,'Tasks'!$F$7:$F$246,$B66)</x:f>
        <x:v>12.68</x:v>
      </x:c>
      <x:c r="P66" s="19" t="n">
        <x:f>SUMIFS('Tasks'!$Y$7:$Y$246,'Tasks'!$C$7:$C$246,$A66,'Tasks'!$L$7:$L$246,$D66,'Tasks'!$F$7:$F$246,$B66)</x:f>
        <x:v>-1.2800000000000002</x:v>
      </x:c>
      <x:c r="Q66" s="22" t="n">
        <x:f>SUMIFS('Tasks'!$Z$7:$Z$246,'Tasks'!$C$7:$C$246,$A66,'Tasks'!$L$7:$L$246,$D66,'Tasks'!$F$7:$F$246,$B66)</x:f>
        <x:v>-64.00000000000001</x:v>
      </x:c>
      <x:c r="R66" s="22" t="n">
        <x:f>SUMIFS('Tasks'!$AA$7:$AA$246,'Tasks'!$C$7:$C$246,$A66,'Tasks'!$L$7:$L$246,$D66,'Tasks'!$F$7:$F$246,$B66)</x:f>
        <x:v>-161.23397999999997</x:v>
      </x:c>
      <x:c r="S66" s="31" t="n">
        <x:f>IF(K66=0,"N/A",R66/K66)</x:f>
        <x:v>-1.6582061127190308</x:v>
      </x:c>
      <x:c r="T66" s="19" t="n">
        <x:f>SUMIFS('Tasks'!$I$7:$I$246,'Tasks'!$C$7:$C$246,$A66,'Tasks'!$L$7:$L$246,$D66,'Tasks'!$F$7:$F$246,$B66)</x:f>
        <x:v>5.3100000000000005</x:v>
      </x:c>
      <x:c r="U66" s="31" t="n">
        <x:f>IF(O66=0,"N/A",T66/O66)</x:f>
        <x:v>0.41876971608832814</x:v>
      </x:c>
      <x:c r="V66" s="17" t="n">
        <x:f>SUMIFS('Tasks'!$X$7:$X$246,'Tasks'!$C$7:$C$246,$A66,'Tasks'!$L$7:$L$246,$D66,'Tasks'!$F$7:$F$246,$B66)</x:f>
        <x:v>23</x:v>
      </x:c>
      <x:c r="W66" s="31" t="n">
        <x:f>IF(L66=0,"N/A",V66/L66)</x:f>
        <x:v>0.38333333333333336</x:v>
      </x:c>
      <x:c r="X66" s="17" t="n">
        <x:f>COUNTIFS('Tasks'!$C$7:$C$246,$A66,'Tasks'!$L$7:$L$246,$D66,'Tasks'!$F$7:$F$246,$B66,'Tasks'!$L$7:$L$246,"Yes")</x:f>
        <x:v>0</x:v>
      </x:c>
      <x:c r="Y66" s="17" t="n">
        <x:f>COUNTIFS('Tasks'!$C$7:$C$246,$A66,'Tasks'!$L$7:$L$246,$D66,'Tasks'!$F$7:$F$246,$B66,'Tasks'!$K$7:$K$246,"Yes")</x:f>
        <x:v>2</x:v>
      </x:c>
      <x:c r="Z66" s="17" t="n">
        <x:f>COUNTIFS('Tasks'!$C$7:$C$246,$A66,'Tasks'!$L$7:$L$246,$D66,'Tasks'!$F$7:$F$246,$B66,'Tasks'!$AA$7:$AA$246,"&gt;0")</x:f>
        <x:v>1</x:v>
      </x:c>
      <x:c r="AA66" s="17" t="n">
        <x:f>COUNTIFS('Tasks'!$C$7:$C$246,$A66,'Tasks'!$L$7:$L$246,$D66,'Tasks'!$F$7:$F$246,$B66,'Tasks'!$AA$7:$AA$246,"&lt;0")</x:f>
        <x:v>2</x:v>
      </x:c>
      <x:c r="AB66" s="19" t="n">
        <x:f>IF(E66=0,"N/A",V66/E66)</x:f>
        <x:v>7.666666666666667</x:v>
      </x:c>
      <x:c r="AC66" s="22" t="n">
        <x:f>IF(E66=0,"N/A",K66/E66)</x:f>
        <x:v>32.41132666666666</x:v>
      </x:c>
      <x:c r="AD66" s="19" t="n">
        <x:f>IF(E66=0,"N/A",P66/E66)</x:f>
        <x:v>-0.42666666666666675</x:v>
      </x:c>
    </x:row>
    <x:row r="67" ht="23" customHeight="1">
      <x:c r="A67" s="17" t="str">
        <x:v>C002</x:v>
      </x:c>
      <x:c r="B67" s="17" t="str">
        <x:v>Develop concept brief</x:v>
      </x:c>
      <x:c r="C67" s="17" t="str">
        <x:v>prompt_template_used</x:v>
      </x:c>
      <x:c r="D67" s="17" t="str">
        <x:v>Yes</x:v>
      </x:c>
      <x:c r="E67" s="17" t="n">
        <x:f>COUNTIFS('Tasks'!$C$7:$C$246,$A67,'Tasks'!$L$7:$L$246,$D67,'Tasks'!$F$7:$F$246,$B67)</x:f>
        <x:v>2</x:v>
      </x:c>
      <x:c r="F67" s="17" t="n">
        <x:f>SUMIFS('Tasks'!$O$7:$O$246,'Tasks'!$C$7:$C$246,$A67,'Tasks'!$L$7:$L$246,$D67,'Tasks'!$F$7:$F$246,$B67)</x:f>
        <x:v>1311755</x:v>
      </x:c>
      <x:c r="G67" s="17" t="n">
        <x:f>SUMIFS('Tasks'!$P$7:$P$246,'Tasks'!$C$7:$C$246,$A67,'Tasks'!$L$7:$L$246,$D67,'Tasks'!$F$7:$F$246,$B67)</x:f>
        <x:v>281036</x:v>
      </x:c>
      <x:c r="H67" s="17" t="n">
        <x:f>SUMIFS('Tasks'!$Q$7:$Q$246,'Tasks'!$C$7:$C$246,$A67,'Tasks'!$L$7:$L$246,$D67,'Tasks'!$F$7:$F$246,$B67)</x:f>
        <x:v>1592791</x:v>
      </x:c>
      <x:c r="I67" s="22" t="n">
        <x:f>SUMIFS('Tasks'!$S$7:$S$246,'Tasks'!$C$7:$C$246,$A67,'Tasks'!$L$7:$L$246,$D67,'Tasks'!$F$7:$F$246,$B67)</x:f>
        <x:v>13.117549999999998</x:v>
      </x:c>
      <x:c r="J67" s="22" t="n">
        <x:f>SUMIFS('Tasks'!$T$7:$T$246,'Tasks'!$C$7:$C$246,$A67,'Tasks'!$L$7:$L$246,$D67,'Tasks'!$F$7:$F$246,$B67)</x:f>
        <x:v>8.43108</x:v>
      </x:c>
      <x:c r="K67" s="22" t="n">
        <x:f>SUMIFS('Tasks'!$U$7:$U$246,'Tasks'!$C$7:$C$246,$A67,'Tasks'!$L$7:$L$246,$D67,'Tasks'!$F$7:$F$246,$B67)</x:f>
        <x:v>21.54863</x:v>
      </x:c>
      <x:c r="L67" s="17" t="n">
        <x:f>SUMIFS('Tasks'!$R$7:$R$246,'Tasks'!$C$7:$C$246,$A67,'Tasks'!$L$7:$L$246,$D67,'Tasks'!$F$7:$F$246,$B67)</x:f>
        <x:v>41</x:v>
      </x:c>
      <x:c r="M67" s="22" t="n">
        <x:f>IF(L67=0,"N/A",K67/L67)</x:f>
        <x:v>0.5255763414634146</x:v>
      </x:c>
      <x:c r="N67" s="19" t="n">
        <x:f>SUMIFS('Tasks'!$G$7:$G$246,'Tasks'!$C$7:$C$246,$A67,'Tasks'!$L$7:$L$246,$D67,'Tasks'!$F$7:$F$246,$B67)</x:f>
        <x:v>6.22</x:v>
      </x:c>
      <x:c r="O67" s="19" t="n">
        <x:f>SUMIFS('Tasks'!$H$7:$H$246,'Tasks'!$C$7:$C$246,$A67,'Tasks'!$L$7:$L$246,$D67,'Tasks'!$F$7:$F$246,$B67)</x:f>
        <x:v>7.91</x:v>
      </x:c>
      <x:c r="P67" s="19" t="n">
        <x:f>SUMIFS('Tasks'!$Y$7:$Y$246,'Tasks'!$C$7:$C$246,$A67,'Tasks'!$L$7:$L$246,$D67,'Tasks'!$F$7:$F$246,$B67)</x:f>
        <x:v>-1.6900000000000004</x:v>
      </x:c>
      <x:c r="Q67" s="22" t="n">
        <x:f>SUMIFS('Tasks'!$Z$7:$Z$246,'Tasks'!$C$7:$C$246,$A67,'Tasks'!$L$7:$L$246,$D67,'Tasks'!$F$7:$F$246,$B67)</x:f>
        <x:v>-84.50000000000001</x:v>
      </x:c>
      <x:c r="R67" s="22" t="n">
        <x:f>SUMIFS('Tasks'!$AA$7:$AA$246,'Tasks'!$C$7:$C$246,$A67,'Tasks'!$L$7:$L$246,$D67,'Tasks'!$F$7:$F$246,$B67)</x:f>
        <x:v>-106.04863000000002</x:v>
      </x:c>
      <x:c r="S67" s="31" t="n">
        <x:f>IF(K67=0,"N/A",R67/K67)</x:f>
        <x:v>-4.921362982240635</x:v>
      </x:c>
      <x:c r="T67" s="19" t="n">
        <x:f>SUMIFS('Tasks'!$I$7:$I$246,'Tasks'!$C$7:$C$246,$A67,'Tasks'!$L$7:$L$246,$D67,'Tasks'!$F$7:$F$246,$B67)</x:f>
        <x:v>1.4500000000000002</x:v>
      </x:c>
      <x:c r="U67" s="31" t="n">
        <x:f>IF(O67=0,"N/A",T67/O67)</x:f>
        <x:v>0.18331226295828068</x:v>
      </x:c>
      <x:c r="V67" s="17" t="n">
        <x:f>SUMIFS('Tasks'!$X$7:$X$246,'Tasks'!$C$7:$C$246,$A67,'Tasks'!$L$7:$L$246,$D67,'Tasks'!$F$7:$F$246,$B67)</x:f>
        <x:v>20</x:v>
      </x:c>
      <x:c r="W67" s="31" t="n">
        <x:f>IF(L67=0,"N/A",V67/L67)</x:f>
        <x:v>0.4878048780487805</x:v>
      </x:c>
      <x:c r="X67" s="17" t="n">
        <x:f>COUNTIFS('Tasks'!$C$7:$C$246,$A67,'Tasks'!$L$7:$L$246,$D67,'Tasks'!$F$7:$F$246,$B67,'Tasks'!$L$7:$L$246,"Yes")</x:f>
        <x:v>2</x:v>
      </x:c>
      <x:c r="Y67" s="17" t="n">
        <x:f>COUNTIFS('Tasks'!$C$7:$C$246,$A67,'Tasks'!$L$7:$L$246,$D67,'Tasks'!$F$7:$F$246,$B67,'Tasks'!$K$7:$K$246,"Yes")</x:f>
        <x:v>0</x:v>
      </x:c>
      <x:c r="Z67" s="17" t="n">
        <x:f>COUNTIFS('Tasks'!$C$7:$C$246,$A67,'Tasks'!$L$7:$L$246,$D67,'Tasks'!$F$7:$F$246,$B67,'Tasks'!$AA$7:$AA$246,"&gt;0")</x:f>
        <x:v>0</x:v>
      </x:c>
      <x:c r="AA67" s="17" t="n">
        <x:f>COUNTIFS('Tasks'!$C$7:$C$246,$A67,'Tasks'!$L$7:$L$246,$D67,'Tasks'!$F$7:$F$246,$B67,'Tasks'!$AA$7:$AA$246,"&lt;0")</x:f>
        <x:v>2</x:v>
      </x:c>
      <x:c r="AB67" s="19" t="n">
        <x:f>IF(E67=0,"N/A",V67/E67)</x:f>
        <x:v>10</x:v>
      </x:c>
      <x:c r="AC67" s="22" t="n">
        <x:f>IF(E67=0,"N/A",K67/E67)</x:f>
        <x:v>10.774315</x:v>
      </x:c>
      <x:c r="AD67" s="19" t="n">
        <x:f>IF(E67=0,"N/A",P67/E67)</x:f>
        <x:v>-0.8450000000000002</x:v>
      </x:c>
    </x:row>
    <x:row r="68" ht="23" customHeight="1">
      <x:c r="A68" s="17" t="str">
        <x:v>C002</x:v>
      </x:c>
      <x:c r="B68" s="17" t="str">
        <x:v>Develop concept brief</x:v>
      </x:c>
      <x:c r="C68" s="17" t="str">
        <x:v>brief_changed</x:v>
      </x:c>
      <x:c r="D68" s="17" t="str">
        <x:v>No</x:v>
      </x:c>
      <x:c r="E68" s="17" t="n">
        <x:f>COUNTIFS('Tasks'!$C$7:$C$246,$A68,'Tasks'!$K$7:$K$246,$D68,'Tasks'!$F$7:$F$246,$B68)</x:f>
        <x:v>3</x:v>
      </x:c>
      <x:c r="F68" s="17" t="n">
        <x:f>SUMIFS('Tasks'!$O$7:$O$246,'Tasks'!$C$7:$C$246,$A68,'Tasks'!$K$7:$K$246,$D68,'Tasks'!$F$7:$F$246,$B68)</x:f>
        <x:v>1647366</x:v>
      </x:c>
      <x:c r="G68" s="17" t="n">
        <x:f>SUMIFS('Tasks'!$P$7:$P$246,'Tasks'!$C$7:$C$246,$A68,'Tasks'!$K$7:$K$246,$D68,'Tasks'!$F$7:$F$246,$B68)</x:f>
        <x:v>573171</x:v>
      </x:c>
      <x:c r="H68" s="17" t="n">
        <x:f>SUMIFS('Tasks'!$Q$7:$Q$246,'Tasks'!$C$7:$C$246,$A68,'Tasks'!$K$7:$K$246,$D68,'Tasks'!$F$7:$F$246,$B68)</x:f>
        <x:v>2220537</x:v>
      </x:c>
      <x:c r="I68" s="22" t="n">
        <x:f>SUMIFS('Tasks'!$S$7:$S$246,'Tasks'!$C$7:$C$246,$A68,'Tasks'!$K$7:$K$246,$D68,'Tasks'!$F$7:$F$246,$B68)</x:f>
        <x:v>26.54199</x:v>
      </x:c>
      <x:c r="J68" s="22" t="n">
        <x:f>SUMIFS('Tasks'!$T$7:$T$246,'Tasks'!$C$7:$C$246,$A68,'Tasks'!$K$7:$K$246,$D68,'Tasks'!$F$7:$F$246,$B68)</x:f>
        <x:v>37.64457999999999</x:v>
      </x:c>
      <x:c r="K68" s="22" t="n">
        <x:f>SUMIFS('Tasks'!$U$7:$U$246,'Tasks'!$C$7:$C$246,$A68,'Tasks'!$K$7:$K$246,$D68,'Tasks'!$F$7:$F$246,$B68)</x:f>
        <x:v>64.18657</x:v>
      </x:c>
      <x:c r="L68" s="17" t="n">
        <x:f>SUMIFS('Tasks'!$R$7:$R$246,'Tasks'!$C$7:$C$246,$A68,'Tasks'!$K$7:$K$246,$D68,'Tasks'!$F$7:$F$246,$B68)</x:f>
        <x:v>68</x:v>
      </x:c>
      <x:c r="M68" s="22" t="n">
        <x:f>IF(L68=0,"N/A",K68/L68)</x:f>
        <x:v>0.9439201470588235</x:v>
      </x:c>
      <x:c r="N68" s="19" t="n">
        <x:f>SUMIFS('Tasks'!$G$7:$G$246,'Tasks'!$C$7:$C$246,$A68,'Tasks'!$K$7:$K$246,$D68,'Tasks'!$F$7:$F$246,$B68)</x:f>
        <x:v>10.649999999999999</x:v>
      </x:c>
      <x:c r="O68" s="19" t="n">
        <x:f>SUMIFS('Tasks'!$H$7:$H$246,'Tasks'!$C$7:$C$246,$A68,'Tasks'!$K$7:$K$246,$D68,'Tasks'!$F$7:$F$246,$B68)</x:f>
        <x:v>14.73</x:v>
      </x:c>
      <x:c r="P68" s="19" t="n">
        <x:f>SUMIFS('Tasks'!$Y$7:$Y$246,'Tasks'!$C$7:$C$246,$A68,'Tasks'!$K$7:$K$246,$D68,'Tasks'!$F$7:$F$246,$B68)</x:f>
        <x:v>-4.080000000000001</x:v>
      </x:c>
      <x:c r="Q68" s="22" t="n">
        <x:f>SUMIFS('Tasks'!$Z$7:$Z$246,'Tasks'!$C$7:$C$246,$A68,'Tasks'!$K$7:$K$246,$D68,'Tasks'!$F$7:$F$246,$B68)</x:f>
        <x:v>-204.00000000000003</x:v>
      </x:c>
      <x:c r="R68" s="22" t="n">
        <x:f>SUMIFS('Tasks'!$AA$7:$AA$246,'Tasks'!$C$7:$C$246,$A68,'Tasks'!$K$7:$K$246,$D68,'Tasks'!$F$7:$F$246,$B68)</x:f>
        <x:v>-268.18657</x:v>
      </x:c>
      <x:c r="S68" s="31" t="n">
        <x:f>IF(K68=0,"N/A",R68/K68)</x:f>
        <x:v>-4.178234948525836</x:v>
      </x:c>
      <x:c r="T68" s="19" t="n">
        <x:f>SUMIFS('Tasks'!$I$7:$I$246,'Tasks'!$C$7:$C$246,$A68,'Tasks'!$K$7:$K$246,$D68,'Tasks'!$F$7:$F$246,$B68)</x:f>
        <x:v>4.69</x:v>
      </x:c>
      <x:c r="U68" s="31" t="n">
        <x:f>IF(O68=0,"N/A",T68/O68)</x:f>
        <x:v>0.31839782756279705</x:v>
      </x:c>
      <x:c r="V68" s="17" t="n">
        <x:f>SUMIFS('Tasks'!$X$7:$X$246,'Tasks'!$C$7:$C$246,$A68,'Tasks'!$K$7:$K$246,$D68,'Tasks'!$F$7:$F$246,$B68)</x:f>
        <x:v>31</x:v>
      </x:c>
      <x:c r="W68" s="31" t="n">
        <x:f>IF(L68=0,"N/A",V68/L68)</x:f>
        <x:v>0.45588235294117646</x:v>
      </x:c>
      <x:c r="X68" s="17" t="n">
        <x:f>COUNTIFS('Tasks'!$C$7:$C$246,$A68,'Tasks'!$K$7:$K$246,$D68,'Tasks'!$F$7:$F$246,$B68,'Tasks'!$L$7:$L$246,"Yes")</x:f>
        <x:v>2</x:v>
      </x:c>
      <x:c r="Y68" s="17" t="n">
        <x:f>COUNTIFS('Tasks'!$C$7:$C$246,$A68,'Tasks'!$K$7:$K$246,$D68,'Tasks'!$F$7:$F$246,$B68,'Tasks'!$K$7:$K$246,"Yes")</x:f>
        <x:v>0</x:v>
      </x:c>
      <x:c r="Z68" s="17" t="n">
        <x:f>COUNTIFS('Tasks'!$C$7:$C$246,$A68,'Tasks'!$K$7:$K$246,$D68,'Tasks'!$F$7:$F$246,$B68,'Tasks'!$AA$7:$AA$246,"&gt;0")</x:f>
        <x:v>0</x:v>
      </x:c>
      <x:c r="AA68" s="17" t="n">
        <x:f>COUNTIFS('Tasks'!$C$7:$C$246,$A68,'Tasks'!$K$7:$K$246,$D68,'Tasks'!$F$7:$F$246,$B68,'Tasks'!$AA$7:$AA$246,"&lt;0")</x:f>
        <x:v>3</x:v>
      </x:c>
      <x:c r="AB68" s="19" t="n">
        <x:f>IF(E68=0,"N/A",V68/E68)</x:f>
        <x:v>10.333333333333334</x:v>
      </x:c>
      <x:c r="AC68" s="22" t="n">
        <x:f>IF(E68=0,"N/A",K68/E68)</x:f>
        <x:v>21.395523333333333</x:v>
      </x:c>
      <x:c r="AD68" s="19" t="n">
        <x:f>IF(E68=0,"N/A",P68/E68)</x:f>
        <x:v>-1.3600000000000003</x:v>
      </x:c>
    </x:row>
    <x:row r="69" ht="23" customHeight="1">
      <x:c r="A69" s="17" t="str">
        <x:v>C002</x:v>
      </x:c>
      <x:c r="B69" s="17" t="str">
        <x:v>Develop concept brief</x:v>
      </x:c>
      <x:c r="C69" s="17" t="str">
        <x:v>brief_changed</x:v>
      </x:c>
      <x:c r="D69" s="17" t="str">
        <x:v>Yes</x:v>
      </x:c>
      <x:c r="E69" s="17" t="n">
        <x:f>COUNTIFS('Tasks'!$C$7:$C$246,$A69,'Tasks'!$K$7:$K$246,$D69,'Tasks'!$F$7:$F$246,$B69)</x:f>
        <x:v>2</x:v>
      </x:c>
      <x:c r="F69" s="17" t="n">
        <x:f>SUMIFS('Tasks'!$O$7:$O$246,'Tasks'!$C$7:$C$246,$A69,'Tasks'!$K$7:$K$246,$D69,'Tasks'!$F$7:$F$246,$B69)</x:f>
        <x:v>507271</x:v>
      </x:c>
      <x:c r="G69" s="17" t="n">
        <x:f>SUMIFS('Tasks'!$P$7:$P$246,'Tasks'!$C$7:$C$246,$A69,'Tasks'!$K$7:$K$246,$D69,'Tasks'!$F$7:$F$246,$B69)</x:f>
        <x:v>343052</x:v>
      </x:c>
      <x:c r="H69" s="17" t="n">
        <x:f>SUMIFS('Tasks'!$Q$7:$Q$246,'Tasks'!$C$7:$C$246,$A69,'Tasks'!$K$7:$K$246,$D69,'Tasks'!$F$7:$F$246,$B69)</x:f>
        <x:v>850323</x:v>
      </x:c>
      <x:c r="I69" s="22" t="n">
        <x:f>SUMIFS('Tasks'!$S$7:$S$246,'Tasks'!$C$7:$C$246,$A69,'Tasks'!$K$7:$K$246,$D69,'Tasks'!$F$7:$F$246,$B69)</x:f>
        <x:v>20.290840000000003</x:v>
      </x:c>
      <x:c r="J69" s="22" t="n">
        <x:f>SUMIFS('Tasks'!$T$7:$T$246,'Tasks'!$C$7:$C$246,$A69,'Tasks'!$K$7:$K$246,$D69,'Tasks'!$F$7:$F$246,$B69)</x:f>
        <x:v>34.305200000000006</x:v>
      </x:c>
      <x:c r="K69" s="22" t="n">
        <x:f>SUMIFS('Tasks'!$U$7:$U$246,'Tasks'!$C$7:$C$246,$A69,'Tasks'!$K$7:$K$246,$D69,'Tasks'!$F$7:$F$246,$B69)</x:f>
        <x:v>54.59603999999999</x:v>
      </x:c>
      <x:c r="L69" s="17" t="n">
        <x:f>SUMIFS('Tasks'!$R$7:$R$246,'Tasks'!$C$7:$C$246,$A69,'Tasks'!$K$7:$K$246,$D69,'Tasks'!$F$7:$F$246,$B69)</x:f>
        <x:v>33</x:v>
      </x:c>
      <x:c r="M69" s="22" t="n">
        <x:f>IF(L69=0,"N/A",K69/L69)</x:f>
        <x:v>1.6544254545454542</x:v>
      </x:c>
      <x:c r="N69" s="19" t="n">
        <x:f>SUMIFS('Tasks'!$G$7:$G$246,'Tasks'!$C$7:$C$246,$A69,'Tasks'!$K$7:$K$246,$D69,'Tasks'!$F$7:$F$246,$B69)</x:f>
        <x:v>6.970000000000001</x:v>
      </x:c>
      <x:c r="O69" s="19" t="n">
        <x:f>SUMIFS('Tasks'!$H$7:$H$246,'Tasks'!$C$7:$C$246,$A69,'Tasks'!$K$7:$K$246,$D69,'Tasks'!$F$7:$F$246,$B69)</x:f>
        <x:v>5.859999999999999</x:v>
      </x:c>
      <x:c r="P69" s="19" t="n">
        <x:f>SUMIFS('Tasks'!$Y$7:$Y$246,'Tasks'!$C$7:$C$246,$A69,'Tasks'!$K$7:$K$246,$D69,'Tasks'!$F$7:$F$246,$B69)</x:f>
        <x:v>1.1100000000000003</x:v>
      </x:c>
      <x:c r="Q69" s="22" t="n">
        <x:f>SUMIFS('Tasks'!$Z$7:$Z$246,'Tasks'!$C$7:$C$246,$A69,'Tasks'!$K$7:$K$246,$D69,'Tasks'!$F$7:$F$246,$B69)</x:f>
        <x:v>55.500000000000014</x:v>
      </x:c>
      <x:c r="R69" s="22" t="n">
        <x:f>SUMIFS('Tasks'!$AA$7:$AA$246,'Tasks'!$C$7:$C$246,$A69,'Tasks'!$K$7:$K$246,$D69,'Tasks'!$F$7:$F$246,$B69)</x:f>
        <x:v>0.9039600000000263</x:v>
      </x:c>
      <x:c r="S69" s="31" t="n">
        <x:f>IF(K69=0,"N/A",R69/K69)</x:f>
        <x:v>0.016557244811162615</x:v>
      </x:c>
      <x:c r="T69" s="19" t="n">
        <x:f>SUMIFS('Tasks'!$I$7:$I$246,'Tasks'!$C$7:$C$246,$A69,'Tasks'!$K$7:$K$246,$D69,'Tasks'!$F$7:$F$246,$B69)</x:f>
        <x:v>2.0700000000000003</x:v>
      </x:c>
      <x:c r="U69" s="31" t="n">
        <x:f>IF(O69=0,"N/A",T69/O69)</x:f>
        <x:v>0.3532423208191127</x:v>
      </x:c>
      <x:c r="V69" s="17" t="n">
        <x:f>SUMIFS('Tasks'!$X$7:$X$246,'Tasks'!$C$7:$C$246,$A69,'Tasks'!$K$7:$K$246,$D69,'Tasks'!$F$7:$F$246,$B69)</x:f>
        <x:v>12</x:v>
      </x:c>
      <x:c r="W69" s="31" t="n">
        <x:f>IF(L69=0,"N/A",V69/L69)</x:f>
        <x:v>0.36363636363636365</x:v>
      </x:c>
      <x:c r="X69" s="17" t="n">
        <x:f>COUNTIFS('Tasks'!$C$7:$C$246,$A69,'Tasks'!$K$7:$K$246,$D69,'Tasks'!$F$7:$F$246,$B69,'Tasks'!$L$7:$L$246,"Yes")</x:f>
        <x:v>0</x:v>
      </x:c>
      <x:c r="Y69" s="17" t="n">
        <x:f>COUNTIFS('Tasks'!$C$7:$C$246,$A69,'Tasks'!$K$7:$K$246,$D69,'Tasks'!$F$7:$F$246,$B69,'Tasks'!$K$7:$K$246,"Yes")</x:f>
        <x:v>2</x:v>
      </x:c>
      <x:c r="Z69" s="17" t="n">
        <x:f>COUNTIFS('Tasks'!$C$7:$C$246,$A69,'Tasks'!$K$7:$K$246,$D69,'Tasks'!$F$7:$F$246,$B69,'Tasks'!$AA$7:$AA$246,"&gt;0")</x:f>
        <x:v>1</x:v>
      </x:c>
      <x:c r="AA69" s="17" t="n">
        <x:f>COUNTIFS('Tasks'!$C$7:$C$246,$A69,'Tasks'!$K$7:$K$246,$D69,'Tasks'!$F$7:$F$246,$B69,'Tasks'!$AA$7:$AA$246,"&lt;0")</x:f>
        <x:v>1</x:v>
      </x:c>
      <x:c r="AB69" s="19" t="n">
        <x:f>IF(E69=0,"N/A",V69/E69)</x:f>
        <x:v>6</x:v>
      </x:c>
      <x:c r="AC69" s="22" t="n">
        <x:f>IF(E69=0,"N/A",K69/E69)</x:f>
        <x:v>27.298019999999994</x:v>
      </x:c>
      <x:c r="AD69" s="19" t="n">
        <x:f>IF(E69=0,"N/A",P69/E69)</x:f>
        <x:v>0.5550000000000002</x:v>
      </x:c>
    </x:row>
    <x:row r="70" ht="23" customHeight="1">
      <x:c r="A70" s="17" t="str">
        <x:v>C002</x:v>
      </x:c>
      <x:c r="B70" s="17" t="str">
        <x:v>Draft email sequence</x:v>
      </x:c>
      <x:c r="C70" s="17" t="str">
        <x:v>prompt_template_used</x:v>
      </x:c>
      <x:c r="D70" s="17" t="str">
        <x:v>No</x:v>
      </x:c>
      <x:c r="E70" s="17" t="n">
        <x:f>COUNTIFS('Tasks'!$C$7:$C$246,$A70,'Tasks'!$L$7:$L$246,$D70,'Tasks'!$F$7:$F$246,$B70)</x:f>
        <x:v>2</x:v>
      </x:c>
      <x:c r="F70" s="17" t="n">
        <x:f>SUMIFS('Tasks'!$O$7:$O$246,'Tasks'!$C$7:$C$246,$A70,'Tasks'!$L$7:$L$246,$D70,'Tasks'!$F$7:$F$246,$B70)</x:f>
        <x:v>1321301</x:v>
      </x:c>
      <x:c r="G70" s="17" t="n">
        <x:f>SUMIFS('Tasks'!$P$7:$P$246,'Tasks'!$C$7:$C$246,$A70,'Tasks'!$L$7:$L$246,$D70,'Tasks'!$F$7:$F$246,$B70)</x:f>
        <x:v>507480</x:v>
      </x:c>
      <x:c r="H70" s="17" t="n">
        <x:f>SUMIFS('Tasks'!$Q$7:$Q$246,'Tasks'!$C$7:$C$246,$A70,'Tasks'!$L$7:$L$246,$D70,'Tasks'!$F$7:$F$246,$B70)</x:f>
        <x:v>1828781</x:v>
      </x:c>
      <x:c r="I70" s="22" t="n">
        <x:f>SUMIFS('Tasks'!$S$7:$S$246,'Tasks'!$C$7:$C$246,$A70,'Tasks'!$L$7:$L$246,$D70,'Tasks'!$F$7:$F$246,$B70)</x:f>
        <x:v>25.890199999999997</x:v>
      </x:c>
      <x:c r="J70" s="22" t="n">
        <x:f>SUMIFS('Tasks'!$T$7:$T$246,'Tasks'!$C$7:$C$246,$A70,'Tasks'!$L$7:$L$246,$D70,'Tasks'!$F$7:$F$246,$B70)</x:f>
        <x:v>33.69208</x:v>
      </x:c>
      <x:c r="K70" s="22" t="n">
        <x:f>SUMIFS('Tasks'!$U$7:$U$246,'Tasks'!$C$7:$C$246,$A70,'Tasks'!$L$7:$L$246,$D70,'Tasks'!$F$7:$F$246,$B70)</x:f>
        <x:v>59.58227999999999</x:v>
      </x:c>
      <x:c r="L70" s="17" t="n">
        <x:f>SUMIFS('Tasks'!$R$7:$R$246,'Tasks'!$C$7:$C$246,$A70,'Tasks'!$L$7:$L$246,$D70,'Tasks'!$F$7:$F$246,$B70)</x:f>
        <x:v>54</x:v>
      </x:c>
      <x:c r="M70" s="22" t="n">
        <x:f>IF(L70=0,"N/A",K70/L70)</x:f>
        <x:v>1.1033755555555553</x:v>
      </x:c>
      <x:c r="N70" s="19" t="n">
        <x:f>SUMIFS('Tasks'!$G$7:$G$246,'Tasks'!$C$7:$C$246,$A70,'Tasks'!$L$7:$L$246,$D70,'Tasks'!$F$7:$F$246,$B70)</x:f>
        <x:v>5.8100000000000005</x:v>
      </x:c>
      <x:c r="O70" s="19" t="n">
        <x:f>SUMIFS('Tasks'!$H$7:$H$246,'Tasks'!$C$7:$C$246,$A70,'Tasks'!$L$7:$L$246,$D70,'Tasks'!$F$7:$F$246,$B70)</x:f>
        <x:v>7.359999999999999</x:v>
      </x:c>
      <x:c r="P70" s="19" t="n">
        <x:f>SUMIFS('Tasks'!$Y$7:$Y$246,'Tasks'!$C$7:$C$246,$A70,'Tasks'!$L$7:$L$246,$D70,'Tasks'!$F$7:$F$246,$B70)</x:f>
        <x:v>-1.5499999999999998</x:v>
      </x:c>
      <x:c r="Q70" s="22" t="n">
        <x:f>SUMIFS('Tasks'!$Z$7:$Z$246,'Tasks'!$C$7:$C$246,$A70,'Tasks'!$L$7:$L$246,$D70,'Tasks'!$F$7:$F$246,$B70)</x:f>
        <x:v>-77.5</x:v>
      </x:c>
      <x:c r="R70" s="22" t="n">
        <x:f>SUMIFS('Tasks'!$AA$7:$AA$246,'Tasks'!$C$7:$C$246,$A70,'Tasks'!$L$7:$L$246,$D70,'Tasks'!$F$7:$F$246,$B70)</x:f>
        <x:v>-137.08227999999997</x:v>
      </x:c>
      <x:c r="S70" s="31" t="n">
        <x:f>IF(K70=0,"N/A",R70/K70)</x:f>
        <x:v>-2.300722295286451</x:v>
      </x:c>
      <x:c r="T70" s="19" t="n">
        <x:f>SUMIFS('Tasks'!$I$7:$I$246,'Tasks'!$C$7:$C$246,$A70,'Tasks'!$L$7:$L$246,$D70,'Tasks'!$F$7:$F$246,$B70)</x:f>
        <x:v>2.24</x:v>
      </x:c>
      <x:c r="U70" s="31" t="n">
        <x:f>IF(O70=0,"N/A",T70/O70)</x:f>
        <x:v>0.3043478260869566</x:v>
      </x:c>
      <x:c r="V70" s="17" t="n">
        <x:f>SUMIFS('Tasks'!$X$7:$X$246,'Tasks'!$C$7:$C$246,$A70,'Tasks'!$L$7:$L$246,$D70,'Tasks'!$F$7:$F$246,$B70)</x:f>
        <x:v>26</x:v>
      </x:c>
      <x:c r="W70" s="31" t="n">
        <x:f>IF(L70=0,"N/A",V70/L70)</x:f>
        <x:v>0.48148148148148145</x:v>
      </x:c>
      <x:c r="X70" s="17" t="n">
        <x:f>COUNTIFS('Tasks'!$C$7:$C$246,$A70,'Tasks'!$L$7:$L$246,$D70,'Tasks'!$F$7:$F$246,$B70,'Tasks'!$L$7:$L$246,"Yes")</x:f>
        <x:v>0</x:v>
      </x:c>
      <x:c r="Y70" s="17" t="n">
        <x:f>COUNTIFS('Tasks'!$C$7:$C$246,$A70,'Tasks'!$L$7:$L$246,$D70,'Tasks'!$F$7:$F$246,$B70,'Tasks'!$K$7:$K$246,"Yes")</x:f>
        <x:v>2</x:v>
      </x:c>
      <x:c r="Z70" s="17" t="n">
        <x:f>COUNTIFS('Tasks'!$C$7:$C$246,$A70,'Tasks'!$L$7:$L$246,$D70,'Tasks'!$F$7:$F$246,$B70,'Tasks'!$AA$7:$AA$246,"&gt;0")</x:f>
        <x:v>0</x:v>
      </x:c>
      <x:c r="AA70" s="17" t="n">
        <x:f>COUNTIFS('Tasks'!$C$7:$C$246,$A70,'Tasks'!$L$7:$L$246,$D70,'Tasks'!$F$7:$F$246,$B70,'Tasks'!$AA$7:$AA$246,"&lt;0")</x:f>
        <x:v>2</x:v>
      </x:c>
      <x:c r="AB70" s="19" t="n">
        <x:f>IF(E70=0,"N/A",V70/E70)</x:f>
        <x:v>13</x:v>
      </x:c>
      <x:c r="AC70" s="22" t="n">
        <x:f>IF(E70=0,"N/A",K70/E70)</x:f>
        <x:v>29.791139999999995</x:v>
      </x:c>
      <x:c r="AD70" s="19" t="n">
        <x:f>IF(E70=0,"N/A",P70/E70)</x:f>
        <x:v>-0.7749999999999999</x:v>
      </x:c>
    </x:row>
    <x:row r="71" ht="23" customHeight="1">
      <x:c r="A71" s="17" t="str">
        <x:v>C002</x:v>
      </x:c>
      <x:c r="B71" s="17" t="str">
        <x:v>Draft email sequence</x:v>
      </x:c>
      <x:c r="C71" s="17" t="str">
        <x:v>prompt_template_used</x:v>
      </x:c>
      <x:c r="D71" s="17" t="str">
        <x:v>Yes</x:v>
      </x:c>
      <x:c r="E71" s="17" t="n">
        <x:f>COUNTIFS('Tasks'!$C$7:$C$246,$A71,'Tasks'!$L$7:$L$246,$D71,'Tasks'!$F$7:$F$246,$B71)</x:f>
        <x:v>3</x:v>
      </x:c>
      <x:c r="F71" s="17" t="n">
        <x:f>SUMIFS('Tasks'!$O$7:$O$246,'Tasks'!$C$7:$C$246,$A71,'Tasks'!$L$7:$L$246,$D71,'Tasks'!$F$7:$F$246,$B71)</x:f>
        <x:v>1520867</x:v>
      </x:c>
      <x:c r="G71" s="17" t="n">
        <x:f>SUMIFS('Tasks'!$P$7:$P$246,'Tasks'!$C$7:$C$246,$A71,'Tasks'!$L$7:$L$246,$D71,'Tasks'!$F$7:$F$246,$B71)</x:f>
        <x:v>535043</x:v>
      </x:c>
      <x:c r="H71" s="17" t="n">
        <x:f>SUMIFS('Tasks'!$Q$7:$Q$246,'Tasks'!$C$7:$C$246,$A71,'Tasks'!$L$7:$L$246,$D71,'Tasks'!$F$7:$F$246,$B71)</x:f>
        <x:v>2055910</x:v>
      </x:c>
      <x:c r="I71" s="22" t="n">
        <x:f>SUMIFS('Tasks'!$S$7:$S$246,'Tasks'!$C$7:$C$246,$A71,'Tasks'!$L$7:$L$246,$D71,'Tasks'!$F$7:$F$246,$B71)</x:f>
        <x:v>38.4641</x:v>
      </x:c>
      <x:c r="J71" s="22" t="n">
        <x:f>SUMIFS('Tasks'!$T$7:$T$246,'Tasks'!$C$7:$C$246,$A71,'Tasks'!$L$7:$L$246,$D71,'Tasks'!$F$7:$F$246,$B71)</x:f>
        <x:v>45.42854</x:v>
      </x:c>
      <x:c r="K71" s="22" t="n">
        <x:f>SUMIFS('Tasks'!$U$7:$U$246,'Tasks'!$C$7:$C$246,$A71,'Tasks'!$L$7:$L$246,$D71,'Tasks'!$F$7:$F$246,$B71)</x:f>
        <x:v>83.89264</x:v>
      </x:c>
      <x:c r="L71" s="17" t="n">
        <x:f>SUMIFS('Tasks'!$R$7:$R$246,'Tasks'!$C$7:$C$246,$A71,'Tasks'!$L$7:$L$246,$D71,'Tasks'!$F$7:$F$246,$B71)</x:f>
        <x:v>57</x:v>
      </x:c>
      <x:c r="M71" s="22" t="n">
        <x:f>IF(L71=0,"N/A",K71/L71)</x:f>
        <x:v>1.471800701754386</x:v>
      </x:c>
      <x:c r="N71" s="19" t="n">
        <x:f>SUMIFS('Tasks'!$G$7:$G$246,'Tasks'!$C$7:$C$246,$A71,'Tasks'!$L$7:$L$246,$D71,'Tasks'!$F$7:$F$246,$B71)</x:f>
        <x:v>10.790000000000001</x:v>
      </x:c>
      <x:c r="O71" s="19" t="n">
        <x:f>SUMIFS('Tasks'!$H$7:$H$246,'Tasks'!$C$7:$C$246,$A71,'Tasks'!$L$7:$L$246,$D71,'Tasks'!$F$7:$F$246,$B71)</x:f>
        <x:v>16.24</x:v>
      </x:c>
      <x:c r="P71" s="19" t="n">
        <x:f>SUMIFS('Tasks'!$Y$7:$Y$246,'Tasks'!$C$7:$C$246,$A71,'Tasks'!$L$7:$L$246,$D71,'Tasks'!$F$7:$F$246,$B71)</x:f>
        <x:v>-5.449999999999999</x:v>
      </x:c>
      <x:c r="Q71" s="22" t="n">
        <x:f>SUMIFS('Tasks'!$Z$7:$Z$246,'Tasks'!$C$7:$C$246,$A71,'Tasks'!$L$7:$L$246,$D71,'Tasks'!$F$7:$F$246,$B71)</x:f>
        <x:v>-272.5</x:v>
      </x:c>
      <x:c r="R71" s="22" t="n">
        <x:f>SUMIFS('Tasks'!$AA$7:$AA$246,'Tasks'!$C$7:$C$246,$A71,'Tasks'!$L$7:$L$246,$D71,'Tasks'!$F$7:$F$246,$B71)</x:f>
        <x:v>-356.39264</x:v>
      </x:c>
      <x:c r="S71" s="31" t="n">
        <x:f>IF(K71=0,"N/A",R71/K71)</x:f>
        <x:v>-4.248199126884074</x:v>
      </x:c>
      <x:c r="T71" s="19" t="n">
        <x:f>SUMIFS('Tasks'!$I$7:$I$246,'Tasks'!$C$7:$C$246,$A71,'Tasks'!$L$7:$L$246,$D71,'Tasks'!$F$7:$F$246,$B71)</x:f>
        <x:v>4.18</x:v>
      </x:c>
      <x:c r="U71" s="31" t="n">
        <x:f>IF(O71=0,"N/A",T71/O71)</x:f>
        <x:v>0.25738916256157635</x:v>
      </x:c>
      <x:c r="V71" s="17" t="n">
        <x:f>SUMIFS('Tasks'!$X$7:$X$246,'Tasks'!$C$7:$C$246,$A71,'Tasks'!$L$7:$L$246,$D71,'Tasks'!$F$7:$F$246,$B71)</x:f>
        <x:v>17</x:v>
      </x:c>
      <x:c r="W71" s="31" t="n">
        <x:f>IF(L71=0,"N/A",V71/L71)</x:f>
        <x:v>0.2982456140350877</x:v>
      </x:c>
      <x:c r="X71" s="17" t="n">
        <x:f>COUNTIFS('Tasks'!$C$7:$C$246,$A71,'Tasks'!$L$7:$L$246,$D71,'Tasks'!$F$7:$F$246,$B71,'Tasks'!$L$7:$L$246,"Yes")</x:f>
        <x:v>3</x:v>
      </x:c>
      <x:c r="Y71" s="17" t="n">
        <x:f>COUNTIFS('Tasks'!$C$7:$C$246,$A71,'Tasks'!$L$7:$L$246,$D71,'Tasks'!$F$7:$F$246,$B71,'Tasks'!$K$7:$K$246,"Yes")</x:f>
        <x:v>1</x:v>
      </x:c>
      <x:c r="Z71" s="17" t="n">
        <x:f>COUNTIFS('Tasks'!$C$7:$C$246,$A71,'Tasks'!$L$7:$L$246,$D71,'Tasks'!$F$7:$F$246,$B71,'Tasks'!$AA$7:$AA$246,"&gt;0")</x:f>
        <x:v>1</x:v>
      </x:c>
      <x:c r="AA71" s="17" t="n">
        <x:f>COUNTIFS('Tasks'!$C$7:$C$246,$A71,'Tasks'!$L$7:$L$246,$D71,'Tasks'!$F$7:$F$246,$B71,'Tasks'!$AA$7:$AA$246,"&lt;0")</x:f>
        <x:v>2</x:v>
      </x:c>
      <x:c r="AB71" s="19" t="n">
        <x:f>IF(E71=0,"N/A",V71/E71)</x:f>
        <x:v>5.666666666666667</x:v>
      </x:c>
      <x:c r="AC71" s="22" t="n">
        <x:f>IF(E71=0,"N/A",K71/E71)</x:f>
        <x:v>27.964213333333333</x:v>
      </x:c>
      <x:c r="AD71" s="19" t="n">
        <x:f>IF(E71=0,"N/A",P71/E71)</x:f>
        <x:v>-1.8166666666666664</x:v>
      </x:c>
    </x:row>
    <x:row r="72" ht="23" customHeight="1">
      <x:c r="A72" s="17" t="str">
        <x:v>C002</x:v>
      </x:c>
      <x:c r="B72" s="17" t="str">
        <x:v>Draft email sequence</x:v>
      </x:c>
      <x:c r="C72" s="17" t="str">
        <x:v>brief_changed</x:v>
      </x:c>
      <x:c r="D72" s="17" t="str">
        <x:v>No</x:v>
      </x:c>
      <x:c r="E72" s="17" t="n">
        <x:f>COUNTIFS('Tasks'!$C$7:$C$246,$A72,'Tasks'!$K$7:$K$246,$D72,'Tasks'!$F$7:$F$246,$B72)</x:f>
        <x:v>2</x:v>
      </x:c>
      <x:c r="F72" s="17" t="n">
        <x:f>SUMIFS('Tasks'!$O$7:$O$246,'Tasks'!$C$7:$C$246,$A72,'Tasks'!$K$7:$K$246,$D72,'Tasks'!$F$7:$F$246,$B72)</x:f>
        <x:v>775181</x:v>
      </x:c>
      <x:c r="G72" s="17" t="n">
        <x:f>SUMIFS('Tasks'!$P$7:$P$246,'Tasks'!$C$7:$C$246,$A72,'Tasks'!$K$7:$K$246,$D72,'Tasks'!$F$7:$F$246,$B72)</x:f>
        <x:v>419675</x:v>
      </x:c>
      <x:c r="H72" s="17" t="n">
        <x:f>SUMIFS('Tasks'!$Q$7:$Q$246,'Tasks'!$C$7:$C$246,$A72,'Tasks'!$K$7:$K$246,$D72,'Tasks'!$F$7:$F$246,$B72)</x:f>
        <x:v>1194856</x:v>
      </x:c>
      <x:c r="I72" s="22" t="n">
        <x:f>SUMIFS('Tasks'!$S$7:$S$246,'Tasks'!$C$7:$C$246,$A72,'Tasks'!$K$7:$K$246,$D72,'Tasks'!$F$7:$F$246,$B72)</x:f>
        <x:v>31.00724</x:v>
      </x:c>
      <x:c r="J72" s="22" t="n">
        <x:f>SUMIFS('Tasks'!$T$7:$T$246,'Tasks'!$C$7:$C$246,$A72,'Tasks'!$K$7:$K$246,$D72,'Tasks'!$F$7:$F$246,$B72)</x:f>
        <x:v>41.967499999999994</x:v>
      </x:c>
      <x:c r="K72" s="22" t="n">
        <x:f>SUMIFS('Tasks'!$U$7:$U$246,'Tasks'!$C$7:$C$246,$A72,'Tasks'!$K$7:$K$246,$D72,'Tasks'!$F$7:$F$246,$B72)</x:f>
        <x:v>72.97474</x:v>
      </x:c>
      <x:c r="L72" s="17" t="n">
        <x:f>SUMIFS('Tasks'!$R$7:$R$246,'Tasks'!$C$7:$C$246,$A72,'Tasks'!$K$7:$K$246,$D72,'Tasks'!$F$7:$F$246,$B72)</x:f>
        <x:v>37</x:v>
      </x:c>
      <x:c r="M72" s="22" t="n">
        <x:f>IF(L72=0,"N/A",K72/L72)</x:f>
        <x:v>1.9722902702702703</x:v>
      </x:c>
      <x:c r="N72" s="19" t="n">
        <x:f>SUMIFS('Tasks'!$G$7:$G$246,'Tasks'!$C$7:$C$246,$A72,'Tasks'!$K$7:$K$246,$D72,'Tasks'!$F$7:$F$246,$B72)</x:f>
        <x:v>6.890000000000001</x:v>
      </x:c>
      <x:c r="O72" s="19" t="n">
        <x:f>SUMIFS('Tasks'!$H$7:$H$246,'Tasks'!$C$7:$C$246,$A72,'Tasks'!$K$7:$K$246,$D72,'Tasks'!$F$7:$F$246,$B72)</x:f>
        <x:v>8.9</x:v>
      </x:c>
      <x:c r="P72" s="19" t="n">
        <x:f>SUMIFS('Tasks'!$Y$7:$Y$246,'Tasks'!$C$7:$C$246,$A72,'Tasks'!$K$7:$K$246,$D72,'Tasks'!$F$7:$F$246,$B72)</x:f>
        <x:v>-2.01</x:v>
      </x:c>
      <x:c r="Q72" s="22" t="n">
        <x:f>SUMIFS('Tasks'!$Z$7:$Z$246,'Tasks'!$C$7:$C$246,$A72,'Tasks'!$K$7:$K$246,$D72,'Tasks'!$F$7:$F$246,$B72)</x:f>
        <x:v>-100.49999999999997</x:v>
      </x:c>
      <x:c r="R72" s="22" t="n">
        <x:f>SUMIFS('Tasks'!$AA$7:$AA$246,'Tasks'!$C$7:$C$246,$A72,'Tasks'!$K$7:$K$246,$D72,'Tasks'!$F$7:$F$246,$B72)</x:f>
        <x:v>-173.47473999999997</x:v>
      </x:c>
      <x:c r="S72" s="31" t="n">
        <x:f>IF(K72=0,"N/A",R72/K72)</x:f>
        <x:v>-2.377188873848677</x:v>
      </x:c>
      <x:c r="T72" s="19" t="n">
        <x:f>SUMIFS('Tasks'!$I$7:$I$246,'Tasks'!$C$7:$C$246,$A72,'Tasks'!$K$7:$K$246,$D72,'Tasks'!$F$7:$F$246,$B72)</x:f>
        <x:v>1.8599999999999999</x:v>
      </x:c>
      <x:c r="U72" s="31" t="n">
        <x:f>IF(O72=0,"N/A",T72/O72)</x:f>
        <x:v>0.2089887640449438</x:v>
      </x:c>
      <x:c r="V72" s="17" t="n">
        <x:f>SUMIFS('Tasks'!$X$7:$X$246,'Tasks'!$C$7:$C$246,$A72,'Tasks'!$K$7:$K$246,$D72,'Tasks'!$F$7:$F$246,$B72)</x:f>
        <x:v>10</x:v>
      </x:c>
      <x:c r="W72" s="31" t="n">
        <x:f>IF(L72=0,"N/A",V72/L72)</x:f>
        <x:v>0.2702702702702703</x:v>
      </x:c>
      <x:c r="X72" s="17" t="n">
        <x:f>COUNTIFS('Tasks'!$C$7:$C$246,$A72,'Tasks'!$K$7:$K$246,$D72,'Tasks'!$F$7:$F$246,$B72,'Tasks'!$L$7:$L$246,"Yes")</x:f>
        <x:v>2</x:v>
      </x:c>
      <x:c r="Y72" s="17" t="n">
        <x:f>COUNTIFS('Tasks'!$C$7:$C$246,$A72,'Tasks'!$K$7:$K$246,$D72,'Tasks'!$F$7:$F$246,$B72,'Tasks'!$K$7:$K$246,"Yes")</x:f>
        <x:v>0</x:v>
      </x:c>
      <x:c r="Z72" s="17" t="n">
        <x:f>COUNTIFS('Tasks'!$C$7:$C$246,$A72,'Tasks'!$K$7:$K$246,$D72,'Tasks'!$F$7:$F$246,$B72,'Tasks'!$AA$7:$AA$246,"&gt;0")</x:f>
        <x:v>1</x:v>
      </x:c>
      <x:c r="AA72" s="17" t="n">
        <x:f>COUNTIFS('Tasks'!$C$7:$C$246,$A72,'Tasks'!$K$7:$K$246,$D72,'Tasks'!$F$7:$F$246,$B72,'Tasks'!$AA$7:$AA$246,"&lt;0")</x:f>
        <x:v>1</x:v>
      </x:c>
      <x:c r="AB72" s="19" t="n">
        <x:f>IF(E72=0,"N/A",V72/E72)</x:f>
        <x:v>5</x:v>
      </x:c>
      <x:c r="AC72" s="22" t="n">
        <x:f>IF(E72=0,"N/A",K72/E72)</x:f>
        <x:v>36.48737</x:v>
      </x:c>
      <x:c r="AD72" s="19" t="n">
        <x:f>IF(E72=0,"N/A",P72/E72)</x:f>
        <x:v>-1.005</x:v>
      </x:c>
    </x:row>
    <x:row r="73" ht="23" customHeight="1">
      <x:c r="A73" s="17" t="str">
        <x:v>C002</x:v>
      </x:c>
      <x:c r="B73" s="17" t="str">
        <x:v>Draft email sequence</x:v>
      </x:c>
      <x:c r="C73" s="17" t="str">
        <x:v>brief_changed</x:v>
      </x:c>
      <x:c r="D73" s="17" t="str">
        <x:v>Yes</x:v>
      </x:c>
      <x:c r="E73" s="17" t="n">
        <x:f>COUNTIFS('Tasks'!$C$7:$C$246,$A73,'Tasks'!$K$7:$K$246,$D73,'Tasks'!$F$7:$F$246,$B73)</x:f>
        <x:v>3</x:v>
      </x:c>
      <x:c r="F73" s="17" t="n">
        <x:f>SUMIFS('Tasks'!$O$7:$O$246,'Tasks'!$C$7:$C$246,$A73,'Tasks'!$K$7:$K$246,$D73,'Tasks'!$F$7:$F$246,$B73)</x:f>
        <x:v>2066987</x:v>
      </x:c>
      <x:c r="G73" s="17" t="n">
        <x:f>SUMIFS('Tasks'!$P$7:$P$246,'Tasks'!$C$7:$C$246,$A73,'Tasks'!$K$7:$K$246,$D73,'Tasks'!$F$7:$F$246,$B73)</x:f>
        <x:v>622848</x:v>
      </x:c>
      <x:c r="H73" s="17" t="n">
        <x:f>SUMIFS('Tasks'!$Q$7:$Q$246,'Tasks'!$C$7:$C$246,$A73,'Tasks'!$K$7:$K$246,$D73,'Tasks'!$F$7:$F$246,$B73)</x:f>
        <x:v>2689835</x:v>
      </x:c>
      <x:c r="I73" s="22" t="n">
        <x:f>SUMIFS('Tasks'!$S$7:$S$246,'Tasks'!$C$7:$C$246,$A73,'Tasks'!$K$7:$K$246,$D73,'Tasks'!$F$7:$F$246,$B73)</x:f>
        <x:v>33.34706</x:v>
      </x:c>
      <x:c r="J73" s="22" t="n">
        <x:f>SUMIFS('Tasks'!$T$7:$T$246,'Tasks'!$C$7:$C$246,$A73,'Tasks'!$K$7:$K$246,$D73,'Tasks'!$F$7:$F$246,$B73)</x:f>
        <x:v>37.153119999999994</x:v>
      </x:c>
      <x:c r="K73" s="22" t="n">
        <x:f>SUMIFS('Tasks'!$U$7:$U$246,'Tasks'!$C$7:$C$246,$A73,'Tasks'!$K$7:$K$246,$D73,'Tasks'!$F$7:$F$246,$B73)</x:f>
        <x:v>70.50017999999999</x:v>
      </x:c>
      <x:c r="L73" s="17" t="n">
        <x:f>SUMIFS('Tasks'!$R$7:$R$246,'Tasks'!$C$7:$C$246,$A73,'Tasks'!$K$7:$K$246,$D73,'Tasks'!$F$7:$F$246,$B73)</x:f>
        <x:v>74</x:v>
      </x:c>
      <x:c r="M73" s="22" t="n">
        <x:f>IF(L73=0,"N/A",K73/L73)</x:f>
        <x:v>0.952705135135135</x:v>
      </x:c>
      <x:c r="N73" s="19" t="n">
        <x:f>SUMIFS('Tasks'!$G$7:$G$246,'Tasks'!$C$7:$C$246,$A73,'Tasks'!$K$7:$K$246,$D73,'Tasks'!$F$7:$F$246,$B73)</x:f>
        <x:v>9.709999999999999</x:v>
      </x:c>
      <x:c r="O73" s="19" t="n">
        <x:f>SUMIFS('Tasks'!$H$7:$H$246,'Tasks'!$C$7:$C$246,$A73,'Tasks'!$K$7:$K$246,$D73,'Tasks'!$F$7:$F$246,$B73)</x:f>
        <x:v>14.7</x:v>
      </x:c>
      <x:c r="P73" s="19" t="n">
        <x:f>SUMIFS('Tasks'!$Y$7:$Y$246,'Tasks'!$C$7:$C$246,$A73,'Tasks'!$K$7:$K$246,$D73,'Tasks'!$F$7:$F$246,$B73)</x:f>
        <x:v>-4.99</x:v>
      </x:c>
      <x:c r="Q73" s="22" t="n">
        <x:f>SUMIFS('Tasks'!$Z$7:$Z$246,'Tasks'!$C$7:$C$246,$A73,'Tasks'!$K$7:$K$246,$D73,'Tasks'!$F$7:$F$246,$B73)</x:f>
        <x:v>-249.5</x:v>
      </x:c>
      <x:c r="R73" s="22" t="n">
        <x:f>SUMIFS('Tasks'!$AA$7:$AA$246,'Tasks'!$C$7:$C$246,$A73,'Tasks'!$K$7:$K$246,$D73,'Tasks'!$F$7:$F$246,$B73)</x:f>
        <x:v>-320.00018</x:v>
      </x:c>
      <x:c r="S73" s="31" t="n">
        <x:f>IF(K73=0,"N/A",R73/K73)</x:f>
        <x:v>-4.538998056458864</x:v>
      </x:c>
      <x:c r="T73" s="19" t="n">
        <x:f>SUMIFS('Tasks'!$I$7:$I$246,'Tasks'!$C$7:$C$246,$A73,'Tasks'!$K$7:$K$246,$D73,'Tasks'!$F$7:$F$246,$B73)</x:f>
        <x:v>4.56</x:v>
      </x:c>
      <x:c r="U73" s="31" t="n">
        <x:f>IF(O73=0,"N/A",T73/O73)</x:f>
        <x:v>0.31020408163265306</x:v>
      </x:c>
      <x:c r="V73" s="17" t="n">
        <x:f>SUMIFS('Tasks'!$X$7:$X$246,'Tasks'!$C$7:$C$246,$A73,'Tasks'!$K$7:$K$246,$D73,'Tasks'!$F$7:$F$246,$B73)</x:f>
        <x:v>33</x:v>
      </x:c>
      <x:c r="W73" s="31" t="n">
        <x:f>IF(L73=0,"N/A",V73/L73)</x:f>
        <x:v>0.44594594594594594</x:v>
      </x:c>
      <x:c r="X73" s="17" t="n">
        <x:f>COUNTIFS('Tasks'!$C$7:$C$246,$A73,'Tasks'!$K$7:$K$246,$D73,'Tasks'!$F$7:$F$246,$B73,'Tasks'!$L$7:$L$246,"Yes")</x:f>
        <x:v>1</x:v>
      </x:c>
      <x:c r="Y73" s="17" t="n">
        <x:f>COUNTIFS('Tasks'!$C$7:$C$246,$A73,'Tasks'!$K$7:$K$246,$D73,'Tasks'!$F$7:$F$246,$B73,'Tasks'!$K$7:$K$246,"Yes")</x:f>
        <x:v>3</x:v>
      </x:c>
      <x:c r="Z73" s="17" t="n">
        <x:f>COUNTIFS('Tasks'!$C$7:$C$246,$A73,'Tasks'!$K$7:$K$246,$D73,'Tasks'!$F$7:$F$246,$B73,'Tasks'!$AA$7:$AA$246,"&gt;0")</x:f>
        <x:v>0</x:v>
      </x:c>
      <x:c r="AA73" s="17" t="n">
        <x:f>COUNTIFS('Tasks'!$C$7:$C$246,$A73,'Tasks'!$K$7:$K$246,$D73,'Tasks'!$F$7:$F$246,$B73,'Tasks'!$AA$7:$AA$246,"&lt;0")</x:f>
        <x:v>3</x:v>
      </x:c>
      <x:c r="AB73" s="19" t="n">
        <x:f>IF(E73=0,"N/A",V73/E73)</x:f>
        <x:v>11</x:v>
      </x:c>
      <x:c r="AC73" s="22" t="n">
        <x:f>IF(E73=0,"N/A",K73/E73)</x:f>
        <x:v>23.500059999999994</x:v>
      </x:c>
      <x:c r="AD73" s="19" t="n">
        <x:f>IF(E73=0,"N/A",P73/E73)</x:f>
        <x:v>-1.6633333333333333</x:v>
      </x:c>
    </x:row>
    <x:row r="74" ht="23" customHeight="1">
      <x:c r="A74" s="17" t="str">
        <x:v>C002</x:v>
      </x:c>
      <x:c r="B74" s="17" t="str">
        <x:v>Edit landing page</x:v>
      </x:c>
      <x:c r="C74" s="17" t="str">
        <x:v>prompt_template_used</x:v>
      </x:c>
      <x:c r="D74" s="17" t="str">
        <x:v>No</x:v>
      </x:c>
      <x:c r="E74" s="17" t="n">
        <x:f>COUNTIFS('Tasks'!$C$7:$C$246,$A74,'Tasks'!$L$7:$L$246,$D74,'Tasks'!$F$7:$F$246,$B74)</x:f>
        <x:v>5</x:v>
      </x:c>
      <x:c r="F74" s="17" t="n">
        <x:f>SUMIFS('Tasks'!$O$7:$O$246,'Tasks'!$C$7:$C$246,$A74,'Tasks'!$L$7:$L$246,$D74,'Tasks'!$F$7:$F$246,$B74)</x:f>
        <x:v>2508478</x:v>
      </x:c>
      <x:c r="G74" s="17" t="n">
        <x:f>SUMIFS('Tasks'!$P$7:$P$246,'Tasks'!$C$7:$C$246,$A74,'Tasks'!$L$7:$L$246,$D74,'Tasks'!$F$7:$F$246,$B74)</x:f>
        <x:v>636359</x:v>
      </x:c>
      <x:c r="H74" s="17" t="n">
        <x:f>SUMIFS('Tasks'!$Q$7:$Q$246,'Tasks'!$C$7:$C$246,$A74,'Tasks'!$L$7:$L$246,$D74,'Tasks'!$F$7:$F$246,$B74)</x:f>
        <x:v>3144837</x:v>
      </x:c>
      <x:c r="I74" s="22" t="n">
        <x:f>SUMIFS('Tasks'!$S$7:$S$246,'Tasks'!$C$7:$C$246,$A74,'Tasks'!$L$7:$L$246,$D74,'Tasks'!$F$7:$F$246,$B74)</x:f>
        <x:v>31.012809999999998</x:v>
      </x:c>
      <x:c r="J74" s="22" t="n">
        <x:f>SUMIFS('Tasks'!$T$7:$T$246,'Tasks'!$C$7:$C$246,$A74,'Tasks'!$L$7:$L$246,$D74,'Tasks'!$F$7:$F$246,$B74)</x:f>
        <x:v>27.393819999999998</x:v>
      </x:c>
      <x:c r="K74" s="22" t="n">
        <x:f>SUMIFS('Tasks'!$U$7:$U$246,'Tasks'!$C$7:$C$246,$A74,'Tasks'!$L$7:$L$246,$D74,'Tasks'!$F$7:$F$246,$B74)</x:f>
        <x:v>58.40663</x:v>
      </x:c>
      <x:c r="L74" s="17" t="n">
        <x:f>SUMIFS('Tasks'!$R$7:$R$246,'Tasks'!$C$7:$C$246,$A74,'Tasks'!$L$7:$L$246,$D74,'Tasks'!$F$7:$F$246,$B74)</x:f>
        <x:v>93</x:v>
      </x:c>
      <x:c r="M74" s="22" t="n">
        <x:f>IF(L74=0,"N/A",K74/L74)</x:f>
        <x:v>0.6280282795698925</x:v>
      </x:c>
      <x:c r="N74" s="19" t="n">
        <x:f>SUMIFS('Tasks'!$G$7:$G$246,'Tasks'!$C$7:$C$246,$A74,'Tasks'!$L$7:$L$246,$D74,'Tasks'!$F$7:$F$246,$B74)</x:f>
        <x:v>18.189999999999998</x:v>
      </x:c>
      <x:c r="O74" s="19" t="n">
        <x:f>SUMIFS('Tasks'!$H$7:$H$246,'Tasks'!$C$7:$C$246,$A74,'Tasks'!$L$7:$L$246,$D74,'Tasks'!$F$7:$F$246,$B74)</x:f>
        <x:v>25.68</x:v>
      </x:c>
      <x:c r="P74" s="19" t="n">
        <x:f>SUMIFS('Tasks'!$Y$7:$Y$246,'Tasks'!$C$7:$C$246,$A74,'Tasks'!$L$7:$L$246,$D74,'Tasks'!$F$7:$F$246,$B74)</x:f>
        <x:v>-7.49</x:v>
      </x:c>
      <x:c r="Q74" s="22" t="n">
        <x:f>SUMIFS('Tasks'!$Z$7:$Z$246,'Tasks'!$C$7:$C$246,$A74,'Tasks'!$L$7:$L$246,$D74,'Tasks'!$F$7:$F$246,$B74)</x:f>
        <x:v>-374.5</x:v>
      </x:c>
      <x:c r="R74" s="22" t="n">
        <x:f>SUMIFS('Tasks'!$AA$7:$AA$246,'Tasks'!$C$7:$C$246,$A74,'Tasks'!$L$7:$L$246,$D74,'Tasks'!$F$7:$F$246,$B74)</x:f>
        <x:v>-432.90662999999995</x:v>
      </x:c>
      <x:c r="S74" s="31" t="n">
        <x:f>IF(K74=0,"N/A",R74/K74)</x:f>
        <x:v>-7.411943301642296</x:v>
      </x:c>
      <x:c r="T74" s="19" t="n">
        <x:f>SUMIFS('Tasks'!$I$7:$I$246,'Tasks'!$C$7:$C$246,$A74,'Tasks'!$L$7:$L$246,$D74,'Tasks'!$F$7:$F$246,$B74)</x:f>
        <x:v>8.53</x:v>
      </x:c>
      <x:c r="U74" s="31" t="n">
        <x:f>IF(O74=0,"N/A",T74/O74)</x:f>
        <x:v>0.3321651090342679</x:v>
      </x:c>
      <x:c r="V74" s="17" t="n">
        <x:f>SUMIFS('Tasks'!$X$7:$X$246,'Tasks'!$C$7:$C$246,$A74,'Tasks'!$L$7:$L$246,$D74,'Tasks'!$F$7:$F$246,$B74)</x:f>
        <x:v>27</x:v>
      </x:c>
      <x:c r="W74" s="31" t="n">
        <x:f>IF(L74=0,"N/A",V74/L74)</x:f>
        <x:v>0.2903225806451613</x:v>
      </x:c>
      <x:c r="X74" s="17" t="n">
        <x:f>COUNTIFS('Tasks'!$C$7:$C$246,$A74,'Tasks'!$L$7:$L$246,$D74,'Tasks'!$F$7:$F$246,$B74,'Tasks'!$L$7:$L$246,"Yes")</x:f>
        <x:v>0</x:v>
      </x:c>
      <x:c r="Y74" s="17" t="n">
        <x:f>COUNTIFS('Tasks'!$C$7:$C$246,$A74,'Tasks'!$L$7:$L$246,$D74,'Tasks'!$F$7:$F$246,$B74,'Tasks'!$K$7:$K$246,"Yes")</x:f>
        <x:v>3</x:v>
      </x:c>
      <x:c r="Z74" s="17" t="n">
        <x:f>COUNTIFS('Tasks'!$C$7:$C$246,$A74,'Tasks'!$L$7:$L$246,$D74,'Tasks'!$F$7:$F$246,$B74,'Tasks'!$AA$7:$AA$246,"&gt;0")</x:f>
        <x:v>1</x:v>
      </x:c>
      <x:c r="AA74" s="17" t="n">
        <x:f>COUNTIFS('Tasks'!$C$7:$C$246,$A74,'Tasks'!$L$7:$L$246,$D74,'Tasks'!$F$7:$F$246,$B74,'Tasks'!$AA$7:$AA$246,"&lt;0")</x:f>
        <x:v>4</x:v>
      </x:c>
      <x:c r="AB74" s="19" t="n">
        <x:f>IF(E74=0,"N/A",V74/E74)</x:f>
        <x:v>5.4</x:v>
      </x:c>
      <x:c r="AC74" s="22" t="n">
        <x:f>IF(E74=0,"N/A",K74/E74)</x:f>
        <x:v>11.681326</x:v>
      </x:c>
      <x:c r="AD74" s="19" t="n">
        <x:f>IF(E74=0,"N/A",P74/E74)</x:f>
        <x:v>-1.498</x:v>
      </x:c>
    </x:row>
    <x:row r="75" ht="23" customHeight="1">
      <x:c r="A75" s="17" t="str">
        <x:v>C002</x:v>
      </x:c>
      <x:c r="B75" s="17" t="str">
        <x:v>Edit landing page</x:v>
      </x:c>
      <x:c r="C75" s="17" t="str">
        <x:v>brief_changed</x:v>
      </x:c>
      <x:c r="D75" s="17" t="str">
        <x:v>No</x:v>
      </x:c>
      <x:c r="E75" s="17" t="n">
        <x:f>COUNTIFS('Tasks'!$C$7:$C$246,$A75,'Tasks'!$K$7:$K$246,$D75,'Tasks'!$F$7:$F$246,$B75)</x:f>
        <x:v>2</x:v>
      </x:c>
      <x:c r="F75" s="17" t="n">
        <x:f>SUMIFS('Tasks'!$O$7:$O$246,'Tasks'!$C$7:$C$246,$A75,'Tasks'!$K$7:$K$246,$D75,'Tasks'!$F$7:$F$246,$B75)</x:f>
        <x:v>1180290</x:v>
      </x:c>
      <x:c r="G75" s="17" t="n">
        <x:f>SUMIFS('Tasks'!$P$7:$P$246,'Tasks'!$C$7:$C$246,$A75,'Tasks'!$K$7:$K$246,$D75,'Tasks'!$F$7:$F$246,$B75)</x:f>
        <x:v>342206</x:v>
      </x:c>
      <x:c r="H75" s="17" t="n">
        <x:f>SUMIFS('Tasks'!$Q$7:$Q$246,'Tasks'!$C$7:$C$246,$A75,'Tasks'!$K$7:$K$246,$D75,'Tasks'!$F$7:$F$246,$B75)</x:f>
        <x:v>1522496</x:v>
      </x:c>
      <x:c r="I75" s="22" t="n">
        <x:f>SUMIFS('Tasks'!$S$7:$S$246,'Tasks'!$C$7:$C$246,$A75,'Tasks'!$K$7:$K$246,$D75,'Tasks'!$F$7:$F$246,$B75)</x:f>
        <x:v>11.8029</x:v>
      </x:c>
      <x:c r="J75" s="22" t="n">
        <x:f>SUMIFS('Tasks'!$T$7:$T$246,'Tasks'!$C$7:$C$246,$A75,'Tasks'!$K$7:$K$246,$D75,'Tasks'!$F$7:$F$246,$B75)</x:f>
        <x:v>10.26618</x:v>
      </x:c>
      <x:c r="K75" s="22" t="n">
        <x:f>SUMIFS('Tasks'!$U$7:$U$246,'Tasks'!$C$7:$C$246,$A75,'Tasks'!$K$7:$K$246,$D75,'Tasks'!$F$7:$F$246,$B75)</x:f>
        <x:v>22.06908</x:v>
      </x:c>
      <x:c r="L75" s="17" t="n">
        <x:f>SUMIFS('Tasks'!$R$7:$R$246,'Tasks'!$C$7:$C$246,$A75,'Tasks'!$K$7:$K$246,$D75,'Tasks'!$F$7:$F$246,$B75)</x:f>
        <x:v>46</x:v>
      </x:c>
      <x:c r="M75" s="22" t="n">
        <x:f>IF(L75=0,"N/A",K75/L75)</x:f>
        <x:v>0.4797626086956522</x:v>
      </x:c>
      <x:c r="N75" s="19" t="n">
        <x:f>SUMIFS('Tasks'!$G$7:$G$246,'Tasks'!$C$7:$C$246,$A75,'Tasks'!$K$7:$K$246,$D75,'Tasks'!$F$7:$F$246,$B75)</x:f>
        <x:v>8.16</x:v>
      </x:c>
      <x:c r="O75" s="19" t="n">
        <x:f>SUMIFS('Tasks'!$H$7:$H$246,'Tasks'!$C$7:$C$246,$A75,'Tasks'!$K$7:$K$246,$D75,'Tasks'!$F$7:$F$246,$B75)</x:f>
        <x:v>11.89</x:v>
      </x:c>
      <x:c r="P75" s="19" t="n">
        <x:f>SUMIFS('Tasks'!$Y$7:$Y$246,'Tasks'!$C$7:$C$246,$A75,'Tasks'!$K$7:$K$246,$D75,'Tasks'!$F$7:$F$246,$B75)</x:f>
        <x:v>-3.73</x:v>
      </x:c>
      <x:c r="Q75" s="22" t="n">
        <x:f>SUMIFS('Tasks'!$Z$7:$Z$246,'Tasks'!$C$7:$C$246,$A75,'Tasks'!$K$7:$K$246,$D75,'Tasks'!$F$7:$F$246,$B75)</x:f>
        <x:v>-186.5</x:v>
      </x:c>
      <x:c r="R75" s="22" t="n">
        <x:f>SUMIFS('Tasks'!$AA$7:$AA$246,'Tasks'!$C$7:$C$246,$A75,'Tasks'!$K$7:$K$246,$D75,'Tasks'!$F$7:$F$246,$B75)</x:f>
        <x:v>-208.56907999999999</x:v>
      </x:c>
      <x:c r="S75" s="31" t="n">
        <x:f>IF(K75=0,"N/A",R75/K75)</x:f>
        <x:v>-9.450737411799675</x:v>
      </x:c>
      <x:c r="T75" s="19" t="n">
        <x:f>SUMIFS('Tasks'!$I$7:$I$246,'Tasks'!$C$7:$C$246,$A75,'Tasks'!$K$7:$K$246,$D75,'Tasks'!$F$7:$F$246,$B75)</x:f>
        <x:v>2.63</x:v>
      </x:c>
      <x:c r="U75" s="31" t="n">
        <x:f>IF(O75=0,"N/A",T75/O75)</x:f>
        <x:v>0.2211942809083263</x:v>
      </x:c>
      <x:c r="V75" s="17" t="n">
        <x:f>SUMIFS('Tasks'!$X$7:$X$246,'Tasks'!$C$7:$C$246,$A75,'Tasks'!$K$7:$K$246,$D75,'Tasks'!$F$7:$F$246,$B75)</x:f>
        <x:v>12</x:v>
      </x:c>
      <x:c r="W75" s="31" t="n">
        <x:f>IF(L75=0,"N/A",V75/L75)</x:f>
        <x:v>0.2608695652173913</x:v>
      </x:c>
      <x:c r="X75" s="17" t="n">
        <x:f>COUNTIFS('Tasks'!$C$7:$C$246,$A75,'Tasks'!$K$7:$K$246,$D75,'Tasks'!$F$7:$F$246,$B75,'Tasks'!$L$7:$L$246,"Yes")</x:f>
        <x:v>0</x:v>
      </x:c>
      <x:c r="Y75" s="17" t="n">
        <x:f>COUNTIFS('Tasks'!$C$7:$C$246,$A75,'Tasks'!$K$7:$K$246,$D75,'Tasks'!$F$7:$F$246,$B75,'Tasks'!$K$7:$K$246,"Yes")</x:f>
        <x:v>0</x:v>
      </x:c>
      <x:c r="Z75" s="17" t="n">
        <x:f>COUNTIFS('Tasks'!$C$7:$C$246,$A75,'Tasks'!$K$7:$K$246,$D75,'Tasks'!$F$7:$F$246,$B75,'Tasks'!$AA$7:$AA$246,"&gt;0")</x:f>
        <x:v>0</x:v>
      </x:c>
      <x:c r="AA75" s="17" t="n">
        <x:f>COUNTIFS('Tasks'!$C$7:$C$246,$A75,'Tasks'!$K$7:$K$246,$D75,'Tasks'!$F$7:$F$246,$B75,'Tasks'!$AA$7:$AA$246,"&lt;0")</x:f>
        <x:v>2</x:v>
      </x:c>
      <x:c r="AB75" s="19" t="n">
        <x:f>IF(E75=0,"N/A",V75/E75)</x:f>
        <x:v>6</x:v>
      </x:c>
      <x:c r="AC75" s="22" t="n">
        <x:f>IF(E75=0,"N/A",K75/E75)</x:f>
        <x:v>11.03454</x:v>
      </x:c>
      <x:c r="AD75" s="19" t="n">
        <x:f>IF(E75=0,"N/A",P75/E75)</x:f>
        <x:v>-1.865</x:v>
      </x:c>
    </x:row>
    <x:row r="76" ht="23" customHeight="1">
      <x:c r="A76" s="17" t="str">
        <x:v>C002</x:v>
      </x:c>
      <x:c r="B76" s="17" t="str">
        <x:v>Edit landing page</x:v>
      </x:c>
      <x:c r="C76" s="17" t="str">
        <x:v>brief_changed</x:v>
      </x:c>
      <x:c r="D76" s="17" t="str">
        <x:v>Yes</x:v>
      </x:c>
      <x:c r="E76" s="17" t="n">
        <x:f>COUNTIFS('Tasks'!$C$7:$C$246,$A76,'Tasks'!$K$7:$K$246,$D76,'Tasks'!$F$7:$F$246,$B76)</x:f>
        <x:v>3</x:v>
      </x:c>
      <x:c r="F76" s="17" t="n">
        <x:f>SUMIFS('Tasks'!$O$7:$O$246,'Tasks'!$C$7:$C$246,$A76,'Tasks'!$K$7:$K$246,$D76,'Tasks'!$F$7:$F$246,$B76)</x:f>
        <x:v>1328188</x:v>
      </x:c>
      <x:c r="G76" s="17" t="n">
        <x:f>SUMIFS('Tasks'!$P$7:$P$246,'Tasks'!$C$7:$C$246,$A76,'Tasks'!$K$7:$K$246,$D76,'Tasks'!$F$7:$F$246,$B76)</x:f>
        <x:v>294153</x:v>
      </x:c>
      <x:c r="H76" s="17" t="n">
        <x:f>SUMIFS('Tasks'!$Q$7:$Q$246,'Tasks'!$C$7:$C$246,$A76,'Tasks'!$K$7:$K$246,$D76,'Tasks'!$F$7:$F$246,$B76)</x:f>
        <x:v>1622341</x:v>
      </x:c>
      <x:c r="I76" s="22" t="n">
        <x:f>SUMIFS('Tasks'!$S$7:$S$246,'Tasks'!$C$7:$C$246,$A76,'Tasks'!$K$7:$K$246,$D76,'Tasks'!$F$7:$F$246,$B76)</x:f>
        <x:v>19.20991</x:v>
      </x:c>
      <x:c r="J76" s="22" t="n">
        <x:f>SUMIFS('Tasks'!$T$7:$T$246,'Tasks'!$C$7:$C$246,$A76,'Tasks'!$K$7:$K$246,$D76,'Tasks'!$F$7:$F$246,$B76)</x:f>
        <x:v>17.12764</x:v>
      </x:c>
      <x:c r="K76" s="22" t="n">
        <x:f>SUMIFS('Tasks'!$U$7:$U$246,'Tasks'!$C$7:$C$246,$A76,'Tasks'!$K$7:$K$246,$D76,'Tasks'!$F$7:$F$246,$B76)</x:f>
        <x:v>36.33755</x:v>
      </x:c>
      <x:c r="L76" s="17" t="n">
        <x:f>SUMIFS('Tasks'!$R$7:$R$246,'Tasks'!$C$7:$C$246,$A76,'Tasks'!$K$7:$K$246,$D76,'Tasks'!$F$7:$F$246,$B76)</x:f>
        <x:v>47</x:v>
      </x:c>
      <x:c r="M76" s="22" t="n">
        <x:f>IF(L76=0,"N/A",K76/L76)</x:f>
        <x:v>0.7731393617021277</x:v>
      </x:c>
      <x:c r="N76" s="19" t="n">
        <x:f>SUMIFS('Tasks'!$G$7:$G$246,'Tasks'!$C$7:$C$246,$A76,'Tasks'!$K$7:$K$246,$D76,'Tasks'!$F$7:$F$246,$B76)</x:f>
        <x:v>10.030000000000001</x:v>
      </x:c>
      <x:c r="O76" s="19" t="n">
        <x:f>SUMIFS('Tasks'!$H$7:$H$246,'Tasks'!$C$7:$C$246,$A76,'Tasks'!$K$7:$K$246,$D76,'Tasks'!$F$7:$F$246,$B76)</x:f>
        <x:v>13.79</x:v>
      </x:c>
      <x:c r="P76" s="19" t="n">
        <x:f>SUMIFS('Tasks'!$Y$7:$Y$246,'Tasks'!$C$7:$C$246,$A76,'Tasks'!$K$7:$K$246,$D76,'Tasks'!$F$7:$F$246,$B76)</x:f>
        <x:v>-3.76</x:v>
      </x:c>
      <x:c r="Q76" s="22" t="n">
        <x:f>SUMIFS('Tasks'!$Z$7:$Z$246,'Tasks'!$C$7:$C$246,$A76,'Tasks'!$K$7:$K$246,$D76,'Tasks'!$F$7:$F$246,$B76)</x:f>
        <x:v>-187.99999999999997</x:v>
      </x:c>
      <x:c r="R76" s="22" t="n">
        <x:f>SUMIFS('Tasks'!$AA$7:$AA$246,'Tasks'!$C$7:$C$246,$A76,'Tasks'!$K$7:$K$246,$D76,'Tasks'!$F$7:$F$246,$B76)</x:f>
        <x:v>-224.33754999999996</x:v>
      </x:c>
      <x:c r="S76" s="31" t="n">
        <x:f>IF(K76=0,"N/A",R76/K76)</x:f>
        <x:v>-6.173711491281057</x:v>
      </x:c>
      <x:c r="T76" s="19" t="n">
        <x:f>SUMIFS('Tasks'!$I$7:$I$246,'Tasks'!$C$7:$C$246,$A76,'Tasks'!$K$7:$K$246,$D76,'Tasks'!$F$7:$F$246,$B76)</x:f>
        <x:v>5.9</x:v>
      </x:c>
      <x:c r="U76" s="31" t="n">
        <x:f>IF(O76=0,"N/A",T76/O76)</x:f>
        <x:v>0.42784626540971726</x:v>
      </x:c>
      <x:c r="V76" s="17" t="n">
        <x:f>SUMIFS('Tasks'!$X$7:$X$246,'Tasks'!$C$7:$C$246,$A76,'Tasks'!$K$7:$K$246,$D76,'Tasks'!$F$7:$F$246,$B76)</x:f>
        <x:v>15</x:v>
      </x:c>
      <x:c r="W76" s="31" t="n">
        <x:f>IF(L76=0,"N/A",V76/L76)</x:f>
        <x:v>0.3191489361702128</x:v>
      </x:c>
      <x:c r="X76" s="17" t="n">
        <x:f>COUNTIFS('Tasks'!$C$7:$C$246,$A76,'Tasks'!$K$7:$K$246,$D76,'Tasks'!$F$7:$F$246,$B76,'Tasks'!$L$7:$L$246,"Yes")</x:f>
        <x:v>0</x:v>
      </x:c>
      <x:c r="Y76" s="17" t="n">
        <x:f>COUNTIFS('Tasks'!$C$7:$C$246,$A76,'Tasks'!$K$7:$K$246,$D76,'Tasks'!$F$7:$F$246,$B76,'Tasks'!$K$7:$K$246,"Yes")</x:f>
        <x:v>3</x:v>
      </x:c>
      <x:c r="Z76" s="17" t="n">
        <x:f>COUNTIFS('Tasks'!$C$7:$C$246,$A76,'Tasks'!$K$7:$K$246,$D76,'Tasks'!$F$7:$F$246,$B76,'Tasks'!$AA$7:$AA$246,"&gt;0")</x:f>
        <x:v>1</x:v>
      </x:c>
      <x:c r="AA76" s="17" t="n">
        <x:f>COUNTIFS('Tasks'!$C$7:$C$246,$A76,'Tasks'!$K$7:$K$246,$D76,'Tasks'!$F$7:$F$246,$B76,'Tasks'!$AA$7:$AA$246,"&lt;0")</x:f>
        <x:v>2</x:v>
      </x:c>
      <x:c r="AB76" s="19" t="n">
        <x:f>IF(E76=0,"N/A",V76/E76)</x:f>
        <x:v>5</x:v>
      </x:c>
      <x:c r="AC76" s="22" t="n">
        <x:f>IF(E76=0,"N/A",K76/E76)</x:f>
        <x:v>12.112516666666666</x:v>
      </x:c>
      <x:c r="AD76" s="19" t="n">
        <x:f>IF(E76=0,"N/A",P76/E76)</x:f>
        <x:v>-1.2533333333333332</x:v>
      </x:c>
    </x:row>
    <x:row r="77" ht="23" customHeight="1">
      <x:c r="A77" s="17" t="str">
        <x:v>C002</x:v>
      </x:c>
      <x:c r="B77" s="17" t="str">
        <x:v>Plan visual narrative</x:v>
      </x:c>
      <x:c r="C77" s="17" t="str">
        <x:v>prompt_template_used</x:v>
      </x:c>
      <x:c r="D77" s="17" t="str">
        <x:v>No</x:v>
      </x:c>
      <x:c r="E77" s="17" t="n">
        <x:f>COUNTIFS('Tasks'!$C$7:$C$246,$A77,'Tasks'!$L$7:$L$246,$D77,'Tasks'!$F$7:$F$246,$B77)</x:f>
        <x:v>2</x:v>
      </x:c>
      <x:c r="F77" s="17" t="n">
        <x:f>SUMIFS('Tasks'!$O$7:$O$246,'Tasks'!$C$7:$C$246,$A77,'Tasks'!$L$7:$L$246,$D77,'Tasks'!$F$7:$F$246,$B77)</x:f>
        <x:v>1654732</x:v>
      </x:c>
      <x:c r="G77" s="17" t="n">
        <x:f>SUMIFS('Tasks'!$P$7:$P$246,'Tasks'!$C$7:$C$246,$A77,'Tasks'!$L$7:$L$246,$D77,'Tasks'!$F$7:$F$246,$B77)</x:f>
        <x:v>270309</x:v>
      </x:c>
      <x:c r="H77" s="17" t="n">
        <x:f>SUMIFS('Tasks'!$Q$7:$Q$246,'Tasks'!$C$7:$C$246,$A77,'Tasks'!$L$7:$L$246,$D77,'Tasks'!$F$7:$F$246,$B77)</x:f>
        <x:v>1925041</x:v>
      </x:c>
      <x:c r="I77" s="22" t="n">
        <x:f>SUMIFS('Tasks'!$S$7:$S$246,'Tasks'!$C$7:$C$246,$A77,'Tasks'!$L$7:$L$246,$D77,'Tasks'!$F$7:$F$246,$B77)</x:f>
        <x:v>16.547319999999996</x:v>
      </x:c>
      <x:c r="J77" s="22" t="n">
        <x:f>SUMIFS('Tasks'!$T$7:$T$246,'Tasks'!$C$7:$C$246,$A77,'Tasks'!$L$7:$L$246,$D77,'Tasks'!$F$7:$F$246,$B77)</x:f>
        <x:v>8.10927</x:v>
      </x:c>
      <x:c r="K77" s="22" t="n">
        <x:f>SUMIFS('Tasks'!$U$7:$U$246,'Tasks'!$C$7:$C$246,$A77,'Tasks'!$L$7:$L$246,$D77,'Tasks'!$F$7:$F$246,$B77)</x:f>
        <x:v>24.65659</x:v>
      </x:c>
      <x:c r="L77" s="17" t="n">
        <x:f>SUMIFS('Tasks'!$R$7:$R$246,'Tasks'!$C$7:$C$246,$A77,'Tasks'!$L$7:$L$246,$D77,'Tasks'!$F$7:$F$246,$B77)</x:f>
        <x:v>43</x:v>
      </x:c>
      <x:c r="M77" s="22" t="n">
        <x:f>IF(L77=0,"N/A",K77/L77)</x:f>
        <x:v>0.5734090697674419</x:v>
      </x:c>
      <x:c r="N77" s="19" t="n">
        <x:f>SUMIFS('Tasks'!$G$7:$G$246,'Tasks'!$C$7:$C$246,$A77,'Tasks'!$L$7:$L$246,$D77,'Tasks'!$F$7:$F$246,$B77)</x:f>
        <x:v>5.41</x:v>
      </x:c>
      <x:c r="O77" s="19" t="n">
        <x:f>SUMIFS('Tasks'!$H$7:$H$246,'Tasks'!$C$7:$C$246,$A77,'Tasks'!$L$7:$L$246,$D77,'Tasks'!$F$7:$F$246,$B77)</x:f>
        <x:v>6.76</x:v>
      </x:c>
      <x:c r="P77" s="19" t="n">
        <x:f>SUMIFS('Tasks'!$Y$7:$Y$246,'Tasks'!$C$7:$C$246,$A77,'Tasks'!$L$7:$L$246,$D77,'Tasks'!$F$7:$F$246,$B77)</x:f>
        <x:v>-1.3499999999999996</x:v>
      </x:c>
      <x:c r="Q77" s="22" t="n">
        <x:f>SUMIFS('Tasks'!$Z$7:$Z$246,'Tasks'!$C$7:$C$246,$A77,'Tasks'!$L$7:$L$246,$D77,'Tasks'!$F$7:$F$246,$B77)</x:f>
        <x:v>-67.49999999999999</x:v>
      </x:c>
      <x:c r="R77" s="22" t="n">
        <x:f>SUMIFS('Tasks'!$AA$7:$AA$246,'Tasks'!$C$7:$C$246,$A77,'Tasks'!$L$7:$L$246,$D77,'Tasks'!$F$7:$F$246,$B77)</x:f>
        <x:v>-92.15658999999998</x:v>
      </x:c>
      <x:c r="S77" s="31" t="n">
        <x:f>IF(K77=0,"N/A",R77/K77)</x:f>
        <x:v>-3.737604835056266</x:v>
      </x:c>
      <x:c r="T77" s="19" t="n">
        <x:f>SUMIFS('Tasks'!$I$7:$I$246,'Tasks'!$C$7:$C$246,$A77,'Tasks'!$L$7:$L$246,$D77,'Tasks'!$F$7:$F$246,$B77)</x:f>
        <x:v>2.4299999999999997</x:v>
      </x:c>
      <x:c r="U77" s="31" t="n">
        <x:f>IF(O77=0,"N/A",T77/O77)</x:f>
        <x:v>0.3594674556213017</x:v>
      </x:c>
      <x:c r="V77" s="17" t="n">
        <x:f>SUMIFS('Tasks'!$X$7:$X$246,'Tasks'!$C$7:$C$246,$A77,'Tasks'!$L$7:$L$246,$D77,'Tasks'!$F$7:$F$246,$B77)</x:f>
        <x:v>22</x:v>
      </x:c>
      <x:c r="W77" s="31" t="n">
        <x:f>IF(L77=0,"N/A",V77/L77)</x:f>
        <x:v>0.5116279069767442</x:v>
      </x:c>
      <x:c r="X77" s="17" t="n">
        <x:f>COUNTIFS('Tasks'!$C$7:$C$246,$A77,'Tasks'!$L$7:$L$246,$D77,'Tasks'!$F$7:$F$246,$B77,'Tasks'!$L$7:$L$246,"Yes")</x:f>
        <x:v>0</x:v>
      </x:c>
      <x:c r="Y77" s="17" t="n">
        <x:f>COUNTIFS('Tasks'!$C$7:$C$246,$A77,'Tasks'!$L$7:$L$246,$D77,'Tasks'!$F$7:$F$246,$B77,'Tasks'!$K$7:$K$246,"Yes")</x:f>
        <x:v>1</x:v>
      </x:c>
      <x:c r="Z77" s="17" t="n">
        <x:f>COUNTIFS('Tasks'!$C$7:$C$246,$A77,'Tasks'!$L$7:$L$246,$D77,'Tasks'!$F$7:$F$246,$B77,'Tasks'!$AA$7:$AA$246,"&gt;0")</x:f>
        <x:v>0</x:v>
      </x:c>
      <x:c r="AA77" s="17" t="n">
        <x:f>COUNTIFS('Tasks'!$C$7:$C$246,$A77,'Tasks'!$L$7:$L$246,$D77,'Tasks'!$F$7:$F$246,$B77,'Tasks'!$AA$7:$AA$246,"&lt;0")</x:f>
        <x:v>2</x:v>
      </x:c>
      <x:c r="AB77" s="19" t="n">
        <x:f>IF(E77=0,"N/A",V77/E77)</x:f>
        <x:v>11</x:v>
      </x:c>
      <x:c r="AC77" s="22" t="n">
        <x:f>IF(E77=0,"N/A",K77/E77)</x:f>
        <x:v>12.328295</x:v>
      </x:c>
      <x:c r="AD77" s="19" t="n">
        <x:f>IF(E77=0,"N/A",P77/E77)</x:f>
        <x:v>-0.6749999999999998</x:v>
      </x:c>
    </x:row>
    <x:row r="78" ht="23" customHeight="1">
      <x:c r="A78" s="17" t="str">
        <x:v>C002</x:v>
      </x:c>
      <x:c r="B78" s="17" t="str">
        <x:v>Plan visual narrative</x:v>
      </x:c>
      <x:c r="C78" s="17" t="str">
        <x:v>prompt_template_used</x:v>
      </x:c>
      <x:c r="D78" s="17" t="str">
        <x:v>Yes</x:v>
      </x:c>
      <x:c r="E78" s="17" t="n">
        <x:f>COUNTIFS('Tasks'!$C$7:$C$246,$A78,'Tasks'!$L$7:$L$246,$D78,'Tasks'!$F$7:$F$246,$B78)</x:f>
        <x:v>3</x:v>
      </x:c>
      <x:c r="F78" s="17" t="n">
        <x:f>SUMIFS('Tasks'!$O$7:$O$246,'Tasks'!$C$7:$C$246,$A78,'Tasks'!$L$7:$L$246,$D78,'Tasks'!$F$7:$F$246,$B78)</x:f>
        <x:v>1694402</x:v>
      </x:c>
      <x:c r="G78" s="17" t="n">
        <x:f>SUMIFS('Tasks'!$P$7:$P$246,'Tasks'!$C$7:$C$246,$A78,'Tasks'!$L$7:$L$246,$D78,'Tasks'!$F$7:$F$246,$B78)</x:f>
        <x:v>494996</x:v>
      </x:c>
      <x:c r="H78" s="17" t="n">
        <x:f>SUMIFS('Tasks'!$Q$7:$Q$246,'Tasks'!$C$7:$C$246,$A78,'Tasks'!$L$7:$L$246,$D78,'Tasks'!$F$7:$F$246,$B78)</x:f>
        <x:v>2189398</x:v>
      </x:c>
      <x:c r="I78" s="22" t="n">
        <x:f>SUMIFS('Tasks'!$S$7:$S$246,'Tasks'!$C$7:$C$246,$A78,'Tasks'!$L$7:$L$246,$D78,'Tasks'!$F$7:$F$246,$B78)</x:f>
        <x:v>29.83112</x:v>
      </x:c>
      <x:c r="J78" s="22" t="n">
        <x:f>SUMIFS('Tasks'!$T$7:$T$246,'Tasks'!$C$7:$C$246,$A78,'Tasks'!$L$7:$L$246,$D78,'Tasks'!$F$7:$F$246,$B78)</x:f>
        <x:v>32.090039999999995</x:v>
      </x:c>
      <x:c r="K78" s="22" t="n">
        <x:f>SUMIFS('Tasks'!$U$7:$U$246,'Tasks'!$C$7:$C$246,$A78,'Tasks'!$L$7:$L$246,$D78,'Tasks'!$F$7:$F$246,$B78)</x:f>
        <x:v>61.92116</x:v>
      </x:c>
      <x:c r="L78" s="17" t="n">
        <x:f>SUMIFS('Tasks'!$R$7:$R$246,'Tasks'!$C$7:$C$246,$A78,'Tasks'!$L$7:$L$246,$D78,'Tasks'!$F$7:$F$246,$B78)</x:f>
        <x:v>57</x:v>
      </x:c>
      <x:c r="M78" s="22" t="n">
        <x:f>IF(L78=0,"N/A",K78/L78)</x:f>
        <x:v>1.086336140350877</x:v>
      </x:c>
      <x:c r="N78" s="19" t="n">
        <x:f>SUMIFS('Tasks'!$G$7:$G$246,'Tasks'!$C$7:$C$246,$A78,'Tasks'!$L$7:$L$246,$D78,'Tasks'!$F$7:$F$246,$B78)</x:f>
        <x:v>9.309999999999999</x:v>
      </x:c>
      <x:c r="O78" s="19" t="n">
        <x:f>SUMIFS('Tasks'!$H$7:$H$246,'Tasks'!$C$7:$C$246,$A78,'Tasks'!$L$7:$L$246,$D78,'Tasks'!$F$7:$F$246,$B78)</x:f>
        <x:v>11.91</x:v>
      </x:c>
      <x:c r="P78" s="19" t="n">
        <x:f>SUMIFS('Tasks'!$Y$7:$Y$246,'Tasks'!$C$7:$C$246,$A78,'Tasks'!$L$7:$L$246,$D78,'Tasks'!$F$7:$F$246,$B78)</x:f>
        <x:v>-2.5999999999999996</x:v>
      </x:c>
      <x:c r="Q78" s="22" t="n">
        <x:f>SUMIFS('Tasks'!$Z$7:$Z$246,'Tasks'!$C$7:$C$246,$A78,'Tasks'!$L$7:$L$246,$D78,'Tasks'!$F$7:$F$246,$B78)</x:f>
        <x:v>-130</x:v>
      </x:c>
      <x:c r="R78" s="22" t="n">
        <x:f>SUMIFS('Tasks'!$AA$7:$AA$246,'Tasks'!$C$7:$C$246,$A78,'Tasks'!$L$7:$L$246,$D78,'Tasks'!$F$7:$F$246,$B78)</x:f>
        <x:v>-191.92116000000001</x:v>
      </x:c>
      <x:c r="S78" s="31" t="n">
        <x:f>IF(K78=0,"N/A",R78/K78)</x:f>
        <x:v>-3.0994438734674867</x:v>
      </x:c>
      <x:c r="T78" s="19" t="n">
        <x:f>SUMIFS('Tasks'!$I$7:$I$246,'Tasks'!$C$7:$C$246,$A78,'Tasks'!$L$7:$L$246,$D78,'Tasks'!$F$7:$F$246,$B78)</x:f>
        <x:v>2.01</x:v>
      </x:c>
      <x:c r="U78" s="31" t="n">
        <x:f>IF(O78=0,"N/A",T78/O78)</x:f>
        <x:v>0.16876574307304784</x:v>
      </x:c>
      <x:c r="V78" s="17" t="n">
        <x:f>SUMIFS('Tasks'!$X$7:$X$246,'Tasks'!$C$7:$C$246,$A78,'Tasks'!$L$7:$L$246,$D78,'Tasks'!$F$7:$F$246,$B78)</x:f>
        <x:v>19</x:v>
      </x:c>
      <x:c r="W78" s="31" t="n">
        <x:f>IF(L78=0,"N/A",V78/L78)</x:f>
        <x:v>0.3333333333333333</x:v>
      </x:c>
      <x:c r="X78" s="17" t="n">
        <x:f>COUNTIFS('Tasks'!$C$7:$C$246,$A78,'Tasks'!$L$7:$L$246,$D78,'Tasks'!$F$7:$F$246,$B78,'Tasks'!$L$7:$L$246,"Yes")</x:f>
        <x:v>3</x:v>
      </x:c>
      <x:c r="Y78" s="17" t="n">
        <x:f>COUNTIFS('Tasks'!$C$7:$C$246,$A78,'Tasks'!$L$7:$L$246,$D78,'Tasks'!$F$7:$F$246,$B78,'Tasks'!$K$7:$K$246,"Yes")</x:f>
        <x:v>0</x:v>
      </x:c>
      <x:c r="Z78" s="17" t="n">
        <x:f>COUNTIFS('Tasks'!$C$7:$C$246,$A78,'Tasks'!$L$7:$L$246,$D78,'Tasks'!$F$7:$F$246,$B78,'Tasks'!$AA$7:$AA$246,"&gt;0")</x:f>
        <x:v>1</x:v>
      </x:c>
      <x:c r="AA78" s="17" t="n">
        <x:f>COUNTIFS('Tasks'!$C$7:$C$246,$A78,'Tasks'!$L$7:$L$246,$D78,'Tasks'!$F$7:$F$246,$B78,'Tasks'!$AA$7:$AA$246,"&lt;0")</x:f>
        <x:v>2</x:v>
      </x:c>
      <x:c r="AB78" s="19" t="n">
        <x:f>IF(E78=0,"N/A",V78/E78)</x:f>
        <x:v>6.333333333333333</x:v>
      </x:c>
      <x:c r="AC78" s="22" t="n">
        <x:f>IF(E78=0,"N/A",K78/E78)</x:f>
        <x:v>20.640386666666668</x:v>
      </x:c>
      <x:c r="AD78" s="19" t="n">
        <x:f>IF(E78=0,"N/A",P78/E78)</x:f>
        <x:v>-0.8666666666666666</x:v>
      </x:c>
    </x:row>
    <x:row r="79" ht="23" customHeight="1">
      <x:c r="A79" s="17" t="str">
        <x:v>C002</x:v>
      </x:c>
      <x:c r="B79" s="17" t="str">
        <x:v>Plan visual narrative</x:v>
      </x:c>
      <x:c r="C79" s="17" t="str">
        <x:v>brief_changed</x:v>
      </x:c>
      <x:c r="D79" s="17" t="str">
        <x:v>No</x:v>
      </x:c>
      <x:c r="E79" s="17" t="n">
        <x:f>COUNTIFS('Tasks'!$C$7:$C$246,$A79,'Tasks'!$K$7:$K$246,$D79,'Tasks'!$F$7:$F$246,$B79)</x:f>
        <x:v>4</x:v>
      </x:c>
      <x:c r="F79" s="17" t="n">
        <x:f>SUMIFS('Tasks'!$O$7:$O$246,'Tasks'!$C$7:$C$246,$A79,'Tasks'!$K$7:$K$246,$D79,'Tasks'!$F$7:$F$246,$B79)</x:f>
        <x:v>2396016</x:v>
      </x:c>
      <x:c r="G79" s="17" t="n">
        <x:f>SUMIFS('Tasks'!$P$7:$P$246,'Tasks'!$C$7:$C$246,$A79,'Tasks'!$K$7:$K$246,$D79,'Tasks'!$F$7:$F$246,$B79)</x:f>
        <x:v>620697</x:v>
      </x:c>
      <x:c r="H79" s="17" t="n">
        <x:f>SUMIFS('Tasks'!$Q$7:$Q$246,'Tasks'!$C$7:$C$246,$A79,'Tasks'!$K$7:$K$246,$D79,'Tasks'!$F$7:$F$246,$B79)</x:f>
        <x:v>3016713</x:v>
      </x:c>
      <x:c r="I79" s="22" t="n">
        <x:f>SUMIFS('Tasks'!$S$7:$S$246,'Tasks'!$C$7:$C$246,$A79,'Tasks'!$K$7:$K$246,$D79,'Tasks'!$F$7:$F$246,$B79)</x:f>
        <x:v>36.84726</x:v>
      </x:c>
      <x:c r="J79" s="22" t="n">
        <x:f>SUMIFS('Tasks'!$T$7:$T$246,'Tasks'!$C$7:$C$246,$A79,'Tasks'!$K$7:$K$246,$D79,'Tasks'!$F$7:$F$246,$B79)</x:f>
        <x:v>35.86107</x:v>
      </x:c>
      <x:c r="K79" s="22" t="n">
        <x:f>SUMIFS('Tasks'!$U$7:$U$246,'Tasks'!$C$7:$C$246,$A79,'Tasks'!$K$7:$K$246,$D79,'Tasks'!$F$7:$F$246,$B79)</x:f>
        <x:v>72.70833</x:v>
      </x:c>
      <x:c r="L79" s="17" t="n">
        <x:f>SUMIFS('Tasks'!$R$7:$R$246,'Tasks'!$C$7:$C$246,$A79,'Tasks'!$K$7:$K$246,$D79,'Tasks'!$F$7:$F$246,$B79)</x:f>
        <x:v>75</x:v>
      </x:c>
      <x:c r="M79" s="22" t="n">
        <x:f>IF(L79=0,"N/A",K79/L79)</x:f>
        <x:v>0.9694444000000001</x:v>
      </x:c>
      <x:c r="N79" s="19" t="n">
        <x:f>SUMIFS('Tasks'!$G$7:$G$246,'Tasks'!$C$7:$C$246,$A79,'Tasks'!$K$7:$K$246,$D79,'Tasks'!$F$7:$F$246,$B79)</x:f>
        <x:v>11.739999999999998</x:v>
      </x:c>
      <x:c r="O79" s="19" t="n">
        <x:f>SUMIFS('Tasks'!$H$7:$H$246,'Tasks'!$C$7:$C$246,$A79,'Tasks'!$K$7:$K$246,$D79,'Tasks'!$F$7:$F$246,$B79)</x:f>
        <x:v>15.16</x:v>
      </x:c>
      <x:c r="P79" s="19" t="n">
        <x:f>SUMIFS('Tasks'!$Y$7:$Y$246,'Tasks'!$C$7:$C$246,$A79,'Tasks'!$K$7:$K$246,$D79,'Tasks'!$F$7:$F$246,$B79)</x:f>
        <x:v>-3.4199999999999995</x:v>
      </x:c>
      <x:c r="Q79" s="22" t="n">
        <x:f>SUMIFS('Tasks'!$Z$7:$Z$246,'Tasks'!$C$7:$C$246,$A79,'Tasks'!$K$7:$K$246,$D79,'Tasks'!$F$7:$F$246,$B79)</x:f>
        <x:v>-171</x:v>
      </x:c>
      <x:c r="R79" s="22" t="n">
        <x:f>SUMIFS('Tasks'!$AA$7:$AA$246,'Tasks'!$C$7:$C$246,$A79,'Tasks'!$K$7:$K$246,$D79,'Tasks'!$F$7:$F$246,$B79)</x:f>
        <x:v>-243.70833</x:v>
      </x:c>
      <x:c r="S79" s="31" t="n">
        <x:f>IF(K79=0,"N/A",R79/K79)</x:f>
        <x:v>-3.3518625720051607</x:v>
      </x:c>
      <x:c r="T79" s="19" t="n">
        <x:f>SUMIFS('Tasks'!$I$7:$I$246,'Tasks'!$C$7:$C$246,$A79,'Tasks'!$K$7:$K$246,$D79,'Tasks'!$F$7:$F$246,$B79)</x:f>
        <x:v>3.4899999999999998</x:v>
      </x:c>
      <x:c r="U79" s="31" t="n">
        <x:f>IF(O79=0,"N/A",T79/O79)</x:f>
        <x:v>0.23021108179419522</x:v>
      </x:c>
      <x:c r="V79" s="17" t="n">
        <x:f>SUMIFS('Tasks'!$X$7:$X$246,'Tasks'!$C$7:$C$246,$A79,'Tasks'!$K$7:$K$246,$D79,'Tasks'!$F$7:$F$246,$B79)</x:f>
        <x:v>28</x:v>
      </x:c>
      <x:c r="W79" s="31" t="n">
        <x:f>IF(L79=0,"N/A",V79/L79)</x:f>
        <x:v>0.37333333333333335</x:v>
      </x:c>
      <x:c r="X79" s="17" t="n">
        <x:f>COUNTIFS('Tasks'!$C$7:$C$246,$A79,'Tasks'!$K$7:$K$246,$D79,'Tasks'!$F$7:$F$246,$B79,'Tasks'!$L$7:$L$246,"Yes")</x:f>
        <x:v>3</x:v>
      </x:c>
      <x:c r="Y79" s="17" t="n">
        <x:f>COUNTIFS('Tasks'!$C$7:$C$246,$A79,'Tasks'!$K$7:$K$246,$D79,'Tasks'!$F$7:$F$246,$B79,'Tasks'!$K$7:$K$246,"Yes")</x:f>
        <x:v>0</x:v>
      </x:c>
      <x:c r="Z79" s="17" t="n">
        <x:f>COUNTIFS('Tasks'!$C$7:$C$246,$A79,'Tasks'!$K$7:$K$246,$D79,'Tasks'!$F$7:$F$246,$B79,'Tasks'!$AA$7:$AA$246,"&gt;0")</x:f>
        <x:v>1</x:v>
      </x:c>
      <x:c r="AA79" s="17" t="n">
        <x:f>COUNTIFS('Tasks'!$C$7:$C$246,$A79,'Tasks'!$K$7:$K$246,$D79,'Tasks'!$F$7:$F$246,$B79,'Tasks'!$AA$7:$AA$246,"&lt;0")</x:f>
        <x:v>3</x:v>
      </x:c>
      <x:c r="AB79" s="19" t="n">
        <x:f>IF(E79=0,"N/A",V79/E79)</x:f>
        <x:v>7</x:v>
      </x:c>
      <x:c r="AC79" s="22" t="n">
        <x:f>IF(E79=0,"N/A",K79/E79)</x:f>
        <x:v>18.1770825</x:v>
      </x:c>
      <x:c r="AD79" s="19" t="n">
        <x:f>IF(E79=0,"N/A",P79/E79)</x:f>
        <x:v>-0.8549999999999999</x:v>
      </x:c>
    </x:row>
    <x:row r="80" ht="23" customHeight="1">
      <x:c r="A80" s="17" t="str">
        <x:v>C002</x:v>
      </x:c>
      <x:c r="B80" s="17" t="str">
        <x:v>Plan visual narrative</x:v>
      </x:c>
      <x:c r="C80" s="17" t="str">
        <x:v>brief_changed</x:v>
      </x:c>
      <x:c r="D80" s="17" t="str">
        <x:v>Yes</x:v>
      </x:c>
      <x:c r="E80" s="17" t="n">
        <x:f>COUNTIFS('Tasks'!$C$7:$C$246,$A80,'Tasks'!$K$7:$K$246,$D80,'Tasks'!$F$7:$F$246,$B80)</x:f>
        <x:v>1</x:v>
      </x:c>
      <x:c r="F80" s="17" t="n">
        <x:f>SUMIFS('Tasks'!$O$7:$O$246,'Tasks'!$C$7:$C$246,$A80,'Tasks'!$K$7:$K$246,$D80,'Tasks'!$F$7:$F$246,$B80)</x:f>
        <x:v>953118</x:v>
      </x:c>
      <x:c r="G80" s="17" t="n">
        <x:f>SUMIFS('Tasks'!$P$7:$P$246,'Tasks'!$C$7:$C$246,$A80,'Tasks'!$K$7:$K$246,$D80,'Tasks'!$F$7:$F$246,$B80)</x:f>
        <x:v>144608</x:v>
      </x:c>
      <x:c r="H80" s="17" t="n">
        <x:f>SUMIFS('Tasks'!$Q$7:$Q$246,'Tasks'!$C$7:$C$246,$A80,'Tasks'!$K$7:$K$246,$D80,'Tasks'!$F$7:$F$246,$B80)</x:f>
        <x:v>1097726</x:v>
      </x:c>
      <x:c r="I80" s="22" t="n">
        <x:f>SUMIFS('Tasks'!$S$7:$S$246,'Tasks'!$C$7:$C$246,$A80,'Tasks'!$K$7:$K$246,$D80,'Tasks'!$F$7:$F$246,$B80)</x:f>
        <x:v>9.531179999999997</x:v>
      </x:c>
      <x:c r="J80" s="22" t="n">
        <x:f>SUMIFS('Tasks'!$T$7:$T$246,'Tasks'!$C$7:$C$246,$A80,'Tasks'!$K$7:$K$246,$D80,'Tasks'!$F$7:$F$246,$B80)</x:f>
        <x:v>4.33824</x:v>
      </x:c>
      <x:c r="K80" s="22" t="n">
        <x:f>SUMIFS('Tasks'!$U$7:$U$246,'Tasks'!$C$7:$C$246,$A80,'Tasks'!$K$7:$K$246,$D80,'Tasks'!$F$7:$F$246,$B80)</x:f>
        <x:v>13.869420000000002</x:v>
      </x:c>
      <x:c r="L80" s="17" t="n">
        <x:f>SUMIFS('Tasks'!$R$7:$R$246,'Tasks'!$C$7:$C$246,$A80,'Tasks'!$K$7:$K$246,$D80,'Tasks'!$F$7:$F$246,$B80)</x:f>
        <x:v>25</x:v>
      </x:c>
      <x:c r="M80" s="22" t="n">
        <x:f>IF(L80=0,"N/A",K80/L80)</x:f>
        <x:v>0.5547768000000001</x:v>
      </x:c>
      <x:c r="N80" s="19" t="n">
        <x:f>SUMIFS('Tasks'!$G$7:$G$246,'Tasks'!$C$7:$C$246,$A80,'Tasks'!$K$7:$K$246,$D80,'Tasks'!$F$7:$F$246,$B80)</x:f>
        <x:v>2.98</x:v>
      </x:c>
      <x:c r="O80" s="19" t="n">
        <x:f>SUMIFS('Tasks'!$H$7:$H$246,'Tasks'!$C$7:$C$246,$A80,'Tasks'!$K$7:$K$246,$D80,'Tasks'!$F$7:$F$246,$B80)</x:f>
        <x:v>3.51</x:v>
      </x:c>
      <x:c r="P80" s="19" t="n">
        <x:f>SUMIFS('Tasks'!$Y$7:$Y$246,'Tasks'!$C$7:$C$246,$A80,'Tasks'!$K$7:$K$246,$D80,'Tasks'!$F$7:$F$246,$B80)</x:f>
        <x:v>-0.5299999999999998</x:v>
      </x:c>
      <x:c r="Q80" s="22" t="n">
        <x:f>SUMIFS('Tasks'!$Z$7:$Z$246,'Tasks'!$C$7:$C$246,$A80,'Tasks'!$K$7:$K$246,$D80,'Tasks'!$F$7:$F$246,$B80)</x:f>
        <x:v>-26.49999999999999</x:v>
      </x:c>
      <x:c r="R80" s="22" t="n">
        <x:f>SUMIFS('Tasks'!$AA$7:$AA$246,'Tasks'!$C$7:$C$246,$A80,'Tasks'!$K$7:$K$246,$D80,'Tasks'!$F$7:$F$246,$B80)</x:f>
        <x:v>-40.36941999999999</x:v>
      </x:c>
      <x:c r="S80" s="31" t="n">
        <x:f>IF(K80=0,"N/A",R80/K80)</x:f>
        <x:v>-2.9106783124312328</x:v>
      </x:c>
      <x:c r="T80" s="19" t="n">
        <x:f>SUMIFS('Tasks'!$I$7:$I$246,'Tasks'!$C$7:$C$246,$A80,'Tasks'!$K$7:$K$246,$D80,'Tasks'!$F$7:$F$246,$B80)</x:f>
        <x:v>0.95</x:v>
      </x:c>
      <x:c r="U80" s="31" t="n">
        <x:f>IF(O80=0,"N/A",T80/O80)</x:f>
        <x:v>0.2706552706552707</x:v>
      </x:c>
      <x:c r="V80" s="17" t="n">
        <x:f>SUMIFS('Tasks'!$X$7:$X$246,'Tasks'!$C$7:$C$246,$A80,'Tasks'!$K$7:$K$246,$D80,'Tasks'!$F$7:$F$246,$B80)</x:f>
        <x:v>13</x:v>
      </x:c>
      <x:c r="W80" s="31" t="n">
        <x:f>IF(L80=0,"N/A",V80/L80)</x:f>
        <x:v>0.52</x:v>
      </x:c>
      <x:c r="X80" s="17" t="n">
        <x:f>COUNTIFS('Tasks'!$C$7:$C$246,$A80,'Tasks'!$K$7:$K$246,$D80,'Tasks'!$F$7:$F$246,$B80,'Tasks'!$L$7:$L$246,"Yes")</x:f>
        <x:v>0</x:v>
      </x:c>
      <x:c r="Y80" s="17" t="n">
        <x:f>COUNTIFS('Tasks'!$C$7:$C$246,$A80,'Tasks'!$K$7:$K$246,$D80,'Tasks'!$F$7:$F$246,$B80,'Tasks'!$K$7:$K$246,"Yes")</x:f>
        <x:v>1</x:v>
      </x:c>
      <x:c r="Z80" s="17" t="n">
        <x:f>COUNTIFS('Tasks'!$C$7:$C$246,$A80,'Tasks'!$K$7:$K$246,$D80,'Tasks'!$F$7:$F$246,$B80,'Tasks'!$AA$7:$AA$246,"&gt;0")</x:f>
        <x:v>0</x:v>
      </x:c>
      <x:c r="AA80" s="17" t="n">
        <x:f>COUNTIFS('Tasks'!$C$7:$C$246,$A80,'Tasks'!$K$7:$K$246,$D80,'Tasks'!$F$7:$F$246,$B80,'Tasks'!$AA$7:$AA$246,"&lt;0")</x:f>
        <x:v>1</x:v>
      </x:c>
      <x:c r="AB80" s="19" t="n">
        <x:f>IF(E80=0,"N/A",V80/E80)</x:f>
        <x:v>13</x:v>
      </x:c>
      <x:c r="AC80" s="22" t="n">
        <x:f>IF(E80=0,"N/A",K80/E80)</x:f>
        <x:v>13.869420000000002</x:v>
      </x:c>
      <x:c r="AD80" s="19" t="n">
        <x:f>IF(E80=0,"N/A",P80/E80)</x:f>
        <x:v>-0.5299999999999998</x:v>
      </x:c>
    </x:row>
    <x:row r="81" ht="23" customHeight="1">
      <x:c r="A81" s="17" t="str">
        <x:v>C002</x:v>
      </x:c>
      <x:c r="B81" s="17" t="str">
        <x:v>Prepare launch checklist</x:v>
      </x:c>
      <x:c r="C81" s="17" t="str">
        <x:v>prompt_template_used</x:v>
      </x:c>
      <x:c r="D81" s="17" t="str">
        <x:v>No</x:v>
      </x:c>
      <x:c r="E81" s="17" t="n">
        <x:f>COUNTIFS('Tasks'!$C$7:$C$246,$A81,'Tasks'!$L$7:$L$246,$D81,'Tasks'!$F$7:$F$246,$B81)</x:f>
        <x:v>4</x:v>
      </x:c>
      <x:c r="F81" s="17" t="n">
        <x:f>SUMIFS('Tasks'!$O$7:$O$246,'Tasks'!$C$7:$C$246,$A81,'Tasks'!$L$7:$L$246,$D81,'Tasks'!$F$7:$F$246,$B81)</x:f>
        <x:v>2009412</x:v>
      </x:c>
      <x:c r="G81" s="17" t="n">
        <x:f>SUMIFS('Tasks'!$P$7:$P$246,'Tasks'!$C$7:$C$246,$A81,'Tasks'!$L$7:$L$246,$D81,'Tasks'!$F$7:$F$246,$B81)</x:f>
        <x:v>819718</x:v>
      </x:c>
      <x:c r="H81" s="17" t="n">
        <x:f>SUMIFS('Tasks'!$Q$7:$Q$246,'Tasks'!$C$7:$C$246,$A81,'Tasks'!$L$7:$L$246,$D81,'Tasks'!$F$7:$F$246,$B81)</x:f>
        <x:v>2829130</x:v>
      </x:c>
      <x:c r="I81" s="22" t="n">
        <x:f>SUMIFS('Tasks'!$S$7:$S$246,'Tasks'!$C$7:$C$246,$A81,'Tasks'!$L$7:$L$246,$D81,'Tasks'!$F$7:$F$246,$B81)</x:f>
        <x:v>56.12301</x:v>
      </x:c>
      <x:c r="J81" s="22" t="n">
        <x:f>SUMIFS('Tasks'!$T$7:$T$246,'Tasks'!$C$7:$C$246,$A81,'Tasks'!$L$7:$L$246,$D81,'Tasks'!$F$7:$F$246,$B81)</x:f>
        <x:v>73.77788</x:v>
      </x:c>
      <x:c r="K81" s="22" t="n">
        <x:f>SUMIFS('Tasks'!$U$7:$U$246,'Tasks'!$C$7:$C$246,$A81,'Tasks'!$L$7:$L$246,$D81,'Tasks'!$F$7:$F$246,$B81)</x:f>
        <x:v>129.90089</x:v>
      </x:c>
      <x:c r="L81" s="17" t="n">
        <x:f>SUMIFS('Tasks'!$R$7:$R$246,'Tasks'!$C$7:$C$246,$A81,'Tasks'!$L$7:$L$246,$D81,'Tasks'!$F$7:$F$246,$B81)</x:f>
        <x:v>90</x:v>
      </x:c>
      <x:c r="M81" s="22" t="n">
        <x:f>IF(L81=0,"N/A",K81/L81)</x:f>
        <x:v>1.4433432222222222</x:v>
      </x:c>
      <x:c r="N81" s="19" t="n">
        <x:f>SUMIFS('Tasks'!$G$7:$G$246,'Tasks'!$C$7:$C$246,$A81,'Tasks'!$L$7:$L$246,$D81,'Tasks'!$F$7:$F$246,$B81)</x:f>
        <x:v>14.170000000000002</x:v>
      </x:c>
      <x:c r="O81" s="19" t="n">
        <x:f>SUMIFS('Tasks'!$H$7:$H$246,'Tasks'!$C$7:$C$246,$A81,'Tasks'!$L$7:$L$246,$D81,'Tasks'!$F$7:$F$246,$B81)</x:f>
        <x:v>21.5</x:v>
      </x:c>
      <x:c r="P81" s="19" t="n">
        <x:f>SUMIFS('Tasks'!$Y$7:$Y$246,'Tasks'!$C$7:$C$246,$A81,'Tasks'!$L$7:$L$246,$D81,'Tasks'!$F$7:$F$246,$B81)</x:f>
        <x:v>-7.329999999999999</x:v>
      </x:c>
      <x:c r="Q81" s="22" t="n">
        <x:f>SUMIFS('Tasks'!$Z$7:$Z$246,'Tasks'!$C$7:$C$246,$A81,'Tasks'!$L$7:$L$246,$D81,'Tasks'!$F$7:$F$246,$B81)</x:f>
        <x:v>-366.5</x:v>
      </x:c>
      <x:c r="R81" s="22" t="n">
        <x:f>SUMIFS('Tasks'!$AA$7:$AA$246,'Tasks'!$C$7:$C$246,$A81,'Tasks'!$L$7:$L$246,$D81,'Tasks'!$F$7:$F$246,$B81)</x:f>
        <x:v>-496.40088999999995</x:v>
      </x:c>
      <x:c r="S81" s="31" t="n">
        <x:f>IF(K81=0,"N/A",R81/K81)</x:f>
        <x:v>-3.8213817472690135</x:v>
      </x:c>
      <x:c r="T81" s="19" t="n">
        <x:f>SUMIFS('Tasks'!$I$7:$I$246,'Tasks'!$C$7:$C$246,$A81,'Tasks'!$L$7:$L$246,$D81,'Tasks'!$F$7:$F$246,$B81)</x:f>
        <x:v>7.550000000000001</x:v>
      </x:c>
      <x:c r="U81" s="31" t="n">
        <x:f>IF(O81=0,"N/A",T81/O81)</x:f>
        <x:v>0.3511627906976745</x:v>
      </x:c>
      <x:c r="V81" s="17" t="n">
        <x:f>SUMIFS('Tasks'!$X$7:$X$246,'Tasks'!$C$7:$C$246,$A81,'Tasks'!$L$7:$L$246,$D81,'Tasks'!$F$7:$F$246,$B81)</x:f>
        <x:v>39</x:v>
      </x:c>
      <x:c r="W81" s="31" t="n">
        <x:f>IF(L81=0,"N/A",V81/L81)</x:f>
        <x:v>0.43333333333333335</x:v>
      </x:c>
      <x:c r="X81" s="17" t="n">
        <x:f>COUNTIFS('Tasks'!$C$7:$C$246,$A81,'Tasks'!$L$7:$L$246,$D81,'Tasks'!$F$7:$F$246,$B81,'Tasks'!$L$7:$L$246,"Yes")</x:f>
        <x:v>0</x:v>
      </x:c>
      <x:c r="Y81" s="17" t="n">
        <x:f>COUNTIFS('Tasks'!$C$7:$C$246,$A81,'Tasks'!$L$7:$L$246,$D81,'Tasks'!$F$7:$F$246,$B81,'Tasks'!$K$7:$K$246,"Yes")</x:f>
        <x:v>0</x:v>
      </x:c>
      <x:c r="Z81" s="17" t="n">
        <x:f>COUNTIFS('Tasks'!$C$7:$C$246,$A81,'Tasks'!$L$7:$L$246,$D81,'Tasks'!$F$7:$F$246,$B81,'Tasks'!$AA$7:$AA$246,"&gt;0")</x:f>
        <x:v>0</x:v>
      </x:c>
      <x:c r="AA81" s="17" t="n">
        <x:f>COUNTIFS('Tasks'!$C$7:$C$246,$A81,'Tasks'!$L$7:$L$246,$D81,'Tasks'!$F$7:$F$246,$B81,'Tasks'!$AA$7:$AA$246,"&lt;0")</x:f>
        <x:v>4</x:v>
      </x:c>
      <x:c r="AB81" s="19" t="n">
        <x:f>IF(E81=0,"N/A",V81/E81)</x:f>
        <x:v>9.75</x:v>
      </x:c>
      <x:c r="AC81" s="22" t="n">
        <x:f>IF(E81=0,"N/A",K81/E81)</x:f>
        <x:v>32.4752225</x:v>
      </x:c>
      <x:c r="AD81" s="19" t="n">
        <x:f>IF(E81=0,"N/A",P81/E81)</x:f>
        <x:v>-1.8324999999999998</x:v>
      </x:c>
    </x:row>
    <x:row r="82" ht="23" customHeight="1">
      <x:c r="A82" s="17" t="str">
        <x:v>C002</x:v>
      </x:c>
      <x:c r="B82" s="17" t="str">
        <x:v>Prepare launch checklist</x:v>
      </x:c>
      <x:c r="C82" s="17" t="str">
        <x:v>prompt_template_used</x:v>
      </x:c>
      <x:c r="D82" s="17" t="str">
        <x:v>Yes</x:v>
      </x:c>
      <x:c r="E82" s="17" t="n">
        <x:f>COUNTIFS('Tasks'!$C$7:$C$246,$A82,'Tasks'!$L$7:$L$246,$D82,'Tasks'!$F$7:$F$246,$B82)</x:f>
        <x:v>1</x:v>
      </x:c>
      <x:c r="F82" s="17" t="n">
        <x:f>SUMIFS('Tasks'!$O$7:$O$246,'Tasks'!$C$7:$C$246,$A82,'Tasks'!$L$7:$L$246,$D82,'Tasks'!$F$7:$F$246,$B82)</x:f>
        <x:v>570536</x:v>
      </x:c>
      <x:c r="G82" s="17" t="n">
        <x:f>SUMIFS('Tasks'!$P$7:$P$246,'Tasks'!$C$7:$C$246,$A82,'Tasks'!$L$7:$L$246,$D82,'Tasks'!$F$7:$F$246,$B82)</x:f>
        <x:v>127572</x:v>
      </x:c>
      <x:c r="H82" s="17" t="n">
        <x:f>SUMIFS('Tasks'!$Q$7:$Q$246,'Tasks'!$C$7:$C$246,$A82,'Tasks'!$L$7:$L$246,$D82,'Tasks'!$F$7:$F$246,$B82)</x:f>
        <x:v>698108</x:v>
      </x:c>
      <x:c r="I82" s="22" t="n">
        <x:f>SUMIFS('Tasks'!$S$7:$S$246,'Tasks'!$C$7:$C$246,$A82,'Tasks'!$L$7:$L$246,$D82,'Tasks'!$F$7:$F$246,$B82)</x:f>
        <x:v>5.705360000000001</x:v>
      </x:c>
      <x:c r="J82" s="22" t="n">
        <x:f>SUMIFS('Tasks'!$T$7:$T$246,'Tasks'!$C$7:$C$246,$A82,'Tasks'!$L$7:$L$246,$D82,'Tasks'!$F$7:$F$246,$B82)</x:f>
        <x:v>3.8271600000000006</x:v>
      </x:c>
      <x:c r="K82" s="22" t="n">
        <x:f>SUMIFS('Tasks'!$U$7:$U$246,'Tasks'!$C$7:$C$246,$A82,'Tasks'!$L$7:$L$246,$D82,'Tasks'!$F$7:$F$246,$B82)</x:f>
        <x:v>9.53252</x:v>
      </x:c>
      <x:c r="L82" s="17" t="n">
        <x:f>SUMIFS('Tasks'!$R$7:$R$246,'Tasks'!$C$7:$C$246,$A82,'Tasks'!$L$7:$L$246,$D82,'Tasks'!$F$7:$F$246,$B82)</x:f>
        <x:v>23</x:v>
      </x:c>
      <x:c r="M82" s="22" t="n">
        <x:f>IF(L82=0,"N/A",K82/L82)</x:f>
        <x:v>0.41445739130434783</x:v>
      </x:c>
      <x:c r="N82" s="19" t="n">
        <x:f>SUMIFS('Tasks'!$G$7:$G$246,'Tasks'!$C$7:$C$246,$A82,'Tasks'!$L$7:$L$246,$D82,'Tasks'!$F$7:$F$246,$B82)</x:f>
        <x:v>3.8</x:v>
      </x:c>
      <x:c r="O82" s="19" t="n">
        <x:f>SUMIFS('Tasks'!$H$7:$H$246,'Tasks'!$C$7:$C$246,$A82,'Tasks'!$L$7:$L$246,$D82,'Tasks'!$F$7:$F$246,$B82)</x:f>
        <x:v>6.17</x:v>
      </x:c>
      <x:c r="P82" s="19" t="n">
        <x:f>SUMIFS('Tasks'!$Y$7:$Y$246,'Tasks'!$C$7:$C$246,$A82,'Tasks'!$L$7:$L$246,$D82,'Tasks'!$F$7:$F$246,$B82)</x:f>
        <x:v>-2.37</x:v>
      </x:c>
      <x:c r="Q82" s="22" t="n">
        <x:f>SUMIFS('Tasks'!$Z$7:$Z$246,'Tasks'!$C$7:$C$246,$A82,'Tasks'!$L$7:$L$246,$D82,'Tasks'!$F$7:$F$246,$B82)</x:f>
        <x:v>-118.5</x:v>
      </x:c>
      <x:c r="R82" s="22" t="n">
        <x:f>SUMIFS('Tasks'!$AA$7:$AA$246,'Tasks'!$C$7:$C$246,$A82,'Tasks'!$L$7:$L$246,$D82,'Tasks'!$F$7:$F$246,$B82)</x:f>
        <x:v>-128.03252</x:v>
      </x:c>
      <x:c r="S82" s="31" t="n">
        <x:f>IF(K82=0,"N/A",R82/K82)</x:f>
        <x:v>-13.431130488055626</x:v>
      </x:c>
      <x:c r="T82" s="19" t="n">
        <x:f>SUMIFS('Tasks'!$I$7:$I$246,'Tasks'!$C$7:$C$246,$A82,'Tasks'!$L$7:$L$246,$D82,'Tasks'!$F$7:$F$246,$B82)</x:f>
        <x:v>2.54</x:v>
      </x:c>
      <x:c r="U82" s="31" t="n">
        <x:f>IF(O82=0,"N/A",T82/O82)</x:f>
        <x:v>0.41166936790923825</x:v>
      </x:c>
      <x:c r="V82" s="17" t="n">
        <x:f>SUMIFS('Tasks'!$X$7:$X$246,'Tasks'!$C$7:$C$246,$A82,'Tasks'!$L$7:$L$246,$D82,'Tasks'!$F$7:$F$246,$B82)</x:f>
        <x:v>12</x:v>
      </x:c>
      <x:c r="W82" s="31" t="n">
        <x:f>IF(L82=0,"N/A",V82/L82)</x:f>
        <x:v>0.5217391304347826</x:v>
      </x:c>
      <x:c r="X82" s="17" t="n">
        <x:f>COUNTIFS('Tasks'!$C$7:$C$246,$A82,'Tasks'!$L$7:$L$246,$D82,'Tasks'!$F$7:$F$246,$B82,'Tasks'!$L$7:$L$246,"Yes")</x:f>
        <x:v>1</x:v>
      </x:c>
      <x:c r="Y82" s="17" t="n">
        <x:f>COUNTIFS('Tasks'!$C$7:$C$246,$A82,'Tasks'!$L$7:$L$246,$D82,'Tasks'!$F$7:$F$246,$B82,'Tasks'!$K$7:$K$246,"Yes")</x:f>
        <x:v>1</x:v>
      </x:c>
      <x:c r="Z82" s="17" t="n">
        <x:f>COUNTIFS('Tasks'!$C$7:$C$246,$A82,'Tasks'!$L$7:$L$246,$D82,'Tasks'!$F$7:$F$246,$B82,'Tasks'!$AA$7:$AA$246,"&gt;0")</x:f>
        <x:v>0</x:v>
      </x:c>
      <x:c r="AA82" s="17" t="n">
        <x:f>COUNTIFS('Tasks'!$C$7:$C$246,$A82,'Tasks'!$L$7:$L$246,$D82,'Tasks'!$F$7:$F$246,$B82,'Tasks'!$AA$7:$AA$246,"&lt;0")</x:f>
        <x:v>1</x:v>
      </x:c>
      <x:c r="AB82" s="19" t="n">
        <x:f>IF(E82=0,"N/A",V82/E82)</x:f>
        <x:v>12</x:v>
      </x:c>
      <x:c r="AC82" s="22" t="n">
        <x:f>IF(E82=0,"N/A",K82/E82)</x:f>
        <x:v>9.53252</x:v>
      </x:c>
      <x:c r="AD82" s="19" t="n">
        <x:f>IF(E82=0,"N/A",P82/E82)</x:f>
        <x:v>-2.37</x:v>
      </x:c>
    </x:row>
    <x:row r="83" ht="23" customHeight="1">
      <x:c r="A83" s="17" t="str">
        <x:v>C002</x:v>
      </x:c>
      <x:c r="B83" s="17" t="str">
        <x:v>Prepare launch checklist</x:v>
      </x:c>
      <x:c r="C83" s="17" t="str">
        <x:v>brief_changed</x:v>
      </x:c>
      <x:c r="D83" s="17" t="str">
        <x:v>No</x:v>
      </x:c>
      <x:c r="E83" s="17" t="n">
        <x:f>COUNTIFS('Tasks'!$C$7:$C$246,$A83,'Tasks'!$K$7:$K$246,$D83,'Tasks'!$F$7:$F$246,$B83)</x:f>
        <x:v>4</x:v>
      </x:c>
      <x:c r="F83" s="17" t="n">
        <x:f>SUMIFS('Tasks'!$O$7:$O$246,'Tasks'!$C$7:$C$246,$A83,'Tasks'!$K$7:$K$246,$D83,'Tasks'!$F$7:$F$246,$B83)</x:f>
        <x:v>2009412</x:v>
      </x:c>
      <x:c r="G83" s="17" t="n">
        <x:f>SUMIFS('Tasks'!$P$7:$P$246,'Tasks'!$C$7:$C$246,$A83,'Tasks'!$K$7:$K$246,$D83,'Tasks'!$F$7:$F$246,$B83)</x:f>
        <x:v>819718</x:v>
      </x:c>
      <x:c r="H83" s="17" t="n">
        <x:f>SUMIFS('Tasks'!$Q$7:$Q$246,'Tasks'!$C$7:$C$246,$A83,'Tasks'!$K$7:$K$246,$D83,'Tasks'!$F$7:$F$246,$B83)</x:f>
        <x:v>2829130</x:v>
      </x:c>
      <x:c r="I83" s="22" t="n">
        <x:f>SUMIFS('Tasks'!$S$7:$S$246,'Tasks'!$C$7:$C$246,$A83,'Tasks'!$K$7:$K$246,$D83,'Tasks'!$F$7:$F$246,$B83)</x:f>
        <x:v>56.12301</x:v>
      </x:c>
      <x:c r="J83" s="22" t="n">
        <x:f>SUMIFS('Tasks'!$T$7:$T$246,'Tasks'!$C$7:$C$246,$A83,'Tasks'!$K$7:$K$246,$D83,'Tasks'!$F$7:$F$246,$B83)</x:f>
        <x:v>73.77788</x:v>
      </x:c>
      <x:c r="K83" s="22" t="n">
        <x:f>SUMIFS('Tasks'!$U$7:$U$246,'Tasks'!$C$7:$C$246,$A83,'Tasks'!$K$7:$K$246,$D83,'Tasks'!$F$7:$F$246,$B83)</x:f>
        <x:v>129.90089</x:v>
      </x:c>
      <x:c r="L83" s="17" t="n">
        <x:f>SUMIFS('Tasks'!$R$7:$R$246,'Tasks'!$C$7:$C$246,$A83,'Tasks'!$K$7:$K$246,$D83,'Tasks'!$F$7:$F$246,$B83)</x:f>
        <x:v>90</x:v>
      </x:c>
      <x:c r="M83" s="22" t="n">
        <x:f>IF(L83=0,"N/A",K83/L83)</x:f>
        <x:v>1.4433432222222222</x:v>
      </x:c>
      <x:c r="N83" s="19" t="n">
        <x:f>SUMIFS('Tasks'!$G$7:$G$246,'Tasks'!$C$7:$C$246,$A83,'Tasks'!$K$7:$K$246,$D83,'Tasks'!$F$7:$F$246,$B83)</x:f>
        <x:v>14.170000000000002</x:v>
      </x:c>
      <x:c r="O83" s="19" t="n">
        <x:f>SUMIFS('Tasks'!$H$7:$H$246,'Tasks'!$C$7:$C$246,$A83,'Tasks'!$K$7:$K$246,$D83,'Tasks'!$F$7:$F$246,$B83)</x:f>
        <x:v>21.5</x:v>
      </x:c>
      <x:c r="P83" s="19" t="n">
        <x:f>SUMIFS('Tasks'!$Y$7:$Y$246,'Tasks'!$C$7:$C$246,$A83,'Tasks'!$K$7:$K$246,$D83,'Tasks'!$F$7:$F$246,$B83)</x:f>
        <x:v>-7.329999999999999</x:v>
      </x:c>
      <x:c r="Q83" s="22" t="n">
        <x:f>SUMIFS('Tasks'!$Z$7:$Z$246,'Tasks'!$C$7:$C$246,$A83,'Tasks'!$K$7:$K$246,$D83,'Tasks'!$F$7:$F$246,$B83)</x:f>
        <x:v>-366.5</x:v>
      </x:c>
      <x:c r="R83" s="22" t="n">
        <x:f>SUMIFS('Tasks'!$AA$7:$AA$246,'Tasks'!$C$7:$C$246,$A83,'Tasks'!$K$7:$K$246,$D83,'Tasks'!$F$7:$F$246,$B83)</x:f>
        <x:v>-496.40088999999995</x:v>
      </x:c>
      <x:c r="S83" s="31" t="n">
        <x:f>IF(K83=0,"N/A",R83/K83)</x:f>
        <x:v>-3.8213817472690135</x:v>
      </x:c>
      <x:c r="T83" s="19" t="n">
        <x:f>SUMIFS('Tasks'!$I$7:$I$246,'Tasks'!$C$7:$C$246,$A83,'Tasks'!$K$7:$K$246,$D83,'Tasks'!$F$7:$F$246,$B83)</x:f>
        <x:v>7.550000000000001</x:v>
      </x:c>
      <x:c r="U83" s="31" t="n">
        <x:f>IF(O83=0,"N/A",T83/O83)</x:f>
        <x:v>0.3511627906976745</x:v>
      </x:c>
      <x:c r="V83" s="17" t="n">
        <x:f>SUMIFS('Tasks'!$X$7:$X$246,'Tasks'!$C$7:$C$246,$A83,'Tasks'!$K$7:$K$246,$D83,'Tasks'!$F$7:$F$246,$B83)</x:f>
        <x:v>39</x:v>
      </x:c>
      <x:c r="W83" s="31" t="n">
        <x:f>IF(L83=0,"N/A",V83/L83)</x:f>
        <x:v>0.43333333333333335</x:v>
      </x:c>
      <x:c r="X83" s="17" t="n">
        <x:f>COUNTIFS('Tasks'!$C$7:$C$246,$A83,'Tasks'!$K$7:$K$246,$D83,'Tasks'!$F$7:$F$246,$B83,'Tasks'!$L$7:$L$246,"Yes")</x:f>
        <x:v>0</x:v>
      </x:c>
      <x:c r="Y83" s="17" t="n">
        <x:f>COUNTIFS('Tasks'!$C$7:$C$246,$A83,'Tasks'!$K$7:$K$246,$D83,'Tasks'!$F$7:$F$246,$B83,'Tasks'!$K$7:$K$246,"Yes")</x:f>
        <x:v>0</x:v>
      </x:c>
      <x:c r="Z83" s="17" t="n">
        <x:f>COUNTIFS('Tasks'!$C$7:$C$246,$A83,'Tasks'!$K$7:$K$246,$D83,'Tasks'!$F$7:$F$246,$B83,'Tasks'!$AA$7:$AA$246,"&gt;0")</x:f>
        <x:v>0</x:v>
      </x:c>
      <x:c r="AA83" s="17" t="n">
        <x:f>COUNTIFS('Tasks'!$C$7:$C$246,$A83,'Tasks'!$K$7:$K$246,$D83,'Tasks'!$F$7:$F$246,$B83,'Tasks'!$AA$7:$AA$246,"&lt;0")</x:f>
        <x:v>4</x:v>
      </x:c>
      <x:c r="AB83" s="19" t="n">
        <x:f>IF(E83=0,"N/A",V83/E83)</x:f>
        <x:v>9.75</x:v>
      </x:c>
      <x:c r="AC83" s="22" t="n">
        <x:f>IF(E83=0,"N/A",K83/E83)</x:f>
        <x:v>32.4752225</x:v>
      </x:c>
      <x:c r="AD83" s="19" t="n">
        <x:f>IF(E83=0,"N/A",P83/E83)</x:f>
        <x:v>-1.8324999999999998</x:v>
      </x:c>
    </x:row>
    <x:row r="84" ht="23" customHeight="1">
      <x:c r="A84" s="17" t="str">
        <x:v>C002</x:v>
      </x:c>
      <x:c r="B84" s="17" t="str">
        <x:v>Prepare launch checklist</x:v>
      </x:c>
      <x:c r="C84" s="17" t="str">
        <x:v>brief_changed</x:v>
      </x:c>
      <x:c r="D84" s="17" t="str">
        <x:v>Yes</x:v>
      </x:c>
      <x:c r="E84" s="17" t="n">
        <x:f>COUNTIFS('Tasks'!$C$7:$C$246,$A84,'Tasks'!$K$7:$K$246,$D84,'Tasks'!$F$7:$F$246,$B84)</x:f>
        <x:v>1</x:v>
      </x:c>
      <x:c r="F84" s="17" t="n">
        <x:f>SUMIFS('Tasks'!$O$7:$O$246,'Tasks'!$C$7:$C$246,$A84,'Tasks'!$K$7:$K$246,$D84,'Tasks'!$F$7:$F$246,$B84)</x:f>
        <x:v>570536</x:v>
      </x:c>
      <x:c r="G84" s="17" t="n">
        <x:f>SUMIFS('Tasks'!$P$7:$P$246,'Tasks'!$C$7:$C$246,$A84,'Tasks'!$K$7:$K$246,$D84,'Tasks'!$F$7:$F$246,$B84)</x:f>
        <x:v>127572</x:v>
      </x:c>
      <x:c r="H84" s="17" t="n">
        <x:f>SUMIFS('Tasks'!$Q$7:$Q$246,'Tasks'!$C$7:$C$246,$A84,'Tasks'!$K$7:$K$246,$D84,'Tasks'!$F$7:$F$246,$B84)</x:f>
        <x:v>698108</x:v>
      </x:c>
      <x:c r="I84" s="22" t="n">
        <x:f>SUMIFS('Tasks'!$S$7:$S$246,'Tasks'!$C$7:$C$246,$A84,'Tasks'!$K$7:$K$246,$D84,'Tasks'!$F$7:$F$246,$B84)</x:f>
        <x:v>5.705360000000001</x:v>
      </x:c>
      <x:c r="J84" s="22" t="n">
        <x:f>SUMIFS('Tasks'!$T$7:$T$246,'Tasks'!$C$7:$C$246,$A84,'Tasks'!$K$7:$K$246,$D84,'Tasks'!$F$7:$F$246,$B84)</x:f>
        <x:v>3.8271600000000006</x:v>
      </x:c>
      <x:c r="K84" s="22" t="n">
        <x:f>SUMIFS('Tasks'!$U$7:$U$246,'Tasks'!$C$7:$C$246,$A84,'Tasks'!$K$7:$K$246,$D84,'Tasks'!$F$7:$F$246,$B84)</x:f>
        <x:v>9.53252</x:v>
      </x:c>
      <x:c r="L84" s="17" t="n">
        <x:f>SUMIFS('Tasks'!$R$7:$R$246,'Tasks'!$C$7:$C$246,$A84,'Tasks'!$K$7:$K$246,$D84,'Tasks'!$F$7:$F$246,$B84)</x:f>
        <x:v>23</x:v>
      </x:c>
      <x:c r="M84" s="22" t="n">
        <x:f>IF(L84=0,"N/A",K84/L84)</x:f>
        <x:v>0.41445739130434783</x:v>
      </x:c>
      <x:c r="N84" s="19" t="n">
        <x:f>SUMIFS('Tasks'!$G$7:$G$246,'Tasks'!$C$7:$C$246,$A84,'Tasks'!$K$7:$K$246,$D84,'Tasks'!$F$7:$F$246,$B84)</x:f>
        <x:v>3.8</x:v>
      </x:c>
      <x:c r="O84" s="19" t="n">
        <x:f>SUMIFS('Tasks'!$H$7:$H$246,'Tasks'!$C$7:$C$246,$A84,'Tasks'!$K$7:$K$246,$D84,'Tasks'!$F$7:$F$246,$B84)</x:f>
        <x:v>6.17</x:v>
      </x:c>
      <x:c r="P84" s="19" t="n">
        <x:f>SUMIFS('Tasks'!$Y$7:$Y$246,'Tasks'!$C$7:$C$246,$A84,'Tasks'!$K$7:$K$246,$D84,'Tasks'!$F$7:$F$246,$B84)</x:f>
        <x:v>-2.37</x:v>
      </x:c>
      <x:c r="Q84" s="22" t="n">
        <x:f>SUMIFS('Tasks'!$Z$7:$Z$246,'Tasks'!$C$7:$C$246,$A84,'Tasks'!$K$7:$K$246,$D84,'Tasks'!$F$7:$F$246,$B84)</x:f>
        <x:v>-118.5</x:v>
      </x:c>
      <x:c r="R84" s="22" t="n">
        <x:f>SUMIFS('Tasks'!$AA$7:$AA$246,'Tasks'!$C$7:$C$246,$A84,'Tasks'!$K$7:$K$246,$D84,'Tasks'!$F$7:$F$246,$B84)</x:f>
        <x:v>-128.03252</x:v>
      </x:c>
      <x:c r="S84" s="31" t="n">
        <x:f>IF(K84=0,"N/A",R84/K84)</x:f>
        <x:v>-13.431130488055626</x:v>
      </x:c>
      <x:c r="T84" s="19" t="n">
        <x:f>SUMIFS('Tasks'!$I$7:$I$246,'Tasks'!$C$7:$C$246,$A84,'Tasks'!$K$7:$K$246,$D84,'Tasks'!$F$7:$F$246,$B84)</x:f>
        <x:v>2.54</x:v>
      </x:c>
      <x:c r="U84" s="31" t="n">
        <x:f>IF(O84=0,"N/A",T84/O84)</x:f>
        <x:v>0.41166936790923825</x:v>
      </x:c>
      <x:c r="V84" s="17" t="n">
        <x:f>SUMIFS('Tasks'!$X$7:$X$246,'Tasks'!$C$7:$C$246,$A84,'Tasks'!$K$7:$K$246,$D84,'Tasks'!$F$7:$F$246,$B84)</x:f>
        <x:v>12</x:v>
      </x:c>
      <x:c r="W84" s="31" t="n">
        <x:f>IF(L84=0,"N/A",V84/L84)</x:f>
        <x:v>0.5217391304347826</x:v>
      </x:c>
      <x:c r="X84" s="17" t="n">
        <x:f>COUNTIFS('Tasks'!$C$7:$C$246,$A84,'Tasks'!$K$7:$K$246,$D84,'Tasks'!$F$7:$F$246,$B84,'Tasks'!$L$7:$L$246,"Yes")</x:f>
        <x:v>1</x:v>
      </x:c>
      <x:c r="Y84" s="17" t="n">
        <x:f>COUNTIFS('Tasks'!$C$7:$C$246,$A84,'Tasks'!$K$7:$K$246,$D84,'Tasks'!$F$7:$F$246,$B84,'Tasks'!$K$7:$K$246,"Yes")</x:f>
        <x:v>1</x:v>
      </x:c>
      <x:c r="Z84" s="17" t="n">
        <x:f>COUNTIFS('Tasks'!$C$7:$C$246,$A84,'Tasks'!$K$7:$K$246,$D84,'Tasks'!$F$7:$F$246,$B84,'Tasks'!$AA$7:$AA$246,"&gt;0")</x:f>
        <x:v>0</x:v>
      </x:c>
      <x:c r="AA84" s="17" t="n">
        <x:f>COUNTIFS('Tasks'!$C$7:$C$246,$A84,'Tasks'!$K$7:$K$246,$D84,'Tasks'!$F$7:$F$246,$B84,'Tasks'!$AA$7:$AA$246,"&lt;0")</x:f>
        <x:v>1</x:v>
      </x:c>
      <x:c r="AB84" s="19" t="n">
        <x:f>IF(E84=0,"N/A",V84/E84)</x:f>
        <x:v>12</x:v>
      </x:c>
      <x:c r="AC84" s="22" t="n">
        <x:f>IF(E84=0,"N/A",K84/E84)</x:f>
        <x:v>9.53252</x:v>
      </x:c>
      <x:c r="AD84" s="19" t="n">
        <x:f>IF(E84=0,"N/A",P84/E84)</x:f>
        <x:v>-2.37</x:v>
      </x:c>
    </x:row>
    <x:row r="85" ht="23" customHeight="1">
      <x:c r="A85" s="17" t="str">
        <x:v>C002</x:v>
      </x:c>
      <x:c r="B85" s="17" t="str">
        <x:v>Review creative variants</x:v>
      </x:c>
      <x:c r="C85" s="17" t="str">
        <x:v>prompt_template_used</x:v>
      </x:c>
      <x:c r="D85" s="17" t="str">
        <x:v>No</x:v>
      </x:c>
      <x:c r="E85" s="17" t="n">
        <x:f>COUNTIFS('Tasks'!$C$7:$C$246,$A85,'Tasks'!$L$7:$L$246,$D85,'Tasks'!$F$7:$F$246,$B85)</x:f>
        <x:v>5</x:v>
      </x:c>
      <x:c r="F85" s="17" t="n">
        <x:f>SUMIFS('Tasks'!$O$7:$O$246,'Tasks'!$C$7:$C$246,$A85,'Tasks'!$L$7:$L$246,$D85,'Tasks'!$F$7:$F$246,$B85)</x:f>
        <x:v>2311128</x:v>
      </x:c>
      <x:c r="G85" s="17" t="n">
        <x:f>SUMIFS('Tasks'!$P$7:$P$246,'Tasks'!$C$7:$C$246,$A85,'Tasks'!$L$7:$L$246,$D85,'Tasks'!$F$7:$F$246,$B85)</x:f>
        <x:v>923845</x:v>
      </x:c>
      <x:c r="H85" s="17" t="n">
        <x:f>SUMIFS('Tasks'!$Q$7:$Q$246,'Tasks'!$C$7:$C$246,$A85,'Tasks'!$L$7:$L$246,$D85,'Tasks'!$F$7:$F$246,$B85)</x:f>
        <x:v>3234973</x:v>
      </x:c>
      <x:c r="I85" s="22" t="n">
        <x:f>SUMIFS('Tasks'!$S$7:$S$246,'Tasks'!$C$7:$C$246,$A85,'Tasks'!$L$7:$L$246,$D85,'Tasks'!$F$7:$F$246,$B85)</x:f>
        <x:v>72.21927</x:v>
      </x:c>
      <x:c r="J85" s="22" t="n">
        <x:f>SUMIFS('Tasks'!$T$7:$T$246,'Tasks'!$C$7:$C$246,$A85,'Tasks'!$L$7:$L$246,$D85,'Tasks'!$F$7:$F$246,$B85)</x:f>
        <x:v>79.64919</x:v>
      </x:c>
      <x:c r="K85" s="22" t="n">
        <x:f>SUMIFS('Tasks'!$U$7:$U$246,'Tasks'!$C$7:$C$246,$A85,'Tasks'!$L$7:$L$246,$D85,'Tasks'!$F$7:$F$246,$B85)</x:f>
        <x:v>151.86845999999997</x:v>
      </x:c>
      <x:c r="L85" s="17" t="n">
        <x:f>SUMIFS('Tasks'!$R$7:$R$246,'Tasks'!$C$7:$C$246,$A85,'Tasks'!$L$7:$L$246,$D85,'Tasks'!$F$7:$F$246,$B85)</x:f>
        <x:v>95</x:v>
      </x:c>
      <x:c r="M85" s="22" t="n">
        <x:f>IF(L85=0,"N/A",K85/L85)</x:f>
        <x:v>1.5986153684210522</x:v>
      </x:c>
      <x:c r="N85" s="19" t="n">
        <x:f>SUMIFS('Tasks'!$G$7:$G$246,'Tasks'!$C$7:$C$246,$A85,'Tasks'!$L$7:$L$246,$D85,'Tasks'!$F$7:$F$246,$B85)</x:f>
        <x:v>15.37</x:v>
      </x:c>
      <x:c r="O85" s="19" t="n">
        <x:f>SUMIFS('Tasks'!$H$7:$H$246,'Tasks'!$C$7:$C$246,$A85,'Tasks'!$L$7:$L$246,$D85,'Tasks'!$F$7:$F$246,$B85)</x:f>
        <x:v>17.82</x:v>
      </x:c>
      <x:c r="P85" s="19" t="n">
        <x:f>SUMIFS('Tasks'!$Y$7:$Y$246,'Tasks'!$C$7:$C$246,$A85,'Tasks'!$L$7:$L$246,$D85,'Tasks'!$F$7:$F$246,$B85)</x:f>
        <x:v>-2.45</x:v>
      </x:c>
      <x:c r="Q85" s="22" t="n">
        <x:f>SUMIFS('Tasks'!$Z$7:$Z$246,'Tasks'!$C$7:$C$246,$A85,'Tasks'!$L$7:$L$246,$D85,'Tasks'!$F$7:$F$246,$B85)</x:f>
        <x:v>-122.50000000000003</x:v>
      </x:c>
      <x:c r="R85" s="22" t="n">
        <x:f>SUMIFS('Tasks'!$AA$7:$AA$246,'Tasks'!$C$7:$C$246,$A85,'Tasks'!$L$7:$L$246,$D85,'Tasks'!$F$7:$F$246,$B85)</x:f>
        <x:v>-274.36846</x:v>
      </x:c>
      <x:c r="S85" s="31" t="n">
        <x:f>IF(K85=0,"N/A",R85/K85)</x:f>
        <x:v>-1.8066190965523723</x:v>
      </x:c>
      <x:c r="T85" s="19" t="n">
        <x:f>SUMIFS('Tasks'!$I$7:$I$246,'Tasks'!$C$7:$C$246,$A85,'Tasks'!$L$7:$L$246,$D85,'Tasks'!$F$7:$F$246,$B85)</x:f>
        <x:v>5.19</x:v>
      </x:c>
      <x:c r="U85" s="31" t="n">
        <x:f>IF(O85=0,"N/A",T85/O85)</x:f>
        <x:v>0.29124579124579125</x:v>
      </x:c>
      <x:c r="V85" s="17" t="n">
        <x:f>SUMIFS('Tasks'!$X$7:$X$246,'Tasks'!$C$7:$C$246,$A85,'Tasks'!$L$7:$L$246,$D85,'Tasks'!$F$7:$F$246,$B85)</x:f>
        <x:v>43</x:v>
      </x:c>
      <x:c r="W85" s="31" t="n">
        <x:f>IF(L85=0,"N/A",V85/L85)</x:f>
        <x:v>0.45263157894736844</x:v>
      </x:c>
      <x:c r="X85" s="17" t="n">
        <x:f>COUNTIFS('Tasks'!$C$7:$C$246,$A85,'Tasks'!$L$7:$L$246,$D85,'Tasks'!$F$7:$F$246,$B85,'Tasks'!$L$7:$L$246,"Yes")</x:f>
        <x:v>0</x:v>
      </x:c>
      <x:c r="Y85" s="17" t="n">
        <x:f>COUNTIFS('Tasks'!$C$7:$C$246,$A85,'Tasks'!$L$7:$L$246,$D85,'Tasks'!$F$7:$F$246,$B85,'Tasks'!$K$7:$K$246,"Yes")</x:f>
        <x:v>1</x:v>
      </x:c>
      <x:c r="Z85" s="17" t="n">
        <x:f>COUNTIFS('Tasks'!$C$7:$C$246,$A85,'Tasks'!$L$7:$L$246,$D85,'Tasks'!$F$7:$F$246,$B85,'Tasks'!$AA$7:$AA$246,"&gt;0")</x:f>
        <x:v>1</x:v>
      </x:c>
      <x:c r="AA85" s="17" t="n">
        <x:f>COUNTIFS('Tasks'!$C$7:$C$246,$A85,'Tasks'!$L$7:$L$246,$D85,'Tasks'!$F$7:$F$246,$B85,'Tasks'!$AA$7:$AA$246,"&lt;0")</x:f>
        <x:v>4</x:v>
      </x:c>
      <x:c r="AB85" s="19" t="n">
        <x:f>IF(E85=0,"N/A",V85/E85)</x:f>
        <x:v>8.6</x:v>
      </x:c>
      <x:c r="AC85" s="22" t="n">
        <x:f>IF(E85=0,"N/A",K85/E85)</x:f>
        <x:v>30.373691999999995</x:v>
      </x:c>
      <x:c r="AD85" s="19" t="n">
        <x:f>IF(E85=0,"N/A",P85/E85)</x:f>
        <x:v>-0.49000000000000005</x:v>
      </x:c>
    </x:row>
    <x:row r="86" ht="23" customHeight="1">
      <x:c r="A86" s="17" t="str">
        <x:v>C002</x:v>
      </x:c>
      <x:c r="B86" s="17" t="str">
        <x:v>Review creative variants</x:v>
      </x:c>
      <x:c r="C86" s="17" t="str">
        <x:v>prompt_template_used</x:v>
      </x:c>
      <x:c r="D86" s="17" t="str">
        <x:v>Yes</x:v>
      </x:c>
      <x:c r="E86" s="17" t="n">
        <x:f>COUNTIFS('Tasks'!$C$7:$C$246,$A86,'Tasks'!$L$7:$L$246,$D86,'Tasks'!$F$7:$F$246,$B86)</x:f>
        <x:v>1</x:v>
      </x:c>
      <x:c r="F86" s="17" t="n">
        <x:f>SUMIFS('Tasks'!$O$7:$O$246,'Tasks'!$C$7:$C$246,$A86,'Tasks'!$L$7:$L$246,$D86,'Tasks'!$F$7:$F$246,$B86)</x:f>
        <x:v>547961</x:v>
      </x:c>
      <x:c r="G86" s="17" t="n">
        <x:f>SUMIFS('Tasks'!$P$7:$P$246,'Tasks'!$C$7:$C$246,$A86,'Tasks'!$L$7:$L$246,$D86,'Tasks'!$F$7:$F$246,$B86)</x:f>
        <x:v>161336</x:v>
      </x:c>
      <x:c r="H86" s="17" t="n">
        <x:f>SUMIFS('Tasks'!$Q$7:$Q$246,'Tasks'!$C$7:$C$246,$A86,'Tasks'!$L$7:$L$246,$D86,'Tasks'!$F$7:$F$246,$B86)</x:f>
        <x:v>709297</x:v>
      </x:c>
      <x:c r="I86" s="22" t="n">
        <x:f>SUMIFS('Tasks'!$S$7:$S$246,'Tasks'!$C$7:$C$246,$A86,'Tasks'!$L$7:$L$246,$D86,'Tasks'!$F$7:$F$246,$B86)</x:f>
        <x:v>5.47961</x:v>
      </x:c>
      <x:c r="J86" s="22" t="n">
        <x:f>SUMIFS('Tasks'!$T$7:$T$246,'Tasks'!$C$7:$C$246,$A86,'Tasks'!$L$7:$L$246,$D86,'Tasks'!$F$7:$F$246,$B86)</x:f>
        <x:v>4.84008</x:v>
      </x:c>
      <x:c r="K86" s="22" t="n">
        <x:f>SUMIFS('Tasks'!$U$7:$U$246,'Tasks'!$C$7:$C$246,$A86,'Tasks'!$L$7:$L$246,$D86,'Tasks'!$F$7:$F$246,$B86)</x:f>
        <x:v>10.319690000000001</x:v>
      </x:c>
      <x:c r="L86" s="17" t="n">
        <x:f>SUMIFS('Tasks'!$R$7:$R$246,'Tasks'!$C$7:$C$246,$A86,'Tasks'!$L$7:$L$246,$D86,'Tasks'!$F$7:$F$246,$B86)</x:f>
        <x:v>21</x:v>
      </x:c>
      <x:c r="M86" s="22" t="n">
        <x:f>IF(L86=0,"N/A",K86/L86)</x:f>
        <x:v>0.4914138095238096</x:v>
      </x:c>
      <x:c r="N86" s="19" t="n">
        <x:f>SUMIFS('Tasks'!$G$7:$G$246,'Tasks'!$C$7:$C$246,$A86,'Tasks'!$L$7:$L$246,$D86,'Tasks'!$F$7:$F$246,$B86)</x:f>
        <x:v>2.81</x:v>
      </x:c>
      <x:c r="O86" s="19" t="n">
        <x:f>SUMIFS('Tasks'!$H$7:$H$246,'Tasks'!$C$7:$C$246,$A86,'Tasks'!$L$7:$L$246,$D86,'Tasks'!$F$7:$F$246,$B86)</x:f>
        <x:v>3.85</x:v>
      </x:c>
      <x:c r="P86" s="19" t="n">
        <x:f>SUMIFS('Tasks'!$Y$7:$Y$246,'Tasks'!$C$7:$C$246,$A86,'Tasks'!$L$7:$L$246,$D86,'Tasks'!$F$7:$F$246,$B86)</x:f>
        <x:v>-1.04</x:v>
      </x:c>
      <x:c r="Q86" s="22" t="n">
        <x:f>SUMIFS('Tasks'!$Z$7:$Z$246,'Tasks'!$C$7:$C$246,$A86,'Tasks'!$L$7:$L$246,$D86,'Tasks'!$F$7:$F$246,$B86)</x:f>
        <x:v>-52</x:v>
      </x:c>
      <x:c r="R86" s="22" t="n">
        <x:f>SUMIFS('Tasks'!$AA$7:$AA$246,'Tasks'!$C$7:$C$246,$A86,'Tasks'!$L$7:$L$246,$D86,'Tasks'!$F$7:$F$246,$B86)</x:f>
        <x:v>-62.31969</x:v>
      </x:c>
      <x:c r="S86" s="31" t="n">
        <x:f>IF(K86=0,"N/A",R86/K86)</x:f>
        <x:v>-6.038911052560687</x:v>
      </x:c>
      <x:c r="T86" s="19" t="n">
        <x:f>SUMIFS('Tasks'!$I$7:$I$246,'Tasks'!$C$7:$C$246,$A86,'Tasks'!$L$7:$L$246,$D86,'Tasks'!$F$7:$F$246,$B86)</x:f>
        <x:v>1.55</x:v>
      </x:c>
      <x:c r="U86" s="31" t="n">
        <x:f>IF(O86=0,"N/A",T86/O86)</x:f>
        <x:v>0.4025974025974026</x:v>
      </x:c>
      <x:c r="V86" s="17" t="n">
        <x:f>SUMIFS('Tasks'!$X$7:$X$246,'Tasks'!$C$7:$C$246,$A86,'Tasks'!$L$7:$L$246,$D86,'Tasks'!$F$7:$F$246,$B86)</x:f>
        <x:v>9</x:v>
      </x:c>
      <x:c r="W86" s="31" t="n">
        <x:f>IF(L86=0,"N/A",V86/L86)</x:f>
        <x:v>0.42857142857142855</x:v>
      </x:c>
      <x:c r="X86" s="17" t="n">
        <x:f>COUNTIFS('Tasks'!$C$7:$C$246,$A86,'Tasks'!$L$7:$L$246,$D86,'Tasks'!$F$7:$F$246,$B86,'Tasks'!$L$7:$L$246,"Yes")</x:f>
        <x:v>1</x:v>
      </x:c>
      <x:c r="Y86" s="17" t="n">
        <x:f>COUNTIFS('Tasks'!$C$7:$C$246,$A86,'Tasks'!$L$7:$L$246,$D86,'Tasks'!$F$7:$F$246,$B86,'Tasks'!$K$7:$K$246,"Yes")</x:f>
        <x:v>1</x:v>
      </x:c>
      <x:c r="Z86" s="17" t="n">
        <x:f>COUNTIFS('Tasks'!$C$7:$C$246,$A86,'Tasks'!$L$7:$L$246,$D86,'Tasks'!$F$7:$F$246,$B86,'Tasks'!$AA$7:$AA$246,"&gt;0")</x:f>
        <x:v>0</x:v>
      </x:c>
      <x:c r="AA86" s="17" t="n">
        <x:f>COUNTIFS('Tasks'!$C$7:$C$246,$A86,'Tasks'!$L$7:$L$246,$D86,'Tasks'!$F$7:$F$246,$B86,'Tasks'!$AA$7:$AA$246,"&lt;0")</x:f>
        <x:v>1</x:v>
      </x:c>
      <x:c r="AB86" s="19" t="n">
        <x:f>IF(E86=0,"N/A",V86/E86)</x:f>
        <x:v>9</x:v>
      </x:c>
      <x:c r="AC86" s="22" t="n">
        <x:f>IF(E86=0,"N/A",K86/E86)</x:f>
        <x:v>10.319690000000001</x:v>
      </x:c>
      <x:c r="AD86" s="19" t="n">
        <x:f>IF(E86=0,"N/A",P86/E86)</x:f>
        <x:v>-1.04</x:v>
      </x:c>
    </x:row>
    <x:row r="87" ht="23" customHeight="1">
      <x:c r="A87" s="17" t="str">
        <x:v>C002</x:v>
      </x:c>
      <x:c r="B87" s="17" t="str">
        <x:v>Review creative variants</x:v>
      </x:c>
      <x:c r="C87" s="17" t="str">
        <x:v>brief_changed</x:v>
      </x:c>
      <x:c r="D87" s="17" t="str">
        <x:v>No</x:v>
      </x:c>
      <x:c r="E87" s="17" t="n">
        <x:f>COUNTIFS('Tasks'!$C$7:$C$246,$A87,'Tasks'!$K$7:$K$246,$D87,'Tasks'!$F$7:$F$246,$B87)</x:f>
        <x:v>4</x:v>
      </x:c>
      <x:c r="F87" s="17" t="n">
        <x:f>SUMIFS('Tasks'!$O$7:$O$246,'Tasks'!$C$7:$C$246,$A87,'Tasks'!$K$7:$K$246,$D87,'Tasks'!$F$7:$F$246,$B87)</x:f>
        <x:v>2094821</x:v>
      </x:c>
      <x:c r="G87" s="17" t="n">
        <x:f>SUMIFS('Tasks'!$P$7:$P$246,'Tasks'!$C$7:$C$246,$A87,'Tasks'!$K$7:$K$246,$D87,'Tasks'!$F$7:$F$246,$B87)</x:f>
        <x:v>811793</x:v>
      </x:c>
      <x:c r="H87" s="17" t="n">
        <x:f>SUMIFS('Tasks'!$Q$7:$Q$246,'Tasks'!$C$7:$C$246,$A87,'Tasks'!$K$7:$K$246,$D87,'Tasks'!$F$7:$F$246,$B87)</x:f>
        <x:v>2906614</x:v>
      </x:c>
      <x:c r="I87" s="22" t="n">
        <x:f>SUMIFS('Tasks'!$S$7:$S$246,'Tasks'!$C$7:$C$246,$A87,'Tasks'!$K$7:$K$246,$D87,'Tasks'!$F$7:$F$246,$B87)</x:f>
        <x:v>63.56698999999999</x:v>
      </x:c>
      <x:c r="J87" s="22" t="n">
        <x:f>SUMIFS('Tasks'!$T$7:$T$246,'Tasks'!$C$7:$C$246,$A87,'Tasks'!$K$7:$K$246,$D87,'Tasks'!$F$7:$F$246,$B87)</x:f>
        <x:v>68.44399</x:v>
      </x:c>
      <x:c r="K87" s="22" t="n">
        <x:f>SUMIFS('Tasks'!$U$7:$U$246,'Tasks'!$C$7:$C$246,$A87,'Tasks'!$K$7:$K$246,$D87,'Tasks'!$F$7:$F$246,$B87)</x:f>
        <x:v>132.01098</x:v>
      </x:c>
      <x:c r="L87" s="17" t="n">
        <x:f>SUMIFS('Tasks'!$R$7:$R$246,'Tasks'!$C$7:$C$246,$A87,'Tasks'!$K$7:$K$246,$D87,'Tasks'!$F$7:$F$246,$B87)</x:f>
        <x:v>79</x:v>
      </x:c>
      <x:c r="M87" s="22" t="n">
        <x:f>IF(L87=0,"N/A",K87/L87)</x:f>
        <x:v>1.6710250632911392</x:v>
      </x:c>
      <x:c r="N87" s="19" t="n">
        <x:f>SUMIFS('Tasks'!$G$7:$G$246,'Tasks'!$C$7:$C$246,$A87,'Tasks'!$K$7:$K$246,$D87,'Tasks'!$F$7:$F$246,$B87)</x:f>
        <x:v>12.549999999999999</x:v>
      </x:c>
      <x:c r="O87" s="19" t="n">
        <x:f>SUMIFS('Tasks'!$H$7:$H$246,'Tasks'!$C$7:$C$246,$A87,'Tasks'!$K$7:$K$246,$D87,'Tasks'!$F$7:$F$246,$B87)</x:f>
        <x:v>16.1</x:v>
      </x:c>
      <x:c r="P87" s="19" t="n">
        <x:f>SUMIFS('Tasks'!$Y$7:$Y$246,'Tasks'!$C$7:$C$246,$A87,'Tasks'!$K$7:$K$246,$D87,'Tasks'!$F$7:$F$246,$B87)</x:f>
        <x:v>-3.5500000000000003</x:v>
      </x:c>
      <x:c r="Q87" s="22" t="n">
        <x:f>SUMIFS('Tasks'!$Z$7:$Z$246,'Tasks'!$C$7:$C$246,$A87,'Tasks'!$K$7:$K$246,$D87,'Tasks'!$F$7:$F$246,$B87)</x:f>
        <x:v>-177.5</x:v>
      </x:c>
      <x:c r="R87" s="22" t="n">
        <x:f>SUMIFS('Tasks'!$AA$7:$AA$246,'Tasks'!$C$7:$C$246,$A87,'Tasks'!$K$7:$K$246,$D87,'Tasks'!$F$7:$F$246,$B87)</x:f>
        <x:v>-309.51098</x:v>
      </x:c>
      <x:c r="S87" s="31" t="n">
        <x:f>IF(K87=0,"N/A",R87/K87)</x:f>
        <x:v>-2.3445851246616005</x:v>
      </x:c>
      <x:c r="T87" s="19" t="n">
        <x:f>SUMIFS('Tasks'!$I$7:$I$246,'Tasks'!$C$7:$C$246,$A87,'Tasks'!$K$7:$K$246,$D87,'Tasks'!$F$7:$F$246,$B87)</x:f>
        <x:v>4.5</x:v>
      </x:c>
      <x:c r="U87" s="31" t="n">
        <x:f>IF(O87=0,"N/A",T87/O87)</x:f>
        <x:v>0.2795031055900621</x:v>
      </x:c>
      <x:c r="V87" s="17" t="n">
        <x:f>SUMIFS('Tasks'!$X$7:$X$246,'Tasks'!$C$7:$C$246,$A87,'Tasks'!$K$7:$K$246,$D87,'Tasks'!$F$7:$F$246,$B87)</x:f>
        <x:v>35</x:v>
      </x:c>
      <x:c r="W87" s="31" t="n">
        <x:f>IF(L87=0,"N/A",V87/L87)</x:f>
        <x:v>0.4430379746835443</x:v>
      </x:c>
      <x:c r="X87" s="17" t="n">
        <x:f>COUNTIFS('Tasks'!$C$7:$C$246,$A87,'Tasks'!$K$7:$K$246,$D87,'Tasks'!$F$7:$F$246,$B87,'Tasks'!$L$7:$L$246,"Yes")</x:f>
        <x:v>0</x:v>
      </x:c>
      <x:c r="Y87" s="17" t="n">
        <x:f>COUNTIFS('Tasks'!$C$7:$C$246,$A87,'Tasks'!$K$7:$K$246,$D87,'Tasks'!$F$7:$F$246,$B87,'Tasks'!$K$7:$K$246,"Yes")</x:f>
        <x:v>0</x:v>
      </x:c>
      <x:c r="Z87" s="17" t="n">
        <x:f>COUNTIFS('Tasks'!$C$7:$C$246,$A87,'Tasks'!$K$7:$K$246,$D87,'Tasks'!$F$7:$F$246,$B87,'Tasks'!$AA$7:$AA$246,"&gt;0")</x:f>
        <x:v>0</x:v>
      </x:c>
      <x:c r="AA87" s="17" t="n">
        <x:f>COUNTIFS('Tasks'!$C$7:$C$246,$A87,'Tasks'!$K$7:$K$246,$D87,'Tasks'!$F$7:$F$246,$B87,'Tasks'!$AA$7:$AA$246,"&lt;0")</x:f>
        <x:v>4</x:v>
      </x:c>
      <x:c r="AB87" s="19" t="n">
        <x:f>IF(E87=0,"N/A",V87/E87)</x:f>
        <x:v>8.75</x:v>
      </x:c>
      <x:c r="AC87" s="22" t="n">
        <x:f>IF(E87=0,"N/A",K87/E87)</x:f>
        <x:v>33.002745</x:v>
      </x:c>
      <x:c r="AD87" s="19" t="n">
        <x:f>IF(E87=0,"N/A",P87/E87)</x:f>
        <x:v>-0.8875000000000001</x:v>
      </x:c>
    </x:row>
    <x:row r="88" ht="23" customHeight="1">
      <x:c r="A88" s="17" t="str">
        <x:v>C002</x:v>
      </x:c>
      <x:c r="B88" s="17" t="str">
        <x:v>Review creative variants</x:v>
      </x:c>
      <x:c r="C88" s="17" t="str">
        <x:v>brief_changed</x:v>
      </x:c>
      <x:c r="D88" s="17" t="str">
        <x:v>Yes</x:v>
      </x:c>
      <x:c r="E88" s="17" t="n">
        <x:f>COUNTIFS('Tasks'!$C$7:$C$246,$A88,'Tasks'!$K$7:$K$246,$D88,'Tasks'!$F$7:$F$246,$B88)</x:f>
        <x:v>2</x:v>
      </x:c>
      <x:c r="F88" s="17" t="n">
        <x:f>SUMIFS('Tasks'!$O$7:$O$246,'Tasks'!$C$7:$C$246,$A88,'Tasks'!$K$7:$K$246,$D88,'Tasks'!$F$7:$F$246,$B88)</x:f>
        <x:v>764268</x:v>
      </x:c>
      <x:c r="G88" s="17" t="n">
        <x:f>SUMIFS('Tasks'!$P$7:$P$246,'Tasks'!$C$7:$C$246,$A88,'Tasks'!$K$7:$K$246,$D88,'Tasks'!$F$7:$F$246,$B88)</x:f>
        <x:v>273388</x:v>
      </x:c>
      <x:c r="H88" s="17" t="n">
        <x:f>SUMIFS('Tasks'!$Q$7:$Q$246,'Tasks'!$C$7:$C$246,$A88,'Tasks'!$K$7:$K$246,$D88,'Tasks'!$F$7:$F$246,$B88)</x:f>
        <x:v>1037656</x:v>
      </x:c>
      <x:c r="I88" s="22" t="n">
        <x:f>SUMIFS('Tasks'!$S$7:$S$246,'Tasks'!$C$7:$C$246,$A88,'Tasks'!$K$7:$K$246,$D88,'Tasks'!$F$7:$F$246,$B88)</x:f>
        <x:v>14.131889999999999</x:v>
      </x:c>
      <x:c r="J88" s="22" t="n">
        <x:f>SUMIFS('Tasks'!$T$7:$T$246,'Tasks'!$C$7:$C$246,$A88,'Tasks'!$K$7:$K$246,$D88,'Tasks'!$F$7:$F$246,$B88)</x:f>
        <x:v>16.045279999999998</x:v>
      </x:c>
      <x:c r="K88" s="22" t="n">
        <x:f>SUMIFS('Tasks'!$U$7:$U$246,'Tasks'!$C$7:$C$246,$A88,'Tasks'!$K$7:$K$246,$D88,'Tasks'!$F$7:$F$246,$B88)</x:f>
        <x:v>30.177170000000004</x:v>
      </x:c>
      <x:c r="L88" s="17" t="n">
        <x:f>SUMIFS('Tasks'!$R$7:$R$246,'Tasks'!$C$7:$C$246,$A88,'Tasks'!$K$7:$K$246,$D88,'Tasks'!$F$7:$F$246,$B88)</x:f>
        <x:v>37</x:v>
      </x:c>
      <x:c r="M88" s="22" t="n">
        <x:f>IF(L88=0,"N/A",K88/L88)</x:f>
        <x:v>0.8155991891891893</x:v>
      </x:c>
      <x:c r="N88" s="19" t="n">
        <x:f>SUMIFS('Tasks'!$G$7:$G$246,'Tasks'!$C$7:$C$246,$A88,'Tasks'!$K$7:$K$246,$D88,'Tasks'!$F$7:$F$246,$B88)</x:f>
        <x:v>5.63</x:v>
      </x:c>
      <x:c r="O88" s="19" t="n">
        <x:f>SUMIFS('Tasks'!$H$7:$H$246,'Tasks'!$C$7:$C$246,$A88,'Tasks'!$K$7:$K$246,$D88,'Tasks'!$F$7:$F$246,$B88)</x:f>
        <x:v>5.57</x:v>
      </x:c>
      <x:c r="P88" s="19" t="n">
        <x:f>SUMIFS('Tasks'!$Y$7:$Y$246,'Tasks'!$C$7:$C$246,$A88,'Tasks'!$K$7:$K$246,$D88,'Tasks'!$F$7:$F$246,$B88)</x:f>
        <x:v>0.05999999999999983</x:v>
      </x:c>
      <x:c r="Q88" s="22" t="n">
        <x:f>SUMIFS('Tasks'!$Z$7:$Z$246,'Tasks'!$C$7:$C$246,$A88,'Tasks'!$K$7:$K$246,$D88,'Tasks'!$F$7:$F$246,$B88)</x:f>
        <x:v>2.999999999999993</x:v>
      </x:c>
      <x:c r="R88" s="22" t="n">
        <x:f>SUMIFS('Tasks'!$AA$7:$AA$246,'Tasks'!$C$7:$C$246,$A88,'Tasks'!$K$7:$K$246,$D88,'Tasks'!$F$7:$F$246,$B88)</x:f>
        <x:v>-27.17717000000001</x:v>
      </x:c>
      <x:c r="S88" s="31" t="n">
        <x:f>IF(K88=0,"N/A",R88/K88)</x:f>
        <x:v>-0.9005870994529973</x:v>
      </x:c>
      <x:c r="T88" s="19" t="n">
        <x:f>SUMIFS('Tasks'!$I$7:$I$246,'Tasks'!$C$7:$C$246,$A88,'Tasks'!$K$7:$K$246,$D88,'Tasks'!$F$7:$F$246,$B88)</x:f>
        <x:v>2.24</x:v>
      </x:c>
      <x:c r="U88" s="31" t="n">
        <x:f>IF(O88=0,"N/A",T88/O88)</x:f>
        <x:v>0.4021543985637343</x:v>
      </x:c>
      <x:c r="V88" s="17" t="n">
        <x:f>SUMIFS('Tasks'!$X$7:$X$246,'Tasks'!$C$7:$C$246,$A88,'Tasks'!$K$7:$K$246,$D88,'Tasks'!$F$7:$F$246,$B88)</x:f>
        <x:v>17</x:v>
      </x:c>
      <x:c r="W88" s="31" t="n">
        <x:f>IF(L88=0,"N/A",V88/L88)</x:f>
        <x:v>0.4594594594594595</x:v>
      </x:c>
      <x:c r="X88" s="17" t="n">
        <x:f>COUNTIFS('Tasks'!$C$7:$C$246,$A88,'Tasks'!$K$7:$K$246,$D88,'Tasks'!$F$7:$F$246,$B88,'Tasks'!$L$7:$L$246,"Yes")</x:f>
        <x:v>1</x:v>
      </x:c>
      <x:c r="Y88" s="17" t="n">
        <x:f>COUNTIFS('Tasks'!$C$7:$C$246,$A88,'Tasks'!$K$7:$K$246,$D88,'Tasks'!$F$7:$F$246,$B88,'Tasks'!$K$7:$K$246,"Yes")</x:f>
        <x:v>2</x:v>
      </x:c>
      <x:c r="Z88" s="17" t="n">
        <x:f>COUNTIFS('Tasks'!$C$7:$C$246,$A88,'Tasks'!$K$7:$K$246,$D88,'Tasks'!$F$7:$F$246,$B88,'Tasks'!$AA$7:$AA$246,"&gt;0")</x:f>
        <x:v>1</x:v>
      </x:c>
      <x:c r="AA88" s="17" t="n">
        <x:f>COUNTIFS('Tasks'!$C$7:$C$246,$A88,'Tasks'!$K$7:$K$246,$D88,'Tasks'!$F$7:$F$246,$B88,'Tasks'!$AA$7:$AA$246,"&lt;0")</x:f>
        <x:v>1</x:v>
      </x:c>
      <x:c r="AB88" s="19" t="n">
        <x:f>IF(E88=0,"N/A",V88/E88)</x:f>
        <x:v>8.5</x:v>
      </x:c>
      <x:c r="AC88" s="22" t="n">
        <x:f>IF(E88=0,"N/A",K88/E88)</x:f>
        <x:v>15.088585000000002</x:v>
      </x:c>
      <x:c r="AD88" s="19" t="n">
        <x:f>IF(E88=0,"N/A",P88/E88)</x:f>
        <x:v>0.029999999999999916</x:v>
      </x:c>
    </x:row>
    <x:row r="89" ht="23" customHeight="1">
      <x:c r="A89" s="17" t="str">
        <x:v>C002</x:v>
      </x:c>
      <x:c r="B89" s="17" t="str">
        <x:v>Summarize audience insights</x:v>
      </x:c>
      <x:c r="C89" s="17" t="str">
        <x:v>prompt_template_used</x:v>
      </x:c>
      <x:c r="D89" s="17" t="str">
        <x:v>No</x:v>
      </x:c>
      <x:c r="E89" s="17" t="n">
        <x:f>COUNTIFS('Tasks'!$C$7:$C$246,$A89,'Tasks'!$L$7:$L$246,$D89,'Tasks'!$F$7:$F$246,$B89)</x:f>
        <x:v>4</x:v>
      </x:c>
      <x:c r="F89" s="17" t="n">
        <x:f>SUMIFS('Tasks'!$O$7:$O$246,'Tasks'!$C$7:$C$246,$A89,'Tasks'!$L$7:$L$246,$D89,'Tasks'!$F$7:$F$246,$B89)</x:f>
        <x:v>2356911</x:v>
      </x:c>
      <x:c r="G89" s="17" t="n">
        <x:f>SUMIFS('Tasks'!$P$7:$P$246,'Tasks'!$C$7:$C$246,$A89,'Tasks'!$L$7:$L$246,$D89,'Tasks'!$F$7:$F$246,$B89)</x:f>
        <x:v>538512</x:v>
      </x:c>
      <x:c r="H89" s="17" t="n">
        <x:f>SUMIFS('Tasks'!$Q$7:$Q$246,'Tasks'!$C$7:$C$246,$A89,'Tasks'!$L$7:$L$246,$D89,'Tasks'!$F$7:$F$246,$B89)</x:f>
        <x:v>2895423</x:v>
      </x:c>
      <x:c r="I89" s="22" t="n">
        <x:f>SUMIFS('Tasks'!$S$7:$S$246,'Tasks'!$C$7:$C$246,$A89,'Tasks'!$L$7:$L$246,$D89,'Tasks'!$F$7:$F$246,$B89)</x:f>
        <x:v>56.569950000000006</x:v>
      </x:c>
      <x:c r="J89" s="22" t="n">
        <x:f>SUMIFS('Tasks'!$T$7:$T$246,'Tasks'!$C$7:$C$246,$A89,'Tasks'!$L$7:$L$246,$D89,'Tasks'!$F$7:$F$246,$B89)</x:f>
        <x:v>38.269479999999994</x:v>
      </x:c>
      <x:c r="K89" s="22" t="n">
        <x:f>SUMIFS('Tasks'!$U$7:$U$246,'Tasks'!$C$7:$C$246,$A89,'Tasks'!$L$7:$L$246,$D89,'Tasks'!$F$7:$F$246,$B89)</x:f>
        <x:v>94.83943</x:v>
      </x:c>
      <x:c r="L89" s="17" t="n">
        <x:f>SUMIFS('Tasks'!$R$7:$R$246,'Tasks'!$C$7:$C$246,$A89,'Tasks'!$L$7:$L$246,$D89,'Tasks'!$F$7:$F$246,$B89)</x:f>
        <x:v>80</x:v>
      </x:c>
      <x:c r="M89" s="22" t="n">
        <x:f>IF(L89=0,"N/A",K89/L89)</x:f>
        <x:v>1.185492875</x:v>
      </x:c>
      <x:c r="N89" s="19" t="n">
        <x:f>SUMIFS('Tasks'!$G$7:$G$246,'Tasks'!$C$7:$C$246,$A89,'Tasks'!$L$7:$L$246,$D89,'Tasks'!$F$7:$F$246,$B89)</x:f>
        <x:v>15.25</x:v>
      </x:c>
      <x:c r="O89" s="19" t="n">
        <x:f>SUMIFS('Tasks'!$H$7:$H$246,'Tasks'!$C$7:$C$246,$A89,'Tasks'!$L$7:$L$246,$D89,'Tasks'!$F$7:$F$246,$B89)</x:f>
        <x:v>24.73</x:v>
      </x:c>
      <x:c r="P89" s="19" t="n">
        <x:f>SUMIFS('Tasks'!$Y$7:$Y$246,'Tasks'!$C$7:$C$246,$A89,'Tasks'!$L$7:$L$246,$D89,'Tasks'!$F$7:$F$246,$B89)</x:f>
        <x:v>-9.48</x:v>
      </x:c>
      <x:c r="Q89" s="22" t="n">
        <x:f>SUMIFS('Tasks'!$Z$7:$Z$246,'Tasks'!$C$7:$C$246,$A89,'Tasks'!$L$7:$L$246,$D89,'Tasks'!$F$7:$F$246,$B89)</x:f>
        <x:v>-474</x:v>
      </x:c>
      <x:c r="R89" s="22" t="n">
        <x:f>SUMIFS('Tasks'!$AA$7:$AA$246,'Tasks'!$C$7:$C$246,$A89,'Tasks'!$L$7:$L$246,$D89,'Tasks'!$F$7:$F$246,$B89)</x:f>
        <x:v>-568.83943</x:v>
      </x:c>
      <x:c r="S89" s="31" t="n">
        <x:f>IF(K89=0,"N/A",R89/K89)</x:f>
        <x:v>-5.997921223271797</x:v>
      </x:c>
      <x:c r="T89" s="19" t="n">
        <x:f>SUMIFS('Tasks'!$I$7:$I$246,'Tasks'!$C$7:$C$246,$A89,'Tasks'!$L$7:$L$246,$D89,'Tasks'!$F$7:$F$246,$B89)</x:f>
        <x:v>7.789999999999999</x:v>
      </x:c>
      <x:c r="U89" s="31" t="n">
        <x:f>IF(O89=0,"N/A",T89/O89)</x:f>
        <x:v>0.3150020218358269</x:v>
      </x:c>
      <x:c r="V89" s="17" t="n">
        <x:f>SUMIFS('Tasks'!$X$7:$X$246,'Tasks'!$C$7:$C$246,$A89,'Tasks'!$L$7:$L$246,$D89,'Tasks'!$F$7:$F$246,$B89)</x:f>
        <x:v>34</x:v>
      </x:c>
      <x:c r="W89" s="31" t="n">
        <x:f>IF(L89=0,"N/A",V89/L89)</x:f>
        <x:v>0.425</x:v>
      </x:c>
      <x:c r="X89" s="17" t="n">
        <x:f>COUNTIFS('Tasks'!$C$7:$C$246,$A89,'Tasks'!$L$7:$L$246,$D89,'Tasks'!$F$7:$F$246,$B89,'Tasks'!$L$7:$L$246,"Yes")</x:f>
        <x:v>0</x:v>
      </x:c>
      <x:c r="Y89" s="17" t="n">
        <x:f>COUNTIFS('Tasks'!$C$7:$C$246,$A89,'Tasks'!$L$7:$L$246,$D89,'Tasks'!$F$7:$F$246,$B89,'Tasks'!$K$7:$K$246,"Yes")</x:f>
        <x:v>1</x:v>
      </x:c>
      <x:c r="Z89" s="17" t="n">
        <x:f>COUNTIFS('Tasks'!$C$7:$C$246,$A89,'Tasks'!$L$7:$L$246,$D89,'Tasks'!$F$7:$F$246,$B89,'Tasks'!$AA$7:$AA$246,"&gt;0")</x:f>
        <x:v>0</x:v>
      </x:c>
      <x:c r="AA89" s="17" t="n">
        <x:f>COUNTIFS('Tasks'!$C$7:$C$246,$A89,'Tasks'!$L$7:$L$246,$D89,'Tasks'!$F$7:$F$246,$B89,'Tasks'!$AA$7:$AA$246,"&lt;0")</x:f>
        <x:v>4</x:v>
      </x:c>
      <x:c r="AB89" s="19" t="n">
        <x:f>IF(E89=0,"N/A",V89/E89)</x:f>
        <x:v>8.5</x:v>
      </x:c>
      <x:c r="AC89" s="22" t="n">
        <x:f>IF(E89=0,"N/A",K89/E89)</x:f>
        <x:v>23.7098575</x:v>
      </x:c>
      <x:c r="AD89" s="19" t="n">
        <x:f>IF(E89=0,"N/A",P89/E89)</x:f>
        <x:v>-2.37</x:v>
      </x:c>
    </x:row>
    <x:row r="90" ht="23" customHeight="1">
      <x:c r="A90" s="17" t="str">
        <x:v>C002</x:v>
      </x:c>
      <x:c r="B90" s="17" t="str">
        <x:v>Summarize audience insights</x:v>
      </x:c>
      <x:c r="C90" s="17" t="str">
        <x:v>brief_changed</x:v>
      </x:c>
      <x:c r="D90" s="17" t="str">
        <x:v>No</x:v>
      </x:c>
      <x:c r="E90" s="17" t="n">
        <x:f>COUNTIFS('Tasks'!$C$7:$C$246,$A90,'Tasks'!$K$7:$K$246,$D90,'Tasks'!$F$7:$F$246,$B90)</x:f>
        <x:v>3</x:v>
      </x:c>
      <x:c r="F90" s="17" t="n">
        <x:f>SUMIFS('Tasks'!$O$7:$O$246,'Tasks'!$C$7:$C$246,$A90,'Tasks'!$K$7:$K$246,$D90,'Tasks'!$F$7:$F$246,$B90)</x:f>
        <x:v>1712932</x:v>
      </x:c>
      <x:c r="G90" s="17" t="n">
        <x:f>SUMIFS('Tasks'!$P$7:$P$246,'Tasks'!$C$7:$C$246,$A90,'Tasks'!$K$7:$K$246,$D90,'Tasks'!$F$7:$F$246,$B90)</x:f>
        <x:v>419801</x:v>
      </x:c>
      <x:c r="H90" s="17" t="n">
        <x:f>SUMIFS('Tasks'!$Q$7:$Q$246,'Tasks'!$C$7:$C$246,$A90,'Tasks'!$K$7:$K$246,$D90,'Tasks'!$F$7:$F$246,$B90)</x:f>
        <x:v>2132733</x:v>
      </x:c>
      <x:c r="I90" s="22" t="n">
        <x:f>SUMIFS('Tasks'!$S$7:$S$246,'Tasks'!$C$7:$C$246,$A90,'Tasks'!$K$7:$K$246,$D90,'Tasks'!$F$7:$F$246,$B90)</x:f>
        <x:v>50.13016000000001</x:v>
      </x:c>
      <x:c r="J90" s="22" t="n">
        <x:f>SUMIFS('Tasks'!$T$7:$T$246,'Tasks'!$C$7:$C$246,$A90,'Tasks'!$K$7:$K$246,$D90,'Tasks'!$F$7:$F$246,$B90)</x:f>
        <x:v>34.708149999999996</x:v>
      </x:c>
      <x:c r="K90" s="22" t="n">
        <x:f>SUMIFS('Tasks'!$U$7:$U$246,'Tasks'!$C$7:$C$246,$A90,'Tasks'!$K$7:$K$246,$D90,'Tasks'!$F$7:$F$246,$B90)</x:f>
        <x:v>84.83830999999998</x:v>
      </x:c>
      <x:c r="L90" s="17" t="n">
        <x:f>SUMIFS('Tasks'!$R$7:$R$246,'Tasks'!$C$7:$C$246,$A90,'Tasks'!$K$7:$K$246,$D90,'Tasks'!$F$7:$F$246,$B90)</x:f>
        <x:v>59</x:v>
      </x:c>
      <x:c r="M90" s="22" t="n">
        <x:f>IF(L90=0,"N/A",K90/L90)</x:f>
        <x:v>1.4379374576271182</x:v>
      </x:c>
      <x:c r="N90" s="19" t="n">
        <x:f>SUMIFS('Tasks'!$G$7:$G$246,'Tasks'!$C$7:$C$246,$A90,'Tasks'!$K$7:$K$246,$D90,'Tasks'!$F$7:$F$246,$B90)</x:f>
        <x:v>11.379999999999999</x:v>
      </x:c>
      <x:c r="O90" s="19" t="n">
        <x:f>SUMIFS('Tasks'!$H$7:$H$246,'Tasks'!$C$7:$C$246,$A90,'Tasks'!$K$7:$K$246,$D90,'Tasks'!$F$7:$F$246,$B90)</x:f>
        <x:v>18.07</x:v>
      </x:c>
      <x:c r="P90" s="19" t="n">
        <x:f>SUMIFS('Tasks'!$Y$7:$Y$246,'Tasks'!$C$7:$C$246,$A90,'Tasks'!$K$7:$K$246,$D90,'Tasks'!$F$7:$F$246,$B90)</x:f>
        <x:v>-6.69</x:v>
      </x:c>
      <x:c r="Q90" s="22" t="n">
        <x:f>SUMIFS('Tasks'!$Z$7:$Z$246,'Tasks'!$C$7:$C$246,$A90,'Tasks'!$K$7:$K$246,$D90,'Tasks'!$F$7:$F$246,$B90)</x:f>
        <x:v>-334.5</x:v>
      </x:c>
      <x:c r="R90" s="22" t="n">
        <x:f>SUMIFS('Tasks'!$AA$7:$AA$246,'Tasks'!$C$7:$C$246,$A90,'Tasks'!$K$7:$K$246,$D90,'Tasks'!$F$7:$F$246,$B90)</x:f>
        <x:v>-419.33831</x:v>
      </x:c>
      <x:c r="S90" s="31" t="n">
        <x:f>IF(K90=0,"N/A",R90/K90)</x:f>
        <x:v>-4.942794240007847</x:v>
      </x:c>
      <x:c r="T90" s="19" t="n">
        <x:f>SUMIFS('Tasks'!$I$7:$I$246,'Tasks'!$C$7:$C$246,$A90,'Tasks'!$K$7:$K$246,$D90,'Tasks'!$F$7:$F$246,$B90)</x:f>
        <x:v>4.75</x:v>
      </x:c>
      <x:c r="U90" s="31" t="n">
        <x:f>IF(O90=0,"N/A",T90/O90)</x:f>
        <x:v>0.2628666297731046</x:v>
      </x:c>
      <x:c r="V90" s="17" t="n">
        <x:f>SUMIFS('Tasks'!$X$7:$X$246,'Tasks'!$C$7:$C$246,$A90,'Tasks'!$K$7:$K$246,$D90,'Tasks'!$F$7:$F$246,$B90)</x:f>
        <x:v>25</x:v>
      </x:c>
      <x:c r="W90" s="31" t="n">
        <x:f>IF(L90=0,"N/A",V90/L90)</x:f>
        <x:v>0.423728813559322</x:v>
      </x:c>
      <x:c r="X90" s="17" t="n">
        <x:f>COUNTIFS('Tasks'!$C$7:$C$246,$A90,'Tasks'!$K$7:$K$246,$D90,'Tasks'!$F$7:$F$246,$B90,'Tasks'!$L$7:$L$246,"Yes")</x:f>
        <x:v>0</x:v>
      </x:c>
      <x:c r="Y90" s="17" t="n">
        <x:f>COUNTIFS('Tasks'!$C$7:$C$246,$A90,'Tasks'!$K$7:$K$246,$D90,'Tasks'!$F$7:$F$246,$B90,'Tasks'!$K$7:$K$246,"Yes")</x:f>
        <x:v>0</x:v>
      </x:c>
      <x:c r="Z90" s="17" t="n">
        <x:f>COUNTIFS('Tasks'!$C$7:$C$246,$A90,'Tasks'!$K$7:$K$246,$D90,'Tasks'!$F$7:$F$246,$B90,'Tasks'!$AA$7:$AA$246,"&gt;0")</x:f>
        <x:v>0</x:v>
      </x:c>
      <x:c r="AA90" s="17" t="n">
        <x:f>COUNTIFS('Tasks'!$C$7:$C$246,$A90,'Tasks'!$K$7:$K$246,$D90,'Tasks'!$F$7:$F$246,$B90,'Tasks'!$AA$7:$AA$246,"&lt;0")</x:f>
        <x:v>3</x:v>
      </x:c>
      <x:c r="AB90" s="19" t="n">
        <x:f>IF(E90=0,"N/A",V90/E90)</x:f>
        <x:v>8.333333333333334</x:v>
      </x:c>
      <x:c r="AC90" s="22" t="n">
        <x:f>IF(E90=0,"N/A",K90/E90)</x:f>
        <x:v>28.27943666666666</x:v>
      </x:c>
      <x:c r="AD90" s="19" t="n">
        <x:f>IF(E90=0,"N/A",P90/E90)</x:f>
        <x:v>-2.23</x:v>
      </x:c>
    </x:row>
    <x:row r="91" ht="23" customHeight="1">
      <x:c r="A91" s="17" t="str">
        <x:v>C002</x:v>
      </x:c>
      <x:c r="B91" s="17" t="str">
        <x:v>Summarize audience insights</x:v>
      </x:c>
      <x:c r="C91" s="17" t="str">
        <x:v>brief_changed</x:v>
      </x:c>
      <x:c r="D91" s="17" t="str">
        <x:v>Yes</x:v>
      </x:c>
      <x:c r="E91" s="17" t="n">
        <x:f>COUNTIFS('Tasks'!$C$7:$C$246,$A91,'Tasks'!$K$7:$K$246,$D91,'Tasks'!$F$7:$F$246,$B91)</x:f>
        <x:v>1</x:v>
      </x:c>
      <x:c r="F91" s="17" t="n">
        <x:f>SUMIFS('Tasks'!$O$7:$O$246,'Tasks'!$C$7:$C$246,$A91,'Tasks'!$K$7:$K$246,$D91,'Tasks'!$F$7:$F$246,$B91)</x:f>
        <x:v>643979</x:v>
      </x:c>
      <x:c r="G91" s="17" t="n">
        <x:f>SUMIFS('Tasks'!$P$7:$P$246,'Tasks'!$C$7:$C$246,$A91,'Tasks'!$K$7:$K$246,$D91,'Tasks'!$F$7:$F$246,$B91)</x:f>
        <x:v>118711</x:v>
      </x:c>
      <x:c r="H91" s="17" t="n">
        <x:f>SUMIFS('Tasks'!$Q$7:$Q$246,'Tasks'!$C$7:$C$246,$A91,'Tasks'!$K$7:$K$246,$D91,'Tasks'!$F$7:$F$246,$B91)</x:f>
        <x:v>762690</x:v>
      </x:c>
      <x:c r="I91" s="22" t="n">
        <x:f>SUMIFS('Tasks'!$S$7:$S$246,'Tasks'!$C$7:$C$246,$A91,'Tasks'!$K$7:$K$246,$D91,'Tasks'!$F$7:$F$246,$B91)</x:f>
        <x:v>6.439789999999999</x:v>
      </x:c>
      <x:c r="J91" s="22" t="n">
        <x:f>SUMIFS('Tasks'!$T$7:$T$246,'Tasks'!$C$7:$C$246,$A91,'Tasks'!$K$7:$K$246,$D91,'Tasks'!$F$7:$F$246,$B91)</x:f>
        <x:v>3.5613300000000008</x:v>
      </x:c>
      <x:c r="K91" s="22" t="n">
        <x:f>SUMIFS('Tasks'!$U$7:$U$246,'Tasks'!$C$7:$C$246,$A91,'Tasks'!$K$7:$K$246,$D91,'Tasks'!$F$7:$F$246,$B91)</x:f>
        <x:v>10.001120000000002</x:v>
      </x:c>
      <x:c r="L91" s="17" t="n">
        <x:f>SUMIFS('Tasks'!$R$7:$R$246,'Tasks'!$C$7:$C$246,$A91,'Tasks'!$K$7:$K$246,$D91,'Tasks'!$F$7:$F$246,$B91)</x:f>
        <x:v>21</x:v>
      </x:c>
      <x:c r="M91" s="22" t="n">
        <x:f>IF(L91=0,"N/A",K91/L91)</x:f>
        <x:v>0.4762438095238096</x:v>
      </x:c>
      <x:c r="N91" s="19" t="n">
        <x:f>SUMIFS('Tasks'!$G$7:$G$246,'Tasks'!$C$7:$C$246,$A91,'Tasks'!$K$7:$K$246,$D91,'Tasks'!$F$7:$F$246,$B91)</x:f>
        <x:v>3.87</x:v>
      </x:c>
      <x:c r="O91" s="19" t="n">
        <x:f>SUMIFS('Tasks'!$H$7:$H$246,'Tasks'!$C$7:$C$246,$A91,'Tasks'!$K$7:$K$246,$D91,'Tasks'!$F$7:$F$246,$B91)</x:f>
        <x:v>6.66</x:v>
      </x:c>
      <x:c r="P91" s="19" t="n">
        <x:f>SUMIFS('Tasks'!$Y$7:$Y$246,'Tasks'!$C$7:$C$246,$A91,'Tasks'!$K$7:$K$246,$D91,'Tasks'!$F$7:$F$246,$B91)</x:f>
        <x:v>-2.79</x:v>
      </x:c>
      <x:c r="Q91" s="22" t="n">
        <x:f>SUMIFS('Tasks'!$Z$7:$Z$246,'Tasks'!$C$7:$C$246,$A91,'Tasks'!$K$7:$K$246,$D91,'Tasks'!$F$7:$F$246,$B91)</x:f>
        <x:v>-139.5</x:v>
      </x:c>
      <x:c r="R91" s="22" t="n">
        <x:f>SUMIFS('Tasks'!$AA$7:$AA$246,'Tasks'!$C$7:$C$246,$A91,'Tasks'!$K$7:$K$246,$D91,'Tasks'!$F$7:$F$246,$B91)</x:f>
        <x:v>-149.50112000000001</x:v>
      </x:c>
      <x:c r="S91" s="31" t="n">
        <x:f>IF(K91=0,"N/A",R91/K91)</x:f>
        <x:v>-14.948437774969202</x:v>
      </x:c>
      <x:c r="T91" s="19" t="n">
        <x:f>SUMIFS('Tasks'!$I$7:$I$246,'Tasks'!$C$7:$C$246,$A91,'Tasks'!$K$7:$K$246,$D91,'Tasks'!$F$7:$F$246,$B91)</x:f>
        <x:v>3.04</x:v>
      </x:c>
      <x:c r="U91" s="31" t="n">
        <x:f>IF(O91=0,"N/A",T91/O91)</x:f>
        <x:v>0.45645645645645644</x:v>
      </x:c>
      <x:c r="V91" s="17" t="n">
        <x:f>SUMIFS('Tasks'!$X$7:$X$246,'Tasks'!$C$7:$C$246,$A91,'Tasks'!$K$7:$K$246,$D91,'Tasks'!$F$7:$F$246,$B91)</x:f>
        <x:v>9</x:v>
      </x:c>
      <x:c r="W91" s="31" t="n">
        <x:f>IF(L91=0,"N/A",V91/L91)</x:f>
        <x:v>0.42857142857142855</x:v>
      </x:c>
      <x:c r="X91" s="17" t="n">
        <x:f>COUNTIFS('Tasks'!$C$7:$C$246,$A91,'Tasks'!$K$7:$K$246,$D91,'Tasks'!$F$7:$F$246,$B91,'Tasks'!$L$7:$L$246,"Yes")</x:f>
        <x:v>0</x:v>
      </x:c>
      <x:c r="Y91" s="17" t="n">
        <x:f>COUNTIFS('Tasks'!$C$7:$C$246,$A91,'Tasks'!$K$7:$K$246,$D91,'Tasks'!$F$7:$F$246,$B91,'Tasks'!$K$7:$K$246,"Yes")</x:f>
        <x:v>1</x:v>
      </x:c>
      <x:c r="Z91" s="17" t="n">
        <x:f>COUNTIFS('Tasks'!$C$7:$C$246,$A91,'Tasks'!$K$7:$K$246,$D91,'Tasks'!$F$7:$F$246,$B91,'Tasks'!$AA$7:$AA$246,"&gt;0")</x:f>
        <x:v>0</x:v>
      </x:c>
      <x:c r="AA91" s="17" t="n">
        <x:f>COUNTIFS('Tasks'!$C$7:$C$246,$A91,'Tasks'!$K$7:$K$246,$D91,'Tasks'!$F$7:$F$246,$B91,'Tasks'!$AA$7:$AA$246,"&lt;0")</x:f>
        <x:v>1</x:v>
      </x:c>
      <x:c r="AB91" s="19" t="n">
        <x:f>IF(E91=0,"N/A",V91/E91)</x:f>
        <x:v>9</x:v>
      </x:c>
      <x:c r="AC91" s="22" t="n">
        <x:f>IF(E91=0,"N/A",K91/E91)</x:f>
        <x:v>10.001120000000002</x:v>
      </x:c>
      <x:c r="AD91" s="19" t="n">
        <x:f>IF(E91=0,"N/A",P91/E91)</x:f>
        <x:v>-2.79</x:v>
      </x:c>
    </x:row>
    <x:row r="92" ht="23" customHeight="1">
      <x:c r="A92" s="17" t="str">
        <x:v>C002</x:v>
      </x:c>
      <x:c r="B92" s="17" t="str">
        <x:v>Write ad copy</x:v>
      </x:c>
      <x:c r="C92" s="17" t="str">
        <x:v>prompt_template_used</x:v>
      </x:c>
      <x:c r="D92" s="17" t="str">
        <x:v>No</x:v>
      </x:c>
      <x:c r="E92" s="17" t="n">
        <x:f>COUNTIFS('Tasks'!$C$7:$C$246,$A92,'Tasks'!$L$7:$L$246,$D92,'Tasks'!$F$7:$F$246,$B92)</x:f>
        <x:v>3</x:v>
      </x:c>
      <x:c r="F92" s="17" t="n">
        <x:f>SUMIFS('Tasks'!$O$7:$O$246,'Tasks'!$C$7:$C$246,$A92,'Tasks'!$L$7:$L$246,$D92,'Tasks'!$F$7:$F$246,$B92)</x:f>
        <x:v>1448341</x:v>
      </x:c>
      <x:c r="G92" s="17" t="n">
        <x:f>SUMIFS('Tasks'!$P$7:$P$246,'Tasks'!$C$7:$C$246,$A92,'Tasks'!$L$7:$L$246,$D92,'Tasks'!$F$7:$F$246,$B92)</x:f>
        <x:v>541918</x:v>
      </x:c>
      <x:c r="H92" s="17" t="n">
        <x:f>SUMIFS('Tasks'!$Q$7:$Q$246,'Tasks'!$C$7:$C$246,$A92,'Tasks'!$L$7:$L$246,$D92,'Tasks'!$F$7:$F$246,$B92)</x:f>
        <x:v>1990259</x:v>
      </x:c>
      <x:c r="I92" s="22" t="n">
        <x:f>SUMIFS('Tasks'!$S$7:$S$246,'Tasks'!$C$7:$C$246,$A92,'Tasks'!$L$7:$L$246,$D92,'Tasks'!$F$7:$F$246,$B92)</x:f>
        <x:v>43.516479999999994</x:v>
      </x:c>
      <x:c r="J92" s="22" t="n">
        <x:f>SUMIFS('Tasks'!$T$7:$T$246,'Tasks'!$C$7:$C$246,$A92,'Tasks'!$L$7:$L$246,$D92,'Tasks'!$F$7:$F$246,$B92)</x:f>
        <x:v>44.261250000000004</x:v>
      </x:c>
      <x:c r="K92" s="22" t="n">
        <x:f>SUMIFS('Tasks'!$U$7:$U$246,'Tasks'!$C$7:$C$246,$A92,'Tasks'!$L$7:$L$246,$D92,'Tasks'!$F$7:$F$246,$B92)</x:f>
        <x:v>87.77773</x:v>
      </x:c>
      <x:c r="L92" s="17" t="n">
        <x:f>SUMIFS('Tasks'!$R$7:$R$246,'Tasks'!$C$7:$C$246,$A92,'Tasks'!$L$7:$L$246,$D92,'Tasks'!$F$7:$F$246,$B92)</x:f>
        <x:v>57</x:v>
      </x:c>
      <x:c r="M92" s="22" t="n">
        <x:f>IF(L92=0,"N/A",K92/L92)</x:f>
        <x:v>1.5399601754385965</x:v>
      </x:c>
      <x:c r="N92" s="19" t="n">
        <x:f>SUMIFS('Tasks'!$G$7:$G$246,'Tasks'!$C$7:$C$246,$A92,'Tasks'!$L$7:$L$246,$D92,'Tasks'!$F$7:$F$246,$B92)</x:f>
        <x:v>9.09</x:v>
      </x:c>
      <x:c r="O92" s="19" t="n">
        <x:f>SUMIFS('Tasks'!$H$7:$H$246,'Tasks'!$C$7:$C$246,$A92,'Tasks'!$L$7:$L$246,$D92,'Tasks'!$F$7:$F$246,$B92)</x:f>
        <x:v>16.42</x:v>
      </x:c>
      <x:c r="P92" s="19" t="n">
        <x:f>SUMIFS('Tasks'!$Y$7:$Y$246,'Tasks'!$C$7:$C$246,$A92,'Tasks'!$L$7:$L$246,$D92,'Tasks'!$F$7:$F$246,$B92)</x:f>
        <x:v>-7.33</x:v>
      </x:c>
      <x:c r="Q92" s="22" t="n">
        <x:f>SUMIFS('Tasks'!$Z$7:$Z$246,'Tasks'!$C$7:$C$246,$A92,'Tasks'!$L$7:$L$246,$D92,'Tasks'!$F$7:$F$246,$B92)</x:f>
        <x:v>-366.5</x:v>
      </x:c>
      <x:c r="R92" s="22" t="n">
        <x:f>SUMIFS('Tasks'!$AA$7:$AA$246,'Tasks'!$C$7:$C$246,$A92,'Tasks'!$L$7:$L$246,$D92,'Tasks'!$F$7:$F$246,$B92)</x:f>
        <x:v>-454.27772999999996</x:v>
      </x:c>
      <x:c r="S92" s="31" t="n">
        <x:f>IF(K92=0,"N/A",R92/K92)</x:f>
        <x:v>-5.175318728338041</x:v>
      </x:c>
      <x:c r="T92" s="19" t="n">
        <x:f>SUMIFS('Tasks'!$I$7:$I$246,'Tasks'!$C$7:$C$246,$A92,'Tasks'!$L$7:$L$246,$D92,'Tasks'!$F$7:$F$246,$B92)</x:f>
        <x:v>5.9399999999999995</x:v>
      </x:c>
      <x:c r="U92" s="31" t="n">
        <x:f>IF(O92=0,"N/A",T92/O92)</x:f>
        <x:v>0.36175395858708886</x:v>
      </x:c>
      <x:c r="V92" s="17" t="n">
        <x:f>SUMIFS('Tasks'!$X$7:$X$246,'Tasks'!$C$7:$C$246,$A92,'Tasks'!$L$7:$L$246,$D92,'Tasks'!$F$7:$F$246,$B92)</x:f>
        <x:v>19</x:v>
      </x:c>
      <x:c r="W92" s="31" t="n">
        <x:f>IF(L92=0,"N/A",V92/L92)</x:f>
        <x:v>0.3333333333333333</x:v>
      </x:c>
      <x:c r="X92" s="17" t="n">
        <x:f>COUNTIFS('Tasks'!$C$7:$C$246,$A92,'Tasks'!$L$7:$L$246,$D92,'Tasks'!$F$7:$F$246,$B92,'Tasks'!$L$7:$L$246,"Yes")</x:f>
        <x:v>0</x:v>
      </x:c>
      <x:c r="Y92" s="17" t="n">
        <x:f>COUNTIFS('Tasks'!$C$7:$C$246,$A92,'Tasks'!$L$7:$L$246,$D92,'Tasks'!$F$7:$F$246,$B92,'Tasks'!$K$7:$K$246,"Yes")</x:f>
        <x:v>2</x:v>
      </x:c>
      <x:c r="Z92" s="17" t="n">
        <x:f>COUNTIFS('Tasks'!$C$7:$C$246,$A92,'Tasks'!$L$7:$L$246,$D92,'Tasks'!$F$7:$F$246,$B92,'Tasks'!$AA$7:$AA$246,"&gt;0")</x:f>
        <x:v>0</x:v>
      </x:c>
      <x:c r="AA92" s="17" t="n">
        <x:f>COUNTIFS('Tasks'!$C$7:$C$246,$A92,'Tasks'!$L$7:$L$246,$D92,'Tasks'!$F$7:$F$246,$B92,'Tasks'!$AA$7:$AA$246,"&lt;0")</x:f>
        <x:v>3</x:v>
      </x:c>
      <x:c r="AB92" s="19" t="n">
        <x:f>IF(E92=0,"N/A",V92/E92)</x:f>
        <x:v>6.333333333333333</x:v>
      </x:c>
      <x:c r="AC92" s="22" t="n">
        <x:f>IF(E92=0,"N/A",K92/E92)</x:f>
        <x:v>29.259243333333334</x:v>
      </x:c>
      <x:c r="AD92" s="19" t="n">
        <x:f>IF(E92=0,"N/A",P92/E92)</x:f>
        <x:v>-2.4433333333333334</x:v>
      </x:c>
    </x:row>
    <x:row r="93" ht="23" customHeight="1">
      <x:c r="A93" s="17" t="str">
        <x:v>C002</x:v>
      </x:c>
      <x:c r="B93" s="17" t="str">
        <x:v>Write ad copy</x:v>
      </x:c>
      <x:c r="C93" s="17" t="str">
        <x:v>prompt_template_used</x:v>
      </x:c>
      <x:c r="D93" s="17" t="str">
        <x:v>Yes</x:v>
      </x:c>
      <x:c r="E93" s="17" t="n">
        <x:f>COUNTIFS('Tasks'!$C$7:$C$246,$A93,'Tasks'!$L$7:$L$246,$D93,'Tasks'!$F$7:$F$246,$B93)</x:f>
        <x:v>2</x:v>
      </x:c>
      <x:c r="F93" s="17" t="n">
        <x:f>SUMIFS('Tasks'!$O$7:$O$246,'Tasks'!$C$7:$C$246,$A93,'Tasks'!$L$7:$L$246,$D93,'Tasks'!$F$7:$F$246,$B93)</x:f>
        <x:v>895356</x:v>
      </x:c>
      <x:c r="G93" s="17" t="n">
        <x:f>SUMIFS('Tasks'!$P$7:$P$246,'Tasks'!$C$7:$C$246,$A93,'Tasks'!$L$7:$L$246,$D93,'Tasks'!$F$7:$F$246,$B93)</x:f>
        <x:v>207140</x:v>
      </x:c>
      <x:c r="H93" s="17" t="n">
        <x:f>SUMIFS('Tasks'!$Q$7:$Q$246,'Tasks'!$C$7:$C$246,$A93,'Tasks'!$L$7:$L$246,$D93,'Tasks'!$F$7:$F$246,$B93)</x:f>
        <x:v>1102496</x:v>
      </x:c>
      <x:c r="I93" s="22" t="n">
        <x:f>SUMIFS('Tasks'!$S$7:$S$246,'Tasks'!$C$7:$C$246,$A93,'Tasks'!$L$7:$L$246,$D93,'Tasks'!$F$7:$F$246,$B93)</x:f>
        <x:v>20.608649999999997</x:v>
      </x:c>
      <x:c r="J93" s="22" t="n">
        <x:f>SUMIFS('Tasks'!$T$7:$T$246,'Tasks'!$C$7:$C$246,$A93,'Tasks'!$L$7:$L$246,$D93,'Tasks'!$F$7:$F$246,$B93)</x:f>
        <x:v>14.943340000000003</x:v>
      </x:c>
      <x:c r="K93" s="22" t="n">
        <x:f>SUMIFS('Tasks'!$U$7:$U$246,'Tasks'!$C$7:$C$246,$A93,'Tasks'!$L$7:$L$246,$D93,'Tasks'!$F$7:$F$246,$B93)</x:f>
        <x:v>35.55199</x:v>
      </x:c>
      <x:c r="L93" s="17" t="n">
        <x:f>SUMIFS('Tasks'!$R$7:$R$246,'Tasks'!$C$7:$C$246,$A93,'Tasks'!$L$7:$L$246,$D93,'Tasks'!$F$7:$F$246,$B93)</x:f>
        <x:v>30</x:v>
      </x:c>
      <x:c r="M93" s="22" t="n">
        <x:f>IF(L93=0,"N/A",K93/L93)</x:f>
        <x:v>1.1850663333333336</x:v>
      </x:c>
      <x:c r="N93" s="19" t="n">
        <x:f>SUMIFS('Tasks'!$G$7:$G$246,'Tasks'!$C$7:$C$246,$A93,'Tasks'!$L$7:$L$246,$D93,'Tasks'!$F$7:$F$246,$B93)</x:f>
        <x:v>6.41</x:v>
      </x:c>
      <x:c r="O93" s="19" t="n">
        <x:f>SUMIFS('Tasks'!$H$7:$H$246,'Tasks'!$C$7:$C$246,$A93,'Tasks'!$L$7:$L$246,$D93,'Tasks'!$F$7:$F$246,$B93)</x:f>
        <x:v>6.97</x:v>
      </x:c>
      <x:c r="P93" s="19" t="n">
        <x:f>SUMIFS('Tasks'!$Y$7:$Y$246,'Tasks'!$C$7:$C$246,$A93,'Tasks'!$L$7:$L$246,$D93,'Tasks'!$F$7:$F$246,$B93)</x:f>
        <x:v>-0.56</x:v>
      </x:c>
      <x:c r="Q93" s="22" t="n">
        <x:f>SUMIFS('Tasks'!$Z$7:$Z$246,'Tasks'!$C$7:$C$246,$A93,'Tasks'!$L$7:$L$246,$D93,'Tasks'!$F$7:$F$246,$B93)</x:f>
        <x:v>-28</x:v>
      </x:c>
      <x:c r="R93" s="22" t="n">
        <x:f>SUMIFS('Tasks'!$AA$7:$AA$246,'Tasks'!$C$7:$C$246,$A93,'Tasks'!$L$7:$L$246,$D93,'Tasks'!$F$7:$F$246,$B93)</x:f>
        <x:v>-63.55198999999999</x:v>
      </x:c>
      <x:c r="S93" s="31" t="n">
        <x:f>IF(K93=0,"N/A",R93/K93)</x:f>
        <x:v>-1.787578979404528</x:v>
      </x:c>
      <x:c r="T93" s="19" t="n">
        <x:f>SUMIFS('Tasks'!$I$7:$I$246,'Tasks'!$C$7:$C$246,$A93,'Tasks'!$L$7:$L$246,$D93,'Tasks'!$F$7:$F$246,$B93)</x:f>
        <x:v>1.57</x:v>
      </x:c>
      <x:c r="U93" s="31" t="n">
        <x:f>IF(O93=0,"N/A",T93/O93)</x:f>
        <x:v>0.2252510760401722</x:v>
      </x:c>
      <x:c r="V93" s="17" t="n">
        <x:f>SUMIFS('Tasks'!$X$7:$X$246,'Tasks'!$C$7:$C$246,$A93,'Tasks'!$L$7:$L$246,$D93,'Tasks'!$F$7:$F$246,$B93)</x:f>
        <x:v>11</x:v>
      </x:c>
      <x:c r="W93" s="31" t="n">
        <x:f>IF(L93=0,"N/A",V93/L93)</x:f>
        <x:v>0.36666666666666664</x:v>
      </x:c>
      <x:c r="X93" s="17" t="n">
        <x:f>COUNTIFS('Tasks'!$C$7:$C$246,$A93,'Tasks'!$L$7:$L$246,$D93,'Tasks'!$F$7:$F$246,$B93,'Tasks'!$L$7:$L$246,"Yes")</x:f>
        <x:v>2</x:v>
      </x:c>
      <x:c r="Y93" s="17" t="n">
        <x:f>COUNTIFS('Tasks'!$C$7:$C$246,$A93,'Tasks'!$L$7:$L$246,$D93,'Tasks'!$F$7:$F$246,$B93,'Tasks'!$K$7:$K$246,"Yes")</x:f>
        <x:v>1</x:v>
      </x:c>
      <x:c r="Z93" s="17" t="n">
        <x:f>COUNTIFS('Tasks'!$C$7:$C$246,$A93,'Tasks'!$L$7:$L$246,$D93,'Tasks'!$F$7:$F$246,$B93,'Tasks'!$AA$7:$AA$246,"&gt;0")</x:f>
        <x:v>1</x:v>
      </x:c>
      <x:c r="AA93" s="17" t="n">
        <x:f>COUNTIFS('Tasks'!$C$7:$C$246,$A93,'Tasks'!$L$7:$L$246,$D93,'Tasks'!$F$7:$F$246,$B93,'Tasks'!$AA$7:$AA$246,"&lt;0")</x:f>
        <x:v>1</x:v>
      </x:c>
      <x:c r="AB93" s="19" t="n">
        <x:f>IF(E93=0,"N/A",V93/E93)</x:f>
        <x:v>5.5</x:v>
      </x:c>
      <x:c r="AC93" s="22" t="n">
        <x:f>IF(E93=0,"N/A",K93/E93)</x:f>
        <x:v>17.775995</x:v>
      </x:c>
      <x:c r="AD93" s="19" t="n">
        <x:f>IF(E93=0,"N/A",P93/E93)</x:f>
        <x:v>-0.28</x:v>
      </x:c>
    </x:row>
    <x:row r="94" ht="23" customHeight="1">
      <x:c r="A94" s="17" t="str">
        <x:v>C002</x:v>
      </x:c>
      <x:c r="B94" s="17" t="str">
        <x:v>Write ad copy</x:v>
      </x:c>
      <x:c r="C94" s="17" t="str">
        <x:v>brief_changed</x:v>
      </x:c>
      <x:c r="D94" s="17" t="str">
        <x:v>No</x:v>
      </x:c>
      <x:c r="E94" s="17" t="n">
        <x:f>COUNTIFS('Tasks'!$C$7:$C$246,$A94,'Tasks'!$K$7:$K$246,$D94,'Tasks'!$F$7:$F$246,$B94)</x:f>
        <x:v>2</x:v>
      </x:c>
      <x:c r="F94" s="17" t="n">
        <x:f>SUMIFS('Tasks'!$O$7:$O$246,'Tasks'!$C$7:$C$246,$A94,'Tasks'!$K$7:$K$246,$D94,'Tasks'!$F$7:$F$246,$B94)</x:f>
        <x:v>1030588</x:v>
      </x:c>
      <x:c r="G94" s="17" t="n">
        <x:f>SUMIFS('Tasks'!$P$7:$P$246,'Tasks'!$C$7:$C$246,$A94,'Tasks'!$K$7:$K$246,$D94,'Tasks'!$F$7:$F$246,$B94)</x:f>
        <x:v>231215</x:v>
      </x:c>
      <x:c r="H94" s="17" t="n">
        <x:f>SUMIFS('Tasks'!$Q$7:$Q$246,'Tasks'!$C$7:$C$246,$A94,'Tasks'!$K$7:$K$246,$D94,'Tasks'!$F$7:$F$246,$B94)</x:f>
        <x:v>1261803</x:v>
      </x:c>
      <x:c r="I94" s="22" t="n">
        <x:f>SUMIFS('Tasks'!$S$7:$S$246,'Tasks'!$C$7:$C$246,$A94,'Tasks'!$K$7:$K$246,$D94,'Tasks'!$F$7:$F$246,$B94)</x:f>
        <x:v>26.017929999999993</x:v>
      </x:c>
      <x:c r="J94" s="22" t="n">
        <x:f>SUMIFS('Tasks'!$T$7:$T$246,'Tasks'!$C$7:$C$246,$A94,'Tasks'!$K$7:$K$246,$D94,'Tasks'!$F$7:$F$246,$B94)</x:f>
        <x:v>17.35084</x:v>
      </x:c>
      <x:c r="K94" s="22" t="n">
        <x:f>SUMIFS('Tasks'!$U$7:$U$246,'Tasks'!$C$7:$C$246,$A94,'Tasks'!$K$7:$K$246,$D94,'Tasks'!$F$7:$F$246,$B94)</x:f>
        <x:v>43.36877</x:v>
      </x:c>
      <x:c r="L94" s="17" t="n">
        <x:f>SUMIFS('Tasks'!$R$7:$R$246,'Tasks'!$C$7:$C$246,$A94,'Tasks'!$K$7:$K$246,$D94,'Tasks'!$F$7:$F$246,$B94)</x:f>
        <x:v>31</x:v>
      </x:c>
      <x:c r="M94" s="22" t="n">
        <x:f>IF(L94=0,"N/A",K94/L94)</x:f>
        <x:v>1.3989925806451613</x:v>
      </x:c>
      <x:c r="N94" s="19" t="n">
        <x:f>SUMIFS('Tasks'!$G$7:$G$246,'Tasks'!$C$7:$C$246,$A94,'Tasks'!$K$7:$K$246,$D94,'Tasks'!$F$7:$F$246,$B94)</x:f>
        <x:v>6.75</x:v>
      </x:c>
      <x:c r="O94" s="19" t="n">
        <x:f>SUMIFS('Tasks'!$H$7:$H$246,'Tasks'!$C$7:$C$246,$A94,'Tasks'!$K$7:$K$246,$D94,'Tasks'!$F$7:$F$246,$B94)</x:f>
        <x:v>7.3</x:v>
      </x:c>
      <x:c r="P94" s="19" t="n">
        <x:f>SUMIFS('Tasks'!$Y$7:$Y$246,'Tasks'!$C$7:$C$246,$A94,'Tasks'!$K$7:$K$246,$D94,'Tasks'!$F$7:$F$246,$B94)</x:f>
        <x:v>-0.5499999999999998</x:v>
      </x:c>
      <x:c r="Q94" s="22" t="n">
        <x:f>SUMIFS('Tasks'!$Z$7:$Z$246,'Tasks'!$C$7:$C$246,$A94,'Tasks'!$K$7:$K$246,$D94,'Tasks'!$F$7:$F$246,$B94)</x:f>
        <x:v>-27.499999999999986</x:v>
      </x:c>
      <x:c r="R94" s="22" t="n">
        <x:f>SUMIFS('Tasks'!$AA$7:$AA$246,'Tasks'!$C$7:$C$246,$A94,'Tasks'!$K$7:$K$246,$D94,'Tasks'!$F$7:$F$246,$B94)</x:f>
        <x:v>-70.86876999999998</x:v>
      </x:c>
      <x:c r="S94" s="31" t="n">
        <x:f>IF(K94=0,"N/A",R94/K94)</x:f>
        <x:v>-1.6340968397305247</x:v>
      </x:c>
      <x:c r="T94" s="19" t="n">
        <x:f>SUMIFS('Tasks'!$I$7:$I$246,'Tasks'!$C$7:$C$246,$A94,'Tasks'!$K$7:$K$246,$D94,'Tasks'!$F$7:$F$246,$B94)</x:f>
        <x:v>2.36</x:v>
      </x:c>
      <x:c r="U94" s="31" t="n">
        <x:f>IF(O94=0,"N/A",T94/O94)</x:f>
        <x:v>0.3232876712328767</x:v>
      </x:c>
      <x:c r="V94" s="17" t="n">
        <x:f>SUMIFS('Tasks'!$X$7:$X$246,'Tasks'!$C$7:$C$246,$A94,'Tasks'!$K$7:$K$246,$D94,'Tasks'!$F$7:$F$246,$B94)</x:f>
        <x:v>11</x:v>
      </x:c>
      <x:c r="W94" s="31" t="n">
        <x:f>IF(L94=0,"N/A",V94/L94)</x:f>
        <x:v>0.3548387096774194</x:v>
      </x:c>
      <x:c r="X94" s="17" t="n">
        <x:f>COUNTIFS('Tasks'!$C$7:$C$246,$A94,'Tasks'!$K$7:$K$246,$D94,'Tasks'!$F$7:$F$246,$B94,'Tasks'!$L$7:$L$246,"Yes")</x:f>
        <x:v>1</x:v>
      </x:c>
      <x:c r="Y94" s="17" t="n">
        <x:f>COUNTIFS('Tasks'!$C$7:$C$246,$A94,'Tasks'!$K$7:$K$246,$D94,'Tasks'!$F$7:$F$246,$B94,'Tasks'!$K$7:$K$246,"Yes")</x:f>
        <x:v>0</x:v>
      </x:c>
      <x:c r="Z94" s="17" t="n">
        <x:f>COUNTIFS('Tasks'!$C$7:$C$246,$A94,'Tasks'!$K$7:$K$246,$D94,'Tasks'!$F$7:$F$246,$B94,'Tasks'!$AA$7:$AA$246,"&gt;0")</x:f>
        <x:v>1</x:v>
      </x:c>
      <x:c r="AA94" s="17" t="n">
        <x:f>COUNTIFS('Tasks'!$C$7:$C$246,$A94,'Tasks'!$K$7:$K$246,$D94,'Tasks'!$F$7:$F$246,$B94,'Tasks'!$AA$7:$AA$246,"&lt;0")</x:f>
        <x:v>1</x:v>
      </x:c>
      <x:c r="AB94" s="19" t="n">
        <x:f>IF(E94=0,"N/A",V94/E94)</x:f>
        <x:v>5.5</x:v>
      </x:c>
      <x:c r="AC94" s="22" t="n">
        <x:f>IF(E94=0,"N/A",K94/E94)</x:f>
        <x:v>21.684385</x:v>
      </x:c>
      <x:c r="AD94" s="19" t="n">
        <x:f>IF(E94=0,"N/A",P94/E94)</x:f>
        <x:v>-0.2749999999999999</x:v>
      </x:c>
    </x:row>
    <x:row r="95" ht="23" customHeight="1">
      <x:c r="A95" s="17" t="str">
        <x:v>C002</x:v>
      </x:c>
      <x:c r="B95" s="17" t="str">
        <x:v>Write ad copy</x:v>
      </x:c>
      <x:c r="C95" s="17" t="str">
        <x:v>brief_changed</x:v>
      </x:c>
      <x:c r="D95" s="17" t="str">
        <x:v>Yes</x:v>
      </x:c>
      <x:c r="E95" s="17" t="n">
        <x:f>COUNTIFS('Tasks'!$C$7:$C$246,$A95,'Tasks'!$K$7:$K$246,$D95,'Tasks'!$F$7:$F$246,$B95)</x:f>
        <x:v>3</x:v>
      </x:c>
      <x:c r="F95" s="17" t="n">
        <x:f>SUMIFS('Tasks'!$O$7:$O$246,'Tasks'!$C$7:$C$246,$A95,'Tasks'!$K$7:$K$246,$D95,'Tasks'!$F$7:$F$246,$B95)</x:f>
        <x:v>1313109</x:v>
      </x:c>
      <x:c r="G95" s="17" t="n">
        <x:f>SUMIFS('Tasks'!$P$7:$P$246,'Tasks'!$C$7:$C$246,$A95,'Tasks'!$K$7:$K$246,$D95,'Tasks'!$F$7:$F$246,$B95)</x:f>
        <x:v>517843</x:v>
      </x:c>
      <x:c r="H95" s="17" t="n">
        <x:f>SUMIFS('Tasks'!$Q$7:$Q$246,'Tasks'!$C$7:$C$246,$A95,'Tasks'!$K$7:$K$246,$D95,'Tasks'!$F$7:$F$246,$B95)</x:f>
        <x:v>1830952</x:v>
      </x:c>
      <x:c r="I95" s="22" t="n">
        <x:f>SUMIFS('Tasks'!$S$7:$S$246,'Tasks'!$C$7:$C$246,$A95,'Tasks'!$K$7:$K$246,$D95,'Tasks'!$F$7:$F$246,$B95)</x:f>
        <x:v>38.107200000000006</x:v>
      </x:c>
      <x:c r="J95" s="22" t="n">
        <x:f>SUMIFS('Tasks'!$T$7:$T$246,'Tasks'!$C$7:$C$246,$A95,'Tasks'!$K$7:$K$246,$D95,'Tasks'!$F$7:$F$246,$B95)</x:f>
        <x:v>41.853750000000005</x:v>
      </x:c>
      <x:c r="K95" s="22" t="n">
        <x:f>SUMIFS('Tasks'!$U$7:$U$246,'Tasks'!$C$7:$C$246,$A95,'Tasks'!$K$7:$K$246,$D95,'Tasks'!$F$7:$F$246,$B95)</x:f>
        <x:v>79.96095</x:v>
      </x:c>
      <x:c r="L95" s="17" t="n">
        <x:f>SUMIFS('Tasks'!$R$7:$R$246,'Tasks'!$C$7:$C$246,$A95,'Tasks'!$K$7:$K$246,$D95,'Tasks'!$F$7:$F$246,$B95)</x:f>
        <x:v>56</x:v>
      </x:c>
      <x:c r="M95" s="22" t="n">
        <x:f>IF(L95=0,"N/A",K95/L95)</x:f>
        <x:v>1.4278741071428571</x:v>
      </x:c>
      <x:c r="N95" s="19" t="n">
        <x:f>SUMIFS('Tasks'!$G$7:$G$246,'Tasks'!$C$7:$C$246,$A95,'Tasks'!$K$7:$K$246,$D95,'Tasks'!$F$7:$F$246,$B95)</x:f>
        <x:v>8.75</x:v>
      </x:c>
      <x:c r="O95" s="19" t="n">
        <x:f>SUMIFS('Tasks'!$H$7:$H$246,'Tasks'!$C$7:$C$246,$A95,'Tasks'!$K$7:$K$246,$D95,'Tasks'!$F$7:$F$246,$B95)</x:f>
        <x:v>16.09</x:v>
      </x:c>
      <x:c r="P95" s="19" t="n">
        <x:f>SUMIFS('Tasks'!$Y$7:$Y$246,'Tasks'!$C$7:$C$246,$A95,'Tasks'!$K$7:$K$246,$D95,'Tasks'!$F$7:$F$246,$B95)</x:f>
        <x:v>-7.34</x:v>
      </x:c>
      <x:c r="Q95" s="22" t="n">
        <x:f>SUMIFS('Tasks'!$Z$7:$Z$246,'Tasks'!$C$7:$C$246,$A95,'Tasks'!$K$7:$K$246,$D95,'Tasks'!$F$7:$F$246,$B95)</x:f>
        <x:v>-367</x:v>
      </x:c>
      <x:c r="R95" s="22" t="n">
        <x:f>SUMIFS('Tasks'!$AA$7:$AA$246,'Tasks'!$C$7:$C$246,$A95,'Tasks'!$K$7:$K$246,$D95,'Tasks'!$F$7:$F$246,$B95)</x:f>
        <x:v>-446.96094999999997</x:v>
      </x:c>
      <x:c r="S95" s="31" t="n">
        <x:f>IF(K95=0,"N/A",R95/K95)</x:f>
        <x:v>-5.58974036701665</x:v>
      </x:c>
      <x:c r="T95" s="19" t="n">
        <x:f>SUMIFS('Tasks'!$I$7:$I$246,'Tasks'!$C$7:$C$246,$A95,'Tasks'!$K$7:$K$246,$D95,'Tasks'!$F$7:$F$246,$B95)</x:f>
        <x:v>5.15</x:v>
      </x:c>
      <x:c r="U95" s="31" t="n">
        <x:f>IF(O95=0,"N/A",T95/O95)</x:f>
        <x:v>0.32007458048477316</x:v>
      </x:c>
      <x:c r="V95" s="17" t="n">
        <x:f>SUMIFS('Tasks'!$X$7:$X$246,'Tasks'!$C$7:$C$246,$A95,'Tasks'!$K$7:$K$246,$D95,'Tasks'!$F$7:$F$246,$B95)</x:f>
        <x:v>19</x:v>
      </x:c>
      <x:c r="W95" s="31" t="n">
        <x:f>IF(L95=0,"N/A",V95/L95)</x:f>
        <x:v>0.3392857142857143</x:v>
      </x:c>
      <x:c r="X95" s="17" t="n">
        <x:f>COUNTIFS('Tasks'!$C$7:$C$246,$A95,'Tasks'!$K$7:$K$246,$D95,'Tasks'!$F$7:$F$246,$B95,'Tasks'!$L$7:$L$246,"Yes")</x:f>
        <x:v>1</x:v>
      </x:c>
      <x:c r="Y95" s="17" t="n">
        <x:f>COUNTIFS('Tasks'!$C$7:$C$246,$A95,'Tasks'!$K$7:$K$246,$D95,'Tasks'!$F$7:$F$246,$B95,'Tasks'!$K$7:$K$246,"Yes")</x:f>
        <x:v>3</x:v>
      </x:c>
      <x:c r="Z95" s="17" t="n">
        <x:f>COUNTIFS('Tasks'!$C$7:$C$246,$A95,'Tasks'!$K$7:$K$246,$D95,'Tasks'!$F$7:$F$246,$B95,'Tasks'!$AA$7:$AA$246,"&gt;0")</x:f>
        <x:v>0</x:v>
      </x:c>
      <x:c r="AA95" s="17" t="n">
        <x:f>COUNTIFS('Tasks'!$C$7:$C$246,$A95,'Tasks'!$K$7:$K$246,$D95,'Tasks'!$F$7:$F$246,$B95,'Tasks'!$AA$7:$AA$246,"&lt;0")</x:f>
        <x:v>3</x:v>
      </x:c>
      <x:c r="AB95" s="19" t="n">
        <x:f>IF(E95=0,"N/A",V95/E95)</x:f>
        <x:v>6.333333333333333</x:v>
      </x:c>
      <x:c r="AC95" s="22" t="n">
        <x:f>IF(E95=0,"N/A",K95/E95)</x:f>
        <x:v>26.65365</x:v>
      </x:c>
      <x:c r="AD95" s="19" t="n">
        <x:f>IF(E95=0,"N/A",P95/E95)</x:f>
        <x:v>-2.4466666666666668</x:v>
      </x:c>
    </x:row>
    <x:row r="96" ht="23" customHeight="1">
      <x:c r="A96" s="17" t="str">
        <x:v>C003</x:v>
      </x:c>
      <x:c r="B96" s="17" t="str">
        <x:v>All task types</x:v>
      </x:c>
      <x:c r="C96" s="17" t="str">
        <x:v>prompt_template_used</x:v>
      </x:c>
      <x:c r="D96" s="17" t="str">
        <x:v>No</x:v>
      </x:c>
      <x:c r="E96" s="17" t="n">
        <x:f>COUNTIFS('Tasks'!$C$7:$C$246,$A96,'Tasks'!$L$7:$L$246,$D96)</x:f>
        <x:v>18</x:v>
      </x:c>
      <x:c r="F96" s="17" t="n">
        <x:f>SUMIFS('Tasks'!$O$7:$O$246,'Tasks'!$C$7:$C$246,$A96,'Tasks'!$L$7:$L$246,$D96)</x:f>
        <x:v>5463566</x:v>
      </x:c>
      <x:c r="G96" s="17" t="n">
        <x:f>SUMIFS('Tasks'!$P$7:$P$246,'Tasks'!$C$7:$C$246,$A96,'Tasks'!$L$7:$L$246,$D96)</x:f>
        <x:v>1324537</x:v>
      </x:c>
      <x:c r="H96" s="17" t="n">
        <x:f>SUMIFS('Tasks'!$Q$7:$Q$246,'Tasks'!$C$7:$C$246,$A96,'Tasks'!$L$7:$L$246,$D96)</x:f>
        <x:v>6788103</x:v>
      </x:c>
      <x:c r="I96" s="22" t="n">
        <x:f>SUMIFS('Tasks'!$S$7:$S$246,'Tasks'!$C$7:$C$246,$A96,'Tasks'!$L$7:$L$246,$D96)</x:f>
        <x:v>87.70670000000003</x:v>
      </x:c>
      <x:c r="J96" s="22" t="n">
        <x:f>SUMIFS('Tasks'!$T$7:$T$246,'Tasks'!$C$7:$C$246,$A96,'Tasks'!$L$7:$L$246,$D96)</x:f>
        <x:v>66.21969999999999</x:v>
      </x:c>
      <x:c r="K96" s="22" t="n">
        <x:f>SUMIFS('Tasks'!$U$7:$U$246,'Tasks'!$C$7:$C$246,$A96,'Tasks'!$L$7:$L$246,$D96)</x:f>
        <x:v>153.9264</x:v>
      </x:c>
      <x:c r="L96" s="17" t="n">
        <x:f>SUMIFS('Tasks'!$R$7:$R$246,'Tasks'!$C$7:$C$246,$A96,'Tasks'!$L$7:$L$246,$D96)</x:f>
        <x:v>223</x:v>
      </x:c>
      <x:c r="M96" s="22" t="n">
        <x:f>IF(L96=0,"N/A",K96/L96)</x:f>
        <x:v>0.6902529147982063</x:v>
      </x:c>
      <x:c r="N96" s="19" t="n">
        <x:f>SUMIFS('Tasks'!$G$7:$G$246,'Tasks'!$C$7:$C$246,$A96,'Tasks'!$L$7:$L$246,$D96)</x:f>
        <x:v>69.91999999999999</x:v>
      </x:c>
      <x:c r="O96" s="19" t="n">
        <x:f>SUMIFS('Tasks'!$H$7:$H$246,'Tasks'!$C$7:$C$246,$A96,'Tasks'!$L$7:$L$246,$D96)</x:f>
        <x:v>52.499999999999986</x:v>
      </x:c>
      <x:c r="P96" s="19" t="n">
        <x:f>SUMIFS('Tasks'!$Y$7:$Y$246,'Tasks'!$C$7:$C$246,$A96,'Tasks'!$L$7:$L$246,$D96)</x:f>
        <x:v>17.419999999999995</x:v>
      </x:c>
      <x:c r="Q96" s="22" t="n">
        <x:f>SUMIFS('Tasks'!$Z$7:$Z$246,'Tasks'!$C$7:$C$246,$A96,'Tasks'!$L$7:$L$246,$D96)</x:f>
        <x:v>871</x:v>
      </x:c>
      <x:c r="R96" s="22" t="n">
        <x:f>SUMIFS('Tasks'!$AA$7:$AA$246,'Tasks'!$C$7:$C$246,$A96,'Tasks'!$L$7:$L$246,$D96)</x:f>
        <x:v>717.0735999999999</x:v>
      </x:c>
      <x:c r="S96" s="31" t="n">
        <x:f>IF(K96=0,"N/A",R96/K96)</x:f>
        <x:v>4.658548501101825</x:v>
      </x:c>
      <x:c r="T96" s="19" t="n">
        <x:f>SUMIFS('Tasks'!$I$7:$I$246,'Tasks'!$C$7:$C$246,$A96,'Tasks'!$L$7:$L$246,$D96)</x:f>
        <x:v>5.32</x:v>
      </x:c>
      <x:c r="U96" s="31" t="n">
        <x:f>IF(O96=0,"N/A",T96/O96)</x:f>
        <x:v>0.10133333333333337</x:v>
      </x:c>
      <x:c r="V96" s="17" t="n">
        <x:f>SUMIFS('Tasks'!$X$7:$X$246,'Tasks'!$C$7:$C$246,$A96,'Tasks'!$L$7:$L$246,$D96)</x:f>
        <x:v>47</x:v>
      </x:c>
      <x:c r="W96" s="31" t="n">
        <x:f>IF(L96=0,"N/A",V96/L96)</x:f>
        <x:v>0.21076233183856502</x:v>
      </x:c>
      <x:c r="X96" s="17" t="n">
        <x:f>COUNTIFS('Tasks'!$C$7:$C$246,$A96,'Tasks'!$L$7:$L$246,$D96,'Tasks'!$L$7:$L$246,"Yes")</x:f>
        <x:v>0</x:v>
      </x:c>
      <x:c r="Y96" s="17" t="n">
        <x:f>COUNTIFS('Tasks'!$C$7:$C$246,$A96,'Tasks'!$L$7:$L$246,$D96,'Tasks'!$K$7:$K$246,"Yes")</x:f>
        <x:v>4</x:v>
      </x:c>
      <x:c r="Z96" s="17" t="n">
        <x:f>COUNTIFS('Tasks'!$C$7:$C$246,$A96,'Tasks'!$L$7:$L$246,$D96,'Tasks'!$AA$7:$AA$246,"&gt;0")</x:f>
        <x:v>14</x:v>
      </x:c>
      <x:c r="AA96" s="17" t="n">
        <x:f>COUNTIFS('Tasks'!$C$7:$C$246,$A96,'Tasks'!$L$7:$L$246,$D96,'Tasks'!$AA$7:$AA$246,"&lt;0")</x:f>
        <x:v>4</x:v>
      </x:c>
      <x:c r="AB96" s="19" t="n">
        <x:f>IF(E96=0,"N/A",V96/E96)</x:f>
        <x:v>2.611111111111111</x:v>
      </x:c>
      <x:c r="AC96" s="22" t="n">
        <x:f>IF(E96=0,"N/A",K96/E96)</x:f>
        <x:v>8.551466666666666</x:v>
      </x:c>
      <x:c r="AD96" s="19" t="n">
        <x:f>IF(E96=0,"N/A",P96/E96)</x:f>
        <x:v>0.9677777777777775</x:v>
      </x:c>
    </x:row>
    <x:row r="97" ht="23" customHeight="1">
      <x:c r="A97" s="17" t="str">
        <x:v>C003</x:v>
      </x:c>
      <x:c r="B97" s="17" t="str">
        <x:v>All task types</x:v>
      </x:c>
      <x:c r="C97" s="17" t="str">
        <x:v>prompt_template_used</x:v>
      </x:c>
      <x:c r="D97" s="17" t="str">
        <x:v>Yes</x:v>
      </x:c>
      <x:c r="E97" s="17" t="n">
        <x:f>COUNTIFS('Tasks'!$C$7:$C$246,$A97,'Tasks'!$L$7:$L$246,$D97)</x:f>
        <x:v>42</x:v>
      </x:c>
      <x:c r="F97" s="17" t="n">
        <x:f>SUMIFS('Tasks'!$O$7:$O$246,'Tasks'!$C$7:$C$246,$A97,'Tasks'!$L$7:$L$246,$D97)</x:f>
        <x:v>12536434</x:v>
      </x:c>
      <x:c r="G97" s="17" t="n">
        <x:f>SUMIFS('Tasks'!$P$7:$P$246,'Tasks'!$C$7:$C$246,$A97,'Tasks'!$L$7:$L$246,$D97)</x:f>
        <x:v>3175463</x:v>
      </x:c>
      <x:c r="H97" s="17" t="n">
        <x:f>SUMIFS('Tasks'!$Q$7:$Q$246,'Tasks'!$C$7:$C$246,$A97,'Tasks'!$L$7:$L$246,$D97)</x:f>
        <x:v>15711897</x:v>
      </x:c>
      <x:c r="I97" s="22" t="n">
        <x:f>SUMIFS('Tasks'!$S$7:$S$246,'Tasks'!$C$7:$C$246,$A97,'Tasks'!$L$7:$L$246,$D97)</x:f>
        <x:v>212.29330000000004</x:v>
      </x:c>
      <x:c r="J97" s="22" t="n">
        <x:f>SUMIFS('Tasks'!$T$7:$T$246,'Tasks'!$C$7:$C$246,$A97,'Tasks'!$L$7:$L$246,$D97)</x:f>
        <x:v>173.7803</x:v>
      </x:c>
      <x:c r="K97" s="22" t="n">
        <x:f>SUMIFS('Tasks'!$U$7:$U$246,'Tasks'!$C$7:$C$246,$A97,'Tasks'!$L$7:$L$246,$D97)</x:f>
        <x:v>386.07359999999994</x:v>
      </x:c>
      <x:c r="L97" s="17" t="n">
        <x:f>SUMIFS('Tasks'!$R$7:$R$246,'Tasks'!$C$7:$C$246,$A97,'Tasks'!$L$7:$L$246,$D97)</x:f>
        <x:v>497</x:v>
      </x:c>
      <x:c r="M97" s="22" t="n">
        <x:f>IF(L97=0,"N/A",K97/L97)</x:f>
        <x:v>0.7768080482897383</x:v>
      </x:c>
      <x:c r="N97" s="19" t="n">
        <x:f>SUMIFS('Tasks'!$G$7:$G$246,'Tasks'!$C$7:$C$246,$A97,'Tasks'!$L$7:$L$246,$D97)</x:f>
        <x:v>150.08000000000004</x:v>
      </x:c>
      <x:c r="O97" s="19" t="n">
        <x:f>SUMIFS('Tasks'!$H$7:$H$246,'Tasks'!$C$7:$C$246,$A97,'Tasks'!$L$7:$L$246,$D97)</x:f>
        <x:v>119.50000000000001</x:v>
      </x:c>
      <x:c r="P97" s="19" t="n">
        <x:f>SUMIFS('Tasks'!$Y$7:$Y$246,'Tasks'!$C$7:$C$246,$A97,'Tasks'!$L$7:$L$246,$D97)</x:f>
        <x:v>30.58</x:v>
      </x:c>
      <x:c r="Q97" s="22" t="n">
        <x:f>SUMIFS('Tasks'!$Z$7:$Z$246,'Tasks'!$C$7:$C$246,$A97,'Tasks'!$L$7:$L$246,$D97)</x:f>
        <x:v>1529.0000000000002</x:v>
      </x:c>
      <x:c r="R97" s="22" t="n">
        <x:f>SUMIFS('Tasks'!$AA$7:$AA$246,'Tasks'!$C$7:$C$246,$A97,'Tasks'!$L$7:$L$246,$D97)</x:f>
        <x:v>1142.9264</x:v>
      </x:c>
      <x:c r="S97" s="31" t="n">
        <x:f>IF(K97=0,"N/A",R97/K97)</x:f>
        <x:v>2.9603847556528087</x:v>
      </x:c>
      <x:c r="T97" s="19" t="n">
        <x:f>SUMIFS('Tasks'!$I$7:$I$246,'Tasks'!$C$7:$C$246,$A97,'Tasks'!$L$7:$L$246,$D97)</x:f>
        <x:v>9.620000000000001</x:v>
      </x:c>
      <x:c r="U97" s="31" t="n">
        <x:f>IF(O97=0,"N/A",T97/O97)</x:f>
        <x:v>0.08050209205020921</x:v>
      </x:c>
      <x:c r="V97" s="17" t="n">
        <x:f>SUMIFS('Tasks'!$X$7:$X$246,'Tasks'!$C$7:$C$246,$A97,'Tasks'!$L$7:$L$246,$D97)</x:f>
        <x:v>105</x:v>
      </x:c>
      <x:c r="W97" s="31" t="n">
        <x:f>IF(L97=0,"N/A",V97/L97)</x:f>
        <x:v>0.2112676056338028</x:v>
      </x:c>
      <x:c r="X97" s="17" t="n">
        <x:f>COUNTIFS('Tasks'!$C$7:$C$246,$A97,'Tasks'!$L$7:$L$246,$D97,'Tasks'!$L$7:$L$246,"Yes")</x:f>
        <x:v>42</x:v>
      </x:c>
      <x:c r="Y97" s="17" t="n">
        <x:f>COUNTIFS('Tasks'!$C$7:$C$246,$A97,'Tasks'!$L$7:$L$246,$D97,'Tasks'!$K$7:$K$246,"Yes")</x:f>
        <x:v>6</x:v>
      </x:c>
      <x:c r="Z97" s="17" t="n">
        <x:f>COUNTIFS('Tasks'!$C$7:$C$246,$A97,'Tasks'!$L$7:$L$246,$D97,'Tasks'!$AA$7:$AA$246,"&gt;0")</x:f>
        <x:v>30</x:v>
      </x:c>
      <x:c r="AA97" s="17" t="n">
        <x:f>COUNTIFS('Tasks'!$C$7:$C$246,$A97,'Tasks'!$L$7:$L$246,$D97,'Tasks'!$AA$7:$AA$246,"&lt;0")</x:f>
        <x:v>12</x:v>
      </x:c>
      <x:c r="AB97" s="19" t="n">
        <x:f>IF(E97=0,"N/A",V97/E97)</x:f>
        <x:v>2.5</x:v>
      </x:c>
      <x:c r="AC97" s="22" t="n">
        <x:f>IF(E97=0,"N/A",K97/E97)</x:f>
        <x:v>9.19222857142857</x:v>
      </x:c>
      <x:c r="AD97" s="19" t="n">
        <x:f>IF(E97=0,"N/A",P97/E97)</x:f>
        <x:v>0.728095238095238</x:v>
      </x:c>
    </x:row>
    <x:row r="98" ht="23" customHeight="1">
      <x:c r="A98" s="17" t="str">
        <x:v>C003</x:v>
      </x:c>
      <x:c r="B98" s="17" t="str">
        <x:v>All task types</x:v>
      </x:c>
      <x:c r="C98" s="17" t="str">
        <x:v>brief_changed</x:v>
      </x:c>
      <x:c r="D98" s="17" t="str">
        <x:v>No</x:v>
      </x:c>
      <x:c r="E98" s="17" t="n">
        <x:f>COUNTIFS('Tasks'!$C$7:$C$246,$A98,'Tasks'!$K$7:$K$246,$D98)</x:f>
        <x:v>50</x:v>
      </x:c>
      <x:c r="F98" s="17" t="n">
        <x:f>SUMIFS('Tasks'!$O$7:$O$246,'Tasks'!$C$7:$C$246,$A98,'Tasks'!$K$7:$K$246,$D98)</x:f>
        <x:v>15124635</x:v>
      </x:c>
      <x:c r="G98" s="17" t="n">
        <x:f>SUMIFS('Tasks'!$P$7:$P$246,'Tasks'!$C$7:$C$246,$A98,'Tasks'!$K$7:$K$246,$D98)</x:f>
        <x:v>3690529</x:v>
      </x:c>
      <x:c r="H98" s="17" t="n">
        <x:f>SUMIFS('Tasks'!$Q$7:$Q$246,'Tasks'!$C$7:$C$246,$A98,'Tasks'!$K$7:$K$246,$D98)</x:f>
        <x:v>18815164</x:v>
      </x:c>
      <x:c r="I98" s="22" t="n">
        <x:f>SUMIFS('Tasks'!$S$7:$S$246,'Tasks'!$C$7:$C$246,$A98,'Tasks'!$K$7:$K$246,$D98)</x:f>
        <x:v>246.48969</x:v>
      </x:c>
      <x:c r="J98" s="22" t="n">
        <x:f>SUMIFS('Tasks'!$T$7:$T$246,'Tasks'!$C$7:$C$246,$A98,'Tasks'!$K$7:$K$246,$D98)</x:f>
        <x:v>190.98606000000004</x:v>
      </x:c>
      <x:c r="K98" s="22" t="n">
        <x:f>SUMIFS('Tasks'!$U$7:$U$246,'Tasks'!$C$7:$C$246,$A98,'Tasks'!$K$7:$K$246,$D98)</x:f>
        <x:v>437.4757499999999</x:v>
      </x:c>
      <x:c r="L98" s="17" t="n">
        <x:f>SUMIFS('Tasks'!$R$7:$R$246,'Tasks'!$C$7:$C$246,$A98,'Tasks'!$K$7:$K$246,$D98)</x:f>
        <x:v>604</x:v>
      </x:c>
      <x:c r="M98" s="22" t="n">
        <x:f>IF(L98=0,"N/A",K98/L98)</x:f>
        <x:v>0.7242975993377482</x:v>
      </x:c>
      <x:c r="N98" s="19" t="n">
        <x:f>SUMIFS('Tasks'!$G$7:$G$246,'Tasks'!$C$7:$C$246,$A98,'Tasks'!$K$7:$K$246,$D98)</x:f>
        <x:v>182.32000000000005</x:v>
      </x:c>
      <x:c r="O98" s="19" t="n">
        <x:f>SUMIFS('Tasks'!$H$7:$H$246,'Tasks'!$C$7:$C$246,$A98,'Tasks'!$K$7:$K$246,$D98)</x:f>
        <x:v>140.72000000000003</x:v>
      </x:c>
      <x:c r="P98" s="19" t="n">
        <x:f>SUMIFS('Tasks'!$Y$7:$Y$246,'Tasks'!$C$7:$C$246,$A98,'Tasks'!$K$7:$K$246,$D98)</x:f>
        <x:v>41.6</x:v>
      </x:c>
      <x:c r="Q98" s="22" t="n">
        <x:f>SUMIFS('Tasks'!$Z$7:$Z$246,'Tasks'!$C$7:$C$246,$A98,'Tasks'!$K$7:$K$246,$D98)</x:f>
        <x:v>2080</x:v>
      </x:c>
      <x:c r="R98" s="22" t="n">
        <x:f>SUMIFS('Tasks'!$AA$7:$AA$246,'Tasks'!$C$7:$C$246,$A98,'Tasks'!$K$7:$K$246,$D98)</x:f>
        <x:v>1642.5242500000004</x:v>
      </x:c>
      <x:c r="S98" s="31" t="n">
        <x:f>IF(K98=0,"N/A",R98/K98)</x:f>
        <x:v>3.75454925215855</x:v>
      </x:c>
      <x:c r="T98" s="19" t="n">
        <x:f>SUMIFS('Tasks'!$I$7:$I$246,'Tasks'!$C$7:$C$246,$A98,'Tasks'!$K$7:$K$246,$D98)</x:f>
        <x:v>10.620000000000001</x:v>
      </x:c>
      <x:c r="U98" s="31" t="n">
        <x:f>IF(O98=0,"N/A",T98/O98)</x:f>
        <x:v>0.07546901648664013</x:v>
      </x:c>
      <x:c r="V98" s="17" t="n">
        <x:f>SUMIFS('Tasks'!$X$7:$X$246,'Tasks'!$C$7:$C$246,$A98,'Tasks'!$K$7:$K$246,$D98)</x:f>
        <x:v>126</x:v>
      </x:c>
      <x:c r="W98" s="31" t="n">
        <x:f>IF(L98=0,"N/A",V98/L98)</x:f>
        <x:v>0.20860927152317882</x:v>
      </x:c>
      <x:c r="X98" s="17" t="n">
        <x:f>COUNTIFS('Tasks'!$C$7:$C$246,$A98,'Tasks'!$K$7:$K$246,$D98,'Tasks'!$L$7:$L$246,"Yes")</x:f>
        <x:v>36</x:v>
      </x:c>
      <x:c r="Y98" s="17" t="n">
        <x:f>COUNTIFS('Tasks'!$C$7:$C$246,$A98,'Tasks'!$K$7:$K$246,$D98,'Tasks'!$K$7:$K$246,"Yes")</x:f>
        <x:v>0</x:v>
      </x:c>
      <x:c r="Z98" s="17" t="n">
        <x:f>COUNTIFS('Tasks'!$C$7:$C$246,$A98,'Tasks'!$K$7:$K$246,$D98,'Tasks'!$AA$7:$AA$246,"&gt;0")</x:f>
        <x:v>37</x:v>
      </x:c>
      <x:c r="AA98" s="17" t="n">
        <x:f>COUNTIFS('Tasks'!$C$7:$C$246,$A98,'Tasks'!$K$7:$K$246,$D98,'Tasks'!$AA$7:$AA$246,"&lt;0")</x:f>
        <x:v>13</x:v>
      </x:c>
      <x:c r="AB98" s="19" t="n">
        <x:f>IF(E98=0,"N/A",V98/E98)</x:f>
        <x:v>2.52</x:v>
      </x:c>
      <x:c r="AC98" s="22" t="n">
        <x:f>IF(E98=0,"N/A",K98/E98)</x:f>
        <x:v>8.749514999999997</x:v>
      </x:c>
      <x:c r="AD98" s="19" t="n">
        <x:f>IF(E98=0,"N/A",P98/E98)</x:f>
        <x:v>0.8320000000000001</x:v>
      </x:c>
    </x:row>
    <x:row r="99" ht="23" customHeight="1">
      <x:c r="A99" s="17" t="str">
        <x:v>C003</x:v>
      </x:c>
      <x:c r="B99" s="17" t="str">
        <x:v>All task types</x:v>
      </x:c>
      <x:c r="C99" s="17" t="str">
        <x:v>brief_changed</x:v>
      </x:c>
      <x:c r="D99" s="17" t="str">
        <x:v>Yes</x:v>
      </x:c>
      <x:c r="E99" s="17" t="n">
        <x:f>COUNTIFS('Tasks'!$C$7:$C$246,$A99,'Tasks'!$K$7:$K$246,$D99)</x:f>
        <x:v>10</x:v>
      </x:c>
      <x:c r="F99" s="17" t="n">
        <x:f>SUMIFS('Tasks'!$O$7:$O$246,'Tasks'!$C$7:$C$246,$A99,'Tasks'!$K$7:$K$246,$D99)</x:f>
        <x:v>2875365</x:v>
      </x:c>
      <x:c r="G99" s="17" t="n">
        <x:f>SUMIFS('Tasks'!$P$7:$P$246,'Tasks'!$C$7:$C$246,$A99,'Tasks'!$K$7:$K$246,$D99)</x:f>
        <x:v>809471</x:v>
      </x:c>
      <x:c r="H99" s="17" t="n">
        <x:f>SUMIFS('Tasks'!$Q$7:$Q$246,'Tasks'!$C$7:$C$246,$A99,'Tasks'!$K$7:$K$246,$D99)</x:f>
        <x:v>3684836</x:v>
      </x:c>
      <x:c r="I99" s="22" t="n">
        <x:f>SUMIFS('Tasks'!$S$7:$S$246,'Tasks'!$C$7:$C$246,$A99,'Tasks'!$K$7:$K$246,$D99)</x:f>
        <x:v>53.51031</x:v>
      </x:c>
      <x:c r="J99" s="22" t="n">
        <x:f>SUMIFS('Tasks'!$T$7:$T$246,'Tasks'!$C$7:$C$246,$A99,'Tasks'!$K$7:$K$246,$D99)</x:f>
        <x:v>49.013940000000005</x:v>
      </x:c>
      <x:c r="K99" s="22" t="n">
        <x:f>SUMIFS('Tasks'!$U$7:$U$246,'Tasks'!$C$7:$C$246,$A99,'Tasks'!$K$7:$K$246,$D99)</x:f>
        <x:v>102.52425000000001</x:v>
      </x:c>
      <x:c r="L99" s="17" t="n">
        <x:f>SUMIFS('Tasks'!$R$7:$R$246,'Tasks'!$C$7:$C$246,$A99,'Tasks'!$K$7:$K$246,$D99)</x:f>
        <x:v>116</x:v>
      </x:c>
      <x:c r="M99" s="22" t="n">
        <x:f>IF(L99=0,"N/A",K99/L99)</x:f>
        <x:v>0.8838297413793105</x:v>
      </x:c>
      <x:c r="N99" s="19" t="n">
        <x:f>SUMIFS('Tasks'!$G$7:$G$246,'Tasks'!$C$7:$C$246,$A99,'Tasks'!$K$7:$K$246,$D99)</x:f>
        <x:v>37.67999999999999</x:v>
      </x:c>
      <x:c r="O99" s="19" t="n">
        <x:f>SUMIFS('Tasks'!$H$7:$H$246,'Tasks'!$C$7:$C$246,$A99,'Tasks'!$K$7:$K$246,$D99)</x:f>
        <x:v>31.279999999999998</x:v>
      </x:c>
      <x:c r="P99" s="19" t="n">
        <x:f>SUMIFS('Tasks'!$Y$7:$Y$246,'Tasks'!$C$7:$C$246,$A99,'Tasks'!$K$7:$K$246,$D99)</x:f>
        <x:v>6.3999999999999995</x:v>
      </x:c>
      <x:c r="Q99" s="22" t="n">
        <x:f>SUMIFS('Tasks'!$Z$7:$Z$246,'Tasks'!$C$7:$C$246,$A99,'Tasks'!$K$7:$K$246,$D99)</x:f>
        <x:v>320</x:v>
      </x:c>
      <x:c r="R99" s="22" t="n">
        <x:f>SUMIFS('Tasks'!$AA$7:$AA$246,'Tasks'!$C$7:$C$246,$A99,'Tasks'!$K$7:$K$246,$D99)</x:f>
        <x:v>217.47574999999998</x:v>
      </x:c>
      <x:c r="S99" s="31" t="n">
        <x:f>IF(K99=0,"N/A",R99/K99)</x:f>
        <x:v>2.1212127862432544</x:v>
      </x:c>
      <x:c r="T99" s="19" t="n">
        <x:f>SUMIFS('Tasks'!$I$7:$I$246,'Tasks'!$C$7:$C$246,$A99,'Tasks'!$K$7:$K$246,$D99)</x:f>
        <x:v>4.32</x:v>
      </x:c>
      <x:c r="U99" s="31" t="n">
        <x:f>IF(O99=0,"N/A",T99/O99)</x:f>
        <x:v>0.1381074168797954</x:v>
      </x:c>
      <x:c r="V99" s="17" t="n">
        <x:f>SUMIFS('Tasks'!$X$7:$X$246,'Tasks'!$C$7:$C$246,$A99,'Tasks'!$K$7:$K$246,$D99)</x:f>
        <x:v>26</x:v>
      </x:c>
      <x:c r="W99" s="31" t="n">
        <x:f>IF(L99=0,"N/A",V99/L99)</x:f>
        <x:v>0.22413793103448276</x:v>
      </x:c>
      <x:c r="X99" s="17" t="n">
        <x:f>COUNTIFS('Tasks'!$C$7:$C$246,$A99,'Tasks'!$K$7:$K$246,$D99,'Tasks'!$L$7:$L$246,"Yes")</x:f>
        <x:v>6</x:v>
      </x:c>
      <x:c r="Y99" s="17" t="n">
        <x:f>COUNTIFS('Tasks'!$C$7:$C$246,$A99,'Tasks'!$K$7:$K$246,$D99,'Tasks'!$K$7:$K$246,"Yes")</x:f>
        <x:v>10</x:v>
      </x:c>
      <x:c r="Z99" s="17" t="n">
        <x:f>COUNTIFS('Tasks'!$C$7:$C$246,$A99,'Tasks'!$K$7:$K$246,$D99,'Tasks'!$AA$7:$AA$246,"&gt;0")</x:f>
        <x:v>7</x:v>
      </x:c>
      <x:c r="AA99" s="17" t="n">
        <x:f>COUNTIFS('Tasks'!$C$7:$C$246,$A99,'Tasks'!$K$7:$K$246,$D99,'Tasks'!$AA$7:$AA$246,"&lt;0")</x:f>
        <x:v>3</x:v>
      </x:c>
      <x:c r="AB99" s="19" t="n">
        <x:f>IF(E99=0,"N/A",V99/E99)</x:f>
        <x:v>2.6</x:v>
      </x:c>
      <x:c r="AC99" s="22" t="n">
        <x:f>IF(E99=0,"N/A",K99/E99)</x:f>
        <x:v>10.252425</x:v>
      </x:c>
      <x:c r="AD99" s="19" t="n">
        <x:f>IF(E99=0,"N/A",P99/E99)</x:f>
        <x:v>0.6399999999999999</x:v>
      </x:c>
    </x:row>
    <x:row r="100" ht="23" customHeight="1">
      <x:c r="A100" s="17" t="str">
        <x:v>C003</x:v>
      </x:c>
      <x:c r="B100" s="17" t="str">
        <x:v>Analyze campaign results</x:v>
      </x:c>
      <x:c r="C100" s="17" t="str">
        <x:v>prompt_template_used</x:v>
      </x:c>
      <x:c r="D100" s="17" t="str">
        <x:v>No</x:v>
      </x:c>
      <x:c r="E100" s="17" t="n">
        <x:f>COUNTIFS('Tasks'!$C$7:$C$246,$A100,'Tasks'!$L$7:$L$246,$D100,'Tasks'!$F$7:$F$246,$B100)</x:f>
        <x:v>2</x:v>
      </x:c>
      <x:c r="F100" s="17" t="n">
        <x:f>SUMIFS('Tasks'!$O$7:$O$246,'Tasks'!$C$7:$C$246,$A100,'Tasks'!$L$7:$L$246,$D100,'Tasks'!$F$7:$F$246,$B100)</x:f>
        <x:v>703897</x:v>
      </x:c>
      <x:c r="G100" s="17" t="n">
        <x:f>SUMIFS('Tasks'!$P$7:$P$246,'Tasks'!$C$7:$C$246,$A100,'Tasks'!$L$7:$L$246,$D100,'Tasks'!$F$7:$F$246,$B100)</x:f>
        <x:v>158563</x:v>
      </x:c>
      <x:c r="H100" s="17" t="n">
        <x:f>SUMIFS('Tasks'!$Q$7:$Q$246,'Tasks'!$C$7:$C$246,$A100,'Tasks'!$L$7:$L$246,$D100,'Tasks'!$F$7:$F$246,$B100)</x:f>
        <x:v>862460</x:v>
      </x:c>
      <x:c r="I100" s="22" t="n">
        <x:f>SUMIFS('Tasks'!$S$7:$S$246,'Tasks'!$C$7:$C$246,$A100,'Tasks'!$L$7:$L$246,$D100,'Tasks'!$F$7:$F$246,$B100)</x:f>
        <x:v>7.038969999999999</x:v>
      </x:c>
      <x:c r="J100" s="22" t="n">
        <x:f>SUMIFS('Tasks'!$T$7:$T$246,'Tasks'!$C$7:$C$246,$A100,'Tasks'!$L$7:$L$246,$D100,'Tasks'!$F$7:$F$246,$B100)</x:f>
        <x:v>4.756889999999999</x:v>
      </x:c>
      <x:c r="K100" s="22" t="n">
        <x:f>SUMIFS('Tasks'!$U$7:$U$246,'Tasks'!$C$7:$C$246,$A100,'Tasks'!$L$7:$L$246,$D100,'Tasks'!$F$7:$F$246,$B100)</x:f>
        <x:v>11.79586</x:v>
      </x:c>
      <x:c r="L100" s="17" t="n">
        <x:f>SUMIFS('Tasks'!$R$7:$R$246,'Tasks'!$C$7:$C$246,$A100,'Tasks'!$L$7:$L$246,$D100,'Tasks'!$F$7:$F$246,$B100)</x:f>
        <x:v>32</x:v>
      </x:c>
      <x:c r="M100" s="22" t="n">
        <x:f>IF(L100=0,"N/A",K100/L100)</x:f>
        <x:v>0.368620625</x:v>
      </x:c>
      <x:c r="N100" s="19" t="n">
        <x:f>SUMIFS('Tasks'!$G$7:$G$246,'Tasks'!$C$7:$C$246,$A100,'Tasks'!$L$7:$L$246,$D100,'Tasks'!$F$7:$F$246,$B100)</x:f>
        <x:v>7.07</x:v>
      </x:c>
      <x:c r="O100" s="19" t="n">
        <x:f>SUMIFS('Tasks'!$H$7:$H$246,'Tasks'!$C$7:$C$246,$A100,'Tasks'!$L$7:$L$246,$D100,'Tasks'!$F$7:$F$246,$B100)</x:f>
        <x:v>6.76</x:v>
      </x:c>
      <x:c r="P100" s="19" t="n">
        <x:f>SUMIFS('Tasks'!$Y$7:$Y$246,'Tasks'!$C$7:$C$246,$A100,'Tasks'!$L$7:$L$246,$D100,'Tasks'!$F$7:$F$246,$B100)</x:f>
        <x:v>0.3100000000000005</x:v>
      </x:c>
      <x:c r="Q100" s="22" t="n">
        <x:f>SUMIFS('Tasks'!$Z$7:$Z$246,'Tasks'!$C$7:$C$246,$A100,'Tasks'!$L$7:$L$246,$D100,'Tasks'!$F$7:$F$246,$B100)</x:f>
        <x:v>15.500000000000025</x:v>
      </x:c>
      <x:c r="R100" s="22" t="n">
        <x:f>SUMIFS('Tasks'!$AA$7:$AA$246,'Tasks'!$C$7:$C$246,$A100,'Tasks'!$L$7:$L$246,$D100,'Tasks'!$F$7:$F$246,$B100)</x:f>
        <x:v>3.7041400000000273</x:v>
      </x:c>
      <x:c r="S100" s="31" t="n">
        <x:f>IF(K100=0,"N/A",R100/K100)</x:f>
        <x:v>0.3140203427304179</x:v>
      </x:c>
      <x:c r="T100" s="19" t="n">
        <x:f>SUMIFS('Tasks'!$I$7:$I$246,'Tasks'!$C$7:$C$246,$A100,'Tasks'!$L$7:$L$246,$D100,'Tasks'!$F$7:$F$246,$B100)</x:f>
        <x:v>0.4</x:v>
      </x:c>
      <x:c r="U100" s="31" t="n">
        <x:f>IF(O100=0,"N/A",T100/O100)</x:f>
        <x:v>0.0591715976331361</x:v>
      </x:c>
      <x:c r="V100" s="17" t="n">
        <x:f>SUMIFS('Tasks'!$X$7:$X$246,'Tasks'!$C$7:$C$246,$A100,'Tasks'!$L$7:$L$246,$D100,'Tasks'!$F$7:$F$246,$B100)</x:f>
        <x:v>6</x:v>
      </x:c>
      <x:c r="W100" s="31" t="n">
        <x:f>IF(L100=0,"N/A",V100/L100)</x:f>
        <x:v>0.1875</x:v>
      </x:c>
      <x:c r="X100" s="17" t="n">
        <x:f>COUNTIFS('Tasks'!$C$7:$C$246,$A100,'Tasks'!$L$7:$L$246,$D100,'Tasks'!$F$7:$F$246,$B100,'Tasks'!$L$7:$L$246,"Yes")</x:f>
        <x:v>0</x:v>
      </x:c>
      <x:c r="Y100" s="17" t="n">
        <x:f>COUNTIFS('Tasks'!$C$7:$C$246,$A100,'Tasks'!$L$7:$L$246,$D100,'Tasks'!$F$7:$F$246,$B100,'Tasks'!$K$7:$K$246,"Yes")</x:f>
        <x:v>0</x:v>
      </x:c>
      <x:c r="Z100" s="17" t="n">
        <x:f>COUNTIFS('Tasks'!$C$7:$C$246,$A100,'Tasks'!$L$7:$L$246,$D100,'Tasks'!$F$7:$F$246,$B100,'Tasks'!$AA$7:$AA$246,"&gt;0")</x:f>
        <x:v>1</x:v>
      </x:c>
      <x:c r="AA100" s="17" t="n">
        <x:f>COUNTIFS('Tasks'!$C$7:$C$246,$A100,'Tasks'!$L$7:$L$246,$D100,'Tasks'!$F$7:$F$246,$B100,'Tasks'!$AA$7:$AA$246,"&lt;0")</x:f>
        <x:v>1</x:v>
      </x:c>
      <x:c r="AB100" s="19" t="n">
        <x:f>IF(E100=0,"N/A",V100/E100)</x:f>
        <x:v>3</x:v>
      </x:c>
      <x:c r="AC100" s="22" t="n">
        <x:f>IF(E100=0,"N/A",K100/E100)</x:f>
        <x:v>5.89793</x:v>
      </x:c>
      <x:c r="AD100" s="19" t="n">
        <x:f>IF(E100=0,"N/A",P100/E100)</x:f>
        <x:v>0.15500000000000025</x:v>
      </x:c>
    </x:row>
    <x:row r="101" ht="23" customHeight="1">
      <x:c r="A101" s="17" t="str">
        <x:v>C003</x:v>
      </x:c>
      <x:c r="B101" s="17" t="str">
        <x:v>Analyze campaign results</x:v>
      </x:c>
      <x:c r="C101" s="17" t="str">
        <x:v>prompt_template_used</x:v>
      </x:c>
      <x:c r="D101" s="17" t="str">
        <x:v>Yes</x:v>
      </x:c>
      <x:c r="E101" s="17" t="n">
        <x:f>COUNTIFS('Tasks'!$C$7:$C$246,$A101,'Tasks'!$L$7:$L$246,$D101,'Tasks'!$F$7:$F$246,$B101)</x:f>
        <x:v>2</x:v>
      </x:c>
      <x:c r="F101" s="17" t="n">
        <x:f>SUMIFS('Tasks'!$O$7:$O$246,'Tasks'!$C$7:$C$246,$A101,'Tasks'!$L$7:$L$246,$D101,'Tasks'!$F$7:$F$246,$B101)</x:f>
        <x:v>569165</x:v>
      </x:c>
      <x:c r="G101" s="17" t="n">
        <x:f>SUMIFS('Tasks'!$P$7:$P$246,'Tasks'!$C$7:$C$246,$A101,'Tasks'!$L$7:$L$246,$D101,'Tasks'!$F$7:$F$246,$B101)</x:f>
        <x:v>154327</x:v>
      </x:c>
      <x:c r="H101" s="17" t="n">
        <x:f>SUMIFS('Tasks'!$Q$7:$Q$246,'Tasks'!$C$7:$C$246,$A101,'Tasks'!$L$7:$L$246,$D101,'Tasks'!$F$7:$F$246,$B101)</x:f>
        <x:v>723492</x:v>
      </x:c>
      <x:c r="I101" s="22" t="n">
        <x:f>SUMIFS('Tasks'!$S$7:$S$246,'Tasks'!$C$7:$C$246,$A101,'Tasks'!$L$7:$L$246,$D101,'Tasks'!$F$7:$F$246,$B101)</x:f>
        <x:v>5.691649999999999</x:v>
      </x:c>
      <x:c r="J101" s="22" t="n">
        <x:f>SUMIFS('Tasks'!$T$7:$T$246,'Tasks'!$C$7:$C$246,$A101,'Tasks'!$L$7:$L$246,$D101,'Tasks'!$F$7:$F$246,$B101)</x:f>
        <x:v>4.629810000000001</x:v>
      </x:c>
      <x:c r="K101" s="22" t="n">
        <x:f>SUMIFS('Tasks'!$U$7:$U$246,'Tasks'!$C$7:$C$246,$A101,'Tasks'!$L$7:$L$246,$D101,'Tasks'!$F$7:$F$246,$B101)</x:f>
        <x:v>10.321459999999998</x:v>
      </x:c>
      <x:c r="L101" s="17" t="n">
        <x:f>SUMIFS('Tasks'!$R$7:$R$246,'Tasks'!$C$7:$C$246,$A101,'Tasks'!$L$7:$L$246,$D101,'Tasks'!$F$7:$F$246,$B101)</x:f>
        <x:v>23</x:v>
      </x:c>
      <x:c r="M101" s="22" t="n">
        <x:f>IF(L101=0,"N/A",K101/L101)</x:f>
        <x:v>0.44875913043478255</x:v>
      </x:c>
      <x:c r="N101" s="19" t="n">
        <x:f>SUMIFS('Tasks'!$G$7:$G$246,'Tasks'!$C$7:$C$246,$A101,'Tasks'!$L$7:$L$246,$D101,'Tasks'!$F$7:$F$246,$B101)</x:f>
        <x:v>7.33</x:v>
      </x:c>
      <x:c r="O101" s="19" t="n">
        <x:f>SUMIFS('Tasks'!$H$7:$H$246,'Tasks'!$C$7:$C$246,$A101,'Tasks'!$L$7:$L$246,$D101,'Tasks'!$F$7:$F$246,$B101)</x:f>
        <x:v>6.43</x:v>
      </x:c>
      <x:c r="P101" s="19" t="n">
        <x:f>SUMIFS('Tasks'!$Y$7:$Y$246,'Tasks'!$C$7:$C$246,$A101,'Tasks'!$L$7:$L$246,$D101,'Tasks'!$F$7:$F$246,$B101)</x:f>
        <x:v>0.9000000000000004</x:v>
      </x:c>
      <x:c r="Q101" s="22" t="n">
        <x:f>SUMIFS('Tasks'!$Z$7:$Z$246,'Tasks'!$C$7:$C$246,$A101,'Tasks'!$L$7:$L$246,$D101,'Tasks'!$F$7:$F$246,$B101)</x:f>
        <x:v>45.00000000000002</x:v>
      </x:c>
      <x:c r="R101" s="22" t="n">
        <x:f>SUMIFS('Tasks'!$AA$7:$AA$246,'Tasks'!$C$7:$C$246,$A101,'Tasks'!$L$7:$L$246,$D101,'Tasks'!$F$7:$F$246,$B101)</x:f>
        <x:v>34.67854000000003</x:v>
      </x:c>
      <x:c r="S101" s="31" t="n">
        <x:f>IF(K101=0,"N/A",R101/K101)</x:f>
        <x:v>3.3598483160328123</x:v>
      </x:c>
      <x:c r="T101" s="19" t="n">
        <x:f>SUMIFS('Tasks'!$I$7:$I$246,'Tasks'!$C$7:$C$246,$A101,'Tasks'!$L$7:$L$246,$D101,'Tasks'!$F$7:$F$246,$B101)</x:f>
        <x:v>0.36</x:v>
      </x:c>
      <x:c r="U101" s="31" t="n">
        <x:f>IF(O101=0,"N/A",T101/O101)</x:f>
        <x:v>0.05598755832037325</x:v>
      </x:c>
      <x:c r="V101" s="17" t="n">
        <x:f>SUMIFS('Tasks'!$X$7:$X$246,'Tasks'!$C$7:$C$246,$A101,'Tasks'!$L$7:$L$246,$D101,'Tasks'!$F$7:$F$246,$B101)</x:f>
        <x:v>5</x:v>
      </x:c>
      <x:c r="W101" s="31" t="n">
        <x:f>IF(L101=0,"N/A",V101/L101)</x:f>
        <x:v>0.21739130434782608</x:v>
      </x:c>
      <x:c r="X101" s="17" t="n">
        <x:f>COUNTIFS('Tasks'!$C$7:$C$246,$A101,'Tasks'!$L$7:$L$246,$D101,'Tasks'!$F$7:$F$246,$B101,'Tasks'!$L$7:$L$246,"Yes")</x:f>
        <x:v>2</x:v>
      </x:c>
      <x:c r="Y101" s="17" t="n">
        <x:f>COUNTIFS('Tasks'!$C$7:$C$246,$A101,'Tasks'!$L$7:$L$246,$D101,'Tasks'!$F$7:$F$246,$B101,'Tasks'!$K$7:$K$246,"Yes")</x:f>
        <x:v>0</x:v>
      </x:c>
      <x:c r="Z101" s="17" t="n">
        <x:f>COUNTIFS('Tasks'!$C$7:$C$246,$A101,'Tasks'!$L$7:$L$246,$D101,'Tasks'!$F$7:$F$246,$B101,'Tasks'!$AA$7:$AA$246,"&gt;0")</x:f>
        <x:v>2</x:v>
      </x:c>
      <x:c r="AA101" s="17" t="n">
        <x:f>COUNTIFS('Tasks'!$C$7:$C$246,$A101,'Tasks'!$L$7:$L$246,$D101,'Tasks'!$F$7:$F$246,$B101,'Tasks'!$AA$7:$AA$246,"&lt;0")</x:f>
        <x:v>0</x:v>
      </x:c>
      <x:c r="AB101" s="19" t="n">
        <x:f>IF(E101=0,"N/A",V101/E101)</x:f>
        <x:v>2.5</x:v>
      </x:c>
      <x:c r="AC101" s="22" t="n">
        <x:f>IF(E101=0,"N/A",K101/E101)</x:f>
        <x:v>5.160729999999999</x:v>
      </x:c>
      <x:c r="AD101" s="19" t="n">
        <x:f>IF(E101=0,"N/A",P101/E101)</x:f>
        <x:v>0.4500000000000002</x:v>
      </x:c>
    </x:row>
    <x:row r="102" ht="23" customHeight="1">
      <x:c r="A102" s="17" t="str">
        <x:v>C003</x:v>
      </x:c>
      <x:c r="B102" s="17" t="str">
        <x:v>Analyze campaign results</x:v>
      </x:c>
      <x:c r="C102" s="17" t="str">
        <x:v>brief_changed</x:v>
      </x:c>
      <x:c r="D102" s="17" t="str">
        <x:v>No</x:v>
      </x:c>
      <x:c r="E102" s="17" t="n">
        <x:f>COUNTIFS('Tasks'!$C$7:$C$246,$A102,'Tasks'!$K$7:$K$246,$D102,'Tasks'!$F$7:$F$246,$B102)</x:f>
        <x:v>4</x:v>
      </x:c>
      <x:c r="F102" s="17" t="n">
        <x:f>SUMIFS('Tasks'!$O$7:$O$246,'Tasks'!$C$7:$C$246,$A102,'Tasks'!$K$7:$K$246,$D102,'Tasks'!$F$7:$F$246,$B102)</x:f>
        <x:v>1273062</x:v>
      </x:c>
      <x:c r="G102" s="17" t="n">
        <x:f>SUMIFS('Tasks'!$P$7:$P$246,'Tasks'!$C$7:$C$246,$A102,'Tasks'!$K$7:$K$246,$D102,'Tasks'!$F$7:$F$246,$B102)</x:f>
        <x:v>312890</x:v>
      </x:c>
      <x:c r="H102" s="17" t="n">
        <x:f>SUMIFS('Tasks'!$Q$7:$Q$246,'Tasks'!$C$7:$C$246,$A102,'Tasks'!$K$7:$K$246,$D102,'Tasks'!$F$7:$F$246,$B102)</x:f>
        <x:v>1585952</x:v>
      </x:c>
      <x:c r="I102" s="22" t="n">
        <x:f>SUMIFS('Tasks'!$S$7:$S$246,'Tasks'!$C$7:$C$246,$A102,'Tasks'!$K$7:$K$246,$D102,'Tasks'!$F$7:$F$246,$B102)</x:f>
        <x:v>12.730619999999998</x:v>
      </x:c>
      <x:c r="J102" s="22" t="n">
        <x:f>SUMIFS('Tasks'!$T$7:$T$246,'Tasks'!$C$7:$C$246,$A102,'Tasks'!$K$7:$K$246,$D102,'Tasks'!$F$7:$F$246,$B102)</x:f>
        <x:v>9.3867</x:v>
      </x:c>
      <x:c r="K102" s="22" t="n">
        <x:f>SUMIFS('Tasks'!$U$7:$U$246,'Tasks'!$C$7:$C$246,$A102,'Tasks'!$K$7:$K$246,$D102,'Tasks'!$F$7:$F$246,$B102)</x:f>
        <x:v>22.11732</x:v>
      </x:c>
      <x:c r="L102" s="17" t="n">
        <x:f>SUMIFS('Tasks'!$R$7:$R$246,'Tasks'!$C$7:$C$246,$A102,'Tasks'!$K$7:$K$246,$D102,'Tasks'!$F$7:$F$246,$B102)</x:f>
        <x:v>55</x:v>
      </x:c>
      <x:c r="M102" s="22" t="n">
        <x:f>IF(L102=0,"N/A",K102/L102)</x:f>
        <x:v>0.4021330909090909</x:v>
      </x:c>
      <x:c r="N102" s="19" t="n">
        <x:f>SUMIFS('Tasks'!$G$7:$G$246,'Tasks'!$C$7:$C$246,$A102,'Tasks'!$K$7:$K$246,$D102,'Tasks'!$F$7:$F$246,$B102)</x:f>
        <x:v>14.399999999999999</x:v>
      </x:c>
      <x:c r="O102" s="19" t="n">
        <x:f>SUMIFS('Tasks'!$H$7:$H$246,'Tasks'!$C$7:$C$246,$A102,'Tasks'!$K$7:$K$246,$D102,'Tasks'!$F$7:$F$246,$B102)</x:f>
        <x:v>13.189999999999998</x:v>
      </x:c>
      <x:c r="P102" s="19" t="n">
        <x:f>SUMIFS('Tasks'!$Y$7:$Y$246,'Tasks'!$C$7:$C$246,$A102,'Tasks'!$K$7:$K$246,$D102,'Tasks'!$F$7:$F$246,$B102)</x:f>
        <x:v>1.2100000000000009</x:v>
      </x:c>
      <x:c r="Q102" s="22" t="n">
        <x:f>SUMIFS('Tasks'!$Z$7:$Z$246,'Tasks'!$C$7:$C$246,$A102,'Tasks'!$K$7:$K$246,$D102,'Tasks'!$F$7:$F$246,$B102)</x:f>
        <x:v>60.50000000000004</x:v>
      </x:c>
      <x:c r="R102" s="22" t="n">
        <x:f>SUMIFS('Tasks'!$AA$7:$AA$246,'Tasks'!$C$7:$C$246,$A102,'Tasks'!$K$7:$K$246,$D102,'Tasks'!$F$7:$F$246,$B102)</x:f>
        <x:v>38.38268000000006</x:v>
      </x:c>
      <x:c r="S102" s="31" t="n">
        <x:f>IF(K102=0,"N/A",R102/K102)</x:f>
        <x:v>1.7354127896146576</x:v>
      </x:c>
      <x:c r="T102" s="19" t="n">
        <x:f>SUMIFS('Tasks'!$I$7:$I$246,'Tasks'!$C$7:$C$246,$A102,'Tasks'!$K$7:$K$246,$D102,'Tasks'!$F$7:$F$246,$B102)</x:f>
        <x:v>0.76</x:v>
      </x:c>
      <x:c r="U102" s="31" t="n">
        <x:f>IF(O102=0,"N/A",T102/O102)</x:f>
        <x:v>0.057619408642911304</x:v>
      </x:c>
      <x:c r="V102" s="17" t="n">
        <x:f>SUMIFS('Tasks'!$X$7:$X$246,'Tasks'!$C$7:$C$246,$A102,'Tasks'!$K$7:$K$246,$D102,'Tasks'!$F$7:$F$246,$B102)</x:f>
        <x:v>11</x:v>
      </x:c>
      <x:c r="W102" s="31" t="n">
        <x:f>IF(L102=0,"N/A",V102/L102)</x:f>
        <x:v>0.2</x:v>
      </x:c>
      <x:c r="X102" s="17" t="n">
        <x:f>COUNTIFS('Tasks'!$C$7:$C$246,$A102,'Tasks'!$K$7:$K$246,$D102,'Tasks'!$F$7:$F$246,$B102,'Tasks'!$L$7:$L$246,"Yes")</x:f>
        <x:v>2</x:v>
      </x:c>
      <x:c r="Y102" s="17" t="n">
        <x:f>COUNTIFS('Tasks'!$C$7:$C$246,$A102,'Tasks'!$K$7:$K$246,$D102,'Tasks'!$F$7:$F$246,$B102,'Tasks'!$K$7:$K$246,"Yes")</x:f>
        <x:v>0</x:v>
      </x:c>
      <x:c r="Z102" s="17" t="n">
        <x:f>COUNTIFS('Tasks'!$C$7:$C$246,$A102,'Tasks'!$K$7:$K$246,$D102,'Tasks'!$F$7:$F$246,$B102,'Tasks'!$AA$7:$AA$246,"&gt;0")</x:f>
        <x:v>3</x:v>
      </x:c>
      <x:c r="AA102" s="17" t="n">
        <x:f>COUNTIFS('Tasks'!$C$7:$C$246,$A102,'Tasks'!$K$7:$K$246,$D102,'Tasks'!$F$7:$F$246,$B102,'Tasks'!$AA$7:$AA$246,"&lt;0")</x:f>
        <x:v>1</x:v>
      </x:c>
      <x:c r="AB102" s="19" t="n">
        <x:f>IF(E102=0,"N/A",V102/E102)</x:f>
        <x:v>2.75</x:v>
      </x:c>
      <x:c r="AC102" s="22" t="n">
        <x:f>IF(E102=0,"N/A",K102/E102)</x:f>
        <x:v>5.52933</x:v>
      </x:c>
      <x:c r="AD102" s="19" t="n">
        <x:f>IF(E102=0,"N/A",P102/E102)</x:f>
        <x:v>0.3025000000000002</x:v>
      </x:c>
    </x:row>
    <x:row r="103" ht="23" customHeight="1">
      <x:c r="A103" s="17" t="str">
        <x:v>C003</x:v>
      </x:c>
      <x:c r="B103" s="17" t="str">
        <x:v>Build campaign plan</x:v>
      </x:c>
      <x:c r="C103" s="17" t="str">
        <x:v>prompt_template_used</x:v>
      </x:c>
      <x:c r="D103" s="17" t="str">
        <x:v>No</x:v>
      </x:c>
      <x:c r="E103" s="17" t="n">
        <x:f>COUNTIFS('Tasks'!$C$7:$C$246,$A103,'Tasks'!$L$7:$L$246,$D103,'Tasks'!$F$7:$F$246,$B103)</x:f>
        <x:v>3</x:v>
      </x:c>
      <x:c r="F103" s="17" t="n">
        <x:f>SUMIFS('Tasks'!$O$7:$O$246,'Tasks'!$C$7:$C$246,$A103,'Tasks'!$L$7:$L$246,$D103,'Tasks'!$F$7:$F$246,$B103)</x:f>
        <x:v>652639</x:v>
      </x:c>
      <x:c r="G103" s="17" t="n">
        <x:f>SUMIFS('Tasks'!$P$7:$P$246,'Tasks'!$C$7:$C$246,$A103,'Tasks'!$L$7:$L$246,$D103,'Tasks'!$F$7:$F$246,$B103)</x:f>
        <x:v>197127</x:v>
      </x:c>
      <x:c r="H103" s="17" t="n">
        <x:f>SUMIFS('Tasks'!$Q$7:$Q$246,'Tasks'!$C$7:$C$246,$A103,'Tasks'!$L$7:$L$246,$D103,'Tasks'!$F$7:$F$246,$B103)</x:f>
        <x:v>849766</x:v>
      </x:c>
      <x:c r="I103" s="22" t="n">
        <x:f>SUMIFS('Tasks'!$S$7:$S$246,'Tasks'!$C$7:$C$246,$A103,'Tasks'!$L$7:$L$246,$D103,'Tasks'!$F$7:$F$246,$B103)</x:f>
        <x:v>10.31212</x:v>
      </x:c>
      <x:c r="J103" s="22" t="n">
        <x:f>SUMIFS('Tasks'!$T$7:$T$246,'Tasks'!$C$7:$C$246,$A103,'Tasks'!$L$7:$L$246,$D103,'Tasks'!$F$7:$F$246,$B103)</x:f>
        <x:v>10.90026</x:v>
      </x:c>
      <x:c r="K103" s="22" t="n">
        <x:f>SUMIFS('Tasks'!$U$7:$U$246,'Tasks'!$C$7:$C$246,$A103,'Tasks'!$L$7:$L$246,$D103,'Tasks'!$F$7:$F$246,$B103)</x:f>
        <x:v>21.21238</x:v>
      </x:c>
      <x:c r="L103" s="17" t="n">
        <x:f>SUMIFS('Tasks'!$R$7:$R$246,'Tasks'!$C$7:$C$246,$A103,'Tasks'!$L$7:$L$246,$D103,'Tasks'!$F$7:$F$246,$B103)</x:f>
        <x:v>34</x:v>
      </x:c>
      <x:c r="M103" s="22" t="n">
        <x:f>IF(L103=0,"N/A",K103/L103)</x:f>
        <x:v>0.6238935294117647</x:v>
      </x:c>
      <x:c r="N103" s="19" t="n">
        <x:f>SUMIFS('Tasks'!$G$7:$G$246,'Tasks'!$C$7:$C$246,$A103,'Tasks'!$L$7:$L$246,$D103,'Tasks'!$F$7:$F$246,$B103)</x:f>
        <x:v>11.51</x:v>
      </x:c>
      <x:c r="O103" s="19" t="n">
        <x:f>SUMIFS('Tasks'!$H$7:$H$246,'Tasks'!$C$7:$C$246,$A103,'Tasks'!$L$7:$L$246,$D103,'Tasks'!$F$7:$F$246,$B103)</x:f>
        <x:v>9.370000000000001</x:v>
      </x:c>
      <x:c r="P103" s="19" t="n">
        <x:f>SUMIFS('Tasks'!$Y$7:$Y$246,'Tasks'!$C$7:$C$246,$A103,'Tasks'!$L$7:$L$246,$D103,'Tasks'!$F$7:$F$246,$B103)</x:f>
        <x:v>2.1399999999999992</x:v>
      </x:c>
      <x:c r="Q103" s="22" t="n">
        <x:f>SUMIFS('Tasks'!$Z$7:$Z$246,'Tasks'!$C$7:$C$246,$A103,'Tasks'!$L$7:$L$246,$D103,'Tasks'!$F$7:$F$246,$B103)</x:f>
        <x:v>106.99999999999996</x:v>
      </x:c>
      <x:c r="R103" s="22" t="n">
        <x:f>SUMIFS('Tasks'!$AA$7:$AA$246,'Tasks'!$C$7:$C$246,$A103,'Tasks'!$L$7:$L$246,$D103,'Tasks'!$F$7:$F$246,$B103)</x:f>
        <x:v>85.78761999999996</x:v>
      </x:c>
      <x:c r="S103" s="31" t="n">
        <x:f>IF(K103=0,"N/A",R103/K103)</x:f>
        <x:v>4.044224174750781</x:v>
      </x:c>
      <x:c r="T103" s="19" t="n">
        <x:f>SUMIFS('Tasks'!$I$7:$I$246,'Tasks'!$C$7:$C$246,$A103,'Tasks'!$L$7:$L$246,$D103,'Tasks'!$F$7:$F$246,$B103)</x:f>
        <x:v>1.12</x:v>
      </x:c>
      <x:c r="U103" s="31" t="n">
        <x:f>IF(O103=0,"N/A",T103/O103)</x:f>
        <x:v>0.11953041622198506</x:v>
      </x:c>
      <x:c r="V103" s="17" t="n">
        <x:f>SUMIFS('Tasks'!$X$7:$X$246,'Tasks'!$C$7:$C$246,$A103,'Tasks'!$L$7:$L$246,$D103,'Tasks'!$F$7:$F$246,$B103)</x:f>
        <x:v>7</x:v>
      </x:c>
      <x:c r="W103" s="31" t="n">
        <x:f>IF(L103=0,"N/A",V103/L103)</x:f>
        <x:v>0.20588235294117646</x:v>
      </x:c>
      <x:c r="X103" s="17" t="n">
        <x:f>COUNTIFS('Tasks'!$C$7:$C$246,$A103,'Tasks'!$L$7:$L$246,$D103,'Tasks'!$F$7:$F$246,$B103,'Tasks'!$L$7:$L$246,"Yes")</x:f>
        <x:v>0</x:v>
      </x:c>
      <x:c r="Y103" s="17" t="n">
        <x:f>COUNTIFS('Tasks'!$C$7:$C$246,$A103,'Tasks'!$L$7:$L$246,$D103,'Tasks'!$F$7:$F$246,$B103,'Tasks'!$K$7:$K$246,"Yes")</x:f>
        <x:v>1</x:v>
      </x:c>
      <x:c r="Z103" s="17" t="n">
        <x:f>COUNTIFS('Tasks'!$C$7:$C$246,$A103,'Tasks'!$L$7:$L$246,$D103,'Tasks'!$F$7:$F$246,$B103,'Tasks'!$AA$7:$AA$246,"&gt;0")</x:f>
        <x:v>2</x:v>
      </x:c>
      <x:c r="AA103" s="17" t="n">
        <x:f>COUNTIFS('Tasks'!$C$7:$C$246,$A103,'Tasks'!$L$7:$L$246,$D103,'Tasks'!$F$7:$F$246,$B103,'Tasks'!$AA$7:$AA$246,"&lt;0")</x:f>
        <x:v>1</x:v>
      </x:c>
      <x:c r="AB103" s="19" t="n">
        <x:f>IF(E103=0,"N/A",V103/E103)</x:f>
        <x:v>2.3333333333333335</x:v>
      </x:c>
      <x:c r="AC103" s="22" t="n">
        <x:f>IF(E103=0,"N/A",K103/E103)</x:f>
        <x:v>7.0707933333333335</x:v>
      </x:c>
      <x:c r="AD103" s="19" t="n">
        <x:f>IF(E103=0,"N/A",P103/E103)</x:f>
        <x:v>0.713333333333333</x:v>
      </x:c>
    </x:row>
    <x:row r="104" ht="23" customHeight="1">
      <x:c r="A104" s="17" t="str">
        <x:v>C003</x:v>
      </x:c>
      <x:c r="B104" s="17" t="str">
        <x:v>Build campaign plan</x:v>
      </x:c>
      <x:c r="C104" s="17" t="str">
        <x:v>prompt_template_used</x:v>
      </x:c>
      <x:c r="D104" s="17" t="str">
        <x:v>Yes</x:v>
      </x:c>
      <x:c r="E104" s="17" t="n">
        <x:f>COUNTIFS('Tasks'!$C$7:$C$246,$A104,'Tasks'!$L$7:$L$246,$D104,'Tasks'!$F$7:$F$246,$B104)</x:f>
        <x:v>2</x:v>
      </x:c>
      <x:c r="F104" s="17" t="n">
        <x:f>SUMIFS('Tasks'!$O$7:$O$246,'Tasks'!$C$7:$C$246,$A104,'Tasks'!$L$7:$L$246,$D104,'Tasks'!$F$7:$F$246,$B104)</x:f>
        <x:v>670841</x:v>
      </x:c>
      <x:c r="G104" s="17" t="n">
        <x:f>SUMIFS('Tasks'!$P$7:$P$246,'Tasks'!$C$7:$C$246,$A104,'Tasks'!$L$7:$L$246,$D104,'Tasks'!$F$7:$F$246,$B104)</x:f>
        <x:v>133620</x:v>
      </x:c>
      <x:c r="H104" s="17" t="n">
        <x:f>SUMIFS('Tasks'!$Q$7:$Q$246,'Tasks'!$C$7:$C$246,$A104,'Tasks'!$L$7:$L$246,$D104,'Tasks'!$F$7:$F$246,$B104)</x:f>
        <x:v>804461</x:v>
      </x:c>
      <x:c r="I104" s="22" t="n">
        <x:f>SUMIFS('Tasks'!$S$7:$S$246,'Tasks'!$C$7:$C$246,$A104,'Tasks'!$L$7:$L$246,$D104,'Tasks'!$F$7:$F$246,$B104)</x:f>
        <x:v>16.13375</x:v>
      </x:c>
      <x:c r="J104" s="22" t="n">
        <x:f>SUMIFS('Tasks'!$T$7:$T$246,'Tasks'!$C$7:$C$246,$A104,'Tasks'!$L$7:$L$246,$D104,'Tasks'!$F$7:$F$246,$B104)</x:f>
        <x:v>10.757300000000003</x:v>
      </x:c>
      <x:c r="K104" s="22" t="n">
        <x:f>SUMIFS('Tasks'!$U$7:$U$246,'Tasks'!$C$7:$C$246,$A104,'Tasks'!$L$7:$L$246,$D104,'Tasks'!$F$7:$F$246,$B104)</x:f>
        <x:v>26.89105</x:v>
      </x:c>
      <x:c r="L104" s="17" t="n">
        <x:f>SUMIFS('Tasks'!$R$7:$R$246,'Tasks'!$C$7:$C$246,$A104,'Tasks'!$L$7:$L$246,$D104,'Tasks'!$F$7:$F$246,$B104)</x:f>
        <x:v>23</x:v>
      </x:c>
      <x:c r="M104" s="22" t="n">
        <x:f>IF(L104=0,"N/A",K104/L104)</x:f>
        <x:v>1.1691760869565218</x:v>
      </x:c>
      <x:c r="N104" s="19" t="n">
        <x:f>SUMIFS('Tasks'!$G$7:$G$246,'Tasks'!$C$7:$C$246,$A104,'Tasks'!$L$7:$L$246,$D104,'Tasks'!$F$7:$F$246,$B104)</x:f>
        <x:v>6.1</x:v>
      </x:c>
      <x:c r="O104" s="19" t="n">
        <x:f>SUMIFS('Tasks'!$H$7:$H$246,'Tasks'!$C$7:$C$246,$A104,'Tasks'!$L$7:$L$246,$D104,'Tasks'!$F$7:$F$246,$B104)</x:f>
        <x:v>5.6</x:v>
      </x:c>
      <x:c r="P104" s="19" t="n">
        <x:f>SUMIFS('Tasks'!$Y$7:$Y$246,'Tasks'!$C$7:$C$246,$A104,'Tasks'!$L$7:$L$246,$D104,'Tasks'!$F$7:$F$246,$B104)</x:f>
        <x:v>0.5000000000000004</x:v>
      </x:c>
      <x:c r="Q104" s="22" t="n">
        <x:f>SUMIFS('Tasks'!$Z$7:$Z$246,'Tasks'!$C$7:$C$246,$A104,'Tasks'!$L$7:$L$246,$D104,'Tasks'!$F$7:$F$246,$B104)</x:f>
        <x:v>25.000000000000025</x:v>
      </x:c>
      <x:c r="R104" s="22" t="n">
        <x:f>SUMIFS('Tasks'!$AA$7:$AA$246,'Tasks'!$C$7:$C$246,$A104,'Tasks'!$L$7:$L$246,$D104,'Tasks'!$F$7:$F$246,$B104)</x:f>
        <x:v>-1.8910499999999715</x:v>
      </x:c>
      <x:c r="S104" s="31" t="n">
        <x:f>IF(K104=0,"N/A",R104/K104)</x:f>
        <x:v>-0.07032265381976426</x:v>
      </x:c>
      <x:c r="T104" s="19" t="n">
        <x:f>SUMIFS('Tasks'!$I$7:$I$246,'Tasks'!$C$7:$C$246,$A104,'Tasks'!$L$7:$L$246,$D104,'Tasks'!$F$7:$F$246,$B104)</x:f>
        <x:v>0.41000000000000003</x:v>
      </x:c>
      <x:c r="U104" s="31" t="n">
        <x:f>IF(O104=0,"N/A",T104/O104)</x:f>
        <x:v>0.07321428571428572</x:v>
      </x:c>
      <x:c r="V104" s="17" t="n">
        <x:f>SUMIFS('Tasks'!$X$7:$X$246,'Tasks'!$C$7:$C$246,$A104,'Tasks'!$L$7:$L$246,$D104,'Tasks'!$F$7:$F$246,$B104)</x:f>
        <x:v>5</x:v>
      </x:c>
      <x:c r="W104" s="31" t="n">
        <x:f>IF(L104=0,"N/A",V104/L104)</x:f>
        <x:v>0.21739130434782608</x:v>
      </x:c>
      <x:c r="X104" s="17" t="n">
        <x:f>COUNTIFS('Tasks'!$C$7:$C$246,$A104,'Tasks'!$L$7:$L$246,$D104,'Tasks'!$F$7:$F$246,$B104,'Tasks'!$L$7:$L$246,"Yes")</x:f>
        <x:v>2</x:v>
      </x:c>
      <x:c r="Y104" s="17" t="n">
        <x:f>COUNTIFS('Tasks'!$C$7:$C$246,$A104,'Tasks'!$L$7:$L$246,$D104,'Tasks'!$F$7:$F$246,$B104,'Tasks'!$K$7:$K$246,"Yes")</x:f>
        <x:v>1</x:v>
      </x:c>
      <x:c r="Z104" s="17" t="n">
        <x:f>COUNTIFS('Tasks'!$C$7:$C$246,$A104,'Tasks'!$L$7:$L$246,$D104,'Tasks'!$F$7:$F$246,$B104,'Tasks'!$AA$7:$AA$246,"&gt;0")</x:f>
        <x:v>1</x:v>
      </x:c>
      <x:c r="AA104" s="17" t="n">
        <x:f>COUNTIFS('Tasks'!$C$7:$C$246,$A104,'Tasks'!$L$7:$L$246,$D104,'Tasks'!$F$7:$F$246,$B104,'Tasks'!$AA$7:$AA$246,"&lt;0")</x:f>
        <x:v>1</x:v>
      </x:c>
      <x:c r="AB104" s="19" t="n">
        <x:f>IF(E104=0,"N/A",V104/E104)</x:f>
        <x:v>2.5</x:v>
      </x:c>
      <x:c r="AC104" s="22" t="n">
        <x:f>IF(E104=0,"N/A",K104/E104)</x:f>
        <x:v>13.445525</x:v>
      </x:c>
      <x:c r="AD104" s="19" t="n">
        <x:f>IF(E104=0,"N/A",P104/E104)</x:f>
        <x:v>0.2500000000000002</x:v>
      </x:c>
    </x:row>
    <x:row r="105" ht="23" customHeight="1">
      <x:c r="A105" s="17" t="str">
        <x:v>C003</x:v>
      </x:c>
      <x:c r="B105" s="17" t="str">
        <x:v>Build campaign plan</x:v>
      </x:c>
      <x:c r="C105" s="17" t="str">
        <x:v>brief_changed</x:v>
      </x:c>
      <x:c r="D105" s="17" t="str">
        <x:v>No</x:v>
      </x:c>
      <x:c r="E105" s="17" t="n">
        <x:f>COUNTIFS('Tasks'!$C$7:$C$246,$A105,'Tasks'!$K$7:$K$246,$D105,'Tasks'!$F$7:$F$246,$B105)</x:f>
        <x:v>3</x:v>
      </x:c>
      <x:c r="F105" s="17" t="n">
        <x:f>SUMIFS('Tasks'!$O$7:$O$246,'Tasks'!$C$7:$C$246,$A105,'Tasks'!$K$7:$K$246,$D105,'Tasks'!$F$7:$F$246,$B105)</x:f>
        <x:v>680575</x:v>
      </x:c>
      <x:c r="G105" s="17" t="n">
        <x:f>SUMIFS('Tasks'!$P$7:$P$246,'Tasks'!$C$7:$C$246,$A105,'Tasks'!$K$7:$K$246,$D105,'Tasks'!$F$7:$F$246,$B105)</x:f>
        <x:v>262609</x:v>
      </x:c>
      <x:c r="H105" s="17" t="n">
        <x:f>SUMIFS('Tasks'!$Q$7:$Q$246,'Tasks'!$C$7:$C$246,$A105,'Tasks'!$K$7:$K$246,$D105,'Tasks'!$F$7:$F$246,$B105)</x:f>
        <x:v>943184</x:v>
      </x:c>
      <x:c r="I105" s="22" t="n">
        <x:f>SUMIFS('Tasks'!$S$7:$S$246,'Tasks'!$C$7:$C$246,$A105,'Tasks'!$K$7:$K$246,$D105,'Tasks'!$F$7:$F$246,$B105)</x:f>
        <x:v>20.01682</x:v>
      </x:c>
      <x:c r="J105" s="22" t="n">
        <x:f>SUMIFS('Tasks'!$T$7:$T$246,'Tasks'!$C$7:$C$246,$A105,'Tasks'!$K$7:$K$246,$D105,'Tasks'!$F$7:$F$246,$B105)</x:f>
        <x:v>19.61342</x:v>
      </x:c>
      <x:c r="K105" s="22" t="n">
        <x:f>SUMIFS('Tasks'!$U$7:$U$246,'Tasks'!$C$7:$C$246,$A105,'Tasks'!$K$7:$K$246,$D105,'Tasks'!$F$7:$F$246,$B105)</x:f>
        <x:v>39.63024</x:v>
      </x:c>
      <x:c r="L105" s="17" t="n">
        <x:f>SUMIFS('Tasks'!$R$7:$R$246,'Tasks'!$C$7:$C$246,$A105,'Tasks'!$K$7:$K$246,$D105,'Tasks'!$F$7:$F$246,$B105)</x:f>
        <x:v>35</x:v>
      </x:c>
      <x:c r="M105" s="22" t="n">
        <x:f>IF(L105=0,"N/A",K105/L105)</x:f>
        <x:v>1.1322925714285714</x:v>
      </x:c>
      <x:c r="N105" s="19" t="n">
        <x:f>SUMIFS('Tasks'!$G$7:$G$246,'Tasks'!$C$7:$C$246,$A105,'Tasks'!$K$7:$K$246,$D105,'Tasks'!$F$7:$F$246,$B105)</x:f>
        <x:v>10.18</x:v>
      </x:c>
      <x:c r="O105" s="19" t="n">
        <x:f>SUMIFS('Tasks'!$H$7:$H$246,'Tasks'!$C$7:$C$246,$A105,'Tasks'!$K$7:$K$246,$D105,'Tasks'!$F$7:$F$246,$B105)</x:f>
        <x:v>10.36</x:v>
      </x:c>
      <x:c r="P105" s="19" t="n">
        <x:f>SUMIFS('Tasks'!$Y$7:$Y$246,'Tasks'!$C$7:$C$246,$A105,'Tasks'!$K$7:$K$246,$D105,'Tasks'!$F$7:$F$246,$B105)</x:f>
        <x:v>-0.18000000000000016</x:v>
      </x:c>
      <x:c r="Q105" s="22" t="n">
        <x:f>SUMIFS('Tasks'!$Z$7:$Z$246,'Tasks'!$C$7:$C$246,$A105,'Tasks'!$K$7:$K$246,$D105,'Tasks'!$F$7:$F$246,$B105)</x:f>
        <x:v>-9.000000000000007</x:v>
      </x:c>
      <x:c r="R105" s="22" t="n">
        <x:f>SUMIFS('Tasks'!$AA$7:$AA$246,'Tasks'!$C$7:$C$246,$A105,'Tasks'!$K$7:$K$246,$D105,'Tasks'!$F$7:$F$246,$B105)</x:f>
        <x:v>-48.63024</x:v>
      </x:c>
      <x:c r="S105" s="31" t="n">
        <x:f>IF(K105=0,"N/A",R105/K105)</x:f>
        <x:v>-1.227099305984521</x:v>
      </x:c>
      <x:c r="T105" s="19" t="n">
        <x:f>SUMIFS('Tasks'!$I$7:$I$246,'Tasks'!$C$7:$C$246,$A105,'Tasks'!$K$7:$K$246,$D105,'Tasks'!$F$7:$F$246,$B105)</x:f>
        <x:v>0.81</x:v>
      </x:c>
      <x:c r="U105" s="31" t="n">
        <x:f>IF(O105=0,"N/A",T105/O105)</x:f>
        <x:v>0.0781853281853282</x:v>
      </x:c>
      <x:c r="V105" s="17" t="n">
        <x:f>SUMIFS('Tasks'!$X$7:$X$246,'Tasks'!$C$7:$C$246,$A105,'Tasks'!$K$7:$K$246,$D105,'Tasks'!$F$7:$F$246,$B105)</x:f>
        <x:v>7</x:v>
      </x:c>
      <x:c r="W105" s="31" t="n">
        <x:f>IF(L105=0,"N/A",V105/L105)</x:f>
        <x:v>0.2</x:v>
      </x:c>
      <x:c r="X105" s="17" t="n">
        <x:f>COUNTIFS('Tasks'!$C$7:$C$246,$A105,'Tasks'!$K$7:$K$246,$D105,'Tasks'!$F$7:$F$246,$B105,'Tasks'!$L$7:$L$246,"Yes")</x:f>
        <x:v>1</x:v>
      </x:c>
      <x:c r="Y105" s="17" t="n">
        <x:f>COUNTIFS('Tasks'!$C$7:$C$246,$A105,'Tasks'!$K$7:$K$246,$D105,'Tasks'!$F$7:$F$246,$B105,'Tasks'!$K$7:$K$246,"Yes")</x:f>
        <x:v>0</x:v>
      </x:c>
      <x:c r="Z105" s="17" t="n">
        <x:f>COUNTIFS('Tasks'!$C$7:$C$246,$A105,'Tasks'!$K$7:$K$246,$D105,'Tasks'!$F$7:$F$246,$B105,'Tasks'!$AA$7:$AA$246,"&gt;0")</x:f>
        <x:v>1</x:v>
      </x:c>
      <x:c r="AA105" s="17" t="n">
        <x:f>COUNTIFS('Tasks'!$C$7:$C$246,$A105,'Tasks'!$K$7:$K$246,$D105,'Tasks'!$F$7:$F$246,$B105,'Tasks'!$AA$7:$AA$246,"&lt;0")</x:f>
        <x:v>2</x:v>
      </x:c>
      <x:c r="AB105" s="19" t="n">
        <x:f>IF(E105=0,"N/A",V105/E105)</x:f>
        <x:v>2.3333333333333335</x:v>
      </x:c>
      <x:c r="AC105" s="22" t="n">
        <x:f>IF(E105=0,"N/A",K105/E105)</x:f>
        <x:v>13.21008</x:v>
      </x:c>
      <x:c r="AD105" s="19" t="n">
        <x:f>IF(E105=0,"N/A",P105/E105)</x:f>
        <x:v>-0.06000000000000005</x:v>
      </x:c>
    </x:row>
    <x:row r="106" ht="23" customHeight="1">
      <x:c r="A106" s="17" t="str">
        <x:v>C003</x:v>
      </x:c>
      <x:c r="B106" s="17" t="str">
        <x:v>Build campaign plan</x:v>
      </x:c>
      <x:c r="C106" s="17" t="str">
        <x:v>brief_changed</x:v>
      </x:c>
      <x:c r="D106" s="17" t="str">
        <x:v>Yes</x:v>
      </x:c>
      <x:c r="E106" s="17" t="n">
        <x:f>COUNTIFS('Tasks'!$C$7:$C$246,$A106,'Tasks'!$K$7:$K$246,$D106,'Tasks'!$F$7:$F$246,$B106)</x:f>
        <x:v>2</x:v>
      </x:c>
      <x:c r="F106" s="17" t="n">
        <x:f>SUMIFS('Tasks'!$O$7:$O$246,'Tasks'!$C$7:$C$246,$A106,'Tasks'!$K$7:$K$246,$D106,'Tasks'!$F$7:$F$246,$B106)</x:f>
        <x:v>642905</x:v>
      </x:c>
      <x:c r="G106" s="17" t="n">
        <x:f>SUMIFS('Tasks'!$P$7:$P$246,'Tasks'!$C$7:$C$246,$A106,'Tasks'!$K$7:$K$246,$D106,'Tasks'!$F$7:$F$246,$B106)</x:f>
        <x:v>68138</x:v>
      </x:c>
      <x:c r="H106" s="17" t="n">
        <x:f>SUMIFS('Tasks'!$Q$7:$Q$246,'Tasks'!$C$7:$C$246,$A106,'Tasks'!$K$7:$K$246,$D106,'Tasks'!$F$7:$F$246,$B106)</x:f>
        <x:v>711043</x:v>
      </x:c>
      <x:c r="I106" s="22" t="n">
        <x:f>SUMIFS('Tasks'!$S$7:$S$246,'Tasks'!$C$7:$C$246,$A106,'Tasks'!$K$7:$K$246,$D106,'Tasks'!$F$7:$F$246,$B106)</x:f>
        <x:v>6.42905</x:v>
      </x:c>
      <x:c r="J106" s="22" t="n">
        <x:f>SUMIFS('Tasks'!$T$7:$T$246,'Tasks'!$C$7:$C$246,$A106,'Tasks'!$K$7:$K$246,$D106,'Tasks'!$F$7:$F$246,$B106)</x:f>
        <x:v>2.04414</x:v>
      </x:c>
      <x:c r="K106" s="22" t="n">
        <x:f>SUMIFS('Tasks'!$U$7:$U$246,'Tasks'!$C$7:$C$246,$A106,'Tasks'!$K$7:$K$246,$D106,'Tasks'!$F$7:$F$246,$B106)</x:f>
        <x:v>8.473189999999999</x:v>
      </x:c>
      <x:c r="L106" s="17" t="n">
        <x:f>SUMIFS('Tasks'!$R$7:$R$246,'Tasks'!$C$7:$C$246,$A106,'Tasks'!$K$7:$K$246,$D106,'Tasks'!$F$7:$F$246,$B106)</x:f>
        <x:v>22</x:v>
      </x:c>
      <x:c r="M106" s="22" t="n">
        <x:f>IF(L106=0,"N/A",K106/L106)</x:f>
        <x:v>0.38514499999999996</x:v>
      </x:c>
      <x:c r="N106" s="19" t="n">
        <x:f>SUMIFS('Tasks'!$G$7:$G$246,'Tasks'!$C$7:$C$246,$A106,'Tasks'!$K$7:$K$246,$D106,'Tasks'!$F$7:$F$246,$B106)</x:f>
        <x:v>7.43</x:v>
      </x:c>
      <x:c r="O106" s="19" t="n">
        <x:f>SUMIFS('Tasks'!$H$7:$H$246,'Tasks'!$C$7:$C$246,$A106,'Tasks'!$K$7:$K$246,$D106,'Tasks'!$F$7:$F$246,$B106)</x:f>
        <x:v>4.609999999999999</x:v>
      </x:c>
      <x:c r="P106" s="19" t="n">
        <x:f>SUMIFS('Tasks'!$Y$7:$Y$246,'Tasks'!$C$7:$C$246,$A106,'Tasks'!$K$7:$K$246,$D106,'Tasks'!$F$7:$F$246,$B106)</x:f>
        <x:v>2.82</x:v>
      </x:c>
      <x:c r="Q106" s="22" t="n">
        <x:f>SUMIFS('Tasks'!$Z$7:$Z$246,'Tasks'!$C$7:$C$246,$A106,'Tasks'!$K$7:$K$246,$D106,'Tasks'!$F$7:$F$246,$B106)</x:f>
        <x:v>141</x:v>
      </x:c>
      <x:c r="R106" s="22" t="n">
        <x:f>SUMIFS('Tasks'!$AA$7:$AA$246,'Tasks'!$C$7:$C$246,$A106,'Tasks'!$K$7:$K$246,$D106,'Tasks'!$F$7:$F$246,$B106)</x:f>
        <x:v>132.52680999999998</x:v>
      </x:c>
      <x:c r="S106" s="31" t="n">
        <x:f>IF(K106=0,"N/A",R106/K106)</x:f>
        <x:v>15.640722089319372</x:v>
      </x:c>
      <x:c r="T106" s="19" t="n">
        <x:f>SUMIFS('Tasks'!$I$7:$I$246,'Tasks'!$C$7:$C$246,$A106,'Tasks'!$K$7:$K$246,$D106,'Tasks'!$F$7:$F$246,$B106)</x:f>
        <x:v>0.72</x:v>
      </x:c>
      <x:c r="U106" s="31" t="n">
        <x:f>IF(O106=0,"N/A",T106/O106)</x:f>
        <x:v>0.1561822125813449</x:v>
      </x:c>
      <x:c r="V106" s="17" t="n">
        <x:f>SUMIFS('Tasks'!$X$7:$X$246,'Tasks'!$C$7:$C$246,$A106,'Tasks'!$K$7:$K$246,$D106,'Tasks'!$F$7:$F$246,$B106)</x:f>
        <x:v>5</x:v>
      </x:c>
      <x:c r="W106" s="31" t="n">
        <x:f>IF(L106=0,"N/A",V106/L106)</x:f>
        <x:v>0.22727272727272727</x:v>
      </x:c>
      <x:c r="X106" s="17" t="n">
        <x:f>COUNTIFS('Tasks'!$C$7:$C$246,$A106,'Tasks'!$K$7:$K$246,$D106,'Tasks'!$F$7:$F$246,$B106,'Tasks'!$L$7:$L$246,"Yes")</x:f>
        <x:v>1</x:v>
      </x:c>
      <x:c r="Y106" s="17" t="n">
        <x:f>COUNTIFS('Tasks'!$C$7:$C$246,$A106,'Tasks'!$K$7:$K$246,$D106,'Tasks'!$F$7:$F$246,$B106,'Tasks'!$K$7:$K$246,"Yes")</x:f>
        <x:v>2</x:v>
      </x:c>
      <x:c r="Z106" s="17" t="n">
        <x:f>COUNTIFS('Tasks'!$C$7:$C$246,$A106,'Tasks'!$K$7:$K$246,$D106,'Tasks'!$F$7:$F$246,$B106,'Tasks'!$AA$7:$AA$246,"&gt;0")</x:f>
        <x:v>2</x:v>
      </x:c>
      <x:c r="AA106" s="17" t="n">
        <x:f>COUNTIFS('Tasks'!$C$7:$C$246,$A106,'Tasks'!$K$7:$K$246,$D106,'Tasks'!$F$7:$F$246,$B106,'Tasks'!$AA$7:$AA$246,"&lt;0")</x:f>
        <x:v>0</x:v>
      </x:c>
      <x:c r="AB106" s="19" t="n">
        <x:f>IF(E106=0,"N/A",V106/E106)</x:f>
        <x:v>2.5</x:v>
      </x:c>
      <x:c r="AC106" s="22" t="n">
        <x:f>IF(E106=0,"N/A",K106/E106)</x:f>
        <x:v>4.2365949999999994</x:v>
      </x:c>
      <x:c r="AD106" s="19" t="n">
        <x:f>IF(E106=0,"N/A",P106/E106)</x:f>
        <x:v>1.41</x:v>
      </x:c>
    </x:row>
    <x:row r="107" ht="23" customHeight="1">
      <x:c r="A107" s="17" t="str">
        <x:v>C003</x:v>
      </x:c>
      <x:c r="B107" s="17" t="str">
        <x:v>Check measurement plan</x:v>
      </x:c>
      <x:c r="C107" s="17" t="str">
        <x:v>prompt_template_used</x:v>
      </x:c>
      <x:c r="D107" s="17" t="str">
        <x:v>Yes</x:v>
      </x:c>
      <x:c r="E107" s="17" t="n">
        <x:f>COUNTIFS('Tasks'!$C$7:$C$246,$A107,'Tasks'!$L$7:$L$246,$D107,'Tasks'!$F$7:$F$246,$B107)</x:f>
        <x:v>5</x:v>
      </x:c>
      <x:c r="F107" s="17" t="n">
        <x:f>SUMIFS('Tasks'!$O$7:$O$246,'Tasks'!$C$7:$C$246,$A107,'Tasks'!$L$7:$L$246,$D107,'Tasks'!$F$7:$F$246,$B107)</x:f>
        <x:v>1449898</x:v>
      </x:c>
      <x:c r="G107" s="17" t="n">
        <x:f>SUMIFS('Tasks'!$P$7:$P$246,'Tasks'!$C$7:$C$246,$A107,'Tasks'!$L$7:$L$246,$D107,'Tasks'!$F$7:$F$246,$B107)</x:f>
        <x:v>325495</x:v>
      </x:c>
      <x:c r="H107" s="17" t="n">
        <x:f>SUMIFS('Tasks'!$Q$7:$Q$246,'Tasks'!$C$7:$C$246,$A107,'Tasks'!$L$7:$L$246,$D107,'Tasks'!$F$7:$F$246,$B107)</x:f>
        <x:v>1775393</x:v>
      </x:c>
      <x:c r="I107" s="22" t="n">
        <x:f>SUMIFS('Tasks'!$S$7:$S$246,'Tasks'!$C$7:$C$246,$A107,'Tasks'!$L$7:$L$246,$D107,'Tasks'!$F$7:$F$246,$B107)</x:f>
        <x:v>20.70907</x:v>
      </x:c>
      <x:c r="J107" s="22" t="n">
        <x:f>SUMIFS('Tasks'!$T$7:$T$246,'Tasks'!$C$7:$C$246,$A107,'Tasks'!$L$7:$L$246,$D107,'Tasks'!$F$7:$F$246,$B107)</x:f>
        <x:v>14.8633</x:v>
      </x:c>
      <x:c r="K107" s="22" t="n">
        <x:f>SUMIFS('Tasks'!$U$7:$U$246,'Tasks'!$C$7:$C$246,$A107,'Tasks'!$L$7:$L$246,$D107,'Tasks'!$F$7:$F$246,$B107)</x:f>
        <x:v>35.57237</x:v>
      </x:c>
      <x:c r="L107" s="17" t="n">
        <x:f>SUMIFS('Tasks'!$R$7:$R$246,'Tasks'!$C$7:$C$246,$A107,'Tasks'!$L$7:$L$246,$D107,'Tasks'!$F$7:$F$246,$B107)</x:f>
        <x:v>52</x:v>
      </x:c>
      <x:c r="M107" s="22" t="n">
        <x:f>IF(L107=0,"N/A",K107/L107)</x:f>
        <x:v>0.6840840384615384</x:v>
      </x:c>
      <x:c r="N107" s="19" t="n">
        <x:f>SUMIFS('Tasks'!$G$7:$G$246,'Tasks'!$C$7:$C$246,$A107,'Tasks'!$L$7:$L$246,$D107,'Tasks'!$F$7:$F$246,$B107)</x:f>
        <x:v>18.28</x:v>
      </x:c>
      <x:c r="O107" s="19" t="n">
        <x:f>SUMIFS('Tasks'!$H$7:$H$246,'Tasks'!$C$7:$C$246,$A107,'Tasks'!$L$7:$L$246,$D107,'Tasks'!$F$7:$F$246,$B107)</x:f>
        <x:v>11.31</x:v>
      </x:c>
      <x:c r="P107" s="19" t="n">
        <x:f>SUMIFS('Tasks'!$Y$7:$Y$246,'Tasks'!$C$7:$C$246,$A107,'Tasks'!$L$7:$L$246,$D107,'Tasks'!$F$7:$F$246,$B107)</x:f>
        <x:v>6.97</x:v>
      </x:c>
      <x:c r="Q107" s="22" t="n">
        <x:f>SUMIFS('Tasks'!$Z$7:$Z$246,'Tasks'!$C$7:$C$246,$A107,'Tasks'!$L$7:$L$246,$D107,'Tasks'!$F$7:$F$246,$B107)</x:f>
        <x:v>348.5</x:v>
      </x:c>
      <x:c r="R107" s="22" t="n">
        <x:f>SUMIFS('Tasks'!$AA$7:$AA$246,'Tasks'!$C$7:$C$246,$A107,'Tasks'!$L$7:$L$246,$D107,'Tasks'!$F$7:$F$246,$B107)</x:f>
        <x:v>312.92763</x:v>
      </x:c>
      <x:c r="S107" s="31" t="n">
        <x:f>IF(K107=0,"N/A",R107/K107)</x:f>
        <x:v>8.79692947082244</x:v>
      </x:c>
      <x:c r="T107" s="19" t="n">
        <x:f>SUMIFS('Tasks'!$I$7:$I$246,'Tasks'!$C$7:$C$246,$A107,'Tasks'!$L$7:$L$246,$D107,'Tasks'!$F$7:$F$246,$B107)</x:f>
        <x:v>1.17</x:v>
      </x:c>
      <x:c r="U107" s="31" t="n">
        <x:f>IF(O107=0,"N/A",T107/O107)</x:f>
        <x:v>0.10344827586206895</x:v>
      </x:c>
      <x:c r="V107" s="17" t="n">
        <x:f>SUMIFS('Tasks'!$X$7:$X$246,'Tasks'!$C$7:$C$246,$A107,'Tasks'!$L$7:$L$246,$D107,'Tasks'!$F$7:$F$246,$B107)</x:f>
        <x:v>11</x:v>
      </x:c>
      <x:c r="W107" s="31" t="n">
        <x:f>IF(L107=0,"N/A",V107/L107)</x:f>
        <x:v>0.21153846153846154</x:v>
      </x:c>
      <x:c r="X107" s="17" t="n">
        <x:f>COUNTIFS('Tasks'!$C$7:$C$246,$A107,'Tasks'!$L$7:$L$246,$D107,'Tasks'!$F$7:$F$246,$B107,'Tasks'!$L$7:$L$246,"Yes")</x:f>
        <x:v>5</x:v>
      </x:c>
      <x:c r="Y107" s="17" t="n">
        <x:f>COUNTIFS('Tasks'!$C$7:$C$246,$A107,'Tasks'!$L$7:$L$246,$D107,'Tasks'!$F$7:$F$246,$B107,'Tasks'!$K$7:$K$246,"Yes")</x:f>
        <x:v>0</x:v>
      </x:c>
      <x:c r="Z107" s="17" t="n">
        <x:f>COUNTIFS('Tasks'!$C$7:$C$246,$A107,'Tasks'!$L$7:$L$246,$D107,'Tasks'!$F$7:$F$246,$B107,'Tasks'!$AA$7:$AA$246,"&gt;0")</x:f>
        <x:v>5</x:v>
      </x:c>
      <x:c r="AA107" s="17" t="n">
        <x:f>COUNTIFS('Tasks'!$C$7:$C$246,$A107,'Tasks'!$L$7:$L$246,$D107,'Tasks'!$F$7:$F$246,$B107,'Tasks'!$AA$7:$AA$246,"&lt;0")</x:f>
        <x:v>0</x:v>
      </x:c>
      <x:c r="AB107" s="19" t="n">
        <x:f>IF(E107=0,"N/A",V107/E107)</x:f>
        <x:v>2.2</x:v>
      </x:c>
      <x:c r="AC107" s="22" t="n">
        <x:f>IF(E107=0,"N/A",K107/E107)</x:f>
        <x:v>7.1144739999999995</x:v>
      </x:c>
      <x:c r="AD107" s="19" t="n">
        <x:f>IF(E107=0,"N/A",P107/E107)</x:f>
        <x:v>1.394</x:v>
      </x:c>
    </x:row>
    <x:row r="108" ht="23" customHeight="1">
      <x:c r="A108" s="17" t="str">
        <x:v>C003</x:v>
      </x:c>
      <x:c r="B108" s="17" t="str">
        <x:v>Check measurement plan</x:v>
      </x:c>
      <x:c r="C108" s="17" t="str">
        <x:v>brief_changed</x:v>
      </x:c>
      <x:c r="D108" s="17" t="str">
        <x:v>No</x:v>
      </x:c>
      <x:c r="E108" s="17" t="n">
        <x:f>COUNTIFS('Tasks'!$C$7:$C$246,$A108,'Tasks'!$K$7:$K$246,$D108,'Tasks'!$F$7:$F$246,$B108)</x:f>
        <x:v>5</x:v>
      </x:c>
      <x:c r="F108" s="17" t="n">
        <x:f>SUMIFS('Tasks'!$O$7:$O$246,'Tasks'!$C$7:$C$246,$A108,'Tasks'!$K$7:$K$246,$D108,'Tasks'!$F$7:$F$246,$B108)</x:f>
        <x:v>1449898</x:v>
      </x:c>
      <x:c r="G108" s="17" t="n">
        <x:f>SUMIFS('Tasks'!$P$7:$P$246,'Tasks'!$C$7:$C$246,$A108,'Tasks'!$K$7:$K$246,$D108,'Tasks'!$F$7:$F$246,$B108)</x:f>
        <x:v>325495</x:v>
      </x:c>
      <x:c r="H108" s="17" t="n">
        <x:f>SUMIFS('Tasks'!$Q$7:$Q$246,'Tasks'!$C$7:$C$246,$A108,'Tasks'!$K$7:$K$246,$D108,'Tasks'!$F$7:$F$246,$B108)</x:f>
        <x:v>1775393</x:v>
      </x:c>
      <x:c r="I108" s="22" t="n">
        <x:f>SUMIFS('Tasks'!$S$7:$S$246,'Tasks'!$C$7:$C$246,$A108,'Tasks'!$K$7:$K$246,$D108,'Tasks'!$F$7:$F$246,$B108)</x:f>
        <x:v>20.70907</x:v>
      </x:c>
      <x:c r="J108" s="22" t="n">
        <x:f>SUMIFS('Tasks'!$T$7:$T$246,'Tasks'!$C$7:$C$246,$A108,'Tasks'!$K$7:$K$246,$D108,'Tasks'!$F$7:$F$246,$B108)</x:f>
        <x:v>14.8633</x:v>
      </x:c>
      <x:c r="K108" s="22" t="n">
        <x:f>SUMIFS('Tasks'!$U$7:$U$246,'Tasks'!$C$7:$C$246,$A108,'Tasks'!$K$7:$K$246,$D108,'Tasks'!$F$7:$F$246,$B108)</x:f>
        <x:v>35.57237</x:v>
      </x:c>
      <x:c r="L108" s="17" t="n">
        <x:f>SUMIFS('Tasks'!$R$7:$R$246,'Tasks'!$C$7:$C$246,$A108,'Tasks'!$K$7:$K$246,$D108,'Tasks'!$F$7:$F$246,$B108)</x:f>
        <x:v>52</x:v>
      </x:c>
      <x:c r="M108" s="22" t="n">
        <x:f>IF(L108=0,"N/A",K108/L108)</x:f>
        <x:v>0.6840840384615384</x:v>
      </x:c>
      <x:c r="N108" s="19" t="n">
        <x:f>SUMIFS('Tasks'!$G$7:$G$246,'Tasks'!$C$7:$C$246,$A108,'Tasks'!$K$7:$K$246,$D108,'Tasks'!$F$7:$F$246,$B108)</x:f>
        <x:v>18.28</x:v>
      </x:c>
      <x:c r="O108" s="19" t="n">
        <x:f>SUMIFS('Tasks'!$H$7:$H$246,'Tasks'!$C$7:$C$246,$A108,'Tasks'!$K$7:$K$246,$D108,'Tasks'!$F$7:$F$246,$B108)</x:f>
        <x:v>11.31</x:v>
      </x:c>
      <x:c r="P108" s="19" t="n">
        <x:f>SUMIFS('Tasks'!$Y$7:$Y$246,'Tasks'!$C$7:$C$246,$A108,'Tasks'!$K$7:$K$246,$D108,'Tasks'!$F$7:$F$246,$B108)</x:f>
        <x:v>6.97</x:v>
      </x:c>
      <x:c r="Q108" s="22" t="n">
        <x:f>SUMIFS('Tasks'!$Z$7:$Z$246,'Tasks'!$C$7:$C$246,$A108,'Tasks'!$K$7:$K$246,$D108,'Tasks'!$F$7:$F$246,$B108)</x:f>
        <x:v>348.5</x:v>
      </x:c>
      <x:c r="R108" s="22" t="n">
        <x:f>SUMIFS('Tasks'!$AA$7:$AA$246,'Tasks'!$C$7:$C$246,$A108,'Tasks'!$K$7:$K$246,$D108,'Tasks'!$F$7:$F$246,$B108)</x:f>
        <x:v>312.92763</x:v>
      </x:c>
      <x:c r="S108" s="31" t="n">
        <x:f>IF(K108=0,"N/A",R108/K108)</x:f>
        <x:v>8.79692947082244</x:v>
      </x:c>
      <x:c r="T108" s="19" t="n">
        <x:f>SUMIFS('Tasks'!$I$7:$I$246,'Tasks'!$C$7:$C$246,$A108,'Tasks'!$K$7:$K$246,$D108,'Tasks'!$F$7:$F$246,$B108)</x:f>
        <x:v>1.17</x:v>
      </x:c>
      <x:c r="U108" s="31" t="n">
        <x:f>IF(O108=0,"N/A",T108/O108)</x:f>
        <x:v>0.10344827586206895</x:v>
      </x:c>
      <x:c r="V108" s="17" t="n">
        <x:f>SUMIFS('Tasks'!$X$7:$X$246,'Tasks'!$C$7:$C$246,$A108,'Tasks'!$K$7:$K$246,$D108,'Tasks'!$F$7:$F$246,$B108)</x:f>
        <x:v>11</x:v>
      </x:c>
      <x:c r="W108" s="31" t="n">
        <x:f>IF(L108=0,"N/A",V108/L108)</x:f>
        <x:v>0.21153846153846154</x:v>
      </x:c>
      <x:c r="X108" s="17" t="n">
        <x:f>COUNTIFS('Tasks'!$C$7:$C$246,$A108,'Tasks'!$K$7:$K$246,$D108,'Tasks'!$F$7:$F$246,$B108,'Tasks'!$L$7:$L$246,"Yes")</x:f>
        <x:v>5</x:v>
      </x:c>
      <x:c r="Y108" s="17" t="n">
        <x:f>COUNTIFS('Tasks'!$C$7:$C$246,$A108,'Tasks'!$K$7:$K$246,$D108,'Tasks'!$F$7:$F$246,$B108,'Tasks'!$K$7:$K$246,"Yes")</x:f>
        <x:v>0</x:v>
      </x:c>
      <x:c r="Z108" s="17" t="n">
        <x:f>COUNTIFS('Tasks'!$C$7:$C$246,$A108,'Tasks'!$K$7:$K$246,$D108,'Tasks'!$F$7:$F$246,$B108,'Tasks'!$AA$7:$AA$246,"&gt;0")</x:f>
        <x:v>5</x:v>
      </x:c>
      <x:c r="AA108" s="17" t="n">
        <x:f>COUNTIFS('Tasks'!$C$7:$C$246,$A108,'Tasks'!$K$7:$K$246,$D108,'Tasks'!$F$7:$F$246,$B108,'Tasks'!$AA$7:$AA$246,"&lt;0")</x:f>
        <x:v>0</x:v>
      </x:c>
      <x:c r="AB108" s="19" t="n">
        <x:f>IF(E108=0,"N/A",V108/E108)</x:f>
        <x:v>2.2</x:v>
      </x:c>
      <x:c r="AC108" s="22" t="n">
        <x:f>IF(E108=0,"N/A",K108/E108)</x:f>
        <x:v>7.1144739999999995</x:v>
      </x:c>
      <x:c r="AD108" s="19" t="n">
        <x:f>IF(E108=0,"N/A",P108/E108)</x:f>
        <x:v>1.394</x:v>
      </x:c>
    </x:row>
    <x:row r="109" ht="23" customHeight="1">
      <x:c r="A109" s="17" t="str">
        <x:v>C003</x:v>
      </x:c>
      <x:c r="B109" s="17" t="str">
        <x:v>Clean audience data</x:v>
      </x:c>
      <x:c r="C109" s="17" t="str">
        <x:v>prompt_template_used</x:v>
      </x:c>
      <x:c r="D109" s="17" t="str">
        <x:v>No</x:v>
      </x:c>
      <x:c r="E109" s="17" t="n">
        <x:f>COUNTIFS('Tasks'!$C$7:$C$246,$A109,'Tasks'!$L$7:$L$246,$D109,'Tasks'!$F$7:$F$246,$B109)</x:f>
        <x:v>2</x:v>
      </x:c>
      <x:c r="F109" s="17" t="n">
        <x:f>SUMIFS('Tasks'!$O$7:$O$246,'Tasks'!$C$7:$C$246,$A109,'Tasks'!$L$7:$L$246,$D109,'Tasks'!$F$7:$F$246,$B109)</x:f>
        <x:v>935370</x:v>
      </x:c>
      <x:c r="G109" s="17" t="n">
        <x:f>SUMIFS('Tasks'!$P$7:$P$246,'Tasks'!$C$7:$C$246,$A109,'Tasks'!$L$7:$L$246,$D109,'Tasks'!$F$7:$F$246,$B109)</x:f>
        <x:v>198141</x:v>
      </x:c>
      <x:c r="H109" s="17" t="n">
        <x:f>SUMIFS('Tasks'!$Q$7:$Q$246,'Tasks'!$C$7:$C$246,$A109,'Tasks'!$L$7:$L$246,$D109,'Tasks'!$F$7:$F$246,$B109)</x:f>
        <x:v>1133511</x:v>
      </x:c>
      <x:c r="I109" s="22" t="n">
        <x:f>SUMIFS('Tasks'!$S$7:$S$246,'Tasks'!$C$7:$C$246,$A109,'Tasks'!$L$7:$L$246,$D109,'Tasks'!$F$7:$F$246,$B109)</x:f>
        <x:v>9.353700000000002</x:v>
      </x:c>
      <x:c r="J109" s="22" t="n">
        <x:f>SUMIFS('Tasks'!$T$7:$T$246,'Tasks'!$C$7:$C$246,$A109,'Tasks'!$L$7:$L$246,$D109,'Tasks'!$F$7:$F$246,$B109)</x:f>
        <x:v>5.94423</x:v>
      </x:c>
      <x:c r="K109" s="22" t="n">
        <x:f>SUMIFS('Tasks'!$U$7:$U$246,'Tasks'!$C$7:$C$246,$A109,'Tasks'!$L$7:$L$246,$D109,'Tasks'!$F$7:$F$246,$B109)</x:f>
        <x:v>15.297930000000001</x:v>
      </x:c>
      <x:c r="L109" s="17" t="n">
        <x:f>SUMIFS('Tasks'!$R$7:$R$246,'Tasks'!$C$7:$C$246,$A109,'Tasks'!$L$7:$L$246,$D109,'Tasks'!$F$7:$F$246,$B109)</x:f>
        <x:v>31</x:v>
      </x:c>
      <x:c r="M109" s="22" t="n">
        <x:f>IF(L109=0,"N/A",K109/L109)</x:f>
        <x:v>0.49348161290322584</x:v>
      </x:c>
      <x:c r="N109" s="19" t="n">
        <x:f>SUMIFS('Tasks'!$G$7:$G$246,'Tasks'!$C$7:$C$246,$A109,'Tasks'!$L$7:$L$246,$D109,'Tasks'!$F$7:$F$246,$B109)</x:f>
        <x:v>8.7</x:v>
      </x:c>
      <x:c r="O109" s="19" t="n">
        <x:f>SUMIFS('Tasks'!$H$7:$H$246,'Tasks'!$C$7:$C$246,$A109,'Tasks'!$L$7:$L$246,$D109,'Tasks'!$F$7:$F$246,$B109)</x:f>
        <x:v>7.32</x:v>
      </x:c>
      <x:c r="P109" s="19" t="n">
        <x:f>SUMIFS('Tasks'!$Y$7:$Y$246,'Tasks'!$C$7:$C$246,$A109,'Tasks'!$L$7:$L$246,$D109,'Tasks'!$F$7:$F$246,$B109)</x:f>
        <x:v>1.38</x:v>
      </x:c>
      <x:c r="Q109" s="22" t="n">
        <x:f>SUMIFS('Tasks'!$Z$7:$Z$246,'Tasks'!$C$7:$C$246,$A109,'Tasks'!$L$7:$L$246,$D109,'Tasks'!$F$7:$F$246,$B109)</x:f>
        <x:v>69</x:v>
      </x:c>
      <x:c r="R109" s="22" t="n">
        <x:f>SUMIFS('Tasks'!$AA$7:$AA$246,'Tasks'!$C$7:$C$246,$A109,'Tasks'!$L$7:$L$246,$D109,'Tasks'!$F$7:$F$246,$B109)</x:f>
        <x:v>53.70206999999999</x:v>
      </x:c>
      <x:c r="S109" s="31" t="n">
        <x:f>IF(K109=0,"N/A",R109/K109)</x:f>
        <x:v>3.5104141540718246</x:v>
      </x:c>
      <x:c r="T109" s="19" t="n">
        <x:f>SUMIFS('Tasks'!$I$7:$I$246,'Tasks'!$C$7:$C$246,$A109,'Tasks'!$L$7:$L$246,$D109,'Tasks'!$F$7:$F$246,$B109)</x:f>
        <x:v>0.78</x:v>
      </x:c>
      <x:c r="U109" s="31" t="n">
        <x:f>IF(O109=0,"N/A",T109/O109)</x:f>
        <x:v>0.10655737704918032</x:v>
      </x:c>
      <x:c r="V109" s="17" t="n">
        <x:f>SUMIFS('Tasks'!$X$7:$X$246,'Tasks'!$C$7:$C$246,$A109,'Tasks'!$L$7:$L$246,$D109,'Tasks'!$F$7:$F$246,$B109)</x:f>
        <x:v>8</x:v>
      </x:c>
      <x:c r="W109" s="31" t="n">
        <x:f>IF(L109=0,"N/A",V109/L109)</x:f>
        <x:v>0.25806451612903225</x:v>
      </x:c>
      <x:c r="X109" s="17" t="n">
        <x:f>COUNTIFS('Tasks'!$C$7:$C$246,$A109,'Tasks'!$L$7:$L$246,$D109,'Tasks'!$F$7:$F$246,$B109,'Tasks'!$L$7:$L$246,"Yes")</x:f>
        <x:v>0</x:v>
      </x:c>
      <x:c r="Y109" s="17" t="n">
        <x:f>COUNTIFS('Tasks'!$C$7:$C$246,$A109,'Tasks'!$L$7:$L$246,$D109,'Tasks'!$F$7:$F$246,$B109,'Tasks'!$K$7:$K$246,"Yes")</x:f>
        <x:v>1</x:v>
      </x:c>
      <x:c r="Z109" s="17" t="n">
        <x:f>COUNTIFS('Tasks'!$C$7:$C$246,$A109,'Tasks'!$L$7:$L$246,$D109,'Tasks'!$F$7:$F$246,$B109,'Tasks'!$AA$7:$AA$246,"&gt;0")</x:f>
        <x:v>1</x:v>
      </x:c>
      <x:c r="AA109" s="17" t="n">
        <x:f>COUNTIFS('Tasks'!$C$7:$C$246,$A109,'Tasks'!$L$7:$L$246,$D109,'Tasks'!$F$7:$F$246,$B109,'Tasks'!$AA$7:$AA$246,"&lt;0")</x:f>
        <x:v>1</x:v>
      </x:c>
      <x:c r="AB109" s="19" t="n">
        <x:f>IF(E109=0,"N/A",V109/E109)</x:f>
        <x:v>4</x:v>
      </x:c>
      <x:c r="AC109" s="22" t="n">
        <x:f>IF(E109=0,"N/A",K109/E109)</x:f>
        <x:v>7.6489650000000005</x:v>
      </x:c>
      <x:c r="AD109" s="19" t="n">
        <x:f>IF(E109=0,"N/A",P109/E109)</x:f>
        <x:v>0.69</x:v>
      </x:c>
    </x:row>
    <x:row r="110" ht="23" customHeight="1">
      <x:c r="A110" s="17" t="str">
        <x:v>C003</x:v>
      </x:c>
      <x:c r="B110" s="17" t="str">
        <x:v>Clean audience data</x:v>
      </x:c>
      <x:c r="C110" s="17" t="str">
        <x:v>prompt_template_used</x:v>
      </x:c>
      <x:c r="D110" s="17" t="str">
        <x:v>Yes</x:v>
      </x:c>
      <x:c r="E110" s="17" t="n">
        <x:f>COUNTIFS('Tasks'!$C$7:$C$246,$A110,'Tasks'!$L$7:$L$246,$D110,'Tasks'!$F$7:$F$246,$B110)</x:f>
        <x:v>3</x:v>
      </x:c>
      <x:c r="F110" s="17" t="n">
        <x:f>SUMIFS('Tasks'!$O$7:$O$246,'Tasks'!$C$7:$C$246,$A110,'Tasks'!$L$7:$L$246,$D110,'Tasks'!$F$7:$F$246,$B110)</x:f>
        <x:v>764850</x:v>
      </x:c>
      <x:c r="G110" s="17" t="n">
        <x:f>SUMIFS('Tasks'!$P$7:$P$246,'Tasks'!$C$7:$C$246,$A110,'Tasks'!$L$7:$L$246,$D110,'Tasks'!$F$7:$F$246,$B110)</x:f>
        <x:v>156814</x:v>
      </x:c>
      <x:c r="H110" s="17" t="n">
        <x:f>SUMIFS('Tasks'!$Q$7:$Q$246,'Tasks'!$C$7:$C$246,$A110,'Tasks'!$L$7:$L$246,$D110,'Tasks'!$F$7:$F$246,$B110)</x:f>
        <x:v>921664</x:v>
      </x:c>
      <x:c r="I110" s="22" t="n">
        <x:f>SUMIFS('Tasks'!$S$7:$S$246,'Tasks'!$C$7:$C$246,$A110,'Tasks'!$L$7:$L$246,$D110,'Tasks'!$F$7:$F$246,$B110)</x:f>
        <x:v>13.194030000000001</x:v>
      </x:c>
      <x:c r="J110" s="22" t="n">
        <x:f>SUMIFS('Tasks'!$T$7:$T$246,'Tasks'!$C$7:$C$246,$A110,'Tasks'!$L$7:$L$246,$D110,'Tasks'!$F$7:$F$246,$B110)</x:f>
        <x:v>9.16104</x:v>
      </x:c>
      <x:c r="K110" s="22" t="n">
        <x:f>SUMIFS('Tasks'!$U$7:$U$246,'Tasks'!$C$7:$C$246,$A110,'Tasks'!$L$7:$L$246,$D110,'Tasks'!$F$7:$F$246,$B110)</x:f>
        <x:v>22.35507</x:v>
      </x:c>
      <x:c r="L110" s="17" t="n">
        <x:f>SUMIFS('Tasks'!$R$7:$R$246,'Tasks'!$C$7:$C$246,$A110,'Tasks'!$L$7:$L$246,$D110,'Tasks'!$F$7:$F$246,$B110)</x:f>
        <x:v>29</x:v>
      </x:c>
      <x:c r="M110" s="22" t="n">
        <x:f>IF(L110=0,"N/A",K110/L110)</x:f>
        <x:v>0.7708644827586207</x:v>
      </x:c>
      <x:c r="N110" s="19" t="n">
        <x:f>SUMIFS('Tasks'!$G$7:$G$246,'Tasks'!$C$7:$C$246,$A110,'Tasks'!$L$7:$L$246,$D110,'Tasks'!$F$7:$F$246,$B110)</x:f>
        <x:v>12.100000000000001</x:v>
      </x:c>
      <x:c r="O110" s="19" t="n">
        <x:f>SUMIFS('Tasks'!$H$7:$H$246,'Tasks'!$C$7:$C$246,$A110,'Tasks'!$L$7:$L$246,$D110,'Tasks'!$F$7:$F$246,$B110)</x:f>
        <x:v>9.02</x:v>
      </x:c>
      <x:c r="P110" s="19" t="n">
        <x:f>SUMIFS('Tasks'!$Y$7:$Y$246,'Tasks'!$C$7:$C$246,$A110,'Tasks'!$L$7:$L$246,$D110,'Tasks'!$F$7:$F$246,$B110)</x:f>
        <x:v>3.0799999999999996</x:v>
      </x:c>
      <x:c r="Q110" s="22" t="n">
        <x:f>SUMIFS('Tasks'!$Z$7:$Z$246,'Tasks'!$C$7:$C$246,$A110,'Tasks'!$L$7:$L$246,$D110,'Tasks'!$F$7:$F$246,$B110)</x:f>
        <x:v>154</x:v>
      </x:c>
      <x:c r="R110" s="22" t="n">
        <x:f>SUMIFS('Tasks'!$AA$7:$AA$246,'Tasks'!$C$7:$C$246,$A110,'Tasks'!$L$7:$L$246,$D110,'Tasks'!$F$7:$F$246,$B110)</x:f>
        <x:v>131.64493</x:v>
      </x:c>
      <x:c r="S110" s="31" t="n">
        <x:f>IF(K110=0,"N/A",R110/K110)</x:f>
        <x:v>5.888817614975036</x:v>
      </x:c>
      <x:c r="T110" s="19" t="n">
        <x:f>SUMIFS('Tasks'!$I$7:$I$246,'Tasks'!$C$7:$C$246,$A110,'Tasks'!$L$7:$L$246,$D110,'Tasks'!$F$7:$F$246,$B110)</x:f>
        <x:v>0.47</x:v>
      </x:c>
      <x:c r="U110" s="31" t="n">
        <x:f>IF(O110=0,"N/A",T110/O110)</x:f>
        <x:v>0.052106430155210645</x:v>
      </x:c>
      <x:c r="V110" s="17" t="n">
        <x:f>SUMIFS('Tasks'!$X$7:$X$246,'Tasks'!$C$7:$C$246,$A110,'Tasks'!$L$7:$L$246,$D110,'Tasks'!$F$7:$F$246,$B110)</x:f>
        <x:v>6</x:v>
      </x:c>
      <x:c r="W110" s="31" t="n">
        <x:f>IF(L110=0,"N/A",V110/L110)</x:f>
        <x:v>0.20689655172413793</x:v>
      </x:c>
      <x:c r="X110" s="17" t="n">
        <x:f>COUNTIFS('Tasks'!$C$7:$C$246,$A110,'Tasks'!$L$7:$L$246,$D110,'Tasks'!$F$7:$F$246,$B110,'Tasks'!$L$7:$L$246,"Yes")</x:f>
        <x:v>3</x:v>
      </x:c>
      <x:c r="Y110" s="17" t="n">
        <x:f>COUNTIFS('Tasks'!$C$7:$C$246,$A110,'Tasks'!$L$7:$L$246,$D110,'Tasks'!$F$7:$F$246,$B110,'Tasks'!$K$7:$K$246,"Yes")</x:f>
        <x:v>0</x:v>
      </x:c>
      <x:c r="Z110" s="17" t="n">
        <x:f>COUNTIFS('Tasks'!$C$7:$C$246,$A110,'Tasks'!$L$7:$L$246,$D110,'Tasks'!$F$7:$F$246,$B110,'Tasks'!$AA$7:$AA$246,"&gt;0")</x:f>
        <x:v>3</x:v>
      </x:c>
      <x:c r="AA110" s="17" t="n">
        <x:f>COUNTIFS('Tasks'!$C$7:$C$246,$A110,'Tasks'!$L$7:$L$246,$D110,'Tasks'!$F$7:$F$246,$B110,'Tasks'!$AA$7:$AA$246,"&lt;0")</x:f>
        <x:v>0</x:v>
      </x:c>
      <x:c r="AB110" s="19" t="n">
        <x:f>IF(E110=0,"N/A",V110/E110)</x:f>
        <x:v>2</x:v>
      </x:c>
      <x:c r="AC110" s="22" t="n">
        <x:f>IF(E110=0,"N/A",K110/E110)</x:f>
        <x:v>7.45169</x:v>
      </x:c>
      <x:c r="AD110" s="19" t="n">
        <x:f>IF(E110=0,"N/A",P110/E110)</x:f>
        <x:v>1.0266666666666666</x:v>
      </x:c>
    </x:row>
    <x:row r="111" ht="23" customHeight="1">
      <x:c r="A111" s="17" t="str">
        <x:v>C003</x:v>
      </x:c>
      <x:c r="B111" s="17" t="str">
        <x:v>Clean audience data</x:v>
      </x:c>
      <x:c r="C111" s="17" t="str">
        <x:v>brief_changed</x:v>
      </x:c>
      <x:c r="D111" s="17" t="str">
        <x:v>No</x:v>
      </x:c>
      <x:c r="E111" s="17" t="n">
        <x:f>COUNTIFS('Tasks'!$C$7:$C$246,$A111,'Tasks'!$K$7:$K$246,$D111,'Tasks'!$F$7:$F$246,$B111)</x:f>
        <x:v>4</x:v>
      </x:c>
      <x:c r="F111" s="17" t="n">
        <x:f>SUMIFS('Tasks'!$O$7:$O$246,'Tasks'!$C$7:$C$246,$A111,'Tasks'!$K$7:$K$246,$D111,'Tasks'!$F$7:$F$246,$B111)</x:f>
        <x:v>1152854</x:v>
      </x:c>
      <x:c r="G111" s="17" t="n">
        <x:f>SUMIFS('Tasks'!$P$7:$P$246,'Tasks'!$C$7:$C$246,$A111,'Tasks'!$K$7:$K$246,$D111,'Tasks'!$F$7:$F$246,$B111)</x:f>
        <x:v>230479</x:v>
      </x:c>
      <x:c r="H111" s="17" t="n">
        <x:f>SUMIFS('Tasks'!$Q$7:$Q$246,'Tasks'!$C$7:$C$246,$A111,'Tasks'!$K$7:$K$246,$D111,'Tasks'!$F$7:$F$246,$B111)</x:f>
        <x:v>1383333</x:v>
      </x:c>
      <x:c r="I111" s="22" t="n">
        <x:f>SUMIFS('Tasks'!$S$7:$S$246,'Tasks'!$C$7:$C$246,$A111,'Tasks'!$K$7:$K$246,$D111,'Tasks'!$F$7:$F$246,$B111)</x:f>
        <x:v>17.074070000000003</x:v>
      </x:c>
      <x:c r="J111" s="22" t="n">
        <x:f>SUMIFS('Tasks'!$T$7:$T$246,'Tasks'!$C$7:$C$246,$A111,'Tasks'!$K$7:$K$246,$D111,'Tasks'!$F$7:$F$246,$B111)</x:f>
        <x:v>11.37099</x:v>
      </x:c>
      <x:c r="K111" s="22" t="n">
        <x:f>SUMIFS('Tasks'!$U$7:$U$246,'Tasks'!$C$7:$C$246,$A111,'Tasks'!$K$7:$K$246,$D111,'Tasks'!$F$7:$F$246,$B111)</x:f>
        <x:v>28.44506</x:v>
      </x:c>
      <x:c r="L111" s="17" t="n">
        <x:f>SUMIFS('Tasks'!$R$7:$R$246,'Tasks'!$C$7:$C$246,$A111,'Tasks'!$K$7:$K$246,$D111,'Tasks'!$F$7:$F$246,$B111)</x:f>
        <x:v>41</x:v>
      </x:c>
      <x:c r="M111" s="22" t="n">
        <x:f>IF(L111=0,"N/A",K111/L111)</x:f>
        <x:v>0.6937819512195122</x:v>
      </x:c>
      <x:c r="N111" s="19" t="n">
        <x:f>SUMIFS('Tasks'!$G$7:$G$246,'Tasks'!$C$7:$C$246,$A111,'Tasks'!$K$7:$K$246,$D111,'Tasks'!$F$7:$F$246,$B111)</x:f>
        <x:v>16.1</x:v>
      </x:c>
      <x:c r="O111" s="19" t="n">
        <x:f>SUMIFS('Tasks'!$H$7:$H$246,'Tasks'!$C$7:$C$246,$A111,'Tasks'!$K$7:$K$246,$D111,'Tasks'!$F$7:$F$246,$B111)</x:f>
        <x:v>11.26</x:v>
      </x:c>
      <x:c r="P111" s="19" t="n">
        <x:f>SUMIFS('Tasks'!$Y$7:$Y$246,'Tasks'!$C$7:$C$246,$A111,'Tasks'!$K$7:$K$246,$D111,'Tasks'!$F$7:$F$246,$B111)</x:f>
        <x:v>4.839999999999999</x:v>
      </x:c>
      <x:c r="Q111" s="22" t="n">
        <x:f>SUMIFS('Tasks'!$Z$7:$Z$246,'Tasks'!$C$7:$C$246,$A111,'Tasks'!$K$7:$K$246,$D111,'Tasks'!$F$7:$F$246,$B111)</x:f>
        <x:v>242</x:v>
      </x:c>
      <x:c r="R111" s="22" t="n">
        <x:f>SUMIFS('Tasks'!$AA$7:$AA$246,'Tasks'!$C$7:$C$246,$A111,'Tasks'!$K$7:$K$246,$D111,'Tasks'!$F$7:$F$246,$B111)</x:f>
        <x:v>213.55493999999996</x:v>
      </x:c>
      <x:c r="S111" s="31" t="n">
        <x:f>IF(K111=0,"N/A",R111/K111)</x:f>
        <x:v>7.507628389604379</x:v>
      </x:c>
      <x:c r="T111" s="19" t="n">
        <x:f>SUMIFS('Tasks'!$I$7:$I$246,'Tasks'!$C$7:$C$246,$A111,'Tasks'!$K$7:$K$246,$D111,'Tasks'!$F$7:$F$246,$B111)</x:f>
        <x:v>0.52</x:v>
      </x:c>
      <x:c r="U111" s="31" t="n">
        <x:f>IF(O111=0,"N/A",T111/O111)</x:f>
        <x:v>0.046181172291296625</x:v>
      </x:c>
      <x:c r="V111" s="17" t="n">
        <x:f>SUMIFS('Tasks'!$X$7:$X$246,'Tasks'!$C$7:$C$246,$A111,'Tasks'!$K$7:$K$246,$D111,'Tasks'!$F$7:$F$246,$B111)</x:f>
        <x:v>8</x:v>
      </x:c>
      <x:c r="W111" s="31" t="n">
        <x:f>IF(L111=0,"N/A",V111/L111)</x:f>
        <x:v>0.1951219512195122</x:v>
      </x:c>
      <x:c r="X111" s="17" t="n">
        <x:f>COUNTIFS('Tasks'!$C$7:$C$246,$A111,'Tasks'!$K$7:$K$246,$D111,'Tasks'!$F$7:$F$246,$B111,'Tasks'!$L$7:$L$246,"Yes")</x:f>
        <x:v>3</x:v>
      </x:c>
      <x:c r="Y111" s="17" t="n">
        <x:f>COUNTIFS('Tasks'!$C$7:$C$246,$A111,'Tasks'!$K$7:$K$246,$D111,'Tasks'!$F$7:$F$246,$B111,'Tasks'!$K$7:$K$246,"Yes")</x:f>
        <x:v>0</x:v>
      </x:c>
      <x:c r="Z111" s="17" t="n">
        <x:f>COUNTIFS('Tasks'!$C$7:$C$246,$A111,'Tasks'!$K$7:$K$246,$D111,'Tasks'!$F$7:$F$246,$B111,'Tasks'!$AA$7:$AA$246,"&gt;0")</x:f>
        <x:v>4</x:v>
      </x:c>
      <x:c r="AA111" s="17" t="n">
        <x:f>COUNTIFS('Tasks'!$C$7:$C$246,$A111,'Tasks'!$K$7:$K$246,$D111,'Tasks'!$F$7:$F$246,$B111,'Tasks'!$AA$7:$AA$246,"&lt;0")</x:f>
        <x:v>0</x:v>
      </x:c>
      <x:c r="AB111" s="19" t="n">
        <x:f>IF(E111=0,"N/A",V111/E111)</x:f>
        <x:v>2</x:v>
      </x:c>
      <x:c r="AC111" s="22" t="n">
        <x:f>IF(E111=0,"N/A",K111/E111)</x:f>
        <x:v>7.111265</x:v>
      </x:c>
      <x:c r="AD111" s="19" t="n">
        <x:f>IF(E111=0,"N/A",P111/E111)</x:f>
        <x:v>1.2099999999999997</x:v>
      </x:c>
    </x:row>
    <x:row r="112" ht="23" customHeight="1">
      <x:c r="A112" s="17" t="str">
        <x:v>C003</x:v>
      </x:c>
      <x:c r="B112" s="17" t="str">
        <x:v>Clean audience data</x:v>
      </x:c>
      <x:c r="C112" s="17" t="str">
        <x:v>brief_changed</x:v>
      </x:c>
      <x:c r="D112" s="17" t="str">
        <x:v>Yes</x:v>
      </x:c>
      <x:c r="E112" s="17" t="n">
        <x:f>COUNTIFS('Tasks'!$C$7:$C$246,$A112,'Tasks'!$K$7:$K$246,$D112,'Tasks'!$F$7:$F$246,$B112)</x:f>
        <x:v>1</x:v>
      </x:c>
      <x:c r="F112" s="17" t="n">
        <x:f>SUMIFS('Tasks'!$O$7:$O$246,'Tasks'!$C$7:$C$246,$A112,'Tasks'!$K$7:$K$246,$D112,'Tasks'!$F$7:$F$246,$B112)</x:f>
        <x:v>547366</x:v>
      </x:c>
      <x:c r="G112" s="17" t="n">
        <x:f>SUMIFS('Tasks'!$P$7:$P$246,'Tasks'!$C$7:$C$246,$A112,'Tasks'!$K$7:$K$246,$D112,'Tasks'!$F$7:$F$246,$B112)</x:f>
        <x:v>124476</x:v>
      </x:c>
      <x:c r="H112" s="17" t="n">
        <x:f>SUMIFS('Tasks'!$Q$7:$Q$246,'Tasks'!$C$7:$C$246,$A112,'Tasks'!$K$7:$K$246,$D112,'Tasks'!$F$7:$F$246,$B112)</x:f>
        <x:v>671842</x:v>
      </x:c>
      <x:c r="I112" s="22" t="n">
        <x:f>SUMIFS('Tasks'!$S$7:$S$246,'Tasks'!$C$7:$C$246,$A112,'Tasks'!$K$7:$K$246,$D112,'Tasks'!$F$7:$F$246,$B112)</x:f>
        <x:v>5.4736600000000015</x:v>
      </x:c>
      <x:c r="J112" s="22" t="n">
        <x:f>SUMIFS('Tasks'!$T$7:$T$246,'Tasks'!$C$7:$C$246,$A112,'Tasks'!$K$7:$K$246,$D112,'Tasks'!$F$7:$F$246,$B112)</x:f>
        <x:v>3.73428</x:v>
      </x:c>
      <x:c r="K112" s="22" t="n">
        <x:f>SUMIFS('Tasks'!$U$7:$U$246,'Tasks'!$C$7:$C$246,$A112,'Tasks'!$K$7:$K$246,$D112,'Tasks'!$F$7:$F$246,$B112)</x:f>
        <x:v>9.20794</x:v>
      </x:c>
      <x:c r="L112" s="17" t="n">
        <x:f>SUMIFS('Tasks'!$R$7:$R$246,'Tasks'!$C$7:$C$246,$A112,'Tasks'!$K$7:$K$246,$D112,'Tasks'!$F$7:$F$246,$B112)</x:f>
        <x:v>19</x:v>
      </x:c>
      <x:c r="M112" s="22" t="n">
        <x:f>IF(L112=0,"N/A",K112/L112)</x:f>
        <x:v>0.4846284210526316</x:v>
      </x:c>
      <x:c r="N112" s="19" t="n">
        <x:f>SUMIFS('Tasks'!$G$7:$G$246,'Tasks'!$C$7:$C$246,$A112,'Tasks'!$K$7:$K$246,$D112,'Tasks'!$F$7:$F$246,$B112)</x:f>
        <x:v>4.7</x:v>
      </x:c>
      <x:c r="O112" s="19" t="n">
        <x:f>SUMIFS('Tasks'!$H$7:$H$246,'Tasks'!$C$7:$C$246,$A112,'Tasks'!$K$7:$K$246,$D112,'Tasks'!$F$7:$F$246,$B112)</x:f>
        <x:v>5.08</x:v>
      </x:c>
      <x:c r="P112" s="19" t="n">
        <x:f>SUMIFS('Tasks'!$Y$7:$Y$246,'Tasks'!$C$7:$C$246,$A112,'Tasks'!$K$7:$K$246,$D112,'Tasks'!$F$7:$F$246,$B112)</x:f>
        <x:v>-0.3799999999999999</x:v>
      </x:c>
      <x:c r="Q112" s="22" t="n">
        <x:f>SUMIFS('Tasks'!$Z$7:$Z$246,'Tasks'!$C$7:$C$246,$A112,'Tasks'!$K$7:$K$246,$D112,'Tasks'!$F$7:$F$246,$B112)</x:f>
        <x:v>-18.999999999999993</x:v>
      </x:c>
      <x:c r="R112" s="22" t="n">
        <x:f>SUMIFS('Tasks'!$AA$7:$AA$246,'Tasks'!$C$7:$C$246,$A112,'Tasks'!$K$7:$K$246,$D112,'Tasks'!$F$7:$F$246,$B112)</x:f>
        <x:v>-28.207939999999994</x:v>
      </x:c>
      <x:c r="S112" s="31" t="n">
        <x:f>IF(K112=0,"N/A",R112/K112)</x:f>
        <x:v>-3.0634365558420225</x:v>
      </x:c>
      <x:c r="T112" s="19" t="n">
        <x:f>SUMIFS('Tasks'!$I$7:$I$246,'Tasks'!$C$7:$C$246,$A112,'Tasks'!$K$7:$K$246,$D112,'Tasks'!$F$7:$F$246,$B112)</x:f>
        <x:v>0.73</x:v>
      </x:c>
      <x:c r="U112" s="31" t="n">
        <x:f>IF(O112=0,"N/A",T112/O112)</x:f>
        <x:v>0.1437007874015748</x:v>
      </x:c>
      <x:c r="V112" s="17" t="n">
        <x:f>SUMIFS('Tasks'!$X$7:$X$246,'Tasks'!$C$7:$C$246,$A112,'Tasks'!$K$7:$K$246,$D112,'Tasks'!$F$7:$F$246,$B112)</x:f>
        <x:v>6</x:v>
      </x:c>
      <x:c r="W112" s="31" t="n">
        <x:f>IF(L112=0,"N/A",V112/L112)</x:f>
        <x:v>0.3157894736842105</x:v>
      </x:c>
      <x:c r="X112" s="17" t="n">
        <x:f>COUNTIFS('Tasks'!$C$7:$C$246,$A112,'Tasks'!$K$7:$K$246,$D112,'Tasks'!$F$7:$F$246,$B112,'Tasks'!$L$7:$L$246,"Yes")</x:f>
        <x:v>0</x:v>
      </x:c>
      <x:c r="Y112" s="17" t="n">
        <x:f>COUNTIFS('Tasks'!$C$7:$C$246,$A112,'Tasks'!$K$7:$K$246,$D112,'Tasks'!$F$7:$F$246,$B112,'Tasks'!$K$7:$K$246,"Yes")</x:f>
        <x:v>1</x:v>
      </x:c>
      <x:c r="Z112" s="17" t="n">
        <x:f>COUNTIFS('Tasks'!$C$7:$C$246,$A112,'Tasks'!$K$7:$K$246,$D112,'Tasks'!$F$7:$F$246,$B112,'Tasks'!$AA$7:$AA$246,"&gt;0")</x:f>
        <x:v>0</x:v>
      </x:c>
      <x:c r="AA112" s="17" t="n">
        <x:f>COUNTIFS('Tasks'!$C$7:$C$246,$A112,'Tasks'!$K$7:$K$246,$D112,'Tasks'!$F$7:$F$246,$B112,'Tasks'!$AA$7:$AA$246,"&lt;0")</x:f>
        <x:v>1</x:v>
      </x:c>
      <x:c r="AB112" s="19" t="n">
        <x:f>IF(E112=0,"N/A",V112/E112)</x:f>
        <x:v>6</x:v>
      </x:c>
      <x:c r="AC112" s="22" t="n">
        <x:f>IF(E112=0,"N/A",K112/E112)</x:f>
        <x:v>9.20794</x:v>
      </x:c>
      <x:c r="AD112" s="19" t="n">
        <x:f>IF(E112=0,"N/A",P112/E112)</x:f>
        <x:v>-0.3799999999999999</x:v>
      </x:c>
    </x:row>
    <x:row r="113" ht="23" customHeight="1">
      <x:c r="A113" s="17" t="str">
        <x:v>C003</x:v>
      </x:c>
      <x:c r="B113" s="17" t="str">
        <x:v>Develop concept brief</x:v>
      </x:c>
      <x:c r="C113" s="17" t="str">
        <x:v>prompt_template_used</x:v>
      </x:c>
      <x:c r="D113" s="17" t="str">
        <x:v>No</x:v>
      </x:c>
      <x:c r="E113" s="17" t="n">
        <x:f>COUNTIFS('Tasks'!$C$7:$C$246,$A113,'Tasks'!$L$7:$L$246,$D113,'Tasks'!$F$7:$F$246,$B113)</x:f>
        <x:v>1</x:v>
      </x:c>
      <x:c r="F113" s="17" t="n">
        <x:f>SUMIFS('Tasks'!$O$7:$O$246,'Tasks'!$C$7:$C$246,$A113,'Tasks'!$L$7:$L$246,$D113,'Tasks'!$F$7:$F$246,$B113)</x:f>
        <x:v>348714</x:v>
      </x:c>
      <x:c r="G113" s="17" t="n">
        <x:f>SUMIFS('Tasks'!$P$7:$P$246,'Tasks'!$C$7:$C$246,$A113,'Tasks'!$L$7:$L$246,$D113,'Tasks'!$F$7:$F$246,$B113)</x:f>
        <x:v>121681</x:v>
      </x:c>
      <x:c r="H113" s="17" t="n">
        <x:f>SUMIFS('Tasks'!$Q$7:$Q$246,'Tasks'!$C$7:$C$246,$A113,'Tasks'!$L$7:$L$246,$D113,'Tasks'!$F$7:$F$246,$B113)</x:f>
        <x:v>470395</x:v>
      </x:c>
      <x:c r="I113" s="22" t="n">
        <x:f>SUMIFS('Tasks'!$S$7:$S$246,'Tasks'!$C$7:$C$246,$A113,'Tasks'!$L$7:$L$246,$D113,'Tasks'!$F$7:$F$246,$B113)</x:f>
        <x:v>13.948559999999999</x:v>
      </x:c>
      <x:c r="J113" s="22" t="n">
        <x:f>SUMIFS('Tasks'!$T$7:$T$246,'Tasks'!$C$7:$C$246,$A113,'Tasks'!$L$7:$L$246,$D113,'Tasks'!$F$7:$F$246,$B113)</x:f>
        <x:v>12.168099999999999</x:v>
      </x:c>
      <x:c r="K113" s="22" t="n">
        <x:f>SUMIFS('Tasks'!$U$7:$U$246,'Tasks'!$C$7:$C$246,$A113,'Tasks'!$L$7:$L$246,$D113,'Tasks'!$F$7:$F$246,$B113)</x:f>
        <x:v>26.116659999999996</x:v>
      </x:c>
      <x:c r="L113" s="17" t="n">
        <x:f>SUMIFS('Tasks'!$R$7:$R$246,'Tasks'!$C$7:$C$246,$A113,'Tasks'!$L$7:$L$246,$D113,'Tasks'!$F$7:$F$246,$B113)</x:f>
        <x:v>13</x:v>
      </x:c>
      <x:c r="M113" s="22" t="n">
        <x:f>IF(L113=0,"N/A",K113/L113)</x:f>
        <x:v>2.0089738461538458</x:v>
      </x:c>
      <x:c r="N113" s="19" t="n">
        <x:f>SUMIFS('Tasks'!$G$7:$G$246,'Tasks'!$C$7:$C$246,$A113,'Tasks'!$L$7:$L$246,$D113,'Tasks'!$F$7:$F$246,$B113)</x:f>
        <x:v>4.51</x:v>
      </x:c>
      <x:c r="O113" s="19" t="n">
        <x:f>SUMIFS('Tasks'!$H$7:$H$246,'Tasks'!$C$7:$C$246,$A113,'Tasks'!$L$7:$L$246,$D113,'Tasks'!$F$7:$F$246,$B113)</x:f>
        <x:v>3.49</x:v>
      </x:c>
      <x:c r="P113" s="19" t="n">
        <x:f>SUMIFS('Tasks'!$Y$7:$Y$246,'Tasks'!$C$7:$C$246,$A113,'Tasks'!$L$7:$L$246,$D113,'Tasks'!$F$7:$F$246,$B113)</x:f>
        <x:v>1.0199999999999996</x:v>
      </x:c>
      <x:c r="Q113" s="22" t="n">
        <x:f>SUMIFS('Tasks'!$Z$7:$Z$246,'Tasks'!$C$7:$C$246,$A113,'Tasks'!$L$7:$L$246,$D113,'Tasks'!$F$7:$F$246,$B113)</x:f>
        <x:v>50.99999999999998</x:v>
      </x:c>
      <x:c r="R113" s="22" t="n">
        <x:f>SUMIFS('Tasks'!$AA$7:$AA$246,'Tasks'!$C$7:$C$246,$A113,'Tasks'!$L$7:$L$246,$D113,'Tasks'!$F$7:$F$246,$B113)</x:f>
        <x:v>24.883339999999983</x:v>
      </x:c>
      <x:c r="S113" s="31" t="n">
        <x:f>IF(K113=0,"N/A",R113/K113)</x:f>
        <x:v>0.9527765035804726</x:v>
      </x:c>
      <x:c r="T113" s="19" t="n">
        <x:f>SUMIFS('Tasks'!$I$7:$I$246,'Tasks'!$C$7:$C$246,$A113,'Tasks'!$L$7:$L$246,$D113,'Tasks'!$F$7:$F$246,$B113)</x:f>
        <x:v>0.66</x:v>
      </x:c>
      <x:c r="U113" s="31" t="n">
        <x:f>IF(O113=0,"N/A",T113/O113)</x:f>
        <x:v>0.18911174785100288</x:v>
      </x:c>
      <x:c r="V113" s="17" t="n">
        <x:f>SUMIFS('Tasks'!$X$7:$X$246,'Tasks'!$C$7:$C$246,$A113,'Tasks'!$L$7:$L$246,$D113,'Tasks'!$F$7:$F$246,$B113)</x:f>
        <x:v>3</x:v>
      </x:c>
      <x:c r="W113" s="31" t="n">
        <x:f>IF(L113=0,"N/A",V113/L113)</x:f>
        <x:v>0.23076923076923078</x:v>
      </x:c>
      <x:c r="X113" s="17" t="n">
        <x:f>COUNTIFS('Tasks'!$C$7:$C$246,$A113,'Tasks'!$L$7:$L$246,$D113,'Tasks'!$F$7:$F$246,$B113,'Tasks'!$L$7:$L$246,"Yes")</x:f>
        <x:v>0</x:v>
      </x:c>
      <x:c r="Y113" s="17" t="n">
        <x:f>COUNTIFS('Tasks'!$C$7:$C$246,$A113,'Tasks'!$L$7:$L$246,$D113,'Tasks'!$F$7:$F$246,$B113,'Tasks'!$K$7:$K$246,"Yes")</x:f>
        <x:v>0</x:v>
      </x:c>
      <x:c r="Z113" s="17" t="n">
        <x:f>COUNTIFS('Tasks'!$C$7:$C$246,$A113,'Tasks'!$L$7:$L$246,$D113,'Tasks'!$F$7:$F$246,$B113,'Tasks'!$AA$7:$AA$246,"&gt;0")</x:f>
        <x:v>1</x:v>
      </x:c>
      <x:c r="AA113" s="17" t="n">
        <x:f>COUNTIFS('Tasks'!$C$7:$C$246,$A113,'Tasks'!$L$7:$L$246,$D113,'Tasks'!$F$7:$F$246,$B113,'Tasks'!$AA$7:$AA$246,"&lt;0")</x:f>
        <x:v>0</x:v>
      </x:c>
      <x:c r="AB113" s="19" t="n">
        <x:f>IF(E113=0,"N/A",V113/E113)</x:f>
        <x:v>3</x:v>
      </x:c>
      <x:c r="AC113" s="22" t="n">
        <x:f>IF(E113=0,"N/A",K113/E113)</x:f>
        <x:v>26.116659999999996</x:v>
      </x:c>
      <x:c r="AD113" s="19" t="n">
        <x:f>IF(E113=0,"N/A",P113/E113)</x:f>
        <x:v>1.0199999999999996</x:v>
      </x:c>
    </x:row>
    <x:row r="114" ht="23" customHeight="1">
      <x:c r="A114" s="17" t="str">
        <x:v>C003</x:v>
      </x:c>
      <x:c r="B114" s="17" t="str">
        <x:v>Develop concept brief</x:v>
      </x:c>
      <x:c r="C114" s="17" t="str">
        <x:v>prompt_template_used</x:v>
      </x:c>
      <x:c r="D114" s="17" t="str">
        <x:v>Yes</x:v>
      </x:c>
      <x:c r="E114" s="17" t="n">
        <x:f>COUNTIFS('Tasks'!$C$7:$C$246,$A114,'Tasks'!$L$7:$L$246,$D114,'Tasks'!$F$7:$F$246,$B114)</x:f>
        <x:v>5</x:v>
      </x:c>
      <x:c r="F114" s="17" t="n">
        <x:f>SUMIFS('Tasks'!$O$7:$O$246,'Tasks'!$C$7:$C$246,$A114,'Tasks'!$L$7:$L$246,$D114,'Tasks'!$F$7:$F$246,$B114)</x:f>
        <x:v>1707706</x:v>
      </x:c>
      <x:c r="G114" s="17" t="n">
        <x:f>SUMIFS('Tasks'!$P$7:$P$246,'Tasks'!$C$7:$C$246,$A114,'Tasks'!$L$7:$L$246,$D114,'Tasks'!$F$7:$F$246,$B114)</x:f>
        <x:v>446594</x:v>
      </x:c>
      <x:c r="H114" s="17" t="n">
        <x:f>SUMIFS('Tasks'!$Q$7:$Q$246,'Tasks'!$C$7:$C$246,$A114,'Tasks'!$L$7:$L$246,$D114,'Tasks'!$F$7:$F$246,$B114)</x:f>
        <x:v>2154300</x:v>
      </x:c>
      <x:c r="I114" s="22" t="n">
        <x:f>SUMIFS('Tasks'!$S$7:$S$246,'Tasks'!$C$7:$C$246,$A114,'Tasks'!$L$7:$L$246,$D114,'Tasks'!$F$7:$F$246,$B114)</x:f>
        <x:v>20.97898</x:v>
      </x:c>
      <x:c r="J114" s="22" t="n">
        <x:f>SUMIFS('Tasks'!$T$7:$T$246,'Tasks'!$C$7:$C$246,$A114,'Tasks'!$L$7:$L$246,$D114,'Tasks'!$F$7:$F$246,$B114)</x:f>
        <x:v>19.36945</x:v>
      </x:c>
      <x:c r="K114" s="22" t="n">
        <x:f>SUMIFS('Tasks'!$U$7:$U$246,'Tasks'!$C$7:$C$246,$A114,'Tasks'!$L$7:$L$246,$D114,'Tasks'!$F$7:$F$246,$B114)</x:f>
        <x:v>40.34843</x:v>
      </x:c>
      <x:c r="L114" s="17" t="n">
        <x:f>SUMIFS('Tasks'!$R$7:$R$246,'Tasks'!$C$7:$C$246,$A114,'Tasks'!$L$7:$L$246,$D114,'Tasks'!$F$7:$F$246,$B114)</x:f>
        <x:v>67</x:v>
      </x:c>
      <x:c r="M114" s="22" t="n">
        <x:f>IF(L114=0,"N/A",K114/L114)</x:f>
        <x:v>0.6022153731343284</x:v>
      </x:c>
      <x:c r="N114" s="19" t="n">
        <x:f>SUMIFS('Tasks'!$G$7:$G$246,'Tasks'!$C$7:$C$246,$A114,'Tasks'!$L$7:$L$246,$D114,'Tasks'!$F$7:$F$246,$B114)</x:f>
        <x:v>20.67</x:v>
      </x:c>
      <x:c r="O114" s="19" t="n">
        <x:f>SUMIFS('Tasks'!$H$7:$H$246,'Tasks'!$C$7:$C$246,$A114,'Tasks'!$L$7:$L$246,$D114,'Tasks'!$F$7:$F$246,$B114)</x:f>
        <x:v>17.049999999999997</x:v>
      </x:c>
      <x:c r="P114" s="19" t="n">
        <x:f>SUMIFS('Tasks'!$Y$7:$Y$246,'Tasks'!$C$7:$C$246,$A114,'Tasks'!$L$7:$L$246,$D114,'Tasks'!$F$7:$F$246,$B114)</x:f>
        <x:v>3.6200000000000006</x:v>
      </x:c>
      <x:c r="Q114" s="22" t="n">
        <x:f>SUMIFS('Tasks'!$Z$7:$Z$246,'Tasks'!$C$7:$C$246,$A114,'Tasks'!$L$7:$L$246,$D114,'Tasks'!$F$7:$F$246,$B114)</x:f>
        <x:v>181.00000000000003</x:v>
      </x:c>
      <x:c r="R114" s="22" t="n">
        <x:f>SUMIFS('Tasks'!$AA$7:$AA$246,'Tasks'!$C$7:$C$246,$A114,'Tasks'!$L$7:$L$246,$D114,'Tasks'!$F$7:$F$246,$B114)</x:f>
        <x:v>140.65157000000002</x:v>
      </x:c>
      <x:c r="S114" s="31" t="n">
        <x:f>IF(K114=0,"N/A",R114/K114)</x:f>
        <x:v>3.485924235465916</x:v>
      </x:c>
      <x:c r="T114" s="19" t="n">
        <x:f>SUMIFS('Tasks'!$I$7:$I$246,'Tasks'!$C$7:$C$246,$A114,'Tasks'!$L$7:$L$246,$D114,'Tasks'!$F$7:$F$246,$B114)</x:f>
        <x:v>1.46</x:v>
      </x:c>
      <x:c r="U114" s="31" t="n">
        <x:f>IF(O114=0,"N/A",T114/O114)</x:f>
        <x:v>0.08563049853372436</x:v>
      </x:c>
      <x:c r="V114" s="17" t="n">
        <x:f>SUMIFS('Tasks'!$X$7:$X$246,'Tasks'!$C$7:$C$246,$A114,'Tasks'!$L$7:$L$246,$D114,'Tasks'!$F$7:$F$246,$B114)</x:f>
        <x:v>15</x:v>
      </x:c>
      <x:c r="W114" s="31" t="n">
        <x:f>IF(L114=0,"N/A",V114/L114)</x:f>
        <x:v>0.22388059701492538</x:v>
      </x:c>
      <x:c r="X114" s="17" t="n">
        <x:f>COUNTIFS('Tasks'!$C$7:$C$246,$A114,'Tasks'!$L$7:$L$246,$D114,'Tasks'!$F$7:$F$246,$B114,'Tasks'!$L$7:$L$246,"Yes")</x:f>
        <x:v>5</x:v>
      </x:c>
      <x:c r="Y114" s="17" t="n">
        <x:f>COUNTIFS('Tasks'!$C$7:$C$246,$A114,'Tasks'!$L$7:$L$246,$D114,'Tasks'!$F$7:$F$246,$B114,'Tasks'!$K$7:$K$246,"Yes")</x:f>
        <x:v>2</x:v>
      </x:c>
      <x:c r="Z114" s="17" t="n">
        <x:f>COUNTIFS('Tasks'!$C$7:$C$246,$A114,'Tasks'!$L$7:$L$246,$D114,'Tasks'!$F$7:$F$246,$B114,'Tasks'!$AA$7:$AA$246,"&gt;0")</x:f>
        <x:v>4</x:v>
      </x:c>
      <x:c r="AA114" s="17" t="n">
        <x:f>COUNTIFS('Tasks'!$C$7:$C$246,$A114,'Tasks'!$L$7:$L$246,$D114,'Tasks'!$F$7:$F$246,$B114,'Tasks'!$AA$7:$AA$246,"&lt;0")</x:f>
        <x:v>1</x:v>
      </x:c>
      <x:c r="AB114" s="19" t="n">
        <x:f>IF(E114=0,"N/A",V114/E114)</x:f>
        <x:v>3</x:v>
      </x:c>
      <x:c r="AC114" s="22" t="n">
        <x:f>IF(E114=0,"N/A",K114/E114)</x:f>
        <x:v>8.069686</x:v>
      </x:c>
      <x:c r="AD114" s="19" t="n">
        <x:f>IF(E114=0,"N/A",P114/E114)</x:f>
        <x:v>0.7240000000000001</x:v>
      </x:c>
    </x:row>
    <x:row r="115" ht="23" customHeight="1">
      <x:c r="A115" s="17" t="str">
        <x:v>C003</x:v>
      </x:c>
      <x:c r="B115" s="17" t="str">
        <x:v>Develop concept brief</x:v>
      </x:c>
      <x:c r="C115" s="17" t="str">
        <x:v>brief_changed</x:v>
      </x:c>
      <x:c r="D115" s="17" t="str">
        <x:v>No</x:v>
      </x:c>
      <x:c r="E115" s="17" t="n">
        <x:f>COUNTIFS('Tasks'!$C$7:$C$246,$A115,'Tasks'!$K$7:$K$246,$D115,'Tasks'!$F$7:$F$246,$B115)</x:f>
        <x:v>4</x:v>
      </x:c>
      <x:c r="F115" s="17" t="n">
        <x:f>SUMIFS('Tasks'!$O$7:$O$246,'Tasks'!$C$7:$C$246,$A115,'Tasks'!$K$7:$K$246,$D115,'Tasks'!$F$7:$F$246,$B115)</x:f>
        <x:v>1633851</x:v>
      </x:c>
      <x:c r="G115" s="17" t="n">
        <x:f>SUMIFS('Tasks'!$P$7:$P$246,'Tasks'!$C$7:$C$246,$A115,'Tasks'!$K$7:$K$246,$D115,'Tasks'!$F$7:$F$246,$B115)</x:f>
        <x:v>395037</x:v>
      </x:c>
      <x:c r="H115" s="17" t="n">
        <x:f>SUMIFS('Tasks'!$Q$7:$Q$246,'Tasks'!$C$7:$C$246,$A115,'Tasks'!$K$7:$K$246,$D115,'Tasks'!$F$7:$F$246,$B115)</x:f>
        <x:v>2028888</x:v>
      </x:c>
      <x:c r="I115" s="22" t="n">
        <x:f>SUMIFS('Tasks'!$S$7:$S$246,'Tasks'!$C$7:$C$246,$A115,'Tasks'!$K$7:$K$246,$D115,'Tasks'!$F$7:$F$246,$B115)</x:f>
        <x:v>26.799929999999996</x:v>
      </x:c>
      <x:c r="J115" s="22" t="n">
        <x:f>SUMIFS('Tasks'!$T$7:$T$246,'Tasks'!$C$7:$C$246,$A115,'Tasks'!$K$7:$K$246,$D115,'Tasks'!$F$7:$F$246,$B115)</x:f>
        <x:v>20.368779999999997</x:v>
      </x:c>
      <x:c r="K115" s="22" t="n">
        <x:f>SUMIFS('Tasks'!$U$7:$U$246,'Tasks'!$C$7:$C$246,$A115,'Tasks'!$K$7:$K$246,$D115,'Tasks'!$F$7:$F$246,$B115)</x:f>
        <x:v>47.16871</x:v>
      </x:c>
      <x:c r="L115" s="17" t="n">
        <x:f>SUMIFS('Tasks'!$R$7:$R$246,'Tasks'!$C$7:$C$246,$A115,'Tasks'!$K$7:$K$246,$D115,'Tasks'!$F$7:$F$246,$B115)</x:f>
        <x:v>59</x:v>
      </x:c>
      <x:c r="M115" s="22" t="n">
        <x:f>IF(L115=0,"N/A",K115/L115)</x:f>
        <x:v>0.799469661016949</x:v>
      </x:c>
      <x:c r="N115" s="19" t="n">
        <x:f>SUMIFS('Tasks'!$G$7:$G$246,'Tasks'!$C$7:$C$246,$A115,'Tasks'!$K$7:$K$246,$D115,'Tasks'!$F$7:$F$246,$B115)</x:f>
        <x:v>17.34</x:v>
      </x:c>
      <x:c r="O115" s="19" t="n">
        <x:f>SUMIFS('Tasks'!$H$7:$H$246,'Tasks'!$C$7:$C$246,$A115,'Tasks'!$K$7:$K$246,$D115,'Tasks'!$F$7:$F$246,$B115)</x:f>
        <x:v>15.66</x:v>
      </x:c>
      <x:c r="P115" s="19" t="n">
        <x:f>SUMIFS('Tasks'!$Y$7:$Y$246,'Tasks'!$C$7:$C$246,$A115,'Tasks'!$K$7:$K$246,$D115,'Tasks'!$F$7:$F$246,$B115)</x:f>
        <x:v>1.6800000000000002</x:v>
      </x:c>
      <x:c r="Q115" s="22" t="n">
        <x:f>SUMIFS('Tasks'!$Z$7:$Z$246,'Tasks'!$C$7:$C$246,$A115,'Tasks'!$K$7:$K$246,$D115,'Tasks'!$F$7:$F$246,$B115)</x:f>
        <x:v>84.00000000000001</x:v>
      </x:c>
      <x:c r="R115" s="22" t="n">
        <x:f>SUMIFS('Tasks'!$AA$7:$AA$246,'Tasks'!$C$7:$C$246,$A115,'Tasks'!$K$7:$K$246,$D115,'Tasks'!$F$7:$F$246,$B115)</x:f>
        <x:v>36.83129000000001</x:v>
      </x:c>
      <x:c r="S115" s="31" t="n">
        <x:f>IF(K115=0,"N/A",R115/K115)</x:f>
        <x:v>0.7808415790891888</x:v>
      </x:c>
      <x:c r="T115" s="19" t="n">
        <x:f>SUMIFS('Tasks'!$I$7:$I$246,'Tasks'!$C$7:$C$246,$A115,'Tasks'!$K$7:$K$246,$D115,'Tasks'!$F$7:$F$246,$B115)</x:f>
        <x:v>1.54</x:v>
      </x:c>
      <x:c r="U115" s="31" t="n">
        <x:f>IF(O115=0,"N/A",T115/O115)</x:f>
        <x:v>0.0983397190293742</x:v>
      </x:c>
      <x:c r="V115" s="17" t="n">
        <x:f>SUMIFS('Tasks'!$X$7:$X$246,'Tasks'!$C$7:$C$246,$A115,'Tasks'!$K$7:$K$246,$D115,'Tasks'!$F$7:$F$246,$B115)</x:f>
        <x:v>13</x:v>
      </x:c>
      <x:c r="W115" s="31" t="n">
        <x:f>IF(L115=0,"N/A",V115/L115)</x:f>
        <x:v>0.22033898305084745</x:v>
      </x:c>
      <x:c r="X115" s="17" t="n">
        <x:f>COUNTIFS('Tasks'!$C$7:$C$246,$A115,'Tasks'!$K$7:$K$246,$D115,'Tasks'!$F$7:$F$246,$B115,'Tasks'!$L$7:$L$246,"Yes")</x:f>
        <x:v>3</x:v>
      </x:c>
      <x:c r="Y115" s="17" t="n">
        <x:f>COUNTIFS('Tasks'!$C$7:$C$246,$A115,'Tasks'!$K$7:$K$246,$D115,'Tasks'!$F$7:$F$246,$B115,'Tasks'!$K$7:$K$246,"Yes")</x:f>
        <x:v>0</x:v>
      </x:c>
      <x:c r="Z115" s="17" t="n">
        <x:f>COUNTIFS('Tasks'!$C$7:$C$246,$A115,'Tasks'!$K$7:$K$246,$D115,'Tasks'!$F$7:$F$246,$B115,'Tasks'!$AA$7:$AA$246,"&gt;0")</x:f>
        <x:v>3</x:v>
      </x:c>
      <x:c r="AA115" s="17" t="n">
        <x:f>COUNTIFS('Tasks'!$C$7:$C$246,$A115,'Tasks'!$K$7:$K$246,$D115,'Tasks'!$F$7:$F$246,$B115,'Tasks'!$AA$7:$AA$246,"&lt;0")</x:f>
        <x:v>1</x:v>
      </x:c>
      <x:c r="AB115" s="19" t="n">
        <x:f>IF(E115=0,"N/A",V115/E115)</x:f>
        <x:v>3.25</x:v>
      </x:c>
      <x:c r="AC115" s="22" t="n">
        <x:f>IF(E115=0,"N/A",K115/E115)</x:f>
        <x:v>11.7921775</x:v>
      </x:c>
      <x:c r="AD115" s="19" t="n">
        <x:f>IF(E115=0,"N/A",P115/E115)</x:f>
        <x:v>0.42000000000000004</x:v>
      </x:c>
    </x:row>
    <x:row r="116" ht="23" customHeight="1">
      <x:c r="A116" s="17" t="str">
        <x:v>C003</x:v>
      </x:c>
      <x:c r="B116" s="17" t="str">
        <x:v>Develop concept brief</x:v>
      </x:c>
      <x:c r="C116" s="17" t="str">
        <x:v>brief_changed</x:v>
      </x:c>
      <x:c r="D116" s="17" t="str">
        <x:v>Yes</x:v>
      </x:c>
      <x:c r="E116" s="17" t="n">
        <x:f>COUNTIFS('Tasks'!$C$7:$C$246,$A116,'Tasks'!$K$7:$K$246,$D116,'Tasks'!$F$7:$F$246,$B116)</x:f>
        <x:v>2</x:v>
      </x:c>
      <x:c r="F116" s="17" t="n">
        <x:f>SUMIFS('Tasks'!$O$7:$O$246,'Tasks'!$C$7:$C$246,$A116,'Tasks'!$K$7:$K$246,$D116,'Tasks'!$F$7:$F$246,$B116)</x:f>
        <x:v>422569</x:v>
      </x:c>
      <x:c r="G116" s="17" t="n">
        <x:f>SUMIFS('Tasks'!$P$7:$P$246,'Tasks'!$C$7:$C$246,$A116,'Tasks'!$K$7:$K$246,$D116,'Tasks'!$F$7:$F$246,$B116)</x:f>
        <x:v>173238</x:v>
      </x:c>
      <x:c r="H116" s="17" t="n">
        <x:f>SUMIFS('Tasks'!$Q$7:$Q$246,'Tasks'!$C$7:$C$246,$A116,'Tasks'!$K$7:$K$246,$D116,'Tasks'!$F$7:$F$246,$B116)</x:f>
        <x:v>595807</x:v>
      </x:c>
      <x:c r="I116" s="22" t="n">
        <x:f>SUMIFS('Tasks'!$S$7:$S$246,'Tasks'!$C$7:$C$246,$A116,'Tasks'!$K$7:$K$246,$D116,'Tasks'!$F$7:$F$246,$B116)</x:f>
        <x:v>8.12761</x:v>
      </x:c>
      <x:c r="J116" s="22" t="n">
        <x:f>SUMIFS('Tasks'!$T$7:$T$246,'Tasks'!$C$7:$C$246,$A116,'Tasks'!$K$7:$K$246,$D116,'Tasks'!$F$7:$F$246,$B116)</x:f>
        <x:v>11.168770000000002</x:v>
      </x:c>
      <x:c r="K116" s="22" t="n">
        <x:f>SUMIFS('Tasks'!$U$7:$U$246,'Tasks'!$C$7:$C$246,$A116,'Tasks'!$K$7:$K$246,$D116,'Tasks'!$F$7:$F$246,$B116)</x:f>
        <x:v>19.29638</x:v>
      </x:c>
      <x:c r="L116" s="17" t="n">
        <x:f>SUMIFS('Tasks'!$R$7:$R$246,'Tasks'!$C$7:$C$246,$A116,'Tasks'!$K$7:$K$246,$D116,'Tasks'!$F$7:$F$246,$B116)</x:f>
        <x:v>21</x:v>
      </x:c>
      <x:c r="M116" s="22" t="n">
        <x:f>IF(L116=0,"N/A",K116/L116)</x:f>
        <x:v>0.9188752380952381</x:v>
      </x:c>
      <x:c r="N116" s="19" t="n">
        <x:f>SUMIFS('Tasks'!$G$7:$G$246,'Tasks'!$C$7:$C$246,$A116,'Tasks'!$K$7:$K$246,$D116,'Tasks'!$F$7:$F$246,$B116)</x:f>
        <x:v>7.84</x:v>
      </x:c>
      <x:c r="O116" s="19" t="n">
        <x:f>SUMIFS('Tasks'!$H$7:$H$246,'Tasks'!$C$7:$C$246,$A116,'Tasks'!$K$7:$K$246,$D116,'Tasks'!$F$7:$F$246,$B116)</x:f>
        <x:v>4.88</x:v>
      </x:c>
      <x:c r="P116" s="19" t="n">
        <x:f>SUMIFS('Tasks'!$Y$7:$Y$246,'Tasks'!$C$7:$C$246,$A116,'Tasks'!$K$7:$K$246,$D116,'Tasks'!$F$7:$F$246,$B116)</x:f>
        <x:v>2.96</x:v>
      </x:c>
      <x:c r="Q116" s="22" t="n">
        <x:f>SUMIFS('Tasks'!$Z$7:$Z$246,'Tasks'!$C$7:$C$246,$A116,'Tasks'!$K$7:$K$246,$D116,'Tasks'!$F$7:$F$246,$B116)</x:f>
        <x:v>148</x:v>
      </x:c>
      <x:c r="R116" s="22" t="n">
        <x:f>SUMIFS('Tasks'!$AA$7:$AA$246,'Tasks'!$C$7:$C$246,$A116,'Tasks'!$K$7:$K$246,$D116,'Tasks'!$F$7:$F$246,$B116)</x:f>
        <x:v>128.70362</x:v>
      </x:c>
      <x:c r="S116" s="31" t="n">
        <x:f>IF(K116=0,"N/A",R116/K116)</x:f>
        <x:v>6.669832372704104</x:v>
      </x:c>
      <x:c r="T116" s="19" t="n">
        <x:f>SUMIFS('Tasks'!$I$7:$I$246,'Tasks'!$C$7:$C$246,$A116,'Tasks'!$K$7:$K$246,$D116,'Tasks'!$F$7:$F$246,$B116)</x:f>
        <x:v>0.5800000000000001</x:v>
      </x:c>
      <x:c r="U116" s="31" t="n">
        <x:f>IF(O116=0,"N/A",T116/O116)</x:f>
        <x:v>0.11885245901639346</x:v>
      </x:c>
      <x:c r="V116" s="17" t="n">
        <x:f>SUMIFS('Tasks'!$X$7:$X$246,'Tasks'!$C$7:$C$246,$A116,'Tasks'!$K$7:$K$246,$D116,'Tasks'!$F$7:$F$246,$B116)</x:f>
        <x:v>5</x:v>
      </x:c>
      <x:c r="W116" s="31" t="n">
        <x:f>IF(L116=0,"N/A",V116/L116)</x:f>
        <x:v>0.23809523809523808</x:v>
      </x:c>
      <x:c r="X116" s="17" t="n">
        <x:f>COUNTIFS('Tasks'!$C$7:$C$246,$A116,'Tasks'!$K$7:$K$246,$D116,'Tasks'!$F$7:$F$246,$B116,'Tasks'!$L$7:$L$246,"Yes")</x:f>
        <x:v>2</x:v>
      </x:c>
      <x:c r="Y116" s="17" t="n">
        <x:f>COUNTIFS('Tasks'!$C$7:$C$246,$A116,'Tasks'!$K$7:$K$246,$D116,'Tasks'!$F$7:$F$246,$B116,'Tasks'!$K$7:$K$246,"Yes")</x:f>
        <x:v>2</x:v>
      </x:c>
      <x:c r="Z116" s="17" t="n">
        <x:f>COUNTIFS('Tasks'!$C$7:$C$246,$A116,'Tasks'!$K$7:$K$246,$D116,'Tasks'!$F$7:$F$246,$B116,'Tasks'!$AA$7:$AA$246,"&gt;0")</x:f>
        <x:v>2</x:v>
      </x:c>
      <x:c r="AA116" s="17" t="n">
        <x:f>COUNTIFS('Tasks'!$C$7:$C$246,$A116,'Tasks'!$K$7:$K$246,$D116,'Tasks'!$F$7:$F$246,$B116,'Tasks'!$AA$7:$AA$246,"&lt;0")</x:f>
        <x:v>0</x:v>
      </x:c>
      <x:c r="AB116" s="19" t="n">
        <x:f>IF(E116=0,"N/A",V116/E116)</x:f>
        <x:v>2.5</x:v>
      </x:c>
      <x:c r="AC116" s="22" t="n">
        <x:f>IF(E116=0,"N/A",K116/E116)</x:f>
        <x:v>9.64819</x:v>
      </x:c>
      <x:c r="AD116" s="19" t="n">
        <x:f>IF(E116=0,"N/A",P116/E116)</x:f>
        <x:v>1.48</x:v>
      </x:c>
    </x:row>
    <x:row r="117" ht="23" customHeight="1">
      <x:c r="A117" s="17" t="str">
        <x:v>C003</x:v>
      </x:c>
      <x:c r="B117" s="17" t="str">
        <x:v>Draft email sequence</x:v>
      </x:c>
      <x:c r="C117" s="17" t="str">
        <x:v>prompt_template_used</x:v>
      </x:c>
      <x:c r="D117" s="17" t="str">
        <x:v>No</x:v>
      </x:c>
      <x:c r="E117" s="17" t="n">
        <x:f>COUNTIFS('Tasks'!$C$7:$C$246,$A117,'Tasks'!$L$7:$L$246,$D117,'Tasks'!$F$7:$F$246,$B117)</x:f>
        <x:v>1</x:v>
      </x:c>
      <x:c r="F117" s="17" t="n">
        <x:f>SUMIFS('Tasks'!$O$7:$O$246,'Tasks'!$C$7:$C$246,$A117,'Tasks'!$L$7:$L$246,$D117,'Tasks'!$F$7:$F$246,$B117)</x:f>
        <x:v>339618</x:v>
      </x:c>
      <x:c r="G117" s="17" t="n">
        <x:f>SUMIFS('Tasks'!$P$7:$P$246,'Tasks'!$C$7:$C$246,$A117,'Tasks'!$L$7:$L$246,$D117,'Tasks'!$F$7:$F$246,$B117)</x:f>
        <x:v>64704</x:v>
      </x:c>
      <x:c r="H117" s="17" t="n">
        <x:f>SUMIFS('Tasks'!$Q$7:$Q$246,'Tasks'!$C$7:$C$246,$A117,'Tasks'!$L$7:$L$246,$D117,'Tasks'!$F$7:$F$246,$B117)</x:f>
        <x:v>404322</x:v>
      </x:c>
      <x:c r="I117" s="22" t="n">
        <x:f>SUMIFS('Tasks'!$S$7:$S$246,'Tasks'!$C$7:$C$246,$A117,'Tasks'!$L$7:$L$246,$D117,'Tasks'!$F$7:$F$246,$B117)</x:f>
        <x:v>3.3961799999999998</x:v>
      </x:c>
      <x:c r="J117" s="22" t="n">
        <x:f>SUMIFS('Tasks'!$T$7:$T$246,'Tasks'!$C$7:$C$246,$A117,'Tasks'!$L$7:$L$246,$D117,'Tasks'!$F$7:$F$246,$B117)</x:f>
        <x:v>1.9411199999999997</x:v>
      </x:c>
      <x:c r="K117" s="22" t="n">
        <x:f>SUMIFS('Tasks'!$U$7:$U$246,'Tasks'!$C$7:$C$246,$A117,'Tasks'!$L$7:$L$246,$D117,'Tasks'!$F$7:$F$246,$B117)</x:f>
        <x:v>5.337300000000001</x:v>
      </x:c>
      <x:c r="L117" s="17" t="n">
        <x:f>SUMIFS('Tasks'!$R$7:$R$246,'Tasks'!$C$7:$C$246,$A117,'Tasks'!$L$7:$L$246,$D117,'Tasks'!$F$7:$F$246,$B117)</x:f>
        <x:v>11</x:v>
      </x:c>
      <x:c r="M117" s="22" t="n">
        <x:f>IF(L117=0,"N/A",K117/L117)</x:f>
        <x:v>0.485209090909091</x:v>
      </x:c>
      <x:c r="N117" s="19" t="n">
        <x:f>SUMIFS('Tasks'!$G$7:$G$246,'Tasks'!$C$7:$C$246,$A117,'Tasks'!$L$7:$L$246,$D117,'Tasks'!$F$7:$F$246,$B117)</x:f>
        <x:v>4.68</x:v>
      </x:c>
      <x:c r="O117" s="19" t="n">
        <x:f>SUMIFS('Tasks'!$H$7:$H$246,'Tasks'!$C$7:$C$246,$A117,'Tasks'!$L$7:$L$246,$D117,'Tasks'!$F$7:$F$246,$B117)</x:f>
        <x:v>2.68</x:v>
      </x:c>
      <x:c r="P117" s="19" t="n">
        <x:f>SUMIFS('Tasks'!$Y$7:$Y$246,'Tasks'!$C$7:$C$246,$A117,'Tasks'!$L$7:$L$246,$D117,'Tasks'!$F$7:$F$246,$B117)</x:f>
        <x:v>1.9999999999999996</x:v>
      </x:c>
      <x:c r="Q117" s="22" t="n">
        <x:f>SUMIFS('Tasks'!$Z$7:$Z$246,'Tasks'!$C$7:$C$246,$A117,'Tasks'!$L$7:$L$246,$D117,'Tasks'!$F$7:$F$246,$B117)</x:f>
        <x:v>99.99999999999997</x:v>
      </x:c>
      <x:c r="R117" s="22" t="n">
        <x:f>SUMIFS('Tasks'!$AA$7:$AA$246,'Tasks'!$C$7:$C$246,$A117,'Tasks'!$L$7:$L$246,$D117,'Tasks'!$F$7:$F$246,$B117)</x:f>
        <x:v>94.66269999999997</x:v>
      </x:c>
      <x:c r="S117" s="31" t="n">
        <x:f>IF(K117=0,"N/A",R117/K117)</x:f>
        <x:v>17.736065051617853</x:v>
      </x:c>
      <x:c r="T117" s="19" t="n">
        <x:f>SUMIFS('Tasks'!$I$7:$I$246,'Tasks'!$C$7:$C$246,$A117,'Tasks'!$L$7:$L$246,$D117,'Tasks'!$F$7:$F$246,$B117)</x:f>
        <x:v>0.28</x:v>
      </x:c>
      <x:c r="U117" s="31" t="n">
        <x:f>IF(O117=0,"N/A",T117/O117)</x:f>
        <x:v>0.10447761194029852</x:v>
      </x:c>
      <x:c r="V117" s="17" t="n">
        <x:f>SUMIFS('Tasks'!$X$7:$X$246,'Tasks'!$C$7:$C$246,$A117,'Tasks'!$L$7:$L$246,$D117,'Tasks'!$F$7:$F$246,$B117)</x:f>
        <x:v>2</x:v>
      </x:c>
      <x:c r="W117" s="31" t="n">
        <x:f>IF(L117=0,"N/A",V117/L117)</x:f>
        <x:v>0.18181818181818182</x:v>
      </x:c>
      <x:c r="X117" s="17" t="n">
        <x:f>COUNTIFS('Tasks'!$C$7:$C$246,$A117,'Tasks'!$L$7:$L$246,$D117,'Tasks'!$F$7:$F$246,$B117,'Tasks'!$L$7:$L$246,"Yes")</x:f>
        <x:v>0</x:v>
      </x:c>
      <x:c r="Y117" s="17" t="n">
        <x:f>COUNTIFS('Tasks'!$C$7:$C$246,$A117,'Tasks'!$L$7:$L$246,$D117,'Tasks'!$F$7:$F$246,$B117,'Tasks'!$K$7:$K$246,"Yes")</x:f>
        <x:v>0</x:v>
      </x:c>
      <x:c r="Z117" s="17" t="n">
        <x:f>COUNTIFS('Tasks'!$C$7:$C$246,$A117,'Tasks'!$L$7:$L$246,$D117,'Tasks'!$F$7:$F$246,$B117,'Tasks'!$AA$7:$AA$246,"&gt;0")</x:f>
        <x:v>1</x:v>
      </x:c>
      <x:c r="AA117" s="17" t="n">
        <x:f>COUNTIFS('Tasks'!$C$7:$C$246,$A117,'Tasks'!$L$7:$L$246,$D117,'Tasks'!$F$7:$F$246,$B117,'Tasks'!$AA$7:$AA$246,"&lt;0")</x:f>
        <x:v>0</x:v>
      </x:c>
      <x:c r="AB117" s="19" t="n">
        <x:f>IF(E117=0,"N/A",V117/E117)</x:f>
        <x:v>2</x:v>
      </x:c>
      <x:c r="AC117" s="22" t="n">
        <x:f>IF(E117=0,"N/A",K117/E117)</x:f>
        <x:v>5.337300000000001</x:v>
      </x:c>
      <x:c r="AD117" s="19" t="n">
        <x:f>IF(E117=0,"N/A",P117/E117)</x:f>
        <x:v>1.9999999999999996</x:v>
      </x:c>
    </x:row>
    <x:row r="118" ht="23" customHeight="1">
      <x:c r="A118" s="17" t="str">
        <x:v>C003</x:v>
      </x:c>
      <x:c r="B118" s="17" t="str">
        <x:v>Draft email sequence</x:v>
      </x:c>
      <x:c r="C118" s="17" t="str">
        <x:v>prompt_template_used</x:v>
      </x:c>
      <x:c r="D118" s="17" t="str">
        <x:v>Yes</x:v>
      </x:c>
      <x:c r="E118" s="17" t="n">
        <x:f>COUNTIFS('Tasks'!$C$7:$C$246,$A118,'Tasks'!$L$7:$L$246,$D118,'Tasks'!$F$7:$F$246,$B118)</x:f>
        <x:v>4</x:v>
      </x:c>
      <x:c r="F118" s="17" t="n">
        <x:f>SUMIFS('Tasks'!$O$7:$O$246,'Tasks'!$C$7:$C$246,$A118,'Tasks'!$L$7:$L$246,$D118,'Tasks'!$F$7:$F$246,$B118)</x:f>
        <x:v>1236663</x:v>
      </x:c>
      <x:c r="G118" s="17" t="n">
        <x:f>SUMIFS('Tasks'!$P$7:$P$246,'Tasks'!$C$7:$C$246,$A118,'Tasks'!$L$7:$L$246,$D118,'Tasks'!$F$7:$F$246,$B118)</x:f>
        <x:v>323494</x:v>
      </x:c>
      <x:c r="H118" s="17" t="n">
        <x:f>SUMIFS('Tasks'!$Q$7:$Q$246,'Tasks'!$C$7:$C$246,$A118,'Tasks'!$L$7:$L$246,$D118,'Tasks'!$F$7:$F$246,$B118)</x:f>
        <x:v>1560157</x:v>
      </x:c>
      <x:c r="I118" s="22" t="n">
        <x:f>SUMIFS('Tasks'!$S$7:$S$246,'Tasks'!$C$7:$C$246,$A118,'Tasks'!$L$7:$L$246,$D118,'Tasks'!$F$7:$F$246,$B118)</x:f>
        <x:v>36.43245</x:v>
      </x:c>
      <x:c r="J118" s="22" t="n">
        <x:f>SUMIFS('Tasks'!$T$7:$T$246,'Tasks'!$C$7:$C$246,$A118,'Tasks'!$L$7:$L$246,$D118,'Tasks'!$F$7:$F$246,$B118)</x:f>
        <x:v>27.29484</x:v>
      </x:c>
      <x:c r="K118" s="22" t="n">
        <x:f>SUMIFS('Tasks'!$U$7:$U$246,'Tasks'!$C$7:$C$246,$A118,'Tasks'!$L$7:$L$246,$D118,'Tasks'!$F$7:$F$246,$B118)</x:f>
        <x:v>63.727289999999996</x:v>
      </x:c>
      <x:c r="L118" s="17" t="n">
        <x:f>SUMIFS('Tasks'!$R$7:$R$246,'Tasks'!$C$7:$C$246,$A118,'Tasks'!$L$7:$L$246,$D118,'Tasks'!$F$7:$F$246,$B118)</x:f>
        <x:v>45</x:v>
      </x:c>
      <x:c r="M118" s="22" t="n">
        <x:f>IF(L118=0,"N/A",K118/L118)</x:f>
        <x:v>1.416162</x:v>
      </x:c>
      <x:c r="N118" s="19" t="n">
        <x:f>SUMIFS('Tasks'!$G$7:$G$246,'Tasks'!$C$7:$C$246,$A118,'Tasks'!$L$7:$L$246,$D118,'Tasks'!$F$7:$F$246,$B118)</x:f>
        <x:v>12.02</x:v>
      </x:c>
      <x:c r="O118" s="19" t="n">
        <x:f>SUMIFS('Tasks'!$H$7:$H$246,'Tasks'!$C$7:$C$246,$A118,'Tasks'!$L$7:$L$246,$D118,'Tasks'!$F$7:$F$246,$B118)</x:f>
        <x:v>9.420000000000002</x:v>
      </x:c>
      <x:c r="P118" s="19" t="n">
        <x:f>SUMIFS('Tasks'!$Y$7:$Y$246,'Tasks'!$C$7:$C$246,$A118,'Tasks'!$L$7:$L$246,$D118,'Tasks'!$F$7:$F$246,$B118)</x:f>
        <x:v>2.6</x:v>
      </x:c>
      <x:c r="Q118" s="22" t="n">
        <x:f>SUMIFS('Tasks'!$Z$7:$Z$246,'Tasks'!$C$7:$C$246,$A118,'Tasks'!$L$7:$L$246,$D118,'Tasks'!$F$7:$F$246,$B118)</x:f>
        <x:v>130</x:v>
      </x:c>
      <x:c r="R118" s="22" t="n">
        <x:f>SUMIFS('Tasks'!$AA$7:$AA$246,'Tasks'!$C$7:$C$246,$A118,'Tasks'!$L$7:$L$246,$D118,'Tasks'!$F$7:$F$246,$B118)</x:f>
        <x:v>66.27271</x:v>
      </x:c>
      <x:c r="S118" s="31" t="n">
        <x:f>IF(K118=0,"N/A",R118/K118)</x:f>
        <x:v>1.0399423857502808</x:v>
      </x:c>
      <x:c r="T118" s="19" t="n">
        <x:f>SUMIFS('Tasks'!$I$7:$I$246,'Tasks'!$C$7:$C$246,$A118,'Tasks'!$L$7:$L$246,$D118,'Tasks'!$F$7:$F$246,$B118)</x:f>
        <x:v>1.02</x:v>
      </x:c>
      <x:c r="U118" s="31" t="n">
        <x:f>IF(O118=0,"N/A",T118/O118)</x:f>
        <x:v>0.10828025477707004</x:v>
      </x:c>
      <x:c r="V118" s="17" t="n">
        <x:f>SUMIFS('Tasks'!$X$7:$X$246,'Tasks'!$C$7:$C$246,$A118,'Tasks'!$L$7:$L$246,$D118,'Tasks'!$F$7:$F$246,$B118)</x:f>
        <x:v>11</x:v>
      </x:c>
      <x:c r="W118" s="31" t="n">
        <x:f>IF(L118=0,"N/A",V118/L118)</x:f>
        <x:v>0.24444444444444444</x:v>
      </x:c>
      <x:c r="X118" s="17" t="n">
        <x:f>COUNTIFS('Tasks'!$C$7:$C$246,$A118,'Tasks'!$L$7:$L$246,$D118,'Tasks'!$F$7:$F$246,$B118,'Tasks'!$L$7:$L$246,"Yes")</x:f>
        <x:v>4</x:v>
      </x:c>
      <x:c r="Y118" s="17" t="n">
        <x:f>COUNTIFS('Tasks'!$C$7:$C$246,$A118,'Tasks'!$L$7:$L$246,$D118,'Tasks'!$F$7:$F$246,$B118,'Tasks'!$K$7:$K$246,"Yes")</x:f>
        <x:v>1</x:v>
      </x:c>
      <x:c r="Z118" s="17" t="n">
        <x:f>COUNTIFS('Tasks'!$C$7:$C$246,$A118,'Tasks'!$L$7:$L$246,$D118,'Tasks'!$F$7:$F$246,$B118,'Tasks'!$AA$7:$AA$246,"&gt;0")</x:f>
        <x:v>2</x:v>
      </x:c>
      <x:c r="AA118" s="17" t="n">
        <x:f>COUNTIFS('Tasks'!$C$7:$C$246,$A118,'Tasks'!$L$7:$L$246,$D118,'Tasks'!$F$7:$F$246,$B118,'Tasks'!$AA$7:$AA$246,"&lt;0")</x:f>
        <x:v>2</x:v>
      </x:c>
      <x:c r="AB118" s="19" t="n">
        <x:f>IF(E118=0,"N/A",V118/E118)</x:f>
        <x:v>2.75</x:v>
      </x:c>
      <x:c r="AC118" s="22" t="n">
        <x:f>IF(E118=0,"N/A",K118/E118)</x:f>
        <x:v>15.931822499999999</x:v>
      </x:c>
      <x:c r="AD118" s="19" t="n">
        <x:f>IF(E118=0,"N/A",P118/E118)</x:f>
        <x:v>0.65</x:v>
      </x:c>
    </x:row>
    <x:row r="119" ht="23" customHeight="1">
      <x:c r="A119" s="17" t="str">
        <x:v>C003</x:v>
      </x:c>
      <x:c r="B119" s="17" t="str">
        <x:v>Draft email sequence</x:v>
      </x:c>
      <x:c r="C119" s="17" t="str">
        <x:v>brief_changed</x:v>
      </x:c>
      <x:c r="D119" s="17" t="str">
        <x:v>No</x:v>
      </x:c>
      <x:c r="E119" s="17" t="n">
        <x:f>COUNTIFS('Tasks'!$C$7:$C$246,$A119,'Tasks'!$K$7:$K$246,$D119,'Tasks'!$F$7:$F$246,$B119)</x:f>
        <x:v>4</x:v>
      </x:c>
      <x:c r="F119" s="17" t="n">
        <x:f>SUMIFS('Tasks'!$O$7:$O$246,'Tasks'!$C$7:$C$246,$A119,'Tasks'!$K$7:$K$246,$D119,'Tasks'!$F$7:$F$246,$B119)</x:f>
        <x:v>1399667</x:v>
      </x:c>
      <x:c r="G119" s="17" t="n">
        <x:f>SUMIFS('Tasks'!$P$7:$P$246,'Tasks'!$C$7:$C$246,$A119,'Tasks'!$K$7:$K$246,$D119,'Tasks'!$F$7:$F$246,$B119)</x:f>
        <x:v>293883</x:v>
      </x:c>
      <x:c r="H119" s="17" t="n">
        <x:f>SUMIFS('Tasks'!$Q$7:$Q$246,'Tasks'!$C$7:$C$246,$A119,'Tasks'!$K$7:$K$246,$D119,'Tasks'!$F$7:$F$246,$B119)</x:f>
        <x:v>1693550</x:v>
      </x:c>
      <x:c r="I119" s="22" t="n">
        <x:f>SUMIFS('Tasks'!$S$7:$S$246,'Tasks'!$C$7:$C$246,$A119,'Tasks'!$K$7:$K$246,$D119,'Tasks'!$F$7:$F$246,$B119)</x:f>
        <x:v>32.764070000000004</x:v>
      </x:c>
      <x:c r="J119" s="22" t="n">
        <x:f>SUMIFS('Tasks'!$T$7:$T$246,'Tasks'!$C$7:$C$246,$A119,'Tasks'!$K$7:$K$246,$D119,'Tasks'!$F$7:$F$246,$B119)</x:f>
        <x:v>19.80446</x:v>
      </x:c>
      <x:c r="K119" s="22" t="n">
        <x:f>SUMIFS('Tasks'!$U$7:$U$246,'Tasks'!$C$7:$C$246,$A119,'Tasks'!$K$7:$K$246,$D119,'Tasks'!$F$7:$F$246,$B119)</x:f>
        <x:v>52.568529999999996</x:v>
      </x:c>
      <x:c r="L119" s="17" t="n">
        <x:f>SUMIFS('Tasks'!$R$7:$R$246,'Tasks'!$C$7:$C$246,$A119,'Tasks'!$K$7:$K$246,$D119,'Tasks'!$F$7:$F$246,$B119)</x:f>
        <x:v>47</x:v>
      </x:c>
      <x:c r="M119" s="22" t="n">
        <x:f>IF(L119=0,"N/A",K119/L119)</x:f>
        <x:v>1.1184793617021276</x:v>
      </x:c>
      <x:c r="N119" s="19" t="n">
        <x:f>SUMIFS('Tasks'!$G$7:$G$246,'Tasks'!$C$7:$C$246,$A119,'Tasks'!$K$7:$K$246,$D119,'Tasks'!$F$7:$F$246,$B119)</x:f>
        <x:v>13.6</x:v>
      </x:c>
      <x:c r="O119" s="19" t="n">
        <x:f>SUMIFS('Tasks'!$H$7:$H$246,'Tasks'!$C$7:$C$246,$A119,'Tasks'!$K$7:$K$246,$D119,'Tasks'!$F$7:$F$246,$B119)</x:f>
        <x:v>9.040000000000001</x:v>
      </x:c>
      <x:c r="P119" s="19" t="n">
        <x:f>SUMIFS('Tasks'!$Y$7:$Y$246,'Tasks'!$C$7:$C$246,$A119,'Tasks'!$K$7:$K$246,$D119,'Tasks'!$F$7:$F$246,$B119)</x:f>
        <x:v>4.56</x:v>
      </x:c>
      <x:c r="Q119" s="22" t="n">
        <x:f>SUMIFS('Tasks'!$Z$7:$Z$246,'Tasks'!$C$7:$C$246,$A119,'Tasks'!$K$7:$K$246,$D119,'Tasks'!$F$7:$F$246,$B119)</x:f>
        <x:v>227.99999999999997</x:v>
      </x:c>
      <x:c r="R119" s="22" t="n">
        <x:f>SUMIFS('Tasks'!$AA$7:$AA$246,'Tasks'!$C$7:$C$246,$A119,'Tasks'!$K$7:$K$246,$D119,'Tasks'!$F$7:$F$246,$B119)</x:f>
        <x:v>175.43146999999996</x:v>
      </x:c>
      <x:c r="S119" s="31" t="n">
        <x:f>IF(K119=0,"N/A",R119/K119)</x:f>
        <x:v>3.3371956567931416</x:v>
      </x:c>
      <x:c r="T119" s="19" t="n">
        <x:f>SUMIFS('Tasks'!$I$7:$I$246,'Tasks'!$C$7:$C$246,$A119,'Tasks'!$K$7:$K$246,$D119,'Tasks'!$F$7:$F$246,$B119)</x:f>
        <x:v>0.8099999999999999</x:v>
      </x:c>
      <x:c r="U119" s="31" t="n">
        <x:f>IF(O119=0,"N/A",T119/O119)</x:f>
        <x:v>0.08960176991150441</x:v>
      </x:c>
      <x:c r="V119" s="17" t="n">
        <x:f>SUMIFS('Tasks'!$X$7:$X$246,'Tasks'!$C$7:$C$246,$A119,'Tasks'!$K$7:$K$246,$D119,'Tasks'!$F$7:$F$246,$B119)</x:f>
        <x:v>11</x:v>
      </x:c>
      <x:c r="W119" s="31" t="n">
        <x:f>IF(L119=0,"N/A",V119/L119)</x:f>
        <x:v>0.23404255319148937</x:v>
      </x:c>
      <x:c r="X119" s="17" t="n">
        <x:f>COUNTIFS('Tasks'!$C$7:$C$246,$A119,'Tasks'!$K$7:$K$246,$D119,'Tasks'!$F$7:$F$246,$B119,'Tasks'!$L$7:$L$246,"Yes")</x:f>
        <x:v>3</x:v>
      </x:c>
      <x:c r="Y119" s="17" t="n">
        <x:f>COUNTIFS('Tasks'!$C$7:$C$246,$A119,'Tasks'!$K$7:$K$246,$D119,'Tasks'!$F$7:$F$246,$B119,'Tasks'!$K$7:$K$246,"Yes")</x:f>
        <x:v>0</x:v>
      </x:c>
      <x:c r="Z119" s="17" t="n">
        <x:f>COUNTIFS('Tasks'!$C$7:$C$246,$A119,'Tasks'!$K$7:$K$246,$D119,'Tasks'!$F$7:$F$246,$B119,'Tasks'!$AA$7:$AA$246,"&gt;0")</x:f>
        <x:v>3</x:v>
      </x:c>
      <x:c r="AA119" s="17" t="n">
        <x:f>COUNTIFS('Tasks'!$C$7:$C$246,$A119,'Tasks'!$K$7:$K$246,$D119,'Tasks'!$F$7:$F$246,$B119,'Tasks'!$AA$7:$AA$246,"&lt;0")</x:f>
        <x:v>1</x:v>
      </x:c>
      <x:c r="AB119" s="19" t="n">
        <x:f>IF(E119=0,"N/A",V119/E119)</x:f>
        <x:v>2.75</x:v>
      </x:c>
      <x:c r="AC119" s="22" t="n">
        <x:f>IF(E119=0,"N/A",K119/E119)</x:f>
        <x:v>13.142132499999999</x:v>
      </x:c>
      <x:c r="AD119" s="19" t="n">
        <x:f>IF(E119=0,"N/A",P119/E119)</x:f>
        <x:v>1.14</x:v>
      </x:c>
    </x:row>
    <x:row r="120" ht="23" customHeight="1">
      <x:c r="A120" s="17" t="str">
        <x:v>C003</x:v>
      </x:c>
      <x:c r="B120" s="17" t="str">
        <x:v>Draft email sequence</x:v>
      </x:c>
      <x:c r="C120" s="17" t="str">
        <x:v>brief_changed</x:v>
      </x:c>
      <x:c r="D120" s="17" t="str">
        <x:v>Yes</x:v>
      </x:c>
      <x:c r="E120" s="17" t="n">
        <x:f>COUNTIFS('Tasks'!$C$7:$C$246,$A120,'Tasks'!$K$7:$K$246,$D120,'Tasks'!$F$7:$F$246,$B120)</x:f>
        <x:v>1</x:v>
      </x:c>
      <x:c r="F120" s="17" t="n">
        <x:f>SUMIFS('Tasks'!$O$7:$O$246,'Tasks'!$C$7:$C$246,$A120,'Tasks'!$K$7:$K$246,$D120,'Tasks'!$F$7:$F$246,$B120)</x:f>
        <x:v>176614</x:v>
      </x:c>
      <x:c r="G120" s="17" t="n">
        <x:f>SUMIFS('Tasks'!$P$7:$P$246,'Tasks'!$C$7:$C$246,$A120,'Tasks'!$K$7:$K$246,$D120,'Tasks'!$F$7:$F$246,$B120)</x:f>
        <x:v>94315</x:v>
      </x:c>
      <x:c r="H120" s="17" t="n">
        <x:f>SUMIFS('Tasks'!$Q$7:$Q$246,'Tasks'!$C$7:$C$246,$A120,'Tasks'!$K$7:$K$246,$D120,'Tasks'!$F$7:$F$246,$B120)</x:f>
        <x:v>270929</x:v>
      </x:c>
      <x:c r="I120" s="22" t="n">
        <x:f>SUMIFS('Tasks'!$S$7:$S$246,'Tasks'!$C$7:$C$246,$A120,'Tasks'!$K$7:$K$246,$D120,'Tasks'!$F$7:$F$246,$B120)</x:f>
        <x:v>7.06456</x:v>
      </x:c>
      <x:c r="J120" s="22" t="n">
        <x:f>SUMIFS('Tasks'!$T$7:$T$246,'Tasks'!$C$7:$C$246,$A120,'Tasks'!$K$7:$K$246,$D120,'Tasks'!$F$7:$F$246,$B120)</x:f>
        <x:v>9.4315</x:v>
      </x:c>
      <x:c r="K120" s="22" t="n">
        <x:f>SUMIFS('Tasks'!$U$7:$U$246,'Tasks'!$C$7:$C$246,$A120,'Tasks'!$K$7:$K$246,$D120,'Tasks'!$F$7:$F$246,$B120)</x:f>
        <x:v>16.49606</x:v>
      </x:c>
      <x:c r="L120" s="17" t="n">
        <x:f>SUMIFS('Tasks'!$R$7:$R$246,'Tasks'!$C$7:$C$246,$A120,'Tasks'!$K$7:$K$246,$D120,'Tasks'!$F$7:$F$246,$B120)</x:f>
        <x:v>9</x:v>
      </x:c>
      <x:c r="M120" s="22" t="n">
        <x:f>IF(L120=0,"N/A",K120/L120)</x:f>
        <x:v>1.8328955555555555</x:v>
      </x:c>
      <x:c r="N120" s="19" t="n">
        <x:f>SUMIFS('Tasks'!$G$7:$G$246,'Tasks'!$C$7:$C$246,$A120,'Tasks'!$K$7:$K$246,$D120,'Tasks'!$F$7:$F$246,$B120)</x:f>
        <x:v>3.1</x:v>
      </x:c>
      <x:c r="O120" s="19" t="n">
        <x:f>SUMIFS('Tasks'!$H$7:$H$246,'Tasks'!$C$7:$C$246,$A120,'Tasks'!$K$7:$K$246,$D120,'Tasks'!$F$7:$F$246,$B120)</x:f>
        <x:v>3.06</x:v>
      </x:c>
      <x:c r="P120" s="19" t="n">
        <x:f>SUMIFS('Tasks'!$Y$7:$Y$246,'Tasks'!$C$7:$C$246,$A120,'Tasks'!$K$7:$K$246,$D120,'Tasks'!$F$7:$F$246,$B120)</x:f>
        <x:v>0.040000000000000036</x:v>
      </x:c>
      <x:c r="Q120" s="22" t="n">
        <x:f>SUMIFS('Tasks'!$Z$7:$Z$246,'Tasks'!$C$7:$C$246,$A120,'Tasks'!$K$7:$K$246,$D120,'Tasks'!$F$7:$F$246,$B120)</x:f>
        <x:v>2.0000000000000018</x:v>
      </x:c>
      <x:c r="R120" s="22" t="n">
        <x:f>SUMIFS('Tasks'!$AA$7:$AA$246,'Tasks'!$C$7:$C$246,$A120,'Tasks'!$K$7:$K$246,$D120,'Tasks'!$F$7:$F$246,$B120)</x:f>
        <x:v>-14.496059999999998</x:v>
      </x:c>
      <x:c r="S120" s="31" t="n">
        <x:f>IF(K120=0,"N/A",R120/K120)</x:f>
        <x:v>-0.8787589278894474</x:v>
      </x:c>
      <x:c r="T120" s="19" t="n">
        <x:f>SUMIFS('Tasks'!$I$7:$I$246,'Tasks'!$C$7:$C$246,$A120,'Tasks'!$K$7:$K$246,$D120,'Tasks'!$F$7:$F$246,$B120)</x:f>
        <x:v>0.49</x:v>
      </x:c>
      <x:c r="U120" s="31" t="n">
        <x:f>IF(O120=0,"N/A",T120/O120)</x:f>
        <x:v>0.16013071895424835</x:v>
      </x:c>
      <x:c r="V120" s="17" t="n">
        <x:f>SUMIFS('Tasks'!$X$7:$X$246,'Tasks'!$C$7:$C$246,$A120,'Tasks'!$K$7:$K$246,$D120,'Tasks'!$F$7:$F$246,$B120)</x:f>
        <x:v>2</x:v>
      </x:c>
      <x:c r="W120" s="31" t="n">
        <x:f>IF(L120=0,"N/A",V120/L120)</x:f>
        <x:v>0.2222222222222222</x:v>
      </x:c>
      <x:c r="X120" s="17" t="n">
        <x:f>COUNTIFS('Tasks'!$C$7:$C$246,$A120,'Tasks'!$K$7:$K$246,$D120,'Tasks'!$F$7:$F$246,$B120,'Tasks'!$L$7:$L$246,"Yes")</x:f>
        <x:v>1</x:v>
      </x:c>
      <x:c r="Y120" s="17" t="n">
        <x:f>COUNTIFS('Tasks'!$C$7:$C$246,$A120,'Tasks'!$K$7:$K$246,$D120,'Tasks'!$F$7:$F$246,$B120,'Tasks'!$K$7:$K$246,"Yes")</x:f>
        <x:v>1</x:v>
      </x:c>
      <x:c r="Z120" s="17" t="n">
        <x:f>COUNTIFS('Tasks'!$C$7:$C$246,$A120,'Tasks'!$K$7:$K$246,$D120,'Tasks'!$F$7:$F$246,$B120,'Tasks'!$AA$7:$AA$246,"&gt;0")</x:f>
        <x:v>0</x:v>
      </x:c>
      <x:c r="AA120" s="17" t="n">
        <x:f>COUNTIFS('Tasks'!$C$7:$C$246,$A120,'Tasks'!$K$7:$K$246,$D120,'Tasks'!$F$7:$F$246,$B120,'Tasks'!$AA$7:$AA$246,"&lt;0")</x:f>
        <x:v>1</x:v>
      </x:c>
      <x:c r="AB120" s="19" t="n">
        <x:f>IF(E120=0,"N/A",V120/E120)</x:f>
        <x:v>2</x:v>
      </x:c>
      <x:c r="AC120" s="22" t="n">
        <x:f>IF(E120=0,"N/A",K120/E120)</x:f>
        <x:v>16.49606</x:v>
      </x:c>
      <x:c r="AD120" s="19" t="n">
        <x:f>IF(E120=0,"N/A",P120/E120)</x:f>
        <x:v>0.040000000000000036</x:v>
      </x:c>
    </x:row>
    <x:row r="121" ht="23" customHeight="1">
      <x:c r="A121" s="17" t="str">
        <x:v>C003</x:v>
      </x:c>
      <x:c r="B121" s="17" t="str">
        <x:v>Edit landing page</x:v>
      </x:c>
      <x:c r="C121" s="17" t="str">
        <x:v>prompt_template_used</x:v>
      </x:c>
      <x:c r="D121" s="17" t="str">
        <x:v>No</x:v>
      </x:c>
      <x:c r="E121" s="17" t="n">
        <x:f>COUNTIFS('Tasks'!$C$7:$C$246,$A121,'Tasks'!$L$7:$L$246,$D121,'Tasks'!$F$7:$F$246,$B121)</x:f>
        <x:v>1</x:v>
      </x:c>
      <x:c r="F121" s="17" t="n">
        <x:f>SUMIFS('Tasks'!$O$7:$O$246,'Tasks'!$C$7:$C$246,$A121,'Tasks'!$L$7:$L$246,$D121,'Tasks'!$F$7:$F$246,$B121)</x:f>
        <x:v>150615</x:v>
      </x:c>
      <x:c r="G121" s="17" t="n">
        <x:f>SUMIFS('Tasks'!$P$7:$P$246,'Tasks'!$C$7:$C$246,$A121,'Tasks'!$L$7:$L$246,$D121,'Tasks'!$F$7:$F$246,$B121)</x:f>
        <x:v>65620</x:v>
      </x:c>
      <x:c r="H121" s="17" t="n">
        <x:f>SUMIFS('Tasks'!$Q$7:$Q$246,'Tasks'!$C$7:$C$246,$A121,'Tasks'!$L$7:$L$246,$D121,'Tasks'!$F$7:$F$246,$B121)</x:f>
        <x:v>216235</x:v>
      </x:c>
      <x:c r="I121" s="22" t="n">
        <x:f>SUMIFS('Tasks'!$S$7:$S$246,'Tasks'!$C$7:$C$246,$A121,'Tasks'!$L$7:$L$246,$D121,'Tasks'!$F$7:$F$246,$B121)</x:f>
        <x:v>6.0246</x:v>
      </x:c>
      <x:c r="J121" s="22" t="n">
        <x:f>SUMIFS('Tasks'!$T$7:$T$246,'Tasks'!$C$7:$C$246,$A121,'Tasks'!$L$7:$L$246,$D121,'Tasks'!$F$7:$F$246,$B121)</x:f>
        <x:v>6.562000000000001</x:v>
      </x:c>
      <x:c r="K121" s="22" t="n">
        <x:f>SUMIFS('Tasks'!$U$7:$U$246,'Tasks'!$C$7:$C$246,$A121,'Tasks'!$L$7:$L$246,$D121,'Tasks'!$F$7:$F$246,$B121)</x:f>
        <x:v>12.5866</x:v>
      </x:c>
      <x:c r="L121" s="17" t="n">
        <x:f>SUMIFS('Tasks'!$R$7:$R$246,'Tasks'!$C$7:$C$246,$A121,'Tasks'!$L$7:$L$246,$D121,'Tasks'!$F$7:$F$246,$B121)</x:f>
        <x:v>9</x:v>
      </x:c>
      <x:c r="M121" s="22" t="n">
        <x:f>IF(L121=0,"N/A",K121/L121)</x:f>
        <x:v>1.3985111111111113</x:v>
      </x:c>
      <x:c r="N121" s="19" t="n">
        <x:f>SUMIFS('Tasks'!$G$7:$G$246,'Tasks'!$C$7:$C$246,$A121,'Tasks'!$L$7:$L$246,$D121,'Tasks'!$F$7:$F$246,$B121)</x:f>
        <x:v>4.53</x:v>
      </x:c>
      <x:c r="O121" s="19" t="n">
        <x:f>SUMIFS('Tasks'!$H$7:$H$246,'Tasks'!$C$7:$C$246,$A121,'Tasks'!$L$7:$L$246,$D121,'Tasks'!$F$7:$F$246,$B121)</x:f>
        <x:v>2.01</x:v>
      </x:c>
      <x:c r="P121" s="19" t="n">
        <x:f>SUMIFS('Tasks'!$Y$7:$Y$246,'Tasks'!$C$7:$C$246,$A121,'Tasks'!$L$7:$L$246,$D121,'Tasks'!$F$7:$F$246,$B121)</x:f>
        <x:v>2.5200000000000005</x:v>
      </x:c>
      <x:c r="Q121" s="22" t="n">
        <x:f>SUMIFS('Tasks'!$Z$7:$Z$246,'Tasks'!$C$7:$C$246,$A121,'Tasks'!$L$7:$L$246,$D121,'Tasks'!$F$7:$F$246,$B121)</x:f>
        <x:v>126.00000000000003</x:v>
      </x:c>
      <x:c r="R121" s="22" t="n">
        <x:f>SUMIFS('Tasks'!$AA$7:$AA$246,'Tasks'!$C$7:$C$246,$A121,'Tasks'!$L$7:$L$246,$D121,'Tasks'!$F$7:$F$246,$B121)</x:f>
        <x:v>113.41340000000002</x:v>
      </x:c>
      <x:c r="S121" s="31" t="n">
        <x:f>IF(K121=0,"N/A",R121/K121)</x:f>
        <x:v>9.010646242829678</x:v>
      </x:c>
      <x:c r="T121" s="19" t="n">
        <x:f>SUMIFS('Tasks'!$I$7:$I$246,'Tasks'!$C$7:$C$246,$A121,'Tasks'!$L$7:$L$246,$D121,'Tasks'!$F$7:$F$246,$B121)</x:f>
        <x:v>0.15</x:v>
      </x:c>
      <x:c r="U121" s="31" t="n">
        <x:f>IF(O121=0,"N/A",T121/O121)</x:f>
        <x:v>0.0746268656716418</x:v>
      </x:c>
      <x:c r="V121" s="17" t="n">
        <x:f>SUMIFS('Tasks'!$X$7:$X$246,'Tasks'!$C$7:$C$246,$A121,'Tasks'!$L$7:$L$246,$D121,'Tasks'!$F$7:$F$246,$B121)</x:f>
        <x:v>2</x:v>
      </x:c>
      <x:c r="W121" s="31" t="n">
        <x:f>IF(L121=0,"N/A",V121/L121)</x:f>
        <x:v>0.2222222222222222</x:v>
      </x:c>
      <x:c r="X121" s="17" t="n">
        <x:f>COUNTIFS('Tasks'!$C$7:$C$246,$A121,'Tasks'!$L$7:$L$246,$D121,'Tasks'!$F$7:$F$246,$B121,'Tasks'!$L$7:$L$246,"Yes")</x:f>
        <x:v>0</x:v>
      </x:c>
      <x:c r="Y121" s="17" t="n">
        <x:f>COUNTIFS('Tasks'!$C$7:$C$246,$A121,'Tasks'!$L$7:$L$246,$D121,'Tasks'!$F$7:$F$246,$B121,'Tasks'!$K$7:$K$246,"Yes")</x:f>
        <x:v>0</x:v>
      </x:c>
      <x:c r="Z121" s="17" t="n">
        <x:f>COUNTIFS('Tasks'!$C$7:$C$246,$A121,'Tasks'!$L$7:$L$246,$D121,'Tasks'!$F$7:$F$246,$B121,'Tasks'!$AA$7:$AA$246,"&gt;0")</x:f>
        <x:v>1</x:v>
      </x:c>
      <x:c r="AA121" s="17" t="n">
        <x:f>COUNTIFS('Tasks'!$C$7:$C$246,$A121,'Tasks'!$L$7:$L$246,$D121,'Tasks'!$F$7:$F$246,$B121,'Tasks'!$AA$7:$AA$246,"&lt;0")</x:f>
        <x:v>0</x:v>
      </x:c>
      <x:c r="AB121" s="19" t="n">
        <x:f>IF(E121=0,"N/A",V121/E121)</x:f>
        <x:v>2</x:v>
      </x:c>
      <x:c r="AC121" s="22" t="n">
        <x:f>IF(E121=0,"N/A",K121/E121)</x:f>
        <x:v>12.5866</x:v>
      </x:c>
      <x:c r="AD121" s="19" t="n">
        <x:f>IF(E121=0,"N/A",P121/E121)</x:f>
        <x:v>2.5200000000000005</x:v>
      </x:c>
    </x:row>
    <x:row r="122" ht="23" customHeight="1">
      <x:c r="A122" s="17" t="str">
        <x:v>C003</x:v>
      </x:c>
      <x:c r="B122" s="17" t="str">
        <x:v>Edit landing page</x:v>
      </x:c>
      <x:c r="C122" s="17" t="str">
        <x:v>prompt_template_used</x:v>
      </x:c>
      <x:c r="D122" s="17" t="str">
        <x:v>Yes</x:v>
      </x:c>
      <x:c r="E122" s="17" t="n">
        <x:f>COUNTIFS('Tasks'!$C$7:$C$246,$A122,'Tasks'!$L$7:$L$246,$D122,'Tasks'!$F$7:$F$246,$B122)</x:f>
        <x:v>3</x:v>
      </x:c>
      <x:c r="F122" s="17" t="n">
        <x:f>SUMIFS('Tasks'!$O$7:$O$246,'Tasks'!$C$7:$C$246,$A122,'Tasks'!$L$7:$L$246,$D122,'Tasks'!$F$7:$F$246,$B122)</x:f>
        <x:v>840704</x:v>
      </x:c>
      <x:c r="G122" s="17" t="n">
        <x:f>SUMIFS('Tasks'!$P$7:$P$246,'Tasks'!$C$7:$C$246,$A122,'Tasks'!$L$7:$L$246,$D122,'Tasks'!$F$7:$F$246,$B122)</x:f>
        <x:v>214312</x:v>
      </x:c>
      <x:c r="H122" s="17" t="n">
        <x:f>SUMIFS('Tasks'!$Q$7:$Q$246,'Tasks'!$C$7:$C$246,$A122,'Tasks'!$L$7:$L$246,$D122,'Tasks'!$F$7:$F$246,$B122)</x:f>
        <x:v>1055016</x:v>
      </x:c>
      <x:c r="I122" s="22" t="n">
        <x:f>SUMIFS('Tasks'!$S$7:$S$246,'Tasks'!$C$7:$C$246,$A122,'Tasks'!$L$7:$L$246,$D122,'Tasks'!$F$7:$F$246,$B122)</x:f>
        <x:v>8.40704</x:v>
      </x:c>
      <x:c r="J122" s="22" t="n">
        <x:f>SUMIFS('Tasks'!$T$7:$T$246,'Tasks'!$C$7:$C$246,$A122,'Tasks'!$L$7:$L$246,$D122,'Tasks'!$F$7:$F$246,$B122)</x:f>
        <x:v>6.429359999999999</x:v>
      </x:c>
      <x:c r="K122" s="22" t="n">
        <x:f>SUMIFS('Tasks'!$U$7:$U$246,'Tasks'!$C$7:$C$246,$A122,'Tasks'!$L$7:$L$246,$D122,'Tasks'!$F$7:$F$246,$B122)</x:f>
        <x:v>14.836399999999998</x:v>
      </x:c>
      <x:c r="L122" s="17" t="n">
        <x:f>SUMIFS('Tasks'!$R$7:$R$246,'Tasks'!$C$7:$C$246,$A122,'Tasks'!$L$7:$L$246,$D122,'Tasks'!$F$7:$F$246,$B122)</x:f>
        <x:v>36</x:v>
      </x:c>
      <x:c r="M122" s="22" t="n">
        <x:f>IF(L122=0,"N/A",K122/L122)</x:f>
        <x:v>0.41212222222222217</x:v>
      </x:c>
      <x:c r="N122" s="19" t="n">
        <x:f>SUMIFS('Tasks'!$G$7:$G$246,'Tasks'!$C$7:$C$246,$A122,'Tasks'!$L$7:$L$246,$D122,'Tasks'!$F$7:$F$246,$B122)</x:f>
        <x:v>11.61</x:v>
      </x:c>
      <x:c r="O122" s="19" t="n">
        <x:f>SUMIFS('Tasks'!$H$7:$H$246,'Tasks'!$C$7:$C$246,$A122,'Tasks'!$L$7:$L$246,$D122,'Tasks'!$F$7:$F$246,$B122)</x:f>
        <x:v>9.57</x:v>
      </x:c>
      <x:c r="P122" s="19" t="n">
        <x:f>SUMIFS('Tasks'!$Y$7:$Y$246,'Tasks'!$C$7:$C$246,$A122,'Tasks'!$L$7:$L$246,$D122,'Tasks'!$F$7:$F$246,$B122)</x:f>
        <x:v>2.0400000000000005</x:v>
      </x:c>
      <x:c r="Q122" s="22" t="n">
        <x:f>SUMIFS('Tasks'!$Z$7:$Z$246,'Tasks'!$C$7:$C$246,$A122,'Tasks'!$L$7:$L$246,$D122,'Tasks'!$F$7:$F$246,$B122)</x:f>
        <x:v>102.00000000000003</x:v>
      </x:c>
      <x:c r="R122" s="22" t="n">
        <x:f>SUMIFS('Tasks'!$AA$7:$AA$246,'Tasks'!$C$7:$C$246,$A122,'Tasks'!$L$7:$L$246,$D122,'Tasks'!$F$7:$F$246,$B122)</x:f>
        <x:v>87.16360000000003</x:v>
      </x:c>
      <x:c r="S122" s="31" t="n">
        <x:f>IF(K122=0,"N/A",R122/K122)</x:f>
        <x:v>5.874983149551107</x:v>
      </x:c>
      <x:c r="T122" s="19" t="n">
        <x:f>SUMIFS('Tasks'!$I$7:$I$246,'Tasks'!$C$7:$C$246,$A122,'Tasks'!$L$7:$L$246,$D122,'Tasks'!$F$7:$F$246,$B122)</x:f>
        <x:v>0.31</x:v>
      </x:c>
      <x:c r="U122" s="31" t="n">
        <x:f>IF(O122=0,"N/A",T122/O122)</x:f>
        <x:v>0.03239289446185998</x:v>
      </x:c>
      <x:c r="V122" s="17" t="n">
        <x:f>SUMIFS('Tasks'!$X$7:$X$246,'Tasks'!$C$7:$C$246,$A122,'Tasks'!$L$7:$L$246,$D122,'Tasks'!$F$7:$F$246,$B122)</x:f>
        <x:v>7</x:v>
      </x:c>
      <x:c r="W122" s="31" t="n">
        <x:f>IF(L122=0,"N/A",V122/L122)</x:f>
        <x:v>0.19444444444444445</x:v>
      </x:c>
      <x:c r="X122" s="17" t="n">
        <x:f>COUNTIFS('Tasks'!$C$7:$C$246,$A122,'Tasks'!$L$7:$L$246,$D122,'Tasks'!$F$7:$F$246,$B122,'Tasks'!$L$7:$L$246,"Yes")</x:f>
        <x:v>3</x:v>
      </x:c>
      <x:c r="Y122" s="17" t="n">
        <x:f>COUNTIFS('Tasks'!$C$7:$C$246,$A122,'Tasks'!$L$7:$L$246,$D122,'Tasks'!$F$7:$F$246,$B122,'Tasks'!$K$7:$K$246,"Yes")</x:f>
        <x:v>1</x:v>
      </x:c>
      <x:c r="Z122" s="17" t="n">
        <x:f>COUNTIFS('Tasks'!$C$7:$C$246,$A122,'Tasks'!$L$7:$L$246,$D122,'Tasks'!$F$7:$F$246,$B122,'Tasks'!$AA$7:$AA$246,"&gt;0")</x:f>
        <x:v>2</x:v>
      </x:c>
      <x:c r="AA122" s="17" t="n">
        <x:f>COUNTIFS('Tasks'!$C$7:$C$246,$A122,'Tasks'!$L$7:$L$246,$D122,'Tasks'!$F$7:$F$246,$B122,'Tasks'!$AA$7:$AA$246,"&lt;0")</x:f>
        <x:v>1</x:v>
      </x:c>
      <x:c r="AB122" s="19" t="n">
        <x:f>IF(E122=0,"N/A",V122/E122)</x:f>
        <x:v>2.3333333333333335</x:v>
      </x:c>
      <x:c r="AC122" s="22" t="n">
        <x:f>IF(E122=0,"N/A",K122/E122)</x:f>
        <x:v>4.945466666666666</x:v>
      </x:c>
      <x:c r="AD122" s="19" t="n">
        <x:f>IF(E122=0,"N/A",P122/E122)</x:f>
        <x:v>0.6800000000000002</x:v>
      </x:c>
    </x:row>
    <x:row r="123" ht="23" customHeight="1">
      <x:c r="A123" s="17" t="str">
        <x:v>C003</x:v>
      </x:c>
      <x:c r="B123" s="17" t="str">
        <x:v>Edit landing page</x:v>
      </x:c>
      <x:c r="C123" s="17" t="str">
        <x:v>brief_changed</x:v>
      </x:c>
      <x:c r="D123" s="17" t="str">
        <x:v>No</x:v>
      </x:c>
      <x:c r="E123" s="17" t="n">
        <x:f>COUNTIFS('Tasks'!$C$7:$C$246,$A123,'Tasks'!$K$7:$K$246,$D123,'Tasks'!$F$7:$F$246,$B123)</x:f>
        <x:v>3</x:v>
      </x:c>
      <x:c r="F123" s="17" t="n">
        <x:f>SUMIFS('Tasks'!$O$7:$O$246,'Tasks'!$C$7:$C$246,$A123,'Tasks'!$K$7:$K$246,$D123,'Tasks'!$F$7:$F$246,$B123)</x:f>
        <x:v>717199</x:v>
      </x:c>
      <x:c r="G123" s="17" t="n">
        <x:f>SUMIFS('Tasks'!$P$7:$P$246,'Tasks'!$C$7:$C$246,$A123,'Tasks'!$K$7:$K$246,$D123,'Tasks'!$F$7:$F$246,$B123)</x:f>
        <x:v>200729</x:v>
      </x:c>
      <x:c r="H123" s="17" t="n">
        <x:f>SUMIFS('Tasks'!$Q$7:$Q$246,'Tasks'!$C$7:$C$246,$A123,'Tasks'!$K$7:$K$246,$D123,'Tasks'!$F$7:$F$246,$B123)</x:f>
        <x:v>917928</x:v>
      </x:c>
      <x:c r="I123" s="22" t="n">
        <x:f>SUMIFS('Tasks'!$S$7:$S$246,'Tasks'!$C$7:$C$246,$A123,'Tasks'!$K$7:$K$246,$D123,'Tasks'!$F$7:$F$246,$B123)</x:f>
        <x:v>11.69044</x:v>
      </x:c>
      <x:c r="J123" s="22" t="n">
        <x:f>SUMIFS('Tasks'!$T$7:$T$246,'Tasks'!$C$7:$C$246,$A123,'Tasks'!$K$7:$K$246,$D123,'Tasks'!$F$7:$F$246,$B123)</x:f>
        <x:v>10.61527</x:v>
      </x:c>
      <x:c r="K123" s="22" t="n">
        <x:f>SUMIFS('Tasks'!$U$7:$U$246,'Tasks'!$C$7:$C$246,$A123,'Tasks'!$K$7:$K$246,$D123,'Tasks'!$F$7:$F$246,$B123)</x:f>
        <x:v>22.305709999999998</x:v>
      </x:c>
      <x:c r="L123" s="17" t="n">
        <x:f>SUMIFS('Tasks'!$R$7:$R$246,'Tasks'!$C$7:$C$246,$A123,'Tasks'!$K$7:$K$246,$D123,'Tasks'!$F$7:$F$246,$B123)</x:f>
        <x:v>34</x:v>
      </x:c>
      <x:c r="M123" s="22" t="n">
        <x:f>IF(L123=0,"N/A",K123/L123)</x:f>
        <x:v>0.656050294117647</x:v>
      </x:c>
      <x:c r="N123" s="19" t="n">
        <x:f>SUMIFS('Tasks'!$G$7:$G$246,'Tasks'!$C$7:$C$246,$A123,'Tasks'!$K$7:$K$246,$D123,'Tasks'!$F$7:$F$246,$B123)</x:f>
        <x:v>12.399999999999999</x:v>
      </x:c>
      <x:c r="O123" s="19" t="n">
        <x:f>SUMIFS('Tasks'!$H$7:$H$246,'Tasks'!$C$7:$C$246,$A123,'Tasks'!$K$7:$K$246,$D123,'Tasks'!$F$7:$F$246,$B123)</x:f>
        <x:v>8.799999999999999</x:v>
      </x:c>
      <x:c r="P123" s="19" t="n">
        <x:f>SUMIFS('Tasks'!$Y$7:$Y$246,'Tasks'!$C$7:$C$246,$A123,'Tasks'!$K$7:$K$246,$D123,'Tasks'!$F$7:$F$246,$B123)</x:f>
        <x:v>3.6000000000000005</x:v>
      </x:c>
      <x:c r="Q123" s="22" t="n">
        <x:f>SUMIFS('Tasks'!$Z$7:$Z$246,'Tasks'!$C$7:$C$246,$A123,'Tasks'!$K$7:$K$246,$D123,'Tasks'!$F$7:$F$246,$B123)</x:f>
        <x:v>180.00000000000003</x:v>
      </x:c>
      <x:c r="R123" s="22" t="n">
        <x:f>SUMIFS('Tasks'!$AA$7:$AA$246,'Tasks'!$C$7:$C$246,$A123,'Tasks'!$K$7:$K$246,$D123,'Tasks'!$F$7:$F$246,$B123)</x:f>
        <x:v>157.69429000000002</x:v>
      </x:c>
      <x:c r="S123" s="31" t="n">
        <x:f>IF(K123=0,"N/A",R123/K123)</x:f>
        <x:v>7.0696826059336395</x:v>
      </x:c>
      <x:c r="T123" s="19" t="n">
        <x:f>SUMIFS('Tasks'!$I$7:$I$246,'Tasks'!$C$7:$C$246,$A123,'Tasks'!$K$7:$K$246,$D123,'Tasks'!$F$7:$F$246,$B123)</x:f>
        <x:v>0.25</x:v>
      </x:c>
      <x:c r="U123" s="31" t="n">
        <x:f>IF(O123=0,"N/A",T123/O123)</x:f>
        <x:v>0.02840909090909091</x:v>
      </x:c>
      <x:c r="V123" s="17" t="n">
        <x:f>SUMIFS('Tasks'!$X$7:$X$246,'Tasks'!$C$7:$C$246,$A123,'Tasks'!$K$7:$K$246,$D123,'Tasks'!$F$7:$F$246,$B123)</x:f>
        <x:v>7</x:v>
      </x:c>
      <x:c r="W123" s="31" t="n">
        <x:f>IF(L123=0,"N/A",V123/L123)</x:f>
        <x:v>0.20588235294117646</x:v>
      </x:c>
      <x:c r="X123" s="17" t="n">
        <x:f>COUNTIFS('Tasks'!$C$7:$C$246,$A123,'Tasks'!$K$7:$K$246,$D123,'Tasks'!$F$7:$F$246,$B123,'Tasks'!$L$7:$L$246,"Yes")</x:f>
        <x:v>2</x:v>
      </x:c>
      <x:c r="Y123" s="17" t="n">
        <x:f>COUNTIFS('Tasks'!$C$7:$C$246,$A123,'Tasks'!$K$7:$K$246,$D123,'Tasks'!$F$7:$F$246,$B123,'Tasks'!$K$7:$K$246,"Yes")</x:f>
        <x:v>0</x:v>
      </x:c>
      <x:c r="Z123" s="17" t="n">
        <x:f>COUNTIFS('Tasks'!$C$7:$C$246,$A123,'Tasks'!$K$7:$K$246,$D123,'Tasks'!$F$7:$F$246,$B123,'Tasks'!$AA$7:$AA$246,"&gt;0")</x:f>
        <x:v>2</x:v>
      </x:c>
      <x:c r="AA123" s="17" t="n">
        <x:f>COUNTIFS('Tasks'!$C$7:$C$246,$A123,'Tasks'!$K$7:$K$246,$D123,'Tasks'!$F$7:$F$246,$B123,'Tasks'!$AA$7:$AA$246,"&lt;0")</x:f>
        <x:v>1</x:v>
      </x:c>
      <x:c r="AB123" s="19" t="n">
        <x:f>IF(E123=0,"N/A",V123/E123)</x:f>
        <x:v>2.3333333333333335</x:v>
      </x:c>
      <x:c r="AC123" s="22" t="n">
        <x:f>IF(E123=0,"N/A",K123/E123)</x:f>
        <x:v>7.435236666666666</x:v>
      </x:c>
      <x:c r="AD123" s="19" t="n">
        <x:f>IF(E123=0,"N/A",P123/E123)</x:f>
        <x:v>1.2000000000000002</x:v>
      </x:c>
    </x:row>
    <x:row r="124" ht="23" customHeight="1">
      <x:c r="A124" s="17" t="str">
        <x:v>C003</x:v>
      </x:c>
      <x:c r="B124" s="17" t="str">
        <x:v>Edit landing page</x:v>
      </x:c>
      <x:c r="C124" s="17" t="str">
        <x:v>brief_changed</x:v>
      </x:c>
      <x:c r="D124" s="17" t="str">
        <x:v>Yes</x:v>
      </x:c>
      <x:c r="E124" s="17" t="n">
        <x:f>COUNTIFS('Tasks'!$C$7:$C$246,$A124,'Tasks'!$K$7:$K$246,$D124,'Tasks'!$F$7:$F$246,$B124)</x:f>
        <x:v>1</x:v>
      </x:c>
      <x:c r="F124" s="17" t="n">
        <x:f>SUMIFS('Tasks'!$O$7:$O$246,'Tasks'!$C$7:$C$246,$A124,'Tasks'!$K$7:$K$246,$D124,'Tasks'!$F$7:$F$246,$B124)</x:f>
        <x:v>274120</x:v>
      </x:c>
      <x:c r="G124" s="17" t="n">
        <x:f>SUMIFS('Tasks'!$P$7:$P$246,'Tasks'!$C$7:$C$246,$A124,'Tasks'!$K$7:$K$246,$D124,'Tasks'!$F$7:$F$246,$B124)</x:f>
        <x:v>79203</x:v>
      </x:c>
      <x:c r="H124" s="17" t="n">
        <x:f>SUMIFS('Tasks'!$Q$7:$Q$246,'Tasks'!$C$7:$C$246,$A124,'Tasks'!$K$7:$K$246,$D124,'Tasks'!$F$7:$F$246,$B124)</x:f>
        <x:v>353323</x:v>
      </x:c>
      <x:c r="I124" s="22" t="n">
        <x:f>SUMIFS('Tasks'!$S$7:$S$246,'Tasks'!$C$7:$C$246,$A124,'Tasks'!$K$7:$K$246,$D124,'Tasks'!$F$7:$F$246,$B124)</x:f>
        <x:v>2.7412</x:v>
      </x:c>
      <x:c r="J124" s="22" t="n">
        <x:f>SUMIFS('Tasks'!$T$7:$T$246,'Tasks'!$C$7:$C$246,$A124,'Tasks'!$K$7:$K$246,$D124,'Tasks'!$F$7:$F$246,$B124)</x:f>
        <x:v>2.37609</x:v>
      </x:c>
      <x:c r="K124" s="22" t="n">
        <x:f>SUMIFS('Tasks'!$U$7:$U$246,'Tasks'!$C$7:$C$246,$A124,'Tasks'!$K$7:$K$246,$D124,'Tasks'!$F$7:$F$246,$B124)</x:f>
        <x:v>5.117290000000001</x:v>
      </x:c>
      <x:c r="L124" s="17" t="n">
        <x:f>SUMIFS('Tasks'!$R$7:$R$246,'Tasks'!$C$7:$C$246,$A124,'Tasks'!$K$7:$K$246,$D124,'Tasks'!$F$7:$F$246,$B124)</x:f>
        <x:v>11</x:v>
      </x:c>
      <x:c r="M124" s="22" t="n">
        <x:f>IF(L124=0,"N/A",K124/L124)</x:f>
        <x:v>0.46520818181818185</x:v>
      </x:c>
      <x:c r="N124" s="19" t="n">
        <x:f>SUMIFS('Tasks'!$G$7:$G$246,'Tasks'!$C$7:$C$246,$A124,'Tasks'!$K$7:$K$246,$D124,'Tasks'!$F$7:$F$246,$B124)</x:f>
        <x:v>3.74</x:v>
      </x:c>
      <x:c r="O124" s="19" t="n">
        <x:f>SUMIFS('Tasks'!$H$7:$H$246,'Tasks'!$C$7:$C$246,$A124,'Tasks'!$K$7:$K$246,$D124,'Tasks'!$F$7:$F$246,$B124)</x:f>
        <x:v>2.78</x:v>
      </x:c>
      <x:c r="P124" s="19" t="n">
        <x:f>SUMIFS('Tasks'!$Y$7:$Y$246,'Tasks'!$C$7:$C$246,$A124,'Tasks'!$K$7:$K$246,$D124,'Tasks'!$F$7:$F$246,$B124)</x:f>
        <x:v>0.9600000000000004</x:v>
      </x:c>
      <x:c r="Q124" s="22" t="n">
        <x:f>SUMIFS('Tasks'!$Z$7:$Z$246,'Tasks'!$C$7:$C$246,$A124,'Tasks'!$K$7:$K$246,$D124,'Tasks'!$F$7:$F$246,$B124)</x:f>
        <x:v>48.00000000000002</x:v>
      </x:c>
      <x:c r="R124" s="22" t="n">
        <x:f>SUMIFS('Tasks'!$AA$7:$AA$246,'Tasks'!$C$7:$C$246,$A124,'Tasks'!$K$7:$K$246,$D124,'Tasks'!$F$7:$F$246,$B124)</x:f>
        <x:v>42.88271000000002</x:v>
      </x:c>
      <x:c r="S124" s="31" t="n">
        <x:f>IF(K124=0,"N/A",R124/K124)</x:f>
        <x:v>8.379964786048868</x:v>
      </x:c>
      <x:c r="T124" s="19" t="n">
        <x:f>SUMIFS('Tasks'!$I$7:$I$246,'Tasks'!$C$7:$C$246,$A124,'Tasks'!$K$7:$K$246,$D124,'Tasks'!$F$7:$F$246,$B124)</x:f>
        <x:v>0.21</x:v>
      </x:c>
      <x:c r="U124" s="31" t="n">
        <x:f>IF(O124=0,"N/A",T124/O124)</x:f>
        <x:v>0.07553956834532374</x:v>
      </x:c>
      <x:c r="V124" s="17" t="n">
        <x:f>SUMIFS('Tasks'!$X$7:$X$246,'Tasks'!$C$7:$C$246,$A124,'Tasks'!$K$7:$K$246,$D124,'Tasks'!$F$7:$F$246,$B124)</x:f>
        <x:v>2</x:v>
      </x:c>
      <x:c r="W124" s="31" t="n">
        <x:f>IF(L124=0,"N/A",V124/L124)</x:f>
        <x:v>0.18181818181818182</x:v>
      </x:c>
      <x:c r="X124" s="17" t="n">
        <x:f>COUNTIFS('Tasks'!$C$7:$C$246,$A124,'Tasks'!$K$7:$K$246,$D124,'Tasks'!$F$7:$F$246,$B124,'Tasks'!$L$7:$L$246,"Yes")</x:f>
        <x:v>1</x:v>
      </x:c>
      <x:c r="Y124" s="17" t="n">
        <x:f>COUNTIFS('Tasks'!$C$7:$C$246,$A124,'Tasks'!$K$7:$K$246,$D124,'Tasks'!$F$7:$F$246,$B124,'Tasks'!$K$7:$K$246,"Yes")</x:f>
        <x:v>1</x:v>
      </x:c>
      <x:c r="Z124" s="17" t="n">
        <x:f>COUNTIFS('Tasks'!$C$7:$C$246,$A124,'Tasks'!$K$7:$K$246,$D124,'Tasks'!$F$7:$F$246,$B124,'Tasks'!$AA$7:$AA$246,"&gt;0")</x:f>
        <x:v>1</x:v>
      </x:c>
      <x:c r="AA124" s="17" t="n">
        <x:f>COUNTIFS('Tasks'!$C$7:$C$246,$A124,'Tasks'!$K$7:$K$246,$D124,'Tasks'!$F$7:$F$246,$B124,'Tasks'!$AA$7:$AA$246,"&lt;0")</x:f>
        <x:v>0</x:v>
      </x:c>
      <x:c r="AB124" s="19" t="n">
        <x:f>IF(E124=0,"N/A",V124/E124)</x:f>
        <x:v>2</x:v>
      </x:c>
      <x:c r="AC124" s="22" t="n">
        <x:f>IF(E124=0,"N/A",K124/E124)</x:f>
        <x:v>5.117290000000001</x:v>
      </x:c>
      <x:c r="AD124" s="19" t="n">
        <x:f>IF(E124=0,"N/A",P124/E124)</x:f>
        <x:v>0.9600000000000004</x:v>
      </x:c>
    </x:row>
    <x:row r="125" ht="23" customHeight="1">
      <x:c r="A125" s="17" t="str">
        <x:v>C003</x:v>
      </x:c>
      <x:c r="B125" s="17" t="str">
        <x:v>Plan visual narrative</x:v>
      </x:c>
      <x:c r="C125" s="17" t="str">
        <x:v>prompt_template_used</x:v>
      </x:c>
      <x:c r="D125" s="17" t="str">
        <x:v>No</x:v>
      </x:c>
      <x:c r="E125" s="17" t="n">
        <x:f>COUNTIFS('Tasks'!$C$7:$C$246,$A125,'Tasks'!$L$7:$L$246,$D125,'Tasks'!$F$7:$F$246,$B125)</x:f>
        <x:v>2</x:v>
      </x:c>
      <x:c r="F125" s="17" t="n">
        <x:f>SUMIFS('Tasks'!$O$7:$O$246,'Tasks'!$C$7:$C$246,$A125,'Tasks'!$L$7:$L$246,$D125,'Tasks'!$F$7:$F$246,$B125)</x:f>
        <x:v>681236</x:v>
      </x:c>
      <x:c r="G125" s="17" t="n">
        <x:f>SUMIFS('Tasks'!$P$7:$P$246,'Tasks'!$C$7:$C$246,$A125,'Tasks'!$L$7:$L$246,$D125,'Tasks'!$F$7:$F$246,$B125)</x:f>
        <x:v>131112</x:v>
      </x:c>
      <x:c r="H125" s="17" t="n">
        <x:f>SUMIFS('Tasks'!$Q$7:$Q$246,'Tasks'!$C$7:$C$246,$A125,'Tasks'!$L$7:$L$246,$D125,'Tasks'!$F$7:$F$246,$B125)</x:f>
        <x:v>812348</x:v>
      </x:c>
      <x:c r="I125" s="22" t="n">
        <x:f>SUMIFS('Tasks'!$S$7:$S$246,'Tasks'!$C$7:$C$246,$A125,'Tasks'!$L$7:$L$246,$D125,'Tasks'!$F$7:$F$246,$B125)</x:f>
        <x:v>6.81236</x:v>
      </x:c>
      <x:c r="J125" s="22" t="n">
        <x:f>SUMIFS('Tasks'!$T$7:$T$246,'Tasks'!$C$7:$C$246,$A125,'Tasks'!$L$7:$L$246,$D125,'Tasks'!$F$7:$F$246,$B125)</x:f>
        <x:v>3.9333599999999995</x:v>
      </x:c>
      <x:c r="K125" s="22" t="n">
        <x:f>SUMIFS('Tasks'!$U$7:$U$246,'Tasks'!$C$7:$C$246,$A125,'Tasks'!$L$7:$L$246,$D125,'Tasks'!$F$7:$F$246,$B125)</x:f>
        <x:v>10.74572</x:v>
      </x:c>
      <x:c r="L125" s="17" t="n">
        <x:f>SUMIFS('Tasks'!$R$7:$R$246,'Tasks'!$C$7:$C$246,$A125,'Tasks'!$L$7:$L$246,$D125,'Tasks'!$F$7:$F$246,$B125)</x:f>
        <x:v>24</x:v>
      </x:c>
      <x:c r="M125" s="22" t="n">
        <x:f>IF(L125=0,"N/A",K125/L125)</x:f>
        <x:v>0.44773833333333335</x:v>
      </x:c>
      <x:c r="N125" s="19" t="n">
        <x:f>SUMIFS('Tasks'!$G$7:$G$246,'Tasks'!$C$7:$C$246,$A125,'Tasks'!$L$7:$L$246,$D125,'Tasks'!$F$7:$F$246,$B125)</x:f>
        <x:v>6.24</x:v>
      </x:c>
      <x:c r="O125" s="19" t="n">
        <x:f>SUMIFS('Tasks'!$H$7:$H$246,'Tasks'!$C$7:$C$246,$A125,'Tasks'!$L$7:$L$246,$D125,'Tasks'!$F$7:$F$246,$B125)</x:f>
        <x:v>5</x:v>
      </x:c>
      <x:c r="P125" s="19" t="n">
        <x:f>SUMIFS('Tasks'!$Y$7:$Y$246,'Tasks'!$C$7:$C$246,$A125,'Tasks'!$L$7:$L$246,$D125,'Tasks'!$F$7:$F$246,$B125)</x:f>
        <x:v>1.2400000000000002</x:v>
      </x:c>
      <x:c r="Q125" s="22" t="n">
        <x:f>SUMIFS('Tasks'!$Z$7:$Z$246,'Tasks'!$C$7:$C$246,$A125,'Tasks'!$L$7:$L$246,$D125,'Tasks'!$F$7:$F$246,$B125)</x:f>
        <x:v>62.00000000000001</x:v>
      </x:c>
      <x:c r="R125" s="22" t="n">
        <x:f>SUMIFS('Tasks'!$AA$7:$AA$246,'Tasks'!$C$7:$C$246,$A125,'Tasks'!$L$7:$L$246,$D125,'Tasks'!$F$7:$F$246,$B125)</x:f>
        <x:v>51.25428000000001</x:v>
      </x:c>
      <x:c r="S125" s="31" t="n">
        <x:f>IF(K125=0,"N/A",R125/K125)</x:f>
        <x:v>4.7697390216756075</x:v>
      </x:c>
      <x:c r="T125" s="19" t="n">
        <x:f>SUMIFS('Tasks'!$I$7:$I$246,'Tasks'!$C$7:$C$246,$A125,'Tasks'!$L$7:$L$246,$D125,'Tasks'!$F$7:$F$246,$B125)</x:f>
        <x:v>0.47000000000000003</x:v>
      </x:c>
      <x:c r="U125" s="31" t="n">
        <x:f>IF(O125=0,"N/A",T125/O125)</x:f>
        <x:v>0.094</x:v>
      </x:c>
      <x:c r="V125" s="17" t="n">
        <x:f>SUMIFS('Tasks'!$X$7:$X$246,'Tasks'!$C$7:$C$246,$A125,'Tasks'!$L$7:$L$246,$D125,'Tasks'!$F$7:$F$246,$B125)</x:f>
        <x:v>6</x:v>
      </x:c>
      <x:c r="W125" s="31" t="n">
        <x:f>IF(L125=0,"N/A",V125/L125)</x:f>
        <x:v>0.25</x:v>
      </x:c>
      <x:c r="X125" s="17" t="n">
        <x:f>COUNTIFS('Tasks'!$C$7:$C$246,$A125,'Tasks'!$L$7:$L$246,$D125,'Tasks'!$F$7:$F$246,$B125,'Tasks'!$L$7:$L$246,"Yes")</x:f>
        <x:v>0</x:v>
      </x:c>
      <x:c r="Y125" s="17" t="n">
        <x:f>COUNTIFS('Tasks'!$C$7:$C$246,$A125,'Tasks'!$L$7:$L$246,$D125,'Tasks'!$F$7:$F$246,$B125,'Tasks'!$K$7:$K$246,"Yes")</x:f>
        <x:v>1</x:v>
      </x:c>
      <x:c r="Z125" s="17" t="n">
        <x:f>COUNTIFS('Tasks'!$C$7:$C$246,$A125,'Tasks'!$L$7:$L$246,$D125,'Tasks'!$F$7:$F$246,$B125,'Tasks'!$AA$7:$AA$246,"&gt;0")</x:f>
        <x:v>2</x:v>
      </x:c>
      <x:c r="AA125" s="17" t="n">
        <x:f>COUNTIFS('Tasks'!$C$7:$C$246,$A125,'Tasks'!$L$7:$L$246,$D125,'Tasks'!$F$7:$F$246,$B125,'Tasks'!$AA$7:$AA$246,"&lt;0")</x:f>
        <x:v>0</x:v>
      </x:c>
      <x:c r="AB125" s="19" t="n">
        <x:f>IF(E125=0,"N/A",V125/E125)</x:f>
        <x:v>3</x:v>
      </x:c>
      <x:c r="AC125" s="22" t="n">
        <x:f>IF(E125=0,"N/A",K125/E125)</x:f>
        <x:v>5.37286</x:v>
      </x:c>
      <x:c r="AD125" s="19" t="n">
        <x:f>IF(E125=0,"N/A",P125/E125)</x:f>
        <x:v>0.6200000000000001</x:v>
      </x:c>
    </x:row>
    <x:row r="126" ht="23" customHeight="1">
      <x:c r="A126" s="17" t="str">
        <x:v>C003</x:v>
      </x:c>
      <x:c r="B126" s="17" t="str">
        <x:v>Plan visual narrative</x:v>
      </x:c>
      <x:c r="C126" s="17" t="str">
        <x:v>prompt_template_used</x:v>
      </x:c>
      <x:c r="D126" s="17" t="str">
        <x:v>Yes</x:v>
      </x:c>
      <x:c r="E126" s="17" t="n">
        <x:f>COUNTIFS('Tasks'!$C$7:$C$246,$A126,'Tasks'!$L$7:$L$246,$D126,'Tasks'!$F$7:$F$246,$B126)</x:f>
        <x:v>3</x:v>
      </x:c>
      <x:c r="F126" s="17" t="n">
        <x:f>SUMIFS('Tasks'!$O$7:$O$246,'Tasks'!$C$7:$C$246,$A126,'Tasks'!$L$7:$L$246,$D126,'Tasks'!$F$7:$F$246,$B126)</x:f>
        <x:v>892861</x:v>
      </x:c>
      <x:c r="G126" s="17" t="n">
        <x:f>SUMIFS('Tasks'!$P$7:$P$246,'Tasks'!$C$7:$C$246,$A126,'Tasks'!$L$7:$L$246,$D126,'Tasks'!$F$7:$F$246,$B126)</x:f>
        <x:v>255634</x:v>
      </x:c>
      <x:c r="H126" s="17" t="n">
        <x:f>SUMIFS('Tasks'!$Q$7:$Q$246,'Tasks'!$C$7:$C$246,$A126,'Tasks'!$L$7:$L$246,$D126,'Tasks'!$F$7:$F$246,$B126)</x:f>
        <x:v>1148495</x:v>
      </x:c>
      <x:c r="I126" s="22" t="n">
        <x:f>SUMIFS('Tasks'!$S$7:$S$246,'Tasks'!$C$7:$C$246,$A126,'Tasks'!$L$7:$L$246,$D126,'Tasks'!$F$7:$F$246,$B126)</x:f>
        <x:v>14.603319999999998</x:v>
      </x:c>
      <x:c r="J126" s="22" t="n">
        <x:f>SUMIFS('Tasks'!$T$7:$T$246,'Tasks'!$C$7:$C$246,$A126,'Tasks'!$L$7:$L$246,$D126,'Tasks'!$F$7:$F$246,$B126)</x:f>
        <x:v>17.32594</x:v>
      </x:c>
      <x:c r="K126" s="22" t="n">
        <x:f>SUMIFS('Tasks'!$U$7:$U$246,'Tasks'!$C$7:$C$246,$A126,'Tasks'!$L$7:$L$246,$D126,'Tasks'!$F$7:$F$246,$B126)</x:f>
        <x:v>31.92926</x:v>
      </x:c>
      <x:c r="L126" s="17" t="n">
        <x:f>SUMIFS('Tasks'!$R$7:$R$246,'Tasks'!$C$7:$C$246,$A126,'Tasks'!$L$7:$L$246,$D126,'Tasks'!$F$7:$F$246,$B126)</x:f>
        <x:v>36</x:v>
      </x:c>
      <x:c r="M126" s="22" t="n">
        <x:f>IF(L126=0,"N/A",K126/L126)</x:f>
        <x:v>0.8869238888888888</x:v>
      </x:c>
      <x:c r="N126" s="19" t="n">
        <x:f>SUMIFS('Tasks'!$G$7:$G$246,'Tasks'!$C$7:$C$246,$A126,'Tasks'!$L$7:$L$246,$D126,'Tasks'!$F$7:$F$246,$B126)</x:f>
        <x:v>9.94</x:v>
      </x:c>
      <x:c r="O126" s="19" t="n">
        <x:f>SUMIFS('Tasks'!$H$7:$H$246,'Tasks'!$C$7:$C$246,$A126,'Tasks'!$L$7:$L$246,$D126,'Tasks'!$F$7:$F$246,$B126)</x:f>
        <x:v>9.46</x:v>
      </x:c>
      <x:c r="P126" s="19" t="n">
        <x:f>SUMIFS('Tasks'!$Y$7:$Y$246,'Tasks'!$C$7:$C$246,$A126,'Tasks'!$L$7:$L$246,$D126,'Tasks'!$F$7:$F$246,$B126)</x:f>
        <x:v>0.48</x:v>
      </x:c>
      <x:c r="Q126" s="22" t="n">
        <x:f>SUMIFS('Tasks'!$Z$7:$Z$246,'Tasks'!$C$7:$C$246,$A126,'Tasks'!$L$7:$L$246,$D126,'Tasks'!$F$7:$F$246,$B126)</x:f>
        <x:v>23.999999999999993</x:v>
      </x:c>
      <x:c r="R126" s="22" t="n">
        <x:f>SUMIFS('Tasks'!$AA$7:$AA$246,'Tasks'!$C$7:$C$246,$A126,'Tasks'!$L$7:$L$246,$D126,'Tasks'!$F$7:$F$246,$B126)</x:f>
        <x:v>-7.929260000000003</x:v>
      </x:c>
      <x:c r="S126" s="31" t="n">
        <x:f>IF(K126=0,"N/A",R126/K126)</x:f>
        <x:v>-0.24833835798261542</x:v>
      </x:c>
      <x:c r="T126" s="19" t="n">
        <x:f>SUMIFS('Tasks'!$I$7:$I$246,'Tasks'!$C$7:$C$246,$A126,'Tasks'!$L$7:$L$246,$D126,'Tasks'!$F$7:$F$246,$B126)</x:f>
        <x:v>1.4</x:v>
      </x:c>
      <x:c r="U126" s="31" t="n">
        <x:f>IF(O126=0,"N/A",T126/O126)</x:f>
        <x:v>0.14799154334038053</x:v>
      </x:c>
      <x:c r="V126" s="17" t="n">
        <x:f>SUMIFS('Tasks'!$X$7:$X$246,'Tasks'!$C$7:$C$246,$A126,'Tasks'!$L$7:$L$246,$D126,'Tasks'!$F$7:$F$246,$B126)</x:f>
        <x:v>8</x:v>
      </x:c>
      <x:c r="W126" s="31" t="n">
        <x:f>IF(L126=0,"N/A",V126/L126)</x:f>
        <x:v>0.2222222222222222</x:v>
      </x:c>
      <x:c r="X126" s="17" t="n">
        <x:f>COUNTIFS('Tasks'!$C$7:$C$246,$A126,'Tasks'!$L$7:$L$246,$D126,'Tasks'!$F$7:$F$246,$B126,'Tasks'!$L$7:$L$246,"Yes")</x:f>
        <x:v>3</x:v>
      </x:c>
      <x:c r="Y126" s="17" t="n">
        <x:f>COUNTIFS('Tasks'!$C$7:$C$246,$A126,'Tasks'!$L$7:$L$246,$D126,'Tasks'!$F$7:$F$246,$B126,'Tasks'!$K$7:$K$246,"Yes")</x:f>
        <x:v>0</x:v>
      </x:c>
      <x:c r="Z126" s="17" t="n">
        <x:f>COUNTIFS('Tasks'!$C$7:$C$246,$A126,'Tasks'!$L$7:$L$246,$D126,'Tasks'!$F$7:$F$246,$B126,'Tasks'!$AA$7:$AA$246,"&gt;0")</x:f>
        <x:v>1</x:v>
      </x:c>
      <x:c r="AA126" s="17" t="n">
        <x:f>COUNTIFS('Tasks'!$C$7:$C$246,$A126,'Tasks'!$L$7:$L$246,$D126,'Tasks'!$F$7:$F$246,$B126,'Tasks'!$AA$7:$AA$246,"&lt;0")</x:f>
        <x:v>2</x:v>
      </x:c>
      <x:c r="AB126" s="19" t="n">
        <x:f>IF(E126=0,"N/A",V126/E126)</x:f>
        <x:v>2.6666666666666665</x:v>
      </x:c>
      <x:c r="AC126" s="22" t="n">
        <x:f>IF(E126=0,"N/A",K126/E126)</x:f>
        <x:v>10.643086666666667</x:v>
      </x:c>
      <x:c r="AD126" s="19" t="n">
        <x:f>IF(E126=0,"N/A",P126/E126)</x:f>
        <x:v>0.16</x:v>
      </x:c>
    </x:row>
    <x:row r="127" ht="23" customHeight="1">
      <x:c r="A127" s="17" t="str">
        <x:v>C003</x:v>
      </x:c>
      <x:c r="B127" s="17" t="str">
        <x:v>Plan visual narrative</x:v>
      </x:c>
      <x:c r="C127" s="17" t="str">
        <x:v>brief_changed</x:v>
      </x:c>
      <x:c r="D127" s="17" t="str">
        <x:v>No</x:v>
      </x:c>
      <x:c r="E127" s="17" t="n">
        <x:f>COUNTIFS('Tasks'!$C$7:$C$246,$A127,'Tasks'!$K$7:$K$246,$D127,'Tasks'!$F$7:$F$246,$B127)</x:f>
        <x:v>4</x:v>
      </x:c>
      <x:c r="F127" s="17" t="n">
        <x:f>SUMIFS('Tasks'!$O$7:$O$246,'Tasks'!$C$7:$C$246,$A127,'Tasks'!$K$7:$K$246,$D127,'Tasks'!$F$7:$F$246,$B127)</x:f>
        <x:v>1280850</x:v>
      </x:c>
      <x:c r="G127" s="17" t="n">
        <x:f>SUMIFS('Tasks'!$P$7:$P$246,'Tasks'!$C$7:$C$246,$A127,'Tasks'!$K$7:$K$246,$D127,'Tasks'!$F$7:$F$246,$B127)</x:f>
        <x:v>290304</x:v>
      </x:c>
      <x:c r="H127" s="17" t="n">
        <x:f>SUMIFS('Tasks'!$Q$7:$Q$246,'Tasks'!$C$7:$C$246,$A127,'Tasks'!$K$7:$K$246,$D127,'Tasks'!$F$7:$F$246,$B127)</x:f>
        <x:v>1571154</x:v>
      </x:c>
      <x:c r="I127" s="22" t="n">
        <x:f>SUMIFS('Tasks'!$S$7:$S$246,'Tasks'!$C$7:$C$246,$A127,'Tasks'!$K$7:$K$246,$D127,'Tasks'!$F$7:$F$246,$B127)</x:f>
        <x:v>18.48321</x:v>
      </x:c>
      <x:c r="J127" s="22" t="n">
        <x:f>SUMIFS('Tasks'!$T$7:$T$246,'Tasks'!$C$7:$C$246,$A127,'Tasks'!$K$7:$K$246,$D127,'Tasks'!$F$7:$F$246,$B127)</x:f>
        <x:v>18.366039999999998</x:v>
      </x:c>
      <x:c r="K127" s="22" t="n">
        <x:f>SUMIFS('Tasks'!$U$7:$U$246,'Tasks'!$C$7:$C$246,$A127,'Tasks'!$K$7:$K$246,$D127,'Tasks'!$F$7:$F$246,$B127)</x:f>
        <x:v>36.84925</x:v>
      </x:c>
      <x:c r="L127" s="17" t="n">
        <x:f>SUMIFS('Tasks'!$R$7:$R$246,'Tasks'!$C$7:$C$246,$A127,'Tasks'!$K$7:$K$246,$D127,'Tasks'!$F$7:$F$246,$B127)</x:f>
        <x:v>47</x:v>
      </x:c>
      <x:c r="M127" s="22" t="n">
        <x:f>IF(L127=0,"N/A",K127/L127)</x:f>
        <x:v>0.7840265957446808</x:v>
      </x:c>
      <x:c r="N127" s="19" t="n">
        <x:f>SUMIFS('Tasks'!$G$7:$G$246,'Tasks'!$C$7:$C$246,$A127,'Tasks'!$K$7:$K$246,$D127,'Tasks'!$F$7:$F$246,$B127)</x:f>
        <x:v>12.459999999999999</x:v>
      </x:c>
      <x:c r="O127" s="19" t="n">
        <x:f>SUMIFS('Tasks'!$H$7:$H$246,'Tasks'!$C$7:$C$246,$A127,'Tasks'!$K$7:$K$246,$D127,'Tasks'!$F$7:$F$246,$B127)</x:f>
        <x:v>10.9</x:v>
      </x:c>
      <x:c r="P127" s="19" t="n">
        <x:f>SUMIFS('Tasks'!$Y$7:$Y$246,'Tasks'!$C$7:$C$246,$A127,'Tasks'!$K$7:$K$246,$D127,'Tasks'!$F$7:$F$246,$B127)</x:f>
        <x:v>1.56</x:v>
      </x:c>
      <x:c r="Q127" s="22" t="n">
        <x:f>SUMIFS('Tasks'!$Z$7:$Z$246,'Tasks'!$C$7:$C$246,$A127,'Tasks'!$K$7:$K$246,$D127,'Tasks'!$F$7:$F$246,$B127)</x:f>
        <x:v>78</x:v>
      </x:c>
      <x:c r="R127" s="22" t="n">
        <x:f>SUMIFS('Tasks'!$AA$7:$AA$246,'Tasks'!$C$7:$C$246,$A127,'Tasks'!$K$7:$K$246,$D127,'Tasks'!$F$7:$F$246,$B127)</x:f>
        <x:v>41.15075</x:v>
      </x:c>
      <x:c r="S127" s="31" t="n">
        <x:f>IF(K127=0,"N/A",R127/K127)</x:f>
        <x:v>1.1167323622597476</x:v>
      </x:c>
      <x:c r="T127" s="19" t="n">
        <x:f>SUMIFS('Tasks'!$I$7:$I$246,'Tasks'!$C$7:$C$246,$A127,'Tasks'!$K$7:$K$246,$D127,'Tasks'!$F$7:$F$246,$B127)</x:f>
        <x:v>1.54</x:v>
      </x:c>
      <x:c r="U127" s="31" t="n">
        <x:f>IF(O127=0,"N/A",T127/O127)</x:f>
        <x:v>0.14128440366972478</x:v>
      </x:c>
      <x:c r="V127" s="17" t="n">
        <x:f>SUMIFS('Tasks'!$X$7:$X$246,'Tasks'!$C$7:$C$246,$A127,'Tasks'!$K$7:$K$246,$D127,'Tasks'!$F$7:$F$246,$B127)</x:f>
        <x:v>11</x:v>
      </x:c>
      <x:c r="W127" s="31" t="n">
        <x:f>IF(L127=0,"N/A",V127/L127)</x:f>
        <x:v>0.23404255319148937</x:v>
      </x:c>
      <x:c r="X127" s="17" t="n">
        <x:f>COUNTIFS('Tasks'!$C$7:$C$246,$A127,'Tasks'!$K$7:$K$246,$D127,'Tasks'!$F$7:$F$246,$B127,'Tasks'!$L$7:$L$246,"Yes")</x:f>
        <x:v>3</x:v>
      </x:c>
      <x:c r="Y127" s="17" t="n">
        <x:f>COUNTIFS('Tasks'!$C$7:$C$246,$A127,'Tasks'!$K$7:$K$246,$D127,'Tasks'!$F$7:$F$246,$B127,'Tasks'!$K$7:$K$246,"Yes")</x:f>
        <x:v>0</x:v>
      </x:c>
      <x:c r="Z127" s="17" t="n">
        <x:f>COUNTIFS('Tasks'!$C$7:$C$246,$A127,'Tasks'!$K$7:$K$246,$D127,'Tasks'!$F$7:$F$246,$B127,'Tasks'!$AA$7:$AA$246,"&gt;0")</x:f>
        <x:v>2</x:v>
      </x:c>
      <x:c r="AA127" s="17" t="n">
        <x:f>COUNTIFS('Tasks'!$C$7:$C$246,$A127,'Tasks'!$K$7:$K$246,$D127,'Tasks'!$F$7:$F$246,$B127,'Tasks'!$AA$7:$AA$246,"&lt;0")</x:f>
        <x:v>2</x:v>
      </x:c>
      <x:c r="AB127" s="19" t="n">
        <x:f>IF(E127=0,"N/A",V127/E127)</x:f>
        <x:v>2.75</x:v>
      </x:c>
      <x:c r="AC127" s="22" t="n">
        <x:f>IF(E127=0,"N/A",K127/E127)</x:f>
        <x:v>9.2123125</x:v>
      </x:c>
      <x:c r="AD127" s="19" t="n">
        <x:f>IF(E127=0,"N/A",P127/E127)</x:f>
        <x:v>0.39</x:v>
      </x:c>
    </x:row>
    <x:row r="128" ht="23" customHeight="1">
      <x:c r="A128" s="17" t="str">
        <x:v>C003</x:v>
      </x:c>
      <x:c r="B128" s="17" t="str">
        <x:v>Plan visual narrative</x:v>
      </x:c>
      <x:c r="C128" s="17" t="str">
        <x:v>brief_changed</x:v>
      </x:c>
      <x:c r="D128" s="17" t="str">
        <x:v>Yes</x:v>
      </x:c>
      <x:c r="E128" s="17" t="n">
        <x:f>COUNTIFS('Tasks'!$C$7:$C$246,$A128,'Tasks'!$K$7:$K$246,$D128,'Tasks'!$F$7:$F$246,$B128)</x:f>
        <x:v>1</x:v>
      </x:c>
      <x:c r="F128" s="17" t="n">
        <x:f>SUMIFS('Tasks'!$O$7:$O$246,'Tasks'!$C$7:$C$246,$A128,'Tasks'!$K$7:$K$246,$D128,'Tasks'!$F$7:$F$246,$B128)</x:f>
        <x:v>293247</x:v>
      </x:c>
      <x:c r="G128" s="17" t="n">
        <x:f>SUMIFS('Tasks'!$P$7:$P$246,'Tasks'!$C$7:$C$246,$A128,'Tasks'!$K$7:$K$246,$D128,'Tasks'!$F$7:$F$246,$B128)</x:f>
        <x:v>96442</x:v>
      </x:c>
      <x:c r="H128" s="17" t="n">
        <x:f>SUMIFS('Tasks'!$Q$7:$Q$246,'Tasks'!$C$7:$C$246,$A128,'Tasks'!$K$7:$K$246,$D128,'Tasks'!$F$7:$F$246,$B128)</x:f>
        <x:v>389689</x:v>
      </x:c>
      <x:c r="I128" s="22" t="n">
        <x:f>SUMIFS('Tasks'!$S$7:$S$246,'Tasks'!$C$7:$C$246,$A128,'Tasks'!$K$7:$K$246,$D128,'Tasks'!$F$7:$F$246,$B128)</x:f>
        <x:v>2.93247</x:v>
      </x:c>
      <x:c r="J128" s="22" t="n">
        <x:f>SUMIFS('Tasks'!$T$7:$T$246,'Tasks'!$C$7:$C$246,$A128,'Tasks'!$K$7:$K$246,$D128,'Tasks'!$F$7:$F$246,$B128)</x:f>
        <x:v>2.8932599999999997</x:v>
      </x:c>
      <x:c r="K128" s="22" t="n">
        <x:f>SUMIFS('Tasks'!$U$7:$U$246,'Tasks'!$C$7:$C$246,$A128,'Tasks'!$K$7:$K$246,$D128,'Tasks'!$F$7:$F$246,$B128)</x:f>
        <x:v>5.82573</x:v>
      </x:c>
      <x:c r="L128" s="17" t="n">
        <x:f>SUMIFS('Tasks'!$R$7:$R$246,'Tasks'!$C$7:$C$246,$A128,'Tasks'!$K$7:$K$246,$D128,'Tasks'!$F$7:$F$246,$B128)</x:f>
        <x:v>13</x:v>
      </x:c>
      <x:c r="M128" s="22" t="n">
        <x:f>IF(L128=0,"N/A",K128/L128)</x:f>
        <x:v>0.4481330769230769</x:v>
      </x:c>
      <x:c r="N128" s="19" t="n">
        <x:f>SUMIFS('Tasks'!$G$7:$G$246,'Tasks'!$C$7:$C$246,$A128,'Tasks'!$K$7:$K$246,$D128,'Tasks'!$F$7:$F$246,$B128)</x:f>
        <x:v>3.72</x:v>
      </x:c>
      <x:c r="O128" s="19" t="n">
        <x:f>SUMIFS('Tasks'!$H$7:$H$246,'Tasks'!$C$7:$C$246,$A128,'Tasks'!$K$7:$K$246,$D128,'Tasks'!$F$7:$F$246,$B128)</x:f>
        <x:v>3.56</x:v>
      </x:c>
      <x:c r="P128" s="19" t="n">
        <x:f>SUMIFS('Tasks'!$Y$7:$Y$246,'Tasks'!$C$7:$C$246,$A128,'Tasks'!$K$7:$K$246,$D128,'Tasks'!$F$7:$F$246,$B128)</x:f>
        <x:v>0.16000000000000014</x:v>
      </x:c>
      <x:c r="Q128" s="22" t="n">
        <x:f>SUMIFS('Tasks'!$Z$7:$Z$246,'Tasks'!$C$7:$C$246,$A128,'Tasks'!$K$7:$K$246,$D128,'Tasks'!$F$7:$F$246,$B128)</x:f>
        <x:v>8.000000000000007</x:v>
      </x:c>
      <x:c r="R128" s="22" t="n">
        <x:f>SUMIFS('Tasks'!$AA$7:$AA$246,'Tasks'!$C$7:$C$246,$A128,'Tasks'!$K$7:$K$246,$D128,'Tasks'!$F$7:$F$246,$B128)</x:f>
        <x:v>2.174270000000007</x:v>
      </x:c>
      <x:c r="S128" s="31" t="n">
        <x:f>IF(K128=0,"N/A",R128/K128)</x:f>
        <x:v>0.37321846360885363</x:v>
      </x:c>
      <x:c r="T128" s="19" t="n">
        <x:f>SUMIFS('Tasks'!$I$7:$I$246,'Tasks'!$C$7:$C$246,$A128,'Tasks'!$K$7:$K$246,$D128,'Tasks'!$F$7:$F$246,$B128)</x:f>
        <x:v>0.33</x:v>
      </x:c>
      <x:c r="U128" s="31" t="n">
        <x:f>IF(O128=0,"N/A",T128/O128)</x:f>
        <x:v>0.09269662921348315</x:v>
      </x:c>
      <x:c r="V128" s="17" t="n">
        <x:f>SUMIFS('Tasks'!$X$7:$X$246,'Tasks'!$C$7:$C$246,$A128,'Tasks'!$K$7:$K$246,$D128,'Tasks'!$F$7:$F$246,$B128)</x:f>
        <x:v>3</x:v>
      </x:c>
      <x:c r="W128" s="31" t="n">
        <x:f>IF(L128=0,"N/A",V128/L128)</x:f>
        <x:v>0.23076923076923078</x:v>
      </x:c>
      <x:c r="X128" s="17" t="n">
        <x:f>COUNTIFS('Tasks'!$C$7:$C$246,$A128,'Tasks'!$K$7:$K$246,$D128,'Tasks'!$F$7:$F$246,$B128,'Tasks'!$L$7:$L$246,"Yes")</x:f>
        <x:v>0</x:v>
      </x:c>
      <x:c r="Y128" s="17" t="n">
        <x:f>COUNTIFS('Tasks'!$C$7:$C$246,$A128,'Tasks'!$K$7:$K$246,$D128,'Tasks'!$F$7:$F$246,$B128,'Tasks'!$K$7:$K$246,"Yes")</x:f>
        <x:v>1</x:v>
      </x:c>
      <x:c r="Z128" s="17" t="n">
        <x:f>COUNTIFS('Tasks'!$C$7:$C$246,$A128,'Tasks'!$K$7:$K$246,$D128,'Tasks'!$F$7:$F$246,$B128,'Tasks'!$AA$7:$AA$246,"&gt;0")</x:f>
        <x:v>1</x:v>
      </x:c>
      <x:c r="AA128" s="17" t="n">
        <x:f>COUNTIFS('Tasks'!$C$7:$C$246,$A128,'Tasks'!$K$7:$K$246,$D128,'Tasks'!$F$7:$F$246,$B128,'Tasks'!$AA$7:$AA$246,"&lt;0")</x:f>
        <x:v>0</x:v>
      </x:c>
      <x:c r="AB128" s="19" t="n">
        <x:f>IF(E128=0,"N/A",V128/E128)</x:f>
        <x:v>3</x:v>
      </x:c>
      <x:c r="AC128" s="22" t="n">
        <x:f>IF(E128=0,"N/A",K128/E128)</x:f>
        <x:v>5.82573</x:v>
      </x:c>
      <x:c r="AD128" s="19" t="n">
        <x:f>IF(E128=0,"N/A",P128/E128)</x:f>
        <x:v>0.16000000000000014</x:v>
      </x:c>
    </x:row>
    <x:row r="129" ht="23" customHeight="1">
      <x:c r="A129" s="17" t="str">
        <x:v>C003</x:v>
      </x:c>
      <x:c r="B129" s="17" t="str">
        <x:v>Prepare launch checklist</x:v>
      </x:c>
      <x:c r="C129" s="17" t="str">
        <x:v>prompt_template_used</x:v>
      </x:c>
      <x:c r="D129" s="17" t="str">
        <x:v>No</x:v>
      </x:c>
      <x:c r="E129" s="17" t="n">
        <x:f>COUNTIFS('Tasks'!$C$7:$C$246,$A129,'Tasks'!$L$7:$L$246,$D129,'Tasks'!$F$7:$F$246,$B129)</x:f>
        <x:v>3</x:v>
      </x:c>
      <x:c r="F129" s="17" t="n">
        <x:f>SUMIFS('Tasks'!$O$7:$O$246,'Tasks'!$C$7:$C$246,$A129,'Tasks'!$L$7:$L$246,$D129,'Tasks'!$F$7:$F$246,$B129)</x:f>
        <x:v>935634</x:v>
      </x:c>
      <x:c r="G129" s="17" t="n">
        <x:f>SUMIFS('Tasks'!$P$7:$P$246,'Tasks'!$C$7:$C$246,$A129,'Tasks'!$L$7:$L$246,$D129,'Tasks'!$F$7:$F$246,$B129)</x:f>
        <x:v>200060</x:v>
      </x:c>
      <x:c r="H129" s="17" t="n">
        <x:f>SUMIFS('Tasks'!$Q$7:$Q$246,'Tasks'!$C$7:$C$246,$A129,'Tasks'!$L$7:$L$246,$D129,'Tasks'!$F$7:$F$246,$B129)</x:f>
        <x:v>1135694</x:v>
      </x:c>
      <x:c r="I129" s="22" t="n">
        <x:f>SUMIFS('Tasks'!$S$7:$S$246,'Tasks'!$C$7:$C$246,$A129,'Tasks'!$L$7:$L$246,$D129,'Tasks'!$F$7:$F$246,$B129)</x:f>
        <x:v>9.35634</x:v>
      </x:c>
      <x:c r="J129" s="22" t="n">
        <x:f>SUMIFS('Tasks'!$T$7:$T$246,'Tasks'!$C$7:$C$246,$A129,'Tasks'!$L$7:$L$246,$D129,'Tasks'!$F$7:$F$246,$B129)</x:f>
        <x:v>6.001800000000001</x:v>
      </x:c>
      <x:c r="K129" s="22" t="n">
        <x:f>SUMIFS('Tasks'!$U$7:$U$246,'Tasks'!$C$7:$C$246,$A129,'Tasks'!$L$7:$L$246,$D129,'Tasks'!$F$7:$F$246,$B129)</x:f>
        <x:v>15.358139999999999</x:v>
      </x:c>
      <x:c r="L129" s="17" t="n">
        <x:f>SUMIFS('Tasks'!$R$7:$R$246,'Tasks'!$C$7:$C$246,$A129,'Tasks'!$L$7:$L$246,$D129,'Tasks'!$F$7:$F$246,$B129)</x:f>
        <x:v>35</x:v>
      </x:c>
      <x:c r="M129" s="22" t="n">
        <x:f>IF(L129=0,"N/A",K129/L129)</x:f>
        <x:v>0.43880399999999997</x:v>
      </x:c>
      <x:c r="N129" s="19" t="n">
        <x:f>SUMIFS('Tasks'!$G$7:$G$246,'Tasks'!$C$7:$C$246,$A129,'Tasks'!$L$7:$L$246,$D129,'Tasks'!$F$7:$F$246,$B129)</x:f>
        <x:v>9.879999999999999</x:v>
      </x:c>
      <x:c r="O129" s="19" t="n">
        <x:f>SUMIFS('Tasks'!$H$7:$H$246,'Tasks'!$C$7:$C$246,$A129,'Tasks'!$L$7:$L$246,$D129,'Tasks'!$F$7:$F$246,$B129)</x:f>
        <x:v>5.17</x:v>
      </x:c>
      <x:c r="P129" s="19" t="n">
        <x:f>SUMIFS('Tasks'!$Y$7:$Y$246,'Tasks'!$C$7:$C$246,$A129,'Tasks'!$L$7:$L$246,$D129,'Tasks'!$F$7:$F$246,$B129)</x:f>
        <x:v>4.709999999999999</x:v>
      </x:c>
      <x:c r="Q129" s="22" t="n">
        <x:f>SUMIFS('Tasks'!$Z$7:$Z$246,'Tasks'!$C$7:$C$246,$A129,'Tasks'!$L$7:$L$246,$D129,'Tasks'!$F$7:$F$246,$B129)</x:f>
        <x:v>235.5</x:v>
      </x:c>
      <x:c r="R129" s="22" t="n">
        <x:f>SUMIFS('Tasks'!$AA$7:$AA$246,'Tasks'!$C$7:$C$246,$A129,'Tasks'!$L$7:$L$246,$D129,'Tasks'!$F$7:$F$246,$B129)</x:f>
        <x:v>220.14186</x:v>
      </x:c>
      <x:c r="S129" s="31" t="n">
        <x:f>IF(K129=0,"N/A",R129/K129)</x:f>
        <x:v>14.33388808801066</x:v>
      </x:c>
      <x:c r="T129" s="19" t="n">
        <x:f>SUMIFS('Tasks'!$I$7:$I$246,'Tasks'!$C$7:$C$246,$A129,'Tasks'!$L$7:$L$246,$D129,'Tasks'!$F$7:$F$246,$B129)</x:f>
        <x:v>0.3</x:v>
      </x:c>
      <x:c r="U129" s="31" t="n">
        <x:f>IF(O129=0,"N/A",T129/O129)</x:f>
        <x:v>0.058027079303675046</x:v>
      </x:c>
      <x:c r="V129" s="17" t="n">
        <x:f>SUMIFS('Tasks'!$X$7:$X$246,'Tasks'!$C$7:$C$246,$A129,'Tasks'!$L$7:$L$246,$D129,'Tasks'!$F$7:$F$246,$B129)</x:f>
        <x:v>7</x:v>
      </x:c>
      <x:c r="W129" s="31" t="n">
        <x:f>IF(L129=0,"N/A",V129/L129)</x:f>
        <x:v>0.2</x:v>
      </x:c>
      <x:c r="X129" s="17" t="n">
        <x:f>COUNTIFS('Tasks'!$C$7:$C$246,$A129,'Tasks'!$L$7:$L$246,$D129,'Tasks'!$F$7:$F$246,$B129,'Tasks'!$L$7:$L$246,"Yes")</x:f>
        <x:v>0</x:v>
      </x:c>
      <x:c r="Y129" s="17" t="n">
        <x:f>COUNTIFS('Tasks'!$C$7:$C$246,$A129,'Tasks'!$L$7:$L$246,$D129,'Tasks'!$F$7:$F$246,$B129,'Tasks'!$K$7:$K$246,"Yes")</x:f>
        <x:v>0</x:v>
      </x:c>
      <x:c r="Z129" s="17" t="n">
        <x:f>COUNTIFS('Tasks'!$C$7:$C$246,$A129,'Tasks'!$L$7:$L$246,$D129,'Tasks'!$F$7:$F$246,$B129,'Tasks'!$AA$7:$AA$246,"&gt;0")</x:f>
        <x:v>3</x:v>
      </x:c>
      <x:c r="AA129" s="17" t="n">
        <x:f>COUNTIFS('Tasks'!$C$7:$C$246,$A129,'Tasks'!$L$7:$L$246,$D129,'Tasks'!$F$7:$F$246,$B129,'Tasks'!$AA$7:$AA$246,"&lt;0")</x:f>
        <x:v>0</x:v>
      </x:c>
      <x:c r="AB129" s="19" t="n">
        <x:f>IF(E129=0,"N/A",V129/E129)</x:f>
        <x:v>2.3333333333333335</x:v>
      </x:c>
      <x:c r="AC129" s="22" t="n">
        <x:f>IF(E129=0,"N/A",K129/E129)</x:f>
        <x:v>5.11938</x:v>
      </x:c>
      <x:c r="AD129" s="19" t="n">
        <x:f>IF(E129=0,"N/A",P129/E129)</x:f>
        <x:v>1.5699999999999996</x:v>
      </x:c>
    </x:row>
    <x:row r="130" ht="23" customHeight="1">
      <x:c r="A130" s="17" t="str">
        <x:v>C003</x:v>
      </x:c>
      <x:c r="B130" s="17" t="str">
        <x:v>Prepare launch checklist</x:v>
      </x:c>
      <x:c r="C130" s="17" t="str">
        <x:v>prompt_template_used</x:v>
      </x:c>
      <x:c r="D130" s="17" t="str">
        <x:v>Yes</x:v>
      </x:c>
      <x:c r="E130" s="17" t="n">
        <x:f>COUNTIFS('Tasks'!$C$7:$C$246,$A130,'Tasks'!$L$7:$L$246,$D130,'Tasks'!$F$7:$F$246,$B130)</x:f>
        <x:v>3</x:v>
      </x:c>
      <x:c r="F130" s="17" t="n">
        <x:f>SUMIFS('Tasks'!$O$7:$O$246,'Tasks'!$C$7:$C$246,$A130,'Tasks'!$L$7:$L$246,$D130,'Tasks'!$F$7:$F$246,$B130)</x:f>
        <x:v>639925</x:v>
      </x:c>
      <x:c r="G130" s="17" t="n">
        <x:f>SUMIFS('Tasks'!$P$7:$P$246,'Tasks'!$C$7:$C$246,$A130,'Tasks'!$L$7:$L$246,$D130,'Tasks'!$F$7:$F$246,$B130)</x:f>
        <x:v>243798</x:v>
      </x:c>
      <x:c r="H130" s="17" t="n">
        <x:f>SUMIFS('Tasks'!$Q$7:$Q$246,'Tasks'!$C$7:$C$246,$A130,'Tasks'!$L$7:$L$246,$D130,'Tasks'!$F$7:$F$246,$B130)</x:f>
        <x:v>883723</x:v>
      </x:c>
      <x:c r="I130" s="22" t="n">
        <x:f>SUMIFS('Tasks'!$S$7:$S$246,'Tasks'!$C$7:$C$246,$A130,'Tasks'!$L$7:$L$246,$D130,'Tasks'!$F$7:$F$246,$B130)</x:f>
        <x:v>14.92975</x:v>
      </x:c>
      <x:c r="J130" s="22" t="n">
        <x:f>SUMIFS('Tasks'!$T$7:$T$246,'Tasks'!$C$7:$C$246,$A130,'Tasks'!$L$7:$L$246,$D130,'Tasks'!$F$7:$F$246,$B130)</x:f>
        <x:v>15.15947</x:v>
      </x:c>
      <x:c r="K130" s="22" t="n">
        <x:f>SUMIFS('Tasks'!$U$7:$U$246,'Tasks'!$C$7:$C$246,$A130,'Tasks'!$L$7:$L$246,$D130,'Tasks'!$F$7:$F$246,$B130)</x:f>
        <x:v>30.089220000000005</x:v>
      </x:c>
      <x:c r="L130" s="17" t="n">
        <x:f>SUMIFS('Tasks'!$R$7:$R$246,'Tasks'!$C$7:$C$246,$A130,'Tasks'!$L$7:$L$246,$D130,'Tasks'!$F$7:$F$246,$B130)</x:f>
        <x:v>32</x:v>
      </x:c>
      <x:c r="M130" s="22" t="n">
        <x:f>IF(L130=0,"N/A",K130/L130)</x:f>
        <x:v>0.9402881250000001</x:v>
      </x:c>
      <x:c r="N130" s="19" t="n">
        <x:f>SUMIFS('Tasks'!$G$7:$G$246,'Tasks'!$C$7:$C$246,$A130,'Tasks'!$L$7:$L$246,$D130,'Tasks'!$F$7:$F$246,$B130)</x:f>
        <x:v>10.44</x:v>
      </x:c>
      <x:c r="O130" s="19" t="n">
        <x:f>SUMIFS('Tasks'!$H$7:$H$246,'Tasks'!$C$7:$C$246,$A130,'Tasks'!$L$7:$L$246,$D130,'Tasks'!$F$7:$F$246,$B130)</x:f>
        <x:v>8.66</x:v>
      </x:c>
      <x:c r="P130" s="19" t="n">
        <x:f>SUMIFS('Tasks'!$Y$7:$Y$246,'Tasks'!$C$7:$C$246,$A130,'Tasks'!$L$7:$L$246,$D130,'Tasks'!$F$7:$F$246,$B130)</x:f>
        <x:v>1.7799999999999998</x:v>
      </x:c>
      <x:c r="Q130" s="22" t="n">
        <x:f>SUMIFS('Tasks'!$Z$7:$Z$246,'Tasks'!$C$7:$C$246,$A130,'Tasks'!$L$7:$L$246,$D130,'Tasks'!$F$7:$F$246,$B130)</x:f>
        <x:v>88.99999999999999</x:v>
      </x:c>
      <x:c r="R130" s="22" t="n">
        <x:f>SUMIFS('Tasks'!$AA$7:$AA$246,'Tasks'!$C$7:$C$246,$A130,'Tasks'!$L$7:$L$246,$D130,'Tasks'!$F$7:$F$246,$B130)</x:f>
        <x:v>58.91077999999998</x:v>
      </x:c>
      <x:c r="S130" s="31" t="n">
        <x:f>IF(K130=0,"N/A",R130/K130)</x:f>
        <x:v>1.9578699614014579</x:v>
      </x:c>
      <x:c r="T130" s="19" t="n">
        <x:f>SUMIFS('Tasks'!$I$7:$I$246,'Tasks'!$C$7:$C$246,$A130,'Tasks'!$L$7:$L$246,$D130,'Tasks'!$F$7:$F$246,$B130)</x:f>
        <x:v>1.2999999999999998</x:v>
      </x:c>
      <x:c r="U130" s="31" t="n">
        <x:f>IF(O130=0,"N/A",T130/O130)</x:f>
        <x:v>0.1501154734411085</x:v>
      </x:c>
      <x:c r="V130" s="17" t="n">
        <x:f>SUMIFS('Tasks'!$X$7:$X$246,'Tasks'!$C$7:$C$246,$A130,'Tasks'!$L$7:$L$246,$D130,'Tasks'!$F$7:$F$246,$B130)</x:f>
        <x:v>6</x:v>
      </x:c>
      <x:c r="W130" s="31" t="n">
        <x:f>IF(L130=0,"N/A",V130/L130)</x:f>
        <x:v>0.1875</x:v>
      </x:c>
      <x:c r="X130" s="17" t="n">
        <x:f>COUNTIFS('Tasks'!$C$7:$C$246,$A130,'Tasks'!$L$7:$L$246,$D130,'Tasks'!$F$7:$F$246,$B130,'Tasks'!$L$7:$L$246,"Yes")</x:f>
        <x:v>3</x:v>
      </x:c>
      <x:c r="Y130" s="17" t="n">
        <x:f>COUNTIFS('Tasks'!$C$7:$C$246,$A130,'Tasks'!$L$7:$L$246,$D130,'Tasks'!$F$7:$F$246,$B130,'Tasks'!$K$7:$K$246,"Yes")</x:f>
        <x:v>1</x:v>
      </x:c>
      <x:c r="Z130" s="17" t="n">
        <x:f>COUNTIFS('Tasks'!$C$7:$C$246,$A130,'Tasks'!$L$7:$L$246,$D130,'Tasks'!$F$7:$F$246,$B130,'Tasks'!$AA$7:$AA$246,"&gt;0")</x:f>
        <x:v>2</x:v>
      </x:c>
      <x:c r="AA130" s="17" t="n">
        <x:f>COUNTIFS('Tasks'!$C$7:$C$246,$A130,'Tasks'!$L$7:$L$246,$D130,'Tasks'!$F$7:$F$246,$B130,'Tasks'!$AA$7:$AA$246,"&lt;0")</x:f>
        <x:v>1</x:v>
      </x:c>
      <x:c r="AB130" s="19" t="n">
        <x:f>IF(E130=0,"N/A",V130/E130)</x:f>
        <x:v>2</x:v>
      </x:c>
      <x:c r="AC130" s="22" t="n">
        <x:f>IF(E130=0,"N/A",K130/E130)</x:f>
        <x:v>10.029740000000002</x:v>
      </x:c>
      <x:c r="AD130" s="19" t="n">
        <x:f>IF(E130=0,"N/A",P130/E130)</x:f>
        <x:v>0.5933333333333333</x:v>
      </x:c>
    </x:row>
    <x:row r="131" ht="23" customHeight="1">
      <x:c r="A131" s="17" t="str">
        <x:v>C003</x:v>
      </x:c>
      <x:c r="B131" s="17" t="str">
        <x:v>Prepare launch checklist</x:v>
      </x:c>
      <x:c r="C131" s="17" t="str">
        <x:v>brief_changed</x:v>
      </x:c>
      <x:c r="D131" s="17" t="str">
        <x:v>No</x:v>
      </x:c>
      <x:c r="E131" s="17" t="n">
        <x:f>COUNTIFS('Tasks'!$C$7:$C$246,$A131,'Tasks'!$K$7:$K$246,$D131,'Tasks'!$F$7:$F$246,$B131)</x:f>
        <x:v>5</x:v>
      </x:c>
      <x:c r="F131" s="17" t="n">
        <x:f>SUMIFS('Tasks'!$O$7:$O$246,'Tasks'!$C$7:$C$246,$A131,'Tasks'!$K$7:$K$246,$D131,'Tasks'!$F$7:$F$246,$B131)</x:f>
        <x:v>1291209</x:v>
      </x:c>
      <x:c r="G131" s="17" t="n">
        <x:f>SUMIFS('Tasks'!$P$7:$P$246,'Tasks'!$C$7:$C$246,$A131,'Tasks'!$K$7:$K$246,$D131,'Tasks'!$F$7:$F$246,$B131)</x:f>
        <x:v>331779</x:v>
      </x:c>
      <x:c r="H131" s="17" t="n">
        <x:f>SUMIFS('Tasks'!$Q$7:$Q$246,'Tasks'!$C$7:$C$246,$A131,'Tasks'!$K$7:$K$246,$D131,'Tasks'!$F$7:$F$246,$B131)</x:f>
        <x:v>1622988</x:v>
      </x:c>
      <x:c r="I131" s="22" t="n">
        <x:f>SUMIFS('Tasks'!$S$7:$S$246,'Tasks'!$C$7:$C$246,$A131,'Tasks'!$K$7:$K$246,$D131,'Tasks'!$F$7:$F$246,$B131)</x:f>
        <x:v>12.912090000000001</x:v>
      </x:c>
      <x:c r="J131" s="22" t="n">
        <x:f>SUMIFS('Tasks'!$T$7:$T$246,'Tasks'!$C$7:$C$246,$A131,'Tasks'!$K$7:$K$246,$D131,'Tasks'!$F$7:$F$246,$B131)</x:f>
        <x:v>9.95337</x:v>
      </x:c>
      <x:c r="K131" s="22" t="n">
        <x:f>SUMIFS('Tasks'!$U$7:$U$246,'Tasks'!$C$7:$C$246,$A131,'Tasks'!$K$7:$K$246,$D131,'Tasks'!$F$7:$F$246,$B131)</x:f>
        <x:v>22.86546</x:v>
      </x:c>
      <x:c r="L131" s="17" t="n">
        <x:f>SUMIFS('Tasks'!$R$7:$R$246,'Tasks'!$C$7:$C$246,$A131,'Tasks'!$K$7:$K$246,$D131,'Tasks'!$F$7:$F$246,$B131)</x:f>
        <x:v>55</x:v>
      </x:c>
      <x:c r="M131" s="22" t="n">
        <x:f>IF(L131=0,"N/A",K131/L131)</x:f>
        <x:v>0.41573563636363636</x:v>
      </x:c>
      <x:c r="N131" s="19" t="n">
        <x:f>SUMIFS('Tasks'!$G$7:$G$246,'Tasks'!$C$7:$C$246,$A131,'Tasks'!$K$7:$K$246,$D131,'Tasks'!$F$7:$F$246,$B131)</x:f>
        <x:v>16.689999999999998</x:v>
      </x:c>
      <x:c r="O131" s="19" t="n">
        <x:f>SUMIFS('Tasks'!$H$7:$H$246,'Tasks'!$C$7:$C$246,$A131,'Tasks'!$K$7:$K$246,$D131,'Tasks'!$F$7:$F$246,$B131)</x:f>
        <x:v>9.469999999999999</x:v>
      </x:c>
      <x:c r="P131" s="19" t="n">
        <x:f>SUMIFS('Tasks'!$Y$7:$Y$246,'Tasks'!$C$7:$C$246,$A131,'Tasks'!$K$7:$K$246,$D131,'Tasks'!$F$7:$F$246,$B131)</x:f>
        <x:v>7.220000000000001</x:v>
      </x:c>
      <x:c r="Q131" s="22" t="n">
        <x:f>SUMIFS('Tasks'!$Z$7:$Z$246,'Tasks'!$C$7:$C$246,$A131,'Tasks'!$K$7:$K$246,$D131,'Tasks'!$F$7:$F$246,$B131)</x:f>
        <x:v>361</x:v>
      </x:c>
      <x:c r="R131" s="22" t="n">
        <x:f>SUMIFS('Tasks'!$AA$7:$AA$246,'Tasks'!$C$7:$C$246,$A131,'Tasks'!$K$7:$K$246,$D131,'Tasks'!$F$7:$F$246,$B131)</x:f>
        <x:v>338.13454</x:v>
      </x:c>
      <x:c r="S131" s="31" t="n">
        <x:f>IF(K131=0,"N/A",R131/K131)</x:f>
        <x:v>14.788005139629819</x:v>
      </x:c>
      <x:c r="T131" s="19" t="n">
        <x:f>SUMIFS('Tasks'!$I$7:$I$246,'Tasks'!$C$7:$C$246,$A131,'Tasks'!$K$7:$K$246,$D131,'Tasks'!$F$7:$F$246,$B131)</x:f>
        <x:v>0.7599999999999999</x:v>
      </x:c>
      <x:c r="U131" s="31" t="n">
        <x:f>IF(O131=0,"N/A",T131/O131)</x:f>
        <x:v>0.08025343189017951</x:v>
      </x:c>
      <x:c r="V131" s="17" t="n">
        <x:f>SUMIFS('Tasks'!$X$7:$X$246,'Tasks'!$C$7:$C$246,$A131,'Tasks'!$K$7:$K$246,$D131,'Tasks'!$F$7:$F$246,$B131)</x:f>
        <x:v>11</x:v>
      </x:c>
      <x:c r="W131" s="31" t="n">
        <x:f>IF(L131=0,"N/A",V131/L131)</x:f>
        <x:v>0.2</x:v>
      </x:c>
      <x:c r="X131" s="17" t="n">
        <x:f>COUNTIFS('Tasks'!$C$7:$C$246,$A131,'Tasks'!$K$7:$K$246,$D131,'Tasks'!$F$7:$F$246,$B131,'Tasks'!$L$7:$L$246,"Yes")</x:f>
        <x:v>2</x:v>
      </x:c>
      <x:c r="Y131" s="17" t="n">
        <x:f>COUNTIFS('Tasks'!$C$7:$C$246,$A131,'Tasks'!$K$7:$K$246,$D131,'Tasks'!$F$7:$F$246,$B131,'Tasks'!$K$7:$K$246,"Yes")</x:f>
        <x:v>0</x:v>
      </x:c>
      <x:c r="Z131" s="17" t="n">
        <x:f>COUNTIFS('Tasks'!$C$7:$C$246,$A131,'Tasks'!$K$7:$K$246,$D131,'Tasks'!$F$7:$F$246,$B131,'Tasks'!$AA$7:$AA$246,"&gt;0")</x:f>
        <x:v>5</x:v>
      </x:c>
      <x:c r="AA131" s="17" t="n">
        <x:f>COUNTIFS('Tasks'!$C$7:$C$246,$A131,'Tasks'!$K$7:$K$246,$D131,'Tasks'!$F$7:$F$246,$B131,'Tasks'!$AA$7:$AA$246,"&lt;0")</x:f>
        <x:v>0</x:v>
      </x:c>
      <x:c r="AB131" s="19" t="n">
        <x:f>IF(E131=0,"N/A",V131/E131)</x:f>
        <x:v>2.2</x:v>
      </x:c>
      <x:c r="AC131" s="22" t="n">
        <x:f>IF(E131=0,"N/A",K131/E131)</x:f>
        <x:v>4.573092</x:v>
      </x:c>
      <x:c r="AD131" s="19" t="n">
        <x:f>IF(E131=0,"N/A",P131/E131)</x:f>
        <x:v>1.4440000000000002</x:v>
      </x:c>
    </x:row>
    <x:row r="132" ht="23" customHeight="1">
      <x:c r="A132" s="17" t="str">
        <x:v>C003</x:v>
      </x:c>
      <x:c r="B132" s="17" t="str">
        <x:v>Prepare launch checklist</x:v>
      </x:c>
      <x:c r="C132" s="17" t="str">
        <x:v>brief_changed</x:v>
      </x:c>
      <x:c r="D132" s="17" t="str">
        <x:v>Yes</x:v>
      </x:c>
      <x:c r="E132" s="17" t="n">
        <x:f>COUNTIFS('Tasks'!$C$7:$C$246,$A132,'Tasks'!$K$7:$K$246,$D132,'Tasks'!$F$7:$F$246,$B132)</x:f>
        <x:v>1</x:v>
      </x:c>
      <x:c r="F132" s="17" t="n">
        <x:f>SUMIFS('Tasks'!$O$7:$O$246,'Tasks'!$C$7:$C$246,$A132,'Tasks'!$K$7:$K$246,$D132,'Tasks'!$F$7:$F$246,$B132)</x:f>
        <x:v>284350</x:v>
      </x:c>
      <x:c r="G132" s="17" t="n">
        <x:f>SUMIFS('Tasks'!$P$7:$P$246,'Tasks'!$C$7:$C$246,$A132,'Tasks'!$K$7:$K$246,$D132,'Tasks'!$F$7:$F$246,$B132)</x:f>
        <x:v>112079</x:v>
      </x:c>
      <x:c r="H132" s="17" t="n">
        <x:f>SUMIFS('Tasks'!$Q$7:$Q$246,'Tasks'!$C$7:$C$246,$A132,'Tasks'!$K$7:$K$246,$D132,'Tasks'!$F$7:$F$246,$B132)</x:f>
        <x:v>396429</x:v>
      </x:c>
      <x:c r="I132" s="22" t="n">
        <x:f>SUMIFS('Tasks'!$S$7:$S$246,'Tasks'!$C$7:$C$246,$A132,'Tasks'!$K$7:$K$246,$D132,'Tasks'!$F$7:$F$246,$B132)</x:f>
        <x:v>11.374</x:v>
      </x:c>
      <x:c r="J132" s="22" t="n">
        <x:f>SUMIFS('Tasks'!$T$7:$T$246,'Tasks'!$C$7:$C$246,$A132,'Tasks'!$K$7:$K$246,$D132,'Tasks'!$F$7:$F$246,$B132)</x:f>
        <x:v>11.2079</x:v>
      </x:c>
      <x:c r="K132" s="22" t="n">
        <x:f>SUMIFS('Tasks'!$U$7:$U$246,'Tasks'!$C$7:$C$246,$A132,'Tasks'!$K$7:$K$246,$D132,'Tasks'!$F$7:$F$246,$B132)</x:f>
        <x:v>22.581900000000005</x:v>
      </x:c>
      <x:c r="L132" s="17" t="n">
        <x:f>SUMIFS('Tasks'!$R$7:$R$246,'Tasks'!$C$7:$C$246,$A132,'Tasks'!$K$7:$K$246,$D132,'Tasks'!$F$7:$F$246,$B132)</x:f>
        <x:v>12</x:v>
      </x:c>
      <x:c r="M132" s="22" t="n">
        <x:f>IF(L132=0,"N/A",K132/L132)</x:f>
        <x:v>1.8818250000000003</x:v>
      </x:c>
      <x:c r="N132" s="19" t="n">
        <x:f>SUMIFS('Tasks'!$G$7:$G$246,'Tasks'!$C$7:$C$246,$A132,'Tasks'!$K$7:$K$246,$D132,'Tasks'!$F$7:$F$246,$B132)</x:f>
        <x:v>3.63</x:v>
      </x:c>
      <x:c r="O132" s="19" t="n">
        <x:f>SUMIFS('Tasks'!$H$7:$H$246,'Tasks'!$C$7:$C$246,$A132,'Tasks'!$K$7:$K$246,$D132,'Tasks'!$F$7:$F$246,$B132)</x:f>
        <x:v>4.36</x:v>
      </x:c>
      <x:c r="P132" s="19" t="n">
        <x:f>SUMIFS('Tasks'!$Y$7:$Y$246,'Tasks'!$C$7:$C$246,$A132,'Tasks'!$K$7:$K$246,$D132,'Tasks'!$F$7:$F$246,$B132)</x:f>
        <x:v>-0.7300000000000004</x:v>
      </x:c>
      <x:c r="Q132" s="22" t="n">
        <x:f>SUMIFS('Tasks'!$Z$7:$Z$246,'Tasks'!$C$7:$C$246,$A132,'Tasks'!$K$7:$K$246,$D132,'Tasks'!$F$7:$F$246,$B132)</x:f>
        <x:v>-36.50000000000002</x:v>
      </x:c>
      <x:c r="R132" s="22" t="n">
        <x:f>SUMIFS('Tasks'!$AA$7:$AA$246,'Tasks'!$C$7:$C$246,$A132,'Tasks'!$K$7:$K$246,$D132,'Tasks'!$F$7:$F$246,$B132)</x:f>
        <x:v>-59.081900000000026</x:v>
      </x:c>
      <x:c r="S132" s="31" t="n">
        <x:f>IF(K132=0,"N/A",R132/K132)</x:f>
        <x:v>-2.6163387491752252</x:v>
      </x:c>
      <x:c r="T132" s="19" t="n">
        <x:f>SUMIFS('Tasks'!$I$7:$I$246,'Tasks'!$C$7:$C$246,$A132,'Tasks'!$K$7:$K$246,$D132,'Tasks'!$F$7:$F$246,$B132)</x:f>
        <x:v>0.84</x:v>
      </x:c>
      <x:c r="U132" s="31" t="n">
        <x:f>IF(O132=0,"N/A",T132/O132)</x:f>
        <x:v>0.19266055045871558</x:v>
      </x:c>
      <x:c r="V132" s="17" t="n">
        <x:f>SUMIFS('Tasks'!$X$7:$X$246,'Tasks'!$C$7:$C$246,$A132,'Tasks'!$K$7:$K$246,$D132,'Tasks'!$F$7:$F$246,$B132)</x:f>
        <x:v>2</x:v>
      </x:c>
      <x:c r="W132" s="31" t="n">
        <x:f>IF(L132=0,"N/A",V132/L132)</x:f>
        <x:v>0.16666666666666666</x:v>
      </x:c>
      <x:c r="X132" s="17" t="n">
        <x:f>COUNTIFS('Tasks'!$C$7:$C$246,$A132,'Tasks'!$K$7:$K$246,$D132,'Tasks'!$F$7:$F$246,$B132,'Tasks'!$L$7:$L$246,"Yes")</x:f>
        <x:v>1</x:v>
      </x:c>
      <x:c r="Y132" s="17" t="n">
        <x:f>COUNTIFS('Tasks'!$C$7:$C$246,$A132,'Tasks'!$K$7:$K$246,$D132,'Tasks'!$F$7:$F$246,$B132,'Tasks'!$K$7:$K$246,"Yes")</x:f>
        <x:v>1</x:v>
      </x:c>
      <x:c r="Z132" s="17" t="n">
        <x:f>COUNTIFS('Tasks'!$C$7:$C$246,$A132,'Tasks'!$K$7:$K$246,$D132,'Tasks'!$F$7:$F$246,$B132,'Tasks'!$AA$7:$AA$246,"&gt;0")</x:f>
        <x:v>0</x:v>
      </x:c>
      <x:c r="AA132" s="17" t="n">
        <x:f>COUNTIFS('Tasks'!$C$7:$C$246,$A132,'Tasks'!$K$7:$K$246,$D132,'Tasks'!$F$7:$F$246,$B132,'Tasks'!$AA$7:$AA$246,"&lt;0")</x:f>
        <x:v>1</x:v>
      </x:c>
      <x:c r="AB132" s="19" t="n">
        <x:f>IF(E132=0,"N/A",V132/E132)</x:f>
        <x:v>2</x:v>
      </x:c>
      <x:c r="AC132" s="22" t="n">
        <x:f>IF(E132=0,"N/A",K132/E132)</x:f>
        <x:v>22.581900000000005</x:v>
      </x:c>
      <x:c r="AD132" s="19" t="n">
        <x:f>IF(E132=0,"N/A",P132/E132)</x:f>
        <x:v>-0.7300000000000004</x:v>
      </x:c>
    </x:row>
    <x:row r="133" ht="23" customHeight="1">
      <x:c r="A133" s="17" t="str">
        <x:v>C003</x:v>
      </x:c>
      <x:c r="B133" s="17" t="str">
        <x:v>Review creative variants</x:v>
      </x:c>
      <x:c r="C133" s="17" t="str">
        <x:v>prompt_template_used</x:v>
      </x:c>
      <x:c r="D133" s="17" t="str">
        <x:v>No</x:v>
      </x:c>
      <x:c r="E133" s="17" t="n">
        <x:f>COUNTIFS('Tasks'!$C$7:$C$246,$A133,'Tasks'!$L$7:$L$246,$D133,'Tasks'!$F$7:$F$246,$B133)</x:f>
        <x:v>2</x:v>
      </x:c>
      <x:c r="F133" s="17" t="n">
        <x:f>SUMIFS('Tasks'!$O$7:$O$246,'Tasks'!$C$7:$C$246,$A133,'Tasks'!$L$7:$L$246,$D133,'Tasks'!$F$7:$F$246,$B133)</x:f>
        <x:v>476848</x:v>
      </x:c>
      <x:c r="G133" s="17" t="n">
        <x:f>SUMIFS('Tasks'!$P$7:$P$246,'Tasks'!$C$7:$C$246,$A133,'Tasks'!$L$7:$L$246,$D133,'Tasks'!$F$7:$F$246,$B133)</x:f>
        <x:v>119801</x:v>
      </x:c>
      <x:c r="H133" s="17" t="n">
        <x:f>SUMIFS('Tasks'!$Q$7:$Q$246,'Tasks'!$C$7:$C$246,$A133,'Tasks'!$L$7:$L$246,$D133,'Tasks'!$F$7:$F$246,$B133)</x:f>
        <x:v>596649</x:v>
      </x:c>
      <x:c r="I133" s="22" t="n">
        <x:f>SUMIFS('Tasks'!$S$7:$S$246,'Tasks'!$C$7:$C$246,$A133,'Tasks'!$L$7:$L$246,$D133,'Tasks'!$F$7:$F$246,$B133)</x:f>
        <x:v>19.073919999999998</x:v>
      </x:c>
      <x:c r="J133" s="22" t="n">
        <x:f>SUMIFS('Tasks'!$T$7:$T$246,'Tasks'!$C$7:$C$246,$A133,'Tasks'!$L$7:$L$246,$D133,'Tasks'!$F$7:$F$246,$B133)</x:f>
        <x:v>11.9801</x:v>
      </x:c>
      <x:c r="K133" s="22" t="n">
        <x:f>SUMIFS('Tasks'!$U$7:$U$246,'Tasks'!$C$7:$C$246,$A133,'Tasks'!$L$7:$L$246,$D133,'Tasks'!$F$7:$F$246,$B133)</x:f>
        <x:v>31.05402</x:v>
      </x:c>
      <x:c r="L133" s="17" t="n">
        <x:f>SUMIFS('Tasks'!$R$7:$R$246,'Tasks'!$C$7:$C$246,$A133,'Tasks'!$L$7:$L$246,$D133,'Tasks'!$F$7:$F$246,$B133)</x:f>
        <x:v>21</x:v>
      </x:c>
      <x:c r="M133" s="22" t="n">
        <x:f>IF(L133=0,"N/A",K133/L133)</x:f>
        <x:v>1.4787628571428573</x:v>
      </x:c>
      <x:c r="N133" s="19" t="n">
        <x:f>SUMIFS('Tasks'!$G$7:$G$246,'Tasks'!$C$7:$C$246,$A133,'Tasks'!$L$7:$L$246,$D133,'Tasks'!$F$7:$F$246,$B133)</x:f>
        <x:v>8.08</x:v>
      </x:c>
      <x:c r="O133" s="19" t="n">
        <x:f>SUMIFS('Tasks'!$H$7:$H$246,'Tasks'!$C$7:$C$246,$A133,'Tasks'!$L$7:$L$246,$D133,'Tasks'!$F$7:$F$246,$B133)</x:f>
        <x:v>5.18</x:v>
      </x:c>
      <x:c r="P133" s="19" t="n">
        <x:f>SUMIFS('Tasks'!$Y$7:$Y$246,'Tasks'!$C$7:$C$246,$A133,'Tasks'!$L$7:$L$246,$D133,'Tasks'!$F$7:$F$246,$B133)</x:f>
        <x:v>2.8999999999999995</x:v>
      </x:c>
      <x:c r="Q133" s="22" t="n">
        <x:f>SUMIFS('Tasks'!$Z$7:$Z$246,'Tasks'!$C$7:$C$246,$A133,'Tasks'!$L$7:$L$246,$D133,'Tasks'!$F$7:$F$246,$B133)</x:f>
        <x:v>144.99999999999997</x:v>
      </x:c>
      <x:c r="R133" s="22" t="n">
        <x:f>SUMIFS('Tasks'!$AA$7:$AA$246,'Tasks'!$C$7:$C$246,$A133,'Tasks'!$L$7:$L$246,$D133,'Tasks'!$F$7:$F$246,$B133)</x:f>
        <x:v>113.94597999999998</x:v>
      </x:c>
      <x:c r="S133" s="31" t="n">
        <x:f>IF(K133=0,"N/A",R133/K133)</x:f>
        <x:v>3.669282753086395</x:v>
      </x:c>
      <x:c r="T133" s="19" t="n">
        <x:f>SUMIFS('Tasks'!$I$7:$I$246,'Tasks'!$C$7:$C$246,$A133,'Tasks'!$L$7:$L$246,$D133,'Tasks'!$F$7:$F$246,$B133)</x:f>
        <x:v>0.73</x:v>
      </x:c>
      <x:c r="U133" s="31" t="n">
        <x:f>IF(O133=0,"N/A",T133/O133)</x:f>
        <x:v>0.14092664092664092</x:v>
      </x:c>
      <x:c r="V133" s="17" t="n">
        <x:f>SUMIFS('Tasks'!$X$7:$X$246,'Tasks'!$C$7:$C$246,$A133,'Tasks'!$L$7:$L$246,$D133,'Tasks'!$F$7:$F$246,$B133)</x:f>
        <x:v>3</x:v>
      </x:c>
      <x:c r="W133" s="31" t="n">
        <x:f>IF(L133=0,"N/A",V133/L133)</x:f>
        <x:v>0.14285714285714285</x:v>
      </x:c>
      <x:c r="X133" s="17" t="n">
        <x:f>COUNTIFS('Tasks'!$C$7:$C$246,$A133,'Tasks'!$L$7:$L$246,$D133,'Tasks'!$F$7:$F$246,$B133,'Tasks'!$L$7:$L$246,"Yes")</x:f>
        <x:v>0</x:v>
      </x:c>
      <x:c r="Y133" s="17" t="n">
        <x:f>COUNTIFS('Tasks'!$C$7:$C$246,$A133,'Tasks'!$L$7:$L$246,$D133,'Tasks'!$F$7:$F$246,$B133,'Tasks'!$K$7:$K$246,"Yes")</x:f>
        <x:v>1</x:v>
      </x:c>
      <x:c r="Z133" s="17" t="n">
        <x:f>COUNTIFS('Tasks'!$C$7:$C$246,$A133,'Tasks'!$L$7:$L$246,$D133,'Tasks'!$F$7:$F$246,$B133,'Tasks'!$AA$7:$AA$246,"&gt;0")</x:f>
        <x:v>2</x:v>
      </x:c>
      <x:c r="AA133" s="17" t="n">
        <x:f>COUNTIFS('Tasks'!$C$7:$C$246,$A133,'Tasks'!$L$7:$L$246,$D133,'Tasks'!$F$7:$F$246,$B133,'Tasks'!$AA$7:$AA$246,"&lt;0")</x:f>
        <x:v>0</x:v>
      </x:c>
      <x:c r="AB133" s="19" t="n">
        <x:f>IF(E133=0,"N/A",V133/E133)</x:f>
        <x:v>1.5</x:v>
      </x:c>
      <x:c r="AC133" s="22" t="n">
        <x:f>IF(E133=0,"N/A",K133/E133)</x:f>
        <x:v>15.52701</x:v>
      </x:c>
      <x:c r="AD133" s="19" t="n">
        <x:f>IF(E133=0,"N/A",P133/E133)</x:f>
        <x:v>1.4499999999999997</x:v>
      </x:c>
    </x:row>
    <x:row r="134" ht="23" customHeight="1">
      <x:c r="A134" s="17" t="str">
        <x:v>C003</x:v>
      </x:c>
      <x:c r="B134" s="17" t="str">
        <x:v>Review creative variants</x:v>
      </x:c>
      <x:c r="C134" s="17" t="str">
        <x:v>prompt_template_used</x:v>
      </x:c>
      <x:c r="D134" s="17" t="str">
        <x:v>Yes</x:v>
      </x:c>
      <x:c r="E134" s="17" t="n">
        <x:f>COUNTIFS('Tasks'!$C$7:$C$246,$A134,'Tasks'!$L$7:$L$246,$D134,'Tasks'!$F$7:$F$246,$B134)</x:f>
        <x:v>3</x:v>
      </x:c>
      <x:c r="F134" s="17" t="n">
        <x:f>SUMIFS('Tasks'!$O$7:$O$246,'Tasks'!$C$7:$C$246,$A134,'Tasks'!$L$7:$L$246,$D134,'Tasks'!$F$7:$F$246,$B134)</x:f>
        <x:v>660477</x:v>
      </x:c>
      <x:c r="G134" s="17" t="n">
        <x:f>SUMIFS('Tasks'!$P$7:$P$246,'Tasks'!$C$7:$C$246,$A134,'Tasks'!$L$7:$L$246,$D134,'Tasks'!$F$7:$F$246,$B134)</x:f>
        <x:v>190536</x:v>
      </x:c>
      <x:c r="H134" s="17" t="n">
        <x:f>SUMIFS('Tasks'!$Q$7:$Q$246,'Tasks'!$C$7:$C$246,$A134,'Tasks'!$L$7:$L$246,$D134,'Tasks'!$F$7:$F$246,$B134)</x:f>
        <x:v>851013</x:v>
      </x:c>
      <x:c r="I134" s="22" t="n">
        <x:f>SUMIFS('Tasks'!$S$7:$S$246,'Tasks'!$C$7:$C$246,$A134,'Tasks'!$L$7:$L$246,$D134,'Tasks'!$F$7:$F$246,$B134)</x:f>
        <x:v>13.810319999999997</x:v>
      </x:c>
      <x:c r="J134" s="22" t="n">
        <x:f>SUMIFS('Tasks'!$T$7:$T$246,'Tasks'!$C$7:$C$246,$A134,'Tasks'!$L$7:$L$246,$D134,'Tasks'!$F$7:$F$246,$B134)</x:f>
        <x:v>12.390229999999997</x:v>
      </x:c>
      <x:c r="K134" s="22" t="n">
        <x:f>SUMIFS('Tasks'!$U$7:$U$246,'Tasks'!$C$7:$C$246,$A134,'Tasks'!$L$7:$L$246,$D134,'Tasks'!$F$7:$F$246,$B134)</x:f>
        <x:v>26.20055</x:v>
      </x:c>
      <x:c r="L134" s="17" t="n">
        <x:f>SUMIFS('Tasks'!$R$7:$R$246,'Tasks'!$C$7:$C$246,$A134,'Tasks'!$L$7:$L$246,$D134,'Tasks'!$F$7:$F$246,$B134)</x:f>
        <x:v>31</x:v>
      </x:c>
      <x:c r="M134" s="22" t="n">
        <x:f>IF(L134=0,"N/A",K134/L134)</x:f>
        <x:v>0.8451790322580645</x:v>
      </x:c>
      <x:c r="N134" s="19" t="n">
        <x:f>SUMIFS('Tasks'!$G$7:$G$246,'Tasks'!$C$7:$C$246,$A134,'Tasks'!$L$7:$L$246,$D134,'Tasks'!$F$7:$F$246,$B134)</x:f>
        <x:v>8.580000000000002</x:v>
      </x:c>
      <x:c r="O134" s="19" t="n">
        <x:f>SUMIFS('Tasks'!$H$7:$H$246,'Tasks'!$C$7:$C$246,$A134,'Tasks'!$L$7:$L$246,$D134,'Tasks'!$F$7:$F$246,$B134)</x:f>
        <x:v>7.67</x:v>
      </x:c>
      <x:c r="P134" s="19" t="n">
        <x:f>SUMIFS('Tasks'!$Y$7:$Y$246,'Tasks'!$C$7:$C$246,$A134,'Tasks'!$L$7:$L$246,$D134,'Tasks'!$F$7:$F$246,$B134)</x:f>
        <x:v>0.910000000000001</x:v>
      </x:c>
      <x:c r="Q134" s="22" t="n">
        <x:f>SUMIFS('Tasks'!$Z$7:$Z$246,'Tasks'!$C$7:$C$246,$A134,'Tasks'!$L$7:$L$246,$D134,'Tasks'!$F$7:$F$246,$B134)</x:f>
        <x:v>45.50000000000006</x:v>
      </x:c>
      <x:c r="R134" s="22" t="n">
        <x:f>SUMIFS('Tasks'!$AA$7:$AA$246,'Tasks'!$C$7:$C$246,$A134,'Tasks'!$L$7:$L$246,$D134,'Tasks'!$F$7:$F$246,$B134)</x:f>
        <x:v>19.29945000000005</x:v>
      </x:c>
      <x:c r="S134" s="31" t="n">
        <x:f>IF(K134=0,"N/A",R134/K134)</x:f>
        <x:v>0.7366047659304881</x:v>
      </x:c>
      <x:c r="T134" s="19" t="n">
        <x:f>SUMIFS('Tasks'!$I$7:$I$246,'Tasks'!$C$7:$C$246,$A134,'Tasks'!$L$7:$L$246,$D134,'Tasks'!$F$7:$F$246,$B134)</x:f>
        <x:v>0.5</x:v>
      </x:c>
      <x:c r="U134" s="31" t="n">
        <x:f>IF(O134=0,"N/A",T134/O134)</x:f>
        <x:v>0.0651890482398957</x:v>
      </x:c>
      <x:c r="V134" s="17" t="n">
        <x:f>SUMIFS('Tasks'!$X$7:$X$246,'Tasks'!$C$7:$C$246,$A134,'Tasks'!$L$7:$L$246,$D134,'Tasks'!$F$7:$F$246,$B134)</x:f>
        <x:v>7</x:v>
      </x:c>
      <x:c r="W134" s="31" t="n">
        <x:f>IF(L134=0,"N/A",V134/L134)</x:f>
        <x:v>0.22580645161290322</x:v>
      </x:c>
      <x:c r="X134" s="17" t="n">
        <x:f>COUNTIFS('Tasks'!$C$7:$C$246,$A134,'Tasks'!$L$7:$L$246,$D134,'Tasks'!$F$7:$F$246,$B134,'Tasks'!$L$7:$L$246,"Yes")</x:f>
        <x:v>3</x:v>
      </x:c>
      <x:c r="Y134" s="17" t="n">
        <x:f>COUNTIFS('Tasks'!$C$7:$C$246,$A134,'Tasks'!$L$7:$L$246,$D134,'Tasks'!$F$7:$F$246,$B134,'Tasks'!$K$7:$K$246,"Yes")</x:f>
        <x:v>0</x:v>
      </x:c>
      <x:c r="Z134" s="17" t="n">
        <x:f>COUNTIFS('Tasks'!$C$7:$C$246,$A134,'Tasks'!$L$7:$L$246,$D134,'Tasks'!$F$7:$F$246,$B134,'Tasks'!$AA$7:$AA$246,"&gt;0")</x:f>
        <x:v>2</x:v>
      </x:c>
      <x:c r="AA134" s="17" t="n">
        <x:f>COUNTIFS('Tasks'!$C$7:$C$246,$A134,'Tasks'!$L$7:$L$246,$D134,'Tasks'!$F$7:$F$246,$B134,'Tasks'!$AA$7:$AA$246,"&lt;0")</x:f>
        <x:v>1</x:v>
      </x:c>
      <x:c r="AB134" s="19" t="n">
        <x:f>IF(E134=0,"N/A",V134/E134)</x:f>
        <x:v>2.3333333333333335</x:v>
      </x:c>
      <x:c r="AC134" s="22" t="n">
        <x:f>IF(E134=0,"N/A",K134/E134)</x:f>
        <x:v>8.733516666666667</x:v>
      </x:c>
      <x:c r="AD134" s="19" t="n">
        <x:f>IF(E134=0,"N/A",P134/E134)</x:f>
        <x:v>0.3033333333333337</x:v>
      </x:c>
    </x:row>
    <x:row r="135" ht="23" customHeight="1">
      <x:c r="A135" s="17" t="str">
        <x:v>C003</x:v>
      </x:c>
      <x:c r="B135" s="17" t="str">
        <x:v>Review creative variants</x:v>
      </x:c>
      <x:c r="C135" s="17" t="str">
        <x:v>brief_changed</x:v>
      </x:c>
      <x:c r="D135" s="17" t="str">
        <x:v>No</x:v>
      </x:c>
      <x:c r="E135" s="17" t="n">
        <x:f>COUNTIFS('Tasks'!$C$7:$C$246,$A135,'Tasks'!$K$7:$K$246,$D135,'Tasks'!$F$7:$F$246,$B135)</x:f>
        <x:v>4</x:v>
      </x:c>
      <x:c r="F135" s="17" t="n">
        <x:f>SUMIFS('Tasks'!$O$7:$O$246,'Tasks'!$C$7:$C$246,$A135,'Tasks'!$K$7:$K$246,$D135,'Tasks'!$F$7:$F$246,$B135)</x:f>
        <x:v>903131</x:v>
      </x:c>
      <x:c r="G135" s="17" t="n">
        <x:f>SUMIFS('Tasks'!$P$7:$P$246,'Tasks'!$C$7:$C$246,$A135,'Tasks'!$K$7:$K$246,$D135,'Tasks'!$F$7:$F$246,$B135)</x:f>
        <x:v>248757</x:v>
      </x:c>
      <x:c r="H135" s="17" t="n">
        <x:f>SUMIFS('Tasks'!$Q$7:$Q$246,'Tasks'!$C$7:$C$246,$A135,'Tasks'!$K$7:$K$246,$D135,'Tasks'!$F$7:$F$246,$B135)</x:f>
        <x:v>1151888</x:v>
      </x:c>
      <x:c r="I135" s="22" t="n">
        <x:f>SUMIFS('Tasks'!$S$7:$S$246,'Tasks'!$C$7:$C$246,$A135,'Tasks'!$K$7:$K$246,$D135,'Tasks'!$F$7:$F$246,$B135)</x:f>
        <x:v>23.516479999999994</x:v>
      </x:c>
      <x:c r="J135" s="22" t="n">
        <x:f>SUMIFS('Tasks'!$T$7:$T$246,'Tasks'!$C$7:$C$246,$A135,'Tasks'!$K$7:$K$246,$D135,'Tasks'!$F$7:$F$246,$B135)</x:f>
        <x:v>18.212329999999998</x:v>
      </x:c>
      <x:c r="K135" s="22" t="n">
        <x:f>SUMIFS('Tasks'!$U$7:$U$246,'Tasks'!$C$7:$C$246,$A135,'Tasks'!$K$7:$K$246,$D135,'Tasks'!$F$7:$F$246,$B135)</x:f>
        <x:v>41.72881</x:v>
      </x:c>
      <x:c r="L135" s="17" t="n">
        <x:f>SUMIFS('Tasks'!$R$7:$R$246,'Tasks'!$C$7:$C$246,$A135,'Tasks'!$K$7:$K$246,$D135,'Tasks'!$F$7:$F$246,$B135)</x:f>
        <x:v>43</x:v>
      </x:c>
      <x:c r="M135" s="22" t="n">
        <x:f>IF(L135=0,"N/A",K135/L135)</x:f>
        <x:v>0.9704374418604652</x:v>
      </x:c>
      <x:c r="N135" s="19" t="n">
        <x:f>SUMIFS('Tasks'!$G$7:$G$246,'Tasks'!$C$7:$C$246,$A135,'Tasks'!$K$7:$K$246,$D135,'Tasks'!$F$7:$F$246,$B135)</x:f>
        <x:v>13.14</x:v>
      </x:c>
      <x:c r="O135" s="19" t="n">
        <x:f>SUMIFS('Tasks'!$H$7:$H$246,'Tasks'!$C$7:$C$246,$A135,'Tasks'!$K$7:$K$246,$D135,'Tasks'!$F$7:$F$246,$B135)</x:f>
        <x:v>9.9</x:v>
      </x:c>
      <x:c r="P135" s="19" t="n">
        <x:f>SUMIFS('Tasks'!$Y$7:$Y$246,'Tasks'!$C$7:$C$246,$A135,'Tasks'!$K$7:$K$246,$D135,'Tasks'!$F$7:$F$246,$B135)</x:f>
        <x:v>3.2400000000000007</x:v>
      </x:c>
      <x:c r="Q135" s="22" t="n">
        <x:f>SUMIFS('Tasks'!$Z$7:$Z$246,'Tasks'!$C$7:$C$246,$A135,'Tasks'!$K$7:$K$246,$D135,'Tasks'!$F$7:$F$246,$B135)</x:f>
        <x:v>162.00000000000006</x:v>
      </x:c>
      <x:c r="R135" s="22" t="n">
        <x:f>SUMIFS('Tasks'!$AA$7:$AA$246,'Tasks'!$C$7:$C$246,$A135,'Tasks'!$K$7:$K$246,$D135,'Tasks'!$F$7:$F$246,$B135)</x:f>
        <x:v>120.27119000000003</x:v>
      </x:c>
      <x:c r="S135" s="31" t="n">
        <x:f>IF(K135=0,"N/A",R135/K135)</x:f>
        <x:v>2.882209916841626</x:v>
      </x:c>
      <x:c r="T135" s="19" t="n">
        <x:f>SUMIFS('Tasks'!$I$7:$I$246,'Tasks'!$C$7:$C$246,$A135,'Tasks'!$K$7:$K$246,$D135,'Tasks'!$F$7:$F$246,$B135)</x:f>
        <x:v>0.81</x:v>
      </x:c>
      <x:c r="U135" s="31" t="n">
        <x:f>IF(O135=0,"N/A",T135/O135)</x:f>
        <x:v>0.08181818181818182</x:v>
      </x:c>
      <x:c r="V135" s="17" t="n">
        <x:f>SUMIFS('Tasks'!$X$7:$X$246,'Tasks'!$C$7:$C$246,$A135,'Tasks'!$K$7:$K$246,$D135,'Tasks'!$F$7:$F$246,$B135)</x:f>
        <x:v>9</x:v>
      </x:c>
      <x:c r="W135" s="31" t="n">
        <x:f>IF(L135=0,"N/A",V135/L135)</x:f>
        <x:v>0.20930232558139536</x:v>
      </x:c>
      <x:c r="X135" s="17" t="n">
        <x:f>COUNTIFS('Tasks'!$C$7:$C$246,$A135,'Tasks'!$K$7:$K$246,$D135,'Tasks'!$F$7:$F$246,$B135,'Tasks'!$L$7:$L$246,"Yes")</x:f>
        <x:v>3</x:v>
      </x:c>
      <x:c r="Y135" s="17" t="n">
        <x:f>COUNTIFS('Tasks'!$C$7:$C$246,$A135,'Tasks'!$K$7:$K$246,$D135,'Tasks'!$F$7:$F$246,$B135,'Tasks'!$K$7:$K$246,"Yes")</x:f>
        <x:v>0</x:v>
      </x:c>
      <x:c r="Z135" s="17" t="n">
        <x:f>COUNTIFS('Tasks'!$C$7:$C$246,$A135,'Tasks'!$K$7:$K$246,$D135,'Tasks'!$F$7:$F$246,$B135,'Tasks'!$AA$7:$AA$246,"&gt;0")</x:f>
        <x:v>3</x:v>
      </x:c>
      <x:c r="AA135" s="17" t="n">
        <x:f>COUNTIFS('Tasks'!$C$7:$C$246,$A135,'Tasks'!$K$7:$K$246,$D135,'Tasks'!$F$7:$F$246,$B135,'Tasks'!$AA$7:$AA$246,"&lt;0")</x:f>
        <x:v>1</x:v>
      </x:c>
      <x:c r="AB135" s="19" t="n">
        <x:f>IF(E135=0,"N/A",V135/E135)</x:f>
        <x:v>2.25</x:v>
      </x:c>
      <x:c r="AC135" s="22" t="n">
        <x:f>IF(E135=0,"N/A",K135/E135)</x:f>
        <x:v>10.4322025</x:v>
      </x:c>
      <x:c r="AD135" s="19" t="n">
        <x:f>IF(E135=0,"N/A",P135/E135)</x:f>
        <x:v>0.8100000000000002</x:v>
      </x:c>
    </x:row>
    <x:row r="136" ht="23" customHeight="1">
      <x:c r="A136" s="17" t="str">
        <x:v>C003</x:v>
      </x:c>
      <x:c r="B136" s="17" t="str">
        <x:v>Review creative variants</x:v>
      </x:c>
      <x:c r="C136" s="17" t="str">
        <x:v>brief_changed</x:v>
      </x:c>
      <x:c r="D136" s="17" t="str">
        <x:v>Yes</x:v>
      </x:c>
      <x:c r="E136" s="17" t="n">
        <x:f>COUNTIFS('Tasks'!$C$7:$C$246,$A136,'Tasks'!$K$7:$K$246,$D136,'Tasks'!$F$7:$F$246,$B136)</x:f>
        <x:v>1</x:v>
      </x:c>
      <x:c r="F136" s="17" t="n">
        <x:f>SUMIFS('Tasks'!$O$7:$O$246,'Tasks'!$C$7:$C$246,$A136,'Tasks'!$K$7:$K$246,$D136,'Tasks'!$F$7:$F$246,$B136)</x:f>
        <x:v>234194</x:v>
      </x:c>
      <x:c r="G136" s="17" t="n">
        <x:f>SUMIFS('Tasks'!$P$7:$P$246,'Tasks'!$C$7:$C$246,$A136,'Tasks'!$K$7:$K$246,$D136,'Tasks'!$F$7:$F$246,$B136)</x:f>
        <x:v>61580</x:v>
      </x:c>
      <x:c r="H136" s="17" t="n">
        <x:f>SUMIFS('Tasks'!$Q$7:$Q$246,'Tasks'!$C$7:$C$246,$A136,'Tasks'!$K$7:$K$246,$D136,'Tasks'!$F$7:$F$246,$B136)</x:f>
        <x:v>295774</x:v>
      </x:c>
      <x:c r="I136" s="22" t="n">
        <x:f>SUMIFS('Tasks'!$S$7:$S$246,'Tasks'!$C$7:$C$246,$A136,'Tasks'!$K$7:$K$246,$D136,'Tasks'!$F$7:$F$246,$B136)</x:f>
        <x:v>9.367759999999999</x:v>
      </x:c>
      <x:c r="J136" s="22" t="n">
        <x:f>SUMIFS('Tasks'!$T$7:$T$246,'Tasks'!$C$7:$C$246,$A136,'Tasks'!$K$7:$K$246,$D136,'Tasks'!$F$7:$F$246,$B136)</x:f>
        <x:v>6.158</x:v>
      </x:c>
      <x:c r="K136" s="22" t="n">
        <x:f>SUMIFS('Tasks'!$U$7:$U$246,'Tasks'!$C$7:$C$246,$A136,'Tasks'!$K$7:$K$246,$D136,'Tasks'!$F$7:$F$246,$B136)</x:f>
        <x:v>15.52576</x:v>
      </x:c>
      <x:c r="L136" s="17" t="n">
        <x:f>SUMIFS('Tasks'!$R$7:$R$246,'Tasks'!$C$7:$C$246,$A136,'Tasks'!$K$7:$K$246,$D136,'Tasks'!$F$7:$F$246,$B136)</x:f>
        <x:v>9</x:v>
      </x:c>
      <x:c r="M136" s="22" t="n">
        <x:f>IF(L136=0,"N/A",K136/L136)</x:f>
        <x:v>1.7250844444444444</x:v>
      </x:c>
      <x:c r="N136" s="19" t="n">
        <x:f>SUMIFS('Tasks'!$G$7:$G$246,'Tasks'!$C$7:$C$246,$A136,'Tasks'!$K$7:$K$246,$D136,'Tasks'!$F$7:$F$246,$B136)</x:f>
        <x:v>3.52</x:v>
      </x:c>
      <x:c r="O136" s="19" t="n">
        <x:f>SUMIFS('Tasks'!$H$7:$H$246,'Tasks'!$C$7:$C$246,$A136,'Tasks'!$K$7:$K$246,$D136,'Tasks'!$F$7:$F$246,$B136)</x:f>
        <x:v>2.95</x:v>
      </x:c>
      <x:c r="P136" s="19" t="n">
        <x:f>SUMIFS('Tasks'!$Y$7:$Y$246,'Tasks'!$C$7:$C$246,$A136,'Tasks'!$K$7:$K$246,$D136,'Tasks'!$F$7:$F$246,$B136)</x:f>
        <x:v>0.5699999999999998</x:v>
      </x:c>
      <x:c r="Q136" s="22" t="n">
        <x:f>SUMIFS('Tasks'!$Z$7:$Z$246,'Tasks'!$C$7:$C$246,$A136,'Tasks'!$K$7:$K$246,$D136,'Tasks'!$F$7:$F$246,$B136)</x:f>
        <x:v>28.499999999999993</x:v>
      </x:c>
      <x:c r="R136" s="22" t="n">
        <x:f>SUMIFS('Tasks'!$AA$7:$AA$246,'Tasks'!$C$7:$C$246,$A136,'Tasks'!$K$7:$K$246,$D136,'Tasks'!$F$7:$F$246,$B136)</x:f>
        <x:v>12.974239999999993</x:v>
      </x:c>
      <x:c r="S136" s="31" t="n">
        <x:f>IF(K136=0,"N/A",R136/K136)</x:f>
        <x:v>0.8356589307061292</x:v>
      </x:c>
      <x:c r="T136" s="19" t="n">
        <x:f>SUMIFS('Tasks'!$I$7:$I$246,'Tasks'!$C$7:$C$246,$A136,'Tasks'!$K$7:$K$246,$D136,'Tasks'!$F$7:$F$246,$B136)</x:f>
        <x:v>0.42</x:v>
      </x:c>
      <x:c r="U136" s="31" t="n">
        <x:f>IF(O136=0,"N/A",T136/O136)</x:f>
        <x:v>0.14237288135593218</x:v>
      </x:c>
      <x:c r="V136" s="17" t="n">
        <x:f>SUMIFS('Tasks'!$X$7:$X$246,'Tasks'!$C$7:$C$246,$A136,'Tasks'!$K$7:$K$246,$D136,'Tasks'!$F$7:$F$246,$B136)</x:f>
        <x:v>1</x:v>
      </x:c>
      <x:c r="W136" s="31" t="n">
        <x:f>IF(L136=0,"N/A",V136/L136)</x:f>
        <x:v>0.1111111111111111</x:v>
      </x:c>
      <x:c r="X136" s="17" t="n">
        <x:f>COUNTIFS('Tasks'!$C$7:$C$246,$A136,'Tasks'!$K$7:$K$246,$D136,'Tasks'!$F$7:$F$246,$B136,'Tasks'!$L$7:$L$246,"Yes")</x:f>
        <x:v>0</x:v>
      </x:c>
      <x:c r="Y136" s="17" t="n">
        <x:f>COUNTIFS('Tasks'!$C$7:$C$246,$A136,'Tasks'!$K$7:$K$246,$D136,'Tasks'!$F$7:$F$246,$B136,'Tasks'!$K$7:$K$246,"Yes")</x:f>
        <x:v>1</x:v>
      </x:c>
      <x:c r="Z136" s="17" t="n">
        <x:f>COUNTIFS('Tasks'!$C$7:$C$246,$A136,'Tasks'!$K$7:$K$246,$D136,'Tasks'!$F$7:$F$246,$B136,'Tasks'!$AA$7:$AA$246,"&gt;0")</x:f>
        <x:v>1</x:v>
      </x:c>
      <x:c r="AA136" s="17" t="n">
        <x:f>COUNTIFS('Tasks'!$C$7:$C$246,$A136,'Tasks'!$K$7:$K$246,$D136,'Tasks'!$F$7:$F$246,$B136,'Tasks'!$AA$7:$AA$246,"&lt;0")</x:f>
        <x:v>0</x:v>
      </x:c>
      <x:c r="AB136" s="19" t="n">
        <x:f>IF(E136=0,"N/A",V136/E136)</x:f>
        <x:v>1</x:v>
      </x:c>
      <x:c r="AC136" s="22" t="n">
        <x:f>IF(E136=0,"N/A",K136/E136)</x:f>
        <x:v>15.52576</x:v>
      </x:c>
      <x:c r="AD136" s="19" t="n">
        <x:f>IF(E136=0,"N/A",P136/E136)</x:f>
        <x:v>0.5699999999999998</x:v>
      </x:c>
    </x:row>
    <x:row r="137" ht="23" customHeight="1">
      <x:c r="A137" s="17" t="str">
        <x:v>C003</x:v>
      </x:c>
      <x:c r="B137" s="17" t="str">
        <x:v>Summarize audience insights</x:v>
      </x:c>
      <x:c r="C137" s="17" t="str">
        <x:v>prompt_template_used</x:v>
      </x:c>
      <x:c r="D137" s="17" t="str">
        <x:v>No</x:v>
      </x:c>
      <x:c r="E137" s="17" t="n">
        <x:f>COUNTIFS('Tasks'!$C$7:$C$246,$A137,'Tasks'!$L$7:$L$246,$D137,'Tasks'!$F$7:$F$246,$B137)</x:f>
        <x:v>1</x:v>
      </x:c>
      <x:c r="F137" s="17" t="n">
        <x:f>SUMIFS('Tasks'!$O$7:$O$246,'Tasks'!$C$7:$C$246,$A137,'Tasks'!$L$7:$L$246,$D137,'Tasks'!$F$7:$F$246,$B137)</x:f>
        <x:v>238995</x:v>
      </x:c>
      <x:c r="G137" s="17" t="n">
        <x:f>SUMIFS('Tasks'!$P$7:$P$246,'Tasks'!$C$7:$C$246,$A137,'Tasks'!$L$7:$L$246,$D137,'Tasks'!$F$7:$F$246,$B137)</x:f>
        <x:v>67728</x:v>
      </x:c>
      <x:c r="H137" s="17" t="n">
        <x:f>SUMIFS('Tasks'!$Q$7:$Q$246,'Tasks'!$C$7:$C$246,$A137,'Tasks'!$L$7:$L$246,$D137,'Tasks'!$F$7:$F$246,$B137)</x:f>
        <x:v>306723</x:v>
      </x:c>
      <x:c r="I137" s="22" t="n">
        <x:f>SUMIFS('Tasks'!$S$7:$S$246,'Tasks'!$C$7:$C$246,$A137,'Tasks'!$L$7:$L$246,$D137,'Tasks'!$F$7:$F$246,$B137)</x:f>
        <x:v>2.3899500000000002</x:v>
      </x:c>
      <x:c r="J137" s="22" t="n">
        <x:f>SUMIFS('Tasks'!$T$7:$T$246,'Tasks'!$C$7:$C$246,$A137,'Tasks'!$L$7:$L$246,$D137,'Tasks'!$F$7:$F$246,$B137)</x:f>
        <x:v>2.03184</x:v>
      </x:c>
      <x:c r="K137" s="22" t="n">
        <x:f>SUMIFS('Tasks'!$U$7:$U$246,'Tasks'!$C$7:$C$246,$A137,'Tasks'!$L$7:$L$246,$D137,'Tasks'!$F$7:$F$246,$B137)</x:f>
        <x:v>4.42179</x:v>
      </x:c>
      <x:c r="L137" s="17" t="n">
        <x:f>SUMIFS('Tasks'!$R$7:$R$246,'Tasks'!$C$7:$C$246,$A137,'Tasks'!$L$7:$L$246,$D137,'Tasks'!$F$7:$F$246,$B137)</x:f>
        <x:v>13</x:v>
      </x:c>
      <x:c r="M137" s="22" t="n">
        <x:f>IF(L137=0,"N/A",K137/L137)</x:f>
        <x:v>0.3401376923076923</x:v>
      </x:c>
      <x:c r="N137" s="19" t="n">
        <x:f>SUMIFS('Tasks'!$G$7:$G$246,'Tasks'!$C$7:$C$246,$A137,'Tasks'!$L$7:$L$246,$D137,'Tasks'!$F$7:$F$246,$B137)</x:f>
        <x:v>4.72</x:v>
      </x:c>
      <x:c r="O137" s="19" t="n">
        <x:f>SUMIFS('Tasks'!$H$7:$H$246,'Tasks'!$C$7:$C$246,$A137,'Tasks'!$L$7:$L$246,$D137,'Tasks'!$F$7:$F$246,$B137)</x:f>
        <x:v>5.52</x:v>
      </x:c>
      <x:c r="P137" s="19" t="n">
        <x:f>SUMIFS('Tasks'!$Y$7:$Y$246,'Tasks'!$C$7:$C$246,$A137,'Tasks'!$L$7:$L$246,$D137,'Tasks'!$F$7:$F$246,$B137)</x:f>
        <x:v>-0.7999999999999998</x:v>
      </x:c>
      <x:c r="Q137" s="22" t="n">
        <x:f>SUMIFS('Tasks'!$Z$7:$Z$246,'Tasks'!$C$7:$C$246,$A137,'Tasks'!$L$7:$L$246,$D137,'Tasks'!$F$7:$F$246,$B137)</x:f>
        <x:v>-39.99999999999999</x:v>
      </x:c>
      <x:c r="R137" s="22" t="n">
        <x:f>SUMIFS('Tasks'!$AA$7:$AA$246,'Tasks'!$C$7:$C$246,$A137,'Tasks'!$L$7:$L$246,$D137,'Tasks'!$F$7:$F$246,$B137)</x:f>
        <x:v>-44.421789999999994</x:v>
      </x:c>
      <x:c r="S137" s="31" t="n">
        <x:f>IF(K137=0,"N/A",R137/K137)</x:f>
        <x:v>-10.046110285653548</x:v>
      </x:c>
      <x:c r="T137" s="19" t="n">
        <x:f>SUMIFS('Tasks'!$I$7:$I$246,'Tasks'!$C$7:$C$246,$A137,'Tasks'!$L$7:$L$246,$D137,'Tasks'!$F$7:$F$246,$B137)</x:f>
        <x:v>0.43</x:v>
      </x:c>
      <x:c r="U137" s="31" t="n">
        <x:f>IF(O137=0,"N/A",T137/O137)</x:f>
        <x:v>0.07789855072463768</x:v>
      </x:c>
      <x:c r="V137" s="17" t="n">
        <x:f>SUMIFS('Tasks'!$X$7:$X$246,'Tasks'!$C$7:$C$246,$A137,'Tasks'!$L$7:$L$246,$D137,'Tasks'!$F$7:$F$246,$B137)</x:f>
        <x:v>3</x:v>
      </x:c>
      <x:c r="W137" s="31" t="n">
        <x:f>IF(L137=0,"N/A",V137/L137)</x:f>
        <x:v>0.23076923076923078</x:v>
      </x:c>
      <x:c r="X137" s="17" t="n">
        <x:f>COUNTIFS('Tasks'!$C$7:$C$246,$A137,'Tasks'!$L$7:$L$246,$D137,'Tasks'!$F$7:$F$246,$B137,'Tasks'!$L$7:$L$246,"Yes")</x:f>
        <x:v>0</x:v>
      </x:c>
      <x:c r="Y137" s="17" t="n">
        <x:f>COUNTIFS('Tasks'!$C$7:$C$246,$A137,'Tasks'!$L$7:$L$246,$D137,'Tasks'!$F$7:$F$246,$B137,'Tasks'!$K$7:$K$246,"Yes")</x:f>
        <x:v>0</x:v>
      </x:c>
      <x:c r="Z137" s="17" t="n">
        <x:f>COUNTIFS('Tasks'!$C$7:$C$246,$A137,'Tasks'!$L$7:$L$246,$D137,'Tasks'!$F$7:$F$246,$B137,'Tasks'!$AA$7:$AA$246,"&gt;0")</x:f>
        <x:v>0</x:v>
      </x:c>
      <x:c r="AA137" s="17" t="n">
        <x:f>COUNTIFS('Tasks'!$C$7:$C$246,$A137,'Tasks'!$L$7:$L$246,$D137,'Tasks'!$F$7:$F$246,$B137,'Tasks'!$AA$7:$AA$246,"&lt;0")</x:f>
        <x:v>1</x:v>
      </x:c>
      <x:c r="AB137" s="19" t="n">
        <x:f>IF(E137=0,"N/A",V137/E137)</x:f>
        <x:v>3</x:v>
      </x:c>
      <x:c r="AC137" s="22" t="n">
        <x:f>IF(E137=0,"N/A",K137/E137)</x:f>
        <x:v>4.42179</x:v>
      </x:c>
      <x:c r="AD137" s="19" t="n">
        <x:f>IF(E137=0,"N/A",P137/E137)</x:f>
        <x:v>-0.7999999999999998</x:v>
      </x:c>
    </x:row>
    <x:row r="138" ht="23" customHeight="1">
      <x:c r="A138" s="17" t="str">
        <x:v>C003</x:v>
      </x:c>
      <x:c r="B138" s="17" t="str">
        <x:v>Summarize audience insights</x:v>
      </x:c>
      <x:c r="C138" s="17" t="str">
        <x:v>prompt_template_used</x:v>
      </x:c>
      <x:c r="D138" s="17" t="str">
        <x:v>Yes</x:v>
      </x:c>
      <x:c r="E138" s="17" t="n">
        <x:f>COUNTIFS('Tasks'!$C$7:$C$246,$A138,'Tasks'!$L$7:$L$246,$D138,'Tasks'!$F$7:$F$246,$B138)</x:f>
        <x:v>4</x:v>
      </x:c>
      <x:c r="F138" s="17" t="n">
        <x:f>SUMIFS('Tasks'!$O$7:$O$246,'Tasks'!$C$7:$C$246,$A138,'Tasks'!$L$7:$L$246,$D138,'Tasks'!$F$7:$F$246,$B138)</x:f>
        <x:v>1399618</x:v>
      </x:c>
      <x:c r="G138" s="17" t="n">
        <x:f>SUMIFS('Tasks'!$P$7:$P$246,'Tasks'!$C$7:$C$246,$A138,'Tasks'!$L$7:$L$246,$D138,'Tasks'!$F$7:$F$246,$B138)</x:f>
        <x:v>321737</x:v>
      </x:c>
      <x:c r="H138" s="17" t="n">
        <x:f>SUMIFS('Tasks'!$Q$7:$Q$246,'Tasks'!$C$7:$C$246,$A138,'Tasks'!$L$7:$L$246,$D138,'Tasks'!$F$7:$F$246,$B138)</x:f>
        <x:v>1721355</x:v>
      </x:c>
      <x:c r="I138" s="22" t="n">
        <x:f>SUMIFS('Tasks'!$S$7:$S$246,'Tasks'!$C$7:$C$246,$A138,'Tasks'!$L$7:$L$246,$D138,'Tasks'!$F$7:$F$246,$B138)</x:f>
        <x:v>20.18875</x:v>
      </x:c>
      <x:c r="J138" s="22" t="n">
        <x:f>SUMIFS('Tasks'!$T$7:$T$246,'Tasks'!$C$7:$C$246,$A138,'Tasks'!$L$7:$L$246,$D138,'Tasks'!$F$7:$F$246,$B138)</x:f>
        <x:v>16.292450000000002</x:v>
      </x:c>
      <x:c r="K138" s="22" t="n">
        <x:f>SUMIFS('Tasks'!$U$7:$U$246,'Tasks'!$C$7:$C$246,$A138,'Tasks'!$L$7:$L$246,$D138,'Tasks'!$F$7:$F$246,$B138)</x:f>
        <x:v>36.4812</x:v>
      </x:c>
      <x:c r="L138" s="17" t="n">
        <x:f>SUMIFS('Tasks'!$R$7:$R$246,'Tasks'!$C$7:$C$246,$A138,'Tasks'!$L$7:$L$246,$D138,'Tasks'!$F$7:$F$246,$B138)</x:f>
        <x:v>54</x:v>
      </x:c>
      <x:c r="M138" s="22" t="n">
        <x:f>IF(L138=0,"N/A",K138/L138)</x:f>
        <x:v>0.6755777777777778</x:v>
      </x:c>
      <x:c r="N138" s="19" t="n">
        <x:f>SUMIFS('Tasks'!$G$7:$G$246,'Tasks'!$C$7:$C$246,$A138,'Tasks'!$L$7:$L$246,$D138,'Tasks'!$F$7:$F$246,$B138)</x:f>
        <x:v>15.93</x:v>
      </x:c>
      <x:c r="O138" s="19" t="n">
        <x:f>SUMIFS('Tasks'!$H$7:$H$246,'Tasks'!$C$7:$C$246,$A138,'Tasks'!$L$7:$L$246,$D138,'Tasks'!$F$7:$F$246,$B138)</x:f>
        <x:v>9.329999999999998</x:v>
      </x:c>
      <x:c r="P138" s="19" t="n">
        <x:f>SUMIFS('Tasks'!$Y$7:$Y$246,'Tasks'!$C$7:$C$246,$A138,'Tasks'!$L$7:$L$246,$D138,'Tasks'!$F$7:$F$246,$B138)</x:f>
        <x:v>6.6000000000000005</x:v>
      </x:c>
      <x:c r="Q138" s="22" t="n">
        <x:f>SUMIFS('Tasks'!$Z$7:$Z$246,'Tasks'!$C$7:$C$246,$A138,'Tasks'!$L$7:$L$246,$D138,'Tasks'!$F$7:$F$246,$B138)</x:f>
        <x:v>330</x:v>
      </x:c>
      <x:c r="R138" s="22" t="n">
        <x:f>SUMIFS('Tasks'!$AA$7:$AA$246,'Tasks'!$C$7:$C$246,$A138,'Tasks'!$L$7:$L$246,$D138,'Tasks'!$F$7:$F$246,$B138)</x:f>
        <x:v>293.5188</x:v>
      </x:c>
      <x:c r="S138" s="31" t="n">
        <x:f>IF(K138=0,"N/A",R138/K138)</x:f>
        <x:v>8.045755073846255</x:v>
      </x:c>
      <x:c r="T138" s="19" t="n">
        <x:f>SUMIFS('Tasks'!$I$7:$I$246,'Tasks'!$C$7:$C$246,$A138,'Tasks'!$L$7:$L$246,$D138,'Tasks'!$F$7:$F$246,$B138)</x:f>
        <x:v>0.61</x:v>
      </x:c>
      <x:c r="U138" s="31" t="n">
        <x:f>IF(O138=0,"N/A",T138/O138)</x:f>
        <x:v>0.06538049303322616</x:v>
      </x:c>
      <x:c r="V138" s="17" t="n">
        <x:f>SUMIFS('Tasks'!$X$7:$X$246,'Tasks'!$C$7:$C$246,$A138,'Tasks'!$L$7:$L$246,$D138,'Tasks'!$F$7:$F$246,$B138)</x:f>
        <x:v>11</x:v>
      </x:c>
      <x:c r="W138" s="31" t="n">
        <x:f>IF(L138=0,"N/A",V138/L138)</x:f>
        <x:v>0.2037037037037037</x:v>
      </x:c>
      <x:c r="X138" s="17" t="n">
        <x:f>COUNTIFS('Tasks'!$C$7:$C$246,$A138,'Tasks'!$L$7:$L$246,$D138,'Tasks'!$F$7:$F$246,$B138,'Tasks'!$L$7:$L$246,"Yes")</x:f>
        <x:v>4</x:v>
      </x:c>
      <x:c r="Y138" s="17" t="n">
        <x:f>COUNTIFS('Tasks'!$C$7:$C$246,$A138,'Tasks'!$L$7:$L$246,$D138,'Tasks'!$F$7:$F$246,$B138,'Tasks'!$K$7:$K$246,"Yes")</x:f>
        <x:v>0</x:v>
      </x:c>
      <x:c r="Z138" s="17" t="n">
        <x:f>COUNTIFS('Tasks'!$C$7:$C$246,$A138,'Tasks'!$L$7:$L$246,$D138,'Tasks'!$F$7:$F$246,$B138,'Tasks'!$AA$7:$AA$246,"&gt;0")</x:f>
        <x:v>4</x:v>
      </x:c>
      <x:c r="AA138" s="17" t="n">
        <x:f>COUNTIFS('Tasks'!$C$7:$C$246,$A138,'Tasks'!$L$7:$L$246,$D138,'Tasks'!$F$7:$F$246,$B138,'Tasks'!$AA$7:$AA$246,"&lt;0")</x:f>
        <x:v>0</x:v>
      </x:c>
      <x:c r="AB138" s="19" t="n">
        <x:f>IF(E138=0,"N/A",V138/E138)</x:f>
        <x:v>2.75</x:v>
      </x:c>
      <x:c r="AC138" s="22" t="n">
        <x:f>IF(E138=0,"N/A",K138/E138)</x:f>
        <x:v>9.1203</x:v>
      </x:c>
      <x:c r="AD138" s="19" t="n">
        <x:f>IF(E138=0,"N/A",P138/E138)</x:f>
        <x:v>1.6500000000000001</x:v>
      </x:c>
    </x:row>
    <x:row r="139" ht="23" customHeight="1">
      <x:c r="A139" s="17" t="str">
        <x:v>C003</x:v>
      </x:c>
      <x:c r="B139" s="17" t="str">
        <x:v>Summarize audience insights</x:v>
      </x:c>
      <x:c r="C139" s="17" t="str">
        <x:v>brief_changed</x:v>
      </x:c>
      <x:c r="D139" s="17" t="str">
        <x:v>No</x:v>
      </x:c>
      <x:c r="E139" s="17" t="n">
        <x:f>COUNTIFS('Tasks'!$C$7:$C$246,$A139,'Tasks'!$K$7:$K$246,$D139,'Tasks'!$F$7:$F$246,$B139)</x:f>
        <x:v>5</x:v>
      </x:c>
      <x:c r="F139" s="17" t="n">
        <x:f>SUMIFS('Tasks'!$O$7:$O$246,'Tasks'!$C$7:$C$246,$A139,'Tasks'!$K$7:$K$246,$D139,'Tasks'!$F$7:$F$246,$B139)</x:f>
        <x:v>1638613</x:v>
      </x:c>
      <x:c r="G139" s="17" t="n">
        <x:f>SUMIFS('Tasks'!$P$7:$P$246,'Tasks'!$C$7:$C$246,$A139,'Tasks'!$K$7:$K$246,$D139,'Tasks'!$F$7:$F$246,$B139)</x:f>
        <x:v>389465</x:v>
      </x:c>
      <x:c r="H139" s="17" t="n">
        <x:f>SUMIFS('Tasks'!$Q$7:$Q$246,'Tasks'!$C$7:$C$246,$A139,'Tasks'!$K$7:$K$246,$D139,'Tasks'!$F$7:$F$246,$B139)</x:f>
        <x:v>2028078</x:v>
      </x:c>
      <x:c r="I139" s="22" t="n">
        <x:f>SUMIFS('Tasks'!$S$7:$S$246,'Tasks'!$C$7:$C$246,$A139,'Tasks'!$K$7:$K$246,$D139,'Tasks'!$F$7:$F$246,$B139)</x:f>
        <x:v>22.578699999999998</x:v>
      </x:c>
      <x:c r="J139" s="22" t="n">
        <x:f>SUMIFS('Tasks'!$T$7:$T$246,'Tasks'!$C$7:$C$246,$A139,'Tasks'!$K$7:$K$246,$D139,'Tasks'!$F$7:$F$246,$B139)</x:f>
        <x:v>18.32429</x:v>
      </x:c>
      <x:c r="K139" s="22" t="n">
        <x:f>SUMIFS('Tasks'!$U$7:$U$246,'Tasks'!$C$7:$C$246,$A139,'Tasks'!$K$7:$K$246,$D139,'Tasks'!$F$7:$F$246,$B139)</x:f>
        <x:v>40.90299</x:v>
      </x:c>
      <x:c r="L139" s="17" t="n">
        <x:f>SUMIFS('Tasks'!$R$7:$R$246,'Tasks'!$C$7:$C$246,$A139,'Tasks'!$K$7:$K$246,$D139,'Tasks'!$F$7:$F$246,$B139)</x:f>
        <x:v>67</x:v>
      </x:c>
      <x:c r="M139" s="22" t="n">
        <x:f>IF(L139=0,"N/A",K139/L139)</x:f>
        <x:v>0.6104923880597015</x:v>
      </x:c>
      <x:c r="N139" s="19" t="n">
        <x:f>SUMIFS('Tasks'!$G$7:$G$246,'Tasks'!$C$7:$C$246,$A139,'Tasks'!$K$7:$K$246,$D139,'Tasks'!$F$7:$F$246,$B139)</x:f>
        <x:v>20.65</x:v>
      </x:c>
      <x:c r="O139" s="19" t="n">
        <x:f>SUMIFS('Tasks'!$H$7:$H$246,'Tasks'!$C$7:$C$246,$A139,'Tasks'!$K$7:$K$246,$D139,'Tasks'!$F$7:$F$246,$B139)</x:f>
        <x:v>14.849999999999998</x:v>
      </x:c>
      <x:c r="P139" s="19" t="n">
        <x:f>SUMIFS('Tasks'!$Y$7:$Y$246,'Tasks'!$C$7:$C$246,$A139,'Tasks'!$K$7:$K$246,$D139,'Tasks'!$F$7:$F$246,$B139)</x:f>
        <x:v>5.800000000000001</x:v>
      </x:c>
      <x:c r="Q139" s="22" t="n">
        <x:f>SUMIFS('Tasks'!$Z$7:$Z$246,'Tasks'!$C$7:$C$246,$A139,'Tasks'!$K$7:$K$246,$D139,'Tasks'!$F$7:$F$246,$B139)</x:f>
        <x:v>290</x:v>
      </x:c>
      <x:c r="R139" s="22" t="n">
        <x:f>SUMIFS('Tasks'!$AA$7:$AA$246,'Tasks'!$C$7:$C$246,$A139,'Tasks'!$K$7:$K$246,$D139,'Tasks'!$F$7:$F$246,$B139)</x:f>
        <x:v>249.09701</x:v>
      </x:c>
      <x:c r="S139" s="31" t="n">
        <x:f>IF(K139=0,"N/A",R139/K139)</x:f>
        <x:v>6.0899462362042485</x:v>
      </x:c>
      <x:c r="T139" s="19" t="n">
        <x:f>SUMIFS('Tasks'!$I$7:$I$246,'Tasks'!$C$7:$C$246,$A139,'Tasks'!$K$7:$K$246,$D139,'Tasks'!$F$7:$F$246,$B139)</x:f>
        <x:v>1.04</x:v>
      </x:c>
      <x:c r="U139" s="31" t="n">
        <x:f>IF(O139=0,"N/A",T139/O139)</x:f>
        <x:v>0.07003367003367005</x:v>
      </x:c>
      <x:c r="V139" s="17" t="n">
        <x:f>SUMIFS('Tasks'!$X$7:$X$246,'Tasks'!$C$7:$C$246,$A139,'Tasks'!$K$7:$K$246,$D139,'Tasks'!$F$7:$F$246,$B139)</x:f>
        <x:v>14</x:v>
      </x:c>
      <x:c r="W139" s="31" t="n">
        <x:f>IF(L139=0,"N/A",V139/L139)</x:f>
        <x:v>0.208955223880597</x:v>
      </x:c>
      <x:c r="X139" s="17" t="n">
        <x:f>COUNTIFS('Tasks'!$C$7:$C$246,$A139,'Tasks'!$K$7:$K$246,$D139,'Tasks'!$F$7:$F$246,$B139,'Tasks'!$L$7:$L$246,"Yes")</x:f>
        <x:v>4</x:v>
      </x:c>
      <x:c r="Y139" s="17" t="n">
        <x:f>COUNTIFS('Tasks'!$C$7:$C$246,$A139,'Tasks'!$K$7:$K$246,$D139,'Tasks'!$F$7:$F$246,$B139,'Tasks'!$K$7:$K$246,"Yes")</x:f>
        <x:v>0</x:v>
      </x:c>
      <x:c r="Z139" s="17" t="n">
        <x:f>COUNTIFS('Tasks'!$C$7:$C$246,$A139,'Tasks'!$K$7:$K$246,$D139,'Tasks'!$F$7:$F$246,$B139,'Tasks'!$AA$7:$AA$246,"&gt;0")</x:f>
        <x:v>4</x:v>
      </x:c>
      <x:c r="AA139" s="17" t="n">
        <x:f>COUNTIFS('Tasks'!$C$7:$C$246,$A139,'Tasks'!$K$7:$K$246,$D139,'Tasks'!$F$7:$F$246,$B139,'Tasks'!$AA$7:$AA$246,"&lt;0")</x:f>
        <x:v>1</x:v>
      </x:c>
      <x:c r="AB139" s="19" t="n">
        <x:f>IF(E139=0,"N/A",V139/E139)</x:f>
        <x:v>2.8</x:v>
      </x:c>
      <x:c r="AC139" s="22" t="n">
        <x:f>IF(E139=0,"N/A",K139/E139)</x:f>
        <x:v>8.180598</x:v>
      </x:c>
      <x:c r="AD139" s="19" t="n">
        <x:f>IF(E139=0,"N/A",P139/E139)</x:f>
        <x:v>1.1600000000000001</x:v>
      </x:c>
    </x:row>
    <x:row r="140" ht="23" customHeight="1">
      <x:c r="A140" s="17" t="str">
        <x:v>C003</x:v>
      </x:c>
      <x:c r="B140" s="17" t="str">
        <x:v>Write ad copy</x:v>
      </x:c>
      <x:c r="C140" s="17" t="str">
        <x:v>prompt_template_used</x:v>
      </x:c>
      <x:c r="D140" s="17" t="str">
        <x:v>Yes</x:v>
      </x:c>
      <x:c r="E140" s="17" t="n">
        <x:f>COUNTIFS('Tasks'!$C$7:$C$246,$A140,'Tasks'!$L$7:$L$246,$D140,'Tasks'!$F$7:$F$246,$B140)</x:f>
        <x:v>5</x:v>
      </x:c>
      <x:c r="F140" s="17" t="n">
        <x:f>SUMIFS('Tasks'!$O$7:$O$246,'Tasks'!$C$7:$C$246,$A140,'Tasks'!$L$7:$L$246,$D140,'Tasks'!$F$7:$F$246,$B140)</x:f>
        <x:v>1703726</x:v>
      </x:c>
      <x:c r="G140" s="17" t="n">
        <x:f>SUMIFS('Tasks'!$P$7:$P$246,'Tasks'!$C$7:$C$246,$A140,'Tasks'!$L$7:$L$246,$D140,'Tasks'!$F$7:$F$246,$B140)</x:f>
        <x:v>409102</x:v>
      </x:c>
      <x:c r="H140" s="17" t="n">
        <x:f>SUMIFS('Tasks'!$Q$7:$Q$246,'Tasks'!$C$7:$C$246,$A140,'Tasks'!$L$7:$L$246,$D140,'Tasks'!$F$7:$F$246,$B140)</x:f>
        <x:v>2112828</x:v>
      </x:c>
      <x:c r="I140" s="22" t="n">
        <x:f>SUMIFS('Tasks'!$S$7:$S$246,'Tasks'!$C$7:$C$246,$A140,'Tasks'!$L$7:$L$246,$D140,'Tasks'!$F$7:$F$246,$B140)</x:f>
        <x:v>27.214190000000002</x:v>
      </x:c>
      <x:c r="J140" s="22" t="n">
        <x:f>SUMIFS('Tasks'!$T$7:$T$246,'Tasks'!$C$7:$C$246,$A140,'Tasks'!$L$7:$L$246,$D140,'Tasks'!$F$7:$F$246,$B140)</x:f>
        <x:v>20.10711</x:v>
      </x:c>
      <x:c r="K140" s="22" t="n">
        <x:f>SUMIFS('Tasks'!$U$7:$U$246,'Tasks'!$C$7:$C$246,$A140,'Tasks'!$L$7:$L$246,$D140,'Tasks'!$F$7:$F$246,$B140)</x:f>
        <x:v>47.3213</x:v>
      </x:c>
      <x:c r="L140" s="17" t="n">
        <x:f>SUMIFS('Tasks'!$R$7:$R$246,'Tasks'!$C$7:$C$246,$A140,'Tasks'!$L$7:$L$246,$D140,'Tasks'!$F$7:$F$246,$B140)</x:f>
        <x:v>69</x:v>
      </x:c>
      <x:c r="M140" s="22" t="n">
        <x:f>IF(L140=0,"N/A",K140/L140)</x:f>
        <x:v>0.6858159420289855</x:v>
      </x:c>
      <x:c r="N140" s="19" t="n">
        <x:f>SUMIFS('Tasks'!$G$7:$G$246,'Tasks'!$C$7:$C$246,$A140,'Tasks'!$L$7:$L$246,$D140,'Tasks'!$F$7:$F$246,$B140)</x:f>
        <x:v>17.08</x:v>
      </x:c>
      <x:c r="O140" s="19" t="n">
        <x:f>SUMIFS('Tasks'!$H$7:$H$246,'Tasks'!$C$7:$C$246,$A140,'Tasks'!$L$7:$L$246,$D140,'Tasks'!$F$7:$F$246,$B140)</x:f>
        <x:v>15.979999999999999</x:v>
      </x:c>
      <x:c r="P140" s="19" t="n">
        <x:f>SUMIFS('Tasks'!$Y$7:$Y$246,'Tasks'!$C$7:$C$246,$A140,'Tasks'!$L$7:$L$246,$D140,'Tasks'!$F$7:$F$246,$B140)</x:f>
        <x:v>1.1000000000000003</x:v>
      </x:c>
      <x:c r="Q140" s="22" t="n">
        <x:f>SUMIFS('Tasks'!$Z$7:$Z$246,'Tasks'!$C$7:$C$246,$A140,'Tasks'!$L$7:$L$246,$D140,'Tasks'!$F$7:$F$246,$B140)</x:f>
        <x:v>55.00000000000002</x:v>
      </x:c>
      <x:c r="R140" s="22" t="n">
        <x:f>SUMIFS('Tasks'!$AA$7:$AA$246,'Tasks'!$C$7:$C$246,$A140,'Tasks'!$L$7:$L$246,$D140,'Tasks'!$F$7:$F$246,$B140)</x:f>
        <x:v>7.678700000000024</x:v>
      </x:c>
      <x:c r="S140" s="31" t="n">
        <x:f>IF(K140=0,"N/A",R140/K140)</x:f>
        <x:v>0.16226730880174517</x:v>
      </x:c>
      <x:c r="T140" s="19" t="n">
        <x:f>SUMIFS('Tasks'!$I$7:$I$246,'Tasks'!$C$7:$C$246,$A140,'Tasks'!$L$7:$L$246,$D140,'Tasks'!$F$7:$F$246,$B140)</x:f>
        <x:v>0.61</x:v>
      </x:c>
      <x:c r="U140" s="31" t="n">
        <x:f>IF(O140=0,"N/A",T140/O140)</x:f>
        <x:v>0.038172715894868585</x:v>
      </x:c>
      <x:c r="V140" s="17" t="n">
        <x:f>SUMIFS('Tasks'!$X$7:$X$246,'Tasks'!$C$7:$C$246,$A140,'Tasks'!$L$7:$L$246,$D140,'Tasks'!$F$7:$F$246,$B140)</x:f>
        <x:v>13</x:v>
      </x:c>
      <x:c r="W140" s="31" t="n">
        <x:f>IF(L140=0,"N/A",V140/L140)</x:f>
        <x:v>0.18840579710144928</x:v>
      </x:c>
      <x:c r="X140" s="17" t="n">
        <x:f>COUNTIFS('Tasks'!$C$7:$C$246,$A140,'Tasks'!$L$7:$L$246,$D140,'Tasks'!$F$7:$F$246,$B140,'Tasks'!$L$7:$L$246,"Yes")</x:f>
        <x:v>5</x:v>
      </x:c>
      <x:c r="Y140" s="17" t="n">
        <x:f>COUNTIFS('Tasks'!$C$7:$C$246,$A140,'Tasks'!$L$7:$L$246,$D140,'Tasks'!$F$7:$F$246,$B140,'Tasks'!$K$7:$K$246,"Yes")</x:f>
        <x:v>0</x:v>
      </x:c>
      <x:c r="Z140" s="17" t="n">
        <x:f>COUNTIFS('Tasks'!$C$7:$C$246,$A140,'Tasks'!$L$7:$L$246,$D140,'Tasks'!$F$7:$F$246,$B140,'Tasks'!$AA$7:$AA$246,"&gt;0")</x:f>
        <x:v>2</x:v>
      </x:c>
      <x:c r="AA140" s="17" t="n">
        <x:f>COUNTIFS('Tasks'!$C$7:$C$246,$A140,'Tasks'!$L$7:$L$246,$D140,'Tasks'!$F$7:$F$246,$B140,'Tasks'!$AA$7:$AA$246,"&lt;0")</x:f>
        <x:v>3</x:v>
      </x:c>
      <x:c r="AB140" s="19" t="n">
        <x:f>IF(E140=0,"N/A",V140/E140)</x:f>
        <x:v>2.6</x:v>
      </x:c>
      <x:c r="AC140" s="22" t="n">
        <x:f>IF(E140=0,"N/A",K140/E140)</x:f>
        <x:v>9.46426</x:v>
      </x:c>
      <x:c r="AD140" s="19" t="n">
        <x:f>IF(E140=0,"N/A",P140/E140)</x:f>
        <x:v>0.22000000000000006</x:v>
      </x:c>
    </x:row>
    <x:row r="141" ht="23" customHeight="1">
      <x:c r="A141" s="17" t="str">
        <x:v>C003</x:v>
      </x:c>
      <x:c r="B141" s="17" t="str">
        <x:v>Write ad copy</x:v>
      </x:c>
      <x:c r="C141" s="17" t="str">
        <x:v>brief_changed</x:v>
      </x:c>
      <x:c r="D141" s="17" t="str">
        <x:v>No</x:v>
      </x:c>
      <x:c r="E141" s="17" t="n">
        <x:f>COUNTIFS('Tasks'!$C$7:$C$246,$A141,'Tasks'!$K$7:$K$246,$D141,'Tasks'!$F$7:$F$246,$B141)</x:f>
        <x:v>5</x:v>
      </x:c>
      <x:c r="F141" s="17" t="n">
        <x:f>SUMIFS('Tasks'!$O$7:$O$246,'Tasks'!$C$7:$C$246,$A141,'Tasks'!$K$7:$K$246,$D141,'Tasks'!$F$7:$F$246,$B141)</x:f>
        <x:v>1703726</x:v>
      </x:c>
      <x:c r="G141" s="17" t="n">
        <x:f>SUMIFS('Tasks'!$P$7:$P$246,'Tasks'!$C$7:$C$246,$A141,'Tasks'!$K$7:$K$246,$D141,'Tasks'!$F$7:$F$246,$B141)</x:f>
        <x:v>409102</x:v>
      </x:c>
      <x:c r="H141" s="17" t="n">
        <x:f>SUMIFS('Tasks'!$Q$7:$Q$246,'Tasks'!$C$7:$C$246,$A141,'Tasks'!$K$7:$K$246,$D141,'Tasks'!$F$7:$F$246,$B141)</x:f>
        <x:v>2112828</x:v>
      </x:c>
      <x:c r="I141" s="22" t="n">
        <x:f>SUMIFS('Tasks'!$S$7:$S$246,'Tasks'!$C$7:$C$246,$A141,'Tasks'!$K$7:$K$246,$D141,'Tasks'!$F$7:$F$246,$B141)</x:f>
        <x:v>27.214190000000002</x:v>
      </x:c>
      <x:c r="J141" s="22" t="n">
        <x:f>SUMIFS('Tasks'!$T$7:$T$246,'Tasks'!$C$7:$C$246,$A141,'Tasks'!$K$7:$K$246,$D141,'Tasks'!$F$7:$F$246,$B141)</x:f>
        <x:v>20.10711</x:v>
      </x:c>
      <x:c r="K141" s="22" t="n">
        <x:f>SUMIFS('Tasks'!$U$7:$U$246,'Tasks'!$C$7:$C$246,$A141,'Tasks'!$K$7:$K$246,$D141,'Tasks'!$F$7:$F$246,$B141)</x:f>
        <x:v>47.3213</x:v>
      </x:c>
      <x:c r="L141" s="17" t="n">
        <x:f>SUMIFS('Tasks'!$R$7:$R$246,'Tasks'!$C$7:$C$246,$A141,'Tasks'!$K$7:$K$246,$D141,'Tasks'!$F$7:$F$246,$B141)</x:f>
        <x:v>69</x:v>
      </x:c>
      <x:c r="M141" s="22" t="n">
        <x:f>IF(L141=0,"N/A",K141/L141)</x:f>
        <x:v>0.6858159420289855</x:v>
      </x:c>
      <x:c r="N141" s="19" t="n">
        <x:f>SUMIFS('Tasks'!$G$7:$G$246,'Tasks'!$C$7:$C$246,$A141,'Tasks'!$K$7:$K$246,$D141,'Tasks'!$F$7:$F$246,$B141)</x:f>
        <x:v>17.08</x:v>
      </x:c>
      <x:c r="O141" s="19" t="n">
        <x:f>SUMIFS('Tasks'!$H$7:$H$246,'Tasks'!$C$7:$C$246,$A141,'Tasks'!$K$7:$K$246,$D141,'Tasks'!$F$7:$F$246,$B141)</x:f>
        <x:v>15.979999999999999</x:v>
      </x:c>
      <x:c r="P141" s="19" t="n">
        <x:f>SUMIFS('Tasks'!$Y$7:$Y$246,'Tasks'!$C$7:$C$246,$A141,'Tasks'!$K$7:$K$246,$D141,'Tasks'!$F$7:$F$246,$B141)</x:f>
        <x:v>1.1000000000000003</x:v>
      </x:c>
      <x:c r="Q141" s="22" t="n">
        <x:f>SUMIFS('Tasks'!$Z$7:$Z$246,'Tasks'!$C$7:$C$246,$A141,'Tasks'!$K$7:$K$246,$D141,'Tasks'!$F$7:$F$246,$B141)</x:f>
        <x:v>55.00000000000002</x:v>
      </x:c>
      <x:c r="R141" s="22" t="n">
        <x:f>SUMIFS('Tasks'!$AA$7:$AA$246,'Tasks'!$C$7:$C$246,$A141,'Tasks'!$K$7:$K$246,$D141,'Tasks'!$F$7:$F$246,$B141)</x:f>
        <x:v>7.678700000000024</x:v>
      </x:c>
      <x:c r="S141" s="31" t="n">
        <x:f>IF(K141=0,"N/A",R141/K141)</x:f>
        <x:v>0.16226730880174517</x:v>
      </x:c>
      <x:c r="T141" s="19" t="n">
        <x:f>SUMIFS('Tasks'!$I$7:$I$246,'Tasks'!$C$7:$C$246,$A141,'Tasks'!$K$7:$K$246,$D141,'Tasks'!$F$7:$F$246,$B141)</x:f>
        <x:v>0.61</x:v>
      </x:c>
      <x:c r="U141" s="31" t="n">
        <x:f>IF(O141=0,"N/A",T141/O141)</x:f>
        <x:v>0.038172715894868585</x:v>
      </x:c>
      <x:c r="V141" s="17" t="n">
        <x:f>SUMIFS('Tasks'!$X$7:$X$246,'Tasks'!$C$7:$C$246,$A141,'Tasks'!$K$7:$K$246,$D141,'Tasks'!$F$7:$F$246,$B141)</x:f>
        <x:v>13</x:v>
      </x:c>
      <x:c r="W141" s="31" t="n">
        <x:f>IF(L141=0,"N/A",V141/L141)</x:f>
        <x:v>0.18840579710144928</x:v>
      </x:c>
      <x:c r="X141" s="17" t="n">
        <x:f>COUNTIFS('Tasks'!$C$7:$C$246,$A141,'Tasks'!$K$7:$K$246,$D141,'Tasks'!$F$7:$F$246,$B141,'Tasks'!$L$7:$L$246,"Yes")</x:f>
        <x:v>5</x:v>
      </x:c>
      <x:c r="Y141" s="17" t="n">
        <x:f>COUNTIFS('Tasks'!$C$7:$C$246,$A141,'Tasks'!$K$7:$K$246,$D141,'Tasks'!$F$7:$F$246,$B141,'Tasks'!$K$7:$K$246,"Yes")</x:f>
        <x:v>0</x:v>
      </x:c>
      <x:c r="Z141" s="17" t="n">
        <x:f>COUNTIFS('Tasks'!$C$7:$C$246,$A141,'Tasks'!$K$7:$K$246,$D141,'Tasks'!$F$7:$F$246,$B141,'Tasks'!$AA$7:$AA$246,"&gt;0")</x:f>
        <x:v>2</x:v>
      </x:c>
      <x:c r="AA141" s="17" t="n">
        <x:f>COUNTIFS('Tasks'!$C$7:$C$246,$A141,'Tasks'!$K$7:$K$246,$D141,'Tasks'!$F$7:$F$246,$B141,'Tasks'!$AA$7:$AA$246,"&lt;0")</x:f>
        <x:v>3</x:v>
      </x:c>
      <x:c r="AB141" s="19" t="n">
        <x:f>IF(E141=0,"N/A",V141/E141)</x:f>
        <x:v>2.6</x:v>
      </x:c>
      <x:c r="AC141" s="22" t="n">
        <x:f>IF(E141=0,"N/A",K141/E141)</x:f>
        <x:v>9.46426</x:v>
      </x:c>
      <x:c r="AD141" s="19" t="n">
        <x:f>IF(E141=0,"N/A",P141/E141)</x:f>
        <x:v>0.22000000000000006</x:v>
      </x:c>
    </x:row>
    <x:row r="142" ht="23" customHeight="1">
      <x:c r="A142" s="17" t="str">
        <x:v>C004</x:v>
      </x:c>
      <x:c r="B142" s="17" t="str">
        <x:v>All task types</x:v>
      </x:c>
      <x:c r="C142" s="17" t="str">
        <x:v>prompt_template_used</x:v>
      </x:c>
      <x:c r="D142" s="17" t="str">
        <x:v>No</x:v>
      </x:c>
      <x:c r="E142" s="17" t="n">
        <x:f>COUNTIFS('Tasks'!$C$7:$C$246,$A142,'Tasks'!$L$7:$L$246,$D142)</x:f>
        <x:v>20</x:v>
      </x:c>
      <x:c r="F142" s="17" t="n">
        <x:f>SUMIFS('Tasks'!$O$7:$O$246,'Tasks'!$C$7:$C$246,$A142,'Tasks'!$L$7:$L$246,$D142)</x:f>
        <x:v>6049901</x:v>
      </x:c>
      <x:c r="G142" s="17" t="n">
        <x:f>SUMIFS('Tasks'!$P$7:$P$246,'Tasks'!$C$7:$C$246,$A142,'Tasks'!$L$7:$L$246,$D142)</x:f>
        <x:v>2024899</x:v>
      </x:c>
      <x:c r="H142" s="17" t="n">
        <x:f>SUMIFS('Tasks'!$Q$7:$Q$246,'Tasks'!$C$7:$C$246,$A142,'Tasks'!$L$7:$L$246,$D142)</x:f>
        <x:v>8074800</x:v>
      </x:c>
      <x:c r="I142" s="22" t="n">
        <x:f>SUMIFS('Tasks'!$S$7:$S$246,'Tasks'!$C$7:$C$246,$A142,'Tasks'!$L$7:$L$246,$D142)</x:f>
        <x:v>156.79844</x:v>
      </x:c>
      <x:c r="J142" s="22" t="n">
        <x:f>SUMIFS('Tasks'!$T$7:$T$246,'Tasks'!$C$7:$C$246,$A142,'Tasks'!$L$7:$L$246,$D142)</x:f>
        <x:v>165.81004000000001</x:v>
      </x:c>
      <x:c r="K142" s="22" t="n">
        <x:f>SUMIFS('Tasks'!$U$7:$U$246,'Tasks'!$C$7:$C$246,$A142,'Tasks'!$L$7:$L$246,$D142)</x:f>
        <x:v>322.60847999999993</x:v>
      </x:c>
      <x:c r="L142" s="17" t="n">
        <x:f>SUMIFS('Tasks'!$R$7:$R$246,'Tasks'!$C$7:$C$246,$A142,'Tasks'!$L$7:$L$246,$D142)</x:f>
        <x:v>302</x:v>
      </x:c>
      <x:c r="M142" s="22" t="n">
        <x:f>IF(L142=0,"N/A",K142/L142)</x:f>
        <x:v>1.0682399999999999</x:v>
      </x:c>
      <x:c r="N142" s="19" t="n">
        <x:f>SUMIFS('Tasks'!$G$7:$G$246,'Tasks'!$C$7:$C$246,$A142,'Tasks'!$L$7:$L$246,$D142)</x:f>
        <x:v>88.9</x:v>
      </x:c>
      <x:c r="O142" s="19" t="n">
        <x:f>SUMIFS('Tasks'!$H$7:$H$246,'Tasks'!$C$7:$C$246,$A142,'Tasks'!$L$7:$L$246,$D142)</x:f>
        <x:v>81.53</x:v>
      </x:c>
      <x:c r="P142" s="19" t="n">
        <x:f>SUMIFS('Tasks'!$Y$7:$Y$246,'Tasks'!$C$7:$C$246,$A142,'Tasks'!$L$7:$L$246,$D142)</x:f>
        <x:v>7.370000000000001</x:v>
      </x:c>
      <x:c r="Q142" s="22" t="n">
        <x:f>SUMIFS('Tasks'!$Z$7:$Z$246,'Tasks'!$C$7:$C$246,$A142,'Tasks'!$L$7:$L$246,$D142)</x:f>
        <x:v>368.50000000000006</x:v>
      </x:c>
      <x:c r="R142" s="22" t="n">
        <x:f>SUMIFS('Tasks'!$AA$7:$AA$246,'Tasks'!$C$7:$C$246,$A142,'Tasks'!$L$7:$L$246,$D142)</x:f>
        <x:v>45.891520000000064</x:v>
      </x:c>
      <x:c r="S142" s="31" t="n">
        <x:f>IF(K142=0,"N/A",R142/K142)</x:f>
        <x:v>0.14225143740796917</x:v>
      </x:c>
      <x:c r="T142" s="19" t="n">
        <x:f>SUMIFS('Tasks'!$I$7:$I$246,'Tasks'!$C$7:$C$246,$A142,'Tasks'!$L$7:$L$246,$D142)</x:f>
        <x:v>7.340000000000001</x:v>
      </x:c>
      <x:c r="U142" s="31" t="n">
        <x:f>IF(O142=0,"N/A",T142/O142)</x:f>
        <x:v>0.09002821047467191</x:v>
      </x:c>
      <x:c r="V142" s="17" t="n">
        <x:f>SUMIFS('Tasks'!$X$7:$X$246,'Tasks'!$C$7:$C$246,$A142,'Tasks'!$L$7:$L$246,$D142)</x:f>
        <x:v>66</x:v>
      </x:c>
      <x:c r="W142" s="31" t="n">
        <x:f>IF(L142=0,"N/A",V142/L142)</x:f>
        <x:v>0.2185430463576159</x:v>
      </x:c>
      <x:c r="X142" s="17" t="n">
        <x:f>COUNTIFS('Tasks'!$C$7:$C$246,$A142,'Tasks'!$L$7:$L$246,$D142,'Tasks'!$L$7:$L$246,"Yes")</x:f>
        <x:v>0</x:v>
      </x:c>
      <x:c r="Y142" s="17" t="n">
        <x:f>COUNTIFS('Tasks'!$C$7:$C$246,$A142,'Tasks'!$L$7:$L$246,$D142,'Tasks'!$K$7:$K$246,"Yes")</x:f>
        <x:v>4</x:v>
      </x:c>
      <x:c r="Z142" s="17" t="n">
        <x:f>COUNTIFS('Tasks'!$C$7:$C$246,$A142,'Tasks'!$L$7:$L$246,$D142,'Tasks'!$AA$7:$AA$246,"&gt;0")</x:f>
        <x:v>9</x:v>
      </x:c>
      <x:c r="AA142" s="17" t="n">
        <x:f>COUNTIFS('Tasks'!$C$7:$C$246,$A142,'Tasks'!$L$7:$L$246,$D142,'Tasks'!$AA$7:$AA$246,"&lt;0")</x:f>
        <x:v>11</x:v>
      </x:c>
      <x:c r="AB142" s="19" t="n">
        <x:f>IF(E142=0,"N/A",V142/E142)</x:f>
        <x:v>3.3</x:v>
      </x:c>
      <x:c r="AC142" s="22" t="n">
        <x:f>IF(E142=0,"N/A",K142/E142)</x:f>
        <x:v>16.130423999999998</x:v>
      </x:c>
      <x:c r="AD142" s="19" t="n">
        <x:f>IF(E142=0,"N/A",P142/E142)</x:f>
        <x:v>0.36850000000000005</x:v>
      </x:c>
    </x:row>
    <x:row r="143" ht="23" customHeight="1">
      <x:c r="A143" s="17" t="str">
        <x:v>C004</x:v>
      </x:c>
      <x:c r="B143" s="17" t="str">
        <x:v>All task types</x:v>
      </x:c>
      <x:c r="C143" s="17" t="str">
        <x:v>prompt_template_used</x:v>
      </x:c>
      <x:c r="D143" s="17" t="str">
        <x:v>Yes</x:v>
      </x:c>
      <x:c r="E143" s="17" t="n">
        <x:f>COUNTIFS('Tasks'!$C$7:$C$246,$A143,'Tasks'!$L$7:$L$246,$D143)</x:f>
        <x:v>40</x:v>
      </x:c>
      <x:c r="F143" s="17" t="n">
        <x:f>SUMIFS('Tasks'!$O$7:$O$246,'Tasks'!$C$7:$C$246,$A143,'Tasks'!$L$7:$L$246,$D143)</x:f>
        <x:v>10950099</x:v>
      </x:c>
      <x:c r="G143" s="17" t="n">
        <x:f>SUMIFS('Tasks'!$P$7:$P$246,'Tasks'!$C$7:$C$246,$A143,'Tasks'!$L$7:$L$246,$D143)</x:f>
        <x:v>2975101</x:v>
      </x:c>
      <x:c r="H143" s="17" t="n">
        <x:f>SUMIFS('Tasks'!$Q$7:$Q$246,'Tasks'!$C$7:$C$246,$A143,'Tasks'!$L$7:$L$246,$D143)</x:f>
        <x:v>13925200</x:v>
      </x:c>
      <x:c r="I143" s="22" t="n">
        <x:f>SUMIFS('Tasks'!$S$7:$S$246,'Tasks'!$C$7:$C$246,$A143,'Tasks'!$L$7:$L$246,$D143)</x:f>
        <x:v>223.20155999999992</x:v>
      </x:c>
      <x:c r="J143" s="22" t="n">
        <x:f>SUMIFS('Tasks'!$T$7:$T$246,'Tasks'!$C$7:$C$246,$A143,'Tasks'!$L$7:$L$246,$D143)</x:f>
        <x:v>194.1899600000001</x:v>
      </x:c>
      <x:c r="K143" s="22" t="n">
        <x:f>SUMIFS('Tasks'!$U$7:$U$246,'Tasks'!$C$7:$C$246,$A143,'Tasks'!$L$7:$L$246,$D143)</x:f>
        <x:v>417.39152000000007</x:v>
      </x:c>
      <x:c r="L143" s="17" t="n">
        <x:f>SUMIFS('Tasks'!$R$7:$R$246,'Tasks'!$C$7:$C$246,$A143,'Tasks'!$L$7:$L$246,$D143)</x:f>
        <x:v>538</x:v>
      </x:c>
      <x:c r="M143" s="22" t="n">
        <x:f>IF(L143=0,"N/A",K143/L143)</x:f>
        <x:v>0.7758206691449815</x:v>
      </x:c>
      <x:c r="N143" s="19" t="n">
        <x:f>SUMIFS('Tasks'!$G$7:$G$246,'Tasks'!$C$7:$C$246,$A143,'Tasks'!$L$7:$L$246,$D143)</x:f>
        <x:v>171.10000000000002</x:v>
      </x:c>
      <x:c r="O143" s="19" t="n">
        <x:f>SUMIFS('Tasks'!$H$7:$H$246,'Tasks'!$C$7:$C$246,$A143,'Tasks'!$L$7:$L$246,$D143)</x:f>
        <x:v>136.46999999999994</x:v>
      </x:c>
      <x:c r="P143" s="19" t="n">
        <x:f>SUMIFS('Tasks'!$Y$7:$Y$246,'Tasks'!$C$7:$C$246,$A143,'Tasks'!$L$7:$L$246,$D143)</x:f>
        <x:v>34.63</x:v>
      </x:c>
      <x:c r="Q143" s="22" t="n">
        <x:f>SUMIFS('Tasks'!$Z$7:$Z$246,'Tasks'!$C$7:$C$246,$A143,'Tasks'!$L$7:$L$246,$D143)</x:f>
        <x:v>1731.5</x:v>
      </x:c>
      <x:c r="R143" s="22" t="n">
        <x:f>SUMIFS('Tasks'!$AA$7:$AA$246,'Tasks'!$C$7:$C$246,$A143,'Tasks'!$L$7:$L$246,$D143)</x:f>
        <x:v>1314.1084800000003</x:v>
      </x:c>
      <x:c r="S143" s="31" t="n">
        <x:f>IF(K143=0,"N/A",R143/K143)</x:f>
        <x:v>3.148383273335309</x:v>
      </x:c>
      <x:c r="T143" s="19" t="n">
        <x:f>SUMIFS('Tasks'!$I$7:$I$246,'Tasks'!$C$7:$C$246,$A143,'Tasks'!$L$7:$L$246,$D143)</x:f>
        <x:v>11.200000000000001</x:v>
      </x:c>
      <x:c r="U143" s="31" t="n">
        <x:f>IF(O143=0,"N/A",T143/O143)</x:f>
        <x:v>0.08206931926430722</x:v>
      </x:c>
      <x:c r="V143" s="17" t="n">
        <x:f>SUMIFS('Tasks'!$X$7:$X$246,'Tasks'!$C$7:$C$246,$A143,'Tasks'!$L$7:$L$246,$D143)</x:f>
        <x:v>114</x:v>
      </x:c>
      <x:c r="W143" s="31" t="n">
        <x:f>IF(L143=0,"N/A",V143/L143)</x:f>
        <x:v>0.21189591078066913</x:v>
      </x:c>
      <x:c r="X143" s="17" t="n">
        <x:f>COUNTIFS('Tasks'!$C$7:$C$246,$A143,'Tasks'!$L$7:$L$246,$D143,'Tasks'!$L$7:$L$246,"Yes")</x:f>
        <x:v>40</x:v>
      </x:c>
      <x:c r="Y143" s="17" t="n">
        <x:f>COUNTIFS('Tasks'!$C$7:$C$246,$A143,'Tasks'!$L$7:$L$246,$D143,'Tasks'!$K$7:$K$246,"Yes")</x:f>
        <x:v>6</x:v>
      </x:c>
      <x:c r="Z143" s="17" t="n">
        <x:f>COUNTIFS('Tasks'!$C$7:$C$246,$A143,'Tasks'!$L$7:$L$246,$D143,'Tasks'!$AA$7:$AA$246,"&gt;0")</x:f>
        <x:v>26</x:v>
      </x:c>
      <x:c r="AA143" s="17" t="n">
        <x:f>COUNTIFS('Tasks'!$C$7:$C$246,$A143,'Tasks'!$L$7:$L$246,$D143,'Tasks'!$AA$7:$AA$246,"&lt;0")</x:f>
        <x:v>14</x:v>
      </x:c>
      <x:c r="AB143" s="19" t="n">
        <x:f>IF(E143=0,"N/A",V143/E143)</x:f>
        <x:v>2.85</x:v>
      </x:c>
      <x:c r="AC143" s="22" t="n">
        <x:f>IF(E143=0,"N/A",K143/E143)</x:f>
        <x:v>10.434788000000001</x:v>
      </x:c>
      <x:c r="AD143" s="19" t="n">
        <x:f>IF(E143=0,"N/A",P143/E143)</x:f>
        <x:v>0.86575</x:v>
      </x:c>
    </x:row>
    <x:row r="144" ht="23" customHeight="1">
      <x:c r="A144" s="17" t="str">
        <x:v>C004</x:v>
      </x:c>
      <x:c r="B144" s="17" t="str">
        <x:v>All task types</x:v>
      </x:c>
      <x:c r="C144" s="17" t="str">
        <x:v>brief_changed</x:v>
      </x:c>
      <x:c r="D144" s="17" t="str">
        <x:v>No</x:v>
      </x:c>
      <x:c r="E144" s="17" t="n">
        <x:f>COUNTIFS('Tasks'!$C$7:$C$246,$A144,'Tasks'!$K$7:$K$246,$D144)</x:f>
        <x:v>50</x:v>
      </x:c>
      <x:c r="F144" s="17" t="n">
        <x:f>SUMIFS('Tasks'!$O$7:$O$246,'Tasks'!$C$7:$C$246,$A144,'Tasks'!$K$7:$K$246,$D144)</x:f>
        <x:v>13888900</x:v>
      </x:c>
      <x:c r="G144" s="17" t="n">
        <x:f>SUMIFS('Tasks'!$P$7:$P$246,'Tasks'!$C$7:$C$246,$A144,'Tasks'!$K$7:$K$246,$D144)</x:f>
        <x:v>4049089</x:v>
      </x:c>
      <x:c r="H144" s="17" t="n">
        <x:f>SUMIFS('Tasks'!$Q$7:$Q$246,'Tasks'!$C$7:$C$246,$A144,'Tasks'!$K$7:$K$246,$D144)</x:f>
        <x:v>17937989</x:v>
      </x:c>
      <x:c r="I144" s="22" t="n">
        <x:f>SUMIFS('Tasks'!$S$7:$S$246,'Tasks'!$C$7:$C$246,$A144,'Tasks'!$K$7:$K$246,$D144)</x:f>
        <x:v>312.9055899999999</x:v>
      </x:c>
      <x:c r="J144" s="22" t="n">
        <x:f>SUMIFS('Tasks'!$T$7:$T$246,'Tasks'!$C$7:$C$246,$A144,'Tasks'!$K$7:$K$246,$D144)</x:f>
        <x:v>288.55238</x:v>
      </x:c>
      <x:c r="K144" s="22" t="n">
        <x:f>SUMIFS('Tasks'!$U$7:$U$246,'Tasks'!$C$7:$C$246,$A144,'Tasks'!$K$7:$K$246,$D144)</x:f>
        <x:v>601.4579699999999</x:v>
      </x:c>
      <x:c r="L144" s="17" t="n">
        <x:f>SUMIFS('Tasks'!$R$7:$R$246,'Tasks'!$C$7:$C$246,$A144,'Tasks'!$K$7:$K$246,$D144)</x:f>
        <x:v>691</x:v>
      </x:c>
      <x:c r="M144" s="22" t="n">
        <x:f>IF(L144=0,"N/A",K144/L144)</x:f>
        <x:v>0.8704167438494934</x:v>
      </x:c>
      <x:c r="N144" s="19" t="n">
        <x:f>SUMIFS('Tasks'!$G$7:$G$246,'Tasks'!$C$7:$C$246,$A144,'Tasks'!$K$7:$K$246,$D144)</x:f>
        <x:v>220.29</x:v>
      </x:c>
      <x:c r="O144" s="19" t="n">
        <x:f>SUMIFS('Tasks'!$H$7:$H$246,'Tasks'!$C$7:$C$246,$A144,'Tasks'!$K$7:$K$246,$D144)</x:f>
        <x:v>186.34999999999997</x:v>
      </x:c>
      <x:c r="P144" s="19" t="n">
        <x:f>SUMIFS('Tasks'!$Y$7:$Y$246,'Tasks'!$C$7:$C$246,$A144,'Tasks'!$K$7:$K$246,$D144)</x:f>
        <x:v>33.94</x:v>
      </x:c>
      <x:c r="Q144" s="22" t="n">
        <x:f>SUMIFS('Tasks'!$Z$7:$Z$246,'Tasks'!$C$7:$C$246,$A144,'Tasks'!$K$7:$K$246,$D144)</x:f>
        <x:v>1697</x:v>
      </x:c>
      <x:c r="R144" s="22" t="n">
        <x:f>SUMIFS('Tasks'!$AA$7:$AA$246,'Tasks'!$C$7:$C$246,$A144,'Tasks'!$K$7:$K$246,$D144)</x:f>
        <x:v>1095.54203</x:v>
      </x:c>
      <x:c r="S144" s="31" t="n">
        <x:f>IF(K144=0,"N/A",R144/K144)</x:f>
        <x:v>1.8214772846056062</x:v>
      </x:c>
      <x:c r="T144" s="19" t="n">
        <x:f>SUMIFS('Tasks'!$I$7:$I$246,'Tasks'!$C$7:$C$246,$A144,'Tasks'!$K$7:$K$246,$D144)</x:f>
        <x:v>15.360000000000001</x:v>
      </x:c>
      <x:c r="U144" s="31" t="n">
        <x:f>IF(O144=0,"N/A",T144/O144)</x:f>
        <x:v>0.08242554333243898</x:v>
      </x:c>
      <x:c r="V144" s="17" t="n">
        <x:f>SUMIFS('Tasks'!$X$7:$X$246,'Tasks'!$C$7:$C$246,$A144,'Tasks'!$K$7:$K$246,$D144)</x:f>
        <x:v>147</x:v>
      </x:c>
      <x:c r="W144" s="31" t="n">
        <x:f>IF(L144=0,"N/A",V144/L144)</x:f>
        <x:v>0.21273516642547033</x:v>
      </x:c>
      <x:c r="X144" s="17" t="n">
        <x:f>COUNTIFS('Tasks'!$C$7:$C$246,$A144,'Tasks'!$K$7:$K$246,$D144,'Tasks'!$L$7:$L$246,"Yes")</x:f>
        <x:v>34</x:v>
      </x:c>
      <x:c r="Y144" s="17" t="n">
        <x:f>COUNTIFS('Tasks'!$C$7:$C$246,$A144,'Tasks'!$K$7:$K$246,$D144,'Tasks'!$K$7:$K$246,"Yes")</x:f>
        <x:v>0</x:v>
      </x:c>
      <x:c r="Z144" s="17" t="n">
        <x:f>COUNTIFS('Tasks'!$C$7:$C$246,$A144,'Tasks'!$K$7:$K$246,$D144,'Tasks'!$AA$7:$AA$246,"&gt;0")</x:f>
        <x:v>28</x:v>
      </x:c>
      <x:c r="AA144" s="17" t="n">
        <x:f>COUNTIFS('Tasks'!$C$7:$C$246,$A144,'Tasks'!$K$7:$K$246,$D144,'Tasks'!$AA$7:$AA$246,"&lt;0")</x:f>
        <x:v>22</x:v>
      </x:c>
      <x:c r="AB144" s="19" t="n">
        <x:f>IF(E144=0,"N/A",V144/E144)</x:f>
        <x:v>2.94</x:v>
      </x:c>
      <x:c r="AC144" s="22" t="n">
        <x:f>IF(E144=0,"N/A",K144/E144)</x:f>
        <x:v>12.0291594</x:v>
      </x:c>
      <x:c r="AD144" s="19" t="n">
        <x:f>IF(E144=0,"N/A",P144/E144)</x:f>
        <x:v>0.6788</x:v>
      </x:c>
    </x:row>
    <x:row r="145" ht="23" customHeight="1">
      <x:c r="A145" s="17" t="str">
        <x:v>C004</x:v>
      </x:c>
      <x:c r="B145" s="17" t="str">
        <x:v>All task types</x:v>
      </x:c>
      <x:c r="C145" s="17" t="str">
        <x:v>brief_changed</x:v>
      </x:c>
      <x:c r="D145" s="17" t="str">
        <x:v>Yes</x:v>
      </x:c>
      <x:c r="E145" s="17" t="n">
        <x:f>COUNTIFS('Tasks'!$C$7:$C$246,$A145,'Tasks'!$K$7:$K$246,$D145)</x:f>
        <x:v>10</x:v>
      </x:c>
      <x:c r="F145" s="17" t="n">
        <x:f>SUMIFS('Tasks'!$O$7:$O$246,'Tasks'!$C$7:$C$246,$A145,'Tasks'!$K$7:$K$246,$D145)</x:f>
        <x:v>3111100</x:v>
      </x:c>
      <x:c r="G145" s="17" t="n">
        <x:f>SUMIFS('Tasks'!$P$7:$P$246,'Tasks'!$C$7:$C$246,$A145,'Tasks'!$K$7:$K$246,$D145)</x:f>
        <x:v>950911</x:v>
      </x:c>
      <x:c r="H145" s="17" t="n">
        <x:f>SUMIFS('Tasks'!$Q$7:$Q$246,'Tasks'!$C$7:$C$246,$A145,'Tasks'!$K$7:$K$246,$D145)</x:f>
        <x:v>4062011</x:v>
      </x:c>
      <x:c r="I145" s="22" t="n">
        <x:f>SUMIFS('Tasks'!$S$7:$S$246,'Tasks'!$C$7:$C$246,$A145,'Tasks'!$K$7:$K$246,$D145)</x:f>
        <x:v>67.09441</x:v>
      </x:c>
      <x:c r="J145" s="22" t="n">
        <x:f>SUMIFS('Tasks'!$T$7:$T$246,'Tasks'!$C$7:$C$246,$A145,'Tasks'!$K$7:$K$246,$D145)</x:f>
        <x:v>71.44761999999999</x:v>
      </x:c>
      <x:c r="K145" s="22" t="n">
        <x:f>SUMIFS('Tasks'!$U$7:$U$246,'Tasks'!$C$7:$C$246,$A145,'Tasks'!$K$7:$K$246,$D145)</x:f>
        <x:v>138.54202999999998</x:v>
      </x:c>
      <x:c r="L145" s="17" t="n">
        <x:f>SUMIFS('Tasks'!$R$7:$R$246,'Tasks'!$C$7:$C$246,$A145,'Tasks'!$K$7:$K$246,$D145)</x:f>
        <x:v>149</x:v>
      </x:c>
      <x:c r="M145" s="22" t="n">
        <x:f>IF(L145=0,"N/A",K145/L145)</x:f>
        <x:v>0.9298122818791945</x:v>
      </x:c>
      <x:c r="N145" s="19" t="n">
        <x:f>SUMIFS('Tasks'!$G$7:$G$246,'Tasks'!$C$7:$C$246,$A145,'Tasks'!$K$7:$K$246,$D145)</x:f>
        <x:v>39.71</x:v>
      </x:c>
      <x:c r="O145" s="19" t="n">
        <x:f>SUMIFS('Tasks'!$H$7:$H$246,'Tasks'!$C$7:$C$246,$A145,'Tasks'!$K$7:$K$246,$D145)</x:f>
        <x:v>31.650000000000002</x:v>
      </x:c>
      <x:c r="P145" s="19" t="n">
        <x:f>SUMIFS('Tasks'!$Y$7:$Y$246,'Tasks'!$C$7:$C$246,$A145,'Tasks'!$K$7:$K$246,$D145)</x:f>
        <x:v>8.059999999999997</x:v>
      </x:c>
      <x:c r="Q145" s="22" t="n">
        <x:f>SUMIFS('Tasks'!$Z$7:$Z$246,'Tasks'!$C$7:$C$246,$A145,'Tasks'!$K$7:$K$246,$D145)</x:f>
        <x:v>402.9999999999999</x:v>
      </x:c>
      <x:c r="R145" s="22" t="n">
        <x:f>SUMIFS('Tasks'!$AA$7:$AA$246,'Tasks'!$C$7:$C$246,$A145,'Tasks'!$K$7:$K$246,$D145)</x:f>
        <x:v>264.45796999999993</x:v>
      </x:c>
      <x:c r="S145" s="31" t="n">
        <x:f>IF(K145=0,"N/A",R145/K145)</x:f>
        <x:v>1.9088645517898069</x:v>
      </x:c>
      <x:c r="T145" s="19" t="n">
        <x:f>SUMIFS('Tasks'!$I$7:$I$246,'Tasks'!$C$7:$C$246,$A145,'Tasks'!$K$7:$K$246,$D145)</x:f>
        <x:v>3.18</x:v>
      </x:c>
      <x:c r="U145" s="31" t="n">
        <x:f>IF(O145=0,"N/A",T145/O145)</x:f>
        <x:v>0.1004739336492891</x:v>
      </x:c>
      <x:c r="V145" s="17" t="n">
        <x:f>SUMIFS('Tasks'!$X$7:$X$246,'Tasks'!$C$7:$C$246,$A145,'Tasks'!$K$7:$K$246,$D145)</x:f>
        <x:v>33</x:v>
      </x:c>
      <x:c r="W145" s="31" t="n">
        <x:f>IF(L145=0,"N/A",V145/L145)</x:f>
        <x:v>0.2214765100671141</x:v>
      </x:c>
      <x:c r="X145" s="17" t="n">
        <x:f>COUNTIFS('Tasks'!$C$7:$C$246,$A145,'Tasks'!$K$7:$K$246,$D145,'Tasks'!$L$7:$L$246,"Yes")</x:f>
        <x:v>6</x:v>
      </x:c>
      <x:c r="Y145" s="17" t="n">
        <x:f>COUNTIFS('Tasks'!$C$7:$C$246,$A145,'Tasks'!$K$7:$K$246,$D145,'Tasks'!$K$7:$K$246,"Yes")</x:f>
        <x:v>10</x:v>
      </x:c>
      <x:c r="Z145" s="17" t="n">
        <x:f>COUNTIFS('Tasks'!$C$7:$C$246,$A145,'Tasks'!$K$7:$K$246,$D145,'Tasks'!$AA$7:$AA$246,"&gt;0")</x:f>
        <x:v>7</x:v>
      </x:c>
      <x:c r="AA145" s="17" t="n">
        <x:f>COUNTIFS('Tasks'!$C$7:$C$246,$A145,'Tasks'!$K$7:$K$246,$D145,'Tasks'!$AA$7:$AA$246,"&lt;0")</x:f>
        <x:v>3</x:v>
      </x:c>
      <x:c r="AB145" s="19" t="n">
        <x:f>IF(E145=0,"N/A",V145/E145)</x:f>
        <x:v>3.3</x:v>
      </x:c>
      <x:c r="AC145" s="22" t="n">
        <x:f>IF(E145=0,"N/A",K145/E145)</x:f>
        <x:v>13.854202999999998</x:v>
      </x:c>
      <x:c r="AD145" s="19" t="n">
        <x:f>IF(E145=0,"N/A",P145/E145)</x:f>
        <x:v>0.8059999999999997</x:v>
      </x:c>
    </x:row>
    <x:row r="146" ht="23" customHeight="1">
      <x:c r="A146" s="17" t="str">
        <x:v>C004</x:v>
      </x:c>
      <x:c r="B146" s="17" t="str">
        <x:v>Analyze campaign results</x:v>
      </x:c>
      <x:c r="C146" s="17" t="str">
        <x:v>prompt_template_used</x:v>
      </x:c>
      <x:c r="D146" s="17" t="str">
        <x:v>No</x:v>
      </x:c>
      <x:c r="E146" s="17" t="n">
        <x:f>COUNTIFS('Tasks'!$C$7:$C$246,$A146,'Tasks'!$L$7:$L$246,$D146,'Tasks'!$F$7:$F$246,$B146)</x:f>
        <x:v>2</x:v>
      </x:c>
      <x:c r="F146" s="17" t="n">
        <x:f>SUMIFS('Tasks'!$O$7:$O$246,'Tasks'!$C$7:$C$246,$A146,'Tasks'!$L$7:$L$246,$D146,'Tasks'!$F$7:$F$246,$B146)</x:f>
        <x:v>623596</x:v>
      </x:c>
      <x:c r="G146" s="17" t="n">
        <x:f>SUMIFS('Tasks'!$P$7:$P$246,'Tasks'!$C$7:$C$246,$A146,'Tasks'!$L$7:$L$246,$D146,'Tasks'!$F$7:$F$246,$B146)</x:f>
        <x:v>382976</x:v>
      </x:c>
      <x:c r="H146" s="17" t="n">
        <x:f>SUMIFS('Tasks'!$Q$7:$Q$246,'Tasks'!$C$7:$C$246,$A146,'Tasks'!$L$7:$L$246,$D146,'Tasks'!$F$7:$F$246,$B146)</x:f>
        <x:v>1006572</x:v>
      </x:c>
      <x:c r="I146" s="22" t="n">
        <x:f>SUMIFS('Tasks'!$S$7:$S$246,'Tasks'!$C$7:$C$246,$A146,'Tasks'!$L$7:$L$246,$D146,'Tasks'!$F$7:$F$246,$B146)</x:f>
        <x:v>24.943839999999998</x:v>
      </x:c>
      <x:c r="J146" s="22" t="n">
        <x:f>SUMIFS('Tasks'!$T$7:$T$246,'Tasks'!$C$7:$C$246,$A146,'Tasks'!$L$7:$L$246,$D146,'Tasks'!$F$7:$F$246,$B146)</x:f>
        <x:v>38.29759999999999</x:v>
      </x:c>
      <x:c r="K146" s="22" t="n">
        <x:f>SUMIFS('Tasks'!$U$7:$U$246,'Tasks'!$C$7:$C$246,$A146,'Tasks'!$L$7:$L$246,$D146,'Tasks'!$F$7:$F$246,$B146)</x:f>
        <x:v>63.24144</x:v>
      </x:c>
      <x:c r="L146" s="17" t="n">
        <x:f>SUMIFS('Tasks'!$R$7:$R$246,'Tasks'!$C$7:$C$246,$A146,'Tasks'!$L$7:$L$246,$D146,'Tasks'!$F$7:$F$246,$B146)</x:f>
        <x:v>42</x:v>
      </x:c>
      <x:c r="M146" s="22" t="n">
        <x:f>IF(L146=0,"N/A",K146/L146)</x:f>
        <x:v>1.5057485714285714</x:v>
      </x:c>
      <x:c r="N146" s="19" t="n">
        <x:f>SUMIFS('Tasks'!$G$7:$G$246,'Tasks'!$C$7:$C$246,$A146,'Tasks'!$L$7:$L$246,$D146,'Tasks'!$F$7:$F$246,$B146)</x:f>
        <x:v>10.64</x:v>
      </x:c>
      <x:c r="O146" s="19" t="n">
        <x:f>SUMIFS('Tasks'!$H$7:$H$246,'Tasks'!$C$7:$C$246,$A146,'Tasks'!$L$7:$L$246,$D146,'Tasks'!$F$7:$F$246,$B146)</x:f>
        <x:v>12.57</x:v>
      </x:c>
      <x:c r="P146" s="19" t="n">
        <x:f>SUMIFS('Tasks'!$Y$7:$Y$246,'Tasks'!$C$7:$C$246,$A146,'Tasks'!$L$7:$L$246,$D146,'Tasks'!$F$7:$F$246,$B146)</x:f>
        <x:v>-1.9300000000000006</x:v>
      </x:c>
      <x:c r="Q146" s="22" t="n">
        <x:f>SUMIFS('Tasks'!$Z$7:$Z$246,'Tasks'!$C$7:$C$246,$A146,'Tasks'!$L$7:$L$246,$D146,'Tasks'!$F$7:$F$246,$B146)</x:f>
        <x:v>-96.50000000000003</x:v>
      </x:c>
      <x:c r="R146" s="22" t="n">
        <x:f>SUMIFS('Tasks'!$AA$7:$AA$246,'Tasks'!$C$7:$C$246,$A146,'Tasks'!$L$7:$L$246,$D146,'Tasks'!$F$7:$F$246,$B146)</x:f>
        <x:v>-159.74144</x:v>
      </x:c>
      <x:c r="S146" s="31" t="n">
        <x:f>IF(K146=0,"N/A",R146/K146)</x:f>
        <x:v>-2.525898208516441</x:v>
      </x:c>
      <x:c r="T146" s="19" t="n">
        <x:f>SUMIFS('Tasks'!$I$7:$I$246,'Tasks'!$C$7:$C$246,$A146,'Tasks'!$L$7:$L$246,$D146,'Tasks'!$F$7:$F$246,$B146)</x:f>
        <x:v>0.8099999999999999</x:v>
      </x:c>
      <x:c r="U146" s="31" t="n">
        <x:f>IF(O146=0,"N/A",T146/O146)</x:f>
        <x:v>0.06443914081145584</x:v>
      </x:c>
      <x:c r="V146" s="17" t="n">
        <x:f>SUMIFS('Tasks'!$X$7:$X$246,'Tasks'!$C$7:$C$246,$A146,'Tasks'!$L$7:$L$246,$D146,'Tasks'!$F$7:$F$246,$B146)</x:f>
        <x:v>9</x:v>
      </x:c>
      <x:c r="W146" s="31" t="n">
        <x:f>IF(L146=0,"N/A",V146/L146)</x:f>
        <x:v>0.21428571428571427</x:v>
      </x:c>
      <x:c r="X146" s="17" t="n">
        <x:f>COUNTIFS('Tasks'!$C$7:$C$246,$A146,'Tasks'!$L$7:$L$246,$D146,'Tasks'!$F$7:$F$246,$B146,'Tasks'!$L$7:$L$246,"Yes")</x:f>
        <x:v>0</x:v>
      </x:c>
      <x:c r="Y146" s="17" t="n">
        <x:f>COUNTIFS('Tasks'!$C$7:$C$246,$A146,'Tasks'!$L$7:$L$246,$D146,'Tasks'!$F$7:$F$246,$B146,'Tasks'!$K$7:$K$246,"Yes")</x:f>
        <x:v>1</x:v>
      </x:c>
      <x:c r="Z146" s="17" t="n">
        <x:f>COUNTIFS('Tasks'!$C$7:$C$246,$A146,'Tasks'!$L$7:$L$246,$D146,'Tasks'!$F$7:$F$246,$B146,'Tasks'!$AA$7:$AA$246,"&gt;0")</x:f>
        <x:v>0</x:v>
      </x:c>
      <x:c r="AA146" s="17" t="n">
        <x:f>COUNTIFS('Tasks'!$C$7:$C$246,$A146,'Tasks'!$L$7:$L$246,$D146,'Tasks'!$F$7:$F$246,$B146,'Tasks'!$AA$7:$AA$246,"&lt;0")</x:f>
        <x:v>2</x:v>
      </x:c>
      <x:c r="AB146" s="19" t="n">
        <x:f>IF(E146=0,"N/A",V146/E146)</x:f>
        <x:v>4.5</x:v>
      </x:c>
      <x:c r="AC146" s="22" t="n">
        <x:f>IF(E146=0,"N/A",K146/E146)</x:f>
        <x:v>31.62072</x:v>
      </x:c>
      <x:c r="AD146" s="19" t="n">
        <x:f>IF(E146=0,"N/A",P146/E146)</x:f>
        <x:v>-0.9650000000000003</x:v>
      </x:c>
    </x:row>
    <x:row r="147" ht="23" customHeight="1">
      <x:c r="A147" s="17" t="str">
        <x:v>C004</x:v>
      </x:c>
      <x:c r="B147" s="17" t="str">
        <x:v>Analyze campaign results</x:v>
      </x:c>
      <x:c r="C147" s="17" t="str">
        <x:v>prompt_template_used</x:v>
      </x:c>
      <x:c r="D147" s="17" t="str">
        <x:v>Yes</x:v>
      </x:c>
      <x:c r="E147" s="17" t="n">
        <x:f>COUNTIFS('Tasks'!$C$7:$C$246,$A147,'Tasks'!$L$7:$L$246,$D147,'Tasks'!$F$7:$F$246,$B147)</x:f>
        <x:v>3</x:v>
      </x:c>
      <x:c r="F147" s="17" t="n">
        <x:f>SUMIFS('Tasks'!$O$7:$O$246,'Tasks'!$C$7:$C$246,$A147,'Tasks'!$L$7:$L$246,$D147,'Tasks'!$F$7:$F$246,$B147)</x:f>
        <x:v>823145</x:v>
      </x:c>
      <x:c r="G147" s="17" t="n">
        <x:f>SUMIFS('Tasks'!$P$7:$P$246,'Tasks'!$C$7:$C$246,$A147,'Tasks'!$L$7:$L$246,$D147,'Tasks'!$F$7:$F$246,$B147)</x:f>
        <x:v>232966</x:v>
      </x:c>
      <x:c r="H147" s="17" t="n">
        <x:f>SUMIFS('Tasks'!$Q$7:$Q$246,'Tasks'!$C$7:$C$246,$A147,'Tasks'!$L$7:$L$246,$D147,'Tasks'!$F$7:$F$246,$B147)</x:f>
        <x:v>1056111</x:v>
      </x:c>
      <x:c r="I147" s="22" t="n">
        <x:f>SUMIFS('Tasks'!$S$7:$S$246,'Tasks'!$C$7:$C$246,$A147,'Tasks'!$L$7:$L$246,$D147,'Tasks'!$F$7:$F$246,$B147)</x:f>
        <x:v>26.51654</x:v>
      </x:c>
      <x:c r="J147" s="22" t="n">
        <x:f>SUMIFS('Tasks'!$T$7:$T$246,'Tasks'!$C$7:$C$246,$A147,'Tasks'!$L$7:$L$246,$D147,'Tasks'!$F$7:$F$246,$B147)</x:f>
        <x:v>21.045749999999998</x:v>
      </x:c>
      <x:c r="K147" s="22" t="n">
        <x:f>SUMIFS('Tasks'!$U$7:$U$246,'Tasks'!$C$7:$C$246,$A147,'Tasks'!$L$7:$L$246,$D147,'Tasks'!$F$7:$F$246,$B147)</x:f>
        <x:v>47.56229</x:v>
      </x:c>
      <x:c r="L147" s="17" t="n">
        <x:f>SUMIFS('Tasks'!$R$7:$R$246,'Tasks'!$C$7:$C$246,$A147,'Tasks'!$L$7:$L$246,$D147,'Tasks'!$F$7:$F$246,$B147)</x:f>
        <x:v>33</x:v>
      </x:c>
      <x:c r="M147" s="22" t="n">
        <x:f>IF(L147=0,"N/A",K147/L147)</x:f>
        <x:v>1.441281515151515</x:v>
      </x:c>
      <x:c r="N147" s="19" t="n">
        <x:f>SUMIFS('Tasks'!$G$7:$G$246,'Tasks'!$C$7:$C$246,$A147,'Tasks'!$L$7:$L$246,$D147,'Tasks'!$F$7:$F$246,$B147)</x:f>
        <x:v>11.2</x:v>
      </x:c>
      <x:c r="O147" s="19" t="n">
        <x:f>SUMIFS('Tasks'!$H$7:$H$246,'Tasks'!$C$7:$C$246,$A147,'Tasks'!$L$7:$L$246,$D147,'Tasks'!$F$7:$F$246,$B147)</x:f>
        <x:v>10.790000000000001</x:v>
      </x:c>
      <x:c r="P147" s="19" t="n">
        <x:f>SUMIFS('Tasks'!$Y$7:$Y$246,'Tasks'!$C$7:$C$246,$A147,'Tasks'!$L$7:$L$246,$D147,'Tasks'!$F$7:$F$246,$B147)</x:f>
        <x:v>0.4099999999999997</x:v>
      </x:c>
      <x:c r="Q147" s="22" t="n">
        <x:f>SUMIFS('Tasks'!$Z$7:$Z$246,'Tasks'!$C$7:$C$246,$A147,'Tasks'!$L$7:$L$246,$D147,'Tasks'!$F$7:$F$246,$B147)</x:f>
        <x:v>20.499999999999986</x:v>
      </x:c>
      <x:c r="R147" s="22" t="n">
        <x:f>SUMIFS('Tasks'!$AA$7:$AA$246,'Tasks'!$C$7:$C$246,$A147,'Tasks'!$L$7:$L$246,$D147,'Tasks'!$F$7:$F$246,$B147)</x:f>
        <x:v>-27.062290000000022</x:v>
      </x:c>
      <x:c r="S147" s="31" t="n">
        <x:f>IF(K147=0,"N/A",R147/K147)</x:f>
        <x:v>-0.5689862704255835</x:v>
      </x:c>
      <x:c r="T147" s="19" t="n">
        <x:f>SUMIFS('Tasks'!$I$7:$I$246,'Tasks'!$C$7:$C$246,$A147,'Tasks'!$L$7:$L$246,$D147,'Tasks'!$F$7:$F$246,$B147)</x:f>
        <x:v>0.9299999999999999</x:v>
      </x:c>
      <x:c r="U147" s="31" t="n">
        <x:f>IF(O147=0,"N/A",T147/O147)</x:f>
        <x:v>0.08619091751621871</x:v>
      </x:c>
      <x:c r="V147" s="17" t="n">
        <x:f>SUMIFS('Tasks'!$X$7:$X$246,'Tasks'!$C$7:$C$246,$A147,'Tasks'!$L$7:$L$246,$D147,'Tasks'!$F$7:$F$246,$B147)</x:f>
        <x:v>5</x:v>
      </x:c>
      <x:c r="W147" s="31" t="n">
        <x:f>IF(L147=0,"N/A",V147/L147)</x:f>
        <x:v>0.15151515151515152</x:v>
      </x:c>
      <x:c r="X147" s="17" t="n">
        <x:f>COUNTIFS('Tasks'!$C$7:$C$246,$A147,'Tasks'!$L$7:$L$246,$D147,'Tasks'!$F$7:$F$246,$B147,'Tasks'!$L$7:$L$246,"Yes")</x:f>
        <x:v>3</x:v>
      </x:c>
      <x:c r="Y147" s="17" t="n">
        <x:f>COUNTIFS('Tasks'!$C$7:$C$246,$A147,'Tasks'!$L$7:$L$246,$D147,'Tasks'!$F$7:$F$246,$B147,'Tasks'!$K$7:$K$246,"Yes")</x:f>
        <x:v>0</x:v>
      </x:c>
      <x:c r="Z147" s="17" t="n">
        <x:f>COUNTIFS('Tasks'!$C$7:$C$246,$A147,'Tasks'!$L$7:$L$246,$D147,'Tasks'!$F$7:$F$246,$B147,'Tasks'!$AA$7:$AA$246,"&gt;0")</x:f>
        <x:v>1</x:v>
      </x:c>
      <x:c r="AA147" s="17" t="n">
        <x:f>COUNTIFS('Tasks'!$C$7:$C$246,$A147,'Tasks'!$L$7:$L$246,$D147,'Tasks'!$F$7:$F$246,$B147,'Tasks'!$AA$7:$AA$246,"&lt;0")</x:f>
        <x:v>2</x:v>
      </x:c>
      <x:c r="AB147" s="19" t="n">
        <x:f>IF(E147=0,"N/A",V147/E147)</x:f>
        <x:v>1.6666666666666667</x:v>
      </x:c>
      <x:c r="AC147" s="22" t="n">
        <x:f>IF(E147=0,"N/A",K147/E147)</x:f>
        <x:v>15.854096666666665</x:v>
      </x:c>
      <x:c r="AD147" s="19" t="n">
        <x:f>IF(E147=0,"N/A",P147/E147)</x:f>
        <x:v>0.13666666666666658</x:v>
      </x:c>
    </x:row>
    <x:row r="148" ht="23" customHeight="1">
      <x:c r="A148" s="17" t="str">
        <x:v>C004</x:v>
      </x:c>
      <x:c r="B148" s="17" t="str">
        <x:v>Analyze campaign results</x:v>
      </x:c>
      <x:c r="C148" s="17" t="str">
        <x:v>brief_changed</x:v>
      </x:c>
      <x:c r="D148" s="17" t="str">
        <x:v>No</x:v>
      </x:c>
      <x:c r="E148" s="17" t="n">
        <x:f>COUNTIFS('Tasks'!$C$7:$C$246,$A148,'Tasks'!$K$7:$K$246,$D148,'Tasks'!$F$7:$F$246,$B148)</x:f>
        <x:v>4</x:v>
      </x:c>
      <x:c r="F148" s="17" t="n">
        <x:f>SUMIFS('Tasks'!$O$7:$O$246,'Tasks'!$C$7:$C$246,$A148,'Tasks'!$K$7:$K$246,$D148,'Tasks'!$F$7:$F$246,$B148)</x:f>
        <x:v>1135532</x:v>
      </x:c>
      <x:c r="G148" s="17" t="n">
        <x:f>SUMIFS('Tasks'!$P$7:$P$246,'Tasks'!$C$7:$C$246,$A148,'Tasks'!$K$7:$K$246,$D148,'Tasks'!$F$7:$F$246,$B148)</x:f>
        <x:v>397643</x:v>
      </x:c>
      <x:c r="H148" s="17" t="n">
        <x:f>SUMIFS('Tasks'!$Q$7:$Q$246,'Tasks'!$C$7:$C$246,$A148,'Tasks'!$K$7:$K$246,$D148,'Tasks'!$F$7:$F$246,$B148)</x:f>
        <x:v>1533175</x:v>
      </x:c>
      <x:c r="I148" s="22" t="n">
        <x:f>SUMIFS('Tasks'!$S$7:$S$246,'Tasks'!$C$7:$C$246,$A148,'Tasks'!$K$7:$K$246,$D148,'Tasks'!$F$7:$F$246,$B148)</x:f>
        <x:v>39.01202</x:v>
      </x:c>
      <x:c r="J148" s="22" t="n">
        <x:f>SUMIFS('Tasks'!$T$7:$T$246,'Tasks'!$C$7:$C$246,$A148,'Tasks'!$K$7:$K$246,$D148,'Tasks'!$F$7:$F$246,$B148)</x:f>
        <x:v>37.51345</x:v>
      </x:c>
      <x:c r="K148" s="22" t="n">
        <x:f>SUMIFS('Tasks'!$U$7:$U$246,'Tasks'!$C$7:$C$246,$A148,'Tasks'!$K$7:$K$246,$D148,'Tasks'!$F$7:$F$246,$B148)</x:f>
        <x:v>76.52547000000001</x:v>
      </x:c>
      <x:c r="L148" s="17" t="n">
        <x:f>SUMIFS('Tasks'!$R$7:$R$246,'Tasks'!$C$7:$C$246,$A148,'Tasks'!$K$7:$K$246,$D148,'Tasks'!$F$7:$F$246,$B148)</x:f>
        <x:v>55</x:v>
      </x:c>
      <x:c r="M148" s="22" t="n">
        <x:f>IF(L148=0,"N/A",K148/L148)</x:f>
        <x:v>1.3913721818181821</x:v>
      </x:c>
      <x:c r="N148" s="19" t="n">
        <x:f>SUMIFS('Tasks'!$G$7:$G$246,'Tasks'!$C$7:$C$246,$A148,'Tasks'!$K$7:$K$246,$D148,'Tasks'!$F$7:$F$246,$B148)</x:f>
        <x:v>16.82</x:v>
      </x:c>
      <x:c r="O148" s="19" t="n">
        <x:f>SUMIFS('Tasks'!$H$7:$H$246,'Tasks'!$C$7:$C$246,$A148,'Tasks'!$K$7:$K$246,$D148,'Tasks'!$F$7:$F$246,$B148)</x:f>
        <x:v>17.450000000000003</x:v>
      </x:c>
      <x:c r="P148" s="19" t="n">
        <x:f>SUMIFS('Tasks'!$Y$7:$Y$246,'Tasks'!$C$7:$C$246,$A148,'Tasks'!$K$7:$K$246,$D148,'Tasks'!$F$7:$F$246,$B148)</x:f>
        <x:v>-0.6300000000000003</x:v>
      </x:c>
      <x:c r="Q148" s="22" t="n">
        <x:f>SUMIFS('Tasks'!$Z$7:$Z$246,'Tasks'!$C$7:$C$246,$A148,'Tasks'!$K$7:$K$246,$D148,'Tasks'!$F$7:$F$246,$B148)</x:f>
        <x:v>-31.500000000000018</x:v>
      </x:c>
      <x:c r="R148" s="22" t="n">
        <x:f>SUMIFS('Tasks'!$AA$7:$AA$246,'Tasks'!$C$7:$C$246,$A148,'Tasks'!$K$7:$K$246,$D148,'Tasks'!$F$7:$F$246,$B148)</x:f>
        <x:v>-108.02547000000003</x:v>
      </x:c>
      <x:c r="S148" s="31" t="n">
        <x:f>IF(K148=0,"N/A",R148/K148)</x:f>
        <x:v>-1.4116276580856022</x:v>
      </x:c>
      <x:c r="T148" s="19" t="n">
        <x:f>SUMIFS('Tasks'!$I$7:$I$246,'Tasks'!$C$7:$C$246,$A148,'Tasks'!$K$7:$K$246,$D148,'Tasks'!$F$7:$F$246,$B148)</x:f>
        <x:v>1.6199999999999999</x:v>
      </x:c>
      <x:c r="U148" s="31" t="n">
        <x:f>IF(O148=0,"N/A",T148/O148)</x:f>
        <x:v>0.09283667621776502</x:v>
      </x:c>
      <x:c r="V148" s="17" t="n">
        <x:f>SUMIFS('Tasks'!$X$7:$X$246,'Tasks'!$C$7:$C$246,$A148,'Tasks'!$K$7:$K$246,$D148,'Tasks'!$F$7:$F$246,$B148)</x:f>
        <x:v>9</x:v>
      </x:c>
      <x:c r="W148" s="31" t="n">
        <x:f>IF(L148=0,"N/A",V148/L148)</x:f>
        <x:v>0.16363636363636364</x:v>
      </x:c>
      <x:c r="X148" s="17" t="n">
        <x:f>COUNTIFS('Tasks'!$C$7:$C$246,$A148,'Tasks'!$K$7:$K$246,$D148,'Tasks'!$F$7:$F$246,$B148,'Tasks'!$L$7:$L$246,"Yes")</x:f>
        <x:v>3</x:v>
      </x:c>
      <x:c r="Y148" s="17" t="n">
        <x:f>COUNTIFS('Tasks'!$C$7:$C$246,$A148,'Tasks'!$K$7:$K$246,$D148,'Tasks'!$F$7:$F$246,$B148,'Tasks'!$K$7:$K$246,"Yes")</x:f>
        <x:v>0</x:v>
      </x:c>
      <x:c r="Z148" s="17" t="n">
        <x:f>COUNTIFS('Tasks'!$C$7:$C$246,$A148,'Tasks'!$K$7:$K$246,$D148,'Tasks'!$F$7:$F$246,$B148,'Tasks'!$AA$7:$AA$246,"&gt;0")</x:f>
        <x:v>1</x:v>
      </x:c>
      <x:c r="AA148" s="17" t="n">
        <x:f>COUNTIFS('Tasks'!$C$7:$C$246,$A148,'Tasks'!$K$7:$K$246,$D148,'Tasks'!$F$7:$F$246,$B148,'Tasks'!$AA$7:$AA$246,"&lt;0")</x:f>
        <x:v>3</x:v>
      </x:c>
      <x:c r="AB148" s="19" t="n">
        <x:f>IF(E148=0,"N/A",V148/E148)</x:f>
        <x:v>2.25</x:v>
      </x:c>
      <x:c r="AC148" s="22" t="n">
        <x:f>IF(E148=0,"N/A",K148/E148)</x:f>
        <x:v>19.131367500000003</x:v>
      </x:c>
      <x:c r="AD148" s="19" t="n">
        <x:f>IF(E148=0,"N/A",P148/E148)</x:f>
        <x:v>-0.15750000000000008</x:v>
      </x:c>
    </x:row>
    <x:row r="149" ht="23" customHeight="1">
      <x:c r="A149" s="17" t="str">
        <x:v>C004</x:v>
      </x:c>
      <x:c r="B149" s="17" t="str">
        <x:v>Analyze campaign results</x:v>
      </x:c>
      <x:c r="C149" s="17" t="str">
        <x:v>brief_changed</x:v>
      </x:c>
      <x:c r="D149" s="17" t="str">
        <x:v>Yes</x:v>
      </x:c>
      <x:c r="E149" s="17" t="n">
        <x:f>COUNTIFS('Tasks'!$C$7:$C$246,$A149,'Tasks'!$K$7:$K$246,$D149,'Tasks'!$F$7:$F$246,$B149)</x:f>
        <x:v>1</x:v>
      </x:c>
      <x:c r="F149" s="17" t="n">
        <x:f>SUMIFS('Tasks'!$O$7:$O$246,'Tasks'!$C$7:$C$246,$A149,'Tasks'!$K$7:$K$246,$D149,'Tasks'!$F$7:$F$246,$B149)</x:f>
        <x:v>311209</x:v>
      </x:c>
      <x:c r="G149" s="17" t="n">
        <x:f>SUMIFS('Tasks'!$P$7:$P$246,'Tasks'!$C$7:$C$246,$A149,'Tasks'!$K$7:$K$246,$D149,'Tasks'!$F$7:$F$246,$B149)</x:f>
        <x:v>218299</x:v>
      </x:c>
      <x:c r="H149" s="17" t="n">
        <x:f>SUMIFS('Tasks'!$Q$7:$Q$246,'Tasks'!$C$7:$C$246,$A149,'Tasks'!$K$7:$K$246,$D149,'Tasks'!$F$7:$F$246,$B149)</x:f>
        <x:v>529508</x:v>
      </x:c>
      <x:c r="I149" s="22" t="n">
        <x:f>SUMIFS('Tasks'!$S$7:$S$246,'Tasks'!$C$7:$C$246,$A149,'Tasks'!$K$7:$K$246,$D149,'Tasks'!$F$7:$F$246,$B149)</x:f>
        <x:v>12.448359999999997</x:v>
      </x:c>
      <x:c r="J149" s="22" t="n">
        <x:f>SUMIFS('Tasks'!$T$7:$T$246,'Tasks'!$C$7:$C$246,$A149,'Tasks'!$K$7:$K$246,$D149,'Tasks'!$F$7:$F$246,$B149)</x:f>
        <x:v>21.829899999999995</x:v>
      </x:c>
      <x:c r="K149" s="22" t="n">
        <x:f>SUMIFS('Tasks'!$U$7:$U$246,'Tasks'!$C$7:$C$246,$A149,'Tasks'!$K$7:$K$246,$D149,'Tasks'!$F$7:$F$246,$B149)</x:f>
        <x:v>34.278259999999996</x:v>
      </x:c>
      <x:c r="L149" s="17" t="n">
        <x:f>SUMIFS('Tasks'!$R$7:$R$246,'Tasks'!$C$7:$C$246,$A149,'Tasks'!$K$7:$K$246,$D149,'Tasks'!$F$7:$F$246,$B149)</x:f>
        <x:v>20</x:v>
      </x:c>
      <x:c r="M149" s="22" t="n">
        <x:f>IF(L149=0,"N/A",K149/L149)</x:f>
        <x:v>1.7139129999999998</x:v>
      </x:c>
      <x:c r="N149" s="19" t="n">
        <x:f>SUMIFS('Tasks'!$G$7:$G$246,'Tasks'!$C$7:$C$246,$A149,'Tasks'!$K$7:$K$246,$D149,'Tasks'!$F$7:$F$246,$B149)</x:f>
        <x:v>5.02</x:v>
      </x:c>
      <x:c r="O149" s="19" t="n">
        <x:f>SUMIFS('Tasks'!$H$7:$H$246,'Tasks'!$C$7:$C$246,$A149,'Tasks'!$K$7:$K$246,$D149,'Tasks'!$F$7:$F$246,$B149)</x:f>
        <x:v>5.91</x:v>
      </x:c>
      <x:c r="P149" s="19" t="n">
        <x:f>SUMIFS('Tasks'!$Y$7:$Y$246,'Tasks'!$C$7:$C$246,$A149,'Tasks'!$K$7:$K$246,$D149,'Tasks'!$F$7:$F$246,$B149)</x:f>
        <x:v>-0.8900000000000006</x:v>
      </x:c>
      <x:c r="Q149" s="22" t="n">
        <x:f>SUMIFS('Tasks'!$Z$7:$Z$246,'Tasks'!$C$7:$C$246,$A149,'Tasks'!$K$7:$K$246,$D149,'Tasks'!$F$7:$F$246,$B149)</x:f>
        <x:v>-44.50000000000003</x:v>
      </x:c>
      <x:c r="R149" s="22" t="n">
        <x:f>SUMIFS('Tasks'!$AA$7:$AA$246,'Tasks'!$C$7:$C$246,$A149,'Tasks'!$K$7:$K$246,$D149,'Tasks'!$F$7:$F$246,$B149)</x:f>
        <x:v>-78.77826000000002</x:v>
      </x:c>
      <x:c r="S149" s="31" t="n">
        <x:f>IF(K149=0,"N/A",R149/K149)</x:f>
        <x:v>-2.298198916747817</x:v>
      </x:c>
      <x:c r="T149" s="19" t="n">
        <x:f>SUMIFS('Tasks'!$I$7:$I$246,'Tasks'!$C$7:$C$246,$A149,'Tasks'!$K$7:$K$246,$D149,'Tasks'!$F$7:$F$246,$B149)</x:f>
        <x:v>0.12</x:v>
      </x:c>
      <x:c r="U149" s="31" t="n">
        <x:f>IF(O149=0,"N/A",T149/O149)</x:f>
        <x:v>0.02030456852791878</x:v>
      </x:c>
      <x:c r="V149" s="17" t="n">
        <x:f>SUMIFS('Tasks'!$X$7:$X$246,'Tasks'!$C$7:$C$246,$A149,'Tasks'!$K$7:$K$246,$D149,'Tasks'!$F$7:$F$246,$B149)</x:f>
        <x:v>5</x:v>
      </x:c>
      <x:c r="W149" s="31" t="n">
        <x:f>IF(L149=0,"N/A",V149/L149)</x:f>
        <x:v>0.25</x:v>
      </x:c>
      <x:c r="X149" s="17" t="n">
        <x:f>COUNTIFS('Tasks'!$C$7:$C$246,$A149,'Tasks'!$K$7:$K$246,$D149,'Tasks'!$F$7:$F$246,$B149,'Tasks'!$L$7:$L$246,"Yes")</x:f>
        <x:v>0</x:v>
      </x:c>
      <x:c r="Y149" s="17" t="n">
        <x:f>COUNTIFS('Tasks'!$C$7:$C$246,$A149,'Tasks'!$K$7:$K$246,$D149,'Tasks'!$F$7:$F$246,$B149,'Tasks'!$K$7:$K$246,"Yes")</x:f>
        <x:v>1</x:v>
      </x:c>
      <x:c r="Z149" s="17" t="n">
        <x:f>COUNTIFS('Tasks'!$C$7:$C$246,$A149,'Tasks'!$K$7:$K$246,$D149,'Tasks'!$F$7:$F$246,$B149,'Tasks'!$AA$7:$AA$246,"&gt;0")</x:f>
        <x:v>0</x:v>
      </x:c>
      <x:c r="AA149" s="17" t="n">
        <x:f>COUNTIFS('Tasks'!$C$7:$C$246,$A149,'Tasks'!$K$7:$K$246,$D149,'Tasks'!$F$7:$F$246,$B149,'Tasks'!$AA$7:$AA$246,"&lt;0")</x:f>
        <x:v>1</x:v>
      </x:c>
      <x:c r="AB149" s="19" t="n">
        <x:f>IF(E149=0,"N/A",V149/E149)</x:f>
        <x:v>5</x:v>
      </x:c>
      <x:c r="AC149" s="22" t="n">
        <x:f>IF(E149=0,"N/A",K149/E149)</x:f>
        <x:v>34.278259999999996</x:v>
      </x:c>
      <x:c r="AD149" s="19" t="n">
        <x:f>IF(E149=0,"N/A",P149/E149)</x:f>
        <x:v>-0.8900000000000006</x:v>
      </x:c>
    </x:row>
    <x:row r="150" ht="23" customHeight="1">
      <x:c r="A150" s="17" t="str">
        <x:v>C004</x:v>
      </x:c>
      <x:c r="B150" s="17" t="str">
        <x:v>Build campaign plan</x:v>
      </x:c>
      <x:c r="C150" s="17" t="str">
        <x:v>prompt_template_used</x:v>
      </x:c>
      <x:c r="D150" s="17" t="str">
        <x:v>No</x:v>
      </x:c>
      <x:c r="E150" s="17" t="n">
        <x:f>COUNTIFS('Tasks'!$C$7:$C$246,$A150,'Tasks'!$L$7:$L$246,$D150,'Tasks'!$F$7:$F$246,$B150)</x:f>
        <x:v>2</x:v>
      </x:c>
      <x:c r="F150" s="17" t="n">
        <x:f>SUMIFS('Tasks'!$O$7:$O$246,'Tasks'!$C$7:$C$246,$A150,'Tasks'!$L$7:$L$246,$D150,'Tasks'!$F$7:$F$246,$B150)</x:f>
        <x:v>509310</x:v>
      </x:c>
      <x:c r="G150" s="17" t="n">
        <x:f>SUMIFS('Tasks'!$P$7:$P$246,'Tasks'!$C$7:$C$246,$A150,'Tasks'!$L$7:$L$246,$D150,'Tasks'!$F$7:$F$246,$B150)</x:f>
        <x:v>208598</x:v>
      </x:c>
      <x:c r="H150" s="17" t="n">
        <x:f>SUMIFS('Tasks'!$Q$7:$Q$246,'Tasks'!$C$7:$C$246,$A150,'Tasks'!$L$7:$L$246,$D150,'Tasks'!$F$7:$F$246,$B150)</x:f>
        <x:v>717908</x:v>
      </x:c>
      <x:c r="I150" s="22" t="n">
        <x:f>SUMIFS('Tasks'!$S$7:$S$246,'Tasks'!$C$7:$C$246,$A150,'Tasks'!$L$7:$L$246,$D150,'Tasks'!$F$7:$F$246,$B150)</x:f>
        <x:v>12.890009999999998</x:v>
      </x:c>
      <x:c r="J150" s="22" t="n">
        <x:f>SUMIFS('Tasks'!$T$7:$T$246,'Tasks'!$C$7:$C$246,$A150,'Tasks'!$L$7:$L$246,$D150,'Tasks'!$F$7:$F$246,$B150)</x:f>
        <x:v>17.46249</x:v>
      </x:c>
      <x:c r="K150" s="22" t="n">
        <x:f>SUMIFS('Tasks'!$U$7:$U$246,'Tasks'!$C$7:$C$246,$A150,'Tasks'!$L$7:$L$246,$D150,'Tasks'!$F$7:$F$246,$B150)</x:f>
        <x:v>30.352499999999992</x:v>
      </x:c>
      <x:c r="L150" s="17" t="n">
        <x:f>SUMIFS('Tasks'!$R$7:$R$246,'Tasks'!$C$7:$C$246,$A150,'Tasks'!$L$7:$L$246,$D150,'Tasks'!$F$7:$F$246,$B150)</x:f>
        <x:v>27</x:v>
      </x:c>
      <x:c r="M150" s="22" t="n">
        <x:f>IF(L150=0,"N/A",K150/L150)</x:f>
        <x:v>1.1241666666666663</x:v>
      </x:c>
      <x:c r="N150" s="19" t="n">
        <x:f>SUMIFS('Tasks'!$G$7:$G$246,'Tasks'!$C$7:$C$246,$A150,'Tasks'!$L$7:$L$246,$D150,'Tasks'!$F$7:$F$246,$B150)</x:f>
        <x:v>9.8</x:v>
      </x:c>
      <x:c r="O150" s="19" t="n">
        <x:f>SUMIFS('Tasks'!$H$7:$H$246,'Tasks'!$C$7:$C$246,$A150,'Tasks'!$L$7:$L$246,$D150,'Tasks'!$F$7:$F$246,$B150)</x:f>
        <x:v>9.879999999999999</x:v>
      </x:c>
      <x:c r="P150" s="19" t="n">
        <x:f>SUMIFS('Tasks'!$Y$7:$Y$246,'Tasks'!$C$7:$C$246,$A150,'Tasks'!$L$7:$L$246,$D150,'Tasks'!$F$7:$F$246,$B150)</x:f>
        <x:v>-0.07999999999999918</x:v>
      </x:c>
      <x:c r="Q150" s="22" t="n">
        <x:f>SUMIFS('Tasks'!$Z$7:$Z$246,'Tasks'!$C$7:$C$246,$A150,'Tasks'!$L$7:$L$246,$D150,'Tasks'!$F$7:$F$246,$B150)</x:f>
        <x:v>-3.999999999999959</x:v>
      </x:c>
      <x:c r="R150" s="22" t="n">
        <x:f>SUMIFS('Tasks'!$AA$7:$AA$246,'Tasks'!$C$7:$C$246,$A150,'Tasks'!$L$7:$L$246,$D150,'Tasks'!$F$7:$F$246,$B150)</x:f>
        <x:v>-34.35249999999995</x:v>
      </x:c>
      <x:c r="S150" s="31" t="n">
        <x:f>IF(K150=0,"N/A",R150/K150)</x:f>
        <x:v>-1.1317848612140666</x:v>
      </x:c>
      <x:c r="T150" s="19" t="n">
        <x:f>SUMIFS('Tasks'!$I$7:$I$246,'Tasks'!$C$7:$C$246,$A150,'Tasks'!$L$7:$L$246,$D150,'Tasks'!$F$7:$F$246,$B150)</x:f>
        <x:v>0.27</x:v>
      </x:c>
      <x:c r="U150" s="31" t="n">
        <x:f>IF(O150=0,"N/A",T150/O150)</x:f>
        <x:v>0.02732793522267207</x:v>
      </x:c>
      <x:c r="V150" s="17" t="n">
        <x:f>SUMIFS('Tasks'!$X$7:$X$246,'Tasks'!$C$7:$C$246,$A150,'Tasks'!$L$7:$L$246,$D150,'Tasks'!$F$7:$F$246,$B150)</x:f>
        <x:v>6</x:v>
      </x:c>
      <x:c r="W150" s="31" t="n">
        <x:f>IF(L150=0,"N/A",V150/L150)</x:f>
        <x:v>0.2222222222222222</x:v>
      </x:c>
      <x:c r="X150" s="17" t="n">
        <x:f>COUNTIFS('Tasks'!$C$7:$C$246,$A150,'Tasks'!$L$7:$L$246,$D150,'Tasks'!$F$7:$F$246,$B150,'Tasks'!$L$7:$L$246,"Yes")</x:f>
        <x:v>0</x:v>
      </x:c>
      <x:c r="Y150" s="17" t="n">
        <x:f>COUNTIFS('Tasks'!$C$7:$C$246,$A150,'Tasks'!$L$7:$L$246,$D150,'Tasks'!$F$7:$F$246,$B150,'Tasks'!$K$7:$K$246,"Yes")</x:f>
        <x:v>0</x:v>
      </x:c>
      <x:c r="Z150" s="17" t="n">
        <x:f>COUNTIFS('Tasks'!$C$7:$C$246,$A150,'Tasks'!$L$7:$L$246,$D150,'Tasks'!$F$7:$F$246,$B150,'Tasks'!$AA$7:$AA$246,"&gt;0")</x:f>
        <x:v>1</x:v>
      </x:c>
      <x:c r="AA150" s="17" t="n">
        <x:f>COUNTIFS('Tasks'!$C$7:$C$246,$A150,'Tasks'!$L$7:$L$246,$D150,'Tasks'!$F$7:$F$246,$B150,'Tasks'!$AA$7:$AA$246,"&lt;0")</x:f>
        <x:v>1</x:v>
      </x:c>
      <x:c r="AB150" s="19" t="n">
        <x:f>IF(E150=0,"N/A",V150/E150)</x:f>
        <x:v>3</x:v>
      </x:c>
      <x:c r="AC150" s="22" t="n">
        <x:f>IF(E150=0,"N/A",K150/E150)</x:f>
        <x:v>15.176249999999996</x:v>
      </x:c>
      <x:c r="AD150" s="19" t="n">
        <x:f>IF(E150=0,"N/A",P150/E150)</x:f>
        <x:v>-0.03999999999999959</x:v>
      </x:c>
    </x:row>
    <x:row r="151" ht="23" customHeight="1">
      <x:c r="A151" s="17" t="str">
        <x:v>C004</x:v>
      </x:c>
      <x:c r="B151" s="17" t="str">
        <x:v>Build campaign plan</x:v>
      </x:c>
      <x:c r="C151" s="17" t="str">
        <x:v>prompt_template_used</x:v>
      </x:c>
      <x:c r="D151" s="17" t="str">
        <x:v>Yes</x:v>
      </x:c>
      <x:c r="E151" s="17" t="n">
        <x:f>COUNTIFS('Tasks'!$C$7:$C$246,$A151,'Tasks'!$L$7:$L$246,$D151,'Tasks'!$F$7:$F$246,$B151)</x:f>
        <x:v>3</x:v>
      </x:c>
      <x:c r="F151" s="17" t="n">
        <x:f>SUMIFS('Tasks'!$O$7:$O$246,'Tasks'!$C$7:$C$246,$A151,'Tasks'!$L$7:$L$246,$D151,'Tasks'!$F$7:$F$246,$B151)</x:f>
        <x:v>829039</x:v>
      </x:c>
      <x:c r="G151" s="17" t="n">
        <x:f>SUMIFS('Tasks'!$P$7:$P$246,'Tasks'!$C$7:$C$246,$A151,'Tasks'!$L$7:$L$246,$D151,'Tasks'!$F$7:$F$246,$B151)</x:f>
        <x:v>296607</x:v>
      </x:c>
      <x:c r="H151" s="17" t="n">
        <x:f>SUMIFS('Tasks'!$Q$7:$Q$246,'Tasks'!$C$7:$C$246,$A151,'Tasks'!$L$7:$L$246,$D151,'Tasks'!$F$7:$F$246,$B151)</x:f>
        <x:v>1125646</x:v>
      </x:c>
      <x:c r="I151" s="22" t="n">
        <x:f>SUMIFS('Tasks'!$S$7:$S$246,'Tasks'!$C$7:$C$246,$A151,'Tasks'!$L$7:$L$246,$D151,'Tasks'!$F$7:$F$246,$B151)</x:f>
        <x:v>17.71537</x:v>
      </x:c>
      <x:c r="J151" s="22" t="n">
        <x:f>SUMIFS('Tasks'!$T$7:$T$246,'Tasks'!$C$7:$C$246,$A151,'Tasks'!$L$7:$L$246,$D151,'Tasks'!$F$7:$F$246,$B151)</x:f>
        <x:v>23.907819999999994</x:v>
      </x:c>
      <x:c r="K151" s="22" t="n">
        <x:f>SUMIFS('Tasks'!$U$7:$U$246,'Tasks'!$C$7:$C$246,$A151,'Tasks'!$L$7:$L$246,$D151,'Tasks'!$F$7:$F$246,$B151)</x:f>
        <x:v>41.623189999999994</x:v>
      </x:c>
      <x:c r="L151" s="17" t="n">
        <x:f>SUMIFS('Tasks'!$R$7:$R$246,'Tasks'!$C$7:$C$246,$A151,'Tasks'!$L$7:$L$246,$D151,'Tasks'!$F$7:$F$246,$B151)</x:f>
        <x:v>43</x:v>
      </x:c>
      <x:c r="M151" s="22" t="n">
        <x:f>IF(L151=0,"N/A",K151/L151)</x:f>
        <x:v>0.9679811627906976</x:v>
      </x:c>
      <x:c r="N151" s="19" t="n">
        <x:f>SUMIFS('Tasks'!$G$7:$G$246,'Tasks'!$C$7:$C$246,$A151,'Tasks'!$L$7:$L$246,$D151,'Tasks'!$F$7:$F$246,$B151)</x:f>
        <x:v>12.91</x:v>
      </x:c>
      <x:c r="O151" s="19" t="n">
        <x:f>SUMIFS('Tasks'!$H$7:$H$246,'Tasks'!$C$7:$C$246,$A151,'Tasks'!$L$7:$L$246,$D151,'Tasks'!$F$7:$F$246,$B151)</x:f>
        <x:v>9.39</x:v>
      </x:c>
      <x:c r="P151" s="19" t="n">
        <x:f>SUMIFS('Tasks'!$Y$7:$Y$246,'Tasks'!$C$7:$C$246,$A151,'Tasks'!$L$7:$L$246,$D151,'Tasks'!$F$7:$F$246,$B151)</x:f>
        <x:v>3.5199999999999996</x:v>
      </x:c>
      <x:c r="Q151" s="22" t="n">
        <x:f>SUMIFS('Tasks'!$Z$7:$Z$246,'Tasks'!$C$7:$C$246,$A151,'Tasks'!$L$7:$L$246,$D151,'Tasks'!$F$7:$F$246,$B151)</x:f>
        <x:v>176</x:v>
      </x:c>
      <x:c r="R151" s="22" t="n">
        <x:f>SUMIFS('Tasks'!$AA$7:$AA$246,'Tasks'!$C$7:$C$246,$A151,'Tasks'!$L$7:$L$246,$D151,'Tasks'!$F$7:$F$246,$B151)</x:f>
        <x:v>134.37680999999998</x:v>
      </x:c>
      <x:c r="S151" s="31" t="n">
        <x:f>IF(K151=0,"N/A",R151/K151)</x:f>
        <x:v>3.2284120943156926</x:v>
      </x:c>
      <x:c r="T151" s="19" t="n">
        <x:f>SUMIFS('Tasks'!$I$7:$I$246,'Tasks'!$C$7:$C$246,$A151,'Tasks'!$L$7:$L$246,$D151,'Tasks'!$F$7:$F$246,$B151)</x:f>
        <x:v>0.59</x:v>
      </x:c>
      <x:c r="U151" s="31" t="n">
        <x:f>IF(O151=0,"N/A",T151/O151)</x:f>
        <x:v>0.06283280085197017</x:v>
      </x:c>
      <x:c r="V151" s="17" t="n">
        <x:f>SUMIFS('Tasks'!$X$7:$X$246,'Tasks'!$C$7:$C$246,$A151,'Tasks'!$L$7:$L$246,$D151,'Tasks'!$F$7:$F$246,$B151)</x:f>
        <x:v>11</x:v>
      </x:c>
      <x:c r="W151" s="31" t="n">
        <x:f>IF(L151=0,"N/A",V151/L151)</x:f>
        <x:v>0.2558139534883721</x:v>
      </x:c>
      <x:c r="X151" s="17" t="n">
        <x:f>COUNTIFS('Tasks'!$C$7:$C$246,$A151,'Tasks'!$L$7:$L$246,$D151,'Tasks'!$F$7:$F$246,$B151,'Tasks'!$L$7:$L$246,"Yes")</x:f>
        <x:v>3</x:v>
      </x:c>
      <x:c r="Y151" s="17" t="n">
        <x:f>COUNTIFS('Tasks'!$C$7:$C$246,$A151,'Tasks'!$L$7:$L$246,$D151,'Tasks'!$F$7:$F$246,$B151,'Tasks'!$K$7:$K$246,"Yes")</x:f>
        <x:v>1</x:v>
      </x:c>
      <x:c r="Z151" s="17" t="n">
        <x:f>COUNTIFS('Tasks'!$C$7:$C$246,$A151,'Tasks'!$L$7:$L$246,$D151,'Tasks'!$F$7:$F$246,$B151,'Tasks'!$AA$7:$AA$246,"&gt;0")</x:f>
        <x:v>2</x:v>
      </x:c>
      <x:c r="AA151" s="17" t="n">
        <x:f>COUNTIFS('Tasks'!$C$7:$C$246,$A151,'Tasks'!$L$7:$L$246,$D151,'Tasks'!$F$7:$F$246,$B151,'Tasks'!$AA$7:$AA$246,"&lt;0")</x:f>
        <x:v>1</x:v>
      </x:c>
      <x:c r="AB151" s="19" t="n">
        <x:f>IF(E151=0,"N/A",V151/E151)</x:f>
        <x:v>3.6666666666666665</x:v>
      </x:c>
      <x:c r="AC151" s="22" t="n">
        <x:f>IF(E151=0,"N/A",K151/E151)</x:f>
        <x:v>13.874396666666664</x:v>
      </x:c>
      <x:c r="AD151" s="19" t="n">
        <x:f>IF(E151=0,"N/A",P151/E151)</x:f>
        <x:v>1.1733333333333331</x:v>
      </x:c>
    </x:row>
    <x:row r="152" ht="23" customHeight="1">
      <x:c r="A152" s="17" t="str">
        <x:v>C004</x:v>
      </x:c>
      <x:c r="B152" s="17" t="str">
        <x:v>Build campaign plan</x:v>
      </x:c>
      <x:c r="C152" s="17" t="str">
        <x:v>brief_changed</x:v>
      </x:c>
      <x:c r="D152" s="17" t="str">
        <x:v>No</x:v>
      </x:c>
      <x:c r="E152" s="17" t="n">
        <x:f>COUNTIFS('Tasks'!$C$7:$C$246,$A152,'Tasks'!$K$7:$K$246,$D152,'Tasks'!$F$7:$F$246,$B152)</x:f>
        <x:v>4</x:v>
      </x:c>
      <x:c r="F152" s="17" t="n">
        <x:f>SUMIFS('Tasks'!$O$7:$O$246,'Tasks'!$C$7:$C$246,$A152,'Tasks'!$K$7:$K$246,$D152,'Tasks'!$F$7:$F$246,$B152)</x:f>
        <x:v>1027276</x:v>
      </x:c>
      <x:c r="G152" s="17" t="n">
        <x:f>SUMIFS('Tasks'!$P$7:$P$246,'Tasks'!$C$7:$C$246,$A152,'Tasks'!$K$7:$K$246,$D152,'Tasks'!$F$7:$F$246,$B152)</x:f>
        <x:v>462975</x:v>
      </x:c>
      <x:c r="H152" s="17" t="n">
        <x:f>SUMIFS('Tasks'!$Q$7:$Q$246,'Tasks'!$C$7:$C$246,$A152,'Tasks'!$K$7:$K$246,$D152,'Tasks'!$F$7:$F$246,$B152)</x:f>
        <x:v>1490251</x:v>
      </x:c>
      <x:c r="I152" s="22" t="n">
        <x:f>SUMIFS('Tasks'!$S$7:$S$246,'Tasks'!$C$7:$C$246,$A152,'Tasks'!$K$7:$K$246,$D152,'Tasks'!$F$7:$F$246,$B152)</x:f>
        <x:v>27.49465</x:v>
      </x:c>
      <x:c r="J152" s="22" t="n">
        <x:f>SUMIFS('Tasks'!$T$7:$T$246,'Tasks'!$C$7:$C$246,$A152,'Tasks'!$K$7:$K$246,$D152,'Tasks'!$F$7:$F$246,$B152)</x:f>
        <x:v>40.10341</x:v>
      </x:c>
      <x:c r="K152" s="22" t="n">
        <x:f>SUMIFS('Tasks'!$U$7:$U$246,'Tasks'!$C$7:$C$246,$A152,'Tasks'!$K$7:$K$246,$D152,'Tasks'!$F$7:$F$246,$B152)</x:f>
        <x:v>67.59805999999999</x:v>
      </x:c>
      <x:c r="L152" s="17" t="n">
        <x:f>SUMIFS('Tasks'!$R$7:$R$246,'Tasks'!$C$7:$C$246,$A152,'Tasks'!$K$7:$K$246,$D152,'Tasks'!$F$7:$F$246,$B152)</x:f>
        <x:v>55</x:v>
      </x:c>
      <x:c r="M152" s="22" t="n">
        <x:f>IF(L152=0,"N/A",K152/L152)</x:f>
        <x:v>1.2290556363636362</x:v>
      </x:c>
      <x:c r="N152" s="19" t="n">
        <x:f>SUMIFS('Tasks'!$G$7:$G$246,'Tasks'!$C$7:$C$246,$A152,'Tasks'!$K$7:$K$246,$D152,'Tasks'!$F$7:$F$246,$B152)</x:f>
        <x:v>18.62</x:v>
      </x:c>
      <x:c r="O152" s="19" t="n">
        <x:f>SUMIFS('Tasks'!$H$7:$H$246,'Tasks'!$C$7:$C$246,$A152,'Tasks'!$K$7:$K$246,$D152,'Tasks'!$F$7:$F$246,$B152)</x:f>
        <x:v>17.29</x:v>
      </x:c>
      <x:c r="P152" s="19" t="n">
        <x:f>SUMIFS('Tasks'!$Y$7:$Y$246,'Tasks'!$C$7:$C$246,$A152,'Tasks'!$K$7:$K$246,$D152,'Tasks'!$F$7:$F$246,$B152)</x:f>
        <x:v>1.3300000000000005</x:v>
      </x:c>
      <x:c r="Q152" s="22" t="n">
        <x:f>SUMIFS('Tasks'!$Z$7:$Z$246,'Tasks'!$C$7:$C$246,$A152,'Tasks'!$K$7:$K$246,$D152,'Tasks'!$F$7:$F$246,$B152)</x:f>
        <x:v>66.50000000000003</x:v>
      </x:c>
      <x:c r="R152" s="22" t="n">
        <x:f>SUMIFS('Tasks'!$AA$7:$AA$246,'Tasks'!$C$7:$C$246,$A152,'Tasks'!$K$7:$K$246,$D152,'Tasks'!$F$7:$F$246,$B152)</x:f>
        <x:v>-1.0980599999999683</x:v>
      </x:c>
      <x:c r="S152" s="31" t="n">
        <x:f>IF(K152=0,"N/A",R152/K152)</x:f>
        <x:v>-0.016243957296998884</x:v>
      </x:c>
      <x:c r="T152" s="19" t="n">
        <x:f>SUMIFS('Tasks'!$I$7:$I$246,'Tasks'!$C$7:$C$246,$A152,'Tasks'!$K$7:$K$246,$D152,'Tasks'!$F$7:$F$246,$B152)</x:f>
        <x:v>0.69</x:v>
      </x:c>
      <x:c r="U152" s="31" t="n">
        <x:f>IF(O152=0,"N/A",T152/O152)</x:f>
        <x:v>0.03990746096009254</x:v>
      </x:c>
      <x:c r="V152" s="17" t="n">
        <x:f>SUMIFS('Tasks'!$X$7:$X$246,'Tasks'!$C$7:$C$246,$A152,'Tasks'!$K$7:$K$246,$D152,'Tasks'!$F$7:$F$246,$B152)</x:f>
        <x:v>13</x:v>
      </x:c>
      <x:c r="W152" s="31" t="n">
        <x:f>IF(L152=0,"N/A",V152/L152)</x:f>
        <x:v>0.23636363636363636</x:v>
      </x:c>
      <x:c r="X152" s="17" t="n">
        <x:f>COUNTIFS('Tasks'!$C$7:$C$246,$A152,'Tasks'!$K$7:$K$246,$D152,'Tasks'!$F$7:$F$246,$B152,'Tasks'!$L$7:$L$246,"Yes")</x:f>
        <x:v>2</x:v>
      </x:c>
      <x:c r="Y152" s="17" t="n">
        <x:f>COUNTIFS('Tasks'!$C$7:$C$246,$A152,'Tasks'!$K$7:$K$246,$D152,'Tasks'!$F$7:$F$246,$B152,'Tasks'!$K$7:$K$246,"Yes")</x:f>
        <x:v>0</x:v>
      </x:c>
      <x:c r="Z152" s="17" t="n">
        <x:f>COUNTIFS('Tasks'!$C$7:$C$246,$A152,'Tasks'!$K$7:$K$246,$D152,'Tasks'!$F$7:$F$246,$B152,'Tasks'!$AA$7:$AA$246,"&gt;0")</x:f>
        <x:v>2</x:v>
      </x:c>
      <x:c r="AA152" s="17" t="n">
        <x:f>COUNTIFS('Tasks'!$C$7:$C$246,$A152,'Tasks'!$K$7:$K$246,$D152,'Tasks'!$F$7:$F$246,$B152,'Tasks'!$AA$7:$AA$246,"&lt;0")</x:f>
        <x:v>2</x:v>
      </x:c>
      <x:c r="AB152" s="19" t="n">
        <x:f>IF(E152=0,"N/A",V152/E152)</x:f>
        <x:v>3.25</x:v>
      </x:c>
      <x:c r="AC152" s="22" t="n">
        <x:f>IF(E152=0,"N/A",K152/E152)</x:f>
        <x:v>16.899514999999997</x:v>
      </x:c>
      <x:c r="AD152" s="19" t="n">
        <x:f>IF(E152=0,"N/A",P152/E152)</x:f>
        <x:v>0.33250000000000013</x:v>
      </x:c>
    </x:row>
    <x:row r="153" ht="23" customHeight="1">
      <x:c r="A153" s="17" t="str">
        <x:v>C004</x:v>
      </x:c>
      <x:c r="B153" s="17" t="str">
        <x:v>Build campaign plan</x:v>
      </x:c>
      <x:c r="C153" s="17" t="str">
        <x:v>brief_changed</x:v>
      </x:c>
      <x:c r="D153" s="17" t="str">
        <x:v>Yes</x:v>
      </x:c>
      <x:c r="E153" s="17" t="n">
        <x:f>COUNTIFS('Tasks'!$C$7:$C$246,$A153,'Tasks'!$K$7:$K$246,$D153,'Tasks'!$F$7:$F$246,$B153)</x:f>
        <x:v>1</x:v>
      </x:c>
      <x:c r="F153" s="17" t="n">
        <x:f>SUMIFS('Tasks'!$O$7:$O$246,'Tasks'!$C$7:$C$246,$A153,'Tasks'!$K$7:$K$246,$D153,'Tasks'!$F$7:$F$246,$B153)</x:f>
        <x:v>311073</x:v>
      </x:c>
      <x:c r="G153" s="17" t="n">
        <x:f>SUMIFS('Tasks'!$P$7:$P$246,'Tasks'!$C$7:$C$246,$A153,'Tasks'!$K$7:$K$246,$D153,'Tasks'!$F$7:$F$246,$B153)</x:f>
        <x:v>42230</x:v>
      </x:c>
      <x:c r="H153" s="17" t="n">
        <x:f>SUMIFS('Tasks'!$Q$7:$Q$246,'Tasks'!$C$7:$C$246,$A153,'Tasks'!$K$7:$K$246,$D153,'Tasks'!$F$7:$F$246,$B153)</x:f>
        <x:v>353303</x:v>
      </x:c>
      <x:c r="I153" s="22" t="n">
        <x:f>SUMIFS('Tasks'!$S$7:$S$246,'Tasks'!$C$7:$C$246,$A153,'Tasks'!$K$7:$K$246,$D153,'Tasks'!$F$7:$F$246,$B153)</x:f>
        <x:v>3.11073</x:v>
      </x:c>
      <x:c r="J153" s="22" t="n">
        <x:f>SUMIFS('Tasks'!$T$7:$T$246,'Tasks'!$C$7:$C$246,$A153,'Tasks'!$K$7:$K$246,$D153,'Tasks'!$F$7:$F$246,$B153)</x:f>
        <x:v>1.2668999999999997</x:v>
      </x:c>
      <x:c r="K153" s="22" t="n">
        <x:f>SUMIFS('Tasks'!$U$7:$U$246,'Tasks'!$C$7:$C$246,$A153,'Tasks'!$K$7:$K$246,$D153,'Tasks'!$F$7:$F$246,$B153)</x:f>
        <x:v>4.37763</x:v>
      </x:c>
      <x:c r="L153" s="17" t="n">
        <x:f>SUMIFS('Tasks'!$R$7:$R$246,'Tasks'!$C$7:$C$246,$A153,'Tasks'!$K$7:$K$246,$D153,'Tasks'!$F$7:$F$246,$B153)</x:f>
        <x:v>15</x:v>
      </x:c>
      <x:c r="M153" s="22" t="n">
        <x:f>IF(L153=0,"N/A",K153/L153)</x:f>
        <x:v>0.291842</x:v>
      </x:c>
      <x:c r="N153" s="19" t="n">
        <x:f>SUMIFS('Tasks'!$G$7:$G$246,'Tasks'!$C$7:$C$246,$A153,'Tasks'!$K$7:$K$246,$D153,'Tasks'!$F$7:$F$246,$B153)</x:f>
        <x:v>4.09</x:v>
      </x:c>
      <x:c r="O153" s="19" t="n">
        <x:f>SUMIFS('Tasks'!$H$7:$H$246,'Tasks'!$C$7:$C$246,$A153,'Tasks'!$K$7:$K$246,$D153,'Tasks'!$F$7:$F$246,$B153)</x:f>
        <x:v>1.98</x:v>
      </x:c>
      <x:c r="P153" s="19" t="n">
        <x:f>SUMIFS('Tasks'!$Y$7:$Y$246,'Tasks'!$C$7:$C$246,$A153,'Tasks'!$K$7:$K$246,$D153,'Tasks'!$F$7:$F$246,$B153)</x:f>
        <x:v>2.11</x:v>
      </x:c>
      <x:c r="Q153" s="22" t="n">
        <x:f>SUMIFS('Tasks'!$Z$7:$Z$246,'Tasks'!$C$7:$C$246,$A153,'Tasks'!$K$7:$K$246,$D153,'Tasks'!$F$7:$F$246,$B153)</x:f>
        <x:v>105.5</x:v>
      </x:c>
      <x:c r="R153" s="22" t="n">
        <x:f>SUMIFS('Tasks'!$AA$7:$AA$246,'Tasks'!$C$7:$C$246,$A153,'Tasks'!$K$7:$K$246,$D153,'Tasks'!$F$7:$F$246,$B153)</x:f>
        <x:v>101.12237</x:v>
      </x:c>
      <x:c r="S153" s="31" t="n">
        <x:f>IF(K153=0,"N/A",R153/K153)</x:f>
        <x:v>23.099798292683484</x:v>
      </x:c>
      <x:c r="T153" s="19" t="n">
        <x:f>SUMIFS('Tasks'!$I$7:$I$246,'Tasks'!$C$7:$C$246,$A153,'Tasks'!$K$7:$K$246,$D153,'Tasks'!$F$7:$F$246,$B153)</x:f>
        <x:v>0.17</x:v>
      </x:c>
      <x:c r="U153" s="31" t="n">
        <x:f>IF(O153=0,"N/A",T153/O153)</x:f>
        <x:v>0.08585858585858587</x:v>
      </x:c>
      <x:c r="V153" s="17" t="n">
        <x:f>SUMIFS('Tasks'!$X$7:$X$246,'Tasks'!$C$7:$C$246,$A153,'Tasks'!$K$7:$K$246,$D153,'Tasks'!$F$7:$F$246,$B153)</x:f>
        <x:v>4</x:v>
      </x:c>
      <x:c r="W153" s="31" t="n">
        <x:f>IF(L153=0,"N/A",V153/L153)</x:f>
        <x:v>0.26666666666666666</x:v>
      </x:c>
      <x:c r="X153" s="17" t="n">
        <x:f>COUNTIFS('Tasks'!$C$7:$C$246,$A153,'Tasks'!$K$7:$K$246,$D153,'Tasks'!$F$7:$F$246,$B153,'Tasks'!$L$7:$L$246,"Yes")</x:f>
        <x:v>1</x:v>
      </x:c>
      <x:c r="Y153" s="17" t="n">
        <x:f>COUNTIFS('Tasks'!$C$7:$C$246,$A153,'Tasks'!$K$7:$K$246,$D153,'Tasks'!$F$7:$F$246,$B153,'Tasks'!$K$7:$K$246,"Yes")</x:f>
        <x:v>1</x:v>
      </x:c>
      <x:c r="Z153" s="17" t="n">
        <x:f>COUNTIFS('Tasks'!$C$7:$C$246,$A153,'Tasks'!$K$7:$K$246,$D153,'Tasks'!$F$7:$F$246,$B153,'Tasks'!$AA$7:$AA$246,"&gt;0")</x:f>
        <x:v>1</x:v>
      </x:c>
      <x:c r="AA153" s="17" t="n">
        <x:f>COUNTIFS('Tasks'!$C$7:$C$246,$A153,'Tasks'!$K$7:$K$246,$D153,'Tasks'!$F$7:$F$246,$B153,'Tasks'!$AA$7:$AA$246,"&lt;0")</x:f>
        <x:v>0</x:v>
      </x:c>
      <x:c r="AB153" s="19" t="n">
        <x:f>IF(E153=0,"N/A",V153/E153)</x:f>
        <x:v>4</x:v>
      </x:c>
      <x:c r="AC153" s="22" t="n">
        <x:f>IF(E153=0,"N/A",K153/E153)</x:f>
        <x:v>4.37763</x:v>
      </x:c>
      <x:c r="AD153" s="19" t="n">
        <x:f>IF(E153=0,"N/A",P153/E153)</x:f>
        <x:v>2.11</x:v>
      </x:c>
    </x:row>
    <x:row r="154" ht="23" customHeight="1">
      <x:c r="A154" s="17" t="str">
        <x:v>C004</x:v>
      </x:c>
      <x:c r="B154" s="17" t="str">
        <x:v>Check measurement plan</x:v>
      </x:c>
      <x:c r="C154" s="17" t="str">
        <x:v>prompt_template_used</x:v>
      </x:c>
      <x:c r="D154" s="17" t="str">
        <x:v>Yes</x:v>
      </x:c>
      <x:c r="E154" s="17" t="n">
        <x:f>COUNTIFS('Tasks'!$C$7:$C$246,$A154,'Tasks'!$L$7:$L$246,$D154,'Tasks'!$F$7:$F$246,$B154)</x:f>
        <x:v>5</x:v>
      </x:c>
      <x:c r="F154" s="17" t="n">
        <x:f>SUMIFS('Tasks'!$O$7:$O$246,'Tasks'!$C$7:$C$246,$A154,'Tasks'!$L$7:$L$246,$D154,'Tasks'!$F$7:$F$246,$B154)</x:f>
        <x:v>1251353</x:v>
      </x:c>
      <x:c r="G154" s="17" t="n">
        <x:f>SUMIFS('Tasks'!$P$7:$P$246,'Tasks'!$C$7:$C$246,$A154,'Tasks'!$L$7:$L$246,$D154,'Tasks'!$F$7:$F$246,$B154)</x:f>
        <x:v>441375</x:v>
      </x:c>
      <x:c r="H154" s="17" t="n">
        <x:f>SUMIFS('Tasks'!$Q$7:$Q$246,'Tasks'!$C$7:$C$246,$A154,'Tasks'!$L$7:$L$246,$D154,'Tasks'!$F$7:$F$246,$B154)</x:f>
        <x:v>1692728</x:v>
      </x:c>
      <x:c r="I154" s="22" t="n">
        <x:f>SUMIFS('Tasks'!$S$7:$S$246,'Tasks'!$C$7:$C$246,$A154,'Tasks'!$L$7:$L$246,$D154,'Tasks'!$F$7:$F$246,$B154)</x:f>
        <x:v>30.73688</x:v>
      </x:c>
      <x:c r="J154" s="22" t="n">
        <x:f>SUMIFS('Tasks'!$T$7:$T$246,'Tasks'!$C$7:$C$246,$A154,'Tasks'!$L$7:$L$246,$D154,'Tasks'!$F$7:$F$246,$B154)</x:f>
        <x:v>33.95523</x:v>
      </x:c>
      <x:c r="K154" s="22" t="n">
        <x:f>SUMIFS('Tasks'!$U$7:$U$246,'Tasks'!$C$7:$C$246,$A154,'Tasks'!$L$7:$L$246,$D154,'Tasks'!$F$7:$F$246,$B154)</x:f>
        <x:v>64.69211000000001</x:v>
      </x:c>
      <x:c r="L154" s="17" t="n">
        <x:f>SUMIFS('Tasks'!$R$7:$R$246,'Tasks'!$C$7:$C$246,$A154,'Tasks'!$L$7:$L$246,$D154,'Tasks'!$F$7:$F$246,$B154)</x:f>
        <x:v>70</x:v>
      </x:c>
      <x:c r="M154" s="22" t="n">
        <x:f>IF(L154=0,"N/A",K154/L154)</x:f>
        <x:v>0.9241730000000002</x:v>
      </x:c>
      <x:c r="N154" s="19" t="n">
        <x:f>SUMIFS('Tasks'!$G$7:$G$246,'Tasks'!$C$7:$C$246,$A154,'Tasks'!$L$7:$L$246,$D154,'Tasks'!$F$7:$F$246,$B154)</x:f>
        <x:v>23.69</x:v>
      </x:c>
      <x:c r="O154" s="19" t="n">
        <x:f>SUMIFS('Tasks'!$H$7:$H$246,'Tasks'!$C$7:$C$246,$A154,'Tasks'!$L$7:$L$246,$D154,'Tasks'!$F$7:$F$246,$B154)</x:f>
        <x:v>16.13</x:v>
      </x:c>
      <x:c r="P154" s="19" t="n">
        <x:f>SUMIFS('Tasks'!$Y$7:$Y$246,'Tasks'!$C$7:$C$246,$A154,'Tasks'!$L$7:$L$246,$D154,'Tasks'!$F$7:$F$246,$B154)</x:f>
        <x:v>7.5600000000000005</x:v>
      </x:c>
      <x:c r="Q154" s="22" t="n">
        <x:f>SUMIFS('Tasks'!$Z$7:$Z$246,'Tasks'!$C$7:$C$246,$A154,'Tasks'!$L$7:$L$246,$D154,'Tasks'!$F$7:$F$246,$B154)</x:f>
        <x:v>378</x:v>
      </x:c>
      <x:c r="R154" s="22" t="n">
        <x:f>SUMIFS('Tasks'!$AA$7:$AA$246,'Tasks'!$C$7:$C$246,$A154,'Tasks'!$L$7:$L$246,$D154,'Tasks'!$F$7:$F$246,$B154)</x:f>
        <x:v>313.30789000000004</x:v>
      </x:c>
      <x:c r="S154" s="31" t="n">
        <x:f>IF(K154=0,"N/A",R154/K154)</x:f>
        <x:v>4.843061850973789</x:v>
      </x:c>
      <x:c r="T154" s="19" t="n">
        <x:f>SUMIFS('Tasks'!$I$7:$I$246,'Tasks'!$C$7:$C$246,$A154,'Tasks'!$L$7:$L$246,$D154,'Tasks'!$F$7:$F$246,$B154)</x:f>
        <x:v>1.4200000000000002</x:v>
      </x:c>
      <x:c r="U154" s="31" t="n">
        <x:f>IF(O154=0,"N/A",T154/O154)</x:f>
        <x:v>0.08803471791692499</x:v>
      </x:c>
      <x:c r="V154" s="17" t="n">
        <x:f>SUMIFS('Tasks'!$X$7:$X$246,'Tasks'!$C$7:$C$246,$A154,'Tasks'!$L$7:$L$246,$D154,'Tasks'!$F$7:$F$246,$B154)</x:f>
        <x:v>14</x:v>
      </x:c>
      <x:c r="W154" s="31" t="n">
        <x:f>IF(L154=0,"N/A",V154/L154)</x:f>
        <x:v>0.2</x:v>
      </x:c>
      <x:c r="X154" s="17" t="n">
        <x:f>COUNTIFS('Tasks'!$C$7:$C$246,$A154,'Tasks'!$L$7:$L$246,$D154,'Tasks'!$F$7:$F$246,$B154,'Tasks'!$L$7:$L$246,"Yes")</x:f>
        <x:v>5</x:v>
      </x:c>
      <x:c r="Y154" s="17" t="n">
        <x:f>COUNTIFS('Tasks'!$C$7:$C$246,$A154,'Tasks'!$L$7:$L$246,$D154,'Tasks'!$F$7:$F$246,$B154,'Tasks'!$K$7:$K$246,"Yes")</x:f>
        <x:v>0</x:v>
      </x:c>
      <x:c r="Z154" s="17" t="n">
        <x:f>COUNTIFS('Tasks'!$C$7:$C$246,$A154,'Tasks'!$L$7:$L$246,$D154,'Tasks'!$F$7:$F$246,$B154,'Tasks'!$AA$7:$AA$246,"&gt;0")</x:f>
        <x:v>3</x:v>
      </x:c>
      <x:c r="AA154" s="17" t="n">
        <x:f>COUNTIFS('Tasks'!$C$7:$C$246,$A154,'Tasks'!$L$7:$L$246,$D154,'Tasks'!$F$7:$F$246,$B154,'Tasks'!$AA$7:$AA$246,"&lt;0")</x:f>
        <x:v>2</x:v>
      </x:c>
      <x:c r="AB154" s="19" t="n">
        <x:f>IF(E154=0,"N/A",V154/E154)</x:f>
        <x:v>2.8</x:v>
      </x:c>
      <x:c r="AC154" s="22" t="n">
        <x:f>IF(E154=0,"N/A",K154/E154)</x:f>
        <x:v>12.938422000000003</x:v>
      </x:c>
      <x:c r="AD154" s="19" t="n">
        <x:f>IF(E154=0,"N/A",P154/E154)</x:f>
        <x:v>1.512</x:v>
      </x:c>
    </x:row>
    <x:row r="155" ht="23" customHeight="1">
      <x:c r="A155" s="17" t="str">
        <x:v>C004</x:v>
      </x:c>
      <x:c r="B155" s="17" t="str">
        <x:v>Check measurement plan</x:v>
      </x:c>
      <x:c r="C155" s="17" t="str">
        <x:v>brief_changed</x:v>
      </x:c>
      <x:c r="D155" s="17" t="str">
        <x:v>No</x:v>
      </x:c>
      <x:c r="E155" s="17" t="n">
        <x:f>COUNTIFS('Tasks'!$C$7:$C$246,$A155,'Tasks'!$K$7:$K$246,$D155,'Tasks'!$F$7:$F$246,$B155)</x:f>
        <x:v>5</x:v>
      </x:c>
      <x:c r="F155" s="17" t="n">
        <x:f>SUMIFS('Tasks'!$O$7:$O$246,'Tasks'!$C$7:$C$246,$A155,'Tasks'!$K$7:$K$246,$D155,'Tasks'!$F$7:$F$246,$B155)</x:f>
        <x:v>1251353</x:v>
      </x:c>
      <x:c r="G155" s="17" t="n">
        <x:f>SUMIFS('Tasks'!$P$7:$P$246,'Tasks'!$C$7:$C$246,$A155,'Tasks'!$K$7:$K$246,$D155,'Tasks'!$F$7:$F$246,$B155)</x:f>
        <x:v>441375</x:v>
      </x:c>
      <x:c r="H155" s="17" t="n">
        <x:f>SUMIFS('Tasks'!$Q$7:$Q$246,'Tasks'!$C$7:$C$246,$A155,'Tasks'!$K$7:$K$246,$D155,'Tasks'!$F$7:$F$246,$B155)</x:f>
        <x:v>1692728</x:v>
      </x:c>
      <x:c r="I155" s="22" t="n">
        <x:f>SUMIFS('Tasks'!$S$7:$S$246,'Tasks'!$C$7:$C$246,$A155,'Tasks'!$K$7:$K$246,$D155,'Tasks'!$F$7:$F$246,$B155)</x:f>
        <x:v>30.73688</x:v>
      </x:c>
      <x:c r="J155" s="22" t="n">
        <x:f>SUMIFS('Tasks'!$T$7:$T$246,'Tasks'!$C$7:$C$246,$A155,'Tasks'!$K$7:$K$246,$D155,'Tasks'!$F$7:$F$246,$B155)</x:f>
        <x:v>33.95523</x:v>
      </x:c>
      <x:c r="K155" s="22" t="n">
        <x:f>SUMIFS('Tasks'!$U$7:$U$246,'Tasks'!$C$7:$C$246,$A155,'Tasks'!$K$7:$K$246,$D155,'Tasks'!$F$7:$F$246,$B155)</x:f>
        <x:v>64.69211000000001</x:v>
      </x:c>
      <x:c r="L155" s="17" t="n">
        <x:f>SUMIFS('Tasks'!$R$7:$R$246,'Tasks'!$C$7:$C$246,$A155,'Tasks'!$K$7:$K$246,$D155,'Tasks'!$F$7:$F$246,$B155)</x:f>
        <x:v>70</x:v>
      </x:c>
      <x:c r="M155" s="22" t="n">
        <x:f>IF(L155=0,"N/A",K155/L155)</x:f>
        <x:v>0.9241730000000002</x:v>
      </x:c>
      <x:c r="N155" s="19" t="n">
        <x:f>SUMIFS('Tasks'!$G$7:$G$246,'Tasks'!$C$7:$C$246,$A155,'Tasks'!$K$7:$K$246,$D155,'Tasks'!$F$7:$F$246,$B155)</x:f>
        <x:v>23.69</x:v>
      </x:c>
      <x:c r="O155" s="19" t="n">
        <x:f>SUMIFS('Tasks'!$H$7:$H$246,'Tasks'!$C$7:$C$246,$A155,'Tasks'!$K$7:$K$246,$D155,'Tasks'!$F$7:$F$246,$B155)</x:f>
        <x:v>16.13</x:v>
      </x:c>
      <x:c r="P155" s="19" t="n">
        <x:f>SUMIFS('Tasks'!$Y$7:$Y$246,'Tasks'!$C$7:$C$246,$A155,'Tasks'!$K$7:$K$246,$D155,'Tasks'!$F$7:$F$246,$B155)</x:f>
        <x:v>7.5600000000000005</x:v>
      </x:c>
      <x:c r="Q155" s="22" t="n">
        <x:f>SUMIFS('Tasks'!$Z$7:$Z$246,'Tasks'!$C$7:$C$246,$A155,'Tasks'!$K$7:$K$246,$D155,'Tasks'!$F$7:$F$246,$B155)</x:f>
        <x:v>378</x:v>
      </x:c>
      <x:c r="R155" s="22" t="n">
        <x:f>SUMIFS('Tasks'!$AA$7:$AA$246,'Tasks'!$C$7:$C$246,$A155,'Tasks'!$K$7:$K$246,$D155,'Tasks'!$F$7:$F$246,$B155)</x:f>
        <x:v>313.30789000000004</x:v>
      </x:c>
      <x:c r="S155" s="31" t="n">
        <x:f>IF(K155=0,"N/A",R155/K155)</x:f>
        <x:v>4.843061850973789</x:v>
      </x:c>
      <x:c r="T155" s="19" t="n">
        <x:f>SUMIFS('Tasks'!$I$7:$I$246,'Tasks'!$C$7:$C$246,$A155,'Tasks'!$K$7:$K$246,$D155,'Tasks'!$F$7:$F$246,$B155)</x:f>
        <x:v>1.4200000000000002</x:v>
      </x:c>
      <x:c r="U155" s="31" t="n">
        <x:f>IF(O155=0,"N/A",T155/O155)</x:f>
        <x:v>0.08803471791692499</x:v>
      </x:c>
      <x:c r="V155" s="17" t="n">
        <x:f>SUMIFS('Tasks'!$X$7:$X$246,'Tasks'!$C$7:$C$246,$A155,'Tasks'!$K$7:$K$246,$D155,'Tasks'!$F$7:$F$246,$B155)</x:f>
        <x:v>14</x:v>
      </x:c>
      <x:c r="W155" s="31" t="n">
        <x:f>IF(L155=0,"N/A",V155/L155)</x:f>
        <x:v>0.2</x:v>
      </x:c>
      <x:c r="X155" s="17" t="n">
        <x:f>COUNTIFS('Tasks'!$C$7:$C$246,$A155,'Tasks'!$K$7:$K$246,$D155,'Tasks'!$F$7:$F$246,$B155,'Tasks'!$L$7:$L$246,"Yes")</x:f>
        <x:v>5</x:v>
      </x:c>
      <x:c r="Y155" s="17" t="n">
        <x:f>COUNTIFS('Tasks'!$C$7:$C$246,$A155,'Tasks'!$K$7:$K$246,$D155,'Tasks'!$F$7:$F$246,$B155,'Tasks'!$K$7:$K$246,"Yes")</x:f>
        <x:v>0</x:v>
      </x:c>
      <x:c r="Z155" s="17" t="n">
        <x:f>COUNTIFS('Tasks'!$C$7:$C$246,$A155,'Tasks'!$K$7:$K$246,$D155,'Tasks'!$F$7:$F$246,$B155,'Tasks'!$AA$7:$AA$246,"&gt;0")</x:f>
        <x:v>3</x:v>
      </x:c>
      <x:c r="AA155" s="17" t="n">
        <x:f>COUNTIFS('Tasks'!$C$7:$C$246,$A155,'Tasks'!$K$7:$K$246,$D155,'Tasks'!$F$7:$F$246,$B155,'Tasks'!$AA$7:$AA$246,"&lt;0")</x:f>
        <x:v>2</x:v>
      </x:c>
      <x:c r="AB155" s="19" t="n">
        <x:f>IF(E155=0,"N/A",V155/E155)</x:f>
        <x:v>2.8</x:v>
      </x:c>
      <x:c r="AC155" s="22" t="n">
        <x:f>IF(E155=0,"N/A",K155/E155)</x:f>
        <x:v>12.938422000000003</x:v>
      </x:c>
      <x:c r="AD155" s="19" t="n">
        <x:f>IF(E155=0,"N/A",P155/E155)</x:f>
        <x:v>1.512</x:v>
      </x:c>
    </x:row>
    <x:row r="156" ht="23" customHeight="1">
      <x:c r="A156" s="17" t="str">
        <x:v>C004</x:v>
      </x:c>
      <x:c r="B156" s="17" t="str">
        <x:v>Clean audience data</x:v>
      </x:c>
      <x:c r="C156" s="17" t="str">
        <x:v>prompt_template_used</x:v>
      </x:c>
      <x:c r="D156" s="17" t="str">
        <x:v>No</x:v>
      </x:c>
      <x:c r="E156" s="17" t="n">
        <x:f>COUNTIFS('Tasks'!$C$7:$C$246,$A156,'Tasks'!$L$7:$L$246,$D156,'Tasks'!$F$7:$F$246,$B156)</x:f>
        <x:v>3</x:v>
      </x:c>
      <x:c r="F156" s="17" t="n">
        <x:f>SUMIFS('Tasks'!$O$7:$O$246,'Tasks'!$C$7:$C$246,$A156,'Tasks'!$L$7:$L$246,$D156,'Tasks'!$F$7:$F$246,$B156)</x:f>
        <x:v>514535</x:v>
      </x:c>
      <x:c r="G156" s="17" t="n">
        <x:f>SUMIFS('Tasks'!$P$7:$P$246,'Tasks'!$C$7:$C$246,$A156,'Tasks'!$L$7:$L$246,$D156,'Tasks'!$F$7:$F$246,$B156)</x:f>
        <x:v>199552</x:v>
      </x:c>
      <x:c r="H156" s="17" t="n">
        <x:f>SUMIFS('Tasks'!$Q$7:$Q$246,'Tasks'!$C$7:$C$246,$A156,'Tasks'!$L$7:$L$246,$D156,'Tasks'!$F$7:$F$246,$B156)</x:f>
        <x:v>714087</x:v>
      </x:c>
      <x:c r="I156" s="22" t="n">
        <x:f>SUMIFS('Tasks'!$S$7:$S$246,'Tasks'!$C$7:$C$246,$A156,'Tasks'!$L$7:$L$246,$D156,'Tasks'!$F$7:$F$246,$B156)</x:f>
        <x:v>11.014790000000001</x:v>
      </x:c>
      <x:c r="J156" s="22" t="n">
        <x:f>SUMIFS('Tasks'!$T$7:$T$246,'Tasks'!$C$7:$C$246,$A156,'Tasks'!$L$7:$L$246,$D156,'Tasks'!$F$7:$F$246,$B156)</x:f>
        <x:v>13.758309999999998</x:v>
      </x:c>
      <x:c r="K156" s="22" t="n">
        <x:f>SUMIFS('Tasks'!$U$7:$U$246,'Tasks'!$C$7:$C$246,$A156,'Tasks'!$L$7:$L$246,$D156,'Tasks'!$F$7:$F$246,$B156)</x:f>
        <x:v>24.7731</x:v>
      </x:c>
      <x:c r="L156" s="17" t="n">
        <x:f>SUMIFS('Tasks'!$R$7:$R$246,'Tasks'!$C$7:$C$246,$A156,'Tasks'!$L$7:$L$246,$D156,'Tasks'!$F$7:$F$246,$B156)</x:f>
        <x:v>40</x:v>
      </x:c>
      <x:c r="M156" s="22" t="n">
        <x:f>IF(L156=0,"N/A",K156/L156)</x:f>
        <x:v>0.6193275</x:v>
      </x:c>
      <x:c r="N156" s="19" t="n">
        <x:f>SUMIFS('Tasks'!$G$7:$G$246,'Tasks'!$C$7:$C$246,$A156,'Tasks'!$L$7:$L$246,$D156,'Tasks'!$F$7:$F$246,$B156)</x:f>
        <x:v>12.170000000000002</x:v>
      </x:c>
      <x:c r="O156" s="19" t="n">
        <x:f>SUMIFS('Tasks'!$H$7:$H$246,'Tasks'!$C$7:$C$246,$A156,'Tasks'!$L$7:$L$246,$D156,'Tasks'!$F$7:$F$246,$B156)</x:f>
        <x:v>9.780000000000001</x:v>
      </x:c>
      <x:c r="P156" s="19" t="n">
        <x:f>SUMIFS('Tasks'!$Y$7:$Y$246,'Tasks'!$C$7:$C$246,$A156,'Tasks'!$L$7:$L$246,$D156,'Tasks'!$F$7:$F$246,$B156)</x:f>
        <x:v>2.3900000000000006</x:v>
      </x:c>
      <x:c r="Q156" s="22" t="n">
        <x:f>SUMIFS('Tasks'!$Z$7:$Z$246,'Tasks'!$C$7:$C$246,$A156,'Tasks'!$L$7:$L$246,$D156,'Tasks'!$F$7:$F$246,$B156)</x:f>
        <x:v>119.50000000000003</x:v>
      </x:c>
      <x:c r="R156" s="22" t="n">
        <x:f>SUMIFS('Tasks'!$AA$7:$AA$246,'Tasks'!$C$7:$C$246,$A156,'Tasks'!$L$7:$L$246,$D156,'Tasks'!$F$7:$F$246,$B156)</x:f>
        <x:v>94.72690000000003</x:v>
      </x:c>
      <x:c r="S156" s="31" t="n">
        <x:f>IF(K156=0,"N/A",R156/K156)</x:f>
        <x:v>3.8237806330253394</x:v>
      </x:c>
      <x:c r="T156" s="19" t="n">
        <x:f>SUMIFS('Tasks'!$I$7:$I$246,'Tasks'!$C$7:$C$246,$A156,'Tasks'!$L$7:$L$246,$D156,'Tasks'!$F$7:$F$246,$B156)</x:f>
        <x:v>1.32</x:v>
      </x:c>
      <x:c r="U156" s="31" t="n">
        <x:f>IF(O156=0,"N/A",T156/O156)</x:f>
        <x:v>0.13496932515337423</x:v>
      </x:c>
      <x:c r="V156" s="17" t="n">
        <x:f>SUMIFS('Tasks'!$X$7:$X$246,'Tasks'!$C$7:$C$246,$A156,'Tasks'!$L$7:$L$246,$D156,'Tasks'!$F$7:$F$246,$B156)</x:f>
        <x:v>8</x:v>
      </x:c>
      <x:c r="W156" s="31" t="n">
        <x:f>IF(L156=0,"N/A",V156/L156)</x:f>
        <x:v>0.2</x:v>
      </x:c>
      <x:c r="X156" s="17" t="n">
        <x:f>COUNTIFS('Tasks'!$C$7:$C$246,$A156,'Tasks'!$L$7:$L$246,$D156,'Tasks'!$F$7:$F$246,$B156,'Tasks'!$L$7:$L$246,"Yes")</x:f>
        <x:v>0</x:v>
      </x:c>
      <x:c r="Y156" s="17" t="n">
        <x:f>COUNTIFS('Tasks'!$C$7:$C$246,$A156,'Tasks'!$L$7:$L$246,$D156,'Tasks'!$F$7:$F$246,$B156,'Tasks'!$K$7:$K$246,"Yes")</x:f>
        <x:v>1</x:v>
      </x:c>
      <x:c r="Z156" s="17" t="n">
        <x:f>COUNTIFS('Tasks'!$C$7:$C$246,$A156,'Tasks'!$L$7:$L$246,$D156,'Tasks'!$F$7:$F$246,$B156,'Tasks'!$AA$7:$AA$246,"&gt;0")</x:f>
        <x:v>2</x:v>
      </x:c>
      <x:c r="AA156" s="17" t="n">
        <x:f>COUNTIFS('Tasks'!$C$7:$C$246,$A156,'Tasks'!$L$7:$L$246,$D156,'Tasks'!$F$7:$F$246,$B156,'Tasks'!$AA$7:$AA$246,"&lt;0")</x:f>
        <x:v>1</x:v>
      </x:c>
      <x:c r="AB156" s="19" t="n">
        <x:f>IF(E156=0,"N/A",V156/E156)</x:f>
        <x:v>2.6666666666666665</x:v>
      </x:c>
      <x:c r="AC156" s="22" t="n">
        <x:f>IF(E156=0,"N/A",K156/E156)</x:f>
        <x:v>8.2577</x:v>
      </x:c>
      <x:c r="AD156" s="19" t="n">
        <x:f>IF(E156=0,"N/A",P156/E156)</x:f>
        <x:v>0.7966666666666669</x:v>
      </x:c>
    </x:row>
    <x:row r="157" ht="23" customHeight="1">
      <x:c r="A157" s="17" t="str">
        <x:v>C004</x:v>
      </x:c>
      <x:c r="B157" s="17" t="str">
        <x:v>Clean audience data</x:v>
      </x:c>
      <x:c r="C157" s="17" t="str">
        <x:v>prompt_template_used</x:v>
      </x:c>
      <x:c r="D157" s="17" t="str">
        <x:v>Yes</x:v>
      </x:c>
      <x:c r="E157" s="17" t="n">
        <x:f>COUNTIFS('Tasks'!$C$7:$C$246,$A157,'Tasks'!$L$7:$L$246,$D157,'Tasks'!$F$7:$F$246,$B157)</x:f>
        <x:v>3</x:v>
      </x:c>
      <x:c r="F157" s="17" t="n">
        <x:f>SUMIFS('Tasks'!$O$7:$O$246,'Tasks'!$C$7:$C$246,$A157,'Tasks'!$L$7:$L$246,$D157,'Tasks'!$F$7:$F$246,$B157)</x:f>
        <x:v>1090204</x:v>
      </x:c>
      <x:c r="G157" s="17" t="n">
        <x:f>SUMIFS('Tasks'!$P$7:$P$246,'Tasks'!$C$7:$C$246,$A157,'Tasks'!$L$7:$L$246,$D157,'Tasks'!$F$7:$F$246,$B157)</x:f>
        <x:v>214153</x:v>
      </x:c>
      <x:c r="H157" s="17" t="n">
        <x:f>SUMIFS('Tasks'!$Q$7:$Q$246,'Tasks'!$C$7:$C$246,$A157,'Tasks'!$L$7:$L$246,$D157,'Tasks'!$F$7:$F$246,$B157)</x:f>
        <x:v>1304357</x:v>
      </x:c>
      <x:c r="I157" s="22" t="n">
        <x:f>SUMIFS('Tasks'!$S$7:$S$246,'Tasks'!$C$7:$C$246,$A157,'Tasks'!$L$7:$L$246,$D157,'Tasks'!$F$7:$F$246,$B157)</x:f>
        <x:v>22.38943</x:v>
      </x:c>
      <x:c r="J157" s="22" t="n">
        <x:f>SUMIFS('Tasks'!$T$7:$T$246,'Tasks'!$C$7:$C$246,$A157,'Tasks'!$L$7:$L$246,$D157,'Tasks'!$F$7:$F$246,$B157)</x:f>
        <x:v>11.85064</x:v>
      </x:c>
      <x:c r="K157" s="22" t="n">
        <x:f>SUMIFS('Tasks'!$U$7:$U$246,'Tasks'!$C$7:$C$246,$A157,'Tasks'!$L$7:$L$246,$D157,'Tasks'!$F$7:$F$246,$B157)</x:f>
        <x:v>34.24007</x:v>
      </x:c>
      <x:c r="L157" s="17" t="n">
        <x:f>SUMIFS('Tasks'!$R$7:$R$246,'Tasks'!$C$7:$C$246,$A157,'Tasks'!$L$7:$L$246,$D157,'Tasks'!$F$7:$F$246,$B157)</x:f>
        <x:v>46</x:v>
      </x:c>
      <x:c r="M157" s="22" t="n">
        <x:f>IF(L157=0,"N/A",K157/L157)</x:f>
        <x:v>0.744349347826087</x:v>
      </x:c>
      <x:c r="N157" s="19" t="n">
        <x:f>SUMIFS('Tasks'!$G$7:$G$246,'Tasks'!$C$7:$C$246,$A157,'Tasks'!$L$7:$L$246,$D157,'Tasks'!$F$7:$F$246,$B157)</x:f>
        <x:v>13.57</x:v>
      </x:c>
      <x:c r="O157" s="19" t="n">
        <x:f>SUMIFS('Tasks'!$H$7:$H$246,'Tasks'!$C$7:$C$246,$A157,'Tasks'!$L$7:$L$246,$D157,'Tasks'!$F$7:$F$246,$B157)</x:f>
        <x:v>10.32</x:v>
      </x:c>
      <x:c r="P157" s="19" t="n">
        <x:f>SUMIFS('Tasks'!$Y$7:$Y$246,'Tasks'!$C$7:$C$246,$A157,'Tasks'!$L$7:$L$246,$D157,'Tasks'!$F$7:$F$246,$B157)</x:f>
        <x:v>3.25</x:v>
      </x:c>
      <x:c r="Q157" s="22" t="n">
        <x:f>SUMIFS('Tasks'!$Z$7:$Z$246,'Tasks'!$C$7:$C$246,$A157,'Tasks'!$L$7:$L$246,$D157,'Tasks'!$F$7:$F$246,$B157)</x:f>
        <x:v>162.5</x:v>
      </x:c>
      <x:c r="R157" s="22" t="n">
        <x:f>SUMIFS('Tasks'!$AA$7:$AA$246,'Tasks'!$C$7:$C$246,$A157,'Tasks'!$L$7:$L$246,$D157,'Tasks'!$F$7:$F$246,$B157)</x:f>
        <x:v>128.25993</x:v>
      </x:c>
      <x:c r="S157" s="31" t="n">
        <x:f>IF(K157=0,"N/A",R157/K157)</x:f>
        <x:v>3.745901512467702</x:v>
      </x:c>
      <x:c r="T157" s="19" t="n">
        <x:f>SUMIFS('Tasks'!$I$7:$I$246,'Tasks'!$C$7:$C$246,$A157,'Tasks'!$L$7:$L$246,$D157,'Tasks'!$F$7:$F$246,$B157)</x:f>
        <x:v>0.52</x:v>
      </x:c>
      <x:c r="U157" s="31" t="n">
        <x:f>IF(O157=0,"N/A",T157/O157)</x:f>
        <x:v>0.050387596899224806</x:v>
      </x:c>
      <x:c r="V157" s="17" t="n">
        <x:f>SUMIFS('Tasks'!$X$7:$X$246,'Tasks'!$C$7:$C$246,$A157,'Tasks'!$L$7:$L$246,$D157,'Tasks'!$F$7:$F$246,$B157)</x:f>
        <x:v>10</x:v>
      </x:c>
      <x:c r="W157" s="31" t="n">
        <x:f>IF(L157=0,"N/A",V157/L157)</x:f>
        <x:v>0.21739130434782608</x:v>
      </x:c>
      <x:c r="X157" s="17" t="n">
        <x:f>COUNTIFS('Tasks'!$C$7:$C$246,$A157,'Tasks'!$L$7:$L$246,$D157,'Tasks'!$F$7:$F$246,$B157,'Tasks'!$L$7:$L$246,"Yes")</x:f>
        <x:v>3</x:v>
      </x:c>
      <x:c r="Y157" s="17" t="n">
        <x:f>COUNTIFS('Tasks'!$C$7:$C$246,$A157,'Tasks'!$L$7:$L$246,$D157,'Tasks'!$F$7:$F$246,$B157,'Tasks'!$K$7:$K$246,"Yes")</x:f>
        <x:v>0</x:v>
      </x:c>
      <x:c r="Z157" s="17" t="n">
        <x:f>COUNTIFS('Tasks'!$C$7:$C$246,$A157,'Tasks'!$L$7:$L$246,$D157,'Tasks'!$F$7:$F$246,$B157,'Tasks'!$AA$7:$AA$246,"&gt;0")</x:f>
        <x:v>2</x:v>
      </x:c>
      <x:c r="AA157" s="17" t="n">
        <x:f>COUNTIFS('Tasks'!$C$7:$C$246,$A157,'Tasks'!$L$7:$L$246,$D157,'Tasks'!$F$7:$F$246,$B157,'Tasks'!$AA$7:$AA$246,"&lt;0")</x:f>
        <x:v>1</x:v>
      </x:c>
      <x:c r="AB157" s="19" t="n">
        <x:f>IF(E157=0,"N/A",V157/E157)</x:f>
        <x:v>3.3333333333333335</x:v>
      </x:c>
      <x:c r="AC157" s="22" t="n">
        <x:f>IF(E157=0,"N/A",K157/E157)</x:f>
        <x:v>11.413356666666667</x:v>
      </x:c>
      <x:c r="AD157" s="19" t="n">
        <x:f>IF(E157=0,"N/A",P157/E157)</x:f>
        <x:v>1.0833333333333333</x:v>
      </x:c>
    </x:row>
    <x:row r="158" ht="23" customHeight="1">
      <x:c r="A158" s="17" t="str">
        <x:v>C004</x:v>
      </x:c>
      <x:c r="B158" s="17" t="str">
        <x:v>Clean audience data</x:v>
      </x:c>
      <x:c r="C158" s="17" t="str">
        <x:v>brief_changed</x:v>
      </x:c>
      <x:c r="D158" s="17" t="str">
        <x:v>No</x:v>
      </x:c>
      <x:c r="E158" s="17" t="n">
        <x:f>COUNTIFS('Tasks'!$C$7:$C$246,$A158,'Tasks'!$K$7:$K$246,$D158,'Tasks'!$F$7:$F$246,$B158)</x:f>
        <x:v>5</x:v>
      </x:c>
      <x:c r="F158" s="17" t="n">
        <x:f>SUMIFS('Tasks'!$O$7:$O$246,'Tasks'!$C$7:$C$246,$A158,'Tasks'!$K$7:$K$246,$D158,'Tasks'!$F$7:$F$246,$B158)</x:f>
        <x:v>1438165</x:v>
      </x:c>
      <x:c r="G158" s="17" t="n">
        <x:f>SUMIFS('Tasks'!$P$7:$P$246,'Tasks'!$C$7:$C$246,$A158,'Tasks'!$K$7:$K$246,$D158,'Tasks'!$F$7:$F$246,$B158)</x:f>
        <x:v>374709</x:v>
      </x:c>
      <x:c r="H158" s="17" t="n">
        <x:f>SUMIFS('Tasks'!$Q$7:$Q$246,'Tasks'!$C$7:$C$246,$A158,'Tasks'!$K$7:$K$246,$D158,'Tasks'!$F$7:$F$246,$B158)</x:f>
        <x:v>1812874</x:v>
      </x:c>
      <x:c r="I158" s="22" t="n">
        <x:f>SUMIFS('Tasks'!$S$7:$S$246,'Tasks'!$C$7:$C$246,$A158,'Tasks'!$K$7:$K$246,$D158,'Tasks'!$F$7:$F$246,$B158)</x:f>
        <x:v>31.73848</x:v>
      </x:c>
      <x:c r="J158" s="22" t="n">
        <x:f>SUMIFS('Tasks'!$T$7:$T$246,'Tasks'!$C$7:$C$246,$A158,'Tasks'!$K$7:$K$246,$D158,'Tasks'!$F$7:$F$246,$B158)</x:f>
        <x:v>24.43907</x:v>
      </x:c>
      <x:c r="K158" s="22" t="n">
        <x:f>SUMIFS('Tasks'!$U$7:$U$246,'Tasks'!$C$7:$C$246,$A158,'Tasks'!$K$7:$K$246,$D158,'Tasks'!$F$7:$F$246,$B158)</x:f>
        <x:v>56.17755</x:v>
      </x:c>
      <x:c r="L158" s="17" t="n">
        <x:f>SUMIFS('Tasks'!$R$7:$R$246,'Tasks'!$C$7:$C$246,$A158,'Tasks'!$K$7:$K$246,$D158,'Tasks'!$F$7:$F$246,$B158)</x:f>
        <x:v>74</x:v>
      </x:c>
      <x:c r="M158" s="22" t="n">
        <x:f>IF(L158=0,"N/A",K158/L158)</x:f>
        <x:v>0.759156081081081</x:v>
      </x:c>
      <x:c r="N158" s="19" t="n">
        <x:f>SUMIFS('Tasks'!$G$7:$G$246,'Tasks'!$C$7:$C$246,$A158,'Tasks'!$K$7:$K$246,$D158,'Tasks'!$F$7:$F$246,$B158)</x:f>
        <x:v>21.849999999999998</x:v>
      </x:c>
      <x:c r="O158" s="19" t="n">
        <x:f>SUMIFS('Tasks'!$H$7:$H$246,'Tasks'!$C$7:$C$246,$A158,'Tasks'!$K$7:$K$246,$D158,'Tasks'!$F$7:$F$246,$B158)</x:f>
        <x:v>17.549999999999997</x:v>
      </x:c>
      <x:c r="P158" s="19" t="n">
        <x:f>SUMIFS('Tasks'!$Y$7:$Y$246,'Tasks'!$C$7:$C$246,$A158,'Tasks'!$K$7:$K$246,$D158,'Tasks'!$F$7:$F$246,$B158)</x:f>
        <x:v>4.300000000000001</x:v>
      </x:c>
      <x:c r="Q158" s="22" t="n">
        <x:f>SUMIFS('Tasks'!$Z$7:$Z$246,'Tasks'!$C$7:$C$246,$A158,'Tasks'!$K$7:$K$246,$D158,'Tasks'!$F$7:$F$246,$B158)</x:f>
        <x:v>215.00000000000003</x:v>
      </x:c>
      <x:c r="R158" s="22" t="n">
        <x:f>SUMIFS('Tasks'!$AA$7:$AA$246,'Tasks'!$C$7:$C$246,$A158,'Tasks'!$K$7:$K$246,$D158,'Tasks'!$F$7:$F$246,$B158)</x:f>
        <x:v>158.82245</x:v>
      </x:c>
      <x:c r="S158" s="31" t="n">
        <x:f>IF(K158=0,"N/A",R158/K158)</x:f>
        <x:v>2.8271515934746176</x:v>
      </x:c>
      <x:c r="T158" s="19" t="n">
        <x:f>SUMIFS('Tasks'!$I$7:$I$246,'Tasks'!$C$7:$C$246,$A158,'Tasks'!$K$7:$K$246,$D158,'Tasks'!$F$7:$F$246,$B158)</x:f>
        <x:v>1.53</x:v>
      </x:c>
      <x:c r="U158" s="31" t="n">
        <x:f>IF(O158=0,"N/A",T158/O158)</x:f>
        <x:v>0.08717948717948719</x:v>
      </x:c>
      <x:c r="V158" s="17" t="n">
        <x:f>SUMIFS('Tasks'!$X$7:$X$246,'Tasks'!$C$7:$C$246,$A158,'Tasks'!$K$7:$K$246,$D158,'Tasks'!$F$7:$F$246,$B158)</x:f>
        <x:v>16</x:v>
      </x:c>
      <x:c r="W158" s="31" t="n">
        <x:f>IF(L158=0,"N/A",V158/L158)</x:f>
        <x:v>0.21621621621621623</x:v>
      </x:c>
      <x:c r="X158" s="17" t="n">
        <x:f>COUNTIFS('Tasks'!$C$7:$C$246,$A158,'Tasks'!$K$7:$K$246,$D158,'Tasks'!$F$7:$F$246,$B158,'Tasks'!$L$7:$L$246,"Yes")</x:f>
        <x:v>3</x:v>
      </x:c>
      <x:c r="Y158" s="17" t="n">
        <x:f>COUNTIFS('Tasks'!$C$7:$C$246,$A158,'Tasks'!$K$7:$K$246,$D158,'Tasks'!$F$7:$F$246,$B158,'Tasks'!$K$7:$K$246,"Yes")</x:f>
        <x:v>0</x:v>
      </x:c>
      <x:c r="Z158" s="17" t="n">
        <x:f>COUNTIFS('Tasks'!$C$7:$C$246,$A158,'Tasks'!$K$7:$K$246,$D158,'Tasks'!$F$7:$F$246,$B158,'Tasks'!$AA$7:$AA$246,"&gt;0")</x:f>
        <x:v>3</x:v>
      </x:c>
      <x:c r="AA158" s="17" t="n">
        <x:f>COUNTIFS('Tasks'!$C$7:$C$246,$A158,'Tasks'!$K$7:$K$246,$D158,'Tasks'!$F$7:$F$246,$B158,'Tasks'!$AA$7:$AA$246,"&lt;0")</x:f>
        <x:v>2</x:v>
      </x:c>
      <x:c r="AB158" s="19" t="n">
        <x:f>IF(E158=0,"N/A",V158/E158)</x:f>
        <x:v>3.2</x:v>
      </x:c>
      <x:c r="AC158" s="22" t="n">
        <x:f>IF(E158=0,"N/A",K158/E158)</x:f>
        <x:v>11.23551</x:v>
      </x:c>
      <x:c r="AD158" s="19" t="n">
        <x:f>IF(E158=0,"N/A",P158/E158)</x:f>
        <x:v>0.8600000000000001</x:v>
      </x:c>
    </x:row>
    <x:row r="159" ht="23" customHeight="1">
      <x:c r="A159" s="17" t="str">
        <x:v>C004</x:v>
      </x:c>
      <x:c r="B159" s="17" t="str">
        <x:v>Clean audience data</x:v>
      </x:c>
      <x:c r="C159" s="17" t="str">
        <x:v>brief_changed</x:v>
      </x:c>
      <x:c r="D159" s="17" t="str">
        <x:v>Yes</x:v>
      </x:c>
      <x:c r="E159" s="17" t="n">
        <x:f>COUNTIFS('Tasks'!$C$7:$C$246,$A159,'Tasks'!$K$7:$K$246,$D159,'Tasks'!$F$7:$F$246,$B159)</x:f>
        <x:v>1</x:v>
      </x:c>
      <x:c r="F159" s="17" t="n">
        <x:f>SUMIFS('Tasks'!$O$7:$O$246,'Tasks'!$C$7:$C$246,$A159,'Tasks'!$K$7:$K$246,$D159,'Tasks'!$F$7:$F$246,$B159)</x:f>
        <x:v>166574</x:v>
      </x:c>
      <x:c r="G159" s="17" t="n">
        <x:f>SUMIFS('Tasks'!$P$7:$P$246,'Tasks'!$C$7:$C$246,$A159,'Tasks'!$K$7:$K$246,$D159,'Tasks'!$F$7:$F$246,$B159)</x:f>
        <x:v>38996</x:v>
      </x:c>
      <x:c r="H159" s="17" t="n">
        <x:f>SUMIFS('Tasks'!$Q$7:$Q$246,'Tasks'!$C$7:$C$246,$A159,'Tasks'!$K$7:$K$246,$D159,'Tasks'!$F$7:$F$246,$B159)</x:f>
        <x:v>205570</x:v>
      </x:c>
      <x:c r="I159" s="22" t="n">
        <x:f>SUMIFS('Tasks'!$S$7:$S$246,'Tasks'!$C$7:$C$246,$A159,'Tasks'!$K$7:$K$246,$D159,'Tasks'!$F$7:$F$246,$B159)</x:f>
        <x:v>1.66574</x:v>
      </x:c>
      <x:c r="J159" s="22" t="n">
        <x:f>SUMIFS('Tasks'!$T$7:$T$246,'Tasks'!$C$7:$C$246,$A159,'Tasks'!$K$7:$K$246,$D159,'Tasks'!$F$7:$F$246,$B159)</x:f>
        <x:v>1.1698799999999998</x:v>
      </x:c>
      <x:c r="K159" s="22" t="n">
        <x:f>SUMIFS('Tasks'!$U$7:$U$246,'Tasks'!$C$7:$C$246,$A159,'Tasks'!$K$7:$K$246,$D159,'Tasks'!$F$7:$F$246,$B159)</x:f>
        <x:v>2.83562</x:v>
      </x:c>
      <x:c r="L159" s="17" t="n">
        <x:f>SUMIFS('Tasks'!$R$7:$R$246,'Tasks'!$C$7:$C$246,$A159,'Tasks'!$K$7:$K$246,$D159,'Tasks'!$F$7:$F$246,$B159)</x:f>
        <x:v>12</x:v>
      </x:c>
      <x:c r="M159" s="22" t="n">
        <x:f>IF(L159=0,"N/A",K159/L159)</x:f>
        <x:v>0.23630166666666666</x:v>
      </x:c>
      <x:c r="N159" s="19" t="n">
        <x:f>SUMIFS('Tasks'!$G$7:$G$246,'Tasks'!$C$7:$C$246,$A159,'Tasks'!$K$7:$K$246,$D159,'Tasks'!$F$7:$F$246,$B159)</x:f>
        <x:v>3.89</x:v>
      </x:c>
      <x:c r="O159" s="19" t="n">
        <x:f>SUMIFS('Tasks'!$H$7:$H$246,'Tasks'!$C$7:$C$246,$A159,'Tasks'!$K$7:$K$246,$D159,'Tasks'!$F$7:$F$246,$B159)</x:f>
        <x:v>2.55</x:v>
      </x:c>
      <x:c r="P159" s="19" t="n">
        <x:f>SUMIFS('Tasks'!$Y$7:$Y$246,'Tasks'!$C$7:$C$246,$A159,'Tasks'!$K$7:$K$246,$D159,'Tasks'!$F$7:$F$246,$B159)</x:f>
        <x:v>1.3400000000000003</x:v>
      </x:c>
      <x:c r="Q159" s="22" t="n">
        <x:f>SUMIFS('Tasks'!$Z$7:$Z$246,'Tasks'!$C$7:$C$246,$A159,'Tasks'!$K$7:$K$246,$D159,'Tasks'!$F$7:$F$246,$B159)</x:f>
        <x:v>67.00000000000001</x:v>
      </x:c>
      <x:c r="R159" s="22" t="n">
        <x:f>SUMIFS('Tasks'!$AA$7:$AA$246,'Tasks'!$C$7:$C$246,$A159,'Tasks'!$K$7:$K$246,$D159,'Tasks'!$F$7:$F$246,$B159)</x:f>
        <x:v>64.16438000000001</x:v>
      </x:c>
      <x:c r="S159" s="31" t="n">
        <x:f>IF(K159=0,"N/A",R159/K159)</x:f>
        <x:v>22.627989646003346</x:v>
      </x:c>
      <x:c r="T159" s="19" t="n">
        <x:f>SUMIFS('Tasks'!$I$7:$I$246,'Tasks'!$C$7:$C$246,$A159,'Tasks'!$K$7:$K$246,$D159,'Tasks'!$F$7:$F$246,$B159)</x:f>
        <x:v>0.31</x:v>
      </x:c>
      <x:c r="U159" s="31" t="n">
        <x:f>IF(O159=0,"N/A",T159/O159)</x:f>
        <x:v>0.1215686274509804</x:v>
      </x:c>
      <x:c r="V159" s="17" t="n">
        <x:f>SUMIFS('Tasks'!$X$7:$X$246,'Tasks'!$C$7:$C$246,$A159,'Tasks'!$K$7:$K$246,$D159,'Tasks'!$F$7:$F$246,$B159)</x:f>
        <x:v>2</x:v>
      </x:c>
      <x:c r="W159" s="31" t="n">
        <x:f>IF(L159=0,"N/A",V159/L159)</x:f>
        <x:v>0.16666666666666666</x:v>
      </x:c>
      <x:c r="X159" s="17" t="n">
        <x:f>COUNTIFS('Tasks'!$C$7:$C$246,$A159,'Tasks'!$K$7:$K$246,$D159,'Tasks'!$F$7:$F$246,$B159,'Tasks'!$L$7:$L$246,"Yes")</x:f>
        <x:v>0</x:v>
      </x:c>
      <x:c r="Y159" s="17" t="n">
        <x:f>COUNTIFS('Tasks'!$C$7:$C$246,$A159,'Tasks'!$K$7:$K$246,$D159,'Tasks'!$F$7:$F$246,$B159,'Tasks'!$K$7:$K$246,"Yes")</x:f>
        <x:v>1</x:v>
      </x:c>
      <x:c r="Z159" s="17" t="n">
        <x:f>COUNTIFS('Tasks'!$C$7:$C$246,$A159,'Tasks'!$K$7:$K$246,$D159,'Tasks'!$F$7:$F$246,$B159,'Tasks'!$AA$7:$AA$246,"&gt;0")</x:f>
        <x:v>1</x:v>
      </x:c>
      <x:c r="AA159" s="17" t="n">
        <x:f>COUNTIFS('Tasks'!$C$7:$C$246,$A159,'Tasks'!$K$7:$K$246,$D159,'Tasks'!$F$7:$F$246,$B159,'Tasks'!$AA$7:$AA$246,"&lt;0")</x:f>
        <x:v>0</x:v>
      </x:c>
      <x:c r="AB159" s="19" t="n">
        <x:f>IF(E159=0,"N/A",V159/E159)</x:f>
        <x:v>2</x:v>
      </x:c>
      <x:c r="AC159" s="22" t="n">
        <x:f>IF(E159=0,"N/A",K159/E159)</x:f>
        <x:v>2.83562</x:v>
      </x:c>
      <x:c r="AD159" s="19" t="n">
        <x:f>IF(E159=0,"N/A",P159/E159)</x:f>
        <x:v>1.3400000000000003</x:v>
      </x:c>
    </x:row>
    <x:row r="160" ht="23" customHeight="1">
      <x:c r="A160" s="17" t="str">
        <x:v>C004</x:v>
      </x:c>
      <x:c r="B160" s="17" t="str">
        <x:v>Develop concept brief</x:v>
      </x:c>
      <x:c r="C160" s="17" t="str">
        <x:v>prompt_template_used</x:v>
      </x:c>
      <x:c r="D160" s="17" t="str">
        <x:v>No</x:v>
      </x:c>
      <x:c r="E160" s="17" t="n">
        <x:f>COUNTIFS('Tasks'!$C$7:$C$246,$A160,'Tasks'!$L$7:$L$246,$D160,'Tasks'!$F$7:$F$246,$B160)</x:f>
        <x:v>2</x:v>
      </x:c>
      <x:c r="F160" s="17" t="n">
        <x:f>SUMIFS('Tasks'!$O$7:$O$246,'Tasks'!$C$7:$C$246,$A160,'Tasks'!$L$7:$L$246,$D160,'Tasks'!$F$7:$F$246,$B160)</x:f>
        <x:v>719437</x:v>
      </x:c>
      <x:c r="G160" s="17" t="n">
        <x:f>SUMIFS('Tasks'!$P$7:$P$246,'Tasks'!$C$7:$C$246,$A160,'Tasks'!$L$7:$L$246,$D160,'Tasks'!$F$7:$F$246,$B160)</x:f>
        <x:v>147196</x:v>
      </x:c>
      <x:c r="H160" s="17" t="n">
        <x:f>SUMIFS('Tasks'!$Q$7:$Q$246,'Tasks'!$C$7:$C$246,$A160,'Tasks'!$L$7:$L$246,$D160,'Tasks'!$F$7:$F$246,$B160)</x:f>
        <x:v>866633</x:v>
      </x:c>
      <x:c r="I160" s="22" t="n">
        <x:f>SUMIFS('Tasks'!$S$7:$S$246,'Tasks'!$C$7:$C$246,$A160,'Tasks'!$L$7:$L$246,$D160,'Tasks'!$F$7:$F$246,$B160)</x:f>
        <x:v>7.194369999999999</x:v>
      </x:c>
      <x:c r="J160" s="22" t="n">
        <x:f>SUMIFS('Tasks'!$T$7:$T$246,'Tasks'!$C$7:$C$246,$A160,'Tasks'!$L$7:$L$246,$D160,'Tasks'!$F$7:$F$246,$B160)</x:f>
        <x:v>4.4158800000000005</x:v>
      </x:c>
      <x:c r="K160" s="22" t="n">
        <x:f>SUMIFS('Tasks'!$U$7:$U$246,'Tasks'!$C$7:$C$246,$A160,'Tasks'!$L$7:$L$246,$D160,'Tasks'!$F$7:$F$246,$B160)</x:f>
        <x:v>11.61025</x:v>
      </x:c>
      <x:c r="L160" s="17" t="n">
        <x:f>SUMIFS('Tasks'!$R$7:$R$246,'Tasks'!$C$7:$C$246,$A160,'Tasks'!$L$7:$L$246,$D160,'Tasks'!$F$7:$F$246,$B160)</x:f>
        <x:v>29</x:v>
      </x:c>
      <x:c r="M160" s="22" t="n">
        <x:f>IF(L160=0,"N/A",K160/L160)</x:f>
        <x:v>0.4003534482758621</x:v>
      </x:c>
      <x:c r="N160" s="19" t="n">
        <x:f>SUMIFS('Tasks'!$G$7:$G$246,'Tasks'!$C$7:$C$246,$A160,'Tasks'!$L$7:$L$246,$D160,'Tasks'!$F$7:$F$246,$B160)</x:f>
        <x:v>8.57</x:v>
      </x:c>
      <x:c r="O160" s="19" t="n">
        <x:f>SUMIFS('Tasks'!$H$7:$H$246,'Tasks'!$C$7:$C$246,$A160,'Tasks'!$L$7:$L$246,$D160,'Tasks'!$F$7:$F$246,$B160)</x:f>
        <x:v>6.45</x:v>
      </x:c>
      <x:c r="P160" s="19" t="n">
        <x:f>SUMIFS('Tasks'!$Y$7:$Y$246,'Tasks'!$C$7:$C$246,$A160,'Tasks'!$L$7:$L$246,$D160,'Tasks'!$F$7:$F$246,$B160)</x:f>
        <x:v>2.1199999999999997</x:v>
      </x:c>
      <x:c r="Q160" s="22" t="n">
        <x:f>SUMIFS('Tasks'!$Z$7:$Z$246,'Tasks'!$C$7:$C$246,$A160,'Tasks'!$L$7:$L$246,$D160,'Tasks'!$F$7:$F$246,$B160)</x:f>
        <x:v>105.99999999999997</x:v>
      </x:c>
      <x:c r="R160" s="22" t="n">
        <x:f>SUMIFS('Tasks'!$AA$7:$AA$246,'Tasks'!$C$7:$C$246,$A160,'Tasks'!$L$7:$L$246,$D160,'Tasks'!$F$7:$F$246,$B160)</x:f>
        <x:v>94.38974999999998</x:v>
      </x:c>
      <x:c r="S160" s="31" t="n">
        <x:f>IF(K160=0,"N/A",R160/K160)</x:f>
        <x:v>8.12986369802545</x:v>
      </x:c>
      <x:c r="T160" s="19" t="n">
        <x:f>SUMIFS('Tasks'!$I$7:$I$246,'Tasks'!$C$7:$C$246,$A160,'Tasks'!$L$7:$L$246,$D160,'Tasks'!$F$7:$F$246,$B160)</x:f>
        <x:v>0.55</x:v>
      </x:c>
      <x:c r="U160" s="31" t="n">
        <x:f>IF(O160=0,"N/A",T160/O160)</x:f>
        <x:v>0.08527131782945736</x:v>
      </x:c>
      <x:c r="V160" s="17" t="n">
        <x:f>SUMIFS('Tasks'!$X$7:$X$246,'Tasks'!$C$7:$C$246,$A160,'Tasks'!$L$7:$L$246,$D160,'Tasks'!$F$7:$F$246,$B160)</x:f>
        <x:v>6</x:v>
      </x:c>
      <x:c r="W160" s="31" t="n">
        <x:f>IF(L160=0,"N/A",V160/L160)</x:f>
        <x:v>0.20689655172413793</x:v>
      </x:c>
      <x:c r="X160" s="17" t="n">
        <x:f>COUNTIFS('Tasks'!$C$7:$C$246,$A160,'Tasks'!$L$7:$L$246,$D160,'Tasks'!$F$7:$F$246,$B160,'Tasks'!$L$7:$L$246,"Yes")</x:f>
        <x:v>0</x:v>
      </x:c>
      <x:c r="Y160" s="17" t="n">
        <x:f>COUNTIFS('Tasks'!$C$7:$C$246,$A160,'Tasks'!$L$7:$L$246,$D160,'Tasks'!$F$7:$F$246,$B160,'Tasks'!$K$7:$K$246,"Yes")</x:f>
        <x:v>0</x:v>
      </x:c>
      <x:c r="Z160" s="17" t="n">
        <x:f>COUNTIFS('Tasks'!$C$7:$C$246,$A160,'Tasks'!$L$7:$L$246,$D160,'Tasks'!$F$7:$F$246,$B160,'Tasks'!$AA$7:$AA$246,"&gt;0")</x:f>
        <x:v>1</x:v>
      </x:c>
      <x:c r="AA160" s="17" t="n">
        <x:f>COUNTIFS('Tasks'!$C$7:$C$246,$A160,'Tasks'!$L$7:$L$246,$D160,'Tasks'!$F$7:$F$246,$B160,'Tasks'!$AA$7:$AA$246,"&lt;0")</x:f>
        <x:v>1</x:v>
      </x:c>
      <x:c r="AB160" s="19" t="n">
        <x:f>IF(E160=0,"N/A",V160/E160)</x:f>
        <x:v>3</x:v>
      </x:c>
      <x:c r="AC160" s="22" t="n">
        <x:f>IF(E160=0,"N/A",K160/E160)</x:f>
        <x:v>5.805125</x:v>
      </x:c>
      <x:c r="AD160" s="19" t="n">
        <x:f>IF(E160=0,"N/A",P160/E160)</x:f>
        <x:v>1.0599999999999998</x:v>
      </x:c>
    </x:row>
    <x:row r="161" ht="23" customHeight="1">
      <x:c r="A161" s="17" t="str">
        <x:v>C004</x:v>
      </x:c>
      <x:c r="B161" s="17" t="str">
        <x:v>Develop concept brief</x:v>
      </x:c>
      <x:c r="C161" s="17" t="str">
        <x:v>prompt_template_used</x:v>
      </x:c>
      <x:c r="D161" s="17" t="str">
        <x:v>Yes</x:v>
      </x:c>
      <x:c r="E161" s="17" t="n">
        <x:f>COUNTIFS('Tasks'!$C$7:$C$246,$A161,'Tasks'!$L$7:$L$246,$D161,'Tasks'!$F$7:$F$246,$B161)</x:f>
        <x:v>3</x:v>
      </x:c>
      <x:c r="F161" s="17" t="n">
        <x:f>SUMIFS('Tasks'!$O$7:$O$246,'Tasks'!$C$7:$C$246,$A161,'Tasks'!$L$7:$L$246,$D161,'Tasks'!$F$7:$F$246,$B161)</x:f>
        <x:v>725363</x:v>
      </x:c>
      <x:c r="G161" s="17" t="n">
        <x:f>SUMIFS('Tasks'!$P$7:$P$246,'Tasks'!$C$7:$C$246,$A161,'Tasks'!$L$7:$L$246,$D161,'Tasks'!$F$7:$F$246,$B161)</x:f>
        <x:v>278730</x:v>
      </x:c>
      <x:c r="H161" s="17" t="n">
        <x:f>SUMIFS('Tasks'!$Q$7:$Q$246,'Tasks'!$C$7:$C$246,$A161,'Tasks'!$L$7:$L$246,$D161,'Tasks'!$F$7:$F$246,$B161)</x:f>
        <x:v>1004093</x:v>
      </x:c>
      <x:c r="I161" s="22" t="n">
        <x:f>SUMIFS('Tasks'!$S$7:$S$246,'Tasks'!$C$7:$C$246,$A161,'Tasks'!$L$7:$L$246,$D161,'Tasks'!$F$7:$F$246,$B161)</x:f>
        <x:v>23.829620000000002</x:v>
      </x:c>
      <x:c r="J161" s="22" t="n">
        <x:f>SUMIFS('Tasks'!$T$7:$T$246,'Tasks'!$C$7:$C$246,$A161,'Tasks'!$L$7:$L$246,$D161,'Tasks'!$F$7:$F$246,$B161)</x:f>
        <x:v>23.51417</x:v>
      </x:c>
      <x:c r="K161" s="22" t="n">
        <x:f>SUMIFS('Tasks'!$U$7:$U$246,'Tasks'!$C$7:$C$246,$A161,'Tasks'!$L$7:$L$246,$D161,'Tasks'!$F$7:$F$246,$B161)</x:f>
        <x:v>47.343790000000006</x:v>
      </x:c>
      <x:c r="L161" s="17" t="n">
        <x:f>SUMIFS('Tasks'!$R$7:$R$246,'Tasks'!$C$7:$C$246,$A161,'Tasks'!$L$7:$L$246,$D161,'Tasks'!$F$7:$F$246,$B161)</x:f>
        <x:v>38</x:v>
      </x:c>
      <x:c r="M161" s="22" t="n">
        <x:f>IF(L161=0,"N/A",K161/L161)</x:f>
        <x:v>1.245889210526316</x:v>
      </x:c>
      <x:c r="N161" s="19" t="n">
        <x:f>SUMIFS('Tasks'!$G$7:$G$246,'Tasks'!$C$7:$C$246,$A161,'Tasks'!$L$7:$L$246,$D161,'Tasks'!$F$7:$F$246,$B161)</x:f>
        <x:v>11.36</x:v>
      </x:c>
      <x:c r="O161" s="19" t="n">
        <x:f>SUMIFS('Tasks'!$H$7:$H$246,'Tasks'!$C$7:$C$246,$A161,'Tasks'!$L$7:$L$246,$D161,'Tasks'!$F$7:$F$246,$B161)</x:f>
        <x:v>8.45</x:v>
      </x:c>
      <x:c r="P161" s="19" t="n">
        <x:f>SUMIFS('Tasks'!$Y$7:$Y$246,'Tasks'!$C$7:$C$246,$A161,'Tasks'!$L$7:$L$246,$D161,'Tasks'!$F$7:$F$246,$B161)</x:f>
        <x:v>2.91</x:v>
      </x:c>
      <x:c r="Q161" s="22" t="n">
        <x:f>SUMIFS('Tasks'!$Z$7:$Z$246,'Tasks'!$C$7:$C$246,$A161,'Tasks'!$L$7:$L$246,$D161,'Tasks'!$F$7:$F$246,$B161)</x:f>
        <x:v>145.5</x:v>
      </x:c>
      <x:c r="R161" s="22" t="n">
        <x:f>SUMIFS('Tasks'!$AA$7:$AA$246,'Tasks'!$C$7:$C$246,$A161,'Tasks'!$L$7:$L$246,$D161,'Tasks'!$F$7:$F$246,$B161)</x:f>
        <x:v>98.15621</x:v>
      </x:c>
      <x:c r="S161" s="31" t="n">
        <x:f>IF(K161=0,"N/A",R161/K161)</x:f>
        <x:v>2.0732647301789737</x:v>
      </x:c>
      <x:c r="T161" s="19" t="n">
        <x:f>SUMIFS('Tasks'!$I$7:$I$246,'Tasks'!$C$7:$C$246,$A161,'Tasks'!$L$7:$L$246,$D161,'Tasks'!$F$7:$F$246,$B161)</x:f>
        <x:v>0.8</x:v>
      </x:c>
      <x:c r="U161" s="31" t="n">
        <x:f>IF(O161=0,"N/A",T161/O161)</x:f>
        <x:v>0.09467455621301776</x:v>
      </x:c>
      <x:c r="V161" s="17" t="n">
        <x:f>SUMIFS('Tasks'!$X$7:$X$246,'Tasks'!$C$7:$C$246,$A161,'Tasks'!$L$7:$L$246,$D161,'Tasks'!$F$7:$F$246,$B161)</x:f>
        <x:v>9</x:v>
      </x:c>
      <x:c r="W161" s="31" t="n">
        <x:f>IF(L161=0,"N/A",V161/L161)</x:f>
        <x:v>0.23684210526315788</x:v>
      </x:c>
      <x:c r="X161" s="17" t="n">
        <x:f>COUNTIFS('Tasks'!$C$7:$C$246,$A161,'Tasks'!$L$7:$L$246,$D161,'Tasks'!$F$7:$F$246,$B161,'Tasks'!$L$7:$L$246,"Yes")</x:f>
        <x:v>3</x:v>
      </x:c>
      <x:c r="Y161" s="17" t="n">
        <x:f>COUNTIFS('Tasks'!$C$7:$C$246,$A161,'Tasks'!$L$7:$L$246,$D161,'Tasks'!$F$7:$F$246,$B161,'Tasks'!$K$7:$K$246,"Yes")</x:f>
        <x:v>0</x:v>
      </x:c>
      <x:c r="Z161" s="17" t="n">
        <x:f>COUNTIFS('Tasks'!$C$7:$C$246,$A161,'Tasks'!$L$7:$L$246,$D161,'Tasks'!$F$7:$F$246,$B161,'Tasks'!$AA$7:$AA$246,"&gt;0")</x:f>
        <x:v>2</x:v>
      </x:c>
      <x:c r="AA161" s="17" t="n">
        <x:f>COUNTIFS('Tasks'!$C$7:$C$246,$A161,'Tasks'!$L$7:$L$246,$D161,'Tasks'!$F$7:$F$246,$B161,'Tasks'!$AA$7:$AA$246,"&lt;0")</x:f>
        <x:v>1</x:v>
      </x:c>
      <x:c r="AB161" s="19" t="n">
        <x:f>IF(E161=0,"N/A",V161/E161)</x:f>
        <x:v>3</x:v>
      </x:c>
      <x:c r="AC161" s="22" t="n">
        <x:f>IF(E161=0,"N/A",K161/E161)</x:f>
        <x:v>15.781263333333335</x:v>
      </x:c>
      <x:c r="AD161" s="19" t="n">
        <x:f>IF(E161=0,"N/A",P161/E161)</x:f>
        <x:v>0.9700000000000001</x:v>
      </x:c>
    </x:row>
    <x:row r="162" ht="23" customHeight="1">
      <x:c r="A162" s="17" t="str">
        <x:v>C004</x:v>
      </x:c>
      <x:c r="B162" s="17" t="str">
        <x:v>Develop concept brief</x:v>
      </x:c>
      <x:c r="C162" s="17" t="str">
        <x:v>brief_changed</x:v>
      </x:c>
      <x:c r="D162" s="17" t="str">
        <x:v>No</x:v>
      </x:c>
      <x:c r="E162" s="17" t="n">
        <x:f>COUNTIFS('Tasks'!$C$7:$C$246,$A162,'Tasks'!$K$7:$K$246,$D162,'Tasks'!$F$7:$F$246,$B162)</x:f>
        <x:v>5</x:v>
      </x:c>
      <x:c r="F162" s="17" t="n">
        <x:f>SUMIFS('Tasks'!$O$7:$O$246,'Tasks'!$C$7:$C$246,$A162,'Tasks'!$K$7:$K$246,$D162,'Tasks'!$F$7:$F$246,$B162)</x:f>
        <x:v>1444800</x:v>
      </x:c>
      <x:c r="G162" s="17" t="n">
        <x:f>SUMIFS('Tasks'!$P$7:$P$246,'Tasks'!$C$7:$C$246,$A162,'Tasks'!$K$7:$K$246,$D162,'Tasks'!$F$7:$F$246,$B162)</x:f>
        <x:v>425926</x:v>
      </x:c>
      <x:c r="H162" s="17" t="n">
        <x:f>SUMIFS('Tasks'!$Q$7:$Q$246,'Tasks'!$C$7:$C$246,$A162,'Tasks'!$K$7:$K$246,$D162,'Tasks'!$F$7:$F$246,$B162)</x:f>
        <x:v>1870726</x:v>
      </x:c>
      <x:c r="I162" s="22" t="n">
        <x:f>SUMIFS('Tasks'!$S$7:$S$246,'Tasks'!$C$7:$C$246,$A162,'Tasks'!$K$7:$K$246,$D162,'Tasks'!$F$7:$F$246,$B162)</x:f>
        <x:v>31.02399</x:v>
      </x:c>
      <x:c r="J162" s="22" t="n">
        <x:f>SUMIFS('Tasks'!$T$7:$T$246,'Tasks'!$C$7:$C$246,$A162,'Tasks'!$K$7:$K$246,$D162,'Tasks'!$F$7:$F$246,$B162)</x:f>
        <x:v>27.93005</x:v>
      </x:c>
      <x:c r="K162" s="22" t="n">
        <x:f>SUMIFS('Tasks'!$U$7:$U$246,'Tasks'!$C$7:$C$246,$A162,'Tasks'!$K$7:$K$246,$D162,'Tasks'!$F$7:$F$246,$B162)</x:f>
        <x:v>58.954040000000006</x:v>
      </x:c>
      <x:c r="L162" s="17" t="n">
        <x:f>SUMIFS('Tasks'!$R$7:$R$246,'Tasks'!$C$7:$C$246,$A162,'Tasks'!$K$7:$K$246,$D162,'Tasks'!$F$7:$F$246,$B162)</x:f>
        <x:v>67</x:v>
      </x:c>
      <x:c r="M162" s="22" t="n">
        <x:f>IF(L162=0,"N/A",K162/L162)</x:f>
        <x:v>0.8799110447761195</x:v>
      </x:c>
      <x:c r="N162" s="19" t="n">
        <x:f>SUMIFS('Tasks'!$G$7:$G$246,'Tasks'!$C$7:$C$246,$A162,'Tasks'!$K$7:$K$246,$D162,'Tasks'!$F$7:$F$246,$B162)</x:f>
        <x:v>19.93</x:v>
      </x:c>
      <x:c r="O162" s="19" t="n">
        <x:f>SUMIFS('Tasks'!$H$7:$H$246,'Tasks'!$C$7:$C$246,$A162,'Tasks'!$K$7:$K$246,$D162,'Tasks'!$F$7:$F$246,$B162)</x:f>
        <x:v>14.899999999999999</x:v>
      </x:c>
      <x:c r="P162" s="19" t="n">
        <x:f>SUMIFS('Tasks'!$Y$7:$Y$246,'Tasks'!$C$7:$C$246,$A162,'Tasks'!$K$7:$K$246,$D162,'Tasks'!$F$7:$F$246,$B162)</x:f>
        <x:v>5.029999999999999</x:v>
      </x:c>
      <x:c r="Q162" s="22" t="n">
        <x:f>SUMIFS('Tasks'!$Z$7:$Z$246,'Tasks'!$C$7:$C$246,$A162,'Tasks'!$K$7:$K$246,$D162,'Tasks'!$F$7:$F$246,$B162)</x:f>
        <x:v>251.5</x:v>
      </x:c>
      <x:c r="R162" s="22" t="n">
        <x:f>SUMIFS('Tasks'!$AA$7:$AA$246,'Tasks'!$C$7:$C$246,$A162,'Tasks'!$K$7:$K$246,$D162,'Tasks'!$F$7:$F$246,$B162)</x:f>
        <x:v>192.54595999999995</x:v>
      </x:c>
      <x:c r="S162" s="31" t="n">
        <x:f>IF(K162=0,"N/A",R162/K162)</x:f>
        <x:v>3.266035033392112</x:v>
      </x:c>
      <x:c r="T162" s="19" t="n">
        <x:f>SUMIFS('Tasks'!$I$7:$I$246,'Tasks'!$C$7:$C$246,$A162,'Tasks'!$K$7:$K$246,$D162,'Tasks'!$F$7:$F$246,$B162)</x:f>
        <x:v>1.35</x:v>
      </x:c>
      <x:c r="U162" s="31" t="n">
        <x:f>IF(O162=0,"N/A",T162/O162)</x:f>
        <x:v>0.09060402684563759</x:v>
      </x:c>
      <x:c r="V162" s="17" t="n">
        <x:f>SUMIFS('Tasks'!$X$7:$X$246,'Tasks'!$C$7:$C$246,$A162,'Tasks'!$K$7:$K$246,$D162,'Tasks'!$F$7:$F$246,$B162)</x:f>
        <x:v>15</x:v>
      </x:c>
      <x:c r="W162" s="31" t="n">
        <x:f>IF(L162=0,"N/A",V162/L162)</x:f>
        <x:v>0.22388059701492538</x:v>
      </x:c>
      <x:c r="X162" s="17" t="n">
        <x:f>COUNTIFS('Tasks'!$C$7:$C$246,$A162,'Tasks'!$K$7:$K$246,$D162,'Tasks'!$F$7:$F$246,$B162,'Tasks'!$L$7:$L$246,"Yes")</x:f>
        <x:v>3</x:v>
      </x:c>
      <x:c r="Y162" s="17" t="n">
        <x:f>COUNTIFS('Tasks'!$C$7:$C$246,$A162,'Tasks'!$K$7:$K$246,$D162,'Tasks'!$F$7:$F$246,$B162,'Tasks'!$K$7:$K$246,"Yes")</x:f>
        <x:v>0</x:v>
      </x:c>
      <x:c r="Z162" s="17" t="n">
        <x:f>COUNTIFS('Tasks'!$C$7:$C$246,$A162,'Tasks'!$K$7:$K$246,$D162,'Tasks'!$F$7:$F$246,$B162,'Tasks'!$AA$7:$AA$246,"&gt;0")</x:f>
        <x:v>3</x:v>
      </x:c>
      <x:c r="AA162" s="17" t="n">
        <x:f>COUNTIFS('Tasks'!$C$7:$C$246,$A162,'Tasks'!$K$7:$K$246,$D162,'Tasks'!$F$7:$F$246,$B162,'Tasks'!$AA$7:$AA$246,"&lt;0")</x:f>
        <x:v>2</x:v>
      </x:c>
      <x:c r="AB162" s="19" t="n">
        <x:f>IF(E162=0,"N/A",V162/E162)</x:f>
        <x:v>3</x:v>
      </x:c>
      <x:c r="AC162" s="22" t="n">
        <x:f>IF(E162=0,"N/A",K162/E162)</x:f>
        <x:v>11.790808000000002</x:v>
      </x:c>
      <x:c r="AD162" s="19" t="n">
        <x:f>IF(E162=0,"N/A",P162/E162)</x:f>
        <x:v>1.0059999999999998</x:v>
      </x:c>
    </x:row>
    <x:row r="163" ht="23" customHeight="1">
      <x:c r="A163" s="17" t="str">
        <x:v>C004</x:v>
      </x:c>
      <x:c r="B163" s="17" t="str">
        <x:v>Draft email sequence</x:v>
      </x:c>
      <x:c r="C163" s="17" t="str">
        <x:v>prompt_template_used</x:v>
      </x:c>
      <x:c r="D163" s="17" t="str">
        <x:v>Yes</x:v>
      </x:c>
      <x:c r="E163" s="17" t="n">
        <x:f>COUNTIFS('Tasks'!$C$7:$C$246,$A163,'Tasks'!$L$7:$L$246,$D163,'Tasks'!$F$7:$F$246,$B163)</x:f>
        <x:v>4</x:v>
      </x:c>
      <x:c r="F163" s="17" t="n">
        <x:f>SUMIFS('Tasks'!$O$7:$O$246,'Tasks'!$C$7:$C$246,$A163,'Tasks'!$L$7:$L$246,$D163,'Tasks'!$F$7:$F$246,$B163)</x:f>
        <x:v>921490</x:v>
      </x:c>
      <x:c r="G163" s="17" t="n">
        <x:f>SUMIFS('Tasks'!$P$7:$P$246,'Tasks'!$C$7:$C$246,$A163,'Tasks'!$L$7:$L$246,$D163,'Tasks'!$F$7:$F$246,$B163)</x:f>
        <x:v>314688</x:v>
      </x:c>
      <x:c r="H163" s="17" t="n">
        <x:f>SUMIFS('Tasks'!$Q$7:$Q$246,'Tasks'!$C$7:$C$246,$A163,'Tasks'!$L$7:$L$246,$D163,'Tasks'!$F$7:$F$246,$B163)</x:f>
        <x:v>1236178</x:v>
      </x:c>
      <x:c r="I163" s="22" t="n">
        <x:f>SUMIFS('Tasks'!$S$7:$S$246,'Tasks'!$C$7:$C$246,$A163,'Tasks'!$L$7:$L$246,$D163,'Tasks'!$F$7:$F$246,$B163)</x:f>
        <x:v>21.01375</x:v>
      </x:c>
      <x:c r="J163" s="22" t="n">
        <x:f>SUMIFS('Tasks'!$T$7:$T$246,'Tasks'!$C$7:$C$246,$A163,'Tasks'!$L$7:$L$246,$D163,'Tasks'!$F$7:$F$246,$B163)</x:f>
        <x:v>24.370240000000003</x:v>
      </x:c>
      <x:c r="K163" s="22" t="n">
        <x:f>SUMIFS('Tasks'!$U$7:$U$246,'Tasks'!$C$7:$C$246,$A163,'Tasks'!$L$7:$L$246,$D163,'Tasks'!$F$7:$F$246,$B163)</x:f>
        <x:v>45.38399</x:v>
      </x:c>
      <x:c r="L163" s="17" t="n">
        <x:f>SUMIFS('Tasks'!$R$7:$R$246,'Tasks'!$C$7:$C$246,$A163,'Tasks'!$L$7:$L$246,$D163,'Tasks'!$F$7:$F$246,$B163)</x:f>
        <x:v>46</x:v>
      </x:c>
      <x:c r="M163" s="22" t="n">
        <x:f>IF(L163=0,"N/A",K163/L163)</x:f>
        <x:v>0.9866084782608695</x:v>
      </x:c>
      <x:c r="N163" s="19" t="n">
        <x:f>SUMIFS('Tasks'!$G$7:$G$246,'Tasks'!$C$7:$C$246,$A163,'Tasks'!$L$7:$L$246,$D163,'Tasks'!$F$7:$F$246,$B163)</x:f>
        <x:v>18.35</x:v>
      </x:c>
      <x:c r="O163" s="19" t="n">
        <x:f>SUMIFS('Tasks'!$H$7:$H$246,'Tasks'!$C$7:$C$246,$A163,'Tasks'!$L$7:$L$246,$D163,'Tasks'!$F$7:$F$246,$B163)</x:f>
        <x:v>17.03</x:v>
      </x:c>
      <x:c r="P163" s="19" t="n">
        <x:f>SUMIFS('Tasks'!$Y$7:$Y$246,'Tasks'!$C$7:$C$246,$A163,'Tasks'!$L$7:$L$246,$D163,'Tasks'!$F$7:$F$246,$B163)</x:f>
        <x:v>1.3199999999999998</x:v>
      </x:c>
      <x:c r="Q163" s="22" t="n">
        <x:f>SUMIFS('Tasks'!$Z$7:$Z$246,'Tasks'!$C$7:$C$246,$A163,'Tasks'!$L$7:$L$246,$D163,'Tasks'!$F$7:$F$246,$B163)</x:f>
        <x:v>66</x:v>
      </x:c>
      <x:c r="R163" s="22" t="n">
        <x:f>SUMIFS('Tasks'!$AA$7:$AA$246,'Tasks'!$C$7:$C$246,$A163,'Tasks'!$L$7:$L$246,$D163,'Tasks'!$F$7:$F$246,$B163)</x:f>
        <x:v>20.616009999999996</x:v>
      </x:c>
      <x:c r="S163" s="31" t="n">
        <x:f>IF(K163=0,"N/A",R163/K163)</x:f>
        <x:v>0.45425732730859486</x:v>
      </x:c>
      <x:c r="T163" s="19" t="n">
        <x:f>SUMIFS('Tasks'!$I$7:$I$246,'Tasks'!$C$7:$C$246,$A163,'Tasks'!$L$7:$L$246,$D163,'Tasks'!$F$7:$F$246,$B163)</x:f>
        <x:v>0.81</x:v>
      </x:c>
      <x:c r="U163" s="31" t="n">
        <x:f>IF(O163=0,"N/A",T163/O163)</x:f>
        <x:v>0.04756312389900176</x:v>
      </x:c>
      <x:c r="V163" s="17" t="n">
        <x:f>SUMIFS('Tasks'!$X$7:$X$246,'Tasks'!$C$7:$C$246,$A163,'Tasks'!$L$7:$L$246,$D163,'Tasks'!$F$7:$F$246,$B163)</x:f>
        <x:v>9</x:v>
      </x:c>
      <x:c r="W163" s="31" t="n">
        <x:f>IF(L163=0,"N/A",V163/L163)</x:f>
        <x:v>0.1956521739130435</x:v>
      </x:c>
      <x:c r="X163" s="17" t="n">
        <x:f>COUNTIFS('Tasks'!$C$7:$C$246,$A163,'Tasks'!$L$7:$L$246,$D163,'Tasks'!$F$7:$F$246,$B163,'Tasks'!$L$7:$L$246,"Yes")</x:f>
        <x:v>4</x:v>
      </x:c>
      <x:c r="Y163" s="17" t="n">
        <x:f>COUNTIFS('Tasks'!$C$7:$C$246,$A163,'Tasks'!$L$7:$L$246,$D163,'Tasks'!$F$7:$F$246,$B163,'Tasks'!$K$7:$K$246,"Yes")</x:f>
        <x:v>0</x:v>
      </x:c>
      <x:c r="Z163" s="17" t="n">
        <x:f>COUNTIFS('Tasks'!$C$7:$C$246,$A163,'Tasks'!$L$7:$L$246,$D163,'Tasks'!$F$7:$F$246,$B163,'Tasks'!$AA$7:$AA$246,"&gt;0")</x:f>
        <x:v>3</x:v>
      </x:c>
      <x:c r="AA163" s="17" t="n">
        <x:f>COUNTIFS('Tasks'!$C$7:$C$246,$A163,'Tasks'!$L$7:$L$246,$D163,'Tasks'!$F$7:$F$246,$B163,'Tasks'!$AA$7:$AA$246,"&lt;0")</x:f>
        <x:v>1</x:v>
      </x:c>
      <x:c r="AB163" s="19" t="n">
        <x:f>IF(E163=0,"N/A",V163/E163)</x:f>
        <x:v>2.25</x:v>
      </x:c>
      <x:c r="AC163" s="22" t="n">
        <x:f>IF(E163=0,"N/A",K163/E163)</x:f>
        <x:v>11.3459975</x:v>
      </x:c>
      <x:c r="AD163" s="19" t="n">
        <x:f>IF(E163=0,"N/A",P163/E163)</x:f>
        <x:v>0.32999999999999996</x:v>
      </x:c>
    </x:row>
    <x:row r="164" ht="23" customHeight="1">
      <x:c r="A164" s="17" t="str">
        <x:v>C004</x:v>
      </x:c>
      <x:c r="B164" s="17" t="str">
        <x:v>Draft email sequence</x:v>
      </x:c>
      <x:c r="C164" s="17" t="str">
        <x:v>brief_changed</x:v>
      </x:c>
      <x:c r="D164" s="17" t="str">
        <x:v>No</x:v>
      </x:c>
      <x:c r="E164" s="17" t="n">
        <x:f>COUNTIFS('Tasks'!$C$7:$C$246,$A164,'Tasks'!$K$7:$K$246,$D164,'Tasks'!$F$7:$F$246,$B164)</x:f>
        <x:v>4</x:v>
      </x:c>
      <x:c r="F164" s="17" t="n">
        <x:f>SUMIFS('Tasks'!$O$7:$O$246,'Tasks'!$C$7:$C$246,$A164,'Tasks'!$K$7:$K$246,$D164,'Tasks'!$F$7:$F$246,$B164)</x:f>
        <x:v>921490</x:v>
      </x:c>
      <x:c r="G164" s="17" t="n">
        <x:f>SUMIFS('Tasks'!$P$7:$P$246,'Tasks'!$C$7:$C$246,$A164,'Tasks'!$K$7:$K$246,$D164,'Tasks'!$F$7:$F$246,$B164)</x:f>
        <x:v>314688</x:v>
      </x:c>
      <x:c r="H164" s="17" t="n">
        <x:f>SUMIFS('Tasks'!$Q$7:$Q$246,'Tasks'!$C$7:$C$246,$A164,'Tasks'!$K$7:$K$246,$D164,'Tasks'!$F$7:$F$246,$B164)</x:f>
        <x:v>1236178</x:v>
      </x:c>
      <x:c r="I164" s="22" t="n">
        <x:f>SUMIFS('Tasks'!$S$7:$S$246,'Tasks'!$C$7:$C$246,$A164,'Tasks'!$K$7:$K$246,$D164,'Tasks'!$F$7:$F$246,$B164)</x:f>
        <x:v>21.01375</x:v>
      </x:c>
      <x:c r="J164" s="22" t="n">
        <x:f>SUMIFS('Tasks'!$T$7:$T$246,'Tasks'!$C$7:$C$246,$A164,'Tasks'!$K$7:$K$246,$D164,'Tasks'!$F$7:$F$246,$B164)</x:f>
        <x:v>24.370240000000003</x:v>
      </x:c>
      <x:c r="K164" s="22" t="n">
        <x:f>SUMIFS('Tasks'!$U$7:$U$246,'Tasks'!$C$7:$C$246,$A164,'Tasks'!$K$7:$K$246,$D164,'Tasks'!$F$7:$F$246,$B164)</x:f>
        <x:v>45.38399</x:v>
      </x:c>
      <x:c r="L164" s="17" t="n">
        <x:f>SUMIFS('Tasks'!$R$7:$R$246,'Tasks'!$C$7:$C$246,$A164,'Tasks'!$K$7:$K$246,$D164,'Tasks'!$F$7:$F$246,$B164)</x:f>
        <x:v>46</x:v>
      </x:c>
      <x:c r="M164" s="22" t="n">
        <x:f>IF(L164=0,"N/A",K164/L164)</x:f>
        <x:v>0.9866084782608695</x:v>
      </x:c>
      <x:c r="N164" s="19" t="n">
        <x:f>SUMIFS('Tasks'!$G$7:$G$246,'Tasks'!$C$7:$C$246,$A164,'Tasks'!$K$7:$K$246,$D164,'Tasks'!$F$7:$F$246,$B164)</x:f>
        <x:v>18.35</x:v>
      </x:c>
      <x:c r="O164" s="19" t="n">
        <x:f>SUMIFS('Tasks'!$H$7:$H$246,'Tasks'!$C$7:$C$246,$A164,'Tasks'!$K$7:$K$246,$D164,'Tasks'!$F$7:$F$246,$B164)</x:f>
        <x:v>17.03</x:v>
      </x:c>
      <x:c r="P164" s="19" t="n">
        <x:f>SUMIFS('Tasks'!$Y$7:$Y$246,'Tasks'!$C$7:$C$246,$A164,'Tasks'!$K$7:$K$246,$D164,'Tasks'!$F$7:$F$246,$B164)</x:f>
        <x:v>1.3199999999999998</x:v>
      </x:c>
      <x:c r="Q164" s="22" t="n">
        <x:f>SUMIFS('Tasks'!$Z$7:$Z$246,'Tasks'!$C$7:$C$246,$A164,'Tasks'!$K$7:$K$246,$D164,'Tasks'!$F$7:$F$246,$B164)</x:f>
        <x:v>66</x:v>
      </x:c>
      <x:c r="R164" s="22" t="n">
        <x:f>SUMIFS('Tasks'!$AA$7:$AA$246,'Tasks'!$C$7:$C$246,$A164,'Tasks'!$K$7:$K$246,$D164,'Tasks'!$F$7:$F$246,$B164)</x:f>
        <x:v>20.616009999999996</x:v>
      </x:c>
      <x:c r="S164" s="31" t="n">
        <x:f>IF(K164=0,"N/A",R164/K164)</x:f>
        <x:v>0.45425732730859486</x:v>
      </x:c>
      <x:c r="T164" s="19" t="n">
        <x:f>SUMIFS('Tasks'!$I$7:$I$246,'Tasks'!$C$7:$C$246,$A164,'Tasks'!$K$7:$K$246,$D164,'Tasks'!$F$7:$F$246,$B164)</x:f>
        <x:v>0.81</x:v>
      </x:c>
      <x:c r="U164" s="31" t="n">
        <x:f>IF(O164=0,"N/A",T164/O164)</x:f>
        <x:v>0.04756312389900176</x:v>
      </x:c>
      <x:c r="V164" s="17" t="n">
        <x:f>SUMIFS('Tasks'!$X$7:$X$246,'Tasks'!$C$7:$C$246,$A164,'Tasks'!$K$7:$K$246,$D164,'Tasks'!$F$7:$F$246,$B164)</x:f>
        <x:v>9</x:v>
      </x:c>
      <x:c r="W164" s="31" t="n">
        <x:f>IF(L164=0,"N/A",V164/L164)</x:f>
        <x:v>0.1956521739130435</x:v>
      </x:c>
      <x:c r="X164" s="17" t="n">
        <x:f>COUNTIFS('Tasks'!$C$7:$C$246,$A164,'Tasks'!$K$7:$K$246,$D164,'Tasks'!$F$7:$F$246,$B164,'Tasks'!$L$7:$L$246,"Yes")</x:f>
        <x:v>4</x:v>
      </x:c>
      <x:c r="Y164" s="17" t="n">
        <x:f>COUNTIFS('Tasks'!$C$7:$C$246,$A164,'Tasks'!$K$7:$K$246,$D164,'Tasks'!$F$7:$F$246,$B164,'Tasks'!$K$7:$K$246,"Yes")</x:f>
        <x:v>0</x:v>
      </x:c>
      <x:c r="Z164" s="17" t="n">
        <x:f>COUNTIFS('Tasks'!$C$7:$C$246,$A164,'Tasks'!$K$7:$K$246,$D164,'Tasks'!$F$7:$F$246,$B164,'Tasks'!$AA$7:$AA$246,"&gt;0")</x:f>
        <x:v>3</x:v>
      </x:c>
      <x:c r="AA164" s="17" t="n">
        <x:f>COUNTIFS('Tasks'!$C$7:$C$246,$A164,'Tasks'!$K$7:$K$246,$D164,'Tasks'!$F$7:$F$246,$B164,'Tasks'!$AA$7:$AA$246,"&lt;0")</x:f>
        <x:v>1</x:v>
      </x:c>
      <x:c r="AB164" s="19" t="n">
        <x:f>IF(E164=0,"N/A",V164/E164)</x:f>
        <x:v>2.25</x:v>
      </x:c>
      <x:c r="AC164" s="22" t="n">
        <x:f>IF(E164=0,"N/A",K164/E164)</x:f>
        <x:v>11.3459975</x:v>
      </x:c>
      <x:c r="AD164" s="19" t="n">
        <x:f>IF(E164=0,"N/A",P164/E164)</x:f>
        <x:v>0.32999999999999996</x:v>
      </x:c>
    </x:row>
    <x:row r="165" ht="23" customHeight="1">
      <x:c r="A165" s="17" t="str">
        <x:v>C004</x:v>
      </x:c>
      <x:c r="B165" s="17" t="str">
        <x:v>Edit landing page</x:v>
      </x:c>
      <x:c r="C165" s="17" t="str">
        <x:v>prompt_template_used</x:v>
      </x:c>
      <x:c r="D165" s="17" t="str">
        <x:v>No</x:v>
      </x:c>
      <x:c r="E165" s="17" t="n">
        <x:f>COUNTIFS('Tasks'!$C$7:$C$246,$A165,'Tasks'!$L$7:$L$246,$D165,'Tasks'!$F$7:$F$246,$B165)</x:f>
        <x:v>1</x:v>
      </x:c>
      <x:c r="F165" s="17" t="n">
        <x:f>SUMIFS('Tasks'!$O$7:$O$246,'Tasks'!$C$7:$C$246,$A165,'Tasks'!$L$7:$L$246,$D165,'Tasks'!$F$7:$F$246,$B165)</x:f>
        <x:v>277318</x:v>
      </x:c>
      <x:c r="G165" s="17" t="n">
        <x:f>SUMIFS('Tasks'!$P$7:$P$246,'Tasks'!$C$7:$C$246,$A165,'Tasks'!$L$7:$L$246,$D165,'Tasks'!$F$7:$F$246,$B165)</x:f>
        <x:v>69361</x:v>
      </x:c>
      <x:c r="H165" s="17" t="n">
        <x:f>SUMIFS('Tasks'!$Q$7:$Q$246,'Tasks'!$C$7:$C$246,$A165,'Tasks'!$L$7:$L$246,$D165,'Tasks'!$F$7:$F$246,$B165)</x:f>
        <x:v>346679</x:v>
      </x:c>
      <x:c r="I165" s="22" t="n">
        <x:f>SUMIFS('Tasks'!$S$7:$S$246,'Tasks'!$C$7:$C$246,$A165,'Tasks'!$L$7:$L$246,$D165,'Tasks'!$F$7:$F$246,$B165)</x:f>
        <x:v>11.09272</x:v>
      </x:c>
      <x:c r="J165" s="22" t="n">
        <x:f>SUMIFS('Tasks'!$T$7:$T$246,'Tasks'!$C$7:$C$246,$A165,'Tasks'!$L$7:$L$246,$D165,'Tasks'!$F$7:$F$246,$B165)</x:f>
        <x:v>6.936100000000001</x:v>
      </x:c>
      <x:c r="K165" s="22" t="n">
        <x:f>SUMIFS('Tasks'!$U$7:$U$246,'Tasks'!$C$7:$C$246,$A165,'Tasks'!$L$7:$L$246,$D165,'Tasks'!$F$7:$F$246,$B165)</x:f>
        <x:v>18.02882</x:v>
      </x:c>
      <x:c r="L165" s="17" t="n">
        <x:f>SUMIFS('Tasks'!$R$7:$R$246,'Tasks'!$C$7:$C$246,$A165,'Tasks'!$L$7:$L$246,$D165,'Tasks'!$F$7:$F$246,$B165)</x:f>
        <x:v>13</x:v>
      </x:c>
      <x:c r="M165" s="22" t="n">
        <x:f>IF(L165=0,"N/A",K165/L165)</x:f>
        <x:v>1.3868323076923077</x:v>
      </x:c>
      <x:c r="N165" s="19" t="n">
        <x:f>SUMIFS('Tasks'!$G$7:$G$246,'Tasks'!$C$7:$C$246,$A165,'Tasks'!$L$7:$L$246,$D165,'Tasks'!$F$7:$F$246,$B165)</x:f>
        <x:v>3.74</x:v>
      </x:c>
      <x:c r="O165" s="19" t="n">
        <x:f>SUMIFS('Tasks'!$H$7:$H$246,'Tasks'!$C$7:$C$246,$A165,'Tasks'!$L$7:$L$246,$D165,'Tasks'!$F$7:$F$246,$B165)</x:f>
        <x:v>3.39</x:v>
      </x:c>
      <x:c r="P165" s="19" t="n">
        <x:f>SUMIFS('Tasks'!$Y$7:$Y$246,'Tasks'!$C$7:$C$246,$A165,'Tasks'!$L$7:$L$246,$D165,'Tasks'!$F$7:$F$246,$B165)</x:f>
        <x:v>0.3500000000000001</x:v>
      </x:c>
      <x:c r="Q165" s="22" t="n">
        <x:f>SUMIFS('Tasks'!$Z$7:$Z$246,'Tasks'!$C$7:$C$246,$A165,'Tasks'!$L$7:$L$246,$D165,'Tasks'!$F$7:$F$246,$B165)</x:f>
        <x:v>17.500000000000004</x:v>
      </x:c>
      <x:c r="R165" s="22" t="n">
        <x:f>SUMIFS('Tasks'!$AA$7:$AA$246,'Tasks'!$C$7:$C$246,$A165,'Tasks'!$L$7:$L$246,$D165,'Tasks'!$F$7:$F$246,$B165)</x:f>
        <x:v>-0.5288199999999961</x:v>
      </x:c>
      <x:c r="S165" s="31" t="n">
        <x:f>IF(K165=0,"N/A",R165/K165)</x:f>
        <x:v>-0.02933192521751263</x:v>
      </x:c>
      <x:c r="T165" s="19" t="n">
        <x:f>SUMIFS('Tasks'!$I$7:$I$246,'Tasks'!$C$7:$C$246,$A165,'Tasks'!$L$7:$L$246,$D165,'Tasks'!$F$7:$F$246,$B165)</x:f>
        <x:v>0.3</x:v>
      </x:c>
      <x:c r="U165" s="31" t="n">
        <x:f>IF(O165=0,"N/A",T165/O165)</x:f>
        <x:v>0.08849557522123894</x:v>
      </x:c>
      <x:c r="V165" s="17" t="n">
        <x:f>SUMIFS('Tasks'!$X$7:$X$246,'Tasks'!$C$7:$C$246,$A165,'Tasks'!$L$7:$L$246,$D165,'Tasks'!$F$7:$F$246,$B165)</x:f>
        <x:v>3</x:v>
      </x:c>
      <x:c r="W165" s="31" t="n">
        <x:f>IF(L165=0,"N/A",V165/L165)</x:f>
        <x:v>0.23076923076923078</x:v>
      </x:c>
      <x:c r="X165" s="17" t="n">
        <x:f>COUNTIFS('Tasks'!$C$7:$C$246,$A165,'Tasks'!$L$7:$L$246,$D165,'Tasks'!$F$7:$F$246,$B165,'Tasks'!$L$7:$L$246,"Yes")</x:f>
        <x:v>0</x:v>
      </x:c>
      <x:c r="Y165" s="17" t="n">
        <x:f>COUNTIFS('Tasks'!$C$7:$C$246,$A165,'Tasks'!$L$7:$L$246,$D165,'Tasks'!$F$7:$F$246,$B165,'Tasks'!$K$7:$K$246,"Yes")</x:f>
        <x:v>0</x:v>
      </x:c>
      <x:c r="Z165" s="17" t="n">
        <x:f>COUNTIFS('Tasks'!$C$7:$C$246,$A165,'Tasks'!$L$7:$L$246,$D165,'Tasks'!$F$7:$F$246,$B165,'Tasks'!$AA$7:$AA$246,"&gt;0")</x:f>
        <x:v>0</x:v>
      </x:c>
      <x:c r="AA165" s="17" t="n">
        <x:f>COUNTIFS('Tasks'!$C$7:$C$246,$A165,'Tasks'!$L$7:$L$246,$D165,'Tasks'!$F$7:$F$246,$B165,'Tasks'!$AA$7:$AA$246,"&lt;0")</x:f>
        <x:v>1</x:v>
      </x:c>
      <x:c r="AB165" s="19" t="n">
        <x:f>IF(E165=0,"N/A",V165/E165)</x:f>
        <x:v>3</x:v>
      </x:c>
      <x:c r="AC165" s="22" t="n">
        <x:f>IF(E165=0,"N/A",K165/E165)</x:f>
        <x:v>18.02882</x:v>
      </x:c>
      <x:c r="AD165" s="19" t="n">
        <x:f>IF(E165=0,"N/A",P165/E165)</x:f>
        <x:v>0.3500000000000001</x:v>
      </x:c>
    </x:row>
    <x:row r="166" ht="23" customHeight="1">
      <x:c r="A166" s="17" t="str">
        <x:v>C004</x:v>
      </x:c>
      <x:c r="B166" s="17" t="str">
        <x:v>Edit landing page</x:v>
      </x:c>
      <x:c r="C166" s="17" t="str">
        <x:v>prompt_template_used</x:v>
      </x:c>
      <x:c r="D166" s="17" t="str">
        <x:v>Yes</x:v>
      </x:c>
      <x:c r="E166" s="17" t="n">
        <x:f>COUNTIFS('Tasks'!$C$7:$C$246,$A166,'Tasks'!$L$7:$L$246,$D166,'Tasks'!$F$7:$F$246,$B166)</x:f>
        <x:v>4</x:v>
      </x:c>
      <x:c r="F166" s="17" t="n">
        <x:f>SUMIFS('Tasks'!$O$7:$O$246,'Tasks'!$C$7:$C$246,$A166,'Tasks'!$L$7:$L$246,$D166,'Tasks'!$F$7:$F$246,$B166)</x:f>
        <x:v>1326465</x:v>
      </x:c>
      <x:c r="G166" s="17" t="n">
        <x:f>SUMIFS('Tasks'!$P$7:$P$246,'Tasks'!$C$7:$C$246,$A166,'Tasks'!$L$7:$L$246,$D166,'Tasks'!$F$7:$F$246,$B166)</x:f>
        <x:v>355451</x:v>
      </x:c>
      <x:c r="H166" s="17" t="n">
        <x:f>SUMIFS('Tasks'!$Q$7:$Q$246,'Tasks'!$C$7:$C$246,$A166,'Tasks'!$L$7:$L$246,$D166,'Tasks'!$F$7:$F$246,$B166)</x:f>
        <x:v>1681916</x:v>
      </x:c>
      <x:c r="I166" s="22" t="n">
        <x:f>SUMIFS('Tasks'!$S$7:$S$246,'Tasks'!$C$7:$C$246,$A166,'Tasks'!$L$7:$L$246,$D166,'Tasks'!$F$7:$F$246,$B166)</x:f>
        <x:v>24.318060000000003</x:v>
      </x:c>
      <x:c r="J166" s="22" t="n">
        <x:f>SUMIFS('Tasks'!$T$7:$T$246,'Tasks'!$C$7:$C$246,$A166,'Tasks'!$L$7:$L$246,$D166,'Tasks'!$F$7:$F$246,$B166)</x:f>
        <x:v>18.61826</x:v>
      </x:c>
      <x:c r="K166" s="22" t="n">
        <x:f>SUMIFS('Tasks'!$U$7:$U$246,'Tasks'!$C$7:$C$246,$A166,'Tasks'!$L$7:$L$246,$D166,'Tasks'!$F$7:$F$246,$B166)</x:f>
        <x:v>42.936319999999995</x:v>
      </x:c>
      <x:c r="L166" s="17" t="n">
        <x:f>SUMIFS('Tasks'!$R$7:$R$246,'Tasks'!$C$7:$C$246,$A166,'Tasks'!$L$7:$L$246,$D166,'Tasks'!$F$7:$F$246,$B166)</x:f>
        <x:v>63</x:v>
      </x:c>
      <x:c r="M166" s="22" t="n">
        <x:f>IF(L166=0,"N/A",K166/L166)</x:f>
        <x:v>0.6815288888888889</x:v>
      </x:c>
      <x:c r="N166" s="19" t="n">
        <x:f>SUMIFS('Tasks'!$G$7:$G$246,'Tasks'!$C$7:$C$246,$A166,'Tasks'!$L$7:$L$246,$D166,'Tasks'!$F$7:$F$246,$B166)</x:f>
        <x:v>15.969999999999999</x:v>
      </x:c>
      <x:c r="O166" s="19" t="n">
        <x:f>SUMIFS('Tasks'!$H$7:$H$246,'Tasks'!$C$7:$C$246,$A166,'Tasks'!$L$7:$L$246,$D166,'Tasks'!$F$7:$F$246,$B166)</x:f>
        <x:v>12.05</x:v>
      </x:c>
      <x:c r="P166" s="19" t="n">
        <x:f>SUMIFS('Tasks'!$Y$7:$Y$246,'Tasks'!$C$7:$C$246,$A166,'Tasks'!$L$7:$L$246,$D166,'Tasks'!$F$7:$F$246,$B166)</x:f>
        <x:v>3.92</x:v>
      </x:c>
      <x:c r="Q166" s="22" t="n">
        <x:f>SUMIFS('Tasks'!$Z$7:$Z$246,'Tasks'!$C$7:$C$246,$A166,'Tasks'!$L$7:$L$246,$D166,'Tasks'!$F$7:$F$246,$B166)</x:f>
        <x:v>196</x:v>
      </x:c>
      <x:c r="R166" s="22" t="n">
        <x:f>SUMIFS('Tasks'!$AA$7:$AA$246,'Tasks'!$C$7:$C$246,$A166,'Tasks'!$L$7:$L$246,$D166,'Tasks'!$F$7:$F$246,$B166)</x:f>
        <x:v>153.06368</x:v>
      </x:c>
      <x:c r="S166" s="31" t="n">
        <x:f>IF(K166=0,"N/A",R166/K166)</x:f>
        <x:v>3.5648998330550925</x:v>
      </x:c>
      <x:c r="T166" s="19" t="n">
        <x:f>SUMIFS('Tasks'!$I$7:$I$246,'Tasks'!$C$7:$C$246,$A166,'Tasks'!$L$7:$L$246,$D166,'Tasks'!$F$7:$F$246,$B166)</x:f>
        <x:v>0.6599999999999999</x:v>
      </x:c>
      <x:c r="U166" s="31" t="n">
        <x:f>IF(O166=0,"N/A",T166/O166)</x:f>
        <x:v>0.05477178423236514</x:v>
      </x:c>
      <x:c r="V166" s="17" t="n">
        <x:f>SUMIFS('Tasks'!$X$7:$X$246,'Tasks'!$C$7:$C$246,$A166,'Tasks'!$L$7:$L$246,$D166,'Tasks'!$F$7:$F$246,$B166)</x:f>
        <x:v>13</x:v>
      </x:c>
      <x:c r="W166" s="31" t="n">
        <x:f>IF(L166=0,"N/A",V166/L166)</x:f>
        <x:v>0.20634920634920634</x:v>
      </x:c>
      <x:c r="X166" s="17" t="n">
        <x:f>COUNTIFS('Tasks'!$C$7:$C$246,$A166,'Tasks'!$L$7:$L$246,$D166,'Tasks'!$F$7:$F$246,$B166,'Tasks'!$L$7:$L$246,"Yes")</x:f>
        <x:v>4</x:v>
      </x:c>
      <x:c r="Y166" s="17" t="n">
        <x:f>COUNTIFS('Tasks'!$C$7:$C$246,$A166,'Tasks'!$L$7:$L$246,$D166,'Tasks'!$F$7:$F$246,$B166,'Tasks'!$K$7:$K$246,"Yes")</x:f>
        <x:v>0</x:v>
      </x:c>
      <x:c r="Z166" s="17" t="n">
        <x:f>COUNTIFS('Tasks'!$C$7:$C$246,$A166,'Tasks'!$L$7:$L$246,$D166,'Tasks'!$F$7:$F$246,$B166,'Tasks'!$AA$7:$AA$246,"&gt;0")</x:f>
        <x:v>3</x:v>
      </x:c>
      <x:c r="AA166" s="17" t="n">
        <x:f>COUNTIFS('Tasks'!$C$7:$C$246,$A166,'Tasks'!$L$7:$L$246,$D166,'Tasks'!$F$7:$F$246,$B166,'Tasks'!$AA$7:$AA$246,"&lt;0")</x:f>
        <x:v>1</x:v>
      </x:c>
      <x:c r="AB166" s="19" t="n">
        <x:f>IF(E166=0,"N/A",V166/E166)</x:f>
        <x:v>3.25</x:v>
      </x:c>
      <x:c r="AC166" s="22" t="n">
        <x:f>IF(E166=0,"N/A",K166/E166)</x:f>
        <x:v>10.734079999999999</x:v>
      </x:c>
      <x:c r="AD166" s="19" t="n">
        <x:f>IF(E166=0,"N/A",P166/E166)</x:f>
        <x:v>0.98</x:v>
      </x:c>
    </x:row>
    <x:row r="167" ht="23" customHeight="1">
      <x:c r="A167" s="17" t="str">
        <x:v>C004</x:v>
      </x:c>
      <x:c r="B167" s="17" t="str">
        <x:v>Edit landing page</x:v>
      </x:c>
      <x:c r="C167" s="17" t="str">
        <x:v>brief_changed</x:v>
      </x:c>
      <x:c r="D167" s="17" t="str">
        <x:v>No</x:v>
      </x:c>
      <x:c r="E167" s="17" t="n">
        <x:f>COUNTIFS('Tasks'!$C$7:$C$246,$A167,'Tasks'!$K$7:$K$246,$D167,'Tasks'!$F$7:$F$246,$B167)</x:f>
        <x:v>5</x:v>
      </x:c>
      <x:c r="F167" s="17" t="n">
        <x:f>SUMIFS('Tasks'!$O$7:$O$246,'Tasks'!$C$7:$C$246,$A167,'Tasks'!$K$7:$K$246,$D167,'Tasks'!$F$7:$F$246,$B167)</x:f>
        <x:v>1603783</x:v>
      </x:c>
      <x:c r="G167" s="17" t="n">
        <x:f>SUMIFS('Tasks'!$P$7:$P$246,'Tasks'!$C$7:$C$246,$A167,'Tasks'!$K$7:$K$246,$D167,'Tasks'!$F$7:$F$246,$B167)</x:f>
        <x:v>424812</x:v>
      </x:c>
      <x:c r="H167" s="17" t="n">
        <x:f>SUMIFS('Tasks'!$Q$7:$Q$246,'Tasks'!$C$7:$C$246,$A167,'Tasks'!$K$7:$K$246,$D167,'Tasks'!$F$7:$F$246,$B167)</x:f>
        <x:v>2028595</x:v>
      </x:c>
      <x:c r="I167" s="22" t="n">
        <x:f>SUMIFS('Tasks'!$S$7:$S$246,'Tasks'!$C$7:$C$246,$A167,'Tasks'!$K$7:$K$246,$D167,'Tasks'!$F$7:$F$246,$B167)</x:f>
        <x:v>35.41078</x:v>
      </x:c>
      <x:c r="J167" s="22" t="n">
        <x:f>SUMIFS('Tasks'!$T$7:$T$246,'Tasks'!$C$7:$C$246,$A167,'Tasks'!$K$7:$K$246,$D167,'Tasks'!$F$7:$F$246,$B167)</x:f>
        <x:v>25.554360000000003</x:v>
      </x:c>
      <x:c r="K167" s="22" t="n">
        <x:f>SUMIFS('Tasks'!$U$7:$U$246,'Tasks'!$C$7:$C$246,$A167,'Tasks'!$K$7:$K$246,$D167,'Tasks'!$F$7:$F$246,$B167)</x:f>
        <x:v>60.965140000000005</x:v>
      </x:c>
      <x:c r="L167" s="17" t="n">
        <x:f>SUMIFS('Tasks'!$R$7:$R$246,'Tasks'!$C$7:$C$246,$A167,'Tasks'!$K$7:$K$246,$D167,'Tasks'!$F$7:$F$246,$B167)</x:f>
        <x:v>76</x:v>
      </x:c>
      <x:c r="M167" s="22" t="n">
        <x:f>IF(L167=0,"N/A",K167/L167)</x:f>
        <x:v>0.8021728947368422</x:v>
      </x:c>
      <x:c r="N167" s="19" t="n">
        <x:f>SUMIFS('Tasks'!$G$7:$G$246,'Tasks'!$C$7:$C$246,$A167,'Tasks'!$K$7:$K$246,$D167,'Tasks'!$F$7:$F$246,$B167)</x:f>
        <x:v>19.71</x:v>
      </x:c>
      <x:c r="O167" s="19" t="n">
        <x:f>SUMIFS('Tasks'!$H$7:$H$246,'Tasks'!$C$7:$C$246,$A167,'Tasks'!$K$7:$K$246,$D167,'Tasks'!$F$7:$F$246,$B167)</x:f>
        <x:v>15.440000000000001</x:v>
      </x:c>
      <x:c r="P167" s="19" t="n">
        <x:f>SUMIFS('Tasks'!$Y$7:$Y$246,'Tasks'!$C$7:$C$246,$A167,'Tasks'!$K$7:$K$246,$D167,'Tasks'!$F$7:$F$246,$B167)</x:f>
        <x:v>4.2700000000000005</x:v>
      </x:c>
      <x:c r="Q167" s="22" t="n">
        <x:f>SUMIFS('Tasks'!$Z$7:$Z$246,'Tasks'!$C$7:$C$246,$A167,'Tasks'!$K$7:$K$246,$D167,'Tasks'!$F$7:$F$246,$B167)</x:f>
        <x:v>213.5</x:v>
      </x:c>
      <x:c r="R167" s="22" t="n">
        <x:f>SUMIFS('Tasks'!$AA$7:$AA$246,'Tasks'!$C$7:$C$246,$A167,'Tasks'!$K$7:$K$246,$D167,'Tasks'!$F$7:$F$246,$B167)</x:f>
        <x:v>152.53486</x:v>
      </x:c>
      <x:c r="S167" s="31" t="n">
        <x:f>IF(K167=0,"N/A",R167/K167)</x:f>
        <x:v>2.5020013076325256</x:v>
      </x:c>
      <x:c r="T167" s="19" t="n">
        <x:f>SUMIFS('Tasks'!$I$7:$I$246,'Tasks'!$C$7:$C$246,$A167,'Tasks'!$K$7:$K$246,$D167,'Tasks'!$F$7:$F$246,$B167)</x:f>
        <x:v>0.96</x:v>
      </x:c>
      <x:c r="U167" s="31" t="n">
        <x:f>IF(O167=0,"N/A",T167/O167)</x:f>
        <x:v>0.0621761658031088</x:v>
      </x:c>
      <x:c r="V167" s="17" t="n">
        <x:f>SUMIFS('Tasks'!$X$7:$X$246,'Tasks'!$C$7:$C$246,$A167,'Tasks'!$K$7:$K$246,$D167,'Tasks'!$F$7:$F$246,$B167)</x:f>
        <x:v>16</x:v>
      </x:c>
      <x:c r="W167" s="31" t="n">
        <x:f>IF(L167=0,"N/A",V167/L167)</x:f>
        <x:v>0.21052631578947367</x:v>
      </x:c>
      <x:c r="X167" s="17" t="n">
        <x:f>COUNTIFS('Tasks'!$C$7:$C$246,$A167,'Tasks'!$K$7:$K$246,$D167,'Tasks'!$F$7:$F$246,$B167,'Tasks'!$L$7:$L$246,"Yes")</x:f>
        <x:v>4</x:v>
      </x:c>
      <x:c r="Y167" s="17" t="n">
        <x:f>COUNTIFS('Tasks'!$C$7:$C$246,$A167,'Tasks'!$K$7:$K$246,$D167,'Tasks'!$F$7:$F$246,$B167,'Tasks'!$K$7:$K$246,"Yes")</x:f>
        <x:v>0</x:v>
      </x:c>
      <x:c r="Z167" s="17" t="n">
        <x:f>COUNTIFS('Tasks'!$C$7:$C$246,$A167,'Tasks'!$K$7:$K$246,$D167,'Tasks'!$F$7:$F$246,$B167,'Tasks'!$AA$7:$AA$246,"&gt;0")</x:f>
        <x:v>3</x:v>
      </x:c>
      <x:c r="AA167" s="17" t="n">
        <x:f>COUNTIFS('Tasks'!$C$7:$C$246,$A167,'Tasks'!$K$7:$K$246,$D167,'Tasks'!$F$7:$F$246,$B167,'Tasks'!$AA$7:$AA$246,"&lt;0")</x:f>
        <x:v>2</x:v>
      </x:c>
      <x:c r="AB167" s="19" t="n">
        <x:f>IF(E167=0,"N/A",V167/E167)</x:f>
        <x:v>3.2</x:v>
      </x:c>
      <x:c r="AC167" s="22" t="n">
        <x:f>IF(E167=0,"N/A",K167/E167)</x:f>
        <x:v>12.193028000000002</x:v>
      </x:c>
      <x:c r="AD167" s="19" t="n">
        <x:f>IF(E167=0,"N/A",P167/E167)</x:f>
        <x:v>0.8540000000000001</x:v>
      </x:c>
    </x:row>
    <x:row r="168" ht="23" customHeight="1">
      <x:c r="A168" s="17" t="str">
        <x:v>C004</x:v>
      </x:c>
      <x:c r="B168" s="17" t="str">
        <x:v>Plan visual narrative</x:v>
      </x:c>
      <x:c r="C168" s="17" t="str">
        <x:v>prompt_template_used</x:v>
      </x:c>
      <x:c r="D168" s="17" t="str">
        <x:v>No</x:v>
      </x:c>
      <x:c r="E168" s="17" t="n">
        <x:f>COUNTIFS('Tasks'!$C$7:$C$246,$A168,'Tasks'!$L$7:$L$246,$D168,'Tasks'!$F$7:$F$246,$B168)</x:f>
        <x:v>1</x:v>
      </x:c>
      <x:c r="F168" s="17" t="n">
        <x:f>SUMIFS('Tasks'!$O$7:$O$246,'Tasks'!$C$7:$C$246,$A168,'Tasks'!$L$7:$L$246,$D168,'Tasks'!$F$7:$F$246,$B168)</x:f>
        <x:v>306113</x:v>
      </x:c>
      <x:c r="G168" s="17" t="n">
        <x:f>SUMIFS('Tasks'!$P$7:$P$246,'Tasks'!$C$7:$C$246,$A168,'Tasks'!$L$7:$L$246,$D168,'Tasks'!$F$7:$F$246,$B168)</x:f>
        <x:v>109896</x:v>
      </x:c>
      <x:c r="H168" s="17" t="n">
        <x:f>SUMIFS('Tasks'!$Q$7:$Q$246,'Tasks'!$C$7:$C$246,$A168,'Tasks'!$L$7:$L$246,$D168,'Tasks'!$F$7:$F$246,$B168)</x:f>
        <x:v>416009</x:v>
      </x:c>
      <x:c r="I168" s="22" t="n">
        <x:f>SUMIFS('Tasks'!$S$7:$S$246,'Tasks'!$C$7:$C$246,$A168,'Tasks'!$L$7:$L$246,$D168,'Tasks'!$F$7:$F$246,$B168)</x:f>
        <x:v>3.0611299999999995</x:v>
      </x:c>
      <x:c r="J168" s="22" t="n">
        <x:f>SUMIFS('Tasks'!$T$7:$T$246,'Tasks'!$C$7:$C$246,$A168,'Tasks'!$L$7:$L$246,$D168,'Tasks'!$F$7:$F$246,$B168)</x:f>
        <x:v>3.29688</x:v>
      </x:c>
      <x:c r="K168" s="22" t="n">
        <x:f>SUMIFS('Tasks'!$U$7:$U$246,'Tasks'!$C$7:$C$246,$A168,'Tasks'!$L$7:$L$246,$D168,'Tasks'!$F$7:$F$246,$B168)</x:f>
        <x:v>6.358010000000001</x:v>
      </x:c>
      <x:c r="L168" s="17" t="n">
        <x:f>SUMIFS('Tasks'!$R$7:$R$246,'Tasks'!$C$7:$C$246,$A168,'Tasks'!$L$7:$L$246,$D168,'Tasks'!$F$7:$F$246,$B168)</x:f>
        <x:v>19</x:v>
      </x:c>
      <x:c r="M168" s="22" t="n">
        <x:f>IF(L168=0,"N/A",K168/L168)</x:f>
        <x:v>0.33463210526315795</x:v>
      </x:c>
      <x:c r="N168" s="19" t="n">
        <x:f>SUMIFS('Tasks'!$G$7:$G$246,'Tasks'!$C$7:$C$246,$A168,'Tasks'!$L$7:$L$246,$D168,'Tasks'!$F$7:$F$246,$B168)</x:f>
        <x:v>3.66</x:v>
      </x:c>
      <x:c r="O168" s="19" t="n">
        <x:f>SUMIFS('Tasks'!$H$7:$H$246,'Tasks'!$C$7:$C$246,$A168,'Tasks'!$L$7:$L$246,$D168,'Tasks'!$F$7:$F$246,$B168)</x:f>
        <x:v>4.46</x:v>
      </x:c>
      <x:c r="P168" s="19" t="n">
        <x:f>SUMIFS('Tasks'!$Y$7:$Y$246,'Tasks'!$C$7:$C$246,$A168,'Tasks'!$L$7:$L$246,$D168,'Tasks'!$F$7:$F$246,$B168)</x:f>
        <x:v>-0.7999999999999998</x:v>
      </x:c>
      <x:c r="Q168" s="22" t="n">
        <x:f>SUMIFS('Tasks'!$Z$7:$Z$246,'Tasks'!$C$7:$C$246,$A168,'Tasks'!$L$7:$L$246,$D168,'Tasks'!$F$7:$F$246,$B168)</x:f>
        <x:v>-39.99999999999999</x:v>
      </x:c>
      <x:c r="R168" s="22" t="n">
        <x:f>SUMIFS('Tasks'!$AA$7:$AA$246,'Tasks'!$C$7:$C$246,$A168,'Tasks'!$L$7:$L$246,$D168,'Tasks'!$F$7:$F$246,$B168)</x:f>
        <x:v>-46.35800999999999</x:v>
      </x:c>
      <x:c r="S168" s="31" t="n">
        <x:f>IF(K168=0,"N/A",R168/K168)</x:f>
        <x:v>-7.291276673047068</x:v>
      </x:c>
      <x:c r="T168" s="19" t="n">
        <x:f>SUMIFS('Tasks'!$I$7:$I$246,'Tasks'!$C$7:$C$246,$A168,'Tasks'!$L$7:$L$246,$D168,'Tasks'!$F$7:$F$246,$B168)</x:f>
        <x:v>0.1</x:v>
      </x:c>
      <x:c r="U168" s="31" t="n">
        <x:f>IF(O168=0,"N/A",T168/O168)</x:f>
        <x:v>0.022421524663677132</x:v>
      </x:c>
      <x:c r="V168" s="17" t="n">
        <x:f>SUMIFS('Tasks'!$X$7:$X$246,'Tasks'!$C$7:$C$246,$A168,'Tasks'!$L$7:$L$246,$D168,'Tasks'!$F$7:$F$246,$B168)</x:f>
        <x:v>5</x:v>
      </x:c>
      <x:c r="W168" s="31" t="n">
        <x:f>IF(L168=0,"N/A",V168/L168)</x:f>
        <x:v>0.2631578947368421</x:v>
      </x:c>
      <x:c r="X168" s="17" t="n">
        <x:f>COUNTIFS('Tasks'!$C$7:$C$246,$A168,'Tasks'!$L$7:$L$246,$D168,'Tasks'!$F$7:$F$246,$B168,'Tasks'!$L$7:$L$246,"Yes")</x:f>
        <x:v>0</x:v>
      </x:c>
      <x:c r="Y168" s="17" t="n">
        <x:f>COUNTIFS('Tasks'!$C$7:$C$246,$A168,'Tasks'!$L$7:$L$246,$D168,'Tasks'!$F$7:$F$246,$B168,'Tasks'!$K$7:$K$246,"Yes")</x:f>
        <x:v>0</x:v>
      </x:c>
      <x:c r="Z168" s="17" t="n">
        <x:f>COUNTIFS('Tasks'!$C$7:$C$246,$A168,'Tasks'!$L$7:$L$246,$D168,'Tasks'!$F$7:$F$246,$B168,'Tasks'!$AA$7:$AA$246,"&gt;0")</x:f>
        <x:v>0</x:v>
      </x:c>
      <x:c r="AA168" s="17" t="n">
        <x:f>COUNTIFS('Tasks'!$C$7:$C$246,$A168,'Tasks'!$L$7:$L$246,$D168,'Tasks'!$F$7:$F$246,$B168,'Tasks'!$AA$7:$AA$246,"&lt;0")</x:f>
        <x:v>1</x:v>
      </x:c>
      <x:c r="AB168" s="19" t="n">
        <x:f>IF(E168=0,"N/A",V168/E168)</x:f>
        <x:v>5</x:v>
      </x:c>
      <x:c r="AC168" s="22" t="n">
        <x:f>IF(E168=0,"N/A",K168/E168)</x:f>
        <x:v>6.358010000000001</x:v>
      </x:c>
      <x:c r="AD168" s="19" t="n">
        <x:f>IF(E168=0,"N/A",P168/E168)</x:f>
        <x:v>-0.7999999999999998</x:v>
      </x:c>
    </x:row>
    <x:row r="169" ht="23" customHeight="1">
      <x:c r="A169" s="17" t="str">
        <x:v>C004</x:v>
      </x:c>
      <x:c r="B169" s="17" t="str">
        <x:v>Plan visual narrative</x:v>
      </x:c>
      <x:c r="C169" s="17" t="str">
        <x:v>prompt_template_used</x:v>
      </x:c>
      <x:c r="D169" s="17" t="str">
        <x:v>Yes</x:v>
      </x:c>
      <x:c r="E169" s="17" t="n">
        <x:f>COUNTIFS('Tasks'!$C$7:$C$246,$A169,'Tasks'!$L$7:$L$246,$D169,'Tasks'!$F$7:$F$246,$B169)</x:f>
        <x:v>4</x:v>
      </x:c>
      <x:c r="F169" s="17" t="n">
        <x:f>SUMIFS('Tasks'!$O$7:$O$246,'Tasks'!$C$7:$C$246,$A169,'Tasks'!$L$7:$L$246,$D169,'Tasks'!$F$7:$F$246,$B169)</x:f>
        <x:v>933317</x:v>
      </x:c>
      <x:c r="G169" s="17" t="n">
        <x:f>SUMIFS('Tasks'!$P$7:$P$246,'Tasks'!$C$7:$C$246,$A169,'Tasks'!$L$7:$L$246,$D169,'Tasks'!$F$7:$F$246,$B169)</x:f>
        <x:v>242326</x:v>
      </x:c>
      <x:c r="H169" s="17" t="n">
        <x:f>SUMIFS('Tasks'!$Q$7:$Q$246,'Tasks'!$C$7:$C$246,$A169,'Tasks'!$L$7:$L$246,$D169,'Tasks'!$F$7:$F$246,$B169)</x:f>
        <x:v>1175643</x:v>
      </x:c>
      <x:c r="I169" s="22" t="n">
        <x:f>SUMIFS('Tasks'!$S$7:$S$246,'Tasks'!$C$7:$C$246,$A169,'Tasks'!$L$7:$L$246,$D169,'Tasks'!$F$7:$F$246,$B169)</x:f>
        <x:v>9.33317</x:v>
      </x:c>
      <x:c r="J169" s="22" t="n">
        <x:f>SUMIFS('Tasks'!$T$7:$T$246,'Tasks'!$C$7:$C$246,$A169,'Tasks'!$L$7:$L$246,$D169,'Tasks'!$F$7:$F$246,$B169)</x:f>
        <x:v>7.26978</x:v>
      </x:c>
      <x:c r="K169" s="22" t="n">
        <x:f>SUMIFS('Tasks'!$U$7:$U$246,'Tasks'!$C$7:$C$246,$A169,'Tasks'!$L$7:$L$246,$D169,'Tasks'!$F$7:$F$246,$B169)</x:f>
        <x:v>16.60295</x:v>
      </x:c>
      <x:c r="L169" s="17" t="n">
        <x:f>SUMIFS('Tasks'!$R$7:$R$246,'Tasks'!$C$7:$C$246,$A169,'Tasks'!$L$7:$L$246,$D169,'Tasks'!$F$7:$F$246,$B169)</x:f>
        <x:v>55</x:v>
      </x:c>
      <x:c r="M169" s="22" t="n">
        <x:f>IF(L169=0,"N/A",K169/L169)</x:f>
        <x:v>0.3018718181818182</x:v>
      </x:c>
      <x:c r="N169" s="19" t="n">
        <x:f>SUMIFS('Tasks'!$G$7:$G$246,'Tasks'!$C$7:$C$246,$A169,'Tasks'!$L$7:$L$246,$D169,'Tasks'!$F$7:$F$246,$B169)</x:f>
        <x:v>17.2</x:v>
      </x:c>
      <x:c r="O169" s="19" t="n">
        <x:f>SUMIFS('Tasks'!$H$7:$H$246,'Tasks'!$C$7:$C$246,$A169,'Tasks'!$L$7:$L$246,$D169,'Tasks'!$F$7:$F$246,$B169)</x:f>
        <x:v>11.56</x:v>
      </x:c>
      <x:c r="P169" s="19" t="n">
        <x:f>SUMIFS('Tasks'!$Y$7:$Y$246,'Tasks'!$C$7:$C$246,$A169,'Tasks'!$L$7:$L$246,$D169,'Tasks'!$F$7:$F$246,$B169)</x:f>
        <x:v>5.639999999999999</x:v>
      </x:c>
      <x:c r="Q169" s="22" t="n">
        <x:f>SUMIFS('Tasks'!$Z$7:$Z$246,'Tasks'!$C$7:$C$246,$A169,'Tasks'!$L$7:$L$246,$D169,'Tasks'!$F$7:$F$246,$B169)</x:f>
        <x:v>282</x:v>
      </x:c>
      <x:c r="R169" s="22" t="n">
        <x:f>SUMIFS('Tasks'!$AA$7:$AA$246,'Tasks'!$C$7:$C$246,$A169,'Tasks'!$L$7:$L$246,$D169,'Tasks'!$F$7:$F$246,$B169)</x:f>
        <x:v>265.39705</x:v>
      </x:c>
      <x:c r="S169" s="31" t="n">
        <x:f>IF(K169=0,"N/A",R169/K169)</x:f>
        <x:v>15.98493340038969</x:v>
      </x:c>
      <x:c r="T169" s="19" t="n">
        <x:f>SUMIFS('Tasks'!$I$7:$I$246,'Tasks'!$C$7:$C$246,$A169,'Tasks'!$L$7:$L$246,$D169,'Tasks'!$F$7:$F$246,$B169)</x:f>
        <x:v>0.8199999999999998</x:v>
      </x:c>
      <x:c r="U169" s="31" t="n">
        <x:f>IF(O169=0,"N/A",T169/O169)</x:f>
        <x:v>0.0709342560553633</x:v>
      </x:c>
      <x:c r="V169" s="17" t="n">
        <x:f>SUMIFS('Tasks'!$X$7:$X$246,'Tasks'!$C$7:$C$246,$A169,'Tasks'!$L$7:$L$246,$D169,'Tasks'!$F$7:$F$246,$B169)</x:f>
        <x:v>13</x:v>
      </x:c>
      <x:c r="W169" s="31" t="n">
        <x:f>IF(L169=0,"N/A",V169/L169)</x:f>
        <x:v>0.23636363636363636</x:v>
      </x:c>
      <x:c r="X169" s="17" t="n">
        <x:f>COUNTIFS('Tasks'!$C$7:$C$246,$A169,'Tasks'!$L$7:$L$246,$D169,'Tasks'!$F$7:$F$246,$B169,'Tasks'!$L$7:$L$246,"Yes")</x:f>
        <x:v>4</x:v>
      </x:c>
      <x:c r="Y169" s="17" t="n">
        <x:f>COUNTIFS('Tasks'!$C$7:$C$246,$A169,'Tasks'!$L$7:$L$246,$D169,'Tasks'!$F$7:$F$246,$B169,'Tasks'!$K$7:$K$246,"Yes")</x:f>
        <x:v>1</x:v>
      </x:c>
      <x:c r="Z169" s="17" t="n">
        <x:f>COUNTIFS('Tasks'!$C$7:$C$246,$A169,'Tasks'!$L$7:$L$246,$D169,'Tasks'!$F$7:$F$246,$B169,'Tasks'!$AA$7:$AA$246,"&gt;0")</x:f>
        <x:v>4</x:v>
      </x:c>
      <x:c r="AA169" s="17" t="n">
        <x:f>COUNTIFS('Tasks'!$C$7:$C$246,$A169,'Tasks'!$L$7:$L$246,$D169,'Tasks'!$F$7:$F$246,$B169,'Tasks'!$AA$7:$AA$246,"&lt;0")</x:f>
        <x:v>0</x:v>
      </x:c>
      <x:c r="AB169" s="19" t="n">
        <x:f>IF(E169=0,"N/A",V169/E169)</x:f>
        <x:v>3.25</x:v>
      </x:c>
      <x:c r="AC169" s="22" t="n">
        <x:f>IF(E169=0,"N/A",K169/E169)</x:f>
        <x:v>4.1507375</x:v>
      </x:c>
      <x:c r="AD169" s="19" t="n">
        <x:f>IF(E169=0,"N/A",P169/E169)</x:f>
        <x:v>1.4099999999999997</x:v>
      </x:c>
    </x:row>
    <x:row r="170" ht="23" customHeight="1">
      <x:c r="A170" s="17" t="str">
        <x:v>C004</x:v>
      </x:c>
      <x:c r="B170" s="17" t="str">
        <x:v>Plan visual narrative</x:v>
      </x:c>
      <x:c r="C170" s="17" t="str">
        <x:v>brief_changed</x:v>
      </x:c>
      <x:c r="D170" s="17" t="str">
        <x:v>No</x:v>
      </x:c>
      <x:c r="E170" s="17" t="n">
        <x:f>COUNTIFS('Tasks'!$C$7:$C$246,$A170,'Tasks'!$K$7:$K$246,$D170,'Tasks'!$F$7:$F$246,$B170)</x:f>
        <x:v>4</x:v>
      </x:c>
      <x:c r="F170" s="17" t="n">
        <x:f>SUMIFS('Tasks'!$O$7:$O$246,'Tasks'!$C$7:$C$246,$A170,'Tasks'!$K$7:$K$246,$D170,'Tasks'!$F$7:$F$246,$B170)</x:f>
        <x:v>1034421</x:v>
      </x:c>
      <x:c r="G170" s="17" t="n">
        <x:f>SUMIFS('Tasks'!$P$7:$P$246,'Tasks'!$C$7:$C$246,$A170,'Tasks'!$K$7:$K$246,$D170,'Tasks'!$F$7:$F$246,$B170)</x:f>
        <x:v>278352</x:v>
      </x:c>
      <x:c r="H170" s="17" t="n">
        <x:f>SUMIFS('Tasks'!$Q$7:$Q$246,'Tasks'!$C$7:$C$246,$A170,'Tasks'!$K$7:$K$246,$D170,'Tasks'!$F$7:$F$246,$B170)</x:f>
        <x:v>1312773</x:v>
      </x:c>
      <x:c r="I170" s="22" t="n">
        <x:f>SUMIFS('Tasks'!$S$7:$S$246,'Tasks'!$C$7:$C$246,$A170,'Tasks'!$K$7:$K$246,$D170,'Tasks'!$F$7:$F$246,$B170)</x:f>
        <x:v>10.34421</x:v>
      </x:c>
      <x:c r="J170" s="22" t="n">
        <x:f>SUMIFS('Tasks'!$T$7:$T$246,'Tasks'!$C$7:$C$246,$A170,'Tasks'!$K$7:$K$246,$D170,'Tasks'!$F$7:$F$246,$B170)</x:f>
        <x:v>8.35056</x:v>
      </x:c>
      <x:c r="K170" s="22" t="n">
        <x:f>SUMIFS('Tasks'!$U$7:$U$246,'Tasks'!$C$7:$C$246,$A170,'Tasks'!$K$7:$K$246,$D170,'Tasks'!$F$7:$F$246,$B170)</x:f>
        <x:v>18.694770000000002</x:v>
      </x:c>
      <x:c r="L170" s="17" t="n">
        <x:f>SUMIFS('Tasks'!$R$7:$R$246,'Tasks'!$C$7:$C$246,$A170,'Tasks'!$K$7:$K$246,$D170,'Tasks'!$F$7:$F$246,$B170)</x:f>
        <x:v>59</x:v>
      </x:c>
      <x:c r="M170" s="22" t="n">
        <x:f>IF(L170=0,"N/A",K170/L170)</x:f>
        <x:v>0.3168605084745763</x:v>
      </x:c>
      <x:c r="N170" s="19" t="n">
        <x:f>SUMIFS('Tasks'!$G$7:$G$246,'Tasks'!$C$7:$C$246,$A170,'Tasks'!$K$7:$K$246,$D170,'Tasks'!$F$7:$F$246,$B170)</x:f>
        <x:v>16.43</x:v>
      </x:c>
      <x:c r="O170" s="19" t="n">
        <x:f>SUMIFS('Tasks'!$H$7:$H$246,'Tasks'!$C$7:$C$246,$A170,'Tasks'!$K$7:$K$246,$D170,'Tasks'!$F$7:$F$246,$B170)</x:f>
        <x:v>13.05</x:v>
      </x:c>
      <x:c r="P170" s="19" t="n">
        <x:f>SUMIFS('Tasks'!$Y$7:$Y$246,'Tasks'!$C$7:$C$246,$A170,'Tasks'!$K$7:$K$246,$D170,'Tasks'!$F$7:$F$246,$B170)</x:f>
        <x:v>3.3800000000000003</x:v>
      </x:c>
      <x:c r="Q170" s="22" t="n">
        <x:f>SUMIFS('Tasks'!$Z$7:$Z$246,'Tasks'!$C$7:$C$246,$A170,'Tasks'!$K$7:$K$246,$D170,'Tasks'!$F$7:$F$246,$B170)</x:f>
        <x:v>169</x:v>
      </x:c>
      <x:c r="R170" s="22" t="n">
        <x:f>SUMIFS('Tasks'!$AA$7:$AA$246,'Tasks'!$C$7:$C$246,$A170,'Tasks'!$K$7:$K$246,$D170,'Tasks'!$F$7:$F$246,$B170)</x:f>
        <x:v>150.30523000000002</x:v>
      </x:c>
      <x:c r="S170" s="31" t="n">
        <x:f>IF(K170=0,"N/A",R170/K170)</x:f>
        <x:v>8.03996144376208</x:v>
      </x:c>
      <x:c r="T170" s="19" t="n">
        <x:f>SUMIFS('Tasks'!$I$7:$I$246,'Tasks'!$C$7:$C$246,$A170,'Tasks'!$K$7:$K$246,$D170,'Tasks'!$F$7:$F$246,$B170)</x:f>
        <x:v>0.72</x:v>
      </x:c>
      <x:c r="U170" s="31" t="n">
        <x:f>IF(O170=0,"N/A",T170/O170)</x:f>
        <x:v>0.05517241379310344</x:v>
      </x:c>
      <x:c r="V170" s="17" t="n">
        <x:f>SUMIFS('Tasks'!$X$7:$X$246,'Tasks'!$C$7:$C$246,$A170,'Tasks'!$K$7:$K$246,$D170,'Tasks'!$F$7:$F$246,$B170)</x:f>
        <x:v>15</x:v>
      </x:c>
      <x:c r="W170" s="31" t="n">
        <x:f>IF(L170=0,"N/A",V170/L170)</x:f>
        <x:v>0.2542372881355932</x:v>
      </x:c>
      <x:c r="X170" s="17" t="n">
        <x:f>COUNTIFS('Tasks'!$C$7:$C$246,$A170,'Tasks'!$K$7:$K$246,$D170,'Tasks'!$F$7:$F$246,$B170,'Tasks'!$L$7:$L$246,"Yes")</x:f>
        <x:v>3</x:v>
      </x:c>
      <x:c r="Y170" s="17" t="n">
        <x:f>COUNTIFS('Tasks'!$C$7:$C$246,$A170,'Tasks'!$K$7:$K$246,$D170,'Tasks'!$F$7:$F$246,$B170,'Tasks'!$K$7:$K$246,"Yes")</x:f>
        <x:v>0</x:v>
      </x:c>
      <x:c r="Z170" s="17" t="n">
        <x:f>COUNTIFS('Tasks'!$C$7:$C$246,$A170,'Tasks'!$K$7:$K$246,$D170,'Tasks'!$F$7:$F$246,$B170,'Tasks'!$AA$7:$AA$246,"&gt;0")</x:f>
        <x:v>3</x:v>
      </x:c>
      <x:c r="AA170" s="17" t="n">
        <x:f>COUNTIFS('Tasks'!$C$7:$C$246,$A170,'Tasks'!$K$7:$K$246,$D170,'Tasks'!$F$7:$F$246,$B170,'Tasks'!$AA$7:$AA$246,"&lt;0")</x:f>
        <x:v>1</x:v>
      </x:c>
      <x:c r="AB170" s="19" t="n">
        <x:f>IF(E170=0,"N/A",V170/E170)</x:f>
        <x:v>3.75</x:v>
      </x:c>
      <x:c r="AC170" s="22" t="n">
        <x:f>IF(E170=0,"N/A",K170/E170)</x:f>
        <x:v>4.6736925000000005</x:v>
      </x:c>
      <x:c r="AD170" s="19" t="n">
        <x:f>IF(E170=0,"N/A",P170/E170)</x:f>
        <x:v>0.8450000000000001</x:v>
      </x:c>
    </x:row>
    <x:row r="171" ht="23" customHeight="1">
      <x:c r="A171" s="17" t="str">
        <x:v>C004</x:v>
      </x:c>
      <x:c r="B171" s="17" t="str">
        <x:v>Plan visual narrative</x:v>
      </x:c>
      <x:c r="C171" s="17" t="str">
        <x:v>brief_changed</x:v>
      </x:c>
      <x:c r="D171" s="17" t="str">
        <x:v>Yes</x:v>
      </x:c>
      <x:c r="E171" s="17" t="n">
        <x:f>COUNTIFS('Tasks'!$C$7:$C$246,$A171,'Tasks'!$K$7:$K$246,$D171,'Tasks'!$F$7:$F$246,$B171)</x:f>
        <x:v>1</x:v>
      </x:c>
      <x:c r="F171" s="17" t="n">
        <x:f>SUMIFS('Tasks'!$O$7:$O$246,'Tasks'!$C$7:$C$246,$A171,'Tasks'!$K$7:$K$246,$D171,'Tasks'!$F$7:$F$246,$B171)</x:f>
        <x:v>205009</x:v>
      </x:c>
      <x:c r="G171" s="17" t="n">
        <x:f>SUMIFS('Tasks'!$P$7:$P$246,'Tasks'!$C$7:$C$246,$A171,'Tasks'!$K$7:$K$246,$D171,'Tasks'!$F$7:$F$246,$B171)</x:f>
        <x:v>73870</x:v>
      </x:c>
      <x:c r="H171" s="17" t="n">
        <x:f>SUMIFS('Tasks'!$Q$7:$Q$246,'Tasks'!$C$7:$C$246,$A171,'Tasks'!$K$7:$K$246,$D171,'Tasks'!$F$7:$F$246,$B171)</x:f>
        <x:v>278879</x:v>
      </x:c>
      <x:c r="I171" s="22" t="n">
        <x:f>SUMIFS('Tasks'!$S$7:$S$246,'Tasks'!$C$7:$C$246,$A171,'Tasks'!$K$7:$K$246,$D171,'Tasks'!$F$7:$F$246,$B171)</x:f>
        <x:v>2.05009</x:v>
      </x:c>
      <x:c r="J171" s="22" t="n">
        <x:f>SUMIFS('Tasks'!$T$7:$T$246,'Tasks'!$C$7:$C$246,$A171,'Tasks'!$K$7:$K$246,$D171,'Tasks'!$F$7:$F$246,$B171)</x:f>
        <x:v>2.2161</x:v>
      </x:c>
      <x:c r="K171" s="22" t="n">
        <x:f>SUMIFS('Tasks'!$U$7:$U$246,'Tasks'!$C$7:$C$246,$A171,'Tasks'!$K$7:$K$246,$D171,'Tasks'!$F$7:$F$246,$B171)</x:f>
        <x:v>4.26619</x:v>
      </x:c>
      <x:c r="L171" s="17" t="n">
        <x:f>SUMIFS('Tasks'!$R$7:$R$246,'Tasks'!$C$7:$C$246,$A171,'Tasks'!$K$7:$K$246,$D171,'Tasks'!$F$7:$F$246,$B171)</x:f>
        <x:v>15</x:v>
      </x:c>
      <x:c r="M171" s="22" t="n">
        <x:f>IF(L171=0,"N/A",K171/L171)</x:f>
        <x:v>0.28441266666666665</x:v>
      </x:c>
      <x:c r="N171" s="19" t="n">
        <x:f>SUMIFS('Tasks'!$G$7:$G$246,'Tasks'!$C$7:$C$246,$A171,'Tasks'!$K$7:$K$246,$D171,'Tasks'!$F$7:$F$246,$B171)</x:f>
        <x:v>4.43</x:v>
      </x:c>
      <x:c r="O171" s="19" t="n">
        <x:f>SUMIFS('Tasks'!$H$7:$H$246,'Tasks'!$C$7:$C$246,$A171,'Tasks'!$K$7:$K$246,$D171,'Tasks'!$F$7:$F$246,$B171)</x:f>
        <x:v>2.97</x:v>
      </x:c>
      <x:c r="P171" s="19" t="n">
        <x:f>SUMIFS('Tasks'!$Y$7:$Y$246,'Tasks'!$C$7:$C$246,$A171,'Tasks'!$K$7:$K$246,$D171,'Tasks'!$F$7:$F$246,$B171)</x:f>
        <x:v>1.4599999999999995</x:v>
      </x:c>
      <x:c r="Q171" s="22" t="n">
        <x:f>SUMIFS('Tasks'!$Z$7:$Z$246,'Tasks'!$C$7:$C$246,$A171,'Tasks'!$K$7:$K$246,$D171,'Tasks'!$F$7:$F$246,$B171)</x:f>
        <x:v>72.99999999999997</x:v>
      </x:c>
      <x:c r="R171" s="22" t="n">
        <x:f>SUMIFS('Tasks'!$AA$7:$AA$246,'Tasks'!$C$7:$C$246,$A171,'Tasks'!$K$7:$K$246,$D171,'Tasks'!$F$7:$F$246,$B171)</x:f>
        <x:v>68.73380999999998</x:v>
      </x:c>
      <x:c r="S171" s="31" t="n">
        <x:f>IF(K171=0,"N/A",R171/K171)</x:f>
        <x:v>16.1112866515556</x:v>
      </x:c>
      <x:c r="T171" s="19" t="n">
        <x:f>SUMIFS('Tasks'!$I$7:$I$246,'Tasks'!$C$7:$C$246,$A171,'Tasks'!$K$7:$K$246,$D171,'Tasks'!$F$7:$F$246,$B171)</x:f>
        <x:v>0.2</x:v>
      </x:c>
      <x:c r="U171" s="31" t="n">
        <x:f>IF(O171=0,"N/A",T171/O171)</x:f>
        <x:v>0.06734006734006734</x:v>
      </x:c>
      <x:c r="V171" s="17" t="n">
        <x:f>SUMIFS('Tasks'!$X$7:$X$246,'Tasks'!$C$7:$C$246,$A171,'Tasks'!$K$7:$K$246,$D171,'Tasks'!$F$7:$F$246,$B171)</x:f>
        <x:v>3</x:v>
      </x:c>
      <x:c r="W171" s="31" t="n">
        <x:f>IF(L171=0,"N/A",V171/L171)</x:f>
        <x:v>0.2</x:v>
      </x:c>
      <x:c r="X171" s="17" t="n">
        <x:f>COUNTIFS('Tasks'!$C$7:$C$246,$A171,'Tasks'!$K$7:$K$246,$D171,'Tasks'!$F$7:$F$246,$B171,'Tasks'!$L$7:$L$246,"Yes")</x:f>
        <x:v>1</x:v>
      </x:c>
      <x:c r="Y171" s="17" t="n">
        <x:f>COUNTIFS('Tasks'!$C$7:$C$246,$A171,'Tasks'!$K$7:$K$246,$D171,'Tasks'!$F$7:$F$246,$B171,'Tasks'!$K$7:$K$246,"Yes")</x:f>
        <x:v>1</x:v>
      </x:c>
      <x:c r="Z171" s="17" t="n">
        <x:f>COUNTIFS('Tasks'!$C$7:$C$246,$A171,'Tasks'!$K$7:$K$246,$D171,'Tasks'!$F$7:$F$246,$B171,'Tasks'!$AA$7:$AA$246,"&gt;0")</x:f>
        <x:v>1</x:v>
      </x:c>
      <x:c r="AA171" s="17" t="n">
        <x:f>COUNTIFS('Tasks'!$C$7:$C$246,$A171,'Tasks'!$K$7:$K$246,$D171,'Tasks'!$F$7:$F$246,$B171,'Tasks'!$AA$7:$AA$246,"&lt;0")</x:f>
        <x:v>0</x:v>
      </x:c>
      <x:c r="AB171" s="19" t="n">
        <x:f>IF(E171=0,"N/A",V171/E171)</x:f>
        <x:v>3</x:v>
      </x:c>
      <x:c r="AC171" s="22" t="n">
        <x:f>IF(E171=0,"N/A",K171/E171)</x:f>
        <x:v>4.26619</x:v>
      </x:c>
      <x:c r="AD171" s="19" t="n">
        <x:f>IF(E171=0,"N/A",P171/E171)</x:f>
        <x:v>1.4599999999999995</x:v>
      </x:c>
    </x:row>
    <x:row r="172" ht="23" customHeight="1">
      <x:c r="A172" s="17" t="str">
        <x:v>C004</x:v>
      </x:c>
      <x:c r="B172" s="17" t="str">
        <x:v>Prepare launch checklist</x:v>
      </x:c>
      <x:c r="C172" s="17" t="str">
        <x:v>prompt_template_used</x:v>
      </x:c>
      <x:c r="D172" s="17" t="str">
        <x:v>No</x:v>
      </x:c>
      <x:c r="E172" s="17" t="n">
        <x:f>COUNTIFS('Tasks'!$C$7:$C$246,$A172,'Tasks'!$L$7:$L$246,$D172,'Tasks'!$F$7:$F$246,$B172)</x:f>
        <x:v>2</x:v>
      </x:c>
      <x:c r="F172" s="17" t="n">
        <x:f>SUMIFS('Tasks'!$O$7:$O$246,'Tasks'!$C$7:$C$246,$A172,'Tasks'!$L$7:$L$246,$D172,'Tasks'!$F$7:$F$246,$B172)</x:f>
        <x:v>396637</x:v>
      </x:c>
      <x:c r="G172" s="17" t="n">
        <x:f>SUMIFS('Tasks'!$P$7:$P$246,'Tasks'!$C$7:$C$246,$A172,'Tasks'!$L$7:$L$246,$D172,'Tasks'!$F$7:$F$246,$B172)</x:f>
        <x:v>223739</x:v>
      </x:c>
      <x:c r="H172" s="17" t="n">
        <x:f>SUMIFS('Tasks'!$Q$7:$Q$246,'Tasks'!$C$7:$C$246,$A172,'Tasks'!$L$7:$L$246,$D172,'Tasks'!$F$7:$F$246,$B172)</x:f>
        <x:v>620376</x:v>
      </x:c>
      <x:c r="I172" s="22" t="n">
        <x:f>SUMIFS('Tasks'!$S$7:$S$246,'Tasks'!$C$7:$C$246,$A172,'Tasks'!$L$7:$L$246,$D172,'Tasks'!$F$7:$F$246,$B172)</x:f>
        <x:v>15.865479999999998</x:v>
      </x:c>
      <x:c r="J172" s="22" t="n">
        <x:f>SUMIFS('Tasks'!$T$7:$T$246,'Tasks'!$C$7:$C$246,$A172,'Tasks'!$L$7:$L$246,$D172,'Tasks'!$F$7:$F$246,$B172)</x:f>
        <x:v>22.3739</x:v>
      </x:c>
      <x:c r="K172" s="22" t="n">
        <x:f>SUMIFS('Tasks'!$U$7:$U$246,'Tasks'!$C$7:$C$246,$A172,'Tasks'!$L$7:$L$246,$D172,'Tasks'!$F$7:$F$246,$B172)</x:f>
        <x:v>38.23938</x:v>
      </x:c>
      <x:c r="L172" s="17" t="n">
        <x:f>SUMIFS('Tasks'!$R$7:$R$246,'Tasks'!$C$7:$C$246,$A172,'Tasks'!$L$7:$L$246,$D172,'Tasks'!$F$7:$F$246,$B172)</x:f>
        <x:v>23</x:v>
      </x:c>
      <x:c r="M172" s="22" t="n">
        <x:f>IF(L172=0,"N/A",K172/L172)</x:f>
        <x:v>1.6625817391304347</x:v>
      </x:c>
      <x:c r="N172" s="19" t="n">
        <x:f>SUMIFS('Tasks'!$G$7:$G$246,'Tasks'!$C$7:$C$246,$A172,'Tasks'!$L$7:$L$246,$D172,'Tasks'!$F$7:$F$246,$B172)</x:f>
        <x:v>11.07</x:v>
      </x:c>
      <x:c r="O172" s="19" t="n">
        <x:f>SUMIFS('Tasks'!$H$7:$H$246,'Tasks'!$C$7:$C$246,$A172,'Tasks'!$L$7:$L$246,$D172,'Tasks'!$F$7:$F$246,$B172)</x:f>
        <x:v>10.07</x:v>
      </x:c>
      <x:c r="P172" s="19" t="n">
        <x:f>SUMIFS('Tasks'!$Y$7:$Y$246,'Tasks'!$C$7:$C$246,$A172,'Tasks'!$L$7:$L$246,$D172,'Tasks'!$F$7:$F$246,$B172)</x:f>
        <x:v>0.9999999999999996</x:v>
      </x:c>
      <x:c r="Q172" s="22" t="n">
        <x:f>SUMIFS('Tasks'!$Z$7:$Z$246,'Tasks'!$C$7:$C$246,$A172,'Tasks'!$L$7:$L$246,$D172,'Tasks'!$F$7:$F$246,$B172)</x:f>
        <x:v>49.999999999999986</x:v>
      </x:c>
      <x:c r="R172" s="22" t="n">
        <x:f>SUMIFS('Tasks'!$AA$7:$AA$246,'Tasks'!$C$7:$C$246,$A172,'Tasks'!$L$7:$L$246,$D172,'Tasks'!$F$7:$F$246,$B172)</x:f>
        <x:v>11.760619999999989</x:v>
      </x:c>
      <x:c r="S172" s="31" t="n">
        <x:f>IF(K172=0,"N/A",R172/K172)</x:f>
        <x:v>0.30755258061192386</x:v>
      </x:c>
      <x:c r="T172" s="19" t="n">
        <x:f>SUMIFS('Tasks'!$I$7:$I$246,'Tasks'!$C$7:$C$246,$A172,'Tasks'!$L$7:$L$246,$D172,'Tasks'!$F$7:$F$246,$B172)</x:f>
        <x:v>1.55</x:v>
      </x:c>
      <x:c r="U172" s="31" t="n">
        <x:f>IF(O172=0,"N/A",T172/O172)</x:f>
        <x:v>0.15392254220456802</x:v>
      </x:c>
      <x:c r="V172" s="17" t="n">
        <x:f>SUMIFS('Tasks'!$X$7:$X$246,'Tasks'!$C$7:$C$246,$A172,'Tasks'!$L$7:$L$246,$D172,'Tasks'!$F$7:$F$246,$B172)</x:f>
        <x:v>6</x:v>
      </x:c>
      <x:c r="W172" s="31" t="n">
        <x:f>IF(L172=0,"N/A",V172/L172)</x:f>
        <x:v>0.2608695652173913</x:v>
      </x:c>
      <x:c r="X172" s="17" t="n">
        <x:f>COUNTIFS('Tasks'!$C$7:$C$246,$A172,'Tasks'!$L$7:$L$246,$D172,'Tasks'!$F$7:$F$246,$B172,'Tasks'!$L$7:$L$246,"Yes")</x:f>
        <x:v>0</x:v>
      </x:c>
      <x:c r="Y172" s="17" t="n">
        <x:f>COUNTIFS('Tasks'!$C$7:$C$246,$A172,'Tasks'!$L$7:$L$246,$D172,'Tasks'!$F$7:$F$246,$B172,'Tasks'!$K$7:$K$246,"Yes")</x:f>
        <x:v>0</x:v>
      </x:c>
      <x:c r="Z172" s="17" t="n">
        <x:f>COUNTIFS('Tasks'!$C$7:$C$246,$A172,'Tasks'!$L$7:$L$246,$D172,'Tasks'!$F$7:$F$246,$B172,'Tasks'!$AA$7:$AA$246,"&gt;0")</x:f>
        <x:v>1</x:v>
      </x:c>
      <x:c r="AA172" s="17" t="n">
        <x:f>COUNTIFS('Tasks'!$C$7:$C$246,$A172,'Tasks'!$L$7:$L$246,$D172,'Tasks'!$F$7:$F$246,$B172,'Tasks'!$AA$7:$AA$246,"&lt;0")</x:f>
        <x:v>1</x:v>
      </x:c>
      <x:c r="AB172" s="19" t="n">
        <x:f>IF(E172=0,"N/A",V172/E172)</x:f>
        <x:v>3</x:v>
      </x:c>
      <x:c r="AC172" s="22" t="n">
        <x:f>IF(E172=0,"N/A",K172/E172)</x:f>
        <x:v>19.11969</x:v>
      </x:c>
      <x:c r="AD172" s="19" t="n">
        <x:f>IF(E172=0,"N/A",P172/E172)</x:f>
        <x:v>0.4999999999999998</x:v>
      </x:c>
    </x:row>
    <x:row r="173" ht="23" customHeight="1">
      <x:c r="A173" s="17" t="str">
        <x:v>C004</x:v>
      </x:c>
      <x:c r="B173" s="17" t="str">
        <x:v>Prepare launch checklist</x:v>
      </x:c>
      <x:c r="C173" s="17" t="str">
        <x:v>prompt_template_used</x:v>
      </x:c>
      <x:c r="D173" s="17" t="str">
        <x:v>Yes</x:v>
      </x:c>
      <x:c r="E173" s="17" t="n">
        <x:f>COUNTIFS('Tasks'!$C$7:$C$246,$A173,'Tasks'!$L$7:$L$246,$D173,'Tasks'!$F$7:$F$246,$B173)</x:f>
        <x:v>3</x:v>
      </x:c>
      <x:c r="F173" s="17" t="n">
        <x:f>SUMIFS('Tasks'!$O$7:$O$246,'Tasks'!$C$7:$C$246,$A173,'Tasks'!$L$7:$L$246,$D173,'Tasks'!$F$7:$F$246,$B173)</x:f>
        <x:v>793238</x:v>
      </x:c>
      <x:c r="G173" s="17" t="n">
        <x:f>SUMIFS('Tasks'!$P$7:$P$246,'Tasks'!$C$7:$C$246,$A173,'Tasks'!$L$7:$L$246,$D173,'Tasks'!$F$7:$F$246,$B173)</x:f>
        <x:v>195439</x:v>
      </x:c>
      <x:c r="H173" s="17" t="n">
        <x:f>SUMIFS('Tasks'!$Q$7:$Q$246,'Tasks'!$C$7:$C$246,$A173,'Tasks'!$L$7:$L$246,$D173,'Tasks'!$F$7:$F$246,$B173)</x:f>
        <x:v>988677</x:v>
      </x:c>
      <x:c r="I173" s="22" t="n">
        <x:f>SUMIFS('Tasks'!$S$7:$S$246,'Tasks'!$C$7:$C$246,$A173,'Tasks'!$L$7:$L$246,$D173,'Tasks'!$F$7:$F$246,$B173)</x:f>
        <x:v>15.333110000000001</x:v>
      </x:c>
      <x:c r="J173" s="22" t="n">
        <x:f>SUMIFS('Tasks'!$T$7:$T$246,'Tasks'!$C$7:$C$246,$A173,'Tasks'!$L$7:$L$246,$D173,'Tasks'!$F$7:$F$246,$B173)</x:f>
        <x:v>11.397789999999999</x:v>
      </x:c>
      <x:c r="K173" s="22" t="n">
        <x:f>SUMIFS('Tasks'!$U$7:$U$246,'Tasks'!$C$7:$C$246,$A173,'Tasks'!$L$7:$L$246,$D173,'Tasks'!$F$7:$F$246,$B173)</x:f>
        <x:v>26.730900000000002</x:v>
      </x:c>
      <x:c r="L173" s="17" t="n">
        <x:f>SUMIFS('Tasks'!$R$7:$R$246,'Tasks'!$C$7:$C$246,$A173,'Tasks'!$L$7:$L$246,$D173,'Tasks'!$F$7:$F$246,$B173)</x:f>
        <x:v>36</x:v>
      </x:c>
      <x:c r="M173" s="22" t="n">
        <x:f>IF(L173=0,"N/A",K173/L173)</x:f>
        <x:v>0.7425250000000001</x:v>
      </x:c>
      <x:c r="N173" s="19" t="n">
        <x:f>SUMIFS('Tasks'!$G$7:$G$246,'Tasks'!$C$7:$C$246,$A173,'Tasks'!$L$7:$L$246,$D173,'Tasks'!$F$7:$F$246,$B173)</x:f>
        <x:v>10.83</x:v>
      </x:c>
      <x:c r="O173" s="19" t="n">
        <x:f>SUMIFS('Tasks'!$H$7:$H$246,'Tasks'!$C$7:$C$246,$A173,'Tasks'!$L$7:$L$246,$D173,'Tasks'!$F$7:$F$246,$B173)</x:f>
        <x:v>9.99</x:v>
      </x:c>
      <x:c r="P173" s="19" t="n">
        <x:f>SUMIFS('Tasks'!$Y$7:$Y$246,'Tasks'!$C$7:$C$246,$A173,'Tasks'!$L$7:$L$246,$D173,'Tasks'!$F$7:$F$246,$B173)</x:f>
        <x:v>0.8399999999999996</x:v>
      </x:c>
      <x:c r="Q173" s="22" t="n">
        <x:f>SUMIFS('Tasks'!$Z$7:$Z$246,'Tasks'!$C$7:$C$246,$A173,'Tasks'!$L$7:$L$246,$D173,'Tasks'!$F$7:$F$246,$B173)</x:f>
        <x:v>41.999999999999986</x:v>
      </x:c>
      <x:c r="R173" s="22" t="n">
        <x:f>SUMIFS('Tasks'!$AA$7:$AA$246,'Tasks'!$C$7:$C$246,$A173,'Tasks'!$L$7:$L$246,$D173,'Tasks'!$F$7:$F$246,$B173)</x:f>
        <x:v>15.269099999999984</x:v>
      </x:c>
      <x:c r="S173" s="31" t="n">
        <x:f>IF(K173=0,"N/A",R173/K173)</x:f>
        <x:v>0.5712153350616695</x:v>
      </x:c>
      <x:c r="T173" s="19" t="n">
        <x:f>SUMIFS('Tasks'!$I$7:$I$246,'Tasks'!$C$7:$C$246,$A173,'Tasks'!$L$7:$L$246,$D173,'Tasks'!$F$7:$F$246,$B173)</x:f>
        <x:v>1.05</x:v>
      </x:c>
      <x:c r="U173" s="31" t="n">
        <x:f>IF(O173=0,"N/A",T173/O173)</x:f>
        <x:v>0.10510510510510511</x:v>
      </x:c>
      <x:c r="V173" s="17" t="n">
        <x:f>SUMIFS('Tasks'!$X$7:$X$246,'Tasks'!$C$7:$C$246,$A173,'Tasks'!$L$7:$L$246,$D173,'Tasks'!$F$7:$F$246,$B173)</x:f>
        <x:v>7</x:v>
      </x:c>
      <x:c r="W173" s="31" t="n">
        <x:f>IF(L173=0,"N/A",V173/L173)</x:f>
        <x:v>0.19444444444444445</x:v>
      </x:c>
      <x:c r="X173" s="17" t="n">
        <x:f>COUNTIFS('Tasks'!$C$7:$C$246,$A173,'Tasks'!$L$7:$L$246,$D173,'Tasks'!$F$7:$F$246,$B173,'Tasks'!$L$7:$L$246,"Yes")</x:f>
        <x:v>3</x:v>
      </x:c>
      <x:c r="Y173" s="17" t="n">
        <x:f>COUNTIFS('Tasks'!$C$7:$C$246,$A173,'Tasks'!$L$7:$L$246,$D173,'Tasks'!$F$7:$F$246,$B173,'Tasks'!$K$7:$K$246,"Yes")</x:f>
        <x:v>1</x:v>
      </x:c>
      <x:c r="Z173" s="17" t="n">
        <x:f>COUNTIFS('Tasks'!$C$7:$C$246,$A173,'Tasks'!$L$7:$L$246,$D173,'Tasks'!$F$7:$F$246,$B173,'Tasks'!$AA$7:$AA$246,"&gt;0")</x:f>
        <x:v>1</x:v>
      </x:c>
      <x:c r="AA173" s="17" t="n">
        <x:f>COUNTIFS('Tasks'!$C$7:$C$246,$A173,'Tasks'!$L$7:$L$246,$D173,'Tasks'!$F$7:$F$246,$B173,'Tasks'!$AA$7:$AA$246,"&lt;0")</x:f>
        <x:v>2</x:v>
      </x:c>
      <x:c r="AB173" s="19" t="n">
        <x:f>IF(E173=0,"N/A",V173/E173)</x:f>
        <x:v>2.3333333333333335</x:v>
      </x:c>
      <x:c r="AC173" s="22" t="n">
        <x:f>IF(E173=0,"N/A",K173/E173)</x:f>
        <x:v>8.910300000000001</x:v>
      </x:c>
      <x:c r="AD173" s="19" t="n">
        <x:f>IF(E173=0,"N/A",P173/E173)</x:f>
        <x:v>0.27999999999999986</x:v>
      </x:c>
    </x:row>
    <x:row r="174" ht="23" customHeight="1">
      <x:c r="A174" s="17" t="str">
        <x:v>C004</x:v>
      </x:c>
      <x:c r="B174" s="17" t="str">
        <x:v>Prepare launch checklist</x:v>
      </x:c>
      <x:c r="C174" s="17" t="str">
        <x:v>brief_changed</x:v>
      </x:c>
      <x:c r="D174" s="17" t="str">
        <x:v>No</x:v>
      </x:c>
      <x:c r="E174" s="17" t="n">
        <x:f>COUNTIFS('Tasks'!$C$7:$C$246,$A174,'Tasks'!$K$7:$K$246,$D174,'Tasks'!$F$7:$F$246,$B174)</x:f>
        <x:v>4</x:v>
      </x:c>
      <x:c r="F174" s="17" t="n">
        <x:f>SUMIFS('Tasks'!$O$7:$O$246,'Tasks'!$C$7:$C$246,$A174,'Tasks'!$K$7:$K$246,$D174,'Tasks'!$F$7:$F$246,$B174)</x:f>
        <x:v>881966</x:v>
      </x:c>
      <x:c r="G174" s="17" t="n">
        <x:f>SUMIFS('Tasks'!$P$7:$P$246,'Tasks'!$C$7:$C$246,$A174,'Tasks'!$K$7:$K$246,$D174,'Tasks'!$F$7:$F$246,$B174)</x:f>
        <x:v>357916</x:v>
      </x:c>
      <x:c r="H174" s="17" t="n">
        <x:f>SUMIFS('Tasks'!$Q$7:$Q$246,'Tasks'!$C$7:$C$246,$A174,'Tasks'!$K$7:$K$246,$D174,'Tasks'!$F$7:$F$246,$B174)</x:f>
        <x:v>1239882</x:v>
      </x:c>
      <x:c r="I174" s="22" t="n">
        <x:f>SUMIFS('Tasks'!$S$7:$S$246,'Tasks'!$C$7:$C$246,$A174,'Tasks'!$K$7:$K$246,$D174,'Tasks'!$F$7:$F$246,$B174)</x:f>
        <x:v>28.1195</x:v>
      </x:c>
      <x:c r="J174" s="22" t="n">
        <x:f>SUMIFS('Tasks'!$T$7:$T$246,'Tasks'!$C$7:$C$246,$A174,'Tasks'!$K$7:$K$246,$D174,'Tasks'!$F$7:$F$246,$B174)</x:f>
        <x:v>31.93383</x:v>
      </x:c>
      <x:c r="K174" s="22" t="n">
        <x:f>SUMIFS('Tasks'!$U$7:$U$246,'Tasks'!$C$7:$C$246,$A174,'Tasks'!$K$7:$K$246,$D174,'Tasks'!$F$7:$F$246,$B174)</x:f>
        <x:v>60.05333</x:v>
      </x:c>
      <x:c r="L174" s="17" t="n">
        <x:f>SUMIFS('Tasks'!$R$7:$R$246,'Tasks'!$C$7:$C$246,$A174,'Tasks'!$K$7:$K$246,$D174,'Tasks'!$F$7:$F$246,$B174)</x:f>
        <x:v>47</x:v>
      </x:c>
      <x:c r="M174" s="22" t="n">
        <x:f>IF(L174=0,"N/A",K174/L174)</x:f>
        <x:v>1.2777304255319148</x:v>
      </x:c>
      <x:c r="N174" s="19" t="n">
        <x:f>SUMIFS('Tasks'!$G$7:$G$246,'Tasks'!$C$7:$C$246,$A174,'Tasks'!$K$7:$K$246,$D174,'Tasks'!$F$7:$F$246,$B174)</x:f>
        <x:v>18.08</x:v>
      </x:c>
      <x:c r="O174" s="19" t="n">
        <x:f>SUMIFS('Tasks'!$H$7:$H$246,'Tasks'!$C$7:$C$246,$A174,'Tasks'!$K$7:$K$246,$D174,'Tasks'!$F$7:$F$246,$B174)</x:f>
        <x:v>15.83</x:v>
      </x:c>
      <x:c r="P174" s="19" t="n">
        <x:f>SUMIFS('Tasks'!$Y$7:$Y$246,'Tasks'!$C$7:$C$246,$A174,'Tasks'!$K$7:$K$246,$D174,'Tasks'!$F$7:$F$246,$B174)</x:f>
        <x:v>2.25</x:v>
      </x:c>
      <x:c r="Q174" s="22" t="n">
        <x:f>SUMIFS('Tasks'!$Z$7:$Z$246,'Tasks'!$C$7:$C$246,$A174,'Tasks'!$K$7:$K$246,$D174,'Tasks'!$F$7:$F$246,$B174)</x:f>
        <x:v>112.5</x:v>
      </x:c>
      <x:c r="R174" s="22" t="n">
        <x:f>SUMIFS('Tasks'!$AA$7:$AA$246,'Tasks'!$C$7:$C$246,$A174,'Tasks'!$K$7:$K$246,$D174,'Tasks'!$F$7:$F$246,$B174)</x:f>
        <x:v>52.44667</x:v>
      </x:c>
      <x:c r="S174" s="31" t="n">
        <x:f>IF(K174=0,"N/A",R174/K174)</x:f>
        <x:v>0.8733349174808457</x:v>
      </x:c>
      <x:c r="T174" s="19" t="n">
        <x:f>SUMIFS('Tasks'!$I$7:$I$246,'Tasks'!$C$7:$C$246,$A174,'Tasks'!$K$7:$K$246,$D174,'Tasks'!$F$7:$F$246,$B174)</x:f>
        <x:v>2</x:v>
      </x:c>
      <x:c r="U174" s="31" t="n">
        <x:f>IF(O174=0,"N/A",T174/O174)</x:f>
        <x:v>0.12634238787113075</x:v>
      </x:c>
      <x:c r="V174" s="17" t="n">
        <x:f>SUMIFS('Tasks'!$X$7:$X$246,'Tasks'!$C$7:$C$246,$A174,'Tasks'!$K$7:$K$246,$D174,'Tasks'!$F$7:$F$246,$B174)</x:f>
        <x:v>10</x:v>
      </x:c>
      <x:c r="W174" s="31" t="n">
        <x:f>IF(L174=0,"N/A",V174/L174)</x:f>
        <x:v>0.2127659574468085</x:v>
      </x:c>
      <x:c r="X174" s="17" t="n">
        <x:f>COUNTIFS('Tasks'!$C$7:$C$246,$A174,'Tasks'!$K$7:$K$246,$D174,'Tasks'!$F$7:$F$246,$B174,'Tasks'!$L$7:$L$246,"Yes")</x:f>
        <x:v>2</x:v>
      </x:c>
      <x:c r="Y174" s="17" t="n">
        <x:f>COUNTIFS('Tasks'!$C$7:$C$246,$A174,'Tasks'!$K$7:$K$246,$D174,'Tasks'!$F$7:$F$246,$B174,'Tasks'!$K$7:$K$246,"Yes")</x:f>
        <x:v>0</x:v>
      </x:c>
      <x:c r="Z174" s="17" t="n">
        <x:f>COUNTIFS('Tasks'!$C$7:$C$246,$A174,'Tasks'!$K$7:$K$246,$D174,'Tasks'!$F$7:$F$246,$B174,'Tasks'!$AA$7:$AA$246,"&gt;0")</x:f>
        <x:v>2</x:v>
      </x:c>
      <x:c r="AA174" s="17" t="n">
        <x:f>COUNTIFS('Tasks'!$C$7:$C$246,$A174,'Tasks'!$K$7:$K$246,$D174,'Tasks'!$F$7:$F$246,$B174,'Tasks'!$AA$7:$AA$246,"&lt;0")</x:f>
        <x:v>2</x:v>
      </x:c>
      <x:c r="AB174" s="19" t="n">
        <x:f>IF(E174=0,"N/A",V174/E174)</x:f>
        <x:v>2.5</x:v>
      </x:c>
      <x:c r="AC174" s="22" t="n">
        <x:f>IF(E174=0,"N/A",K174/E174)</x:f>
        <x:v>15.0133325</x:v>
      </x:c>
      <x:c r="AD174" s="19" t="n">
        <x:f>IF(E174=0,"N/A",P174/E174)</x:f>
        <x:v>0.5625</x:v>
      </x:c>
    </x:row>
    <x:row r="175" ht="23" customHeight="1">
      <x:c r="A175" s="17" t="str">
        <x:v>C004</x:v>
      </x:c>
      <x:c r="B175" s="17" t="str">
        <x:v>Prepare launch checklist</x:v>
      </x:c>
      <x:c r="C175" s="17" t="str">
        <x:v>brief_changed</x:v>
      </x:c>
      <x:c r="D175" s="17" t="str">
        <x:v>Yes</x:v>
      </x:c>
      <x:c r="E175" s="17" t="n">
        <x:f>COUNTIFS('Tasks'!$C$7:$C$246,$A175,'Tasks'!$K$7:$K$246,$D175,'Tasks'!$F$7:$F$246,$B175)</x:f>
        <x:v>1</x:v>
      </x:c>
      <x:c r="F175" s="17" t="n">
        <x:f>SUMIFS('Tasks'!$O$7:$O$246,'Tasks'!$C$7:$C$246,$A175,'Tasks'!$K$7:$K$246,$D175,'Tasks'!$F$7:$F$246,$B175)</x:f>
        <x:v>307909</x:v>
      </x:c>
      <x:c r="G175" s="17" t="n">
        <x:f>SUMIFS('Tasks'!$P$7:$P$246,'Tasks'!$C$7:$C$246,$A175,'Tasks'!$K$7:$K$246,$D175,'Tasks'!$F$7:$F$246,$B175)</x:f>
        <x:v>61262</x:v>
      </x:c>
      <x:c r="H175" s="17" t="n">
        <x:f>SUMIFS('Tasks'!$Q$7:$Q$246,'Tasks'!$C$7:$C$246,$A175,'Tasks'!$K$7:$K$246,$D175,'Tasks'!$F$7:$F$246,$B175)</x:f>
        <x:v>369171</x:v>
      </x:c>
      <x:c r="I175" s="22" t="n">
        <x:f>SUMIFS('Tasks'!$S$7:$S$246,'Tasks'!$C$7:$C$246,$A175,'Tasks'!$K$7:$K$246,$D175,'Tasks'!$F$7:$F$246,$B175)</x:f>
        <x:v>3.07909</x:v>
      </x:c>
      <x:c r="J175" s="22" t="n">
        <x:f>SUMIFS('Tasks'!$T$7:$T$246,'Tasks'!$C$7:$C$246,$A175,'Tasks'!$K$7:$K$246,$D175,'Tasks'!$F$7:$F$246,$B175)</x:f>
        <x:v>1.83786</x:v>
      </x:c>
      <x:c r="K175" s="22" t="n">
        <x:f>SUMIFS('Tasks'!$U$7:$U$246,'Tasks'!$C$7:$C$246,$A175,'Tasks'!$K$7:$K$246,$D175,'Tasks'!$F$7:$F$246,$B175)</x:f>
        <x:v>4.91695</x:v>
      </x:c>
      <x:c r="L175" s="17" t="n">
        <x:f>SUMIFS('Tasks'!$R$7:$R$246,'Tasks'!$C$7:$C$246,$A175,'Tasks'!$K$7:$K$246,$D175,'Tasks'!$F$7:$F$246,$B175)</x:f>
        <x:v>12</x:v>
      </x:c>
      <x:c r="M175" s="22" t="n">
        <x:f>IF(L175=0,"N/A",K175/L175)</x:f>
        <x:v>0.4097458333333333</x:v>
      </x:c>
      <x:c r="N175" s="19" t="n">
        <x:f>SUMIFS('Tasks'!$G$7:$G$246,'Tasks'!$C$7:$C$246,$A175,'Tasks'!$K$7:$K$246,$D175,'Tasks'!$F$7:$F$246,$B175)</x:f>
        <x:v>3.82</x:v>
      </x:c>
      <x:c r="O175" s="19" t="n">
        <x:f>SUMIFS('Tasks'!$H$7:$H$246,'Tasks'!$C$7:$C$246,$A175,'Tasks'!$K$7:$K$246,$D175,'Tasks'!$F$7:$F$246,$B175)</x:f>
        <x:v>4.23</x:v>
      </x:c>
      <x:c r="P175" s="19" t="n">
        <x:f>SUMIFS('Tasks'!$Y$7:$Y$246,'Tasks'!$C$7:$C$246,$A175,'Tasks'!$K$7:$K$246,$D175,'Tasks'!$F$7:$F$246,$B175)</x:f>
        <x:v>-0.4100000000000006</x:v>
      </x:c>
      <x:c r="Q175" s="22" t="n">
        <x:f>SUMIFS('Tasks'!$Z$7:$Z$246,'Tasks'!$C$7:$C$246,$A175,'Tasks'!$K$7:$K$246,$D175,'Tasks'!$F$7:$F$246,$B175)</x:f>
        <x:v>-20.50000000000003</x:v>
      </x:c>
      <x:c r="R175" s="22" t="n">
        <x:f>SUMIFS('Tasks'!$AA$7:$AA$246,'Tasks'!$C$7:$C$246,$A175,'Tasks'!$K$7:$K$246,$D175,'Tasks'!$F$7:$F$246,$B175)</x:f>
        <x:v>-25.41695000000003</x:v>
      </x:c>
      <x:c r="S175" s="31" t="n">
        <x:f>IF(K175=0,"N/A",R175/K175)</x:f>
        <x:v>-5.169251263486517</x:v>
      </x:c>
      <x:c r="T175" s="19" t="n">
        <x:f>SUMIFS('Tasks'!$I$7:$I$246,'Tasks'!$C$7:$C$246,$A175,'Tasks'!$K$7:$K$246,$D175,'Tasks'!$F$7:$F$246,$B175)</x:f>
        <x:v>0.6</x:v>
      </x:c>
      <x:c r="U175" s="31" t="n">
        <x:f>IF(O175=0,"N/A",T175/O175)</x:f>
        <x:v>0.14184397163120566</x:v>
      </x:c>
      <x:c r="V175" s="17" t="n">
        <x:f>SUMIFS('Tasks'!$X$7:$X$246,'Tasks'!$C$7:$C$246,$A175,'Tasks'!$K$7:$K$246,$D175,'Tasks'!$F$7:$F$246,$B175)</x:f>
        <x:v>3</x:v>
      </x:c>
      <x:c r="W175" s="31" t="n">
        <x:f>IF(L175=0,"N/A",V175/L175)</x:f>
        <x:v>0.25</x:v>
      </x:c>
      <x:c r="X175" s="17" t="n">
        <x:f>COUNTIFS('Tasks'!$C$7:$C$246,$A175,'Tasks'!$K$7:$K$246,$D175,'Tasks'!$F$7:$F$246,$B175,'Tasks'!$L$7:$L$246,"Yes")</x:f>
        <x:v>1</x:v>
      </x:c>
      <x:c r="Y175" s="17" t="n">
        <x:f>COUNTIFS('Tasks'!$C$7:$C$246,$A175,'Tasks'!$K$7:$K$246,$D175,'Tasks'!$F$7:$F$246,$B175,'Tasks'!$K$7:$K$246,"Yes")</x:f>
        <x:v>1</x:v>
      </x:c>
      <x:c r="Z175" s="17" t="n">
        <x:f>COUNTIFS('Tasks'!$C$7:$C$246,$A175,'Tasks'!$K$7:$K$246,$D175,'Tasks'!$F$7:$F$246,$B175,'Tasks'!$AA$7:$AA$246,"&gt;0")</x:f>
        <x:v>0</x:v>
      </x:c>
      <x:c r="AA175" s="17" t="n">
        <x:f>COUNTIFS('Tasks'!$C$7:$C$246,$A175,'Tasks'!$K$7:$K$246,$D175,'Tasks'!$F$7:$F$246,$B175,'Tasks'!$AA$7:$AA$246,"&lt;0")</x:f>
        <x:v>1</x:v>
      </x:c>
      <x:c r="AB175" s="19" t="n">
        <x:f>IF(E175=0,"N/A",V175/E175)</x:f>
        <x:v>3</x:v>
      </x:c>
      <x:c r="AC175" s="22" t="n">
        <x:f>IF(E175=0,"N/A",K175/E175)</x:f>
        <x:v>4.91695</x:v>
      </x:c>
      <x:c r="AD175" s="19" t="n">
        <x:f>IF(E175=0,"N/A",P175/E175)</x:f>
        <x:v>-0.4100000000000006</x:v>
      </x:c>
    </x:row>
    <x:row r="176" ht="23" customHeight="1">
      <x:c r="A176" s="17" t="str">
        <x:v>C004</x:v>
      </x:c>
      <x:c r="B176" s="17" t="str">
        <x:v>Review creative variants</x:v>
      </x:c>
      <x:c r="C176" s="17" t="str">
        <x:v>prompt_template_used</x:v>
      </x:c>
      <x:c r="D176" s="17" t="str">
        <x:v>No</x:v>
      </x:c>
      <x:c r="E176" s="17" t="n">
        <x:f>COUNTIFS('Tasks'!$C$7:$C$246,$A176,'Tasks'!$L$7:$L$246,$D176,'Tasks'!$F$7:$F$246,$B176)</x:f>
        <x:v>2</x:v>
      </x:c>
      <x:c r="F176" s="17" t="n">
        <x:f>SUMIFS('Tasks'!$O$7:$O$246,'Tasks'!$C$7:$C$246,$A176,'Tasks'!$L$7:$L$246,$D176,'Tasks'!$F$7:$F$246,$B176)</x:f>
        <x:v>1083270</x:v>
      </x:c>
      <x:c r="G176" s="17" t="n">
        <x:f>SUMIFS('Tasks'!$P$7:$P$246,'Tasks'!$C$7:$C$246,$A176,'Tasks'!$L$7:$L$246,$D176,'Tasks'!$F$7:$F$246,$B176)</x:f>
        <x:v>351979</x:v>
      </x:c>
      <x:c r="H176" s="17" t="n">
        <x:f>SUMIFS('Tasks'!$Q$7:$Q$246,'Tasks'!$C$7:$C$246,$A176,'Tasks'!$L$7:$L$246,$D176,'Tasks'!$F$7:$F$246,$B176)</x:f>
        <x:v>1435249</x:v>
      </x:c>
      <x:c r="I176" s="22" t="n">
        <x:f>SUMIFS('Tasks'!$S$7:$S$246,'Tasks'!$C$7:$C$246,$A176,'Tasks'!$L$7:$L$246,$D176,'Tasks'!$F$7:$F$246,$B176)</x:f>
        <x:v>28.02906</x:v>
      </x:c>
      <x:c r="J176" s="22" t="n">
        <x:f>SUMIFS('Tasks'!$T$7:$T$246,'Tasks'!$C$7:$C$246,$A176,'Tasks'!$L$7:$L$246,$D176,'Tasks'!$F$7:$F$246,$B176)</x:f>
        <x:v>32.03943</x:v>
      </x:c>
      <x:c r="K176" s="22" t="n">
        <x:f>SUMIFS('Tasks'!$U$7:$U$246,'Tasks'!$C$7:$C$246,$A176,'Tasks'!$L$7:$L$246,$D176,'Tasks'!$F$7:$F$246,$B176)</x:f>
        <x:v>60.06848999999999</x:v>
      </x:c>
      <x:c r="L176" s="17" t="n">
        <x:f>SUMIFS('Tasks'!$R$7:$R$246,'Tasks'!$C$7:$C$246,$A176,'Tasks'!$L$7:$L$246,$D176,'Tasks'!$F$7:$F$246,$B176)</x:f>
        <x:v>40</x:v>
      </x:c>
      <x:c r="M176" s="22" t="n">
        <x:f>IF(L176=0,"N/A",K176/L176)</x:f>
        <x:v>1.5017122499999997</x:v>
      </x:c>
      <x:c r="N176" s="19" t="n">
        <x:f>SUMIFS('Tasks'!$G$7:$G$246,'Tasks'!$C$7:$C$246,$A176,'Tasks'!$L$7:$L$246,$D176,'Tasks'!$F$7:$F$246,$B176)</x:f>
        <x:v>6.48</x:v>
      </x:c>
      <x:c r="O176" s="19" t="n">
        <x:f>SUMIFS('Tasks'!$H$7:$H$246,'Tasks'!$C$7:$C$246,$A176,'Tasks'!$L$7:$L$246,$D176,'Tasks'!$F$7:$F$246,$B176)</x:f>
        <x:v>5.37</x:v>
      </x:c>
      <x:c r="P176" s="19" t="n">
        <x:f>SUMIFS('Tasks'!$Y$7:$Y$246,'Tasks'!$C$7:$C$246,$A176,'Tasks'!$L$7:$L$246,$D176,'Tasks'!$F$7:$F$246,$B176)</x:f>
        <x:v>1.1099999999999999</x:v>
      </x:c>
      <x:c r="Q176" s="22" t="n">
        <x:f>SUMIFS('Tasks'!$Z$7:$Z$246,'Tasks'!$C$7:$C$246,$A176,'Tasks'!$L$7:$L$246,$D176,'Tasks'!$F$7:$F$246,$B176)</x:f>
        <x:v>55.49999999999999</x:v>
      </x:c>
      <x:c r="R176" s="22" t="n">
        <x:f>SUMIFS('Tasks'!$AA$7:$AA$246,'Tasks'!$C$7:$C$246,$A176,'Tasks'!$L$7:$L$246,$D176,'Tasks'!$F$7:$F$246,$B176)</x:f>
        <x:v>-4.568489999999997</x:v>
      </x:c>
      <x:c r="S176" s="31" t="n">
        <x:f>IF(K176=0,"N/A",R176/K176)</x:f>
        <x:v>-0.07605468357869488</x:v>
      </x:c>
      <x:c r="T176" s="19" t="n">
        <x:f>SUMIFS('Tasks'!$I$7:$I$246,'Tasks'!$C$7:$C$246,$A176,'Tasks'!$L$7:$L$246,$D176,'Tasks'!$F$7:$F$246,$B176)</x:f>
        <x:v>0.8999999999999999</x:v>
      </x:c>
      <x:c r="U176" s="31" t="n">
        <x:f>IF(O176=0,"N/A",T176/O176)</x:f>
        <x:v>0.16759776536312848</x:v>
      </x:c>
      <x:c r="V176" s="17" t="n">
        <x:f>SUMIFS('Tasks'!$X$7:$X$246,'Tasks'!$C$7:$C$246,$A176,'Tasks'!$L$7:$L$246,$D176,'Tasks'!$F$7:$F$246,$B176)</x:f>
        <x:v>8</x:v>
      </x:c>
      <x:c r="W176" s="31" t="n">
        <x:f>IF(L176=0,"N/A",V176/L176)</x:f>
        <x:v>0.2</x:v>
      </x:c>
      <x:c r="X176" s="17" t="n">
        <x:f>COUNTIFS('Tasks'!$C$7:$C$246,$A176,'Tasks'!$L$7:$L$246,$D176,'Tasks'!$F$7:$F$246,$B176,'Tasks'!$L$7:$L$246,"Yes")</x:f>
        <x:v>0</x:v>
      </x:c>
      <x:c r="Y176" s="17" t="n">
        <x:f>COUNTIFS('Tasks'!$C$7:$C$246,$A176,'Tasks'!$L$7:$L$246,$D176,'Tasks'!$F$7:$F$246,$B176,'Tasks'!$K$7:$K$246,"Yes")</x:f>
        <x:v>2</x:v>
      </x:c>
      <x:c r="Z176" s="17" t="n">
        <x:f>COUNTIFS('Tasks'!$C$7:$C$246,$A176,'Tasks'!$L$7:$L$246,$D176,'Tasks'!$F$7:$F$246,$B176,'Tasks'!$AA$7:$AA$246,"&gt;0")</x:f>
        <x:v>1</x:v>
      </x:c>
      <x:c r="AA176" s="17" t="n">
        <x:f>COUNTIFS('Tasks'!$C$7:$C$246,$A176,'Tasks'!$L$7:$L$246,$D176,'Tasks'!$F$7:$F$246,$B176,'Tasks'!$AA$7:$AA$246,"&lt;0")</x:f>
        <x:v>1</x:v>
      </x:c>
      <x:c r="AB176" s="19" t="n">
        <x:f>IF(E176=0,"N/A",V176/E176)</x:f>
        <x:v>4</x:v>
      </x:c>
      <x:c r="AC176" s="22" t="n">
        <x:f>IF(E176=0,"N/A",K176/E176)</x:f>
        <x:v>30.034244999999995</x:v>
      </x:c>
      <x:c r="AD176" s="19" t="n">
        <x:f>IF(E176=0,"N/A",P176/E176)</x:f>
        <x:v>0.5549999999999999</x:v>
      </x:c>
    </x:row>
    <x:row r="177" ht="23" customHeight="1">
      <x:c r="A177" s="17" t="str">
        <x:v>C004</x:v>
      </x:c>
      <x:c r="B177" s="17" t="str">
        <x:v>Review creative variants</x:v>
      </x:c>
      <x:c r="C177" s="17" t="str">
        <x:v>prompt_template_used</x:v>
      </x:c>
      <x:c r="D177" s="17" t="str">
        <x:v>Yes</x:v>
      </x:c>
      <x:c r="E177" s="17" t="n">
        <x:f>COUNTIFS('Tasks'!$C$7:$C$246,$A177,'Tasks'!$L$7:$L$246,$D177,'Tasks'!$F$7:$F$246,$B177)</x:f>
        <x:v>3</x:v>
      </x:c>
      <x:c r="F177" s="17" t="n">
        <x:f>SUMIFS('Tasks'!$O$7:$O$246,'Tasks'!$C$7:$C$246,$A177,'Tasks'!$L$7:$L$246,$D177,'Tasks'!$F$7:$F$246,$B177)</x:f>
        <x:v>911481</x:v>
      </x:c>
      <x:c r="G177" s="17" t="n">
        <x:f>SUMIFS('Tasks'!$P$7:$P$246,'Tasks'!$C$7:$C$246,$A177,'Tasks'!$L$7:$L$246,$D177,'Tasks'!$F$7:$F$246,$B177)</x:f>
        <x:v>146677</x:v>
      </x:c>
      <x:c r="H177" s="17" t="n">
        <x:f>SUMIFS('Tasks'!$Q$7:$Q$246,'Tasks'!$C$7:$C$246,$A177,'Tasks'!$L$7:$L$246,$D177,'Tasks'!$F$7:$F$246,$B177)</x:f>
        <x:v>1058158</x:v>
      </x:c>
      <x:c r="I177" s="22" t="n">
        <x:f>SUMIFS('Tasks'!$S$7:$S$246,'Tasks'!$C$7:$C$246,$A177,'Tasks'!$L$7:$L$246,$D177,'Tasks'!$F$7:$F$246,$B177)</x:f>
        <x:v>9.114810000000002</x:v>
      </x:c>
      <x:c r="J177" s="22" t="n">
        <x:f>SUMIFS('Tasks'!$T$7:$T$246,'Tasks'!$C$7:$C$246,$A177,'Tasks'!$L$7:$L$246,$D177,'Tasks'!$F$7:$F$246,$B177)</x:f>
        <x:v>4.40031</x:v>
      </x:c>
      <x:c r="K177" s="22" t="n">
        <x:f>SUMIFS('Tasks'!$U$7:$U$246,'Tasks'!$C$7:$C$246,$A177,'Tasks'!$L$7:$L$246,$D177,'Tasks'!$F$7:$F$246,$B177)</x:f>
        <x:v>13.51512</x:v>
      </x:c>
      <x:c r="L177" s="17" t="n">
        <x:f>SUMIFS('Tasks'!$R$7:$R$246,'Tasks'!$C$7:$C$246,$A177,'Tasks'!$L$7:$L$246,$D177,'Tasks'!$F$7:$F$246,$B177)</x:f>
        <x:v>41</x:v>
      </x:c>
      <x:c r="M177" s="22" t="n">
        <x:f>IF(L177=0,"N/A",K177/L177)</x:f>
        <x:v>0.3296370731707317</x:v>
      </x:c>
      <x:c r="N177" s="19" t="n">
        <x:f>SUMIFS('Tasks'!$G$7:$G$246,'Tasks'!$C$7:$C$246,$A177,'Tasks'!$L$7:$L$246,$D177,'Tasks'!$F$7:$F$246,$B177)</x:f>
        <x:v>13.54</x:v>
      </x:c>
      <x:c r="O177" s="19" t="n">
        <x:f>SUMIFS('Tasks'!$H$7:$H$246,'Tasks'!$C$7:$C$246,$A177,'Tasks'!$L$7:$L$246,$D177,'Tasks'!$F$7:$F$246,$B177)</x:f>
        <x:v>13</x:v>
      </x:c>
      <x:c r="P177" s="19" t="n">
        <x:f>SUMIFS('Tasks'!$Y$7:$Y$246,'Tasks'!$C$7:$C$246,$A177,'Tasks'!$L$7:$L$246,$D177,'Tasks'!$F$7:$F$246,$B177)</x:f>
        <x:v>0.54</x:v>
      </x:c>
      <x:c r="Q177" s="22" t="n">
        <x:f>SUMIFS('Tasks'!$Z$7:$Z$246,'Tasks'!$C$7:$C$246,$A177,'Tasks'!$L$7:$L$246,$D177,'Tasks'!$F$7:$F$246,$B177)</x:f>
        <x:v>27</x:v>
      </x:c>
      <x:c r="R177" s="22" t="n">
        <x:f>SUMIFS('Tasks'!$AA$7:$AA$246,'Tasks'!$C$7:$C$246,$A177,'Tasks'!$L$7:$L$246,$D177,'Tasks'!$F$7:$F$246,$B177)</x:f>
        <x:v>13.484879999999997</x:v>
      </x:c>
      <x:c r="S177" s="31" t="n">
        <x:f>IF(K177=0,"N/A",R177/K177)</x:f>
        <x:v>0.9977625059932873</x:v>
      </x:c>
      <x:c r="T177" s="19" t="n">
        <x:f>SUMIFS('Tasks'!$I$7:$I$246,'Tasks'!$C$7:$C$246,$A177,'Tasks'!$L$7:$L$246,$D177,'Tasks'!$F$7:$F$246,$B177)</x:f>
        <x:v>1.4500000000000002</x:v>
      </x:c>
      <x:c r="U177" s="31" t="n">
        <x:f>IF(O177=0,"N/A",T177/O177)</x:f>
        <x:v>0.11153846153846156</x:v>
      </x:c>
      <x:c r="V177" s="17" t="n">
        <x:f>SUMIFS('Tasks'!$X$7:$X$246,'Tasks'!$C$7:$C$246,$A177,'Tasks'!$L$7:$L$246,$D177,'Tasks'!$F$7:$F$246,$B177)</x:f>
        <x:v>8</x:v>
      </x:c>
      <x:c r="W177" s="31" t="n">
        <x:f>IF(L177=0,"N/A",V177/L177)</x:f>
        <x:v>0.1951219512195122</x:v>
      </x:c>
      <x:c r="X177" s="17" t="n">
        <x:f>COUNTIFS('Tasks'!$C$7:$C$246,$A177,'Tasks'!$L$7:$L$246,$D177,'Tasks'!$F$7:$F$246,$B177,'Tasks'!$L$7:$L$246,"Yes")</x:f>
        <x:v>3</x:v>
      </x:c>
      <x:c r="Y177" s="17" t="n">
        <x:f>COUNTIFS('Tasks'!$C$7:$C$246,$A177,'Tasks'!$L$7:$L$246,$D177,'Tasks'!$F$7:$F$246,$B177,'Tasks'!$K$7:$K$246,"Yes")</x:f>
        <x:v>1</x:v>
      </x:c>
      <x:c r="Z177" s="17" t="n">
        <x:f>COUNTIFS('Tasks'!$C$7:$C$246,$A177,'Tasks'!$L$7:$L$246,$D177,'Tasks'!$F$7:$F$246,$B177,'Tasks'!$AA$7:$AA$246,"&gt;0")</x:f>
        <x:v>2</x:v>
      </x:c>
      <x:c r="AA177" s="17" t="n">
        <x:f>COUNTIFS('Tasks'!$C$7:$C$246,$A177,'Tasks'!$L$7:$L$246,$D177,'Tasks'!$F$7:$F$246,$B177,'Tasks'!$AA$7:$AA$246,"&lt;0")</x:f>
        <x:v>1</x:v>
      </x:c>
      <x:c r="AB177" s="19" t="n">
        <x:f>IF(E177=0,"N/A",V177/E177)</x:f>
        <x:v>2.6666666666666665</x:v>
      </x:c>
      <x:c r="AC177" s="22" t="n">
        <x:f>IF(E177=0,"N/A",K177/E177)</x:f>
        <x:v>4.50504</x:v>
      </x:c>
      <x:c r="AD177" s="19" t="n">
        <x:f>IF(E177=0,"N/A",P177/E177)</x:f>
        <x:v>0.18000000000000002</x:v>
      </x:c>
    </x:row>
    <x:row r="178" ht="23" customHeight="1">
      <x:c r="A178" s="17" t="str">
        <x:v>C004</x:v>
      </x:c>
      <x:c r="B178" s="17" t="str">
        <x:v>Review creative variants</x:v>
      </x:c>
      <x:c r="C178" s="17" t="str">
        <x:v>brief_changed</x:v>
      </x:c>
      <x:c r="D178" s="17" t="str">
        <x:v>No</x:v>
      </x:c>
      <x:c r="E178" s="17" t="n">
        <x:f>COUNTIFS('Tasks'!$C$7:$C$246,$A178,'Tasks'!$K$7:$K$246,$D178,'Tasks'!$F$7:$F$246,$B178)</x:f>
        <x:v>2</x:v>
      </x:c>
      <x:c r="F178" s="17" t="n">
        <x:f>SUMIFS('Tasks'!$O$7:$O$246,'Tasks'!$C$7:$C$246,$A178,'Tasks'!$K$7:$K$246,$D178,'Tasks'!$F$7:$F$246,$B178)</x:f>
        <x:v>715391</x:v>
      </x:c>
      <x:c r="G178" s="17" t="n">
        <x:f>SUMIFS('Tasks'!$P$7:$P$246,'Tasks'!$C$7:$C$246,$A178,'Tasks'!$K$7:$K$246,$D178,'Tasks'!$F$7:$F$246,$B178)</x:f>
        <x:v>103255</x:v>
      </x:c>
      <x:c r="H178" s="17" t="n">
        <x:f>SUMIFS('Tasks'!$Q$7:$Q$246,'Tasks'!$C$7:$C$246,$A178,'Tasks'!$K$7:$K$246,$D178,'Tasks'!$F$7:$F$246,$B178)</x:f>
        <x:v>818646</x:v>
      </x:c>
      <x:c r="I178" s="22" t="n">
        <x:f>SUMIFS('Tasks'!$S$7:$S$246,'Tasks'!$C$7:$C$246,$A178,'Tasks'!$K$7:$K$246,$D178,'Tasks'!$F$7:$F$246,$B178)</x:f>
        <x:v>7.153910000000001</x:v>
      </x:c>
      <x:c r="J178" s="22" t="n">
        <x:f>SUMIFS('Tasks'!$T$7:$T$246,'Tasks'!$C$7:$C$246,$A178,'Tasks'!$K$7:$K$246,$D178,'Tasks'!$F$7:$F$246,$B178)</x:f>
        <x:v>3.09765</x:v>
      </x:c>
      <x:c r="K178" s="22" t="n">
        <x:f>SUMIFS('Tasks'!$U$7:$U$246,'Tasks'!$C$7:$C$246,$A178,'Tasks'!$K$7:$K$246,$D178,'Tasks'!$F$7:$F$246,$B178)</x:f>
        <x:v>10.25156</x:v>
      </x:c>
      <x:c r="L178" s="17" t="n">
        <x:f>SUMIFS('Tasks'!$R$7:$R$246,'Tasks'!$C$7:$C$246,$A178,'Tasks'!$K$7:$K$246,$D178,'Tasks'!$F$7:$F$246,$B178)</x:f>
        <x:v>31</x:v>
      </x:c>
      <x:c r="M178" s="22" t="n">
        <x:f>IF(L178=0,"N/A",K178/L178)</x:f>
        <x:v>0.33069548387096775</x:v>
      </x:c>
      <x:c r="N178" s="19" t="n">
        <x:f>SUMIFS('Tasks'!$G$7:$G$246,'Tasks'!$C$7:$C$246,$A178,'Tasks'!$K$7:$K$246,$D178,'Tasks'!$F$7:$F$246,$B178)</x:f>
        <x:v>9.67</x:v>
      </x:c>
      <x:c r="O178" s="19" t="n">
        <x:f>SUMIFS('Tasks'!$H$7:$H$246,'Tasks'!$C$7:$C$246,$A178,'Tasks'!$K$7:$K$246,$D178,'Tasks'!$F$7:$F$246,$B178)</x:f>
        <x:v>10.09</x:v>
      </x:c>
      <x:c r="P178" s="19" t="n">
        <x:f>SUMIFS('Tasks'!$Y$7:$Y$246,'Tasks'!$C$7:$C$246,$A178,'Tasks'!$K$7:$K$246,$D178,'Tasks'!$F$7:$F$246,$B178)</x:f>
        <x:v>-0.41999999999999993</x:v>
      </x:c>
      <x:c r="Q178" s="22" t="n">
        <x:f>SUMIFS('Tasks'!$Z$7:$Z$246,'Tasks'!$C$7:$C$246,$A178,'Tasks'!$K$7:$K$246,$D178,'Tasks'!$F$7:$F$246,$B178)</x:f>
        <x:v>-21</x:v>
      </x:c>
      <x:c r="R178" s="22" t="n">
        <x:f>SUMIFS('Tasks'!$AA$7:$AA$246,'Tasks'!$C$7:$C$246,$A178,'Tasks'!$K$7:$K$246,$D178,'Tasks'!$F$7:$F$246,$B178)</x:f>
        <x:v>-31.25156</x:v>
      </x:c>
      <x:c r="S178" s="31" t="n">
        <x:f>IF(K178=0,"N/A",R178/K178)</x:f>
        <x:v>-3.048468720858094</x:v>
      </x:c>
      <x:c r="T178" s="19" t="n">
        <x:f>SUMIFS('Tasks'!$I$7:$I$246,'Tasks'!$C$7:$C$246,$A178,'Tasks'!$K$7:$K$246,$D178,'Tasks'!$F$7:$F$246,$B178)</x:f>
        <x:v>1.07</x:v>
      </x:c>
      <x:c r="U178" s="31" t="n">
        <x:f>IF(O178=0,"N/A",T178/O178)</x:f>
        <x:v>0.10604558969276512</x:v>
      </x:c>
      <x:c r="V178" s="17" t="n">
        <x:f>SUMIFS('Tasks'!$X$7:$X$246,'Tasks'!$C$7:$C$246,$A178,'Tasks'!$K$7:$K$246,$D178,'Tasks'!$F$7:$F$246,$B178)</x:f>
        <x:v>7</x:v>
      </x:c>
      <x:c r="W178" s="31" t="n">
        <x:f>IF(L178=0,"N/A",V178/L178)</x:f>
        <x:v>0.22580645161290322</x:v>
      </x:c>
      <x:c r="X178" s="17" t="n">
        <x:f>COUNTIFS('Tasks'!$C$7:$C$246,$A178,'Tasks'!$K$7:$K$246,$D178,'Tasks'!$F$7:$F$246,$B178,'Tasks'!$L$7:$L$246,"Yes")</x:f>
        <x:v>2</x:v>
      </x:c>
      <x:c r="Y178" s="17" t="n">
        <x:f>COUNTIFS('Tasks'!$C$7:$C$246,$A178,'Tasks'!$K$7:$K$246,$D178,'Tasks'!$F$7:$F$246,$B178,'Tasks'!$K$7:$K$246,"Yes")</x:f>
        <x:v>0</x:v>
      </x:c>
      <x:c r="Z178" s="17" t="n">
        <x:f>COUNTIFS('Tasks'!$C$7:$C$246,$A178,'Tasks'!$K$7:$K$246,$D178,'Tasks'!$F$7:$F$246,$B178,'Tasks'!$AA$7:$AA$246,"&gt;0")</x:f>
        <x:v>1</x:v>
      </x:c>
      <x:c r="AA178" s="17" t="n">
        <x:f>COUNTIFS('Tasks'!$C$7:$C$246,$A178,'Tasks'!$K$7:$K$246,$D178,'Tasks'!$F$7:$F$246,$B178,'Tasks'!$AA$7:$AA$246,"&lt;0")</x:f>
        <x:v>1</x:v>
      </x:c>
      <x:c r="AB178" s="19" t="n">
        <x:f>IF(E178=0,"N/A",V178/E178)</x:f>
        <x:v>3.5</x:v>
      </x:c>
      <x:c r="AC178" s="22" t="n">
        <x:f>IF(E178=0,"N/A",K178/E178)</x:f>
        <x:v>5.12578</x:v>
      </x:c>
      <x:c r="AD178" s="19" t="n">
        <x:f>IF(E178=0,"N/A",P178/E178)</x:f>
        <x:v>-0.20999999999999996</x:v>
      </x:c>
    </x:row>
    <x:row r="179" ht="23" customHeight="1">
      <x:c r="A179" s="17" t="str">
        <x:v>C004</x:v>
      </x:c>
      <x:c r="B179" s="17" t="str">
        <x:v>Review creative variants</x:v>
      </x:c>
      <x:c r="C179" s="17" t="str">
        <x:v>brief_changed</x:v>
      </x:c>
      <x:c r="D179" s="17" t="str">
        <x:v>Yes</x:v>
      </x:c>
      <x:c r="E179" s="17" t="n">
        <x:f>COUNTIFS('Tasks'!$C$7:$C$246,$A179,'Tasks'!$K$7:$K$246,$D179,'Tasks'!$F$7:$F$246,$B179)</x:f>
        <x:v>3</x:v>
      </x:c>
      <x:c r="F179" s="17" t="n">
        <x:f>SUMIFS('Tasks'!$O$7:$O$246,'Tasks'!$C$7:$C$246,$A179,'Tasks'!$K$7:$K$246,$D179,'Tasks'!$F$7:$F$246,$B179)</x:f>
        <x:v>1279360</x:v>
      </x:c>
      <x:c r="G179" s="17" t="n">
        <x:f>SUMIFS('Tasks'!$P$7:$P$246,'Tasks'!$C$7:$C$246,$A179,'Tasks'!$K$7:$K$246,$D179,'Tasks'!$F$7:$F$246,$B179)</x:f>
        <x:v>395401</x:v>
      </x:c>
      <x:c r="H179" s="17" t="n">
        <x:f>SUMIFS('Tasks'!$Q$7:$Q$246,'Tasks'!$C$7:$C$246,$A179,'Tasks'!$K$7:$K$246,$D179,'Tasks'!$F$7:$F$246,$B179)</x:f>
        <x:v>1674761</x:v>
      </x:c>
      <x:c r="I179" s="22" t="n">
        <x:f>SUMIFS('Tasks'!$S$7:$S$246,'Tasks'!$C$7:$C$246,$A179,'Tasks'!$K$7:$K$246,$D179,'Tasks'!$F$7:$F$246,$B179)</x:f>
        <x:v>29.989959999999996</x:v>
      </x:c>
      <x:c r="J179" s="22" t="n">
        <x:f>SUMIFS('Tasks'!$T$7:$T$246,'Tasks'!$C$7:$C$246,$A179,'Tasks'!$K$7:$K$246,$D179,'Tasks'!$F$7:$F$246,$B179)</x:f>
        <x:v>33.34209</x:v>
      </x:c>
      <x:c r="K179" s="22" t="n">
        <x:f>SUMIFS('Tasks'!$U$7:$U$246,'Tasks'!$C$7:$C$246,$A179,'Tasks'!$K$7:$K$246,$D179,'Tasks'!$F$7:$F$246,$B179)</x:f>
        <x:v>63.33204999999999</x:v>
      </x:c>
      <x:c r="L179" s="17" t="n">
        <x:f>SUMIFS('Tasks'!$R$7:$R$246,'Tasks'!$C$7:$C$246,$A179,'Tasks'!$K$7:$K$246,$D179,'Tasks'!$F$7:$F$246,$B179)</x:f>
        <x:v>50</x:v>
      </x:c>
      <x:c r="M179" s="22" t="n">
        <x:f>IF(L179=0,"N/A",K179/L179)</x:f>
        <x:v>1.2666409999999997</x:v>
      </x:c>
      <x:c r="N179" s="19" t="n">
        <x:f>SUMIFS('Tasks'!$G$7:$G$246,'Tasks'!$C$7:$C$246,$A179,'Tasks'!$K$7:$K$246,$D179,'Tasks'!$F$7:$F$246,$B179)</x:f>
        <x:v>10.35</x:v>
      </x:c>
      <x:c r="O179" s="19" t="n">
        <x:f>SUMIFS('Tasks'!$H$7:$H$246,'Tasks'!$C$7:$C$246,$A179,'Tasks'!$K$7:$K$246,$D179,'Tasks'!$F$7:$F$246,$B179)</x:f>
        <x:v>8.280000000000001</x:v>
      </x:c>
      <x:c r="P179" s="19" t="n">
        <x:f>SUMIFS('Tasks'!$Y$7:$Y$246,'Tasks'!$C$7:$C$246,$A179,'Tasks'!$K$7:$K$246,$D179,'Tasks'!$F$7:$F$246,$B179)</x:f>
        <x:v>2.07</x:v>
      </x:c>
      <x:c r="Q179" s="22" t="n">
        <x:f>SUMIFS('Tasks'!$Z$7:$Z$246,'Tasks'!$C$7:$C$246,$A179,'Tasks'!$K$7:$K$246,$D179,'Tasks'!$F$7:$F$246,$B179)</x:f>
        <x:v>103.5</x:v>
      </x:c>
      <x:c r="R179" s="22" t="n">
        <x:f>SUMIFS('Tasks'!$AA$7:$AA$246,'Tasks'!$C$7:$C$246,$A179,'Tasks'!$K$7:$K$246,$D179,'Tasks'!$F$7:$F$246,$B179)</x:f>
        <x:v>40.167950000000005</x:v>
      </x:c>
      <x:c r="S179" s="31" t="n">
        <x:f>IF(K179=0,"N/A",R179/K179)</x:f>
        <x:v>0.6342436412527308</x:v>
      </x:c>
      <x:c r="T179" s="19" t="n">
        <x:f>SUMIFS('Tasks'!$I$7:$I$246,'Tasks'!$C$7:$C$246,$A179,'Tasks'!$K$7:$K$246,$D179,'Tasks'!$F$7:$F$246,$B179)</x:f>
        <x:v>1.28</x:v>
      </x:c>
      <x:c r="U179" s="31" t="n">
        <x:f>IF(O179=0,"N/A",T179/O179)</x:f>
        <x:v>0.15458937198067632</x:v>
      </x:c>
      <x:c r="V179" s="17" t="n">
        <x:f>SUMIFS('Tasks'!$X$7:$X$246,'Tasks'!$C$7:$C$246,$A179,'Tasks'!$K$7:$K$246,$D179,'Tasks'!$F$7:$F$246,$B179)</x:f>
        <x:v>9</x:v>
      </x:c>
      <x:c r="W179" s="31" t="n">
        <x:f>IF(L179=0,"N/A",V179/L179)</x:f>
        <x:v>0.18</x:v>
      </x:c>
      <x:c r="X179" s="17" t="n">
        <x:f>COUNTIFS('Tasks'!$C$7:$C$246,$A179,'Tasks'!$K$7:$K$246,$D179,'Tasks'!$F$7:$F$246,$B179,'Tasks'!$L$7:$L$246,"Yes")</x:f>
        <x:v>1</x:v>
      </x:c>
      <x:c r="Y179" s="17" t="n">
        <x:f>COUNTIFS('Tasks'!$C$7:$C$246,$A179,'Tasks'!$K$7:$K$246,$D179,'Tasks'!$F$7:$F$246,$B179,'Tasks'!$K$7:$K$246,"Yes")</x:f>
        <x:v>3</x:v>
      </x:c>
      <x:c r="Z179" s="17" t="n">
        <x:f>COUNTIFS('Tasks'!$C$7:$C$246,$A179,'Tasks'!$K$7:$K$246,$D179,'Tasks'!$F$7:$F$246,$B179,'Tasks'!$AA$7:$AA$246,"&gt;0")</x:f>
        <x:v>2</x:v>
      </x:c>
      <x:c r="AA179" s="17" t="n">
        <x:f>COUNTIFS('Tasks'!$C$7:$C$246,$A179,'Tasks'!$K$7:$K$246,$D179,'Tasks'!$F$7:$F$246,$B179,'Tasks'!$AA$7:$AA$246,"&lt;0")</x:f>
        <x:v>1</x:v>
      </x:c>
      <x:c r="AB179" s="19" t="n">
        <x:f>IF(E179=0,"N/A",V179/E179)</x:f>
        <x:v>3</x:v>
      </x:c>
      <x:c r="AC179" s="22" t="n">
        <x:f>IF(E179=0,"N/A",K179/E179)</x:f>
        <x:v>21.11068333333333</x:v>
      </x:c>
      <x:c r="AD179" s="19" t="n">
        <x:f>IF(E179=0,"N/A",P179/E179)</x:f>
        <x:v>0.69</x:v>
      </x:c>
    </x:row>
    <x:row r="180" ht="23" customHeight="1">
      <x:c r="A180" s="17" t="str">
        <x:v>C004</x:v>
      </x:c>
      <x:c r="B180" s="17" t="str">
        <x:v>Summarize audience insights</x:v>
      </x:c>
      <x:c r="C180" s="17" t="str">
        <x:v>prompt_template_used</x:v>
      </x:c>
      <x:c r="D180" s="17" t="str">
        <x:v>No</x:v>
      </x:c>
      <x:c r="E180" s="17" t="n">
        <x:f>COUNTIFS('Tasks'!$C$7:$C$246,$A180,'Tasks'!$L$7:$L$246,$D180,'Tasks'!$F$7:$F$246,$B180)</x:f>
        <x:v>3</x:v>
      </x:c>
      <x:c r="F180" s="17" t="n">
        <x:f>SUMIFS('Tasks'!$O$7:$O$246,'Tasks'!$C$7:$C$246,$A180,'Tasks'!$L$7:$L$246,$D180,'Tasks'!$F$7:$F$246,$B180)</x:f>
        <x:v>947858</x:v>
      </x:c>
      <x:c r="G180" s="17" t="n">
        <x:f>SUMIFS('Tasks'!$P$7:$P$246,'Tasks'!$C$7:$C$246,$A180,'Tasks'!$L$7:$L$246,$D180,'Tasks'!$F$7:$F$246,$B180)</x:f>
        <x:v>225703</x:v>
      </x:c>
      <x:c r="H180" s="17" t="n">
        <x:f>SUMIFS('Tasks'!$Q$7:$Q$246,'Tasks'!$C$7:$C$246,$A180,'Tasks'!$L$7:$L$246,$D180,'Tasks'!$F$7:$F$246,$B180)</x:f>
        <x:v>1173561</x:v>
      </x:c>
      <x:c r="I180" s="22" t="n">
        <x:f>SUMIFS('Tasks'!$S$7:$S$246,'Tasks'!$C$7:$C$246,$A180,'Tasks'!$L$7:$L$246,$D180,'Tasks'!$F$7:$F$246,$B180)</x:f>
        <x:v>27.742700000000003</x:v>
      </x:c>
      <x:c r="J180" s="22" t="n">
        <x:f>SUMIFS('Tasks'!$T$7:$T$246,'Tasks'!$C$7:$C$246,$A180,'Tasks'!$L$7:$L$246,$D180,'Tasks'!$F$7:$F$246,$B180)</x:f>
        <x:v>19.572059999999997</x:v>
      </x:c>
      <x:c r="K180" s="22" t="n">
        <x:f>SUMIFS('Tasks'!$U$7:$U$246,'Tasks'!$C$7:$C$246,$A180,'Tasks'!$L$7:$L$246,$D180,'Tasks'!$F$7:$F$246,$B180)</x:f>
        <x:v>47.31475999999999</x:v>
      </x:c>
      <x:c r="L180" s="17" t="n">
        <x:f>SUMIFS('Tasks'!$R$7:$R$246,'Tasks'!$C$7:$C$246,$A180,'Tasks'!$L$7:$L$246,$D180,'Tasks'!$F$7:$F$246,$B180)</x:f>
        <x:v>43</x:v>
      </x:c>
      <x:c r="M180" s="22" t="n">
        <x:f>IF(L180=0,"N/A",K180/L180)</x:f>
        <x:v>1.1003432558139534</x:v>
      </x:c>
      <x:c r="N180" s="19" t="n">
        <x:f>SUMIFS('Tasks'!$G$7:$G$246,'Tasks'!$C$7:$C$246,$A180,'Tasks'!$L$7:$L$246,$D180,'Tasks'!$F$7:$F$246,$B180)</x:f>
        <x:v>13.270000000000001</x:v>
      </x:c>
      <x:c r="O180" s="19" t="n">
        <x:f>SUMIFS('Tasks'!$H$7:$H$246,'Tasks'!$C$7:$C$246,$A180,'Tasks'!$L$7:$L$246,$D180,'Tasks'!$F$7:$F$246,$B180)</x:f>
        <x:v>11.829999999999998</x:v>
      </x:c>
      <x:c r="P180" s="19" t="n">
        <x:f>SUMIFS('Tasks'!$Y$7:$Y$246,'Tasks'!$C$7:$C$246,$A180,'Tasks'!$L$7:$L$246,$D180,'Tasks'!$F$7:$F$246,$B180)</x:f>
        <x:v>1.4400000000000008</x:v>
      </x:c>
      <x:c r="Q180" s="22" t="n">
        <x:f>SUMIFS('Tasks'!$Z$7:$Z$246,'Tasks'!$C$7:$C$246,$A180,'Tasks'!$L$7:$L$246,$D180,'Tasks'!$F$7:$F$246,$B180)</x:f>
        <x:v>72.00000000000003</x:v>
      </x:c>
      <x:c r="R180" s="22" t="n">
        <x:f>SUMIFS('Tasks'!$AA$7:$AA$246,'Tasks'!$C$7:$C$246,$A180,'Tasks'!$L$7:$L$246,$D180,'Tasks'!$F$7:$F$246,$B180)</x:f>
        <x:v>24.685240000000043</x:v>
      </x:c>
      <x:c r="S180" s="31" t="n">
        <x:f>IF(K180=0,"N/A",R180/K180)</x:f>
        <x:v>0.5217238764394039</x:v>
      </x:c>
      <x:c r="T180" s="19" t="n">
        <x:f>SUMIFS('Tasks'!$I$7:$I$246,'Tasks'!$C$7:$C$246,$A180,'Tasks'!$L$7:$L$246,$D180,'Tasks'!$F$7:$F$246,$B180)</x:f>
        <x:v>0.9400000000000001</x:v>
      </x:c>
      <x:c r="U180" s="31" t="n">
        <x:f>IF(O180=0,"N/A",T180/O180)</x:f>
        <x:v>0.07945900253592562</x:v>
      </x:c>
      <x:c r="V180" s="17" t="n">
        <x:f>SUMIFS('Tasks'!$X$7:$X$246,'Tasks'!$C$7:$C$246,$A180,'Tasks'!$L$7:$L$246,$D180,'Tasks'!$F$7:$F$246,$B180)</x:f>
        <x:v>10</x:v>
      </x:c>
      <x:c r="W180" s="31" t="n">
        <x:f>IF(L180=0,"N/A",V180/L180)</x:f>
        <x:v>0.23255813953488372</x:v>
      </x:c>
      <x:c r="X180" s="17" t="n">
        <x:f>COUNTIFS('Tasks'!$C$7:$C$246,$A180,'Tasks'!$L$7:$L$246,$D180,'Tasks'!$F$7:$F$246,$B180,'Tasks'!$L$7:$L$246,"Yes")</x:f>
        <x:v>0</x:v>
      </x:c>
      <x:c r="Y180" s="17" t="n">
        <x:f>COUNTIFS('Tasks'!$C$7:$C$246,$A180,'Tasks'!$L$7:$L$246,$D180,'Tasks'!$F$7:$F$246,$B180,'Tasks'!$K$7:$K$246,"Yes")</x:f>
        <x:v>0</x:v>
      </x:c>
      <x:c r="Z180" s="17" t="n">
        <x:f>COUNTIFS('Tasks'!$C$7:$C$246,$A180,'Tasks'!$L$7:$L$246,$D180,'Tasks'!$F$7:$F$246,$B180,'Tasks'!$AA$7:$AA$246,"&gt;0")</x:f>
        <x:v>2</x:v>
      </x:c>
      <x:c r="AA180" s="17" t="n">
        <x:f>COUNTIFS('Tasks'!$C$7:$C$246,$A180,'Tasks'!$L$7:$L$246,$D180,'Tasks'!$F$7:$F$246,$B180,'Tasks'!$AA$7:$AA$246,"&lt;0")</x:f>
        <x:v>1</x:v>
      </x:c>
      <x:c r="AB180" s="19" t="n">
        <x:f>IF(E180=0,"N/A",V180/E180)</x:f>
        <x:v>3.3333333333333335</x:v>
      </x:c>
      <x:c r="AC180" s="22" t="n">
        <x:f>IF(E180=0,"N/A",K180/E180)</x:f>
        <x:v>15.771586666666664</x:v>
      </x:c>
      <x:c r="AD180" s="19" t="n">
        <x:f>IF(E180=0,"N/A",P180/E180)</x:f>
        <x:v>0.48000000000000026</x:v>
      </x:c>
    </x:row>
    <x:row r="181" ht="23" customHeight="1">
      <x:c r="A181" s="17" t="str">
        <x:v>C004</x:v>
      </x:c>
      <x:c r="B181" s="17" t="str">
        <x:v>Summarize audience insights</x:v>
      </x:c>
      <x:c r="C181" s="17" t="str">
        <x:v>prompt_template_used</x:v>
      </x:c>
      <x:c r="D181" s="17" t="str">
        <x:v>Yes</x:v>
      </x:c>
      <x:c r="E181" s="17" t="n">
        <x:f>COUNTIFS('Tasks'!$C$7:$C$246,$A181,'Tasks'!$L$7:$L$246,$D181,'Tasks'!$F$7:$F$246,$B181)</x:f>
        <x:v>2</x:v>
      </x:c>
      <x:c r="F181" s="17" t="n">
        <x:f>SUMIFS('Tasks'!$O$7:$O$246,'Tasks'!$C$7:$C$246,$A181,'Tasks'!$L$7:$L$246,$D181,'Tasks'!$F$7:$F$246,$B181)</x:f>
        <x:v>438756</x:v>
      </x:c>
      <x:c r="G181" s="17" t="n">
        <x:f>SUMIFS('Tasks'!$P$7:$P$246,'Tasks'!$C$7:$C$246,$A181,'Tasks'!$L$7:$L$246,$D181,'Tasks'!$F$7:$F$246,$B181)</x:f>
        <x:v>86086</x:v>
      </x:c>
      <x:c r="H181" s="17" t="n">
        <x:f>SUMIFS('Tasks'!$Q$7:$Q$246,'Tasks'!$C$7:$C$246,$A181,'Tasks'!$L$7:$L$246,$D181,'Tasks'!$F$7:$F$246,$B181)</x:f>
        <x:v>524842</x:v>
      </x:c>
      <x:c r="I181" s="22" t="n">
        <x:f>SUMIFS('Tasks'!$S$7:$S$246,'Tasks'!$C$7:$C$246,$A181,'Tasks'!$L$7:$L$246,$D181,'Tasks'!$F$7:$F$246,$B181)</x:f>
        <x:v>4.387560000000001</x:v>
      </x:c>
      <x:c r="J181" s="22" t="n">
        <x:f>SUMIFS('Tasks'!$T$7:$T$246,'Tasks'!$C$7:$C$246,$A181,'Tasks'!$L$7:$L$246,$D181,'Tasks'!$F$7:$F$246,$B181)</x:f>
        <x:v>2.5825799999999997</x:v>
      </x:c>
      <x:c r="K181" s="22" t="n">
        <x:f>SUMIFS('Tasks'!$U$7:$U$246,'Tasks'!$C$7:$C$246,$A181,'Tasks'!$L$7:$L$246,$D181,'Tasks'!$F$7:$F$246,$B181)</x:f>
        <x:v>6.970140000000001</x:v>
      </x:c>
      <x:c r="L181" s="17" t="n">
        <x:f>SUMIFS('Tasks'!$R$7:$R$246,'Tasks'!$C$7:$C$246,$A181,'Tasks'!$L$7:$L$246,$D181,'Tasks'!$F$7:$F$246,$B181)</x:f>
        <x:v>27</x:v>
      </x:c>
      <x:c r="M181" s="22" t="n">
        <x:f>IF(L181=0,"N/A",K181/L181)</x:f>
        <x:v>0.25815333333333335</x:v>
      </x:c>
      <x:c r="N181" s="19" t="n">
        <x:f>SUMIFS('Tasks'!$G$7:$G$246,'Tasks'!$C$7:$C$246,$A181,'Tasks'!$L$7:$L$246,$D181,'Tasks'!$F$7:$F$246,$B181)</x:f>
        <x:v>9.82</x:v>
      </x:c>
      <x:c r="O181" s="19" t="n">
        <x:f>SUMIFS('Tasks'!$H$7:$H$246,'Tasks'!$C$7:$C$246,$A181,'Tasks'!$L$7:$L$246,$D181,'Tasks'!$F$7:$F$246,$B181)</x:f>
        <x:v>7.470000000000001</x:v>
      </x:c>
      <x:c r="P181" s="19" t="n">
        <x:f>SUMIFS('Tasks'!$Y$7:$Y$246,'Tasks'!$C$7:$C$246,$A181,'Tasks'!$L$7:$L$246,$D181,'Tasks'!$F$7:$F$246,$B181)</x:f>
        <x:v>2.35</x:v>
      </x:c>
      <x:c r="Q181" s="22" t="n">
        <x:f>SUMIFS('Tasks'!$Z$7:$Z$246,'Tasks'!$C$7:$C$246,$A181,'Tasks'!$L$7:$L$246,$D181,'Tasks'!$F$7:$F$246,$B181)</x:f>
        <x:v>117.5</x:v>
      </x:c>
      <x:c r="R181" s="22" t="n">
        <x:f>SUMIFS('Tasks'!$AA$7:$AA$246,'Tasks'!$C$7:$C$246,$A181,'Tasks'!$L$7:$L$246,$D181,'Tasks'!$F$7:$F$246,$B181)</x:f>
        <x:v>110.52986</x:v>
      </x:c>
      <x:c r="S181" s="31" t="n">
        <x:f>IF(K181=0,"N/A",R181/K181)</x:f>
        <x:v>15.8576240936337</x:v>
      </x:c>
      <x:c r="T181" s="19" t="n">
        <x:f>SUMIFS('Tasks'!$I$7:$I$246,'Tasks'!$C$7:$C$246,$A181,'Tasks'!$L$7:$L$246,$D181,'Tasks'!$F$7:$F$246,$B181)</x:f>
        <x:v>1.0699999999999998</x:v>
      </x:c>
      <x:c r="U181" s="31" t="n">
        <x:f>IF(O181=0,"N/A",T181/O181)</x:f>
        <x:v>0.143239625167336</x:v>
      </x:c>
      <x:c r="V181" s="17" t="n">
        <x:f>SUMIFS('Tasks'!$X$7:$X$246,'Tasks'!$C$7:$C$246,$A181,'Tasks'!$L$7:$L$246,$D181,'Tasks'!$F$7:$F$246,$B181)</x:f>
        <x:v>6</x:v>
      </x:c>
      <x:c r="W181" s="31" t="n">
        <x:f>IF(L181=0,"N/A",V181/L181)</x:f>
        <x:v>0.2222222222222222</x:v>
      </x:c>
      <x:c r="X181" s="17" t="n">
        <x:f>COUNTIFS('Tasks'!$C$7:$C$246,$A181,'Tasks'!$L$7:$L$246,$D181,'Tasks'!$F$7:$F$246,$B181,'Tasks'!$L$7:$L$246,"Yes")</x:f>
        <x:v>2</x:v>
      </x:c>
      <x:c r="Y181" s="17" t="n">
        <x:f>COUNTIFS('Tasks'!$C$7:$C$246,$A181,'Tasks'!$L$7:$L$246,$D181,'Tasks'!$F$7:$F$246,$B181,'Tasks'!$K$7:$K$246,"Yes")</x:f>
        <x:v>0</x:v>
      </x:c>
      <x:c r="Z181" s="17" t="n">
        <x:f>COUNTIFS('Tasks'!$C$7:$C$246,$A181,'Tasks'!$L$7:$L$246,$D181,'Tasks'!$F$7:$F$246,$B181,'Tasks'!$AA$7:$AA$246,"&gt;0")</x:f>
        <x:v>1</x:v>
      </x:c>
      <x:c r="AA181" s="17" t="n">
        <x:f>COUNTIFS('Tasks'!$C$7:$C$246,$A181,'Tasks'!$L$7:$L$246,$D181,'Tasks'!$F$7:$F$246,$B181,'Tasks'!$AA$7:$AA$246,"&lt;0")</x:f>
        <x:v>1</x:v>
      </x:c>
      <x:c r="AB181" s="19" t="n">
        <x:f>IF(E181=0,"N/A",V181/E181)</x:f>
        <x:v>3</x:v>
      </x:c>
      <x:c r="AC181" s="22" t="n">
        <x:f>IF(E181=0,"N/A",K181/E181)</x:f>
        <x:v>3.4850700000000003</x:v>
      </x:c>
      <x:c r="AD181" s="19" t="n">
        <x:f>IF(E181=0,"N/A",P181/E181)</x:f>
        <x:v>1.175</x:v>
      </x:c>
    </x:row>
    <x:row r="182" ht="23" customHeight="1">
      <x:c r="A182" s="17" t="str">
        <x:v>C004</x:v>
      </x:c>
      <x:c r="B182" s="17" t="str">
        <x:v>Summarize audience insights</x:v>
      </x:c>
      <x:c r="C182" s="17" t="str">
        <x:v>brief_changed</x:v>
      </x:c>
      <x:c r="D182" s="17" t="str">
        <x:v>No</x:v>
      </x:c>
      <x:c r="E182" s="17" t="n">
        <x:f>COUNTIFS('Tasks'!$C$7:$C$246,$A182,'Tasks'!$K$7:$K$246,$D182,'Tasks'!$F$7:$F$246,$B182)</x:f>
        <x:v>5</x:v>
      </x:c>
      <x:c r="F182" s="17" t="n">
        <x:f>SUMIFS('Tasks'!$O$7:$O$246,'Tasks'!$C$7:$C$246,$A182,'Tasks'!$K$7:$K$246,$D182,'Tasks'!$F$7:$F$246,$B182)</x:f>
        <x:v>1386614</x:v>
      </x:c>
      <x:c r="G182" s="17" t="n">
        <x:f>SUMIFS('Tasks'!$P$7:$P$246,'Tasks'!$C$7:$C$246,$A182,'Tasks'!$K$7:$K$246,$D182,'Tasks'!$F$7:$F$246,$B182)</x:f>
        <x:v>311789</x:v>
      </x:c>
      <x:c r="H182" s="17" t="n">
        <x:f>SUMIFS('Tasks'!$Q$7:$Q$246,'Tasks'!$C$7:$C$246,$A182,'Tasks'!$K$7:$K$246,$D182,'Tasks'!$F$7:$F$246,$B182)</x:f>
        <x:v>1698403</x:v>
      </x:c>
      <x:c r="I182" s="22" t="n">
        <x:f>SUMIFS('Tasks'!$S$7:$S$246,'Tasks'!$C$7:$C$246,$A182,'Tasks'!$K$7:$K$246,$D182,'Tasks'!$F$7:$F$246,$B182)</x:f>
        <x:v>32.13026</x:v>
      </x:c>
      <x:c r="J182" s="22" t="n">
        <x:f>SUMIFS('Tasks'!$T$7:$T$246,'Tasks'!$C$7:$C$246,$A182,'Tasks'!$K$7:$K$246,$D182,'Tasks'!$F$7:$F$246,$B182)</x:f>
        <x:v>22.154639999999997</x:v>
      </x:c>
      <x:c r="K182" s="22" t="n">
        <x:f>SUMIFS('Tasks'!$U$7:$U$246,'Tasks'!$C$7:$C$246,$A182,'Tasks'!$K$7:$K$246,$D182,'Tasks'!$F$7:$F$246,$B182)</x:f>
        <x:v>54.28489999999999</x:v>
      </x:c>
      <x:c r="L182" s="17" t="n">
        <x:f>SUMIFS('Tasks'!$R$7:$R$246,'Tasks'!$C$7:$C$246,$A182,'Tasks'!$K$7:$K$246,$D182,'Tasks'!$F$7:$F$246,$B182)</x:f>
        <x:v>70</x:v>
      </x:c>
      <x:c r="M182" s="22" t="n">
        <x:f>IF(L182=0,"N/A",K182/L182)</x:f>
        <x:v>0.7754985714285714</x:v>
      </x:c>
      <x:c r="N182" s="19" t="n">
        <x:f>SUMIFS('Tasks'!$G$7:$G$246,'Tasks'!$C$7:$C$246,$A182,'Tasks'!$K$7:$K$246,$D182,'Tasks'!$F$7:$F$246,$B182)</x:f>
        <x:v>23.090000000000003</x:v>
      </x:c>
      <x:c r="O182" s="19" t="n">
        <x:f>SUMIFS('Tasks'!$H$7:$H$246,'Tasks'!$C$7:$C$246,$A182,'Tasks'!$K$7:$K$246,$D182,'Tasks'!$F$7:$F$246,$B182)</x:f>
        <x:v>19.3</x:v>
      </x:c>
      <x:c r="P182" s="19" t="n">
        <x:f>SUMIFS('Tasks'!$Y$7:$Y$246,'Tasks'!$C$7:$C$246,$A182,'Tasks'!$K$7:$K$246,$D182,'Tasks'!$F$7:$F$246,$B182)</x:f>
        <x:v>3.790000000000001</x:v>
      </x:c>
      <x:c r="Q182" s="22" t="n">
        <x:f>SUMIFS('Tasks'!$Z$7:$Z$246,'Tasks'!$C$7:$C$246,$A182,'Tasks'!$K$7:$K$246,$D182,'Tasks'!$F$7:$F$246,$B182)</x:f>
        <x:v>189.50000000000006</x:v>
      </x:c>
      <x:c r="R182" s="22" t="n">
        <x:f>SUMIFS('Tasks'!$AA$7:$AA$246,'Tasks'!$C$7:$C$246,$A182,'Tasks'!$K$7:$K$246,$D182,'Tasks'!$F$7:$F$246,$B182)</x:f>
        <x:v>135.21510000000004</x:v>
      </x:c>
      <x:c r="S182" s="31" t="n">
        <x:f>IF(K182=0,"N/A",R182/K182)</x:f>
        <x:v>2.4908418363117564</x:v>
      </x:c>
      <x:c r="T182" s="19" t="n">
        <x:f>SUMIFS('Tasks'!$I$7:$I$246,'Tasks'!$C$7:$C$246,$A182,'Tasks'!$K$7:$K$246,$D182,'Tasks'!$F$7:$F$246,$B182)</x:f>
        <x:v>2.01</x:v>
      </x:c>
      <x:c r="U182" s="31" t="n">
        <x:f>IF(O182=0,"N/A",T182/O182)</x:f>
        <x:v>0.10414507772020724</x:v>
      </x:c>
      <x:c r="V182" s="17" t="n">
        <x:f>SUMIFS('Tasks'!$X$7:$X$246,'Tasks'!$C$7:$C$246,$A182,'Tasks'!$K$7:$K$246,$D182,'Tasks'!$F$7:$F$246,$B182)</x:f>
        <x:v>16</x:v>
      </x:c>
      <x:c r="W182" s="31" t="n">
        <x:f>IF(L182=0,"N/A",V182/L182)</x:f>
        <x:v>0.22857142857142856</x:v>
      </x:c>
      <x:c r="X182" s="17" t="n">
        <x:f>COUNTIFS('Tasks'!$C$7:$C$246,$A182,'Tasks'!$K$7:$K$246,$D182,'Tasks'!$F$7:$F$246,$B182,'Tasks'!$L$7:$L$246,"Yes")</x:f>
        <x:v>2</x:v>
      </x:c>
      <x:c r="Y182" s="17" t="n">
        <x:f>COUNTIFS('Tasks'!$C$7:$C$246,$A182,'Tasks'!$K$7:$K$246,$D182,'Tasks'!$F$7:$F$246,$B182,'Tasks'!$K$7:$K$246,"Yes")</x:f>
        <x:v>0</x:v>
      </x:c>
      <x:c r="Z182" s="17" t="n">
        <x:f>COUNTIFS('Tasks'!$C$7:$C$246,$A182,'Tasks'!$K$7:$K$246,$D182,'Tasks'!$F$7:$F$246,$B182,'Tasks'!$AA$7:$AA$246,"&gt;0")</x:f>
        <x:v>3</x:v>
      </x:c>
      <x:c r="AA182" s="17" t="n">
        <x:f>COUNTIFS('Tasks'!$C$7:$C$246,$A182,'Tasks'!$K$7:$K$246,$D182,'Tasks'!$F$7:$F$246,$B182,'Tasks'!$AA$7:$AA$246,"&lt;0")</x:f>
        <x:v>2</x:v>
      </x:c>
      <x:c r="AB182" s="19" t="n">
        <x:f>IF(E182=0,"N/A",V182/E182)</x:f>
        <x:v>3.2</x:v>
      </x:c>
      <x:c r="AC182" s="22" t="n">
        <x:f>IF(E182=0,"N/A",K182/E182)</x:f>
        <x:v>10.856979999999998</x:v>
      </x:c>
      <x:c r="AD182" s="19" t="n">
        <x:f>IF(E182=0,"N/A",P182/E182)</x:f>
        <x:v>0.7580000000000002</x:v>
      </x:c>
    </x:row>
    <x:row r="183" ht="23" customHeight="1">
      <x:c r="A183" s="17" t="str">
        <x:v>C004</x:v>
      </x:c>
      <x:c r="B183" s="17" t="str">
        <x:v>Write ad copy</x:v>
      </x:c>
      <x:c r="C183" s="17" t="str">
        <x:v>prompt_template_used</x:v>
      </x:c>
      <x:c r="D183" s="17" t="str">
        <x:v>No</x:v>
      </x:c>
      <x:c r="E183" s="17" t="n">
        <x:f>COUNTIFS('Tasks'!$C$7:$C$246,$A183,'Tasks'!$L$7:$L$246,$D183,'Tasks'!$F$7:$F$246,$B183)</x:f>
        <x:v>2</x:v>
      </x:c>
      <x:c r="F183" s="17" t="n">
        <x:f>SUMIFS('Tasks'!$O$7:$O$246,'Tasks'!$C$7:$C$246,$A183,'Tasks'!$L$7:$L$246,$D183,'Tasks'!$F$7:$F$246,$B183)</x:f>
        <x:v>671827</x:v>
      </x:c>
      <x:c r="G183" s="17" t="n">
        <x:f>SUMIFS('Tasks'!$P$7:$P$246,'Tasks'!$C$7:$C$246,$A183,'Tasks'!$L$7:$L$246,$D183,'Tasks'!$F$7:$F$246,$B183)</x:f>
        <x:v>105899</x:v>
      </x:c>
      <x:c r="H183" s="17" t="n">
        <x:f>SUMIFS('Tasks'!$Q$7:$Q$246,'Tasks'!$C$7:$C$246,$A183,'Tasks'!$L$7:$L$246,$D183,'Tasks'!$F$7:$F$246,$B183)</x:f>
        <x:v>777726</x:v>
      </x:c>
      <x:c r="I183" s="22" t="n">
        <x:f>SUMIFS('Tasks'!$S$7:$S$246,'Tasks'!$C$7:$C$246,$A183,'Tasks'!$L$7:$L$246,$D183,'Tasks'!$F$7:$F$246,$B183)</x:f>
        <x:v>14.96434</x:v>
      </x:c>
      <x:c r="J183" s="22" t="n">
        <x:f>SUMIFS('Tasks'!$T$7:$T$246,'Tasks'!$C$7:$C$246,$A183,'Tasks'!$L$7:$L$246,$D183,'Tasks'!$F$7:$F$246,$B183)</x:f>
        <x:v>7.657390000000001</x:v>
      </x:c>
      <x:c r="K183" s="22" t="n">
        <x:f>SUMIFS('Tasks'!$U$7:$U$246,'Tasks'!$C$7:$C$246,$A183,'Tasks'!$L$7:$L$246,$D183,'Tasks'!$F$7:$F$246,$B183)</x:f>
        <x:v>22.621730000000007</x:v>
      </x:c>
      <x:c r="L183" s="17" t="n">
        <x:f>SUMIFS('Tasks'!$R$7:$R$246,'Tasks'!$C$7:$C$246,$A183,'Tasks'!$L$7:$L$246,$D183,'Tasks'!$F$7:$F$246,$B183)</x:f>
        <x:v>26</x:v>
      </x:c>
      <x:c r="M183" s="22" t="n">
        <x:f>IF(L183=0,"N/A",K183/L183)</x:f>
        <x:v>0.8700665384615387</x:v>
      </x:c>
      <x:c r="N183" s="19" t="n">
        <x:f>SUMIFS('Tasks'!$G$7:$G$246,'Tasks'!$C$7:$C$246,$A183,'Tasks'!$L$7:$L$246,$D183,'Tasks'!$F$7:$F$246,$B183)</x:f>
        <x:v>9.5</x:v>
      </x:c>
      <x:c r="O183" s="19" t="n">
        <x:f>SUMIFS('Tasks'!$H$7:$H$246,'Tasks'!$C$7:$C$246,$A183,'Tasks'!$L$7:$L$246,$D183,'Tasks'!$F$7:$F$246,$B183)</x:f>
        <x:v>7.73</x:v>
      </x:c>
      <x:c r="P183" s="19" t="n">
        <x:f>SUMIFS('Tasks'!$Y$7:$Y$246,'Tasks'!$C$7:$C$246,$A183,'Tasks'!$L$7:$L$246,$D183,'Tasks'!$F$7:$F$246,$B183)</x:f>
        <x:v>1.77</x:v>
      </x:c>
      <x:c r="Q183" s="22" t="n">
        <x:f>SUMIFS('Tasks'!$Z$7:$Z$246,'Tasks'!$C$7:$C$246,$A183,'Tasks'!$L$7:$L$246,$D183,'Tasks'!$F$7:$F$246,$B183)</x:f>
        <x:v>88.5</x:v>
      </x:c>
      <x:c r="R183" s="22" t="n">
        <x:f>SUMIFS('Tasks'!$AA$7:$AA$246,'Tasks'!$C$7:$C$246,$A183,'Tasks'!$L$7:$L$246,$D183,'Tasks'!$F$7:$F$246,$B183)</x:f>
        <x:v>65.87827</x:v>
      </x:c>
      <x:c r="S183" s="31" t="n">
        <x:f>IF(K183=0,"N/A",R183/K183)</x:f>
        <x:v>2.912167637046326</x:v>
      </x:c>
      <x:c r="T183" s="19" t="n">
        <x:f>SUMIFS('Tasks'!$I$7:$I$246,'Tasks'!$C$7:$C$246,$A183,'Tasks'!$L$7:$L$246,$D183,'Tasks'!$F$7:$F$246,$B183)</x:f>
        <x:v>0.6</x:v>
      </x:c>
      <x:c r="U183" s="31" t="n">
        <x:f>IF(O183=0,"N/A",T183/O183)</x:f>
        <x:v>0.07761966364812418</x:v>
      </x:c>
      <x:c r="V183" s="17" t="n">
        <x:f>SUMIFS('Tasks'!$X$7:$X$246,'Tasks'!$C$7:$C$246,$A183,'Tasks'!$L$7:$L$246,$D183,'Tasks'!$F$7:$F$246,$B183)</x:f>
        <x:v>5</x:v>
      </x:c>
      <x:c r="W183" s="31" t="n">
        <x:f>IF(L183=0,"N/A",V183/L183)</x:f>
        <x:v>0.19230769230769232</x:v>
      </x:c>
      <x:c r="X183" s="17" t="n">
        <x:f>COUNTIFS('Tasks'!$C$7:$C$246,$A183,'Tasks'!$L$7:$L$246,$D183,'Tasks'!$F$7:$F$246,$B183,'Tasks'!$L$7:$L$246,"Yes")</x:f>
        <x:v>0</x:v>
      </x:c>
      <x:c r="Y183" s="17" t="n">
        <x:f>COUNTIFS('Tasks'!$C$7:$C$246,$A183,'Tasks'!$L$7:$L$246,$D183,'Tasks'!$F$7:$F$246,$B183,'Tasks'!$K$7:$K$246,"Yes")</x:f>
        <x:v>0</x:v>
      </x:c>
      <x:c r="Z183" s="17" t="n">
        <x:f>COUNTIFS('Tasks'!$C$7:$C$246,$A183,'Tasks'!$L$7:$L$246,$D183,'Tasks'!$F$7:$F$246,$B183,'Tasks'!$AA$7:$AA$246,"&gt;0")</x:f>
        <x:v>1</x:v>
      </x:c>
      <x:c r="AA183" s="17" t="n">
        <x:f>COUNTIFS('Tasks'!$C$7:$C$246,$A183,'Tasks'!$L$7:$L$246,$D183,'Tasks'!$F$7:$F$246,$B183,'Tasks'!$AA$7:$AA$246,"&lt;0")</x:f>
        <x:v>1</x:v>
      </x:c>
      <x:c r="AB183" s="19" t="n">
        <x:f>IF(E183=0,"N/A",V183/E183)</x:f>
        <x:v>2.5</x:v>
      </x:c>
      <x:c r="AC183" s="22" t="n">
        <x:f>IF(E183=0,"N/A",K183/E183)</x:f>
        <x:v>11.310865000000003</x:v>
      </x:c>
      <x:c r="AD183" s="19" t="n">
        <x:f>IF(E183=0,"N/A",P183/E183)</x:f>
        <x:v>0.885</x:v>
      </x:c>
    </x:row>
    <x:row r="184" ht="23" customHeight="1">
      <x:c r="A184" s="17" t="str">
        <x:v>C004</x:v>
      </x:c>
      <x:c r="B184" s="17" t="str">
        <x:v>Write ad copy</x:v>
      </x:c>
      <x:c r="C184" s="17" t="str">
        <x:v>prompt_template_used</x:v>
      </x:c>
      <x:c r="D184" s="17" t="str">
        <x:v>Yes</x:v>
      </x:c>
      <x:c r="E184" s="17" t="n">
        <x:f>COUNTIFS('Tasks'!$C$7:$C$246,$A184,'Tasks'!$L$7:$L$246,$D184,'Tasks'!$F$7:$F$246,$B184)</x:f>
        <x:v>3</x:v>
      </x:c>
      <x:c r="F184" s="17" t="n">
        <x:f>SUMIFS('Tasks'!$O$7:$O$246,'Tasks'!$C$7:$C$246,$A184,'Tasks'!$L$7:$L$246,$D184,'Tasks'!$F$7:$F$246,$B184)</x:f>
        <x:v>906248</x:v>
      </x:c>
      <x:c r="G184" s="17" t="n">
        <x:f>SUMIFS('Tasks'!$P$7:$P$246,'Tasks'!$C$7:$C$246,$A184,'Tasks'!$L$7:$L$246,$D184,'Tasks'!$F$7:$F$246,$B184)</x:f>
        <x:v>170603</x:v>
      </x:c>
      <x:c r="H184" s="17" t="n">
        <x:f>SUMIFS('Tasks'!$Q$7:$Q$246,'Tasks'!$C$7:$C$246,$A184,'Tasks'!$L$7:$L$246,$D184,'Tasks'!$F$7:$F$246,$B184)</x:f>
        <x:v>1076851</x:v>
      </x:c>
      <x:c r="I184" s="22" t="n">
        <x:f>SUMIFS('Tasks'!$S$7:$S$246,'Tasks'!$C$7:$C$246,$A184,'Tasks'!$L$7:$L$246,$D184,'Tasks'!$F$7:$F$246,$B184)</x:f>
        <x:v>18.513260000000002</x:v>
      </x:c>
      <x:c r="J184" s="22" t="n">
        <x:f>SUMIFS('Tasks'!$T$7:$T$246,'Tasks'!$C$7:$C$246,$A184,'Tasks'!$L$7:$L$246,$D184,'Tasks'!$F$7:$F$246,$B184)</x:f>
        <x:v>11.277389999999999</x:v>
      </x:c>
      <x:c r="K184" s="22" t="n">
        <x:f>SUMIFS('Tasks'!$U$7:$U$246,'Tasks'!$C$7:$C$246,$A184,'Tasks'!$L$7:$L$246,$D184,'Tasks'!$F$7:$F$246,$B184)</x:f>
        <x:v>29.79065</x:v>
      </x:c>
      <x:c r="L184" s="17" t="n">
        <x:f>SUMIFS('Tasks'!$R$7:$R$246,'Tasks'!$C$7:$C$246,$A184,'Tasks'!$L$7:$L$246,$D184,'Tasks'!$F$7:$F$246,$B184)</x:f>
        <x:v>40</x:v>
      </x:c>
      <x:c r="M184" s="22" t="n">
        <x:f>IF(L184=0,"N/A",K184/L184)</x:f>
        <x:v>0.74476625</x:v>
      </x:c>
      <x:c r="N184" s="19" t="n">
        <x:f>SUMIFS('Tasks'!$G$7:$G$246,'Tasks'!$C$7:$C$246,$A184,'Tasks'!$L$7:$L$246,$D184,'Tasks'!$F$7:$F$246,$B184)</x:f>
        <x:v>12.66</x:v>
      </x:c>
      <x:c r="O184" s="19" t="n">
        <x:f>SUMIFS('Tasks'!$H$7:$H$246,'Tasks'!$C$7:$C$246,$A184,'Tasks'!$L$7:$L$246,$D184,'Tasks'!$F$7:$F$246,$B184)</x:f>
        <x:v>10.29</x:v>
      </x:c>
      <x:c r="P184" s="19" t="n">
        <x:f>SUMIFS('Tasks'!$Y$7:$Y$246,'Tasks'!$C$7:$C$246,$A184,'Tasks'!$L$7:$L$246,$D184,'Tasks'!$F$7:$F$246,$B184)</x:f>
        <x:v>2.3699999999999997</x:v>
      </x:c>
      <x:c r="Q184" s="22" t="n">
        <x:f>SUMIFS('Tasks'!$Z$7:$Z$246,'Tasks'!$C$7:$C$246,$A184,'Tasks'!$L$7:$L$246,$D184,'Tasks'!$F$7:$F$246,$B184)</x:f>
        <x:v>118.49999999999999</x:v>
      </x:c>
      <x:c r="R184" s="22" t="n">
        <x:f>SUMIFS('Tasks'!$AA$7:$AA$246,'Tasks'!$C$7:$C$246,$A184,'Tasks'!$L$7:$L$246,$D184,'Tasks'!$F$7:$F$246,$B184)</x:f>
        <x:v>88.70935</x:v>
      </x:c>
      <x:c r="S184" s="31" t="n">
        <x:f>IF(K184=0,"N/A",R184/K184)</x:f>
        <x:v>2.9777581220953553</x:v>
      </x:c>
      <x:c r="T184" s="19" t="n">
        <x:f>SUMIFS('Tasks'!$I$7:$I$246,'Tasks'!$C$7:$C$246,$A184,'Tasks'!$L$7:$L$246,$D184,'Tasks'!$F$7:$F$246,$B184)</x:f>
        <x:v>1.0799999999999998</x:v>
      </x:c>
      <x:c r="U184" s="31" t="n">
        <x:f>IF(O184=0,"N/A",T184/O184)</x:f>
        <x:v>0.10495626822157433</x:v>
      </x:c>
      <x:c r="V184" s="17" t="n">
        <x:f>SUMIFS('Tasks'!$X$7:$X$246,'Tasks'!$C$7:$C$246,$A184,'Tasks'!$L$7:$L$246,$D184,'Tasks'!$F$7:$F$246,$B184)</x:f>
        <x:v>9</x:v>
      </x:c>
      <x:c r="W184" s="31" t="n">
        <x:f>IF(L184=0,"N/A",V184/L184)</x:f>
        <x:v>0.225</x:v>
      </x:c>
      <x:c r="X184" s="17" t="n">
        <x:f>COUNTIFS('Tasks'!$C$7:$C$246,$A184,'Tasks'!$L$7:$L$246,$D184,'Tasks'!$F$7:$F$246,$B184,'Tasks'!$L$7:$L$246,"Yes")</x:f>
        <x:v>3</x:v>
      </x:c>
      <x:c r="Y184" s="17" t="n">
        <x:f>COUNTIFS('Tasks'!$C$7:$C$246,$A184,'Tasks'!$L$7:$L$246,$D184,'Tasks'!$F$7:$F$246,$B184,'Tasks'!$K$7:$K$246,"Yes")</x:f>
        <x:v>2</x:v>
      </x:c>
      <x:c r="Z184" s="17" t="n">
        <x:f>COUNTIFS('Tasks'!$C$7:$C$246,$A184,'Tasks'!$L$7:$L$246,$D184,'Tasks'!$F$7:$F$246,$B184,'Tasks'!$AA$7:$AA$246,"&gt;0")</x:f>
        <x:v>2</x:v>
      </x:c>
      <x:c r="AA184" s="17" t="n">
        <x:f>COUNTIFS('Tasks'!$C$7:$C$246,$A184,'Tasks'!$L$7:$L$246,$D184,'Tasks'!$F$7:$F$246,$B184,'Tasks'!$AA$7:$AA$246,"&lt;0")</x:f>
        <x:v>1</x:v>
      </x:c>
      <x:c r="AB184" s="19" t="n">
        <x:f>IF(E184=0,"N/A",V184/E184)</x:f>
        <x:v>3</x:v>
      </x:c>
      <x:c r="AC184" s="22" t="n">
        <x:f>IF(E184=0,"N/A",K184/E184)</x:f>
        <x:v>9.930216666666666</x:v>
      </x:c>
      <x:c r="AD184" s="19" t="n">
        <x:f>IF(E184=0,"N/A",P184/E184)</x:f>
        <x:v>0.7899999999999999</x:v>
      </x:c>
    </x:row>
    <x:row r="185" ht="23" customHeight="1">
      <x:c r="A185" s="17" t="str">
        <x:v>C004</x:v>
      </x:c>
      <x:c r="B185" s="17" t="str">
        <x:v>Write ad copy</x:v>
      </x:c>
      <x:c r="C185" s="17" t="str">
        <x:v>brief_changed</x:v>
      </x:c>
      <x:c r="D185" s="17" t="str">
        <x:v>No</x:v>
      </x:c>
      <x:c r="E185" s="17" t="n">
        <x:f>COUNTIFS('Tasks'!$C$7:$C$246,$A185,'Tasks'!$K$7:$K$246,$D185,'Tasks'!$F$7:$F$246,$B185)</x:f>
        <x:v>3</x:v>
      </x:c>
      <x:c r="F185" s="17" t="n">
        <x:f>SUMIFS('Tasks'!$O$7:$O$246,'Tasks'!$C$7:$C$246,$A185,'Tasks'!$K$7:$K$246,$D185,'Tasks'!$F$7:$F$246,$B185)</x:f>
        <x:v>1048109</x:v>
      </x:c>
      <x:c r="G185" s="17" t="n">
        <x:f>SUMIFS('Tasks'!$P$7:$P$246,'Tasks'!$C$7:$C$246,$A185,'Tasks'!$K$7:$K$246,$D185,'Tasks'!$F$7:$F$246,$B185)</x:f>
        <x:v>155649</x:v>
      </x:c>
      <x:c r="H185" s="17" t="n">
        <x:f>SUMIFS('Tasks'!$Q$7:$Q$246,'Tasks'!$C$7:$C$246,$A185,'Tasks'!$K$7:$K$246,$D185,'Tasks'!$F$7:$F$246,$B185)</x:f>
        <x:v>1203758</x:v>
      </x:c>
      <x:c r="I185" s="22" t="n">
        <x:f>SUMIFS('Tasks'!$S$7:$S$246,'Tasks'!$C$7:$C$246,$A185,'Tasks'!$K$7:$K$246,$D185,'Tasks'!$F$7:$F$246,$B185)</x:f>
        <x:v>18.72716</x:v>
      </x:c>
      <x:c r="J185" s="22" t="n">
        <x:f>SUMIFS('Tasks'!$T$7:$T$246,'Tasks'!$C$7:$C$246,$A185,'Tasks'!$K$7:$K$246,$D185,'Tasks'!$F$7:$F$246,$B185)</x:f>
        <x:v>9.149890000000001</x:v>
      </x:c>
      <x:c r="K185" s="22" t="n">
        <x:f>SUMIFS('Tasks'!$U$7:$U$246,'Tasks'!$C$7:$C$246,$A185,'Tasks'!$K$7:$K$246,$D185,'Tasks'!$F$7:$F$246,$B185)</x:f>
        <x:v>27.877050000000004</x:v>
      </x:c>
      <x:c r="L185" s="17" t="n">
        <x:f>SUMIFS('Tasks'!$R$7:$R$246,'Tasks'!$C$7:$C$246,$A185,'Tasks'!$K$7:$K$246,$D185,'Tasks'!$F$7:$F$246,$B185)</x:f>
        <x:v>41</x:v>
      </x:c>
      <x:c r="M185" s="22" t="n">
        <x:f>IF(L185=0,"N/A",K185/L185)</x:f>
        <x:v>0.679928048780488</x:v>
      </x:c>
      <x:c r="N185" s="19" t="n">
        <x:f>SUMIFS('Tasks'!$G$7:$G$246,'Tasks'!$C$7:$C$246,$A185,'Tasks'!$K$7:$K$246,$D185,'Tasks'!$F$7:$F$246,$B185)</x:f>
        <x:v>14.05</x:v>
      </x:c>
      <x:c r="O185" s="19" t="n">
        <x:f>SUMIFS('Tasks'!$H$7:$H$246,'Tasks'!$C$7:$C$246,$A185,'Tasks'!$K$7:$K$246,$D185,'Tasks'!$F$7:$F$246,$B185)</x:f>
        <x:v>12.29</x:v>
      </x:c>
      <x:c r="P185" s="19" t="n">
        <x:f>SUMIFS('Tasks'!$Y$7:$Y$246,'Tasks'!$C$7:$C$246,$A185,'Tasks'!$K$7:$K$246,$D185,'Tasks'!$F$7:$F$246,$B185)</x:f>
        <x:v>1.7600000000000002</x:v>
      </x:c>
      <x:c r="Q185" s="22" t="n">
        <x:f>SUMIFS('Tasks'!$Z$7:$Z$246,'Tasks'!$C$7:$C$246,$A185,'Tasks'!$K$7:$K$246,$D185,'Tasks'!$F$7:$F$246,$B185)</x:f>
        <x:v>88.00000000000001</x:v>
      </x:c>
      <x:c r="R185" s="22" t="n">
        <x:f>SUMIFS('Tasks'!$AA$7:$AA$246,'Tasks'!$C$7:$C$246,$A185,'Tasks'!$K$7:$K$246,$D185,'Tasks'!$F$7:$F$246,$B185)</x:f>
        <x:v>60.12295000000002</x:v>
      </x:c>
      <x:c r="S185" s="31" t="n">
        <x:f>IF(K185=0,"N/A",R185/K185)</x:f>
        <x:v>2.1567185193555276</x:v>
      </x:c>
      <x:c r="T185" s="19" t="n">
        <x:f>SUMIFS('Tasks'!$I$7:$I$246,'Tasks'!$C$7:$C$246,$A185,'Tasks'!$K$7:$K$246,$D185,'Tasks'!$F$7:$F$246,$B185)</x:f>
        <x:v>1.18</x:v>
      </x:c>
      <x:c r="U185" s="31" t="n">
        <x:f>IF(O185=0,"N/A",T185/O185)</x:f>
        <x:v>0.09601301871440196</x:v>
      </x:c>
      <x:c r="V185" s="17" t="n">
        <x:f>SUMIFS('Tasks'!$X$7:$X$246,'Tasks'!$C$7:$C$246,$A185,'Tasks'!$K$7:$K$246,$D185,'Tasks'!$F$7:$F$246,$B185)</x:f>
        <x:v>7</x:v>
      </x:c>
      <x:c r="W185" s="31" t="n">
        <x:f>IF(L185=0,"N/A",V185/L185)</x:f>
        <x:v>0.17073170731707318</x:v>
      </x:c>
      <x:c r="X185" s="17" t="n">
        <x:f>COUNTIFS('Tasks'!$C$7:$C$246,$A185,'Tasks'!$K$7:$K$246,$D185,'Tasks'!$F$7:$F$246,$B185,'Tasks'!$L$7:$L$246,"Yes")</x:f>
        <x:v>1</x:v>
      </x:c>
      <x:c r="Y185" s="17" t="n">
        <x:f>COUNTIFS('Tasks'!$C$7:$C$246,$A185,'Tasks'!$K$7:$K$246,$D185,'Tasks'!$F$7:$F$246,$B185,'Tasks'!$K$7:$K$246,"Yes")</x:f>
        <x:v>0</x:v>
      </x:c>
      <x:c r="Z185" s="17" t="n">
        <x:f>COUNTIFS('Tasks'!$C$7:$C$246,$A185,'Tasks'!$K$7:$K$246,$D185,'Tasks'!$F$7:$F$246,$B185,'Tasks'!$AA$7:$AA$246,"&gt;0")</x:f>
        <x:v>1</x:v>
      </x:c>
      <x:c r="AA185" s="17" t="n">
        <x:f>COUNTIFS('Tasks'!$C$7:$C$246,$A185,'Tasks'!$K$7:$K$246,$D185,'Tasks'!$F$7:$F$246,$B185,'Tasks'!$AA$7:$AA$246,"&lt;0")</x:f>
        <x:v>2</x:v>
      </x:c>
      <x:c r="AB185" s="19" t="n">
        <x:f>IF(E185=0,"N/A",V185/E185)</x:f>
        <x:v>2.3333333333333335</x:v>
      </x:c>
      <x:c r="AC185" s="22" t="n">
        <x:f>IF(E185=0,"N/A",K185/E185)</x:f>
        <x:v>9.29235</x:v>
      </x:c>
      <x:c r="AD185" s="19" t="n">
        <x:f>IF(E185=0,"N/A",P185/E185)</x:f>
        <x:v>0.5866666666666668</x:v>
      </x:c>
    </x:row>
    <x:row r="186" ht="23" customHeight="1">
      <x:c r="A186" s="17" t="str">
        <x:v>C004</x:v>
      </x:c>
      <x:c r="B186" s="17" t="str">
        <x:v>Write ad copy</x:v>
      </x:c>
      <x:c r="C186" s="17" t="str">
        <x:v>brief_changed</x:v>
      </x:c>
      <x:c r="D186" s="17" t="str">
        <x:v>Yes</x:v>
      </x:c>
      <x:c r="E186" s="17" t="n">
        <x:f>COUNTIFS('Tasks'!$C$7:$C$246,$A186,'Tasks'!$K$7:$K$246,$D186,'Tasks'!$F$7:$F$246,$B186)</x:f>
        <x:v>2</x:v>
      </x:c>
      <x:c r="F186" s="17" t="n">
        <x:f>SUMIFS('Tasks'!$O$7:$O$246,'Tasks'!$C$7:$C$246,$A186,'Tasks'!$K$7:$K$246,$D186,'Tasks'!$F$7:$F$246,$B186)</x:f>
        <x:v>529966</x:v>
      </x:c>
      <x:c r="G186" s="17" t="n">
        <x:f>SUMIFS('Tasks'!$P$7:$P$246,'Tasks'!$C$7:$C$246,$A186,'Tasks'!$K$7:$K$246,$D186,'Tasks'!$F$7:$F$246,$B186)</x:f>
        <x:v>120853</x:v>
      </x:c>
      <x:c r="H186" s="17" t="n">
        <x:f>SUMIFS('Tasks'!$Q$7:$Q$246,'Tasks'!$C$7:$C$246,$A186,'Tasks'!$K$7:$K$246,$D186,'Tasks'!$F$7:$F$246,$B186)</x:f>
        <x:v>650819</x:v>
      </x:c>
      <x:c r="I186" s="22" t="n">
        <x:f>SUMIFS('Tasks'!$S$7:$S$246,'Tasks'!$C$7:$C$246,$A186,'Tasks'!$K$7:$K$246,$D186,'Tasks'!$F$7:$F$246,$B186)</x:f>
        <x:v>14.750440000000003</x:v>
      </x:c>
      <x:c r="J186" s="22" t="n">
        <x:f>SUMIFS('Tasks'!$T$7:$T$246,'Tasks'!$C$7:$C$246,$A186,'Tasks'!$K$7:$K$246,$D186,'Tasks'!$F$7:$F$246,$B186)</x:f>
        <x:v>9.784889999999999</x:v>
      </x:c>
      <x:c r="K186" s="22" t="n">
        <x:f>SUMIFS('Tasks'!$U$7:$U$246,'Tasks'!$C$7:$C$246,$A186,'Tasks'!$K$7:$K$246,$D186,'Tasks'!$F$7:$F$246,$B186)</x:f>
        <x:v>24.53533</x:v>
      </x:c>
      <x:c r="L186" s="17" t="n">
        <x:f>SUMIFS('Tasks'!$R$7:$R$246,'Tasks'!$C$7:$C$246,$A186,'Tasks'!$K$7:$K$246,$D186,'Tasks'!$F$7:$F$246,$B186)</x:f>
        <x:v>25</x:v>
      </x:c>
      <x:c r="M186" s="22" t="n">
        <x:f>IF(L186=0,"N/A",K186/L186)</x:f>
        <x:v>0.9814132</x:v>
      </x:c>
      <x:c r="N186" s="19" t="n">
        <x:f>SUMIFS('Tasks'!$G$7:$G$246,'Tasks'!$C$7:$C$246,$A186,'Tasks'!$K$7:$K$246,$D186,'Tasks'!$F$7:$F$246,$B186)</x:f>
        <x:v>8.11</x:v>
      </x:c>
      <x:c r="O186" s="19" t="n">
        <x:f>SUMIFS('Tasks'!$H$7:$H$246,'Tasks'!$C$7:$C$246,$A186,'Tasks'!$K$7:$K$246,$D186,'Tasks'!$F$7:$F$246,$B186)</x:f>
        <x:v>5.73</x:v>
      </x:c>
      <x:c r="P186" s="19" t="n">
        <x:f>SUMIFS('Tasks'!$Y$7:$Y$246,'Tasks'!$C$7:$C$246,$A186,'Tasks'!$K$7:$K$246,$D186,'Tasks'!$F$7:$F$246,$B186)</x:f>
        <x:v>2.3799999999999994</x:v>
      </x:c>
      <x:c r="Q186" s="22" t="n">
        <x:f>SUMIFS('Tasks'!$Z$7:$Z$246,'Tasks'!$C$7:$C$246,$A186,'Tasks'!$K$7:$K$246,$D186,'Tasks'!$F$7:$F$246,$B186)</x:f>
        <x:v>118.99999999999997</x:v>
      </x:c>
      <x:c r="R186" s="22" t="n">
        <x:f>SUMIFS('Tasks'!$AA$7:$AA$246,'Tasks'!$C$7:$C$246,$A186,'Tasks'!$K$7:$K$246,$D186,'Tasks'!$F$7:$F$246,$B186)</x:f>
        <x:v>94.46466999999998</x:v>
      </x:c>
      <x:c r="S186" s="31" t="n">
        <x:f>IF(K186=0,"N/A",R186/K186)</x:f>
        <x:v>3.850148744687762</x:v>
      </x:c>
      <x:c r="T186" s="19" t="n">
        <x:f>SUMIFS('Tasks'!$I$7:$I$246,'Tasks'!$C$7:$C$246,$A186,'Tasks'!$K$7:$K$246,$D186,'Tasks'!$F$7:$F$246,$B186)</x:f>
        <x:v>0.5</x:v>
      </x:c>
      <x:c r="U186" s="31" t="n">
        <x:f>IF(O186=0,"N/A",T186/O186)</x:f>
        <x:v>0.08726003490401396</x:v>
      </x:c>
      <x:c r="V186" s="17" t="n">
        <x:f>SUMIFS('Tasks'!$X$7:$X$246,'Tasks'!$C$7:$C$246,$A186,'Tasks'!$K$7:$K$246,$D186,'Tasks'!$F$7:$F$246,$B186)</x:f>
        <x:v>7</x:v>
      </x:c>
      <x:c r="W186" s="31" t="n">
        <x:f>IF(L186=0,"N/A",V186/L186)</x:f>
        <x:v>0.28</x:v>
      </x:c>
      <x:c r="X186" s="17" t="n">
        <x:f>COUNTIFS('Tasks'!$C$7:$C$246,$A186,'Tasks'!$K$7:$K$246,$D186,'Tasks'!$F$7:$F$246,$B186,'Tasks'!$L$7:$L$246,"Yes")</x:f>
        <x:v>2</x:v>
      </x:c>
      <x:c r="Y186" s="17" t="n">
        <x:f>COUNTIFS('Tasks'!$C$7:$C$246,$A186,'Tasks'!$K$7:$K$246,$D186,'Tasks'!$F$7:$F$246,$B186,'Tasks'!$K$7:$K$246,"Yes")</x:f>
        <x:v>2</x:v>
      </x:c>
      <x:c r="Z186" s="17" t="n">
        <x:f>COUNTIFS('Tasks'!$C$7:$C$246,$A186,'Tasks'!$K$7:$K$246,$D186,'Tasks'!$F$7:$F$246,$B186,'Tasks'!$AA$7:$AA$246,"&gt;0")</x:f>
        <x:v>2</x:v>
      </x:c>
      <x:c r="AA186" s="17" t="n">
        <x:f>COUNTIFS('Tasks'!$C$7:$C$246,$A186,'Tasks'!$K$7:$K$246,$D186,'Tasks'!$F$7:$F$246,$B186,'Tasks'!$AA$7:$AA$246,"&lt;0")</x:f>
        <x:v>0</x:v>
      </x:c>
      <x:c r="AB186" s="19" t="n">
        <x:f>IF(E186=0,"N/A",V186/E186)</x:f>
        <x:v>3.5</x:v>
      </x:c>
      <x:c r="AC186" s="22" t="n">
        <x:f>IF(E186=0,"N/A",K186/E186)</x:f>
        <x:v>12.267665</x:v>
      </x:c>
      <x:c r="AD186" s="19" t="n">
        <x:f>IF(E186=0,"N/A",P186/E186)</x:f>
        <x:v>1.1899999999999997</x:v>
      </x:c>
    </x:row>
  </x:sheetData>
  <x:pageMargins left="0.7" right="0.7" top="0.75" bottom="0.75" header="0.3" footer="0.3"/>
  <x:tableParts count="1">
    <x:tablePart xmlns:r="http://schemas.openxmlformats.org/officeDocument/2006/relationships" r:id="R0e3a327855844c39"/>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ht="23" customHeight="1">
      <x:c r="A1" s="3"/>
      <x:c r="B1" s="3"/>
      <x:c r="C1" s="3"/>
      <x:c r="D1" s="3"/>
      <x:c r="E1" s="3"/>
      <x:c r="F1" s="3"/>
      <x:c r="G1" s="3"/>
      <x:c r="H1" s="3"/>
      <x:c r="I1" s="3"/>
      <x:c r="J1" s="3"/>
      <x:c r="K1" s="3"/>
    </x:row>
    <x:row r="2" ht="29" customHeight="1">
      <x:c r="A2" s="4" t="str">
        <x:v>Daily prompt usage and spending</x:v>
      </x:c>
      <x:c r="B2" s="3"/>
      <x:c r="C2" s="3"/>
      <x:c r="D2" s="3"/>
      <x:c r="E2" s="3"/>
      <x:c r="F2" s="3"/>
      <x:c r="G2" s="3"/>
      <x:c r="H2" s="3"/>
      <x:c r="I2" s="3"/>
      <x:c r="J2" s="3"/>
      <x:c r="K2" s="3"/>
    </x:row>
    <x:row r="3" ht="23" customHeight="1">
      <x:c r="A3" s="3"/>
      <x:c r="B3" s="3"/>
      <x:c r="C3" s="3"/>
      <x:c r="D3" s="3"/>
      <x:c r="E3" s="3"/>
      <x:c r="F3" s="3"/>
      <x:c r="G3" s="3"/>
      <x:c r="H3" s="3"/>
      <x:c r="I3" s="3"/>
      <x:c r="J3" s="3"/>
      <x:c r="K3" s="3"/>
    </x:row>
    <x:row r="4" ht="23" customHeight="1">
      <x:c r="A4" s="5" t="str">
        <x:v>Each row is one observed usage date and campaign. Task hours and campaign revenue are not assigned to prompt dates.</x:v>
      </x:c>
      <x:c r="B4" s="3"/>
      <x:c r="C4" s="3"/>
      <x:c r="D4" s="3"/>
      <x:c r="E4" s="3"/>
      <x:c r="F4" s="3"/>
      <x:c r="G4" s="3"/>
      <x:c r="H4" s="3"/>
      <x:c r="I4" s="3"/>
      <x:c r="J4" s="3"/>
      <x:c r="K4" s="3"/>
    </x:row>
    <x:row r="5" ht="23" customHeight="1">
      <x:c r="A5" s="3"/>
      <x:c r="B5" s="3"/>
      <x:c r="C5" s="3"/>
      <x:c r="D5" s="3"/>
      <x:c r="E5" s="3"/>
      <x:c r="F5" s="3"/>
      <x:c r="G5" s="3"/>
      <x:c r="H5" s="3"/>
      <x:c r="I5" s="3"/>
      <x:c r="J5" s="3"/>
      <x:c r="K5" s="3"/>
    </x:row>
    <x:row r="6" ht="44" customHeight="1">
      <x:c r="A6" s="14" t="str">
        <x:v>usage_date</x:v>
      </x:c>
      <x:c r="B6" s="15" t="str">
        <x:v>campaign_id</x:v>
      </x:c>
      <x:c r="C6" s="15" t="str">
        <x:v>input_tokens</x:v>
      </x:c>
      <x:c r="D6" s="15" t="str">
        <x:v>output_tokens</x:v>
      </x:c>
      <x:c r="E6" s="15" t="str">
        <x:v>total_tokens</x:v>
      </x:c>
      <x:c r="F6" s="15" t="str">
        <x:v>input_cost_usd</x:v>
      </x:c>
      <x:c r="G6" s="15" t="str">
        <x:v>output_cost_usd</x:v>
      </x:c>
      <x:c r="H6" s="15" t="str">
        <x:v>ai_cost_usd</x:v>
      </x:c>
      <x:c r="I6" s="15" t="str">
        <x:v>prompt_count</x:v>
      </x:c>
      <x:c r="J6" s="15" t="str">
        <x:v>correction_prompts</x:v>
      </x:c>
      <x:c r="K6" s="16" t="str">
        <x:v>correction_share</x:v>
      </x:c>
    </x:row>
    <x:row r="7" ht="23" customHeight="1">
      <x:c r="A7" s="18" t="n">
        <x:v>46266</x:v>
      </x:c>
      <x:c r="B7" s="17" t="str">
        <x:v>C001</x:v>
      </x:c>
      <x:c r="C7" s="29" t="n">
        <x:f>SUMIFS('Priced Usage'!$G$7:$G$3366,'Priced Usage'!$B$7:$B$3366,$A7,'Priced Usage'!$D$7:$D$3366,$B7)</x:f>
        <x:v>224509</x:v>
      </x:c>
      <x:c r="D7" s="29" t="n">
        <x:f>SUMIFS('Priced Usage'!$H$7:$H$3366,'Priced Usage'!$B$7:$B$3366,$A7,'Priced Usage'!$D$7:$D$3366,$B7)</x:f>
        <x:v>76919</x:v>
      </x:c>
      <x:c r="E7" s="29" t="n">
        <x:f>SUMIFS('Priced Usage'!$L$7:$L$3366,'Priced Usage'!$B$7:$B$3366,$A7,'Priced Usage'!$D$7:$D$3366,$B7)</x:f>
        <x:v>301428</x:v>
      </x:c>
      <x:c r="F7" s="30" t="n">
        <x:f>SUMIFS('Priced Usage'!$M$7:$M$3366,'Priced Usage'!$B$7:$B$3366,$A7,'Priced Usage'!$D$7:$D$3366,$B7)</x:f>
        <x:v>4.07158</x:v>
      </x:c>
      <x:c r="G7" s="30" t="n">
        <x:f>SUMIFS('Priced Usage'!$N$7:$N$3366,'Priced Usage'!$B$7:$B$3366,$A7,'Priced Usage'!$D$7:$D$3366,$B7)</x:f>
        <x:v>5.8133099999999995</x:v>
      </x:c>
      <x:c r="H7" s="30" t="n">
        <x:f>SUMIFS('Priced Usage'!$O$7:$O$3366,'Priced Usage'!$B$7:$B$3366,$A7,'Priced Usage'!$D$7:$D$3366,$B7)</x:f>
        <x:v>9.88489</x:v>
      </x:c>
      <x:c r="I7" s="29" t="n">
        <x:f>COUNTIFS('Priced Usage'!$B$7:$B$3366,$A7,'Priced Usage'!$D$7:$D$3366,$B7)</x:f>
        <x:v>8</x:v>
      </x:c>
      <x:c r="J7" s="29" t="n">
        <x:f>COUNTIFS('Priced Usage'!$B$7:$B$3366,$A7,'Priced Usage'!$D$7:$D$3366,$B7,'Priced Usage'!$I$7:$I$3366,"Correction")</x:f>
        <x:v>1</x:v>
      </x:c>
      <x:c r="K7" s="31" t="n">
        <x:f>IF(I7=0,"N/A",J7/I7)</x:f>
        <x:v>0.125</x:v>
      </x:c>
    </x:row>
    <x:row r="8" ht="23" customHeight="1">
      <x:c r="A8" s="18" t="n">
        <x:v>46266</x:v>
      </x:c>
      <x:c r="B8" s="17" t="str">
        <x:v>C002</x:v>
      </x:c>
      <x:c r="C8" s="29" t="n">
        <x:f>SUMIFS('Priced Usage'!$G$7:$G$3366,'Priced Usage'!$B$7:$B$3366,$A8,'Priced Usage'!$D$7:$D$3366,$B8)</x:f>
        <x:v>708798</x:v>
      </x:c>
      <x:c r="D8" s="29" t="n">
        <x:f>SUMIFS('Priced Usage'!$H$7:$H$3366,'Priced Usage'!$B$7:$B$3366,$A8,'Priced Usage'!$D$7:$D$3366,$B8)</x:f>
        <x:v>135360</x:v>
      </x:c>
      <x:c r="E8" s="29" t="n">
        <x:f>SUMIFS('Priced Usage'!$L$7:$L$3366,'Priced Usage'!$B$7:$B$3366,$A8,'Priced Usage'!$D$7:$D$3366,$B8)</x:f>
        <x:v>844158</x:v>
      </x:c>
      <x:c r="F8" s="30" t="n">
        <x:f>SUMIFS('Priced Usage'!$M$7:$M$3366,'Priced Usage'!$B$7:$B$3366,$A8,'Priced Usage'!$D$7:$D$3366,$B8)</x:f>
        <x:v>12.082560000000003</x:v>
      </x:c>
      <x:c r="G8" s="30" t="n">
        <x:f>SUMIFS('Priced Usage'!$N$7:$N$3366,'Priced Usage'!$B$7:$B$3366,$A8,'Priced Usage'!$D$7:$D$3366,$B8)</x:f>
        <x:v>7.05176</x:v>
      </x:c>
      <x:c r="H8" s="30" t="n">
        <x:f>SUMIFS('Priced Usage'!$O$7:$O$3366,'Priced Usage'!$B$7:$B$3366,$A8,'Priced Usage'!$D$7:$D$3366,$B8)</x:f>
        <x:v>19.13432</x:v>
      </x:c>
      <x:c r="I8" s="29" t="n">
        <x:f>COUNTIFS('Priced Usage'!$B$7:$B$3366,$A8,'Priced Usage'!$D$7:$D$3366,$B8)</x:f>
        <x:v>18</x:v>
      </x:c>
      <x:c r="J8" s="29" t="n">
        <x:f>COUNTIFS('Priced Usage'!$B$7:$B$3366,$A8,'Priced Usage'!$D$7:$D$3366,$B8,'Priced Usage'!$I$7:$I$3366,"Correction")</x:f>
        <x:v>6</x:v>
      </x:c>
      <x:c r="K8" s="31" t="n">
        <x:f>IF(I8=0,"N/A",J8/I8)</x:f>
        <x:v>0.3333333333333333</x:v>
      </x:c>
    </x:row>
    <x:row r="9" ht="23" customHeight="1">
      <x:c r="A9" s="18" t="n">
        <x:v>46266</x:v>
      </x:c>
      <x:c r="B9" s="17" t="str">
        <x:v>C003</x:v>
      </x:c>
      <x:c r="C9" s="29" t="n">
        <x:f>SUMIFS('Priced Usage'!$G$7:$G$3366,'Priced Usage'!$B$7:$B$3366,$A9,'Priced Usage'!$D$7:$D$3366,$B9)</x:f>
        <x:v>356684</x:v>
      </x:c>
      <x:c r="D9" s="29" t="n">
        <x:f>SUMIFS('Priced Usage'!$H$7:$H$3366,'Priced Usage'!$B$7:$B$3366,$A9,'Priced Usage'!$D$7:$D$3366,$B9)</x:f>
        <x:v>50424</x:v>
      </x:c>
      <x:c r="E9" s="29" t="n">
        <x:f>SUMIFS('Priced Usage'!$L$7:$L$3366,'Priced Usage'!$B$7:$B$3366,$A9,'Priced Usage'!$D$7:$D$3366,$B9)</x:f>
        <x:v>407108</x:v>
      </x:c>
      <x:c r="F9" s="30" t="n">
        <x:f>SUMIFS('Priced Usage'!$M$7:$M$3366,'Priced Usage'!$B$7:$B$3366,$A9,'Priced Usage'!$D$7:$D$3366,$B9)</x:f>
        <x:v>3.5668399999999996</x:v>
      </x:c>
      <x:c r="G9" s="30" t="n">
        <x:f>SUMIFS('Priced Usage'!$N$7:$N$3366,'Priced Usage'!$B$7:$B$3366,$A9,'Priced Usage'!$D$7:$D$3366,$B9)</x:f>
        <x:v>1.51272</x:v>
      </x:c>
      <x:c r="H9" s="30" t="n">
        <x:f>SUMIFS('Priced Usage'!$O$7:$O$3366,'Priced Usage'!$B$7:$B$3366,$A9,'Priced Usage'!$D$7:$D$3366,$B9)</x:f>
        <x:v>5.079560000000001</x:v>
      </x:c>
      <x:c r="I9" s="29" t="n">
        <x:f>COUNTIFS('Priced Usage'!$B$7:$B$3366,$A9,'Priced Usage'!$D$7:$D$3366,$B9)</x:f>
        <x:v>12</x:v>
      </x:c>
      <x:c r="J9" s="29" t="n">
        <x:f>COUNTIFS('Priced Usage'!$B$7:$B$3366,$A9,'Priced Usage'!$D$7:$D$3366,$B9,'Priced Usage'!$I$7:$I$3366,"Correction")</x:f>
        <x:v>2</x:v>
      </x:c>
      <x:c r="K9" s="31" t="n">
        <x:f>IF(I9=0,"N/A",J9/I9)</x:f>
        <x:v>0.16666666666666666</x:v>
      </x:c>
    </x:row>
    <x:row r="10" ht="23" customHeight="1">
      <x:c r="A10" s="18" t="n">
        <x:v>46266</x:v>
      </x:c>
      <x:c r="B10" s="17" t="str">
        <x:v>C004</x:v>
      </x:c>
      <x:c r="C10" s="29" t="n">
        <x:f>SUMIFS('Priced Usage'!$G$7:$G$3366,'Priced Usage'!$B$7:$B$3366,$A10,'Priced Usage'!$D$7:$D$3366,$B10)</x:f>
        <x:v>315019</x:v>
      </x:c>
      <x:c r="D10" s="29" t="n">
        <x:f>SUMIFS('Priced Usage'!$H$7:$H$3366,'Priced Usage'!$B$7:$B$3366,$A10,'Priced Usage'!$D$7:$D$3366,$B10)</x:f>
        <x:v>46522</x:v>
      </x:c>
      <x:c r="E10" s="29" t="n">
        <x:f>SUMIFS('Priced Usage'!$L$7:$L$3366,'Priced Usage'!$B$7:$B$3366,$A10,'Priced Usage'!$D$7:$D$3366,$B10)</x:f>
        <x:v>361541</x:v>
      </x:c>
      <x:c r="F10" s="30" t="n">
        <x:f>SUMIFS('Priced Usage'!$M$7:$M$3366,'Priced Usage'!$B$7:$B$3366,$A10,'Priced Usage'!$D$7:$D$3366,$B10)</x:f>
        <x:v>3.15019</x:v>
      </x:c>
      <x:c r="G10" s="30" t="n">
        <x:f>SUMIFS('Priced Usage'!$N$7:$N$3366,'Priced Usage'!$B$7:$B$3366,$A10,'Priced Usage'!$D$7:$D$3366,$B10)</x:f>
        <x:v>1.39566</x:v>
      </x:c>
      <x:c r="H10" s="30" t="n">
        <x:f>SUMIFS('Priced Usage'!$O$7:$O$3366,'Priced Usage'!$B$7:$B$3366,$A10,'Priced Usage'!$D$7:$D$3366,$B10)</x:f>
        <x:v>4.545850000000001</x:v>
      </x:c>
      <x:c r="I10" s="29" t="n">
        <x:f>COUNTIFS('Priced Usage'!$B$7:$B$3366,$A10,'Priced Usage'!$D$7:$D$3366,$B10)</x:f>
        <x:v>12</x:v>
      </x:c>
      <x:c r="J10" s="29" t="n">
        <x:f>COUNTIFS('Priced Usage'!$B$7:$B$3366,$A10,'Priced Usage'!$D$7:$D$3366,$B10,'Priced Usage'!$I$7:$I$3366,"Correction")</x:f>
        <x:v>1</x:v>
      </x:c>
      <x:c r="K10" s="31" t="n">
        <x:f>IF(I10=0,"N/A",J10/I10)</x:f>
        <x:v>0.08333333333333333</x:v>
      </x:c>
    </x:row>
    <x:row r="11" ht="23" customHeight="1">
      <x:c r="A11" s="18" t="n">
        <x:v>46267</x:v>
      </x:c>
      <x:c r="B11" s="17" t="str">
        <x:v>C001</x:v>
      </x:c>
      <x:c r="C11" s="29" t="n">
        <x:f>SUMIFS('Priced Usage'!$G$7:$G$3366,'Priced Usage'!$B$7:$B$3366,$A11,'Priced Usage'!$D$7:$D$3366,$B11)</x:f>
        <x:v>497619</x:v>
      </x:c>
      <x:c r="D11" s="29" t="n">
        <x:f>SUMIFS('Priced Usage'!$H$7:$H$3366,'Priced Usage'!$B$7:$B$3366,$A11,'Priced Usage'!$D$7:$D$3366,$B11)</x:f>
        <x:v>175579</x:v>
      </x:c>
      <x:c r="E11" s="29" t="n">
        <x:f>SUMIFS('Priced Usage'!$L$7:$L$3366,'Priced Usage'!$B$7:$B$3366,$A11,'Priced Usage'!$D$7:$D$3366,$B11)</x:f>
        <x:v>673198</x:v>
      </x:c>
      <x:c r="F11" s="30" t="n">
        <x:f>SUMIFS('Priced Usage'!$M$7:$M$3366,'Priced Usage'!$B$7:$B$3366,$A11,'Priced Usage'!$D$7:$D$3366,$B11)</x:f>
        <x:v>7.61511</x:v>
      </x:c>
      <x:c r="G11" s="30" t="n">
        <x:f>SUMIFS('Priced Usage'!$N$7:$N$3366,'Priced Usage'!$B$7:$B$3366,$A11,'Priced Usage'!$D$7:$D$3366,$B11)</x:f>
        <x:v>9.12304</x:v>
      </x:c>
      <x:c r="H11" s="30" t="n">
        <x:f>SUMIFS('Priced Usage'!$O$7:$O$3366,'Priced Usage'!$B$7:$B$3366,$A11,'Priced Usage'!$D$7:$D$3366,$B11)</x:f>
        <x:v>16.73815</x:v>
      </x:c>
      <x:c r="I11" s="29" t="n">
        <x:f>COUNTIFS('Priced Usage'!$B$7:$B$3366,$A11,'Priced Usage'!$D$7:$D$3366,$B11)</x:f>
        <x:v>16</x:v>
      </x:c>
      <x:c r="J11" s="29" t="n">
        <x:f>COUNTIFS('Priced Usage'!$B$7:$B$3366,$A11,'Priced Usage'!$D$7:$D$3366,$B11,'Priced Usage'!$I$7:$I$3366,"Correction")</x:f>
        <x:v>1</x:v>
      </x:c>
      <x:c r="K11" s="31" t="n">
        <x:f>IF(I11=0,"N/A",J11/I11)</x:f>
        <x:v>0.0625</x:v>
      </x:c>
    </x:row>
    <x:row r="12" ht="23" customHeight="1">
      <x:c r="A12" s="18" t="n">
        <x:v>46267</x:v>
      </x:c>
      <x:c r="B12" s="17" t="str">
        <x:v>C002</x:v>
      </x:c>
      <x:c r="C12" s="29" t="n">
        <x:f>SUMIFS('Priced Usage'!$G$7:$G$3366,'Priced Usage'!$B$7:$B$3366,$A12,'Priced Usage'!$D$7:$D$3366,$B12)</x:f>
        <x:v>1039479</x:v>
      </x:c>
      <x:c r="D12" s="29" t="n">
        <x:f>SUMIFS('Priced Usage'!$H$7:$H$3366,'Priced Usage'!$B$7:$B$3366,$A12,'Priced Usage'!$D$7:$D$3366,$B12)</x:f>
        <x:v>207556</x:v>
      </x:c>
      <x:c r="E12" s="29" t="n">
        <x:f>SUMIFS('Priced Usage'!$L$7:$L$3366,'Priced Usage'!$B$7:$B$3366,$A12,'Priced Usage'!$D$7:$D$3366,$B12)</x:f>
        <x:v>1247035</x:v>
      </x:c>
      <x:c r="F12" s="30" t="n">
        <x:f>SUMIFS('Priced Usage'!$M$7:$M$3366,'Priced Usage'!$B$7:$B$3366,$A12,'Priced Usage'!$D$7:$D$3366,$B12)</x:f>
        <x:v>20.8842</x:v>
      </x:c>
      <x:c r="G12" s="30" t="n">
        <x:f>SUMIFS('Priced Usage'!$N$7:$N$3366,'Priced Usage'!$B$7:$B$3366,$A12,'Priced Usage'!$D$7:$D$3366,$B12)</x:f>
        <x:v>12.1036</x:v>
      </x:c>
      <x:c r="H12" s="30" t="n">
        <x:f>SUMIFS('Priced Usage'!$O$7:$O$3366,'Priced Usage'!$B$7:$B$3366,$A12,'Priced Usage'!$D$7:$D$3366,$B12)</x:f>
        <x:v>32.9878</x:v>
      </x:c>
      <x:c r="I12" s="29" t="n">
        <x:f>COUNTIFS('Priced Usage'!$B$7:$B$3366,$A12,'Priced Usage'!$D$7:$D$3366,$B12)</x:f>
        <x:v>32</x:v>
      </x:c>
      <x:c r="J12" s="29" t="n">
        <x:f>COUNTIFS('Priced Usage'!$B$7:$B$3366,$A12,'Priced Usage'!$D$7:$D$3366,$B12,'Priced Usage'!$I$7:$I$3366,"Correction")</x:f>
        <x:v>12</x:v>
      </x:c>
      <x:c r="K12" s="31" t="n">
        <x:f>IF(I12=0,"N/A",J12/I12)</x:f>
        <x:v>0.375</x:v>
      </x:c>
    </x:row>
    <x:row r="13" ht="23" customHeight="1">
      <x:c r="A13" s="18" t="n">
        <x:v>46267</x:v>
      </x:c>
      <x:c r="B13" s="17" t="str">
        <x:v>C003</x:v>
      </x:c>
      <x:c r="C13" s="29" t="n">
        <x:f>SUMIFS('Priced Usage'!$G$7:$G$3366,'Priced Usage'!$B$7:$B$3366,$A13,'Priced Usage'!$D$7:$D$3366,$B13)</x:f>
        <x:v>629336</x:v>
      </x:c>
      <x:c r="D13" s="29" t="n">
        <x:f>SUMIFS('Priced Usage'!$H$7:$H$3366,'Priced Usage'!$B$7:$B$3366,$A13,'Priced Usage'!$D$7:$D$3366,$B13)</x:f>
        <x:v>121599</x:v>
      </x:c>
      <x:c r="E13" s="29" t="n">
        <x:f>SUMIFS('Priced Usage'!$L$7:$L$3366,'Priced Usage'!$B$7:$B$3366,$A13,'Priced Usage'!$D$7:$D$3366,$B13)</x:f>
        <x:v>750935</x:v>
      </x:c>
      <x:c r="F13" s="30" t="n">
        <x:f>SUMIFS('Priced Usage'!$M$7:$M$3366,'Priced Usage'!$B$7:$B$3366,$A13,'Priced Usage'!$D$7:$D$3366,$B13)</x:f>
        <x:v>8.0009</x:v>
      </x:c>
      <x:c r="G13" s="30" t="n">
        <x:f>SUMIFS('Priced Usage'!$N$7:$N$3366,'Priced Usage'!$B$7:$B$3366,$A13,'Priced Usage'!$D$7:$D$3366,$B13)</x:f>
        <x:v>5.50094</x:v>
      </x:c>
      <x:c r="H13" s="30" t="n">
        <x:f>SUMIFS('Priced Usage'!$O$7:$O$3366,'Priced Usage'!$B$7:$B$3366,$A13,'Priced Usage'!$D$7:$D$3366,$B13)</x:f>
        <x:v>13.501840000000001</x:v>
      </x:c>
      <x:c r="I13" s="29" t="n">
        <x:f>COUNTIFS('Priced Usage'!$B$7:$B$3366,$A13,'Priced Usage'!$D$7:$D$3366,$B13)</x:f>
        <x:v>24</x:v>
      </x:c>
      <x:c r="J13" s="29" t="n">
        <x:f>COUNTIFS('Priced Usage'!$B$7:$B$3366,$A13,'Priced Usage'!$D$7:$D$3366,$B13,'Priced Usage'!$I$7:$I$3366,"Correction")</x:f>
        <x:v>2</x:v>
      </x:c>
      <x:c r="K13" s="31" t="n">
        <x:f>IF(I13=0,"N/A",J13/I13)</x:f>
        <x:v>0.08333333333333333</x:v>
      </x:c>
    </x:row>
    <x:row r="14" ht="23" customHeight="1">
      <x:c r="A14" s="18" t="n">
        <x:v>46267</x:v>
      </x:c>
      <x:c r="B14" s="17" t="str">
        <x:v>C004</x:v>
      </x:c>
      <x:c r="C14" s="29" t="n">
        <x:f>SUMIFS('Priced Usage'!$G$7:$G$3366,'Priced Usage'!$B$7:$B$3366,$A14,'Priced Usage'!$D$7:$D$3366,$B14)</x:f>
        <x:v>711741</x:v>
      </x:c>
      <x:c r="D14" s="29" t="n">
        <x:f>SUMIFS('Priced Usage'!$H$7:$H$3366,'Priced Usage'!$B$7:$B$3366,$A14,'Priced Usage'!$D$7:$D$3366,$B14)</x:f>
        <x:v>132750</x:v>
      </x:c>
      <x:c r="E14" s="29" t="n">
        <x:f>SUMIFS('Priced Usage'!$L$7:$L$3366,'Priced Usage'!$B$7:$B$3366,$A14,'Priced Usage'!$D$7:$D$3366,$B14)</x:f>
        <x:v>844491</x:v>
      </x:c>
      <x:c r="F14" s="30" t="n">
        <x:f>SUMIFS('Priced Usage'!$M$7:$M$3366,'Priced Usage'!$B$7:$B$3366,$A14,'Priced Usage'!$D$7:$D$3366,$B14)</x:f>
        <x:v>7.11741</x:v>
      </x:c>
      <x:c r="G14" s="30" t="n">
        <x:f>SUMIFS('Priced Usage'!$N$7:$N$3366,'Priced Usage'!$B$7:$B$3366,$A14,'Priced Usage'!$D$7:$D$3366,$B14)</x:f>
        <x:v>3.9825</x:v>
      </x:c>
      <x:c r="H14" s="30" t="n">
        <x:f>SUMIFS('Priced Usage'!$O$7:$O$3366,'Priced Usage'!$B$7:$B$3366,$A14,'Priced Usage'!$D$7:$D$3366,$B14)</x:f>
        <x:v>11.099910000000001</x:v>
      </x:c>
      <x:c r="I14" s="29" t="n">
        <x:f>COUNTIFS('Priced Usage'!$B$7:$B$3366,$A14,'Priced Usage'!$D$7:$D$3366,$B14)</x:f>
        <x:v>29</x:v>
      </x:c>
      <x:c r="J14" s="29" t="n">
        <x:f>COUNTIFS('Priced Usage'!$B$7:$B$3366,$A14,'Priced Usage'!$D$7:$D$3366,$B14,'Priced Usage'!$I$7:$I$3366,"Correction")</x:f>
        <x:v>3</x:v>
      </x:c>
      <x:c r="K14" s="31" t="n">
        <x:f>IF(I14=0,"N/A",J14/I14)</x:f>
        <x:v>0.10344827586206896</x:v>
      </x:c>
    </x:row>
    <x:row r="15" ht="23" customHeight="1">
      <x:c r="A15" s="18" t="n">
        <x:v>46268</x:v>
      </x:c>
      <x:c r="B15" s="17" t="str">
        <x:v>C001</x:v>
      </x:c>
      <x:c r="C15" s="29" t="n">
        <x:f>SUMIFS('Priced Usage'!$G$7:$G$3366,'Priced Usage'!$B$7:$B$3366,$A15,'Priced Usage'!$D$7:$D$3366,$B15)</x:f>
        <x:v>893941</x:v>
      </x:c>
      <x:c r="D15" s="29" t="n">
        <x:f>SUMIFS('Priced Usage'!$H$7:$H$3366,'Priced Usage'!$B$7:$B$3366,$A15,'Priced Usage'!$D$7:$D$3366,$B15)</x:f>
        <x:v>253949</x:v>
      </x:c>
      <x:c r="E15" s="29" t="n">
        <x:f>SUMIFS('Priced Usage'!$L$7:$L$3366,'Priced Usage'!$B$7:$B$3366,$A15,'Priced Usage'!$D$7:$D$3366,$B15)</x:f>
        <x:v>1147890</x:v>
      </x:c>
      <x:c r="F15" s="30" t="n">
        <x:f>SUMIFS('Priced Usage'!$M$7:$M$3366,'Priced Usage'!$B$7:$B$3366,$A15,'Priced Usage'!$D$7:$D$3366,$B15)</x:f>
        <x:v>11.231110000000001</x:v>
      </x:c>
      <x:c r="G15" s="30" t="n">
        <x:f>SUMIFS('Priced Usage'!$N$7:$N$3366,'Priced Usage'!$B$7:$B$3366,$A15,'Priced Usage'!$D$7:$D$3366,$B15)</x:f>
        <x:v>10.80606</x:v>
      </x:c>
      <x:c r="H15" s="30" t="n">
        <x:f>SUMIFS('Priced Usage'!$O$7:$O$3366,'Priced Usage'!$B$7:$B$3366,$A15,'Priced Usage'!$D$7:$D$3366,$B15)</x:f>
        <x:v>22.037170000000003</x:v>
      </x:c>
      <x:c r="I15" s="29" t="n">
        <x:f>COUNTIFS('Priced Usage'!$B$7:$B$3366,$A15,'Priced Usage'!$D$7:$D$3366,$B15)</x:f>
        <x:v>27</x:v>
      </x:c>
      <x:c r="J15" s="29" t="n">
        <x:f>COUNTIFS('Priced Usage'!$B$7:$B$3366,$A15,'Priced Usage'!$D$7:$D$3366,$B15,'Priced Usage'!$I$7:$I$3366,"Correction")</x:f>
        <x:v>3</x:v>
      </x:c>
      <x:c r="K15" s="31" t="n">
        <x:f>IF(I15=0,"N/A",J15/I15)</x:f>
        <x:v>0.1111111111111111</x:v>
      </x:c>
    </x:row>
    <x:row r="16" ht="23" customHeight="1">
      <x:c r="A16" s="18" t="n">
        <x:v>46268</x:v>
      </x:c>
      <x:c r="B16" s="17" t="str">
        <x:v>C002</x:v>
      </x:c>
      <x:c r="C16" s="29" t="n">
        <x:f>SUMIFS('Priced Usage'!$G$7:$G$3366,'Priced Usage'!$B$7:$B$3366,$A16,'Priced Usage'!$D$7:$D$3366,$B16)</x:f>
        <x:v>1685480</x:v>
      </x:c>
      <x:c r="D16" s="29" t="n">
        <x:f>SUMIFS('Priced Usage'!$H$7:$H$3366,'Priced Usage'!$B$7:$B$3366,$A16,'Priced Usage'!$D$7:$D$3366,$B16)</x:f>
        <x:v>356097</x:v>
      </x:c>
      <x:c r="E16" s="29" t="n">
        <x:f>SUMIFS('Priced Usage'!$L$7:$L$3366,'Priced Usage'!$B$7:$B$3366,$A16,'Priced Usage'!$D$7:$D$3366,$B16)</x:f>
        <x:v>2041577</x:v>
      </x:c>
      <x:c r="F16" s="30" t="n">
        <x:f>SUMIFS('Priced Usage'!$M$7:$M$3366,'Priced Usage'!$B$7:$B$3366,$A16,'Priced Usage'!$D$7:$D$3366,$B16)</x:f>
        <x:v>28.420280000000005</x:v>
      </x:c>
      <x:c r="G16" s="30" t="n">
        <x:f>SUMIFS('Priced Usage'!$N$7:$N$3366,'Priced Usage'!$B$7:$B$3366,$A16,'Priced Usage'!$D$7:$D$3366,$B16)</x:f>
        <x:v>22.64906</x:v>
      </x:c>
      <x:c r="H16" s="30" t="n">
        <x:f>SUMIFS('Priced Usage'!$O$7:$O$3366,'Priced Usage'!$B$7:$B$3366,$A16,'Priced Usage'!$D$7:$D$3366,$B16)</x:f>
        <x:v>51.06933999999999</x:v>
      </x:c>
      <x:c r="I16" s="29" t="n">
        <x:f>COUNTIFS('Priced Usage'!$B$7:$B$3366,$A16,'Priced Usage'!$D$7:$D$3366,$B16)</x:f>
        <x:v>50</x:v>
      </x:c>
      <x:c r="J16" s="29" t="n">
        <x:f>COUNTIFS('Priced Usage'!$B$7:$B$3366,$A16,'Priced Usage'!$D$7:$D$3366,$B16,'Priced Usage'!$I$7:$I$3366,"Correction")</x:f>
        <x:v>19</x:v>
      </x:c>
      <x:c r="K16" s="31" t="n">
        <x:f>IF(I16=0,"N/A",J16/I16)</x:f>
        <x:v>0.38</x:v>
      </x:c>
    </x:row>
    <x:row r="17" ht="23" customHeight="1">
      <x:c r="A17" s="18" t="n">
        <x:v>46268</x:v>
      </x:c>
      <x:c r="B17" s="17" t="str">
        <x:v>C003</x:v>
      </x:c>
      <x:c r="C17" s="29" t="n">
        <x:f>SUMIFS('Priced Usage'!$G$7:$G$3366,'Priced Usage'!$B$7:$B$3366,$A17,'Priced Usage'!$D$7:$D$3366,$B17)</x:f>
        <x:v>911043</x:v>
      </x:c>
      <x:c r="D17" s="29" t="n">
        <x:f>SUMIFS('Priced Usage'!$H$7:$H$3366,'Priced Usage'!$B$7:$B$3366,$A17,'Priced Usage'!$D$7:$D$3366,$B17)</x:f>
        <x:v>190645</x:v>
      </x:c>
      <x:c r="E17" s="29" t="n">
        <x:f>SUMIFS('Priced Usage'!$L$7:$L$3366,'Priced Usage'!$B$7:$B$3366,$A17,'Priced Usage'!$D$7:$D$3366,$B17)</x:f>
        <x:v>1101688</x:v>
      </x:c>
      <x:c r="F17" s="30" t="n">
        <x:f>SUMIFS('Priced Usage'!$M$7:$M$3366,'Priced Usage'!$B$7:$B$3366,$A17,'Priced Usage'!$D$7:$D$3366,$B17)</x:f>
        <x:v>12.130169999999998</x:v>
      </x:c>
      <x:c r="G17" s="30" t="n">
        <x:f>SUMIFS('Priced Usage'!$N$7:$N$3366,'Priced Usage'!$B$7:$B$3366,$A17,'Priced Usage'!$D$7:$D$3366,$B17)</x:f>
        <x:v>9.62808</x:v>
      </x:c>
      <x:c r="H17" s="30" t="n">
        <x:f>SUMIFS('Priced Usage'!$O$7:$O$3366,'Priced Usage'!$B$7:$B$3366,$A17,'Priced Usage'!$D$7:$D$3366,$B17)</x:f>
        <x:v>21.75825</x:v>
      </x:c>
      <x:c r="I17" s="29" t="n">
        <x:f>COUNTIFS('Priced Usage'!$B$7:$B$3366,$A17,'Priced Usage'!$D$7:$D$3366,$B17)</x:f>
        <x:v>34</x:v>
      </x:c>
      <x:c r="J17" s="29" t="n">
        <x:f>COUNTIFS('Priced Usage'!$B$7:$B$3366,$A17,'Priced Usage'!$D$7:$D$3366,$B17,'Priced Usage'!$I$7:$I$3366,"Correction")</x:f>
        <x:v>8</x:v>
      </x:c>
      <x:c r="K17" s="31" t="n">
        <x:f>IF(I17=0,"N/A",J17/I17)</x:f>
        <x:v>0.23529411764705882</x:v>
      </x:c>
    </x:row>
    <x:row r="18" ht="23" customHeight="1">
      <x:c r="A18" s="18" t="n">
        <x:v>46268</x:v>
      </x:c>
      <x:c r="B18" s="17" t="str">
        <x:v>C004</x:v>
      </x:c>
      <x:c r="C18" s="29" t="n">
        <x:f>SUMIFS('Priced Usage'!$G$7:$G$3366,'Priced Usage'!$B$7:$B$3366,$A18,'Priced Usage'!$D$7:$D$3366,$B18)</x:f>
        <x:v>780513</x:v>
      </x:c>
      <x:c r="D18" s="29" t="n">
        <x:f>SUMIFS('Priced Usage'!$H$7:$H$3366,'Priced Usage'!$B$7:$B$3366,$A18,'Priced Usage'!$D$7:$D$3366,$B18)</x:f>
        <x:v>168735</x:v>
      </x:c>
      <x:c r="E18" s="29" t="n">
        <x:f>SUMIFS('Priced Usage'!$L$7:$L$3366,'Priced Usage'!$B$7:$B$3366,$A18,'Priced Usage'!$D$7:$D$3366,$B18)</x:f>
        <x:v>949248</x:v>
      </x:c>
      <x:c r="F18" s="30" t="n">
        <x:f>SUMIFS('Priced Usage'!$M$7:$M$3366,'Priced Usage'!$B$7:$B$3366,$A18,'Priced Usage'!$D$7:$D$3366,$B18)</x:f>
        <x:v>12.60156</x:v>
      </x:c>
      <x:c r="G18" s="30" t="n">
        <x:f>SUMIFS('Priced Usage'!$N$7:$N$3366,'Priced Usage'!$B$7:$B$3366,$A18,'Priced Usage'!$D$7:$D$3366,$B18)</x:f>
        <x:v>8.302280000000001</x:v>
      </x:c>
      <x:c r="H18" s="30" t="n">
        <x:f>SUMIFS('Priced Usage'!$O$7:$O$3366,'Priced Usage'!$B$7:$B$3366,$A18,'Priced Usage'!$D$7:$D$3366,$B18)</x:f>
        <x:v>20.90384</x:v>
      </x:c>
      <x:c r="I18" s="29" t="n">
        <x:f>COUNTIFS('Priced Usage'!$B$7:$B$3366,$A18,'Priced Usage'!$D$7:$D$3366,$B18)</x:f>
        <x:v>35</x:v>
      </x:c>
      <x:c r="J18" s="29" t="n">
        <x:f>COUNTIFS('Priced Usage'!$B$7:$B$3366,$A18,'Priced Usage'!$D$7:$D$3366,$B18,'Priced Usage'!$I$7:$I$3366,"Correction")</x:f>
        <x:v>9</x:v>
      </x:c>
      <x:c r="K18" s="31" t="n">
        <x:f>IF(I18=0,"N/A",J18/I18)</x:f>
        <x:v>0.2571428571428571</x:v>
      </x:c>
    </x:row>
    <x:row r="19" ht="23" customHeight="1">
      <x:c r="A19" s="18" t="n">
        <x:v>46269</x:v>
      </x:c>
      <x:c r="B19" s="17" t="str">
        <x:v>C001</x:v>
      </x:c>
      <x:c r="C19" s="29" t="n">
        <x:f>SUMIFS('Priced Usage'!$G$7:$G$3366,'Priced Usage'!$B$7:$B$3366,$A19,'Priced Usage'!$D$7:$D$3366,$B19)</x:f>
        <x:v>928681</x:v>
      </x:c>
      <x:c r="D19" s="29" t="n">
        <x:f>SUMIFS('Priced Usage'!$H$7:$H$3366,'Priced Usage'!$B$7:$B$3366,$A19,'Priced Usage'!$D$7:$D$3366,$B19)</x:f>
        <x:v>299054</x:v>
      </x:c>
      <x:c r="E19" s="29" t="n">
        <x:f>SUMIFS('Priced Usage'!$L$7:$L$3366,'Priced Usage'!$B$7:$B$3366,$A19,'Priced Usage'!$D$7:$D$3366,$B19)</x:f>
        <x:v>1227735</x:v>
      </x:c>
      <x:c r="F19" s="30" t="n">
        <x:f>SUMIFS('Priced Usage'!$M$7:$M$3366,'Priced Usage'!$B$7:$B$3366,$A19,'Priced Usage'!$D$7:$D$3366,$B19)</x:f>
        <x:v>14.809989999999999</x:v>
      </x:c>
      <x:c r="G19" s="30" t="n">
        <x:f>SUMIFS('Priced Usage'!$N$7:$N$3366,'Priced Usage'!$B$7:$B$3366,$A19,'Priced Usage'!$D$7:$D$3366,$B19)</x:f>
        <x:v>15.366610000000001</x:v>
      </x:c>
      <x:c r="H19" s="30" t="n">
        <x:f>SUMIFS('Priced Usage'!$O$7:$O$3366,'Priced Usage'!$B$7:$B$3366,$A19,'Priced Usage'!$D$7:$D$3366,$B19)</x:f>
        <x:v>30.176599999999993</x:v>
      </x:c>
      <x:c r="I19" s="29" t="n">
        <x:f>COUNTIFS('Priced Usage'!$B$7:$B$3366,$A19,'Priced Usage'!$D$7:$D$3366,$B19)</x:f>
        <x:v>34</x:v>
      </x:c>
      <x:c r="J19" s="29" t="n">
        <x:f>COUNTIFS('Priced Usage'!$B$7:$B$3366,$A19,'Priced Usage'!$D$7:$D$3366,$B19,'Priced Usage'!$I$7:$I$3366,"Correction")</x:f>
        <x:v>1</x:v>
      </x:c>
      <x:c r="K19" s="31" t="n">
        <x:f>IF(I19=0,"N/A",J19/I19)</x:f>
        <x:v>0.029411764705882353</x:v>
      </x:c>
    </x:row>
    <x:row r="20" ht="23" customHeight="1">
      <x:c r="A20" s="18" t="n">
        <x:v>46269</x:v>
      </x:c>
      <x:c r="B20" s="17" t="str">
        <x:v>C002</x:v>
      </x:c>
      <x:c r="C20" s="29" t="n">
        <x:f>SUMIFS('Priced Usage'!$G$7:$G$3366,'Priced Usage'!$B$7:$B$3366,$A20,'Priced Usage'!$D$7:$D$3366,$B20)</x:f>
        <x:v>2125451</x:v>
      </x:c>
      <x:c r="D20" s="29" t="n">
        <x:f>SUMIFS('Priced Usage'!$H$7:$H$3366,'Priced Usage'!$B$7:$B$3366,$A20,'Priced Usage'!$D$7:$D$3366,$B20)</x:f>
        <x:v>473686</x:v>
      </x:c>
      <x:c r="E20" s="29" t="n">
        <x:f>SUMIFS('Priced Usage'!$L$7:$L$3366,'Priced Usage'!$B$7:$B$3366,$A20,'Priced Usage'!$D$7:$D$3366,$B20)</x:f>
        <x:v>2599137</x:v>
      </x:c>
      <x:c r="F20" s="30" t="n">
        <x:f>SUMIFS('Priced Usage'!$M$7:$M$3366,'Priced Usage'!$B$7:$B$3366,$A20,'Priced Usage'!$D$7:$D$3366,$B20)</x:f>
        <x:v>34.23481999999999</x:v>
      </x:c>
      <x:c r="G20" s="30" t="n">
        <x:f>SUMIFS('Priced Usage'!$N$7:$N$3366,'Priced Usage'!$B$7:$B$3366,$A20,'Priced Usage'!$D$7:$D$3366,$B20)</x:f>
        <x:v>25.710670000000004</x:v>
      </x:c>
      <x:c r="H20" s="30" t="n">
        <x:f>SUMIFS('Priced Usage'!$O$7:$O$3366,'Priced Usage'!$B$7:$B$3366,$A20,'Priced Usage'!$D$7:$D$3366,$B20)</x:f>
        <x:v>59.94549</x:v>
      </x:c>
      <x:c r="I20" s="29" t="n">
        <x:f>COUNTIFS('Priced Usage'!$B$7:$B$3366,$A20,'Priced Usage'!$D$7:$D$3366,$B20)</x:f>
        <x:v>64</x:v>
      </x:c>
      <x:c r="J20" s="29" t="n">
        <x:f>COUNTIFS('Priced Usage'!$B$7:$B$3366,$A20,'Priced Usage'!$D$7:$D$3366,$B20,'Priced Usage'!$I$7:$I$3366,"Correction")</x:f>
        <x:v>27</x:v>
      </x:c>
      <x:c r="K20" s="31" t="n">
        <x:f>IF(I20=0,"N/A",J20/I20)</x:f>
        <x:v>0.421875</x:v>
      </x:c>
    </x:row>
    <x:row r="21" ht="23" customHeight="1">
      <x:c r="A21" s="18" t="n">
        <x:v>46269</x:v>
      </x:c>
      <x:c r="B21" s="17" t="str">
        <x:v>C003</x:v>
      </x:c>
      <x:c r="C21" s="29" t="n">
        <x:f>SUMIFS('Priced Usage'!$G$7:$G$3366,'Priced Usage'!$B$7:$B$3366,$A21,'Priced Usage'!$D$7:$D$3366,$B21)</x:f>
        <x:v>1110300</x:v>
      </x:c>
      <x:c r="D21" s="29" t="n">
        <x:f>SUMIFS('Priced Usage'!$H$7:$H$3366,'Priced Usage'!$B$7:$B$3366,$A21,'Priced Usage'!$D$7:$D$3366,$B21)</x:f>
        <x:v>281842</x:v>
      </x:c>
      <x:c r="E21" s="29" t="n">
        <x:f>SUMIFS('Priced Usage'!$L$7:$L$3366,'Priced Usage'!$B$7:$B$3366,$A21,'Priced Usage'!$D$7:$D$3366,$B21)</x:f>
        <x:v>1392142</x:v>
      </x:c>
      <x:c r="F21" s="30" t="n">
        <x:f>SUMIFS('Priced Usage'!$M$7:$M$3366,'Priced Usage'!$B$7:$B$3366,$A21,'Priced Usage'!$D$7:$D$3366,$B21)</x:f>
        <x:v>14.59923</x:v>
      </x:c>
      <x:c r="G21" s="30" t="n">
        <x:f>SUMIFS('Priced Usage'!$N$7:$N$3366,'Priced Usage'!$B$7:$B$3366,$A21,'Priced Usage'!$D$7:$D$3366,$B21)</x:f>
        <x:v>13.117469999999999</x:v>
      </x:c>
      <x:c r="H21" s="30" t="n">
        <x:f>SUMIFS('Priced Usage'!$O$7:$O$3366,'Priced Usage'!$B$7:$B$3366,$A21,'Priced Usage'!$D$7:$D$3366,$B21)</x:f>
        <x:v>27.7167</x:v>
      </x:c>
      <x:c r="I21" s="29" t="n">
        <x:f>COUNTIFS('Priced Usage'!$B$7:$B$3366,$A21,'Priced Usage'!$D$7:$D$3366,$B21)</x:f>
        <x:v>46</x:v>
      </x:c>
      <x:c r="J21" s="29" t="n">
        <x:f>COUNTIFS('Priced Usage'!$B$7:$B$3366,$A21,'Priced Usage'!$D$7:$D$3366,$B21,'Priced Usage'!$I$7:$I$3366,"Correction")</x:f>
        <x:v>11</x:v>
      </x:c>
      <x:c r="K21" s="31" t="n">
        <x:f>IF(I21=0,"N/A",J21/I21)</x:f>
        <x:v>0.2391304347826087</x:v>
      </x:c>
    </x:row>
    <x:row r="22" ht="23" customHeight="1">
      <x:c r="A22" s="18" t="n">
        <x:v>46269</x:v>
      </x:c>
      <x:c r="B22" s="17" t="str">
        <x:v>C004</x:v>
      </x:c>
      <x:c r="C22" s="29" t="n">
        <x:f>SUMIFS('Priced Usage'!$G$7:$G$3366,'Priced Usage'!$B$7:$B$3366,$A22,'Priced Usage'!$D$7:$D$3366,$B22)</x:f>
        <x:v>824419</x:v>
      </x:c>
      <x:c r="D22" s="29" t="n">
        <x:f>SUMIFS('Priced Usage'!$H$7:$H$3366,'Priced Usage'!$B$7:$B$3366,$A22,'Priced Usage'!$D$7:$D$3366,$B22)</x:f>
        <x:v>203044</x:v>
      </x:c>
      <x:c r="E22" s="29" t="n">
        <x:f>SUMIFS('Priced Usage'!$L$7:$L$3366,'Priced Usage'!$B$7:$B$3366,$A22,'Priced Usage'!$D$7:$D$3366,$B22)</x:f>
        <x:v>1027463</x:v>
      </x:c>
      <x:c r="F22" s="30" t="n">
        <x:f>SUMIFS('Priced Usage'!$M$7:$M$3366,'Priced Usage'!$B$7:$B$3366,$A22,'Priced Usage'!$D$7:$D$3366,$B22)</x:f>
        <x:v>13.971549999999999</x:v>
      </x:c>
      <x:c r="G22" s="30" t="n">
        <x:f>SUMIFS('Priced Usage'!$N$7:$N$3366,'Priced Usage'!$B$7:$B$3366,$A22,'Priced Usage'!$D$7:$D$3366,$B22)</x:f>
        <x:v>11.35749</x:v>
      </x:c>
      <x:c r="H22" s="30" t="n">
        <x:f>SUMIFS('Priced Usage'!$O$7:$O$3366,'Priced Usage'!$B$7:$B$3366,$A22,'Priced Usage'!$D$7:$D$3366,$B22)</x:f>
        <x:v>25.329040000000003</x:v>
      </x:c>
      <x:c r="I22" s="29" t="n">
        <x:f>COUNTIFS('Priced Usage'!$B$7:$B$3366,$A22,'Priced Usage'!$D$7:$D$3366,$B22)</x:f>
        <x:v>41</x:v>
      </x:c>
      <x:c r="J22" s="29" t="n">
        <x:f>COUNTIFS('Priced Usage'!$B$7:$B$3366,$A22,'Priced Usage'!$D$7:$D$3366,$B22,'Priced Usage'!$I$7:$I$3366,"Correction")</x:f>
        <x:v>9</x:v>
      </x:c>
      <x:c r="K22" s="31" t="n">
        <x:f>IF(I22=0,"N/A",J22/I22)</x:f>
        <x:v>0.21951219512195122</x:v>
      </x:c>
    </x:row>
    <x:row r="23" ht="23" customHeight="1">
      <x:c r="A23" s="18" t="n">
        <x:v>46273</x:v>
      </x:c>
      <x:c r="B23" s="17" t="str">
        <x:v>C001</x:v>
      </x:c>
      <x:c r="C23" s="29" t="n">
        <x:f>SUMIFS('Priced Usage'!$G$7:$G$3366,'Priced Usage'!$B$7:$B$3366,$A23,'Priced Usage'!$D$7:$D$3366,$B23)</x:f>
        <x:v>1224180</x:v>
      </x:c>
      <x:c r="D23" s="29" t="n">
        <x:f>SUMIFS('Priced Usage'!$H$7:$H$3366,'Priced Usage'!$B$7:$B$3366,$A23,'Priced Usage'!$D$7:$D$3366,$B23)</x:f>
        <x:v>344198</x:v>
      </x:c>
      <x:c r="E23" s="29" t="n">
        <x:f>SUMIFS('Priced Usage'!$L$7:$L$3366,'Priced Usage'!$B$7:$B$3366,$A23,'Priced Usage'!$D$7:$D$3366,$B23)</x:f>
        <x:v>1568378</x:v>
      </x:c>
      <x:c r="F23" s="30" t="n">
        <x:f>SUMIFS('Priced Usage'!$M$7:$M$3366,'Priced Usage'!$B$7:$B$3366,$A23,'Priced Usage'!$D$7:$D$3366,$B23)</x:f>
        <x:v>15.878250000000001</x:v>
      </x:c>
      <x:c r="G23" s="30" t="n">
        <x:f>SUMIFS('Priced Usage'!$N$7:$N$3366,'Priced Usage'!$B$7:$B$3366,$A23,'Priced Usage'!$D$7:$D$3366,$B23)</x:f>
        <x:v>15.267660000000003</x:v>
      </x:c>
      <x:c r="H23" s="30" t="n">
        <x:f>SUMIFS('Priced Usage'!$O$7:$O$3366,'Priced Usage'!$B$7:$B$3366,$A23,'Priced Usage'!$D$7:$D$3366,$B23)</x:f>
        <x:v>31.14591</x:v>
      </x:c>
      <x:c r="I23" s="29" t="n">
        <x:f>COUNTIFS('Priced Usage'!$B$7:$B$3366,$A23,'Priced Usage'!$D$7:$D$3366,$B23)</x:f>
        <x:v>36</x:v>
      </x:c>
      <x:c r="J23" s="29" t="n">
        <x:f>COUNTIFS('Priced Usage'!$B$7:$B$3366,$A23,'Priced Usage'!$D$7:$D$3366,$B23,'Priced Usage'!$I$7:$I$3366,"Correction")</x:f>
        <x:v>8</x:v>
      </x:c>
      <x:c r="K23" s="31" t="n">
        <x:f>IF(I23=0,"N/A",J23/I23)</x:f>
        <x:v>0.2222222222222222</x:v>
      </x:c>
    </x:row>
    <x:row r="24" ht="23" customHeight="1">
      <x:c r="A24" s="18" t="n">
        <x:v>46273</x:v>
      </x:c>
      <x:c r="B24" s="17" t="str">
        <x:v>C002</x:v>
      </x:c>
      <x:c r="C24" s="29" t="n">
        <x:f>SUMIFS('Priced Usage'!$G$7:$G$3366,'Priced Usage'!$B$7:$B$3366,$A24,'Priced Usage'!$D$7:$D$3366,$B24)</x:f>
        <x:v>1811274</x:v>
      </x:c>
      <x:c r="D24" s="29" t="n">
        <x:f>SUMIFS('Priced Usage'!$H$7:$H$3366,'Priced Usage'!$B$7:$B$3366,$A24,'Priced Usage'!$D$7:$D$3366,$B24)</x:f>
        <x:v>448198</x:v>
      </x:c>
      <x:c r="E24" s="29" t="n">
        <x:f>SUMIFS('Priced Usage'!$L$7:$L$3366,'Priced Usage'!$B$7:$B$3366,$A24,'Priced Usage'!$D$7:$D$3366,$B24)</x:f>
        <x:v>2259472</x:v>
      </x:c>
      <x:c r="F24" s="30" t="n">
        <x:f>SUMIFS('Priced Usage'!$M$7:$M$3366,'Priced Usage'!$B$7:$B$3366,$A24,'Priced Usage'!$D$7:$D$3366,$B24)</x:f>
        <x:v>25.84653000000001</x:v>
      </x:c>
      <x:c r="G24" s="30" t="n">
        <x:f>SUMIFS('Priced Usage'!$N$7:$N$3366,'Priced Usage'!$B$7:$B$3366,$A24,'Priced Usage'!$D$7:$D$3366,$B24)</x:f>
        <x:v>23.458600000000008</x:v>
      </x:c>
      <x:c r="H24" s="30" t="n">
        <x:f>SUMIFS('Priced Usage'!$O$7:$O$3366,'Priced Usage'!$B$7:$B$3366,$A24,'Priced Usage'!$D$7:$D$3366,$B24)</x:f>
        <x:v>49.30513000000001</x:v>
      </x:c>
      <x:c r="I24" s="29" t="n">
        <x:f>COUNTIFS('Priced Usage'!$B$7:$B$3366,$A24,'Priced Usage'!$D$7:$D$3366,$B24)</x:f>
        <x:v>60</x:v>
      </x:c>
      <x:c r="J24" s="29" t="n">
        <x:f>COUNTIFS('Priced Usage'!$B$7:$B$3366,$A24,'Priced Usage'!$D$7:$D$3366,$B24,'Priced Usage'!$I$7:$I$3366,"Correction")</x:f>
        <x:v>25</x:v>
      </x:c>
      <x:c r="K24" s="31" t="n">
        <x:f>IF(I24=0,"N/A",J24/I24)</x:f>
        <x:v>0.4166666666666667</x:v>
      </x:c>
    </x:row>
    <x:row r="25" ht="23" customHeight="1">
      <x:c r="A25" s="18" t="n">
        <x:v>46273</x:v>
      </x:c>
      <x:c r="B25" s="17" t="str">
        <x:v>C003</x:v>
      </x:c>
      <x:c r="C25" s="29" t="n">
        <x:f>SUMIFS('Priced Usage'!$G$7:$G$3366,'Priced Usage'!$B$7:$B$3366,$A25,'Priced Usage'!$D$7:$D$3366,$B25)</x:f>
        <x:v>1013547</x:v>
      </x:c>
      <x:c r="D25" s="29" t="n">
        <x:f>SUMIFS('Priced Usage'!$H$7:$H$3366,'Priced Usage'!$B$7:$B$3366,$A25,'Priced Usage'!$D$7:$D$3366,$B25)</x:f>
        <x:v>249656</x:v>
      </x:c>
      <x:c r="E25" s="29" t="n">
        <x:f>SUMIFS('Priced Usage'!$L$7:$L$3366,'Priced Usage'!$B$7:$B$3366,$A25,'Priced Usage'!$D$7:$D$3366,$B25)</x:f>
        <x:v>1263203</x:v>
      </x:c>
      <x:c r="F25" s="30" t="n">
        <x:f>SUMIFS('Priced Usage'!$M$7:$M$3366,'Priced Usage'!$B$7:$B$3366,$A25,'Priced Usage'!$D$7:$D$3366,$B25)</x:f>
        <x:v>15.82056</x:v>
      </x:c>
      <x:c r="G25" s="30" t="n">
        <x:f>SUMIFS('Priced Usage'!$N$7:$N$3366,'Priced Usage'!$B$7:$B$3366,$A25,'Priced Usage'!$D$7:$D$3366,$B25)</x:f>
        <x:v>12.444139999999997</x:v>
      </x:c>
      <x:c r="H25" s="30" t="n">
        <x:f>SUMIFS('Priced Usage'!$O$7:$O$3366,'Priced Usage'!$B$7:$B$3366,$A25,'Priced Usage'!$D$7:$D$3366,$B25)</x:f>
        <x:v>28.264700000000005</x:v>
      </x:c>
      <x:c r="I25" s="29" t="n">
        <x:f>COUNTIFS('Priced Usage'!$B$7:$B$3366,$A25,'Priced Usage'!$D$7:$D$3366,$B25)</x:f>
        <x:v>39</x:v>
      </x:c>
      <x:c r="J25" s="29" t="n">
        <x:f>COUNTIFS('Priced Usage'!$B$7:$B$3366,$A25,'Priced Usage'!$D$7:$D$3366,$B25,'Priced Usage'!$I$7:$I$3366,"Correction")</x:f>
        <x:v>11</x:v>
      </x:c>
      <x:c r="K25" s="31" t="n">
        <x:f>IF(I25=0,"N/A",J25/I25)</x:f>
        <x:v>0.28205128205128205</x:v>
      </x:c>
    </x:row>
    <x:row r="26" ht="23" customHeight="1">
      <x:c r="A26" s="18" t="n">
        <x:v>46273</x:v>
      </x:c>
      <x:c r="B26" s="17" t="str">
        <x:v>C004</x:v>
      </x:c>
      <x:c r="C26" s="29" t="n">
        <x:f>SUMIFS('Priced Usage'!$G$7:$G$3366,'Priced Usage'!$B$7:$B$3366,$A26,'Priced Usage'!$D$7:$D$3366,$B26)</x:f>
        <x:v>1112238</x:v>
      </x:c>
      <x:c r="D26" s="29" t="n">
        <x:f>SUMIFS('Priced Usage'!$H$7:$H$3366,'Priced Usage'!$B$7:$B$3366,$A26,'Priced Usage'!$D$7:$D$3366,$B26)</x:f>
        <x:v>277101</x:v>
      </x:c>
      <x:c r="E26" s="29" t="n">
        <x:f>SUMIFS('Priced Usage'!$L$7:$L$3366,'Priced Usage'!$B$7:$B$3366,$A26,'Priced Usage'!$D$7:$D$3366,$B26)</x:f>
        <x:v>1389339</x:v>
      </x:c>
      <x:c r="F26" s="30" t="n">
        <x:f>SUMIFS('Priced Usage'!$M$7:$M$3366,'Priced Usage'!$B$7:$B$3366,$A26,'Priced Usage'!$D$7:$D$3366,$B26)</x:f>
        <x:v>21.878640000000004</x:v>
      </x:c>
      <x:c r="G26" s="30" t="n">
        <x:f>SUMIFS('Priced Usage'!$N$7:$N$3366,'Priced Usage'!$B$7:$B$3366,$A26,'Priced Usage'!$D$7:$D$3366,$B26)</x:f>
        <x:v>18.497120000000002</x:v>
      </x:c>
      <x:c r="H26" s="30" t="n">
        <x:f>SUMIFS('Priced Usage'!$O$7:$O$3366,'Priced Usage'!$B$7:$B$3366,$A26,'Priced Usage'!$D$7:$D$3366,$B26)</x:f>
        <x:v>40.37576000000001</x:v>
      </x:c>
      <x:c r="I26" s="29" t="n">
        <x:f>COUNTIFS('Priced Usage'!$B$7:$B$3366,$A26,'Priced Usage'!$D$7:$D$3366,$B26)</x:f>
        <x:v>49</x:v>
      </x:c>
      <x:c r="J26" s="29" t="n">
        <x:f>COUNTIFS('Priced Usage'!$B$7:$B$3366,$A26,'Priced Usage'!$D$7:$D$3366,$B26,'Priced Usage'!$I$7:$I$3366,"Correction")</x:f>
        <x:v>10</x:v>
      </x:c>
      <x:c r="K26" s="31" t="n">
        <x:f>IF(I26=0,"N/A",J26/I26)</x:f>
        <x:v>0.20408163265306123</x:v>
      </x:c>
    </x:row>
    <x:row r="27" ht="23" customHeight="1">
      <x:c r="A27" s="18" t="n">
        <x:v>46274</x:v>
      </x:c>
      <x:c r="B27" s="17" t="str">
        <x:v>C001</x:v>
      </x:c>
      <x:c r="C27" s="29" t="n">
        <x:f>SUMIFS('Priced Usage'!$G$7:$G$3366,'Priced Usage'!$B$7:$B$3366,$A27,'Priced Usage'!$D$7:$D$3366,$B27)</x:f>
        <x:v>1232253</x:v>
      </x:c>
      <x:c r="D27" s="29" t="n">
        <x:f>SUMIFS('Priced Usage'!$H$7:$H$3366,'Priced Usage'!$B$7:$B$3366,$A27,'Priced Usage'!$D$7:$D$3366,$B27)</x:f>
        <x:v>314764</x:v>
      </x:c>
      <x:c r="E27" s="29" t="n">
        <x:f>SUMIFS('Priced Usage'!$L$7:$L$3366,'Priced Usage'!$B$7:$B$3366,$A27,'Priced Usage'!$D$7:$D$3366,$B27)</x:f>
        <x:v>1547017</x:v>
      </x:c>
      <x:c r="F27" s="30" t="n">
        <x:f>SUMIFS('Priced Usage'!$M$7:$M$3366,'Priced Usage'!$B$7:$B$3366,$A27,'Priced Usage'!$D$7:$D$3366,$B27)</x:f>
        <x:v>15.949019999999999</x:v>
      </x:c>
      <x:c r="G27" s="30" t="n">
        <x:f>SUMIFS('Priced Usage'!$N$7:$N$3366,'Priced Usage'!$B$7:$B$3366,$A27,'Priced Usage'!$D$7:$D$3366,$B27)</x:f>
        <x:v>13.431099999999999</x:v>
      </x:c>
      <x:c r="H27" s="30" t="n">
        <x:f>SUMIFS('Priced Usage'!$O$7:$O$3366,'Priced Usage'!$B$7:$B$3366,$A27,'Priced Usage'!$D$7:$D$3366,$B27)</x:f>
        <x:v>29.380119999999998</x:v>
      </x:c>
      <x:c r="I27" s="29" t="n">
        <x:f>COUNTIFS('Priced Usage'!$B$7:$B$3366,$A27,'Priced Usage'!$D$7:$D$3366,$B27)</x:f>
        <x:v>36</x:v>
      </x:c>
      <x:c r="J27" s="29" t="n">
        <x:f>COUNTIFS('Priced Usage'!$B$7:$B$3366,$A27,'Priced Usage'!$D$7:$D$3366,$B27,'Priced Usage'!$I$7:$I$3366,"Correction")</x:f>
        <x:v>3</x:v>
      </x:c>
      <x:c r="K27" s="31" t="n">
        <x:f>IF(I27=0,"N/A",J27/I27)</x:f>
        <x:v>0.08333333333333333</x:v>
      </x:c>
    </x:row>
    <x:row r="28" ht="23" customHeight="1">
      <x:c r="A28" s="18" t="n">
        <x:v>46274</x:v>
      </x:c>
      <x:c r="B28" s="17" t="str">
        <x:v>C002</x:v>
      </x:c>
      <x:c r="C28" s="29" t="n">
        <x:f>SUMIFS('Priced Usage'!$G$7:$G$3366,'Priced Usage'!$B$7:$B$3366,$A28,'Priced Usage'!$D$7:$D$3366,$B28)</x:f>
        <x:v>2183717</x:v>
      </x:c>
      <x:c r="D28" s="29" t="n">
        <x:f>SUMIFS('Priced Usage'!$H$7:$H$3366,'Priced Usage'!$B$7:$B$3366,$A28,'Priced Usage'!$D$7:$D$3366,$B28)</x:f>
        <x:v>566374</x:v>
      </x:c>
      <x:c r="E28" s="29" t="n">
        <x:f>SUMIFS('Priced Usage'!$L$7:$L$3366,'Priced Usage'!$B$7:$B$3366,$A28,'Priced Usage'!$D$7:$D$3366,$B28)</x:f>
        <x:v>2750091</x:v>
      </x:c>
      <x:c r="F28" s="30" t="n">
        <x:f>SUMIFS('Priced Usage'!$M$7:$M$3366,'Priced Usage'!$B$7:$B$3366,$A28,'Priced Usage'!$D$7:$D$3366,$B28)</x:f>
        <x:v>31.83641</x:v>
      </x:c>
      <x:c r="G28" s="30" t="n">
        <x:f>SUMIFS('Priced Usage'!$N$7:$N$3366,'Priced Usage'!$B$7:$B$3366,$A28,'Priced Usage'!$D$7:$D$3366,$B28)</x:f>
        <x:v>30.852550000000004</x:v>
      </x:c>
      <x:c r="H28" s="30" t="n">
        <x:f>SUMIFS('Priced Usage'!$O$7:$O$3366,'Priced Usage'!$B$7:$B$3366,$A28,'Priced Usage'!$D$7:$D$3366,$B28)</x:f>
        <x:v>62.688959999999994</x:v>
      </x:c>
      <x:c r="I28" s="29" t="n">
        <x:f>COUNTIFS('Priced Usage'!$B$7:$B$3366,$A28,'Priced Usage'!$D$7:$D$3366,$B28)</x:f>
        <x:v>70</x:v>
      </x:c>
      <x:c r="J28" s="29" t="n">
        <x:f>COUNTIFS('Priced Usage'!$B$7:$B$3366,$A28,'Priced Usage'!$D$7:$D$3366,$B28,'Priced Usage'!$I$7:$I$3366,"Correction")</x:f>
        <x:v>24</x:v>
      </x:c>
      <x:c r="K28" s="31" t="n">
        <x:f>IF(I28=0,"N/A",J28/I28)</x:f>
        <x:v>0.34285714285714286</x:v>
      </x:c>
    </x:row>
    <x:row r="29" ht="23" customHeight="1">
      <x:c r="A29" s="18" t="n">
        <x:v>46274</x:v>
      </x:c>
      <x:c r="B29" s="17" t="str">
        <x:v>C003</x:v>
      </x:c>
      <x:c r="C29" s="29" t="n">
        <x:f>SUMIFS('Priced Usage'!$G$7:$G$3366,'Priced Usage'!$B$7:$B$3366,$A29,'Priced Usage'!$D$7:$D$3366,$B29)</x:f>
        <x:v>1108558</x:v>
      </x:c>
      <x:c r="D29" s="29" t="n">
        <x:f>SUMIFS('Priced Usage'!$H$7:$H$3366,'Priced Usage'!$B$7:$B$3366,$A29,'Priced Usage'!$D$7:$D$3366,$B29)</x:f>
        <x:v>266043</x:v>
      </x:c>
      <x:c r="E29" s="29" t="n">
        <x:f>SUMIFS('Priced Usage'!$L$7:$L$3366,'Priced Usage'!$B$7:$B$3366,$A29,'Priced Usage'!$D$7:$D$3366,$B29)</x:f>
        <x:v>1374601</x:v>
      </x:c>
      <x:c r="F29" s="30" t="n">
        <x:f>SUMIFS('Priced Usage'!$M$7:$M$3366,'Priced Usage'!$B$7:$B$3366,$A29,'Priced Usage'!$D$7:$D$3366,$B29)</x:f>
        <x:v>15.96994</x:v>
      </x:c>
      <x:c r="G29" s="30" t="n">
        <x:f>SUMIFS('Priced Usage'!$N$7:$N$3366,'Priced Usage'!$B$7:$B$3366,$A29,'Priced Usage'!$D$7:$D$3366,$B29)</x:f>
        <x:v>13.40531</x:v>
      </x:c>
      <x:c r="H29" s="30" t="n">
        <x:f>SUMIFS('Priced Usage'!$O$7:$O$3366,'Priced Usage'!$B$7:$B$3366,$A29,'Priced Usage'!$D$7:$D$3366,$B29)</x:f>
        <x:v>29.375249999999998</x:v>
      </x:c>
      <x:c r="I29" s="29" t="n">
        <x:f>COUNTIFS('Priced Usage'!$B$7:$B$3366,$A29,'Priced Usage'!$D$7:$D$3366,$B29)</x:f>
        <x:v>40</x:v>
      </x:c>
      <x:c r="J29" s="29" t="n">
        <x:f>COUNTIFS('Priced Usage'!$B$7:$B$3366,$A29,'Priced Usage'!$D$7:$D$3366,$B29,'Priced Usage'!$I$7:$I$3366,"Correction")</x:f>
        <x:v>6</x:v>
      </x:c>
      <x:c r="K29" s="31" t="n">
        <x:f>IF(I29=0,"N/A",J29/I29)</x:f>
        <x:v>0.15</x:v>
      </x:c>
    </x:row>
    <x:row r="30" ht="23" customHeight="1">
      <x:c r="A30" s="18" t="n">
        <x:v>46274</x:v>
      </x:c>
      <x:c r="B30" s="17" t="str">
        <x:v>C004</x:v>
      </x:c>
      <x:c r="C30" s="29" t="n">
        <x:f>SUMIFS('Priced Usage'!$G$7:$G$3366,'Priced Usage'!$B$7:$B$3366,$A30,'Priced Usage'!$D$7:$D$3366,$B30)</x:f>
        <x:v>1004246</x:v>
      </x:c>
      <x:c r="D30" s="29" t="n">
        <x:f>SUMIFS('Priced Usage'!$H$7:$H$3366,'Priced Usage'!$B$7:$B$3366,$A30,'Priced Usage'!$D$7:$D$3366,$B30)</x:f>
        <x:v>246056</x:v>
      </x:c>
      <x:c r="E30" s="29" t="n">
        <x:f>SUMIFS('Priced Usage'!$L$7:$L$3366,'Priced Usage'!$B$7:$B$3366,$A30,'Priced Usage'!$D$7:$D$3366,$B30)</x:f>
        <x:v>1250302</x:v>
      </x:c>
      <x:c r="F30" s="30" t="n">
        <x:f>SUMIFS('Priced Usage'!$M$7:$M$3366,'Priced Usage'!$B$7:$B$3366,$A30,'Priced Usage'!$D$7:$D$3366,$B30)</x:f>
        <x:v>20.275969999999997</x:v>
      </x:c>
      <x:c r="G30" s="30" t="n">
        <x:f>SUMIFS('Priced Usage'!$N$7:$N$3366,'Priced Usage'!$B$7:$B$3366,$A30,'Priced Usage'!$D$7:$D$3366,$B30)</x:f>
        <x:v>16.631410000000002</x:v>
      </x:c>
      <x:c r="H30" s="30" t="n">
        <x:f>SUMIFS('Priced Usage'!$O$7:$O$3366,'Priced Usage'!$B$7:$B$3366,$A30,'Priced Usage'!$D$7:$D$3366,$B30)</x:f>
        <x:v>36.90738</x:v>
      </x:c>
      <x:c r="I30" s="29" t="n">
        <x:f>COUNTIFS('Priced Usage'!$B$7:$B$3366,$A30,'Priced Usage'!$D$7:$D$3366,$B30)</x:f>
        <x:v>46</x:v>
      </x:c>
      <x:c r="J30" s="29" t="n">
        <x:f>COUNTIFS('Priced Usage'!$B$7:$B$3366,$A30,'Priced Usage'!$D$7:$D$3366,$B30,'Priced Usage'!$I$7:$I$3366,"Correction")</x:f>
        <x:v>12</x:v>
      </x:c>
      <x:c r="K30" s="31" t="n">
        <x:f>IF(I30=0,"N/A",J30/I30)</x:f>
        <x:v>0.2608695652173913</x:v>
      </x:c>
    </x:row>
    <x:row r="31" ht="23" customHeight="1">
      <x:c r="A31" s="18" t="n">
        <x:v>46275</x:v>
      </x:c>
      <x:c r="B31" s="17" t="str">
        <x:v>C001</x:v>
      </x:c>
      <x:c r="C31" s="29" t="n">
        <x:f>SUMIFS('Priced Usage'!$G$7:$G$3366,'Priced Usage'!$B$7:$B$3366,$A31,'Priced Usage'!$D$7:$D$3366,$B31)</x:f>
        <x:v>1120473</x:v>
      </x:c>
      <x:c r="D31" s="29" t="n">
        <x:f>SUMIFS('Priced Usage'!$H$7:$H$3366,'Priced Usage'!$B$7:$B$3366,$A31,'Priced Usage'!$D$7:$D$3366,$B31)</x:f>
        <x:v>269321</x:v>
      </x:c>
      <x:c r="E31" s="29" t="n">
        <x:f>SUMIFS('Priced Usage'!$L$7:$L$3366,'Priced Usage'!$B$7:$B$3366,$A31,'Priced Usage'!$D$7:$D$3366,$B31)</x:f>
        <x:v>1389794</x:v>
      </x:c>
      <x:c r="F31" s="30" t="n">
        <x:f>SUMIFS('Priced Usage'!$M$7:$M$3366,'Priced Usage'!$B$7:$B$3366,$A31,'Priced Usage'!$D$7:$D$3366,$B31)</x:f>
        <x:v>16.82637</x:v>
      </x:c>
      <x:c r="G31" s="30" t="n">
        <x:f>SUMIFS('Priced Usage'!$N$7:$N$3366,'Priced Usage'!$B$7:$B$3366,$A31,'Priced Usage'!$D$7:$D$3366,$B31)</x:f>
        <x:v>13.23996</x:v>
      </x:c>
      <x:c r="H31" s="30" t="n">
        <x:f>SUMIFS('Priced Usage'!$O$7:$O$3366,'Priced Usage'!$B$7:$B$3366,$A31,'Priced Usage'!$D$7:$D$3366,$B31)</x:f>
        <x:v>30.066330000000004</x:v>
      </x:c>
      <x:c r="I31" s="29" t="n">
        <x:f>COUNTIFS('Priced Usage'!$B$7:$B$3366,$A31,'Priced Usage'!$D$7:$D$3366,$B31)</x:f>
        <x:v>34</x:v>
      </x:c>
      <x:c r="J31" s="29" t="n">
        <x:f>COUNTIFS('Priced Usage'!$B$7:$B$3366,$A31,'Priced Usage'!$D$7:$D$3366,$B31,'Priced Usage'!$I$7:$I$3366,"Correction")</x:f>
        <x:v>2</x:v>
      </x:c>
      <x:c r="K31" s="31" t="n">
        <x:f>IF(I31=0,"N/A",J31/I31)</x:f>
        <x:v>0.058823529411764705</x:v>
      </x:c>
    </x:row>
    <x:row r="32" ht="23" customHeight="1">
      <x:c r="A32" s="18" t="n">
        <x:v>46275</x:v>
      </x:c>
      <x:c r="B32" s="17" t="str">
        <x:v>C002</x:v>
      </x:c>
      <x:c r="C32" s="29" t="n">
        <x:f>SUMIFS('Priced Usage'!$G$7:$G$3366,'Priced Usage'!$B$7:$B$3366,$A32,'Priced Usage'!$D$7:$D$3366,$B32)</x:f>
        <x:v>1916026</x:v>
      </x:c>
      <x:c r="D32" s="29" t="n">
        <x:f>SUMIFS('Priced Usage'!$H$7:$H$3366,'Priced Usage'!$B$7:$B$3366,$A32,'Priced Usage'!$D$7:$D$3366,$B32)</x:f>
        <x:v>603510</x:v>
      </x:c>
      <x:c r="E32" s="29" t="n">
        <x:f>SUMIFS('Priced Usage'!$L$7:$L$3366,'Priced Usage'!$B$7:$B$3366,$A32,'Priced Usage'!$D$7:$D$3366,$B32)</x:f>
        <x:v>2519536</x:v>
      </x:c>
      <x:c r="F32" s="30" t="n">
        <x:f>SUMIFS('Priced Usage'!$M$7:$M$3366,'Priced Usage'!$B$7:$B$3366,$A32,'Priced Usage'!$D$7:$D$3366,$B32)</x:f>
        <x:v>36.28339</x:v>
      </x:c>
      <x:c r="G32" s="30" t="n">
        <x:f>SUMIFS('Priced Usage'!$N$7:$N$3366,'Priced Usage'!$B$7:$B$3366,$A32,'Priced Usage'!$D$7:$D$3366,$B32)</x:f>
        <x:v>38.40411000000001</x:v>
      </x:c>
      <x:c r="H32" s="30" t="n">
        <x:f>SUMIFS('Priced Usage'!$O$7:$O$3366,'Priced Usage'!$B$7:$B$3366,$A32,'Priced Usage'!$D$7:$D$3366,$B32)</x:f>
        <x:v>74.6875</x:v>
      </x:c>
      <x:c r="I32" s="29" t="n">
        <x:f>COUNTIFS('Priced Usage'!$B$7:$B$3366,$A32,'Priced Usage'!$D$7:$D$3366,$B32)</x:f>
        <x:v>71</x:v>
      </x:c>
      <x:c r="J32" s="29" t="n">
        <x:f>COUNTIFS('Priced Usage'!$B$7:$B$3366,$A32,'Priced Usage'!$D$7:$D$3366,$B32,'Priced Usage'!$I$7:$I$3366,"Correction")</x:f>
        <x:v>29</x:v>
      </x:c>
      <x:c r="K32" s="31" t="n">
        <x:f>IF(I32=0,"N/A",J32/I32)</x:f>
        <x:v>0.4084507042253521</x:v>
      </x:c>
    </x:row>
    <x:row r="33" ht="23" customHeight="1">
      <x:c r="A33" s="18" t="n">
        <x:v>46275</x:v>
      </x:c>
      <x:c r="B33" s="17" t="str">
        <x:v>C003</x:v>
      </x:c>
      <x:c r="C33" s="29" t="n">
        <x:f>SUMIFS('Priced Usage'!$G$7:$G$3366,'Priced Usage'!$B$7:$B$3366,$A33,'Priced Usage'!$D$7:$D$3366,$B33)</x:f>
        <x:v>1006108</x:v>
      </x:c>
      <x:c r="D33" s="29" t="n">
        <x:f>SUMIFS('Priced Usage'!$H$7:$H$3366,'Priced Usage'!$B$7:$B$3366,$A33,'Priced Usage'!$D$7:$D$3366,$B33)</x:f>
        <x:v>215762</x:v>
      </x:c>
      <x:c r="E33" s="29" t="n">
        <x:f>SUMIFS('Priced Usage'!$L$7:$L$3366,'Priced Usage'!$B$7:$B$3366,$A33,'Priced Usage'!$D$7:$D$3366,$B33)</x:f>
        <x:v>1221870</x:v>
      </x:c>
      <x:c r="F33" s="30" t="n">
        <x:f>SUMIFS('Priced Usage'!$M$7:$M$3366,'Priced Usage'!$B$7:$B$3366,$A33,'Priced Usage'!$D$7:$D$3366,$B33)</x:f>
        <x:v>13.268320000000001</x:v>
      </x:c>
      <x:c r="G33" s="30" t="n">
        <x:f>SUMIFS('Priced Usage'!$N$7:$N$3366,'Priced Usage'!$B$7:$B$3366,$A33,'Priced Usage'!$D$7:$D$3366,$B33)</x:f>
        <x:v>8.532119999999999</x:v>
      </x:c>
      <x:c r="H33" s="30" t="n">
        <x:f>SUMIFS('Priced Usage'!$O$7:$O$3366,'Priced Usage'!$B$7:$B$3366,$A33,'Priced Usage'!$D$7:$D$3366,$B33)</x:f>
        <x:v>21.800440000000002</x:v>
      </x:c>
      <x:c r="I33" s="29" t="n">
        <x:f>COUNTIFS('Priced Usage'!$B$7:$B$3366,$A33,'Priced Usage'!$D$7:$D$3366,$B33)</x:f>
        <x:v>38</x:v>
      </x:c>
      <x:c r="J33" s="29" t="n">
        <x:f>COUNTIFS('Priced Usage'!$B$7:$B$3366,$A33,'Priced Usage'!$D$7:$D$3366,$B33,'Priced Usage'!$I$7:$I$3366,"Correction")</x:f>
        <x:v>2</x:v>
      </x:c>
      <x:c r="K33" s="31" t="n">
        <x:f>IF(I33=0,"N/A",J33/I33)</x:f>
        <x:v>0.05263157894736842</x:v>
      </x:c>
    </x:row>
    <x:row r="34" ht="23" customHeight="1">
      <x:c r="A34" s="18" t="n">
        <x:v>46275</x:v>
      </x:c>
      <x:c r="B34" s="17" t="str">
        <x:v>C004</x:v>
      </x:c>
      <x:c r="C34" s="29" t="n">
        <x:f>SUMIFS('Priced Usage'!$G$7:$G$3366,'Priced Usage'!$B$7:$B$3366,$A34,'Priced Usage'!$D$7:$D$3366,$B34)</x:f>
        <x:v>1039123</x:v>
      </x:c>
      <x:c r="D34" s="29" t="n">
        <x:f>SUMIFS('Priced Usage'!$H$7:$H$3366,'Priced Usage'!$B$7:$B$3366,$A34,'Priced Usage'!$D$7:$D$3366,$B34)</x:f>
        <x:v>287397</x:v>
      </x:c>
      <x:c r="E34" s="29" t="n">
        <x:f>SUMIFS('Priced Usage'!$L$7:$L$3366,'Priced Usage'!$B$7:$B$3366,$A34,'Priced Usage'!$D$7:$D$3366,$B34)</x:f>
        <x:v>1326520</x:v>
      </x:c>
      <x:c r="F34" s="30" t="n">
        <x:f>SUMIFS('Priced Usage'!$M$7:$M$3366,'Priced Usage'!$B$7:$B$3366,$A34,'Priced Usage'!$D$7:$D$3366,$B34)</x:f>
        <x:v>21.07552</x:v>
      </x:c>
      <x:c r="G34" s="30" t="n">
        <x:f>SUMIFS('Priced Usage'!$N$7:$N$3366,'Priced Usage'!$B$7:$B$3366,$A34,'Priced Usage'!$D$7:$D$3366,$B34)</x:f>
        <x:v>19.99327</x:v>
      </x:c>
      <x:c r="H34" s="30" t="n">
        <x:f>SUMIFS('Priced Usage'!$O$7:$O$3366,'Priced Usage'!$B$7:$B$3366,$A34,'Priced Usage'!$D$7:$D$3366,$B34)</x:f>
        <x:v>41.06878999999999</x:v>
      </x:c>
      <x:c r="I34" s="29" t="n">
        <x:f>COUNTIFS('Priced Usage'!$B$7:$B$3366,$A34,'Priced Usage'!$D$7:$D$3366,$B34)</x:f>
        <x:v>48</x:v>
      </x:c>
      <x:c r="J34" s="29" t="n">
        <x:f>COUNTIFS('Priced Usage'!$B$7:$B$3366,$A34,'Priced Usage'!$D$7:$D$3366,$B34,'Priced Usage'!$I$7:$I$3366,"Correction")</x:f>
        <x:v>7</x:v>
      </x:c>
      <x:c r="K34" s="31" t="n">
        <x:f>IF(I34=0,"N/A",J34/I34)</x:f>
        <x:v>0.14583333333333334</x:v>
      </x:c>
    </x:row>
    <x:row r="35" ht="23" customHeight="1">
      <x:c r="A35" s="18" t="n">
        <x:v>46276</x:v>
      </x:c>
      <x:c r="B35" s="17" t="str">
        <x:v>C001</x:v>
      </x:c>
      <x:c r="C35" s="29" t="n">
        <x:f>SUMIFS('Priced Usage'!$G$7:$G$3366,'Priced Usage'!$B$7:$B$3366,$A35,'Priced Usage'!$D$7:$D$3366,$B35)</x:f>
        <x:v>1073102</x:v>
      </x:c>
      <x:c r="D35" s="29" t="n">
        <x:f>SUMIFS('Priced Usage'!$H$7:$H$3366,'Priced Usage'!$B$7:$B$3366,$A35,'Priced Usage'!$D$7:$D$3366,$B35)</x:f>
        <x:v>222799</x:v>
      </x:c>
      <x:c r="E35" s="29" t="n">
        <x:f>SUMIFS('Priced Usage'!$L$7:$L$3366,'Priced Usage'!$B$7:$B$3366,$A35,'Priced Usage'!$D$7:$D$3366,$B35)</x:f>
        <x:v>1295901</x:v>
      </x:c>
      <x:c r="F35" s="30" t="n">
        <x:f>SUMIFS('Priced Usage'!$M$7:$M$3366,'Priced Usage'!$B$7:$B$3366,$A35,'Priced Usage'!$D$7:$D$3366,$B35)</x:f>
        <x:v>13.102909999999998</x:v>
      </x:c>
      <x:c r="G35" s="30" t="n">
        <x:f>SUMIFS('Priced Usage'!$N$7:$N$3366,'Priced Usage'!$B$7:$B$3366,$A35,'Priced Usage'!$D$7:$D$3366,$B35)</x:f>
        <x:v>9.001809999999999</x:v>
      </x:c>
      <x:c r="H35" s="30" t="n">
        <x:f>SUMIFS('Priced Usage'!$O$7:$O$3366,'Priced Usage'!$B$7:$B$3366,$A35,'Priced Usage'!$D$7:$D$3366,$B35)</x:f>
        <x:v>22.10472</x:v>
      </x:c>
      <x:c r="I35" s="29" t="n">
        <x:f>COUNTIFS('Priced Usage'!$B$7:$B$3366,$A35,'Priced Usage'!$D$7:$D$3366,$B35)</x:f>
        <x:v>27</x:v>
      </x:c>
      <x:c r="J35" s="29" t="n">
        <x:f>COUNTIFS('Priced Usage'!$B$7:$B$3366,$A35,'Priced Usage'!$D$7:$D$3366,$B35,'Priced Usage'!$I$7:$I$3366,"Correction")</x:f>
        <x:v>4</x:v>
      </x:c>
      <x:c r="K35" s="31" t="n">
        <x:f>IF(I35=0,"N/A",J35/I35)</x:f>
        <x:v>0.14814814814814814</x:v>
      </x:c>
    </x:row>
    <x:row r="36" ht="23" customHeight="1">
      <x:c r="A36" s="18" t="n">
        <x:v>46276</x:v>
      </x:c>
      <x:c r="B36" s="17" t="str">
        <x:v>C002</x:v>
      </x:c>
      <x:c r="C36" s="29" t="n">
        <x:f>SUMIFS('Priced Usage'!$G$7:$G$3366,'Priced Usage'!$B$7:$B$3366,$A36,'Priced Usage'!$D$7:$D$3366,$B36)</x:f>
        <x:v>1924677</x:v>
      </x:c>
      <x:c r="D36" s="29" t="n">
        <x:f>SUMIFS('Priced Usage'!$H$7:$H$3366,'Priced Usage'!$B$7:$B$3366,$A36,'Priced Usage'!$D$7:$D$3366,$B36)</x:f>
        <x:v>648931</x:v>
      </x:c>
      <x:c r="E36" s="29" t="n">
        <x:f>SUMIFS('Priced Usage'!$L$7:$L$3366,'Priced Usage'!$B$7:$B$3366,$A36,'Priced Usage'!$D$7:$D$3366,$B36)</x:f>
        <x:v>2573608</x:v>
      </x:c>
      <x:c r="F36" s="30" t="n">
        <x:f>SUMIFS('Priced Usage'!$M$7:$M$3366,'Priced Usage'!$B$7:$B$3366,$A36,'Priced Usage'!$D$7:$D$3366,$B36)</x:f>
        <x:v>37.23009</x:v>
      </x:c>
      <x:c r="G36" s="30" t="n">
        <x:f>SUMIFS('Priced Usage'!$N$7:$N$3366,'Priced Usage'!$B$7:$B$3366,$A36,'Priced Usage'!$D$7:$D$3366,$B36)</x:f>
        <x:v>42.76176</x:v>
      </x:c>
      <x:c r="H36" s="30" t="n">
        <x:f>SUMIFS('Priced Usage'!$O$7:$O$3366,'Priced Usage'!$B$7:$B$3366,$A36,'Priced Usage'!$D$7:$D$3366,$B36)</x:f>
        <x:v>79.99185</x:v>
      </x:c>
      <x:c r="I36" s="29" t="n">
        <x:f>COUNTIFS('Priced Usage'!$B$7:$B$3366,$A36,'Priced Usage'!$D$7:$D$3366,$B36)</x:f>
        <x:v>73</x:v>
      </x:c>
      <x:c r="J36" s="29" t="n">
        <x:f>COUNTIFS('Priced Usage'!$B$7:$B$3366,$A36,'Priced Usage'!$D$7:$D$3366,$B36,'Priced Usage'!$I$7:$I$3366,"Correction")</x:f>
        <x:v>33</x:v>
      </x:c>
      <x:c r="K36" s="31" t="n">
        <x:f>IF(I36=0,"N/A",J36/I36)</x:f>
        <x:v>0.4520547945205479</x:v>
      </x:c>
    </x:row>
    <x:row r="37" ht="23" customHeight="1">
      <x:c r="A37" s="18" t="n">
        <x:v>46276</x:v>
      </x:c>
      <x:c r="B37" s="17" t="str">
        <x:v>C003</x:v>
      </x:c>
      <x:c r="C37" s="29" t="n">
        <x:f>SUMIFS('Priced Usage'!$G$7:$G$3366,'Priced Usage'!$B$7:$B$3366,$A37,'Priced Usage'!$D$7:$D$3366,$B37)</x:f>
        <x:v>889626</x:v>
      </x:c>
      <x:c r="D37" s="29" t="n">
        <x:f>SUMIFS('Priced Usage'!$H$7:$H$3366,'Priced Usage'!$B$7:$B$3366,$A37,'Priced Usage'!$D$7:$D$3366,$B37)</x:f>
        <x:v>215911</x:v>
      </x:c>
      <x:c r="E37" s="29" t="n">
        <x:f>SUMIFS('Priced Usage'!$L$7:$L$3366,'Priced Usage'!$B$7:$B$3366,$A37,'Priced Usage'!$D$7:$D$3366,$B37)</x:f>
        <x:v>1105537</x:v>
      </x:c>
      <x:c r="F37" s="30" t="n">
        <x:f>SUMIFS('Priced Usage'!$M$7:$M$3366,'Priced Usage'!$B$7:$B$3366,$A37,'Priced Usage'!$D$7:$D$3366,$B37)</x:f>
        <x:v>15.505769999999997</x:v>
      </x:c>
      <x:c r="G37" s="30" t="n">
        <x:f>SUMIFS('Priced Usage'!$N$7:$N$3366,'Priced Usage'!$B$7:$B$3366,$A37,'Priced Usage'!$D$7:$D$3366,$B37)</x:f>
        <x:v>12.11569</x:v>
      </x:c>
      <x:c r="H37" s="30" t="n">
        <x:f>SUMIFS('Priced Usage'!$O$7:$O$3366,'Priced Usage'!$B$7:$B$3366,$A37,'Priced Usage'!$D$7:$D$3366,$B37)</x:f>
        <x:v>27.62146</x:v>
      </x:c>
      <x:c r="I37" s="29" t="n">
        <x:f>COUNTIFS('Priced Usage'!$B$7:$B$3366,$A37,'Priced Usage'!$D$7:$D$3366,$B37)</x:f>
        <x:v>36</x:v>
      </x:c>
      <x:c r="J37" s="29" t="n">
        <x:f>COUNTIFS('Priced Usage'!$B$7:$B$3366,$A37,'Priced Usage'!$D$7:$D$3366,$B37,'Priced Usage'!$I$7:$I$3366,"Correction")</x:f>
        <x:v>9</x:v>
      </x:c>
      <x:c r="K37" s="31" t="n">
        <x:f>IF(I37=0,"N/A",J37/I37)</x:f>
        <x:v>0.25</x:v>
      </x:c>
    </x:row>
    <x:row r="38" ht="23" customHeight="1">
      <x:c r="A38" s="18" t="n">
        <x:v>46276</x:v>
      </x:c>
      <x:c r="B38" s="17" t="str">
        <x:v>C004</x:v>
      </x:c>
      <x:c r="C38" s="29" t="n">
        <x:f>SUMIFS('Priced Usage'!$G$7:$G$3366,'Priced Usage'!$B$7:$B$3366,$A38,'Priced Usage'!$D$7:$D$3366,$B38)</x:f>
        <x:v>960778</x:v>
      </x:c>
      <x:c r="D38" s="29" t="n">
        <x:f>SUMIFS('Priced Usage'!$H$7:$H$3366,'Priced Usage'!$B$7:$B$3366,$A38,'Priced Usage'!$D$7:$D$3366,$B38)</x:f>
        <x:v>262037</x:v>
      </x:c>
      <x:c r="E38" s="29" t="n">
        <x:f>SUMIFS('Priced Usage'!$L$7:$L$3366,'Priced Usage'!$B$7:$B$3366,$A38,'Priced Usage'!$D$7:$D$3366,$B38)</x:f>
        <x:v>1222815</x:v>
      </x:c>
      <x:c r="F38" s="30" t="n">
        <x:f>SUMIFS('Priced Usage'!$M$7:$M$3366,'Priced Usage'!$B$7:$B$3366,$A38,'Priced Usage'!$D$7:$D$3366,$B38)</x:f>
        <x:v>24.41938</x:v>
      </x:c>
      <x:c r="G38" s="30" t="n">
        <x:f>SUMIFS('Priced Usage'!$N$7:$N$3366,'Priced Usage'!$B$7:$B$3366,$A38,'Priced Usage'!$D$7:$D$3366,$B38)</x:f>
        <x:v>18.741139999999998</x:v>
      </x:c>
      <x:c r="H38" s="30" t="n">
        <x:f>SUMIFS('Priced Usage'!$O$7:$O$3366,'Priced Usage'!$B$7:$B$3366,$A38,'Priced Usage'!$D$7:$D$3366,$B38)</x:f>
        <x:v>43.16052</x:v>
      </x:c>
      <x:c r="I38" s="29" t="n">
        <x:f>COUNTIFS('Priced Usage'!$B$7:$B$3366,$A38,'Priced Usage'!$D$7:$D$3366,$B38)</x:f>
        <x:v>47</x:v>
      </x:c>
      <x:c r="J38" s="29" t="n">
        <x:f>COUNTIFS('Priced Usage'!$B$7:$B$3366,$A38,'Priced Usage'!$D$7:$D$3366,$B38,'Priced Usage'!$I$7:$I$3366,"Correction")</x:f>
        <x:v>8</x:v>
      </x:c>
      <x:c r="K38" s="31" t="n">
        <x:f>IF(I38=0,"N/A",J38/I38)</x:f>
        <x:v>0.1702127659574468</x:v>
      </x:c>
    </x:row>
    <x:row r="39" ht="23" customHeight="1">
      <x:c r="A39" s="18" t="n">
        <x:v>46279</x:v>
      </x:c>
      <x:c r="B39" s="17" t="str">
        <x:v>C001</x:v>
      </x:c>
      <x:c r="C39" s="29" t="n">
        <x:f>SUMIFS('Priced Usage'!$G$7:$G$3366,'Priced Usage'!$B$7:$B$3366,$A39,'Priced Usage'!$D$7:$D$3366,$B39)</x:f>
        <x:v>1158211</x:v>
      </x:c>
      <x:c r="D39" s="29" t="n">
        <x:f>SUMIFS('Priced Usage'!$H$7:$H$3366,'Priced Usage'!$B$7:$B$3366,$A39,'Priced Usage'!$D$7:$D$3366,$B39)</x:f>
        <x:v>243987</x:v>
      </x:c>
      <x:c r="E39" s="29" t="n">
        <x:f>SUMIFS('Priced Usage'!$L$7:$L$3366,'Priced Usage'!$B$7:$B$3366,$A39,'Priced Usage'!$D$7:$D$3366,$B39)</x:f>
        <x:v>1402198</x:v>
      </x:c>
      <x:c r="F39" s="30" t="n">
        <x:f>SUMIFS('Priced Usage'!$M$7:$M$3366,'Priced Usage'!$B$7:$B$3366,$A39,'Priced Usage'!$D$7:$D$3366,$B39)</x:f>
        <x:v>15.866200000000001</x:v>
      </x:c>
      <x:c r="G39" s="30" t="n">
        <x:f>SUMIFS('Priced Usage'!$N$7:$N$3366,'Priced Usage'!$B$7:$B$3366,$A39,'Priced Usage'!$D$7:$D$3366,$B39)</x:f>
        <x:v>12.350649999999998</x:v>
      </x:c>
      <x:c r="H39" s="30" t="n">
        <x:f>SUMIFS('Priced Usage'!$O$7:$O$3366,'Priced Usage'!$B$7:$B$3366,$A39,'Priced Usage'!$D$7:$D$3366,$B39)</x:f>
        <x:v>28.21685</x:v>
      </x:c>
      <x:c r="I39" s="29" t="n">
        <x:f>COUNTIFS('Priced Usage'!$B$7:$B$3366,$A39,'Priced Usage'!$D$7:$D$3366,$B39)</x:f>
        <x:v>30</x:v>
      </x:c>
      <x:c r="J39" s="29" t="n">
        <x:f>COUNTIFS('Priced Usage'!$B$7:$B$3366,$A39,'Priced Usage'!$D$7:$D$3366,$B39,'Priced Usage'!$I$7:$I$3366,"Correction")</x:f>
        <x:v>3</x:v>
      </x:c>
      <x:c r="K39" s="31" t="n">
        <x:f>IF(I39=0,"N/A",J39/I39)</x:f>
        <x:v>0.1</x:v>
      </x:c>
    </x:row>
    <x:row r="40" ht="23" customHeight="1">
      <x:c r="A40" s="18" t="n">
        <x:v>46279</x:v>
      </x:c>
      <x:c r="B40" s="17" t="str">
        <x:v>C002</x:v>
      </x:c>
      <x:c r="C40" s="29" t="n">
        <x:f>SUMIFS('Priced Usage'!$G$7:$G$3366,'Priced Usage'!$B$7:$B$3366,$A40,'Priced Usage'!$D$7:$D$3366,$B40)</x:f>
        <x:v>1787053</x:v>
      </x:c>
      <x:c r="D40" s="29" t="n">
        <x:f>SUMIFS('Priced Usage'!$H$7:$H$3366,'Priced Usage'!$B$7:$B$3366,$A40,'Priced Usage'!$D$7:$D$3366,$B40)</x:f>
        <x:v>662282</x:v>
      </x:c>
      <x:c r="E40" s="29" t="n">
        <x:f>SUMIFS('Priced Usage'!$L$7:$L$3366,'Priced Usage'!$B$7:$B$3366,$A40,'Priced Usage'!$D$7:$D$3366,$B40)</x:f>
        <x:v>2449335</x:v>
      </x:c>
      <x:c r="F40" s="30" t="n">
        <x:f>SUMIFS('Priced Usage'!$M$7:$M$3366,'Priced Usage'!$B$7:$B$3366,$A40,'Priced Usage'!$D$7:$D$3366,$B40)</x:f>
        <x:v>42.97258000000001</x:v>
      </x:c>
      <x:c r="G40" s="30" t="n">
        <x:f>SUMIFS('Priced Usage'!$N$7:$N$3366,'Priced Usage'!$B$7:$B$3366,$A40,'Priced Usage'!$D$7:$D$3366,$B40)</x:f>
        <x:v>49.643660000000004</x:v>
      </x:c>
      <x:c r="H40" s="30" t="n">
        <x:f>SUMIFS('Priced Usage'!$O$7:$O$3366,'Priced Usage'!$B$7:$B$3366,$A40,'Priced Usage'!$D$7:$D$3366,$B40)</x:f>
        <x:v>92.61624</x:v>
      </x:c>
      <x:c r="I40" s="29" t="n">
        <x:f>COUNTIFS('Priced Usage'!$B$7:$B$3366,$A40,'Priced Usage'!$D$7:$D$3366,$B40)</x:f>
        <x:v>71</x:v>
      </x:c>
      <x:c r="J40" s="29" t="n">
        <x:f>COUNTIFS('Priced Usage'!$B$7:$B$3366,$A40,'Priced Usage'!$D$7:$D$3366,$B40,'Priced Usage'!$I$7:$I$3366,"Correction")</x:f>
        <x:v>21</x:v>
      </x:c>
      <x:c r="K40" s="31" t="n">
        <x:f>IF(I40=0,"N/A",J40/I40)</x:f>
        <x:v>0.29577464788732394</x:v>
      </x:c>
    </x:row>
    <x:row r="41" ht="23" customHeight="1">
      <x:c r="A41" s="18" t="n">
        <x:v>46279</x:v>
      </x:c>
      <x:c r="B41" s="17" t="str">
        <x:v>C003</x:v>
      </x:c>
      <x:c r="C41" s="29" t="n">
        <x:f>SUMIFS('Priced Usage'!$G$7:$G$3366,'Priced Usage'!$B$7:$B$3366,$A41,'Priced Usage'!$D$7:$D$3366,$B41)</x:f>
        <x:v>978749</x:v>
      </x:c>
      <x:c r="D41" s="29" t="n">
        <x:f>SUMIFS('Priced Usage'!$H$7:$H$3366,'Priced Usage'!$B$7:$B$3366,$A41,'Priced Usage'!$D$7:$D$3366,$B41)</x:f>
        <x:v>271244</x:v>
      </x:c>
      <x:c r="E41" s="29" t="n">
        <x:f>SUMIFS('Priced Usage'!$L$7:$L$3366,'Priced Usage'!$B$7:$B$3366,$A41,'Priced Usage'!$D$7:$D$3366,$B41)</x:f>
        <x:v>1249993</x:v>
      </x:c>
      <x:c r="F41" s="30" t="n">
        <x:f>SUMIFS('Priced Usage'!$M$7:$M$3366,'Priced Usage'!$B$7:$B$3366,$A41,'Priced Usage'!$D$7:$D$3366,$B41)</x:f>
        <x:v>13.391960000000003</x:v>
      </x:c>
      <x:c r="G41" s="30" t="n">
        <x:f>SUMIFS('Priced Usage'!$N$7:$N$3366,'Priced Usage'!$B$7:$B$3366,$A41,'Priced Usage'!$D$7:$D$3366,$B41)</x:f>
        <x:v>11.90003</x:v>
      </x:c>
      <x:c r="H41" s="30" t="n">
        <x:f>SUMIFS('Priced Usage'!$O$7:$O$3366,'Priced Usage'!$B$7:$B$3366,$A41,'Priced Usage'!$D$7:$D$3366,$B41)</x:f>
        <x:v>25.291990000000002</x:v>
      </x:c>
      <x:c r="I41" s="29" t="n">
        <x:f>COUNTIFS('Priced Usage'!$B$7:$B$3366,$A41,'Priced Usage'!$D$7:$D$3366,$B41)</x:f>
        <x:v>40</x:v>
      </x:c>
      <x:c r="J41" s="29" t="n">
        <x:f>COUNTIFS('Priced Usage'!$B$7:$B$3366,$A41,'Priced Usage'!$D$7:$D$3366,$B41,'Priced Usage'!$I$7:$I$3366,"Correction")</x:f>
        <x:v>9</x:v>
      </x:c>
      <x:c r="K41" s="31" t="n">
        <x:f>IF(I41=0,"N/A",J41/I41)</x:f>
        <x:v>0.225</x:v>
      </x:c>
    </x:row>
    <x:row r="42" ht="23" customHeight="1">
      <x:c r="A42" s="18" t="n">
        <x:v>46279</x:v>
      </x:c>
      <x:c r="B42" s="17" t="str">
        <x:v>C004</x:v>
      </x:c>
      <x:c r="C42" s="29" t="n">
        <x:f>SUMIFS('Priced Usage'!$G$7:$G$3366,'Priced Usage'!$B$7:$B$3366,$A42,'Priced Usage'!$D$7:$D$3366,$B42)</x:f>
        <x:v>861385</x:v>
      </x:c>
      <x:c r="D42" s="29" t="n">
        <x:f>SUMIFS('Priced Usage'!$H$7:$H$3366,'Priced Usage'!$B$7:$B$3366,$A42,'Priced Usage'!$D$7:$D$3366,$B42)</x:f>
        <x:v>210672</x:v>
      </x:c>
      <x:c r="E42" s="29" t="n">
        <x:f>SUMIFS('Priced Usage'!$L$7:$L$3366,'Priced Usage'!$B$7:$B$3366,$A42,'Priced Usage'!$D$7:$D$3366,$B42)</x:f>
        <x:v>1072057</x:v>
      </x:c>
      <x:c r="F42" s="30" t="n">
        <x:f>SUMIFS('Priced Usage'!$M$7:$M$3366,'Priced Usage'!$B$7:$B$3366,$A42,'Priced Usage'!$D$7:$D$3366,$B42)</x:f>
        <x:v>19.017549999999993</x:v>
      </x:c>
      <x:c r="G42" s="30" t="n">
        <x:f>SUMIFS('Priced Usage'!$N$7:$N$3366,'Priced Usage'!$B$7:$B$3366,$A42,'Priced Usage'!$D$7:$D$3366,$B42)</x:f>
        <x:v>11.890339999999998</x:v>
      </x:c>
      <x:c r="H42" s="30" t="n">
        <x:f>SUMIFS('Priced Usage'!$O$7:$O$3366,'Priced Usage'!$B$7:$B$3366,$A42,'Priced Usage'!$D$7:$D$3366,$B42)</x:f>
        <x:v>30.907890000000002</x:v>
      </x:c>
      <x:c r="I42" s="29" t="n">
        <x:f>COUNTIFS('Priced Usage'!$B$7:$B$3366,$A42,'Priced Usage'!$D$7:$D$3366,$B42)</x:f>
        <x:v>44</x:v>
      </x:c>
      <x:c r="J42" s="29" t="n">
        <x:f>COUNTIFS('Priced Usage'!$B$7:$B$3366,$A42,'Priced Usage'!$D$7:$D$3366,$B42,'Priced Usage'!$I$7:$I$3366,"Correction")</x:f>
        <x:v>11</x:v>
      </x:c>
      <x:c r="K42" s="31" t="n">
        <x:f>IF(I42=0,"N/A",J42/I42)</x:f>
        <x:v>0.25</x:v>
      </x:c>
    </x:row>
    <x:row r="43" ht="23" customHeight="1">
      <x:c r="A43" s="18" t="n">
        <x:v>46280</x:v>
      </x:c>
      <x:c r="B43" s="17" t="str">
        <x:v>C001</x:v>
      </x:c>
      <x:c r="C43" s="29" t="n">
        <x:f>SUMIFS('Priced Usage'!$G$7:$G$3366,'Priced Usage'!$B$7:$B$3366,$A43,'Priced Usage'!$D$7:$D$3366,$B43)</x:f>
        <x:v>1137969</x:v>
      </x:c>
      <x:c r="D43" s="29" t="n">
        <x:f>SUMIFS('Priced Usage'!$H$7:$H$3366,'Priced Usage'!$B$7:$B$3366,$A43,'Priced Usage'!$D$7:$D$3366,$B43)</x:f>
        <x:v>284260</x:v>
      </x:c>
      <x:c r="E43" s="29" t="n">
        <x:f>SUMIFS('Priced Usage'!$L$7:$L$3366,'Priced Usage'!$B$7:$B$3366,$A43,'Priced Usage'!$D$7:$D$3366,$B43)</x:f>
        <x:v>1422229</x:v>
      </x:c>
      <x:c r="F43" s="30" t="n">
        <x:f>SUMIFS('Priced Usage'!$M$7:$M$3366,'Priced Usage'!$B$7:$B$3366,$A43,'Priced Usage'!$D$7:$D$3366,$B43)</x:f>
        <x:v>15.586560000000002</x:v>
      </x:c>
      <x:c r="G43" s="30" t="n">
        <x:f>SUMIFS('Priced Usage'!$N$7:$N$3366,'Priced Usage'!$B$7:$B$3366,$A43,'Priced Usage'!$D$7:$D$3366,$B43)</x:f>
        <x:v>13.04728</x:v>
      </x:c>
      <x:c r="H43" s="30" t="n">
        <x:f>SUMIFS('Priced Usage'!$O$7:$O$3366,'Priced Usage'!$B$7:$B$3366,$A43,'Priced Usage'!$D$7:$D$3366,$B43)</x:f>
        <x:v>28.633840000000006</x:v>
      </x:c>
      <x:c r="I43" s="29" t="n">
        <x:f>COUNTIFS('Priced Usage'!$B$7:$B$3366,$A43,'Priced Usage'!$D$7:$D$3366,$B43)</x:f>
        <x:v>32</x:v>
      </x:c>
      <x:c r="J43" s="29" t="n">
        <x:f>COUNTIFS('Priced Usage'!$B$7:$B$3366,$A43,'Priced Usage'!$D$7:$D$3366,$B43,'Priced Usage'!$I$7:$I$3366,"Correction")</x:f>
        <x:v>6</x:v>
      </x:c>
      <x:c r="K43" s="31" t="n">
        <x:f>IF(I43=0,"N/A",J43/I43)</x:f>
        <x:v>0.1875</x:v>
      </x:c>
    </x:row>
    <x:row r="44" ht="23" customHeight="1">
      <x:c r="A44" s="18" t="n">
        <x:v>46280</x:v>
      </x:c>
      <x:c r="B44" s="17" t="str">
        <x:v>C002</x:v>
      </x:c>
      <x:c r="C44" s="29" t="n">
        <x:f>SUMIFS('Priced Usage'!$G$7:$G$3366,'Priced Usage'!$B$7:$B$3366,$A44,'Priced Usage'!$D$7:$D$3366,$B44)</x:f>
        <x:v>1678560</x:v>
      </x:c>
      <x:c r="D44" s="29" t="n">
        <x:f>SUMIFS('Priced Usage'!$H$7:$H$3366,'Priced Usage'!$B$7:$B$3366,$A44,'Priced Usage'!$D$7:$D$3366,$B44)</x:f>
        <x:v>582644</x:v>
      </x:c>
      <x:c r="E44" s="29" t="n">
        <x:f>SUMIFS('Priced Usage'!$L$7:$L$3366,'Priced Usage'!$B$7:$B$3366,$A44,'Priced Usage'!$D$7:$D$3366,$B44)</x:f>
        <x:v>2261204</x:v>
      </x:c>
      <x:c r="F44" s="30" t="n">
        <x:f>SUMIFS('Priced Usage'!$M$7:$M$3366,'Priced Usage'!$B$7:$B$3366,$A44,'Priced Usage'!$D$7:$D$3366,$B44)</x:f>
        <x:v>41.64498</x:v>
      </x:c>
      <x:c r="G44" s="30" t="n">
        <x:f>SUMIFS('Priced Usage'!$N$7:$N$3366,'Priced Usage'!$B$7:$B$3366,$A44,'Priced Usage'!$D$7:$D$3366,$B44)</x:f>
        <x:v>44.268039999999985</x:v>
      </x:c>
      <x:c r="H44" s="30" t="n">
        <x:f>SUMIFS('Priced Usage'!$O$7:$O$3366,'Priced Usage'!$B$7:$B$3366,$A44,'Priced Usage'!$D$7:$D$3366,$B44)</x:f>
        <x:v>85.91302000000002</x:v>
      </x:c>
      <x:c r="I44" s="29" t="n">
        <x:f>COUNTIFS('Priced Usage'!$B$7:$B$3366,$A44,'Priced Usage'!$D$7:$D$3366,$B44)</x:f>
        <x:v>69</x:v>
      </x:c>
      <x:c r="J44" s="29" t="n">
        <x:f>COUNTIFS('Priced Usage'!$B$7:$B$3366,$A44,'Priced Usage'!$D$7:$D$3366,$B44,'Priced Usage'!$I$7:$I$3366,"Correction")</x:f>
        <x:v>24</x:v>
      </x:c>
      <x:c r="K44" s="31" t="n">
        <x:f>IF(I44=0,"N/A",J44/I44)</x:f>
        <x:v>0.34782608695652173</x:v>
      </x:c>
    </x:row>
    <x:row r="45" ht="23" customHeight="1">
      <x:c r="A45" s="18" t="n">
        <x:v>46280</x:v>
      </x:c>
      <x:c r="B45" s="17" t="str">
        <x:v>C003</x:v>
      </x:c>
      <x:c r="C45" s="29" t="n">
        <x:f>SUMIFS('Priced Usage'!$G$7:$G$3366,'Priced Usage'!$B$7:$B$3366,$A45,'Priced Usage'!$D$7:$D$3366,$B45)</x:f>
        <x:v>999898</x:v>
      </x:c>
      <x:c r="D45" s="29" t="n">
        <x:f>SUMIFS('Priced Usage'!$H$7:$H$3366,'Priced Usage'!$B$7:$B$3366,$A45,'Priced Usage'!$D$7:$D$3366,$B45)</x:f>
        <x:v>307431</x:v>
      </x:c>
      <x:c r="E45" s="29" t="n">
        <x:f>SUMIFS('Priced Usage'!$L$7:$L$3366,'Priced Usage'!$B$7:$B$3366,$A45,'Priced Usage'!$D$7:$D$3366,$B45)</x:f>
        <x:v>1307329</x:v>
      </x:c>
      <x:c r="F45" s="30" t="n">
        <x:f>SUMIFS('Priced Usage'!$M$7:$M$3366,'Priced Usage'!$B$7:$B$3366,$A45,'Priced Usage'!$D$7:$D$3366,$B45)</x:f>
        <x:v>16.899369999999994</x:v>
      </x:c>
      <x:c r="G45" s="30" t="n">
        <x:f>SUMIFS('Priced Usage'!$N$7:$N$3366,'Priced Usage'!$B$7:$B$3366,$A45,'Priced Usage'!$D$7:$D$3366,$B45)</x:f>
        <x:v>15.283600000000003</x:v>
      </x:c>
      <x:c r="H45" s="30" t="n">
        <x:f>SUMIFS('Priced Usage'!$O$7:$O$3366,'Priced Usage'!$B$7:$B$3366,$A45,'Priced Usage'!$D$7:$D$3366,$B45)</x:f>
        <x:v>32.18297</x:v>
      </x:c>
      <x:c r="I45" s="29" t="n">
        <x:f>COUNTIFS('Priced Usage'!$B$7:$B$3366,$A45,'Priced Usage'!$D$7:$D$3366,$B45)</x:f>
        <x:v>42</x:v>
      </x:c>
      <x:c r="J45" s="29" t="n">
        <x:f>COUNTIFS('Priced Usage'!$B$7:$B$3366,$A45,'Priced Usage'!$D$7:$D$3366,$B45,'Priced Usage'!$I$7:$I$3366,"Correction")</x:f>
        <x:v>13</x:v>
      </x:c>
      <x:c r="K45" s="31" t="n">
        <x:f>IF(I45=0,"N/A",J45/I45)</x:f>
        <x:v>0.30952380952380953</x:v>
      </x:c>
    </x:row>
    <x:row r="46" ht="23" customHeight="1">
      <x:c r="A46" s="18" t="n">
        <x:v>46280</x:v>
      </x:c>
      <x:c r="B46" s="17" t="str">
        <x:v>C004</x:v>
      </x:c>
      <x:c r="C46" s="29" t="n">
        <x:f>SUMIFS('Priced Usage'!$G$7:$G$3366,'Priced Usage'!$B$7:$B$3366,$A46,'Priced Usage'!$D$7:$D$3366,$B46)</x:f>
        <x:v>936687</x:v>
      </x:c>
      <x:c r="D46" s="29" t="n">
        <x:f>SUMIFS('Priced Usage'!$H$7:$H$3366,'Priced Usage'!$B$7:$B$3366,$A46,'Priced Usage'!$D$7:$D$3366,$B46)</x:f>
        <x:v>223449</x:v>
      </x:c>
      <x:c r="E46" s="29" t="n">
        <x:f>SUMIFS('Priced Usage'!$L$7:$L$3366,'Priced Usage'!$B$7:$B$3366,$A46,'Priced Usage'!$D$7:$D$3366,$B46)</x:f>
        <x:v>1160136</x:v>
      </x:c>
      <x:c r="F46" s="30" t="n">
        <x:f>SUMIFS('Priced Usage'!$M$7:$M$3366,'Priced Usage'!$B$7:$B$3366,$A46,'Priced Usage'!$D$7:$D$3366,$B46)</x:f>
        <x:v>22.958940000000002</x:v>
      </x:c>
      <x:c r="G46" s="30" t="n">
        <x:f>SUMIFS('Priced Usage'!$N$7:$N$3366,'Priced Usage'!$B$7:$B$3366,$A46,'Priced Usage'!$D$7:$D$3366,$B46)</x:f>
        <x:v>14.954510000000003</x:v>
      </x:c>
      <x:c r="H46" s="30" t="n">
        <x:f>SUMIFS('Priced Usage'!$O$7:$O$3366,'Priced Usage'!$B$7:$B$3366,$A46,'Priced Usage'!$D$7:$D$3366,$B46)</x:f>
        <x:v>37.91345</x:v>
      </x:c>
      <x:c r="I46" s="29" t="n">
        <x:f>COUNTIFS('Priced Usage'!$B$7:$B$3366,$A46,'Priced Usage'!$D$7:$D$3366,$B46)</x:f>
        <x:v>43</x:v>
      </x:c>
      <x:c r="J46" s="29" t="n">
        <x:f>COUNTIFS('Priced Usage'!$B$7:$B$3366,$A46,'Priced Usage'!$D$7:$D$3366,$B46,'Priced Usage'!$I$7:$I$3366,"Correction")</x:f>
        <x:v>11</x:v>
      </x:c>
      <x:c r="K46" s="31" t="n">
        <x:f>IF(I46=0,"N/A",J46/I46)</x:f>
        <x:v>0.2558139534883721</x:v>
      </x:c>
    </x:row>
    <x:row r="47" ht="23" customHeight="1">
      <x:c r="A47" s="18" t="n">
        <x:v>46281</x:v>
      </x:c>
      <x:c r="B47" s="17" t="str">
        <x:v>C001</x:v>
      </x:c>
      <x:c r="C47" s="29" t="n">
        <x:f>SUMIFS('Priced Usage'!$G$7:$G$3366,'Priced Usage'!$B$7:$B$3366,$A47,'Priced Usage'!$D$7:$D$3366,$B47)</x:f>
        <x:v>1066106</x:v>
      </x:c>
      <x:c r="D47" s="29" t="n">
        <x:f>SUMIFS('Priced Usage'!$H$7:$H$3366,'Priced Usage'!$B$7:$B$3366,$A47,'Priced Usage'!$D$7:$D$3366,$B47)</x:f>
        <x:v>290111</x:v>
      </x:c>
      <x:c r="E47" s="29" t="n">
        <x:f>SUMIFS('Priced Usage'!$L$7:$L$3366,'Priced Usage'!$B$7:$B$3366,$A47,'Priced Usage'!$D$7:$D$3366,$B47)</x:f>
        <x:v>1356217</x:v>
      </x:c>
      <x:c r="F47" s="30" t="n">
        <x:f>SUMIFS('Priced Usage'!$M$7:$M$3366,'Priced Usage'!$B$7:$B$3366,$A47,'Priced Usage'!$D$7:$D$3366,$B47)</x:f>
        <x:v>14.144000000000004</x:v>
      </x:c>
      <x:c r="G47" s="30" t="n">
        <x:f>SUMIFS('Priced Usage'!$N$7:$N$3366,'Priced Usage'!$B$7:$B$3366,$A47,'Priced Usage'!$D$7:$D$3366,$B47)</x:f>
        <x:v>14.69414</x:v>
      </x:c>
      <x:c r="H47" s="30" t="n">
        <x:f>SUMIFS('Priced Usage'!$O$7:$O$3366,'Priced Usage'!$B$7:$B$3366,$A47,'Priced Usage'!$D$7:$D$3366,$B47)</x:f>
        <x:v>28.838139999999996</x:v>
      </x:c>
      <x:c r="I47" s="29" t="n">
        <x:f>COUNTIFS('Priced Usage'!$B$7:$B$3366,$A47,'Priced Usage'!$D$7:$D$3366,$B47)</x:f>
        <x:v>32</x:v>
      </x:c>
      <x:c r="J47" s="29" t="n">
        <x:f>COUNTIFS('Priced Usage'!$B$7:$B$3366,$A47,'Priced Usage'!$D$7:$D$3366,$B47,'Priced Usage'!$I$7:$I$3366,"Correction")</x:f>
        <x:v>1</x:v>
      </x:c>
      <x:c r="K47" s="31" t="n">
        <x:f>IF(I47=0,"N/A",J47/I47)</x:f>
        <x:v>0.03125</x:v>
      </x:c>
    </x:row>
    <x:row r="48" ht="23" customHeight="1">
      <x:c r="A48" s="18" t="n">
        <x:v>46281</x:v>
      </x:c>
      <x:c r="B48" s="17" t="str">
        <x:v>C002</x:v>
      </x:c>
      <x:c r="C48" s="29" t="n">
        <x:f>SUMIFS('Priced Usage'!$G$7:$G$3366,'Priced Usage'!$B$7:$B$3366,$A48,'Priced Usage'!$D$7:$D$3366,$B48)</x:f>
        <x:v>1525703</x:v>
      </x:c>
      <x:c r="D48" s="29" t="n">
        <x:f>SUMIFS('Priced Usage'!$H$7:$H$3366,'Priced Usage'!$B$7:$B$3366,$A48,'Priced Usage'!$D$7:$D$3366,$B48)</x:f>
        <x:v>470894</x:v>
      </x:c>
      <x:c r="E48" s="29" t="n">
        <x:f>SUMIFS('Priced Usage'!$L$7:$L$3366,'Priced Usage'!$B$7:$B$3366,$A48,'Priced Usage'!$D$7:$D$3366,$B48)</x:f>
        <x:v>1996597</x:v>
      </x:c>
      <x:c r="F48" s="30" t="n">
        <x:f>SUMIFS('Priced Usage'!$M$7:$M$3366,'Priced Usage'!$B$7:$B$3366,$A48,'Priced Usage'!$D$7:$D$3366,$B48)</x:f>
        <x:v>34.37003</x:v>
      </x:c>
      <x:c r="G48" s="30" t="n">
        <x:f>SUMIFS('Priced Usage'!$N$7:$N$3366,'Priced Usage'!$B$7:$B$3366,$A48,'Priced Usage'!$D$7:$D$3366,$B48)</x:f>
        <x:v>32.94316999999999</x:v>
      </x:c>
      <x:c r="H48" s="30" t="n">
        <x:f>SUMIFS('Priced Usage'!$O$7:$O$3366,'Priced Usage'!$B$7:$B$3366,$A48,'Priced Usage'!$D$7:$D$3366,$B48)</x:f>
        <x:v>67.3132</x:v>
      </x:c>
      <x:c r="I48" s="29" t="n">
        <x:f>COUNTIFS('Priced Usage'!$B$7:$B$3366,$A48,'Priced Usage'!$D$7:$D$3366,$B48)</x:f>
        <x:v>62</x:v>
      </x:c>
      <x:c r="J48" s="29" t="n">
        <x:f>COUNTIFS('Priced Usage'!$B$7:$B$3366,$A48,'Priced Usage'!$D$7:$D$3366,$B48,'Priced Usage'!$I$7:$I$3366,"Correction")</x:f>
        <x:v>26</x:v>
      </x:c>
      <x:c r="K48" s="31" t="n">
        <x:f>IF(I48=0,"N/A",J48/I48)</x:f>
        <x:v>0.41935483870967744</x:v>
      </x:c>
    </x:row>
    <x:row r="49" ht="23" customHeight="1">
      <x:c r="A49" s="18" t="n">
        <x:v>46281</x:v>
      </x:c>
      <x:c r="B49" s="17" t="str">
        <x:v>C003</x:v>
      </x:c>
      <x:c r="C49" s="29" t="n">
        <x:f>SUMIFS('Priced Usage'!$G$7:$G$3366,'Priced Usage'!$B$7:$B$3366,$A49,'Priced Usage'!$D$7:$D$3366,$B49)</x:f>
        <x:v>1034751</x:v>
      </x:c>
      <x:c r="D49" s="29" t="n">
        <x:f>SUMIFS('Priced Usage'!$H$7:$H$3366,'Priced Usage'!$B$7:$B$3366,$A49,'Priced Usage'!$D$7:$D$3366,$B49)</x:f>
        <x:v>280501</x:v>
      </x:c>
      <x:c r="E49" s="29" t="n">
        <x:f>SUMIFS('Priced Usage'!$L$7:$L$3366,'Priced Usage'!$B$7:$B$3366,$A49,'Priced Usage'!$D$7:$D$3366,$B49)</x:f>
        <x:v>1315252</x:v>
      </x:c>
      <x:c r="F49" s="30" t="n">
        <x:f>SUMIFS('Priced Usage'!$M$7:$M$3366,'Priced Usage'!$B$7:$B$3366,$A49,'Priced Usage'!$D$7:$D$3366,$B49)</x:f>
        <x:v>19.22679</x:v>
      </x:c>
      <x:c r="G49" s="30" t="n">
        <x:f>SUMIFS('Priced Usage'!$N$7:$N$3366,'Priced Usage'!$B$7:$B$3366,$A49,'Priced Usage'!$D$7:$D$3366,$B49)</x:f>
        <x:v>16.332310000000003</x:v>
      </x:c>
      <x:c r="H49" s="30" t="n">
        <x:f>SUMIFS('Priced Usage'!$O$7:$O$3366,'Priced Usage'!$B$7:$B$3366,$A49,'Priced Usage'!$D$7:$D$3366,$B49)</x:f>
        <x:v>35.559099999999994</x:v>
      </x:c>
      <x:c r="I49" s="29" t="n">
        <x:f>COUNTIFS('Priced Usage'!$B$7:$B$3366,$A49,'Priced Usage'!$D$7:$D$3366,$B49)</x:f>
        <x:v>42</x:v>
      </x:c>
      <x:c r="J49" s="29" t="n">
        <x:f>COUNTIFS('Priced Usage'!$B$7:$B$3366,$A49,'Priced Usage'!$D$7:$D$3366,$B49,'Priced Usage'!$I$7:$I$3366,"Correction")</x:f>
        <x:v>7</x:v>
      </x:c>
      <x:c r="K49" s="31" t="n">
        <x:f>IF(I49=0,"N/A",J49/I49)</x:f>
        <x:v>0.16666666666666666</x:v>
      </x:c>
    </x:row>
    <x:row r="50" ht="23" customHeight="1">
      <x:c r="A50" s="18" t="n">
        <x:v>46281</x:v>
      </x:c>
      <x:c r="B50" s="17" t="str">
        <x:v>C004</x:v>
      </x:c>
      <x:c r="C50" s="29" t="n">
        <x:f>SUMIFS('Priced Usage'!$G$7:$G$3366,'Priced Usage'!$B$7:$B$3366,$A50,'Priced Usage'!$D$7:$D$3366,$B50)</x:f>
        <x:v>942097</x:v>
      </x:c>
      <x:c r="D50" s="29" t="n">
        <x:f>SUMIFS('Priced Usage'!$H$7:$H$3366,'Priced Usage'!$B$7:$B$3366,$A50,'Priced Usage'!$D$7:$D$3366,$B50)</x:f>
        <x:v>237090</x:v>
      </x:c>
      <x:c r="E50" s="29" t="n">
        <x:f>SUMIFS('Priced Usage'!$L$7:$L$3366,'Priced Usage'!$B$7:$B$3366,$A50,'Priced Usage'!$D$7:$D$3366,$B50)</x:f>
        <x:v>1179187</x:v>
      </x:c>
      <x:c r="F50" s="30" t="n">
        <x:f>SUMIFS('Priced Usage'!$M$7:$M$3366,'Priced Usage'!$B$7:$B$3366,$A50,'Priced Usage'!$D$7:$D$3366,$B50)</x:f>
        <x:v>22.603899999999996</x:v>
      </x:c>
      <x:c r="G50" s="30" t="n">
        <x:f>SUMIFS('Priced Usage'!$N$7:$N$3366,'Priced Usage'!$B$7:$B$3366,$A50,'Priced Usage'!$D$7:$D$3366,$B50)</x:f>
        <x:v>16.62983</x:v>
      </x:c>
      <x:c r="H50" s="30" t="n">
        <x:f>SUMIFS('Priced Usage'!$O$7:$O$3366,'Priced Usage'!$B$7:$B$3366,$A50,'Priced Usage'!$D$7:$D$3366,$B50)</x:f>
        <x:v>39.23373</x:v>
      </x:c>
      <x:c r="I50" s="29" t="n">
        <x:f>COUNTIFS('Priced Usage'!$B$7:$B$3366,$A50,'Priced Usage'!$D$7:$D$3366,$B50)</x:f>
        <x:v>46</x:v>
      </x:c>
      <x:c r="J50" s="29" t="n">
        <x:f>COUNTIFS('Priced Usage'!$B$7:$B$3366,$A50,'Priced Usage'!$D$7:$D$3366,$B50,'Priced Usage'!$I$7:$I$3366,"Correction")</x:f>
        <x:v>10</x:v>
      </x:c>
      <x:c r="K50" s="31" t="n">
        <x:f>IF(I50=0,"N/A",J50/I50)</x:f>
        <x:v>0.21739130434782608</x:v>
      </x:c>
    </x:row>
    <x:row r="51" ht="23" customHeight="1">
      <x:c r="A51" s="18" t="n">
        <x:v>46282</x:v>
      </x:c>
      <x:c r="B51" s="17" t="str">
        <x:v>C001</x:v>
      </x:c>
      <x:c r="C51" s="29" t="n">
        <x:f>SUMIFS('Priced Usage'!$G$7:$G$3366,'Priced Usage'!$B$7:$B$3366,$A51,'Priced Usage'!$D$7:$D$3366,$B51)</x:f>
        <x:v>1096121</x:v>
      </x:c>
      <x:c r="D51" s="29" t="n">
        <x:f>SUMIFS('Priced Usage'!$H$7:$H$3366,'Priced Usage'!$B$7:$B$3366,$A51,'Priced Usage'!$D$7:$D$3366,$B51)</x:f>
        <x:v>291438</x:v>
      </x:c>
      <x:c r="E51" s="29" t="n">
        <x:f>SUMIFS('Priced Usage'!$L$7:$L$3366,'Priced Usage'!$B$7:$B$3366,$A51,'Priced Usage'!$D$7:$D$3366,$B51)</x:f>
        <x:v>1387559</x:v>
      </x:c>
      <x:c r="F51" s="30" t="n">
        <x:f>SUMIFS('Priced Usage'!$M$7:$M$3366,'Priced Usage'!$B$7:$B$3366,$A51,'Priced Usage'!$D$7:$D$3366,$B51)</x:f>
        <x:v>13.47677</x:v>
      </x:c>
      <x:c r="G51" s="30" t="n">
        <x:f>SUMIFS('Priced Usage'!$N$7:$N$3366,'Priced Usage'!$B$7:$B$3366,$A51,'Priced Usage'!$D$7:$D$3366,$B51)</x:f>
        <x:v>12.566260000000002</x:v>
      </x:c>
      <x:c r="H51" s="30" t="n">
        <x:f>SUMIFS('Priced Usage'!$O$7:$O$3366,'Priced Usage'!$B$7:$B$3366,$A51,'Priced Usage'!$D$7:$D$3366,$B51)</x:f>
        <x:v>26.04303</x:v>
      </x:c>
      <x:c r="I51" s="29" t="n">
        <x:f>COUNTIFS('Priced Usage'!$B$7:$B$3366,$A51,'Priced Usage'!$D$7:$D$3366,$B51)</x:f>
        <x:v>30</x:v>
      </x:c>
      <x:c r="J51" s="29" t="n">
        <x:f>COUNTIFS('Priced Usage'!$B$7:$B$3366,$A51,'Priced Usage'!$D$7:$D$3366,$B51,'Priced Usage'!$I$7:$I$3366,"Correction")</x:f>
        <x:v>4</x:v>
      </x:c>
      <x:c r="K51" s="31" t="n">
        <x:f>IF(I51=0,"N/A",J51/I51)</x:f>
        <x:v>0.13333333333333333</x:v>
      </x:c>
    </x:row>
    <x:row r="52" ht="23" customHeight="1">
      <x:c r="A52" s="18" t="n">
        <x:v>46282</x:v>
      </x:c>
      <x:c r="B52" s="17" t="str">
        <x:v>C002</x:v>
      </x:c>
      <x:c r="C52" s="29" t="n">
        <x:f>SUMIFS('Priced Usage'!$G$7:$G$3366,'Priced Usage'!$B$7:$B$3366,$A52,'Priced Usage'!$D$7:$D$3366,$B52)</x:f>
        <x:v>1549478</x:v>
      </x:c>
      <x:c r="D52" s="29" t="n">
        <x:f>SUMIFS('Priced Usage'!$H$7:$H$3366,'Priced Usage'!$B$7:$B$3366,$A52,'Priced Usage'!$D$7:$D$3366,$B52)</x:f>
        <x:v>494424</x:v>
      </x:c>
      <x:c r="E52" s="29" t="n">
        <x:f>SUMIFS('Priced Usage'!$L$7:$L$3366,'Priced Usage'!$B$7:$B$3366,$A52,'Priced Usage'!$D$7:$D$3366,$B52)</x:f>
        <x:v>2043902</x:v>
      </x:c>
      <x:c r="F52" s="30" t="n">
        <x:f>SUMIFS('Priced Usage'!$M$7:$M$3366,'Priced Usage'!$B$7:$B$3366,$A52,'Priced Usage'!$D$7:$D$3366,$B52)</x:f>
        <x:v>34.89728</x:v>
      </x:c>
      <x:c r="G52" s="30" t="n">
        <x:f>SUMIFS('Priced Usage'!$N$7:$N$3366,'Priced Usage'!$B$7:$B$3366,$A52,'Priced Usage'!$D$7:$D$3366,$B52)</x:f>
        <x:v>37.07291000000001</x:v>
      </x:c>
      <x:c r="H52" s="30" t="n">
        <x:f>SUMIFS('Priced Usage'!$O$7:$O$3366,'Priced Usage'!$B$7:$B$3366,$A52,'Priced Usage'!$D$7:$D$3366,$B52)</x:f>
        <x:v>71.97018999999997</x:v>
      </x:c>
      <x:c r="I52" s="29" t="n">
        <x:f>COUNTIFS('Priced Usage'!$B$7:$B$3366,$A52,'Priced Usage'!$D$7:$D$3366,$B52)</x:f>
        <x:v>62</x:v>
      </x:c>
      <x:c r="J52" s="29" t="n">
        <x:f>COUNTIFS('Priced Usage'!$B$7:$B$3366,$A52,'Priced Usage'!$D$7:$D$3366,$B52,'Priced Usage'!$I$7:$I$3366,"Correction")</x:f>
        <x:v>28</x:v>
      </x:c>
      <x:c r="K52" s="31" t="n">
        <x:f>IF(I52=0,"N/A",J52/I52)</x:f>
        <x:v>0.45161290322580644</x:v>
      </x:c>
    </x:row>
    <x:row r="53" ht="23" customHeight="1">
      <x:c r="A53" s="18" t="n">
        <x:v>46282</x:v>
      </x:c>
      <x:c r="B53" s="17" t="str">
        <x:v>C003</x:v>
      </x:c>
      <x:c r="C53" s="29" t="n">
        <x:f>SUMIFS('Priced Usage'!$G$7:$G$3366,'Priced Usage'!$B$7:$B$3366,$A53,'Priced Usage'!$D$7:$D$3366,$B53)</x:f>
        <x:v>1099359</x:v>
      </x:c>
      <x:c r="D53" s="29" t="n">
        <x:f>SUMIFS('Priced Usage'!$H$7:$H$3366,'Priced Usage'!$B$7:$B$3366,$A53,'Priced Usage'!$D$7:$D$3366,$B53)</x:f>
        <x:v>233519</x:v>
      </x:c>
      <x:c r="E53" s="29" t="n">
        <x:f>SUMIFS('Priced Usage'!$L$7:$L$3366,'Priced Usage'!$B$7:$B$3366,$A53,'Priced Usage'!$D$7:$D$3366,$B53)</x:f>
        <x:v>1332878</x:v>
      </x:c>
      <x:c r="F53" s="30" t="n">
        <x:f>SUMIFS('Priced Usage'!$M$7:$M$3366,'Priced Usage'!$B$7:$B$3366,$A53,'Priced Usage'!$D$7:$D$3366,$B53)</x:f>
        <x:v>17.616</x:v>
      </x:c>
      <x:c r="G53" s="30" t="n">
        <x:f>SUMIFS('Priced Usage'!$N$7:$N$3366,'Priced Usage'!$B$7:$B$3366,$A53,'Priced Usage'!$D$7:$D$3366,$B53)</x:f>
        <x:v>11.875329999999998</x:v>
      </x:c>
      <x:c r="H53" s="30" t="n">
        <x:f>SUMIFS('Priced Usage'!$O$7:$O$3366,'Priced Usage'!$B$7:$B$3366,$A53,'Priced Usage'!$D$7:$D$3366,$B53)</x:f>
        <x:v>29.491330000000005</x:v>
      </x:c>
      <x:c r="I53" s="29" t="n">
        <x:f>COUNTIFS('Priced Usage'!$B$7:$B$3366,$A53,'Priced Usage'!$D$7:$D$3366,$B53)</x:f>
        <x:v>39</x:v>
      </x:c>
      <x:c r="J53" s="29" t="n">
        <x:f>COUNTIFS('Priced Usage'!$B$7:$B$3366,$A53,'Priced Usage'!$D$7:$D$3366,$B53,'Priced Usage'!$I$7:$I$3366,"Correction")</x:f>
        <x:v>6</x:v>
      </x:c>
      <x:c r="K53" s="31" t="n">
        <x:f>IF(I53=0,"N/A",J53/I53)</x:f>
        <x:v>0.15384615384615385</x:v>
      </x:c>
    </x:row>
    <x:row r="54" ht="23" customHeight="1">
      <x:c r="A54" s="18" t="n">
        <x:v>46282</x:v>
      </x:c>
      <x:c r="B54" s="17" t="str">
        <x:v>C004</x:v>
      </x:c>
      <x:c r="C54" s="29" t="n">
        <x:f>SUMIFS('Priced Usage'!$G$7:$G$3366,'Priced Usage'!$B$7:$B$3366,$A54,'Priced Usage'!$D$7:$D$3366,$B54)</x:f>
        <x:v>958281</x:v>
      </x:c>
      <x:c r="D54" s="29" t="n">
        <x:f>SUMIFS('Priced Usage'!$H$7:$H$3366,'Priced Usage'!$B$7:$B$3366,$A54,'Priced Usage'!$D$7:$D$3366,$B54)</x:f>
        <x:v>324022</x:v>
      </x:c>
      <x:c r="E54" s="29" t="n">
        <x:f>SUMIFS('Priced Usage'!$L$7:$L$3366,'Priced Usage'!$B$7:$B$3366,$A54,'Priced Usage'!$D$7:$D$3366,$B54)</x:f>
        <x:v>1282303</x:v>
      </x:c>
      <x:c r="F54" s="30" t="n">
        <x:f>SUMIFS('Priced Usage'!$M$7:$M$3366,'Priced Usage'!$B$7:$B$3366,$A54,'Priced Usage'!$D$7:$D$3366,$B54)</x:f>
        <x:v>23.666400000000007</x:v>
      </x:c>
      <x:c r="G54" s="30" t="n">
        <x:f>SUMIFS('Priced Usage'!$N$7:$N$3366,'Priced Usage'!$B$7:$B$3366,$A54,'Priced Usage'!$D$7:$D$3366,$B54)</x:f>
        <x:v>24.544839999999997</x:v>
      </x:c>
      <x:c r="H54" s="30" t="n">
        <x:f>SUMIFS('Priced Usage'!$O$7:$O$3366,'Priced Usage'!$B$7:$B$3366,$A54,'Priced Usage'!$D$7:$D$3366,$B54)</x:f>
        <x:v>48.21124000000001</x:v>
      </x:c>
      <x:c r="I54" s="29" t="n">
        <x:f>COUNTIFS('Priced Usage'!$B$7:$B$3366,$A54,'Priced Usage'!$D$7:$D$3366,$B54)</x:f>
        <x:v>49</x:v>
      </x:c>
      <x:c r="J54" s="29" t="n">
        <x:f>COUNTIFS('Priced Usage'!$B$7:$B$3366,$A54,'Priced Usage'!$D$7:$D$3366,$B54,'Priced Usage'!$I$7:$I$3366,"Correction")</x:f>
        <x:v>10</x:v>
      </x:c>
      <x:c r="K54" s="31" t="n">
        <x:f>IF(I54=0,"N/A",J54/I54)</x:f>
        <x:v>0.20408163265306123</x:v>
      </x:c>
    </x:row>
    <x:row r="55" ht="23" customHeight="1">
      <x:c r="A55" s="18" t="n">
        <x:v>46283</x:v>
      </x:c>
      <x:c r="B55" s="17" t="str">
        <x:v>C001</x:v>
      </x:c>
      <x:c r="C55" s="29" t="n">
        <x:f>SUMIFS('Priced Usage'!$G$7:$G$3366,'Priced Usage'!$B$7:$B$3366,$A55,'Priced Usage'!$D$7:$D$3366,$B55)</x:f>
        <x:v>1291270</x:v>
      </x:c>
      <x:c r="D55" s="29" t="n">
        <x:f>SUMIFS('Priced Usage'!$H$7:$H$3366,'Priced Usage'!$B$7:$B$3366,$A55,'Priced Usage'!$D$7:$D$3366,$B55)</x:f>
        <x:v>305286</x:v>
      </x:c>
      <x:c r="E55" s="29" t="n">
        <x:f>SUMIFS('Priced Usage'!$L$7:$L$3366,'Priced Usage'!$B$7:$B$3366,$A55,'Priced Usage'!$D$7:$D$3366,$B55)</x:f>
        <x:v>1596556</x:v>
      </x:c>
      <x:c r="F55" s="30" t="n">
        <x:f>SUMIFS('Priced Usage'!$M$7:$M$3366,'Priced Usage'!$B$7:$B$3366,$A55,'Priced Usage'!$D$7:$D$3366,$B55)</x:f>
        <x:v>15.546520000000003</x:v>
      </x:c>
      <x:c r="G55" s="30" t="n">
        <x:f>SUMIFS('Priced Usage'!$N$7:$N$3366,'Priced Usage'!$B$7:$B$3366,$A55,'Priced Usage'!$D$7:$D$3366,$B55)</x:f>
        <x:v>13.00305</x:v>
      </x:c>
      <x:c r="H55" s="30" t="n">
        <x:f>SUMIFS('Priced Usage'!$O$7:$O$3366,'Priced Usage'!$B$7:$B$3366,$A55,'Priced Usage'!$D$7:$D$3366,$B55)</x:f>
        <x:v>28.54957</x:v>
      </x:c>
      <x:c r="I55" s="29" t="n">
        <x:f>COUNTIFS('Priced Usage'!$B$7:$B$3366,$A55,'Priced Usage'!$D$7:$D$3366,$B55)</x:f>
        <x:v>33</x:v>
      </x:c>
      <x:c r="J55" s="29" t="n">
        <x:f>COUNTIFS('Priced Usage'!$B$7:$B$3366,$A55,'Priced Usage'!$D$7:$D$3366,$B55,'Priced Usage'!$I$7:$I$3366,"Correction")</x:f>
        <x:v>3</x:v>
      </x:c>
      <x:c r="K55" s="31" t="n">
        <x:f>IF(I55=0,"N/A",J55/I55)</x:f>
        <x:v>0.09090909090909091</x:v>
      </x:c>
    </x:row>
    <x:row r="56" ht="23" customHeight="1">
      <x:c r="A56" s="18" t="n">
        <x:v>46283</x:v>
      </x:c>
      <x:c r="B56" s="17" t="str">
        <x:v>C002</x:v>
      </x:c>
      <x:c r="C56" s="29" t="n">
        <x:f>SUMIFS('Priced Usage'!$G$7:$G$3366,'Priced Usage'!$B$7:$B$3366,$A56,'Priced Usage'!$D$7:$D$3366,$B56)</x:f>
        <x:v>1498654</x:v>
      </x:c>
      <x:c r="D56" s="29" t="n">
        <x:f>SUMIFS('Priced Usage'!$H$7:$H$3366,'Priced Usage'!$B$7:$B$3366,$A56,'Priced Usage'!$D$7:$D$3366,$B56)</x:f>
        <x:v>523243</x:v>
      </x:c>
      <x:c r="E56" s="29" t="n">
        <x:f>SUMIFS('Priced Usage'!$L$7:$L$3366,'Priced Usage'!$B$7:$B$3366,$A56,'Priced Usage'!$D$7:$D$3366,$B56)</x:f>
        <x:v>2021897</x:v>
      </x:c>
      <x:c r="F56" s="30" t="n">
        <x:f>SUMIFS('Priced Usage'!$M$7:$M$3366,'Priced Usage'!$B$7:$B$3366,$A56,'Priced Usage'!$D$7:$D$3366,$B56)</x:f>
        <x:v>37.76227</x:v>
      </x:c>
      <x:c r="G56" s="30" t="n">
        <x:f>SUMIFS('Priced Usage'!$N$7:$N$3366,'Priced Usage'!$B$7:$B$3366,$A56,'Priced Usage'!$D$7:$D$3366,$B56)</x:f>
        <x:v>42.48740999999999</x:v>
      </x:c>
      <x:c r="H56" s="30" t="n">
        <x:f>SUMIFS('Priced Usage'!$O$7:$O$3366,'Priced Usage'!$B$7:$B$3366,$A56,'Priced Usage'!$D$7:$D$3366,$B56)</x:f>
        <x:v>80.24968</x:v>
      </x:c>
      <x:c r="I56" s="29" t="n">
        <x:f>COUNTIFS('Priced Usage'!$B$7:$B$3366,$A56,'Priced Usage'!$D$7:$D$3366,$B56)</x:f>
        <x:v>60</x:v>
      </x:c>
      <x:c r="J56" s="29" t="n">
        <x:f>COUNTIFS('Priced Usage'!$B$7:$B$3366,$A56,'Priced Usage'!$D$7:$D$3366,$B56,'Priced Usage'!$I$7:$I$3366,"Correction")</x:f>
        <x:v>26</x:v>
      </x:c>
      <x:c r="K56" s="31" t="n">
        <x:f>IF(I56=0,"N/A",J56/I56)</x:f>
        <x:v>0.43333333333333335</x:v>
      </x:c>
    </x:row>
    <x:row r="57" ht="23" customHeight="1">
      <x:c r="A57" s="18" t="n">
        <x:v>46283</x:v>
      </x:c>
      <x:c r="B57" s="17" t="str">
        <x:v>C003</x:v>
      </x:c>
      <x:c r="C57" s="29" t="n">
        <x:f>SUMIFS('Priced Usage'!$G$7:$G$3366,'Priced Usage'!$B$7:$B$3366,$A57,'Priced Usage'!$D$7:$D$3366,$B57)</x:f>
        <x:v>1000733</x:v>
      </x:c>
      <x:c r="D57" s="29" t="n">
        <x:f>SUMIFS('Priced Usage'!$H$7:$H$3366,'Priced Usage'!$B$7:$B$3366,$A57,'Priced Usage'!$D$7:$D$3366,$B57)</x:f>
        <x:v>270015</x:v>
      </x:c>
      <x:c r="E57" s="29" t="n">
        <x:f>SUMIFS('Priced Usage'!$L$7:$L$3366,'Priced Usage'!$B$7:$B$3366,$A57,'Priced Usage'!$D$7:$D$3366,$B57)</x:f>
        <x:v>1270748</x:v>
      </x:c>
      <x:c r="F57" s="30" t="n">
        <x:f>SUMIFS('Priced Usage'!$M$7:$M$3366,'Priced Usage'!$B$7:$B$3366,$A57,'Priced Usage'!$D$7:$D$3366,$B57)</x:f>
        <x:v>18.9716</x:v>
      </x:c>
      <x:c r="G57" s="30" t="n">
        <x:f>SUMIFS('Priced Usage'!$N$7:$N$3366,'Priced Usage'!$B$7:$B$3366,$A57,'Priced Usage'!$D$7:$D$3366,$B57)</x:f>
        <x:v>15.235479999999999</x:v>
      </x:c>
      <x:c r="H57" s="30" t="n">
        <x:f>SUMIFS('Priced Usage'!$O$7:$O$3366,'Priced Usage'!$B$7:$B$3366,$A57,'Priced Usage'!$D$7:$D$3366,$B57)</x:f>
        <x:v>34.20708000000001</x:v>
      </x:c>
      <x:c r="I57" s="29" t="n">
        <x:f>COUNTIFS('Priced Usage'!$B$7:$B$3366,$A57,'Priced Usage'!$D$7:$D$3366,$B57)</x:f>
        <x:v>43</x:v>
      </x:c>
      <x:c r="J57" s="29" t="n">
        <x:f>COUNTIFS('Priced Usage'!$B$7:$B$3366,$A57,'Priced Usage'!$D$7:$D$3366,$B57,'Priced Usage'!$I$7:$I$3366,"Correction")</x:f>
        <x:v>9</x:v>
      </x:c>
      <x:c r="K57" s="31" t="n">
        <x:f>IF(I57=0,"N/A",J57/I57)</x:f>
        <x:v>0.20930232558139536</x:v>
      </x:c>
    </x:row>
    <x:row r="58" ht="23" customHeight="1">
      <x:c r="A58" s="18" t="n">
        <x:v>46283</x:v>
      </x:c>
      <x:c r="B58" s="17" t="str">
        <x:v>C004</x:v>
      </x:c>
      <x:c r="C58" s="29" t="n">
        <x:f>SUMIFS('Priced Usage'!$G$7:$G$3366,'Priced Usage'!$B$7:$B$3366,$A58,'Priced Usage'!$D$7:$D$3366,$B58)</x:f>
        <x:v>924349</x:v>
      </x:c>
      <x:c r="D58" s="29" t="n">
        <x:f>SUMIFS('Priced Usage'!$H$7:$H$3366,'Priced Usage'!$B$7:$B$3366,$A58,'Priced Usage'!$D$7:$D$3366,$B58)</x:f>
        <x:v>392219</x:v>
      </x:c>
      <x:c r="E58" s="29" t="n">
        <x:f>SUMIFS('Priced Usage'!$L$7:$L$3366,'Priced Usage'!$B$7:$B$3366,$A58,'Priced Usage'!$D$7:$D$3366,$B58)</x:f>
        <x:v>1316568</x:v>
      </x:c>
      <x:c r="F58" s="30" t="n">
        <x:f>SUMIFS('Priced Usage'!$M$7:$M$3366,'Priced Usage'!$B$7:$B$3366,$A58,'Priced Usage'!$D$7:$D$3366,$B58)</x:f>
        <x:v>27.647799999999997</x:v>
      </x:c>
      <x:c r="G58" s="30" t="n">
        <x:f>SUMIFS('Priced Usage'!$N$7:$N$3366,'Priced Usage'!$B$7:$B$3366,$A58,'Priced Usage'!$D$7:$D$3366,$B58)</x:f>
        <x:v>35.05367999999999</x:v>
      </x:c>
      <x:c r="H58" s="30" t="n">
        <x:f>SUMIFS('Priced Usage'!$O$7:$O$3366,'Priced Usage'!$B$7:$B$3366,$A58,'Priced Usage'!$D$7:$D$3366,$B58)</x:f>
        <x:v>62.70148</x:v>
      </x:c>
      <x:c r="I58" s="29" t="n">
        <x:f>COUNTIFS('Priced Usage'!$B$7:$B$3366,$A58,'Priced Usage'!$D$7:$D$3366,$B58)</x:f>
        <x:v>53</x:v>
      </x:c>
      <x:c r="J58" s="29" t="n">
        <x:f>COUNTIFS('Priced Usage'!$B$7:$B$3366,$A58,'Priced Usage'!$D$7:$D$3366,$B58,'Priced Usage'!$I$7:$I$3366,"Correction")</x:f>
        <x:v>14</x:v>
      </x:c>
      <x:c r="K58" s="31" t="n">
        <x:f>IF(I58=0,"N/A",J58/I58)</x:f>
        <x:v>0.2641509433962264</x:v>
      </x:c>
    </x:row>
    <x:row r="59" ht="23" customHeight="1">
      <x:c r="A59" s="18" t="n">
        <x:v>46286</x:v>
      </x:c>
      <x:c r="B59" s="17" t="str">
        <x:v>C001</x:v>
      </x:c>
      <x:c r="C59" s="29" t="n">
        <x:f>SUMIFS('Priced Usage'!$G$7:$G$3366,'Priced Usage'!$B$7:$B$3366,$A59,'Priced Usage'!$D$7:$D$3366,$B59)</x:f>
        <x:v>1299083</x:v>
      </x:c>
      <x:c r="D59" s="29" t="n">
        <x:f>SUMIFS('Priced Usage'!$H$7:$H$3366,'Priced Usage'!$B$7:$B$3366,$A59,'Priced Usage'!$D$7:$D$3366,$B59)</x:f>
        <x:v>275151</x:v>
      </x:c>
      <x:c r="E59" s="29" t="n">
        <x:f>SUMIFS('Priced Usage'!$L$7:$L$3366,'Priced Usage'!$B$7:$B$3366,$A59,'Priced Usage'!$D$7:$D$3366,$B59)</x:f>
        <x:v>1574234</x:v>
      </x:c>
      <x:c r="F59" s="30" t="n">
        <x:f>SUMIFS('Priced Usage'!$M$7:$M$3366,'Priced Usage'!$B$7:$B$3366,$A59,'Priced Usage'!$D$7:$D$3366,$B59)</x:f>
        <x:v>16.35506</x:v>
      </x:c>
      <x:c r="G59" s="30" t="n">
        <x:f>SUMIFS('Priced Usage'!$N$7:$N$3366,'Priced Usage'!$B$7:$B$3366,$A59,'Priced Usage'!$D$7:$D$3366,$B59)</x:f>
        <x:v>12.194269999999998</x:v>
      </x:c>
      <x:c r="H59" s="30" t="n">
        <x:f>SUMIFS('Priced Usage'!$O$7:$O$3366,'Priced Usage'!$B$7:$B$3366,$A59,'Priced Usage'!$D$7:$D$3366,$B59)</x:f>
        <x:v>28.549329999999998</x:v>
      </x:c>
      <x:c r="I59" s="29" t="n">
        <x:f>COUNTIFS('Priced Usage'!$B$7:$B$3366,$A59,'Priced Usage'!$D$7:$D$3366,$B59)</x:f>
        <x:v>33</x:v>
      </x:c>
      <x:c r="J59" s="29" t="n">
        <x:f>COUNTIFS('Priced Usage'!$B$7:$B$3366,$A59,'Priced Usage'!$D$7:$D$3366,$B59,'Priced Usage'!$I$7:$I$3366,"Correction")</x:f>
        <x:v>5</x:v>
      </x:c>
      <x:c r="K59" s="31" t="n">
        <x:f>IF(I59=0,"N/A",J59/I59)</x:f>
        <x:v>0.15151515151515152</x:v>
      </x:c>
    </x:row>
    <x:row r="60" ht="23" customHeight="1">
      <x:c r="A60" s="18" t="n">
        <x:v>46286</x:v>
      </x:c>
      <x:c r="B60" s="17" t="str">
        <x:v>C002</x:v>
      </x:c>
      <x:c r="C60" s="29" t="n">
        <x:f>SUMIFS('Priced Usage'!$G$7:$G$3366,'Priced Usage'!$B$7:$B$3366,$A60,'Priced Usage'!$D$7:$D$3366,$B60)</x:f>
        <x:v>1649658</x:v>
      </x:c>
      <x:c r="D60" s="29" t="n">
        <x:f>SUMIFS('Priced Usage'!$H$7:$H$3366,'Priced Usage'!$B$7:$B$3366,$A60,'Priced Usage'!$D$7:$D$3366,$B60)</x:f>
        <x:v>608565</x:v>
      </x:c>
      <x:c r="E60" s="29" t="n">
        <x:f>SUMIFS('Priced Usage'!$L$7:$L$3366,'Priced Usage'!$B$7:$B$3366,$A60,'Priced Usage'!$D$7:$D$3366,$B60)</x:f>
        <x:v>2258223</x:v>
      </x:c>
      <x:c r="F60" s="30" t="n">
        <x:f>SUMIFS('Priced Usage'!$M$7:$M$3366,'Priced Usage'!$B$7:$B$3366,$A60,'Priced Usage'!$D$7:$D$3366,$B60)</x:f>
        <x:v>48.458009999999994</x:v>
      </x:c>
      <x:c r="G60" s="30" t="n">
        <x:f>SUMIFS('Priced Usage'!$N$7:$N$3366,'Priced Usage'!$B$7:$B$3366,$A60,'Priced Usage'!$D$7:$D$3366,$B60)</x:f>
        <x:v>55.240750000000006</x:v>
      </x:c>
      <x:c r="H60" s="30" t="n">
        <x:f>SUMIFS('Priced Usage'!$O$7:$O$3366,'Priced Usage'!$B$7:$B$3366,$A60,'Priced Usage'!$D$7:$D$3366,$B60)</x:f>
        <x:v>103.69875999999996</x:v>
      </x:c>
      <x:c r="I60" s="29" t="n">
        <x:f>COUNTIFS('Priced Usage'!$B$7:$B$3366,$A60,'Priced Usage'!$D$7:$D$3366,$B60)</x:f>
        <x:v>66</x:v>
      </x:c>
      <x:c r="J60" s="29" t="n">
        <x:f>COUNTIFS('Priced Usage'!$B$7:$B$3366,$A60,'Priced Usage'!$D$7:$D$3366,$B60,'Priced Usage'!$I$7:$I$3366,"Correction")</x:f>
        <x:v>25</x:v>
      </x:c>
      <x:c r="K60" s="31" t="n">
        <x:f>IF(I60=0,"N/A",J60/I60)</x:f>
        <x:v>0.3787878787878788</x:v>
      </x:c>
    </x:row>
    <x:row r="61" ht="23" customHeight="1">
      <x:c r="A61" s="18" t="n">
        <x:v>46286</x:v>
      </x:c>
      <x:c r="B61" s="17" t="str">
        <x:v>C003</x:v>
      </x:c>
      <x:c r="C61" s="29" t="n">
        <x:f>SUMIFS('Priced Usage'!$G$7:$G$3366,'Priced Usage'!$B$7:$B$3366,$A61,'Priced Usage'!$D$7:$D$3366,$B61)</x:f>
        <x:v>830381</x:v>
      </x:c>
      <x:c r="D61" s="29" t="n">
        <x:f>SUMIFS('Priced Usage'!$H$7:$H$3366,'Priced Usage'!$B$7:$B$3366,$A61,'Priced Usage'!$D$7:$D$3366,$B61)</x:f>
        <x:v>201480</x:v>
      </x:c>
      <x:c r="E61" s="29" t="n">
        <x:f>SUMIFS('Priced Usage'!$L$7:$L$3366,'Priced Usage'!$B$7:$B$3366,$A61,'Priced Usage'!$D$7:$D$3366,$B61)</x:f>
        <x:v>1031861</x:v>
      </x:c>
      <x:c r="F61" s="30" t="n">
        <x:f>SUMIFS('Priced Usage'!$M$7:$M$3366,'Priced Usage'!$B$7:$B$3366,$A61,'Priced Usage'!$D$7:$D$3366,$B61)</x:f>
        <x:v>14.09075</x:v>
      </x:c>
      <x:c r="G61" s="30" t="n">
        <x:f>SUMIFS('Priced Usage'!$N$7:$N$3366,'Priced Usage'!$B$7:$B$3366,$A61,'Priced Usage'!$D$7:$D$3366,$B61)</x:f>
        <x:v>10.87804</x:v>
      </x:c>
      <x:c r="H61" s="30" t="n">
        <x:f>SUMIFS('Priced Usage'!$O$7:$O$3366,'Priced Usage'!$B$7:$B$3366,$A61,'Priced Usage'!$D$7:$D$3366,$B61)</x:f>
        <x:v>24.96879</x:v>
      </x:c>
      <x:c r="I61" s="29" t="n">
        <x:f>COUNTIFS('Priced Usage'!$B$7:$B$3366,$A61,'Priced Usage'!$D$7:$D$3366,$B61)</x:f>
        <x:v>35</x:v>
      </x:c>
      <x:c r="J61" s="29" t="n">
        <x:f>COUNTIFS('Priced Usage'!$B$7:$B$3366,$A61,'Priced Usage'!$D$7:$D$3366,$B61,'Priced Usage'!$I$7:$I$3366,"Correction")</x:f>
        <x:v>6</x:v>
      </x:c>
      <x:c r="K61" s="31" t="n">
        <x:f>IF(I61=0,"N/A",J61/I61)</x:f>
        <x:v>0.17142857142857143</x:v>
      </x:c>
    </x:row>
    <x:row r="62" ht="23" customHeight="1">
      <x:c r="A62" s="18" t="n">
        <x:v>46286</x:v>
      </x:c>
      <x:c r="B62" s="17" t="str">
        <x:v>C004</x:v>
      </x:c>
      <x:c r="C62" s="29" t="n">
        <x:f>SUMIFS('Priced Usage'!$G$7:$G$3366,'Priced Usage'!$B$7:$B$3366,$A62,'Priced Usage'!$D$7:$D$3366,$B62)</x:f>
        <x:v>932385</x:v>
      </x:c>
      <x:c r="D62" s="29" t="n">
        <x:f>SUMIFS('Priced Usage'!$H$7:$H$3366,'Priced Usage'!$B$7:$B$3366,$A62,'Priced Usage'!$D$7:$D$3366,$B62)</x:f>
        <x:v>341322</x:v>
      </x:c>
      <x:c r="E62" s="29" t="n">
        <x:f>SUMIFS('Priced Usage'!$L$7:$L$3366,'Priced Usage'!$B$7:$B$3366,$A62,'Priced Usage'!$D$7:$D$3366,$B62)</x:f>
        <x:v>1273707</x:v>
      </x:c>
      <x:c r="F62" s="30" t="n">
        <x:f>SUMIFS('Priced Usage'!$M$7:$M$3366,'Priced Usage'!$B$7:$B$3366,$A62,'Priced Usage'!$D$7:$D$3366,$B62)</x:f>
        <x:v>24.813749999999995</x:v>
      </x:c>
      <x:c r="G62" s="30" t="n">
        <x:f>SUMIFS('Priced Usage'!$N$7:$N$3366,'Priced Usage'!$B$7:$B$3366,$A62,'Priced Usage'!$D$7:$D$3366,$B62)</x:f>
        <x:v>29.20021</x:v>
      </x:c>
      <x:c r="H62" s="30" t="n">
        <x:f>SUMIFS('Priced Usage'!$O$7:$O$3366,'Priced Usage'!$B$7:$B$3366,$A62,'Priced Usage'!$D$7:$D$3366,$B62)</x:f>
        <x:v>54.01395999999999</x:v>
      </x:c>
      <x:c r="I62" s="29" t="n">
        <x:f>COUNTIFS('Priced Usage'!$B$7:$B$3366,$A62,'Priced Usage'!$D$7:$D$3366,$B62)</x:f>
        <x:v>51</x:v>
      </x:c>
      <x:c r="J62" s="29" t="n">
        <x:f>COUNTIFS('Priced Usage'!$B$7:$B$3366,$A62,'Priced Usage'!$D$7:$D$3366,$B62,'Priced Usage'!$I$7:$I$3366,"Correction")</x:f>
        <x:v>10</x:v>
      </x:c>
      <x:c r="K62" s="31" t="n">
        <x:f>IF(I62=0,"N/A",J62/I62)</x:f>
        <x:v>0.19607843137254902</x:v>
      </x:c>
    </x:row>
    <x:row r="63" ht="23" customHeight="1">
      <x:c r="A63" s="18" t="n">
        <x:v>46287</x:v>
      </x:c>
      <x:c r="B63" s="17" t="str">
        <x:v>C001</x:v>
      </x:c>
      <x:c r="C63" s="29" t="n">
        <x:f>SUMIFS('Priced Usage'!$G$7:$G$3366,'Priced Usage'!$B$7:$B$3366,$A63,'Priced Usage'!$D$7:$D$3366,$B63)</x:f>
        <x:v>1306039</x:v>
      </x:c>
      <x:c r="D63" s="29" t="n">
        <x:f>SUMIFS('Priced Usage'!$H$7:$H$3366,'Priced Usage'!$B$7:$B$3366,$A63,'Priced Usage'!$D$7:$D$3366,$B63)</x:f>
        <x:v>275328</x:v>
      </x:c>
      <x:c r="E63" s="29" t="n">
        <x:f>SUMIFS('Priced Usage'!$L$7:$L$3366,'Priced Usage'!$B$7:$B$3366,$A63,'Priced Usage'!$D$7:$D$3366,$B63)</x:f>
        <x:v>1581367</x:v>
      </x:c>
      <x:c r="F63" s="30" t="n">
        <x:f>SUMIFS('Priced Usage'!$M$7:$M$3366,'Priced Usage'!$B$7:$B$3366,$A63,'Priced Usage'!$D$7:$D$3366,$B63)</x:f>
        <x:v>15.787479999999999</x:v>
      </x:c>
      <x:c r="G63" s="30" t="n">
        <x:f>SUMIFS('Priced Usage'!$N$7:$N$3366,'Priced Usage'!$B$7:$B$3366,$A63,'Priced Usage'!$D$7:$D$3366,$B63)</x:f>
        <x:v>10.32771</x:v>
      </x:c>
      <x:c r="H63" s="30" t="n">
        <x:f>SUMIFS('Priced Usage'!$O$7:$O$3366,'Priced Usage'!$B$7:$B$3366,$A63,'Priced Usage'!$D$7:$D$3366,$B63)</x:f>
        <x:v>26.115190000000002</x:v>
      </x:c>
      <x:c r="I63" s="29" t="n">
        <x:f>COUNTIFS('Priced Usage'!$B$7:$B$3366,$A63,'Priced Usage'!$D$7:$D$3366,$B63)</x:f>
        <x:v>35</x:v>
      </x:c>
      <x:c r="J63" s="29" t="n">
        <x:f>COUNTIFS('Priced Usage'!$B$7:$B$3366,$A63,'Priced Usage'!$D$7:$D$3366,$B63,'Priced Usage'!$I$7:$I$3366,"Correction")</x:f>
        <x:v>2</x:v>
      </x:c>
      <x:c r="K63" s="31" t="n">
        <x:f>IF(I63=0,"N/A",J63/I63)</x:f>
        <x:v>0.05714285714285714</x:v>
      </x:c>
    </x:row>
    <x:row r="64" ht="23" customHeight="1">
      <x:c r="A64" s="18" t="n">
        <x:v>46287</x:v>
      </x:c>
      <x:c r="B64" s="17" t="str">
        <x:v>C002</x:v>
      </x:c>
      <x:c r="C64" s="29" t="n">
        <x:f>SUMIFS('Priced Usage'!$G$7:$G$3366,'Priced Usage'!$B$7:$B$3366,$A64,'Priced Usage'!$D$7:$D$3366,$B64)</x:f>
        <x:v>1663811</x:v>
      </x:c>
      <x:c r="D64" s="29" t="n">
        <x:f>SUMIFS('Priced Usage'!$H$7:$H$3366,'Priced Usage'!$B$7:$B$3366,$A64,'Priced Usage'!$D$7:$D$3366,$B64)</x:f>
        <x:v>556203</x:v>
      </x:c>
      <x:c r="E64" s="29" t="n">
        <x:f>SUMIFS('Priced Usage'!$L$7:$L$3366,'Priced Usage'!$B$7:$B$3366,$A64,'Priced Usage'!$D$7:$D$3366,$B64)</x:f>
        <x:v>2220014</x:v>
      </x:c>
      <x:c r="F64" s="30" t="n">
        <x:f>SUMIFS('Priced Usage'!$M$7:$M$3366,'Priced Usage'!$B$7:$B$3366,$A64,'Priced Usage'!$D$7:$D$3366,$B64)</x:f>
        <x:v>42.465829999999976</x:v>
      </x:c>
      <x:c r="G64" s="30" t="n">
        <x:f>SUMIFS('Priced Usage'!$N$7:$N$3366,'Priced Usage'!$B$7:$B$3366,$A64,'Priced Usage'!$D$7:$D$3366,$B64)</x:f>
        <x:v>44.57023999999999</x:v>
      </x:c>
      <x:c r="H64" s="30" t="n">
        <x:f>SUMIFS('Priced Usage'!$O$7:$O$3366,'Priced Usage'!$B$7:$B$3366,$A64,'Priced Usage'!$D$7:$D$3366,$B64)</x:f>
        <x:v>87.03607</x:v>
      </x:c>
      <x:c r="I64" s="29" t="n">
        <x:f>COUNTIFS('Priced Usage'!$B$7:$B$3366,$A64,'Priced Usage'!$D$7:$D$3366,$B64)</x:f>
        <x:v>71</x:v>
      </x:c>
      <x:c r="J64" s="29" t="n">
        <x:f>COUNTIFS('Priced Usage'!$B$7:$B$3366,$A64,'Priced Usage'!$D$7:$D$3366,$B64,'Priced Usage'!$I$7:$I$3366,"Correction")</x:f>
        <x:v>28</x:v>
      </x:c>
      <x:c r="K64" s="31" t="n">
        <x:f>IF(I64=0,"N/A",J64/I64)</x:f>
        <x:v>0.39436619718309857</x:v>
      </x:c>
    </x:row>
    <x:row r="65" ht="23" customHeight="1">
      <x:c r="A65" s="18" t="n">
        <x:v>46287</x:v>
      </x:c>
      <x:c r="B65" s="17" t="str">
        <x:v>C003</x:v>
      </x:c>
      <x:c r="C65" s="29" t="n">
        <x:f>SUMIFS('Priced Usage'!$G$7:$G$3366,'Priced Usage'!$B$7:$B$3366,$A65,'Priced Usage'!$D$7:$D$3366,$B65)</x:f>
        <x:v>919312</x:v>
      </x:c>
      <x:c r="D65" s="29" t="n">
        <x:f>SUMIFS('Priced Usage'!$H$7:$H$3366,'Priced Usage'!$B$7:$B$3366,$A65,'Priced Usage'!$D$7:$D$3366,$B65)</x:f>
        <x:v>217115</x:v>
      </x:c>
      <x:c r="E65" s="29" t="n">
        <x:f>SUMIFS('Priced Usage'!$L$7:$L$3366,'Priced Usage'!$B$7:$B$3366,$A65,'Priced Usage'!$D$7:$D$3366,$B65)</x:f>
        <x:v>1136427</x:v>
      </x:c>
      <x:c r="F65" s="30" t="n">
        <x:f>SUMIFS('Priced Usage'!$M$7:$M$3366,'Priced Usage'!$B$7:$B$3366,$A65,'Priced Usage'!$D$7:$D$3366,$B65)</x:f>
        <x:v>15.46837</x:v>
      </x:c>
      <x:c r="G65" s="30" t="n">
        <x:f>SUMIFS('Priced Usage'!$N$7:$N$3366,'Priced Usage'!$B$7:$B$3366,$A65,'Priced Usage'!$D$7:$D$3366,$B65)</x:f>
        <x:v>12.088320000000003</x:v>
      </x:c>
      <x:c r="H65" s="30" t="n">
        <x:f>SUMIFS('Priced Usage'!$O$7:$O$3366,'Priced Usage'!$B$7:$B$3366,$A65,'Priced Usage'!$D$7:$D$3366,$B65)</x:f>
        <x:v>27.55669</x:v>
      </x:c>
      <x:c r="I65" s="29" t="n">
        <x:f>COUNTIFS('Priced Usage'!$B$7:$B$3366,$A65,'Priced Usage'!$D$7:$D$3366,$B65)</x:f>
        <x:v>36</x:v>
      </x:c>
      <x:c r="J65" s="29" t="n">
        <x:f>COUNTIFS('Priced Usage'!$B$7:$B$3366,$A65,'Priced Usage'!$D$7:$D$3366,$B65,'Priced Usage'!$I$7:$I$3366,"Correction")</x:f>
        <x:v>8</x:v>
      </x:c>
      <x:c r="K65" s="31" t="n">
        <x:f>IF(I65=0,"N/A",J65/I65)</x:f>
        <x:v>0.2222222222222222</x:v>
      </x:c>
    </x:row>
    <x:row r="66" ht="23" customHeight="1">
      <x:c r="A66" s="18" t="n">
        <x:v>46287</x:v>
      </x:c>
      <x:c r="B66" s="17" t="str">
        <x:v>C004</x:v>
      </x:c>
      <x:c r="C66" s="29" t="n">
        <x:f>SUMIFS('Priced Usage'!$G$7:$G$3366,'Priced Usage'!$B$7:$B$3366,$A66,'Priced Usage'!$D$7:$D$3366,$B66)</x:f>
        <x:v>935372</x:v>
      </x:c>
      <x:c r="D66" s="29" t="n">
        <x:f>SUMIFS('Priced Usage'!$H$7:$H$3366,'Priced Usage'!$B$7:$B$3366,$A66,'Priced Usage'!$D$7:$D$3366,$B66)</x:f>
        <x:v>322359</x:v>
      </x:c>
      <x:c r="E66" s="29" t="n">
        <x:f>SUMIFS('Priced Usage'!$L$7:$L$3366,'Priced Usage'!$B$7:$B$3366,$A66,'Priced Usage'!$D$7:$D$3366,$B66)</x:f>
        <x:v>1257731</x:v>
      </x:c>
      <x:c r="F66" s="30" t="n">
        <x:f>SUMIFS('Priced Usage'!$M$7:$M$3366,'Priced Usage'!$B$7:$B$3366,$A66,'Priced Usage'!$D$7:$D$3366,$B66)</x:f>
        <x:v>24.561890000000002</x:v>
      </x:c>
      <x:c r="G66" s="30" t="n">
        <x:f>SUMIFS('Priced Usage'!$N$7:$N$3366,'Priced Usage'!$B$7:$B$3366,$A66,'Priced Usage'!$D$7:$D$3366,$B66)</x:f>
        <x:v>26.374100000000002</x:v>
      </x:c>
      <x:c r="H66" s="30" t="n">
        <x:f>SUMIFS('Priced Usage'!$O$7:$O$3366,'Priced Usage'!$B$7:$B$3366,$A66,'Priced Usage'!$D$7:$D$3366,$B66)</x:f>
        <x:v>50.93599</x:v>
      </x:c>
      <x:c r="I66" s="29" t="n">
        <x:f>COUNTIFS('Priced Usage'!$B$7:$B$3366,$A66,'Priced Usage'!$D$7:$D$3366,$B66)</x:f>
        <x:v>49</x:v>
      </x:c>
      <x:c r="J66" s="29" t="n">
        <x:f>COUNTIFS('Priced Usage'!$B$7:$B$3366,$A66,'Priced Usage'!$D$7:$D$3366,$B66,'Priced Usage'!$I$7:$I$3366,"Correction")</x:f>
        <x:v>13</x:v>
      </x:c>
      <x:c r="K66" s="31" t="n">
        <x:f>IF(I66=0,"N/A",J66/I66)</x:f>
        <x:v>0.2653061224489796</x:v>
      </x:c>
    </x:row>
    <x:row r="67" ht="23" customHeight="1">
      <x:c r="A67" s="18" t="n">
        <x:v>46288</x:v>
      </x:c>
      <x:c r="B67" s="17" t="str">
        <x:v>C001</x:v>
      </x:c>
      <x:c r="C67" s="29" t="n">
        <x:f>SUMIFS('Priced Usage'!$G$7:$G$3366,'Priced Usage'!$B$7:$B$3366,$A67,'Priced Usage'!$D$7:$D$3366,$B67)</x:f>
        <x:v>1458061</x:v>
      </x:c>
      <x:c r="D67" s="29" t="n">
        <x:f>SUMIFS('Priced Usage'!$H$7:$H$3366,'Priced Usage'!$B$7:$B$3366,$A67,'Priced Usage'!$D$7:$D$3366,$B67)</x:f>
        <x:v>249839</x:v>
      </x:c>
      <x:c r="E67" s="29" t="n">
        <x:f>SUMIFS('Priced Usage'!$L$7:$L$3366,'Priced Usage'!$B$7:$B$3366,$A67,'Priced Usage'!$D$7:$D$3366,$B67)</x:f>
        <x:v>1707900</x:v>
      </x:c>
      <x:c r="F67" s="30" t="n">
        <x:f>SUMIFS('Priced Usage'!$M$7:$M$3366,'Priced Usage'!$B$7:$B$3366,$A67,'Priced Usage'!$D$7:$D$3366,$B67)</x:f>
        <x:v>15.778329999999997</x:v>
      </x:c>
      <x:c r="G67" s="30" t="n">
        <x:f>SUMIFS('Priced Usage'!$N$7:$N$3366,'Priced Usage'!$B$7:$B$3366,$A67,'Priced Usage'!$D$7:$D$3366,$B67)</x:f>
        <x:v>8.81747</x:v>
      </x:c>
      <x:c r="H67" s="30" t="n">
        <x:f>SUMIFS('Priced Usage'!$O$7:$O$3366,'Priced Usage'!$B$7:$B$3366,$A67,'Priced Usage'!$D$7:$D$3366,$B67)</x:f>
        <x:v>24.59579999999999</x:v>
      </x:c>
      <x:c r="I67" s="29" t="n">
        <x:f>COUNTIFS('Priced Usage'!$B$7:$B$3366,$A67,'Priced Usage'!$D$7:$D$3366,$B67)</x:f>
        <x:v>35</x:v>
      </x:c>
      <x:c r="J67" s="29" t="n">
        <x:f>COUNTIFS('Priced Usage'!$B$7:$B$3366,$A67,'Priced Usage'!$D$7:$D$3366,$B67,'Priced Usage'!$I$7:$I$3366,"Correction")</x:f>
        <x:v>6</x:v>
      </x:c>
      <x:c r="K67" s="31" t="n">
        <x:f>IF(I67=0,"N/A",J67/I67)</x:f>
        <x:v>0.17142857142857143</x:v>
      </x:c>
    </x:row>
    <x:row r="68" ht="23" customHeight="1">
      <x:c r="A68" s="18" t="n">
        <x:v>46288</x:v>
      </x:c>
      <x:c r="B68" s="17" t="str">
        <x:v>C002</x:v>
      </x:c>
      <x:c r="C68" s="29" t="n">
        <x:f>SUMIFS('Priced Usage'!$G$7:$G$3366,'Priced Usage'!$B$7:$B$3366,$A68,'Priced Usage'!$D$7:$D$3366,$B68)</x:f>
        <x:v>1675264</x:v>
      </x:c>
      <x:c r="D68" s="29" t="n">
        <x:f>SUMIFS('Priced Usage'!$H$7:$H$3366,'Priced Usage'!$B$7:$B$3366,$A68,'Priced Usage'!$D$7:$D$3366,$B68)</x:f>
        <x:v>555017</x:v>
      </x:c>
      <x:c r="E68" s="29" t="n">
        <x:f>SUMIFS('Priced Usage'!$L$7:$L$3366,'Priced Usage'!$B$7:$B$3366,$A68,'Priced Usage'!$D$7:$D$3366,$B68)</x:f>
        <x:v>2230281</x:v>
      </x:c>
      <x:c r="F68" s="30" t="n">
        <x:f>SUMIFS('Priced Usage'!$M$7:$M$3366,'Priced Usage'!$B$7:$B$3366,$A68,'Priced Usage'!$D$7:$D$3366,$B68)</x:f>
        <x:v>40.84230999999998</x:v>
      </x:c>
      <x:c r="G68" s="30" t="n">
        <x:f>SUMIFS('Priced Usage'!$N$7:$N$3366,'Priced Usage'!$B$7:$B$3366,$A68,'Priced Usage'!$D$7:$D$3366,$B68)</x:f>
        <x:v>44.61208</x:v>
      </x:c>
      <x:c r="H68" s="30" t="n">
        <x:f>SUMIFS('Priced Usage'!$O$7:$O$3366,'Priced Usage'!$B$7:$B$3366,$A68,'Priced Usage'!$D$7:$D$3366,$B68)</x:f>
        <x:v>85.45439</x:v>
      </x:c>
      <x:c r="I68" s="29" t="n">
        <x:f>COUNTIFS('Priced Usage'!$B$7:$B$3366,$A68,'Priced Usage'!$D$7:$D$3366,$B68)</x:f>
        <x:v>67</x:v>
      </x:c>
      <x:c r="J68" s="29" t="n">
        <x:f>COUNTIFS('Priced Usage'!$B$7:$B$3366,$A68,'Priced Usage'!$D$7:$D$3366,$B68,'Priced Usage'!$I$7:$I$3366,"Correction")</x:f>
        <x:v>26</x:v>
      </x:c>
      <x:c r="K68" s="31" t="n">
        <x:f>IF(I68=0,"N/A",J68/I68)</x:f>
        <x:v>0.3880597014925373</x:v>
      </x:c>
    </x:row>
    <x:row r="69" ht="23" customHeight="1">
      <x:c r="A69" s="18" t="n">
        <x:v>46288</x:v>
      </x:c>
      <x:c r="B69" s="17" t="str">
        <x:v>C003</x:v>
      </x:c>
      <x:c r="C69" s="29" t="n">
        <x:f>SUMIFS('Priced Usage'!$G$7:$G$3366,'Priced Usage'!$B$7:$B$3366,$A69,'Priced Usage'!$D$7:$D$3366,$B69)</x:f>
        <x:v>695198</x:v>
      </x:c>
      <x:c r="D69" s="29" t="n">
        <x:f>SUMIFS('Priced Usage'!$H$7:$H$3366,'Priced Usage'!$B$7:$B$3366,$A69,'Priced Usage'!$D$7:$D$3366,$B69)</x:f>
        <x:v>213729</x:v>
      </x:c>
      <x:c r="E69" s="29" t="n">
        <x:f>SUMIFS('Priced Usage'!$L$7:$L$3366,'Priced Usage'!$B$7:$B$3366,$A69,'Priced Usage'!$D$7:$D$3366,$B69)</x:f>
        <x:v>908927</x:v>
      </x:c>
      <x:c r="F69" s="30" t="n">
        <x:f>SUMIFS('Priced Usage'!$M$7:$M$3366,'Priced Usage'!$B$7:$B$3366,$A69,'Priced Usage'!$D$7:$D$3366,$B69)</x:f>
        <x:v>17.20628</x:v>
      </x:c>
      <x:c r="G69" s="30" t="n">
        <x:f>SUMIFS('Priced Usage'!$N$7:$N$3366,'Priced Usage'!$B$7:$B$3366,$A69,'Priced Usage'!$D$7:$D$3366,$B69)</x:f>
        <x:v>15.73937</x:v>
      </x:c>
      <x:c r="H69" s="30" t="n">
        <x:f>SUMIFS('Priced Usage'!$O$7:$O$3366,'Priced Usage'!$B$7:$B$3366,$A69,'Priced Usage'!$D$7:$D$3366,$B69)</x:f>
        <x:v>32.94565</x:v>
      </x:c>
      <x:c r="I69" s="29" t="n">
        <x:f>COUNTIFS('Priced Usage'!$B$7:$B$3366,$A69,'Priced Usage'!$D$7:$D$3366,$B69)</x:f>
        <x:v>33</x:v>
      </x:c>
      <x:c r="J69" s="29" t="n">
        <x:f>COUNTIFS('Priced Usage'!$B$7:$B$3366,$A69,'Priced Usage'!$D$7:$D$3366,$B69,'Priced Usage'!$I$7:$I$3366,"Correction")</x:f>
        <x:v>9</x:v>
      </x:c>
      <x:c r="K69" s="31" t="n">
        <x:f>IF(I69=0,"N/A",J69/I69)</x:f>
        <x:v>0.2727272727272727</x:v>
      </x:c>
    </x:row>
    <x:row r="70" ht="23" customHeight="1">
      <x:c r="A70" s="18" t="n">
        <x:v>46288</x:v>
      </x:c>
      <x:c r="B70" s="17" t="str">
        <x:v>C004</x:v>
      </x:c>
      <x:c r="C70" s="29" t="n">
        <x:f>SUMIFS('Priced Usage'!$G$7:$G$3366,'Priced Usage'!$B$7:$B$3366,$A70,'Priced Usage'!$D$7:$D$3366,$B70)</x:f>
        <x:v>901531</x:v>
      </x:c>
      <x:c r="D70" s="29" t="n">
        <x:f>SUMIFS('Priced Usage'!$H$7:$H$3366,'Priced Usage'!$B$7:$B$3366,$A70,'Priced Usage'!$D$7:$D$3366,$B70)</x:f>
        <x:v>346403</x:v>
      </x:c>
      <x:c r="E70" s="29" t="n">
        <x:f>SUMIFS('Priced Usage'!$L$7:$L$3366,'Priced Usage'!$B$7:$B$3366,$A70,'Priced Usage'!$D$7:$D$3366,$B70)</x:f>
        <x:v>1247934</x:v>
      </x:c>
      <x:c r="F70" s="30" t="n">
        <x:f>SUMIFS('Priced Usage'!$M$7:$M$3366,'Priced Usage'!$B$7:$B$3366,$A70,'Priced Usage'!$D$7:$D$3366,$B70)</x:f>
        <x:v>22.93726</x:v>
      </x:c>
      <x:c r="G70" s="30" t="n">
        <x:f>SUMIFS('Priced Usage'!$N$7:$N$3366,'Priced Usage'!$B$7:$B$3366,$A70,'Priced Usage'!$D$7:$D$3366,$B70)</x:f>
        <x:v>28.98633</x:v>
      </x:c>
      <x:c r="H70" s="30" t="n">
        <x:f>SUMIFS('Priced Usage'!$O$7:$O$3366,'Priced Usage'!$B$7:$B$3366,$A70,'Priced Usage'!$D$7:$D$3366,$B70)</x:f>
        <x:v>51.92359000000001</x:v>
      </x:c>
      <x:c r="I70" s="29" t="n">
        <x:f>COUNTIFS('Priced Usage'!$B$7:$B$3366,$A70,'Priced Usage'!$D$7:$D$3366,$B70)</x:f>
        <x:v>51</x:v>
      </x:c>
      <x:c r="J70" s="29" t="n">
        <x:f>COUNTIFS('Priced Usage'!$B$7:$B$3366,$A70,'Priced Usage'!$D$7:$D$3366,$B70,'Priced Usage'!$I$7:$I$3366,"Correction")</x:f>
        <x:v>8</x:v>
      </x:c>
      <x:c r="K70" s="31" t="n">
        <x:f>IF(I70=0,"N/A",J70/I70)</x:f>
        <x:v>0.1568627450980392</x:v>
      </x:c>
    </x:row>
    <x:row r="71" ht="23" customHeight="1">
      <x:c r="A71" s="18" t="n">
        <x:v>46289</x:v>
      </x:c>
      <x:c r="B71" s="17" t="str">
        <x:v>C001</x:v>
      </x:c>
      <x:c r="C71" s="29" t="n">
        <x:f>SUMIFS('Priced Usage'!$G$7:$G$3366,'Priced Usage'!$B$7:$B$3366,$A71,'Priced Usage'!$D$7:$D$3366,$B71)</x:f>
        <x:v>1591850</x:v>
      </x:c>
      <x:c r="D71" s="29" t="n">
        <x:f>SUMIFS('Priced Usage'!$H$7:$H$3366,'Priced Usage'!$B$7:$B$3366,$A71,'Priced Usage'!$D$7:$D$3366,$B71)</x:f>
        <x:v>224212</x:v>
      </x:c>
      <x:c r="E71" s="29" t="n">
        <x:f>SUMIFS('Priced Usage'!$L$7:$L$3366,'Priced Usage'!$B$7:$B$3366,$A71,'Priced Usage'!$D$7:$D$3366,$B71)</x:f>
        <x:v>1816062</x:v>
      </x:c>
      <x:c r="F71" s="30" t="n">
        <x:f>SUMIFS('Priced Usage'!$M$7:$M$3366,'Priced Usage'!$B$7:$B$3366,$A71,'Priced Usage'!$D$7:$D$3366,$B71)</x:f>
        <x:v>18.35234</x:v>
      </x:c>
      <x:c r="G71" s="30" t="n">
        <x:f>SUMIFS('Priced Usage'!$N$7:$N$3366,'Priced Usage'!$B$7:$B$3366,$A71,'Priced Usage'!$D$7:$D$3366,$B71)</x:f>
        <x:v>9.092709999999999</x:v>
      </x:c>
      <x:c r="H71" s="30" t="n">
        <x:f>SUMIFS('Priced Usage'!$O$7:$O$3366,'Priced Usage'!$B$7:$B$3366,$A71,'Priced Usage'!$D$7:$D$3366,$B71)</x:f>
        <x:v>27.445049999999995</x:v>
      </x:c>
      <x:c r="I71" s="29" t="n">
        <x:f>COUNTIFS('Priced Usage'!$B$7:$B$3366,$A71,'Priced Usage'!$D$7:$D$3366,$B71)</x:f>
        <x:v>37</x:v>
      </x:c>
      <x:c r="J71" s="29" t="n">
        <x:f>COUNTIFS('Priced Usage'!$B$7:$B$3366,$A71,'Priced Usage'!$D$7:$D$3366,$B71,'Priced Usage'!$I$7:$I$3366,"Correction")</x:f>
        <x:v>1</x:v>
      </x:c>
      <x:c r="K71" s="31" t="n">
        <x:f>IF(I71=0,"N/A",J71/I71)</x:f>
        <x:v>0.02702702702702703</x:v>
      </x:c>
    </x:row>
    <x:row r="72" ht="23" customHeight="1">
      <x:c r="A72" s="18" t="n">
        <x:v>46289</x:v>
      </x:c>
      <x:c r="B72" s="17" t="str">
        <x:v>C002</x:v>
      </x:c>
      <x:c r="C72" s="29" t="n">
        <x:f>SUMIFS('Priced Usage'!$G$7:$G$3366,'Priced Usage'!$B$7:$B$3366,$A72,'Priced Usage'!$D$7:$D$3366,$B72)</x:f>
        <x:v>1862192</x:v>
      </x:c>
      <x:c r="D72" s="29" t="n">
        <x:f>SUMIFS('Priced Usage'!$H$7:$H$3366,'Priced Usage'!$B$7:$B$3366,$A72,'Priced Usage'!$D$7:$D$3366,$B72)</x:f>
        <x:v>672361</x:v>
      </x:c>
      <x:c r="E72" s="29" t="n">
        <x:f>SUMIFS('Priced Usage'!$L$7:$L$3366,'Priced Usage'!$B$7:$B$3366,$A72,'Priced Usage'!$D$7:$D$3366,$B72)</x:f>
        <x:v>2534553</x:v>
      </x:c>
      <x:c r="F72" s="30" t="n">
        <x:f>SUMIFS('Priced Usage'!$M$7:$M$3366,'Priced Usage'!$B$7:$B$3366,$A72,'Priced Usage'!$D$7:$D$3366,$B72)</x:f>
        <x:v>45.74582</x:v>
      </x:c>
      <x:c r="G72" s="30" t="n">
        <x:f>SUMIFS('Priced Usage'!$N$7:$N$3366,'Priced Usage'!$B$7:$B$3366,$A72,'Priced Usage'!$D$7:$D$3366,$B72)</x:f>
        <x:v>53.40074</x:v>
      </x:c>
      <x:c r="H72" s="30" t="n">
        <x:f>SUMIFS('Priced Usage'!$O$7:$O$3366,'Priced Usage'!$B$7:$B$3366,$A72,'Priced Usage'!$D$7:$D$3366,$B72)</x:f>
        <x:v>99.14656</x:v>
      </x:c>
      <x:c r="I72" s="29" t="n">
        <x:f>COUNTIFS('Priced Usage'!$B$7:$B$3366,$A72,'Priced Usage'!$D$7:$D$3366,$B72)</x:f>
        <x:v>75</x:v>
      </x:c>
      <x:c r="J72" s="29" t="n">
        <x:f>COUNTIFS('Priced Usage'!$B$7:$B$3366,$A72,'Priced Usage'!$D$7:$D$3366,$B72,'Priced Usage'!$I$7:$I$3366,"Correction")</x:f>
        <x:v>32</x:v>
      </x:c>
      <x:c r="K72" s="31" t="n">
        <x:f>IF(I72=0,"N/A",J72/I72)</x:f>
        <x:v>0.4266666666666667</x:v>
      </x:c>
    </x:row>
    <x:row r="73" ht="23" customHeight="1">
      <x:c r="A73" s="18" t="n">
        <x:v>46289</x:v>
      </x:c>
      <x:c r="B73" s="17" t="str">
        <x:v>C003</x:v>
      </x:c>
      <x:c r="C73" s="29" t="n">
        <x:f>SUMIFS('Priced Usage'!$G$7:$G$3366,'Priced Usage'!$B$7:$B$3366,$A73,'Priced Usage'!$D$7:$D$3366,$B73)</x:f>
        <x:v>950663</x:v>
      </x:c>
      <x:c r="D73" s="29" t="n">
        <x:f>SUMIFS('Priced Usage'!$H$7:$H$3366,'Priced Usage'!$B$7:$B$3366,$A73,'Priced Usage'!$D$7:$D$3366,$B73)</x:f>
        <x:v>299827</x:v>
      </x:c>
      <x:c r="E73" s="29" t="n">
        <x:f>SUMIFS('Priced Usage'!$L$7:$L$3366,'Priced Usage'!$B$7:$B$3366,$A73,'Priced Usage'!$D$7:$D$3366,$B73)</x:f>
        <x:v>1250490</x:v>
      </x:c>
      <x:c r="F73" s="30" t="n">
        <x:f>SUMIFS('Priced Usage'!$M$7:$M$3366,'Priced Usage'!$B$7:$B$3366,$A73,'Priced Usage'!$D$7:$D$3366,$B73)</x:f>
        <x:v>23.250380000000003</x:v>
      </x:c>
      <x:c r="G73" s="30" t="n">
        <x:f>SUMIFS('Priced Usage'!$N$7:$N$3366,'Priced Usage'!$B$7:$B$3366,$A73,'Priced Usage'!$D$7:$D$3366,$B73)</x:f>
        <x:v>20.824460000000002</x:v>
      </x:c>
      <x:c r="H73" s="30" t="n">
        <x:f>SUMIFS('Priced Usage'!$O$7:$O$3366,'Priced Usage'!$B$7:$B$3366,$A73,'Priced Usage'!$D$7:$D$3366,$B73)</x:f>
        <x:v>44.07484</x:v>
      </x:c>
      <x:c r="I73" s="29" t="n">
        <x:f>COUNTIFS('Priced Usage'!$B$7:$B$3366,$A73,'Priced Usage'!$D$7:$D$3366,$B73)</x:f>
        <x:v>40</x:v>
      </x:c>
      <x:c r="J73" s="29" t="n">
        <x:f>COUNTIFS('Priced Usage'!$B$7:$B$3366,$A73,'Priced Usage'!$D$7:$D$3366,$B73,'Priced Usage'!$I$7:$I$3366,"Correction")</x:f>
        <x:v>8</x:v>
      </x:c>
      <x:c r="K73" s="31" t="n">
        <x:f>IF(I73=0,"N/A",J73/I73)</x:f>
        <x:v>0.2</x:v>
      </x:c>
    </x:row>
    <x:row r="74" ht="23" customHeight="1">
      <x:c r="A74" s="18" t="n">
        <x:v>46289</x:v>
      </x:c>
      <x:c r="B74" s="17" t="str">
        <x:v>C004</x:v>
      </x:c>
      <x:c r="C74" s="29" t="n">
        <x:f>SUMIFS('Priced Usage'!$G$7:$G$3366,'Priced Usage'!$B$7:$B$3366,$A74,'Priced Usage'!$D$7:$D$3366,$B74)</x:f>
        <x:v>756712</x:v>
      </x:c>
      <x:c r="D74" s="29" t="n">
        <x:f>SUMIFS('Priced Usage'!$H$7:$H$3366,'Priced Usage'!$B$7:$B$3366,$A74,'Priced Usage'!$D$7:$D$3366,$B74)</x:f>
        <x:v>241309</x:v>
      </x:c>
      <x:c r="E74" s="29" t="n">
        <x:f>SUMIFS('Priced Usage'!$L$7:$L$3366,'Priced Usage'!$B$7:$B$3366,$A74,'Priced Usage'!$D$7:$D$3366,$B74)</x:f>
        <x:v>998021</x:v>
      </x:c>
      <x:c r="F74" s="30" t="n">
        <x:f>SUMIFS('Priced Usage'!$M$7:$M$3366,'Priced Usage'!$B$7:$B$3366,$A74,'Priced Usage'!$D$7:$D$3366,$B74)</x:f>
        <x:v>18.40318</x:v>
      </x:c>
      <x:c r="G74" s="30" t="n">
        <x:f>SUMIFS('Priced Usage'!$N$7:$N$3366,'Priced Usage'!$B$7:$B$3366,$A74,'Priced Usage'!$D$7:$D$3366,$B74)</x:f>
        <x:v>17.767759999999996</x:v>
      </x:c>
      <x:c r="H74" s="30" t="n">
        <x:f>SUMIFS('Priced Usage'!$O$7:$O$3366,'Priced Usage'!$B$7:$B$3366,$A74,'Priced Usage'!$D$7:$D$3366,$B74)</x:f>
        <x:v>36.17094</x:v>
      </x:c>
      <x:c r="I74" s="29" t="n">
        <x:f>COUNTIFS('Priced Usage'!$B$7:$B$3366,$A74,'Priced Usage'!$D$7:$D$3366,$B74)</x:f>
        <x:v>42</x:v>
      </x:c>
      <x:c r="J74" s="29" t="n">
        <x:f>COUNTIFS('Priced Usage'!$B$7:$B$3366,$A74,'Priced Usage'!$D$7:$D$3366,$B74,'Priced Usage'!$I$7:$I$3366,"Correction")</x:f>
        <x:v>12</x:v>
      </x:c>
      <x:c r="K74" s="31" t="n">
        <x:f>IF(I74=0,"N/A",J74/I74)</x:f>
        <x:v>0.2857142857142857</x:v>
      </x:c>
    </x:row>
    <x:row r="75" ht="23" customHeight="1">
      <x:c r="A75" s="18" t="n">
        <x:v>46290</x:v>
      </x:c>
      <x:c r="B75" s="17" t="str">
        <x:v>C001</x:v>
      </x:c>
      <x:c r="C75" s="29" t="n">
        <x:f>SUMIFS('Priced Usage'!$G$7:$G$3366,'Priced Usage'!$B$7:$B$3366,$A75,'Priced Usage'!$D$7:$D$3366,$B75)</x:f>
        <x:v>1461057</x:v>
      </x:c>
      <x:c r="D75" s="29" t="n">
        <x:f>SUMIFS('Priced Usage'!$H$7:$H$3366,'Priced Usage'!$B$7:$B$3366,$A75,'Priced Usage'!$D$7:$D$3366,$B75)</x:f>
        <x:v>257454</x:v>
      </x:c>
      <x:c r="E75" s="29" t="n">
        <x:f>SUMIFS('Priced Usage'!$L$7:$L$3366,'Priced Usage'!$B$7:$B$3366,$A75,'Priced Usage'!$D$7:$D$3366,$B75)</x:f>
        <x:v>1718511</x:v>
      </x:c>
      <x:c r="F75" s="30" t="n">
        <x:f>SUMIFS('Priced Usage'!$M$7:$M$3366,'Priced Usage'!$B$7:$B$3366,$A75,'Priced Usage'!$D$7:$D$3366,$B75)</x:f>
        <x:v>16.879620000000003</x:v>
      </x:c>
      <x:c r="G75" s="30" t="n">
        <x:f>SUMIFS('Priced Usage'!$N$7:$N$3366,'Priced Usage'!$B$7:$B$3366,$A75,'Priced Usage'!$D$7:$D$3366,$B75)</x:f>
        <x:v>9.30842</x:v>
      </x:c>
      <x:c r="H75" s="30" t="n">
        <x:f>SUMIFS('Priced Usage'!$O$7:$O$3366,'Priced Usage'!$B$7:$B$3366,$A75,'Priced Usage'!$D$7:$D$3366,$B75)</x:f>
        <x:v>26.18804</x:v>
      </x:c>
      <x:c r="I75" s="29" t="n">
        <x:f>COUNTIFS('Priced Usage'!$B$7:$B$3366,$A75,'Priced Usage'!$D$7:$D$3366,$B75)</x:f>
        <x:v>35</x:v>
      </x:c>
      <x:c r="J75" s="29" t="n">
        <x:f>COUNTIFS('Priced Usage'!$B$7:$B$3366,$A75,'Priced Usage'!$D$7:$D$3366,$B75,'Priced Usage'!$I$7:$I$3366,"Correction")</x:f>
        <x:v>6</x:v>
      </x:c>
      <x:c r="K75" s="31" t="n">
        <x:f>IF(I75=0,"N/A",J75/I75)</x:f>
        <x:v>0.17142857142857143</x:v>
      </x:c>
    </x:row>
    <x:row r="76" ht="23" customHeight="1">
      <x:c r="A76" s="18" t="n">
        <x:v>46290</x:v>
      </x:c>
      <x:c r="B76" s="17" t="str">
        <x:v>C002</x:v>
      </x:c>
      <x:c r="C76" s="29" t="n">
        <x:f>SUMIFS('Priced Usage'!$G$7:$G$3366,'Priced Usage'!$B$7:$B$3366,$A76,'Priced Usage'!$D$7:$D$3366,$B76)</x:f>
        <x:v>1575798</x:v>
      </x:c>
      <x:c r="D76" s="29" t="n">
        <x:f>SUMIFS('Priced Usage'!$H$7:$H$3366,'Priced Usage'!$B$7:$B$3366,$A76,'Priced Usage'!$D$7:$D$3366,$B76)</x:f>
        <x:v>565664</x:v>
      </x:c>
      <x:c r="E76" s="29" t="n">
        <x:f>SUMIFS('Priced Usage'!$L$7:$L$3366,'Priced Usage'!$B$7:$B$3366,$A76,'Priced Usage'!$D$7:$D$3366,$B76)</x:f>
        <x:v>2141462</x:v>
      </x:c>
      <x:c r="F76" s="30" t="n">
        <x:f>SUMIFS('Priced Usage'!$M$7:$M$3366,'Priced Usage'!$B$7:$B$3366,$A76,'Priced Usage'!$D$7:$D$3366,$B76)</x:f>
        <x:v>30.54408</x:v>
      </x:c>
      <x:c r="G76" s="30" t="n">
        <x:f>SUMIFS('Priced Usage'!$N$7:$N$3366,'Priced Usage'!$B$7:$B$3366,$A76,'Priced Usage'!$D$7:$D$3366,$B76)</x:f>
        <x:v>39.6453</x:v>
      </x:c>
      <x:c r="H76" s="30" t="n">
        <x:f>SUMIFS('Priced Usage'!$O$7:$O$3366,'Priced Usage'!$B$7:$B$3366,$A76,'Priced Usage'!$D$7:$D$3366,$B76)</x:f>
        <x:v>70.18938000000001</x:v>
      </x:c>
      <x:c r="I76" s="29" t="n">
        <x:f>COUNTIFS('Priced Usage'!$B$7:$B$3366,$A76,'Priced Usage'!$D$7:$D$3366,$B76)</x:f>
        <x:v>65</x:v>
      </x:c>
      <x:c r="J76" s="29" t="n">
        <x:f>COUNTIFS('Priced Usage'!$B$7:$B$3366,$A76,'Priced Usage'!$D$7:$D$3366,$B76,'Priced Usage'!$I$7:$I$3366,"Correction")</x:f>
        <x:v>22</x:v>
      </x:c>
      <x:c r="K76" s="31" t="n">
        <x:f>IF(I76=0,"N/A",J76/I76)</x:f>
        <x:v>0.3384615384615385</x:v>
      </x:c>
    </x:row>
    <x:row r="77" ht="23" customHeight="1">
      <x:c r="A77" s="18" t="n">
        <x:v>46290</x:v>
      </x:c>
      <x:c r="B77" s="17" t="str">
        <x:v>C003</x:v>
      </x:c>
      <x:c r="C77" s="29" t="n">
        <x:f>SUMIFS('Priced Usage'!$G$7:$G$3366,'Priced Usage'!$B$7:$B$3366,$A77,'Priced Usage'!$D$7:$D$3366,$B77)</x:f>
        <x:v>954990</x:v>
      </x:c>
      <x:c r="D77" s="29" t="n">
        <x:f>SUMIFS('Priced Usage'!$H$7:$H$3366,'Priced Usage'!$B$7:$B$3366,$A77,'Priced Usage'!$D$7:$D$3366,$B77)</x:f>
        <x:v>236808</x:v>
      </x:c>
      <x:c r="E77" s="29" t="n">
        <x:f>SUMIFS('Priced Usage'!$L$7:$L$3366,'Priced Usage'!$B$7:$B$3366,$A77,'Priced Usage'!$D$7:$D$3366,$B77)</x:f>
        <x:v>1191798</x:v>
      </x:c>
      <x:c r="F77" s="30" t="n">
        <x:f>SUMIFS('Priced Usage'!$M$7:$M$3366,'Priced Usage'!$B$7:$B$3366,$A77,'Priced Usage'!$D$7:$D$3366,$B77)</x:f>
        <x:v>18.875639999999997</x:v>
      </x:c>
      <x:c r="G77" s="30" t="n">
        <x:f>SUMIFS('Priced Usage'!$N$7:$N$3366,'Priced Usage'!$B$7:$B$3366,$A77,'Priced Usage'!$D$7:$D$3366,$B77)</x:f>
        <x:v>15.03412</x:v>
      </x:c>
      <x:c r="H77" s="30" t="n">
        <x:f>SUMIFS('Priced Usage'!$O$7:$O$3366,'Priced Usage'!$B$7:$B$3366,$A77,'Priced Usage'!$D$7:$D$3366,$B77)</x:f>
        <x:v>33.90976</x:v>
      </x:c>
      <x:c r="I77" s="29" t="n">
        <x:f>COUNTIFS('Priced Usage'!$B$7:$B$3366,$A77,'Priced Usage'!$D$7:$D$3366,$B77)</x:f>
        <x:v>40</x:v>
      </x:c>
      <x:c r="J77" s="29" t="n">
        <x:f>COUNTIFS('Priced Usage'!$B$7:$B$3366,$A77,'Priced Usage'!$D$7:$D$3366,$B77,'Priced Usage'!$I$7:$I$3366,"Correction")</x:f>
        <x:v>10</x:v>
      </x:c>
      <x:c r="K77" s="31" t="n">
        <x:f>IF(I77=0,"N/A",J77/I77)</x:f>
        <x:v>0.25</x:v>
      </x:c>
    </x:row>
    <x:row r="78" ht="23" customHeight="1">
      <x:c r="A78" s="18" t="n">
        <x:v>46290</x:v>
      </x:c>
      <x:c r="B78" s="17" t="str">
        <x:v>C004</x:v>
      </x:c>
      <x:c r="C78" s="29" t="n">
        <x:f>SUMIFS('Priced Usage'!$G$7:$G$3366,'Priced Usage'!$B$7:$B$3366,$A78,'Priced Usage'!$D$7:$D$3366,$B78)</x:f>
        <x:v>841222</x:v>
      </x:c>
      <x:c r="D78" s="29" t="n">
        <x:f>SUMIFS('Priced Usage'!$H$7:$H$3366,'Priced Usage'!$B$7:$B$3366,$A78,'Priced Usage'!$D$7:$D$3366,$B78)</x:f>
        <x:v>307638</x:v>
      </x:c>
      <x:c r="E78" s="29" t="n">
        <x:f>SUMIFS('Priced Usage'!$L$7:$L$3366,'Priced Usage'!$B$7:$B$3366,$A78,'Priced Usage'!$D$7:$D$3366,$B78)</x:f>
        <x:v>1148860</x:v>
      </x:c>
      <x:c r="F78" s="30" t="n">
        <x:f>SUMIFS('Priced Usage'!$M$7:$M$3366,'Priced Usage'!$B$7:$B$3366,$A78,'Priced Usage'!$D$7:$D$3366,$B78)</x:f>
        <x:v>20.418190000000003</x:v>
      </x:c>
      <x:c r="G78" s="30" t="n">
        <x:f>SUMIFS('Priced Usage'!$N$7:$N$3366,'Priced Usage'!$B$7:$B$3366,$A78,'Priced Usage'!$D$7:$D$3366,$B78)</x:f>
        <x:v>24.058080000000004</x:v>
      </x:c>
      <x:c r="H78" s="30" t="n">
        <x:f>SUMIFS('Priced Usage'!$O$7:$O$3366,'Priced Usage'!$B$7:$B$3366,$A78,'Priced Usage'!$D$7:$D$3366,$B78)</x:f>
        <x:v>44.47627</x:v>
      </x:c>
      <x:c r="I78" s="29" t="n">
        <x:f>COUNTIFS('Priced Usage'!$B$7:$B$3366,$A78,'Priced Usage'!$D$7:$D$3366,$B78)</x:f>
        <x:v>44</x:v>
      </x:c>
      <x:c r="J78" s="29" t="n">
        <x:f>COUNTIFS('Priced Usage'!$B$7:$B$3366,$A78,'Priced Usage'!$D$7:$D$3366,$B78,'Priced Usage'!$I$7:$I$3366,"Correction")</x:f>
        <x:v>7</x:v>
      </x:c>
      <x:c r="K78" s="31" t="n">
        <x:f>IF(I78=0,"N/A",J78/I78)</x:f>
        <x:v>0.1590909090909091</x:v>
      </x:c>
    </x:row>
    <x:row r="79" ht="23" customHeight="1">
      <x:c r="A79" s="18" t="n">
        <x:v>46293</x:v>
      </x:c>
      <x:c r="B79" s="17" t="str">
        <x:v>C001</x:v>
      </x:c>
      <x:c r="C79" s="29" t="n">
        <x:f>SUMIFS('Priced Usage'!$G$7:$G$3366,'Priced Usage'!$B$7:$B$3366,$A79,'Priced Usage'!$D$7:$D$3366,$B79)</x:f>
        <x:v>947698</x:v>
      </x:c>
      <x:c r="D79" s="29" t="n">
        <x:f>SUMIFS('Priced Usage'!$H$7:$H$3366,'Priced Usage'!$B$7:$B$3366,$A79,'Priced Usage'!$D$7:$D$3366,$B79)</x:f>
        <x:v>173408</x:v>
      </x:c>
      <x:c r="E79" s="29" t="n">
        <x:f>SUMIFS('Priced Usage'!$L$7:$L$3366,'Priced Usage'!$B$7:$B$3366,$A79,'Priced Usage'!$D$7:$D$3366,$B79)</x:f>
        <x:v>1121106</x:v>
      </x:c>
      <x:c r="F79" s="30" t="n">
        <x:f>SUMIFS('Priced Usage'!$M$7:$M$3366,'Priced Usage'!$B$7:$B$3366,$A79,'Priced Usage'!$D$7:$D$3366,$B79)</x:f>
        <x:v>11.715219999999999</x:v>
      </x:c>
      <x:c r="G79" s="30" t="n">
        <x:f>SUMIFS('Priced Usage'!$N$7:$N$3366,'Priced Usage'!$B$7:$B$3366,$A79,'Priced Usage'!$D$7:$D$3366,$B79)</x:f>
        <x:v>6.696599999999999</x:v>
      </x:c>
      <x:c r="H79" s="30" t="n">
        <x:f>SUMIFS('Priced Usage'!$O$7:$O$3366,'Priced Usage'!$B$7:$B$3366,$A79,'Priced Usage'!$D$7:$D$3366,$B79)</x:f>
        <x:v>18.41182</x:v>
      </x:c>
      <x:c r="I79" s="29" t="n">
        <x:f>COUNTIFS('Priced Usage'!$B$7:$B$3366,$A79,'Priced Usage'!$D$7:$D$3366,$B79)</x:f>
        <x:v>24</x:v>
      </x:c>
      <x:c r="J79" s="29" t="n">
        <x:f>COUNTIFS('Priced Usage'!$B$7:$B$3366,$A79,'Priced Usage'!$D$7:$D$3366,$B79,'Priced Usage'!$I$7:$I$3366,"Correction")</x:f>
        <x:v>1</x:v>
      </x:c>
      <x:c r="K79" s="31" t="n">
        <x:f>IF(I79=0,"N/A",J79/I79)</x:f>
        <x:v>0.041666666666666664</x:v>
      </x:c>
    </x:row>
    <x:row r="80" ht="23" customHeight="1">
      <x:c r="A80" s="18" t="n">
        <x:v>46293</x:v>
      </x:c>
      <x:c r="B80" s="17" t="str">
        <x:v>C002</x:v>
      </x:c>
      <x:c r="C80" s="29" t="n">
        <x:f>SUMIFS('Priced Usage'!$G$7:$G$3366,'Priced Usage'!$B$7:$B$3366,$A80,'Priced Usage'!$D$7:$D$3366,$B80)</x:f>
        <x:v>1098153</x:v>
      </x:c>
      <x:c r="D80" s="29" t="n">
        <x:f>SUMIFS('Priced Usage'!$H$7:$H$3366,'Priced Usage'!$B$7:$B$3366,$A80,'Priced Usage'!$D$7:$D$3366,$B80)</x:f>
        <x:v>402192</x:v>
      </x:c>
      <x:c r="E80" s="29" t="n">
        <x:f>SUMIFS('Priced Usage'!$L$7:$L$3366,'Priced Usage'!$B$7:$B$3366,$A80,'Priced Usage'!$D$7:$D$3366,$B80)</x:f>
        <x:v>1500345</x:v>
      </x:c>
      <x:c r="F80" s="30" t="n">
        <x:f>SUMIFS('Priced Usage'!$M$7:$M$3366,'Priced Usage'!$B$7:$B$3366,$A80,'Priced Usage'!$D$7:$D$3366,$B80)</x:f>
        <x:v>25.891319999999993</x:v>
      </x:c>
      <x:c r="G80" s="30" t="n">
        <x:f>SUMIFS('Priced Usage'!$N$7:$N$3366,'Priced Usage'!$B$7:$B$3366,$A80,'Priced Usage'!$D$7:$D$3366,$B80)</x:f>
        <x:v>32.44332</x:v>
      </x:c>
      <x:c r="H80" s="30" t="n">
        <x:f>SUMIFS('Priced Usage'!$O$7:$O$3366,'Priced Usage'!$B$7:$B$3366,$A80,'Priced Usage'!$D$7:$D$3366,$B80)</x:f>
        <x:v>58.33463999999999</x:v>
      </x:c>
      <x:c r="I80" s="29" t="n">
        <x:f>COUNTIFS('Priced Usage'!$B$7:$B$3366,$A80,'Priced Usage'!$D$7:$D$3366,$B80)</x:f>
        <x:v>47</x:v>
      </x:c>
      <x:c r="J80" s="29" t="n">
        <x:f>COUNTIFS('Priced Usage'!$B$7:$B$3366,$A80,'Priced Usage'!$D$7:$D$3366,$B80,'Priced Usage'!$I$7:$I$3366,"Correction")</x:f>
        <x:v>25</x:v>
      </x:c>
      <x:c r="K80" s="31" t="n">
        <x:f>IF(I80=0,"N/A",J80/I80)</x:f>
        <x:v>0.5319148936170213</x:v>
      </x:c>
    </x:row>
    <x:row r="81" ht="23" customHeight="1">
      <x:c r="A81" s="18" t="n">
        <x:v>46293</x:v>
      </x:c>
      <x:c r="B81" s="17" t="str">
        <x:v>C003</x:v>
      </x:c>
      <x:c r="C81" s="29" t="n">
        <x:f>SUMIFS('Priced Usage'!$G$7:$G$3366,'Priced Usage'!$B$7:$B$3366,$A81,'Priced Usage'!$D$7:$D$3366,$B81)</x:f>
        <x:v>766042</x:v>
      </x:c>
      <x:c r="D81" s="29" t="n">
        <x:f>SUMIFS('Priced Usage'!$H$7:$H$3366,'Priced Usage'!$B$7:$B$3366,$A81,'Priced Usage'!$D$7:$D$3366,$B81)</x:f>
        <x:v>204073</x:v>
      </x:c>
      <x:c r="E81" s="29" t="n">
        <x:f>SUMIFS('Priced Usage'!$L$7:$L$3366,'Priced Usage'!$B$7:$B$3366,$A81,'Priced Usage'!$D$7:$D$3366,$B81)</x:f>
        <x:v>970115</x:v>
      </x:c>
      <x:c r="F81" s="30" t="n">
        <x:f>SUMIFS('Priced Usage'!$M$7:$M$3366,'Priced Usage'!$B$7:$B$3366,$A81,'Priced Usage'!$D$7:$D$3366,$B81)</x:f>
        <x:v>16.499859999999998</x:v>
      </x:c>
      <x:c r="G81" s="30" t="n">
        <x:f>SUMIFS('Priced Usage'!$N$7:$N$3366,'Priced Usage'!$B$7:$B$3366,$A81,'Priced Usage'!$D$7:$D$3366,$B81)</x:f>
        <x:v>11.59059</x:v>
      </x:c>
      <x:c r="H81" s="30" t="n">
        <x:f>SUMIFS('Priced Usage'!$O$7:$O$3366,'Priced Usage'!$B$7:$B$3366,$A81,'Priced Usage'!$D$7:$D$3366,$B81)</x:f>
        <x:v>28.090450000000004</x:v>
      </x:c>
      <x:c r="I81" s="29" t="n">
        <x:f>COUNTIFS('Priced Usage'!$B$7:$B$3366,$A81,'Priced Usage'!$D$7:$D$3366,$B81)</x:f>
        <x:v>31</x:v>
      </x:c>
      <x:c r="J81" s="29" t="n">
        <x:f>COUNTIFS('Priced Usage'!$B$7:$B$3366,$A81,'Priced Usage'!$D$7:$D$3366,$B81,'Priced Usage'!$I$7:$I$3366,"Correction")</x:f>
        <x:v>8</x:v>
      </x:c>
      <x:c r="K81" s="31" t="n">
        <x:f>IF(I81=0,"N/A",J81/I81)</x:f>
        <x:v>0.25806451612903225</x:v>
      </x:c>
    </x:row>
    <x:row r="82" ht="23" customHeight="1">
      <x:c r="A82" s="18" t="n">
        <x:v>46293</x:v>
      </x:c>
      <x:c r="B82" s="17" t="str">
        <x:v>C004</x:v>
      </x:c>
      <x:c r="C82" s="29" t="n">
        <x:f>SUMIFS('Priced Usage'!$G$7:$G$3366,'Priced Usage'!$B$7:$B$3366,$A82,'Priced Usage'!$D$7:$D$3366,$B82)</x:f>
        <x:v>601366</x:v>
      </x:c>
      <x:c r="D82" s="29" t="n">
        <x:f>SUMIFS('Priced Usage'!$H$7:$H$3366,'Priced Usage'!$B$7:$B$3366,$A82,'Priced Usage'!$D$7:$D$3366,$B82)</x:f>
        <x:v>245902</x:v>
      </x:c>
      <x:c r="E82" s="29" t="n">
        <x:f>SUMIFS('Priced Usage'!$L$7:$L$3366,'Priced Usage'!$B$7:$B$3366,$A82,'Priced Usage'!$D$7:$D$3366,$B82)</x:f>
        <x:v>847268</x:v>
      </x:c>
      <x:c r="F82" s="30" t="n">
        <x:f>SUMIFS('Priced Usage'!$M$7:$M$3366,'Priced Usage'!$B$7:$B$3366,$A82,'Priced Usage'!$D$7:$D$3366,$B82)</x:f>
        <x:v>15.88885</x:v>
      </x:c>
      <x:c r="G82" s="30" t="n">
        <x:f>SUMIFS('Priced Usage'!$N$7:$N$3366,'Priced Usage'!$B$7:$B$3366,$A82,'Priced Usage'!$D$7:$D$3366,$B82)</x:f>
        <x:v>19.47334</x:v>
      </x:c>
      <x:c r="H82" s="30" t="n">
        <x:f>SUMIFS('Priced Usage'!$O$7:$O$3366,'Priced Usage'!$B$7:$B$3366,$A82,'Priced Usage'!$D$7:$D$3366,$B82)</x:f>
        <x:v>35.362190000000005</x:v>
      </x:c>
      <x:c r="I82" s="29" t="n">
        <x:f>COUNTIFS('Priced Usage'!$B$7:$B$3366,$A82,'Priced Usage'!$D$7:$D$3366,$B82)</x:f>
        <x:v>33</x:v>
      </x:c>
      <x:c r="J82" s="29" t="n">
        <x:f>COUNTIFS('Priced Usage'!$B$7:$B$3366,$A82,'Priced Usage'!$D$7:$D$3366,$B82,'Priced Usage'!$I$7:$I$3366,"Correction")</x:f>
        <x:v>9</x:v>
      </x:c>
      <x:c r="K82" s="31" t="n">
        <x:f>IF(I82=0,"N/A",J82/I82)</x:f>
        <x:v>0.2727272727272727</x:v>
      </x:c>
    </x:row>
    <x:row r="83" ht="23" customHeight="1">
      <x:c r="A83" s="18" t="n">
        <x:v>46294</x:v>
      </x:c>
      <x:c r="B83" s="17" t="str">
        <x:v>C001</x:v>
      </x:c>
      <x:c r="C83" s="29" t="n">
        <x:f>SUMIFS('Priced Usage'!$G$7:$G$3366,'Priced Usage'!$B$7:$B$3366,$A83,'Priced Usage'!$D$7:$D$3366,$B83)</x:f>
        <x:v>637454</x:v>
      </x:c>
      <x:c r="D83" s="29" t="n">
        <x:f>SUMIFS('Priced Usage'!$H$7:$H$3366,'Priced Usage'!$B$7:$B$3366,$A83,'Priced Usage'!$D$7:$D$3366,$B83)</x:f>
        <x:v>114562</x:v>
      </x:c>
      <x:c r="E83" s="29" t="n">
        <x:f>SUMIFS('Priced Usage'!$L$7:$L$3366,'Priced Usage'!$B$7:$B$3366,$A83,'Priced Usage'!$D$7:$D$3366,$B83)</x:f>
        <x:v>752016</x:v>
      </x:c>
      <x:c r="F83" s="30" t="n">
        <x:f>SUMIFS('Priced Usage'!$M$7:$M$3366,'Priced Usage'!$B$7:$B$3366,$A83,'Priced Usage'!$D$7:$D$3366,$B83)</x:f>
        <x:v>7.484330000000001</x:v>
      </x:c>
      <x:c r="G83" s="30" t="n">
        <x:f>SUMIFS('Priced Usage'!$N$7:$N$3366,'Priced Usage'!$B$7:$B$3366,$A83,'Priced Usage'!$D$7:$D$3366,$B83)</x:f>
        <x:v>4.10046</x:v>
      </x:c>
      <x:c r="H83" s="30" t="n">
        <x:f>SUMIFS('Priced Usage'!$O$7:$O$3366,'Priced Usage'!$B$7:$B$3366,$A83,'Priced Usage'!$D$7:$D$3366,$B83)</x:f>
        <x:v>11.58479</x:v>
      </x:c>
      <x:c r="I83" s="29" t="n">
        <x:f>COUNTIFS('Priced Usage'!$B$7:$B$3366,$A83,'Priced Usage'!$D$7:$D$3366,$B83)</x:f>
        <x:v>17</x:v>
      </x:c>
      <x:c r="J83" s="29" t="n">
        <x:f>COUNTIFS('Priced Usage'!$B$7:$B$3366,$A83,'Priced Usage'!$D$7:$D$3366,$B83,'Priced Usage'!$I$7:$I$3366,"Correction")</x:f>
        <x:v>2</x:v>
      </x:c>
      <x:c r="K83" s="31" t="n">
        <x:f>IF(I83=0,"N/A",J83/I83)</x:f>
        <x:v>0.11764705882352941</x:v>
      </x:c>
    </x:row>
    <x:row r="84" ht="23" customHeight="1">
      <x:c r="A84" s="18" t="n">
        <x:v>46294</x:v>
      </x:c>
      <x:c r="B84" s="17" t="str">
        <x:v>C002</x:v>
      </x:c>
      <x:c r="C84" s="29" t="n">
        <x:f>SUMIFS('Priced Usage'!$G$7:$G$3366,'Priced Usage'!$B$7:$B$3366,$A84,'Priced Usage'!$D$7:$D$3366,$B84)</x:f>
        <x:v>782972</x:v>
      </x:c>
      <x:c r="D84" s="29" t="n">
        <x:f>SUMIFS('Priced Usage'!$H$7:$H$3366,'Priced Usage'!$B$7:$B$3366,$A84,'Priced Usage'!$D$7:$D$3366,$B84)</x:f>
        <x:v>357736</x:v>
      </x:c>
      <x:c r="E84" s="29" t="n">
        <x:f>SUMIFS('Priced Usage'!$L$7:$L$3366,'Priced Usage'!$B$7:$B$3366,$A84,'Priced Usage'!$D$7:$D$3366,$B84)</x:f>
        <x:v>1140708</x:v>
      </x:c>
      <x:c r="F84" s="30" t="n">
        <x:f>SUMIFS('Priced Usage'!$M$7:$M$3366,'Priced Usage'!$B$7:$B$3366,$A84,'Priced Usage'!$D$7:$D$3366,$B84)</x:f>
        <x:v>21.96641</x:v>
      </x:c>
      <x:c r="G84" s="30" t="n">
        <x:f>SUMIFS('Priced Usage'!$N$7:$N$3366,'Priced Usage'!$B$7:$B$3366,$A84,'Priced Usage'!$D$7:$D$3366,$B84)</x:f>
        <x:v>31.683360000000004</x:v>
      </x:c>
      <x:c r="H84" s="30" t="n">
        <x:f>SUMIFS('Priced Usage'!$O$7:$O$3366,'Priced Usage'!$B$7:$B$3366,$A84,'Priced Usage'!$D$7:$D$3366,$B84)</x:f>
        <x:v>53.649770000000004</x:v>
      </x:c>
      <x:c r="I84" s="29" t="n">
        <x:f>COUNTIFS('Priced Usage'!$B$7:$B$3366,$A84,'Priced Usage'!$D$7:$D$3366,$B84)</x:f>
        <x:v>34</x:v>
      </x:c>
      <x:c r="J84" s="29" t="n">
        <x:f>COUNTIFS('Priced Usage'!$B$7:$B$3366,$A84,'Priced Usage'!$D$7:$D$3366,$B84,'Priced Usage'!$I$7:$I$3366,"Correction")</x:f>
        <x:v>18</x:v>
      </x:c>
      <x:c r="K84" s="31" t="n">
        <x:f>IF(I84=0,"N/A",J84/I84)</x:f>
        <x:v>0.5294117647058824</x:v>
      </x:c>
    </x:row>
    <x:row r="85" ht="23" customHeight="1">
      <x:c r="A85" s="18" t="n">
        <x:v>46294</x:v>
      </x:c>
      <x:c r="B85" s="17" t="str">
        <x:v>C003</x:v>
      </x:c>
      <x:c r="C85" s="29" t="n">
        <x:f>SUMIFS('Priced Usage'!$G$7:$G$3366,'Priced Usage'!$B$7:$B$3366,$A85,'Priced Usage'!$D$7:$D$3366,$B85)</x:f>
        <x:v>570654</x:v>
      </x:c>
      <x:c r="D85" s="29" t="n">
        <x:f>SUMIFS('Priced Usage'!$H$7:$H$3366,'Priced Usage'!$B$7:$B$3366,$A85,'Priced Usage'!$D$7:$D$3366,$B85)</x:f>
        <x:v>135751</x:v>
      </x:c>
      <x:c r="E85" s="29" t="n">
        <x:f>SUMIFS('Priced Usage'!$L$7:$L$3366,'Priced Usage'!$B$7:$B$3366,$A85,'Priced Usage'!$D$7:$D$3366,$B85)</x:f>
        <x:v>706405</x:v>
      </x:c>
      <x:c r="F85" s="30" t="n">
        <x:f>SUMIFS('Priced Usage'!$M$7:$M$3366,'Priced Usage'!$B$7:$B$3366,$A85,'Priced Usage'!$D$7:$D$3366,$B85)</x:f>
        <x:v>7.90059</x:v>
      </x:c>
      <x:c r="G85" s="30" t="n">
        <x:f>SUMIFS('Priced Usage'!$N$7:$N$3366,'Priced Usage'!$B$7:$B$3366,$A85,'Priced Usage'!$D$7:$D$3366,$B85)</x:f>
        <x:v>5.863130000000002</x:v>
      </x:c>
      <x:c r="H85" s="30" t="n">
        <x:f>SUMIFS('Priced Usage'!$O$7:$O$3366,'Priced Usage'!$B$7:$B$3366,$A85,'Priced Usage'!$D$7:$D$3366,$B85)</x:f>
        <x:v>13.76372</x:v>
      </x:c>
      <x:c r="I85" s="29" t="n">
        <x:f>COUNTIFS('Priced Usage'!$B$7:$B$3366,$A85,'Priced Usage'!$D$7:$D$3366,$B85)</x:f>
        <x:v>23</x:v>
      </x:c>
      <x:c r="J85" s="29" t="n">
        <x:f>COUNTIFS('Priced Usage'!$B$7:$B$3366,$A85,'Priced Usage'!$D$7:$D$3366,$B85,'Priced Usage'!$I$7:$I$3366,"Correction")</x:f>
        <x:v>5</x:v>
      </x:c>
      <x:c r="K85" s="31" t="n">
        <x:f>IF(I85=0,"N/A",J85/I85)</x:f>
        <x:v>0.21739130434782608</x:v>
      </x:c>
    </x:row>
    <x:row r="86" ht="23" customHeight="1">
      <x:c r="A86" s="18" t="n">
        <x:v>46294</x:v>
      </x:c>
      <x:c r="B86" s="17" t="str">
        <x:v>C004</x:v>
      </x:c>
      <x:c r="C86" s="29" t="n">
        <x:f>SUMIFS('Priced Usage'!$G$7:$G$3366,'Priced Usage'!$B$7:$B$3366,$A86,'Priced Usage'!$D$7:$D$3366,$B86)</x:f>
        <x:v>400139</x:v>
      </x:c>
      <x:c r="D86" s="29" t="n">
        <x:f>SUMIFS('Priced Usage'!$H$7:$H$3366,'Priced Usage'!$B$7:$B$3366,$A86,'Priced Usage'!$D$7:$D$3366,$B86)</x:f>
        <x:v>102744</x:v>
      </x:c>
      <x:c r="E86" s="29" t="n">
        <x:f>SUMIFS('Priced Usage'!$L$7:$L$3366,'Priced Usage'!$B$7:$B$3366,$A86,'Priced Usage'!$D$7:$D$3366,$B86)</x:f>
        <x:v>502883</x:v>
      </x:c>
      <x:c r="F86" s="30" t="n">
        <x:f>SUMIFS('Priced Usage'!$M$7:$M$3366,'Priced Usage'!$B$7:$B$3366,$A86,'Priced Usage'!$D$7:$D$3366,$B86)</x:f>
        <x:v>7.35473</x:v>
      </x:c>
      <x:c r="G86" s="30" t="n">
        <x:f>SUMIFS('Priced Usage'!$N$7:$N$3366,'Priced Usage'!$B$7:$B$3366,$A86,'Priced Usage'!$D$7:$D$3366,$B86)</x:f>
        <x:v>6.514419999999999</x:v>
      </x:c>
      <x:c r="H86" s="30" t="n">
        <x:f>SUMIFS('Priced Usage'!$O$7:$O$3366,'Priced Usage'!$B$7:$B$3366,$A86,'Priced Usage'!$D$7:$D$3366,$B86)</x:f>
        <x:v>13.869150000000001</x:v>
      </x:c>
      <x:c r="I86" s="29" t="n">
        <x:f>COUNTIFS('Priced Usage'!$B$7:$B$3366,$A86,'Priced Usage'!$D$7:$D$3366,$B86)</x:f>
        <x:v>18</x:v>
      </x:c>
      <x:c r="J86" s="29" t="n">
        <x:f>COUNTIFS('Priced Usage'!$B$7:$B$3366,$A86,'Priced Usage'!$D$7:$D$3366,$B86,'Priced Usage'!$I$7:$I$3366,"Correction")</x:f>
        <x:v>3</x:v>
      </x:c>
      <x:c r="K86" s="31" t="n">
        <x:f>IF(I86=0,"N/A",J86/I86)</x:f>
        <x:v>0.16666666666666666</x:v>
      </x:c>
    </x:row>
    <x:row r="87" ht="23" customHeight="1">
      <x:c r="A87" s="18" t="n">
        <x:v>46295</x:v>
      </x:c>
      <x:c r="B87" s="17" t="str">
        <x:v>C001</x:v>
      </x:c>
      <x:c r="C87" s="29" t="n">
        <x:f>SUMIFS('Priced Usage'!$G$7:$G$3366,'Priced Usage'!$B$7:$B$3366,$A87,'Priced Usage'!$D$7:$D$3366,$B87)</x:f>
        <x:v>354323</x:v>
      </x:c>
      <x:c r="D87" s="29" t="n">
        <x:f>SUMIFS('Priced Usage'!$H$7:$H$3366,'Priced Usage'!$B$7:$B$3366,$A87,'Priced Usage'!$D$7:$D$3366,$B87)</x:f>
        <x:v>58381</x:v>
      </x:c>
      <x:c r="E87" s="29" t="n">
        <x:f>SUMIFS('Priced Usage'!$L$7:$L$3366,'Priced Usage'!$B$7:$B$3366,$A87,'Priced Usage'!$D$7:$D$3366,$B87)</x:f>
        <x:v>412704</x:v>
      </x:c>
      <x:c r="F87" s="30" t="n">
        <x:f>SUMIFS('Priced Usage'!$M$7:$M$3366,'Priced Usage'!$B$7:$B$3366,$A87,'Priced Usage'!$D$7:$D$3366,$B87)</x:f>
        <x:v>3.5432300000000003</x:v>
      </x:c>
      <x:c r="G87" s="30" t="n">
        <x:f>SUMIFS('Priced Usage'!$N$7:$N$3366,'Priced Usage'!$B$7:$B$3366,$A87,'Priced Usage'!$D$7:$D$3366,$B87)</x:f>
        <x:v>1.75143</x:v>
      </x:c>
      <x:c r="H87" s="30" t="n">
        <x:f>SUMIFS('Priced Usage'!$O$7:$O$3366,'Priced Usage'!$B$7:$B$3366,$A87,'Priced Usage'!$D$7:$D$3366,$B87)</x:f>
        <x:v>5.29466</x:v>
      </x:c>
      <x:c r="I87" s="29" t="n">
        <x:f>COUNTIFS('Priced Usage'!$B$7:$B$3366,$A87,'Priced Usage'!$D$7:$D$3366,$B87)</x:f>
        <x:v>9</x:v>
      </x:c>
      <x:c r="J87" s="29" t="n">
        <x:f>COUNTIFS('Priced Usage'!$B$7:$B$3366,$A87,'Priced Usage'!$D$7:$D$3366,$B87,'Priced Usage'!$I$7:$I$3366,"Correction")</x:f>
        <x:v>5</x:v>
      </x:c>
      <x:c r="K87" s="31" t="n">
        <x:f>IF(I87=0,"N/A",J87/I87)</x:f>
        <x:v>0.5555555555555556</x:v>
      </x:c>
    </x:row>
    <x:row r="88" ht="23" customHeight="1">
      <x:c r="A88" s="18" t="n">
        <x:v>46295</x:v>
      </x:c>
      <x:c r="B88" s="17" t="str">
        <x:v>C002</x:v>
      </x:c>
      <x:c r="C88" s="29" t="n">
        <x:f>SUMIFS('Priced Usage'!$G$7:$G$3366,'Priced Usage'!$B$7:$B$3366,$A88,'Priced Usage'!$D$7:$D$3366,$B88)</x:f>
        <x:v>257802</x:v>
      </x:c>
      <x:c r="D88" s="29" t="n">
        <x:f>SUMIFS('Priced Usage'!$H$7:$H$3366,'Priced Usage'!$B$7:$B$3366,$A88,'Priced Usage'!$D$7:$D$3366,$B88)</x:f>
        <x:v>109063</x:v>
      </x:c>
      <x:c r="E88" s="29" t="n">
        <x:f>SUMIFS('Priced Usage'!$L$7:$L$3366,'Priced Usage'!$B$7:$B$3366,$A88,'Priced Usage'!$D$7:$D$3366,$B88)</x:f>
        <x:v>366865</x:v>
      </x:c>
      <x:c r="F88" s="30" t="n">
        <x:f>SUMIFS('Priced Usage'!$M$7:$M$3366,'Priced Usage'!$B$7:$B$3366,$A88,'Priced Usage'!$D$7:$D$3366,$B88)</x:f>
        <x:v>5.6208</x:v>
      </x:c>
      <x:c r="G88" s="30" t="n">
        <x:f>SUMIFS('Priced Usage'!$N$7:$N$3366,'Priced Usage'!$B$7:$B$3366,$A88,'Priced Usage'!$D$7:$D$3366,$B88)</x:f>
        <x:v>8.99691</x:v>
      </x:c>
      <x:c r="H88" s="30" t="n">
        <x:f>SUMIFS('Priced Usage'!$O$7:$O$3366,'Priced Usage'!$B$7:$B$3366,$A88,'Priced Usage'!$D$7:$D$3366,$B88)</x:f>
        <x:v>14.617710000000002</x:v>
      </x:c>
      <x:c r="I88" s="29" t="n">
        <x:f>COUNTIFS('Priced Usage'!$B$7:$B$3366,$A88,'Priced Usage'!$D$7:$D$3366,$B88)</x:f>
        <x:v>13</x:v>
      </x:c>
      <x:c r="J88" s="29" t="n">
        <x:f>COUNTIFS('Priced Usage'!$B$7:$B$3366,$A88,'Priced Usage'!$D$7:$D$3366,$B88,'Priced Usage'!$I$7:$I$3366,"Correction")</x:f>
        <x:v>6</x:v>
      </x:c>
      <x:c r="K88" s="31" t="n">
        <x:f>IF(I88=0,"N/A",J88/I88)</x:f>
        <x:v>0.46153846153846156</x:v>
      </x:c>
    </x:row>
    <x:row r="89" ht="23" customHeight="1">
      <x:c r="A89" s="18" t="n">
        <x:v>46295</x:v>
      </x:c>
      <x:c r="B89" s="17" t="str">
        <x:v>C003</x:v>
      </x:c>
      <x:c r="C89" s="29" t="n">
        <x:f>SUMIFS('Priced Usage'!$G$7:$G$3366,'Priced Usage'!$B$7:$B$3366,$A89,'Priced Usage'!$D$7:$D$3366,$B89)</x:f>
        <x:v>174068</x:v>
      </x:c>
      <x:c r="D89" s="29" t="n">
        <x:f>SUMIFS('Priced Usage'!$H$7:$H$3366,'Priced Usage'!$B$7:$B$3366,$A89,'Priced Usage'!$D$7:$D$3366,$B89)</x:f>
        <x:v>36625</x:v>
      </x:c>
      <x:c r="E89" s="29" t="n">
        <x:f>SUMIFS('Priced Usage'!$L$7:$L$3366,'Priced Usage'!$B$7:$B$3366,$A89,'Priced Usage'!$D$7:$D$3366,$B89)</x:f>
        <x:v>210693</x:v>
      </x:c>
      <x:c r="F89" s="30" t="n">
        <x:f>SUMIFS('Priced Usage'!$M$7:$M$3366,'Priced Usage'!$B$7:$B$3366,$A89,'Priced Usage'!$D$7:$D$3366,$B89)</x:f>
        <x:v>1.74068</x:v>
      </x:c>
      <x:c r="G89" s="30" t="n">
        <x:f>SUMIFS('Priced Usage'!$N$7:$N$3366,'Priced Usage'!$B$7:$B$3366,$A89,'Priced Usage'!$D$7:$D$3366,$B89)</x:f>
        <x:v>1.0987500000000001</x:v>
      </x:c>
      <x:c r="H89" s="30" t="n">
        <x:f>SUMIFS('Priced Usage'!$O$7:$O$3366,'Priced Usage'!$B$7:$B$3366,$A89,'Priced Usage'!$D$7:$D$3366,$B89)</x:f>
        <x:v>2.83943</x:v>
      </x:c>
      <x:c r="I89" s="29" t="n">
        <x:f>COUNTIFS('Priced Usage'!$B$7:$B$3366,$A89,'Priced Usage'!$D$7:$D$3366,$B89)</x:f>
        <x:v>7</x:v>
      </x:c>
      <x:c r="J89" s="29" t="n">
        <x:f>COUNTIFS('Priced Usage'!$B$7:$B$3366,$A89,'Priced Usage'!$D$7:$D$3366,$B89,'Priced Usage'!$I$7:$I$3366,"Correction")</x:f>
        <x:v>3</x:v>
      </x:c>
      <x:c r="K89" s="31" t="n">
        <x:f>IF(I89=0,"N/A",J89/I89)</x:f>
        <x:v>0.42857142857142855</x:v>
      </x:c>
    </x:row>
    <x:row r="90" ht="23" customHeight="1">
      <x:c r="A90" s="18" t="n">
        <x:v>46295</x:v>
      </x:c>
      <x:c r="B90" s="17" t="str">
        <x:v>C004</x:v>
      </x:c>
      <x:c r="C90" s="29" t="n">
        <x:f>SUMIFS('Priced Usage'!$G$7:$G$3366,'Priced Usage'!$B$7:$B$3366,$A90,'Priced Usage'!$D$7:$D$3366,$B90)</x:f>
        <x:v>260397</x:v>
      </x:c>
      <x:c r="D90" s="29" t="n">
        <x:f>SUMIFS('Priced Usage'!$H$7:$H$3366,'Priced Usage'!$B$7:$B$3366,$A90,'Priced Usage'!$D$7:$D$3366,$B90)</x:f>
        <x:v>81229</x:v>
      </x:c>
      <x:c r="E90" s="29" t="n">
        <x:f>SUMIFS('Priced Usage'!$L$7:$L$3366,'Priced Usage'!$B$7:$B$3366,$A90,'Priced Usage'!$D$7:$D$3366,$B90)</x:f>
        <x:v>341626</x:v>
      </x:c>
      <x:c r="F90" s="30" t="n">
        <x:f>SUMIFS('Priced Usage'!$M$7:$M$3366,'Priced Usage'!$B$7:$B$3366,$A90,'Priced Usage'!$D$7:$D$3366,$B90)</x:f>
        <x:v>5.23734</x:v>
      </x:c>
      <x:c r="G90" s="30" t="n">
        <x:f>SUMIFS('Priced Usage'!$N$7:$N$3366,'Priced Usage'!$B$7:$B$3366,$A90,'Priced Usage'!$D$7:$D$3366,$B90)</x:f>
        <x:v>5.651689999999999</x:v>
      </x:c>
      <x:c r="H90" s="30" t="n">
        <x:f>SUMIFS('Priced Usage'!$O$7:$O$3366,'Priced Usage'!$B$7:$B$3366,$A90,'Priced Usage'!$D$7:$D$3366,$B90)</x:f>
        <x:v>10.889029999999998</x:v>
      </x:c>
      <x:c r="I90" s="29" t="n">
        <x:f>COUNTIFS('Priced Usage'!$B$7:$B$3366,$A90,'Priced Usage'!$D$7:$D$3366,$B90)</x:f>
        <x:v>10</x:v>
      </x:c>
      <x:c r="J90" s="29" t="n">
        <x:f>COUNTIFS('Priced Usage'!$B$7:$B$3366,$A90,'Priced Usage'!$D$7:$D$3366,$B90,'Priced Usage'!$I$7:$I$3366,"Correction")</x:f>
        <x:v>3</x:v>
      </x:c>
      <x:c r="K90" s="31" t="n">
        <x:f>IF(I90=0,"N/A",J90/I90)</x:f>
        <x:v>0.3</x:v>
      </x:c>
    </x:row>
  </x:sheetData>
  <x:pageMargins left="0.7" right="0.7" top="0.75" bottom="0.75" header="0.3" footer="0.3"/>
  <x:tableParts count="1">
    <x:tablePart xmlns:r="http://schemas.openxmlformats.org/officeDocument/2006/relationships" r:id="R9743405782d84b55"/>
  </x:tableParts>
</x:worksheet>
</file>

<file path=xl/worksheets/sheet6.xml><?xml version="1.0" encoding="utf-8"?>
<x:worksheet xmlns:x="http://schemas.openxmlformats.org/spreadsheetml/2006/main">
  <x:sheetPr>
    <x:tabColor rgb="FF5C7F9D"/>
  </x:sheetPr>
  <x:sheetViews>
    <x:sheetView showGridLines="0" workbookViewId="0">
      <x:pane xSplit="2" ySplit="6" topLeftCell="C7" activePane="bottomRight" state="frozen"/>
    </x:sheetView>
  </x:sheetViews>
  <x:sheetFormatPr defaultRowHeight="15"/>
  <x:cols>
    <x:col min="1" max="1" width="18" hidden="0" customWidth="1"/>
    <x:col min="2" max="2" width="18" hidden="0" customWidth="1"/>
    <x:col min="3" max="3" width="18" hidden="0" customWidth="1"/>
    <x:col min="4" max="4" width="24" hidden="0" customWidth="1"/>
    <x:col min="5" max="5" width="24" hidden="0" customWidth="1"/>
    <x:col min="6" max="6" width="30"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s>
  <x:sheetData>
    <x:row r="1" ht="23"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row>
    <x:row r="2" ht="29" customHeight="1">
      <x:c r="A2" s="4" t="str">
        <x:v>Clean tasks and value calculations</x:v>
      </x:c>
      <x:c r="B2" s="3"/>
      <x:c r="C2" s="3"/>
      <x:c r="D2" s="3"/>
      <x:c r="E2" s="3"/>
      <x:c r="F2" s="3"/>
      <x:c r="G2" s="3"/>
      <x:c r="H2" s="3"/>
      <x:c r="I2" s="3"/>
      <x:c r="J2" s="3"/>
      <x:c r="K2" s="3"/>
      <x:c r="L2" s="3"/>
      <x:c r="M2" s="3"/>
      <x:c r="N2" s="3"/>
      <x:c r="O2" s="3"/>
      <x:c r="P2" s="3"/>
      <x:c r="Q2" s="3"/>
      <x:c r="R2" s="3"/>
      <x:c r="S2" s="3"/>
      <x:c r="T2" s="3"/>
      <x:c r="U2" s="3"/>
      <x:c r="V2" s="3"/>
      <x:c r="W2" s="3"/>
      <x:c r="X2" s="3"/>
      <x:c r="Y2" s="3"/>
      <x:c r="Z2" s="3"/>
      <x:c r="AA2" s="3"/>
    </x:row>
    <x:row r="3" ht="23" customHeight="1">
      <x:c r="A3" s="3"/>
      <x:c r="B3" s="3"/>
      <x:c r="C3" s="3"/>
      <x:c r="D3" s="3"/>
      <x:c r="E3" s="3"/>
      <x:c r="F3" s="3"/>
      <x:c r="G3" s="3"/>
      <x:c r="H3" s="3"/>
      <x:c r="I3" s="3"/>
      <x:c r="J3" s="3"/>
      <x:c r="K3" s="3"/>
      <x:c r="L3" s="3"/>
      <x:c r="M3" s="3"/>
      <x:c r="N3" s="3"/>
      <x:c r="O3" s="3"/>
      <x:c r="P3" s="3"/>
      <x:c r="Q3" s="3"/>
      <x:c r="R3" s="3"/>
      <x:c r="S3" s="3"/>
      <x:c r="T3" s="3"/>
      <x:c r="U3" s="3"/>
      <x:c r="V3" s="3"/>
      <x:c r="W3" s="3"/>
      <x:c r="X3" s="3"/>
      <x:c r="Y3" s="3"/>
      <x:c r="Z3" s="3"/>
      <x:c r="AA3" s="3"/>
    </x:row>
    <x:row r="4" ht="23" customHeight="1">
      <x:c r="A4" s="5" t="str">
        <x:v>One row per completed task. Rework is already included in actual hours. No campaign revenue is allocated to tasks.</x:v>
      </x:c>
      <x:c r="B4" s="3"/>
      <x:c r="C4" s="3"/>
      <x:c r="D4" s="3"/>
      <x:c r="E4" s="3"/>
      <x:c r="F4" s="3"/>
      <x:c r="G4" s="3"/>
      <x:c r="H4" s="3"/>
      <x:c r="I4" s="3"/>
      <x:c r="J4" s="3"/>
      <x:c r="K4" s="3"/>
      <x:c r="L4" s="3"/>
      <x:c r="M4" s="3"/>
      <x:c r="N4" s="3"/>
      <x:c r="O4" s="3"/>
      <x:c r="P4" s="3"/>
      <x:c r="Q4" s="3"/>
      <x:c r="R4" s="3"/>
      <x:c r="S4" s="3"/>
      <x:c r="T4" s="3"/>
      <x:c r="U4" s="3"/>
      <x:c r="V4" s="3"/>
      <x:c r="W4" s="3"/>
      <x:c r="X4" s="3"/>
      <x:c r="Y4" s="3"/>
      <x:c r="Z4" s="3"/>
      <x:c r="AA4" s="3"/>
    </x:row>
    <x:row r="5" ht="23" customHeight="1">
      <x:c r="A5" s="3"/>
      <x:c r="B5" s="3"/>
      <x:c r="C5" s="3"/>
      <x:c r="D5" s="3"/>
      <x:c r="E5" s="3"/>
      <x:c r="F5" s="3"/>
      <x:c r="G5" s="3"/>
      <x:c r="H5" s="3"/>
      <x:c r="I5" s="3"/>
      <x:c r="J5" s="3"/>
      <x:c r="K5" s="3"/>
      <x:c r="L5" s="3"/>
      <x:c r="M5" s="3"/>
      <x:c r="N5" s="3"/>
      <x:c r="O5" s="3"/>
      <x:c r="P5" s="3"/>
      <x:c r="Q5" s="3"/>
      <x:c r="R5" s="3"/>
      <x:c r="S5" s="3"/>
      <x:c r="T5" s="3"/>
      <x:c r="U5" s="3"/>
      <x:c r="V5" s="3"/>
      <x:c r="W5" s="3"/>
      <x:c r="X5" s="3"/>
      <x:c r="Y5" s="3"/>
      <x:c r="Z5" s="3"/>
      <x:c r="AA5" s="3"/>
    </x:row>
    <x:row r="6" ht="44" customHeight="1">
      <x:c r="A6" s="14" t="str">
        <x:v>work_item_id</x:v>
      </x:c>
      <x:c r="B6" s="15" t="str">
        <x:v>completion_date</x:v>
      </x:c>
      <x:c r="C6" s="15" t="str">
        <x:v>campaign_id</x:v>
      </x:c>
      <x:c r="D6" s="15" t="str">
        <x:v>department</x:v>
      </x:c>
      <x:c r="E6" s="15" t="str">
        <x:v>employee</x:v>
      </x:c>
      <x:c r="F6" s="15" t="str">
        <x:v>task_type</x:v>
      </x:c>
      <x:c r="G6" s="15" t="str">
        <x:v>baseline_hours</x:v>
      </x:c>
      <x:c r="H6" s="15" t="str">
        <x:v>actual_hours</x:v>
      </x:c>
      <x:c r="I6" s="15" t="str">
        <x:v>rework_hours</x:v>
      </x:c>
      <x:c r="J6" s="15" t="str">
        <x:v>issue_tag</x:v>
      </x:c>
      <x:c r="K6" s="15" t="str">
        <x:v>brief_changed</x:v>
      </x:c>
      <x:c r="L6" s="15" t="str">
        <x:v>prompt_template_used</x:v>
      </x:c>
      <x:c r="M6" s="15" t="str">
        <x:v>product</x:v>
      </x:c>
      <x:c r="N6" s="15" t="str">
        <x:v>model</x:v>
      </x:c>
      <x:c r="O6" s="15" t="str">
        <x:v>input_tokens</x:v>
      </x:c>
      <x:c r="P6" s="15" t="str">
        <x:v>output_tokens</x:v>
      </x:c>
      <x:c r="Q6" s="15" t="str">
        <x:v>total_tokens</x:v>
      </x:c>
      <x:c r="R6" s="15" t="str">
        <x:v>prompt_count</x:v>
      </x:c>
      <x:c r="S6" s="15" t="str">
        <x:v>input_cost_usd</x:v>
      </x:c>
      <x:c r="T6" s="15" t="str">
        <x:v>output_cost_usd</x:v>
      </x:c>
      <x:c r="U6" s="15" t="str">
        <x:v>ai_cost_usd</x:v>
      </x:c>
      <x:c r="V6" s="15" t="str">
        <x:v>first_attempt_prompts</x:v>
      </x:c>
      <x:c r="W6" s="15" t="str">
        <x:v>followup_prompts</x:v>
      </x:c>
      <x:c r="X6" s="15" t="str">
        <x:v>correction_prompts</x:v>
      </x:c>
      <x:c r="Y6" s="15" t="str">
        <x:v>hours_saved</x:v>
      </x:c>
      <x:c r="Z6" s="15" t="str">
        <x:v>time_value_usd</x:v>
      </x:c>
      <x:c r="AA6" s="16" t="str">
        <x:v>net_ai_value_usd</x:v>
      </x:c>
    </x:row>
    <x:row r="7" ht="23" customHeight="1">
      <x:c r="A7" s="17" t="str">
        <x:v>W0001</x:v>
      </x:c>
      <x:c r="B7" s="18" t="n">
        <x:v>46275</x:v>
      </x:c>
      <x:c r="C7" s="17" t="str">
        <x:v>C001</x:v>
      </x:c>
      <x:c r="D7" s="17" t="str">
        <x:v>Content</x:v>
      </x:c>
      <x:c r="E7" s="17" t="str">
        <x:v>Avery Morgan</x:v>
      </x:c>
      <x:c r="F7" s="17" t="str">
        <x:v>Write ad copy</x:v>
      </x:c>
      <x:c r="G7" s="20" t="n">
        <x:v>4.57</x:v>
      </x:c>
      <x:c r="H7" s="20" t="n">
        <x:v>4.75</x:v>
      </x:c>
      <x:c r="I7" s="20" t="n">
        <x:v>0.65</x:v>
      </x:c>
      <x:c r="J7" s="17" t="str">
        <x:v>Data problem</x:v>
      </x:c>
      <x:c r="K7" s="17" t="str">
        <x:v>No</x:v>
      </x:c>
      <x:c r="L7" s="17" t="str">
        <x:v>Yes</x:v>
      </x:c>
      <x:c r="M7" s="29" t="str">
        <x:f>INDEX('Prompt Totals'!$C$7:$C$246,MATCH($A7,'Prompt Totals'!$A$7:$A$246,0))</x:f>
        <x:v>CopyStudio</x:v>
      </x:c>
      <x:c r="N7" s="29" t="str">
        <x:f>INDEX('Prompt Totals'!$D$7:$D$246,MATCH($A7,'Prompt Totals'!$A$7:$A$246,0))</x:f>
        <x:v>Pro</x:v>
      </x:c>
      <x:c r="O7" s="29" t="n">
        <x:f>INDEX('Prompt Totals'!$E$7:$E$246,MATCH($A7,'Prompt Totals'!$A$7:$A$246,0))</x:f>
        <x:v>258261</x:v>
      </x:c>
      <x:c r="P7" s="29" t="n">
        <x:f>INDEX('Prompt Totals'!$F$7:$F$246,MATCH($A7,'Prompt Totals'!$A$7:$A$246,0))</x:f>
        <x:v>113210</x:v>
      </x:c>
      <x:c r="Q7" s="29" t="n">
        <x:f>INDEX('Prompt Totals'!$G$7:$G$246,MATCH($A7,'Prompt Totals'!$A$7:$A$246,0))</x:f>
        <x:v>371471</x:v>
      </x:c>
      <x:c r="R7" s="29" t="n">
        <x:f>INDEX('Prompt Totals'!$H$7:$H$246,MATCH($A7,'Prompt Totals'!$A$7:$A$246,0))</x:f>
        <x:v>12</x:v>
      </x:c>
      <x:c r="S7" s="30" t="n">
        <x:f>INDEX('Prompt Totals'!$I$7:$I$246,MATCH($A7,'Prompt Totals'!$A$7:$A$246,0))</x:f>
        <x:v>10.33044</x:v>
      </x:c>
      <x:c r="T7" s="30" t="n">
        <x:f>INDEX('Prompt Totals'!$J$7:$J$246,MATCH($A7,'Prompt Totals'!$A$7:$A$246,0))</x:f>
        <x:v>11.321</x:v>
      </x:c>
      <x:c r="U7" s="30" t="n">
        <x:f>INDEX('Prompt Totals'!$K$7:$K$246,MATCH($A7,'Prompt Totals'!$A$7:$A$246,0))</x:f>
        <x:v>21.65144</x:v>
      </x:c>
      <x:c r="V7" s="29" t="n">
        <x:f>INDEX('Prompt Totals'!$L$7:$L$246,MATCH($A7,'Prompt Totals'!$A$7:$A$246,0))</x:f>
        <x:v>1</x:v>
      </x:c>
      <x:c r="W7" s="29" t="n">
        <x:f>INDEX('Prompt Totals'!$M$7:$M$246,MATCH($A7,'Prompt Totals'!$A$7:$A$246,0))</x:f>
        <x:v>9</x:v>
      </x:c>
      <x:c r="X7" s="29" t="n">
        <x:f>INDEX('Prompt Totals'!$N$7:$N$246,MATCH($A7,'Prompt Totals'!$A$7:$A$246,0))</x:f>
        <x:v>2</x:v>
      </x:c>
      <x:c r="Y7" s="19" t="n">
        <x:f>G7-H7</x:f>
        <x:v>-0.17999999999999972</x:v>
      </x:c>
      <x:c r="Z7" s="30" t="n">
        <x:f>Y7*'Solution'!$C$5</x:f>
        <x:v>-8.999999999999986</x:v>
      </x:c>
      <x:c r="AA7" s="22" t="n">
        <x:f>Z7-U7</x:f>
        <x:v>-30.651439999999987</x:v>
      </x:c>
    </x:row>
    <x:row r="8" ht="23" customHeight="1">
      <x:c r="A8" s="17" t="str">
        <x:v>W0002</x:v>
      </x:c>
      <x:c r="B8" s="18" t="n">
        <x:v>46286</x:v>
      </x:c>
      <x:c r="C8" s="17" t="str">
        <x:v>C001</x:v>
      </x:c>
      <x:c r="D8" s="17" t="str">
        <x:v>Content</x:v>
      </x:c>
      <x:c r="E8" s="17" t="str">
        <x:v>Jordan Ellis</x:v>
      </x:c>
      <x:c r="F8" s="17" t="str">
        <x:v>Draft email sequence</x:v>
      </x:c>
      <x:c r="G8" s="20" t="n">
        <x:v>4.11</x:v>
      </x:c>
      <x:c r="H8" s="20" t="n">
        <x:v>4.62</x:v>
      </x:c>
      <x:c r="I8" s="20" t="n">
        <x:v>0.33</x:v>
      </x:c>
      <x:c r="J8" s="17" t="str">
        <x:v>Unclear prompt</x:v>
      </x:c>
      <x:c r="K8" s="17" t="str">
        <x:v>No</x:v>
      </x:c>
      <x:c r="L8" s="17" t="str">
        <x:v>Yes</x:v>
      </x:c>
      <x:c r="M8" s="29" t="str">
        <x:f>INDEX('Prompt Totals'!$C$7:$C$246,MATCH($A8,'Prompt Totals'!$A$7:$A$246,0))</x:f>
        <x:v>CopyStudio</x:v>
      </x:c>
      <x:c r="N8" s="29" t="str">
        <x:f>INDEX('Prompt Totals'!$D$7:$D$246,MATCH($A8,'Prompt Totals'!$A$7:$A$246,0))</x:f>
        <x:v>Lite</x:v>
      </x:c>
      <x:c r="O8" s="29" t="n">
        <x:f>INDEX('Prompt Totals'!$E$7:$E$246,MATCH($A8,'Prompt Totals'!$A$7:$A$246,0))</x:f>
        <x:v>539899</x:v>
      </x:c>
      <x:c r="P8" s="29" t="n">
        <x:f>INDEX('Prompt Totals'!$F$7:$F$246,MATCH($A8,'Prompt Totals'!$A$7:$A$246,0))</x:f>
        <x:v>94901</x:v>
      </x:c>
      <x:c r="Q8" s="29" t="n">
        <x:f>INDEX('Prompt Totals'!$G$7:$G$246,MATCH($A8,'Prompt Totals'!$A$7:$A$246,0))</x:f>
        <x:v>634800</x:v>
      </x:c>
      <x:c r="R8" s="29" t="n">
        <x:f>INDEX('Prompt Totals'!$H$7:$H$246,MATCH($A8,'Prompt Totals'!$A$7:$A$246,0))</x:f>
        <x:v>11</x:v>
      </x:c>
      <x:c r="S8" s="30" t="n">
        <x:f>INDEX('Prompt Totals'!$I$7:$I$246,MATCH($A8,'Prompt Totals'!$A$7:$A$246,0))</x:f>
        <x:v>5.3989899999999995</x:v>
      </x:c>
      <x:c r="T8" s="30" t="n">
        <x:f>INDEX('Prompt Totals'!$J$7:$J$246,MATCH($A8,'Prompt Totals'!$A$7:$A$246,0))</x:f>
        <x:v>2.84703</x:v>
      </x:c>
      <x:c r="U8" s="30" t="n">
        <x:f>INDEX('Prompt Totals'!$K$7:$K$246,MATCH($A8,'Prompt Totals'!$A$7:$A$246,0))</x:f>
        <x:v>8.24602</x:v>
      </x:c>
      <x:c r="V8" s="29" t="n">
        <x:f>INDEX('Prompt Totals'!$L$7:$L$246,MATCH($A8,'Prompt Totals'!$A$7:$A$246,0))</x:f>
        <x:v>1</x:v>
      </x:c>
      <x:c r="W8" s="29" t="n">
        <x:f>INDEX('Prompt Totals'!$M$7:$M$246,MATCH($A8,'Prompt Totals'!$A$7:$A$246,0))</x:f>
        <x:v>9</x:v>
      </x:c>
      <x:c r="X8" s="29" t="n">
        <x:f>INDEX('Prompt Totals'!$N$7:$N$246,MATCH($A8,'Prompt Totals'!$A$7:$A$246,0))</x:f>
        <x:v>1</x:v>
      </x:c>
      <x:c r="Y8" s="19" t="n">
        <x:f>G8-H8</x:f>
        <x:v>-0.5099999999999998</x:v>
      </x:c>
      <x:c r="Z8" s="30" t="n">
        <x:f>Y8*'Solution'!$C$5</x:f>
        <x:v>-25.49999999999999</x:v>
      </x:c>
      <x:c r="AA8" s="22" t="n">
        <x:f>Z8-U8</x:f>
        <x:v>-33.74601999999999</x:v>
      </x:c>
    </x:row>
    <x:row r="9" ht="23" customHeight="1">
      <x:c r="A9" s="17" t="str">
        <x:v>W0003</x:v>
      </x:c>
      <x:c r="B9" s="18" t="n">
        <x:v>46295</x:v>
      </x:c>
      <x:c r="C9" s="17" t="str">
        <x:v>C001</x:v>
      </x:c>
      <x:c r="D9" s="17" t="str">
        <x:v>Creative</x:v>
      </x:c>
      <x:c r="E9" s="17" t="str">
        <x:v>Riley Chen</x:v>
      </x:c>
      <x:c r="F9" s="17" t="str">
        <x:v>Plan visual narrative</x:v>
      </x:c>
      <x:c r="G9" s="20" t="n">
        <x:v>2.76</x:v>
      </x:c>
      <x:c r="H9" s="20" t="n">
        <x:v>2.95</x:v>
      </x:c>
      <x:c r="I9" s="20" t="n">
        <x:v>0.39</x:v>
      </x:c>
      <x:c r="J9" s="17" t="str">
        <x:v>Brief changed</x:v>
      </x:c>
      <x:c r="K9" s="17" t="str">
        <x:v>Yes</x:v>
      </x:c>
      <x:c r="L9" s="17" t="str">
        <x:v>Yes</x:v>
      </x:c>
      <x:c r="M9" s="29" t="str">
        <x:f>INDEX('Prompt Totals'!$C$7:$C$246,MATCH($A9,'Prompt Totals'!$A$7:$A$246,0))</x:f>
        <x:v>CampaignChat</x:v>
      </x:c>
      <x:c r="N9" s="29" t="str">
        <x:f>INDEX('Prompt Totals'!$D$7:$D$246,MATCH($A9,'Prompt Totals'!$A$7:$A$246,0))</x:f>
        <x:v>Lite</x:v>
      </x:c>
      <x:c r="O9" s="29" t="n">
        <x:f>INDEX('Prompt Totals'!$E$7:$E$246,MATCH($A9,'Prompt Totals'!$A$7:$A$246,0))</x:f>
        <x:v>294521</x:v>
      </x:c>
      <x:c r="P9" s="29" t="n">
        <x:f>INDEX('Prompt Totals'!$F$7:$F$246,MATCH($A9,'Prompt Totals'!$A$7:$A$246,0))</x:f>
        <x:v>128067</x:v>
      </x:c>
      <x:c r="Q9" s="29" t="n">
        <x:f>INDEX('Prompt Totals'!$G$7:$G$246,MATCH($A9,'Prompt Totals'!$A$7:$A$246,0))</x:f>
        <x:v>422588</x:v>
      </x:c>
      <x:c r="R9" s="29" t="n">
        <x:f>INDEX('Prompt Totals'!$H$7:$H$246,MATCH($A9,'Prompt Totals'!$A$7:$A$246,0))</x:f>
        <x:v>12</x:v>
      </x:c>
      <x:c r="S9" s="30" t="n">
        <x:f>INDEX('Prompt Totals'!$I$7:$I$246,MATCH($A9,'Prompt Totals'!$A$7:$A$246,0))</x:f>
        <x:v>2.9452100000000003</x:v>
      </x:c>
      <x:c r="T9" s="30" t="n">
        <x:f>INDEX('Prompt Totals'!$J$7:$J$246,MATCH($A9,'Prompt Totals'!$A$7:$A$246,0))</x:f>
        <x:v>3.8420099999999997</x:v>
      </x:c>
      <x:c r="U9" s="30" t="n">
        <x:f>INDEX('Prompt Totals'!$K$7:$K$246,MATCH($A9,'Prompt Totals'!$A$7:$A$246,0))</x:f>
        <x:v>6.787220000000001</x:v>
      </x:c>
      <x:c r="V9" s="29" t="n">
        <x:f>INDEX('Prompt Totals'!$L$7:$L$246,MATCH($A9,'Prompt Totals'!$A$7:$A$246,0))</x:f>
        <x:v>1</x:v>
      </x:c>
      <x:c r="W9" s="29" t="n">
        <x:f>INDEX('Prompt Totals'!$M$7:$M$246,MATCH($A9,'Prompt Totals'!$A$7:$A$246,0))</x:f>
        <x:v>9</x:v>
      </x:c>
      <x:c r="X9" s="29" t="n">
        <x:f>INDEX('Prompt Totals'!$N$7:$N$246,MATCH($A9,'Prompt Totals'!$A$7:$A$246,0))</x:f>
        <x:v>2</x:v>
      </x:c>
      <x:c r="Y9" s="19" t="n">
        <x:f>G9-H9</x:f>
        <x:v>-0.1900000000000004</x:v>
      </x:c>
      <x:c r="Z9" s="30" t="n">
        <x:f>Y9*'Solution'!$C$5</x:f>
        <x:v>-9.50000000000002</x:v>
      </x:c>
      <x:c r="AA9" s="22" t="n">
        <x:f>Z9-U9</x:f>
        <x:v>-16.28722000000002</x:v>
      </x:c>
    </x:row>
    <x:row r="10" ht="23" customHeight="1">
      <x:c r="A10" s="17" t="str">
        <x:v>W0004</x:v>
      </x:c>
      <x:c r="B10" s="18" t="n">
        <x:v>46280</x:v>
      </x:c>
      <x:c r="C10" s="17" t="str">
        <x:v>C001</x:v>
      </x:c>
      <x:c r="D10" s="17" t="str">
        <x:v>Creative</x:v>
      </x:c>
      <x:c r="E10" s="17" t="str">
        <x:v>Taylor Brooks</x:v>
      </x:c>
      <x:c r="F10" s="17" t="str">
        <x:v>Develop concept brief</x:v>
      </x:c>
      <x:c r="G10" s="20" t="n">
        <x:v>3.13</x:v>
      </x:c>
      <x:c r="H10" s="20" t="n">
        <x:v>4.19</x:v>
      </x:c>
      <x:c r="I10" s="20" t="n">
        <x:v>0.31</x:v>
      </x:c>
      <x:c r="J10" s="17" t="str">
        <x:v>None</x:v>
      </x:c>
      <x:c r="K10" s="17" t="str">
        <x:v>No</x:v>
      </x:c>
      <x:c r="L10" s="17" t="str">
        <x:v>Yes</x:v>
      </x:c>
      <x:c r="M10" s="29" t="str">
        <x:f>INDEX('Prompt Totals'!$C$7:$C$246,MATCH($A10,'Prompt Totals'!$A$7:$A$246,0))</x:f>
        <x:v>InsightDesk</x:v>
      </x:c>
      <x:c r="N10" s="29" t="str">
        <x:f>INDEX('Prompt Totals'!$D$7:$D$246,MATCH($A10,'Prompt Totals'!$A$7:$A$246,0))</x:f>
        <x:v>Pro</x:v>
      </x:c>
      <x:c r="O10" s="29" t="n">
        <x:f>INDEX('Prompt Totals'!$E$7:$E$246,MATCH($A10,'Prompt Totals'!$A$7:$A$246,0))</x:f>
        <x:v>157768</x:v>
      </x:c>
      <x:c r="P10" s="29" t="n">
        <x:f>INDEX('Prompt Totals'!$F$7:$F$246,MATCH($A10,'Prompt Totals'!$A$7:$A$246,0))</x:f>
        <x:v>70853</x:v>
      </x:c>
      <x:c r="Q10" s="29" t="n">
        <x:f>INDEX('Prompt Totals'!$G$7:$G$246,MATCH($A10,'Prompt Totals'!$A$7:$A$246,0))</x:f>
        <x:v>228621</x:v>
      </x:c>
      <x:c r="R10" s="29" t="n">
        <x:f>INDEX('Prompt Totals'!$H$7:$H$246,MATCH($A10,'Prompt Totals'!$A$7:$A$246,0))</x:f>
        <x:v>9</x:v>
      </x:c>
      <x:c r="S10" s="30" t="n">
        <x:f>INDEX('Prompt Totals'!$I$7:$I$246,MATCH($A10,'Prompt Totals'!$A$7:$A$246,0))</x:f>
        <x:v>6.310719999999999</x:v>
      </x:c>
      <x:c r="T10" s="30" t="n">
        <x:f>INDEX('Prompt Totals'!$J$7:$J$246,MATCH($A10,'Prompt Totals'!$A$7:$A$246,0))</x:f>
        <x:v>7.085299999999999</x:v>
      </x:c>
      <x:c r="U10" s="30" t="n">
        <x:f>INDEX('Prompt Totals'!$K$7:$K$246,MATCH($A10,'Prompt Totals'!$A$7:$A$246,0))</x:f>
        <x:v>13.39602</x:v>
      </x:c>
      <x:c r="V10" s="29" t="n">
        <x:f>INDEX('Prompt Totals'!$L$7:$L$246,MATCH($A10,'Prompt Totals'!$A$7:$A$246,0))</x:f>
        <x:v>1</x:v>
      </x:c>
      <x:c r="W10" s="29" t="n">
        <x:f>INDEX('Prompt Totals'!$M$7:$M$246,MATCH($A10,'Prompt Totals'!$A$7:$A$246,0))</x:f>
        <x:v>7</x:v>
      </x:c>
      <x:c r="X10" s="29" t="n">
        <x:f>INDEX('Prompt Totals'!$N$7:$N$246,MATCH($A10,'Prompt Totals'!$A$7:$A$246,0))</x:f>
        <x:v>1</x:v>
      </x:c>
      <x:c r="Y10" s="19" t="n">
        <x:f>G10-H10</x:f>
        <x:v>-1.0600000000000005</x:v>
      </x:c>
      <x:c r="Z10" s="30" t="n">
        <x:f>Y10*'Solution'!$C$5</x:f>
        <x:v>-53.00000000000003</x:v>
      </x:c>
      <x:c r="AA10" s="22" t="n">
        <x:f>Z10-U10</x:f>
        <x:v>-66.39602000000002</x:v>
      </x:c>
    </x:row>
    <x:row r="11" ht="23" customHeight="1">
      <x:c r="A11" s="17" t="str">
        <x:v>W0005</x:v>
      </x:c>
      <x:c r="B11" s="18" t="n">
        <x:v>46289</x:v>
      </x:c>
      <x:c r="C11" s="17" t="str">
        <x:v>C001</x:v>
      </x:c>
      <x:c r="D11" s="17" t="str">
        <x:v>Marketing Operations</x:v>
      </x:c>
      <x:c r="E11" s="17" t="str">
        <x:v>Casey Rivera</x:v>
      </x:c>
      <x:c r="F11" s="17" t="str">
        <x:v>Clean audience data</x:v>
      </x:c>
      <x:c r="G11" s="20" t="n">
        <x:v>4.36</x:v>
      </x:c>
      <x:c r="H11" s="20" t="n">
        <x:v>4.53</x:v>
      </x:c>
      <x:c r="I11" s="20" t="n">
        <x:v>0.65</x:v>
      </x:c>
      <x:c r="J11" s="17" t="str">
        <x:v>Unclear prompt</x:v>
      </x:c>
      <x:c r="K11" s="17" t="str">
        <x:v>No</x:v>
      </x:c>
      <x:c r="L11" s="17" t="str">
        <x:v>Yes</x:v>
      </x:c>
      <x:c r="M11" s="29" t="str">
        <x:f>INDEX('Prompt Totals'!$C$7:$C$246,MATCH($A11,'Prompt Totals'!$A$7:$A$246,0))</x:f>
        <x:v>DataFlow</x:v>
      </x:c>
      <x:c r="N11" s="29" t="str">
        <x:f>INDEX('Prompt Totals'!$D$7:$D$246,MATCH($A11,'Prompt Totals'!$A$7:$A$246,0))</x:f>
        <x:v>Lite</x:v>
      </x:c>
      <x:c r="O11" s="29" t="n">
        <x:f>INDEX('Prompt Totals'!$E$7:$E$246,MATCH($A11,'Prompt Totals'!$A$7:$A$246,0))</x:f>
        <x:v>772081</x:v>
      </x:c>
      <x:c r="P11" s="29" t="n">
        <x:f>INDEX('Prompt Totals'!$F$7:$F$246,MATCH($A11,'Prompt Totals'!$A$7:$A$246,0))</x:f>
        <x:v>111113</x:v>
      </x:c>
      <x:c r="Q11" s="29" t="n">
        <x:f>INDEX('Prompt Totals'!$G$7:$G$246,MATCH($A11,'Prompt Totals'!$A$7:$A$246,0))</x:f>
        <x:v>883194</x:v>
      </x:c>
      <x:c r="R11" s="29" t="n">
        <x:f>INDEX('Prompt Totals'!$H$7:$H$246,MATCH($A11,'Prompt Totals'!$A$7:$A$246,0))</x:f>
        <x:v>16</x:v>
      </x:c>
      <x:c r="S11" s="30" t="n">
        <x:f>INDEX('Prompt Totals'!$I$7:$I$246,MATCH($A11,'Prompt Totals'!$A$7:$A$246,0))</x:f>
        <x:v>7.72081</x:v>
      </x:c>
      <x:c r="T11" s="30" t="n">
        <x:f>INDEX('Prompt Totals'!$J$7:$J$246,MATCH($A11,'Prompt Totals'!$A$7:$A$246,0))</x:f>
        <x:v>3.3333899999999996</x:v>
      </x:c>
      <x:c r="U11" s="30" t="n">
        <x:f>INDEX('Prompt Totals'!$K$7:$K$246,MATCH($A11,'Prompt Totals'!$A$7:$A$246,0))</x:f>
        <x:v>11.054200000000002</x:v>
      </x:c>
      <x:c r="V11" s="29" t="n">
        <x:f>INDEX('Prompt Totals'!$L$7:$L$246,MATCH($A11,'Prompt Totals'!$A$7:$A$246,0))</x:f>
        <x:v>1</x:v>
      </x:c>
      <x:c r="W11" s="29" t="n">
        <x:f>INDEX('Prompt Totals'!$M$7:$M$246,MATCH($A11,'Prompt Totals'!$A$7:$A$246,0))</x:f>
        <x:v>13</x:v>
      </x:c>
      <x:c r="X11" s="29" t="n">
        <x:f>INDEX('Prompt Totals'!$N$7:$N$246,MATCH($A11,'Prompt Totals'!$A$7:$A$246,0))</x:f>
        <x:v>2</x:v>
      </x:c>
      <x:c r="Y11" s="19" t="n">
        <x:f>G11-H11</x:f>
        <x:v>-0.16999999999999993</x:v>
      </x:c>
      <x:c r="Z11" s="30" t="n">
        <x:f>Y11*'Solution'!$C$5</x:f>
        <x:v>-8.499999999999996</x:v>
      </x:c>
      <x:c r="AA11" s="22" t="n">
        <x:f>Z11-U11</x:f>
        <x:v>-19.554199999999998</x:v>
      </x:c>
    </x:row>
    <x:row r="12" ht="23" customHeight="1">
      <x:c r="A12" s="17" t="str">
        <x:v>W0006</x:v>
      </x:c>
      <x:c r="B12" s="18" t="n">
        <x:v>46274</x:v>
      </x:c>
      <x:c r="C12" s="17" t="str">
        <x:v>C001</x:v>
      </x:c>
      <x:c r="D12" s="17" t="str">
        <x:v>Marketing Operations</x:v>
      </x:c>
      <x:c r="E12" s="17" t="str">
        <x:v>Morgan Reed</x:v>
      </x:c>
      <x:c r="F12" s="17" t="str">
        <x:v>Prepare launch checklist</x:v>
      </x:c>
      <x:c r="G12" s="20" t="n">
        <x:v>4.89</x:v>
      </x:c>
      <x:c r="H12" s="20" t="n">
        <x:v>5.43</x:v>
      </x:c>
      <x:c r="I12" s="20" t="n">
        <x:v>0.44</x:v>
      </x:c>
      <x:c r="J12" s="17" t="str">
        <x:v>Unclear prompt</x:v>
      </x:c>
      <x:c r="K12" s="17" t="str">
        <x:v>No</x:v>
      </x:c>
      <x:c r="L12" s="17" t="str">
        <x:v>Yes</x:v>
      </x:c>
      <x:c r="M12" s="29" t="str">
        <x:f>INDEX('Prompt Totals'!$C$7:$C$246,MATCH($A12,'Prompt Totals'!$A$7:$A$246,0))</x:f>
        <x:v>DataFlow</x:v>
      </x:c>
      <x:c r="N12" s="29" t="str">
        <x:f>INDEX('Prompt Totals'!$D$7:$D$246,MATCH($A12,'Prompt Totals'!$A$7:$A$246,0))</x:f>
        <x:v>Lite</x:v>
      </x:c>
      <x:c r="O12" s="29" t="n">
        <x:f>INDEX('Prompt Totals'!$E$7:$E$246,MATCH($A12,'Prompt Totals'!$A$7:$A$246,0))</x:f>
        <x:v>561089</x:v>
      </x:c>
      <x:c r="P12" s="29" t="n">
        <x:f>INDEX('Prompt Totals'!$F$7:$F$246,MATCH($A12,'Prompt Totals'!$A$7:$A$246,0))</x:f>
        <x:v>114566</x:v>
      </x:c>
      <x:c r="Q12" s="29" t="n">
        <x:f>INDEX('Prompt Totals'!$G$7:$G$246,MATCH($A12,'Prompt Totals'!$A$7:$A$246,0))</x:f>
        <x:v>675655</x:v>
      </x:c>
      <x:c r="R12" s="29" t="n">
        <x:f>INDEX('Prompt Totals'!$H$7:$H$246,MATCH($A12,'Prompt Totals'!$A$7:$A$246,0))</x:f>
        <x:v>10</x:v>
      </x:c>
      <x:c r="S12" s="30" t="n">
        <x:f>INDEX('Prompt Totals'!$I$7:$I$246,MATCH($A12,'Prompt Totals'!$A$7:$A$246,0))</x:f>
        <x:v>5.6108899999999995</x:v>
      </x:c>
      <x:c r="T12" s="30" t="n">
        <x:f>INDEX('Prompt Totals'!$J$7:$J$246,MATCH($A12,'Prompt Totals'!$A$7:$A$246,0))</x:f>
        <x:v>3.43698</x:v>
      </x:c>
      <x:c r="U12" s="30" t="n">
        <x:f>INDEX('Prompt Totals'!$K$7:$K$246,MATCH($A12,'Prompt Totals'!$A$7:$A$246,0))</x:f>
        <x:v>9.04787</x:v>
      </x:c>
      <x:c r="V12" s="29" t="n">
        <x:f>INDEX('Prompt Totals'!$L$7:$L$246,MATCH($A12,'Prompt Totals'!$A$7:$A$246,0))</x:f>
        <x:v>1</x:v>
      </x:c>
      <x:c r="W12" s="29" t="n">
        <x:f>INDEX('Prompt Totals'!$M$7:$M$246,MATCH($A12,'Prompt Totals'!$A$7:$A$246,0))</x:f>
        <x:v>8</x:v>
      </x:c>
      <x:c r="X12" s="29" t="n">
        <x:f>INDEX('Prompt Totals'!$N$7:$N$246,MATCH($A12,'Prompt Totals'!$A$7:$A$246,0))</x:f>
        <x:v>1</x:v>
      </x:c>
      <x:c r="Y12" s="19" t="n">
        <x:f>G12-H12</x:f>
        <x:v>-0.54</x:v>
      </x:c>
      <x:c r="Z12" s="30" t="n">
        <x:f>Y12*'Solution'!$C$5</x:f>
        <x:v>-27</x:v>
      </x:c>
      <x:c r="AA12" s="22" t="n">
        <x:f>Z12-U12</x:f>
        <x:v>-36.04787</x:v>
      </x:c>
    </x:row>
    <x:row r="13" ht="23" customHeight="1">
      <x:c r="A13" s="17" t="str">
        <x:v>W0007</x:v>
      </x:c>
      <x:c r="B13" s="18" t="n">
        <x:v>46283</x:v>
      </x:c>
      <x:c r="C13" s="17" t="str">
        <x:v>C001</x:v>
      </x:c>
      <x:c r="D13" s="17" t="str">
        <x:v>Analytics</x:v>
      </x:c>
      <x:c r="E13" s="17" t="str">
        <x:v>Quinn Parker</x:v>
      </x:c>
      <x:c r="F13" s="17" t="str">
        <x:v>Analyze campaign results</x:v>
      </x:c>
      <x:c r="G13" s="20" t="n">
        <x:v>4.32</x:v>
      </x:c>
      <x:c r="H13" s="20" t="n">
        <x:v>5.21</x:v>
      </x:c>
      <x:c r="I13" s="20" t="n">
        <x:v>0.22</x:v>
      </x:c>
      <x:c r="J13" s="17" t="str">
        <x:v>Data problem</x:v>
      </x:c>
      <x:c r="K13" s="17" t="str">
        <x:v>No</x:v>
      </x:c>
      <x:c r="L13" s="17" t="str">
        <x:v>Yes</x:v>
      </x:c>
      <x:c r="M13" s="29" t="str">
        <x:f>INDEX('Prompt Totals'!$C$7:$C$246,MATCH($A13,'Prompt Totals'!$A$7:$A$246,0))</x:f>
        <x:v>InsightDesk</x:v>
      </x:c>
      <x:c r="N13" s="29" t="str">
        <x:f>INDEX('Prompt Totals'!$D$7:$D$246,MATCH($A13,'Prompt Totals'!$A$7:$A$246,0))</x:f>
        <x:v>Lite</x:v>
      </x:c>
      <x:c r="O13" s="29" t="n">
        <x:f>INDEX('Prompt Totals'!$E$7:$E$246,MATCH($A13,'Prompt Totals'!$A$7:$A$246,0))</x:f>
        <x:v>671183</x:v>
      </x:c>
      <x:c r="P13" s="29" t="n">
        <x:f>INDEX('Prompt Totals'!$F$7:$F$246,MATCH($A13,'Prompt Totals'!$A$7:$A$246,0))</x:f>
        <x:v>156442</x:v>
      </x:c>
      <x:c r="Q13" s="29" t="n">
        <x:f>INDEX('Prompt Totals'!$G$7:$G$246,MATCH($A13,'Prompt Totals'!$A$7:$A$246,0))</x:f>
        <x:v>827625</x:v>
      </x:c>
      <x:c r="R13" s="29" t="n">
        <x:f>INDEX('Prompt Totals'!$H$7:$H$246,MATCH($A13,'Prompt Totals'!$A$7:$A$246,0))</x:f>
        <x:v>15</x:v>
      </x:c>
      <x:c r="S13" s="30" t="n">
        <x:f>INDEX('Prompt Totals'!$I$7:$I$246,MATCH($A13,'Prompt Totals'!$A$7:$A$246,0))</x:f>
        <x:v>6.711830000000001</x:v>
      </x:c>
      <x:c r="T13" s="30" t="n">
        <x:f>INDEX('Prompt Totals'!$J$7:$J$246,MATCH($A13,'Prompt Totals'!$A$7:$A$246,0))</x:f>
        <x:v>4.69326</x:v>
      </x:c>
      <x:c r="U13" s="30" t="n">
        <x:f>INDEX('Prompt Totals'!$K$7:$K$246,MATCH($A13,'Prompt Totals'!$A$7:$A$246,0))</x:f>
        <x:v>11.405090000000001</x:v>
      </x:c>
      <x:c r="V13" s="29" t="n">
        <x:f>INDEX('Prompt Totals'!$L$7:$L$246,MATCH($A13,'Prompt Totals'!$A$7:$A$246,0))</x:f>
        <x:v>1</x:v>
      </x:c>
      <x:c r="W13" s="29" t="n">
        <x:f>INDEX('Prompt Totals'!$M$7:$M$246,MATCH($A13,'Prompt Totals'!$A$7:$A$246,0))</x:f>
        <x:v>12</x:v>
      </x:c>
      <x:c r="X13" s="29" t="n">
        <x:f>INDEX('Prompt Totals'!$N$7:$N$246,MATCH($A13,'Prompt Totals'!$A$7:$A$246,0))</x:f>
        <x:v>2</x:v>
      </x:c>
      <x:c r="Y13" s="19" t="n">
        <x:f>G13-H13</x:f>
        <x:v>-0.8899999999999997</x:v>
      </x:c>
      <x:c r="Z13" s="30" t="n">
        <x:f>Y13*'Solution'!$C$5</x:f>
        <x:v>-44.499999999999986</x:v>
      </x:c>
      <x:c r="AA13" s="22" t="n">
        <x:f>Z13-U13</x:f>
        <x:v>-55.90508999999999</x:v>
      </x:c>
    </x:row>
    <x:row r="14" ht="23" customHeight="1">
      <x:c r="A14" s="17" t="str">
        <x:v>W0008</x:v>
      </x:c>
      <x:c r="B14" s="18" t="n">
        <x:v>46294</x:v>
      </x:c>
      <x:c r="C14" s="17" t="str">
        <x:v>C001</x:v>
      </x:c>
      <x:c r="D14" s="17" t="str">
        <x:v>Analytics</x:v>
      </x:c>
      <x:c r="E14" s="17" t="str">
        <x:v>Jamie Patel</x:v>
      </x:c>
      <x:c r="F14" s="17" t="str">
        <x:v>Summarize audience insights</x:v>
      </x:c>
      <x:c r="G14" s="20" t="n">
        <x:v>4.64</x:v>
      </x:c>
      <x:c r="H14" s="20" t="n">
        <x:v>6.01</x:v>
      </x:c>
      <x:c r="I14" s="20" t="n">
        <x:v>0.25</x:v>
      </x:c>
      <x:c r="J14" s="17" t="str">
        <x:v>Data problem</x:v>
      </x:c>
      <x:c r="K14" s="17" t="str">
        <x:v>No</x:v>
      </x:c>
      <x:c r="L14" s="17" t="str">
        <x:v>Yes</x:v>
      </x:c>
      <x:c r="M14" s="29" t="str">
        <x:f>INDEX('Prompt Totals'!$C$7:$C$246,MATCH($A14,'Prompt Totals'!$A$7:$A$246,0))</x:f>
        <x:v>InsightDesk</x:v>
      </x:c>
      <x:c r="N14" s="29" t="str">
        <x:f>INDEX('Prompt Totals'!$D$7:$D$246,MATCH($A14,'Prompt Totals'!$A$7:$A$246,0))</x:f>
        <x:v>Lite</x:v>
      </x:c>
      <x:c r="O14" s="29" t="n">
        <x:f>INDEX('Prompt Totals'!$E$7:$E$246,MATCH($A14,'Prompt Totals'!$A$7:$A$246,0))</x:f>
        <x:v>458384</x:v>
      </x:c>
      <x:c r="P14" s="29" t="n">
        <x:f>INDEX('Prompt Totals'!$F$7:$F$246,MATCH($A14,'Prompt Totals'!$A$7:$A$246,0))</x:f>
        <x:v>93614</x:v>
      </x:c>
      <x:c r="Q14" s="29" t="n">
        <x:f>INDEX('Prompt Totals'!$G$7:$G$246,MATCH($A14,'Prompt Totals'!$A$7:$A$246,0))</x:f>
        <x:v>551998</x:v>
      </x:c>
      <x:c r="R14" s="29" t="n">
        <x:f>INDEX('Prompt Totals'!$H$7:$H$246,MATCH($A14,'Prompt Totals'!$A$7:$A$246,0))</x:f>
        <x:v>9</x:v>
      </x:c>
      <x:c r="S14" s="30" t="n">
        <x:f>INDEX('Prompt Totals'!$I$7:$I$246,MATCH($A14,'Prompt Totals'!$A$7:$A$246,0))</x:f>
        <x:v>4.5838399999999995</x:v>
      </x:c>
      <x:c r="T14" s="30" t="n">
        <x:f>INDEX('Prompt Totals'!$J$7:$J$246,MATCH($A14,'Prompt Totals'!$A$7:$A$246,0))</x:f>
        <x:v>2.8084199999999995</x:v>
      </x:c>
      <x:c r="U14" s="30" t="n">
        <x:f>INDEX('Prompt Totals'!$K$7:$K$246,MATCH($A14,'Prompt Totals'!$A$7:$A$246,0))</x:f>
        <x:v>7.3922599999999985</x:v>
      </x:c>
      <x:c r="V14" s="29" t="n">
        <x:f>INDEX('Prompt Totals'!$L$7:$L$246,MATCH($A14,'Prompt Totals'!$A$7:$A$246,0))</x:f>
        <x:v>1</x:v>
      </x:c>
      <x:c r="W14" s="29" t="n">
        <x:f>INDEX('Prompt Totals'!$M$7:$M$246,MATCH($A14,'Prompt Totals'!$A$7:$A$246,0))</x:f>
        <x:v>7</x:v>
      </x:c>
      <x:c r="X14" s="29" t="n">
        <x:f>INDEX('Prompt Totals'!$N$7:$N$246,MATCH($A14,'Prompt Totals'!$A$7:$A$246,0))</x:f>
        <x:v>1</x:v>
      </x:c>
      <x:c r="Y14" s="19" t="n">
        <x:f>G14-H14</x:f>
        <x:v>-1.37</x:v>
      </x:c>
      <x:c r="Z14" s="30" t="n">
        <x:f>Y14*'Solution'!$C$5</x:f>
        <x:v>-68.5</x:v>
      </x:c>
      <x:c r="AA14" s="22" t="n">
        <x:f>Z14-U14</x:f>
        <x:v>-75.89226</x:v>
      </x:c>
    </x:row>
    <x:row r="15" ht="23" customHeight="1">
      <x:c r="A15" s="17" t="str">
        <x:v>W0009</x:v>
      </x:c>
      <x:c r="B15" s="18" t="n">
        <x:v>46279</x:v>
      </x:c>
      <x:c r="C15" s="17" t="str">
        <x:v>C001</x:v>
      </x:c>
      <x:c r="D15" s="17" t="str">
        <x:v>Content</x:v>
      </x:c>
      <x:c r="E15" s="17" t="str">
        <x:v>Avery Morgan</x:v>
      </x:c>
      <x:c r="F15" s="17" t="str">
        <x:v>Edit landing page</x:v>
      </x:c>
      <x:c r="G15" s="20" t="n">
        <x:v>4.69</x:v>
      </x:c>
      <x:c r="H15" s="20" t="n">
        <x:v>2.45</x:v>
      </x:c>
      <x:c r="I15" s="20" t="n">
        <x:v>0.11</x:v>
      </x:c>
      <x:c r="J15" s="17" t="str">
        <x:v>None</x:v>
      </x:c>
      <x:c r="K15" s="17" t="str">
        <x:v>No</x:v>
      </x:c>
      <x:c r="L15" s="17" t="str">
        <x:v>Yes</x:v>
      </x:c>
      <x:c r="M15" s="29" t="str">
        <x:f>INDEX('Prompt Totals'!$C$7:$C$246,MATCH($A15,'Prompt Totals'!$A$7:$A$246,0))</x:f>
        <x:v>CopyStudio</x:v>
      </x:c>
      <x:c r="N15" s="29" t="str">
        <x:f>INDEX('Prompt Totals'!$D$7:$D$246,MATCH($A15,'Prompt Totals'!$A$7:$A$246,0))</x:f>
        <x:v>Lite</x:v>
      </x:c>
      <x:c r="O15" s="29" t="n">
        <x:f>INDEX('Prompt Totals'!$E$7:$E$246,MATCH($A15,'Prompt Totals'!$A$7:$A$246,0))</x:f>
        <x:v>435279</x:v>
      </x:c>
      <x:c r="P15" s="29" t="n">
        <x:f>INDEX('Prompt Totals'!$F$7:$F$246,MATCH($A15,'Prompt Totals'!$A$7:$A$246,0))</x:f>
        <x:v>85546</x:v>
      </x:c>
      <x:c r="Q15" s="29" t="n">
        <x:f>INDEX('Prompt Totals'!$G$7:$G$246,MATCH($A15,'Prompt Totals'!$A$7:$A$246,0))</x:f>
        <x:v>520825</x:v>
      </x:c>
      <x:c r="R15" s="29" t="n">
        <x:f>INDEX('Prompt Totals'!$H$7:$H$246,MATCH($A15,'Prompt Totals'!$A$7:$A$246,0))</x:f>
        <x:v>9</x:v>
      </x:c>
      <x:c r="S15" s="30" t="n">
        <x:f>INDEX('Prompt Totals'!$I$7:$I$246,MATCH($A15,'Prompt Totals'!$A$7:$A$246,0))</x:f>
        <x:v>4.35279</x:v>
      </x:c>
      <x:c r="T15" s="30" t="n">
        <x:f>INDEX('Prompt Totals'!$J$7:$J$246,MATCH($A15,'Prompt Totals'!$A$7:$A$246,0))</x:f>
        <x:v>2.56638</x:v>
      </x:c>
      <x:c r="U15" s="30" t="n">
        <x:f>INDEX('Prompt Totals'!$K$7:$K$246,MATCH($A15,'Prompt Totals'!$A$7:$A$246,0))</x:f>
        <x:v>6.91917</x:v>
      </x:c>
      <x:c r="V15" s="29" t="n">
        <x:f>INDEX('Prompt Totals'!$L$7:$L$246,MATCH($A15,'Prompt Totals'!$A$7:$A$246,0))</x:f>
        <x:v>1</x:v>
      </x:c>
      <x:c r="W15" s="29" t="n">
        <x:f>INDEX('Prompt Totals'!$M$7:$M$246,MATCH($A15,'Prompt Totals'!$A$7:$A$246,0))</x:f>
        <x:v>7</x:v>
      </x:c>
      <x:c r="X15" s="29" t="n">
        <x:f>INDEX('Prompt Totals'!$N$7:$N$246,MATCH($A15,'Prompt Totals'!$A$7:$A$246,0))</x:f>
        <x:v>1</x:v>
      </x:c>
      <x:c r="Y15" s="19" t="n">
        <x:f>G15-H15</x:f>
        <x:v>2.24</x:v>
      </x:c>
      <x:c r="Z15" s="30" t="n">
        <x:f>Y15*'Solution'!$C$5</x:f>
        <x:v>112.00000000000001</x:v>
      </x:c>
      <x:c r="AA15" s="22" t="n">
        <x:f>Z15-U15</x:f>
        <x:v>105.08083000000002</x:v>
      </x:c>
    </x:row>
    <x:row r="16" ht="23" customHeight="1">
      <x:c r="A16" s="17" t="str">
        <x:v>W0010</x:v>
      </x:c>
      <x:c r="B16" s="18" t="n">
        <x:v>46288</x:v>
      </x:c>
      <x:c r="C16" s="17" t="str">
        <x:v>C001</x:v>
      </x:c>
      <x:c r="D16" s="17" t="str">
        <x:v>Content</x:v>
      </x:c>
      <x:c r="E16" s="17" t="str">
        <x:v>Jordan Ellis</x:v>
      </x:c>
      <x:c r="F16" s="17" t="str">
        <x:v>Write ad copy</x:v>
      </x:c>
      <x:c r="G16" s="20" t="n">
        <x:v>4</x:v>
      </x:c>
      <x:c r="H16" s="20" t="n">
        <x:v>2.18</x:v>
      </x:c>
      <x:c r="I16" s="20" t="n">
        <x:v>0.14</x:v>
      </x:c>
      <x:c r="J16" s="17" t="str">
        <x:v>None</x:v>
      </x:c>
      <x:c r="K16" s="17" t="str">
        <x:v>No</x:v>
      </x:c>
      <x:c r="L16" s="17" t="str">
        <x:v>Yes</x:v>
      </x:c>
      <x:c r="M16" s="29" t="str">
        <x:f>INDEX('Prompt Totals'!$C$7:$C$246,MATCH($A16,'Prompt Totals'!$A$7:$A$246,0))</x:f>
        <x:v>CopyStudio</x:v>
      </x:c>
      <x:c r="N16" s="29" t="str">
        <x:f>INDEX('Prompt Totals'!$D$7:$D$246,MATCH($A16,'Prompt Totals'!$A$7:$A$246,0))</x:f>
        <x:v>Lite</x:v>
      </x:c>
      <x:c r="O16" s="29" t="n">
        <x:f>INDEX('Prompt Totals'!$E$7:$E$246,MATCH($A16,'Prompt Totals'!$A$7:$A$246,0))</x:f>
        <x:v>483839</x:v>
      </x:c>
      <x:c r="P16" s="29" t="n">
        <x:f>INDEX('Prompt Totals'!$F$7:$F$246,MATCH($A16,'Prompt Totals'!$A$7:$A$246,0))</x:f>
        <x:v>92033</x:v>
      </x:c>
      <x:c r="Q16" s="29" t="n">
        <x:f>INDEX('Prompt Totals'!$G$7:$G$246,MATCH($A16,'Prompt Totals'!$A$7:$A$246,0))</x:f>
        <x:v>575872</x:v>
      </x:c>
      <x:c r="R16" s="29" t="n">
        <x:f>INDEX('Prompt Totals'!$H$7:$H$246,MATCH($A16,'Prompt Totals'!$A$7:$A$246,0))</x:f>
        <x:v>9</x:v>
      </x:c>
      <x:c r="S16" s="30" t="n">
        <x:f>INDEX('Prompt Totals'!$I$7:$I$246,MATCH($A16,'Prompt Totals'!$A$7:$A$246,0))</x:f>
        <x:v>4.8383899999999995</x:v>
      </x:c>
      <x:c r="T16" s="30" t="n">
        <x:f>INDEX('Prompt Totals'!$J$7:$J$246,MATCH($A16,'Prompt Totals'!$A$7:$A$246,0))</x:f>
        <x:v>2.7609899999999996</x:v>
      </x:c>
      <x:c r="U16" s="30" t="n">
        <x:f>INDEX('Prompt Totals'!$K$7:$K$246,MATCH($A16,'Prompt Totals'!$A$7:$A$246,0))</x:f>
        <x:v>7.59938</x:v>
      </x:c>
      <x:c r="V16" s="29" t="n">
        <x:f>INDEX('Prompt Totals'!$L$7:$L$246,MATCH($A16,'Prompt Totals'!$A$7:$A$246,0))</x:f>
        <x:v>1</x:v>
      </x:c>
      <x:c r="W16" s="29" t="n">
        <x:f>INDEX('Prompt Totals'!$M$7:$M$246,MATCH($A16,'Prompt Totals'!$A$7:$A$246,0))</x:f>
        <x:v>7</x:v>
      </x:c>
      <x:c r="X16" s="29" t="n">
        <x:f>INDEX('Prompt Totals'!$N$7:$N$246,MATCH($A16,'Prompt Totals'!$A$7:$A$246,0))</x:f>
        <x:v>1</x:v>
      </x:c>
      <x:c r="Y16" s="19" t="n">
        <x:f>G16-H16</x:f>
        <x:v>1.8199999999999998</x:v>
      </x:c>
      <x:c r="Z16" s="30" t="n">
        <x:f>Y16*'Solution'!$C$5</x:f>
        <x:v>90.99999999999999</x:v>
      </x:c>
      <x:c r="AA16" s="22" t="n">
        <x:f>Z16-U16</x:f>
        <x:v>83.40061999999999</x:v>
      </x:c>
    </x:row>
    <x:row r="17" ht="23" customHeight="1">
      <x:c r="A17" s="17" t="str">
        <x:v>W0011</x:v>
      </x:c>
      <x:c r="B17" s="18" t="n">
        <x:v>46273</x:v>
      </x:c>
      <x:c r="C17" s="17" t="str">
        <x:v>C001</x:v>
      </x:c>
      <x:c r="D17" s="17" t="str">
        <x:v>Creative</x:v>
      </x:c>
      <x:c r="E17" s="17" t="str">
        <x:v>Riley Chen</x:v>
      </x:c>
      <x:c r="F17" s="17" t="str">
        <x:v>Review creative variants</x:v>
      </x:c>
      <x:c r="G17" s="20" t="n">
        <x:v>3.2</x:v>
      </x:c>
      <x:c r="H17" s="20" t="n">
        <x:v>1.43</x:v>
      </x:c>
      <x:c r="I17" s="20" t="n">
        <x:v>0.05</x:v>
      </x:c>
      <x:c r="J17" s="17" t="str">
        <x:v>None</x:v>
      </x:c>
      <x:c r="K17" s="17" t="str">
        <x:v>No</x:v>
      </x:c>
      <x:c r="L17" s="17" t="str">
        <x:v>Yes</x:v>
      </x:c>
      <x:c r="M17" s="29" t="str">
        <x:f>INDEX('Prompt Totals'!$C$7:$C$246,MATCH($A17,'Prompt Totals'!$A$7:$A$246,0))</x:f>
        <x:v>CampaignChat</x:v>
      </x:c>
      <x:c r="N17" s="29" t="str">
        <x:f>INDEX('Prompt Totals'!$D$7:$D$246,MATCH($A17,'Prompt Totals'!$A$7:$A$246,0))</x:f>
        <x:v>Lite</x:v>
      </x:c>
      <x:c r="O17" s="29" t="n">
        <x:f>INDEX('Prompt Totals'!$E$7:$E$246,MATCH($A17,'Prompt Totals'!$A$7:$A$246,0))</x:f>
        <x:v>323449</x:v>
      </x:c>
      <x:c r="P17" s="29" t="n">
        <x:f>INDEX('Prompt Totals'!$F$7:$F$246,MATCH($A17,'Prompt Totals'!$A$7:$A$246,0))</x:f>
        <x:v>84287</x:v>
      </x:c>
      <x:c r="Q17" s="29" t="n">
        <x:f>INDEX('Prompt Totals'!$G$7:$G$246,MATCH($A17,'Prompt Totals'!$A$7:$A$246,0))</x:f>
        <x:v>407736</x:v>
      </x:c>
      <x:c r="R17" s="29" t="n">
        <x:f>INDEX('Prompt Totals'!$H$7:$H$246,MATCH($A17,'Prompt Totals'!$A$7:$A$246,0))</x:f>
        <x:v>10</x:v>
      </x:c>
      <x:c r="S17" s="30" t="n">
        <x:f>INDEX('Prompt Totals'!$I$7:$I$246,MATCH($A17,'Prompt Totals'!$A$7:$A$246,0))</x:f>
        <x:v>3.2344900000000005</x:v>
      </x:c>
      <x:c r="T17" s="30" t="n">
        <x:f>INDEX('Prompt Totals'!$J$7:$J$246,MATCH($A17,'Prompt Totals'!$A$7:$A$246,0))</x:f>
        <x:v>2.52861</x:v>
      </x:c>
      <x:c r="U17" s="30" t="n">
        <x:f>INDEX('Prompt Totals'!$K$7:$K$246,MATCH($A17,'Prompt Totals'!$A$7:$A$246,0))</x:f>
        <x:v>5.7631000000000006</x:v>
      </x:c>
      <x:c r="V17" s="29" t="n">
        <x:f>INDEX('Prompt Totals'!$L$7:$L$246,MATCH($A17,'Prompt Totals'!$A$7:$A$246,0))</x:f>
        <x:v>1</x:v>
      </x:c>
      <x:c r="W17" s="29" t="n">
        <x:f>INDEX('Prompt Totals'!$M$7:$M$246,MATCH($A17,'Prompt Totals'!$A$7:$A$246,0))</x:f>
        <x:v>8</x:v>
      </x:c>
      <x:c r="X17" s="29" t="n">
        <x:f>INDEX('Prompt Totals'!$N$7:$N$246,MATCH($A17,'Prompt Totals'!$A$7:$A$246,0))</x:f>
        <x:v>1</x:v>
      </x:c>
      <x:c r="Y17" s="19" t="n">
        <x:f>G17-H17</x:f>
        <x:v>1.7700000000000002</x:v>
      </x:c>
      <x:c r="Z17" s="30" t="n">
        <x:f>Y17*'Solution'!$C$5</x:f>
        <x:v>88.50000000000001</x:v>
      </x:c>
      <x:c r="AA17" s="22" t="n">
        <x:f>Z17-U17</x:f>
        <x:v>82.73690000000002</x:v>
      </x:c>
    </x:row>
    <x:row r="18" ht="23" customHeight="1">
      <x:c r="A18" s="17" t="str">
        <x:v>W0012</x:v>
      </x:c>
      <x:c r="B18" s="18" t="n">
        <x:v>46282</x:v>
      </x:c>
      <x:c r="C18" s="17" t="str">
        <x:v>C001</x:v>
      </x:c>
      <x:c r="D18" s="17" t="str">
        <x:v>Creative</x:v>
      </x:c>
      <x:c r="E18" s="17" t="str">
        <x:v>Taylor Brooks</x:v>
      </x:c>
      <x:c r="F18" s="17" t="str">
        <x:v>Plan visual narrative</x:v>
      </x:c>
      <x:c r="G18" s="20" t="n">
        <x:v>3.84</x:v>
      </x:c>
      <x:c r="H18" s="20" t="n">
        <x:v>1.54</x:v>
      </x:c>
      <x:c r="I18" s="20" t="n">
        <x:v>0.02</x:v>
      </x:c>
      <x:c r="J18" s="17" t="str">
        <x:v>None</x:v>
      </x:c>
      <x:c r="K18" s="17" t="str">
        <x:v>No</x:v>
      </x:c>
      <x:c r="L18" s="17" t="str">
        <x:v>Yes</x:v>
      </x:c>
      <x:c r="M18" s="29" t="str">
        <x:f>INDEX('Prompt Totals'!$C$7:$C$246,MATCH($A18,'Prompt Totals'!$A$7:$A$246,0))</x:f>
        <x:v>CampaignChat</x:v>
      </x:c>
      <x:c r="N18" s="29" t="str">
        <x:f>INDEX('Prompt Totals'!$D$7:$D$246,MATCH($A18,'Prompt Totals'!$A$7:$A$246,0))</x:f>
        <x:v>Pro</x:v>
      </x:c>
      <x:c r="O18" s="29" t="n">
        <x:f>INDEX('Prompt Totals'!$E$7:$E$246,MATCH($A18,'Prompt Totals'!$A$7:$A$246,0))</x:f>
        <x:v>178366</x:v>
      </x:c>
      <x:c r="P18" s="29" t="n">
        <x:f>INDEX('Prompt Totals'!$F$7:$F$246,MATCH($A18,'Prompt Totals'!$A$7:$A$246,0))</x:f>
        <x:v>101926</x:v>
      </x:c>
      <x:c r="Q18" s="29" t="n">
        <x:f>INDEX('Prompt Totals'!$G$7:$G$246,MATCH($A18,'Prompt Totals'!$A$7:$A$246,0))</x:f>
        <x:v>280292</x:v>
      </x:c>
      <x:c r="R18" s="29" t="n">
        <x:f>INDEX('Prompt Totals'!$H$7:$H$246,MATCH($A18,'Prompt Totals'!$A$7:$A$246,0))</x:f>
        <x:v>10</x:v>
      </x:c>
      <x:c r="S18" s="30" t="n">
        <x:f>INDEX('Prompt Totals'!$I$7:$I$246,MATCH($A18,'Prompt Totals'!$A$7:$A$246,0))</x:f>
        <x:v>7.13464</x:v>
      </x:c>
      <x:c r="T18" s="30" t="n">
        <x:f>INDEX('Prompt Totals'!$J$7:$J$246,MATCH($A18,'Prompt Totals'!$A$7:$A$246,0))</x:f>
        <x:v>10.1926</x:v>
      </x:c>
      <x:c r="U18" s="30" t="n">
        <x:f>INDEX('Prompt Totals'!$K$7:$K$246,MATCH($A18,'Prompt Totals'!$A$7:$A$246,0))</x:f>
        <x:v>17.32724</x:v>
      </x:c>
      <x:c r="V18" s="29" t="n">
        <x:f>INDEX('Prompt Totals'!$L$7:$L$246,MATCH($A18,'Prompt Totals'!$A$7:$A$246,0))</x:f>
        <x:v>1</x:v>
      </x:c>
      <x:c r="W18" s="29" t="n">
        <x:f>INDEX('Prompt Totals'!$M$7:$M$246,MATCH($A18,'Prompt Totals'!$A$7:$A$246,0))</x:f>
        <x:v>8</x:v>
      </x:c>
      <x:c r="X18" s="29" t="n">
        <x:f>INDEX('Prompt Totals'!$N$7:$N$246,MATCH($A18,'Prompt Totals'!$A$7:$A$246,0))</x:f>
        <x:v>1</x:v>
      </x:c>
      <x:c r="Y18" s="19" t="n">
        <x:f>G18-H18</x:f>
        <x:v>2.3</x:v>
      </x:c>
      <x:c r="Z18" s="30" t="n">
        <x:f>Y18*'Solution'!$C$5</x:f>
        <x:v>114.99999999999999</x:v>
      </x:c>
      <x:c r="AA18" s="22" t="n">
        <x:f>Z18-U18</x:f>
        <x:v>97.67275999999998</x:v>
      </x:c>
    </x:row>
    <x:row r="19" ht="23" customHeight="1">
      <x:c r="A19" s="17" t="str">
        <x:v>W0013</x:v>
      </x:c>
      <x:c r="B19" s="18" t="n">
        <x:v>46293</x:v>
      </x:c>
      <x:c r="C19" s="17" t="str">
        <x:v>C001</x:v>
      </x:c>
      <x:c r="D19" s="17" t="str">
        <x:v>Marketing Operations</x:v>
      </x:c>
      <x:c r="E19" s="17" t="str">
        <x:v>Casey Rivera</x:v>
      </x:c>
      <x:c r="F19" s="17" t="str">
        <x:v>Build campaign plan</x:v>
      </x:c>
      <x:c r="G19" s="20" t="n">
        <x:v>4.23</x:v>
      </x:c>
      <x:c r="H19" s="20" t="n">
        <x:v>1.35</x:v>
      </x:c>
      <x:c r="I19" s="20" t="n">
        <x:v>0.2</x:v>
      </x:c>
      <x:c r="J19" s="17" t="str">
        <x:v>Brief changed</x:v>
      </x:c>
      <x:c r="K19" s="17" t="str">
        <x:v>Yes</x:v>
      </x:c>
      <x:c r="L19" s="17" t="str">
        <x:v>No</x:v>
      </x:c>
      <x:c r="M19" s="29" t="str">
        <x:f>INDEX('Prompt Totals'!$C$7:$C$246,MATCH($A19,'Prompt Totals'!$A$7:$A$246,0))</x:f>
        <x:v>DataFlow</x:v>
      </x:c>
      <x:c r="N19" s="29" t="str">
        <x:f>INDEX('Prompt Totals'!$D$7:$D$246,MATCH($A19,'Prompt Totals'!$A$7:$A$246,0))</x:f>
        <x:v>Lite</x:v>
      </x:c>
      <x:c r="O19" s="29" t="n">
        <x:f>INDEX('Prompt Totals'!$E$7:$E$246,MATCH($A19,'Prompt Totals'!$A$7:$A$246,0))</x:f>
        <x:v>273171</x:v>
      </x:c>
      <x:c r="P19" s="29" t="n">
        <x:f>INDEX('Prompt Totals'!$F$7:$F$246,MATCH($A19,'Prompt Totals'!$A$7:$A$246,0))</x:f>
        <x:v>50676</x:v>
      </x:c>
      <x:c r="Q19" s="29" t="n">
        <x:f>INDEX('Prompt Totals'!$G$7:$G$246,MATCH($A19,'Prompt Totals'!$A$7:$A$246,0))</x:f>
        <x:v>323847</x:v>
      </x:c>
      <x:c r="R19" s="29" t="n">
        <x:f>INDEX('Prompt Totals'!$H$7:$H$246,MATCH($A19,'Prompt Totals'!$A$7:$A$246,0))</x:f>
        <x:v>11</x:v>
      </x:c>
      <x:c r="S19" s="30" t="n">
        <x:f>INDEX('Prompt Totals'!$I$7:$I$246,MATCH($A19,'Prompt Totals'!$A$7:$A$246,0))</x:f>
        <x:v>2.7317099999999996</x:v>
      </x:c>
      <x:c r="T19" s="30" t="n">
        <x:f>INDEX('Prompt Totals'!$J$7:$J$246,MATCH($A19,'Prompt Totals'!$A$7:$A$246,0))</x:f>
        <x:v>1.52028</x:v>
      </x:c>
      <x:c r="U19" s="30" t="n">
        <x:f>INDEX('Prompt Totals'!$K$7:$K$246,MATCH($A19,'Prompt Totals'!$A$7:$A$246,0))</x:f>
        <x:v>4.251990000000001</x:v>
      </x:c>
      <x:c r="V19" s="29" t="n">
        <x:f>INDEX('Prompt Totals'!$L$7:$L$246,MATCH($A19,'Prompt Totals'!$A$7:$A$246,0))</x:f>
        <x:v>1</x:v>
      </x:c>
      <x:c r="W19" s="29" t="n">
        <x:f>INDEX('Prompt Totals'!$M$7:$M$246,MATCH($A19,'Prompt Totals'!$A$7:$A$246,0))</x:f>
        <x:v>8</x:v>
      </x:c>
      <x:c r="X19" s="29" t="n">
        <x:f>INDEX('Prompt Totals'!$N$7:$N$246,MATCH($A19,'Prompt Totals'!$A$7:$A$246,0))</x:f>
        <x:v>2</x:v>
      </x:c>
      <x:c r="Y19" s="19" t="n">
        <x:f>G19-H19</x:f>
        <x:v>2.8800000000000003</x:v>
      </x:c>
      <x:c r="Z19" s="30" t="n">
        <x:f>Y19*'Solution'!$C$5</x:f>
        <x:v>144.00000000000003</x:v>
      </x:c>
      <x:c r="AA19" s="22" t="n">
        <x:f>Z19-U19</x:f>
        <x:v>139.74801000000002</x:v>
      </x:c>
    </x:row>
    <x:row r="20" ht="23" customHeight="1">
      <x:c r="A20" s="17" t="str">
        <x:v>W0014</x:v>
      </x:c>
      <x:c r="B20" s="18" t="n">
        <x:v>46276</x:v>
      </x:c>
      <x:c r="C20" s="17" t="str">
        <x:v>C001</x:v>
      </x:c>
      <x:c r="D20" s="17" t="str">
        <x:v>Marketing Operations</x:v>
      </x:c>
      <x:c r="E20" s="17" t="str">
        <x:v>Morgan Reed</x:v>
      </x:c>
      <x:c r="F20" s="17" t="str">
        <x:v>Clean audience data</x:v>
      </x:c>
      <x:c r="G20" s="20" t="n">
        <x:v>3.61</x:v>
      </x:c>
      <x:c r="H20" s="20" t="n">
        <x:v>1.95</x:v>
      </x:c>
      <x:c r="I20" s="20" t="n">
        <x:v>0.35</x:v>
      </x:c>
      <x:c r="J20" s="17" t="str">
        <x:v>Data problem</x:v>
      </x:c>
      <x:c r="K20" s="17" t="str">
        <x:v>No</x:v>
      </x:c>
      <x:c r="L20" s="17" t="str">
        <x:v>Yes</x:v>
      </x:c>
      <x:c r="M20" s="29" t="str">
        <x:f>INDEX('Prompt Totals'!$C$7:$C$246,MATCH($A20,'Prompt Totals'!$A$7:$A$246,0))</x:f>
        <x:v>DataFlow</x:v>
      </x:c>
      <x:c r="N20" s="29" t="str">
        <x:f>INDEX('Prompt Totals'!$D$7:$D$246,MATCH($A20,'Prompt Totals'!$A$7:$A$246,0))</x:f>
        <x:v>Lite</x:v>
      </x:c>
      <x:c r="O20" s="29" t="n">
        <x:f>INDEX('Prompt Totals'!$E$7:$E$246,MATCH($A20,'Prompt Totals'!$A$7:$A$246,0))</x:f>
        <x:v>297094</x:v>
      </x:c>
      <x:c r="P20" s="29" t="n">
        <x:f>INDEX('Prompt Totals'!$F$7:$F$246,MATCH($A20,'Prompt Totals'!$A$7:$A$246,0))</x:f>
        <x:v>78626</x:v>
      </x:c>
      <x:c r="Q20" s="29" t="n">
        <x:f>INDEX('Prompt Totals'!$G$7:$G$246,MATCH($A20,'Prompt Totals'!$A$7:$A$246,0))</x:f>
        <x:v>375720</x:v>
      </x:c>
      <x:c r="R20" s="29" t="n">
        <x:f>INDEX('Prompt Totals'!$H$7:$H$246,MATCH($A20,'Prompt Totals'!$A$7:$A$246,0))</x:f>
        <x:v>7</x:v>
      </x:c>
      <x:c r="S20" s="30" t="n">
        <x:f>INDEX('Prompt Totals'!$I$7:$I$246,MATCH($A20,'Prompt Totals'!$A$7:$A$246,0))</x:f>
        <x:v>2.97094</x:v>
      </x:c>
      <x:c r="T20" s="30" t="n">
        <x:f>INDEX('Prompt Totals'!$J$7:$J$246,MATCH($A20,'Prompt Totals'!$A$7:$A$246,0))</x:f>
        <x:v>2.35878</x:v>
      </x:c>
      <x:c r="U20" s="30" t="n">
        <x:f>INDEX('Prompt Totals'!$K$7:$K$246,MATCH($A20,'Prompt Totals'!$A$7:$A$246,0))</x:f>
        <x:v>5.32972</x:v>
      </x:c>
      <x:c r="V20" s="29" t="n">
        <x:f>INDEX('Prompt Totals'!$L$7:$L$246,MATCH($A20,'Prompt Totals'!$A$7:$A$246,0))</x:f>
        <x:v>1</x:v>
      </x:c>
      <x:c r="W20" s="29" t="n">
        <x:f>INDEX('Prompt Totals'!$M$7:$M$246,MATCH($A20,'Prompt Totals'!$A$7:$A$246,0))</x:f>
        <x:v>5</x:v>
      </x:c>
      <x:c r="X20" s="29" t="n">
        <x:f>INDEX('Prompt Totals'!$N$7:$N$246,MATCH($A20,'Prompt Totals'!$A$7:$A$246,0))</x:f>
        <x:v>1</x:v>
      </x:c>
      <x:c r="Y20" s="19" t="n">
        <x:f>G20-H20</x:f>
        <x:v>1.66</x:v>
      </x:c>
      <x:c r="Z20" s="30" t="n">
        <x:f>Y20*'Solution'!$C$5</x:f>
        <x:v>83</x:v>
      </x:c>
      <x:c r="AA20" s="22" t="n">
        <x:f>Z20-U20</x:f>
        <x:v>77.67028</x:v>
      </x:c>
    </x:row>
    <x:row r="21" ht="23" customHeight="1">
      <x:c r="A21" s="17" t="str">
        <x:v>W0015</x:v>
      </x:c>
      <x:c r="B21" s="18" t="n">
        <x:v>46287</x:v>
      </x:c>
      <x:c r="C21" s="17" t="str">
        <x:v>C001</x:v>
      </x:c>
      <x:c r="D21" s="17" t="str">
        <x:v>Analytics</x:v>
      </x:c>
      <x:c r="E21" s="17" t="str">
        <x:v>Quinn Parker</x:v>
      </x:c>
      <x:c r="F21" s="17" t="str">
        <x:v>Check measurement plan</x:v>
      </x:c>
      <x:c r="G21" s="20" t="n">
        <x:v>4.21</x:v>
      </x:c>
      <x:c r="H21" s="20" t="n">
        <x:v>2.15</x:v>
      </x:c>
      <x:c r="I21" s="20" t="n">
        <x:v>0.09</x:v>
      </x:c>
      <x:c r="J21" s="17" t="str">
        <x:v>None</x:v>
      </x:c>
      <x:c r="K21" s="17" t="str">
        <x:v>No</x:v>
      </x:c>
      <x:c r="L21" s="17" t="str">
        <x:v>Yes</x:v>
      </x:c>
      <x:c r="M21" s="29" t="str">
        <x:f>INDEX('Prompt Totals'!$C$7:$C$246,MATCH($A21,'Prompt Totals'!$A$7:$A$246,0))</x:f>
        <x:v>InsightDesk</x:v>
      </x:c>
      <x:c r="N21" s="29" t="str">
        <x:f>INDEX('Prompt Totals'!$D$7:$D$246,MATCH($A21,'Prompt Totals'!$A$7:$A$246,0))</x:f>
        <x:v>Pro</x:v>
      </x:c>
      <x:c r="O21" s="29" t="n">
        <x:f>INDEX('Prompt Totals'!$E$7:$E$246,MATCH($A21,'Prompt Totals'!$A$7:$A$246,0))</x:f>
        <x:v>174851</x:v>
      </x:c>
      <x:c r="P21" s="29" t="n">
        <x:f>INDEX('Prompt Totals'!$F$7:$F$246,MATCH($A21,'Prompt Totals'!$A$7:$A$246,0))</x:f>
        <x:v>63453</x:v>
      </x:c>
      <x:c r="Q21" s="29" t="n">
        <x:f>INDEX('Prompt Totals'!$G$7:$G$246,MATCH($A21,'Prompt Totals'!$A$7:$A$246,0))</x:f>
        <x:v>238304</x:v>
      </x:c>
      <x:c r="R21" s="29" t="n">
        <x:f>INDEX('Prompt Totals'!$H$7:$H$246,MATCH($A21,'Prompt Totals'!$A$7:$A$246,0))</x:f>
        <x:v>8</x:v>
      </x:c>
      <x:c r="S21" s="30" t="n">
        <x:f>INDEX('Prompt Totals'!$I$7:$I$246,MATCH($A21,'Prompt Totals'!$A$7:$A$246,0))</x:f>
        <x:v>6.99404</x:v>
      </x:c>
      <x:c r="T21" s="30" t="n">
        <x:f>INDEX('Prompt Totals'!$J$7:$J$246,MATCH($A21,'Prompt Totals'!$A$7:$A$246,0))</x:f>
        <x:v>6.345300000000001</x:v>
      </x:c>
      <x:c r="U21" s="30" t="n">
        <x:f>INDEX('Prompt Totals'!$K$7:$K$246,MATCH($A21,'Prompt Totals'!$A$7:$A$246,0))</x:f>
        <x:v>13.33934</x:v>
      </x:c>
      <x:c r="V21" s="29" t="n">
        <x:f>INDEX('Prompt Totals'!$L$7:$L$246,MATCH($A21,'Prompt Totals'!$A$7:$A$246,0))</x:f>
        <x:v>1</x:v>
      </x:c>
      <x:c r="W21" s="29" t="n">
        <x:f>INDEX('Prompt Totals'!$M$7:$M$246,MATCH($A21,'Prompt Totals'!$A$7:$A$246,0))</x:f>
        <x:v>6</x:v>
      </x:c>
      <x:c r="X21" s="29" t="n">
        <x:f>INDEX('Prompt Totals'!$N$7:$N$246,MATCH($A21,'Prompt Totals'!$A$7:$A$246,0))</x:f>
        <x:v>1</x:v>
      </x:c>
      <x:c r="Y21" s="19" t="n">
        <x:f>G21-H21</x:f>
        <x:v>2.06</x:v>
      </x:c>
      <x:c r="Z21" s="30" t="n">
        <x:f>Y21*'Solution'!$C$5</x:f>
        <x:v>103</x:v>
      </x:c>
      <x:c r="AA21" s="22" t="n">
        <x:f>Z21-U21</x:f>
        <x:v>89.66066000000001</x:v>
      </x:c>
    </x:row>
    <x:row r="22" ht="23" customHeight="1">
      <x:c r="A22" s="17" t="str">
        <x:v>W0016</x:v>
      </x:c>
      <x:c r="B22" s="18" t="n">
        <x:v>46269</x:v>
      </x:c>
      <x:c r="C22" s="17" t="str">
        <x:v>C001</x:v>
      </x:c>
      <x:c r="D22" s="17" t="str">
        <x:v>Analytics</x:v>
      </x:c>
      <x:c r="E22" s="17" t="str">
        <x:v>Jamie Patel</x:v>
      </x:c>
      <x:c r="F22" s="17" t="str">
        <x:v>Analyze campaign results</x:v>
      </x:c>
      <x:c r="G22" s="20" t="n">
        <x:v>3.91</x:v>
      </x:c>
      <x:c r="H22" s="20" t="n">
        <x:v>2.04</x:v>
      </x:c>
      <x:c r="I22" s="20" t="n">
        <x:v>0.26</x:v>
      </x:c>
      <x:c r="J22" s="17" t="str">
        <x:v>Brief changed</x:v>
      </x:c>
      <x:c r="K22" s="17" t="str">
        <x:v>Yes</x:v>
      </x:c>
      <x:c r="L22" s="17" t="str">
        <x:v>Yes</x:v>
      </x:c>
      <x:c r="M22" s="29" t="str">
        <x:f>INDEX('Prompt Totals'!$C$7:$C$246,MATCH($A22,'Prompt Totals'!$A$7:$A$246,0))</x:f>
        <x:v>InsightDesk</x:v>
      </x:c>
      <x:c r="N22" s="29" t="str">
        <x:f>INDEX('Prompt Totals'!$D$7:$D$246,MATCH($A22,'Prompt Totals'!$A$7:$A$246,0))</x:f>
        <x:v>Pro</x:v>
      </x:c>
      <x:c r="O22" s="29" t="n">
        <x:f>INDEX('Prompt Totals'!$E$7:$E$246,MATCH($A22,'Prompt Totals'!$A$7:$A$246,0))</x:f>
        <x:v>186617</x:v>
      </x:c>
      <x:c r="P22" s="29" t="n">
        <x:f>INDEX('Prompt Totals'!$F$7:$F$246,MATCH($A22,'Prompt Totals'!$A$7:$A$246,0))</x:f>
        <x:v>106767</x:v>
      </x:c>
      <x:c r="Q22" s="29" t="n">
        <x:f>INDEX('Prompt Totals'!$G$7:$G$246,MATCH($A22,'Prompt Totals'!$A$7:$A$246,0))</x:f>
        <x:v>293384</x:v>
      </x:c>
      <x:c r="R22" s="29" t="n">
        <x:f>INDEX('Prompt Totals'!$H$7:$H$246,MATCH($A22,'Prompt Totals'!$A$7:$A$246,0))</x:f>
        <x:v>11</x:v>
      </x:c>
      <x:c r="S22" s="30" t="n">
        <x:f>INDEX('Prompt Totals'!$I$7:$I$246,MATCH($A22,'Prompt Totals'!$A$7:$A$246,0))</x:f>
        <x:v>7.4646799999999995</x:v>
      </x:c>
      <x:c r="T22" s="30" t="n">
        <x:f>INDEX('Prompt Totals'!$J$7:$J$246,MATCH($A22,'Prompt Totals'!$A$7:$A$246,0))</x:f>
        <x:v>10.676699999999999</x:v>
      </x:c>
      <x:c r="U22" s="30" t="n">
        <x:f>INDEX('Prompt Totals'!$K$7:$K$246,MATCH($A22,'Prompt Totals'!$A$7:$A$246,0))</x:f>
        <x:v>18.141379999999998</x:v>
      </x:c>
      <x:c r="V22" s="29" t="n">
        <x:f>INDEX('Prompt Totals'!$L$7:$L$246,MATCH($A22,'Prompt Totals'!$A$7:$A$246,0))</x:f>
        <x:v>1</x:v>
      </x:c>
      <x:c r="W22" s="29" t="n">
        <x:f>INDEX('Prompt Totals'!$M$7:$M$246,MATCH($A22,'Prompt Totals'!$A$7:$A$246,0))</x:f>
        <x:v>9</x:v>
      </x:c>
      <x:c r="X22" s="29" t="n">
        <x:f>INDEX('Prompt Totals'!$N$7:$N$246,MATCH($A22,'Prompt Totals'!$A$7:$A$246,0))</x:f>
        <x:v>1</x:v>
      </x:c>
      <x:c r="Y22" s="19" t="n">
        <x:f>G22-H22</x:f>
        <x:v>1.87</x:v>
      </x:c>
      <x:c r="Z22" s="30" t="n">
        <x:f>Y22*'Solution'!$C$5</x:f>
        <x:v>93.5</x:v>
      </x:c>
      <x:c r="AA22" s="22" t="n">
        <x:f>Z22-U22</x:f>
        <x:v>75.35862</x:v>
      </x:c>
    </x:row>
    <x:row r="23" ht="23" customHeight="1">
      <x:c r="A23" s="17" t="str">
        <x:v>W0017</x:v>
      </x:c>
      <x:c r="B23" s="18" t="n">
        <x:v>46281</x:v>
      </x:c>
      <x:c r="C23" s="17" t="str">
        <x:v>C001</x:v>
      </x:c>
      <x:c r="D23" s="17" t="str">
        <x:v>Content</x:v>
      </x:c>
      <x:c r="E23" s="17" t="str">
        <x:v>Avery Morgan</x:v>
      </x:c>
      <x:c r="F23" s="17" t="str">
        <x:v>Draft email sequence</x:v>
      </x:c>
      <x:c r="G23" s="20" t="n">
        <x:v>2.77</x:v>
      </x:c>
      <x:c r="H23" s="20" t="n">
        <x:v>1.21</x:v>
      </x:c>
      <x:c r="I23" s="20" t="n">
        <x:v>0.02</x:v>
      </x:c>
      <x:c r="J23" s="17" t="str">
        <x:v>None</x:v>
      </x:c>
      <x:c r="K23" s="17" t="str">
        <x:v>No</x:v>
      </x:c>
      <x:c r="L23" s="17" t="str">
        <x:v>Yes</x:v>
      </x:c>
      <x:c r="M23" s="29" t="str">
        <x:f>INDEX('Prompt Totals'!$C$7:$C$246,MATCH($A23,'Prompt Totals'!$A$7:$A$246,0))</x:f>
        <x:v>CopyStudio</x:v>
      </x:c>
      <x:c r="N23" s="29" t="str">
        <x:f>INDEX('Prompt Totals'!$D$7:$D$246,MATCH($A23,'Prompt Totals'!$A$7:$A$246,0))</x:f>
        <x:v>Lite</x:v>
      </x:c>
      <x:c r="O23" s="29" t="n">
        <x:f>INDEX('Prompt Totals'!$E$7:$E$246,MATCH($A23,'Prompt Totals'!$A$7:$A$246,0))</x:f>
        <x:v>547176</x:v>
      </x:c>
      <x:c r="P23" s="29" t="n">
        <x:f>INDEX('Prompt Totals'!$F$7:$F$246,MATCH($A23,'Prompt Totals'!$A$7:$A$246,0))</x:f>
        <x:v>95814</x:v>
      </x:c>
      <x:c r="Q23" s="29" t="n">
        <x:f>INDEX('Prompt Totals'!$G$7:$G$246,MATCH($A23,'Prompt Totals'!$A$7:$A$246,0))</x:f>
        <x:v>642990</x:v>
      </x:c>
      <x:c r="R23" s="29" t="n">
        <x:f>INDEX('Prompt Totals'!$H$7:$H$246,MATCH($A23,'Prompt Totals'!$A$7:$A$246,0))</x:f>
        <x:v>12</x:v>
      </x:c>
      <x:c r="S23" s="30" t="n">
        <x:f>INDEX('Prompt Totals'!$I$7:$I$246,MATCH($A23,'Prompt Totals'!$A$7:$A$246,0))</x:f>
        <x:v>5.47176</x:v>
      </x:c>
      <x:c r="T23" s="30" t="n">
        <x:f>INDEX('Prompt Totals'!$J$7:$J$246,MATCH($A23,'Prompt Totals'!$A$7:$A$246,0))</x:f>
        <x:v>2.8744199999999993</x:v>
      </x:c>
      <x:c r="U23" s="30" t="n">
        <x:f>INDEX('Prompt Totals'!$K$7:$K$246,MATCH($A23,'Prompt Totals'!$A$7:$A$246,0))</x:f>
        <x:v>8.34618</x:v>
      </x:c>
      <x:c r="V23" s="29" t="n">
        <x:f>INDEX('Prompt Totals'!$L$7:$L$246,MATCH($A23,'Prompt Totals'!$A$7:$A$246,0))</x:f>
        <x:v>1</x:v>
      </x:c>
      <x:c r="W23" s="29" t="n">
        <x:f>INDEX('Prompt Totals'!$M$7:$M$246,MATCH($A23,'Prompt Totals'!$A$7:$A$246,0))</x:f>
        <x:v>10</x:v>
      </x:c>
      <x:c r="X23" s="29" t="n">
        <x:f>INDEX('Prompt Totals'!$N$7:$N$246,MATCH($A23,'Prompt Totals'!$A$7:$A$246,0))</x:f>
        <x:v>1</x:v>
      </x:c>
      <x:c r="Y23" s="19" t="n">
        <x:f>G23-H23</x:f>
        <x:v>1.56</x:v>
      </x:c>
      <x:c r="Z23" s="30" t="n">
        <x:f>Y23*'Solution'!$C$5</x:f>
        <x:v>78</x:v>
      </x:c>
      <x:c r="AA23" s="22" t="n">
        <x:f>Z23-U23</x:f>
        <x:v>69.65382</x:v>
      </x:c>
    </x:row>
    <x:row r="24" ht="23" customHeight="1">
      <x:c r="A24" s="17" t="str">
        <x:v>W0018</x:v>
      </x:c>
      <x:c r="B24" s="18" t="n">
        <x:v>46290</x:v>
      </x:c>
      <x:c r="C24" s="17" t="str">
        <x:v>C001</x:v>
      </x:c>
      <x:c r="D24" s="17" t="str">
        <x:v>Content</x:v>
      </x:c>
      <x:c r="E24" s="17" t="str">
        <x:v>Jordan Ellis</x:v>
      </x:c>
      <x:c r="F24" s="17" t="str">
        <x:v>Edit landing page</x:v>
      </x:c>
      <x:c r="G24" s="20" t="n">
        <x:v>5.26</x:v>
      </x:c>
      <x:c r="H24" s="20" t="n">
        <x:v>2.96</x:v>
      </x:c>
      <x:c r="I24" s="20" t="n">
        <x:v>0.45</x:v>
      </x:c>
      <x:c r="J24" s="17" t="str">
        <x:v>Unclear prompt</x:v>
      </x:c>
      <x:c r="K24" s="17" t="str">
        <x:v>No</x:v>
      </x:c>
      <x:c r="L24" s="17" t="str">
        <x:v>Yes</x:v>
      </x:c>
      <x:c r="M24" s="29" t="str">
        <x:f>INDEX('Prompt Totals'!$C$7:$C$246,MATCH($A24,'Prompt Totals'!$A$7:$A$246,0))</x:f>
        <x:v>CopyStudio</x:v>
      </x:c>
      <x:c r="N24" s="29" t="str">
        <x:f>INDEX('Prompt Totals'!$D$7:$D$246,MATCH($A24,'Prompt Totals'!$A$7:$A$246,0))</x:f>
        <x:v>Lite</x:v>
      </x:c>
      <x:c r="O24" s="29" t="n">
        <x:f>INDEX('Prompt Totals'!$E$7:$E$246,MATCH($A24,'Prompt Totals'!$A$7:$A$246,0))</x:f>
        <x:v>680501</x:v>
      </x:c>
      <x:c r="P24" s="29" t="n">
        <x:f>INDEX('Prompt Totals'!$F$7:$F$246,MATCH($A24,'Prompt Totals'!$A$7:$A$246,0))</x:f>
        <x:v>102212</x:v>
      </x:c>
      <x:c r="Q24" s="29" t="n">
        <x:f>INDEX('Prompt Totals'!$G$7:$G$246,MATCH($A24,'Prompt Totals'!$A$7:$A$246,0))</x:f>
        <x:v>782713</x:v>
      </x:c>
      <x:c r="R24" s="29" t="n">
        <x:f>INDEX('Prompt Totals'!$H$7:$H$246,MATCH($A24,'Prompt Totals'!$A$7:$A$246,0))</x:f>
        <x:v>13</x:v>
      </x:c>
      <x:c r="S24" s="30" t="n">
        <x:f>INDEX('Prompt Totals'!$I$7:$I$246,MATCH($A24,'Prompt Totals'!$A$7:$A$246,0))</x:f>
        <x:v>6.80501</x:v>
      </x:c>
      <x:c r="T24" s="30" t="n">
        <x:f>INDEX('Prompt Totals'!$J$7:$J$246,MATCH($A24,'Prompt Totals'!$A$7:$A$246,0))</x:f>
        <x:v>3.06636</x:v>
      </x:c>
      <x:c r="U24" s="30" t="n">
        <x:f>INDEX('Prompt Totals'!$K$7:$K$246,MATCH($A24,'Prompt Totals'!$A$7:$A$246,0))</x:f>
        <x:v>9.87137</x:v>
      </x:c>
      <x:c r="V24" s="29" t="n">
        <x:f>INDEX('Prompt Totals'!$L$7:$L$246,MATCH($A24,'Prompt Totals'!$A$7:$A$246,0))</x:f>
        <x:v>1</x:v>
      </x:c>
      <x:c r="W24" s="29" t="n">
        <x:f>INDEX('Prompt Totals'!$M$7:$M$246,MATCH($A24,'Prompt Totals'!$A$7:$A$246,0))</x:f>
        <x:v>11</x:v>
      </x:c>
      <x:c r="X24" s="29" t="n">
        <x:f>INDEX('Prompt Totals'!$N$7:$N$246,MATCH($A24,'Prompt Totals'!$A$7:$A$246,0))</x:f>
        <x:v>1</x:v>
      </x:c>
      <x:c r="Y24" s="19" t="n">
        <x:f>G24-H24</x:f>
        <x:v>2.3</x:v>
      </x:c>
      <x:c r="Z24" s="30" t="n">
        <x:f>Y24*'Solution'!$C$5</x:f>
        <x:v>114.99999999999999</x:v>
      </x:c>
      <x:c r="AA24" s="22" t="n">
        <x:f>Z24-U24</x:f>
        <x:v>105.12862999999999</x:v>
      </x:c>
    </x:row>
    <x:row r="25" ht="23" customHeight="1">
      <x:c r="A25" s="17" t="str">
        <x:v>W0019</x:v>
      </x:c>
      <x:c r="B25" s="18" t="n">
        <x:v>46275</x:v>
      </x:c>
      <x:c r="C25" s="17" t="str">
        <x:v>C001</x:v>
      </x:c>
      <x:c r="D25" s="17" t="str">
        <x:v>Creative</x:v>
      </x:c>
      <x:c r="E25" s="17" t="str">
        <x:v>Riley Chen</x:v>
      </x:c>
      <x:c r="F25" s="17" t="str">
        <x:v>Develop concept brief</x:v>
      </x:c>
      <x:c r="G25" s="20" t="n">
        <x:v>3</x:v>
      </x:c>
      <x:c r="H25" s="20" t="n">
        <x:v>1.51</x:v>
      </x:c>
      <x:c r="I25" s="20" t="n">
        <x:v>0.08</x:v>
      </x:c>
      <x:c r="J25" s="17" t="str">
        <x:v>None</x:v>
      </x:c>
      <x:c r="K25" s="17" t="str">
        <x:v>No</x:v>
      </x:c>
      <x:c r="L25" s="17" t="str">
        <x:v>No</x:v>
      </x:c>
      <x:c r="M25" s="29" t="str">
        <x:f>INDEX('Prompt Totals'!$C$7:$C$246,MATCH($A25,'Prompt Totals'!$A$7:$A$246,0))</x:f>
        <x:v>CampaignChat</x:v>
      </x:c>
      <x:c r="N25" s="29" t="str">
        <x:f>INDEX('Prompt Totals'!$D$7:$D$246,MATCH($A25,'Prompt Totals'!$A$7:$A$246,0))</x:f>
        <x:v>Pro</x:v>
      </x:c>
      <x:c r="O25" s="29" t="n">
        <x:f>INDEX('Prompt Totals'!$E$7:$E$246,MATCH($A25,'Prompt Totals'!$A$7:$A$246,0))</x:f>
        <x:v>146897</x:v>
      </x:c>
      <x:c r="P25" s="29" t="n">
        <x:f>INDEX('Prompt Totals'!$F$7:$F$246,MATCH($A25,'Prompt Totals'!$A$7:$A$246,0))</x:f>
        <x:v>44737</x:v>
      </x:c>
      <x:c r="Q25" s="29" t="n">
        <x:f>INDEX('Prompt Totals'!$G$7:$G$246,MATCH($A25,'Prompt Totals'!$A$7:$A$246,0))</x:f>
        <x:v>191634</x:v>
      </x:c>
      <x:c r="R25" s="29" t="n">
        <x:f>INDEX('Prompt Totals'!$H$7:$H$246,MATCH($A25,'Prompt Totals'!$A$7:$A$246,0))</x:f>
        <x:v>8</x:v>
      </x:c>
      <x:c r="S25" s="30" t="n">
        <x:f>INDEX('Prompt Totals'!$I$7:$I$246,MATCH($A25,'Prompt Totals'!$A$7:$A$246,0))</x:f>
        <x:v>5.87588</x:v>
      </x:c>
      <x:c r="T25" s="30" t="n">
        <x:f>INDEX('Prompt Totals'!$J$7:$J$246,MATCH($A25,'Prompt Totals'!$A$7:$A$246,0))</x:f>
        <x:v>4.4737</x:v>
      </x:c>
      <x:c r="U25" s="30" t="n">
        <x:f>INDEX('Prompt Totals'!$K$7:$K$246,MATCH($A25,'Prompt Totals'!$A$7:$A$246,0))</x:f>
        <x:v>10.34958</x:v>
      </x:c>
      <x:c r="V25" s="29" t="n">
        <x:f>INDEX('Prompt Totals'!$L$7:$L$246,MATCH($A25,'Prompt Totals'!$A$7:$A$246,0))</x:f>
        <x:v>1</x:v>
      </x:c>
      <x:c r="W25" s="29" t="n">
        <x:f>INDEX('Prompt Totals'!$M$7:$M$246,MATCH($A25,'Prompt Totals'!$A$7:$A$246,0))</x:f>
        <x:v>6</x:v>
      </x:c>
      <x:c r="X25" s="29" t="n">
        <x:f>INDEX('Prompt Totals'!$N$7:$N$246,MATCH($A25,'Prompt Totals'!$A$7:$A$246,0))</x:f>
        <x:v>1</x:v>
      </x:c>
      <x:c r="Y25" s="19" t="n">
        <x:f>G25-H25</x:f>
        <x:v>1.49</x:v>
      </x:c>
      <x:c r="Z25" s="30" t="n">
        <x:f>Y25*'Solution'!$C$5</x:f>
        <x:v>74.5</x:v>
      </x:c>
      <x:c r="AA25" s="22" t="n">
        <x:f>Z25-U25</x:f>
        <x:v>64.15042</x:v>
      </x:c>
    </x:row>
    <x:row r="26" ht="23" customHeight="1">
      <x:c r="A26" s="17" t="str">
        <x:v>W0020</x:v>
      </x:c>
      <x:c r="B26" s="18" t="n">
        <x:v>46286</x:v>
      </x:c>
      <x:c r="C26" s="17" t="str">
        <x:v>C001</x:v>
      </x:c>
      <x:c r="D26" s="17" t="str">
        <x:v>Creative</x:v>
      </x:c>
      <x:c r="E26" s="17" t="str">
        <x:v>Taylor Brooks</x:v>
      </x:c>
      <x:c r="F26" s="17" t="str">
        <x:v>Review creative variants</x:v>
      </x:c>
      <x:c r="G26" s="20" t="n">
        <x:v>2.78</x:v>
      </x:c>
      <x:c r="H26" s="20" t="n">
        <x:v>1.52</x:v>
      </x:c>
      <x:c r="I26" s="20" t="n">
        <x:v>0.06</x:v>
      </x:c>
      <x:c r="J26" s="17" t="str">
        <x:v>None</x:v>
      </x:c>
      <x:c r="K26" s="17" t="str">
        <x:v>No</x:v>
      </x:c>
      <x:c r="L26" s="17" t="str">
        <x:v>Yes</x:v>
      </x:c>
      <x:c r="M26" s="29" t="str">
        <x:f>INDEX('Prompt Totals'!$C$7:$C$246,MATCH($A26,'Prompt Totals'!$A$7:$A$246,0))</x:f>
        <x:v>CampaignChat</x:v>
      </x:c>
      <x:c r="N26" s="29" t="str">
        <x:f>INDEX('Prompt Totals'!$D$7:$D$246,MATCH($A26,'Prompt Totals'!$A$7:$A$246,0))</x:f>
        <x:v>Lite</x:v>
      </x:c>
      <x:c r="O26" s="29" t="n">
        <x:f>INDEX('Prompt Totals'!$E$7:$E$246,MATCH($A26,'Prompt Totals'!$A$7:$A$246,0))</x:f>
        <x:v>340278</x:v>
      </x:c>
      <x:c r="P26" s="29" t="n">
        <x:f>INDEX('Prompt Totals'!$F$7:$F$246,MATCH($A26,'Prompt Totals'!$A$7:$A$246,0))</x:f>
        <x:v>49462</x:v>
      </x:c>
      <x:c r="Q26" s="29" t="n">
        <x:f>INDEX('Prompt Totals'!$G$7:$G$246,MATCH($A26,'Prompt Totals'!$A$7:$A$246,0))</x:f>
        <x:v>389740</x:v>
      </x:c>
      <x:c r="R26" s="29" t="n">
        <x:f>INDEX('Prompt Totals'!$H$7:$H$246,MATCH($A26,'Prompt Totals'!$A$7:$A$246,0))</x:f>
        <x:v>8</x:v>
      </x:c>
      <x:c r="S26" s="30" t="n">
        <x:f>INDEX('Prompt Totals'!$I$7:$I$246,MATCH($A26,'Prompt Totals'!$A$7:$A$246,0))</x:f>
        <x:v>3.40278</x:v>
      </x:c>
      <x:c r="T26" s="30" t="n">
        <x:f>INDEX('Prompt Totals'!$J$7:$J$246,MATCH($A26,'Prompt Totals'!$A$7:$A$246,0))</x:f>
        <x:v>1.4838599999999997</x:v>
      </x:c>
      <x:c r="U26" s="30" t="n">
        <x:f>INDEX('Prompt Totals'!$K$7:$K$246,MATCH($A26,'Prompt Totals'!$A$7:$A$246,0))</x:f>
        <x:v>4.88664</x:v>
      </x:c>
      <x:c r="V26" s="29" t="n">
        <x:f>INDEX('Prompt Totals'!$L$7:$L$246,MATCH($A26,'Prompt Totals'!$A$7:$A$246,0))</x:f>
        <x:v>1</x:v>
      </x:c>
      <x:c r="W26" s="29" t="n">
        <x:f>INDEX('Prompt Totals'!$M$7:$M$246,MATCH($A26,'Prompt Totals'!$A$7:$A$246,0))</x:f>
        <x:v>6</x:v>
      </x:c>
      <x:c r="X26" s="29" t="n">
        <x:f>INDEX('Prompt Totals'!$N$7:$N$246,MATCH($A26,'Prompt Totals'!$A$7:$A$246,0))</x:f>
        <x:v>1</x:v>
      </x:c>
      <x:c r="Y26" s="19" t="n">
        <x:f>G26-H26</x:f>
        <x:v>1.2599999999999998</x:v>
      </x:c>
      <x:c r="Z26" s="30" t="n">
        <x:f>Y26*'Solution'!$C$5</x:f>
        <x:v>62.999999999999986</x:v>
      </x:c>
      <x:c r="AA26" s="22" t="n">
        <x:f>Z26-U26</x:f>
        <x:v>58.113359999999986</x:v>
      </x:c>
    </x:row>
    <x:row r="27" ht="23" customHeight="1">
      <x:c r="A27" s="17" t="str">
        <x:v>W0021</x:v>
      </x:c>
      <x:c r="B27" s="18" t="n">
        <x:v>46295</x:v>
      </x:c>
      <x:c r="C27" s="17" t="str">
        <x:v>C001</x:v>
      </x:c>
      <x:c r="D27" s="17" t="str">
        <x:v>Marketing Operations</x:v>
      </x:c>
      <x:c r="E27" s="17" t="str">
        <x:v>Casey Rivera</x:v>
      </x:c>
      <x:c r="F27" s="17" t="str">
        <x:v>Prepare launch checklist</x:v>
      </x:c>
      <x:c r="G27" s="20" t="n">
        <x:v>2.9</x:v>
      </x:c>
      <x:c r="H27" s="20" t="n">
        <x:v>1.42</x:v>
      </x:c>
      <x:c r="I27" s="20" t="n">
        <x:v>0.12</x:v>
      </x:c>
      <x:c r="J27" s="17" t="str">
        <x:v>None</x:v>
      </x:c>
      <x:c r="K27" s="17" t="str">
        <x:v>No</x:v>
      </x:c>
      <x:c r="L27" s="17" t="str">
        <x:v>No</x:v>
      </x:c>
      <x:c r="M27" s="29" t="str">
        <x:f>INDEX('Prompt Totals'!$C$7:$C$246,MATCH($A27,'Prompt Totals'!$A$7:$A$246,0))</x:f>
        <x:v>DataFlow</x:v>
      </x:c>
      <x:c r="N27" s="29" t="str">
        <x:f>INDEX('Prompt Totals'!$D$7:$D$246,MATCH($A27,'Prompt Totals'!$A$7:$A$246,0))</x:f>
        <x:v>Lite</x:v>
      </x:c>
      <x:c r="O27" s="29" t="n">
        <x:f>INDEX('Prompt Totals'!$E$7:$E$246,MATCH($A27,'Prompt Totals'!$A$7:$A$246,0))</x:f>
        <x:v>434783</x:v>
      </x:c>
      <x:c r="P27" s="29" t="n">
        <x:f>INDEX('Prompt Totals'!$F$7:$F$246,MATCH($A27,'Prompt Totals'!$A$7:$A$246,0))</x:f>
        <x:v>69747</x:v>
      </x:c>
      <x:c r="Q27" s="29" t="n">
        <x:f>INDEX('Prompt Totals'!$G$7:$G$246,MATCH($A27,'Prompt Totals'!$A$7:$A$246,0))</x:f>
        <x:v>504530</x:v>
      </x:c>
      <x:c r="R27" s="29" t="n">
        <x:f>INDEX('Prompt Totals'!$H$7:$H$246,MATCH($A27,'Prompt Totals'!$A$7:$A$246,0))</x:f>
        <x:v>8</x:v>
      </x:c>
      <x:c r="S27" s="30" t="n">
        <x:f>INDEX('Prompt Totals'!$I$7:$I$246,MATCH($A27,'Prompt Totals'!$A$7:$A$246,0))</x:f>
        <x:v>4.347829999999999</x:v>
      </x:c>
      <x:c r="T27" s="30" t="n">
        <x:f>INDEX('Prompt Totals'!$J$7:$J$246,MATCH($A27,'Prompt Totals'!$A$7:$A$246,0))</x:f>
        <x:v>2.09241</x:v>
      </x:c>
      <x:c r="U27" s="30" t="n">
        <x:f>INDEX('Prompt Totals'!$K$7:$K$246,MATCH($A27,'Prompt Totals'!$A$7:$A$246,0))</x:f>
        <x:v>6.440239999999999</x:v>
      </x:c>
      <x:c r="V27" s="29" t="n">
        <x:f>INDEX('Prompt Totals'!$L$7:$L$246,MATCH($A27,'Prompt Totals'!$A$7:$A$246,0))</x:f>
        <x:v>1</x:v>
      </x:c>
      <x:c r="W27" s="29" t="n">
        <x:f>INDEX('Prompt Totals'!$M$7:$M$246,MATCH($A27,'Prompt Totals'!$A$7:$A$246,0))</x:f>
        <x:v>6</x:v>
      </x:c>
      <x:c r="X27" s="29" t="n">
        <x:f>INDEX('Prompt Totals'!$N$7:$N$246,MATCH($A27,'Prompt Totals'!$A$7:$A$246,0))</x:f>
        <x:v>1</x:v>
      </x:c>
      <x:c r="Y27" s="19" t="n">
        <x:f>G27-H27</x:f>
        <x:v>1.48</x:v>
      </x:c>
      <x:c r="Z27" s="30" t="n">
        <x:f>Y27*'Solution'!$C$5</x:f>
        <x:v>74</x:v>
      </x:c>
      <x:c r="AA27" s="22" t="n">
        <x:f>Z27-U27</x:f>
        <x:v>67.55976</x:v>
      </x:c>
    </x:row>
    <x:row r="28" ht="23" customHeight="1">
      <x:c r="A28" s="17" t="str">
        <x:v>W0022</x:v>
      </x:c>
      <x:c r="B28" s="18" t="n">
        <x:v>46280</x:v>
      </x:c>
      <x:c r="C28" s="17" t="str">
        <x:v>C001</x:v>
      </x:c>
      <x:c r="D28" s="17" t="str">
        <x:v>Marketing Operations</x:v>
      </x:c>
      <x:c r="E28" s="17" t="str">
        <x:v>Morgan Reed</x:v>
      </x:c>
      <x:c r="F28" s="17" t="str">
        <x:v>Build campaign plan</x:v>
      </x:c>
      <x:c r="G28" s="20" t="n">
        <x:v>3.22</x:v>
      </x:c>
      <x:c r="H28" s="20" t="n">
        <x:v>1.57</x:v>
      </x:c>
      <x:c r="I28" s="20" t="n">
        <x:v>0.07</x:v>
      </x:c>
      <x:c r="J28" s="17" t="str">
        <x:v>None</x:v>
      </x:c>
      <x:c r="K28" s="17" t="str">
        <x:v>No</x:v>
      </x:c>
      <x:c r="L28" s="17" t="str">
        <x:v>No</x:v>
      </x:c>
      <x:c r="M28" s="29" t="str">
        <x:f>INDEX('Prompt Totals'!$C$7:$C$246,MATCH($A28,'Prompt Totals'!$A$7:$A$246,0))</x:f>
        <x:v>DataFlow</x:v>
      </x:c>
      <x:c r="N28" s="29" t="str">
        <x:f>INDEX('Prompt Totals'!$D$7:$D$246,MATCH($A28,'Prompt Totals'!$A$7:$A$246,0))</x:f>
        <x:v>Lite</x:v>
      </x:c>
      <x:c r="O28" s="29" t="n">
        <x:f>INDEX('Prompt Totals'!$E$7:$E$246,MATCH($A28,'Prompt Totals'!$A$7:$A$246,0))</x:f>
        <x:v>659372</x:v>
      </x:c>
      <x:c r="P28" s="29" t="n">
        <x:f>INDEX('Prompt Totals'!$F$7:$F$246,MATCH($A28,'Prompt Totals'!$A$7:$A$246,0))</x:f>
        <x:v>120788</x:v>
      </x:c>
      <x:c r="Q28" s="29" t="n">
        <x:f>INDEX('Prompt Totals'!$G$7:$G$246,MATCH($A28,'Prompt Totals'!$A$7:$A$246,0))</x:f>
        <x:v>780160</x:v>
      </x:c>
      <x:c r="R28" s="29" t="n">
        <x:f>INDEX('Prompt Totals'!$H$7:$H$246,MATCH($A28,'Prompt Totals'!$A$7:$A$246,0))</x:f>
        <x:v>12</x:v>
      </x:c>
      <x:c r="S28" s="30" t="n">
        <x:f>INDEX('Prompt Totals'!$I$7:$I$246,MATCH($A28,'Prompt Totals'!$A$7:$A$246,0))</x:f>
        <x:v>6.593719999999999</x:v>
      </x:c>
      <x:c r="T28" s="30" t="n">
        <x:f>INDEX('Prompt Totals'!$J$7:$J$246,MATCH($A28,'Prompt Totals'!$A$7:$A$246,0))</x:f>
        <x:v>3.6236400000000004</x:v>
      </x:c>
      <x:c r="U28" s="30" t="n">
        <x:f>INDEX('Prompt Totals'!$K$7:$K$246,MATCH($A28,'Prompt Totals'!$A$7:$A$246,0))</x:f>
        <x:v>10.21736</x:v>
      </x:c>
      <x:c r="V28" s="29" t="n">
        <x:f>INDEX('Prompt Totals'!$L$7:$L$246,MATCH($A28,'Prompt Totals'!$A$7:$A$246,0))</x:f>
        <x:v>1</x:v>
      </x:c>
      <x:c r="W28" s="29" t="n">
        <x:f>INDEX('Prompt Totals'!$M$7:$M$246,MATCH($A28,'Prompt Totals'!$A$7:$A$246,0))</x:f>
        <x:v>10</x:v>
      </x:c>
      <x:c r="X28" s="29" t="n">
        <x:f>INDEX('Prompt Totals'!$N$7:$N$246,MATCH($A28,'Prompt Totals'!$A$7:$A$246,0))</x:f>
        <x:v>1</x:v>
      </x:c>
      <x:c r="Y28" s="19" t="n">
        <x:f>G28-H28</x:f>
        <x:v>1.6500000000000001</x:v>
      </x:c>
      <x:c r="Z28" s="30" t="n">
        <x:f>Y28*'Solution'!$C$5</x:f>
        <x:v>82.5</x:v>
      </x:c>
      <x:c r="AA28" s="22" t="n">
        <x:f>Z28-U28</x:f>
        <x:v>72.28264</x:v>
      </x:c>
    </x:row>
    <x:row r="29" ht="23" customHeight="1">
      <x:c r="A29" s="17" t="str">
        <x:v>W0023</x:v>
      </x:c>
      <x:c r="B29" s="18" t="n">
        <x:v>46289</x:v>
      </x:c>
      <x:c r="C29" s="17" t="str">
        <x:v>C001</x:v>
      </x:c>
      <x:c r="D29" s="17" t="str">
        <x:v>Analytics</x:v>
      </x:c>
      <x:c r="E29" s="17" t="str">
        <x:v>Quinn Parker</x:v>
      </x:c>
      <x:c r="F29" s="17" t="str">
        <x:v>Summarize audience insights</x:v>
      </x:c>
      <x:c r="G29" s="20" t="n">
        <x:v>5.14</x:v>
      </x:c>
      <x:c r="H29" s="20" t="n">
        <x:v>2.29</x:v>
      </x:c>
      <x:c r="I29" s="20" t="n">
        <x:v>0.05</x:v>
      </x:c>
      <x:c r="J29" s="17" t="str">
        <x:v>Unclear prompt</x:v>
      </x:c>
      <x:c r="K29" s="17" t="str">
        <x:v>No</x:v>
      </x:c>
      <x:c r="L29" s="17" t="str">
        <x:v>Yes</x:v>
      </x:c>
      <x:c r="M29" s="29" t="str">
        <x:f>INDEX('Prompt Totals'!$C$7:$C$246,MATCH($A29,'Prompt Totals'!$A$7:$A$246,0))</x:f>
        <x:v>InsightDesk</x:v>
      </x:c>
      <x:c r="N29" s="29" t="str">
        <x:f>INDEX('Prompt Totals'!$D$7:$D$246,MATCH($A29,'Prompt Totals'!$A$7:$A$246,0))</x:f>
        <x:v>Pro</x:v>
      </x:c>
      <x:c r="O29" s="29" t="n">
        <x:f>INDEX('Prompt Totals'!$E$7:$E$246,MATCH($A29,'Prompt Totals'!$A$7:$A$246,0))</x:f>
        <x:v>174462</x:v>
      </x:c>
      <x:c r="P29" s="29" t="n">
        <x:f>INDEX('Prompt Totals'!$F$7:$F$246,MATCH($A29,'Prompt Totals'!$A$7:$A$246,0))</x:f>
        <x:v>59744</x:v>
      </x:c>
      <x:c r="Q29" s="29" t="n">
        <x:f>INDEX('Prompt Totals'!$G$7:$G$246,MATCH($A29,'Prompt Totals'!$A$7:$A$246,0))</x:f>
        <x:v>234206</x:v>
      </x:c>
      <x:c r="R29" s="29" t="n">
        <x:f>INDEX('Prompt Totals'!$H$7:$H$246,MATCH($A29,'Prompt Totals'!$A$7:$A$246,0))</x:f>
        <x:v>8</x:v>
      </x:c>
      <x:c r="S29" s="30" t="n">
        <x:f>INDEX('Prompt Totals'!$I$7:$I$246,MATCH($A29,'Prompt Totals'!$A$7:$A$246,0))</x:f>
        <x:v>6.97848</x:v>
      </x:c>
      <x:c r="T29" s="30" t="n">
        <x:f>INDEX('Prompt Totals'!$J$7:$J$246,MATCH($A29,'Prompt Totals'!$A$7:$A$246,0))</x:f>
        <x:v>5.974399999999999</x:v>
      </x:c>
      <x:c r="U29" s="30" t="n">
        <x:f>INDEX('Prompt Totals'!$K$7:$K$246,MATCH($A29,'Prompt Totals'!$A$7:$A$246,0))</x:f>
        <x:v>12.952880000000002</x:v>
      </x:c>
      <x:c r="V29" s="29" t="n">
        <x:f>INDEX('Prompt Totals'!$L$7:$L$246,MATCH($A29,'Prompt Totals'!$A$7:$A$246,0))</x:f>
        <x:v>1</x:v>
      </x:c>
      <x:c r="W29" s="29" t="n">
        <x:f>INDEX('Prompt Totals'!$M$7:$M$246,MATCH($A29,'Prompt Totals'!$A$7:$A$246,0))</x:f>
        <x:v>6</x:v>
      </x:c>
      <x:c r="X29" s="29" t="n">
        <x:f>INDEX('Prompt Totals'!$N$7:$N$246,MATCH($A29,'Prompt Totals'!$A$7:$A$246,0))</x:f>
        <x:v>1</x:v>
      </x:c>
      <x:c r="Y29" s="19" t="n">
        <x:f>G29-H29</x:f>
        <x:v>2.8499999999999996</x:v>
      </x:c>
      <x:c r="Z29" s="30" t="n">
        <x:f>Y29*'Solution'!$C$5</x:f>
        <x:v>142.49999999999997</x:v>
      </x:c>
      <x:c r="AA29" s="22" t="n">
        <x:f>Z29-U29</x:f>
        <x:v>129.54711999999998</x:v>
      </x:c>
    </x:row>
    <x:row r="30" ht="23" customHeight="1">
      <x:c r="A30" s="17" t="str">
        <x:v>W0024</x:v>
      </x:c>
      <x:c r="B30" s="18" t="n">
        <x:v>46274</x:v>
      </x:c>
      <x:c r="C30" s="17" t="str">
        <x:v>C001</x:v>
      </x:c>
      <x:c r="D30" s="17" t="str">
        <x:v>Analytics</x:v>
      </x:c>
      <x:c r="E30" s="17" t="str">
        <x:v>Jamie Patel</x:v>
      </x:c>
      <x:c r="F30" s="17" t="str">
        <x:v>Check measurement plan</x:v>
      </x:c>
      <x:c r="G30" s="20" t="n">
        <x:v>3.52</x:v>
      </x:c>
      <x:c r="H30" s="20" t="n">
        <x:v>1.92</x:v>
      </x:c>
      <x:c r="I30" s="20" t="n">
        <x:v>0.15</x:v>
      </x:c>
      <x:c r="J30" s="17" t="str">
        <x:v>None</x:v>
      </x:c>
      <x:c r="K30" s="17" t="str">
        <x:v>No</x:v>
      </x:c>
      <x:c r="L30" s="17" t="str">
        <x:v>Yes</x:v>
      </x:c>
      <x:c r="M30" s="29" t="str">
        <x:f>INDEX('Prompt Totals'!$C$7:$C$246,MATCH($A30,'Prompt Totals'!$A$7:$A$246,0))</x:f>
        <x:v>CampaignChat</x:v>
      </x:c>
      <x:c r="N30" s="29" t="str">
        <x:f>INDEX('Prompt Totals'!$D$7:$D$246,MATCH($A30,'Prompt Totals'!$A$7:$A$246,0))</x:f>
        <x:v>Lite</x:v>
      </x:c>
      <x:c r="O30" s="29" t="n">
        <x:f>INDEX('Prompt Totals'!$E$7:$E$246,MATCH($A30,'Prompt Totals'!$A$7:$A$246,0))</x:f>
        <x:v>374816</x:v>
      </x:c>
      <x:c r="P30" s="29" t="n">
        <x:f>INDEX('Prompt Totals'!$F$7:$F$246,MATCH($A30,'Prompt Totals'!$A$7:$A$246,0))</x:f>
        <x:v>107305</x:v>
      </x:c>
      <x:c r="Q30" s="29" t="n">
        <x:f>INDEX('Prompt Totals'!$G$7:$G$246,MATCH($A30,'Prompt Totals'!$A$7:$A$246,0))</x:f>
        <x:v>482121</x:v>
      </x:c>
      <x:c r="R30" s="29" t="n">
        <x:f>INDEX('Prompt Totals'!$H$7:$H$246,MATCH($A30,'Prompt Totals'!$A$7:$A$246,0))</x:f>
        <x:v>12</x:v>
      </x:c>
      <x:c r="S30" s="30" t="n">
        <x:f>INDEX('Prompt Totals'!$I$7:$I$246,MATCH($A30,'Prompt Totals'!$A$7:$A$246,0))</x:f>
        <x:v>3.74816</x:v>
      </x:c>
      <x:c r="T30" s="30" t="n">
        <x:f>INDEX('Prompt Totals'!$J$7:$J$246,MATCH($A30,'Prompt Totals'!$A$7:$A$246,0))</x:f>
        <x:v>3.2191500000000004</x:v>
      </x:c>
      <x:c r="U30" s="30" t="n">
        <x:f>INDEX('Prompt Totals'!$K$7:$K$246,MATCH($A30,'Prompt Totals'!$A$7:$A$246,0))</x:f>
        <x:v>6.9673099999999994</x:v>
      </x:c>
      <x:c r="V30" s="29" t="n">
        <x:f>INDEX('Prompt Totals'!$L$7:$L$246,MATCH($A30,'Prompt Totals'!$A$7:$A$246,0))</x:f>
        <x:v>1</x:v>
      </x:c>
      <x:c r="W30" s="29" t="n">
        <x:f>INDEX('Prompt Totals'!$M$7:$M$246,MATCH($A30,'Prompt Totals'!$A$7:$A$246,0))</x:f>
        <x:v>9</x:v>
      </x:c>
      <x:c r="X30" s="29" t="n">
        <x:f>INDEX('Prompt Totals'!$N$7:$N$246,MATCH($A30,'Prompt Totals'!$A$7:$A$246,0))</x:f>
        <x:v>2</x:v>
      </x:c>
      <x:c r="Y30" s="19" t="n">
        <x:f>G30-H30</x:f>
        <x:v>1.6</x:v>
      </x:c>
      <x:c r="Z30" s="30" t="n">
        <x:f>Y30*'Solution'!$C$5</x:f>
        <x:v>80</x:v>
      </x:c>
      <x:c r="AA30" s="22" t="n">
        <x:f>Z30-U30</x:f>
        <x:v>73.03269</x:v>
      </x:c>
    </x:row>
    <x:row r="31" ht="23" customHeight="1">
      <x:c r="A31" s="17" t="str">
        <x:v>W0025</x:v>
      </x:c>
      <x:c r="B31" s="18" t="n">
        <x:v>46283</x:v>
      </x:c>
      <x:c r="C31" s="17" t="str">
        <x:v>C001</x:v>
      </x:c>
      <x:c r="D31" s="17" t="str">
        <x:v>Content</x:v>
      </x:c>
      <x:c r="E31" s="17" t="str">
        <x:v>Avery Morgan</x:v>
      </x:c>
      <x:c r="F31" s="17" t="str">
        <x:v>Write ad copy</x:v>
      </x:c>
      <x:c r="G31" s="20" t="n">
        <x:v>4.92</x:v>
      </x:c>
      <x:c r="H31" s="20" t="n">
        <x:v>2.74</x:v>
      </x:c>
      <x:c r="I31" s="20" t="n">
        <x:v>0.07</x:v>
      </x:c>
      <x:c r="J31" s="17" t="str">
        <x:v>Brief changed</x:v>
      </x:c>
      <x:c r="K31" s="17" t="str">
        <x:v>Yes</x:v>
      </x:c>
      <x:c r="L31" s="17" t="str">
        <x:v>Yes</x:v>
      </x:c>
      <x:c r="M31" s="29" t="str">
        <x:f>INDEX('Prompt Totals'!$C$7:$C$246,MATCH($A31,'Prompt Totals'!$A$7:$A$246,0))</x:f>
        <x:v>CopyStudio</x:v>
      </x:c>
      <x:c r="N31" s="29" t="str">
        <x:f>INDEX('Prompt Totals'!$D$7:$D$246,MATCH($A31,'Prompt Totals'!$A$7:$A$246,0))</x:f>
        <x:v>Lite</x:v>
      </x:c>
      <x:c r="O31" s="29" t="n">
        <x:f>INDEX('Prompt Totals'!$E$7:$E$246,MATCH($A31,'Prompt Totals'!$A$7:$A$246,0))</x:f>
        <x:v>295324</x:v>
      </x:c>
      <x:c r="P31" s="29" t="n">
        <x:f>INDEX('Prompt Totals'!$F$7:$F$246,MATCH($A31,'Prompt Totals'!$A$7:$A$246,0))</x:f>
        <x:v>103406</x:v>
      </x:c>
      <x:c r="Q31" s="29" t="n">
        <x:f>INDEX('Prompt Totals'!$G$7:$G$246,MATCH($A31,'Prompt Totals'!$A$7:$A$246,0))</x:f>
        <x:v>398730</x:v>
      </x:c>
      <x:c r="R31" s="29" t="n">
        <x:f>INDEX('Prompt Totals'!$H$7:$H$246,MATCH($A31,'Prompt Totals'!$A$7:$A$246,0))</x:f>
        <x:v>9</x:v>
      </x:c>
      <x:c r="S31" s="30" t="n">
        <x:f>INDEX('Prompt Totals'!$I$7:$I$246,MATCH($A31,'Prompt Totals'!$A$7:$A$246,0))</x:f>
        <x:v>2.9532400000000005</x:v>
      </x:c>
      <x:c r="T31" s="30" t="n">
        <x:f>INDEX('Prompt Totals'!$J$7:$J$246,MATCH($A31,'Prompt Totals'!$A$7:$A$246,0))</x:f>
        <x:v>3.1021800000000006</x:v>
      </x:c>
      <x:c r="U31" s="30" t="n">
        <x:f>INDEX('Prompt Totals'!$K$7:$K$246,MATCH($A31,'Prompt Totals'!$A$7:$A$246,0))</x:f>
        <x:v>6.055420000000001</x:v>
      </x:c>
      <x:c r="V31" s="29" t="n">
        <x:f>INDEX('Prompt Totals'!$L$7:$L$246,MATCH($A31,'Prompt Totals'!$A$7:$A$246,0))</x:f>
        <x:v>1</x:v>
      </x:c>
      <x:c r="W31" s="29" t="n">
        <x:f>INDEX('Prompt Totals'!$M$7:$M$246,MATCH($A31,'Prompt Totals'!$A$7:$A$246,0))</x:f>
        <x:v>7</x:v>
      </x:c>
      <x:c r="X31" s="29" t="n">
        <x:f>INDEX('Prompt Totals'!$N$7:$N$246,MATCH($A31,'Prompt Totals'!$A$7:$A$246,0))</x:f>
        <x:v>1</x:v>
      </x:c>
      <x:c r="Y31" s="19" t="n">
        <x:f>G31-H31</x:f>
        <x:v>2.1799999999999997</x:v>
      </x:c>
      <x:c r="Z31" s="30" t="n">
        <x:f>Y31*'Solution'!$C$5</x:f>
        <x:v>108.99999999999999</x:v>
      </x:c>
      <x:c r="AA31" s="22" t="n">
        <x:f>Z31-U31</x:f>
        <x:v>102.94457999999999</x:v>
      </x:c>
    </x:row>
    <x:row r="32" ht="23" customHeight="1">
      <x:c r="A32" s="17" t="str">
        <x:v>W0026</x:v>
      </x:c>
      <x:c r="B32" s="18" t="n">
        <x:v>46294</x:v>
      </x:c>
      <x:c r="C32" s="17" t="str">
        <x:v>C001</x:v>
      </x:c>
      <x:c r="D32" s="17" t="str">
        <x:v>Content</x:v>
      </x:c>
      <x:c r="E32" s="17" t="str">
        <x:v>Jordan Ellis</x:v>
      </x:c>
      <x:c r="F32" s="17" t="str">
        <x:v>Draft email sequence</x:v>
      </x:c>
      <x:c r="G32" s="20" t="n">
        <x:v>3.8</x:v>
      </x:c>
      <x:c r="H32" s="20" t="n">
        <x:v>1.57</x:v>
      </x:c>
      <x:c r="I32" s="20" t="n">
        <x:v>0.03</x:v>
      </x:c>
      <x:c r="J32" s="17" t="str">
        <x:v>None</x:v>
      </x:c>
      <x:c r="K32" s="17" t="str">
        <x:v>No</x:v>
      </x:c>
      <x:c r="L32" s="17" t="str">
        <x:v>Yes</x:v>
      </x:c>
      <x:c r="M32" s="29" t="str">
        <x:f>INDEX('Prompt Totals'!$C$7:$C$246,MATCH($A32,'Prompt Totals'!$A$7:$A$246,0))</x:f>
        <x:v>CopyStudio</x:v>
      </x:c>
      <x:c r="N32" s="29" t="str">
        <x:f>INDEX('Prompt Totals'!$D$7:$D$246,MATCH($A32,'Prompt Totals'!$A$7:$A$246,0))</x:f>
        <x:v>Lite</x:v>
      </x:c>
      <x:c r="O32" s="29" t="n">
        <x:f>INDEX('Prompt Totals'!$E$7:$E$246,MATCH($A32,'Prompt Totals'!$A$7:$A$246,0))</x:f>
        <x:v>509456</x:v>
      </x:c>
      <x:c r="P32" s="29" t="n">
        <x:f>INDEX('Prompt Totals'!$F$7:$F$246,MATCH($A32,'Prompt Totals'!$A$7:$A$246,0))</x:f>
        <x:v>73501</x:v>
      </x:c>
      <x:c r="Q32" s="29" t="n">
        <x:f>INDEX('Prompt Totals'!$G$7:$G$246,MATCH($A32,'Prompt Totals'!$A$7:$A$246,0))</x:f>
        <x:v>582957</x:v>
      </x:c>
      <x:c r="R32" s="29" t="n">
        <x:f>INDEX('Prompt Totals'!$H$7:$H$246,MATCH($A32,'Prompt Totals'!$A$7:$A$246,0))</x:f>
        <x:v>12</x:v>
      </x:c>
      <x:c r="S32" s="30" t="n">
        <x:f>INDEX('Prompt Totals'!$I$7:$I$246,MATCH($A32,'Prompt Totals'!$A$7:$A$246,0))</x:f>
        <x:v>5.09456</x:v>
      </x:c>
      <x:c r="T32" s="30" t="n">
        <x:f>INDEX('Prompt Totals'!$J$7:$J$246,MATCH($A32,'Prompt Totals'!$A$7:$A$246,0))</x:f>
        <x:v>2.2050300000000003</x:v>
      </x:c>
      <x:c r="U32" s="30" t="n">
        <x:f>INDEX('Prompt Totals'!$K$7:$K$246,MATCH($A32,'Prompt Totals'!$A$7:$A$246,0))</x:f>
        <x:v>7.299590000000001</x:v>
      </x:c>
      <x:c r="V32" s="29" t="n">
        <x:f>INDEX('Prompt Totals'!$L$7:$L$246,MATCH($A32,'Prompt Totals'!$A$7:$A$246,0))</x:f>
        <x:v>1</x:v>
      </x:c>
      <x:c r="W32" s="29" t="n">
        <x:f>INDEX('Prompt Totals'!$M$7:$M$246,MATCH($A32,'Prompt Totals'!$A$7:$A$246,0))</x:f>
        <x:v>10</x:v>
      </x:c>
      <x:c r="X32" s="29" t="n">
        <x:f>INDEX('Prompt Totals'!$N$7:$N$246,MATCH($A32,'Prompt Totals'!$A$7:$A$246,0))</x:f>
        <x:v>1</x:v>
      </x:c>
      <x:c r="Y32" s="19" t="n">
        <x:f>G32-H32</x:f>
        <x:v>2.2299999999999995</x:v>
      </x:c>
      <x:c r="Z32" s="30" t="n">
        <x:f>Y32*'Solution'!$C$5</x:f>
        <x:v>111.49999999999997</x:v>
      </x:c>
      <x:c r="AA32" s="22" t="n">
        <x:f>Z32-U32</x:f>
        <x:v>104.20040999999998</x:v>
      </x:c>
    </x:row>
    <x:row r="33" ht="23" customHeight="1">
      <x:c r="A33" s="17" t="str">
        <x:v>W0027</x:v>
      </x:c>
      <x:c r="B33" s="18" t="n">
        <x:v>46279</x:v>
      </x:c>
      <x:c r="C33" s="17" t="str">
        <x:v>C001</x:v>
      </x:c>
      <x:c r="D33" s="17" t="str">
        <x:v>Creative</x:v>
      </x:c>
      <x:c r="E33" s="17" t="str">
        <x:v>Riley Chen</x:v>
      </x:c>
      <x:c r="F33" s="17" t="str">
        <x:v>Plan visual narrative</x:v>
      </x:c>
      <x:c r="G33" s="20" t="n">
        <x:v>4.7</x:v>
      </x:c>
      <x:c r="H33" s="20" t="n">
        <x:v>2.76</x:v>
      </x:c>
      <x:c r="I33" s="20" t="n">
        <x:v>0.14</x:v>
      </x:c>
      <x:c r="J33" s="17" t="str">
        <x:v>None</x:v>
      </x:c>
      <x:c r="K33" s="17" t="str">
        <x:v>No</x:v>
      </x:c>
      <x:c r="L33" s="17" t="str">
        <x:v>Yes</x:v>
      </x:c>
      <x:c r="M33" s="29" t="str">
        <x:f>INDEX('Prompt Totals'!$C$7:$C$246,MATCH($A33,'Prompt Totals'!$A$7:$A$246,0))</x:f>
        <x:v>CampaignChat</x:v>
      </x:c>
      <x:c r="N33" s="29" t="str">
        <x:f>INDEX('Prompt Totals'!$D$7:$D$246,MATCH($A33,'Prompt Totals'!$A$7:$A$246,0))</x:f>
        <x:v>Lite</x:v>
      </x:c>
      <x:c r="O33" s="29" t="n">
        <x:f>INDEX('Prompt Totals'!$E$7:$E$246,MATCH($A33,'Prompt Totals'!$A$7:$A$246,0))</x:f>
        <x:v>474129</x:v>
      </x:c>
      <x:c r="P33" s="29" t="n">
        <x:f>INDEX('Prompt Totals'!$F$7:$F$246,MATCH($A33,'Prompt Totals'!$A$7:$A$246,0))</x:f>
        <x:v>52429</x:v>
      </x:c>
      <x:c r="Q33" s="29" t="n">
        <x:f>INDEX('Prompt Totals'!$G$7:$G$246,MATCH($A33,'Prompt Totals'!$A$7:$A$246,0))</x:f>
        <x:v>526558</x:v>
      </x:c>
      <x:c r="R33" s="29" t="n">
        <x:f>INDEX('Prompt Totals'!$H$7:$H$246,MATCH($A33,'Prompt Totals'!$A$7:$A$246,0))</x:f>
        <x:v>9</x:v>
      </x:c>
      <x:c r="S33" s="30" t="n">
        <x:f>INDEX('Prompt Totals'!$I$7:$I$246,MATCH($A33,'Prompt Totals'!$A$7:$A$246,0))</x:f>
        <x:v>4.741289999999999</x:v>
      </x:c>
      <x:c r="T33" s="30" t="n">
        <x:f>INDEX('Prompt Totals'!$J$7:$J$246,MATCH($A33,'Prompt Totals'!$A$7:$A$246,0))</x:f>
        <x:v>1.57287</x:v>
      </x:c>
      <x:c r="U33" s="30" t="n">
        <x:f>INDEX('Prompt Totals'!$K$7:$K$246,MATCH($A33,'Prompt Totals'!$A$7:$A$246,0))</x:f>
        <x:v>6.314159999999999</x:v>
      </x:c>
      <x:c r="V33" s="29" t="n">
        <x:f>INDEX('Prompt Totals'!$L$7:$L$246,MATCH($A33,'Prompt Totals'!$A$7:$A$246,0))</x:f>
        <x:v>1</x:v>
      </x:c>
      <x:c r="W33" s="29" t="n">
        <x:f>INDEX('Prompt Totals'!$M$7:$M$246,MATCH($A33,'Prompt Totals'!$A$7:$A$246,0))</x:f>
        <x:v>7</x:v>
      </x:c>
      <x:c r="X33" s="29" t="n">
        <x:f>INDEX('Prompt Totals'!$N$7:$N$246,MATCH($A33,'Prompt Totals'!$A$7:$A$246,0))</x:f>
        <x:v>1</x:v>
      </x:c>
      <x:c r="Y33" s="19" t="n">
        <x:f>G33-H33</x:f>
        <x:v>1.9400000000000004</x:v>
      </x:c>
      <x:c r="Z33" s="30" t="n">
        <x:f>Y33*'Solution'!$C$5</x:f>
        <x:v>97.00000000000001</x:v>
      </x:c>
      <x:c r="AA33" s="22" t="n">
        <x:f>Z33-U33</x:f>
        <x:v>90.68584000000001</x:v>
      </x:c>
    </x:row>
    <x:row r="34" ht="23" customHeight="1">
      <x:c r="A34" s="17" t="str">
        <x:v>W0028</x:v>
      </x:c>
      <x:c r="B34" s="18" t="n">
        <x:v>46288</x:v>
      </x:c>
      <x:c r="C34" s="17" t="str">
        <x:v>C001</x:v>
      </x:c>
      <x:c r="D34" s="17" t="str">
        <x:v>Creative</x:v>
      </x:c>
      <x:c r="E34" s="17" t="str">
        <x:v>Taylor Brooks</x:v>
      </x:c>
      <x:c r="F34" s="17" t="str">
        <x:v>Develop concept brief</x:v>
      </x:c>
      <x:c r="G34" s="20" t="n">
        <x:v>5.24</x:v>
      </x:c>
      <x:c r="H34" s="20" t="n">
        <x:v>2.88</x:v>
      </x:c>
      <x:c r="I34" s="20" t="n">
        <x:v>0.06</x:v>
      </x:c>
      <x:c r="J34" s="17" t="str">
        <x:v>None</x:v>
      </x:c>
      <x:c r="K34" s="17" t="str">
        <x:v>No</x:v>
      </x:c>
      <x:c r="L34" s="17" t="str">
        <x:v>Yes</x:v>
      </x:c>
      <x:c r="M34" s="29" t="str">
        <x:f>INDEX('Prompt Totals'!$C$7:$C$246,MATCH($A34,'Prompt Totals'!$A$7:$A$246,0))</x:f>
        <x:v>CampaignChat</x:v>
      </x:c>
      <x:c r="N34" s="29" t="str">
        <x:f>INDEX('Prompt Totals'!$D$7:$D$246,MATCH($A34,'Prompt Totals'!$A$7:$A$246,0))</x:f>
        <x:v>Lite</x:v>
      </x:c>
      <x:c r="O34" s="29" t="n">
        <x:f>INDEX('Prompt Totals'!$E$7:$E$246,MATCH($A34,'Prompt Totals'!$A$7:$A$246,0))</x:f>
        <x:v>230814</x:v>
      </x:c>
      <x:c r="P34" s="29" t="n">
        <x:f>INDEX('Prompt Totals'!$F$7:$F$246,MATCH($A34,'Prompt Totals'!$A$7:$A$246,0))</x:f>
        <x:v>106368</x:v>
      </x:c>
      <x:c r="Q34" s="29" t="n">
        <x:f>INDEX('Prompt Totals'!$G$7:$G$246,MATCH($A34,'Prompt Totals'!$A$7:$A$246,0))</x:f>
        <x:v>337182</x:v>
      </x:c>
      <x:c r="R34" s="29" t="n">
        <x:f>INDEX('Prompt Totals'!$H$7:$H$246,MATCH($A34,'Prompt Totals'!$A$7:$A$246,0))</x:f>
        <x:v>10</x:v>
      </x:c>
      <x:c r="S34" s="30" t="n">
        <x:f>INDEX('Prompt Totals'!$I$7:$I$246,MATCH($A34,'Prompt Totals'!$A$7:$A$246,0))</x:f>
        <x:v>2.3081400000000003</x:v>
      </x:c>
      <x:c r="T34" s="30" t="n">
        <x:f>INDEX('Prompt Totals'!$J$7:$J$246,MATCH($A34,'Prompt Totals'!$A$7:$A$246,0))</x:f>
        <x:v>3.191039999999999</x:v>
      </x:c>
      <x:c r="U34" s="30" t="n">
        <x:f>INDEX('Prompt Totals'!$K$7:$K$246,MATCH($A34,'Prompt Totals'!$A$7:$A$246,0))</x:f>
        <x:v>5.49918</x:v>
      </x:c>
      <x:c r="V34" s="29" t="n">
        <x:f>INDEX('Prompt Totals'!$L$7:$L$246,MATCH($A34,'Prompt Totals'!$A$7:$A$246,0))</x:f>
        <x:v>1</x:v>
      </x:c>
      <x:c r="W34" s="29" t="n">
        <x:f>INDEX('Prompt Totals'!$M$7:$M$246,MATCH($A34,'Prompt Totals'!$A$7:$A$246,0))</x:f>
        <x:v>8</x:v>
      </x:c>
      <x:c r="X34" s="29" t="n">
        <x:f>INDEX('Prompt Totals'!$N$7:$N$246,MATCH($A34,'Prompt Totals'!$A$7:$A$246,0))</x:f>
        <x:v>1</x:v>
      </x:c>
      <x:c r="Y34" s="19" t="n">
        <x:f>G34-H34</x:f>
        <x:v>2.3600000000000003</x:v>
      </x:c>
      <x:c r="Z34" s="30" t="n">
        <x:f>Y34*'Solution'!$C$5</x:f>
        <x:v>118.00000000000001</x:v>
      </x:c>
      <x:c r="AA34" s="22" t="n">
        <x:f>Z34-U34</x:f>
        <x:v>112.50082000000002</x:v>
      </x:c>
    </x:row>
    <x:row r="35" ht="23" customHeight="1">
      <x:c r="A35" s="17" t="str">
        <x:v>W0029</x:v>
      </x:c>
      <x:c r="B35" s="18" t="n">
        <x:v>46273</x:v>
      </x:c>
      <x:c r="C35" s="17" t="str">
        <x:v>C001</x:v>
      </x:c>
      <x:c r="D35" s="17" t="str">
        <x:v>Marketing Operations</x:v>
      </x:c>
      <x:c r="E35" s="17" t="str">
        <x:v>Casey Rivera</x:v>
      </x:c>
      <x:c r="F35" s="17" t="str">
        <x:v>Clean audience data</x:v>
      </x:c>
      <x:c r="G35" s="20" t="n">
        <x:v>3.78</x:v>
      </x:c>
      <x:c r="H35" s="20" t="n">
        <x:v>1.83</x:v>
      </x:c>
      <x:c r="I35" s="20" t="n">
        <x:v>0.14</x:v>
      </x:c>
      <x:c r="J35" s="17" t="str">
        <x:v>Unclear prompt</x:v>
      </x:c>
      <x:c r="K35" s="17" t="str">
        <x:v>No</x:v>
      </x:c>
      <x:c r="L35" s="17" t="str">
        <x:v>Yes</x:v>
      </x:c>
      <x:c r="M35" s="29" t="str">
        <x:f>INDEX('Prompt Totals'!$C$7:$C$246,MATCH($A35,'Prompt Totals'!$A$7:$A$246,0))</x:f>
        <x:v>CopyStudio</x:v>
      </x:c>
      <x:c r="N35" s="29" t="str">
        <x:f>INDEX('Prompt Totals'!$D$7:$D$246,MATCH($A35,'Prompt Totals'!$A$7:$A$246,0))</x:f>
        <x:v>Lite</x:v>
      </x:c>
      <x:c r="O35" s="29" t="n">
        <x:f>INDEX('Prompt Totals'!$E$7:$E$246,MATCH($A35,'Prompt Totals'!$A$7:$A$246,0))</x:f>
        <x:v>433133</x:v>
      </x:c>
      <x:c r="P35" s="29" t="n">
        <x:f>INDEX('Prompt Totals'!$F$7:$F$246,MATCH($A35,'Prompt Totals'!$A$7:$A$246,0))</x:f>
        <x:v>90151</x:v>
      </x:c>
      <x:c r="Q35" s="29" t="n">
        <x:f>INDEX('Prompt Totals'!$G$7:$G$246,MATCH($A35,'Prompt Totals'!$A$7:$A$246,0))</x:f>
        <x:v>523284</x:v>
      </x:c>
      <x:c r="R35" s="29" t="n">
        <x:f>INDEX('Prompt Totals'!$H$7:$H$246,MATCH($A35,'Prompt Totals'!$A$7:$A$246,0))</x:f>
        <x:v>9</x:v>
      </x:c>
      <x:c r="S35" s="30" t="n">
        <x:f>INDEX('Prompt Totals'!$I$7:$I$246,MATCH($A35,'Prompt Totals'!$A$7:$A$246,0))</x:f>
        <x:v>4.33133</x:v>
      </x:c>
      <x:c r="T35" s="30" t="n">
        <x:f>INDEX('Prompt Totals'!$J$7:$J$246,MATCH($A35,'Prompt Totals'!$A$7:$A$246,0))</x:f>
        <x:v>2.7045299999999997</x:v>
      </x:c>
      <x:c r="U35" s="30" t="n">
        <x:f>INDEX('Prompt Totals'!$K$7:$K$246,MATCH($A35,'Prompt Totals'!$A$7:$A$246,0))</x:f>
        <x:v>7.0358600000000004</x:v>
      </x:c>
      <x:c r="V35" s="29" t="n">
        <x:f>INDEX('Prompt Totals'!$L$7:$L$246,MATCH($A35,'Prompt Totals'!$A$7:$A$246,0))</x:f>
        <x:v>1</x:v>
      </x:c>
      <x:c r="W35" s="29" t="n">
        <x:f>INDEX('Prompt Totals'!$M$7:$M$246,MATCH($A35,'Prompt Totals'!$A$7:$A$246,0))</x:f>
        <x:v>7</x:v>
      </x:c>
      <x:c r="X35" s="29" t="n">
        <x:f>INDEX('Prompt Totals'!$N$7:$N$246,MATCH($A35,'Prompt Totals'!$A$7:$A$246,0))</x:f>
        <x:v>1</x:v>
      </x:c>
      <x:c r="Y35" s="19" t="n">
        <x:f>G35-H35</x:f>
        <x:v>1.9499999999999997</x:v>
      </x:c>
      <x:c r="Z35" s="30" t="n">
        <x:f>Y35*'Solution'!$C$5</x:f>
        <x:v>97.49999999999999</x:v>
      </x:c>
      <x:c r="AA35" s="22" t="n">
        <x:f>Z35-U35</x:f>
        <x:v>90.46413999999999</x:v>
      </x:c>
    </x:row>
    <x:row r="36" ht="23" customHeight="1">
      <x:c r="A36" s="17" t="str">
        <x:v>W0030</x:v>
      </x:c>
      <x:c r="B36" s="18" t="n">
        <x:v>46282</x:v>
      </x:c>
      <x:c r="C36" s="17" t="str">
        <x:v>C001</x:v>
      </x:c>
      <x:c r="D36" s="17" t="str">
        <x:v>Marketing Operations</x:v>
      </x:c>
      <x:c r="E36" s="17" t="str">
        <x:v>Morgan Reed</x:v>
      </x:c>
      <x:c r="F36" s="17" t="str">
        <x:v>Prepare launch checklist</x:v>
      </x:c>
      <x:c r="G36" s="20" t="n">
        <x:v>4.56</x:v>
      </x:c>
      <x:c r="H36" s="20" t="n">
        <x:v>2.18</x:v>
      </x:c>
      <x:c r="I36" s="20" t="n">
        <x:v>0.22</x:v>
      </x:c>
      <x:c r="J36" s="17" t="str">
        <x:v>None</x:v>
      </x:c>
      <x:c r="K36" s="17" t="str">
        <x:v>No</x:v>
      </x:c>
      <x:c r="L36" s="17" t="str">
        <x:v>Yes</x:v>
      </x:c>
      <x:c r="M36" s="29" t="str">
        <x:f>INDEX('Prompt Totals'!$C$7:$C$246,MATCH($A36,'Prompt Totals'!$A$7:$A$246,0))</x:f>
        <x:v>DataFlow</x:v>
      </x:c>
      <x:c r="N36" s="29" t="str">
        <x:f>INDEX('Prompt Totals'!$D$7:$D$246,MATCH($A36,'Prompt Totals'!$A$7:$A$246,0))</x:f>
        <x:v>Lite</x:v>
      </x:c>
      <x:c r="O36" s="29" t="n">
        <x:f>INDEX('Prompt Totals'!$E$7:$E$246,MATCH($A36,'Prompt Totals'!$A$7:$A$246,0))</x:f>
        <x:v>332653</x:v>
      </x:c>
      <x:c r="P36" s="29" t="n">
        <x:f>INDEX('Prompt Totals'!$F$7:$F$246,MATCH($A36,'Prompt Totals'!$A$7:$A$246,0))</x:f>
        <x:v>62817</x:v>
      </x:c>
      <x:c r="Q36" s="29" t="n">
        <x:f>INDEX('Prompt Totals'!$G$7:$G$246,MATCH($A36,'Prompt Totals'!$A$7:$A$246,0))</x:f>
        <x:v>395470</x:v>
      </x:c>
      <x:c r="R36" s="29" t="n">
        <x:f>INDEX('Prompt Totals'!$H$7:$H$246,MATCH($A36,'Prompt Totals'!$A$7:$A$246,0))</x:f>
        <x:v>7</x:v>
      </x:c>
      <x:c r="S36" s="30" t="n">
        <x:f>INDEX('Prompt Totals'!$I$7:$I$246,MATCH($A36,'Prompt Totals'!$A$7:$A$246,0))</x:f>
        <x:v>3.32653</x:v>
      </x:c>
      <x:c r="T36" s="30" t="n">
        <x:f>INDEX('Prompt Totals'!$J$7:$J$246,MATCH($A36,'Prompt Totals'!$A$7:$A$246,0))</x:f>
        <x:v>1.88451</x:v>
      </x:c>
      <x:c r="U36" s="30" t="n">
        <x:f>INDEX('Prompt Totals'!$K$7:$K$246,MATCH($A36,'Prompt Totals'!$A$7:$A$246,0))</x:f>
        <x:v>5.21104</x:v>
      </x:c>
      <x:c r="V36" s="29" t="n">
        <x:f>INDEX('Prompt Totals'!$L$7:$L$246,MATCH($A36,'Prompt Totals'!$A$7:$A$246,0))</x:f>
        <x:v>1</x:v>
      </x:c>
      <x:c r="W36" s="29" t="n">
        <x:f>INDEX('Prompt Totals'!$M$7:$M$246,MATCH($A36,'Prompt Totals'!$A$7:$A$246,0))</x:f>
        <x:v>5</x:v>
      </x:c>
      <x:c r="X36" s="29" t="n">
        <x:f>INDEX('Prompt Totals'!$N$7:$N$246,MATCH($A36,'Prompt Totals'!$A$7:$A$246,0))</x:f>
        <x:v>1</x:v>
      </x:c>
      <x:c r="Y36" s="19" t="n">
        <x:f>G36-H36</x:f>
        <x:v>2.3799999999999994</x:v>
      </x:c>
      <x:c r="Z36" s="30" t="n">
        <x:f>Y36*'Solution'!$C$5</x:f>
        <x:v>118.99999999999997</x:v>
      </x:c>
      <x:c r="AA36" s="22" t="n">
        <x:f>Z36-U36</x:f>
        <x:v>113.78895999999997</x:v>
      </x:c>
    </x:row>
    <x:row r="37" ht="23" customHeight="1">
      <x:c r="A37" s="17" t="str">
        <x:v>W0031</x:v>
      </x:c>
      <x:c r="B37" s="18" t="n">
        <x:v>46293</x:v>
      </x:c>
      <x:c r="C37" s="17" t="str">
        <x:v>C001</x:v>
      </x:c>
      <x:c r="D37" s="17" t="str">
        <x:v>Analytics</x:v>
      </x:c>
      <x:c r="E37" s="17" t="str">
        <x:v>Quinn Parker</x:v>
      </x:c>
      <x:c r="F37" s="17" t="str">
        <x:v>Analyze campaign results</x:v>
      </x:c>
      <x:c r="G37" s="20" t="n">
        <x:v>4.75</x:v>
      </x:c>
      <x:c r="H37" s="20" t="n">
        <x:v>2.46</x:v>
      </x:c>
      <x:c r="I37" s="20" t="n">
        <x:v>0.23</x:v>
      </x:c>
      <x:c r="J37" s="17" t="str">
        <x:v>Unclear prompt</x:v>
      </x:c>
      <x:c r="K37" s="17" t="str">
        <x:v>No</x:v>
      </x:c>
      <x:c r="L37" s="17" t="str">
        <x:v>Yes</x:v>
      </x:c>
      <x:c r="M37" s="29" t="str">
        <x:f>INDEX('Prompt Totals'!$C$7:$C$246,MATCH($A37,'Prompt Totals'!$A$7:$A$246,0))</x:f>
        <x:v>InsightDesk</x:v>
      </x:c>
      <x:c r="N37" s="29" t="str">
        <x:f>INDEX('Prompt Totals'!$D$7:$D$246,MATCH($A37,'Prompt Totals'!$A$7:$A$246,0))</x:f>
        <x:v>Lite</x:v>
      </x:c>
      <x:c r="O37" s="29" t="n">
        <x:f>INDEX('Prompt Totals'!$E$7:$E$246,MATCH($A37,'Prompt Totals'!$A$7:$A$246,0))</x:f>
        <x:v>447950</x:v>
      </x:c>
      <x:c r="P37" s="29" t="n">
        <x:f>INDEX('Prompt Totals'!$F$7:$F$246,MATCH($A37,'Prompt Totals'!$A$7:$A$246,0))</x:f>
        <x:v>43142</x:v>
      </x:c>
      <x:c r="Q37" s="29" t="n">
        <x:f>INDEX('Prompt Totals'!$G$7:$G$246,MATCH($A37,'Prompt Totals'!$A$7:$A$246,0))</x:f>
        <x:v>491092</x:v>
      </x:c>
      <x:c r="R37" s="29" t="n">
        <x:f>INDEX('Prompt Totals'!$H$7:$H$246,MATCH($A37,'Prompt Totals'!$A$7:$A$246,0))</x:f>
        <x:v>8</x:v>
      </x:c>
      <x:c r="S37" s="30" t="n">
        <x:f>INDEX('Prompt Totals'!$I$7:$I$246,MATCH($A37,'Prompt Totals'!$A$7:$A$246,0))</x:f>
        <x:v>4.4795</x:v>
      </x:c>
      <x:c r="T37" s="30" t="n">
        <x:f>INDEX('Prompt Totals'!$J$7:$J$246,MATCH($A37,'Prompt Totals'!$A$7:$A$246,0))</x:f>
        <x:v>1.29426</x:v>
      </x:c>
      <x:c r="U37" s="30" t="n">
        <x:f>INDEX('Prompt Totals'!$K$7:$K$246,MATCH($A37,'Prompt Totals'!$A$7:$A$246,0))</x:f>
        <x:v>5.77376</x:v>
      </x:c>
      <x:c r="V37" s="29" t="n">
        <x:f>INDEX('Prompt Totals'!$L$7:$L$246,MATCH($A37,'Prompt Totals'!$A$7:$A$246,0))</x:f>
        <x:v>1</x:v>
      </x:c>
      <x:c r="W37" s="29" t="n">
        <x:f>INDEX('Prompt Totals'!$M$7:$M$246,MATCH($A37,'Prompt Totals'!$A$7:$A$246,0))</x:f>
        <x:v>6</x:v>
      </x:c>
      <x:c r="X37" s="29" t="n">
        <x:f>INDEX('Prompt Totals'!$N$7:$N$246,MATCH($A37,'Prompt Totals'!$A$7:$A$246,0))</x:f>
        <x:v>1</x:v>
      </x:c>
      <x:c r="Y37" s="19" t="n">
        <x:f>G37-H37</x:f>
        <x:v>2.29</x:v>
      </x:c>
      <x:c r="Z37" s="30" t="n">
        <x:f>Y37*'Solution'!$C$5</x:f>
        <x:v>114.5</x:v>
      </x:c>
      <x:c r="AA37" s="22" t="n">
        <x:f>Z37-U37</x:f>
        <x:v>108.72624</x:v>
      </x:c>
    </x:row>
    <x:row r="38" ht="23" customHeight="1">
      <x:c r="A38" s="17" t="str">
        <x:v>W0032</x:v>
      </x:c>
      <x:c r="B38" s="18" t="n">
        <x:v>46276</x:v>
      </x:c>
      <x:c r="C38" s="17" t="str">
        <x:v>C001</x:v>
      </x:c>
      <x:c r="D38" s="17" t="str">
        <x:v>Analytics</x:v>
      </x:c>
      <x:c r="E38" s="17" t="str">
        <x:v>Jamie Patel</x:v>
      </x:c>
      <x:c r="F38" s="17" t="str">
        <x:v>Summarize audience insights</x:v>
      </x:c>
      <x:c r="G38" s="20" t="n">
        <x:v>2.95</x:v>
      </x:c>
      <x:c r="H38" s="20" t="n">
        <x:v>1.7</x:v>
      </x:c>
      <x:c r="I38" s="20" t="n">
        <x:v>0.05</x:v>
      </x:c>
      <x:c r="J38" s="17" t="str">
        <x:v>None</x:v>
      </x:c>
      <x:c r="K38" s="17" t="str">
        <x:v>No</x:v>
      </x:c>
      <x:c r="L38" s="17" t="str">
        <x:v>Yes</x:v>
      </x:c>
      <x:c r="M38" s="29" t="str">
        <x:f>INDEX('Prompt Totals'!$C$7:$C$246,MATCH($A38,'Prompt Totals'!$A$7:$A$246,0))</x:f>
        <x:v>InsightDesk</x:v>
      </x:c>
      <x:c r="N38" s="29" t="str">
        <x:f>INDEX('Prompt Totals'!$D$7:$D$246,MATCH($A38,'Prompt Totals'!$A$7:$A$246,0))</x:f>
        <x:v>Lite</x:v>
      </x:c>
      <x:c r="O38" s="29" t="n">
        <x:f>INDEX('Prompt Totals'!$E$7:$E$246,MATCH($A38,'Prompt Totals'!$A$7:$A$246,0))</x:f>
        <x:v>255955</x:v>
      </x:c>
      <x:c r="P38" s="29" t="n">
        <x:f>INDEX('Prompt Totals'!$F$7:$F$246,MATCH($A38,'Prompt Totals'!$A$7:$A$246,0))</x:f>
        <x:v>108179</x:v>
      </x:c>
      <x:c r="Q38" s="29" t="n">
        <x:f>INDEX('Prompt Totals'!$G$7:$G$246,MATCH($A38,'Prompt Totals'!$A$7:$A$246,0))</x:f>
        <x:v>364134</x:v>
      </x:c>
      <x:c r="R38" s="29" t="n">
        <x:f>INDEX('Prompt Totals'!$H$7:$H$246,MATCH($A38,'Prompt Totals'!$A$7:$A$246,0))</x:f>
        <x:v>11</x:v>
      </x:c>
      <x:c r="S38" s="30" t="n">
        <x:f>INDEX('Prompt Totals'!$I$7:$I$246,MATCH($A38,'Prompt Totals'!$A$7:$A$246,0))</x:f>
        <x:v>2.5595499999999998</x:v>
      </x:c>
      <x:c r="T38" s="30" t="n">
        <x:f>INDEX('Prompt Totals'!$J$7:$J$246,MATCH($A38,'Prompt Totals'!$A$7:$A$246,0))</x:f>
        <x:v>3.24537</x:v>
      </x:c>
      <x:c r="U38" s="30" t="n">
        <x:f>INDEX('Prompt Totals'!$K$7:$K$246,MATCH($A38,'Prompt Totals'!$A$7:$A$246,0))</x:f>
        <x:v>5.804919999999999</x:v>
      </x:c>
      <x:c r="V38" s="29" t="n">
        <x:f>INDEX('Prompt Totals'!$L$7:$L$246,MATCH($A38,'Prompt Totals'!$A$7:$A$246,0))</x:f>
        <x:v>1</x:v>
      </x:c>
      <x:c r="W38" s="29" t="n">
        <x:f>INDEX('Prompt Totals'!$M$7:$M$246,MATCH($A38,'Prompt Totals'!$A$7:$A$246,0))</x:f>
        <x:v>9</x:v>
      </x:c>
      <x:c r="X38" s="29" t="n">
        <x:f>INDEX('Prompt Totals'!$N$7:$N$246,MATCH($A38,'Prompt Totals'!$A$7:$A$246,0))</x:f>
        <x:v>1</x:v>
      </x:c>
      <x:c r="Y38" s="19" t="n">
        <x:f>G38-H38</x:f>
        <x:v>1.2500000000000002</x:v>
      </x:c>
      <x:c r="Z38" s="30" t="n">
        <x:f>Y38*'Solution'!$C$5</x:f>
        <x:v>62.500000000000014</x:v>
      </x:c>
      <x:c r="AA38" s="22" t="n">
        <x:f>Z38-U38</x:f>
        <x:v>56.69508000000002</x:v>
      </x:c>
    </x:row>
    <x:row r="39" ht="23" customHeight="1">
      <x:c r="A39" s="17" t="str">
        <x:v>W0033</x:v>
      </x:c>
      <x:c r="B39" s="18" t="n">
        <x:v>46287</x:v>
      </x:c>
      <x:c r="C39" s="17" t="str">
        <x:v>C001</x:v>
      </x:c>
      <x:c r="D39" s="17" t="str">
        <x:v>Content</x:v>
      </x:c>
      <x:c r="E39" s="17" t="str">
        <x:v>Avery Morgan</x:v>
      </x:c>
      <x:c r="F39" s="17" t="str">
        <x:v>Edit landing page</x:v>
      </x:c>
      <x:c r="G39" s="20" t="n">
        <x:v>3.66</x:v>
      </x:c>
      <x:c r="H39" s="20" t="n">
        <x:v>1.57</x:v>
      </x:c>
      <x:c r="I39" s="20" t="n">
        <x:v>0.24</x:v>
      </x:c>
      <x:c r="J39" s="17" t="str">
        <x:v>Data problem</x:v>
      </x:c>
      <x:c r="K39" s="17" t="str">
        <x:v>No</x:v>
      </x:c>
      <x:c r="L39" s="17" t="str">
        <x:v>Yes</x:v>
      </x:c>
      <x:c r="M39" s="29" t="str">
        <x:f>INDEX('Prompt Totals'!$C$7:$C$246,MATCH($A39,'Prompt Totals'!$A$7:$A$246,0))</x:f>
        <x:v>CopyStudio</x:v>
      </x:c>
      <x:c r="N39" s="29" t="str">
        <x:f>INDEX('Prompt Totals'!$D$7:$D$246,MATCH($A39,'Prompt Totals'!$A$7:$A$246,0))</x:f>
        <x:v>Lite</x:v>
      </x:c>
      <x:c r="O39" s="29" t="n">
        <x:f>INDEX('Prompt Totals'!$E$7:$E$246,MATCH($A39,'Prompt Totals'!$A$7:$A$246,0))</x:f>
        <x:v>263264</x:v>
      </x:c>
      <x:c r="P39" s="29" t="n">
        <x:f>INDEX('Prompt Totals'!$F$7:$F$246,MATCH($A39,'Prompt Totals'!$A$7:$A$246,0))</x:f>
        <x:v>105355</x:v>
      </x:c>
      <x:c r="Q39" s="29" t="n">
        <x:f>INDEX('Prompt Totals'!$G$7:$G$246,MATCH($A39,'Prompt Totals'!$A$7:$A$246,0))</x:f>
        <x:v>368619</x:v>
      </x:c>
      <x:c r="R39" s="29" t="n">
        <x:f>INDEX('Prompt Totals'!$H$7:$H$246,MATCH($A39,'Prompt Totals'!$A$7:$A$246,0))</x:f>
        <x:v>10</x:v>
      </x:c>
      <x:c r="S39" s="30" t="n">
        <x:f>INDEX('Prompt Totals'!$I$7:$I$246,MATCH($A39,'Prompt Totals'!$A$7:$A$246,0))</x:f>
        <x:v>2.6326400000000003</x:v>
      </x:c>
      <x:c r="T39" s="30" t="n">
        <x:f>INDEX('Prompt Totals'!$J$7:$J$246,MATCH($A39,'Prompt Totals'!$A$7:$A$246,0))</x:f>
        <x:v>3.16065</x:v>
      </x:c>
      <x:c r="U39" s="30" t="n">
        <x:f>INDEX('Prompt Totals'!$K$7:$K$246,MATCH($A39,'Prompt Totals'!$A$7:$A$246,0))</x:f>
        <x:v>5.79329</x:v>
      </x:c>
      <x:c r="V39" s="29" t="n">
        <x:f>INDEX('Prompt Totals'!$L$7:$L$246,MATCH($A39,'Prompt Totals'!$A$7:$A$246,0))</x:f>
        <x:v>1</x:v>
      </x:c>
      <x:c r="W39" s="29" t="n">
        <x:f>INDEX('Prompt Totals'!$M$7:$M$246,MATCH($A39,'Prompt Totals'!$A$7:$A$246,0))</x:f>
        <x:v>8</x:v>
      </x:c>
      <x:c r="X39" s="29" t="n">
        <x:f>INDEX('Prompt Totals'!$N$7:$N$246,MATCH($A39,'Prompt Totals'!$A$7:$A$246,0))</x:f>
        <x:v>1</x:v>
      </x:c>
      <x:c r="Y39" s="19" t="n">
        <x:f>G39-H39</x:f>
        <x:v>2.09</x:v>
      </x:c>
      <x:c r="Z39" s="30" t="n">
        <x:f>Y39*'Solution'!$C$5</x:f>
        <x:v>104.5</x:v>
      </x:c>
      <x:c r="AA39" s="22" t="n">
        <x:f>Z39-U39</x:f>
        <x:v>98.70671</x:v>
      </x:c>
    </x:row>
    <x:row r="40" ht="23" customHeight="1">
      <x:c r="A40" s="17" t="str">
        <x:v>W0034</x:v>
      </x:c>
      <x:c r="B40" s="18" t="n">
        <x:v>46269</x:v>
      </x:c>
      <x:c r="C40" s="17" t="str">
        <x:v>C001</x:v>
      </x:c>
      <x:c r="D40" s="17" t="str">
        <x:v>Content</x:v>
      </x:c>
      <x:c r="E40" s="17" t="str">
        <x:v>Jordan Ellis</x:v>
      </x:c>
      <x:c r="F40" s="17" t="str">
        <x:v>Write ad copy</x:v>
      </x:c>
      <x:c r="G40" s="20" t="n">
        <x:v>4.06</x:v>
      </x:c>
      <x:c r="H40" s="20" t="n">
        <x:v>1.46</x:v>
      </x:c>
      <x:c r="I40" s="20" t="n">
        <x:v>0.06</x:v>
      </x:c>
      <x:c r="J40" s="17" t="str">
        <x:v>None</x:v>
      </x:c>
      <x:c r="K40" s="17" t="str">
        <x:v>No</x:v>
      </x:c>
      <x:c r="L40" s="17" t="str">
        <x:v>Yes</x:v>
      </x:c>
      <x:c r="M40" s="29" t="str">
        <x:f>INDEX('Prompt Totals'!$C$7:$C$246,MATCH($A40,'Prompt Totals'!$A$7:$A$246,0))</x:f>
        <x:v>CopyStudio</x:v>
      </x:c>
      <x:c r="N40" s="29" t="str">
        <x:f>INDEX('Prompt Totals'!$D$7:$D$246,MATCH($A40,'Prompt Totals'!$A$7:$A$246,0))</x:f>
        <x:v>Lite</x:v>
      </x:c>
      <x:c r="O40" s="29" t="n">
        <x:f>INDEX('Prompt Totals'!$E$7:$E$246,MATCH($A40,'Prompt Totals'!$A$7:$A$246,0))</x:f>
        <x:v>497355</x:v>
      </x:c>
      <x:c r="P40" s="29" t="n">
        <x:f>INDEX('Prompt Totals'!$F$7:$F$246,MATCH($A40,'Prompt Totals'!$A$7:$A$246,0))</x:f>
        <x:v>97642</x:v>
      </x:c>
      <x:c r="Q40" s="29" t="n">
        <x:f>INDEX('Prompt Totals'!$G$7:$G$246,MATCH($A40,'Prompt Totals'!$A$7:$A$246,0))</x:f>
        <x:v>594997</x:v>
      </x:c>
      <x:c r="R40" s="29" t="n">
        <x:f>INDEX('Prompt Totals'!$H$7:$H$246,MATCH($A40,'Prompt Totals'!$A$7:$A$246,0))</x:f>
        <x:v>10</x:v>
      </x:c>
      <x:c r="S40" s="30" t="n">
        <x:f>INDEX('Prompt Totals'!$I$7:$I$246,MATCH($A40,'Prompt Totals'!$A$7:$A$246,0))</x:f>
        <x:v>4.97355</x:v>
      </x:c>
      <x:c r="T40" s="30" t="n">
        <x:f>INDEX('Prompt Totals'!$J$7:$J$246,MATCH($A40,'Prompt Totals'!$A$7:$A$246,0))</x:f>
        <x:v>2.92926</x:v>
      </x:c>
      <x:c r="U40" s="30" t="n">
        <x:f>INDEX('Prompt Totals'!$K$7:$K$246,MATCH($A40,'Prompt Totals'!$A$7:$A$246,0))</x:f>
        <x:v>7.90281</x:v>
      </x:c>
      <x:c r="V40" s="29" t="n">
        <x:f>INDEX('Prompt Totals'!$L$7:$L$246,MATCH($A40,'Prompt Totals'!$A$7:$A$246,0))</x:f>
        <x:v>1</x:v>
      </x:c>
      <x:c r="W40" s="29" t="n">
        <x:f>INDEX('Prompt Totals'!$M$7:$M$246,MATCH($A40,'Prompt Totals'!$A$7:$A$246,0))</x:f>
        <x:v>8</x:v>
      </x:c>
      <x:c r="X40" s="29" t="n">
        <x:f>INDEX('Prompt Totals'!$N$7:$N$246,MATCH($A40,'Prompt Totals'!$A$7:$A$246,0))</x:f>
        <x:v>1</x:v>
      </x:c>
      <x:c r="Y40" s="19" t="n">
        <x:f>G40-H40</x:f>
        <x:v>2.5999999999999996</x:v>
      </x:c>
      <x:c r="Z40" s="30" t="n">
        <x:f>Y40*'Solution'!$C$5</x:f>
        <x:v>129.99999999999997</x:v>
      </x:c>
      <x:c r="AA40" s="22" t="n">
        <x:f>Z40-U40</x:f>
        <x:v>122.09718999999997</x:v>
      </x:c>
    </x:row>
    <x:row r="41" ht="23" customHeight="1">
      <x:c r="A41" s="17" t="str">
        <x:v>W0035</x:v>
      </x:c>
      <x:c r="B41" s="18" t="n">
        <x:v>46281</x:v>
      </x:c>
      <x:c r="C41" s="17" t="str">
        <x:v>C001</x:v>
      </x:c>
      <x:c r="D41" s="17" t="str">
        <x:v>Creative</x:v>
      </x:c>
      <x:c r="E41" s="17" t="str">
        <x:v>Riley Chen</x:v>
      </x:c>
      <x:c r="F41" s="17" t="str">
        <x:v>Review creative variants</x:v>
      </x:c>
      <x:c r="G41" s="20" t="n">
        <x:v>4.68</x:v>
      </x:c>
      <x:c r="H41" s="20" t="n">
        <x:v>1.65</x:v>
      </x:c>
      <x:c r="I41" s="20" t="n">
        <x:v>0.11</x:v>
      </x:c>
      <x:c r="J41" s="17" t="str">
        <x:v>Data problem</x:v>
      </x:c>
      <x:c r="K41" s="17" t="str">
        <x:v>No</x:v>
      </x:c>
      <x:c r="L41" s="17" t="str">
        <x:v>Yes</x:v>
      </x:c>
      <x:c r="M41" s="29" t="str">
        <x:f>INDEX('Prompt Totals'!$C$7:$C$246,MATCH($A41,'Prompt Totals'!$A$7:$A$246,0))</x:f>
        <x:v>CampaignChat</x:v>
      </x:c>
      <x:c r="N41" s="29" t="str">
        <x:f>INDEX('Prompt Totals'!$D$7:$D$246,MATCH($A41,'Prompt Totals'!$A$7:$A$246,0))</x:f>
        <x:v>Lite</x:v>
      </x:c>
      <x:c r="O41" s="29" t="n">
        <x:f>INDEX('Prompt Totals'!$E$7:$E$246,MATCH($A41,'Prompt Totals'!$A$7:$A$246,0))</x:f>
        <x:v>220774</x:v>
      </x:c>
      <x:c r="P41" s="29" t="n">
        <x:f>INDEX('Prompt Totals'!$F$7:$F$246,MATCH($A41,'Prompt Totals'!$A$7:$A$246,0))</x:f>
        <x:v>39464</x:v>
      </x:c>
      <x:c r="Q41" s="29" t="n">
        <x:f>INDEX('Prompt Totals'!$G$7:$G$246,MATCH($A41,'Prompt Totals'!$A$7:$A$246,0))</x:f>
        <x:v>260238</x:v>
      </x:c>
      <x:c r="R41" s="29" t="n">
        <x:f>INDEX('Prompt Totals'!$H$7:$H$246,MATCH($A41,'Prompt Totals'!$A$7:$A$246,0))</x:f>
        <x:v>7</x:v>
      </x:c>
      <x:c r="S41" s="30" t="n">
        <x:f>INDEX('Prompt Totals'!$I$7:$I$246,MATCH($A41,'Prompt Totals'!$A$7:$A$246,0))</x:f>
        <x:v>2.20774</x:v>
      </x:c>
      <x:c r="T41" s="30" t="n">
        <x:f>INDEX('Prompt Totals'!$J$7:$J$246,MATCH($A41,'Prompt Totals'!$A$7:$A$246,0))</x:f>
        <x:v>1.18392</x:v>
      </x:c>
      <x:c r="U41" s="30" t="n">
        <x:f>INDEX('Prompt Totals'!$K$7:$K$246,MATCH($A41,'Prompt Totals'!$A$7:$A$246,0))</x:f>
        <x:v>3.39166</x:v>
      </x:c>
      <x:c r="V41" s="29" t="n">
        <x:f>INDEX('Prompt Totals'!$L$7:$L$246,MATCH($A41,'Prompt Totals'!$A$7:$A$246,0))</x:f>
        <x:v>1</x:v>
      </x:c>
      <x:c r="W41" s="29" t="n">
        <x:f>INDEX('Prompt Totals'!$M$7:$M$246,MATCH($A41,'Prompt Totals'!$A$7:$A$246,0))</x:f>
        <x:v>6</x:v>
      </x:c>
      <x:c r="X41" s="29" t="n">
        <x:f>INDEX('Prompt Totals'!$N$7:$N$246,MATCH($A41,'Prompt Totals'!$A$7:$A$246,0))</x:f>
        <x:v>0</x:v>
      </x:c>
      <x:c r="Y41" s="19" t="n">
        <x:f>G41-H41</x:f>
        <x:v>3.03</x:v>
      </x:c>
      <x:c r="Z41" s="30" t="n">
        <x:f>Y41*'Solution'!$C$5</x:f>
        <x:v>151.5</x:v>
      </x:c>
      <x:c r="AA41" s="22" t="n">
        <x:f>Z41-U41</x:f>
        <x:v>148.10834</x:v>
      </x:c>
    </x:row>
    <x:row r="42" ht="23" customHeight="1">
      <x:c r="A42" s="17" t="str">
        <x:v>W0036</x:v>
      </x:c>
      <x:c r="B42" s="18" t="n">
        <x:v>46290</x:v>
      </x:c>
      <x:c r="C42" s="17" t="str">
        <x:v>C001</x:v>
      </x:c>
      <x:c r="D42" s="17" t="str">
        <x:v>Creative</x:v>
      </x:c>
      <x:c r="E42" s="17" t="str">
        <x:v>Taylor Brooks</x:v>
      </x:c>
      <x:c r="F42" s="17" t="str">
        <x:v>Plan visual narrative</x:v>
      </x:c>
      <x:c r="G42" s="20" t="n">
        <x:v>5</x:v>
      </x:c>
      <x:c r="H42" s="20" t="n">
        <x:v>2.28</x:v>
      </x:c>
      <x:c r="I42" s="20" t="n">
        <x:v>0.1</x:v>
      </x:c>
      <x:c r="J42" s="17" t="str">
        <x:v>Data problem</x:v>
      </x:c>
      <x:c r="K42" s="17" t="str">
        <x:v>No</x:v>
      </x:c>
      <x:c r="L42" s="17" t="str">
        <x:v>Yes</x:v>
      </x:c>
      <x:c r="M42" s="29" t="str">
        <x:f>INDEX('Prompt Totals'!$C$7:$C$246,MATCH($A42,'Prompt Totals'!$A$7:$A$246,0))</x:f>
        <x:v>CampaignChat</x:v>
      </x:c>
      <x:c r="N42" s="29" t="str">
        <x:f>INDEX('Prompt Totals'!$D$7:$D$246,MATCH($A42,'Prompt Totals'!$A$7:$A$246,0))</x:f>
        <x:v>Lite</x:v>
      </x:c>
      <x:c r="O42" s="29" t="n">
        <x:f>INDEX('Prompt Totals'!$E$7:$E$246,MATCH($A42,'Prompt Totals'!$A$7:$A$246,0))</x:f>
        <x:v>559461</x:v>
      </x:c>
      <x:c r="P42" s="29" t="n">
        <x:f>INDEX('Prompt Totals'!$F$7:$F$246,MATCH($A42,'Prompt Totals'!$A$7:$A$246,0))</x:f>
        <x:v>94747</x:v>
      </x:c>
      <x:c r="Q42" s="29" t="n">
        <x:f>INDEX('Prompt Totals'!$G$7:$G$246,MATCH($A42,'Prompt Totals'!$A$7:$A$246,0))</x:f>
        <x:v>654208</x:v>
      </x:c>
      <x:c r="R42" s="29" t="n">
        <x:f>INDEX('Prompt Totals'!$H$7:$H$246,MATCH($A42,'Prompt Totals'!$A$7:$A$246,0))</x:f>
        <x:v>11</x:v>
      </x:c>
      <x:c r="S42" s="30" t="n">
        <x:f>INDEX('Prompt Totals'!$I$7:$I$246,MATCH($A42,'Prompt Totals'!$A$7:$A$246,0))</x:f>
        <x:v>5.594609999999999</x:v>
      </x:c>
      <x:c r="T42" s="30" t="n">
        <x:f>INDEX('Prompt Totals'!$J$7:$J$246,MATCH($A42,'Prompt Totals'!$A$7:$A$246,0))</x:f>
        <x:v>2.8424099999999997</x:v>
      </x:c>
      <x:c r="U42" s="30" t="n">
        <x:f>INDEX('Prompt Totals'!$K$7:$K$246,MATCH($A42,'Prompt Totals'!$A$7:$A$246,0))</x:f>
        <x:v>8.43702</x:v>
      </x:c>
      <x:c r="V42" s="29" t="n">
        <x:f>INDEX('Prompt Totals'!$L$7:$L$246,MATCH($A42,'Prompt Totals'!$A$7:$A$246,0))</x:f>
        <x:v>1</x:v>
      </x:c>
      <x:c r="W42" s="29" t="n">
        <x:f>INDEX('Prompt Totals'!$M$7:$M$246,MATCH($A42,'Prompt Totals'!$A$7:$A$246,0))</x:f>
        <x:v>8</x:v>
      </x:c>
      <x:c r="X42" s="29" t="n">
        <x:f>INDEX('Prompt Totals'!$N$7:$N$246,MATCH($A42,'Prompt Totals'!$A$7:$A$246,0))</x:f>
        <x:v>2</x:v>
      </x:c>
      <x:c r="Y42" s="19" t="n">
        <x:f>G42-H42</x:f>
        <x:v>2.72</x:v>
      </x:c>
      <x:c r="Z42" s="30" t="n">
        <x:f>Y42*'Solution'!$C$5</x:f>
        <x:v>136</x:v>
      </x:c>
      <x:c r="AA42" s="22" t="n">
        <x:f>Z42-U42</x:f>
        <x:v>127.56298</x:v>
      </x:c>
    </x:row>
    <x:row r="43" ht="23" customHeight="1">
      <x:c r="A43" s="17" t="str">
        <x:v>W0037</x:v>
      </x:c>
      <x:c r="B43" s="18" t="n">
        <x:v>46275</x:v>
      </x:c>
      <x:c r="C43" s="17" t="str">
        <x:v>C001</x:v>
      </x:c>
      <x:c r="D43" s="17" t="str">
        <x:v>Marketing Operations</x:v>
      </x:c>
      <x:c r="E43" s="17" t="str">
        <x:v>Casey Rivera</x:v>
      </x:c>
      <x:c r="F43" s="17" t="str">
        <x:v>Build campaign plan</x:v>
      </x:c>
      <x:c r="G43" s="20" t="n">
        <x:v>3.62</x:v>
      </x:c>
      <x:c r="H43" s="20" t="n">
        <x:v>1.65</x:v>
      </x:c>
      <x:c r="I43" s="20" t="n">
        <x:v>0.24</x:v>
      </x:c>
      <x:c r="J43" s="17" t="str">
        <x:v>Brief changed</x:v>
      </x:c>
      <x:c r="K43" s="17" t="str">
        <x:v>Yes</x:v>
      </x:c>
      <x:c r="L43" s="17" t="str">
        <x:v>No</x:v>
      </x:c>
      <x:c r="M43" s="29" t="str">
        <x:f>INDEX('Prompt Totals'!$C$7:$C$246,MATCH($A43,'Prompt Totals'!$A$7:$A$246,0))</x:f>
        <x:v>DataFlow</x:v>
      </x:c>
      <x:c r="N43" s="29" t="str">
        <x:f>INDEX('Prompt Totals'!$D$7:$D$246,MATCH($A43,'Prompt Totals'!$A$7:$A$246,0))</x:f>
        <x:v>Lite</x:v>
      </x:c>
      <x:c r="O43" s="29" t="n">
        <x:f>INDEX('Prompt Totals'!$E$7:$E$246,MATCH($A43,'Prompt Totals'!$A$7:$A$246,0))</x:f>
        <x:v>472175</x:v>
      </x:c>
      <x:c r="P43" s="29" t="n">
        <x:f>INDEX('Prompt Totals'!$F$7:$F$246,MATCH($A43,'Prompt Totals'!$A$7:$A$246,0))</x:f>
        <x:v>123639</x:v>
      </x:c>
      <x:c r="Q43" s="29" t="n">
        <x:f>INDEX('Prompt Totals'!$G$7:$G$246,MATCH($A43,'Prompt Totals'!$A$7:$A$246,0))</x:f>
        <x:v>595814</x:v>
      </x:c>
      <x:c r="R43" s="29" t="n">
        <x:f>INDEX('Prompt Totals'!$H$7:$H$246,MATCH($A43,'Prompt Totals'!$A$7:$A$246,0))</x:f>
        <x:v>11</x:v>
      </x:c>
      <x:c r="S43" s="30" t="n">
        <x:f>INDEX('Prompt Totals'!$I$7:$I$246,MATCH($A43,'Prompt Totals'!$A$7:$A$246,0))</x:f>
        <x:v>4.721750000000001</x:v>
      </x:c>
      <x:c r="T43" s="30" t="n">
        <x:f>INDEX('Prompt Totals'!$J$7:$J$246,MATCH($A43,'Prompt Totals'!$A$7:$A$246,0))</x:f>
        <x:v>3.7091700000000003</x:v>
      </x:c>
      <x:c r="U43" s="30" t="n">
        <x:f>INDEX('Prompt Totals'!$K$7:$K$246,MATCH($A43,'Prompt Totals'!$A$7:$A$246,0))</x:f>
        <x:v>8.43092</x:v>
      </x:c>
      <x:c r="V43" s="29" t="n">
        <x:f>INDEX('Prompt Totals'!$L$7:$L$246,MATCH($A43,'Prompt Totals'!$A$7:$A$246,0))</x:f>
        <x:v>1</x:v>
      </x:c>
      <x:c r="W43" s="29" t="n">
        <x:f>INDEX('Prompt Totals'!$M$7:$M$246,MATCH($A43,'Prompt Totals'!$A$7:$A$246,0))</x:f>
        <x:v>9</x:v>
      </x:c>
      <x:c r="X43" s="29" t="n">
        <x:f>INDEX('Prompt Totals'!$N$7:$N$246,MATCH($A43,'Prompt Totals'!$A$7:$A$246,0))</x:f>
        <x:v>1</x:v>
      </x:c>
      <x:c r="Y43" s="19" t="n">
        <x:f>G43-H43</x:f>
        <x:v>1.9700000000000002</x:v>
      </x:c>
      <x:c r="Z43" s="30" t="n">
        <x:f>Y43*'Solution'!$C$5</x:f>
        <x:v>98.50000000000001</x:v>
      </x:c>
      <x:c r="AA43" s="22" t="n">
        <x:f>Z43-U43</x:f>
        <x:v>90.06908000000001</x:v>
      </x:c>
    </x:row>
    <x:row r="44" ht="23" customHeight="1">
      <x:c r="A44" s="17" t="str">
        <x:v>W0038</x:v>
      </x:c>
      <x:c r="B44" s="18" t="n">
        <x:v>46286</x:v>
      </x:c>
      <x:c r="C44" s="17" t="str">
        <x:v>C001</x:v>
      </x:c>
      <x:c r="D44" s="17" t="str">
        <x:v>Marketing Operations</x:v>
      </x:c>
      <x:c r="E44" s="17" t="str">
        <x:v>Morgan Reed</x:v>
      </x:c>
      <x:c r="F44" s="17" t="str">
        <x:v>Clean audience data</x:v>
      </x:c>
      <x:c r="G44" s="20" t="n">
        <x:v>3.42</x:v>
      </x:c>
      <x:c r="H44" s="20" t="n">
        <x:v>1.77</x:v>
      </x:c>
      <x:c r="I44" s="20" t="n">
        <x:v>0.12</x:v>
      </x:c>
      <x:c r="J44" s="17" t="str">
        <x:v>None</x:v>
      </x:c>
      <x:c r="K44" s="17" t="str">
        <x:v>No</x:v>
      </x:c>
      <x:c r="L44" s="17" t="str">
        <x:v>No</x:v>
      </x:c>
      <x:c r="M44" s="29" t="str">
        <x:f>INDEX('Prompt Totals'!$C$7:$C$246,MATCH($A44,'Prompt Totals'!$A$7:$A$246,0))</x:f>
        <x:v>DataFlow</x:v>
      </x:c>
      <x:c r="N44" s="29" t="str">
        <x:f>INDEX('Prompt Totals'!$D$7:$D$246,MATCH($A44,'Prompt Totals'!$A$7:$A$246,0))</x:f>
        <x:v>Pro</x:v>
      </x:c>
      <x:c r="O44" s="29" t="n">
        <x:f>INDEX('Prompt Totals'!$E$7:$E$246,MATCH($A44,'Prompt Totals'!$A$7:$A$246,0))</x:f>
        <x:v>104495</x:v>
      </x:c>
      <x:c r="P44" s="29" t="n">
        <x:f>INDEX('Prompt Totals'!$F$7:$F$246,MATCH($A44,'Prompt Totals'!$A$7:$A$246,0))</x:f>
        <x:v>106942</x:v>
      </x:c>
      <x:c r="Q44" s="29" t="n">
        <x:f>INDEX('Prompt Totals'!$G$7:$G$246,MATCH($A44,'Prompt Totals'!$A$7:$A$246,0))</x:f>
        <x:v>211437</x:v>
      </x:c>
      <x:c r="R44" s="29" t="n">
        <x:f>INDEX('Prompt Totals'!$H$7:$H$246,MATCH($A44,'Prompt Totals'!$A$7:$A$246,0))</x:f>
        <x:v>10</x:v>
      </x:c>
      <x:c r="S44" s="30" t="n">
        <x:f>INDEX('Prompt Totals'!$I$7:$I$246,MATCH($A44,'Prompt Totals'!$A$7:$A$246,0))</x:f>
        <x:v>4.1798</x:v>
      </x:c>
      <x:c r="T44" s="30" t="n">
        <x:f>INDEX('Prompt Totals'!$J$7:$J$246,MATCH($A44,'Prompt Totals'!$A$7:$A$246,0))</x:f>
        <x:v>10.6942</x:v>
      </x:c>
      <x:c r="U44" s="30" t="n">
        <x:f>INDEX('Prompt Totals'!$K$7:$K$246,MATCH($A44,'Prompt Totals'!$A$7:$A$246,0))</x:f>
        <x:v>14.873999999999999</x:v>
      </x:c>
      <x:c r="V44" s="29" t="n">
        <x:f>INDEX('Prompt Totals'!$L$7:$L$246,MATCH($A44,'Prompt Totals'!$A$7:$A$246,0))</x:f>
        <x:v>1</x:v>
      </x:c>
      <x:c r="W44" s="29" t="n">
        <x:f>INDEX('Prompt Totals'!$M$7:$M$246,MATCH($A44,'Prompt Totals'!$A$7:$A$246,0))</x:f>
        <x:v>8</x:v>
      </x:c>
      <x:c r="X44" s="29" t="n">
        <x:f>INDEX('Prompt Totals'!$N$7:$N$246,MATCH($A44,'Prompt Totals'!$A$7:$A$246,0))</x:f>
        <x:v>1</x:v>
      </x:c>
      <x:c r="Y44" s="19" t="n">
        <x:f>G44-H44</x:f>
        <x:v>1.65</x:v>
      </x:c>
      <x:c r="Z44" s="30" t="n">
        <x:f>Y44*'Solution'!$C$5</x:f>
        <x:v>82.5</x:v>
      </x:c>
      <x:c r="AA44" s="22" t="n">
        <x:f>Z44-U44</x:f>
        <x:v>67.626</x:v>
      </x:c>
    </x:row>
    <x:row r="45" ht="23" customHeight="1">
      <x:c r="A45" s="17" t="str">
        <x:v>W0039</x:v>
      </x:c>
      <x:c r="B45" s="18" t="n">
        <x:v>46295</x:v>
      </x:c>
      <x:c r="C45" s="17" t="str">
        <x:v>C001</x:v>
      </x:c>
      <x:c r="D45" s="17" t="str">
        <x:v>Analytics</x:v>
      </x:c>
      <x:c r="E45" s="17" t="str">
        <x:v>Quinn Parker</x:v>
      </x:c>
      <x:c r="F45" s="17" t="str">
        <x:v>Check measurement plan</x:v>
      </x:c>
      <x:c r="G45" s="20" t="n">
        <x:v>3.13</x:v>
      </x:c>
      <x:c r="H45" s="20" t="n">
        <x:v>1.05</x:v>
      </x:c>
      <x:c r="I45" s="20" t="n">
        <x:v>0.07</x:v>
      </x:c>
      <x:c r="J45" s="17" t="str">
        <x:v>None</x:v>
      </x:c>
      <x:c r="K45" s="17" t="str">
        <x:v>No</x:v>
      </x:c>
      <x:c r="L45" s="17" t="str">
        <x:v>Yes</x:v>
      </x:c>
      <x:c r="M45" s="29" t="str">
        <x:f>INDEX('Prompt Totals'!$C$7:$C$246,MATCH($A45,'Prompt Totals'!$A$7:$A$246,0))</x:f>
        <x:v>InsightDesk</x:v>
      </x:c>
      <x:c r="N45" s="29" t="str">
        <x:f>INDEX('Prompt Totals'!$D$7:$D$246,MATCH($A45,'Prompt Totals'!$A$7:$A$246,0))</x:f>
        <x:v>Lite</x:v>
      </x:c>
      <x:c r="O45" s="29" t="n">
        <x:f>INDEX('Prompt Totals'!$E$7:$E$246,MATCH($A45,'Prompt Totals'!$A$7:$A$246,0))</x:f>
        <x:v>510223</x:v>
      </x:c>
      <x:c r="P45" s="29" t="n">
        <x:f>INDEX('Prompt Totals'!$F$7:$F$246,MATCH($A45,'Prompt Totals'!$A$7:$A$246,0))</x:f>
        <x:v>48659</x:v>
      </x:c>
      <x:c r="Q45" s="29" t="n">
        <x:f>INDEX('Prompt Totals'!$G$7:$G$246,MATCH($A45,'Prompt Totals'!$A$7:$A$246,0))</x:f>
        <x:v>558882</x:v>
      </x:c>
      <x:c r="R45" s="29" t="n">
        <x:f>INDEX('Prompt Totals'!$H$7:$H$246,MATCH($A45,'Prompt Totals'!$A$7:$A$246,0))</x:f>
        <x:v>9</x:v>
      </x:c>
      <x:c r="S45" s="30" t="n">
        <x:f>INDEX('Prompt Totals'!$I$7:$I$246,MATCH($A45,'Prompt Totals'!$A$7:$A$246,0))</x:f>
        <x:v>5.10223</x:v>
      </x:c>
      <x:c r="T45" s="30" t="n">
        <x:f>INDEX('Prompt Totals'!$J$7:$J$246,MATCH($A45,'Prompt Totals'!$A$7:$A$246,0))</x:f>
        <x:v>1.45977</x:v>
      </x:c>
      <x:c r="U45" s="30" t="n">
        <x:f>INDEX('Prompt Totals'!$K$7:$K$246,MATCH($A45,'Prompt Totals'!$A$7:$A$246,0))</x:f>
        <x:v>6.561999999999999</x:v>
      </x:c>
      <x:c r="V45" s="29" t="n">
        <x:f>INDEX('Prompt Totals'!$L$7:$L$246,MATCH($A45,'Prompt Totals'!$A$7:$A$246,0))</x:f>
        <x:v>1</x:v>
      </x:c>
      <x:c r="W45" s="29" t="n">
        <x:f>INDEX('Prompt Totals'!$M$7:$M$246,MATCH($A45,'Prompt Totals'!$A$7:$A$246,0))</x:f>
        <x:v>7</x:v>
      </x:c>
      <x:c r="X45" s="29" t="n">
        <x:f>INDEX('Prompt Totals'!$N$7:$N$246,MATCH($A45,'Prompt Totals'!$A$7:$A$246,0))</x:f>
        <x:v>1</x:v>
      </x:c>
      <x:c r="Y45" s="19" t="n">
        <x:f>G45-H45</x:f>
        <x:v>2.08</x:v>
      </x:c>
      <x:c r="Z45" s="30" t="n">
        <x:f>Y45*'Solution'!$C$5</x:f>
        <x:v>104</x:v>
      </x:c>
      <x:c r="AA45" s="22" t="n">
        <x:f>Z45-U45</x:f>
        <x:v>97.438</x:v>
      </x:c>
    </x:row>
    <x:row r="46" ht="23" customHeight="1">
      <x:c r="A46" s="17" t="str">
        <x:v>W0040</x:v>
      </x:c>
      <x:c r="B46" s="18" t="n">
        <x:v>46280</x:v>
      </x:c>
      <x:c r="C46" s="17" t="str">
        <x:v>C001</x:v>
      </x:c>
      <x:c r="D46" s="17" t="str">
        <x:v>Analytics</x:v>
      </x:c>
      <x:c r="E46" s="17" t="str">
        <x:v>Jamie Patel</x:v>
      </x:c>
      <x:c r="F46" s="17" t="str">
        <x:v>Analyze campaign results</x:v>
      </x:c>
      <x:c r="G46" s="20" t="n">
        <x:v>2.88</x:v>
      </x:c>
      <x:c r="H46" s="20" t="n">
        <x:v>1.65</x:v>
      </x:c>
      <x:c r="I46" s="20" t="n">
        <x:v>0.24</x:v>
      </x:c>
      <x:c r="J46" s="17" t="str">
        <x:v>Brief changed</x:v>
      </x:c>
      <x:c r="K46" s="17" t="str">
        <x:v>Yes</x:v>
      </x:c>
      <x:c r="L46" s="17" t="str">
        <x:v>Yes</x:v>
      </x:c>
      <x:c r="M46" s="29" t="str">
        <x:f>INDEX('Prompt Totals'!$C$7:$C$246,MATCH($A46,'Prompt Totals'!$A$7:$A$246,0))</x:f>
        <x:v>InsightDesk</x:v>
      </x:c>
      <x:c r="N46" s="29" t="str">
        <x:f>INDEX('Prompt Totals'!$D$7:$D$246,MATCH($A46,'Prompt Totals'!$A$7:$A$246,0))</x:f>
        <x:v>Lite</x:v>
      </x:c>
      <x:c r="O46" s="29" t="n">
        <x:f>INDEX('Prompt Totals'!$E$7:$E$246,MATCH($A46,'Prompt Totals'!$A$7:$A$246,0))</x:f>
        <x:v>269052</x:v>
      </x:c>
      <x:c r="P46" s="29" t="n">
        <x:f>INDEX('Prompt Totals'!$F$7:$F$246,MATCH($A46,'Prompt Totals'!$A$7:$A$246,0))</x:f>
        <x:v>73144</x:v>
      </x:c>
      <x:c r="Q46" s="29" t="n">
        <x:f>INDEX('Prompt Totals'!$G$7:$G$246,MATCH($A46,'Prompt Totals'!$A$7:$A$246,0))</x:f>
        <x:v>342196</x:v>
      </x:c>
      <x:c r="R46" s="29" t="n">
        <x:f>INDEX('Prompt Totals'!$H$7:$H$246,MATCH($A46,'Prompt Totals'!$A$7:$A$246,0))</x:f>
        <x:v>9</x:v>
      </x:c>
      <x:c r="S46" s="30" t="n">
        <x:f>INDEX('Prompt Totals'!$I$7:$I$246,MATCH($A46,'Prompt Totals'!$A$7:$A$246,0))</x:f>
        <x:v>2.69052</x:v>
      </x:c>
      <x:c r="T46" s="30" t="n">
        <x:f>INDEX('Prompt Totals'!$J$7:$J$246,MATCH($A46,'Prompt Totals'!$A$7:$A$246,0))</x:f>
        <x:v>2.1943200000000003</x:v>
      </x:c>
      <x:c r="U46" s="30" t="n">
        <x:f>INDEX('Prompt Totals'!$K$7:$K$246,MATCH($A46,'Prompt Totals'!$A$7:$A$246,0))</x:f>
        <x:v>4.8848400000000005</x:v>
      </x:c>
      <x:c r="V46" s="29" t="n">
        <x:f>INDEX('Prompt Totals'!$L$7:$L$246,MATCH($A46,'Prompt Totals'!$A$7:$A$246,0))</x:f>
        <x:v>1</x:v>
      </x:c>
      <x:c r="W46" s="29" t="n">
        <x:f>INDEX('Prompt Totals'!$M$7:$M$246,MATCH($A46,'Prompt Totals'!$A$7:$A$246,0))</x:f>
        <x:v>7</x:v>
      </x:c>
      <x:c r="X46" s="29" t="n">
        <x:f>INDEX('Prompt Totals'!$N$7:$N$246,MATCH($A46,'Prompt Totals'!$A$7:$A$246,0))</x:f>
        <x:v>1</x:v>
      </x:c>
      <x:c r="Y46" s="19" t="n">
        <x:f>G46-H46</x:f>
        <x:v>1.23</x:v>
      </x:c>
      <x:c r="Z46" s="30" t="n">
        <x:f>Y46*'Solution'!$C$5</x:f>
        <x:v>61.5</x:v>
      </x:c>
      <x:c r="AA46" s="22" t="n">
        <x:f>Z46-U46</x:f>
        <x:v>56.61516</x:v>
      </x:c>
    </x:row>
    <x:row r="47" ht="23" customHeight="1">
      <x:c r="A47" s="17" t="str">
        <x:v>W0041</x:v>
      </x:c>
      <x:c r="B47" s="18" t="n">
        <x:v>46289</x:v>
      </x:c>
      <x:c r="C47" s="17" t="str">
        <x:v>C001</x:v>
      </x:c>
      <x:c r="D47" s="17" t="str">
        <x:v>Content</x:v>
      </x:c>
      <x:c r="E47" s="17" t="str">
        <x:v>Avery Morgan</x:v>
      </x:c>
      <x:c r="F47" s="17" t="str">
        <x:v>Draft email sequence</x:v>
      </x:c>
      <x:c r="G47" s="20" t="n">
        <x:v>3.67</x:v>
      </x:c>
      <x:c r="H47" s="20" t="n">
        <x:v>2.08</x:v>
      </x:c>
      <x:c r="I47" s="20" t="n">
        <x:v>0.13</x:v>
      </x:c>
      <x:c r="J47" s="17" t="str">
        <x:v>None</x:v>
      </x:c>
      <x:c r="K47" s="17" t="str">
        <x:v>No</x:v>
      </x:c>
      <x:c r="L47" s="17" t="str">
        <x:v>Yes</x:v>
      </x:c>
      <x:c r="M47" s="29" t="str">
        <x:f>INDEX('Prompt Totals'!$C$7:$C$246,MATCH($A47,'Prompt Totals'!$A$7:$A$246,0))</x:f>
        <x:v>CopyStudio</x:v>
      </x:c>
      <x:c r="N47" s="29" t="str">
        <x:f>INDEX('Prompt Totals'!$D$7:$D$246,MATCH($A47,'Prompt Totals'!$A$7:$A$246,0))</x:f>
        <x:v>Lite</x:v>
      </x:c>
      <x:c r="O47" s="29" t="n">
        <x:f>INDEX('Prompt Totals'!$E$7:$E$246,MATCH($A47,'Prompt Totals'!$A$7:$A$246,0))</x:f>
        <x:v>552806</x:v>
      </x:c>
      <x:c r="P47" s="29" t="n">
        <x:f>INDEX('Prompt Totals'!$F$7:$F$246,MATCH($A47,'Prompt Totals'!$A$7:$A$246,0))</x:f>
        <x:v>72740</x:v>
      </x:c>
      <x:c r="Q47" s="29" t="n">
        <x:f>INDEX('Prompt Totals'!$G$7:$G$246,MATCH($A47,'Prompt Totals'!$A$7:$A$246,0))</x:f>
        <x:v>625546</x:v>
      </x:c>
      <x:c r="R47" s="29" t="n">
        <x:f>INDEX('Prompt Totals'!$H$7:$H$246,MATCH($A47,'Prompt Totals'!$A$7:$A$246,0))</x:f>
        <x:v>10</x:v>
      </x:c>
      <x:c r="S47" s="30" t="n">
        <x:f>INDEX('Prompt Totals'!$I$7:$I$246,MATCH($A47,'Prompt Totals'!$A$7:$A$246,0))</x:f>
        <x:v>5.52806</x:v>
      </x:c>
      <x:c r="T47" s="30" t="n">
        <x:f>INDEX('Prompt Totals'!$J$7:$J$246,MATCH($A47,'Prompt Totals'!$A$7:$A$246,0))</x:f>
        <x:v>2.1822</x:v>
      </x:c>
      <x:c r="U47" s="30" t="n">
        <x:f>INDEX('Prompt Totals'!$K$7:$K$246,MATCH($A47,'Prompt Totals'!$A$7:$A$246,0))</x:f>
        <x:v>7.71026</x:v>
      </x:c>
      <x:c r="V47" s="29" t="n">
        <x:f>INDEX('Prompt Totals'!$L$7:$L$246,MATCH($A47,'Prompt Totals'!$A$7:$A$246,0))</x:f>
        <x:v>1</x:v>
      </x:c>
      <x:c r="W47" s="29" t="n">
        <x:f>INDEX('Prompt Totals'!$M$7:$M$246,MATCH($A47,'Prompt Totals'!$A$7:$A$246,0))</x:f>
        <x:v>8</x:v>
      </x:c>
      <x:c r="X47" s="29" t="n">
        <x:f>INDEX('Prompt Totals'!$N$7:$N$246,MATCH($A47,'Prompt Totals'!$A$7:$A$246,0))</x:f>
        <x:v>1</x:v>
      </x:c>
      <x:c r="Y47" s="19" t="n">
        <x:f>G47-H47</x:f>
        <x:v>1.5899999999999999</x:v>
      </x:c>
      <x:c r="Z47" s="30" t="n">
        <x:f>Y47*'Solution'!$C$5</x:f>
        <x:v>79.5</x:v>
      </x:c>
      <x:c r="AA47" s="22" t="n">
        <x:f>Z47-U47</x:f>
        <x:v>71.78974</x:v>
      </x:c>
    </x:row>
    <x:row r="48" ht="23" customHeight="1">
      <x:c r="A48" s="17" t="str">
        <x:v>W0042</x:v>
      </x:c>
      <x:c r="B48" s="18" t="n">
        <x:v>46274</x:v>
      </x:c>
      <x:c r="C48" s="17" t="str">
        <x:v>C001</x:v>
      </x:c>
      <x:c r="D48" s="17" t="str">
        <x:v>Content</x:v>
      </x:c>
      <x:c r="E48" s="17" t="str">
        <x:v>Jordan Ellis</x:v>
      </x:c>
      <x:c r="F48" s="17" t="str">
        <x:v>Edit landing page</x:v>
      </x:c>
      <x:c r="G48" s="20" t="n">
        <x:v>4.17</x:v>
      </x:c>
      <x:c r="H48" s="20" t="n">
        <x:v>2.46</x:v>
      </x:c>
      <x:c r="I48" s="20" t="n">
        <x:v>0.32</x:v>
      </x:c>
      <x:c r="J48" s="17" t="str">
        <x:v>Brief changed</x:v>
      </x:c>
      <x:c r="K48" s="17" t="str">
        <x:v>Yes</x:v>
      </x:c>
      <x:c r="L48" s="17" t="str">
        <x:v>Yes</x:v>
      </x:c>
      <x:c r="M48" s="29" t="str">
        <x:f>INDEX('Prompt Totals'!$C$7:$C$246,MATCH($A48,'Prompt Totals'!$A$7:$A$246,0))</x:f>
        <x:v>CampaignChat</x:v>
      </x:c>
      <x:c r="N48" s="29" t="str">
        <x:f>INDEX('Prompt Totals'!$D$7:$D$246,MATCH($A48,'Prompt Totals'!$A$7:$A$246,0))</x:f>
        <x:v>Lite</x:v>
      </x:c>
      <x:c r="O48" s="29" t="n">
        <x:f>INDEX('Prompt Totals'!$E$7:$E$246,MATCH($A48,'Prompt Totals'!$A$7:$A$246,0))</x:f>
        <x:v>224899</x:v>
      </x:c>
      <x:c r="P48" s="29" t="n">
        <x:f>INDEX('Prompt Totals'!$F$7:$F$246,MATCH($A48,'Prompt Totals'!$A$7:$A$246,0))</x:f>
        <x:v>68721</x:v>
      </x:c>
      <x:c r="Q48" s="29" t="n">
        <x:f>INDEX('Prompt Totals'!$G$7:$G$246,MATCH($A48,'Prompt Totals'!$A$7:$A$246,0))</x:f>
        <x:v>293620</x:v>
      </x:c>
      <x:c r="R48" s="29" t="n">
        <x:f>INDEX('Prompt Totals'!$H$7:$H$246,MATCH($A48,'Prompt Totals'!$A$7:$A$246,0))</x:f>
        <x:v>10</x:v>
      </x:c>
      <x:c r="S48" s="30" t="n">
        <x:f>INDEX('Prompt Totals'!$I$7:$I$246,MATCH($A48,'Prompt Totals'!$A$7:$A$246,0))</x:f>
        <x:v>2.2489899999999996</x:v>
      </x:c>
      <x:c r="T48" s="30" t="n">
        <x:f>INDEX('Prompt Totals'!$J$7:$J$246,MATCH($A48,'Prompt Totals'!$A$7:$A$246,0))</x:f>
        <x:v>2.06163</x:v>
      </x:c>
      <x:c r="U48" s="30" t="n">
        <x:f>INDEX('Prompt Totals'!$K$7:$K$246,MATCH($A48,'Prompt Totals'!$A$7:$A$246,0))</x:f>
        <x:v>4.31062</x:v>
      </x:c>
      <x:c r="V48" s="29" t="n">
        <x:f>INDEX('Prompt Totals'!$L$7:$L$246,MATCH($A48,'Prompt Totals'!$A$7:$A$246,0))</x:f>
        <x:v>1</x:v>
      </x:c>
      <x:c r="W48" s="29" t="n">
        <x:f>INDEX('Prompt Totals'!$M$7:$M$246,MATCH($A48,'Prompt Totals'!$A$7:$A$246,0))</x:f>
        <x:v>8</x:v>
      </x:c>
      <x:c r="X48" s="29" t="n">
        <x:f>INDEX('Prompt Totals'!$N$7:$N$246,MATCH($A48,'Prompt Totals'!$A$7:$A$246,0))</x:f>
        <x:v>1</x:v>
      </x:c>
      <x:c r="Y48" s="19" t="n">
        <x:f>G48-H48</x:f>
        <x:v>1.71</x:v>
      </x:c>
      <x:c r="Z48" s="30" t="n">
        <x:f>Y48*'Solution'!$C$5</x:f>
        <x:v>85.5</x:v>
      </x:c>
      <x:c r="AA48" s="22" t="n">
        <x:f>Z48-U48</x:f>
        <x:v>81.18938</x:v>
      </x:c>
    </x:row>
    <x:row r="49" ht="23" customHeight="1">
      <x:c r="A49" s="17" t="str">
        <x:v>W0043</x:v>
      </x:c>
      <x:c r="B49" s="18" t="n">
        <x:v>46283</x:v>
      </x:c>
      <x:c r="C49" s="17" t="str">
        <x:v>C001</x:v>
      </x:c>
      <x:c r="D49" s="17" t="str">
        <x:v>Creative</x:v>
      </x:c>
      <x:c r="E49" s="17" t="str">
        <x:v>Riley Chen</x:v>
      </x:c>
      <x:c r="F49" s="17" t="str">
        <x:v>Develop concept brief</x:v>
      </x:c>
      <x:c r="G49" s="20" t="n">
        <x:v>3.94</x:v>
      </x:c>
      <x:c r="H49" s="20" t="n">
        <x:v>1.79</x:v>
      </x:c>
      <x:c r="I49" s="20" t="n">
        <x:v>0.15</x:v>
      </x:c>
      <x:c r="J49" s="17" t="str">
        <x:v>None</x:v>
      </x:c>
      <x:c r="K49" s="17" t="str">
        <x:v>No</x:v>
      </x:c>
      <x:c r="L49" s="17" t="str">
        <x:v>Yes</x:v>
      </x:c>
      <x:c r="M49" s="29" t="str">
        <x:f>INDEX('Prompt Totals'!$C$7:$C$246,MATCH($A49,'Prompt Totals'!$A$7:$A$246,0))</x:f>
        <x:v>CampaignChat</x:v>
      </x:c>
      <x:c r="N49" s="29" t="str">
        <x:f>INDEX('Prompt Totals'!$D$7:$D$246,MATCH($A49,'Prompt Totals'!$A$7:$A$246,0))</x:f>
        <x:v>Lite</x:v>
      </x:c>
      <x:c r="O49" s="29" t="n">
        <x:f>INDEX('Prompt Totals'!$E$7:$E$246,MATCH($A49,'Prompt Totals'!$A$7:$A$246,0))</x:f>
        <x:v>383868</x:v>
      </x:c>
      <x:c r="P49" s="29" t="n">
        <x:f>INDEX('Prompt Totals'!$F$7:$F$246,MATCH($A49,'Prompt Totals'!$A$7:$A$246,0))</x:f>
        <x:v>58416</x:v>
      </x:c>
      <x:c r="Q49" s="29" t="n">
        <x:f>INDEX('Prompt Totals'!$G$7:$G$246,MATCH($A49,'Prompt Totals'!$A$7:$A$246,0))</x:f>
        <x:v>442284</x:v>
      </x:c>
      <x:c r="R49" s="29" t="n">
        <x:f>INDEX('Prompt Totals'!$H$7:$H$246,MATCH($A49,'Prompt Totals'!$A$7:$A$246,0))</x:f>
        <x:v>10</x:v>
      </x:c>
      <x:c r="S49" s="30" t="n">
        <x:f>INDEX('Prompt Totals'!$I$7:$I$246,MATCH($A49,'Prompt Totals'!$A$7:$A$246,0))</x:f>
        <x:v>3.8386799999999996</x:v>
      </x:c>
      <x:c r="T49" s="30" t="n">
        <x:f>INDEX('Prompt Totals'!$J$7:$J$246,MATCH($A49,'Prompt Totals'!$A$7:$A$246,0))</x:f>
        <x:v>1.7524800000000003</x:v>
      </x:c>
      <x:c r="U49" s="30" t="n">
        <x:f>INDEX('Prompt Totals'!$K$7:$K$246,MATCH($A49,'Prompt Totals'!$A$7:$A$246,0))</x:f>
        <x:v>5.59116</x:v>
      </x:c>
      <x:c r="V49" s="29" t="n">
        <x:f>INDEX('Prompt Totals'!$L$7:$L$246,MATCH($A49,'Prompt Totals'!$A$7:$A$246,0))</x:f>
        <x:v>1</x:v>
      </x:c>
      <x:c r="W49" s="29" t="n">
        <x:f>INDEX('Prompt Totals'!$M$7:$M$246,MATCH($A49,'Prompt Totals'!$A$7:$A$246,0))</x:f>
        <x:v>8</x:v>
      </x:c>
      <x:c r="X49" s="29" t="n">
        <x:f>INDEX('Prompt Totals'!$N$7:$N$246,MATCH($A49,'Prompt Totals'!$A$7:$A$246,0))</x:f>
        <x:v>1</x:v>
      </x:c>
      <x:c r="Y49" s="19" t="n">
        <x:f>G49-H49</x:f>
        <x:v>2.15</x:v>
      </x:c>
      <x:c r="Z49" s="30" t="n">
        <x:f>Y49*'Solution'!$C$5</x:f>
        <x:v>107.5</x:v>
      </x:c>
      <x:c r="AA49" s="22" t="n">
        <x:f>Z49-U49</x:f>
        <x:v>101.90884</x:v>
      </x:c>
    </x:row>
    <x:row r="50" ht="23" customHeight="1">
      <x:c r="A50" s="17" t="str">
        <x:v>W0044</x:v>
      </x:c>
      <x:c r="B50" s="18" t="n">
        <x:v>46294</x:v>
      </x:c>
      <x:c r="C50" s="17" t="str">
        <x:v>C001</x:v>
      </x:c>
      <x:c r="D50" s="17" t="str">
        <x:v>Creative</x:v>
      </x:c>
      <x:c r="E50" s="17" t="str">
        <x:v>Taylor Brooks</x:v>
      </x:c>
      <x:c r="F50" s="17" t="str">
        <x:v>Review creative variants</x:v>
      </x:c>
      <x:c r="G50" s="20" t="n">
        <x:v>4.33</x:v>
      </x:c>
      <x:c r="H50" s="20" t="n">
        <x:v>2.1</x:v>
      </x:c>
      <x:c r="I50" s="20" t="n">
        <x:v>0.05</x:v>
      </x:c>
      <x:c r="J50" s="17" t="str">
        <x:v>None</x:v>
      </x:c>
      <x:c r="K50" s="17" t="str">
        <x:v>No</x:v>
      </x:c>
      <x:c r="L50" s="17" t="str">
        <x:v>Yes</x:v>
      </x:c>
      <x:c r="M50" s="29" t="str">
        <x:f>INDEX('Prompt Totals'!$C$7:$C$246,MATCH($A50,'Prompt Totals'!$A$7:$A$246,0))</x:f>
        <x:v>CampaignChat</x:v>
      </x:c>
      <x:c r="N50" s="29" t="str">
        <x:f>INDEX('Prompt Totals'!$D$7:$D$246,MATCH($A50,'Prompt Totals'!$A$7:$A$246,0))</x:f>
        <x:v>Pro</x:v>
      </x:c>
      <x:c r="O50" s="29" t="n">
        <x:f>INDEX('Prompt Totals'!$E$7:$E$246,MATCH($A50,'Prompt Totals'!$A$7:$A$246,0))</x:f>
        <x:v>235395</x:v>
      </x:c>
      <x:c r="P50" s="29" t="n">
        <x:f>INDEX('Prompt Totals'!$F$7:$F$246,MATCH($A50,'Prompt Totals'!$A$7:$A$246,0))</x:f>
        <x:v>79156</x:v>
      </x:c>
      <x:c r="Q50" s="29" t="n">
        <x:f>INDEX('Prompt Totals'!$G$7:$G$246,MATCH($A50,'Prompt Totals'!$A$7:$A$246,0))</x:f>
        <x:v>314551</x:v>
      </x:c>
      <x:c r="R50" s="29" t="n">
        <x:f>INDEX('Prompt Totals'!$H$7:$H$246,MATCH($A50,'Prompt Totals'!$A$7:$A$246,0))</x:f>
        <x:v>11</x:v>
      </x:c>
      <x:c r="S50" s="30" t="n">
        <x:f>INDEX('Prompt Totals'!$I$7:$I$246,MATCH($A50,'Prompt Totals'!$A$7:$A$246,0))</x:f>
        <x:v>9.4158</x:v>
      </x:c>
      <x:c r="T50" s="30" t="n">
        <x:f>INDEX('Prompt Totals'!$J$7:$J$246,MATCH($A50,'Prompt Totals'!$A$7:$A$246,0))</x:f>
        <x:v>7.915600000000001</x:v>
      </x:c>
      <x:c r="U50" s="30" t="n">
        <x:f>INDEX('Prompt Totals'!$K$7:$K$246,MATCH($A50,'Prompt Totals'!$A$7:$A$246,0))</x:f>
        <x:v>17.331400000000002</x:v>
      </x:c>
      <x:c r="V50" s="29" t="n">
        <x:f>INDEX('Prompt Totals'!$L$7:$L$246,MATCH($A50,'Prompt Totals'!$A$7:$A$246,0))</x:f>
        <x:v>1</x:v>
      </x:c>
      <x:c r="W50" s="29" t="n">
        <x:f>INDEX('Prompt Totals'!$M$7:$M$246,MATCH($A50,'Prompt Totals'!$A$7:$A$246,0))</x:f>
        <x:v>9</x:v>
      </x:c>
      <x:c r="X50" s="29" t="n">
        <x:f>INDEX('Prompt Totals'!$N$7:$N$246,MATCH($A50,'Prompt Totals'!$A$7:$A$246,0))</x:f>
        <x:v>1</x:v>
      </x:c>
      <x:c r="Y50" s="19" t="n">
        <x:f>G50-H50</x:f>
        <x:v>2.23</x:v>
      </x:c>
      <x:c r="Z50" s="30" t="n">
        <x:f>Y50*'Solution'!$C$5</x:f>
        <x:v>111.5</x:v>
      </x:c>
      <x:c r="AA50" s="22" t="n">
        <x:f>Z50-U50</x:f>
        <x:v>94.1686</x:v>
      </x:c>
    </x:row>
    <x:row r="51" ht="23" customHeight="1">
      <x:c r="A51" s="17" t="str">
        <x:v>W0045</x:v>
      </x:c>
      <x:c r="B51" s="18" t="n">
        <x:v>46279</x:v>
      </x:c>
      <x:c r="C51" s="17" t="str">
        <x:v>C001</x:v>
      </x:c>
      <x:c r="D51" s="17" t="str">
        <x:v>Marketing Operations</x:v>
      </x:c>
      <x:c r="E51" s="17" t="str">
        <x:v>Casey Rivera</x:v>
      </x:c>
      <x:c r="F51" s="17" t="str">
        <x:v>Prepare launch checklist</x:v>
      </x:c>
      <x:c r="G51" s="20" t="n">
        <x:v>4.64</x:v>
      </x:c>
      <x:c r="H51" s="20" t="n">
        <x:v>2.35</x:v>
      </x:c>
      <x:c r="I51" s="20" t="n">
        <x:v>0.32</x:v>
      </x:c>
      <x:c r="J51" s="17" t="str">
        <x:v>Brief changed</x:v>
      </x:c>
      <x:c r="K51" s="17" t="str">
        <x:v>Yes</x:v>
      </x:c>
      <x:c r="L51" s="17" t="str">
        <x:v>Yes</x:v>
      </x:c>
      <x:c r="M51" s="29" t="str">
        <x:f>INDEX('Prompt Totals'!$C$7:$C$246,MATCH($A51,'Prompt Totals'!$A$7:$A$246,0))</x:f>
        <x:v>DataFlow</x:v>
      </x:c>
      <x:c r="N51" s="29" t="str">
        <x:f>INDEX('Prompt Totals'!$D$7:$D$246,MATCH($A51,'Prompt Totals'!$A$7:$A$246,0))</x:f>
        <x:v>Lite</x:v>
      </x:c>
      <x:c r="O51" s="29" t="n">
        <x:f>INDEX('Prompt Totals'!$E$7:$E$246,MATCH($A51,'Prompt Totals'!$A$7:$A$246,0))</x:f>
        <x:v>339096</x:v>
      </x:c>
      <x:c r="P51" s="29" t="n">
        <x:f>INDEX('Prompt Totals'!$F$7:$F$246,MATCH($A51,'Prompt Totals'!$A$7:$A$246,0))</x:f>
        <x:v>56301</x:v>
      </x:c>
      <x:c r="Q51" s="29" t="n">
        <x:f>INDEX('Prompt Totals'!$G$7:$G$246,MATCH($A51,'Prompt Totals'!$A$7:$A$246,0))</x:f>
        <x:v>395397</x:v>
      </x:c>
      <x:c r="R51" s="29" t="n">
        <x:f>INDEX('Prompt Totals'!$H$7:$H$246,MATCH($A51,'Prompt Totals'!$A$7:$A$246,0))</x:f>
        <x:v>9</x:v>
      </x:c>
      <x:c r="S51" s="30" t="n">
        <x:f>INDEX('Prompt Totals'!$I$7:$I$246,MATCH($A51,'Prompt Totals'!$A$7:$A$246,0))</x:f>
        <x:v>3.3909599999999998</x:v>
      </x:c>
      <x:c r="T51" s="30" t="n">
        <x:f>INDEX('Prompt Totals'!$J$7:$J$246,MATCH($A51,'Prompt Totals'!$A$7:$A$246,0))</x:f>
        <x:v>1.6890299999999998</x:v>
      </x:c>
      <x:c r="U51" s="30" t="n">
        <x:f>INDEX('Prompt Totals'!$K$7:$K$246,MATCH($A51,'Prompt Totals'!$A$7:$A$246,0))</x:f>
        <x:v>5.07999</x:v>
      </x:c>
      <x:c r="V51" s="29" t="n">
        <x:f>INDEX('Prompt Totals'!$L$7:$L$246,MATCH($A51,'Prompt Totals'!$A$7:$A$246,0))</x:f>
        <x:v>1</x:v>
      </x:c>
      <x:c r="W51" s="29" t="n">
        <x:f>INDEX('Prompt Totals'!$M$7:$M$246,MATCH($A51,'Prompt Totals'!$A$7:$A$246,0))</x:f>
        <x:v>7</x:v>
      </x:c>
      <x:c r="X51" s="29" t="n">
        <x:f>INDEX('Prompt Totals'!$N$7:$N$246,MATCH($A51,'Prompt Totals'!$A$7:$A$246,0))</x:f>
        <x:v>1</x:v>
      </x:c>
      <x:c r="Y51" s="19" t="n">
        <x:f>G51-H51</x:f>
        <x:v>2.2899999999999996</x:v>
      </x:c>
      <x:c r="Z51" s="30" t="n">
        <x:f>Y51*'Solution'!$C$5</x:f>
        <x:v>114.49999999999999</x:v>
      </x:c>
      <x:c r="AA51" s="22" t="n">
        <x:f>Z51-U51</x:f>
        <x:v>109.42000999999999</x:v>
      </x:c>
    </x:row>
    <x:row r="52" ht="23" customHeight="1">
      <x:c r="A52" s="17" t="str">
        <x:v>W0046</x:v>
      </x:c>
      <x:c r="B52" s="18" t="n">
        <x:v>46288</x:v>
      </x:c>
      <x:c r="C52" s="17" t="str">
        <x:v>C001</x:v>
      </x:c>
      <x:c r="D52" s="17" t="str">
        <x:v>Marketing Operations</x:v>
      </x:c>
      <x:c r="E52" s="17" t="str">
        <x:v>Morgan Reed</x:v>
      </x:c>
      <x:c r="F52" s="17" t="str">
        <x:v>Build campaign plan</x:v>
      </x:c>
      <x:c r="G52" s="20" t="n">
        <x:v>4.96</x:v>
      </x:c>
      <x:c r="H52" s="20" t="n">
        <x:v>2.3</x:v>
      </x:c>
      <x:c r="I52" s="20" t="n">
        <x:v>0.03</x:v>
      </x:c>
      <x:c r="J52" s="17" t="str">
        <x:v>None</x:v>
      </x:c>
      <x:c r="K52" s="17" t="str">
        <x:v>No</x:v>
      </x:c>
      <x:c r="L52" s="17" t="str">
        <x:v>Yes</x:v>
      </x:c>
      <x:c r="M52" s="29" t="str">
        <x:f>INDEX('Prompt Totals'!$C$7:$C$246,MATCH($A52,'Prompt Totals'!$A$7:$A$246,0))</x:f>
        <x:v>CampaignChat</x:v>
      </x:c>
      <x:c r="N52" s="29" t="str">
        <x:f>INDEX('Prompt Totals'!$D$7:$D$246,MATCH($A52,'Prompt Totals'!$A$7:$A$246,0))</x:f>
        <x:v>Lite</x:v>
      </x:c>
      <x:c r="O52" s="29" t="n">
        <x:f>INDEX('Prompt Totals'!$E$7:$E$246,MATCH($A52,'Prompt Totals'!$A$7:$A$246,0))</x:f>
        <x:v>536072</x:v>
      </x:c>
      <x:c r="P52" s="29" t="n">
        <x:f>INDEX('Prompt Totals'!$F$7:$F$246,MATCH($A52,'Prompt Totals'!$A$7:$A$246,0))</x:f>
        <x:v>82842</x:v>
      </x:c>
      <x:c r="Q52" s="29" t="n">
        <x:f>INDEX('Prompt Totals'!$G$7:$G$246,MATCH($A52,'Prompt Totals'!$A$7:$A$246,0))</x:f>
        <x:v>618914</x:v>
      </x:c>
      <x:c r="R52" s="29" t="n">
        <x:f>INDEX('Prompt Totals'!$H$7:$H$246,MATCH($A52,'Prompt Totals'!$A$7:$A$246,0))</x:f>
        <x:v>10</x:v>
      </x:c>
      <x:c r="S52" s="30" t="n">
        <x:f>INDEX('Prompt Totals'!$I$7:$I$246,MATCH($A52,'Prompt Totals'!$A$7:$A$246,0))</x:f>
        <x:v>5.36072</x:v>
      </x:c>
      <x:c r="T52" s="30" t="n">
        <x:f>INDEX('Prompt Totals'!$J$7:$J$246,MATCH($A52,'Prompt Totals'!$A$7:$A$246,0))</x:f>
        <x:v>2.4852600000000002</x:v>
      </x:c>
      <x:c r="U52" s="30" t="n">
        <x:f>INDEX('Prompt Totals'!$K$7:$K$246,MATCH($A52,'Prompt Totals'!$A$7:$A$246,0))</x:f>
        <x:v>7.845980000000001</x:v>
      </x:c>
      <x:c r="V52" s="29" t="n">
        <x:f>INDEX('Prompt Totals'!$L$7:$L$246,MATCH($A52,'Prompt Totals'!$A$7:$A$246,0))</x:f>
        <x:v>1</x:v>
      </x:c>
      <x:c r="W52" s="29" t="n">
        <x:f>INDEX('Prompt Totals'!$M$7:$M$246,MATCH($A52,'Prompt Totals'!$A$7:$A$246,0))</x:f>
        <x:v>8</x:v>
      </x:c>
      <x:c r="X52" s="29" t="n">
        <x:f>INDEX('Prompt Totals'!$N$7:$N$246,MATCH($A52,'Prompt Totals'!$A$7:$A$246,0))</x:f>
        <x:v>1</x:v>
      </x:c>
      <x:c r="Y52" s="19" t="n">
        <x:f>G52-H52</x:f>
        <x:v>2.66</x:v>
      </x:c>
      <x:c r="Z52" s="30" t="n">
        <x:f>Y52*'Solution'!$C$5</x:f>
        <x:v>133</x:v>
      </x:c>
      <x:c r="AA52" s="22" t="n">
        <x:f>Z52-U52</x:f>
        <x:v>125.15402</x:v>
      </x:c>
    </x:row>
    <x:row r="53" ht="23" customHeight="1">
      <x:c r="A53" s="17" t="str">
        <x:v>W0047</x:v>
      </x:c>
      <x:c r="B53" s="18" t="n">
        <x:v>46273</x:v>
      </x:c>
      <x:c r="C53" s="17" t="str">
        <x:v>C001</x:v>
      </x:c>
      <x:c r="D53" s="17" t="str">
        <x:v>Analytics</x:v>
      </x:c>
      <x:c r="E53" s="17" t="str">
        <x:v>Quinn Parker</x:v>
      </x:c>
      <x:c r="F53" s="17" t="str">
        <x:v>Summarize audience insights</x:v>
      </x:c>
      <x:c r="G53" s="20" t="n">
        <x:v>2.76</x:v>
      </x:c>
      <x:c r="H53" s="20" t="n">
        <x:v>1.65</x:v>
      </x:c>
      <x:c r="I53" s="20" t="n">
        <x:v>0.15</x:v>
      </x:c>
      <x:c r="J53" s="17" t="str">
        <x:v>None</x:v>
      </x:c>
      <x:c r="K53" s="17" t="str">
        <x:v>No</x:v>
      </x:c>
      <x:c r="L53" s="17" t="str">
        <x:v>Yes</x:v>
      </x:c>
      <x:c r="M53" s="29" t="str">
        <x:f>INDEX('Prompt Totals'!$C$7:$C$246,MATCH($A53,'Prompt Totals'!$A$7:$A$246,0))</x:f>
        <x:v>InsightDesk</x:v>
      </x:c>
      <x:c r="N53" s="29" t="str">
        <x:f>INDEX('Prompt Totals'!$D$7:$D$246,MATCH($A53,'Prompt Totals'!$A$7:$A$246,0))</x:f>
        <x:v>Lite</x:v>
      </x:c>
      <x:c r="O53" s="29" t="n">
        <x:f>INDEX('Prompt Totals'!$E$7:$E$246,MATCH($A53,'Prompt Totals'!$A$7:$A$246,0))</x:f>
        <x:v>286730</x:v>
      </x:c>
      <x:c r="P53" s="29" t="n">
        <x:f>INDEX('Prompt Totals'!$F$7:$F$246,MATCH($A53,'Prompt Totals'!$A$7:$A$246,0))</x:f>
        <x:v>107270</x:v>
      </x:c>
      <x:c r="Q53" s="29" t="n">
        <x:f>INDEX('Prompt Totals'!$G$7:$G$246,MATCH($A53,'Prompt Totals'!$A$7:$A$246,0))</x:f>
        <x:v>394000</x:v>
      </x:c>
      <x:c r="R53" s="29" t="n">
        <x:f>INDEX('Prompt Totals'!$H$7:$H$246,MATCH($A53,'Prompt Totals'!$A$7:$A$246,0))</x:f>
        <x:v>11</x:v>
      </x:c>
      <x:c r="S53" s="30" t="n">
        <x:f>INDEX('Prompt Totals'!$I$7:$I$246,MATCH($A53,'Prompt Totals'!$A$7:$A$246,0))</x:f>
        <x:v>2.8673</x:v>
      </x:c>
      <x:c r="T53" s="30" t="n">
        <x:f>INDEX('Prompt Totals'!$J$7:$J$246,MATCH($A53,'Prompt Totals'!$A$7:$A$246,0))</x:f>
        <x:v>3.2180999999999997</x:v>
      </x:c>
      <x:c r="U53" s="30" t="n">
        <x:f>INDEX('Prompt Totals'!$K$7:$K$246,MATCH($A53,'Prompt Totals'!$A$7:$A$246,0))</x:f>
        <x:v>6.0854</x:v>
      </x:c>
      <x:c r="V53" s="29" t="n">
        <x:f>INDEX('Prompt Totals'!$L$7:$L$246,MATCH($A53,'Prompt Totals'!$A$7:$A$246,0))</x:f>
        <x:v>1</x:v>
      </x:c>
      <x:c r="W53" s="29" t="n">
        <x:f>INDEX('Prompt Totals'!$M$7:$M$246,MATCH($A53,'Prompt Totals'!$A$7:$A$246,0))</x:f>
        <x:v>9</x:v>
      </x:c>
      <x:c r="X53" s="29" t="n">
        <x:f>INDEX('Prompt Totals'!$N$7:$N$246,MATCH($A53,'Prompt Totals'!$A$7:$A$246,0))</x:f>
        <x:v>1</x:v>
      </x:c>
      <x:c r="Y53" s="19" t="n">
        <x:f>G53-H53</x:f>
        <x:v>1.1099999999999999</x:v>
      </x:c>
      <x:c r="Z53" s="30" t="n">
        <x:f>Y53*'Solution'!$C$5</x:f>
        <x:v>55.49999999999999</x:v>
      </x:c>
      <x:c r="AA53" s="22" t="n">
        <x:f>Z53-U53</x:f>
        <x:v>49.41459999999999</x:v>
      </x:c>
    </x:row>
    <x:row r="54" ht="23" customHeight="1">
      <x:c r="A54" s="17" t="str">
        <x:v>W0048</x:v>
      </x:c>
      <x:c r="B54" s="18" t="n">
        <x:v>46282</x:v>
      </x:c>
      <x:c r="C54" s="17" t="str">
        <x:v>C001</x:v>
      </x:c>
      <x:c r="D54" s="17" t="str">
        <x:v>Analytics</x:v>
      </x:c>
      <x:c r="E54" s="17" t="str">
        <x:v>Jamie Patel</x:v>
      </x:c>
      <x:c r="F54" s="17" t="str">
        <x:v>Check measurement plan</x:v>
      </x:c>
      <x:c r="G54" s="20" t="n">
        <x:v>2.71</x:v>
      </x:c>
      <x:c r="H54" s="20" t="n">
        <x:v>1.12</x:v>
      </x:c>
      <x:c r="I54" s="20" t="n">
        <x:v>0.1</x:v>
      </x:c>
      <x:c r="J54" s="17" t="str">
        <x:v>Brief changed</x:v>
      </x:c>
      <x:c r="K54" s="17" t="str">
        <x:v>Yes</x:v>
      </x:c>
      <x:c r="L54" s="17" t="str">
        <x:v>Yes</x:v>
      </x:c>
      <x:c r="M54" s="29" t="str">
        <x:f>INDEX('Prompt Totals'!$C$7:$C$246,MATCH($A54,'Prompt Totals'!$A$7:$A$246,0))</x:f>
        <x:v>InsightDesk</x:v>
      </x:c>
      <x:c r="N54" s="29" t="str">
        <x:f>INDEX('Prompt Totals'!$D$7:$D$246,MATCH($A54,'Prompt Totals'!$A$7:$A$246,0))</x:f>
        <x:v>Lite</x:v>
      </x:c>
      <x:c r="O54" s="29" t="n">
        <x:f>INDEX('Prompt Totals'!$E$7:$E$246,MATCH($A54,'Prompt Totals'!$A$7:$A$246,0))</x:f>
        <x:v>449397</x:v>
      </x:c>
      <x:c r="P54" s="29" t="n">
        <x:f>INDEX('Prompt Totals'!$F$7:$F$246,MATCH($A54,'Prompt Totals'!$A$7:$A$246,0))</x:f>
        <x:v>69916</x:v>
      </x:c>
      <x:c r="Q54" s="29" t="n">
        <x:f>INDEX('Prompt Totals'!$G$7:$G$246,MATCH($A54,'Prompt Totals'!$A$7:$A$246,0))</x:f>
        <x:v>519313</x:v>
      </x:c>
      <x:c r="R54" s="29" t="n">
        <x:f>INDEX('Prompt Totals'!$H$7:$H$246,MATCH($A54,'Prompt Totals'!$A$7:$A$246,0))</x:f>
        <x:v>9</x:v>
      </x:c>
      <x:c r="S54" s="30" t="n">
        <x:f>INDEX('Prompt Totals'!$I$7:$I$246,MATCH($A54,'Prompt Totals'!$A$7:$A$246,0))</x:f>
        <x:v>4.49397</x:v>
      </x:c>
      <x:c r="T54" s="30" t="n">
        <x:f>INDEX('Prompt Totals'!$J$7:$J$246,MATCH($A54,'Prompt Totals'!$A$7:$A$246,0))</x:f>
        <x:v>2.09748</x:v>
      </x:c>
      <x:c r="U54" s="30" t="n">
        <x:f>INDEX('Prompt Totals'!$K$7:$K$246,MATCH($A54,'Prompt Totals'!$A$7:$A$246,0))</x:f>
        <x:v>6.59145</x:v>
      </x:c>
      <x:c r="V54" s="29" t="n">
        <x:f>INDEX('Prompt Totals'!$L$7:$L$246,MATCH($A54,'Prompt Totals'!$A$7:$A$246,0))</x:f>
        <x:v>1</x:v>
      </x:c>
      <x:c r="W54" s="29" t="n">
        <x:f>INDEX('Prompt Totals'!$M$7:$M$246,MATCH($A54,'Prompt Totals'!$A$7:$A$246,0))</x:f>
        <x:v>7</x:v>
      </x:c>
      <x:c r="X54" s="29" t="n">
        <x:f>INDEX('Prompt Totals'!$N$7:$N$246,MATCH($A54,'Prompt Totals'!$A$7:$A$246,0))</x:f>
        <x:v>1</x:v>
      </x:c>
      <x:c r="Y54" s="19" t="n">
        <x:f>G54-H54</x:f>
        <x:v>1.5899999999999999</x:v>
      </x:c>
      <x:c r="Z54" s="30" t="n">
        <x:f>Y54*'Solution'!$C$5</x:f>
        <x:v>79.5</x:v>
      </x:c>
      <x:c r="AA54" s="22" t="n">
        <x:f>Z54-U54</x:f>
        <x:v>72.90855</x:v>
      </x:c>
    </x:row>
    <x:row r="55" ht="23" customHeight="1">
      <x:c r="A55" s="17" t="str">
        <x:v>W0049</x:v>
      </x:c>
      <x:c r="B55" s="18" t="n">
        <x:v>46293</x:v>
      </x:c>
      <x:c r="C55" s="17" t="str">
        <x:v>C001</x:v>
      </x:c>
      <x:c r="D55" s="17" t="str">
        <x:v>Content</x:v>
      </x:c>
      <x:c r="E55" s="17" t="str">
        <x:v>Avery Morgan</x:v>
      </x:c>
      <x:c r="F55" s="17" t="str">
        <x:v>Write ad copy</x:v>
      </x:c>
      <x:c r="G55" s="20" t="n">
        <x:v>5.06</x:v>
      </x:c>
      <x:c r="H55" s="20" t="n">
        <x:v>2.59</x:v>
      </x:c>
      <x:c r="I55" s="20" t="n">
        <x:v>0.08</x:v>
      </x:c>
      <x:c r="J55" s="17" t="str">
        <x:v>None</x:v>
      </x:c>
      <x:c r="K55" s="17" t="str">
        <x:v>No</x:v>
      </x:c>
      <x:c r="L55" s="17" t="str">
        <x:v>Yes</x:v>
      </x:c>
      <x:c r="M55" s="29" t="str">
        <x:f>INDEX('Prompt Totals'!$C$7:$C$246,MATCH($A55,'Prompt Totals'!$A$7:$A$246,0))</x:f>
        <x:v>CopyStudio</x:v>
      </x:c>
      <x:c r="N55" s="29" t="str">
        <x:f>INDEX('Prompt Totals'!$D$7:$D$246,MATCH($A55,'Prompt Totals'!$A$7:$A$246,0))</x:f>
        <x:v>Lite</x:v>
      </x:c>
      <x:c r="O55" s="29" t="n">
        <x:f>INDEX('Prompt Totals'!$E$7:$E$246,MATCH($A55,'Prompt Totals'!$A$7:$A$246,0))</x:f>
        <x:v>398534</x:v>
      </x:c>
      <x:c r="P55" s="29" t="n">
        <x:f>INDEX('Prompt Totals'!$F$7:$F$246,MATCH($A55,'Prompt Totals'!$A$7:$A$246,0))</x:f>
        <x:v>49911</x:v>
      </x:c>
      <x:c r="Q55" s="29" t="n">
        <x:f>INDEX('Prompt Totals'!$G$7:$G$246,MATCH($A55,'Prompt Totals'!$A$7:$A$246,0))</x:f>
        <x:v>448445</x:v>
      </x:c>
      <x:c r="R55" s="29" t="n">
        <x:f>INDEX('Prompt Totals'!$H$7:$H$246,MATCH($A55,'Prompt Totals'!$A$7:$A$246,0))</x:f>
        <x:v>11</x:v>
      </x:c>
      <x:c r="S55" s="30" t="n">
        <x:f>INDEX('Prompt Totals'!$I$7:$I$246,MATCH($A55,'Prompt Totals'!$A$7:$A$246,0))</x:f>
        <x:v>3.98534</x:v>
      </x:c>
      <x:c r="T55" s="30" t="n">
        <x:f>INDEX('Prompt Totals'!$J$7:$J$246,MATCH($A55,'Prompt Totals'!$A$7:$A$246,0))</x:f>
        <x:v>1.4973300000000003</x:v>
      </x:c>
      <x:c r="U55" s="30" t="n">
        <x:f>INDEX('Prompt Totals'!$K$7:$K$246,MATCH($A55,'Prompt Totals'!$A$7:$A$246,0))</x:f>
        <x:v>5.482670000000001</x:v>
      </x:c>
      <x:c r="V55" s="29" t="n">
        <x:f>INDEX('Prompt Totals'!$L$7:$L$246,MATCH($A55,'Prompt Totals'!$A$7:$A$246,0))</x:f>
        <x:v>1</x:v>
      </x:c>
      <x:c r="W55" s="29" t="n">
        <x:f>INDEX('Prompt Totals'!$M$7:$M$246,MATCH($A55,'Prompt Totals'!$A$7:$A$246,0))</x:f>
        <x:v>9</x:v>
      </x:c>
      <x:c r="X55" s="29" t="n">
        <x:f>INDEX('Prompt Totals'!$N$7:$N$246,MATCH($A55,'Prompt Totals'!$A$7:$A$246,0))</x:f>
        <x:v>1</x:v>
      </x:c>
      <x:c r="Y55" s="19" t="n">
        <x:f>G55-H55</x:f>
        <x:v>2.4699999999999998</x:v>
      </x:c>
      <x:c r="Z55" s="30" t="n">
        <x:f>Y55*'Solution'!$C$5</x:f>
        <x:v>123.49999999999999</x:v>
      </x:c>
      <x:c r="AA55" s="22" t="n">
        <x:f>Z55-U55</x:f>
        <x:v>118.01732999999999</x:v>
      </x:c>
    </x:row>
    <x:row r="56" ht="23" customHeight="1">
      <x:c r="A56" s="17" t="str">
        <x:v>W0050</x:v>
      </x:c>
      <x:c r="B56" s="18" t="n">
        <x:v>46276</x:v>
      </x:c>
      <x:c r="C56" s="17" t="str">
        <x:v>C001</x:v>
      </x:c>
      <x:c r="D56" s="17" t="str">
        <x:v>Content</x:v>
      </x:c>
      <x:c r="E56" s="17" t="str">
        <x:v>Jordan Ellis</x:v>
      </x:c>
      <x:c r="F56" s="17" t="str">
        <x:v>Draft email sequence</x:v>
      </x:c>
      <x:c r="G56" s="20" t="n">
        <x:v>5.22</x:v>
      </x:c>
      <x:c r="H56" s="20" t="n">
        <x:v>2.8</x:v>
      </x:c>
      <x:c r="I56" s="20" t="n">
        <x:v>0.05</x:v>
      </x:c>
      <x:c r="J56" s="17" t="str">
        <x:v>None</x:v>
      </x:c>
      <x:c r="K56" s="17" t="str">
        <x:v>No</x:v>
      </x:c>
      <x:c r="L56" s="17" t="str">
        <x:v>Yes</x:v>
      </x:c>
      <x:c r="M56" s="29" t="str">
        <x:f>INDEX('Prompt Totals'!$C$7:$C$246,MATCH($A56,'Prompt Totals'!$A$7:$A$246,0))</x:f>
        <x:v>CopyStudio</x:v>
      </x:c>
      <x:c r="N56" s="29" t="str">
        <x:f>INDEX('Prompt Totals'!$D$7:$D$246,MATCH($A56,'Prompt Totals'!$A$7:$A$246,0))</x:f>
        <x:v>Lite</x:v>
      </x:c>
      <x:c r="O56" s="29" t="n">
        <x:f>INDEX('Prompt Totals'!$E$7:$E$246,MATCH($A56,'Prompt Totals'!$A$7:$A$246,0))</x:f>
        <x:v>529934</x:v>
      </x:c>
      <x:c r="P56" s="29" t="n">
        <x:f>INDEX('Prompt Totals'!$F$7:$F$246,MATCH($A56,'Prompt Totals'!$A$7:$A$246,0))</x:f>
        <x:v>83164</x:v>
      </x:c>
      <x:c r="Q56" s="29" t="n">
        <x:f>INDEX('Prompt Totals'!$G$7:$G$246,MATCH($A56,'Prompt Totals'!$A$7:$A$246,0))</x:f>
        <x:v>613098</x:v>
      </x:c>
      <x:c r="R56" s="29" t="n">
        <x:f>INDEX('Prompt Totals'!$H$7:$H$246,MATCH($A56,'Prompt Totals'!$A$7:$A$246,0))</x:f>
        <x:v>10</x:v>
      </x:c>
      <x:c r="S56" s="30" t="n">
        <x:f>INDEX('Prompt Totals'!$I$7:$I$246,MATCH($A56,'Prompt Totals'!$A$7:$A$246,0))</x:f>
        <x:v>5.299340000000001</x:v>
      </x:c>
      <x:c r="T56" s="30" t="n">
        <x:f>INDEX('Prompt Totals'!$J$7:$J$246,MATCH($A56,'Prompt Totals'!$A$7:$A$246,0))</x:f>
        <x:v>2.49492</x:v>
      </x:c>
      <x:c r="U56" s="30" t="n">
        <x:f>INDEX('Prompt Totals'!$K$7:$K$246,MATCH($A56,'Prompt Totals'!$A$7:$A$246,0))</x:f>
        <x:v>7.79426</x:v>
      </x:c>
      <x:c r="V56" s="29" t="n">
        <x:f>INDEX('Prompt Totals'!$L$7:$L$246,MATCH($A56,'Prompt Totals'!$A$7:$A$246,0))</x:f>
        <x:v>1</x:v>
      </x:c>
      <x:c r="W56" s="29" t="n">
        <x:f>INDEX('Prompt Totals'!$M$7:$M$246,MATCH($A56,'Prompt Totals'!$A$7:$A$246,0))</x:f>
        <x:v>8</x:v>
      </x:c>
      <x:c r="X56" s="29" t="n">
        <x:f>INDEX('Prompt Totals'!$N$7:$N$246,MATCH($A56,'Prompt Totals'!$A$7:$A$246,0))</x:f>
        <x:v>1</x:v>
      </x:c>
      <x:c r="Y56" s="19" t="n">
        <x:f>G56-H56</x:f>
        <x:v>2.42</x:v>
      </x:c>
      <x:c r="Z56" s="30" t="n">
        <x:f>Y56*'Solution'!$C$5</x:f>
        <x:v>121</x:v>
      </x:c>
      <x:c r="AA56" s="22" t="n">
        <x:f>Z56-U56</x:f>
        <x:v>113.20574</x:v>
      </x:c>
    </x:row>
    <x:row r="57" ht="23" customHeight="1">
      <x:c r="A57" s="17" t="str">
        <x:v>W0051</x:v>
      </x:c>
      <x:c r="B57" s="18" t="n">
        <x:v>46287</x:v>
      </x:c>
      <x:c r="C57" s="17" t="str">
        <x:v>C001</x:v>
      </x:c>
      <x:c r="D57" s="17" t="str">
        <x:v>Creative</x:v>
      </x:c>
      <x:c r="E57" s="17" t="str">
        <x:v>Riley Chen</x:v>
      </x:c>
      <x:c r="F57" s="17" t="str">
        <x:v>Plan visual narrative</x:v>
      </x:c>
      <x:c r="G57" s="20" t="n">
        <x:v>3.64</x:v>
      </x:c>
      <x:c r="H57" s="20" t="n">
        <x:v>2.09</x:v>
      </x:c>
      <x:c r="I57" s="20" t="n">
        <x:v>0.17</x:v>
      </x:c>
      <x:c r="J57" s="17" t="str">
        <x:v>None</x:v>
      </x:c>
      <x:c r="K57" s="17" t="str">
        <x:v>No</x:v>
      </x:c>
      <x:c r="L57" s="17" t="str">
        <x:v>Yes</x:v>
      </x:c>
      <x:c r="M57" s="29" t="str">
        <x:f>INDEX('Prompt Totals'!$C$7:$C$246,MATCH($A57,'Prompt Totals'!$A$7:$A$246,0))</x:f>
        <x:v>CampaignChat</x:v>
      </x:c>
      <x:c r="N57" s="29" t="str">
        <x:f>INDEX('Prompt Totals'!$D$7:$D$246,MATCH($A57,'Prompt Totals'!$A$7:$A$246,0))</x:f>
        <x:v>Lite</x:v>
      </x:c>
      <x:c r="O57" s="29" t="n">
        <x:f>INDEX('Prompt Totals'!$E$7:$E$246,MATCH($A57,'Prompt Totals'!$A$7:$A$246,0))</x:f>
        <x:v>241384</x:v>
      </x:c>
      <x:c r="P57" s="29" t="n">
        <x:f>INDEX('Prompt Totals'!$F$7:$F$246,MATCH($A57,'Prompt Totals'!$A$7:$A$246,0))</x:f>
        <x:v>77739</x:v>
      </x:c>
      <x:c r="Q57" s="29" t="n">
        <x:f>INDEX('Prompt Totals'!$G$7:$G$246,MATCH($A57,'Prompt Totals'!$A$7:$A$246,0))</x:f>
        <x:v>319123</x:v>
      </x:c>
      <x:c r="R57" s="29" t="n">
        <x:f>INDEX('Prompt Totals'!$H$7:$H$246,MATCH($A57,'Prompt Totals'!$A$7:$A$246,0))</x:f>
        <x:v>8</x:v>
      </x:c>
      <x:c r="S57" s="30" t="n">
        <x:f>INDEX('Prompt Totals'!$I$7:$I$246,MATCH($A57,'Prompt Totals'!$A$7:$A$246,0))</x:f>
        <x:v>2.4138399999999995</x:v>
      </x:c>
      <x:c r="T57" s="30" t="n">
        <x:f>INDEX('Prompt Totals'!$J$7:$J$246,MATCH($A57,'Prompt Totals'!$A$7:$A$246,0))</x:f>
        <x:v>2.3321699999999996</x:v>
      </x:c>
      <x:c r="U57" s="30" t="n">
        <x:f>INDEX('Prompt Totals'!$K$7:$K$246,MATCH($A57,'Prompt Totals'!$A$7:$A$246,0))</x:f>
        <x:v>4.74601</x:v>
      </x:c>
      <x:c r="V57" s="29" t="n">
        <x:f>INDEX('Prompt Totals'!$L$7:$L$246,MATCH($A57,'Prompt Totals'!$A$7:$A$246,0))</x:f>
        <x:v>1</x:v>
      </x:c>
      <x:c r="W57" s="29" t="n">
        <x:f>INDEX('Prompt Totals'!$M$7:$M$246,MATCH($A57,'Prompt Totals'!$A$7:$A$246,0))</x:f>
        <x:v>6</x:v>
      </x:c>
      <x:c r="X57" s="29" t="n">
        <x:f>INDEX('Prompt Totals'!$N$7:$N$246,MATCH($A57,'Prompt Totals'!$A$7:$A$246,0))</x:f>
        <x:v>1</x:v>
      </x:c>
      <x:c r="Y57" s="19" t="n">
        <x:f>G57-H57</x:f>
        <x:v>1.5500000000000003</x:v>
      </x:c>
      <x:c r="Z57" s="30" t="n">
        <x:f>Y57*'Solution'!$C$5</x:f>
        <x:v>77.50000000000001</x:v>
      </x:c>
      <x:c r="AA57" s="22" t="n">
        <x:f>Z57-U57</x:f>
        <x:v>72.75399000000002</x:v>
      </x:c>
    </x:row>
    <x:row r="58" ht="23" customHeight="1">
      <x:c r="A58" s="17" t="str">
        <x:v>W0052</x:v>
      </x:c>
      <x:c r="B58" s="18" t="n">
        <x:v>46269</x:v>
      </x:c>
      <x:c r="C58" s="17" t="str">
        <x:v>C001</x:v>
      </x:c>
      <x:c r="D58" s="17" t="str">
        <x:v>Creative</x:v>
      </x:c>
      <x:c r="E58" s="17" t="str">
        <x:v>Taylor Brooks</x:v>
      </x:c>
      <x:c r="F58" s="17" t="str">
        <x:v>Develop concept brief</x:v>
      </x:c>
      <x:c r="G58" s="20" t="n">
        <x:v>4.61</x:v>
      </x:c>
      <x:c r="H58" s="20" t="n">
        <x:v>2.09</x:v>
      </x:c>
      <x:c r="I58" s="20" t="n">
        <x:v>0.12</x:v>
      </x:c>
      <x:c r="J58" s="17" t="str">
        <x:v>None</x:v>
      </x:c>
      <x:c r="K58" s="17" t="str">
        <x:v>No</x:v>
      </x:c>
      <x:c r="L58" s="17" t="str">
        <x:v>Yes</x:v>
      </x:c>
      <x:c r="M58" s="29" t="str">
        <x:f>INDEX('Prompt Totals'!$C$7:$C$246,MATCH($A58,'Prompt Totals'!$A$7:$A$246,0))</x:f>
        <x:v>CampaignChat</x:v>
      </x:c>
      <x:c r="N58" s="29" t="str">
        <x:f>INDEX('Prompt Totals'!$D$7:$D$246,MATCH($A58,'Prompt Totals'!$A$7:$A$246,0))</x:f>
        <x:v>Pro</x:v>
      </x:c>
      <x:c r="O58" s="29" t="n">
        <x:f>INDEX('Prompt Totals'!$E$7:$E$246,MATCH($A58,'Prompt Totals'!$A$7:$A$246,0))</x:f>
        <x:v>87719</x:v>
      </x:c>
      <x:c r="P58" s="29" t="n">
        <x:f>INDEX('Prompt Totals'!$F$7:$F$246,MATCH($A58,'Prompt Totals'!$A$7:$A$246,0))</x:f>
        <x:v>62305</x:v>
      </x:c>
      <x:c r="Q58" s="29" t="n">
        <x:f>INDEX('Prompt Totals'!$G$7:$G$246,MATCH($A58,'Prompt Totals'!$A$7:$A$246,0))</x:f>
        <x:v>150024</x:v>
      </x:c>
      <x:c r="R58" s="29" t="n">
        <x:f>INDEX('Prompt Totals'!$H$7:$H$246,MATCH($A58,'Prompt Totals'!$A$7:$A$246,0))</x:f>
        <x:v>8</x:v>
      </x:c>
      <x:c r="S58" s="30" t="n">
        <x:f>INDEX('Prompt Totals'!$I$7:$I$246,MATCH($A58,'Prompt Totals'!$A$7:$A$246,0))</x:f>
        <x:v>3.5087599999999997</x:v>
      </x:c>
      <x:c r="T58" s="30" t="n">
        <x:f>INDEX('Prompt Totals'!$J$7:$J$246,MATCH($A58,'Prompt Totals'!$A$7:$A$246,0))</x:f>
        <x:v>6.2305</x:v>
      </x:c>
      <x:c r="U58" s="30" t="n">
        <x:f>INDEX('Prompt Totals'!$K$7:$K$246,MATCH($A58,'Prompt Totals'!$A$7:$A$246,0))</x:f>
        <x:v>9.73926</x:v>
      </x:c>
      <x:c r="V58" s="29" t="n">
        <x:f>INDEX('Prompt Totals'!$L$7:$L$246,MATCH($A58,'Prompt Totals'!$A$7:$A$246,0))</x:f>
        <x:v>1</x:v>
      </x:c>
      <x:c r="W58" s="29" t="n">
        <x:f>INDEX('Prompt Totals'!$M$7:$M$246,MATCH($A58,'Prompt Totals'!$A$7:$A$246,0))</x:f>
        <x:v>6</x:v>
      </x:c>
      <x:c r="X58" s="29" t="n">
        <x:f>INDEX('Prompt Totals'!$N$7:$N$246,MATCH($A58,'Prompt Totals'!$A$7:$A$246,0))</x:f>
        <x:v>1</x:v>
      </x:c>
      <x:c r="Y58" s="19" t="n">
        <x:f>G58-H58</x:f>
        <x:v>2.5200000000000005</x:v>
      </x:c>
      <x:c r="Z58" s="30" t="n">
        <x:f>Y58*'Solution'!$C$5</x:f>
        <x:v>126.00000000000003</x:v>
      </x:c>
      <x:c r="AA58" s="22" t="n">
        <x:f>Z58-U58</x:f>
        <x:v>116.26074000000003</x:v>
      </x:c>
    </x:row>
    <x:row r="59" ht="23" customHeight="1">
      <x:c r="A59" s="17" t="str">
        <x:v>W0053</x:v>
      </x:c>
      <x:c r="B59" s="18" t="n">
        <x:v>46281</x:v>
      </x:c>
      <x:c r="C59" s="17" t="str">
        <x:v>C001</x:v>
      </x:c>
      <x:c r="D59" s="17" t="str">
        <x:v>Marketing Operations</x:v>
      </x:c>
      <x:c r="E59" s="17" t="str">
        <x:v>Casey Rivera</x:v>
      </x:c>
      <x:c r="F59" s="17" t="str">
        <x:v>Clean audience data</x:v>
      </x:c>
      <x:c r="G59" s="20" t="n">
        <x:v>2.7</x:v>
      </x:c>
      <x:c r="H59" s="20" t="n">
        <x:v>1.48</x:v>
      </x:c>
      <x:c r="I59" s="20" t="n">
        <x:v>0.09</x:v>
      </x:c>
      <x:c r="J59" s="17" t="str">
        <x:v>None</x:v>
      </x:c>
      <x:c r="K59" s="17" t="str">
        <x:v>No</x:v>
      </x:c>
      <x:c r="L59" s="17" t="str">
        <x:v>Yes</x:v>
      </x:c>
      <x:c r="M59" s="29" t="str">
        <x:f>INDEX('Prompt Totals'!$C$7:$C$246,MATCH($A59,'Prompt Totals'!$A$7:$A$246,0))</x:f>
        <x:v>DataFlow</x:v>
      </x:c>
      <x:c r="N59" s="29" t="str">
        <x:f>INDEX('Prompt Totals'!$D$7:$D$246,MATCH($A59,'Prompt Totals'!$A$7:$A$246,0))</x:f>
        <x:v>Pro</x:v>
      </x:c>
      <x:c r="O59" s="29" t="n">
        <x:f>INDEX('Prompt Totals'!$E$7:$E$246,MATCH($A59,'Prompt Totals'!$A$7:$A$246,0))</x:f>
        <x:v>179488</x:v>
      </x:c>
      <x:c r="P59" s="29" t="n">
        <x:f>INDEX('Prompt Totals'!$F$7:$F$246,MATCH($A59,'Prompt Totals'!$A$7:$A$246,0))</x:f>
        <x:v>93599</x:v>
      </x:c>
      <x:c r="Q59" s="29" t="n">
        <x:f>INDEX('Prompt Totals'!$G$7:$G$246,MATCH($A59,'Prompt Totals'!$A$7:$A$246,0))</x:f>
        <x:v>273087</x:v>
      </x:c>
      <x:c r="R59" s="29" t="n">
        <x:f>INDEX('Prompt Totals'!$H$7:$H$246,MATCH($A59,'Prompt Totals'!$A$7:$A$246,0))</x:f>
        <x:v>8</x:v>
      </x:c>
      <x:c r="S59" s="30" t="n">
        <x:f>INDEX('Prompt Totals'!$I$7:$I$246,MATCH($A59,'Prompt Totals'!$A$7:$A$246,0))</x:f>
        <x:v>7.179519999999999</x:v>
      </x:c>
      <x:c r="T59" s="30" t="n">
        <x:f>INDEX('Prompt Totals'!$J$7:$J$246,MATCH($A59,'Prompt Totals'!$A$7:$A$246,0))</x:f>
        <x:v>9.3599</x:v>
      </x:c>
      <x:c r="U59" s="30" t="n">
        <x:f>INDEX('Prompt Totals'!$K$7:$K$246,MATCH($A59,'Prompt Totals'!$A$7:$A$246,0))</x:f>
        <x:v>16.53942</x:v>
      </x:c>
      <x:c r="V59" s="29" t="n">
        <x:f>INDEX('Prompt Totals'!$L$7:$L$246,MATCH($A59,'Prompt Totals'!$A$7:$A$246,0))</x:f>
        <x:v>1</x:v>
      </x:c>
      <x:c r="W59" s="29" t="n">
        <x:f>INDEX('Prompt Totals'!$M$7:$M$246,MATCH($A59,'Prompt Totals'!$A$7:$A$246,0))</x:f>
        <x:v>6</x:v>
      </x:c>
      <x:c r="X59" s="29" t="n">
        <x:f>INDEX('Prompt Totals'!$N$7:$N$246,MATCH($A59,'Prompt Totals'!$A$7:$A$246,0))</x:f>
        <x:v>1</x:v>
      </x:c>
      <x:c r="Y59" s="19" t="n">
        <x:f>G59-H59</x:f>
        <x:v>1.2200000000000002</x:v>
      </x:c>
      <x:c r="Z59" s="30" t="n">
        <x:f>Y59*'Solution'!$C$5</x:f>
        <x:v>61.00000000000001</x:v>
      </x:c>
      <x:c r="AA59" s="22" t="n">
        <x:f>Z59-U59</x:f>
        <x:v>44.46058000000001</x:v>
      </x:c>
    </x:row>
    <x:row r="60" ht="23" customHeight="1">
      <x:c r="A60" s="17" t="str">
        <x:v>W0054</x:v>
      </x:c>
      <x:c r="B60" s="18" t="n">
        <x:v>46290</x:v>
      </x:c>
      <x:c r="C60" s="17" t="str">
        <x:v>C001</x:v>
      </x:c>
      <x:c r="D60" s="17" t="str">
        <x:v>Marketing Operations</x:v>
      </x:c>
      <x:c r="E60" s="17" t="str">
        <x:v>Morgan Reed</x:v>
      </x:c>
      <x:c r="F60" s="17" t="str">
        <x:v>Prepare launch checklist</x:v>
      </x:c>
      <x:c r="G60" s="20" t="n">
        <x:v>5.04</x:v>
      </x:c>
      <x:c r="H60" s="20" t="n">
        <x:v>2.81</x:v>
      </x:c>
      <x:c r="I60" s="20" t="n">
        <x:v>0.26</x:v>
      </x:c>
      <x:c r="J60" s="17" t="str">
        <x:v>Unclear prompt</x:v>
      </x:c>
      <x:c r="K60" s="17" t="str">
        <x:v>No</x:v>
      </x:c>
      <x:c r="L60" s="17" t="str">
        <x:v>No</x:v>
      </x:c>
      <x:c r="M60" s="29" t="str">
        <x:f>INDEX('Prompt Totals'!$C$7:$C$246,MATCH($A60,'Prompt Totals'!$A$7:$A$246,0))</x:f>
        <x:v>DataFlow</x:v>
      </x:c>
      <x:c r="N60" s="29" t="str">
        <x:f>INDEX('Prompt Totals'!$D$7:$D$246,MATCH($A60,'Prompt Totals'!$A$7:$A$246,0))</x:f>
        <x:v>Lite</x:v>
      </x:c>
      <x:c r="O60" s="29" t="n">
        <x:f>INDEX('Prompt Totals'!$E$7:$E$246,MATCH($A60,'Prompt Totals'!$A$7:$A$246,0))</x:f>
        <x:v>641992</x:v>
      </x:c>
      <x:c r="P60" s="29" t="n">
        <x:f>INDEX('Prompt Totals'!$F$7:$F$246,MATCH($A60,'Prompt Totals'!$A$7:$A$246,0))</x:f>
        <x:v>56373</x:v>
      </x:c>
      <x:c r="Q60" s="29" t="n">
        <x:f>INDEX('Prompt Totals'!$G$7:$G$246,MATCH($A60,'Prompt Totals'!$A$7:$A$246,0))</x:f>
        <x:v>698365</x:v>
      </x:c>
      <x:c r="R60" s="29" t="n">
        <x:f>INDEX('Prompt Totals'!$H$7:$H$246,MATCH($A60,'Prompt Totals'!$A$7:$A$246,0))</x:f>
        <x:v>12</x:v>
      </x:c>
      <x:c r="S60" s="30" t="n">
        <x:f>INDEX('Prompt Totals'!$I$7:$I$246,MATCH($A60,'Prompt Totals'!$A$7:$A$246,0))</x:f>
        <x:v>6.419919999999999</x:v>
      </x:c>
      <x:c r="T60" s="30" t="n">
        <x:f>INDEX('Prompt Totals'!$J$7:$J$246,MATCH($A60,'Prompt Totals'!$A$7:$A$246,0))</x:f>
        <x:v>1.6911900000000002</x:v>
      </x:c>
      <x:c r="U60" s="30" t="n">
        <x:f>INDEX('Prompt Totals'!$K$7:$K$246,MATCH($A60,'Prompt Totals'!$A$7:$A$246,0))</x:f>
        <x:v>8.111109999999998</x:v>
      </x:c>
      <x:c r="V60" s="29" t="n">
        <x:f>INDEX('Prompt Totals'!$L$7:$L$246,MATCH($A60,'Prompt Totals'!$A$7:$A$246,0))</x:f>
        <x:v>1</x:v>
      </x:c>
      <x:c r="W60" s="29" t="n">
        <x:f>INDEX('Prompt Totals'!$M$7:$M$246,MATCH($A60,'Prompt Totals'!$A$7:$A$246,0))</x:f>
        <x:v>9</x:v>
      </x:c>
      <x:c r="X60" s="29" t="n">
        <x:f>INDEX('Prompt Totals'!$N$7:$N$246,MATCH($A60,'Prompt Totals'!$A$7:$A$246,0))</x:f>
        <x:v>2</x:v>
      </x:c>
      <x:c r="Y60" s="19" t="n">
        <x:f>G60-H60</x:f>
        <x:v>2.23</x:v>
      </x:c>
      <x:c r="Z60" s="30" t="n">
        <x:f>Y60*'Solution'!$C$5</x:f>
        <x:v>111.5</x:v>
      </x:c>
      <x:c r="AA60" s="22" t="n">
        <x:f>Z60-U60</x:f>
        <x:v>103.38889</x:v>
      </x:c>
    </x:row>
    <x:row r="61" ht="23" customHeight="1">
      <x:c r="A61" s="17" t="str">
        <x:v>W0055</x:v>
      </x:c>
      <x:c r="B61" s="18" t="n">
        <x:v>46275</x:v>
      </x:c>
      <x:c r="C61" s="17" t="str">
        <x:v>C001</x:v>
      </x:c>
      <x:c r="D61" s="17" t="str">
        <x:v>Analytics</x:v>
      </x:c>
      <x:c r="E61" s="17" t="str">
        <x:v>Quinn Parker</x:v>
      </x:c>
      <x:c r="F61" s="17" t="str">
        <x:v>Analyze campaign results</x:v>
      </x:c>
      <x:c r="G61" s="20" t="n">
        <x:v>4.68</x:v>
      </x:c>
      <x:c r="H61" s="20" t="n">
        <x:v>1.64</x:v>
      </x:c>
      <x:c r="I61" s="20" t="n">
        <x:v>0.11</x:v>
      </x:c>
      <x:c r="J61" s="17" t="str">
        <x:v>None</x:v>
      </x:c>
      <x:c r="K61" s="17" t="str">
        <x:v>No</x:v>
      </x:c>
      <x:c r="L61" s="17" t="str">
        <x:v>Yes</x:v>
      </x:c>
      <x:c r="M61" s="29" t="str">
        <x:f>INDEX('Prompt Totals'!$C$7:$C$246,MATCH($A61,'Prompt Totals'!$A$7:$A$246,0))</x:f>
        <x:v>InsightDesk</x:v>
      </x:c>
      <x:c r="N61" s="29" t="str">
        <x:f>INDEX('Prompt Totals'!$D$7:$D$246,MATCH($A61,'Prompt Totals'!$A$7:$A$246,0))</x:f>
        <x:v>Pro</x:v>
      </x:c>
      <x:c r="O61" s="29" t="n">
        <x:f>INDEX('Prompt Totals'!$E$7:$E$246,MATCH($A61,'Prompt Totals'!$A$7:$A$246,0))</x:f>
        <x:v>115681</x:v>
      </x:c>
      <x:c r="P61" s="29" t="n">
        <x:f>INDEX('Prompt Totals'!$F$7:$F$246,MATCH($A61,'Prompt Totals'!$A$7:$A$246,0))</x:f>
        <x:v>97308</x:v>
      </x:c>
      <x:c r="Q61" s="29" t="n">
        <x:f>INDEX('Prompt Totals'!$G$7:$G$246,MATCH($A61,'Prompt Totals'!$A$7:$A$246,0))</x:f>
        <x:v>212989</x:v>
      </x:c>
      <x:c r="R61" s="29" t="n">
        <x:f>INDEX('Prompt Totals'!$H$7:$H$246,MATCH($A61,'Prompt Totals'!$A$7:$A$246,0))</x:f>
        <x:v>10</x:v>
      </x:c>
      <x:c r="S61" s="30" t="n">
        <x:f>INDEX('Prompt Totals'!$I$7:$I$246,MATCH($A61,'Prompt Totals'!$A$7:$A$246,0))</x:f>
        <x:v>4.62724</x:v>
      </x:c>
      <x:c r="T61" s="30" t="n">
        <x:f>INDEX('Prompt Totals'!$J$7:$J$246,MATCH($A61,'Prompt Totals'!$A$7:$A$246,0))</x:f>
        <x:v>9.7308</x:v>
      </x:c>
      <x:c r="U61" s="30" t="n">
        <x:f>INDEX('Prompt Totals'!$K$7:$K$246,MATCH($A61,'Prompt Totals'!$A$7:$A$246,0))</x:f>
        <x:v>14.358039999999999</x:v>
      </x:c>
      <x:c r="V61" s="29" t="n">
        <x:f>INDEX('Prompt Totals'!$L$7:$L$246,MATCH($A61,'Prompt Totals'!$A$7:$A$246,0))</x:f>
        <x:v>1</x:v>
      </x:c>
      <x:c r="W61" s="29" t="n">
        <x:f>INDEX('Prompt Totals'!$M$7:$M$246,MATCH($A61,'Prompt Totals'!$A$7:$A$246,0))</x:f>
        <x:v>8</x:v>
      </x:c>
      <x:c r="X61" s="29" t="n">
        <x:f>INDEX('Prompt Totals'!$N$7:$N$246,MATCH($A61,'Prompt Totals'!$A$7:$A$246,0))</x:f>
        <x:v>1</x:v>
      </x:c>
      <x:c r="Y61" s="19" t="n">
        <x:f>G61-H61</x:f>
        <x:v>3.04</x:v>
      </x:c>
      <x:c r="Z61" s="30" t="n">
        <x:f>Y61*'Solution'!$C$5</x:f>
        <x:v>152</x:v>
      </x:c>
      <x:c r="AA61" s="22" t="n">
        <x:f>Z61-U61</x:f>
        <x:v>137.64196</x:v>
      </x:c>
    </x:row>
    <x:row r="62" ht="23" customHeight="1">
      <x:c r="A62" s="17" t="str">
        <x:v>W0056</x:v>
      </x:c>
      <x:c r="B62" s="18" t="n">
        <x:v>46286</x:v>
      </x:c>
      <x:c r="C62" s="17" t="str">
        <x:v>C001</x:v>
      </x:c>
      <x:c r="D62" s="17" t="str">
        <x:v>Analytics</x:v>
      </x:c>
      <x:c r="E62" s="17" t="str">
        <x:v>Jamie Patel</x:v>
      </x:c>
      <x:c r="F62" s="17" t="str">
        <x:v>Summarize audience insights</x:v>
      </x:c>
      <x:c r="G62" s="20" t="n">
        <x:v>3.05</x:v>
      </x:c>
      <x:c r="H62" s="20" t="n">
        <x:v>1.46</x:v>
      </x:c>
      <x:c r="I62" s="20" t="n">
        <x:v>0.18</x:v>
      </x:c>
      <x:c r="J62" s="17" t="str">
        <x:v>Data problem</x:v>
      </x:c>
      <x:c r="K62" s="17" t="str">
        <x:v>No</x:v>
      </x:c>
      <x:c r="L62" s="17" t="str">
        <x:v>Yes</x:v>
      </x:c>
      <x:c r="M62" s="29" t="str">
        <x:f>INDEX('Prompt Totals'!$C$7:$C$246,MATCH($A62,'Prompt Totals'!$A$7:$A$246,0))</x:f>
        <x:v>InsightDesk</x:v>
      </x:c>
      <x:c r="N62" s="29" t="str">
        <x:f>INDEX('Prompt Totals'!$D$7:$D$246,MATCH($A62,'Prompt Totals'!$A$7:$A$246,0))</x:f>
        <x:v>Lite</x:v>
      </x:c>
      <x:c r="O62" s="29" t="n">
        <x:f>INDEX('Prompt Totals'!$E$7:$E$246,MATCH($A62,'Prompt Totals'!$A$7:$A$246,0))</x:f>
        <x:v>380867</x:v>
      </x:c>
      <x:c r="P62" s="29" t="n">
        <x:f>INDEX('Prompt Totals'!$F$7:$F$246,MATCH($A62,'Prompt Totals'!$A$7:$A$246,0))</x:f>
        <x:v>90740</x:v>
      </x:c>
      <x:c r="Q62" s="29" t="n">
        <x:f>INDEX('Prompt Totals'!$G$7:$G$246,MATCH($A62,'Prompt Totals'!$A$7:$A$246,0))</x:f>
        <x:v>471607</x:v>
      </x:c>
      <x:c r="R62" s="29" t="n">
        <x:f>INDEX('Prompt Totals'!$H$7:$H$246,MATCH($A62,'Prompt Totals'!$A$7:$A$246,0))</x:f>
        <x:v>10</x:v>
      </x:c>
      <x:c r="S62" s="30" t="n">
        <x:f>INDEX('Prompt Totals'!$I$7:$I$246,MATCH($A62,'Prompt Totals'!$A$7:$A$246,0))</x:f>
        <x:v>3.8086699999999998</x:v>
      </x:c>
      <x:c r="T62" s="30" t="n">
        <x:f>INDEX('Prompt Totals'!$J$7:$J$246,MATCH($A62,'Prompt Totals'!$A$7:$A$246,0))</x:f>
        <x:v>2.7222</x:v>
      </x:c>
      <x:c r="U62" s="30" t="n">
        <x:f>INDEX('Prompt Totals'!$K$7:$K$246,MATCH($A62,'Prompt Totals'!$A$7:$A$246,0))</x:f>
        <x:v>6.530870000000001</x:v>
      </x:c>
      <x:c r="V62" s="29" t="n">
        <x:f>INDEX('Prompt Totals'!$L$7:$L$246,MATCH($A62,'Prompt Totals'!$A$7:$A$246,0))</x:f>
        <x:v>1</x:v>
      </x:c>
      <x:c r="W62" s="29" t="n">
        <x:f>INDEX('Prompt Totals'!$M$7:$M$246,MATCH($A62,'Prompt Totals'!$A$7:$A$246,0))</x:f>
        <x:v>8</x:v>
      </x:c>
      <x:c r="X62" s="29" t="n">
        <x:f>INDEX('Prompt Totals'!$N$7:$N$246,MATCH($A62,'Prompt Totals'!$A$7:$A$246,0))</x:f>
        <x:v>1</x:v>
      </x:c>
      <x:c r="Y62" s="19" t="n">
        <x:f>G62-H62</x:f>
        <x:v>1.5899999999999999</x:v>
      </x:c>
      <x:c r="Z62" s="30" t="n">
        <x:f>Y62*'Solution'!$C$5</x:f>
        <x:v>79.5</x:v>
      </x:c>
      <x:c r="AA62" s="22" t="n">
        <x:f>Z62-U62</x:f>
        <x:v>72.96912999999999</x:v>
      </x:c>
    </x:row>
    <x:row r="63" ht="23" customHeight="1">
      <x:c r="A63" s="17" t="str">
        <x:v>W0057</x:v>
      </x:c>
      <x:c r="B63" s="18" t="n">
        <x:v>46295</x:v>
      </x:c>
      <x:c r="C63" s="17" t="str">
        <x:v>C001</x:v>
      </x:c>
      <x:c r="D63" s="17" t="str">
        <x:v>Content</x:v>
      </x:c>
      <x:c r="E63" s="17" t="str">
        <x:v>Avery Morgan</x:v>
      </x:c>
      <x:c r="F63" s="17" t="str">
        <x:v>Edit landing page</x:v>
      </x:c>
      <x:c r="G63" s="20" t="n">
        <x:v>4.97</x:v>
      </x:c>
      <x:c r="H63" s="20" t="n">
        <x:v>2.97</x:v>
      </x:c>
      <x:c r="I63" s="20" t="n">
        <x:v>0.09</x:v>
      </x:c>
      <x:c r="J63" s="17" t="str">
        <x:v>None</x:v>
      </x:c>
      <x:c r="K63" s="17" t="str">
        <x:v>No</x:v>
      </x:c>
      <x:c r="L63" s="17" t="str">
        <x:v>Yes</x:v>
      </x:c>
      <x:c r="M63" s="29" t="str">
        <x:f>INDEX('Prompt Totals'!$C$7:$C$246,MATCH($A63,'Prompt Totals'!$A$7:$A$246,0))</x:f>
        <x:v>DataFlow</x:v>
      </x:c>
      <x:c r="N63" s="29" t="str">
        <x:f>INDEX('Prompt Totals'!$D$7:$D$246,MATCH($A63,'Prompt Totals'!$A$7:$A$246,0))</x:f>
        <x:v>Lite</x:v>
      </x:c>
      <x:c r="O63" s="29" t="n">
        <x:f>INDEX('Prompt Totals'!$E$7:$E$246,MATCH($A63,'Prompt Totals'!$A$7:$A$246,0))</x:f>
        <x:v>271142</x:v>
      </x:c>
      <x:c r="P63" s="29" t="n">
        <x:f>INDEX('Prompt Totals'!$F$7:$F$246,MATCH($A63,'Prompt Totals'!$A$7:$A$246,0))</x:f>
        <x:v>51315</x:v>
      </x:c>
      <x:c r="Q63" s="29" t="n">
        <x:f>INDEX('Prompt Totals'!$G$7:$G$246,MATCH($A63,'Prompt Totals'!$A$7:$A$246,0))</x:f>
        <x:v>322457</x:v>
      </x:c>
      <x:c r="R63" s="29" t="n">
        <x:f>INDEX('Prompt Totals'!$H$7:$H$246,MATCH($A63,'Prompt Totals'!$A$7:$A$246,0))</x:f>
        <x:v>11</x:v>
      </x:c>
      <x:c r="S63" s="30" t="n">
        <x:f>INDEX('Prompt Totals'!$I$7:$I$246,MATCH($A63,'Prompt Totals'!$A$7:$A$246,0))</x:f>
        <x:v>2.7114199999999995</x:v>
      </x:c>
      <x:c r="T63" s="30" t="n">
        <x:f>INDEX('Prompt Totals'!$J$7:$J$246,MATCH($A63,'Prompt Totals'!$A$7:$A$246,0))</x:f>
        <x:v>1.53945</x:v>
      </x:c>
      <x:c r="U63" s="30" t="n">
        <x:f>INDEX('Prompt Totals'!$K$7:$K$246,MATCH($A63,'Prompt Totals'!$A$7:$A$246,0))</x:f>
        <x:v>4.250870000000001</x:v>
      </x:c>
      <x:c r="V63" s="29" t="n">
        <x:f>INDEX('Prompt Totals'!$L$7:$L$246,MATCH($A63,'Prompt Totals'!$A$7:$A$246,0))</x:f>
        <x:v>1</x:v>
      </x:c>
      <x:c r="W63" s="29" t="n">
        <x:f>INDEX('Prompt Totals'!$M$7:$M$246,MATCH($A63,'Prompt Totals'!$A$7:$A$246,0))</x:f>
        <x:v>8</x:v>
      </x:c>
      <x:c r="X63" s="29" t="n">
        <x:f>INDEX('Prompt Totals'!$N$7:$N$246,MATCH($A63,'Prompt Totals'!$A$7:$A$246,0))</x:f>
        <x:v>2</x:v>
      </x:c>
      <x:c r="Y63" s="19" t="n">
        <x:f>G63-H63</x:f>
        <x:v>1.9999999999999996</x:v>
      </x:c>
      <x:c r="Z63" s="30" t="n">
        <x:f>Y63*'Solution'!$C$5</x:f>
        <x:v>99.99999999999997</x:v>
      </x:c>
      <x:c r="AA63" s="22" t="n">
        <x:f>Z63-U63</x:f>
        <x:v>95.74912999999997</x:v>
      </x:c>
    </x:row>
    <x:row r="64" ht="23" customHeight="1">
      <x:c r="A64" s="17" t="str">
        <x:v>W0058</x:v>
      </x:c>
      <x:c r="B64" s="18" t="n">
        <x:v>46280</x:v>
      </x:c>
      <x:c r="C64" s="17" t="str">
        <x:v>C001</x:v>
      </x:c>
      <x:c r="D64" s="17" t="str">
        <x:v>Content</x:v>
      </x:c>
      <x:c r="E64" s="17" t="str">
        <x:v>Jordan Ellis</x:v>
      </x:c>
      <x:c r="F64" s="17" t="str">
        <x:v>Write ad copy</x:v>
      </x:c>
      <x:c r="G64" s="20" t="n">
        <x:v>3.99</x:v>
      </x:c>
      <x:c r="H64" s="20" t="n">
        <x:v>2.13</x:v>
      </x:c>
      <x:c r="I64" s="20" t="n">
        <x:v>0.42</x:v>
      </x:c>
      <x:c r="J64" s="17" t="str">
        <x:v>Data problem</x:v>
      </x:c>
      <x:c r="K64" s="17" t="str">
        <x:v>No</x:v>
      </x:c>
      <x:c r="L64" s="17" t="str">
        <x:v>Yes</x:v>
      </x:c>
      <x:c r="M64" s="29" t="str">
        <x:f>INDEX('Prompt Totals'!$C$7:$C$246,MATCH($A64,'Prompt Totals'!$A$7:$A$246,0))</x:f>
        <x:v>CopyStudio</x:v>
      </x:c>
      <x:c r="N64" s="29" t="str">
        <x:f>INDEX('Prompt Totals'!$D$7:$D$246,MATCH($A64,'Prompt Totals'!$A$7:$A$246,0))</x:f>
        <x:v>Lite</x:v>
      </x:c>
      <x:c r="O64" s="29" t="n">
        <x:f>INDEX('Prompt Totals'!$E$7:$E$246,MATCH($A64,'Prompt Totals'!$A$7:$A$246,0))</x:f>
        <x:v>229722</x:v>
      </x:c>
      <x:c r="P64" s="29" t="n">
        <x:f>INDEX('Prompt Totals'!$F$7:$F$246,MATCH($A64,'Prompt Totals'!$A$7:$A$246,0))</x:f>
        <x:v>46429</x:v>
      </x:c>
      <x:c r="Q64" s="29" t="n">
        <x:f>INDEX('Prompt Totals'!$G$7:$G$246,MATCH($A64,'Prompt Totals'!$A$7:$A$246,0))</x:f>
        <x:v>276151</x:v>
      </x:c>
      <x:c r="R64" s="29" t="n">
        <x:f>INDEX('Prompt Totals'!$H$7:$H$246,MATCH($A64,'Prompt Totals'!$A$7:$A$246,0))</x:f>
        <x:v>8</x:v>
      </x:c>
      <x:c r="S64" s="30" t="n">
        <x:f>INDEX('Prompt Totals'!$I$7:$I$246,MATCH($A64,'Prompt Totals'!$A$7:$A$246,0))</x:f>
        <x:v>2.2972200000000003</x:v>
      </x:c>
      <x:c r="T64" s="30" t="n">
        <x:f>INDEX('Prompt Totals'!$J$7:$J$246,MATCH($A64,'Prompt Totals'!$A$7:$A$246,0))</x:f>
        <x:v>1.3928699999999998</x:v>
      </x:c>
      <x:c r="U64" s="30" t="n">
        <x:f>INDEX('Prompt Totals'!$K$7:$K$246,MATCH($A64,'Prompt Totals'!$A$7:$A$246,0))</x:f>
        <x:v>3.6900899999999996</x:v>
      </x:c>
      <x:c r="V64" s="29" t="n">
        <x:f>INDEX('Prompt Totals'!$L$7:$L$246,MATCH($A64,'Prompt Totals'!$A$7:$A$246,0))</x:f>
        <x:v>1</x:v>
      </x:c>
      <x:c r="W64" s="29" t="n">
        <x:f>INDEX('Prompt Totals'!$M$7:$M$246,MATCH($A64,'Prompt Totals'!$A$7:$A$246,0))</x:f>
        <x:v>6</x:v>
      </x:c>
      <x:c r="X64" s="29" t="n">
        <x:f>INDEX('Prompt Totals'!$N$7:$N$246,MATCH($A64,'Prompt Totals'!$A$7:$A$246,0))</x:f>
        <x:v>1</x:v>
      </x:c>
      <x:c r="Y64" s="19" t="n">
        <x:f>G64-H64</x:f>
        <x:v>1.8600000000000003</x:v>
      </x:c>
      <x:c r="Z64" s="30" t="n">
        <x:f>Y64*'Solution'!$C$5</x:f>
        <x:v>93.00000000000001</x:v>
      </x:c>
      <x:c r="AA64" s="22" t="n">
        <x:f>Z64-U64</x:f>
        <x:v>89.30991000000002</x:v>
      </x:c>
    </x:row>
    <x:row r="65" ht="23" customHeight="1">
      <x:c r="A65" s="17" t="str">
        <x:v>W0059</x:v>
      </x:c>
      <x:c r="B65" s="18" t="n">
        <x:v>46289</x:v>
      </x:c>
      <x:c r="C65" s="17" t="str">
        <x:v>C001</x:v>
      </x:c>
      <x:c r="D65" s="17" t="str">
        <x:v>Creative</x:v>
      </x:c>
      <x:c r="E65" s="17" t="str">
        <x:v>Riley Chen</x:v>
      </x:c>
      <x:c r="F65" s="17" t="str">
        <x:v>Review creative variants</x:v>
      </x:c>
      <x:c r="G65" s="20" t="n">
        <x:v>4.03</x:v>
      </x:c>
      <x:c r="H65" s="20" t="n">
        <x:v>2</x:v>
      </x:c>
      <x:c r="I65" s="20" t="n">
        <x:v>0.25</x:v>
      </x:c>
      <x:c r="J65" s="17" t="str">
        <x:v>Unclear prompt</x:v>
      </x:c>
      <x:c r="K65" s="17" t="str">
        <x:v>No</x:v>
      </x:c>
      <x:c r="L65" s="17" t="str">
        <x:v>Yes</x:v>
      </x:c>
      <x:c r="M65" s="29" t="str">
        <x:f>INDEX('Prompt Totals'!$C$7:$C$246,MATCH($A65,'Prompt Totals'!$A$7:$A$246,0))</x:f>
        <x:v>CampaignChat</x:v>
      </x:c>
      <x:c r="N65" s="29" t="str">
        <x:f>INDEX('Prompt Totals'!$D$7:$D$246,MATCH($A65,'Prompt Totals'!$A$7:$A$246,0))</x:f>
        <x:v>Lite</x:v>
      </x:c>
      <x:c r="O65" s="29" t="n">
        <x:f>INDEX('Prompt Totals'!$E$7:$E$246,MATCH($A65,'Prompt Totals'!$A$7:$A$246,0))</x:f>
        <x:v>368076</x:v>
      </x:c>
      <x:c r="P65" s="29" t="n">
        <x:f>INDEX('Prompt Totals'!$F$7:$F$246,MATCH($A65,'Prompt Totals'!$A$7:$A$246,0))</x:f>
        <x:v>60369</x:v>
      </x:c>
      <x:c r="Q65" s="29" t="n">
        <x:f>INDEX('Prompt Totals'!$G$7:$G$246,MATCH($A65,'Prompt Totals'!$A$7:$A$246,0))</x:f>
        <x:v>428445</x:v>
      </x:c>
      <x:c r="R65" s="29" t="n">
        <x:f>INDEX('Prompt Totals'!$H$7:$H$246,MATCH($A65,'Prompt Totals'!$A$7:$A$246,0))</x:f>
        <x:v>12</x:v>
      </x:c>
      <x:c r="S65" s="30" t="n">
        <x:f>INDEX('Prompt Totals'!$I$7:$I$246,MATCH($A65,'Prompt Totals'!$A$7:$A$246,0))</x:f>
        <x:v>3.6807600000000003</x:v>
      </x:c>
      <x:c r="T65" s="30" t="n">
        <x:f>INDEX('Prompt Totals'!$J$7:$J$246,MATCH($A65,'Prompt Totals'!$A$7:$A$246,0))</x:f>
        <x:v>1.81107</x:v>
      </x:c>
      <x:c r="U65" s="30" t="n">
        <x:f>INDEX('Prompt Totals'!$K$7:$K$246,MATCH($A65,'Prompt Totals'!$A$7:$A$246,0))</x:f>
        <x:v>5.491829999999999</x:v>
      </x:c>
      <x:c r="V65" s="29" t="n">
        <x:f>INDEX('Prompt Totals'!$L$7:$L$246,MATCH($A65,'Prompt Totals'!$A$7:$A$246,0))</x:f>
        <x:v>1</x:v>
      </x:c>
      <x:c r="W65" s="29" t="n">
        <x:f>INDEX('Prompt Totals'!$M$7:$M$246,MATCH($A65,'Prompt Totals'!$A$7:$A$246,0))</x:f>
        <x:v>10</x:v>
      </x:c>
      <x:c r="X65" s="29" t="n">
        <x:f>INDEX('Prompt Totals'!$N$7:$N$246,MATCH($A65,'Prompt Totals'!$A$7:$A$246,0))</x:f>
        <x:v>1</x:v>
      </x:c>
      <x:c r="Y65" s="19" t="n">
        <x:f>G65-H65</x:f>
        <x:v>2.0300000000000002</x:v>
      </x:c>
      <x:c r="Z65" s="30" t="n">
        <x:f>Y65*'Solution'!$C$5</x:f>
        <x:v>101.50000000000001</x:v>
      </x:c>
      <x:c r="AA65" s="22" t="n">
        <x:f>Z65-U65</x:f>
        <x:v>96.00817000000002</x:v>
      </x:c>
    </x:row>
    <x:row r="66" ht="23" customHeight="1">
      <x:c r="A66" s="17" t="str">
        <x:v>W0060</x:v>
      </x:c>
      <x:c r="B66" s="18" t="n">
        <x:v>46274</x:v>
      </x:c>
      <x:c r="C66" s="17" t="str">
        <x:v>C001</x:v>
      </x:c>
      <x:c r="D66" s="17" t="str">
        <x:v>Creative</x:v>
      </x:c>
      <x:c r="E66" s="17" t="str">
        <x:v>Taylor Brooks</x:v>
      </x:c>
      <x:c r="F66" s="17" t="str">
        <x:v>Plan visual narrative</x:v>
      </x:c>
      <x:c r="G66" s="20" t="n">
        <x:v>3.62</x:v>
      </x:c>
      <x:c r="H66" s="20" t="n">
        <x:v>1.71</x:v>
      </x:c>
      <x:c r="I66" s="20" t="n">
        <x:v>0.09</x:v>
      </x:c>
      <x:c r="J66" s="17" t="str">
        <x:v>Brief changed</x:v>
      </x:c>
      <x:c r="K66" s="17" t="str">
        <x:v>Yes</x:v>
      </x:c>
      <x:c r="L66" s="17" t="str">
        <x:v>Yes</x:v>
      </x:c>
      <x:c r="M66" s="29" t="str">
        <x:f>INDEX('Prompt Totals'!$C$7:$C$246,MATCH($A66,'Prompt Totals'!$A$7:$A$246,0))</x:f>
        <x:v>CampaignChat</x:v>
      </x:c>
      <x:c r="N66" s="29" t="str">
        <x:f>INDEX('Prompt Totals'!$D$7:$D$246,MATCH($A66,'Prompt Totals'!$A$7:$A$246,0))</x:f>
        <x:v>Lite</x:v>
      </x:c>
      <x:c r="O66" s="29" t="n">
        <x:f>INDEX('Prompt Totals'!$E$7:$E$246,MATCH($A66,'Prompt Totals'!$A$7:$A$246,0))</x:f>
        <x:v>246848</x:v>
      </x:c>
      <x:c r="P66" s="29" t="n">
        <x:f>INDEX('Prompt Totals'!$F$7:$F$246,MATCH($A66,'Prompt Totals'!$A$7:$A$246,0))</x:f>
        <x:v>109912</x:v>
      </x:c>
      <x:c r="Q66" s="29" t="n">
        <x:f>INDEX('Prompt Totals'!$G$7:$G$246,MATCH($A66,'Prompt Totals'!$A$7:$A$246,0))</x:f>
        <x:v>356760</x:v>
      </x:c>
      <x:c r="R66" s="29" t="n">
        <x:f>INDEX('Prompt Totals'!$H$7:$H$246,MATCH($A66,'Prompt Totals'!$A$7:$A$246,0))</x:f>
        <x:v>10</x:v>
      </x:c>
      <x:c r="S66" s="30" t="n">
        <x:f>INDEX('Prompt Totals'!$I$7:$I$246,MATCH($A66,'Prompt Totals'!$A$7:$A$246,0))</x:f>
        <x:v>2.46848</x:v>
      </x:c>
      <x:c r="T66" s="30" t="n">
        <x:f>INDEX('Prompt Totals'!$J$7:$J$246,MATCH($A66,'Prompt Totals'!$A$7:$A$246,0))</x:f>
        <x:v>3.2973600000000003</x:v>
      </x:c>
      <x:c r="U66" s="30" t="n">
        <x:f>INDEX('Prompt Totals'!$K$7:$K$246,MATCH($A66,'Prompt Totals'!$A$7:$A$246,0))</x:f>
        <x:v>5.76584</x:v>
      </x:c>
      <x:c r="V66" s="29" t="n">
        <x:f>INDEX('Prompt Totals'!$L$7:$L$246,MATCH($A66,'Prompt Totals'!$A$7:$A$246,0))</x:f>
        <x:v>1</x:v>
      </x:c>
      <x:c r="W66" s="29" t="n">
        <x:f>INDEX('Prompt Totals'!$M$7:$M$246,MATCH($A66,'Prompt Totals'!$A$7:$A$246,0))</x:f>
        <x:v>8</x:v>
      </x:c>
      <x:c r="X66" s="29" t="n">
        <x:f>INDEX('Prompt Totals'!$N$7:$N$246,MATCH($A66,'Prompt Totals'!$A$7:$A$246,0))</x:f>
        <x:v>1</x:v>
      </x:c>
      <x:c r="Y66" s="19" t="n">
        <x:f>G66-H66</x:f>
        <x:v>1.9100000000000001</x:v>
      </x:c>
      <x:c r="Z66" s="30" t="n">
        <x:f>Y66*'Solution'!$C$5</x:f>
        <x:v>95.5</x:v>
      </x:c>
      <x:c r="AA66" s="22" t="n">
        <x:f>Z66-U66</x:f>
        <x:v>89.73416</x:v>
      </x:c>
    </x:row>
    <x:row r="67" ht="23" customHeight="1">
      <x:c r="A67" s="17" t="str">
        <x:v>W0061</x:v>
      </x:c>
      <x:c r="B67" s="18" t="n">
        <x:v>46280</x:v>
      </x:c>
      <x:c r="C67" s="17" t="str">
        <x:v>C002</x:v>
      </x:c>
      <x:c r="D67" s="17" t="str">
        <x:v>Content</x:v>
      </x:c>
      <x:c r="E67" s="17" t="str">
        <x:v>Jordan Ellis</x:v>
      </x:c>
      <x:c r="F67" s="17" t="str">
        <x:v>Write ad copy</x:v>
      </x:c>
      <x:c r="G67" s="20" t="n">
        <x:v>4.09</x:v>
      </x:c>
      <x:c r="H67" s="20" t="n">
        <x:v>2.7</x:v>
      </x:c>
      <x:c r="I67" s="20" t="n">
        <x:v>0.46</x:v>
      </x:c>
      <x:c r="J67" s="17" t="str">
        <x:v>None</x:v>
      </x:c>
      <x:c r="K67" s="17" t="str">
        <x:v>No</x:v>
      </x:c>
      <x:c r="L67" s="17" t="str">
        <x:v>Yes</x:v>
      </x:c>
      <x:c r="M67" s="29" t="str">
        <x:f>INDEX('Prompt Totals'!$C$7:$C$246,MATCH($A67,'Prompt Totals'!$A$7:$A$246,0))</x:f>
        <x:v>CopyStudio</x:v>
      </x:c>
      <x:c r="N67" s="29" t="str">
        <x:f>INDEX('Prompt Totals'!$D$7:$D$246,MATCH($A67,'Prompt Totals'!$A$7:$A$246,0))</x:f>
        <x:v>Lite</x:v>
      </x:c>
      <x:c r="O67" s="29" t="n">
        <x:f>INDEX('Prompt Totals'!$E$7:$E$246,MATCH($A67,'Prompt Totals'!$A$7:$A$246,0))</x:f>
        <x:v>506853</x:v>
      </x:c>
      <x:c r="P67" s="29" t="n">
        <x:f>INDEX('Prompt Totals'!$F$7:$F$246,MATCH($A67,'Prompt Totals'!$A$7:$A$246,0))</x:f>
        <x:v>82438</x:v>
      </x:c>
      <x:c r="Q67" s="29" t="n">
        <x:f>INDEX('Prompt Totals'!$G$7:$G$246,MATCH($A67,'Prompt Totals'!$A$7:$A$246,0))</x:f>
        <x:v>589291</x:v>
      </x:c>
      <x:c r="R67" s="29" t="n">
        <x:f>INDEX('Prompt Totals'!$H$7:$H$246,MATCH($A67,'Prompt Totals'!$A$7:$A$246,0))</x:f>
        <x:v>12</x:v>
      </x:c>
      <x:c r="S67" s="30" t="n">
        <x:f>INDEX('Prompt Totals'!$I$7:$I$246,MATCH($A67,'Prompt Totals'!$A$7:$A$246,0))</x:f>
        <x:v>5.068529999999999</x:v>
      </x:c>
      <x:c r="T67" s="30" t="n">
        <x:f>INDEX('Prompt Totals'!$J$7:$J$246,MATCH($A67,'Prompt Totals'!$A$7:$A$246,0))</x:f>
        <x:v>2.47314</x:v>
      </x:c>
      <x:c r="U67" s="30" t="n">
        <x:f>INDEX('Prompt Totals'!$K$7:$K$246,MATCH($A67,'Prompt Totals'!$A$7:$A$246,0))</x:f>
        <x:v>7.54167</x:v>
      </x:c>
      <x:c r="V67" s="29" t="n">
        <x:f>INDEX('Prompt Totals'!$L$7:$L$246,MATCH($A67,'Prompt Totals'!$A$7:$A$246,0))</x:f>
        <x:v>1</x:v>
      </x:c>
      <x:c r="W67" s="29" t="n">
        <x:f>INDEX('Prompt Totals'!$M$7:$M$246,MATCH($A67,'Prompt Totals'!$A$7:$A$246,0))</x:f>
        <x:v>7</x:v>
      </x:c>
      <x:c r="X67" s="29" t="n">
        <x:f>INDEX('Prompt Totals'!$N$7:$N$246,MATCH($A67,'Prompt Totals'!$A$7:$A$246,0))</x:f>
        <x:v>4</x:v>
      </x:c>
      <x:c r="Y67" s="19" t="n">
        <x:f>G67-H67</x:f>
        <x:v>1.3899999999999997</x:v>
      </x:c>
      <x:c r="Z67" s="30" t="n">
        <x:f>Y67*'Solution'!$C$5</x:f>
        <x:v>69.49999999999999</x:v>
      </x:c>
      <x:c r="AA67" s="22" t="n">
        <x:f>Z67-U67</x:f>
        <x:v>61.95832999999999</x:v>
      </x:c>
    </x:row>
    <x:row r="68" ht="23" customHeight="1">
      <x:c r="A68" s="17" t="str">
        <x:v>W0062</x:v>
      </x:c>
      <x:c r="B68" s="18" t="n">
        <x:v>46289</x:v>
      </x:c>
      <x:c r="C68" s="17" t="str">
        <x:v>C002</x:v>
      </x:c>
      <x:c r="D68" s="17" t="str">
        <x:v>Creative</x:v>
      </x:c>
      <x:c r="E68" s="17" t="str">
        <x:v>Riley Chen</x:v>
      </x:c>
      <x:c r="F68" s="17" t="str">
        <x:v>Review creative variants</x:v>
      </x:c>
      <x:c r="G68" s="20" t="n">
        <x:v>2.82</x:v>
      </x:c>
      <x:c r="H68" s="20" t="n">
        <x:v>1.72</x:v>
      </x:c>
      <x:c r="I68" s="20" t="n">
        <x:v>0.69</x:v>
      </x:c>
      <x:c r="J68" s="17" t="str">
        <x:v>Brief changed</x:v>
      </x:c>
      <x:c r="K68" s="17" t="str">
        <x:v>Yes</x:v>
      </x:c>
      <x:c r="L68" s="17" t="str">
        <x:v>No</x:v>
      </x:c>
      <x:c r="M68" s="29" t="str">
        <x:f>INDEX('Prompt Totals'!$C$7:$C$246,MATCH($A68,'Prompt Totals'!$A$7:$A$246,0))</x:f>
        <x:v>CampaignChat</x:v>
      </x:c>
      <x:c r="N68" s="29" t="str">
        <x:f>INDEX('Prompt Totals'!$D$7:$D$246,MATCH($A68,'Prompt Totals'!$A$7:$A$246,0))</x:f>
        <x:v>Pro</x:v>
      </x:c>
      <x:c r="O68" s="29" t="n">
        <x:f>INDEX('Prompt Totals'!$E$7:$E$246,MATCH($A68,'Prompt Totals'!$A$7:$A$246,0))</x:f>
        <x:v>216307</x:v>
      </x:c>
      <x:c r="P68" s="29" t="n">
        <x:f>INDEX('Prompt Totals'!$F$7:$F$246,MATCH($A68,'Prompt Totals'!$A$7:$A$246,0))</x:f>
        <x:v>112052</x:v>
      </x:c>
      <x:c r="Q68" s="29" t="n">
        <x:f>INDEX('Prompt Totals'!$G$7:$G$246,MATCH($A68,'Prompt Totals'!$A$7:$A$246,0))</x:f>
        <x:v>328359</x:v>
      </x:c>
      <x:c r="R68" s="29" t="n">
        <x:f>INDEX('Prompt Totals'!$H$7:$H$246,MATCH($A68,'Prompt Totals'!$A$7:$A$246,0))</x:f>
        <x:v>16</x:v>
      </x:c>
      <x:c r="S68" s="30" t="n">
        <x:f>INDEX('Prompt Totals'!$I$7:$I$246,MATCH($A68,'Prompt Totals'!$A$7:$A$246,0))</x:f>
        <x:v>8.65228</x:v>
      </x:c>
      <x:c r="T68" s="30" t="n">
        <x:f>INDEX('Prompt Totals'!$J$7:$J$246,MATCH($A68,'Prompt Totals'!$A$7:$A$246,0))</x:f>
        <x:v>11.2052</x:v>
      </x:c>
      <x:c r="U68" s="30" t="n">
        <x:f>INDEX('Prompt Totals'!$K$7:$K$246,MATCH($A68,'Prompt Totals'!$A$7:$A$246,0))</x:f>
        <x:v>19.857480000000002</x:v>
      </x:c>
      <x:c r="V68" s="29" t="n">
        <x:f>INDEX('Prompt Totals'!$L$7:$L$246,MATCH($A68,'Prompt Totals'!$A$7:$A$246,0))</x:f>
        <x:v>1</x:v>
      </x:c>
      <x:c r="W68" s="29" t="n">
        <x:f>INDEX('Prompt Totals'!$M$7:$M$246,MATCH($A68,'Prompt Totals'!$A$7:$A$246,0))</x:f>
        <x:v>7</x:v>
      </x:c>
      <x:c r="X68" s="29" t="n">
        <x:f>INDEX('Prompt Totals'!$N$7:$N$246,MATCH($A68,'Prompt Totals'!$A$7:$A$246,0))</x:f>
        <x:v>8</x:v>
      </x:c>
      <x:c r="Y68" s="19" t="n">
        <x:f>G68-H68</x:f>
        <x:v>1.0999999999999999</x:v>
      </x:c>
      <x:c r="Z68" s="30" t="n">
        <x:f>Y68*'Solution'!$C$5</x:f>
        <x:v>54.99999999999999</x:v>
      </x:c>
      <x:c r="AA68" s="22" t="n">
        <x:f>Z68-U68</x:f>
        <x:v>35.14251999999999</x:v>
      </x:c>
    </x:row>
    <x:row r="69" ht="23" customHeight="1">
      <x:c r="A69" s="17" t="str">
        <x:v>W0063</x:v>
      </x:c>
      <x:c r="B69" s="18" t="n">
        <x:v>46274</x:v>
      </x:c>
      <x:c r="C69" s="17" t="str">
        <x:v>C002</x:v>
      </x:c>
      <x:c r="D69" s="17" t="str">
        <x:v>Creative</x:v>
      </x:c>
      <x:c r="E69" s="17" t="str">
        <x:v>Taylor Brooks</x:v>
      </x:c>
      <x:c r="F69" s="17" t="str">
        <x:v>Plan visual narrative</x:v>
      </x:c>
      <x:c r="G69" s="20" t="n">
        <x:v>2.43</x:v>
      </x:c>
      <x:c r="H69" s="20" t="n">
        <x:v>1.49</x:v>
      </x:c>
      <x:c r="I69" s="20" t="n">
        <x:v>0.2</x:v>
      </x:c>
      <x:c r="J69" s="17" t="str">
        <x:v>None</x:v>
      </x:c>
      <x:c r="K69" s="17" t="str">
        <x:v>No</x:v>
      </x:c>
      <x:c r="L69" s="17" t="str">
        <x:v>Yes</x:v>
      </x:c>
      <x:c r="M69" s="29" t="str">
        <x:f>INDEX('Prompt Totals'!$C$7:$C$246,MATCH($A69,'Prompt Totals'!$A$7:$A$246,0))</x:f>
        <x:v>CampaignChat</x:v>
      </x:c>
      <x:c r="N69" s="29" t="str">
        <x:f>INDEX('Prompt Totals'!$D$7:$D$246,MATCH($A69,'Prompt Totals'!$A$7:$A$246,0))</x:f>
        <x:v>Lite</x:v>
      </x:c>
      <x:c r="O69" s="29" t="n">
        <x:f>INDEX('Prompt Totals'!$E$7:$E$246,MATCH($A69,'Prompt Totals'!$A$7:$A$246,0))</x:f>
        <x:v>681801</x:v>
      </x:c>
      <x:c r="P69" s="29" t="n">
        <x:f>INDEX('Prompt Totals'!$F$7:$F$246,MATCH($A69,'Prompt Totals'!$A$7:$A$246,0))</x:f>
        <x:v>121329</x:v>
      </x:c>
      <x:c r="Q69" s="29" t="n">
        <x:f>INDEX('Prompt Totals'!$G$7:$G$246,MATCH($A69,'Prompt Totals'!$A$7:$A$246,0))</x:f>
        <x:v>803130</x:v>
      </x:c>
      <x:c r="R69" s="29" t="n">
        <x:f>INDEX('Prompt Totals'!$H$7:$H$246,MATCH($A69,'Prompt Totals'!$A$7:$A$246,0))</x:f>
        <x:v>16</x:v>
      </x:c>
      <x:c r="S69" s="30" t="n">
        <x:f>INDEX('Prompt Totals'!$I$7:$I$246,MATCH($A69,'Prompt Totals'!$A$7:$A$246,0))</x:f>
        <x:v>6.818009999999999</x:v>
      </x:c>
      <x:c r="T69" s="30" t="n">
        <x:f>INDEX('Prompt Totals'!$J$7:$J$246,MATCH($A69,'Prompt Totals'!$A$7:$A$246,0))</x:f>
        <x:v>3.6398699999999993</x:v>
      </x:c>
      <x:c r="U69" s="30" t="n">
        <x:f>INDEX('Prompt Totals'!$K$7:$K$246,MATCH($A69,'Prompt Totals'!$A$7:$A$246,0))</x:f>
        <x:v>10.457880000000001</x:v>
      </x:c>
      <x:c r="V69" s="29" t="n">
        <x:f>INDEX('Prompt Totals'!$L$7:$L$246,MATCH($A69,'Prompt Totals'!$A$7:$A$246,0))</x:f>
        <x:v>1</x:v>
      </x:c>
      <x:c r="W69" s="29" t="n">
        <x:f>INDEX('Prompt Totals'!$M$7:$M$246,MATCH($A69,'Prompt Totals'!$A$7:$A$246,0))</x:f>
        <x:v>10</x:v>
      </x:c>
      <x:c r="X69" s="29" t="n">
        <x:f>INDEX('Prompt Totals'!$N$7:$N$246,MATCH($A69,'Prompt Totals'!$A$7:$A$246,0))</x:f>
        <x:v>5</x:v>
      </x:c>
      <x:c r="Y69" s="19" t="n">
        <x:f>G69-H69</x:f>
        <x:v>0.9400000000000002</x:v>
      </x:c>
      <x:c r="Z69" s="30" t="n">
        <x:f>Y69*'Solution'!$C$5</x:f>
        <x:v>47.00000000000001</x:v>
      </x:c>
      <x:c r="AA69" s="22" t="n">
        <x:f>Z69-U69</x:f>
        <x:v>36.542120000000004</x:v>
      </x:c>
    </x:row>
    <x:row r="70" ht="23" customHeight="1">
      <x:c r="A70" s="17" t="str">
        <x:v>W0064</x:v>
      </x:c>
      <x:c r="B70" s="18" t="n">
        <x:v>46283</x:v>
      </x:c>
      <x:c r="C70" s="17" t="str">
        <x:v>C002</x:v>
      </x:c>
      <x:c r="D70" s="17" t="str">
        <x:v>Marketing Operations</x:v>
      </x:c>
      <x:c r="E70" s="17" t="str">
        <x:v>Casey Rivera</x:v>
      </x:c>
      <x:c r="F70" s="17" t="str">
        <x:v>Build campaign plan</x:v>
      </x:c>
      <x:c r="G70" s="20" t="n">
        <x:v>2.53</x:v>
      </x:c>
      <x:c r="H70" s="20" t="n">
        <x:v>1.18</x:v>
      </x:c>
      <x:c r="I70" s="20" t="n">
        <x:v>0.27</x:v>
      </x:c>
      <x:c r="J70" s="17" t="str">
        <x:v>None</x:v>
      </x:c>
      <x:c r="K70" s="17" t="str">
        <x:v>No</x:v>
      </x:c>
      <x:c r="L70" s="17" t="str">
        <x:v>Yes</x:v>
      </x:c>
      <x:c r="M70" s="29" t="str">
        <x:f>INDEX('Prompt Totals'!$C$7:$C$246,MATCH($A70,'Prompt Totals'!$A$7:$A$246,0))</x:f>
        <x:v>DataFlow</x:v>
      </x:c>
      <x:c r="N70" s="29" t="str">
        <x:f>INDEX('Prompt Totals'!$D$7:$D$246,MATCH($A70,'Prompt Totals'!$A$7:$A$246,0))</x:f>
        <x:v>Lite</x:v>
      </x:c>
      <x:c r="O70" s="29" t="n">
        <x:f>INDEX('Prompt Totals'!$E$7:$E$246,MATCH($A70,'Prompt Totals'!$A$7:$A$246,0))</x:f>
        <x:v>543371</x:v>
      </x:c>
      <x:c r="P70" s="29" t="n">
        <x:f>INDEX('Prompt Totals'!$F$7:$F$246,MATCH($A70,'Prompt Totals'!$A$7:$A$246,0))</x:f>
        <x:v>88841</x:v>
      </x:c>
      <x:c r="Q70" s="29" t="n">
        <x:f>INDEX('Prompt Totals'!$G$7:$G$246,MATCH($A70,'Prompt Totals'!$A$7:$A$246,0))</x:f>
        <x:v>632212</x:v>
      </x:c>
      <x:c r="R70" s="29" t="n">
        <x:f>INDEX('Prompt Totals'!$H$7:$H$246,MATCH($A70,'Prompt Totals'!$A$7:$A$246,0))</x:f>
        <x:v>16</x:v>
      </x:c>
      <x:c r="S70" s="30" t="n">
        <x:f>INDEX('Prompt Totals'!$I$7:$I$246,MATCH($A70,'Prompt Totals'!$A$7:$A$246,0))</x:f>
        <x:v>5.43371</x:v>
      </x:c>
      <x:c r="T70" s="30" t="n">
        <x:f>INDEX('Prompt Totals'!$J$7:$J$246,MATCH($A70,'Prompt Totals'!$A$7:$A$246,0))</x:f>
        <x:v>2.66523</x:v>
      </x:c>
      <x:c r="U70" s="30" t="n">
        <x:f>INDEX('Prompt Totals'!$K$7:$K$246,MATCH($A70,'Prompt Totals'!$A$7:$A$246,0))</x:f>
        <x:v>8.09894</x:v>
      </x:c>
      <x:c r="V70" s="29" t="n">
        <x:f>INDEX('Prompt Totals'!$L$7:$L$246,MATCH($A70,'Prompt Totals'!$A$7:$A$246,0))</x:f>
        <x:v>1</x:v>
      </x:c>
      <x:c r="W70" s="29" t="n">
        <x:f>INDEX('Prompt Totals'!$M$7:$M$246,MATCH($A70,'Prompt Totals'!$A$7:$A$246,0))</x:f>
        <x:v>7</x:v>
      </x:c>
      <x:c r="X70" s="29" t="n">
        <x:f>INDEX('Prompt Totals'!$N$7:$N$246,MATCH($A70,'Prompt Totals'!$A$7:$A$246,0))</x:f>
        <x:v>8</x:v>
      </x:c>
      <x:c r="Y70" s="19" t="n">
        <x:f>G70-H70</x:f>
        <x:v>1.3499999999999999</x:v>
      </x:c>
      <x:c r="Z70" s="30" t="n">
        <x:f>Y70*'Solution'!$C$5</x:f>
        <x:v>67.5</x:v>
      </x:c>
      <x:c r="AA70" s="22" t="n">
        <x:f>Z70-U70</x:f>
        <x:v>59.40106</x:v>
      </x:c>
    </x:row>
    <x:row r="71" ht="23" customHeight="1">
      <x:c r="A71" s="17" t="str">
        <x:v>W0065</x:v>
      </x:c>
      <x:c r="B71" s="18" t="n">
        <x:v>46294</x:v>
      </x:c>
      <x:c r="C71" s="17" t="str">
        <x:v>C002</x:v>
      </x:c>
      <x:c r="D71" s="17" t="str">
        <x:v>Marketing Operations</x:v>
      </x:c>
      <x:c r="E71" s="17" t="str">
        <x:v>Morgan Reed</x:v>
      </x:c>
      <x:c r="F71" s="17" t="str">
        <x:v>Clean audience data</x:v>
      </x:c>
      <x:c r="G71" s="20" t="n">
        <x:v>2.84</x:v>
      </x:c>
      <x:c r="H71" s="20" t="n">
        <x:v>1.47</x:v>
      </x:c>
      <x:c r="I71" s="20" t="n">
        <x:v>0.67</x:v>
      </x:c>
      <x:c r="J71" s="17" t="str">
        <x:v>Brief changed</x:v>
      </x:c>
      <x:c r="K71" s="17" t="str">
        <x:v>Yes</x:v>
      </x:c>
      <x:c r="L71" s="17" t="str">
        <x:v>Yes</x:v>
      </x:c>
      <x:c r="M71" s="29" t="str">
        <x:f>INDEX('Prompt Totals'!$C$7:$C$246,MATCH($A71,'Prompt Totals'!$A$7:$A$246,0))</x:f>
        <x:v>DataFlow</x:v>
      </x:c>
      <x:c r="N71" s="29" t="str">
        <x:f>INDEX('Prompt Totals'!$D$7:$D$246,MATCH($A71,'Prompt Totals'!$A$7:$A$246,0))</x:f>
        <x:v>Pro</x:v>
      </x:c>
      <x:c r="O71" s="29" t="n">
        <x:f>INDEX('Prompt Totals'!$E$7:$E$246,MATCH($A71,'Prompt Totals'!$A$7:$A$246,0))</x:f>
        <x:v>318993</x:v>
      </x:c>
      <x:c r="P71" s="29" t="n">
        <x:f>INDEX('Prompt Totals'!$F$7:$F$246,MATCH($A71,'Prompt Totals'!$A$7:$A$246,0))</x:f>
        <x:v>196673</x:v>
      </x:c>
      <x:c r="Q71" s="29" t="n">
        <x:f>INDEX('Prompt Totals'!$G$7:$G$246,MATCH($A71,'Prompt Totals'!$A$7:$A$246,0))</x:f>
        <x:v>515666</x:v>
      </x:c>
      <x:c r="R71" s="29" t="n">
        <x:f>INDEX('Prompt Totals'!$H$7:$H$246,MATCH($A71,'Prompt Totals'!$A$7:$A$246,0))</x:f>
        <x:v>14</x:v>
      </x:c>
      <x:c r="S71" s="30" t="n">
        <x:f>INDEX('Prompt Totals'!$I$7:$I$246,MATCH($A71,'Prompt Totals'!$A$7:$A$246,0))</x:f>
        <x:v>12.759720000000002</x:v>
      </x:c>
      <x:c r="T71" s="30" t="n">
        <x:f>INDEX('Prompt Totals'!$J$7:$J$246,MATCH($A71,'Prompt Totals'!$A$7:$A$246,0))</x:f>
        <x:v>19.6673</x:v>
      </x:c>
      <x:c r="U71" s="30" t="n">
        <x:f>INDEX('Prompt Totals'!$K$7:$K$246,MATCH($A71,'Prompt Totals'!$A$7:$A$246,0))</x:f>
        <x:v>32.42702</x:v>
      </x:c>
      <x:c r="V71" s="29" t="n">
        <x:f>INDEX('Prompt Totals'!$L$7:$L$246,MATCH($A71,'Prompt Totals'!$A$7:$A$246,0))</x:f>
        <x:v>1</x:v>
      </x:c>
      <x:c r="W71" s="29" t="n">
        <x:f>INDEX('Prompt Totals'!$M$7:$M$246,MATCH($A71,'Prompt Totals'!$A$7:$A$246,0))</x:f>
        <x:v>7</x:v>
      </x:c>
      <x:c r="X71" s="29" t="n">
        <x:f>INDEX('Prompt Totals'!$N$7:$N$246,MATCH($A71,'Prompt Totals'!$A$7:$A$246,0))</x:f>
        <x:v>6</x:v>
      </x:c>
      <x:c r="Y71" s="19" t="n">
        <x:f>G71-H71</x:f>
        <x:v>1.3699999999999999</x:v>
      </x:c>
      <x:c r="Z71" s="30" t="n">
        <x:f>Y71*'Solution'!$C$5</x:f>
        <x:v>68.5</x:v>
      </x:c>
      <x:c r="AA71" s="22" t="n">
        <x:f>Z71-U71</x:f>
        <x:v>36.07298</x:v>
      </x:c>
    </x:row>
    <x:row r="72" ht="23" customHeight="1">
      <x:c r="A72" s="17" t="str">
        <x:v>W0066</x:v>
      </x:c>
      <x:c r="B72" s="18" t="n">
        <x:v>46279</x:v>
      </x:c>
      <x:c r="C72" s="17" t="str">
        <x:v>C002</x:v>
      </x:c>
      <x:c r="D72" s="17" t="str">
        <x:v>Analytics</x:v>
      </x:c>
      <x:c r="E72" s="17" t="str">
        <x:v>Quinn Parker</x:v>
      </x:c>
      <x:c r="F72" s="17" t="str">
        <x:v>Check measurement plan</x:v>
      </x:c>
      <x:c r="G72" s="20" t="n">
        <x:v>2.83</x:v>
      </x:c>
      <x:c r="H72" s="20" t="n">
        <x:v>1.87</x:v>
      </x:c>
      <x:c r="I72" s="20" t="n">
        <x:v>0.42</x:v>
      </x:c>
      <x:c r="J72" s="17" t="str">
        <x:v>Brief changed</x:v>
      </x:c>
      <x:c r="K72" s="17" t="str">
        <x:v>Yes</x:v>
      </x:c>
      <x:c r="L72" s="17" t="str">
        <x:v>No</x:v>
      </x:c>
      <x:c r="M72" s="29" t="str">
        <x:f>INDEX('Prompt Totals'!$C$7:$C$246,MATCH($A72,'Prompt Totals'!$A$7:$A$246,0))</x:f>
        <x:v>DataFlow</x:v>
      </x:c>
      <x:c r="N72" s="29" t="str">
        <x:f>INDEX('Prompt Totals'!$D$7:$D$246,MATCH($A72,'Prompt Totals'!$A$7:$A$246,0))</x:f>
        <x:v>Pro</x:v>
      </x:c>
      <x:c r="O72" s="29" t="n">
        <x:f>INDEX('Prompt Totals'!$E$7:$E$246,MATCH($A72,'Prompt Totals'!$A$7:$A$246,0))</x:f>
        <x:v>294158</x:v>
      </x:c>
      <x:c r="P72" s="29" t="n">
        <x:f>INDEX('Prompt Totals'!$F$7:$F$246,MATCH($A72,'Prompt Totals'!$A$7:$A$246,0))</x:f>
        <x:v>115484</x:v>
      </x:c>
      <x:c r="Q72" s="29" t="n">
        <x:f>INDEX('Prompt Totals'!$G$7:$G$246,MATCH($A72,'Prompt Totals'!$A$7:$A$246,0))</x:f>
        <x:v>409642</x:v>
      </x:c>
      <x:c r="R72" s="29" t="n">
        <x:f>INDEX('Prompt Totals'!$H$7:$H$246,MATCH($A72,'Prompt Totals'!$A$7:$A$246,0))</x:f>
        <x:v>11</x:v>
      </x:c>
      <x:c r="S72" s="30" t="n">
        <x:f>INDEX('Prompt Totals'!$I$7:$I$246,MATCH($A72,'Prompt Totals'!$A$7:$A$246,0))</x:f>
        <x:v>11.76632</x:v>
      </x:c>
      <x:c r="T72" s="30" t="n">
        <x:f>INDEX('Prompt Totals'!$J$7:$J$246,MATCH($A72,'Prompt Totals'!$A$7:$A$246,0))</x:f>
        <x:v>11.5484</x:v>
      </x:c>
      <x:c r="U72" s="30" t="n">
        <x:f>INDEX('Prompt Totals'!$K$7:$K$246,MATCH($A72,'Prompt Totals'!$A$7:$A$246,0))</x:f>
        <x:v>23.314719999999998</x:v>
      </x:c>
      <x:c r="V72" s="29" t="n">
        <x:f>INDEX('Prompt Totals'!$L$7:$L$246,MATCH($A72,'Prompt Totals'!$A$7:$A$246,0))</x:f>
        <x:v>1</x:v>
      </x:c>
      <x:c r="W72" s="29" t="n">
        <x:f>INDEX('Prompt Totals'!$M$7:$M$246,MATCH($A72,'Prompt Totals'!$A$7:$A$246,0))</x:f>
        <x:v>5</x:v>
      </x:c>
      <x:c r="X72" s="29" t="n">
        <x:f>INDEX('Prompt Totals'!$N$7:$N$246,MATCH($A72,'Prompt Totals'!$A$7:$A$246,0))</x:f>
        <x:v>5</x:v>
      </x:c>
      <x:c r="Y72" s="19" t="n">
        <x:f>G72-H72</x:f>
        <x:v>0.96</x:v>
      </x:c>
      <x:c r="Z72" s="30" t="n">
        <x:f>Y72*'Solution'!$C$5</x:f>
        <x:v>48</x:v>
      </x:c>
      <x:c r="AA72" s="22" t="n">
        <x:f>Z72-U72</x:f>
        <x:v>24.685280000000002</x:v>
      </x:c>
    </x:row>
    <x:row r="73" ht="23" customHeight="1">
      <x:c r="A73" s="17" t="str">
        <x:v>W0067</x:v>
      </x:c>
      <x:c r="B73" s="18" t="n">
        <x:v>46288</x:v>
      </x:c>
      <x:c r="C73" s="17" t="str">
        <x:v>C002</x:v>
      </x:c>
      <x:c r="D73" s="17" t="str">
        <x:v>Analytics</x:v>
      </x:c>
      <x:c r="E73" s="17" t="str">
        <x:v>Jamie Patel</x:v>
      </x:c>
      <x:c r="F73" s="17" t="str">
        <x:v>Analyze campaign results</x:v>
      </x:c>
      <x:c r="G73" s="20" t="n">
        <x:v>4.38</x:v>
      </x:c>
      <x:c r="H73" s="20" t="n">
        <x:v>2.43</x:v>
      </x:c>
      <x:c r="I73" s="20" t="n">
        <x:v>0.78</x:v>
      </x:c>
      <x:c r="J73" s="17" t="str">
        <x:v>Data problem</x:v>
      </x:c>
      <x:c r="K73" s="17" t="str">
        <x:v>No</x:v>
      </x:c>
      <x:c r="L73" s="17" t="str">
        <x:v>Yes</x:v>
      </x:c>
      <x:c r="M73" s="29" t="str">
        <x:f>INDEX('Prompt Totals'!$C$7:$C$246,MATCH($A73,'Prompt Totals'!$A$7:$A$246,0))</x:f>
        <x:v>InsightDesk</x:v>
      </x:c>
      <x:c r="N73" s="29" t="str">
        <x:f>INDEX('Prompt Totals'!$D$7:$D$246,MATCH($A73,'Prompt Totals'!$A$7:$A$246,0))</x:f>
        <x:v>Pro</x:v>
      </x:c>
      <x:c r="O73" s="29" t="n">
        <x:f>INDEX('Prompt Totals'!$E$7:$E$246,MATCH($A73,'Prompt Totals'!$A$7:$A$246,0))</x:f>
        <x:v>448703</x:v>
      </x:c>
      <x:c r="P73" s="29" t="n">
        <x:f>INDEX('Prompt Totals'!$F$7:$F$246,MATCH($A73,'Prompt Totals'!$A$7:$A$246,0))</x:f>
        <x:v>217814</x:v>
      </x:c>
      <x:c r="Q73" s="29" t="n">
        <x:f>INDEX('Prompt Totals'!$G$7:$G$246,MATCH($A73,'Prompt Totals'!$A$7:$A$246,0))</x:f>
        <x:v>666517</x:v>
      </x:c>
      <x:c r="R73" s="29" t="n">
        <x:f>INDEX('Prompt Totals'!$H$7:$H$246,MATCH($A73,'Prompt Totals'!$A$7:$A$246,0))</x:f>
        <x:v>16</x:v>
      </x:c>
      <x:c r="S73" s="30" t="n">
        <x:f>INDEX('Prompt Totals'!$I$7:$I$246,MATCH($A73,'Prompt Totals'!$A$7:$A$246,0))</x:f>
        <x:v>17.948120000000003</x:v>
      </x:c>
      <x:c r="T73" s="30" t="n">
        <x:f>INDEX('Prompt Totals'!$J$7:$J$246,MATCH($A73,'Prompt Totals'!$A$7:$A$246,0))</x:f>
        <x:v>21.7814</x:v>
      </x:c>
      <x:c r="U73" s="30" t="n">
        <x:f>INDEX('Prompt Totals'!$K$7:$K$246,MATCH($A73,'Prompt Totals'!$A$7:$A$246,0))</x:f>
        <x:v>39.729519999999994</x:v>
      </x:c>
      <x:c r="V73" s="29" t="n">
        <x:f>INDEX('Prompt Totals'!$L$7:$L$246,MATCH($A73,'Prompt Totals'!$A$7:$A$246,0))</x:f>
        <x:v>1</x:v>
      </x:c>
      <x:c r="W73" s="29" t="n">
        <x:f>INDEX('Prompt Totals'!$M$7:$M$246,MATCH($A73,'Prompt Totals'!$A$7:$A$246,0))</x:f>
        <x:v>7</x:v>
      </x:c>
      <x:c r="X73" s="29" t="n">
        <x:f>INDEX('Prompt Totals'!$N$7:$N$246,MATCH($A73,'Prompt Totals'!$A$7:$A$246,0))</x:f>
        <x:v>8</x:v>
      </x:c>
      <x:c r="Y73" s="19" t="n">
        <x:f>G73-H73</x:f>
        <x:v>1.9499999999999997</x:v>
      </x:c>
      <x:c r="Z73" s="30" t="n">
        <x:f>Y73*'Solution'!$C$5</x:f>
        <x:v>97.49999999999999</x:v>
      </x:c>
      <x:c r="AA73" s="22" t="n">
        <x:f>Z73-U73</x:f>
        <x:v>57.77047999999999</x:v>
      </x:c>
    </x:row>
    <x:row r="74" ht="23" customHeight="1">
      <x:c r="A74" s="17" t="str">
        <x:v>W0068</x:v>
      </x:c>
      <x:c r="B74" s="18" t="n">
        <x:v>46273</x:v>
      </x:c>
      <x:c r="C74" s="17" t="str">
        <x:v>C002</x:v>
      </x:c>
      <x:c r="D74" s="17" t="str">
        <x:v>Content</x:v>
      </x:c>
      <x:c r="E74" s="17" t="str">
        <x:v>Avery Morgan</x:v>
      </x:c>
      <x:c r="F74" s="17" t="str">
        <x:v>Draft email sequence</x:v>
      </x:c>
      <x:c r="G74" s="20" t="n">
        <x:v>3.08</x:v>
      </x:c>
      <x:c r="H74" s="20" t="n">
        <x:v>1.93</x:v>
      </x:c>
      <x:c r="I74" s="20" t="n">
        <x:v>0.43</x:v>
      </x:c>
      <x:c r="J74" s="17" t="str">
        <x:v>None</x:v>
      </x:c>
      <x:c r="K74" s="17" t="str">
        <x:v>No</x:v>
      </x:c>
      <x:c r="L74" s="17" t="str">
        <x:v>Yes</x:v>
      </x:c>
      <x:c r="M74" s="29" t="str">
        <x:f>INDEX('Prompt Totals'!$C$7:$C$246,MATCH($A74,'Prompt Totals'!$A$7:$A$246,0))</x:f>
        <x:v>CopyStudio</x:v>
      </x:c>
      <x:c r="N74" s="29" t="str">
        <x:f>INDEX('Prompt Totals'!$D$7:$D$246,MATCH($A74,'Prompt Totals'!$A$7:$A$246,0))</x:f>
        <x:v>Pro</x:v>
      </x:c>
      <x:c r="O74" s="29" t="n">
        <x:f>INDEX('Prompt Totals'!$E$7:$E$246,MATCH($A74,'Prompt Totals'!$A$7:$A$246,0))</x:f>
        <x:v>168930</x:v>
      </x:c>
      <x:c r="P74" s="29" t="n">
        <x:f>INDEX('Prompt Totals'!$F$7:$F$246,MATCH($A74,'Prompt Totals'!$A$7:$A$246,0))</x:f>
        <x:v>115490</x:v>
      </x:c>
      <x:c r="Q74" s="29" t="n">
        <x:f>INDEX('Prompt Totals'!$G$7:$G$246,MATCH($A74,'Prompt Totals'!$A$7:$A$246,0))</x:f>
        <x:v>284420</x:v>
      </x:c>
      <x:c r="R74" s="29" t="n">
        <x:f>INDEX('Prompt Totals'!$H$7:$H$246,MATCH($A74,'Prompt Totals'!$A$7:$A$246,0))</x:f>
        <x:v>14</x:v>
      </x:c>
      <x:c r="S74" s="30" t="n">
        <x:f>INDEX('Prompt Totals'!$I$7:$I$246,MATCH($A74,'Prompt Totals'!$A$7:$A$246,0))</x:f>
        <x:v>6.7572</x:v>
      </x:c>
      <x:c r="T74" s="30" t="n">
        <x:f>INDEX('Prompt Totals'!$J$7:$J$246,MATCH($A74,'Prompt Totals'!$A$7:$A$246,0))</x:f>
        <x:v>11.549000000000001</x:v>
      </x:c>
      <x:c r="U74" s="30" t="n">
        <x:f>INDEX('Prompt Totals'!$K$7:$K$246,MATCH($A74,'Prompt Totals'!$A$7:$A$246,0))</x:f>
        <x:v>18.3062</x:v>
      </x:c>
      <x:c r="V74" s="29" t="n">
        <x:f>INDEX('Prompt Totals'!$L$7:$L$246,MATCH($A74,'Prompt Totals'!$A$7:$A$246,0))</x:f>
        <x:v>1</x:v>
      </x:c>
      <x:c r="W74" s="29" t="n">
        <x:f>INDEX('Prompt Totals'!$M$7:$M$246,MATCH($A74,'Prompt Totals'!$A$7:$A$246,0))</x:f>
        <x:v>10</x:v>
      </x:c>
      <x:c r="X74" s="29" t="n">
        <x:f>INDEX('Prompt Totals'!$N$7:$N$246,MATCH($A74,'Prompt Totals'!$A$7:$A$246,0))</x:f>
        <x:v>3</x:v>
      </x:c>
      <x:c r="Y74" s="19" t="n">
        <x:f>G74-H74</x:f>
        <x:v>1.1500000000000001</x:v>
      </x:c>
      <x:c r="Z74" s="30" t="n">
        <x:f>Y74*'Solution'!$C$5</x:f>
        <x:v>57.50000000000001</x:v>
      </x:c>
      <x:c r="AA74" s="22" t="n">
        <x:f>Z74-U74</x:f>
        <x:v>39.19380000000001</x:v>
      </x:c>
    </x:row>
    <x:row r="75" ht="23" customHeight="1">
      <x:c r="A75" s="17" t="str">
        <x:v>W0069</x:v>
      </x:c>
      <x:c r="B75" s="18" t="n">
        <x:v>46282</x:v>
      </x:c>
      <x:c r="C75" s="17" t="str">
        <x:v>C002</x:v>
      </x:c>
      <x:c r="D75" s="17" t="str">
        <x:v>Content</x:v>
      </x:c>
      <x:c r="E75" s="17" t="str">
        <x:v>Jordan Ellis</x:v>
      </x:c>
      <x:c r="F75" s="17" t="str">
        <x:v>Edit landing page</x:v>
      </x:c>
      <x:c r="G75" s="20" t="n">
        <x:v>3.45</x:v>
      </x:c>
      <x:c r="H75" s="20" t="n">
        <x:v>1.43</x:v>
      </x:c>
      <x:c r="I75" s="20" t="n">
        <x:v>0.68</x:v>
      </x:c>
      <x:c r="J75" s="17" t="str">
        <x:v>Brief changed</x:v>
      </x:c>
      <x:c r="K75" s="17" t="str">
        <x:v>Yes</x:v>
      </x:c>
      <x:c r="L75" s="17" t="str">
        <x:v>No</x:v>
      </x:c>
      <x:c r="M75" s="29" t="str">
        <x:f>INDEX('Prompt Totals'!$C$7:$C$246,MATCH($A75,'Prompt Totals'!$A$7:$A$246,0))</x:f>
        <x:v>CopyStudio</x:v>
      </x:c>
      <x:c r="N75" s="29" t="str">
        <x:f>INDEX('Prompt Totals'!$D$7:$D$246,MATCH($A75,'Prompt Totals'!$A$7:$A$246,0))</x:f>
        <x:v>Pro</x:v>
      </x:c>
      <x:c r="O75" s="29" t="n">
        <x:f>INDEX('Prompt Totals'!$E$7:$E$246,MATCH($A75,'Prompt Totals'!$A$7:$A$246,0))</x:f>
        <x:v>197601</x:v>
      </x:c>
      <x:c r="P75" s="29" t="n">
        <x:f>INDEX('Prompt Totals'!$F$7:$F$246,MATCH($A75,'Prompt Totals'!$A$7:$A$246,0))</x:f>
        <x:v>118615</x:v>
      </x:c>
      <x:c r="Q75" s="29" t="n">
        <x:f>INDEX('Prompt Totals'!$G$7:$G$246,MATCH($A75,'Prompt Totals'!$A$7:$A$246,0))</x:f>
        <x:v>316216</x:v>
      </x:c>
      <x:c r="R75" s="29" t="n">
        <x:f>INDEX('Prompt Totals'!$H$7:$H$246,MATCH($A75,'Prompt Totals'!$A$7:$A$246,0))</x:f>
        <x:v>15</x:v>
      </x:c>
      <x:c r="S75" s="30" t="n">
        <x:f>INDEX('Prompt Totals'!$I$7:$I$246,MATCH($A75,'Prompt Totals'!$A$7:$A$246,0))</x:f>
        <x:v>7.904039999999999</x:v>
      </x:c>
      <x:c r="T75" s="30" t="n">
        <x:f>INDEX('Prompt Totals'!$J$7:$J$246,MATCH($A75,'Prompt Totals'!$A$7:$A$246,0))</x:f>
        <x:v>11.8615</x:v>
      </x:c>
      <x:c r="U75" s="30" t="n">
        <x:f>INDEX('Prompt Totals'!$K$7:$K$246,MATCH($A75,'Prompt Totals'!$A$7:$A$246,0))</x:f>
        <x:v>19.765539999999998</x:v>
      </x:c>
      <x:c r="V75" s="29" t="n">
        <x:f>INDEX('Prompt Totals'!$L$7:$L$246,MATCH($A75,'Prompt Totals'!$A$7:$A$246,0))</x:f>
        <x:v>1</x:v>
      </x:c>
      <x:c r="W75" s="29" t="n">
        <x:f>INDEX('Prompt Totals'!$M$7:$M$246,MATCH($A75,'Prompt Totals'!$A$7:$A$246,0))</x:f>
        <x:v>10</x:v>
      </x:c>
      <x:c r="X75" s="29" t="n">
        <x:f>INDEX('Prompt Totals'!$N$7:$N$246,MATCH($A75,'Prompt Totals'!$A$7:$A$246,0))</x:f>
        <x:v>4</x:v>
      </x:c>
      <x:c r="Y75" s="19" t="n">
        <x:f>G75-H75</x:f>
        <x:v>2.0200000000000005</x:v>
      </x:c>
      <x:c r="Z75" s="30" t="n">
        <x:f>Y75*'Solution'!$C$5</x:f>
        <x:v>101.00000000000003</x:v>
      </x:c>
      <x:c r="AA75" s="22" t="n">
        <x:f>Z75-U75</x:f>
        <x:v>81.23446000000003</x:v>
      </x:c>
    </x:row>
    <x:row r="76" ht="23" customHeight="1">
      <x:c r="A76" s="17" t="str">
        <x:v>W0070</x:v>
      </x:c>
      <x:c r="B76" s="18" t="n">
        <x:v>46293</x:v>
      </x:c>
      <x:c r="C76" s="17" t="str">
        <x:v>C002</x:v>
      </x:c>
      <x:c r="D76" s="17" t="str">
        <x:v>Creative</x:v>
      </x:c>
      <x:c r="E76" s="17" t="str">
        <x:v>Riley Chen</x:v>
      </x:c>
      <x:c r="F76" s="17" t="str">
        <x:v>Develop concept brief</x:v>
      </x:c>
      <x:c r="G76" s="20" t="n">
        <x:v>3.35</x:v>
      </x:c>
      <x:c r="H76" s="20" t="n">
        <x:v>1.73</x:v>
      </x:c>
      <x:c r="I76" s="20" t="n">
        <x:v>0.71</x:v>
      </x:c>
      <x:c r="J76" s="17" t="str">
        <x:v>Brief changed</x:v>
      </x:c>
      <x:c r="K76" s="17" t="str">
        <x:v>Yes</x:v>
      </x:c>
      <x:c r="L76" s="17" t="str">
        <x:v>No</x:v>
      </x:c>
      <x:c r="M76" s="29" t="str">
        <x:f>INDEX('Prompt Totals'!$C$7:$C$246,MATCH($A76,'Prompt Totals'!$A$7:$A$246,0))</x:f>
        <x:v>CampaignChat</x:v>
      </x:c>
      <x:c r="N76" s="29" t="str">
        <x:f>INDEX('Prompt Totals'!$D$7:$D$246,MATCH($A76,'Prompt Totals'!$A$7:$A$246,0))</x:f>
        <x:v>Pro</x:v>
      </x:c>
      <x:c r="O76" s="29" t="n">
        <x:f>INDEX('Prompt Totals'!$E$7:$E$246,MATCH($A76,'Prompt Totals'!$A$7:$A$246,0))</x:f>
        <x:v>133133</x:v>
      </x:c>
      <x:c r="P76" s="29" t="n">
        <x:f>INDEX('Prompt Totals'!$F$7:$F$246,MATCH($A76,'Prompt Totals'!$A$7:$A$246,0))</x:f>
        <x:v>80884</x:v>
      </x:c>
      <x:c r="Q76" s="29" t="n">
        <x:f>INDEX('Prompt Totals'!$G$7:$G$246,MATCH($A76,'Prompt Totals'!$A$7:$A$246,0))</x:f>
        <x:v>214017</x:v>
      </x:c>
      <x:c r="R76" s="29" t="n">
        <x:f>INDEX('Prompt Totals'!$H$7:$H$246,MATCH($A76,'Prompt Totals'!$A$7:$A$246,0))</x:f>
        <x:v>11</x:v>
      </x:c>
      <x:c r="S76" s="30" t="n">
        <x:f>INDEX('Prompt Totals'!$I$7:$I$246,MATCH($A76,'Prompt Totals'!$A$7:$A$246,0))</x:f>
        <x:v>5.3253200000000005</x:v>
      </x:c>
      <x:c r="T76" s="30" t="n">
        <x:f>INDEX('Prompt Totals'!$J$7:$J$246,MATCH($A76,'Prompt Totals'!$A$7:$A$246,0))</x:f>
        <x:v>8.0884</x:v>
      </x:c>
      <x:c r="U76" s="30" t="n">
        <x:f>INDEX('Prompt Totals'!$K$7:$K$246,MATCH($A76,'Prompt Totals'!$A$7:$A$246,0))</x:f>
        <x:v>13.41372</x:v>
      </x:c>
      <x:c r="V76" s="29" t="n">
        <x:f>INDEX('Prompt Totals'!$L$7:$L$246,MATCH($A76,'Prompt Totals'!$A$7:$A$246,0))</x:f>
        <x:v>1</x:v>
      </x:c>
      <x:c r="W76" s="29" t="n">
        <x:f>INDEX('Prompt Totals'!$M$7:$M$246,MATCH($A76,'Prompt Totals'!$A$7:$A$246,0))</x:f>
        <x:v>6</x:v>
      </x:c>
      <x:c r="X76" s="29" t="n">
        <x:f>INDEX('Prompt Totals'!$N$7:$N$246,MATCH($A76,'Prompt Totals'!$A$7:$A$246,0))</x:f>
        <x:v>4</x:v>
      </x:c>
      <x:c r="Y76" s="19" t="n">
        <x:f>G76-H76</x:f>
        <x:v>1.62</x:v>
      </x:c>
      <x:c r="Z76" s="30" t="n">
        <x:f>Y76*'Solution'!$C$5</x:f>
        <x:v>81</x:v>
      </x:c>
      <x:c r="AA76" s="22" t="n">
        <x:f>Z76-U76</x:f>
        <x:v>67.58628</x:v>
      </x:c>
    </x:row>
    <x:row r="77" ht="23" customHeight="1">
      <x:c r="A77" s="17" t="str">
        <x:v>W0071</x:v>
      </x:c>
      <x:c r="B77" s="18" t="n">
        <x:v>46276</x:v>
      </x:c>
      <x:c r="C77" s="17" t="str">
        <x:v>C002</x:v>
      </x:c>
      <x:c r="D77" s="17" t="str">
        <x:v>Creative</x:v>
      </x:c>
      <x:c r="E77" s="17" t="str">
        <x:v>Taylor Brooks</x:v>
      </x:c>
      <x:c r="F77" s="17" t="str">
        <x:v>Review creative variants</x:v>
      </x:c>
      <x:c r="G77" s="20" t="n">
        <x:v>2.28</x:v>
      </x:c>
      <x:c r="H77" s="20" t="n">
        <x:v>2.68</x:v>
      </x:c>
      <x:c r="I77" s="20" t="n">
        <x:v>0.36</x:v>
      </x:c>
      <x:c r="J77" s="17" t="str">
        <x:v>None</x:v>
      </x:c>
      <x:c r="K77" s="17" t="str">
        <x:v>No</x:v>
      </x:c>
      <x:c r="L77" s="17" t="str">
        <x:v>No</x:v>
      </x:c>
      <x:c r="M77" s="29" t="str">
        <x:f>INDEX('Prompt Totals'!$C$7:$C$246,MATCH($A77,'Prompt Totals'!$A$7:$A$246,0))</x:f>
        <x:v>CampaignChat</x:v>
      </x:c>
      <x:c r="N77" s="29" t="str">
        <x:f>INDEX('Prompt Totals'!$D$7:$D$246,MATCH($A77,'Prompt Totals'!$A$7:$A$246,0))</x:f>
        <x:v>Lite</x:v>
      </x:c>
      <x:c r="O77" s="29" t="n">
        <x:f>INDEX('Prompt Totals'!$E$7:$E$246,MATCH($A77,'Prompt Totals'!$A$7:$A$246,0))</x:f>
        <x:v>674195</x:v>
      </x:c>
      <x:c r="P77" s="29" t="n">
        <x:f>INDEX('Prompt Totals'!$F$7:$F$246,MATCH($A77,'Prompt Totals'!$A$7:$A$246,0))</x:f>
        <x:v>181933</x:v>
      </x:c>
      <x:c r="Q77" s="29" t="n">
        <x:f>INDEX('Prompt Totals'!$G$7:$G$246,MATCH($A77,'Prompt Totals'!$A$7:$A$246,0))</x:f>
        <x:v>856128</x:v>
      </x:c>
      <x:c r="R77" s="29" t="n">
        <x:f>INDEX('Prompt Totals'!$H$7:$H$246,MATCH($A77,'Prompt Totals'!$A$7:$A$246,0))</x:f>
        <x:v>20</x:v>
      </x:c>
      <x:c r="S77" s="30" t="n">
        <x:f>INDEX('Prompt Totals'!$I$7:$I$246,MATCH($A77,'Prompt Totals'!$A$7:$A$246,0))</x:f>
        <x:v>6.741949999999999</x:v>
      </x:c>
      <x:c r="T77" s="30" t="n">
        <x:f>INDEX('Prompt Totals'!$J$7:$J$246,MATCH($A77,'Prompt Totals'!$A$7:$A$246,0))</x:f>
        <x:v>5.45799</x:v>
      </x:c>
      <x:c r="U77" s="30" t="n">
        <x:f>INDEX('Prompt Totals'!$K$7:$K$246,MATCH($A77,'Prompt Totals'!$A$7:$A$246,0))</x:f>
        <x:v>12.19994</x:v>
      </x:c>
      <x:c r="V77" s="29" t="n">
        <x:f>INDEX('Prompt Totals'!$L$7:$L$246,MATCH($A77,'Prompt Totals'!$A$7:$A$246,0))</x:f>
        <x:v>1</x:v>
      </x:c>
      <x:c r="W77" s="29" t="n">
        <x:f>INDEX('Prompt Totals'!$M$7:$M$246,MATCH($A77,'Prompt Totals'!$A$7:$A$246,0))</x:f>
        <x:v>10</x:v>
      </x:c>
      <x:c r="X77" s="29" t="n">
        <x:f>INDEX('Prompt Totals'!$N$7:$N$246,MATCH($A77,'Prompt Totals'!$A$7:$A$246,0))</x:f>
        <x:v>9</x:v>
      </x:c>
      <x:c r="Y77" s="19" t="n">
        <x:f>G77-H77</x:f>
        <x:v>-0.40000000000000036</x:v>
      </x:c>
      <x:c r="Z77" s="30" t="n">
        <x:f>Y77*'Solution'!$C$5</x:f>
        <x:v>-20.000000000000018</x:v>
      </x:c>
      <x:c r="AA77" s="22" t="n">
        <x:f>Z77-U77</x:f>
        <x:v>-32.19994000000002</x:v>
      </x:c>
    </x:row>
    <x:row r="78" ht="23" customHeight="1">
      <x:c r="A78" s="17" t="str">
        <x:v>W0072</x:v>
      </x:c>
      <x:c r="B78" s="18" t="n">
        <x:v>46287</x:v>
      </x:c>
      <x:c r="C78" s="17" t="str">
        <x:v>C002</x:v>
      </x:c>
      <x:c r="D78" s="17" t="str">
        <x:v>Marketing Operations</x:v>
      </x:c>
      <x:c r="E78" s="17" t="str">
        <x:v>Casey Rivera</x:v>
      </x:c>
      <x:c r="F78" s="17" t="str">
        <x:v>Prepare launch checklist</x:v>
      </x:c>
      <x:c r="G78" s="20" t="n">
        <x:v>2.99</x:v>
      </x:c>
      <x:c r="H78" s="20" t="n">
        <x:v>4.03</x:v>
      </x:c>
      <x:c r="I78" s="20" t="n">
        <x:v>1.43</x:v>
      </x:c>
      <x:c r="J78" s="17" t="str">
        <x:v>Unclear prompt</x:v>
      </x:c>
      <x:c r="K78" s="17" t="str">
        <x:v>No</x:v>
      </x:c>
      <x:c r="L78" s="17" t="str">
        <x:v>No</x:v>
      </x:c>
      <x:c r="M78" s="29" t="str">
        <x:f>INDEX('Prompt Totals'!$C$7:$C$246,MATCH($A78,'Prompt Totals'!$A$7:$A$246,0))</x:f>
        <x:v>CopyStudio</x:v>
      </x:c>
      <x:c r="N78" s="29" t="str">
        <x:f>INDEX('Prompt Totals'!$D$7:$D$246,MATCH($A78,'Prompt Totals'!$A$7:$A$246,0))</x:f>
        <x:v>Lite</x:v>
      </x:c>
      <x:c r="O78" s="29" t="n">
        <x:f>INDEX('Prompt Totals'!$E$7:$E$246,MATCH($A78,'Prompt Totals'!$A$7:$A$246,0))</x:f>
        <x:v>808449</x:v>
      </x:c>
      <x:c r="P78" s="29" t="n">
        <x:f>INDEX('Prompt Totals'!$F$7:$F$246,MATCH($A78,'Prompt Totals'!$A$7:$A$246,0))</x:f>
        <x:v>117056</x:v>
      </x:c>
      <x:c r="Q78" s="29" t="n">
        <x:f>INDEX('Prompt Totals'!$G$7:$G$246,MATCH($A78,'Prompt Totals'!$A$7:$A$246,0))</x:f>
        <x:v>925505</x:v>
      </x:c>
      <x:c r="R78" s="29" t="n">
        <x:f>INDEX('Prompt Totals'!$H$7:$H$246,MATCH($A78,'Prompt Totals'!$A$7:$A$246,0))</x:f>
        <x:v>29</x:v>
      </x:c>
      <x:c r="S78" s="30" t="n">
        <x:f>INDEX('Prompt Totals'!$I$7:$I$246,MATCH($A78,'Prompt Totals'!$A$7:$A$246,0))</x:f>
        <x:v>8.08449</x:v>
      </x:c>
      <x:c r="T78" s="30" t="n">
        <x:f>INDEX('Prompt Totals'!$J$7:$J$246,MATCH($A78,'Prompt Totals'!$A$7:$A$246,0))</x:f>
        <x:v>3.5116799999999997</x:v>
      </x:c>
      <x:c r="U78" s="30" t="n">
        <x:f>INDEX('Prompt Totals'!$K$7:$K$246,MATCH($A78,'Prompt Totals'!$A$7:$A$246,0))</x:f>
        <x:v>11.596170000000003</x:v>
      </x:c>
      <x:c r="V78" s="29" t="n">
        <x:f>INDEX('Prompt Totals'!$L$7:$L$246,MATCH($A78,'Prompt Totals'!$A$7:$A$246,0))</x:f>
        <x:v>1</x:v>
      </x:c>
      <x:c r="W78" s="29" t="n">
        <x:f>INDEX('Prompt Totals'!$M$7:$M$246,MATCH($A78,'Prompt Totals'!$A$7:$A$246,0))</x:f>
        <x:v>15</x:v>
      </x:c>
      <x:c r="X78" s="29" t="n">
        <x:f>INDEX('Prompt Totals'!$N$7:$N$246,MATCH($A78,'Prompt Totals'!$A$7:$A$246,0))</x:f>
        <x:v>13</x:v>
      </x:c>
      <x:c r="Y78" s="19" t="n">
        <x:f>G78-H78</x:f>
        <x:v>-1.04</x:v>
      </x:c>
      <x:c r="Z78" s="30" t="n">
        <x:f>Y78*'Solution'!$C$5</x:f>
        <x:v>-52</x:v>
      </x:c>
      <x:c r="AA78" s="22" t="n">
        <x:f>Z78-U78</x:f>
        <x:v>-63.59617</x:v>
      </x:c>
    </x:row>
    <x:row r="79" ht="23" customHeight="1">
      <x:c r="A79" s="17" t="str">
        <x:v>W0073</x:v>
      </x:c>
      <x:c r="B79" s="18" t="n">
        <x:v>46269</x:v>
      </x:c>
      <x:c r="C79" s="17" t="str">
        <x:v>C002</x:v>
      </x:c>
      <x:c r="D79" s="17" t="str">
        <x:v>Marketing Operations</x:v>
      </x:c>
      <x:c r="E79" s="17" t="str">
        <x:v>Morgan Reed</x:v>
      </x:c>
      <x:c r="F79" s="17" t="str">
        <x:v>Build campaign plan</x:v>
      </x:c>
      <x:c r="G79" s="20" t="n">
        <x:v>3.1</x:v>
      </x:c>
      <x:c r="H79" s="20" t="n">
        <x:v>5.22</x:v>
      </x:c>
      <x:c r="I79" s="20" t="n">
        <x:v>1.35</x:v>
      </x:c>
      <x:c r="J79" s="17" t="str">
        <x:v>Data problem</x:v>
      </x:c>
      <x:c r="K79" s="17" t="str">
        <x:v>No</x:v>
      </x:c>
      <x:c r="L79" s="17" t="str">
        <x:v>No</x:v>
      </x:c>
      <x:c r="M79" s="29" t="str">
        <x:f>INDEX('Prompt Totals'!$C$7:$C$246,MATCH($A79,'Prompt Totals'!$A$7:$A$246,0))</x:f>
        <x:v>DataFlow</x:v>
      </x:c>
      <x:c r="N79" s="29" t="str">
        <x:f>INDEX('Prompt Totals'!$D$7:$D$246,MATCH($A79,'Prompt Totals'!$A$7:$A$246,0))</x:f>
        <x:v>Lite</x:v>
      </x:c>
      <x:c r="O79" s="29" t="n">
        <x:f>INDEX('Prompt Totals'!$E$7:$E$246,MATCH($A79,'Prompt Totals'!$A$7:$A$246,0))</x:f>
        <x:v>1003562</x:v>
      </x:c>
      <x:c r="P79" s="29" t="n">
        <x:f>INDEX('Prompt Totals'!$F$7:$F$246,MATCH($A79,'Prompt Totals'!$A$7:$A$246,0))</x:f>
        <x:v>128037</x:v>
      </x:c>
      <x:c r="Q79" s="29" t="n">
        <x:f>INDEX('Prompt Totals'!$G$7:$G$246,MATCH($A79,'Prompt Totals'!$A$7:$A$246,0))</x:f>
        <x:v>1131599</x:v>
      </x:c>
      <x:c r="R79" s="29" t="n">
        <x:f>INDEX('Prompt Totals'!$H$7:$H$246,MATCH($A79,'Prompt Totals'!$A$7:$A$246,0))</x:f>
        <x:v>23</x:v>
      </x:c>
      <x:c r="S79" s="30" t="n">
        <x:f>INDEX('Prompt Totals'!$I$7:$I$246,MATCH($A79,'Prompt Totals'!$A$7:$A$246,0))</x:f>
        <x:v>10.035620000000002</x:v>
      </x:c>
      <x:c r="T79" s="30" t="n">
        <x:f>INDEX('Prompt Totals'!$J$7:$J$246,MATCH($A79,'Prompt Totals'!$A$7:$A$246,0))</x:f>
        <x:v>3.8411099999999996</x:v>
      </x:c>
      <x:c r="U79" s="30" t="n">
        <x:f>INDEX('Prompt Totals'!$K$7:$K$246,MATCH($A79,'Prompt Totals'!$A$7:$A$246,0))</x:f>
        <x:v>13.87673</x:v>
      </x:c>
      <x:c r="V79" s="29" t="n">
        <x:f>INDEX('Prompt Totals'!$L$7:$L$246,MATCH($A79,'Prompt Totals'!$A$7:$A$246,0))</x:f>
        <x:v>1</x:v>
      </x:c>
      <x:c r="W79" s="29" t="n">
        <x:f>INDEX('Prompt Totals'!$M$7:$M$246,MATCH($A79,'Prompt Totals'!$A$7:$A$246,0))</x:f>
        <x:v>12</x:v>
      </x:c>
      <x:c r="X79" s="29" t="n">
        <x:f>INDEX('Prompt Totals'!$N$7:$N$246,MATCH($A79,'Prompt Totals'!$A$7:$A$246,0))</x:f>
        <x:v>10</x:v>
      </x:c>
      <x:c r="Y79" s="19" t="n">
        <x:f>G79-H79</x:f>
        <x:v>-2.1199999999999997</x:v>
      </x:c>
      <x:c r="Z79" s="30" t="n">
        <x:f>Y79*'Solution'!$C$5</x:f>
        <x:v>-105.99999999999999</x:v>
      </x:c>
      <x:c r="AA79" s="22" t="n">
        <x:f>Z79-U79</x:f>
        <x:v>-119.87672999999998</x:v>
      </x:c>
    </x:row>
    <x:row r="80" ht="23" customHeight="1">
      <x:c r="A80" s="17" t="str">
        <x:v>W0074</x:v>
      </x:c>
      <x:c r="B80" s="18" t="n">
        <x:v>46281</x:v>
      </x:c>
      <x:c r="C80" s="17" t="str">
        <x:v>C002</x:v>
      </x:c>
      <x:c r="D80" s="17" t="str">
        <x:v>Analytics</x:v>
      </x:c>
      <x:c r="E80" s="17" t="str">
        <x:v>Quinn Parker</x:v>
      </x:c>
      <x:c r="F80" s="17" t="str">
        <x:v>Summarize audience insights</x:v>
      </x:c>
      <x:c r="G80" s="20" t="n">
        <x:v>3.75</x:v>
      </x:c>
      <x:c r="H80" s="20" t="n">
        <x:v>6.7</x:v>
      </x:c>
      <x:c r="I80" s="20" t="n">
        <x:v>2.48</x:v>
      </x:c>
      <x:c r="J80" s="17" t="str">
        <x:v>Unclear prompt</x:v>
      </x:c>
      <x:c r="K80" s="17" t="str">
        <x:v>No</x:v>
      </x:c>
      <x:c r="L80" s="17" t="str">
        <x:v>No</x:v>
      </x:c>
      <x:c r="M80" s="29" t="str">
        <x:f>INDEX('Prompt Totals'!$C$7:$C$246,MATCH($A80,'Prompt Totals'!$A$7:$A$246,0))</x:f>
        <x:v>InsightDesk</x:v>
      </x:c>
      <x:c r="N80" s="29" t="str">
        <x:f>INDEX('Prompt Totals'!$D$7:$D$246,MATCH($A80,'Prompt Totals'!$A$7:$A$246,0))</x:f>
        <x:v>Pro</x:v>
      </x:c>
      <x:c r="O80" s="29" t="n">
        <x:f>INDEX('Prompt Totals'!$E$7:$E$246,MATCH($A80,'Prompt Totals'!$A$7:$A$246,0))</x:f>
        <x:v>503772</x:v>
      </x:c>
      <x:c r="P80" s="29" t="n">
        <x:f>INDEX('Prompt Totals'!$F$7:$F$246,MATCH($A80,'Prompt Totals'!$A$7:$A$246,0))</x:f>
        <x:v>125364</x:v>
      </x:c>
      <x:c r="Q80" s="29" t="n">
        <x:f>INDEX('Prompt Totals'!$G$7:$G$246,MATCH($A80,'Prompt Totals'!$A$7:$A$246,0))</x:f>
        <x:v>629136</x:v>
      </x:c>
      <x:c r="R80" s="29" t="n">
        <x:f>INDEX('Prompt Totals'!$H$7:$H$246,MATCH($A80,'Prompt Totals'!$A$7:$A$246,0))</x:f>
        <x:v>18</x:v>
      </x:c>
      <x:c r="S80" s="30" t="n">
        <x:f>INDEX('Prompt Totals'!$I$7:$I$246,MATCH($A80,'Prompt Totals'!$A$7:$A$246,0))</x:f>
        <x:v>20.150880000000004</x:v>
      </x:c>
      <x:c r="T80" s="30" t="n">
        <x:f>INDEX('Prompt Totals'!$J$7:$J$246,MATCH($A80,'Prompt Totals'!$A$7:$A$246,0))</x:f>
        <x:v>12.536399999999999</x:v>
      </x:c>
      <x:c r="U80" s="30" t="n">
        <x:f>INDEX('Prompt Totals'!$K$7:$K$246,MATCH($A80,'Prompt Totals'!$A$7:$A$246,0))</x:f>
        <x:v>32.687279999999994</x:v>
      </x:c>
      <x:c r="V80" s="29" t="n">
        <x:f>INDEX('Prompt Totals'!$L$7:$L$246,MATCH($A80,'Prompt Totals'!$A$7:$A$246,0))</x:f>
        <x:v>1</x:v>
      </x:c>
      <x:c r="W80" s="29" t="n">
        <x:f>INDEX('Prompt Totals'!$M$7:$M$246,MATCH($A80,'Prompt Totals'!$A$7:$A$246,0))</x:f>
        <x:v>7</x:v>
      </x:c>
      <x:c r="X80" s="29" t="n">
        <x:f>INDEX('Prompt Totals'!$N$7:$N$246,MATCH($A80,'Prompt Totals'!$A$7:$A$246,0))</x:f>
        <x:v>10</x:v>
      </x:c>
      <x:c r="Y80" s="19" t="n">
        <x:f>G80-H80</x:f>
        <x:v>-2.95</x:v>
      </x:c>
      <x:c r="Z80" s="30" t="n">
        <x:f>Y80*'Solution'!$C$5</x:f>
        <x:v>-147.5</x:v>
      </x:c>
      <x:c r="AA80" s="22" t="n">
        <x:f>Z80-U80</x:f>
        <x:v>-180.18728</x:v>
      </x:c>
    </x:row>
    <x:row r="81" ht="23" customHeight="1">
      <x:c r="A81" s="17" t="str">
        <x:v>W0075</x:v>
      </x:c>
      <x:c r="B81" s="18" t="n">
        <x:v>46290</x:v>
      </x:c>
      <x:c r="C81" s="17" t="str">
        <x:v>C002</x:v>
      </x:c>
      <x:c r="D81" s="17" t="str">
        <x:v>Analytics</x:v>
      </x:c>
      <x:c r="E81" s="17" t="str">
        <x:v>Jamie Patel</x:v>
      </x:c>
      <x:c r="F81" s="17" t="str">
        <x:v>Check measurement plan</x:v>
      </x:c>
      <x:c r="G81" s="20" t="n">
        <x:v>3.56</x:v>
      </x:c>
      <x:c r="H81" s="20" t="n">
        <x:v>4.09</x:v>
      </x:c>
      <x:c r="I81" s="20" t="n">
        <x:v>1.32</x:v>
      </x:c>
      <x:c r="J81" s="17" t="str">
        <x:v>Brief changed</x:v>
      </x:c>
      <x:c r="K81" s="17" t="str">
        <x:v>Yes</x:v>
      </x:c>
      <x:c r="L81" s="17" t="str">
        <x:v>Yes</x:v>
      </x:c>
      <x:c r="M81" s="29" t="str">
        <x:f>INDEX('Prompt Totals'!$C$7:$C$246,MATCH($A81,'Prompt Totals'!$A$7:$A$246,0))</x:f>
        <x:v>InsightDesk</x:v>
      </x:c>
      <x:c r="N81" s="29" t="str">
        <x:f>INDEX('Prompt Totals'!$D$7:$D$246,MATCH($A81,'Prompt Totals'!$A$7:$A$246,0))</x:f>
        <x:v>Lite</x:v>
      </x:c>
      <x:c r="O81" s="29" t="n">
        <x:f>INDEX('Prompt Totals'!$E$7:$E$246,MATCH($A81,'Prompt Totals'!$A$7:$A$246,0))</x:f>
        <x:v>431332</x:v>
      </x:c>
      <x:c r="P81" s="29" t="n">
        <x:f>INDEX('Prompt Totals'!$F$7:$F$246,MATCH($A81,'Prompt Totals'!$A$7:$A$246,0))</x:f>
        <x:v>104650</x:v>
      </x:c>
      <x:c r="Q81" s="29" t="n">
        <x:f>INDEX('Prompt Totals'!$G$7:$G$246,MATCH($A81,'Prompt Totals'!$A$7:$A$246,0))</x:f>
        <x:v>535982</x:v>
      </x:c>
      <x:c r="R81" s="29" t="n">
        <x:f>INDEX('Prompt Totals'!$H$7:$H$246,MATCH($A81,'Prompt Totals'!$A$7:$A$246,0))</x:f>
        <x:v>21</x:v>
      </x:c>
      <x:c r="S81" s="30" t="n">
        <x:f>INDEX('Prompt Totals'!$I$7:$I$246,MATCH($A81,'Prompt Totals'!$A$7:$A$246,0))</x:f>
        <x:v>4.31332</x:v>
      </x:c>
      <x:c r="T81" s="30" t="n">
        <x:f>INDEX('Prompt Totals'!$J$7:$J$246,MATCH($A81,'Prompt Totals'!$A$7:$A$246,0))</x:f>
        <x:v>3.1394999999999995</x:v>
      </x:c>
      <x:c r="U81" s="30" t="n">
        <x:f>INDEX('Prompt Totals'!$K$7:$K$246,MATCH($A81,'Prompt Totals'!$A$7:$A$246,0))</x:f>
        <x:v>7.452820000000001</x:v>
      </x:c>
      <x:c r="V81" s="29" t="n">
        <x:f>INDEX('Prompt Totals'!$L$7:$L$246,MATCH($A81,'Prompt Totals'!$A$7:$A$246,0))</x:f>
        <x:v>1</x:v>
      </x:c>
      <x:c r="W81" s="29" t="n">
        <x:f>INDEX('Prompt Totals'!$M$7:$M$246,MATCH($A81,'Prompt Totals'!$A$7:$A$246,0))</x:f>
        <x:v>14</x:v>
      </x:c>
      <x:c r="X81" s="29" t="n">
        <x:f>INDEX('Prompt Totals'!$N$7:$N$246,MATCH($A81,'Prompt Totals'!$A$7:$A$246,0))</x:f>
        <x:v>6</x:v>
      </x:c>
      <x:c r="Y81" s="19" t="n">
        <x:f>G81-H81</x:f>
        <x:v>-0.5299999999999998</x:v>
      </x:c>
      <x:c r="Z81" s="30" t="n">
        <x:f>Y81*'Solution'!$C$5</x:f>
        <x:v>-26.49999999999999</x:v>
      </x:c>
      <x:c r="AA81" s="22" t="n">
        <x:f>Z81-U81</x:f>
        <x:v>-33.95281999999999</x:v>
      </x:c>
    </x:row>
    <x:row r="82" ht="23" customHeight="1">
      <x:c r="A82" s="17" t="str">
        <x:v>W0076</x:v>
      </x:c>
      <x:c r="B82" s="18" t="n">
        <x:v>46275</x:v>
      </x:c>
      <x:c r="C82" s="17" t="str">
        <x:v>C002</x:v>
      </x:c>
      <x:c r="D82" s="17" t="str">
        <x:v>Content</x:v>
      </x:c>
      <x:c r="E82" s="17" t="str">
        <x:v>Avery Morgan</x:v>
      </x:c>
      <x:c r="F82" s="17" t="str">
        <x:v>Write ad copy</x:v>
      </x:c>
      <x:c r="G82" s="20" t="n">
        <x:v>2.36</x:v>
      </x:c>
      <x:c r="H82" s="20" t="n">
        <x:v>4.11</x:v>
      </x:c>
      <x:c r="I82" s="20" t="n">
        <x:v>1.49</x:v>
      </x:c>
      <x:c r="J82" s="17" t="str">
        <x:v>Brief changed</x:v>
      </x:c>
      <x:c r="K82" s="17" t="str">
        <x:v>Yes</x:v>
      </x:c>
      <x:c r="L82" s="17" t="str">
        <x:v>No</x:v>
      </x:c>
      <x:c r="M82" s="29" t="str">
        <x:f>INDEX('Prompt Totals'!$C$7:$C$246,MATCH($A82,'Prompt Totals'!$A$7:$A$246,0))</x:f>
        <x:v>CopyStudio</x:v>
      </x:c>
      <x:c r="N82" s="29" t="str">
        <x:f>INDEX('Prompt Totals'!$D$7:$D$246,MATCH($A82,'Prompt Totals'!$A$7:$A$246,0))</x:f>
        <x:v>Lite</x:v>
      </x:c>
      <x:c r="O82" s="29" t="n">
        <x:f>INDEX('Prompt Totals'!$E$7:$E$246,MATCH($A82,'Prompt Totals'!$A$7:$A$246,0))</x:f>
        <x:v>480572</x:v>
      </x:c>
      <x:c r="P82" s="29" t="n">
        <x:f>INDEX('Prompt Totals'!$F$7:$F$246,MATCH($A82,'Prompt Totals'!$A$7:$A$246,0))</x:f>
        <x:v>141865</x:v>
      </x:c>
      <x:c r="Q82" s="29" t="n">
        <x:f>INDEX('Prompt Totals'!$G$7:$G$246,MATCH($A82,'Prompt Totals'!$A$7:$A$246,0))</x:f>
        <x:v>622437</x:v>
      </x:c>
      <x:c r="R82" s="29" t="n">
        <x:f>INDEX('Prompt Totals'!$H$7:$H$246,MATCH($A82,'Prompt Totals'!$A$7:$A$246,0))</x:f>
        <x:v>15</x:v>
      </x:c>
      <x:c r="S82" s="30" t="n">
        <x:f>INDEX('Prompt Totals'!$I$7:$I$246,MATCH($A82,'Prompt Totals'!$A$7:$A$246,0))</x:f>
        <x:v>4.805720000000001</x:v>
      </x:c>
      <x:c r="T82" s="30" t="n">
        <x:f>INDEX('Prompt Totals'!$J$7:$J$246,MATCH($A82,'Prompt Totals'!$A$7:$A$246,0))</x:f>
        <x:v>4.25595</x:v>
      </x:c>
      <x:c r="U82" s="30" t="n">
        <x:f>INDEX('Prompt Totals'!$K$7:$K$246,MATCH($A82,'Prompt Totals'!$A$7:$A$246,0))</x:f>
        <x:v>9.06167</x:v>
      </x:c>
      <x:c r="V82" s="29" t="n">
        <x:f>INDEX('Prompt Totals'!$L$7:$L$246,MATCH($A82,'Prompt Totals'!$A$7:$A$246,0))</x:f>
        <x:v>1</x:v>
      </x:c>
      <x:c r="W82" s="29" t="n">
        <x:f>INDEX('Prompt Totals'!$M$7:$M$246,MATCH($A82,'Prompt Totals'!$A$7:$A$246,0))</x:f>
        <x:v>8</x:v>
      </x:c>
      <x:c r="X82" s="29" t="n">
        <x:f>INDEX('Prompt Totals'!$N$7:$N$246,MATCH($A82,'Prompt Totals'!$A$7:$A$246,0))</x:f>
        <x:v>6</x:v>
      </x:c>
      <x:c r="Y82" s="19" t="n">
        <x:f>G82-H82</x:f>
        <x:v>-1.7500000000000004</x:v>
      </x:c>
      <x:c r="Z82" s="30" t="n">
        <x:f>Y82*'Solution'!$C$5</x:f>
        <x:v>-87.50000000000003</x:v>
      </x:c>
      <x:c r="AA82" s="22" t="n">
        <x:f>Z82-U82</x:f>
        <x:v>-96.56167000000002</x:v>
      </x:c>
    </x:row>
    <x:row r="83" ht="23" customHeight="1">
      <x:c r="A83" s="17" t="str">
        <x:v>W0077</x:v>
      </x:c>
      <x:c r="B83" s="18" t="n">
        <x:v>46286</x:v>
      </x:c>
      <x:c r="C83" s="17" t="str">
        <x:v>C002</x:v>
      </x:c>
      <x:c r="D83" s="17" t="str">
        <x:v>Content</x:v>
      </x:c>
      <x:c r="E83" s="17" t="str">
        <x:v>Jordan Ellis</x:v>
      </x:c>
      <x:c r="F83" s="17" t="str">
        <x:v>Draft email sequence</x:v>
      </x:c>
      <x:c r="G83" s="20" t="n">
        <x:v>3.9</x:v>
      </x:c>
      <x:c r="H83" s="20" t="n">
        <x:v>7.34</x:v>
      </x:c>
      <x:c r="I83" s="20" t="n">
        <x:v>2.32</x:v>
      </x:c>
      <x:c r="J83" s="17" t="str">
        <x:v>Brief changed</x:v>
      </x:c>
      <x:c r="K83" s="17" t="str">
        <x:v>Yes</x:v>
      </x:c>
      <x:c r="L83" s="17" t="str">
        <x:v>Yes</x:v>
      </x:c>
      <x:c r="M83" s="29" t="str">
        <x:f>INDEX('Prompt Totals'!$C$7:$C$246,MATCH($A83,'Prompt Totals'!$A$7:$A$246,0))</x:f>
        <x:v>CampaignChat</x:v>
      </x:c>
      <x:c r="N83" s="29" t="str">
        <x:f>INDEX('Prompt Totals'!$D$7:$D$246,MATCH($A83,'Prompt Totals'!$A$7:$A$246,0))</x:f>
        <x:v>Lite</x:v>
      </x:c>
      <x:c r="O83" s="29" t="n">
        <x:f>INDEX('Prompt Totals'!$E$7:$E$246,MATCH($A83,'Prompt Totals'!$A$7:$A$246,0))</x:f>
        <x:v>745686</x:v>
      </x:c>
      <x:c r="P83" s="29" t="n">
        <x:f>INDEX('Prompt Totals'!$F$7:$F$246,MATCH($A83,'Prompt Totals'!$A$7:$A$246,0))</x:f>
        <x:v>115368</x:v>
      </x:c>
      <x:c r="Q83" s="29" t="n">
        <x:f>INDEX('Prompt Totals'!$G$7:$G$246,MATCH($A83,'Prompt Totals'!$A$7:$A$246,0))</x:f>
        <x:v>861054</x:v>
      </x:c>
      <x:c r="R83" s="29" t="n">
        <x:f>INDEX('Prompt Totals'!$H$7:$H$246,MATCH($A83,'Prompt Totals'!$A$7:$A$246,0))</x:f>
        <x:v>20</x:v>
      </x:c>
      <x:c r="S83" s="30" t="n">
        <x:f>INDEX('Prompt Totals'!$I$7:$I$246,MATCH($A83,'Prompt Totals'!$A$7:$A$246,0))</x:f>
        <x:v>7.456860000000001</x:v>
      </x:c>
      <x:c r="T83" s="30" t="n">
        <x:f>INDEX('Prompt Totals'!$J$7:$J$246,MATCH($A83,'Prompt Totals'!$A$7:$A$246,0))</x:f>
        <x:v>3.4610400000000006</x:v>
      </x:c>
      <x:c r="U83" s="30" t="n">
        <x:f>INDEX('Prompt Totals'!$K$7:$K$246,MATCH($A83,'Prompt Totals'!$A$7:$A$246,0))</x:f>
        <x:v>10.9179</x:v>
      </x:c>
      <x:c r="V83" s="29" t="n">
        <x:f>INDEX('Prompt Totals'!$L$7:$L$246,MATCH($A83,'Prompt Totals'!$A$7:$A$246,0))</x:f>
        <x:v>1</x:v>
      </x:c>
      <x:c r="W83" s="29" t="n">
        <x:f>INDEX('Prompt Totals'!$M$7:$M$246,MATCH($A83,'Prompt Totals'!$A$7:$A$246,0))</x:f>
        <x:v>12</x:v>
      </x:c>
      <x:c r="X83" s="29" t="n">
        <x:f>INDEX('Prompt Totals'!$N$7:$N$246,MATCH($A83,'Prompt Totals'!$A$7:$A$246,0))</x:f>
        <x:v>7</x:v>
      </x:c>
      <x:c r="Y83" s="19" t="n">
        <x:f>G83-H83</x:f>
        <x:v>-3.44</x:v>
      </x:c>
      <x:c r="Z83" s="30" t="n">
        <x:f>Y83*'Solution'!$C$5</x:f>
        <x:v>-172</x:v>
      </x:c>
      <x:c r="AA83" s="22" t="n">
        <x:f>Z83-U83</x:f>
        <x:v>-182.9179</x:v>
      </x:c>
    </x:row>
    <x:row r="84" ht="23" customHeight="1">
      <x:c r="A84" s="17" t="str">
        <x:v>W0078</x:v>
      </x:c>
      <x:c r="B84" s="18" t="n">
        <x:v>46295</x:v>
      </x:c>
      <x:c r="C84" s="17" t="str">
        <x:v>C002</x:v>
      </x:c>
      <x:c r="D84" s="17" t="str">
        <x:v>Creative</x:v>
      </x:c>
      <x:c r="E84" s="17" t="str">
        <x:v>Riley Chen</x:v>
      </x:c>
      <x:c r="F84" s="17" t="str">
        <x:v>Plan visual narrative</x:v>
      </x:c>
      <x:c r="G84" s="20" t="n">
        <x:v>3.17</x:v>
      </x:c>
      <x:c r="H84" s="20" t="n">
        <x:v>4.49</x:v>
      </x:c>
      <x:c r="I84" s="20" t="n">
        <x:v>1.05</x:v>
      </x:c>
      <x:c r="J84" s="17" t="str">
        <x:v>Unclear prompt</x:v>
      </x:c>
      <x:c r="K84" s="17" t="str">
        <x:v>No</x:v>
      </x:c>
      <x:c r="L84" s="17" t="str">
        <x:v>Yes</x:v>
      </x:c>
      <x:c r="M84" s="29" t="str">
        <x:f>INDEX('Prompt Totals'!$C$7:$C$246,MATCH($A84,'Prompt Totals'!$A$7:$A$246,0))</x:f>
        <x:v>CampaignChat</x:v>
      </x:c>
      <x:c r="N84" s="29" t="str">
        <x:f>INDEX('Prompt Totals'!$D$7:$D$246,MATCH($A84,'Prompt Totals'!$A$7:$A$246,0))</x:f>
        <x:v>Lite</x:v>
      </x:c>
      <x:c r="O84" s="29" t="n">
        <x:f>INDEX('Prompt Totals'!$E$7:$E$246,MATCH($A84,'Prompt Totals'!$A$7:$A$246,0))</x:f>
        <x:v>583031</x:v>
      </x:c>
      <x:c r="P84" s="29" t="n">
        <x:f>INDEX('Prompt Totals'!$F$7:$F$246,MATCH($A84,'Prompt Totals'!$A$7:$A$246,0))</x:f>
        <x:v>127379</x:v>
      </x:c>
      <x:c r="Q84" s="29" t="n">
        <x:f>INDEX('Prompt Totals'!$G$7:$G$246,MATCH($A84,'Prompt Totals'!$A$7:$A$246,0))</x:f>
        <x:v>710410</x:v>
      </x:c>
      <x:c r="R84" s="29" t="n">
        <x:f>INDEX('Prompt Totals'!$H$7:$H$246,MATCH($A84,'Prompt Totals'!$A$7:$A$246,0))</x:f>
        <x:v>20</x:v>
      </x:c>
      <x:c r="S84" s="30" t="n">
        <x:f>INDEX('Prompt Totals'!$I$7:$I$246,MATCH($A84,'Prompt Totals'!$A$7:$A$246,0))</x:f>
        <x:v>5.83031</x:v>
      </x:c>
      <x:c r="T84" s="30" t="n">
        <x:f>INDEX('Prompt Totals'!$J$7:$J$246,MATCH($A84,'Prompt Totals'!$A$7:$A$246,0))</x:f>
        <x:v>3.82137</x:v>
      </x:c>
      <x:c r="U84" s="30" t="n">
        <x:f>INDEX('Prompt Totals'!$K$7:$K$246,MATCH($A84,'Prompt Totals'!$A$7:$A$246,0))</x:f>
        <x:v>9.65168</x:v>
      </x:c>
      <x:c r="V84" s="29" t="n">
        <x:f>INDEX('Prompt Totals'!$L$7:$L$246,MATCH($A84,'Prompt Totals'!$A$7:$A$246,0))</x:f>
        <x:v>1</x:v>
      </x:c>
      <x:c r="W84" s="29" t="n">
        <x:f>INDEX('Prompt Totals'!$M$7:$M$246,MATCH($A84,'Prompt Totals'!$A$7:$A$246,0))</x:f>
        <x:v>13</x:v>
      </x:c>
      <x:c r="X84" s="29" t="n">
        <x:f>INDEX('Prompt Totals'!$N$7:$N$246,MATCH($A84,'Prompt Totals'!$A$7:$A$246,0))</x:f>
        <x:v>6</x:v>
      </x:c>
      <x:c r="Y84" s="19" t="n">
        <x:f>G84-H84</x:f>
        <x:v>-1.3200000000000003</x:v>
      </x:c>
      <x:c r="Z84" s="30" t="n">
        <x:f>Y84*'Solution'!$C$5</x:f>
        <x:v>-66.00000000000001</x:v>
      </x:c>
      <x:c r="AA84" s="22" t="n">
        <x:f>Z84-U84</x:f>
        <x:v>-75.65168000000001</x:v>
      </x:c>
    </x:row>
    <x:row r="85" ht="23" customHeight="1">
      <x:c r="A85" s="17" t="str">
        <x:v>W0079</x:v>
      </x:c>
      <x:c r="B85" s="18" t="n">
        <x:v>46280</x:v>
      </x:c>
      <x:c r="C85" s="17" t="str">
        <x:v>C002</x:v>
      </x:c>
      <x:c r="D85" s="17" t="str">
        <x:v>Creative</x:v>
      </x:c>
      <x:c r="E85" s="17" t="str">
        <x:v>Taylor Brooks</x:v>
      </x:c>
      <x:c r="F85" s="17" t="str">
        <x:v>Develop concept brief</x:v>
      </x:c>
      <x:c r="G85" s="20" t="n">
        <x:v>4.43</x:v>
      </x:c>
      <x:c r="H85" s="20" t="n">
        <x:v>6.82</x:v>
      </x:c>
      <x:c r="I85" s="20" t="n">
        <x:v>3.24</x:v>
      </x:c>
      <x:c r="J85" s="17" t="str">
        <x:v>Unclear prompt</x:v>
      </x:c>
      <x:c r="K85" s="17" t="str">
        <x:v>No</x:v>
      </x:c>
      <x:c r="L85" s="17" t="str">
        <x:v>No</x:v>
      </x:c>
      <x:c r="M85" s="29" t="str">
        <x:f>INDEX('Prompt Totals'!$C$7:$C$246,MATCH($A85,'Prompt Totals'!$A$7:$A$246,0))</x:f>
        <x:v>CampaignChat</x:v>
      </x:c>
      <x:c r="N85" s="29" t="str">
        <x:f>INDEX('Prompt Totals'!$D$7:$D$246,MATCH($A85,'Prompt Totals'!$A$7:$A$246,0))</x:f>
        <x:v>Pro</x:v>
      </x:c>
      <x:c r="O85" s="29" t="n">
        <x:f>INDEX('Prompt Totals'!$E$7:$E$246,MATCH($A85,'Prompt Totals'!$A$7:$A$246,0))</x:f>
        <x:v>335611</x:v>
      </x:c>
      <x:c r="P85" s="29" t="n">
        <x:f>INDEX('Prompt Totals'!$F$7:$F$246,MATCH($A85,'Prompt Totals'!$A$7:$A$246,0))</x:f>
        <x:v>292135</x:v>
      </x:c>
      <x:c r="Q85" s="29" t="n">
        <x:f>INDEX('Prompt Totals'!$G$7:$G$246,MATCH($A85,'Prompt Totals'!$A$7:$A$246,0))</x:f>
        <x:v>627746</x:v>
      </x:c>
      <x:c r="R85" s="29" t="n">
        <x:f>INDEX('Prompt Totals'!$H$7:$H$246,MATCH($A85,'Prompt Totals'!$A$7:$A$246,0))</x:f>
        <x:v>27</x:v>
      </x:c>
      <x:c r="S85" s="30" t="n">
        <x:f>INDEX('Prompt Totals'!$I$7:$I$246,MATCH($A85,'Prompt Totals'!$A$7:$A$246,0))</x:f>
        <x:v>13.424439999999999</x:v>
      </x:c>
      <x:c r="T85" s="30" t="n">
        <x:f>INDEX('Prompt Totals'!$J$7:$J$246,MATCH($A85,'Prompt Totals'!$A$7:$A$246,0))</x:f>
        <x:v>29.213499999999993</x:v>
      </x:c>
      <x:c r="U85" s="30" t="n">
        <x:f>INDEX('Prompt Totals'!$K$7:$K$246,MATCH($A85,'Prompt Totals'!$A$7:$A$246,0))</x:f>
        <x:v>42.63794</x:v>
      </x:c>
      <x:c r="V85" s="29" t="n">
        <x:f>INDEX('Prompt Totals'!$L$7:$L$246,MATCH($A85,'Prompt Totals'!$A$7:$A$246,0))</x:f>
        <x:v>1</x:v>
      </x:c>
      <x:c r="W85" s="29" t="n">
        <x:f>INDEX('Prompt Totals'!$M$7:$M$246,MATCH($A85,'Prompt Totals'!$A$7:$A$246,0))</x:f>
        <x:v>15</x:v>
      </x:c>
      <x:c r="X85" s="29" t="n">
        <x:f>INDEX('Prompt Totals'!$N$7:$N$246,MATCH($A85,'Prompt Totals'!$A$7:$A$246,0))</x:f>
        <x:v>11</x:v>
      </x:c>
      <x:c r="Y85" s="19" t="n">
        <x:f>G85-H85</x:f>
        <x:v>-2.3900000000000006</x:v>
      </x:c>
      <x:c r="Z85" s="30" t="n">
        <x:f>Y85*'Solution'!$C$5</x:f>
        <x:v>-119.50000000000003</x:v>
      </x:c>
      <x:c r="AA85" s="22" t="n">
        <x:f>Z85-U85</x:f>
        <x:v>-162.13794000000001</x:v>
      </x:c>
    </x:row>
    <x:row r="86" ht="23" customHeight="1">
      <x:c r="A86" s="17" t="str">
        <x:v>W0080</x:v>
      </x:c>
      <x:c r="B86" s="18" t="n">
        <x:v>46289</x:v>
      </x:c>
      <x:c r="C86" s="17" t="str">
        <x:v>C002</x:v>
      </x:c>
      <x:c r="D86" s="17" t="str">
        <x:v>Marketing Operations</x:v>
      </x:c>
      <x:c r="E86" s="17" t="str">
        <x:v>Casey Rivera</x:v>
      </x:c>
      <x:c r="F86" s="17" t="str">
        <x:v>Clean audience data</x:v>
      </x:c>
      <x:c r="G86" s="20" t="n">
        <x:v>3.35</x:v>
      </x:c>
      <x:c r="H86" s="20" t="n">
        <x:v>4.58</x:v>
      </x:c>
      <x:c r="I86" s="20" t="n">
        <x:v>1.28</x:v>
      </x:c>
      <x:c r="J86" s="17" t="str">
        <x:v>Unclear prompt</x:v>
      </x:c>
      <x:c r="K86" s="17" t="str">
        <x:v>No</x:v>
      </x:c>
      <x:c r="L86" s="17" t="str">
        <x:v>No</x:v>
      </x:c>
      <x:c r="M86" s="29" t="str">
        <x:f>INDEX('Prompt Totals'!$C$7:$C$246,MATCH($A86,'Prompt Totals'!$A$7:$A$246,0))</x:f>
        <x:v>DataFlow</x:v>
      </x:c>
      <x:c r="N86" s="29" t="str">
        <x:f>INDEX('Prompt Totals'!$D$7:$D$246,MATCH($A86,'Prompt Totals'!$A$7:$A$246,0))</x:f>
        <x:v>Pro</x:v>
      </x:c>
      <x:c r="O86" s="29" t="n">
        <x:f>INDEX('Prompt Totals'!$E$7:$E$246,MATCH($A86,'Prompt Totals'!$A$7:$A$246,0))</x:f>
        <x:v>703736</x:v>
      </x:c>
      <x:c r="P86" s="29" t="n">
        <x:f>INDEX('Prompt Totals'!$F$7:$F$246,MATCH($A86,'Prompt Totals'!$A$7:$A$246,0))</x:f>
        <x:v>332836</x:v>
      </x:c>
      <x:c r="Q86" s="29" t="n">
        <x:f>INDEX('Prompt Totals'!$G$7:$G$246,MATCH($A86,'Prompt Totals'!$A$7:$A$246,0))</x:f>
        <x:v>1036572</x:v>
      </x:c>
      <x:c r="R86" s="29" t="n">
        <x:f>INDEX('Prompt Totals'!$H$7:$H$246,MATCH($A86,'Prompt Totals'!$A$7:$A$246,0))</x:f>
        <x:v>26</x:v>
      </x:c>
      <x:c r="S86" s="30" t="n">
        <x:f>INDEX('Prompt Totals'!$I$7:$I$246,MATCH($A86,'Prompt Totals'!$A$7:$A$246,0))</x:f>
        <x:v>28.149440000000002</x:v>
      </x:c>
      <x:c r="T86" s="30" t="n">
        <x:f>INDEX('Prompt Totals'!$J$7:$J$246,MATCH($A86,'Prompt Totals'!$A$7:$A$246,0))</x:f>
        <x:v>33.28360000000001</x:v>
      </x:c>
      <x:c r="U86" s="30" t="n">
        <x:f>INDEX('Prompt Totals'!$K$7:$K$246,MATCH($A86,'Prompt Totals'!$A$7:$A$246,0))</x:f>
        <x:v>61.43303999999998</x:v>
      </x:c>
      <x:c r="V86" s="29" t="n">
        <x:f>INDEX('Prompt Totals'!$L$7:$L$246,MATCH($A86,'Prompt Totals'!$A$7:$A$246,0))</x:f>
        <x:v>1</x:v>
      </x:c>
      <x:c r="W86" s="29" t="n">
        <x:f>INDEX('Prompt Totals'!$M$7:$M$246,MATCH($A86,'Prompt Totals'!$A$7:$A$246,0))</x:f>
        <x:v>14</x:v>
      </x:c>
      <x:c r="X86" s="29" t="n">
        <x:f>INDEX('Prompt Totals'!$N$7:$N$246,MATCH($A86,'Prompt Totals'!$A$7:$A$246,0))</x:f>
        <x:v>11</x:v>
      </x:c>
      <x:c r="Y86" s="19" t="n">
        <x:f>G86-H86</x:f>
        <x:v>-1.23</x:v>
      </x:c>
      <x:c r="Z86" s="30" t="n">
        <x:f>Y86*'Solution'!$C$5</x:f>
        <x:v>-61.5</x:v>
      </x:c>
      <x:c r="AA86" s="22" t="n">
        <x:f>Z86-U86</x:f>
        <x:v>-122.93303999999998</x:v>
      </x:c>
    </x:row>
    <x:row r="87" ht="23" customHeight="1">
      <x:c r="A87" s="17" t="str">
        <x:v>W0081</x:v>
      </x:c>
      <x:c r="B87" s="18" t="n">
        <x:v>46274</x:v>
      </x:c>
      <x:c r="C87" s="17" t="str">
        <x:v>C002</x:v>
      </x:c>
      <x:c r="D87" s="17" t="str">
        <x:v>Marketing Operations</x:v>
      </x:c>
      <x:c r="E87" s="17" t="str">
        <x:v>Morgan Reed</x:v>
      </x:c>
      <x:c r="F87" s="17" t="str">
        <x:v>Prepare launch checklist</x:v>
      </x:c>
      <x:c r="G87" s="20" t="n">
        <x:v>4.11</x:v>
      </x:c>
      <x:c r="H87" s="20" t="n">
        <x:v>5.75</x:v>
      </x:c>
      <x:c r="I87" s="20" t="n">
        <x:v>2.22</x:v>
      </x:c>
      <x:c r="J87" s="17" t="str">
        <x:v>Data problem</x:v>
      </x:c>
      <x:c r="K87" s="17" t="str">
        <x:v>No</x:v>
      </x:c>
      <x:c r="L87" s="17" t="str">
        <x:v>No</x:v>
      </x:c>
      <x:c r="M87" s="29" t="str">
        <x:f>INDEX('Prompt Totals'!$C$7:$C$246,MATCH($A87,'Prompt Totals'!$A$7:$A$246,0))</x:f>
        <x:v>DataFlow</x:v>
      </x:c>
      <x:c r="N87" s="29" t="str">
        <x:f>INDEX('Prompt Totals'!$D$7:$D$246,MATCH($A87,'Prompt Totals'!$A$7:$A$246,0))</x:f>
        <x:v>Pro</x:v>
      </x:c>
      <x:c r="O87" s="29" t="n">
        <x:f>INDEX('Prompt Totals'!$E$7:$E$246,MATCH($A87,'Prompt Totals'!$A$7:$A$246,0))</x:f>
        <x:v>471879</x:v>
      </x:c>
      <x:c r="P87" s="29" t="n">
        <x:f>INDEX('Prompt Totals'!$F$7:$F$246,MATCH($A87,'Prompt Totals'!$A$7:$A$246,0))</x:f>
        <x:v>227069</x:v>
      </x:c>
      <x:c r="Q87" s="29" t="n">
        <x:f>INDEX('Prompt Totals'!$G$7:$G$246,MATCH($A87,'Prompt Totals'!$A$7:$A$246,0))</x:f>
        <x:v>698948</x:v>
      </x:c>
      <x:c r="R87" s="29" t="n">
        <x:f>INDEX('Prompt Totals'!$H$7:$H$246,MATCH($A87,'Prompt Totals'!$A$7:$A$246,0))</x:f>
        <x:v>20</x:v>
      </x:c>
      <x:c r="S87" s="30" t="n">
        <x:f>INDEX('Prompt Totals'!$I$7:$I$246,MATCH($A87,'Prompt Totals'!$A$7:$A$246,0))</x:f>
        <x:v>18.87516</x:v>
      </x:c>
      <x:c r="T87" s="30" t="n">
        <x:f>INDEX('Prompt Totals'!$J$7:$J$246,MATCH($A87,'Prompt Totals'!$A$7:$A$246,0))</x:f>
        <x:v>22.7069</x:v>
      </x:c>
      <x:c r="U87" s="30" t="n">
        <x:f>INDEX('Prompt Totals'!$K$7:$K$246,MATCH($A87,'Prompt Totals'!$A$7:$A$246,0))</x:f>
        <x:v>41.58205999999999</x:v>
      </x:c>
      <x:c r="V87" s="29" t="n">
        <x:f>INDEX('Prompt Totals'!$L$7:$L$246,MATCH($A87,'Prompt Totals'!$A$7:$A$246,0))</x:f>
        <x:v>1</x:v>
      </x:c>
      <x:c r="W87" s="29" t="n">
        <x:f>INDEX('Prompt Totals'!$M$7:$M$246,MATCH($A87,'Prompt Totals'!$A$7:$A$246,0))</x:f>
        <x:v>9</x:v>
      </x:c>
      <x:c r="X87" s="29" t="n">
        <x:f>INDEX('Prompt Totals'!$N$7:$N$246,MATCH($A87,'Prompt Totals'!$A$7:$A$246,0))</x:f>
        <x:v>10</x:v>
      </x:c>
      <x:c r="Y87" s="19" t="n">
        <x:f>G87-H87</x:f>
        <x:v>-1.6399999999999997</x:v>
      </x:c>
      <x:c r="Z87" s="30" t="n">
        <x:f>Y87*'Solution'!$C$5</x:f>
        <x:v>-81.99999999999999</x:v>
      </x:c>
      <x:c r="AA87" s="22" t="n">
        <x:f>Z87-U87</x:f>
        <x:v>-123.58205999999998</x:v>
      </x:c>
    </x:row>
    <x:row r="88" ht="23" customHeight="1">
      <x:c r="A88" s="17" t="str">
        <x:v>W0082</x:v>
      </x:c>
      <x:c r="B88" s="18" t="n">
        <x:v>46283</x:v>
      </x:c>
      <x:c r="C88" s="17" t="str">
        <x:v>C002</x:v>
      </x:c>
      <x:c r="D88" s="17" t="str">
        <x:v>Analytics</x:v>
      </x:c>
      <x:c r="E88" s="17" t="str">
        <x:v>Quinn Parker</x:v>
      </x:c>
      <x:c r="F88" s="17" t="str">
        <x:v>Analyze campaign results</x:v>
      </x:c>
      <x:c r="G88" s="20" t="n">
        <x:v>4.44</x:v>
      </x:c>
      <x:c r="H88" s="20" t="n">
        <x:v>6.94</x:v>
      </x:c>
      <x:c r="I88" s="20" t="n">
        <x:v>3</x:v>
      </x:c>
      <x:c r="J88" s="17" t="str">
        <x:v>Data problem</x:v>
      </x:c>
      <x:c r="K88" s="17" t="str">
        <x:v>No</x:v>
      </x:c>
      <x:c r="L88" s="17" t="str">
        <x:v>No</x:v>
      </x:c>
      <x:c r="M88" s="29" t="str">
        <x:f>INDEX('Prompt Totals'!$C$7:$C$246,MATCH($A88,'Prompt Totals'!$A$7:$A$246,0))</x:f>
        <x:v>InsightDesk</x:v>
      </x:c>
      <x:c r="N88" s="29" t="str">
        <x:f>INDEX('Prompt Totals'!$D$7:$D$246,MATCH($A88,'Prompt Totals'!$A$7:$A$246,0))</x:f>
        <x:v>Pro</x:v>
      </x:c>
      <x:c r="O88" s="29" t="n">
        <x:f>INDEX('Prompt Totals'!$E$7:$E$246,MATCH($A88,'Prompt Totals'!$A$7:$A$246,0))</x:f>
        <x:v>470317</x:v>
      </x:c>
      <x:c r="P88" s="29" t="n">
        <x:f>INDEX('Prompt Totals'!$F$7:$F$246,MATCH($A88,'Prompt Totals'!$A$7:$A$246,0))</x:f>
        <x:v>153135</x:v>
      </x:c>
      <x:c r="Q88" s="29" t="n">
        <x:f>INDEX('Prompt Totals'!$G$7:$G$246,MATCH($A88,'Prompt Totals'!$A$7:$A$246,0))</x:f>
        <x:v>623452</x:v>
      </x:c>
      <x:c r="R88" s="29" t="n">
        <x:f>INDEX('Prompt Totals'!$H$7:$H$246,MATCH($A88,'Prompt Totals'!$A$7:$A$246,0))</x:f>
        <x:v>17</x:v>
      </x:c>
      <x:c r="S88" s="30" t="n">
        <x:f>INDEX('Prompt Totals'!$I$7:$I$246,MATCH($A88,'Prompt Totals'!$A$7:$A$246,0))</x:f>
        <x:v>18.81268</x:v>
      </x:c>
      <x:c r="T88" s="30" t="n">
        <x:f>INDEX('Prompt Totals'!$J$7:$J$246,MATCH($A88,'Prompt Totals'!$A$7:$A$246,0))</x:f>
        <x:v>15.313499999999998</x:v>
      </x:c>
      <x:c r="U88" s="30" t="n">
        <x:f>INDEX('Prompt Totals'!$K$7:$K$246,MATCH($A88,'Prompt Totals'!$A$7:$A$246,0))</x:f>
        <x:v>34.12618</x:v>
      </x:c>
      <x:c r="V88" s="29" t="n">
        <x:f>INDEX('Prompt Totals'!$L$7:$L$246,MATCH($A88,'Prompt Totals'!$A$7:$A$246,0))</x:f>
        <x:v>1</x:v>
      </x:c>
      <x:c r="W88" s="29" t="n">
        <x:f>INDEX('Prompt Totals'!$M$7:$M$246,MATCH($A88,'Prompt Totals'!$A$7:$A$246,0))</x:f>
        <x:v>10</x:v>
      </x:c>
      <x:c r="X88" s="29" t="n">
        <x:f>INDEX('Prompt Totals'!$N$7:$N$246,MATCH($A88,'Prompt Totals'!$A$7:$A$246,0))</x:f>
        <x:v>6</x:v>
      </x:c>
      <x:c r="Y88" s="19" t="n">
        <x:f>G88-H88</x:f>
        <x:v>-2.5</x:v>
      </x:c>
      <x:c r="Z88" s="30" t="n">
        <x:f>Y88*'Solution'!$C$5</x:f>
        <x:v>-125</x:v>
      </x:c>
      <x:c r="AA88" s="22" t="n">
        <x:f>Z88-U88</x:f>
        <x:v>-159.12618</x:v>
      </x:c>
    </x:row>
    <x:row r="89" ht="23" customHeight="1">
      <x:c r="A89" s="17" t="str">
        <x:v>W0083</x:v>
      </x:c>
      <x:c r="B89" s="18" t="n">
        <x:v>46294</x:v>
      </x:c>
      <x:c r="C89" s="17" t="str">
        <x:v>C002</x:v>
      </x:c>
      <x:c r="D89" s="17" t="str">
        <x:v>Analytics</x:v>
      </x:c>
      <x:c r="E89" s="17" t="str">
        <x:v>Jamie Patel</x:v>
      </x:c>
      <x:c r="F89" s="17" t="str">
        <x:v>Summarize audience insights</x:v>
      </x:c>
      <x:c r="G89" s="20" t="n">
        <x:v>3.87</x:v>
      </x:c>
      <x:c r="H89" s="20" t="n">
        <x:v>6.66</x:v>
      </x:c>
      <x:c r="I89" s="20" t="n">
        <x:v>3.04</x:v>
      </x:c>
      <x:c r="J89" s="17" t="str">
        <x:v>Brief changed</x:v>
      </x:c>
      <x:c r="K89" s="17" t="str">
        <x:v>Yes</x:v>
      </x:c>
      <x:c r="L89" s="17" t="str">
        <x:v>No</x:v>
      </x:c>
      <x:c r="M89" s="29" t="str">
        <x:f>INDEX('Prompt Totals'!$C$7:$C$246,MATCH($A89,'Prompt Totals'!$A$7:$A$246,0))</x:f>
        <x:v>InsightDesk</x:v>
      </x:c>
      <x:c r="N89" s="29" t="str">
        <x:f>INDEX('Prompt Totals'!$D$7:$D$246,MATCH($A89,'Prompt Totals'!$A$7:$A$246,0))</x:f>
        <x:v>Lite</x:v>
      </x:c>
      <x:c r="O89" s="29" t="n">
        <x:f>INDEX('Prompt Totals'!$E$7:$E$246,MATCH($A89,'Prompt Totals'!$A$7:$A$246,0))</x:f>
        <x:v>643979</x:v>
      </x:c>
      <x:c r="P89" s="29" t="n">
        <x:f>INDEX('Prompt Totals'!$F$7:$F$246,MATCH($A89,'Prompt Totals'!$A$7:$A$246,0))</x:f>
        <x:v>118711</x:v>
      </x:c>
      <x:c r="Q89" s="29" t="n">
        <x:f>INDEX('Prompt Totals'!$G$7:$G$246,MATCH($A89,'Prompt Totals'!$A$7:$A$246,0))</x:f>
        <x:v>762690</x:v>
      </x:c>
      <x:c r="R89" s="29" t="n">
        <x:f>INDEX('Prompt Totals'!$H$7:$H$246,MATCH($A89,'Prompt Totals'!$A$7:$A$246,0))</x:f>
        <x:v>21</x:v>
      </x:c>
      <x:c r="S89" s="30" t="n">
        <x:f>INDEX('Prompt Totals'!$I$7:$I$246,MATCH($A89,'Prompt Totals'!$A$7:$A$246,0))</x:f>
        <x:v>6.439789999999999</x:v>
      </x:c>
      <x:c r="T89" s="30" t="n">
        <x:f>INDEX('Prompt Totals'!$J$7:$J$246,MATCH($A89,'Prompt Totals'!$A$7:$A$246,0))</x:f>
        <x:v>3.5613300000000008</x:v>
      </x:c>
      <x:c r="U89" s="30" t="n">
        <x:f>INDEX('Prompt Totals'!$K$7:$K$246,MATCH($A89,'Prompt Totals'!$A$7:$A$246,0))</x:f>
        <x:v>10.001120000000002</x:v>
      </x:c>
      <x:c r="V89" s="29" t="n">
        <x:f>INDEX('Prompt Totals'!$L$7:$L$246,MATCH($A89,'Prompt Totals'!$A$7:$A$246,0))</x:f>
        <x:v>1</x:v>
      </x:c>
      <x:c r="W89" s="29" t="n">
        <x:f>INDEX('Prompt Totals'!$M$7:$M$246,MATCH($A89,'Prompt Totals'!$A$7:$A$246,0))</x:f>
        <x:v>11</x:v>
      </x:c>
      <x:c r="X89" s="29" t="n">
        <x:f>INDEX('Prompt Totals'!$N$7:$N$246,MATCH($A89,'Prompt Totals'!$A$7:$A$246,0))</x:f>
        <x:v>9</x:v>
      </x:c>
      <x:c r="Y89" s="19" t="n">
        <x:f>G89-H89</x:f>
        <x:v>-2.79</x:v>
      </x:c>
      <x:c r="Z89" s="30" t="n">
        <x:f>Y89*'Solution'!$C$5</x:f>
        <x:v>-139.5</x:v>
      </x:c>
      <x:c r="AA89" s="22" t="n">
        <x:f>Z89-U89</x:f>
        <x:v>-149.50112000000001</x:v>
      </x:c>
    </x:row>
    <x:row r="90" ht="23" customHeight="1">
      <x:c r="A90" s="17" t="str">
        <x:v>W0084</x:v>
      </x:c>
      <x:c r="B90" s="18" t="n">
        <x:v>46279</x:v>
      </x:c>
      <x:c r="C90" s="17" t="str">
        <x:v>C002</x:v>
      </x:c>
      <x:c r="D90" s="17" t="str">
        <x:v>Content</x:v>
      </x:c>
      <x:c r="E90" s="17" t="str">
        <x:v>Avery Morgan</x:v>
      </x:c>
      <x:c r="F90" s="17" t="str">
        <x:v>Edit landing page</x:v>
      </x:c>
      <x:c r="G90" s="20" t="n">
        <x:v>4.43</x:v>
      </x:c>
      <x:c r="H90" s="20" t="n">
        <x:v>6.43</x:v>
      </x:c>
      <x:c r="I90" s="20" t="n">
        <x:v>1.42</x:v>
      </x:c>
      <x:c r="J90" s="17" t="str">
        <x:v>None</x:v>
      </x:c>
      <x:c r="K90" s="17" t="str">
        <x:v>No</x:v>
      </x:c>
      <x:c r="L90" s="17" t="str">
        <x:v>No</x:v>
      </x:c>
      <x:c r="M90" s="29" t="str">
        <x:f>INDEX('Prompt Totals'!$C$7:$C$246,MATCH($A90,'Prompt Totals'!$A$7:$A$246,0))</x:f>
        <x:v>CopyStudio</x:v>
      </x:c>
      <x:c r="N90" s="29" t="str">
        <x:f>INDEX('Prompt Totals'!$D$7:$D$246,MATCH($A90,'Prompt Totals'!$A$7:$A$246,0))</x:f>
        <x:v>Lite</x:v>
      </x:c>
      <x:c r="O90" s="29" t="n">
        <x:f>INDEX('Prompt Totals'!$E$7:$E$246,MATCH($A90,'Prompt Totals'!$A$7:$A$246,0))</x:f>
        <x:v>668726</x:v>
      </x:c>
      <x:c r="P90" s="29" t="n">
        <x:f>INDEX('Prompt Totals'!$F$7:$F$246,MATCH($A90,'Prompt Totals'!$A$7:$A$246,0))</x:f>
        <x:v>182013</x:v>
      </x:c>
      <x:c r="Q90" s="29" t="n">
        <x:f>INDEX('Prompt Totals'!$G$7:$G$246,MATCH($A90,'Prompt Totals'!$A$7:$A$246,0))</x:f>
        <x:v>850739</x:v>
      </x:c>
      <x:c r="R90" s="29" t="n">
        <x:f>INDEX('Prompt Totals'!$H$7:$H$246,MATCH($A90,'Prompt Totals'!$A$7:$A$246,0))</x:f>
        <x:v>24</x:v>
      </x:c>
      <x:c r="S90" s="30" t="n">
        <x:f>INDEX('Prompt Totals'!$I$7:$I$246,MATCH($A90,'Prompt Totals'!$A$7:$A$246,0))</x:f>
        <x:v>6.687259999999999</x:v>
      </x:c>
      <x:c r="T90" s="30" t="n">
        <x:f>INDEX('Prompt Totals'!$J$7:$J$246,MATCH($A90,'Prompt Totals'!$A$7:$A$246,0))</x:f>
        <x:v>5.460390000000001</x:v>
      </x:c>
      <x:c r="U90" s="30" t="n">
        <x:f>INDEX('Prompt Totals'!$K$7:$K$246,MATCH($A90,'Prompt Totals'!$A$7:$A$246,0))</x:f>
        <x:v>12.147649999999999</x:v>
      </x:c>
      <x:c r="V90" s="29" t="n">
        <x:f>INDEX('Prompt Totals'!$L$7:$L$246,MATCH($A90,'Prompt Totals'!$A$7:$A$246,0))</x:f>
        <x:v>1</x:v>
      </x:c>
      <x:c r="W90" s="29" t="n">
        <x:f>INDEX('Prompt Totals'!$M$7:$M$246,MATCH($A90,'Prompt Totals'!$A$7:$A$246,0))</x:f>
        <x:v>17</x:v>
      </x:c>
      <x:c r="X90" s="29" t="n">
        <x:f>INDEX('Prompt Totals'!$N$7:$N$246,MATCH($A90,'Prompt Totals'!$A$7:$A$246,0))</x:f>
        <x:v>6</x:v>
      </x:c>
      <x:c r="Y90" s="19" t="n">
        <x:f>G90-H90</x:f>
        <x:v>-2</x:v>
      </x:c>
      <x:c r="Z90" s="30" t="n">
        <x:f>Y90*'Solution'!$C$5</x:f>
        <x:v>-100</x:v>
      </x:c>
      <x:c r="AA90" s="22" t="n">
        <x:f>Z90-U90</x:f>
        <x:v>-112.14765</x:v>
      </x:c>
    </x:row>
    <x:row r="91" ht="23" customHeight="1">
      <x:c r="A91" s="17" t="str">
        <x:v>W0085</x:v>
      </x:c>
      <x:c r="B91" s="18" t="n">
        <x:v>46288</x:v>
      </x:c>
      <x:c r="C91" s="17" t="str">
        <x:v>C002</x:v>
      </x:c>
      <x:c r="D91" s="17" t="str">
        <x:v>Content</x:v>
      </x:c>
      <x:c r="E91" s="17" t="str">
        <x:v>Jordan Ellis</x:v>
      </x:c>
      <x:c r="F91" s="17" t="str">
        <x:v>Write ad copy</x:v>
      </x:c>
      <x:c r="G91" s="20" t="n">
        <x:v>2.32</x:v>
      </x:c>
      <x:c r="H91" s="20" t="n">
        <x:v>4.27</x:v>
      </x:c>
      <x:c r="I91" s="20" t="n">
        <x:v>1.11</x:v>
      </x:c>
      <x:c r="J91" s="17" t="str">
        <x:v>Brief changed</x:v>
      </x:c>
      <x:c r="K91" s="17" t="str">
        <x:v>Yes</x:v>
      </x:c>
      <x:c r="L91" s="17" t="str">
        <x:v>Yes</x:v>
      </x:c>
      <x:c r="M91" s="29" t="str">
        <x:f>INDEX('Prompt Totals'!$C$7:$C$246,MATCH($A91,'Prompt Totals'!$A$7:$A$246,0))</x:f>
        <x:v>CopyStudio</x:v>
      </x:c>
      <x:c r="N91" s="29" t="str">
        <x:f>INDEX('Prompt Totals'!$D$7:$D$246,MATCH($A91,'Prompt Totals'!$A$7:$A$246,0))</x:f>
        <x:v>Pro</x:v>
      </x:c>
      <x:c r="O91" s="29" t="n">
        <x:f>INDEX('Prompt Totals'!$E$7:$E$246,MATCH($A91,'Prompt Totals'!$A$7:$A$246,0))</x:f>
        <x:v>388503</x:v>
      </x:c>
      <x:c r="P91" s="29" t="n">
        <x:f>INDEX('Prompt Totals'!$F$7:$F$246,MATCH($A91,'Prompt Totals'!$A$7:$A$246,0))</x:f>
        <x:v>124702</x:v>
      </x:c>
      <x:c r="Q91" s="29" t="n">
        <x:f>INDEX('Prompt Totals'!$G$7:$G$246,MATCH($A91,'Prompt Totals'!$A$7:$A$246,0))</x:f>
        <x:v>513205</x:v>
      </x:c>
      <x:c r="R91" s="29" t="n">
        <x:f>INDEX('Prompt Totals'!$H$7:$H$246,MATCH($A91,'Prompt Totals'!$A$7:$A$246,0))</x:f>
        <x:v>18</x:v>
      </x:c>
      <x:c r="S91" s="30" t="n">
        <x:f>INDEX('Prompt Totals'!$I$7:$I$246,MATCH($A91,'Prompt Totals'!$A$7:$A$246,0))</x:f>
        <x:v>15.54012</x:v>
      </x:c>
      <x:c r="T91" s="30" t="n">
        <x:f>INDEX('Prompt Totals'!$J$7:$J$246,MATCH($A91,'Prompt Totals'!$A$7:$A$246,0))</x:f>
        <x:v>12.470200000000002</x:v>
      </x:c>
      <x:c r="U91" s="30" t="n">
        <x:f>INDEX('Prompt Totals'!$K$7:$K$246,MATCH($A91,'Prompt Totals'!$A$7:$A$246,0))</x:f>
        <x:v>28.01032</x:v>
      </x:c>
      <x:c r="V91" s="29" t="n">
        <x:f>INDEX('Prompt Totals'!$L$7:$L$246,MATCH($A91,'Prompt Totals'!$A$7:$A$246,0))</x:f>
        <x:v>1</x:v>
      </x:c>
      <x:c r="W91" s="29" t="n">
        <x:f>INDEX('Prompt Totals'!$M$7:$M$246,MATCH($A91,'Prompt Totals'!$A$7:$A$246,0))</x:f>
        <x:v>10</x:v>
      </x:c>
      <x:c r="X91" s="29" t="n">
        <x:f>INDEX('Prompt Totals'!$N$7:$N$246,MATCH($A91,'Prompt Totals'!$A$7:$A$246,0))</x:f>
        <x:v>7</x:v>
      </x:c>
      <x:c r="Y91" s="19" t="n">
        <x:f>G91-H91</x:f>
        <x:v>-1.9499999999999997</x:v>
      </x:c>
      <x:c r="Z91" s="30" t="n">
        <x:f>Y91*'Solution'!$C$5</x:f>
        <x:v>-97.49999999999999</x:v>
      </x:c>
      <x:c r="AA91" s="22" t="n">
        <x:f>Z91-U91</x:f>
        <x:v>-125.51031999999998</x:v>
      </x:c>
    </x:row>
    <x:row r="92" ht="23" customHeight="1">
      <x:c r="A92" s="17" t="str">
        <x:v>W0086</x:v>
      </x:c>
      <x:c r="B92" s="18" t="n">
        <x:v>46273</x:v>
      </x:c>
      <x:c r="C92" s="17" t="str">
        <x:v>C002</x:v>
      </x:c>
      <x:c r="D92" s="17" t="str">
        <x:v>Creative</x:v>
      </x:c>
      <x:c r="E92" s="17" t="str">
        <x:v>Riley Chen</x:v>
      </x:c>
      <x:c r="F92" s="17" t="str">
        <x:v>Review creative variants</x:v>
      </x:c>
      <x:c r="G92" s="20" t="n">
        <x:v>2.33</x:v>
      </x:c>
      <x:c r="H92" s="20" t="n">
        <x:v>2.73</x:v>
      </x:c>
      <x:c r="I92" s="20" t="n">
        <x:v>1.07</x:v>
      </x:c>
      <x:c r="J92" s="17" t="str">
        <x:v>Unclear prompt</x:v>
      </x:c>
      <x:c r="K92" s="17" t="str">
        <x:v>No</x:v>
      </x:c>
      <x:c r="L92" s="17" t="str">
        <x:v>No</x:v>
      </x:c>
      <x:c r="M92" s="29" t="str">
        <x:f>INDEX('Prompt Totals'!$C$7:$C$246,MATCH($A92,'Prompt Totals'!$A$7:$A$246,0))</x:f>
        <x:v>CampaignChat</x:v>
      </x:c>
      <x:c r="N92" s="29" t="str">
        <x:f>INDEX('Prompt Totals'!$D$7:$D$246,MATCH($A92,'Prompt Totals'!$A$7:$A$246,0))</x:f>
        <x:v>Pro</x:v>
      </x:c>
      <x:c r="O92" s="29" t="n">
        <x:f>INDEX('Prompt Totals'!$E$7:$E$246,MATCH($A92,'Prompt Totals'!$A$7:$A$246,0))</x:f>
        <x:v>552607</x:v>
      </x:c>
      <x:c r="P92" s="29" t="n">
        <x:f>INDEX('Prompt Totals'!$F$7:$F$246,MATCH($A92,'Prompt Totals'!$A$7:$A$246,0))</x:f>
        <x:v>169553</x:v>
      </x:c>
      <x:c r="Q92" s="29" t="n">
        <x:f>INDEX('Prompt Totals'!$G$7:$G$246,MATCH($A92,'Prompt Totals'!$A$7:$A$246,0))</x:f>
        <x:v>722160</x:v>
      </x:c>
      <x:c r="R92" s="29" t="n">
        <x:f>INDEX('Prompt Totals'!$H$7:$H$246,MATCH($A92,'Prompt Totals'!$A$7:$A$246,0))</x:f>
        <x:v>20</x:v>
      </x:c>
      <x:c r="S92" s="30" t="n">
        <x:f>INDEX('Prompt Totals'!$I$7:$I$246,MATCH($A92,'Prompt Totals'!$A$7:$A$246,0))</x:f>
        <x:v>22.104280000000003</x:v>
      </x:c>
      <x:c r="T92" s="30" t="n">
        <x:f>INDEX('Prompt Totals'!$J$7:$J$246,MATCH($A92,'Prompt Totals'!$A$7:$A$246,0))</x:f>
        <x:v>16.9553</x:v>
      </x:c>
      <x:c r="U92" s="30" t="n">
        <x:f>INDEX('Prompt Totals'!$K$7:$K$246,MATCH($A92,'Prompt Totals'!$A$7:$A$246,0))</x:f>
        <x:v>39.059580000000004</x:v>
      </x:c>
      <x:c r="V92" s="29" t="n">
        <x:f>INDEX('Prompt Totals'!$L$7:$L$246,MATCH($A92,'Prompt Totals'!$A$7:$A$246,0))</x:f>
        <x:v>1</x:v>
      </x:c>
      <x:c r="W92" s="29" t="n">
        <x:f>INDEX('Prompt Totals'!$M$7:$M$246,MATCH($A92,'Prompt Totals'!$A$7:$A$246,0))</x:f>
        <x:v>13</x:v>
      </x:c>
      <x:c r="X92" s="29" t="n">
        <x:f>INDEX('Prompt Totals'!$N$7:$N$246,MATCH($A92,'Prompt Totals'!$A$7:$A$246,0))</x:f>
        <x:v>6</x:v>
      </x:c>
      <x:c r="Y92" s="19" t="n">
        <x:f>G92-H92</x:f>
        <x:v>-0.3999999999999999</x:v>
      </x:c>
      <x:c r="Z92" s="30" t="n">
        <x:f>Y92*'Solution'!$C$5</x:f>
        <x:v>-19.999999999999996</x:v>
      </x:c>
      <x:c r="AA92" s="22" t="n">
        <x:f>Z92-U92</x:f>
        <x:v>-59.05958</x:v>
      </x:c>
    </x:row>
    <x:row r="93" ht="23" customHeight="1">
      <x:c r="A93" s="17" t="str">
        <x:v>W0087</x:v>
      </x:c>
      <x:c r="B93" s="18" t="n">
        <x:v>46282</x:v>
      </x:c>
      <x:c r="C93" s="17" t="str">
        <x:v>C002</x:v>
      </x:c>
      <x:c r="D93" s="17" t="str">
        <x:v>Creative</x:v>
      </x:c>
      <x:c r="E93" s="17" t="str">
        <x:v>Taylor Brooks</x:v>
      </x:c>
      <x:c r="F93" s="17" t="str">
        <x:v>Plan visual narrative</x:v>
      </x:c>
      <x:c r="G93" s="20" t="n">
        <x:v>3.71</x:v>
      </x:c>
      <x:c r="H93" s="20" t="n">
        <x:v>5.93</x:v>
      </x:c>
      <x:c r="I93" s="20" t="n">
        <x:v>0.76</x:v>
      </x:c>
      <x:c r="J93" s="17" t="str">
        <x:v>None</x:v>
      </x:c>
      <x:c r="K93" s="17" t="str">
        <x:v>No</x:v>
      </x:c>
      <x:c r="L93" s="17" t="str">
        <x:v>Yes</x:v>
      </x:c>
      <x:c r="M93" s="29" t="str">
        <x:f>INDEX('Prompt Totals'!$C$7:$C$246,MATCH($A93,'Prompt Totals'!$A$7:$A$246,0))</x:f>
        <x:v>CampaignChat</x:v>
      </x:c>
      <x:c r="N93" s="29" t="str">
        <x:f>INDEX('Prompt Totals'!$D$7:$D$246,MATCH($A93,'Prompt Totals'!$A$7:$A$246,0))</x:f>
        <x:v>Pro</x:v>
      </x:c>
      <x:c r="O93" s="29" t="n">
        <x:f>INDEX('Prompt Totals'!$E$7:$E$246,MATCH($A93,'Prompt Totals'!$A$7:$A$246,0))</x:f>
        <x:v>429570</x:v>
      </x:c>
      <x:c r="P93" s="29" t="n">
        <x:f>INDEX('Prompt Totals'!$F$7:$F$246,MATCH($A93,'Prompt Totals'!$A$7:$A$246,0))</x:f>
        <x:v>246288</x:v>
      </x:c>
      <x:c r="Q93" s="29" t="n">
        <x:f>INDEX('Prompt Totals'!$G$7:$G$246,MATCH($A93,'Prompt Totals'!$A$7:$A$246,0))</x:f>
        <x:v>675858</x:v>
      </x:c>
      <x:c r="R93" s="29" t="n">
        <x:f>INDEX('Prompt Totals'!$H$7:$H$246,MATCH($A93,'Prompt Totals'!$A$7:$A$246,0))</x:f>
        <x:v>21</x:v>
      </x:c>
      <x:c r="S93" s="30" t="n">
        <x:f>INDEX('Prompt Totals'!$I$7:$I$246,MATCH($A93,'Prompt Totals'!$A$7:$A$246,0))</x:f>
        <x:v>17.1828</x:v>
      </x:c>
      <x:c r="T93" s="30" t="n">
        <x:f>INDEX('Prompt Totals'!$J$7:$J$246,MATCH($A93,'Prompt Totals'!$A$7:$A$246,0))</x:f>
        <x:v>24.6288</x:v>
      </x:c>
      <x:c r="U93" s="30" t="n">
        <x:f>INDEX('Prompt Totals'!$K$7:$K$246,MATCH($A93,'Prompt Totals'!$A$7:$A$246,0))</x:f>
        <x:v>41.8116</x:v>
      </x:c>
      <x:c r="V93" s="29" t="n">
        <x:f>INDEX('Prompt Totals'!$L$7:$L$246,MATCH($A93,'Prompt Totals'!$A$7:$A$246,0))</x:f>
        <x:v>1</x:v>
      </x:c>
      <x:c r="W93" s="29" t="n">
        <x:f>INDEX('Prompt Totals'!$M$7:$M$246,MATCH($A93,'Prompt Totals'!$A$7:$A$246,0))</x:f>
        <x:v>12</x:v>
      </x:c>
      <x:c r="X93" s="29" t="n">
        <x:f>INDEX('Prompt Totals'!$N$7:$N$246,MATCH($A93,'Prompt Totals'!$A$7:$A$246,0))</x:f>
        <x:v>8</x:v>
      </x:c>
      <x:c r="Y93" s="19" t="n">
        <x:f>G93-H93</x:f>
        <x:v>-2.2199999999999998</x:v>
      </x:c>
      <x:c r="Z93" s="30" t="n">
        <x:f>Y93*'Solution'!$C$5</x:f>
        <x:v>-110.99999999999999</x:v>
      </x:c>
      <x:c r="AA93" s="22" t="n">
        <x:f>Z93-U93</x:f>
        <x:v>-152.8116</x:v>
      </x:c>
    </x:row>
    <x:row r="94" ht="23" customHeight="1">
      <x:c r="A94" s="17" t="str">
        <x:v>W0088</x:v>
      </x:c>
      <x:c r="B94" s="18" t="n">
        <x:v>46293</x:v>
      </x:c>
      <x:c r="C94" s="17" t="str">
        <x:v>C002</x:v>
      </x:c>
      <x:c r="D94" s="17" t="str">
        <x:v>Marketing Operations</x:v>
      </x:c>
      <x:c r="E94" s="17" t="str">
        <x:v>Casey Rivera</x:v>
      </x:c>
      <x:c r="F94" s="17" t="str">
        <x:v>Build campaign plan</x:v>
      </x:c>
      <x:c r="G94" s="20" t="n">
        <x:v>3.08</x:v>
      </x:c>
      <x:c r="H94" s="20" t="n">
        <x:v>3.79</x:v>
      </x:c>
      <x:c r="I94" s="20" t="n">
        <x:v>0.82</x:v>
      </x:c>
      <x:c r="J94" s="17" t="str">
        <x:v>Brief changed</x:v>
      </x:c>
      <x:c r="K94" s="17" t="str">
        <x:v>Yes</x:v>
      </x:c>
      <x:c r="L94" s="17" t="str">
        <x:v>No</x:v>
      </x:c>
      <x:c r="M94" s="29" t="str">
        <x:f>INDEX('Prompt Totals'!$C$7:$C$246,MATCH($A94,'Prompt Totals'!$A$7:$A$246,0))</x:f>
        <x:v>DataFlow</x:v>
      </x:c>
      <x:c r="N94" s="29" t="str">
        <x:f>INDEX('Prompt Totals'!$D$7:$D$246,MATCH($A94,'Prompt Totals'!$A$7:$A$246,0))</x:f>
        <x:v>Lite</x:v>
      </x:c>
      <x:c r="O94" s="29" t="n">
        <x:f>INDEX('Prompt Totals'!$E$7:$E$246,MATCH($A94,'Prompt Totals'!$A$7:$A$246,0))</x:f>
        <x:v>789163</x:v>
      </x:c>
      <x:c r="P94" s="29" t="n">
        <x:f>INDEX('Prompt Totals'!$F$7:$F$246,MATCH($A94,'Prompt Totals'!$A$7:$A$246,0))</x:f>
        <x:v>110858</x:v>
      </x:c>
      <x:c r="Q94" s="29" t="n">
        <x:f>INDEX('Prompt Totals'!$G$7:$G$246,MATCH($A94,'Prompt Totals'!$A$7:$A$246,0))</x:f>
        <x:v>900021</x:v>
      </x:c>
      <x:c r="R94" s="29" t="n">
        <x:f>INDEX('Prompt Totals'!$H$7:$H$246,MATCH($A94,'Prompt Totals'!$A$7:$A$246,0))</x:f>
        <x:v>27</x:v>
      </x:c>
      <x:c r="S94" s="30" t="n">
        <x:f>INDEX('Prompt Totals'!$I$7:$I$246,MATCH($A94,'Prompt Totals'!$A$7:$A$246,0))</x:f>
        <x:v>7.891630000000002</x:v>
      </x:c>
      <x:c r="T94" s="30" t="n">
        <x:f>INDEX('Prompt Totals'!$J$7:$J$246,MATCH($A94,'Prompt Totals'!$A$7:$A$246,0))</x:f>
        <x:v>3.32574</x:v>
      </x:c>
      <x:c r="U94" s="30" t="n">
        <x:f>INDEX('Prompt Totals'!$K$7:$K$246,MATCH($A94,'Prompt Totals'!$A$7:$A$246,0))</x:f>
        <x:v>11.21737</x:v>
      </x:c>
      <x:c r="V94" s="29" t="n">
        <x:f>INDEX('Prompt Totals'!$L$7:$L$246,MATCH($A94,'Prompt Totals'!$A$7:$A$246,0))</x:f>
        <x:v>1</x:v>
      </x:c>
      <x:c r="W94" s="29" t="n">
        <x:f>INDEX('Prompt Totals'!$M$7:$M$246,MATCH($A94,'Prompt Totals'!$A$7:$A$246,0))</x:f>
        <x:v>14</x:v>
      </x:c>
      <x:c r="X94" s="29" t="n">
        <x:f>INDEX('Prompt Totals'!$N$7:$N$246,MATCH($A94,'Prompt Totals'!$A$7:$A$246,0))</x:f>
        <x:v>12</x:v>
      </x:c>
      <x:c r="Y94" s="19" t="n">
        <x:f>G94-H94</x:f>
        <x:v>-0.71</x:v>
      </x:c>
      <x:c r="Z94" s="30" t="n">
        <x:f>Y94*'Solution'!$C$5</x:f>
        <x:v>-35.5</x:v>
      </x:c>
      <x:c r="AA94" s="22" t="n">
        <x:f>Z94-U94</x:f>
        <x:v>-46.71737</x:v>
      </x:c>
    </x:row>
    <x:row r="95" ht="23" customHeight="1">
      <x:c r="A95" s="17" t="str">
        <x:v>W0089</x:v>
      </x:c>
      <x:c r="B95" s="18" t="n">
        <x:v>46276</x:v>
      </x:c>
      <x:c r="C95" s="17" t="str">
        <x:v>C002</x:v>
      </x:c>
      <x:c r="D95" s="17" t="str">
        <x:v>Marketing Operations</x:v>
      </x:c>
      <x:c r="E95" s="17" t="str">
        <x:v>Morgan Reed</x:v>
      </x:c>
      <x:c r="F95" s="17" t="str">
        <x:v>Clean audience data</x:v>
      </x:c>
      <x:c r="G95" s="20" t="n">
        <x:v>3.89</x:v>
      </x:c>
      <x:c r="H95" s="20" t="n">
        <x:v>5.24</x:v>
      </x:c>
      <x:c r="I95" s="20" t="n">
        <x:v>1.76</x:v>
      </x:c>
      <x:c r="J95" s="17" t="str">
        <x:v>Brief changed</x:v>
      </x:c>
      <x:c r="K95" s="17" t="str">
        <x:v>Yes</x:v>
      </x:c>
      <x:c r="L95" s="17" t="str">
        <x:v>Yes</x:v>
      </x:c>
      <x:c r="M95" s="29" t="str">
        <x:f>INDEX('Prompt Totals'!$C$7:$C$246,MATCH($A95,'Prompt Totals'!$A$7:$A$246,0))</x:f>
        <x:v>DataFlow</x:v>
      </x:c>
      <x:c r="N95" s="29" t="str">
        <x:f>INDEX('Prompt Totals'!$D$7:$D$246,MATCH($A95,'Prompt Totals'!$A$7:$A$246,0))</x:f>
        <x:v>Lite</x:v>
      </x:c>
      <x:c r="O95" s="29" t="n">
        <x:f>INDEX('Prompt Totals'!$E$7:$E$246,MATCH($A95,'Prompt Totals'!$A$7:$A$246,0))</x:f>
        <x:v>469010</x:v>
      </x:c>
      <x:c r="P95" s="29" t="n">
        <x:f>INDEX('Prompt Totals'!$F$7:$F$246,MATCH($A95,'Prompt Totals'!$A$7:$A$246,0))</x:f>
        <x:v>118818</x:v>
      </x:c>
      <x:c r="Q95" s="29" t="n">
        <x:f>INDEX('Prompt Totals'!$G$7:$G$246,MATCH($A95,'Prompt Totals'!$A$7:$A$246,0))</x:f>
        <x:v>587828</x:v>
      </x:c>
      <x:c r="R95" s="29" t="n">
        <x:f>INDEX('Prompt Totals'!$H$7:$H$246,MATCH($A95,'Prompt Totals'!$A$7:$A$246,0))</x:f>
        <x:v>23</x:v>
      </x:c>
      <x:c r="S95" s="30" t="n">
        <x:f>INDEX('Prompt Totals'!$I$7:$I$246,MATCH($A95,'Prompt Totals'!$A$7:$A$246,0))</x:f>
        <x:v>4.6901</x:v>
      </x:c>
      <x:c r="T95" s="30" t="n">
        <x:f>INDEX('Prompt Totals'!$J$7:$J$246,MATCH($A95,'Prompt Totals'!$A$7:$A$246,0))</x:f>
        <x:v>3.5645399999999996</x:v>
      </x:c>
      <x:c r="U95" s="30" t="n">
        <x:f>INDEX('Prompt Totals'!$K$7:$K$246,MATCH($A95,'Prompt Totals'!$A$7:$A$246,0))</x:f>
        <x:v>8.254640000000002</x:v>
      </x:c>
      <x:c r="V95" s="29" t="n">
        <x:f>INDEX('Prompt Totals'!$L$7:$L$246,MATCH($A95,'Prompt Totals'!$A$7:$A$246,0))</x:f>
        <x:v>1</x:v>
      </x:c>
      <x:c r="W95" s="29" t="n">
        <x:f>INDEX('Prompt Totals'!$M$7:$M$246,MATCH($A95,'Prompt Totals'!$A$7:$A$246,0))</x:f>
        <x:v>12</x:v>
      </x:c>
      <x:c r="X95" s="29" t="n">
        <x:f>INDEX('Prompt Totals'!$N$7:$N$246,MATCH($A95,'Prompt Totals'!$A$7:$A$246,0))</x:f>
        <x:v>10</x:v>
      </x:c>
      <x:c r="Y95" s="19" t="n">
        <x:f>G95-H95</x:f>
        <x:v>-1.35</x:v>
      </x:c>
      <x:c r="Z95" s="30" t="n">
        <x:f>Y95*'Solution'!$C$5</x:f>
        <x:v>-67.5</x:v>
      </x:c>
      <x:c r="AA95" s="22" t="n">
        <x:f>Z95-U95</x:f>
        <x:v>-75.75464</x:v>
      </x:c>
    </x:row>
    <x:row r="96" ht="23" customHeight="1">
      <x:c r="A96" s="17" t="str">
        <x:v>W0090</x:v>
      </x:c>
      <x:c r="B96" s="18" t="n">
        <x:v>46287</x:v>
      </x:c>
      <x:c r="C96" s="17" t="str">
        <x:v>C002</x:v>
      </x:c>
      <x:c r="D96" s="17" t="str">
        <x:v>Analytics</x:v>
      </x:c>
      <x:c r="E96" s="17" t="str">
        <x:v>Quinn Parker</x:v>
      </x:c>
      <x:c r="F96" s="17" t="str">
        <x:v>Check measurement plan</x:v>
      </x:c>
      <x:c r="G96" s="20" t="n">
        <x:v>4.07</x:v>
      </x:c>
      <x:c r="H96" s="20" t="n">
        <x:v>7.66</x:v>
      </x:c>
      <x:c r="I96" s="20" t="n">
        <x:v>2.66</x:v>
      </x:c>
      <x:c r="J96" s="17" t="str">
        <x:v>Data problem</x:v>
      </x:c>
      <x:c r="K96" s="17" t="str">
        <x:v>No</x:v>
      </x:c>
      <x:c r="L96" s="17" t="str">
        <x:v>Yes</x:v>
      </x:c>
      <x:c r="M96" s="29" t="str">
        <x:f>INDEX('Prompt Totals'!$C$7:$C$246,MATCH($A96,'Prompt Totals'!$A$7:$A$246,0))</x:f>
        <x:v>InsightDesk</x:v>
      </x:c>
      <x:c r="N96" s="29" t="str">
        <x:f>INDEX('Prompt Totals'!$D$7:$D$246,MATCH($A96,'Prompt Totals'!$A$7:$A$246,0))</x:f>
        <x:v>Pro</x:v>
      </x:c>
      <x:c r="O96" s="29" t="n">
        <x:f>INDEX('Prompt Totals'!$E$7:$E$246,MATCH($A96,'Prompt Totals'!$A$7:$A$246,0))</x:f>
        <x:v>277889</x:v>
      </x:c>
      <x:c r="P96" s="29" t="n">
        <x:f>INDEX('Prompt Totals'!$F$7:$F$246,MATCH($A96,'Prompt Totals'!$A$7:$A$246,0))</x:f>
        <x:v>207693</x:v>
      </x:c>
      <x:c r="Q96" s="29" t="n">
        <x:f>INDEX('Prompt Totals'!$G$7:$G$246,MATCH($A96,'Prompt Totals'!$A$7:$A$246,0))</x:f>
        <x:v>485582</x:v>
      </x:c>
      <x:c r="R96" s="29" t="n">
        <x:f>INDEX('Prompt Totals'!$H$7:$H$246,MATCH($A96,'Prompt Totals'!$A$7:$A$246,0))</x:f>
        <x:v>18</x:v>
      </x:c>
      <x:c r="S96" s="30" t="n">
        <x:f>INDEX('Prompt Totals'!$I$7:$I$246,MATCH($A96,'Prompt Totals'!$A$7:$A$246,0))</x:f>
        <x:v>11.115559999999999</x:v>
      </x:c>
      <x:c r="T96" s="30" t="n">
        <x:f>INDEX('Prompt Totals'!$J$7:$J$246,MATCH($A96,'Prompt Totals'!$A$7:$A$246,0))</x:f>
        <x:v>20.769300000000005</x:v>
      </x:c>
      <x:c r="U96" s="30" t="n">
        <x:f>INDEX('Prompt Totals'!$K$7:$K$246,MATCH($A96,'Prompt Totals'!$A$7:$A$246,0))</x:f>
        <x:v>31.88486</x:v>
      </x:c>
      <x:c r="V96" s="29" t="n">
        <x:f>INDEX('Prompt Totals'!$L$7:$L$246,MATCH($A96,'Prompt Totals'!$A$7:$A$246,0))</x:f>
        <x:v>1</x:v>
      </x:c>
      <x:c r="W96" s="29" t="n">
        <x:f>INDEX('Prompt Totals'!$M$7:$M$246,MATCH($A96,'Prompt Totals'!$A$7:$A$246,0))</x:f>
        <x:v>10</x:v>
      </x:c>
      <x:c r="X96" s="29" t="n">
        <x:f>INDEX('Prompt Totals'!$N$7:$N$246,MATCH($A96,'Prompt Totals'!$A$7:$A$246,0))</x:f>
        <x:v>7</x:v>
      </x:c>
      <x:c r="Y96" s="19" t="n">
        <x:f>G96-H96</x:f>
        <x:v>-3.59</x:v>
      </x:c>
      <x:c r="Z96" s="30" t="n">
        <x:f>Y96*'Solution'!$C$5</x:f>
        <x:v>-179.5</x:v>
      </x:c>
      <x:c r="AA96" s="22" t="n">
        <x:f>Z96-U96</x:f>
        <x:v>-211.38486</x:v>
      </x:c>
    </x:row>
    <x:row r="97" ht="23" customHeight="1">
      <x:c r="A97" s="17" t="str">
        <x:v>W0091</x:v>
      </x:c>
      <x:c r="B97" s="18" t="n">
        <x:v>46269</x:v>
      </x:c>
      <x:c r="C97" s="17" t="str">
        <x:v>C002</x:v>
      </x:c>
      <x:c r="D97" s="17" t="str">
        <x:v>Analytics</x:v>
      </x:c>
      <x:c r="E97" s="17" t="str">
        <x:v>Jamie Patel</x:v>
      </x:c>
      <x:c r="F97" s="17" t="str">
        <x:v>Analyze campaign results</x:v>
      </x:c>
      <x:c r="G97" s="20" t="n">
        <x:v>4.18</x:v>
      </x:c>
      <x:c r="H97" s="20" t="n">
        <x:v>6.3</x:v>
      </x:c>
      <x:c r="I97" s="20" t="n">
        <x:v>2.97</x:v>
      </x:c>
      <x:c r="J97" s="17" t="str">
        <x:v>Data problem</x:v>
      </x:c>
      <x:c r="K97" s="17" t="str">
        <x:v>No</x:v>
      </x:c>
      <x:c r="L97" s="17" t="str">
        <x:v>No</x:v>
      </x:c>
      <x:c r="M97" s="29" t="str">
        <x:f>INDEX('Prompt Totals'!$C$7:$C$246,MATCH($A97,'Prompt Totals'!$A$7:$A$246,0))</x:f>
        <x:v>CopyStudio</x:v>
      </x:c>
      <x:c r="N97" s="29" t="str">
        <x:f>INDEX('Prompt Totals'!$D$7:$D$246,MATCH($A97,'Prompt Totals'!$A$7:$A$246,0))</x:f>
        <x:v>Lite</x:v>
      </x:c>
      <x:c r="O97" s="29" t="n">
        <x:f>INDEX('Prompt Totals'!$E$7:$E$246,MATCH($A97,'Prompt Totals'!$A$7:$A$246,0))</x:f>
        <x:v>1113358</x:v>
      </x:c>
      <x:c r="P97" s="29" t="n">
        <x:f>INDEX('Prompt Totals'!$F$7:$F$246,MATCH($A97,'Prompt Totals'!$A$7:$A$246,0))</x:f>
        <x:v>236361</x:v>
      </x:c>
      <x:c r="Q97" s="29" t="n">
        <x:f>INDEX('Prompt Totals'!$G$7:$G$246,MATCH($A97,'Prompt Totals'!$A$7:$A$246,0))</x:f>
        <x:v>1349719</x:v>
      </x:c>
      <x:c r="R97" s="29" t="n">
        <x:f>INDEX('Prompt Totals'!$H$7:$H$246,MATCH($A97,'Prompt Totals'!$A$7:$A$246,0))</x:f>
        <x:v>27</x:v>
      </x:c>
      <x:c r="S97" s="30" t="n">
        <x:f>INDEX('Prompt Totals'!$I$7:$I$246,MATCH($A97,'Prompt Totals'!$A$7:$A$246,0))</x:f>
        <x:v>11.133579999999997</x:v>
      </x:c>
      <x:c r="T97" s="30" t="n">
        <x:f>INDEX('Prompt Totals'!$J$7:$J$246,MATCH($A97,'Prompt Totals'!$A$7:$A$246,0))</x:f>
        <x:v>7.09083</x:v>
      </x:c>
      <x:c r="U97" s="30" t="n">
        <x:f>INDEX('Prompt Totals'!$K$7:$K$246,MATCH($A97,'Prompt Totals'!$A$7:$A$246,0))</x:f>
        <x:v>18.22441</x:v>
      </x:c>
      <x:c r="V97" s="29" t="n">
        <x:f>INDEX('Prompt Totals'!$L$7:$L$246,MATCH($A97,'Prompt Totals'!$A$7:$A$246,0))</x:f>
        <x:v>1</x:v>
      </x:c>
      <x:c r="W97" s="29" t="n">
        <x:f>INDEX('Prompt Totals'!$M$7:$M$246,MATCH($A97,'Prompt Totals'!$A$7:$A$246,0))</x:f>
        <x:v>16</x:v>
      </x:c>
      <x:c r="X97" s="29" t="n">
        <x:f>INDEX('Prompt Totals'!$N$7:$N$246,MATCH($A97,'Prompt Totals'!$A$7:$A$246,0))</x:f>
        <x:v>10</x:v>
      </x:c>
      <x:c r="Y97" s="19" t="n">
        <x:f>G97-H97</x:f>
        <x:v>-2.12</x:v>
      </x:c>
      <x:c r="Z97" s="30" t="n">
        <x:f>Y97*'Solution'!$C$5</x:f>
        <x:v>-106</x:v>
      </x:c>
      <x:c r="AA97" s="22" t="n">
        <x:f>Z97-U97</x:f>
        <x:v>-124.22441</x:v>
      </x:c>
    </x:row>
    <x:row r="98" ht="23" customHeight="1">
      <x:c r="A98" s="17" t="str">
        <x:v>W0092</x:v>
      </x:c>
      <x:c r="B98" s="18" t="n">
        <x:v>46281</x:v>
      </x:c>
      <x:c r="C98" s="17" t="str">
        <x:v>C002</x:v>
      </x:c>
      <x:c r="D98" s="17" t="str">
        <x:v>Content</x:v>
      </x:c>
      <x:c r="E98" s="17" t="str">
        <x:v>Avery Morgan</x:v>
      </x:c>
      <x:c r="F98" s="17" t="str">
        <x:v>Draft email sequence</x:v>
      </x:c>
      <x:c r="G98" s="20" t="n">
        <x:v>3.2</x:v>
      </x:c>
      <x:c r="H98" s="20" t="n">
        <x:v>3.75</x:v>
      </x:c>
      <x:c r="I98" s="20" t="n">
        <x:v>1.35</x:v>
      </x:c>
      <x:c r="J98" s="17" t="str">
        <x:v>Brief changed</x:v>
      </x:c>
      <x:c r="K98" s="17" t="str">
        <x:v>Yes</x:v>
      </x:c>
      <x:c r="L98" s="17" t="str">
        <x:v>No</x:v>
      </x:c>
      <x:c r="M98" s="29" t="str">
        <x:f>INDEX('Prompt Totals'!$C$7:$C$246,MATCH($A98,'Prompt Totals'!$A$7:$A$246,0))</x:f>
        <x:v>CopyStudio</x:v>
      </x:c>
      <x:c r="N98" s="29" t="str">
        <x:f>INDEX('Prompt Totals'!$D$7:$D$246,MATCH($A98,'Prompt Totals'!$A$7:$A$246,0))</x:f>
        <x:v>Lite</x:v>
      </x:c>
      <x:c r="O98" s="29" t="n">
        <x:f>INDEX('Prompt Totals'!$E$7:$E$246,MATCH($A98,'Prompt Totals'!$A$7:$A$246,0))</x:f>
        <x:v>898728</x:v>
      </x:c>
      <x:c r="P98" s="29" t="n">
        <x:f>INDEX('Prompt Totals'!$F$7:$F$246,MATCH($A98,'Prompt Totals'!$A$7:$A$246,0))</x:f>
        <x:v>243656</x:v>
      </x:c>
      <x:c r="Q98" s="29" t="n">
        <x:f>INDEX('Prompt Totals'!$G$7:$G$246,MATCH($A98,'Prompt Totals'!$A$7:$A$246,0))</x:f>
        <x:v>1142384</x:v>
      </x:c>
      <x:c r="R98" s="29" t="n">
        <x:f>INDEX('Prompt Totals'!$H$7:$H$246,MATCH($A98,'Prompt Totals'!$A$7:$A$246,0))</x:f>
        <x:v>27</x:v>
      </x:c>
      <x:c r="S98" s="30" t="n">
        <x:f>INDEX('Prompt Totals'!$I$7:$I$246,MATCH($A98,'Prompt Totals'!$A$7:$A$246,0))</x:f>
        <x:v>8.987279999999998</x:v>
      </x:c>
      <x:c r="T98" s="30" t="n">
        <x:f>INDEX('Prompt Totals'!$J$7:$J$246,MATCH($A98,'Prompt Totals'!$A$7:$A$246,0))</x:f>
        <x:v>7.309679999999998</x:v>
      </x:c>
      <x:c r="U98" s="30" t="n">
        <x:f>INDEX('Prompt Totals'!$K$7:$K$246,MATCH($A98,'Prompt Totals'!$A$7:$A$246,0))</x:f>
        <x:v>16.29696</x:v>
      </x:c>
      <x:c r="V98" s="29" t="n">
        <x:f>INDEX('Prompt Totals'!$L$7:$L$246,MATCH($A98,'Prompt Totals'!$A$7:$A$246,0))</x:f>
        <x:v>1</x:v>
      </x:c>
      <x:c r="W98" s="29" t="n">
        <x:f>INDEX('Prompt Totals'!$M$7:$M$246,MATCH($A98,'Prompt Totals'!$A$7:$A$246,0))</x:f>
        <x:v>15</x:v>
      </x:c>
      <x:c r="X98" s="29" t="n">
        <x:f>INDEX('Prompt Totals'!$N$7:$N$246,MATCH($A98,'Prompt Totals'!$A$7:$A$246,0))</x:f>
        <x:v>11</x:v>
      </x:c>
      <x:c r="Y98" s="19" t="n">
        <x:f>G98-H98</x:f>
        <x:v>-0.5499999999999998</x:v>
      </x:c>
      <x:c r="Z98" s="30" t="n">
        <x:f>Y98*'Solution'!$C$5</x:f>
        <x:v>-27.499999999999993</x:v>
      </x:c>
      <x:c r="AA98" s="22" t="n">
        <x:f>Z98-U98</x:f>
        <x:v>-43.79695999999999</x:v>
      </x:c>
    </x:row>
    <x:row r="99" ht="23" customHeight="1">
      <x:c r="A99" s="17" t="str">
        <x:v>W0093</x:v>
      </x:c>
      <x:c r="B99" s="18" t="n">
        <x:v>46290</x:v>
      </x:c>
      <x:c r="C99" s="17" t="str">
        <x:v>C002</x:v>
      </x:c>
      <x:c r="D99" s="17" t="str">
        <x:v>Content</x:v>
      </x:c>
      <x:c r="E99" s="17" t="str">
        <x:v>Jordan Ellis</x:v>
      </x:c>
      <x:c r="F99" s="17" t="str">
        <x:v>Edit landing page</x:v>
      </x:c>
      <x:c r="G99" s="20" t="n">
        <x:v>3.73</x:v>
      </x:c>
      <x:c r="H99" s="20" t="n">
        <x:v>5.46</x:v>
      </x:c>
      <x:c r="I99" s="20" t="n">
        <x:v>1.21</x:v>
      </x:c>
      <x:c r="J99" s="17" t="str">
        <x:v>Data problem</x:v>
      </x:c>
      <x:c r="K99" s="17" t="str">
        <x:v>No</x:v>
      </x:c>
      <x:c r="L99" s="17" t="str">
        <x:v>No</x:v>
      </x:c>
      <x:c r="M99" s="29" t="str">
        <x:f>INDEX('Prompt Totals'!$C$7:$C$246,MATCH($A99,'Prompt Totals'!$A$7:$A$246,0))</x:f>
        <x:v>CampaignChat</x:v>
      </x:c>
      <x:c r="N99" s="29" t="str">
        <x:f>INDEX('Prompt Totals'!$D$7:$D$246,MATCH($A99,'Prompt Totals'!$A$7:$A$246,0))</x:f>
        <x:v>Lite</x:v>
      </x:c>
      <x:c r="O99" s="29" t="n">
        <x:f>INDEX('Prompt Totals'!$E$7:$E$246,MATCH($A99,'Prompt Totals'!$A$7:$A$246,0))</x:f>
        <x:v>511564</x:v>
      </x:c>
      <x:c r="P99" s="29" t="n">
        <x:f>INDEX('Prompt Totals'!$F$7:$F$246,MATCH($A99,'Prompt Totals'!$A$7:$A$246,0))</x:f>
        <x:v>160193</x:v>
      </x:c>
      <x:c r="Q99" s="29" t="n">
        <x:f>INDEX('Prompt Totals'!$G$7:$G$246,MATCH($A99,'Prompt Totals'!$A$7:$A$246,0))</x:f>
        <x:v>671757</x:v>
      </x:c>
      <x:c r="R99" s="29" t="n">
        <x:f>INDEX('Prompt Totals'!$H$7:$H$246,MATCH($A99,'Prompt Totals'!$A$7:$A$246,0))</x:f>
        <x:v>22</x:v>
      </x:c>
      <x:c r="S99" s="30" t="n">
        <x:f>INDEX('Prompt Totals'!$I$7:$I$246,MATCH($A99,'Prompt Totals'!$A$7:$A$246,0))</x:f>
        <x:v>5.11564</x:v>
      </x:c>
      <x:c r="T99" s="30" t="n">
        <x:f>INDEX('Prompt Totals'!$J$7:$J$246,MATCH($A99,'Prompt Totals'!$A$7:$A$246,0))</x:f>
        <x:v>4.805789999999999</x:v>
      </x:c>
      <x:c r="U99" s="30" t="n">
        <x:f>INDEX('Prompt Totals'!$K$7:$K$246,MATCH($A99,'Prompt Totals'!$A$7:$A$246,0))</x:f>
        <x:v>9.921430000000003</x:v>
      </x:c>
      <x:c r="V99" s="29" t="n">
        <x:f>INDEX('Prompt Totals'!$L$7:$L$246,MATCH($A99,'Prompt Totals'!$A$7:$A$246,0))</x:f>
        <x:v>1</x:v>
      </x:c>
      <x:c r="W99" s="29" t="n">
        <x:f>INDEX('Prompt Totals'!$M$7:$M$246,MATCH($A99,'Prompt Totals'!$A$7:$A$246,0))</x:f>
        <x:v>15</x:v>
      </x:c>
      <x:c r="X99" s="29" t="n">
        <x:f>INDEX('Prompt Totals'!$N$7:$N$246,MATCH($A99,'Prompt Totals'!$A$7:$A$246,0))</x:f>
        <x:v>6</x:v>
      </x:c>
      <x:c r="Y99" s="19" t="n">
        <x:f>G99-H99</x:f>
        <x:v>-1.73</x:v>
      </x:c>
      <x:c r="Z99" s="30" t="n">
        <x:f>Y99*'Solution'!$C$5</x:f>
        <x:v>-86.5</x:v>
      </x:c>
      <x:c r="AA99" s="22" t="n">
        <x:f>Z99-U99</x:f>
        <x:v>-96.42143</x:v>
      </x:c>
    </x:row>
    <x:row r="100" ht="23" customHeight="1">
      <x:c r="A100" s="17" t="str">
        <x:v>W0094</x:v>
      </x:c>
      <x:c r="B100" s="18" t="n">
        <x:v>46275</x:v>
      </x:c>
      <x:c r="C100" s="17" t="str">
        <x:v>C002</x:v>
      </x:c>
      <x:c r="D100" s="17" t="str">
        <x:v>Creative</x:v>
      </x:c>
      <x:c r="E100" s="17" t="str">
        <x:v>Riley Chen</x:v>
      </x:c>
      <x:c r="F100" s="17" t="str">
        <x:v>Develop concept brief</x:v>
      </x:c>
      <x:c r="G100" s="20" t="n">
        <x:v>3.92</x:v>
      </x:c>
      <x:c r="H100" s="20" t="n">
        <x:v>5.12</x:v>
      </x:c>
      <x:c r="I100" s="20" t="n">
        <x:v>1.06</x:v>
      </x:c>
      <x:c r="J100" s="17" t="str">
        <x:v>Data problem</x:v>
      </x:c>
      <x:c r="K100" s="17" t="str">
        <x:v>No</x:v>
      </x:c>
      <x:c r="L100" s="17" t="str">
        <x:v>Yes</x:v>
      </x:c>
      <x:c r="M100" s="29" t="str">
        <x:f>INDEX('Prompt Totals'!$C$7:$C$246,MATCH($A100,'Prompt Totals'!$A$7:$A$246,0))</x:f>
        <x:v>CopyStudio</x:v>
      </x:c>
      <x:c r="N100" s="29" t="str">
        <x:f>INDEX('Prompt Totals'!$D$7:$D$246,MATCH($A100,'Prompt Totals'!$A$7:$A$246,0))</x:f>
        <x:v>Lite</x:v>
      </x:c>
      <x:c r="O100" s="29" t="n">
        <x:f>INDEX('Prompt Totals'!$E$7:$E$246,MATCH($A100,'Prompt Totals'!$A$7:$A$246,0))</x:f>
        <x:v>1018467</x:v>
      </x:c>
      <x:c r="P100" s="29" t="n">
        <x:f>INDEX('Prompt Totals'!$F$7:$F$246,MATCH($A100,'Prompt Totals'!$A$7:$A$246,0))</x:f>
        <x:v>167942</x:v>
      </x:c>
      <x:c r="Q100" s="29" t="n">
        <x:f>INDEX('Prompt Totals'!$G$7:$G$246,MATCH($A100,'Prompt Totals'!$A$7:$A$246,0))</x:f>
        <x:v>1186409</x:v>
      </x:c>
      <x:c r="R100" s="29" t="n">
        <x:f>INDEX('Prompt Totals'!$H$7:$H$246,MATCH($A100,'Prompt Totals'!$A$7:$A$246,0))</x:f>
        <x:v>26</x:v>
      </x:c>
      <x:c r="S100" s="30" t="n">
        <x:f>INDEX('Prompt Totals'!$I$7:$I$246,MATCH($A100,'Prompt Totals'!$A$7:$A$246,0))</x:f>
        <x:v>10.184669999999999</x:v>
      </x:c>
      <x:c r="T100" s="30" t="n">
        <x:f>INDEX('Prompt Totals'!$J$7:$J$246,MATCH($A100,'Prompt Totals'!$A$7:$A$246,0))</x:f>
        <x:v>5.03826</x:v>
      </x:c>
      <x:c r="U100" s="30" t="n">
        <x:f>INDEX('Prompt Totals'!$K$7:$K$246,MATCH($A100,'Prompt Totals'!$A$7:$A$246,0))</x:f>
        <x:v>15.22293</x:v>
      </x:c>
      <x:c r="V100" s="29" t="n">
        <x:f>INDEX('Prompt Totals'!$L$7:$L$246,MATCH($A100,'Prompt Totals'!$A$7:$A$246,0))</x:f>
        <x:v>1</x:v>
      </x:c>
      <x:c r="W100" s="29" t="n">
        <x:f>INDEX('Prompt Totals'!$M$7:$M$246,MATCH($A100,'Prompt Totals'!$A$7:$A$246,0))</x:f>
        <x:v>12</x:v>
      </x:c>
      <x:c r="X100" s="29" t="n">
        <x:f>INDEX('Prompt Totals'!$N$7:$N$246,MATCH($A100,'Prompt Totals'!$A$7:$A$246,0))</x:f>
        <x:v>13</x:v>
      </x:c>
      <x:c r="Y100" s="19" t="n">
        <x:f>G100-H100</x:f>
        <x:v>-1.2000000000000002</x:v>
      </x:c>
      <x:c r="Z100" s="30" t="n">
        <x:f>Y100*'Solution'!$C$5</x:f>
        <x:v>-60.00000000000001</x:v>
      </x:c>
      <x:c r="AA100" s="22" t="n">
        <x:f>Z100-U100</x:f>
        <x:v>-75.22293</x:v>
      </x:c>
    </x:row>
    <x:row r="101" ht="23" customHeight="1">
      <x:c r="A101" s="17" t="str">
        <x:v>W0095</x:v>
      </x:c>
      <x:c r="B101" s="18" t="n">
        <x:v>46286</x:v>
      </x:c>
      <x:c r="C101" s="17" t="str">
        <x:v>C002</x:v>
      </x:c>
      <x:c r="D101" s="17" t="str">
        <x:v>Creative</x:v>
      </x:c>
      <x:c r="E101" s="17" t="str">
        <x:v>Taylor Brooks</x:v>
      </x:c>
      <x:c r="F101" s="17" t="str">
        <x:v>Review creative variants</x:v>
      </x:c>
      <x:c r="G101" s="20" t="n">
        <x:v>4.43</x:v>
      </x:c>
      <x:c r="H101" s="20" t="n">
        <x:v>6.05</x:v>
      </x:c>
      <x:c r="I101" s="20" t="n">
        <x:v>2</x:v>
      </x:c>
      <x:c r="J101" s="17" t="str">
        <x:v>Data problem</x:v>
      </x:c>
      <x:c r="K101" s="17" t="str">
        <x:v>No</x:v>
      </x:c>
      <x:c r="L101" s="17" t="str">
        <x:v>No</x:v>
      </x:c>
      <x:c r="M101" s="29" t="str">
        <x:f>INDEX('Prompt Totals'!$C$7:$C$246,MATCH($A101,'Prompt Totals'!$A$7:$A$246,0))</x:f>
        <x:v>CampaignChat</x:v>
      </x:c>
      <x:c r="N101" s="29" t="str">
        <x:f>INDEX('Prompt Totals'!$D$7:$D$246,MATCH($A101,'Prompt Totals'!$A$7:$A$246,0))</x:f>
        <x:v>Pro</x:v>
      </x:c>
      <x:c r="O101" s="29" t="n">
        <x:f>INDEX('Prompt Totals'!$E$7:$E$246,MATCH($A101,'Prompt Totals'!$A$7:$A$246,0))</x:f>
        <x:v>380397</x:v>
      </x:c>
      <x:c r="P101" s="29" t="n">
        <x:f>INDEX('Prompt Totals'!$F$7:$F$246,MATCH($A101,'Prompt Totals'!$A$7:$A$246,0))</x:f>
        <x:v>112318</x:v>
      </x:c>
      <x:c r="Q101" s="29" t="n">
        <x:f>INDEX('Prompt Totals'!$G$7:$G$246,MATCH($A101,'Prompt Totals'!$A$7:$A$246,0))</x:f>
        <x:v>492715</x:v>
      </x:c>
      <x:c r="R101" s="29" t="n">
        <x:f>INDEX('Prompt Totals'!$H$7:$H$246,MATCH($A101,'Prompt Totals'!$A$7:$A$246,0))</x:f>
        <x:v>15</x:v>
      </x:c>
      <x:c r="S101" s="30" t="n">
        <x:f>INDEX('Prompt Totals'!$I$7:$I$246,MATCH($A101,'Prompt Totals'!$A$7:$A$246,0))</x:f>
        <x:v>15.215879999999997</x:v>
      </x:c>
      <x:c r="T101" s="30" t="n">
        <x:f>INDEX('Prompt Totals'!$J$7:$J$246,MATCH($A101,'Prompt Totals'!$A$7:$A$246,0))</x:f>
        <x:v>11.2318</x:v>
      </x:c>
      <x:c r="U101" s="30" t="n">
        <x:f>INDEX('Prompt Totals'!$K$7:$K$246,MATCH($A101,'Prompt Totals'!$A$7:$A$246,0))</x:f>
        <x:v>26.447679999999995</x:v>
      </x:c>
      <x:c r="V101" s="29" t="n">
        <x:f>INDEX('Prompt Totals'!$L$7:$L$246,MATCH($A101,'Prompt Totals'!$A$7:$A$246,0))</x:f>
        <x:v>1</x:v>
      </x:c>
      <x:c r="W101" s="29" t="n">
        <x:f>INDEX('Prompt Totals'!$M$7:$M$246,MATCH($A101,'Prompt Totals'!$A$7:$A$246,0))</x:f>
        <x:v>6</x:v>
      </x:c>
      <x:c r="X101" s="29" t="n">
        <x:f>INDEX('Prompt Totals'!$N$7:$N$246,MATCH($A101,'Prompt Totals'!$A$7:$A$246,0))</x:f>
        <x:v>8</x:v>
      </x:c>
      <x:c r="Y101" s="19" t="n">
        <x:f>G101-H101</x:f>
        <x:v>-1.62</x:v>
      </x:c>
      <x:c r="Z101" s="30" t="n">
        <x:f>Y101*'Solution'!$C$5</x:f>
        <x:v>-81</x:v>
      </x:c>
      <x:c r="AA101" s="22" t="n">
        <x:f>Z101-U101</x:f>
        <x:v>-107.44767999999999</x:v>
      </x:c>
    </x:row>
    <x:row r="102" ht="23" customHeight="1">
      <x:c r="A102" s="17" t="str">
        <x:v>W0096</x:v>
      </x:c>
      <x:c r="B102" s="18" t="n">
        <x:v>46295</x:v>
      </x:c>
      <x:c r="C102" s="17" t="str">
        <x:v>C002</x:v>
      </x:c>
      <x:c r="D102" s="17" t="str">
        <x:v>Marketing Operations</x:v>
      </x:c>
      <x:c r="E102" s="17" t="str">
        <x:v>Casey Rivera</x:v>
      </x:c>
      <x:c r="F102" s="17" t="str">
        <x:v>Prepare launch checklist</x:v>
      </x:c>
      <x:c r="G102" s="20" t="n">
        <x:v>2.87</x:v>
      </x:c>
      <x:c r="H102" s="20" t="n">
        <x:v>4.05</x:v>
      </x:c>
      <x:c r="I102" s="20" t="n">
        <x:v>1.86</x:v>
      </x:c>
      <x:c r="J102" s="17" t="str">
        <x:v>Unclear prompt</x:v>
      </x:c>
      <x:c r="K102" s="17" t="str">
        <x:v>No</x:v>
      </x:c>
      <x:c r="L102" s="17" t="str">
        <x:v>No</x:v>
      </x:c>
      <x:c r="M102" s="29" t="str">
        <x:f>INDEX('Prompt Totals'!$C$7:$C$246,MATCH($A102,'Prompt Totals'!$A$7:$A$246,0))</x:f>
        <x:v>DataFlow</x:v>
      </x:c>
      <x:c r="N102" s="29" t="str">
        <x:f>INDEX('Prompt Totals'!$D$7:$D$246,MATCH($A102,'Prompt Totals'!$A$7:$A$246,0))</x:f>
        <x:v>Pro</x:v>
      </x:c>
      <x:c r="O102" s="29" t="n">
        <x:f>INDEX('Prompt Totals'!$E$7:$E$246,MATCH($A102,'Prompt Totals'!$A$7:$A$246,0))</x:f>
        <x:v>232715</x:v>
      </x:c>
      <x:c r="P102" s="29" t="n">
        <x:f>INDEX('Prompt Totals'!$F$7:$F$246,MATCH($A102,'Prompt Totals'!$A$7:$A$246,0))</x:f>
        <x:v>90158</x:v>
      </x:c>
      <x:c r="Q102" s="29" t="n">
        <x:f>INDEX('Prompt Totals'!$G$7:$G$246,MATCH($A102,'Prompt Totals'!$A$7:$A$246,0))</x:f>
        <x:v>322873</x:v>
      </x:c>
      <x:c r="R102" s="29" t="n">
        <x:f>INDEX('Prompt Totals'!$H$7:$H$246,MATCH($A102,'Prompt Totals'!$A$7:$A$246,0))</x:f>
        <x:v>14</x:v>
      </x:c>
      <x:c r="S102" s="30" t="n">
        <x:f>INDEX('Prompt Totals'!$I$7:$I$246,MATCH($A102,'Prompt Totals'!$A$7:$A$246,0))</x:f>
        <x:v>9.3086</x:v>
      </x:c>
      <x:c r="T102" s="30" t="n">
        <x:f>INDEX('Prompt Totals'!$J$7:$J$246,MATCH($A102,'Prompt Totals'!$A$7:$A$246,0))</x:f>
        <x:v>9.0158</x:v>
      </x:c>
      <x:c r="U102" s="30" t="n">
        <x:f>INDEX('Prompt Totals'!$K$7:$K$246,MATCH($A102,'Prompt Totals'!$A$7:$A$246,0))</x:f>
        <x:v>18.3244</x:v>
      </x:c>
      <x:c r="V102" s="29" t="n">
        <x:f>INDEX('Prompt Totals'!$L$7:$L$246,MATCH($A102,'Prompt Totals'!$A$7:$A$246,0))</x:f>
        <x:v>1</x:v>
      </x:c>
      <x:c r="W102" s="29" t="n">
        <x:f>INDEX('Prompt Totals'!$M$7:$M$246,MATCH($A102,'Prompt Totals'!$A$7:$A$246,0))</x:f>
        <x:v>6</x:v>
      </x:c>
      <x:c r="X102" s="29" t="n">
        <x:f>INDEX('Prompt Totals'!$N$7:$N$246,MATCH($A102,'Prompt Totals'!$A$7:$A$246,0))</x:f>
        <x:v>7</x:v>
      </x:c>
      <x:c r="Y102" s="19" t="n">
        <x:f>G102-H102</x:f>
        <x:v>-1.1799999999999997</x:v>
      </x:c>
      <x:c r="Z102" s="30" t="n">
        <x:f>Y102*'Solution'!$C$5</x:f>
        <x:v>-58.999999999999986</x:v>
      </x:c>
      <x:c r="AA102" s="22" t="n">
        <x:f>Z102-U102</x:f>
        <x:v>-77.32439999999998</x:v>
      </x:c>
    </x:row>
    <x:row r="103" ht="23" customHeight="1">
      <x:c r="A103" s="17" t="str">
        <x:v>W0097</x:v>
      </x:c>
      <x:c r="B103" s="18" t="n">
        <x:v>46280</x:v>
      </x:c>
      <x:c r="C103" s="17" t="str">
        <x:v>C002</x:v>
      </x:c>
      <x:c r="D103" s="17" t="str">
        <x:v>Marketing Operations</x:v>
      </x:c>
      <x:c r="E103" s="17" t="str">
        <x:v>Morgan Reed</x:v>
      </x:c>
      <x:c r="F103" s="17" t="str">
        <x:v>Build campaign plan</x:v>
      </x:c>
      <x:c r="G103" s="20" t="n">
        <x:v>2.91</x:v>
      </x:c>
      <x:c r="H103" s="20" t="n">
        <x:v>5.32</x:v>
      </x:c>
      <x:c r="I103" s="20" t="n">
        <x:v>2.14</x:v>
      </x:c>
      <x:c r="J103" s="17" t="str">
        <x:v>Brief changed</x:v>
      </x:c>
      <x:c r="K103" s="17" t="str">
        <x:v>Yes</x:v>
      </x:c>
      <x:c r="L103" s="17" t="str">
        <x:v>No</x:v>
      </x:c>
      <x:c r="M103" s="29" t="str">
        <x:f>INDEX('Prompt Totals'!$C$7:$C$246,MATCH($A103,'Prompt Totals'!$A$7:$A$246,0))</x:f>
        <x:v>DataFlow</x:v>
      </x:c>
      <x:c r="N103" s="29" t="str">
        <x:f>INDEX('Prompt Totals'!$D$7:$D$246,MATCH($A103,'Prompt Totals'!$A$7:$A$246,0))</x:f>
        <x:v>Pro</x:v>
      </x:c>
      <x:c r="O103" s="29" t="n">
        <x:f>INDEX('Prompt Totals'!$E$7:$E$246,MATCH($A103,'Prompt Totals'!$A$7:$A$246,0))</x:f>
        <x:v>615432</x:v>
      </x:c>
      <x:c r="P103" s="29" t="n">
        <x:f>INDEX('Prompt Totals'!$F$7:$F$246,MATCH($A103,'Prompt Totals'!$A$7:$A$246,0))</x:f>
        <x:v>188923</x:v>
      </x:c>
      <x:c r="Q103" s="29" t="n">
        <x:f>INDEX('Prompt Totals'!$G$7:$G$246,MATCH($A103,'Prompt Totals'!$A$7:$A$246,0))</x:f>
        <x:v>804355</x:v>
      </x:c>
      <x:c r="R103" s="29" t="n">
        <x:f>INDEX('Prompt Totals'!$H$7:$H$246,MATCH($A103,'Prompt Totals'!$A$7:$A$246,0))</x:f>
        <x:v>23</x:v>
      </x:c>
      <x:c r="S103" s="30" t="n">
        <x:f>INDEX('Prompt Totals'!$I$7:$I$246,MATCH($A103,'Prompt Totals'!$A$7:$A$246,0))</x:f>
        <x:v>24.617279999999997</x:v>
      </x:c>
      <x:c r="T103" s="30" t="n">
        <x:f>INDEX('Prompt Totals'!$J$7:$J$246,MATCH($A103,'Prompt Totals'!$A$7:$A$246,0))</x:f>
        <x:v>18.892300000000002</x:v>
      </x:c>
      <x:c r="U103" s="30" t="n">
        <x:f>INDEX('Prompt Totals'!$K$7:$K$246,MATCH($A103,'Prompt Totals'!$A$7:$A$246,0))</x:f>
        <x:v>43.50958</x:v>
      </x:c>
      <x:c r="V103" s="29" t="n">
        <x:f>INDEX('Prompt Totals'!$L$7:$L$246,MATCH($A103,'Prompt Totals'!$A$7:$A$246,0))</x:f>
        <x:v>1</x:v>
      </x:c>
      <x:c r="W103" s="29" t="n">
        <x:f>INDEX('Prompt Totals'!$M$7:$M$246,MATCH($A103,'Prompt Totals'!$A$7:$A$246,0))</x:f>
        <x:v>13</x:v>
      </x:c>
      <x:c r="X103" s="29" t="n">
        <x:f>INDEX('Prompt Totals'!$N$7:$N$246,MATCH($A103,'Prompt Totals'!$A$7:$A$246,0))</x:f>
        <x:v>9</x:v>
      </x:c>
      <x:c r="Y103" s="19" t="n">
        <x:f>G103-H103</x:f>
        <x:v>-2.41</x:v>
      </x:c>
      <x:c r="Z103" s="30" t="n">
        <x:f>Y103*'Solution'!$C$5</x:f>
        <x:v>-120.5</x:v>
      </x:c>
      <x:c r="AA103" s="22" t="n">
        <x:f>Z103-U103</x:f>
        <x:v>-164.00958</x:v>
      </x:c>
    </x:row>
    <x:row r="104" ht="23" customHeight="1">
      <x:c r="A104" s="17" t="str">
        <x:v>W0098</x:v>
      </x:c>
      <x:c r="B104" s="18" t="n">
        <x:v>46289</x:v>
      </x:c>
      <x:c r="C104" s="17" t="str">
        <x:v>C002</x:v>
      </x:c>
      <x:c r="D104" s="17" t="str">
        <x:v>Analytics</x:v>
      </x:c>
      <x:c r="E104" s="17" t="str">
        <x:v>Quinn Parker</x:v>
      </x:c>
      <x:c r="F104" s="17" t="str">
        <x:v>Summarize audience insights</x:v>
      </x:c>
      <x:c r="G104" s="20" t="n">
        <x:v>4.12</x:v>
      </x:c>
      <x:c r="H104" s="20" t="n">
        <x:v>6.05</x:v>
      </x:c>
      <x:c r="I104" s="20" t="n">
        <x:v>0.83</x:v>
      </x:c>
      <x:c r="J104" s="17" t="str">
        <x:v>None</x:v>
      </x:c>
      <x:c r="K104" s="17" t="str">
        <x:v>No</x:v>
      </x:c>
      <x:c r="L104" s="17" t="str">
        <x:v>No</x:v>
      </x:c>
      <x:c r="M104" s="29" t="str">
        <x:f>INDEX('Prompt Totals'!$C$7:$C$246,MATCH($A104,'Prompt Totals'!$A$7:$A$246,0))</x:f>
        <x:v>InsightDesk</x:v>
      </x:c>
      <x:c r="N104" s="29" t="str">
        <x:f>INDEX('Prompt Totals'!$D$7:$D$246,MATCH($A104,'Prompt Totals'!$A$7:$A$246,0))</x:f>
        <x:v>Pro</x:v>
      </x:c>
      <x:c r="O104" s="29" t="n">
        <x:f>INDEX('Prompt Totals'!$E$7:$E$246,MATCH($A104,'Prompt Totals'!$A$7:$A$246,0))</x:f>
        <x:v>596256</x:v>
      </x:c>
      <x:c r="P104" s="29" t="n">
        <x:f>INDEX('Prompt Totals'!$F$7:$F$246,MATCH($A104,'Prompt Totals'!$A$7:$A$246,0))</x:f>
        <x:v>190552</x:v>
      </x:c>
      <x:c r="Q104" s="29" t="n">
        <x:f>INDEX('Prompt Totals'!$G$7:$G$246,MATCH($A104,'Prompt Totals'!$A$7:$A$246,0))</x:f>
        <x:v>786808</x:v>
      </x:c>
      <x:c r="R104" s="29" t="n">
        <x:f>INDEX('Prompt Totals'!$H$7:$H$246,MATCH($A104,'Prompt Totals'!$A$7:$A$246,0))</x:f>
        <x:v>25</x:v>
      </x:c>
      <x:c r="S104" s="30" t="n">
        <x:f>INDEX('Prompt Totals'!$I$7:$I$246,MATCH($A104,'Prompt Totals'!$A$7:$A$246,0))</x:f>
        <x:v>23.850240000000003</x:v>
      </x:c>
      <x:c r="T104" s="30" t="n">
        <x:f>INDEX('Prompt Totals'!$J$7:$J$246,MATCH($A104,'Prompt Totals'!$A$7:$A$246,0))</x:f>
        <x:v>19.055200000000003</x:v>
      </x:c>
      <x:c r="U104" s="30" t="n">
        <x:f>INDEX('Prompt Totals'!$K$7:$K$246,MATCH($A104,'Prompt Totals'!$A$7:$A$246,0))</x:f>
        <x:v>42.90544</x:v>
      </x:c>
      <x:c r="V104" s="29" t="n">
        <x:f>INDEX('Prompt Totals'!$L$7:$L$246,MATCH($A104,'Prompt Totals'!$A$7:$A$246,0))</x:f>
        <x:v>1</x:v>
      </x:c>
      <x:c r="W104" s="29" t="n">
        <x:f>INDEX('Prompt Totals'!$M$7:$M$246,MATCH($A104,'Prompt Totals'!$A$7:$A$246,0))</x:f>
        <x:v>17</x:v>
      </x:c>
      <x:c r="X104" s="29" t="n">
        <x:f>INDEX('Prompt Totals'!$N$7:$N$246,MATCH($A104,'Prompt Totals'!$A$7:$A$246,0))</x:f>
        <x:v>7</x:v>
      </x:c>
      <x:c r="Y104" s="19" t="n">
        <x:f>G104-H104</x:f>
        <x:v>-1.9299999999999997</x:v>
      </x:c>
      <x:c r="Z104" s="30" t="n">
        <x:f>Y104*'Solution'!$C$5</x:f>
        <x:v>-96.49999999999999</x:v>
      </x:c>
      <x:c r="AA104" s="22" t="n">
        <x:f>Z104-U104</x:f>
        <x:v>-139.40544</x:v>
      </x:c>
    </x:row>
    <x:row r="105" ht="23" customHeight="1">
      <x:c r="A105" s="17" t="str">
        <x:v>W0099</x:v>
      </x:c>
      <x:c r="B105" s="18" t="n">
        <x:v>46274</x:v>
      </x:c>
      <x:c r="C105" s="17" t="str">
        <x:v>C002</x:v>
      </x:c>
      <x:c r="D105" s="17" t="str">
        <x:v>Analytics</x:v>
      </x:c>
      <x:c r="E105" s="17" t="str">
        <x:v>Jamie Patel</x:v>
      </x:c>
      <x:c r="F105" s="17" t="str">
        <x:v>Check measurement plan</x:v>
      </x:c>
      <x:c r="G105" s="20" t="n">
        <x:v>2.47</x:v>
      </x:c>
      <x:c r="H105" s="20" t="n">
        <x:v>3.95</x:v>
      </x:c>
      <x:c r="I105" s="20" t="n">
        <x:v>1.48</x:v>
      </x:c>
      <x:c r="J105" s="17" t="str">
        <x:v>Brief changed</x:v>
      </x:c>
      <x:c r="K105" s="17" t="str">
        <x:v>Yes</x:v>
      </x:c>
      <x:c r="L105" s="17" t="str">
        <x:v>No</x:v>
      </x:c>
      <x:c r="M105" s="29" t="str">
        <x:f>INDEX('Prompt Totals'!$C$7:$C$246,MATCH($A105,'Prompt Totals'!$A$7:$A$246,0))</x:f>
        <x:v>InsightDesk</x:v>
      </x:c>
      <x:c r="N105" s="29" t="str">
        <x:f>INDEX('Prompt Totals'!$D$7:$D$246,MATCH($A105,'Prompt Totals'!$A$7:$A$246,0))</x:f>
        <x:v>Lite</x:v>
      </x:c>
      <x:c r="O105" s="29" t="n">
        <x:f>INDEX('Prompt Totals'!$E$7:$E$246,MATCH($A105,'Prompt Totals'!$A$7:$A$246,0))</x:f>
        <x:v>652510</x:v>
      </x:c>
      <x:c r="P105" s="29" t="n">
        <x:f>INDEX('Prompt Totals'!$F$7:$F$246,MATCH($A105,'Prompt Totals'!$A$7:$A$246,0))</x:f>
        <x:v>64368</x:v>
      </x:c>
      <x:c r="Q105" s="29" t="n">
        <x:f>INDEX('Prompt Totals'!$G$7:$G$246,MATCH($A105,'Prompt Totals'!$A$7:$A$246,0))</x:f>
        <x:v>716878</x:v>
      </x:c>
      <x:c r="R105" s="29" t="n">
        <x:f>INDEX('Prompt Totals'!$H$7:$H$246,MATCH($A105,'Prompt Totals'!$A$7:$A$246,0))</x:f>
        <x:v>17</x:v>
      </x:c>
      <x:c r="S105" s="30" t="n">
        <x:f>INDEX('Prompt Totals'!$I$7:$I$246,MATCH($A105,'Prompt Totals'!$A$7:$A$246,0))</x:f>
        <x:v>6.525099999999999</x:v>
      </x:c>
      <x:c r="T105" s="30" t="n">
        <x:f>INDEX('Prompt Totals'!$J$7:$J$246,MATCH($A105,'Prompt Totals'!$A$7:$A$246,0))</x:f>
        <x:v>1.9310399999999999</x:v>
      </x:c>
      <x:c r="U105" s="30" t="n">
        <x:f>INDEX('Prompt Totals'!$K$7:$K$246,MATCH($A105,'Prompt Totals'!$A$7:$A$246,0))</x:f>
        <x:v>8.45614</x:v>
      </x:c>
      <x:c r="V105" s="29" t="n">
        <x:f>INDEX('Prompt Totals'!$L$7:$L$246,MATCH($A105,'Prompt Totals'!$A$7:$A$246,0))</x:f>
        <x:v>1</x:v>
      </x:c>
      <x:c r="W105" s="29" t="n">
        <x:f>INDEX('Prompt Totals'!$M$7:$M$246,MATCH($A105,'Prompt Totals'!$A$7:$A$246,0))</x:f>
        <x:v>11</x:v>
      </x:c>
      <x:c r="X105" s="29" t="n">
        <x:f>INDEX('Prompt Totals'!$N$7:$N$246,MATCH($A105,'Prompt Totals'!$A$7:$A$246,0))</x:f>
        <x:v>5</x:v>
      </x:c>
      <x:c r="Y105" s="19" t="n">
        <x:f>G105-H105</x:f>
        <x:v>-1.48</x:v>
      </x:c>
      <x:c r="Z105" s="30" t="n">
        <x:f>Y105*'Solution'!$C$5</x:f>
        <x:v>-74</x:v>
      </x:c>
      <x:c r="AA105" s="22" t="n">
        <x:f>Z105-U105</x:f>
        <x:v>-82.45614</x:v>
      </x:c>
    </x:row>
    <x:row r="106" ht="23" customHeight="1">
      <x:c r="A106" s="17" t="str">
        <x:v>W0100</x:v>
      </x:c>
      <x:c r="B106" s="18" t="n">
        <x:v>46283</x:v>
      </x:c>
      <x:c r="C106" s="17" t="str">
        <x:v>C002</x:v>
      </x:c>
      <x:c r="D106" s="17" t="str">
        <x:v>Content</x:v>
      </x:c>
      <x:c r="E106" s="17" t="str">
        <x:v>Avery Morgan</x:v>
      </x:c>
      <x:c r="F106" s="17" t="str">
        <x:v>Write ad copy</x:v>
      </x:c>
      <x:c r="G106" s="20" t="n">
        <x:v>4.07</x:v>
      </x:c>
      <x:c r="H106" s="20" t="n">
        <x:v>7.71</x:v>
      </x:c>
      <x:c r="I106" s="20" t="n">
        <x:v>2.55</x:v>
      </x:c>
      <x:c r="J106" s="17" t="str">
        <x:v>Brief changed</x:v>
      </x:c>
      <x:c r="K106" s="17" t="str">
        <x:v>Yes</x:v>
      </x:c>
      <x:c r="L106" s="17" t="str">
        <x:v>No</x:v>
      </x:c>
      <x:c r="M106" s="29" t="str">
        <x:f>INDEX('Prompt Totals'!$C$7:$C$246,MATCH($A106,'Prompt Totals'!$A$7:$A$246,0))</x:f>
        <x:v>CopyStudio</x:v>
      </x:c>
      <x:c r="N106" s="29" t="str">
        <x:f>INDEX('Prompt Totals'!$D$7:$D$246,MATCH($A106,'Prompt Totals'!$A$7:$A$246,0))</x:f>
        <x:v>Pro</x:v>
      </x:c>
      <x:c r="O106" s="29" t="n">
        <x:f>INDEX('Prompt Totals'!$E$7:$E$246,MATCH($A106,'Prompt Totals'!$A$7:$A$246,0))</x:f>
        <x:v>444034</x:v>
      </x:c>
      <x:c r="P106" s="29" t="n">
        <x:f>INDEX('Prompt Totals'!$F$7:$F$246,MATCH($A106,'Prompt Totals'!$A$7:$A$246,0))</x:f>
        <x:v>251276</x:v>
      </x:c>
      <x:c r="Q106" s="29" t="n">
        <x:f>INDEX('Prompt Totals'!$G$7:$G$246,MATCH($A106,'Prompt Totals'!$A$7:$A$246,0))</x:f>
        <x:v>695310</x:v>
      </x:c>
      <x:c r="R106" s="29" t="n">
        <x:f>INDEX('Prompt Totals'!$H$7:$H$246,MATCH($A106,'Prompt Totals'!$A$7:$A$246,0))</x:f>
        <x:v>23</x:v>
      </x:c>
      <x:c r="S106" s="30" t="n">
        <x:f>INDEX('Prompt Totals'!$I$7:$I$246,MATCH($A106,'Prompt Totals'!$A$7:$A$246,0))</x:f>
        <x:v>17.76136</x:v>
      </x:c>
      <x:c r="T106" s="30" t="n">
        <x:f>INDEX('Prompt Totals'!$J$7:$J$246,MATCH($A106,'Prompt Totals'!$A$7:$A$246,0))</x:f>
        <x:v>25.127599999999997</x:v>
      </x:c>
      <x:c r="U106" s="30" t="n">
        <x:f>INDEX('Prompt Totals'!$K$7:$K$246,MATCH($A106,'Prompt Totals'!$A$7:$A$246,0))</x:f>
        <x:v>42.888960000000004</x:v>
      </x:c>
      <x:c r="V106" s="29" t="n">
        <x:f>INDEX('Prompt Totals'!$L$7:$L$246,MATCH($A106,'Prompt Totals'!$A$7:$A$246,0))</x:f>
        <x:v>1</x:v>
      </x:c>
      <x:c r="W106" s="29" t="n">
        <x:f>INDEX('Prompt Totals'!$M$7:$M$246,MATCH($A106,'Prompt Totals'!$A$7:$A$246,0))</x:f>
        <x:v>16</x:v>
      </x:c>
      <x:c r="X106" s="29" t="n">
        <x:f>INDEX('Prompt Totals'!$N$7:$N$246,MATCH($A106,'Prompt Totals'!$A$7:$A$246,0))</x:f>
        <x:v>6</x:v>
      </x:c>
      <x:c r="Y106" s="19" t="n">
        <x:f>G106-H106</x:f>
        <x:v>-3.6399999999999997</x:v>
      </x:c>
      <x:c r="Z106" s="30" t="n">
        <x:f>Y106*'Solution'!$C$5</x:f>
        <x:v>-181.99999999999997</x:v>
      </x:c>
      <x:c r="AA106" s="22" t="n">
        <x:f>Z106-U106</x:f>
        <x:v>-224.88895999999997</x:v>
      </x:c>
    </x:row>
    <x:row r="107" ht="23" customHeight="1">
      <x:c r="A107" s="17" t="str">
        <x:v>W0101</x:v>
      </x:c>
      <x:c r="B107" s="18" t="n">
        <x:v>46294</x:v>
      </x:c>
      <x:c r="C107" s="17" t="str">
        <x:v>C002</x:v>
      </x:c>
      <x:c r="D107" s="17" t="str">
        <x:v>Content</x:v>
      </x:c>
      <x:c r="E107" s="17" t="str">
        <x:v>Jordan Ellis</x:v>
      </x:c>
      <x:c r="F107" s="17" t="str">
        <x:v>Draft email sequence</x:v>
      </x:c>
      <x:c r="G107" s="20" t="n">
        <x:v>3.81</x:v>
      </x:c>
      <x:c r="H107" s="20" t="n">
        <x:v>6.97</x:v>
      </x:c>
      <x:c r="I107" s="20" t="n">
        <x:v>1.43</x:v>
      </x:c>
      <x:c r="J107" s="17" t="str">
        <x:v>Data problem</x:v>
      </x:c>
      <x:c r="K107" s="17" t="str">
        <x:v>No</x:v>
      </x:c>
      <x:c r="L107" s="17" t="str">
        <x:v>Yes</x:v>
      </x:c>
      <x:c r="M107" s="29" t="str">
        <x:f>INDEX('Prompt Totals'!$C$7:$C$246,MATCH($A107,'Prompt Totals'!$A$7:$A$246,0))</x:f>
        <x:v>CopyStudio</x:v>
      </x:c>
      <x:c r="N107" s="29" t="str">
        <x:f>INDEX('Prompt Totals'!$D$7:$D$246,MATCH($A107,'Prompt Totals'!$A$7:$A$246,0))</x:f>
        <x:v>Pro</x:v>
      </x:c>
      <x:c r="O107" s="29" t="n">
        <x:f>INDEX('Prompt Totals'!$E$7:$E$246,MATCH($A107,'Prompt Totals'!$A$7:$A$246,0))</x:f>
        <x:v>606251</x:v>
      </x:c>
      <x:c r="P107" s="29" t="n">
        <x:f>INDEX('Prompt Totals'!$F$7:$F$246,MATCH($A107,'Prompt Totals'!$A$7:$A$246,0))</x:f>
        <x:v>304185</x:v>
      </x:c>
      <x:c r="Q107" s="29" t="n">
        <x:f>INDEX('Prompt Totals'!$G$7:$G$246,MATCH($A107,'Prompt Totals'!$A$7:$A$246,0))</x:f>
        <x:v>910436</x:v>
      </x:c>
      <x:c r="R107" s="29" t="n">
        <x:f>INDEX('Prompt Totals'!$H$7:$H$246,MATCH($A107,'Prompt Totals'!$A$7:$A$246,0))</x:f>
        <x:v>23</x:v>
      </x:c>
      <x:c r="S107" s="30" t="n">
        <x:f>INDEX('Prompt Totals'!$I$7:$I$246,MATCH($A107,'Prompt Totals'!$A$7:$A$246,0))</x:f>
        <x:v>24.25004</x:v>
      </x:c>
      <x:c r="T107" s="30" t="n">
        <x:f>INDEX('Prompt Totals'!$J$7:$J$246,MATCH($A107,'Prompt Totals'!$A$7:$A$246,0))</x:f>
        <x:v>30.418499999999995</x:v>
      </x:c>
      <x:c r="U107" s="30" t="n">
        <x:f>INDEX('Prompt Totals'!$K$7:$K$246,MATCH($A107,'Prompt Totals'!$A$7:$A$246,0))</x:f>
        <x:v>54.66854</x:v>
      </x:c>
      <x:c r="V107" s="29" t="n">
        <x:f>INDEX('Prompt Totals'!$L$7:$L$246,MATCH($A107,'Prompt Totals'!$A$7:$A$246,0))</x:f>
        <x:v>1</x:v>
      </x:c>
      <x:c r="W107" s="29" t="n">
        <x:f>INDEX('Prompt Totals'!$M$7:$M$246,MATCH($A107,'Prompt Totals'!$A$7:$A$246,0))</x:f>
        <x:v>15</x:v>
      </x:c>
      <x:c r="X107" s="29" t="n">
        <x:f>INDEX('Prompt Totals'!$N$7:$N$246,MATCH($A107,'Prompt Totals'!$A$7:$A$246,0))</x:f>
        <x:v>7</x:v>
      </x:c>
      <x:c r="Y107" s="19" t="n">
        <x:f>G107-H107</x:f>
        <x:v>-3.1599999999999997</x:v>
      </x:c>
      <x:c r="Z107" s="30" t="n">
        <x:f>Y107*'Solution'!$C$5</x:f>
        <x:v>-157.99999999999997</x:v>
      </x:c>
      <x:c r="AA107" s="22" t="n">
        <x:f>Z107-U107</x:f>
        <x:v>-212.66853999999998</x:v>
      </x:c>
    </x:row>
    <x:row r="108" ht="23" customHeight="1">
      <x:c r="A108" s="17" t="str">
        <x:v>W0102</x:v>
      </x:c>
      <x:c r="B108" s="18" t="n">
        <x:v>46279</x:v>
      </x:c>
      <x:c r="C108" s="17" t="str">
        <x:v>C002</x:v>
      </x:c>
      <x:c r="D108" s="17" t="str">
        <x:v>Creative</x:v>
      </x:c>
      <x:c r="E108" s="17" t="str">
        <x:v>Riley Chen</x:v>
      </x:c>
      <x:c r="F108" s="17" t="str">
        <x:v>Plan visual narrative</x:v>
      </x:c>
      <x:c r="G108" s="20" t="n">
        <x:v>2.43</x:v>
      </x:c>
      <x:c r="H108" s="20" t="n">
        <x:v>3.25</x:v>
      </x:c>
      <x:c r="I108" s="20" t="n">
        <x:v>1.48</x:v>
      </x:c>
      <x:c r="J108" s="17" t="str">
        <x:v>Data problem</x:v>
      </x:c>
      <x:c r="K108" s="17" t="str">
        <x:v>No</x:v>
      </x:c>
      <x:c r="L108" s="17" t="str">
        <x:v>No</x:v>
      </x:c>
      <x:c r="M108" s="29" t="str">
        <x:f>INDEX('Prompt Totals'!$C$7:$C$246,MATCH($A108,'Prompt Totals'!$A$7:$A$246,0))</x:f>
        <x:v>DataFlow</x:v>
      </x:c>
      <x:c r="N108" s="29" t="str">
        <x:f>INDEX('Prompt Totals'!$D$7:$D$246,MATCH($A108,'Prompt Totals'!$A$7:$A$246,0))</x:f>
        <x:v>Lite</x:v>
      </x:c>
      <x:c r="O108" s="29" t="n">
        <x:f>INDEX('Prompt Totals'!$E$7:$E$246,MATCH($A108,'Prompt Totals'!$A$7:$A$246,0))</x:f>
        <x:v>701614</x:v>
      </x:c>
      <x:c r="P108" s="29" t="n">
        <x:f>INDEX('Prompt Totals'!$F$7:$F$246,MATCH($A108,'Prompt Totals'!$A$7:$A$246,0))</x:f>
        <x:v>125701</x:v>
      </x:c>
      <x:c r="Q108" s="29" t="n">
        <x:f>INDEX('Prompt Totals'!$G$7:$G$246,MATCH($A108,'Prompt Totals'!$A$7:$A$246,0))</x:f>
        <x:v>827315</x:v>
      </x:c>
      <x:c r="R108" s="29" t="n">
        <x:f>INDEX('Prompt Totals'!$H$7:$H$246,MATCH($A108,'Prompt Totals'!$A$7:$A$246,0))</x:f>
        <x:v>18</x:v>
      </x:c>
      <x:c r="S108" s="30" t="n">
        <x:f>INDEX('Prompt Totals'!$I$7:$I$246,MATCH($A108,'Prompt Totals'!$A$7:$A$246,0))</x:f>
        <x:v>7.016139999999999</x:v>
      </x:c>
      <x:c r="T108" s="30" t="n">
        <x:f>INDEX('Prompt Totals'!$J$7:$J$246,MATCH($A108,'Prompt Totals'!$A$7:$A$246,0))</x:f>
        <x:v>3.7710300000000005</x:v>
      </x:c>
      <x:c r="U108" s="30" t="n">
        <x:f>INDEX('Prompt Totals'!$K$7:$K$246,MATCH($A108,'Prompt Totals'!$A$7:$A$246,0))</x:f>
        <x:v>10.78717</x:v>
      </x:c>
      <x:c r="V108" s="29" t="n">
        <x:f>INDEX('Prompt Totals'!$L$7:$L$246,MATCH($A108,'Prompt Totals'!$A$7:$A$246,0))</x:f>
        <x:v>1</x:v>
      </x:c>
      <x:c r="W108" s="29" t="n">
        <x:f>INDEX('Prompt Totals'!$M$7:$M$246,MATCH($A108,'Prompt Totals'!$A$7:$A$246,0))</x:f>
        <x:v>8</x:v>
      </x:c>
      <x:c r="X108" s="29" t="n">
        <x:f>INDEX('Prompt Totals'!$N$7:$N$246,MATCH($A108,'Prompt Totals'!$A$7:$A$246,0))</x:f>
        <x:v>9</x:v>
      </x:c>
      <x:c r="Y108" s="19" t="n">
        <x:f>G108-H108</x:f>
        <x:v>-0.8199999999999998</x:v>
      </x:c>
      <x:c r="Z108" s="30" t="n">
        <x:f>Y108*'Solution'!$C$5</x:f>
        <x:v>-40.99999999999999</x:v>
      </x:c>
      <x:c r="AA108" s="22" t="n">
        <x:f>Z108-U108</x:f>
        <x:v>-51.78716999999999</x:v>
      </x:c>
    </x:row>
    <x:row r="109" ht="23" customHeight="1">
      <x:c r="A109" s="17" t="str">
        <x:v>W0103</x:v>
      </x:c>
      <x:c r="B109" s="18" t="n">
        <x:v>46288</x:v>
      </x:c>
      <x:c r="C109" s="17" t="str">
        <x:v>C002</x:v>
      </x:c>
      <x:c r="D109" s="17" t="str">
        <x:v>Creative</x:v>
      </x:c>
      <x:c r="E109" s="17" t="str">
        <x:v>Taylor Brooks</x:v>
      </x:c>
      <x:c r="F109" s="17" t="str">
        <x:v>Develop concept brief</x:v>
      </x:c>
      <x:c r="G109" s="20" t="n">
        <x:v>3.62</x:v>
      </x:c>
      <x:c r="H109" s="20" t="n">
        <x:v>4.13</x:v>
      </x:c>
      <x:c r="I109" s="20" t="n">
        <x:v>1.36</x:v>
      </x:c>
      <x:c r="J109" s="17" t="str">
        <x:v>Brief changed</x:v>
      </x:c>
      <x:c r="K109" s="17" t="str">
        <x:v>Yes</x:v>
      </x:c>
      <x:c r="L109" s="17" t="str">
        <x:v>No</x:v>
      </x:c>
      <x:c r="M109" s="29" t="str">
        <x:f>INDEX('Prompt Totals'!$C$7:$C$246,MATCH($A109,'Prompt Totals'!$A$7:$A$246,0))</x:f>
        <x:v>CampaignChat</x:v>
      </x:c>
      <x:c r="N109" s="29" t="str">
        <x:f>INDEX('Prompt Totals'!$D$7:$D$246,MATCH($A109,'Prompt Totals'!$A$7:$A$246,0))</x:f>
        <x:v>Pro</x:v>
      </x:c>
      <x:c r="O109" s="29" t="n">
        <x:f>INDEX('Prompt Totals'!$E$7:$E$246,MATCH($A109,'Prompt Totals'!$A$7:$A$246,0))</x:f>
        <x:v>374138</x:v>
      </x:c>
      <x:c r="P109" s="29" t="n">
        <x:f>INDEX('Prompt Totals'!$F$7:$F$246,MATCH($A109,'Prompt Totals'!$A$7:$A$246,0))</x:f>
        <x:v>262168</x:v>
      </x:c>
      <x:c r="Q109" s="29" t="n">
        <x:f>INDEX('Prompt Totals'!$G$7:$G$246,MATCH($A109,'Prompt Totals'!$A$7:$A$246,0))</x:f>
        <x:v>636306</x:v>
      </x:c>
      <x:c r="R109" s="29" t="n">
        <x:f>INDEX('Prompt Totals'!$H$7:$H$246,MATCH($A109,'Prompt Totals'!$A$7:$A$246,0))</x:f>
        <x:v>22</x:v>
      </x:c>
      <x:c r="S109" s="30" t="n">
        <x:f>INDEX('Prompt Totals'!$I$7:$I$246,MATCH($A109,'Prompt Totals'!$A$7:$A$246,0))</x:f>
        <x:v>14.965520000000003</x:v>
      </x:c>
      <x:c r="T109" s="30" t="n">
        <x:f>INDEX('Prompt Totals'!$J$7:$J$246,MATCH($A109,'Prompt Totals'!$A$7:$A$246,0))</x:f>
        <x:v>26.216800000000006</x:v>
      </x:c>
      <x:c r="U109" s="30" t="n">
        <x:f>INDEX('Prompt Totals'!$K$7:$K$246,MATCH($A109,'Prompt Totals'!$A$7:$A$246,0))</x:f>
        <x:v>41.18231999999999</x:v>
      </x:c>
      <x:c r="V109" s="29" t="n">
        <x:f>INDEX('Prompt Totals'!$L$7:$L$246,MATCH($A109,'Prompt Totals'!$A$7:$A$246,0))</x:f>
        <x:v>1</x:v>
      </x:c>
      <x:c r="W109" s="29" t="n">
        <x:f>INDEX('Prompt Totals'!$M$7:$M$246,MATCH($A109,'Prompt Totals'!$A$7:$A$246,0))</x:f>
        <x:v>13</x:v>
      </x:c>
      <x:c r="X109" s="29" t="n">
        <x:f>INDEX('Prompt Totals'!$N$7:$N$246,MATCH($A109,'Prompt Totals'!$A$7:$A$246,0))</x:f>
        <x:v>8</x:v>
      </x:c>
      <x:c r="Y109" s="19" t="n">
        <x:f>G109-H109</x:f>
        <x:v>-0.5099999999999998</x:v>
      </x:c>
      <x:c r="Z109" s="30" t="n">
        <x:f>Y109*'Solution'!$C$5</x:f>
        <x:v>-25.49999999999999</x:v>
      </x:c>
      <x:c r="AA109" s="22" t="n">
        <x:f>Z109-U109</x:f>
        <x:v>-66.68231999999998</x:v>
      </x:c>
    </x:row>
    <x:row r="110" ht="23" customHeight="1">
      <x:c r="A110" s="17" t="str">
        <x:v>W0104</x:v>
      </x:c>
      <x:c r="B110" s="18" t="n">
        <x:v>46273</x:v>
      </x:c>
      <x:c r="C110" s="17" t="str">
        <x:v>C002</x:v>
      </x:c>
      <x:c r="D110" s="17" t="str">
        <x:v>Marketing Operations</x:v>
      </x:c>
      <x:c r="E110" s="17" t="str">
        <x:v>Casey Rivera</x:v>
      </x:c>
      <x:c r="F110" s="17" t="str">
        <x:v>Clean audience data</x:v>
      </x:c>
      <x:c r="G110" s="20" t="n">
        <x:v>2.86</x:v>
      </x:c>
      <x:c r="H110" s="20" t="n">
        <x:v>3.43</x:v>
      </x:c>
      <x:c r="I110" s="20" t="n">
        <x:v>0.81</x:v>
      </x:c>
      <x:c r="J110" s="17" t="str">
        <x:v>Unclear prompt</x:v>
      </x:c>
      <x:c r="K110" s="17" t="str">
        <x:v>No</x:v>
      </x:c>
      <x:c r="L110" s="17" t="str">
        <x:v>Yes</x:v>
      </x:c>
      <x:c r="M110" s="29" t="str">
        <x:f>INDEX('Prompt Totals'!$C$7:$C$246,MATCH($A110,'Prompt Totals'!$A$7:$A$246,0))</x:f>
        <x:v>DataFlow</x:v>
      </x:c>
      <x:c r="N110" s="29" t="str">
        <x:f>INDEX('Prompt Totals'!$D$7:$D$246,MATCH($A110,'Prompt Totals'!$A$7:$A$246,0))</x:f>
        <x:v>Lite</x:v>
      </x:c>
      <x:c r="O110" s="29" t="n">
        <x:f>INDEX('Prompt Totals'!$E$7:$E$246,MATCH($A110,'Prompt Totals'!$A$7:$A$246,0))</x:f>
        <x:v>576576</x:v>
      </x:c>
      <x:c r="P110" s="29" t="n">
        <x:f>INDEX('Prompt Totals'!$F$7:$F$246,MATCH($A110,'Prompt Totals'!$A$7:$A$246,0))</x:f>
        <x:v>83840</x:v>
      </x:c>
      <x:c r="Q110" s="29" t="n">
        <x:f>INDEX('Prompt Totals'!$G$7:$G$246,MATCH($A110,'Prompt Totals'!$A$7:$A$246,0))</x:f>
        <x:v>660416</x:v>
      </x:c>
      <x:c r="R110" s="29" t="n">
        <x:f>INDEX('Prompt Totals'!$H$7:$H$246,MATCH($A110,'Prompt Totals'!$A$7:$A$246,0))</x:f>
        <x:v>19</x:v>
      </x:c>
      <x:c r="S110" s="30" t="n">
        <x:f>INDEX('Prompt Totals'!$I$7:$I$246,MATCH($A110,'Prompt Totals'!$A$7:$A$246,0))</x:f>
        <x:v>5.76576</x:v>
      </x:c>
      <x:c r="T110" s="30" t="n">
        <x:f>INDEX('Prompt Totals'!$J$7:$J$246,MATCH($A110,'Prompt Totals'!$A$7:$A$246,0))</x:f>
        <x:v>2.5152</x:v>
      </x:c>
      <x:c r="U110" s="30" t="n">
        <x:f>INDEX('Prompt Totals'!$K$7:$K$246,MATCH($A110,'Prompt Totals'!$A$7:$A$246,0))</x:f>
        <x:v>8.28096</x:v>
      </x:c>
      <x:c r="V110" s="29" t="n">
        <x:f>INDEX('Prompt Totals'!$L$7:$L$246,MATCH($A110,'Prompt Totals'!$A$7:$A$246,0))</x:f>
        <x:v>1</x:v>
      </x:c>
      <x:c r="W110" s="29" t="n">
        <x:f>INDEX('Prompt Totals'!$M$7:$M$246,MATCH($A110,'Prompt Totals'!$A$7:$A$246,0))</x:f>
        <x:v>11</x:v>
      </x:c>
      <x:c r="X110" s="29" t="n">
        <x:f>INDEX('Prompt Totals'!$N$7:$N$246,MATCH($A110,'Prompt Totals'!$A$7:$A$246,0))</x:f>
        <x:v>7</x:v>
      </x:c>
      <x:c r="Y110" s="19" t="n">
        <x:f>G110-H110</x:f>
        <x:v>-0.5700000000000003</x:v>
      </x:c>
      <x:c r="Z110" s="30" t="n">
        <x:f>Y110*'Solution'!$C$5</x:f>
        <x:v>-28.500000000000014</x:v>
      </x:c>
      <x:c r="AA110" s="22" t="n">
        <x:f>Z110-U110</x:f>
        <x:v>-36.780960000000015</x:v>
      </x:c>
    </x:row>
    <x:row r="111" ht="23" customHeight="1">
      <x:c r="A111" s="17" t="str">
        <x:v>W0105</x:v>
      </x:c>
      <x:c r="B111" s="18" t="n">
        <x:v>46282</x:v>
      </x:c>
      <x:c r="C111" s="17" t="str">
        <x:v>C002</x:v>
      </x:c>
      <x:c r="D111" s="17" t="str">
        <x:v>Marketing Operations</x:v>
      </x:c>
      <x:c r="E111" s="17" t="str">
        <x:v>Morgan Reed</x:v>
      </x:c>
      <x:c r="F111" s="17" t="str">
        <x:v>Prepare launch checklist</x:v>
      </x:c>
      <x:c r="G111" s="20" t="n">
        <x:v>3.8</x:v>
      </x:c>
      <x:c r="H111" s="20" t="n">
        <x:v>6.17</x:v>
      </x:c>
      <x:c r="I111" s="20" t="n">
        <x:v>2.54</x:v>
      </x:c>
      <x:c r="J111" s="17" t="str">
        <x:v>Brief changed</x:v>
      </x:c>
      <x:c r="K111" s="17" t="str">
        <x:v>Yes</x:v>
      </x:c>
      <x:c r="L111" s="17" t="str">
        <x:v>Yes</x:v>
      </x:c>
      <x:c r="M111" s="29" t="str">
        <x:f>INDEX('Prompt Totals'!$C$7:$C$246,MATCH($A111,'Prompt Totals'!$A$7:$A$246,0))</x:f>
        <x:v>CopyStudio</x:v>
      </x:c>
      <x:c r="N111" s="29" t="str">
        <x:f>INDEX('Prompt Totals'!$D$7:$D$246,MATCH($A111,'Prompt Totals'!$A$7:$A$246,0))</x:f>
        <x:v>Lite</x:v>
      </x:c>
      <x:c r="O111" s="29" t="n">
        <x:f>INDEX('Prompt Totals'!$E$7:$E$246,MATCH($A111,'Prompt Totals'!$A$7:$A$246,0))</x:f>
        <x:v>570536</x:v>
      </x:c>
      <x:c r="P111" s="29" t="n">
        <x:f>INDEX('Prompt Totals'!$F$7:$F$246,MATCH($A111,'Prompt Totals'!$A$7:$A$246,0))</x:f>
        <x:v>127572</x:v>
      </x:c>
      <x:c r="Q111" s="29" t="n">
        <x:f>INDEX('Prompt Totals'!$G$7:$G$246,MATCH($A111,'Prompt Totals'!$A$7:$A$246,0))</x:f>
        <x:v>698108</x:v>
      </x:c>
      <x:c r="R111" s="29" t="n">
        <x:f>INDEX('Prompt Totals'!$H$7:$H$246,MATCH($A111,'Prompt Totals'!$A$7:$A$246,0))</x:f>
        <x:v>23</x:v>
      </x:c>
      <x:c r="S111" s="30" t="n">
        <x:f>INDEX('Prompt Totals'!$I$7:$I$246,MATCH($A111,'Prompt Totals'!$A$7:$A$246,0))</x:f>
        <x:v>5.705360000000001</x:v>
      </x:c>
      <x:c r="T111" s="30" t="n">
        <x:f>INDEX('Prompt Totals'!$J$7:$J$246,MATCH($A111,'Prompt Totals'!$A$7:$A$246,0))</x:f>
        <x:v>3.8271600000000006</x:v>
      </x:c>
      <x:c r="U111" s="30" t="n">
        <x:f>INDEX('Prompt Totals'!$K$7:$K$246,MATCH($A111,'Prompt Totals'!$A$7:$A$246,0))</x:f>
        <x:v>9.53252</x:v>
      </x:c>
      <x:c r="V111" s="29" t="n">
        <x:f>INDEX('Prompt Totals'!$L$7:$L$246,MATCH($A111,'Prompt Totals'!$A$7:$A$246,0))</x:f>
        <x:v>1</x:v>
      </x:c>
      <x:c r="W111" s="29" t="n">
        <x:f>INDEX('Prompt Totals'!$M$7:$M$246,MATCH($A111,'Prompt Totals'!$A$7:$A$246,0))</x:f>
        <x:v>10</x:v>
      </x:c>
      <x:c r="X111" s="29" t="n">
        <x:f>INDEX('Prompt Totals'!$N$7:$N$246,MATCH($A111,'Prompt Totals'!$A$7:$A$246,0))</x:f>
        <x:v>12</x:v>
      </x:c>
      <x:c r="Y111" s="19" t="n">
        <x:f>G111-H111</x:f>
        <x:v>-2.37</x:v>
      </x:c>
      <x:c r="Z111" s="30" t="n">
        <x:f>Y111*'Solution'!$C$5</x:f>
        <x:v>-118.5</x:v>
      </x:c>
      <x:c r="AA111" s="22" t="n">
        <x:f>Z111-U111</x:f>
        <x:v>-128.03252</x:v>
      </x:c>
    </x:row>
    <x:row r="112" ht="23" customHeight="1">
      <x:c r="A112" s="17" t="str">
        <x:v>W0106</x:v>
      </x:c>
      <x:c r="B112" s="18" t="n">
        <x:v>46293</x:v>
      </x:c>
      <x:c r="C112" s="17" t="str">
        <x:v>C002</x:v>
      </x:c>
      <x:c r="D112" s="17" t="str">
        <x:v>Analytics</x:v>
      </x:c>
      <x:c r="E112" s="17" t="str">
        <x:v>Quinn Parker</x:v>
      </x:c>
      <x:c r="F112" s="17" t="str">
        <x:v>Analyze campaign results</x:v>
      </x:c>
      <x:c r="G112" s="20" t="n">
        <x:v>2.4</x:v>
      </x:c>
      <x:c r="H112" s="20" t="n">
        <x:v>3.35</x:v>
      </x:c>
      <x:c r="I112" s="20" t="n">
        <x:v>1.34</x:v>
      </x:c>
      <x:c r="J112" s="17" t="str">
        <x:v>Brief changed</x:v>
      </x:c>
      <x:c r="K112" s="17" t="str">
        <x:v>Yes</x:v>
      </x:c>
      <x:c r="L112" s="17" t="str">
        <x:v>No</x:v>
      </x:c>
      <x:c r="M112" s="29" t="str">
        <x:f>INDEX('Prompt Totals'!$C$7:$C$246,MATCH($A112,'Prompt Totals'!$A$7:$A$246,0))</x:f>
        <x:v>InsightDesk</x:v>
      </x:c>
      <x:c r="N112" s="29" t="str">
        <x:f>INDEX('Prompt Totals'!$D$7:$D$246,MATCH($A112,'Prompt Totals'!$A$7:$A$246,0))</x:f>
        <x:v>Lite</x:v>
      </x:c>
      <x:c r="O112" s="29" t="n">
        <x:f>INDEX('Prompt Totals'!$E$7:$E$246,MATCH($A112,'Prompt Totals'!$A$7:$A$246,0))</x:f>
        <x:v>593589</x:v>
      </x:c>
      <x:c r="P112" s="29" t="n">
        <x:f>INDEX('Prompt Totals'!$F$7:$F$246,MATCH($A112,'Prompt Totals'!$A$7:$A$246,0))</x:f>
        <x:v>138645</x:v>
      </x:c>
      <x:c r="Q112" s="29" t="n">
        <x:f>INDEX('Prompt Totals'!$G$7:$G$246,MATCH($A112,'Prompt Totals'!$A$7:$A$246,0))</x:f>
        <x:v>732234</x:v>
      </x:c>
      <x:c r="R112" s="29" t="n">
        <x:f>INDEX('Prompt Totals'!$H$7:$H$246,MATCH($A112,'Prompt Totals'!$A$7:$A$246,0))</x:f>
        <x:v>16</x:v>
      </x:c>
      <x:c r="S112" s="30" t="n">
        <x:f>INDEX('Prompt Totals'!$I$7:$I$246,MATCH($A112,'Prompt Totals'!$A$7:$A$246,0))</x:f>
        <x:v>5.93589</x:v>
      </x:c>
      <x:c r="T112" s="30" t="n">
        <x:f>INDEX('Prompt Totals'!$J$7:$J$246,MATCH($A112,'Prompt Totals'!$A$7:$A$246,0))</x:f>
        <x:v>4.15935</x:v>
      </x:c>
      <x:c r="U112" s="30" t="n">
        <x:f>INDEX('Prompt Totals'!$K$7:$K$246,MATCH($A112,'Prompt Totals'!$A$7:$A$246,0))</x:f>
        <x:v>10.095240000000002</x:v>
      </x:c>
      <x:c r="V112" s="29" t="n">
        <x:f>INDEX('Prompt Totals'!$L$7:$L$246,MATCH($A112,'Prompt Totals'!$A$7:$A$246,0))</x:f>
        <x:v>1</x:v>
      </x:c>
      <x:c r="W112" s="29" t="n">
        <x:f>INDEX('Prompt Totals'!$M$7:$M$246,MATCH($A112,'Prompt Totals'!$A$7:$A$246,0))</x:f>
        <x:v>11</x:v>
      </x:c>
      <x:c r="X112" s="29" t="n">
        <x:f>INDEX('Prompt Totals'!$N$7:$N$246,MATCH($A112,'Prompt Totals'!$A$7:$A$246,0))</x:f>
        <x:v>4</x:v>
      </x:c>
      <x:c r="Y112" s="19" t="n">
        <x:f>G112-H112</x:f>
        <x:v>-0.9500000000000002</x:v>
      </x:c>
      <x:c r="Z112" s="30" t="n">
        <x:f>Y112*'Solution'!$C$5</x:f>
        <x:v>-47.50000000000001</x:v>
      </x:c>
      <x:c r="AA112" s="22" t="n">
        <x:f>Z112-U112</x:f>
        <x:v>-57.59524000000001</x:v>
      </x:c>
    </x:row>
    <x:row r="113" ht="23" customHeight="1">
      <x:c r="A113" s="17" t="str">
        <x:v>W0107</x:v>
      </x:c>
      <x:c r="B113" s="18" t="n">
        <x:v>46276</x:v>
      </x:c>
      <x:c r="C113" s="17" t="str">
        <x:v>C002</x:v>
      </x:c>
      <x:c r="D113" s="17" t="str">
        <x:v>Analytics</x:v>
      </x:c>
      <x:c r="E113" s="17" t="str">
        <x:v>Jamie Patel</x:v>
      </x:c>
      <x:c r="F113" s="17" t="str">
        <x:v>Summarize audience insights</x:v>
      </x:c>
      <x:c r="G113" s="20" t="n">
        <x:v>3.51</x:v>
      </x:c>
      <x:c r="H113" s="20" t="n">
        <x:v>5.32</x:v>
      </x:c>
      <x:c r="I113" s="20" t="n">
        <x:v>1.44</x:v>
      </x:c>
      <x:c r="J113" s="17" t="str">
        <x:v>Unclear prompt</x:v>
      </x:c>
      <x:c r="K113" s="17" t="str">
        <x:v>No</x:v>
      </x:c>
      <x:c r="L113" s="17" t="str">
        <x:v>No</x:v>
      </x:c>
      <x:c r="M113" s="29" t="str">
        <x:f>INDEX('Prompt Totals'!$C$7:$C$246,MATCH($A113,'Prompt Totals'!$A$7:$A$246,0))</x:f>
        <x:v>CampaignChat</x:v>
      </x:c>
      <x:c r="N113" s="29" t="str">
        <x:f>INDEX('Prompt Totals'!$D$7:$D$246,MATCH($A113,'Prompt Totals'!$A$7:$A$246,0))</x:f>
        <x:v>Lite</x:v>
      </x:c>
      <x:c r="O113" s="29" t="n">
        <x:f>INDEX('Prompt Totals'!$E$7:$E$246,MATCH($A113,'Prompt Totals'!$A$7:$A$246,0))</x:f>
        <x:v>612904</x:v>
      </x:c>
      <x:c r="P113" s="29" t="n">
        <x:f>INDEX('Prompt Totals'!$F$7:$F$246,MATCH($A113,'Prompt Totals'!$A$7:$A$246,0))</x:f>
        <x:v>103885</x:v>
      </x:c>
      <x:c r="Q113" s="29" t="n">
        <x:f>INDEX('Prompt Totals'!$G$7:$G$246,MATCH($A113,'Prompt Totals'!$A$7:$A$246,0))</x:f>
        <x:v>716789</x:v>
      </x:c>
      <x:c r="R113" s="29" t="n">
        <x:f>INDEX('Prompt Totals'!$H$7:$H$246,MATCH($A113,'Prompt Totals'!$A$7:$A$246,0))</x:f>
        <x:v>16</x:v>
      </x:c>
      <x:c r="S113" s="30" t="n">
        <x:f>INDEX('Prompt Totals'!$I$7:$I$246,MATCH($A113,'Prompt Totals'!$A$7:$A$246,0))</x:f>
        <x:v>6.129040000000001</x:v>
      </x:c>
      <x:c r="T113" s="30" t="n">
        <x:f>INDEX('Prompt Totals'!$J$7:$J$246,MATCH($A113,'Prompt Totals'!$A$7:$A$246,0))</x:f>
        <x:v>3.1165499999999997</x:v>
      </x:c>
      <x:c r="U113" s="30" t="n">
        <x:f>INDEX('Prompt Totals'!$K$7:$K$246,MATCH($A113,'Prompt Totals'!$A$7:$A$246,0))</x:f>
        <x:v>9.24559</x:v>
      </x:c>
      <x:c r="V113" s="29" t="n">
        <x:f>INDEX('Prompt Totals'!$L$7:$L$246,MATCH($A113,'Prompt Totals'!$A$7:$A$246,0))</x:f>
        <x:v>1</x:v>
      </x:c>
      <x:c r="W113" s="29" t="n">
        <x:f>INDEX('Prompt Totals'!$M$7:$M$246,MATCH($A113,'Prompt Totals'!$A$7:$A$246,0))</x:f>
        <x:v>7</x:v>
      </x:c>
      <x:c r="X113" s="29" t="n">
        <x:f>INDEX('Prompt Totals'!$N$7:$N$246,MATCH($A113,'Prompt Totals'!$A$7:$A$246,0))</x:f>
        <x:v>8</x:v>
      </x:c>
      <x:c r="Y113" s="19" t="n">
        <x:f>G113-H113</x:f>
        <x:v>-1.8100000000000005</x:v>
      </x:c>
      <x:c r="Z113" s="30" t="n">
        <x:f>Y113*'Solution'!$C$5</x:f>
        <x:v>-90.50000000000003</x:v>
      </x:c>
      <x:c r="AA113" s="22" t="n">
        <x:f>Z113-U113</x:f>
        <x:v>-99.74559000000002</x:v>
      </x:c>
    </x:row>
    <x:row r="114" ht="23" customHeight="1">
      <x:c r="A114" s="17" t="str">
        <x:v>W0108</x:v>
      </x:c>
      <x:c r="B114" s="18" t="n">
        <x:v>46287</x:v>
      </x:c>
      <x:c r="C114" s="17" t="str">
        <x:v>C002</x:v>
      </x:c>
      <x:c r="D114" s="17" t="str">
        <x:v>Content</x:v>
      </x:c>
      <x:c r="E114" s="17" t="str">
        <x:v>Avery Morgan</x:v>
      </x:c>
      <x:c r="F114" s="17" t="str">
        <x:v>Edit landing page</x:v>
      </x:c>
      <x:c r="G114" s="20" t="n">
        <x:v>2.29</x:v>
      </x:c>
      <x:c r="H114" s="20" t="n">
        <x:v>4.45</x:v>
      </x:c>
      <x:c r="I114" s="20" t="n">
        <x:v>1.94</x:v>
      </x:c>
      <x:c r="J114" s="17" t="str">
        <x:v>Brief changed</x:v>
      </x:c>
      <x:c r="K114" s="17" t="str">
        <x:v>Yes</x:v>
      </x:c>
      <x:c r="L114" s="17" t="str">
        <x:v>No</x:v>
      </x:c>
      <x:c r="M114" s="29" t="str">
        <x:f>INDEX('Prompt Totals'!$C$7:$C$246,MATCH($A114,'Prompt Totals'!$A$7:$A$246,0))</x:f>
        <x:v>CopyStudio</x:v>
      </x:c>
      <x:c r="N114" s="29" t="str">
        <x:f>INDEX('Prompt Totals'!$D$7:$D$246,MATCH($A114,'Prompt Totals'!$A$7:$A$246,0))</x:f>
        <x:v>Lite</x:v>
      </x:c>
      <x:c r="O114" s="29" t="n">
        <x:f>INDEX('Prompt Totals'!$E$7:$E$246,MATCH($A114,'Prompt Totals'!$A$7:$A$246,0))</x:f>
        <x:v>594805</x:v>
      </x:c>
      <x:c r="P114" s="29" t="n">
        <x:f>INDEX('Prompt Totals'!$F$7:$F$246,MATCH($A114,'Prompt Totals'!$A$7:$A$246,0))</x:f>
        <x:v>110427</x:v>
      </x:c>
      <x:c r="Q114" s="29" t="n">
        <x:f>INDEX('Prompt Totals'!$G$7:$G$246,MATCH($A114,'Prompt Totals'!$A$7:$A$246,0))</x:f>
        <x:v>705232</x:v>
      </x:c>
      <x:c r="R114" s="29" t="n">
        <x:f>INDEX('Prompt Totals'!$H$7:$H$246,MATCH($A114,'Prompt Totals'!$A$7:$A$246,0))</x:f>
        <x:v>15</x:v>
      </x:c>
      <x:c r="S114" s="30" t="n">
        <x:f>INDEX('Prompt Totals'!$I$7:$I$246,MATCH($A114,'Prompt Totals'!$A$7:$A$246,0))</x:f>
        <x:v>5.948049999999999</x:v>
      </x:c>
      <x:c r="T114" s="30" t="n">
        <x:f>INDEX('Prompt Totals'!$J$7:$J$246,MATCH($A114,'Prompt Totals'!$A$7:$A$246,0))</x:f>
        <x:v>3.3128100000000003</x:v>
      </x:c>
      <x:c r="U114" s="30" t="n">
        <x:f>INDEX('Prompt Totals'!$K$7:$K$246,MATCH($A114,'Prompt Totals'!$A$7:$A$246,0))</x:f>
        <x:v>9.260860000000001</x:v>
      </x:c>
      <x:c r="V114" s="29" t="n">
        <x:f>INDEX('Prompt Totals'!$L$7:$L$246,MATCH($A114,'Prompt Totals'!$A$7:$A$246,0))</x:f>
        <x:v>1</x:v>
      </x:c>
      <x:c r="W114" s="29" t="n">
        <x:f>INDEX('Prompt Totals'!$M$7:$M$246,MATCH($A114,'Prompt Totals'!$A$7:$A$246,0))</x:f>
        <x:v>9</x:v>
      </x:c>
      <x:c r="X114" s="29" t="n">
        <x:f>INDEX('Prompt Totals'!$N$7:$N$246,MATCH($A114,'Prompt Totals'!$A$7:$A$246,0))</x:f>
        <x:v>5</x:v>
      </x:c>
      <x:c r="Y114" s="19" t="n">
        <x:f>G114-H114</x:f>
        <x:v>-2.16</x:v>
      </x:c>
      <x:c r="Z114" s="30" t="n">
        <x:f>Y114*'Solution'!$C$5</x:f>
        <x:v>-108</x:v>
      </x:c>
      <x:c r="AA114" s="22" t="n">
        <x:f>Z114-U114</x:f>
        <x:v>-117.26086000000001</x:v>
      </x:c>
    </x:row>
    <x:row r="115" ht="23" customHeight="1">
      <x:c r="A115" s="17" t="str">
        <x:v>W0109</x:v>
      </x:c>
      <x:c r="B115" s="18" t="n">
        <x:v>46269</x:v>
      </x:c>
      <x:c r="C115" s="17" t="str">
        <x:v>C002</x:v>
      </x:c>
      <x:c r="D115" s="17" t="str">
        <x:v>Content</x:v>
      </x:c>
      <x:c r="E115" s="17" t="str">
        <x:v>Jordan Ellis</x:v>
      </x:c>
      <x:c r="F115" s="17" t="str">
        <x:v>Write ad copy</x:v>
      </x:c>
      <x:c r="G115" s="20" t="n">
        <x:v>2.66</x:v>
      </x:c>
      <x:c r="H115" s="20" t="n">
        <x:v>4.6</x:v>
      </x:c>
      <x:c r="I115" s="20" t="n">
        <x:v>1.9</x:v>
      </x:c>
      <x:c r="J115" s="17" t="str">
        <x:v>Unclear prompt</x:v>
      </x:c>
      <x:c r="K115" s="17" t="str">
        <x:v>No</x:v>
      </x:c>
      <x:c r="L115" s="17" t="str">
        <x:v>No</x:v>
      </x:c>
      <x:c r="M115" s="29" t="str">
        <x:f>INDEX('Prompt Totals'!$C$7:$C$246,MATCH($A115,'Prompt Totals'!$A$7:$A$246,0))</x:f>
        <x:v>CopyStudio</x:v>
      </x:c>
      <x:c r="N115" s="29" t="str">
        <x:f>INDEX('Prompt Totals'!$D$7:$D$246,MATCH($A115,'Prompt Totals'!$A$7:$A$246,0))</x:f>
        <x:v>Pro</x:v>
      </x:c>
      <x:c r="O115" s="29" t="n">
        <x:f>INDEX('Prompt Totals'!$E$7:$E$246,MATCH($A115,'Prompt Totals'!$A$7:$A$246,0))</x:f>
        <x:v>523735</x:v>
      </x:c>
      <x:c r="P115" s="29" t="n">
        <x:f>INDEX('Prompt Totals'!$F$7:$F$246,MATCH($A115,'Prompt Totals'!$A$7:$A$246,0))</x:f>
        <x:v>148777</x:v>
      </x:c>
      <x:c r="Q115" s="29" t="n">
        <x:f>INDEX('Prompt Totals'!$G$7:$G$246,MATCH($A115,'Prompt Totals'!$A$7:$A$246,0))</x:f>
        <x:v>672512</x:v>
      </x:c>
      <x:c r="R115" s="29" t="n">
        <x:f>INDEX('Prompt Totals'!$H$7:$H$246,MATCH($A115,'Prompt Totals'!$A$7:$A$246,0))</x:f>
        <x:v>19</x:v>
      </x:c>
      <x:c r="S115" s="30" t="n">
        <x:f>INDEX('Prompt Totals'!$I$7:$I$246,MATCH($A115,'Prompt Totals'!$A$7:$A$246,0))</x:f>
        <x:v>20.949399999999994</x:v>
      </x:c>
      <x:c r="T115" s="30" t="n">
        <x:f>INDEX('Prompt Totals'!$J$7:$J$246,MATCH($A115,'Prompt Totals'!$A$7:$A$246,0))</x:f>
        <x:v>14.8777</x:v>
      </x:c>
      <x:c r="U115" s="30" t="n">
        <x:f>INDEX('Prompt Totals'!$K$7:$K$246,MATCH($A115,'Prompt Totals'!$A$7:$A$246,0))</x:f>
        <x:v>35.8271</x:v>
      </x:c>
      <x:c r="V115" s="29" t="n">
        <x:f>INDEX('Prompt Totals'!$L$7:$L$246,MATCH($A115,'Prompt Totals'!$A$7:$A$246,0))</x:f>
        <x:v>1</x:v>
      </x:c>
      <x:c r="W115" s="29" t="n">
        <x:f>INDEX('Prompt Totals'!$M$7:$M$246,MATCH($A115,'Prompt Totals'!$A$7:$A$246,0))</x:f>
        <x:v>11</x:v>
      </x:c>
      <x:c r="X115" s="29" t="n">
        <x:f>INDEX('Prompt Totals'!$N$7:$N$246,MATCH($A115,'Prompt Totals'!$A$7:$A$246,0))</x:f>
        <x:v>7</x:v>
      </x:c>
      <x:c r="Y115" s="19" t="n">
        <x:f>G115-H115</x:f>
        <x:v>-1.9399999999999995</x:v>
      </x:c>
      <x:c r="Z115" s="30" t="n">
        <x:f>Y115*'Solution'!$C$5</x:f>
        <x:v>-96.99999999999997</x:v>
      </x:c>
      <x:c r="AA115" s="22" t="n">
        <x:f>Z115-U115</x:f>
        <x:v>-132.82709999999997</x:v>
      </x:c>
    </x:row>
    <x:row r="116" ht="23" customHeight="1">
      <x:c r="A116" s="17" t="str">
        <x:v>W0110</x:v>
      </x:c>
      <x:c r="B116" s="18" t="n">
        <x:v>46281</x:v>
      </x:c>
      <x:c r="C116" s="17" t="str">
        <x:v>C002</x:v>
      </x:c>
      <x:c r="D116" s="17" t="str">
        <x:v>Creative</x:v>
      </x:c>
      <x:c r="E116" s="17" t="str">
        <x:v>Riley Chen</x:v>
      </x:c>
      <x:c r="F116" s="17" t="str">
        <x:v>Review creative variants</x:v>
      </x:c>
      <x:c r="G116" s="20" t="n">
        <x:v>2.81</x:v>
      </x:c>
      <x:c r="H116" s="20" t="n">
        <x:v>3.85</x:v>
      </x:c>
      <x:c r="I116" s="20" t="n">
        <x:v>1.55</x:v>
      </x:c>
      <x:c r="J116" s="17" t="str">
        <x:v>Brief changed</x:v>
      </x:c>
      <x:c r="K116" s="17" t="str">
        <x:v>Yes</x:v>
      </x:c>
      <x:c r="L116" s="17" t="str">
        <x:v>Yes</x:v>
      </x:c>
      <x:c r="M116" s="29" t="str">
        <x:f>INDEX('Prompt Totals'!$C$7:$C$246,MATCH($A116,'Prompt Totals'!$A$7:$A$246,0))</x:f>
        <x:v>CampaignChat</x:v>
      </x:c>
      <x:c r="N116" s="29" t="str">
        <x:f>INDEX('Prompt Totals'!$D$7:$D$246,MATCH($A116,'Prompt Totals'!$A$7:$A$246,0))</x:f>
        <x:v>Lite</x:v>
      </x:c>
      <x:c r="O116" s="29" t="n">
        <x:f>INDEX('Prompt Totals'!$E$7:$E$246,MATCH($A116,'Prompt Totals'!$A$7:$A$246,0))</x:f>
        <x:v>547961</x:v>
      </x:c>
      <x:c r="P116" s="29" t="n">
        <x:f>INDEX('Prompt Totals'!$F$7:$F$246,MATCH($A116,'Prompt Totals'!$A$7:$A$246,0))</x:f>
        <x:v>161336</x:v>
      </x:c>
      <x:c r="Q116" s="29" t="n">
        <x:f>INDEX('Prompt Totals'!$G$7:$G$246,MATCH($A116,'Prompt Totals'!$A$7:$A$246,0))</x:f>
        <x:v>709297</x:v>
      </x:c>
      <x:c r="R116" s="29" t="n">
        <x:f>INDEX('Prompt Totals'!$H$7:$H$246,MATCH($A116,'Prompt Totals'!$A$7:$A$246,0))</x:f>
        <x:v>21</x:v>
      </x:c>
      <x:c r="S116" s="30" t="n">
        <x:f>INDEX('Prompt Totals'!$I$7:$I$246,MATCH($A116,'Prompt Totals'!$A$7:$A$246,0))</x:f>
        <x:v>5.47961</x:v>
      </x:c>
      <x:c r="T116" s="30" t="n">
        <x:f>INDEX('Prompt Totals'!$J$7:$J$246,MATCH($A116,'Prompt Totals'!$A$7:$A$246,0))</x:f>
        <x:v>4.84008</x:v>
      </x:c>
      <x:c r="U116" s="30" t="n">
        <x:f>INDEX('Prompt Totals'!$K$7:$K$246,MATCH($A116,'Prompt Totals'!$A$7:$A$246,0))</x:f>
        <x:v>10.319690000000001</x:v>
      </x:c>
      <x:c r="V116" s="29" t="n">
        <x:f>INDEX('Prompt Totals'!$L$7:$L$246,MATCH($A116,'Prompt Totals'!$A$7:$A$246,0))</x:f>
        <x:v>1</x:v>
      </x:c>
      <x:c r="W116" s="29" t="n">
        <x:f>INDEX('Prompt Totals'!$M$7:$M$246,MATCH($A116,'Prompt Totals'!$A$7:$A$246,0))</x:f>
        <x:v>11</x:v>
      </x:c>
      <x:c r="X116" s="29" t="n">
        <x:f>INDEX('Prompt Totals'!$N$7:$N$246,MATCH($A116,'Prompt Totals'!$A$7:$A$246,0))</x:f>
        <x:v>9</x:v>
      </x:c>
      <x:c r="Y116" s="19" t="n">
        <x:f>G116-H116</x:f>
        <x:v>-1.04</x:v>
      </x:c>
      <x:c r="Z116" s="30" t="n">
        <x:f>Y116*'Solution'!$C$5</x:f>
        <x:v>-52</x:v>
      </x:c>
      <x:c r="AA116" s="22" t="n">
        <x:f>Z116-U116</x:f>
        <x:v>-62.31969</x:v>
      </x:c>
    </x:row>
    <x:row r="117" ht="23" customHeight="1">
      <x:c r="A117" s="17" t="str">
        <x:v>W0111</x:v>
      </x:c>
      <x:c r="B117" s="18" t="n">
        <x:v>46290</x:v>
      </x:c>
      <x:c r="C117" s="17" t="str">
        <x:v>C002</x:v>
      </x:c>
      <x:c r="D117" s="17" t="str">
        <x:v>Creative</x:v>
      </x:c>
      <x:c r="E117" s="17" t="str">
        <x:v>Taylor Brooks</x:v>
      </x:c>
      <x:c r="F117" s="17" t="str">
        <x:v>Plan visual narrative</x:v>
      </x:c>
      <x:c r="G117" s="20" t="n">
        <x:v>2.98</x:v>
      </x:c>
      <x:c r="H117" s="20" t="n">
        <x:v>3.51</x:v>
      </x:c>
      <x:c r="I117" s="20" t="n">
        <x:v>0.95</x:v>
      </x:c>
      <x:c r="J117" s="17" t="str">
        <x:v>Brief changed</x:v>
      </x:c>
      <x:c r="K117" s="17" t="str">
        <x:v>Yes</x:v>
      </x:c>
      <x:c r="L117" s="17" t="str">
        <x:v>No</x:v>
      </x:c>
      <x:c r="M117" s="29" t="str">
        <x:f>INDEX('Prompt Totals'!$C$7:$C$246,MATCH($A117,'Prompt Totals'!$A$7:$A$246,0))</x:f>
        <x:v>CampaignChat</x:v>
      </x:c>
      <x:c r="N117" s="29" t="str">
        <x:f>INDEX('Prompt Totals'!$D$7:$D$246,MATCH($A117,'Prompt Totals'!$A$7:$A$246,0))</x:f>
        <x:v>Lite</x:v>
      </x:c>
      <x:c r="O117" s="29" t="n">
        <x:f>INDEX('Prompt Totals'!$E$7:$E$246,MATCH($A117,'Prompt Totals'!$A$7:$A$246,0))</x:f>
        <x:v>953118</x:v>
      </x:c>
      <x:c r="P117" s="29" t="n">
        <x:f>INDEX('Prompt Totals'!$F$7:$F$246,MATCH($A117,'Prompt Totals'!$A$7:$A$246,0))</x:f>
        <x:v>144608</x:v>
      </x:c>
      <x:c r="Q117" s="29" t="n">
        <x:f>INDEX('Prompt Totals'!$G$7:$G$246,MATCH($A117,'Prompt Totals'!$A$7:$A$246,0))</x:f>
        <x:v>1097726</x:v>
      </x:c>
      <x:c r="R117" s="29" t="n">
        <x:f>INDEX('Prompt Totals'!$H$7:$H$246,MATCH($A117,'Prompt Totals'!$A$7:$A$246,0))</x:f>
        <x:v>25</x:v>
      </x:c>
      <x:c r="S117" s="30" t="n">
        <x:f>INDEX('Prompt Totals'!$I$7:$I$246,MATCH($A117,'Prompt Totals'!$A$7:$A$246,0))</x:f>
        <x:v>9.531179999999997</x:v>
      </x:c>
      <x:c r="T117" s="30" t="n">
        <x:f>INDEX('Prompt Totals'!$J$7:$J$246,MATCH($A117,'Prompt Totals'!$A$7:$A$246,0))</x:f>
        <x:v>4.33824</x:v>
      </x:c>
      <x:c r="U117" s="30" t="n">
        <x:f>INDEX('Prompt Totals'!$K$7:$K$246,MATCH($A117,'Prompt Totals'!$A$7:$A$246,0))</x:f>
        <x:v>13.869420000000002</x:v>
      </x:c>
      <x:c r="V117" s="29" t="n">
        <x:f>INDEX('Prompt Totals'!$L$7:$L$246,MATCH($A117,'Prompt Totals'!$A$7:$A$246,0))</x:f>
        <x:v>1</x:v>
      </x:c>
      <x:c r="W117" s="29" t="n">
        <x:f>INDEX('Prompt Totals'!$M$7:$M$246,MATCH($A117,'Prompt Totals'!$A$7:$A$246,0))</x:f>
        <x:v>11</x:v>
      </x:c>
      <x:c r="X117" s="29" t="n">
        <x:f>INDEX('Prompt Totals'!$N$7:$N$246,MATCH($A117,'Prompt Totals'!$A$7:$A$246,0))</x:f>
        <x:v>13</x:v>
      </x:c>
      <x:c r="Y117" s="19" t="n">
        <x:f>G117-H117</x:f>
        <x:v>-0.5299999999999998</x:v>
      </x:c>
      <x:c r="Z117" s="30" t="n">
        <x:f>Y117*'Solution'!$C$5</x:f>
        <x:v>-26.49999999999999</x:v>
      </x:c>
      <x:c r="AA117" s="22" t="n">
        <x:f>Z117-U117</x:f>
        <x:v>-40.36941999999999</x:v>
      </x:c>
    </x:row>
    <x:row r="118" ht="23" customHeight="1">
      <x:c r="A118" s="17" t="str">
        <x:v>W0112</x:v>
      </x:c>
      <x:c r="B118" s="18" t="n">
        <x:v>46275</x:v>
      </x:c>
      <x:c r="C118" s="17" t="str">
        <x:v>C002</x:v>
      </x:c>
      <x:c r="D118" s="17" t="str">
        <x:v>Marketing Operations</x:v>
      </x:c>
      <x:c r="E118" s="17" t="str">
        <x:v>Casey Rivera</x:v>
      </x:c>
      <x:c r="F118" s="17" t="str">
        <x:v>Build campaign plan</x:v>
      </x:c>
      <x:c r="G118" s="20" t="n">
        <x:v>4.36</x:v>
      </x:c>
      <x:c r="H118" s="20" t="n">
        <x:v>5.69</x:v>
      </x:c>
      <x:c r="I118" s="20" t="n">
        <x:v>1.57</x:v>
      </x:c>
      <x:c r="J118" s="17" t="str">
        <x:v>Brief changed</x:v>
      </x:c>
      <x:c r="K118" s="17" t="str">
        <x:v>Yes</x:v>
      </x:c>
      <x:c r="L118" s="17" t="str">
        <x:v>No</x:v>
      </x:c>
      <x:c r="M118" s="29" t="str">
        <x:f>INDEX('Prompt Totals'!$C$7:$C$246,MATCH($A118,'Prompt Totals'!$A$7:$A$246,0))</x:f>
        <x:v>DataFlow</x:v>
      </x:c>
      <x:c r="N118" s="29" t="str">
        <x:f>INDEX('Prompt Totals'!$D$7:$D$246,MATCH($A118,'Prompt Totals'!$A$7:$A$246,0))</x:f>
        <x:v>Lite</x:v>
      </x:c>
      <x:c r="O118" s="29" t="n">
        <x:f>INDEX('Prompt Totals'!$E$7:$E$246,MATCH($A118,'Prompt Totals'!$A$7:$A$246,0))</x:f>
        <x:v>795470</x:v>
      </x:c>
      <x:c r="P118" s="29" t="n">
        <x:f>INDEX('Prompt Totals'!$F$7:$F$246,MATCH($A118,'Prompt Totals'!$A$7:$A$246,0))</x:f>
        <x:v>213965</x:v>
      </x:c>
      <x:c r="Q118" s="29" t="n">
        <x:f>INDEX('Prompt Totals'!$G$7:$G$246,MATCH($A118,'Prompt Totals'!$A$7:$A$246,0))</x:f>
        <x:v>1009435</x:v>
      </x:c>
      <x:c r="R118" s="29" t="n">
        <x:f>INDEX('Prompt Totals'!$H$7:$H$246,MATCH($A118,'Prompt Totals'!$A$7:$A$246,0))</x:f>
        <x:v>25</x:v>
      </x:c>
      <x:c r="S118" s="30" t="n">
        <x:f>INDEX('Prompt Totals'!$I$7:$I$246,MATCH($A118,'Prompt Totals'!$A$7:$A$246,0))</x:f>
        <x:v>7.9547</x:v>
      </x:c>
      <x:c r="T118" s="30" t="n">
        <x:f>INDEX('Prompt Totals'!$J$7:$J$246,MATCH($A118,'Prompt Totals'!$A$7:$A$246,0))</x:f>
        <x:v>6.418950000000001</x:v>
      </x:c>
      <x:c r="U118" s="30" t="n">
        <x:f>INDEX('Prompt Totals'!$K$7:$K$246,MATCH($A118,'Prompt Totals'!$A$7:$A$246,0))</x:f>
        <x:v>14.373649999999998</x:v>
      </x:c>
      <x:c r="V118" s="29" t="n">
        <x:f>INDEX('Prompt Totals'!$L$7:$L$246,MATCH($A118,'Prompt Totals'!$A$7:$A$246,0))</x:f>
        <x:v>1</x:v>
      </x:c>
      <x:c r="W118" s="29" t="n">
        <x:f>INDEX('Prompt Totals'!$M$7:$M$246,MATCH($A118,'Prompt Totals'!$A$7:$A$246,0))</x:f>
        <x:v>15</x:v>
      </x:c>
      <x:c r="X118" s="29" t="n">
        <x:f>INDEX('Prompt Totals'!$N$7:$N$246,MATCH($A118,'Prompt Totals'!$A$7:$A$246,0))</x:f>
        <x:v>9</x:v>
      </x:c>
      <x:c r="Y118" s="19" t="n">
        <x:f>G118-H118</x:f>
        <x:v>-1.33</x:v>
      </x:c>
      <x:c r="Z118" s="30" t="n">
        <x:f>Y118*'Solution'!$C$5</x:f>
        <x:v>-66.5</x:v>
      </x:c>
      <x:c r="AA118" s="22" t="n">
        <x:f>Z118-U118</x:f>
        <x:v>-80.87365</x:v>
      </x:c>
    </x:row>
    <x:row r="119" ht="23" customHeight="1">
      <x:c r="A119" s="17" t="str">
        <x:v>W0113</x:v>
      </x:c>
      <x:c r="B119" s="18" t="n">
        <x:v>46286</x:v>
      </x:c>
      <x:c r="C119" s="17" t="str">
        <x:v>C002</x:v>
      </x:c>
      <x:c r="D119" s="17" t="str">
        <x:v>Marketing Operations</x:v>
      </x:c>
      <x:c r="E119" s="17" t="str">
        <x:v>Morgan Reed</x:v>
      </x:c>
      <x:c r="F119" s="17" t="str">
        <x:v>Clean audience data</x:v>
      </x:c>
      <x:c r="G119" s="20" t="n">
        <x:v>2.52</x:v>
      </x:c>
      <x:c r="H119" s="20" t="n">
        <x:v>3.3</x:v>
      </x:c>
      <x:c r="I119" s="20" t="n">
        <x:v>1.49</x:v>
      </x:c>
      <x:c r="J119" s="17" t="str">
        <x:v>Data problem</x:v>
      </x:c>
      <x:c r="K119" s="17" t="str">
        <x:v>No</x:v>
      </x:c>
      <x:c r="L119" s="17" t="str">
        <x:v>No</x:v>
      </x:c>
      <x:c r="M119" s="29" t="str">
        <x:f>INDEX('Prompt Totals'!$C$7:$C$246,MATCH($A119,'Prompt Totals'!$A$7:$A$246,0))</x:f>
        <x:v>DataFlow</x:v>
      </x:c>
      <x:c r="N119" s="29" t="str">
        <x:f>INDEX('Prompt Totals'!$D$7:$D$246,MATCH($A119,'Prompt Totals'!$A$7:$A$246,0))</x:f>
        <x:v>Pro</x:v>
      </x:c>
      <x:c r="O119" s="29" t="n">
        <x:f>INDEX('Prompt Totals'!$E$7:$E$246,MATCH($A119,'Prompt Totals'!$A$7:$A$246,0))</x:f>
        <x:v>365125</x:v>
      </x:c>
      <x:c r="P119" s="29" t="n">
        <x:f>INDEX('Prompt Totals'!$F$7:$F$246,MATCH($A119,'Prompt Totals'!$A$7:$A$246,0))</x:f>
        <x:v>179806</x:v>
      </x:c>
      <x:c r="Q119" s="29" t="n">
        <x:f>INDEX('Prompt Totals'!$G$7:$G$246,MATCH($A119,'Prompt Totals'!$A$7:$A$246,0))</x:f>
        <x:v>544931</x:v>
      </x:c>
      <x:c r="R119" s="29" t="n">
        <x:f>INDEX('Prompt Totals'!$H$7:$H$246,MATCH($A119,'Prompt Totals'!$A$7:$A$246,0))</x:f>
        <x:v>19</x:v>
      </x:c>
      <x:c r="S119" s="30" t="n">
        <x:f>INDEX('Prompt Totals'!$I$7:$I$246,MATCH($A119,'Prompt Totals'!$A$7:$A$246,0))</x:f>
        <x:v>14.605</x:v>
      </x:c>
      <x:c r="T119" s="30" t="n">
        <x:f>INDEX('Prompt Totals'!$J$7:$J$246,MATCH($A119,'Prompt Totals'!$A$7:$A$246,0))</x:f>
        <x:v>17.9806</x:v>
      </x:c>
      <x:c r="U119" s="30" t="n">
        <x:f>INDEX('Prompt Totals'!$K$7:$K$246,MATCH($A119,'Prompt Totals'!$A$7:$A$246,0))</x:f>
        <x:v>32.5856</x:v>
      </x:c>
      <x:c r="V119" s="29" t="n">
        <x:f>INDEX('Prompt Totals'!$L$7:$L$246,MATCH($A119,'Prompt Totals'!$A$7:$A$246,0))</x:f>
        <x:v>1</x:v>
      </x:c>
      <x:c r="W119" s="29" t="n">
        <x:f>INDEX('Prompt Totals'!$M$7:$M$246,MATCH($A119,'Prompt Totals'!$A$7:$A$246,0))</x:f>
        <x:v>12</x:v>
      </x:c>
      <x:c r="X119" s="29" t="n">
        <x:f>INDEX('Prompt Totals'!$N$7:$N$246,MATCH($A119,'Prompt Totals'!$A$7:$A$246,0))</x:f>
        <x:v>6</x:v>
      </x:c>
      <x:c r="Y119" s="19" t="n">
        <x:f>G119-H119</x:f>
        <x:v>-0.7799999999999998</x:v>
      </x:c>
      <x:c r="Z119" s="30" t="n">
        <x:f>Y119*'Solution'!$C$5</x:f>
        <x:v>-38.99999999999999</x:v>
      </x:c>
      <x:c r="AA119" s="22" t="n">
        <x:f>Z119-U119</x:f>
        <x:v>-71.5856</x:v>
      </x:c>
    </x:row>
    <x:row r="120" ht="23" customHeight="1">
      <x:c r="A120" s="17" t="str">
        <x:v>W0114</x:v>
      </x:c>
      <x:c r="B120" s="18" t="n">
        <x:v>46295</x:v>
      </x:c>
      <x:c r="C120" s="17" t="str">
        <x:v>C002</x:v>
      </x:c>
      <x:c r="D120" s="17" t="str">
        <x:v>Analytics</x:v>
      </x:c>
      <x:c r="E120" s="17" t="str">
        <x:v>Quinn Parker</x:v>
      </x:c>
      <x:c r="F120" s="17" t="str">
        <x:v>Check measurement plan</x:v>
      </x:c>
      <x:c r="G120" s="20" t="n">
        <x:v>2.82</x:v>
      </x:c>
      <x:c r="H120" s="20" t="n">
        <x:v>3.69</x:v>
      </x:c>
      <x:c r="I120" s="20" t="n">
        <x:v>1.77</x:v>
      </x:c>
      <x:c r="J120" s="17" t="str">
        <x:v>Brief changed</x:v>
      </x:c>
      <x:c r="K120" s="17" t="str">
        <x:v>Yes</x:v>
      </x:c>
      <x:c r="L120" s="17" t="str">
        <x:v>No</x:v>
      </x:c>
      <x:c r="M120" s="29" t="str">
        <x:f>INDEX('Prompt Totals'!$C$7:$C$246,MATCH($A120,'Prompt Totals'!$A$7:$A$246,0))</x:f>
        <x:v>InsightDesk</x:v>
      </x:c>
      <x:c r="N120" s="29" t="str">
        <x:f>INDEX('Prompt Totals'!$D$7:$D$246,MATCH($A120,'Prompt Totals'!$A$7:$A$246,0))</x:f>
        <x:v>Pro</x:v>
      </x:c>
      <x:c r="O120" s="29" t="n">
        <x:f>INDEX('Prompt Totals'!$E$7:$E$246,MATCH($A120,'Prompt Totals'!$A$7:$A$246,0))</x:f>
        <x:v>266151</x:v>
      </x:c>
      <x:c r="P120" s="29" t="n">
        <x:f>INDEX('Prompt Totals'!$F$7:$F$246,MATCH($A120,'Prompt Totals'!$A$7:$A$246,0))</x:f>
        <x:v>252797</x:v>
      </x:c>
      <x:c r="Q120" s="29" t="n">
        <x:f>INDEX('Prompt Totals'!$G$7:$G$246,MATCH($A120,'Prompt Totals'!$A$7:$A$246,0))</x:f>
        <x:v>518948</x:v>
      </x:c>
      <x:c r="R120" s="29" t="n">
        <x:f>INDEX('Prompt Totals'!$H$7:$H$246,MATCH($A120,'Prompt Totals'!$A$7:$A$246,0))</x:f>
        <x:v>23</x:v>
      </x:c>
      <x:c r="S120" s="30" t="n">
        <x:f>INDEX('Prompt Totals'!$I$7:$I$246,MATCH($A120,'Prompt Totals'!$A$7:$A$246,0))</x:f>
        <x:v>10.646040000000001</x:v>
      </x:c>
      <x:c r="T120" s="30" t="n">
        <x:f>INDEX('Prompt Totals'!$J$7:$J$246,MATCH($A120,'Prompt Totals'!$A$7:$A$246,0))</x:f>
        <x:v>25.279700000000005</x:v>
      </x:c>
      <x:c r="U120" s="30" t="n">
        <x:f>INDEX('Prompt Totals'!$K$7:$K$246,MATCH($A120,'Prompt Totals'!$A$7:$A$246,0))</x:f>
        <x:v>35.92573999999999</x:v>
      </x:c>
      <x:c r="V120" s="29" t="n">
        <x:f>INDEX('Prompt Totals'!$L$7:$L$246,MATCH($A120,'Prompt Totals'!$A$7:$A$246,0))</x:f>
        <x:v>1</x:v>
      </x:c>
      <x:c r="W120" s="29" t="n">
        <x:f>INDEX('Prompt Totals'!$M$7:$M$246,MATCH($A120,'Prompt Totals'!$A$7:$A$246,0))</x:f>
        <x:v>9</x:v>
      </x:c>
      <x:c r="X120" s="29" t="n">
        <x:f>INDEX('Prompt Totals'!$N$7:$N$246,MATCH($A120,'Prompt Totals'!$A$7:$A$246,0))</x:f>
        <x:v>13</x:v>
      </x:c>
      <x:c r="Y120" s="19" t="n">
        <x:f>G120-H120</x:f>
        <x:v>-0.8700000000000001</x:v>
      </x:c>
      <x:c r="Z120" s="30" t="n">
        <x:f>Y120*'Solution'!$C$5</x:f>
        <x:v>-43.50000000000001</x:v>
      </x:c>
      <x:c r="AA120" s="22" t="n">
        <x:f>Z120-U120</x:f>
        <x:v>-79.42573999999999</x:v>
      </x:c>
    </x:row>
    <x:row r="121" ht="23" customHeight="1">
      <x:c r="A121" s="17" t="str">
        <x:v>W0115</x:v>
      </x:c>
      <x:c r="B121" s="18" t="n">
        <x:v>46280</x:v>
      </x:c>
      <x:c r="C121" s="17" t="str">
        <x:v>C002</x:v>
      </x:c>
      <x:c r="D121" s="17" t="str">
        <x:v>Analytics</x:v>
      </x:c>
      <x:c r="E121" s="17" t="str">
        <x:v>Jamie Patel</x:v>
      </x:c>
      <x:c r="F121" s="17" t="str">
        <x:v>Analyze campaign results</x:v>
      </x:c>
      <x:c r="G121" s="20" t="n">
        <x:v>3.38</x:v>
      </x:c>
      <x:c r="H121" s="20" t="n">
        <x:v>4.5</x:v>
      </x:c>
      <x:c r="I121" s="20" t="n">
        <x:v>1.64</x:v>
      </x:c>
      <x:c r="J121" s="17" t="str">
        <x:v>Brief changed</x:v>
      </x:c>
      <x:c r="K121" s="17" t="str">
        <x:v>Yes</x:v>
      </x:c>
      <x:c r="L121" s="17" t="str">
        <x:v>No</x:v>
      </x:c>
      <x:c r="M121" s="29" t="str">
        <x:f>INDEX('Prompt Totals'!$C$7:$C$246,MATCH($A121,'Prompt Totals'!$A$7:$A$246,0))</x:f>
        <x:v>InsightDesk</x:v>
      </x:c>
      <x:c r="N121" s="29" t="str">
        <x:f>INDEX('Prompt Totals'!$D$7:$D$246,MATCH($A121,'Prompt Totals'!$A$7:$A$246,0))</x:f>
        <x:v>Pro</x:v>
      </x:c>
      <x:c r="O121" s="29" t="n">
        <x:f>INDEX('Prompt Totals'!$E$7:$E$246,MATCH($A121,'Prompt Totals'!$A$7:$A$246,0))</x:f>
        <x:v>277493</x:v>
      </x:c>
      <x:c r="P121" s="29" t="n">
        <x:f>INDEX('Prompt Totals'!$F$7:$F$246,MATCH($A121,'Prompt Totals'!$A$7:$A$246,0))</x:f>
        <x:v>186005</x:v>
      </x:c>
      <x:c r="Q121" s="29" t="n">
        <x:f>INDEX('Prompt Totals'!$G$7:$G$246,MATCH($A121,'Prompt Totals'!$A$7:$A$246,0))</x:f>
        <x:v>463498</x:v>
      </x:c>
      <x:c r="R121" s="29" t="n">
        <x:f>INDEX('Prompt Totals'!$H$7:$H$246,MATCH($A121,'Prompt Totals'!$A$7:$A$246,0))</x:f>
        <x:v>18</x:v>
      </x:c>
      <x:c r="S121" s="30" t="n">
        <x:f>INDEX('Prompt Totals'!$I$7:$I$246,MATCH($A121,'Prompt Totals'!$A$7:$A$246,0))</x:f>
        <x:v>11.099719999999998</x:v>
      </x:c>
      <x:c r="T121" s="30" t="n">
        <x:f>INDEX('Prompt Totals'!$J$7:$J$246,MATCH($A121,'Prompt Totals'!$A$7:$A$246,0))</x:f>
        <x:v>18.6005</x:v>
      </x:c>
      <x:c r="U121" s="30" t="n">
        <x:f>INDEX('Prompt Totals'!$K$7:$K$246,MATCH($A121,'Prompt Totals'!$A$7:$A$246,0))</x:f>
        <x:v>29.700219999999998</x:v>
      </x:c>
      <x:c r="V121" s="29" t="n">
        <x:f>INDEX('Prompt Totals'!$L$7:$L$246,MATCH($A121,'Prompt Totals'!$A$7:$A$246,0))</x:f>
        <x:v>1</x:v>
      </x:c>
      <x:c r="W121" s="29" t="n">
        <x:f>INDEX('Prompt Totals'!$M$7:$M$246,MATCH($A121,'Prompt Totals'!$A$7:$A$246,0))</x:f>
        <x:v>8</x:v>
      </x:c>
      <x:c r="X121" s="29" t="n">
        <x:f>INDEX('Prompt Totals'!$N$7:$N$246,MATCH($A121,'Prompt Totals'!$A$7:$A$246,0))</x:f>
        <x:v>9</x:v>
      </x:c>
      <x:c r="Y121" s="19" t="n">
        <x:f>G121-H121</x:f>
        <x:v>-1.12</x:v>
      </x:c>
      <x:c r="Z121" s="30" t="n">
        <x:f>Y121*'Solution'!$C$5</x:f>
        <x:v>-56.00000000000001</x:v>
      </x:c>
      <x:c r="AA121" s="22" t="n">
        <x:f>Z121-U121</x:f>
        <x:v>-85.70022</x:v>
      </x:c>
    </x:row>
    <x:row r="122" ht="23" customHeight="1">
      <x:c r="A122" s="17" t="str">
        <x:v>W0116</x:v>
      </x:c>
      <x:c r="B122" s="18" t="n">
        <x:v>46289</x:v>
      </x:c>
      <x:c r="C122" s="17" t="str">
        <x:v>C002</x:v>
      </x:c>
      <x:c r="D122" s="17" t="str">
        <x:v>Content</x:v>
      </x:c>
      <x:c r="E122" s="17" t="str">
        <x:v>Avery Morgan</x:v>
      </x:c>
      <x:c r="F122" s="17" t="str">
        <x:v>Draft email sequence</x:v>
      </x:c>
      <x:c r="G122" s="20" t="n">
        <x:v>2.61</x:v>
      </x:c>
      <x:c r="H122" s="20" t="n">
        <x:v>3.61</x:v>
      </x:c>
      <x:c r="I122" s="20" t="n">
        <x:v>0.89</x:v>
      </x:c>
      <x:c r="J122" s="17" t="str">
        <x:v>Brief changed</x:v>
      </x:c>
      <x:c r="K122" s="17" t="str">
        <x:v>Yes</x:v>
      </x:c>
      <x:c r="L122" s="17" t="str">
        <x:v>No</x:v>
      </x:c>
      <x:c r="M122" s="29" t="str">
        <x:f>INDEX('Prompt Totals'!$C$7:$C$246,MATCH($A122,'Prompt Totals'!$A$7:$A$246,0))</x:f>
        <x:v>CopyStudio</x:v>
      </x:c>
      <x:c r="N122" s="29" t="str">
        <x:f>INDEX('Prompt Totals'!$D$7:$D$246,MATCH($A122,'Prompt Totals'!$A$7:$A$246,0))</x:f>
        <x:v>Pro</x:v>
      </x:c>
      <x:c r="O122" s="29" t="n">
        <x:f>INDEX('Prompt Totals'!$E$7:$E$246,MATCH($A122,'Prompt Totals'!$A$7:$A$246,0))</x:f>
        <x:v>422573</x:v>
      </x:c>
      <x:c r="P122" s="29" t="n">
        <x:f>INDEX('Prompt Totals'!$F$7:$F$246,MATCH($A122,'Prompt Totals'!$A$7:$A$246,0))</x:f>
        <x:v>263824</x:v>
      </x:c>
      <x:c r="Q122" s="29" t="n">
        <x:f>INDEX('Prompt Totals'!$G$7:$G$246,MATCH($A122,'Prompt Totals'!$A$7:$A$246,0))</x:f>
        <x:v>686397</x:v>
      </x:c>
      <x:c r="R122" s="29" t="n">
        <x:f>INDEX('Prompt Totals'!$H$7:$H$246,MATCH($A122,'Prompt Totals'!$A$7:$A$246,0))</x:f>
        <x:v>27</x:v>
      </x:c>
      <x:c r="S122" s="30" t="n">
        <x:f>INDEX('Prompt Totals'!$I$7:$I$246,MATCH($A122,'Prompt Totals'!$A$7:$A$246,0))</x:f>
        <x:v>16.902919999999998</x:v>
      </x:c>
      <x:c r="T122" s="30" t="n">
        <x:f>INDEX('Prompt Totals'!$J$7:$J$246,MATCH($A122,'Prompt Totals'!$A$7:$A$246,0))</x:f>
        <x:v>26.382399999999997</x:v>
      </x:c>
      <x:c r="U122" s="30" t="n">
        <x:f>INDEX('Prompt Totals'!$K$7:$K$246,MATCH($A122,'Prompt Totals'!$A$7:$A$246,0))</x:f>
        <x:v>43.28531999999999</x:v>
      </x:c>
      <x:c r="V122" s="29" t="n">
        <x:f>INDEX('Prompt Totals'!$L$7:$L$246,MATCH($A122,'Prompt Totals'!$A$7:$A$246,0))</x:f>
        <x:v>1</x:v>
      </x:c>
      <x:c r="W122" s="29" t="n">
        <x:f>INDEX('Prompt Totals'!$M$7:$M$246,MATCH($A122,'Prompt Totals'!$A$7:$A$246,0))</x:f>
        <x:v>11</x:v>
      </x:c>
      <x:c r="X122" s="29" t="n">
        <x:f>INDEX('Prompt Totals'!$N$7:$N$246,MATCH($A122,'Prompt Totals'!$A$7:$A$246,0))</x:f>
        <x:v>15</x:v>
      </x:c>
      <x:c r="Y122" s="19" t="n">
        <x:f>G122-H122</x:f>
        <x:v>-1</x:v>
      </x:c>
      <x:c r="Z122" s="30" t="n">
        <x:f>Y122*'Solution'!$C$5</x:f>
        <x:v>-50</x:v>
      </x:c>
      <x:c r="AA122" s="22" t="n">
        <x:f>Z122-U122</x:f>
        <x:v>-93.28531999999998</x:v>
      </x:c>
    </x:row>
    <x:row r="123" ht="23" customHeight="1">
      <x:c r="A123" s="17" t="str">
        <x:v>W0117</x:v>
      </x:c>
      <x:c r="B123" s="18" t="n">
        <x:v>46274</x:v>
      </x:c>
      <x:c r="C123" s="17" t="str">
        <x:v>C002</x:v>
      </x:c>
      <x:c r="D123" s="17" t="str">
        <x:v>Content</x:v>
      </x:c>
      <x:c r="E123" s="17" t="str">
        <x:v>Jordan Ellis</x:v>
      </x:c>
      <x:c r="F123" s="17" t="str">
        <x:v>Edit landing page</x:v>
      </x:c>
      <x:c r="G123" s="20" t="n">
        <x:v>4.29</x:v>
      </x:c>
      <x:c r="H123" s="20" t="n">
        <x:v>7.91</x:v>
      </x:c>
      <x:c r="I123" s="20" t="n">
        <x:v>3.28</x:v>
      </x:c>
      <x:c r="J123" s="17" t="str">
        <x:v>Brief changed</x:v>
      </x:c>
      <x:c r="K123" s="17" t="str">
        <x:v>Yes</x:v>
      </x:c>
      <x:c r="L123" s="17" t="str">
        <x:v>No</x:v>
      </x:c>
      <x:c r="M123" s="29" t="str">
        <x:f>INDEX('Prompt Totals'!$C$7:$C$246,MATCH($A123,'Prompt Totals'!$A$7:$A$246,0))</x:f>
        <x:v>CopyStudio</x:v>
      </x:c>
      <x:c r="N123" s="29" t="str">
        <x:f>INDEX('Prompt Totals'!$D$7:$D$246,MATCH($A123,'Prompt Totals'!$A$7:$A$246,0))</x:f>
        <x:v>Lite</x:v>
      </x:c>
      <x:c r="O123" s="29" t="n">
        <x:f>INDEX('Prompt Totals'!$E$7:$E$246,MATCH($A123,'Prompt Totals'!$A$7:$A$246,0))</x:f>
        <x:v>535782</x:v>
      </x:c>
      <x:c r="P123" s="29" t="n">
        <x:f>INDEX('Prompt Totals'!$F$7:$F$246,MATCH($A123,'Prompt Totals'!$A$7:$A$246,0))</x:f>
        <x:v>65111</x:v>
      </x:c>
      <x:c r="Q123" s="29" t="n">
        <x:f>INDEX('Prompt Totals'!$G$7:$G$246,MATCH($A123,'Prompt Totals'!$A$7:$A$246,0))</x:f>
        <x:v>600893</x:v>
      </x:c>
      <x:c r="R123" s="29" t="n">
        <x:f>INDEX('Prompt Totals'!$H$7:$H$246,MATCH($A123,'Prompt Totals'!$A$7:$A$246,0))</x:f>
        <x:v>17</x:v>
      </x:c>
      <x:c r="S123" s="30" t="n">
        <x:f>INDEX('Prompt Totals'!$I$7:$I$246,MATCH($A123,'Prompt Totals'!$A$7:$A$246,0))</x:f>
        <x:v>5.35782</x:v>
      </x:c>
      <x:c r="T123" s="30" t="n">
        <x:f>INDEX('Prompt Totals'!$J$7:$J$246,MATCH($A123,'Prompt Totals'!$A$7:$A$246,0))</x:f>
        <x:v>1.9533299999999998</x:v>
      </x:c>
      <x:c r="U123" s="30" t="n">
        <x:f>INDEX('Prompt Totals'!$K$7:$K$246,MATCH($A123,'Prompt Totals'!$A$7:$A$246,0))</x:f>
        <x:v>7.3111500000000005</x:v>
      </x:c>
      <x:c r="V123" s="29" t="n">
        <x:f>INDEX('Prompt Totals'!$L$7:$L$246,MATCH($A123,'Prompt Totals'!$A$7:$A$246,0))</x:f>
        <x:v>1</x:v>
      </x:c>
      <x:c r="W123" s="29" t="n">
        <x:f>INDEX('Prompt Totals'!$M$7:$M$246,MATCH($A123,'Prompt Totals'!$A$7:$A$246,0))</x:f>
        <x:v>10</x:v>
      </x:c>
      <x:c r="X123" s="29" t="n">
        <x:f>INDEX('Prompt Totals'!$N$7:$N$246,MATCH($A123,'Prompt Totals'!$A$7:$A$246,0))</x:f>
        <x:v>6</x:v>
      </x:c>
      <x:c r="Y123" s="19" t="n">
        <x:f>G123-H123</x:f>
        <x:v>-3.62</x:v>
      </x:c>
      <x:c r="Z123" s="30" t="n">
        <x:f>Y123*'Solution'!$C$5</x:f>
        <x:v>-181</x:v>
      </x:c>
      <x:c r="AA123" s="22" t="n">
        <x:f>Z123-U123</x:f>
        <x:v>-188.31115</x:v>
      </x:c>
    </x:row>
    <x:row r="124" ht="23" customHeight="1">
      <x:c r="A124" s="17" t="str">
        <x:v>W0118</x:v>
      </x:c>
      <x:c r="B124" s="18" t="n">
        <x:v>46283</x:v>
      </x:c>
      <x:c r="C124" s="17" t="str">
        <x:v>C002</x:v>
      </x:c>
      <x:c r="D124" s="17" t="str">
        <x:v>Creative</x:v>
      </x:c>
      <x:c r="E124" s="17" t="str">
        <x:v>Riley Chen</x:v>
      </x:c>
      <x:c r="F124" s="17" t="str">
        <x:v>Develop concept brief</x:v>
      </x:c>
      <x:c r="G124" s="20" t="n">
        <x:v>2.3</x:v>
      </x:c>
      <x:c r="H124" s="20" t="n">
        <x:v>2.79</x:v>
      </x:c>
      <x:c r="I124" s="20" t="n">
        <x:v>0.39</x:v>
      </x:c>
      <x:c r="J124" s="17" t="str">
        <x:v>None</x:v>
      </x:c>
      <x:c r="K124" s="17" t="str">
        <x:v>No</x:v>
      </x:c>
      <x:c r="L124" s="17" t="str">
        <x:v>Yes</x:v>
      </x:c>
      <x:c r="M124" s="29" t="str">
        <x:f>INDEX('Prompt Totals'!$C$7:$C$246,MATCH($A124,'Prompt Totals'!$A$7:$A$246,0))</x:f>
        <x:v>CampaignChat</x:v>
      </x:c>
      <x:c r="N124" s="29" t="str">
        <x:f>INDEX('Prompt Totals'!$D$7:$D$246,MATCH($A124,'Prompt Totals'!$A$7:$A$246,0))</x:f>
        <x:v>Lite</x:v>
      </x:c>
      <x:c r="O124" s="29" t="n">
        <x:f>INDEX('Prompt Totals'!$E$7:$E$246,MATCH($A124,'Prompt Totals'!$A$7:$A$246,0))</x:f>
        <x:v>293288</x:v>
      </x:c>
      <x:c r="P124" s="29" t="n">
        <x:f>INDEX('Prompt Totals'!$F$7:$F$246,MATCH($A124,'Prompt Totals'!$A$7:$A$246,0))</x:f>
        <x:v>113094</x:v>
      </x:c>
      <x:c r="Q124" s="29" t="n">
        <x:f>INDEX('Prompt Totals'!$G$7:$G$246,MATCH($A124,'Prompt Totals'!$A$7:$A$246,0))</x:f>
        <x:v>406382</x:v>
      </x:c>
      <x:c r="R124" s="29" t="n">
        <x:f>INDEX('Prompt Totals'!$H$7:$H$246,MATCH($A124,'Prompt Totals'!$A$7:$A$246,0))</x:f>
        <x:v>15</x:v>
      </x:c>
      <x:c r="S124" s="30" t="n">
        <x:f>INDEX('Prompt Totals'!$I$7:$I$246,MATCH($A124,'Prompt Totals'!$A$7:$A$246,0))</x:f>
        <x:v>2.93288</x:v>
      </x:c>
      <x:c r="T124" s="30" t="n">
        <x:f>INDEX('Prompt Totals'!$J$7:$J$246,MATCH($A124,'Prompt Totals'!$A$7:$A$246,0))</x:f>
        <x:v>3.39282</x:v>
      </x:c>
      <x:c r="U124" s="30" t="n">
        <x:f>INDEX('Prompt Totals'!$K$7:$K$246,MATCH($A124,'Prompt Totals'!$A$7:$A$246,0))</x:f>
        <x:v>6.3256999999999985</x:v>
      </x:c>
      <x:c r="V124" s="29" t="n">
        <x:f>INDEX('Prompt Totals'!$L$7:$L$246,MATCH($A124,'Prompt Totals'!$A$7:$A$246,0))</x:f>
        <x:v>1</x:v>
      </x:c>
      <x:c r="W124" s="29" t="n">
        <x:f>INDEX('Prompt Totals'!$M$7:$M$246,MATCH($A124,'Prompt Totals'!$A$7:$A$246,0))</x:f>
        <x:v>7</x:v>
      </x:c>
      <x:c r="X124" s="29" t="n">
        <x:f>INDEX('Prompt Totals'!$N$7:$N$246,MATCH($A124,'Prompt Totals'!$A$7:$A$246,0))</x:f>
        <x:v>7</x:v>
      </x:c>
      <x:c r="Y124" s="19" t="n">
        <x:f>G124-H124</x:f>
        <x:v>-0.4900000000000002</x:v>
      </x:c>
      <x:c r="Z124" s="30" t="n">
        <x:f>Y124*'Solution'!$C$5</x:f>
        <x:v>-24.50000000000001</x:v>
      </x:c>
      <x:c r="AA124" s="22" t="n">
        <x:f>Z124-U124</x:f>
        <x:v>-30.82570000000001</x:v>
      </x:c>
    </x:row>
    <x:row r="125" ht="23" customHeight="1">
      <x:c r="A125" s="17" t="str">
        <x:v>W0119</x:v>
      </x:c>
      <x:c r="B125" s="18" t="n">
        <x:v>46294</x:v>
      </x:c>
      <x:c r="C125" s="17" t="str">
        <x:v>C002</x:v>
      </x:c>
      <x:c r="D125" s="17" t="str">
        <x:v>Creative</x:v>
      </x:c>
      <x:c r="E125" s="17" t="str">
        <x:v>Taylor Brooks</x:v>
      </x:c>
      <x:c r="F125" s="17" t="str">
        <x:v>Review creative variants</x:v>
      </x:c>
      <x:c r="G125" s="20" t="n">
        <x:v>3.51</x:v>
      </x:c>
      <x:c r="H125" s="20" t="n">
        <x:v>4.64</x:v>
      </x:c>
      <x:c r="I125" s="20" t="n">
        <x:v>1.07</x:v>
      </x:c>
      <x:c r="J125" s="17" t="str">
        <x:v>None</x:v>
      </x:c>
      <x:c r="K125" s="17" t="str">
        <x:v>No</x:v>
      </x:c>
      <x:c r="L125" s="17" t="str">
        <x:v>No</x:v>
      </x:c>
      <x:c r="M125" s="29" t="str">
        <x:f>INDEX('Prompt Totals'!$C$7:$C$246,MATCH($A125,'Prompt Totals'!$A$7:$A$246,0))</x:f>
        <x:v>CampaignChat</x:v>
      </x:c>
      <x:c r="N125" s="29" t="str">
        <x:f>INDEX('Prompt Totals'!$D$7:$D$246,MATCH($A125,'Prompt Totals'!$A$7:$A$246,0))</x:f>
        <x:v>Pro</x:v>
      </x:c>
      <x:c r="O125" s="29" t="n">
        <x:f>INDEX('Prompt Totals'!$E$7:$E$246,MATCH($A125,'Prompt Totals'!$A$7:$A$246,0))</x:f>
        <x:v>487622</x:v>
      </x:c>
      <x:c r="P125" s="29" t="n">
        <x:f>INDEX('Prompt Totals'!$F$7:$F$246,MATCH($A125,'Prompt Totals'!$A$7:$A$246,0))</x:f>
        <x:v>347989</x:v>
      </x:c>
      <x:c r="Q125" s="29" t="n">
        <x:f>INDEX('Prompt Totals'!$G$7:$G$246,MATCH($A125,'Prompt Totals'!$A$7:$A$246,0))</x:f>
        <x:v>835611</x:v>
      </x:c>
      <x:c r="R125" s="29" t="n">
        <x:f>INDEX('Prompt Totals'!$H$7:$H$246,MATCH($A125,'Prompt Totals'!$A$7:$A$246,0))</x:f>
        <x:v>24</x:v>
      </x:c>
      <x:c r="S125" s="30" t="n">
        <x:f>INDEX('Prompt Totals'!$I$7:$I$246,MATCH($A125,'Prompt Totals'!$A$7:$A$246,0))</x:f>
        <x:v>19.504879999999996</x:v>
      </x:c>
      <x:c r="T125" s="30" t="n">
        <x:f>INDEX('Prompt Totals'!$J$7:$J$246,MATCH($A125,'Prompt Totals'!$A$7:$A$246,0))</x:f>
        <x:v>34.7989</x:v>
      </x:c>
      <x:c r="U125" s="30" t="n">
        <x:f>INDEX('Prompt Totals'!$K$7:$K$246,MATCH($A125,'Prompt Totals'!$A$7:$A$246,0))</x:f>
        <x:v>54.30377999999999</x:v>
      </x:c>
      <x:c r="V125" s="29" t="n">
        <x:f>INDEX('Prompt Totals'!$L$7:$L$246,MATCH($A125,'Prompt Totals'!$A$7:$A$246,0))</x:f>
        <x:v>1</x:v>
      </x:c>
      <x:c r="W125" s="29" t="n">
        <x:f>INDEX('Prompt Totals'!$M$7:$M$246,MATCH($A125,'Prompt Totals'!$A$7:$A$246,0))</x:f>
        <x:v>11</x:v>
      </x:c>
      <x:c r="X125" s="29" t="n">
        <x:f>INDEX('Prompt Totals'!$N$7:$N$246,MATCH($A125,'Prompt Totals'!$A$7:$A$246,0))</x:f>
        <x:v>12</x:v>
      </x:c>
      <x:c r="Y125" s="19" t="n">
        <x:f>G125-H125</x:f>
        <x:v>-1.13</x:v>
      </x:c>
      <x:c r="Z125" s="30" t="n">
        <x:f>Y125*'Solution'!$C$5</x:f>
        <x:v>-56.49999999999999</x:v>
      </x:c>
      <x:c r="AA125" s="22" t="n">
        <x:f>Z125-U125</x:f>
        <x:v>-110.80377999999999</x:v>
      </x:c>
    </x:row>
    <x:row r="126" ht="23" customHeight="1">
      <x:c r="A126" s="17" t="str">
        <x:v>W0120</x:v>
      </x:c>
      <x:c r="B126" s="18" t="n">
        <x:v>46279</x:v>
      </x:c>
      <x:c r="C126" s="17" t="str">
        <x:v>C002</x:v>
      </x:c>
      <x:c r="D126" s="17" t="str">
        <x:v>Marketing Operations</x:v>
      </x:c>
      <x:c r="E126" s="17" t="str">
        <x:v>Casey Rivera</x:v>
      </x:c>
      <x:c r="F126" s="17" t="str">
        <x:v>Prepare launch checklist</x:v>
      </x:c>
      <x:c r="G126" s="20" t="n">
        <x:v>4.2</x:v>
      </x:c>
      <x:c r="H126" s="20" t="n">
        <x:v>7.67</x:v>
      </x:c>
      <x:c r="I126" s="20" t="n">
        <x:v>2.04</x:v>
      </x:c>
      <x:c r="J126" s="17" t="str">
        <x:v>Data problem</x:v>
      </x:c>
      <x:c r="K126" s="17" t="str">
        <x:v>No</x:v>
      </x:c>
      <x:c r="L126" s="17" t="str">
        <x:v>No</x:v>
      </x:c>
      <x:c r="M126" s="29" t="str">
        <x:f>INDEX('Prompt Totals'!$C$7:$C$246,MATCH($A126,'Prompt Totals'!$A$7:$A$246,0))</x:f>
        <x:v>DataFlow</x:v>
      </x:c>
      <x:c r="N126" s="29" t="str">
        <x:f>INDEX('Prompt Totals'!$D$7:$D$246,MATCH($A126,'Prompt Totals'!$A$7:$A$246,0))</x:f>
        <x:v>Pro</x:v>
      </x:c>
      <x:c r="O126" s="29" t="n">
        <x:f>INDEX('Prompt Totals'!$E$7:$E$246,MATCH($A126,'Prompt Totals'!$A$7:$A$246,0))</x:f>
        <x:v>496369</x:v>
      </x:c>
      <x:c r="P126" s="29" t="n">
        <x:f>INDEX('Prompt Totals'!$F$7:$F$246,MATCH($A126,'Prompt Totals'!$A$7:$A$246,0))</x:f>
        <x:v>385435</x:v>
      </x:c>
      <x:c r="Q126" s="29" t="n">
        <x:f>INDEX('Prompt Totals'!$G$7:$G$246,MATCH($A126,'Prompt Totals'!$A$7:$A$246,0))</x:f>
        <x:v>881804</x:v>
      </x:c>
      <x:c r="R126" s="29" t="n">
        <x:f>INDEX('Prompt Totals'!$H$7:$H$246,MATCH($A126,'Prompt Totals'!$A$7:$A$246,0))</x:f>
        <x:v>27</x:v>
      </x:c>
      <x:c r="S126" s="30" t="n">
        <x:f>INDEX('Prompt Totals'!$I$7:$I$246,MATCH($A126,'Prompt Totals'!$A$7:$A$246,0))</x:f>
        <x:v>19.85476</x:v>
      </x:c>
      <x:c r="T126" s="30" t="n">
        <x:f>INDEX('Prompt Totals'!$J$7:$J$246,MATCH($A126,'Prompt Totals'!$A$7:$A$246,0))</x:f>
        <x:v>38.543499999999995</x:v>
      </x:c>
      <x:c r="U126" s="30" t="n">
        <x:f>INDEX('Prompt Totals'!$K$7:$K$246,MATCH($A126,'Prompt Totals'!$A$7:$A$246,0))</x:f>
        <x:v>58.39825999999999</x:v>
      </x:c>
      <x:c r="V126" s="29" t="n">
        <x:f>INDEX('Prompt Totals'!$L$7:$L$246,MATCH($A126,'Prompt Totals'!$A$7:$A$246,0))</x:f>
        <x:v>1</x:v>
      </x:c>
      <x:c r="W126" s="29" t="n">
        <x:f>INDEX('Prompt Totals'!$M$7:$M$246,MATCH($A126,'Prompt Totals'!$A$7:$A$246,0))</x:f>
        <x:v>17</x:v>
      </x:c>
      <x:c r="X126" s="29" t="n">
        <x:f>INDEX('Prompt Totals'!$N$7:$N$246,MATCH($A126,'Prompt Totals'!$A$7:$A$246,0))</x:f>
        <x:v>9</x:v>
      </x:c>
      <x:c r="Y126" s="19" t="n">
        <x:f>G126-H126</x:f>
        <x:v>-3.4699999999999998</x:v>
      </x:c>
      <x:c r="Z126" s="30" t="n">
        <x:f>Y126*'Solution'!$C$5</x:f>
        <x:v>-173.5</x:v>
      </x:c>
      <x:c r="AA126" s="22" t="n">
        <x:f>Z126-U126</x:f>
        <x:v>-231.89826</x:v>
      </x:c>
    </x:row>
    <x:row r="127" ht="23" customHeight="1">
      <x:c r="A127" s="17" t="str">
        <x:v>W0121</x:v>
      </x:c>
      <x:c r="B127" s="18" t="n">
        <x:v>46283</x:v>
      </x:c>
      <x:c r="C127" s="17" t="str">
        <x:v>C003</x:v>
      </x:c>
      <x:c r="D127" s="17" t="str">
        <x:v>Creative</x:v>
      </x:c>
      <x:c r="E127" s="17" t="str">
        <x:v>Riley Chen</x:v>
      </x:c>
      <x:c r="F127" s="17" t="str">
        <x:v>Develop concept brief</x:v>
      </x:c>
      <x:c r="G127" s="20" t="n">
        <x:v>4.51</x:v>
      </x:c>
      <x:c r="H127" s="20" t="n">
        <x:v>3.49</x:v>
      </x:c>
      <x:c r="I127" s="20" t="n">
        <x:v>0.66</x:v>
      </x:c>
      <x:c r="J127" s="17" t="str">
        <x:v>Unclear prompt</x:v>
      </x:c>
      <x:c r="K127" s="17" t="str">
        <x:v>No</x:v>
      </x:c>
      <x:c r="L127" s="17" t="str">
        <x:v>No</x:v>
      </x:c>
      <x:c r="M127" s="29" t="str">
        <x:f>INDEX('Prompt Totals'!$C$7:$C$246,MATCH($A127,'Prompt Totals'!$A$7:$A$246,0))</x:f>
        <x:v>CampaignChat</x:v>
      </x:c>
      <x:c r="N127" s="29" t="str">
        <x:f>INDEX('Prompt Totals'!$D$7:$D$246,MATCH($A127,'Prompt Totals'!$A$7:$A$246,0))</x:f>
        <x:v>Pro</x:v>
      </x:c>
      <x:c r="O127" s="29" t="n">
        <x:f>INDEX('Prompt Totals'!$E$7:$E$246,MATCH($A127,'Prompt Totals'!$A$7:$A$246,0))</x:f>
        <x:v>348714</x:v>
      </x:c>
      <x:c r="P127" s="29" t="n">
        <x:f>INDEX('Prompt Totals'!$F$7:$F$246,MATCH($A127,'Prompt Totals'!$A$7:$A$246,0))</x:f>
        <x:v>121681</x:v>
      </x:c>
      <x:c r="Q127" s="29" t="n">
        <x:f>INDEX('Prompt Totals'!$G$7:$G$246,MATCH($A127,'Prompt Totals'!$A$7:$A$246,0))</x:f>
        <x:v>470395</x:v>
      </x:c>
      <x:c r="R127" s="29" t="n">
        <x:f>INDEX('Prompt Totals'!$H$7:$H$246,MATCH($A127,'Prompt Totals'!$A$7:$A$246,0))</x:f>
        <x:v>13</x:v>
      </x:c>
      <x:c r="S127" s="30" t="n">
        <x:f>INDEX('Prompt Totals'!$I$7:$I$246,MATCH($A127,'Prompt Totals'!$A$7:$A$246,0))</x:f>
        <x:v>13.948559999999999</x:v>
      </x:c>
      <x:c r="T127" s="30" t="n">
        <x:f>INDEX('Prompt Totals'!$J$7:$J$246,MATCH($A127,'Prompt Totals'!$A$7:$A$246,0))</x:f>
        <x:v>12.168099999999999</x:v>
      </x:c>
      <x:c r="U127" s="30" t="n">
        <x:f>INDEX('Prompt Totals'!$K$7:$K$246,MATCH($A127,'Prompt Totals'!$A$7:$A$246,0))</x:f>
        <x:v>26.116659999999996</x:v>
      </x:c>
      <x:c r="V127" s="29" t="n">
        <x:f>INDEX('Prompt Totals'!$L$7:$L$246,MATCH($A127,'Prompt Totals'!$A$7:$A$246,0))</x:f>
        <x:v>1</x:v>
      </x:c>
      <x:c r="W127" s="29" t="n">
        <x:f>INDEX('Prompt Totals'!$M$7:$M$246,MATCH($A127,'Prompt Totals'!$A$7:$A$246,0))</x:f>
        <x:v>9</x:v>
      </x:c>
      <x:c r="X127" s="29" t="n">
        <x:f>INDEX('Prompt Totals'!$N$7:$N$246,MATCH($A127,'Prompt Totals'!$A$7:$A$246,0))</x:f>
        <x:v>3</x:v>
      </x:c>
      <x:c r="Y127" s="19" t="n">
        <x:f>G127-H127</x:f>
        <x:v>1.0199999999999996</x:v>
      </x:c>
      <x:c r="Z127" s="30" t="n">
        <x:f>Y127*'Solution'!$C$5</x:f>
        <x:v>50.99999999999998</x:v>
      </x:c>
      <x:c r="AA127" s="22" t="n">
        <x:f>Z127-U127</x:f>
        <x:v>24.883339999999983</x:v>
      </x:c>
    </x:row>
    <x:row r="128" ht="23" customHeight="1">
      <x:c r="A128" s="17" t="str">
        <x:v>W0122</x:v>
      </x:c>
      <x:c r="B128" s="18" t="n">
        <x:v>46294</x:v>
      </x:c>
      <x:c r="C128" s="17" t="str">
        <x:v>C003</x:v>
      </x:c>
      <x:c r="D128" s="17" t="str">
        <x:v>Creative</x:v>
      </x:c>
      <x:c r="E128" s="17" t="str">
        <x:v>Taylor Brooks</x:v>
      </x:c>
      <x:c r="F128" s="17" t="str">
        <x:v>Review creative variants</x:v>
      </x:c>
      <x:c r="G128" s="20" t="n">
        <x:v>2.7</x:v>
      </x:c>
      <x:c r="H128" s="20" t="n">
        <x:v>2.76</x:v>
      </x:c>
      <x:c r="I128" s="20" t="n">
        <x:v>0.13</x:v>
      </x:c>
      <x:c r="J128" s="17" t="str">
        <x:v>Unclear prompt</x:v>
      </x:c>
      <x:c r="K128" s="17" t="str">
        <x:v>No</x:v>
      </x:c>
      <x:c r="L128" s="17" t="str">
        <x:v>Yes</x:v>
      </x:c>
      <x:c r="M128" s="29" t="str">
        <x:f>INDEX('Prompt Totals'!$C$7:$C$246,MATCH($A128,'Prompt Totals'!$A$7:$A$246,0))</x:f>
        <x:v>CampaignChat</x:v>
      </x:c>
      <x:c r="N128" s="29" t="str">
        <x:f>INDEX('Prompt Totals'!$D$7:$D$246,MATCH($A128,'Prompt Totals'!$A$7:$A$246,0))</x:f>
        <x:v>Lite</x:v>
      </x:c>
      <x:c r="O128" s="29" t="n">
        <x:f>INDEX('Prompt Totals'!$E$7:$E$246,MATCH($A128,'Prompt Totals'!$A$7:$A$246,0))</x:f>
        <x:v>249362</x:v>
      </x:c>
      <x:c r="P128" s="29" t="n">
        <x:f>INDEX('Prompt Totals'!$F$7:$F$246,MATCH($A128,'Prompt Totals'!$A$7:$A$246,0))</x:f>
        <x:v>57477</x:v>
      </x:c>
      <x:c r="Q128" s="29" t="n">
        <x:f>INDEX('Prompt Totals'!$G$7:$G$246,MATCH($A128,'Prompt Totals'!$A$7:$A$246,0))</x:f>
        <x:v>306839</x:v>
      </x:c>
      <x:c r="R128" s="29" t="n">
        <x:f>INDEX('Prompt Totals'!$H$7:$H$246,MATCH($A128,'Prompt Totals'!$A$7:$A$246,0))</x:f>
        <x:v>12</x:v>
      </x:c>
      <x:c r="S128" s="30" t="n">
        <x:f>INDEX('Prompt Totals'!$I$7:$I$246,MATCH($A128,'Prompt Totals'!$A$7:$A$246,0))</x:f>
        <x:v>2.49362</x:v>
      </x:c>
      <x:c r="T128" s="30" t="n">
        <x:f>INDEX('Prompt Totals'!$J$7:$J$246,MATCH($A128,'Prompt Totals'!$A$7:$A$246,0))</x:f>
        <x:v>1.7243099999999998</x:v>
      </x:c>
      <x:c r="U128" s="30" t="n">
        <x:f>INDEX('Prompt Totals'!$K$7:$K$246,MATCH($A128,'Prompt Totals'!$A$7:$A$246,0))</x:f>
        <x:v>4.21793</x:v>
      </x:c>
      <x:c r="V128" s="29" t="n">
        <x:f>INDEX('Prompt Totals'!$L$7:$L$246,MATCH($A128,'Prompt Totals'!$A$7:$A$246,0))</x:f>
        <x:v>1</x:v>
      </x:c>
      <x:c r="W128" s="29" t="n">
        <x:f>INDEX('Prompt Totals'!$M$7:$M$246,MATCH($A128,'Prompt Totals'!$A$7:$A$246,0))</x:f>
        <x:v>8</x:v>
      </x:c>
      <x:c r="X128" s="29" t="n">
        <x:f>INDEX('Prompt Totals'!$N$7:$N$246,MATCH($A128,'Prompt Totals'!$A$7:$A$246,0))</x:f>
        <x:v>3</x:v>
      </x:c>
      <x:c r="Y128" s="19" t="n">
        <x:f>G128-H128</x:f>
        <x:v>-0.05999999999999961</x:v>
      </x:c>
      <x:c r="Z128" s="30" t="n">
        <x:f>Y128*'Solution'!$C$5</x:f>
        <x:v>-2.9999999999999805</x:v>
      </x:c>
      <x:c r="AA128" s="22" t="n">
        <x:f>Z128-U128</x:f>
        <x:v>-7.21792999999998</x:v>
      </x:c>
    </x:row>
    <x:row r="129" ht="23" customHeight="1">
      <x:c r="A129" s="17" t="str">
        <x:v>W0123</x:v>
      </x:c>
      <x:c r="B129" s="18" t="n">
        <x:v>46279</x:v>
      </x:c>
      <x:c r="C129" s="17" t="str">
        <x:v>C003</x:v>
      </x:c>
      <x:c r="D129" s="17" t="str">
        <x:v>Marketing Operations</x:v>
      </x:c>
      <x:c r="E129" s="17" t="str">
        <x:v>Casey Rivera</x:v>
      </x:c>
      <x:c r="F129" s="17" t="str">
        <x:v>Prepare launch checklist</x:v>
      </x:c>
      <x:c r="G129" s="20" t="n">
        <x:v>2.91</x:v>
      </x:c>
      <x:c r="H129" s="20" t="n">
        <x:v>2.02</x:v>
      </x:c>
      <x:c r="I129" s="20" t="n">
        <x:v>0.31</x:v>
      </x:c>
      <x:c r="J129" s="17" t="str">
        <x:v>Data problem</x:v>
      </x:c>
      <x:c r="K129" s="17" t="str">
        <x:v>No</x:v>
      </x:c>
      <x:c r="L129" s="17" t="str">
        <x:v>Yes</x:v>
      </x:c>
      <x:c r="M129" s="29" t="str">
        <x:f>INDEX('Prompt Totals'!$C$7:$C$246,MATCH($A129,'Prompt Totals'!$A$7:$A$246,0))</x:f>
        <x:v>DataFlow</x:v>
      </x:c>
      <x:c r="N129" s="29" t="str">
        <x:f>INDEX('Prompt Totals'!$D$7:$D$246,MATCH($A129,'Prompt Totals'!$A$7:$A$246,0))</x:f>
        <x:v>Lite</x:v>
      </x:c>
      <x:c r="O129" s="29" t="n">
        <x:f>INDEX('Prompt Totals'!$E$7:$E$246,MATCH($A129,'Prompt Totals'!$A$7:$A$246,0))</x:f>
        <x:v>194069</x:v>
      </x:c>
      <x:c r="P129" s="29" t="n">
        <x:f>INDEX('Prompt Totals'!$F$7:$F$246,MATCH($A129,'Prompt Totals'!$A$7:$A$246,0))</x:f>
        <x:v>63096</x:v>
      </x:c>
      <x:c r="Q129" s="29" t="n">
        <x:f>INDEX('Prompt Totals'!$G$7:$G$246,MATCH($A129,'Prompt Totals'!$A$7:$A$246,0))</x:f>
        <x:v>257165</x:v>
      </x:c>
      <x:c r="R129" s="29" t="n">
        <x:f>INDEX('Prompt Totals'!$H$7:$H$246,MATCH($A129,'Prompt Totals'!$A$7:$A$246,0))</x:f>
        <x:v>9</x:v>
      </x:c>
      <x:c r="S129" s="30" t="n">
        <x:f>INDEX('Prompt Totals'!$I$7:$I$246,MATCH($A129,'Prompt Totals'!$A$7:$A$246,0))</x:f>
        <x:v>1.94069</x:v>
      </x:c>
      <x:c r="T129" s="30" t="n">
        <x:f>INDEX('Prompt Totals'!$J$7:$J$246,MATCH($A129,'Prompt Totals'!$A$7:$A$246,0))</x:f>
        <x:v>1.8928800000000001</x:v>
      </x:c>
      <x:c r="U129" s="30" t="n">
        <x:f>INDEX('Prompt Totals'!$K$7:$K$246,MATCH($A129,'Prompt Totals'!$A$7:$A$246,0))</x:f>
        <x:v>3.8335699999999995</x:v>
      </x:c>
      <x:c r="V129" s="29" t="n">
        <x:f>INDEX('Prompt Totals'!$L$7:$L$246,MATCH($A129,'Prompt Totals'!$A$7:$A$246,0))</x:f>
        <x:v>1</x:v>
      </x:c>
      <x:c r="W129" s="29" t="n">
        <x:f>INDEX('Prompt Totals'!$M$7:$M$246,MATCH($A129,'Prompt Totals'!$A$7:$A$246,0))</x:f>
        <x:v>7</x:v>
      </x:c>
      <x:c r="X129" s="29" t="n">
        <x:f>INDEX('Prompt Totals'!$N$7:$N$246,MATCH($A129,'Prompt Totals'!$A$7:$A$246,0))</x:f>
        <x:v>1</x:v>
      </x:c>
      <x:c r="Y129" s="19" t="n">
        <x:f>G129-H129</x:f>
        <x:v>0.8900000000000001</x:v>
      </x:c>
      <x:c r="Z129" s="30" t="n">
        <x:f>Y129*'Solution'!$C$5</x:f>
        <x:v>44.50000000000001</x:v>
      </x:c>
      <x:c r="AA129" s="22" t="n">
        <x:f>Z129-U129</x:f>
        <x:v>40.666430000000005</x:v>
      </x:c>
    </x:row>
    <x:row r="130" ht="23" customHeight="1">
      <x:c r="A130" s="17" t="str">
        <x:v>W0124</x:v>
      </x:c>
      <x:c r="B130" s="18" t="n">
        <x:v>46288</x:v>
      </x:c>
      <x:c r="C130" s="17" t="str">
        <x:v>C003</x:v>
      </x:c>
      <x:c r="D130" s="17" t="str">
        <x:v>Marketing Operations</x:v>
      </x:c>
      <x:c r="E130" s="17" t="str">
        <x:v>Morgan Reed</x:v>
      </x:c>
      <x:c r="F130" s="17" t="str">
        <x:v>Build campaign plan</x:v>
      </x:c>
      <x:c r="G130" s="20" t="n">
        <x:v>3.8</x:v>
      </x:c>
      <x:c r="H130" s="20" t="n">
        <x:v>1.83</x:v>
      </x:c>
      <x:c r="I130" s="20" t="n">
        <x:v>0.34</x:v>
      </x:c>
      <x:c r="J130" s="17" t="str">
        <x:v>Brief changed</x:v>
      </x:c>
      <x:c r="K130" s="17" t="str">
        <x:v>Yes</x:v>
      </x:c>
      <x:c r="L130" s="17" t="str">
        <x:v>No</x:v>
      </x:c>
      <x:c r="M130" s="29" t="str">
        <x:f>INDEX('Prompt Totals'!$C$7:$C$246,MATCH($A130,'Prompt Totals'!$A$7:$A$246,0))</x:f>
        <x:v>DataFlow</x:v>
      </x:c>
      <x:c r="N130" s="29" t="str">
        <x:f>INDEX('Prompt Totals'!$D$7:$D$246,MATCH($A130,'Prompt Totals'!$A$7:$A$246,0))</x:f>
        <x:v>Lite</x:v>
      </x:c>
      <x:c r="O130" s="29" t="n">
        <x:f>INDEX('Prompt Totals'!$E$7:$E$246,MATCH($A130,'Prompt Totals'!$A$7:$A$246,0))</x:f>
        <x:v>286242</x:v>
      </x:c>
      <x:c r="P130" s="29" t="n">
        <x:f>INDEX('Prompt Totals'!$F$7:$F$246,MATCH($A130,'Prompt Totals'!$A$7:$A$246,0))</x:f>
        <x:v>30928</x:v>
      </x:c>
      <x:c r="Q130" s="29" t="n">
        <x:f>INDEX('Prompt Totals'!$G$7:$G$246,MATCH($A130,'Prompt Totals'!$A$7:$A$246,0))</x:f>
        <x:v>317170</x:v>
      </x:c>
      <x:c r="R130" s="29" t="n">
        <x:f>INDEX('Prompt Totals'!$H$7:$H$246,MATCH($A130,'Prompt Totals'!$A$7:$A$246,0))</x:f>
        <x:v>10</x:v>
      </x:c>
      <x:c r="S130" s="30" t="n">
        <x:f>INDEX('Prompt Totals'!$I$7:$I$246,MATCH($A130,'Prompt Totals'!$A$7:$A$246,0))</x:f>
        <x:v>2.8624199999999997</x:v>
      </x:c>
      <x:c r="T130" s="30" t="n">
        <x:f>INDEX('Prompt Totals'!$J$7:$J$246,MATCH($A130,'Prompt Totals'!$A$7:$A$246,0))</x:f>
        <x:v>0.9278399999999999</x:v>
      </x:c>
      <x:c r="U130" s="30" t="n">
        <x:f>INDEX('Prompt Totals'!$K$7:$K$246,MATCH($A130,'Prompt Totals'!$A$7:$A$246,0))</x:f>
        <x:v>3.79026</x:v>
      </x:c>
      <x:c r="V130" s="29" t="n">
        <x:f>INDEX('Prompt Totals'!$L$7:$L$246,MATCH($A130,'Prompt Totals'!$A$7:$A$246,0))</x:f>
        <x:v>1</x:v>
      </x:c>
      <x:c r="W130" s="29" t="n">
        <x:f>INDEX('Prompt Totals'!$M$7:$M$246,MATCH($A130,'Prompt Totals'!$A$7:$A$246,0))</x:f>
        <x:v>7</x:v>
      </x:c>
      <x:c r="X130" s="29" t="n">
        <x:f>INDEX('Prompt Totals'!$N$7:$N$246,MATCH($A130,'Prompt Totals'!$A$7:$A$246,0))</x:f>
        <x:v>2</x:v>
      </x:c>
      <x:c r="Y130" s="19" t="n">
        <x:f>G130-H130</x:f>
        <x:v>1.9699999999999998</x:v>
      </x:c>
      <x:c r="Z130" s="30" t="n">
        <x:f>Y130*'Solution'!$C$5</x:f>
        <x:v>98.49999999999999</x:v>
      </x:c>
      <x:c r="AA130" s="22" t="n">
        <x:f>Z130-U130</x:f>
        <x:v>94.70973999999998</x:v>
      </x:c>
    </x:row>
    <x:row r="131" ht="23" customHeight="1">
      <x:c r="A131" s="17" t="str">
        <x:v>W0125</x:v>
      </x:c>
      <x:c r="B131" s="18" t="n">
        <x:v>46273</x:v>
      </x:c>
      <x:c r="C131" s="17" t="str">
        <x:v>C003</x:v>
      </x:c>
      <x:c r="D131" s="17" t="str">
        <x:v>Analytics</x:v>
      </x:c>
      <x:c r="E131" s="17" t="str">
        <x:v>Quinn Parker</x:v>
      </x:c>
      <x:c r="F131" s="17" t="str">
        <x:v>Summarize audience insights</x:v>
      </x:c>
      <x:c r="G131" s="20" t="n">
        <x:v>4.08</x:v>
      </x:c>
      <x:c r="H131" s="20" t="n">
        <x:v>2.69</x:v>
      </x:c>
      <x:c r="I131" s="20" t="n">
        <x:v>0.24</x:v>
      </x:c>
      <x:c r="J131" s="17" t="str">
        <x:v>None</x:v>
      </x:c>
      <x:c r="K131" s="17" t="str">
        <x:v>No</x:v>
      </x:c>
      <x:c r="L131" s="17" t="str">
        <x:v>Yes</x:v>
      </x:c>
      <x:c r="M131" s="29" t="str">
        <x:f>INDEX('Prompt Totals'!$C$7:$C$246,MATCH($A131,'Prompt Totals'!$A$7:$A$246,0))</x:f>
        <x:v>InsightDesk</x:v>
      </x:c>
      <x:c r="N131" s="29" t="str">
        <x:f>INDEX('Prompt Totals'!$D$7:$D$246,MATCH($A131,'Prompt Totals'!$A$7:$A$246,0))</x:f>
        <x:v>Lite</x:v>
      </x:c>
      <x:c r="O131" s="29" t="n">
        <x:f>INDEX('Prompt Totals'!$E$7:$E$246,MATCH($A131,'Prompt Totals'!$A$7:$A$246,0))</x:f>
        <x:v>307854</x:v>
      </x:c>
      <x:c r="P131" s="29" t="n">
        <x:f>INDEX('Prompt Totals'!$F$7:$F$246,MATCH($A131,'Prompt Totals'!$A$7:$A$246,0))</x:f>
        <x:v>70656</x:v>
      </x:c>
      <x:c r="Q131" s="29" t="n">
        <x:f>INDEX('Prompt Totals'!$G$7:$G$246,MATCH($A131,'Prompt Totals'!$A$7:$A$246,0))</x:f>
        <x:v>378510</x:v>
      </x:c>
      <x:c r="R131" s="29" t="n">
        <x:f>INDEX('Prompt Totals'!$H$7:$H$246,MATCH($A131,'Prompt Totals'!$A$7:$A$246,0))</x:f>
        <x:v>14</x:v>
      </x:c>
      <x:c r="S131" s="30" t="n">
        <x:f>INDEX('Prompt Totals'!$I$7:$I$246,MATCH($A131,'Prompt Totals'!$A$7:$A$246,0))</x:f>
        <x:v>3.0785400000000007</x:v>
      </x:c>
      <x:c r="T131" s="30" t="n">
        <x:f>INDEX('Prompt Totals'!$J$7:$J$246,MATCH($A131,'Prompt Totals'!$A$7:$A$246,0))</x:f>
        <x:v>2.1196800000000002</x:v>
      </x:c>
      <x:c r="U131" s="30" t="n">
        <x:f>INDEX('Prompt Totals'!$K$7:$K$246,MATCH($A131,'Prompt Totals'!$A$7:$A$246,0))</x:f>
        <x:v>5.19822</x:v>
      </x:c>
      <x:c r="V131" s="29" t="n">
        <x:f>INDEX('Prompt Totals'!$L$7:$L$246,MATCH($A131,'Prompt Totals'!$A$7:$A$246,0))</x:f>
        <x:v>1</x:v>
      </x:c>
      <x:c r="W131" s="29" t="n">
        <x:f>INDEX('Prompt Totals'!$M$7:$M$246,MATCH($A131,'Prompt Totals'!$A$7:$A$246,0))</x:f>
        <x:v>11</x:v>
      </x:c>
      <x:c r="X131" s="29" t="n">
        <x:f>INDEX('Prompt Totals'!$N$7:$N$246,MATCH($A131,'Prompt Totals'!$A$7:$A$246,0))</x:f>
        <x:v>2</x:v>
      </x:c>
      <x:c r="Y131" s="19" t="n">
        <x:f>G131-H131</x:f>
        <x:v>1.3900000000000001</x:v>
      </x:c>
      <x:c r="Z131" s="30" t="n">
        <x:f>Y131*'Solution'!$C$5</x:f>
        <x:v>69.5</x:v>
      </x:c>
      <x:c r="AA131" s="22" t="n">
        <x:f>Z131-U131</x:f>
        <x:v>64.30178</x:v>
      </x:c>
    </x:row>
    <x:row r="132" ht="23" customHeight="1">
      <x:c r="A132" s="17" t="str">
        <x:v>W0126</x:v>
      </x:c>
      <x:c r="B132" s="18" t="n">
        <x:v>46282</x:v>
      </x:c>
      <x:c r="C132" s="17" t="str">
        <x:v>C003</x:v>
      </x:c>
      <x:c r="D132" s="17" t="str">
        <x:v>Analytics</x:v>
      </x:c>
      <x:c r="E132" s="17" t="str">
        <x:v>Jamie Patel</x:v>
      </x:c>
      <x:c r="F132" s="17" t="str">
        <x:v>Check measurement plan</x:v>
      </x:c>
      <x:c r="G132" s="20" t="n">
        <x:v>3.15</x:v>
      </x:c>
      <x:c r="H132" s="20" t="n">
        <x:v>1.73</x:v>
      </x:c>
      <x:c r="I132" s="20" t="n">
        <x:v>0.15</x:v>
      </x:c>
      <x:c r="J132" s="17" t="str">
        <x:v>None</x:v>
      </x:c>
      <x:c r="K132" s="17" t="str">
        <x:v>No</x:v>
      </x:c>
      <x:c r="L132" s="17" t="str">
        <x:v>Yes</x:v>
      </x:c>
      <x:c r="M132" s="29" t="str">
        <x:f>INDEX('Prompt Totals'!$C$7:$C$246,MATCH($A132,'Prompt Totals'!$A$7:$A$246,0))</x:f>
        <x:v>InsightDesk</x:v>
      </x:c>
      <x:c r="N132" s="29" t="str">
        <x:f>INDEX('Prompt Totals'!$D$7:$D$246,MATCH($A132,'Prompt Totals'!$A$7:$A$246,0))</x:f>
        <x:v>Lite</x:v>
      </x:c>
      <x:c r="O132" s="29" t="n">
        <x:f>INDEX('Prompt Totals'!$E$7:$E$246,MATCH($A132,'Prompt Totals'!$A$7:$A$246,0))</x:f>
        <x:v>303802</x:v>
      </x:c>
      <x:c r="P132" s="29" t="n">
        <x:f>INDEX('Prompt Totals'!$F$7:$F$246,MATCH($A132,'Prompt Totals'!$A$7:$A$246,0))</x:f>
        <x:v>53152</x:v>
      </x:c>
      <x:c r="Q132" s="29" t="n">
        <x:f>INDEX('Prompt Totals'!$G$7:$G$246,MATCH($A132,'Prompt Totals'!$A$7:$A$246,0))</x:f>
        <x:v>356954</x:v>
      </x:c>
      <x:c r="R132" s="29" t="n">
        <x:f>INDEX('Prompt Totals'!$H$7:$H$246,MATCH($A132,'Prompt Totals'!$A$7:$A$246,0))</x:f>
        <x:v>9</x:v>
      </x:c>
      <x:c r="S132" s="30" t="n">
        <x:f>INDEX('Prompt Totals'!$I$7:$I$246,MATCH($A132,'Prompt Totals'!$A$7:$A$246,0))</x:f>
        <x:v>3.03802</x:v>
      </x:c>
      <x:c r="T132" s="30" t="n">
        <x:f>INDEX('Prompt Totals'!$J$7:$J$246,MATCH($A132,'Prompt Totals'!$A$7:$A$246,0))</x:f>
        <x:v>1.5945599999999998</x:v>
      </x:c>
      <x:c r="U132" s="30" t="n">
        <x:f>INDEX('Prompt Totals'!$K$7:$K$246,MATCH($A132,'Prompt Totals'!$A$7:$A$246,0))</x:f>
        <x:v>4.63258</x:v>
      </x:c>
      <x:c r="V132" s="29" t="n">
        <x:f>INDEX('Prompt Totals'!$L$7:$L$246,MATCH($A132,'Prompt Totals'!$A$7:$A$246,0))</x:f>
        <x:v>1</x:v>
      </x:c>
      <x:c r="W132" s="29" t="n">
        <x:f>INDEX('Prompt Totals'!$M$7:$M$246,MATCH($A132,'Prompt Totals'!$A$7:$A$246,0))</x:f>
        <x:v>6</x:v>
      </x:c>
      <x:c r="X132" s="29" t="n">
        <x:f>INDEX('Prompt Totals'!$N$7:$N$246,MATCH($A132,'Prompt Totals'!$A$7:$A$246,0))</x:f>
        <x:v>2</x:v>
      </x:c>
      <x:c r="Y132" s="19" t="n">
        <x:f>G132-H132</x:f>
        <x:v>1.42</x:v>
      </x:c>
      <x:c r="Z132" s="30" t="n">
        <x:f>Y132*'Solution'!$C$5</x:f>
        <x:v>71</x:v>
      </x:c>
      <x:c r="AA132" s="22" t="n">
        <x:f>Z132-U132</x:f>
        <x:v>66.36742</x:v>
      </x:c>
    </x:row>
    <x:row r="133" ht="23" customHeight="1">
      <x:c r="A133" s="17" t="str">
        <x:v>W0127</x:v>
      </x:c>
      <x:c r="B133" s="18" t="n">
        <x:v>46293</x:v>
      </x:c>
      <x:c r="C133" s="17" t="str">
        <x:v>C003</x:v>
      </x:c>
      <x:c r="D133" s="17" t="str">
        <x:v>Content</x:v>
      </x:c>
      <x:c r="E133" s="17" t="str">
        <x:v>Avery Morgan</x:v>
      </x:c>
      <x:c r="F133" s="17" t="str">
        <x:v>Write ad copy</x:v>
      </x:c>
      <x:c r="G133" s="20" t="n">
        <x:v>2.54</x:v>
      </x:c>
      <x:c r="H133" s="20" t="n">
        <x:v>1.7</x:v>
      </x:c>
      <x:c r="I133" s="20" t="n">
        <x:v>0.02</x:v>
      </x:c>
      <x:c r="J133" s="17" t="str">
        <x:v>None</x:v>
      </x:c>
      <x:c r="K133" s="17" t="str">
        <x:v>No</x:v>
      </x:c>
      <x:c r="L133" s="17" t="str">
        <x:v>Yes</x:v>
      </x:c>
      <x:c r="M133" s="29" t="str">
        <x:f>INDEX('Prompt Totals'!$C$7:$C$246,MATCH($A133,'Prompt Totals'!$A$7:$A$246,0))</x:f>
        <x:v>CopyStudio</x:v>
      </x:c>
      <x:c r="N133" s="29" t="str">
        <x:f>INDEX('Prompt Totals'!$D$7:$D$246,MATCH($A133,'Prompt Totals'!$A$7:$A$246,0))</x:f>
        <x:v>Pro</x:v>
      </x:c>
      <x:c r="O133" s="29" t="n">
        <x:f>INDEX('Prompt Totals'!$E$7:$E$246,MATCH($A133,'Prompt Totals'!$A$7:$A$246,0))</x:f>
        <x:v>231825</x:v>
      </x:c>
      <x:c r="P133" s="29" t="n">
        <x:f>INDEX('Prompt Totals'!$F$7:$F$246,MATCH($A133,'Prompt Totals'!$A$7:$A$246,0))</x:f>
        <x:v>63522</x:v>
      </x:c>
      <x:c r="Q133" s="29" t="n">
        <x:f>INDEX('Prompt Totals'!$G$7:$G$246,MATCH($A133,'Prompt Totals'!$A$7:$A$246,0))</x:f>
        <x:v>295347</x:v>
      </x:c>
      <x:c r="R133" s="29" t="n">
        <x:f>INDEX('Prompt Totals'!$H$7:$H$246,MATCH($A133,'Prompt Totals'!$A$7:$A$246,0))</x:f>
        <x:v>11</x:v>
      </x:c>
      <x:c r="S133" s="30" t="n">
        <x:f>INDEX('Prompt Totals'!$I$7:$I$246,MATCH($A133,'Prompt Totals'!$A$7:$A$246,0))</x:f>
        <x:v>9.273</x:v>
      </x:c>
      <x:c r="T133" s="30" t="n">
        <x:f>INDEX('Prompt Totals'!$J$7:$J$246,MATCH($A133,'Prompt Totals'!$A$7:$A$246,0))</x:f>
        <x:v>6.3522</x:v>
      </x:c>
      <x:c r="U133" s="30" t="n">
        <x:f>INDEX('Prompt Totals'!$K$7:$K$246,MATCH($A133,'Prompt Totals'!$A$7:$A$246,0))</x:f>
        <x:v>15.6252</x:v>
      </x:c>
      <x:c r="V133" s="29" t="n">
        <x:f>INDEX('Prompt Totals'!$L$7:$L$246,MATCH($A133,'Prompt Totals'!$A$7:$A$246,0))</x:f>
        <x:v>1</x:v>
      </x:c>
      <x:c r="W133" s="29" t="n">
        <x:f>INDEX('Prompt Totals'!$M$7:$M$246,MATCH($A133,'Prompt Totals'!$A$7:$A$246,0))</x:f>
        <x:v>8</x:v>
      </x:c>
      <x:c r="X133" s="29" t="n">
        <x:f>INDEX('Prompt Totals'!$N$7:$N$246,MATCH($A133,'Prompt Totals'!$A$7:$A$246,0))</x:f>
        <x:v>2</x:v>
      </x:c>
      <x:c r="Y133" s="19" t="n">
        <x:f>G133-H133</x:f>
        <x:v>0.8400000000000001</x:v>
      </x:c>
      <x:c r="Z133" s="30" t="n">
        <x:f>Y133*'Solution'!$C$5</x:f>
        <x:v>42.00000000000001</x:v>
      </x:c>
      <x:c r="AA133" s="22" t="n">
        <x:f>Z133-U133</x:f>
        <x:v>26.374800000000008</x:v>
      </x:c>
    </x:row>
    <x:row r="134" ht="23" customHeight="1">
      <x:c r="A134" s="17" t="str">
        <x:v>W0128</x:v>
      </x:c>
      <x:c r="B134" s="18" t="n">
        <x:v>46276</x:v>
      </x:c>
      <x:c r="C134" s="17" t="str">
        <x:v>C003</x:v>
      </x:c>
      <x:c r="D134" s="17" t="str">
        <x:v>Content</x:v>
      </x:c>
      <x:c r="E134" s="17" t="str">
        <x:v>Jordan Ellis</x:v>
      </x:c>
      <x:c r="F134" s="17" t="str">
        <x:v>Draft email sequence</x:v>
      </x:c>
      <x:c r="G134" s="20" t="n">
        <x:v>4.68</x:v>
      </x:c>
      <x:c r="H134" s="20" t="n">
        <x:v>2.68</x:v>
      </x:c>
      <x:c r="I134" s="20" t="n">
        <x:v>0.28</x:v>
      </x:c>
      <x:c r="J134" s="17" t="str">
        <x:v>Unclear prompt</x:v>
      </x:c>
      <x:c r="K134" s="17" t="str">
        <x:v>No</x:v>
      </x:c>
      <x:c r="L134" s="17" t="str">
        <x:v>No</x:v>
      </x:c>
      <x:c r="M134" s="29" t="str">
        <x:f>INDEX('Prompt Totals'!$C$7:$C$246,MATCH($A134,'Prompt Totals'!$A$7:$A$246,0))</x:f>
        <x:v>CopyStudio</x:v>
      </x:c>
      <x:c r="N134" s="29" t="str">
        <x:f>INDEX('Prompt Totals'!$D$7:$D$246,MATCH($A134,'Prompt Totals'!$A$7:$A$246,0))</x:f>
        <x:v>Lite</x:v>
      </x:c>
      <x:c r="O134" s="29" t="n">
        <x:f>INDEX('Prompt Totals'!$E$7:$E$246,MATCH($A134,'Prompt Totals'!$A$7:$A$246,0))</x:f>
        <x:v>339618</x:v>
      </x:c>
      <x:c r="P134" s="29" t="n">
        <x:f>INDEX('Prompt Totals'!$F$7:$F$246,MATCH($A134,'Prompt Totals'!$A$7:$A$246,0))</x:f>
        <x:v>64704</x:v>
      </x:c>
      <x:c r="Q134" s="29" t="n">
        <x:f>INDEX('Prompt Totals'!$G$7:$G$246,MATCH($A134,'Prompt Totals'!$A$7:$A$246,0))</x:f>
        <x:v>404322</x:v>
      </x:c>
      <x:c r="R134" s="29" t="n">
        <x:f>INDEX('Prompt Totals'!$H$7:$H$246,MATCH($A134,'Prompt Totals'!$A$7:$A$246,0))</x:f>
        <x:v>11</x:v>
      </x:c>
      <x:c r="S134" s="30" t="n">
        <x:f>INDEX('Prompt Totals'!$I$7:$I$246,MATCH($A134,'Prompt Totals'!$A$7:$A$246,0))</x:f>
        <x:v>3.3961799999999998</x:v>
      </x:c>
      <x:c r="T134" s="30" t="n">
        <x:f>INDEX('Prompt Totals'!$J$7:$J$246,MATCH($A134,'Prompt Totals'!$A$7:$A$246,0))</x:f>
        <x:v>1.9411199999999997</x:v>
      </x:c>
      <x:c r="U134" s="30" t="n">
        <x:f>INDEX('Prompt Totals'!$K$7:$K$246,MATCH($A134,'Prompt Totals'!$A$7:$A$246,0))</x:f>
        <x:v>5.337300000000001</x:v>
      </x:c>
      <x:c r="V134" s="29" t="n">
        <x:f>INDEX('Prompt Totals'!$L$7:$L$246,MATCH($A134,'Prompt Totals'!$A$7:$A$246,0))</x:f>
        <x:v>1</x:v>
      </x:c>
      <x:c r="W134" s="29" t="n">
        <x:f>INDEX('Prompt Totals'!$M$7:$M$246,MATCH($A134,'Prompt Totals'!$A$7:$A$246,0))</x:f>
        <x:v>8</x:v>
      </x:c>
      <x:c r="X134" s="29" t="n">
        <x:f>INDEX('Prompt Totals'!$N$7:$N$246,MATCH($A134,'Prompt Totals'!$A$7:$A$246,0))</x:f>
        <x:v>2</x:v>
      </x:c>
      <x:c r="Y134" s="19" t="n">
        <x:f>G134-H134</x:f>
        <x:v>1.9999999999999996</x:v>
      </x:c>
      <x:c r="Z134" s="30" t="n">
        <x:f>Y134*'Solution'!$C$5</x:f>
        <x:v>99.99999999999997</x:v>
      </x:c>
      <x:c r="AA134" s="22" t="n">
        <x:f>Z134-U134</x:f>
        <x:v>94.66269999999997</x:v>
      </x:c>
    </x:row>
    <x:row r="135" ht="23" customHeight="1">
      <x:c r="A135" s="17" t="str">
        <x:v>W0129</x:v>
      </x:c>
      <x:c r="B135" s="18" t="n">
        <x:v>46287</x:v>
      </x:c>
      <x:c r="C135" s="17" t="str">
        <x:v>C003</x:v>
      </x:c>
      <x:c r="D135" s="17" t="str">
        <x:v>Creative</x:v>
      </x:c>
      <x:c r="E135" s="17" t="str">
        <x:v>Riley Chen</x:v>
      </x:c>
      <x:c r="F135" s="17" t="str">
        <x:v>Plan visual narrative</x:v>
      </x:c>
      <x:c r="G135" s="20" t="n">
        <x:v>2.68</x:v>
      </x:c>
      <x:c r="H135" s="20" t="n">
        <x:v>3.05</x:v>
      </x:c>
      <x:c r="I135" s="20" t="n">
        <x:v>0.51</x:v>
      </x:c>
      <x:c r="J135" s="17" t="str">
        <x:v>Unclear prompt</x:v>
      </x:c>
      <x:c r="K135" s="17" t="str">
        <x:v>No</x:v>
      </x:c>
      <x:c r="L135" s="17" t="str">
        <x:v>Yes</x:v>
      </x:c>
      <x:c r="M135" s="29" t="str">
        <x:f>INDEX('Prompt Totals'!$C$7:$C$246,MATCH($A135,'Prompt Totals'!$A$7:$A$246,0))</x:f>
        <x:v>CampaignChat</x:v>
      </x:c>
      <x:c r="N135" s="29" t="str">
        <x:f>INDEX('Prompt Totals'!$D$7:$D$246,MATCH($A135,'Prompt Totals'!$A$7:$A$246,0))</x:f>
        <x:v>Lite</x:v>
      </x:c>
      <x:c r="O135" s="29" t="n">
        <x:f>INDEX('Prompt Totals'!$E$7:$E$246,MATCH($A135,'Prompt Totals'!$A$7:$A$246,0))</x:f>
        <x:v>378883</x:v>
      </x:c>
      <x:c r="P135" s="29" t="n">
        <x:f>INDEX('Prompt Totals'!$F$7:$F$246,MATCH($A135,'Prompt Totals'!$A$7:$A$246,0))</x:f>
        <x:v>51135</x:v>
      </x:c>
      <x:c r="Q135" s="29" t="n">
        <x:f>INDEX('Prompt Totals'!$G$7:$G$246,MATCH($A135,'Prompt Totals'!$A$7:$A$246,0))</x:f>
        <x:v>430018</x:v>
      </x:c>
      <x:c r="R135" s="29" t="n">
        <x:f>INDEX('Prompt Totals'!$H$7:$H$246,MATCH($A135,'Prompt Totals'!$A$7:$A$246,0))</x:f>
        <x:v>12</x:v>
      </x:c>
      <x:c r="S135" s="30" t="n">
        <x:f>INDEX('Prompt Totals'!$I$7:$I$246,MATCH($A135,'Prompt Totals'!$A$7:$A$246,0))</x:f>
        <x:v>3.7888299999999995</x:v>
      </x:c>
      <x:c r="T135" s="30" t="n">
        <x:f>INDEX('Prompt Totals'!$J$7:$J$246,MATCH($A135,'Prompt Totals'!$A$7:$A$246,0))</x:f>
        <x:v>1.5340500000000001</x:v>
      </x:c>
      <x:c r="U135" s="30" t="n">
        <x:f>INDEX('Prompt Totals'!$K$7:$K$246,MATCH($A135,'Prompt Totals'!$A$7:$A$246,0))</x:f>
        <x:v>5.3228800000000005</x:v>
      </x:c>
      <x:c r="V135" s="29" t="n">
        <x:f>INDEX('Prompt Totals'!$L$7:$L$246,MATCH($A135,'Prompt Totals'!$A$7:$A$246,0))</x:f>
        <x:v>1</x:v>
      </x:c>
      <x:c r="W135" s="29" t="n">
        <x:f>INDEX('Prompt Totals'!$M$7:$M$246,MATCH($A135,'Prompt Totals'!$A$7:$A$246,0))</x:f>
        <x:v>8</x:v>
      </x:c>
      <x:c r="X135" s="29" t="n">
        <x:f>INDEX('Prompt Totals'!$N$7:$N$246,MATCH($A135,'Prompt Totals'!$A$7:$A$246,0))</x:f>
        <x:v>3</x:v>
      </x:c>
      <x:c r="Y135" s="19" t="n">
        <x:f>G135-H135</x:f>
        <x:v>-0.36999999999999966</x:v>
      </x:c>
      <x:c r="Z135" s="30" t="n">
        <x:f>Y135*'Solution'!$C$5</x:f>
        <x:v>-18.499999999999982</x:v>
      </x:c>
      <x:c r="AA135" s="22" t="n">
        <x:f>Z135-U135</x:f>
        <x:v>-23.822879999999984</x:v>
      </x:c>
    </x:row>
    <x:row r="136" ht="23" customHeight="1">
      <x:c r="A136" s="17" t="str">
        <x:v>W0130</x:v>
      </x:c>
      <x:c r="B136" s="18" t="n">
        <x:v>46269</x:v>
      </x:c>
      <x:c r="C136" s="17" t="str">
        <x:v>C003</x:v>
      </x:c>
      <x:c r="D136" s="17" t="str">
        <x:v>Creative</x:v>
      </x:c>
      <x:c r="E136" s="17" t="str">
        <x:v>Taylor Brooks</x:v>
      </x:c>
      <x:c r="F136" s="17" t="str">
        <x:v>Develop concept brief</x:v>
      </x:c>
      <x:c r="G136" s="20" t="n">
        <x:v>3.64</x:v>
      </x:c>
      <x:c r="H136" s="20" t="n">
        <x:v>3.09</x:v>
      </x:c>
      <x:c r="I136" s="20" t="n">
        <x:v>0.05</x:v>
      </x:c>
      <x:c r="J136" s="17" t="str">
        <x:v>None</x:v>
      </x:c>
      <x:c r="K136" s="17" t="str">
        <x:v>No</x:v>
      </x:c>
      <x:c r="L136" s="17" t="str">
        <x:v>Yes</x:v>
      </x:c>
      <x:c r="M136" s="29" t="str">
        <x:f>INDEX('Prompt Totals'!$C$7:$C$246,MATCH($A136,'Prompt Totals'!$A$7:$A$246,0))</x:f>
        <x:v>InsightDesk</x:v>
      </x:c>
      <x:c r="N136" s="29" t="str">
        <x:f>INDEX('Prompt Totals'!$D$7:$D$246,MATCH($A136,'Prompt Totals'!$A$7:$A$246,0))</x:f>
        <x:v>Lite</x:v>
      </x:c>
      <x:c r="O136" s="29" t="n">
        <x:f>INDEX('Prompt Totals'!$E$7:$E$246,MATCH($A136,'Prompt Totals'!$A$7:$A$246,0))</x:f>
        <x:v>517641</x:v>
      </x:c>
      <x:c r="P136" s="29" t="n">
        <x:f>INDEX('Prompt Totals'!$F$7:$F$246,MATCH($A136,'Prompt Totals'!$A$7:$A$246,0))</x:f>
        <x:v>64948</x:v>
      </x:c>
      <x:c r="Q136" s="29" t="n">
        <x:f>INDEX('Prompt Totals'!$G$7:$G$246,MATCH($A136,'Prompt Totals'!$A$7:$A$246,0))</x:f>
        <x:v>582589</x:v>
      </x:c>
      <x:c r="R136" s="29" t="n">
        <x:f>INDEX('Prompt Totals'!$H$7:$H$246,MATCH($A136,'Prompt Totals'!$A$7:$A$246,0))</x:f>
        <x:v>14</x:v>
      </x:c>
      <x:c r="S136" s="30" t="n">
        <x:f>INDEX('Prompt Totals'!$I$7:$I$246,MATCH($A136,'Prompt Totals'!$A$7:$A$246,0))</x:f>
        <x:v>5.176410000000001</x:v>
      </x:c>
      <x:c r="T136" s="30" t="n">
        <x:f>INDEX('Prompt Totals'!$J$7:$J$246,MATCH($A136,'Prompt Totals'!$A$7:$A$246,0))</x:f>
        <x:v>1.9484400000000002</x:v>
      </x:c>
      <x:c r="U136" s="30" t="n">
        <x:f>INDEX('Prompt Totals'!$K$7:$K$246,MATCH($A136,'Prompt Totals'!$A$7:$A$246,0))</x:f>
        <x:v>7.12485</x:v>
      </x:c>
      <x:c r="V136" s="29" t="n">
        <x:f>INDEX('Prompt Totals'!$L$7:$L$246,MATCH($A136,'Prompt Totals'!$A$7:$A$246,0))</x:f>
        <x:v>1</x:v>
      </x:c>
      <x:c r="W136" s="29" t="n">
        <x:f>INDEX('Prompt Totals'!$M$7:$M$246,MATCH($A136,'Prompt Totals'!$A$7:$A$246,0))</x:f>
        <x:v>11</x:v>
      </x:c>
      <x:c r="X136" s="29" t="n">
        <x:f>INDEX('Prompt Totals'!$N$7:$N$246,MATCH($A136,'Prompt Totals'!$A$7:$A$246,0))</x:f>
        <x:v>2</x:v>
      </x:c>
      <x:c r="Y136" s="19" t="n">
        <x:f>G136-H136</x:f>
        <x:v>0.5500000000000003</x:v>
      </x:c>
      <x:c r="Z136" s="30" t="n">
        <x:f>Y136*'Solution'!$C$5</x:f>
        <x:v>27.500000000000014</x:v>
      </x:c>
      <x:c r="AA136" s="22" t="n">
        <x:f>Z136-U136</x:f>
        <x:v>20.375150000000012</x:v>
      </x:c>
    </x:row>
    <x:row r="137" ht="23" customHeight="1">
      <x:c r="A137" s="17" t="str">
        <x:v>W0131</x:v>
      </x:c>
      <x:c r="B137" s="18" t="n">
        <x:v>46281</x:v>
      </x:c>
      <x:c r="C137" s="17" t="str">
        <x:v>C003</x:v>
      </x:c>
      <x:c r="D137" s="17" t="str">
        <x:v>Marketing Operations</x:v>
      </x:c>
      <x:c r="E137" s="17" t="str">
        <x:v>Casey Rivera</x:v>
      </x:c>
      <x:c r="F137" s="17" t="str">
        <x:v>Clean audience data</x:v>
      </x:c>
      <x:c r="G137" s="20" t="n">
        <x:v>4.35</x:v>
      </x:c>
      <x:c r="H137" s="20" t="n">
        <x:v>3.6</x:v>
      </x:c>
      <x:c r="I137" s="20" t="n">
        <x:v>0.13</x:v>
      </x:c>
      <x:c r="J137" s="17" t="str">
        <x:v>None</x:v>
      </x:c>
      <x:c r="K137" s="17" t="str">
        <x:v>No</x:v>
      </x:c>
      <x:c r="L137" s="17" t="str">
        <x:v>Yes</x:v>
      </x:c>
      <x:c r="M137" s="29" t="str">
        <x:f>INDEX('Prompt Totals'!$C$7:$C$246,MATCH($A137,'Prompt Totals'!$A$7:$A$246,0))</x:f>
        <x:v>DataFlow</x:v>
      </x:c>
      <x:c r="N137" s="29" t="str">
        <x:f>INDEX('Prompt Totals'!$D$7:$D$246,MATCH($A137,'Prompt Totals'!$A$7:$A$246,0))</x:f>
        <x:v>Pro</x:v>
      </x:c>
      <x:c r="O137" s="29" t="n">
        <x:f>INDEX('Prompt Totals'!$E$7:$E$246,MATCH($A137,'Prompt Totals'!$A$7:$A$246,0))</x:f>
        <x:v>184851</x:v>
      </x:c>
      <x:c r="P137" s="29" t="n">
        <x:f>INDEX('Prompt Totals'!$F$7:$F$246,MATCH($A137,'Prompt Totals'!$A$7:$A$246,0))</x:f>
        <x:v>63666</x:v>
      </x:c>
      <x:c r="Q137" s="29" t="n">
        <x:f>INDEX('Prompt Totals'!$G$7:$G$246,MATCH($A137,'Prompt Totals'!$A$7:$A$246,0))</x:f>
        <x:v>248517</x:v>
      </x:c>
      <x:c r="R137" s="29" t="n">
        <x:f>INDEX('Prompt Totals'!$H$7:$H$246,MATCH($A137,'Prompt Totals'!$A$7:$A$246,0))</x:f>
        <x:v>9</x:v>
      </x:c>
      <x:c r="S137" s="30" t="n">
        <x:f>INDEX('Prompt Totals'!$I$7:$I$246,MATCH($A137,'Prompt Totals'!$A$7:$A$246,0))</x:f>
        <x:v>7.39404</x:v>
      </x:c>
      <x:c r="T137" s="30" t="n">
        <x:f>INDEX('Prompt Totals'!$J$7:$J$246,MATCH($A137,'Prompt Totals'!$A$7:$A$246,0))</x:f>
        <x:v>6.3666</x:v>
      </x:c>
      <x:c r="U137" s="30" t="n">
        <x:f>INDEX('Prompt Totals'!$K$7:$K$246,MATCH($A137,'Prompt Totals'!$A$7:$A$246,0))</x:f>
        <x:v>13.760640000000002</x:v>
      </x:c>
      <x:c r="V137" s="29" t="n">
        <x:f>INDEX('Prompt Totals'!$L$7:$L$246,MATCH($A137,'Prompt Totals'!$A$7:$A$246,0))</x:f>
        <x:v>1</x:v>
      </x:c>
      <x:c r="W137" s="29" t="n">
        <x:f>INDEX('Prompt Totals'!$M$7:$M$246,MATCH($A137,'Prompt Totals'!$A$7:$A$246,0))</x:f>
        <x:v>5</x:v>
      </x:c>
      <x:c r="X137" s="29" t="n">
        <x:f>INDEX('Prompt Totals'!$N$7:$N$246,MATCH($A137,'Prompt Totals'!$A$7:$A$246,0))</x:f>
        <x:v>3</x:v>
      </x:c>
      <x:c r="Y137" s="19" t="n">
        <x:f>G137-H137</x:f>
        <x:v>0.7499999999999996</x:v>
      </x:c>
      <x:c r="Z137" s="30" t="n">
        <x:f>Y137*'Solution'!$C$5</x:f>
        <x:v>37.49999999999998</x:v>
      </x:c>
      <x:c r="AA137" s="22" t="n">
        <x:f>Z137-U137</x:f>
        <x:v>23.739359999999976</x:v>
      </x:c>
    </x:row>
    <x:row r="138" ht="23" customHeight="1">
      <x:c r="A138" s="17" t="str">
        <x:v>W0132</x:v>
      </x:c>
      <x:c r="B138" s="18" t="n">
        <x:v>46290</x:v>
      </x:c>
      <x:c r="C138" s="17" t="str">
        <x:v>C003</x:v>
      </x:c>
      <x:c r="D138" s="17" t="str">
        <x:v>Marketing Operations</x:v>
      </x:c>
      <x:c r="E138" s="17" t="str">
        <x:v>Morgan Reed</x:v>
      </x:c>
      <x:c r="F138" s="17" t="str">
        <x:v>Prepare launch checklist</x:v>
      </x:c>
      <x:c r="G138" s="20" t="n">
        <x:v>3.63</x:v>
      </x:c>
      <x:c r="H138" s="20" t="n">
        <x:v>4.36</x:v>
      </x:c>
      <x:c r="I138" s="20" t="n">
        <x:v>0.84</x:v>
      </x:c>
      <x:c r="J138" s="17" t="str">
        <x:v>Brief changed</x:v>
      </x:c>
      <x:c r="K138" s="17" t="str">
        <x:v>Yes</x:v>
      </x:c>
      <x:c r="L138" s="17" t="str">
        <x:v>Yes</x:v>
      </x:c>
      <x:c r="M138" s="29" t="str">
        <x:f>INDEX('Prompt Totals'!$C$7:$C$246,MATCH($A138,'Prompt Totals'!$A$7:$A$246,0))</x:f>
        <x:v>DataFlow</x:v>
      </x:c>
      <x:c r="N138" s="29" t="str">
        <x:f>INDEX('Prompt Totals'!$D$7:$D$246,MATCH($A138,'Prompt Totals'!$A$7:$A$246,0))</x:f>
        <x:v>Pro</x:v>
      </x:c>
      <x:c r="O138" s="29" t="n">
        <x:f>INDEX('Prompt Totals'!$E$7:$E$246,MATCH($A138,'Prompt Totals'!$A$7:$A$246,0))</x:f>
        <x:v>284350</x:v>
      </x:c>
      <x:c r="P138" s="29" t="n">
        <x:f>INDEX('Prompt Totals'!$F$7:$F$246,MATCH($A138,'Prompt Totals'!$A$7:$A$246,0))</x:f>
        <x:v>112079</x:v>
      </x:c>
      <x:c r="Q138" s="29" t="n">
        <x:f>INDEX('Prompt Totals'!$G$7:$G$246,MATCH($A138,'Prompt Totals'!$A$7:$A$246,0))</x:f>
        <x:v>396429</x:v>
      </x:c>
      <x:c r="R138" s="29" t="n">
        <x:f>INDEX('Prompt Totals'!$H$7:$H$246,MATCH($A138,'Prompt Totals'!$A$7:$A$246,0))</x:f>
        <x:v>12</x:v>
      </x:c>
      <x:c r="S138" s="30" t="n">
        <x:f>INDEX('Prompt Totals'!$I$7:$I$246,MATCH($A138,'Prompt Totals'!$A$7:$A$246,0))</x:f>
        <x:v>11.374</x:v>
      </x:c>
      <x:c r="T138" s="30" t="n">
        <x:f>INDEX('Prompt Totals'!$J$7:$J$246,MATCH($A138,'Prompt Totals'!$A$7:$A$246,0))</x:f>
        <x:v>11.2079</x:v>
      </x:c>
      <x:c r="U138" s="30" t="n">
        <x:f>INDEX('Prompt Totals'!$K$7:$K$246,MATCH($A138,'Prompt Totals'!$A$7:$A$246,0))</x:f>
        <x:v>22.581900000000005</x:v>
      </x:c>
      <x:c r="V138" s="29" t="n">
        <x:f>INDEX('Prompt Totals'!$L$7:$L$246,MATCH($A138,'Prompt Totals'!$A$7:$A$246,0))</x:f>
        <x:v>1</x:v>
      </x:c>
      <x:c r="W138" s="29" t="n">
        <x:f>INDEX('Prompt Totals'!$M$7:$M$246,MATCH($A138,'Prompt Totals'!$A$7:$A$246,0))</x:f>
        <x:v>9</x:v>
      </x:c>
      <x:c r="X138" s="29" t="n">
        <x:f>INDEX('Prompt Totals'!$N$7:$N$246,MATCH($A138,'Prompt Totals'!$A$7:$A$246,0))</x:f>
        <x:v>2</x:v>
      </x:c>
      <x:c r="Y138" s="19" t="n">
        <x:f>G138-H138</x:f>
        <x:v>-0.7300000000000004</x:v>
      </x:c>
      <x:c r="Z138" s="30" t="n">
        <x:f>Y138*'Solution'!$C$5</x:f>
        <x:v>-36.50000000000002</x:v>
      </x:c>
      <x:c r="AA138" s="22" t="n">
        <x:f>Z138-U138</x:f>
        <x:v>-59.081900000000026</x:v>
      </x:c>
    </x:row>
    <x:row r="139" ht="23" customHeight="1">
      <x:c r="A139" s="17" t="str">
        <x:v>W0133</x:v>
      </x:c>
      <x:c r="B139" s="18" t="n">
        <x:v>46275</x:v>
      </x:c>
      <x:c r="C139" s="17" t="str">
        <x:v>C003</x:v>
      </x:c>
      <x:c r="D139" s="17" t="str">
        <x:v>Analytics</x:v>
      </x:c>
      <x:c r="E139" s="17" t="str">
        <x:v>Quinn Parker</x:v>
      </x:c>
      <x:c r="F139" s="17" t="str">
        <x:v>Analyze campaign results</x:v>
      </x:c>
      <x:c r="G139" s="20" t="n">
        <x:v>4.28</x:v>
      </x:c>
      <x:c r="H139" s="20" t="n">
        <x:v>3.61</x:v>
      </x:c>
      <x:c r="I139" s="20" t="n">
        <x:v>0.13</x:v>
      </x:c>
      <x:c r="J139" s="17" t="str">
        <x:v>None</x:v>
      </x:c>
      <x:c r="K139" s="17" t="str">
        <x:v>No</x:v>
      </x:c>
      <x:c r="L139" s="17" t="str">
        <x:v>Yes</x:v>
      </x:c>
      <x:c r="M139" s="29" t="str">
        <x:f>INDEX('Prompt Totals'!$C$7:$C$246,MATCH($A139,'Prompt Totals'!$A$7:$A$246,0))</x:f>
        <x:v>InsightDesk</x:v>
      </x:c>
      <x:c r="N139" s="29" t="str">
        <x:f>INDEX('Prompt Totals'!$D$7:$D$246,MATCH($A139,'Prompt Totals'!$A$7:$A$246,0))</x:f>
        <x:v>Lite</x:v>
      </x:c>
      <x:c r="O139" s="29" t="n">
        <x:f>INDEX('Prompt Totals'!$E$7:$E$246,MATCH($A139,'Prompt Totals'!$A$7:$A$246,0))</x:f>
        <x:v>361528</x:v>
      </x:c>
      <x:c r="P139" s="29" t="n">
        <x:f>INDEX('Prompt Totals'!$F$7:$F$246,MATCH($A139,'Prompt Totals'!$A$7:$A$246,0))</x:f>
        <x:v>76839</x:v>
      </x:c>
      <x:c r="Q139" s="29" t="n">
        <x:f>INDEX('Prompt Totals'!$G$7:$G$246,MATCH($A139,'Prompt Totals'!$A$7:$A$246,0))</x:f>
        <x:v>438367</x:v>
      </x:c>
      <x:c r="R139" s="29" t="n">
        <x:f>INDEX('Prompt Totals'!$H$7:$H$246,MATCH($A139,'Prompt Totals'!$A$7:$A$246,0))</x:f>
        <x:v>13</x:v>
      </x:c>
      <x:c r="S139" s="30" t="n">
        <x:f>INDEX('Prompt Totals'!$I$7:$I$246,MATCH($A139,'Prompt Totals'!$A$7:$A$246,0))</x:f>
        <x:v>3.61528</x:v>
      </x:c>
      <x:c r="T139" s="30" t="n">
        <x:f>INDEX('Prompt Totals'!$J$7:$J$246,MATCH($A139,'Prompt Totals'!$A$7:$A$246,0))</x:f>
        <x:v>2.3051700000000004</x:v>
      </x:c>
      <x:c r="U139" s="30" t="n">
        <x:f>INDEX('Prompt Totals'!$K$7:$K$246,MATCH($A139,'Prompt Totals'!$A$7:$A$246,0))</x:f>
        <x:v>5.92045</x:v>
      </x:c>
      <x:c r="V139" s="29" t="n">
        <x:f>INDEX('Prompt Totals'!$L$7:$L$246,MATCH($A139,'Prompt Totals'!$A$7:$A$246,0))</x:f>
        <x:v>1</x:v>
      </x:c>
      <x:c r="W139" s="29" t="n">
        <x:f>INDEX('Prompt Totals'!$M$7:$M$246,MATCH($A139,'Prompt Totals'!$A$7:$A$246,0))</x:f>
        <x:v>9</x:v>
      </x:c>
      <x:c r="X139" s="29" t="n">
        <x:f>INDEX('Prompt Totals'!$N$7:$N$246,MATCH($A139,'Prompt Totals'!$A$7:$A$246,0))</x:f>
        <x:v>3</x:v>
      </x:c>
      <x:c r="Y139" s="19" t="n">
        <x:f>G139-H139</x:f>
        <x:v>0.6700000000000004</x:v>
      </x:c>
      <x:c r="Z139" s="30" t="n">
        <x:f>Y139*'Solution'!$C$5</x:f>
        <x:v>33.50000000000002</x:v>
      </x:c>
      <x:c r="AA139" s="22" t="n">
        <x:f>Z139-U139</x:f>
        <x:v>27.579550000000022</x:v>
      </x:c>
    </x:row>
    <x:row r="140" ht="23" customHeight="1">
      <x:c r="A140" s="17" t="str">
        <x:v>W0134</x:v>
      </x:c>
      <x:c r="B140" s="18" t="n">
        <x:v>46286</x:v>
      </x:c>
      <x:c r="C140" s="17" t="str">
        <x:v>C003</x:v>
      </x:c>
      <x:c r="D140" s="17" t="str">
        <x:v>Analytics</x:v>
      </x:c>
      <x:c r="E140" s="17" t="str">
        <x:v>Jamie Patel</x:v>
      </x:c>
      <x:c r="F140" s="17" t="str">
        <x:v>Summarize audience insights</x:v>
      </x:c>
      <x:c r="G140" s="20" t="n">
        <x:v>2.83</x:v>
      </x:c>
      <x:c r="H140" s="20" t="n">
        <x:v>2.34</x:v>
      </x:c>
      <x:c r="I140" s="20" t="n">
        <x:v>0.18</x:v>
      </x:c>
      <x:c r="J140" s="17" t="str">
        <x:v>Data problem</x:v>
      </x:c>
      <x:c r="K140" s="17" t="str">
        <x:v>No</x:v>
      </x:c>
      <x:c r="L140" s="17" t="str">
        <x:v>Yes</x:v>
      </x:c>
      <x:c r="M140" s="29" t="str">
        <x:f>INDEX('Prompt Totals'!$C$7:$C$246,MATCH($A140,'Prompt Totals'!$A$7:$A$246,0))</x:f>
        <x:v>CopyStudio</x:v>
      </x:c>
      <x:c r="N140" s="29" t="str">
        <x:f>INDEX('Prompt Totals'!$D$7:$D$246,MATCH($A140,'Prompt Totals'!$A$7:$A$246,0))</x:f>
        <x:v>Lite</x:v>
      </x:c>
      <x:c r="O140" s="29" t="n">
        <x:f>INDEX('Prompt Totals'!$E$7:$E$246,MATCH($A140,'Prompt Totals'!$A$7:$A$246,0))</x:f>
        <x:v>410645</x:v>
      </x:c>
      <x:c r="P140" s="29" t="n">
        <x:f>INDEX('Prompt Totals'!$F$7:$F$246,MATCH($A140,'Prompt Totals'!$A$7:$A$246,0))</x:f>
        <x:v>88166</x:v>
      </x:c>
      <x:c r="Q140" s="29" t="n">
        <x:f>INDEX('Prompt Totals'!$G$7:$G$246,MATCH($A140,'Prompt Totals'!$A$7:$A$246,0))</x:f>
        <x:v>498811</x:v>
      </x:c>
      <x:c r="R140" s="29" t="n">
        <x:f>INDEX('Prompt Totals'!$H$7:$H$246,MATCH($A140,'Prompt Totals'!$A$7:$A$246,0))</x:f>
        <x:v>14</x:v>
      </x:c>
      <x:c r="S140" s="30" t="n">
        <x:f>INDEX('Prompt Totals'!$I$7:$I$246,MATCH($A140,'Prompt Totals'!$A$7:$A$246,0))</x:f>
        <x:v>4.106449999999999</x:v>
      </x:c>
      <x:c r="T140" s="30" t="n">
        <x:f>INDEX('Prompt Totals'!$J$7:$J$246,MATCH($A140,'Prompt Totals'!$A$7:$A$246,0))</x:f>
        <x:v>2.6449800000000003</x:v>
      </x:c>
      <x:c r="U140" s="30" t="n">
        <x:f>INDEX('Prompt Totals'!$K$7:$K$246,MATCH($A140,'Prompt Totals'!$A$7:$A$246,0))</x:f>
        <x:v>6.75143</x:v>
      </x:c>
      <x:c r="V140" s="29" t="n">
        <x:f>INDEX('Prompt Totals'!$L$7:$L$246,MATCH($A140,'Prompt Totals'!$A$7:$A$246,0))</x:f>
        <x:v>1</x:v>
      </x:c>
      <x:c r="W140" s="29" t="n">
        <x:f>INDEX('Prompt Totals'!$M$7:$M$246,MATCH($A140,'Prompt Totals'!$A$7:$A$246,0))</x:f>
        <x:v>10</x:v>
      </x:c>
      <x:c r="X140" s="29" t="n">
        <x:f>INDEX('Prompt Totals'!$N$7:$N$246,MATCH($A140,'Prompt Totals'!$A$7:$A$246,0))</x:f>
        <x:v>3</x:v>
      </x:c>
      <x:c r="Y140" s="19" t="n">
        <x:f>G140-H140</x:f>
        <x:v>0.4900000000000002</x:v>
      </x:c>
      <x:c r="Z140" s="30" t="n">
        <x:f>Y140*'Solution'!$C$5</x:f>
        <x:v>24.50000000000001</x:v>
      </x:c>
      <x:c r="AA140" s="22" t="n">
        <x:f>Z140-U140</x:f>
        <x:v>17.74857000000001</x:v>
      </x:c>
    </x:row>
    <x:row r="141" ht="23" customHeight="1">
      <x:c r="A141" s="17" t="str">
        <x:v>W0135</x:v>
      </x:c>
      <x:c r="B141" s="18" t="n">
        <x:v>46295</x:v>
      </x:c>
      <x:c r="C141" s="17" t="str">
        <x:v>C003</x:v>
      </x:c>
      <x:c r="D141" s="17" t="str">
        <x:v>Content</x:v>
      </x:c>
      <x:c r="E141" s="17" t="str">
        <x:v>Avery Morgan</x:v>
      </x:c>
      <x:c r="F141" s="17" t="str">
        <x:v>Edit landing page</x:v>
      </x:c>
      <x:c r="G141" s="20" t="n">
        <x:v>3.82</x:v>
      </x:c>
      <x:c r="H141" s="20" t="n">
        <x:v>4.39</x:v>
      </x:c>
      <x:c r="I141" s="20" t="n">
        <x:v>0.06</x:v>
      </x:c>
      <x:c r="J141" s="17" t="str">
        <x:v>None</x:v>
      </x:c>
      <x:c r="K141" s="17" t="str">
        <x:v>No</x:v>
      </x:c>
      <x:c r="L141" s="17" t="str">
        <x:v>Yes</x:v>
      </x:c>
      <x:c r="M141" s="29" t="str">
        <x:f>INDEX('Prompt Totals'!$C$7:$C$246,MATCH($A141,'Prompt Totals'!$A$7:$A$246,0))</x:f>
        <x:v>CopyStudio</x:v>
      </x:c>
      <x:c r="N141" s="29" t="str">
        <x:f>INDEX('Prompt Totals'!$D$7:$D$246,MATCH($A141,'Prompt Totals'!$A$7:$A$246,0))</x:f>
        <x:v>Lite</x:v>
      </x:c>
      <x:c r="O141" s="29" t="n">
        <x:f>INDEX('Prompt Totals'!$E$7:$E$246,MATCH($A141,'Prompt Totals'!$A$7:$A$246,0))</x:f>
        <x:v>385575</x:v>
      </x:c>
      <x:c r="P141" s="29" t="n">
        <x:f>INDEX('Prompt Totals'!$F$7:$F$246,MATCH($A141,'Prompt Totals'!$A$7:$A$246,0))</x:f>
        <x:v>67976</x:v>
      </x:c>
      <x:c r="Q141" s="29" t="n">
        <x:f>INDEX('Prompt Totals'!$G$7:$G$246,MATCH($A141,'Prompt Totals'!$A$7:$A$246,0))</x:f>
        <x:v>453551</x:v>
      </x:c>
      <x:c r="R141" s="29" t="n">
        <x:f>INDEX('Prompt Totals'!$H$7:$H$246,MATCH($A141,'Prompt Totals'!$A$7:$A$246,0))</x:f>
        <x:v>15</x:v>
      </x:c>
      <x:c r="S141" s="30" t="n">
        <x:f>INDEX('Prompt Totals'!$I$7:$I$246,MATCH($A141,'Prompt Totals'!$A$7:$A$246,0))</x:f>
        <x:v>3.8557500000000005</x:v>
      </x:c>
      <x:c r="T141" s="30" t="n">
        <x:f>INDEX('Prompt Totals'!$J$7:$J$246,MATCH($A141,'Prompt Totals'!$A$7:$A$246,0))</x:f>
        <x:v>2.0392799999999998</x:v>
      </x:c>
      <x:c r="U141" s="30" t="n">
        <x:f>INDEX('Prompt Totals'!$K$7:$K$246,MATCH($A141,'Prompt Totals'!$A$7:$A$246,0))</x:f>
        <x:v>5.895029999999998</x:v>
      </x:c>
      <x:c r="V141" s="29" t="n">
        <x:f>INDEX('Prompt Totals'!$L$7:$L$246,MATCH($A141,'Prompt Totals'!$A$7:$A$246,0))</x:f>
        <x:v>1</x:v>
      </x:c>
      <x:c r="W141" s="29" t="n">
        <x:f>INDEX('Prompt Totals'!$M$7:$M$246,MATCH($A141,'Prompt Totals'!$A$7:$A$246,0))</x:f>
        <x:v>10</x:v>
      </x:c>
      <x:c r="X141" s="29" t="n">
        <x:f>INDEX('Prompt Totals'!$N$7:$N$246,MATCH($A141,'Prompt Totals'!$A$7:$A$246,0))</x:f>
        <x:v>4</x:v>
      </x:c>
      <x:c r="Y141" s="19" t="n">
        <x:f>G141-H141</x:f>
        <x:v>-0.5699999999999998</x:v>
      </x:c>
      <x:c r="Z141" s="30" t="n">
        <x:f>Y141*'Solution'!$C$5</x:f>
        <x:v>-28.499999999999993</x:v>
      </x:c>
      <x:c r="AA141" s="22" t="n">
        <x:f>Z141-U141</x:f>
        <x:v>-34.39502999999999</x:v>
      </x:c>
    </x:row>
    <x:row r="142" ht="23" customHeight="1">
      <x:c r="A142" s="17" t="str">
        <x:v>W0136</x:v>
      </x:c>
      <x:c r="B142" s="18" t="n">
        <x:v>46280</x:v>
      </x:c>
      <x:c r="C142" s="17" t="str">
        <x:v>C003</x:v>
      </x:c>
      <x:c r="D142" s="17" t="str">
        <x:v>Content</x:v>
      </x:c>
      <x:c r="E142" s="17" t="str">
        <x:v>Jordan Ellis</x:v>
      </x:c>
      <x:c r="F142" s="17" t="str">
        <x:v>Write ad copy</x:v>
      </x:c>
      <x:c r="G142" s="20" t="n">
        <x:v>4.66</x:v>
      </x:c>
      <x:c r="H142" s="20" t="n">
        <x:v>4.7</x:v>
      </x:c>
      <x:c r="I142" s="20" t="n">
        <x:v>0.3</x:v>
      </x:c>
      <x:c r="J142" s="17" t="str">
        <x:v>Data problem</x:v>
      </x:c>
      <x:c r="K142" s="17" t="str">
        <x:v>No</x:v>
      </x:c>
      <x:c r="L142" s="17" t="str">
        <x:v>Yes</x:v>
      </x:c>
      <x:c r="M142" s="29" t="str">
        <x:f>INDEX('Prompt Totals'!$C$7:$C$246,MATCH($A142,'Prompt Totals'!$A$7:$A$246,0))</x:f>
        <x:v>CopyStudio</x:v>
      </x:c>
      <x:c r="N142" s="29" t="str">
        <x:f>INDEX('Prompt Totals'!$D$7:$D$246,MATCH($A142,'Prompt Totals'!$A$7:$A$246,0))</x:f>
        <x:v>Lite</x:v>
      </x:c>
      <x:c r="O142" s="29" t="n">
        <x:f>INDEX('Prompt Totals'!$E$7:$E$246,MATCH($A142,'Prompt Totals'!$A$7:$A$246,0))</x:f>
        <x:v>259624</x:v>
      </x:c>
      <x:c r="P142" s="29" t="n">
        <x:f>INDEX('Prompt Totals'!$F$7:$F$246,MATCH($A142,'Prompt Totals'!$A$7:$A$246,0))</x:f>
        <x:v>82317</x:v>
      </x:c>
      <x:c r="Q142" s="29" t="n">
        <x:f>INDEX('Prompt Totals'!$G$7:$G$246,MATCH($A142,'Prompt Totals'!$A$7:$A$246,0))</x:f>
        <x:v>341941</x:v>
      </x:c>
      <x:c r="R142" s="29" t="n">
        <x:f>INDEX('Prompt Totals'!$H$7:$H$246,MATCH($A142,'Prompt Totals'!$A$7:$A$246,0))</x:f>
        <x:v>12</x:v>
      </x:c>
      <x:c r="S142" s="30" t="n">
        <x:f>INDEX('Prompt Totals'!$I$7:$I$246,MATCH($A142,'Prompt Totals'!$A$7:$A$246,0))</x:f>
        <x:v>2.59624</x:v>
      </x:c>
      <x:c r="T142" s="30" t="n">
        <x:f>INDEX('Prompt Totals'!$J$7:$J$246,MATCH($A142,'Prompt Totals'!$A$7:$A$246,0))</x:f>
        <x:v>2.4695100000000005</x:v>
      </x:c>
      <x:c r="U142" s="30" t="n">
        <x:f>INDEX('Prompt Totals'!$K$7:$K$246,MATCH($A142,'Prompt Totals'!$A$7:$A$246,0))</x:f>
        <x:v>5.06575</x:v>
      </x:c>
      <x:c r="V142" s="29" t="n">
        <x:f>INDEX('Prompt Totals'!$L$7:$L$246,MATCH($A142,'Prompt Totals'!$A$7:$A$246,0))</x:f>
        <x:v>1</x:v>
      </x:c>
      <x:c r="W142" s="29" t="n">
        <x:f>INDEX('Prompt Totals'!$M$7:$M$246,MATCH($A142,'Prompt Totals'!$A$7:$A$246,0))</x:f>
        <x:v>8</x:v>
      </x:c>
      <x:c r="X142" s="29" t="n">
        <x:f>INDEX('Prompt Totals'!$N$7:$N$246,MATCH($A142,'Prompt Totals'!$A$7:$A$246,0))</x:f>
        <x:v>3</x:v>
      </x:c>
      <x:c r="Y142" s="19" t="n">
        <x:f>G142-H142</x:f>
        <x:v>-0.040000000000000036</x:v>
      </x:c>
      <x:c r="Z142" s="30" t="n">
        <x:f>Y142*'Solution'!$C$5</x:f>
        <x:v>-2.0000000000000018</x:v>
      </x:c>
      <x:c r="AA142" s="22" t="n">
        <x:f>Z142-U142</x:f>
        <x:v>-7.065750000000002</x:v>
      </x:c>
    </x:row>
    <x:row r="143" ht="23" customHeight="1">
      <x:c r="A143" s="17" t="str">
        <x:v>W0137</x:v>
      </x:c>
      <x:c r="B143" s="18" t="n">
        <x:v>46289</x:v>
      </x:c>
      <x:c r="C143" s="17" t="str">
        <x:v>C003</x:v>
      </x:c>
      <x:c r="D143" s="17" t="str">
        <x:v>Creative</x:v>
      </x:c>
      <x:c r="E143" s="17" t="str">
        <x:v>Riley Chen</x:v>
      </x:c>
      <x:c r="F143" s="17" t="str">
        <x:v>Review creative variants</x:v>
      </x:c>
      <x:c r="G143" s="20" t="n">
        <x:v>3.43</x:v>
      </x:c>
      <x:c r="H143" s="20" t="n">
        <x:v>2.88</x:v>
      </x:c>
      <x:c r="I143" s="20" t="n">
        <x:v>0.21</x:v>
      </x:c>
      <x:c r="J143" s="17" t="str">
        <x:v>Unclear prompt</x:v>
      </x:c>
      <x:c r="K143" s="17" t="str">
        <x:v>No</x:v>
      </x:c>
      <x:c r="L143" s="17" t="str">
        <x:v>Yes</x:v>
      </x:c>
      <x:c r="M143" s="29" t="str">
        <x:f>INDEX('Prompt Totals'!$C$7:$C$246,MATCH($A143,'Prompt Totals'!$A$7:$A$246,0))</x:f>
        <x:v>CampaignChat</x:v>
      </x:c>
      <x:c r="N143" s="29" t="str">
        <x:f>INDEX('Prompt Totals'!$D$7:$D$246,MATCH($A143,'Prompt Totals'!$A$7:$A$246,0))</x:f>
        <x:v>Lite</x:v>
      </x:c>
      <x:c r="O143" s="29" t="n">
        <x:f>INDEX('Prompt Totals'!$E$7:$E$246,MATCH($A143,'Prompt Totals'!$A$7:$A$246,0))</x:f>
        <x:v>170930</x:v>
      </x:c>
      <x:c r="P143" s="29" t="n">
        <x:f>INDEX('Prompt Totals'!$F$7:$F$246,MATCH($A143,'Prompt Totals'!$A$7:$A$246,0))</x:f>
        <x:v>37714</x:v>
      </x:c>
      <x:c r="Q143" s="29" t="n">
        <x:f>INDEX('Prompt Totals'!$G$7:$G$246,MATCH($A143,'Prompt Totals'!$A$7:$A$246,0))</x:f>
        <x:v>208644</x:v>
      </x:c>
      <x:c r="R143" s="29" t="n">
        <x:f>INDEX('Prompt Totals'!$H$7:$H$246,MATCH($A143,'Prompt Totals'!$A$7:$A$246,0))</x:f>
        <x:v>9</x:v>
      </x:c>
      <x:c r="S143" s="30" t="n">
        <x:f>INDEX('Prompt Totals'!$I$7:$I$246,MATCH($A143,'Prompt Totals'!$A$7:$A$246,0))</x:f>
        <x:v>1.7092999999999998</x:v>
      </x:c>
      <x:c r="T143" s="30" t="n">
        <x:f>INDEX('Prompt Totals'!$J$7:$J$246,MATCH($A143,'Prompt Totals'!$A$7:$A$246,0))</x:f>
        <x:v>1.13142</x:v>
      </x:c>
      <x:c r="U143" s="30" t="n">
        <x:f>INDEX('Prompt Totals'!$K$7:$K$246,MATCH($A143,'Prompt Totals'!$A$7:$A$246,0))</x:f>
        <x:v>2.84072</x:v>
      </x:c>
      <x:c r="V143" s="29" t="n">
        <x:f>INDEX('Prompt Totals'!$L$7:$L$246,MATCH($A143,'Prompt Totals'!$A$7:$A$246,0))</x:f>
        <x:v>1</x:v>
      </x:c>
      <x:c r="W143" s="29" t="n">
        <x:f>INDEX('Prompt Totals'!$M$7:$M$246,MATCH($A143,'Prompt Totals'!$A$7:$A$246,0))</x:f>
        <x:v>6</x:v>
      </x:c>
      <x:c r="X143" s="29" t="n">
        <x:f>INDEX('Prompt Totals'!$N$7:$N$246,MATCH($A143,'Prompt Totals'!$A$7:$A$246,0))</x:f>
        <x:v>2</x:v>
      </x:c>
      <x:c r="Y143" s="19" t="n">
        <x:f>G143-H143</x:f>
        <x:v>0.5500000000000003</x:v>
      </x:c>
      <x:c r="Z143" s="30" t="n">
        <x:f>Y143*'Solution'!$C$5</x:f>
        <x:v>27.500000000000014</x:v>
      </x:c>
      <x:c r="AA143" s="22" t="n">
        <x:f>Z143-U143</x:f>
        <x:v>24.659280000000013</x:v>
      </x:c>
    </x:row>
    <x:row r="144" ht="23" customHeight="1">
      <x:c r="A144" s="17" t="str">
        <x:v>W0138</x:v>
      </x:c>
      <x:c r="B144" s="18" t="n">
        <x:v>46274</x:v>
      </x:c>
      <x:c r="C144" s="17" t="str">
        <x:v>C003</x:v>
      </x:c>
      <x:c r="D144" s="17" t="str">
        <x:v>Creative</x:v>
      </x:c>
      <x:c r="E144" s="17" t="str">
        <x:v>Taylor Brooks</x:v>
      </x:c>
      <x:c r="F144" s="17" t="str">
        <x:v>Plan visual narrative</x:v>
      </x:c>
      <x:c r="G144" s="20" t="n">
        <x:v>3.51</x:v>
      </x:c>
      <x:c r="H144" s="20" t="n">
        <x:v>2.29</x:v>
      </x:c>
      <x:c r="I144" s="20" t="n">
        <x:v>0.09</x:v>
      </x:c>
      <x:c r="J144" s="17" t="str">
        <x:v>None</x:v>
      </x:c>
      <x:c r="K144" s="17" t="str">
        <x:v>No</x:v>
      </x:c>
      <x:c r="L144" s="17" t="str">
        <x:v>Yes</x:v>
      </x:c>
      <x:c r="M144" s="29" t="str">
        <x:f>INDEX('Prompt Totals'!$C$7:$C$246,MATCH($A144,'Prompt Totals'!$A$7:$A$246,0))</x:f>
        <x:v>CampaignChat</x:v>
      </x:c>
      <x:c r="N144" s="29" t="str">
        <x:f>INDEX('Prompt Totals'!$D$7:$D$246,MATCH($A144,'Prompt Totals'!$A$7:$A$246,0))</x:f>
        <x:v>Pro</x:v>
      </x:c>
      <x:c r="O144" s="29" t="n">
        <x:f>INDEX('Prompt Totals'!$E$7:$E$246,MATCH($A144,'Prompt Totals'!$A$7:$A$246,0))</x:f>
        <x:v>189157</x:v>
      </x:c>
      <x:c r="P144" s="29" t="n">
        <x:f>INDEX('Prompt Totals'!$F$7:$F$246,MATCH($A144,'Prompt Totals'!$A$7:$A$246,0))</x:f>
        <x:v>137956</x:v>
      </x:c>
      <x:c r="Q144" s="29" t="n">
        <x:f>INDEX('Prompt Totals'!$G$7:$G$246,MATCH($A144,'Prompt Totals'!$A$7:$A$246,0))</x:f>
        <x:v>327113</x:v>
      </x:c>
      <x:c r="R144" s="29" t="n">
        <x:f>INDEX('Prompt Totals'!$H$7:$H$246,MATCH($A144,'Prompt Totals'!$A$7:$A$246,0))</x:f>
        <x:v>13</x:v>
      </x:c>
      <x:c r="S144" s="30" t="n">
        <x:f>INDEX('Prompt Totals'!$I$7:$I$246,MATCH($A144,'Prompt Totals'!$A$7:$A$246,0))</x:f>
        <x:v>7.566279999999999</x:v>
      </x:c>
      <x:c r="T144" s="30" t="n">
        <x:f>INDEX('Prompt Totals'!$J$7:$J$246,MATCH($A144,'Prompt Totals'!$A$7:$A$246,0))</x:f>
        <x:v>13.795599999999999</x:v>
      </x:c>
      <x:c r="U144" s="30" t="n">
        <x:f>INDEX('Prompt Totals'!$K$7:$K$246,MATCH($A144,'Prompt Totals'!$A$7:$A$246,0))</x:f>
        <x:v>21.36188</x:v>
      </x:c>
      <x:c r="V144" s="29" t="n">
        <x:f>INDEX('Prompt Totals'!$L$7:$L$246,MATCH($A144,'Prompt Totals'!$A$7:$A$246,0))</x:f>
        <x:v>1</x:v>
      </x:c>
      <x:c r="W144" s="29" t="n">
        <x:f>INDEX('Prompt Totals'!$M$7:$M$246,MATCH($A144,'Prompt Totals'!$A$7:$A$246,0))</x:f>
        <x:v>9</x:v>
      </x:c>
      <x:c r="X144" s="29" t="n">
        <x:f>INDEX('Prompt Totals'!$N$7:$N$246,MATCH($A144,'Prompt Totals'!$A$7:$A$246,0))</x:f>
        <x:v>3</x:v>
      </x:c>
      <x:c r="Y144" s="19" t="n">
        <x:f>G144-H144</x:f>
        <x:v>1.2199999999999998</x:v>
      </x:c>
      <x:c r="Z144" s="30" t="n">
        <x:f>Y144*'Solution'!$C$5</x:f>
        <x:v>60.999999999999986</x:v>
      </x:c>
      <x:c r="AA144" s="22" t="n">
        <x:f>Z144-U144</x:f>
        <x:v>39.63811999999999</x:v>
      </x:c>
    </x:row>
    <x:row r="145" ht="23" customHeight="1">
      <x:c r="A145" s="17" t="str">
        <x:v>W0139</x:v>
      </x:c>
      <x:c r="B145" s="18" t="n">
        <x:v>46283</x:v>
      </x:c>
      <x:c r="C145" s="17" t="str">
        <x:v>C003</x:v>
      </x:c>
      <x:c r="D145" s="17" t="str">
        <x:v>Marketing Operations</x:v>
      </x:c>
      <x:c r="E145" s="17" t="str">
        <x:v>Casey Rivera</x:v>
      </x:c>
      <x:c r="F145" s="17" t="str">
        <x:v>Build campaign plan</x:v>
      </x:c>
      <x:c r="G145" s="20" t="n">
        <x:v>3.63</x:v>
      </x:c>
      <x:c r="H145" s="20" t="n">
        <x:v>3.31</x:v>
      </x:c>
      <x:c r="I145" s="20" t="n">
        <x:v>0.26</x:v>
      </x:c>
      <x:c r="J145" s="17" t="str">
        <x:v>None</x:v>
      </x:c>
      <x:c r="K145" s="17" t="str">
        <x:v>No</x:v>
      </x:c>
      <x:c r="L145" s="17" t="str">
        <x:v>No</x:v>
      </x:c>
      <x:c r="M145" s="29" t="str">
        <x:f>INDEX('Prompt Totals'!$C$7:$C$246,MATCH($A145,'Prompt Totals'!$A$7:$A$246,0))</x:f>
        <x:v>DataFlow</x:v>
      </x:c>
      <x:c r="N145" s="29" t="str">
        <x:f>INDEX('Prompt Totals'!$D$7:$D$246,MATCH($A145,'Prompt Totals'!$A$7:$A$246,0))</x:f>
        <x:v>Pro</x:v>
      </x:c>
      <x:c r="O145" s="29" t="n">
        <x:f>INDEX('Prompt Totals'!$E$7:$E$246,MATCH($A145,'Prompt Totals'!$A$7:$A$246,0))</x:f>
        <x:v>126191</x:v>
      </x:c>
      <x:c r="P145" s="29" t="n">
        <x:f>INDEX('Prompt Totals'!$F$7:$F$246,MATCH($A145,'Prompt Totals'!$A$7:$A$246,0))</x:f>
        <x:v>71235</x:v>
      </x:c>
      <x:c r="Q145" s="29" t="n">
        <x:f>INDEX('Prompt Totals'!$G$7:$G$246,MATCH($A145,'Prompt Totals'!$A$7:$A$246,0))</x:f>
        <x:v>197426</x:v>
      </x:c>
      <x:c r="R145" s="29" t="n">
        <x:f>INDEX('Prompt Totals'!$H$7:$H$246,MATCH($A145,'Prompt Totals'!$A$7:$A$246,0))</x:f>
        <x:v>8</x:v>
      </x:c>
      <x:c r="S145" s="30" t="n">
        <x:f>INDEX('Prompt Totals'!$I$7:$I$246,MATCH($A145,'Prompt Totals'!$A$7:$A$246,0))</x:f>
        <x:v>5.04764</x:v>
      </x:c>
      <x:c r="T145" s="30" t="n">
        <x:f>INDEX('Prompt Totals'!$J$7:$J$246,MATCH($A145,'Prompt Totals'!$A$7:$A$246,0))</x:f>
        <x:v>7.1235</x:v>
      </x:c>
      <x:c r="U145" s="30" t="n">
        <x:f>INDEX('Prompt Totals'!$K$7:$K$246,MATCH($A145,'Prompt Totals'!$A$7:$A$246,0))</x:f>
        <x:v>12.171140000000001</x:v>
      </x:c>
      <x:c r="V145" s="29" t="n">
        <x:f>INDEX('Prompt Totals'!$L$7:$L$246,MATCH($A145,'Prompt Totals'!$A$7:$A$246,0))</x:f>
        <x:v>1</x:v>
      </x:c>
      <x:c r="W145" s="29" t="n">
        <x:f>INDEX('Prompt Totals'!$M$7:$M$246,MATCH($A145,'Prompt Totals'!$A$7:$A$246,0))</x:f>
        <x:v>5</x:v>
      </x:c>
      <x:c r="X145" s="29" t="n">
        <x:f>INDEX('Prompt Totals'!$N$7:$N$246,MATCH($A145,'Prompt Totals'!$A$7:$A$246,0))</x:f>
        <x:v>2</x:v>
      </x:c>
      <x:c r="Y145" s="19" t="n">
        <x:f>G145-H145</x:f>
        <x:v>0.31999999999999984</x:v>
      </x:c>
      <x:c r="Z145" s="30" t="n">
        <x:f>Y145*'Solution'!$C$5</x:f>
        <x:v>15.999999999999993</x:v>
      </x:c>
      <x:c r="AA145" s="22" t="n">
        <x:f>Z145-U145</x:f>
        <x:v>3.8288599999999917</x:v>
      </x:c>
    </x:row>
    <x:row r="146" ht="23" customHeight="1">
      <x:c r="A146" s="17" t="str">
        <x:v>W0140</x:v>
      </x:c>
      <x:c r="B146" s="18" t="n">
        <x:v>46294</x:v>
      </x:c>
      <x:c r="C146" s="17" t="str">
        <x:v>C003</x:v>
      </x:c>
      <x:c r="D146" s="17" t="str">
        <x:v>Marketing Operations</x:v>
      </x:c>
      <x:c r="E146" s="17" t="str">
        <x:v>Morgan Reed</x:v>
      </x:c>
      <x:c r="F146" s="17" t="str">
        <x:v>Clean audience data</x:v>
      </x:c>
      <x:c r="G146" s="20" t="n">
        <x:v>4.7</x:v>
      </x:c>
      <x:c r="H146" s="20" t="n">
        <x:v>5.08</x:v>
      </x:c>
      <x:c r="I146" s="20" t="n">
        <x:v>0.73</x:v>
      </x:c>
      <x:c r="J146" s="17" t="str">
        <x:v>Brief changed</x:v>
      </x:c>
      <x:c r="K146" s="17" t="str">
        <x:v>Yes</x:v>
      </x:c>
      <x:c r="L146" s="17" t="str">
        <x:v>No</x:v>
      </x:c>
      <x:c r="M146" s="29" t="str">
        <x:f>INDEX('Prompt Totals'!$C$7:$C$246,MATCH($A146,'Prompt Totals'!$A$7:$A$246,0))</x:f>
        <x:v>DataFlow</x:v>
      </x:c>
      <x:c r="N146" s="29" t="str">
        <x:f>INDEX('Prompt Totals'!$D$7:$D$246,MATCH($A146,'Prompt Totals'!$A$7:$A$246,0))</x:f>
        <x:v>Lite</x:v>
      </x:c>
      <x:c r="O146" s="29" t="n">
        <x:f>INDEX('Prompt Totals'!$E$7:$E$246,MATCH($A146,'Prompt Totals'!$A$7:$A$246,0))</x:f>
        <x:v>547366</x:v>
      </x:c>
      <x:c r="P146" s="29" t="n">
        <x:f>INDEX('Prompt Totals'!$F$7:$F$246,MATCH($A146,'Prompt Totals'!$A$7:$A$246,0))</x:f>
        <x:v>124476</x:v>
      </x:c>
      <x:c r="Q146" s="29" t="n">
        <x:f>INDEX('Prompt Totals'!$G$7:$G$246,MATCH($A146,'Prompt Totals'!$A$7:$A$246,0))</x:f>
        <x:v>671842</x:v>
      </x:c>
      <x:c r="R146" s="29" t="n">
        <x:f>INDEX('Prompt Totals'!$H$7:$H$246,MATCH($A146,'Prompt Totals'!$A$7:$A$246,0))</x:f>
        <x:v>19</x:v>
      </x:c>
      <x:c r="S146" s="30" t="n">
        <x:f>INDEX('Prompt Totals'!$I$7:$I$246,MATCH($A146,'Prompt Totals'!$A$7:$A$246,0))</x:f>
        <x:v>5.4736600000000015</x:v>
      </x:c>
      <x:c r="T146" s="30" t="n">
        <x:f>INDEX('Prompt Totals'!$J$7:$J$246,MATCH($A146,'Prompt Totals'!$A$7:$A$246,0))</x:f>
        <x:v>3.73428</x:v>
      </x:c>
      <x:c r="U146" s="30" t="n">
        <x:f>INDEX('Prompt Totals'!$K$7:$K$246,MATCH($A146,'Prompt Totals'!$A$7:$A$246,0))</x:f>
        <x:v>9.20794</x:v>
      </x:c>
      <x:c r="V146" s="29" t="n">
        <x:f>INDEX('Prompt Totals'!$L$7:$L$246,MATCH($A146,'Prompt Totals'!$A$7:$A$246,0))</x:f>
        <x:v>1</x:v>
      </x:c>
      <x:c r="W146" s="29" t="n">
        <x:f>INDEX('Prompt Totals'!$M$7:$M$246,MATCH($A146,'Prompt Totals'!$A$7:$A$246,0))</x:f>
        <x:v>12</x:v>
      </x:c>
      <x:c r="X146" s="29" t="n">
        <x:f>INDEX('Prompt Totals'!$N$7:$N$246,MATCH($A146,'Prompt Totals'!$A$7:$A$246,0))</x:f>
        <x:v>6</x:v>
      </x:c>
      <x:c r="Y146" s="19" t="n">
        <x:f>G146-H146</x:f>
        <x:v>-0.3799999999999999</x:v>
      </x:c>
      <x:c r="Z146" s="30" t="n">
        <x:f>Y146*'Solution'!$C$5</x:f>
        <x:v>-18.999999999999993</x:v>
      </x:c>
      <x:c r="AA146" s="22" t="n">
        <x:f>Z146-U146</x:f>
        <x:v>-28.207939999999994</x:v>
      </x:c>
    </x:row>
    <x:row r="147" ht="23" customHeight="1">
      <x:c r="A147" s="17" t="str">
        <x:v>W0141</x:v>
      </x:c>
      <x:c r="B147" s="18" t="n">
        <x:v>46279</x:v>
      </x:c>
      <x:c r="C147" s="17" t="str">
        <x:v>C003</x:v>
      </x:c>
      <x:c r="D147" s="17" t="str">
        <x:v>Analytics</x:v>
      </x:c>
      <x:c r="E147" s="17" t="str">
        <x:v>Quinn Parker</x:v>
      </x:c>
      <x:c r="F147" s="17" t="str">
        <x:v>Check measurement plan</x:v>
      </x:c>
      <x:c r="G147" s="20" t="n">
        <x:v>2.41</x:v>
      </x:c>
      <x:c r="H147" s="20" t="n">
        <x:v>1.79</x:v>
      </x:c>
      <x:c r="I147" s="20" t="n">
        <x:v>0.33</x:v>
      </x:c>
      <x:c r="J147" s="17" t="str">
        <x:v>Data problem</x:v>
      </x:c>
      <x:c r="K147" s="17" t="str">
        <x:v>No</x:v>
      </x:c>
      <x:c r="L147" s="17" t="str">
        <x:v>Yes</x:v>
      </x:c>
      <x:c r="M147" s="29" t="str">
        <x:f>INDEX('Prompt Totals'!$C$7:$C$246,MATCH($A147,'Prompt Totals'!$A$7:$A$246,0))</x:f>
        <x:v>DataFlow</x:v>
      </x:c>
      <x:c r="N147" s="29" t="str">
        <x:f>INDEX('Prompt Totals'!$D$7:$D$246,MATCH($A147,'Prompt Totals'!$A$7:$A$246,0))</x:f>
        <x:v>Pro</x:v>
      </x:c>
      <x:c r="O147" s="29" t="n">
        <x:f>INDEX('Prompt Totals'!$E$7:$E$246,MATCH($A147,'Prompt Totals'!$A$7:$A$246,0))</x:f>
        <x:v>207003</x:v>
      </x:c>
      <x:c r="P147" s="29" t="n">
        <x:f>INDEX('Prompt Totals'!$F$7:$F$246,MATCH($A147,'Prompt Totals'!$A$7:$A$246,0))</x:f>
        <x:v>72835</x:v>
      </x:c>
      <x:c r="Q147" s="29" t="n">
        <x:f>INDEX('Prompt Totals'!$G$7:$G$246,MATCH($A147,'Prompt Totals'!$A$7:$A$246,0))</x:f>
        <x:v>279838</x:v>
      </x:c>
      <x:c r="R147" s="29" t="n">
        <x:f>INDEX('Prompt Totals'!$H$7:$H$246,MATCH($A147,'Prompt Totals'!$A$7:$A$246,0))</x:f>
        <x:v>9</x:v>
      </x:c>
      <x:c r="S147" s="30" t="n">
        <x:f>INDEX('Prompt Totals'!$I$7:$I$246,MATCH($A147,'Prompt Totals'!$A$7:$A$246,0))</x:f>
        <x:v>8.28012</x:v>
      </x:c>
      <x:c r="T147" s="30" t="n">
        <x:f>INDEX('Prompt Totals'!$J$7:$J$246,MATCH($A147,'Prompt Totals'!$A$7:$A$246,0))</x:f>
        <x:v>7.2835</x:v>
      </x:c>
      <x:c r="U147" s="30" t="n">
        <x:f>INDEX('Prompt Totals'!$K$7:$K$246,MATCH($A147,'Prompt Totals'!$A$7:$A$246,0))</x:f>
        <x:v>15.563619999999998</x:v>
      </x:c>
      <x:c r="V147" s="29" t="n">
        <x:f>INDEX('Prompt Totals'!$L$7:$L$246,MATCH($A147,'Prompt Totals'!$A$7:$A$246,0))</x:f>
        <x:v>1</x:v>
      </x:c>
      <x:c r="W147" s="29" t="n">
        <x:f>INDEX('Prompt Totals'!$M$7:$M$246,MATCH($A147,'Prompt Totals'!$A$7:$A$246,0))</x:f>
        <x:v>6</x:v>
      </x:c>
      <x:c r="X147" s="29" t="n">
        <x:f>INDEX('Prompt Totals'!$N$7:$N$246,MATCH($A147,'Prompt Totals'!$A$7:$A$246,0))</x:f>
        <x:v>2</x:v>
      </x:c>
      <x:c r="Y147" s="19" t="n">
        <x:f>G147-H147</x:f>
        <x:v>0.6200000000000001</x:v>
      </x:c>
      <x:c r="Z147" s="30" t="n">
        <x:f>Y147*'Solution'!$C$5</x:f>
        <x:v>31.000000000000007</x:v>
      </x:c>
      <x:c r="AA147" s="22" t="n">
        <x:f>Z147-U147</x:f>
        <x:v>15.436380000000009</x:v>
      </x:c>
    </x:row>
    <x:row r="148" ht="23" customHeight="1">
      <x:c r="A148" s="17" t="str">
        <x:v>W0142</x:v>
      </x:c>
      <x:c r="B148" s="18" t="n">
        <x:v>46288</x:v>
      </x:c>
      <x:c r="C148" s="17" t="str">
        <x:v>C003</x:v>
      </x:c>
      <x:c r="D148" s="17" t="str">
        <x:v>Analytics</x:v>
      </x:c>
      <x:c r="E148" s="17" t="str">
        <x:v>Jamie Patel</x:v>
      </x:c>
      <x:c r="F148" s="17" t="str">
        <x:v>Analyze campaign results</x:v>
      </x:c>
      <x:c r="G148" s="20" t="n">
        <x:v>3.05</x:v>
      </x:c>
      <x:c r="H148" s="20" t="n">
        <x:v>2.82</x:v>
      </x:c>
      <x:c r="I148" s="20" t="n">
        <x:v>0.23</x:v>
      </x:c>
      <x:c r="J148" s="17" t="str">
        <x:v>None</x:v>
      </x:c>
      <x:c r="K148" s="17" t="str">
        <x:v>No</x:v>
      </x:c>
      <x:c r="L148" s="17" t="str">
        <x:v>Yes</x:v>
      </x:c>
      <x:c r="M148" s="29" t="str">
        <x:f>INDEX('Prompt Totals'!$C$7:$C$246,MATCH($A148,'Prompt Totals'!$A$7:$A$246,0))</x:f>
        <x:v>InsightDesk</x:v>
      </x:c>
      <x:c r="N148" s="29" t="str">
        <x:f>INDEX('Prompt Totals'!$D$7:$D$246,MATCH($A148,'Prompt Totals'!$A$7:$A$246,0))</x:f>
        <x:v>Lite</x:v>
      </x:c>
      <x:c r="O148" s="29" t="n">
        <x:f>INDEX('Prompt Totals'!$E$7:$E$246,MATCH($A148,'Prompt Totals'!$A$7:$A$246,0))</x:f>
        <x:v>207637</x:v>
      </x:c>
      <x:c r="P148" s="29" t="n">
        <x:f>INDEX('Prompt Totals'!$F$7:$F$246,MATCH($A148,'Prompt Totals'!$A$7:$A$246,0))</x:f>
        <x:v>77488</x:v>
      </x:c>
      <x:c r="Q148" s="29" t="n">
        <x:f>INDEX('Prompt Totals'!$G$7:$G$246,MATCH($A148,'Prompt Totals'!$A$7:$A$246,0))</x:f>
        <x:v>285125</x:v>
      </x:c>
      <x:c r="R148" s="29" t="n">
        <x:f>INDEX('Prompt Totals'!$H$7:$H$246,MATCH($A148,'Prompt Totals'!$A$7:$A$246,0))</x:f>
        <x:v>10</x:v>
      </x:c>
      <x:c r="S148" s="30" t="n">
        <x:f>INDEX('Prompt Totals'!$I$7:$I$246,MATCH($A148,'Prompt Totals'!$A$7:$A$246,0))</x:f>
        <x:v>2.07637</x:v>
      </x:c>
      <x:c r="T148" s="30" t="n">
        <x:f>INDEX('Prompt Totals'!$J$7:$J$246,MATCH($A148,'Prompt Totals'!$A$7:$A$246,0))</x:f>
        <x:v>2.32464</x:v>
      </x:c>
      <x:c r="U148" s="30" t="n">
        <x:f>INDEX('Prompt Totals'!$K$7:$K$246,MATCH($A148,'Prompt Totals'!$A$7:$A$246,0))</x:f>
        <x:v>4.401009999999999</x:v>
      </x:c>
      <x:c r="V148" s="29" t="n">
        <x:f>INDEX('Prompt Totals'!$L$7:$L$246,MATCH($A148,'Prompt Totals'!$A$7:$A$246,0))</x:f>
        <x:v>1</x:v>
      </x:c>
      <x:c r="W148" s="29" t="n">
        <x:f>INDEX('Prompt Totals'!$M$7:$M$246,MATCH($A148,'Prompt Totals'!$A$7:$A$246,0))</x:f>
        <x:v>7</x:v>
      </x:c>
      <x:c r="X148" s="29" t="n">
        <x:f>INDEX('Prompt Totals'!$N$7:$N$246,MATCH($A148,'Prompt Totals'!$A$7:$A$246,0))</x:f>
        <x:v>2</x:v>
      </x:c>
      <x:c r="Y148" s="19" t="n">
        <x:f>G148-H148</x:f>
        <x:v>0.22999999999999998</x:v>
      </x:c>
      <x:c r="Z148" s="30" t="n">
        <x:f>Y148*'Solution'!$C$5</x:f>
        <x:v>11.5</x:v>
      </x:c>
      <x:c r="AA148" s="22" t="n">
        <x:f>Z148-U148</x:f>
        <x:v>7.098990000000001</x:v>
      </x:c>
    </x:row>
    <x:row r="149" ht="23" customHeight="1">
      <x:c r="A149" s="17" t="str">
        <x:v>W0143</x:v>
      </x:c>
      <x:c r="B149" s="18" t="n">
        <x:v>46273</x:v>
      </x:c>
      <x:c r="C149" s="17" t="str">
        <x:v>C003</x:v>
      </x:c>
      <x:c r="D149" s="17" t="str">
        <x:v>Content</x:v>
      </x:c>
      <x:c r="E149" s="17" t="str">
        <x:v>Avery Morgan</x:v>
      </x:c>
      <x:c r="F149" s="17" t="str">
        <x:v>Draft email sequence</x:v>
      </x:c>
      <x:c r="G149" s="20" t="n">
        <x:v>3.58</x:v>
      </x:c>
      <x:c r="H149" s="20" t="n">
        <x:v>2.08</x:v>
      </x:c>
      <x:c r="I149" s="20" t="n">
        <x:v>0.18</x:v>
      </x:c>
      <x:c r="J149" s="17" t="str">
        <x:v>None</x:v>
      </x:c>
      <x:c r="K149" s="17" t="str">
        <x:v>No</x:v>
      </x:c>
      <x:c r="L149" s="17" t="str">
        <x:v>Yes</x:v>
      </x:c>
      <x:c r="M149" s="29" t="str">
        <x:f>INDEX('Prompt Totals'!$C$7:$C$246,MATCH($A149,'Prompt Totals'!$A$7:$A$246,0))</x:f>
        <x:v>CopyStudio</x:v>
      </x:c>
      <x:c r="N149" s="29" t="str">
        <x:f>INDEX('Prompt Totals'!$D$7:$D$246,MATCH($A149,'Prompt Totals'!$A$7:$A$246,0))</x:f>
        <x:v>Lite</x:v>
      </x:c>
      <x:c r="O149" s="29" t="n">
        <x:f>INDEX('Prompt Totals'!$E$7:$E$246,MATCH($A149,'Prompt Totals'!$A$7:$A$246,0))</x:f>
        <x:v>434469</x:v>
      </x:c>
      <x:c r="P149" s="29" t="n">
        <x:f>INDEX('Prompt Totals'!$F$7:$F$246,MATCH($A149,'Prompt Totals'!$A$7:$A$246,0))</x:f>
        <x:v>72208</x:v>
      </x:c>
      <x:c r="Q149" s="29" t="n">
        <x:f>INDEX('Prompt Totals'!$G$7:$G$246,MATCH($A149,'Prompt Totals'!$A$7:$A$246,0))</x:f>
        <x:v>506677</x:v>
      </x:c>
      <x:c r="R149" s="29" t="n">
        <x:f>INDEX('Prompt Totals'!$H$7:$H$246,MATCH($A149,'Prompt Totals'!$A$7:$A$246,0))</x:f>
        <x:v>12</x:v>
      </x:c>
      <x:c r="S149" s="30" t="n">
        <x:f>INDEX('Prompt Totals'!$I$7:$I$246,MATCH($A149,'Prompt Totals'!$A$7:$A$246,0))</x:f>
        <x:v>4.344690000000001</x:v>
      </x:c>
      <x:c r="T149" s="30" t="n">
        <x:f>INDEX('Prompt Totals'!$J$7:$J$246,MATCH($A149,'Prompt Totals'!$A$7:$A$246,0))</x:f>
        <x:v>2.16624</x:v>
      </x:c>
      <x:c r="U149" s="30" t="n">
        <x:f>INDEX('Prompt Totals'!$K$7:$K$246,MATCH($A149,'Prompt Totals'!$A$7:$A$246,0))</x:f>
        <x:v>6.510929999999999</x:v>
      </x:c>
      <x:c r="V149" s="29" t="n">
        <x:f>INDEX('Prompt Totals'!$L$7:$L$246,MATCH($A149,'Prompt Totals'!$A$7:$A$246,0))</x:f>
        <x:v>1</x:v>
      </x:c>
      <x:c r="W149" s="29" t="n">
        <x:f>INDEX('Prompt Totals'!$M$7:$M$246,MATCH($A149,'Prompt Totals'!$A$7:$A$246,0))</x:f>
        <x:v>8</x:v>
      </x:c>
      <x:c r="X149" s="29" t="n">
        <x:f>INDEX('Prompt Totals'!$N$7:$N$246,MATCH($A149,'Prompt Totals'!$A$7:$A$246,0))</x:f>
        <x:v>3</x:v>
      </x:c>
      <x:c r="Y149" s="19" t="n">
        <x:f>G149-H149</x:f>
        <x:v>1.5</x:v>
      </x:c>
      <x:c r="Z149" s="30" t="n">
        <x:f>Y149*'Solution'!$C$5</x:f>
        <x:v>75</x:v>
      </x:c>
      <x:c r="AA149" s="22" t="n">
        <x:f>Z149-U149</x:f>
        <x:v>68.48907</x:v>
      </x:c>
    </x:row>
    <x:row r="150" ht="23" customHeight="1">
      <x:c r="A150" s="17" t="str">
        <x:v>W0144</x:v>
      </x:c>
      <x:c r="B150" s="18" t="n">
        <x:v>46282</x:v>
      </x:c>
      <x:c r="C150" s="17" t="str">
        <x:v>C003</x:v>
      </x:c>
      <x:c r="D150" s="17" t="str">
        <x:v>Content</x:v>
      </x:c>
      <x:c r="E150" s="17" t="str">
        <x:v>Jordan Ellis</x:v>
      </x:c>
      <x:c r="F150" s="17" t="str">
        <x:v>Edit landing page</x:v>
      </x:c>
      <x:c r="G150" s="20" t="n">
        <x:v>3.74</x:v>
      </x:c>
      <x:c r="H150" s="20" t="n">
        <x:v>2.78</x:v>
      </x:c>
      <x:c r="I150" s="20" t="n">
        <x:v>0.21</x:v>
      </x:c>
      <x:c r="J150" s="17" t="str">
        <x:v>Brief changed</x:v>
      </x:c>
      <x:c r="K150" s="17" t="str">
        <x:v>Yes</x:v>
      </x:c>
      <x:c r="L150" s="17" t="str">
        <x:v>Yes</x:v>
      </x:c>
      <x:c r="M150" s="29" t="str">
        <x:f>INDEX('Prompt Totals'!$C$7:$C$246,MATCH($A150,'Prompt Totals'!$A$7:$A$246,0))</x:f>
        <x:v>CopyStudio</x:v>
      </x:c>
      <x:c r="N150" s="29" t="str">
        <x:f>INDEX('Prompt Totals'!$D$7:$D$246,MATCH($A150,'Prompt Totals'!$A$7:$A$246,0))</x:f>
        <x:v>Lite</x:v>
      </x:c>
      <x:c r="O150" s="29" t="n">
        <x:f>INDEX('Prompt Totals'!$E$7:$E$246,MATCH($A150,'Prompt Totals'!$A$7:$A$246,0))</x:f>
        <x:v>274120</x:v>
      </x:c>
      <x:c r="P150" s="29" t="n">
        <x:f>INDEX('Prompt Totals'!$F$7:$F$246,MATCH($A150,'Prompt Totals'!$A$7:$A$246,0))</x:f>
        <x:v>79203</x:v>
      </x:c>
      <x:c r="Q150" s="29" t="n">
        <x:f>INDEX('Prompt Totals'!$G$7:$G$246,MATCH($A150,'Prompt Totals'!$A$7:$A$246,0))</x:f>
        <x:v>353323</x:v>
      </x:c>
      <x:c r="R150" s="29" t="n">
        <x:f>INDEX('Prompt Totals'!$H$7:$H$246,MATCH($A150,'Prompt Totals'!$A$7:$A$246,0))</x:f>
        <x:v>11</x:v>
      </x:c>
      <x:c r="S150" s="30" t="n">
        <x:f>INDEX('Prompt Totals'!$I$7:$I$246,MATCH($A150,'Prompt Totals'!$A$7:$A$246,0))</x:f>
        <x:v>2.7412</x:v>
      </x:c>
      <x:c r="T150" s="30" t="n">
        <x:f>INDEX('Prompt Totals'!$J$7:$J$246,MATCH($A150,'Prompt Totals'!$A$7:$A$246,0))</x:f>
        <x:v>2.37609</x:v>
      </x:c>
      <x:c r="U150" s="30" t="n">
        <x:f>INDEX('Prompt Totals'!$K$7:$K$246,MATCH($A150,'Prompt Totals'!$A$7:$A$246,0))</x:f>
        <x:v>5.117290000000001</x:v>
      </x:c>
      <x:c r="V150" s="29" t="n">
        <x:f>INDEX('Prompt Totals'!$L$7:$L$246,MATCH($A150,'Prompt Totals'!$A$7:$A$246,0))</x:f>
        <x:v>1</x:v>
      </x:c>
      <x:c r="W150" s="29" t="n">
        <x:f>INDEX('Prompt Totals'!$M$7:$M$246,MATCH($A150,'Prompt Totals'!$A$7:$A$246,0))</x:f>
        <x:v>8</x:v>
      </x:c>
      <x:c r="X150" s="29" t="n">
        <x:f>INDEX('Prompt Totals'!$N$7:$N$246,MATCH($A150,'Prompt Totals'!$A$7:$A$246,0))</x:f>
        <x:v>2</x:v>
      </x:c>
      <x:c r="Y150" s="19" t="n">
        <x:f>G150-H150</x:f>
        <x:v>0.9600000000000004</x:v>
      </x:c>
      <x:c r="Z150" s="30" t="n">
        <x:f>Y150*'Solution'!$C$5</x:f>
        <x:v>48.00000000000002</x:v>
      </x:c>
      <x:c r="AA150" s="22" t="n">
        <x:f>Z150-U150</x:f>
        <x:v>42.88271000000002</x:v>
      </x:c>
    </x:row>
    <x:row r="151" ht="23" customHeight="1">
      <x:c r="A151" s="17" t="str">
        <x:v>W0145</x:v>
      </x:c>
      <x:c r="B151" s="18" t="n">
        <x:v>46293</x:v>
      </x:c>
      <x:c r="C151" s="17" t="str">
        <x:v>C003</x:v>
      </x:c>
      <x:c r="D151" s="17" t="str">
        <x:v>Creative</x:v>
      </x:c>
      <x:c r="E151" s="17" t="str">
        <x:v>Riley Chen</x:v>
      </x:c>
      <x:c r="F151" s="17" t="str">
        <x:v>Develop concept brief</x:v>
      </x:c>
      <x:c r="G151" s="20" t="n">
        <x:v>3.51</x:v>
      </x:c>
      <x:c r="H151" s="20" t="n">
        <x:v>2.04</x:v>
      </x:c>
      <x:c r="I151" s="20" t="n">
        <x:v>0.18</x:v>
      </x:c>
      <x:c r="J151" s="17" t="str">
        <x:v>Brief changed</x:v>
      </x:c>
      <x:c r="K151" s="17" t="str">
        <x:v>Yes</x:v>
      </x:c>
      <x:c r="L151" s="17" t="str">
        <x:v>Yes</x:v>
      </x:c>
      <x:c r="M151" s="29" t="str">
        <x:f>INDEX('Prompt Totals'!$C$7:$C$246,MATCH($A151,'Prompt Totals'!$A$7:$A$246,0))</x:f>
        <x:v>CampaignChat</x:v>
      </x:c>
      <x:c r="N151" s="29" t="str">
        <x:f>INDEX('Prompt Totals'!$D$7:$D$246,MATCH($A151,'Prompt Totals'!$A$7:$A$246,0))</x:f>
        <x:v>Pro</x:v>
      </x:c>
      <x:c r="O151" s="29" t="n">
        <x:f>INDEX('Prompt Totals'!$E$7:$E$246,MATCH($A151,'Prompt Totals'!$A$7:$A$246,0))</x:f>
        <x:v>130064</x:v>
      </x:c>
      <x:c r="P151" s="29" t="n">
        <x:f>INDEX('Prompt Totals'!$F$7:$F$246,MATCH($A151,'Prompt Totals'!$A$7:$A$246,0))</x:f>
        <x:v>85309</x:v>
      </x:c>
      <x:c r="Q151" s="29" t="n">
        <x:f>INDEX('Prompt Totals'!$G$7:$G$246,MATCH($A151,'Prompt Totals'!$A$7:$A$246,0))</x:f>
        <x:v>215373</x:v>
      </x:c>
      <x:c r="R151" s="29" t="n">
        <x:f>INDEX('Prompt Totals'!$H$7:$H$246,MATCH($A151,'Prompt Totals'!$A$7:$A$246,0))</x:f>
        <x:v>8</x:v>
      </x:c>
      <x:c r="S151" s="30" t="n">
        <x:f>INDEX('Prompt Totals'!$I$7:$I$246,MATCH($A151,'Prompt Totals'!$A$7:$A$246,0))</x:f>
        <x:v>5.20256</x:v>
      </x:c>
      <x:c r="T151" s="30" t="n">
        <x:f>INDEX('Prompt Totals'!$J$7:$J$246,MATCH($A151,'Prompt Totals'!$A$7:$A$246,0))</x:f>
        <x:v>8.5309</x:v>
      </x:c>
      <x:c r="U151" s="30" t="n">
        <x:f>INDEX('Prompt Totals'!$K$7:$K$246,MATCH($A151,'Prompt Totals'!$A$7:$A$246,0))</x:f>
        <x:v>13.733460000000001</x:v>
      </x:c>
      <x:c r="V151" s="29" t="n">
        <x:f>INDEX('Prompt Totals'!$L$7:$L$246,MATCH($A151,'Prompt Totals'!$A$7:$A$246,0))</x:f>
        <x:v>1</x:v>
      </x:c>
      <x:c r="W151" s="29" t="n">
        <x:f>INDEX('Prompt Totals'!$M$7:$M$246,MATCH($A151,'Prompt Totals'!$A$7:$A$246,0))</x:f>
        <x:v>5</x:v>
      </x:c>
      <x:c r="X151" s="29" t="n">
        <x:f>INDEX('Prompt Totals'!$N$7:$N$246,MATCH($A151,'Prompt Totals'!$A$7:$A$246,0))</x:f>
        <x:v>2</x:v>
      </x:c>
      <x:c r="Y151" s="19" t="n">
        <x:f>G151-H151</x:f>
        <x:v>1.4699999999999998</x:v>
      </x:c>
      <x:c r="Z151" s="30" t="n">
        <x:f>Y151*'Solution'!$C$5</x:f>
        <x:v>73.49999999999999</x:v>
      </x:c>
      <x:c r="AA151" s="22" t="n">
        <x:f>Z151-U151</x:f>
        <x:v>59.766539999999985</x:v>
      </x:c>
    </x:row>
    <x:row r="152" ht="23" customHeight="1">
      <x:c r="A152" s="17" t="str">
        <x:v>W0146</x:v>
      </x:c>
      <x:c r="B152" s="18" t="n">
        <x:v>46276</x:v>
      </x:c>
      <x:c r="C152" s="17" t="str">
        <x:v>C003</x:v>
      </x:c>
      <x:c r="D152" s="17" t="str">
        <x:v>Creative</x:v>
      </x:c>
      <x:c r="E152" s="17" t="str">
        <x:v>Taylor Brooks</x:v>
      </x:c>
      <x:c r="F152" s="17" t="str">
        <x:v>Review creative variants</x:v>
      </x:c>
      <x:c r="G152" s="20" t="n">
        <x:v>3.52</x:v>
      </x:c>
      <x:c r="H152" s="20" t="n">
        <x:v>2.95</x:v>
      </x:c>
      <x:c r="I152" s="20" t="n">
        <x:v>0.42</x:v>
      </x:c>
      <x:c r="J152" s="17" t="str">
        <x:v>Brief changed</x:v>
      </x:c>
      <x:c r="K152" s="17" t="str">
        <x:v>Yes</x:v>
      </x:c>
      <x:c r="L152" s="17" t="str">
        <x:v>No</x:v>
      </x:c>
      <x:c r="M152" s="29" t="str">
        <x:f>INDEX('Prompt Totals'!$C$7:$C$246,MATCH($A152,'Prompt Totals'!$A$7:$A$246,0))</x:f>
        <x:v>CampaignChat</x:v>
      </x:c>
      <x:c r="N152" s="29" t="str">
        <x:f>INDEX('Prompt Totals'!$D$7:$D$246,MATCH($A152,'Prompt Totals'!$A$7:$A$246,0))</x:f>
        <x:v>Pro</x:v>
      </x:c>
      <x:c r="O152" s="29" t="n">
        <x:f>INDEX('Prompt Totals'!$E$7:$E$246,MATCH($A152,'Prompt Totals'!$A$7:$A$246,0))</x:f>
        <x:v>234194</x:v>
      </x:c>
      <x:c r="P152" s="29" t="n">
        <x:f>INDEX('Prompt Totals'!$F$7:$F$246,MATCH($A152,'Prompt Totals'!$A$7:$A$246,0))</x:f>
        <x:v>61580</x:v>
      </x:c>
      <x:c r="Q152" s="29" t="n">
        <x:f>INDEX('Prompt Totals'!$G$7:$G$246,MATCH($A152,'Prompt Totals'!$A$7:$A$246,0))</x:f>
        <x:v>295774</x:v>
      </x:c>
      <x:c r="R152" s="29" t="n">
        <x:f>INDEX('Prompt Totals'!$H$7:$H$246,MATCH($A152,'Prompt Totals'!$A$7:$A$246,0))</x:f>
        <x:v>9</x:v>
      </x:c>
      <x:c r="S152" s="30" t="n">
        <x:f>INDEX('Prompt Totals'!$I$7:$I$246,MATCH($A152,'Prompt Totals'!$A$7:$A$246,0))</x:f>
        <x:v>9.367759999999999</x:v>
      </x:c>
      <x:c r="T152" s="30" t="n">
        <x:f>INDEX('Prompt Totals'!$J$7:$J$246,MATCH($A152,'Prompt Totals'!$A$7:$A$246,0))</x:f>
        <x:v>6.158</x:v>
      </x:c>
      <x:c r="U152" s="30" t="n">
        <x:f>INDEX('Prompt Totals'!$K$7:$K$246,MATCH($A152,'Prompt Totals'!$A$7:$A$246,0))</x:f>
        <x:v>15.52576</x:v>
      </x:c>
      <x:c r="V152" s="29" t="n">
        <x:f>INDEX('Prompt Totals'!$L$7:$L$246,MATCH($A152,'Prompt Totals'!$A$7:$A$246,0))</x:f>
        <x:v>1</x:v>
      </x:c>
      <x:c r="W152" s="29" t="n">
        <x:f>INDEX('Prompt Totals'!$M$7:$M$246,MATCH($A152,'Prompt Totals'!$A$7:$A$246,0))</x:f>
        <x:v>7</x:v>
      </x:c>
      <x:c r="X152" s="29" t="n">
        <x:f>INDEX('Prompt Totals'!$N$7:$N$246,MATCH($A152,'Prompt Totals'!$A$7:$A$246,0))</x:f>
        <x:v>1</x:v>
      </x:c>
      <x:c r="Y152" s="19" t="n">
        <x:f>G152-H152</x:f>
        <x:v>0.5699999999999998</x:v>
      </x:c>
      <x:c r="Z152" s="30" t="n">
        <x:f>Y152*'Solution'!$C$5</x:f>
        <x:v>28.499999999999993</x:v>
      </x:c>
      <x:c r="AA152" s="22" t="n">
        <x:f>Z152-U152</x:f>
        <x:v>12.974239999999993</x:v>
      </x:c>
    </x:row>
    <x:row r="153" ht="23" customHeight="1">
      <x:c r="A153" s="17" t="str">
        <x:v>W0147</x:v>
      </x:c>
      <x:c r="B153" s="18" t="n">
        <x:v>46287</x:v>
      </x:c>
      <x:c r="C153" s="17" t="str">
        <x:v>C003</x:v>
      </x:c>
      <x:c r="D153" s="17" t="str">
        <x:v>Marketing Operations</x:v>
      </x:c>
      <x:c r="E153" s="17" t="str">
        <x:v>Casey Rivera</x:v>
      </x:c>
      <x:c r="F153" s="17" t="str">
        <x:v>Prepare launch checklist</x:v>
      </x:c>
      <x:c r="G153" s="20" t="n">
        <x:v>3.34</x:v>
      </x:c>
      <x:c r="H153" s="20" t="n">
        <x:v>1.57</x:v>
      </x:c>
      <x:c r="I153" s="20" t="n">
        <x:v>0.15</x:v>
      </x:c>
      <x:c r="J153" s="17" t="str">
        <x:v>None</x:v>
      </x:c>
      <x:c r="K153" s="17" t="str">
        <x:v>No</x:v>
      </x:c>
      <x:c r="L153" s="17" t="str">
        <x:v>No</x:v>
      </x:c>
      <x:c r="M153" s="29" t="str">
        <x:f>INDEX('Prompt Totals'!$C$7:$C$246,MATCH($A153,'Prompt Totals'!$A$7:$A$246,0))</x:f>
        <x:v>DataFlow</x:v>
      </x:c>
      <x:c r="N153" s="29" t="str">
        <x:f>INDEX('Prompt Totals'!$D$7:$D$246,MATCH($A153,'Prompt Totals'!$A$7:$A$246,0))</x:f>
        <x:v>Lite</x:v>
      </x:c>
      <x:c r="O153" s="29" t="n">
        <x:f>INDEX('Prompt Totals'!$E$7:$E$246,MATCH($A153,'Prompt Totals'!$A$7:$A$246,0))</x:f>
        <x:v>268384</x:v>
      </x:c>
      <x:c r="P153" s="29" t="n">
        <x:f>INDEX('Prompt Totals'!$F$7:$F$246,MATCH($A153,'Prompt Totals'!$A$7:$A$246,0))</x:f>
        <x:v>35789</x:v>
      </x:c>
      <x:c r="Q153" s="29" t="n">
        <x:f>INDEX('Prompt Totals'!$G$7:$G$246,MATCH($A153,'Prompt Totals'!$A$7:$A$246,0))</x:f>
        <x:v>304173</x:v>
      </x:c>
      <x:c r="R153" s="29" t="n">
        <x:f>INDEX('Prompt Totals'!$H$7:$H$246,MATCH($A153,'Prompt Totals'!$A$7:$A$246,0))</x:f>
        <x:v>8</x:v>
      </x:c>
      <x:c r="S153" s="30" t="n">
        <x:f>INDEX('Prompt Totals'!$I$7:$I$246,MATCH($A153,'Prompt Totals'!$A$7:$A$246,0))</x:f>
        <x:v>2.68384</x:v>
      </x:c>
      <x:c r="T153" s="30" t="n">
        <x:f>INDEX('Prompt Totals'!$J$7:$J$246,MATCH($A153,'Prompt Totals'!$A$7:$A$246,0))</x:f>
        <x:v>1.0736700000000001</x:v>
      </x:c>
      <x:c r="U153" s="30" t="n">
        <x:f>INDEX('Prompt Totals'!$K$7:$K$246,MATCH($A153,'Prompt Totals'!$A$7:$A$246,0))</x:f>
        <x:v>3.75751</x:v>
      </x:c>
      <x:c r="V153" s="29" t="n">
        <x:f>INDEX('Prompt Totals'!$L$7:$L$246,MATCH($A153,'Prompt Totals'!$A$7:$A$246,0))</x:f>
        <x:v>1</x:v>
      </x:c>
      <x:c r="W153" s="29" t="n">
        <x:f>INDEX('Prompt Totals'!$M$7:$M$246,MATCH($A153,'Prompt Totals'!$A$7:$A$246,0))</x:f>
        <x:v>6</x:v>
      </x:c>
      <x:c r="X153" s="29" t="n">
        <x:f>INDEX('Prompt Totals'!$N$7:$N$246,MATCH($A153,'Prompt Totals'!$A$7:$A$246,0))</x:f>
        <x:v>1</x:v>
      </x:c>
      <x:c r="Y153" s="19" t="n">
        <x:f>G153-H153</x:f>
        <x:v>1.7699999999999998</x:v>
      </x:c>
      <x:c r="Z153" s="30" t="n">
        <x:f>Y153*'Solution'!$C$5</x:f>
        <x:v>88.49999999999999</x:v>
      </x:c>
      <x:c r="AA153" s="22" t="n">
        <x:f>Z153-U153</x:f>
        <x:v>84.74248999999999</x:v>
      </x:c>
    </x:row>
    <x:row r="154" ht="23" customHeight="1">
      <x:c r="A154" s="17" t="str">
        <x:v>W0148</x:v>
      </x:c>
      <x:c r="B154" s="18" t="n">
        <x:v>46269</x:v>
      </x:c>
      <x:c r="C154" s="17" t="str">
        <x:v>C003</x:v>
      </x:c>
      <x:c r="D154" s="17" t="str">
        <x:v>Marketing Operations</x:v>
      </x:c>
      <x:c r="E154" s="17" t="str">
        <x:v>Morgan Reed</x:v>
      </x:c>
      <x:c r="F154" s="17" t="str">
        <x:v>Build campaign plan</x:v>
      </x:c>
      <x:c r="G154" s="20" t="n">
        <x:v>3.63</x:v>
      </x:c>
      <x:c r="H154" s="20" t="n">
        <x:v>2.78</x:v>
      </x:c>
      <x:c r="I154" s="20" t="n">
        <x:v>0.38</x:v>
      </x:c>
      <x:c r="J154" s="17" t="str">
        <x:v>Brief changed</x:v>
      </x:c>
      <x:c r="K154" s="17" t="str">
        <x:v>Yes</x:v>
      </x:c>
      <x:c r="L154" s="17" t="str">
        <x:v>Yes</x:v>
      </x:c>
      <x:c r="M154" s="29" t="str">
        <x:f>INDEX('Prompt Totals'!$C$7:$C$246,MATCH($A154,'Prompt Totals'!$A$7:$A$246,0))</x:f>
        <x:v>DataFlow</x:v>
      </x:c>
      <x:c r="N154" s="29" t="str">
        <x:f>INDEX('Prompt Totals'!$D$7:$D$246,MATCH($A154,'Prompt Totals'!$A$7:$A$246,0))</x:f>
        <x:v>Lite</x:v>
      </x:c>
      <x:c r="O154" s="29" t="n">
        <x:f>INDEX('Prompt Totals'!$E$7:$E$246,MATCH($A154,'Prompt Totals'!$A$7:$A$246,0))</x:f>
        <x:v>356663</x:v>
      </x:c>
      <x:c r="P154" s="29" t="n">
        <x:f>INDEX('Prompt Totals'!$F$7:$F$246,MATCH($A154,'Prompt Totals'!$A$7:$A$246,0))</x:f>
        <x:v>37210</x:v>
      </x:c>
      <x:c r="Q154" s="29" t="n">
        <x:f>INDEX('Prompt Totals'!$G$7:$G$246,MATCH($A154,'Prompt Totals'!$A$7:$A$246,0))</x:f>
        <x:v>393873</x:v>
      </x:c>
      <x:c r="R154" s="29" t="n">
        <x:f>INDEX('Prompt Totals'!$H$7:$H$246,MATCH($A154,'Prompt Totals'!$A$7:$A$246,0))</x:f>
        <x:v>12</x:v>
      </x:c>
      <x:c r="S154" s="30" t="n">
        <x:f>INDEX('Prompt Totals'!$I$7:$I$246,MATCH($A154,'Prompt Totals'!$A$7:$A$246,0))</x:f>
        <x:v>3.56663</x:v>
      </x:c>
      <x:c r="T154" s="30" t="n">
        <x:f>INDEX('Prompt Totals'!$J$7:$J$246,MATCH($A154,'Prompt Totals'!$A$7:$A$246,0))</x:f>
        <x:v>1.1163000000000003</x:v>
      </x:c>
      <x:c r="U154" s="30" t="n">
        <x:f>INDEX('Prompt Totals'!$K$7:$K$246,MATCH($A154,'Prompt Totals'!$A$7:$A$246,0))</x:f>
        <x:v>4.68293</x:v>
      </x:c>
      <x:c r="V154" s="29" t="n">
        <x:f>INDEX('Prompt Totals'!$L$7:$L$246,MATCH($A154,'Prompt Totals'!$A$7:$A$246,0))</x:f>
        <x:v>1</x:v>
      </x:c>
      <x:c r="W154" s="29" t="n">
        <x:f>INDEX('Prompt Totals'!$M$7:$M$246,MATCH($A154,'Prompt Totals'!$A$7:$A$246,0))</x:f>
        <x:v>8</x:v>
      </x:c>
      <x:c r="X154" s="29" t="n">
        <x:f>INDEX('Prompt Totals'!$N$7:$N$246,MATCH($A154,'Prompt Totals'!$A$7:$A$246,0))</x:f>
        <x:v>3</x:v>
      </x:c>
      <x:c r="Y154" s="19" t="n">
        <x:f>G154-H154</x:f>
        <x:v>0.8500000000000001</x:v>
      </x:c>
      <x:c r="Z154" s="30" t="n">
        <x:f>Y154*'Solution'!$C$5</x:f>
        <x:v>42.50000000000001</x:v>
      </x:c>
      <x:c r="AA154" s="22" t="n">
        <x:f>Z154-U154</x:f>
        <x:v>37.81707000000001</x:v>
      </x:c>
    </x:row>
    <x:row r="155" ht="23" customHeight="1">
      <x:c r="A155" s="17" t="str">
        <x:v>W0149</x:v>
      </x:c>
      <x:c r="B155" s="18" t="n">
        <x:v>46281</x:v>
      </x:c>
      <x:c r="C155" s="17" t="str">
        <x:v>C003</x:v>
      </x:c>
      <x:c r="D155" s="17" t="str">
        <x:v>Analytics</x:v>
      </x:c>
      <x:c r="E155" s="17" t="str">
        <x:v>Quinn Parker</x:v>
      </x:c>
      <x:c r="F155" s="17" t="str">
        <x:v>Summarize audience insights</x:v>
      </x:c>
      <x:c r="G155" s="20" t="n">
        <x:v>4.59</x:v>
      </x:c>
      <x:c r="H155" s="20" t="n">
        <x:v>2.25</x:v>
      </x:c>
      <x:c r="I155" s="20" t="n">
        <x:v>0.05</x:v>
      </x:c>
      <x:c r="J155" s="17" t="str">
        <x:v>None</x:v>
      </x:c>
      <x:c r="K155" s="17" t="str">
        <x:v>No</x:v>
      </x:c>
      <x:c r="L155" s="17" t="str">
        <x:v>Yes</x:v>
      </x:c>
      <x:c r="M155" s="29" t="str">
        <x:f>INDEX('Prompt Totals'!$C$7:$C$246,MATCH($A155,'Prompt Totals'!$A$7:$A$246,0))</x:f>
        <x:v>CopyStudio</x:v>
      </x:c>
      <x:c r="N155" s="29" t="str">
        <x:f>INDEX('Prompt Totals'!$D$7:$D$246,MATCH($A155,'Prompt Totals'!$A$7:$A$246,0))</x:f>
        <x:v>Lite</x:v>
      </x:c>
      <x:c r="O155" s="29" t="n">
        <x:f>INDEX('Prompt Totals'!$E$7:$E$246,MATCH($A155,'Prompt Totals'!$A$7:$A$246,0))</x:f>
        <x:v>474700</x:v>
      </x:c>
      <x:c r="P155" s="29" t="n">
        <x:f>INDEX('Prompt Totals'!$F$7:$F$246,MATCH($A155,'Prompt Totals'!$A$7:$A$246,0))</x:f>
        <x:v>68053</x:v>
      </x:c>
      <x:c r="Q155" s="29" t="n">
        <x:f>INDEX('Prompt Totals'!$G$7:$G$246,MATCH($A155,'Prompt Totals'!$A$7:$A$246,0))</x:f>
        <x:v>542753</x:v>
      </x:c>
      <x:c r="R155" s="29" t="n">
        <x:f>INDEX('Prompt Totals'!$H$7:$H$246,MATCH($A155,'Prompt Totals'!$A$7:$A$246,0))</x:f>
        <x:v>13</x:v>
      </x:c>
      <x:c r="S155" s="30" t="n">
        <x:f>INDEX('Prompt Totals'!$I$7:$I$246,MATCH($A155,'Prompt Totals'!$A$7:$A$246,0))</x:f>
        <x:v>4.747</x:v>
      </x:c>
      <x:c r="T155" s="30" t="n">
        <x:f>INDEX('Prompt Totals'!$J$7:$J$246,MATCH($A155,'Prompt Totals'!$A$7:$A$246,0))</x:f>
        <x:v>2.04159</x:v>
      </x:c>
      <x:c r="U155" s="30" t="n">
        <x:f>INDEX('Prompt Totals'!$K$7:$K$246,MATCH($A155,'Prompt Totals'!$A$7:$A$246,0))</x:f>
        <x:v>6.78859</x:v>
      </x:c>
      <x:c r="V155" s="29" t="n">
        <x:f>INDEX('Prompt Totals'!$L$7:$L$246,MATCH($A155,'Prompt Totals'!$A$7:$A$246,0))</x:f>
        <x:v>1</x:v>
      </x:c>
      <x:c r="W155" s="29" t="n">
        <x:f>INDEX('Prompt Totals'!$M$7:$M$246,MATCH($A155,'Prompt Totals'!$A$7:$A$246,0))</x:f>
        <x:v>9</x:v>
      </x:c>
      <x:c r="X155" s="29" t="n">
        <x:f>INDEX('Prompt Totals'!$N$7:$N$246,MATCH($A155,'Prompt Totals'!$A$7:$A$246,0))</x:f>
        <x:v>3</x:v>
      </x:c>
      <x:c r="Y155" s="19" t="n">
        <x:f>G155-H155</x:f>
        <x:v>2.34</x:v>
      </x:c>
      <x:c r="Z155" s="30" t="n">
        <x:f>Y155*'Solution'!$C$5</x:f>
        <x:v>117</x:v>
      </x:c>
      <x:c r="AA155" s="22" t="n">
        <x:f>Z155-U155</x:f>
        <x:v>110.21141</x:v>
      </x:c>
    </x:row>
    <x:row r="156" ht="23" customHeight="1">
      <x:c r="A156" s="17" t="str">
        <x:v>W0150</x:v>
      </x:c>
      <x:c r="B156" s="18" t="n">
        <x:v>46290</x:v>
      </x:c>
      <x:c r="C156" s="17" t="str">
        <x:v>C003</x:v>
      </x:c>
      <x:c r="D156" s="17" t="str">
        <x:v>Analytics</x:v>
      </x:c>
      <x:c r="E156" s="17" t="str">
        <x:v>Jamie Patel</x:v>
      </x:c>
      <x:c r="F156" s="17" t="str">
        <x:v>Check measurement plan</x:v>
      </x:c>
      <x:c r="G156" s="20" t="n">
        <x:v>4.34</x:v>
      </x:c>
      <x:c r="H156" s="20" t="n">
        <x:v>2.14</x:v>
      </x:c>
      <x:c r="I156" s="20" t="n">
        <x:v>0.13</x:v>
      </x:c>
      <x:c r="J156" s="17" t="str">
        <x:v>Unclear prompt</x:v>
      </x:c>
      <x:c r="K156" s="17" t="str">
        <x:v>No</x:v>
      </x:c>
      <x:c r="L156" s="17" t="str">
        <x:v>Yes</x:v>
      </x:c>
      <x:c r="M156" s="29" t="str">
        <x:f>INDEX('Prompt Totals'!$C$7:$C$246,MATCH($A156,'Prompt Totals'!$A$7:$A$246,0))</x:f>
        <x:v>InsightDesk</x:v>
      </x:c>
      <x:c r="N156" s="29" t="str">
        <x:f>INDEX('Prompt Totals'!$D$7:$D$246,MATCH($A156,'Prompt Totals'!$A$7:$A$246,0))</x:f>
        <x:v>Lite</x:v>
      </x:c>
      <x:c r="O156" s="29" t="n">
        <x:f>INDEX('Prompt Totals'!$E$7:$E$246,MATCH($A156,'Prompt Totals'!$A$7:$A$246,0))</x:f>
        <x:v>429833</x:v>
      </x:c>
      <x:c r="P156" s="29" t="n">
        <x:f>INDEX('Prompt Totals'!$F$7:$F$246,MATCH($A156,'Prompt Totals'!$A$7:$A$246,0))</x:f>
        <x:v>86061</x:v>
      </x:c>
      <x:c r="Q156" s="29" t="n">
        <x:f>INDEX('Prompt Totals'!$G$7:$G$246,MATCH($A156,'Prompt Totals'!$A$7:$A$246,0))</x:f>
        <x:v>515894</x:v>
      </x:c>
      <x:c r="R156" s="29" t="n">
        <x:f>INDEX('Prompt Totals'!$H$7:$H$246,MATCH($A156,'Prompt Totals'!$A$7:$A$246,0))</x:f>
        <x:v>12</x:v>
      </x:c>
      <x:c r="S156" s="30" t="n">
        <x:f>INDEX('Prompt Totals'!$I$7:$I$246,MATCH($A156,'Prompt Totals'!$A$7:$A$246,0))</x:f>
        <x:v>4.29833</x:v>
      </x:c>
      <x:c r="T156" s="30" t="n">
        <x:f>INDEX('Prompt Totals'!$J$7:$J$246,MATCH($A156,'Prompt Totals'!$A$7:$A$246,0))</x:f>
        <x:v>2.58183</x:v>
      </x:c>
      <x:c r="U156" s="30" t="n">
        <x:f>INDEX('Prompt Totals'!$K$7:$K$246,MATCH($A156,'Prompt Totals'!$A$7:$A$246,0))</x:f>
        <x:v>6.880160000000001</x:v>
      </x:c>
      <x:c r="V156" s="29" t="n">
        <x:f>INDEX('Prompt Totals'!$L$7:$L$246,MATCH($A156,'Prompt Totals'!$A$7:$A$246,0))</x:f>
        <x:v>1</x:v>
      </x:c>
      <x:c r="W156" s="29" t="n">
        <x:f>INDEX('Prompt Totals'!$M$7:$M$246,MATCH($A156,'Prompt Totals'!$A$7:$A$246,0))</x:f>
        <x:v>8</x:v>
      </x:c>
      <x:c r="X156" s="29" t="n">
        <x:f>INDEX('Prompt Totals'!$N$7:$N$246,MATCH($A156,'Prompt Totals'!$A$7:$A$246,0))</x:f>
        <x:v>3</x:v>
      </x:c>
      <x:c r="Y156" s="19" t="n">
        <x:f>G156-H156</x:f>
        <x:v>2.1999999999999997</x:v>
      </x:c>
      <x:c r="Z156" s="30" t="n">
        <x:f>Y156*'Solution'!$C$5</x:f>
        <x:v>109.99999999999999</x:v>
      </x:c>
      <x:c r="AA156" s="22" t="n">
        <x:f>Z156-U156</x:f>
        <x:v>103.11983999999998</x:v>
      </x:c>
    </x:row>
    <x:row r="157" ht="23" customHeight="1">
      <x:c r="A157" s="17" t="str">
        <x:v>W0151</x:v>
      </x:c>
      <x:c r="B157" s="18" t="n">
        <x:v>46275</x:v>
      </x:c>
      <x:c r="C157" s="17" t="str">
        <x:v>C003</x:v>
      </x:c>
      <x:c r="D157" s="17" t="str">
        <x:v>Content</x:v>
      </x:c>
      <x:c r="E157" s="17" t="str">
        <x:v>Avery Morgan</x:v>
      </x:c>
      <x:c r="F157" s="17" t="str">
        <x:v>Write ad copy</x:v>
      </x:c>
      <x:c r="G157" s="20" t="n">
        <x:v>4.5</x:v>
      </x:c>
      <x:c r="H157" s="20" t="n">
        <x:v>4.8</x:v>
      </x:c>
      <x:c r="I157" s="20" t="n">
        <x:v>0.06</x:v>
      </x:c>
      <x:c r="J157" s="17" t="str">
        <x:v>None</x:v>
      </x:c>
      <x:c r="K157" s="17" t="str">
        <x:v>No</x:v>
      </x:c>
      <x:c r="L157" s="17" t="str">
        <x:v>Yes</x:v>
      </x:c>
      <x:c r="M157" s="29" t="str">
        <x:f>INDEX('Prompt Totals'!$C$7:$C$246,MATCH($A157,'Prompt Totals'!$A$7:$A$246,0))</x:f>
        <x:v>CopyStudio</x:v>
      </x:c>
      <x:c r="N157" s="29" t="str">
        <x:f>INDEX('Prompt Totals'!$D$7:$D$246,MATCH($A157,'Prompt Totals'!$A$7:$A$246,0))</x:f>
        <x:v>Lite</x:v>
      </x:c>
      <x:c r="O157" s="29" t="n">
        <x:f>INDEX('Prompt Totals'!$E$7:$E$246,MATCH($A157,'Prompt Totals'!$A$7:$A$246,0))</x:f>
        <x:v>610496</x:v>
      </x:c>
      <x:c r="P157" s="29" t="n">
        <x:f>INDEX('Prompt Totals'!$F$7:$F$246,MATCH($A157,'Prompt Totals'!$A$7:$A$246,0))</x:f>
        <x:v>74255</x:v>
      </x:c>
      <x:c r="Q157" s="29" t="n">
        <x:f>INDEX('Prompt Totals'!$G$7:$G$246,MATCH($A157,'Prompt Totals'!$A$7:$A$246,0))</x:f>
        <x:v>684751</x:v>
      </x:c>
      <x:c r="R157" s="29" t="n">
        <x:f>INDEX('Prompt Totals'!$H$7:$H$246,MATCH($A157,'Prompt Totals'!$A$7:$A$246,0))</x:f>
        <x:v>18</x:v>
      </x:c>
      <x:c r="S157" s="30" t="n">
        <x:f>INDEX('Prompt Totals'!$I$7:$I$246,MATCH($A157,'Prompt Totals'!$A$7:$A$246,0))</x:f>
        <x:v>6.104959999999999</x:v>
      </x:c>
      <x:c r="T157" s="30" t="n">
        <x:f>INDEX('Prompt Totals'!$J$7:$J$246,MATCH($A157,'Prompt Totals'!$A$7:$A$246,0))</x:f>
        <x:v>2.2276500000000006</x:v>
      </x:c>
      <x:c r="U157" s="30" t="n">
        <x:f>INDEX('Prompt Totals'!$K$7:$K$246,MATCH($A157,'Prompt Totals'!$A$7:$A$246,0))</x:f>
        <x:v>8.33261</x:v>
      </x:c>
      <x:c r="V157" s="29" t="n">
        <x:f>INDEX('Prompt Totals'!$L$7:$L$246,MATCH($A157,'Prompt Totals'!$A$7:$A$246,0))</x:f>
        <x:v>1</x:v>
      </x:c>
      <x:c r="W157" s="29" t="n">
        <x:f>INDEX('Prompt Totals'!$M$7:$M$246,MATCH($A157,'Prompt Totals'!$A$7:$A$246,0))</x:f>
        <x:v>14</x:v>
      </x:c>
      <x:c r="X157" s="29" t="n">
        <x:f>INDEX('Prompt Totals'!$N$7:$N$246,MATCH($A157,'Prompt Totals'!$A$7:$A$246,0))</x:f>
        <x:v>3</x:v>
      </x:c>
      <x:c r="Y157" s="19" t="n">
        <x:f>G157-H157</x:f>
        <x:v>-0.2999999999999998</x:v>
      </x:c>
      <x:c r="Z157" s="30" t="n">
        <x:f>Y157*'Solution'!$C$5</x:f>
        <x:v>-14.999999999999991</x:v>
      </x:c>
      <x:c r="AA157" s="22" t="n">
        <x:f>Z157-U157</x:f>
        <x:v>-23.332609999999992</x:v>
      </x:c>
    </x:row>
    <x:row r="158" ht="23" customHeight="1">
      <x:c r="A158" s="17" t="str">
        <x:v>W0152</x:v>
      </x:c>
      <x:c r="B158" s="18" t="n">
        <x:v>46286</x:v>
      </x:c>
      <x:c r="C158" s="17" t="str">
        <x:v>C003</x:v>
      </x:c>
      <x:c r="D158" s="17" t="str">
        <x:v>Content</x:v>
      </x:c>
      <x:c r="E158" s="17" t="str">
        <x:v>Jordan Ellis</x:v>
      </x:c>
      <x:c r="F158" s="17" t="str">
        <x:v>Draft email sequence</x:v>
      </x:c>
      <x:c r="G158" s="20" t="n">
        <x:v>2.85</x:v>
      </x:c>
      <x:c r="H158" s="20" t="n">
        <x:v>2.72</x:v>
      </x:c>
      <x:c r="I158" s="20" t="n">
        <x:v>0.25</x:v>
      </x:c>
      <x:c r="J158" s="17" t="str">
        <x:v>Data problem</x:v>
      </x:c>
      <x:c r="K158" s="17" t="str">
        <x:v>No</x:v>
      </x:c>
      <x:c r="L158" s="17" t="str">
        <x:v>Yes</x:v>
      </x:c>
      <x:c r="M158" s="29" t="str">
        <x:f>INDEX('Prompt Totals'!$C$7:$C$246,MATCH($A158,'Prompt Totals'!$A$7:$A$246,0))</x:f>
        <x:v>CopyStudio</x:v>
      </x:c>
      <x:c r="N158" s="29" t="str">
        <x:f>INDEX('Prompt Totals'!$D$7:$D$246,MATCH($A158,'Prompt Totals'!$A$7:$A$246,0))</x:f>
        <x:v>Pro</x:v>
      </x:c>
      <x:c r="O158" s="29" t="n">
        <x:f>INDEX('Prompt Totals'!$E$7:$E$246,MATCH($A158,'Prompt Totals'!$A$7:$A$246,0))</x:f>
        <x:v>228779</x:v>
      </x:c>
      <x:c r="P158" s="29" t="n">
        <x:f>INDEX('Prompt Totals'!$F$7:$F$246,MATCH($A158,'Prompt Totals'!$A$7:$A$246,0))</x:f>
        <x:v>68717</x:v>
      </x:c>
      <x:c r="Q158" s="29" t="n">
        <x:f>INDEX('Prompt Totals'!$G$7:$G$246,MATCH($A158,'Prompt Totals'!$A$7:$A$246,0))</x:f>
        <x:v>297496</x:v>
      </x:c>
      <x:c r="R158" s="29" t="n">
        <x:f>INDEX('Prompt Totals'!$H$7:$H$246,MATCH($A158,'Prompt Totals'!$A$7:$A$246,0))</x:f>
        <x:v>10</x:v>
      </x:c>
      <x:c r="S158" s="30" t="n">
        <x:f>INDEX('Prompt Totals'!$I$7:$I$246,MATCH($A158,'Prompt Totals'!$A$7:$A$246,0))</x:f>
        <x:v>9.15116</x:v>
      </x:c>
      <x:c r="T158" s="30" t="n">
        <x:f>INDEX('Prompt Totals'!$J$7:$J$246,MATCH($A158,'Prompt Totals'!$A$7:$A$246,0))</x:f>
        <x:v>6.871700000000001</x:v>
      </x:c>
      <x:c r="U158" s="30" t="n">
        <x:f>INDEX('Prompt Totals'!$K$7:$K$246,MATCH($A158,'Prompt Totals'!$A$7:$A$246,0))</x:f>
        <x:v>16.022859999999998</x:v>
      </x:c>
      <x:c r="V158" s="29" t="n">
        <x:f>INDEX('Prompt Totals'!$L$7:$L$246,MATCH($A158,'Prompt Totals'!$A$7:$A$246,0))</x:f>
        <x:v>1</x:v>
      </x:c>
      <x:c r="W158" s="29" t="n">
        <x:f>INDEX('Prompt Totals'!$M$7:$M$246,MATCH($A158,'Prompt Totals'!$A$7:$A$246,0))</x:f>
        <x:v>7</x:v>
      </x:c>
      <x:c r="X158" s="29" t="n">
        <x:f>INDEX('Prompt Totals'!$N$7:$N$246,MATCH($A158,'Prompt Totals'!$A$7:$A$246,0))</x:f>
        <x:v>2</x:v>
      </x:c>
      <x:c r="Y158" s="19" t="n">
        <x:f>G158-H158</x:f>
        <x:v>0.1299999999999999</x:v>
      </x:c>
      <x:c r="Z158" s="30" t="n">
        <x:f>Y158*'Solution'!$C$5</x:f>
        <x:v>6.499999999999995</x:v>
      </x:c>
      <x:c r="AA158" s="22" t="n">
        <x:f>Z158-U158</x:f>
        <x:v>-9.522860000000003</x:v>
      </x:c>
    </x:row>
    <x:row r="159" ht="23" customHeight="1">
      <x:c r="A159" s="17" t="str">
        <x:v>W0153</x:v>
      </x:c>
      <x:c r="B159" s="18" t="n">
        <x:v>46295</x:v>
      </x:c>
      <x:c r="C159" s="17" t="str">
        <x:v>C003</x:v>
      </x:c>
      <x:c r="D159" s="17" t="str">
        <x:v>Creative</x:v>
      </x:c>
      <x:c r="E159" s="17" t="str">
        <x:v>Riley Chen</x:v>
      </x:c>
      <x:c r="F159" s="17" t="str">
        <x:v>Plan visual narrative</x:v>
      </x:c>
      <x:c r="G159" s="20" t="n">
        <x:v>3.75</x:v>
      </x:c>
      <x:c r="H159" s="20" t="n">
        <x:v>4.12</x:v>
      </x:c>
      <x:c r="I159" s="20" t="n">
        <x:v>0.8</x:v>
      </x:c>
      <x:c r="J159" s="17" t="str">
        <x:v>Data problem</x:v>
      </x:c>
      <x:c r="K159" s="17" t="str">
        <x:v>No</x:v>
      </x:c>
      <x:c r="L159" s="17" t="str">
        <x:v>Yes</x:v>
      </x:c>
      <x:c r="M159" s="29" t="str">
        <x:f>INDEX('Prompt Totals'!$C$7:$C$246,MATCH($A159,'Prompt Totals'!$A$7:$A$246,0))</x:f>
        <x:v>CopyStudio</x:v>
      </x:c>
      <x:c r="N159" s="29" t="str">
        <x:f>INDEX('Prompt Totals'!$D$7:$D$246,MATCH($A159,'Prompt Totals'!$A$7:$A$246,0))</x:f>
        <x:v>Lite</x:v>
      </x:c>
      <x:c r="O159" s="29" t="n">
        <x:f>INDEX('Prompt Totals'!$E$7:$E$246,MATCH($A159,'Prompt Totals'!$A$7:$A$246,0))</x:f>
        <x:v>324821</x:v>
      </x:c>
      <x:c r="P159" s="29" t="n">
        <x:f>INDEX('Prompt Totals'!$F$7:$F$246,MATCH($A159,'Prompt Totals'!$A$7:$A$246,0))</x:f>
        <x:v>66543</x:v>
      </x:c>
      <x:c r="Q159" s="29" t="n">
        <x:f>INDEX('Prompt Totals'!$G$7:$G$246,MATCH($A159,'Prompt Totals'!$A$7:$A$246,0))</x:f>
        <x:v>391364</x:v>
      </x:c>
      <x:c r="R159" s="29" t="n">
        <x:f>INDEX('Prompt Totals'!$H$7:$H$246,MATCH($A159,'Prompt Totals'!$A$7:$A$246,0))</x:f>
        <x:v>11</x:v>
      </x:c>
      <x:c r="S159" s="30" t="n">
        <x:f>INDEX('Prompt Totals'!$I$7:$I$246,MATCH($A159,'Prompt Totals'!$A$7:$A$246,0))</x:f>
        <x:v>3.2482100000000003</x:v>
      </x:c>
      <x:c r="T159" s="30" t="n">
        <x:f>INDEX('Prompt Totals'!$J$7:$J$246,MATCH($A159,'Prompt Totals'!$A$7:$A$246,0))</x:f>
        <x:v>1.99629</x:v>
      </x:c>
      <x:c r="U159" s="30" t="n">
        <x:f>INDEX('Prompt Totals'!$K$7:$K$246,MATCH($A159,'Prompt Totals'!$A$7:$A$246,0))</x:f>
        <x:v>5.2444999999999995</x:v>
      </x:c>
      <x:c r="V159" s="29" t="n">
        <x:f>INDEX('Prompt Totals'!$L$7:$L$246,MATCH($A159,'Prompt Totals'!$A$7:$A$246,0))</x:f>
        <x:v>1</x:v>
      </x:c>
      <x:c r="W159" s="29" t="n">
        <x:f>INDEX('Prompt Totals'!$M$7:$M$246,MATCH($A159,'Prompt Totals'!$A$7:$A$246,0))</x:f>
        <x:v>8</x:v>
      </x:c>
      <x:c r="X159" s="29" t="n">
        <x:f>INDEX('Prompt Totals'!$N$7:$N$246,MATCH($A159,'Prompt Totals'!$A$7:$A$246,0))</x:f>
        <x:v>2</x:v>
      </x:c>
      <x:c r="Y159" s="19" t="n">
        <x:f>G159-H159</x:f>
        <x:v>-0.3700000000000001</x:v>
      </x:c>
      <x:c r="Z159" s="30" t="n">
        <x:f>Y159*'Solution'!$C$5</x:f>
        <x:v>-18.500000000000007</x:v>
      </x:c>
      <x:c r="AA159" s="22" t="n">
        <x:f>Z159-U159</x:f>
        <x:v>-23.744500000000006</x:v>
      </x:c>
    </x:row>
    <x:row r="160" ht="23" customHeight="1">
      <x:c r="A160" s="17" t="str">
        <x:v>W0154</x:v>
      </x:c>
      <x:c r="B160" s="18" t="n">
        <x:v>46280</x:v>
      </x:c>
      <x:c r="C160" s="17" t="str">
        <x:v>C003</x:v>
      </x:c>
      <x:c r="D160" s="17" t="str">
        <x:v>Creative</x:v>
      </x:c>
      <x:c r="E160" s="17" t="str">
        <x:v>Taylor Brooks</x:v>
      </x:c>
      <x:c r="F160" s="17" t="str">
        <x:v>Develop concept brief</x:v>
      </x:c>
      <x:c r="G160" s="20" t="n">
        <x:v>4.71</x:v>
      </x:c>
      <x:c r="H160" s="20" t="n">
        <x:v>4.41</x:v>
      </x:c>
      <x:c r="I160" s="20" t="n">
        <x:v>0.05</x:v>
      </x:c>
      <x:c r="J160" s="17" t="str">
        <x:v>None</x:v>
      </x:c>
      <x:c r="K160" s="17" t="str">
        <x:v>No</x:v>
      </x:c>
      <x:c r="L160" s="17" t="str">
        <x:v>Yes</x:v>
      </x:c>
      <x:c r="M160" s="29" t="str">
        <x:f>INDEX('Prompt Totals'!$C$7:$C$246,MATCH($A160,'Prompt Totals'!$A$7:$A$246,0))</x:f>
        <x:v>CampaignChat</x:v>
      </x:c>
      <x:c r="N160" s="29" t="str">
        <x:f>INDEX('Prompt Totals'!$D$7:$D$246,MATCH($A160,'Prompt Totals'!$A$7:$A$246,0))</x:f>
        <x:v>Lite</x:v>
      </x:c>
      <x:c r="O160" s="29" t="n">
        <x:f>INDEX('Prompt Totals'!$E$7:$E$246,MATCH($A160,'Prompt Totals'!$A$7:$A$246,0))</x:f>
        <x:v>306115</x:v>
      </x:c>
      <x:c r="P160" s="29" t="n">
        <x:f>INDEX('Prompt Totals'!$F$7:$F$246,MATCH($A160,'Prompt Totals'!$A$7:$A$246,0))</x:f>
        <x:v>80968</x:v>
      </x:c>
      <x:c r="Q160" s="29" t="n">
        <x:f>INDEX('Prompt Totals'!$G$7:$G$246,MATCH($A160,'Prompt Totals'!$A$7:$A$246,0))</x:f>
        <x:v>387083</x:v>
      </x:c>
      <x:c r="R160" s="29" t="n">
        <x:f>INDEX('Prompt Totals'!$H$7:$H$246,MATCH($A160,'Prompt Totals'!$A$7:$A$246,0))</x:f>
        <x:v>14</x:v>
      </x:c>
      <x:c r="S160" s="30" t="n">
        <x:f>INDEX('Prompt Totals'!$I$7:$I$246,MATCH($A160,'Prompt Totals'!$A$7:$A$246,0))</x:f>
        <x:v>3.0611499999999996</x:v>
      </x:c>
      <x:c r="T160" s="30" t="n">
        <x:f>INDEX('Prompt Totals'!$J$7:$J$246,MATCH($A160,'Prompt Totals'!$A$7:$A$246,0))</x:f>
        <x:v>2.42904</x:v>
      </x:c>
      <x:c r="U160" s="30" t="n">
        <x:f>INDEX('Prompt Totals'!$K$7:$K$246,MATCH($A160,'Prompt Totals'!$A$7:$A$246,0))</x:f>
        <x:v>5.490190000000001</x:v>
      </x:c>
      <x:c r="V160" s="29" t="n">
        <x:f>INDEX('Prompt Totals'!$L$7:$L$246,MATCH($A160,'Prompt Totals'!$A$7:$A$246,0))</x:f>
        <x:v>1</x:v>
      </x:c>
      <x:c r="W160" s="29" t="n">
        <x:f>INDEX('Prompt Totals'!$M$7:$M$246,MATCH($A160,'Prompt Totals'!$A$7:$A$246,0))</x:f>
        <x:v>9</x:v>
      </x:c>
      <x:c r="X160" s="29" t="n">
        <x:f>INDEX('Prompt Totals'!$N$7:$N$246,MATCH($A160,'Prompt Totals'!$A$7:$A$246,0))</x:f>
        <x:v>4</x:v>
      </x:c>
      <x:c r="Y160" s="19" t="n">
        <x:f>G160-H160</x:f>
        <x:v>0.2999999999999998</x:v>
      </x:c>
      <x:c r="Z160" s="30" t="n">
        <x:f>Y160*'Solution'!$C$5</x:f>
        <x:v>14.999999999999991</x:v>
      </x:c>
      <x:c r="AA160" s="22" t="n">
        <x:f>Z160-U160</x:f>
        <x:v>9.509809999999991</x:v>
      </x:c>
    </x:row>
    <x:row r="161" ht="23" customHeight="1">
      <x:c r="A161" s="17" t="str">
        <x:v>W0155</x:v>
      </x:c>
      <x:c r="B161" s="18" t="n">
        <x:v>46289</x:v>
      </x:c>
      <x:c r="C161" s="17" t="str">
        <x:v>C003</x:v>
      </x:c>
      <x:c r="D161" s="17" t="str">
        <x:v>Marketing Operations</x:v>
      </x:c>
      <x:c r="E161" s="17" t="str">
        <x:v>Casey Rivera</x:v>
      </x:c>
      <x:c r="F161" s="17" t="str">
        <x:v>Clean audience data</x:v>
      </x:c>
      <x:c r="G161" s="20" t="n">
        <x:v>4</x:v>
      </x:c>
      <x:c r="H161" s="20" t="n">
        <x:v>2.24</x:v>
      </x:c>
      <x:c r="I161" s="20" t="n">
        <x:v>0.05</x:v>
      </x:c>
      <x:c r="J161" s="17" t="str">
        <x:v>Unclear prompt</x:v>
      </x:c>
      <x:c r="K161" s="17" t="str">
        <x:v>No</x:v>
      </x:c>
      <x:c r="L161" s="17" t="str">
        <x:v>No</x:v>
      </x:c>
      <x:c r="M161" s="29" t="str">
        <x:f>INDEX('Prompt Totals'!$C$7:$C$246,MATCH($A161,'Prompt Totals'!$A$7:$A$246,0))</x:f>
        <x:v>DataFlow</x:v>
      </x:c>
      <x:c r="N161" s="29" t="str">
        <x:f>INDEX('Prompt Totals'!$D$7:$D$246,MATCH($A161,'Prompt Totals'!$A$7:$A$246,0))</x:f>
        <x:v>Lite</x:v>
      </x:c>
      <x:c r="O161" s="29" t="n">
        <x:f>INDEX('Prompt Totals'!$E$7:$E$246,MATCH($A161,'Prompt Totals'!$A$7:$A$246,0))</x:f>
        <x:v>388004</x:v>
      </x:c>
      <x:c r="P161" s="29" t="n">
        <x:f>INDEX('Prompt Totals'!$F$7:$F$246,MATCH($A161,'Prompt Totals'!$A$7:$A$246,0))</x:f>
        <x:v>73665</x:v>
      </x:c>
      <x:c r="Q161" s="29" t="n">
        <x:f>INDEX('Prompt Totals'!$G$7:$G$246,MATCH($A161,'Prompt Totals'!$A$7:$A$246,0))</x:f>
        <x:v>461669</x:v>
      </x:c>
      <x:c r="R161" s="29" t="n">
        <x:f>INDEX('Prompt Totals'!$H$7:$H$246,MATCH($A161,'Prompt Totals'!$A$7:$A$246,0))</x:f>
        <x:v>12</x:v>
      </x:c>
      <x:c r="S161" s="30" t="n">
        <x:f>INDEX('Prompt Totals'!$I$7:$I$246,MATCH($A161,'Prompt Totals'!$A$7:$A$246,0))</x:f>
        <x:v>3.8800400000000006</x:v>
      </x:c>
      <x:c r="T161" s="30" t="n">
        <x:f>INDEX('Prompt Totals'!$J$7:$J$246,MATCH($A161,'Prompt Totals'!$A$7:$A$246,0))</x:f>
        <x:v>2.20995</x:v>
      </x:c>
      <x:c r="U161" s="30" t="n">
        <x:f>INDEX('Prompt Totals'!$K$7:$K$246,MATCH($A161,'Prompt Totals'!$A$7:$A$246,0))</x:f>
        <x:v>6.08999</x:v>
      </x:c>
      <x:c r="V161" s="29" t="n">
        <x:f>INDEX('Prompt Totals'!$L$7:$L$246,MATCH($A161,'Prompt Totals'!$A$7:$A$246,0))</x:f>
        <x:v>1</x:v>
      </x:c>
      <x:c r="W161" s="29" t="n">
        <x:f>INDEX('Prompt Totals'!$M$7:$M$246,MATCH($A161,'Prompt Totals'!$A$7:$A$246,0))</x:f>
        <x:v>9</x:v>
      </x:c>
      <x:c r="X161" s="29" t="n">
        <x:f>INDEX('Prompt Totals'!$N$7:$N$246,MATCH($A161,'Prompt Totals'!$A$7:$A$246,0))</x:f>
        <x:v>2</x:v>
      </x:c>
      <x:c r="Y161" s="19" t="n">
        <x:f>G161-H161</x:f>
        <x:v>1.7599999999999998</x:v>
      </x:c>
      <x:c r="Z161" s="30" t="n">
        <x:f>Y161*'Solution'!$C$5</x:f>
        <x:v>87.99999999999999</x:v>
      </x:c>
      <x:c r="AA161" s="22" t="n">
        <x:f>Z161-U161</x:f>
        <x:v>81.91000999999999</x:v>
      </x:c>
    </x:row>
    <x:row r="162" ht="23" customHeight="1">
      <x:c r="A162" s="17" t="str">
        <x:v>W0156</x:v>
      </x:c>
      <x:c r="B162" s="18" t="n">
        <x:v>46274</x:v>
      </x:c>
      <x:c r="C162" s="17" t="str">
        <x:v>C003</x:v>
      </x:c>
      <x:c r="D162" s="17" t="str">
        <x:v>Marketing Operations</x:v>
      </x:c>
      <x:c r="E162" s="17" t="str">
        <x:v>Morgan Reed</x:v>
      </x:c>
      <x:c r="F162" s="17" t="str">
        <x:v>Prepare launch checklist</x:v>
      </x:c>
      <x:c r="G162" s="20" t="n">
        <x:v>2.44</x:v>
      </x:c>
      <x:c r="H162" s="20" t="n">
        <x:v>1.41</x:v>
      </x:c>
      <x:c r="I162" s="20" t="n">
        <x:v>0.04</x:v>
      </x:c>
      <x:c r="J162" s="17" t="str">
        <x:v>None</x:v>
      </x:c>
      <x:c r="K162" s="17" t="str">
        <x:v>No</x:v>
      </x:c>
      <x:c r="L162" s="17" t="str">
        <x:v>No</x:v>
      </x:c>
      <x:c r="M162" s="29" t="str">
        <x:f>INDEX('Prompt Totals'!$C$7:$C$246,MATCH($A162,'Prompt Totals'!$A$7:$A$246,0))</x:f>
        <x:v>DataFlow</x:v>
      </x:c>
      <x:c r="N162" s="29" t="str">
        <x:f>INDEX('Prompt Totals'!$D$7:$D$246,MATCH($A162,'Prompt Totals'!$A$7:$A$246,0))</x:f>
        <x:v>Lite</x:v>
      </x:c>
      <x:c r="O162" s="29" t="n">
        <x:f>INDEX('Prompt Totals'!$E$7:$E$246,MATCH($A162,'Prompt Totals'!$A$7:$A$246,0))</x:f>
        <x:v>189258</x:v>
      </x:c>
      <x:c r="P162" s="29" t="n">
        <x:f>INDEX('Prompt Totals'!$F$7:$F$246,MATCH($A162,'Prompt Totals'!$A$7:$A$246,0))</x:f>
        <x:v>60941</x:v>
      </x:c>
      <x:c r="Q162" s="29" t="n">
        <x:f>INDEX('Prompt Totals'!$G$7:$G$246,MATCH($A162,'Prompt Totals'!$A$7:$A$246,0))</x:f>
        <x:v>250199</x:v>
      </x:c>
      <x:c r="R162" s="29" t="n">
        <x:f>INDEX('Prompt Totals'!$H$7:$H$246,MATCH($A162,'Prompt Totals'!$A$7:$A$246,0))</x:f>
        <x:v>13</x:v>
      </x:c>
      <x:c r="S162" s="30" t="n">
        <x:f>INDEX('Prompt Totals'!$I$7:$I$246,MATCH($A162,'Prompt Totals'!$A$7:$A$246,0))</x:f>
        <x:v>1.89258</x:v>
      </x:c>
      <x:c r="T162" s="30" t="n">
        <x:f>INDEX('Prompt Totals'!$J$7:$J$246,MATCH($A162,'Prompt Totals'!$A$7:$A$246,0))</x:f>
        <x:v>1.82823</x:v>
      </x:c>
      <x:c r="U162" s="30" t="n">
        <x:f>INDEX('Prompt Totals'!$K$7:$K$246,MATCH($A162,'Prompt Totals'!$A$7:$A$246,0))</x:f>
        <x:v>3.7208099999999993</x:v>
      </x:c>
      <x:c r="V162" s="29" t="n">
        <x:f>INDEX('Prompt Totals'!$L$7:$L$246,MATCH($A162,'Prompt Totals'!$A$7:$A$246,0))</x:f>
        <x:v>1</x:v>
      </x:c>
      <x:c r="W162" s="29" t="n">
        <x:f>INDEX('Prompt Totals'!$M$7:$M$246,MATCH($A162,'Prompt Totals'!$A$7:$A$246,0))</x:f>
        <x:v>8</x:v>
      </x:c>
      <x:c r="X162" s="29" t="n">
        <x:f>INDEX('Prompt Totals'!$N$7:$N$246,MATCH($A162,'Prompt Totals'!$A$7:$A$246,0))</x:f>
        <x:v>4</x:v>
      </x:c>
      <x:c r="Y162" s="19" t="n">
        <x:f>G162-H162</x:f>
        <x:v>1.03</x:v>
      </x:c>
      <x:c r="Z162" s="30" t="n">
        <x:f>Y162*'Solution'!$C$5</x:f>
        <x:v>51.5</x:v>
      </x:c>
      <x:c r="AA162" s="22" t="n">
        <x:f>Z162-U162</x:f>
        <x:v>47.77919</x:v>
      </x:c>
    </x:row>
    <x:row r="163" ht="23" customHeight="1">
      <x:c r="A163" s="17" t="str">
        <x:v>W0157</x:v>
      </x:c>
      <x:c r="B163" s="18" t="n">
        <x:v>46283</x:v>
      </x:c>
      <x:c r="C163" s="17" t="str">
        <x:v>C003</x:v>
      </x:c>
      <x:c r="D163" s="17" t="str">
        <x:v>Analytics</x:v>
      </x:c>
      <x:c r="E163" s="17" t="str">
        <x:v>Quinn Parker</x:v>
      </x:c>
      <x:c r="F163" s="17" t="str">
        <x:v>Analyze campaign results</x:v>
      </x:c>
      <x:c r="G163" s="20" t="n">
        <x:v>2.87</x:v>
      </x:c>
      <x:c r="H163" s="20" t="n">
        <x:v>2.38</x:v>
      </x:c>
      <x:c r="I163" s="20" t="n">
        <x:v>0.09</x:v>
      </x:c>
      <x:c r="J163" s="17" t="str">
        <x:v>None</x:v>
      </x:c>
      <x:c r="K163" s="17" t="str">
        <x:v>No</x:v>
      </x:c>
      <x:c r="L163" s="17" t="str">
        <x:v>No</x:v>
      </x:c>
      <x:c r="M163" s="29" t="str">
        <x:f>INDEX('Prompt Totals'!$C$7:$C$246,MATCH($A163,'Prompt Totals'!$A$7:$A$246,0))</x:f>
        <x:v>InsightDesk</x:v>
      </x:c>
      <x:c r="N163" s="29" t="str">
        <x:f>INDEX('Prompt Totals'!$D$7:$D$246,MATCH($A163,'Prompt Totals'!$A$7:$A$246,0))</x:f>
        <x:v>Lite</x:v>
      </x:c>
      <x:c r="O163" s="29" t="n">
        <x:f>INDEX('Prompt Totals'!$E$7:$E$246,MATCH($A163,'Prompt Totals'!$A$7:$A$246,0))</x:f>
        <x:v>240378</x:v>
      </x:c>
      <x:c r="P163" s="29" t="n">
        <x:f>INDEX('Prompt Totals'!$F$7:$F$246,MATCH($A163,'Prompt Totals'!$A$7:$A$246,0))</x:f>
        <x:v>63230</x:v>
      </x:c>
      <x:c r="Q163" s="29" t="n">
        <x:f>INDEX('Prompt Totals'!$G$7:$G$246,MATCH($A163,'Prompt Totals'!$A$7:$A$246,0))</x:f>
        <x:v>303608</x:v>
      </x:c>
      <x:c r="R163" s="29" t="n">
        <x:f>INDEX('Prompt Totals'!$H$7:$H$246,MATCH($A163,'Prompt Totals'!$A$7:$A$246,0))</x:f>
        <x:v>12</x:v>
      </x:c>
      <x:c r="S163" s="30" t="n">
        <x:f>INDEX('Prompt Totals'!$I$7:$I$246,MATCH($A163,'Prompt Totals'!$A$7:$A$246,0))</x:f>
        <x:v>2.40378</x:v>
      </x:c>
      <x:c r="T163" s="30" t="n">
        <x:f>INDEX('Prompt Totals'!$J$7:$J$246,MATCH($A163,'Prompt Totals'!$A$7:$A$246,0))</x:f>
        <x:v>1.8968999999999998</x:v>
      </x:c>
      <x:c r="U163" s="30" t="n">
        <x:f>INDEX('Prompt Totals'!$K$7:$K$246,MATCH($A163,'Prompt Totals'!$A$7:$A$246,0))</x:f>
        <x:v>4.30068</x:v>
      </x:c>
      <x:c r="V163" s="29" t="n">
        <x:f>INDEX('Prompt Totals'!$L$7:$L$246,MATCH($A163,'Prompt Totals'!$A$7:$A$246,0))</x:f>
        <x:v>1</x:v>
      </x:c>
      <x:c r="W163" s="29" t="n">
        <x:f>INDEX('Prompt Totals'!$M$7:$M$246,MATCH($A163,'Prompt Totals'!$A$7:$A$246,0))</x:f>
        <x:v>8</x:v>
      </x:c>
      <x:c r="X163" s="29" t="n">
        <x:f>INDEX('Prompt Totals'!$N$7:$N$246,MATCH($A163,'Prompt Totals'!$A$7:$A$246,0))</x:f>
        <x:v>3</x:v>
      </x:c>
      <x:c r="Y163" s="19" t="n">
        <x:f>G163-H163</x:f>
        <x:v>0.4900000000000002</x:v>
      </x:c>
      <x:c r="Z163" s="30" t="n">
        <x:f>Y163*'Solution'!$C$5</x:f>
        <x:v>24.50000000000001</x:v>
      </x:c>
      <x:c r="AA163" s="22" t="n">
        <x:f>Z163-U163</x:f>
        <x:v>20.19932000000001</x:v>
      </x:c>
    </x:row>
    <x:row r="164" ht="23" customHeight="1">
      <x:c r="A164" s="17" t="str">
        <x:v>W0158</x:v>
      </x:c>
      <x:c r="B164" s="18" t="n">
        <x:v>46294</x:v>
      </x:c>
      <x:c r="C164" s="17" t="str">
        <x:v>C003</x:v>
      </x:c>
      <x:c r="D164" s="17" t="str">
        <x:v>Analytics</x:v>
      </x:c>
      <x:c r="E164" s="17" t="str">
        <x:v>Jamie Patel</x:v>
      </x:c>
      <x:c r="F164" s="17" t="str">
        <x:v>Summarize audience insights</x:v>
      </x:c>
      <x:c r="G164" s="20" t="n">
        <x:v>4.72</x:v>
      </x:c>
      <x:c r="H164" s="20" t="n">
        <x:v>5.52</x:v>
      </x:c>
      <x:c r="I164" s="20" t="n">
        <x:v>0.43</x:v>
      </x:c>
      <x:c r="J164" s="17" t="str">
        <x:v>Data problem</x:v>
      </x:c>
      <x:c r="K164" s="17" t="str">
        <x:v>No</x:v>
      </x:c>
      <x:c r="L164" s="17" t="str">
        <x:v>No</x:v>
      </x:c>
      <x:c r="M164" s="29" t="str">
        <x:f>INDEX('Prompt Totals'!$C$7:$C$246,MATCH($A164,'Prompt Totals'!$A$7:$A$246,0))</x:f>
        <x:v>InsightDesk</x:v>
      </x:c>
      <x:c r="N164" s="29" t="str">
        <x:f>INDEX('Prompt Totals'!$D$7:$D$246,MATCH($A164,'Prompt Totals'!$A$7:$A$246,0))</x:f>
        <x:v>Lite</x:v>
      </x:c>
      <x:c r="O164" s="29" t="n">
        <x:f>INDEX('Prompt Totals'!$E$7:$E$246,MATCH($A164,'Prompt Totals'!$A$7:$A$246,0))</x:f>
        <x:v>238995</x:v>
      </x:c>
      <x:c r="P164" s="29" t="n">
        <x:f>INDEX('Prompt Totals'!$F$7:$F$246,MATCH($A164,'Prompt Totals'!$A$7:$A$246,0))</x:f>
        <x:v>67728</x:v>
      </x:c>
      <x:c r="Q164" s="29" t="n">
        <x:f>INDEX('Prompt Totals'!$G$7:$G$246,MATCH($A164,'Prompt Totals'!$A$7:$A$246,0))</x:f>
        <x:v>306723</x:v>
      </x:c>
      <x:c r="R164" s="29" t="n">
        <x:f>INDEX('Prompt Totals'!$H$7:$H$246,MATCH($A164,'Prompt Totals'!$A$7:$A$246,0))</x:f>
        <x:v>13</x:v>
      </x:c>
      <x:c r="S164" s="30" t="n">
        <x:f>INDEX('Prompt Totals'!$I$7:$I$246,MATCH($A164,'Prompt Totals'!$A$7:$A$246,0))</x:f>
        <x:v>2.3899500000000002</x:v>
      </x:c>
      <x:c r="T164" s="30" t="n">
        <x:f>INDEX('Prompt Totals'!$J$7:$J$246,MATCH($A164,'Prompt Totals'!$A$7:$A$246,0))</x:f>
        <x:v>2.03184</x:v>
      </x:c>
      <x:c r="U164" s="30" t="n">
        <x:f>INDEX('Prompt Totals'!$K$7:$K$246,MATCH($A164,'Prompt Totals'!$A$7:$A$246,0))</x:f>
        <x:v>4.42179</x:v>
      </x:c>
      <x:c r="V164" s="29" t="n">
        <x:f>INDEX('Prompt Totals'!$L$7:$L$246,MATCH($A164,'Prompt Totals'!$A$7:$A$246,0))</x:f>
        <x:v>1</x:v>
      </x:c>
      <x:c r="W164" s="29" t="n">
        <x:f>INDEX('Prompt Totals'!$M$7:$M$246,MATCH($A164,'Prompt Totals'!$A$7:$A$246,0))</x:f>
        <x:v>9</x:v>
      </x:c>
      <x:c r="X164" s="29" t="n">
        <x:f>INDEX('Prompt Totals'!$N$7:$N$246,MATCH($A164,'Prompt Totals'!$A$7:$A$246,0))</x:f>
        <x:v>3</x:v>
      </x:c>
      <x:c r="Y164" s="19" t="n">
        <x:f>G164-H164</x:f>
        <x:v>-0.7999999999999998</x:v>
      </x:c>
      <x:c r="Z164" s="30" t="n">
        <x:f>Y164*'Solution'!$C$5</x:f>
        <x:v>-39.99999999999999</x:v>
      </x:c>
      <x:c r="AA164" s="22" t="n">
        <x:f>Z164-U164</x:f>
        <x:v>-44.421789999999994</x:v>
      </x:c>
    </x:row>
    <x:row r="165" ht="23" customHeight="1">
      <x:c r="A165" s="17" t="str">
        <x:v>W0159</x:v>
      </x:c>
      <x:c r="B165" s="18" t="n">
        <x:v>46279</x:v>
      </x:c>
      <x:c r="C165" s="17" t="str">
        <x:v>C003</x:v>
      </x:c>
      <x:c r="D165" s="17" t="str">
        <x:v>Content</x:v>
      </x:c>
      <x:c r="E165" s="17" t="str">
        <x:v>Avery Morgan</x:v>
      </x:c>
      <x:c r="F165" s="17" t="str">
        <x:v>Edit landing page</x:v>
      </x:c>
      <x:c r="G165" s="20" t="n">
        <x:v>4.05</x:v>
      </x:c>
      <x:c r="H165" s="20" t="n">
        <x:v>2.4</x:v>
      </x:c>
      <x:c r="I165" s="20" t="n">
        <x:v>0.04</x:v>
      </x:c>
      <x:c r="J165" s="17" t="str">
        <x:v>None</x:v>
      </x:c>
      <x:c r="K165" s="17" t="str">
        <x:v>No</x:v>
      </x:c>
      <x:c r="L165" s="17" t="str">
        <x:v>Yes</x:v>
      </x:c>
      <x:c r="M165" s="29" t="str">
        <x:f>INDEX('Prompt Totals'!$C$7:$C$246,MATCH($A165,'Prompt Totals'!$A$7:$A$246,0))</x:f>
        <x:v>CopyStudio</x:v>
      </x:c>
      <x:c r="N165" s="29" t="str">
        <x:f>INDEX('Prompt Totals'!$D$7:$D$246,MATCH($A165,'Prompt Totals'!$A$7:$A$246,0))</x:f>
        <x:v>Lite</x:v>
      </x:c>
      <x:c r="O165" s="29" t="n">
        <x:f>INDEX('Prompt Totals'!$E$7:$E$246,MATCH($A165,'Prompt Totals'!$A$7:$A$246,0))</x:f>
        <x:v>181009</x:v>
      </x:c>
      <x:c r="P165" s="29" t="n">
        <x:f>INDEX('Prompt Totals'!$F$7:$F$246,MATCH($A165,'Prompt Totals'!$A$7:$A$246,0))</x:f>
        <x:v>67133</x:v>
      </x:c>
      <x:c r="Q165" s="29" t="n">
        <x:f>INDEX('Prompt Totals'!$G$7:$G$246,MATCH($A165,'Prompt Totals'!$A$7:$A$246,0))</x:f>
        <x:v>248142</x:v>
      </x:c>
      <x:c r="R165" s="29" t="n">
        <x:f>INDEX('Prompt Totals'!$H$7:$H$246,MATCH($A165,'Prompt Totals'!$A$7:$A$246,0))</x:f>
        <x:v>10</x:v>
      </x:c>
      <x:c r="S165" s="30" t="n">
        <x:f>INDEX('Prompt Totals'!$I$7:$I$246,MATCH($A165,'Prompt Totals'!$A$7:$A$246,0))</x:f>
        <x:v>1.81009</x:v>
      </x:c>
      <x:c r="T165" s="30" t="n">
        <x:f>INDEX('Prompt Totals'!$J$7:$J$246,MATCH($A165,'Prompt Totals'!$A$7:$A$246,0))</x:f>
        <x:v>2.0139899999999997</x:v>
      </x:c>
      <x:c r="U165" s="30" t="n">
        <x:f>INDEX('Prompt Totals'!$K$7:$K$246,MATCH($A165,'Prompt Totals'!$A$7:$A$246,0))</x:f>
        <x:v>3.8240799999999995</x:v>
      </x:c>
      <x:c r="V165" s="29" t="n">
        <x:f>INDEX('Prompt Totals'!$L$7:$L$246,MATCH($A165,'Prompt Totals'!$A$7:$A$246,0))</x:f>
        <x:v>1</x:v>
      </x:c>
      <x:c r="W165" s="29" t="n">
        <x:f>INDEX('Prompt Totals'!$M$7:$M$246,MATCH($A165,'Prompt Totals'!$A$7:$A$246,0))</x:f>
        <x:v>8</x:v>
      </x:c>
      <x:c r="X165" s="29" t="n">
        <x:f>INDEX('Prompt Totals'!$N$7:$N$246,MATCH($A165,'Prompt Totals'!$A$7:$A$246,0))</x:f>
        <x:v>1</x:v>
      </x:c>
      <x:c r="Y165" s="19" t="n">
        <x:f>G165-H165</x:f>
        <x:v>1.65</x:v>
      </x:c>
      <x:c r="Z165" s="30" t="n">
        <x:f>Y165*'Solution'!$C$5</x:f>
        <x:v>82.5</x:v>
      </x:c>
      <x:c r="AA165" s="22" t="n">
        <x:f>Z165-U165</x:f>
        <x:v>78.67592</x:v>
      </x:c>
    </x:row>
    <x:row r="166" ht="23" customHeight="1">
      <x:c r="A166" s="17" t="str">
        <x:v>W0160</x:v>
      </x:c>
      <x:c r="B166" s="18" t="n">
        <x:v>46288</x:v>
      </x:c>
      <x:c r="C166" s="17" t="str">
        <x:v>C003</x:v>
      </x:c>
      <x:c r="D166" s="17" t="str">
        <x:v>Content</x:v>
      </x:c>
      <x:c r="E166" s="17" t="str">
        <x:v>Jordan Ellis</x:v>
      </x:c>
      <x:c r="F166" s="17" t="str">
        <x:v>Write ad copy</x:v>
      </x:c>
      <x:c r="G166" s="20" t="n">
        <x:v>2.86</x:v>
      </x:c>
      <x:c r="H166" s="20" t="n">
        <x:v>2.17</x:v>
      </x:c>
      <x:c r="I166" s="20" t="n">
        <x:v>0.1</x:v>
      </x:c>
      <x:c r="J166" s="17" t="str">
        <x:v>None</x:v>
      </x:c>
      <x:c r="K166" s="17" t="str">
        <x:v>No</x:v>
      </x:c>
      <x:c r="L166" s="17" t="str">
        <x:v>Yes</x:v>
      </x:c>
      <x:c r="M166" s="29" t="str">
        <x:f>INDEX('Prompt Totals'!$C$7:$C$246,MATCH($A166,'Prompt Totals'!$A$7:$A$246,0))</x:f>
        <x:v>CopyStudio</x:v>
      </x:c>
      <x:c r="N166" s="29" t="str">
        <x:f>INDEX('Prompt Totals'!$D$7:$D$246,MATCH($A166,'Prompt Totals'!$A$7:$A$246,0))</x:f>
        <x:v>Pro</x:v>
      </x:c>
      <x:c r="O166" s="29" t="n">
        <x:f>INDEX('Prompt Totals'!$E$7:$E$246,MATCH($A166,'Prompt Totals'!$A$7:$A$246,0))</x:f>
        <x:v>107406</x:v>
      </x:c>
      <x:c r="P166" s="29" t="n">
        <x:f>INDEX('Prompt Totals'!$F$7:$F$246,MATCH($A166,'Prompt Totals'!$A$7:$A$246,0))</x:f>
        <x:v>48393</x:v>
      </x:c>
      <x:c r="Q166" s="29" t="n">
        <x:f>INDEX('Prompt Totals'!$G$7:$G$246,MATCH($A166,'Prompt Totals'!$A$7:$A$246,0))</x:f>
        <x:v>155799</x:v>
      </x:c>
      <x:c r="R166" s="29" t="n">
        <x:f>INDEX('Prompt Totals'!$H$7:$H$246,MATCH($A166,'Prompt Totals'!$A$7:$A$246,0))</x:f>
        <x:v>9</x:v>
      </x:c>
      <x:c r="S166" s="30" t="n">
        <x:f>INDEX('Prompt Totals'!$I$7:$I$246,MATCH($A166,'Prompt Totals'!$A$7:$A$246,0))</x:f>
        <x:v>4.29624</x:v>
      </x:c>
      <x:c r="T166" s="30" t="n">
        <x:f>INDEX('Prompt Totals'!$J$7:$J$246,MATCH($A166,'Prompt Totals'!$A$7:$A$246,0))</x:f>
        <x:v>4.8393</x:v>
      </x:c>
      <x:c r="U166" s="30" t="n">
        <x:f>INDEX('Prompt Totals'!$K$7:$K$246,MATCH($A166,'Prompt Totals'!$A$7:$A$246,0))</x:f>
        <x:v>9.135539999999999</x:v>
      </x:c>
      <x:c r="V166" s="29" t="n">
        <x:f>INDEX('Prompt Totals'!$L$7:$L$246,MATCH($A166,'Prompt Totals'!$A$7:$A$246,0))</x:f>
        <x:v>1</x:v>
      </x:c>
      <x:c r="W166" s="29" t="n">
        <x:f>INDEX('Prompt Totals'!$M$7:$M$246,MATCH($A166,'Prompt Totals'!$A$7:$A$246,0))</x:f>
        <x:v>6</x:v>
      </x:c>
      <x:c r="X166" s="29" t="n">
        <x:f>INDEX('Prompt Totals'!$N$7:$N$246,MATCH($A166,'Prompt Totals'!$A$7:$A$246,0))</x:f>
        <x:v>2</x:v>
      </x:c>
      <x:c r="Y166" s="19" t="n">
        <x:f>G166-H166</x:f>
        <x:v>0.69</x:v>
      </x:c>
      <x:c r="Z166" s="30" t="n">
        <x:f>Y166*'Solution'!$C$5</x:f>
        <x:v>34.5</x:v>
      </x:c>
      <x:c r="AA166" s="22" t="n">
        <x:f>Z166-U166</x:f>
        <x:v>25.36446</x:v>
      </x:c>
    </x:row>
    <x:row r="167" ht="23" customHeight="1">
      <x:c r="A167" s="17" t="str">
        <x:v>W0161</x:v>
      </x:c>
      <x:c r="B167" s="18" t="n">
        <x:v>46273</x:v>
      </x:c>
      <x:c r="C167" s="17" t="str">
        <x:v>C003</x:v>
      </x:c>
      <x:c r="D167" s="17" t="str">
        <x:v>Creative</x:v>
      </x:c>
      <x:c r="E167" s="17" t="str">
        <x:v>Riley Chen</x:v>
      </x:c>
      <x:c r="F167" s="17" t="str">
        <x:v>Review creative variants</x:v>
      </x:c>
      <x:c r="G167" s="20" t="n">
        <x:v>2.45</x:v>
      </x:c>
      <x:c r="H167" s="20" t="n">
        <x:v>2.03</x:v>
      </x:c>
      <x:c r="I167" s="20" t="n">
        <x:v>0.16</x:v>
      </x:c>
      <x:c r="J167" s="17" t="str">
        <x:v>Data problem</x:v>
      </x:c>
      <x:c r="K167" s="17" t="str">
        <x:v>No</x:v>
      </x:c>
      <x:c r="L167" s="17" t="str">
        <x:v>Yes</x:v>
      </x:c>
      <x:c r="M167" s="29" t="str">
        <x:f>INDEX('Prompt Totals'!$C$7:$C$246,MATCH($A167,'Prompt Totals'!$A$7:$A$246,0))</x:f>
        <x:v>CampaignChat</x:v>
      </x:c>
      <x:c r="N167" s="29" t="str">
        <x:f>INDEX('Prompt Totals'!$D$7:$D$246,MATCH($A167,'Prompt Totals'!$A$7:$A$246,0))</x:f>
        <x:v>Pro</x:v>
      </x:c>
      <x:c r="O167" s="29" t="n">
        <x:f>INDEX('Prompt Totals'!$E$7:$E$246,MATCH($A167,'Prompt Totals'!$A$7:$A$246,0))</x:f>
        <x:v>240185</x:v>
      </x:c>
      <x:c r="P167" s="29" t="n">
        <x:f>INDEX('Prompt Totals'!$F$7:$F$246,MATCH($A167,'Prompt Totals'!$A$7:$A$246,0))</x:f>
        <x:v>95345</x:v>
      </x:c>
      <x:c r="Q167" s="29" t="n">
        <x:f>INDEX('Prompt Totals'!$G$7:$G$246,MATCH($A167,'Prompt Totals'!$A$7:$A$246,0))</x:f>
        <x:v>335530</x:v>
      </x:c>
      <x:c r="R167" s="29" t="n">
        <x:f>INDEX('Prompt Totals'!$H$7:$H$246,MATCH($A167,'Prompt Totals'!$A$7:$A$246,0))</x:f>
        <x:v>10</x:v>
      </x:c>
      <x:c r="S167" s="30" t="n">
        <x:f>INDEX('Prompt Totals'!$I$7:$I$246,MATCH($A167,'Prompt Totals'!$A$7:$A$246,0))</x:f>
        <x:v>9.607399999999998</x:v>
      </x:c>
      <x:c r="T167" s="30" t="n">
        <x:f>INDEX('Prompt Totals'!$J$7:$J$246,MATCH($A167,'Prompt Totals'!$A$7:$A$246,0))</x:f>
        <x:v>9.534499999999998</x:v>
      </x:c>
      <x:c r="U167" s="30" t="n">
        <x:f>INDEX('Prompt Totals'!$K$7:$K$246,MATCH($A167,'Prompt Totals'!$A$7:$A$246,0))</x:f>
        <x:v>19.1419</x:v>
      </x:c>
      <x:c r="V167" s="29" t="n">
        <x:f>INDEX('Prompt Totals'!$L$7:$L$246,MATCH($A167,'Prompt Totals'!$A$7:$A$246,0))</x:f>
        <x:v>1</x:v>
      </x:c>
      <x:c r="W167" s="29" t="n">
        <x:f>INDEX('Prompt Totals'!$M$7:$M$246,MATCH($A167,'Prompt Totals'!$A$7:$A$246,0))</x:f>
        <x:v>7</x:v>
      </x:c>
      <x:c r="X167" s="29" t="n">
        <x:f>INDEX('Prompt Totals'!$N$7:$N$246,MATCH($A167,'Prompt Totals'!$A$7:$A$246,0))</x:f>
        <x:v>2</x:v>
      </x:c>
      <x:c r="Y167" s="19" t="n">
        <x:f>G167-H167</x:f>
        <x:v>0.4200000000000004</x:v>
      </x:c>
      <x:c r="Z167" s="30" t="n">
        <x:f>Y167*'Solution'!$C$5</x:f>
        <x:v>21.000000000000018</x:v>
      </x:c>
      <x:c r="AA167" s="22" t="n">
        <x:f>Z167-U167</x:f>
        <x:v>1.858100000000018</x:v>
      </x:c>
    </x:row>
    <x:row r="168" ht="23" customHeight="1">
      <x:c r="A168" s="17" t="str">
        <x:v>W0162</x:v>
      </x:c>
      <x:c r="B168" s="18" t="n">
        <x:v>46282</x:v>
      </x:c>
      <x:c r="C168" s="17" t="str">
        <x:v>C003</x:v>
      </x:c>
      <x:c r="D168" s="17" t="str">
        <x:v>Creative</x:v>
      </x:c>
      <x:c r="E168" s="17" t="str">
        <x:v>Taylor Brooks</x:v>
      </x:c>
      <x:c r="F168" s="17" t="str">
        <x:v>Plan visual narrative</x:v>
      </x:c>
      <x:c r="G168" s="20" t="n">
        <x:v>3.72</x:v>
      </x:c>
      <x:c r="H168" s="20" t="n">
        <x:v>3.56</x:v>
      </x:c>
      <x:c r="I168" s="20" t="n">
        <x:v>0.33</x:v>
      </x:c>
      <x:c r="J168" s="17" t="str">
        <x:v>Brief changed</x:v>
      </x:c>
      <x:c r="K168" s="17" t="str">
        <x:v>Yes</x:v>
      </x:c>
      <x:c r="L168" s="17" t="str">
        <x:v>No</x:v>
      </x:c>
      <x:c r="M168" s="29" t="str">
        <x:f>INDEX('Prompt Totals'!$C$7:$C$246,MATCH($A168,'Prompt Totals'!$A$7:$A$246,0))</x:f>
        <x:v>CopyStudio</x:v>
      </x:c>
      <x:c r="N168" s="29" t="str">
        <x:f>INDEX('Prompt Totals'!$D$7:$D$246,MATCH($A168,'Prompt Totals'!$A$7:$A$246,0))</x:f>
        <x:v>Lite</x:v>
      </x:c>
      <x:c r="O168" s="29" t="n">
        <x:f>INDEX('Prompt Totals'!$E$7:$E$246,MATCH($A168,'Prompt Totals'!$A$7:$A$246,0))</x:f>
        <x:v>293247</x:v>
      </x:c>
      <x:c r="P168" s="29" t="n">
        <x:f>INDEX('Prompt Totals'!$F$7:$F$246,MATCH($A168,'Prompt Totals'!$A$7:$A$246,0))</x:f>
        <x:v>96442</x:v>
      </x:c>
      <x:c r="Q168" s="29" t="n">
        <x:f>INDEX('Prompt Totals'!$G$7:$G$246,MATCH($A168,'Prompt Totals'!$A$7:$A$246,0))</x:f>
        <x:v>389689</x:v>
      </x:c>
      <x:c r="R168" s="29" t="n">
        <x:f>INDEX('Prompt Totals'!$H$7:$H$246,MATCH($A168,'Prompt Totals'!$A$7:$A$246,0))</x:f>
        <x:v>13</x:v>
      </x:c>
      <x:c r="S168" s="30" t="n">
        <x:f>INDEX('Prompt Totals'!$I$7:$I$246,MATCH($A168,'Prompt Totals'!$A$7:$A$246,0))</x:f>
        <x:v>2.93247</x:v>
      </x:c>
      <x:c r="T168" s="30" t="n">
        <x:f>INDEX('Prompt Totals'!$J$7:$J$246,MATCH($A168,'Prompt Totals'!$A$7:$A$246,0))</x:f>
        <x:v>2.8932599999999997</x:v>
      </x:c>
      <x:c r="U168" s="30" t="n">
        <x:f>INDEX('Prompt Totals'!$K$7:$K$246,MATCH($A168,'Prompt Totals'!$A$7:$A$246,0))</x:f>
        <x:v>5.82573</x:v>
      </x:c>
      <x:c r="V168" s="29" t="n">
        <x:f>INDEX('Prompt Totals'!$L$7:$L$246,MATCH($A168,'Prompt Totals'!$A$7:$A$246,0))</x:f>
        <x:v>1</x:v>
      </x:c>
      <x:c r="W168" s="29" t="n">
        <x:f>INDEX('Prompt Totals'!$M$7:$M$246,MATCH($A168,'Prompt Totals'!$A$7:$A$246,0))</x:f>
        <x:v>9</x:v>
      </x:c>
      <x:c r="X168" s="29" t="n">
        <x:f>INDEX('Prompt Totals'!$N$7:$N$246,MATCH($A168,'Prompt Totals'!$A$7:$A$246,0))</x:f>
        <x:v>3</x:v>
      </x:c>
      <x:c r="Y168" s="19" t="n">
        <x:f>G168-H168</x:f>
        <x:v>0.16000000000000014</x:v>
      </x:c>
      <x:c r="Z168" s="30" t="n">
        <x:f>Y168*'Solution'!$C$5</x:f>
        <x:v>8.000000000000007</x:v>
      </x:c>
      <x:c r="AA168" s="22" t="n">
        <x:f>Z168-U168</x:f>
        <x:v>2.174270000000007</x:v>
      </x:c>
    </x:row>
    <x:row r="169" ht="23" customHeight="1">
      <x:c r="A169" s="17" t="str">
        <x:v>W0163</x:v>
      </x:c>
      <x:c r="B169" s="18" t="n">
        <x:v>46293</x:v>
      </x:c>
      <x:c r="C169" s="17" t="str">
        <x:v>C003</x:v>
      </x:c>
      <x:c r="D169" s="17" t="str">
        <x:v>Marketing Operations</x:v>
      </x:c>
      <x:c r="E169" s="17" t="str">
        <x:v>Casey Rivera</x:v>
      </x:c>
      <x:c r="F169" s="17" t="str">
        <x:v>Build campaign plan</x:v>
      </x:c>
      <x:c r="G169" s="20" t="n">
        <x:v>2.47</x:v>
      </x:c>
      <x:c r="H169" s="20" t="n">
        <x:v>2.82</x:v>
      </x:c>
      <x:c r="I169" s="20" t="n">
        <x:v>0.03</x:v>
      </x:c>
      <x:c r="J169" s="17" t="str">
        <x:v>None</x:v>
      </x:c>
      <x:c r="K169" s="17" t="str">
        <x:v>No</x:v>
      </x:c>
      <x:c r="L169" s="17" t="str">
        <x:v>Yes</x:v>
      </x:c>
      <x:c r="M169" s="29" t="str">
        <x:f>INDEX('Prompt Totals'!$C$7:$C$246,MATCH($A169,'Prompt Totals'!$A$7:$A$246,0))</x:f>
        <x:v>InsightDesk</x:v>
      </x:c>
      <x:c r="N169" s="29" t="str">
        <x:f>INDEX('Prompt Totals'!$D$7:$D$246,MATCH($A169,'Prompt Totals'!$A$7:$A$246,0))</x:f>
        <x:v>Pro</x:v>
      </x:c>
      <x:c r="O169" s="29" t="n">
        <x:f>INDEX('Prompt Totals'!$E$7:$E$246,MATCH($A169,'Prompt Totals'!$A$7:$A$246,0))</x:f>
        <x:v>314178</x:v>
      </x:c>
      <x:c r="P169" s="29" t="n">
        <x:f>INDEX('Prompt Totals'!$F$7:$F$246,MATCH($A169,'Prompt Totals'!$A$7:$A$246,0))</x:f>
        <x:v>96410</x:v>
      </x:c>
      <x:c r="Q169" s="29" t="n">
        <x:f>INDEX('Prompt Totals'!$G$7:$G$246,MATCH($A169,'Prompt Totals'!$A$7:$A$246,0))</x:f>
        <x:v>410588</x:v>
      </x:c>
      <x:c r="R169" s="29" t="n">
        <x:f>INDEX('Prompt Totals'!$H$7:$H$246,MATCH($A169,'Prompt Totals'!$A$7:$A$246,0))</x:f>
        <x:v>11</x:v>
      </x:c>
      <x:c r="S169" s="30" t="n">
        <x:f>INDEX('Prompt Totals'!$I$7:$I$246,MATCH($A169,'Prompt Totals'!$A$7:$A$246,0))</x:f>
        <x:v>12.567120000000001</x:v>
      </x:c>
      <x:c r="T169" s="30" t="n">
        <x:f>INDEX('Prompt Totals'!$J$7:$J$246,MATCH($A169,'Prompt Totals'!$A$7:$A$246,0))</x:f>
        <x:v>9.641000000000002</x:v>
      </x:c>
      <x:c r="U169" s="30" t="n">
        <x:f>INDEX('Prompt Totals'!$K$7:$K$246,MATCH($A169,'Prompt Totals'!$A$7:$A$246,0))</x:f>
        <x:v>22.20812</x:v>
      </x:c>
      <x:c r="V169" s="29" t="n">
        <x:f>INDEX('Prompt Totals'!$L$7:$L$246,MATCH($A169,'Prompt Totals'!$A$7:$A$246,0))</x:f>
        <x:v>1</x:v>
      </x:c>
      <x:c r="W169" s="29" t="n">
        <x:f>INDEX('Prompt Totals'!$M$7:$M$246,MATCH($A169,'Prompt Totals'!$A$7:$A$246,0))</x:f>
        <x:v>8</x:v>
      </x:c>
      <x:c r="X169" s="29" t="n">
        <x:f>INDEX('Prompt Totals'!$N$7:$N$246,MATCH($A169,'Prompt Totals'!$A$7:$A$246,0))</x:f>
        <x:v>2</x:v>
      </x:c>
      <x:c r="Y169" s="19" t="n">
        <x:f>G169-H169</x:f>
        <x:v>-0.34999999999999964</x:v>
      </x:c>
      <x:c r="Z169" s="30" t="n">
        <x:f>Y169*'Solution'!$C$5</x:f>
        <x:v>-17.499999999999982</x:v>
      </x:c>
      <x:c r="AA169" s="22" t="n">
        <x:f>Z169-U169</x:f>
        <x:v>-39.70811999999998</x:v>
      </x:c>
    </x:row>
    <x:row r="170" ht="23" customHeight="1">
      <x:c r="A170" s="17" t="str">
        <x:v>W0164</x:v>
      </x:c>
      <x:c r="B170" s="18" t="n">
        <x:v>46276</x:v>
      </x:c>
      <x:c r="C170" s="17" t="str">
        <x:v>C003</x:v>
      </x:c>
      <x:c r="D170" s="17" t="str">
        <x:v>Marketing Operations</x:v>
      </x:c>
      <x:c r="E170" s="17" t="str">
        <x:v>Morgan Reed</x:v>
      </x:c>
      <x:c r="F170" s="17" t="str">
        <x:v>Clean audience data</x:v>
      </x:c>
      <x:c r="G170" s="20" t="n">
        <x:v>4.2</x:v>
      </x:c>
      <x:c r="H170" s="20" t="n">
        <x:v>2.34</x:v>
      </x:c>
      <x:c r="I170" s="20" t="n">
        <x:v>0.19</x:v>
      </x:c>
      <x:c r="J170" s="17" t="str">
        <x:v>None</x:v>
      </x:c>
      <x:c r="K170" s="17" t="str">
        <x:v>No</x:v>
      </x:c>
      <x:c r="L170" s="17" t="str">
        <x:v>Yes</x:v>
      </x:c>
      <x:c r="M170" s="29" t="str">
        <x:f>INDEX('Prompt Totals'!$C$7:$C$246,MATCH($A170,'Prompt Totals'!$A$7:$A$246,0))</x:f>
        <x:v>DataFlow</x:v>
      </x:c>
      <x:c r="N170" s="29" t="str">
        <x:f>INDEX('Prompt Totals'!$D$7:$D$246,MATCH($A170,'Prompt Totals'!$A$7:$A$246,0))</x:f>
        <x:v>Lite</x:v>
      </x:c>
      <x:c r="O170" s="29" t="n">
        <x:f>INDEX('Prompt Totals'!$E$7:$E$246,MATCH($A170,'Prompt Totals'!$A$7:$A$246,0))</x:f>
        <x:v>260568</x:v>
      </x:c>
      <x:c r="P170" s="29" t="n">
        <x:f>INDEX('Prompt Totals'!$F$7:$F$246,MATCH($A170,'Prompt Totals'!$A$7:$A$246,0))</x:f>
        <x:v>44821</x:v>
      </x:c>
      <x:c r="Q170" s="29" t="n">
        <x:f>INDEX('Prompt Totals'!$G$7:$G$246,MATCH($A170,'Prompt Totals'!$A$7:$A$246,0))</x:f>
        <x:v>305389</x:v>
      </x:c>
      <x:c r="R170" s="29" t="n">
        <x:f>INDEX('Prompt Totals'!$H$7:$H$246,MATCH($A170,'Prompt Totals'!$A$7:$A$246,0))</x:f>
        <x:v>8</x:v>
      </x:c>
      <x:c r="S170" s="30" t="n">
        <x:f>INDEX('Prompt Totals'!$I$7:$I$246,MATCH($A170,'Prompt Totals'!$A$7:$A$246,0))</x:f>
        <x:v>2.60568</x:v>
      </x:c>
      <x:c r="T170" s="30" t="n">
        <x:f>INDEX('Prompt Totals'!$J$7:$J$246,MATCH($A170,'Prompt Totals'!$A$7:$A$246,0))</x:f>
        <x:v>1.3446300000000002</x:v>
      </x:c>
      <x:c r="U170" s="30" t="n">
        <x:f>INDEX('Prompt Totals'!$K$7:$K$246,MATCH($A170,'Prompt Totals'!$A$7:$A$246,0))</x:f>
        <x:v>3.9503099999999995</x:v>
      </x:c>
      <x:c r="V170" s="29" t="n">
        <x:f>INDEX('Prompt Totals'!$L$7:$L$246,MATCH($A170,'Prompt Totals'!$A$7:$A$246,0))</x:f>
        <x:v>1</x:v>
      </x:c>
      <x:c r="W170" s="29" t="n">
        <x:f>INDEX('Prompt Totals'!$M$7:$M$246,MATCH($A170,'Prompt Totals'!$A$7:$A$246,0))</x:f>
        <x:v>6</x:v>
      </x:c>
      <x:c r="X170" s="29" t="n">
        <x:f>INDEX('Prompt Totals'!$N$7:$N$246,MATCH($A170,'Prompt Totals'!$A$7:$A$246,0))</x:f>
        <x:v>1</x:v>
      </x:c>
      <x:c r="Y170" s="19" t="n">
        <x:f>G170-H170</x:f>
        <x:v>1.8600000000000003</x:v>
      </x:c>
      <x:c r="Z170" s="30" t="n">
        <x:f>Y170*'Solution'!$C$5</x:f>
        <x:v>93.00000000000001</x:v>
      </x:c>
      <x:c r="AA170" s="22" t="n">
        <x:f>Z170-U170</x:f>
        <x:v>89.04969000000001</x:v>
      </x:c>
    </x:row>
    <x:row r="171" ht="23" customHeight="1">
      <x:c r="A171" s="17" t="str">
        <x:v>W0165</x:v>
      </x:c>
      <x:c r="B171" s="18" t="n">
        <x:v>46287</x:v>
      </x:c>
      <x:c r="C171" s="17" t="str">
        <x:v>C003</x:v>
      </x:c>
      <x:c r="D171" s="17" t="str">
        <x:v>Analytics</x:v>
      </x:c>
      <x:c r="E171" s="17" t="str">
        <x:v>Quinn Parker</x:v>
      </x:c>
      <x:c r="F171" s="17" t="str">
        <x:v>Check measurement plan</x:v>
      </x:c>
      <x:c r="G171" s="20" t="n">
        <x:v>3.83</x:v>
      </x:c>
      <x:c r="H171" s="20" t="n">
        <x:v>2.14</x:v>
      </x:c>
      <x:c r="I171" s="20" t="n">
        <x:v>0.42</x:v>
      </x:c>
      <x:c r="J171" s="17" t="str">
        <x:v>Unclear prompt</x:v>
      </x:c>
      <x:c r="K171" s="17" t="str">
        <x:v>No</x:v>
      </x:c>
      <x:c r="L171" s="17" t="str">
        <x:v>Yes</x:v>
      </x:c>
      <x:c r="M171" s="29" t="str">
        <x:f>INDEX('Prompt Totals'!$C$7:$C$246,MATCH($A171,'Prompt Totals'!$A$7:$A$246,0))</x:f>
        <x:v>InsightDesk</x:v>
      </x:c>
      <x:c r="N171" s="29" t="str">
        <x:f>INDEX('Prompt Totals'!$D$7:$D$246,MATCH($A171,'Prompt Totals'!$A$7:$A$246,0))</x:f>
        <x:v>Lite</x:v>
      </x:c>
      <x:c r="O171" s="29" t="n">
        <x:f>INDEX('Prompt Totals'!$E$7:$E$246,MATCH($A171,'Prompt Totals'!$A$7:$A$246,0))</x:f>
        <x:v>265237</x:v>
      </x:c>
      <x:c r="P171" s="29" t="n">
        <x:f>INDEX('Prompt Totals'!$F$7:$F$246,MATCH($A171,'Prompt Totals'!$A$7:$A$246,0))</x:f>
        <x:v>45343</x:v>
      </x:c>
      <x:c r="Q171" s="29" t="n">
        <x:f>INDEX('Prompt Totals'!$G$7:$G$246,MATCH($A171,'Prompt Totals'!$A$7:$A$246,0))</x:f>
        <x:v>310580</x:v>
      </x:c>
      <x:c r="R171" s="29" t="n">
        <x:f>INDEX('Prompt Totals'!$H$7:$H$246,MATCH($A171,'Prompt Totals'!$A$7:$A$246,0))</x:f>
        <x:v>12</x:v>
      </x:c>
      <x:c r="S171" s="30" t="n">
        <x:f>INDEX('Prompt Totals'!$I$7:$I$246,MATCH($A171,'Prompt Totals'!$A$7:$A$246,0))</x:f>
        <x:v>2.65237</x:v>
      </x:c>
      <x:c r="T171" s="30" t="n">
        <x:f>INDEX('Prompt Totals'!$J$7:$J$246,MATCH($A171,'Prompt Totals'!$A$7:$A$246,0))</x:f>
        <x:v>1.36029</x:v>
      </x:c>
      <x:c r="U171" s="30" t="n">
        <x:f>INDEX('Prompt Totals'!$K$7:$K$246,MATCH($A171,'Prompt Totals'!$A$7:$A$246,0))</x:f>
        <x:v>4.01266</x:v>
      </x:c>
      <x:c r="V171" s="29" t="n">
        <x:f>INDEX('Prompt Totals'!$L$7:$L$246,MATCH($A171,'Prompt Totals'!$A$7:$A$246,0))</x:f>
        <x:v>1</x:v>
      </x:c>
      <x:c r="W171" s="29" t="n">
        <x:f>INDEX('Prompt Totals'!$M$7:$M$246,MATCH($A171,'Prompt Totals'!$A$7:$A$246,0))</x:f>
        <x:v>9</x:v>
      </x:c>
      <x:c r="X171" s="29" t="n">
        <x:f>INDEX('Prompt Totals'!$N$7:$N$246,MATCH($A171,'Prompt Totals'!$A$7:$A$246,0))</x:f>
        <x:v>2</x:v>
      </x:c>
      <x:c r="Y171" s="19" t="n">
        <x:f>G171-H171</x:f>
        <x:v>1.69</x:v>
      </x:c>
      <x:c r="Z171" s="30" t="n">
        <x:f>Y171*'Solution'!$C$5</x:f>
        <x:v>84.5</x:v>
      </x:c>
      <x:c r="AA171" s="22" t="n">
        <x:f>Z171-U171</x:f>
        <x:v>80.48734</x:v>
      </x:c>
    </x:row>
    <x:row r="172" ht="23" customHeight="1">
      <x:c r="A172" s="17" t="str">
        <x:v>W0166</x:v>
      </x:c>
      <x:c r="B172" s="18" t="n">
        <x:v>46269</x:v>
      </x:c>
      <x:c r="C172" s="17" t="str">
        <x:v>C003</x:v>
      </x:c>
      <x:c r="D172" s="17" t="str">
        <x:v>Analytics</x:v>
      </x:c>
      <x:c r="E172" s="17" t="str">
        <x:v>Jamie Patel</x:v>
      </x:c>
      <x:c r="F172" s="17" t="str">
        <x:v>Analyze campaign results</x:v>
      </x:c>
      <x:c r="G172" s="20" t="n">
        <x:v>4.2</x:v>
      </x:c>
      <x:c r="H172" s="20" t="n">
        <x:v>4.38</x:v>
      </x:c>
      <x:c r="I172" s="20" t="n">
        <x:v>0.31</x:v>
      </x:c>
      <x:c r="J172" s="17" t="str">
        <x:v>None</x:v>
      </x:c>
      <x:c r="K172" s="17" t="str">
        <x:v>No</x:v>
      </x:c>
      <x:c r="L172" s="17" t="str">
        <x:v>No</x:v>
      </x:c>
      <x:c r="M172" s="29" t="str">
        <x:f>INDEX('Prompt Totals'!$C$7:$C$246,MATCH($A172,'Prompt Totals'!$A$7:$A$246,0))</x:f>
        <x:v>DataFlow</x:v>
      </x:c>
      <x:c r="N172" s="29" t="str">
        <x:f>INDEX('Prompt Totals'!$D$7:$D$246,MATCH($A172,'Prompt Totals'!$A$7:$A$246,0))</x:f>
        <x:v>Lite</x:v>
      </x:c>
      <x:c r="O172" s="29" t="n">
        <x:f>INDEX('Prompt Totals'!$E$7:$E$246,MATCH($A172,'Prompt Totals'!$A$7:$A$246,0))</x:f>
        <x:v>463519</x:v>
      </x:c>
      <x:c r="P172" s="29" t="n">
        <x:f>INDEX('Prompt Totals'!$F$7:$F$246,MATCH($A172,'Prompt Totals'!$A$7:$A$246,0))</x:f>
        <x:v>95333</x:v>
      </x:c>
      <x:c r="Q172" s="29" t="n">
        <x:f>INDEX('Prompt Totals'!$G$7:$G$246,MATCH($A172,'Prompt Totals'!$A$7:$A$246,0))</x:f>
        <x:v>558852</x:v>
      </x:c>
      <x:c r="R172" s="29" t="n">
        <x:f>INDEX('Prompt Totals'!$H$7:$H$246,MATCH($A172,'Prompt Totals'!$A$7:$A$246,0))</x:f>
        <x:v>20</x:v>
      </x:c>
      <x:c r="S172" s="30" t="n">
        <x:f>INDEX('Prompt Totals'!$I$7:$I$246,MATCH($A172,'Prompt Totals'!$A$7:$A$246,0))</x:f>
        <x:v>4.63519</x:v>
      </x:c>
      <x:c r="T172" s="30" t="n">
        <x:f>INDEX('Prompt Totals'!$J$7:$J$246,MATCH($A172,'Prompt Totals'!$A$7:$A$246,0))</x:f>
        <x:v>2.8599899999999994</x:v>
      </x:c>
      <x:c r="U172" s="30" t="n">
        <x:f>INDEX('Prompt Totals'!$K$7:$K$246,MATCH($A172,'Prompt Totals'!$A$7:$A$246,0))</x:f>
        <x:v>7.4951799999999995</x:v>
      </x:c>
      <x:c r="V172" s="29" t="n">
        <x:f>INDEX('Prompt Totals'!$L$7:$L$246,MATCH($A172,'Prompt Totals'!$A$7:$A$246,0))</x:f>
        <x:v>1</x:v>
      </x:c>
      <x:c r="W172" s="29" t="n">
        <x:f>INDEX('Prompt Totals'!$M$7:$M$246,MATCH($A172,'Prompt Totals'!$A$7:$A$246,0))</x:f>
        <x:v>16</x:v>
      </x:c>
      <x:c r="X172" s="29" t="n">
        <x:f>INDEX('Prompt Totals'!$N$7:$N$246,MATCH($A172,'Prompt Totals'!$A$7:$A$246,0))</x:f>
        <x:v>3</x:v>
      </x:c>
      <x:c r="Y172" s="19" t="n">
        <x:f>G172-H172</x:f>
        <x:v>-0.17999999999999972</x:v>
      </x:c>
      <x:c r="Z172" s="30" t="n">
        <x:f>Y172*'Solution'!$C$5</x:f>
        <x:v>-8.999999999999986</x:v>
      </x:c>
      <x:c r="AA172" s="22" t="n">
        <x:f>Z172-U172</x:f>
        <x:v>-16.495179999999984</x:v>
      </x:c>
    </x:row>
    <x:row r="173" ht="23" customHeight="1">
      <x:c r="A173" s="17" t="str">
        <x:v>W0167</x:v>
      </x:c>
      <x:c r="B173" s="18" t="n">
        <x:v>46281</x:v>
      </x:c>
      <x:c r="C173" s="17" t="str">
        <x:v>C003</x:v>
      </x:c>
      <x:c r="D173" s="17" t="str">
        <x:v>Content</x:v>
      </x:c>
      <x:c r="E173" s="17" t="str">
        <x:v>Avery Morgan</x:v>
      </x:c>
      <x:c r="F173" s="17" t="str">
        <x:v>Draft email sequence</x:v>
      </x:c>
      <x:c r="G173" s="20" t="n">
        <x:v>3.1</x:v>
      </x:c>
      <x:c r="H173" s="20" t="n">
        <x:v>3.06</x:v>
      </x:c>
      <x:c r="I173" s="20" t="n">
        <x:v>0.49</x:v>
      </x:c>
      <x:c r="J173" s="17" t="str">
        <x:v>Brief changed</x:v>
      </x:c>
      <x:c r="K173" s="17" t="str">
        <x:v>Yes</x:v>
      </x:c>
      <x:c r="L173" s="17" t="str">
        <x:v>Yes</x:v>
      </x:c>
      <x:c r="M173" s="29" t="str">
        <x:f>INDEX('Prompt Totals'!$C$7:$C$246,MATCH($A173,'Prompt Totals'!$A$7:$A$246,0))</x:f>
        <x:v>InsightDesk</x:v>
      </x:c>
      <x:c r="N173" s="29" t="str">
        <x:f>INDEX('Prompt Totals'!$D$7:$D$246,MATCH($A173,'Prompt Totals'!$A$7:$A$246,0))</x:f>
        <x:v>Pro</x:v>
      </x:c>
      <x:c r="O173" s="29" t="n">
        <x:f>INDEX('Prompt Totals'!$E$7:$E$246,MATCH($A173,'Prompt Totals'!$A$7:$A$246,0))</x:f>
        <x:v>176614</x:v>
      </x:c>
      <x:c r="P173" s="29" t="n">
        <x:f>INDEX('Prompt Totals'!$F$7:$F$246,MATCH($A173,'Prompt Totals'!$A$7:$A$246,0))</x:f>
        <x:v>94315</x:v>
      </x:c>
      <x:c r="Q173" s="29" t="n">
        <x:f>INDEX('Prompt Totals'!$G$7:$G$246,MATCH($A173,'Prompt Totals'!$A$7:$A$246,0))</x:f>
        <x:v>270929</x:v>
      </x:c>
      <x:c r="R173" s="29" t="n">
        <x:f>INDEX('Prompt Totals'!$H$7:$H$246,MATCH($A173,'Prompt Totals'!$A$7:$A$246,0))</x:f>
        <x:v>9</x:v>
      </x:c>
      <x:c r="S173" s="30" t="n">
        <x:f>INDEX('Prompt Totals'!$I$7:$I$246,MATCH($A173,'Prompt Totals'!$A$7:$A$246,0))</x:f>
        <x:v>7.06456</x:v>
      </x:c>
      <x:c r="T173" s="30" t="n">
        <x:f>INDEX('Prompt Totals'!$J$7:$J$246,MATCH($A173,'Prompt Totals'!$A$7:$A$246,0))</x:f>
        <x:v>9.4315</x:v>
      </x:c>
      <x:c r="U173" s="30" t="n">
        <x:f>INDEX('Prompt Totals'!$K$7:$K$246,MATCH($A173,'Prompt Totals'!$A$7:$A$246,0))</x:f>
        <x:v>16.49606</x:v>
      </x:c>
      <x:c r="V173" s="29" t="n">
        <x:f>INDEX('Prompt Totals'!$L$7:$L$246,MATCH($A173,'Prompt Totals'!$A$7:$A$246,0))</x:f>
        <x:v>1</x:v>
      </x:c>
      <x:c r="W173" s="29" t="n">
        <x:f>INDEX('Prompt Totals'!$M$7:$M$246,MATCH($A173,'Prompt Totals'!$A$7:$A$246,0))</x:f>
        <x:v>6</x:v>
      </x:c>
      <x:c r="X173" s="29" t="n">
        <x:f>INDEX('Prompt Totals'!$N$7:$N$246,MATCH($A173,'Prompt Totals'!$A$7:$A$246,0))</x:f>
        <x:v>2</x:v>
      </x:c>
      <x:c r="Y173" s="19" t="n">
        <x:f>G173-H173</x:f>
        <x:v>0.040000000000000036</x:v>
      </x:c>
      <x:c r="Z173" s="30" t="n">
        <x:f>Y173*'Solution'!$C$5</x:f>
        <x:v>2.0000000000000018</x:v>
      </x:c>
      <x:c r="AA173" s="22" t="n">
        <x:f>Z173-U173</x:f>
        <x:v>-14.496059999999998</x:v>
      </x:c>
    </x:row>
    <x:row r="174" ht="23" customHeight="1">
      <x:c r="A174" s="17" t="str">
        <x:v>W0168</x:v>
      </x:c>
      <x:c r="B174" s="18" t="n">
        <x:v>46290</x:v>
      </x:c>
      <x:c r="C174" s="17" t="str">
        <x:v>C003</x:v>
      </x:c>
      <x:c r="D174" s="17" t="str">
        <x:v>Content</x:v>
      </x:c>
      <x:c r="E174" s="17" t="str">
        <x:v>Jordan Ellis</x:v>
      </x:c>
      <x:c r="F174" s="17" t="str">
        <x:v>Edit landing page</x:v>
      </x:c>
      <x:c r="G174" s="20" t="n">
        <x:v>4.53</x:v>
      </x:c>
      <x:c r="H174" s="20" t="n">
        <x:v>2.01</x:v>
      </x:c>
      <x:c r="I174" s="20" t="n">
        <x:v>0.15</x:v>
      </x:c>
      <x:c r="J174" s="17" t="str">
        <x:v>None</x:v>
      </x:c>
      <x:c r="K174" s="17" t="str">
        <x:v>No</x:v>
      </x:c>
      <x:c r="L174" s="17" t="str">
        <x:v>No</x:v>
      </x:c>
      <x:c r="M174" s="29" t="str">
        <x:f>INDEX('Prompt Totals'!$C$7:$C$246,MATCH($A174,'Prompt Totals'!$A$7:$A$246,0))</x:f>
        <x:v>CopyStudio</x:v>
      </x:c>
      <x:c r="N174" s="29" t="str">
        <x:f>INDEX('Prompt Totals'!$D$7:$D$246,MATCH($A174,'Prompt Totals'!$A$7:$A$246,0))</x:f>
        <x:v>Pro</x:v>
      </x:c>
      <x:c r="O174" s="29" t="n">
        <x:f>INDEX('Prompt Totals'!$E$7:$E$246,MATCH($A174,'Prompt Totals'!$A$7:$A$246,0))</x:f>
        <x:v>150615</x:v>
      </x:c>
      <x:c r="P174" s="29" t="n">
        <x:f>INDEX('Prompt Totals'!$F$7:$F$246,MATCH($A174,'Prompt Totals'!$A$7:$A$246,0))</x:f>
        <x:v>65620</x:v>
      </x:c>
      <x:c r="Q174" s="29" t="n">
        <x:f>INDEX('Prompt Totals'!$G$7:$G$246,MATCH($A174,'Prompt Totals'!$A$7:$A$246,0))</x:f>
        <x:v>216235</x:v>
      </x:c>
      <x:c r="R174" s="29" t="n">
        <x:f>INDEX('Prompt Totals'!$H$7:$H$246,MATCH($A174,'Prompt Totals'!$A$7:$A$246,0))</x:f>
        <x:v>9</x:v>
      </x:c>
      <x:c r="S174" s="30" t="n">
        <x:f>INDEX('Prompt Totals'!$I$7:$I$246,MATCH($A174,'Prompt Totals'!$A$7:$A$246,0))</x:f>
        <x:v>6.0246</x:v>
      </x:c>
      <x:c r="T174" s="30" t="n">
        <x:f>INDEX('Prompt Totals'!$J$7:$J$246,MATCH($A174,'Prompt Totals'!$A$7:$A$246,0))</x:f>
        <x:v>6.562000000000001</x:v>
      </x:c>
      <x:c r="U174" s="30" t="n">
        <x:f>INDEX('Prompt Totals'!$K$7:$K$246,MATCH($A174,'Prompt Totals'!$A$7:$A$246,0))</x:f>
        <x:v>12.5866</x:v>
      </x:c>
      <x:c r="V174" s="29" t="n">
        <x:f>INDEX('Prompt Totals'!$L$7:$L$246,MATCH($A174,'Prompt Totals'!$A$7:$A$246,0))</x:f>
        <x:v>1</x:v>
      </x:c>
      <x:c r="W174" s="29" t="n">
        <x:f>INDEX('Prompt Totals'!$M$7:$M$246,MATCH($A174,'Prompt Totals'!$A$7:$A$246,0))</x:f>
        <x:v>6</x:v>
      </x:c>
      <x:c r="X174" s="29" t="n">
        <x:f>INDEX('Prompt Totals'!$N$7:$N$246,MATCH($A174,'Prompt Totals'!$A$7:$A$246,0))</x:f>
        <x:v>2</x:v>
      </x:c>
      <x:c r="Y174" s="19" t="n">
        <x:f>G174-H174</x:f>
        <x:v>2.5200000000000005</x:v>
      </x:c>
      <x:c r="Z174" s="30" t="n">
        <x:f>Y174*'Solution'!$C$5</x:f>
        <x:v>126.00000000000003</x:v>
      </x:c>
      <x:c r="AA174" s="22" t="n">
        <x:f>Z174-U174</x:f>
        <x:v>113.41340000000002</x:v>
      </x:c>
    </x:row>
    <x:row r="175" ht="23" customHeight="1">
      <x:c r="A175" s="17" t="str">
        <x:v>W0169</x:v>
      </x:c>
      <x:c r="B175" s="18" t="n">
        <x:v>46275</x:v>
      </x:c>
      <x:c r="C175" s="17" t="str">
        <x:v>C003</x:v>
      </x:c>
      <x:c r="D175" s="17" t="str">
        <x:v>Creative</x:v>
      </x:c>
      <x:c r="E175" s="17" t="str">
        <x:v>Riley Chen</x:v>
      </x:c>
      <x:c r="F175" s="17" t="str">
        <x:v>Develop concept brief</x:v>
      </x:c>
      <x:c r="G175" s="20" t="n">
        <x:v>4.48</x:v>
      </x:c>
      <x:c r="H175" s="20" t="n">
        <x:v>4.67</x:v>
      </x:c>
      <x:c r="I175" s="20" t="n">
        <x:v>0.78</x:v>
      </x:c>
      <x:c r="J175" s="17" t="str">
        <x:v>Unclear prompt</x:v>
      </x:c>
      <x:c r="K175" s="17" t="str">
        <x:v>No</x:v>
      </x:c>
      <x:c r="L175" s="17" t="str">
        <x:v>Yes</x:v>
      </x:c>
      <x:c r="M175" s="29" t="str">
        <x:f>INDEX('Prompt Totals'!$C$7:$C$246,MATCH($A175,'Prompt Totals'!$A$7:$A$246,0))</x:f>
        <x:v>CampaignChat</x:v>
      </x:c>
      <x:c r="N175" s="29" t="str">
        <x:f>INDEX('Prompt Totals'!$D$7:$D$246,MATCH($A175,'Prompt Totals'!$A$7:$A$246,0))</x:f>
        <x:v>Lite</x:v>
      </x:c>
      <x:c r="O175" s="29" t="n">
        <x:f>INDEX('Prompt Totals'!$E$7:$E$246,MATCH($A175,'Prompt Totals'!$A$7:$A$246,0))</x:f>
        <x:v>461381</x:v>
      </x:c>
      <x:c r="P175" s="29" t="n">
        <x:f>INDEX('Prompt Totals'!$F$7:$F$246,MATCH($A175,'Prompt Totals'!$A$7:$A$246,0))</x:f>
        <x:v>127440</x:v>
      </x:c>
      <x:c r="Q175" s="29" t="n">
        <x:f>INDEX('Prompt Totals'!$G$7:$G$246,MATCH($A175,'Prompt Totals'!$A$7:$A$246,0))</x:f>
        <x:v>588821</x:v>
      </x:c>
      <x:c r="R175" s="29" t="n">
        <x:f>INDEX('Prompt Totals'!$H$7:$H$246,MATCH($A175,'Prompt Totals'!$A$7:$A$246,0))</x:f>
        <x:v>18</x:v>
      </x:c>
      <x:c r="S175" s="30" t="n">
        <x:f>INDEX('Prompt Totals'!$I$7:$I$246,MATCH($A175,'Prompt Totals'!$A$7:$A$246,0))</x:f>
        <x:v>4.61381</x:v>
      </x:c>
      <x:c r="T175" s="30" t="n">
        <x:f>INDEX('Prompt Totals'!$J$7:$J$246,MATCH($A175,'Prompt Totals'!$A$7:$A$246,0))</x:f>
        <x:v>3.8232</x:v>
      </x:c>
      <x:c r="U175" s="30" t="n">
        <x:f>INDEX('Prompt Totals'!$K$7:$K$246,MATCH($A175,'Prompt Totals'!$A$7:$A$246,0))</x:f>
        <x:v>8.43701</x:v>
      </x:c>
      <x:c r="V175" s="29" t="n">
        <x:f>INDEX('Prompt Totals'!$L$7:$L$246,MATCH($A175,'Prompt Totals'!$A$7:$A$246,0))</x:f>
        <x:v>1</x:v>
      </x:c>
      <x:c r="W175" s="29" t="n">
        <x:f>INDEX('Prompt Totals'!$M$7:$M$246,MATCH($A175,'Prompt Totals'!$A$7:$A$246,0))</x:f>
        <x:v>13</x:v>
      </x:c>
      <x:c r="X175" s="29" t="n">
        <x:f>INDEX('Prompt Totals'!$N$7:$N$246,MATCH($A175,'Prompt Totals'!$A$7:$A$246,0))</x:f>
        <x:v>4</x:v>
      </x:c>
      <x:c r="Y175" s="19" t="n">
        <x:f>G175-H175</x:f>
        <x:v>-0.1899999999999995</x:v>
      </x:c>
      <x:c r="Z175" s="30" t="n">
        <x:f>Y175*'Solution'!$C$5</x:f>
        <x:v>-9.499999999999975</x:v>
      </x:c>
      <x:c r="AA175" s="22" t="n">
        <x:f>Z175-U175</x:f>
        <x:v>-17.937009999999976</x:v>
      </x:c>
    </x:row>
    <x:row r="176" ht="23" customHeight="1">
      <x:c r="A176" s="17" t="str">
        <x:v>W0170</x:v>
      </x:c>
      <x:c r="B176" s="18" t="n">
        <x:v>46286</x:v>
      </x:c>
      <x:c r="C176" s="17" t="str">
        <x:v>C003</x:v>
      </x:c>
      <x:c r="D176" s="17" t="str">
        <x:v>Creative</x:v>
      </x:c>
      <x:c r="E176" s="17" t="str">
        <x:v>Taylor Brooks</x:v>
      </x:c>
      <x:c r="F176" s="17" t="str">
        <x:v>Review creative variants</x:v>
      </x:c>
      <x:c r="G176" s="20" t="n">
        <x:v>4.56</x:v>
      </x:c>
      <x:c r="H176" s="20" t="n">
        <x:v>2.23</x:v>
      </x:c>
      <x:c r="I176" s="20" t="n">
        <x:v>0.31</x:v>
      </x:c>
      <x:c r="J176" s="17" t="str">
        <x:v>Data problem</x:v>
      </x:c>
      <x:c r="K176" s="17" t="str">
        <x:v>No</x:v>
      </x:c>
      <x:c r="L176" s="17" t="str">
        <x:v>No</x:v>
      </x:c>
      <x:c r="M176" s="29" t="str">
        <x:f>INDEX('Prompt Totals'!$C$7:$C$246,MATCH($A176,'Prompt Totals'!$A$7:$A$246,0))</x:f>
        <x:v>CampaignChat</x:v>
      </x:c>
      <x:c r="N176" s="29" t="str">
        <x:f>INDEX('Prompt Totals'!$D$7:$D$246,MATCH($A176,'Prompt Totals'!$A$7:$A$246,0))</x:f>
        <x:v>Pro</x:v>
      </x:c>
      <x:c r="O176" s="29" t="n">
        <x:f>INDEX('Prompt Totals'!$E$7:$E$246,MATCH($A176,'Prompt Totals'!$A$7:$A$246,0))</x:f>
        <x:v>242654</x:v>
      </x:c>
      <x:c r="P176" s="29" t="n">
        <x:f>INDEX('Prompt Totals'!$F$7:$F$246,MATCH($A176,'Prompt Totals'!$A$7:$A$246,0))</x:f>
        <x:v>58221</x:v>
      </x:c>
      <x:c r="Q176" s="29" t="n">
        <x:f>INDEX('Prompt Totals'!$G$7:$G$246,MATCH($A176,'Prompt Totals'!$A$7:$A$246,0))</x:f>
        <x:v>300875</x:v>
      </x:c>
      <x:c r="R176" s="29" t="n">
        <x:f>INDEX('Prompt Totals'!$H$7:$H$246,MATCH($A176,'Prompt Totals'!$A$7:$A$246,0))</x:f>
        <x:v>12</x:v>
      </x:c>
      <x:c r="S176" s="30" t="n">
        <x:f>INDEX('Prompt Totals'!$I$7:$I$246,MATCH($A176,'Prompt Totals'!$A$7:$A$246,0))</x:f>
        <x:v>9.706159999999999</x:v>
      </x:c>
      <x:c r="T176" s="30" t="n">
        <x:f>INDEX('Prompt Totals'!$J$7:$J$246,MATCH($A176,'Prompt Totals'!$A$7:$A$246,0))</x:f>
        <x:v>5.8221</x:v>
      </x:c>
      <x:c r="U176" s="30" t="n">
        <x:f>INDEX('Prompt Totals'!$K$7:$K$246,MATCH($A176,'Prompt Totals'!$A$7:$A$246,0))</x:f>
        <x:v>15.528260000000001</x:v>
      </x:c>
      <x:c r="V176" s="29" t="n">
        <x:f>INDEX('Prompt Totals'!$L$7:$L$246,MATCH($A176,'Prompt Totals'!$A$7:$A$246,0))</x:f>
        <x:v>1</x:v>
      </x:c>
      <x:c r="W176" s="29" t="n">
        <x:f>INDEX('Prompt Totals'!$M$7:$M$246,MATCH($A176,'Prompt Totals'!$A$7:$A$246,0))</x:f>
        <x:v>9</x:v>
      </x:c>
      <x:c r="X176" s="29" t="n">
        <x:f>INDEX('Prompt Totals'!$N$7:$N$246,MATCH($A176,'Prompt Totals'!$A$7:$A$246,0))</x:f>
        <x:v>2</x:v>
      </x:c>
      <x:c r="Y176" s="19" t="n">
        <x:f>G176-H176</x:f>
        <x:v>2.3299999999999996</x:v>
      </x:c>
      <x:c r="Z176" s="30" t="n">
        <x:f>Y176*'Solution'!$C$5</x:f>
        <x:v>116.49999999999999</x:v>
      </x:c>
      <x:c r="AA176" s="22" t="n">
        <x:f>Z176-U176</x:f>
        <x:v>100.97173999999998</x:v>
      </x:c>
    </x:row>
    <x:row r="177" ht="23" customHeight="1">
      <x:c r="A177" s="17" t="str">
        <x:v>W0171</x:v>
      </x:c>
      <x:c r="B177" s="18" t="n">
        <x:v>46295</x:v>
      </x:c>
      <x:c r="C177" s="17" t="str">
        <x:v>C003</x:v>
      </x:c>
      <x:c r="D177" s="17" t="str">
        <x:v>Marketing Operations</x:v>
      </x:c>
      <x:c r="E177" s="17" t="str">
        <x:v>Casey Rivera</x:v>
      </x:c>
      <x:c r="F177" s="17" t="str">
        <x:v>Prepare launch checklist</x:v>
      </x:c>
      <x:c r="G177" s="20" t="n">
        <x:v>3.9</x:v>
      </x:c>
      <x:c r="H177" s="20" t="n">
        <x:v>2.28</x:v>
      </x:c>
      <x:c r="I177" s="20" t="n">
        <x:v>0.15</x:v>
      </x:c>
      <x:c r="J177" s="17" t="str">
        <x:v>None</x:v>
      </x:c>
      <x:c r="K177" s="17" t="str">
        <x:v>No</x:v>
      </x:c>
      <x:c r="L177" s="17" t="str">
        <x:v>Yes</x:v>
      </x:c>
      <x:c r="M177" s="29" t="str">
        <x:f>INDEX('Prompt Totals'!$C$7:$C$246,MATCH($A177,'Prompt Totals'!$A$7:$A$246,0))</x:f>
        <x:v>DataFlow</x:v>
      </x:c>
      <x:c r="N177" s="29" t="str">
        <x:f>INDEX('Prompt Totals'!$D$7:$D$246,MATCH($A177,'Prompt Totals'!$A$7:$A$246,0))</x:f>
        <x:v>Lite</x:v>
      </x:c>
      <x:c r="O177" s="29" t="n">
        <x:f>INDEX('Prompt Totals'!$E$7:$E$246,MATCH($A177,'Prompt Totals'!$A$7:$A$246,0))</x:f>
        <x:v>161506</x:v>
      </x:c>
      <x:c r="P177" s="29" t="n">
        <x:f>INDEX('Prompt Totals'!$F$7:$F$246,MATCH($A177,'Prompt Totals'!$A$7:$A$246,0))</x:f>
        <x:v>68623</x:v>
      </x:c>
      <x:c r="Q177" s="29" t="n">
        <x:f>INDEX('Prompt Totals'!$G$7:$G$246,MATCH($A177,'Prompt Totals'!$A$7:$A$246,0))</x:f>
        <x:v>230129</x:v>
      </x:c>
      <x:c r="R177" s="29" t="n">
        <x:f>INDEX('Prompt Totals'!$H$7:$H$246,MATCH($A177,'Prompt Totals'!$A$7:$A$246,0))</x:f>
        <x:v>11</x:v>
      </x:c>
      <x:c r="S177" s="30" t="n">
        <x:f>INDEX('Prompt Totals'!$I$7:$I$246,MATCH($A177,'Prompt Totals'!$A$7:$A$246,0))</x:f>
        <x:v>1.61506</x:v>
      </x:c>
      <x:c r="T177" s="30" t="n">
        <x:f>INDEX('Prompt Totals'!$J$7:$J$246,MATCH($A177,'Prompt Totals'!$A$7:$A$246,0))</x:f>
        <x:v>2.05869</x:v>
      </x:c>
      <x:c r="U177" s="30" t="n">
        <x:f>INDEX('Prompt Totals'!$K$7:$K$246,MATCH($A177,'Prompt Totals'!$A$7:$A$246,0))</x:f>
        <x:v>3.67375</x:v>
      </x:c>
      <x:c r="V177" s="29" t="n">
        <x:f>INDEX('Prompt Totals'!$L$7:$L$246,MATCH($A177,'Prompt Totals'!$A$7:$A$246,0))</x:f>
        <x:v>1</x:v>
      </x:c>
      <x:c r="W177" s="29" t="n">
        <x:f>INDEX('Prompt Totals'!$M$7:$M$246,MATCH($A177,'Prompt Totals'!$A$7:$A$246,0))</x:f>
        <x:v>7</x:v>
      </x:c>
      <x:c r="X177" s="29" t="n">
        <x:f>INDEX('Prompt Totals'!$N$7:$N$246,MATCH($A177,'Prompt Totals'!$A$7:$A$246,0))</x:f>
        <x:v>3</x:v>
      </x:c>
      <x:c r="Y177" s="19" t="n">
        <x:f>G177-H177</x:f>
        <x:v>1.62</x:v>
      </x:c>
      <x:c r="Z177" s="30" t="n">
        <x:f>Y177*'Solution'!$C$5</x:f>
        <x:v>81</x:v>
      </x:c>
      <x:c r="AA177" s="22" t="n">
        <x:f>Z177-U177</x:f>
        <x:v>77.32625</x:v>
      </x:c>
    </x:row>
    <x:row r="178" ht="23" customHeight="1">
      <x:c r="A178" s="17" t="str">
        <x:v>W0172</x:v>
      </x:c>
      <x:c r="B178" s="18" t="n">
        <x:v>46280</x:v>
      </x:c>
      <x:c r="C178" s="17" t="str">
        <x:v>C003</x:v>
      </x:c>
      <x:c r="D178" s="17" t="str">
        <x:v>Marketing Operations</x:v>
      </x:c>
      <x:c r="E178" s="17" t="str">
        <x:v>Morgan Reed</x:v>
      </x:c>
      <x:c r="F178" s="17" t="str">
        <x:v>Build campaign plan</x:v>
      </x:c>
      <x:c r="G178" s="20" t="n">
        <x:v>4.08</x:v>
      </x:c>
      <x:c r="H178" s="20" t="n">
        <x:v>4.23</x:v>
      </x:c>
      <x:c r="I178" s="20" t="n">
        <x:v>0.52</x:v>
      </x:c>
      <x:c r="J178" s="17" t="str">
        <x:v>Unclear prompt</x:v>
      </x:c>
      <x:c r="K178" s="17" t="str">
        <x:v>No</x:v>
      </x:c>
      <x:c r="L178" s="17" t="str">
        <x:v>No</x:v>
      </x:c>
      <x:c r="M178" s="29" t="str">
        <x:f>INDEX('Prompt Totals'!$C$7:$C$246,MATCH($A178,'Prompt Totals'!$A$7:$A$246,0))</x:f>
        <x:v>DataFlow</x:v>
      </x:c>
      <x:c r="N178" s="29" t="str">
        <x:f>INDEX('Prompt Totals'!$D$7:$D$246,MATCH($A178,'Prompt Totals'!$A$7:$A$246,0))</x:f>
        <x:v>Lite</x:v>
      </x:c>
      <x:c r="O178" s="29" t="n">
        <x:f>INDEX('Prompt Totals'!$E$7:$E$246,MATCH($A178,'Prompt Totals'!$A$7:$A$246,0))</x:f>
        <x:v>240206</x:v>
      </x:c>
      <x:c r="P178" s="29" t="n">
        <x:f>INDEX('Prompt Totals'!$F$7:$F$246,MATCH($A178,'Prompt Totals'!$A$7:$A$246,0))</x:f>
        <x:v>94964</x:v>
      </x:c>
      <x:c r="Q178" s="29" t="n">
        <x:f>INDEX('Prompt Totals'!$G$7:$G$246,MATCH($A178,'Prompt Totals'!$A$7:$A$246,0))</x:f>
        <x:v>335170</x:v>
      </x:c>
      <x:c r="R178" s="29" t="n">
        <x:f>INDEX('Prompt Totals'!$H$7:$H$246,MATCH($A178,'Prompt Totals'!$A$7:$A$246,0))</x:f>
        <x:v>16</x:v>
      </x:c>
      <x:c r="S178" s="30" t="n">
        <x:f>INDEX('Prompt Totals'!$I$7:$I$246,MATCH($A178,'Prompt Totals'!$A$7:$A$246,0))</x:f>
        <x:v>2.4020599999999996</x:v>
      </x:c>
      <x:c r="T178" s="30" t="n">
        <x:f>INDEX('Prompt Totals'!$J$7:$J$246,MATCH($A178,'Prompt Totals'!$A$7:$A$246,0))</x:f>
        <x:v>2.84892</x:v>
      </x:c>
      <x:c r="U178" s="30" t="n">
        <x:f>INDEX('Prompt Totals'!$K$7:$K$246,MATCH($A178,'Prompt Totals'!$A$7:$A$246,0))</x:f>
        <x:v>5.250979999999999</x:v>
      </x:c>
      <x:c r="V178" s="29" t="n">
        <x:f>INDEX('Prompt Totals'!$L$7:$L$246,MATCH($A178,'Prompt Totals'!$A$7:$A$246,0))</x:f>
        <x:v>1</x:v>
      </x:c>
      <x:c r="W178" s="29" t="n">
        <x:f>INDEX('Prompt Totals'!$M$7:$M$246,MATCH($A178,'Prompt Totals'!$A$7:$A$246,0))</x:f>
        <x:v>12</x:v>
      </x:c>
      <x:c r="X178" s="29" t="n">
        <x:f>INDEX('Prompt Totals'!$N$7:$N$246,MATCH($A178,'Prompt Totals'!$A$7:$A$246,0))</x:f>
        <x:v>3</x:v>
      </x:c>
      <x:c r="Y178" s="19" t="n">
        <x:f>G178-H178</x:f>
        <x:v>-0.15000000000000036</x:v>
      </x:c>
      <x:c r="Z178" s="30" t="n">
        <x:f>Y178*'Solution'!$C$5</x:f>
        <x:v>-7.500000000000018</x:v>
      </x:c>
      <x:c r="AA178" s="22" t="n">
        <x:f>Z178-U178</x:f>
        <x:v>-12.750980000000016</x:v>
      </x:c>
    </x:row>
    <x:row r="179" ht="23" customHeight="1">
      <x:c r="A179" s="17" t="str">
        <x:v>W0173</x:v>
      </x:c>
      <x:c r="B179" s="18" t="n">
        <x:v>46289</x:v>
      </x:c>
      <x:c r="C179" s="17" t="str">
        <x:v>C003</x:v>
      </x:c>
      <x:c r="D179" s="17" t="str">
        <x:v>Analytics</x:v>
      </x:c>
      <x:c r="E179" s="17" t="str">
        <x:v>Quinn Parker</x:v>
      </x:c>
      <x:c r="F179" s="17" t="str">
        <x:v>Summarize audience insights</x:v>
      </x:c>
      <x:c r="G179" s="20" t="n">
        <x:v>4.43</x:v>
      </x:c>
      <x:c r="H179" s="20" t="n">
        <x:v>2.05</x:v>
      </x:c>
      <x:c r="I179" s="20" t="n">
        <x:v>0.14</x:v>
      </x:c>
      <x:c r="J179" s="17" t="str">
        <x:v>None</x:v>
      </x:c>
      <x:c r="K179" s="17" t="str">
        <x:v>No</x:v>
      </x:c>
      <x:c r="L179" s="17" t="str">
        <x:v>Yes</x:v>
      </x:c>
      <x:c r="M179" s="29" t="str">
        <x:f>INDEX('Prompt Totals'!$C$7:$C$246,MATCH($A179,'Prompt Totals'!$A$7:$A$246,0))</x:f>
        <x:v>InsightDesk</x:v>
      </x:c>
      <x:c r="N179" s="29" t="str">
        <x:f>INDEX('Prompt Totals'!$D$7:$D$246,MATCH($A179,'Prompt Totals'!$A$7:$A$246,0))</x:f>
        <x:v>Pro</x:v>
      </x:c>
      <x:c r="O179" s="29" t="n">
        <x:f>INDEX('Prompt Totals'!$E$7:$E$246,MATCH($A179,'Prompt Totals'!$A$7:$A$246,0))</x:f>
        <x:v>206419</x:v>
      </x:c>
      <x:c r="P179" s="29" t="n">
        <x:f>INDEX('Prompt Totals'!$F$7:$F$246,MATCH($A179,'Prompt Totals'!$A$7:$A$246,0))</x:f>
        <x:v>94862</x:v>
      </x:c>
      <x:c r="Q179" s="29" t="n">
        <x:f>INDEX('Prompt Totals'!$G$7:$G$246,MATCH($A179,'Prompt Totals'!$A$7:$A$246,0))</x:f>
        <x:v>301281</x:v>
      </x:c>
      <x:c r="R179" s="29" t="n">
        <x:f>INDEX('Prompt Totals'!$H$7:$H$246,MATCH($A179,'Prompt Totals'!$A$7:$A$246,0))</x:f>
        <x:v>13</x:v>
      </x:c>
      <x:c r="S179" s="30" t="n">
        <x:f>INDEX('Prompt Totals'!$I$7:$I$246,MATCH($A179,'Prompt Totals'!$A$7:$A$246,0))</x:f>
        <x:v>8.25676</x:v>
      </x:c>
      <x:c r="T179" s="30" t="n">
        <x:f>INDEX('Prompt Totals'!$J$7:$J$246,MATCH($A179,'Prompt Totals'!$A$7:$A$246,0))</x:f>
        <x:v>9.4862</x:v>
      </x:c>
      <x:c r="U179" s="30" t="n">
        <x:f>INDEX('Prompt Totals'!$K$7:$K$246,MATCH($A179,'Prompt Totals'!$A$7:$A$246,0))</x:f>
        <x:v>17.74296</x:v>
      </x:c>
      <x:c r="V179" s="29" t="n">
        <x:f>INDEX('Prompt Totals'!$L$7:$L$246,MATCH($A179,'Prompt Totals'!$A$7:$A$246,0))</x:f>
        <x:v>1</x:v>
      </x:c>
      <x:c r="W179" s="29" t="n">
        <x:f>INDEX('Prompt Totals'!$M$7:$M$246,MATCH($A179,'Prompt Totals'!$A$7:$A$246,0))</x:f>
        <x:v>9</x:v>
      </x:c>
      <x:c r="X179" s="29" t="n">
        <x:f>INDEX('Prompt Totals'!$N$7:$N$246,MATCH($A179,'Prompt Totals'!$A$7:$A$246,0))</x:f>
        <x:v>3</x:v>
      </x:c>
      <x:c r="Y179" s="19" t="n">
        <x:f>G179-H179</x:f>
        <x:v>2.38</x:v>
      </x:c>
      <x:c r="Z179" s="30" t="n">
        <x:f>Y179*'Solution'!$C$5</x:f>
        <x:v>119</x:v>
      </x:c>
      <x:c r="AA179" s="22" t="n">
        <x:f>Z179-U179</x:f>
        <x:v>101.25704</x:v>
      </x:c>
    </x:row>
    <x:row r="180" ht="23" customHeight="1">
      <x:c r="A180" s="17" t="str">
        <x:v>W0174</x:v>
      </x:c>
      <x:c r="B180" s="18" t="n">
        <x:v>46274</x:v>
      </x:c>
      <x:c r="C180" s="17" t="str">
        <x:v>C003</x:v>
      </x:c>
      <x:c r="D180" s="17" t="str">
        <x:v>Analytics</x:v>
      </x:c>
      <x:c r="E180" s="17" t="str">
        <x:v>Jamie Patel</x:v>
      </x:c>
      <x:c r="F180" s="17" t="str">
        <x:v>Check measurement plan</x:v>
      </x:c>
      <x:c r="G180" s="20" t="n">
        <x:v>4.55</x:v>
      </x:c>
      <x:c r="H180" s="20" t="n">
        <x:v>3.51</x:v>
      </x:c>
      <x:c r="I180" s="20" t="n">
        <x:v>0.14</x:v>
      </x:c>
      <x:c r="J180" s="17" t="str">
        <x:v>None</x:v>
      </x:c>
      <x:c r="K180" s="17" t="str">
        <x:v>No</x:v>
      </x:c>
      <x:c r="L180" s="17" t="str">
        <x:v>Yes</x:v>
      </x:c>
      <x:c r="M180" s="29" t="str">
        <x:f>INDEX('Prompt Totals'!$C$7:$C$246,MATCH($A180,'Prompt Totals'!$A$7:$A$246,0))</x:f>
        <x:v>InsightDesk</x:v>
      </x:c>
      <x:c r="N180" s="29" t="str">
        <x:f>INDEX('Prompt Totals'!$D$7:$D$246,MATCH($A180,'Prompt Totals'!$A$7:$A$246,0))</x:f>
        <x:v>Lite</x:v>
      </x:c>
      <x:c r="O180" s="29" t="n">
        <x:f>INDEX('Prompt Totals'!$E$7:$E$246,MATCH($A180,'Prompt Totals'!$A$7:$A$246,0))</x:f>
        <x:v>244023</x:v>
      </x:c>
      <x:c r="P180" s="29" t="n">
        <x:f>INDEX('Prompt Totals'!$F$7:$F$246,MATCH($A180,'Prompt Totals'!$A$7:$A$246,0))</x:f>
        <x:v>68104</x:v>
      </x:c>
      <x:c r="Q180" s="29" t="n">
        <x:f>INDEX('Prompt Totals'!$G$7:$G$246,MATCH($A180,'Prompt Totals'!$A$7:$A$246,0))</x:f>
        <x:v>312127</x:v>
      </x:c>
      <x:c r="R180" s="29" t="n">
        <x:f>INDEX('Prompt Totals'!$H$7:$H$246,MATCH($A180,'Prompt Totals'!$A$7:$A$246,0))</x:f>
        <x:v>10</x:v>
      </x:c>
      <x:c r="S180" s="30" t="n">
        <x:f>INDEX('Prompt Totals'!$I$7:$I$246,MATCH($A180,'Prompt Totals'!$A$7:$A$246,0))</x:f>
        <x:v>2.44023</x:v>
      </x:c>
      <x:c r="T180" s="30" t="n">
        <x:f>INDEX('Prompt Totals'!$J$7:$J$246,MATCH($A180,'Prompt Totals'!$A$7:$A$246,0))</x:f>
        <x:v>2.04312</x:v>
      </x:c>
      <x:c r="U180" s="30" t="n">
        <x:f>INDEX('Prompt Totals'!$K$7:$K$246,MATCH($A180,'Prompt Totals'!$A$7:$A$246,0))</x:f>
        <x:v>4.48335</x:v>
      </x:c>
      <x:c r="V180" s="29" t="n">
        <x:f>INDEX('Prompt Totals'!$L$7:$L$246,MATCH($A180,'Prompt Totals'!$A$7:$A$246,0))</x:f>
        <x:v>1</x:v>
      </x:c>
      <x:c r="W180" s="29" t="n">
        <x:f>INDEX('Prompt Totals'!$M$7:$M$246,MATCH($A180,'Prompt Totals'!$A$7:$A$246,0))</x:f>
        <x:v>7</x:v>
      </x:c>
      <x:c r="X180" s="29" t="n">
        <x:f>INDEX('Prompt Totals'!$N$7:$N$246,MATCH($A180,'Prompt Totals'!$A$7:$A$246,0))</x:f>
        <x:v>2</x:v>
      </x:c>
      <x:c r="Y180" s="19" t="n">
        <x:f>G180-H180</x:f>
        <x:v>1.04</x:v>
      </x:c>
      <x:c r="Z180" s="30" t="n">
        <x:f>Y180*'Solution'!$C$5</x:f>
        <x:v>52</x:v>
      </x:c>
      <x:c r="AA180" s="22" t="n">
        <x:f>Z180-U180</x:f>
        <x:v>47.51665</x:v>
      </x:c>
    </x:row>
    <x:row r="181" ht="23" customHeight="1">
      <x:c r="A181" s="17" t="str">
        <x:v>W0175</x:v>
      </x:c>
      <x:c r="B181" s="18" t="n">
        <x:v>46283</x:v>
      </x:c>
      <x:c r="C181" s="17" t="str">
        <x:v>C003</x:v>
      </x:c>
      <x:c r="D181" s="17" t="str">
        <x:v>Content</x:v>
      </x:c>
      <x:c r="E181" s="17" t="str">
        <x:v>Avery Morgan</x:v>
      </x:c>
      <x:c r="F181" s="17" t="str">
        <x:v>Write ad copy</x:v>
      </x:c>
      <x:c r="G181" s="20" t="n">
        <x:v>2.52</x:v>
      </x:c>
      <x:c r="H181" s="20" t="n">
        <x:v>2.61</x:v>
      </x:c>
      <x:c r="I181" s="20" t="n">
        <x:v>0.13</x:v>
      </x:c>
      <x:c r="J181" s="17" t="str">
        <x:v>Data problem</x:v>
      </x:c>
      <x:c r="K181" s="17" t="str">
        <x:v>No</x:v>
      </x:c>
      <x:c r="L181" s="17" t="str">
        <x:v>Yes</x:v>
      </x:c>
      <x:c r="M181" s="29" t="str">
        <x:f>INDEX('Prompt Totals'!$C$7:$C$246,MATCH($A181,'Prompt Totals'!$A$7:$A$246,0))</x:f>
        <x:v>CopyStudio</x:v>
      </x:c>
      <x:c r="N181" s="29" t="str">
        <x:f>INDEX('Prompt Totals'!$D$7:$D$246,MATCH($A181,'Prompt Totals'!$A$7:$A$246,0))</x:f>
        <x:v>Lite</x:v>
      </x:c>
      <x:c r="O181" s="29" t="n">
        <x:f>INDEX('Prompt Totals'!$E$7:$E$246,MATCH($A181,'Prompt Totals'!$A$7:$A$246,0))</x:f>
        <x:v>494375</x:v>
      </x:c>
      <x:c r="P181" s="29" t="n">
        <x:f>INDEX('Prompt Totals'!$F$7:$F$246,MATCH($A181,'Prompt Totals'!$A$7:$A$246,0))</x:f>
        <x:v>140615</x:v>
      </x:c>
      <x:c r="Q181" s="29" t="n">
        <x:f>INDEX('Prompt Totals'!$G$7:$G$246,MATCH($A181,'Prompt Totals'!$A$7:$A$246,0))</x:f>
        <x:v>634990</x:v>
      </x:c>
      <x:c r="R181" s="29" t="n">
        <x:f>INDEX('Prompt Totals'!$H$7:$H$246,MATCH($A181,'Prompt Totals'!$A$7:$A$246,0))</x:f>
        <x:v>19</x:v>
      </x:c>
      <x:c r="S181" s="30" t="n">
        <x:f>INDEX('Prompt Totals'!$I$7:$I$246,MATCH($A181,'Prompt Totals'!$A$7:$A$246,0))</x:f>
        <x:v>4.9437500000000005</x:v>
      </x:c>
      <x:c r="T181" s="30" t="n">
        <x:f>INDEX('Prompt Totals'!$J$7:$J$246,MATCH($A181,'Prompt Totals'!$A$7:$A$246,0))</x:f>
        <x:v>4.218450000000001</x:v>
      </x:c>
      <x:c r="U181" s="30" t="n">
        <x:f>INDEX('Prompt Totals'!$K$7:$K$246,MATCH($A181,'Prompt Totals'!$A$7:$A$246,0))</x:f>
        <x:v>9.162199999999999</x:v>
      </x:c>
      <x:c r="V181" s="29" t="n">
        <x:f>INDEX('Prompt Totals'!$L$7:$L$246,MATCH($A181,'Prompt Totals'!$A$7:$A$246,0))</x:f>
        <x:v>1</x:v>
      </x:c>
      <x:c r="W181" s="29" t="n">
        <x:f>INDEX('Prompt Totals'!$M$7:$M$246,MATCH($A181,'Prompt Totals'!$A$7:$A$246,0))</x:f>
        <x:v>15</x:v>
      </x:c>
      <x:c r="X181" s="29" t="n">
        <x:f>INDEX('Prompt Totals'!$N$7:$N$246,MATCH($A181,'Prompt Totals'!$A$7:$A$246,0))</x:f>
        <x:v>3</x:v>
      </x:c>
      <x:c r="Y181" s="19" t="n">
        <x:f>G181-H181</x:f>
        <x:v>-0.08999999999999986</x:v>
      </x:c>
      <x:c r="Z181" s="30" t="n">
        <x:f>Y181*'Solution'!$C$5</x:f>
        <x:v>-4.499999999999993</x:v>
      </x:c>
      <x:c r="AA181" s="22" t="n">
        <x:f>Z181-U181</x:f>
        <x:v>-13.662199999999991</x:v>
      </x:c>
    </x:row>
    <x:row r="182" ht="23" customHeight="1">
      <x:c r="A182" s="17" t="str">
        <x:v>W0176</x:v>
      </x:c>
      <x:c r="B182" s="18" t="n">
        <x:v>46294</x:v>
      </x:c>
      <x:c r="C182" s="17" t="str">
        <x:v>C003</x:v>
      </x:c>
      <x:c r="D182" s="17" t="str">
        <x:v>Content</x:v>
      </x:c>
      <x:c r="E182" s="17" t="str">
        <x:v>Jordan Ellis</x:v>
      </x:c>
      <x:c r="F182" s="17" t="str">
        <x:v>Draft email sequence</x:v>
      </x:c>
      <x:c r="G182" s="20" t="n">
        <x:v>2.49</x:v>
      </x:c>
      <x:c r="H182" s="20" t="n">
        <x:v>1.56</x:v>
      </x:c>
      <x:c r="I182" s="20" t="n">
        <x:v>0.1</x:v>
      </x:c>
      <x:c r="J182" s="17" t="str">
        <x:v>None</x:v>
      </x:c>
      <x:c r="K182" s="17" t="str">
        <x:v>No</x:v>
      </x:c>
      <x:c r="L182" s="17" t="str">
        <x:v>Yes</x:v>
      </x:c>
      <x:c r="M182" s="29" t="str">
        <x:f>INDEX('Prompt Totals'!$C$7:$C$246,MATCH($A182,'Prompt Totals'!$A$7:$A$246,0))</x:f>
        <x:v>CopyStudio</x:v>
      </x:c>
      <x:c r="N182" s="29" t="str">
        <x:f>INDEX('Prompt Totals'!$D$7:$D$246,MATCH($A182,'Prompt Totals'!$A$7:$A$246,0))</x:f>
        <x:v>Pro</x:v>
      </x:c>
      <x:c r="O182" s="29" t="n">
        <x:f>INDEX('Prompt Totals'!$E$7:$E$246,MATCH($A182,'Prompt Totals'!$A$7:$A$246,0))</x:f>
        <x:v>396801</x:v>
      </x:c>
      <x:c r="P182" s="29" t="n">
        <x:f>INDEX('Prompt Totals'!$F$7:$F$246,MATCH($A182,'Prompt Totals'!$A$7:$A$246,0))</x:f>
        <x:v>88254</x:v>
      </x:c>
      <x:c r="Q182" s="29" t="n">
        <x:f>INDEX('Prompt Totals'!$G$7:$G$246,MATCH($A182,'Prompt Totals'!$A$7:$A$246,0))</x:f>
        <x:v>485055</x:v>
      </x:c>
      <x:c r="R182" s="29" t="n">
        <x:f>INDEX('Prompt Totals'!$H$7:$H$246,MATCH($A182,'Prompt Totals'!$A$7:$A$246,0))</x:f>
        <x:v>14</x:v>
      </x:c>
      <x:c r="S182" s="30" t="n">
        <x:f>INDEX('Prompt Totals'!$I$7:$I$246,MATCH($A182,'Prompt Totals'!$A$7:$A$246,0))</x:f>
        <x:v>15.872039999999998</x:v>
      </x:c>
      <x:c r="T182" s="30" t="n">
        <x:f>INDEX('Prompt Totals'!$J$7:$J$246,MATCH($A182,'Prompt Totals'!$A$7:$A$246,0))</x:f>
        <x:v>8.8254</x:v>
      </x:c>
      <x:c r="U182" s="30" t="n">
        <x:f>INDEX('Prompt Totals'!$K$7:$K$246,MATCH($A182,'Prompt Totals'!$A$7:$A$246,0))</x:f>
        <x:v>24.69744</x:v>
      </x:c>
      <x:c r="V182" s="29" t="n">
        <x:f>INDEX('Prompt Totals'!$L$7:$L$246,MATCH($A182,'Prompt Totals'!$A$7:$A$246,0))</x:f>
        <x:v>1</x:v>
      </x:c>
      <x:c r="W182" s="29" t="n">
        <x:f>INDEX('Prompt Totals'!$M$7:$M$246,MATCH($A182,'Prompt Totals'!$A$7:$A$246,0))</x:f>
        <x:v>9</x:v>
      </x:c>
      <x:c r="X182" s="29" t="n">
        <x:f>INDEX('Prompt Totals'!$N$7:$N$246,MATCH($A182,'Prompt Totals'!$A$7:$A$246,0))</x:f>
        <x:v>4</x:v>
      </x:c>
      <x:c r="Y182" s="19" t="n">
        <x:f>G182-H182</x:f>
        <x:v>0.9300000000000002</x:v>
      </x:c>
      <x:c r="Z182" s="30" t="n">
        <x:f>Y182*'Solution'!$C$5</x:f>
        <x:v>46.50000000000001</x:v>
      </x:c>
      <x:c r="AA182" s="22" t="n">
        <x:f>Z182-U182</x:f>
        <x:v>21.802560000000007</x:v>
      </x:c>
    </x:row>
    <x:row r="183" ht="23" customHeight="1">
      <x:c r="A183" s="17" t="str">
        <x:v>W0177</x:v>
      </x:c>
      <x:c r="B183" s="18" t="n">
        <x:v>46279</x:v>
      </x:c>
      <x:c r="C183" s="17" t="str">
        <x:v>C003</x:v>
      </x:c>
      <x:c r="D183" s="17" t="str">
        <x:v>Creative</x:v>
      </x:c>
      <x:c r="E183" s="17" t="str">
        <x:v>Riley Chen</x:v>
      </x:c>
      <x:c r="F183" s="17" t="str">
        <x:v>Plan visual narrative</x:v>
      </x:c>
      <x:c r="G183" s="20" t="n">
        <x:v>2.52</x:v>
      </x:c>
      <x:c r="H183" s="20" t="n">
        <x:v>1.44</x:v>
      </x:c>
      <x:c r="I183" s="20" t="n">
        <x:v>0.14</x:v>
      </x:c>
      <x:c r="J183" s="17" t="str">
        <x:v>None</x:v>
      </x:c>
      <x:c r="K183" s="17" t="str">
        <x:v>No</x:v>
      </x:c>
      <x:c r="L183" s="17" t="str">
        <x:v>No</x:v>
      </x:c>
      <x:c r="M183" s="29" t="str">
        <x:f>INDEX('Prompt Totals'!$C$7:$C$246,MATCH($A183,'Prompt Totals'!$A$7:$A$246,0))</x:f>
        <x:v>CampaignChat</x:v>
      </x:c>
      <x:c r="N183" s="29" t="str">
        <x:f>INDEX('Prompt Totals'!$D$7:$D$246,MATCH($A183,'Prompt Totals'!$A$7:$A$246,0))</x:f>
        <x:v>Lite</x:v>
      </x:c>
      <x:c r="O183" s="29" t="n">
        <x:f>INDEX('Prompt Totals'!$E$7:$E$246,MATCH($A183,'Prompt Totals'!$A$7:$A$246,0))</x:f>
        <x:v>387989</x:v>
      </x:c>
      <x:c r="P183" s="29" t="n">
        <x:f>INDEX('Prompt Totals'!$F$7:$F$246,MATCH($A183,'Prompt Totals'!$A$7:$A$246,0))</x:f>
        <x:v>34670</x:v>
      </x:c>
      <x:c r="Q183" s="29" t="n">
        <x:f>INDEX('Prompt Totals'!$G$7:$G$246,MATCH($A183,'Prompt Totals'!$A$7:$A$246,0))</x:f>
        <x:v>422659</x:v>
      </x:c>
      <x:c r="R183" s="29" t="n">
        <x:f>INDEX('Prompt Totals'!$H$7:$H$246,MATCH($A183,'Prompt Totals'!$A$7:$A$246,0))</x:f>
        <x:v>11</x:v>
      </x:c>
      <x:c r="S183" s="30" t="n">
        <x:f>INDEX('Prompt Totals'!$I$7:$I$246,MATCH($A183,'Prompt Totals'!$A$7:$A$246,0))</x:f>
        <x:v>3.87989</x:v>
      </x:c>
      <x:c r="T183" s="30" t="n">
        <x:f>INDEX('Prompt Totals'!$J$7:$J$246,MATCH($A183,'Prompt Totals'!$A$7:$A$246,0))</x:f>
        <x:v>1.0401</x:v>
      </x:c>
      <x:c r="U183" s="30" t="n">
        <x:f>INDEX('Prompt Totals'!$K$7:$K$246,MATCH($A183,'Prompt Totals'!$A$7:$A$246,0))</x:f>
        <x:v>4.91999</x:v>
      </x:c>
      <x:c r="V183" s="29" t="n">
        <x:f>INDEX('Prompt Totals'!$L$7:$L$246,MATCH($A183,'Prompt Totals'!$A$7:$A$246,0))</x:f>
        <x:v>1</x:v>
      </x:c>
      <x:c r="W183" s="29" t="n">
        <x:f>INDEX('Prompt Totals'!$M$7:$M$246,MATCH($A183,'Prompt Totals'!$A$7:$A$246,0))</x:f>
        <x:v>7</x:v>
      </x:c>
      <x:c r="X183" s="29" t="n">
        <x:f>INDEX('Prompt Totals'!$N$7:$N$246,MATCH($A183,'Prompt Totals'!$A$7:$A$246,0))</x:f>
        <x:v>3</x:v>
      </x:c>
      <x:c r="Y183" s="19" t="n">
        <x:f>G183-H183</x:f>
        <x:v>1.08</x:v>
      </x:c>
      <x:c r="Z183" s="30" t="n">
        <x:f>Y183*'Solution'!$C$5</x:f>
        <x:v>54</x:v>
      </x:c>
      <x:c r="AA183" s="22" t="n">
        <x:f>Z183-U183</x:f>
        <x:v>49.08001</x:v>
      </x:c>
    </x:row>
    <x:row r="184" ht="23" customHeight="1">
      <x:c r="A184" s="17" t="str">
        <x:v>W0178</x:v>
      </x:c>
      <x:c r="B184" s="18" t="n">
        <x:v>46288</x:v>
      </x:c>
      <x:c r="C184" s="17" t="str">
        <x:v>C003</x:v>
      </x:c>
      <x:c r="D184" s="17" t="str">
        <x:v>Creative</x:v>
      </x:c>
      <x:c r="E184" s="17" t="str">
        <x:v>Taylor Brooks</x:v>
      </x:c>
      <x:c r="F184" s="17" t="str">
        <x:v>Develop concept brief</x:v>
      </x:c>
      <x:c r="G184" s="20" t="n">
        <x:v>4.33</x:v>
      </x:c>
      <x:c r="H184" s="20" t="n">
        <x:v>2.84</x:v>
      </x:c>
      <x:c r="I184" s="20" t="n">
        <x:v>0.4</x:v>
      </x:c>
      <x:c r="J184" s="17" t="str">
        <x:v>Brief changed</x:v>
      </x:c>
      <x:c r="K184" s="17" t="str">
        <x:v>Yes</x:v>
      </x:c>
      <x:c r="L184" s="17" t="str">
        <x:v>Yes</x:v>
      </x:c>
      <x:c r="M184" s="29" t="str">
        <x:f>INDEX('Prompt Totals'!$C$7:$C$246,MATCH($A184,'Prompt Totals'!$A$7:$A$246,0))</x:f>
        <x:v>CampaignChat</x:v>
      </x:c>
      <x:c r="N184" s="29" t="str">
        <x:f>INDEX('Prompt Totals'!$D$7:$D$246,MATCH($A184,'Prompt Totals'!$A$7:$A$246,0))</x:f>
        <x:v>Lite</x:v>
      </x:c>
      <x:c r="O184" s="29" t="n">
        <x:f>INDEX('Prompt Totals'!$E$7:$E$246,MATCH($A184,'Prompt Totals'!$A$7:$A$246,0))</x:f>
        <x:v>292505</x:v>
      </x:c>
      <x:c r="P184" s="29" t="n">
        <x:f>INDEX('Prompt Totals'!$F$7:$F$246,MATCH($A184,'Prompt Totals'!$A$7:$A$246,0))</x:f>
        <x:v>87929</x:v>
      </x:c>
      <x:c r="Q184" s="29" t="n">
        <x:f>INDEX('Prompt Totals'!$G$7:$G$246,MATCH($A184,'Prompt Totals'!$A$7:$A$246,0))</x:f>
        <x:v>380434</x:v>
      </x:c>
      <x:c r="R184" s="29" t="n">
        <x:f>INDEX('Prompt Totals'!$H$7:$H$246,MATCH($A184,'Prompt Totals'!$A$7:$A$246,0))</x:f>
        <x:v>13</x:v>
      </x:c>
      <x:c r="S184" s="30" t="n">
        <x:f>INDEX('Prompt Totals'!$I$7:$I$246,MATCH($A184,'Prompt Totals'!$A$7:$A$246,0))</x:f>
        <x:v>2.9250499999999997</x:v>
      </x:c>
      <x:c r="T184" s="30" t="n">
        <x:f>INDEX('Prompt Totals'!$J$7:$J$246,MATCH($A184,'Prompt Totals'!$A$7:$A$246,0))</x:f>
        <x:v>2.6378700000000004</x:v>
      </x:c>
      <x:c r="U184" s="30" t="n">
        <x:f>INDEX('Prompt Totals'!$K$7:$K$246,MATCH($A184,'Prompt Totals'!$A$7:$A$246,0))</x:f>
        <x:v>5.56292</x:v>
      </x:c>
      <x:c r="V184" s="29" t="n">
        <x:f>INDEX('Prompt Totals'!$L$7:$L$246,MATCH($A184,'Prompt Totals'!$A$7:$A$246,0))</x:f>
        <x:v>1</x:v>
      </x:c>
      <x:c r="W184" s="29" t="n">
        <x:f>INDEX('Prompt Totals'!$M$7:$M$246,MATCH($A184,'Prompt Totals'!$A$7:$A$246,0))</x:f>
        <x:v>9</x:v>
      </x:c>
      <x:c r="X184" s="29" t="n">
        <x:f>INDEX('Prompt Totals'!$N$7:$N$246,MATCH($A184,'Prompt Totals'!$A$7:$A$246,0))</x:f>
        <x:v>3</x:v>
      </x:c>
      <x:c r="Y184" s="19" t="n">
        <x:f>G184-H184</x:f>
        <x:v>1.4900000000000002</x:v>
      </x:c>
      <x:c r="Z184" s="30" t="n">
        <x:f>Y184*'Solution'!$C$5</x:f>
        <x:v>74.50000000000001</x:v>
      </x:c>
      <x:c r="AA184" s="22" t="n">
        <x:f>Z184-U184</x:f>
        <x:v>68.93708000000001</x:v>
      </x:c>
    </x:row>
    <x:row r="185" ht="23" customHeight="1">
      <x:c r="A185" s="17" t="str">
        <x:v>W0179</x:v>
      </x:c>
      <x:c r="B185" s="18" t="n">
        <x:v>46273</x:v>
      </x:c>
      <x:c r="C185" s="17" t="str">
        <x:v>C003</x:v>
      </x:c>
      <x:c r="D185" s="17" t="str">
        <x:v>Marketing Operations</x:v>
      </x:c>
      <x:c r="E185" s="17" t="str">
        <x:v>Casey Rivera</x:v>
      </x:c>
      <x:c r="F185" s="17" t="str">
        <x:v>Clean audience data</x:v>
      </x:c>
      <x:c r="G185" s="20" t="n">
        <x:v>3.55</x:v>
      </x:c>
      <x:c r="H185" s="20" t="n">
        <x:v>3.08</x:v>
      </x:c>
      <x:c r="I185" s="20" t="n">
        <x:v>0.15</x:v>
      </x:c>
      <x:c r="J185" s="17" t="str">
        <x:v>None</x:v>
      </x:c>
      <x:c r="K185" s="17" t="str">
        <x:v>No</x:v>
      </x:c>
      <x:c r="L185" s="17" t="str">
        <x:v>Yes</x:v>
      </x:c>
      <x:c r="M185" s="29" t="str">
        <x:f>INDEX('Prompt Totals'!$C$7:$C$246,MATCH($A185,'Prompt Totals'!$A$7:$A$246,0))</x:f>
        <x:v>DataFlow</x:v>
      </x:c>
      <x:c r="N185" s="29" t="str">
        <x:f>INDEX('Prompt Totals'!$D$7:$D$246,MATCH($A185,'Prompt Totals'!$A$7:$A$246,0))</x:f>
        <x:v>Lite</x:v>
      </x:c>
      <x:c r="O185" s="29" t="n">
        <x:f>INDEX('Prompt Totals'!$E$7:$E$246,MATCH($A185,'Prompt Totals'!$A$7:$A$246,0))</x:f>
        <x:v>319431</x:v>
      </x:c>
      <x:c r="P185" s="29" t="n">
        <x:f>INDEX('Prompt Totals'!$F$7:$F$246,MATCH($A185,'Prompt Totals'!$A$7:$A$246,0))</x:f>
        <x:v>48327</x:v>
      </x:c>
      <x:c r="Q185" s="29" t="n">
        <x:f>INDEX('Prompt Totals'!$G$7:$G$246,MATCH($A185,'Prompt Totals'!$A$7:$A$246,0))</x:f>
        <x:v>367758</x:v>
      </x:c>
      <x:c r="R185" s="29" t="n">
        <x:f>INDEX('Prompt Totals'!$H$7:$H$246,MATCH($A185,'Prompt Totals'!$A$7:$A$246,0))</x:f>
        <x:v>12</x:v>
      </x:c>
      <x:c r="S185" s="30" t="n">
        <x:f>INDEX('Prompt Totals'!$I$7:$I$246,MATCH($A185,'Prompt Totals'!$A$7:$A$246,0))</x:f>
        <x:v>3.194310000000001</x:v>
      </x:c>
      <x:c r="T185" s="30" t="n">
        <x:f>INDEX('Prompt Totals'!$J$7:$J$246,MATCH($A185,'Prompt Totals'!$A$7:$A$246,0))</x:f>
        <x:v>1.44981</x:v>
      </x:c>
      <x:c r="U185" s="30" t="n">
        <x:f>INDEX('Prompt Totals'!$K$7:$K$246,MATCH($A185,'Prompt Totals'!$A$7:$A$246,0))</x:f>
        <x:v>4.644120000000001</x:v>
      </x:c>
      <x:c r="V185" s="29" t="n">
        <x:f>INDEX('Prompt Totals'!$L$7:$L$246,MATCH($A185,'Prompt Totals'!$A$7:$A$246,0))</x:f>
        <x:v>1</x:v>
      </x:c>
      <x:c r="W185" s="29" t="n">
        <x:f>INDEX('Prompt Totals'!$M$7:$M$246,MATCH($A185,'Prompt Totals'!$A$7:$A$246,0))</x:f>
        <x:v>9</x:v>
      </x:c>
      <x:c r="X185" s="29" t="n">
        <x:f>INDEX('Prompt Totals'!$N$7:$N$246,MATCH($A185,'Prompt Totals'!$A$7:$A$246,0))</x:f>
        <x:v>2</x:v>
      </x:c>
      <x:c r="Y185" s="19" t="n">
        <x:f>G185-H185</x:f>
        <x:v>0.46999999999999975</x:v>
      </x:c>
      <x:c r="Z185" s="30" t="n">
        <x:f>Y185*'Solution'!$C$5</x:f>
        <x:v>23.499999999999986</x:v>
      </x:c>
      <x:c r="AA185" s="22" t="n">
        <x:f>Z185-U185</x:f>
        <x:v>18.855879999999985</x:v>
      </x:c>
    </x:row>
    <x:row r="186" ht="23" customHeight="1">
      <x:c r="A186" s="17" t="str">
        <x:v>W0180</x:v>
      </x:c>
      <x:c r="B186" s="18" t="n">
        <x:v>46282</x:v>
      </x:c>
      <x:c r="C186" s="17" t="str">
        <x:v>C003</x:v>
      </x:c>
      <x:c r="D186" s="17" t="str">
        <x:v>Marketing Operations</x:v>
      </x:c>
      <x:c r="E186" s="17" t="str">
        <x:v>Morgan Reed</x:v>
      </x:c>
      <x:c r="F186" s="17" t="str">
        <x:v>Prepare launch checklist</x:v>
      </x:c>
      <x:c r="G186" s="20" t="n">
        <x:v>4.1</x:v>
      </x:c>
      <x:c r="H186" s="20" t="n">
        <x:v>2.19</x:v>
      </x:c>
      <x:c r="I186" s="20" t="n">
        <x:v>0.11</x:v>
      </x:c>
      <x:c r="J186" s="17" t="str">
        <x:v>None</x:v>
      </x:c>
      <x:c r="K186" s="17" t="str">
        <x:v>No</x:v>
      </x:c>
      <x:c r="L186" s="17" t="str">
        <x:v>No</x:v>
      </x:c>
      <x:c r="M186" s="29" t="str">
        <x:f>INDEX('Prompt Totals'!$C$7:$C$246,MATCH($A186,'Prompt Totals'!$A$7:$A$246,0))</x:f>
        <x:v>InsightDesk</x:v>
      </x:c>
      <x:c r="N186" s="29" t="str">
        <x:f>INDEX('Prompt Totals'!$D$7:$D$246,MATCH($A186,'Prompt Totals'!$A$7:$A$246,0))</x:f>
        <x:v>Lite</x:v>
      </x:c>
      <x:c r="O186" s="29" t="n">
        <x:f>INDEX('Prompt Totals'!$E$7:$E$246,MATCH($A186,'Prompt Totals'!$A$7:$A$246,0))</x:f>
        <x:v>477992</x:v>
      </x:c>
      <x:c r="P186" s="29" t="n">
        <x:f>INDEX('Prompt Totals'!$F$7:$F$246,MATCH($A186,'Prompt Totals'!$A$7:$A$246,0))</x:f>
        <x:v>103330</x:v>
      </x:c>
      <x:c r="Q186" s="29" t="n">
        <x:f>INDEX('Prompt Totals'!$G$7:$G$246,MATCH($A186,'Prompt Totals'!$A$7:$A$246,0))</x:f>
        <x:v>581322</x:v>
      </x:c>
      <x:c r="R186" s="29" t="n">
        <x:f>INDEX('Prompt Totals'!$H$7:$H$246,MATCH($A186,'Prompt Totals'!$A$7:$A$246,0))</x:f>
        <x:v>14</x:v>
      </x:c>
      <x:c r="S186" s="30" t="n">
        <x:f>INDEX('Prompt Totals'!$I$7:$I$246,MATCH($A186,'Prompt Totals'!$A$7:$A$246,0))</x:f>
        <x:v>4.779920000000001</x:v>
      </x:c>
      <x:c r="T186" s="30" t="n">
        <x:f>INDEX('Prompt Totals'!$J$7:$J$246,MATCH($A186,'Prompt Totals'!$A$7:$A$246,0))</x:f>
        <x:v>3.0999000000000003</x:v>
      </x:c>
      <x:c r="U186" s="30" t="n">
        <x:f>INDEX('Prompt Totals'!$K$7:$K$246,MATCH($A186,'Prompt Totals'!$A$7:$A$246,0))</x:f>
        <x:v>7.879819999999999</x:v>
      </x:c>
      <x:c r="V186" s="29" t="n">
        <x:f>INDEX('Prompt Totals'!$L$7:$L$246,MATCH($A186,'Prompt Totals'!$A$7:$A$246,0))</x:f>
        <x:v>1</x:v>
      </x:c>
      <x:c r="W186" s="29" t="n">
        <x:f>INDEX('Prompt Totals'!$M$7:$M$246,MATCH($A186,'Prompt Totals'!$A$7:$A$246,0))</x:f>
        <x:v>11</x:v>
      </x:c>
      <x:c r="X186" s="29" t="n">
        <x:f>INDEX('Prompt Totals'!$N$7:$N$246,MATCH($A186,'Prompt Totals'!$A$7:$A$246,0))</x:f>
        <x:v>2</x:v>
      </x:c>
      <x:c r="Y186" s="19" t="n">
        <x:f>G186-H186</x:f>
        <x:v>1.9099999999999997</x:v>
      </x:c>
      <x:c r="Z186" s="30" t="n">
        <x:f>Y186*'Solution'!$C$5</x:f>
        <x:v>95.49999999999999</x:v>
      </x:c>
      <x:c r="AA186" s="22" t="n">
        <x:f>Z186-U186</x:f>
        <x:v>87.62017999999999</x:v>
      </x:c>
    </x:row>
    <x:row r="187" ht="23" customHeight="1">
      <x:c r="A187" s="17" t="str">
        <x:v>W0181</x:v>
      </x:c>
      <x:c r="B187" s="18" t="n">
        <x:v>46288</x:v>
      </x:c>
      <x:c r="C187" s="17" t="str">
        <x:v>C004</x:v>
      </x:c>
      <x:c r="D187" s="17" t="str">
        <x:v>Creative</x:v>
      </x:c>
      <x:c r="E187" s="17" t="str">
        <x:v>Taylor Brooks</x:v>
      </x:c>
      <x:c r="F187" s="17" t="str">
        <x:v>Develop concept brief</x:v>
      </x:c>
      <x:c r="G187" s="20" t="n">
        <x:v>5.11</x:v>
      </x:c>
      <x:c r="H187" s="20" t="n">
        <x:v>3.54</x:v>
      </x:c>
      <x:c r="I187" s="20" t="n">
        <x:v>0.15</x:v>
      </x:c>
      <x:c r="J187" s="17" t="str">
        <x:v>None</x:v>
      </x:c>
      <x:c r="K187" s="17" t="str">
        <x:v>No</x:v>
      </x:c>
      <x:c r="L187" s="17" t="str">
        <x:v>Yes</x:v>
      </x:c>
      <x:c r="M187" s="29" t="str">
        <x:f>INDEX('Prompt Totals'!$C$7:$C$246,MATCH($A187,'Prompt Totals'!$A$7:$A$246,0))</x:f>
        <x:v>CampaignChat</x:v>
      </x:c>
      <x:c r="N187" s="29" t="str">
        <x:f>INDEX('Prompt Totals'!$D$7:$D$246,MATCH($A187,'Prompt Totals'!$A$7:$A$246,0))</x:f>
        <x:v>Pro</x:v>
      </x:c>
      <x:c r="O187" s="29" t="n">
        <x:f>INDEX('Prompt Totals'!$E$7:$E$246,MATCH($A187,'Prompt Totals'!$A$7:$A$246,0))</x:f>
        <x:v>102853</x:v>
      </x:c>
      <x:c r="P187" s="29" t="n">
        <x:f>INDEX('Prompt Totals'!$F$7:$F$246,MATCH($A187,'Prompt Totals'!$A$7:$A$246,0))</x:f>
        <x:v>74201</x:v>
      </x:c>
      <x:c r="Q187" s="29" t="n">
        <x:f>INDEX('Prompt Totals'!$G$7:$G$246,MATCH($A187,'Prompt Totals'!$A$7:$A$246,0))</x:f>
        <x:v>177054</x:v>
      </x:c>
      <x:c r="R187" s="29" t="n">
        <x:f>INDEX('Prompt Totals'!$H$7:$H$246,MATCH($A187,'Prompt Totals'!$A$7:$A$246,0))</x:f>
        <x:v>9</x:v>
      </x:c>
      <x:c r="S187" s="30" t="n">
        <x:f>INDEX('Prompt Totals'!$I$7:$I$246,MATCH($A187,'Prompt Totals'!$A$7:$A$246,0))</x:f>
        <x:v>4.114120000000001</x:v>
      </x:c>
      <x:c r="T187" s="30" t="n">
        <x:f>INDEX('Prompt Totals'!$J$7:$J$246,MATCH($A187,'Prompt Totals'!$A$7:$A$246,0))</x:f>
        <x:v>7.420100000000001</x:v>
      </x:c>
      <x:c r="U187" s="30" t="n">
        <x:f>INDEX('Prompt Totals'!$K$7:$K$246,MATCH($A187,'Prompt Totals'!$A$7:$A$246,0))</x:f>
        <x:v>11.534220000000001</x:v>
      </x:c>
      <x:c r="V187" s="29" t="n">
        <x:f>INDEX('Prompt Totals'!$L$7:$L$246,MATCH($A187,'Prompt Totals'!$A$7:$A$246,0))</x:f>
        <x:v>1</x:v>
      </x:c>
      <x:c r="W187" s="29" t="n">
        <x:f>INDEX('Prompt Totals'!$M$7:$M$246,MATCH($A187,'Prompt Totals'!$A$7:$A$246,0))</x:f>
        <x:v>6</x:v>
      </x:c>
      <x:c r="X187" s="29" t="n">
        <x:f>INDEX('Prompt Totals'!$N$7:$N$246,MATCH($A187,'Prompt Totals'!$A$7:$A$246,0))</x:f>
        <x:v>2</x:v>
      </x:c>
      <x:c r="Y187" s="19" t="n">
        <x:f>G187-H187</x:f>
        <x:v>1.5700000000000003</x:v>
      </x:c>
      <x:c r="Z187" s="30" t="n">
        <x:f>Y187*'Solution'!$C$5</x:f>
        <x:v>78.50000000000001</x:v>
      </x:c>
      <x:c r="AA187" s="22" t="n">
        <x:f>Z187-U187</x:f>
        <x:v>66.96578000000001</x:v>
      </x:c>
    </x:row>
    <x:row r="188" ht="23" customHeight="1">
      <x:c r="A188" s="17" t="str">
        <x:v>W0182</x:v>
      </x:c>
      <x:c r="B188" s="18" t="n">
        <x:v>46273</x:v>
      </x:c>
      <x:c r="C188" s="17" t="str">
        <x:v>C004</x:v>
      </x:c>
      <x:c r="D188" s="17" t="str">
        <x:v>Marketing Operations</x:v>
      </x:c>
      <x:c r="E188" s="17" t="str">
        <x:v>Casey Rivera</x:v>
      </x:c>
      <x:c r="F188" s="17" t="str">
        <x:v>Clean audience data</x:v>
      </x:c>
      <x:c r="G188" s="20" t="n">
        <x:v>4.53</x:v>
      </x:c>
      <x:c r="H188" s="20" t="n">
        <x:v>4.46</x:v>
      </x:c>
      <x:c r="I188" s="20" t="n">
        <x:v>0.05</x:v>
      </x:c>
      <x:c r="J188" s="17" t="str">
        <x:v>None</x:v>
      </x:c>
      <x:c r="K188" s="17" t="str">
        <x:v>No</x:v>
      </x:c>
      <x:c r="L188" s="17" t="str">
        <x:v>Yes</x:v>
      </x:c>
      <x:c r="M188" s="29" t="str">
        <x:f>INDEX('Prompt Totals'!$C$7:$C$246,MATCH($A188,'Prompt Totals'!$A$7:$A$246,0))</x:f>
        <x:v>CampaignChat</x:v>
      </x:c>
      <x:c r="N188" s="29" t="str">
        <x:f>INDEX('Prompt Totals'!$D$7:$D$246,MATCH($A188,'Prompt Totals'!$A$7:$A$246,0))</x:f>
        <x:v>Lite</x:v>
      </x:c>
      <x:c r="O188" s="29" t="n">
        <x:f>INDEX('Prompt Totals'!$E$7:$E$246,MATCH($A188,'Prompt Totals'!$A$7:$A$246,0))</x:f>
        <x:v>272917</x:v>
      </x:c>
      <x:c r="P188" s="29" t="n">
        <x:f>INDEX('Prompt Totals'!$F$7:$F$246,MATCH($A188,'Prompt Totals'!$A$7:$A$246,0))</x:f>
        <x:v>99116</x:v>
      </x:c>
      <x:c r="Q188" s="29" t="n">
        <x:f>INDEX('Prompt Totals'!$G$7:$G$246,MATCH($A188,'Prompt Totals'!$A$7:$A$246,0))</x:f>
        <x:v>372033</x:v>
      </x:c>
      <x:c r="R188" s="29" t="n">
        <x:f>INDEX('Prompt Totals'!$H$7:$H$246,MATCH($A188,'Prompt Totals'!$A$7:$A$246,0))</x:f>
        <x:v>17</x:v>
      </x:c>
      <x:c r="S188" s="30" t="n">
        <x:f>INDEX('Prompt Totals'!$I$7:$I$246,MATCH($A188,'Prompt Totals'!$A$7:$A$246,0))</x:f>
        <x:v>2.72917</x:v>
      </x:c>
      <x:c r="T188" s="30" t="n">
        <x:f>INDEX('Prompt Totals'!$J$7:$J$246,MATCH($A188,'Prompt Totals'!$A$7:$A$246,0))</x:f>
        <x:v>2.9734800000000003</x:v>
      </x:c>
      <x:c r="U188" s="30" t="n">
        <x:f>INDEX('Prompt Totals'!$K$7:$K$246,MATCH($A188,'Prompt Totals'!$A$7:$A$246,0))</x:f>
        <x:v>5.702650000000001</x:v>
      </x:c>
      <x:c r="V188" s="29" t="n">
        <x:f>INDEX('Prompt Totals'!$L$7:$L$246,MATCH($A188,'Prompt Totals'!$A$7:$A$246,0))</x:f>
        <x:v>1</x:v>
      </x:c>
      <x:c r="W188" s="29" t="n">
        <x:f>INDEX('Prompt Totals'!$M$7:$M$246,MATCH($A188,'Prompt Totals'!$A$7:$A$246,0))</x:f>
        <x:v>12</x:v>
      </x:c>
      <x:c r="X188" s="29" t="n">
        <x:f>INDEX('Prompt Totals'!$N$7:$N$246,MATCH($A188,'Prompt Totals'!$A$7:$A$246,0))</x:f>
        <x:v>4</x:v>
      </x:c>
      <x:c r="Y188" s="19" t="n">
        <x:f>G188-H188</x:f>
        <x:v>0.07000000000000028</x:v>
      </x:c>
      <x:c r="Z188" s="30" t="n">
        <x:f>Y188*'Solution'!$C$5</x:f>
        <x:v>3.500000000000014</x:v>
      </x:c>
      <x:c r="AA188" s="22" t="n">
        <x:f>Z188-U188</x:f>
        <x:v>-2.202649999999987</x:v>
      </x:c>
    </x:row>
    <x:row r="189" ht="23" customHeight="1">
      <x:c r="A189" s="17" t="str">
        <x:v>W0183</x:v>
      </x:c>
      <x:c r="B189" s="18" t="n">
        <x:v>46282</x:v>
      </x:c>
      <x:c r="C189" s="17" t="str">
        <x:v>C004</x:v>
      </x:c>
      <x:c r="D189" s="17" t="str">
        <x:v>Marketing Operations</x:v>
      </x:c>
      <x:c r="E189" s="17" t="str">
        <x:v>Morgan Reed</x:v>
      </x:c>
      <x:c r="F189" s="17" t="str">
        <x:v>Prepare launch checklist</x:v>
      </x:c>
      <x:c r="G189" s="20" t="n">
        <x:v>3.82</x:v>
      </x:c>
      <x:c r="H189" s="20" t="n">
        <x:v>4.23</x:v>
      </x:c>
      <x:c r="I189" s="20" t="n">
        <x:v>0.6</x:v>
      </x:c>
      <x:c r="J189" s="17" t="str">
        <x:v>Brief changed</x:v>
      </x:c>
      <x:c r="K189" s="17" t="str">
        <x:v>Yes</x:v>
      </x:c>
      <x:c r="L189" s="17" t="str">
        <x:v>Yes</x:v>
      </x:c>
      <x:c r="M189" s="29" t="str">
        <x:f>INDEX('Prompt Totals'!$C$7:$C$246,MATCH($A189,'Prompt Totals'!$A$7:$A$246,0))</x:f>
        <x:v>CopyStudio</x:v>
      </x:c>
      <x:c r="N189" s="29" t="str">
        <x:f>INDEX('Prompt Totals'!$D$7:$D$246,MATCH($A189,'Prompt Totals'!$A$7:$A$246,0))</x:f>
        <x:v>Lite</x:v>
      </x:c>
      <x:c r="O189" s="29" t="n">
        <x:f>INDEX('Prompt Totals'!$E$7:$E$246,MATCH($A189,'Prompt Totals'!$A$7:$A$246,0))</x:f>
        <x:v>307909</x:v>
      </x:c>
      <x:c r="P189" s="29" t="n">
        <x:f>INDEX('Prompt Totals'!$F$7:$F$246,MATCH($A189,'Prompt Totals'!$A$7:$A$246,0))</x:f>
        <x:v>61262</x:v>
      </x:c>
      <x:c r="Q189" s="29" t="n">
        <x:f>INDEX('Prompt Totals'!$G$7:$G$246,MATCH($A189,'Prompt Totals'!$A$7:$A$246,0))</x:f>
        <x:v>369171</x:v>
      </x:c>
      <x:c r="R189" s="29" t="n">
        <x:f>INDEX('Prompt Totals'!$H$7:$H$246,MATCH($A189,'Prompt Totals'!$A$7:$A$246,0))</x:f>
        <x:v>12</x:v>
      </x:c>
      <x:c r="S189" s="30" t="n">
        <x:f>INDEX('Prompt Totals'!$I$7:$I$246,MATCH($A189,'Prompt Totals'!$A$7:$A$246,0))</x:f>
        <x:v>3.07909</x:v>
      </x:c>
      <x:c r="T189" s="30" t="n">
        <x:f>INDEX('Prompt Totals'!$J$7:$J$246,MATCH($A189,'Prompt Totals'!$A$7:$A$246,0))</x:f>
        <x:v>1.83786</x:v>
      </x:c>
      <x:c r="U189" s="30" t="n">
        <x:f>INDEX('Prompt Totals'!$K$7:$K$246,MATCH($A189,'Prompt Totals'!$A$7:$A$246,0))</x:f>
        <x:v>4.91695</x:v>
      </x:c>
      <x:c r="V189" s="29" t="n">
        <x:f>INDEX('Prompt Totals'!$L$7:$L$246,MATCH($A189,'Prompt Totals'!$A$7:$A$246,0))</x:f>
        <x:v>1</x:v>
      </x:c>
      <x:c r="W189" s="29" t="n">
        <x:f>INDEX('Prompt Totals'!$M$7:$M$246,MATCH($A189,'Prompt Totals'!$A$7:$A$246,0))</x:f>
        <x:v>8</x:v>
      </x:c>
      <x:c r="X189" s="29" t="n">
        <x:f>INDEX('Prompt Totals'!$N$7:$N$246,MATCH($A189,'Prompt Totals'!$A$7:$A$246,0))</x:f>
        <x:v>3</x:v>
      </x:c>
      <x:c r="Y189" s="19" t="n">
        <x:f>G189-H189</x:f>
        <x:v>-0.4100000000000006</x:v>
      </x:c>
      <x:c r="Z189" s="30" t="n">
        <x:f>Y189*'Solution'!$C$5</x:f>
        <x:v>-20.50000000000003</x:v>
      </x:c>
      <x:c r="AA189" s="22" t="n">
        <x:f>Z189-U189</x:f>
        <x:v>-25.41695000000003</x:v>
      </x:c>
    </x:row>
    <x:row r="190" ht="23" customHeight="1">
      <x:c r="A190" s="17" t="str">
        <x:v>W0184</x:v>
      </x:c>
      <x:c r="B190" s="18" t="n">
        <x:v>46293</x:v>
      </x:c>
      <x:c r="C190" s="17" t="str">
        <x:v>C004</x:v>
      </x:c>
      <x:c r="D190" s="17" t="str">
        <x:v>Analytics</x:v>
      </x:c>
      <x:c r="E190" s="17" t="str">
        <x:v>Quinn Parker</x:v>
      </x:c>
      <x:c r="F190" s="17" t="str">
        <x:v>Analyze campaign results</x:v>
      </x:c>
      <x:c r="G190" s="20" t="n">
        <x:v>5.02</x:v>
      </x:c>
      <x:c r="H190" s="20" t="n">
        <x:v>5.91</x:v>
      </x:c>
      <x:c r="I190" s="20" t="n">
        <x:v>0.12</x:v>
      </x:c>
      <x:c r="J190" s="17" t="str">
        <x:v>Brief changed</x:v>
      </x:c>
      <x:c r="K190" s="17" t="str">
        <x:v>Yes</x:v>
      </x:c>
      <x:c r="L190" s="17" t="str">
        <x:v>No</x:v>
      </x:c>
      <x:c r="M190" s="29" t="str">
        <x:f>INDEX('Prompt Totals'!$C$7:$C$246,MATCH($A190,'Prompt Totals'!$A$7:$A$246,0))</x:f>
        <x:v>InsightDesk</x:v>
      </x:c>
      <x:c r="N190" s="29" t="str">
        <x:f>INDEX('Prompt Totals'!$D$7:$D$246,MATCH($A190,'Prompt Totals'!$A$7:$A$246,0))</x:f>
        <x:v>Pro</x:v>
      </x:c>
      <x:c r="O190" s="29" t="n">
        <x:f>INDEX('Prompt Totals'!$E$7:$E$246,MATCH($A190,'Prompt Totals'!$A$7:$A$246,0))</x:f>
        <x:v>311209</x:v>
      </x:c>
      <x:c r="P190" s="29" t="n">
        <x:f>INDEX('Prompt Totals'!$F$7:$F$246,MATCH($A190,'Prompt Totals'!$A$7:$A$246,0))</x:f>
        <x:v>218299</x:v>
      </x:c>
      <x:c r="Q190" s="29" t="n">
        <x:f>INDEX('Prompt Totals'!$G$7:$G$246,MATCH($A190,'Prompt Totals'!$A$7:$A$246,0))</x:f>
        <x:v>529508</x:v>
      </x:c>
      <x:c r="R190" s="29" t="n">
        <x:f>INDEX('Prompt Totals'!$H$7:$H$246,MATCH($A190,'Prompt Totals'!$A$7:$A$246,0))</x:f>
        <x:v>20</x:v>
      </x:c>
      <x:c r="S190" s="30" t="n">
        <x:f>INDEX('Prompt Totals'!$I$7:$I$246,MATCH($A190,'Prompt Totals'!$A$7:$A$246,0))</x:f>
        <x:v>12.448359999999997</x:v>
      </x:c>
      <x:c r="T190" s="30" t="n">
        <x:f>INDEX('Prompt Totals'!$J$7:$J$246,MATCH($A190,'Prompt Totals'!$A$7:$A$246,0))</x:f>
        <x:v>21.829899999999995</x:v>
      </x:c>
      <x:c r="U190" s="30" t="n">
        <x:f>INDEX('Prompt Totals'!$K$7:$K$246,MATCH($A190,'Prompt Totals'!$A$7:$A$246,0))</x:f>
        <x:v>34.278259999999996</x:v>
      </x:c>
      <x:c r="V190" s="29" t="n">
        <x:f>INDEX('Prompt Totals'!$L$7:$L$246,MATCH($A190,'Prompt Totals'!$A$7:$A$246,0))</x:f>
        <x:v>1</x:v>
      </x:c>
      <x:c r="W190" s="29" t="n">
        <x:f>INDEX('Prompt Totals'!$M$7:$M$246,MATCH($A190,'Prompt Totals'!$A$7:$A$246,0))</x:f>
        <x:v>14</x:v>
      </x:c>
      <x:c r="X190" s="29" t="n">
        <x:f>INDEX('Prompt Totals'!$N$7:$N$246,MATCH($A190,'Prompt Totals'!$A$7:$A$246,0))</x:f>
        <x:v>5</x:v>
      </x:c>
      <x:c r="Y190" s="19" t="n">
        <x:f>G190-H190</x:f>
        <x:v>-0.8900000000000006</x:v>
      </x:c>
      <x:c r="Z190" s="30" t="n">
        <x:f>Y190*'Solution'!$C$5</x:f>
        <x:v>-44.50000000000003</x:v>
      </x:c>
      <x:c r="AA190" s="22" t="n">
        <x:f>Z190-U190</x:f>
        <x:v>-78.77826000000002</x:v>
      </x:c>
    </x:row>
    <x:row r="191" ht="23" customHeight="1">
      <x:c r="A191" s="17" t="str">
        <x:v>W0185</x:v>
      </x:c>
      <x:c r="B191" s="18" t="n">
        <x:v>46276</x:v>
      </x:c>
      <x:c r="C191" s="17" t="str">
        <x:v>C004</x:v>
      </x:c>
      <x:c r="D191" s="17" t="str">
        <x:v>Analytics</x:v>
      </x:c>
      <x:c r="E191" s="17" t="str">
        <x:v>Jamie Patel</x:v>
      </x:c>
      <x:c r="F191" s="17" t="str">
        <x:v>Summarize audience insights</x:v>
      </x:c>
      <x:c r="G191" s="20" t="n">
        <x:v>4.88</x:v>
      </x:c>
      <x:c r="H191" s="20" t="n">
        <x:v>2.35</x:v>
      </x:c>
      <x:c r="I191" s="20" t="n">
        <x:v>0.12</x:v>
      </x:c>
      <x:c r="J191" s="17" t="str">
        <x:v>None</x:v>
      </x:c>
      <x:c r="K191" s="17" t="str">
        <x:v>No</x:v>
      </x:c>
      <x:c r="L191" s="17" t="str">
        <x:v>Yes</x:v>
      </x:c>
      <x:c r="M191" s="29" t="str">
        <x:f>INDEX('Prompt Totals'!$C$7:$C$246,MATCH($A191,'Prompt Totals'!$A$7:$A$246,0))</x:f>
        <x:v>InsightDesk</x:v>
      </x:c>
      <x:c r="N191" s="29" t="str">
        <x:f>INDEX('Prompt Totals'!$D$7:$D$246,MATCH($A191,'Prompt Totals'!$A$7:$A$246,0))</x:f>
        <x:v>Lite</x:v>
      </x:c>
      <x:c r="O191" s="29" t="n">
        <x:f>INDEX('Prompt Totals'!$E$7:$E$246,MATCH($A191,'Prompt Totals'!$A$7:$A$246,0))</x:f>
        <x:v>229615</x:v>
      </x:c>
      <x:c r="P191" s="29" t="n">
        <x:f>INDEX('Prompt Totals'!$F$7:$F$246,MATCH($A191,'Prompt Totals'!$A$7:$A$246,0))</x:f>
        <x:v>35383</x:v>
      </x:c>
      <x:c r="Q191" s="29" t="n">
        <x:f>INDEX('Prompt Totals'!$G$7:$G$246,MATCH($A191,'Prompt Totals'!$A$7:$A$246,0))</x:f>
        <x:v>264998</x:v>
      </x:c>
      <x:c r="R191" s="29" t="n">
        <x:f>INDEX('Prompt Totals'!$H$7:$H$246,MATCH($A191,'Prompt Totals'!$A$7:$A$246,0))</x:f>
        <x:v>14</x:v>
      </x:c>
      <x:c r="S191" s="30" t="n">
        <x:f>INDEX('Prompt Totals'!$I$7:$I$246,MATCH($A191,'Prompt Totals'!$A$7:$A$246,0))</x:f>
        <x:v>2.29615</x:v>
      </x:c>
      <x:c r="T191" s="30" t="n">
        <x:f>INDEX('Prompt Totals'!$J$7:$J$246,MATCH($A191,'Prompt Totals'!$A$7:$A$246,0))</x:f>
        <x:v>1.06149</x:v>
      </x:c>
      <x:c r="U191" s="30" t="n">
        <x:f>INDEX('Prompt Totals'!$K$7:$K$246,MATCH($A191,'Prompt Totals'!$A$7:$A$246,0))</x:f>
        <x:v>3.357640000000001</x:v>
      </x:c>
      <x:c r="V191" s="29" t="n">
        <x:f>INDEX('Prompt Totals'!$L$7:$L$246,MATCH($A191,'Prompt Totals'!$A$7:$A$246,0))</x:f>
        <x:v>1</x:v>
      </x:c>
      <x:c r="W191" s="29" t="n">
        <x:f>INDEX('Prompt Totals'!$M$7:$M$246,MATCH($A191,'Prompt Totals'!$A$7:$A$246,0))</x:f>
        <x:v>11</x:v>
      </x:c>
      <x:c r="X191" s="29" t="n">
        <x:f>INDEX('Prompt Totals'!$N$7:$N$246,MATCH($A191,'Prompt Totals'!$A$7:$A$246,0))</x:f>
        <x:v>2</x:v>
      </x:c>
      <x:c r="Y191" s="19" t="n">
        <x:f>G191-H191</x:f>
        <x:v>2.53</x:v>
      </x:c>
      <x:c r="Z191" s="30" t="n">
        <x:f>Y191*'Solution'!$C$5</x:f>
        <x:v>126.49999999999999</x:v>
      </x:c>
      <x:c r="AA191" s="22" t="n">
        <x:f>Z191-U191</x:f>
        <x:v>123.14235999999998</x:v>
      </x:c>
    </x:row>
    <x:row r="192" ht="23" customHeight="1">
      <x:c r="A192" s="17" t="str">
        <x:v>W0186</x:v>
      </x:c>
      <x:c r="B192" s="18" t="n">
        <x:v>46287</x:v>
      </x:c>
      <x:c r="C192" s="17" t="str">
        <x:v>C004</x:v>
      </x:c>
      <x:c r="D192" s="17" t="str">
        <x:v>Content</x:v>
      </x:c>
      <x:c r="E192" s="17" t="str">
        <x:v>Avery Morgan</x:v>
      </x:c>
      <x:c r="F192" s="17" t="str">
        <x:v>Edit landing page</x:v>
      </x:c>
      <x:c r="G192" s="20" t="n">
        <x:v>5.84</x:v>
      </x:c>
      <x:c r="H192" s="20" t="n">
        <x:v>4</x:v>
      </x:c>
      <x:c r="I192" s="20" t="n">
        <x:v>0.05</x:v>
      </x:c>
      <x:c r="J192" s="17" t="str">
        <x:v>None</x:v>
      </x:c>
      <x:c r="K192" s="17" t="str">
        <x:v>No</x:v>
      </x:c>
      <x:c r="L192" s="17" t="str">
        <x:v>Yes</x:v>
      </x:c>
      <x:c r="M192" s="29" t="str">
        <x:f>INDEX('Prompt Totals'!$C$7:$C$246,MATCH($A192,'Prompt Totals'!$A$7:$A$246,0))</x:f>
        <x:v>CopyStudio</x:v>
      </x:c>
      <x:c r="N192" s="29" t="str">
        <x:f>INDEX('Prompt Totals'!$D$7:$D$246,MATCH($A192,'Prompt Totals'!$A$7:$A$246,0))</x:f>
        <x:v>Pro</x:v>
      </x:c>
      <x:c r="O192" s="29" t="n">
        <x:f>INDEX('Prompt Totals'!$E$7:$E$246,MATCH($A192,'Prompt Totals'!$A$7:$A$246,0))</x:f>
        <x:v>368447</x:v>
      </x:c>
      <x:c r="P192" s="29" t="n">
        <x:f>INDEX('Prompt Totals'!$F$7:$F$246,MATCH($A192,'Prompt Totals'!$A$7:$A$246,0))</x:f>
        <x:v>113639</x:v>
      </x:c>
      <x:c r="Q192" s="29" t="n">
        <x:f>INDEX('Prompt Totals'!$G$7:$G$246,MATCH($A192,'Prompt Totals'!$A$7:$A$246,0))</x:f>
        <x:v>482086</x:v>
      </x:c>
      <x:c r="R192" s="29" t="n">
        <x:f>INDEX('Prompt Totals'!$H$7:$H$246,MATCH($A192,'Prompt Totals'!$A$7:$A$246,0))</x:f>
        <x:v>13</x:v>
      </x:c>
      <x:c r="S192" s="30" t="n">
        <x:f>INDEX('Prompt Totals'!$I$7:$I$246,MATCH($A192,'Prompt Totals'!$A$7:$A$246,0))</x:f>
        <x:v>14.73788</x:v>
      </x:c>
      <x:c r="T192" s="30" t="n">
        <x:f>INDEX('Prompt Totals'!$J$7:$J$246,MATCH($A192,'Prompt Totals'!$A$7:$A$246,0))</x:f>
        <x:v>11.3639</x:v>
      </x:c>
      <x:c r="U192" s="30" t="n">
        <x:f>INDEX('Prompt Totals'!$K$7:$K$246,MATCH($A192,'Prompt Totals'!$A$7:$A$246,0))</x:f>
        <x:v>26.101779999999998</x:v>
      </x:c>
      <x:c r="V192" s="29" t="n">
        <x:f>INDEX('Prompt Totals'!$L$7:$L$246,MATCH($A192,'Prompt Totals'!$A$7:$A$246,0))</x:f>
        <x:v>1</x:v>
      </x:c>
      <x:c r="W192" s="29" t="n">
        <x:f>INDEX('Prompt Totals'!$M$7:$M$246,MATCH($A192,'Prompt Totals'!$A$7:$A$246,0))</x:f>
        <x:v>9</x:v>
      </x:c>
      <x:c r="X192" s="29" t="n">
        <x:f>INDEX('Prompt Totals'!$N$7:$N$246,MATCH($A192,'Prompt Totals'!$A$7:$A$246,0))</x:f>
        <x:v>3</x:v>
      </x:c>
      <x:c r="Y192" s="19" t="n">
        <x:f>G192-H192</x:f>
        <x:v>1.8399999999999999</x:v>
      </x:c>
      <x:c r="Z192" s="30" t="n">
        <x:f>Y192*'Solution'!$C$5</x:f>
        <x:v>92</x:v>
      </x:c>
      <x:c r="AA192" s="22" t="n">
        <x:f>Z192-U192</x:f>
        <x:v>65.89822000000001</x:v>
      </x:c>
    </x:row>
    <x:row r="193" ht="23" customHeight="1">
      <x:c r="A193" s="17" t="str">
        <x:v>W0187</x:v>
      </x:c>
      <x:c r="B193" s="18" t="n">
        <x:v>46269</x:v>
      </x:c>
      <x:c r="C193" s="17" t="str">
        <x:v>C004</x:v>
      </x:c>
      <x:c r="D193" s="17" t="str">
        <x:v>Content</x:v>
      </x:c>
      <x:c r="E193" s="17" t="str">
        <x:v>Jordan Ellis</x:v>
      </x:c>
      <x:c r="F193" s="17" t="str">
        <x:v>Write ad copy</x:v>
      </x:c>
      <x:c r="G193" s="20" t="n">
        <x:v>4.55</x:v>
      </x:c>
      <x:c r="H193" s="20" t="n">
        <x:v>4.56</x:v>
      </x:c>
      <x:c r="I193" s="20" t="n">
        <x:v>0.58</x:v>
      </x:c>
      <x:c r="J193" s="17" t="str">
        <x:v>Data problem</x:v>
      </x:c>
      <x:c r="K193" s="17" t="str">
        <x:v>No</x:v>
      </x:c>
      <x:c r="L193" s="17" t="str">
        <x:v>Yes</x:v>
      </x:c>
      <x:c r="M193" s="29" t="str">
        <x:f>INDEX('Prompt Totals'!$C$7:$C$246,MATCH($A193,'Prompt Totals'!$A$7:$A$246,0))</x:f>
        <x:v>InsightDesk</x:v>
      </x:c>
      <x:c r="N193" s="29" t="str">
        <x:f>INDEX('Prompt Totals'!$D$7:$D$246,MATCH($A193,'Prompt Totals'!$A$7:$A$246,0))</x:f>
        <x:v>Lite</x:v>
      </x:c>
      <x:c r="O193" s="29" t="n">
        <x:f>INDEX('Prompt Totals'!$E$7:$E$246,MATCH($A193,'Prompt Totals'!$A$7:$A$246,0))</x:f>
        <x:v>376282</x:v>
      </x:c>
      <x:c r="P193" s="29" t="n">
        <x:f>INDEX('Prompt Totals'!$F$7:$F$246,MATCH($A193,'Prompt Totals'!$A$7:$A$246,0))</x:f>
        <x:v>49750</x:v>
      </x:c>
      <x:c r="Q193" s="29" t="n">
        <x:f>INDEX('Prompt Totals'!$G$7:$G$246,MATCH($A193,'Prompt Totals'!$A$7:$A$246,0))</x:f>
        <x:v>426032</x:v>
      </x:c>
      <x:c r="R193" s="29" t="n">
        <x:f>INDEX('Prompt Totals'!$H$7:$H$246,MATCH($A193,'Prompt Totals'!$A$7:$A$246,0))</x:f>
        <x:v>15</x:v>
      </x:c>
      <x:c r="S193" s="30" t="n">
        <x:f>INDEX('Prompt Totals'!$I$7:$I$246,MATCH($A193,'Prompt Totals'!$A$7:$A$246,0))</x:f>
        <x:v>3.7628200000000005</x:v>
      </x:c>
      <x:c r="T193" s="30" t="n">
        <x:f>INDEX('Prompt Totals'!$J$7:$J$246,MATCH($A193,'Prompt Totals'!$A$7:$A$246,0))</x:f>
        <x:v>1.4925</x:v>
      </x:c>
      <x:c r="U193" s="30" t="n">
        <x:f>INDEX('Prompt Totals'!$K$7:$K$246,MATCH($A193,'Prompt Totals'!$A$7:$A$246,0))</x:f>
        <x:v>5.25532</x:v>
      </x:c>
      <x:c r="V193" s="29" t="n">
        <x:f>INDEX('Prompt Totals'!$L$7:$L$246,MATCH($A193,'Prompt Totals'!$A$7:$A$246,0))</x:f>
        <x:v>1</x:v>
      </x:c>
      <x:c r="W193" s="29" t="n">
        <x:f>INDEX('Prompt Totals'!$M$7:$M$246,MATCH($A193,'Prompt Totals'!$A$7:$A$246,0))</x:f>
        <x:v>12</x:v>
      </x:c>
      <x:c r="X193" s="29" t="n">
        <x:f>INDEX('Prompt Totals'!$N$7:$N$246,MATCH($A193,'Prompt Totals'!$A$7:$A$246,0))</x:f>
        <x:v>2</x:v>
      </x:c>
      <x:c r="Y193" s="19" t="n">
        <x:f>G193-H193</x:f>
        <x:v>-0.009999999999999787</x:v>
      </x:c>
      <x:c r="Z193" s="30" t="n">
        <x:f>Y193*'Solution'!$C$5</x:f>
        <x:v>-0.49999999999998934</x:v>
      </x:c>
      <x:c r="AA193" s="22" t="n">
        <x:f>Z193-U193</x:f>
        <x:v>-5.7553199999999896</x:v>
      </x:c>
    </x:row>
    <x:row r="194" ht="23" customHeight="1">
      <x:c r="A194" s="17" t="str">
        <x:v>W0188</x:v>
      </x:c>
      <x:c r="B194" s="18" t="n">
        <x:v>46281</x:v>
      </x:c>
      <x:c r="C194" s="17" t="str">
        <x:v>C004</x:v>
      </x:c>
      <x:c r="D194" s="17" t="str">
        <x:v>Creative</x:v>
      </x:c>
      <x:c r="E194" s="17" t="str">
        <x:v>Riley Chen</x:v>
      </x:c>
      <x:c r="F194" s="17" t="str">
        <x:v>Review creative variants</x:v>
      </x:c>
      <x:c r="G194" s="20" t="n">
        <x:v>5.87</x:v>
      </x:c>
      <x:c r="H194" s="20" t="n">
        <x:v>5.58</x:v>
      </x:c>
      <x:c r="I194" s="20" t="n">
        <x:v>0.39</x:v>
      </x:c>
      <x:c r="J194" s="17" t="str">
        <x:v>None</x:v>
      </x:c>
      <x:c r="K194" s="17" t="str">
        <x:v>No</x:v>
      </x:c>
      <x:c r="L194" s="17" t="str">
        <x:v>Yes</x:v>
      </x:c>
      <x:c r="M194" s="29" t="str">
        <x:f>INDEX('Prompt Totals'!$C$7:$C$246,MATCH($A194,'Prompt Totals'!$A$7:$A$246,0))</x:f>
        <x:v>CampaignChat</x:v>
      </x:c>
      <x:c r="N194" s="29" t="str">
        <x:f>INDEX('Prompt Totals'!$D$7:$D$246,MATCH($A194,'Prompt Totals'!$A$7:$A$246,0))</x:f>
        <x:v>Lite</x:v>
      </x:c>
      <x:c r="O194" s="29" t="n">
        <x:f>INDEX('Prompt Totals'!$E$7:$E$246,MATCH($A194,'Prompt Totals'!$A$7:$A$246,0))</x:f>
        <x:v>191064</x:v>
      </x:c>
      <x:c r="P194" s="29" t="n">
        <x:f>INDEX('Prompt Totals'!$F$7:$F$246,MATCH($A194,'Prompt Totals'!$A$7:$A$246,0))</x:f>
        <x:v>54725</x:v>
      </x:c>
      <x:c r="Q194" s="29" t="n">
        <x:f>INDEX('Prompt Totals'!$G$7:$G$246,MATCH($A194,'Prompt Totals'!$A$7:$A$246,0))</x:f>
        <x:v>245789</x:v>
      </x:c>
      <x:c r="R194" s="29" t="n">
        <x:f>INDEX('Prompt Totals'!$H$7:$H$246,MATCH($A194,'Prompt Totals'!$A$7:$A$246,0))</x:f>
        <x:v>13</x:v>
      </x:c>
      <x:c r="S194" s="30" t="n">
        <x:f>INDEX('Prompt Totals'!$I$7:$I$246,MATCH($A194,'Prompt Totals'!$A$7:$A$246,0))</x:f>
        <x:v>1.9106400000000001</x:v>
      </x:c>
      <x:c r="T194" s="30" t="n">
        <x:f>INDEX('Prompt Totals'!$J$7:$J$246,MATCH($A194,'Prompt Totals'!$A$7:$A$246,0))</x:f>
        <x:v>1.64175</x:v>
      </x:c>
      <x:c r="U194" s="30" t="n">
        <x:f>INDEX('Prompt Totals'!$K$7:$K$246,MATCH($A194,'Prompt Totals'!$A$7:$A$246,0))</x:f>
        <x:v>3.55239</x:v>
      </x:c>
      <x:c r="V194" s="29" t="n">
        <x:f>INDEX('Prompt Totals'!$L$7:$L$246,MATCH($A194,'Prompt Totals'!$A$7:$A$246,0))</x:f>
        <x:v>1</x:v>
      </x:c>
      <x:c r="W194" s="29" t="n">
        <x:f>INDEX('Prompt Totals'!$M$7:$M$246,MATCH($A194,'Prompt Totals'!$A$7:$A$246,0))</x:f>
        <x:v>9</x:v>
      </x:c>
      <x:c r="X194" s="29" t="n">
        <x:f>INDEX('Prompt Totals'!$N$7:$N$246,MATCH($A194,'Prompt Totals'!$A$7:$A$246,0))</x:f>
        <x:v>3</x:v>
      </x:c>
      <x:c r="Y194" s="19" t="n">
        <x:f>G194-H194</x:f>
        <x:v>0.29000000000000004</x:v>
      </x:c>
      <x:c r="Z194" s="30" t="n">
        <x:f>Y194*'Solution'!$C$5</x:f>
        <x:v>14.500000000000002</x:v>
      </x:c>
      <x:c r="AA194" s="22" t="n">
        <x:f>Z194-U194</x:f>
        <x:v>10.947610000000001</x:v>
      </x:c>
    </x:row>
    <x:row r="195" ht="23" customHeight="1">
      <x:c r="A195" s="17" t="str">
        <x:v>W0189</x:v>
      </x:c>
      <x:c r="B195" s="18" t="n">
        <x:v>46290</x:v>
      </x:c>
      <x:c r="C195" s="17" t="str">
        <x:v>C004</x:v>
      </x:c>
      <x:c r="D195" s="17" t="str">
        <x:v>Creative</x:v>
      </x:c>
      <x:c r="E195" s="17" t="str">
        <x:v>Taylor Brooks</x:v>
      </x:c>
      <x:c r="F195" s="17" t="str">
        <x:v>Plan visual narrative</x:v>
      </x:c>
      <x:c r="G195" s="20" t="n">
        <x:v>3.39</x:v>
      </x:c>
      <x:c r="H195" s="20" t="n">
        <x:v>2.77</x:v>
      </x:c>
      <x:c r="I195" s="20" t="n">
        <x:v>0.18</x:v>
      </x:c>
      <x:c r="J195" s="17" t="str">
        <x:v>None</x:v>
      </x:c>
      <x:c r="K195" s="17" t="str">
        <x:v>No</x:v>
      </x:c>
      <x:c r="L195" s="17" t="str">
        <x:v>Yes</x:v>
      </x:c>
      <x:c r="M195" s="29" t="str">
        <x:f>INDEX('Prompt Totals'!$C$7:$C$246,MATCH($A195,'Prompt Totals'!$A$7:$A$246,0))</x:f>
        <x:v>InsightDesk</x:v>
      </x:c>
      <x:c r="N195" s="29" t="str">
        <x:f>INDEX('Prompt Totals'!$D$7:$D$246,MATCH($A195,'Prompt Totals'!$A$7:$A$246,0))</x:f>
        <x:v>Lite</x:v>
      </x:c>
      <x:c r="O195" s="29" t="n">
        <x:f>INDEX('Prompt Totals'!$E$7:$E$246,MATCH($A195,'Prompt Totals'!$A$7:$A$246,0))</x:f>
        <x:v>253912</x:v>
      </x:c>
      <x:c r="P195" s="29" t="n">
        <x:f>INDEX('Prompt Totals'!$F$7:$F$246,MATCH($A195,'Prompt Totals'!$A$7:$A$246,0))</x:f>
        <x:v>72806</x:v>
      </x:c>
      <x:c r="Q195" s="29" t="n">
        <x:f>INDEX('Prompt Totals'!$G$7:$G$246,MATCH($A195,'Prompt Totals'!$A$7:$A$246,0))</x:f>
        <x:v>326718</x:v>
      </x:c>
      <x:c r="R195" s="29" t="n">
        <x:f>INDEX('Prompt Totals'!$H$7:$H$246,MATCH($A195,'Prompt Totals'!$A$7:$A$246,0))</x:f>
        <x:v>15</x:v>
      </x:c>
      <x:c r="S195" s="30" t="n">
        <x:f>INDEX('Prompt Totals'!$I$7:$I$246,MATCH($A195,'Prompt Totals'!$A$7:$A$246,0))</x:f>
        <x:v>2.5391200000000005</x:v>
      </x:c>
      <x:c r="T195" s="30" t="n">
        <x:f>INDEX('Prompt Totals'!$J$7:$J$246,MATCH($A195,'Prompt Totals'!$A$7:$A$246,0))</x:f>
        <x:v>2.1841799999999996</x:v>
      </x:c>
      <x:c r="U195" s="30" t="n">
        <x:f>INDEX('Prompt Totals'!$K$7:$K$246,MATCH($A195,'Prompt Totals'!$A$7:$A$246,0))</x:f>
        <x:v>4.723300000000001</x:v>
      </x:c>
      <x:c r="V195" s="29" t="n">
        <x:f>INDEX('Prompt Totals'!$L$7:$L$246,MATCH($A195,'Prompt Totals'!$A$7:$A$246,0))</x:f>
        <x:v>1</x:v>
      </x:c>
      <x:c r="W195" s="29" t="n">
        <x:f>INDEX('Prompt Totals'!$M$7:$M$246,MATCH($A195,'Prompt Totals'!$A$7:$A$246,0))</x:f>
        <x:v>11</x:v>
      </x:c>
      <x:c r="X195" s="29" t="n">
        <x:f>INDEX('Prompt Totals'!$N$7:$N$246,MATCH($A195,'Prompt Totals'!$A$7:$A$246,0))</x:f>
        <x:v>3</x:v>
      </x:c>
      <x:c r="Y195" s="19" t="n">
        <x:f>G195-H195</x:f>
        <x:v>0.6200000000000001</x:v>
      </x:c>
      <x:c r="Z195" s="30" t="n">
        <x:f>Y195*'Solution'!$C$5</x:f>
        <x:v>31.000000000000007</x:v>
      </x:c>
      <x:c r="AA195" s="22" t="n">
        <x:f>Z195-U195</x:f>
        <x:v>26.276700000000005</x:v>
      </x:c>
    </x:row>
    <x:row r="196" ht="23" customHeight="1">
      <x:c r="A196" s="17" t="str">
        <x:v>W0190</x:v>
      </x:c>
      <x:c r="B196" s="18" t="n">
        <x:v>46275</x:v>
      </x:c>
      <x:c r="C196" s="17" t="str">
        <x:v>C004</x:v>
      </x:c>
      <x:c r="D196" s="17" t="str">
        <x:v>Marketing Operations</x:v>
      </x:c>
      <x:c r="E196" s="17" t="str">
        <x:v>Casey Rivera</x:v>
      </x:c>
      <x:c r="F196" s="17" t="str">
        <x:v>Build campaign plan</x:v>
      </x:c>
      <x:c r="G196" s="20" t="n">
        <x:v>4.86</x:v>
      </x:c>
      <x:c r="H196" s="20" t="n">
        <x:v>4.6</x:v>
      </x:c>
      <x:c r="I196" s="20" t="n">
        <x:v>0.21</x:v>
      </x:c>
      <x:c r="J196" s="17" t="str">
        <x:v>None</x:v>
      </x:c>
      <x:c r="K196" s="17" t="str">
        <x:v>No</x:v>
      </x:c>
      <x:c r="L196" s="17" t="str">
        <x:v>No</x:v>
      </x:c>
      <x:c r="M196" s="29" t="str">
        <x:f>INDEX('Prompt Totals'!$C$7:$C$246,MATCH($A196,'Prompt Totals'!$A$7:$A$246,0))</x:f>
        <x:v>CampaignChat</x:v>
      </x:c>
      <x:c r="N196" s="29" t="str">
        <x:f>INDEX('Prompt Totals'!$D$7:$D$246,MATCH($A196,'Prompt Totals'!$A$7:$A$246,0))</x:f>
        <x:v>Lite</x:v>
      </x:c>
      <x:c r="O196" s="29" t="n">
        <x:f>INDEX('Prompt Totals'!$E$7:$E$246,MATCH($A196,'Prompt Totals'!$A$7:$A$246,0))</x:f>
        <x:v>249413</x:v>
      </x:c>
      <x:c r="P196" s="29" t="n">
        <x:f>INDEX('Prompt Totals'!$F$7:$F$246,MATCH($A196,'Prompt Totals'!$A$7:$A$246,0))</x:f>
        <x:v>48533</x:v>
      </x:c>
      <x:c r="Q196" s="29" t="n">
        <x:f>INDEX('Prompt Totals'!$G$7:$G$246,MATCH($A196,'Prompt Totals'!$A$7:$A$246,0))</x:f>
        <x:v>297946</x:v>
      </x:c>
      <x:c r="R196" s="29" t="n">
        <x:f>INDEX('Prompt Totals'!$H$7:$H$246,MATCH($A196,'Prompt Totals'!$A$7:$A$246,0))</x:f>
        <x:v>11</x:v>
      </x:c>
      <x:c r="S196" s="30" t="n">
        <x:f>INDEX('Prompt Totals'!$I$7:$I$246,MATCH($A196,'Prompt Totals'!$A$7:$A$246,0))</x:f>
        <x:v>2.49413</x:v>
      </x:c>
      <x:c r="T196" s="30" t="n">
        <x:f>INDEX('Prompt Totals'!$J$7:$J$246,MATCH($A196,'Prompt Totals'!$A$7:$A$246,0))</x:f>
        <x:v>1.4559900000000001</x:v>
      </x:c>
      <x:c r="U196" s="30" t="n">
        <x:f>INDEX('Prompt Totals'!$K$7:$K$246,MATCH($A196,'Prompt Totals'!$A$7:$A$246,0))</x:f>
        <x:v>3.950119999999999</x:v>
      </x:c>
      <x:c r="V196" s="29" t="n">
        <x:f>INDEX('Prompt Totals'!$L$7:$L$246,MATCH($A196,'Prompt Totals'!$A$7:$A$246,0))</x:f>
        <x:v>1</x:v>
      </x:c>
      <x:c r="W196" s="29" t="n">
        <x:f>INDEX('Prompt Totals'!$M$7:$M$246,MATCH($A196,'Prompt Totals'!$A$7:$A$246,0))</x:f>
        <x:v>7</x:v>
      </x:c>
      <x:c r="X196" s="29" t="n">
        <x:f>INDEX('Prompt Totals'!$N$7:$N$246,MATCH($A196,'Prompt Totals'!$A$7:$A$246,0))</x:f>
        <x:v>3</x:v>
      </x:c>
      <x:c r="Y196" s="19" t="n">
        <x:f>G196-H196</x:f>
        <x:v>0.2600000000000007</x:v>
      </x:c>
      <x:c r="Z196" s="30" t="n">
        <x:f>Y196*'Solution'!$C$5</x:f>
        <x:v>13.000000000000034</x:v>
      </x:c>
      <x:c r="AA196" s="22" t="n">
        <x:f>Z196-U196</x:f>
        <x:v>9.049880000000034</x:v>
      </x:c>
    </x:row>
    <x:row r="197" ht="23" customHeight="1">
      <x:c r="A197" s="17" t="str">
        <x:v>W0191</x:v>
      </x:c>
      <x:c r="B197" s="18" t="n">
        <x:v>46286</x:v>
      </x:c>
      <x:c r="C197" s="17" t="str">
        <x:v>C004</x:v>
      </x:c>
      <x:c r="D197" s="17" t="str">
        <x:v>Marketing Operations</x:v>
      </x:c>
      <x:c r="E197" s="17" t="str">
        <x:v>Morgan Reed</x:v>
      </x:c>
      <x:c r="F197" s="17" t="str">
        <x:v>Clean audience data</x:v>
      </x:c>
      <x:c r="G197" s="20" t="n">
        <x:v>4.7</x:v>
      </x:c>
      <x:c r="H197" s="20" t="n">
        <x:v>5.01</x:v>
      </x:c>
      <x:c r="I197" s="20" t="n">
        <x:v>0.86</x:v>
      </x:c>
      <x:c r="J197" s="17" t="str">
        <x:v>Data problem</x:v>
      </x:c>
      <x:c r="K197" s="17" t="str">
        <x:v>No</x:v>
      </x:c>
      <x:c r="L197" s="17" t="str">
        <x:v>No</x:v>
      </x:c>
      <x:c r="M197" s="29" t="str">
        <x:f>INDEX('Prompt Totals'!$C$7:$C$246,MATCH($A197,'Prompt Totals'!$A$7:$A$246,0))</x:f>
        <x:v>CopyStudio</x:v>
      </x:c>
      <x:c r="N197" s="29" t="str">
        <x:f>INDEX('Prompt Totals'!$D$7:$D$246,MATCH($A197,'Prompt Totals'!$A$7:$A$246,0))</x:f>
        <x:v>Pro</x:v>
      </x:c>
      <x:c r="O197" s="29" t="n">
        <x:f>INDEX('Prompt Totals'!$E$7:$E$246,MATCH($A197,'Prompt Totals'!$A$7:$A$246,0))</x:f>
        <x:v>195648</x:v>
      </x:c>
      <x:c r="P197" s="29" t="n">
        <x:f>INDEX('Prompt Totals'!$F$7:$F$246,MATCH($A197,'Prompt Totals'!$A$7:$A$246,0))</x:f>
        <x:v>111025</x:v>
      </x:c>
      <x:c r="Q197" s="29" t="n">
        <x:f>INDEX('Prompt Totals'!$G$7:$G$246,MATCH($A197,'Prompt Totals'!$A$7:$A$246,0))</x:f>
        <x:v>306673</x:v>
      </x:c>
      <x:c r="R197" s="29" t="n">
        <x:f>INDEX('Prompt Totals'!$H$7:$H$246,MATCH($A197,'Prompt Totals'!$A$7:$A$246,0))</x:f>
        <x:v>16</x:v>
      </x:c>
      <x:c r="S197" s="30" t="n">
        <x:f>INDEX('Prompt Totals'!$I$7:$I$246,MATCH($A197,'Prompt Totals'!$A$7:$A$246,0))</x:f>
        <x:v>7.825920000000001</x:v>
      </x:c>
      <x:c r="T197" s="30" t="n">
        <x:f>INDEX('Prompt Totals'!$J$7:$J$246,MATCH($A197,'Prompt Totals'!$A$7:$A$246,0))</x:f>
        <x:v>11.1025</x:v>
      </x:c>
      <x:c r="U197" s="30" t="n">
        <x:f>INDEX('Prompt Totals'!$K$7:$K$246,MATCH($A197,'Prompt Totals'!$A$7:$A$246,0))</x:f>
        <x:v>18.92842</x:v>
      </x:c>
      <x:c r="V197" s="29" t="n">
        <x:f>INDEX('Prompt Totals'!$L$7:$L$246,MATCH($A197,'Prompt Totals'!$A$7:$A$246,0))</x:f>
        <x:v>1</x:v>
      </x:c>
      <x:c r="W197" s="29" t="n">
        <x:f>INDEX('Prompt Totals'!$M$7:$M$246,MATCH($A197,'Prompt Totals'!$A$7:$A$246,0))</x:f>
        <x:v>12</x:v>
      </x:c>
      <x:c r="X197" s="29" t="n">
        <x:f>INDEX('Prompt Totals'!$N$7:$N$246,MATCH($A197,'Prompt Totals'!$A$7:$A$246,0))</x:f>
        <x:v>3</x:v>
      </x:c>
      <x:c r="Y197" s="19" t="n">
        <x:f>G197-H197</x:f>
        <x:v>-0.3099999999999996</x:v>
      </x:c>
      <x:c r="Z197" s="30" t="n">
        <x:f>Y197*'Solution'!$C$5</x:f>
        <x:v>-15.49999999999998</x:v>
      </x:c>
      <x:c r="AA197" s="22" t="n">
        <x:f>Z197-U197</x:f>
        <x:v>-34.42841999999998</x:v>
      </x:c>
    </x:row>
    <x:row r="198" ht="23" customHeight="1">
      <x:c r="A198" s="17" t="str">
        <x:v>W0192</x:v>
      </x:c>
      <x:c r="B198" s="18" t="n">
        <x:v>46295</x:v>
      </x:c>
      <x:c r="C198" s="17" t="str">
        <x:v>C004</x:v>
      </x:c>
      <x:c r="D198" s="17" t="str">
        <x:v>Analytics</x:v>
      </x:c>
      <x:c r="E198" s="17" t="str">
        <x:v>Quinn Parker</x:v>
      </x:c>
      <x:c r="F198" s="17" t="str">
        <x:v>Check measurement plan</x:v>
      </x:c>
      <x:c r="G198" s="20" t="n">
        <x:v>3.96</x:v>
      </x:c>
      <x:c r="H198" s="20" t="n">
        <x:v>3.43</x:v>
      </x:c>
      <x:c r="I198" s="20" t="n">
        <x:v>0.33</x:v>
      </x:c>
      <x:c r="J198" s="17" t="str">
        <x:v>None</x:v>
      </x:c>
      <x:c r="K198" s="17" t="str">
        <x:v>No</x:v>
      </x:c>
      <x:c r="L198" s="17" t="str">
        <x:v>Yes</x:v>
      </x:c>
      <x:c r="M198" s="29" t="str">
        <x:f>INDEX('Prompt Totals'!$C$7:$C$246,MATCH($A198,'Prompt Totals'!$A$7:$A$246,0))</x:f>
        <x:v>InsightDesk</x:v>
      </x:c>
      <x:c r="N198" s="29" t="str">
        <x:f>INDEX('Prompt Totals'!$D$7:$D$246,MATCH($A198,'Prompt Totals'!$A$7:$A$246,0))</x:f>
        <x:v>Pro</x:v>
      </x:c>
      <x:c r="O198" s="29" t="n">
        <x:f>INDEX('Prompt Totals'!$E$7:$E$246,MATCH($A198,'Prompt Totals'!$A$7:$A$246,0))</x:f>
        <x:v>343322</x:v>
      </x:c>
      <x:c r="P198" s="29" t="n">
        <x:f>INDEX('Prompt Totals'!$F$7:$F$246,MATCH($A198,'Prompt Totals'!$A$7:$A$246,0))</x:f>
        <x:v>171677</x:v>
      </x:c>
      <x:c r="Q198" s="29" t="n">
        <x:f>INDEX('Prompt Totals'!$G$7:$G$246,MATCH($A198,'Prompt Totals'!$A$7:$A$246,0))</x:f>
        <x:v>514999</x:v>
      </x:c>
      <x:c r="R198" s="29" t="n">
        <x:f>INDEX('Prompt Totals'!$H$7:$H$246,MATCH($A198,'Prompt Totals'!$A$7:$A$246,0))</x:f>
        <x:v>13</x:v>
      </x:c>
      <x:c r="S198" s="30" t="n">
        <x:f>INDEX('Prompt Totals'!$I$7:$I$246,MATCH($A198,'Prompt Totals'!$A$7:$A$246,0))</x:f>
        <x:v>13.73288</x:v>
      </x:c>
      <x:c r="T198" s="30" t="n">
        <x:f>INDEX('Prompt Totals'!$J$7:$J$246,MATCH($A198,'Prompt Totals'!$A$7:$A$246,0))</x:f>
        <x:v>17.1677</x:v>
      </x:c>
      <x:c r="U198" s="30" t="n">
        <x:f>INDEX('Prompt Totals'!$K$7:$K$246,MATCH($A198,'Prompt Totals'!$A$7:$A$246,0))</x:f>
        <x:v>30.90058</x:v>
      </x:c>
      <x:c r="V198" s="29" t="n">
        <x:f>INDEX('Prompt Totals'!$L$7:$L$246,MATCH($A198,'Prompt Totals'!$A$7:$A$246,0))</x:f>
        <x:v>1</x:v>
      </x:c>
      <x:c r="W198" s="29" t="n">
        <x:f>INDEX('Prompt Totals'!$M$7:$M$246,MATCH($A198,'Prompt Totals'!$A$7:$A$246,0))</x:f>
        <x:v>9</x:v>
      </x:c>
      <x:c r="X198" s="29" t="n">
        <x:f>INDEX('Prompt Totals'!$N$7:$N$246,MATCH($A198,'Prompt Totals'!$A$7:$A$246,0))</x:f>
        <x:v>3</x:v>
      </x:c>
      <x:c r="Y198" s="19" t="n">
        <x:f>G198-H198</x:f>
        <x:v>0.5299999999999998</x:v>
      </x:c>
      <x:c r="Z198" s="30" t="n">
        <x:f>Y198*'Solution'!$C$5</x:f>
        <x:v>26.49999999999999</x:v>
      </x:c>
      <x:c r="AA198" s="22" t="n">
        <x:f>Z198-U198</x:f>
        <x:v>-4.400580000000012</x:v>
      </x:c>
    </x:row>
    <x:row r="199" ht="23" customHeight="1">
      <x:c r="A199" s="17" t="str">
        <x:v>W0193</x:v>
      </x:c>
      <x:c r="B199" s="18" t="n">
        <x:v>46280</x:v>
      </x:c>
      <x:c r="C199" s="17" t="str">
        <x:v>C004</x:v>
      </x:c>
      <x:c r="D199" s="17" t="str">
        <x:v>Analytics</x:v>
      </x:c>
      <x:c r="E199" s="17" t="str">
        <x:v>Jamie Patel</x:v>
      </x:c>
      <x:c r="F199" s="17" t="str">
        <x:v>Analyze campaign results</x:v>
      </x:c>
      <x:c r="G199" s="20" t="n">
        <x:v>4.24</x:v>
      </x:c>
      <x:c r="H199" s="20" t="n">
        <x:v>4.37</x:v>
      </x:c>
      <x:c r="I199" s="20" t="n">
        <x:v>0.24</x:v>
      </x:c>
      <x:c r="J199" s="17" t="str">
        <x:v>None</x:v>
      </x:c>
      <x:c r="K199" s="17" t="str">
        <x:v>No</x:v>
      </x:c>
      <x:c r="L199" s="17" t="str">
        <x:v>Yes</x:v>
      </x:c>
      <x:c r="M199" s="29" t="str">
        <x:f>INDEX('Prompt Totals'!$C$7:$C$246,MATCH($A199,'Prompt Totals'!$A$7:$A$246,0))</x:f>
        <x:v>CopyStudio</x:v>
      </x:c>
      <x:c r="N199" s="29" t="str">
        <x:f>INDEX('Prompt Totals'!$D$7:$D$246,MATCH($A199,'Prompt Totals'!$A$7:$A$246,0))</x:f>
        <x:v>Pro</x:v>
      </x:c>
      <x:c r="O199" s="29" t="n">
        <x:f>INDEX('Prompt Totals'!$E$7:$E$246,MATCH($A199,'Prompt Totals'!$A$7:$A$246,0))</x:f>
        <x:v>336467</x:v>
      </x:c>
      <x:c r="P199" s="29" t="n">
        <x:f>INDEX('Prompt Totals'!$F$7:$F$246,MATCH($A199,'Prompt Totals'!$A$7:$A$246,0))</x:f>
        <x:v>100978</x:v>
      </x:c>
      <x:c r="Q199" s="29" t="n">
        <x:f>INDEX('Prompt Totals'!$G$7:$G$246,MATCH($A199,'Prompt Totals'!$A$7:$A$246,0))</x:f>
        <x:v>437445</x:v>
      </x:c>
      <x:c r="R199" s="29" t="n">
        <x:f>INDEX('Prompt Totals'!$H$7:$H$246,MATCH($A199,'Prompt Totals'!$A$7:$A$246,0))</x:f>
        <x:v>13</x:v>
      </x:c>
      <x:c r="S199" s="30" t="n">
        <x:f>INDEX('Prompt Totals'!$I$7:$I$246,MATCH($A199,'Prompt Totals'!$A$7:$A$246,0))</x:f>
        <x:v>13.458680000000001</x:v>
      </x:c>
      <x:c r="T199" s="30" t="n">
        <x:f>INDEX('Prompt Totals'!$J$7:$J$246,MATCH($A199,'Prompt Totals'!$A$7:$A$246,0))</x:f>
        <x:v>10.0978</x:v>
      </x:c>
      <x:c r="U199" s="30" t="n">
        <x:f>INDEX('Prompt Totals'!$K$7:$K$246,MATCH($A199,'Prompt Totals'!$A$7:$A$246,0))</x:f>
        <x:v>23.556480000000004</x:v>
      </x:c>
      <x:c r="V199" s="29" t="n">
        <x:f>INDEX('Prompt Totals'!$L$7:$L$246,MATCH($A199,'Prompt Totals'!$A$7:$A$246,0))</x:f>
        <x:v>1</x:v>
      </x:c>
      <x:c r="W199" s="29" t="n">
        <x:f>INDEX('Prompt Totals'!$M$7:$M$246,MATCH($A199,'Prompt Totals'!$A$7:$A$246,0))</x:f>
        <x:v>9</x:v>
      </x:c>
      <x:c r="X199" s="29" t="n">
        <x:f>INDEX('Prompt Totals'!$N$7:$N$246,MATCH($A199,'Prompt Totals'!$A$7:$A$246,0))</x:f>
        <x:v>3</x:v>
      </x:c>
      <x:c r="Y199" s="19" t="n">
        <x:f>G199-H199</x:f>
        <x:v>-0.1299999999999999</x:v>
      </x:c>
      <x:c r="Z199" s="30" t="n">
        <x:f>Y199*'Solution'!$C$5</x:f>
        <x:v>-6.499999999999995</x:v>
      </x:c>
      <x:c r="AA199" s="22" t="n">
        <x:f>Z199-U199</x:f>
        <x:v>-30.05648</x:v>
      </x:c>
    </x:row>
    <x:row r="200" ht="23" customHeight="1">
      <x:c r="A200" s="17" t="str">
        <x:v>W0194</x:v>
      </x:c>
      <x:c r="B200" s="18" t="n">
        <x:v>46289</x:v>
      </x:c>
      <x:c r="C200" s="17" t="str">
        <x:v>C004</x:v>
      </x:c>
      <x:c r="D200" s="17" t="str">
        <x:v>Content</x:v>
      </x:c>
      <x:c r="E200" s="17" t="str">
        <x:v>Avery Morgan</x:v>
      </x:c>
      <x:c r="F200" s="17" t="str">
        <x:v>Draft email sequence</x:v>
      </x:c>
      <x:c r="G200" s="20" t="n">
        <x:v>3.72</x:v>
      </x:c>
      <x:c r="H200" s="20" t="n">
        <x:v>3.04</x:v>
      </x:c>
      <x:c r="I200" s="20" t="n">
        <x:v>0.15</x:v>
      </x:c>
      <x:c r="J200" s="17" t="str">
        <x:v>None</x:v>
      </x:c>
      <x:c r="K200" s="17" t="str">
        <x:v>No</x:v>
      </x:c>
      <x:c r="L200" s="17" t="str">
        <x:v>Yes</x:v>
      </x:c>
      <x:c r="M200" s="29" t="str">
        <x:f>INDEX('Prompt Totals'!$C$7:$C$246,MATCH($A200,'Prompt Totals'!$A$7:$A$246,0))</x:f>
        <x:v>CopyStudio</x:v>
      </x:c>
      <x:c r="N200" s="29" t="str">
        <x:f>INDEX('Prompt Totals'!$D$7:$D$246,MATCH($A200,'Prompt Totals'!$A$7:$A$246,0))</x:f>
        <x:v>Pro</x:v>
      </x:c>
      <x:c r="O200" s="29" t="n">
        <x:f>INDEX('Prompt Totals'!$E$7:$E$246,MATCH($A200,'Prompt Totals'!$A$7:$A$246,0))</x:f>
        <x:v>116142</x:v>
      </x:c>
      <x:c r="P200" s="29" t="n">
        <x:f>INDEX('Prompt Totals'!$F$7:$F$246,MATCH($A200,'Prompt Totals'!$A$7:$A$246,0))</x:f>
        <x:v>58289</x:v>
      </x:c>
      <x:c r="Q200" s="29" t="n">
        <x:f>INDEX('Prompt Totals'!$G$7:$G$246,MATCH($A200,'Prompt Totals'!$A$7:$A$246,0))</x:f>
        <x:v>174431</x:v>
      </x:c>
      <x:c r="R200" s="29" t="n">
        <x:f>INDEX('Prompt Totals'!$H$7:$H$246,MATCH($A200,'Prompt Totals'!$A$7:$A$246,0))</x:f>
        <x:v>10</x:v>
      </x:c>
      <x:c r="S200" s="30" t="n">
        <x:f>INDEX('Prompt Totals'!$I$7:$I$246,MATCH($A200,'Prompt Totals'!$A$7:$A$246,0))</x:f>
        <x:v>4.6456800000000005</x:v>
      </x:c>
      <x:c r="T200" s="30" t="n">
        <x:f>INDEX('Prompt Totals'!$J$7:$J$246,MATCH($A200,'Prompt Totals'!$A$7:$A$246,0))</x:f>
        <x:v>5.8289</x:v>
      </x:c>
      <x:c r="U200" s="30" t="n">
        <x:f>INDEX('Prompt Totals'!$K$7:$K$246,MATCH($A200,'Prompt Totals'!$A$7:$A$246,0))</x:f>
        <x:v>10.474580000000001</x:v>
      </x:c>
      <x:c r="V200" s="29" t="n">
        <x:f>INDEX('Prompt Totals'!$L$7:$L$246,MATCH($A200,'Prompt Totals'!$A$7:$A$246,0))</x:f>
        <x:v>1</x:v>
      </x:c>
      <x:c r="W200" s="29" t="n">
        <x:f>INDEX('Prompt Totals'!$M$7:$M$246,MATCH($A200,'Prompt Totals'!$A$7:$A$246,0))</x:f>
        <x:v>6</x:v>
      </x:c>
      <x:c r="X200" s="29" t="n">
        <x:f>INDEX('Prompt Totals'!$N$7:$N$246,MATCH($A200,'Prompt Totals'!$A$7:$A$246,0))</x:f>
        <x:v>3</x:v>
      </x:c>
      <x:c r="Y200" s="19" t="n">
        <x:f>G200-H200</x:f>
        <x:v>0.6800000000000002</x:v>
      </x:c>
      <x:c r="Z200" s="30" t="n">
        <x:f>Y200*'Solution'!$C$5</x:f>
        <x:v>34.00000000000001</x:v>
      </x:c>
      <x:c r="AA200" s="22" t="n">
        <x:f>Z200-U200</x:f>
        <x:v>23.525420000000004</x:v>
      </x:c>
    </x:row>
    <x:row r="201" ht="23" customHeight="1">
      <x:c r="A201" s="17" t="str">
        <x:v>W0195</x:v>
      </x:c>
      <x:c r="B201" s="18" t="n">
        <x:v>46274</x:v>
      </x:c>
      <x:c r="C201" s="17" t="str">
        <x:v>C004</x:v>
      </x:c>
      <x:c r="D201" s="17" t="str">
        <x:v>Content</x:v>
      </x:c>
      <x:c r="E201" s="17" t="str">
        <x:v>Jordan Ellis</x:v>
      </x:c>
      <x:c r="F201" s="17" t="str">
        <x:v>Edit landing page</x:v>
      </x:c>
      <x:c r="G201" s="20" t="n">
        <x:v>3.74</x:v>
      </x:c>
      <x:c r="H201" s="20" t="n">
        <x:v>3.39</x:v>
      </x:c>
      <x:c r="I201" s="20" t="n">
        <x:v>0.3</x:v>
      </x:c>
      <x:c r="J201" s="17" t="str">
        <x:v>None</x:v>
      </x:c>
      <x:c r="K201" s="17" t="str">
        <x:v>No</x:v>
      </x:c>
      <x:c r="L201" s="17" t="str">
        <x:v>No</x:v>
      </x:c>
      <x:c r="M201" s="29" t="str">
        <x:f>INDEX('Prompt Totals'!$C$7:$C$246,MATCH($A201,'Prompt Totals'!$A$7:$A$246,0))</x:f>
        <x:v>CopyStudio</x:v>
      </x:c>
      <x:c r="N201" s="29" t="str">
        <x:f>INDEX('Prompt Totals'!$D$7:$D$246,MATCH($A201,'Prompt Totals'!$A$7:$A$246,0))</x:f>
        <x:v>Pro</x:v>
      </x:c>
      <x:c r="O201" s="29" t="n">
        <x:f>INDEX('Prompt Totals'!$E$7:$E$246,MATCH($A201,'Prompt Totals'!$A$7:$A$246,0))</x:f>
        <x:v>277318</x:v>
      </x:c>
      <x:c r="P201" s="29" t="n">
        <x:f>INDEX('Prompt Totals'!$F$7:$F$246,MATCH($A201,'Prompt Totals'!$A$7:$A$246,0))</x:f>
        <x:v>69361</x:v>
      </x:c>
      <x:c r="Q201" s="29" t="n">
        <x:f>INDEX('Prompt Totals'!$G$7:$G$246,MATCH($A201,'Prompt Totals'!$A$7:$A$246,0))</x:f>
        <x:v>346679</x:v>
      </x:c>
      <x:c r="R201" s="29" t="n">
        <x:f>INDEX('Prompt Totals'!$H$7:$H$246,MATCH($A201,'Prompt Totals'!$A$7:$A$246,0))</x:f>
        <x:v>13</x:v>
      </x:c>
      <x:c r="S201" s="30" t="n">
        <x:f>INDEX('Prompt Totals'!$I$7:$I$246,MATCH($A201,'Prompt Totals'!$A$7:$A$246,0))</x:f>
        <x:v>11.09272</x:v>
      </x:c>
      <x:c r="T201" s="30" t="n">
        <x:f>INDEX('Prompt Totals'!$J$7:$J$246,MATCH($A201,'Prompt Totals'!$A$7:$A$246,0))</x:f>
        <x:v>6.936100000000001</x:v>
      </x:c>
      <x:c r="U201" s="30" t="n">
        <x:f>INDEX('Prompt Totals'!$K$7:$K$246,MATCH($A201,'Prompt Totals'!$A$7:$A$246,0))</x:f>
        <x:v>18.02882</x:v>
      </x:c>
      <x:c r="V201" s="29" t="n">
        <x:f>INDEX('Prompt Totals'!$L$7:$L$246,MATCH($A201,'Prompt Totals'!$A$7:$A$246,0))</x:f>
        <x:v>1</x:v>
      </x:c>
      <x:c r="W201" s="29" t="n">
        <x:f>INDEX('Prompt Totals'!$M$7:$M$246,MATCH($A201,'Prompt Totals'!$A$7:$A$246,0))</x:f>
        <x:v>9</x:v>
      </x:c>
      <x:c r="X201" s="29" t="n">
        <x:f>INDEX('Prompt Totals'!$N$7:$N$246,MATCH($A201,'Prompt Totals'!$A$7:$A$246,0))</x:f>
        <x:v>3</x:v>
      </x:c>
      <x:c r="Y201" s="19" t="n">
        <x:f>G201-H201</x:f>
        <x:v>0.3500000000000001</x:v>
      </x:c>
      <x:c r="Z201" s="30" t="n">
        <x:f>Y201*'Solution'!$C$5</x:f>
        <x:v>17.500000000000004</x:v>
      </x:c>
      <x:c r="AA201" s="22" t="n">
        <x:f>Z201-U201</x:f>
        <x:v>-0.5288199999999961</x:v>
      </x:c>
    </x:row>
    <x:row r="202" ht="23" customHeight="1">
      <x:c r="A202" s="17" t="str">
        <x:v>W0196</x:v>
      </x:c>
      <x:c r="B202" s="18" t="n">
        <x:v>46283</x:v>
      </x:c>
      <x:c r="C202" s="17" t="str">
        <x:v>C004</x:v>
      </x:c>
      <x:c r="D202" s="17" t="str">
        <x:v>Creative</x:v>
      </x:c>
      <x:c r="E202" s="17" t="str">
        <x:v>Riley Chen</x:v>
      </x:c>
      <x:c r="F202" s="17" t="str">
        <x:v>Develop concept brief</x:v>
      </x:c>
      <x:c r="G202" s="20" t="n">
        <x:v>3.32</x:v>
      </x:c>
      <x:c r="H202" s="20" t="n">
        <x:v>1.54</x:v>
      </x:c>
      <x:c r="I202" s="20" t="n">
        <x:v>0.15</x:v>
      </x:c>
      <x:c r="J202" s="17" t="str">
        <x:v>None</x:v>
      </x:c>
      <x:c r="K202" s="17" t="str">
        <x:v>No</x:v>
      </x:c>
      <x:c r="L202" s="17" t="str">
        <x:v>Yes</x:v>
      </x:c>
      <x:c r="M202" s="29" t="str">
        <x:f>INDEX('Prompt Totals'!$C$7:$C$246,MATCH($A202,'Prompt Totals'!$A$7:$A$246,0))</x:f>
        <x:v>CampaignChat</x:v>
      </x:c>
      <x:c r="N202" s="29" t="str">
        <x:f>INDEX('Prompt Totals'!$D$7:$D$246,MATCH($A202,'Prompt Totals'!$A$7:$A$246,0))</x:f>
        <x:v>Pro</x:v>
      </x:c>
      <x:c r="O202" s="29" t="n">
        <x:f>INDEX('Prompt Totals'!$E$7:$E$246,MATCH($A202,'Prompt Totals'!$A$7:$A$246,0))</x:f>
        <x:v>449680</x:v>
      </x:c>
      <x:c r="P202" s="29" t="n">
        <x:f>INDEX('Prompt Totals'!$F$7:$F$246,MATCH($A202,'Prompt Totals'!$A$7:$A$246,0))</x:f>
        <x:v>142260</x:v>
      </x:c>
      <x:c r="Q202" s="29" t="n">
        <x:f>INDEX('Prompt Totals'!$G$7:$G$246,MATCH($A202,'Prompt Totals'!$A$7:$A$246,0))</x:f>
        <x:v>591940</x:v>
      </x:c>
      <x:c r="R202" s="29" t="n">
        <x:f>INDEX('Prompt Totals'!$H$7:$H$246,MATCH($A202,'Prompt Totals'!$A$7:$A$246,0))</x:f>
        <x:v>16</x:v>
      </x:c>
      <x:c r="S202" s="30" t="n">
        <x:f>INDEX('Prompt Totals'!$I$7:$I$246,MATCH($A202,'Prompt Totals'!$A$7:$A$246,0))</x:f>
        <x:v>17.9872</x:v>
      </x:c>
      <x:c r="T202" s="30" t="n">
        <x:f>INDEX('Prompt Totals'!$J$7:$J$246,MATCH($A202,'Prompt Totals'!$A$7:$A$246,0))</x:f>
        <x:v>14.225999999999999</x:v>
      </x:c>
      <x:c r="U202" s="30" t="n">
        <x:f>INDEX('Prompt Totals'!$K$7:$K$246,MATCH($A202,'Prompt Totals'!$A$7:$A$246,0))</x:f>
        <x:v>32.2132</x:v>
      </x:c>
      <x:c r="V202" s="29" t="n">
        <x:f>INDEX('Prompt Totals'!$L$7:$L$246,MATCH($A202,'Prompt Totals'!$A$7:$A$246,0))</x:f>
        <x:v>1</x:v>
      </x:c>
      <x:c r="W202" s="29" t="n">
        <x:f>INDEX('Prompt Totals'!$M$7:$M$246,MATCH($A202,'Prompt Totals'!$A$7:$A$246,0))</x:f>
        <x:v>11</x:v>
      </x:c>
      <x:c r="X202" s="29" t="n">
        <x:f>INDEX('Prompt Totals'!$N$7:$N$246,MATCH($A202,'Prompt Totals'!$A$7:$A$246,0))</x:f>
        <x:v>4</x:v>
      </x:c>
      <x:c r="Y202" s="19" t="n">
        <x:f>G202-H202</x:f>
        <x:v>1.7799999999999998</x:v>
      </x:c>
      <x:c r="Z202" s="30" t="n">
        <x:f>Y202*'Solution'!$C$5</x:f>
        <x:v>88.99999999999999</x:v>
      </x:c>
      <x:c r="AA202" s="22" t="n">
        <x:f>Z202-U202</x:f>
        <x:v>56.786799999999985</x:v>
      </x:c>
    </x:row>
    <x:row r="203" ht="23" customHeight="1">
      <x:c r="A203" s="17" t="str">
        <x:v>W0197</x:v>
      </x:c>
      <x:c r="B203" s="18" t="n">
        <x:v>46294</x:v>
      </x:c>
      <x:c r="C203" s="17" t="str">
        <x:v>C004</x:v>
      </x:c>
      <x:c r="D203" s="17" t="str">
        <x:v>Creative</x:v>
      </x:c>
      <x:c r="E203" s="17" t="str">
        <x:v>Taylor Brooks</x:v>
      </x:c>
      <x:c r="F203" s="17" t="str">
        <x:v>Review creative variants</x:v>
      </x:c>
      <x:c r="G203" s="20" t="n">
        <x:v>3.87</x:v>
      </x:c>
      <x:c r="H203" s="20" t="n">
        <x:v>2.91</x:v>
      </x:c>
      <x:c r="I203" s="20" t="n">
        <x:v>0.38</x:v>
      </x:c>
      <x:c r="J203" s="17" t="str">
        <x:v>Brief changed</x:v>
      </x:c>
      <x:c r="K203" s="17" t="str">
        <x:v>Yes</x:v>
      </x:c>
      <x:c r="L203" s="17" t="str">
        <x:v>Yes</x:v>
      </x:c>
      <x:c r="M203" s="29" t="str">
        <x:f>INDEX('Prompt Totals'!$C$7:$C$246,MATCH($A203,'Prompt Totals'!$A$7:$A$246,0))</x:f>
        <x:v>InsightDesk</x:v>
      </x:c>
      <x:c r="N203" s="29" t="str">
        <x:f>INDEX('Prompt Totals'!$D$7:$D$246,MATCH($A203,'Prompt Totals'!$A$7:$A$246,0))</x:f>
        <x:v>Lite</x:v>
      </x:c>
      <x:c r="O203" s="29" t="n">
        <x:f>INDEX('Prompt Totals'!$E$7:$E$246,MATCH($A203,'Prompt Totals'!$A$7:$A$246,0))</x:f>
        <x:v>196090</x:v>
      </x:c>
      <x:c r="P203" s="29" t="n">
        <x:f>INDEX('Prompt Totals'!$F$7:$F$246,MATCH($A203,'Prompt Totals'!$A$7:$A$246,0))</x:f>
        <x:v>43422</x:v>
      </x:c>
      <x:c r="Q203" s="29" t="n">
        <x:f>INDEX('Prompt Totals'!$G$7:$G$246,MATCH($A203,'Prompt Totals'!$A$7:$A$246,0))</x:f>
        <x:v>239512</x:v>
      </x:c>
      <x:c r="R203" s="29" t="n">
        <x:f>INDEX('Prompt Totals'!$H$7:$H$246,MATCH($A203,'Prompt Totals'!$A$7:$A$246,0))</x:f>
        <x:v>10</x:v>
      </x:c>
      <x:c r="S203" s="30" t="n">
        <x:f>INDEX('Prompt Totals'!$I$7:$I$246,MATCH($A203,'Prompt Totals'!$A$7:$A$246,0))</x:f>
        <x:v>1.9609</x:v>
      </x:c>
      <x:c r="T203" s="30" t="n">
        <x:f>INDEX('Prompt Totals'!$J$7:$J$246,MATCH($A203,'Prompt Totals'!$A$7:$A$246,0))</x:f>
        <x:v>1.30266</x:v>
      </x:c>
      <x:c r="U203" s="30" t="n">
        <x:f>INDEX('Prompt Totals'!$K$7:$K$246,MATCH($A203,'Prompt Totals'!$A$7:$A$246,0))</x:f>
        <x:v>3.2635599999999996</x:v>
      </x:c>
      <x:c r="V203" s="29" t="n">
        <x:f>INDEX('Prompt Totals'!$L$7:$L$246,MATCH($A203,'Prompt Totals'!$A$7:$A$246,0))</x:f>
        <x:v>1</x:v>
      </x:c>
      <x:c r="W203" s="29" t="n">
        <x:f>INDEX('Prompt Totals'!$M$7:$M$246,MATCH($A203,'Prompt Totals'!$A$7:$A$246,0))</x:f>
        <x:v>8</x:v>
      </x:c>
      <x:c r="X203" s="29" t="n">
        <x:f>INDEX('Prompt Totals'!$N$7:$N$246,MATCH($A203,'Prompt Totals'!$A$7:$A$246,0))</x:f>
        <x:v>1</x:v>
      </x:c>
      <x:c r="Y203" s="19" t="n">
        <x:f>G203-H203</x:f>
        <x:v>0.96</x:v>
      </x:c>
      <x:c r="Z203" s="30" t="n">
        <x:f>Y203*'Solution'!$C$5</x:f>
        <x:v>48</x:v>
      </x:c>
      <x:c r="AA203" s="22" t="n">
        <x:f>Z203-U203</x:f>
        <x:v>44.73644</x:v>
      </x:c>
    </x:row>
    <x:row r="204" ht="23" customHeight="1">
      <x:c r="A204" s="17" t="str">
        <x:v>W0198</x:v>
      </x:c>
      <x:c r="B204" s="18" t="n">
        <x:v>46279</x:v>
      </x:c>
      <x:c r="C204" s="17" t="str">
        <x:v>C004</x:v>
      </x:c>
      <x:c r="D204" s="17" t="str">
        <x:v>Marketing Operations</x:v>
      </x:c>
      <x:c r="E204" s="17" t="str">
        <x:v>Casey Rivera</x:v>
      </x:c>
      <x:c r="F204" s="17" t="str">
        <x:v>Prepare launch checklist</x:v>
      </x:c>
      <x:c r="G204" s="20" t="n">
        <x:v>2.93</x:v>
      </x:c>
      <x:c r="H204" s="20" t="n">
        <x:v>1.82</x:v>
      </x:c>
      <x:c r="I204" s="20" t="n">
        <x:v>0.14</x:v>
      </x:c>
      <x:c r="J204" s="17" t="str">
        <x:v>Unclear prompt</x:v>
      </x:c>
      <x:c r="K204" s="17" t="str">
        <x:v>No</x:v>
      </x:c>
      <x:c r="L204" s="17" t="str">
        <x:v>Yes</x:v>
      </x:c>
      <x:c r="M204" s="29" t="str">
        <x:f>INDEX('Prompt Totals'!$C$7:$C$246,MATCH($A204,'Prompt Totals'!$A$7:$A$246,0))</x:f>
        <x:v>DataFlow</x:v>
      </x:c>
      <x:c r="N204" s="29" t="str">
        <x:f>INDEX('Prompt Totals'!$D$7:$D$246,MATCH($A204,'Prompt Totals'!$A$7:$A$246,0))</x:f>
        <x:v>Lite</x:v>
      </x:c>
      <x:c r="O204" s="29" t="n">
        <x:f>INDEX('Prompt Totals'!$E$7:$E$246,MATCH($A204,'Prompt Totals'!$A$7:$A$246,0))</x:f>
        <x:v>238638</x:v>
      </x:c>
      <x:c r="P204" s="29" t="n">
        <x:f>INDEX('Prompt Totals'!$F$7:$F$246,MATCH($A204,'Prompt Totals'!$A$7:$A$246,0))</x:f>
        <x:v>55111</x:v>
      </x:c>
      <x:c r="Q204" s="29" t="n">
        <x:f>INDEX('Prompt Totals'!$G$7:$G$246,MATCH($A204,'Prompt Totals'!$A$7:$A$246,0))</x:f>
        <x:v>293749</x:v>
      </x:c>
      <x:c r="R204" s="29" t="n">
        <x:f>INDEX('Prompt Totals'!$H$7:$H$246,MATCH($A204,'Prompt Totals'!$A$7:$A$246,0))</x:f>
        <x:v>11</x:v>
      </x:c>
      <x:c r="S204" s="30" t="n">
        <x:f>INDEX('Prompt Totals'!$I$7:$I$246,MATCH($A204,'Prompt Totals'!$A$7:$A$246,0))</x:f>
        <x:v>2.38638</x:v>
      </x:c>
      <x:c r="T204" s="30" t="n">
        <x:f>INDEX('Prompt Totals'!$J$7:$J$246,MATCH($A204,'Prompt Totals'!$A$7:$A$246,0))</x:f>
        <x:v>1.65333</x:v>
      </x:c>
      <x:c r="U204" s="30" t="n">
        <x:f>INDEX('Prompt Totals'!$K$7:$K$246,MATCH($A204,'Prompt Totals'!$A$7:$A$246,0))</x:f>
        <x:v>4.03971</x:v>
      </x:c>
      <x:c r="V204" s="29" t="n">
        <x:f>INDEX('Prompt Totals'!$L$7:$L$246,MATCH($A204,'Prompt Totals'!$A$7:$A$246,0))</x:f>
        <x:v>1</x:v>
      </x:c>
      <x:c r="W204" s="29" t="n">
        <x:f>INDEX('Prompt Totals'!$M$7:$M$246,MATCH($A204,'Prompt Totals'!$A$7:$A$246,0))</x:f>
        <x:v>8</x:v>
      </x:c>
      <x:c r="X204" s="29" t="n">
        <x:f>INDEX('Prompt Totals'!$N$7:$N$246,MATCH($A204,'Prompt Totals'!$A$7:$A$246,0))</x:f>
        <x:v>2</x:v>
      </x:c>
      <x:c r="Y204" s="19" t="n">
        <x:f>G204-H204</x:f>
        <x:v>1.11</x:v>
      </x:c>
      <x:c r="Z204" s="30" t="n">
        <x:f>Y204*'Solution'!$C$5</x:f>
        <x:v>55.50000000000001</x:v>
      </x:c>
      <x:c r="AA204" s="22" t="n">
        <x:f>Z204-U204</x:f>
        <x:v>51.46029000000001</x:v>
      </x:c>
    </x:row>
    <x:row r="205" ht="23" customHeight="1">
      <x:c r="A205" s="17" t="str">
        <x:v>W0199</x:v>
      </x:c>
      <x:c r="B205" s="18" t="n">
        <x:v>46288</x:v>
      </x:c>
      <x:c r="C205" s="17" t="str">
        <x:v>C004</x:v>
      </x:c>
      <x:c r="D205" s="17" t="str">
        <x:v>Marketing Operations</x:v>
      </x:c>
      <x:c r="E205" s="17" t="str">
        <x:v>Morgan Reed</x:v>
      </x:c>
      <x:c r="F205" s="17" t="str">
        <x:v>Build campaign plan</x:v>
      </x:c>
      <x:c r="G205" s="20" t="n">
        <x:v>4.41</x:v>
      </x:c>
      <x:c r="H205" s="20" t="n">
        <x:v>4.69</x:v>
      </x:c>
      <x:c r="I205" s="20" t="n">
        <x:v>0.32</x:v>
      </x:c>
      <x:c r="J205" s="17" t="str">
        <x:v>Data problem</x:v>
      </x:c>
      <x:c r="K205" s="17" t="str">
        <x:v>No</x:v>
      </x:c>
      <x:c r="L205" s="17" t="str">
        <x:v>Yes</x:v>
      </x:c>
      <x:c r="M205" s="29" t="str">
        <x:f>INDEX('Prompt Totals'!$C$7:$C$246,MATCH($A205,'Prompt Totals'!$A$7:$A$246,0))</x:f>
        <x:v>DataFlow</x:v>
      </x:c>
      <x:c r="N205" s="29" t="str">
        <x:f>INDEX('Prompt Totals'!$D$7:$D$246,MATCH($A205,'Prompt Totals'!$A$7:$A$246,0))</x:f>
        <x:v>Pro</x:v>
      </x:c>
      <x:c r="O205" s="29" t="n">
        <x:f>INDEX('Prompt Totals'!$E$7:$E$246,MATCH($A205,'Prompt Totals'!$A$7:$A$246,0))</x:f>
        <x:v>314166</x:v>
      </x:c>
      <x:c r="P205" s="29" t="n">
        <x:f>INDEX('Prompt Totals'!$F$7:$F$246,MATCH($A205,'Prompt Totals'!$A$7:$A$246,0))</x:f>
        <x:v>214423</x:v>
      </x:c>
      <x:c r="Q205" s="29" t="n">
        <x:f>INDEX('Prompt Totals'!$G$7:$G$246,MATCH($A205,'Prompt Totals'!$A$7:$A$246,0))</x:f>
        <x:v>528589</x:v>
      </x:c>
      <x:c r="R205" s="29" t="n">
        <x:f>INDEX('Prompt Totals'!$H$7:$H$246,MATCH($A205,'Prompt Totals'!$A$7:$A$246,0))</x:f>
        <x:v>17</x:v>
      </x:c>
      <x:c r="S205" s="30" t="n">
        <x:f>INDEX('Prompt Totals'!$I$7:$I$246,MATCH($A205,'Prompt Totals'!$A$7:$A$246,0))</x:f>
        <x:v>12.56664</x:v>
      </x:c>
      <x:c r="T205" s="30" t="n">
        <x:f>INDEX('Prompt Totals'!$J$7:$J$246,MATCH($A205,'Prompt Totals'!$A$7:$A$246,0))</x:f>
        <x:v>21.442299999999996</x:v>
      </x:c>
      <x:c r="U205" s="30" t="n">
        <x:f>INDEX('Prompt Totals'!$K$7:$K$246,MATCH($A205,'Prompt Totals'!$A$7:$A$246,0))</x:f>
        <x:v>34.008939999999996</x:v>
      </x:c>
      <x:c r="V205" s="29" t="n">
        <x:f>INDEX('Prompt Totals'!$L$7:$L$246,MATCH($A205,'Prompt Totals'!$A$7:$A$246,0))</x:f>
        <x:v>1</x:v>
      </x:c>
      <x:c r="W205" s="29" t="n">
        <x:f>INDEX('Prompt Totals'!$M$7:$M$246,MATCH($A205,'Prompt Totals'!$A$7:$A$246,0))</x:f>
        <x:v>12</x:v>
      </x:c>
      <x:c r="X205" s="29" t="n">
        <x:f>INDEX('Prompt Totals'!$N$7:$N$246,MATCH($A205,'Prompt Totals'!$A$7:$A$246,0))</x:f>
        <x:v>4</x:v>
      </x:c>
      <x:c r="Y205" s="19" t="n">
        <x:f>G205-H205</x:f>
        <x:v>-0.28000000000000025</x:v>
      </x:c>
      <x:c r="Z205" s="30" t="n">
        <x:f>Y205*'Solution'!$C$5</x:f>
        <x:v>-14.000000000000012</x:v>
      </x:c>
      <x:c r="AA205" s="22" t="n">
        <x:f>Z205-U205</x:f>
        <x:v>-48.00894000000001</x:v>
      </x:c>
    </x:row>
    <x:row r="206" ht="23" customHeight="1">
      <x:c r="A206" s="17" t="str">
        <x:v>W0200</x:v>
      </x:c>
      <x:c r="B206" s="18" t="n">
        <x:v>46273</x:v>
      </x:c>
      <x:c r="C206" s="17" t="str">
        <x:v>C004</x:v>
      </x:c>
      <x:c r="D206" s="17" t="str">
        <x:v>Analytics</x:v>
      </x:c>
      <x:c r="E206" s="17" t="str">
        <x:v>Quinn Parker</x:v>
      </x:c>
      <x:c r="F206" s="17" t="str">
        <x:v>Summarize audience insights</x:v>
      </x:c>
      <x:c r="G206" s="20" t="n">
        <x:v>4.94</x:v>
      </x:c>
      <x:c r="H206" s="20" t="n">
        <x:v>5.12</x:v>
      </x:c>
      <x:c r="I206" s="20" t="n">
        <x:v>0.95</x:v>
      </x:c>
      <x:c r="J206" s="17" t="str">
        <x:v>Unclear prompt</x:v>
      </x:c>
      <x:c r="K206" s="17" t="str">
        <x:v>No</x:v>
      </x:c>
      <x:c r="L206" s="17" t="str">
        <x:v>Yes</x:v>
      </x:c>
      <x:c r="M206" s="29" t="str">
        <x:f>INDEX('Prompt Totals'!$C$7:$C$246,MATCH($A206,'Prompt Totals'!$A$7:$A$246,0))</x:f>
        <x:v>InsightDesk</x:v>
      </x:c>
      <x:c r="N206" s="29" t="str">
        <x:f>INDEX('Prompt Totals'!$D$7:$D$246,MATCH($A206,'Prompt Totals'!$A$7:$A$246,0))</x:f>
        <x:v>Lite</x:v>
      </x:c>
      <x:c r="O206" s="29" t="n">
        <x:f>INDEX('Prompt Totals'!$E$7:$E$246,MATCH($A206,'Prompt Totals'!$A$7:$A$246,0))</x:f>
        <x:v>209141</x:v>
      </x:c>
      <x:c r="P206" s="29" t="n">
        <x:f>INDEX('Prompt Totals'!$F$7:$F$246,MATCH($A206,'Prompt Totals'!$A$7:$A$246,0))</x:f>
        <x:v>50703</x:v>
      </x:c>
      <x:c r="Q206" s="29" t="n">
        <x:f>INDEX('Prompt Totals'!$G$7:$G$246,MATCH($A206,'Prompt Totals'!$A$7:$A$246,0))</x:f>
        <x:v>259844</x:v>
      </x:c>
      <x:c r="R206" s="29" t="n">
        <x:f>INDEX('Prompt Totals'!$H$7:$H$246,MATCH($A206,'Prompt Totals'!$A$7:$A$246,0))</x:f>
        <x:v>13</x:v>
      </x:c>
      <x:c r="S206" s="30" t="n">
        <x:f>INDEX('Prompt Totals'!$I$7:$I$246,MATCH($A206,'Prompt Totals'!$A$7:$A$246,0))</x:f>
        <x:v>2.09141</x:v>
      </x:c>
      <x:c r="T206" s="30" t="n">
        <x:f>INDEX('Prompt Totals'!$J$7:$J$246,MATCH($A206,'Prompt Totals'!$A$7:$A$246,0))</x:f>
        <x:v>1.5210899999999996</x:v>
      </x:c>
      <x:c r="U206" s="30" t="n">
        <x:f>INDEX('Prompt Totals'!$K$7:$K$246,MATCH($A206,'Prompt Totals'!$A$7:$A$246,0))</x:f>
        <x:v>3.6125</x:v>
      </x:c>
      <x:c r="V206" s="29" t="n">
        <x:f>INDEX('Prompt Totals'!$L$7:$L$246,MATCH($A206,'Prompt Totals'!$A$7:$A$246,0))</x:f>
        <x:v>1</x:v>
      </x:c>
      <x:c r="W206" s="29" t="n">
        <x:f>INDEX('Prompt Totals'!$M$7:$M$246,MATCH($A206,'Prompt Totals'!$A$7:$A$246,0))</x:f>
        <x:v>8</x:v>
      </x:c>
      <x:c r="X206" s="29" t="n">
        <x:f>INDEX('Prompt Totals'!$N$7:$N$246,MATCH($A206,'Prompt Totals'!$A$7:$A$246,0))</x:f>
        <x:v>4</x:v>
      </x:c>
      <x:c r="Y206" s="19" t="n">
        <x:f>G206-H206</x:f>
        <x:v>-0.17999999999999972</x:v>
      </x:c>
      <x:c r="Z206" s="30" t="n">
        <x:f>Y206*'Solution'!$C$5</x:f>
        <x:v>-8.999999999999986</x:v>
      </x:c>
      <x:c r="AA206" s="22" t="n">
        <x:f>Z206-U206</x:f>
        <x:v>-12.612499999999986</x:v>
      </x:c>
    </x:row>
    <x:row r="207" ht="23" customHeight="1">
      <x:c r="A207" s="17" t="str">
        <x:v>W0201</x:v>
      </x:c>
      <x:c r="B207" s="18" t="n">
        <x:v>46282</x:v>
      </x:c>
      <x:c r="C207" s="17" t="str">
        <x:v>C004</x:v>
      </x:c>
      <x:c r="D207" s="17" t="str">
        <x:v>Analytics</x:v>
      </x:c>
      <x:c r="E207" s="17" t="str">
        <x:v>Jamie Patel</x:v>
      </x:c>
      <x:c r="F207" s="17" t="str">
        <x:v>Check measurement plan</x:v>
      </x:c>
      <x:c r="G207" s="20" t="n">
        <x:v>5.29</x:v>
      </x:c>
      <x:c r="H207" s="20" t="n">
        <x:v>2.76</x:v>
      </x:c>
      <x:c r="I207" s="20" t="n">
        <x:v>0.25</x:v>
      </x:c>
      <x:c r="J207" s="17" t="str">
        <x:v>None</x:v>
      </x:c>
      <x:c r="K207" s="17" t="str">
        <x:v>No</x:v>
      </x:c>
      <x:c r="L207" s="17" t="str">
        <x:v>Yes</x:v>
      </x:c>
      <x:c r="M207" s="29" t="str">
        <x:f>INDEX('Prompt Totals'!$C$7:$C$246,MATCH($A207,'Prompt Totals'!$A$7:$A$246,0))</x:f>
        <x:v>InsightDesk</x:v>
      </x:c>
      <x:c r="N207" s="29" t="str">
        <x:f>INDEX('Prompt Totals'!$D$7:$D$246,MATCH($A207,'Prompt Totals'!$A$7:$A$246,0))</x:f>
        <x:v>Lite</x:v>
      </x:c>
      <x:c r="O207" s="29" t="n">
        <x:f>INDEX('Prompt Totals'!$E$7:$E$246,MATCH($A207,'Prompt Totals'!$A$7:$A$246,0))</x:f>
        <x:v>180689</x:v>
      </x:c>
      <x:c r="P207" s="29" t="n">
        <x:f>INDEX('Prompt Totals'!$F$7:$F$246,MATCH($A207,'Prompt Totals'!$A$7:$A$246,0))</x:f>
        <x:v>42600</x:v>
      </x:c>
      <x:c r="Q207" s="29" t="n">
        <x:f>INDEX('Prompt Totals'!$G$7:$G$246,MATCH($A207,'Prompt Totals'!$A$7:$A$246,0))</x:f>
        <x:v>223289</x:v>
      </x:c>
      <x:c r="R207" s="29" t="n">
        <x:f>INDEX('Prompt Totals'!$H$7:$H$246,MATCH($A207,'Prompt Totals'!$A$7:$A$246,0))</x:f>
        <x:v>11</x:v>
      </x:c>
      <x:c r="S207" s="30" t="n">
        <x:f>INDEX('Prompt Totals'!$I$7:$I$246,MATCH($A207,'Prompt Totals'!$A$7:$A$246,0))</x:f>
        <x:v>1.80689</x:v>
      </x:c>
      <x:c r="T207" s="30" t="n">
        <x:f>INDEX('Prompt Totals'!$J$7:$J$246,MATCH($A207,'Prompt Totals'!$A$7:$A$246,0))</x:f>
        <x:v>1.278</x:v>
      </x:c>
      <x:c r="U207" s="30" t="n">
        <x:f>INDEX('Prompt Totals'!$K$7:$K$246,MATCH($A207,'Prompt Totals'!$A$7:$A$246,0))</x:f>
        <x:v>3.08489</x:v>
      </x:c>
      <x:c r="V207" s="29" t="n">
        <x:f>INDEX('Prompt Totals'!$L$7:$L$246,MATCH($A207,'Prompt Totals'!$A$7:$A$246,0))</x:f>
        <x:v>1</x:v>
      </x:c>
      <x:c r="W207" s="29" t="n">
        <x:f>INDEX('Prompt Totals'!$M$7:$M$246,MATCH($A207,'Prompt Totals'!$A$7:$A$246,0))</x:f>
        <x:v>7</x:v>
      </x:c>
      <x:c r="X207" s="29" t="n">
        <x:f>INDEX('Prompt Totals'!$N$7:$N$246,MATCH($A207,'Prompt Totals'!$A$7:$A$246,0))</x:f>
        <x:v>3</x:v>
      </x:c>
      <x:c r="Y207" s="19" t="n">
        <x:f>G207-H207</x:f>
        <x:v>2.5300000000000002</x:v>
      </x:c>
      <x:c r="Z207" s="30" t="n">
        <x:f>Y207*'Solution'!$C$5</x:f>
        <x:v>126.50000000000001</x:v>
      </x:c>
      <x:c r="AA207" s="22" t="n">
        <x:f>Z207-U207</x:f>
        <x:v>123.41511000000001</x:v>
      </x:c>
    </x:row>
    <x:row r="208" ht="23" customHeight="1">
      <x:c r="A208" s="17" t="str">
        <x:v>W0202</x:v>
      </x:c>
      <x:c r="B208" s="18" t="n">
        <x:v>46293</x:v>
      </x:c>
      <x:c r="C208" s="17" t="str">
        <x:v>C004</x:v>
      </x:c>
      <x:c r="D208" s="17" t="str">
        <x:v>Content</x:v>
      </x:c>
      <x:c r="E208" s="17" t="str">
        <x:v>Avery Morgan</x:v>
      </x:c>
      <x:c r="F208" s="17" t="str">
        <x:v>Write ad copy</x:v>
      </x:c>
      <x:c r="G208" s="20" t="n">
        <x:v>4.27</x:v>
      </x:c>
      <x:c r="H208" s="20" t="n">
        <x:v>3.27</x:v>
      </x:c>
      <x:c r="I208" s="20" t="n">
        <x:v>0.07</x:v>
      </x:c>
      <x:c r="J208" s="17" t="str">
        <x:v>Brief changed</x:v>
      </x:c>
      <x:c r="K208" s="17" t="str">
        <x:v>Yes</x:v>
      </x:c>
      <x:c r="L208" s="17" t="str">
        <x:v>Yes</x:v>
      </x:c>
      <x:c r="M208" s="29" t="str">
        <x:f>INDEX('Prompt Totals'!$C$7:$C$246,MATCH($A208,'Prompt Totals'!$A$7:$A$246,0))</x:f>
        <x:v>CopyStudio</x:v>
      </x:c>
      <x:c r="N208" s="29" t="str">
        <x:f>INDEX('Prompt Totals'!$D$7:$D$246,MATCH($A208,'Prompt Totals'!$A$7:$A$246,0))</x:f>
        <x:v>Pro</x:v>
      </x:c>
      <x:c r="O208" s="29" t="n">
        <x:f>INDEX('Prompt Totals'!$E$7:$E$246,MATCH($A208,'Prompt Totals'!$A$7:$A$246,0))</x:f>
        <x:v>315026</x:v>
      </x:c>
      <x:c r="P208" s="29" t="n">
        <x:f>INDEX('Prompt Totals'!$F$7:$F$246,MATCH($A208,'Prompt Totals'!$A$7:$A$246,0))</x:f>
        <x:v>87990</x:v>
      </x:c>
      <x:c r="Q208" s="29" t="n">
        <x:f>INDEX('Prompt Totals'!$G$7:$G$246,MATCH($A208,'Prompt Totals'!$A$7:$A$246,0))</x:f>
        <x:v>403016</x:v>
      </x:c>
      <x:c r="R208" s="29" t="n">
        <x:f>INDEX('Prompt Totals'!$H$7:$H$246,MATCH($A208,'Prompt Totals'!$A$7:$A$246,0))</x:f>
        <x:v>13</x:v>
      </x:c>
      <x:c r="S208" s="30" t="n">
        <x:f>INDEX('Prompt Totals'!$I$7:$I$246,MATCH($A208,'Prompt Totals'!$A$7:$A$246,0))</x:f>
        <x:v>12.601040000000003</x:v>
      </x:c>
      <x:c r="T208" s="30" t="n">
        <x:f>INDEX('Prompt Totals'!$J$7:$J$246,MATCH($A208,'Prompt Totals'!$A$7:$A$246,0))</x:f>
        <x:v>8.799</x:v>
      </x:c>
      <x:c r="U208" s="30" t="n">
        <x:f>INDEX('Prompt Totals'!$K$7:$K$246,MATCH($A208,'Prompt Totals'!$A$7:$A$246,0))</x:f>
        <x:v>21.400039999999997</x:v>
      </x:c>
      <x:c r="V208" s="29" t="n">
        <x:f>INDEX('Prompt Totals'!$L$7:$L$246,MATCH($A208,'Prompt Totals'!$A$7:$A$246,0))</x:f>
        <x:v>1</x:v>
      </x:c>
      <x:c r="W208" s="29" t="n">
        <x:f>INDEX('Prompt Totals'!$M$7:$M$246,MATCH($A208,'Prompt Totals'!$A$7:$A$246,0))</x:f>
        <x:v>9</x:v>
      </x:c>
      <x:c r="X208" s="29" t="n">
        <x:f>INDEX('Prompt Totals'!$N$7:$N$246,MATCH($A208,'Prompt Totals'!$A$7:$A$246,0))</x:f>
        <x:v>3</x:v>
      </x:c>
      <x:c r="Y208" s="19" t="n">
        <x:f>G208-H208</x:f>
        <x:v>0.9999999999999996</x:v>
      </x:c>
      <x:c r="Z208" s="30" t="n">
        <x:f>Y208*'Solution'!$C$5</x:f>
        <x:v>49.99999999999998</x:v>
      </x:c>
      <x:c r="AA208" s="22" t="n">
        <x:f>Z208-U208</x:f>
        <x:v>28.59995999999998</x:v>
      </x:c>
    </x:row>
    <x:row r="209" ht="23" customHeight="1">
      <x:c r="A209" s="17" t="str">
        <x:v>W0203</x:v>
      </x:c>
      <x:c r="B209" s="18" t="n">
        <x:v>46276</x:v>
      </x:c>
      <x:c r="C209" s="17" t="str">
        <x:v>C004</x:v>
      </x:c>
      <x:c r="D209" s="17" t="str">
        <x:v>Content</x:v>
      </x:c>
      <x:c r="E209" s="17" t="str">
        <x:v>Jordan Ellis</x:v>
      </x:c>
      <x:c r="F209" s="17" t="str">
        <x:v>Draft email sequence</x:v>
      </x:c>
      <x:c r="G209" s="20" t="n">
        <x:v>5.12</x:v>
      </x:c>
      <x:c r="H209" s="20" t="n">
        <x:v>4.62</x:v>
      </x:c>
      <x:c r="I209" s="20" t="n">
        <x:v>0.05</x:v>
      </x:c>
      <x:c r="J209" s="17" t="str">
        <x:v>None</x:v>
      </x:c>
      <x:c r="K209" s="17" t="str">
        <x:v>No</x:v>
      </x:c>
      <x:c r="L209" s="17" t="str">
        <x:v>Yes</x:v>
      </x:c>
      <x:c r="M209" s="29" t="str">
        <x:f>INDEX('Prompt Totals'!$C$7:$C$246,MATCH($A209,'Prompt Totals'!$A$7:$A$246,0))</x:f>
        <x:v>CopyStudio</x:v>
      </x:c>
      <x:c r="N209" s="29" t="str">
        <x:f>INDEX('Prompt Totals'!$D$7:$D$246,MATCH($A209,'Prompt Totals'!$A$7:$A$246,0))</x:f>
        <x:v>Lite</x:v>
      </x:c>
      <x:c r="O209" s="29" t="n">
        <x:f>INDEX('Prompt Totals'!$E$7:$E$246,MATCH($A209,'Prompt Totals'!$A$7:$A$246,0))</x:f>
        <x:v>260170</x:v>
      </x:c>
      <x:c r="P209" s="29" t="n">
        <x:f>INDEX('Prompt Totals'!$F$7:$F$246,MATCH($A209,'Prompt Totals'!$A$7:$A$246,0))</x:f>
        <x:v>52374</x:v>
      </x:c>
      <x:c r="Q209" s="29" t="n">
        <x:f>INDEX('Prompt Totals'!$G$7:$G$246,MATCH($A209,'Prompt Totals'!$A$7:$A$246,0))</x:f>
        <x:v>312544</x:v>
      </x:c>
      <x:c r="R209" s="29" t="n">
        <x:f>INDEX('Prompt Totals'!$H$7:$H$246,MATCH($A209,'Prompt Totals'!$A$7:$A$246,0))</x:f>
        <x:v>12</x:v>
      </x:c>
      <x:c r="S209" s="30" t="n">
        <x:f>INDEX('Prompt Totals'!$I$7:$I$246,MATCH($A209,'Prompt Totals'!$A$7:$A$246,0))</x:f>
        <x:v>2.6017</x:v>
      </x:c>
      <x:c r="T209" s="30" t="n">
        <x:f>INDEX('Prompt Totals'!$J$7:$J$246,MATCH($A209,'Prompt Totals'!$A$7:$A$246,0))</x:f>
        <x:v>1.57122</x:v>
      </x:c>
      <x:c r="U209" s="30" t="n">
        <x:f>INDEX('Prompt Totals'!$K$7:$K$246,MATCH($A209,'Prompt Totals'!$A$7:$A$246,0))</x:f>
        <x:v>4.1729199999999995</x:v>
      </x:c>
      <x:c r="V209" s="29" t="n">
        <x:f>INDEX('Prompt Totals'!$L$7:$L$246,MATCH($A209,'Prompt Totals'!$A$7:$A$246,0))</x:f>
        <x:v>1</x:v>
      </x:c>
      <x:c r="W209" s="29" t="n">
        <x:f>INDEX('Prompt Totals'!$M$7:$M$246,MATCH($A209,'Prompt Totals'!$A$7:$A$246,0))</x:f>
        <x:v>9</x:v>
      </x:c>
      <x:c r="X209" s="29" t="n">
        <x:f>INDEX('Prompt Totals'!$N$7:$N$246,MATCH($A209,'Prompt Totals'!$A$7:$A$246,0))</x:f>
        <x:v>2</x:v>
      </x:c>
      <x:c r="Y209" s="19" t="n">
        <x:f>G209-H209</x:f>
        <x:v>0.5</x:v>
      </x:c>
      <x:c r="Z209" s="30" t="n">
        <x:f>Y209*'Solution'!$C$5</x:f>
        <x:v>25</x:v>
      </x:c>
      <x:c r="AA209" s="22" t="n">
        <x:f>Z209-U209</x:f>
        <x:v>20.827080000000002</x:v>
      </x:c>
    </x:row>
    <x:row r="210" ht="23" customHeight="1">
      <x:c r="A210" s="17" t="str">
        <x:v>W0204</x:v>
      </x:c>
      <x:c r="B210" s="18" t="n">
        <x:v>46287</x:v>
      </x:c>
      <x:c r="C210" s="17" t="str">
        <x:v>C004</x:v>
      </x:c>
      <x:c r="D210" s="17" t="str">
        <x:v>Creative</x:v>
      </x:c>
      <x:c r="E210" s="17" t="str">
        <x:v>Riley Chen</x:v>
      </x:c>
      <x:c r="F210" s="17" t="str">
        <x:v>Plan visual narrative</x:v>
      </x:c>
      <x:c r="G210" s="20" t="n">
        <x:v>3.66</x:v>
      </x:c>
      <x:c r="H210" s="20" t="n">
        <x:v>4.46</x:v>
      </x:c>
      <x:c r="I210" s="20" t="n">
        <x:v>0.1</x:v>
      </x:c>
      <x:c r="J210" s="17" t="str">
        <x:v>Unclear prompt</x:v>
      </x:c>
      <x:c r="K210" s="17" t="str">
        <x:v>No</x:v>
      </x:c>
      <x:c r="L210" s="17" t="str">
        <x:v>No</x:v>
      </x:c>
      <x:c r="M210" s="29" t="str">
        <x:f>INDEX('Prompt Totals'!$C$7:$C$246,MATCH($A210,'Prompt Totals'!$A$7:$A$246,0))</x:f>
        <x:v>CampaignChat</x:v>
      </x:c>
      <x:c r="N210" s="29" t="str">
        <x:f>INDEX('Prompt Totals'!$D$7:$D$246,MATCH($A210,'Prompt Totals'!$A$7:$A$246,0))</x:f>
        <x:v>Lite</x:v>
      </x:c>
      <x:c r="O210" s="29" t="n">
        <x:f>INDEX('Prompt Totals'!$E$7:$E$246,MATCH($A210,'Prompt Totals'!$A$7:$A$246,0))</x:f>
        <x:v>306113</x:v>
      </x:c>
      <x:c r="P210" s="29" t="n">
        <x:f>INDEX('Prompt Totals'!$F$7:$F$246,MATCH($A210,'Prompt Totals'!$A$7:$A$246,0))</x:f>
        <x:v>109896</x:v>
      </x:c>
      <x:c r="Q210" s="29" t="n">
        <x:f>INDEX('Prompt Totals'!$G$7:$G$246,MATCH($A210,'Prompt Totals'!$A$7:$A$246,0))</x:f>
        <x:v>416009</x:v>
      </x:c>
      <x:c r="R210" s="29" t="n">
        <x:f>INDEX('Prompt Totals'!$H$7:$H$246,MATCH($A210,'Prompt Totals'!$A$7:$A$246,0))</x:f>
        <x:v>19</x:v>
      </x:c>
      <x:c r="S210" s="30" t="n">
        <x:f>INDEX('Prompt Totals'!$I$7:$I$246,MATCH($A210,'Prompt Totals'!$A$7:$A$246,0))</x:f>
        <x:v>3.0611299999999995</x:v>
      </x:c>
      <x:c r="T210" s="30" t="n">
        <x:f>INDEX('Prompt Totals'!$J$7:$J$246,MATCH($A210,'Prompt Totals'!$A$7:$A$246,0))</x:f>
        <x:v>3.29688</x:v>
      </x:c>
      <x:c r="U210" s="30" t="n">
        <x:f>INDEX('Prompt Totals'!$K$7:$K$246,MATCH($A210,'Prompt Totals'!$A$7:$A$246,0))</x:f>
        <x:v>6.358010000000001</x:v>
      </x:c>
      <x:c r="V210" s="29" t="n">
        <x:f>INDEX('Prompt Totals'!$L$7:$L$246,MATCH($A210,'Prompt Totals'!$A$7:$A$246,0))</x:f>
        <x:v>1</x:v>
      </x:c>
      <x:c r="W210" s="29" t="n">
        <x:f>INDEX('Prompt Totals'!$M$7:$M$246,MATCH($A210,'Prompt Totals'!$A$7:$A$246,0))</x:f>
        <x:v>13</x:v>
      </x:c>
      <x:c r="X210" s="29" t="n">
        <x:f>INDEX('Prompt Totals'!$N$7:$N$246,MATCH($A210,'Prompt Totals'!$A$7:$A$246,0))</x:f>
        <x:v>5</x:v>
      </x:c>
      <x:c r="Y210" s="19" t="n">
        <x:f>G210-H210</x:f>
        <x:v>-0.7999999999999998</x:v>
      </x:c>
      <x:c r="Z210" s="30" t="n">
        <x:f>Y210*'Solution'!$C$5</x:f>
        <x:v>-39.99999999999999</x:v>
      </x:c>
      <x:c r="AA210" s="22" t="n">
        <x:f>Z210-U210</x:f>
        <x:v>-46.35800999999999</x:v>
      </x:c>
    </x:row>
    <x:row r="211" ht="23" customHeight="1">
      <x:c r="A211" s="17" t="str">
        <x:v>W0205</x:v>
      </x:c>
      <x:c r="B211" s="18" t="n">
        <x:v>46269</x:v>
      </x:c>
      <x:c r="C211" s="17" t="str">
        <x:v>C004</x:v>
      </x:c>
      <x:c r="D211" s="17" t="str">
        <x:v>Creative</x:v>
      </x:c>
      <x:c r="E211" s="17" t="str">
        <x:v>Taylor Brooks</x:v>
      </x:c>
      <x:c r="F211" s="17" t="str">
        <x:v>Develop concept brief</x:v>
      </x:c>
      <x:c r="G211" s="20" t="n">
        <x:v>3.82</x:v>
      </x:c>
      <x:c r="H211" s="20" t="n">
        <x:v>4.28</x:v>
      </x:c>
      <x:c r="I211" s="20" t="n">
        <x:v>0.3</x:v>
      </x:c>
      <x:c r="J211" s="17" t="str">
        <x:v>None</x:v>
      </x:c>
      <x:c r="K211" s="17" t="str">
        <x:v>No</x:v>
      </x:c>
      <x:c r="L211" s="17" t="str">
        <x:v>No</x:v>
      </x:c>
      <x:c r="M211" s="29" t="str">
        <x:f>INDEX('Prompt Totals'!$C$7:$C$246,MATCH($A211,'Prompt Totals'!$A$7:$A$246,0))</x:f>
        <x:v>CampaignChat</x:v>
      </x:c>
      <x:c r="N211" s="29" t="str">
        <x:f>INDEX('Prompt Totals'!$D$7:$D$246,MATCH($A211,'Prompt Totals'!$A$7:$A$246,0))</x:f>
        <x:v>Lite</x:v>
      </x:c>
      <x:c r="O211" s="29" t="n">
        <x:f>INDEX('Prompt Totals'!$E$7:$E$246,MATCH($A211,'Prompt Totals'!$A$7:$A$246,0))</x:f>
        <x:v>507977</x:v>
      </x:c>
      <x:c r="P211" s="29" t="n">
        <x:f>INDEX('Prompt Totals'!$F$7:$F$246,MATCH($A211,'Prompt Totals'!$A$7:$A$246,0))</x:f>
        <x:v>99437</x:v>
      </x:c>
      <x:c r="Q211" s="29" t="n">
        <x:f>INDEX('Prompt Totals'!$G$7:$G$246,MATCH($A211,'Prompt Totals'!$A$7:$A$246,0))</x:f>
        <x:v>607414</x:v>
      </x:c>
      <x:c r="R211" s="29" t="n">
        <x:f>INDEX('Prompt Totals'!$H$7:$H$246,MATCH($A211,'Prompt Totals'!$A$7:$A$246,0))</x:f>
        <x:v>19</x:v>
      </x:c>
      <x:c r="S211" s="30" t="n">
        <x:f>INDEX('Prompt Totals'!$I$7:$I$246,MATCH($A211,'Prompt Totals'!$A$7:$A$246,0))</x:f>
        <x:v>5.079769999999999</x:v>
      </x:c>
      <x:c r="T211" s="30" t="n">
        <x:f>INDEX('Prompt Totals'!$J$7:$J$246,MATCH($A211,'Prompt Totals'!$A$7:$A$246,0))</x:f>
        <x:v>2.9831100000000004</x:v>
      </x:c>
      <x:c r="U211" s="30" t="n">
        <x:f>INDEX('Prompt Totals'!$K$7:$K$246,MATCH($A211,'Prompt Totals'!$A$7:$A$246,0))</x:f>
        <x:v>8.06288</x:v>
      </x:c>
      <x:c r="V211" s="29" t="n">
        <x:f>INDEX('Prompt Totals'!$L$7:$L$246,MATCH($A211,'Prompt Totals'!$A$7:$A$246,0))</x:f>
        <x:v>1</x:v>
      </x:c>
      <x:c r="W211" s="29" t="n">
        <x:f>INDEX('Prompt Totals'!$M$7:$M$246,MATCH($A211,'Prompt Totals'!$A$7:$A$246,0))</x:f>
        <x:v>15</x:v>
      </x:c>
      <x:c r="X211" s="29" t="n">
        <x:f>INDEX('Prompt Totals'!$N$7:$N$246,MATCH($A211,'Prompt Totals'!$A$7:$A$246,0))</x:f>
        <x:v>3</x:v>
      </x:c>
      <x:c r="Y211" s="19" t="n">
        <x:f>G211-H211</x:f>
        <x:v>-0.4600000000000004</x:v>
      </x:c>
      <x:c r="Z211" s="30" t="n">
        <x:f>Y211*'Solution'!$C$5</x:f>
        <x:v>-23.00000000000002</x:v>
      </x:c>
      <x:c r="AA211" s="22" t="n">
        <x:f>Z211-U211</x:f>
        <x:v>-31.06288000000002</x:v>
      </x:c>
    </x:row>
    <x:row r="212" ht="23" customHeight="1">
      <x:c r="A212" s="17" t="str">
        <x:v>W0206</x:v>
      </x:c>
      <x:c r="B212" s="18" t="n">
        <x:v>46281</x:v>
      </x:c>
      <x:c r="C212" s="17" t="str">
        <x:v>C004</x:v>
      </x:c>
      <x:c r="D212" s="17" t="str">
        <x:v>Marketing Operations</x:v>
      </x:c>
      <x:c r="E212" s="17" t="str">
        <x:v>Casey Rivera</x:v>
      </x:c>
      <x:c r="F212" s="17" t="str">
        <x:v>Clean audience data</x:v>
      </x:c>
      <x:c r="G212" s="20" t="n">
        <x:v>3.98</x:v>
      </x:c>
      <x:c r="H212" s="20" t="n">
        <x:v>1.85</x:v>
      </x:c>
      <x:c r="I212" s="20" t="n">
        <x:v>0.16</x:v>
      </x:c>
      <x:c r="J212" s="17" t="str">
        <x:v>None</x:v>
      </x:c>
      <x:c r="K212" s="17" t="str">
        <x:v>No</x:v>
      </x:c>
      <x:c r="L212" s="17" t="str">
        <x:v>Yes</x:v>
      </x:c>
      <x:c r="M212" s="29" t="str">
        <x:f>INDEX('Prompt Totals'!$C$7:$C$246,MATCH($A212,'Prompt Totals'!$A$7:$A$246,0))</x:f>
        <x:v>DataFlow</x:v>
      </x:c>
      <x:c r="N212" s="29" t="str">
        <x:f>INDEX('Prompt Totals'!$D$7:$D$246,MATCH($A212,'Prompt Totals'!$A$7:$A$246,0))</x:f>
        <x:v>Pro</x:v>
      </x:c>
      <x:c r="O212" s="29" t="n">
        <x:f>INDEX('Prompt Totals'!$E$7:$E$246,MATCH($A212,'Prompt Totals'!$A$7:$A$246,0))</x:f>
        <x:v>382913</x:v>
      </x:c>
      <x:c r="P212" s="29" t="n">
        <x:f>INDEX('Prompt Totals'!$F$7:$F$246,MATCH($A212,'Prompt Totals'!$A$7:$A$246,0))</x:f>
        <x:v>77515</x:v>
      </x:c>
      <x:c r="Q212" s="29" t="n">
        <x:f>INDEX('Prompt Totals'!$G$7:$G$246,MATCH($A212,'Prompt Totals'!$A$7:$A$246,0))</x:f>
        <x:v>460428</x:v>
      </x:c>
      <x:c r="R212" s="29" t="n">
        <x:f>INDEX('Prompt Totals'!$H$7:$H$246,MATCH($A212,'Prompt Totals'!$A$7:$A$246,0))</x:f>
        <x:v>14</x:v>
      </x:c>
      <x:c r="S212" s="30" t="n">
        <x:f>INDEX('Prompt Totals'!$I$7:$I$246,MATCH($A212,'Prompt Totals'!$A$7:$A$246,0))</x:f>
        <x:v>15.31652</x:v>
      </x:c>
      <x:c r="T212" s="30" t="n">
        <x:f>INDEX('Prompt Totals'!$J$7:$J$246,MATCH($A212,'Prompt Totals'!$A$7:$A$246,0))</x:f>
        <x:v>7.7515</x:v>
      </x:c>
      <x:c r="U212" s="30" t="n">
        <x:f>INDEX('Prompt Totals'!$K$7:$K$246,MATCH($A212,'Prompt Totals'!$A$7:$A$246,0))</x:f>
        <x:v>23.06802</x:v>
      </x:c>
      <x:c r="V212" s="29" t="n">
        <x:f>INDEX('Prompt Totals'!$L$7:$L$246,MATCH($A212,'Prompt Totals'!$A$7:$A$246,0))</x:f>
        <x:v>1</x:v>
      </x:c>
      <x:c r="W212" s="29" t="n">
        <x:f>INDEX('Prompt Totals'!$M$7:$M$246,MATCH($A212,'Prompt Totals'!$A$7:$A$246,0))</x:f>
        <x:v>10</x:v>
      </x:c>
      <x:c r="X212" s="29" t="n">
        <x:f>INDEX('Prompt Totals'!$N$7:$N$246,MATCH($A212,'Prompt Totals'!$A$7:$A$246,0))</x:f>
        <x:v>3</x:v>
      </x:c>
      <x:c r="Y212" s="19" t="n">
        <x:f>G212-H212</x:f>
        <x:v>2.13</x:v>
      </x:c>
      <x:c r="Z212" s="30" t="n">
        <x:f>Y212*'Solution'!$C$5</x:f>
        <x:v>106.5</x:v>
      </x:c>
      <x:c r="AA212" s="22" t="n">
        <x:f>Z212-U212</x:f>
        <x:v>83.43198</x:v>
      </x:c>
    </x:row>
    <x:row r="213" ht="23" customHeight="1">
      <x:c r="A213" s="17" t="str">
        <x:v>W0207</x:v>
      </x:c>
      <x:c r="B213" s="18" t="n">
        <x:v>46290</x:v>
      </x:c>
      <x:c r="C213" s="17" t="str">
        <x:v>C004</x:v>
      </x:c>
      <x:c r="D213" s="17" t="str">
        <x:v>Marketing Operations</x:v>
      </x:c>
      <x:c r="E213" s="17" t="str">
        <x:v>Morgan Reed</x:v>
      </x:c>
      <x:c r="F213" s="17" t="str">
        <x:v>Prepare launch checklist</x:v>
      </x:c>
      <x:c r="G213" s="20" t="n">
        <x:v>4.08</x:v>
      </x:c>
      <x:c r="H213" s="20" t="n">
        <x:v>3.94</x:v>
      </x:c>
      <x:c r="I213" s="20" t="n">
        <x:v>0.31</x:v>
      </x:c>
      <x:c r="J213" s="17" t="str">
        <x:v>None</x:v>
      </x:c>
      <x:c r="K213" s="17" t="str">
        <x:v>No</x:v>
      </x:c>
      <x:c r="L213" s="17" t="str">
        <x:v>Yes</x:v>
      </x:c>
      <x:c r="M213" s="29" t="str">
        <x:f>INDEX('Prompt Totals'!$C$7:$C$246,MATCH($A213,'Prompt Totals'!$A$7:$A$246,0))</x:f>
        <x:v>DataFlow</x:v>
      </x:c>
      <x:c r="N213" s="29" t="str">
        <x:f>INDEX('Prompt Totals'!$D$7:$D$246,MATCH($A213,'Prompt Totals'!$A$7:$A$246,0))</x:f>
        <x:v>Pro</x:v>
      </x:c>
      <x:c r="O213" s="29" t="n">
        <x:f>INDEX('Prompt Totals'!$E$7:$E$246,MATCH($A213,'Prompt Totals'!$A$7:$A$246,0))</x:f>
        <x:v>246691</x:v>
      </x:c>
      <x:c r="P213" s="29" t="n">
        <x:f>INDEX('Prompt Totals'!$F$7:$F$246,MATCH($A213,'Prompt Totals'!$A$7:$A$246,0))</x:f>
        <x:v>79066</x:v>
      </x:c>
      <x:c r="Q213" s="29" t="n">
        <x:f>INDEX('Prompt Totals'!$G$7:$G$246,MATCH($A213,'Prompt Totals'!$A$7:$A$246,0))</x:f>
        <x:v>325757</x:v>
      </x:c>
      <x:c r="R213" s="29" t="n">
        <x:f>INDEX('Prompt Totals'!$H$7:$H$246,MATCH($A213,'Prompt Totals'!$A$7:$A$246,0))</x:f>
        <x:v>13</x:v>
      </x:c>
      <x:c r="S213" s="30" t="n">
        <x:f>INDEX('Prompt Totals'!$I$7:$I$246,MATCH($A213,'Prompt Totals'!$A$7:$A$246,0))</x:f>
        <x:v>9.867640000000002</x:v>
      </x:c>
      <x:c r="T213" s="30" t="n">
        <x:f>INDEX('Prompt Totals'!$J$7:$J$246,MATCH($A213,'Prompt Totals'!$A$7:$A$246,0))</x:f>
        <x:v>7.906599999999999</x:v>
      </x:c>
      <x:c r="U213" s="30" t="n">
        <x:f>INDEX('Prompt Totals'!$K$7:$K$246,MATCH($A213,'Prompt Totals'!$A$7:$A$246,0))</x:f>
        <x:v>17.774240000000002</x:v>
      </x:c>
      <x:c r="V213" s="29" t="n">
        <x:f>INDEX('Prompt Totals'!$L$7:$L$246,MATCH($A213,'Prompt Totals'!$A$7:$A$246,0))</x:f>
        <x:v>1</x:v>
      </x:c>
      <x:c r="W213" s="29" t="n">
        <x:f>INDEX('Prompt Totals'!$M$7:$M$246,MATCH($A213,'Prompt Totals'!$A$7:$A$246,0))</x:f>
        <x:v>10</x:v>
      </x:c>
      <x:c r="X213" s="29" t="n">
        <x:f>INDEX('Prompt Totals'!$N$7:$N$246,MATCH($A213,'Prompt Totals'!$A$7:$A$246,0))</x:f>
        <x:v>2</x:v>
      </x:c>
      <x:c r="Y213" s="19" t="n">
        <x:f>G213-H213</x:f>
        <x:v>0.14000000000000012</x:v>
      </x:c>
      <x:c r="Z213" s="30" t="n">
        <x:f>Y213*'Solution'!$C$5</x:f>
        <x:v>7.000000000000006</x:v>
      </x:c>
      <x:c r="AA213" s="22" t="n">
        <x:f>Z213-U213</x:f>
        <x:v>-10.774239999999995</x:v>
      </x:c>
    </x:row>
    <x:row r="214" ht="23" customHeight="1">
      <x:c r="A214" s="17" t="str">
        <x:v>W0208</x:v>
      </x:c>
      <x:c r="B214" s="18" t="n">
        <x:v>46275</x:v>
      </x:c>
      <x:c r="C214" s="17" t="str">
        <x:v>C004</x:v>
      </x:c>
      <x:c r="D214" s="17" t="str">
        <x:v>Analytics</x:v>
      </x:c>
      <x:c r="E214" s="17" t="str">
        <x:v>Quinn Parker</x:v>
      </x:c>
      <x:c r="F214" s="17" t="str">
        <x:v>Analyze campaign results</x:v>
      </x:c>
      <x:c r="G214" s="20" t="n">
        <x:v>4.1</x:v>
      </x:c>
      <x:c r="H214" s="20" t="n">
        <x:v>3.91</x:v>
      </x:c>
      <x:c r="I214" s="20" t="n">
        <x:v>0.62</x:v>
      </x:c>
      <x:c r="J214" s="17" t="str">
        <x:v>Unclear prompt</x:v>
      </x:c>
      <x:c r="K214" s="17" t="str">
        <x:v>No</x:v>
      </x:c>
      <x:c r="L214" s="17" t="str">
        <x:v>Yes</x:v>
      </x:c>
      <x:c r="M214" s="29" t="str">
        <x:f>INDEX('Prompt Totals'!$C$7:$C$246,MATCH($A214,'Prompt Totals'!$A$7:$A$246,0))</x:f>
        <x:v>InsightDesk</x:v>
      </x:c>
      <x:c r="N214" s="29" t="str">
        <x:f>INDEX('Prompt Totals'!$D$7:$D$246,MATCH($A214,'Prompt Totals'!$A$7:$A$246,0))</x:f>
        <x:v>Pro</x:v>
      </x:c>
      <x:c r="O214" s="29" t="n">
        <x:f>INDEX('Prompt Totals'!$E$7:$E$246,MATCH($A214,'Prompt Totals'!$A$7:$A$246,0))</x:f>
        <x:v>273036</x:v>
      </x:c>
      <x:c r="P214" s="29" t="n">
        <x:f>INDEX('Prompt Totals'!$F$7:$F$246,MATCH($A214,'Prompt Totals'!$A$7:$A$246,0))</x:f>
        <x:v>99833</x:v>
      </x:c>
      <x:c r="Q214" s="29" t="n">
        <x:f>INDEX('Prompt Totals'!$G$7:$G$246,MATCH($A214,'Prompt Totals'!$A$7:$A$246,0))</x:f>
        <x:v>372869</x:v>
      </x:c>
      <x:c r="R214" s="29" t="n">
        <x:f>INDEX('Prompt Totals'!$H$7:$H$246,MATCH($A214,'Prompt Totals'!$A$7:$A$246,0))</x:f>
        <x:v>11</x:v>
      </x:c>
      <x:c r="S214" s="30" t="n">
        <x:f>INDEX('Prompt Totals'!$I$7:$I$246,MATCH($A214,'Prompt Totals'!$A$7:$A$246,0))</x:f>
        <x:v>10.921439999999999</x:v>
      </x:c>
      <x:c r="T214" s="30" t="n">
        <x:f>INDEX('Prompt Totals'!$J$7:$J$246,MATCH($A214,'Prompt Totals'!$A$7:$A$246,0))</x:f>
        <x:v>9.983299999999998</x:v>
      </x:c>
      <x:c r="U214" s="30" t="n">
        <x:f>INDEX('Prompt Totals'!$K$7:$K$246,MATCH($A214,'Prompt Totals'!$A$7:$A$246,0))</x:f>
        <x:v>20.904739999999997</x:v>
      </x:c>
      <x:c r="V214" s="29" t="n">
        <x:f>INDEX('Prompt Totals'!$L$7:$L$246,MATCH($A214,'Prompt Totals'!$A$7:$A$246,0))</x:f>
        <x:v>1</x:v>
      </x:c>
      <x:c r="W214" s="29" t="n">
        <x:f>INDEX('Prompt Totals'!$M$7:$M$246,MATCH($A214,'Prompt Totals'!$A$7:$A$246,0))</x:f>
        <x:v>9</x:v>
      </x:c>
      <x:c r="X214" s="29" t="n">
        <x:f>INDEX('Prompt Totals'!$N$7:$N$246,MATCH($A214,'Prompt Totals'!$A$7:$A$246,0))</x:f>
        <x:v>1</x:v>
      </x:c>
      <x:c r="Y214" s="19" t="n">
        <x:f>G214-H214</x:f>
        <x:v>0.1899999999999995</x:v>
      </x:c>
      <x:c r="Z214" s="30" t="n">
        <x:f>Y214*'Solution'!$C$5</x:f>
        <x:v>9.499999999999975</x:v>
      </x:c>
      <x:c r="AA214" s="22" t="n">
        <x:f>Z214-U214</x:f>
        <x:v>-11.404740000000022</x:v>
      </x:c>
    </x:row>
    <x:row r="215" ht="23" customHeight="1">
      <x:c r="A215" s="17" t="str">
        <x:v>W0209</x:v>
      </x:c>
      <x:c r="B215" s="18" t="n">
        <x:v>46286</x:v>
      </x:c>
      <x:c r="C215" s="17" t="str">
        <x:v>C004</x:v>
      </x:c>
      <x:c r="D215" s="17" t="str">
        <x:v>Analytics</x:v>
      </x:c>
      <x:c r="E215" s="17" t="str">
        <x:v>Jamie Patel</x:v>
      </x:c>
      <x:c r="F215" s="17" t="str">
        <x:v>Summarize audience insights</x:v>
      </x:c>
      <x:c r="G215" s="20" t="n">
        <x:v>4.07</x:v>
      </x:c>
      <x:c r="H215" s="20" t="n">
        <x:v>3.32</x:v>
      </x:c>
      <x:c r="I215" s="20" t="n">
        <x:v>0.13</x:v>
      </x:c>
      <x:c r="J215" s="17" t="str">
        <x:v>None</x:v>
      </x:c>
      <x:c r="K215" s="17" t="str">
        <x:v>No</x:v>
      </x:c>
      <x:c r="L215" s="17" t="str">
        <x:v>No</x:v>
      </x:c>
      <x:c r="M215" s="29" t="str">
        <x:f>INDEX('Prompt Totals'!$C$7:$C$246,MATCH($A215,'Prompt Totals'!$A$7:$A$246,0))</x:f>
        <x:v>DataFlow</x:v>
      </x:c>
      <x:c r="N215" s="29" t="str">
        <x:f>INDEX('Prompt Totals'!$D$7:$D$246,MATCH($A215,'Prompt Totals'!$A$7:$A$246,0))</x:f>
        <x:v>Lite</x:v>
      </x:c>
      <x:c r="O215" s="29" t="n">
        <x:f>INDEX('Prompt Totals'!$E$7:$E$246,MATCH($A215,'Prompt Totals'!$A$7:$A$246,0))</x:f>
        <x:v>339054</x:v>
      </x:c>
      <x:c r="P215" s="29" t="n">
        <x:f>INDEX('Prompt Totals'!$F$7:$F$246,MATCH($A215,'Prompt Totals'!$A$7:$A$246,0))</x:f>
        <x:v>42832</x:v>
      </x:c>
      <x:c r="Q215" s="29" t="n">
        <x:f>INDEX('Prompt Totals'!$G$7:$G$246,MATCH($A215,'Prompt Totals'!$A$7:$A$246,0))</x:f>
        <x:v>381886</x:v>
      </x:c>
      <x:c r="R215" s="29" t="n">
        <x:f>INDEX('Prompt Totals'!$H$7:$H$246,MATCH($A215,'Prompt Totals'!$A$7:$A$246,0))</x:f>
        <x:v>16</x:v>
      </x:c>
      <x:c r="S215" s="30" t="n">
        <x:f>INDEX('Prompt Totals'!$I$7:$I$246,MATCH($A215,'Prompt Totals'!$A$7:$A$246,0))</x:f>
        <x:v>3.3905400000000006</x:v>
      </x:c>
      <x:c r="T215" s="30" t="n">
        <x:f>INDEX('Prompt Totals'!$J$7:$J$246,MATCH($A215,'Prompt Totals'!$A$7:$A$246,0))</x:f>
        <x:v>1.2849600000000003</x:v>
      </x:c>
      <x:c r="U215" s="30" t="n">
        <x:f>INDEX('Prompt Totals'!$K$7:$K$246,MATCH($A215,'Prompt Totals'!$A$7:$A$246,0))</x:f>
        <x:v>4.6754999999999995</x:v>
      </x:c>
      <x:c r="V215" s="29" t="n">
        <x:f>INDEX('Prompt Totals'!$L$7:$L$246,MATCH($A215,'Prompt Totals'!$A$7:$A$246,0))</x:f>
        <x:v>1</x:v>
      </x:c>
      <x:c r="W215" s="29" t="n">
        <x:f>INDEX('Prompt Totals'!$M$7:$M$246,MATCH($A215,'Prompt Totals'!$A$7:$A$246,0))</x:f>
        <x:v>10</x:v>
      </x:c>
      <x:c r="X215" s="29" t="n">
        <x:f>INDEX('Prompt Totals'!$N$7:$N$246,MATCH($A215,'Prompt Totals'!$A$7:$A$246,0))</x:f>
        <x:v>5</x:v>
      </x:c>
      <x:c r="Y215" s="19" t="n">
        <x:f>G215-H215</x:f>
        <x:v>0.7500000000000004</x:v>
      </x:c>
      <x:c r="Z215" s="30" t="n">
        <x:f>Y215*'Solution'!$C$5</x:f>
        <x:v>37.50000000000002</x:v>
      </x:c>
      <x:c r="AA215" s="22" t="n">
        <x:f>Z215-U215</x:f>
        <x:v>32.82450000000002</x:v>
      </x:c>
    </x:row>
    <x:row r="216" ht="23" customHeight="1">
      <x:c r="A216" s="17" t="str">
        <x:v>W0210</x:v>
      </x:c>
      <x:c r="B216" s="18" t="n">
        <x:v>46295</x:v>
      </x:c>
      <x:c r="C216" s="17" t="str">
        <x:v>C004</x:v>
      </x:c>
      <x:c r="D216" s="17" t="str">
        <x:v>Content</x:v>
      </x:c>
      <x:c r="E216" s="17" t="str">
        <x:v>Avery Morgan</x:v>
      </x:c>
      <x:c r="F216" s="17" t="str">
        <x:v>Edit landing page</x:v>
      </x:c>
      <x:c r="G216" s="20" t="n">
        <x:v>3.44</x:v>
      </x:c>
      <x:c r="H216" s="20" t="n">
        <x:v>2.46</x:v>
      </x:c>
      <x:c r="I216" s="20" t="n">
        <x:v>0.08</x:v>
      </x:c>
      <x:c r="J216" s="17" t="str">
        <x:v>None</x:v>
      </x:c>
      <x:c r="K216" s="17" t="str">
        <x:v>No</x:v>
      </x:c>
      <x:c r="L216" s="17" t="str">
        <x:v>Yes</x:v>
      </x:c>
      <x:c r="M216" s="29" t="str">
        <x:f>INDEX('Prompt Totals'!$C$7:$C$246,MATCH($A216,'Prompt Totals'!$A$7:$A$246,0))</x:f>
        <x:v>InsightDesk</x:v>
      </x:c>
      <x:c r="N216" s="29" t="str">
        <x:f>INDEX('Prompt Totals'!$D$7:$D$246,MATCH($A216,'Prompt Totals'!$A$7:$A$246,0))</x:f>
        <x:v>Lite</x:v>
      </x:c>
      <x:c r="O216" s="29" t="n">
        <x:f>INDEX('Prompt Totals'!$E$7:$E$246,MATCH($A216,'Prompt Totals'!$A$7:$A$246,0))</x:f>
        <x:v>406095</x:v>
      </x:c>
      <x:c r="P216" s="29" t="n">
        <x:f>INDEX('Prompt Totals'!$F$7:$F$246,MATCH($A216,'Prompt Totals'!$A$7:$A$246,0))</x:f>
        <x:v>89889</x:v>
      </x:c>
      <x:c r="Q216" s="29" t="n">
        <x:f>INDEX('Prompt Totals'!$G$7:$G$246,MATCH($A216,'Prompt Totals'!$A$7:$A$246,0))</x:f>
        <x:v>495984</x:v>
      </x:c>
      <x:c r="R216" s="29" t="n">
        <x:f>INDEX('Prompt Totals'!$H$7:$H$246,MATCH($A216,'Prompt Totals'!$A$7:$A$246,0))</x:f>
        <x:v>16</x:v>
      </x:c>
      <x:c r="S216" s="30" t="n">
        <x:f>INDEX('Prompt Totals'!$I$7:$I$246,MATCH($A216,'Prompt Totals'!$A$7:$A$246,0))</x:f>
        <x:v>4.06095</x:v>
      </x:c>
      <x:c r="T216" s="30" t="n">
        <x:f>INDEX('Prompt Totals'!$J$7:$J$246,MATCH($A216,'Prompt Totals'!$A$7:$A$246,0))</x:f>
        <x:v>2.6966699999999997</x:v>
      </x:c>
      <x:c r="U216" s="30" t="n">
        <x:f>INDEX('Prompt Totals'!$K$7:$K$246,MATCH($A216,'Prompt Totals'!$A$7:$A$246,0))</x:f>
        <x:v>6.757619999999999</x:v>
      </x:c>
      <x:c r="V216" s="29" t="n">
        <x:f>INDEX('Prompt Totals'!$L$7:$L$246,MATCH($A216,'Prompt Totals'!$A$7:$A$246,0))</x:f>
        <x:v>1</x:v>
      </x:c>
      <x:c r="W216" s="29" t="n">
        <x:f>INDEX('Prompt Totals'!$M$7:$M$246,MATCH($A216,'Prompt Totals'!$A$7:$A$246,0))</x:f>
        <x:v>12</x:v>
      </x:c>
      <x:c r="X216" s="29" t="n">
        <x:f>INDEX('Prompt Totals'!$N$7:$N$246,MATCH($A216,'Prompt Totals'!$A$7:$A$246,0))</x:f>
        <x:v>3</x:v>
      </x:c>
      <x:c r="Y216" s="19" t="n">
        <x:f>G216-H216</x:f>
        <x:v>0.98</x:v>
      </x:c>
      <x:c r="Z216" s="30" t="n">
        <x:f>Y216*'Solution'!$C$5</x:f>
        <x:v>49</x:v>
      </x:c>
      <x:c r="AA216" s="22" t="n">
        <x:f>Z216-U216</x:f>
        <x:v>42.24238</x:v>
      </x:c>
    </x:row>
    <x:row r="217" ht="23" customHeight="1">
      <x:c r="A217" s="17" t="str">
        <x:v>W0211</x:v>
      </x:c>
      <x:c r="B217" s="18" t="n">
        <x:v>46280</x:v>
      </x:c>
      <x:c r="C217" s="17" t="str">
        <x:v>C004</x:v>
      </x:c>
      <x:c r="D217" s="17" t="str">
        <x:v>Content</x:v>
      </x:c>
      <x:c r="E217" s="17" t="str">
        <x:v>Jordan Ellis</x:v>
      </x:c>
      <x:c r="F217" s="17" t="str">
        <x:v>Write ad copy</x:v>
      </x:c>
      <x:c r="G217" s="20" t="n">
        <x:v>5.71</x:v>
      </x:c>
      <x:c r="H217" s="20" t="n">
        <x:v>3.89</x:v>
      </x:c>
      <x:c r="I217" s="20" t="n">
        <x:v>0.31</x:v>
      </x:c>
      <x:c r="J217" s="17" t="str">
        <x:v>None</x:v>
      </x:c>
      <x:c r="K217" s="17" t="str">
        <x:v>No</x:v>
      </x:c>
      <x:c r="L217" s="17" t="str">
        <x:v>No</x:v>
      </x:c>
      <x:c r="M217" s="29" t="str">
        <x:f>INDEX('Prompt Totals'!$C$7:$C$246,MATCH($A217,'Prompt Totals'!$A$7:$A$246,0))</x:f>
        <x:v>CopyStudio</x:v>
      </x:c>
      <x:c r="N217" s="29" t="str">
        <x:f>INDEX('Prompt Totals'!$D$7:$D$246,MATCH($A217,'Prompt Totals'!$A$7:$A$246,0))</x:f>
        <x:v>Pro</x:v>
      </x:c>
      <x:c r="O217" s="29" t="n">
        <x:f>INDEX('Prompt Totals'!$E$7:$E$246,MATCH($A217,'Prompt Totals'!$A$7:$A$246,0))</x:f>
        <x:v>274869</x:v>
      </x:c>
      <x:c r="P217" s="29" t="n">
        <x:f>INDEX('Prompt Totals'!$F$7:$F$246,MATCH($A217,'Prompt Totals'!$A$7:$A$246,0))</x:f>
        <x:v>64006</x:v>
      </x:c>
      <x:c r="Q217" s="29" t="n">
        <x:f>INDEX('Prompt Totals'!$G$7:$G$246,MATCH($A217,'Prompt Totals'!$A$7:$A$246,0))</x:f>
        <x:v>338875</x:v>
      </x:c>
      <x:c r="R217" s="29" t="n">
        <x:f>INDEX('Prompt Totals'!$H$7:$H$246,MATCH($A217,'Prompt Totals'!$A$7:$A$246,0))</x:f>
        <x:v>10</x:v>
      </x:c>
      <x:c r="S217" s="30" t="n">
        <x:f>INDEX('Prompt Totals'!$I$7:$I$246,MATCH($A217,'Prompt Totals'!$A$7:$A$246,0))</x:f>
        <x:v>10.99476</x:v>
      </x:c>
      <x:c r="T217" s="30" t="n">
        <x:f>INDEX('Prompt Totals'!$J$7:$J$246,MATCH($A217,'Prompt Totals'!$A$7:$A$246,0))</x:f>
        <x:v>6.400600000000001</x:v>
      </x:c>
      <x:c r="U217" s="30" t="n">
        <x:f>INDEX('Prompt Totals'!$K$7:$K$246,MATCH($A217,'Prompt Totals'!$A$7:$A$246,0))</x:f>
        <x:v>17.395360000000004</x:v>
      </x:c>
      <x:c r="V217" s="29" t="n">
        <x:f>INDEX('Prompt Totals'!$L$7:$L$246,MATCH($A217,'Prompt Totals'!$A$7:$A$246,0))</x:f>
        <x:v>1</x:v>
      </x:c>
      <x:c r="W217" s="29" t="n">
        <x:f>INDEX('Prompt Totals'!$M$7:$M$246,MATCH($A217,'Prompt Totals'!$A$7:$A$246,0))</x:f>
        <x:v>6</x:v>
      </x:c>
      <x:c r="X217" s="29" t="n">
        <x:f>INDEX('Prompt Totals'!$N$7:$N$246,MATCH($A217,'Prompt Totals'!$A$7:$A$246,0))</x:f>
        <x:v>3</x:v>
      </x:c>
      <x:c r="Y217" s="19" t="n">
        <x:f>G217-H217</x:f>
        <x:v>1.8199999999999998</x:v>
      </x:c>
      <x:c r="Z217" s="30" t="n">
        <x:f>Y217*'Solution'!$C$5</x:f>
        <x:v>90.99999999999999</x:v>
      </x:c>
      <x:c r="AA217" s="22" t="n">
        <x:f>Z217-U217</x:f>
        <x:v>73.60463999999999</x:v>
      </x:c>
    </x:row>
    <x:row r="218" ht="23" customHeight="1">
      <x:c r="A218" s="17" t="str">
        <x:v>W0212</x:v>
      </x:c>
      <x:c r="B218" s="18" t="n">
        <x:v>46289</x:v>
      </x:c>
      <x:c r="C218" s="17" t="str">
        <x:v>C004</x:v>
      </x:c>
      <x:c r="D218" s="17" t="str">
        <x:v>Creative</x:v>
      </x:c>
      <x:c r="E218" s="17" t="str">
        <x:v>Riley Chen</x:v>
      </x:c>
      <x:c r="F218" s="17" t="str">
        <x:v>Review creative variants</x:v>
      </x:c>
      <x:c r="G218" s="20" t="n">
        <x:v>3.8</x:v>
      </x:c>
      <x:c r="H218" s="20" t="n">
        <x:v>4.51</x:v>
      </x:c>
      <x:c r="I218" s="20" t="n">
        <x:v>0.68</x:v>
      </x:c>
      <x:c r="J218" s="17" t="str">
        <x:v>Data problem</x:v>
      </x:c>
      <x:c r="K218" s="17" t="str">
        <x:v>No</x:v>
      </x:c>
      <x:c r="L218" s="17" t="str">
        <x:v>Yes</x:v>
      </x:c>
      <x:c r="M218" s="29" t="str">
        <x:f>INDEX('Prompt Totals'!$C$7:$C$246,MATCH($A218,'Prompt Totals'!$A$7:$A$246,0))</x:f>
        <x:v>CampaignChat</x:v>
      </x:c>
      <x:c r="N218" s="29" t="str">
        <x:f>INDEX('Prompt Totals'!$D$7:$D$246,MATCH($A218,'Prompt Totals'!$A$7:$A$246,0))</x:f>
        <x:v>Lite</x:v>
      </x:c>
      <x:c r="O218" s="29" t="n">
        <x:f>INDEX('Prompt Totals'!$E$7:$E$246,MATCH($A218,'Prompt Totals'!$A$7:$A$246,0))</x:f>
        <x:v>524327</x:v>
      </x:c>
      <x:c r="P218" s="29" t="n">
        <x:f>INDEX('Prompt Totals'!$F$7:$F$246,MATCH($A218,'Prompt Totals'!$A$7:$A$246,0))</x:f>
        <x:v>48530</x:v>
      </x:c>
      <x:c r="Q218" s="29" t="n">
        <x:f>INDEX('Prompt Totals'!$G$7:$G$246,MATCH($A218,'Prompt Totals'!$A$7:$A$246,0))</x:f>
        <x:v>572857</x:v>
      </x:c>
      <x:c r="R218" s="29" t="n">
        <x:f>INDEX('Prompt Totals'!$H$7:$H$246,MATCH($A218,'Prompt Totals'!$A$7:$A$246,0))</x:f>
        <x:v>18</x:v>
      </x:c>
      <x:c r="S218" s="30" t="n">
        <x:f>INDEX('Prompt Totals'!$I$7:$I$246,MATCH($A218,'Prompt Totals'!$A$7:$A$246,0))</x:f>
        <x:v>5.243270000000001</x:v>
      </x:c>
      <x:c r="T218" s="30" t="n">
        <x:f>INDEX('Prompt Totals'!$J$7:$J$246,MATCH($A218,'Prompt Totals'!$A$7:$A$246,0))</x:f>
        <x:v>1.4559</x:v>
      </x:c>
      <x:c r="U218" s="30" t="n">
        <x:f>INDEX('Prompt Totals'!$K$7:$K$246,MATCH($A218,'Prompt Totals'!$A$7:$A$246,0))</x:f>
        <x:v>6.69917</x:v>
      </x:c>
      <x:c r="V218" s="29" t="n">
        <x:f>INDEX('Prompt Totals'!$L$7:$L$246,MATCH($A218,'Prompt Totals'!$A$7:$A$246,0))</x:f>
        <x:v>1</x:v>
      </x:c>
      <x:c r="W218" s="29" t="n">
        <x:f>INDEX('Prompt Totals'!$M$7:$M$246,MATCH($A218,'Prompt Totals'!$A$7:$A$246,0))</x:f>
        <x:v>13</x:v>
      </x:c>
      <x:c r="X218" s="29" t="n">
        <x:f>INDEX('Prompt Totals'!$N$7:$N$246,MATCH($A218,'Prompt Totals'!$A$7:$A$246,0))</x:f>
        <x:v>4</x:v>
      </x:c>
      <x:c r="Y218" s="19" t="n">
        <x:f>G218-H218</x:f>
        <x:v>-0.71</x:v>
      </x:c>
      <x:c r="Z218" s="30" t="n">
        <x:f>Y218*'Solution'!$C$5</x:f>
        <x:v>-35.5</x:v>
      </x:c>
      <x:c r="AA218" s="22" t="n">
        <x:f>Z218-U218</x:f>
        <x:v>-42.19917</x:v>
      </x:c>
    </x:row>
    <x:row r="219" ht="23" customHeight="1">
      <x:c r="A219" s="17" t="str">
        <x:v>W0213</x:v>
      </x:c>
      <x:c r="B219" s="18" t="n">
        <x:v>46274</x:v>
      </x:c>
      <x:c r="C219" s="17" t="str">
        <x:v>C004</x:v>
      </x:c>
      <x:c r="D219" s="17" t="str">
        <x:v>Creative</x:v>
      </x:c>
      <x:c r="E219" s="17" t="str">
        <x:v>Taylor Brooks</x:v>
      </x:c>
      <x:c r="F219" s="17" t="str">
        <x:v>Plan visual narrative</x:v>
      </x:c>
      <x:c r="G219" s="20" t="n">
        <x:v>4.57</x:v>
      </x:c>
      <x:c r="H219" s="20" t="n">
        <x:v>2.02</x:v>
      </x:c>
      <x:c r="I219" s="20" t="n">
        <x:v>0.15</x:v>
      </x:c>
      <x:c r="J219" s="17" t="str">
        <x:v>None</x:v>
      </x:c>
      <x:c r="K219" s="17" t="str">
        <x:v>No</x:v>
      </x:c>
      <x:c r="L219" s="17" t="str">
        <x:v>Yes</x:v>
      </x:c>
      <x:c r="M219" s="29" t="str">
        <x:f>INDEX('Prompt Totals'!$C$7:$C$246,MATCH($A219,'Prompt Totals'!$A$7:$A$246,0))</x:f>
        <x:v>CampaignChat</x:v>
      </x:c>
      <x:c r="N219" s="29" t="str">
        <x:f>INDEX('Prompt Totals'!$D$7:$D$246,MATCH($A219,'Prompt Totals'!$A$7:$A$246,0))</x:f>
        <x:v>Lite</x:v>
      </x:c>
      <x:c r="O219" s="29" t="n">
        <x:f>INDEX('Prompt Totals'!$E$7:$E$246,MATCH($A219,'Prompt Totals'!$A$7:$A$246,0))</x:f>
        <x:v>150333</x:v>
      </x:c>
      <x:c r="P219" s="29" t="n">
        <x:f>INDEX('Prompt Totals'!$F$7:$F$246,MATCH($A219,'Prompt Totals'!$A$7:$A$246,0))</x:f>
        <x:v>52072</x:v>
      </x:c>
      <x:c r="Q219" s="29" t="n">
        <x:f>INDEX('Prompt Totals'!$G$7:$G$246,MATCH($A219,'Prompt Totals'!$A$7:$A$246,0))</x:f>
        <x:v>202405</x:v>
      </x:c>
      <x:c r="R219" s="29" t="n">
        <x:f>INDEX('Prompt Totals'!$H$7:$H$246,MATCH($A219,'Prompt Totals'!$A$7:$A$246,0))</x:f>
        <x:v>11</x:v>
      </x:c>
      <x:c r="S219" s="30" t="n">
        <x:f>INDEX('Prompt Totals'!$I$7:$I$246,MATCH($A219,'Prompt Totals'!$A$7:$A$246,0))</x:f>
        <x:v>1.5033299999999998</x:v>
      </x:c>
      <x:c r="T219" s="30" t="n">
        <x:f>INDEX('Prompt Totals'!$J$7:$J$246,MATCH($A219,'Prompt Totals'!$A$7:$A$246,0))</x:f>
        <x:v>1.56216</x:v>
      </x:c>
      <x:c r="U219" s="30" t="n">
        <x:f>INDEX('Prompt Totals'!$K$7:$K$246,MATCH($A219,'Prompt Totals'!$A$7:$A$246,0))</x:f>
        <x:v>3.0654899999999996</x:v>
      </x:c>
      <x:c r="V219" s="29" t="n">
        <x:f>INDEX('Prompt Totals'!$L$7:$L$246,MATCH($A219,'Prompt Totals'!$A$7:$A$246,0))</x:f>
        <x:v>1</x:v>
      </x:c>
      <x:c r="W219" s="29" t="n">
        <x:f>INDEX('Prompt Totals'!$M$7:$M$246,MATCH($A219,'Prompt Totals'!$A$7:$A$246,0))</x:f>
        <x:v>7</x:v>
      </x:c>
      <x:c r="X219" s="29" t="n">
        <x:f>INDEX('Prompt Totals'!$N$7:$N$246,MATCH($A219,'Prompt Totals'!$A$7:$A$246,0))</x:f>
        <x:v>3</x:v>
      </x:c>
      <x:c r="Y219" s="19" t="n">
        <x:f>G219-H219</x:f>
        <x:v>2.5500000000000003</x:v>
      </x:c>
      <x:c r="Z219" s="30" t="n">
        <x:f>Y219*'Solution'!$C$5</x:f>
        <x:v>127.50000000000001</x:v>
      </x:c>
      <x:c r="AA219" s="22" t="n">
        <x:f>Z219-U219</x:f>
        <x:v>124.43451000000002</x:v>
      </x:c>
    </x:row>
    <x:row r="220" ht="23" customHeight="1">
      <x:c r="A220" s="17" t="str">
        <x:v>W0214</x:v>
      </x:c>
      <x:c r="B220" s="18" t="n">
        <x:v>46283</x:v>
      </x:c>
      <x:c r="C220" s="17" t="str">
        <x:v>C004</x:v>
      </x:c>
      <x:c r="D220" s="17" t="str">
        <x:v>Marketing Operations</x:v>
      </x:c>
      <x:c r="E220" s="17" t="str">
        <x:v>Casey Rivera</x:v>
      </x:c>
      <x:c r="F220" s="17" t="str">
        <x:v>Build campaign plan</x:v>
      </x:c>
      <x:c r="G220" s="20" t="n">
        <x:v>4.09</x:v>
      </x:c>
      <x:c r="H220" s="20" t="n">
        <x:v>1.98</x:v>
      </x:c>
      <x:c r="I220" s="20" t="n">
        <x:v>0.17</x:v>
      </x:c>
      <x:c r="J220" s="17" t="str">
        <x:v>Brief changed</x:v>
      </x:c>
      <x:c r="K220" s="17" t="str">
        <x:v>Yes</x:v>
      </x:c>
      <x:c r="L220" s="17" t="str">
        <x:v>Yes</x:v>
      </x:c>
      <x:c r="M220" s="29" t="str">
        <x:f>INDEX('Prompt Totals'!$C$7:$C$246,MATCH($A220,'Prompt Totals'!$A$7:$A$246,0))</x:f>
        <x:v>DataFlow</x:v>
      </x:c>
      <x:c r="N220" s="29" t="str">
        <x:f>INDEX('Prompt Totals'!$D$7:$D$246,MATCH($A220,'Prompt Totals'!$A$7:$A$246,0))</x:f>
        <x:v>Lite</x:v>
      </x:c>
      <x:c r="O220" s="29" t="n">
        <x:f>INDEX('Prompt Totals'!$E$7:$E$246,MATCH($A220,'Prompt Totals'!$A$7:$A$246,0))</x:f>
        <x:v>311073</x:v>
      </x:c>
      <x:c r="P220" s="29" t="n">
        <x:f>INDEX('Prompt Totals'!$F$7:$F$246,MATCH($A220,'Prompt Totals'!$A$7:$A$246,0))</x:f>
        <x:v>42230</x:v>
      </x:c>
      <x:c r="Q220" s="29" t="n">
        <x:f>INDEX('Prompt Totals'!$G$7:$G$246,MATCH($A220,'Prompt Totals'!$A$7:$A$246,0))</x:f>
        <x:v>353303</x:v>
      </x:c>
      <x:c r="R220" s="29" t="n">
        <x:f>INDEX('Prompt Totals'!$H$7:$H$246,MATCH($A220,'Prompt Totals'!$A$7:$A$246,0))</x:f>
        <x:v>15</x:v>
      </x:c>
      <x:c r="S220" s="30" t="n">
        <x:f>INDEX('Prompt Totals'!$I$7:$I$246,MATCH($A220,'Prompt Totals'!$A$7:$A$246,0))</x:f>
        <x:v>3.11073</x:v>
      </x:c>
      <x:c r="T220" s="30" t="n">
        <x:f>INDEX('Prompt Totals'!$J$7:$J$246,MATCH($A220,'Prompt Totals'!$A$7:$A$246,0))</x:f>
        <x:v>1.2668999999999997</x:v>
      </x:c>
      <x:c r="U220" s="30" t="n">
        <x:f>INDEX('Prompt Totals'!$K$7:$K$246,MATCH($A220,'Prompt Totals'!$A$7:$A$246,0))</x:f>
        <x:v>4.37763</x:v>
      </x:c>
      <x:c r="V220" s="29" t="n">
        <x:f>INDEX('Prompt Totals'!$L$7:$L$246,MATCH($A220,'Prompt Totals'!$A$7:$A$246,0))</x:f>
        <x:v>1</x:v>
      </x:c>
      <x:c r="W220" s="29" t="n">
        <x:f>INDEX('Prompt Totals'!$M$7:$M$246,MATCH($A220,'Prompt Totals'!$A$7:$A$246,0))</x:f>
        <x:v>10</x:v>
      </x:c>
      <x:c r="X220" s="29" t="n">
        <x:f>INDEX('Prompt Totals'!$N$7:$N$246,MATCH($A220,'Prompt Totals'!$A$7:$A$246,0))</x:f>
        <x:v>4</x:v>
      </x:c>
      <x:c r="Y220" s="19" t="n">
        <x:f>G220-H220</x:f>
        <x:v>2.11</x:v>
      </x:c>
      <x:c r="Z220" s="30" t="n">
        <x:f>Y220*'Solution'!$C$5</x:f>
        <x:v>105.5</x:v>
      </x:c>
      <x:c r="AA220" s="22" t="n">
        <x:f>Z220-U220</x:f>
        <x:v>101.12237</x:v>
      </x:c>
    </x:row>
    <x:row r="221" ht="23" customHeight="1">
      <x:c r="A221" s="17" t="str">
        <x:v>W0215</x:v>
      </x:c>
      <x:c r="B221" s="18" t="n">
        <x:v>46294</x:v>
      </x:c>
      <x:c r="C221" s="17" t="str">
        <x:v>C004</x:v>
      </x:c>
      <x:c r="D221" s="17" t="str">
        <x:v>Marketing Operations</x:v>
      </x:c>
      <x:c r="E221" s="17" t="str">
        <x:v>Morgan Reed</x:v>
      </x:c>
      <x:c r="F221" s="17" t="str">
        <x:v>Clean audience data</x:v>
      </x:c>
      <x:c r="G221" s="20" t="n">
        <x:v>3.58</x:v>
      </x:c>
      <x:c r="H221" s="20" t="n">
        <x:v>2.22</x:v>
      </x:c>
      <x:c r="I221" s="20" t="n">
        <x:v>0.15</x:v>
      </x:c>
      <x:c r="J221" s="17" t="str">
        <x:v>None</x:v>
      </x:c>
      <x:c r="K221" s="17" t="str">
        <x:v>No</x:v>
      </x:c>
      <x:c r="L221" s="17" t="str">
        <x:v>No</x:v>
      </x:c>
      <x:c r="M221" s="29" t="str">
        <x:f>INDEX('Prompt Totals'!$C$7:$C$246,MATCH($A221,'Prompt Totals'!$A$7:$A$246,0))</x:f>
        <x:v>CampaignChat</x:v>
      </x:c>
      <x:c r="N221" s="29" t="str">
        <x:f>INDEX('Prompt Totals'!$D$7:$D$246,MATCH($A221,'Prompt Totals'!$A$7:$A$246,0))</x:f>
        <x:v>Lite</x:v>
      </x:c>
      <x:c r="O221" s="29" t="n">
        <x:f>INDEX('Prompt Totals'!$E$7:$E$246,MATCH($A221,'Prompt Totals'!$A$7:$A$246,0))</x:f>
        <x:v>152313</x:v>
      </x:c>
      <x:c r="P221" s="29" t="n">
        <x:f>INDEX('Prompt Totals'!$F$7:$F$246,MATCH($A221,'Prompt Totals'!$A$7:$A$246,0))</x:f>
        <x:v>49531</x:v>
      </x:c>
      <x:c r="Q221" s="29" t="n">
        <x:f>INDEX('Prompt Totals'!$G$7:$G$246,MATCH($A221,'Prompt Totals'!$A$7:$A$246,0))</x:f>
        <x:v>201844</x:v>
      </x:c>
      <x:c r="R221" s="29" t="n">
        <x:f>INDEX('Prompt Totals'!$H$7:$H$246,MATCH($A221,'Prompt Totals'!$A$7:$A$246,0))</x:f>
        <x:v>12</x:v>
      </x:c>
      <x:c r="S221" s="30" t="n">
        <x:f>INDEX('Prompt Totals'!$I$7:$I$246,MATCH($A221,'Prompt Totals'!$A$7:$A$246,0))</x:f>
        <x:v>1.52313</x:v>
      </x:c>
      <x:c r="T221" s="30" t="n">
        <x:f>INDEX('Prompt Totals'!$J$7:$J$246,MATCH($A221,'Prompt Totals'!$A$7:$A$246,0))</x:f>
        <x:v>1.48593</x:v>
      </x:c>
      <x:c r="U221" s="30" t="n">
        <x:f>INDEX('Prompt Totals'!$K$7:$K$246,MATCH($A221,'Prompt Totals'!$A$7:$A$246,0))</x:f>
        <x:v>3.00906</x:v>
      </x:c>
      <x:c r="V221" s="29" t="n">
        <x:f>INDEX('Prompt Totals'!$L$7:$L$246,MATCH($A221,'Prompt Totals'!$A$7:$A$246,0))</x:f>
        <x:v>1</x:v>
      </x:c>
      <x:c r="W221" s="29" t="n">
        <x:f>INDEX('Prompt Totals'!$M$7:$M$246,MATCH($A221,'Prompt Totals'!$A$7:$A$246,0))</x:f>
        <x:v>8</x:v>
      </x:c>
      <x:c r="X221" s="29" t="n">
        <x:f>INDEX('Prompt Totals'!$N$7:$N$246,MATCH($A221,'Prompt Totals'!$A$7:$A$246,0))</x:f>
        <x:v>3</x:v>
      </x:c>
      <x:c r="Y221" s="19" t="n">
        <x:f>G221-H221</x:f>
        <x:v>1.3599999999999999</x:v>
      </x:c>
      <x:c r="Z221" s="30" t="n">
        <x:f>Y221*'Solution'!$C$5</x:f>
        <x:v>68</x:v>
      </x:c>
      <x:c r="AA221" s="22" t="n">
        <x:f>Z221-U221</x:f>
        <x:v>64.99094</x:v>
      </x:c>
    </x:row>
    <x:row r="222" ht="23" customHeight="1">
      <x:c r="A222" s="17" t="str">
        <x:v>W0216</x:v>
      </x:c>
      <x:c r="B222" s="18" t="n">
        <x:v>46279</x:v>
      </x:c>
      <x:c r="C222" s="17" t="str">
        <x:v>C004</x:v>
      </x:c>
      <x:c r="D222" s="17" t="str">
        <x:v>Analytics</x:v>
      </x:c>
      <x:c r="E222" s="17" t="str">
        <x:v>Quinn Parker</x:v>
      </x:c>
      <x:c r="F222" s="17" t="str">
        <x:v>Check measurement plan</x:v>
      </x:c>
      <x:c r="G222" s="20" t="n">
        <x:v>3.67</x:v>
      </x:c>
      <x:c r="H222" s="20" t="n">
        <x:v>3.91</x:v>
      </x:c>
      <x:c r="I222" s="20" t="n">
        <x:v>0.52</x:v>
      </x:c>
      <x:c r="J222" s="17" t="str">
        <x:v>Data problem</x:v>
      </x:c>
      <x:c r="K222" s="17" t="str">
        <x:v>No</x:v>
      </x:c>
      <x:c r="L222" s="17" t="str">
        <x:v>Yes</x:v>
      </x:c>
      <x:c r="M222" s="29" t="str">
        <x:f>INDEX('Prompt Totals'!$C$7:$C$246,MATCH($A222,'Prompt Totals'!$A$7:$A$246,0))</x:f>
        <x:v>DataFlow</x:v>
      </x:c>
      <x:c r="N222" s="29" t="str">
        <x:f>INDEX('Prompt Totals'!$D$7:$D$246,MATCH($A222,'Prompt Totals'!$A$7:$A$246,0))</x:f>
        <x:v>Lite</x:v>
      </x:c>
      <x:c r="O222" s="29" t="n">
        <x:f>INDEX('Prompt Totals'!$E$7:$E$246,MATCH($A222,'Prompt Totals'!$A$7:$A$246,0))</x:f>
        <x:v>249423</x:v>
      </x:c>
      <x:c r="P222" s="29" t="n">
        <x:f>INDEX('Prompt Totals'!$F$7:$F$246,MATCH($A222,'Prompt Totals'!$A$7:$A$246,0))</x:f>
        <x:v>45584</x:v>
      </x:c>
      <x:c r="Q222" s="29" t="n">
        <x:f>INDEX('Prompt Totals'!$G$7:$G$246,MATCH($A222,'Prompt Totals'!$A$7:$A$246,0))</x:f>
        <x:v>295007</x:v>
      </x:c>
      <x:c r="R222" s="29" t="n">
        <x:f>INDEX('Prompt Totals'!$H$7:$H$246,MATCH($A222,'Prompt Totals'!$A$7:$A$246,0))</x:f>
        <x:v>18</x:v>
      </x:c>
      <x:c r="S222" s="30" t="n">
        <x:f>INDEX('Prompt Totals'!$I$7:$I$246,MATCH($A222,'Prompt Totals'!$A$7:$A$246,0))</x:f>
        <x:v>2.49423</x:v>
      </x:c>
      <x:c r="T222" s="30" t="n">
        <x:f>INDEX('Prompt Totals'!$J$7:$J$246,MATCH($A222,'Prompt Totals'!$A$7:$A$246,0))</x:f>
        <x:v>1.36752</x:v>
      </x:c>
      <x:c r="U222" s="30" t="n">
        <x:f>INDEX('Prompt Totals'!$K$7:$K$246,MATCH($A222,'Prompt Totals'!$A$7:$A$246,0))</x:f>
        <x:v>3.86175</x:v>
      </x:c>
      <x:c r="V222" s="29" t="n">
        <x:f>INDEX('Prompt Totals'!$L$7:$L$246,MATCH($A222,'Prompt Totals'!$A$7:$A$246,0))</x:f>
        <x:v>1</x:v>
      </x:c>
      <x:c r="W222" s="29" t="n">
        <x:f>INDEX('Prompt Totals'!$M$7:$M$246,MATCH($A222,'Prompt Totals'!$A$7:$A$246,0))</x:f>
        <x:v>14</x:v>
      </x:c>
      <x:c r="X222" s="29" t="n">
        <x:f>INDEX('Prompt Totals'!$N$7:$N$246,MATCH($A222,'Prompt Totals'!$A$7:$A$246,0))</x:f>
        <x:v>3</x:v>
      </x:c>
      <x:c r="Y222" s="19" t="n">
        <x:f>G222-H222</x:f>
        <x:v>-0.2400000000000002</x:v>
      </x:c>
      <x:c r="Z222" s="30" t="n">
        <x:f>Y222*'Solution'!$C$5</x:f>
        <x:v>-12.00000000000001</x:v>
      </x:c>
      <x:c r="AA222" s="22" t="n">
        <x:f>Z222-U222</x:f>
        <x:v>-15.861750000000011</x:v>
      </x:c>
    </x:row>
    <x:row r="223" ht="23" customHeight="1">
      <x:c r="A223" s="17" t="str">
        <x:v>W0217</x:v>
      </x:c>
      <x:c r="B223" s="18" t="n">
        <x:v>46288</x:v>
      </x:c>
      <x:c r="C223" s="17" t="str">
        <x:v>C004</x:v>
      </x:c>
      <x:c r="D223" s="17" t="str">
        <x:v>Analytics</x:v>
      </x:c>
      <x:c r="E223" s="17" t="str">
        <x:v>Jamie Patel</x:v>
      </x:c>
      <x:c r="F223" s="17" t="str">
        <x:v>Analyze campaign results</x:v>
      </x:c>
      <x:c r="G223" s="20" t="n">
        <x:v>5.62</x:v>
      </x:c>
      <x:c r="H223" s="20" t="n">
        <x:v>6.66</x:v>
      </x:c>
      <x:c r="I223" s="20" t="n">
        <x:v>0.69</x:v>
      </x:c>
      <x:c r="J223" s="17" t="str">
        <x:v>Unclear prompt</x:v>
      </x:c>
      <x:c r="K223" s="17" t="str">
        <x:v>No</x:v>
      </x:c>
      <x:c r="L223" s="17" t="str">
        <x:v>No</x:v>
      </x:c>
      <x:c r="M223" s="29" t="str">
        <x:f>INDEX('Prompt Totals'!$C$7:$C$246,MATCH($A223,'Prompt Totals'!$A$7:$A$246,0))</x:f>
        <x:v>InsightDesk</x:v>
      </x:c>
      <x:c r="N223" s="29" t="str">
        <x:f>INDEX('Prompt Totals'!$D$7:$D$246,MATCH($A223,'Prompt Totals'!$A$7:$A$246,0))</x:f>
        <x:v>Pro</x:v>
      </x:c>
      <x:c r="O223" s="29" t="n">
        <x:f>INDEX('Prompt Totals'!$E$7:$E$246,MATCH($A223,'Prompt Totals'!$A$7:$A$246,0))</x:f>
        <x:v>312387</x:v>
      </x:c>
      <x:c r="P223" s="29" t="n">
        <x:f>INDEX('Prompt Totals'!$F$7:$F$246,MATCH($A223,'Prompt Totals'!$A$7:$A$246,0))</x:f>
        <x:v>164677</x:v>
      </x:c>
      <x:c r="Q223" s="29" t="n">
        <x:f>INDEX('Prompt Totals'!$G$7:$G$246,MATCH($A223,'Prompt Totals'!$A$7:$A$246,0))</x:f>
        <x:v>477064</x:v>
      </x:c>
      <x:c r="R223" s="29" t="n">
        <x:f>INDEX('Prompt Totals'!$H$7:$H$246,MATCH($A223,'Prompt Totals'!$A$7:$A$246,0))</x:f>
        <x:v>22</x:v>
      </x:c>
      <x:c r="S223" s="30" t="n">
        <x:f>INDEX('Prompt Totals'!$I$7:$I$246,MATCH($A223,'Prompt Totals'!$A$7:$A$246,0))</x:f>
        <x:v>12.49548</x:v>
      </x:c>
      <x:c r="T223" s="30" t="n">
        <x:f>INDEX('Prompt Totals'!$J$7:$J$246,MATCH($A223,'Prompt Totals'!$A$7:$A$246,0))</x:f>
        <x:v>16.467699999999997</x:v>
      </x:c>
      <x:c r="U223" s="30" t="n">
        <x:f>INDEX('Prompt Totals'!$K$7:$K$246,MATCH($A223,'Prompt Totals'!$A$7:$A$246,0))</x:f>
        <x:v>28.963180000000005</x:v>
      </x:c>
      <x:c r="V223" s="29" t="n">
        <x:f>INDEX('Prompt Totals'!$L$7:$L$246,MATCH($A223,'Prompt Totals'!$A$7:$A$246,0))</x:f>
        <x:v>1</x:v>
      </x:c>
      <x:c r="W223" s="29" t="n">
        <x:f>INDEX('Prompt Totals'!$M$7:$M$246,MATCH($A223,'Prompt Totals'!$A$7:$A$246,0))</x:f>
        <x:v>17</x:v>
      </x:c>
      <x:c r="X223" s="29" t="n">
        <x:f>INDEX('Prompt Totals'!$N$7:$N$246,MATCH($A223,'Prompt Totals'!$A$7:$A$246,0))</x:f>
        <x:v>4</x:v>
      </x:c>
      <x:c r="Y223" s="19" t="n">
        <x:f>G223-H223</x:f>
        <x:v>-1.04</x:v>
      </x:c>
      <x:c r="Z223" s="30" t="n">
        <x:f>Y223*'Solution'!$C$5</x:f>
        <x:v>-52</x:v>
      </x:c>
      <x:c r="AA223" s="22" t="n">
        <x:f>Z223-U223</x:f>
        <x:v>-80.96318000000001</x:v>
      </x:c>
    </x:row>
    <x:row r="224" ht="23" customHeight="1">
      <x:c r="A224" s="17" t="str">
        <x:v>W0218</x:v>
      </x:c>
      <x:c r="B224" s="18" t="n">
        <x:v>46273</x:v>
      </x:c>
      <x:c r="C224" s="17" t="str">
        <x:v>C004</x:v>
      </x:c>
      <x:c r="D224" s="17" t="str">
        <x:v>Content</x:v>
      </x:c>
      <x:c r="E224" s="17" t="str">
        <x:v>Avery Morgan</x:v>
      </x:c>
      <x:c r="F224" s="17" t="str">
        <x:v>Draft email sequence</x:v>
      </x:c>
      <x:c r="G224" s="20" t="n">
        <x:v>4.41</x:v>
      </x:c>
      <x:c r="H224" s="20" t="n">
        <x:v>3.63</x:v>
      </x:c>
      <x:c r="I224" s="20" t="n">
        <x:v>0.3</x:v>
      </x:c>
      <x:c r="J224" s="17" t="str">
        <x:v>None</x:v>
      </x:c>
      <x:c r="K224" s="17" t="str">
        <x:v>No</x:v>
      </x:c>
      <x:c r="L224" s="17" t="str">
        <x:v>Yes</x:v>
      </x:c>
      <x:c r="M224" s="29" t="str">
        <x:f>INDEX('Prompt Totals'!$C$7:$C$246,MATCH($A224,'Prompt Totals'!$A$7:$A$246,0))</x:f>
        <x:v>CopyStudio</x:v>
      </x:c>
      <x:c r="N224" s="29" t="str">
        <x:f>INDEX('Prompt Totals'!$D$7:$D$246,MATCH($A224,'Prompt Totals'!$A$7:$A$246,0))</x:f>
        <x:v>Lite</x:v>
      </x:c>
      <x:c r="O224" s="29" t="n">
        <x:f>INDEX('Prompt Totals'!$E$7:$E$246,MATCH($A224,'Prompt Totals'!$A$7:$A$246,0))</x:f>
        <x:v>268025</x:v>
      </x:c>
      <x:c r="P224" s="29" t="n">
        <x:f>INDEX('Prompt Totals'!$F$7:$F$246,MATCH($A224,'Prompt Totals'!$A$7:$A$246,0))</x:f>
        <x:v>49034</x:v>
      </x:c>
      <x:c r="Q224" s="29" t="n">
        <x:f>INDEX('Prompt Totals'!$G$7:$G$246,MATCH($A224,'Prompt Totals'!$A$7:$A$246,0))</x:f>
        <x:v>317059</x:v>
      </x:c>
      <x:c r="R224" s="29" t="n">
        <x:f>INDEX('Prompt Totals'!$H$7:$H$246,MATCH($A224,'Prompt Totals'!$A$7:$A$246,0))</x:f>
        <x:v>9</x:v>
      </x:c>
      <x:c r="S224" s="30" t="n">
        <x:f>INDEX('Prompt Totals'!$I$7:$I$246,MATCH($A224,'Prompt Totals'!$A$7:$A$246,0))</x:f>
        <x:v>2.68025</x:v>
      </x:c>
      <x:c r="T224" s="30" t="n">
        <x:f>INDEX('Prompt Totals'!$J$7:$J$246,MATCH($A224,'Prompt Totals'!$A$7:$A$246,0))</x:f>
        <x:v>1.47102</x:v>
      </x:c>
      <x:c r="U224" s="30" t="n">
        <x:f>INDEX('Prompt Totals'!$K$7:$K$246,MATCH($A224,'Prompt Totals'!$A$7:$A$246,0))</x:f>
        <x:v>4.15127</x:v>
      </x:c>
      <x:c r="V224" s="29" t="n">
        <x:f>INDEX('Prompt Totals'!$L$7:$L$246,MATCH($A224,'Prompt Totals'!$A$7:$A$246,0))</x:f>
        <x:v>1</x:v>
      </x:c>
      <x:c r="W224" s="29" t="n">
        <x:f>INDEX('Prompt Totals'!$M$7:$M$246,MATCH($A224,'Prompt Totals'!$A$7:$A$246,0))</x:f>
        <x:v>6</x:v>
      </x:c>
      <x:c r="X224" s="29" t="n">
        <x:f>INDEX('Prompt Totals'!$N$7:$N$246,MATCH($A224,'Prompt Totals'!$A$7:$A$246,0))</x:f>
        <x:v>2</x:v>
      </x:c>
      <x:c r="Y224" s="19" t="n">
        <x:f>G224-H224</x:f>
        <x:v>0.7800000000000002</x:v>
      </x:c>
      <x:c r="Z224" s="30" t="n">
        <x:f>Y224*'Solution'!$C$5</x:f>
        <x:v>39.000000000000014</x:v>
      </x:c>
      <x:c r="AA224" s="22" t="n">
        <x:f>Z224-U224</x:f>
        <x:v>34.84873000000002</x:v>
      </x:c>
    </x:row>
    <x:row r="225" ht="23" customHeight="1">
      <x:c r="A225" s="17" t="str">
        <x:v>W0219</x:v>
      </x:c>
      <x:c r="B225" s="18" t="n">
        <x:v>46282</x:v>
      </x:c>
      <x:c r="C225" s="17" t="str">
        <x:v>C004</x:v>
      </x:c>
      <x:c r="D225" s="17" t="str">
        <x:v>Content</x:v>
      </x:c>
      <x:c r="E225" s="17" t="str">
        <x:v>Jordan Ellis</x:v>
      </x:c>
      <x:c r="F225" s="17" t="str">
        <x:v>Edit landing page</x:v>
      </x:c>
      <x:c r="G225" s="20" t="n">
        <x:v>3.28</x:v>
      </x:c>
      <x:c r="H225" s="20" t="n">
        <x:v>1.88</x:v>
      </x:c>
      <x:c r="I225" s="20" t="n">
        <x:v>0.06</x:v>
      </x:c>
      <x:c r="J225" s="17" t="str">
        <x:v>None</x:v>
      </x:c>
      <x:c r="K225" s="17" t="str">
        <x:v>No</x:v>
      </x:c>
      <x:c r="L225" s="17" t="str">
        <x:v>Yes</x:v>
      </x:c>
      <x:c r="M225" s="29" t="str">
        <x:f>INDEX('Prompt Totals'!$C$7:$C$246,MATCH($A225,'Prompt Totals'!$A$7:$A$246,0))</x:f>
        <x:v>CopyStudio</x:v>
      </x:c>
      <x:c r="N225" s="29" t="str">
        <x:f>INDEX('Prompt Totals'!$D$7:$D$246,MATCH($A225,'Prompt Totals'!$A$7:$A$246,0))</x:f>
        <x:v>Lite</x:v>
      </x:c>
      <x:c r="O225" s="29" t="n">
        <x:f>INDEX('Prompt Totals'!$E$7:$E$246,MATCH($A225,'Prompt Totals'!$A$7:$A$246,0))</x:f>
        <x:v>252499</x:v>
      </x:c>
      <x:c r="P225" s="29" t="n">
        <x:f>INDEX('Prompt Totals'!$F$7:$F$246,MATCH($A225,'Prompt Totals'!$A$7:$A$246,0))</x:f>
        <x:v>50550</x:v>
      </x:c>
      <x:c r="Q225" s="29" t="n">
        <x:f>INDEX('Prompt Totals'!$G$7:$G$246,MATCH($A225,'Prompt Totals'!$A$7:$A$246,0))</x:f>
        <x:v>303049</x:v>
      </x:c>
      <x:c r="R225" s="29" t="n">
        <x:f>INDEX('Prompt Totals'!$H$7:$H$246,MATCH($A225,'Prompt Totals'!$A$7:$A$246,0))</x:f>
        <x:v>14</x:v>
      </x:c>
      <x:c r="S225" s="30" t="n">
        <x:f>INDEX('Prompt Totals'!$I$7:$I$246,MATCH($A225,'Prompt Totals'!$A$7:$A$246,0))</x:f>
        <x:v>2.5249900000000003</x:v>
      </x:c>
      <x:c r="T225" s="30" t="n">
        <x:f>INDEX('Prompt Totals'!$J$7:$J$246,MATCH($A225,'Prompt Totals'!$A$7:$A$246,0))</x:f>
        <x:v>1.5165000000000002</x:v>
      </x:c>
      <x:c r="U225" s="30" t="n">
        <x:f>INDEX('Prompt Totals'!$K$7:$K$246,MATCH($A225,'Prompt Totals'!$A$7:$A$246,0))</x:f>
        <x:v>4.0414900000000005</x:v>
      </x:c>
      <x:c r="V225" s="29" t="n">
        <x:f>INDEX('Prompt Totals'!$L$7:$L$246,MATCH($A225,'Prompt Totals'!$A$7:$A$246,0))</x:f>
        <x:v>1</x:v>
      </x:c>
      <x:c r="W225" s="29" t="n">
        <x:f>INDEX('Prompt Totals'!$M$7:$M$246,MATCH($A225,'Prompt Totals'!$A$7:$A$246,0))</x:f>
        <x:v>10</x:v>
      </x:c>
      <x:c r="X225" s="29" t="n">
        <x:f>INDEX('Prompt Totals'!$N$7:$N$246,MATCH($A225,'Prompt Totals'!$A$7:$A$246,0))</x:f>
        <x:v>3</x:v>
      </x:c>
      <x:c r="Y225" s="19" t="n">
        <x:f>G225-H225</x:f>
        <x:v>1.4</x:v>
      </x:c>
      <x:c r="Z225" s="30" t="n">
        <x:f>Y225*'Solution'!$C$5</x:f>
        <x:v>70</x:v>
      </x:c>
      <x:c r="AA225" s="22" t="n">
        <x:f>Z225-U225</x:f>
        <x:v>65.95851</x:v>
      </x:c>
    </x:row>
    <x:row r="226" ht="23" customHeight="1">
      <x:c r="A226" s="17" t="str">
        <x:v>W0220</x:v>
      </x:c>
      <x:c r="B226" s="18" t="n">
        <x:v>46293</x:v>
      </x:c>
      <x:c r="C226" s="17" t="str">
        <x:v>C004</x:v>
      </x:c>
      <x:c r="D226" s="17" t="str">
        <x:v>Creative</x:v>
      </x:c>
      <x:c r="E226" s="17" t="str">
        <x:v>Riley Chen</x:v>
      </x:c>
      <x:c r="F226" s="17" t="str">
        <x:v>Develop concept brief</x:v>
      </x:c>
      <x:c r="G226" s="20" t="n">
        <x:v>4.75</x:v>
      </x:c>
      <x:c r="H226" s="20" t="n">
        <x:v>2.17</x:v>
      </x:c>
      <x:c r="I226" s="20" t="n">
        <x:v>0.25</x:v>
      </x:c>
      <x:c r="J226" s="17" t="str">
        <x:v>Unclear prompt</x:v>
      </x:c>
      <x:c r="K226" s="17" t="str">
        <x:v>No</x:v>
      </x:c>
      <x:c r="L226" s="17" t="str">
        <x:v>No</x:v>
      </x:c>
      <x:c r="M226" s="29" t="str">
        <x:f>INDEX('Prompt Totals'!$C$7:$C$246,MATCH($A226,'Prompt Totals'!$A$7:$A$246,0))</x:f>
        <x:v>CampaignChat</x:v>
      </x:c>
      <x:c r="N226" s="29" t="str">
        <x:f>INDEX('Prompt Totals'!$D$7:$D$246,MATCH($A226,'Prompt Totals'!$A$7:$A$246,0))</x:f>
        <x:v>Lite</x:v>
      </x:c>
      <x:c r="O226" s="29" t="n">
        <x:f>INDEX('Prompt Totals'!$E$7:$E$246,MATCH($A226,'Prompt Totals'!$A$7:$A$246,0))</x:f>
        <x:v>211460</x:v>
      </x:c>
      <x:c r="P226" s="29" t="n">
        <x:f>INDEX('Prompt Totals'!$F$7:$F$246,MATCH($A226,'Prompt Totals'!$A$7:$A$246,0))</x:f>
        <x:v>47759</x:v>
      </x:c>
      <x:c r="Q226" s="29" t="n">
        <x:f>INDEX('Prompt Totals'!$G$7:$G$246,MATCH($A226,'Prompt Totals'!$A$7:$A$246,0))</x:f>
        <x:v>259219</x:v>
      </x:c>
      <x:c r="R226" s="29" t="n">
        <x:f>INDEX('Prompt Totals'!$H$7:$H$246,MATCH($A226,'Prompt Totals'!$A$7:$A$246,0))</x:f>
        <x:v>10</x:v>
      </x:c>
      <x:c r="S226" s="30" t="n">
        <x:f>INDEX('Prompt Totals'!$I$7:$I$246,MATCH($A226,'Prompt Totals'!$A$7:$A$246,0))</x:f>
        <x:v>2.1146000000000003</x:v>
      </x:c>
      <x:c r="T226" s="30" t="n">
        <x:f>INDEX('Prompt Totals'!$J$7:$J$246,MATCH($A226,'Prompt Totals'!$A$7:$A$246,0))</x:f>
        <x:v>1.4327699999999999</x:v>
      </x:c>
      <x:c r="U226" s="30" t="n">
        <x:f>INDEX('Prompt Totals'!$K$7:$K$246,MATCH($A226,'Prompt Totals'!$A$7:$A$246,0))</x:f>
        <x:v>3.547370000000001</x:v>
      </x:c>
      <x:c r="V226" s="29" t="n">
        <x:f>INDEX('Prompt Totals'!$L$7:$L$246,MATCH($A226,'Prompt Totals'!$A$7:$A$246,0))</x:f>
        <x:v>1</x:v>
      </x:c>
      <x:c r="W226" s="29" t="n">
        <x:f>INDEX('Prompt Totals'!$M$7:$M$246,MATCH($A226,'Prompt Totals'!$A$7:$A$246,0))</x:f>
        <x:v>6</x:v>
      </x:c>
      <x:c r="X226" s="29" t="n">
        <x:f>INDEX('Prompt Totals'!$N$7:$N$246,MATCH($A226,'Prompt Totals'!$A$7:$A$246,0))</x:f>
        <x:v>3</x:v>
      </x:c>
      <x:c r="Y226" s="19" t="n">
        <x:f>G226-H226</x:f>
        <x:v>2.58</x:v>
      </x:c>
      <x:c r="Z226" s="30" t="n">
        <x:f>Y226*'Solution'!$C$5</x:f>
        <x:v>129</x:v>
      </x:c>
      <x:c r="AA226" s="22" t="n">
        <x:f>Z226-U226</x:f>
        <x:v>125.45263</x:v>
      </x:c>
    </x:row>
    <x:row r="227" ht="23" customHeight="1">
      <x:c r="A227" s="17" t="str">
        <x:v>W0221</x:v>
      </x:c>
      <x:c r="B227" s="18" t="n">
        <x:v>46276</x:v>
      </x:c>
      <x:c r="C227" s="17" t="str">
        <x:v>C004</x:v>
      </x:c>
      <x:c r="D227" s="17" t="str">
        <x:v>Creative</x:v>
      </x:c>
      <x:c r="E227" s="17" t="str">
        <x:v>Taylor Brooks</x:v>
      </x:c>
      <x:c r="F227" s="17" t="str">
        <x:v>Review creative variants</x:v>
      </x:c>
      <x:c r="G227" s="20" t="n">
        <x:v>2.96</x:v>
      </x:c>
      <x:c r="H227" s="20" t="n">
        <x:v>3</x:v>
      </x:c>
      <x:c r="I227" s="20" t="n">
        <x:v>0.58</x:v>
      </x:c>
      <x:c r="J227" s="17" t="str">
        <x:v>Brief changed</x:v>
      </x:c>
      <x:c r="K227" s="17" t="str">
        <x:v>Yes</x:v>
      </x:c>
      <x:c r="L227" s="17" t="str">
        <x:v>No</x:v>
      </x:c>
      <x:c r="M227" s="29" t="str">
        <x:f>INDEX('Prompt Totals'!$C$7:$C$246,MATCH($A227,'Prompt Totals'!$A$7:$A$246,0))</x:f>
        <x:v>CampaignChat</x:v>
      </x:c>
      <x:c r="N227" s="29" t="str">
        <x:f>INDEX('Prompt Totals'!$D$7:$D$246,MATCH($A227,'Prompt Totals'!$A$7:$A$246,0))</x:f>
        <x:v>Pro</x:v>
      </x:c>
      <x:c r="O227" s="29" t="n">
        <x:f>INDEX('Prompt Totals'!$E$7:$E$246,MATCH($A227,'Prompt Totals'!$A$7:$A$246,0))</x:f>
        <x:v>573212</x:v>
      </x:c>
      <x:c r="P227" s="29" t="n">
        <x:f>INDEX('Prompt Totals'!$F$7:$F$246,MATCH($A227,'Prompt Totals'!$A$7:$A$246,0))</x:f>
        <x:v>306858</x:v>
      </x:c>
      <x:c r="Q227" s="29" t="n">
        <x:f>INDEX('Prompt Totals'!$G$7:$G$246,MATCH($A227,'Prompt Totals'!$A$7:$A$246,0))</x:f>
        <x:v>880070</x:v>
      </x:c>
      <x:c r="R227" s="29" t="n">
        <x:f>INDEX('Prompt Totals'!$H$7:$H$246,MATCH($A227,'Prompt Totals'!$A$7:$A$246,0))</x:f>
        <x:v>23</x:v>
      </x:c>
      <x:c r="S227" s="30" t="n">
        <x:f>INDEX('Prompt Totals'!$I$7:$I$246,MATCH($A227,'Prompt Totals'!$A$7:$A$246,0))</x:f>
        <x:v>22.92848</x:v>
      </x:c>
      <x:c r="T227" s="30" t="n">
        <x:f>INDEX('Prompt Totals'!$J$7:$J$246,MATCH($A227,'Prompt Totals'!$A$7:$A$246,0))</x:f>
        <x:v>30.6858</x:v>
      </x:c>
      <x:c r="U227" s="30" t="n">
        <x:f>INDEX('Prompt Totals'!$K$7:$K$246,MATCH($A227,'Prompt Totals'!$A$7:$A$246,0))</x:f>
        <x:v>53.614279999999994</x:v>
      </x:c>
      <x:c r="V227" s="29" t="n">
        <x:f>INDEX('Prompt Totals'!$L$7:$L$246,MATCH($A227,'Prompt Totals'!$A$7:$A$246,0))</x:f>
        <x:v>1</x:v>
      </x:c>
      <x:c r="W227" s="29" t="n">
        <x:f>INDEX('Prompt Totals'!$M$7:$M$246,MATCH($A227,'Prompt Totals'!$A$7:$A$246,0))</x:f>
        <x:v>18</x:v>
      </x:c>
      <x:c r="X227" s="29" t="n">
        <x:f>INDEX('Prompt Totals'!$N$7:$N$246,MATCH($A227,'Prompt Totals'!$A$7:$A$246,0))</x:f>
        <x:v>4</x:v>
      </x:c>
      <x:c r="Y227" s="19" t="n">
        <x:f>G227-H227</x:f>
        <x:v>-0.040000000000000036</x:v>
      </x:c>
      <x:c r="Z227" s="30" t="n">
        <x:f>Y227*'Solution'!$C$5</x:f>
        <x:v>-2.0000000000000018</x:v>
      </x:c>
      <x:c r="AA227" s="22" t="n">
        <x:f>Z227-U227</x:f>
        <x:v>-55.614279999999994</x:v>
      </x:c>
    </x:row>
    <x:row r="228" ht="23" customHeight="1">
      <x:c r="A228" s="17" t="str">
        <x:v>W0222</x:v>
      </x:c>
      <x:c r="B228" s="18" t="n">
        <x:v>46287</x:v>
      </x:c>
      <x:c r="C228" s="17" t="str">
        <x:v>C004</x:v>
      </x:c>
      <x:c r="D228" s="17" t="str">
        <x:v>Marketing Operations</x:v>
      </x:c>
      <x:c r="E228" s="17" t="str">
        <x:v>Casey Rivera</x:v>
      </x:c>
      <x:c r="F228" s="17" t="str">
        <x:v>Prepare launch checklist</x:v>
      </x:c>
      <x:c r="G228" s="20" t="n">
        <x:v>5.64</x:v>
      </x:c>
      <x:c r="H228" s="20" t="n">
        <x:v>6.75</x:v>
      </x:c>
      <x:c r="I228" s="20" t="n">
        <x:v>1.31</x:v>
      </x:c>
      <x:c r="J228" s="17" t="str">
        <x:v>Unclear prompt</x:v>
      </x:c>
      <x:c r="K228" s="17" t="str">
        <x:v>No</x:v>
      </x:c>
      <x:c r="L228" s="17" t="str">
        <x:v>No</x:v>
      </x:c>
      <x:c r="M228" s="29" t="str">
        <x:f>INDEX('Prompt Totals'!$C$7:$C$246,MATCH($A228,'Prompt Totals'!$A$7:$A$246,0))</x:f>
        <x:v>DataFlow</x:v>
      </x:c>
      <x:c r="N228" s="29" t="str">
        <x:f>INDEX('Prompt Totals'!$D$7:$D$246,MATCH($A228,'Prompt Totals'!$A$7:$A$246,0))</x:f>
        <x:v>Pro</x:v>
      </x:c>
      <x:c r="O228" s="29" t="n">
        <x:f>INDEX('Prompt Totals'!$E$7:$E$246,MATCH($A228,'Prompt Totals'!$A$7:$A$246,0))</x:f>
        <x:v>143976</x:v>
      </x:c>
      <x:c r="P228" s="29" t="n">
        <x:f>INDEX('Prompt Totals'!$F$7:$F$246,MATCH($A228,'Prompt Totals'!$A$7:$A$246,0))</x:f>
        <x:v>124872</x:v>
      </x:c>
      <x:c r="Q228" s="29" t="n">
        <x:f>INDEX('Prompt Totals'!$G$7:$G$246,MATCH($A228,'Prompt Totals'!$A$7:$A$246,0))</x:f>
        <x:v>268848</x:v>
      </x:c>
      <x:c r="R228" s="29" t="n">
        <x:f>INDEX('Prompt Totals'!$H$7:$H$246,MATCH($A228,'Prompt Totals'!$A$7:$A$246,0))</x:f>
        <x:v>12</x:v>
      </x:c>
      <x:c r="S228" s="30" t="n">
        <x:f>INDEX('Prompt Totals'!$I$7:$I$246,MATCH($A228,'Prompt Totals'!$A$7:$A$246,0))</x:f>
        <x:v>5.75904</x:v>
      </x:c>
      <x:c r="T228" s="30" t="n">
        <x:f>INDEX('Prompt Totals'!$J$7:$J$246,MATCH($A228,'Prompt Totals'!$A$7:$A$246,0))</x:f>
        <x:v>12.4872</x:v>
      </x:c>
      <x:c r="U228" s="30" t="n">
        <x:f>INDEX('Prompt Totals'!$K$7:$K$246,MATCH($A228,'Prompt Totals'!$A$7:$A$246,0))</x:f>
        <x:v>18.24624</x:v>
      </x:c>
      <x:c r="V228" s="29" t="n">
        <x:f>INDEX('Prompt Totals'!$L$7:$L$246,MATCH($A228,'Prompt Totals'!$A$7:$A$246,0))</x:f>
        <x:v>1</x:v>
      </x:c>
      <x:c r="W228" s="29" t="n">
        <x:f>INDEX('Prompt Totals'!$M$7:$M$246,MATCH($A228,'Prompt Totals'!$A$7:$A$246,0))</x:f>
        <x:v>8</x:v>
      </x:c>
      <x:c r="X228" s="29" t="n">
        <x:f>INDEX('Prompt Totals'!$N$7:$N$246,MATCH($A228,'Prompt Totals'!$A$7:$A$246,0))</x:f>
        <x:v>3</x:v>
      </x:c>
      <x:c r="Y228" s="19" t="n">
        <x:f>G228-H228</x:f>
        <x:v>-1.1100000000000003</x:v>
      </x:c>
      <x:c r="Z228" s="30" t="n">
        <x:f>Y228*'Solution'!$C$5</x:f>
        <x:v>-55.500000000000014</x:v>
      </x:c>
      <x:c r="AA228" s="22" t="n">
        <x:f>Z228-U228</x:f>
        <x:v>-73.74624000000001</x:v>
      </x:c>
    </x:row>
    <x:row r="229" ht="23" customHeight="1">
      <x:c r="A229" s="17" t="str">
        <x:v>W0223</x:v>
      </x:c>
      <x:c r="B229" s="18" t="n">
        <x:v>46269</x:v>
      </x:c>
      <x:c r="C229" s="17" t="str">
        <x:v>C004</x:v>
      </x:c>
      <x:c r="D229" s="17" t="str">
        <x:v>Marketing Operations</x:v>
      </x:c>
      <x:c r="E229" s="17" t="str">
        <x:v>Morgan Reed</x:v>
      </x:c>
      <x:c r="F229" s="17" t="str">
        <x:v>Build campaign plan</x:v>
      </x:c>
      <x:c r="G229" s="20" t="n">
        <x:v>4.41</x:v>
      </x:c>
      <x:c r="H229" s="20" t="n">
        <x:v>2.72</x:v>
      </x:c>
      <x:c r="I229" s="20" t="n">
        <x:v>0.1</x:v>
      </x:c>
      <x:c r="J229" s="17" t="str">
        <x:v>None</x:v>
      </x:c>
      <x:c r="K229" s="17" t="str">
        <x:v>No</x:v>
      </x:c>
      <x:c r="L229" s="17" t="str">
        <x:v>Yes</x:v>
      </x:c>
      <x:c r="M229" s="29" t="str">
        <x:f>INDEX('Prompt Totals'!$C$7:$C$246,MATCH($A229,'Prompt Totals'!$A$7:$A$246,0))</x:f>
        <x:v>DataFlow</x:v>
      </x:c>
      <x:c r="N229" s="29" t="str">
        <x:f>INDEX('Prompt Totals'!$D$7:$D$246,MATCH($A229,'Prompt Totals'!$A$7:$A$246,0))</x:f>
        <x:v>Lite</x:v>
      </x:c>
      <x:c r="O229" s="29" t="n">
        <x:f>INDEX('Prompt Totals'!$E$7:$E$246,MATCH($A229,'Prompt Totals'!$A$7:$A$246,0))</x:f>
        <x:v>203800</x:v>
      </x:c>
      <x:c r="P229" s="29" t="n">
        <x:f>INDEX('Prompt Totals'!$F$7:$F$246,MATCH($A229,'Prompt Totals'!$A$7:$A$246,0))</x:f>
        <x:v>39954</x:v>
      </x:c>
      <x:c r="Q229" s="29" t="n">
        <x:f>INDEX('Prompt Totals'!$G$7:$G$246,MATCH($A229,'Prompt Totals'!$A$7:$A$246,0))</x:f>
        <x:v>243754</x:v>
      </x:c>
      <x:c r="R229" s="29" t="n">
        <x:f>INDEX('Prompt Totals'!$H$7:$H$246,MATCH($A229,'Prompt Totals'!$A$7:$A$246,0))</x:f>
        <x:v>11</x:v>
      </x:c>
      <x:c r="S229" s="30" t="n">
        <x:f>INDEX('Prompt Totals'!$I$7:$I$246,MATCH($A229,'Prompt Totals'!$A$7:$A$246,0))</x:f>
        <x:v>2.0380000000000003</x:v>
      </x:c>
      <x:c r="T229" s="30" t="n">
        <x:f>INDEX('Prompt Totals'!$J$7:$J$246,MATCH($A229,'Prompt Totals'!$A$7:$A$246,0))</x:f>
        <x:v>1.1986199999999998</x:v>
      </x:c>
      <x:c r="U229" s="30" t="n">
        <x:f>INDEX('Prompt Totals'!$K$7:$K$246,MATCH($A229,'Prompt Totals'!$A$7:$A$246,0))</x:f>
        <x:v>3.23662</x:v>
      </x:c>
      <x:c r="V229" s="29" t="n">
        <x:f>INDEX('Prompt Totals'!$L$7:$L$246,MATCH($A229,'Prompt Totals'!$A$7:$A$246,0))</x:f>
        <x:v>1</x:v>
      </x:c>
      <x:c r="W229" s="29" t="n">
        <x:f>INDEX('Prompt Totals'!$M$7:$M$246,MATCH($A229,'Prompt Totals'!$A$7:$A$246,0))</x:f>
        <x:v>7</x:v>
      </x:c>
      <x:c r="X229" s="29" t="n">
        <x:f>INDEX('Prompt Totals'!$N$7:$N$246,MATCH($A229,'Prompt Totals'!$A$7:$A$246,0))</x:f>
        <x:v>3</x:v>
      </x:c>
      <x:c r="Y229" s="19" t="n">
        <x:f>G229-H229</x:f>
        <x:v>1.69</x:v>
      </x:c>
      <x:c r="Z229" s="30" t="n">
        <x:f>Y229*'Solution'!$C$5</x:f>
        <x:v>84.5</x:v>
      </x:c>
      <x:c r="AA229" s="22" t="n">
        <x:f>Z229-U229</x:f>
        <x:v>81.26338</x:v>
      </x:c>
    </x:row>
    <x:row r="230" ht="23" customHeight="1">
      <x:c r="A230" s="17" t="str">
        <x:v>W0224</x:v>
      </x:c>
      <x:c r="B230" s="18" t="n">
        <x:v>46281</x:v>
      </x:c>
      <x:c r="C230" s="17" t="str">
        <x:v>C004</x:v>
      </x:c>
      <x:c r="D230" s="17" t="str">
        <x:v>Analytics</x:v>
      </x:c>
      <x:c r="E230" s="17" t="str">
        <x:v>Quinn Parker</x:v>
      </x:c>
      <x:c r="F230" s="17" t="str">
        <x:v>Summarize audience insights</x:v>
      </x:c>
      <x:c r="G230" s="20" t="n">
        <x:v>5.94</x:v>
      </x:c>
      <x:c r="H230" s="20" t="n">
        <x:v>6.72</x:v>
      </x:c>
      <x:c r="I230" s="20" t="n">
        <x:v>0.66</x:v>
      </x:c>
      <x:c r="J230" s="17" t="str">
        <x:v>Unclear prompt</x:v>
      </x:c>
      <x:c r="K230" s="17" t="str">
        <x:v>No</x:v>
      </x:c>
      <x:c r="L230" s="17" t="str">
        <x:v>No</x:v>
      </x:c>
      <x:c r="M230" s="29" t="str">
        <x:f>INDEX('Prompt Totals'!$C$7:$C$246,MATCH($A230,'Prompt Totals'!$A$7:$A$246,0))</x:f>
        <x:v>DataFlow</x:v>
      </x:c>
      <x:c r="N230" s="29" t="str">
        <x:f>INDEX('Prompt Totals'!$D$7:$D$246,MATCH($A230,'Prompt Totals'!$A$7:$A$246,0))</x:f>
        <x:v>Pro</x:v>
      </x:c>
      <x:c r="O230" s="29" t="n">
        <x:f>INDEX('Prompt Totals'!$E$7:$E$246,MATCH($A230,'Prompt Totals'!$A$7:$A$246,0))</x:f>
        <x:v>459285</x:v>
      </x:c>
      <x:c r="P230" s="29" t="n">
        <x:f>INDEX('Prompt Totals'!$F$7:$F$246,MATCH($A230,'Prompt Totals'!$A$7:$A$246,0))</x:f>
        <x:v>112398</x:v>
      </x:c>
      <x:c r="Q230" s="29" t="n">
        <x:f>INDEX('Prompt Totals'!$G$7:$G$246,MATCH($A230,'Prompt Totals'!$A$7:$A$246,0))</x:f>
        <x:v>571683</x:v>
      </x:c>
      <x:c r="R230" s="29" t="n">
        <x:f>INDEX('Prompt Totals'!$H$7:$H$246,MATCH($A230,'Prompt Totals'!$A$7:$A$246,0))</x:f>
        <x:v>16</x:v>
      </x:c>
      <x:c r="S230" s="30" t="n">
        <x:f>INDEX('Prompt Totals'!$I$7:$I$246,MATCH($A230,'Prompt Totals'!$A$7:$A$246,0))</x:f>
        <x:v>18.3714</x:v>
      </x:c>
      <x:c r="T230" s="30" t="n">
        <x:f>INDEX('Prompt Totals'!$J$7:$J$246,MATCH($A230,'Prompt Totals'!$A$7:$A$246,0))</x:f>
        <x:v>11.239799999999999</x:v>
      </x:c>
      <x:c r="U230" s="30" t="n">
        <x:f>INDEX('Prompt Totals'!$K$7:$K$246,MATCH($A230,'Prompt Totals'!$A$7:$A$246,0))</x:f>
        <x:v>29.611199999999997</x:v>
      </x:c>
      <x:c r="V230" s="29" t="n">
        <x:f>INDEX('Prompt Totals'!$L$7:$L$246,MATCH($A230,'Prompt Totals'!$A$7:$A$246,0))</x:f>
        <x:v>1</x:v>
      </x:c>
      <x:c r="W230" s="29" t="n">
        <x:f>INDEX('Prompt Totals'!$M$7:$M$246,MATCH($A230,'Prompt Totals'!$A$7:$A$246,0))</x:f>
        <x:v>12</x:v>
      </x:c>
      <x:c r="X230" s="29" t="n">
        <x:f>INDEX('Prompt Totals'!$N$7:$N$246,MATCH($A230,'Prompt Totals'!$A$7:$A$246,0))</x:f>
        <x:v>3</x:v>
      </x:c>
      <x:c r="Y230" s="19" t="n">
        <x:f>G230-H230</x:f>
        <x:v>-0.7799999999999994</x:v>
      </x:c>
      <x:c r="Z230" s="30" t="n">
        <x:f>Y230*'Solution'!$C$5</x:f>
        <x:v>-38.99999999999997</x:v>
      </x:c>
      <x:c r="AA230" s="22" t="n">
        <x:f>Z230-U230</x:f>
        <x:v>-68.61119999999997</x:v>
      </x:c>
    </x:row>
    <x:row r="231" ht="23" customHeight="1">
      <x:c r="A231" s="17" t="str">
        <x:v>W0225</x:v>
      </x:c>
      <x:c r="B231" s="18" t="n">
        <x:v>46290</x:v>
      </x:c>
      <x:c r="C231" s="17" t="str">
        <x:v>C004</x:v>
      </x:c>
      <x:c r="D231" s="17" t="str">
        <x:v>Analytics</x:v>
      </x:c>
      <x:c r="E231" s="17" t="str">
        <x:v>Jamie Patel</x:v>
      </x:c>
      <x:c r="F231" s="17" t="str">
        <x:v>Check measurement plan</x:v>
      </x:c>
      <x:c r="G231" s="20" t="n">
        <x:v>4.99</x:v>
      </x:c>
      <x:c r="H231" s="20" t="n">
        <x:v>2.46</x:v>
      </x:c>
      <x:c r="I231" s="20" t="n">
        <x:v>0.14</x:v>
      </x:c>
      <x:c r="J231" s="17" t="str">
        <x:v>None</x:v>
      </x:c>
      <x:c r="K231" s="17" t="str">
        <x:v>No</x:v>
      </x:c>
      <x:c r="L231" s="17" t="str">
        <x:v>Yes</x:v>
      </x:c>
      <x:c r="M231" s="29" t="str">
        <x:f>INDEX('Prompt Totals'!$C$7:$C$246,MATCH($A231,'Prompt Totals'!$A$7:$A$246,0))</x:f>
        <x:v>InsightDesk</x:v>
      </x:c>
      <x:c r="N231" s="29" t="str">
        <x:f>INDEX('Prompt Totals'!$D$7:$D$246,MATCH($A231,'Prompt Totals'!$A$7:$A$246,0))</x:f>
        <x:v>Lite</x:v>
      </x:c>
      <x:c r="O231" s="29" t="n">
        <x:f>INDEX('Prompt Totals'!$E$7:$E$246,MATCH($A231,'Prompt Totals'!$A$7:$A$246,0))</x:f>
        <x:v>213796</x:v>
      </x:c>
      <x:c r="P231" s="29" t="n">
        <x:f>INDEX('Prompt Totals'!$F$7:$F$246,MATCH($A231,'Prompt Totals'!$A$7:$A$246,0))</x:f>
        <x:v>57277</x:v>
      </x:c>
      <x:c r="Q231" s="29" t="n">
        <x:f>INDEX('Prompt Totals'!$G$7:$G$246,MATCH($A231,'Prompt Totals'!$A$7:$A$246,0))</x:f>
        <x:v>271073</x:v>
      </x:c>
      <x:c r="R231" s="29" t="n">
        <x:f>INDEX('Prompt Totals'!$H$7:$H$246,MATCH($A231,'Prompt Totals'!$A$7:$A$246,0))</x:f>
        <x:v>13</x:v>
      </x:c>
      <x:c r="S231" s="30" t="n">
        <x:f>INDEX('Prompt Totals'!$I$7:$I$246,MATCH($A231,'Prompt Totals'!$A$7:$A$246,0))</x:f>
        <x:v>2.1379599999999996</x:v>
      </x:c>
      <x:c r="T231" s="30" t="n">
        <x:f>INDEX('Prompt Totals'!$J$7:$J$246,MATCH($A231,'Prompt Totals'!$A$7:$A$246,0))</x:f>
        <x:v>1.71831</x:v>
      </x:c>
      <x:c r="U231" s="30" t="n">
        <x:f>INDEX('Prompt Totals'!$K$7:$K$246,MATCH($A231,'Prompt Totals'!$A$7:$A$246,0))</x:f>
        <x:v>3.85627</x:v>
      </x:c>
      <x:c r="V231" s="29" t="n">
        <x:f>INDEX('Prompt Totals'!$L$7:$L$246,MATCH($A231,'Prompt Totals'!$A$7:$A$246,0))</x:f>
        <x:v>1</x:v>
      </x:c>
      <x:c r="W231" s="29" t="n">
        <x:f>INDEX('Prompt Totals'!$M$7:$M$246,MATCH($A231,'Prompt Totals'!$A$7:$A$246,0))</x:f>
        <x:v>10</x:v>
      </x:c>
      <x:c r="X231" s="29" t="n">
        <x:f>INDEX('Prompt Totals'!$N$7:$N$246,MATCH($A231,'Prompt Totals'!$A$7:$A$246,0))</x:f>
        <x:v>2</x:v>
      </x:c>
      <x:c r="Y231" s="19" t="n">
        <x:f>G231-H231</x:f>
        <x:v>2.5300000000000002</x:v>
      </x:c>
      <x:c r="Z231" s="30" t="n">
        <x:f>Y231*'Solution'!$C$5</x:f>
        <x:v>126.50000000000001</x:v>
      </x:c>
      <x:c r="AA231" s="22" t="n">
        <x:f>Z231-U231</x:f>
        <x:v>122.64373000000002</x:v>
      </x:c>
    </x:row>
    <x:row r="232" ht="23" customHeight="1">
      <x:c r="A232" s="17" t="str">
        <x:v>W0226</x:v>
      </x:c>
      <x:c r="B232" s="18" t="n">
        <x:v>46275</x:v>
      </x:c>
      <x:c r="C232" s="17" t="str">
        <x:v>C004</x:v>
      </x:c>
      <x:c r="D232" s="17" t="str">
        <x:v>Content</x:v>
      </x:c>
      <x:c r="E232" s="17" t="str">
        <x:v>Avery Morgan</x:v>
      </x:c>
      <x:c r="F232" s="17" t="str">
        <x:v>Write ad copy</x:v>
      </x:c>
      <x:c r="G232" s="20" t="n">
        <x:v>3.79</x:v>
      </x:c>
      <x:c r="H232" s="20" t="n">
        <x:v>3.84</x:v>
      </x:c>
      <x:c r="I232" s="20" t="n">
        <x:v>0.29</x:v>
      </x:c>
      <x:c r="J232" s="17" t="str">
        <x:v>Unclear prompt</x:v>
      </x:c>
      <x:c r="K232" s="17" t="str">
        <x:v>No</x:v>
      </x:c>
      <x:c r="L232" s="17" t="str">
        <x:v>No</x:v>
      </x:c>
      <x:c r="M232" s="29" t="str">
        <x:f>INDEX('Prompt Totals'!$C$7:$C$246,MATCH($A232,'Prompt Totals'!$A$7:$A$246,0))</x:f>
        <x:v>CopyStudio</x:v>
      </x:c>
      <x:c r="N232" s="29" t="str">
        <x:f>INDEX('Prompt Totals'!$D$7:$D$246,MATCH($A232,'Prompt Totals'!$A$7:$A$246,0))</x:f>
        <x:v>Lite</x:v>
      </x:c>
      <x:c r="O232" s="29" t="n">
        <x:f>INDEX('Prompt Totals'!$E$7:$E$246,MATCH($A232,'Prompt Totals'!$A$7:$A$246,0))</x:f>
        <x:v>396958</x:v>
      </x:c>
      <x:c r="P232" s="29" t="n">
        <x:f>INDEX('Prompt Totals'!$F$7:$F$246,MATCH($A232,'Prompt Totals'!$A$7:$A$246,0))</x:f>
        <x:v>41893</x:v>
      </x:c>
      <x:c r="Q232" s="29" t="n">
        <x:f>INDEX('Prompt Totals'!$G$7:$G$246,MATCH($A232,'Prompt Totals'!$A$7:$A$246,0))</x:f>
        <x:v>438851</x:v>
      </x:c>
      <x:c r="R232" s="29" t="n">
        <x:f>INDEX('Prompt Totals'!$H$7:$H$246,MATCH($A232,'Prompt Totals'!$A$7:$A$246,0))</x:f>
        <x:v>16</x:v>
      </x:c>
      <x:c r="S232" s="30" t="n">
        <x:f>INDEX('Prompt Totals'!$I$7:$I$246,MATCH($A232,'Prompt Totals'!$A$7:$A$246,0))</x:f>
        <x:v>3.96958</x:v>
      </x:c>
      <x:c r="T232" s="30" t="n">
        <x:f>INDEX('Prompt Totals'!$J$7:$J$246,MATCH($A232,'Prompt Totals'!$A$7:$A$246,0))</x:f>
        <x:v>1.25679</x:v>
      </x:c>
      <x:c r="U232" s="30" t="n">
        <x:f>INDEX('Prompt Totals'!$K$7:$K$246,MATCH($A232,'Prompt Totals'!$A$7:$A$246,0))</x:f>
        <x:v>5.226370000000001</x:v>
      </x:c>
      <x:c r="V232" s="29" t="n">
        <x:f>INDEX('Prompt Totals'!$L$7:$L$246,MATCH($A232,'Prompt Totals'!$A$7:$A$246,0))</x:f>
        <x:v>1</x:v>
      </x:c>
      <x:c r="W232" s="29" t="n">
        <x:f>INDEX('Prompt Totals'!$M$7:$M$246,MATCH($A232,'Prompt Totals'!$A$7:$A$246,0))</x:f>
        <x:v>13</x:v>
      </x:c>
      <x:c r="X232" s="29" t="n">
        <x:f>INDEX('Prompt Totals'!$N$7:$N$246,MATCH($A232,'Prompt Totals'!$A$7:$A$246,0))</x:f>
        <x:v>2</x:v>
      </x:c>
      <x:c r="Y232" s="19" t="n">
        <x:f>G232-H232</x:f>
        <x:v>-0.04999999999999982</x:v>
      </x:c>
      <x:c r="Z232" s="30" t="n">
        <x:f>Y232*'Solution'!$C$5</x:f>
        <x:v>-2.499999999999991</x:v>
      </x:c>
      <x:c r="AA232" s="22" t="n">
        <x:f>Z232-U232</x:f>
        <x:v>-7.726369999999992</x:v>
      </x:c>
    </x:row>
    <x:row r="233" ht="23" customHeight="1">
      <x:c r="A233" s="17" t="str">
        <x:v>W0227</x:v>
      </x:c>
      <x:c r="B233" s="18" t="n">
        <x:v>46286</x:v>
      </x:c>
      <x:c r="C233" s="17" t="str">
        <x:v>C004</x:v>
      </x:c>
      <x:c r="D233" s="17" t="str">
        <x:v>Content</x:v>
      </x:c>
      <x:c r="E233" s="17" t="str">
        <x:v>Jordan Ellis</x:v>
      </x:c>
      <x:c r="F233" s="17" t="str">
        <x:v>Draft email sequence</x:v>
      </x:c>
      <x:c r="G233" s="20" t="n">
        <x:v>5.1</x:v>
      </x:c>
      <x:c r="H233" s="20" t="n">
        <x:v>5.74</x:v>
      </x:c>
      <x:c r="I233" s="20" t="n">
        <x:v>0.31</x:v>
      </x:c>
      <x:c r="J233" s="17" t="str">
        <x:v>Unclear prompt</x:v>
      </x:c>
      <x:c r="K233" s="17" t="str">
        <x:v>No</x:v>
      </x:c>
      <x:c r="L233" s="17" t="str">
        <x:v>Yes</x:v>
      </x:c>
      <x:c r="M233" s="29" t="str">
        <x:f>INDEX('Prompt Totals'!$C$7:$C$246,MATCH($A233,'Prompt Totals'!$A$7:$A$246,0))</x:f>
        <x:v>DataFlow</x:v>
      </x:c>
      <x:c r="N233" s="29" t="str">
        <x:f>INDEX('Prompt Totals'!$D$7:$D$246,MATCH($A233,'Prompt Totals'!$A$7:$A$246,0))</x:f>
        <x:v>Pro</x:v>
      </x:c>
      <x:c r="O233" s="29" t="n">
        <x:f>INDEX('Prompt Totals'!$E$7:$E$246,MATCH($A233,'Prompt Totals'!$A$7:$A$246,0))</x:f>
        <x:v>277153</x:v>
      </x:c>
      <x:c r="P233" s="29" t="n">
        <x:f>INDEX('Prompt Totals'!$F$7:$F$246,MATCH($A233,'Prompt Totals'!$A$7:$A$246,0))</x:f>
        <x:v>154991</x:v>
      </x:c>
      <x:c r="Q233" s="29" t="n">
        <x:f>INDEX('Prompt Totals'!$G$7:$G$246,MATCH($A233,'Prompt Totals'!$A$7:$A$246,0))</x:f>
        <x:v>432144</x:v>
      </x:c>
      <x:c r="R233" s="29" t="n">
        <x:f>INDEX('Prompt Totals'!$H$7:$H$246,MATCH($A233,'Prompt Totals'!$A$7:$A$246,0))</x:f>
        <x:v>15</x:v>
      </x:c>
      <x:c r="S233" s="30" t="n">
        <x:f>INDEX('Prompt Totals'!$I$7:$I$246,MATCH($A233,'Prompt Totals'!$A$7:$A$246,0))</x:f>
        <x:v>11.086120000000001</x:v>
      </x:c>
      <x:c r="T233" s="30" t="n">
        <x:f>INDEX('Prompt Totals'!$J$7:$J$246,MATCH($A233,'Prompt Totals'!$A$7:$A$246,0))</x:f>
        <x:v>15.4991</x:v>
      </x:c>
      <x:c r="U233" s="30" t="n">
        <x:f>INDEX('Prompt Totals'!$K$7:$K$246,MATCH($A233,'Prompt Totals'!$A$7:$A$246,0))</x:f>
        <x:v>26.58522</x:v>
      </x:c>
      <x:c r="V233" s="29" t="n">
        <x:f>INDEX('Prompt Totals'!$L$7:$L$246,MATCH($A233,'Prompt Totals'!$A$7:$A$246,0))</x:f>
        <x:v>1</x:v>
      </x:c>
      <x:c r="W233" s="29" t="n">
        <x:f>INDEX('Prompt Totals'!$M$7:$M$246,MATCH($A233,'Prompt Totals'!$A$7:$A$246,0))</x:f>
        <x:v>12</x:v>
      </x:c>
      <x:c r="X233" s="29" t="n">
        <x:f>INDEX('Prompt Totals'!$N$7:$N$246,MATCH($A233,'Prompt Totals'!$A$7:$A$246,0))</x:f>
        <x:v>2</x:v>
      </x:c>
      <x:c r="Y233" s="19" t="n">
        <x:f>G233-H233</x:f>
        <x:v>-0.6400000000000006</x:v>
      </x:c>
      <x:c r="Z233" s="30" t="n">
        <x:f>Y233*'Solution'!$C$5</x:f>
        <x:v>-32.00000000000003</x:v>
      </x:c>
      <x:c r="AA233" s="22" t="n">
        <x:f>Z233-U233</x:f>
        <x:v>-58.58522000000003</x:v>
      </x:c>
    </x:row>
    <x:row r="234" ht="23" customHeight="1">
      <x:c r="A234" s="17" t="str">
        <x:v>W0228</x:v>
      </x:c>
      <x:c r="B234" s="18" t="n">
        <x:v>46295</x:v>
      </x:c>
      <x:c r="C234" s="17" t="str">
        <x:v>C004</x:v>
      </x:c>
      <x:c r="D234" s="17" t="str">
        <x:v>Creative</x:v>
      </x:c>
      <x:c r="E234" s="17" t="str">
        <x:v>Riley Chen</x:v>
      </x:c>
      <x:c r="F234" s="17" t="str">
        <x:v>Plan visual narrative</x:v>
      </x:c>
      <x:c r="G234" s="20" t="n">
        <x:v>4.81</x:v>
      </x:c>
      <x:c r="H234" s="20" t="n">
        <x:v>3.8</x:v>
      </x:c>
      <x:c r="I234" s="20" t="n">
        <x:v>0.29</x:v>
      </x:c>
      <x:c r="J234" s="17" t="str">
        <x:v>None</x:v>
      </x:c>
      <x:c r="K234" s="17" t="str">
        <x:v>No</x:v>
      </x:c>
      <x:c r="L234" s="17" t="str">
        <x:v>Yes</x:v>
      </x:c>
      <x:c r="M234" s="29" t="str">
        <x:f>INDEX('Prompt Totals'!$C$7:$C$246,MATCH($A234,'Prompt Totals'!$A$7:$A$246,0))</x:f>
        <x:v>CampaignChat</x:v>
      </x:c>
      <x:c r="N234" s="29" t="str">
        <x:f>INDEX('Prompt Totals'!$D$7:$D$246,MATCH($A234,'Prompt Totals'!$A$7:$A$246,0))</x:f>
        <x:v>Lite</x:v>
      </x:c>
      <x:c r="O234" s="29" t="n">
        <x:f>INDEX('Prompt Totals'!$E$7:$E$246,MATCH($A234,'Prompt Totals'!$A$7:$A$246,0))</x:f>
        <x:v>324063</x:v>
      </x:c>
      <x:c r="P234" s="29" t="n">
        <x:f>INDEX('Prompt Totals'!$F$7:$F$246,MATCH($A234,'Prompt Totals'!$A$7:$A$246,0))</x:f>
        <x:v>43578</x:v>
      </x:c>
      <x:c r="Q234" s="29" t="n">
        <x:f>INDEX('Prompt Totals'!$G$7:$G$246,MATCH($A234,'Prompt Totals'!$A$7:$A$246,0))</x:f>
        <x:v>367641</x:v>
      </x:c>
      <x:c r="R234" s="29" t="n">
        <x:f>INDEX('Prompt Totals'!$H$7:$H$246,MATCH($A234,'Prompt Totals'!$A$7:$A$246,0))</x:f>
        <x:v>14</x:v>
      </x:c>
      <x:c r="S234" s="30" t="n">
        <x:f>INDEX('Prompt Totals'!$I$7:$I$246,MATCH($A234,'Prompt Totals'!$A$7:$A$246,0))</x:f>
        <x:v>3.2406300000000003</x:v>
      </x:c>
      <x:c r="T234" s="30" t="n">
        <x:f>INDEX('Prompt Totals'!$J$7:$J$246,MATCH($A234,'Prompt Totals'!$A$7:$A$246,0))</x:f>
        <x:v>1.30734</x:v>
      </x:c>
      <x:c r="U234" s="30" t="n">
        <x:f>INDEX('Prompt Totals'!$K$7:$K$246,MATCH($A234,'Prompt Totals'!$A$7:$A$246,0))</x:f>
        <x:v>4.547969999999999</x:v>
      </x:c>
      <x:c r="V234" s="29" t="n">
        <x:f>INDEX('Prompt Totals'!$L$7:$L$246,MATCH($A234,'Prompt Totals'!$A$7:$A$246,0))</x:f>
        <x:v>1</x:v>
      </x:c>
      <x:c r="W234" s="29" t="n">
        <x:f>INDEX('Prompt Totals'!$M$7:$M$246,MATCH($A234,'Prompt Totals'!$A$7:$A$246,0))</x:f>
        <x:v>9</x:v>
      </x:c>
      <x:c r="X234" s="29" t="n">
        <x:f>INDEX('Prompt Totals'!$N$7:$N$246,MATCH($A234,'Prompt Totals'!$A$7:$A$246,0))</x:f>
        <x:v>4</x:v>
      </x:c>
      <x:c r="Y234" s="19" t="n">
        <x:f>G234-H234</x:f>
        <x:v>1.0099999999999998</x:v>
      </x:c>
      <x:c r="Z234" s="30" t="n">
        <x:f>Y234*'Solution'!$C$5</x:f>
        <x:v>50.499999999999986</x:v>
      </x:c>
      <x:c r="AA234" s="22" t="n">
        <x:f>Z234-U234</x:f>
        <x:v>45.952029999999986</x:v>
      </x:c>
    </x:row>
    <x:row r="235" ht="23" customHeight="1">
      <x:c r="A235" s="17" t="str">
        <x:v>W0229</x:v>
      </x:c>
      <x:c r="B235" s="18" t="n">
        <x:v>46280</x:v>
      </x:c>
      <x:c r="C235" s="17" t="str">
        <x:v>C004</x:v>
      </x:c>
      <x:c r="D235" s="17" t="str">
        <x:v>Creative</x:v>
      </x:c>
      <x:c r="E235" s="17" t="str">
        <x:v>Taylor Brooks</x:v>
      </x:c>
      <x:c r="F235" s="17" t="str">
        <x:v>Develop concept brief</x:v>
      </x:c>
      <x:c r="G235" s="20" t="n">
        <x:v>2.93</x:v>
      </x:c>
      <x:c r="H235" s="20" t="n">
        <x:v>3.37</x:v>
      </x:c>
      <x:c r="I235" s="20" t="n">
        <x:v>0.5</x:v>
      </x:c>
      <x:c r="J235" s="17" t="str">
        <x:v>Unclear prompt</x:v>
      </x:c>
      <x:c r="K235" s="17" t="str">
        <x:v>No</x:v>
      </x:c>
      <x:c r="L235" s="17" t="str">
        <x:v>Yes</x:v>
      </x:c>
      <x:c r="M235" s="29" t="str">
        <x:f>INDEX('Prompt Totals'!$C$7:$C$246,MATCH($A235,'Prompt Totals'!$A$7:$A$246,0))</x:f>
        <x:v>CampaignChat</x:v>
      </x:c>
      <x:c r="N235" s="29" t="str">
        <x:f>INDEX('Prompt Totals'!$D$7:$D$246,MATCH($A235,'Prompt Totals'!$A$7:$A$246,0))</x:f>
        <x:v>Lite</x:v>
      </x:c>
      <x:c r="O235" s="29" t="n">
        <x:f>INDEX('Prompt Totals'!$E$7:$E$246,MATCH($A235,'Prompt Totals'!$A$7:$A$246,0))</x:f>
        <x:v>172830</x:v>
      </x:c>
      <x:c r="P235" s="29" t="n">
        <x:f>INDEX('Prompt Totals'!$F$7:$F$246,MATCH($A235,'Prompt Totals'!$A$7:$A$246,0))</x:f>
        <x:v>62269</x:v>
      </x:c>
      <x:c r="Q235" s="29" t="n">
        <x:f>INDEX('Prompt Totals'!$G$7:$G$246,MATCH($A235,'Prompt Totals'!$A$7:$A$246,0))</x:f>
        <x:v>235099</x:v>
      </x:c>
      <x:c r="R235" s="29" t="n">
        <x:f>INDEX('Prompt Totals'!$H$7:$H$246,MATCH($A235,'Prompt Totals'!$A$7:$A$246,0))</x:f>
        <x:v>13</x:v>
      </x:c>
      <x:c r="S235" s="30" t="n">
        <x:f>INDEX('Prompt Totals'!$I$7:$I$246,MATCH($A235,'Prompt Totals'!$A$7:$A$246,0))</x:f>
        <x:v>1.7283000000000002</x:v>
      </x:c>
      <x:c r="T235" s="30" t="n">
        <x:f>INDEX('Prompt Totals'!$J$7:$J$246,MATCH($A235,'Prompt Totals'!$A$7:$A$246,0))</x:f>
        <x:v>1.8680700000000001</x:v>
      </x:c>
      <x:c r="U235" s="30" t="n">
        <x:f>INDEX('Prompt Totals'!$K$7:$K$246,MATCH($A235,'Prompt Totals'!$A$7:$A$246,0))</x:f>
        <x:v>3.5963700000000007</x:v>
      </x:c>
      <x:c r="V235" s="29" t="n">
        <x:f>INDEX('Prompt Totals'!$L$7:$L$246,MATCH($A235,'Prompt Totals'!$A$7:$A$246,0))</x:f>
        <x:v>1</x:v>
      </x:c>
      <x:c r="W235" s="29" t="n">
        <x:f>INDEX('Prompt Totals'!$M$7:$M$246,MATCH($A235,'Prompt Totals'!$A$7:$A$246,0))</x:f>
        <x:v>9</x:v>
      </x:c>
      <x:c r="X235" s="29" t="n">
        <x:f>INDEX('Prompt Totals'!$N$7:$N$246,MATCH($A235,'Prompt Totals'!$A$7:$A$246,0))</x:f>
        <x:v>3</x:v>
      </x:c>
      <x:c r="Y235" s="19" t="n">
        <x:f>G235-H235</x:f>
        <x:v>-0.43999999999999995</x:v>
      </x:c>
      <x:c r="Z235" s="30" t="n">
        <x:f>Y235*'Solution'!$C$5</x:f>
        <x:v>-21.999999999999996</x:v>
      </x:c>
      <x:c r="AA235" s="22" t="n">
        <x:f>Z235-U235</x:f>
        <x:v>-25.596369999999997</x:v>
      </x:c>
    </x:row>
    <x:row r="236" ht="23" customHeight="1">
      <x:c r="A236" s="17" t="str">
        <x:v>W0230</x:v>
      </x:c>
      <x:c r="B236" s="18" t="n">
        <x:v>46289</x:v>
      </x:c>
      <x:c r="C236" s="17" t="str">
        <x:v>C004</x:v>
      </x:c>
      <x:c r="D236" s="17" t="str">
        <x:v>Marketing Operations</x:v>
      </x:c>
      <x:c r="E236" s="17" t="str">
        <x:v>Casey Rivera</x:v>
      </x:c>
      <x:c r="F236" s="17" t="str">
        <x:v>Clean audience data</x:v>
      </x:c>
      <x:c r="G236" s="20" t="n">
        <x:v>3.89</x:v>
      </x:c>
      <x:c r="H236" s="20" t="n">
        <x:v>2.55</x:v>
      </x:c>
      <x:c r="I236" s="20" t="n">
        <x:v>0.31</x:v>
      </x:c>
      <x:c r="J236" s="17" t="str">
        <x:v>Brief changed</x:v>
      </x:c>
      <x:c r="K236" s="17" t="str">
        <x:v>Yes</x:v>
      </x:c>
      <x:c r="L236" s="17" t="str">
        <x:v>No</x:v>
      </x:c>
      <x:c r="M236" s="29" t="str">
        <x:f>INDEX('Prompt Totals'!$C$7:$C$246,MATCH($A236,'Prompt Totals'!$A$7:$A$246,0))</x:f>
        <x:v>DataFlow</x:v>
      </x:c>
      <x:c r="N236" s="29" t="str">
        <x:f>INDEX('Prompt Totals'!$D$7:$D$246,MATCH($A236,'Prompt Totals'!$A$7:$A$246,0))</x:f>
        <x:v>Lite</x:v>
      </x:c>
      <x:c r="O236" s="29" t="n">
        <x:f>INDEX('Prompt Totals'!$E$7:$E$246,MATCH($A236,'Prompt Totals'!$A$7:$A$246,0))</x:f>
        <x:v>166574</x:v>
      </x:c>
      <x:c r="P236" s="29" t="n">
        <x:f>INDEX('Prompt Totals'!$F$7:$F$246,MATCH($A236,'Prompt Totals'!$A$7:$A$246,0))</x:f>
        <x:v>38996</x:v>
      </x:c>
      <x:c r="Q236" s="29" t="n">
        <x:f>INDEX('Prompt Totals'!$G$7:$G$246,MATCH($A236,'Prompt Totals'!$A$7:$A$246,0))</x:f>
        <x:v>205570</x:v>
      </x:c>
      <x:c r="R236" s="29" t="n">
        <x:f>INDEX('Prompt Totals'!$H$7:$H$246,MATCH($A236,'Prompt Totals'!$A$7:$A$246,0))</x:f>
        <x:v>12</x:v>
      </x:c>
      <x:c r="S236" s="30" t="n">
        <x:f>INDEX('Prompt Totals'!$I$7:$I$246,MATCH($A236,'Prompt Totals'!$A$7:$A$246,0))</x:f>
        <x:v>1.66574</x:v>
      </x:c>
      <x:c r="T236" s="30" t="n">
        <x:f>INDEX('Prompt Totals'!$J$7:$J$246,MATCH($A236,'Prompt Totals'!$A$7:$A$246,0))</x:f>
        <x:v>1.1698799999999998</x:v>
      </x:c>
      <x:c r="U236" s="30" t="n">
        <x:f>INDEX('Prompt Totals'!$K$7:$K$246,MATCH($A236,'Prompt Totals'!$A$7:$A$246,0))</x:f>
        <x:v>2.83562</x:v>
      </x:c>
      <x:c r="V236" s="29" t="n">
        <x:f>INDEX('Prompt Totals'!$L$7:$L$246,MATCH($A236,'Prompt Totals'!$A$7:$A$246,0))</x:f>
        <x:v>1</x:v>
      </x:c>
      <x:c r="W236" s="29" t="n">
        <x:f>INDEX('Prompt Totals'!$M$7:$M$246,MATCH($A236,'Prompt Totals'!$A$7:$A$246,0))</x:f>
        <x:v>9</x:v>
      </x:c>
      <x:c r="X236" s="29" t="n">
        <x:f>INDEX('Prompt Totals'!$N$7:$N$246,MATCH($A236,'Prompt Totals'!$A$7:$A$246,0))</x:f>
        <x:v>2</x:v>
      </x:c>
      <x:c r="Y236" s="19" t="n">
        <x:f>G236-H236</x:f>
        <x:v>1.3400000000000003</x:v>
      </x:c>
      <x:c r="Z236" s="30" t="n">
        <x:f>Y236*'Solution'!$C$5</x:f>
        <x:v>67.00000000000001</x:v>
      </x:c>
      <x:c r="AA236" s="22" t="n">
        <x:f>Z236-U236</x:f>
        <x:v>64.16438000000001</x:v>
      </x:c>
    </x:row>
    <x:row r="237" ht="23" customHeight="1">
      <x:c r="A237" s="17" t="str">
        <x:v>W0231</x:v>
      </x:c>
      <x:c r="B237" s="18" t="n">
        <x:v>46274</x:v>
      </x:c>
      <x:c r="C237" s="17" t="str">
        <x:v>C004</x:v>
      </x:c>
      <x:c r="D237" s="17" t="str">
        <x:v>Marketing Operations</x:v>
      </x:c>
      <x:c r="E237" s="17" t="str">
        <x:v>Morgan Reed</x:v>
      </x:c>
      <x:c r="F237" s="17" t="str">
        <x:v>Prepare launch checklist</x:v>
      </x:c>
      <x:c r="G237" s="20" t="n">
        <x:v>5.43</x:v>
      </x:c>
      <x:c r="H237" s="20" t="n">
        <x:v>3.32</x:v>
      </x:c>
      <x:c r="I237" s="20" t="n">
        <x:v>0.24</x:v>
      </x:c>
      <x:c r="J237" s="17" t="str">
        <x:v>None</x:v>
      </x:c>
      <x:c r="K237" s="17" t="str">
        <x:v>No</x:v>
      </x:c>
      <x:c r="L237" s="17" t="str">
        <x:v>No</x:v>
      </x:c>
      <x:c r="M237" s="29" t="str">
        <x:f>INDEX('Prompt Totals'!$C$7:$C$246,MATCH($A237,'Prompt Totals'!$A$7:$A$246,0))</x:f>
        <x:v>DataFlow</x:v>
      </x:c>
      <x:c r="N237" s="29" t="str">
        <x:f>INDEX('Prompt Totals'!$D$7:$D$246,MATCH($A237,'Prompt Totals'!$A$7:$A$246,0))</x:f>
        <x:v>Pro</x:v>
      </x:c>
      <x:c r="O237" s="29" t="n">
        <x:f>INDEX('Prompt Totals'!$E$7:$E$246,MATCH($A237,'Prompt Totals'!$A$7:$A$246,0))</x:f>
        <x:v>252661</x:v>
      </x:c>
      <x:c r="P237" s="29" t="n">
        <x:f>INDEX('Prompt Totals'!$F$7:$F$246,MATCH($A237,'Prompt Totals'!$A$7:$A$246,0))</x:f>
        <x:v>98867</x:v>
      </x:c>
      <x:c r="Q237" s="29" t="n">
        <x:f>INDEX('Prompt Totals'!$G$7:$G$246,MATCH($A237,'Prompt Totals'!$A$7:$A$246,0))</x:f>
        <x:v>351528</x:v>
      </x:c>
      <x:c r="R237" s="29" t="n">
        <x:f>INDEX('Prompt Totals'!$H$7:$H$246,MATCH($A237,'Prompt Totals'!$A$7:$A$246,0))</x:f>
        <x:v>11</x:v>
      </x:c>
      <x:c r="S237" s="30" t="n">
        <x:f>INDEX('Prompt Totals'!$I$7:$I$246,MATCH($A237,'Prompt Totals'!$A$7:$A$246,0))</x:f>
        <x:v>10.10644</x:v>
      </x:c>
      <x:c r="T237" s="30" t="n">
        <x:f>INDEX('Prompt Totals'!$J$7:$J$246,MATCH($A237,'Prompt Totals'!$A$7:$A$246,0))</x:f>
        <x:v>9.8867</x:v>
      </x:c>
      <x:c r="U237" s="30" t="n">
        <x:f>INDEX('Prompt Totals'!$K$7:$K$246,MATCH($A237,'Prompt Totals'!$A$7:$A$246,0))</x:f>
        <x:v>19.993139999999997</x:v>
      </x:c>
      <x:c r="V237" s="29" t="n">
        <x:f>INDEX('Prompt Totals'!$L$7:$L$246,MATCH($A237,'Prompt Totals'!$A$7:$A$246,0))</x:f>
        <x:v>1</x:v>
      </x:c>
      <x:c r="W237" s="29" t="n">
        <x:f>INDEX('Prompt Totals'!$M$7:$M$246,MATCH($A237,'Prompt Totals'!$A$7:$A$246,0))</x:f>
        <x:v>7</x:v>
      </x:c>
      <x:c r="X237" s="29" t="n">
        <x:f>INDEX('Prompt Totals'!$N$7:$N$246,MATCH($A237,'Prompt Totals'!$A$7:$A$246,0))</x:f>
        <x:v>3</x:v>
      </x:c>
      <x:c r="Y237" s="19" t="n">
        <x:f>G237-H237</x:f>
        <x:v>2.11</x:v>
      </x:c>
      <x:c r="Z237" s="30" t="n">
        <x:f>Y237*'Solution'!$C$5</x:f>
        <x:v>105.5</x:v>
      </x:c>
      <x:c r="AA237" s="22" t="n">
        <x:f>Z237-U237</x:f>
        <x:v>85.50686</x:v>
      </x:c>
    </x:row>
    <x:row r="238" ht="23" customHeight="1">
      <x:c r="A238" s="17" t="str">
        <x:v>W0232</x:v>
      </x:c>
      <x:c r="B238" s="18" t="n">
        <x:v>46283</x:v>
      </x:c>
      <x:c r="C238" s="17" t="str">
        <x:v>C004</x:v>
      </x:c>
      <x:c r="D238" s="17" t="str">
        <x:v>Analytics</x:v>
      </x:c>
      <x:c r="E238" s="17" t="str">
        <x:v>Quinn Parker</x:v>
      </x:c>
      <x:c r="F238" s="17" t="str">
        <x:v>Analyze campaign results</x:v>
      </x:c>
      <x:c r="G238" s="20" t="n">
        <x:v>2.86</x:v>
      </x:c>
      <x:c r="H238" s="20" t="n">
        <x:v>2.51</x:v>
      </x:c>
      <x:c r="I238" s="20" t="n">
        <x:v>0.07</x:v>
      </x:c>
      <x:c r="J238" s="17" t="str">
        <x:v>None</x:v>
      </x:c>
      <x:c r="K238" s="17" t="str">
        <x:v>No</x:v>
      </x:c>
      <x:c r="L238" s="17" t="str">
        <x:v>Yes</x:v>
      </x:c>
      <x:c r="M238" s="29" t="str">
        <x:f>INDEX('Prompt Totals'!$C$7:$C$246,MATCH($A238,'Prompt Totals'!$A$7:$A$246,0))</x:f>
        <x:v>InsightDesk</x:v>
      </x:c>
      <x:c r="N238" s="29" t="str">
        <x:f>INDEX('Prompt Totals'!$D$7:$D$246,MATCH($A238,'Prompt Totals'!$A$7:$A$246,0))</x:f>
        <x:v>Lite</x:v>
      </x:c>
      <x:c r="O238" s="29" t="n">
        <x:f>INDEX('Prompt Totals'!$E$7:$E$246,MATCH($A238,'Prompt Totals'!$A$7:$A$246,0))</x:f>
        <x:v>213642</x:v>
      </x:c>
      <x:c r="P238" s="29" t="n">
        <x:f>INDEX('Prompt Totals'!$F$7:$F$246,MATCH($A238,'Prompt Totals'!$A$7:$A$246,0))</x:f>
        <x:v>32155</x:v>
      </x:c>
      <x:c r="Q238" s="29" t="n">
        <x:f>INDEX('Prompt Totals'!$G$7:$G$246,MATCH($A238,'Prompt Totals'!$A$7:$A$246,0))</x:f>
        <x:v>245797</x:v>
      </x:c>
      <x:c r="R238" s="29" t="n">
        <x:f>INDEX('Prompt Totals'!$H$7:$H$246,MATCH($A238,'Prompt Totals'!$A$7:$A$246,0))</x:f>
        <x:v>9</x:v>
      </x:c>
      <x:c r="S238" s="30" t="n">
        <x:f>INDEX('Prompt Totals'!$I$7:$I$246,MATCH($A238,'Prompt Totals'!$A$7:$A$246,0))</x:f>
        <x:v>2.1364199999999998</x:v>
      </x:c>
      <x:c r="T238" s="30" t="n">
        <x:f>INDEX('Prompt Totals'!$J$7:$J$246,MATCH($A238,'Prompt Totals'!$A$7:$A$246,0))</x:f>
        <x:v>0.9646500000000001</x:v>
      </x:c>
      <x:c r="U238" s="30" t="n">
        <x:f>INDEX('Prompt Totals'!$K$7:$K$246,MATCH($A238,'Prompt Totals'!$A$7:$A$246,0))</x:f>
        <x:v>3.1010700000000004</x:v>
      </x:c>
      <x:c r="V238" s="29" t="n">
        <x:f>INDEX('Prompt Totals'!$L$7:$L$246,MATCH($A238,'Prompt Totals'!$A$7:$A$246,0))</x:f>
        <x:v>1</x:v>
      </x:c>
      <x:c r="W238" s="29" t="n">
        <x:f>INDEX('Prompt Totals'!$M$7:$M$246,MATCH($A238,'Prompt Totals'!$A$7:$A$246,0))</x:f>
        <x:v>7</x:v>
      </x:c>
      <x:c r="X238" s="29" t="n">
        <x:f>INDEX('Prompt Totals'!$N$7:$N$246,MATCH($A238,'Prompt Totals'!$A$7:$A$246,0))</x:f>
        <x:v>1</x:v>
      </x:c>
      <x:c r="Y238" s="19" t="n">
        <x:f>G238-H238</x:f>
        <x:v>0.3500000000000001</x:v>
      </x:c>
      <x:c r="Z238" s="30" t="n">
        <x:f>Y238*'Solution'!$C$5</x:f>
        <x:v>17.500000000000004</x:v>
      </x:c>
      <x:c r="AA238" s="22" t="n">
        <x:f>Z238-U238</x:f>
        <x:v>14.398930000000004</x:v>
      </x:c>
    </x:row>
    <x:row r="239" ht="23" customHeight="1">
      <x:c r="A239" s="17" t="str">
        <x:v>W0233</x:v>
      </x:c>
      <x:c r="B239" s="18" t="n">
        <x:v>46294</x:v>
      </x:c>
      <x:c r="C239" s="17" t="str">
        <x:v>C004</x:v>
      </x:c>
      <x:c r="D239" s="17" t="str">
        <x:v>Analytics</x:v>
      </x:c>
      <x:c r="E239" s="17" t="str">
        <x:v>Jamie Patel</x:v>
      </x:c>
      <x:c r="F239" s="17" t="str">
        <x:v>Summarize audience insights</x:v>
      </x:c>
      <x:c r="G239" s="20" t="n">
        <x:v>3.26</x:v>
      </x:c>
      <x:c r="H239" s="20" t="n">
        <x:v>1.79</x:v>
      </x:c>
      <x:c r="I239" s="20" t="n">
        <x:v>0.15</x:v>
      </x:c>
      <x:c r="J239" s="17" t="str">
        <x:v>None</x:v>
      </x:c>
      <x:c r="K239" s="17" t="str">
        <x:v>No</x:v>
      </x:c>
      <x:c r="L239" s="17" t="str">
        <x:v>No</x:v>
      </x:c>
      <x:c r="M239" s="29" t="str">
        <x:f>INDEX('Prompt Totals'!$C$7:$C$246,MATCH($A239,'Prompt Totals'!$A$7:$A$246,0))</x:f>
        <x:v>InsightDesk</x:v>
      </x:c>
      <x:c r="N239" s="29" t="str">
        <x:f>INDEX('Prompt Totals'!$D$7:$D$246,MATCH($A239,'Prompt Totals'!$A$7:$A$246,0))</x:f>
        <x:v>Pro</x:v>
      </x:c>
      <x:c r="O239" s="29" t="n">
        <x:f>INDEX('Prompt Totals'!$E$7:$E$246,MATCH($A239,'Prompt Totals'!$A$7:$A$246,0))</x:f>
        <x:v>149519</x:v>
      </x:c>
      <x:c r="P239" s="29" t="n">
        <x:f>INDEX('Prompt Totals'!$F$7:$F$246,MATCH($A239,'Prompt Totals'!$A$7:$A$246,0))</x:f>
        <x:v>70473</x:v>
      </x:c>
      <x:c r="Q239" s="29" t="n">
        <x:f>INDEX('Prompt Totals'!$G$7:$G$246,MATCH($A239,'Prompt Totals'!$A$7:$A$246,0))</x:f>
        <x:v>219992</x:v>
      </x:c>
      <x:c r="R239" s="29" t="n">
        <x:f>INDEX('Prompt Totals'!$H$7:$H$246,MATCH($A239,'Prompt Totals'!$A$7:$A$246,0))</x:f>
        <x:v>11</x:v>
      </x:c>
      <x:c r="S239" s="30" t="n">
        <x:f>INDEX('Prompt Totals'!$I$7:$I$246,MATCH($A239,'Prompt Totals'!$A$7:$A$246,0))</x:f>
        <x:v>5.980759999999999</x:v>
      </x:c>
      <x:c r="T239" s="30" t="n">
        <x:f>INDEX('Prompt Totals'!$J$7:$J$246,MATCH($A239,'Prompt Totals'!$A$7:$A$246,0))</x:f>
        <x:v>7.047299999999999</x:v>
      </x:c>
      <x:c r="U239" s="30" t="n">
        <x:f>INDEX('Prompt Totals'!$K$7:$K$246,MATCH($A239,'Prompt Totals'!$A$7:$A$246,0))</x:f>
        <x:v>13.02806</x:v>
      </x:c>
      <x:c r="V239" s="29" t="n">
        <x:f>INDEX('Prompt Totals'!$L$7:$L$246,MATCH($A239,'Prompt Totals'!$A$7:$A$246,0))</x:f>
        <x:v>1</x:v>
      </x:c>
      <x:c r="W239" s="29" t="n">
        <x:f>INDEX('Prompt Totals'!$M$7:$M$246,MATCH($A239,'Prompt Totals'!$A$7:$A$246,0))</x:f>
        <x:v>8</x:v>
      </x:c>
      <x:c r="X239" s="29" t="n">
        <x:f>INDEX('Prompt Totals'!$N$7:$N$246,MATCH($A239,'Prompt Totals'!$A$7:$A$246,0))</x:f>
        <x:v>2</x:v>
      </x:c>
      <x:c r="Y239" s="19" t="n">
        <x:f>G239-H239</x:f>
        <x:v>1.4699999999999998</x:v>
      </x:c>
      <x:c r="Z239" s="30" t="n">
        <x:f>Y239*'Solution'!$C$5</x:f>
        <x:v>73.49999999999999</x:v>
      </x:c>
      <x:c r="AA239" s="22" t="n">
        <x:f>Z239-U239</x:f>
        <x:v>60.47193999999999</x:v>
      </x:c>
    </x:row>
    <x:row r="240" ht="23" customHeight="1">
      <x:c r="A240" s="17" t="str">
        <x:v>W0234</x:v>
      </x:c>
      <x:c r="B240" s="18" t="n">
        <x:v>46279</x:v>
      </x:c>
      <x:c r="C240" s="17" t="str">
        <x:v>C004</x:v>
      </x:c>
      <x:c r="D240" s="17" t="str">
        <x:v>Content</x:v>
      </x:c>
      <x:c r="E240" s="17" t="str">
        <x:v>Avery Morgan</x:v>
      </x:c>
      <x:c r="F240" s="17" t="str">
        <x:v>Edit landing page</x:v>
      </x:c>
      <x:c r="G240" s="20" t="n">
        <x:v>3.41</x:v>
      </x:c>
      <x:c r="H240" s="20" t="n">
        <x:v>3.71</x:v>
      </x:c>
      <x:c r="I240" s="20" t="n">
        <x:v>0.47</x:v>
      </x:c>
      <x:c r="J240" s="17" t="str">
        <x:v>Data problem</x:v>
      </x:c>
      <x:c r="K240" s="17" t="str">
        <x:v>No</x:v>
      </x:c>
      <x:c r="L240" s="17" t="str">
        <x:v>Yes</x:v>
      </x:c>
      <x:c r="M240" s="29" t="str">
        <x:f>INDEX('Prompt Totals'!$C$7:$C$246,MATCH($A240,'Prompt Totals'!$A$7:$A$246,0))</x:f>
        <x:v>CopyStudio</x:v>
      </x:c>
      <x:c r="N240" s="29" t="str">
        <x:f>INDEX('Prompt Totals'!$D$7:$D$246,MATCH($A240,'Prompt Totals'!$A$7:$A$246,0))</x:f>
        <x:v>Lite</x:v>
      </x:c>
      <x:c r="O240" s="29" t="n">
        <x:f>INDEX('Prompt Totals'!$E$7:$E$246,MATCH($A240,'Prompt Totals'!$A$7:$A$246,0))</x:f>
        <x:v>299424</x:v>
      </x:c>
      <x:c r="P240" s="29" t="n">
        <x:f>INDEX('Prompt Totals'!$F$7:$F$246,MATCH($A240,'Prompt Totals'!$A$7:$A$246,0))</x:f>
        <x:v>101373</x:v>
      </x:c>
      <x:c r="Q240" s="29" t="n">
        <x:f>INDEX('Prompt Totals'!$G$7:$G$246,MATCH($A240,'Prompt Totals'!$A$7:$A$246,0))</x:f>
        <x:v>400797</x:v>
      </x:c>
      <x:c r="R240" s="29" t="n">
        <x:f>INDEX('Prompt Totals'!$H$7:$H$246,MATCH($A240,'Prompt Totals'!$A$7:$A$246,0))</x:f>
        <x:v>20</x:v>
      </x:c>
      <x:c r="S240" s="30" t="n">
        <x:f>INDEX('Prompt Totals'!$I$7:$I$246,MATCH($A240,'Prompt Totals'!$A$7:$A$246,0))</x:f>
        <x:v>2.9942399999999996</x:v>
      </x:c>
      <x:c r="T240" s="30" t="n">
        <x:f>INDEX('Prompt Totals'!$J$7:$J$246,MATCH($A240,'Prompt Totals'!$A$7:$A$246,0))</x:f>
        <x:v>3.0411900000000003</x:v>
      </x:c>
      <x:c r="U240" s="30" t="n">
        <x:f>INDEX('Prompt Totals'!$K$7:$K$246,MATCH($A240,'Prompt Totals'!$A$7:$A$246,0))</x:f>
        <x:v>6.035430000000001</x:v>
      </x:c>
      <x:c r="V240" s="29" t="n">
        <x:f>INDEX('Prompt Totals'!$L$7:$L$246,MATCH($A240,'Prompt Totals'!$A$7:$A$246,0))</x:f>
        <x:v>1</x:v>
      </x:c>
      <x:c r="W240" s="29" t="n">
        <x:f>INDEX('Prompt Totals'!$M$7:$M$246,MATCH($A240,'Prompt Totals'!$A$7:$A$246,0))</x:f>
        <x:v>15</x:v>
      </x:c>
      <x:c r="X240" s="29" t="n">
        <x:f>INDEX('Prompt Totals'!$N$7:$N$246,MATCH($A240,'Prompt Totals'!$A$7:$A$246,0))</x:f>
        <x:v>4</x:v>
      </x:c>
      <x:c r="Y240" s="19" t="n">
        <x:f>G240-H240</x:f>
        <x:v>-0.2999999999999998</x:v>
      </x:c>
      <x:c r="Z240" s="30" t="n">
        <x:f>Y240*'Solution'!$C$5</x:f>
        <x:v>-14.999999999999991</x:v>
      </x:c>
      <x:c r="AA240" s="22" t="n">
        <x:f>Z240-U240</x:f>
        <x:v>-21.03542999999999</x:v>
      </x:c>
    </x:row>
    <x:row r="241" ht="23" customHeight="1">
      <x:c r="A241" s="17" t="str">
        <x:v>W0235</x:v>
      </x:c>
      <x:c r="B241" s="18" t="n">
        <x:v>46288</x:v>
      </x:c>
      <x:c r="C241" s="17" t="str">
        <x:v>C004</x:v>
      </x:c>
      <x:c r="D241" s="17" t="str">
        <x:v>Content</x:v>
      </x:c>
      <x:c r="E241" s="17" t="str">
        <x:v>Jordan Ellis</x:v>
      </x:c>
      <x:c r="F241" s="17" t="str">
        <x:v>Write ad copy</x:v>
      </x:c>
      <x:c r="G241" s="20" t="n">
        <x:v>3.84</x:v>
      </x:c>
      <x:c r="H241" s="20" t="n">
        <x:v>2.46</x:v>
      </x:c>
      <x:c r="I241" s="20" t="n">
        <x:v>0.43</x:v>
      </x:c>
      <x:c r="J241" s="17" t="str">
        <x:v>Brief changed</x:v>
      </x:c>
      <x:c r="K241" s="17" t="str">
        <x:v>Yes</x:v>
      </x:c>
      <x:c r="L241" s="17" t="str">
        <x:v>Yes</x:v>
      </x:c>
      <x:c r="M241" s="29" t="str">
        <x:f>INDEX('Prompt Totals'!$C$7:$C$246,MATCH($A241,'Prompt Totals'!$A$7:$A$246,0))</x:f>
        <x:v>CopyStudio</x:v>
      </x:c>
      <x:c r="N241" s="29" t="str">
        <x:f>INDEX('Prompt Totals'!$D$7:$D$246,MATCH($A241,'Prompt Totals'!$A$7:$A$246,0))</x:f>
        <x:v>Lite</x:v>
      </x:c>
      <x:c r="O241" s="29" t="n">
        <x:f>INDEX('Prompt Totals'!$E$7:$E$246,MATCH($A241,'Prompt Totals'!$A$7:$A$246,0))</x:f>
        <x:v>214940</x:v>
      </x:c>
      <x:c r="P241" s="29" t="n">
        <x:f>INDEX('Prompt Totals'!$F$7:$F$246,MATCH($A241,'Prompt Totals'!$A$7:$A$246,0))</x:f>
        <x:v>32863</x:v>
      </x:c>
      <x:c r="Q241" s="29" t="n">
        <x:f>INDEX('Prompt Totals'!$G$7:$G$246,MATCH($A241,'Prompt Totals'!$A$7:$A$246,0))</x:f>
        <x:v>247803</x:v>
      </x:c>
      <x:c r="R241" s="29" t="n">
        <x:f>INDEX('Prompt Totals'!$H$7:$H$246,MATCH($A241,'Prompt Totals'!$A$7:$A$246,0))</x:f>
        <x:v>12</x:v>
      </x:c>
      <x:c r="S241" s="30" t="n">
        <x:f>INDEX('Prompt Totals'!$I$7:$I$246,MATCH($A241,'Prompt Totals'!$A$7:$A$246,0))</x:f>
        <x:v>2.1494</x:v>
      </x:c>
      <x:c r="T241" s="30" t="n">
        <x:f>INDEX('Prompt Totals'!$J$7:$J$246,MATCH($A241,'Prompt Totals'!$A$7:$A$246,0))</x:f>
        <x:v>0.9858899999999999</x:v>
      </x:c>
      <x:c r="U241" s="30" t="n">
        <x:f>INDEX('Prompt Totals'!$K$7:$K$246,MATCH($A241,'Prompt Totals'!$A$7:$A$246,0))</x:f>
        <x:v>3.13529</x:v>
      </x:c>
      <x:c r="V241" s="29" t="n">
        <x:f>INDEX('Prompt Totals'!$L$7:$L$246,MATCH($A241,'Prompt Totals'!$A$7:$A$246,0))</x:f>
        <x:v>1</x:v>
      </x:c>
      <x:c r="W241" s="29" t="n">
        <x:f>INDEX('Prompt Totals'!$M$7:$M$246,MATCH($A241,'Prompt Totals'!$A$7:$A$246,0))</x:f>
        <x:v>7</x:v>
      </x:c>
      <x:c r="X241" s="29" t="n">
        <x:f>INDEX('Prompt Totals'!$N$7:$N$246,MATCH($A241,'Prompt Totals'!$A$7:$A$246,0))</x:f>
        <x:v>4</x:v>
      </x:c>
      <x:c r="Y241" s="19" t="n">
        <x:f>G241-H241</x:f>
        <x:v>1.38</x:v>
      </x:c>
      <x:c r="Z241" s="30" t="n">
        <x:f>Y241*'Solution'!$C$5</x:f>
        <x:v>69</x:v>
      </x:c>
      <x:c r="AA241" s="22" t="n">
        <x:f>Z241-U241</x:f>
        <x:v>65.86471</x:v>
      </x:c>
    </x:row>
    <x:row r="242" ht="23" customHeight="1">
      <x:c r="A242" s="17" t="str">
        <x:v>W0236</x:v>
      </x:c>
      <x:c r="B242" s="18" t="n">
        <x:v>46273</x:v>
      </x:c>
      <x:c r="C242" s="17" t="str">
        <x:v>C004</x:v>
      </x:c>
      <x:c r="D242" s="17" t="str">
        <x:v>Creative</x:v>
      </x:c>
      <x:c r="E242" s="17" t="str">
        <x:v>Riley Chen</x:v>
      </x:c>
      <x:c r="F242" s="17" t="str">
        <x:v>Review creative variants</x:v>
      </x:c>
      <x:c r="G242" s="20" t="n">
        <x:v>3.52</x:v>
      </x:c>
      <x:c r="H242" s="20" t="n">
        <x:v>2.37</x:v>
      </x:c>
      <x:c r="I242" s="20" t="n">
        <x:v>0.32</x:v>
      </x:c>
      <x:c r="J242" s="17" t="str">
        <x:v>Brief changed</x:v>
      </x:c>
      <x:c r="K242" s="17" t="str">
        <x:v>Yes</x:v>
      </x:c>
      <x:c r="L242" s="17" t="str">
        <x:v>No</x:v>
      </x:c>
      <x:c r="M242" s="29" t="str">
        <x:f>INDEX('Prompt Totals'!$C$7:$C$246,MATCH($A242,'Prompt Totals'!$A$7:$A$246,0))</x:f>
        <x:v>CampaignChat</x:v>
      </x:c>
      <x:c r="N242" s="29" t="str">
        <x:f>INDEX('Prompt Totals'!$D$7:$D$246,MATCH($A242,'Prompt Totals'!$A$7:$A$246,0))</x:f>
        <x:v>Lite</x:v>
      </x:c>
      <x:c r="O242" s="29" t="n">
        <x:f>INDEX('Prompt Totals'!$E$7:$E$246,MATCH($A242,'Prompt Totals'!$A$7:$A$246,0))</x:f>
        <x:v>510058</x:v>
      </x:c>
      <x:c r="P242" s="29" t="n">
        <x:f>INDEX('Prompt Totals'!$F$7:$F$246,MATCH($A242,'Prompt Totals'!$A$7:$A$246,0))</x:f>
        <x:v>45121</x:v>
      </x:c>
      <x:c r="Q242" s="29" t="n">
        <x:f>INDEX('Prompt Totals'!$G$7:$G$246,MATCH($A242,'Prompt Totals'!$A$7:$A$246,0))</x:f>
        <x:v>555179</x:v>
      </x:c>
      <x:c r="R242" s="29" t="n">
        <x:f>INDEX('Prompt Totals'!$H$7:$H$246,MATCH($A242,'Prompt Totals'!$A$7:$A$246,0))</x:f>
        <x:v>17</x:v>
      </x:c>
      <x:c r="S242" s="30" t="n">
        <x:f>INDEX('Prompt Totals'!$I$7:$I$246,MATCH($A242,'Prompt Totals'!$A$7:$A$246,0))</x:f>
        <x:v>5.100579999999999</x:v>
      </x:c>
      <x:c r="T242" s="30" t="n">
        <x:f>INDEX('Prompt Totals'!$J$7:$J$246,MATCH($A242,'Prompt Totals'!$A$7:$A$246,0))</x:f>
        <x:v>1.3536299999999999</x:v>
      </x:c>
      <x:c r="U242" s="30" t="n">
        <x:f>INDEX('Prompt Totals'!$K$7:$K$246,MATCH($A242,'Prompt Totals'!$A$7:$A$246,0))</x:f>
        <x:v>6.454209999999999</x:v>
      </x:c>
      <x:c r="V242" s="29" t="n">
        <x:f>INDEX('Prompt Totals'!$L$7:$L$246,MATCH($A242,'Prompt Totals'!$A$7:$A$246,0))</x:f>
        <x:v>1</x:v>
      </x:c>
      <x:c r="W242" s="29" t="n">
        <x:f>INDEX('Prompt Totals'!$M$7:$M$246,MATCH($A242,'Prompt Totals'!$A$7:$A$246,0))</x:f>
        <x:v>12</x:v>
      </x:c>
      <x:c r="X242" s="29" t="n">
        <x:f>INDEX('Prompt Totals'!$N$7:$N$246,MATCH($A242,'Prompt Totals'!$A$7:$A$246,0))</x:f>
        <x:v>4</x:v>
      </x:c>
      <x:c r="Y242" s="19" t="n">
        <x:f>G242-H242</x:f>
        <x:v>1.15</x:v>
      </x:c>
      <x:c r="Z242" s="30" t="n">
        <x:f>Y242*'Solution'!$C$5</x:f>
        <x:v>57.49999999999999</x:v>
      </x:c>
      <x:c r="AA242" s="22" t="n">
        <x:f>Z242-U242</x:f>
        <x:v>51.04579</x:v>
      </x:c>
    </x:row>
    <x:row r="243" ht="23" customHeight="1">
      <x:c r="A243" s="17" t="str">
        <x:v>W0237</x:v>
      </x:c>
      <x:c r="B243" s="18" t="n">
        <x:v>46282</x:v>
      </x:c>
      <x:c r="C243" s="17" t="str">
        <x:v>C004</x:v>
      </x:c>
      <x:c r="D243" s="17" t="str">
        <x:v>Creative</x:v>
      </x:c>
      <x:c r="E243" s="17" t="str">
        <x:v>Taylor Brooks</x:v>
      </x:c>
      <x:c r="F243" s="17" t="str">
        <x:v>Plan visual narrative</x:v>
      </x:c>
      <x:c r="G243" s="20" t="n">
        <x:v>4.43</x:v>
      </x:c>
      <x:c r="H243" s="20" t="n">
        <x:v>2.97</x:v>
      </x:c>
      <x:c r="I243" s="20" t="n">
        <x:v>0.2</x:v>
      </x:c>
      <x:c r="J243" s="17" t="str">
        <x:v>Brief changed</x:v>
      </x:c>
      <x:c r="K243" s="17" t="str">
        <x:v>Yes</x:v>
      </x:c>
      <x:c r="L243" s="17" t="str">
        <x:v>Yes</x:v>
      </x:c>
      <x:c r="M243" s="29" t="str">
        <x:f>INDEX('Prompt Totals'!$C$7:$C$246,MATCH($A243,'Prompt Totals'!$A$7:$A$246,0))</x:f>
        <x:v>CampaignChat</x:v>
      </x:c>
      <x:c r="N243" s="29" t="str">
        <x:f>INDEX('Prompt Totals'!$D$7:$D$246,MATCH($A243,'Prompt Totals'!$A$7:$A$246,0))</x:f>
        <x:v>Lite</x:v>
      </x:c>
      <x:c r="O243" s="29" t="n">
        <x:f>INDEX('Prompt Totals'!$E$7:$E$246,MATCH($A243,'Prompt Totals'!$A$7:$A$246,0))</x:f>
        <x:v>205009</x:v>
      </x:c>
      <x:c r="P243" s="29" t="n">
        <x:f>INDEX('Prompt Totals'!$F$7:$F$246,MATCH($A243,'Prompt Totals'!$A$7:$A$246,0))</x:f>
        <x:v>73870</x:v>
      </x:c>
      <x:c r="Q243" s="29" t="n">
        <x:f>INDEX('Prompt Totals'!$G$7:$G$246,MATCH($A243,'Prompt Totals'!$A$7:$A$246,0))</x:f>
        <x:v>278879</x:v>
      </x:c>
      <x:c r="R243" s="29" t="n">
        <x:f>INDEX('Prompt Totals'!$H$7:$H$246,MATCH($A243,'Prompt Totals'!$A$7:$A$246,0))</x:f>
        <x:v>15</x:v>
      </x:c>
      <x:c r="S243" s="30" t="n">
        <x:f>INDEX('Prompt Totals'!$I$7:$I$246,MATCH($A243,'Prompt Totals'!$A$7:$A$246,0))</x:f>
        <x:v>2.05009</x:v>
      </x:c>
      <x:c r="T243" s="30" t="n">
        <x:f>INDEX('Prompt Totals'!$J$7:$J$246,MATCH($A243,'Prompt Totals'!$A$7:$A$246,0))</x:f>
        <x:v>2.2161</x:v>
      </x:c>
      <x:c r="U243" s="30" t="n">
        <x:f>INDEX('Prompt Totals'!$K$7:$K$246,MATCH($A243,'Prompt Totals'!$A$7:$A$246,0))</x:f>
        <x:v>4.26619</x:v>
      </x:c>
      <x:c r="V243" s="29" t="n">
        <x:f>INDEX('Prompt Totals'!$L$7:$L$246,MATCH($A243,'Prompt Totals'!$A$7:$A$246,0))</x:f>
        <x:v>1</x:v>
      </x:c>
      <x:c r="W243" s="29" t="n">
        <x:f>INDEX('Prompt Totals'!$M$7:$M$246,MATCH($A243,'Prompt Totals'!$A$7:$A$246,0))</x:f>
        <x:v>11</x:v>
      </x:c>
      <x:c r="X243" s="29" t="n">
        <x:f>INDEX('Prompt Totals'!$N$7:$N$246,MATCH($A243,'Prompt Totals'!$A$7:$A$246,0))</x:f>
        <x:v>3</x:v>
      </x:c>
      <x:c r="Y243" s="19" t="n">
        <x:f>G243-H243</x:f>
        <x:v>1.4599999999999995</x:v>
      </x:c>
      <x:c r="Z243" s="30" t="n">
        <x:f>Y243*'Solution'!$C$5</x:f>
        <x:v>72.99999999999997</x:v>
      </x:c>
      <x:c r="AA243" s="22" t="n">
        <x:f>Z243-U243</x:f>
        <x:v>68.73380999999998</x:v>
      </x:c>
    </x:row>
    <x:row r="244" ht="23" customHeight="1">
      <x:c r="A244" s="17" t="str">
        <x:v>W0238</x:v>
      </x:c>
      <x:c r="B244" s="18" t="n">
        <x:v>46293</x:v>
      </x:c>
      <x:c r="C244" s="17" t="str">
        <x:v>C004</x:v>
      </x:c>
      <x:c r="D244" s="17" t="str">
        <x:v>Marketing Operations</x:v>
      </x:c>
      <x:c r="E244" s="17" t="str">
        <x:v>Casey Rivera</x:v>
      </x:c>
      <x:c r="F244" s="17" t="str">
        <x:v>Build campaign plan</x:v>
      </x:c>
      <x:c r="G244" s="20" t="n">
        <x:v>4.94</x:v>
      </x:c>
      <x:c r="H244" s="20" t="n">
        <x:v>5.28</x:v>
      </x:c>
      <x:c r="I244" s="20" t="n">
        <x:v>0.06</x:v>
      </x:c>
      <x:c r="J244" s="17" t="str">
        <x:v>None</x:v>
      </x:c>
      <x:c r="K244" s="17" t="str">
        <x:v>No</x:v>
      </x:c>
      <x:c r="L244" s="17" t="str">
        <x:v>No</x:v>
      </x:c>
      <x:c r="M244" s="29" t="str">
        <x:f>INDEX('Prompt Totals'!$C$7:$C$246,MATCH($A244,'Prompt Totals'!$A$7:$A$246,0))</x:f>
        <x:v>DataFlow</x:v>
      </x:c>
      <x:c r="N244" s="29" t="str">
        <x:f>INDEX('Prompt Totals'!$D$7:$D$246,MATCH($A244,'Prompt Totals'!$A$7:$A$246,0))</x:f>
        <x:v>Pro</x:v>
      </x:c>
      <x:c r="O244" s="29" t="n">
        <x:f>INDEX('Prompt Totals'!$E$7:$E$246,MATCH($A244,'Prompt Totals'!$A$7:$A$246,0))</x:f>
        <x:v>259897</x:v>
      </x:c>
      <x:c r="P244" s="29" t="n">
        <x:f>INDEX('Prompt Totals'!$F$7:$F$246,MATCH($A244,'Prompt Totals'!$A$7:$A$246,0))</x:f>
        <x:v>160065</x:v>
      </x:c>
      <x:c r="Q244" s="29" t="n">
        <x:f>INDEX('Prompt Totals'!$G$7:$G$246,MATCH($A244,'Prompt Totals'!$A$7:$A$246,0))</x:f>
        <x:v>419962</x:v>
      </x:c>
      <x:c r="R244" s="29" t="n">
        <x:f>INDEX('Prompt Totals'!$H$7:$H$246,MATCH($A244,'Prompt Totals'!$A$7:$A$246,0))</x:f>
        <x:v>16</x:v>
      </x:c>
      <x:c r="S244" s="30" t="n">
        <x:f>INDEX('Prompt Totals'!$I$7:$I$246,MATCH($A244,'Prompt Totals'!$A$7:$A$246,0))</x:f>
        <x:v>10.395879999999998</x:v>
      </x:c>
      <x:c r="T244" s="30" t="n">
        <x:f>INDEX('Prompt Totals'!$J$7:$J$246,MATCH($A244,'Prompt Totals'!$A$7:$A$246,0))</x:f>
        <x:v>16.0065</x:v>
      </x:c>
      <x:c r="U244" s="30" t="n">
        <x:f>INDEX('Prompt Totals'!$K$7:$K$246,MATCH($A244,'Prompt Totals'!$A$7:$A$246,0))</x:f>
        <x:v>26.402379999999994</x:v>
      </x:c>
      <x:c r="V244" s="29" t="n">
        <x:f>INDEX('Prompt Totals'!$L$7:$L$246,MATCH($A244,'Prompt Totals'!$A$7:$A$246,0))</x:f>
        <x:v>1</x:v>
      </x:c>
      <x:c r="W244" s="29" t="n">
        <x:f>INDEX('Prompt Totals'!$M$7:$M$246,MATCH($A244,'Prompt Totals'!$A$7:$A$246,0))</x:f>
        <x:v>12</x:v>
      </x:c>
      <x:c r="X244" s="29" t="n">
        <x:f>INDEX('Prompt Totals'!$N$7:$N$246,MATCH($A244,'Prompt Totals'!$A$7:$A$246,0))</x:f>
        <x:v>3</x:v>
      </x:c>
      <x:c r="Y244" s="19" t="n">
        <x:f>G244-H244</x:f>
        <x:v>-0.33999999999999986</x:v>
      </x:c>
      <x:c r="Z244" s="30" t="n">
        <x:f>Y244*'Solution'!$C$5</x:f>
        <x:v>-16.999999999999993</x:v>
      </x:c>
      <x:c r="AA244" s="22" t="n">
        <x:f>Z244-U244</x:f>
        <x:v>-43.40237999999999</x:v>
      </x:c>
    </x:row>
    <x:row r="245" ht="23" customHeight="1">
      <x:c r="A245" s="17" t="str">
        <x:v>W0239</x:v>
      </x:c>
      <x:c r="B245" s="18" t="n">
        <x:v>46276</x:v>
      </x:c>
      <x:c r="C245" s="17" t="str">
        <x:v>C004</x:v>
      </x:c>
      <x:c r="D245" s="17" t="str">
        <x:v>Marketing Operations</x:v>
      </x:c>
      <x:c r="E245" s="17" t="str">
        <x:v>Morgan Reed</x:v>
      </x:c>
      <x:c r="F245" s="17" t="str">
        <x:v>Clean audience data</x:v>
      </x:c>
      <x:c r="G245" s="20" t="n">
        <x:v>5.06</x:v>
      </x:c>
      <x:c r="H245" s="20" t="n">
        <x:v>4.01</x:v>
      </x:c>
      <x:c r="I245" s="20" t="n">
        <x:v>0.31</x:v>
      </x:c>
      <x:c r="J245" s="17" t="str">
        <x:v>None</x:v>
      </x:c>
      <x:c r="K245" s="17" t="str">
        <x:v>No</x:v>
      </x:c>
      <x:c r="L245" s="17" t="str">
        <x:v>Yes</x:v>
      </x:c>
      <x:c r="M245" s="29" t="str">
        <x:f>INDEX('Prompt Totals'!$C$7:$C$246,MATCH($A245,'Prompt Totals'!$A$7:$A$246,0))</x:f>
        <x:v>DataFlow</x:v>
      </x:c>
      <x:c r="N245" s="29" t="str">
        <x:f>INDEX('Prompt Totals'!$D$7:$D$246,MATCH($A245,'Prompt Totals'!$A$7:$A$246,0))</x:f>
        <x:v>Lite</x:v>
      </x:c>
      <x:c r="O245" s="29" t="n">
        <x:f>INDEX('Prompt Totals'!$E$7:$E$246,MATCH($A245,'Prompt Totals'!$A$7:$A$246,0))</x:f>
        <x:v>434374</x:v>
      </x:c>
      <x:c r="P245" s="29" t="n">
        <x:f>INDEX('Prompt Totals'!$F$7:$F$246,MATCH($A245,'Prompt Totals'!$A$7:$A$246,0))</x:f>
        <x:v>37522</x:v>
      </x:c>
      <x:c r="Q245" s="29" t="n">
        <x:f>INDEX('Prompt Totals'!$G$7:$G$246,MATCH($A245,'Prompt Totals'!$A$7:$A$246,0))</x:f>
        <x:v>471896</x:v>
      </x:c>
      <x:c r="R245" s="29" t="n">
        <x:f>INDEX('Prompt Totals'!$H$7:$H$246,MATCH($A245,'Prompt Totals'!$A$7:$A$246,0))</x:f>
        <x:v>15</x:v>
      </x:c>
      <x:c r="S245" s="30" t="n">
        <x:f>INDEX('Prompt Totals'!$I$7:$I$246,MATCH($A245,'Prompt Totals'!$A$7:$A$246,0))</x:f>
        <x:v>4.34374</x:v>
      </x:c>
      <x:c r="T245" s="30" t="n">
        <x:f>INDEX('Prompt Totals'!$J$7:$J$246,MATCH($A245,'Prompt Totals'!$A$7:$A$246,0))</x:f>
        <x:v>1.12566</x:v>
      </x:c>
      <x:c r="U245" s="30" t="n">
        <x:f>INDEX('Prompt Totals'!$K$7:$K$246,MATCH($A245,'Prompt Totals'!$A$7:$A$246,0))</x:f>
        <x:v>5.469399999999999</x:v>
      </x:c>
      <x:c r="V245" s="29" t="n">
        <x:f>INDEX('Prompt Totals'!$L$7:$L$246,MATCH($A245,'Prompt Totals'!$A$7:$A$246,0))</x:f>
        <x:v>1</x:v>
      </x:c>
      <x:c r="W245" s="29" t="n">
        <x:f>INDEX('Prompt Totals'!$M$7:$M$246,MATCH($A245,'Prompt Totals'!$A$7:$A$246,0))</x:f>
        <x:v>11</x:v>
      </x:c>
      <x:c r="X245" s="29" t="n">
        <x:f>INDEX('Prompt Totals'!$N$7:$N$246,MATCH($A245,'Prompt Totals'!$A$7:$A$246,0))</x:f>
        <x:v>3</x:v>
      </x:c>
      <x:c r="Y245" s="19" t="n">
        <x:f>G245-H245</x:f>
        <x:v>1.0499999999999998</x:v>
      </x:c>
      <x:c r="Z245" s="30" t="n">
        <x:f>Y245*'Solution'!$C$5</x:f>
        <x:v>52.49999999999999</x:v>
      </x:c>
      <x:c r="AA245" s="22" t="n">
        <x:f>Z245-U245</x:f>
        <x:v>47.03059999999999</x:v>
      </x:c>
    </x:row>
    <x:row r="246" ht="23" customHeight="1">
      <x:c r="A246" s="17" t="str">
        <x:v>W0240</x:v>
      </x:c>
      <x:c r="B246" s="18" t="n">
        <x:v>46287</x:v>
      </x:c>
      <x:c r="C246" s="17" t="str">
        <x:v>C004</x:v>
      </x:c>
      <x:c r="D246" s="17" t="str">
        <x:v>Analytics</x:v>
      </x:c>
      <x:c r="E246" s="17" t="str">
        <x:v>Quinn Parker</x:v>
      </x:c>
      <x:c r="F246" s="17" t="str">
        <x:v>Check measurement plan</x:v>
      </x:c>
      <x:c r="G246" s="20" t="n">
        <x:v>5.78</x:v>
      </x:c>
      <x:c r="H246" s="20" t="n">
        <x:v>3.57</x:v>
      </x:c>
      <x:c r="I246" s="20" t="n">
        <x:v>0.18</x:v>
      </x:c>
      <x:c r="J246" s="17" t="str">
        <x:v>None</x:v>
      </x:c>
      <x:c r="K246" s="17" t="str">
        <x:v>No</x:v>
      </x:c>
      <x:c r="L246" s="17" t="str">
        <x:v>Yes</x:v>
      </x:c>
      <x:c r="M246" s="29" t="str">
        <x:f>INDEX('Prompt Totals'!$C$7:$C$246,MATCH($A246,'Prompt Totals'!$A$7:$A$246,0))</x:f>
        <x:v>InsightDesk</x:v>
      </x:c>
      <x:c r="N246" s="29" t="str">
        <x:f>INDEX('Prompt Totals'!$D$7:$D$246,MATCH($A246,'Prompt Totals'!$A$7:$A$246,0))</x:f>
        <x:v>Pro</x:v>
      </x:c>
      <x:c r="O246" s="29" t="n">
        <x:f>INDEX('Prompt Totals'!$E$7:$E$246,MATCH($A246,'Prompt Totals'!$A$7:$A$246,0))</x:f>
        <x:v>264123</x:v>
      </x:c>
      <x:c r="P246" s="29" t="n">
        <x:f>INDEX('Prompt Totals'!$F$7:$F$246,MATCH($A246,'Prompt Totals'!$A$7:$A$246,0))</x:f>
        <x:v>124237</x:v>
      </x:c>
      <x:c r="Q246" s="29" t="n">
        <x:f>INDEX('Prompt Totals'!$G$7:$G$246,MATCH($A246,'Prompt Totals'!$A$7:$A$246,0))</x:f>
        <x:v>388360</x:v>
      </x:c>
      <x:c r="R246" s="29" t="n">
        <x:f>INDEX('Prompt Totals'!$H$7:$H$246,MATCH($A246,'Prompt Totals'!$A$7:$A$246,0))</x:f>
        <x:v>15</x:v>
      </x:c>
      <x:c r="S246" s="30" t="n">
        <x:f>INDEX('Prompt Totals'!$I$7:$I$246,MATCH($A246,'Prompt Totals'!$A$7:$A$246,0))</x:f>
        <x:v>10.564919999999999</x:v>
      </x:c>
      <x:c r="T246" s="30" t="n">
        <x:f>INDEX('Prompt Totals'!$J$7:$J$246,MATCH($A246,'Prompt Totals'!$A$7:$A$246,0))</x:f>
        <x:v>12.4237</x:v>
      </x:c>
      <x:c r="U246" s="30" t="n">
        <x:f>INDEX('Prompt Totals'!$K$7:$K$246,MATCH($A246,'Prompt Totals'!$A$7:$A$246,0))</x:f>
        <x:v>22.988620000000004</x:v>
      </x:c>
      <x:c r="V246" s="29" t="n">
        <x:f>INDEX('Prompt Totals'!$L$7:$L$246,MATCH($A246,'Prompt Totals'!$A$7:$A$246,0))</x:f>
        <x:v>1</x:v>
      </x:c>
      <x:c r="W246" s="29" t="n">
        <x:f>INDEX('Prompt Totals'!$M$7:$M$246,MATCH($A246,'Prompt Totals'!$A$7:$A$246,0))</x:f>
        <x:v>11</x:v>
      </x:c>
      <x:c r="X246" s="29" t="n">
        <x:f>INDEX('Prompt Totals'!$N$7:$N$246,MATCH($A246,'Prompt Totals'!$A$7:$A$246,0))</x:f>
        <x:v>3</x:v>
      </x:c>
      <x:c r="Y246" s="19" t="n">
        <x:f>G246-H246</x:f>
        <x:v>2.2100000000000004</x:v>
      </x:c>
      <x:c r="Z246" s="30" t="n">
        <x:f>Y246*'Solution'!$C$5</x:f>
        <x:v>110.50000000000001</x:v>
      </x:c>
      <x:c r="AA246" s="22" t="n">
        <x:f>Z246-U246</x:f>
        <x:v>87.51138</x:v>
      </x:c>
    </x:row>
  </x:sheetData>
  <x:conditionalFormatting sqref="Y7:AA246">
    <x:cfRule type="cellIs" dxfId="0" priority="1" operator="lessThan">
      <x:formula>0</x:formula>
    </x:cfRule>
    <x:cfRule type="cellIs" dxfId="1" priority="2" operator="greaterThan">
      <x:formula>0</x:formula>
    </x:cfRule>
  </x:conditionalFormatting>
  <x:pageMargins left="0.7" right="0.7" top="0.75" bottom="0.75" header="0.3" footer="0.3"/>
  <x:tableParts count="1">
    <x:tablePart xmlns:r="http://schemas.openxmlformats.org/officeDocument/2006/relationships" r:id="Rfa9356b34afe4f94"/>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23" customHeight="1">
      <x:c r="A1" s="3"/>
      <x:c r="B1" s="3"/>
      <x:c r="C1" s="3"/>
      <x:c r="D1" s="3"/>
      <x:c r="E1" s="3"/>
      <x:c r="F1" s="3"/>
      <x:c r="G1" s="3"/>
      <x:c r="H1" s="3"/>
      <x:c r="I1" s="3"/>
      <x:c r="J1" s="3"/>
      <x:c r="K1" s="3"/>
      <x:c r="L1" s="3"/>
      <x:c r="M1" s="3"/>
      <x:c r="N1" s="3"/>
    </x:row>
    <x:row r="2" ht="29" customHeight="1">
      <x:c r="A2" s="4" t="str">
        <x:v>Prompt totals by task</x:v>
      </x:c>
      <x:c r="B2" s="3"/>
      <x:c r="C2" s="3"/>
      <x:c r="D2" s="3"/>
      <x:c r="E2" s="3"/>
      <x:c r="F2" s="3"/>
      <x:c r="G2" s="3"/>
      <x:c r="H2" s="3"/>
      <x:c r="I2" s="3"/>
      <x:c r="J2" s="3"/>
      <x:c r="K2" s="3"/>
      <x:c r="L2" s="3"/>
      <x:c r="M2" s="3"/>
      <x:c r="N2" s="3"/>
    </x:row>
    <x:row r="3" ht="23" customHeight="1">
      <x:c r="A3" s="3"/>
      <x:c r="B3" s="3"/>
      <x:c r="C3" s="3"/>
      <x:c r="D3" s="3"/>
      <x:c r="E3" s="3"/>
      <x:c r="F3" s="3"/>
      <x:c r="G3" s="3"/>
      <x:c r="H3" s="3"/>
      <x:c r="I3" s="3"/>
      <x:c r="J3" s="3"/>
      <x:c r="K3" s="3"/>
      <x:c r="L3" s="3"/>
      <x:c r="M3" s="3"/>
      <x:c r="N3" s="3"/>
    </x:row>
    <x:row r="4" ht="23" customHeight="1">
      <x:c r="A4" s="5" t="str">
        <x:v>Prompt rows are aggregated here before any task hours are joined. Each task has one model and one product.</x:v>
      </x:c>
      <x:c r="B4" s="3"/>
      <x:c r="C4" s="3"/>
      <x:c r="D4" s="3"/>
      <x:c r="E4" s="3"/>
      <x:c r="F4" s="3"/>
      <x:c r="G4" s="3"/>
      <x:c r="H4" s="3"/>
      <x:c r="I4" s="3"/>
      <x:c r="J4" s="3"/>
      <x:c r="K4" s="3"/>
      <x:c r="L4" s="3"/>
      <x:c r="M4" s="3"/>
      <x:c r="N4" s="3"/>
    </x:row>
    <x:row r="5" ht="23" customHeight="1">
      <x:c r="A5" s="3"/>
      <x:c r="B5" s="3"/>
      <x:c r="C5" s="3"/>
      <x:c r="D5" s="3"/>
      <x:c r="E5" s="3"/>
      <x:c r="F5" s="3"/>
      <x:c r="G5" s="3"/>
      <x:c r="H5" s="3"/>
      <x:c r="I5" s="3"/>
      <x:c r="J5" s="3"/>
      <x:c r="K5" s="3"/>
      <x:c r="L5" s="3"/>
      <x:c r="M5" s="3"/>
      <x:c r="N5" s="3"/>
    </x:row>
    <x:row r="6" ht="44" customHeight="1">
      <x:c r="A6" s="14" t="str">
        <x:v>work_item_id</x:v>
      </x:c>
      <x:c r="B6" s="15" t="str">
        <x:v>campaign_id</x:v>
      </x:c>
      <x:c r="C6" s="15" t="str">
        <x:v>product</x:v>
      </x:c>
      <x:c r="D6" s="15" t="str">
        <x:v>model</x:v>
      </x:c>
      <x:c r="E6" s="15" t="str">
        <x:v>input_tokens</x:v>
      </x:c>
      <x:c r="F6" s="15" t="str">
        <x:v>output_tokens</x:v>
      </x:c>
      <x:c r="G6" s="15" t="str">
        <x:v>total_tokens</x:v>
      </x:c>
      <x:c r="H6" s="15" t="str">
        <x:v>prompt_count</x:v>
      </x:c>
      <x:c r="I6" s="15" t="str">
        <x:v>input_cost_usd</x:v>
      </x:c>
      <x:c r="J6" s="15" t="str">
        <x:v>output_cost_usd</x:v>
      </x:c>
      <x:c r="K6" s="15" t="str">
        <x:v>ai_cost_usd</x:v>
      </x:c>
      <x:c r="L6" s="15" t="str">
        <x:v>first_attempt_prompts</x:v>
      </x:c>
      <x:c r="M6" s="15" t="str">
        <x:v>followup_prompts</x:v>
      </x:c>
      <x:c r="N6" s="16" t="str">
        <x:v>correction_prompts</x:v>
      </x:c>
    </x:row>
    <x:row r="7" ht="23" customHeight="1">
      <x:c r="A7" s="17" t="str">
        <x:v>W0001</x:v>
      </x:c>
      <x:c r="B7" s="17" t="str">
        <x:v>C001</x:v>
      </x:c>
      <x:c r="C7" s="17" t="str">
        <x:v>CopyStudio</x:v>
      </x:c>
      <x:c r="D7" s="17" t="str">
        <x:v>Pro</x:v>
      </x:c>
      <x:c r="E7" s="29" t="n">
        <x:f>SUMIFS('Priced Usage'!$G$7:$G$3366,'Priced Usage'!$C$7:$C$3366,$A7)</x:f>
        <x:v>258261</x:v>
      </x:c>
      <x:c r="F7" s="29" t="n">
        <x:f>SUMIFS('Priced Usage'!$H$7:$H$3366,'Priced Usage'!$C$7:$C$3366,$A7)</x:f>
        <x:v>113210</x:v>
      </x:c>
      <x:c r="G7" s="29" t="n">
        <x:f>SUMIFS('Priced Usage'!$L$7:$L$3366,'Priced Usage'!$C$7:$C$3366,$A7)</x:f>
        <x:v>371471</x:v>
      </x:c>
      <x:c r="H7" s="29" t="n">
        <x:f>COUNTIFS('Priced Usage'!$C$7:$C$3366,$A7)</x:f>
        <x:v>12</x:v>
      </x:c>
      <x:c r="I7" s="30" t="n">
        <x:f>SUMIFS('Priced Usage'!$M$7:$M$3366,'Priced Usage'!$C$7:$C$3366,$A7)</x:f>
        <x:v>10.33044</x:v>
      </x:c>
      <x:c r="J7" s="30" t="n">
        <x:f>SUMIFS('Priced Usage'!$N$7:$N$3366,'Priced Usage'!$C$7:$C$3366,$A7)</x:f>
        <x:v>11.321</x:v>
      </x:c>
      <x:c r="K7" s="30" t="n">
        <x:f>SUMIFS('Priced Usage'!$O$7:$O$3366,'Priced Usage'!$C$7:$C$3366,$A7)</x:f>
        <x:v>21.65144</x:v>
      </x:c>
      <x:c r="L7" s="29" t="n">
        <x:f>COUNTIFS('Priced Usage'!$C$7:$C$3366,$A7,'Priced Usage'!$I$7:$I$3366,"First attempt")</x:f>
        <x:v>1</x:v>
      </x:c>
      <x:c r="M7" s="29" t="n">
        <x:f>COUNTIFS('Priced Usage'!$C$7:$C$3366,$A7,'Priced Usage'!$I$7:$I$3366,"Followup")</x:f>
        <x:v>9</x:v>
      </x:c>
      <x:c r="N7" s="29" t="n">
        <x:f>COUNTIFS('Priced Usage'!$C$7:$C$3366,$A7,'Priced Usage'!$I$7:$I$3366,"Correction")</x:f>
        <x:v>2</x:v>
      </x:c>
    </x:row>
    <x:row r="8" ht="23" customHeight="1">
      <x:c r="A8" s="17" t="str">
        <x:v>W0002</x:v>
      </x:c>
      <x:c r="B8" s="17" t="str">
        <x:v>C001</x:v>
      </x:c>
      <x:c r="C8" s="17" t="str">
        <x:v>CopyStudio</x:v>
      </x:c>
      <x:c r="D8" s="17" t="str">
        <x:v>Lite</x:v>
      </x:c>
      <x:c r="E8" s="29" t="n">
        <x:f>SUMIFS('Priced Usage'!$G$7:$G$3366,'Priced Usage'!$C$7:$C$3366,$A8)</x:f>
        <x:v>539899</x:v>
      </x:c>
      <x:c r="F8" s="29" t="n">
        <x:f>SUMIFS('Priced Usage'!$H$7:$H$3366,'Priced Usage'!$C$7:$C$3366,$A8)</x:f>
        <x:v>94901</x:v>
      </x:c>
      <x:c r="G8" s="29" t="n">
        <x:f>SUMIFS('Priced Usage'!$L$7:$L$3366,'Priced Usage'!$C$7:$C$3366,$A8)</x:f>
        <x:v>634800</x:v>
      </x:c>
      <x:c r="H8" s="29" t="n">
        <x:f>COUNTIFS('Priced Usage'!$C$7:$C$3366,$A8)</x:f>
        <x:v>11</x:v>
      </x:c>
      <x:c r="I8" s="30" t="n">
        <x:f>SUMIFS('Priced Usage'!$M$7:$M$3366,'Priced Usage'!$C$7:$C$3366,$A8)</x:f>
        <x:v>5.3989899999999995</x:v>
      </x:c>
      <x:c r="J8" s="30" t="n">
        <x:f>SUMIFS('Priced Usage'!$N$7:$N$3366,'Priced Usage'!$C$7:$C$3366,$A8)</x:f>
        <x:v>2.84703</x:v>
      </x:c>
      <x:c r="K8" s="30" t="n">
        <x:f>SUMIFS('Priced Usage'!$O$7:$O$3366,'Priced Usage'!$C$7:$C$3366,$A8)</x:f>
        <x:v>8.24602</x:v>
      </x:c>
      <x:c r="L8" s="29" t="n">
        <x:f>COUNTIFS('Priced Usage'!$C$7:$C$3366,$A8,'Priced Usage'!$I$7:$I$3366,"First attempt")</x:f>
        <x:v>1</x:v>
      </x:c>
      <x:c r="M8" s="29" t="n">
        <x:f>COUNTIFS('Priced Usage'!$C$7:$C$3366,$A8,'Priced Usage'!$I$7:$I$3366,"Followup")</x:f>
        <x:v>9</x:v>
      </x:c>
      <x:c r="N8" s="29" t="n">
        <x:f>COUNTIFS('Priced Usage'!$C$7:$C$3366,$A8,'Priced Usage'!$I$7:$I$3366,"Correction")</x:f>
        <x:v>1</x:v>
      </x:c>
    </x:row>
    <x:row r="9" ht="23" customHeight="1">
      <x:c r="A9" s="17" t="str">
        <x:v>W0003</x:v>
      </x:c>
      <x:c r="B9" s="17" t="str">
        <x:v>C001</x:v>
      </x:c>
      <x:c r="C9" s="17" t="str">
        <x:v>CampaignChat</x:v>
      </x:c>
      <x:c r="D9" s="17" t="str">
        <x:v>Lite</x:v>
      </x:c>
      <x:c r="E9" s="29" t="n">
        <x:f>SUMIFS('Priced Usage'!$G$7:$G$3366,'Priced Usage'!$C$7:$C$3366,$A9)</x:f>
        <x:v>294521</x:v>
      </x:c>
      <x:c r="F9" s="29" t="n">
        <x:f>SUMIFS('Priced Usage'!$H$7:$H$3366,'Priced Usage'!$C$7:$C$3366,$A9)</x:f>
        <x:v>128067</x:v>
      </x:c>
      <x:c r="G9" s="29" t="n">
        <x:f>SUMIFS('Priced Usage'!$L$7:$L$3366,'Priced Usage'!$C$7:$C$3366,$A9)</x:f>
        <x:v>422588</x:v>
      </x:c>
      <x:c r="H9" s="29" t="n">
        <x:f>COUNTIFS('Priced Usage'!$C$7:$C$3366,$A9)</x:f>
        <x:v>12</x:v>
      </x:c>
      <x:c r="I9" s="30" t="n">
        <x:f>SUMIFS('Priced Usage'!$M$7:$M$3366,'Priced Usage'!$C$7:$C$3366,$A9)</x:f>
        <x:v>2.9452100000000003</x:v>
      </x:c>
      <x:c r="J9" s="30" t="n">
        <x:f>SUMIFS('Priced Usage'!$N$7:$N$3366,'Priced Usage'!$C$7:$C$3366,$A9)</x:f>
        <x:v>3.8420099999999997</x:v>
      </x:c>
      <x:c r="K9" s="30" t="n">
        <x:f>SUMIFS('Priced Usage'!$O$7:$O$3366,'Priced Usage'!$C$7:$C$3366,$A9)</x:f>
        <x:v>6.787220000000001</x:v>
      </x:c>
      <x:c r="L9" s="29" t="n">
        <x:f>COUNTIFS('Priced Usage'!$C$7:$C$3366,$A9,'Priced Usage'!$I$7:$I$3366,"First attempt")</x:f>
        <x:v>1</x:v>
      </x:c>
      <x:c r="M9" s="29" t="n">
        <x:f>COUNTIFS('Priced Usage'!$C$7:$C$3366,$A9,'Priced Usage'!$I$7:$I$3366,"Followup")</x:f>
        <x:v>9</x:v>
      </x:c>
      <x:c r="N9" s="29" t="n">
        <x:f>COUNTIFS('Priced Usage'!$C$7:$C$3366,$A9,'Priced Usage'!$I$7:$I$3366,"Correction")</x:f>
        <x:v>2</x:v>
      </x:c>
    </x:row>
    <x:row r="10" ht="23" customHeight="1">
      <x:c r="A10" s="17" t="str">
        <x:v>W0004</x:v>
      </x:c>
      <x:c r="B10" s="17" t="str">
        <x:v>C001</x:v>
      </x:c>
      <x:c r="C10" s="17" t="str">
        <x:v>InsightDesk</x:v>
      </x:c>
      <x:c r="D10" s="17" t="str">
        <x:v>Pro</x:v>
      </x:c>
      <x:c r="E10" s="29" t="n">
        <x:f>SUMIFS('Priced Usage'!$G$7:$G$3366,'Priced Usage'!$C$7:$C$3366,$A10)</x:f>
        <x:v>157768</x:v>
      </x:c>
      <x:c r="F10" s="29" t="n">
        <x:f>SUMIFS('Priced Usage'!$H$7:$H$3366,'Priced Usage'!$C$7:$C$3366,$A10)</x:f>
        <x:v>70853</x:v>
      </x:c>
      <x:c r="G10" s="29" t="n">
        <x:f>SUMIFS('Priced Usage'!$L$7:$L$3366,'Priced Usage'!$C$7:$C$3366,$A10)</x:f>
        <x:v>228621</x:v>
      </x:c>
      <x:c r="H10" s="29" t="n">
        <x:f>COUNTIFS('Priced Usage'!$C$7:$C$3366,$A10)</x:f>
        <x:v>9</x:v>
      </x:c>
      <x:c r="I10" s="30" t="n">
        <x:f>SUMIFS('Priced Usage'!$M$7:$M$3366,'Priced Usage'!$C$7:$C$3366,$A10)</x:f>
        <x:v>6.310719999999999</x:v>
      </x:c>
      <x:c r="J10" s="30" t="n">
        <x:f>SUMIFS('Priced Usage'!$N$7:$N$3366,'Priced Usage'!$C$7:$C$3366,$A10)</x:f>
        <x:v>7.085299999999999</x:v>
      </x:c>
      <x:c r="K10" s="30" t="n">
        <x:f>SUMIFS('Priced Usage'!$O$7:$O$3366,'Priced Usage'!$C$7:$C$3366,$A10)</x:f>
        <x:v>13.39602</x:v>
      </x:c>
      <x:c r="L10" s="29" t="n">
        <x:f>COUNTIFS('Priced Usage'!$C$7:$C$3366,$A10,'Priced Usage'!$I$7:$I$3366,"First attempt")</x:f>
        <x:v>1</x:v>
      </x:c>
      <x:c r="M10" s="29" t="n">
        <x:f>COUNTIFS('Priced Usage'!$C$7:$C$3366,$A10,'Priced Usage'!$I$7:$I$3366,"Followup")</x:f>
        <x:v>7</x:v>
      </x:c>
      <x:c r="N10" s="29" t="n">
        <x:f>COUNTIFS('Priced Usage'!$C$7:$C$3366,$A10,'Priced Usage'!$I$7:$I$3366,"Correction")</x:f>
        <x:v>1</x:v>
      </x:c>
    </x:row>
    <x:row r="11" ht="23" customHeight="1">
      <x:c r="A11" s="17" t="str">
        <x:v>W0005</x:v>
      </x:c>
      <x:c r="B11" s="17" t="str">
        <x:v>C001</x:v>
      </x:c>
      <x:c r="C11" s="17" t="str">
        <x:v>DataFlow</x:v>
      </x:c>
      <x:c r="D11" s="17" t="str">
        <x:v>Lite</x:v>
      </x:c>
      <x:c r="E11" s="29" t="n">
        <x:f>SUMIFS('Priced Usage'!$G$7:$G$3366,'Priced Usage'!$C$7:$C$3366,$A11)</x:f>
        <x:v>772081</x:v>
      </x:c>
      <x:c r="F11" s="29" t="n">
        <x:f>SUMIFS('Priced Usage'!$H$7:$H$3366,'Priced Usage'!$C$7:$C$3366,$A11)</x:f>
        <x:v>111113</x:v>
      </x:c>
      <x:c r="G11" s="29" t="n">
        <x:f>SUMIFS('Priced Usage'!$L$7:$L$3366,'Priced Usage'!$C$7:$C$3366,$A11)</x:f>
        <x:v>883194</x:v>
      </x:c>
      <x:c r="H11" s="29" t="n">
        <x:f>COUNTIFS('Priced Usage'!$C$7:$C$3366,$A11)</x:f>
        <x:v>16</x:v>
      </x:c>
      <x:c r="I11" s="30" t="n">
        <x:f>SUMIFS('Priced Usage'!$M$7:$M$3366,'Priced Usage'!$C$7:$C$3366,$A11)</x:f>
        <x:v>7.72081</x:v>
      </x:c>
      <x:c r="J11" s="30" t="n">
        <x:f>SUMIFS('Priced Usage'!$N$7:$N$3366,'Priced Usage'!$C$7:$C$3366,$A11)</x:f>
        <x:v>3.3333899999999996</x:v>
      </x:c>
      <x:c r="K11" s="30" t="n">
        <x:f>SUMIFS('Priced Usage'!$O$7:$O$3366,'Priced Usage'!$C$7:$C$3366,$A11)</x:f>
        <x:v>11.054200000000002</x:v>
      </x:c>
      <x:c r="L11" s="29" t="n">
        <x:f>COUNTIFS('Priced Usage'!$C$7:$C$3366,$A11,'Priced Usage'!$I$7:$I$3366,"First attempt")</x:f>
        <x:v>1</x:v>
      </x:c>
      <x:c r="M11" s="29" t="n">
        <x:f>COUNTIFS('Priced Usage'!$C$7:$C$3366,$A11,'Priced Usage'!$I$7:$I$3366,"Followup")</x:f>
        <x:v>13</x:v>
      </x:c>
      <x:c r="N11" s="29" t="n">
        <x:f>COUNTIFS('Priced Usage'!$C$7:$C$3366,$A11,'Priced Usage'!$I$7:$I$3366,"Correction")</x:f>
        <x:v>2</x:v>
      </x:c>
    </x:row>
    <x:row r="12" ht="23" customHeight="1">
      <x:c r="A12" s="17" t="str">
        <x:v>W0006</x:v>
      </x:c>
      <x:c r="B12" s="17" t="str">
        <x:v>C001</x:v>
      </x:c>
      <x:c r="C12" s="17" t="str">
        <x:v>DataFlow</x:v>
      </x:c>
      <x:c r="D12" s="17" t="str">
        <x:v>Lite</x:v>
      </x:c>
      <x:c r="E12" s="29" t="n">
        <x:f>SUMIFS('Priced Usage'!$G$7:$G$3366,'Priced Usage'!$C$7:$C$3366,$A12)</x:f>
        <x:v>561089</x:v>
      </x:c>
      <x:c r="F12" s="29" t="n">
        <x:f>SUMIFS('Priced Usage'!$H$7:$H$3366,'Priced Usage'!$C$7:$C$3366,$A12)</x:f>
        <x:v>114566</x:v>
      </x:c>
      <x:c r="G12" s="29" t="n">
        <x:f>SUMIFS('Priced Usage'!$L$7:$L$3366,'Priced Usage'!$C$7:$C$3366,$A12)</x:f>
        <x:v>675655</x:v>
      </x:c>
      <x:c r="H12" s="29" t="n">
        <x:f>COUNTIFS('Priced Usage'!$C$7:$C$3366,$A12)</x:f>
        <x:v>10</x:v>
      </x:c>
      <x:c r="I12" s="30" t="n">
        <x:f>SUMIFS('Priced Usage'!$M$7:$M$3366,'Priced Usage'!$C$7:$C$3366,$A12)</x:f>
        <x:v>5.6108899999999995</x:v>
      </x:c>
      <x:c r="J12" s="30" t="n">
        <x:f>SUMIFS('Priced Usage'!$N$7:$N$3366,'Priced Usage'!$C$7:$C$3366,$A12)</x:f>
        <x:v>3.43698</x:v>
      </x:c>
      <x:c r="K12" s="30" t="n">
        <x:f>SUMIFS('Priced Usage'!$O$7:$O$3366,'Priced Usage'!$C$7:$C$3366,$A12)</x:f>
        <x:v>9.04787</x:v>
      </x:c>
      <x:c r="L12" s="29" t="n">
        <x:f>COUNTIFS('Priced Usage'!$C$7:$C$3366,$A12,'Priced Usage'!$I$7:$I$3366,"First attempt")</x:f>
        <x:v>1</x:v>
      </x:c>
      <x:c r="M12" s="29" t="n">
        <x:f>COUNTIFS('Priced Usage'!$C$7:$C$3366,$A12,'Priced Usage'!$I$7:$I$3366,"Followup")</x:f>
        <x:v>8</x:v>
      </x:c>
      <x:c r="N12" s="29" t="n">
        <x:f>COUNTIFS('Priced Usage'!$C$7:$C$3366,$A12,'Priced Usage'!$I$7:$I$3366,"Correction")</x:f>
        <x:v>1</x:v>
      </x:c>
    </x:row>
    <x:row r="13" ht="23" customHeight="1">
      <x:c r="A13" s="17" t="str">
        <x:v>W0007</x:v>
      </x:c>
      <x:c r="B13" s="17" t="str">
        <x:v>C001</x:v>
      </x:c>
      <x:c r="C13" s="17" t="str">
        <x:v>InsightDesk</x:v>
      </x:c>
      <x:c r="D13" s="17" t="str">
        <x:v>Lite</x:v>
      </x:c>
      <x:c r="E13" s="29" t="n">
        <x:f>SUMIFS('Priced Usage'!$G$7:$G$3366,'Priced Usage'!$C$7:$C$3366,$A13)</x:f>
        <x:v>671183</x:v>
      </x:c>
      <x:c r="F13" s="29" t="n">
        <x:f>SUMIFS('Priced Usage'!$H$7:$H$3366,'Priced Usage'!$C$7:$C$3366,$A13)</x:f>
        <x:v>156442</x:v>
      </x:c>
      <x:c r="G13" s="29" t="n">
        <x:f>SUMIFS('Priced Usage'!$L$7:$L$3366,'Priced Usage'!$C$7:$C$3366,$A13)</x:f>
        <x:v>827625</x:v>
      </x:c>
      <x:c r="H13" s="29" t="n">
        <x:f>COUNTIFS('Priced Usage'!$C$7:$C$3366,$A13)</x:f>
        <x:v>15</x:v>
      </x:c>
      <x:c r="I13" s="30" t="n">
        <x:f>SUMIFS('Priced Usage'!$M$7:$M$3366,'Priced Usage'!$C$7:$C$3366,$A13)</x:f>
        <x:v>6.711830000000001</x:v>
      </x:c>
      <x:c r="J13" s="30" t="n">
        <x:f>SUMIFS('Priced Usage'!$N$7:$N$3366,'Priced Usage'!$C$7:$C$3366,$A13)</x:f>
        <x:v>4.69326</x:v>
      </x:c>
      <x:c r="K13" s="30" t="n">
        <x:f>SUMIFS('Priced Usage'!$O$7:$O$3366,'Priced Usage'!$C$7:$C$3366,$A13)</x:f>
        <x:v>11.405090000000001</x:v>
      </x:c>
      <x:c r="L13" s="29" t="n">
        <x:f>COUNTIFS('Priced Usage'!$C$7:$C$3366,$A13,'Priced Usage'!$I$7:$I$3366,"First attempt")</x:f>
        <x:v>1</x:v>
      </x:c>
      <x:c r="M13" s="29" t="n">
        <x:f>COUNTIFS('Priced Usage'!$C$7:$C$3366,$A13,'Priced Usage'!$I$7:$I$3366,"Followup")</x:f>
        <x:v>12</x:v>
      </x:c>
      <x:c r="N13" s="29" t="n">
        <x:f>COUNTIFS('Priced Usage'!$C$7:$C$3366,$A13,'Priced Usage'!$I$7:$I$3366,"Correction")</x:f>
        <x:v>2</x:v>
      </x:c>
    </x:row>
    <x:row r="14" ht="23" customHeight="1">
      <x:c r="A14" s="17" t="str">
        <x:v>W0008</x:v>
      </x:c>
      <x:c r="B14" s="17" t="str">
        <x:v>C001</x:v>
      </x:c>
      <x:c r="C14" s="17" t="str">
        <x:v>InsightDesk</x:v>
      </x:c>
      <x:c r="D14" s="17" t="str">
        <x:v>Lite</x:v>
      </x:c>
      <x:c r="E14" s="29" t="n">
        <x:f>SUMIFS('Priced Usage'!$G$7:$G$3366,'Priced Usage'!$C$7:$C$3366,$A14)</x:f>
        <x:v>458384</x:v>
      </x:c>
      <x:c r="F14" s="29" t="n">
        <x:f>SUMIFS('Priced Usage'!$H$7:$H$3366,'Priced Usage'!$C$7:$C$3366,$A14)</x:f>
        <x:v>93614</x:v>
      </x:c>
      <x:c r="G14" s="29" t="n">
        <x:f>SUMIFS('Priced Usage'!$L$7:$L$3366,'Priced Usage'!$C$7:$C$3366,$A14)</x:f>
        <x:v>551998</x:v>
      </x:c>
      <x:c r="H14" s="29" t="n">
        <x:f>COUNTIFS('Priced Usage'!$C$7:$C$3366,$A14)</x:f>
        <x:v>9</x:v>
      </x:c>
      <x:c r="I14" s="30" t="n">
        <x:f>SUMIFS('Priced Usage'!$M$7:$M$3366,'Priced Usage'!$C$7:$C$3366,$A14)</x:f>
        <x:v>4.5838399999999995</x:v>
      </x:c>
      <x:c r="J14" s="30" t="n">
        <x:f>SUMIFS('Priced Usage'!$N$7:$N$3366,'Priced Usage'!$C$7:$C$3366,$A14)</x:f>
        <x:v>2.8084199999999995</x:v>
      </x:c>
      <x:c r="K14" s="30" t="n">
        <x:f>SUMIFS('Priced Usage'!$O$7:$O$3366,'Priced Usage'!$C$7:$C$3366,$A14)</x:f>
        <x:v>7.3922599999999985</x:v>
      </x:c>
      <x:c r="L14" s="29" t="n">
        <x:f>COUNTIFS('Priced Usage'!$C$7:$C$3366,$A14,'Priced Usage'!$I$7:$I$3366,"First attempt")</x:f>
        <x:v>1</x:v>
      </x:c>
      <x:c r="M14" s="29" t="n">
        <x:f>COUNTIFS('Priced Usage'!$C$7:$C$3366,$A14,'Priced Usage'!$I$7:$I$3366,"Followup")</x:f>
        <x:v>7</x:v>
      </x:c>
      <x:c r="N14" s="29" t="n">
        <x:f>COUNTIFS('Priced Usage'!$C$7:$C$3366,$A14,'Priced Usage'!$I$7:$I$3366,"Correction")</x:f>
        <x:v>1</x:v>
      </x:c>
    </x:row>
    <x:row r="15" ht="23" customHeight="1">
      <x:c r="A15" s="17" t="str">
        <x:v>W0009</x:v>
      </x:c>
      <x:c r="B15" s="17" t="str">
        <x:v>C001</x:v>
      </x:c>
      <x:c r="C15" s="17" t="str">
        <x:v>CopyStudio</x:v>
      </x:c>
      <x:c r="D15" s="17" t="str">
        <x:v>Lite</x:v>
      </x:c>
      <x:c r="E15" s="29" t="n">
        <x:f>SUMIFS('Priced Usage'!$G$7:$G$3366,'Priced Usage'!$C$7:$C$3366,$A15)</x:f>
        <x:v>435279</x:v>
      </x:c>
      <x:c r="F15" s="29" t="n">
        <x:f>SUMIFS('Priced Usage'!$H$7:$H$3366,'Priced Usage'!$C$7:$C$3366,$A15)</x:f>
        <x:v>85546</x:v>
      </x:c>
      <x:c r="G15" s="29" t="n">
        <x:f>SUMIFS('Priced Usage'!$L$7:$L$3366,'Priced Usage'!$C$7:$C$3366,$A15)</x:f>
        <x:v>520825</x:v>
      </x:c>
      <x:c r="H15" s="29" t="n">
        <x:f>COUNTIFS('Priced Usage'!$C$7:$C$3366,$A15)</x:f>
        <x:v>9</x:v>
      </x:c>
      <x:c r="I15" s="30" t="n">
        <x:f>SUMIFS('Priced Usage'!$M$7:$M$3366,'Priced Usage'!$C$7:$C$3366,$A15)</x:f>
        <x:v>4.35279</x:v>
      </x:c>
      <x:c r="J15" s="30" t="n">
        <x:f>SUMIFS('Priced Usage'!$N$7:$N$3366,'Priced Usage'!$C$7:$C$3366,$A15)</x:f>
        <x:v>2.56638</x:v>
      </x:c>
      <x:c r="K15" s="30" t="n">
        <x:f>SUMIFS('Priced Usage'!$O$7:$O$3366,'Priced Usage'!$C$7:$C$3366,$A15)</x:f>
        <x:v>6.91917</x:v>
      </x:c>
      <x:c r="L15" s="29" t="n">
        <x:f>COUNTIFS('Priced Usage'!$C$7:$C$3366,$A15,'Priced Usage'!$I$7:$I$3366,"First attempt")</x:f>
        <x:v>1</x:v>
      </x:c>
      <x:c r="M15" s="29" t="n">
        <x:f>COUNTIFS('Priced Usage'!$C$7:$C$3366,$A15,'Priced Usage'!$I$7:$I$3366,"Followup")</x:f>
        <x:v>7</x:v>
      </x:c>
      <x:c r="N15" s="29" t="n">
        <x:f>COUNTIFS('Priced Usage'!$C$7:$C$3366,$A15,'Priced Usage'!$I$7:$I$3366,"Correction")</x:f>
        <x:v>1</x:v>
      </x:c>
    </x:row>
    <x:row r="16" ht="23" customHeight="1">
      <x:c r="A16" s="17" t="str">
        <x:v>W0010</x:v>
      </x:c>
      <x:c r="B16" s="17" t="str">
        <x:v>C001</x:v>
      </x:c>
      <x:c r="C16" s="17" t="str">
        <x:v>CopyStudio</x:v>
      </x:c>
      <x:c r="D16" s="17" t="str">
        <x:v>Lite</x:v>
      </x:c>
      <x:c r="E16" s="29" t="n">
        <x:f>SUMIFS('Priced Usage'!$G$7:$G$3366,'Priced Usage'!$C$7:$C$3366,$A16)</x:f>
        <x:v>483839</x:v>
      </x:c>
      <x:c r="F16" s="29" t="n">
        <x:f>SUMIFS('Priced Usage'!$H$7:$H$3366,'Priced Usage'!$C$7:$C$3366,$A16)</x:f>
        <x:v>92033</x:v>
      </x:c>
      <x:c r="G16" s="29" t="n">
        <x:f>SUMIFS('Priced Usage'!$L$7:$L$3366,'Priced Usage'!$C$7:$C$3366,$A16)</x:f>
        <x:v>575872</x:v>
      </x:c>
      <x:c r="H16" s="29" t="n">
        <x:f>COUNTIFS('Priced Usage'!$C$7:$C$3366,$A16)</x:f>
        <x:v>9</x:v>
      </x:c>
      <x:c r="I16" s="30" t="n">
        <x:f>SUMIFS('Priced Usage'!$M$7:$M$3366,'Priced Usage'!$C$7:$C$3366,$A16)</x:f>
        <x:v>4.8383899999999995</x:v>
      </x:c>
      <x:c r="J16" s="30" t="n">
        <x:f>SUMIFS('Priced Usage'!$N$7:$N$3366,'Priced Usage'!$C$7:$C$3366,$A16)</x:f>
        <x:v>2.7609899999999996</x:v>
      </x:c>
      <x:c r="K16" s="30" t="n">
        <x:f>SUMIFS('Priced Usage'!$O$7:$O$3366,'Priced Usage'!$C$7:$C$3366,$A16)</x:f>
        <x:v>7.59938</x:v>
      </x:c>
      <x:c r="L16" s="29" t="n">
        <x:f>COUNTIFS('Priced Usage'!$C$7:$C$3366,$A16,'Priced Usage'!$I$7:$I$3366,"First attempt")</x:f>
        <x:v>1</x:v>
      </x:c>
      <x:c r="M16" s="29" t="n">
        <x:f>COUNTIFS('Priced Usage'!$C$7:$C$3366,$A16,'Priced Usage'!$I$7:$I$3366,"Followup")</x:f>
        <x:v>7</x:v>
      </x:c>
      <x:c r="N16" s="29" t="n">
        <x:f>COUNTIFS('Priced Usage'!$C$7:$C$3366,$A16,'Priced Usage'!$I$7:$I$3366,"Correction")</x:f>
        <x:v>1</x:v>
      </x:c>
    </x:row>
    <x:row r="17" ht="23" customHeight="1">
      <x:c r="A17" s="17" t="str">
        <x:v>W0011</x:v>
      </x:c>
      <x:c r="B17" s="17" t="str">
        <x:v>C001</x:v>
      </x:c>
      <x:c r="C17" s="17" t="str">
        <x:v>CampaignChat</x:v>
      </x:c>
      <x:c r="D17" s="17" t="str">
        <x:v>Lite</x:v>
      </x:c>
      <x:c r="E17" s="29" t="n">
        <x:f>SUMIFS('Priced Usage'!$G$7:$G$3366,'Priced Usage'!$C$7:$C$3366,$A17)</x:f>
        <x:v>323449</x:v>
      </x:c>
      <x:c r="F17" s="29" t="n">
        <x:f>SUMIFS('Priced Usage'!$H$7:$H$3366,'Priced Usage'!$C$7:$C$3366,$A17)</x:f>
        <x:v>84287</x:v>
      </x:c>
      <x:c r="G17" s="29" t="n">
        <x:f>SUMIFS('Priced Usage'!$L$7:$L$3366,'Priced Usage'!$C$7:$C$3366,$A17)</x:f>
        <x:v>407736</x:v>
      </x:c>
      <x:c r="H17" s="29" t="n">
        <x:f>COUNTIFS('Priced Usage'!$C$7:$C$3366,$A17)</x:f>
        <x:v>10</x:v>
      </x:c>
      <x:c r="I17" s="30" t="n">
        <x:f>SUMIFS('Priced Usage'!$M$7:$M$3366,'Priced Usage'!$C$7:$C$3366,$A17)</x:f>
        <x:v>3.2344900000000005</x:v>
      </x:c>
      <x:c r="J17" s="30" t="n">
        <x:f>SUMIFS('Priced Usage'!$N$7:$N$3366,'Priced Usage'!$C$7:$C$3366,$A17)</x:f>
        <x:v>2.52861</x:v>
      </x:c>
      <x:c r="K17" s="30" t="n">
        <x:f>SUMIFS('Priced Usage'!$O$7:$O$3366,'Priced Usage'!$C$7:$C$3366,$A17)</x:f>
        <x:v>5.7631000000000006</x:v>
      </x:c>
      <x:c r="L17" s="29" t="n">
        <x:f>COUNTIFS('Priced Usage'!$C$7:$C$3366,$A17,'Priced Usage'!$I$7:$I$3366,"First attempt")</x:f>
        <x:v>1</x:v>
      </x:c>
      <x:c r="M17" s="29" t="n">
        <x:f>COUNTIFS('Priced Usage'!$C$7:$C$3366,$A17,'Priced Usage'!$I$7:$I$3366,"Followup")</x:f>
        <x:v>8</x:v>
      </x:c>
      <x:c r="N17" s="29" t="n">
        <x:f>COUNTIFS('Priced Usage'!$C$7:$C$3366,$A17,'Priced Usage'!$I$7:$I$3366,"Correction")</x:f>
        <x:v>1</x:v>
      </x:c>
    </x:row>
    <x:row r="18" ht="23" customHeight="1">
      <x:c r="A18" s="17" t="str">
        <x:v>W0012</x:v>
      </x:c>
      <x:c r="B18" s="17" t="str">
        <x:v>C001</x:v>
      </x:c>
      <x:c r="C18" s="17" t="str">
        <x:v>CampaignChat</x:v>
      </x:c>
      <x:c r="D18" s="17" t="str">
        <x:v>Pro</x:v>
      </x:c>
      <x:c r="E18" s="29" t="n">
        <x:f>SUMIFS('Priced Usage'!$G$7:$G$3366,'Priced Usage'!$C$7:$C$3366,$A18)</x:f>
        <x:v>178366</x:v>
      </x:c>
      <x:c r="F18" s="29" t="n">
        <x:f>SUMIFS('Priced Usage'!$H$7:$H$3366,'Priced Usage'!$C$7:$C$3366,$A18)</x:f>
        <x:v>101926</x:v>
      </x:c>
      <x:c r="G18" s="29" t="n">
        <x:f>SUMIFS('Priced Usage'!$L$7:$L$3366,'Priced Usage'!$C$7:$C$3366,$A18)</x:f>
        <x:v>280292</x:v>
      </x:c>
      <x:c r="H18" s="29" t="n">
        <x:f>COUNTIFS('Priced Usage'!$C$7:$C$3366,$A18)</x:f>
        <x:v>10</x:v>
      </x:c>
      <x:c r="I18" s="30" t="n">
        <x:f>SUMIFS('Priced Usage'!$M$7:$M$3366,'Priced Usage'!$C$7:$C$3366,$A18)</x:f>
        <x:v>7.13464</x:v>
      </x:c>
      <x:c r="J18" s="30" t="n">
        <x:f>SUMIFS('Priced Usage'!$N$7:$N$3366,'Priced Usage'!$C$7:$C$3366,$A18)</x:f>
        <x:v>10.1926</x:v>
      </x:c>
      <x:c r="K18" s="30" t="n">
        <x:f>SUMIFS('Priced Usage'!$O$7:$O$3366,'Priced Usage'!$C$7:$C$3366,$A18)</x:f>
        <x:v>17.32724</x:v>
      </x:c>
      <x:c r="L18" s="29" t="n">
        <x:f>COUNTIFS('Priced Usage'!$C$7:$C$3366,$A18,'Priced Usage'!$I$7:$I$3366,"First attempt")</x:f>
        <x:v>1</x:v>
      </x:c>
      <x:c r="M18" s="29" t="n">
        <x:f>COUNTIFS('Priced Usage'!$C$7:$C$3366,$A18,'Priced Usage'!$I$7:$I$3366,"Followup")</x:f>
        <x:v>8</x:v>
      </x:c>
      <x:c r="N18" s="29" t="n">
        <x:f>COUNTIFS('Priced Usage'!$C$7:$C$3366,$A18,'Priced Usage'!$I$7:$I$3366,"Correction")</x:f>
        <x:v>1</x:v>
      </x:c>
    </x:row>
    <x:row r="19" ht="23" customHeight="1">
      <x:c r="A19" s="17" t="str">
        <x:v>W0013</x:v>
      </x:c>
      <x:c r="B19" s="17" t="str">
        <x:v>C001</x:v>
      </x:c>
      <x:c r="C19" s="17" t="str">
        <x:v>DataFlow</x:v>
      </x:c>
      <x:c r="D19" s="17" t="str">
        <x:v>Lite</x:v>
      </x:c>
      <x:c r="E19" s="29" t="n">
        <x:f>SUMIFS('Priced Usage'!$G$7:$G$3366,'Priced Usage'!$C$7:$C$3366,$A19)</x:f>
        <x:v>273171</x:v>
      </x:c>
      <x:c r="F19" s="29" t="n">
        <x:f>SUMIFS('Priced Usage'!$H$7:$H$3366,'Priced Usage'!$C$7:$C$3366,$A19)</x:f>
        <x:v>50676</x:v>
      </x:c>
      <x:c r="G19" s="29" t="n">
        <x:f>SUMIFS('Priced Usage'!$L$7:$L$3366,'Priced Usage'!$C$7:$C$3366,$A19)</x:f>
        <x:v>323847</x:v>
      </x:c>
      <x:c r="H19" s="29" t="n">
        <x:f>COUNTIFS('Priced Usage'!$C$7:$C$3366,$A19)</x:f>
        <x:v>11</x:v>
      </x:c>
      <x:c r="I19" s="30" t="n">
        <x:f>SUMIFS('Priced Usage'!$M$7:$M$3366,'Priced Usage'!$C$7:$C$3366,$A19)</x:f>
        <x:v>2.7317099999999996</x:v>
      </x:c>
      <x:c r="J19" s="30" t="n">
        <x:f>SUMIFS('Priced Usage'!$N$7:$N$3366,'Priced Usage'!$C$7:$C$3366,$A19)</x:f>
        <x:v>1.52028</x:v>
      </x:c>
      <x:c r="K19" s="30" t="n">
        <x:f>SUMIFS('Priced Usage'!$O$7:$O$3366,'Priced Usage'!$C$7:$C$3366,$A19)</x:f>
        <x:v>4.251990000000001</x:v>
      </x:c>
      <x:c r="L19" s="29" t="n">
        <x:f>COUNTIFS('Priced Usage'!$C$7:$C$3366,$A19,'Priced Usage'!$I$7:$I$3366,"First attempt")</x:f>
        <x:v>1</x:v>
      </x:c>
      <x:c r="M19" s="29" t="n">
        <x:f>COUNTIFS('Priced Usage'!$C$7:$C$3366,$A19,'Priced Usage'!$I$7:$I$3366,"Followup")</x:f>
        <x:v>8</x:v>
      </x:c>
      <x:c r="N19" s="29" t="n">
        <x:f>COUNTIFS('Priced Usage'!$C$7:$C$3366,$A19,'Priced Usage'!$I$7:$I$3366,"Correction")</x:f>
        <x:v>2</x:v>
      </x:c>
    </x:row>
    <x:row r="20" ht="23" customHeight="1">
      <x:c r="A20" s="17" t="str">
        <x:v>W0014</x:v>
      </x:c>
      <x:c r="B20" s="17" t="str">
        <x:v>C001</x:v>
      </x:c>
      <x:c r="C20" s="17" t="str">
        <x:v>DataFlow</x:v>
      </x:c>
      <x:c r="D20" s="17" t="str">
        <x:v>Lite</x:v>
      </x:c>
      <x:c r="E20" s="29" t="n">
        <x:f>SUMIFS('Priced Usage'!$G$7:$G$3366,'Priced Usage'!$C$7:$C$3366,$A20)</x:f>
        <x:v>297094</x:v>
      </x:c>
      <x:c r="F20" s="29" t="n">
        <x:f>SUMIFS('Priced Usage'!$H$7:$H$3366,'Priced Usage'!$C$7:$C$3366,$A20)</x:f>
        <x:v>78626</x:v>
      </x:c>
      <x:c r="G20" s="29" t="n">
        <x:f>SUMIFS('Priced Usage'!$L$7:$L$3366,'Priced Usage'!$C$7:$C$3366,$A20)</x:f>
        <x:v>375720</x:v>
      </x:c>
      <x:c r="H20" s="29" t="n">
        <x:f>COUNTIFS('Priced Usage'!$C$7:$C$3366,$A20)</x:f>
        <x:v>7</x:v>
      </x:c>
      <x:c r="I20" s="30" t="n">
        <x:f>SUMIFS('Priced Usage'!$M$7:$M$3366,'Priced Usage'!$C$7:$C$3366,$A20)</x:f>
        <x:v>2.97094</x:v>
      </x:c>
      <x:c r="J20" s="30" t="n">
        <x:f>SUMIFS('Priced Usage'!$N$7:$N$3366,'Priced Usage'!$C$7:$C$3366,$A20)</x:f>
        <x:v>2.35878</x:v>
      </x:c>
      <x:c r="K20" s="30" t="n">
        <x:f>SUMIFS('Priced Usage'!$O$7:$O$3366,'Priced Usage'!$C$7:$C$3366,$A20)</x:f>
        <x:v>5.32972</x:v>
      </x:c>
      <x:c r="L20" s="29" t="n">
        <x:f>COUNTIFS('Priced Usage'!$C$7:$C$3366,$A20,'Priced Usage'!$I$7:$I$3366,"First attempt")</x:f>
        <x:v>1</x:v>
      </x:c>
      <x:c r="M20" s="29" t="n">
        <x:f>COUNTIFS('Priced Usage'!$C$7:$C$3366,$A20,'Priced Usage'!$I$7:$I$3366,"Followup")</x:f>
        <x:v>5</x:v>
      </x:c>
      <x:c r="N20" s="29" t="n">
        <x:f>COUNTIFS('Priced Usage'!$C$7:$C$3366,$A20,'Priced Usage'!$I$7:$I$3366,"Correction")</x:f>
        <x:v>1</x:v>
      </x:c>
    </x:row>
    <x:row r="21" ht="23" customHeight="1">
      <x:c r="A21" s="17" t="str">
        <x:v>W0015</x:v>
      </x:c>
      <x:c r="B21" s="17" t="str">
        <x:v>C001</x:v>
      </x:c>
      <x:c r="C21" s="17" t="str">
        <x:v>InsightDesk</x:v>
      </x:c>
      <x:c r="D21" s="17" t="str">
        <x:v>Pro</x:v>
      </x:c>
      <x:c r="E21" s="29" t="n">
        <x:f>SUMIFS('Priced Usage'!$G$7:$G$3366,'Priced Usage'!$C$7:$C$3366,$A21)</x:f>
        <x:v>174851</x:v>
      </x:c>
      <x:c r="F21" s="29" t="n">
        <x:f>SUMIFS('Priced Usage'!$H$7:$H$3366,'Priced Usage'!$C$7:$C$3366,$A21)</x:f>
        <x:v>63453</x:v>
      </x:c>
      <x:c r="G21" s="29" t="n">
        <x:f>SUMIFS('Priced Usage'!$L$7:$L$3366,'Priced Usage'!$C$7:$C$3366,$A21)</x:f>
        <x:v>238304</x:v>
      </x:c>
      <x:c r="H21" s="29" t="n">
        <x:f>COUNTIFS('Priced Usage'!$C$7:$C$3366,$A21)</x:f>
        <x:v>8</x:v>
      </x:c>
      <x:c r="I21" s="30" t="n">
        <x:f>SUMIFS('Priced Usage'!$M$7:$M$3366,'Priced Usage'!$C$7:$C$3366,$A21)</x:f>
        <x:v>6.99404</x:v>
      </x:c>
      <x:c r="J21" s="30" t="n">
        <x:f>SUMIFS('Priced Usage'!$N$7:$N$3366,'Priced Usage'!$C$7:$C$3366,$A21)</x:f>
        <x:v>6.345300000000001</x:v>
      </x:c>
      <x:c r="K21" s="30" t="n">
        <x:f>SUMIFS('Priced Usage'!$O$7:$O$3366,'Priced Usage'!$C$7:$C$3366,$A21)</x:f>
        <x:v>13.33934</x:v>
      </x:c>
      <x:c r="L21" s="29" t="n">
        <x:f>COUNTIFS('Priced Usage'!$C$7:$C$3366,$A21,'Priced Usage'!$I$7:$I$3366,"First attempt")</x:f>
        <x:v>1</x:v>
      </x:c>
      <x:c r="M21" s="29" t="n">
        <x:f>COUNTIFS('Priced Usage'!$C$7:$C$3366,$A21,'Priced Usage'!$I$7:$I$3366,"Followup")</x:f>
        <x:v>6</x:v>
      </x:c>
      <x:c r="N21" s="29" t="n">
        <x:f>COUNTIFS('Priced Usage'!$C$7:$C$3366,$A21,'Priced Usage'!$I$7:$I$3366,"Correction")</x:f>
        <x:v>1</x:v>
      </x:c>
    </x:row>
    <x:row r="22" ht="23" customHeight="1">
      <x:c r="A22" s="17" t="str">
        <x:v>W0016</x:v>
      </x:c>
      <x:c r="B22" s="17" t="str">
        <x:v>C001</x:v>
      </x:c>
      <x:c r="C22" s="17" t="str">
        <x:v>InsightDesk</x:v>
      </x:c>
      <x:c r="D22" s="17" t="str">
        <x:v>Pro</x:v>
      </x:c>
      <x:c r="E22" s="29" t="n">
        <x:f>SUMIFS('Priced Usage'!$G$7:$G$3366,'Priced Usage'!$C$7:$C$3366,$A22)</x:f>
        <x:v>186617</x:v>
      </x:c>
      <x:c r="F22" s="29" t="n">
        <x:f>SUMIFS('Priced Usage'!$H$7:$H$3366,'Priced Usage'!$C$7:$C$3366,$A22)</x:f>
        <x:v>106767</x:v>
      </x:c>
      <x:c r="G22" s="29" t="n">
        <x:f>SUMIFS('Priced Usage'!$L$7:$L$3366,'Priced Usage'!$C$7:$C$3366,$A22)</x:f>
        <x:v>293384</x:v>
      </x:c>
      <x:c r="H22" s="29" t="n">
        <x:f>COUNTIFS('Priced Usage'!$C$7:$C$3366,$A22)</x:f>
        <x:v>11</x:v>
      </x:c>
      <x:c r="I22" s="30" t="n">
        <x:f>SUMIFS('Priced Usage'!$M$7:$M$3366,'Priced Usage'!$C$7:$C$3366,$A22)</x:f>
        <x:v>7.4646799999999995</x:v>
      </x:c>
      <x:c r="J22" s="30" t="n">
        <x:f>SUMIFS('Priced Usage'!$N$7:$N$3366,'Priced Usage'!$C$7:$C$3366,$A22)</x:f>
        <x:v>10.676699999999999</x:v>
      </x:c>
      <x:c r="K22" s="30" t="n">
        <x:f>SUMIFS('Priced Usage'!$O$7:$O$3366,'Priced Usage'!$C$7:$C$3366,$A22)</x:f>
        <x:v>18.141379999999998</x:v>
      </x:c>
      <x:c r="L22" s="29" t="n">
        <x:f>COUNTIFS('Priced Usage'!$C$7:$C$3366,$A22,'Priced Usage'!$I$7:$I$3366,"First attempt")</x:f>
        <x:v>1</x:v>
      </x:c>
      <x:c r="M22" s="29" t="n">
        <x:f>COUNTIFS('Priced Usage'!$C$7:$C$3366,$A22,'Priced Usage'!$I$7:$I$3366,"Followup")</x:f>
        <x:v>9</x:v>
      </x:c>
      <x:c r="N22" s="29" t="n">
        <x:f>COUNTIFS('Priced Usage'!$C$7:$C$3366,$A22,'Priced Usage'!$I$7:$I$3366,"Correction")</x:f>
        <x:v>1</x:v>
      </x:c>
    </x:row>
    <x:row r="23" ht="23" customHeight="1">
      <x:c r="A23" s="17" t="str">
        <x:v>W0017</x:v>
      </x:c>
      <x:c r="B23" s="17" t="str">
        <x:v>C001</x:v>
      </x:c>
      <x:c r="C23" s="17" t="str">
        <x:v>CopyStudio</x:v>
      </x:c>
      <x:c r="D23" s="17" t="str">
        <x:v>Lite</x:v>
      </x:c>
      <x:c r="E23" s="29" t="n">
        <x:f>SUMIFS('Priced Usage'!$G$7:$G$3366,'Priced Usage'!$C$7:$C$3366,$A23)</x:f>
        <x:v>547176</x:v>
      </x:c>
      <x:c r="F23" s="29" t="n">
        <x:f>SUMIFS('Priced Usage'!$H$7:$H$3366,'Priced Usage'!$C$7:$C$3366,$A23)</x:f>
        <x:v>95814</x:v>
      </x:c>
      <x:c r="G23" s="29" t="n">
        <x:f>SUMIFS('Priced Usage'!$L$7:$L$3366,'Priced Usage'!$C$7:$C$3366,$A23)</x:f>
        <x:v>642990</x:v>
      </x:c>
      <x:c r="H23" s="29" t="n">
        <x:f>COUNTIFS('Priced Usage'!$C$7:$C$3366,$A23)</x:f>
        <x:v>12</x:v>
      </x:c>
      <x:c r="I23" s="30" t="n">
        <x:f>SUMIFS('Priced Usage'!$M$7:$M$3366,'Priced Usage'!$C$7:$C$3366,$A23)</x:f>
        <x:v>5.47176</x:v>
      </x:c>
      <x:c r="J23" s="30" t="n">
        <x:f>SUMIFS('Priced Usage'!$N$7:$N$3366,'Priced Usage'!$C$7:$C$3366,$A23)</x:f>
        <x:v>2.8744199999999993</x:v>
      </x:c>
      <x:c r="K23" s="30" t="n">
        <x:f>SUMIFS('Priced Usage'!$O$7:$O$3366,'Priced Usage'!$C$7:$C$3366,$A23)</x:f>
        <x:v>8.34618</x:v>
      </x:c>
      <x:c r="L23" s="29" t="n">
        <x:f>COUNTIFS('Priced Usage'!$C$7:$C$3366,$A23,'Priced Usage'!$I$7:$I$3366,"First attempt")</x:f>
        <x:v>1</x:v>
      </x:c>
      <x:c r="M23" s="29" t="n">
        <x:f>COUNTIFS('Priced Usage'!$C$7:$C$3366,$A23,'Priced Usage'!$I$7:$I$3366,"Followup")</x:f>
        <x:v>10</x:v>
      </x:c>
      <x:c r="N23" s="29" t="n">
        <x:f>COUNTIFS('Priced Usage'!$C$7:$C$3366,$A23,'Priced Usage'!$I$7:$I$3366,"Correction")</x:f>
        <x:v>1</x:v>
      </x:c>
    </x:row>
    <x:row r="24" ht="23" customHeight="1">
      <x:c r="A24" s="17" t="str">
        <x:v>W0018</x:v>
      </x:c>
      <x:c r="B24" s="17" t="str">
        <x:v>C001</x:v>
      </x:c>
      <x:c r="C24" s="17" t="str">
        <x:v>CopyStudio</x:v>
      </x:c>
      <x:c r="D24" s="17" t="str">
        <x:v>Lite</x:v>
      </x:c>
      <x:c r="E24" s="29" t="n">
        <x:f>SUMIFS('Priced Usage'!$G$7:$G$3366,'Priced Usage'!$C$7:$C$3366,$A24)</x:f>
        <x:v>680501</x:v>
      </x:c>
      <x:c r="F24" s="29" t="n">
        <x:f>SUMIFS('Priced Usage'!$H$7:$H$3366,'Priced Usage'!$C$7:$C$3366,$A24)</x:f>
        <x:v>102212</x:v>
      </x:c>
      <x:c r="G24" s="29" t="n">
        <x:f>SUMIFS('Priced Usage'!$L$7:$L$3366,'Priced Usage'!$C$7:$C$3366,$A24)</x:f>
        <x:v>782713</x:v>
      </x:c>
      <x:c r="H24" s="29" t="n">
        <x:f>COUNTIFS('Priced Usage'!$C$7:$C$3366,$A24)</x:f>
        <x:v>13</x:v>
      </x:c>
      <x:c r="I24" s="30" t="n">
        <x:f>SUMIFS('Priced Usage'!$M$7:$M$3366,'Priced Usage'!$C$7:$C$3366,$A24)</x:f>
        <x:v>6.80501</x:v>
      </x:c>
      <x:c r="J24" s="30" t="n">
        <x:f>SUMIFS('Priced Usage'!$N$7:$N$3366,'Priced Usage'!$C$7:$C$3366,$A24)</x:f>
        <x:v>3.06636</x:v>
      </x:c>
      <x:c r="K24" s="30" t="n">
        <x:f>SUMIFS('Priced Usage'!$O$7:$O$3366,'Priced Usage'!$C$7:$C$3366,$A24)</x:f>
        <x:v>9.87137</x:v>
      </x:c>
      <x:c r="L24" s="29" t="n">
        <x:f>COUNTIFS('Priced Usage'!$C$7:$C$3366,$A24,'Priced Usage'!$I$7:$I$3366,"First attempt")</x:f>
        <x:v>1</x:v>
      </x:c>
      <x:c r="M24" s="29" t="n">
        <x:f>COUNTIFS('Priced Usage'!$C$7:$C$3366,$A24,'Priced Usage'!$I$7:$I$3366,"Followup")</x:f>
        <x:v>11</x:v>
      </x:c>
      <x:c r="N24" s="29" t="n">
        <x:f>COUNTIFS('Priced Usage'!$C$7:$C$3366,$A24,'Priced Usage'!$I$7:$I$3366,"Correction")</x:f>
        <x:v>1</x:v>
      </x:c>
    </x:row>
    <x:row r="25" ht="23" customHeight="1">
      <x:c r="A25" s="17" t="str">
        <x:v>W0019</x:v>
      </x:c>
      <x:c r="B25" s="17" t="str">
        <x:v>C001</x:v>
      </x:c>
      <x:c r="C25" s="17" t="str">
        <x:v>CampaignChat</x:v>
      </x:c>
      <x:c r="D25" s="17" t="str">
        <x:v>Pro</x:v>
      </x:c>
      <x:c r="E25" s="29" t="n">
        <x:f>SUMIFS('Priced Usage'!$G$7:$G$3366,'Priced Usage'!$C$7:$C$3366,$A25)</x:f>
        <x:v>146897</x:v>
      </x:c>
      <x:c r="F25" s="29" t="n">
        <x:f>SUMIFS('Priced Usage'!$H$7:$H$3366,'Priced Usage'!$C$7:$C$3366,$A25)</x:f>
        <x:v>44737</x:v>
      </x:c>
      <x:c r="G25" s="29" t="n">
        <x:f>SUMIFS('Priced Usage'!$L$7:$L$3366,'Priced Usage'!$C$7:$C$3366,$A25)</x:f>
        <x:v>191634</x:v>
      </x:c>
      <x:c r="H25" s="29" t="n">
        <x:f>COUNTIFS('Priced Usage'!$C$7:$C$3366,$A25)</x:f>
        <x:v>8</x:v>
      </x:c>
      <x:c r="I25" s="30" t="n">
        <x:f>SUMIFS('Priced Usage'!$M$7:$M$3366,'Priced Usage'!$C$7:$C$3366,$A25)</x:f>
        <x:v>5.87588</x:v>
      </x:c>
      <x:c r="J25" s="30" t="n">
        <x:f>SUMIFS('Priced Usage'!$N$7:$N$3366,'Priced Usage'!$C$7:$C$3366,$A25)</x:f>
        <x:v>4.4737</x:v>
      </x:c>
      <x:c r="K25" s="30" t="n">
        <x:f>SUMIFS('Priced Usage'!$O$7:$O$3366,'Priced Usage'!$C$7:$C$3366,$A25)</x:f>
        <x:v>10.34958</x:v>
      </x:c>
      <x:c r="L25" s="29" t="n">
        <x:f>COUNTIFS('Priced Usage'!$C$7:$C$3366,$A25,'Priced Usage'!$I$7:$I$3366,"First attempt")</x:f>
        <x:v>1</x:v>
      </x:c>
      <x:c r="M25" s="29" t="n">
        <x:f>COUNTIFS('Priced Usage'!$C$7:$C$3366,$A25,'Priced Usage'!$I$7:$I$3366,"Followup")</x:f>
        <x:v>6</x:v>
      </x:c>
      <x:c r="N25" s="29" t="n">
        <x:f>COUNTIFS('Priced Usage'!$C$7:$C$3366,$A25,'Priced Usage'!$I$7:$I$3366,"Correction")</x:f>
        <x:v>1</x:v>
      </x:c>
    </x:row>
    <x:row r="26" ht="23" customHeight="1">
      <x:c r="A26" s="17" t="str">
        <x:v>W0020</x:v>
      </x:c>
      <x:c r="B26" s="17" t="str">
        <x:v>C001</x:v>
      </x:c>
      <x:c r="C26" s="17" t="str">
        <x:v>CampaignChat</x:v>
      </x:c>
      <x:c r="D26" s="17" t="str">
        <x:v>Lite</x:v>
      </x:c>
      <x:c r="E26" s="29" t="n">
        <x:f>SUMIFS('Priced Usage'!$G$7:$G$3366,'Priced Usage'!$C$7:$C$3366,$A26)</x:f>
        <x:v>340278</x:v>
      </x:c>
      <x:c r="F26" s="29" t="n">
        <x:f>SUMIFS('Priced Usage'!$H$7:$H$3366,'Priced Usage'!$C$7:$C$3366,$A26)</x:f>
        <x:v>49462</x:v>
      </x:c>
      <x:c r="G26" s="29" t="n">
        <x:f>SUMIFS('Priced Usage'!$L$7:$L$3366,'Priced Usage'!$C$7:$C$3366,$A26)</x:f>
        <x:v>389740</x:v>
      </x:c>
      <x:c r="H26" s="29" t="n">
        <x:f>COUNTIFS('Priced Usage'!$C$7:$C$3366,$A26)</x:f>
        <x:v>8</x:v>
      </x:c>
      <x:c r="I26" s="30" t="n">
        <x:f>SUMIFS('Priced Usage'!$M$7:$M$3366,'Priced Usage'!$C$7:$C$3366,$A26)</x:f>
        <x:v>3.40278</x:v>
      </x:c>
      <x:c r="J26" s="30" t="n">
        <x:f>SUMIFS('Priced Usage'!$N$7:$N$3366,'Priced Usage'!$C$7:$C$3366,$A26)</x:f>
        <x:v>1.4838599999999997</x:v>
      </x:c>
      <x:c r="K26" s="30" t="n">
        <x:f>SUMIFS('Priced Usage'!$O$7:$O$3366,'Priced Usage'!$C$7:$C$3366,$A26)</x:f>
        <x:v>4.88664</x:v>
      </x:c>
      <x:c r="L26" s="29" t="n">
        <x:f>COUNTIFS('Priced Usage'!$C$7:$C$3366,$A26,'Priced Usage'!$I$7:$I$3366,"First attempt")</x:f>
        <x:v>1</x:v>
      </x:c>
      <x:c r="M26" s="29" t="n">
        <x:f>COUNTIFS('Priced Usage'!$C$7:$C$3366,$A26,'Priced Usage'!$I$7:$I$3366,"Followup")</x:f>
        <x:v>6</x:v>
      </x:c>
      <x:c r="N26" s="29" t="n">
        <x:f>COUNTIFS('Priced Usage'!$C$7:$C$3366,$A26,'Priced Usage'!$I$7:$I$3366,"Correction")</x:f>
        <x:v>1</x:v>
      </x:c>
    </x:row>
    <x:row r="27" ht="23" customHeight="1">
      <x:c r="A27" s="17" t="str">
        <x:v>W0021</x:v>
      </x:c>
      <x:c r="B27" s="17" t="str">
        <x:v>C001</x:v>
      </x:c>
      <x:c r="C27" s="17" t="str">
        <x:v>DataFlow</x:v>
      </x:c>
      <x:c r="D27" s="17" t="str">
        <x:v>Lite</x:v>
      </x:c>
      <x:c r="E27" s="29" t="n">
        <x:f>SUMIFS('Priced Usage'!$G$7:$G$3366,'Priced Usage'!$C$7:$C$3366,$A27)</x:f>
        <x:v>434783</x:v>
      </x:c>
      <x:c r="F27" s="29" t="n">
        <x:f>SUMIFS('Priced Usage'!$H$7:$H$3366,'Priced Usage'!$C$7:$C$3366,$A27)</x:f>
        <x:v>69747</x:v>
      </x:c>
      <x:c r="G27" s="29" t="n">
        <x:f>SUMIFS('Priced Usage'!$L$7:$L$3366,'Priced Usage'!$C$7:$C$3366,$A27)</x:f>
        <x:v>504530</x:v>
      </x:c>
      <x:c r="H27" s="29" t="n">
        <x:f>COUNTIFS('Priced Usage'!$C$7:$C$3366,$A27)</x:f>
        <x:v>8</x:v>
      </x:c>
      <x:c r="I27" s="30" t="n">
        <x:f>SUMIFS('Priced Usage'!$M$7:$M$3366,'Priced Usage'!$C$7:$C$3366,$A27)</x:f>
        <x:v>4.347829999999999</x:v>
      </x:c>
      <x:c r="J27" s="30" t="n">
        <x:f>SUMIFS('Priced Usage'!$N$7:$N$3366,'Priced Usage'!$C$7:$C$3366,$A27)</x:f>
        <x:v>2.09241</x:v>
      </x:c>
      <x:c r="K27" s="30" t="n">
        <x:f>SUMIFS('Priced Usage'!$O$7:$O$3366,'Priced Usage'!$C$7:$C$3366,$A27)</x:f>
        <x:v>6.440239999999999</x:v>
      </x:c>
      <x:c r="L27" s="29" t="n">
        <x:f>COUNTIFS('Priced Usage'!$C$7:$C$3366,$A27,'Priced Usage'!$I$7:$I$3366,"First attempt")</x:f>
        <x:v>1</x:v>
      </x:c>
      <x:c r="M27" s="29" t="n">
        <x:f>COUNTIFS('Priced Usage'!$C$7:$C$3366,$A27,'Priced Usage'!$I$7:$I$3366,"Followup")</x:f>
        <x:v>6</x:v>
      </x:c>
      <x:c r="N27" s="29" t="n">
        <x:f>COUNTIFS('Priced Usage'!$C$7:$C$3366,$A27,'Priced Usage'!$I$7:$I$3366,"Correction")</x:f>
        <x:v>1</x:v>
      </x:c>
    </x:row>
    <x:row r="28" ht="23" customHeight="1">
      <x:c r="A28" s="17" t="str">
        <x:v>W0022</x:v>
      </x:c>
      <x:c r="B28" s="17" t="str">
        <x:v>C001</x:v>
      </x:c>
      <x:c r="C28" s="17" t="str">
        <x:v>DataFlow</x:v>
      </x:c>
      <x:c r="D28" s="17" t="str">
        <x:v>Lite</x:v>
      </x:c>
      <x:c r="E28" s="29" t="n">
        <x:f>SUMIFS('Priced Usage'!$G$7:$G$3366,'Priced Usage'!$C$7:$C$3366,$A28)</x:f>
        <x:v>659372</x:v>
      </x:c>
      <x:c r="F28" s="29" t="n">
        <x:f>SUMIFS('Priced Usage'!$H$7:$H$3366,'Priced Usage'!$C$7:$C$3366,$A28)</x:f>
        <x:v>120788</x:v>
      </x:c>
      <x:c r="G28" s="29" t="n">
        <x:f>SUMIFS('Priced Usage'!$L$7:$L$3366,'Priced Usage'!$C$7:$C$3366,$A28)</x:f>
        <x:v>780160</x:v>
      </x:c>
      <x:c r="H28" s="29" t="n">
        <x:f>COUNTIFS('Priced Usage'!$C$7:$C$3366,$A28)</x:f>
        <x:v>12</x:v>
      </x:c>
      <x:c r="I28" s="30" t="n">
        <x:f>SUMIFS('Priced Usage'!$M$7:$M$3366,'Priced Usage'!$C$7:$C$3366,$A28)</x:f>
        <x:v>6.593719999999999</x:v>
      </x:c>
      <x:c r="J28" s="30" t="n">
        <x:f>SUMIFS('Priced Usage'!$N$7:$N$3366,'Priced Usage'!$C$7:$C$3366,$A28)</x:f>
        <x:v>3.6236400000000004</x:v>
      </x:c>
      <x:c r="K28" s="30" t="n">
        <x:f>SUMIFS('Priced Usage'!$O$7:$O$3366,'Priced Usage'!$C$7:$C$3366,$A28)</x:f>
        <x:v>10.21736</x:v>
      </x:c>
      <x:c r="L28" s="29" t="n">
        <x:f>COUNTIFS('Priced Usage'!$C$7:$C$3366,$A28,'Priced Usage'!$I$7:$I$3366,"First attempt")</x:f>
        <x:v>1</x:v>
      </x:c>
      <x:c r="M28" s="29" t="n">
        <x:f>COUNTIFS('Priced Usage'!$C$7:$C$3366,$A28,'Priced Usage'!$I$7:$I$3366,"Followup")</x:f>
        <x:v>10</x:v>
      </x:c>
      <x:c r="N28" s="29" t="n">
        <x:f>COUNTIFS('Priced Usage'!$C$7:$C$3366,$A28,'Priced Usage'!$I$7:$I$3366,"Correction")</x:f>
        <x:v>1</x:v>
      </x:c>
    </x:row>
    <x:row r="29" ht="23" customHeight="1">
      <x:c r="A29" s="17" t="str">
        <x:v>W0023</x:v>
      </x:c>
      <x:c r="B29" s="17" t="str">
        <x:v>C001</x:v>
      </x:c>
      <x:c r="C29" s="17" t="str">
        <x:v>InsightDesk</x:v>
      </x:c>
      <x:c r="D29" s="17" t="str">
        <x:v>Pro</x:v>
      </x:c>
      <x:c r="E29" s="29" t="n">
        <x:f>SUMIFS('Priced Usage'!$G$7:$G$3366,'Priced Usage'!$C$7:$C$3366,$A29)</x:f>
        <x:v>174462</x:v>
      </x:c>
      <x:c r="F29" s="29" t="n">
        <x:f>SUMIFS('Priced Usage'!$H$7:$H$3366,'Priced Usage'!$C$7:$C$3366,$A29)</x:f>
        <x:v>59744</x:v>
      </x:c>
      <x:c r="G29" s="29" t="n">
        <x:f>SUMIFS('Priced Usage'!$L$7:$L$3366,'Priced Usage'!$C$7:$C$3366,$A29)</x:f>
        <x:v>234206</x:v>
      </x:c>
      <x:c r="H29" s="29" t="n">
        <x:f>COUNTIFS('Priced Usage'!$C$7:$C$3366,$A29)</x:f>
        <x:v>8</x:v>
      </x:c>
      <x:c r="I29" s="30" t="n">
        <x:f>SUMIFS('Priced Usage'!$M$7:$M$3366,'Priced Usage'!$C$7:$C$3366,$A29)</x:f>
        <x:v>6.97848</x:v>
      </x:c>
      <x:c r="J29" s="30" t="n">
        <x:f>SUMIFS('Priced Usage'!$N$7:$N$3366,'Priced Usage'!$C$7:$C$3366,$A29)</x:f>
        <x:v>5.974399999999999</x:v>
      </x:c>
      <x:c r="K29" s="30" t="n">
        <x:f>SUMIFS('Priced Usage'!$O$7:$O$3366,'Priced Usage'!$C$7:$C$3366,$A29)</x:f>
        <x:v>12.952880000000002</x:v>
      </x:c>
      <x:c r="L29" s="29" t="n">
        <x:f>COUNTIFS('Priced Usage'!$C$7:$C$3366,$A29,'Priced Usage'!$I$7:$I$3366,"First attempt")</x:f>
        <x:v>1</x:v>
      </x:c>
      <x:c r="M29" s="29" t="n">
        <x:f>COUNTIFS('Priced Usage'!$C$7:$C$3366,$A29,'Priced Usage'!$I$7:$I$3366,"Followup")</x:f>
        <x:v>6</x:v>
      </x:c>
      <x:c r="N29" s="29" t="n">
        <x:f>COUNTIFS('Priced Usage'!$C$7:$C$3366,$A29,'Priced Usage'!$I$7:$I$3366,"Correction")</x:f>
        <x:v>1</x:v>
      </x:c>
    </x:row>
    <x:row r="30" ht="23" customHeight="1">
      <x:c r="A30" s="17" t="str">
        <x:v>W0024</x:v>
      </x:c>
      <x:c r="B30" s="17" t="str">
        <x:v>C001</x:v>
      </x:c>
      <x:c r="C30" s="17" t="str">
        <x:v>CampaignChat</x:v>
      </x:c>
      <x:c r="D30" s="17" t="str">
        <x:v>Lite</x:v>
      </x:c>
      <x:c r="E30" s="29" t="n">
        <x:f>SUMIFS('Priced Usage'!$G$7:$G$3366,'Priced Usage'!$C$7:$C$3366,$A30)</x:f>
        <x:v>374816</x:v>
      </x:c>
      <x:c r="F30" s="29" t="n">
        <x:f>SUMIFS('Priced Usage'!$H$7:$H$3366,'Priced Usage'!$C$7:$C$3366,$A30)</x:f>
        <x:v>107305</x:v>
      </x:c>
      <x:c r="G30" s="29" t="n">
        <x:f>SUMIFS('Priced Usage'!$L$7:$L$3366,'Priced Usage'!$C$7:$C$3366,$A30)</x:f>
        <x:v>482121</x:v>
      </x:c>
      <x:c r="H30" s="29" t="n">
        <x:f>COUNTIFS('Priced Usage'!$C$7:$C$3366,$A30)</x:f>
        <x:v>12</x:v>
      </x:c>
      <x:c r="I30" s="30" t="n">
        <x:f>SUMIFS('Priced Usage'!$M$7:$M$3366,'Priced Usage'!$C$7:$C$3366,$A30)</x:f>
        <x:v>3.74816</x:v>
      </x:c>
      <x:c r="J30" s="30" t="n">
        <x:f>SUMIFS('Priced Usage'!$N$7:$N$3366,'Priced Usage'!$C$7:$C$3366,$A30)</x:f>
        <x:v>3.2191500000000004</x:v>
      </x:c>
      <x:c r="K30" s="30" t="n">
        <x:f>SUMIFS('Priced Usage'!$O$7:$O$3366,'Priced Usage'!$C$7:$C$3366,$A30)</x:f>
        <x:v>6.9673099999999994</x:v>
      </x:c>
      <x:c r="L30" s="29" t="n">
        <x:f>COUNTIFS('Priced Usage'!$C$7:$C$3366,$A30,'Priced Usage'!$I$7:$I$3366,"First attempt")</x:f>
        <x:v>1</x:v>
      </x:c>
      <x:c r="M30" s="29" t="n">
        <x:f>COUNTIFS('Priced Usage'!$C$7:$C$3366,$A30,'Priced Usage'!$I$7:$I$3366,"Followup")</x:f>
        <x:v>9</x:v>
      </x:c>
      <x:c r="N30" s="29" t="n">
        <x:f>COUNTIFS('Priced Usage'!$C$7:$C$3366,$A30,'Priced Usage'!$I$7:$I$3366,"Correction")</x:f>
        <x:v>2</x:v>
      </x:c>
    </x:row>
    <x:row r="31" ht="23" customHeight="1">
      <x:c r="A31" s="17" t="str">
        <x:v>W0025</x:v>
      </x:c>
      <x:c r="B31" s="17" t="str">
        <x:v>C001</x:v>
      </x:c>
      <x:c r="C31" s="17" t="str">
        <x:v>CopyStudio</x:v>
      </x:c>
      <x:c r="D31" s="17" t="str">
        <x:v>Lite</x:v>
      </x:c>
      <x:c r="E31" s="29" t="n">
        <x:f>SUMIFS('Priced Usage'!$G$7:$G$3366,'Priced Usage'!$C$7:$C$3366,$A31)</x:f>
        <x:v>295324</x:v>
      </x:c>
      <x:c r="F31" s="29" t="n">
        <x:f>SUMIFS('Priced Usage'!$H$7:$H$3366,'Priced Usage'!$C$7:$C$3366,$A31)</x:f>
        <x:v>103406</x:v>
      </x:c>
      <x:c r="G31" s="29" t="n">
        <x:f>SUMIFS('Priced Usage'!$L$7:$L$3366,'Priced Usage'!$C$7:$C$3366,$A31)</x:f>
        <x:v>398730</x:v>
      </x:c>
      <x:c r="H31" s="29" t="n">
        <x:f>COUNTIFS('Priced Usage'!$C$7:$C$3366,$A31)</x:f>
        <x:v>9</x:v>
      </x:c>
      <x:c r="I31" s="30" t="n">
        <x:f>SUMIFS('Priced Usage'!$M$7:$M$3366,'Priced Usage'!$C$7:$C$3366,$A31)</x:f>
        <x:v>2.9532400000000005</x:v>
      </x:c>
      <x:c r="J31" s="30" t="n">
        <x:f>SUMIFS('Priced Usage'!$N$7:$N$3366,'Priced Usage'!$C$7:$C$3366,$A31)</x:f>
        <x:v>3.1021800000000006</x:v>
      </x:c>
      <x:c r="K31" s="30" t="n">
        <x:f>SUMIFS('Priced Usage'!$O$7:$O$3366,'Priced Usage'!$C$7:$C$3366,$A31)</x:f>
        <x:v>6.055420000000001</x:v>
      </x:c>
      <x:c r="L31" s="29" t="n">
        <x:f>COUNTIFS('Priced Usage'!$C$7:$C$3366,$A31,'Priced Usage'!$I$7:$I$3366,"First attempt")</x:f>
        <x:v>1</x:v>
      </x:c>
      <x:c r="M31" s="29" t="n">
        <x:f>COUNTIFS('Priced Usage'!$C$7:$C$3366,$A31,'Priced Usage'!$I$7:$I$3366,"Followup")</x:f>
        <x:v>7</x:v>
      </x:c>
      <x:c r="N31" s="29" t="n">
        <x:f>COUNTIFS('Priced Usage'!$C$7:$C$3366,$A31,'Priced Usage'!$I$7:$I$3366,"Correction")</x:f>
        <x:v>1</x:v>
      </x:c>
    </x:row>
    <x:row r="32" ht="23" customHeight="1">
      <x:c r="A32" s="17" t="str">
        <x:v>W0026</x:v>
      </x:c>
      <x:c r="B32" s="17" t="str">
        <x:v>C001</x:v>
      </x:c>
      <x:c r="C32" s="17" t="str">
        <x:v>CopyStudio</x:v>
      </x:c>
      <x:c r="D32" s="17" t="str">
        <x:v>Lite</x:v>
      </x:c>
      <x:c r="E32" s="29" t="n">
        <x:f>SUMIFS('Priced Usage'!$G$7:$G$3366,'Priced Usage'!$C$7:$C$3366,$A32)</x:f>
        <x:v>509456</x:v>
      </x:c>
      <x:c r="F32" s="29" t="n">
        <x:f>SUMIFS('Priced Usage'!$H$7:$H$3366,'Priced Usage'!$C$7:$C$3366,$A32)</x:f>
        <x:v>73501</x:v>
      </x:c>
      <x:c r="G32" s="29" t="n">
        <x:f>SUMIFS('Priced Usage'!$L$7:$L$3366,'Priced Usage'!$C$7:$C$3366,$A32)</x:f>
        <x:v>582957</x:v>
      </x:c>
      <x:c r="H32" s="29" t="n">
        <x:f>COUNTIFS('Priced Usage'!$C$7:$C$3366,$A32)</x:f>
        <x:v>12</x:v>
      </x:c>
      <x:c r="I32" s="30" t="n">
        <x:f>SUMIFS('Priced Usage'!$M$7:$M$3366,'Priced Usage'!$C$7:$C$3366,$A32)</x:f>
        <x:v>5.09456</x:v>
      </x:c>
      <x:c r="J32" s="30" t="n">
        <x:f>SUMIFS('Priced Usage'!$N$7:$N$3366,'Priced Usage'!$C$7:$C$3366,$A32)</x:f>
        <x:v>2.2050300000000003</x:v>
      </x:c>
      <x:c r="K32" s="30" t="n">
        <x:f>SUMIFS('Priced Usage'!$O$7:$O$3366,'Priced Usage'!$C$7:$C$3366,$A32)</x:f>
        <x:v>7.299590000000001</x:v>
      </x:c>
      <x:c r="L32" s="29" t="n">
        <x:f>COUNTIFS('Priced Usage'!$C$7:$C$3366,$A32,'Priced Usage'!$I$7:$I$3366,"First attempt")</x:f>
        <x:v>1</x:v>
      </x:c>
      <x:c r="M32" s="29" t="n">
        <x:f>COUNTIFS('Priced Usage'!$C$7:$C$3366,$A32,'Priced Usage'!$I$7:$I$3366,"Followup")</x:f>
        <x:v>10</x:v>
      </x:c>
      <x:c r="N32" s="29" t="n">
        <x:f>COUNTIFS('Priced Usage'!$C$7:$C$3366,$A32,'Priced Usage'!$I$7:$I$3366,"Correction")</x:f>
        <x:v>1</x:v>
      </x:c>
    </x:row>
    <x:row r="33" ht="23" customHeight="1">
      <x:c r="A33" s="17" t="str">
        <x:v>W0027</x:v>
      </x:c>
      <x:c r="B33" s="17" t="str">
        <x:v>C001</x:v>
      </x:c>
      <x:c r="C33" s="17" t="str">
        <x:v>CampaignChat</x:v>
      </x:c>
      <x:c r="D33" s="17" t="str">
        <x:v>Lite</x:v>
      </x:c>
      <x:c r="E33" s="29" t="n">
        <x:f>SUMIFS('Priced Usage'!$G$7:$G$3366,'Priced Usage'!$C$7:$C$3366,$A33)</x:f>
        <x:v>474129</x:v>
      </x:c>
      <x:c r="F33" s="29" t="n">
        <x:f>SUMIFS('Priced Usage'!$H$7:$H$3366,'Priced Usage'!$C$7:$C$3366,$A33)</x:f>
        <x:v>52429</x:v>
      </x:c>
      <x:c r="G33" s="29" t="n">
        <x:f>SUMIFS('Priced Usage'!$L$7:$L$3366,'Priced Usage'!$C$7:$C$3366,$A33)</x:f>
        <x:v>526558</x:v>
      </x:c>
      <x:c r="H33" s="29" t="n">
        <x:f>COUNTIFS('Priced Usage'!$C$7:$C$3366,$A33)</x:f>
        <x:v>9</x:v>
      </x:c>
      <x:c r="I33" s="30" t="n">
        <x:f>SUMIFS('Priced Usage'!$M$7:$M$3366,'Priced Usage'!$C$7:$C$3366,$A33)</x:f>
        <x:v>4.741289999999999</x:v>
      </x:c>
      <x:c r="J33" s="30" t="n">
        <x:f>SUMIFS('Priced Usage'!$N$7:$N$3366,'Priced Usage'!$C$7:$C$3366,$A33)</x:f>
        <x:v>1.57287</x:v>
      </x:c>
      <x:c r="K33" s="30" t="n">
        <x:f>SUMIFS('Priced Usage'!$O$7:$O$3366,'Priced Usage'!$C$7:$C$3366,$A33)</x:f>
        <x:v>6.314159999999999</x:v>
      </x:c>
      <x:c r="L33" s="29" t="n">
        <x:f>COUNTIFS('Priced Usage'!$C$7:$C$3366,$A33,'Priced Usage'!$I$7:$I$3366,"First attempt")</x:f>
        <x:v>1</x:v>
      </x:c>
      <x:c r="M33" s="29" t="n">
        <x:f>COUNTIFS('Priced Usage'!$C$7:$C$3366,$A33,'Priced Usage'!$I$7:$I$3366,"Followup")</x:f>
        <x:v>7</x:v>
      </x:c>
      <x:c r="N33" s="29" t="n">
        <x:f>COUNTIFS('Priced Usage'!$C$7:$C$3366,$A33,'Priced Usage'!$I$7:$I$3366,"Correction")</x:f>
        <x:v>1</x:v>
      </x:c>
    </x:row>
    <x:row r="34" ht="23" customHeight="1">
      <x:c r="A34" s="17" t="str">
        <x:v>W0028</x:v>
      </x:c>
      <x:c r="B34" s="17" t="str">
        <x:v>C001</x:v>
      </x:c>
      <x:c r="C34" s="17" t="str">
        <x:v>CampaignChat</x:v>
      </x:c>
      <x:c r="D34" s="17" t="str">
        <x:v>Lite</x:v>
      </x:c>
      <x:c r="E34" s="29" t="n">
        <x:f>SUMIFS('Priced Usage'!$G$7:$G$3366,'Priced Usage'!$C$7:$C$3366,$A34)</x:f>
        <x:v>230814</x:v>
      </x:c>
      <x:c r="F34" s="29" t="n">
        <x:f>SUMIFS('Priced Usage'!$H$7:$H$3366,'Priced Usage'!$C$7:$C$3366,$A34)</x:f>
        <x:v>106368</x:v>
      </x:c>
      <x:c r="G34" s="29" t="n">
        <x:f>SUMIFS('Priced Usage'!$L$7:$L$3366,'Priced Usage'!$C$7:$C$3366,$A34)</x:f>
        <x:v>337182</x:v>
      </x:c>
      <x:c r="H34" s="29" t="n">
        <x:f>COUNTIFS('Priced Usage'!$C$7:$C$3366,$A34)</x:f>
        <x:v>10</x:v>
      </x:c>
      <x:c r="I34" s="30" t="n">
        <x:f>SUMIFS('Priced Usage'!$M$7:$M$3366,'Priced Usage'!$C$7:$C$3366,$A34)</x:f>
        <x:v>2.3081400000000003</x:v>
      </x:c>
      <x:c r="J34" s="30" t="n">
        <x:f>SUMIFS('Priced Usage'!$N$7:$N$3366,'Priced Usage'!$C$7:$C$3366,$A34)</x:f>
        <x:v>3.191039999999999</x:v>
      </x:c>
      <x:c r="K34" s="30" t="n">
        <x:f>SUMIFS('Priced Usage'!$O$7:$O$3366,'Priced Usage'!$C$7:$C$3366,$A34)</x:f>
        <x:v>5.49918</x:v>
      </x:c>
      <x:c r="L34" s="29" t="n">
        <x:f>COUNTIFS('Priced Usage'!$C$7:$C$3366,$A34,'Priced Usage'!$I$7:$I$3366,"First attempt")</x:f>
        <x:v>1</x:v>
      </x:c>
      <x:c r="M34" s="29" t="n">
        <x:f>COUNTIFS('Priced Usage'!$C$7:$C$3366,$A34,'Priced Usage'!$I$7:$I$3366,"Followup")</x:f>
        <x:v>8</x:v>
      </x:c>
      <x:c r="N34" s="29" t="n">
        <x:f>COUNTIFS('Priced Usage'!$C$7:$C$3366,$A34,'Priced Usage'!$I$7:$I$3366,"Correction")</x:f>
        <x:v>1</x:v>
      </x:c>
    </x:row>
    <x:row r="35" ht="23" customHeight="1">
      <x:c r="A35" s="17" t="str">
        <x:v>W0029</x:v>
      </x:c>
      <x:c r="B35" s="17" t="str">
        <x:v>C001</x:v>
      </x:c>
      <x:c r="C35" s="17" t="str">
        <x:v>CopyStudio</x:v>
      </x:c>
      <x:c r="D35" s="17" t="str">
        <x:v>Lite</x:v>
      </x:c>
      <x:c r="E35" s="29" t="n">
        <x:f>SUMIFS('Priced Usage'!$G$7:$G$3366,'Priced Usage'!$C$7:$C$3366,$A35)</x:f>
        <x:v>433133</x:v>
      </x:c>
      <x:c r="F35" s="29" t="n">
        <x:f>SUMIFS('Priced Usage'!$H$7:$H$3366,'Priced Usage'!$C$7:$C$3366,$A35)</x:f>
        <x:v>90151</x:v>
      </x:c>
      <x:c r="G35" s="29" t="n">
        <x:f>SUMIFS('Priced Usage'!$L$7:$L$3366,'Priced Usage'!$C$7:$C$3366,$A35)</x:f>
        <x:v>523284</x:v>
      </x:c>
      <x:c r="H35" s="29" t="n">
        <x:f>COUNTIFS('Priced Usage'!$C$7:$C$3366,$A35)</x:f>
        <x:v>9</x:v>
      </x:c>
      <x:c r="I35" s="30" t="n">
        <x:f>SUMIFS('Priced Usage'!$M$7:$M$3366,'Priced Usage'!$C$7:$C$3366,$A35)</x:f>
        <x:v>4.33133</x:v>
      </x:c>
      <x:c r="J35" s="30" t="n">
        <x:f>SUMIFS('Priced Usage'!$N$7:$N$3366,'Priced Usage'!$C$7:$C$3366,$A35)</x:f>
        <x:v>2.7045299999999997</x:v>
      </x:c>
      <x:c r="K35" s="30" t="n">
        <x:f>SUMIFS('Priced Usage'!$O$7:$O$3366,'Priced Usage'!$C$7:$C$3366,$A35)</x:f>
        <x:v>7.0358600000000004</x:v>
      </x:c>
      <x:c r="L35" s="29" t="n">
        <x:f>COUNTIFS('Priced Usage'!$C$7:$C$3366,$A35,'Priced Usage'!$I$7:$I$3366,"First attempt")</x:f>
        <x:v>1</x:v>
      </x:c>
      <x:c r="M35" s="29" t="n">
        <x:f>COUNTIFS('Priced Usage'!$C$7:$C$3366,$A35,'Priced Usage'!$I$7:$I$3366,"Followup")</x:f>
        <x:v>7</x:v>
      </x:c>
      <x:c r="N35" s="29" t="n">
        <x:f>COUNTIFS('Priced Usage'!$C$7:$C$3366,$A35,'Priced Usage'!$I$7:$I$3366,"Correction")</x:f>
        <x:v>1</x:v>
      </x:c>
    </x:row>
    <x:row r="36" ht="23" customHeight="1">
      <x:c r="A36" s="17" t="str">
        <x:v>W0030</x:v>
      </x:c>
      <x:c r="B36" s="17" t="str">
        <x:v>C001</x:v>
      </x:c>
      <x:c r="C36" s="17" t="str">
        <x:v>DataFlow</x:v>
      </x:c>
      <x:c r="D36" s="17" t="str">
        <x:v>Lite</x:v>
      </x:c>
      <x:c r="E36" s="29" t="n">
        <x:f>SUMIFS('Priced Usage'!$G$7:$G$3366,'Priced Usage'!$C$7:$C$3366,$A36)</x:f>
        <x:v>332653</x:v>
      </x:c>
      <x:c r="F36" s="29" t="n">
        <x:f>SUMIFS('Priced Usage'!$H$7:$H$3366,'Priced Usage'!$C$7:$C$3366,$A36)</x:f>
        <x:v>62817</x:v>
      </x:c>
      <x:c r="G36" s="29" t="n">
        <x:f>SUMIFS('Priced Usage'!$L$7:$L$3366,'Priced Usage'!$C$7:$C$3366,$A36)</x:f>
        <x:v>395470</x:v>
      </x:c>
      <x:c r="H36" s="29" t="n">
        <x:f>COUNTIFS('Priced Usage'!$C$7:$C$3366,$A36)</x:f>
        <x:v>7</x:v>
      </x:c>
      <x:c r="I36" s="30" t="n">
        <x:f>SUMIFS('Priced Usage'!$M$7:$M$3366,'Priced Usage'!$C$7:$C$3366,$A36)</x:f>
        <x:v>3.32653</x:v>
      </x:c>
      <x:c r="J36" s="30" t="n">
        <x:f>SUMIFS('Priced Usage'!$N$7:$N$3366,'Priced Usage'!$C$7:$C$3366,$A36)</x:f>
        <x:v>1.88451</x:v>
      </x:c>
      <x:c r="K36" s="30" t="n">
        <x:f>SUMIFS('Priced Usage'!$O$7:$O$3366,'Priced Usage'!$C$7:$C$3366,$A36)</x:f>
        <x:v>5.21104</x:v>
      </x:c>
      <x:c r="L36" s="29" t="n">
        <x:f>COUNTIFS('Priced Usage'!$C$7:$C$3366,$A36,'Priced Usage'!$I$7:$I$3366,"First attempt")</x:f>
        <x:v>1</x:v>
      </x:c>
      <x:c r="M36" s="29" t="n">
        <x:f>COUNTIFS('Priced Usage'!$C$7:$C$3366,$A36,'Priced Usage'!$I$7:$I$3366,"Followup")</x:f>
        <x:v>5</x:v>
      </x:c>
      <x:c r="N36" s="29" t="n">
        <x:f>COUNTIFS('Priced Usage'!$C$7:$C$3366,$A36,'Priced Usage'!$I$7:$I$3366,"Correction")</x:f>
        <x:v>1</x:v>
      </x:c>
    </x:row>
    <x:row r="37" ht="23" customHeight="1">
      <x:c r="A37" s="17" t="str">
        <x:v>W0031</x:v>
      </x:c>
      <x:c r="B37" s="17" t="str">
        <x:v>C001</x:v>
      </x:c>
      <x:c r="C37" s="17" t="str">
        <x:v>InsightDesk</x:v>
      </x:c>
      <x:c r="D37" s="17" t="str">
        <x:v>Lite</x:v>
      </x:c>
      <x:c r="E37" s="29" t="n">
        <x:f>SUMIFS('Priced Usage'!$G$7:$G$3366,'Priced Usage'!$C$7:$C$3366,$A37)</x:f>
        <x:v>447950</x:v>
      </x:c>
      <x:c r="F37" s="29" t="n">
        <x:f>SUMIFS('Priced Usage'!$H$7:$H$3366,'Priced Usage'!$C$7:$C$3366,$A37)</x:f>
        <x:v>43142</x:v>
      </x:c>
      <x:c r="G37" s="29" t="n">
        <x:f>SUMIFS('Priced Usage'!$L$7:$L$3366,'Priced Usage'!$C$7:$C$3366,$A37)</x:f>
        <x:v>491092</x:v>
      </x:c>
      <x:c r="H37" s="29" t="n">
        <x:f>COUNTIFS('Priced Usage'!$C$7:$C$3366,$A37)</x:f>
        <x:v>8</x:v>
      </x:c>
      <x:c r="I37" s="30" t="n">
        <x:f>SUMIFS('Priced Usage'!$M$7:$M$3366,'Priced Usage'!$C$7:$C$3366,$A37)</x:f>
        <x:v>4.4795</x:v>
      </x:c>
      <x:c r="J37" s="30" t="n">
        <x:f>SUMIFS('Priced Usage'!$N$7:$N$3366,'Priced Usage'!$C$7:$C$3366,$A37)</x:f>
        <x:v>1.29426</x:v>
      </x:c>
      <x:c r="K37" s="30" t="n">
        <x:f>SUMIFS('Priced Usage'!$O$7:$O$3366,'Priced Usage'!$C$7:$C$3366,$A37)</x:f>
        <x:v>5.77376</x:v>
      </x:c>
      <x:c r="L37" s="29" t="n">
        <x:f>COUNTIFS('Priced Usage'!$C$7:$C$3366,$A37,'Priced Usage'!$I$7:$I$3366,"First attempt")</x:f>
        <x:v>1</x:v>
      </x:c>
      <x:c r="M37" s="29" t="n">
        <x:f>COUNTIFS('Priced Usage'!$C$7:$C$3366,$A37,'Priced Usage'!$I$7:$I$3366,"Followup")</x:f>
        <x:v>6</x:v>
      </x:c>
      <x:c r="N37" s="29" t="n">
        <x:f>COUNTIFS('Priced Usage'!$C$7:$C$3366,$A37,'Priced Usage'!$I$7:$I$3366,"Correction")</x:f>
        <x:v>1</x:v>
      </x:c>
    </x:row>
    <x:row r="38" ht="23" customHeight="1">
      <x:c r="A38" s="17" t="str">
        <x:v>W0032</x:v>
      </x:c>
      <x:c r="B38" s="17" t="str">
        <x:v>C001</x:v>
      </x:c>
      <x:c r="C38" s="17" t="str">
        <x:v>InsightDesk</x:v>
      </x:c>
      <x:c r="D38" s="17" t="str">
        <x:v>Lite</x:v>
      </x:c>
      <x:c r="E38" s="29" t="n">
        <x:f>SUMIFS('Priced Usage'!$G$7:$G$3366,'Priced Usage'!$C$7:$C$3366,$A38)</x:f>
        <x:v>255955</x:v>
      </x:c>
      <x:c r="F38" s="29" t="n">
        <x:f>SUMIFS('Priced Usage'!$H$7:$H$3366,'Priced Usage'!$C$7:$C$3366,$A38)</x:f>
        <x:v>108179</x:v>
      </x:c>
      <x:c r="G38" s="29" t="n">
        <x:f>SUMIFS('Priced Usage'!$L$7:$L$3366,'Priced Usage'!$C$7:$C$3366,$A38)</x:f>
        <x:v>364134</x:v>
      </x:c>
      <x:c r="H38" s="29" t="n">
        <x:f>COUNTIFS('Priced Usage'!$C$7:$C$3366,$A38)</x:f>
        <x:v>11</x:v>
      </x:c>
      <x:c r="I38" s="30" t="n">
        <x:f>SUMIFS('Priced Usage'!$M$7:$M$3366,'Priced Usage'!$C$7:$C$3366,$A38)</x:f>
        <x:v>2.5595499999999998</x:v>
      </x:c>
      <x:c r="J38" s="30" t="n">
        <x:f>SUMIFS('Priced Usage'!$N$7:$N$3366,'Priced Usage'!$C$7:$C$3366,$A38)</x:f>
        <x:v>3.24537</x:v>
      </x:c>
      <x:c r="K38" s="30" t="n">
        <x:f>SUMIFS('Priced Usage'!$O$7:$O$3366,'Priced Usage'!$C$7:$C$3366,$A38)</x:f>
        <x:v>5.804919999999999</x:v>
      </x:c>
      <x:c r="L38" s="29" t="n">
        <x:f>COUNTIFS('Priced Usage'!$C$7:$C$3366,$A38,'Priced Usage'!$I$7:$I$3366,"First attempt")</x:f>
        <x:v>1</x:v>
      </x:c>
      <x:c r="M38" s="29" t="n">
        <x:f>COUNTIFS('Priced Usage'!$C$7:$C$3366,$A38,'Priced Usage'!$I$7:$I$3366,"Followup")</x:f>
        <x:v>9</x:v>
      </x:c>
      <x:c r="N38" s="29" t="n">
        <x:f>COUNTIFS('Priced Usage'!$C$7:$C$3366,$A38,'Priced Usage'!$I$7:$I$3366,"Correction")</x:f>
        <x:v>1</x:v>
      </x:c>
    </x:row>
    <x:row r="39" ht="23" customHeight="1">
      <x:c r="A39" s="17" t="str">
        <x:v>W0033</x:v>
      </x:c>
      <x:c r="B39" s="17" t="str">
        <x:v>C001</x:v>
      </x:c>
      <x:c r="C39" s="17" t="str">
        <x:v>CopyStudio</x:v>
      </x:c>
      <x:c r="D39" s="17" t="str">
        <x:v>Lite</x:v>
      </x:c>
      <x:c r="E39" s="29" t="n">
        <x:f>SUMIFS('Priced Usage'!$G$7:$G$3366,'Priced Usage'!$C$7:$C$3366,$A39)</x:f>
        <x:v>263264</x:v>
      </x:c>
      <x:c r="F39" s="29" t="n">
        <x:f>SUMIFS('Priced Usage'!$H$7:$H$3366,'Priced Usage'!$C$7:$C$3366,$A39)</x:f>
        <x:v>105355</x:v>
      </x:c>
      <x:c r="G39" s="29" t="n">
        <x:f>SUMIFS('Priced Usage'!$L$7:$L$3366,'Priced Usage'!$C$7:$C$3366,$A39)</x:f>
        <x:v>368619</x:v>
      </x:c>
      <x:c r="H39" s="29" t="n">
        <x:f>COUNTIFS('Priced Usage'!$C$7:$C$3366,$A39)</x:f>
        <x:v>10</x:v>
      </x:c>
      <x:c r="I39" s="30" t="n">
        <x:f>SUMIFS('Priced Usage'!$M$7:$M$3366,'Priced Usage'!$C$7:$C$3366,$A39)</x:f>
        <x:v>2.6326400000000003</x:v>
      </x:c>
      <x:c r="J39" s="30" t="n">
        <x:f>SUMIFS('Priced Usage'!$N$7:$N$3366,'Priced Usage'!$C$7:$C$3366,$A39)</x:f>
        <x:v>3.16065</x:v>
      </x:c>
      <x:c r="K39" s="30" t="n">
        <x:f>SUMIFS('Priced Usage'!$O$7:$O$3366,'Priced Usage'!$C$7:$C$3366,$A39)</x:f>
        <x:v>5.79329</x:v>
      </x:c>
      <x:c r="L39" s="29" t="n">
        <x:f>COUNTIFS('Priced Usage'!$C$7:$C$3366,$A39,'Priced Usage'!$I$7:$I$3366,"First attempt")</x:f>
        <x:v>1</x:v>
      </x:c>
      <x:c r="M39" s="29" t="n">
        <x:f>COUNTIFS('Priced Usage'!$C$7:$C$3366,$A39,'Priced Usage'!$I$7:$I$3366,"Followup")</x:f>
        <x:v>8</x:v>
      </x:c>
      <x:c r="N39" s="29" t="n">
        <x:f>COUNTIFS('Priced Usage'!$C$7:$C$3366,$A39,'Priced Usage'!$I$7:$I$3366,"Correction")</x:f>
        <x:v>1</x:v>
      </x:c>
    </x:row>
    <x:row r="40" ht="23" customHeight="1">
      <x:c r="A40" s="17" t="str">
        <x:v>W0034</x:v>
      </x:c>
      <x:c r="B40" s="17" t="str">
        <x:v>C001</x:v>
      </x:c>
      <x:c r="C40" s="17" t="str">
        <x:v>CopyStudio</x:v>
      </x:c>
      <x:c r="D40" s="17" t="str">
        <x:v>Lite</x:v>
      </x:c>
      <x:c r="E40" s="29" t="n">
        <x:f>SUMIFS('Priced Usage'!$G$7:$G$3366,'Priced Usage'!$C$7:$C$3366,$A40)</x:f>
        <x:v>497355</x:v>
      </x:c>
      <x:c r="F40" s="29" t="n">
        <x:f>SUMIFS('Priced Usage'!$H$7:$H$3366,'Priced Usage'!$C$7:$C$3366,$A40)</x:f>
        <x:v>97642</x:v>
      </x:c>
      <x:c r="G40" s="29" t="n">
        <x:f>SUMIFS('Priced Usage'!$L$7:$L$3366,'Priced Usage'!$C$7:$C$3366,$A40)</x:f>
        <x:v>594997</x:v>
      </x:c>
      <x:c r="H40" s="29" t="n">
        <x:f>COUNTIFS('Priced Usage'!$C$7:$C$3366,$A40)</x:f>
        <x:v>10</x:v>
      </x:c>
      <x:c r="I40" s="30" t="n">
        <x:f>SUMIFS('Priced Usage'!$M$7:$M$3366,'Priced Usage'!$C$7:$C$3366,$A40)</x:f>
        <x:v>4.97355</x:v>
      </x:c>
      <x:c r="J40" s="30" t="n">
        <x:f>SUMIFS('Priced Usage'!$N$7:$N$3366,'Priced Usage'!$C$7:$C$3366,$A40)</x:f>
        <x:v>2.92926</x:v>
      </x:c>
      <x:c r="K40" s="30" t="n">
        <x:f>SUMIFS('Priced Usage'!$O$7:$O$3366,'Priced Usage'!$C$7:$C$3366,$A40)</x:f>
        <x:v>7.90281</x:v>
      </x:c>
      <x:c r="L40" s="29" t="n">
        <x:f>COUNTIFS('Priced Usage'!$C$7:$C$3366,$A40,'Priced Usage'!$I$7:$I$3366,"First attempt")</x:f>
        <x:v>1</x:v>
      </x:c>
      <x:c r="M40" s="29" t="n">
        <x:f>COUNTIFS('Priced Usage'!$C$7:$C$3366,$A40,'Priced Usage'!$I$7:$I$3366,"Followup")</x:f>
        <x:v>8</x:v>
      </x:c>
      <x:c r="N40" s="29" t="n">
        <x:f>COUNTIFS('Priced Usage'!$C$7:$C$3366,$A40,'Priced Usage'!$I$7:$I$3366,"Correction")</x:f>
        <x:v>1</x:v>
      </x:c>
    </x:row>
    <x:row r="41" ht="23" customHeight="1">
      <x:c r="A41" s="17" t="str">
        <x:v>W0035</x:v>
      </x:c>
      <x:c r="B41" s="17" t="str">
        <x:v>C001</x:v>
      </x:c>
      <x:c r="C41" s="17" t="str">
        <x:v>CampaignChat</x:v>
      </x:c>
      <x:c r="D41" s="17" t="str">
        <x:v>Lite</x:v>
      </x:c>
      <x:c r="E41" s="29" t="n">
        <x:f>SUMIFS('Priced Usage'!$G$7:$G$3366,'Priced Usage'!$C$7:$C$3366,$A41)</x:f>
        <x:v>220774</x:v>
      </x:c>
      <x:c r="F41" s="29" t="n">
        <x:f>SUMIFS('Priced Usage'!$H$7:$H$3366,'Priced Usage'!$C$7:$C$3366,$A41)</x:f>
        <x:v>39464</x:v>
      </x:c>
      <x:c r="G41" s="29" t="n">
        <x:f>SUMIFS('Priced Usage'!$L$7:$L$3366,'Priced Usage'!$C$7:$C$3366,$A41)</x:f>
        <x:v>260238</x:v>
      </x:c>
      <x:c r="H41" s="29" t="n">
        <x:f>COUNTIFS('Priced Usage'!$C$7:$C$3366,$A41)</x:f>
        <x:v>7</x:v>
      </x:c>
      <x:c r="I41" s="30" t="n">
        <x:f>SUMIFS('Priced Usage'!$M$7:$M$3366,'Priced Usage'!$C$7:$C$3366,$A41)</x:f>
        <x:v>2.20774</x:v>
      </x:c>
      <x:c r="J41" s="30" t="n">
        <x:f>SUMIFS('Priced Usage'!$N$7:$N$3366,'Priced Usage'!$C$7:$C$3366,$A41)</x:f>
        <x:v>1.18392</x:v>
      </x:c>
      <x:c r="K41" s="30" t="n">
        <x:f>SUMIFS('Priced Usage'!$O$7:$O$3366,'Priced Usage'!$C$7:$C$3366,$A41)</x:f>
        <x:v>3.39166</x:v>
      </x:c>
      <x:c r="L41" s="29" t="n">
        <x:f>COUNTIFS('Priced Usage'!$C$7:$C$3366,$A41,'Priced Usage'!$I$7:$I$3366,"First attempt")</x:f>
        <x:v>1</x:v>
      </x:c>
      <x:c r="M41" s="29" t="n">
        <x:f>COUNTIFS('Priced Usage'!$C$7:$C$3366,$A41,'Priced Usage'!$I$7:$I$3366,"Followup")</x:f>
        <x:v>6</x:v>
      </x:c>
      <x:c r="N41" s="29" t="n">
        <x:f>COUNTIFS('Priced Usage'!$C$7:$C$3366,$A41,'Priced Usage'!$I$7:$I$3366,"Correction")</x:f>
        <x:v>0</x:v>
      </x:c>
    </x:row>
    <x:row r="42" ht="23" customHeight="1">
      <x:c r="A42" s="17" t="str">
        <x:v>W0036</x:v>
      </x:c>
      <x:c r="B42" s="17" t="str">
        <x:v>C001</x:v>
      </x:c>
      <x:c r="C42" s="17" t="str">
        <x:v>CampaignChat</x:v>
      </x:c>
      <x:c r="D42" s="17" t="str">
        <x:v>Lite</x:v>
      </x:c>
      <x:c r="E42" s="29" t="n">
        <x:f>SUMIFS('Priced Usage'!$G$7:$G$3366,'Priced Usage'!$C$7:$C$3366,$A42)</x:f>
        <x:v>559461</x:v>
      </x:c>
      <x:c r="F42" s="29" t="n">
        <x:f>SUMIFS('Priced Usage'!$H$7:$H$3366,'Priced Usage'!$C$7:$C$3366,$A42)</x:f>
        <x:v>94747</x:v>
      </x:c>
      <x:c r="G42" s="29" t="n">
        <x:f>SUMIFS('Priced Usage'!$L$7:$L$3366,'Priced Usage'!$C$7:$C$3366,$A42)</x:f>
        <x:v>654208</x:v>
      </x:c>
      <x:c r="H42" s="29" t="n">
        <x:f>COUNTIFS('Priced Usage'!$C$7:$C$3366,$A42)</x:f>
        <x:v>11</x:v>
      </x:c>
      <x:c r="I42" s="30" t="n">
        <x:f>SUMIFS('Priced Usage'!$M$7:$M$3366,'Priced Usage'!$C$7:$C$3366,$A42)</x:f>
        <x:v>5.594609999999999</x:v>
      </x:c>
      <x:c r="J42" s="30" t="n">
        <x:f>SUMIFS('Priced Usage'!$N$7:$N$3366,'Priced Usage'!$C$7:$C$3366,$A42)</x:f>
        <x:v>2.8424099999999997</x:v>
      </x:c>
      <x:c r="K42" s="30" t="n">
        <x:f>SUMIFS('Priced Usage'!$O$7:$O$3366,'Priced Usage'!$C$7:$C$3366,$A42)</x:f>
        <x:v>8.43702</x:v>
      </x:c>
      <x:c r="L42" s="29" t="n">
        <x:f>COUNTIFS('Priced Usage'!$C$7:$C$3366,$A42,'Priced Usage'!$I$7:$I$3366,"First attempt")</x:f>
        <x:v>1</x:v>
      </x:c>
      <x:c r="M42" s="29" t="n">
        <x:f>COUNTIFS('Priced Usage'!$C$7:$C$3366,$A42,'Priced Usage'!$I$7:$I$3366,"Followup")</x:f>
        <x:v>8</x:v>
      </x:c>
      <x:c r="N42" s="29" t="n">
        <x:f>COUNTIFS('Priced Usage'!$C$7:$C$3366,$A42,'Priced Usage'!$I$7:$I$3366,"Correction")</x:f>
        <x:v>2</x:v>
      </x:c>
    </x:row>
    <x:row r="43" ht="23" customHeight="1">
      <x:c r="A43" s="17" t="str">
        <x:v>W0037</x:v>
      </x:c>
      <x:c r="B43" s="17" t="str">
        <x:v>C001</x:v>
      </x:c>
      <x:c r="C43" s="17" t="str">
        <x:v>DataFlow</x:v>
      </x:c>
      <x:c r="D43" s="17" t="str">
        <x:v>Lite</x:v>
      </x:c>
      <x:c r="E43" s="29" t="n">
        <x:f>SUMIFS('Priced Usage'!$G$7:$G$3366,'Priced Usage'!$C$7:$C$3366,$A43)</x:f>
        <x:v>472175</x:v>
      </x:c>
      <x:c r="F43" s="29" t="n">
        <x:f>SUMIFS('Priced Usage'!$H$7:$H$3366,'Priced Usage'!$C$7:$C$3366,$A43)</x:f>
        <x:v>123639</x:v>
      </x:c>
      <x:c r="G43" s="29" t="n">
        <x:f>SUMIFS('Priced Usage'!$L$7:$L$3366,'Priced Usage'!$C$7:$C$3366,$A43)</x:f>
        <x:v>595814</x:v>
      </x:c>
      <x:c r="H43" s="29" t="n">
        <x:f>COUNTIFS('Priced Usage'!$C$7:$C$3366,$A43)</x:f>
        <x:v>11</x:v>
      </x:c>
      <x:c r="I43" s="30" t="n">
        <x:f>SUMIFS('Priced Usage'!$M$7:$M$3366,'Priced Usage'!$C$7:$C$3366,$A43)</x:f>
        <x:v>4.721750000000001</x:v>
      </x:c>
      <x:c r="J43" s="30" t="n">
        <x:f>SUMIFS('Priced Usage'!$N$7:$N$3366,'Priced Usage'!$C$7:$C$3366,$A43)</x:f>
        <x:v>3.7091700000000003</x:v>
      </x:c>
      <x:c r="K43" s="30" t="n">
        <x:f>SUMIFS('Priced Usage'!$O$7:$O$3366,'Priced Usage'!$C$7:$C$3366,$A43)</x:f>
        <x:v>8.43092</x:v>
      </x:c>
      <x:c r="L43" s="29" t="n">
        <x:f>COUNTIFS('Priced Usage'!$C$7:$C$3366,$A43,'Priced Usage'!$I$7:$I$3366,"First attempt")</x:f>
        <x:v>1</x:v>
      </x:c>
      <x:c r="M43" s="29" t="n">
        <x:f>COUNTIFS('Priced Usage'!$C$7:$C$3366,$A43,'Priced Usage'!$I$7:$I$3366,"Followup")</x:f>
        <x:v>9</x:v>
      </x:c>
      <x:c r="N43" s="29" t="n">
        <x:f>COUNTIFS('Priced Usage'!$C$7:$C$3366,$A43,'Priced Usage'!$I$7:$I$3366,"Correction")</x:f>
        <x:v>1</x:v>
      </x:c>
    </x:row>
    <x:row r="44" ht="23" customHeight="1">
      <x:c r="A44" s="17" t="str">
        <x:v>W0038</x:v>
      </x:c>
      <x:c r="B44" s="17" t="str">
        <x:v>C001</x:v>
      </x:c>
      <x:c r="C44" s="17" t="str">
        <x:v>DataFlow</x:v>
      </x:c>
      <x:c r="D44" s="17" t="str">
        <x:v>Pro</x:v>
      </x:c>
      <x:c r="E44" s="29" t="n">
        <x:f>SUMIFS('Priced Usage'!$G$7:$G$3366,'Priced Usage'!$C$7:$C$3366,$A44)</x:f>
        <x:v>104495</x:v>
      </x:c>
      <x:c r="F44" s="29" t="n">
        <x:f>SUMIFS('Priced Usage'!$H$7:$H$3366,'Priced Usage'!$C$7:$C$3366,$A44)</x:f>
        <x:v>106942</x:v>
      </x:c>
      <x:c r="G44" s="29" t="n">
        <x:f>SUMIFS('Priced Usage'!$L$7:$L$3366,'Priced Usage'!$C$7:$C$3366,$A44)</x:f>
        <x:v>211437</x:v>
      </x:c>
      <x:c r="H44" s="29" t="n">
        <x:f>COUNTIFS('Priced Usage'!$C$7:$C$3366,$A44)</x:f>
        <x:v>10</x:v>
      </x:c>
      <x:c r="I44" s="30" t="n">
        <x:f>SUMIFS('Priced Usage'!$M$7:$M$3366,'Priced Usage'!$C$7:$C$3366,$A44)</x:f>
        <x:v>4.1798</x:v>
      </x:c>
      <x:c r="J44" s="30" t="n">
        <x:f>SUMIFS('Priced Usage'!$N$7:$N$3366,'Priced Usage'!$C$7:$C$3366,$A44)</x:f>
        <x:v>10.6942</x:v>
      </x:c>
      <x:c r="K44" s="30" t="n">
        <x:f>SUMIFS('Priced Usage'!$O$7:$O$3366,'Priced Usage'!$C$7:$C$3366,$A44)</x:f>
        <x:v>14.873999999999999</x:v>
      </x:c>
      <x:c r="L44" s="29" t="n">
        <x:f>COUNTIFS('Priced Usage'!$C$7:$C$3366,$A44,'Priced Usage'!$I$7:$I$3366,"First attempt")</x:f>
        <x:v>1</x:v>
      </x:c>
      <x:c r="M44" s="29" t="n">
        <x:f>COUNTIFS('Priced Usage'!$C$7:$C$3366,$A44,'Priced Usage'!$I$7:$I$3366,"Followup")</x:f>
        <x:v>8</x:v>
      </x:c>
      <x:c r="N44" s="29" t="n">
        <x:f>COUNTIFS('Priced Usage'!$C$7:$C$3366,$A44,'Priced Usage'!$I$7:$I$3366,"Correction")</x:f>
        <x:v>1</x:v>
      </x:c>
    </x:row>
    <x:row r="45" ht="23" customHeight="1">
      <x:c r="A45" s="17" t="str">
        <x:v>W0039</x:v>
      </x:c>
      <x:c r="B45" s="17" t="str">
        <x:v>C001</x:v>
      </x:c>
      <x:c r="C45" s="17" t="str">
        <x:v>InsightDesk</x:v>
      </x:c>
      <x:c r="D45" s="17" t="str">
        <x:v>Lite</x:v>
      </x:c>
      <x:c r="E45" s="29" t="n">
        <x:f>SUMIFS('Priced Usage'!$G$7:$G$3366,'Priced Usage'!$C$7:$C$3366,$A45)</x:f>
        <x:v>510223</x:v>
      </x:c>
      <x:c r="F45" s="29" t="n">
        <x:f>SUMIFS('Priced Usage'!$H$7:$H$3366,'Priced Usage'!$C$7:$C$3366,$A45)</x:f>
        <x:v>48659</x:v>
      </x:c>
      <x:c r="G45" s="29" t="n">
        <x:f>SUMIFS('Priced Usage'!$L$7:$L$3366,'Priced Usage'!$C$7:$C$3366,$A45)</x:f>
        <x:v>558882</x:v>
      </x:c>
      <x:c r="H45" s="29" t="n">
        <x:f>COUNTIFS('Priced Usage'!$C$7:$C$3366,$A45)</x:f>
        <x:v>9</x:v>
      </x:c>
      <x:c r="I45" s="30" t="n">
        <x:f>SUMIFS('Priced Usage'!$M$7:$M$3366,'Priced Usage'!$C$7:$C$3366,$A45)</x:f>
        <x:v>5.10223</x:v>
      </x:c>
      <x:c r="J45" s="30" t="n">
        <x:f>SUMIFS('Priced Usage'!$N$7:$N$3366,'Priced Usage'!$C$7:$C$3366,$A45)</x:f>
        <x:v>1.45977</x:v>
      </x:c>
      <x:c r="K45" s="30" t="n">
        <x:f>SUMIFS('Priced Usage'!$O$7:$O$3366,'Priced Usage'!$C$7:$C$3366,$A45)</x:f>
        <x:v>6.561999999999999</x:v>
      </x:c>
      <x:c r="L45" s="29" t="n">
        <x:f>COUNTIFS('Priced Usage'!$C$7:$C$3366,$A45,'Priced Usage'!$I$7:$I$3366,"First attempt")</x:f>
        <x:v>1</x:v>
      </x:c>
      <x:c r="M45" s="29" t="n">
        <x:f>COUNTIFS('Priced Usage'!$C$7:$C$3366,$A45,'Priced Usage'!$I$7:$I$3366,"Followup")</x:f>
        <x:v>7</x:v>
      </x:c>
      <x:c r="N45" s="29" t="n">
        <x:f>COUNTIFS('Priced Usage'!$C$7:$C$3366,$A45,'Priced Usage'!$I$7:$I$3366,"Correction")</x:f>
        <x:v>1</x:v>
      </x:c>
    </x:row>
    <x:row r="46" ht="23" customHeight="1">
      <x:c r="A46" s="17" t="str">
        <x:v>W0040</x:v>
      </x:c>
      <x:c r="B46" s="17" t="str">
        <x:v>C001</x:v>
      </x:c>
      <x:c r="C46" s="17" t="str">
        <x:v>InsightDesk</x:v>
      </x:c>
      <x:c r="D46" s="17" t="str">
        <x:v>Lite</x:v>
      </x:c>
      <x:c r="E46" s="29" t="n">
        <x:f>SUMIFS('Priced Usage'!$G$7:$G$3366,'Priced Usage'!$C$7:$C$3366,$A46)</x:f>
        <x:v>269052</x:v>
      </x:c>
      <x:c r="F46" s="29" t="n">
        <x:f>SUMIFS('Priced Usage'!$H$7:$H$3366,'Priced Usage'!$C$7:$C$3366,$A46)</x:f>
        <x:v>73144</x:v>
      </x:c>
      <x:c r="G46" s="29" t="n">
        <x:f>SUMIFS('Priced Usage'!$L$7:$L$3366,'Priced Usage'!$C$7:$C$3366,$A46)</x:f>
        <x:v>342196</x:v>
      </x:c>
      <x:c r="H46" s="29" t="n">
        <x:f>COUNTIFS('Priced Usage'!$C$7:$C$3366,$A46)</x:f>
        <x:v>9</x:v>
      </x:c>
      <x:c r="I46" s="30" t="n">
        <x:f>SUMIFS('Priced Usage'!$M$7:$M$3366,'Priced Usage'!$C$7:$C$3366,$A46)</x:f>
        <x:v>2.69052</x:v>
      </x:c>
      <x:c r="J46" s="30" t="n">
        <x:f>SUMIFS('Priced Usage'!$N$7:$N$3366,'Priced Usage'!$C$7:$C$3366,$A46)</x:f>
        <x:v>2.1943200000000003</x:v>
      </x:c>
      <x:c r="K46" s="30" t="n">
        <x:f>SUMIFS('Priced Usage'!$O$7:$O$3366,'Priced Usage'!$C$7:$C$3366,$A46)</x:f>
        <x:v>4.8848400000000005</x:v>
      </x:c>
      <x:c r="L46" s="29" t="n">
        <x:f>COUNTIFS('Priced Usage'!$C$7:$C$3366,$A46,'Priced Usage'!$I$7:$I$3366,"First attempt")</x:f>
        <x:v>1</x:v>
      </x:c>
      <x:c r="M46" s="29" t="n">
        <x:f>COUNTIFS('Priced Usage'!$C$7:$C$3366,$A46,'Priced Usage'!$I$7:$I$3366,"Followup")</x:f>
        <x:v>7</x:v>
      </x:c>
      <x:c r="N46" s="29" t="n">
        <x:f>COUNTIFS('Priced Usage'!$C$7:$C$3366,$A46,'Priced Usage'!$I$7:$I$3366,"Correction")</x:f>
        <x:v>1</x:v>
      </x:c>
    </x:row>
    <x:row r="47" ht="23" customHeight="1">
      <x:c r="A47" s="17" t="str">
        <x:v>W0041</x:v>
      </x:c>
      <x:c r="B47" s="17" t="str">
        <x:v>C001</x:v>
      </x:c>
      <x:c r="C47" s="17" t="str">
        <x:v>CopyStudio</x:v>
      </x:c>
      <x:c r="D47" s="17" t="str">
        <x:v>Lite</x:v>
      </x:c>
      <x:c r="E47" s="29" t="n">
        <x:f>SUMIFS('Priced Usage'!$G$7:$G$3366,'Priced Usage'!$C$7:$C$3366,$A47)</x:f>
        <x:v>552806</x:v>
      </x:c>
      <x:c r="F47" s="29" t="n">
        <x:f>SUMIFS('Priced Usage'!$H$7:$H$3366,'Priced Usage'!$C$7:$C$3366,$A47)</x:f>
        <x:v>72740</x:v>
      </x:c>
      <x:c r="G47" s="29" t="n">
        <x:f>SUMIFS('Priced Usage'!$L$7:$L$3366,'Priced Usage'!$C$7:$C$3366,$A47)</x:f>
        <x:v>625546</x:v>
      </x:c>
      <x:c r="H47" s="29" t="n">
        <x:f>COUNTIFS('Priced Usage'!$C$7:$C$3366,$A47)</x:f>
        <x:v>10</x:v>
      </x:c>
      <x:c r="I47" s="30" t="n">
        <x:f>SUMIFS('Priced Usage'!$M$7:$M$3366,'Priced Usage'!$C$7:$C$3366,$A47)</x:f>
        <x:v>5.52806</x:v>
      </x:c>
      <x:c r="J47" s="30" t="n">
        <x:f>SUMIFS('Priced Usage'!$N$7:$N$3366,'Priced Usage'!$C$7:$C$3366,$A47)</x:f>
        <x:v>2.1822</x:v>
      </x:c>
      <x:c r="K47" s="30" t="n">
        <x:f>SUMIFS('Priced Usage'!$O$7:$O$3366,'Priced Usage'!$C$7:$C$3366,$A47)</x:f>
        <x:v>7.71026</x:v>
      </x:c>
      <x:c r="L47" s="29" t="n">
        <x:f>COUNTIFS('Priced Usage'!$C$7:$C$3366,$A47,'Priced Usage'!$I$7:$I$3366,"First attempt")</x:f>
        <x:v>1</x:v>
      </x:c>
      <x:c r="M47" s="29" t="n">
        <x:f>COUNTIFS('Priced Usage'!$C$7:$C$3366,$A47,'Priced Usage'!$I$7:$I$3366,"Followup")</x:f>
        <x:v>8</x:v>
      </x:c>
      <x:c r="N47" s="29" t="n">
        <x:f>COUNTIFS('Priced Usage'!$C$7:$C$3366,$A47,'Priced Usage'!$I$7:$I$3366,"Correction")</x:f>
        <x:v>1</x:v>
      </x:c>
    </x:row>
    <x:row r="48" ht="23" customHeight="1">
      <x:c r="A48" s="17" t="str">
        <x:v>W0042</x:v>
      </x:c>
      <x:c r="B48" s="17" t="str">
        <x:v>C001</x:v>
      </x:c>
      <x:c r="C48" s="17" t="str">
        <x:v>CampaignChat</x:v>
      </x:c>
      <x:c r="D48" s="17" t="str">
        <x:v>Lite</x:v>
      </x:c>
      <x:c r="E48" s="29" t="n">
        <x:f>SUMIFS('Priced Usage'!$G$7:$G$3366,'Priced Usage'!$C$7:$C$3366,$A48)</x:f>
        <x:v>224899</x:v>
      </x:c>
      <x:c r="F48" s="29" t="n">
        <x:f>SUMIFS('Priced Usage'!$H$7:$H$3366,'Priced Usage'!$C$7:$C$3366,$A48)</x:f>
        <x:v>68721</x:v>
      </x:c>
      <x:c r="G48" s="29" t="n">
        <x:f>SUMIFS('Priced Usage'!$L$7:$L$3366,'Priced Usage'!$C$7:$C$3366,$A48)</x:f>
        <x:v>293620</x:v>
      </x:c>
      <x:c r="H48" s="29" t="n">
        <x:f>COUNTIFS('Priced Usage'!$C$7:$C$3366,$A48)</x:f>
        <x:v>10</x:v>
      </x:c>
      <x:c r="I48" s="30" t="n">
        <x:f>SUMIFS('Priced Usage'!$M$7:$M$3366,'Priced Usage'!$C$7:$C$3366,$A48)</x:f>
        <x:v>2.2489899999999996</x:v>
      </x:c>
      <x:c r="J48" s="30" t="n">
        <x:f>SUMIFS('Priced Usage'!$N$7:$N$3366,'Priced Usage'!$C$7:$C$3366,$A48)</x:f>
        <x:v>2.06163</x:v>
      </x:c>
      <x:c r="K48" s="30" t="n">
        <x:f>SUMIFS('Priced Usage'!$O$7:$O$3366,'Priced Usage'!$C$7:$C$3366,$A48)</x:f>
        <x:v>4.31062</x:v>
      </x:c>
      <x:c r="L48" s="29" t="n">
        <x:f>COUNTIFS('Priced Usage'!$C$7:$C$3366,$A48,'Priced Usage'!$I$7:$I$3366,"First attempt")</x:f>
        <x:v>1</x:v>
      </x:c>
      <x:c r="M48" s="29" t="n">
        <x:f>COUNTIFS('Priced Usage'!$C$7:$C$3366,$A48,'Priced Usage'!$I$7:$I$3366,"Followup")</x:f>
        <x:v>8</x:v>
      </x:c>
      <x:c r="N48" s="29" t="n">
        <x:f>COUNTIFS('Priced Usage'!$C$7:$C$3366,$A48,'Priced Usage'!$I$7:$I$3366,"Correction")</x:f>
        <x:v>1</x:v>
      </x:c>
    </x:row>
    <x:row r="49" ht="23" customHeight="1">
      <x:c r="A49" s="17" t="str">
        <x:v>W0043</x:v>
      </x:c>
      <x:c r="B49" s="17" t="str">
        <x:v>C001</x:v>
      </x:c>
      <x:c r="C49" s="17" t="str">
        <x:v>CampaignChat</x:v>
      </x:c>
      <x:c r="D49" s="17" t="str">
        <x:v>Lite</x:v>
      </x:c>
      <x:c r="E49" s="29" t="n">
        <x:f>SUMIFS('Priced Usage'!$G$7:$G$3366,'Priced Usage'!$C$7:$C$3366,$A49)</x:f>
        <x:v>383868</x:v>
      </x:c>
      <x:c r="F49" s="29" t="n">
        <x:f>SUMIFS('Priced Usage'!$H$7:$H$3366,'Priced Usage'!$C$7:$C$3366,$A49)</x:f>
        <x:v>58416</x:v>
      </x:c>
      <x:c r="G49" s="29" t="n">
        <x:f>SUMIFS('Priced Usage'!$L$7:$L$3366,'Priced Usage'!$C$7:$C$3366,$A49)</x:f>
        <x:v>442284</x:v>
      </x:c>
      <x:c r="H49" s="29" t="n">
        <x:f>COUNTIFS('Priced Usage'!$C$7:$C$3366,$A49)</x:f>
        <x:v>10</x:v>
      </x:c>
      <x:c r="I49" s="30" t="n">
        <x:f>SUMIFS('Priced Usage'!$M$7:$M$3366,'Priced Usage'!$C$7:$C$3366,$A49)</x:f>
        <x:v>3.8386799999999996</x:v>
      </x:c>
      <x:c r="J49" s="30" t="n">
        <x:f>SUMIFS('Priced Usage'!$N$7:$N$3366,'Priced Usage'!$C$7:$C$3366,$A49)</x:f>
        <x:v>1.7524800000000003</x:v>
      </x:c>
      <x:c r="K49" s="30" t="n">
        <x:f>SUMIFS('Priced Usage'!$O$7:$O$3366,'Priced Usage'!$C$7:$C$3366,$A49)</x:f>
        <x:v>5.59116</x:v>
      </x:c>
      <x:c r="L49" s="29" t="n">
        <x:f>COUNTIFS('Priced Usage'!$C$7:$C$3366,$A49,'Priced Usage'!$I$7:$I$3366,"First attempt")</x:f>
        <x:v>1</x:v>
      </x:c>
      <x:c r="M49" s="29" t="n">
        <x:f>COUNTIFS('Priced Usage'!$C$7:$C$3366,$A49,'Priced Usage'!$I$7:$I$3366,"Followup")</x:f>
        <x:v>8</x:v>
      </x:c>
      <x:c r="N49" s="29" t="n">
        <x:f>COUNTIFS('Priced Usage'!$C$7:$C$3366,$A49,'Priced Usage'!$I$7:$I$3366,"Correction")</x:f>
        <x:v>1</x:v>
      </x:c>
    </x:row>
    <x:row r="50" ht="23" customHeight="1">
      <x:c r="A50" s="17" t="str">
        <x:v>W0044</x:v>
      </x:c>
      <x:c r="B50" s="17" t="str">
        <x:v>C001</x:v>
      </x:c>
      <x:c r="C50" s="17" t="str">
        <x:v>CampaignChat</x:v>
      </x:c>
      <x:c r="D50" s="17" t="str">
        <x:v>Pro</x:v>
      </x:c>
      <x:c r="E50" s="29" t="n">
        <x:f>SUMIFS('Priced Usage'!$G$7:$G$3366,'Priced Usage'!$C$7:$C$3366,$A50)</x:f>
        <x:v>235395</x:v>
      </x:c>
      <x:c r="F50" s="29" t="n">
        <x:f>SUMIFS('Priced Usage'!$H$7:$H$3366,'Priced Usage'!$C$7:$C$3366,$A50)</x:f>
        <x:v>79156</x:v>
      </x:c>
      <x:c r="G50" s="29" t="n">
        <x:f>SUMIFS('Priced Usage'!$L$7:$L$3366,'Priced Usage'!$C$7:$C$3366,$A50)</x:f>
        <x:v>314551</x:v>
      </x:c>
      <x:c r="H50" s="29" t="n">
        <x:f>COUNTIFS('Priced Usage'!$C$7:$C$3366,$A50)</x:f>
        <x:v>11</x:v>
      </x:c>
      <x:c r="I50" s="30" t="n">
        <x:f>SUMIFS('Priced Usage'!$M$7:$M$3366,'Priced Usage'!$C$7:$C$3366,$A50)</x:f>
        <x:v>9.4158</x:v>
      </x:c>
      <x:c r="J50" s="30" t="n">
        <x:f>SUMIFS('Priced Usage'!$N$7:$N$3366,'Priced Usage'!$C$7:$C$3366,$A50)</x:f>
        <x:v>7.915600000000001</x:v>
      </x:c>
      <x:c r="K50" s="30" t="n">
        <x:f>SUMIFS('Priced Usage'!$O$7:$O$3366,'Priced Usage'!$C$7:$C$3366,$A50)</x:f>
        <x:v>17.331400000000002</x:v>
      </x:c>
      <x:c r="L50" s="29" t="n">
        <x:f>COUNTIFS('Priced Usage'!$C$7:$C$3366,$A50,'Priced Usage'!$I$7:$I$3366,"First attempt")</x:f>
        <x:v>1</x:v>
      </x:c>
      <x:c r="M50" s="29" t="n">
        <x:f>COUNTIFS('Priced Usage'!$C$7:$C$3366,$A50,'Priced Usage'!$I$7:$I$3366,"Followup")</x:f>
        <x:v>9</x:v>
      </x:c>
      <x:c r="N50" s="29" t="n">
        <x:f>COUNTIFS('Priced Usage'!$C$7:$C$3366,$A50,'Priced Usage'!$I$7:$I$3366,"Correction")</x:f>
        <x:v>1</x:v>
      </x:c>
    </x:row>
    <x:row r="51" ht="23" customHeight="1">
      <x:c r="A51" s="17" t="str">
        <x:v>W0045</x:v>
      </x:c>
      <x:c r="B51" s="17" t="str">
        <x:v>C001</x:v>
      </x:c>
      <x:c r="C51" s="17" t="str">
        <x:v>DataFlow</x:v>
      </x:c>
      <x:c r="D51" s="17" t="str">
        <x:v>Lite</x:v>
      </x:c>
      <x:c r="E51" s="29" t="n">
        <x:f>SUMIFS('Priced Usage'!$G$7:$G$3366,'Priced Usage'!$C$7:$C$3366,$A51)</x:f>
        <x:v>339096</x:v>
      </x:c>
      <x:c r="F51" s="29" t="n">
        <x:f>SUMIFS('Priced Usage'!$H$7:$H$3366,'Priced Usage'!$C$7:$C$3366,$A51)</x:f>
        <x:v>56301</x:v>
      </x:c>
      <x:c r="G51" s="29" t="n">
        <x:f>SUMIFS('Priced Usage'!$L$7:$L$3366,'Priced Usage'!$C$7:$C$3366,$A51)</x:f>
        <x:v>395397</x:v>
      </x:c>
      <x:c r="H51" s="29" t="n">
        <x:f>COUNTIFS('Priced Usage'!$C$7:$C$3366,$A51)</x:f>
        <x:v>9</x:v>
      </x:c>
      <x:c r="I51" s="30" t="n">
        <x:f>SUMIFS('Priced Usage'!$M$7:$M$3366,'Priced Usage'!$C$7:$C$3366,$A51)</x:f>
        <x:v>3.3909599999999998</x:v>
      </x:c>
      <x:c r="J51" s="30" t="n">
        <x:f>SUMIFS('Priced Usage'!$N$7:$N$3366,'Priced Usage'!$C$7:$C$3366,$A51)</x:f>
        <x:v>1.6890299999999998</x:v>
      </x:c>
      <x:c r="K51" s="30" t="n">
        <x:f>SUMIFS('Priced Usage'!$O$7:$O$3366,'Priced Usage'!$C$7:$C$3366,$A51)</x:f>
        <x:v>5.07999</x:v>
      </x:c>
      <x:c r="L51" s="29" t="n">
        <x:f>COUNTIFS('Priced Usage'!$C$7:$C$3366,$A51,'Priced Usage'!$I$7:$I$3366,"First attempt")</x:f>
        <x:v>1</x:v>
      </x:c>
      <x:c r="M51" s="29" t="n">
        <x:f>COUNTIFS('Priced Usage'!$C$7:$C$3366,$A51,'Priced Usage'!$I$7:$I$3366,"Followup")</x:f>
        <x:v>7</x:v>
      </x:c>
      <x:c r="N51" s="29" t="n">
        <x:f>COUNTIFS('Priced Usage'!$C$7:$C$3366,$A51,'Priced Usage'!$I$7:$I$3366,"Correction")</x:f>
        <x:v>1</x:v>
      </x:c>
    </x:row>
    <x:row r="52" ht="23" customHeight="1">
      <x:c r="A52" s="17" t="str">
        <x:v>W0046</x:v>
      </x:c>
      <x:c r="B52" s="17" t="str">
        <x:v>C001</x:v>
      </x:c>
      <x:c r="C52" s="17" t="str">
        <x:v>CampaignChat</x:v>
      </x:c>
      <x:c r="D52" s="17" t="str">
        <x:v>Lite</x:v>
      </x:c>
      <x:c r="E52" s="29" t="n">
        <x:f>SUMIFS('Priced Usage'!$G$7:$G$3366,'Priced Usage'!$C$7:$C$3366,$A52)</x:f>
        <x:v>536072</x:v>
      </x:c>
      <x:c r="F52" s="29" t="n">
        <x:f>SUMIFS('Priced Usage'!$H$7:$H$3366,'Priced Usage'!$C$7:$C$3366,$A52)</x:f>
        <x:v>82842</x:v>
      </x:c>
      <x:c r="G52" s="29" t="n">
        <x:f>SUMIFS('Priced Usage'!$L$7:$L$3366,'Priced Usage'!$C$7:$C$3366,$A52)</x:f>
        <x:v>618914</x:v>
      </x:c>
      <x:c r="H52" s="29" t="n">
        <x:f>COUNTIFS('Priced Usage'!$C$7:$C$3366,$A52)</x:f>
        <x:v>10</x:v>
      </x:c>
      <x:c r="I52" s="30" t="n">
        <x:f>SUMIFS('Priced Usage'!$M$7:$M$3366,'Priced Usage'!$C$7:$C$3366,$A52)</x:f>
        <x:v>5.36072</x:v>
      </x:c>
      <x:c r="J52" s="30" t="n">
        <x:f>SUMIFS('Priced Usage'!$N$7:$N$3366,'Priced Usage'!$C$7:$C$3366,$A52)</x:f>
        <x:v>2.4852600000000002</x:v>
      </x:c>
      <x:c r="K52" s="30" t="n">
        <x:f>SUMIFS('Priced Usage'!$O$7:$O$3366,'Priced Usage'!$C$7:$C$3366,$A52)</x:f>
        <x:v>7.845980000000001</x:v>
      </x:c>
      <x:c r="L52" s="29" t="n">
        <x:f>COUNTIFS('Priced Usage'!$C$7:$C$3366,$A52,'Priced Usage'!$I$7:$I$3366,"First attempt")</x:f>
        <x:v>1</x:v>
      </x:c>
      <x:c r="M52" s="29" t="n">
        <x:f>COUNTIFS('Priced Usage'!$C$7:$C$3366,$A52,'Priced Usage'!$I$7:$I$3366,"Followup")</x:f>
        <x:v>8</x:v>
      </x:c>
      <x:c r="N52" s="29" t="n">
        <x:f>COUNTIFS('Priced Usage'!$C$7:$C$3366,$A52,'Priced Usage'!$I$7:$I$3366,"Correction")</x:f>
        <x:v>1</x:v>
      </x:c>
    </x:row>
    <x:row r="53" ht="23" customHeight="1">
      <x:c r="A53" s="17" t="str">
        <x:v>W0047</x:v>
      </x:c>
      <x:c r="B53" s="17" t="str">
        <x:v>C001</x:v>
      </x:c>
      <x:c r="C53" s="17" t="str">
        <x:v>InsightDesk</x:v>
      </x:c>
      <x:c r="D53" s="17" t="str">
        <x:v>Lite</x:v>
      </x:c>
      <x:c r="E53" s="29" t="n">
        <x:f>SUMIFS('Priced Usage'!$G$7:$G$3366,'Priced Usage'!$C$7:$C$3366,$A53)</x:f>
        <x:v>286730</x:v>
      </x:c>
      <x:c r="F53" s="29" t="n">
        <x:f>SUMIFS('Priced Usage'!$H$7:$H$3366,'Priced Usage'!$C$7:$C$3366,$A53)</x:f>
        <x:v>107270</x:v>
      </x:c>
      <x:c r="G53" s="29" t="n">
        <x:f>SUMIFS('Priced Usage'!$L$7:$L$3366,'Priced Usage'!$C$7:$C$3366,$A53)</x:f>
        <x:v>394000</x:v>
      </x:c>
      <x:c r="H53" s="29" t="n">
        <x:f>COUNTIFS('Priced Usage'!$C$7:$C$3366,$A53)</x:f>
        <x:v>11</x:v>
      </x:c>
      <x:c r="I53" s="30" t="n">
        <x:f>SUMIFS('Priced Usage'!$M$7:$M$3366,'Priced Usage'!$C$7:$C$3366,$A53)</x:f>
        <x:v>2.8673</x:v>
      </x:c>
      <x:c r="J53" s="30" t="n">
        <x:f>SUMIFS('Priced Usage'!$N$7:$N$3366,'Priced Usage'!$C$7:$C$3366,$A53)</x:f>
        <x:v>3.2180999999999997</x:v>
      </x:c>
      <x:c r="K53" s="30" t="n">
        <x:f>SUMIFS('Priced Usage'!$O$7:$O$3366,'Priced Usage'!$C$7:$C$3366,$A53)</x:f>
        <x:v>6.0854</x:v>
      </x:c>
      <x:c r="L53" s="29" t="n">
        <x:f>COUNTIFS('Priced Usage'!$C$7:$C$3366,$A53,'Priced Usage'!$I$7:$I$3366,"First attempt")</x:f>
        <x:v>1</x:v>
      </x:c>
      <x:c r="M53" s="29" t="n">
        <x:f>COUNTIFS('Priced Usage'!$C$7:$C$3366,$A53,'Priced Usage'!$I$7:$I$3366,"Followup")</x:f>
        <x:v>9</x:v>
      </x:c>
      <x:c r="N53" s="29" t="n">
        <x:f>COUNTIFS('Priced Usage'!$C$7:$C$3366,$A53,'Priced Usage'!$I$7:$I$3366,"Correction")</x:f>
        <x:v>1</x:v>
      </x:c>
    </x:row>
    <x:row r="54" ht="23" customHeight="1">
      <x:c r="A54" s="17" t="str">
        <x:v>W0048</x:v>
      </x:c>
      <x:c r="B54" s="17" t="str">
        <x:v>C001</x:v>
      </x:c>
      <x:c r="C54" s="17" t="str">
        <x:v>InsightDesk</x:v>
      </x:c>
      <x:c r="D54" s="17" t="str">
        <x:v>Lite</x:v>
      </x:c>
      <x:c r="E54" s="29" t="n">
        <x:f>SUMIFS('Priced Usage'!$G$7:$G$3366,'Priced Usage'!$C$7:$C$3366,$A54)</x:f>
        <x:v>449397</x:v>
      </x:c>
      <x:c r="F54" s="29" t="n">
        <x:f>SUMIFS('Priced Usage'!$H$7:$H$3366,'Priced Usage'!$C$7:$C$3366,$A54)</x:f>
        <x:v>69916</x:v>
      </x:c>
      <x:c r="G54" s="29" t="n">
        <x:f>SUMIFS('Priced Usage'!$L$7:$L$3366,'Priced Usage'!$C$7:$C$3366,$A54)</x:f>
        <x:v>519313</x:v>
      </x:c>
      <x:c r="H54" s="29" t="n">
        <x:f>COUNTIFS('Priced Usage'!$C$7:$C$3366,$A54)</x:f>
        <x:v>9</x:v>
      </x:c>
      <x:c r="I54" s="30" t="n">
        <x:f>SUMIFS('Priced Usage'!$M$7:$M$3366,'Priced Usage'!$C$7:$C$3366,$A54)</x:f>
        <x:v>4.49397</x:v>
      </x:c>
      <x:c r="J54" s="30" t="n">
        <x:f>SUMIFS('Priced Usage'!$N$7:$N$3366,'Priced Usage'!$C$7:$C$3366,$A54)</x:f>
        <x:v>2.09748</x:v>
      </x:c>
      <x:c r="K54" s="30" t="n">
        <x:f>SUMIFS('Priced Usage'!$O$7:$O$3366,'Priced Usage'!$C$7:$C$3366,$A54)</x:f>
        <x:v>6.59145</x:v>
      </x:c>
      <x:c r="L54" s="29" t="n">
        <x:f>COUNTIFS('Priced Usage'!$C$7:$C$3366,$A54,'Priced Usage'!$I$7:$I$3366,"First attempt")</x:f>
        <x:v>1</x:v>
      </x:c>
      <x:c r="M54" s="29" t="n">
        <x:f>COUNTIFS('Priced Usage'!$C$7:$C$3366,$A54,'Priced Usage'!$I$7:$I$3366,"Followup")</x:f>
        <x:v>7</x:v>
      </x:c>
      <x:c r="N54" s="29" t="n">
        <x:f>COUNTIFS('Priced Usage'!$C$7:$C$3366,$A54,'Priced Usage'!$I$7:$I$3366,"Correction")</x:f>
        <x:v>1</x:v>
      </x:c>
    </x:row>
    <x:row r="55" ht="23" customHeight="1">
      <x:c r="A55" s="17" t="str">
        <x:v>W0049</x:v>
      </x:c>
      <x:c r="B55" s="17" t="str">
        <x:v>C001</x:v>
      </x:c>
      <x:c r="C55" s="17" t="str">
        <x:v>CopyStudio</x:v>
      </x:c>
      <x:c r="D55" s="17" t="str">
        <x:v>Lite</x:v>
      </x:c>
      <x:c r="E55" s="29" t="n">
        <x:f>SUMIFS('Priced Usage'!$G$7:$G$3366,'Priced Usage'!$C$7:$C$3366,$A55)</x:f>
        <x:v>398534</x:v>
      </x:c>
      <x:c r="F55" s="29" t="n">
        <x:f>SUMIFS('Priced Usage'!$H$7:$H$3366,'Priced Usage'!$C$7:$C$3366,$A55)</x:f>
        <x:v>49911</x:v>
      </x:c>
      <x:c r="G55" s="29" t="n">
        <x:f>SUMIFS('Priced Usage'!$L$7:$L$3366,'Priced Usage'!$C$7:$C$3366,$A55)</x:f>
        <x:v>448445</x:v>
      </x:c>
      <x:c r="H55" s="29" t="n">
        <x:f>COUNTIFS('Priced Usage'!$C$7:$C$3366,$A55)</x:f>
        <x:v>11</x:v>
      </x:c>
      <x:c r="I55" s="30" t="n">
        <x:f>SUMIFS('Priced Usage'!$M$7:$M$3366,'Priced Usage'!$C$7:$C$3366,$A55)</x:f>
        <x:v>3.98534</x:v>
      </x:c>
      <x:c r="J55" s="30" t="n">
        <x:f>SUMIFS('Priced Usage'!$N$7:$N$3366,'Priced Usage'!$C$7:$C$3366,$A55)</x:f>
        <x:v>1.4973300000000003</x:v>
      </x:c>
      <x:c r="K55" s="30" t="n">
        <x:f>SUMIFS('Priced Usage'!$O$7:$O$3366,'Priced Usage'!$C$7:$C$3366,$A55)</x:f>
        <x:v>5.482670000000001</x:v>
      </x:c>
      <x:c r="L55" s="29" t="n">
        <x:f>COUNTIFS('Priced Usage'!$C$7:$C$3366,$A55,'Priced Usage'!$I$7:$I$3366,"First attempt")</x:f>
        <x:v>1</x:v>
      </x:c>
      <x:c r="M55" s="29" t="n">
        <x:f>COUNTIFS('Priced Usage'!$C$7:$C$3366,$A55,'Priced Usage'!$I$7:$I$3366,"Followup")</x:f>
        <x:v>9</x:v>
      </x:c>
      <x:c r="N55" s="29" t="n">
        <x:f>COUNTIFS('Priced Usage'!$C$7:$C$3366,$A55,'Priced Usage'!$I$7:$I$3366,"Correction")</x:f>
        <x:v>1</x:v>
      </x:c>
    </x:row>
    <x:row r="56" ht="23" customHeight="1">
      <x:c r="A56" s="17" t="str">
        <x:v>W0050</x:v>
      </x:c>
      <x:c r="B56" s="17" t="str">
        <x:v>C001</x:v>
      </x:c>
      <x:c r="C56" s="17" t="str">
        <x:v>CopyStudio</x:v>
      </x:c>
      <x:c r="D56" s="17" t="str">
        <x:v>Lite</x:v>
      </x:c>
      <x:c r="E56" s="29" t="n">
        <x:f>SUMIFS('Priced Usage'!$G$7:$G$3366,'Priced Usage'!$C$7:$C$3366,$A56)</x:f>
        <x:v>529934</x:v>
      </x:c>
      <x:c r="F56" s="29" t="n">
        <x:f>SUMIFS('Priced Usage'!$H$7:$H$3366,'Priced Usage'!$C$7:$C$3366,$A56)</x:f>
        <x:v>83164</x:v>
      </x:c>
      <x:c r="G56" s="29" t="n">
        <x:f>SUMIFS('Priced Usage'!$L$7:$L$3366,'Priced Usage'!$C$7:$C$3366,$A56)</x:f>
        <x:v>613098</x:v>
      </x:c>
      <x:c r="H56" s="29" t="n">
        <x:f>COUNTIFS('Priced Usage'!$C$7:$C$3366,$A56)</x:f>
        <x:v>10</x:v>
      </x:c>
      <x:c r="I56" s="30" t="n">
        <x:f>SUMIFS('Priced Usage'!$M$7:$M$3366,'Priced Usage'!$C$7:$C$3366,$A56)</x:f>
        <x:v>5.299340000000001</x:v>
      </x:c>
      <x:c r="J56" s="30" t="n">
        <x:f>SUMIFS('Priced Usage'!$N$7:$N$3366,'Priced Usage'!$C$7:$C$3366,$A56)</x:f>
        <x:v>2.49492</x:v>
      </x:c>
      <x:c r="K56" s="30" t="n">
        <x:f>SUMIFS('Priced Usage'!$O$7:$O$3366,'Priced Usage'!$C$7:$C$3366,$A56)</x:f>
        <x:v>7.79426</x:v>
      </x:c>
      <x:c r="L56" s="29" t="n">
        <x:f>COUNTIFS('Priced Usage'!$C$7:$C$3366,$A56,'Priced Usage'!$I$7:$I$3366,"First attempt")</x:f>
        <x:v>1</x:v>
      </x:c>
      <x:c r="M56" s="29" t="n">
        <x:f>COUNTIFS('Priced Usage'!$C$7:$C$3366,$A56,'Priced Usage'!$I$7:$I$3366,"Followup")</x:f>
        <x:v>8</x:v>
      </x:c>
      <x:c r="N56" s="29" t="n">
        <x:f>COUNTIFS('Priced Usage'!$C$7:$C$3366,$A56,'Priced Usage'!$I$7:$I$3366,"Correction")</x:f>
        <x:v>1</x:v>
      </x:c>
    </x:row>
    <x:row r="57" ht="23" customHeight="1">
      <x:c r="A57" s="17" t="str">
        <x:v>W0051</x:v>
      </x:c>
      <x:c r="B57" s="17" t="str">
        <x:v>C001</x:v>
      </x:c>
      <x:c r="C57" s="17" t="str">
        <x:v>CampaignChat</x:v>
      </x:c>
      <x:c r="D57" s="17" t="str">
        <x:v>Lite</x:v>
      </x:c>
      <x:c r="E57" s="29" t="n">
        <x:f>SUMIFS('Priced Usage'!$G$7:$G$3366,'Priced Usage'!$C$7:$C$3366,$A57)</x:f>
        <x:v>241384</x:v>
      </x:c>
      <x:c r="F57" s="29" t="n">
        <x:f>SUMIFS('Priced Usage'!$H$7:$H$3366,'Priced Usage'!$C$7:$C$3366,$A57)</x:f>
        <x:v>77739</x:v>
      </x:c>
      <x:c r="G57" s="29" t="n">
        <x:f>SUMIFS('Priced Usage'!$L$7:$L$3366,'Priced Usage'!$C$7:$C$3366,$A57)</x:f>
        <x:v>319123</x:v>
      </x:c>
      <x:c r="H57" s="29" t="n">
        <x:f>COUNTIFS('Priced Usage'!$C$7:$C$3366,$A57)</x:f>
        <x:v>8</x:v>
      </x:c>
      <x:c r="I57" s="30" t="n">
        <x:f>SUMIFS('Priced Usage'!$M$7:$M$3366,'Priced Usage'!$C$7:$C$3366,$A57)</x:f>
        <x:v>2.4138399999999995</x:v>
      </x:c>
      <x:c r="J57" s="30" t="n">
        <x:f>SUMIFS('Priced Usage'!$N$7:$N$3366,'Priced Usage'!$C$7:$C$3366,$A57)</x:f>
        <x:v>2.3321699999999996</x:v>
      </x:c>
      <x:c r="K57" s="30" t="n">
        <x:f>SUMIFS('Priced Usage'!$O$7:$O$3366,'Priced Usage'!$C$7:$C$3366,$A57)</x:f>
        <x:v>4.74601</x:v>
      </x:c>
      <x:c r="L57" s="29" t="n">
        <x:f>COUNTIFS('Priced Usage'!$C$7:$C$3366,$A57,'Priced Usage'!$I$7:$I$3366,"First attempt")</x:f>
        <x:v>1</x:v>
      </x:c>
      <x:c r="M57" s="29" t="n">
        <x:f>COUNTIFS('Priced Usage'!$C$7:$C$3366,$A57,'Priced Usage'!$I$7:$I$3366,"Followup")</x:f>
        <x:v>6</x:v>
      </x:c>
      <x:c r="N57" s="29" t="n">
        <x:f>COUNTIFS('Priced Usage'!$C$7:$C$3366,$A57,'Priced Usage'!$I$7:$I$3366,"Correction")</x:f>
        <x:v>1</x:v>
      </x:c>
    </x:row>
    <x:row r="58" ht="23" customHeight="1">
      <x:c r="A58" s="17" t="str">
        <x:v>W0052</x:v>
      </x:c>
      <x:c r="B58" s="17" t="str">
        <x:v>C001</x:v>
      </x:c>
      <x:c r="C58" s="17" t="str">
        <x:v>CampaignChat</x:v>
      </x:c>
      <x:c r="D58" s="17" t="str">
        <x:v>Pro</x:v>
      </x:c>
      <x:c r="E58" s="29" t="n">
        <x:f>SUMIFS('Priced Usage'!$G$7:$G$3366,'Priced Usage'!$C$7:$C$3366,$A58)</x:f>
        <x:v>87719</x:v>
      </x:c>
      <x:c r="F58" s="29" t="n">
        <x:f>SUMIFS('Priced Usage'!$H$7:$H$3366,'Priced Usage'!$C$7:$C$3366,$A58)</x:f>
        <x:v>62305</x:v>
      </x:c>
      <x:c r="G58" s="29" t="n">
        <x:f>SUMIFS('Priced Usage'!$L$7:$L$3366,'Priced Usage'!$C$7:$C$3366,$A58)</x:f>
        <x:v>150024</x:v>
      </x:c>
      <x:c r="H58" s="29" t="n">
        <x:f>COUNTIFS('Priced Usage'!$C$7:$C$3366,$A58)</x:f>
        <x:v>8</x:v>
      </x:c>
      <x:c r="I58" s="30" t="n">
        <x:f>SUMIFS('Priced Usage'!$M$7:$M$3366,'Priced Usage'!$C$7:$C$3366,$A58)</x:f>
        <x:v>3.5087599999999997</x:v>
      </x:c>
      <x:c r="J58" s="30" t="n">
        <x:f>SUMIFS('Priced Usage'!$N$7:$N$3366,'Priced Usage'!$C$7:$C$3366,$A58)</x:f>
        <x:v>6.2305</x:v>
      </x:c>
      <x:c r="K58" s="30" t="n">
        <x:f>SUMIFS('Priced Usage'!$O$7:$O$3366,'Priced Usage'!$C$7:$C$3366,$A58)</x:f>
        <x:v>9.73926</x:v>
      </x:c>
      <x:c r="L58" s="29" t="n">
        <x:f>COUNTIFS('Priced Usage'!$C$7:$C$3366,$A58,'Priced Usage'!$I$7:$I$3366,"First attempt")</x:f>
        <x:v>1</x:v>
      </x:c>
      <x:c r="M58" s="29" t="n">
        <x:f>COUNTIFS('Priced Usage'!$C$7:$C$3366,$A58,'Priced Usage'!$I$7:$I$3366,"Followup")</x:f>
        <x:v>6</x:v>
      </x:c>
      <x:c r="N58" s="29" t="n">
        <x:f>COUNTIFS('Priced Usage'!$C$7:$C$3366,$A58,'Priced Usage'!$I$7:$I$3366,"Correction")</x:f>
        <x:v>1</x:v>
      </x:c>
    </x:row>
    <x:row r="59" ht="23" customHeight="1">
      <x:c r="A59" s="17" t="str">
        <x:v>W0053</x:v>
      </x:c>
      <x:c r="B59" s="17" t="str">
        <x:v>C001</x:v>
      </x:c>
      <x:c r="C59" s="17" t="str">
        <x:v>DataFlow</x:v>
      </x:c>
      <x:c r="D59" s="17" t="str">
        <x:v>Pro</x:v>
      </x:c>
      <x:c r="E59" s="29" t="n">
        <x:f>SUMIFS('Priced Usage'!$G$7:$G$3366,'Priced Usage'!$C$7:$C$3366,$A59)</x:f>
        <x:v>179488</x:v>
      </x:c>
      <x:c r="F59" s="29" t="n">
        <x:f>SUMIFS('Priced Usage'!$H$7:$H$3366,'Priced Usage'!$C$7:$C$3366,$A59)</x:f>
        <x:v>93599</x:v>
      </x:c>
      <x:c r="G59" s="29" t="n">
        <x:f>SUMIFS('Priced Usage'!$L$7:$L$3366,'Priced Usage'!$C$7:$C$3366,$A59)</x:f>
        <x:v>273087</x:v>
      </x:c>
      <x:c r="H59" s="29" t="n">
        <x:f>COUNTIFS('Priced Usage'!$C$7:$C$3366,$A59)</x:f>
        <x:v>8</x:v>
      </x:c>
      <x:c r="I59" s="30" t="n">
        <x:f>SUMIFS('Priced Usage'!$M$7:$M$3366,'Priced Usage'!$C$7:$C$3366,$A59)</x:f>
        <x:v>7.179519999999999</x:v>
      </x:c>
      <x:c r="J59" s="30" t="n">
        <x:f>SUMIFS('Priced Usage'!$N$7:$N$3366,'Priced Usage'!$C$7:$C$3366,$A59)</x:f>
        <x:v>9.3599</x:v>
      </x:c>
      <x:c r="K59" s="30" t="n">
        <x:f>SUMIFS('Priced Usage'!$O$7:$O$3366,'Priced Usage'!$C$7:$C$3366,$A59)</x:f>
        <x:v>16.53942</x:v>
      </x:c>
      <x:c r="L59" s="29" t="n">
        <x:f>COUNTIFS('Priced Usage'!$C$7:$C$3366,$A59,'Priced Usage'!$I$7:$I$3366,"First attempt")</x:f>
        <x:v>1</x:v>
      </x:c>
      <x:c r="M59" s="29" t="n">
        <x:f>COUNTIFS('Priced Usage'!$C$7:$C$3366,$A59,'Priced Usage'!$I$7:$I$3366,"Followup")</x:f>
        <x:v>6</x:v>
      </x:c>
      <x:c r="N59" s="29" t="n">
        <x:f>COUNTIFS('Priced Usage'!$C$7:$C$3366,$A59,'Priced Usage'!$I$7:$I$3366,"Correction")</x:f>
        <x:v>1</x:v>
      </x:c>
    </x:row>
    <x:row r="60" ht="23" customHeight="1">
      <x:c r="A60" s="17" t="str">
        <x:v>W0054</x:v>
      </x:c>
      <x:c r="B60" s="17" t="str">
        <x:v>C001</x:v>
      </x:c>
      <x:c r="C60" s="17" t="str">
        <x:v>DataFlow</x:v>
      </x:c>
      <x:c r="D60" s="17" t="str">
        <x:v>Lite</x:v>
      </x:c>
      <x:c r="E60" s="29" t="n">
        <x:f>SUMIFS('Priced Usage'!$G$7:$G$3366,'Priced Usage'!$C$7:$C$3366,$A60)</x:f>
        <x:v>641992</x:v>
      </x:c>
      <x:c r="F60" s="29" t="n">
        <x:f>SUMIFS('Priced Usage'!$H$7:$H$3366,'Priced Usage'!$C$7:$C$3366,$A60)</x:f>
        <x:v>56373</x:v>
      </x:c>
      <x:c r="G60" s="29" t="n">
        <x:f>SUMIFS('Priced Usage'!$L$7:$L$3366,'Priced Usage'!$C$7:$C$3366,$A60)</x:f>
        <x:v>698365</x:v>
      </x:c>
      <x:c r="H60" s="29" t="n">
        <x:f>COUNTIFS('Priced Usage'!$C$7:$C$3366,$A60)</x:f>
        <x:v>12</x:v>
      </x:c>
      <x:c r="I60" s="30" t="n">
        <x:f>SUMIFS('Priced Usage'!$M$7:$M$3366,'Priced Usage'!$C$7:$C$3366,$A60)</x:f>
        <x:v>6.419919999999999</x:v>
      </x:c>
      <x:c r="J60" s="30" t="n">
        <x:f>SUMIFS('Priced Usage'!$N$7:$N$3366,'Priced Usage'!$C$7:$C$3366,$A60)</x:f>
        <x:v>1.6911900000000002</x:v>
      </x:c>
      <x:c r="K60" s="30" t="n">
        <x:f>SUMIFS('Priced Usage'!$O$7:$O$3366,'Priced Usage'!$C$7:$C$3366,$A60)</x:f>
        <x:v>8.111109999999998</x:v>
      </x:c>
      <x:c r="L60" s="29" t="n">
        <x:f>COUNTIFS('Priced Usage'!$C$7:$C$3366,$A60,'Priced Usage'!$I$7:$I$3366,"First attempt")</x:f>
        <x:v>1</x:v>
      </x:c>
      <x:c r="M60" s="29" t="n">
        <x:f>COUNTIFS('Priced Usage'!$C$7:$C$3366,$A60,'Priced Usage'!$I$7:$I$3366,"Followup")</x:f>
        <x:v>9</x:v>
      </x:c>
      <x:c r="N60" s="29" t="n">
        <x:f>COUNTIFS('Priced Usage'!$C$7:$C$3366,$A60,'Priced Usage'!$I$7:$I$3366,"Correction")</x:f>
        <x:v>2</x:v>
      </x:c>
    </x:row>
    <x:row r="61" ht="23" customHeight="1">
      <x:c r="A61" s="17" t="str">
        <x:v>W0055</x:v>
      </x:c>
      <x:c r="B61" s="17" t="str">
        <x:v>C001</x:v>
      </x:c>
      <x:c r="C61" s="17" t="str">
        <x:v>InsightDesk</x:v>
      </x:c>
      <x:c r="D61" s="17" t="str">
        <x:v>Pro</x:v>
      </x:c>
      <x:c r="E61" s="29" t="n">
        <x:f>SUMIFS('Priced Usage'!$G$7:$G$3366,'Priced Usage'!$C$7:$C$3366,$A61)</x:f>
        <x:v>115681</x:v>
      </x:c>
      <x:c r="F61" s="29" t="n">
        <x:f>SUMIFS('Priced Usage'!$H$7:$H$3366,'Priced Usage'!$C$7:$C$3366,$A61)</x:f>
        <x:v>97308</x:v>
      </x:c>
      <x:c r="G61" s="29" t="n">
        <x:f>SUMIFS('Priced Usage'!$L$7:$L$3366,'Priced Usage'!$C$7:$C$3366,$A61)</x:f>
        <x:v>212989</x:v>
      </x:c>
      <x:c r="H61" s="29" t="n">
        <x:f>COUNTIFS('Priced Usage'!$C$7:$C$3366,$A61)</x:f>
        <x:v>10</x:v>
      </x:c>
      <x:c r="I61" s="30" t="n">
        <x:f>SUMIFS('Priced Usage'!$M$7:$M$3366,'Priced Usage'!$C$7:$C$3366,$A61)</x:f>
        <x:v>4.62724</x:v>
      </x:c>
      <x:c r="J61" s="30" t="n">
        <x:f>SUMIFS('Priced Usage'!$N$7:$N$3366,'Priced Usage'!$C$7:$C$3366,$A61)</x:f>
        <x:v>9.7308</x:v>
      </x:c>
      <x:c r="K61" s="30" t="n">
        <x:f>SUMIFS('Priced Usage'!$O$7:$O$3366,'Priced Usage'!$C$7:$C$3366,$A61)</x:f>
        <x:v>14.358039999999999</x:v>
      </x:c>
      <x:c r="L61" s="29" t="n">
        <x:f>COUNTIFS('Priced Usage'!$C$7:$C$3366,$A61,'Priced Usage'!$I$7:$I$3366,"First attempt")</x:f>
        <x:v>1</x:v>
      </x:c>
      <x:c r="M61" s="29" t="n">
        <x:f>COUNTIFS('Priced Usage'!$C$7:$C$3366,$A61,'Priced Usage'!$I$7:$I$3366,"Followup")</x:f>
        <x:v>8</x:v>
      </x:c>
      <x:c r="N61" s="29" t="n">
        <x:f>COUNTIFS('Priced Usage'!$C$7:$C$3366,$A61,'Priced Usage'!$I$7:$I$3366,"Correction")</x:f>
        <x:v>1</x:v>
      </x:c>
    </x:row>
    <x:row r="62" ht="23" customHeight="1">
      <x:c r="A62" s="17" t="str">
        <x:v>W0056</x:v>
      </x:c>
      <x:c r="B62" s="17" t="str">
        <x:v>C001</x:v>
      </x:c>
      <x:c r="C62" s="17" t="str">
        <x:v>InsightDesk</x:v>
      </x:c>
      <x:c r="D62" s="17" t="str">
        <x:v>Lite</x:v>
      </x:c>
      <x:c r="E62" s="29" t="n">
        <x:f>SUMIFS('Priced Usage'!$G$7:$G$3366,'Priced Usage'!$C$7:$C$3366,$A62)</x:f>
        <x:v>380867</x:v>
      </x:c>
      <x:c r="F62" s="29" t="n">
        <x:f>SUMIFS('Priced Usage'!$H$7:$H$3366,'Priced Usage'!$C$7:$C$3366,$A62)</x:f>
        <x:v>90740</x:v>
      </x:c>
      <x:c r="G62" s="29" t="n">
        <x:f>SUMIFS('Priced Usage'!$L$7:$L$3366,'Priced Usage'!$C$7:$C$3366,$A62)</x:f>
        <x:v>471607</x:v>
      </x:c>
      <x:c r="H62" s="29" t="n">
        <x:f>COUNTIFS('Priced Usage'!$C$7:$C$3366,$A62)</x:f>
        <x:v>10</x:v>
      </x:c>
      <x:c r="I62" s="30" t="n">
        <x:f>SUMIFS('Priced Usage'!$M$7:$M$3366,'Priced Usage'!$C$7:$C$3366,$A62)</x:f>
        <x:v>3.8086699999999998</x:v>
      </x:c>
      <x:c r="J62" s="30" t="n">
        <x:f>SUMIFS('Priced Usage'!$N$7:$N$3366,'Priced Usage'!$C$7:$C$3366,$A62)</x:f>
        <x:v>2.7222</x:v>
      </x:c>
      <x:c r="K62" s="30" t="n">
        <x:f>SUMIFS('Priced Usage'!$O$7:$O$3366,'Priced Usage'!$C$7:$C$3366,$A62)</x:f>
        <x:v>6.530870000000001</x:v>
      </x:c>
      <x:c r="L62" s="29" t="n">
        <x:f>COUNTIFS('Priced Usage'!$C$7:$C$3366,$A62,'Priced Usage'!$I$7:$I$3366,"First attempt")</x:f>
        <x:v>1</x:v>
      </x:c>
      <x:c r="M62" s="29" t="n">
        <x:f>COUNTIFS('Priced Usage'!$C$7:$C$3366,$A62,'Priced Usage'!$I$7:$I$3366,"Followup")</x:f>
        <x:v>8</x:v>
      </x:c>
      <x:c r="N62" s="29" t="n">
        <x:f>COUNTIFS('Priced Usage'!$C$7:$C$3366,$A62,'Priced Usage'!$I$7:$I$3366,"Correction")</x:f>
        <x:v>1</x:v>
      </x:c>
    </x:row>
    <x:row r="63" ht="23" customHeight="1">
      <x:c r="A63" s="17" t="str">
        <x:v>W0057</x:v>
      </x:c>
      <x:c r="B63" s="17" t="str">
        <x:v>C001</x:v>
      </x:c>
      <x:c r="C63" s="17" t="str">
        <x:v>DataFlow</x:v>
      </x:c>
      <x:c r="D63" s="17" t="str">
        <x:v>Lite</x:v>
      </x:c>
      <x:c r="E63" s="29" t="n">
        <x:f>SUMIFS('Priced Usage'!$G$7:$G$3366,'Priced Usage'!$C$7:$C$3366,$A63)</x:f>
        <x:v>271142</x:v>
      </x:c>
      <x:c r="F63" s="29" t="n">
        <x:f>SUMIFS('Priced Usage'!$H$7:$H$3366,'Priced Usage'!$C$7:$C$3366,$A63)</x:f>
        <x:v>51315</x:v>
      </x:c>
      <x:c r="G63" s="29" t="n">
        <x:f>SUMIFS('Priced Usage'!$L$7:$L$3366,'Priced Usage'!$C$7:$C$3366,$A63)</x:f>
        <x:v>322457</x:v>
      </x:c>
      <x:c r="H63" s="29" t="n">
        <x:f>COUNTIFS('Priced Usage'!$C$7:$C$3366,$A63)</x:f>
        <x:v>11</x:v>
      </x:c>
      <x:c r="I63" s="30" t="n">
        <x:f>SUMIFS('Priced Usage'!$M$7:$M$3366,'Priced Usage'!$C$7:$C$3366,$A63)</x:f>
        <x:v>2.7114199999999995</x:v>
      </x:c>
      <x:c r="J63" s="30" t="n">
        <x:f>SUMIFS('Priced Usage'!$N$7:$N$3366,'Priced Usage'!$C$7:$C$3366,$A63)</x:f>
        <x:v>1.53945</x:v>
      </x:c>
      <x:c r="K63" s="30" t="n">
        <x:f>SUMIFS('Priced Usage'!$O$7:$O$3366,'Priced Usage'!$C$7:$C$3366,$A63)</x:f>
        <x:v>4.250870000000001</x:v>
      </x:c>
      <x:c r="L63" s="29" t="n">
        <x:f>COUNTIFS('Priced Usage'!$C$7:$C$3366,$A63,'Priced Usage'!$I$7:$I$3366,"First attempt")</x:f>
        <x:v>1</x:v>
      </x:c>
      <x:c r="M63" s="29" t="n">
        <x:f>COUNTIFS('Priced Usage'!$C$7:$C$3366,$A63,'Priced Usage'!$I$7:$I$3366,"Followup")</x:f>
        <x:v>8</x:v>
      </x:c>
      <x:c r="N63" s="29" t="n">
        <x:f>COUNTIFS('Priced Usage'!$C$7:$C$3366,$A63,'Priced Usage'!$I$7:$I$3366,"Correction")</x:f>
        <x:v>2</x:v>
      </x:c>
    </x:row>
    <x:row r="64" ht="23" customHeight="1">
      <x:c r="A64" s="17" t="str">
        <x:v>W0058</x:v>
      </x:c>
      <x:c r="B64" s="17" t="str">
        <x:v>C001</x:v>
      </x:c>
      <x:c r="C64" s="17" t="str">
        <x:v>CopyStudio</x:v>
      </x:c>
      <x:c r="D64" s="17" t="str">
        <x:v>Lite</x:v>
      </x:c>
      <x:c r="E64" s="29" t="n">
        <x:f>SUMIFS('Priced Usage'!$G$7:$G$3366,'Priced Usage'!$C$7:$C$3366,$A64)</x:f>
        <x:v>229722</x:v>
      </x:c>
      <x:c r="F64" s="29" t="n">
        <x:f>SUMIFS('Priced Usage'!$H$7:$H$3366,'Priced Usage'!$C$7:$C$3366,$A64)</x:f>
        <x:v>46429</x:v>
      </x:c>
      <x:c r="G64" s="29" t="n">
        <x:f>SUMIFS('Priced Usage'!$L$7:$L$3366,'Priced Usage'!$C$7:$C$3366,$A64)</x:f>
        <x:v>276151</x:v>
      </x:c>
      <x:c r="H64" s="29" t="n">
        <x:f>COUNTIFS('Priced Usage'!$C$7:$C$3366,$A64)</x:f>
        <x:v>8</x:v>
      </x:c>
      <x:c r="I64" s="30" t="n">
        <x:f>SUMIFS('Priced Usage'!$M$7:$M$3366,'Priced Usage'!$C$7:$C$3366,$A64)</x:f>
        <x:v>2.2972200000000003</x:v>
      </x:c>
      <x:c r="J64" s="30" t="n">
        <x:f>SUMIFS('Priced Usage'!$N$7:$N$3366,'Priced Usage'!$C$7:$C$3366,$A64)</x:f>
        <x:v>1.3928699999999998</x:v>
      </x:c>
      <x:c r="K64" s="30" t="n">
        <x:f>SUMIFS('Priced Usage'!$O$7:$O$3366,'Priced Usage'!$C$7:$C$3366,$A64)</x:f>
        <x:v>3.6900899999999996</x:v>
      </x:c>
      <x:c r="L64" s="29" t="n">
        <x:f>COUNTIFS('Priced Usage'!$C$7:$C$3366,$A64,'Priced Usage'!$I$7:$I$3366,"First attempt")</x:f>
        <x:v>1</x:v>
      </x:c>
      <x:c r="M64" s="29" t="n">
        <x:f>COUNTIFS('Priced Usage'!$C$7:$C$3366,$A64,'Priced Usage'!$I$7:$I$3366,"Followup")</x:f>
        <x:v>6</x:v>
      </x:c>
      <x:c r="N64" s="29" t="n">
        <x:f>COUNTIFS('Priced Usage'!$C$7:$C$3366,$A64,'Priced Usage'!$I$7:$I$3366,"Correction")</x:f>
        <x:v>1</x:v>
      </x:c>
    </x:row>
    <x:row r="65" ht="23" customHeight="1">
      <x:c r="A65" s="17" t="str">
        <x:v>W0059</x:v>
      </x:c>
      <x:c r="B65" s="17" t="str">
        <x:v>C001</x:v>
      </x:c>
      <x:c r="C65" s="17" t="str">
        <x:v>CampaignChat</x:v>
      </x:c>
      <x:c r="D65" s="17" t="str">
        <x:v>Lite</x:v>
      </x:c>
      <x:c r="E65" s="29" t="n">
        <x:f>SUMIFS('Priced Usage'!$G$7:$G$3366,'Priced Usage'!$C$7:$C$3366,$A65)</x:f>
        <x:v>368076</x:v>
      </x:c>
      <x:c r="F65" s="29" t="n">
        <x:f>SUMIFS('Priced Usage'!$H$7:$H$3366,'Priced Usage'!$C$7:$C$3366,$A65)</x:f>
        <x:v>60369</x:v>
      </x:c>
      <x:c r="G65" s="29" t="n">
        <x:f>SUMIFS('Priced Usage'!$L$7:$L$3366,'Priced Usage'!$C$7:$C$3366,$A65)</x:f>
        <x:v>428445</x:v>
      </x:c>
      <x:c r="H65" s="29" t="n">
        <x:f>COUNTIFS('Priced Usage'!$C$7:$C$3366,$A65)</x:f>
        <x:v>12</x:v>
      </x:c>
      <x:c r="I65" s="30" t="n">
        <x:f>SUMIFS('Priced Usage'!$M$7:$M$3366,'Priced Usage'!$C$7:$C$3366,$A65)</x:f>
        <x:v>3.6807600000000003</x:v>
      </x:c>
      <x:c r="J65" s="30" t="n">
        <x:f>SUMIFS('Priced Usage'!$N$7:$N$3366,'Priced Usage'!$C$7:$C$3366,$A65)</x:f>
        <x:v>1.81107</x:v>
      </x:c>
      <x:c r="K65" s="30" t="n">
        <x:f>SUMIFS('Priced Usage'!$O$7:$O$3366,'Priced Usage'!$C$7:$C$3366,$A65)</x:f>
        <x:v>5.491829999999999</x:v>
      </x:c>
      <x:c r="L65" s="29" t="n">
        <x:f>COUNTIFS('Priced Usage'!$C$7:$C$3366,$A65,'Priced Usage'!$I$7:$I$3366,"First attempt")</x:f>
        <x:v>1</x:v>
      </x:c>
      <x:c r="M65" s="29" t="n">
        <x:f>COUNTIFS('Priced Usage'!$C$7:$C$3366,$A65,'Priced Usage'!$I$7:$I$3366,"Followup")</x:f>
        <x:v>10</x:v>
      </x:c>
      <x:c r="N65" s="29" t="n">
        <x:f>COUNTIFS('Priced Usage'!$C$7:$C$3366,$A65,'Priced Usage'!$I$7:$I$3366,"Correction")</x:f>
        <x:v>1</x:v>
      </x:c>
    </x:row>
    <x:row r="66" ht="23" customHeight="1">
      <x:c r="A66" s="17" t="str">
        <x:v>W0060</x:v>
      </x:c>
      <x:c r="B66" s="17" t="str">
        <x:v>C001</x:v>
      </x:c>
      <x:c r="C66" s="17" t="str">
        <x:v>CampaignChat</x:v>
      </x:c>
      <x:c r="D66" s="17" t="str">
        <x:v>Lite</x:v>
      </x:c>
      <x:c r="E66" s="29" t="n">
        <x:f>SUMIFS('Priced Usage'!$G$7:$G$3366,'Priced Usage'!$C$7:$C$3366,$A66)</x:f>
        <x:v>246848</x:v>
      </x:c>
      <x:c r="F66" s="29" t="n">
        <x:f>SUMIFS('Priced Usage'!$H$7:$H$3366,'Priced Usage'!$C$7:$C$3366,$A66)</x:f>
        <x:v>109912</x:v>
      </x:c>
      <x:c r="G66" s="29" t="n">
        <x:f>SUMIFS('Priced Usage'!$L$7:$L$3366,'Priced Usage'!$C$7:$C$3366,$A66)</x:f>
        <x:v>356760</x:v>
      </x:c>
      <x:c r="H66" s="29" t="n">
        <x:f>COUNTIFS('Priced Usage'!$C$7:$C$3366,$A66)</x:f>
        <x:v>10</x:v>
      </x:c>
      <x:c r="I66" s="30" t="n">
        <x:f>SUMIFS('Priced Usage'!$M$7:$M$3366,'Priced Usage'!$C$7:$C$3366,$A66)</x:f>
        <x:v>2.46848</x:v>
      </x:c>
      <x:c r="J66" s="30" t="n">
        <x:f>SUMIFS('Priced Usage'!$N$7:$N$3366,'Priced Usage'!$C$7:$C$3366,$A66)</x:f>
        <x:v>3.2973600000000003</x:v>
      </x:c>
      <x:c r="K66" s="30" t="n">
        <x:f>SUMIFS('Priced Usage'!$O$7:$O$3366,'Priced Usage'!$C$7:$C$3366,$A66)</x:f>
        <x:v>5.76584</x:v>
      </x:c>
      <x:c r="L66" s="29" t="n">
        <x:f>COUNTIFS('Priced Usage'!$C$7:$C$3366,$A66,'Priced Usage'!$I$7:$I$3366,"First attempt")</x:f>
        <x:v>1</x:v>
      </x:c>
      <x:c r="M66" s="29" t="n">
        <x:f>COUNTIFS('Priced Usage'!$C$7:$C$3366,$A66,'Priced Usage'!$I$7:$I$3366,"Followup")</x:f>
        <x:v>8</x:v>
      </x:c>
      <x:c r="N66" s="29" t="n">
        <x:f>COUNTIFS('Priced Usage'!$C$7:$C$3366,$A66,'Priced Usage'!$I$7:$I$3366,"Correction")</x:f>
        <x:v>1</x:v>
      </x:c>
    </x:row>
    <x:row r="67" ht="23" customHeight="1">
      <x:c r="A67" s="17" t="str">
        <x:v>W0061</x:v>
      </x:c>
      <x:c r="B67" s="17" t="str">
        <x:v>C002</x:v>
      </x:c>
      <x:c r="C67" s="17" t="str">
        <x:v>CopyStudio</x:v>
      </x:c>
      <x:c r="D67" s="17" t="str">
        <x:v>Lite</x:v>
      </x:c>
      <x:c r="E67" s="29" t="n">
        <x:f>SUMIFS('Priced Usage'!$G$7:$G$3366,'Priced Usage'!$C$7:$C$3366,$A67)</x:f>
        <x:v>506853</x:v>
      </x:c>
      <x:c r="F67" s="29" t="n">
        <x:f>SUMIFS('Priced Usage'!$H$7:$H$3366,'Priced Usage'!$C$7:$C$3366,$A67)</x:f>
        <x:v>82438</x:v>
      </x:c>
      <x:c r="G67" s="29" t="n">
        <x:f>SUMIFS('Priced Usage'!$L$7:$L$3366,'Priced Usage'!$C$7:$C$3366,$A67)</x:f>
        <x:v>589291</x:v>
      </x:c>
      <x:c r="H67" s="29" t="n">
        <x:f>COUNTIFS('Priced Usage'!$C$7:$C$3366,$A67)</x:f>
        <x:v>12</x:v>
      </x:c>
      <x:c r="I67" s="30" t="n">
        <x:f>SUMIFS('Priced Usage'!$M$7:$M$3366,'Priced Usage'!$C$7:$C$3366,$A67)</x:f>
        <x:v>5.068529999999999</x:v>
      </x:c>
      <x:c r="J67" s="30" t="n">
        <x:f>SUMIFS('Priced Usage'!$N$7:$N$3366,'Priced Usage'!$C$7:$C$3366,$A67)</x:f>
        <x:v>2.47314</x:v>
      </x:c>
      <x:c r="K67" s="30" t="n">
        <x:f>SUMIFS('Priced Usage'!$O$7:$O$3366,'Priced Usage'!$C$7:$C$3366,$A67)</x:f>
        <x:v>7.54167</x:v>
      </x:c>
      <x:c r="L67" s="29" t="n">
        <x:f>COUNTIFS('Priced Usage'!$C$7:$C$3366,$A67,'Priced Usage'!$I$7:$I$3366,"First attempt")</x:f>
        <x:v>1</x:v>
      </x:c>
      <x:c r="M67" s="29" t="n">
        <x:f>COUNTIFS('Priced Usage'!$C$7:$C$3366,$A67,'Priced Usage'!$I$7:$I$3366,"Followup")</x:f>
        <x:v>7</x:v>
      </x:c>
      <x:c r="N67" s="29" t="n">
        <x:f>COUNTIFS('Priced Usage'!$C$7:$C$3366,$A67,'Priced Usage'!$I$7:$I$3366,"Correction")</x:f>
        <x:v>4</x:v>
      </x:c>
    </x:row>
    <x:row r="68" ht="23" customHeight="1">
      <x:c r="A68" s="17" t="str">
        <x:v>W0062</x:v>
      </x:c>
      <x:c r="B68" s="17" t="str">
        <x:v>C002</x:v>
      </x:c>
      <x:c r="C68" s="17" t="str">
        <x:v>CampaignChat</x:v>
      </x:c>
      <x:c r="D68" s="17" t="str">
        <x:v>Pro</x:v>
      </x:c>
      <x:c r="E68" s="29" t="n">
        <x:f>SUMIFS('Priced Usage'!$G$7:$G$3366,'Priced Usage'!$C$7:$C$3366,$A68)</x:f>
        <x:v>216307</x:v>
      </x:c>
      <x:c r="F68" s="29" t="n">
        <x:f>SUMIFS('Priced Usage'!$H$7:$H$3366,'Priced Usage'!$C$7:$C$3366,$A68)</x:f>
        <x:v>112052</x:v>
      </x:c>
      <x:c r="G68" s="29" t="n">
        <x:f>SUMIFS('Priced Usage'!$L$7:$L$3366,'Priced Usage'!$C$7:$C$3366,$A68)</x:f>
        <x:v>328359</x:v>
      </x:c>
      <x:c r="H68" s="29" t="n">
        <x:f>COUNTIFS('Priced Usage'!$C$7:$C$3366,$A68)</x:f>
        <x:v>16</x:v>
      </x:c>
      <x:c r="I68" s="30" t="n">
        <x:f>SUMIFS('Priced Usage'!$M$7:$M$3366,'Priced Usage'!$C$7:$C$3366,$A68)</x:f>
        <x:v>8.65228</x:v>
      </x:c>
      <x:c r="J68" s="30" t="n">
        <x:f>SUMIFS('Priced Usage'!$N$7:$N$3366,'Priced Usage'!$C$7:$C$3366,$A68)</x:f>
        <x:v>11.2052</x:v>
      </x:c>
      <x:c r="K68" s="30" t="n">
        <x:f>SUMIFS('Priced Usage'!$O$7:$O$3366,'Priced Usage'!$C$7:$C$3366,$A68)</x:f>
        <x:v>19.857480000000002</x:v>
      </x:c>
      <x:c r="L68" s="29" t="n">
        <x:f>COUNTIFS('Priced Usage'!$C$7:$C$3366,$A68,'Priced Usage'!$I$7:$I$3366,"First attempt")</x:f>
        <x:v>1</x:v>
      </x:c>
      <x:c r="M68" s="29" t="n">
        <x:f>COUNTIFS('Priced Usage'!$C$7:$C$3366,$A68,'Priced Usage'!$I$7:$I$3366,"Followup")</x:f>
        <x:v>7</x:v>
      </x:c>
      <x:c r="N68" s="29" t="n">
        <x:f>COUNTIFS('Priced Usage'!$C$7:$C$3366,$A68,'Priced Usage'!$I$7:$I$3366,"Correction")</x:f>
        <x:v>8</x:v>
      </x:c>
    </x:row>
    <x:row r="69" ht="23" customHeight="1">
      <x:c r="A69" s="17" t="str">
        <x:v>W0063</x:v>
      </x:c>
      <x:c r="B69" s="17" t="str">
        <x:v>C002</x:v>
      </x:c>
      <x:c r="C69" s="17" t="str">
        <x:v>CampaignChat</x:v>
      </x:c>
      <x:c r="D69" s="17" t="str">
        <x:v>Lite</x:v>
      </x:c>
      <x:c r="E69" s="29" t="n">
        <x:f>SUMIFS('Priced Usage'!$G$7:$G$3366,'Priced Usage'!$C$7:$C$3366,$A69)</x:f>
        <x:v>681801</x:v>
      </x:c>
      <x:c r="F69" s="29" t="n">
        <x:f>SUMIFS('Priced Usage'!$H$7:$H$3366,'Priced Usage'!$C$7:$C$3366,$A69)</x:f>
        <x:v>121329</x:v>
      </x:c>
      <x:c r="G69" s="29" t="n">
        <x:f>SUMIFS('Priced Usage'!$L$7:$L$3366,'Priced Usage'!$C$7:$C$3366,$A69)</x:f>
        <x:v>803130</x:v>
      </x:c>
      <x:c r="H69" s="29" t="n">
        <x:f>COUNTIFS('Priced Usage'!$C$7:$C$3366,$A69)</x:f>
        <x:v>16</x:v>
      </x:c>
      <x:c r="I69" s="30" t="n">
        <x:f>SUMIFS('Priced Usage'!$M$7:$M$3366,'Priced Usage'!$C$7:$C$3366,$A69)</x:f>
        <x:v>6.818009999999999</x:v>
      </x:c>
      <x:c r="J69" s="30" t="n">
        <x:f>SUMIFS('Priced Usage'!$N$7:$N$3366,'Priced Usage'!$C$7:$C$3366,$A69)</x:f>
        <x:v>3.6398699999999993</x:v>
      </x:c>
      <x:c r="K69" s="30" t="n">
        <x:f>SUMIFS('Priced Usage'!$O$7:$O$3366,'Priced Usage'!$C$7:$C$3366,$A69)</x:f>
        <x:v>10.457880000000001</x:v>
      </x:c>
      <x:c r="L69" s="29" t="n">
        <x:f>COUNTIFS('Priced Usage'!$C$7:$C$3366,$A69,'Priced Usage'!$I$7:$I$3366,"First attempt")</x:f>
        <x:v>1</x:v>
      </x:c>
      <x:c r="M69" s="29" t="n">
        <x:f>COUNTIFS('Priced Usage'!$C$7:$C$3366,$A69,'Priced Usage'!$I$7:$I$3366,"Followup")</x:f>
        <x:v>10</x:v>
      </x:c>
      <x:c r="N69" s="29" t="n">
        <x:f>COUNTIFS('Priced Usage'!$C$7:$C$3366,$A69,'Priced Usage'!$I$7:$I$3366,"Correction")</x:f>
        <x:v>5</x:v>
      </x:c>
    </x:row>
    <x:row r="70" ht="23" customHeight="1">
      <x:c r="A70" s="17" t="str">
        <x:v>W0064</x:v>
      </x:c>
      <x:c r="B70" s="17" t="str">
        <x:v>C002</x:v>
      </x:c>
      <x:c r="C70" s="17" t="str">
        <x:v>DataFlow</x:v>
      </x:c>
      <x:c r="D70" s="17" t="str">
        <x:v>Lite</x:v>
      </x:c>
      <x:c r="E70" s="29" t="n">
        <x:f>SUMIFS('Priced Usage'!$G$7:$G$3366,'Priced Usage'!$C$7:$C$3366,$A70)</x:f>
        <x:v>543371</x:v>
      </x:c>
      <x:c r="F70" s="29" t="n">
        <x:f>SUMIFS('Priced Usage'!$H$7:$H$3366,'Priced Usage'!$C$7:$C$3366,$A70)</x:f>
        <x:v>88841</x:v>
      </x:c>
      <x:c r="G70" s="29" t="n">
        <x:f>SUMIFS('Priced Usage'!$L$7:$L$3366,'Priced Usage'!$C$7:$C$3366,$A70)</x:f>
        <x:v>632212</x:v>
      </x:c>
      <x:c r="H70" s="29" t="n">
        <x:f>COUNTIFS('Priced Usage'!$C$7:$C$3366,$A70)</x:f>
        <x:v>16</x:v>
      </x:c>
      <x:c r="I70" s="30" t="n">
        <x:f>SUMIFS('Priced Usage'!$M$7:$M$3366,'Priced Usage'!$C$7:$C$3366,$A70)</x:f>
        <x:v>5.43371</x:v>
      </x:c>
      <x:c r="J70" s="30" t="n">
        <x:f>SUMIFS('Priced Usage'!$N$7:$N$3366,'Priced Usage'!$C$7:$C$3366,$A70)</x:f>
        <x:v>2.66523</x:v>
      </x:c>
      <x:c r="K70" s="30" t="n">
        <x:f>SUMIFS('Priced Usage'!$O$7:$O$3366,'Priced Usage'!$C$7:$C$3366,$A70)</x:f>
        <x:v>8.09894</x:v>
      </x:c>
      <x:c r="L70" s="29" t="n">
        <x:f>COUNTIFS('Priced Usage'!$C$7:$C$3366,$A70,'Priced Usage'!$I$7:$I$3366,"First attempt")</x:f>
        <x:v>1</x:v>
      </x:c>
      <x:c r="M70" s="29" t="n">
        <x:f>COUNTIFS('Priced Usage'!$C$7:$C$3366,$A70,'Priced Usage'!$I$7:$I$3366,"Followup")</x:f>
        <x:v>7</x:v>
      </x:c>
      <x:c r="N70" s="29" t="n">
        <x:f>COUNTIFS('Priced Usage'!$C$7:$C$3366,$A70,'Priced Usage'!$I$7:$I$3366,"Correction")</x:f>
        <x:v>8</x:v>
      </x:c>
    </x:row>
    <x:row r="71" ht="23" customHeight="1">
      <x:c r="A71" s="17" t="str">
        <x:v>W0065</x:v>
      </x:c>
      <x:c r="B71" s="17" t="str">
        <x:v>C002</x:v>
      </x:c>
      <x:c r="C71" s="17" t="str">
        <x:v>DataFlow</x:v>
      </x:c>
      <x:c r="D71" s="17" t="str">
        <x:v>Pro</x:v>
      </x:c>
      <x:c r="E71" s="29" t="n">
        <x:f>SUMIFS('Priced Usage'!$G$7:$G$3366,'Priced Usage'!$C$7:$C$3366,$A71)</x:f>
        <x:v>318993</x:v>
      </x:c>
      <x:c r="F71" s="29" t="n">
        <x:f>SUMIFS('Priced Usage'!$H$7:$H$3366,'Priced Usage'!$C$7:$C$3366,$A71)</x:f>
        <x:v>196673</x:v>
      </x:c>
      <x:c r="G71" s="29" t="n">
        <x:f>SUMIFS('Priced Usage'!$L$7:$L$3366,'Priced Usage'!$C$7:$C$3366,$A71)</x:f>
        <x:v>515666</x:v>
      </x:c>
      <x:c r="H71" s="29" t="n">
        <x:f>COUNTIFS('Priced Usage'!$C$7:$C$3366,$A71)</x:f>
        <x:v>14</x:v>
      </x:c>
      <x:c r="I71" s="30" t="n">
        <x:f>SUMIFS('Priced Usage'!$M$7:$M$3366,'Priced Usage'!$C$7:$C$3366,$A71)</x:f>
        <x:v>12.759720000000002</x:v>
      </x:c>
      <x:c r="J71" s="30" t="n">
        <x:f>SUMIFS('Priced Usage'!$N$7:$N$3366,'Priced Usage'!$C$7:$C$3366,$A71)</x:f>
        <x:v>19.6673</x:v>
      </x:c>
      <x:c r="K71" s="30" t="n">
        <x:f>SUMIFS('Priced Usage'!$O$7:$O$3366,'Priced Usage'!$C$7:$C$3366,$A71)</x:f>
        <x:v>32.42702</x:v>
      </x:c>
      <x:c r="L71" s="29" t="n">
        <x:f>COUNTIFS('Priced Usage'!$C$7:$C$3366,$A71,'Priced Usage'!$I$7:$I$3366,"First attempt")</x:f>
        <x:v>1</x:v>
      </x:c>
      <x:c r="M71" s="29" t="n">
        <x:f>COUNTIFS('Priced Usage'!$C$7:$C$3366,$A71,'Priced Usage'!$I$7:$I$3366,"Followup")</x:f>
        <x:v>7</x:v>
      </x:c>
      <x:c r="N71" s="29" t="n">
        <x:f>COUNTIFS('Priced Usage'!$C$7:$C$3366,$A71,'Priced Usage'!$I$7:$I$3366,"Correction")</x:f>
        <x:v>6</x:v>
      </x:c>
    </x:row>
    <x:row r="72" ht="23" customHeight="1">
      <x:c r="A72" s="17" t="str">
        <x:v>W0066</x:v>
      </x:c>
      <x:c r="B72" s="17" t="str">
        <x:v>C002</x:v>
      </x:c>
      <x:c r="C72" s="17" t="str">
        <x:v>DataFlow</x:v>
      </x:c>
      <x:c r="D72" s="17" t="str">
        <x:v>Pro</x:v>
      </x:c>
      <x:c r="E72" s="29" t="n">
        <x:f>SUMIFS('Priced Usage'!$G$7:$G$3366,'Priced Usage'!$C$7:$C$3366,$A72)</x:f>
        <x:v>294158</x:v>
      </x:c>
      <x:c r="F72" s="29" t="n">
        <x:f>SUMIFS('Priced Usage'!$H$7:$H$3366,'Priced Usage'!$C$7:$C$3366,$A72)</x:f>
        <x:v>115484</x:v>
      </x:c>
      <x:c r="G72" s="29" t="n">
        <x:f>SUMIFS('Priced Usage'!$L$7:$L$3366,'Priced Usage'!$C$7:$C$3366,$A72)</x:f>
        <x:v>409642</x:v>
      </x:c>
      <x:c r="H72" s="29" t="n">
        <x:f>COUNTIFS('Priced Usage'!$C$7:$C$3366,$A72)</x:f>
        <x:v>11</x:v>
      </x:c>
      <x:c r="I72" s="30" t="n">
        <x:f>SUMIFS('Priced Usage'!$M$7:$M$3366,'Priced Usage'!$C$7:$C$3366,$A72)</x:f>
        <x:v>11.76632</x:v>
      </x:c>
      <x:c r="J72" s="30" t="n">
        <x:f>SUMIFS('Priced Usage'!$N$7:$N$3366,'Priced Usage'!$C$7:$C$3366,$A72)</x:f>
        <x:v>11.5484</x:v>
      </x:c>
      <x:c r="K72" s="30" t="n">
        <x:f>SUMIFS('Priced Usage'!$O$7:$O$3366,'Priced Usage'!$C$7:$C$3366,$A72)</x:f>
        <x:v>23.314719999999998</x:v>
      </x:c>
      <x:c r="L72" s="29" t="n">
        <x:f>COUNTIFS('Priced Usage'!$C$7:$C$3366,$A72,'Priced Usage'!$I$7:$I$3366,"First attempt")</x:f>
        <x:v>1</x:v>
      </x:c>
      <x:c r="M72" s="29" t="n">
        <x:f>COUNTIFS('Priced Usage'!$C$7:$C$3366,$A72,'Priced Usage'!$I$7:$I$3366,"Followup")</x:f>
        <x:v>5</x:v>
      </x:c>
      <x:c r="N72" s="29" t="n">
        <x:f>COUNTIFS('Priced Usage'!$C$7:$C$3366,$A72,'Priced Usage'!$I$7:$I$3366,"Correction")</x:f>
        <x:v>5</x:v>
      </x:c>
    </x:row>
    <x:row r="73" ht="23" customHeight="1">
      <x:c r="A73" s="17" t="str">
        <x:v>W0067</x:v>
      </x:c>
      <x:c r="B73" s="17" t="str">
        <x:v>C002</x:v>
      </x:c>
      <x:c r="C73" s="17" t="str">
        <x:v>InsightDesk</x:v>
      </x:c>
      <x:c r="D73" s="17" t="str">
        <x:v>Pro</x:v>
      </x:c>
      <x:c r="E73" s="29" t="n">
        <x:f>SUMIFS('Priced Usage'!$G$7:$G$3366,'Priced Usage'!$C$7:$C$3366,$A73)</x:f>
        <x:v>448703</x:v>
      </x:c>
      <x:c r="F73" s="29" t="n">
        <x:f>SUMIFS('Priced Usage'!$H$7:$H$3366,'Priced Usage'!$C$7:$C$3366,$A73)</x:f>
        <x:v>217814</x:v>
      </x:c>
      <x:c r="G73" s="29" t="n">
        <x:f>SUMIFS('Priced Usage'!$L$7:$L$3366,'Priced Usage'!$C$7:$C$3366,$A73)</x:f>
        <x:v>666517</x:v>
      </x:c>
      <x:c r="H73" s="29" t="n">
        <x:f>COUNTIFS('Priced Usage'!$C$7:$C$3366,$A73)</x:f>
        <x:v>16</x:v>
      </x:c>
      <x:c r="I73" s="30" t="n">
        <x:f>SUMIFS('Priced Usage'!$M$7:$M$3366,'Priced Usage'!$C$7:$C$3366,$A73)</x:f>
        <x:v>17.948120000000003</x:v>
      </x:c>
      <x:c r="J73" s="30" t="n">
        <x:f>SUMIFS('Priced Usage'!$N$7:$N$3366,'Priced Usage'!$C$7:$C$3366,$A73)</x:f>
        <x:v>21.7814</x:v>
      </x:c>
      <x:c r="K73" s="30" t="n">
        <x:f>SUMIFS('Priced Usage'!$O$7:$O$3366,'Priced Usage'!$C$7:$C$3366,$A73)</x:f>
        <x:v>39.729519999999994</x:v>
      </x:c>
      <x:c r="L73" s="29" t="n">
        <x:f>COUNTIFS('Priced Usage'!$C$7:$C$3366,$A73,'Priced Usage'!$I$7:$I$3366,"First attempt")</x:f>
        <x:v>1</x:v>
      </x:c>
      <x:c r="M73" s="29" t="n">
        <x:f>COUNTIFS('Priced Usage'!$C$7:$C$3366,$A73,'Priced Usage'!$I$7:$I$3366,"Followup")</x:f>
        <x:v>7</x:v>
      </x:c>
      <x:c r="N73" s="29" t="n">
        <x:f>COUNTIFS('Priced Usage'!$C$7:$C$3366,$A73,'Priced Usage'!$I$7:$I$3366,"Correction")</x:f>
        <x:v>8</x:v>
      </x:c>
    </x:row>
    <x:row r="74" ht="23" customHeight="1">
      <x:c r="A74" s="17" t="str">
        <x:v>W0068</x:v>
      </x:c>
      <x:c r="B74" s="17" t="str">
        <x:v>C002</x:v>
      </x:c>
      <x:c r="C74" s="17" t="str">
        <x:v>CopyStudio</x:v>
      </x:c>
      <x:c r="D74" s="17" t="str">
        <x:v>Pro</x:v>
      </x:c>
      <x:c r="E74" s="29" t="n">
        <x:f>SUMIFS('Priced Usage'!$G$7:$G$3366,'Priced Usage'!$C$7:$C$3366,$A74)</x:f>
        <x:v>168930</x:v>
      </x:c>
      <x:c r="F74" s="29" t="n">
        <x:f>SUMIFS('Priced Usage'!$H$7:$H$3366,'Priced Usage'!$C$7:$C$3366,$A74)</x:f>
        <x:v>115490</x:v>
      </x:c>
      <x:c r="G74" s="29" t="n">
        <x:f>SUMIFS('Priced Usage'!$L$7:$L$3366,'Priced Usage'!$C$7:$C$3366,$A74)</x:f>
        <x:v>284420</x:v>
      </x:c>
      <x:c r="H74" s="29" t="n">
        <x:f>COUNTIFS('Priced Usage'!$C$7:$C$3366,$A74)</x:f>
        <x:v>14</x:v>
      </x:c>
      <x:c r="I74" s="30" t="n">
        <x:f>SUMIFS('Priced Usage'!$M$7:$M$3366,'Priced Usage'!$C$7:$C$3366,$A74)</x:f>
        <x:v>6.7572</x:v>
      </x:c>
      <x:c r="J74" s="30" t="n">
        <x:f>SUMIFS('Priced Usage'!$N$7:$N$3366,'Priced Usage'!$C$7:$C$3366,$A74)</x:f>
        <x:v>11.549000000000001</x:v>
      </x:c>
      <x:c r="K74" s="30" t="n">
        <x:f>SUMIFS('Priced Usage'!$O$7:$O$3366,'Priced Usage'!$C$7:$C$3366,$A74)</x:f>
        <x:v>18.3062</x:v>
      </x:c>
      <x:c r="L74" s="29" t="n">
        <x:f>COUNTIFS('Priced Usage'!$C$7:$C$3366,$A74,'Priced Usage'!$I$7:$I$3366,"First attempt")</x:f>
        <x:v>1</x:v>
      </x:c>
      <x:c r="M74" s="29" t="n">
        <x:f>COUNTIFS('Priced Usage'!$C$7:$C$3366,$A74,'Priced Usage'!$I$7:$I$3366,"Followup")</x:f>
        <x:v>10</x:v>
      </x:c>
      <x:c r="N74" s="29" t="n">
        <x:f>COUNTIFS('Priced Usage'!$C$7:$C$3366,$A74,'Priced Usage'!$I$7:$I$3366,"Correction")</x:f>
        <x:v>3</x:v>
      </x:c>
    </x:row>
    <x:row r="75" ht="23" customHeight="1">
      <x:c r="A75" s="17" t="str">
        <x:v>W0069</x:v>
      </x:c>
      <x:c r="B75" s="17" t="str">
        <x:v>C002</x:v>
      </x:c>
      <x:c r="C75" s="17" t="str">
        <x:v>CopyStudio</x:v>
      </x:c>
      <x:c r="D75" s="17" t="str">
        <x:v>Pro</x:v>
      </x:c>
      <x:c r="E75" s="29" t="n">
        <x:f>SUMIFS('Priced Usage'!$G$7:$G$3366,'Priced Usage'!$C$7:$C$3366,$A75)</x:f>
        <x:v>197601</x:v>
      </x:c>
      <x:c r="F75" s="29" t="n">
        <x:f>SUMIFS('Priced Usage'!$H$7:$H$3366,'Priced Usage'!$C$7:$C$3366,$A75)</x:f>
        <x:v>118615</x:v>
      </x:c>
      <x:c r="G75" s="29" t="n">
        <x:f>SUMIFS('Priced Usage'!$L$7:$L$3366,'Priced Usage'!$C$7:$C$3366,$A75)</x:f>
        <x:v>316216</x:v>
      </x:c>
      <x:c r="H75" s="29" t="n">
        <x:f>COUNTIFS('Priced Usage'!$C$7:$C$3366,$A75)</x:f>
        <x:v>15</x:v>
      </x:c>
      <x:c r="I75" s="30" t="n">
        <x:f>SUMIFS('Priced Usage'!$M$7:$M$3366,'Priced Usage'!$C$7:$C$3366,$A75)</x:f>
        <x:v>7.904039999999999</x:v>
      </x:c>
      <x:c r="J75" s="30" t="n">
        <x:f>SUMIFS('Priced Usage'!$N$7:$N$3366,'Priced Usage'!$C$7:$C$3366,$A75)</x:f>
        <x:v>11.8615</x:v>
      </x:c>
      <x:c r="K75" s="30" t="n">
        <x:f>SUMIFS('Priced Usage'!$O$7:$O$3366,'Priced Usage'!$C$7:$C$3366,$A75)</x:f>
        <x:v>19.765539999999998</x:v>
      </x:c>
      <x:c r="L75" s="29" t="n">
        <x:f>COUNTIFS('Priced Usage'!$C$7:$C$3366,$A75,'Priced Usage'!$I$7:$I$3366,"First attempt")</x:f>
        <x:v>1</x:v>
      </x:c>
      <x:c r="M75" s="29" t="n">
        <x:f>COUNTIFS('Priced Usage'!$C$7:$C$3366,$A75,'Priced Usage'!$I$7:$I$3366,"Followup")</x:f>
        <x:v>10</x:v>
      </x:c>
      <x:c r="N75" s="29" t="n">
        <x:f>COUNTIFS('Priced Usage'!$C$7:$C$3366,$A75,'Priced Usage'!$I$7:$I$3366,"Correction")</x:f>
        <x:v>4</x:v>
      </x:c>
    </x:row>
    <x:row r="76" ht="23" customHeight="1">
      <x:c r="A76" s="17" t="str">
        <x:v>W0070</x:v>
      </x:c>
      <x:c r="B76" s="17" t="str">
        <x:v>C002</x:v>
      </x:c>
      <x:c r="C76" s="17" t="str">
        <x:v>CampaignChat</x:v>
      </x:c>
      <x:c r="D76" s="17" t="str">
        <x:v>Pro</x:v>
      </x:c>
      <x:c r="E76" s="29" t="n">
        <x:f>SUMIFS('Priced Usage'!$G$7:$G$3366,'Priced Usage'!$C$7:$C$3366,$A76)</x:f>
        <x:v>133133</x:v>
      </x:c>
      <x:c r="F76" s="29" t="n">
        <x:f>SUMIFS('Priced Usage'!$H$7:$H$3366,'Priced Usage'!$C$7:$C$3366,$A76)</x:f>
        <x:v>80884</x:v>
      </x:c>
      <x:c r="G76" s="29" t="n">
        <x:f>SUMIFS('Priced Usage'!$L$7:$L$3366,'Priced Usage'!$C$7:$C$3366,$A76)</x:f>
        <x:v>214017</x:v>
      </x:c>
      <x:c r="H76" s="29" t="n">
        <x:f>COUNTIFS('Priced Usage'!$C$7:$C$3366,$A76)</x:f>
        <x:v>11</x:v>
      </x:c>
      <x:c r="I76" s="30" t="n">
        <x:f>SUMIFS('Priced Usage'!$M$7:$M$3366,'Priced Usage'!$C$7:$C$3366,$A76)</x:f>
        <x:v>5.3253200000000005</x:v>
      </x:c>
      <x:c r="J76" s="30" t="n">
        <x:f>SUMIFS('Priced Usage'!$N$7:$N$3366,'Priced Usage'!$C$7:$C$3366,$A76)</x:f>
        <x:v>8.0884</x:v>
      </x:c>
      <x:c r="K76" s="30" t="n">
        <x:f>SUMIFS('Priced Usage'!$O$7:$O$3366,'Priced Usage'!$C$7:$C$3366,$A76)</x:f>
        <x:v>13.41372</x:v>
      </x:c>
      <x:c r="L76" s="29" t="n">
        <x:f>COUNTIFS('Priced Usage'!$C$7:$C$3366,$A76,'Priced Usage'!$I$7:$I$3366,"First attempt")</x:f>
        <x:v>1</x:v>
      </x:c>
      <x:c r="M76" s="29" t="n">
        <x:f>COUNTIFS('Priced Usage'!$C$7:$C$3366,$A76,'Priced Usage'!$I$7:$I$3366,"Followup")</x:f>
        <x:v>6</x:v>
      </x:c>
      <x:c r="N76" s="29" t="n">
        <x:f>COUNTIFS('Priced Usage'!$C$7:$C$3366,$A76,'Priced Usage'!$I$7:$I$3366,"Correction")</x:f>
        <x:v>4</x:v>
      </x:c>
    </x:row>
    <x:row r="77" ht="23" customHeight="1">
      <x:c r="A77" s="17" t="str">
        <x:v>W0071</x:v>
      </x:c>
      <x:c r="B77" s="17" t="str">
        <x:v>C002</x:v>
      </x:c>
      <x:c r="C77" s="17" t="str">
        <x:v>CampaignChat</x:v>
      </x:c>
      <x:c r="D77" s="17" t="str">
        <x:v>Lite</x:v>
      </x:c>
      <x:c r="E77" s="29" t="n">
        <x:f>SUMIFS('Priced Usage'!$G$7:$G$3366,'Priced Usage'!$C$7:$C$3366,$A77)</x:f>
        <x:v>674195</x:v>
      </x:c>
      <x:c r="F77" s="29" t="n">
        <x:f>SUMIFS('Priced Usage'!$H$7:$H$3366,'Priced Usage'!$C$7:$C$3366,$A77)</x:f>
        <x:v>181933</x:v>
      </x:c>
      <x:c r="G77" s="29" t="n">
        <x:f>SUMIFS('Priced Usage'!$L$7:$L$3366,'Priced Usage'!$C$7:$C$3366,$A77)</x:f>
        <x:v>856128</x:v>
      </x:c>
      <x:c r="H77" s="29" t="n">
        <x:f>COUNTIFS('Priced Usage'!$C$7:$C$3366,$A77)</x:f>
        <x:v>20</x:v>
      </x:c>
      <x:c r="I77" s="30" t="n">
        <x:f>SUMIFS('Priced Usage'!$M$7:$M$3366,'Priced Usage'!$C$7:$C$3366,$A77)</x:f>
        <x:v>6.741949999999999</x:v>
      </x:c>
      <x:c r="J77" s="30" t="n">
        <x:f>SUMIFS('Priced Usage'!$N$7:$N$3366,'Priced Usage'!$C$7:$C$3366,$A77)</x:f>
        <x:v>5.45799</x:v>
      </x:c>
      <x:c r="K77" s="30" t="n">
        <x:f>SUMIFS('Priced Usage'!$O$7:$O$3366,'Priced Usage'!$C$7:$C$3366,$A77)</x:f>
        <x:v>12.19994</x:v>
      </x:c>
      <x:c r="L77" s="29" t="n">
        <x:f>COUNTIFS('Priced Usage'!$C$7:$C$3366,$A77,'Priced Usage'!$I$7:$I$3366,"First attempt")</x:f>
        <x:v>1</x:v>
      </x:c>
      <x:c r="M77" s="29" t="n">
        <x:f>COUNTIFS('Priced Usage'!$C$7:$C$3366,$A77,'Priced Usage'!$I$7:$I$3366,"Followup")</x:f>
        <x:v>10</x:v>
      </x:c>
      <x:c r="N77" s="29" t="n">
        <x:f>COUNTIFS('Priced Usage'!$C$7:$C$3366,$A77,'Priced Usage'!$I$7:$I$3366,"Correction")</x:f>
        <x:v>9</x:v>
      </x:c>
    </x:row>
    <x:row r="78" ht="23" customHeight="1">
      <x:c r="A78" s="17" t="str">
        <x:v>W0072</x:v>
      </x:c>
      <x:c r="B78" s="17" t="str">
        <x:v>C002</x:v>
      </x:c>
      <x:c r="C78" s="17" t="str">
        <x:v>CopyStudio</x:v>
      </x:c>
      <x:c r="D78" s="17" t="str">
        <x:v>Lite</x:v>
      </x:c>
      <x:c r="E78" s="29" t="n">
        <x:f>SUMIFS('Priced Usage'!$G$7:$G$3366,'Priced Usage'!$C$7:$C$3366,$A78)</x:f>
        <x:v>808449</x:v>
      </x:c>
      <x:c r="F78" s="29" t="n">
        <x:f>SUMIFS('Priced Usage'!$H$7:$H$3366,'Priced Usage'!$C$7:$C$3366,$A78)</x:f>
        <x:v>117056</x:v>
      </x:c>
      <x:c r="G78" s="29" t="n">
        <x:f>SUMIFS('Priced Usage'!$L$7:$L$3366,'Priced Usage'!$C$7:$C$3366,$A78)</x:f>
        <x:v>925505</x:v>
      </x:c>
      <x:c r="H78" s="29" t="n">
        <x:f>COUNTIFS('Priced Usage'!$C$7:$C$3366,$A78)</x:f>
        <x:v>29</x:v>
      </x:c>
      <x:c r="I78" s="30" t="n">
        <x:f>SUMIFS('Priced Usage'!$M$7:$M$3366,'Priced Usage'!$C$7:$C$3366,$A78)</x:f>
        <x:v>8.08449</x:v>
      </x:c>
      <x:c r="J78" s="30" t="n">
        <x:f>SUMIFS('Priced Usage'!$N$7:$N$3366,'Priced Usage'!$C$7:$C$3366,$A78)</x:f>
        <x:v>3.5116799999999997</x:v>
      </x:c>
      <x:c r="K78" s="30" t="n">
        <x:f>SUMIFS('Priced Usage'!$O$7:$O$3366,'Priced Usage'!$C$7:$C$3366,$A78)</x:f>
        <x:v>11.596170000000003</x:v>
      </x:c>
      <x:c r="L78" s="29" t="n">
        <x:f>COUNTIFS('Priced Usage'!$C$7:$C$3366,$A78,'Priced Usage'!$I$7:$I$3366,"First attempt")</x:f>
        <x:v>1</x:v>
      </x:c>
      <x:c r="M78" s="29" t="n">
        <x:f>COUNTIFS('Priced Usage'!$C$7:$C$3366,$A78,'Priced Usage'!$I$7:$I$3366,"Followup")</x:f>
        <x:v>15</x:v>
      </x:c>
      <x:c r="N78" s="29" t="n">
        <x:f>COUNTIFS('Priced Usage'!$C$7:$C$3366,$A78,'Priced Usage'!$I$7:$I$3366,"Correction")</x:f>
        <x:v>13</x:v>
      </x:c>
    </x:row>
    <x:row r="79" ht="23" customHeight="1">
      <x:c r="A79" s="17" t="str">
        <x:v>W0073</x:v>
      </x:c>
      <x:c r="B79" s="17" t="str">
        <x:v>C002</x:v>
      </x:c>
      <x:c r="C79" s="17" t="str">
        <x:v>DataFlow</x:v>
      </x:c>
      <x:c r="D79" s="17" t="str">
        <x:v>Lite</x:v>
      </x:c>
      <x:c r="E79" s="29" t="n">
        <x:f>SUMIFS('Priced Usage'!$G$7:$G$3366,'Priced Usage'!$C$7:$C$3366,$A79)</x:f>
        <x:v>1003562</x:v>
      </x:c>
      <x:c r="F79" s="29" t="n">
        <x:f>SUMIFS('Priced Usage'!$H$7:$H$3366,'Priced Usage'!$C$7:$C$3366,$A79)</x:f>
        <x:v>128037</x:v>
      </x:c>
      <x:c r="G79" s="29" t="n">
        <x:f>SUMIFS('Priced Usage'!$L$7:$L$3366,'Priced Usage'!$C$7:$C$3366,$A79)</x:f>
        <x:v>1131599</x:v>
      </x:c>
      <x:c r="H79" s="29" t="n">
        <x:f>COUNTIFS('Priced Usage'!$C$7:$C$3366,$A79)</x:f>
        <x:v>23</x:v>
      </x:c>
      <x:c r="I79" s="30" t="n">
        <x:f>SUMIFS('Priced Usage'!$M$7:$M$3366,'Priced Usage'!$C$7:$C$3366,$A79)</x:f>
        <x:v>10.035620000000002</x:v>
      </x:c>
      <x:c r="J79" s="30" t="n">
        <x:f>SUMIFS('Priced Usage'!$N$7:$N$3366,'Priced Usage'!$C$7:$C$3366,$A79)</x:f>
        <x:v>3.8411099999999996</x:v>
      </x:c>
      <x:c r="K79" s="30" t="n">
        <x:f>SUMIFS('Priced Usage'!$O$7:$O$3366,'Priced Usage'!$C$7:$C$3366,$A79)</x:f>
        <x:v>13.87673</x:v>
      </x:c>
      <x:c r="L79" s="29" t="n">
        <x:f>COUNTIFS('Priced Usage'!$C$7:$C$3366,$A79,'Priced Usage'!$I$7:$I$3366,"First attempt")</x:f>
        <x:v>1</x:v>
      </x:c>
      <x:c r="M79" s="29" t="n">
        <x:f>COUNTIFS('Priced Usage'!$C$7:$C$3366,$A79,'Priced Usage'!$I$7:$I$3366,"Followup")</x:f>
        <x:v>12</x:v>
      </x:c>
      <x:c r="N79" s="29" t="n">
        <x:f>COUNTIFS('Priced Usage'!$C$7:$C$3366,$A79,'Priced Usage'!$I$7:$I$3366,"Correction")</x:f>
        <x:v>10</x:v>
      </x:c>
    </x:row>
    <x:row r="80" ht="23" customHeight="1">
      <x:c r="A80" s="17" t="str">
        <x:v>W0074</x:v>
      </x:c>
      <x:c r="B80" s="17" t="str">
        <x:v>C002</x:v>
      </x:c>
      <x:c r="C80" s="17" t="str">
        <x:v>InsightDesk</x:v>
      </x:c>
      <x:c r="D80" s="17" t="str">
        <x:v>Pro</x:v>
      </x:c>
      <x:c r="E80" s="29" t="n">
        <x:f>SUMIFS('Priced Usage'!$G$7:$G$3366,'Priced Usage'!$C$7:$C$3366,$A80)</x:f>
        <x:v>503772</x:v>
      </x:c>
      <x:c r="F80" s="29" t="n">
        <x:f>SUMIFS('Priced Usage'!$H$7:$H$3366,'Priced Usage'!$C$7:$C$3366,$A80)</x:f>
        <x:v>125364</x:v>
      </x:c>
      <x:c r="G80" s="29" t="n">
        <x:f>SUMIFS('Priced Usage'!$L$7:$L$3366,'Priced Usage'!$C$7:$C$3366,$A80)</x:f>
        <x:v>629136</x:v>
      </x:c>
      <x:c r="H80" s="29" t="n">
        <x:f>COUNTIFS('Priced Usage'!$C$7:$C$3366,$A80)</x:f>
        <x:v>18</x:v>
      </x:c>
      <x:c r="I80" s="30" t="n">
        <x:f>SUMIFS('Priced Usage'!$M$7:$M$3366,'Priced Usage'!$C$7:$C$3366,$A80)</x:f>
        <x:v>20.150880000000004</x:v>
      </x:c>
      <x:c r="J80" s="30" t="n">
        <x:f>SUMIFS('Priced Usage'!$N$7:$N$3366,'Priced Usage'!$C$7:$C$3366,$A80)</x:f>
        <x:v>12.536399999999999</x:v>
      </x:c>
      <x:c r="K80" s="30" t="n">
        <x:f>SUMIFS('Priced Usage'!$O$7:$O$3366,'Priced Usage'!$C$7:$C$3366,$A80)</x:f>
        <x:v>32.687279999999994</x:v>
      </x:c>
      <x:c r="L80" s="29" t="n">
        <x:f>COUNTIFS('Priced Usage'!$C$7:$C$3366,$A80,'Priced Usage'!$I$7:$I$3366,"First attempt")</x:f>
        <x:v>1</x:v>
      </x:c>
      <x:c r="M80" s="29" t="n">
        <x:f>COUNTIFS('Priced Usage'!$C$7:$C$3366,$A80,'Priced Usage'!$I$7:$I$3366,"Followup")</x:f>
        <x:v>7</x:v>
      </x:c>
      <x:c r="N80" s="29" t="n">
        <x:f>COUNTIFS('Priced Usage'!$C$7:$C$3366,$A80,'Priced Usage'!$I$7:$I$3366,"Correction")</x:f>
        <x:v>10</x:v>
      </x:c>
    </x:row>
    <x:row r="81" ht="23" customHeight="1">
      <x:c r="A81" s="17" t="str">
        <x:v>W0075</x:v>
      </x:c>
      <x:c r="B81" s="17" t="str">
        <x:v>C002</x:v>
      </x:c>
      <x:c r="C81" s="17" t="str">
        <x:v>InsightDesk</x:v>
      </x:c>
      <x:c r="D81" s="17" t="str">
        <x:v>Lite</x:v>
      </x:c>
      <x:c r="E81" s="29" t="n">
        <x:f>SUMIFS('Priced Usage'!$G$7:$G$3366,'Priced Usage'!$C$7:$C$3366,$A81)</x:f>
        <x:v>431332</x:v>
      </x:c>
      <x:c r="F81" s="29" t="n">
        <x:f>SUMIFS('Priced Usage'!$H$7:$H$3366,'Priced Usage'!$C$7:$C$3366,$A81)</x:f>
        <x:v>104650</x:v>
      </x:c>
      <x:c r="G81" s="29" t="n">
        <x:f>SUMIFS('Priced Usage'!$L$7:$L$3366,'Priced Usage'!$C$7:$C$3366,$A81)</x:f>
        <x:v>535982</x:v>
      </x:c>
      <x:c r="H81" s="29" t="n">
        <x:f>COUNTIFS('Priced Usage'!$C$7:$C$3366,$A81)</x:f>
        <x:v>21</x:v>
      </x:c>
      <x:c r="I81" s="30" t="n">
        <x:f>SUMIFS('Priced Usage'!$M$7:$M$3366,'Priced Usage'!$C$7:$C$3366,$A81)</x:f>
        <x:v>4.31332</x:v>
      </x:c>
      <x:c r="J81" s="30" t="n">
        <x:f>SUMIFS('Priced Usage'!$N$7:$N$3366,'Priced Usage'!$C$7:$C$3366,$A81)</x:f>
        <x:v>3.1394999999999995</x:v>
      </x:c>
      <x:c r="K81" s="30" t="n">
        <x:f>SUMIFS('Priced Usage'!$O$7:$O$3366,'Priced Usage'!$C$7:$C$3366,$A81)</x:f>
        <x:v>7.452820000000001</x:v>
      </x:c>
      <x:c r="L81" s="29" t="n">
        <x:f>COUNTIFS('Priced Usage'!$C$7:$C$3366,$A81,'Priced Usage'!$I$7:$I$3366,"First attempt")</x:f>
        <x:v>1</x:v>
      </x:c>
      <x:c r="M81" s="29" t="n">
        <x:f>COUNTIFS('Priced Usage'!$C$7:$C$3366,$A81,'Priced Usage'!$I$7:$I$3366,"Followup")</x:f>
        <x:v>14</x:v>
      </x:c>
      <x:c r="N81" s="29" t="n">
        <x:f>COUNTIFS('Priced Usage'!$C$7:$C$3366,$A81,'Priced Usage'!$I$7:$I$3366,"Correction")</x:f>
        <x:v>6</x:v>
      </x:c>
    </x:row>
    <x:row r="82" ht="23" customHeight="1">
      <x:c r="A82" s="17" t="str">
        <x:v>W0076</x:v>
      </x:c>
      <x:c r="B82" s="17" t="str">
        <x:v>C002</x:v>
      </x:c>
      <x:c r="C82" s="17" t="str">
        <x:v>CopyStudio</x:v>
      </x:c>
      <x:c r="D82" s="17" t="str">
        <x:v>Lite</x:v>
      </x:c>
      <x:c r="E82" s="29" t="n">
        <x:f>SUMIFS('Priced Usage'!$G$7:$G$3366,'Priced Usage'!$C$7:$C$3366,$A82)</x:f>
        <x:v>480572</x:v>
      </x:c>
      <x:c r="F82" s="29" t="n">
        <x:f>SUMIFS('Priced Usage'!$H$7:$H$3366,'Priced Usage'!$C$7:$C$3366,$A82)</x:f>
        <x:v>141865</x:v>
      </x:c>
      <x:c r="G82" s="29" t="n">
        <x:f>SUMIFS('Priced Usage'!$L$7:$L$3366,'Priced Usage'!$C$7:$C$3366,$A82)</x:f>
        <x:v>622437</x:v>
      </x:c>
      <x:c r="H82" s="29" t="n">
        <x:f>COUNTIFS('Priced Usage'!$C$7:$C$3366,$A82)</x:f>
        <x:v>15</x:v>
      </x:c>
      <x:c r="I82" s="30" t="n">
        <x:f>SUMIFS('Priced Usage'!$M$7:$M$3366,'Priced Usage'!$C$7:$C$3366,$A82)</x:f>
        <x:v>4.805720000000001</x:v>
      </x:c>
      <x:c r="J82" s="30" t="n">
        <x:f>SUMIFS('Priced Usage'!$N$7:$N$3366,'Priced Usage'!$C$7:$C$3366,$A82)</x:f>
        <x:v>4.25595</x:v>
      </x:c>
      <x:c r="K82" s="30" t="n">
        <x:f>SUMIFS('Priced Usage'!$O$7:$O$3366,'Priced Usage'!$C$7:$C$3366,$A82)</x:f>
        <x:v>9.06167</x:v>
      </x:c>
      <x:c r="L82" s="29" t="n">
        <x:f>COUNTIFS('Priced Usage'!$C$7:$C$3366,$A82,'Priced Usage'!$I$7:$I$3366,"First attempt")</x:f>
        <x:v>1</x:v>
      </x:c>
      <x:c r="M82" s="29" t="n">
        <x:f>COUNTIFS('Priced Usage'!$C$7:$C$3366,$A82,'Priced Usage'!$I$7:$I$3366,"Followup")</x:f>
        <x:v>8</x:v>
      </x:c>
      <x:c r="N82" s="29" t="n">
        <x:f>COUNTIFS('Priced Usage'!$C$7:$C$3366,$A82,'Priced Usage'!$I$7:$I$3366,"Correction")</x:f>
        <x:v>6</x:v>
      </x:c>
    </x:row>
    <x:row r="83" ht="23" customHeight="1">
      <x:c r="A83" s="17" t="str">
        <x:v>W0077</x:v>
      </x:c>
      <x:c r="B83" s="17" t="str">
        <x:v>C002</x:v>
      </x:c>
      <x:c r="C83" s="17" t="str">
        <x:v>CampaignChat</x:v>
      </x:c>
      <x:c r="D83" s="17" t="str">
        <x:v>Lite</x:v>
      </x:c>
      <x:c r="E83" s="29" t="n">
        <x:f>SUMIFS('Priced Usage'!$G$7:$G$3366,'Priced Usage'!$C$7:$C$3366,$A83)</x:f>
        <x:v>745686</x:v>
      </x:c>
      <x:c r="F83" s="29" t="n">
        <x:f>SUMIFS('Priced Usage'!$H$7:$H$3366,'Priced Usage'!$C$7:$C$3366,$A83)</x:f>
        <x:v>115368</x:v>
      </x:c>
      <x:c r="G83" s="29" t="n">
        <x:f>SUMIFS('Priced Usage'!$L$7:$L$3366,'Priced Usage'!$C$7:$C$3366,$A83)</x:f>
        <x:v>861054</x:v>
      </x:c>
      <x:c r="H83" s="29" t="n">
        <x:f>COUNTIFS('Priced Usage'!$C$7:$C$3366,$A83)</x:f>
        <x:v>20</x:v>
      </x:c>
      <x:c r="I83" s="30" t="n">
        <x:f>SUMIFS('Priced Usage'!$M$7:$M$3366,'Priced Usage'!$C$7:$C$3366,$A83)</x:f>
        <x:v>7.456860000000001</x:v>
      </x:c>
      <x:c r="J83" s="30" t="n">
        <x:f>SUMIFS('Priced Usage'!$N$7:$N$3366,'Priced Usage'!$C$7:$C$3366,$A83)</x:f>
        <x:v>3.4610400000000006</x:v>
      </x:c>
      <x:c r="K83" s="30" t="n">
        <x:f>SUMIFS('Priced Usage'!$O$7:$O$3366,'Priced Usage'!$C$7:$C$3366,$A83)</x:f>
        <x:v>10.9179</x:v>
      </x:c>
      <x:c r="L83" s="29" t="n">
        <x:f>COUNTIFS('Priced Usage'!$C$7:$C$3366,$A83,'Priced Usage'!$I$7:$I$3366,"First attempt")</x:f>
        <x:v>1</x:v>
      </x:c>
      <x:c r="M83" s="29" t="n">
        <x:f>COUNTIFS('Priced Usage'!$C$7:$C$3366,$A83,'Priced Usage'!$I$7:$I$3366,"Followup")</x:f>
        <x:v>12</x:v>
      </x:c>
      <x:c r="N83" s="29" t="n">
        <x:f>COUNTIFS('Priced Usage'!$C$7:$C$3366,$A83,'Priced Usage'!$I$7:$I$3366,"Correction")</x:f>
        <x:v>7</x:v>
      </x:c>
    </x:row>
    <x:row r="84" ht="23" customHeight="1">
      <x:c r="A84" s="17" t="str">
        <x:v>W0078</x:v>
      </x:c>
      <x:c r="B84" s="17" t="str">
        <x:v>C002</x:v>
      </x:c>
      <x:c r="C84" s="17" t="str">
        <x:v>CampaignChat</x:v>
      </x:c>
      <x:c r="D84" s="17" t="str">
        <x:v>Lite</x:v>
      </x:c>
      <x:c r="E84" s="29" t="n">
        <x:f>SUMIFS('Priced Usage'!$G$7:$G$3366,'Priced Usage'!$C$7:$C$3366,$A84)</x:f>
        <x:v>583031</x:v>
      </x:c>
      <x:c r="F84" s="29" t="n">
        <x:f>SUMIFS('Priced Usage'!$H$7:$H$3366,'Priced Usage'!$C$7:$C$3366,$A84)</x:f>
        <x:v>127379</x:v>
      </x:c>
      <x:c r="G84" s="29" t="n">
        <x:f>SUMIFS('Priced Usage'!$L$7:$L$3366,'Priced Usage'!$C$7:$C$3366,$A84)</x:f>
        <x:v>710410</x:v>
      </x:c>
      <x:c r="H84" s="29" t="n">
        <x:f>COUNTIFS('Priced Usage'!$C$7:$C$3366,$A84)</x:f>
        <x:v>20</x:v>
      </x:c>
      <x:c r="I84" s="30" t="n">
        <x:f>SUMIFS('Priced Usage'!$M$7:$M$3366,'Priced Usage'!$C$7:$C$3366,$A84)</x:f>
        <x:v>5.83031</x:v>
      </x:c>
      <x:c r="J84" s="30" t="n">
        <x:f>SUMIFS('Priced Usage'!$N$7:$N$3366,'Priced Usage'!$C$7:$C$3366,$A84)</x:f>
        <x:v>3.82137</x:v>
      </x:c>
      <x:c r="K84" s="30" t="n">
        <x:f>SUMIFS('Priced Usage'!$O$7:$O$3366,'Priced Usage'!$C$7:$C$3366,$A84)</x:f>
        <x:v>9.65168</x:v>
      </x:c>
      <x:c r="L84" s="29" t="n">
        <x:f>COUNTIFS('Priced Usage'!$C$7:$C$3366,$A84,'Priced Usage'!$I$7:$I$3366,"First attempt")</x:f>
        <x:v>1</x:v>
      </x:c>
      <x:c r="M84" s="29" t="n">
        <x:f>COUNTIFS('Priced Usage'!$C$7:$C$3366,$A84,'Priced Usage'!$I$7:$I$3366,"Followup")</x:f>
        <x:v>13</x:v>
      </x:c>
      <x:c r="N84" s="29" t="n">
        <x:f>COUNTIFS('Priced Usage'!$C$7:$C$3366,$A84,'Priced Usage'!$I$7:$I$3366,"Correction")</x:f>
        <x:v>6</x:v>
      </x:c>
    </x:row>
    <x:row r="85" ht="23" customHeight="1">
      <x:c r="A85" s="17" t="str">
        <x:v>W0079</x:v>
      </x:c>
      <x:c r="B85" s="17" t="str">
        <x:v>C002</x:v>
      </x:c>
      <x:c r="C85" s="17" t="str">
        <x:v>CampaignChat</x:v>
      </x:c>
      <x:c r="D85" s="17" t="str">
        <x:v>Pro</x:v>
      </x:c>
      <x:c r="E85" s="29" t="n">
        <x:f>SUMIFS('Priced Usage'!$G$7:$G$3366,'Priced Usage'!$C$7:$C$3366,$A85)</x:f>
        <x:v>335611</x:v>
      </x:c>
      <x:c r="F85" s="29" t="n">
        <x:f>SUMIFS('Priced Usage'!$H$7:$H$3366,'Priced Usage'!$C$7:$C$3366,$A85)</x:f>
        <x:v>292135</x:v>
      </x:c>
      <x:c r="G85" s="29" t="n">
        <x:f>SUMIFS('Priced Usage'!$L$7:$L$3366,'Priced Usage'!$C$7:$C$3366,$A85)</x:f>
        <x:v>627746</x:v>
      </x:c>
      <x:c r="H85" s="29" t="n">
        <x:f>COUNTIFS('Priced Usage'!$C$7:$C$3366,$A85)</x:f>
        <x:v>27</x:v>
      </x:c>
      <x:c r="I85" s="30" t="n">
        <x:f>SUMIFS('Priced Usage'!$M$7:$M$3366,'Priced Usage'!$C$7:$C$3366,$A85)</x:f>
        <x:v>13.424439999999999</x:v>
      </x:c>
      <x:c r="J85" s="30" t="n">
        <x:f>SUMIFS('Priced Usage'!$N$7:$N$3366,'Priced Usage'!$C$7:$C$3366,$A85)</x:f>
        <x:v>29.213499999999993</x:v>
      </x:c>
      <x:c r="K85" s="30" t="n">
        <x:f>SUMIFS('Priced Usage'!$O$7:$O$3366,'Priced Usage'!$C$7:$C$3366,$A85)</x:f>
        <x:v>42.63794</x:v>
      </x:c>
      <x:c r="L85" s="29" t="n">
        <x:f>COUNTIFS('Priced Usage'!$C$7:$C$3366,$A85,'Priced Usage'!$I$7:$I$3366,"First attempt")</x:f>
        <x:v>1</x:v>
      </x:c>
      <x:c r="M85" s="29" t="n">
        <x:f>COUNTIFS('Priced Usage'!$C$7:$C$3366,$A85,'Priced Usage'!$I$7:$I$3366,"Followup")</x:f>
        <x:v>15</x:v>
      </x:c>
      <x:c r="N85" s="29" t="n">
        <x:f>COUNTIFS('Priced Usage'!$C$7:$C$3366,$A85,'Priced Usage'!$I$7:$I$3366,"Correction")</x:f>
        <x:v>11</x:v>
      </x:c>
    </x:row>
    <x:row r="86" ht="23" customHeight="1">
      <x:c r="A86" s="17" t="str">
        <x:v>W0080</x:v>
      </x:c>
      <x:c r="B86" s="17" t="str">
        <x:v>C002</x:v>
      </x:c>
      <x:c r="C86" s="17" t="str">
        <x:v>DataFlow</x:v>
      </x:c>
      <x:c r="D86" s="17" t="str">
        <x:v>Pro</x:v>
      </x:c>
      <x:c r="E86" s="29" t="n">
        <x:f>SUMIFS('Priced Usage'!$G$7:$G$3366,'Priced Usage'!$C$7:$C$3366,$A86)</x:f>
        <x:v>703736</x:v>
      </x:c>
      <x:c r="F86" s="29" t="n">
        <x:f>SUMIFS('Priced Usage'!$H$7:$H$3366,'Priced Usage'!$C$7:$C$3366,$A86)</x:f>
        <x:v>332836</x:v>
      </x:c>
      <x:c r="G86" s="29" t="n">
        <x:f>SUMIFS('Priced Usage'!$L$7:$L$3366,'Priced Usage'!$C$7:$C$3366,$A86)</x:f>
        <x:v>1036572</x:v>
      </x:c>
      <x:c r="H86" s="29" t="n">
        <x:f>COUNTIFS('Priced Usage'!$C$7:$C$3366,$A86)</x:f>
        <x:v>26</x:v>
      </x:c>
      <x:c r="I86" s="30" t="n">
        <x:f>SUMIFS('Priced Usage'!$M$7:$M$3366,'Priced Usage'!$C$7:$C$3366,$A86)</x:f>
        <x:v>28.149440000000002</x:v>
      </x:c>
      <x:c r="J86" s="30" t="n">
        <x:f>SUMIFS('Priced Usage'!$N$7:$N$3366,'Priced Usage'!$C$7:$C$3366,$A86)</x:f>
        <x:v>33.28360000000001</x:v>
      </x:c>
      <x:c r="K86" s="30" t="n">
        <x:f>SUMIFS('Priced Usage'!$O$7:$O$3366,'Priced Usage'!$C$7:$C$3366,$A86)</x:f>
        <x:v>61.43303999999998</x:v>
      </x:c>
      <x:c r="L86" s="29" t="n">
        <x:f>COUNTIFS('Priced Usage'!$C$7:$C$3366,$A86,'Priced Usage'!$I$7:$I$3366,"First attempt")</x:f>
        <x:v>1</x:v>
      </x:c>
      <x:c r="M86" s="29" t="n">
        <x:f>COUNTIFS('Priced Usage'!$C$7:$C$3366,$A86,'Priced Usage'!$I$7:$I$3366,"Followup")</x:f>
        <x:v>14</x:v>
      </x:c>
      <x:c r="N86" s="29" t="n">
        <x:f>COUNTIFS('Priced Usage'!$C$7:$C$3366,$A86,'Priced Usage'!$I$7:$I$3366,"Correction")</x:f>
        <x:v>11</x:v>
      </x:c>
    </x:row>
    <x:row r="87" ht="23" customHeight="1">
      <x:c r="A87" s="17" t="str">
        <x:v>W0081</x:v>
      </x:c>
      <x:c r="B87" s="17" t="str">
        <x:v>C002</x:v>
      </x:c>
      <x:c r="C87" s="17" t="str">
        <x:v>DataFlow</x:v>
      </x:c>
      <x:c r="D87" s="17" t="str">
        <x:v>Pro</x:v>
      </x:c>
      <x:c r="E87" s="29" t="n">
        <x:f>SUMIFS('Priced Usage'!$G$7:$G$3366,'Priced Usage'!$C$7:$C$3366,$A87)</x:f>
        <x:v>471879</x:v>
      </x:c>
      <x:c r="F87" s="29" t="n">
        <x:f>SUMIFS('Priced Usage'!$H$7:$H$3366,'Priced Usage'!$C$7:$C$3366,$A87)</x:f>
        <x:v>227069</x:v>
      </x:c>
      <x:c r="G87" s="29" t="n">
        <x:f>SUMIFS('Priced Usage'!$L$7:$L$3366,'Priced Usage'!$C$7:$C$3366,$A87)</x:f>
        <x:v>698948</x:v>
      </x:c>
      <x:c r="H87" s="29" t="n">
        <x:f>COUNTIFS('Priced Usage'!$C$7:$C$3366,$A87)</x:f>
        <x:v>20</x:v>
      </x:c>
      <x:c r="I87" s="30" t="n">
        <x:f>SUMIFS('Priced Usage'!$M$7:$M$3366,'Priced Usage'!$C$7:$C$3366,$A87)</x:f>
        <x:v>18.87516</x:v>
      </x:c>
      <x:c r="J87" s="30" t="n">
        <x:f>SUMIFS('Priced Usage'!$N$7:$N$3366,'Priced Usage'!$C$7:$C$3366,$A87)</x:f>
        <x:v>22.7069</x:v>
      </x:c>
      <x:c r="K87" s="30" t="n">
        <x:f>SUMIFS('Priced Usage'!$O$7:$O$3366,'Priced Usage'!$C$7:$C$3366,$A87)</x:f>
        <x:v>41.58205999999999</x:v>
      </x:c>
      <x:c r="L87" s="29" t="n">
        <x:f>COUNTIFS('Priced Usage'!$C$7:$C$3366,$A87,'Priced Usage'!$I$7:$I$3366,"First attempt")</x:f>
        <x:v>1</x:v>
      </x:c>
      <x:c r="M87" s="29" t="n">
        <x:f>COUNTIFS('Priced Usage'!$C$7:$C$3366,$A87,'Priced Usage'!$I$7:$I$3366,"Followup")</x:f>
        <x:v>9</x:v>
      </x:c>
      <x:c r="N87" s="29" t="n">
        <x:f>COUNTIFS('Priced Usage'!$C$7:$C$3366,$A87,'Priced Usage'!$I$7:$I$3366,"Correction")</x:f>
        <x:v>10</x:v>
      </x:c>
    </x:row>
    <x:row r="88" ht="23" customHeight="1">
      <x:c r="A88" s="17" t="str">
        <x:v>W0082</x:v>
      </x:c>
      <x:c r="B88" s="17" t="str">
        <x:v>C002</x:v>
      </x:c>
      <x:c r="C88" s="17" t="str">
        <x:v>InsightDesk</x:v>
      </x:c>
      <x:c r="D88" s="17" t="str">
        <x:v>Pro</x:v>
      </x:c>
      <x:c r="E88" s="29" t="n">
        <x:f>SUMIFS('Priced Usage'!$G$7:$G$3366,'Priced Usage'!$C$7:$C$3366,$A88)</x:f>
        <x:v>470317</x:v>
      </x:c>
      <x:c r="F88" s="29" t="n">
        <x:f>SUMIFS('Priced Usage'!$H$7:$H$3366,'Priced Usage'!$C$7:$C$3366,$A88)</x:f>
        <x:v>153135</x:v>
      </x:c>
      <x:c r="G88" s="29" t="n">
        <x:f>SUMIFS('Priced Usage'!$L$7:$L$3366,'Priced Usage'!$C$7:$C$3366,$A88)</x:f>
        <x:v>623452</x:v>
      </x:c>
      <x:c r="H88" s="29" t="n">
        <x:f>COUNTIFS('Priced Usage'!$C$7:$C$3366,$A88)</x:f>
        <x:v>17</x:v>
      </x:c>
      <x:c r="I88" s="30" t="n">
        <x:f>SUMIFS('Priced Usage'!$M$7:$M$3366,'Priced Usage'!$C$7:$C$3366,$A88)</x:f>
        <x:v>18.81268</x:v>
      </x:c>
      <x:c r="J88" s="30" t="n">
        <x:f>SUMIFS('Priced Usage'!$N$7:$N$3366,'Priced Usage'!$C$7:$C$3366,$A88)</x:f>
        <x:v>15.313499999999998</x:v>
      </x:c>
      <x:c r="K88" s="30" t="n">
        <x:f>SUMIFS('Priced Usage'!$O$7:$O$3366,'Priced Usage'!$C$7:$C$3366,$A88)</x:f>
        <x:v>34.12618</x:v>
      </x:c>
      <x:c r="L88" s="29" t="n">
        <x:f>COUNTIFS('Priced Usage'!$C$7:$C$3366,$A88,'Priced Usage'!$I$7:$I$3366,"First attempt")</x:f>
        <x:v>1</x:v>
      </x:c>
      <x:c r="M88" s="29" t="n">
        <x:f>COUNTIFS('Priced Usage'!$C$7:$C$3366,$A88,'Priced Usage'!$I$7:$I$3366,"Followup")</x:f>
        <x:v>10</x:v>
      </x:c>
      <x:c r="N88" s="29" t="n">
        <x:f>COUNTIFS('Priced Usage'!$C$7:$C$3366,$A88,'Priced Usage'!$I$7:$I$3366,"Correction")</x:f>
        <x:v>6</x:v>
      </x:c>
    </x:row>
    <x:row r="89" ht="23" customHeight="1">
      <x:c r="A89" s="17" t="str">
        <x:v>W0083</x:v>
      </x:c>
      <x:c r="B89" s="17" t="str">
        <x:v>C002</x:v>
      </x:c>
      <x:c r="C89" s="17" t="str">
        <x:v>InsightDesk</x:v>
      </x:c>
      <x:c r="D89" s="17" t="str">
        <x:v>Lite</x:v>
      </x:c>
      <x:c r="E89" s="29" t="n">
        <x:f>SUMIFS('Priced Usage'!$G$7:$G$3366,'Priced Usage'!$C$7:$C$3366,$A89)</x:f>
        <x:v>643979</x:v>
      </x:c>
      <x:c r="F89" s="29" t="n">
        <x:f>SUMIFS('Priced Usage'!$H$7:$H$3366,'Priced Usage'!$C$7:$C$3366,$A89)</x:f>
        <x:v>118711</x:v>
      </x:c>
      <x:c r="G89" s="29" t="n">
        <x:f>SUMIFS('Priced Usage'!$L$7:$L$3366,'Priced Usage'!$C$7:$C$3366,$A89)</x:f>
        <x:v>762690</x:v>
      </x:c>
      <x:c r="H89" s="29" t="n">
        <x:f>COUNTIFS('Priced Usage'!$C$7:$C$3366,$A89)</x:f>
        <x:v>21</x:v>
      </x:c>
      <x:c r="I89" s="30" t="n">
        <x:f>SUMIFS('Priced Usage'!$M$7:$M$3366,'Priced Usage'!$C$7:$C$3366,$A89)</x:f>
        <x:v>6.439789999999999</x:v>
      </x:c>
      <x:c r="J89" s="30" t="n">
        <x:f>SUMIFS('Priced Usage'!$N$7:$N$3366,'Priced Usage'!$C$7:$C$3366,$A89)</x:f>
        <x:v>3.5613300000000008</x:v>
      </x:c>
      <x:c r="K89" s="30" t="n">
        <x:f>SUMIFS('Priced Usage'!$O$7:$O$3366,'Priced Usage'!$C$7:$C$3366,$A89)</x:f>
        <x:v>10.001120000000002</x:v>
      </x:c>
      <x:c r="L89" s="29" t="n">
        <x:f>COUNTIFS('Priced Usage'!$C$7:$C$3366,$A89,'Priced Usage'!$I$7:$I$3366,"First attempt")</x:f>
        <x:v>1</x:v>
      </x:c>
      <x:c r="M89" s="29" t="n">
        <x:f>COUNTIFS('Priced Usage'!$C$7:$C$3366,$A89,'Priced Usage'!$I$7:$I$3366,"Followup")</x:f>
        <x:v>11</x:v>
      </x:c>
      <x:c r="N89" s="29" t="n">
        <x:f>COUNTIFS('Priced Usage'!$C$7:$C$3366,$A89,'Priced Usage'!$I$7:$I$3366,"Correction")</x:f>
        <x:v>9</x:v>
      </x:c>
    </x:row>
    <x:row r="90" ht="23" customHeight="1">
      <x:c r="A90" s="17" t="str">
        <x:v>W0084</x:v>
      </x:c>
      <x:c r="B90" s="17" t="str">
        <x:v>C002</x:v>
      </x:c>
      <x:c r="C90" s="17" t="str">
        <x:v>CopyStudio</x:v>
      </x:c>
      <x:c r="D90" s="17" t="str">
        <x:v>Lite</x:v>
      </x:c>
      <x:c r="E90" s="29" t="n">
        <x:f>SUMIFS('Priced Usage'!$G$7:$G$3366,'Priced Usage'!$C$7:$C$3366,$A90)</x:f>
        <x:v>668726</x:v>
      </x:c>
      <x:c r="F90" s="29" t="n">
        <x:f>SUMIFS('Priced Usage'!$H$7:$H$3366,'Priced Usage'!$C$7:$C$3366,$A90)</x:f>
        <x:v>182013</x:v>
      </x:c>
      <x:c r="G90" s="29" t="n">
        <x:f>SUMIFS('Priced Usage'!$L$7:$L$3366,'Priced Usage'!$C$7:$C$3366,$A90)</x:f>
        <x:v>850739</x:v>
      </x:c>
      <x:c r="H90" s="29" t="n">
        <x:f>COUNTIFS('Priced Usage'!$C$7:$C$3366,$A90)</x:f>
        <x:v>24</x:v>
      </x:c>
      <x:c r="I90" s="30" t="n">
        <x:f>SUMIFS('Priced Usage'!$M$7:$M$3366,'Priced Usage'!$C$7:$C$3366,$A90)</x:f>
        <x:v>6.687259999999999</x:v>
      </x:c>
      <x:c r="J90" s="30" t="n">
        <x:f>SUMIFS('Priced Usage'!$N$7:$N$3366,'Priced Usage'!$C$7:$C$3366,$A90)</x:f>
        <x:v>5.460390000000001</x:v>
      </x:c>
      <x:c r="K90" s="30" t="n">
        <x:f>SUMIFS('Priced Usage'!$O$7:$O$3366,'Priced Usage'!$C$7:$C$3366,$A90)</x:f>
        <x:v>12.147649999999999</x:v>
      </x:c>
      <x:c r="L90" s="29" t="n">
        <x:f>COUNTIFS('Priced Usage'!$C$7:$C$3366,$A90,'Priced Usage'!$I$7:$I$3366,"First attempt")</x:f>
        <x:v>1</x:v>
      </x:c>
      <x:c r="M90" s="29" t="n">
        <x:f>COUNTIFS('Priced Usage'!$C$7:$C$3366,$A90,'Priced Usage'!$I$7:$I$3366,"Followup")</x:f>
        <x:v>17</x:v>
      </x:c>
      <x:c r="N90" s="29" t="n">
        <x:f>COUNTIFS('Priced Usage'!$C$7:$C$3366,$A90,'Priced Usage'!$I$7:$I$3366,"Correction")</x:f>
        <x:v>6</x:v>
      </x:c>
    </x:row>
    <x:row r="91" ht="23" customHeight="1">
      <x:c r="A91" s="17" t="str">
        <x:v>W0085</x:v>
      </x:c>
      <x:c r="B91" s="17" t="str">
        <x:v>C002</x:v>
      </x:c>
      <x:c r="C91" s="17" t="str">
        <x:v>CopyStudio</x:v>
      </x:c>
      <x:c r="D91" s="17" t="str">
        <x:v>Pro</x:v>
      </x:c>
      <x:c r="E91" s="29" t="n">
        <x:f>SUMIFS('Priced Usage'!$G$7:$G$3366,'Priced Usage'!$C$7:$C$3366,$A91)</x:f>
        <x:v>388503</x:v>
      </x:c>
      <x:c r="F91" s="29" t="n">
        <x:f>SUMIFS('Priced Usage'!$H$7:$H$3366,'Priced Usage'!$C$7:$C$3366,$A91)</x:f>
        <x:v>124702</x:v>
      </x:c>
      <x:c r="G91" s="29" t="n">
        <x:f>SUMIFS('Priced Usage'!$L$7:$L$3366,'Priced Usage'!$C$7:$C$3366,$A91)</x:f>
        <x:v>513205</x:v>
      </x:c>
      <x:c r="H91" s="29" t="n">
        <x:f>COUNTIFS('Priced Usage'!$C$7:$C$3366,$A91)</x:f>
        <x:v>18</x:v>
      </x:c>
      <x:c r="I91" s="30" t="n">
        <x:f>SUMIFS('Priced Usage'!$M$7:$M$3366,'Priced Usage'!$C$7:$C$3366,$A91)</x:f>
        <x:v>15.54012</x:v>
      </x:c>
      <x:c r="J91" s="30" t="n">
        <x:f>SUMIFS('Priced Usage'!$N$7:$N$3366,'Priced Usage'!$C$7:$C$3366,$A91)</x:f>
        <x:v>12.470200000000002</x:v>
      </x:c>
      <x:c r="K91" s="30" t="n">
        <x:f>SUMIFS('Priced Usage'!$O$7:$O$3366,'Priced Usage'!$C$7:$C$3366,$A91)</x:f>
        <x:v>28.01032</x:v>
      </x:c>
      <x:c r="L91" s="29" t="n">
        <x:f>COUNTIFS('Priced Usage'!$C$7:$C$3366,$A91,'Priced Usage'!$I$7:$I$3366,"First attempt")</x:f>
        <x:v>1</x:v>
      </x:c>
      <x:c r="M91" s="29" t="n">
        <x:f>COUNTIFS('Priced Usage'!$C$7:$C$3366,$A91,'Priced Usage'!$I$7:$I$3366,"Followup")</x:f>
        <x:v>10</x:v>
      </x:c>
      <x:c r="N91" s="29" t="n">
        <x:f>COUNTIFS('Priced Usage'!$C$7:$C$3366,$A91,'Priced Usage'!$I$7:$I$3366,"Correction")</x:f>
        <x:v>7</x:v>
      </x:c>
    </x:row>
    <x:row r="92" ht="23" customHeight="1">
      <x:c r="A92" s="17" t="str">
        <x:v>W0086</x:v>
      </x:c>
      <x:c r="B92" s="17" t="str">
        <x:v>C002</x:v>
      </x:c>
      <x:c r="C92" s="17" t="str">
        <x:v>CampaignChat</x:v>
      </x:c>
      <x:c r="D92" s="17" t="str">
        <x:v>Pro</x:v>
      </x:c>
      <x:c r="E92" s="29" t="n">
        <x:f>SUMIFS('Priced Usage'!$G$7:$G$3366,'Priced Usage'!$C$7:$C$3366,$A92)</x:f>
        <x:v>552607</x:v>
      </x:c>
      <x:c r="F92" s="29" t="n">
        <x:f>SUMIFS('Priced Usage'!$H$7:$H$3366,'Priced Usage'!$C$7:$C$3366,$A92)</x:f>
        <x:v>169553</x:v>
      </x:c>
      <x:c r="G92" s="29" t="n">
        <x:f>SUMIFS('Priced Usage'!$L$7:$L$3366,'Priced Usage'!$C$7:$C$3366,$A92)</x:f>
        <x:v>722160</x:v>
      </x:c>
      <x:c r="H92" s="29" t="n">
        <x:f>COUNTIFS('Priced Usage'!$C$7:$C$3366,$A92)</x:f>
        <x:v>20</x:v>
      </x:c>
      <x:c r="I92" s="30" t="n">
        <x:f>SUMIFS('Priced Usage'!$M$7:$M$3366,'Priced Usage'!$C$7:$C$3366,$A92)</x:f>
        <x:v>22.104280000000003</x:v>
      </x:c>
      <x:c r="J92" s="30" t="n">
        <x:f>SUMIFS('Priced Usage'!$N$7:$N$3366,'Priced Usage'!$C$7:$C$3366,$A92)</x:f>
        <x:v>16.9553</x:v>
      </x:c>
      <x:c r="K92" s="30" t="n">
        <x:f>SUMIFS('Priced Usage'!$O$7:$O$3366,'Priced Usage'!$C$7:$C$3366,$A92)</x:f>
        <x:v>39.059580000000004</x:v>
      </x:c>
      <x:c r="L92" s="29" t="n">
        <x:f>COUNTIFS('Priced Usage'!$C$7:$C$3366,$A92,'Priced Usage'!$I$7:$I$3366,"First attempt")</x:f>
        <x:v>1</x:v>
      </x:c>
      <x:c r="M92" s="29" t="n">
        <x:f>COUNTIFS('Priced Usage'!$C$7:$C$3366,$A92,'Priced Usage'!$I$7:$I$3366,"Followup")</x:f>
        <x:v>13</x:v>
      </x:c>
      <x:c r="N92" s="29" t="n">
        <x:f>COUNTIFS('Priced Usage'!$C$7:$C$3366,$A92,'Priced Usage'!$I$7:$I$3366,"Correction")</x:f>
        <x:v>6</x:v>
      </x:c>
    </x:row>
    <x:row r="93" ht="23" customHeight="1">
      <x:c r="A93" s="17" t="str">
        <x:v>W0087</x:v>
      </x:c>
      <x:c r="B93" s="17" t="str">
        <x:v>C002</x:v>
      </x:c>
      <x:c r="C93" s="17" t="str">
        <x:v>CampaignChat</x:v>
      </x:c>
      <x:c r="D93" s="17" t="str">
        <x:v>Pro</x:v>
      </x:c>
      <x:c r="E93" s="29" t="n">
        <x:f>SUMIFS('Priced Usage'!$G$7:$G$3366,'Priced Usage'!$C$7:$C$3366,$A93)</x:f>
        <x:v>429570</x:v>
      </x:c>
      <x:c r="F93" s="29" t="n">
        <x:f>SUMIFS('Priced Usage'!$H$7:$H$3366,'Priced Usage'!$C$7:$C$3366,$A93)</x:f>
        <x:v>246288</x:v>
      </x:c>
      <x:c r="G93" s="29" t="n">
        <x:f>SUMIFS('Priced Usage'!$L$7:$L$3366,'Priced Usage'!$C$7:$C$3366,$A93)</x:f>
        <x:v>675858</x:v>
      </x:c>
      <x:c r="H93" s="29" t="n">
        <x:f>COUNTIFS('Priced Usage'!$C$7:$C$3366,$A93)</x:f>
        <x:v>21</x:v>
      </x:c>
      <x:c r="I93" s="30" t="n">
        <x:f>SUMIFS('Priced Usage'!$M$7:$M$3366,'Priced Usage'!$C$7:$C$3366,$A93)</x:f>
        <x:v>17.1828</x:v>
      </x:c>
      <x:c r="J93" s="30" t="n">
        <x:f>SUMIFS('Priced Usage'!$N$7:$N$3366,'Priced Usage'!$C$7:$C$3366,$A93)</x:f>
        <x:v>24.6288</x:v>
      </x:c>
      <x:c r="K93" s="30" t="n">
        <x:f>SUMIFS('Priced Usage'!$O$7:$O$3366,'Priced Usage'!$C$7:$C$3366,$A93)</x:f>
        <x:v>41.8116</x:v>
      </x:c>
      <x:c r="L93" s="29" t="n">
        <x:f>COUNTIFS('Priced Usage'!$C$7:$C$3366,$A93,'Priced Usage'!$I$7:$I$3366,"First attempt")</x:f>
        <x:v>1</x:v>
      </x:c>
      <x:c r="M93" s="29" t="n">
        <x:f>COUNTIFS('Priced Usage'!$C$7:$C$3366,$A93,'Priced Usage'!$I$7:$I$3366,"Followup")</x:f>
        <x:v>12</x:v>
      </x:c>
      <x:c r="N93" s="29" t="n">
        <x:f>COUNTIFS('Priced Usage'!$C$7:$C$3366,$A93,'Priced Usage'!$I$7:$I$3366,"Correction")</x:f>
        <x:v>8</x:v>
      </x:c>
    </x:row>
    <x:row r="94" ht="23" customHeight="1">
      <x:c r="A94" s="17" t="str">
        <x:v>W0088</x:v>
      </x:c>
      <x:c r="B94" s="17" t="str">
        <x:v>C002</x:v>
      </x:c>
      <x:c r="C94" s="17" t="str">
        <x:v>DataFlow</x:v>
      </x:c>
      <x:c r="D94" s="17" t="str">
        <x:v>Lite</x:v>
      </x:c>
      <x:c r="E94" s="29" t="n">
        <x:f>SUMIFS('Priced Usage'!$G$7:$G$3366,'Priced Usage'!$C$7:$C$3366,$A94)</x:f>
        <x:v>789163</x:v>
      </x:c>
      <x:c r="F94" s="29" t="n">
        <x:f>SUMIFS('Priced Usage'!$H$7:$H$3366,'Priced Usage'!$C$7:$C$3366,$A94)</x:f>
        <x:v>110858</x:v>
      </x:c>
      <x:c r="G94" s="29" t="n">
        <x:f>SUMIFS('Priced Usage'!$L$7:$L$3366,'Priced Usage'!$C$7:$C$3366,$A94)</x:f>
        <x:v>900021</x:v>
      </x:c>
      <x:c r="H94" s="29" t="n">
        <x:f>COUNTIFS('Priced Usage'!$C$7:$C$3366,$A94)</x:f>
        <x:v>27</x:v>
      </x:c>
      <x:c r="I94" s="30" t="n">
        <x:f>SUMIFS('Priced Usage'!$M$7:$M$3366,'Priced Usage'!$C$7:$C$3366,$A94)</x:f>
        <x:v>7.891630000000002</x:v>
      </x:c>
      <x:c r="J94" s="30" t="n">
        <x:f>SUMIFS('Priced Usage'!$N$7:$N$3366,'Priced Usage'!$C$7:$C$3366,$A94)</x:f>
        <x:v>3.32574</x:v>
      </x:c>
      <x:c r="K94" s="30" t="n">
        <x:f>SUMIFS('Priced Usage'!$O$7:$O$3366,'Priced Usage'!$C$7:$C$3366,$A94)</x:f>
        <x:v>11.21737</x:v>
      </x:c>
      <x:c r="L94" s="29" t="n">
        <x:f>COUNTIFS('Priced Usage'!$C$7:$C$3366,$A94,'Priced Usage'!$I$7:$I$3366,"First attempt")</x:f>
        <x:v>1</x:v>
      </x:c>
      <x:c r="M94" s="29" t="n">
        <x:f>COUNTIFS('Priced Usage'!$C$7:$C$3366,$A94,'Priced Usage'!$I$7:$I$3366,"Followup")</x:f>
        <x:v>14</x:v>
      </x:c>
      <x:c r="N94" s="29" t="n">
        <x:f>COUNTIFS('Priced Usage'!$C$7:$C$3366,$A94,'Priced Usage'!$I$7:$I$3366,"Correction")</x:f>
        <x:v>12</x:v>
      </x:c>
    </x:row>
    <x:row r="95" ht="23" customHeight="1">
      <x:c r="A95" s="17" t="str">
        <x:v>W0089</x:v>
      </x:c>
      <x:c r="B95" s="17" t="str">
        <x:v>C002</x:v>
      </x:c>
      <x:c r="C95" s="17" t="str">
        <x:v>DataFlow</x:v>
      </x:c>
      <x:c r="D95" s="17" t="str">
        <x:v>Lite</x:v>
      </x:c>
      <x:c r="E95" s="29" t="n">
        <x:f>SUMIFS('Priced Usage'!$G$7:$G$3366,'Priced Usage'!$C$7:$C$3366,$A95)</x:f>
        <x:v>469010</x:v>
      </x:c>
      <x:c r="F95" s="29" t="n">
        <x:f>SUMIFS('Priced Usage'!$H$7:$H$3366,'Priced Usage'!$C$7:$C$3366,$A95)</x:f>
        <x:v>118818</x:v>
      </x:c>
      <x:c r="G95" s="29" t="n">
        <x:f>SUMIFS('Priced Usage'!$L$7:$L$3366,'Priced Usage'!$C$7:$C$3366,$A95)</x:f>
        <x:v>587828</x:v>
      </x:c>
      <x:c r="H95" s="29" t="n">
        <x:f>COUNTIFS('Priced Usage'!$C$7:$C$3366,$A95)</x:f>
        <x:v>23</x:v>
      </x:c>
      <x:c r="I95" s="30" t="n">
        <x:f>SUMIFS('Priced Usage'!$M$7:$M$3366,'Priced Usage'!$C$7:$C$3366,$A95)</x:f>
        <x:v>4.6901</x:v>
      </x:c>
      <x:c r="J95" s="30" t="n">
        <x:f>SUMIFS('Priced Usage'!$N$7:$N$3366,'Priced Usage'!$C$7:$C$3366,$A95)</x:f>
        <x:v>3.5645399999999996</x:v>
      </x:c>
      <x:c r="K95" s="30" t="n">
        <x:f>SUMIFS('Priced Usage'!$O$7:$O$3366,'Priced Usage'!$C$7:$C$3366,$A95)</x:f>
        <x:v>8.254640000000002</x:v>
      </x:c>
      <x:c r="L95" s="29" t="n">
        <x:f>COUNTIFS('Priced Usage'!$C$7:$C$3366,$A95,'Priced Usage'!$I$7:$I$3366,"First attempt")</x:f>
        <x:v>1</x:v>
      </x:c>
      <x:c r="M95" s="29" t="n">
        <x:f>COUNTIFS('Priced Usage'!$C$7:$C$3366,$A95,'Priced Usage'!$I$7:$I$3366,"Followup")</x:f>
        <x:v>12</x:v>
      </x:c>
      <x:c r="N95" s="29" t="n">
        <x:f>COUNTIFS('Priced Usage'!$C$7:$C$3366,$A95,'Priced Usage'!$I$7:$I$3366,"Correction")</x:f>
        <x:v>10</x:v>
      </x:c>
    </x:row>
    <x:row r="96" ht="23" customHeight="1">
      <x:c r="A96" s="17" t="str">
        <x:v>W0090</x:v>
      </x:c>
      <x:c r="B96" s="17" t="str">
        <x:v>C002</x:v>
      </x:c>
      <x:c r="C96" s="17" t="str">
        <x:v>InsightDesk</x:v>
      </x:c>
      <x:c r="D96" s="17" t="str">
        <x:v>Pro</x:v>
      </x:c>
      <x:c r="E96" s="29" t="n">
        <x:f>SUMIFS('Priced Usage'!$G$7:$G$3366,'Priced Usage'!$C$7:$C$3366,$A96)</x:f>
        <x:v>277889</x:v>
      </x:c>
      <x:c r="F96" s="29" t="n">
        <x:f>SUMIFS('Priced Usage'!$H$7:$H$3366,'Priced Usage'!$C$7:$C$3366,$A96)</x:f>
        <x:v>207693</x:v>
      </x:c>
      <x:c r="G96" s="29" t="n">
        <x:f>SUMIFS('Priced Usage'!$L$7:$L$3366,'Priced Usage'!$C$7:$C$3366,$A96)</x:f>
        <x:v>485582</x:v>
      </x:c>
      <x:c r="H96" s="29" t="n">
        <x:f>COUNTIFS('Priced Usage'!$C$7:$C$3366,$A96)</x:f>
        <x:v>18</x:v>
      </x:c>
      <x:c r="I96" s="30" t="n">
        <x:f>SUMIFS('Priced Usage'!$M$7:$M$3366,'Priced Usage'!$C$7:$C$3366,$A96)</x:f>
        <x:v>11.115559999999999</x:v>
      </x:c>
      <x:c r="J96" s="30" t="n">
        <x:f>SUMIFS('Priced Usage'!$N$7:$N$3366,'Priced Usage'!$C$7:$C$3366,$A96)</x:f>
        <x:v>20.769300000000005</x:v>
      </x:c>
      <x:c r="K96" s="30" t="n">
        <x:f>SUMIFS('Priced Usage'!$O$7:$O$3366,'Priced Usage'!$C$7:$C$3366,$A96)</x:f>
        <x:v>31.88486</x:v>
      </x:c>
      <x:c r="L96" s="29" t="n">
        <x:f>COUNTIFS('Priced Usage'!$C$7:$C$3366,$A96,'Priced Usage'!$I$7:$I$3366,"First attempt")</x:f>
        <x:v>1</x:v>
      </x:c>
      <x:c r="M96" s="29" t="n">
        <x:f>COUNTIFS('Priced Usage'!$C$7:$C$3366,$A96,'Priced Usage'!$I$7:$I$3366,"Followup")</x:f>
        <x:v>10</x:v>
      </x:c>
      <x:c r="N96" s="29" t="n">
        <x:f>COUNTIFS('Priced Usage'!$C$7:$C$3366,$A96,'Priced Usage'!$I$7:$I$3366,"Correction")</x:f>
        <x:v>7</x:v>
      </x:c>
    </x:row>
    <x:row r="97" ht="23" customHeight="1">
      <x:c r="A97" s="17" t="str">
        <x:v>W0091</x:v>
      </x:c>
      <x:c r="B97" s="17" t="str">
        <x:v>C002</x:v>
      </x:c>
      <x:c r="C97" s="17" t="str">
        <x:v>CopyStudio</x:v>
      </x:c>
      <x:c r="D97" s="17" t="str">
        <x:v>Lite</x:v>
      </x:c>
      <x:c r="E97" s="29" t="n">
        <x:f>SUMIFS('Priced Usage'!$G$7:$G$3366,'Priced Usage'!$C$7:$C$3366,$A97)</x:f>
        <x:v>1113358</x:v>
      </x:c>
      <x:c r="F97" s="29" t="n">
        <x:f>SUMIFS('Priced Usage'!$H$7:$H$3366,'Priced Usage'!$C$7:$C$3366,$A97)</x:f>
        <x:v>236361</x:v>
      </x:c>
      <x:c r="G97" s="29" t="n">
        <x:f>SUMIFS('Priced Usage'!$L$7:$L$3366,'Priced Usage'!$C$7:$C$3366,$A97)</x:f>
        <x:v>1349719</x:v>
      </x:c>
      <x:c r="H97" s="29" t="n">
        <x:f>COUNTIFS('Priced Usage'!$C$7:$C$3366,$A97)</x:f>
        <x:v>27</x:v>
      </x:c>
      <x:c r="I97" s="30" t="n">
        <x:f>SUMIFS('Priced Usage'!$M$7:$M$3366,'Priced Usage'!$C$7:$C$3366,$A97)</x:f>
        <x:v>11.133579999999997</x:v>
      </x:c>
      <x:c r="J97" s="30" t="n">
        <x:f>SUMIFS('Priced Usage'!$N$7:$N$3366,'Priced Usage'!$C$7:$C$3366,$A97)</x:f>
        <x:v>7.09083</x:v>
      </x:c>
      <x:c r="K97" s="30" t="n">
        <x:f>SUMIFS('Priced Usage'!$O$7:$O$3366,'Priced Usage'!$C$7:$C$3366,$A97)</x:f>
        <x:v>18.22441</x:v>
      </x:c>
      <x:c r="L97" s="29" t="n">
        <x:f>COUNTIFS('Priced Usage'!$C$7:$C$3366,$A97,'Priced Usage'!$I$7:$I$3366,"First attempt")</x:f>
        <x:v>1</x:v>
      </x:c>
      <x:c r="M97" s="29" t="n">
        <x:f>COUNTIFS('Priced Usage'!$C$7:$C$3366,$A97,'Priced Usage'!$I$7:$I$3366,"Followup")</x:f>
        <x:v>16</x:v>
      </x:c>
      <x:c r="N97" s="29" t="n">
        <x:f>COUNTIFS('Priced Usage'!$C$7:$C$3366,$A97,'Priced Usage'!$I$7:$I$3366,"Correction")</x:f>
        <x:v>10</x:v>
      </x:c>
    </x:row>
    <x:row r="98" ht="23" customHeight="1">
      <x:c r="A98" s="17" t="str">
        <x:v>W0092</x:v>
      </x:c>
      <x:c r="B98" s="17" t="str">
        <x:v>C002</x:v>
      </x:c>
      <x:c r="C98" s="17" t="str">
        <x:v>CopyStudio</x:v>
      </x:c>
      <x:c r="D98" s="17" t="str">
        <x:v>Lite</x:v>
      </x:c>
      <x:c r="E98" s="29" t="n">
        <x:f>SUMIFS('Priced Usage'!$G$7:$G$3366,'Priced Usage'!$C$7:$C$3366,$A98)</x:f>
        <x:v>898728</x:v>
      </x:c>
      <x:c r="F98" s="29" t="n">
        <x:f>SUMIFS('Priced Usage'!$H$7:$H$3366,'Priced Usage'!$C$7:$C$3366,$A98)</x:f>
        <x:v>243656</x:v>
      </x:c>
      <x:c r="G98" s="29" t="n">
        <x:f>SUMIFS('Priced Usage'!$L$7:$L$3366,'Priced Usage'!$C$7:$C$3366,$A98)</x:f>
        <x:v>1142384</x:v>
      </x:c>
      <x:c r="H98" s="29" t="n">
        <x:f>COUNTIFS('Priced Usage'!$C$7:$C$3366,$A98)</x:f>
        <x:v>27</x:v>
      </x:c>
      <x:c r="I98" s="30" t="n">
        <x:f>SUMIFS('Priced Usage'!$M$7:$M$3366,'Priced Usage'!$C$7:$C$3366,$A98)</x:f>
        <x:v>8.987279999999998</x:v>
      </x:c>
      <x:c r="J98" s="30" t="n">
        <x:f>SUMIFS('Priced Usage'!$N$7:$N$3366,'Priced Usage'!$C$7:$C$3366,$A98)</x:f>
        <x:v>7.309679999999998</x:v>
      </x:c>
      <x:c r="K98" s="30" t="n">
        <x:f>SUMIFS('Priced Usage'!$O$7:$O$3366,'Priced Usage'!$C$7:$C$3366,$A98)</x:f>
        <x:v>16.29696</x:v>
      </x:c>
      <x:c r="L98" s="29" t="n">
        <x:f>COUNTIFS('Priced Usage'!$C$7:$C$3366,$A98,'Priced Usage'!$I$7:$I$3366,"First attempt")</x:f>
        <x:v>1</x:v>
      </x:c>
      <x:c r="M98" s="29" t="n">
        <x:f>COUNTIFS('Priced Usage'!$C$7:$C$3366,$A98,'Priced Usage'!$I$7:$I$3366,"Followup")</x:f>
        <x:v>15</x:v>
      </x:c>
      <x:c r="N98" s="29" t="n">
        <x:f>COUNTIFS('Priced Usage'!$C$7:$C$3366,$A98,'Priced Usage'!$I$7:$I$3366,"Correction")</x:f>
        <x:v>11</x:v>
      </x:c>
    </x:row>
    <x:row r="99" ht="23" customHeight="1">
      <x:c r="A99" s="17" t="str">
        <x:v>W0093</x:v>
      </x:c>
      <x:c r="B99" s="17" t="str">
        <x:v>C002</x:v>
      </x:c>
      <x:c r="C99" s="17" t="str">
        <x:v>CampaignChat</x:v>
      </x:c>
      <x:c r="D99" s="17" t="str">
        <x:v>Lite</x:v>
      </x:c>
      <x:c r="E99" s="29" t="n">
        <x:f>SUMIFS('Priced Usage'!$G$7:$G$3366,'Priced Usage'!$C$7:$C$3366,$A99)</x:f>
        <x:v>511564</x:v>
      </x:c>
      <x:c r="F99" s="29" t="n">
        <x:f>SUMIFS('Priced Usage'!$H$7:$H$3366,'Priced Usage'!$C$7:$C$3366,$A99)</x:f>
        <x:v>160193</x:v>
      </x:c>
      <x:c r="G99" s="29" t="n">
        <x:f>SUMIFS('Priced Usage'!$L$7:$L$3366,'Priced Usage'!$C$7:$C$3366,$A99)</x:f>
        <x:v>671757</x:v>
      </x:c>
      <x:c r="H99" s="29" t="n">
        <x:f>COUNTIFS('Priced Usage'!$C$7:$C$3366,$A99)</x:f>
        <x:v>22</x:v>
      </x:c>
      <x:c r="I99" s="30" t="n">
        <x:f>SUMIFS('Priced Usage'!$M$7:$M$3366,'Priced Usage'!$C$7:$C$3366,$A99)</x:f>
        <x:v>5.11564</x:v>
      </x:c>
      <x:c r="J99" s="30" t="n">
        <x:f>SUMIFS('Priced Usage'!$N$7:$N$3366,'Priced Usage'!$C$7:$C$3366,$A99)</x:f>
        <x:v>4.805789999999999</x:v>
      </x:c>
      <x:c r="K99" s="30" t="n">
        <x:f>SUMIFS('Priced Usage'!$O$7:$O$3366,'Priced Usage'!$C$7:$C$3366,$A99)</x:f>
        <x:v>9.921430000000003</x:v>
      </x:c>
      <x:c r="L99" s="29" t="n">
        <x:f>COUNTIFS('Priced Usage'!$C$7:$C$3366,$A99,'Priced Usage'!$I$7:$I$3366,"First attempt")</x:f>
        <x:v>1</x:v>
      </x:c>
      <x:c r="M99" s="29" t="n">
        <x:f>COUNTIFS('Priced Usage'!$C$7:$C$3366,$A99,'Priced Usage'!$I$7:$I$3366,"Followup")</x:f>
        <x:v>15</x:v>
      </x:c>
      <x:c r="N99" s="29" t="n">
        <x:f>COUNTIFS('Priced Usage'!$C$7:$C$3366,$A99,'Priced Usage'!$I$7:$I$3366,"Correction")</x:f>
        <x:v>6</x:v>
      </x:c>
    </x:row>
    <x:row r="100" ht="23" customHeight="1">
      <x:c r="A100" s="17" t="str">
        <x:v>W0094</x:v>
      </x:c>
      <x:c r="B100" s="17" t="str">
        <x:v>C002</x:v>
      </x:c>
      <x:c r="C100" s="17" t="str">
        <x:v>CopyStudio</x:v>
      </x:c>
      <x:c r="D100" s="17" t="str">
        <x:v>Lite</x:v>
      </x:c>
      <x:c r="E100" s="29" t="n">
        <x:f>SUMIFS('Priced Usage'!$G$7:$G$3366,'Priced Usage'!$C$7:$C$3366,$A100)</x:f>
        <x:v>1018467</x:v>
      </x:c>
      <x:c r="F100" s="29" t="n">
        <x:f>SUMIFS('Priced Usage'!$H$7:$H$3366,'Priced Usage'!$C$7:$C$3366,$A100)</x:f>
        <x:v>167942</x:v>
      </x:c>
      <x:c r="G100" s="29" t="n">
        <x:f>SUMIFS('Priced Usage'!$L$7:$L$3366,'Priced Usage'!$C$7:$C$3366,$A100)</x:f>
        <x:v>1186409</x:v>
      </x:c>
      <x:c r="H100" s="29" t="n">
        <x:f>COUNTIFS('Priced Usage'!$C$7:$C$3366,$A100)</x:f>
        <x:v>26</x:v>
      </x:c>
      <x:c r="I100" s="30" t="n">
        <x:f>SUMIFS('Priced Usage'!$M$7:$M$3366,'Priced Usage'!$C$7:$C$3366,$A100)</x:f>
        <x:v>10.184669999999999</x:v>
      </x:c>
      <x:c r="J100" s="30" t="n">
        <x:f>SUMIFS('Priced Usage'!$N$7:$N$3366,'Priced Usage'!$C$7:$C$3366,$A100)</x:f>
        <x:v>5.03826</x:v>
      </x:c>
      <x:c r="K100" s="30" t="n">
        <x:f>SUMIFS('Priced Usage'!$O$7:$O$3366,'Priced Usage'!$C$7:$C$3366,$A100)</x:f>
        <x:v>15.22293</x:v>
      </x:c>
      <x:c r="L100" s="29" t="n">
        <x:f>COUNTIFS('Priced Usage'!$C$7:$C$3366,$A100,'Priced Usage'!$I$7:$I$3366,"First attempt")</x:f>
        <x:v>1</x:v>
      </x:c>
      <x:c r="M100" s="29" t="n">
        <x:f>COUNTIFS('Priced Usage'!$C$7:$C$3366,$A100,'Priced Usage'!$I$7:$I$3366,"Followup")</x:f>
        <x:v>12</x:v>
      </x:c>
      <x:c r="N100" s="29" t="n">
        <x:f>COUNTIFS('Priced Usage'!$C$7:$C$3366,$A100,'Priced Usage'!$I$7:$I$3366,"Correction")</x:f>
        <x:v>13</x:v>
      </x:c>
    </x:row>
    <x:row r="101" ht="23" customHeight="1">
      <x:c r="A101" s="17" t="str">
        <x:v>W0095</x:v>
      </x:c>
      <x:c r="B101" s="17" t="str">
        <x:v>C002</x:v>
      </x:c>
      <x:c r="C101" s="17" t="str">
        <x:v>CampaignChat</x:v>
      </x:c>
      <x:c r="D101" s="17" t="str">
        <x:v>Pro</x:v>
      </x:c>
      <x:c r="E101" s="29" t="n">
        <x:f>SUMIFS('Priced Usage'!$G$7:$G$3366,'Priced Usage'!$C$7:$C$3366,$A101)</x:f>
        <x:v>380397</x:v>
      </x:c>
      <x:c r="F101" s="29" t="n">
        <x:f>SUMIFS('Priced Usage'!$H$7:$H$3366,'Priced Usage'!$C$7:$C$3366,$A101)</x:f>
        <x:v>112318</x:v>
      </x:c>
      <x:c r="G101" s="29" t="n">
        <x:f>SUMIFS('Priced Usage'!$L$7:$L$3366,'Priced Usage'!$C$7:$C$3366,$A101)</x:f>
        <x:v>492715</x:v>
      </x:c>
      <x:c r="H101" s="29" t="n">
        <x:f>COUNTIFS('Priced Usage'!$C$7:$C$3366,$A101)</x:f>
        <x:v>15</x:v>
      </x:c>
      <x:c r="I101" s="30" t="n">
        <x:f>SUMIFS('Priced Usage'!$M$7:$M$3366,'Priced Usage'!$C$7:$C$3366,$A101)</x:f>
        <x:v>15.215879999999997</x:v>
      </x:c>
      <x:c r="J101" s="30" t="n">
        <x:f>SUMIFS('Priced Usage'!$N$7:$N$3366,'Priced Usage'!$C$7:$C$3366,$A101)</x:f>
        <x:v>11.2318</x:v>
      </x:c>
      <x:c r="K101" s="30" t="n">
        <x:f>SUMIFS('Priced Usage'!$O$7:$O$3366,'Priced Usage'!$C$7:$C$3366,$A101)</x:f>
        <x:v>26.447679999999995</x:v>
      </x:c>
      <x:c r="L101" s="29" t="n">
        <x:f>COUNTIFS('Priced Usage'!$C$7:$C$3366,$A101,'Priced Usage'!$I$7:$I$3366,"First attempt")</x:f>
        <x:v>1</x:v>
      </x:c>
      <x:c r="M101" s="29" t="n">
        <x:f>COUNTIFS('Priced Usage'!$C$7:$C$3366,$A101,'Priced Usage'!$I$7:$I$3366,"Followup")</x:f>
        <x:v>6</x:v>
      </x:c>
      <x:c r="N101" s="29" t="n">
        <x:f>COUNTIFS('Priced Usage'!$C$7:$C$3366,$A101,'Priced Usage'!$I$7:$I$3366,"Correction")</x:f>
        <x:v>8</x:v>
      </x:c>
    </x:row>
    <x:row r="102" ht="23" customHeight="1">
      <x:c r="A102" s="17" t="str">
        <x:v>W0096</x:v>
      </x:c>
      <x:c r="B102" s="17" t="str">
        <x:v>C002</x:v>
      </x:c>
      <x:c r="C102" s="17" t="str">
        <x:v>DataFlow</x:v>
      </x:c>
      <x:c r="D102" s="17" t="str">
        <x:v>Pro</x:v>
      </x:c>
      <x:c r="E102" s="29" t="n">
        <x:f>SUMIFS('Priced Usage'!$G$7:$G$3366,'Priced Usage'!$C$7:$C$3366,$A102)</x:f>
        <x:v>232715</x:v>
      </x:c>
      <x:c r="F102" s="29" t="n">
        <x:f>SUMIFS('Priced Usage'!$H$7:$H$3366,'Priced Usage'!$C$7:$C$3366,$A102)</x:f>
        <x:v>90158</x:v>
      </x:c>
      <x:c r="G102" s="29" t="n">
        <x:f>SUMIFS('Priced Usage'!$L$7:$L$3366,'Priced Usage'!$C$7:$C$3366,$A102)</x:f>
        <x:v>322873</x:v>
      </x:c>
      <x:c r="H102" s="29" t="n">
        <x:f>COUNTIFS('Priced Usage'!$C$7:$C$3366,$A102)</x:f>
        <x:v>14</x:v>
      </x:c>
      <x:c r="I102" s="30" t="n">
        <x:f>SUMIFS('Priced Usage'!$M$7:$M$3366,'Priced Usage'!$C$7:$C$3366,$A102)</x:f>
        <x:v>9.3086</x:v>
      </x:c>
      <x:c r="J102" s="30" t="n">
        <x:f>SUMIFS('Priced Usage'!$N$7:$N$3366,'Priced Usage'!$C$7:$C$3366,$A102)</x:f>
        <x:v>9.0158</x:v>
      </x:c>
      <x:c r="K102" s="30" t="n">
        <x:f>SUMIFS('Priced Usage'!$O$7:$O$3366,'Priced Usage'!$C$7:$C$3366,$A102)</x:f>
        <x:v>18.3244</x:v>
      </x:c>
      <x:c r="L102" s="29" t="n">
        <x:f>COUNTIFS('Priced Usage'!$C$7:$C$3366,$A102,'Priced Usage'!$I$7:$I$3366,"First attempt")</x:f>
        <x:v>1</x:v>
      </x:c>
      <x:c r="M102" s="29" t="n">
        <x:f>COUNTIFS('Priced Usage'!$C$7:$C$3366,$A102,'Priced Usage'!$I$7:$I$3366,"Followup")</x:f>
        <x:v>6</x:v>
      </x:c>
      <x:c r="N102" s="29" t="n">
        <x:f>COUNTIFS('Priced Usage'!$C$7:$C$3366,$A102,'Priced Usage'!$I$7:$I$3366,"Correction")</x:f>
        <x:v>7</x:v>
      </x:c>
    </x:row>
    <x:row r="103" ht="23" customHeight="1">
      <x:c r="A103" s="17" t="str">
        <x:v>W0097</x:v>
      </x:c>
      <x:c r="B103" s="17" t="str">
        <x:v>C002</x:v>
      </x:c>
      <x:c r="C103" s="17" t="str">
        <x:v>DataFlow</x:v>
      </x:c>
      <x:c r="D103" s="17" t="str">
        <x:v>Pro</x:v>
      </x:c>
      <x:c r="E103" s="29" t="n">
        <x:f>SUMIFS('Priced Usage'!$G$7:$G$3366,'Priced Usage'!$C$7:$C$3366,$A103)</x:f>
        <x:v>615432</x:v>
      </x:c>
      <x:c r="F103" s="29" t="n">
        <x:f>SUMIFS('Priced Usage'!$H$7:$H$3366,'Priced Usage'!$C$7:$C$3366,$A103)</x:f>
        <x:v>188923</x:v>
      </x:c>
      <x:c r="G103" s="29" t="n">
        <x:f>SUMIFS('Priced Usage'!$L$7:$L$3366,'Priced Usage'!$C$7:$C$3366,$A103)</x:f>
        <x:v>804355</x:v>
      </x:c>
      <x:c r="H103" s="29" t="n">
        <x:f>COUNTIFS('Priced Usage'!$C$7:$C$3366,$A103)</x:f>
        <x:v>23</x:v>
      </x:c>
      <x:c r="I103" s="30" t="n">
        <x:f>SUMIFS('Priced Usage'!$M$7:$M$3366,'Priced Usage'!$C$7:$C$3366,$A103)</x:f>
        <x:v>24.617279999999997</x:v>
      </x:c>
      <x:c r="J103" s="30" t="n">
        <x:f>SUMIFS('Priced Usage'!$N$7:$N$3366,'Priced Usage'!$C$7:$C$3366,$A103)</x:f>
        <x:v>18.892300000000002</x:v>
      </x:c>
      <x:c r="K103" s="30" t="n">
        <x:f>SUMIFS('Priced Usage'!$O$7:$O$3366,'Priced Usage'!$C$7:$C$3366,$A103)</x:f>
        <x:v>43.50958</x:v>
      </x:c>
      <x:c r="L103" s="29" t="n">
        <x:f>COUNTIFS('Priced Usage'!$C$7:$C$3366,$A103,'Priced Usage'!$I$7:$I$3366,"First attempt")</x:f>
        <x:v>1</x:v>
      </x:c>
      <x:c r="M103" s="29" t="n">
        <x:f>COUNTIFS('Priced Usage'!$C$7:$C$3366,$A103,'Priced Usage'!$I$7:$I$3366,"Followup")</x:f>
        <x:v>13</x:v>
      </x:c>
      <x:c r="N103" s="29" t="n">
        <x:f>COUNTIFS('Priced Usage'!$C$7:$C$3366,$A103,'Priced Usage'!$I$7:$I$3366,"Correction")</x:f>
        <x:v>9</x:v>
      </x:c>
    </x:row>
    <x:row r="104" ht="23" customHeight="1">
      <x:c r="A104" s="17" t="str">
        <x:v>W0098</x:v>
      </x:c>
      <x:c r="B104" s="17" t="str">
        <x:v>C002</x:v>
      </x:c>
      <x:c r="C104" s="17" t="str">
        <x:v>InsightDesk</x:v>
      </x:c>
      <x:c r="D104" s="17" t="str">
        <x:v>Pro</x:v>
      </x:c>
      <x:c r="E104" s="29" t="n">
        <x:f>SUMIFS('Priced Usage'!$G$7:$G$3366,'Priced Usage'!$C$7:$C$3366,$A104)</x:f>
        <x:v>596256</x:v>
      </x:c>
      <x:c r="F104" s="29" t="n">
        <x:f>SUMIFS('Priced Usage'!$H$7:$H$3366,'Priced Usage'!$C$7:$C$3366,$A104)</x:f>
        <x:v>190552</x:v>
      </x:c>
      <x:c r="G104" s="29" t="n">
        <x:f>SUMIFS('Priced Usage'!$L$7:$L$3366,'Priced Usage'!$C$7:$C$3366,$A104)</x:f>
        <x:v>786808</x:v>
      </x:c>
      <x:c r="H104" s="29" t="n">
        <x:f>COUNTIFS('Priced Usage'!$C$7:$C$3366,$A104)</x:f>
        <x:v>25</x:v>
      </x:c>
      <x:c r="I104" s="30" t="n">
        <x:f>SUMIFS('Priced Usage'!$M$7:$M$3366,'Priced Usage'!$C$7:$C$3366,$A104)</x:f>
        <x:v>23.850240000000003</x:v>
      </x:c>
      <x:c r="J104" s="30" t="n">
        <x:f>SUMIFS('Priced Usage'!$N$7:$N$3366,'Priced Usage'!$C$7:$C$3366,$A104)</x:f>
        <x:v>19.055200000000003</x:v>
      </x:c>
      <x:c r="K104" s="30" t="n">
        <x:f>SUMIFS('Priced Usage'!$O$7:$O$3366,'Priced Usage'!$C$7:$C$3366,$A104)</x:f>
        <x:v>42.90544</x:v>
      </x:c>
      <x:c r="L104" s="29" t="n">
        <x:f>COUNTIFS('Priced Usage'!$C$7:$C$3366,$A104,'Priced Usage'!$I$7:$I$3366,"First attempt")</x:f>
        <x:v>1</x:v>
      </x:c>
      <x:c r="M104" s="29" t="n">
        <x:f>COUNTIFS('Priced Usage'!$C$7:$C$3366,$A104,'Priced Usage'!$I$7:$I$3366,"Followup")</x:f>
        <x:v>17</x:v>
      </x:c>
      <x:c r="N104" s="29" t="n">
        <x:f>COUNTIFS('Priced Usage'!$C$7:$C$3366,$A104,'Priced Usage'!$I$7:$I$3366,"Correction")</x:f>
        <x:v>7</x:v>
      </x:c>
    </x:row>
    <x:row r="105" ht="23" customHeight="1">
      <x:c r="A105" s="17" t="str">
        <x:v>W0099</x:v>
      </x:c>
      <x:c r="B105" s="17" t="str">
        <x:v>C002</x:v>
      </x:c>
      <x:c r="C105" s="17" t="str">
        <x:v>InsightDesk</x:v>
      </x:c>
      <x:c r="D105" s="17" t="str">
        <x:v>Lite</x:v>
      </x:c>
      <x:c r="E105" s="29" t="n">
        <x:f>SUMIFS('Priced Usage'!$G$7:$G$3366,'Priced Usage'!$C$7:$C$3366,$A105)</x:f>
        <x:v>652510</x:v>
      </x:c>
      <x:c r="F105" s="29" t="n">
        <x:f>SUMIFS('Priced Usage'!$H$7:$H$3366,'Priced Usage'!$C$7:$C$3366,$A105)</x:f>
        <x:v>64368</x:v>
      </x:c>
      <x:c r="G105" s="29" t="n">
        <x:f>SUMIFS('Priced Usage'!$L$7:$L$3366,'Priced Usage'!$C$7:$C$3366,$A105)</x:f>
        <x:v>716878</x:v>
      </x:c>
      <x:c r="H105" s="29" t="n">
        <x:f>COUNTIFS('Priced Usage'!$C$7:$C$3366,$A105)</x:f>
        <x:v>17</x:v>
      </x:c>
      <x:c r="I105" s="30" t="n">
        <x:f>SUMIFS('Priced Usage'!$M$7:$M$3366,'Priced Usage'!$C$7:$C$3366,$A105)</x:f>
        <x:v>6.525099999999999</x:v>
      </x:c>
      <x:c r="J105" s="30" t="n">
        <x:f>SUMIFS('Priced Usage'!$N$7:$N$3366,'Priced Usage'!$C$7:$C$3366,$A105)</x:f>
        <x:v>1.9310399999999999</x:v>
      </x:c>
      <x:c r="K105" s="30" t="n">
        <x:f>SUMIFS('Priced Usage'!$O$7:$O$3366,'Priced Usage'!$C$7:$C$3366,$A105)</x:f>
        <x:v>8.45614</x:v>
      </x:c>
      <x:c r="L105" s="29" t="n">
        <x:f>COUNTIFS('Priced Usage'!$C$7:$C$3366,$A105,'Priced Usage'!$I$7:$I$3366,"First attempt")</x:f>
        <x:v>1</x:v>
      </x:c>
      <x:c r="M105" s="29" t="n">
        <x:f>COUNTIFS('Priced Usage'!$C$7:$C$3366,$A105,'Priced Usage'!$I$7:$I$3366,"Followup")</x:f>
        <x:v>11</x:v>
      </x:c>
      <x:c r="N105" s="29" t="n">
        <x:f>COUNTIFS('Priced Usage'!$C$7:$C$3366,$A105,'Priced Usage'!$I$7:$I$3366,"Correction")</x:f>
        <x:v>5</x:v>
      </x:c>
    </x:row>
    <x:row r="106" ht="23" customHeight="1">
      <x:c r="A106" s="17" t="str">
        <x:v>W0100</x:v>
      </x:c>
      <x:c r="B106" s="17" t="str">
        <x:v>C002</x:v>
      </x:c>
      <x:c r="C106" s="17" t="str">
        <x:v>CopyStudio</x:v>
      </x:c>
      <x:c r="D106" s="17" t="str">
        <x:v>Pro</x:v>
      </x:c>
      <x:c r="E106" s="29" t="n">
        <x:f>SUMIFS('Priced Usage'!$G$7:$G$3366,'Priced Usage'!$C$7:$C$3366,$A106)</x:f>
        <x:v>444034</x:v>
      </x:c>
      <x:c r="F106" s="29" t="n">
        <x:f>SUMIFS('Priced Usage'!$H$7:$H$3366,'Priced Usage'!$C$7:$C$3366,$A106)</x:f>
        <x:v>251276</x:v>
      </x:c>
      <x:c r="G106" s="29" t="n">
        <x:f>SUMIFS('Priced Usage'!$L$7:$L$3366,'Priced Usage'!$C$7:$C$3366,$A106)</x:f>
        <x:v>695310</x:v>
      </x:c>
      <x:c r="H106" s="29" t="n">
        <x:f>COUNTIFS('Priced Usage'!$C$7:$C$3366,$A106)</x:f>
        <x:v>23</x:v>
      </x:c>
      <x:c r="I106" s="30" t="n">
        <x:f>SUMIFS('Priced Usage'!$M$7:$M$3366,'Priced Usage'!$C$7:$C$3366,$A106)</x:f>
        <x:v>17.76136</x:v>
      </x:c>
      <x:c r="J106" s="30" t="n">
        <x:f>SUMIFS('Priced Usage'!$N$7:$N$3366,'Priced Usage'!$C$7:$C$3366,$A106)</x:f>
        <x:v>25.127599999999997</x:v>
      </x:c>
      <x:c r="K106" s="30" t="n">
        <x:f>SUMIFS('Priced Usage'!$O$7:$O$3366,'Priced Usage'!$C$7:$C$3366,$A106)</x:f>
        <x:v>42.888960000000004</x:v>
      </x:c>
      <x:c r="L106" s="29" t="n">
        <x:f>COUNTIFS('Priced Usage'!$C$7:$C$3366,$A106,'Priced Usage'!$I$7:$I$3366,"First attempt")</x:f>
        <x:v>1</x:v>
      </x:c>
      <x:c r="M106" s="29" t="n">
        <x:f>COUNTIFS('Priced Usage'!$C$7:$C$3366,$A106,'Priced Usage'!$I$7:$I$3366,"Followup")</x:f>
        <x:v>16</x:v>
      </x:c>
      <x:c r="N106" s="29" t="n">
        <x:f>COUNTIFS('Priced Usage'!$C$7:$C$3366,$A106,'Priced Usage'!$I$7:$I$3366,"Correction")</x:f>
        <x:v>6</x:v>
      </x:c>
    </x:row>
    <x:row r="107" ht="23" customHeight="1">
      <x:c r="A107" s="17" t="str">
        <x:v>W0101</x:v>
      </x:c>
      <x:c r="B107" s="17" t="str">
        <x:v>C002</x:v>
      </x:c>
      <x:c r="C107" s="17" t="str">
        <x:v>CopyStudio</x:v>
      </x:c>
      <x:c r="D107" s="17" t="str">
        <x:v>Pro</x:v>
      </x:c>
      <x:c r="E107" s="29" t="n">
        <x:f>SUMIFS('Priced Usage'!$G$7:$G$3366,'Priced Usage'!$C$7:$C$3366,$A107)</x:f>
        <x:v>606251</x:v>
      </x:c>
      <x:c r="F107" s="29" t="n">
        <x:f>SUMIFS('Priced Usage'!$H$7:$H$3366,'Priced Usage'!$C$7:$C$3366,$A107)</x:f>
        <x:v>304185</x:v>
      </x:c>
      <x:c r="G107" s="29" t="n">
        <x:f>SUMIFS('Priced Usage'!$L$7:$L$3366,'Priced Usage'!$C$7:$C$3366,$A107)</x:f>
        <x:v>910436</x:v>
      </x:c>
      <x:c r="H107" s="29" t="n">
        <x:f>COUNTIFS('Priced Usage'!$C$7:$C$3366,$A107)</x:f>
        <x:v>23</x:v>
      </x:c>
      <x:c r="I107" s="30" t="n">
        <x:f>SUMIFS('Priced Usage'!$M$7:$M$3366,'Priced Usage'!$C$7:$C$3366,$A107)</x:f>
        <x:v>24.25004</x:v>
      </x:c>
      <x:c r="J107" s="30" t="n">
        <x:f>SUMIFS('Priced Usage'!$N$7:$N$3366,'Priced Usage'!$C$7:$C$3366,$A107)</x:f>
        <x:v>30.418499999999995</x:v>
      </x:c>
      <x:c r="K107" s="30" t="n">
        <x:f>SUMIFS('Priced Usage'!$O$7:$O$3366,'Priced Usage'!$C$7:$C$3366,$A107)</x:f>
        <x:v>54.66854</x:v>
      </x:c>
      <x:c r="L107" s="29" t="n">
        <x:f>COUNTIFS('Priced Usage'!$C$7:$C$3366,$A107,'Priced Usage'!$I$7:$I$3366,"First attempt")</x:f>
        <x:v>1</x:v>
      </x:c>
      <x:c r="M107" s="29" t="n">
        <x:f>COUNTIFS('Priced Usage'!$C$7:$C$3366,$A107,'Priced Usage'!$I$7:$I$3366,"Followup")</x:f>
        <x:v>15</x:v>
      </x:c>
      <x:c r="N107" s="29" t="n">
        <x:f>COUNTIFS('Priced Usage'!$C$7:$C$3366,$A107,'Priced Usage'!$I$7:$I$3366,"Correction")</x:f>
        <x:v>7</x:v>
      </x:c>
    </x:row>
    <x:row r="108" ht="23" customHeight="1">
      <x:c r="A108" s="17" t="str">
        <x:v>W0102</x:v>
      </x:c>
      <x:c r="B108" s="17" t="str">
        <x:v>C002</x:v>
      </x:c>
      <x:c r="C108" s="17" t="str">
        <x:v>DataFlow</x:v>
      </x:c>
      <x:c r="D108" s="17" t="str">
        <x:v>Lite</x:v>
      </x:c>
      <x:c r="E108" s="29" t="n">
        <x:f>SUMIFS('Priced Usage'!$G$7:$G$3366,'Priced Usage'!$C$7:$C$3366,$A108)</x:f>
        <x:v>701614</x:v>
      </x:c>
      <x:c r="F108" s="29" t="n">
        <x:f>SUMIFS('Priced Usage'!$H$7:$H$3366,'Priced Usage'!$C$7:$C$3366,$A108)</x:f>
        <x:v>125701</x:v>
      </x:c>
      <x:c r="G108" s="29" t="n">
        <x:f>SUMIFS('Priced Usage'!$L$7:$L$3366,'Priced Usage'!$C$7:$C$3366,$A108)</x:f>
        <x:v>827315</x:v>
      </x:c>
      <x:c r="H108" s="29" t="n">
        <x:f>COUNTIFS('Priced Usage'!$C$7:$C$3366,$A108)</x:f>
        <x:v>18</x:v>
      </x:c>
      <x:c r="I108" s="30" t="n">
        <x:f>SUMIFS('Priced Usage'!$M$7:$M$3366,'Priced Usage'!$C$7:$C$3366,$A108)</x:f>
        <x:v>7.016139999999999</x:v>
      </x:c>
      <x:c r="J108" s="30" t="n">
        <x:f>SUMIFS('Priced Usage'!$N$7:$N$3366,'Priced Usage'!$C$7:$C$3366,$A108)</x:f>
        <x:v>3.7710300000000005</x:v>
      </x:c>
      <x:c r="K108" s="30" t="n">
        <x:f>SUMIFS('Priced Usage'!$O$7:$O$3366,'Priced Usage'!$C$7:$C$3366,$A108)</x:f>
        <x:v>10.78717</x:v>
      </x:c>
      <x:c r="L108" s="29" t="n">
        <x:f>COUNTIFS('Priced Usage'!$C$7:$C$3366,$A108,'Priced Usage'!$I$7:$I$3366,"First attempt")</x:f>
        <x:v>1</x:v>
      </x:c>
      <x:c r="M108" s="29" t="n">
        <x:f>COUNTIFS('Priced Usage'!$C$7:$C$3366,$A108,'Priced Usage'!$I$7:$I$3366,"Followup")</x:f>
        <x:v>8</x:v>
      </x:c>
      <x:c r="N108" s="29" t="n">
        <x:f>COUNTIFS('Priced Usage'!$C$7:$C$3366,$A108,'Priced Usage'!$I$7:$I$3366,"Correction")</x:f>
        <x:v>9</x:v>
      </x:c>
    </x:row>
    <x:row r="109" ht="23" customHeight="1">
      <x:c r="A109" s="17" t="str">
        <x:v>W0103</x:v>
      </x:c>
      <x:c r="B109" s="17" t="str">
        <x:v>C002</x:v>
      </x:c>
      <x:c r="C109" s="17" t="str">
        <x:v>CampaignChat</x:v>
      </x:c>
      <x:c r="D109" s="17" t="str">
        <x:v>Pro</x:v>
      </x:c>
      <x:c r="E109" s="29" t="n">
        <x:f>SUMIFS('Priced Usage'!$G$7:$G$3366,'Priced Usage'!$C$7:$C$3366,$A109)</x:f>
        <x:v>374138</x:v>
      </x:c>
      <x:c r="F109" s="29" t="n">
        <x:f>SUMIFS('Priced Usage'!$H$7:$H$3366,'Priced Usage'!$C$7:$C$3366,$A109)</x:f>
        <x:v>262168</x:v>
      </x:c>
      <x:c r="G109" s="29" t="n">
        <x:f>SUMIFS('Priced Usage'!$L$7:$L$3366,'Priced Usage'!$C$7:$C$3366,$A109)</x:f>
        <x:v>636306</x:v>
      </x:c>
      <x:c r="H109" s="29" t="n">
        <x:f>COUNTIFS('Priced Usage'!$C$7:$C$3366,$A109)</x:f>
        <x:v>22</x:v>
      </x:c>
      <x:c r="I109" s="30" t="n">
        <x:f>SUMIFS('Priced Usage'!$M$7:$M$3366,'Priced Usage'!$C$7:$C$3366,$A109)</x:f>
        <x:v>14.965520000000003</x:v>
      </x:c>
      <x:c r="J109" s="30" t="n">
        <x:f>SUMIFS('Priced Usage'!$N$7:$N$3366,'Priced Usage'!$C$7:$C$3366,$A109)</x:f>
        <x:v>26.216800000000006</x:v>
      </x:c>
      <x:c r="K109" s="30" t="n">
        <x:f>SUMIFS('Priced Usage'!$O$7:$O$3366,'Priced Usage'!$C$7:$C$3366,$A109)</x:f>
        <x:v>41.18231999999999</x:v>
      </x:c>
      <x:c r="L109" s="29" t="n">
        <x:f>COUNTIFS('Priced Usage'!$C$7:$C$3366,$A109,'Priced Usage'!$I$7:$I$3366,"First attempt")</x:f>
        <x:v>1</x:v>
      </x:c>
      <x:c r="M109" s="29" t="n">
        <x:f>COUNTIFS('Priced Usage'!$C$7:$C$3366,$A109,'Priced Usage'!$I$7:$I$3366,"Followup")</x:f>
        <x:v>13</x:v>
      </x:c>
      <x:c r="N109" s="29" t="n">
        <x:f>COUNTIFS('Priced Usage'!$C$7:$C$3366,$A109,'Priced Usage'!$I$7:$I$3366,"Correction")</x:f>
        <x:v>8</x:v>
      </x:c>
    </x:row>
    <x:row r="110" ht="23" customHeight="1">
      <x:c r="A110" s="17" t="str">
        <x:v>W0104</x:v>
      </x:c>
      <x:c r="B110" s="17" t="str">
        <x:v>C002</x:v>
      </x:c>
      <x:c r="C110" s="17" t="str">
        <x:v>DataFlow</x:v>
      </x:c>
      <x:c r="D110" s="17" t="str">
        <x:v>Lite</x:v>
      </x:c>
      <x:c r="E110" s="29" t="n">
        <x:f>SUMIFS('Priced Usage'!$G$7:$G$3366,'Priced Usage'!$C$7:$C$3366,$A110)</x:f>
        <x:v>576576</x:v>
      </x:c>
      <x:c r="F110" s="29" t="n">
        <x:f>SUMIFS('Priced Usage'!$H$7:$H$3366,'Priced Usage'!$C$7:$C$3366,$A110)</x:f>
        <x:v>83840</x:v>
      </x:c>
      <x:c r="G110" s="29" t="n">
        <x:f>SUMIFS('Priced Usage'!$L$7:$L$3366,'Priced Usage'!$C$7:$C$3366,$A110)</x:f>
        <x:v>660416</x:v>
      </x:c>
      <x:c r="H110" s="29" t="n">
        <x:f>COUNTIFS('Priced Usage'!$C$7:$C$3366,$A110)</x:f>
        <x:v>19</x:v>
      </x:c>
      <x:c r="I110" s="30" t="n">
        <x:f>SUMIFS('Priced Usage'!$M$7:$M$3366,'Priced Usage'!$C$7:$C$3366,$A110)</x:f>
        <x:v>5.76576</x:v>
      </x:c>
      <x:c r="J110" s="30" t="n">
        <x:f>SUMIFS('Priced Usage'!$N$7:$N$3366,'Priced Usage'!$C$7:$C$3366,$A110)</x:f>
        <x:v>2.5152</x:v>
      </x:c>
      <x:c r="K110" s="30" t="n">
        <x:f>SUMIFS('Priced Usage'!$O$7:$O$3366,'Priced Usage'!$C$7:$C$3366,$A110)</x:f>
        <x:v>8.28096</x:v>
      </x:c>
      <x:c r="L110" s="29" t="n">
        <x:f>COUNTIFS('Priced Usage'!$C$7:$C$3366,$A110,'Priced Usage'!$I$7:$I$3366,"First attempt")</x:f>
        <x:v>1</x:v>
      </x:c>
      <x:c r="M110" s="29" t="n">
        <x:f>COUNTIFS('Priced Usage'!$C$7:$C$3366,$A110,'Priced Usage'!$I$7:$I$3366,"Followup")</x:f>
        <x:v>11</x:v>
      </x:c>
      <x:c r="N110" s="29" t="n">
        <x:f>COUNTIFS('Priced Usage'!$C$7:$C$3366,$A110,'Priced Usage'!$I$7:$I$3366,"Correction")</x:f>
        <x:v>7</x:v>
      </x:c>
    </x:row>
    <x:row r="111" ht="23" customHeight="1">
      <x:c r="A111" s="17" t="str">
        <x:v>W0105</x:v>
      </x:c>
      <x:c r="B111" s="17" t="str">
        <x:v>C002</x:v>
      </x:c>
      <x:c r="C111" s="17" t="str">
        <x:v>CopyStudio</x:v>
      </x:c>
      <x:c r="D111" s="17" t="str">
        <x:v>Lite</x:v>
      </x:c>
      <x:c r="E111" s="29" t="n">
        <x:f>SUMIFS('Priced Usage'!$G$7:$G$3366,'Priced Usage'!$C$7:$C$3366,$A111)</x:f>
        <x:v>570536</x:v>
      </x:c>
      <x:c r="F111" s="29" t="n">
        <x:f>SUMIFS('Priced Usage'!$H$7:$H$3366,'Priced Usage'!$C$7:$C$3366,$A111)</x:f>
        <x:v>127572</x:v>
      </x:c>
      <x:c r="G111" s="29" t="n">
        <x:f>SUMIFS('Priced Usage'!$L$7:$L$3366,'Priced Usage'!$C$7:$C$3366,$A111)</x:f>
        <x:v>698108</x:v>
      </x:c>
      <x:c r="H111" s="29" t="n">
        <x:f>COUNTIFS('Priced Usage'!$C$7:$C$3366,$A111)</x:f>
        <x:v>23</x:v>
      </x:c>
      <x:c r="I111" s="30" t="n">
        <x:f>SUMIFS('Priced Usage'!$M$7:$M$3366,'Priced Usage'!$C$7:$C$3366,$A111)</x:f>
        <x:v>5.705360000000001</x:v>
      </x:c>
      <x:c r="J111" s="30" t="n">
        <x:f>SUMIFS('Priced Usage'!$N$7:$N$3366,'Priced Usage'!$C$7:$C$3366,$A111)</x:f>
        <x:v>3.8271600000000006</x:v>
      </x:c>
      <x:c r="K111" s="30" t="n">
        <x:f>SUMIFS('Priced Usage'!$O$7:$O$3366,'Priced Usage'!$C$7:$C$3366,$A111)</x:f>
        <x:v>9.53252</x:v>
      </x:c>
      <x:c r="L111" s="29" t="n">
        <x:f>COUNTIFS('Priced Usage'!$C$7:$C$3366,$A111,'Priced Usage'!$I$7:$I$3366,"First attempt")</x:f>
        <x:v>1</x:v>
      </x:c>
      <x:c r="M111" s="29" t="n">
        <x:f>COUNTIFS('Priced Usage'!$C$7:$C$3366,$A111,'Priced Usage'!$I$7:$I$3366,"Followup")</x:f>
        <x:v>10</x:v>
      </x:c>
      <x:c r="N111" s="29" t="n">
        <x:f>COUNTIFS('Priced Usage'!$C$7:$C$3366,$A111,'Priced Usage'!$I$7:$I$3366,"Correction")</x:f>
        <x:v>12</x:v>
      </x:c>
    </x:row>
    <x:row r="112" ht="23" customHeight="1">
      <x:c r="A112" s="17" t="str">
        <x:v>W0106</x:v>
      </x:c>
      <x:c r="B112" s="17" t="str">
        <x:v>C002</x:v>
      </x:c>
      <x:c r="C112" s="17" t="str">
        <x:v>InsightDesk</x:v>
      </x:c>
      <x:c r="D112" s="17" t="str">
        <x:v>Lite</x:v>
      </x:c>
      <x:c r="E112" s="29" t="n">
        <x:f>SUMIFS('Priced Usage'!$G$7:$G$3366,'Priced Usage'!$C$7:$C$3366,$A112)</x:f>
        <x:v>593589</x:v>
      </x:c>
      <x:c r="F112" s="29" t="n">
        <x:f>SUMIFS('Priced Usage'!$H$7:$H$3366,'Priced Usage'!$C$7:$C$3366,$A112)</x:f>
        <x:v>138645</x:v>
      </x:c>
      <x:c r="G112" s="29" t="n">
        <x:f>SUMIFS('Priced Usage'!$L$7:$L$3366,'Priced Usage'!$C$7:$C$3366,$A112)</x:f>
        <x:v>732234</x:v>
      </x:c>
      <x:c r="H112" s="29" t="n">
        <x:f>COUNTIFS('Priced Usage'!$C$7:$C$3366,$A112)</x:f>
        <x:v>16</x:v>
      </x:c>
      <x:c r="I112" s="30" t="n">
        <x:f>SUMIFS('Priced Usage'!$M$7:$M$3366,'Priced Usage'!$C$7:$C$3366,$A112)</x:f>
        <x:v>5.93589</x:v>
      </x:c>
      <x:c r="J112" s="30" t="n">
        <x:f>SUMIFS('Priced Usage'!$N$7:$N$3366,'Priced Usage'!$C$7:$C$3366,$A112)</x:f>
        <x:v>4.15935</x:v>
      </x:c>
      <x:c r="K112" s="30" t="n">
        <x:f>SUMIFS('Priced Usage'!$O$7:$O$3366,'Priced Usage'!$C$7:$C$3366,$A112)</x:f>
        <x:v>10.095240000000002</x:v>
      </x:c>
      <x:c r="L112" s="29" t="n">
        <x:f>COUNTIFS('Priced Usage'!$C$7:$C$3366,$A112,'Priced Usage'!$I$7:$I$3366,"First attempt")</x:f>
        <x:v>1</x:v>
      </x:c>
      <x:c r="M112" s="29" t="n">
        <x:f>COUNTIFS('Priced Usage'!$C$7:$C$3366,$A112,'Priced Usage'!$I$7:$I$3366,"Followup")</x:f>
        <x:v>11</x:v>
      </x:c>
      <x:c r="N112" s="29" t="n">
        <x:f>COUNTIFS('Priced Usage'!$C$7:$C$3366,$A112,'Priced Usage'!$I$7:$I$3366,"Correction")</x:f>
        <x:v>4</x:v>
      </x:c>
    </x:row>
    <x:row r="113" ht="23" customHeight="1">
      <x:c r="A113" s="17" t="str">
        <x:v>W0107</x:v>
      </x:c>
      <x:c r="B113" s="17" t="str">
        <x:v>C002</x:v>
      </x:c>
      <x:c r="C113" s="17" t="str">
        <x:v>CampaignChat</x:v>
      </x:c>
      <x:c r="D113" s="17" t="str">
        <x:v>Lite</x:v>
      </x:c>
      <x:c r="E113" s="29" t="n">
        <x:f>SUMIFS('Priced Usage'!$G$7:$G$3366,'Priced Usage'!$C$7:$C$3366,$A113)</x:f>
        <x:v>612904</x:v>
      </x:c>
      <x:c r="F113" s="29" t="n">
        <x:f>SUMIFS('Priced Usage'!$H$7:$H$3366,'Priced Usage'!$C$7:$C$3366,$A113)</x:f>
        <x:v>103885</x:v>
      </x:c>
      <x:c r="G113" s="29" t="n">
        <x:f>SUMIFS('Priced Usage'!$L$7:$L$3366,'Priced Usage'!$C$7:$C$3366,$A113)</x:f>
        <x:v>716789</x:v>
      </x:c>
      <x:c r="H113" s="29" t="n">
        <x:f>COUNTIFS('Priced Usage'!$C$7:$C$3366,$A113)</x:f>
        <x:v>16</x:v>
      </x:c>
      <x:c r="I113" s="30" t="n">
        <x:f>SUMIFS('Priced Usage'!$M$7:$M$3366,'Priced Usage'!$C$7:$C$3366,$A113)</x:f>
        <x:v>6.129040000000001</x:v>
      </x:c>
      <x:c r="J113" s="30" t="n">
        <x:f>SUMIFS('Priced Usage'!$N$7:$N$3366,'Priced Usage'!$C$7:$C$3366,$A113)</x:f>
        <x:v>3.1165499999999997</x:v>
      </x:c>
      <x:c r="K113" s="30" t="n">
        <x:f>SUMIFS('Priced Usage'!$O$7:$O$3366,'Priced Usage'!$C$7:$C$3366,$A113)</x:f>
        <x:v>9.24559</x:v>
      </x:c>
      <x:c r="L113" s="29" t="n">
        <x:f>COUNTIFS('Priced Usage'!$C$7:$C$3366,$A113,'Priced Usage'!$I$7:$I$3366,"First attempt")</x:f>
        <x:v>1</x:v>
      </x:c>
      <x:c r="M113" s="29" t="n">
        <x:f>COUNTIFS('Priced Usage'!$C$7:$C$3366,$A113,'Priced Usage'!$I$7:$I$3366,"Followup")</x:f>
        <x:v>7</x:v>
      </x:c>
      <x:c r="N113" s="29" t="n">
        <x:f>COUNTIFS('Priced Usage'!$C$7:$C$3366,$A113,'Priced Usage'!$I$7:$I$3366,"Correction")</x:f>
        <x:v>8</x:v>
      </x:c>
    </x:row>
    <x:row r="114" ht="23" customHeight="1">
      <x:c r="A114" s="17" t="str">
        <x:v>W0108</x:v>
      </x:c>
      <x:c r="B114" s="17" t="str">
        <x:v>C002</x:v>
      </x:c>
      <x:c r="C114" s="17" t="str">
        <x:v>CopyStudio</x:v>
      </x:c>
      <x:c r="D114" s="17" t="str">
        <x:v>Lite</x:v>
      </x:c>
      <x:c r="E114" s="29" t="n">
        <x:f>SUMIFS('Priced Usage'!$G$7:$G$3366,'Priced Usage'!$C$7:$C$3366,$A114)</x:f>
        <x:v>594805</x:v>
      </x:c>
      <x:c r="F114" s="29" t="n">
        <x:f>SUMIFS('Priced Usage'!$H$7:$H$3366,'Priced Usage'!$C$7:$C$3366,$A114)</x:f>
        <x:v>110427</x:v>
      </x:c>
      <x:c r="G114" s="29" t="n">
        <x:f>SUMIFS('Priced Usage'!$L$7:$L$3366,'Priced Usage'!$C$7:$C$3366,$A114)</x:f>
        <x:v>705232</x:v>
      </x:c>
      <x:c r="H114" s="29" t="n">
        <x:f>COUNTIFS('Priced Usage'!$C$7:$C$3366,$A114)</x:f>
        <x:v>15</x:v>
      </x:c>
      <x:c r="I114" s="30" t="n">
        <x:f>SUMIFS('Priced Usage'!$M$7:$M$3366,'Priced Usage'!$C$7:$C$3366,$A114)</x:f>
        <x:v>5.948049999999999</x:v>
      </x:c>
      <x:c r="J114" s="30" t="n">
        <x:f>SUMIFS('Priced Usage'!$N$7:$N$3366,'Priced Usage'!$C$7:$C$3366,$A114)</x:f>
        <x:v>3.3128100000000003</x:v>
      </x:c>
      <x:c r="K114" s="30" t="n">
        <x:f>SUMIFS('Priced Usage'!$O$7:$O$3366,'Priced Usage'!$C$7:$C$3366,$A114)</x:f>
        <x:v>9.260860000000001</x:v>
      </x:c>
      <x:c r="L114" s="29" t="n">
        <x:f>COUNTIFS('Priced Usage'!$C$7:$C$3366,$A114,'Priced Usage'!$I$7:$I$3366,"First attempt")</x:f>
        <x:v>1</x:v>
      </x:c>
      <x:c r="M114" s="29" t="n">
        <x:f>COUNTIFS('Priced Usage'!$C$7:$C$3366,$A114,'Priced Usage'!$I$7:$I$3366,"Followup")</x:f>
        <x:v>9</x:v>
      </x:c>
      <x:c r="N114" s="29" t="n">
        <x:f>COUNTIFS('Priced Usage'!$C$7:$C$3366,$A114,'Priced Usage'!$I$7:$I$3366,"Correction")</x:f>
        <x:v>5</x:v>
      </x:c>
    </x:row>
    <x:row r="115" ht="23" customHeight="1">
      <x:c r="A115" s="17" t="str">
        <x:v>W0109</x:v>
      </x:c>
      <x:c r="B115" s="17" t="str">
        <x:v>C002</x:v>
      </x:c>
      <x:c r="C115" s="17" t="str">
        <x:v>CopyStudio</x:v>
      </x:c>
      <x:c r="D115" s="17" t="str">
        <x:v>Pro</x:v>
      </x:c>
      <x:c r="E115" s="29" t="n">
        <x:f>SUMIFS('Priced Usage'!$G$7:$G$3366,'Priced Usage'!$C$7:$C$3366,$A115)</x:f>
        <x:v>523735</x:v>
      </x:c>
      <x:c r="F115" s="29" t="n">
        <x:f>SUMIFS('Priced Usage'!$H$7:$H$3366,'Priced Usage'!$C$7:$C$3366,$A115)</x:f>
        <x:v>148777</x:v>
      </x:c>
      <x:c r="G115" s="29" t="n">
        <x:f>SUMIFS('Priced Usage'!$L$7:$L$3366,'Priced Usage'!$C$7:$C$3366,$A115)</x:f>
        <x:v>672512</x:v>
      </x:c>
      <x:c r="H115" s="29" t="n">
        <x:f>COUNTIFS('Priced Usage'!$C$7:$C$3366,$A115)</x:f>
        <x:v>19</x:v>
      </x:c>
      <x:c r="I115" s="30" t="n">
        <x:f>SUMIFS('Priced Usage'!$M$7:$M$3366,'Priced Usage'!$C$7:$C$3366,$A115)</x:f>
        <x:v>20.949399999999994</x:v>
      </x:c>
      <x:c r="J115" s="30" t="n">
        <x:f>SUMIFS('Priced Usage'!$N$7:$N$3366,'Priced Usage'!$C$7:$C$3366,$A115)</x:f>
        <x:v>14.8777</x:v>
      </x:c>
      <x:c r="K115" s="30" t="n">
        <x:f>SUMIFS('Priced Usage'!$O$7:$O$3366,'Priced Usage'!$C$7:$C$3366,$A115)</x:f>
        <x:v>35.8271</x:v>
      </x:c>
      <x:c r="L115" s="29" t="n">
        <x:f>COUNTIFS('Priced Usage'!$C$7:$C$3366,$A115,'Priced Usage'!$I$7:$I$3366,"First attempt")</x:f>
        <x:v>1</x:v>
      </x:c>
      <x:c r="M115" s="29" t="n">
        <x:f>COUNTIFS('Priced Usage'!$C$7:$C$3366,$A115,'Priced Usage'!$I$7:$I$3366,"Followup")</x:f>
        <x:v>11</x:v>
      </x:c>
      <x:c r="N115" s="29" t="n">
        <x:f>COUNTIFS('Priced Usage'!$C$7:$C$3366,$A115,'Priced Usage'!$I$7:$I$3366,"Correction")</x:f>
        <x:v>7</x:v>
      </x:c>
    </x:row>
    <x:row r="116" ht="23" customHeight="1">
      <x:c r="A116" s="17" t="str">
        <x:v>W0110</x:v>
      </x:c>
      <x:c r="B116" s="17" t="str">
        <x:v>C002</x:v>
      </x:c>
      <x:c r="C116" s="17" t="str">
        <x:v>CampaignChat</x:v>
      </x:c>
      <x:c r="D116" s="17" t="str">
        <x:v>Lite</x:v>
      </x:c>
      <x:c r="E116" s="29" t="n">
        <x:f>SUMIFS('Priced Usage'!$G$7:$G$3366,'Priced Usage'!$C$7:$C$3366,$A116)</x:f>
        <x:v>547961</x:v>
      </x:c>
      <x:c r="F116" s="29" t="n">
        <x:f>SUMIFS('Priced Usage'!$H$7:$H$3366,'Priced Usage'!$C$7:$C$3366,$A116)</x:f>
        <x:v>161336</x:v>
      </x:c>
      <x:c r="G116" s="29" t="n">
        <x:f>SUMIFS('Priced Usage'!$L$7:$L$3366,'Priced Usage'!$C$7:$C$3366,$A116)</x:f>
        <x:v>709297</x:v>
      </x:c>
      <x:c r="H116" s="29" t="n">
        <x:f>COUNTIFS('Priced Usage'!$C$7:$C$3366,$A116)</x:f>
        <x:v>21</x:v>
      </x:c>
      <x:c r="I116" s="30" t="n">
        <x:f>SUMIFS('Priced Usage'!$M$7:$M$3366,'Priced Usage'!$C$7:$C$3366,$A116)</x:f>
        <x:v>5.47961</x:v>
      </x:c>
      <x:c r="J116" s="30" t="n">
        <x:f>SUMIFS('Priced Usage'!$N$7:$N$3366,'Priced Usage'!$C$7:$C$3366,$A116)</x:f>
        <x:v>4.84008</x:v>
      </x:c>
      <x:c r="K116" s="30" t="n">
        <x:f>SUMIFS('Priced Usage'!$O$7:$O$3366,'Priced Usage'!$C$7:$C$3366,$A116)</x:f>
        <x:v>10.319690000000001</x:v>
      </x:c>
      <x:c r="L116" s="29" t="n">
        <x:f>COUNTIFS('Priced Usage'!$C$7:$C$3366,$A116,'Priced Usage'!$I$7:$I$3366,"First attempt")</x:f>
        <x:v>1</x:v>
      </x:c>
      <x:c r="M116" s="29" t="n">
        <x:f>COUNTIFS('Priced Usage'!$C$7:$C$3366,$A116,'Priced Usage'!$I$7:$I$3366,"Followup")</x:f>
        <x:v>11</x:v>
      </x:c>
      <x:c r="N116" s="29" t="n">
        <x:f>COUNTIFS('Priced Usage'!$C$7:$C$3366,$A116,'Priced Usage'!$I$7:$I$3366,"Correction")</x:f>
        <x:v>9</x:v>
      </x:c>
    </x:row>
    <x:row r="117" ht="23" customHeight="1">
      <x:c r="A117" s="17" t="str">
        <x:v>W0111</x:v>
      </x:c>
      <x:c r="B117" s="17" t="str">
        <x:v>C002</x:v>
      </x:c>
      <x:c r="C117" s="17" t="str">
        <x:v>CampaignChat</x:v>
      </x:c>
      <x:c r="D117" s="17" t="str">
        <x:v>Lite</x:v>
      </x:c>
      <x:c r="E117" s="29" t="n">
        <x:f>SUMIFS('Priced Usage'!$G$7:$G$3366,'Priced Usage'!$C$7:$C$3366,$A117)</x:f>
        <x:v>953118</x:v>
      </x:c>
      <x:c r="F117" s="29" t="n">
        <x:f>SUMIFS('Priced Usage'!$H$7:$H$3366,'Priced Usage'!$C$7:$C$3366,$A117)</x:f>
        <x:v>144608</x:v>
      </x:c>
      <x:c r="G117" s="29" t="n">
        <x:f>SUMIFS('Priced Usage'!$L$7:$L$3366,'Priced Usage'!$C$7:$C$3366,$A117)</x:f>
        <x:v>1097726</x:v>
      </x:c>
      <x:c r="H117" s="29" t="n">
        <x:f>COUNTIFS('Priced Usage'!$C$7:$C$3366,$A117)</x:f>
        <x:v>25</x:v>
      </x:c>
      <x:c r="I117" s="30" t="n">
        <x:f>SUMIFS('Priced Usage'!$M$7:$M$3366,'Priced Usage'!$C$7:$C$3366,$A117)</x:f>
        <x:v>9.531179999999997</x:v>
      </x:c>
      <x:c r="J117" s="30" t="n">
        <x:f>SUMIFS('Priced Usage'!$N$7:$N$3366,'Priced Usage'!$C$7:$C$3366,$A117)</x:f>
        <x:v>4.33824</x:v>
      </x:c>
      <x:c r="K117" s="30" t="n">
        <x:f>SUMIFS('Priced Usage'!$O$7:$O$3366,'Priced Usage'!$C$7:$C$3366,$A117)</x:f>
        <x:v>13.869420000000002</x:v>
      </x:c>
      <x:c r="L117" s="29" t="n">
        <x:f>COUNTIFS('Priced Usage'!$C$7:$C$3366,$A117,'Priced Usage'!$I$7:$I$3366,"First attempt")</x:f>
        <x:v>1</x:v>
      </x:c>
      <x:c r="M117" s="29" t="n">
        <x:f>COUNTIFS('Priced Usage'!$C$7:$C$3366,$A117,'Priced Usage'!$I$7:$I$3366,"Followup")</x:f>
        <x:v>11</x:v>
      </x:c>
      <x:c r="N117" s="29" t="n">
        <x:f>COUNTIFS('Priced Usage'!$C$7:$C$3366,$A117,'Priced Usage'!$I$7:$I$3366,"Correction")</x:f>
        <x:v>13</x:v>
      </x:c>
    </x:row>
    <x:row r="118" ht="23" customHeight="1">
      <x:c r="A118" s="17" t="str">
        <x:v>W0112</x:v>
      </x:c>
      <x:c r="B118" s="17" t="str">
        <x:v>C002</x:v>
      </x:c>
      <x:c r="C118" s="17" t="str">
        <x:v>DataFlow</x:v>
      </x:c>
      <x:c r="D118" s="17" t="str">
        <x:v>Lite</x:v>
      </x:c>
      <x:c r="E118" s="29" t="n">
        <x:f>SUMIFS('Priced Usage'!$G$7:$G$3366,'Priced Usage'!$C$7:$C$3366,$A118)</x:f>
        <x:v>795470</x:v>
      </x:c>
      <x:c r="F118" s="29" t="n">
        <x:f>SUMIFS('Priced Usage'!$H$7:$H$3366,'Priced Usage'!$C$7:$C$3366,$A118)</x:f>
        <x:v>213965</x:v>
      </x:c>
      <x:c r="G118" s="29" t="n">
        <x:f>SUMIFS('Priced Usage'!$L$7:$L$3366,'Priced Usage'!$C$7:$C$3366,$A118)</x:f>
        <x:v>1009435</x:v>
      </x:c>
      <x:c r="H118" s="29" t="n">
        <x:f>COUNTIFS('Priced Usage'!$C$7:$C$3366,$A118)</x:f>
        <x:v>25</x:v>
      </x:c>
      <x:c r="I118" s="30" t="n">
        <x:f>SUMIFS('Priced Usage'!$M$7:$M$3366,'Priced Usage'!$C$7:$C$3366,$A118)</x:f>
        <x:v>7.9547</x:v>
      </x:c>
      <x:c r="J118" s="30" t="n">
        <x:f>SUMIFS('Priced Usage'!$N$7:$N$3366,'Priced Usage'!$C$7:$C$3366,$A118)</x:f>
        <x:v>6.418950000000001</x:v>
      </x:c>
      <x:c r="K118" s="30" t="n">
        <x:f>SUMIFS('Priced Usage'!$O$7:$O$3366,'Priced Usage'!$C$7:$C$3366,$A118)</x:f>
        <x:v>14.373649999999998</x:v>
      </x:c>
      <x:c r="L118" s="29" t="n">
        <x:f>COUNTIFS('Priced Usage'!$C$7:$C$3366,$A118,'Priced Usage'!$I$7:$I$3366,"First attempt")</x:f>
        <x:v>1</x:v>
      </x:c>
      <x:c r="M118" s="29" t="n">
        <x:f>COUNTIFS('Priced Usage'!$C$7:$C$3366,$A118,'Priced Usage'!$I$7:$I$3366,"Followup")</x:f>
        <x:v>15</x:v>
      </x:c>
      <x:c r="N118" s="29" t="n">
        <x:f>COUNTIFS('Priced Usage'!$C$7:$C$3366,$A118,'Priced Usage'!$I$7:$I$3366,"Correction")</x:f>
        <x:v>9</x:v>
      </x:c>
    </x:row>
    <x:row r="119" ht="23" customHeight="1">
      <x:c r="A119" s="17" t="str">
        <x:v>W0113</x:v>
      </x:c>
      <x:c r="B119" s="17" t="str">
        <x:v>C002</x:v>
      </x:c>
      <x:c r="C119" s="17" t="str">
        <x:v>DataFlow</x:v>
      </x:c>
      <x:c r="D119" s="17" t="str">
        <x:v>Pro</x:v>
      </x:c>
      <x:c r="E119" s="29" t="n">
        <x:f>SUMIFS('Priced Usage'!$G$7:$G$3366,'Priced Usage'!$C$7:$C$3366,$A119)</x:f>
        <x:v>365125</x:v>
      </x:c>
      <x:c r="F119" s="29" t="n">
        <x:f>SUMIFS('Priced Usage'!$H$7:$H$3366,'Priced Usage'!$C$7:$C$3366,$A119)</x:f>
        <x:v>179806</x:v>
      </x:c>
      <x:c r="G119" s="29" t="n">
        <x:f>SUMIFS('Priced Usage'!$L$7:$L$3366,'Priced Usage'!$C$7:$C$3366,$A119)</x:f>
        <x:v>544931</x:v>
      </x:c>
      <x:c r="H119" s="29" t="n">
        <x:f>COUNTIFS('Priced Usage'!$C$7:$C$3366,$A119)</x:f>
        <x:v>19</x:v>
      </x:c>
      <x:c r="I119" s="30" t="n">
        <x:f>SUMIFS('Priced Usage'!$M$7:$M$3366,'Priced Usage'!$C$7:$C$3366,$A119)</x:f>
        <x:v>14.605</x:v>
      </x:c>
      <x:c r="J119" s="30" t="n">
        <x:f>SUMIFS('Priced Usage'!$N$7:$N$3366,'Priced Usage'!$C$7:$C$3366,$A119)</x:f>
        <x:v>17.9806</x:v>
      </x:c>
      <x:c r="K119" s="30" t="n">
        <x:f>SUMIFS('Priced Usage'!$O$7:$O$3366,'Priced Usage'!$C$7:$C$3366,$A119)</x:f>
        <x:v>32.5856</x:v>
      </x:c>
      <x:c r="L119" s="29" t="n">
        <x:f>COUNTIFS('Priced Usage'!$C$7:$C$3366,$A119,'Priced Usage'!$I$7:$I$3366,"First attempt")</x:f>
        <x:v>1</x:v>
      </x:c>
      <x:c r="M119" s="29" t="n">
        <x:f>COUNTIFS('Priced Usage'!$C$7:$C$3366,$A119,'Priced Usage'!$I$7:$I$3366,"Followup")</x:f>
        <x:v>12</x:v>
      </x:c>
      <x:c r="N119" s="29" t="n">
        <x:f>COUNTIFS('Priced Usage'!$C$7:$C$3366,$A119,'Priced Usage'!$I$7:$I$3366,"Correction")</x:f>
        <x:v>6</x:v>
      </x:c>
    </x:row>
    <x:row r="120" ht="23" customHeight="1">
      <x:c r="A120" s="17" t="str">
        <x:v>W0114</x:v>
      </x:c>
      <x:c r="B120" s="17" t="str">
        <x:v>C002</x:v>
      </x:c>
      <x:c r="C120" s="17" t="str">
        <x:v>InsightDesk</x:v>
      </x:c>
      <x:c r="D120" s="17" t="str">
        <x:v>Pro</x:v>
      </x:c>
      <x:c r="E120" s="29" t="n">
        <x:f>SUMIFS('Priced Usage'!$G$7:$G$3366,'Priced Usage'!$C$7:$C$3366,$A120)</x:f>
        <x:v>266151</x:v>
      </x:c>
      <x:c r="F120" s="29" t="n">
        <x:f>SUMIFS('Priced Usage'!$H$7:$H$3366,'Priced Usage'!$C$7:$C$3366,$A120)</x:f>
        <x:v>252797</x:v>
      </x:c>
      <x:c r="G120" s="29" t="n">
        <x:f>SUMIFS('Priced Usage'!$L$7:$L$3366,'Priced Usage'!$C$7:$C$3366,$A120)</x:f>
        <x:v>518948</x:v>
      </x:c>
      <x:c r="H120" s="29" t="n">
        <x:f>COUNTIFS('Priced Usage'!$C$7:$C$3366,$A120)</x:f>
        <x:v>23</x:v>
      </x:c>
      <x:c r="I120" s="30" t="n">
        <x:f>SUMIFS('Priced Usage'!$M$7:$M$3366,'Priced Usage'!$C$7:$C$3366,$A120)</x:f>
        <x:v>10.646040000000001</x:v>
      </x:c>
      <x:c r="J120" s="30" t="n">
        <x:f>SUMIFS('Priced Usage'!$N$7:$N$3366,'Priced Usage'!$C$7:$C$3366,$A120)</x:f>
        <x:v>25.279700000000005</x:v>
      </x:c>
      <x:c r="K120" s="30" t="n">
        <x:f>SUMIFS('Priced Usage'!$O$7:$O$3366,'Priced Usage'!$C$7:$C$3366,$A120)</x:f>
        <x:v>35.92573999999999</x:v>
      </x:c>
      <x:c r="L120" s="29" t="n">
        <x:f>COUNTIFS('Priced Usage'!$C$7:$C$3366,$A120,'Priced Usage'!$I$7:$I$3366,"First attempt")</x:f>
        <x:v>1</x:v>
      </x:c>
      <x:c r="M120" s="29" t="n">
        <x:f>COUNTIFS('Priced Usage'!$C$7:$C$3366,$A120,'Priced Usage'!$I$7:$I$3366,"Followup")</x:f>
        <x:v>9</x:v>
      </x:c>
      <x:c r="N120" s="29" t="n">
        <x:f>COUNTIFS('Priced Usage'!$C$7:$C$3366,$A120,'Priced Usage'!$I$7:$I$3366,"Correction")</x:f>
        <x:v>13</x:v>
      </x:c>
    </x:row>
    <x:row r="121" ht="23" customHeight="1">
      <x:c r="A121" s="17" t="str">
        <x:v>W0115</x:v>
      </x:c>
      <x:c r="B121" s="17" t="str">
        <x:v>C002</x:v>
      </x:c>
      <x:c r="C121" s="17" t="str">
        <x:v>InsightDesk</x:v>
      </x:c>
      <x:c r="D121" s="17" t="str">
        <x:v>Pro</x:v>
      </x:c>
      <x:c r="E121" s="29" t="n">
        <x:f>SUMIFS('Priced Usage'!$G$7:$G$3366,'Priced Usage'!$C$7:$C$3366,$A121)</x:f>
        <x:v>277493</x:v>
      </x:c>
      <x:c r="F121" s="29" t="n">
        <x:f>SUMIFS('Priced Usage'!$H$7:$H$3366,'Priced Usage'!$C$7:$C$3366,$A121)</x:f>
        <x:v>186005</x:v>
      </x:c>
      <x:c r="G121" s="29" t="n">
        <x:f>SUMIFS('Priced Usage'!$L$7:$L$3366,'Priced Usage'!$C$7:$C$3366,$A121)</x:f>
        <x:v>463498</x:v>
      </x:c>
      <x:c r="H121" s="29" t="n">
        <x:f>COUNTIFS('Priced Usage'!$C$7:$C$3366,$A121)</x:f>
        <x:v>18</x:v>
      </x:c>
      <x:c r="I121" s="30" t="n">
        <x:f>SUMIFS('Priced Usage'!$M$7:$M$3366,'Priced Usage'!$C$7:$C$3366,$A121)</x:f>
        <x:v>11.099719999999998</x:v>
      </x:c>
      <x:c r="J121" s="30" t="n">
        <x:f>SUMIFS('Priced Usage'!$N$7:$N$3366,'Priced Usage'!$C$7:$C$3366,$A121)</x:f>
        <x:v>18.6005</x:v>
      </x:c>
      <x:c r="K121" s="30" t="n">
        <x:f>SUMIFS('Priced Usage'!$O$7:$O$3366,'Priced Usage'!$C$7:$C$3366,$A121)</x:f>
        <x:v>29.700219999999998</x:v>
      </x:c>
      <x:c r="L121" s="29" t="n">
        <x:f>COUNTIFS('Priced Usage'!$C$7:$C$3366,$A121,'Priced Usage'!$I$7:$I$3366,"First attempt")</x:f>
        <x:v>1</x:v>
      </x:c>
      <x:c r="M121" s="29" t="n">
        <x:f>COUNTIFS('Priced Usage'!$C$7:$C$3366,$A121,'Priced Usage'!$I$7:$I$3366,"Followup")</x:f>
        <x:v>8</x:v>
      </x:c>
      <x:c r="N121" s="29" t="n">
        <x:f>COUNTIFS('Priced Usage'!$C$7:$C$3366,$A121,'Priced Usage'!$I$7:$I$3366,"Correction")</x:f>
        <x:v>9</x:v>
      </x:c>
    </x:row>
    <x:row r="122" ht="23" customHeight="1">
      <x:c r="A122" s="17" t="str">
        <x:v>W0116</x:v>
      </x:c>
      <x:c r="B122" s="17" t="str">
        <x:v>C002</x:v>
      </x:c>
      <x:c r="C122" s="17" t="str">
        <x:v>CopyStudio</x:v>
      </x:c>
      <x:c r="D122" s="17" t="str">
        <x:v>Pro</x:v>
      </x:c>
      <x:c r="E122" s="29" t="n">
        <x:f>SUMIFS('Priced Usage'!$G$7:$G$3366,'Priced Usage'!$C$7:$C$3366,$A122)</x:f>
        <x:v>422573</x:v>
      </x:c>
      <x:c r="F122" s="29" t="n">
        <x:f>SUMIFS('Priced Usage'!$H$7:$H$3366,'Priced Usage'!$C$7:$C$3366,$A122)</x:f>
        <x:v>263824</x:v>
      </x:c>
      <x:c r="G122" s="29" t="n">
        <x:f>SUMIFS('Priced Usage'!$L$7:$L$3366,'Priced Usage'!$C$7:$C$3366,$A122)</x:f>
        <x:v>686397</x:v>
      </x:c>
      <x:c r="H122" s="29" t="n">
        <x:f>COUNTIFS('Priced Usage'!$C$7:$C$3366,$A122)</x:f>
        <x:v>27</x:v>
      </x:c>
      <x:c r="I122" s="30" t="n">
        <x:f>SUMIFS('Priced Usage'!$M$7:$M$3366,'Priced Usage'!$C$7:$C$3366,$A122)</x:f>
        <x:v>16.902919999999998</x:v>
      </x:c>
      <x:c r="J122" s="30" t="n">
        <x:f>SUMIFS('Priced Usage'!$N$7:$N$3366,'Priced Usage'!$C$7:$C$3366,$A122)</x:f>
        <x:v>26.382399999999997</x:v>
      </x:c>
      <x:c r="K122" s="30" t="n">
        <x:f>SUMIFS('Priced Usage'!$O$7:$O$3366,'Priced Usage'!$C$7:$C$3366,$A122)</x:f>
        <x:v>43.28531999999999</x:v>
      </x:c>
      <x:c r="L122" s="29" t="n">
        <x:f>COUNTIFS('Priced Usage'!$C$7:$C$3366,$A122,'Priced Usage'!$I$7:$I$3366,"First attempt")</x:f>
        <x:v>1</x:v>
      </x:c>
      <x:c r="M122" s="29" t="n">
        <x:f>COUNTIFS('Priced Usage'!$C$7:$C$3366,$A122,'Priced Usage'!$I$7:$I$3366,"Followup")</x:f>
        <x:v>11</x:v>
      </x:c>
      <x:c r="N122" s="29" t="n">
        <x:f>COUNTIFS('Priced Usage'!$C$7:$C$3366,$A122,'Priced Usage'!$I$7:$I$3366,"Correction")</x:f>
        <x:v>15</x:v>
      </x:c>
    </x:row>
    <x:row r="123" ht="23" customHeight="1">
      <x:c r="A123" s="17" t="str">
        <x:v>W0117</x:v>
      </x:c>
      <x:c r="B123" s="17" t="str">
        <x:v>C002</x:v>
      </x:c>
      <x:c r="C123" s="17" t="str">
        <x:v>CopyStudio</x:v>
      </x:c>
      <x:c r="D123" s="17" t="str">
        <x:v>Lite</x:v>
      </x:c>
      <x:c r="E123" s="29" t="n">
        <x:f>SUMIFS('Priced Usage'!$G$7:$G$3366,'Priced Usage'!$C$7:$C$3366,$A123)</x:f>
        <x:v>535782</x:v>
      </x:c>
      <x:c r="F123" s="29" t="n">
        <x:f>SUMIFS('Priced Usage'!$H$7:$H$3366,'Priced Usage'!$C$7:$C$3366,$A123)</x:f>
        <x:v>65111</x:v>
      </x:c>
      <x:c r="G123" s="29" t="n">
        <x:f>SUMIFS('Priced Usage'!$L$7:$L$3366,'Priced Usage'!$C$7:$C$3366,$A123)</x:f>
        <x:v>600893</x:v>
      </x:c>
      <x:c r="H123" s="29" t="n">
        <x:f>COUNTIFS('Priced Usage'!$C$7:$C$3366,$A123)</x:f>
        <x:v>17</x:v>
      </x:c>
      <x:c r="I123" s="30" t="n">
        <x:f>SUMIFS('Priced Usage'!$M$7:$M$3366,'Priced Usage'!$C$7:$C$3366,$A123)</x:f>
        <x:v>5.35782</x:v>
      </x:c>
      <x:c r="J123" s="30" t="n">
        <x:f>SUMIFS('Priced Usage'!$N$7:$N$3366,'Priced Usage'!$C$7:$C$3366,$A123)</x:f>
        <x:v>1.9533299999999998</x:v>
      </x:c>
      <x:c r="K123" s="30" t="n">
        <x:f>SUMIFS('Priced Usage'!$O$7:$O$3366,'Priced Usage'!$C$7:$C$3366,$A123)</x:f>
        <x:v>7.3111500000000005</x:v>
      </x:c>
      <x:c r="L123" s="29" t="n">
        <x:f>COUNTIFS('Priced Usage'!$C$7:$C$3366,$A123,'Priced Usage'!$I$7:$I$3366,"First attempt")</x:f>
        <x:v>1</x:v>
      </x:c>
      <x:c r="M123" s="29" t="n">
        <x:f>COUNTIFS('Priced Usage'!$C$7:$C$3366,$A123,'Priced Usage'!$I$7:$I$3366,"Followup")</x:f>
        <x:v>10</x:v>
      </x:c>
      <x:c r="N123" s="29" t="n">
        <x:f>COUNTIFS('Priced Usage'!$C$7:$C$3366,$A123,'Priced Usage'!$I$7:$I$3366,"Correction")</x:f>
        <x:v>6</x:v>
      </x:c>
    </x:row>
    <x:row r="124" ht="23" customHeight="1">
      <x:c r="A124" s="17" t="str">
        <x:v>W0118</x:v>
      </x:c>
      <x:c r="B124" s="17" t="str">
        <x:v>C002</x:v>
      </x:c>
      <x:c r="C124" s="17" t="str">
        <x:v>CampaignChat</x:v>
      </x:c>
      <x:c r="D124" s="17" t="str">
        <x:v>Lite</x:v>
      </x:c>
      <x:c r="E124" s="29" t="n">
        <x:f>SUMIFS('Priced Usage'!$G$7:$G$3366,'Priced Usage'!$C$7:$C$3366,$A124)</x:f>
        <x:v>293288</x:v>
      </x:c>
      <x:c r="F124" s="29" t="n">
        <x:f>SUMIFS('Priced Usage'!$H$7:$H$3366,'Priced Usage'!$C$7:$C$3366,$A124)</x:f>
        <x:v>113094</x:v>
      </x:c>
      <x:c r="G124" s="29" t="n">
        <x:f>SUMIFS('Priced Usage'!$L$7:$L$3366,'Priced Usage'!$C$7:$C$3366,$A124)</x:f>
        <x:v>406382</x:v>
      </x:c>
      <x:c r="H124" s="29" t="n">
        <x:f>COUNTIFS('Priced Usage'!$C$7:$C$3366,$A124)</x:f>
        <x:v>15</x:v>
      </x:c>
      <x:c r="I124" s="30" t="n">
        <x:f>SUMIFS('Priced Usage'!$M$7:$M$3366,'Priced Usage'!$C$7:$C$3366,$A124)</x:f>
        <x:v>2.93288</x:v>
      </x:c>
      <x:c r="J124" s="30" t="n">
        <x:f>SUMIFS('Priced Usage'!$N$7:$N$3366,'Priced Usage'!$C$7:$C$3366,$A124)</x:f>
        <x:v>3.39282</x:v>
      </x:c>
      <x:c r="K124" s="30" t="n">
        <x:f>SUMIFS('Priced Usage'!$O$7:$O$3366,'Priced Usage'!$C$7:$C$3366,$A124)</x:f>
        <x:v>6.3256999999999985</x:v>
      </x:c>
      <x:c r="L124" s="29" t="n">
        <x:f>COUNTIFS('Priced Usage'!$C$7:$C$3366,$A124,'Priced Usage'!$I$7:$I$3366,"First attempt")</x:f>
        <x:v>1</x:v>
      </x:c>
      <x:c r="M124" s="29" t="n">
        <x:f>COUNTIFS('Priced Usage'!$C$7:$C$3366,$A124,'Priced Usage'!$I$7:$I$3366,"Followup")</x:f>
        <x:v>7</x:v>
      </x:c>
      <x:c r="N124" s="29" t="n">
        <x:f>COUNTIFS('Priced Usage'!$C$7:$C$3366,$A124,'Priced Usage'!$I$7:$I$3366,"Correction")</x:f>
        <x:v>7</x:v>
      </x:c>
    </x:row>
    <x:row r="125" ht="23" customHeight="1">
      <x:c r="A125" s="17" t="str">
        <x:v>W0119</x:v>
      </x:c>
      <x:c r="B125" s="17" t="str">
        <x:v>C002</x:v>
      </x:c>
      <x:c r="C125" s="17" t="str">
        <x:v>CampaignChat</x:v>
      </x:c>
      <x:c r="D125" s="17" t="str">
        <x:v>Pro</x:v>
      </x:c>
      <x:c r="E125" s="29" t="n">
        <x:f>SUMIFS('Priced Usage'!$G$7:$G$3366,'Priced Usage'!$C$7:$C$3366,$A125)</x:f>
        <x:v>487622</x:v>
      </x:c>
      <x:c r="F125" s="29" t="n">
        <x:f>SUMIFS('Priced Usage'!$H$7:$H$3366,'Priced Usage'!$C$7:$C$3366,$A125)</x:f>
        <x:v>347989</x:v>
      </x:c>
      <x:c r="G125" s="29" t="n">
        <x:f>SUMIFS('Priced Usage'!$L$7:$L$3366,'Priced Usage'!$C$7:$C$3366,$A125)</x:f>
        <x:v>835611</x:v>
      </x:c>
      <x:c r="H125" s="29" t="n">
        <x:f>COUNTIFS('Priced Usage'!$C$7:$C$3366,$A125)</x:f>
        <x:v>24</x:v>
      </x:c>
      <x:c r="I125" s="30" t="n">
        <x:f>SUMIFS('Priced Usage'!$M$7:$M$3366,'Priced Usage'!$C$7:$C$3366,$A125)</x:f>
        <x:v>19.504879999999996</x:v>
      </x:c>
      <x:c r="J125" s="30" t="n">
        <x:f>SUMIFS('Priced Usage'!$N$7:$N$3366,'Priced Usage'!$C$7:$C$3366,$A125)</x:f>
        <x:v>34.7989</x:v>
      </x:c>
      <x:c r="K125" s="30" t="n">
        <x:f>SUMIFS('Priced Usage'!$O$7:$O$3366,'Priced Usage'!$C$7:$C$3366,$A125)</x:f>
        <x:v>54.30377999999999</x:v>
      </x:c>
      <x:c r="L125" s="29" t="n">
        <x:f>COUNTIFS('Priced Usage'!$C$7:$C$3366,$A125,'Priced Usage'!$I$7:$I$3366,"First attempt")</x:f>
        <x:v>1</x:v>
      </x:c>
      <x:c r="M125" s="29" t="n">
        <x:f>COUNTIFS('Priced Usage'!$C$7:$C$3366,$A125,'Priced Usage'!$I$7:$I$3366,"Followup")</x:f>
        <x:v>11</x:v>
      </x:c>
      <x:c r="N125" s="29" t="n">
        <x:f>COUNTIFS('Priced Usage'!$C$7:$C$3366,$A125,'Priced Usage'!$I$7:$I$3366,"Correction")</x:f>
        <x:v>12</x:v>
      </x:c>
    </x:row>
    <x:row r="126" ht="23" customHeight="1">
      <x:c r="A126" s="17" t="str">
        <x:v>W0120</x:v>
      </x:c>
      <x:c r="B126" s="17" t="str">
        <x:v>C002</x:v>
      </x:c>
      <x:c r="C126" s="17" t="str">
        <x:v>DataFlow</x:v>
      </x:c>
      <x:c r="D126" s="17" t="str">
        <x:v>Pro</x:v>
      </x:c>
      <x:c r="E126" s="29" t="n">
        <x:f>SUMIFS('Priced Usage'!$G$7:$G$3366,'Priced Usage'!$C$7:$C$3366,$A126)</x:f>
        <x:v>496369</x:v>
      </x:c>
      <x:c r="F126" s="29" t="n">
        <x:f>SUMIFS('Priced Usage'!$H$7:$H$3366,'Priced Usage'!$C$7:$C$3366,$A126)</x:f>
        <x:v>385435</x:v>
      </x:c>
      <x:c r="G126" s="29" t="n">
        <x:f>SUMIFS('Priced Usage'!$L$7:$L$3366,'Priced Usage'!$C$7:$C$3366,$A126)</x:f>
        <x:v>881804</x:v>
      </x:c>
      <x:c r="H126" s="29" t="n">
        <x:f>COUNTIFS('Priced Usage'!$C$7:$C$3366,$A126)</x:f>
        <x:v>27</x:v>
      </x:c>
      <x:c r="I126" s="30" t="n">
        <x:f>SUMIFS('Priced Usage'!$M$7:$M$3366,'Priced Usage'!$C$7:$C$3366,$A126)</x:f>
        <x:v>19.85476</x:v>
      </x:c>
      <x:c r="J126" s="30" t="n">
        <x:f>SUMIFS('Priced Usage'!$N$7:$N$3366,'Priced Usage'!$C$7:$C$3366,$A126)</x:f>
        <x:v>38.543499999999995</x:v>
      </x:c>
      <x:c r="K126" s="30" t="n">
        <x:f>SUMIFS('Priced Usage'!$O$7:$O$3366,'Priced Usage'!$C$7:$C$3366,$A126)</x:f>
        <x:v>58.39825999999999</x:v>
      </x:c>
      <x:c r="L126" s="29" t="n">
        <x:f>COUNTIFS('Priced Usage'!$C$7:$C$3366,$A126,'Priced Usage'!$I$7:$I$3366,"First attempt")</x:f>
        <x:v>1</x:v>
      </x:c>
      <x:c r="M126" s="29" t="n">
        <x:f>COUNTIFS('Priced Usage'!$C$7:$C$3366,$A126,'Priced Usage'!$I$7:$I$3366,"Followup")</x:f>
        <x:v>17</x:v>
      </x:c>
      <x:c r="N126" s="29" t="n">
        <x:f>COUNTIFS('Priced Usage'!$C$7:$C$3366,$A126,'Priced Usage'!$I$7:$I$3366,"Correction")</x:f>
        <x:v>9</x:v>
      </x:c>
    </x:row>
    <x:row r="127" ht="23" customHeight="1">
      <x:c r="A127" s="17" t="str">
        <x:v>W0121</x:v>
      </x:c>
      <x:c r="B127" s="17" t="str">
        <x:v>C003</x:v>
      </x:c>
      <x:c r="C127" s="17" t="str">
        <x:v>CampaignChat</x:v>
      </x:c>
      <x:c r="D127" s="17" t="str">
        <x:v>Pro</x:v>
      </x:c>
      <x:c r="E127" s="29" t="n">
        <x:f>SUMIFS('Priced Usage'!$G$7:$G$3366,'Priced Usage'!$C$7:$C$3366,$A127)</x:f>
        <x:v>348714</x:v>
      </x:c>
      <x:c r="F127" s="29" t="n">
        <x:f>SUMIFS('Priced Usage'!$H$7:$H$3366,'Priced Usage'!$C$7:$C$3366,$A127)</x:f>
        <x:v>121681</x:v>
      </x:c>
      <x:c r="G127" s="29" t="n">
        <x:f>SUMIFS('Priced Usage'!$L$7:$L$3366,'Priced Usage'!$C$7:$C$3366,$A127)</x:f>
        <x:v>470395</x:v>
      </x:c>
      <x:c r="H127" s="29" t="n">
        <x:f>COUNTIFS('Priced Usage'!$C$7:$C$3366,$A127)</x:f>
        <x:v>13</x:v>
      </x:c>
      <x:c r="I127" s="30" t="n">
        <x:f>SUMIFS('Priced Usage'!$M$7:$M$3366,'Priced Usage'!$C$7:$C$3366,$A127)</x:f>
        <x:v>13.948559999999999</x:v>
      </x:c>
      <x:c r="J127" s="30" t="n">
        <x:f>SUMIFS('Priced Usage'!$N$7:$N$3366,'Priced Usage'!$C$7:$C$3366,$A127)</x:f>
        <x:v>12.168099999999999</x:v>
      </x:c>
      <x:c r="K127" s="30" t="n">
        <x:f>SUMIFS('Priced Usage'!$O$7:$O$3366,'Priced Usage'!$C$7:$C$3366,$A127)</x:f>
        <x:v>26.116659999999996</x:v>
      </x:c>
      <x:c r="L127" s="29" t="n">
        <x:f>COUNTIFS('Priced Usage'!$C$7:$C$3366,$A127,'Priced Usage'!$I$7:$I$3366,"First attempt")</x:f>
        <x:v>1</x:v>
      </x:c>
      <x:c r="M127" s="29" t="n">
        <x:f>COUNTIFS('Priced Usage'!$C$7:$C$3366,$A127,'Priced Usage'!$I$7:$I$3366,"Followup")</x:f>
        <x:v>9</x:v>
      </x:c>
      <x:c r="N127" s="29" t="n">
        <x:f>COUNTIFS('Priced Usage'!$C$7:$C$3366,$A127,'Priced Usage'!$I$7:$I$3366,"Correction")</x:f>
        <x:v>3</x:v>
      </x:c>
    </x:row>
    <x:row r="128" ht="23" customHeight="1">
      <x:c r="A128" s="17" t="str">
        <x:v>W0122</x:v>
      </x:c>
      <x:c r="B128" s="17" t="str">
        <x:v>C003</x:v>
      </x:c>
      <x:c r="C128" s="17" t="str">
        <x:v>CampaignChat</x:v>
      </x:c>
      <x:c r="D128" s="17" t="str">
        <x:v>Lite</x:v>
      </x:c>
      <x:c r="E128" s="29" t="n">
        <x:f>SUMIFS('Priced Usage'!$G$7:$G$3366,'Priced Usage'!$C$7:$C$3366,$A128)</x:f>
        <x:v>249362</x:v>
      </x:c>
      <x:c r="F128" s="29" t="n">
        <x:f>SUMIFS('Priced Usage'!$H$7:$H$3366,'Priced Usage'!$C$7:$C$3366,$A128)</x:f>
        <x:v>57477</x:v>
      </x:c>
      <x:c r="G128" s="29" t="n">
        <x:f>SUMIFS('Priced Usage'!$L$7:$L$3366,'Priced Usage'!$C$7:$C$3366,$A128)</x:f>
        <x:v>306839</x:v>
      </x:c>
      <x:c r="H128" s="29" t="n">
        <x:f>COUNTIFS('Priced Usage'!$C$7:$C$3366,$A128)</x:f>
        <x:v>12</x:v>
      </x:c>
      <x:c r="I128" s="30" t="n">
        <x:f>SUMIFS('Priced Usage'!$M$7:$M$3366,'Priced Usage'!$C$7:$C$3366,$A128)</x:f>
        <x:v>2.49362</x:v>
      </x:c>
      <x:c r="J128" s="30" t="n">
        <x:f>SUMIFS('Priced Usage'!$N$7:$N$3366,'Priced Usage'!$C$7:$C$3366,$A128)</x:f>
        <x:v>1.7243099999999998</x:v>
      </x:c>
      <x:c r="K128" s="30" t="n">
        <x:f>SUMIFS('Priced Usage'!$O$7:$O$3366,'Priced Usage'!$C$7:$C$3366,$A128)</x:f>
        <x:v>4.21793</x:v>
      </x:c>
      <x:c r="L128" s="29" t="n">
        <x:f>COUNTIFS('Priced Usage'!$C$7:$C$3366,$A128,'Priced Usage'!$I$7:$I$3366,"First attempt")</x:f>
        <x:v>1</x:v>
      </x:c>
      <x:c r="M128" s="29" t="n">
        <x:f>COUNTIFS('Priced Usage'!$C$7:$C$3366,$A128,'Priced Usage'!$I$7:$I$3366,"Followup")</x:f>
        <x:v>8</x:v>
      </x:c>
      <x:c r="N128" s="29" t="n">
        <x:f>COUNTIFS('Priced Usage'!$C$7:$C$3366,$A128,'Priced Usage'!$I$7:$I$3366,"Correction")</x:f>
        <x:v>3</x:v>
      </x:c>
    </x:row>
    <x:row r="129" ht="23" customHeight="1">
      <x:c r="A129" s="17" t="str">
        <x:v>W0123</x:v>
      </x:c>
      <x:c r="B129" s="17" t="str">
        <x:v>C003</x:v>
      </x:c>
      <x:c r="C129" s="17" t="str">
        <x:v>DataFlow</x:v>
      </x:c>
      <x:c r="D129" s="17" t="str">
        <x:v>Lite</x:v>
      </x:c>
      <x:c r="E129" s="29" t="n">
        <x:f>SUMIFS('Priced Usage'!$G$7:$G$3366,'Priced Usage'!$C$7:$C$3366,$A129)</x:f>
        <x:v>194069</x:v>
      </x:c>
      <x:c r="F129" s="29" t="n">
        <x:f>SUMIFS('Priced Usage'!$H$7:$H$3366,'Priced Usage'!$C$7:$C$3366,$A129)</x:f>
        <x:v>63096</x:v>
      </x:c>
      <x:c r="G129" s="29" t="n">
        <x:f>SUMIFS('Priced Usage'!$L$7:$L$3366,'Priced Usage'!$C$7:$C$3366,$A129)</x:f>
        <x:v>257165</x:v>
      </x:c>
      <x:c r="H129" s="29" t="n">
        <x:f>COUNTIFS('Priced Usage'!$C$7:$C$3366,$A129)</x:f>
        <x:v>9</x:v>
      </x:c>
      <x:c r="I129" s="30" t="n">
        <x:f>SUMIFS('Priced Usage'!$M$7:$M$3366,'Priced Usage'!$C$7:$C$3366,$A129)</x:f>
        <x:v>1.94069</x:v>
      </x:c>
      <x:c r="J129" s="30" t="n">
        <x:f>SUMIFS('Priced Usage'!$N$7:$N$3366,'Priced Usage'!$C$7:$C$3366,$A129)</x:f>
        <x:v>1.8928800000000001</x:v>
      </x:c>
      <x:c r="K129" s="30" t="n">
        <x:f>SUMIFS('Priced Usage'!$O$7:$O$3366,'Priced Usage'!$C$7:$C$3366,$A129)</x:f>
        <x:v>3.8335699999999995</x:v>
      </x:c>
      <x:c r="L129" s="29" t="n">
        <x:f>COUNTIFS('Priced Usage'!$C$7:$C$3366,$A129,'Priced Usage'!$I$7:$I$3366,"First attempt")</x:f>
        <x:v>1</x:v>
      </x:c>
      <x:c r="M129" s="29" t="n">
        <x:f>COUNTIFS('Priced Usage'!$C$7:$C$3366,$A129,'Priced Usage'!$I$7:$I$3366,"Followup")</x:f>
        <x:v>7</x:v>
      </x:c>
      <x:c r="N129" s="29" t="n">
        <x:f>COUNTIFS('Priced Usage'!$C$7:$C$3366,$A129,'Priced Usage'!$I$7:$I$3366,"Correction")</x:f>
        <x:v>1</x:v>
      </x:c>
    </x:row>
    <x:row r="130" ht="23" customHeight="1">
      <x:c r="A130" s="17" t="str">
        <x:v>W0124</x:v>
      </x:c>
      <x:c r="B130" s="17" t="str">
        <x:v>C003</x:v>
      </x:c>
      <x:c r="C130" s="17" t="str">
        <x:v>DataFlow</x:v>
      </x:c>
      <x:c r="D130" s="17" t="str">
        <x:v>Lite</x:v>
      </x:c>
      <x:c r="E130" s="29" t="n">
        <x:f>SUMIFS('Priced Usage'!$G$7:$G$3366,'Priced Usage'!$C$7:$C$3366,$A130)</x:f>
        <x:v>286242</x:v>
      </x:c>
      <x:c r="F130" s="29" t="n">
        <x:f>SUMIFS('Priced Usage'!$H$7:$H$3366,'Priced Usage'!$C$7:$C$3366,$A130)</x:f>
        <x:v>30928</x:v>
      </x:c>
      <x:c r="G130" s="29" t="n">
        <x:f>SUMIFS('Priced Usage'!$L$7:$L$3366,'Priced Usage'!$C$7:$C$3366,$A130)</x:f>
        <x:v>317170</x:v>
      </x:c>
      <x:c r="H130" s="29" t="n">
        <x:f>COUNTIFS('Priced Usage'!$C$7:$C$3366,$A130)</x:f>
        <x:v>10</x:v>
      </x:c>
      <x:c r="I130" s="30" t="n">
        <x:f>SUMIFS('Priced Usage'!$M$7:$M$3366,'Priced Usage'!$C$7:$C$3366,$A130)</x:f>
        <x:v>2.8624199999999997</x:v>
      </x:c>
      <x:c r="J130" s="30" t="n">
        <x:f>SUMIFS('Priced Usage'!$N$7:$N$3366,'Priced Usage'!$C$7:$C$3366,$A130)</x:f>
        <x:v>0.9278399999999999</x:v>
      </x:c>
      <x:c r="K130" s="30" t="n">
        <x:f>SUMIFS('Priced Usage'!$O$7:$O$3366,'Priced Usage'!$C$7:$C$3366,$A130)</x:f>
        <x:v>3.79026</x:v>
      </x:c>
      <x:c r="L130" s="29" t="n">
        <x:f>COUNTIFS('Priced Usage'!$C$7:$C$3366,$A130,'Priced Usage'!$I$7:$I$3366,"First attempt")</x:f>
        <x:v>1</x:v>
      </x:c>
      <x:c r="M130" s="29" t="n">
        <x:f>COUNTIFS('Priced Usage'!$C$7:$C$3366,$A130,'Priced Usage'!$I$7:$I$3366,"Followup")</x:f>
        <x:v>7</x:v>
      </x:c>
      <x:c r="N130" s="29" t="n">
        <x:f>COUNTIFS('Priced Usage'!$C$7:$C$3366,$A130,'Priced Usage'!$I$7:$I$3366,"Correction")</x:f>
        <x:v>2</x:v>
      </x:c>
    </x:row>
    <x:row r="131" ht="23" customHeight="1">
      <x:c r="A131" s="17" t="str">
        <x:v>W0125</x:v>
      </x:c>
      <x:c r="B131" s="17" t="str">
        <x:v>C003</x:v>
      </x:c>
      <x:c r="C131" s="17" t="str">
        <x:v>InsightDesk</x:v>
      </x:c>
      <x:c r="D131" s="17" t="str">
        <x:v>Lite</x:v>
      </x:c>
      <x:c r="E131" s="29" t="n">
        <x:f>SUMIFS('Priced Usage'!$G$7:$G$3366,'Priced Usage'!$C$7:$C$3366,$A131)</x:f>
        <x:v>307854</x:v>
      </x:c>
      <x:c r="F131" s="29" t="n">
        <x:f>SUMIFS('Priced Usage'!$H$7:$H$3366,'Priced Usage'!$C$7:$C$3366,$A131)</x:f>
        <x:v>70656</x:v>
      </x:c>
      <x:c r="G131" s="29" t="n">
        <x:f>SUMIFS('Priced Usage'!$L$7:$L$3366,'Priced Usage'!$C$7:$C$3366,$A131)</x:f>
        <x:v>378510</x:v>
      </x:c>
      <x:c r="H131" s="29" t="n">
        <x:f>COUNTIFS('Priced Usage'!$C$7:$C$3366,$A131)</x:f>
        <x:v>14</x:v>
      </x:c>
      <x:c r="I131" s="30" t="n">
        <x:f>SUMIFS('Priced Usage'!$M$7:$M$3366,'Priced Usage'!$C$7:$C$3366,$A131)</x:f>
        <x:v>3.0785400000000007</x:v>
      </x:c>
      <x:c r="J131" s="30" t="n">
        <x:f>SUMIFS('Priced Usage'!$N$7:$N$3366,'Priced Usage'!$C$7:$C$3366,$A131)</x:f>
        <x:v>2.1196800000000002</x:v>
      </x:c>
      <x:c r="K131" s="30" t="n">
        <x:f>SUMIFS('Priced Usage'!$O$7:$O$3366,'Priced Usage'!$C$7:$C$3366,$A131)</x:f>
        <x:v>5.19822</x:v>
      </x:c>
      <x:c r="L131" s="29" t="n">
        <x:f>COUNTIFS('Priced Usage'!$C$7:$C$3366,$A131,'Priced Usage'!$I$7:$I$3366,"First attempt")</x:f>
        <x:v>1</x:v>
      </x:c>
      <x:c r="M131" s="29" t="n">
        <x:f>COUNTIFS('Priced Usage'!$C$7:$C$3366,$A131,'Priced Usage'!$I$7:$I$3366,"Followup")</x:f>
        <x:v>11</x:v>
      </x:c>
      <x:c r="N131" s="29" t="n">
        <x:f>COUNTIFS('Priced Usage'!$C$7:$C$3366,$A131,'Priced Usage'!$I$7:$I$3366,"Correction")</x:f>
        <x:v>2</x:v>
      </x:c>
    </x:row>
    <x:row r="132" ht="23" customHeight="1">
      <x:c r="A132" s="17" t="str">
        <x:v>W0126</x:v>
      </x:c>
      <x:c r="B132" s="17" t="str">
        <x:v>C003</x:v>
      </x:c>
      <x:c r="C132" s="17" t="str">
        <x:v>InsightDesk</x:v>
      </x:c>
      <x:c r="D132" s="17" t="str">
        <x:v>Lite</x:v>
      </x:c>
      <x:c r="E132" s="29" t="n">
        <x:f>SUMIFS('Priced Usage'!$G$7:$G$3366,'Priced Usage'!$C$7:$C$3366,$A132)</x:f>
        <x:v>303802</x:v>
      </x:c>
      <x:c r="F132" s="29" t="n">
        <x:f>SUMIFS('Priced Usage'!$H$7:$H$3366,'Priced Usage'!$C$7:$C$3366,$A132)</x:f>
        <x:v>53152</x:v>
      </x:c>
      <x:c r="G132" s="29" t="n">
        <x:f>SUMIFS('Priced Usage'!$L$7:$L$3366,'Priced Usage'!$C$7:$C$3366,$A132)</x:f>
        <x:v>356954</x:v>
      </x:c>
      <x:c r="H132" s="29" t="n">
        <x:f>COUNTIFS('Priced Usage'!$C$7:$C$3366,$A132)</x:f>
        <x:v>9</x:v>
      </x:c>
      <x:c r="I132" s="30" t="n">
        <x:f>SUMIFS('Priced Usage'!$M$7:$M$3366,'Priced Usage'!$C$7:$C$3366,$A132)</x:f>
        <x:v>3.03802</x:v>
      </x:c>
      <x:c r="J132" s="30" t="n">
        <x:f>SUMIFS('Priced Usage'!$N$7:$N$3366,'Priced Usage'!$C$7:$C$3366,$A132)</x:f>
        <x:v>1.5945599999999998</x:v>
      </x:c>
      <x:c r="K132" s="30" t="n">
        <x:f>SUMIFS('Priced Usage'!$O$7:$O$3366,'Priced Usage'!$C$7:$C$3366,$A132)</x:f>
        <x:v>4.63258</x:v>
      </x:c>
      <x:c r="L132" s="29" t="n">
        <x:f>COUNTIFS('Priced Usage'!$C$7:$C$3366,$A132,'Priced Usage'!$I$7:$I$3366,"First attempt")</x:f>
        <x:v>1</x:v>
      </x:c>
      <x:c r="M132" s="29" t="n">
        <x:f>COUNTIFS('Priced Usage'!$C$7:$C$3366,$A132,'Priced Usage'!$I$7:$I$3366,"Followup")</x:f>
        <x:v>6</x:v>
      </x:c>
      <x:c r="N132" s="29" t="n">
        <x:f>COUNTIFS('Priced Usage'!$C$7:$C$3366,$A132,'Priced Usage'!$I$7:$I$3366,"Correction")</x:f>
        <x:v>2</x:v>
      </x:c>
    </x:row>
    <x:row r="133" ht="23" customHeight="1">
      <x:c r="A133" s="17" t="str">
        <x:v>W0127</x:v>
      </x:c>
      <x:c r="B133" s="17" t="str">
        <x:v>C003</x:v>
      </x:c>
      <x:c r="C133" s="17" t="str">
        <x:v>CopyStudio</x:v>
      </x:c>
      <x:c r="D133" s="17" t="str">
        <x:v>Pro</x:v>
      </x:c>
      <x:c r="E133" s="29" t="n">
        <x:f>SUMIFS('Priced Usage'!$G$7:$G$3366,'Priced Usage'!$C$7:$C$3366,$A133)</x:f>
        <x:v>231825</x:v>
      </x:c>
      <x:c r="F133" s="29" t="n">
        <x:f>SUMIFS('Priced Usage'!$H$7:$H$3366,'Priced Usage'!$C$7:$C$3366,$A133)</x:f>
        <x:v>63522</x:v>
      </x:c>
      <x:c r="G133" s="29" t="n">
        <x:f>SUMIFS('Priced Usage'!$L$7:$L$3366,'Priced Usage'!$C$7:$C$3366,$A133)</x:f>
        <x:v>295347</x:v>
      </x:c>
      <x:c r="H133" s="29" t="n">
        <x:f>COUNTIFS('Priced Usage'!$C$7:$C$3366,$A133)</x:f>
        <x:v>11</x:v>
      </x:c>
      <x:c r="I133" s="30" t="n">
        <x:f>SUMIFS('Priced Usage'!$M$7:$M$3366,'Priced Usage'!$C$7:$C$3366,$A133)</x:f>
        <x:v>9.273</x:v>
      </x:c>
      <x:c r="J133" s="30" t="n">
        <x:f>SUMIFS('Priced Usage'!$N$7:$N$3366,'Priced Usage'!$C$7:$C$3366,$A133)</x:f>
        <x:v>6.3522</x:v>
      </x:c>
      <x:c r="K133" s="30" t="n">
        <x:f>SUMIFS('Priced Usage'!$O$7:$O$3366,'Priced Usage'!$C$7:$C$3366,$A133)</x:f>
        <x:v>15.6252</x:v>
      </x:c>
      <x:c r="L133" s="29" t="n">
        <x:f>COUNTIFS('Priced Usage'!$C$7:$C$3366,$A133,'Priced Usage'!$I$7:$I$3366,"First attempt")</x:f>
        <x:v>1</x:v>
      </x:c>
      <x:c r="M133" s="29" t="n">
        <x:f>COUNTIFS('Priced Usage'!$C$7:$C$3366,$A133,'Priced Usage'!$I$7:$I$3366,"Followup")</x:f>
        <x:v>8</x:v>
      </x:c>
      <x:c r="N133" s="29" t="n">
        <x:f>COUNTIFS('Priced Usage'!$C$7:$C$3366,$A133,'Priced Usage'!$I$7:$I$3366,"Correction")</x:f>
        <x:v>2</x:v>
      </x:c>
    </x:row>
    <x:row r="134" ht="23" customHeight="1">
      <x:c r="A134" s="17" t="str">
        <x:v>W0128</x:v>
      </x:c>
      <x:c r="B134" s="17" t="str">
        <x:v>C003</x:v>
      </x:c>
      <x:c r="C134" s="17" t="str">
        <x:v>CopyStudio</x:v>
      </x:c>
      <x:c r="D134" s="17" t="str">
        <x:v>Lite</x:v>
      </x:c>
      <x:c r="E134" s="29" t="n">
        <x:f>SUMIFS('Priced Usage'!$G$7:$G$3366,'Priced Usage'!$C$7:$C$3366,$A134)</x:f>
        <x:v>339618</x:v>
      </x:c>
      <x:c r="F134" s="29" t="n">
        <x:f>SUMIFS('Priced Usage'!$H$7:$H$3366,'Priced Usage'!$C$7:$C$3366,$A134)</x:f>
        <x:v>64704</x:v>
      </x:c>
      <x:c r="G134" s="29" t="n">
        <x:f>SUMIFS('Priced Usage'!$L$7:$L$3366,'Priced Usage'!$C$7:$C$3366,$A134)</x:f>
        <x:v>404322</x:v>
      </x:c>
      <x:c r="H134" s="29" t="n">
        <x:f>COUNTIFS('Priced Usage'!$C$7:$C$3366,$A134)</x:f>
        <x:v>11</x:v>
      </x:c>
      <x:c r="I134" s="30" t="n">
        <x:f>SUMIFS('Priced Usage'!$M$7:$M$3366,'Priced Usage'!$C$7:$C$3366,$A134)</x:f>
        <x:v>3.3961799999999998</x:v>
      </x:c>
      <x:c r="J134" s="30" t="n">
        <x:f>SUMIFS('Priced Usage'!$N$7:$N$3366,'Priced Usage'!$C$7:$C$3366,$A134)</x:f>
        <x:v>1.9411199999999997</x:v>
      </x:c>
      <x:c r="K134" s="30" t="n">
        <x:f>SUMIFS('Priced Usage'!$O$7:$O$3366,'Priced Usage'!$C$7:$C$3366,$A134)</x:f>
        <x:v>5.337300000000001</x:v>
      </x:c>
      <x:c r="L134" s="29" t="n">
        <x:f>COUNTIFS('Priced Usage'!$C$7:$C$3366,$A134,'Priced Usage'!$I$7:$I$3366,"First attempt")</x:f>
        <x:v>1</x:v>
      </x:c>
      <x:c r="M134" s="29" t="n">
        <x:f>COUNTIFS('Priced Usage'!$C$7:$C$3366,$A134,'Priced Usage'!$I$7:$I$3366,"Followup")</x:f>
        <x:v>8</x:v>
      </x:c>
      <x:c r="N134" s="29" t="n">
        <x:f>COUNTIFS('Priced Usage'!$C$7:$C$3366,$A134,'Priced Usage'!$I$7:$I$3366,"Correction")</x:f>
        <x:v>2</x:v>
      </x:c>
    </x:row>
    <x:row r="135" ht="23" customHeight="1">
      <x:c r="A135" s="17" t="str">
        <x:v>W0129</x:v>
      </x:c>
      <x:c r="B135" s="17" t="str">
        <x:v>C003</x:v>
      </x:c>
      <x:c r="C135" s="17" t="str">
        <x:v>CampaignChat</x:v>
      </x:c>
      <x:c r="D135" s="17" t="str">
        <x:v>Lite</x:v>
      </x:c>
      <x:c r="E135" s="29" t="n">
        <x:f>SUMIFS('Priced Usage'!$G$7:$G$3366,'Priced Usage'!$C$7:$C$3366,$A135)</x:f>
        <x:v>378883</x:v>
      </x:c>
      <x:c r="F135" s="29" t="n">
        <x:f>SUMIFS('Priced Usage'!$H$7:$H$3366,'Priced Usage'!$C$7:$C$3366,$A135)</x:f>
        <x:v>51135</x:v>
      </x:c>
      <x:c r="G135" s="29" t="n">
        <x:f>SUMIFS('Priced Usage'!$L$7:$L$3366,'Priced Usage'!$C$7:$C$3366,$A135)</x:f>
        <x:v>430018</x:v>
      </x:c>
      <x:c r="H135" s="29" t="n">
        <x:f>COUNTIFS('Priced Usage'!$C$7:$C$3366,$A135)</x:f>
        <x:v>12</x:v>
      </x:c>
      <x:c r="I135" s="30" t="n">
        <x:f>SUMIFS('Priced Usage'!$M$7:$M$3366,'Priced Usage'!$C$7:$C$3366,$A135)</x:f>
        <x:v>3.7888299999999995</x:v>
      </x:c>
      <x:c r="J135" s="30" t="n">
        <x:f>SUMIFS('Priced Usage'!$N$7:$N$3366,'Priced Usage'!$C$7:$C$3366,$A135)</x:f>
        <x:v>1.5340500000000001</x:v>
      </x:c>
      <x:c r="K135" s="30" t="n">
        <x:f>SUMIFS('Priced Usage'!$O$7:$O$3366,'Priced Usage'!$C$7:$C$3366,$A135)</x:f>
        <x:v>5.3228800000000005</x:v>
      </x:c>
      <x:c r="L135" s="29" t="n">
        <x:f>COUNTIFS('Priced Usage'!$C$7:$C$3366,$A135,'Priced Usage'!$I$7:$I$3366,"First attempt")</x:f>
        <x:v>1</x:v>
      </x:c>
      <x:c r="M135" s="29" t="n">
        <x:f>COUNTIFS('Priced Usage'!$C$7:$C$3366,$A135,'Priced Usage'!$I$7:$I$3366,"Followup")</x:f>
        <x:v>8</x:v>
      </x:c>
      <x:c r="N135" s="29" t="n">
        <x:f>COUNTIFS('Priced Usage'!$C$7:$C$3366,$A135,'Priced Usage'!$I$7:$I$3366,"Correction")</x:f>
        <x:v>3</x:v>
      </x:c>
    </x:row>
    <x:row r="136" ht="23" customHeight="1">
      <x:c r="A136" s="17" t="str">
        <x:v>W0130</x:v>
      </x:c>
      <x:c r="B136" s="17" t="str">
        <x:v>C003</x:v>
      </x:c>
      <x:c r="C136" s="17" t="str">
        <x:v>InsightDesk</x:v>
      </x:c>
      <x:c r="D136" s="17" t="str">
        <x:v>Lite</x:v>
      </x:c>
      <x:c r="E136" s="29" t="n">
        <x:f>SUMIFS('Priced Usage'!$G$7:$G$3366,'Priced Usage'!$C$7:$C$3366,$A136)</x:f>
        <x:v>517641</x:v>
      </x:c>
      <x:c r="F136" s="29" t="n">
        <x:f>SUMIFS('Priced Usage'!$H$7:$H$3366,'Priced Usage'!$C$7:$C$3366,$A136)</x:f>
        <x:v>64948</x:v>
      </x:c>
      <x:c r="G136" s="29" t="n">
        <x:f>SUMIFS('Priced Usage'!$L$7:$L$3366,'Priced Usage'!$C$7:$C$3366,$A136)</x:f>
        <x:v>582589</x:v>
      </x:c>
      <x:c r="H136" s="29" t="n">
        <x:f>COUNTIFS('Priced Usage'!$C$7:$C$3366,$A136)</x:f>
        <x:v>14</x:v>
      </x:c>
      <x:c r="I136" s="30" t="n">
        <x:f>SUMIFS('Priced Usage'!$M$7:$M$3366,'Priced Usage'!$C$7:$C$3366,$A136)</x:f>
        <x:v>5.176410000000001</x:v>
      </x:c>
      <x:c r="J136" s="30" t="n">
        <x:f>SUMIFS('Priced Usage'!$N$7:$N$3366,'Priced Usage'!$C$7:$C$3366,$A136)</x:f>
        <x:v>1.9484400000000002</x:v>
      </x:c>
      <x:c r="K136" s="30" t="n">
        <x:f>SUMIFS('Priced Usage'!$O$7:$O$3366,'Priced Usage'!$C$7:$C$3366,$A136)</x:f>
        <x:v>7.12485</x:v>
      </x:c>
      <x:c r="L136" s="29" t="n">
        <x:f>COUNTIFS('Priced Usage'!$C$7:$C$3366,$A136,'Priced Usage'!$I$7:$I$3366,"First attempt")</x:f>
        <x:v>1</x:v>
      </x:c>
      <x:c r="M136" s="29" t="n">
        <x:f>COUNTIFS('Priced Usage'!$C$7:$C$3366,$A136,'Priced Usage'!$I$7:$I$3366,"Followup")</x:f>
        <x:v>11</x:v>
      </x:c>
      <x:c r="N136" s="29" t="n">
        <x:f>COUNTIFS('Priced Usage'!$C$7:$C$3366,$A136,'Priced Usage'!$I$7:$I$3366,"Correction")</x:f>
        <x:v>2</x:v>
      </x:c>
    </x:row>
    <x:row r="137" ht="23" customHeight="1">
      <x:c r="A137" s="17" t="str">
        <x:v>W0131</x:v>
      </x:c>
      <x:c r="B137" s="17" t="str">
        <x:v>C003</x:v>
      </x:c>
      <x:c r="C137" s="17" t="str">
        <x:v>DataFlow</x:v>
      </x:c>
      <x:c r="D137" s="17" t="str">
        <x:v>Pro</x:v>
      </x:c>
      <x:c r="E137" s="29" t="n">
        <x:f>SUMIFS('Priced Usage'!$G$7:$G$3366,'Priced Usage'!$C$7:$C$3366,$A137)</x:f>
        <x:v>184851</x:v>
      </x:c>
      <x:c r="F137" s="29" t="n">
        <x:f>SUMIFS('Priced Usage'!$H$7:$H$3366,'Priced Usage'!$C$7:$C$3366,$A137)</x:f>
        <x:v>63666</x:v>
      </x:c>
      <x:c r="G137" s="29" t="n">
        <x:f>SUMIFS('Priced Usage'!$L$7:$L$3366,'Priced Usage'!$C$7:$C$3366,$A137)</x:f>
        <x:v>248517</x:v>
      </x:c>
      <x:c r="H137" s="29" t="n">
        <x:f>COUNTIFS('Priced Usage'!$C$7:$C$3366,$A137)</x:f>
        <x:v>9</x:v>
      </x:c>
      <x:c r="I137" s="30" t="n">
        <x:f>SUMIFS('Priced Usage'!$M$7:$M$3366,'Priced Usage'!$C$7:$C$3366,$A137)</x:f>
        <x:v>7.39404</x:v>
      </x:c>
      <x:c r="J137" s="30" t="n">
        <x:f>SUMIFS('Priced Usage'!$N$7:$N$3366,'Priced Usage'!$C$7:$C$3366,$A137)</x:f>
        <x:v>6.3666</x:v>
      </x:c>
      <x:c r="K137" s="30" t="n">
        <x:f>SUMIFS('Priced Usage'!$O$7:$O$3366,'Priced Usage'!$C$7:$C$3366,$A137)</x:f>
        <x:v>13.760640000000002</x:v>
      </x:c>
      <x:c r="L137" s="29" t="n">
        <x:f>COUNTIFS('Priced Usage'!$C$7:$C$3366,$A137,'Priced Usage'!$I$7:$I$3366,"First attempt")</x:f>
        <x:v>1</x:v>
      </x:c>
      <x:c r="M137" s="29" t="n">
        <x:f>COUNTIFS('Priced Usage'!$C$7:$C$3366,$A137,'Priced Usage'!$I$7:$I$3366,"Followup")</x:f>
        <x:v>5</x:v>
      </x:c>
      <x:c r="N137" s="29" t="n">
        <x:f>COUNTIFS('Priced Usage'!$C$7:$C$3366,$A137,'Priced Usage'!$I$7:$I$3366,"Correction")</x:f>
        <x:v>3</x:v>
      </x:c>
    </x:row>
    <x:row r="138" ht="23" customHeight="1">
      <x:c r="A138" s="17" t="str">
        <x:v>W0132</x:v>
      </x:c>
      <x:c r="B138" s="17" t="str">
        <x:v>C003</x:v>
      </x:c>
      <x:c r="C138" s="17" t="str">
        <x:v>DataFlow</x:v>
      </x:c>
      <x:c r="D138" s="17" t="str">
        <x:v>Pro</x:v>
      </x:c>
      <x:c r="E138" s="29" t="n">
        <x:f>SUMIFS('Priced Usage'!$G$7:$G$3366,'Priced Usage'!$C$7:$C$3366,$A138)</x:f>
        <x:v>284350</x:v>
      </x:c>
      <x:c r="F138" s="29" t="n">
        <x:f>SUMIFS('Priced Usage'!$H$7:$H$3366,'Priced Usage'!$C$7:$C$3366,$A138)</x:f>
        <x:v>112079</x:v>
      </x:c>
      <x:c r="G138" s="29" t="n">
        <x:f>SUMIFS('Priced Usage'!$L$7:$L$3366,'Priced Usage'!$C$7:$C$3366,$A138)</x:f>
        <x:v>396429</x:v>
      </x:c>
      <x:c r="H138" s="29" t="n">
        <x:f>COUNTIFS('Priced Usage'!$C$7:$C$3366,$A138)</x:f>
        <x:v>12</x:v>
      </x:c>
      <x:c r="I138" s="30" t="n">
        <x:f>SUMIFS('Priced Usage'!$M$7:$M$3366,'Priced Usage'!$C$7:$C$3366,$A138)</x:f>
        <x:v>11.374</x:v>
      </x:c>
      <x:c r="J138" s="30" t="n">
        <x:f>SUMIFS('Priced Usage'!$N$7:$N$3366,'Priced Usage'!$C$7:$C$3366,$A138)</x:f>
        <x:v>11.2079</x:v>
      </x:c>
      <x:c r="K138" s="30" t="n">
        <x:f>SUMIFS('Priced Usage'!$O$7:$O$3366,'Priced Usage'!$C$7:$C$3366,$A138)</x:f>
        <x:v>22.581900000000005</x:v>
      </x:c>
      <x:c r="L138" s="29" t="n">
        <x:f>COUNTIFS('Priced Usage'!$C$7:$C$3366,$A138,'Priced Usage'!$I$7:$I$3366,"First attempt")</x:f>
        <x:v>1</x:v>
      </x:c>
      <x:c r="M138" s="29" t="n">
        <x:f>COUNTIFS('Priced Usage'!$C$7:$C$3366,$A138,'Priced Usage'!$I$7:$I$3366,"Followup")</x:f>
        <x:v>9</x:v>
      </x:c>
      <x:c r="N138" s="29" t="n">
        <x:f>COUNTIFS('Priced Usage'!$C$7:$C$3366,$A138,'Priced Usage'!$I$7:$I$3366,"Correction")</x:f>
        <x:v>2</x:v>
      </x:c>
    </x:row>
    <x:row r="139" ht="23" customHeight="1">
      <x:c r="A139" s="17" t="str">
        <x:v>W0133</x:v>
      </x:c>
      <x:c r="B139" s="17" t="str">
        <x:v>C003</x:v>
      </x:c>
      <x:c r="C139" s="17" t="str">
        <x:v>InsightDesk</x:v>
      </x:c>
      <x:c r="D139" s="17" t="str">
        <x:v>Lite</x:v>
      </x:c>
      <x:c r="E139" s="29" t="n">
        <x:f>SUMIFS('Priced Usage'!$G$7:$G$3366,'Priced Usage'!$C$7:$C$3366,$A139)</x:f>
        <x:v>361528</x:v>
      </x:c>
      <x:c r="F139" s="29" t="n">
        <x:f>SUMIFS('Priced Usage'!$H$7:$H$3366,'Priced Usage'!$C$7:$C$3366,$A139)</x:f>
        <x:v>76839</x:v>
      </x:c>
      <x:c r="G139" s="29" t="n">
        <x:f>SUMIFS('Priced Usage'!$L$7:$L$3366,'Priced Usage'!$C$7:$C$3366,$A139)</x:f>
        <x:v>438367</x:v>
      </x:c>
      <x:c r="H139" s="29" t="n">
        <x:f>COUNTIFS('Priced Usage'!$C$7:$C$3366,$A139)</x:f>
        <x:v>13</x:v>
      </x:c>
      <x:c r="I139" s="30" t="n">
        <x:f>SUMIFS('Priced Usage'!$M$7:$M$3366,'Priced Usage'!$C$7:$C$3366,$A139)</x:f>
        <x:v>3.61528</x:v>
      </x:c>
      <x:c r="J139" s="30" t="n">
        <x:f>SUMIFS('Priced Usage'!$N$7:$N$3366,'Priced Usage'!$C$7:$C$3366,$A139)</x:f>
        <x:v>2.3051700000000004</x:v>
      </x:c>
      <x:c r="K139" s="30" t="n">
        <x:f>SUMIFS('Priced Usage'!$O$7:$O$3366,'Priced Usage'!$C$7:$C$3366,$A139)</x:f>
        <x:v>5.92045</x:v>
      </x:c>
      <x:c r="L139" s="29" t="n">
        <x:f>COUNTIFS('Priced Usage'!$C$7:$C$3366,$A139,'Priced Usage'!$I$7:$I$3366,"First attempt")</x:f>
        <x:v>1</x:v>
      </x:c>
      <x:c r="M139" s="29" t="n">
        <x:f>COUNTIFS('Priced Usage'!$C$7:$C$3366,$A139,'Priced Usage'!$I$7:$I$3366,"Followup")</x:f>
        <x:v>9</x:v>
      </x:c>
      <x:c r="N139" s="29" t="n">
        <x:f>COUNTIFS('Priced Usage'!$C$7:$C$3366,$A139,'Priced Usage'!$I$7:$I$3366,"Correction")</x:f>
        <x:v>3</x:v>
      </x:c>
    </x:row>
    <x:row r="140" ht="23" customHeight="1">
      <x:c r="A140" s="17" t="str">
        <x:v>W0134</x:v>
      </x:c>
      <x:c r="B140" s="17" t="str">
        <x:v>C003</x:v>
      </x:c>
      <x:c r="C140" s="17" t="str">
        <x:v>CopyStudio</x:v>
      </x:c>
      <x:c r="D140" s="17" t="str">
        <x:v>Lite</x:v>
      </x:c>
      <x:c r="E140" s="29" t="n">
        <x:f>SUMIFS('Priced Usage'!$G$7:$G$3366,'Priced Usage'!$C$7:$C$3366,$A140)</x:f>
        <x:v>410645</x:v>
      </x:c>
      <x:c r="F140" s="29" t="n">
        <x:f>SUMIFS('Priced Usage'!$H$7:$H$3366,'Priced Usage'!$C$7:$C$3366,$A140)</x:f>
        <x:v>88166</x:v>
      </x:c>
      <x:c r="G140" s="29" t="n">
        <x:f>SUMIFS('Priced Usage'!$L$7:$L$3366,'Priced Usage'!$C$7:$C$3366,$A140)</x:f>
        <x:v>498811</x:v>
      </x:c>
      <x:c r="H140" s="29" t="n">
        <x:f>COUNTIFS('Priced Usage'!$C$7:$C$3366,$A140)</x:f>
        <x:v>14</x:v>
      </x:c>
      <x:c r="I140" s="30" t="n">
        <x:f>SUMIFS('Priced Usage'!$M$7:$M$3366,'Priced Usage'!$C$7:$C$3366,$A140)</x:f>
        <x:v>4.106449999999999</x:v>
      </x:c>
      <x:c r="J140" s="30" t="n">
        <x:f>SUMIFS('Priced Usage'!$N$7:$N$3366,'Priced Usage'!$C$7:$C$3366,$A140)</x:f>
        <x:v>2.6449800000000003</x:v>
      </x:c>
      <x:c r="K140" s="30" t="n">
        <x:f>SUMIFS('Priced Usage'!$O$7:$O$3366,'Priced Usage'!$C$7:$C$3366,$A140)</x:f>
        <x:v>6.75143</x:v>
      </x:c>
      <x:c r="L140" s="29" t="n">
        <x:f>COUNTIFS('Priced Usage'!$C$7:$C$3366,$A140,'Priced Usage'!$I$7:$I$3366,"First attempt")</x:f>
        <x:v>1</x:v>
      </x:c>
      <x:c r="M140" s="29" t="n">
        <x:f>COUNTIFS('Priced Usage'!$C$7:$C$3366,$A140,'Priced Usage'!$I$7:$I$3366,"Followup")</x:f>
        <x:v>10</x:v>
      </x:c>
      <x:c r="N140" s="29" t="n">
        <x:f>COUNTIFS('Priced Usage'!$C$7:$C$3366,$A140,'Priced Usage'!$I$7:$I$3366,"Correction")</x:f>
        <x:v>3</x:v>
      </x:c>
    </x:row>
    <x:row r="141" ht="23" customHeight="1">
      <x:c r="A141" s="17" t="str">
        <x:v>W0135</x:v>
      </x:c>
      <x:c r="B141" s="17" t="str">
        <x:v>C003</x:v>
      </x:c>
      <x:c r="C141" s="17" t="str">
        <x:v>CopyStudio</x:v>
      </x:c>
      <x:c r="D141" s="17" t="str">
        <x:v>Lite</x:v>
      </x:c>
      <x:c r="E141" s="29" t="n">
        <x:f>SUMIFS('Priced Usage'!$G$7:$G$3366,'Priced Usage'!$C$7:$C$3366,$A141)</x:f>
        <x:v>385575</x:v>
      </x:c>
      <x:c r="F141" s="29" t="n">
        <x:f>SUMIFS('Priced Usage'!$H$7:$H$3366,'Priced Usage'!$C$7:$C$3366,$A141)</x:f>
        <x:v>67976</x:v>
      </x:c>
      <x:c r="G141" s="29" t="n">
        <x:f>SUMIFS('Priced Usage'!$L$7:$L$3366,'Priced Usage'!$C$7:$C$3366,$A141)</x:f>
        <x:v>453551</x:v>
      </x:c>
      <x:c r="H141" s="29" t="n">
        <x:f>COUNTIFS('Priced Usage'!$C$7:$C$3366,$A141)</x:f>
        <x:v>15</x:v>
      </x:c>
      <x:c r="I141" s="30" t="n">
        <x:f>SUMIFS('Priced Usage'!$M$7:$M$3366,'Priced Usage'!$C$7:$C$3366,$A141)</x:f>
        <x:v>3.8557500000000005</x:v>
      </x:c>
      <x:c r="J141" s="30" t="n">
        <x:f>SUMIFS('Priced Usage'!$N$7:$N$3366,'Priced Usage'!$C$7:$C$3366,$A141)</x:f>
        <x:v>2.0392799999999998</x:v>
      </x:c>
      <x:c r="K141" s="30" t="n">
        <x:f>SUMIFS('Priced Usage'!$O$7:$O$3366,'Priced Usage'!$C$7:$C$3366,$A141)</x:f>
        <x:v>5.895029999999998</x:v>
      </x:c>
      <x:c r="L141" s="29" t="n">
        <x:f>COUNTIFS('Priced Usage'!$C$7:$C$3366,$A141,'Priced Usage'!$I$7:$I$3366,"First attempt")</x:f>
        <x:v>1</x:v>
      </x:c>
      <x:c r="M141" s="29" t="n">
        <x:f>COUNTIFS('Priced Usage'!$C$7:$C$3366,$A141,'Priced Usage'!$I$7:$I$3366,"Followup")</x:f>
        <x:v>10</x:v>
      </x:c>
      <x:c r="N141" s="29" t="n">
        <x:f>COUNTIFS('Priced Usage'!$C$7:$C$3366,$A141,'Priced Usage'!$I$7:$I$3366,"Correction")</x:f>
        <x:v>4</x:v>
      </x:c>
    </x:row>
    <x:row r="142" ht="23" customHeight="1">
      <x:c r="A142" s="17" t="str">
        <x:v>W0136</x:v>
      </x:c>
      <x:c r="B142" s="17" t="str">
        <x:v>C003</x:v>
      </x:c>
      <x:c r="C142" s="17" t="str">
        <x:v>CopyStudio</x:v>
      </x:c>
      <x:c r="D142" s="17" t="str">
        <x:v>Lite</x:v>
      </x:c>
      <x:c r="E142" s="29" t="n">
        <x:f>SUMIFS('Priced Usage'!$G$7:$G$3366,'Priced Usage'!$C$7:$C$3366,$A142)</x:f>
        <x:v>259624</x:v>
      </x:c>
      <x:c r="F142" s="29" t="n">
        <x:f>SUMIFS('Priced Usage'!$H$7:$H$3366,'Priced Usage'!$C$7:$C$3366,$A142)</x:f>
        <x:v>82317</x:v>
      </x:c>
      <x:c r="G142" s="29" t="n">
        <x:f>SUMIFS('Priced Usage'!$L$7:$L$3366,'Priced Usage'!$C$7:$C$3366,$A142)</x:f>
        <x:v>341941</x:v>
      </x:c>
      <x:c r="H142" s="29" t="n">
        <x:f>COUNTIFS('Priced Usage'!$C$7:$C$3366,$A142)</x:f>
        <x:v>12</x:v>
      </x:c>
      <x:c r="I142" s="30" t="n">
        <x:f>SUMIFS('Priced Usage'!$M$7:$M$3366,'Priced Usage'!$C$7:$C$3366,$A142)</x:f>
        <x:v>2.59624</x:v>
      </x:c>
      <x:c r="J142" s="30" t="n">
        <x:f>SUMIFS('Priced Usage'!$N$7:$N$3366,'Priced Usage'!$C$7:$C$3366,$A142)</x:f>
        <x:v>2.4695100000000005</x:v>
      </x:c>
      <x:c r="K142" s="30" t="n">
        <x:f>SUMIFS('Priced Usage'!$O$7:$O$3366,'Priced Usage'!$C$7:$C$3366,$A142)</x:f>
        <x:v>5.06575</x:v>
      </x:c>
      <x:c r="L142" s="29" t="n">
        <x:f>COUNTIFS('Priced Usage'!$C$7:$C$3366,$A142,'Priced Usage'!$I$7:$I$3366,"First attempt")</x:f>
        <x:v>1</x:v>
      </x:c>
      <x:c r="M142" s="29" t="n">
        <x:f>COUNTIFS('Priced Usage'!$C$7:$C$3366,$A142,'Priced Usage'!$I$7:$I$3366,"Followup")</x:f>
        <x:v>8</x:v>
      </x:c>
      <x:c r="N142" s="29" t="n">
        <x:f>COUNTIFS('Priced Usage'!$C$7:$C$3366,$A142,'Priced Usage'!$I$7:$I$3366,"Correction")</x:f>
        <x:v>3</x:v>
      </x:c>
    </x:row>
    <x:row r="143" ht="23" customHeight="1">
      <x:c r="A143" s="17" t="str">
        <x:v>W0137</x:v>
      </x:c>
      <x:c r="B143" s="17" t="str">
        <x:v>C003</x:v>
      </x:c>
      <x:c r="C143" s="17" t="str">
        <x:v>CampaignChat</x:v>
      </x:c>
      <x:c r="D143" s="17" t="str">
        <x:v>Lite</x:v>
      </x:c>
      <x:c r="E143" s="29" t="n">
        <x:f>SUMIFS('Priced Usage'!$G$7:$G$3366,'Priced Usage'!$C$7:$C$3366,$A143)</x:f>
        <x:v>170930</x:v>
      </x:c>
      <x:c r="F143" s="29" t="n">
        <x:f>SUMIFS('Priced Usage'!$H$7:$H$3366,'Priced Usage'!$C$7:$C$3366,$A143)</x:f>
        <x:v>37714</x:v>
      </x:c>
      <x:c r="G143" s="29" t="n">
        <x:f>SUMIFS('Priced Usage'!$L$7:$L$3366,'Priced Usage'!$C$7:$C$3366,$A143)</x:f>
        <x:v>208644</x:v>
      </x:c>
      <x:c r="H143" s="29" t="n">
        <x:f>COUNTIFS('Priced Usage'!$C$7:$C$3366,$A143)</x:f>
        <x:v>9</x:v>
      </x:c>
      <x:c r="I143" s="30" t="n">
        <x:f>SUMIFS('Priced Usage'!$M$7:$M$3366,'Priced Usage'!$C$7:$C$3366,$A143)</x:f>
        <x:v>1.7092999999999998</x:v>
      </x:c>
      <x:c r="J143" s="30" t="n">
        <x:f>SUMIFS('Priced Usage'!$N$7:$N$3366,'Priced Usage'!$C$7:$C$3366,$A143)</x:f>
        <x:v>1.13142</x:v>
      </x:c>
      <x:c r="K143" s="30" t="n">
        <x:f>SUMIFS('Priced Usage'!$O$7:$O$3366,'Priced Usage'!$C$7:$C$3366,$A143)</x:f>
        <x:v>2.84072</x:v>
      </x:c>
      <x:c r="L143" s="29" t="n">
        <x:f>COUNTIFS('Priced Usage'!$C$7:$C$3366,$A143,'Priced Usage'!$I$7:$I$3366,"First attempt")</x:f>
        <x:v>1</x:v>
      </x:c>
      <x:c r="M143" s="29" t="n">
        <x:f>COUNTIFS('Priced Usage'!$C$7:$C$3366,$A143,'Priced Usage'!$I$7:$I$3366,"Followup")</x:f>
        <x:v>6</x:v>
      </x:c>
      <x:c r="N143" s="29" t="n">
        <x:f>COUNTIFS('Priced Usage'!$C$7:$C$3366,$A143,'Priced Usage'!$I$7:$I$3366,"Correction")</x:f>
        <x:v>2</x:v>
      </x:c>
    </x:row>
    <x:row r="144" ht="23" customHeight="1">
      <x:c r="A144" s="17" t="str">
        <x:v>W0138</x:v>
      </x:c>
      <x:c r="B144" s="17" t="str">
        <x:v>C003</x:v>
      </x:c>
      <x:c r="C144" s="17" t="str">
        <x:v>CampaignChat</x:v>
      </x:c>
      <x:c r="D144" s="17" t="str">
        <x:v>Pro</x:v>
      </x:c>
      <x:c r="E144" s="29" t="n">
        <x:f>SUMIFS('Priced Usage'!$G$7:$G$3366,'Priced Usage'!$C$7:$C$3366,$A144)</x:f>
        <x:v>189157</x:v>
      </x:c>
      <x:c r="F144" s="29" t="n">
        <x:f>SUMIFS('Priced Usage'!$H$7:$H$3366,'Priced Usage'!$C$7:$C$3366,$A144)</x:f>
        <x:v>137956</x:v>
      </x:c>
      <x:c r="G144" s="29" t="n">
        <x:f>SUMIFS('Priced Usage'!$L$7:$L$3366,'Priced Usage'!$C$7:$C$3366,$A144)</x:f>
        <x:v>327113</x:v>
      </x:c>
      <x:c r="H144" s="29" t="n">
        <x:f>COUNTIFS('Priced Usage'!$C$7:$C$3366,$A144)</x:f>
        <x:v>13</x:v>
      </x:c>
      <x:c r="I144" s="30" t="n">
        <x:f>SUMIFS('Priced Usage'!$M$7:$M$3366,'Priced Usage'!$C$7:$C$3366,$A144)</x:f>
        <x:v>7.566279999999999</x:v>
      </x:c>
      <x:c r="J144" s="30" t="n">
        <x:f>SUMIFS('Priced Usage'!$N$7:$N$3366,'Priced Usage'!$C$7:$C$3366,$A144)</x:f>
        <x:v>13.795599999999999</x:v>
      </x:c>
      <x:c r="K144" s="30" t="n">
        <x:f>SUMIFS('Priced Usage'!$O$7:$O$3366,'Priced Usage'!$C$7:$C$3366,$A144)</x:f>
        <x:v>21.36188</x:v>
      </x:c>
      <x:c r="L144" s="29" t="n">
        <x:f>COUNTIFS('Priced Usage'!$C$7:$C$3366,$A144,'Priced Usage'!$I$7:$I$3366,"First attempt")</x:f>
        <x:v>1</x:v>
      </x:c>
      <x:c r="M144" s="29" t="n">
        <x:f>COUNTIFS('Priced Usage'!$C$7:$C$3366,$A144,'Priced Usage'!$I$7:$I$3366,"Followup")</x:f>
        <x:v>9</x:v>
      </x:c>
      <x:c r="N144" s="29" t="n">
        <x:f>COUNTIFS('Priced Usage'!$C$7:$C$3366,$A144,'Priced Usage'!$I$7:$I$3366,"Correction")</x:f>
        <x:v>3</x:v>
      </x:c>
    </x:row>
    <x:row r="145" ht="23" customHeight="1">
      <x:c r="A145" s="17" t="str">
        <x:v>W0139</x:v>
      </x:c>
      <x:c r="B145" s="17" t="str">
        <x:v>C003</x:v>
      </x:c>
      <x:c r="C145" s="17" t="str">
        <x:v>DataFlow</x:v>
      </x:c>
      <x:c r="D145" s="17" t="str">
        <x:v>Pro</x:v>
      </x:c>
      <x:c r="E145" s="29" t="n">
        <x:f>SUMIFS('Priced Usage'!$G$7:$G$3366,'Priced Usage'!$C$7:$C$3366,$A145)</x:f>
        <x:v>126191</x:v>
      </x:c>
      <x:c r="F145" s="29" t="n">
        <x:f>SUMIFS('Priced Usage'!$H$7:$H$3366,'Priced Usage'!$C$7:$C$3366,$A145)</x:f>
        <x:v>71235</x:v>
      </x:c>
      <x:c r="G145" s="29" t="n">
        <x:f>SUMIFS('Priced Usage'!$L$7:$L$3366,'Priced Usage'!$C$7:$C$3366,$A145)</x:f>
        <x:v>197426</x:v>
      </x:c>
      <x:c r="H145" s="29" t="n">
        <x:f>COUNTIFS('Priced Usage'!$C$7:$C$3366,$A145)</x:f>
        <x:v>8</x:v>
      </x:c>
      <x:c r="I145" s="30" t="n">
        <x:f>SUMIFS('Priced Usage'!$M$7:$M$3366,'Priced Usage'!$C$7:$C$3366,$A145)</x:f>
        <x:v>5.04764</x:v>
      </x:c>
      <x:c r="J145" s="30" t="n">
        <x:f>SUMIFS('Priced Usage'!$N$7:$N$3366,'Priced Usage'!$C$7:$C$3366,$A145)</x:f>
        <x:v>7.1235</x:v>
      </x:c>
      <x:c r="K145" s="30" t="n">
        <x:f>SUMIFS('Priced Usage'!$O$7:$O$3366,'Priced Usage'!$C$7:$C$3366,$A145)</x:f>
        <x:v>12.171140000000001</x:v>
      </x:c>
      <x:c r="L145" s="29" t="n">
        <x:f>COUNTIFS('Priced Usage'!$C$7:$C$3366,$A145,'Priced Usage'!$I$7:$I$3366,"First attempt")</x:f>
        <x:v>1</x:v>
      </x:c>
      <x:c r="M145" s="29" t="n">
        <x:f>COUNTIFS('Priced Usage'!$C$7:$C$3366,$A145,'Priced Usage'!$I$7:$I$3366,"Followup")</x:f>
        <x:v>5</x:v>
      </x:c>
      <x:c r="N145" s="29" t="n">
        <x:f>COUNTIFS('Priced Usage'!$C$7:$C$3366,$A145,'Priced Usage'!$I$7:$I$3366,"Correction")</x:f>
        <x:v>2</x:v>
      </x:c>
    </x:row>
    <x:row r="146" ht="23" customHeight="1">
      <x:c r="A146" s="17" t="str">
        <x:v>W0140</x:v>
      </x:c>
      <x:c r="B146" s="17" t="str">
        <x:v>C003</x:v>
      </x:c>
      <x:c r="C146" s="17" t="str">
        <x:v>DataFlow</x:v>
      </x:c>
      <x:c r="D146" s="17" t="str">
        <x:v>Lite</x:v>
      </x:c>
      <x:c r="E146" s="29" t="n">
        <x:f>SUMIFS('Priced Usage'!$G$7:$G$3366,'Priced Usage'!$C$7:$C$3366,$A146)</x:f>
        <x:v>547366</x:v>
      </x:c>
      <x:c r="F146" s="29" t="n">
        <x:f>SUMIFS('Priced Usage'!$H$7:$H$3366,'Priced Usage'!$C$7:$C$3366,$A146)</x:f>
        <x:v>124476</x:v>
      </x:c>
      <x:c r="G146" s="29" t="n">
        <x:f>SUMIFS('Priced Usage'!$L$7:$L$3366,'Priced Usage'!$C$7:$C$3366,$A146)</x:f>
        <x:v>671842</x:v>
      </x:c>
      <x:c r="H146" s="29" t="n">
        <x:f>COUNTIFS('Priced Usage'!$C$7:$C$3366,$A146)</x:f>
        <x:v>19</x:v>
      </x:c>
      <x:c r="I146" s="30" t="n">
        <x:f>SUMIFS('Priced Usage'!$M$7:$M$3366,'Priced Usage'!$C$7:$C$3366,$A146)</x:f>
        <x:v>5.4736600000000015</x:v>
      </x:c>
      <x:c r="J146" s="30" t="n">
        <x:f>SUMIFS('Priced Usage'!$N$7:$N$3366,'Priced Usage'!$C$7:$C$3366,$A146)</x:f>
        <x:v>3.73428</x:v>
      </x:c>
      <x:c r="K146" s="30" t="n">
        <x:f>SUMIFS('Priced Usage'!$O$7:$O$3366,'Priced Usage'!$C$7:$C$3366,$A146)</x:f>
        <x:v>9.20794</x:v>
      </x:c>
      <x:c r="L146" s="29" t="n">
        <x:f>COUNTIFS('Priced Usage'!$C$7:$C$3366,$A146,'Priced Usage'!$I$7:$I$3366,"First attempt")</x:f>
        <x:v>1</x:v>
      </x:c>
      <x:c r="M146" s="29" t="n">
        <x:f>COUNTIFS('Priced Usage'!$C$7:$C$3366,$A146,'Priced Usage'!$I$7:$I$3366,"Followup")</x:f>
        <x:v>12</x:v>
      </x:c>
      <x:c r="N146" s="29" t="n">
        <x:f>COUNTIFS('Priced Usage'!$C$7:$C$3366,$A146,'Priced Usage'!$I$7:$I$3366,"Correction")</x:f>
        <x:v>6</x:v>
      </x:c>
    </x:row>
    <x:row r="147" ht="23" customHeight="1">
      <x:c r="A147" s="17" t="str">
        <x:v>W0141</x:v>
      </x:c>
      <x:c r="B147" s="17" t="str">
        <x:v>C003</x:v>
      </x:c>
      <x:c r="C147" s="17" t="str">
        <x:v>DataFlow</x:v>
      </x:c>
      <x:c r="D147" s="17" t="str">
        <x:v>Pro</x:v>
      </x:c>
      <x:c r="E147" s="29" t="n">
        <x:f>SUMIFS('Priced Usage'!$G$7:$G$3366,'Priced Usage'!$C$7:$C$3366,$A147)</x:f>
        <x:v>207003</x:v>
      </x:c>
      <x:c r="F147" s="29" t="n">
        <x:f>SUMIFS('Priced Usage'!$H$7:$H$3366,'Priced Usage'!$C$7:$C$3366,$A147)</x:f>
        <x:v>72835</x:v>
      </x:c>
      <x:c r="G147" s="29" t="n">
        <x:f>SUMIFS('Priced Usage'!$L$7:$L$3366,'Priced Usage'!$C$7:$C$3366,$A147)</x:f>
        <x:v>279838</x:v>
      </x:c>
      <x:c r="H147" s="29" t="n">
        <x:f>COUNTIFS('Priced Usage'!$C$7:$C$3366,$A147)</x:f>
        <x:v>9</x:v>
      </x:c>
      <x:c r="I147" s="30" t="n">
        <x:f>SUMIFS('Priced Usage'!$M$7:$M$3366,'Priced Usage'!$C$7:$C$3366,$A147)</x:f>
        <x:v>8.28012</x:v>
      </x:c>
      <x:c r="J147" s="30" t="n">
        <x:f>SUMIFS('Priced Usage'!$N$7:$N$3366,'Priced Usage'!$C$7:$C$3366,$A147)</x:f>
        <x:v>7.2835</x:v>
      </x:c>
      <x:c r="K147" s="30" t="n">
        <x:f>SUMIFS('Priced Usage'!$O$7:$O$3366,'Priced Usage'!$C$7:$C$3366,$A147)</x:f>
        <x:v>15.563619999999998</x:v>
      </x:c>
      <x:c r="L147" s="29" t="n">
        <x:f>COUNTIFS('Priced Usage'!$C$7:$C$3366,$A147,'Priced Usage'!$I$7:$I$3366,"First attempt")</x:f>
        <x:v>1</x:v>
      </x:c>
      <x:c r="M147" s="29" t="n">
        <x:f>COUNTIFS('Priced Usage'!$C$7:$C$3366,$A147,'Priced Usage'!$I$7:$I$3366,"Followup")</x:f>
        <x:v>6</x:v>
      </x:c>
      <x:c r="N147" s="29" t="n">
        <x:f>COUNTIFS('Priced Usage'!$C$7:$C$3366,$A147,'Priced Usage'!$I$7:$I$3366,"Correction")</x:f>
        <x:v>2</x:v>
      </x:c>
    </x:row>
    <x:row r="148" ht="23" customHeight="1">
      <x:c r="A148" s="17" t="str">
        <x:v>W0142</x:v>
      </x:c>
      <x:c r="B148" s="17" t="str">
        <x:v>C003</x:v>
      </x:c>
      <x:c r="C148" s="17" t="str">
        <x:v>InsightDesk</x:v>
      </x:c>
      <x:c r="D148" s="17" t="str">
        <x:v>Lite</x:v>
      </x:c>
      <x:c r="E148" s="29" t="n">
        <x:f>SUMIFS('Priced Usage'!$G$7:$G$3366,'Priced Usage'!$C$7:$C$3366,$A148)</x:f>
        <x:v>207637</x:v>
      </x:c>
      <x:c r="F148" s="29" t="n">
        <x:f>SUMIFS('Priced Usage'!$H$7:$H$3366,'Priced Usage'!$C$7:$C$3366,$A148)</x:f>
        <x:v>77488</x:v>
      </x:c>
      <x:c r="G148" s="29" t="n">
        <x:f>SUMIFS('Priced Usage'!$L$7:$L$3366,'Priced Usage'!$C$7:$C$3366,$A148)</x:f>
        <x:v>285125</x:v>
      </x:c>
      <x:c r="H148" s="29" t="n">
        <x:f>COUNTIFS('Priced Usage'!$C$7:$C$3366,$A148)</x:f>
        <x:v>10</x:v>
      </x:c>
      <x:c r="I148" s="30" t="n">
        <x:f>SUMIFS('Priced Usage'!$M$7:$M$3366,'Priced Usage'!$C$7:$C$3366,$A148)</x:f>
        <x:v>2.07637</x:v>
      </x:c>
      <x:c r="J148" s="30" t="n">
        <x:f>SUMIFS('Priced Usage'!$N$7:$N$3366,'Priced Usage'!$C$7:$C$3366,$A148)</x:f>
        <x:v>2.32464</x:v>
      </x:c>
      <x:c r="K148" s="30" t="n">
        <x:f>SUMIFS('Priced Usage'!$O$7:$O$3366,'Priced Usage'!$C$7:$C$3366,$A148)</x:f>
        <x:v>4.401009999999999</x:v>
      </x:c>
      <x:c r="L148" s="29" t="n">
        <x:f>COUNTIFS('Priced Usage'!$C$7:$C$3366,$A148,'Priced Usage'!$I$7:$I$3366,"First attempt")</x:f>
        <x:v>1</x:v>
      </x:c>
      <x:c r="M148" s="29" t="n">
        <x:f>COUNTIFS('Priced Usage'!$C$7:$C$3366,$A148,'Priced Usage'!$I$7:$I$3366,"Followup")</x:f>
        <x:v>7</x:v>
      </x:c>
      <x:c r="N148" s="29" t="n">
        <x:f>COUNTIFS('Priced Usage'!$C$7:$C$3366,$A148,'Priced Usage'!$I$7:$I$3366,"Correction")</x:f>
        <x:v>2</x:v>
      </x:c>
    </x:row>
    <x:row r="149" ht="23" customHeight="1">
      <x:c r="A149" s="17" t="str">
        <x:v>W0143</x:v>
      </x:c>
      <x:c r="B149" s="17" t="str">
        <x:v>C003</x:v>
      </x:c>
      <x:c r="C149" s="17" t="str">
        <x:v>CopyStudio</x:v>
      </x:c>
      <x:c r="D149" s="17" t="str">
        <x:v>Lite</x:v>
      </x:c>
      <x:c r="E149" s="29" t="n">
        <x:f>SUMIFS('Priced Usage'!$G$7:$G$3366,'Priced Usage'!$C$7:$C$3366,$A149)</x:f>
        <x:v>434469</x:v>
      </x:c>
      <x:c r="F149" s="29" t="n">
        <x:f>SUMIFS('Priced Usage'!$H$7:$H$3366,'Priced Usage'!$C$7:$C$3366,$A149)</x:f>
        <x:v>72208</x:v>
      </x:c>
      <x:c r="G149" s="29" t="n">
        <x:f>SUMIFS('Priced Usage'!$L$7:$L$3366,'Priced Usage'!$C$7:$C$3366,$A149)</x:f>
        <x:v>506677</x:v>
      </x:c>
      <x:c r="H149" s="29" t="n">
        <x:f>COUNTIFS('Priced Usage'!$C$7:$C$3366,$A149)</x:f>
        <x:v>12</x:v>
      </x:c>
      <x:c r="I149" s="30" t="n">
        <x:f>SUMIFS('Priced Usage'!$M$7:$M$3366,'Priced Usage'!$C$7:$C$3366,$A149)</x:f>
        <x:v>4.344690000000001</x:v>
      </x:c>
      <x:c r="J149" s="30" t="n">
        <x:f>SUMIFS('Priced Usage'!$N$7:$N$3366,'Priced Usage'!$C$7:$C$3366,$A149)</x:f>
        <x:v>2.16624</x:v>
      </x:c>
      <x:c r="K149" s="30" t="n">
        <x:f>SUMIFS('Priced Usage'!$O$7:$O$3366,'Priced Usage'!$C$7:$C$3366,$A149)</x:f>
        <x:v>6.510929999999999</x:v>
      </x:c>
      <x:c r="L149" s="29" t="n">
        <x:f>COUNTIFS('Priced Usage'!$C$7:$C$3366,$A149,'Priced Usage'!$I$7:$I$3366,"First attempt")</x:f>
        <x:v>1</x:v>
      </x:c>
      <x:c r="M149" s="29" t="n">
        <x:f>COUNTIFS('Priced Usage'!$C$7:$C$3366,$A149,'Priced Usage'!$I$7:$I$3366,"Followup")</x:f>
        <x:v>8</x:v>
      </x:c>
      <x:c r="N149" s="29" t="n">
        <x:f>COUNTIFS('Priced Usage'!$C$7:$C$3366,$A149,'Priced Usage'!$I$7:$I$3366,"Correction")</x:f>
        <x:v>3</x:v>
      </x:c>
    </x:row>
    <x:row r="150" ht="23" customHeight="1">
      <x:c r="A150" s="17" t="str">
        <x:v>W0144</x:v>
      </x:c>
      <x:c r="B150" s="17" t="str">
        <x:v>C003</x:v>
      </x:c>
      <x:c r="C150" s="17" t="str">
        <x:v>CopyStudio</x:v>
      </x:c>
      <x:c r="D150" s="17" t="str">
        <x:v>Lite</x:v>
      </x:c>
      <x:c r="E150" s="29" t="n">
        <x:f>SUMIFS('Priced Usage'!$G$7:$G$3366,'Priced Usage'!$C$7:$C$3366,$A150)</x:f>
        <x:v>274120</x:v>
      </x:c>
      <x:c r="F150" s="29" t="n">
        <x:f>SUMIFS('Priced Usage'!$H$7:$H$3366,'Priced Usage'!$C$7:$C$3366,$A150)</x:f>
        <x:v>79203</x:v>
      </x:c>
      <x:c r="G150" s="29" t="n">
        <x:f>SUMIFS('Priced Usage'!$L$7:$L$3366,'Priced Usage'!$C$7:$C$3366,$A150)</x:f>
        <x:v>353323</x:v>
      </x:c>
      <x:c r="H150" s="29" t="n">
        <x:f>COUNTIFS('Priced Usage'!$C$7:$C$3366,$A150)</x:f>
        <x:v>11</x:v>
      </x:c>
      <x:c r="I150" s="30" t="n">
        <x:f>SUMIFS('Priced Usage'!$M$7:$M$3366,'Priced Usage'!$C$7:$C$3366,$A150)</x:f>
        <x:v>2.7412</x:v>
      </x:c>
      <x:c r="J150" s="30" t="n">
        <x:f>SUMIFS('Priced Usage'!$N$7:$N$3366,'Priced Usage'!$C$7:$C$3366,$A150)</x:f>
        <x:v>2.37609</x:v>
      </x:c>
      <x:c r="K150" s="30" t="n">
        <x:f>SUMIFS('Priced Usage'!$O$7:$O$3366,'Priced Usage'!$C$7:$C$3366,$A150)</x:f>
        <x:v>5.117290000000001</x:v>
      </x:c>
      <x:c r="L150" s="29" t="n">
        <x:f>COUNTIFS('Priced Usage'!$C$7:$C$3366,$A150,'Priced Usage'!$I$7:$I$3366,"First attempt")</x:f>
        <x:v>1</x:v>
      </x:c>
      <x:c r="M150" s="29" t="n">
        <x:f>COUNTIFS('Priced Usage'!$C$7:$C$3366,$A150,'Priced Usage'!$I$7:$I$3366,"Followup")</x:f>
        <x:v>8</x:v>
      </x:c>
      <x:c r="N150" s="29" t="n">
        <x:f>COUNTIFS('Priced Usage'!$C$7:$C$3366,$A150,'Priced Usage'!$I$7:$I$3366,"Correction")</x:f>
        <x:v>2</x:v>
      </x:c>
    </x:row>
    <x:row r="151" ht="23" customHeight="1">
      <x:c r="A151" s="17" t="str">
        <x:v>W0145</x:v>
      </x:c>
      <x:c r="B151" s="17" t="str">
        <x:v>C003</x:v>
      </x:c>
      <x:c r="C151" s="17" t="str">
        <x:v>CampaignChat</x:v>
      </x:c>
      <x:c r="D151" s="17" t="str">
        <x:v>Pro</x:v>
      </x:c>
      <x:c r="E151" s="29" t="n">
        <x:f>SUMIFS('Priced Usage'!$G$7:$G$3366,'Priced Usage'!$C$7:$C$3366,$A151)</x:f>
        <x:v>130064</x:v>
      </x:c>
      <x:c r="F151" s="29" t="n">
        <x:f>SUMIFS('Priced Usage'!$H$7:$H$3366,'Priced Usage'!$C$7:$C$3366,$A151)</x:f>
        <x:v>85309</x:v>
      </x:c>
      <x:c r="G151" s="29" t="n">
        <x:f>SUMIFS('Priced Usage'!$L$7:$L$3366,'Priced Usage'!$C$7:$C$3366,$A151)</x:f>
        <x:v>215373</x:v>
      </x:c>
      <x:c r="H151" s="29" t="n">
        <x:f>COUNTIFS('Priced Usage'!$C$7:$C$3366,$A151)</x:f>
        <x:v>8</x:v>
      </x:c>
      <x:c r="I151" s="30" t="n">
        <x:f>SUMIFS('Priced Usage'!$M$7:$M$3366,'Priced Usage'!$C$7:$C$3366,$A151)</x:f>
        <x:v>5.20256</x:v>
      </x:c>
      <x:c r="J151" s="30" t="n">
        <x:f>SUMIFS('Priced Usage'!$N$7:$N$3366,'Priced Usage'!$C$7:$C$3366,$A151)</x:f>
        <x:v>8.5309</x:v>
      </x:c>
      <x:c r="K151" s="30" t="n">
        <x:f>SUMIFS('Priced Usage'!$O$7:$O$3366,'Priced Usage'!$C$7:$C$3366,$A151)</x:f>
        <x:v>13.733460000000001</x:v>
      </x:c>
      <x:c r="L151" s="29" t="n">
        <x:f>COUNTIFS('Priced Usage'!$C$7:$C$3366,$A151,'Priced Usage'!$I$7:$I$3366,"First attempt")</x:f>
        <x:v>1</x:v>
      </x:c>
      <x:c r="M151" s="29" t="n">
        <x:f>COUNTIFS('Priced Usage'!$C$7:$C$3366,$A151,'Priced Usage'!$I$7:$I$3366,"Followup")</x:f>
        <x:v>5</x:v>
      </x:c>
      <x:c r="N151" s="29" t="n">
        <x:f>COUNTIFS('Priced Usage'!$C$7:$C$3366,$A151,'Priced Usage'!$I$7:$I$3366,"Correction")</x:f>
        <x:v>2</x:v>
      </x:c>
    </x:row>
    <x:row r="152" ht="23" customHeight="1">
      <x:c r="A152" s="17" t="str">
        <x:v>W0146</x:v>
      </x:c>
      <x:c r="B152" s="17" t="str">
        <x:v>C003</x:v>
      </x:c>
      <x:c r="C152" s="17" t="str">
        <x:v>CampaignChat</x:v>
      </x:c>
      <x:c r="D152" s="17" t="str">
        <x:v>Pro</x:v>
      </x:c>
      <x:c r="E152" s="29" t="n">
        <x:f>SUMIFS('Priced Usage'!$G$7:$G$3366,'Priced Usage'!$C$7:$C$3366,$A152)</x:f>
        <x:v>234194</x:v>
      </x:c>
      <x:c r="F152" s="29" t="n">
        <x:f>SUMIFS('Priced Usage'!$H$7:$H$3366,'Priced Usage'!$C$7:$C$3366,$A152)</x:f>
        <x:v>61580</x:v>
      </x:c>
      <x:c r="G152" s="29" t="n">
        <x:f>SUMIFS('Priced Usage'!$L$7:$L$3366,'Priced Usage'!$C$7:$C$3366,$A152)</x:f>
        <x:v>295774</x:v>
      </x:c>
      <x:c r="H152" s="29" t="n">
        <x:f>COUNTIFS('Priced Usage'!$C$7:$C$3366,$A152)</x:f>
        <x:v>9</x:v>
      </x:c>
      <x:c r="I152" s="30" t="n">
        <x:f>SUMIFS('Priced Usage'!$M$7:$M$3366,'Priced Usage'!$C$7:$C$3366,$A152)</x:f>
        <x:v>9.367759999999999</x:v>
      </x:c>
      <x:c r="J152" s="30" t="n">
        <x:f>SUMIFS('Priced Usage'!$N$7:$N$3366,'Priced Usage'!$C$7:$C$3366,$A152)</x:f>
        <x:v>6.158</x:v>
      </x:c>
      <x:c r="K152" s="30" t="n">
        <x:f>SUMIFS('Priced Usage'!$O$7:$O$3366,'Priced Usage'!$C$7:$C$3366,$A152)</x:f>
        <x:v>15.52576</x:v>
      </x:c>
      <x:c r="L152" s="29" t="n">
        <x:f>COUNTIFS('Priced Usage'!$C$7:$C$3366,$A152,'Priced Usage'!$I$7:$I$3366,"First attempt")</x:f>
        <x:v>1</x:v>
      </x:c>
      <x:c r="M152" s="29" t="n">
        <x:f>COUNTIFS('Priced Usage'!$C$7:$C$3366,$A152,'Priced Usage'!$I$7:$I$3366,"Followup")</x:f>
        <x:v>7</x:v>
      </x:c>
      <x:c r="N152" s="29" t="n">
        <x:f>COUNTIFS('Priced Usage'!$C$7:$C$3366,$A152,'Priced Usage'!$I$7:$I$3366,"Correction")</x:f>
        <x:v>1</x:v>
      </x:c>
    </x:row>
    <x:row r="153" ht="23" customHeight="1">
      <x:c r="A153" s="17" t="str">
        <x:v>W0147</x:v>
      </x:c>
      <x:c r="B153" s="17" t="str">
        <x:v>C003</x:v>
      </x:c>
      <x:c r="C153" s="17" t="str">
        <x:v>DataFlow</x:v>
      </x:c>
      <x:c r="D153" s="17" t="str">
        <x:v>Lite</x:v>
      </x:c>
      <x:c r="E153" s="29" t="n">
        <x:f>SUMIFS('Priced Usage'!$G$7:$G$3366,'Priced Usage'!$C$7:$C$3366,$A153)</x:f>
        <x:v>268384</x:v>
      </x:c>
      <x:c r="F153" s="29" t="n">
        <x:f>SUMIFS('Priced Usage'!$H$7:$H$3366,'Priced Usage'!$C$7:$C$3366,$A153)</x:f>
        <x:v>35789</x:v>
      </x:c>
      <x:c r="G153" s="29" t="n">
        <x:f>SUMIFS('Priced Usage'!$L$7:$L$3366,'Priced Usage'!$C$7:$C$3366,$A153)</x:f>
        <x:v>304173</x:v>
      </x:c>
      <x:c r="H153" s="29" t="n">
        <x:f>COUNTIFS('Priced Usage'!$C$7:$C$3366,$A153)</x:f>
        <x:v>8</x:v>
      </x:c>
      <x:c r="I153" s="30" t="n">
        <x:f>SUMIFS('Priced Usage'!$M$7:$M$3366,'Priced Usage'!$C$7:$C$3366,$A153)</x:f>
        <x:v>2.68384</x:v>
      </x:c>
      <x:c r="J153" s="30" t="n">
        <x:f>SUMIFS('Priced Usage'!$N$7:$N$3366,'Priced Usage'!$C$7:$C$3366,$A153)</x:f>
        <x:v>1.0736700000000001</x:v>
      </x:c>
      <x:c r="K153" s="30" t="n">
        <x:f>SUMIFS('Priced Usage'!$O$7:$O$3366,'Priced Usage'!$C$7:$C$3366,$A153)</x:f>
        <x:v>3.75751</x:v>
      </x:c>
      <x:c r="L153" s="29" t="n">
        <x:f>COUNTIFS('Priced Usage'!$C$7:$C$3366,$A153,'Priced Usage'!$I$7:$I$3366,"First attempt")</x:f>
        <x:v>1</x:v>
      </x:c>
      <x:c r="M153" s="29" t="n">
        <x:f>COUNTIFS('Priced Usage'!$C$7:$C$3366,$A153,'Priced Usage'!$I$7:$I$3366,"Followup")</x:f>
        <x:v>6</x:v>
      </x:c>
      <x:c r="N153" s="29" t="n">
        <x:f>COUNTIFS('Priced Usage'!$C$7:$C$3366,$A153,'Priced Usage'!$I$7:$I$3366,"Correction")</x:f>
        <x:v>1</x:v>
      </x:c>
    </x:row>
    <x:row r="154" ht="23" customHeight="1">
      <x:c r="A154" s="17" t="str">
        <x:v>W0148</x:v>
      </x:c>
      <x:c r="B154" s="17" t="str">
        <x:v>C003</x:v>
      </x:c>
      <x:c r="C154" s="17" t="str">
        <x:v>DataFlow</x:v>
      </x:c>
      <x:c r="D154" s="17" t="str">
        <x:v>Lite</x:v>
      </x:c>
      <x:c r="E154" s="29" t="n">
        <x:f>SUMIFS('Priced Usage'!$G$7:$G$3366,'Priced Usage'!$C$7:$C$3366,$A154)</x:f>
        <x:v>356663</x:v>
      </x:c>
      <x:c r="F154" s="29" t="n">
        <x:f>SUMIFS('Priced Usage'!$H$7:$H$3366,'Priced Usage'!$C$7:$C$3366,$A154)</x:f>
        <x:v>37210</x:v>
      </x:c>
      <x:c r="G154" s="29" t="n">
        <x:f>SUMIFS('Priced Usage'!$L$7:$L$3366,'Priced Usage'!$C$7:$C$3366,$A154)</x:f>
        <x:v>393873</x:v>
      </x:c>
      <x:c r="H154" s="29" t="n">
        <x:f>COUNTIFS('Priced Usage'!$C$7:$C$3366,$A154)</x:f>
        <x:v>12</x:v>
      </x:c>
      <x:c r="I154" s="30" t="n">
        <x:f>SUMIFS('Priced Usage'!$M$7:$M$3366,'Priced Usage'!$C$7:$C$3366,$A154)</x:f>
        <x:v>3.56663</x:v>
      </x:c>
      <x:c r="J154" s="30" t="n">
        <x:f>SUMIFS('Priced Usage'!$N$7:$N$3366,'Priced Usage'!$C$7:$C$3366,$A154)</x:f>
        <x:v>1.1163000000000003</x:v>
      </x:c>
      <x:c r="K154" s="30" t="n">
        <x:f>SUMIFS('Priced Usage'!$O$7:$O$3366,'Priced Usage'!$C$7:$C$3366,$A154)</x:f>
        <x:v>4.68293</x:v>
      </x:c>
      <x:c r="L154" s="29" t="n">
        <x:f>COUNTIFS('Priced Usage'!$C$7:$C$3366,$A154,'Priced Usage'!$I$7:$I$3366,"First attempt")</x:f>
        <x:v>1</x:v>
      </x:c>
      <x:c r="M154" s="29" t="n">
        <x:f>COUNTIFS('Priced Usage'!$C$7:$C$3366,$A154,'Priced Usage'!$I$7:$I$3366,"Followup")</x:f>
        <x:v>8</x:v>
      </x:c>
      <x:c r="N154" s="29" t="n">
        <x:f>COUNTIFS('Priced Usage'!$C$7:$C$3366,$A154,'Priced Usage'!$I$7:$I$3366,"Correction")</x:f>
        <x:v>3</x:v>
      </x:c>
    </x:row>
    <x:row r="155" ht="23" customHeight="1">
      <x:c r="A155" s="17" t="str">
        <x:v>W0149</x:v>
      </x:c>
      <x:c r="B155" s="17" t="str">
        <x:v>C003</x:v>
      </x:c>
      <x:c r="C155" s="17" t="str">
        <x:v>CopyStudio</x:v>
      </x:c>
      <x:c r="D155" s="17" t="str">
        <x:v>Lite</x:v>
      </x:c>
      <x:c r="E155" s="29" t="n">
        <x:f>SUMIFS('Priced Usage'!$G$7:$G$3366,'Priced Usage'!$C$7:$C$3366,$A155)</x:f>
        <x:v>474700</x:v>
      </x:c>
      <x:c r="F155" s="29" t="n">
        <x:f>SUMIFS('Priced Usage'!$H$7:$H$3366,'Priced Usage'!$C$7:$C$3366,$A155)</x:f>
        <x:v>68053</x:v>
      </x:c>
      <x:c r="G155" s="29" t="n">
        <x:f>SUMIFS('Priced Usage'!$L$7:$L$3366,'Priced Usage'!$C$7:$C$3366,$A155)</x:f>
        <x:v>542753</x:v>
      </x:c>
      <x:c r="H155" s="29" t="n">
        <x:f>COUNTIFS('Priced Usage'!$C$7:$C$3366,$A155)</x:f>
        <x:v>13</x:v>
      </x:c>
      <x:c r="I155" s="30" t="n">
        <x:f>SUMIFS('Priced Usage'!$M$7:$M$3366,'Priced Usage'!$C$7:$C$3366,$A155)</x:f>
        <x:v>4.747</x:v>
      </x:c>
      <x:c r="J155" s="30" t="n">
        <x:f>SUMIFS('Priced Usage'!$N$7:$N$3366,'Priced Usage'!$C$7:$C$3366,$A155)</x:f>
        <x:v>2.04159</x:v>
      </x:c>
      <x:c r="K155" s="30" t="n">
        <x:f>SUMIFS('Priced Usage'!$O$7:$O$3366,'Priced Usage'!$C$7:$C$3366,$A155)</x:f>
        <x:v>6.78859</x:v>
      </x:c>
      <x:c r="L155" s="29" t="n">
        <x:f>COUNTIFS('Priced Usage'!$C$7:$C$3366,$A155,'Priced Usage'!$I$7:$I$3366,"First attempt")</x:f>
        <x:v>1</x:v>
      </x:c>
      <x:c r="M155" s="29" t="n">
        <x:f>COUNTIFS('Priced Usage'!$C$7:$C$3366,$A155,'Priced Usage'!$I$7:$I$3366,"Followup")</x:f>
        <x:v>9</x:v>
      </x:c>
      <x:c r="N155" s="29" t="n">
        <x:f>COUNTIFS('Priced Usage'!$C$7:$C$3366,$A155,'Priced Usage'!$I$7:$I$3366,"Correction")</x:f>
        <x:v>3</x:v>
      </x:c>
    </x:row>
    <x:row r="156" ht="23" customHeight="1">
      <x:c r="A156" s="17" t="str">
        <x:v>W0150</x:v>
      </x:c>
      <x:c r="B156" s="17" t="str">
        <x:v>C003</x:v>
      </x:c>
      <x:c r="C156" s="17" t="str">
        <x:v>InsightDesk</x:v>
      </x:c>
      <x:c r="D156" s="17" t="str">
        <x:v>Lite</x:v>
      </x:c>
      <x:c r="E156" s="29" t="n">
        <x:f>SUMIFS('Priced Usage'!$G$7:$G$3366,'Priced Usage'!$C$7:$C$3366,$A156)</x:f>
        <x:v>429833</x:v>
      </x:c>
      <x:c r="F156" s="29" t="n">
        <x:f>SUMIFS('Priced Usage'!$H$7:$H$3366,'Priced Usage'!$C$7:$C$3366,$A156)</x:f>
        <x:v>86061</x:v>
      </x:c>
      <x:c r="G156" s="29" t="n">
        <x:f>SUMIFS('Priced Usage'!$L$7:$L$3366,'Priced Usage'!$C$7:$C$3366,$A156)</x:f>
        <x:v>515894</x:v>
      </x:c>
      <x:c r="H156" s="29" t="n">
        <x:f>COUNTIFS('Priced Usage'!$C$7:$C$3366,$A156)</x:f>
        <x:v>12</x:v>
      </x:c>
      <x:c r="I156" s="30" t="n">
        <x:f>SUMIFS('Priced Usage'!$M$7:$M$3366,'Priced Usage'!$C$7:$C$3366,$A156)</x:f>
        <x:v>4.29833</x:v>
      </x:c>
      <x:c r="J156" s="30" t="n">
        <x:f>SUMIFS('Priced Usage'!$N$7:$N$3366,'Priced Usage'!$C$7:$C$3366,$A156)</x:f>
        <x:v>2.58183</x:v>
      </x:c>
      <x:c r="K156" s="30" t="n">
        <x:f>SUMIFS('Priced Usage'!$O$7:$O$3366,'Priced Usage'!$C$7:$C$3366,$A156)</x:f>
        <x:v>6.880160000000001</x:v>
      </x:c>
      <x:c r="L156" s="29" t="n">
        <x:f>COUNTIFS('Priced Usage'!$C$7:$C$3366,$A156,'Priced Usage'!$I$7:$I$3366,"First attempt")</x:f>
        <x:v>1</x:v>
      </x:c>
      <x:c r="M156" s="29" t="n">
        <x:f>COUNTIFS('Priced Usage'!$C$7:$C$3366,$A156,'Priced Usage'!$I$7:$I$3366,"Followup")</x:f>
        <x:v>8</x:v>
      </x:c>
      <x:c r="N156" s="29" t="n">
        <x:f>COUNTIFS('Priced Usage'!$C$7:$C$3366,$A156,'Priced Usage'!$I$7:$I$3366,"Correction")</x:f>
        <x:v>3</x:v>
      </x:c>
    </x:row>
    <x:row r="157" ht="23" customHeight="1">
      <x:c r="A157" s="17" t="str">
        <x:v>W0151</x:v>
      </x:c>
      <x:c r="B157" s="17" t="str">
        <x:v>C003</x:v>
      </x:c>
      <x:c r="C157" s="17" t="str">
        <x:v>CopyStudio</x:v>
      </x:c>
      <x:c r="D157" s="17" t="str">
        <x:v>Lite</x:v>
      </x:c>
      <x:c r="E157" s="29" t="n">
        <x:f>SUMIFS('Priced Usage'!$G$7:$G$3366,'Priced Usage'!$C$7:$C$3366,$A157)</x:f>
        <x:v>610496</x:v>
      </x:c>
      <x:c r="F157" s="29" t="n">
        <x:f>SUMIFS('Priced Usage'!$H$7:$H$3366,'Priced Usage'!$C$7:$C$3366,$A157)</x:f>
        <x:v>74255</x:v>
      </x:c>
      <x:c r="G157" s="29" t="n">
        <x:f>SUMIFS('Priced Usage'!$L$7:$L$3366,'Priced Usage'!$C$7:$C$3366,$A157)</x:f>
        <x:v>684751</x:v>
      </x:c>
      <x:c r="H157" s="29" t="n">
        <x:f>COUNTIFS('Priced Usage'!$C$7:$C$3366,$A157)</x:f>
        <x:v>18</x:v>
      </x:c>
      <x:c r="I157" s="30" t="n">
        <x:f>SUMIFS('Priced Usage'!$M$7:$M$3366,'Priced Usage'!$C$7:$C$3366,$A157)</x:f>
        <x:v>6.104959999999999</x:v>
      </x:c>
      <x:c r="J157" s="30" t="n">
        <x:f>SUMIFS('Priced Usage'!$N$7:$N$3366,'Priced Usage'!$C$7:$C$3366,$A157)</x:f>
        <x:v>2.2276500000000006</x:v>
      </x:c>
      <x:c r="K157" s="30" t="n">
        <x:f>SUMIFS('Priced Usage'!$O$7:$O$3366,'Priced Usage'!$C$7:$C$3366,$A157)</x:f>
        <x:v>8.33261</x:v>
      </x:c>
      <x:c r="L157" s="29" t="n">
        <x:f>COUNTIFS('Priced Usage'!$C$7:$C$3366,$A157,'Priced Usage'!$I$7:$I$3366,"First attempt")</x:f>
        <x:v>1</x:v>
      </x:c>
      <x:c r="M157" s="29" t="n">
        <x:f>COUNTIFS('Priced Usage'!$C$7:$C$3366,$A157,'Priced Usage'!$I$7:$I$3366,"Followup")</x:f>
        <x:v>14</x:v>
      </x:c>
      <x:c r="N157" s="29" t="n">
        <x:f>COUNTIFS('Priced Usage'!$C$7:$C$3366,$A157,'Priced Usage'!$I$7:$I$3366,"Correction")</x:f>
        <x:v>3</x:v>
      </x:c>
    </x:row>
    <x:row r="158" ht="23" customHeight="1">
      <x:c r="A158" s="17" t="str">
        <x:v>W0152</x:v>
      </x:c>
      <x:c r="B158" s="17" t="str">
        <x:v>C003</x:v>
      </x:c>
      <x:c r="C158" s="17" t="str">
        <x:v>CopyStudio</x:v>
      </x:c>
      <x:c r="D158" s="17" t="str">
        <x:v>Pro</x:v>
      </x:c>
      <x:c r="E158" s="29" t="n">
        <x:f>SUMIFS('Priced Usage'!$G$7:$G$3366,'Priced Usage'!$C$7:$C$3366,$A158)</x:f>
        <x:v>228779</x:v>
      </x:c>
      <x:c r="F158" s="29" t="n">
        <x:f>SUMIFS('Priced Usage'!$H$7:$H$3366,'Priced Usage'!$C$7:$C$3366,$A158)</x:f>
        <x:v>68717</x:v>
      </x:c>
      <x:c r="G158" s="29" t="n">
        <x:f>SUMIFS('Priced Usage'!$L$7:$L$3366,'Priced Usage'!$C$7:$C$3366,$A158)</x:f>
        <x:v>297496</x:v>
      </x:c>
      <x:c r="H158" s="29" t="n">
        <x:f>COUNTIFS('Priced Usage'!$C$7:$C$3366,$A158)</x:f>
        <x:v>10</x:v>
      </x:c>
      <x:c r="I158" s="30" t="n">
        <x:f>SUMIFS('Priced Usage'!$M$7:$M$3366,'Priced Usage'!$C$7:$C$3366,$A158)</x:f>
        <x:v>9.15116</x:v>
      </x:c>
      <x:c r="J158" s="30" t="n">
        <x:f>SUMIFS('Priced Usage'!$N$7:$N$3366,'Priced Usage'!$C$7:$C$3366,$A158)</x:f>
        <x:v>6.871700000000001</x:v>
      </x:c>
      <x:c r="K158" s="30" t="n">
        <x:f>SUMIFS('Priced Usage'!$O$7:$O$3366,'Priced Usage'!$C$7:$C$3366,$A158)</x:f>
        <x:v>16.022859999999998</x:v>
      </x:c>
      <x:c r="L158" s="29" t="n">
        <x:f>COUNTIFS('Priced Usage'!$C$7:$C$3366,$A158,'Priced Usage'!$I$7:$I$3366,"First attempt")</x:f>
        <x:v>1</x:v>
      </x:c>
      <x:c r="M158" s="29" t="n">
        <x:f>COUNTIFS('Priced Usage'!$C$7:$C$3366,$A158,'Priced Usage'!$I$7:$I$3366,"Followup")</x:f>
        <x:v>7</x:v>
      </x:c>
      <x:c r="N158" s="29" t="n">
        <x:f>COUNTIFS('Priced Usage'!$C$7:$C$3366,$A158,'Priced Usage'!$I$7:$I$3366,"Correction")</x:f>
        <x:v>2</x:v>
      </x:c>
    </x:row>
    <x:row r="159" ht="23" customHeight="1">
      <x:c r="A159" s="17" t="str">
        <x:v>W0153</x:v>
      </x:c>
      <x:c r="B159" s="17" t="str">
        <x:v>C003</x:v>
      </x:c>
      <x:c r="C159" s="17" t="str">
        <x:v>CopyStudio</x:v>
      </x:c>
      <x:c r="D159" s="17" t="str">
        <x:v>Lite</x:v>
      </x:c>
      <x:c r="E159" s="29" t="n">
        <x:f>SUMIFS('Priced Usage'!$G$7:$G$3366,'Priced Usage'!$C$7:$C$3366,$A159)</x:f>
        <x:v>324821</x:v>
      </x:c>
      <x:c r="F159" s="29" t="n">
        <x:f>SUMIFS('Priced Usage'!$H$7:$H$3366,'Priced Usage'!$C$7:$C$3366,$A159)</x:f>
        <x:v>66543</x:v>
      </x:c>
      <x:c r="G159" s="29" t="n">
        <x:f>SUMIFS('Priced Usage'!$L$7:$L$3366,'Priced Usage'!$C$7:$C$3366,$A159)</x:f>
        <x:v>391364</x:v>
      </x:c>
      <x:c r="H159" s="29" t="n">
        <x:f>COUNTIFS('Priced Usage'!$C$7:$C$3366,$A159)</x:f>
        <x:v>11</x:v>
      </x:c>
      <x:c r="I159" s="30" t="n">
        <x:f>SUMIFS('Priced Usage'!$M$7:$M$3366,'Priced Usage'!$C$7:$C$3366,$A159)</x:f>
        <x:v>3.2482100000000003</x:v>
      </x:c>
      <x:c r="J159" s="30" t="n">
        <x:f>SUMIFS('Priced Usage'!$N$7:$N$3366,'Priced Usage'!$C$7:$C$3366,$A159)</x:f>
        <x:v>1.99629</x:v>
      </x:c>
      <x:c r="K159" s="30" t="n">
        <x:f>SUMIFS('Priced Usage'!$O$7:$O$3366,'Priced Usage'!$C$7:$C$3366,$A159)</x:f>
        <x:v>5.2444999999999995</x:v>
      </x:c>
      <x:c r="L159" s="29" t="n">
        <x:f>COUNTIFS('Priced Usage'!$C$7:$C$3366,$A159,'Priced Usage'!$I$7:$I$3366,"First attempt")</x:f>
        <x:v>1</x:v>
      </x:c>
      <x:c r="M159" s="29" t="n">
        <x:f>COUNTIFS('Priced Usage'!$C$7:$C$3366,$A159,'Priced Usage'!$I$7:$I$3366,"Followup")</x:f>
        <x:v>8</x:v>
      </x:c>
      <x:c r="N159" s="29" t="n">
        <x:f>COUNTIFS('Priced Usage'!$C$7:$C$3366,$A159,'Priced Usage'!$I$7:$I$3366,"Correction")</x:f>
        <x:v>2</x:v>
      </x:c>
    </x:row>
    <x:row r="160" ht="23" customHeight="1">
      <x:c r="A160" s="17" t="str">
        <x:v>W0154</x:v>
      </x:c>
      <x:c r="B160" s="17" t="str">
        <x:v>C003</x:v>
      </x:c>
      <x:c r="C160" s="17" t="str">
        <x:v>CampaignChat</x:v>
      </x:c>
      <x:c r="D160" s="17" t="str">
        <x:v>Lite</x:v>
      </x:c>
      <x:c r="E160" s="29" t="n">
        <x:f>SUMIFS('Priced Usage'!$G$7:$G$3366,'Priced Usage'!$C$7:$C$3366,$A160)</x:f>
        <x:v>306115</x:v>
      </x:c>
      <x:c r="F160" s="29" t="n">
        <x:f>SUMIFS('Priced Usage'!$H$7:$H$3366,'Priced Usage'!$C$7:$C$3366,$A160)</x:f>
        <x:v>80968</x:v>
      </x:c>
      <x:c r="G160" s="29" t="n">
        <x:f>SUMIFS('Priced Usage'!$L$7:$L$3366,'Priced Usage'!$C$7:$C$3366,$A160)</x:f>
        <x:v>387083</x:v>
      </x:c>
      <x:c r="H160" s="29" t="n">
        <x:f>COUNTIFS('Priced Usage'!$C$7:$C$3366,$A160)</x:f>
        <x:v>14</x:v>
      </x:c>
      <x:c r="I160" s="30" t="n">
        <x:f>SUMIFS('Priced Usage'!$M$7:$M$3366,'Priced Usage'!$C$7:$C$3366,$A160)</x:f>
        <x:v>3.0611499999999996</x:v>
      </x:c>
      <x:c r="J160" s="30" t="n">
        <x:f>SUMIFS('Priced Usage'!$N$7:$N$3366,'Priced Usage'!$C$7:$C$3366,$A160)</x:f>
        <x:v>2.42904</x:v>
      </x:c>
      <x:c r="K160" s="30" t="n">
        <x:f>SUMIFS('Priced Usage'!$O$7:$O$3366,'Priced Usage'!$C$7:$C$3366,$A160)</x:f>
        <x:v>5.490190000000001</x:v>
      </x:c>
      <x:c r="L160" s="29" t="n">
        <x:f>COUNTIFS('Priced Usage'!$C$7:$C$3366,$A160,'Priced Usage'!$I$7:$I$3366,"First attempt")</x:f>
        <x:v>1</x:v>
      </x:c>
      <x:c r="M160" s="29" t="n">
        <x:f>COUNTIFS('Priced Usage'!$C$7:$C$3366,$A160,'Priced Usage'!$I$7:$I$3366,"Followup")</x:f>
        <x:v>9</x:v>
      </x:c>
      <x:c r="N160" s="29" t="n">
        <x:f>COUNTIFS('Priced Usage'!$C$7:$C$3366,$A160,'Priced Usage'!$I$7:$I$3366,"Correction")</x:f>
        <x:v>4</x:v>
      </x:c>
    </x:row>
    <x:row r="161" ht="23" customHeight="1">
      <x:c r="A161" s="17" t="str">
        <x:v>W0155</x:v>
      </x:c>
      <x:c r="B161" s="17" t="str">
        <x:v>C003</x:v>
      </x:c>
      <x:c r="C161" s="17" t="str">
        <x:v>DataFlow</x:v>
      </x:c>
      <x:c r="D161" s="17" t="str">
        <x:v>Lite</x:v>
      </x:c>
      <x:c r="E161" s="29" t="n">
        <x:f>SUMIFS('Priced Usage'!$G$7:$G$3366,'Priced Usage'!$C$7:$C$3366,$A161)</x:f>
        <x:v>388004</x:v>
      </x:c>
      <x:c r="F161" s="29" t="n">
        <x:f>SUMIFS('Priced Usage'!$H$7:$H$3366,'Priced Usage'!$C$7:$C$3366,$A161)</x:f>
        <x:v>73665</x:v>
      </x:c>
      <x:c r="G161" s="29" t="n">
        <x:f>SUMIFS('Priced Usage'!$L$7:$L$3366,'Priced Usage'!$C$7:$C$3366,$A161)</x:f>
        <x:v>461669</x:v>
      </x:c>
      <x:c r="H161" s="29" t="n">
        <x:f>COUNTIFS('Priced Usage'!$C$7:$C$3366,$A161)</x:f>
        <x:v>12</x:v>
      </x:c>
      <x:c r="I161" s="30" t="n">
        <x:f>SUMIFS('Priced Usage'!$M$7:$M$3366,'Priced Usage'!$C$7:$C$3366,$A161)</x:f>
        <x:v>3.8800400000000006</x:v>
      </x:c>
      <x:c r="J161" s="30" t="n">
        <x:f>SUMIFS('Priced Usage'!$N$7:$N$3366,'Priced Usage'!$C$7:$C$3366,$A161)</x:f>
        <x:v>2.20995</x:v>
      </x:c>
      <x:c r="K161" s="30" t="n">
        <x:f>SUMIFS('Priced Usage'!$O$7:$O$3366,'Priced Usage'!$C$7:$C$3366,$A161)</x:f>
        <x:v>6.08999</x:v>
      </x:c>
      <x:c r="L161" s="29" t="n">
        <x:f>COUNTIFS('Priced Usage'!$C$7:$C$3366,$A161,'Priced Usage'!$I$7:$I$3366,"First attempt")</x:f>
        <x:v>1</x:v>
      </x:c>
      <x:c r="M161" s="29" t="n">
        <x:f>COUNTIFS('Priced Usage'!$C$7:$C$3366,$A161,'Priced Usage'!$I$7:$I$3366,"Followup")</x:f>
        <x:v>9</x:v>
      </x:c>
      <x:c r="N161" s="29" t="n">
        <x:f>COUNTIFS('Priced Usage'!$C$7:$C$3366,$A161,'Priced Usage'!$I$7:$I$3366,"Correction")</x:f>
        <x:v>2</x:v>
      </x:c>
    </x:row>
    <x:row r="162" ht="23" customHeight="1">
      <x:c r="A162" s="17" t="str">
        <x:v>W0156</x:v>
      </x:c>
      <x:c r="B162" s="17" t="str">
        <x:v>C003</x:v>
      </x:c>
      <x:c r="C162" s="17" t="str">
        <x:v>DataFlow</x:v>
      </x:c>
      <x:c r="D162" s="17" t="str">
        <x:v>Lite</x:v>
      </x:c>
      <x:c r="E162" s="29" t="n">
        <x:f>SUMIFS('Priced Usage'!$G$7:$G$3366,'Priced Usage'!$C$7:$C$3366,$A162)</x:f>
        <x:v>189258</x:v>
      </x:c>
      <x:c r="F162" s="29" t="n">
        <x:f>SUMIFS('Priced Usage'!$H$7:$H$3366,'Priced Usage'!$C$7:$C$3366,$A162)</x:f>
        <x:v>60941</x:v>
      </x:c>
      <x:c r="G162" s="29" t="n">
        <x:f>SUMIFS('Priced Usage'!$L$7:$L$3366,'Priced Usage'!$C$7:$C$3366,$A162)</x:f>
        <x:v>250199</x:v>
      </x:c>
      <x:c r="H162" s="29" t="n">
        <x:f>COUNTIFS('Priced Usage'!$C$7:$C$3366,$A162)</x:f>
        <x:v>13</x:v>
      </x:c>
      <x:c r="I162" s="30" t="n">
        <x:f>SUMIFS('Priced Usage'!$M$7:$M$3366,'Priced Usage'!$C$7:$C$3366,$A162)</x:f>
        <x:v>1.89258</x:v>
      </x:c>
      <x:c r="J162" s="30" t="n">
        <x:f>SUMIFS('Priced Usage'!$N$7:$N$3366,'Priced Usage'!$C$7:$C$3366,$A162)</x:f>
        <x:v>1.82823</x:v>
      </x:c>
      <x:c r="K162" s="30" t="n">
        <x:f>SUMIFS('Priced Usage'!$O$7:$O$3366,'Priced Usage'!$C$7:$C$3366,$A162)</x:f>
        <x:v>3.7208099999999993</x:v>
      </x:c>
      <x:c r="L162" s="29" t="n">
        <x:f>COUNTIFS('Priced Usage'!$C$7:$C$3366,$A162,'Priced Usage'!$I$7:$I$3366,"First attempt")</x:f>
        <x:v>1</x:v>
      </x:c>
      <x:c r="M162" s="29" t="n">
        <x:f>COUNTIFS('Priced Usage'!$C$7:$C$3366,$A162,'Priced Usage'!$I$7:$I$3366,"Followup")</x:f>
        <x:v>8</x:v>
      </x:c>
      <x:c r="N162" s="29" t="n">
        <x:f>COUNTIFS('Priced Usage'!$C$7:$C$3366,$A162,'Priced Usage'!$I$7:$I$3366,"Correction")</x:f>
        <x:v>4</x:v>
      </x:c>
    </x:row>
    <x:row r="163" ht="23" customHeight="1">
      <x:c r="A163" s="17" t="str">
        <x:v>W0157</x:v>
      </x:c>
      <x:c r="B163" s="17" t="str">
        <x:v>C003</x:v>
      </x:c>
      <x:c r="C163" s="17" t="str">
        <x:v>InsightDesk</x:v>
      </x:c>
      <x:c r="D163" s="17" t="str">
        <x:v>Lite</x:v>
      </x:c>
      <x:c r="E163" s="29" t="n">
        <x:f>SUMIFS('Priced Usage'!$G$7:$G$3366,'Priced Usage'!$C$7:$C$3366,$A163)</x:f>
        <x:v>240378</x:v>
      </x:c>
      <x:c r="F163" s="29" t="n">
        <x:f>SUMIFS('Priced Usage'!$H$7:$H$3366,'Priced Usage'!$C$7:$C$3366,$A163)</x:f>
        <x:v>63230</x:v>
      </x:c>
      <x:c r="G163" s="29" t="n">
        <x:f>SUMIFS('Priced Usage'!$L$7:$L$3366,'Priced Usage'!$C$7:$C$3366,$A163)</x:f>
        <x:v>303608</x:v>
      </x:c>
      <x:c r="H163" s="29" t="n">
        <x:f>COUNTIFS('Priced Usage'!$C$7:$C$3366,$A163)</x:f>
        <x:v>12</x:v>
      </x:c>
      <x:c r="I163" s="30" t="n">
        <x:f>SUMIFS('Priced Usage'!$M$7:$M$3366,'Priced Usage'!$C$7:$C$3366,$A163)</x:f>
        <x:v>2.40378</x:v>
      </x:c>
      <x:c r="J163" s="30" t="n">
        <x:f>SUMIFS('Priced Usage'!$N$7:$N$3366,'Priced Usage'!$C$7:$C$3366,$A163)</x:f>
        <x:v>1.8968999999999998</x:v>
      </x:c>
      <x:c r="K163" s="30" t="n">
        <x:f>SUMIFS('Priced Usage'!$O$7:$O$3366,'Priced Usage'!$C$7:$C$3366,$A163)</x:f>
        <x:v>4.30068</x:v>
      </x:c>
      <x:c r="L163" s="29" t="n">
        <x:f>COUNTIFS('Priced Usage'!$C$7:$C$3366,$A163,'Priced Usage'!$I$7:$I$3366,"First attempt")</x:f>
        <x:v>1</x:v>
      </x:c>
      <x:c r="M163" s="29" t="n">
        <x:f>COUNTIFS('Priced Usage'!$C$7:$C$3366,$A163,'Priced Usage'!$I$7:$I$3366,"Followup")</x:f>
        <x:v>8</x:v>
      </x:c>
      <x:c r="N163" s="29" t="n">
        <x:f>COUNTIFS('Priced Usage'!$C$7:$C$3366,$A163,'Priced Usage'!$I$7:$I$3366,"Correction")</x:f>
        <x:v>3</x:v>
      </x:c>
    </x:row>
    <x:row r="164" ht="23" customHeight="1">
      <x:c r="A164" s="17" t="str">
        <x:v>W0158</x:v>
      </x:c>
      <x:c r="B164" s="17" t="str">
        <x:v>C003</x:v>
      </x:c>
      <x:c r="C164" s="17" t="str">
        <x:v>InsightDesk</x:v>
      </x:c>
      <x:c r="D164" s="17" t="str">
        <x:v>Lite</x:v>
      </x:c>
      <x:c r="E164" s="29" t="n">
        <x:f>SUMIFS('Priced Usage'!$G$7:$G$3366,'Priced Usage'!$C$7:$C$3366,$A164)</x:f>
        <x:v>238995</x:v>
      </x:c>
      <x:c r="F164" s="29" t="n">
        <x:f>SUMIFS('Priced Usage'!$H$7:$H$3366,'Priced Usage'!$C$7:$C$3366,$A164)</x:f>
        <x:v>67728</x:v>
      </x:c>
      <x:c r="G164" s="29" t="n">
        <x:f>SUMIFS('Priced Usage'!$L$7:$L$3366,'Priced Usage'!$C$7:$C$3366,$A164)</x:f>
        <x:v>306723</x:v>
      </x:c>
      <x:c r="H164" s="29" t="n">
        <x:f>COUNTIFS('Priced Usage'!$C$7:$C$3366,$A164)</x:f>
        <x:v>13</x:v>
      </x:c>
      <x:c r="I164" s="30" t="n">
        <x:f>SUMIFS('Priced Usage'!$M$7:$M$3366,'Priced Usage'!$C$7:$C$3366,$A164)</x:f>
        <x:v>2.3899500000000002</x:v>
      </x:c>
      <x:c r="J164" s="30" t="n">
        <x:f>SUMIFS('Priced Usage'!$N$7:$N$3366,'Priced Usage'!$C$7:$C$3366,$A164)</x:f>
        <x:v>2.03184</x:v>
      </x:c>
      <x:c r="K164" s="30" t="n">
        <x:f>SUMIFS('Priced Usage'!$O$7:$O$3366,'Priced Usage'!$C$7:$C$3366,$A164)</x:f>
        <x:v>4.42179</x:v>
      </x:c>
      <x:c r="L164" s="29" t="n">
        <x:f>COUNTIFS('Priced Usage'!$C$7:$C$3366,$A164,'Priced Usage'!$I$7:$I$3366,"First attempt")</x:f>
        <x:v>1</x:v>
      </x:c>
      <x:c r="M164" s="29" t="n">
        <x:f>COUNTIFS('Priced Usage'!$C$7:$C$3366,$A164,'Priced Usage'!$I$7:$I$3366,"Followup")</x:f>
        <x:v>9</x:v>
      </x:c>
      <x:c r="N164" s="29" t="n">
        <x:f>COUNTIFS('Priced Usage'!$C$7:$C$3366,$A164,'Priced Usage'!$I$7:$I$3366,"Correction")</x:f>
        <x:v>3</x:v>
      </x:c>
    </x:row>
    <x:row r="165" ht="23" customHeight="1">
      <x:c r="A165" s="17" t="str">
        <x:v>W0159</x:v>
      </x:c>
      <x:c r="B165" s="17" t="str">
        <x:v>C003</x:v>
      </x:c>
      <x:c r="C165" s="17" t="str">
        <x:v>CopyStudio</x:v>
      </x:c>
      <x:c r="D165" s="17" t="str">
        <x:v>Lite</x:v>
      </x:c>
      <x:c r="E165" s="29" t="n">
        <x:f>SUMIFS('Priced Usage'!$G$7:$G$3366,'Priced Usage'!$C$7:$C$3366,$A165)</x:f>
        <x:v>181009</x:v>
      </x:c>
      <x:c r="F165" s="29" t="n">
        <x:f>SUMIFS('Priced Usage'!$H$7:$H$3366,'Priced Usage'!$C$7:$C$3366,$A165)</x:f>
        <x:v>67133</x:v>
      </x:c>
      <x:c r="G165" s="29" t="n">
        <x:f>SUMIFS('Priced Usage'!$L$7:$L$3366,'Priced Usage'!$C$7:$C$3366,$A165)</x:f>
        <x:v>248142</x:v>
      </x:c>
      <x:c r="H165" s="29" t="n">
        <x:f>COUNTIFS('Priced Usage'!$C$7:$C$3366,$A165)</x:f>
        <x:v>10</x:v>
      </x:c>
      <x:c r="I165" s="30" t="n">
        <x:f>SUMIFS('Priced Usage'!$M$7:$M$3366,'Priced Usage'!$C$7:$C$3366,$A165)</x:f>
        <x:v>1.81009</x:v>
      </x:c>
      <x:c r="J165" s="30" t="n">
        <x:f>SUMIFS('Priced Usage'!$N$7:$N$3366,'Priced Usage'!$C$7:$C$3366,$A165)</x:f>
        <x:v>2.0139899999999997</x:v>
      </x:c>
      <x:c r="K165" s="30" t="n">
        <x:f>SUMIFS('Priced Usage'!$O$7:$O$3366,'Priced Usage'!$C$7:$C$3366,$A165)</x:f>
        <x:v>3.8240799999999995</x:v>
      </x:c>
      <x:c r="L165" s="29" t="n">
        <x:f>COUNTIFS('Priced Usage'!$C$7:$C$3366,$A165,'Priced Usage'!$I$7:$I$3366,"First attempt")</x:f>
        <x:v>1</x:v>
      </x:c>
      <x:c r="M165" s="29" t="n">
        <x:f>COUNTIFS('Priced Usage'!$C$7:$C$3366,$A165,'Priced Usage'!$I$7:$I$3366,"Followup")</x:f>
        <x:v>8</x:v>
      </x:c>
      <x:c r="N165" s="29" t="n">
        <x:f>COUNTIFS('Priced Usage'!$C$7:$C$3366,$A165,'Priced Usage'!$I$7:$I$3366,"Correction")</x:f>
        <x:v>1</x:v>
      </x:c>
    </x:row>
    <x:row r="166" ht="23" customHeight="1">
      <x:c r="A166" s="17" t="str">
        <x:v>W0160</x:v>
      </x:c>
      <x:c r="B166" s="17" t="str">
        <x:v>C003</x:v>
      </x:c>
      <x:c r="C166" s="17" t="str">
        <x:v>CopyStudio</x:v>
      </x:c>
      <x:c r="D166" s="17" t="str">
        <x:v>Pro</x:v>
      </x:c>
      <x:c r="E166" s="29" t="n">
        <x:f>SUMIFS('Priced Usage'!$G$7:$G$3366,'Priced Usage'!$C$7:$C$3366,$A166)</x:f>
        <x:v>107406</x:v>
      </x:c>
      <x:c r="F166" s="29" t="n">
        <x:f>SUMIFS('Priced Usage'!$H$7:$H$3366,'Priced Usage'!$C$7:$C$3366,$A166)</x:f>
        <x:v>48393</x:v>
      </x:c>
      <x:c r="G166" s="29" t="n">
        <x:f>SUMIFS('Priced Usage'!$L$7:$L$3366,'Priced Usage'!$C$7:$C$3366,$A166)</x:f>
        <x:v>155799</x:v>
      </x:c>
      <x:c r="H166" s="29" t="n">
        <x:f>COUNTIFS('Priced Usage'!$C$7:$C$3366,$A166)</x:f>
        <x:v>9</x:v>
      </x:c>
      <x:c r="I166" s="30" t="n">
        <x:f>SUMIFS('Priced Usage'!$M$7:$M$3366,'Priced Usage'!$C$7:$C$3366,$A166)</x:f>
        <x:v>4.29624</x:v>
      </x:c>
      <x:c r="J166" s="30" t="n">
        <x:f>SUMIFS('Priced Usage'!$N$7:$N$3366,'Priced Usage'!$C$7:$C$3366,$A166)</x:f>
        <x:v>4.8393</x:v>
      </x:c>
      <x:c r="K166" s="30" t="n">
        <x:f>SUMIFS('Priced Usage'!$O$7:$O$3366,'Priced Usage'!$C$7:$C$3366,$A166)</x:f>
        <x:v>9.135539999999999</x:v>
      </x:c>
      <x:c r="L166" s="29" t="n">
        <x:f>COUNTIFS('Priced Usage'!$C$7:$C$3366,$A166,'Priced Usage'!$I$7:$I$3366,"First attempt")</x:f>
        <x:v>1</x:v>
      </x:c>
      <x:c r="M166" s="29" t="n">
        <x:f>COUNTIFS('Priced Usage'!$C$7:$C$3366,$A166,'Priced Usage'!$I$7:$I$3366,"Followup")</x:f>
        <x:v>6</x:v>
      </x:c>
      <x:c r="N166" s="29" t="n">
        <x:f>COUNTIFS('Priced Usage'!$C$7:$C$3366,$A166,'Priced Usage'!$I$7:$I$3366,"Correction")</x:f>
        <x:v>2</x:v>
      </x:c>
    </x:row>
    <x:row r="167" ht="23" customHeight="1">
      <x:c r="A167" s="17" t="str">
        <x:v>W0161</x:v>
      </x:c>
      <x:c r="B167" s="17" t="str">
        <x:v>C003</x:v>
      </x:c>
      <x:c r="C167" s="17" t="str">
        <x:v>CampaignChat</x:v>
      </x:c>
      <x:c r="D167" s="17" t="str">
        <x:v>Pro</x:v>
      </x:c>
      <x:c r="E167" s="29" t="n">
        <x:f>SUMIFS('Priced Usage'!$G$7:$G$3366,'Priced Usage'!$C$7:$C$3366,$A167)</x:f>
        <x:v>240185</x:v>
      </x:c>
      <x:c r="F167" s="29" t="n">
        <x:f>SUMIFS('Priced Usage'!$H$7:$H$3366,'Priced Usage'!$C$7:$C$3366,$A167)</x:f>
        <x:v>95345</x:v>
      </x:c>
      <x:c r="G167" s="29" t="n">
        <x:f>SUMIFS('Priced Usage'!$L$7:$L$3366,'Priced Usage'!$C$7:$C$3366,$A167)</x:f>
        <x:v>335530</x:v>
      </x:c>
      <x:c r="H167" s="29" t="n">
        <x:f>COUNTIFS('Priced Usage'!$C$7:$C$3366,$A167)</x:f>
        <x:v>10</x:v>
      </x:c>
      <x:c r="I167" s="30" t="n">
        <x:f>SUMIFS('Priced Usage'!$M$7:$M$3366,'Priced Usage'!$C$7:$C$3366,$A167)</x:f>
        <x:v>9.607399999999998</x:v>
      </x:c>
      <x:c r="J167" s="30" t="n">
        <x:f>SUMIFS('Priced Usage'!$N$7:$N$3366,'Priced Usage'!$C$7:$C$3366,$A167)</x:f>
        <x:v>9.534499999999998</x:v>
      </x:c>
      <x:c r="K167" s="30" t="n">
        <x:f>SUMIFS('Priced Usage'!$O$7:$O$3366,'Priced Usage'!$C$7:$C$3366,$A167)</x:f>
        <x:v>19.1419</x:v>
      </x:c>
      <x:c r="L167" s="29" t="n">
        <x:f>COUNTIFS('Priced Usage'!$C$7:$C$3366,$A167,'Priced Usage'!$I$7:$I$3366,"First attempt")</x:f>
        <x:v>1</x:v>
      </x:c>
      <x:c r="M167" s="29" t="n">
        <x:f>COUNTIFS('Priced Usage'!$C$7:$C$3366,$A167,'Priced Usage'!$I$7:$I$3366,"Followup")</x:f>
        <x:v>7</x:v>
      </x:c>
      <x:c r="N167" s="29" t="n">
        <x:f>COUNTIFS('Priced Usage'!$C$7:$C$3366,$A167,'Priced Usage'!$I$7:$I$3366,"Correction")</x:f>
        <x:v>2</x:v>
      </x:c>
    </x:row>
    <x:row r="168" ht="23" customHeight="1">
      <x:c r="A168" s="17" t="str">
        <x:v>W0162</x:v>
      </x:c>
      <x:c r="B168" s="17" t="str">
        <x:v>C003</x:v>
      </x:c>
      <x:c r="C168" s="17" t="str">
        <x:v>CopyStudio</x:v>
      </x:c>
      <x:c r="D168" s="17" t="str">
        <x:v>Lite</x:v>
      </x:c>
      <x:c r="E168" s="29" t="n">
        <x:f>SUMIFS('Priced Usage'!$G$7:$G$3366,'Priced Usage'!$C$7:$C$3366,$A168)</x:f>
        <x:v>293247</x:v>
      </x:c>
      <x:c r="F168" s="29" t="n">
        <x:f>SUMIFS('Priced Usage'!$H$7:$H$3366,'Priced Usage'!$C$7:$C$3366,$A168)</x:f>
        <x:v>96442</x:v>
      </x:c>
      <x:c r="G168" s="29" t="n">
        <x:f>SUMIFS('Priced Usage'!$L$7:$L$3366,'Priced Usage'!$C$7:$C$3366,$A168)</x:f>
        <x:v>389689</x:v>
      </x:c>
      <x:c r="H168" s="29" t="n">
        <x:f>COUNTIFS('Priced Usage'!$C$7:$C$3366,$A168)</x:f>
        <x:v>13</x:v>
      </x:c>
      <x:c r="I168" s="30" t="n">
        <x:f>SUMIFS('Priced Usage'!$M$7:$M$3366,'Priced Usage'!$C$7:$C$3366,$A168)</x:f>
        <x:v>2.93247</x:v>
      </x:c>
      <x:c r="J168" s="30" t="n">
        <x:f>SUMIFS('Priced Usage'!$N$7:$N$3366,'Priced Usage'!$C$7:$C$3366,$A168)</x:f>
        <x:v>2.8932599999999997</x:v>
      </x:c>
      <x:c r="K168" s="30" t="n">
        <x:f>SUMIFS('Priced Usage'!$O$7:$O$3366,'Priced Usage'!$C$7:$C$3366,$A168)</x:f>
        <x:v>5.82573</x:v>
      </x:c>
      <x:c r="L168" s="29" t="n">
        <x:f>COUNTIFS('Priced Usage'!$C$7:$C$3366,$A168,'Priced Usage'!$I$7:$I$3366,"First attempt")</x:f>
        <x:v>1</x:v>
      </x:c>
      <x:c r="M168" s="29" t="n">
        <x:f>COUNTIFS('Priced Usage'!$C$7:$C$3366,$A168,'Priced Usage'!$I$7:$I$3366,"Followup")</x:f>
        <x:v>9</x:v>
      </x:c>
      <x:c r="N168" s="29" t="n">
        <x:f>COUNTIFS('Priced Usage'!$C$7:$C$3366,$A168,'Priced Usage'!$I$7:$I$3366,"Correction")</x:f>
        <x:v>3</x:v>
      </x:c>
    </x:row>
    <x:row r="169" ht="23" customHeight="1">
      <x:c r="A169" s="17" t="str">
        <x:v>W0163</x:v>
      </x:c>
      <x:c r="B169" s="17" t="str">
        <x:v>C003</x:v>
      </x:c>
      <x:c r="C169" s="17" t="str">
        <x:v>InsightDesk</x:v>
      </x:c>
      <x:c r="D169" s="17" t="str">
        <x:v>Pro</x:v>
      </x:c>
      <x:c r="E169" s="29" t="n">
        <x:f>SUMIFS('Priced Usage'!$G$7:$G$3366,'Priced Usage'!$C$7:$C$3366,$A169)</x:f>
        <x:v>314178</x:v>
      </x:c>
      <x:c r="F169" s="29" t="n">
        <x:f>SUMIFS('Priced Usage'!$H$7:$H$3366,'Priced Usage'!$C$7:$C$3366,$A169)</x:f>
        <x:v>96410</x:v>
      </x:c>
      <x:c r="G169" s="29" t="n">
        <x:f>SUMIFS('Priced Usage'!$L$7:$L$3366,'Priced Usage'!$C$7:$C$3366,$A169)</x:f>
        <x:v>410588</x:v>
      </x:c>
      <x:c r="H169" s="29" t="n">
        <x:f>COUNTIFS('Priced Usage'!$C$7:$C$3366,$A169)</x:f>
        <x:v>11</x:v>
      </x:c>
      <x:c r="I169" s="30" t="n">
        <x:f>SUMIFS('Priced Usage'!$M$7:$M$3366,'Priced Usage'!$C$7:$C$3366,$A169)</x:f>
        <x:v>12.567120000000001</x:v>
      </x:c>
      <x:c r="J169" s="30" t="n">
        <x:f>SUMIFS('Priced Usage'!$N$7:$N$3366,'Priced Usage'!$C$7:$C$3366,$A169)</x:f>
        <x:v>9.641000000000002</x:v>
      </x:c>
      <x:c r="K169" s="30" t="n">
        <x:f>SUMIFS('Priced Usage'!$O$7:$O$3366,'Priced Usage'!$C$7:$C$3366,$A169)</x:f>
        <x:v>22.20812</x:v>
      </x:c>
      <x:c r="L169" s="29" t="n">
        <x:f>COUNTIFS('Priced Usage'!$C$7:$C$3366,$A169,'Priced Usage'!$I$7:$I$3366,"First attempt")</x:f>
        <x:v>1</x:v>
      </x:c>
      <x:c r="M169" s="29" t="n">
        <x:f>COUNTIFS('Priced Usage'!$C$7:$C$3366,$A169,'Priced Usage'!$I$7:$I$3366,"Followup")</x:f>
        <x:v>8</x:v>
      </x:c>
      <x:c r="N169" s="29" t="n">
        <x:f>COUNTIFS('Priced Usage'!$C$7:$C$3366,$A169,'Priced Usage'!$I$7:$I$3366,"Correction")</x:f>
        <x:v>2</x:v>
      </x:c>
    </x:row>
    <x:row r="170" ht="23" customHeight="1">
      <x:c r="A170" s="17" t="str">
        <x:v>W0164</x:v>
      </x:c>
      <x:c r="B170" s="17" t="str">
        <x:v>C003</x:v>
      </x:c>
      <x:c r="C170" s="17" t="str">
        <x:v>DataFlow</x:v>
      </x:c>
      <x:c r="D170" s="17" t="str">
        <x:v>Lite</x:v>
      </x:c>
      <x:c r="E170" s="29" t="n">
        <x:f>SUMIFS('Priced Usage'!$G$7:$G$3366,'Priced Usage'!$C$7:$C$3366,$A170)</x:f>
        <x:v>260568</x:v>
      </x:c>
      <x:c r="F170" s="29" t="n">
        <x:f>SUMIFS('Priced Usage'!$H$7:$H$3366,'Priced Usage'!$C$7:$C$3366,$A170)</x:f>
        <x:v>44821</x:v>
      </x:c>
      <x:c r="G170" s="29" t="n">
        <x:f>SUMIFS('Priced Usage'!$L$7:$L$3366,'Priced Usage'!$C$7:$C$3366,$A170)</x:f>
        <x:v>305389</x:v>
      </x:c>
      <x:c r="H170" s="29" t="n">
        <x:f>COUNTIFS('Priced Usage'!$C$7:$C$3366,$A170)</x:f>
        <x:v>8</x:v>
      </x:c>
      <x:c r="I170" s="30" t="n">
        <x:f>SUMIFS('Priced Usage'!$M$7:$M$3366,'Priced Usage'!$C$7:$C$3366,$A170)</x:f>
        <x:v>2.60568</x:v>
      </x:c>
      <x:c r="J170" s="30" t="n">
        <x:f>SUMIFS('Priced Usage'!$N$7:$N$3366,'Priced Usage'!$C$7:$C$3366,$A170)</x:f>
        <x:v>1.3446300000000002</x:v>
      </x:c>
      <x:c r="K170" s="30" t="n">
        <x:f>SUMIFS('Priced Usage'!$O$7:$O$3366,'Priced Usage'!$C$7:$C$3366,$A170)</x:f>
        <x:v>3.9503099999999995</x:v>
      </x:c>
      <x:c r="L170" s="29" t="n">
        <x:f>COUNTIFS('Priced Usage'!$C$7:$C$3366,$A170,'Priced Usage'!$I$7:$I$3366,"First attempt")</x:f>
        <x:v>1</x:v>
      </x:c>
      <x:c r="M170" s="29" t="n">
        <x:f>COUNTIFS('Priced Usage'!$C$7:$C$3366,$A170,'Priced Usage'!$I$7:$I$3366,"Followup")</x:f>
        <x:v>6</x:v>
      </x:c>
      <x:c r="N170" s="29" t="n">
        <x:f>COUNTIFS('Priced Usage'!$C$7:$C$3366,$A170,'Priced Usage'!$I$7:$I$3366,"Correction")</x:f>
        <x:v>1</x:v>
      </x:c>
    </x:row>
    <x:row r="171" ht="23" customHeight="1">
      <x:c r="A171" s="17" t="str">
        <x:v>W0165</x:v>
      </x:c>
      <x:c r="B171" s="17" t="str">
        <x:v>C003</x:v>
      </x:c>
      <x:c r="C171" s="17" t="str">
        <x:v>InsightDesk</x:v>
      </x:c>
      <x:c r="D171" s="17" t="str">
        <x:v>Lite</x:v>
      </x:c>
      <x:c r="E171" s="29" t="n">
        <x:f>SUMIFS('Priced Usage'!$G$7:$G$3366,'Priced Usage'!$C$7:$C$3366,$A171)</x:f>
        <x:v>265237</x:v>
      </x:c>
      <x:c r="F171" s="29" t="n">
        <x:f>SUMIFS('Priced Usage'!$H$7:$H$3366,'Priced Usage'!$C$7:$C$3366,$A171)</x:f>
        <x:v>45343</x:v>
      </x:c>
      <x:c r="G171" s="29" t="n">
        <x:f>SUMIFS('Priced Usage'!$L$7:$L$3366,'Priced Usage'!$C$7:$C$3366,$A171)</x:f>
        <x:v>310580</x:v>
      </x:c>
      <x:c r="H171" s="29" t="n">
        <x:f>COUNTIFS('Priced Usage'!$C$7:$C$3366,$A171)</x:f>
        <x:v>12</x:v>
      </x:c>
      <x:c r="I171" s="30" t="n">
        <x:f>SUMIFS('Priced Usage'!$M$7:$M$3366,'Priced Usage'!$C$7:$C$3366,$A171)</x:f>
        <x:v>2.65237</x:v>
      </x:c>
      <x:c r="J171" s="30" t="n">
        <x:f>SUMIFS('Priced Usage'!$N$7:$N$3366,'Priced Usage'!$C$7:$C$3366,$A171)</x:f>
        <x:v>1.36029</x:v>
      </x:c>
      <x:c r="K171" s="30" t="n">
        <x:f>SUMIFS('Priced Usage'!$O$7:$O$3366,'Priced Usage'!$C$7:$C$3366,$A171)</x:f>
        <x:v>4.01266</x:v>
      </x:c>
      <x:c r="L171" s="29" t="n">
        <x:f>COUNTIFS('Priced Usage'!$C$7:$C$3366,$A171,'Priced Usage'!$I$7:$I$3366,"First attempt")</x:f>
        <x:v>1</x:v>
      </x:c>
      <x:c r="M171" s="29" t="n">
        <x:f>COUNTIFS('Priced Usage'!$C$7:$C$3366,$A171,'Priced Usage'!$I$7:$I$3366,"Followup")</x:f>
        <x:v>9</x:v>
      </x:c>
      <x:c r="N171" s="29" t="n">
        <x:f>COUNTIFS('Priced Usage'!$C$7:$C$3366,$A171,'Priced Usage'!$I$7:$I$3366,"Correction")</x:f>
        <x:v>2</x:v>
      </x:c>
    </x:row>
    <x:row r="172" ht="23" customHeight="1">
      <x:c r="A172" s="17" t="str">
        <x:v>W0166</x:v>
      </x:c>
      <x:c r="B172" s="17" t="str">
        <x:v>C003</x:v>
      </x:c>
      <x:c r="C172" s="17" t="str">
        <x:v>DataFlow</x:v>
      </x:c>
      <x:c r="D172" s="17" t="str">
        <x:v>Lite</x:v>
      </x:c>
      <x:c r="E172" s="29" t="n">
        <x:f>SUMIFS('Priced Usage'!$G$7:$G$3366,'Priced Usage'!$C$7:$C$3366,$A172)</x:f>
        <x:v>463519</x:v>
      </x:c>
      <x:c r="F172" s="29" t="n">
        <x:f>SUMIFS('Priced Usage'!$H$7:$H$3366,'Priced Usage'!$C$7:$C$3366,$A172)</x:f>
        <x:v>95333</x:v>
      </x:c>
      <x:c r="G172" s="29" t="n">
        <x:f>SUMIFS('Priced Usage'!$L$7:$L$3366,'Priced Usage'!$C$7:$C$3366,$A172)</x:f>
        <x:v>558852</x:v>
      </x:c>
      <x:c r="H172" s="29" t="n">
        <x:f>COUNTIFS('Priced Usage'!$C$7:$C$3366,$A172)</x:f>
        <x:v>20</x:v>
      </x:c>
      <x:c r="I172" s="30" t="n">
        <x:f>SUMIFS('Priced Usage'!$M$7:$M$3366,'Priced Usage'!$C$7:$C$3366,$A172)</x:f>
        <x:v>4.63519</x:v>
      </x:c>
      <x:c r="J172" s="30" t="n">
        <x:f>SUMIFS('Priced Usage'!$N$7:$N$3366,'Priced Usage'!$C$7:$C$3366,$A172)</x:f>
        <x:v>2.8599899999999994</x:v>
      </x:c>
      <x:c r="K172" s="30" t="n">
        <x:f>SUMIFS('Priced Usage'!$O$7:$O$3366,'Priced Usage'!$C$7:$C$3366,$A172)</x:f>
        <x:v>7.4951799999999995</x:v>
      </x:c>
      <x:c r="L172" s="29" t="n">
        <x:f>COUNTIFS('Priced Usage'!$C$7:$C$3366,$A172,'Priced Usage'!$I$7:$I$3366,"First attempt")</x:f>
        <x:v>1</x:v>
      </x:c>
      <x:c r="M172" s="29" t="n">
        <x:f>COUNTIFS('Priced Usage'!$C$7:$C$3366,$A172,'Priced Usage'!$I$7:$I$3366,"Followup")</x:f>
        <x:v>16</x:v>
      </x:c>
      <x:c r="N172" s="29" t="n">
        <x:f>COUNTIFS('Priced Usage'!$C$7:$C$3366,$A172,'Priced Usage'!$I$7:$I$3366,"Correction")</x:f>
        <x:v>3</x:v>
      </x:c>
    </x:row>
    <x:row r="173" ht="23" customHeight="1">
      <x:c r="A173" s="17" t="str">
        <x:v>W0167</x:v>
      </x:c>
      <x:c r="B173" s="17" t="str">
        <x:v>C003</x:v>
      </x:c>
      <x:c r="C173" s="17" t="str">
        <x:v>InsightDesk</x:v>
      </x:c>
      <x:c r="D173" s="17" t="str">
        <x:v>Pro</x:v>
      </x:c>
      <x:c r="E173" s="29" t="n">
        <x:f>SUMIFS('Priced Usage'!$G$7:$G$3366,'Priced Usage'!$C$7:$C$3366,$A173)</x:f>
        <x:v>176614</x:v>
      </x:c>
      <x:c r="F173" s="29" t="n">
        <x:f>SUMIFS('Priced Usage'!$H$7:$H$3366,'Priced Usage'!$C$7:$C$3366,$A173)</x:f>
        <x:v>94315</x:v>
      </x:c>
      <x:c r="G173" s="29" t="n">
        <x:f>SUMIFS('Priced Usage'!$L$7:$L$3366,'Priced Usage'!$C$7:$C$3366,$A173)</x:f>
        <x:v>270929</x:v>
      </x:c>
      <x:c r="H173" s="29" t="n">
        <x:f>COUNTIFS('Priced Usage'!$C$7:$C$3366,$A173)</x:f>
        <x:v>9</x:v>
      </x:c>
      <x:c r="I173" s="30" t="n">
        <x:f>SUMIFS('Priced Usage'!$M$7:$M$3366,'Priced Usage'!$C$7:$C$3366,$A173)</x:f>
        <x:v>7.06456</x:v>
      </x:c>
      <x:c r="J173" s="30" t="n">
        <x:f>SUMIFS('Priced Usage'!$N$7:$N$3366,'Priced Usage'!$C$7:$C$3366,$A173)</x:f>
        <x:v>9.4315</x:v>
      </x:c>
      <x:c r="K173" s="30" t="n">
        <x:f>SUMIFS('Priced Usage'!$O$7:$O$3366,'Priced Usage'!$C$7:$C$3366,$A173)</x:f>
        <x:v>16.49606</x:v>
      </x:c>
      <x:c r="L173" s="29" t="n">
        <x:f>COUNTIFS('Priced Usage'!$C$7:$C$3366,$A173,'Priced Usage'!$I$7:$I$3366,"First attempt")</x:f>
        <x:v>1</x:v>
      </x:c>
      <x:c r="M173" s="29" t="n">
        <x:f>COUNTIFS('Priced Usage'!$C$7:$C$3366,$A173,'Priced Usage'!$I$7:$I$3366,"Followup")</x:f>
        <x:v>6</x:v>
      </x:c>
      <x:c r="N173" s="29" t="n">
        <x:f>COUNTIFS('Priced Usage'!$C$7:$C$3366,$A173,'Priced Usage'!$I$7:$I$3366,"Correction")</x:f>
        <x:v>2</x:v>
      </x:c>
    </x:row>
    <x:row r="174" ht="23" customHeight="1">
      <x:c r="A174" s="17" t="str">
        <x:v>W0168</x:v>
      </x:c>
      <x:c r="B174" s="17" t="str">
        <x:v>C003</x:v>
      </x:c>
      <x:c r="C174" s="17" t="str">
        <x:v>CopyStudio</x:v>
      </x:c>
      <x:c r="D174" s="17" t="str">
        <x:v>Pro</x:v>
      </x:c>
      <x:c r="E174" s="29" t="n">
        <x:f>SUMIFS('Priced Usage'!$G$7:$G$3366,'Priced Usage'!$C$7:$C$3366,$A174)</x:f>
        <x:v>150615</x:v>
      </x:c>
      <x:c r="F174" s="29" t="n">
        <x:f>SUMIFS('Priced Usage'!$H$7:$H$3366,'Priced Usage'!$C$7:$C$3366,$A174)</x:f>
        <x:v>65620</x:v>
      </x:c>
      <x:c r="G174" s="29" t="n">
        <x:f>SUMIFS('Priced Usage'!$L$7:$L$3366,'Priced Usage'!$C$7:$C$3366,$A174)</x:f>
        <x:v>216235</x:v>
      </x:c>
      <x:c r="H174" s="29" t="n">
        <x:f>COUNTIFS('Priced Usage'!$C$7:$C$3366,$A174)</x:f>
        <x:v>9</x:v>
      </x:c>
      <x:c r="I174" s="30" t="n">
        <x:f>SUMIFS('Priced Usage'!$M$7:$M$3366,'Priced Usage'!$C$7:$C$3366,$A174)</x:f>
        <x:v>6.0246</x:v>
      </x:c>
      <x:c r="J174" s="30" t="n">
        <x:f>SUMIFS('Priced Usage'!$N$7:$N$3366,'Priced Usage'!$C$7:$C$3366,$A174)</x:f>
        <x:v>6.562000000000001</x:v>
      </x:c>
      <x:c r="K174" s="30" t="n">
        <x:f>SUMIFS('Priced Usage'!$O$7:$O$3366,'Priced Usage'!$C$7:$C$3366,$A174)</x:f>
        <x:v>12.5866</x:v>
      </x:c>
      <x:c r="L174" s="29" t="n">
        <x:f>COUNTIFS('Priced Usage'!$C$7:$C$3366,$A174,'Priced Usage'!$I$7:$I$3366,"First attempt")</x:f>
        <x:v>1</x:v>
      </x:c>
      <x:c r="M174" s="29" t="n">
        <x:f>COUNTIFS('Priced Usage'!$C$7:$C$3366,$A174,'Priced Usage'!$I$7:$I$3366,"Followup")</x:f>
        <x:v>6</x:v>
      </x:c>
      <x:c r="N174" s="29" t="n">
        <x:f>COUNTIFS('Priced Usage'!$C$7:$C$3366,$A174,'Priced Usage'!$I$7:$I$3366,"Correction")</x:f>
        <x:v>2</x:v>
      </x:c>
    </x:row>
    <x:row r="175" ht="23" customHeight="1">
      <x:c r="A175" s="17" t="str">
        <x:v>W0169</x:v>
      </x:c>
      <x:c r="B175" s="17" t="str">
        <x:v>C003</x:v>
      </x:c>
      <x:c r="C175" s="17" t="str">
        <x:v>CampaignChat</x:v>
      </x:c>
      <x:c r="D175" s="17" t="str">
        <x:v>Lite</x:v>
      </x:c>
      <x:c r="E175" s="29" t="n">
        <x:f>SUMIFS('Priced Usage'!$G$7:$G$3366,'Priced Usage'!$C$7:$C$3366,$A175)</x:f>
        <x:v>461381</x:v>
      </x:c>
      <x:c r="F175" s="29" t="n">
        <x:f>SUMIFS('Priced Usage'!$H$7:$H$3366,'Priced Usage'!$C$7:$C$3366,$A175)</x:f>
        <x:v>127440</x:v>
      </x:c>
      <x:c r="G175" s="29" t="n">
        <x:f>SUMIFS('Priced Usage'!$L$7:$L$3366,'Priced Usage'!$C$7:$C$3366,$A175)</x:f>
        <x:v>588821</x:v>
      </x:c>
      <x:c r="H175" s="29" t="n">
        <x:f>COUNTIFS('Priced Usage'!$C$7:$C$3366,$A175)</x:f>
        <x:v>18</x:v>
      </x:c>
      <x:c r="I175" s="30" t="n">
        <x:f>SUMIFS('Priced Usage'!$M$7:$M$3366,'Priced Usage'!$C$7:$C$3366,$A175)</x:f>
        <x:v>4.61381</x:v>
      </x:c>
      <x:c r="J175" s="30" t="n">
        <x:f>SUMIFS('Priced Usage'!$N$7:$N$3366,'Priced Usage'!$C$7:$C$3366,$A175)</x:f>
        <x:v>3.8232</x:v>
      </x:c>
      <x:c r="K175" s="30" t="n">
        <x:f>SUMIFS('Priced Usage'!$O$7:$O$3366,'Priced Usage'!$C$7:$C$3366,$A175)</x:f>
        <x:v>8.43701</x:v>
      </x:c>
      <x:c r="L175" s="29" t="n">
        <x:f>COUNTIFS('Priced Usage'!$C$7:$C$3366,$A175,'Priced Usage'!$I$7:$I$3366,"First attempt")</x:f>
        <x:v>1</x:v>
      </x:c>
      <x:c r="M175" s="29" t="n">
        <x:f>COUNTIFS('Priced Usage'!$C$7:$C$3366,$A175,'Priced Usage'!$I$7:$I$3366,"Followup")</x:f>
        <x:v>13</x:v>
      </x:c>
      <x:c r="N175" s="29" t="n">
        <x:f>COUNTIFS('Priced Usage'!$C$7:$C$3366,$A175,'Priced Usage'!$I$7:$I$3366,"Correction")</x:f>
        <x:v>4</x:v>
      </x:c>
    </x:row>
    <x:row r="176" ht="23" customHeight="1">
      <x:c r="A176" s="17" t="str">
        <x:v>W0170</x:v>
      </x:c>
      <x:c r="B176" s="17" t="str">
        <x:v>C003</x:v>
      </x:c>
      <x:c r="C176" s="17" t="str">
        <x:v>CampaignChat</x:v>
      </x:c>
      <x:c r="D176" s="17" t="str">
        <x:v>Pro</x:v>
      </x:c>
      <x:c r="E176" s="29" t="n">
        <x:f>SUMIFS('Priced Usage'!$G$7:$G$3366,'Priced Usage'!$C$7:$C$3366,$A176)</x:f>
        <x:v>242654</x:v>
      </x:c>
      <x:c r="F176" s="29" t="n">
        <x:f>SUMIFS('Priced Usage'!$H$7:$H$3366,'Priced Usage'!$C$7:$C$3366,$A176)</x:f>
        <x:v>58221</x:v>
      </x:c>
      <x:c r="G176" s="29" t="n">
        <x:f>SUMIFS('Priced Usage'!$L$7:$L$3366,'Priced Usage'!$C$7:$C$3366,$A176)</x:f>
        <x:v>300875</x:v>
      </x:c>
      <x:c r="H176" s="29" t="n">
        <x:f>COUNTIFS('Priced Usage'!$C$7:$C$3366,$A176)</x:f>
        <x:v>12</x:v>
      </x:c>
      <x:c r="I176" s="30" t="n">
        <x:f>SUMIFS('Priced Usage'!$M$7:$M$3366,'Priced Usage'!$C$7:$C$3366,$A176)</x:f>
        <x:v>9.706159999999999</x:v>
      </x:c>
      <x:c r="J176" s="30" t="n">
        <x:f>SUMIFS('Priced Usage'!$N$7:$N$3366,'Priced Usage'!$C$7:$C$3366,$A176)</x:f>
        <x:v>5.8221</x:v>
      </x:c>
      <x:c r="K176" s="30" t="n">
        <x:f>SUMIFS('Priced Usage'!$O$7:$O$3366,'Priced Usage'!$C$7:$C$3366,$A176)</x:f>
        <x:v>15.528260000000001</x:v>
      </x:c>
      <x:c r="L176" s="29" t="n">
        <x:f>COUNTIFS('Priced Usage'!$C$7:$C$3366,$A176,'Priced Usage'!$I$7:$I$3366,"First attempt")</x:f>
        <x:v>1</x:v>
      </x:c>
      <x:c r="M176" s="29" t="n">
        <x:f>COUNTIFS('Priced Usage'!$C$7:$C$3366,$A176,'Priced Usage'!$I$7:$I$3366,"Followup")</x:f>
        <x:v>9</x:v>
      </x:c>
      <x:c r="N176" s="29" t="n">
        <x:f>COUNTIFS('Priced Usage'!$C$7:$C$3366,$A176,'Priced Usage'!$I$7:$I$3366,"Correction")</x:f>
        <x:v>2</x:v>
      </x:c>
    </x:row>
    <x:row r="177" ht="23" customHeight="1">
      <x:c r="A177" s="17" t="str">
        <x:v>W0171</x:v>
      </x:c>
      <x:c r="B177" s="17" t="str">
        <x:v>C003</x:v>
      </x:c>
      <x:c r="C177" s="17" t="str">
        <x:v>DataFlow</x:v>
      </x:c>
      <x:c r="D177" s="17" t="str">
        <x:v>Lite</x:v>
      </x:c>
      <x:c r="E177" s="29" t="n">
        <x:f>SUMIFS('Priced Usage'!$G$7:$G$3366,'Priced Usage'!$C$7:$C$3366,$A177)</x:f>
        <x:v>161506</x:v>
      </x:c>
      <x:c r="F177" s="29" t="n">
        <x:f>SUMIFS('Priced Usage'!$H$7:$H$3366,'Priced Usage'!$C$7:$C$3366,$A177)</x:f>
        <x:v>68623</x:v>
      </x:c>
      <x:c r="G177" s="29" t="n">
        <x:f>SUMIFS('Priced Usage'!$L$7:$L$3366,'Priced Usage'!$C$7:$C$3366,$A177)</x:f>
        <x:v>230129</x:v>
      </x:c>
      <x:c r="H177" s="29" t="n">
        <x:f>COUNTIFS('Priced Usage'!$C$7:$C$3366,$A177)</x:f>
        <x:v>11</x:v>
      </x:c>
      <x:c r="I177" s="30" t="n">
        <x:f>SUMIFS('Priced Usage'!$M$7:$M$3366,'Priced Usage'!$C$7:$C$3366,$A177)</x:f>
        <x:v>1.61506</x:v>
      </x:c>
      <x:c r="J177" s="30" t="n">
        <x:f>SUMIFS('Priced Usage'!$N$7:$N$3366,'Priced Usage'!$C$7:$C$3366,$A177)</x:f>
        <x:v>2.05869</x:v>
      </x:c>
      <x:c r="K177" s="30" t="n">
        <x:f>SUMIFS('Priced Usage'!$O$7:$O$3366,'Priced Usage'!$C$7:$C$3366,$A177)</x:f>
        <x:v>3.67375</x:v>
      </x:c>
      <x:c r="L177" s="29" t="n">
        <x:f>COUNTIFS('Priced Usage'!$C$7:$C$3366,$A177,'Priced Usage'!$I$7:$I$3366,"First attempt")</x:f>
        <x:v>1</x:v>
      </x:c>
      <x:c r="M177" s="29" t="n">
        <x:f>COUNTIFS('Priced Usage'!$C$7:$C$3366,$A177,'Priced Usage'!$I$7:$I$3366,"Followup")</x:f>
        <x:v>7</x:v>
      </x:c>
      <x:c r="N177" s="29" t="n">
        <x:f>COUNTIFS('Priced Usage'!$C$7:$C$3366,$A177,'Priced Usage'!$I$7:$I$3366,"Correction")</x:f>
        <x:v>3</x:v>
      </x:c>
    </x:row>
    <x:row r="178" ht="23" customHeight="1">
      <x:c r="A178" s="17" t="str">
        <x:v>W0172</x:v>
      </x:c>
      <x:c r="B178" s="17" t="str">
        <x:v>C003</x:v>
      </x:c>
      <x:c r="C178" s="17" t="str">
        <x:v>DataFlow</x:v>
      </x:c>
      <x:c r="D178" s="17" t="str">
        <x:v>Lite</x:v>
      </x:c>
      <x:c r="E178" s="29" t="n">
        <x:f>SUMIFS('Priced Usage'!$G$7:$G$3366,'Priced Usage'!$C$7:$C$3366,$A178)</x:f>
        <x:v>240206</x:v>
      </x:c>
      <x:c r="F178" s="29" t="n">
        <x:f>SUMIFS('Priced Usage'!$H$7:$H$3366,'Priced Usage'!$C$7:$C$3366,$A178)</x:f>
        <x:v>94964</x:v>
      </x:c>
      <x:c r="G178" s="29" t="n">
        <x:f>SUMIFS('Priced Usage'!$L$7:$L$3366,'Priced Usage'!$C$7:$C$3366,$A178)</x:f>
        <x:v>335170</x:v>
      </x:c>
      <x:c r="H178" s="29" t="n">
        <x:f>COUNTIFS('Priced Usage'!$C$7:$C$3366,$A178)</x:f>
        <x:v>16</x:v>
      </x:c>
      <x:c r="I178" s="30" t="n">
        <x:f>SUMIFS('Priced Usage'!$M$7:$M$3366,'Priced Usage'!$C$7:$C$3366,$A178)</x:f>
        <x:v>2.4020599999999996</x:v>
      </x:c>
      <x:c r="J178" s="30" t="n">
        <x:f>SUMIFS('Priced Usage'!$N$7:$N$3366,'Priced Usage'!$C$7:$C$3366,$A178)</x:f>
        <x:v>2.84892</x:v>
      </x:c>
      <x:c r="K178" s="30" t="n">
        <x:f>SUMIFS('Priced Usage'!$O$7:$O$3366,'Priced Usage'!$C$7:$C$3366,$A178)</x:f>
        <x:v>5.250979999999999</x:v>
      </x:c>
      <x:c r="L178" s="29" t="n">
        <x:f>COUNTIFS('Priced Usage'!$C$7:$C$3366,$A178,'Priced Usage'!$I$7:$I$3366,"First attempt")</x:f>
        <x:v>1</x:v>
      </x:c>
      <x:c r="M178" s="29" t="n">
        <x:f>COUNTIFS('Priced Usage'!$C$7:$C$3366,$A178,'Priced Usage'!$I$7:$I$3366,"Followup")</x:f>
        <x:v>12</x:v>
      </x:c>
      <x:c r="N178" s="29" t="n">
        <x:f>COUNTIFS('Priced Usage'!$C$7:$C$3366,$A178,'Priced Usage'!$I$7:$I$3366,"Correction")</x:f>
        <x:v>3</x:v>
      </x:c>
    </x:row>
    <x:row r="179" ht="23" customHeight="1">
      <x:c r="A179" s="17" t="str">
        <x:v>W0173</x:v>
      </x:c>
      <x:c r="B179" s="17" t="str">
        <x:v>C003</x:v>
      </x:c>
      <x:c r="C179" s="17" t="str">
        <x:v>InsightDesk</x:v>
      </x:c>
      <x:c r="D179" s="17" t="str">
        <x:v>Pro</x:v>
      </x:c>
      <x:c r="E179" s="29" t="n">
        <x:f>SUMIFS('Priced Usage'!$G$7:$G$3366,'Priced Usage'!$C$7:$C$3366,$A179)</x:f>
        <x:v>206419</x:v>
      </x:c>
      <x:c r="F179" s="29" t="n">
        <x:f>SUMIFS('Priced Usage'!$H$7:$H$3366,'Priced Usage'!$C$7:$C$3366,$A179)</x:f>
        <x:v>94862</x:v>
      </x:c>
      <x:c r="G179" s="29" t="n">
        <x:f>SUMIFS('Priced Usage'!$L$7:$L$3366,'Priced Usage'!$C$7:$C$3366,$A179)</x:f>
        <x:v>301281</x:v>
      </x:c>
      <x:c r="H179" s="29" t="n">
        <x:f>COUNTIFS('Priced Usage'!$C$7:$C$3366,$A179)</x:f>
        <x:v>13</x:v>
      </x:c>
      <x:c r="I179" s="30" t="n">
        <x:f>SUMIFS('Priced Usage'!$M$7:$M$3366,'Priced Usage'!$C$7:$C$3366,$A179)</x:f>
        <x:v>8.25676</x:v>
      </x:c>
      <x:c r="J179" s="30" t="n">
        <x:f>SUMIFS('Priced Usage'!$N$7:$N$3366,'Priced Usage'!$C$7:$C$3366,$A179)</x:f>
        <x:v>9.4862</x:v>
      </x:c>
      <x:c r="K179" s="30" t="n">
        <x:f>SUMIFS('Priced Usage'!$O$7:$O$3366,'Priced Usage'!$C$7:$C$3366,$A179)</x:f>
        <x:v>17.74296</x:v>
      </x:c>
      <x:c r="L179" s="29" t="n">
        <x:f>COUNTIFS('Priced Usage'!$C$7:$C$3366,$A179,'Priced Usage'!$I$7:$I$3366,"First attempt")</x:f>
        <x:v>1</x:v>
      </x:c>
      <x:c r="M179" s="29" t="n">
        <x:f>COUNTIFS('Priced Usage'!$C$7:$C$3366,$A179,'Priced Usage'!$I$7:$I$3366,"Followup")</x:f>
        <x:v>9</x:v>
      </x:c>
      <x:c r="N179" s="29" t="n">
        <x:f>COUNTIFS('Priced Usage'!$C$7:$C$3366,$A179,'Priced Usage'!$I$7:$I$3366,"Correction")</x:f>
        <x:v>3</x:v>
      </x:c>
    </x:row>
    <x:row r="180" ht="23" customHeight="1">
      <x:c r="A180" s="17" t="str">
        <x:v>W0174</x:v>
      </x:c>
      <x:c r="B180" s="17" t="str">
        <x:v>C003</x:v>
      </x:c>
      <x:c r="C180" s="17" t="str">
        <x:v>InsightDesk</x:v>
      </x:c>
      <x:c r="D180" s="17" t="str">
        <x:v>Lite</x:v>
      </x:c>
      <x:c r="E180" s="29" t="n">
        <x:f>SUMIFS('Priced Usage'!$G$7:$G$3366,'Priced Usage'!$C$7:$C$3366,$A180)</x:f>
        <x:v>244023</x:v>
      </x:c>
      <x:c r="F180" s="29" t="n">
        <x:f>SUMIFS('Priced Usage'!$H$7:$H$3366,'Priced Usage'!$C$7:$C$3366,$A180)</x:f>
        <x:v>68104</x:v>
      </x:c>
      <x:c r="G180" s="29" t="n">
        <x:f>SUMIFS('Priced Usage'!$L$7:$L$3366,'Priced Usage'!$C$7:$C$3366,$A180)</x:f>
        <x:v>312127</x:v>
      </x:c>
      <x:c r="H180" s="29" t="n">
        <x:f>COUNTIFS('Priced Usage'!$C$7:$C$3366,$A180)</x:f>
        <x:v>10</x:v>
      </x:c>
      <x:c r="I180" s="30" t="n">
        <x:f>SUMIFS('Priced Usage'!$M$7:$M$3366,'Priced Usage'!$C$7:$C$3366,$A180)</x:f>
        <x:v>2.44023</x:v>
      </x:c>
      <x:c r="J180" s="30" t="n">
        <x:f>SUMIFS('Priced Usage'!$N$7:$N$3366,'Priced Usage'!$C$7:$C$3366,$A180)</x:f>
        <x:v>2.04312</x:v>
      </x:c>
      <x:c r="K180" s="30" t="n">
        <x:f>SUMIFS('Priced Usage'!$O$7:$O$3366,'Priced Usage'!$C$7:$C$3366,$A180)</x:f>
        <x:v>4.48335</x:v>
      </x:c>
      <x:c r="L180" s="29" t="n">
        <x:f>COUNTIFS('Priced Usage'!$C$7:$C$3366,$A180,'Priced Usage'!$I$7:$I$3366,"First attempt")</x:f>
        <x:v>1</x:v>
      </x:c>
      <x:c r="M180" s="29" t="n">
        <x:f>COUNTIFS('Priced Usage'!$C$7:$C$3366,$A180,'Priced Usage'!$I$7:$I$3366,"Followup")</x:f>
        <x:v>7</x:v>
      </x:c>
      <x:c r="N180" s="29" t="n">
        <x:f>COUNTIFS('Priced Usage'!$C$7:$C$3366,$A180,'Priced Usage'!$I$7:$I$3366,"Correction")</x:f>
        <x:v>2</x:v>
      </x:c>
    </x:row>
    <x:row r="181" ht="23" customHeight="1">
      <x:c r="A181" s="17" t="str">
        <x:v>W0175</x:v>
      </x:c>
      <x:c r="B181" s="17" t="str">
        <x:v>C003</x:v>
      </x:c>
      <x:c r="C181" s="17" t="str">
        <x:v>CopyStudio</x:v>
      </x:c>
      <x:c r="D181" s="17" t="str">
        <x:v>Lite</x:v>
      </x:c>
      <x:c r="E181" s="29" t="n">
        <x:f>SUMIFS('Priced Usage'!$G$7:$G$3366,'Priced Usage'!$C$7:$C$3366,$A181)</x:f>
        <x:v>494375</x:v>
      </x:c>
      <x:c r="F181" s="29" t="n">
        <x:f>SUMIFS('Priced Usage'!$H$7:$H$3366,'Priced Usage'!$C$7:$C$3366,$A181)</x:f>
        <x:v>140615</x:v>
      </x:c>
      <x:c r="G181" s="29" t="n">
        <x:f>SUMIFS('Priced Usage'!$L$7:$L$3366,'Priced Usage'!$C$7:$C$3366,$A181)</x:f>
        <x:v>634990</x:v>
      </x:c>
      <x:c r="H181" s="29" t="n">
        <x:f>COUNTIFS('Priced Usage'!$C$7:$C$3366,$A181)</x:f>
        <x:v>19</x:v>
      </x:c>
      <x:c r="I181" s="30" t="n">
        <x:f>SUMIFS('Priced Usage'!$M$7:$M$3366,'Priced Usage'!$C$7:$C$3366,$A181)</x:f>
        <x:v>4.9437500000000005</x:v>
      </x:c>
      <x:c r="J181" s="30" t="n">
        <x:f>SUMIFS('Priced Usage'!$N$7:$N$3366,'Priced Usage'!$C$7:$C$3366,$A181)</x:f>
        <x:v>4.218450000000001</x:v>
      </x:c>
      <x:c r="K181" s="30" t="n">
        <x:f>SUMIFS('Priced Usage'!$O$7:$O$3366,'Priced Usage'!$C$7:$C$3366,$A181)</x:f>
        <x:v>9.162199999999999</x:v>
      </x:c>
      <x:c r="L181" s="29" t="n">
        <x:f>COUNTIFS('Priced Usage'!$C$7:$C$3366,$A181,'Priced Usage'!$I$7:$I$3366,"First attempt")</x:f>
        <x:v>1</x:v>
      </x:c>
      <x:c r="M181" s="29" t="n">
        <x:f>COUNTIFS('Priced Usage'!$C$7:$C$3366,$A181,'Priced Usage'!$I$7:$I$3366,"Followup")</x:f>
        <x:v>15</x:v>
      </x:c>
      <x:c r="N181" s="29" t="n">
        <x:f>COUNTIFS('Priced Usage'!$C$7:$C$3366,$A181,'Priced Usage'!$I$7:$I$3366,"Correction")</x:f>
        <x:v>3</x:v>
      </x:c>
    </x:row>
    <x:row r="182" ht="23" customHeight="1">
      <x:c r="A182" s="17" t="str">
        <x:v>W0176</x:v>
      </x:c>
      <x:c r="B182" s="17" t="str">
        <x:v>C003</x:v>
      </x:c>
      <x:c r="C182" s="17" t="str">
        <x:v>CopyStudio</x:v>
      </x:c>
      <x:c r="D182" s="17" t="str">
        <x:v>Pro</x:v>
      </x:c>
      <x:c r="E182" s="29" t="n">
        <x:f>SUMIFS('Priced Usage'!$G$7:$G$3366,'Priced Usage'!$C$7:$C$3366,$A182)</x:f>
        <x:v>396801</x:v>
      </x:c>
      <x:c r="F182" s="29" t="n">
        <x:f>SUMIFS('Priced Usage'!$H$7:$H$3366,'Priced Usage'!$C$7:$C$3366,$A182)</x:f>
        <x:v>88254</x:v>
      </x:c>
      <x:c r="G182" s="29" t="n">
        <x:f>SUMIFS('Priced Usage'!$L$7:$L$3366,'Priced Usage'!$C$7:$C$3366,$A182)</x:f>
        <x:v>485055</x:v>
      </x:c>
      <x:c r="H182" s="29" t="n">
        <x:f>COUNTIFS('Priced Usage'!$C$7:$C$3366,$A182)</x:f>
        <x:v>14</x:v>
      </x:c>
      <x:c r="I182" s="30" t="n">
        <x:f>SUMIFS('Priced Usage'!$M$7:$M$3366,'Priced Usage'!$C$7:$C$3366,$A182)</x:f>
        <x:v>15.872039999999998</x:v>
      </x:c>
      <x:c r="J182" s="30" t="n">
        <x:f>SUMIFS('Priced Usage'!$N$7:$N$3366,'Priced Usage'!$C$7:$C$3366,$A182)</x:f>
        <x:v>8.8254</x:v>
      </x:c>
      <x:c r="K182" s="30" t="n">
        <x:f>SUMIFS('Priced Usage'!$O$7:$O$3366,'Priced Usage'!$C$7:$C$3366,$A182)</x:f>
        <x:v>24.69744</x:v>
      </x:c>
      <x:c r="L182" s="29" t="n">
        <x:f>COUNTIFS('Priced Usage'!$C$7:$C$3366,$A182,'Priced Usage'!$I$7:$I$3366,"First attempt")</x:f>
        <x:v>1</x:v>
      </x:c>
      <x:c r="M182" s="29" t="n">
        <x:f>COUNTIFS('Priced Usage'!$C$7:$C$3366,$A182,'Priced Usage'!$I$7:$I$3366,"Followup")</x:f>
        <x:v>9</x:v>
      </x:c>
      <x:c r="N182" s="29" t="n">
        <x:f>COUNTIFS('Priced Usage'!$C$7:$C$3366,$A182,'Priced Usage'!$I$7:$I$3366,"Correction")</x:f>
        <x:v>4</x:v>
      </x:c>
    </x:row>
    <x:row r="183" ht="23" customHeight="1">
      <x:c r="A183" s="17" t="str">
        <x:v>W0177</x:v>
      </x:c>
      <x:c r="B183" s="17" t="str">
        <x:v>C003</x:v>
      </x:c>
      <x:c r="C183" s="17" t="str">
        <x:v>CampaignChat</x:v>
      </x:c>
      <x:c r="D183" s="17" t="str">
        <x:v>Lite</x:v>
      </x:c>
      <x:c r="E183" s="29" t="n">
        <x:f>SUMIFS('Priced Usage'!$G$7:$G$3366,'Priced Usage'!$C$7:$C$3366,$A183)</x:f>
        <x:v>387989</x:v>
      </x:c>
      <x:c r="F183" s="29" t="n">
        <x:f>SUMIFS('Priced Usage'!$H$7:$H$3366,'Priced Usage'!$C$7:$C$3366,$A183)</x:f>
        <x:v>34670</x:v>
      </x:c>
      <x:c r="G183" s="29" t="n">
        <x:f>SUMIFS('Priced Usage'!$L$7:$L$3366,'Priced Usage'!$C$7:$C$3366,$A183)</x:f>
        <x:v>422659</x:v>
      </x:c>
      <x:c r="H183" s="29" t="n">
        <x:f>COUNTIFS('Priced Usage'!$C$7:$C$3366,$A183)</x:f>
        <x:v>11</x:v>
      </x:c>
      <x:c r="I183" s="30" t="n">
        <x:f>SUMIFS('Priced Usage'!$M$7:$M$3366,'Priced Usage'!$C$7:$C$3366,$A183)</x:f>
        <x:v>3.87989</x:v>
      </x:c>
      <x:c r="J183" s="30" t="n">
        <x:f>SUMIFS('Priced Usage'!$N$7:$N$3366,'Priced Usage'!$C$7:$C$3366,$A183)</x:f>
        <x:v>1.0401</x:v>
      </x:c>
      <x:c r="K183" s="30" t="n">
        <x:f>SUMIFS('Priced Usage'!$O$7:$O$3366,'Priced Usage'!$C$7:$C$3366,$A183)</x:f>
        <x:v>4.91999</x:v>
      </x:c>
      <x:c r="L183" s="29" t="n">
        <x:f>COUNTIFS('Priced Usage'!$C$7:$C$3366,$A183,'Priced Usage'!$I$7:$I$3366,"First attempt")</x:f>
        <x:v>1</x:v>
      </x:c>
      <x:c r="M183" s="29" t="n">
        <x:f>COUNTIFS('Priced Usage'!$C$7:$C$3366,$A183,'Priced Usage'!$I$7:$I$3366,"Followup")</x:f>
        <x:v>7</x:v>
      </x:c>
      <x:c r="N183" s="29" t="n">
        <x:f>COUNTIFS('Priced Usage'!$C$7:$C$3366,$A183,'Priced Usage'!$I$7:$I$3366,"Correction")</x:f>
        <x:v>3</x:v>
      </x:c>
    </x:row>
    <x:row r="184" ht="23" customHeight="1">
      <x:c r="A184" s="17" t="str">
        <x:v>W0178</x:v>
      </x:c>
      <x:c r="B184" s="17" t="str">
        <x:v>C003</x:v>
      </x:c>
      <x:c r="C184" s="17" t="str">
        <x:v>CampaignChat</x:v>
      </x:c>
      <x:c r="D184" s="17" t="str">
        <x:v>Lite</x:v>
      </x:c>
      <x:c r="E184" s="29" t="n">
        <x:f>SUMIFS('Priced Usage'!$G$7:$G$3366,'Priced Usage'!$C$7:$C$3366,$A184)</x:f>
        <x:v>292505</x:v>
      </x:c>
      <x:c r="F184" s="29" t="n">
        <x:f>SUMIFS('Priced Usage'!$H$7:$H$3366,'Priced Usage'!$C$7:$C$3366,$A184)</x:f>
        <x:v>87929</x:v>
      </x:c>
      <x:c r="G184" s="29" t="n">
        <x:f>SUMIFS('Priced Usage'!$L$7:$L$3366,'Priced Usage'!$C$7:$C$3366,$A184)</x:f>
        <x:v>380434</x:v>
      </x:c>
      <x:c r="H184" s="29" t="n">
        <x:f>COUNTIFS('Priced Usage'!$C$7:$C$3366,$A184)</x:f>
        <x:v>13</x:v>
      </x:c>
      <x:c r="I184" s="30" t="n">
        <x:f>SUMIFS('Priced Usage'!$M$7:$M$3366,'Priced Usage'!$C$7:$C$3366,$A184)</x:f>
        <x:v>2.9250499999999997</x:v>
      </x:c>
      <x:c r="J184" s="30" t="n">
        <x:f>SUMIFS('Priced Usage'!$N$7:$N$3366,'Priced Usage'!$C$7:$C$3366,$A184)</x:f>
        <x:v>2.6378700000000004</x:v>
      </x:c>
      <x:c r="K184" s="30" t="n">
        <x:f>SUMIFS('Priced Usage'!$O$7:$O$3366,'Priced Usage'!$C$7:$C$3366,$A184)</x:f>
        <x:v>5.56292</x:v>
      </x:c>
      <x:c r="L184" s="29" t="n">
        <x:f>COUNTIFS('Priced Usage'!$C$7:$C$3366,$A184,'Priced Usage'!$I$7:$I$3366,"First attempt")</x:f>
        <x:v>1</x:v>
      </x:c>
      <x:c r="M184" s="29" t="n">
        <x:f>COUNTIFS('Priced Usage'!$C$7:$C$3366,$A184,'Priced Usage'!$I$7:$I$3366,"Followup")</x:f>
        <x:v>9</x:v>
      </x:c>
      <x:c r="N184" s="29" t="n">
        <x:f>COUNTIFS('Priced Usage'!$C$7:$C$3366,$A184,'Priced Usage'!$I$7:$I$3366,"Correction")</x:f>
        <x:v>3</x:v>
      </x:c>
    </x:row>
    <x:row r="185" ht="23" customHeight="1">
      <x:c r="A185" s="17" t="str">
        <x:v>W0179</x:v>
      </x:c>
      <x:c r="B185" s="17" t="str">
        <x:v>C003</x:v>
      </x:c>
      <x:c r="C185" s="17" t="str">
        <x:v>DataFlow</x:v>
      </x:c>
      <x:c r="D185" s="17" t="str">
        <x:v>Lite</x:v>
      </x:c>
      <x:c r="E185" s="29" t="n">
        <x:f>SUMIFS('Priced Usage'!$G$7:$G$3366,'Priced Usage'!$C$7:$C$3366,$A185)</x:f>
        <x:v>319431</x:v>
      </x:c>
      <x:c r="F185" s="29" t="n">
        <x:f>SUMIFS('Priced Usage'!$H$7:$H$3366,'Priced Usage'!$C$7:$C$3366,$A185)</x:f>
        <x:v>48327</x:v>
      </x:c>
      <x:c r="G185" s="29" t="n">
        <x:f>SUMIFS('Priced Usage'!$L$7:$L$3366,'Priced Usage'!$C$7:$C$3366,$A185)</x:f>
        <x:v>367758</x:v>
      </x:c>
      <x:c r="H185" s="29" t="n">
        <x:f>COUNTIFS('Priced Usage'!$C$7:$C$3366,$A185)</x:f>
        <x:v>12</x:v>
      </x:c>
      <x:c r="I185" s="30" t="n">
        <x:f>SUMIFS('Priced Usage'!$M$7:$M$3366,'Priced Usage'!$C$7:$C$3366,$A185)</x:f>
        <x:v>3.194310000000001</x:v>
      </x:c>
      <x:c r="J185" s="30" t="n">
        <x:f>SUMIFS('Priced Usage'!$N$7:$N$3366,'Priced Usage'!$C$7:$C$3366,$A185)</x:f>
        <x:v>1.44981</x:v>
      </x:c>
      <x:c r="K185" s="30" t="n">
        <x:f>SUMIFS('Priced Usage'!$O$7:$O$3366,'Priced Usage'!$C$7:$C$3366,$A185)</x:f>
        <x:v>4.644120000000001</x:v>
      </x:c>
      <x:c r="L185" s="29" t="n">
        <x:f>COUNTIFS('Priced Usage'!$C$7:$C$3366,$A185,'Priced Usage'!$I$7:$I$3366,"First attempt")</x:f>
        <x:v>1</x:v>
      </x:c>
      <x:c r="M185" s="29" t="n">
        <x:f>COUNTIFS('Priced Usage'!$C$7:$C$3366,$A185,'Priced Usage'!$I$7:$I$3366,"Followup")</x:f>
        <x:v>9</x:v>
      </x:c>
      <x:c r="N185" s="29" t="n">
        <x:f>COUNTIFS('Priced Usage'!$C$7:$C$3366,$A185,'Priced Usage'!$I$7:$I$3366,"Correction")</x:f>
        <x:v>2</x:v>
      </x:c>
    </x:row>
    <x:row r="186" ht="23" customHeight="1">
      <x:c r="A186" s="17" t="str">
        <x:v>W0180</x:v>
      </x:c>
      <x:c r="B186" s="17" t="str">
        <x:v>C003</x:v>
      </x:c>
      <x:c r="C186" s="17" t="str">
        <x:v>InsightDesk</x:v>
      </x:c>
      <x:c r="D186" s="17" t="str">
        <x:v>Lite</x:v>
      </x:c>
      <x:c r="E186" s="29" t="n">
        <x:f>SUMIFS('Priced Usage'!$G$7:$G$3366,'Priced Usage'!$C$7:$C$3366,$A186)</x:f>
        <x:v>477992</x:v>
      </x:c>
      <x:c r="F186" s="29" t="n">
        <x:f>SUMIFS('Priced Usage'!$H$7:$H$3366,'Priced Usage'!$C$7:$C$3366,$A186)</x:f>
        <x:v>103330</x:v>
      </x:c>
      <x:c r="G186" s="29" t="n">
        <x:f>SUMIFS('Priced Usage'!$L$7:$L$3366,'Priced Usage'!$C$7:$C$3366,$A186)</x:f>
        <x:v>581322</x:v>
      </x:c>
      <x:c r="H186" s="29" t="n">
        <x:f>COUNTIFS('Priced Usage'!$C$7:$C$3366,$A186)</x:f>
        <x:v>14</x:v>
      </x:c>
      <x:c r="I186" s="30" t="n">
        <x:f>SUMIFS('Priced Usage'!$M$7:$M$3366,'Priced Usage'!$C$7:$C$3366,$A186)</x:f>
        <x:v>4.779920000000001</x:v>
      </x:c>
      <x:c r="J186" s="30" t="n">
        <x:f>SUMIFS('Priced Usage'!$N$7:$N$3366,'Priced Usage'!$C$7:$C$3366,$A186)</x:f>
        <x:v>3.0999000000000003</x:v>
      </x:c>
      <x:c r="K186" s="30" t="n">
        <x:f>SUMIFS('Priced Usage'!$O$7:$O$3366,'Priced Usage'!$C$7:$C$3366,$A186)</x:f>
        <x:v>7.879819999999999</x:v>
      </x:c>
      <x:c r="L186" s="29" t="n">
        <x:f>COUNTIFS('Priced Usage'!$C$7:$C$3366,$A186,'Priced Usage'!$I$7:$I$3366,"First attempt")</x:f>
        <x:v>1</x:v>
      </x:c>
      <x:c r="M186" s="29" t="n">
        <x:f>COUNTIFS('Priced Usage'!$C$7:$C$3366,$A186,'Priced Usage'!$I$7:$I$3366,"Followup")</x:f>
        <x:v>11</x:v>
      </x:c>
      <x:c r="N186" s="29" t="n">
        <x:f>COUNTIFS('Priced Usage'!$C$7:$C$3366,$A186,'Priced Usage'!$I$7:$I$3366,"Correction")</x:f>
        <x:v>2</x:v>
      </x:c>
    </x:row>
    <x:row r="187" ht="23" customHeight="1">
      <x:c r="A187" s="17" t="str">
        <x:v>W0181</x:v>
      </x:c>
      <x:c r="B187" s="17" t="str">
        <x:v>C004</x:v>
      </x:c>
      <x:c r="C187" s="17" t="str">
        <x:v>CampaignChat</x:v>
      </x:c>
      <x:c r="D187" s="17" t="str">
        <x:v>Pro</x:v>
      </x:c>
      <x:c r="E187" s="29" t="n">
        <x:f>SUMIFS('Priced Usage'!$G$7:$G$3366,'Priced Usage'!$C$7:$C$3366,$A187)</x:f>
        <x:v>102853</x:v>
      </x:c>
      <x:c r="F187" s="29" t="n">
        <x:f>SUMIFS('Priced Usage'!$H$7:$H$3366,'Priced Usage'!$C$7:$C$3366,$A187)</x:f>
        <x:v>74201</x:v>
      </x:c>
      <x:c r="G187" s="29" t="n">
        <x:f>SUMIFS('Priced Usage'!$L$7:$L$3366,'Priced Usage'!$C$7:$C$3366,$A187)</x:f>
        <x:v>177054</x:v>
      </x:c>
      <x:c r="H187" s="29" t="n">
        <x:f>COUNTIFS('Priced Usage'!$C$7:$C$3366,$A187)</x:f>
        <x:v>9</x:v>
      </x:c>
      <x:c r="I187" s="30" t="n">
        <x:f>SUMIFS('Priced Usage'!$M$7:$M$3366,'Priced Usage'!$C$7:$C$3366,$A187)</x:f>
        <x:v>4.114120000000001</x:v>
      </x:c>
      <x:c r="J187" s="30" t="n">
        <x:f>SUMIFS('Priced Usage'!$N$7:$N$3366,'Priced Usage'!$C$7:$C$3366,$A187)</x:f>
        <x:v>7.420100000000001</x:v>
      </x:c>
      <x:c r="K187" s="30" t="n">
        <x:f>SUMIFS('Priced Usage'!$O$7:$O$3366,'Priced Usage'!$C$7:$C$3366,$A187)</x:f>
        <x:v>11.534220000000001</x:v>
      </x:c>
      <x:c r="L187" s="29" t="n">
        <x:f>COUNTIFS('Priced Usage'!$C$7:$C$3366,$A187,'Priced Usage'!$I$7:$I$3366,"First attempt")</x:f>
        <x:v>1</x:v>
      </x:c>
      <x:c r="M187" s="29" t="n">
        <x:f>COUNTIFS('Priced Usage'!$C$7:$C$3366,$A187,'Priced Usage'!$I$7:$I$3366,"Followup")</x:f>
        <x:v>6</x:v>
      </x:c>
      <x:c r="N187" s="29" t="n">
        <x:f>COUNTIFS('Priced Usage'!$C$7:$C$3366,$A187,'Priced Usage'!$I$7:$I$3366,"Correction")</x:f>
        <x:v>2</x:v>
      </x:c>
    </x:row>
    <x:row r="188" ht="23" customHeight="1">
      <x:c r="A188" s="17" t="str">
        <x:v>W0182</x:v>
      </x:c>
      <x:c r="B188" s="17" t="str">
        <x:v>C004</x:v>
      </x:c>
      <x:c r="C188" s="17" t="str">
        <x:v>CampaignChat</x:v>
      </x:c>
      <x:c r="D188" s="17" t="str">
        <x:v>Lite</x:v>
      </x:c>
      <x:c r="E188" s="29" t="n">
        <x:f>SUMIFS('Priced Usage'!$G$7:$G$3366,'Priced Usage'!$C$7:$C$3366,$A188)</x:f>
        <x:v>272917</x:v>
      </x:c>
      <x:c r="F188" s="29" t="n">
        <x:f>SUMIFS('Priced Usage'!$H$7:$H$3366,'Priced Usage'!$C$7:$C$3366,$A188)</x:f>
        <x:v>99116</x:v>
      </x:c>
      <x:c r="G188" s="29" t="n">
        <x:f>SUMIFS('Priced Usage'!$L$7:$L$3366,'Priced Usage'!$C$7:$C$3366,$A188)</x:f>
        <x:v>372033</x:v>
      </x:c>
      <x:c r="H188" s="29" t="n">
        <x:f>COUNTIFS('Priced Usage'!$C$7:$C$3366,$A188)</x:f>
        <x:v>17</x:v>
      </x:c>
      <x:c r="I188" s="30" t="n">
        <x:f>SUMIFS('Priced Usage'!$M$7:$M$3366,'Priced Usage'!$C$7:$C$3366,$A188)</x:f>
        <x:v>2.72917</x:v>
      </x:c>
      <x:c r="J188" s="30" t="n">
        <x:f>SUMIFS('Priced Usage'!$N$7:$N$3366,'Priced Usage'!$C$7:$C$3366,$A188)</x:f>
        <x:v>2.9734800000000003</x:v>
      </x:c>
      <x:c r="K188" s="30" t="n">
        <x:f>SUMIFS('Priced Usage'!$O$7:$O$3366,'Priced Usage'!$C$7:$C$3366,$A188)</x:f>
        <x:v>5.702650000000001</x:v>
      </x:c>
      <x:c r="L188" s="29" t="n">
        <x:f>COUNTIFS('Priced Usage'!$C$7:$C$3366,$A188,'Priced Usage'!$I$7:$I$3366,"First attempt")</x:f>
        <x:v>1</x:v>
      </x:c>
      <x:c r="M188" s="29" t="n">
        <x:f>COUNTIFS('Priced Usage'!$C$7:$C$3366,$A188,'Priced Usage'!$I$7:$I$3366,"Followup")</x:f>
        <x:v>12</x:v>
      </x:c>
      <x:c r="N188" s="29" t="n">
        <x:f>COUNTIFS('Priced Usage'!$C$7:$C$3366,$A188,'Priced Usage'!$I$7:$I$3366,"Correction")</x:f>
        <x:v>4</x:v>
      </x:c>
    </x:row>
    <x:row r="189" ht="23" customHeight="1">
      <x:c r="A189" s="17" t="str">
        <x:v>W0183</x:v>
      </x:c>
      <x:c r="B189" s="17" t="str">
        <x:v>C004</x:v>
      </x:c>
      <x:c r="C189" s="17" t="str">
        <x:v>CopyStudio</x:v>
      </x:c>
      <x:c r="D189" s="17" t="str">
        <x:v>Lite</x:v>
      </x:c>
      <x:c r="E189" s="29" t="n">
        <x:f>SUMIFS('Priced Usage'!$G$7:$G$3366,'Priced Usage'!$C$7:$C$3366,$A189)</x:f>
        <x:v>307909</x:v>
      </x:c>
      <x:c r="F189" s="29" t="n">
        <x:f>SUMIFS('Priced Usage'!$H$7:$H$3366,'Priced Usage'!$C$7:$C$3366,$A189)</x:f>
        <x:v>61262</x:v>
      </x:c>
      <x:c r="G189" s="29" t="n">
        <x:f>SUMIFS('Priced Usage'!$L$7:$L$3366,'Priced Usage'!$C$7:$C$3366,$A189)</x:f>
        <x:v>369171</x:v>
      </x:c>
      <x:c r="H189" s="29" t="n">
        <x:f>COUNTIFS('Priced Usage'!$C$7:$C$3366,$A189)</x:f>
        <x:v>12</x:v>
      </x:c>
      <x:c r="I189" s="30" t="n">
        <x:f>SUMIFS('Priced Usage'!$M$7:$M$3366,'Priced Usage'!$C$7:$C$3366,$A189)</x:f>
        <x:v>3.07909</x:v>
      </x:c>
      <x:c r="J189" s="30" t="n">
        <x:f>SUMIFS('Priced Usage'!$N$7:$N$3366,'Priced Usage'!$C$7:$C$3366,$A189)</x:f>
        <x:v>1.83786</x:v>
      </x:c>
      <x:c r="K189" s="30" t="n">
        <x:f>SUMIFS('Priced Usage'!$O$7:$O$3366,'Priced Usage'!$C$7:$C$3366,$A189)</x:f>
        <x:v>4.91695</x:v>
      </x:c>
      <x:c r="L189" s="29" t="n">
        <x:f>COUNTIFS('Priced Usage'!$C$7:$C$3366,$A189,'Priced Usage'!$I$7:$I$3366,"First attempt")</x:f>
        <x:v>1</x:v>
      </x:c>
      <x:c r="M189" s="29" t="n">
        <x:f>COUNTIFS('Priced Usage'!$C$7:$C$3366,$A189,'Priced Usage'!$I$7:$I$3366,"Followup")</x:f>
        <x:v>8</x:v>
      </x:c>
      <x:c r="N189" s="29" t="n">
        <x:f>COUNTIFS('Priced Usage'!$C$7:$C$3366,$A189,'Priced Usage'!$I$7:$I$3366,"Correction")</x:f>
        <x:v>3</x:v>
      </x:c>
    </x:row>
    <x:row r="190" ht="23" customHeight="1">
      <x:c r="A190" s="17" t="str">
        <x:v>W0184</x:v>
      </x:c>
      <x:c r="B190" s="17" t="str">
        <x:v>C004</x:v>
      </x:c>
      <x:c r="C190" s="17" t="str">
        <x:v>InsightDesk</x:v>
      </x:c>
      <x:c r="D190" s="17" t="str">
        <x:v>Pro</x:v>
      </x:c>
      <x:c r="E190" s="29" t="n">
        <x:f>SUMIFS('Priced Usage'!$G$7:$G$3366,'Priced Usage'!$C$7:$C$3366,$A190)</x:f>
        <x:v>311209</x:v>
      </x:c>
      <x:c r="F190" s="29" t="n">
        <x:f>SUMIFS('Priced Usage'!$H$7:$H$3366,'Priced Usage'!$C$7:$C$3366,$A190)</x:f>
        <x:v>218299</x:v>
      </x:c>
      <x:c r="G190" s="29" t="n">
        <x:f>SUMIFS('Priced Usage'!$L$7:$L$3366,'Priced Usage'!$C$7:$C$3366,$A190)</x:f>
        <x:v>529508</x:v>
      </x:c>
      <x:c r="H190" s="29" t="n">
        <x:f>COUNTIFS('Priced Usage'!$C$7:$C$3366,$A190)</x:f>
        <x:v>20</x:v>
      </x:c>
      <x:c r="I190" s="30" t="n">
        <x:f>SUMIFS('Priced Usage'!$M$7:$M$3366,'Priced Usage'!$C$7:$C$3366,$A190)</x:f>
        <x:v>12.448359999999997</x:v>
      </x:c>
      <x:c r="J190" s="30" t="n">
        <x:f>SUMIFS('Priced Usage'!$N$7:$N$3366,'Priced Usage'!$C$7:$C$3366,$A190)</x:f>
        <x:v>21.829899999999995</x:v>
      </x:c>
      <x:c r="K190" s="30" t="n">
        <x:f>SUMIFS('Priced Usage'!$O$7:$O$3366,'Priced Usage'!$C$7:$C$3366,$A190)</x:f>
        <x:v>34.278259999999996</x:v>
      </x:c>
      <x:c r="L190" s="29" t="n">
        <x:f>COUNTIFS('Priced Usage'!$C$7:$C$3366,$A190,'Priced Usage'!$I$7:$I$3366,"First attempt")</x:f>
        <x:v>1</x:v>
      </x:c>
      <x:c r="M190" s="29" t="n">
        <x:f>COUNTIFS('Priced Usage'!$C$7:$C$3366,$A190,'Priced Usage'!$I$7:$I$3366,"Followup")</x:f>
        <x:v>14</x:v>
      </x:c>
      <x:c r="N190" s="29" t="n">
        <x:f>COUNTIFS('Priced Usage'!$C$7:$C$3366,$A190,'Priced Usage'!$I$7:$I$3366,"Correction")</x:f>
        <x:v>5</x:v>
      </x:c>
    </x:row>
    <x:row r="191" ht="23" customHeight="1">
      <x:c r="A191" s="17" t="str">
        <x:v>W0185</x:v>
      </x:c>
      <x:c r="B191" s="17" t="str">
        <x:v>C004</x:v>
      </x:c>
      <x:c r="C191" s="17" t="str">
        <x:v>InsightDesk</x:v>
      </x:c>
      <x:c r="D191" s="17" t="str">
        <x:v>Lite</x:v>
      </x:c>
      <x:c r="E191" s="29" t="n">
        <x:f>SUMIFS('Priced Usage'!$G$7:$G$3366,'Priced Usage'!$C$7:$C$3366,$A191)</x:f>
        <x:v>229615</x:v>
      </x:c>
      <x:c r="F191" s="29" t="n">
        <x:f>SUMIFS('Priced Usage'!$H$7:$H$3366,'Priced Usage'!$C$7:$C$3366,$A191)</x:f>
        <x:v>35383</x:v>
      </x:c>
      <x:c r="G191" s="29" t="n">
        <x:f>SUMIFS('Priced Usage'!$L$7:$L$3366,'Priced Usage'!$C$7:$C$3366,$A191)</x:f>
        <x:v>264998</x:v>
      </x:c>
      <x:c r="H191" s="29" t="n">
        <x:f>COUNTIFS('Priced Usage'!$C$7:$C$3366,$A191)</x:f>
        <x:v>14</x:v>
      </x:c>
      <x:c r="I191" s="30" t="n">
        <x:f>SUMIFS('Priced Usage'!$M$7:$M$3366,'Priced Usage'!$C$7:$C$3366,$A191)</x:f>
        <x:v>2.29615</x:v>
      </x:c>
      <x:c r="J191" s="30" t="n">
        <x:f>SUMIFS('Priced Usage'!$N$7:$N$3366,'Priced Usage'!$C$7:$C$3366,$A191)</x:f>
        <x:v>1.06149</x:v>
      </x:c>
      <x:c r="K191" s="30" t="n">
        <x:f>SUMIFS('Priced Usage'!$O$7:$O$3366,'Priced Usage'!$C$7:$C$3366,$A191)</x:f>
        <x:v>3.357640000000001</x:v>
      </x:c>
      <x:c r="L191" s="29" t="n">
        <x:f>COUNTIFS('Priced Usage'!$C$7:$C$3366,$A191,'Priced Usage'!$I$7:$I$3366,"First attempt")</x:f>
        <x:v>1</x:v>
      </x:c>
      <x:c r="M191" s="29" t="n">
        <x:f>COUNTIFS('Priced Usage'!$C$7:$C$3366,$A191,'Priced Usage'!$I$7:$I$3366,"Followup")</x:f>
        <x:v>11</x:v>
      </x:c>
      <x:c r="N191" s="29" t="n">
        <x:f>COUNTIFS('Priced Usage'!$C$7:$C$3366,$A191,'Priced Usage'!$I$7:$I$3366,"Correction")</x:f>
        <x:v>2</x:v>
      </x:c>
    </x:row>
    <x:row r="192" ht="23" customHeight="1">
      <x:c r="A192" s="17" t="str">
        <x:v>W0186</x:v>
      </x:c>
      <x:c r="B192" s="17" t="str">
        <x:v>C004</x:v>
      </x:c>
      <x:c r="C192" s="17" t="str">
        <x:v>CopyStudio</x:v>
      </x:c>
      <x:c r="D192" s="17" t="str">
        <x:v>Pro</x:v>
      </x:c>
      <x:c r="E192" s="29" t="n">
        <x:f>SUMIFS('Priced Usage'!$G$7:$G$3366,'Priced Usage'!$C$7:$C$3366,$A192)</x:f>
        <x:v>368447</x:v>
      </x:c>
      <x:c r="F192" s="29" t="n">
        <x:f>SUMIFS('Priced Usage'!$H$7:$H$3366,'Priced Usage'!$C$7:$C$3366,$A192)</x:f>
        <x:v>113639</x:v>
      </x:c>
      <x:c r="G192" s="29" t="n">
        <x:f>SUMIFS('Priced Usage'!$L$7:$L$3366,'Priced Usage'!$C$7:$C$3366,$A192)</x:f>
        <x:v>482086</x:v>
      </x:c>
      <x:c r="H192" s="29" t="n">
        <x:f>COUNTIFS('Priced Usage'!$C$7:$C$3366,$A192)</x:f>
        <x:v>13</x:v>
      </x:c>
      <x:c r="I192" s="30" t="n">
        <x:f>SUMIFS('Priced Usage'!$M$7:$M$3366,'Priced Usage'!$C$7:$C$3366,$A192)</x:f>
        <x:v>14.73788</x:v>
      </x:c>
      <x:c r="J192" s="30" t="n">
        <x:f>SUMIFS('Priced Usage'!$N$7:$N$3366,'Priced Usage'!$C$7:$C$3366,$A192)</x:f>
        <x:v>11.3639</x:v>
      </x:c>
      <x:c r="K192" s="30" t="n">
        <x:f>SUMIFS('Priced Usage'!$O$7:$O$3366,'Priced Usage'!$C$7:$C$3366,$A192)</x:f>
        <x:v>26.101779999999998</x:v>
      </x:c>
      <x:c r="L192" s="29" t="n">
        <x:f>COUNTIFS('Priced Usage'!$C$7:$C$3366,$A192,'Priced Usage'!$I$7:$I$3366,"First attempt")</x:f>
        <x:v>1</x:v>
      </x:c>
      <x:c r="M192" s="29" t="n">
        <x:f>COUNTIFS('Priced Usage'!$C$7:$C$3366,$A192,'Priced Usage'!$I$7:$I$3366,"Followup")</x:f>
        <x:v>9</x:v>
      </x:c>
      <x:c r="N192" s="29" t="n">
        <x:f>COUNTIFS('Priced Usage'!$C$7:$C$3366,$A192,'Priced Usage'!$I$7:$I$3366,"Correction")</x:f>
        <x:v>3</x:v>
      </x:c>
    </x:row>
    <x:row r="193" ht="23" customHeight="1">
      <x:c r="A193" s="17" t="str">
        <x:v>W0187</x:v>
      </x:c>
      <x:c r="B193" s="17" t="str">
        <x:v>C004</x:v>
      </x:c>
      <x:c r="C193" s="17" t="str">
        <x:v>InsightDesk</x:v>
      </x:c>
      <x:c r="D193" s="17" t="str">
        <x:v>Lite</x:v>
      </x:c>
      <x:c r="E193" s="29" t="n">
        <x:f>SUMIFS('Priced Usage'!$G$7:$G$3366,'Priced Usage'!$C$7:$C$3366,$A193)</x:f>
        <x:v>376282</x:v>
      </x:c>
      <x:c r="F193" s="29" t="n">
        <x:f>SUMIFS('Priced Usage'!$H$7:$H$3366,'Priced Usage'!$C$7:$C$3366,$A193)</x:f>
        <x:v>49750</x:v>
      </x:c>
      <x:c r="G193" s="29" t="n">
        <x:f>SUMIFS('Priced Usage'!$L$7:$L$3366,'Priced Usage'!$C$7:$C$3366,$A193)</x:f>
        <x:v>426032</x:v>
      </x:c>
      <x:c r="H193" s="29" t="n">
        <x:f>COUNTIFS('Priced Usage'!$C$7:$C$3366,$A193)</x:f>
        <x:v>15</x:v>
      </x:c>
      <x:c r="I193" s="30" t="n">
        <x:f>SUMIFS('Priced Usage'!$M$7:$M$3366,'Priced Usage'!$C$7:$C$3366,$A193)</x:f>
        <x:v>3.7628200000000005</x:v>
      </x:c>
      <x:c r="J193" s="30" t="n">
        <x:f>SUMIFS('Priced Usage'!$N$7:$N$3366,'Priced Usage'!$C$7:$C$3366,$A193)</x:f>
        <x:v>1.4925</x:v>
      </x:c>
      <x:c r="K193" s="30" t="n">
        <x:f>SUMIFS('Priced Usage'!$O$7:$O$3366,'Priced Usage'!$C$7:$C$3366,$A193)</x:f>
        <x:v>5.25532</x:v>
      </x:c>
      <x:c r="L193" s="29" t="n">
        <x:f>COUNTIFS('Priced Usage'!$C$7:$C$3366,$A193,'Priced Usage'!$I$7:$I$3366,"First attempt")</x:f>
        <x:v>1</x:v>
      </x:c>
      <x:c r="M193" s="29" t="n">
        <x:f>COUNTIFS('Priced Usage'!$C$7:$C$3366,$A193,'Priced Usage'!$I$7:$I$3366,"Followup")</x:f>
        <x:v>12</x:v>
      </x:c>
      <x:c r="N193" s="29" t="n">
        <x:f>COUNTIFS('Priced Usage'!$C$7:$C$3366,$A193,'Priced Usage'!$I$7:$I$3366,"Correction")</x:f>
        <x:v>2</x:v>
      </x:c>
    </x:row>
    <x:row r="194" ht="23" customHeight="1">
      <x:c r="A194" s="17" t="str">
        <x:v>W0188</x:v>
      </x:c>
      <x:c r="B194" s="17" t="str">
        <x:v>C004</x:v>
      </x:c>
      <x:c r="C194" s="17" t="str">
        <x:v>CampaignChat</x:v>
      </x:c>
      <x:c r="D194" s="17" t="str">
        <x:v>Lite</x:v>
      </x:c>
      <x:c r="E194" s="29" t="n">
        <x:f>SUMIFS('Priced Usage'!$G$7:$G$3366,'Priced Usage'!$C$7:$C$3366,$A194)</x:f>
        <x:v>191064</x:v>
      </x:c>
      <x:c r="F194" s="29" t="n">
        <x:f>SUMIFS('Priced Usage'!$H$7:$H$3366,'Priced Usage'!$C$7:$C$3366,$A194)</x:f>
        <x:v>54725</x:v>
      </x:c>
      <x:c r="G194" s="29" t="n">
        <x:f>SUMIFS('Priced Usage'!$L$7:$L$3366,'Priced Usage'!$C$7:$C$3366,$A194)</x:f>
        <x:v>245789</x:v>
      </x:c>
      <x:c r="H194" s="29" t="n">
        <x:f>COUNTIFS('Priced Usage'!$C$7:$C$3366,$A194)</x:f>
        <x:v>13</x:v>
      </x:c>
      <x:c r="I194" s="30" t="n">
        <x:f>SUMIFS('Priced Usage'!$M$7:$M$3366,'Priced Usage'!$C$7:$C$3366,$A194)</x:f>
        <x:v>1.9106400000000001</x:v>
      </x:c>
      <x:c r="J194" s="30" t="n">
        <x:f>SUMIFS('Priced Usage'!$N$7:$N$3366,'Priced Usage'!$C$7:$C$3366,$A194)</x:f>
        <x:v>1.64175</x:v>
      </x:c>
      <x:c r="K194" s="30" t="n">
        <x:f>SUMIFS('Priced Usage'!$O$7:$O$3366,'Priced Usage'!$C$7:$C$3366,$A194)</x:f>
        <x:v>3.55239</x:v>
      </x:c>
      <x:c r="L194" s="29" t="n">
        <x:f>COUNTIFS('Priced Usage'!$C$7:$C$3366,$A194,'Priced Usage'!$I$7:$I$3366,"First attempt")</x:f>
        <x:v>1</x:v>
      </x:c>
      <x:c r="M194" s="29" t="n">
        <x:f>COUNTIFS('Priced Usage'!$C$7:$C$3366,$A194,'Priced Usage'!$I$7:$I$3366,"Followup")</x:f>
        <x:v>9</x:v>
      </x:c>
      <x:c r="N194" s="29" t="n">
        <x:f>COUNTIFS('Priced Usage'!$C$7:$C$3366,$A194,'Priced Usage'!$I$7:$I$3366,"Correction")</x:f>
        <x:v>3</x:v>
      </x:c>
    </x:row>
    <x:row r="195" ht="23" customHeight="1">
      <x:c r="A195" s="17" t="str">
        <x:v>W0189</x:v>
      </x:c>
      <x:c r="B195" s="17" t="str">
        <x:v>C004</x:v>
      </x:c>
      <x:c r="C195" s="17" t="str">
        <x:v>InsightDesk</x:v>
      </x:c>
      <x:c r="D195" s="17" t="str">
        <x:v>Lite</x:v>
      </x:c>
      <x:c r="E195" s="29" t="n">
        <x:f>SUMIFS('Priced Usage'!$G$7:$G$3366,'Priced Usage'!$C$7:$C$3366,$A195)</x:f>
        <x:v>253912</x:v>
      </x:c>
      <x:c r="F195" s="29" t="n">
        <x:f>SUMIFS('Priced Usage'!$H$7:$H$3366,'Priced Usage'!$C$7:$C$3366,$A195)</x:f>
        <x:v>72806</x:v>
      </x:c>
      <x:c r="G195" s="29" t="n">
        <x:f>SUMIFS('Priced Usage'!$L$7:$L$3366,'Priced Usage'!$C$7:$C$3366,$A195)</x:f>
        <x:v>326718</x:v>
      </x:c>
      <x:c r="H195" s="29" t="n">
        <x:f>COUNTIFS('Priced Usage'!$C$7:$C$3366,$A195)</x:f>
        <x:v>15</x:v>
      </x:c>
      <x:c r="I195" s="30" t="n">
        <x:f>SUMIFS('Priced Usage'!$M$7:$M$3366,'Priced Usage'!$C$7:$C$3366,$A195)</x:f>
        <x:v>2.5391200000000005</x:v>
      </x:c>
      <x:c r="J195" s="30" t="n">
        <x:f>SUMIFS('Priced Usage'!$N$7:$N$3366,'Priced Usage'!$C$7:$C$3366,$A195)</x:f>
        <x:v>2.1841799999999996</x:v>
      </x:c>
      <x:c r="K195" s="30" t="n">
        <x:f>SUMIFS('Priced Usage'!$O$7:$O$3366,'Priced Usage'!$C$7:$C$3366,$A195)</x:f>
        <x:v>4.723300000000001</x:v>
      </x:c>
      <x:c r="L195" s="29" t="n">
        <x:f>COUNTIFS('Priced Usage'!$C$7:$C$3366,$A195,'Priced Usage'!$I$7:$I$3366,"First attempt")</x:f>
        <x:v>1</x:v>
      </x:c>
      <x:c r="M195" s="29" t="n">
        <x:f>COUNTIFS('Priced Usage'!$C$7:$C$3366,$A195,'Priced Usage'!$I$7:$I$3366,"Followup")</x:f>
        <x:v>11</x:v>
      </x:c>
      <x:c r="N195" s="29" t="n">
        <x:f>COUNTIFS('Priced Usage'!$C$7:$C$3366,$A195,'Priced Usage'!$I$7:$I$3366,"Correction")</x:f>
        <x:v>3</x:v>
      </x:c>
    </x:row>
    <x:row r="196" ht="23" customHeight="1">
      <x:c r="A196" s="17" t="str">
        <x:v>W0190</x:v>
      </x:c>
      <x:c r="B196" s="17" t="str">
        <x:v>C004</x:v>
      </x:c>
      <x:c r="C196" s="17" t="str">
        <x:v>CampaignChat</x:v>
      </x:c>
      <x:c r="D196" s="17" t="str">
        <x:v>Lite</x:v>
      </x:c>
      <x:c r="E196" s="29" t="n">
        <x:f>SUMIFS('Priced Usage'!$G$7:$G$3366,'Priced Usage'!$C$7:$C$3366,$A196)</x:f>
        <x:v>249413</x:v>
      </x:c>
      <x:c r="F196" s="29" t="n">
        <x:f>SUMIFS('Priced Usage'!$H$7:$H$3366,'Priced Usage'!$C$7:$C$3366,$A196)</x:f>
        <x:v>48533</x:v>
      </x:c>
      <x:c r="G196" s="29" t="n">
        <x:f>SUMIFS('Priced Usage'!$L$7:$L$3366,'Priced Usage'!$C$7:$C$3366,$A196)</x:f>
        <x:v>297946</x:v>
      </x:c>
      <x:c r="H196" s="29" t="n">
        <x:f>COUNTIFS('Priced Usage'!$C$7:$C$3366,$A196)</x:f>
        <x:v>11</x:v>
      </x:c>
      <x:c r="I196" s="30" t="n">
        <x:f>SUMIFS('Priced Usage'!$M$7:$M$3366,'Priced Usage'!$C$7:$C$3366,$A196)</x:f>
        <x:v>2.49413</x:v>
      </x:c>
      <x:c r="J196" s="30" t="n">
        <x:f>SUMIFS('Priced Usage'!$N$7:$N$3366,'Priced Usage'!$C$7:$C$3366,$A196)</x:f>
        <x:v>1.4559900000000001</x:v>
      </x:c>
      <x:c r="K196" s="30" t="n">
        <x:f>SUMIFS('Priced Usage'!$O$7:$O$3366,'Priced Usage'!$C$7:$C$3366,$A196)</x:f>
        <x:v>3.950119999999999</x:v>
      </x:c>
      <x:c r="L196" s="29" t="n">
        <x:f>COUNTIFS('Priced Usage'!$C$7:$C$3366,$A196,'Priced Usage'!$I$7:$I$3366,"First attempt")</x:f>
        <x:v>1</x:v>
      </x:c>
      <x:c r="M196" s="29" t="n">
        <x:f>COUNTIFS('Priced Usage'!$C$7:$C$3366,$A196,'Priced Usage'!$I$7:$I$3366,"Followup")</x:f>
        <x:v>7</x:v>
      </x:c>
      <x:c r="N196" s="29" t="n">
        <x:f>COUNTIFS('Priced Usage'!$C$7:$C$3366,$A196,'Priced Usage'!$I$7:$I$3366,"Correction")</x:f>
        <x:v>3</x:v>
      </x:c>
    </x:row>
    <x:row r="197" ht="23" customHeight="1">
      <x:c r="A197" s="17" t="str">
        <x:v>W0191</x:v>
      </x:c>
      <x:c r="B197" s="17" t="str">
        <x:v>C004</x:v>
      </x:c>
      <x:c r="C197" s="17" t="str">
        <x:v>CopyStudio</x:v>
      </x:c>
      <x:c r="D197" s="17" t="str">
        <x:v>Pro</x:v>
      </x:c>
      <x:c r="E197" s="29" t="n">
        <x:f>SUMIFS('Priced Usage'!$G$7:$G$3366,'Priced Usage'!$C$7:$C$3366,$A197)</x:f>
        <x:v>195648</x:v>
      </x:c>
      <x:c r="F197" s="29" t="n">
        <x:f>SUMIFS('Priced Usage'!$H$7:$H$3366,'Priced Usage'!$C$7:$C$3366,$A197)</x:f>
        <x:v>111025</x:v>
      </x:c>
      <x:c r="G197" s="29" t="n">
        <x:f>SUMIFS('Priced Usage'!$L$7:$L$3366,'Priced Usage'!$C$7:$C$3366,$A197)</x:f>
        <x:v>306673</x:v>
      </x:c>
      <x:c r="H197" s="29" t="n">
        <x:f>COUNTIFS('Priced Usage'!$C$7:$C$3366,$A197)</x:f>
        <x:v>16</x:v>
      </x:c>
      <x:c r="I197" s="30" t="n">
        <x:f>SUMIFS('Priced Usage'!$M$7:$M$3366,'Priced Usage'!$C$7:$C$3366,$A197)</x:f>
        <x:v>7.825920000000001</x:v>
      </x:c>
      <x:c r="J197" s="30" t="n">
        <x:f>SUMIFS('Priced Usage'!$N$7:$N$3366,'Priced Usage'!$C$7:$C$3366,$A197)</x:f>
        <x:v>11.1025</x:v>
      </x:c>
      <x:c r="K197" s="30" t="n">
        <x:f>SUMIFS('Priced Usage'!$O$7:$O$3366,'Priced Usage'!$C$7:$C$3366,$A197)</x:f>
        <x:v>18.92842</x:v>
      </x:c>
      <x:c r="L197" s="29" t="n">
        <x:f>COUNTIFS('Priced Usage'!$C$7:$C$3366,$A197,'Priced Usage'!$I$7:$I$3366,"First attempt")</x:f>
        <x:v>1</x:v>
      </x:c>
      <x:c r="M197" s="29" t="n">
        <x:f>COUNTIFS('Priced Usage'!$C$7:$C$3366,$A197,'Priced Usage'!$I$7:$I$3366,"Followup")</x:f>
        <x:v>12</x:v>
      </x:c>
      <x:c r="N197" s="29" t="n">
        <x:f>COUNTIFS('Priced Usage'!$C$7:$C$3366,$A197,'Priced Usage'!$I$7:$I$3366,"Correction")</x:f>
        <x:v>3</x:v>
      </x:c>
    </x:row>
    <x:row r="198" ht="23" customHeight="1">
      <x:c r="A198" s="17" t="str">
        <x:v>W0192</x:v>
      </x:c>
      <x:c r="B198" s="17" t="str">
        <x:v>C004</x:v>
      </x:c>
      <x:c r="C198" s="17" t="str">
        <x:v>InsightDesk</x:v>
      </x:c>
      <x:c r="D198" s="17" t="str">
        <x:v>Pro</x:v>
      </x:c>
      <x:c r="E198" s="29" t="n">
        <x:f>SUMIFS('Priced Usage'!$G$7:$G$3366,'Priced Usage'!$C$7:$C$3366,$A198)</x:f>
        <x:v>343322</x:v>
      </x:c>
      <x:c r="F198" s="29" t="n">
        <x:f>SUMIFS('Priced Usage'!$H$7:$H$3366,'Priced Usage'!$C$7:$C$3366,$A198)</x:f>
        <x:v>171677</x:v>
      </x:c>
      <x:c r="G198" s="29" t="n">
        <x:f>SUMIFS('Priced Usage'!$L$7:$L$3366,'Priced Usage'!$C$7:$C$3366,$A198)</x:f>
        <x:v>514999</x:v>
      </x:c>
      <x:c r="H198" s="29" t="n">
        <x:f>COUNTIFS('Priced Usage'!$C$7:$C$3366,$A198)</x:f>
        <x:v>13</x:v>
      </x:c>
      <x:c r="I198" s="30" t="n">
        <x:f>SUMIFS('Priced Usage'!$M$7:$M$3366,'Priced Usage'!$C$7:$C$3366,$A198)</x:f>
        <x:v>13.73288</x:v>
      </x:c>
      <x:c r="J198" s="30" t="n">
        <x:f>SUMIFS('Priced Usage'!$N$7:$N$3366,'Priced Usage'!$C$7:$C$3366,$A198)</x:f>
        <x:v>17.1677</x:v>
      </x:c>
      <x:c r="K198" s="30" t="n">
        <x:f>SUMIFS('Priced Usage'!$O$7:$O$3366,'Priced Usage'!$C$7:$C$3366,$A198)</x:f>
        <x:v>30.90058</x:v>
      </x:c>
      <x:c r="L198" s="29" t="n">
        <x:f>COUNTIFS('Priced Usage'!$C$7:$C$3366,$A198,'Priced Usage'!$I$7:$I$3366,"First attempt")</x:f>
        <x:v>1</x:v>
      </x:c>
      <x:c r="M198" s="29" t="n">
        <x:f>COUNTIFS('Priced Usage'!$C$7:$C$3366,$A198,'Priced Usage'!$I$7:$I$3366,"Followup")</x:f>
        <x:v>9</x:v>
      </x:c>
      <x:c r="N198" s="29" t="n">
        <x:f>COUNTIFS('Priced Usage'!$C$7:$C$3366,$A198,'Priced Usage'!$I$7:$I$3366,"Correction")</x:f>
        <x:v>3</x:v>
      </x:c>
    </x:row>
    <x:row r="199" ht="23" customHeight="1">
      <x:c r="A199" s="17" t="str">
        <x:v>W0193</x:v>
      </x:c>
      <x:c r="B199" s="17" t="str">
        <x:v>C004</x:v>
      </x:c>
      <x:c r="C199" s="17" t="str">
        <x:v>CopyStudio</x:v>
      </x:c>
      <x:c r="D199" s="17" t="str">
        <x:v>Pro</x:v>
      </x:c>
      <x:c r="E199" s="29" t="n">
        <x:f>SUMIFS('Priced Usage'!$G$7:$G$3366,'Priced Usage'!$C$7:$C$3366,$A199)</x:f>
        <x:v>336467</x:v>
      </x:c>
      <x:c r="F199" s="29" t="n">
        <x:f>SUMIFS('Priced Usage'!$H$7:$H$3366,'Priced Usage'!$C$7:$C$3366,$A199)</x:f>
        <x:v>100978</x:v>
      </x:c>
      <x:c r="G199" s="29" t="n">
        <x:f>SUMIFS('Priced Usage'!$L$7:$L$3366,'Priced Usage'!$C$7:$C$3366,$A199)</x:f>
        <x:v>437445</x:v>
      </x:c>
      <x:c r="H199" s="29" t="n">
        <x:f>COUNTIFS('Priced Usage'!$C$7:$C$3366,$A199)</x:f>
        <x:v>13</x:v>
      </x:c>
      <x:c r="I199" s="30" t="n">
        <x:f>SUMIFS('Priced Usage'!$M$7:$M$3366,'Priced Usage'!$C$7:$C$3366,$A199)</x:f>
        <x:v>13.458680000000001</x:v>
      </x:c>
      <x:c r="J199" s="30" t="n">
        <x:f>SUMIFS('Priced Usage'!$N$7:$N$3366,'Priced Usage'!$C$7:$C$3366,$A199)</x:f>
        <x:v>10.0978</x:v>
      </x:c>
      <x:c r="K199" s="30" t="n">
        <x:f>SUMIFS('Priced Usage'!$O$7:$O$3366,'Priced Usage'!$C$7:$C$3366,$A199)</x:f>
        <x:v>23.556480000000004</x:v>
      </x:c>
      <x:c r="L199" s="29" t="n">
        <x:f>COUNTIFS('Priced Usage'!$C$7:$C$3366,$A199,'Priced Usage'!$I$7:$I$3366,"First attempt")</x:f>
        <x:v>1</x:v>
      </x:c>
      <x:c r="M199" s="29" t="n">
        <x:f>COUNTIFS('Priced Usage'!$C$7:$C$3366,$A199,'Priced Usage'!$I$7:$I$3366,"Followup")</x:f>
        <x:v>9</x:v>
      </x:c>
      <x:c r="N199" s="29" t="n">
        <x:f>COUNTIFS('Priced Usage'!$C$7:$C$3366,$A199,'Priced Usage'!$I$7:$I$3366,"Correction")</x:f>
        <x:v>3</x:v>
      </x:c>
    </x:row>
    <x:row r="200" ht="23" customHeight="1">
      <x:c r="A200" s="17" t="str">
        <x:v>W0194</x:v>
      </x:c>
      <x:c r="B200" s="17" t="str">
        <x:v>C004</x:v>
      </x:c>
      <x:c r="C200" s="17" t="str">
        <x:v>CopyStudio</x:v>
      </x:c>
      <x:c r="D200" s="17" t="str">
        <x:v>Pro</x:v>
      </x:c>
      <x:c r="E200" s="29" t="n">
        <x:f>SUMIFS('Priced Usage'!$G$7:$G$3366,'Priced Usage'!$C$7:$C$3366,$A200)</x:f>
        <x:v>116142</x:v>
      </x:c>
      <x:c r="F200" s="29" t="n">
        <x:f>SUMIFS('Priced Usage'!$H$7:$H$3366,'Priced Usage'!$C$7:$C$3366,$A200)</x:f>
        <x:v>58289</x:v>
      </x:c>
      <x:c r="G200" s="29" t="n">
        <x:f>SUMIFS('Priced Usage'!$L$7:$L$3366,'Priced Usage'!$C$7:$C$3366,$A200)</x:f>
        <x:v>174431</x:v>
      </x:c>
      <x:c r="H200" s="29" t="n">
        <x:f>COUNTIFS('Priced Usage'!$C$7:$C$3366,$A200)</x:f>
        <x:v>10</x:v>
      </x:c>
      <x:c r="I200" s="30" t="n">
        <x:f>SUMIFS('Priced Usage'!$M$7:$M$3366,'Priced Usage'!$C$7:$C$3366,$A200)</x:f>
        <x:v>4.6456800000000005</x:v>
      </x:c>
      <x:c r="J200" s="30" t="n">
        <x:f>SUMIFS('Priced Usage'!$N$7:$N$3366,'Priced Usage'!$C$7:$C$3366,$A200)</x:f>
        <x:v>5.8289</x:v>
      </x:c>
      <x:c r="K200" s="30" t="n">
        <x:f>SUMIFS('Priced Usage'!$O$7:$O$3366,'Priced Usage'!$C$7:$C$3366,$A200)</x:f>
        <x:v>10.474580000000001</x:v>
      </x:c>
      <x:c r="L200" s="29" t="n">
        <x:f>COUNTIFS('Priced Usage'!$C$7:$C$3366,$A200,'Priced Usage'!$I$7:$I$3366,"First attempt")</x:f>
        <x:v>1</x:v>
      </x:c>
      <x:c r="M200" s="29" t="n">
        <x:f>COUNTIFS('Priced Usage'!$C$7:$C$3366,$A200,'Priced Usage'!$I$7:$I$3366,"Followup")</x:f>
        <x:v>6</x:v>
      </x:c>
      <x:c r="N200" s="29" t="n">
        <x:f>COUNTIFS('Priced Usage'!$C$7:$C$3366,$A200,'Priced Usage'!$I$7:$I$3366,"Correction")</x:f>
        <x:v>3</x:v>
      </x:c>
    </x:row>
    <x:row r="201" ht="23" customHeight="1">
      <x:c r="A201" s="17" t="str">
        <x:v>W0195</x:v>
      </x:c>
      <x:c r="B201" s="17" t="str">
        <x:v>C004</x:v>
      </x:c>
      <x:c r="C201" s="17" t="str">
        <x:v>CopyStudio</x:v>
      </x:c>
      <x:c r="D201" s="17" t="str">
        <x:v>Pro</x:v>
      </x:c>
      <x:c r="E201" s="29" t="n">
        <x:f>SUMIFS('Priced Usage'!$G$7:$G$3366,'Priced Usage'!$C$7:$C$3366,$A201)</x:f>
        <x:v>277318</x:v>
      </x:c>
      <x:c r="F201" s="29" t="n">
        <x:f>SUMIFS('Priced Usage'!$H$7:$H$3366,'Priced Usage'!$C$7:$C$3366,$A201)</x:f>
        <x:v>69361</x:v>
      </x:c>
      <x:c r="G201" s="29" t="n">
        <x:f>SUMIFS('Priced Usage'!$L$7:$L$3366,'Priced Usage'!$C$7:$C$3366,$A201)</x:f>
        <x:v>346679</x:v>
      </x:c>
      <x:c r="H201" s="29" t="n">
        <x:f>COUNTIFS('Priced Usage'!$C$7:$C$3366,$A201)</x:f>
        <x:v>13</x:v>
      </x:c>
      <x:c r="I201" s="30" t="n">
        <x:f>SUMIFS('Priced Usage'!$M$7:$M$3366,'Priced Usage'!$C$7:$C$3366,$A201)</x:f>
        <x:v>11.09272</x:v>
      </x:c>
      <x:c r="J201" s="30" t="n">
        <x:f>SUMIFS('Priced Usage'!$N$7:$N$3366,'Priced Usage'!$C$7:$C$3366,$A201)</x:f>
        <x:v>6.936100000000001</x:v>
      </x:c>
      <x:c r="K201" s="30" t="n">
        <x:f>SUMIFS('Priced Usage'!$O$7:$O$3366,'Priced Usage'!$C$7:$C$3366,$A201)</x:f>
        <x:v>18.02882</x:v>
      </x:c>
      <x:c r="L201" s="29" t="n">
        <x:f>COUNTIFS('Priced Usage'!$C$7:$C$3366,$A201,'Priced Usage'!$I$7:$I$3366,"First attempt")</x:f>
        <x:v>1</x:v>
      </x:c>
      <x:c r="M201" s="29" t="n">
        <x:f>COUNTIFS('Priced Usage'!$C$7:$C$3366,$A201,'Priced Usage'!$I$7:$I$3366,"Followup")</x:f>
        <x:v>9</x:v>
      </x:c>
      <x:c r="N201" s="29" t="n">
        <x:f>COUNTIFS('Priced Usage'!$C$7:$C$3366,$A201,'Priced Usage'!$I$7:$I$3366,"Correction")</x:f>
        <x:v>3</x:v>
      </x:c>
    </x:row>
    <x:row r="202" ht="23" customHeight="1">
      <x:c r="A202" s="17" t="str">
        <x:v>W0196</x:v>
      </x:c>
      <x:c r="B202" s="17" t="str">
        <x:v>C004</x:v>
      </x:c>
      <x:c r="C202" s="17" t="str">
        <x:v>CampaignChat</x:v>
      </x:c>
      <x:c r="D202" s="17" t="str">
        <x:v>Pro</x:v>
      </x:c>
      <x:c r="E202" s="29" t="n">
        <x:f>SUMIFS('Priced Usage'!$G$7:$G$3366,'Priced Usage'!$C$7:$C$3366,$A202)</x:f>
        <x:v>449680</x:v>
      </x:c>
      <x:c r="F202" s="29" t="n">
        <x:f>SUMIFS('Priced Usage'!$H$7:$H$3366,'Priced Usage'!$C$7:$C$3366,$A202)</x:f>
        <x:v>142260</x:v>
      </x:c>
      <x:c r="G202" s="29" t="n">
        <x:f>SUMIFS('Priced Usage'!$L$7:$L$3366,'Priced Usage'!$C$7:$C$3366,$A202)</x:f>
        <x:v>591940</x:v>
      </x:c>
      <x:c r="H202" s="29" t="n">
        <x:f>COUNTIFS('Priced Usage'!$C$7:$C$3366,$A202)</x:f>
        <x:v>16</x:v>
      </x:c>
      <x:c r="I202" s="30" t="n">
        <x:f>SUMIFS('Priced Usage'!$M$7:$M$3366,'Priced Usage'!$C$7:$C$3366,$A202)</x:f>
        <x:v>17.9872</x:v>
      </x:c>
      <x:c r="J202" s="30" t="n">
        <x:f>SUMIFS('Priced Usage'!$N$7:$N$3366,'Priced Usage'!$C$7:$C$3366,$A202)</x:f>
        <x:v>14.225999999999999</x:v>
      </x:c>
      <x:c r="K202" s="30" t="n">
        <x:f>SUMIFS('Priced Usage'!$O$7:$O$3366,'Priced Usage'!$C$7:$C$3366,$A202)</x:f>
        <x:v>32.2132</x:v>
      </x:c>
      <x:c r="L202" s="29" t="n">
        <x:f>COUNTIFS('Priced Usage'!$C$7:$C$3366,$A202,'Priced Usage'!$I$7:$I$3366,"First attempt")</x:f>
        <x:v>1</x:v>
      </x:c>
      <x:c r="M202" s="29" t="n">
        <x:f>COUNTIFS('Priced Usage'!$C$7:$C$3366,$A202,'Priced Usage'!$I$7:$I$3366,"Followup")</x:f>
        <x:v>11</x:v>
      </x:c>
      <x:c r="N202" s="29" t="n">
        <x:f>COUNTIFS('Priced Usage'!$C$7:$C$3366,$A202,'Priced Usage'!$I$7:$I$3366,"Correction")</x:f>
        <x:v>4</x:v>
      </x:c>
    </x:row>
    <x:row r="203" ht="23" customHeight="1">
      <x:c r="A203" s="17" t="str">
        <x:v>W0197</x:v>
      </x:c>
      <x:c r="B203" s="17" t="str">
        <x:v>C004</x:v>
      </x:c>
      <x:c r="C203" s="17" t="str">
        <x:v>InsightDesk</x:v>
      </x:c>
      <x:c r="D203" s="17" t="str">
        <x:v>Lite</x:v>
      </x:c>
      <x:c r="E203" s="29" t="n">
        <x:f>SUMIFS('Priced Usage'!$G$7:$G$3366,'Priced Usage'!$C$7:$C$3366,$A203)</x:f>
        <x:v>196090</x:v>
      </x:c>
      <x:c r="F203" s="29" t="n">
        <x:f>SUMIFS('Priced Usage'!$H$7:$H$3366,'Priced Usage'!$C$7:$C$3366,$A203)</x:f>
        <x:v>43422</x:v>
      </x:c>
      <x:c r="G203" s="29" t="n">
        <x:f>SUMIFS('Priced Usage'!$L$7:$L$3366,'Priced Usage'!$C$7:$C$3366,$A203)</x:f>
        <x:v>239512</x:v>
      </x:c>
      <x:c r="H203" s="29" t="n">
        <x:f>COUNTIFS('Priced Usage'!$C$7:$C$3366,$A203)</x:f>
        <x:v>10</x:v>
      </x:c>
      <x:c r="I203" s="30" t="n">
        <x:f>SUMIFS('Priced Usage'!$M$7:$M$3366,'Priced Usage'!$C$7:$C$3366,$A203)</x:f>
        <x:v>1.9609</x:v>
      </x:c>
      <x:c r="J203" s="30" t="n">
        <x:f>SUMIFS('Priced Usage'!$N$7:$N$3366,'Priced Usage'!$C$7:$C$3366,$A203)</x:f>
        <x:v>1.30266</x:v>
      </x:c>
      <x:c r="K203" s="30" t="n">
        <x:f>SUMIFS('Priced Usage'!$O$7:$O$3366,'Priced Usage'!$C$7:$C$3366,$A203)</x:f>
        <x:v>3.2635599999999996</x:v>
      </x:c>
      <x:c r="L203" s="29" t="n">
        <x:f>COUNTIFS('Priced Usage'!$C$7:$C$3366,$A203,'Priced Usage'!$I$7:$I$3366,"First attempt")</x:f>
        <x:v>1</x:v>
      </x:c>
      <x:c r="M203" s="29" t="n">
        <x:f>COUNTIFS('Priced Usage'!$C$7:$C$3366,$A203,'Priced Usage'!$I$7:$I$3366,"Followup")</x:f>
        <x:v>8</x:v>
      </x:c>
      <x:c r="N203" s="29" t="n">
        <x:f>COUNTIFS('Priced Usage'!$C$7:$C$3366,$A203,'Priced Usage'!$I$7:$I$3366,"Correction")</x:f>
        <x:v>1</x:v>
      </x:c>
    </x:row>
    <x:row r="204" ht="23" customHeight="1">
      <x:c r="A204" s="17" t="str">
        <x:v>W0198</x:v>
      </x:c>
      <x:c r="B204" s="17" t="str">
        <x:v>C004</x:v>
      </x:c>
      <x:c r="C204" s="17" t="str">
        <x:v>DataFlow</x:v>
      </x:c>
      <x:c r="D204" s="17" t="str">
        <x:v>Lite</x:v>
      </x:c>
      <x:c r="E204" s="29" t="n">
        <x:f>SUMIFS('Priced Usage'!$G$7:$G$3366,'Priced Usage'!$C$7:$C$3366,$A204)</x:f>
        <x:v>238638</x:v>
      </x:c>
      <x:c r="F204" s="29" t="n">
        <x:f>SUMIFS('Priced Usage'!$H$7:$H$3366,'Priced Usage'!$C$7:$C$3366,$A204)</x:f>
        <x:v>55111</x:v>
      </x:c>
      <x:c r="G204" s="29" t="n">
        <x:f>SUMIFS('Priced Usage'!$L$7:$L$3366,'Priced Usage'!$C$7:$C$3366,$A204)</x:f>
        <x:v>293749</x:v>
      </x:c>
      <x:c r="H204" s="29" t="n">
        <x:f>COUNTIFS('Priced Usage'!$C$7:$C$3366,$A204)</x:f>
        <x:v>11</x:v>
      </x:c>
      <x:c r="I204" s="30" t="n">
        <x:f>SUMIFS('Priced Usage'!$M$7:$M$3366,'Priced Usage'!$C$7:$C$3366,$A204)</x:f>
        <x:v>2.38638</x:v>
      </x:c>
      <x:c r="J204" s="30" t="n">
        <x:f>SUMIFS('Priced Usage'!$N$7:$N$3366,'Priced Usage'!$C$7:$C$3366,$A204)</x:f>
        <x:v>1.65333</x:v>
      </x:c>
      <x:c r="K204" s="30" t="n">
        <x:f>SUMIFS('Priced Usage'!$O$7:$O$3366,'Priced Usage'!$C$7:$C$3366,$A204)</x:f>
        <x:v>4.03971</x:v>
      </x:c>
      <x:c r="L204" s="29" t="n">
        <x:f>COUNTIFS('Priced Usage'!$C$7:$C$3366,$A204,'Priced Usage'!$I$7:$I$3366,"First attempt")</x:f>
        <x:v>1</x:v>
      </x:c>
      <x:c r="M204" s="29" t="n">
        <x:f>COUNTIFS('Priced Usage'!$C$7:$C$3366,$A204,'Priced Usage'!$I$7:$I$3366,"Followup")</x:f>
        <x:v>8</x:v>
      </x:c>
      <x:c r="N204" s="29" t="n">
        <x:f>COUNTIFS('Priced Usage'!$C$7:$C$3366,$A204,'Priced Usage'!$I$7:$I$3366,"Correction")</x:f>
        <x:v>2</x:v>
      </x:c>
    </x:row>
    <x:row r="205" ht="23" customHeight="1">
      <x:c r="A205" s="17" t="str">
        <x:v>W0199</x:v>
      </x:c>
      <x:c r="B205" s="17" t="str">
        <x:v>C004</x:v>
      </x:c>
      <x:c r="C205" s="17" t="str">
        <x:v>DataFlow</x:v>
      </x:c>
      <x:c r="D205" s="17" t="str">
        <x:v>Pro</x:v>
      </x:c>
      <x:c r="E205" s="29" t="n">
        <x:f>SUMIFS('Priced Usage'!$G$7:$G$3366,'Priced Usage'!$C$7:$C$3366,$A205)</x:f>
        <x:v>314166</x:v>
      </x:c>
      <x:c r="F205" s="29" t="n">
        <x:f>SUMIFS('Priced Usage'!$H$7:$H$3366,'Priced Usage'!$C$7:$C$3366,$A205)</x:f>
        <x:v>214423</x:v>
      </x:c>
      <x:c r="G205" s="29" t="n">
        <x:f>SUMIFS('Priced Usage'!$L$7:$L$3366,'Priced Usage'!$C$7:$C$3366,$A205)</x:f>
        <x:v>528589</x:v>
      </x:c>
      <x:c r="H205" s="29" t="n">
        <x:f>COUNTIFS('Priced Usage'!$C$7:$C$3366,$A205)</x:f>
        <x:v>17</x:v>
      </x:c>
      <x:c r="I205" s="30" t="n">
        <x:f>SUMIFS('Priced Usage'!$M$7:$M$3366,'Priced Usage'!$C$7:$C$3366,$A205)</x:f>
        <x:v>12.56664</x:v>
      </x:c>
      <x:c r="J205" s="30" t="n">
        <x:f>SUMIFS('Priced Usage'!$N$7:$N$3366,'Priced Usage'!$C$7:$C$3366,$A205)</x:f>
        <x:v>21.442299999999996</x:v>
      </x:c>
      <x:c r="K205" s="30" t="n">
        <x:f>SUMIFS('Priced Usage'!$O$7:$O$3366,'Priced Usage'!$C$7:$C$3366,$A205)</x:f>
        <x:v>34.008939999999996</x:v>
      </x:c>
      <x:c r="L205" s="29" t="n">
        <x:f>COUNTIFS('Priced Usage'!$C$7:$C$3366,$A205,'Priced Usage'!$I$7:$I$3366,"First attempt")</x:f>
        <x:v>1</x:v>
      </x:c>
      <x:c r="M205" s="29" t="n">
        <x:f>COUNTIFS('Priced Usage'!$C$7:$C$3366,$A205,'Priced Usage'!$I$7:$I$3366,"Followup")</x:f>
        <x:v>12</x:v>
      </x:c>
      <x:c r="N205" s="29" t="n">
        <x:f>COUNTIFS('Priced Usage'!$C$7:$C$3366,$A205,'Priced Usage'!$I$7:$I$3366,"Correction")</x:f>
        <x:v>4</x:v>
      </x:c>
    </x:row>
    <x:row r="206" ht="23" customHeight="1">
      <x:c r="A206" s="17" t="str">
        <x:v>W0200</x:v>
      </x:c>
      <x:c r="B206" s="17" t="str">
        <x:v>C004</x:v>
      </x:c>
      <x:c r="C206" s="17" t="str">
        <x:v>InsightDesk</x:v>
      </x:c>
      <x:c r="D206" s="17" t="str">
        <x:v>Lite</x:v>
      </x:c>
      <x:c r="E206" s="29" t="n">
        <x:f>SUMIFS('Priced Usage'!$G$7:$G$3366,'Priced Usage'!$C$7:$C$3366,$A206)</x:f>
        <x:v>209141</x:v>
      </x:c>
      <x:c r="F206" s="29" t="n">
        <x:f>SUMIFS('Priced Usage'!$H$7:$H$3366,'Priced Usage'!$C$7:$C$3366,$A206)</x:f>
        <x:v>50703</x:v>
      </x:c>
      <x:c r="G206" s="29" t="n">
        <x:f>SUMIFS('Priced Usage'!$L$7:$L$3366,'Priced Usage'!$C$7:$C$3366,$A206)</x:f>
        <x:v>259844</x:v>
      </x:c>
      <x:c r="H206" s="29" t="n">
        <x:f>COUNTIFS('Priced Usage'!$C$7:$C$3366,$A206)</x:f>
        <x:v>13</x:v>
      </x:c>
      <x:c r="I206" s="30" t="n">
        <x:f>SUMIFS('Priced Usage'!$M$7:$M$3366,'Priced Usage'!$C$7:$C$3366,$A206)</x:f>
        <x:v>2.09141</x:v>
      </x:c>
      <x:c r="J206" s="30" t="n">
        <x:f>SUMIFS('Priced Usage'!$N$7:$N$3366,'Priced Usage'!$C$7:$C$3366,$A206)</x:f>
        <x:v>1.5210899999999996</x:v>
      </x:c>
      <x:c r="K206" s="30" t="n">
        <x:f>SUMIFS('Priced Usage'!$O$7:$O$3366,'Priced Usage'!$C$7:$C$3366,$A206)</x:f>
        <x:v>3.6125</x:v>
      </x:c>
      <x:c r="L206" s="29" t="n">
        <x:f>COUNTIFS('Priced Usage'!$C$7:$C$3366,$A206,'Priced Usage'!$I$7:$I$3366,"First attempt")</x:f>
        <x:v>1</x:v>
      </x:c>
      <x:c r="M206" s="29" t="n">
        <x:f>COUNTIFS('Priced Usage'!$C$7:$C$3366,$A206,'Priced Usage'!$I$7:$I$3366,"Followup")</x:f>
        <x:v>8</x:v>
      </x:c>
      <x:c r="N206" s="29" t="n">
        <x:f>COUNTIFS('Priced Usage'!$C$7:$C$3366,$A206,'Priced Usage'!$I$7:$I$3366,"Correction")</x:f>
        <x:v>4</x:v>
      </x:c>
    </x:row>
    <x:row r="207" ht="23" customHeight="1">
      <x:c r="A207" s="17" t="str">
        <x:v>W0201</x:v>
      </x:c>
      <x:c r="B207" s="17" t="str">
        <x:v>C004</x:v>
      </x:c>
      <x:c r="C207" s="17" t="str">
        <x:v>InsightDesk</x:v>
      </x:c>
      <x:c r="D207" s="17" t="str">
        <x:v>Lite</x:v>
      </x:c>
      <x:c r="E207" s="29" t="n">
        <x:f>SUMIFS('Priced Usage'!$G$7:$G$3366,'Priced Usage'!$C$7:$C$3366,$A207)</x:f>
        <x:v>180689</x:v>
      </x:c>
      <x:c r="F207" s="29" t="n">
        <x:f>SUMIFS('Priced Usage'!$H$7:$H$3366,'Priced Usage'!$C$7:$C$3366,$A207)</x:f>
        <x:v>42600</x:v>
      </x:c>
      <x:c r="G207" s="29" t="n">
        <x:f>SUMIFS('Priced Usage'!$L$7:$L$3366,'Priced Usage'!$C$7:$C$3366,$A207)</x:f>
        <x:v>223289</x:v>
      </x:c>
      <x:c r="H207" s="29" t="n">
        <x:f>COUNTIFS('Priced Usage'!$C$7:$C$3366,$A207)</x:f>
        <x:v>11</x:v>
      </x:c>
      <x:c r="I207" s="30" t="n">
        <x:f>SUMIFS('Priced Usage'!$M$7:$M$3366,'Priced Usage'!$C$7:$C$3366,$A207)</x:f>
        <x:v>1.80689</x:v>
      </x:c>
      <x:c r="J207" s="30" t="n">
        <x:f>SUMIFS('Priced Usage'!$N$7:$N$3366,'Priced Usage'!$C$7:$C$3366,$A207)</x:f>
        <x:v>1.278</x:v>
      </x:c>
      <x:c r="K207" s="30" t="n">
        <x:f>SUMIFS('Priced Usage'!$O$7:$O$3366,'Priced Usage'!$C$7:$C$3366,$A207)</x:f>
        <x:v>3.08489</x:v>
      </x:c>
      <x:c r="L207" s="29" t="n">
        <x:f>COUNTIFS('Priced Usage'!$C$7:$C$3366,$A207,'Priced Usage'!$I$7:$I$3366,"First attempt")</x:f>
        <x:v>1</x:v>
      </x:c>
      <x:c r="M207" s="29" t="n">
        <x:f>COUNTIFS('Priced Usage'!$C$7:$C$3366,$A207,'Priced Usage'!$I$7:$I$3366,"Followup")</x:f>
        <x:v>7</x:v>
      </x:c>
      <x:c r="N207" s="29" t="n">
        <x:f>COUNTIFS('Priced Usage'!$C$7:$C$3366,$A207,'Priced Usage'!$I$7:$I$3366,"Correction")</x:f>
        <x:v>3</x:v>
      </x:c>
    </x:row>
    <x:row r="208" ht="23" customHeight="1">
      <x:c r="A208" s="17" t="str">
        <x:v>W0202</x:v>
      </x:c>
      <x:c r="B208" s="17" t="str">
        <x:v>C004</x:v>
      </x:c>
      <x:c r="C208" s="17" t="str">
        <x:v>CopyStudio</x:v>
      </x:c>
      <x:c r="D208" s="17" t="str">
        <x:v>Pro</x:v>
      </x:c>
      <x:c r="E208" s="29" t="n">
        <x:f>SUMIFS('Priced Usage'!$G$7:$G$3366,'Priced Usage'!$C$7:$C$3366,$A208)</x:f>
        <x:v>315026</x:v>
      </x:c>
      <x:c r="F208" s="29" t="n">
        <x:f>SUMIFS('Priced Usage'!$H$7:$H$3366,'Priced Usage'!$C$7:$C$3366,$A208)</x:f>
        <x:v>87990</x:v>
      </x:c>
      <x:c r="G208" s="29" t="n">
        <x:f>SUMIFS('Priced Usage'!$L$7:$L$3366,'Priced Usage'!$C$7:$C$3366,$A208)</x:f>
        <x:v>403016</x:v>
      </x:c>
      <x:c r="H208" s="29" t="n">
        <x:f>COUNTIFS('Priced Usage'!$C$7:$C$3366,$A208)</x:f>
        <x:v>13</x:v>
      </x:c>
      <x:c r="I208" s="30" t="n">
        <x:f>SUMIFS('Priced Usage'!$M$7:$M$3366,'Priced Usage'!$C$7:$C$3366,$A208)</x:f>
        <x:v>12.601040000000003</x:v>
      </x:c>
      <x:c r="J208" s="30" t="n">
        <x:f>SUMIFS('Priced Usage'!$N$7:$N$3366,'Priced Usage'!$C$7:$C$3366,$A208)</x:f>
        <x:v>8.799</x:v>
      </x:c>
      <x:c r="K208" s="30" t="n">
        <x:f>SUMIFS('Priced Usage'!$O$7:$O$3366,'Priced Usage'!$C$7:$C$3366,$A208)</x:f>
        <x:v>21.400039999999997</x:v>
      </x:c>
      <x:c r="L208" s="29" t="n">
        <x:f>COUNTIFS('Priced Usage'!$C$7:$C$3366,$A208,'Priced Usage'!$I$7:$I$3366,"First attempt")</x:f>
        <x:v>1</x:v>
      </x:c>
      <x:c r="M208" s="29" t="n">
        <x:f>COUNTIFS('Priced Usage'!$C$7:$C$3366,$A208,'Priced Usage'!$I$7:$I$3366,"Followup")</x:f>
        <x:v>9</x:v>
      </x:c>
      <x:c r="N208" s="29" t="n">
        <x:f>COUNTIFS('Priced Usage'!$C$7:$C$3366,$A208,'Priced Usage'!$I$7:$I$3366,"Correction")</x:f>
        <x:v>3</x:v>
      </x:c>
    </x:row>
    <x:row r="209" ht="23" customHeight="1">
      <x:c r="A209" s="17" t="str">
        <x:v>W0203</x:v>
      </x:c>
      <x:c r="B209" s="17" t="str">
        <x:v>C004</x:v>
      </x:c>
      <x:c r="C209" s="17" t="str">
        <x:v>CopyStudio</x:v>
      </x:c>
      <x:c r="D209" s="17" t="str">
        <x:v>Lite</x:v>
      </x:c>
      <x:c r="E209" s="29" t="n">
        <x:f>SUMIFS('Priced Usage'!$G$7:$G$3366,'Priced Usage'!$C$7:$C$3366,$A209)</x:f>
        <x:v>260170</x:v>
      </x:c>
      <x:c r="F209" s="29" t="n">
        <x:f>SUMIFS('Priced Usage'!$H$7:$H$3366,'Priced Usage'!$C$7:$C$3366,$A209)</x:f>
        <x:v>52374</x:v>
      </x:c>
      <x:c r="G209" s="29" t="n">
        <x:f>SUMIFS('Priced Usage'!$L$7:$L$3366,'Priced Usage'!$C$7:$C$3366,$A209)</x:f>
        <x:v>312544</x:v>
      </x:c>
      <x:c r="H209" s="29" t="n">
        <x:f>COUNTIFS('Priced Usage'!$C$7:$C$3366,$A209)</x:f>
        <x:v>12</x:v>
      </x:c>
      <x:c r="I209" s="30" t="n">
        <x:f>SUMIFS('Priced Usage'!$M$7:$M$3366,'Priced Usage'!$C$7:$C$3366,$A209)</x:f>
        <x:v>2.6017</x:v>
      </x:c>
      <x:c r="J209" s="30" t="n">
        <x:f>SUMIFS('Priced Usage'!$N$7:$N$3366,'Priced Usage'!$C$7:$C$3366,$A209)</x:f>
        <x:v>1.57122</x:v>
      </x:c>
      <x:c r="K209" s="30" t="n">
        <x:f>SUMIFS('Priced Usage'!$O$7:$O$3366,'Priced Usage'!$C$7:$C$3366,$A209)</x:f>
        <x:v>4.1729199999999995</x:v>
      </x:c>
      <x:c r="L209" s="29" t="n">
        <x:f>COUNTIFS('Priced Usage'!$C$7:$C$3366,$A209,'Priced Usage'!$I$7:$I$3366,"First attempt")</x:f>
        <x:v>1</x:v>
      </x:c>
      <x:c r="M209" s="29" t="n">
        <x:f>COUNTIFS('Priced Usage'!$C$7:$C$3366,$A209,'Priced Usage'!$I$7:$I$3366,"Followup")</x:f>
        <x:v>9</x:v>
      </x:c>
      <x:c r="N209" s="29" t="n">
        <x:f>COUNTIFS('Priced Usage'!$C$7:$C$3366,$A209,'Priced Usage'!$I$7:$I$3366,"Correction")</x:f>
        <x:v>2</x:v>
      </x:c>
    </x:row>
    <x:row r="210" ht="23" customHeight="1">
      <x:c r="A210" s="17" t="str">
        <x:v>W0204</x:v>
      </x:c>
      <x:c r="B210" s="17" t="str">
        <x:v>C004</x:v>
      </x:c>
      <x:c r="C210" s="17" t="str">
        <x:v>CampaignChat</x:v>
      </x:c>
      <x:c r="D210" s="17" t="str">
        <x:v>Lite</x:v>
      </x:c>
      <x:c r="E210" s="29" t="n">
        <x:f>SUMIFS('Priced Usage'!$G$7:$G$3366,'Priced Usage'!$C$7:$C$3366,$A210)</x:f>
        <x:v>306113</x:v>
      </x:c>
      <x:c r="F210" s="29" t="n">
        <x:f>SUMIFS('Priced Usage'!$H$7:$H$3366,'Priced Usage'!$C$7:$C$3366,$A210)</x:f>
        <x:v>109896</x:v>
      </x:c>
      <x:c r="G210" s="29" t="n">
        <x:f>SUMIFS('Priced Usage'!$L$7:$L$3366,'Priced Usage'!$C$7:$C$3366,$A210)</x:f>
        <x:v>416009</x:v>
      </x:c>
      <x:c r="H210" s="29" t="n">
        <x:f>COUNTIFS('Priced Usage'!$C$7:$C$3366,$A210)</x:f>
        <x:v>19</x:v>
      </x:c>
      <x:c r="I210" s="30" t="n">
        <x:f>SUMIFS('Priced Usage'!$M$7:$M$3366,'Priced Usage'!$C$7:$C$3366,$A210)</x:f>
        <x:v>3.0611299999999995</x:v>
      </x:c>
      <x:c r="J210" s="30" t="n">
        <x:f>SUMIFS('Priced Usage'!$N$7:$N$3366,'Priced Usage'!$C$7:$C$3366,$A210)</x:f>
        <x:v>3.29688</x:v>
      </x:c>
      <x:c r="K210" s="30" t="n">
        <x:f>SUMIFS('Priced Usage'!$O$7:$O$3366,'Priced Usage'!$C$7:$C$3366,$A210)</x:f>
        <x:v>6.358010000000001</x:v>
      </x:c>
      <x:c r="L210" s="29" t="n">
        <x:f>COUNTIFS('Priced Usage'!$C$7:$C$3366,$A210,'Priced Usage'!$I$7:$I$3366,"First attempt")</x:f>
        <x:v>1</x:v>
      </x:c>
      <x:c r="M210" s="29" t="n">
        <x:f>COUNTIFS('Priced Usage'!$C$7:$C$3366,$A210,'Priced Usage'!$I$7:$I$3366,"Followup")</x:f>
        <x:v>13</x:v>
      </x:c>
      <x:c r="N210" s="29" t="n">
        <x:f>COUNTIFS('Priced Usage'!$C$7:$C$3366,$A210,'Priced Usage'!$I$7:$I$3366,"Correction")</x:f>
        <x:v>5</x:v>
      </x:c>
    </x:row>
    <x:row r="211" ht="23" customHeight="1">
      <x:c r="A211" s="17" t="str">
        <x:v>W0205</x:v>
      </x:c>
      <x:c r="B211" s="17" t="str">
        <x:v>C004</x:v>
      </x:c>
      <x:c r="C211" s="17" t="str">
        <x:v>CampaignChat</x:v>
      </x:c>
      <x:c r="D211" s="17" t="str">
        <x:v>Lite</x:v>
      </x:c>
      <x:c r="E211" s="29" t="n">
        <x:f>SUMIFS('Priced Usage'!$G$7:$G$3366,'Priced Usage'!$C$7:$C$3366,$A211)</x:f>
        <x:v>507977</x:v>
      </x:c>
      <x:c r="F211" s="29" t="n">
        <x:f>SUMIFS('Priced Usage'!$H$7:$H$3366,'Priced Usage'!$C$7:$C$3366,$A211)</x:f>
        <x:v>99437</x:v>
      </x:c>
      <x:c r="G211" s="29" t="n">
        <x:f>SUMIFS('Priced Usage'!$L$7:$L$3366,'Priced Usage'!$C$7:$C$3366,$A211)</x:f>
        <x:v>607414</x:v>
      </x:c>
      <x:c r="H211" s="29" t="n">
        <x:f>COUNTIFS('Priced Usage'!$C$7:$C$3366,$A211)</x:f>
        <x:v>19</x:v>
      </x:c>
      <x:c r="I211" s="30" t="n">
        <x:f>SUMIFS('Priced Usage'!$M$7:$M$3366,'Priced Usage'!$C$7:$C$3366,$A211)</x:f>
        <x:v>5.079769999999999</x:v>
      </x:c>
      <x:c r="J211" s="30" t="n">
        <x:f>SUMIFS('Priced Usage'!$N$7:$N$3366,'Priced Usage'!$C$7:$C$3366,$A211)</x:f>
        <x:v>2.9831100000000004</x:v>
      </x:c>
      <x:c r="K211" s="30" t="n">
        <x:f>SUMIFS('Priced Usage'!$O$7:$O$3366,'Priced Usage'!$C$7:$C$3366,$A211)</x:f>
        <x:v>8.06288</x:v>
      </x:c>
      <x:c r="L211" s="29" t="n">
        <x:f>COUNTIFS('Priced Usage'!$C$7:$C$3366,$A211,'Priced Usage'!$I$7:$I$3366,"First attempt")</x:f>
        <x:v>1</x:v>
      </x:c>
      <x:c r="M211" s="29" t="n">
        <x:f>COUNTIFS('Priced Usage'!$C$7:$C$3366,$A211,'Priced Usage'!$I$7:$I$3366,"Followup")</x:f>
        <x:v>15</x:v>
      </x:c>
      <x:c r="N211" s="29" t="n">
        <x:f>COUNTIFS('Priced Usage'!$C$7:$C$3366,$A211,'Priced Usage'!$I$7:$I$3366,"Correction")</x:f>
        <x:v>3</x:v>
      </x:c>
    </x:row>
    <x:row r="212" ht="23" customHeight="1">
      <x:c r="A212" s="17" t="str">
        <x:v>W0206</x:v>
      </x:c>
      <x:c r="B212" s="17" t="str">
        <x:v>C004</x:v>
      </x:c>
      <x:c r="C212" s="17" t="str">
        <x:v>DataFlow</x:v>
      </x:c>
      <x:c r="D212" s="17" t="str">
        <x:v>Pro</x:v>
      </x:c>
      <x:c r="E212" s="29" t="n">
        <x:f>SUMIFS('Priced Usage'!$G$7:$G$3366,'Priced Usage'!$C$7:$C$3366,$A212)</x:f>
        <x:v>382913</x:v>
      </x:c>
      <x:c r="F212" s="29" t="n">
        <x:f>SUMIFS('Priced Usage'!$H$7:$H$3366,'Priced Usage'!$C$7:$C$3366,$A212)</x:f>
        <x:v>77515</x:v>
      </x:c>
      <x:c r="G212" s="29" t="n">
        <x:f>SUMIFS('Priced Usage'!$L$7:$L$3366,'Priced Usage'!$C$7:$C$3366,$A212)</x:f>
        <x:v>460428</x:v>
      </x:c>
      <x:c r="H212" s="29" t="n">
        <x:f>COUNTIFS('Priced Usage'!$C$7:$C$3366,$A212)</x:f>
        <x:v>14</x:v>
      </x:c>
      <x:c r="I212" s="30" t="n">
        <x:f>SUMIFS('Priced Usage'!$M$7:$M$3366,'Priced Usage'!$C$7:$C$3366,$A212)</x:f>
        <x:v>15.31652</x:v>
      </x:c>
      <x:c r="J212" s="30" t="n">
        <x:f>SUMIFS('Priced Usage'!$N$7:$N$3366,'Priced Usage'!$C$7:$C$3366,$A212)</x:f>
        <x:v>7.7515</x:v>
      </x:c>
      <x:c r="K212" s="30" t="n">
        <x:f>SUMIFS('Priced Usage'!$O$7:$O$3366,'Priced Usage'!$C$7:$C$3366,$A212)</x:f>
        <x:v>23.06802</x:v>
      </x:c>
      <x:c r="L212" s="29" t="n">
        <x:f>COUNTIFS('Priced Usage'!$C$7:$C$3366,$A212,'Priced Usage'!$I$7:$I$3366,"First attempt")</x:f>
        <x:v>1</x:v>
      </x:c>
      <x:c r="M212" s="29" t="n">
        <x:f>COUNTIFS('Priced Usage'!$C$7:$C$3366,$A212,'Priced Usage'!$I$7:$I$3366,"Followup")</x:f>
        <x:v>10</x:v>
      </x:c>
      <x:c r="N212" s="29" t="n">
        <x:f>COUNTIFS('Priced Usage'!$C$7:$C$3366,$A212,'Priced Usage'!$I$7:$I$3366,"Correction")</x:f>
        <x:v>3</x:v>
      </x:c>
    </x:row>
    <x:row r="213" ht="23" customHeight="1">
      <x:c r="A213" s="17" t="str">
        <x:v>W0207</x:v>
      </x:c>
      <x:c r="B213" s="17" t="str">
        <x:v>C004</x:v>
      </x:c>
      <x:c r="C213" s="17" t="str">
        <x:v>DataFlow</x:v>
      </x:c>
      <x:c r="D213" s="17" t="str">
        <x:v>Pro</x:v>
      </x:c>
      <x:c r="E213" s="29" t="n">
        <x:f>SUMIFS('Priced Usage'!$G$7:$G$3366,'Priced Usage'!$C$7:$C$3366,$A213)</x:f>
        <x:v>246691</x:v>
      </x:c>
      <x:c r="F213" s="29" t="n">
        <x:f>SUMIFS('Priced Usage'!$H$7:$H$3366,'Priced Usage'!$C$7:$C$3366,$A213)</x:f>
        <x:v>79066</x:v>
      </x:c>
      <x:c r="G213" s="29" t="n">
        <x:f>SUMIFS('Priced Usage'!$L$7:$L$3366,'Priced Usage'!$C$7:$C$3366,$A213)</x:f>
        <x:v>325757</x:v>
      </x:c>
      <x:c r="H213" s="29" t="n">
        <x:f>COUNTIFS('Priced Usage'!$C$7:$C$3366,$A213)</x:f>
        <x:v>13</x:v>
      </x:c>
      <x:c r="I213" s="30" t="n">
        <x:f>SUMIFS('Priced Usage'!$M$7:$M$3366,'Priced Usage'!$C$7:$C$3366,$A213)</x:f>
        <x:v>9.867640000000002</x:v>
      </x:c>
      <x:c r="J213" s="30" t="n">
        <x:f>SUMIFS('Priced Usage'!$N$7:$N$3366,'Priced Usage'!$C$7:$C$3366,$A213)</x:f>
        <x:v>7.906599999999999</x:v>
      </x:c>
      <x:c r="K213" s="30" t="n">
        <x:f>SUMIFS('Priced Usage'!$O$7:$O$3366,'Priced Usage'!$C$7:$C$3366,$A213)</x:f>
        <x:v>17.774240000000002</x:v>
      </x:c>
      <x:c r="L213" s="29" t="n">
        <x:f>COUNTIFS('Priced Usage'!$C$7:$C$3366,$A213,'Priced Usage'!$I$7:$I$3366,"First attempt")</x:f>
        <x:v>1</x:v>
      </x:c>
      <x:c r="M213" s="29" t="n">
        <x:f>COUNTIFS('Priced Usage'!$C$7:$C$3366,$A213,'Priced Usage'!$I$7:$I$3366,"Followup")</x:f>
        <x:v>10</x:v>
      </x:c>
      <x:c r="N213" s="29" t="n">
        <x:f>COUNTIFS('Priced Usage'!$C$7:$C$3366,$A213,'Priced Usage'!$I$7:$I$3366,"Correction")</x:f>
        <x:v>2</x:v>
      </x:c>
    </x:row>
    <x:row r="214" ht="23" customHeight="1">
      <x:c r="A214" s="17" t="str">
        <x:v>W0208</x:v>
      </x:c>
      <x:c r="B214" s="17" t="str">
        <x:v>C004</x:v>
      </x:c>
      <x:c r="C214" s="17" t="str">
        <x:v>InsightDesk</x:v>
      </x:c>
      <x:c r="D214" s="17" t="str">
        <x:v>Pro</x:v>
      </x:c>
      <x:c r="E214" s="29" t="n">
        <x:f>SUMIFS('Priced Usage'!$G$7:$G$3366,'Priced Usage'!$C$7:$C$3366,$A214)</x:f>
        <x:v>273036</x:v>
      </x:c>
      <x:c r="F214" s="29" t="n">
        <x:f>SUMIFS('Priced Usage'!$H$7:$H$3366,'Priced Usage'!$C$7:$C$3366,$A214)</x:f>
        <x:v>99833</x:v>
      </x:c>
      <x:c r="G214" s="29" t="n">
        <x:f>SUMIFS('Priced Usage'!$L$7:$L$3366,'Priced Usage'!$C$7:$C$3366,$A214)</x:f>
        <x:v>372869</x:v>
      </x:c>
      <x:c r="H214" s="29" t="n">
        <x:f>COUNTIFS('Priced Usage'!$C$7:$C$3366,$A214)</x:f>
        <x:v>11</x:v>
      </x:c>
      <x:c r="I214" s="30" t="n">
        <x:f>SUMIFS('Priced Usage'!$M$7:$M$3366,'Priced Usage'!$C$7:$C$3366,$A214)</x:f>
        <x:v>10.921439999999999</x:v>
      </x:c>
      <x:c r="J214" s="30" t="n">
        <x:f>SUMIFS('Priced Usage'!$N$7:$N$3366,'Priced Usage'!$C$7:$C$3366,$A214)</x:f>
        <x:v>9.983299999999998</x:v>
      </x:c>
      <x:c r="K214" s="30" t="n">
        <x:f>SUMIFS('Priced Usage'!$O$7:$O$3366,'Priced Usage'!$C$7:$C$3366,$A214)</x:f>
        <x:v>20.904739999999997</x:v>
      </x:c>
      <x:c r="L214" s="29" t="n">
        <x:f>COUNTIFS('Priced Usage'!$C$7:$C$3366,$A214,'Priced Usage'!$I$7:$I$3366,"First attempt")</x:f>
        <x:v>1</x:v>
      </x:c>
      <x:c r="M214" s="29" t="n">
        <x:f>COUNTIFS('Priced Usage'!$C$7:$C$3366,$A214,'Priced Usage'!$I$7:$I$3366,"Followup")</x:f>
        <x:v>9</x:v>
      </x:c>
      <x:c r="N214" s="29" t="n">
        <x:f>COUNTIFS('Priced Usage'!$C$7:$C$3366,$A214,'Priced Usage'!$I$7:$I$3366,"Correction")</x:f>
        <x:v>1</x:v>
      </x:c>
    </x:row>
    <x:row r="215" ht="23" customHeight="1">
      <x:c r="A215" s="17" t="str">
        <x:v>W0209</x:v>
      </x:c>
      <x:c r="B215" s="17" t="str">
        <x:v>C004</x:v>
      </x:c>
      <x:c r="C215" s="17" t="str">
        <x:v>DataFlow</x:v>
      </x:c>
      <x:c r="D215" s="17" t="str">
        <x:v>Lite</x:v>
      </x:c>
      <x:c r="E215" s="29" t="n">
        <x:f>SUMIFS('Priced Usage'!$G$7:$G$3366,'Priced Usage'!$C$7:$C$3366,$A215)</x:f>
        <x:v>339054</x:v>
      </x:c>
      <x:c r="F215" s="29" t="n">
        <x:f>SUMIFS('Priced Usage'!$H$7:$H$3366,'Priced Usage'!$C$7:$C$3366,$A215)</x:f>
        <x:v>42832</x:v>
      </x:c>
      <x:c r="G215" s="29" t="n">
        <x:f>SUMIFS('Priced Usage'!$L$7:$L$3366,'Priced Usage'!$C$7:$C$3366,$A215)</x:f>
        <x:v>381886</x:v>
      </x:c>
      <x:c r="H215" s="29" t="n">
        <x:f>COUNTIFS('Priced Usage'!$C$7:$C$3366,$A215)</x:f>
        <x:v>16</x:v>
      </x:c>
      <x:c r="I215" s="30" t="n">
        <x:f>SUMIFS('Priced Usage'!$M$7:$M$3366,'Priced Usage'!$C$7:$C$3366,$A215)</x:f>
        <x:v>3.3905400000000006</x:v>
      </x:c>
      <x:c r="J215" s="30" t="n">
        <x:f>SUMIFS('Priced Usage'!$N$7:$N$3366,'Priced Usage'!$C$7:$C$3366,$A215)</x:f>
        <x:v>1.2849600000000003</x:v>
      </x:c>
      <x:c r="K215" s="30" t="n">
        <x:f>SUMIFS('Priced Usage'!$O$7:$O$3366,'Priced Usage'!$C$7:$C$3366,$A215)</x:f>
        <x:v>4.6754999999999995</x:v>
      </x:c>
      <x:c r="L215" s="29" t="n">
        <x:f>COUNTIFS('Priced Usage'!$C$7:$C$3366,$A215,'Priced Usage'!$I$7:$I$3366,"First attempt")</x:f>
        <x:v>1</x:v>
      </x:c>
      <x:c r="M215" s="29" t="n">
        <x:f>COUNTIFS('Priced Usage'!$C$7:$C$3366,$A215,'Priced Usage'!$I$7:$I$3366,"Followup")</x:f>
        <x:v>10</x:v>
      </x:c>
      <x:c r="N215" s="29" t="n">
        <x:f>COUNTIFS('Priced Usage'!$C$7:$C$3366,$A215,'Priced Usage'!$I$7:$I$3366,"Correction")</x:f>
        <x:v>5</x:v>
      </x:c>
    </x:row>
    <x:row r="216" ht="23" customHeight="1">
      <x:c r="A216" s="17" t="str">
        <x:v>W0210</x:v>
      </x:c>
      <x:c r="B216" s="17" t="str">
        <x:v>C004</x:v>
      </x:c>
      <x:c r="C216" s="17" t="str">
        <x:v>InsightDesk</x:v>
      </x:c>
      <x:c r="D216" s="17" t="str">
        <x:v>Lite</x:v>
      </x:c>
      <x:c r="E216" s="29" t="n">
        <x:f>SUMIFS('Priced Usage'!$G$7:$G$3366,'Priced Usage'!$C$7:$C$3366,$A216)</x:f>
        <x:v>406095</x:v>
      </x:c>
      <x:c r="F216" s="29" t="n">
        <x:f>SUMIFS('Priced Usage'!$H$7:$H$3366,'Priced Usage'!$C$7:$C$3366,$A216)</x:f>
        <x:v>89889</x:v>
      </x:c>
      <x:c r="G216" s="29" t="n">
        <x:f>SUMIFS('Priced Usage'!$L$7:$L$3366,'Priced Usage'!$C$7:$C$3366,$A216)</x:f>
        <x:v>495984</x:v>
      </x:c>
      <x:c r="H216" s="29" t="n">
        <x:f>COUNTIFS('Priced Usage'!$C$7:$C$3366,$A216)</x:f>
        <x:v>16</x:v>
      </x:c>
      <x:c r="I216" s="30" t="n">
        <x:f>SUMIFS('Priced Usage'!$M$7:$M$3366,'Priced Usage'!$C$7:$C$3366,$A216)</x:f>
        <x:v>4.06095</x:v>
      </x:c>
      <x:c r="J216" s="30" t="n">
        <x:f>SUMIFS('Priced Usage'!$N$7:$N$3366,'Priced Usage'!$C$7:$C$3366,$A216)</x:f>
        <x:v>2.6966699999999997</x:v>
      </x:c>
      <x:c r="K216" s="30" t="n">
        <x:f>SUMIFS('Priced Usage'!$O$7:$O$3366,'Priced Usage'!$C$7:$C$3366,$A216)</x:f>
        <x:v>6.757619999999999</x:v>
      </x:c>
      <x:c r="L216" s="29" t="n">
        <x:f>COUNTIFS('Priced Usage'!$C$7:$C$3366,$A216,'Priced Usage'!$I$7:$I$3366,"First attempt")</x:f>
        <x:v>1</x:v>
      </x:c>
      <x:c r="M216" s="29" t="n">
        <x:f>COUNTIFS('Priced Usage'!$C$7:$C$3366,$A216,'Priced Usage'!$I$7:$I$3366,"Followup")</x:f>
        <x:v>12</x:v>
      </x:c>
      <x:c r="N216" s="29" t="n">
        <x:f>COUNTIFS('Priced Usage'!$C$7:$C$3366,$A216,'Priced Usage'!$I$7:$I$3366,"Correction")</x:f>
        <x:v>3</x:v>
      </x:c>
    </x:row>
    <x:row r="217" ht="23" customHeight="1">
      <x:c r="A217" s="17" t="str">
        <x:v>W0211</x:v>
      </x:c>
      <x:c r="B217" s="17" t="str">
        <x:v>C004</x:v>
      </x:c>
      <x:c r="C217" s="17" t="str">
        <x:v>CopyStudio</x:v>
      </x:c>
      <x:c r="D217" s="17" t="str">
        <x:v>Pro</x:v>
      </x:c>
      <x:c r="E217" s="29" t="n">
        <x:f>SUMIFS('Priced Usage'!$G$7:$G$3366,'Priced Usage'!$C$7:$C$3366,$A217)</x:f>
        <x:v>274869</x:v>
      </x:c>
      <x:c r="F217" s="29" t="n">
        <x:f>SUMIFS('Priced Usage'!$H$7:$H$3366,'Priced Usage'!$C$7:$C$3366,$A217)</x:f>
        <x:v>64006</x:v>
      </x:c>
      <x:c r="G217" s="29" t="n">
        <x:f>SUMIFS('Priced Usage'!$L$7:$L$3366,'Priced Usage'!$C$7:$C$3366,$A217)</x:f>
        <x:v>338875</x:v>
      </x:c>
      <x:c r="H217" s="29" t="n">
        <x:f>COUNTIFS('Priced Usage'!$C$7:$C$3366,$A217)</x:f>
        <x:v>10</x:v>
      </x:c>
      <x:c r="I217" s="30" t="n">
        <x:f>SUMIFS('Priced Usage'!$M$7:$M$3366,'Priced Usage'!$C$7:$C$3366,$A217)</x:f>
        <x:v>10.99476</x:v>
      </x:c>
      <x:c r="J217" s="30" t="n">
        <x:f>SUMIFS('Priced Usage'!$N$7:$N$3366,'Priced Usage'!$C$7:$C$3366,$A217)</x:f>
        <x:v>6.400600000000001</x:v>
      </x:c>
      <x:c r="K217" s="30" t="n">
        <x:f>SUMIFS('Priced Usage'!$O$7:$O$3366,'Priced Usage'!$C$7:$C$3366,$A217)</x:f>
        <x:v>17.395360000000004</x:v>
      </x:c>
      <x:c r="L217" s="29" t="n">
        <x:f>COUNTIFS('Priced Usage'!$C$7:$C$3366,$A217,'Priced Usage'!$I$7:$I$3366,"First attempt")</x:f>
        <x:v>1</x:v>
      </x:c>
      <x:c r="M217" s="29" t="n">
        <x:f>COUNTIFS('Priced Usage'!$C$7:$C$3366,$A217,'Priced Usage'!$I$7:$I$3366,"Followup")</x:f>
        <x:v>6</x:v>
      </x:c>
      <x:c r="N217" s="29" t="n">
        <x:f>COUNTIFS('Priced Usage'!$C$7:$C$3366,$A217,'Priced Usage'!$I$7:$I$3366,"Correction")</x:f>
        <x:v>3</x:v>
      </x:c>
    </x:row>
    <x:row r="218" ht="23" customHeight="1">
      <x:c r="A218" s="17" t="str">
        <x:v>W0212</x:v>
      </x:c>
      <x:c r="B218" s="17" t="str">
        <x:v>C004</x:v>
      </x:c>
      <x:c r="C218" s="17" t="str">
        <x:v>CampaignChat</x:v>
      </x:c>
      <x:c r="D218" s="17" t="str">
        <x:v>Lite</x:v>
      </x:c>
      <x:c r="E218" s="29" t="n">
        <x:f>SUMIFS('Priced Usage'!$G$7:$G$3366,'Priced Usage'!$C$7:$C$3366,$A218)</x:f>
        <x:v>524327</x:v>
      </x:c>
      <x:c r="F218" s="29" t="n">
        <x:f>SUMIFS('Priced Usage'!$H$7:$H$3366,'Priced Usage'!$C$7:$C$3366,$A218)</x:f>
        <x:v>48530</x:v>
      </x:c>
      <x:c r="G218" s="29" t="n">
        <x:f>SUMIFS('Priced Usage'!$L$7:$L$3366,'Priced Usage'!$C$7:$C$3366,$A218)</x:f>
        <x:v>572857</x:v>
      </x:c>
      <x:c r="H218" s="29" t="n">
        <x:f>COUNTIFS('Priced Usage'!$C$7:$C$3366,$A218)</x:f>
        <x:v>18</x:v>
      </x:c>
      <x:c r="I218" s="30" t="n">
        <x:f>SUMIFS('Priced Usage'!$M$7:$M$3366,'Priced Usage'!$C$7:$C$3366,$A218)</x:f>
        <x:v>5.243270000000001</x:v>
      </x:c>
      <x:c r="J218" s="30" t="n">
        <x:f>SUMIFS('Priced Usage'!$N$7:$N$3366,'Priced Usage'!$C$7:$C$3366,$A218)</x:f>
        <x:v>1.4559</x:v>
      </x:c>
      <x:c r="K218" s="30" t="n">
        <x:f>SUMIFS('Priced Usage'!$O$7:$O$3366,'Priced Usage'!$C$7:$C$3366,$A218)</x:f>
        <x:v>6.69917</x:v>
      </x:c>
      <x:c r="L218" s="29" t="n">
        <x:f>COUNTIFS('Priced Usage'!$C$7:$C$3366,$A218,'Priced Usage'!$I$7:$I$3366,"First attempt")</x:f>
        <x:v>1</x:v>
      </x:c>
      <x:c r="M218" s="29" t="n">
        <x:f>COUNTIFS('Priced Usage'!$C$7:$C$3366,$A218,'Priced Usage'!$I$7:$I$3366,"Followup")</x:f>
        <x:v>13</x:v>
      </x:c>
      <x:c r="N218" s="29" t="n">
        <x:f>COUNTIFS('Priced Usage'!$C$7:$C$3366,$A218,'Priced Usage'!$I$7:$I$3366,"Correction")</x:f>
        <x:v>4</x:v>
      </x:c>
    </x:row>
    <x:row r="219" ht="23" customHeight="1">
      <x:c r="A219" s="17" t="str">
        <x:v>W0213</x:v>
      </x:c>
      <x:c r="B219" s="17" t="str">
        <x:v>C004</x:v>
      </x:c>
      <x:c r="C219" s="17" t="str">
        <x:v>CampaignChat</x:v>
      </x:c>
      <x:c r="D219" s="17" t="str">
        <x:v>Lite</x:v>
      </x:c>
      <x:c r="E219" s="29" t="n">
        <x:f>SUMIFS('Priced Usage'!$G$7:$G$3366,'Priced Usage'!$C$7:$C$3366,$A219)</x:f>
        <x:v>150333</x:v>
      </x:c>
      <x:c r="F219" s="29" t="n">
        <x:f>SUMIFS('Priced Usage'!$H$7:$H$3366,'Priced Usage'!$C$7:$C$3366,$A219)</x:f>
        <x:v>52072</x:v>
      </x:c>
      <x:c r="G219" s="29" t="n">
        <x:f>SUMIFS('Priced Usage'!$L$7:$L$3366,'Priced Usage'!$C$7:$C$3366,$A219)</x:f>
        <x:v>202405</x:v>
      </x:c>
      <x:c r="H219" s="29" t="n">
        <x:f>COUNTIFS('Priced Usage'!$C$7:$C$3366,$A219)</x:f>
        <x:v>11</x:v>
      </x:c>
      <x:c r="I219" s="30" t="n">
        <x:f>SUMIFS('Priced Usage'!$M$7:$M$3366,'Priced Usage'!$C$7:$C$3366,$A219)</x:f>
        <x:v>1.5033299999999998</x:v>
      </x:c>
      <x:c r="J219" s="30" t="n">
        <x:f>SUMIFS('Priced Usage'!$N$7:$N$3366,'Priced Usage'!$C$7:$C$3366,$A219)</x:f>
        <x:v>1.56216</x:v>
      </x:c>
      <x:c r="K219" s="30" t="n">
        <x:f>SUMIFS('Priced Usage'!$O$7:$O$3366,'Priced Usage'!$C$7:$C$3366,$A219)</x:f>
        <x:v>3.0654899999999996</x:v>
      </x:c>
      <x:c r="L219" s="29" t="n">
        <x:f>COUNTIFS('Priced Usage'!$C$7:$C$3366,$A219,'Priced Usage'!$I$7:$I$3366,"First attempt")</x:f>
        <x:v>1</x:v>
      </x:c>
      <x:c r="M219" s="29" t="n">
        <x:f>COUNTIFS('Priced Usage'!$C$7:$C$3366,$A219,'Priced Usage'!$I$7:$I$3366,"Followup")</x:f>
        <x:v>7</x:v>
      </x:c>
      <x:c r="N219" s="29" t="n">
        <x:f>COUNTIFS('Priced Usage'!$C$7:$C$3366,$A219,'Priced Usage'!$I$7:$I$3366,"Correction")</x:f>
        <x:v>3</x:v>
      </x:c>
    </x:row>
    <x:row r="220" ht="23" customHeight="1">
      <x:c r="A220" s="17" t="str">
        <x:v>W0214</x:v>
      </x:c>
      <x:c r="B220" s="17" t="str">
        <x:v>C004</x:v>
      </x:c>
      <x:c r="C220" s="17" t="str">
        <x:v>DataFlow</x:v>
      </x:c>
      <x:c r="D220" s="17" t="str">
        <x:v>Lite</x:v>
      </x:c>
      <x:c r="E220" s="29" t="n">
        <x:f>SUMIFS('Priced Usage'!$G$7:$G$3366,'Priced Usage'!$C$7:$C$3366,$A220)</x:f>
        <x:v>311073</x:v>
      </x:c>
      <x:c r="F220" s="29" t="n">
        <x:f>SUMIFS('Priced Usage'!$H$7:$H$3366,'Priced Usage'!$C$7:$C$3366,$A220)</x:f>
        <x:v>42230</x:v>
      </x:c>
      <x:c r="G220" s="29" t="n">
        <x:f>SUMIFS('Priced Usage'!$L$7:$L$3366,'Priced Usage'!$C$7:$C$3366,$A220)</x:f>
        <x:v>353303</x:v>
      </x:c>
      <x:c r="H220" s="29" t="n">
        <x:f>COUNTIFS('Priced Usage'!$C$7:$C$3366,$A220)</x:f>
        <x:v>15</x:v>
      </x:c>
      <x:c r="I220" s="30" t="n">
        <x:f>SUMIFS('Priced Usage'!$M$7:$M$3366,'Priced Usage'!$C$7:$C$3366,$A220)</x:f>
        <x:v>3.11073</x:v>
      </x:c>
      <x:c r="J220" s="30" t="n">
        <x:f>SUMIFS('Priced Usage'!$N$7:$N$3366,'Priced Usage'!$C$7:$C$3366,$A220)</x:f>
        <x:v>1.2668999999999997</x:v>
      </x:c>
      <x:c r="K220" s="30" t="n">
        <x:f>SUMIFS('Priced Usage'!$O$7:$O$3366,'Priced Usage'!$C$7:$C$3366,$A220)</x:f>
        <x:v>4.37763</x:v>
      </x:c>
      <x:c r="L220" s="29" t="n">
        <x:f>COUNTIFS('Priced Usage'!$C$7:$C$3366,$A220,'Priced Usage'!$I$7:$I$3366,"First attempt")</x:f>
        <x:v>1</x:v>
      </x:c>
      <x:c r="M220" s="29" t="n">
        <x:f>COUNTIFS('Priced Usage'!$C$7:$C$3366,$A220,'Priced Usage'!$I$7:$I$3366,"Followup")</x:f>
        <x:v>10</x:v>
      </x:c>
      <x:c r="N220" s="29" t="n">
        <x:f>COUNTIFS('Priced Usage'!$C$7:$C$3366,$A220,'Priced Usage'!$I$7:$I$3366,"Correction")</x:f>
        <x:v>4</x:v>
      </x:c>
    </x:row>
    <x:row r="221" ht="23" customHeight="1">
      <x:c r="A221" s="17" t="str">
        <x:v>W0215</x:v>
      </x:c>
      <x:c r="B221" s="17" t="str">
        <x:v>C004</x:v>
      </x:c>
      <x:c r="C221" s="17" t="str">
        <x:v>CampaignChat</x:v>
      </x:c>
      <x:c r="D221" s="17" t="str">
        <x:v>Lite</x:v>
      </x:c>
      <x:c r="E221" s="29" t="n">
        <x:f>SUMIFS('Priced Usage'!$G$7:$G$3366,'Priced Usage'!$C$7:$C$3366,$A221)</x:f>
        <x:v>152313</x:v>
      </x:c>
      <x:c r="F221" s="29" t="n">
        <x:f>SUMIFS('Priced Usage'!$H$7:$H$3366,'Priced Usage'!$C$7:$C$3366,$A221)</x:f>
        <x:v>49531</x:v>
      </x:c>
      <x:c r="G221" s="29" t="n">
        <x:f>SUMIFS('Priced Usage'!$L$7:$L$3366,'Priced Usage'!$C$7:$C$3366,$A221)</x:f>
        <x:v>201844</x:v>
      </x:c>
      <x:c r="H221" s="29" t="n">
        <x:f>COUNTIFS('Priced Usage'!$C$7:$C$3366,$A221)</x:f>
        <x:v>12</x:v>
      </x:c>
      <x:c r="I221" s="30" t="n">
        <x:f>SUMIFS('Priced Usage'!$M$7:$M$3366,'Priced Usage'!$C$7:$C$3366,$A221)</x:f>
        <x:v>1.52313</x:v>
      </x:c>
      <x:c r="J221" s="30" t="n">
        <x:f>SUMIFS('Priced Usage'!$N$7:$N$3366,'Priced Usage'!$C$7:$C$3366,$A221)</x:f>
        <x:v>1.48593</x:v>
      </x:c>
      <x:c r="K221" s="30" t="n">
        <x:f>SUMIFS('Priced Usage'!$O$7:$O$3366,'Priced Usage'!$C$7:$C$3366,$A221)</x:f>
        <x:v>3.00906</x:v>
      </x:c>
      <x:c r="L221" s="29" t="n">
        <x:f>COUNTIFS('Priced Usage'!$C$7:$C$3366,$A221,'Priced Usage'!$I$7:$I$3366,"First attempt")</x:f>
        <x:v>1</x:v>
      </x:c>
      <x:c r="M221" s="29" t="n">
        <x:f>COUNTIFS('Priced Usage'!$C$7:$C$3366,$A221,'Priced Usage'!$I$7:$I$3366,"Followup")</x:f>
        <x:v>8</x:v>
      </x:c>
      <x:c r="N221" s="29" t="n">
        <x:f>COUNTIFS('Priced Usage'!$C$7:$C$3366,$A221,'Priced Usage'!$I$7:$I$3366,"Correction")</x:f>
        <x:v>3</x:v>
      </x:c>
    </x:row>
    <x:row r="222" ht="23" customHeight="1">
      <x:c r="A222" s="17" t="str">
        <x:v>W0216</x:v>
      </x:c>
      <x:c r="B222" s="17" t="str">
        <x:v>C004</x:v>
      </x:c>
      <x:c r="C222" s="17" t="str">
        <x:v>DataFlow</x:v>
      </x:c>
      <x:c r="D222" s="17" t="str">
        <x:v>Lite</x:v>
      </x:c>
      <x:c r="E222" s="29" t="n">
        <x:f>SUMIFS('Priced Usage'!$G$7:$G$3366,'Priced Usage'!$C$7:$C$3366,$A222)</x:f>
        <x:v>249423</x:v>
      </x:c>
      <x:c r="F222" s="29" t="n">
        <x:f>SUMIFS('Priced Usage'!$H$7:$H$3366,'Priced Usage'!$C$7:$C$3366,$A222)</x:f>
        <x:v>45584</x:v>
      </x:c>
      <x:c r="G222" s="29" t="n">
        <x:f>SUMIFS('Priced Usage'!$L$7:$L$3366,'Priced Usage'!$C$7:$C$3366,$A222)</x:f>
        <x:v>295007</x:v>
      </x:c>
      <x:c r="H222" s="29" t="n">
        <x:f>COUNTIFS('Priced Usage'!$C$7:$C$3366,$A222)</x:f>
        <x:v>18</x:v>
      </x:c>
      <x:c r="I222" s="30" t="n">
        <x:f>SUMIFS('Priced Usage'!$M$7:$M$3366,'Priced Usage'!$C$7:$C$3366,$A222)</x:f>
        <x:v>2.49423</x:v>
      </x:c>
      <x:c r="J222" s="30" t="n">
        <x:f>SUMIFS('Priced Usage'!$N$7:$N$3366,'Priced Usage'!$C$7:$C$3366,$A222)</x:f>
        <x:v>1.36752</x:v>
      </x:c>
      <x:c r="K222" s="30" t="n">
        <x:f>SUMIFS('Priced Usage'!$O$7:$O$3366,'Priced Usage'!$C$7:$C$3366,$A222)</x:f>
        <x:v>3.86175</x:v>
      </x:c>
      <x:c r="L222" s="29" t="n">
        <x:f>COUNTIFS('Priced Usage'!$C$7:$C$3366,$A222,'Priced Usage'!$I$7:$I$3366,"First attempt")</x:f>
        <x:v>1</x:v>
      </x:c>
      <x:c r="M222" s="29" t="n">
        <x:f>COUNTIFS('Priced Usage'!$C$7:$C$3366,$A222,'Priced Usage'!$I$7:$I$3366,"Followup")</x:f>
        <x:v>14</x:v>
      </x:c>
      <x:c r="N222" s="29" t="n">
        <x:f>COUNTIFS('Priced Usage'!$C$7:$C$3366,$A222,'Priced Usage'!$I$7:$I$3366,"Correction")</x:f>
        <x:v>3</x:v>
      </x:c>
    </x:row>
    <x:row r="223" ht="23" customHeight="1">
      <x:c r="A223" s="17" t="str">
        <x:v>W0217</x:v>
      </x:c>
      <x:c r="B223" s="17" t="str">
        <x:v>C004</x:v>
      </x:c>
      <x:c r="C223" s="17" t="str">
        <x:v>InsightDesk</x:v>
      </x:c>
      <x:c r="D223" s="17" t="str">
        <x:v>Pro</x:v>
      </x:c>
      <x:c r="E223" s="29" t="n">
        <x:f>SUMIFS('Priced Usage'!$G$7:$G$3366,'Priced Usage'!$C$7:$C$3366,$A223)</x:f>
        <x:v>312387</x:v>
      </x:c>
      <x:c r="F223" s="29" t="n">
        <x:f>SUMIFS('Priced Usage'!$H$7:$H$3366,'Priced Usage'!$C$7:$C$3366,$A223)</x:f>
        <x:v>164677</x:v>
      </x:c>
      <x:c r="G223" s="29" t="n">
        <x:f>SUMIFS('Priced Usage'!$L$7:$L$3366,'Priced Usage'!$C$7:$C$3366,$A223)</x:f>
        <x:v>477064</x:v>
      </x:c>
      <x:c r="H223" s="29" t="n">
        <x:f>COUNTIFS('Priced Usage'!$C$7:$C$3366,$A223)</x:f>
        <x:v>22</x:v>
      </x:c>
      <x:c r="I223" s="30" t="n">
        <x:f>SUMIFS('Priced Usage'!$M$7:$M$3366,'Priced Usage'!$C$7:$C$3366,$A223)</x:f>
        <x:v>12.49548</x:v>
      </x:c>
      <x:c r="J223" s="30" t="n">
        <x:f>SUMIFS('Priced Usage'!$N$7:$N$3366,'Priced Usage'!$C$7:$C$3366,$A223)</x:f>
        <x:v>16.467699999999997</x:v>
      </x:c>
      <x:c r="K223" s="30" t="n">
        <x:f>SUMIFS('Priced Usage'!$O$7:$O$3366,'Priced Usage'!$C$7:$C$3366,$A223)</x:f>
        <x:v>28.963180000000005</x:v>
      </x:c>
      <x:c r="L223" s="29" t="n">
        <x:f>COUNTIFS('Priced Usage'!$C$7:$C$3366,$A223,'Priced Usage'!$I$7:$I$3366,"First attempt")</x:f>
        <x:v>1</x:v>
      </x:c>
      <x:c r="M223" s="29" t="n">
        <x:f>COUNTIFS('Priced Usage'!$C$7:$C$3366,$A223,'Priced Usage'!$I$7:$I$3366,"Followup")</x:f>
        <x:v>17</x:v>
      </x:c>
      <x:c r="N223" s="29" t="n">
        <x:f>COUNTIFS('Priced Usage'!$C$7:$C$3366,$A223,'Priced Usage'!$I$7:$I$3366,"Correction")</x:f>
        <x:v>4</x:v>
      </x:c>
    </x:row>
    <x:row r="224" ht="23" customHeight="1">
      <x:c r="A224" s="17" t="str">
        <x:v>W0218</x:v>
      </x:c>
      <x:c r="B224" s="17" t="str">
        <x:v>C004</x:v>
      </x:c>
      <x:c r="C224" s="17" t="str">
        <x:v>CopyStudio</x:v>
      </x:c>
      <x:c r="D224" s="17" t="str">
        <x:v>Lite</x:v>
      </x:c>
      <x:c r="E224" s="29" t="n">
        <x:f>SUMIFS('Priced Usage'!$G$7:$G$3366,'Priced Usage'!$C$7:$C$3366,$A224)</x:f>
        <x:v>268025</x:v>
      </x:c>
      <x:c r="F224" s="29" t="n">
        <x:f>SUMIFS('Priced Usage'!$H$7:$H$3366,'Priced Usage'!$C$7:$C$3366,$A224)</x:f>
        <x:v>49034</x:v>
      </x:c>
      <x:c r="G224" s="29" t="n">
        <x:f>SUMIFS('Priced Usage'!$L$7:$L$3366,'Priced Usage'!$C$7:$C$3366,$A224)</x:f>
        <x:v>317059</x:v>
      </x:c>
      <x:c r="H224" s="29" t="n">
        <x:f>COUNTIFS('Priced Usage'!$C$7:$C$3366,$A224)</x:f>
        <x:v>9</x:v>
      </x:c>
      <x:c r="I224" s="30" t="n">
        <x:f>SUMIFS('Priced Usage'!$M$7:$M$3366,'Priced Usage'!$C$7:$C$3366,$A224)</x:f>
        <x:v>2.68025</x:v>
      </x:c>
      <x:c r="J224" s="30" t="n">
        <x:f>SUMIFS('Priced Usage'!$N$7:$N$3366,'Priced Usage'!$C$7:$C$3366,$A224)</x:f>
        <x:v>1.47102</x:v>
      </x:c>
      <x:c r="K224" s="30" t="n">
        <x:f>SUMIFS('Priced Usage'!$O$7:$O$3366,'Priced Usage'!$C$7:$C$3366,$A224)</x:f>
        <x:v>4.15127</x:v>
      </x:c>
      <x:c r="L224" s="29" t="n">
        <x:f>COUNTIFS('Priced Usage'!$C$7:$C$3366,$A224,'Priced Usage'!$I$7:$I$3366,"First attempt")</x:f>
        <x:v>1</x:v>
      </x:c>
      <x:c r="M224" s="29" t="n">
        <x:f>COUNTIFS('Priced Usage'!$C$7:$C$3366,$A224,'Priced Usage'!$I$7:$I$3366,"Followup")</x:f>
        <x:v>6</x:v>
      </x:c>
      <x:c r="N224" s="29" t="n">
        <x:f>COUNTIFS('Priced Usage'!$C$7:$C$3366,$A224,'Priced Usage'!$I$7:$I$3366,"Correction")</x:f>
        <x:v>2</x:v>
      </x:c>
    </x:row>
    <x:row r="225" ht="23" customHeight="1">
      <x:c r="A225" s="17" t="str">
        <x:v>W0219</x:v>
      </x:c>
      <x:c r="B225" s="17" t="str">
        <x:v>C004</x:v>
      </x:c>
      <x:c r="C225" s="17" t="str">
        <x:v>CopyStudio</x:v>
      </x:c>
      <x:c r="D225" s="17" t="str">
        <x:v>Lite</x:v>
      </x:c>
      <x:c r="E225" s="29" t="n">
        <x:f>SUMIFS('Priced Usage'!$G$7:$G$3366,'Priced Usage'!$C$7:$C$3366,$A225)</x:f>
        <x:v>252499</x:v>
      </x:c>
      <x:c r="F225" s="29" t="n">
        <x:f>SUMIFS('Priced Usage'!$H$7:$H$3366,'Priced Usage'!$C$7:$C$3366,$A225)</x:f>
        <x:v>50550</x:v>
      </x:c>
      <x:c r="G225" s="29" t="n">
        <x:f>SUMIFS('Priced Usage'!$L$7:$L$3366,'Priced Usage'!$C$7:$C$3366,$A225)</x:f>
        <x:v>303049</x:v>
      </x:c>
      <x:c r="H225" s="29" t="n">
        <x:f>COUNTIFS('Priced Usage'!$C$7:$C$3366,$A225)</x:f>
        <x:v>14</x:v>
      </x:c>
      <x:c r="I225" s="30" t="n">
        <x:f>SUMIFS('Priced Usage'!$M$7:$M$3366,'Priced Usage'!$C$7:$C$3366,$A225)</x:f>
        <x:v>2.5249900000000003</x:v>
      </x:c>
      <x:c r="J225" s="30" t="n">
        <x:f>SUMIFS('Priced Usage'!$N$7:$N$3366,'Priced Usage'!$C$7:$C$3366,$A225)</x:f>
        <x:v>1.5165000000000002</x:v>
      </x:c>
      <x:c r="K225" s="30" t="n">
        <x:f>SUMIFS('Priced Usage'!$O$7:$O$3366,'Priced Usage'!$C$7:$C$3366,$A225)</x:f>
        <x:v>4.0414900000000005</x:v>
      </x:c>
      <x:c r="L225" s="29" t="n">
        <x:f>COUNTIFS('Priced Usage'!$C$7:$C$3366,$A225,'Priced Usage'!$I$7:$I$3366,"First attempt")</x:f>
        <x:v>1</x:v>
      </x:c>
      <x:c r="M225" s="29" t="n">
        <x:f>COUNTIFS('Priced Usage'!$C$7:$C$3366,$A225,'Priced Usage'!$I$7:$I$3366,"Followup")</x:f>
        <x:v>10</x:v>
      </x:c>
      <x:c r="N225" s="29" t="n">
        <x:f>COUNTIFS('Priced Usage'!$C$7:$C$3366,$A225,'Priced Usage'!$I$7:$I$3366,"Correction")</x:f>
        <x:v>3</x:v>
      </x:c>
    </x:row>
    <x:row r="226" ht="23" customHeight="1">
      <x:c r="A226" s="17" t="str">
        <x:v>W0220</x:v>
      </x:c>
      <x:c r="B226" s="17" t="str">
        <x:v>C004</x:v>
      </x:c>
      <x:c r="C226" s="17" t="str">
        <x:v>CampaignChat</x:v>
      </x:c>
      <x:c r="D226" s="17" t="str">
        <x:v>Lite</x:v>
      </x:c>
      <x:c r="E226" s="29" t="n">
        <x:f>SUMIFS('Priced Usage'!$G$7:$G$3366,'Priced Usage'!$C$7:$C$3366,$A226)</x:f>
        <x:v>211460</x:v>
      </x:c>
      <x:c r="F226" s="29" t="n">
        <x:f>SUMIFS('Priced Usage'!$H$7:$H$3366,'Priced Usage'!$C$7:$C$3366,$A226)</x:f>
        <x:v>47759</x:v>
      </x:c>
      <x:c r="G226" s="29" t="n">
        <x:f>SUMIFS('Priced Usage'!$L$7:$L$3366,'Priced Usage'!$C$7:$C$3366,$A226)</x:f>
        <x:v>259219</x:v>
      </x:c>
      <x:c r="H226" s="29" t="n">
        <x:f>COUNTIFS('Priced Usage'!$C$7:$C$3366,$A226)</x:f>
        <x:v>10</x:v>
      </x:c>
      <x:c r="I226" s="30" t="n">
        <x:f>SUMIFS('Priced Usage'!$M$7:$M$3366,'Priced Usage'!$C$7:$C$3366,$A226)</x:f>
        <x:v>2.1146000000000003</x:v>
      </x:c>
      <x:c r="J226" s="30" t="n">
        <x:f>SUMIFS('Priced Usage'!$N$7:$N$3366,'Priced Usage'!$C$7:$C$3366,$A226)</x:f>
        <x:v>1.4327699999999999</x:v>
      </x:c>
      <x:c r="K226" s="30" t="n">
        <x:f>SUMIFS('Priced Usage'!$O$7:$O$3366,'Priced Usage'!$C$7:$C$3366,$A226)</x:f>
        <x:v>3.547370000000001</x:v>
      </x:c>
      <x:c r="L226" s="29" t="n">
        <x:f>COUNTIFS('Priced Usage'!$C$7:$C$3366,$A226,'Priced Usage'!$I$7:$I$3366,"First attempt")</x:f>
        <x:v>1</x:v>
      </x:c>
      <x:c r="M226" s="29" t="n">
        <x:f>COUNTIFS('Priced Usage'!$C$7:$C$3366,$A226,'Priced Usage'!$I$7:$I$3366,"Followup")</x:f>
        <x:v>6</x:v>
      </x:c>
      <x:c r="N226" s="29" t="n">
        <x:f>COUNTIFS('Priced Usage'!$C$7:$C$3366,$A226,'Priced Usage'!$I$7:$I$3366,"Correction")</x:f>
        <x:v>3</x:v>
      </x:c>
    </x:row>
    <x:row r="227" ht="23" customHeight="1">
      <x:c r="A227" s="17" t="str">
        <x:v>W0221</x:v>
      </x:c>
      <x:c r="B227" s="17" t="str">
        <x:v>C004</x:v>
      </x:c>
      <x:c r="C227" s="17" t="str">
        <x:v>CampaignChat</x:v>
      </x:c>
      <x:c r="D227" s="17" t="str">
        <x:v>Pro</x:v>
      </x:c>
      <x:c r="E227" s="29" t="n">
        <x:f>SUMIFS('Priced Usage'!$G$7:$G$3366,'Priced Usage'!$C$7:$C$3366,$A227)</x:f>
        <x:v>573212</x:v>
      </x:c>
      <x:c r="F227" s="29" t="n">
        <x:f>SUMIFS('Priced Usage'!$H$7:$H$3366,'Priced Usage'!$C$7:$C$3366,$A227)</x:f>
        <x:v>306858</x:v>
      </x:c>
      <x:c r="G227" s="29" t="n">
        <x:f>SUMIFS('Priced Usage'!$L$7:$L$3366,'Priced Usage'!$C$7:$C$3366,$A227)</x:f>
        <x:v>880070</x:v>
      </x:c>
      <x:c r="H227" s="29" t="n">
        <x:f>COUNTIFS('Priced Usage'!$C$7:$C$3366,$A227)</x:f>
        <x:v>23</x:v>
      </x:c>
      <x:c r="I227" s="30" t="n">
        <x:f>SUMIFS('Priced Usage'!$M$7:$M$3366,'Priced Usage'!$C$7:$C$3366,$A227)</x:f>
        <x:v>22.92848</x:v>
      </x:c>
      <x:c r="J227" s="30" t="n">
        <x:f>SUMIFS('Priced Usage'!$N$7:$N$3366,'Priced Usage'!$C$7:$C$3366,$A227)</x:f>
        <x:v>30.6858</x:v>
      </x:c>
      <x:c r="K227" s="30" t="n">
        <x:f>SUMIFS('Priced Usage'!$O$7:$O$3366,'Priced Usage'!$C$7:$C$3366,$A227)</x:f>
        <x:v>53.614279999999994</x:v>
      </x:c>
      <x:c r="L227" s="29" t="n">
        <x:f>COUNTIFS('Priced Usage'!$C$7:$C$3366,$A227,'Priced Usage'!$I$7:$I$3366,"First attempt")</x:f>
        <x:v>1</x:v>
      </x:c>
      <x:c r="M227" s="29" t="n">
        <x:f>COUNTIFS('Priced Usage'!$C$7:$C$3366,$A227,'Priced Usage'!$I$7:$I$3366,"Followup")</x:f>
        <x:v>18</x:v>
      </x:c>
      <x:c r="N227" s="29" t="n">
        <x:f>COUNTIFS('Priced Usage'!$C$7:$C$3366,$A227,'Priced Usage'!$I$7:$I$3366,"Correction")</x:f>
        <x:v>4</x:v>
      </x:c>
    </x:row>
    <x:row r="228" ht="23" customHeight="1">
      <x:c r="A228" s="17" t="str">
        <x:v>W0222</x:v>
      </x:c>
      <x:c r="B228" s="17" t="str">
        <x:v>C004</x:v>
      </x:c>
      <x:c r="C228" s="17" t="str">
        <x:v>DataFlow</x:v>
      </x:c>
      <x:c r="D228" s="17" t="str">
        <x:v>Pro</x:v>
      </x:c>
      <x:c r="E228" s="29" t="n">
        <x:f>SUMIFS('Priced Usage'!$G$7:$G$3366,'Priced Usage'!$C$7:$C$3366,$A228)</x:f>
        <x:v>143976</x:v>
      </x:c>
      <x:c r="F228" s="29" t="n">
        <x:f>SUMIFS('Priced Usage'!$H$7:$H$3366,'Priced Usage'!$C$7:$C$3366,$A228)</x:f>
        <x:v>124872</x:v>
      </x:c>
      <x:c r="G228" s="29" t="n">
        <x:f>SUMIFS('Priced Usage'!$L$7:$L$3366,'Priced Usage'!$C$7:$C$3366,$A228)</x:f>
        <x:v>268848</x:v>
      </x:c>
      <x:c r="H228" s="29" t="n">
        <x:f>COUNTIFS('Priced Usage'!$C$7:$C$3366,$A228)</x:f>
        <x:v>12</x:v>
      </x:c>
      <x:c r="I228" s="30" t="n">
        <x:f>SUMIFS('Priced Usage'!$M$7:$M$3366,'Priced Usage'!$C$7:$C$3366,$A228)</x:f>
        <x:v>5.75904</x:v>
      </x:c>
      <x:c r="J228" s="30" t="n">
        <x:f>SUMIFS('Priced Usage'!$N$7:$N$3366,'Priced Usage'!$C$7:$C$3366,$A228)</x:f>
        <x:v>12.4872</x:v>
      </x:c>
      <x:c r="K228" s="30" t="n">
        <x:f>SUMIFS('Priced Usage'!$O$7:$O$3366,'Priced Usage'!$C$7:$C$3366,$A228)</x:f>
        <x:v>18.24624</x:v>
      </x:c>
      <x:c r="L228" s="29" t="n">
        <x:f>COUNTIFS('Priced Usage'!$C$7:$C$3366,$A228,'Priced Usage'!$I$7:$I$3366,"First attempt")</x:f>
        <x:v>1</x:v>
      </x:c>
      <x:c r="M228" s="29" t="n">
        <x:f>COUNTIFS('Priced Usage'!$C$7:$C$3366,$A228,'Priced Usage'!$I$7:$I$3366,"Followup")</x:f>
        <x:v>8</x:v>
      </x:c>
      <x:c r="N228" s="29" t="n">
        <x:f>COUNTIFS('Priced Usage'!$C$7:$C$3366,$A228,'Priced Usage'!$I$7:$I$3366,"Correction")</x:f>
        <x:v>3</x:v>
      </x:c>
    </x:row>
    <x:row r="229" ht="23" customHeight="1">
      <x:c r="A229" s="17" t="str">
        <x:v>W0223</x:v>
      </x:c>
      <x:c r="B229" s="17" t="str">
        <x:v>C004</x:v>
      </x:c>
      <x:c r="C229" s="17" t="str">
        <x:v>DataFlow</x:v>
      </x:c>
      <x:c r="D229" s="17" t="str">
        <x:v>Lite</x:v>
      </x:c>
      <x:c r="E229" s="29" t="n">
        <x:f>SUMIFS('Priced Usage'!$G$7:$G$3366,'Priced Usage'!$C$7:$C$3366,$A229)</x:f>
        <x:v>203800</x:v>
      </x:c>
      <x:c r="F229" s="29" t="n">
        <x:f>SUMIFS('Priced Usage'!$H$7:$H$3366,'Priced Usage'!$C$7:$C$3366,$A229)</x:f>
        <x:v>39954</x:v>
      </x:c>
      <x:c r="G229" s="29" t="n">
        <x:f>SUMIFS('Priced Usage'!$L$7:$L$3366,'Priced Usage'!$C$7:$C$3366,$A229)</x:f>
        <x:v>243754</x:v>
      </x:c>
      <x:c r="H229" s="29" t="n">
        <x:f>COUNTIFS('Priced Usage'!$C$7:$C$3366,$A229)</x:f>
        <x:v>11</x:v>
      </x:c>
      <x:c r="I229" s="30" t="n">
        <x:f>SUMIFS('Priced Usage'!$M$7:$M$3366,'Priced Usage'!$C$7:$C$3366,$A229)</x:f>
        <x:v>2.0380000000000003</x:v>
      </x:c>
      <x:c r="J229" s="30" t="n">
        <x:f>SUMIFS('Priced Usage'!$N$7:$N$3366,'Priced Usage'!$C$7:$C$3366,$A229)</x:f>
        <x:v>1.1986199999999998</x:v>
      </x:c>
      <x:c r="K229" s="30" t="n">
        <x:f>SUMIFS('Priced Usage'!$O$7:$O$3366,'Priced Usage'!$C$7:$C$3366,$A229)</x:f>
        <x:v>3.23662</x:v>
      </x:c>
      <x:c r="L229" s="29" t="n">
        <x:f>COUNTIFS('Priced Usage'!$C$7:$C$3366,$A229,'Priced Usage'!$I$7:$I$3366,"First attempt")</x:f>
        <x:v>1</x:v>
      </x:c>
      <x:c r="M229" s="29" t="n">
        <x:f>COUNTIFS('Priced Usage'!$C$7:$C$3366,$A229,'Priced Usage'!$I$7:$I$3366,"Followup")</x:f>
        <x:v>7</x:v>
      </x:c>
      <x:c r="N229" s="29" t="n">
        <x:f>COUNTIFS('Priced Usage'!$C$7:$C$3366,$A229,'Priced Usage'!$I$7:$I$3366,"Correction")</x:f>
        <x:v>3</x:v>
      </x:c>
    </x:row>
    <x:row r="230" ht="23" customHeight="1">
      <x:c r="A230" s="17" t="str">
        <x:v>W0224</x:v>
      </x:c>
      <x:c r="B230" s="17" t="str">
        <x:v>C004</x:v>
      </x:c>
      <x:c r="C230" s="17" t="str">
        <x:v>DataFlow</x:v>
      </x:c>
      <x:c r="D230" s="17" t="str">
        <x:v>Pro</x:v>
      </x:c>
      <x:c r="E230" s="29" t="n">
        <x:f>SUMIFS('Priced Usage'!$G$7:$G$3366,'Priced Usage'!$C$7:$C$3366,$A230)</x:f>
        <x:v>459285</x:v>
      </x:c>
      <x:c r="F230" s="29" t="n">
        <x:f>SUMIFS('Priced Usage'!$H$7:$H$3366,'Priced Usage'!$C$7:$C$3366,$A230)</x:f>
        <x:v>112398</x:v>
      </x:c>
      <x:c r="G230" s="29" t="n">
        <x:f>SUMIFS('Priced Usage'!$L$7:$L$3366,'Priced Usage'!$C$7:$C$3366,$A230)</x:f>
        <x:v>571683</x:v>
      </x:c>
      <x:c r="H230" s="29" t="n">
        <x:f>COUNTIFS('Priced Usage'!$C$7:$C$3366,$A230)</x:f>
        <x:v>16</x:v>
      </x:c>
      <x:c r="I230" s="30" t="n">
        <x:f>SUMIFS('Priced Usage'!$M$7:$M$3366,'Priced Usage'!$C$7:$C$3366,$A230)</x:f>
        <x:v>18.3714</x:v>
      </x:c>
      <x:c r="J230" s="30" t="n">
        <x:f>SUMIFS('Priced Usage'!$N$7:$N$3366,'Priced Usage'!$C$7:$C$3366,$A230)</x:f>
        <x:v>11.239799999999999</x:v>
      </x:c>
      <x:c r="K230" s="30" t="n">
        <x:f>SUMIFS('Priced Usage'!$O$7:$O$3366,'Priced Usage'!$C$7:$C$3366,$A230)</x:f>
        <x:v>29.611199999999997</x:v>
      </x:c>
      <x:c r="L230" s="29" t="n">
        <x:f>COUNTIFS('Priced Usage'!$C$7:$C$3366,$A230,'Priced Usage'!$I$7:$I$3366,"First attempt")</x:f>
        <x:v>1</x:v>
      </x:c>
      <x:c r="M230" s="29" t="n">
        <x:f>COUNTIFS('Priced Usage'!$C$7:$C$3366,$A230,'Priced Usage'!$I$7:$I$3366,"Followup")</x:f>
        <x:v>12</x:v>
      </x:c>
      <x:c r="N230" s="29" t="n">
        <x:f>COUNTIFS('Priced Usage'!$C$7:$C$3366,$A230,'Priced Usage'!$I$7:$I$3366,"Correction")</x:f>
        <x:v>3</x:v>
      </x:c>
    </x:row>
    <x:row r="231" ht="23" customHeight="1">
      <x:c r="A231" s="17" t="str">
        <x:v>W0225</x:v>
      </x:c>
      <x:c r="B231" s="17" t="str">
        <x:v>C004</x:v>
      </x:c>
      <x:c r="C231" s="17" t="str">
        <x:v>InsightDesk</x:v>
      </x:c>
      <x:c r="D231" s="17" t="str">
        <x:v>Lite</x:v>
      </x:c>
      <x:c r="E231" s="29" t="n">
        <x:f>SUMIFS('Priced Usage'!$G$7:$G$3366,'Priced Usage'!$C$7:$C$3366,$A231)</x:f>
        <x:v>213796</x:v>
      </x:c>
      <x:c r="F231" s="29" t="n">
        <x:f>SUMIFS('Priced Usage'!$H$7:$H$3366,'Priced Usage'!$C$7:$C$3366,$A231)</x:f>
        <x:v>57277</x:v>
      </x:c>
      <x:c r="G231" s="29" t="n">
        <x:f>SUMIFS('Priced Usage'!$L$7:$L$3366,'Priced Usage'!$C$7:$C$3366,$A231)</x:f>
        <x:v>271073</x:v>
      </x:c>
      <x:c r="H231" s="29" t="n">
        <x:f>COUNTIFS('Priced Usage'!$C$7:$C$3366,$A231)</x:f>
        <x:v>13</x:v>
      </x:c>
      <x:c r="I231" s="30" t="n">
        <x:f>SUMIFS('Priced Usage'!$M$7:$M$3366,'Priced Usage'!$C$7:$C$3366,$A231)</x:f>
        <x:v>2.1379599999999996</x:v>
      </x:c>
      <x:c r="J231" s="30" t="n">
        <x:f>SUMIFS('Priced Usage'!$N$7:$N$3366,'Priced Usage'!$C$7:$C$3366,$A231)</x:f>
        <x:v>1.71831</x:v>
      </x:c>
      <x:c r="K231" s="30" t="n">
        <x:f>SUMIFS('Priced Usage'!$O$7:$O$3366,'Priced Usage'!$C$7:$C$3366,$A231)</x:f>
        <x:v>3.85627</x:v>
      </x:c>
      <x:c r="L231" s="29" t="n">
        <x:f>COUNTIFS('Priced Usage'!$C$7:$C$3366,$A231,'Priced Usage'!$I$7:$I$3366,"First attempt")</x:f>
        <x:v>1</x:v>
      </x:c>
      <x:c r="M231" s="29" t="n">
        <x:f>COUNTIFS('Priced Usage'!$C$7:$C$3366,$A231,'Priced Usage'!$I$7:$I$3366,"Followup")</x:f>
        <x:v>10</x:v>
      </x:c>
      <x:c r="N231" s="29" t="n">
        <x:f>COUNTIFS('Priced Usage'!$C$7:$C$3366,$A231,'Priced Usage'!$I$7:$I$3366,"Correction")</x:f>
        <x:v>2</x:v>
      </x:c>
    </x:row>
    <x:row r="232" ht="23" customHeight="1">
      <x:c r="A232" s="17" t="str">
        <x:v>W0226</x:v>
      </x:c>
      <x:c r="B232" s="17" t="str">
        <x:v>C004</x:v>
      </x:c>
      <x:c r="C232" s="17" t="str">
        <x:v>CopyStudio</x:v>
      </x:c>
      <x:c r="D232" s="17" t="str">
        <x:v>Lite</x:v>
      </x:c>
      <x:c r="E232" s="29" t="n">
        <x:f>SUMIFS('Priced Usage'!$G$7:$G$3366,'Priced Usage'!$C$7:$C$3366,$A232)</x:f>
        <x:v>396958</x:v>
      </x:c>
      <x:c r="F232" s="29" t="n">
        <x:f>SUMIFS('Priced Usage'!$H$7:$H$3366,'Priced Usage'!$C$7:$C$3366,$A232)</x:f>
        <x:v>41893</x:v>
      </x:c>
      <x:c r="G232" s="29" t="n">
        <x:f>SUMIFS('Priced Usage'!$L$7:$L$3366,'Priced Usage'!$C$7:$C$3366,$A232)</x:f>
        <x:v>438851</x:v>
      </x:c>
      <x:c r="H232" s="29" t="n">
        <x:f>COUNTIFS('Priced Usage'!$C$7:$C$3366,$A232)</x:f>
        <x:v>16</x:v>
      </x:c>
      <x:c r="I232" s="30" t="n">
        <x:f>SUMIFS('Priced Usage'!$M$7:$M$3366,'Priced Usage'!$C$7:$C$3366,$A232)</x:f>
        <x:v>3.96958</x:v>
      </x:c>
      <x:c r="J232" s="30" t="n">
        <x:f>SUMIFS('Priced Usage'!$N$7:$N$3366,'Priced Usage'!$C$7:$C$3366,$A232)</x:f>
        <x:v>1.25679</x:v>
      </x:c>
      <x:c r="K232" s="30" t="n">
        <x:f>SUMIFS('Priced Usage'!$O$7:$O$3366,'Priced Usage'!$C$7:$C$3366,$A232)</x:f>
        <x:v>5.226370000000001</x:v>
      </x:c>
      <x:c r="L232" s="29" t="n">
        <x:f>COUNTIFS('Priced Usage'!$C$7:$C$3366,$A232,'Priced Usage'!$I$7:$I$3366,"First attempt")</x:f>
        <x:v>1</x:v>
      </x:c>
      <x:c r="M232" s="29" t="n">
        <x:f>COUNTIFS('Priced Usage'!$C$7:$C$3366,$A232,'Priced Usage'!$I$7:$I$3366,"Followup")</x:f>
        <x:v>13</x:v>
      </x:c>
      <x:c r="N232" s="29" t="n">
        <x:f>COUNTIFS('Priced Usage'!$C$7:$C$3366,$A232,'Priced Usage'!$I$7:$I$3366,"Correction")</x:f>
        <x:v>2</x:v>
      </x:c>
    </x:row>
    <x:row r="233" ht="23" customHeight="1">
      <x:c r="A233" s="17" t="str">
        <x:v>W0227</x:v>
      </x:c>
      <x:c r="B233" s="17" t="str">
        <x:v>C004</x:v>
      </x:c>
      <x:c r="C233" s="17" t="str">
        <x:v>DataFlow</x:v>
      </x:c>
      <x:c r="D233" s="17" t="str">
        <x:v>Pro</x:v>
      </x:c>
      <x:c r="E233" s="29" t="n">
        <x:f>SUMIFS('Priced Usage'!$G$7:$G$3366,'Priced Usage'!$C$7:$C$3366,$A233)</x:f>
        <x:v>277153</x:v>
      </x:c>
      <x:c r="F233" s="29" t="n">
        <x:f>SUMIFS('Priced Usage'!$H$7:$H$3366,'Priced Usage'!$C$7:$C$3366,$A233)</x:f>
        <x:v>154991</x:v>
      </x:c>
      <x:c r="G233" s="29" t="n">
        <x:f>SUMIFS('Priced Usage'!$L$7:$L$3366,'Priced Usage'!$C$7:$C$3366,$A233)</x:f>
        <x:v>432144</x:v>
      </x:c>
      <x:c r="H233" s="29" t="n">
        <x:f>COUNTIFS('Priced Usage'!$C$7:$C$3366,$A233)</x:f>
        <x:v>15</x:v>
      </x:c>
      <x:c r="I233" s="30" t="n">
        <x:f>SUMIFS('Priced Usage'!$M$7:$M$3366,'Priced Usage'!$C$7:$C$3366,$A233)</x:f>
        <x:v>11.086120000000001</x:v>
      </x:c>
      <x:c r="J233" s="30" t="n">
        <x:f>SUMIFS('Priced Usage'!$N$7:$N$3366,'Priced Usage'!$C$7:$C$3366,$A233)</x:f>
        <x:v>15.4991</x:v>
      </x:c>
      <x:c r="K233" s="30" t="n">
        <x:f>SUMIFS('Priced Usage'!$O$7:$O$3366,'Priced Usage'!$C$7:$C$3366,$A233)</x:f>
        <x:v>26.58522</x:v>
      </x:c>
      <x:c r="L233" s="29" t="n">
        <x:f>COUNTIFS('Priced Usage'!$C$7:$C$3366,$A233,'Priced Usage'!$I$7:$I$3366,"First attempt")</x:f>
        <x:v>1</x:v>
      </x:c>
      <x:c r="M233" s="29" t="n">
        <x:f>COUNTIFS('Priced Usage'!$C$7:$C$3366,$A233,'Priced Usage'!$I$7:$I$3366,"Followup")</x:f>
        <x:v>12</x:v>
      </x:c>
      <x:c r="N233" s="29" t="n">
        <x:f>COUNTIFS('Priced Usage'!$C$7:$C$3366,$A233,'Priced Usage'!$I$7:$I$3366,"Correction")</x:f>
        <x:v>2</x:v>
      </x:c>
    </x:row>
    <x:row r="234" ht="23" customHeight="1">
      <x:c r="A234" s="17" t="str">
        <x:v>W0228</x:v>
      </x:c>
      <x:c r="B234" s="17" t="str">
        <x:v>C004</x:v>
      </x:c>
      <x:c r="C234" s="17" t="str">
        <x:v>CampaignChat</x:v>
      </x:c>
      <x:c r="D234" s="17" t="str">
        <x:v>Lite</x:v>
      </x:c>
      <x:c r="E234" s="29" t="n">
        <x:f>SUMIFS('Priced Usage'!$G$7:$G$3366,'Priced Usage'!$C$7:$C$3366,$A234)</x:f>
        <x:v>324063</x:v>
      </x:c>
      <x:c r="F234" s="29" t="n">
        <x:f>SUMIFS('Priced Usage'!$H$7:$H$3366,'Priced Usage'!$C$7:$C$3366,$A234)</x:f>
        <x:v>43578</x:v>
      </x:c>
      <x:c r="G234" s="29" t="n">
        <x:f>SUMIFS('Priced Usage'!$L$7:$L$3366,'Priced Usage'!$C$7:$C$3366,$A234)</x:f>
        <x:v>367641</x:v>
      </x:c>
      <x:c r="H234" s="29" t="n">
        <x:f>COUNTIFS('Priced Usage'!$C$7:$C$3366,$A234)</x:f>
        <x:v>14</x:v>
      </x:c>
      <x:c r="I234" s="30" t="n">
        <x:f>SUMIFS('Priced Usage'!$M$7:$M$3366,'Priced Usage'!$C$7:$C$3366,$A234)</x:f>
        <x:v>3.2406300000000003</x:v>
      </x:c>
      <x:c r="J234" s="30" t="n">
        <x:f>SUMIFS('Priced Usage'!$N$7:$N$3366,'Priced Usage'!$C$7:$C$3366,$A234)</x:f>
        <x:v>1.30734</x:v>
      </x:c>
      <x:c r="K234" s="30" t="n">
        <x:f>SUMIFS('Priced Usage'!$O$7:$O$3366,'Priced Usage'!$C$7:$C$3366,$A234)</x:f>
        <x:v>4.547969999999999</x:v>
      </x:c>
      <x:c r="L234" s="29" t="n">
        <x:f>COUNTIFS('Priced Usage'!$C$7:$C$3366,$A234,'Priced Usage'!$I$7:$I$3366,"First attempt")</x:f>
        <x:v>1</x:v>
      </x:c>
      <x:c r="M234" s="29" t="n">
        <x:f>COUNTIFS('Priced Usage'!$C$7:$C$3366,$A234,'Priced Usage'!$I$7:$I$3366,"Followup")</x:f>
        <x:v>9</x:v>
      </x:c>
      <x:c r="N234" s="29" t="n">
        <x:f>COUNTIFS('Priced Usage'!$C$7:$C$3366,$A234,'Priced Usage'!$I$7:$I$3366,"Correction")</x:f>
        <x:v>4</x:v>
      </x:c>
    </x:row>
    <x:row r="235" ht="23" customHeight="1">
      <x:c r="A235" s="17" t="str">
        <x:v>W0229</x:v>
      </x:c>
      <x:c r="B235" s="17" t="str">
        <x:v>C004</x:v>
      </x:c>
      <x:c r="C235" s="17" t="str">
        <x:v>CampaignChat</x:v>
      </x:c>
      <x:c r="D235" s="17" t="str">
        <x:v>Lite</x:v>
      </x:c>
      <x:c r="E235" s="29" t="n">
        <x:f>SUMIFS('Priced Usage'!$G$7:$G$3366,'Priced Usage'!$C$7:$C$3366,$A235)</x:f>
        <x:v>172830</x:v>
      </x:c>
      <x:c r="F235" s="29" t="n">
        <x:f>SUMIFS('Priced Usage'!$H$7:$H$3366,'Priced Usage'!$C$7:$C$3366,$A235)</x:f>
        <x:v>62269</x:v>
      </x:c>
      <x:c r="G235" s="29" t="n">
        <x:f>SUMIFS('Priced Usage'!$L$7:$L$3366,'Priced Usage'!$C$7:$C$3366,$A235)</x:f>
        <x:v>235099</x:v>
      </x:c>
      <x:c r="H235" s="29" t="n">
        <x:f>COUNTIFS('Priced Usage'!$C$7:$C$3366,$A235)</x:f>
        <x:v>13</x:v>
      </x:c>
      <x:c r="I235" s="30" t="n">
        <x:f>SUMIFS('Priced Usage'!$M$7:$M$3366,'Priced Usage'!$C$7:$C$3366,$A235)</x:f>
        <x:v>1.7283000000000002</x:v>
      </x:c>
      <x:c r="J235" s="30" t="n">
        <x:f>SUMIFS('Priced Usage'!$N$7:$N$3366,'Priced Usage'!$C$7:$C$3366,$A235)</x:f>
        <x:v>1.8680700000000001</x:v>
      </x:c>
      <x:c r="K235" s="30" t="n">
        <x:f>SUMIFS('Priced Usage'!$O$7:$O$3366,'Priced Usage'!$C$7:$C$3366,$A235)</x:f>
        <x:v>3.5963700000000007</x:v>
      </x:c>
      <x:c r="L235" s="29" t="n">
        <x:f>COUNTIFS('Priced Usage'!$C$7:$C$3366,$A235,'Priced Usage'!$I$7:$I$3366,"First attempt")</x:f>
        <x:v>1</x:v>
      </x:c>
      <x:c r="M235" s="29" t="n">
        <x:f>COUNTIFS('Priced Usage'!$C$7:$C$3366,$A235,'Priced Usage'!$I$7:$I$3366,"Followup")</x:f>
        <x:v>9</x:v>
      </x:c>
      <x:c r="N235" s="29" t="n">
        <x:f>COUNTIFS('Priced Usage'!$C$7:$C$3366,$A235,'Priced Usage'!$I$7:$I$3366,"Correction")</x:f>
        <x:v>3</x:v>
      </x:c>
    </x:row>
    <x:row r="236" ht="23" customHeight="1">
      <x:c r="A236" s="17" t="str">
        <x:v>W0230</x:v>
      </x:c>
      <x:c r="B236" s="17" t="str">
        <x:v>C004</x:v>
      </x:c>
      <x:c r="C236" s="17" t="str">
        <x:v>DataFlow</x:v>
      </x:c>
      <x:c r="D236" s="17" t="str">
        <x:v>Lite</x:v>
      </x:c>
      <x:c r="E236" s="29" t="n">
        <x:f>SUMIFS('Priced Usage'!$G$7:$G$3366,'Priced Usage'!$C$7:$C$3366,$A236)</x:f>
        <x:v>166574</x:v>
      </x:c>
      <x:c r="F236" s="29" t="n">
        <x:f>SUMIFS('Priced Usage'!$H$7:$H$3366,'Priced Usage'!$C$7:$C$3366,$A236)</x:f>
        <x:v>38996</x:v>
      </x:c>
      <x:c r="G236" s="29" t="n">
        <x:f>SUMIFS('Priced Usage'!$L$7:$L$3366,'Priced Usage'!$C$7:$C$3366,$A236)</x:f>
        <x:v>205570</x:v>
      </x:c>
      <x:c r="H236" s="29" t="n">
        <x:f>COUNTIFS('Priced Usage'!$C$7:$C$3366,$A236)</x:f>
        <x:v>12</x:v>
      </x:c>
      <x:c r="I236" s="30" t="n">
        <x:f>SUMIFS('Priced Usage'!$M$7:$M$3366,'Priced Usage'!$C$7:$C$3366,$A236)</x:f>
        <x:v>1.66574</x:v>
      </x:c>
      <x:c r="J236" s="30" t="n">
        <x:f>SUMIFS('Priced Usage'!$N$7:$N$3366,'Priced Usage'!$C$7:$C$3366,$A236)</x:f>
        <x:v>1.1698799999999998</x:v>
      </x:c>
      <x:c r="K236" s="30" t="n">
        <x:f>SUMIFS('Priced Usage'!$O$7:$O$3366,'Priced Usage'!$C$7:$C$3366,$A236)</x:f>
        <x:v>2.83562</x:v>
      </x:c>
      <x:c r="L236" s="29" t="n">
        <x:f>COUNTIFS('Priced Usage'!$C$7:$C$3366,$A236,'Priced Usage'!$I$7:$I$3366,"First attempt")</x:f>
        <x:v>1</x:v>
      </x:c>
      <x:c r="M236" s="29" t="n">
        <x:f>COUNTIFS('Priced Usage'!$C$7:$C$3366,$A236,'Priced Usage'!$I$7:$I$3366,"Followup")</x:f>
        <x:v>9</x:v>
      </x:c>
      <x:c r="N236" s="29" t="n">
        <x:f>COUNTIFS('Priced Usage'!$C$7:$C$3366,$A236,'Priced Usage'!$I$7:$I$3366,"Correction")</x:f>
        <x:v>2</x:v>
      </x:c>
    </x:row>
    <x:row r="237" ht="23" customHeight="1">
      <x:c r="A237" s="17" t="str">
        <x:v>W0231</x:v>
      </x:c>
      <x:c r="B237" s="17" t="str">
        <x:v>C004</x:v>
      </x:c>
      <x:c r="C237" s="17" t="str">
        <x:v>DataFlow</x:v>
      </x:c>
      <x:c r="D237" s="17" t="str">
        <x:v>Pro</x:v>
      </x:c>
      <x:c r="E237" s="29" t="n">
        <x:f>SUMIFS('Priced Usage'!$G$7:$G$3366,'Priced Usage'!$C$7:$C$3366,$A237)</x:f>
        <x:v>252661</x:v>
      </x:c>
      <x:c r="F237" s="29" t="n">
        <x:f>SUMIFS('Priced Usage'!$H$7:$H$3366,'Priced Usage'!$C$7:$C$3366,$A237)</x:f>
        <x:v>98867</x:v>
      </x:c>
      <x:c r="G237" s="29" t="n">
        <x:f>SUMIFS('Priced Usage'!$L$7:$L$3366,'Priced Usage'!$C$7:$C$3366,$A237)</x:f>
        <x:v>351528</x:v>
      </x:c>
      <x:c r="H237" s="29" t="n">
        <x:f>COUNTIFS('Priced Usage'!$C$7:$C$3366,$A237)</x:f>
        <x:v>11</x:v>
      </x:c>
      <x:c r="I237" s="30" t="n">
        <x:f>SUMIFS('Priced Usage'!$M$7:$M$3366,'Priced Usage'!$C$7:$C$3366,$A237)</x:f>
        <x:v>10.10644</x:v>
      </x:c>
      <x:c r="J237" s="30" t="n">
        <x:f>SUMIFS('Priced Usage'!$N$7:$N$3366,'Priced Usage'!$C$7:$C$3366,$A237)</x:f>
        <x:v>9.8867</x:v>
      </x:c>
      <x:c r="K237" s="30" t="n">
        <x:f>SUMIFS('Priced Usage'!$O$7:$O$3366,'Priced Usage'!$C$7:$C$3366,$A237)</x:f>
        <x:v>19.993139999999997</x:v>
      </x:c>
      <x:c r="L237" s="29" t="n">
        <x:f>COUNTIFS('Priced Usage'!$C$7:$C$3366,$A237,'Priced Usage'!$I$7:$I$3366,"First attempt")</x:f>
        <x:v>1</x:v>
      </x:c>
      <x:c r="M237" s="29" t="n">
        <x:f>COUNTIFS('Priced Usage'!$C$7:$C$3366,$A237,'Priced Usage'!$I$7:$I$3366,"Followup")</x:f>
        <x:v>7</x:v>
      </x:c>
      <x:c r="N237" s="29" t="n">
        <x:f>COUNTIFS('Priced Usage'!$C$7:$C$3366,$A237,'Priced Usage'!$I$7:$I$3366,"Correction")</x:f>
        <x:v>3</x:v>
      </x:c>
    </x:row>
    <x:row r="238" ht="23" customHeight="1">
      <x:c r="A238" s="17" t="str">
        <x:v>W0232</x:v>
      </x:c>
      <x:c r="B238" s="17" t="str">
        <x:v>C004</x:v>
      </x:c>
      <x:c r="C238" s="17" t="str">
        <x:v>InsightDesk</x:v>
      </x:c>
      <x:c r="D238" s="17" t="str">
        <x:v>Lite</x:v>
      </x:c>
      <x:c r="E238" s="29" t="n">
        <x:f>SUMIFS('Priced Usage'!$G$7:$G$3366,'Priced Usage'!$C$7:$C$3366,$A238)</x:f>
        <x:v>213642</x:v>
      </x:c>
      <x:c r="F238" s="29" t="n">
        <x:f>SUMIFS('Priced Usage'!$H$7:$H$3366,'Priced Usage'!$C$7:$C$3366,$A238)</x:f>
        <x:v>32155</x:v>
      </x:c>
      <x:c r="G238" s="29" t="n">
        <x:f>SUMIFS('Priced Usage'!$L$7:$L$3366,'Priced Usage'!$C$7:$C$3366,$A238)</x:f>
        <x:v>245797</x:v>
      </x:c>
      <x:c r="H238" s="29" t="n">
        <x:f>COUNTIFS('Priced Usage'!$C$7:$C$3366,$A238)</x:f>
        <x:v>9</x:v>
      </x:c>
      <x:c r="I238" s="30" t="n">
        <x:f>SUMIFS('Priced Usage'!$M$7:$M$3366,'Priced Usage'!$C$7:$C$3366,$A238)</x:f>
        <x:v>2.1364199999999998</x:v>
      </x:c>
      <x:c r="J238" s="30" t="n">
        <x:f>SUMIFS('Priced Usage'!$N$7:$N$3366,'Priced Usage'!$C$7:$C$3366,$A238)</x:f>
        <x:v>0.9646500000000001</x:v>
      </x:c>
      <x:c r="K238" s="30" t="n">
        <x:f>SUMIFS('Priced Usage'!$O$7:$O$3366,'Priced Usage'!$C$7:$C$3366,$A238)</x:f>
        <x:v>3.1010700000000004</x:v>
      </x:c>
      <x:c r="L238" s="29" t="n">
        <x:f>COUNTIFS('Priced Usage'!$C$7:$C$3366,$A238,'Priced Usage'!$I$7:$I$3366,"First attempt")</x:f>
        <x:v>1</x:v>
      </x:c>
      <x:c r="M238" s="29" t="n">
        <x:f>COUNTIFS('Priced Usage'!$C$7:$C$3366,$A238,'Priced Usage'!$I$7:$I$3366,"Followup")</x:f>
        <x:v>7</x:v>
      </x:c>
      <x:c r="N238" s="29" t="n">
        <x:f>COUNTIFS('Priced Usage'!$C$7:$C$3366,$A238,'Priced Usage'!$I$7:$I$3366,"Correction")</x:f>
        <x:v>1</x:v>
      </x:c>
    </x:row>
    <x:row r="239" ht="23" customHeight="1">
      <x:c r="A239" s="17" t="str">
        <x:v>W0233</x:v>
      </x:c>
      <x:c r="B239" s="17" t="str">
        <x:v>C004</x:v>
      </x:c>
      <x:c r="C239" s="17" t="str">
        <x:v>InsightDesk</x:v>
      </x:c>
      <x:c r="D239" s="17" t="str">
        <x:v>Pro</x:v>
      </x:c>
      <x:c r="E239" s="29" t="n">
        <x:f>SUMIFS('Priced Usage'!$G$7:$G$3366,'Priced Usage'!$C$7:$C$3366,$A239)</x:f>
        <x:v>149519</x:v>
      </x:c>
      <x:c r="F239" s="29" t="n">
        <x:f>SUMIFS('Priced Usage'!$H$7:$H$3366,'Priced Usage'!$C$7:$C$3366,$A239)</x:f>
        <x:v>70473</x:v>
      </x:c>
      <x:c r="G239" s="29" t="n">
        <x:f>SUMIFS('Priced Usage'!$L$7:$L$3366,'Priced Usage'!$C$7:$C$3366,$A239)</x:f>
        <x:v>219992</x:v>
      </x:c>
      <x:c r="H239" s="29" t="n">
        <x:f>COUNTIFS('Priced Usage'!$C$7:$C$3366,$A239)</x:f>
        <x:v>11</x:v>
      </x:c>
      <x:c r="I239" s="30" t="n">
        <x:f>SUMIFS('Priced Usage'!$M$7:$M$3366,'Priced Usage'!$C$7:$C$3366,$A239)</x:f>
        <x:v>5.980759999999999</x:v>
      </x:c>
      <x:c r="J239" s="30" t="n">
        <x:f>SUMIFS('Priced Usage'!$N$7:$N$3366,'Priced Usage'!$C$7:$C$3366,$A239)</x:f>
        <x:v>7.047299999999999</x:v>
      </x:c>
      <x:c r="K239" s="30" t="n">
        <x:f>SUMIFS('Priced Usage'!$O$7:$O$3366,'Priced Usage'!$C$7:$C$3366,$A239)</x:f>
        <x:v>13.02806</x:v>
      </x:c>
      <x:c r="L239" s="29" t="n">
        <x:f>COUNTIFS('Priced Usage'!$C$7:$C$3366,$A239,'Priced Usage'!$I$7:$I$3366,"First attempt")</x:f>
        <x:v>1</x:v>
      </x:c>
      <x:c r="M239" s="29" t="n">
        <x:f>COUNTIFS('Priced Usage'!$C$7:$C$3366,$A239,'Priced Usage'!$I$7:$I$3366,"Followup")</x:f>
        <x:v>8</x:v>
      </x:c>
      <x:c r="N239" s="29" t="n">
        <x:f>COUNTIFS('Priced Usage'!$C$7:$C$3366,$A239,'Priced Usage'!$I$7:$I$3366,"Correction")</x:f>
        <x:v>2</x:v>
      </x:c>
    </x:row>
    <x:row r="240" ht="23" customHeight="1">
      <x:c r="A240" s="17" t="str">
        <x:v>W0234</x:v>
      </x:c>
      <x:c r="B240" s="17" t="str">
        <x:v>C004</x:v>
      </x:c>
      <x:c r="C240" s="17" t="str">
        <x:v>CopyStudio</x:v>
      </x:c>
      <x:c r="D240" s="17" t="str">
        <x:v>Lite</x:v>
      </x:c>
      <x:c r="E240" s="29" t="n">
        <x:f>SUMIFS('Priced Usage'!$G$7:$G$3366,'Priced Usage'!$C$7:$C$3366,$A240)</x:f>
        <x:v>299424</x:v>
      </x:c>
      <x:c r="F240" s="29" t="n">
        <x:f>SUMIFS('Priced Usage'!$H$7:$H$3366,'Priced Usage'!$C$7:$C$3366,$A240)</x:f>
        <x:v>101373</x:v>
      </x:c>
      <x:c r="G240" s="29" t="n">
        <x:f>SUMIFS('Priced Usage'!$L$7:$L$3366,'Priced Usage'!$C$7:$C$3366,$A240)</x:f>
        <x:v>400797</x:v>
      </x:c>
      <x:c r="H240" s="29" t="n">
        <x:f>COUNTIFS('Priced Usage'!$C$7:$C$3366,$A240)</x:f>
        <x:v>20</x:v>
      </x:c>
      <x:c r="I240" s="30" t="n">
        <x:f>SUMIFS('Priced Usage'!$M$7:$M$3366,'Priced Usage'!$C$7:$C$3366,$A240)</x:f>
        <x:v>2.9942399999999996</x:v>
      </x:c>
      <x:c r="J240" s="30" t="n">
        <x:f>SUMIFS('Priced Usage'!$N$7:$N$3366,'Priced Usage'!$C$7:$C$3366,$A240)</x:f>
        <x:v>3.0411900000000003</x:v>
      </x:c>
      <x:c r="K240" s="30" t="n">
        <x:f>SUMIFS('Priced Usage'!$O$7:$O$3366,'Priced Usage'!$C$7:$C$3366,$A240)</x:f>
        <x:v>6.035430000000001</x:v>
      </x:c>
      <x:c r="L240" s="29" t="n">
        <x:f>COUNTIFS('Priced Usage'!$C$7:$C$3366,$A240,'Priced Usage'!$I$7:$I$3366,"First attempt")</x:f>
        <x:v>1</x:v>
      </x:c>
      <x:c r="M240" s="29" t="n">
        <x:f>COUNTIFS('Priced Usage'!$C$7:$C$3366,$A240,'Priced Usage'!$I$7:$I$3366,"Followup")</x:f>
        <x:v>15</x:v>
      </x:c>
      <x:c r="N240" s="29" t="n">
        <x:f>COUNTIFS('Priced Usage'!$C$7:$C$3366,$A240,'Priced Usage'!$I$7:$I$3366,"Correction")</x:f>
        <x:v>4</x:v>
      </x:c>
    </x:row>
    <x:row r="241" ht="23" customHeight="1">
      <x:c r="A241" s="17" t="str">
        <x:v>W0235</x:v>
      </x:c>
      <x:c r="B241" s="17" t="str">
        <x:v>C004</x:v>
      </x:c>
      <x:c r="C241" s="17" t="str">
        <x:v>CopyStudio</x:v>
      </x:c>
      <x:c r="D241" s="17" t="str">
        <x:v>Lite</x:v>
      </x:c>
      <x:c r="E241" s="29" t="n">
        <x:f>SUMIFS('Priced Usage'!$G$7:$G$3366,'Priced Usage'!$C$7:$C$3366,$A241)</x:f>
        <x:v>214940</x:v>
      </x:c>
      <x:c r="F241" s="29" t="n">
        <x:f>SUMIFS('Priced Usage'!$H$7:$H$3366,'Priced Usage'!$C$7:$C$3366,$A241)</x:f>
        <x:v>32863</x:v>
      </x:c>
      <x:c r="G241" s="29" t="n">
        <x:f>SUMIFS('Priced Usage'!$L$7:$L$3366,'Priced Usage'!$C$7:$C$3366,$A241)</x:f>
        <x:v>247803</x:v>
      </x:c>
      <x:c r="H241" s="29" t="n">
        <x:f>COUNTIFS('Priced Usage'!$C$7:$C$3366,$A241)</x:f>
        <x:v>12</x:v>
      </x:c>
      <x:c r="I241" s="30" t="n">
        <x:f>SUMIFS('Priced Usage'!$M$7:$M$3366,'Priced Usage'!$C$7:$C$3366,$A241)</x:f>
        <x:v>2.1494</x:v>
      </x:c>
      <x:c r="J241" s="30" t="n">
        <x:f>SUMIFS('Priced Usage'!$N$7:$N$3366,'Priced Usage'!$C$7:$C$3366,$A241)</x:f>
        <x:v>0.9858899999999999</x:v>
      </x:c>
      <x:c r="K241" s="30" t="n">
        <x:f>SUMIFS('Priced Usage'!$O$7:$O$3366,'Priced Usage'!$C$7:$C$3366,$A241)</x:f>
        <x:v>3.13529</x:v>
      </x:c>
      <x:c r="L241" s="29" t="n">
        <x:f>COUNTIFS('Priced Usage'!$C$7:$C$3366,$A241,'Priced Usage'!$I$7:$I$3366,"First attempt")</x:f>
        <x:v>1</x:v>
      </x:c>
      <x:c r="M241" s="29" t="n">
        <x:f>COUNTIFS('Priced Usage'!$C$7:$C$3366,$A241,'Priced Usage'!$I$7:$I$3366,"Followup")</x:f>
        <x:v>7</x:v>
      </x:c>
      <x:c r="N241" s="29" t="n">
        <x:f>COUNTIFS('Priced Usage'!$C$7:$C$3366,$A241,'Priced Usage'!$I$7:$I$3366,"Correction")</x:f>
        <x:v>4</x:v>
      </x:c>
    </x:row>
    <x:row r="242" ht="23" customHeight="1">
      <x:c r="A242" s="17" t="str">
        <x:v>W0236</x:v>
      </x:c>
      <x:c r="B242" s="17" t="str">
        <x:v>C004</x:v>
      </x:c>
      <x:c r="C242" s="17" t="str">
        <x:v>CampaignChat</x:v>
      </x:c>
      <x:c r="D242" s="17" t="str">
        <x:v>Lite</x:v>
      </x:c>
      <x:c r="E242" s="29" t="n">
        <x:f>SUMIFS('Priced Usage'!$G$7:$G$3366,'Priced Usage'!$C$7:$C$3366,$A242)</x:f>
        <x:v>510058</x:v>
      </x:c>
      <x:c r="F242" s="29" t="n">
        <x:f>SUMIFS('Priced Usage'!$H$7:$H$3366,'Priced Usage'!$C$7:$C$3366,$A242)</x:f>
        <x:v>45121</x:v>
      </x:c>
      <x:c r="G242" s="29" t="n">
        <x:f>SUMIFS('Priced Usage'!$L$7:$L$3366,'Priced Usage'!$C$7:$C$3366,$A242)</x:f>
        <x:v>555179</x:v>
      </x:c>
      <x:c r="H242" s="29" t="n">
        <x:f>COUNTIFS('Priced Usage'!$C$7:$C$3366,$A242)</x:f>
        <x:v>17</x:v>
      </x:c>
      <x:c r="I242" s="30" t="n">
        <x:f>SUMIFS('Priced Usage'!$M$7:$M$3366,'Priced Usage'!$C$7:$C$3366,$A242)</x:f>
        <x:v>5.100579999999999</x:v>
      </x:c>
      <x:c r="J242" s="30" t="n">
        <x:f>SUMIFS('Priced Usage'!$N$7:$N$3366,'Priced Usage'!$C$7:$C$3366,$A242)</x:f>
        <x:v>1.3536299999999999</x:v>
      </x:c>
      <x:c r="K242" s="30" t="n">
        <x:f>SUMIFS('Priced Usage'!$O$7:$O$3366,'Priced Usage'!$C$7:$C$3366,$A242)</x:f>
        <x:v>6.454209999999999</x:v>
      </x:c>
      <x:c r="L242" s="29" t="n">
        <x:f>COUNTIFS('Priced Usage'!$C$7:$C$3366,$A242,'Priced Usage'!$I$7:$I$3366,"First attempt")</x:f>
        <x:v>1</x:v>
      </x:c>
      <x:c r="M242" s="29" t="n">
        <x:f>COUNTIFS('Priced Usage'!$C$7:$C$3366,$A242,'Priced Usage'!$I$7:$I$3366,"Followup")</x:f>
        <x:v>12</x:v>
      </x:c>
      <x:c r="N242" s="29" t="n">
        <x:f>COUNTIFS('Priced Usage'!$C$7:$C$3366,$A242,'Priced Usage'!$I$7:$I$3366,"Correction")</x:f>
        <x:v>4</x:v>
      </x:c>
    </x:row>
    <x:row r="243" ht="23" customHeight="1">
      <x:c r="A243" s="17" t="str">
        <x:v>W0237</x:v>
      </x:c>
      <x:c r="B243" s="17" t="str">
        <x:v>C004</x:v>
      </x:c>
      <x:c r="C243" s="17" t="str">
        <x:v>CampaignChat</x:v>
      </x:c>
      <x:c r="D243" s="17" t="str">
        <x:v>Lite</x:v>
      </x:c>
      <x:c r="E243" s="29" t="n">
        <x:f>SUMIFS('Priced Usage'!$G$7:$G$3366,'Priced Usage'!$C$7:$C$3366,$A243)</x:f>
        <x:v>205009</x:v>
      </x:c>
      <x:c r="F243" s="29" t="n">
        <x:f>SUMIFS('Priced Usage'!$H$7:$H$3366,'Priced Usage'!$C$7:$C$3366,$A243)</x:f>
        <x:v>73870</x:v>
      </x:c>
      <x:c r="G243" s="29" t="n">
        <x:f>SUMIFS('Priced Usage'!$L$7:$L$3366,'Priced Usage'!$C$7:$C$3366,$A243)</x:f>
        <x:v>278879</x:v>
      </x:c>
      <x:c r="H243" s="29" t="n">
        <x:f>COUNTIFS('Priced Usage'!$C$7:$C$3366,$A243)</x:f>
        <x:v>15</x:v>
      </x:c>
      <x:c r="I243" s="30" t="n">
        <x:f>SUMIFS('Priced Usage'!$M$7:$M$3366,'Priced Usage'!$C$7:$C$3366,$A243)</x:f>
        <x:v>2.05009</x:v>
      </x:c>
      <x:c r="J243" s="30" t="n">
        <x:f>SUMIFS('Priced Usage'!$N$7:$N$3366,'Priced Usage'!$C$7:$C$3366,$A243)</x:f>
        <x:v>2.2161</x:v>
      </x:c>
      <x:c r="K243" s="30" t="n">
        <x:f>SUMIFS('Priced Usage'!$O$7:$O$3366,'Priced Usage'!$C$7:$C$3366,$A243)</x:f>
        <x:v>4.26619</x:v>
      </x:c>
      <x:c r="L243" s="29" t="n">
        <x:f>COUNTIFS('Priced Usage'!$C$7:$C$3366,$A243,'Priced Usage'!$I$7:$I$3366,"First attempt")</x:f>
        <x:v>1</x:v>
      </x:c>
      <x:c r="M243" s="29" t="n">
        <x:f>COUNTIFS('Priced Usage'!$C$7:$C$3366,$A243,'Priced Usage'!$I$7:$I$3366,"Followup")</x:f>
        <x:v>11</x:v>
      </x:c>
      <x:c r="N243" s="29" t="n">
        <x:f>COUNTIFS('Priced Usage'!$C$7:$C$3366,$A243,'Priced Usage'!$I$7:$I$3366,"Correction")</x:f>
        <x:v>3</x:v>
      </x:c>
    </x:row>
    <x:row r="244" ht="23" customHeight="1">
      <x:c r="A244" s="17" t="str">
        <x:v>W0238</x:v>
      </x:c>
      <x:c r="B244" s="17" t="str">
        <x:v>C004</x:v>
      </x:c>
      <x:c r="C244" s="17" t="str">
        <x:v>DataFlow</x:v>
      </x:c>
      <x:c r="D244" s="17" t="str">
        <x:v>Pro</x:v>
      </x:c>
      <x:c r="E244" s="29" t="n">
        <x:f>SUMIFS('Priced Usage'!$G$7:$G$3366,'Priced Usage'!$C$7:$C$3366,$A244)</x:f>
        <x:v>259897</x:v>
      </x:c>
      <x:c r="F244" s="29" t="n">
        <x:f>SUMIFS('Priced Usage'!$H$7:$H$3366,'Priced Usage'!$C$7:$C$3366,$A244)</x:f>
        <x:v>160065</x:v>
      </x:c>
      <x:c r="G244" s="29" t="n">
        <x:f>SUMIFS('Priced Usage'!$L$7:$L$3366,'Priced Usage'!$C$7:$C$3366,$A244)</x:f>
        <x:v>419962</x:v>
      </x:c>
      <x:c r="H244" s="29" t="n">
        <x:f>COUNTIFS('Priced Usage'!$C$7:$C$3366,$A244)</x:f>
        <x:v>16</x:v>
      </x:c>
      <x:c r="I244" s="30" t="n">
        <x:f>SUMIFS('Priced Usage'!$M$7:$M$3366,'Priced Usage'!$C$7:$C$3366,$A244)</x:f>
        <x:v>10.395879999999998</x:v>
      </x:c>
      <x:c r="J244" s="30" t="n">
        <x:f>SUMIFS('Priced Usage'!$N$7:$N$3366,'Priced Usage'!$C$7:$C$3366,$A244)</x:f>
        <x:v>16.0065</x:v>
      </x:c>
      <x:c r="K244" s="30" t="n">
        <x:f>SUMIFS('Priced Usage'!$O$7:$O$3366,'Priced Usage'!$C$7:$C$3366,$A244)</x:f>
        <x:v>26.402379999999994</x:v>
      </x:c>
      <x:c r="L244" s="29" t="n">
        <x:f>COUNTIFS('Priced Usage'!$C$7:$C$3366,$A244,'Priced Usage'!$I$7:$I$3366,"First attempt")</x:f>
        <x:v>1</x:v>
      </x:c>
      <x:c r="M244" s="29" t="n">
        <x:f>COUNTIFS('Priced Usage'!$C$7:$C$3366,$A244,'Priced Usage'!$I$7:$I$3366,"Followup")</x:f>
        <x:v>12</x:v>
      </x:c>
      <x:c r="N244" s="29" t="n">
        <x:f>COUNTIFS('Priced Usage'!$C$7:$C$3366,$A244,'Priced Usage'!$I$7:$I$3366,"Correction")</x:f>
        <x:v>3</x:v>
      </x:c>
    </x:row>
    <x:row r="245" ht="23" customHeight="1">
      <x:c r="A245" s="17" t="str">
        <x:v>W0239</x:v>
      </x:c>
      <x:c r="B245" s="17" t="str">
        <x:v>C004</x:v>
      </x:c>
      <x:c r="C245" s="17" t="str">
        <x:v>DataFlow</x:v>
      </x:c>
      <x:c r="D245" s="17" t="str">
        <x:v>Lite</x:v>
      </x:c>
      <x:c r="E245" s="29" t="n">
        <x:f>SUMIFS('Priced Usage'!$G$7:$G$3366,'Priced Usage'!$C$7:$C$3366,$A245)</x:f>
        <x:v>434374</x:v>
      </x:c>
      <x:c r="F245" s="29" t="n">
        <x:f>SUMIFS('Priced Usage'!$H$7:$H$3366,'Priced Usage'!$C$7:$C$3366,$A245)</x:f>
        <x:v>37522</x:v>
      </x:c>
      <x:c r="G245" s="29" t="n">
        <x:f>SUMIFS('Priced Usage'!$L$7:$L$3366,'Priced Usage'!$C$7:$C$3366,$A245)</x:f>
        <x:v>471896</x:v>
      </x:c>
      <x:c r="H245" s="29" t="n">
        <x:f>COUNTIFS('Priced Usage'!$C$7:$C$3366,$A245)</x:f>
        <x:v>15</x:v>
      </x:c>
      <x:c r="I245" s="30" t="n">
        <x:f>SUMIFS('Priced Usage'!$M$7:$M$3366,'Priced Usage'!$C$7:$C$3366,$A245)</x:f>
        <x:v>4.34374</x:v>
      </x:c>
      <x:c r="J245" s="30" t="n">
        <x:f>SUMIFS('Priced Usage'!$N$7:$N$3366,'Priced Usage'!$C$7:$C$3366,$A245)</x:f>
        <x:v>1.12566</x:v>
      </x:c>
      <x:c r="K245" s="30" t="n">
        <x:f>SUMIFS('Priced Usage'!$O$7:$O$3366,'Priced Usage'!$C$7:$C$3366,$A245)</x:f>
        <x:v>5.469399999999999</x:v>
      </x:c>
      <x:c r="L245" s="29" t="n">
        <x:f>COUNTIFS('Priced Usage'!$C$7:$C$3366,$A245,'Priced Usage'!$I$7:$I$3366,"First attempt")</x:f>
        <x:v>1</x:v>
      </x:c>
      <x:c r="M245" s="29" t="n">
        <x:f>COUNTIFS('Priced Usage'!$C$7:$C$3366,$A245,'Priced Usage'!$I$7:$I$3366,"Followup")</x:f>
        <x:v>11</x:v>
      </x:c>
      <x:c r="N245" s="29" t="n">
        <x:f>COUNTIFS('Priced Usage'!$C$7:$C$3366,$A245,'Priced Usage'!$I$7:$I$3366,"Correction")</x:f>
        <x:v>3</x:v>
      </x:c>
    </x:row>
    <x:row r="246" ht="23" customHeight="1">
      <x:c r="A246" s="17" t="str">
        <x:v>W0240</x:v>
      </x:c>
      <x:c r="B246" s="17" t="str">
        <x:v>C004</x:v>
      </x:c>
      <x:c r="C246" s="17" t="str">
        <x:v>InsightDesk</x:v>
      </x:c>
      <x:c r="D246" s="17" t="str">
        <x:v>Pro</x:v>
      </x:c>
      <x:c r="E246" s="29" t="n">
        <x:f>SUMIFS('Priced Usage'!$G$7:$G$3366,'Priced Usage'!$C$7:$C$3366,$A246)</x:f>
        <x:v>264123</x:v>
      </x:c>
      <x:c r="F246" s="29" t="n">
        <x:f>SUMIFS('Priced Usage'!$H$7:$H$3366,'Priced Usage'!$C$7:$C$3366,$A246)</x:f>
        <x:v>124237</x:v>
      </x:c>
      <x:c r="G246" s="29" t="n">
        <x:f>SUMIFS('Priced Usage'!$L$7:$L$3366,'Priced Usage'!$C$7:$C$3366,$A246)</x:f>
        <x:v>388360</x:v>
      </x:c>
      <x:c r="H246" s="29" t="n">
        <x:f>COUNTIFS('Priced Usage'!$C$7:$C$3366,$A246)</x:f>
        <x:v>15</x:v>
      </x:c>
      <x:c r="I246" s="30" t="n">
        <x:f>SUMIFS('Priced Usage'!$M$7:$M$3366,'Priced Usage'!$C$7:$C$3366,$A246)</x:f>
        <x:v>10.564919999999999</x:v>
      </x:c>
      <x:c r="J246" s="30" t="n">
        <x:f>SUMIFS('Priced Usage'!$N$7:$N$3366,'Priced Usage'!$C$7:$C$3366,$A246)</x:f>
        <x:v>12.4237</x:v>
      </x:c>
      <x:c r="K246" s="30" t="n">
        <x:f>SUMIFS('Priced Usage'!$O$7:$O$3366,'Priced Usage'!$C$7:$C$3366,$A246)</x:f>
        <x:v>22.988620000000004</x:v>
      </x:c>
      <x:c r="L246" s="29" t="n">
        <x:f>COUNTIFS('Priced Usage'!$C$7:$C$3366,$A246,'Priced Usage'!$I$7:$I$3366,"First attempt")</x:f>
        <x:v>1</x:v>
      </x:c>
      <x:c r="M246" s="29" t="n">
        <x:f>COUNTIFS('Priced Usage'!$C$7:$C$3366,$A246,'Priced Usage'!$I$7:$I$3366,"Followup")</x:f>
        <x:v>11</x:v>
      </x:c>
      <x:c r="N246" s="29" t="n">
        <x:f>COUNTIFS('Priced Usage'!$C$7:$C$3366,$A246,'Priced Usage'!$I$7:$I$3366,"Correction")</x:f>
        <x:v>3</x:v>
      </x:c>
    </x:row>
  </x:sheetData>
  <x:pageMargins left="0.7" right="0.7" top="0.75" bottom="0.75" header="0.3" footer="0.3"/>
  <x:tableParts count="1">
    <x:tablePart xmlns:r="http://schemas.openxmlformats.org/officeDocument/2006/relationships" r:id="R545385e8270e4758"/>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3" hidden="0" customWidth="1"/>
    <x:col min="11" max="11" width="23" hidden="0" customWidth="1"/>
    <x:col min="12" max="12" width="18" hidden="0" customWidth="1"/>
    <x:col min="13" max="13" width="18" hidden="0" customWidth="1"/>
    <x:col min="14" max="14" width="18" hidden="0" customWidth="1"/>
    <x:col min="15" max="15" width="18" hidden="0" customWidth="1"/>
  </x:cols>
  <x:sheetData>
    <x:row r="1" ht="23" customHeight="1">
      <x:c r="A1" s="3"/>
      <x:c r="B1" s="3"/>
      <x:c r="C1" s="3"/>
      <x:c r="D1" s="3"/>
      <x:c r="E1" s="3"/>
      <x:c r="F1" s="3"/>
      <x:c r="G1" s="3"/>
      <x:c r="H1" s="3"/>
      <x:c r="I1" s="3"/>
      <x:c r="J1" s="3"/>
      <x:c r="K1" s="3"/>
      <x:c r="L1" s="3"/>
      <x:c r="M1" s="3"/>
      <x:c r="N1" s="3"/>
      <x:c r="O1" s="3"/>
    </x:row>
    <x:row r="2" ht="29" customHeight="1">
      <x:c r="A2" s="4" t="str">
        <x:v>Prompt pricing</x:v>
      </x:c>
      <x:c r="B2" s="3"/>
      <x:c r="C2" s="3"/>
      <x:c r="D2" s="3"/>
      <x:c r="E2" s="3"/>
      <x:c r="F2" s="3"/>
      <x:c r="G2" s="3"/>
      <x:c r="H2" s="3"/>
      <x:c r="I2" s="3"/>
      <x:c r="J2" s="3"/>
      <x:c r="K2" s="3"/>
      <x:c r="L2" s="3"/>
      <x:c r="M2" s="3"/>
      <x:c r="N2" s="3"/>
      <x:c r="O2" s="3"/>
    </x:row>
    <x:row r="3" ht="23" customHeight="1">
      <x:c r="A3" s="3"/>
      <x:c r="B3" s="3"/>
      <x:c r="C3" s="3"/>
      <x:c r="D3" s="3"/>
      <x:c r="E3" s="3"/>
      <x:c r="F3" s="3"/>
      <x:c r="G3" s="3"/>
      <x:c r="H3" s="3"/>
      <x:c r="I3" s="3"/>
      <x:c r="J3" s="3"/>
      <x:c r="K3" s="3"/>
      <x:c r="L3" s="3"/>
      <x:c r="M3" s="3"/>
      <x:c r="N3" s="3"/>
      <x:c r="O3" s="3"/>
    </x:row>
    <x:row r="4" ht="23" customHeight="1">
      <x:c r="A4" s="5" t="str">
        <x:v>One row per prompt. Costs retain full precision. usage_date is the spending date.</x:v>
      </x:c>
      <x:c r="B4" s="3"/>
      <x:c r="C4" s="3"/>
      <x:c r="D4" s="3"/>
      <x:c r="E4" s="3"/>
      <x:c r="F4" s="3"/>
      <x:c r="G4" s="3"/>
      <x:c r="H4" s="3"/>
      <x:c r="I4" s="3"/>
      <x:c r="J4" s="3"/>
      <x:c r="K4" s="3"/>
      <x:c r="L4" s="3"/>
      <x:c r="M4" s="3"/>
      <x:c r="N4" s="3"/>
      <x:c r="O4" s="3"/>
    </x:row>
    <x:row r="5" ht="23" customHeight="1">
      <x:c r="A5" s="3"/>
      <x:c r="B5" s="3"/>
      <x:c r="C5" s="3"/>
      <x:c r="D5" s="3"/>
      <x:c r="E5" s="3"/>
      <x:c r="F5" s="3"/>
      <x:c r="G5" s="3"/>
      <x:c r="H5" s="3"/>
      <x:c r="I5" s="3"/>
      <x:c r="J5" s="3"/>
      <x:c r="K5" s="3"/>
      <x:c r="L5" s="3"/>
      <x:c r="M5" s="3"/>
      <x:c r="N5" s="3"/>
      <x:c r="O5" s="3"/>
    </x:row>
    <x:row r="6" ht="44" customHeight="1">
      <x:c r="A6" s="14" t="str">
        <x:v>usage_id</x:v>
      </x:c>
      <x:c r="B6" s="15" t="str">
        <x:v>usage_date</x:v>
      </x:c>
      <x:c r="C6" s="15" t="str">
        <x:v>work_item_id</x:v>
      </x:c>
      <x:c r="D6" s="15" t="str">
        <x:v>campaign_id</x:v>
      </x:c>
      <x:c r="E6" s="15" t="str">
        <x:v>product</x:v>
      </x:c>
      <x:c r="F6" s="15" t="str">
        <x:v>model</x:v>
      </x:c>
      <x:c r="G6" s="15" t="str">
        <x:v>input_tokens</x:v>
      </x:c>
      <x:c r="H6" s="15" t="str">
        <x:v>output_tokens</x:v>
      </x:c>
      <x:c r="I6" s="15" t="str">
        <x:v>prompt_reason</x:v>
      </x:c>
      <x:c r="J6" s="15" t="str">
        <x:v>input_rate_usd_per_million</x:v>
      </x:c>
      <x:c r="K6" s="15" t="str">
        <x:v>output_rate_usd_per_million</x:v>
      </x:c>
      <x:c r="L6" s="15" t="str">
        <x:v>total_tokens</x:v>
      </x:c>
      <x:c r="M6" s="15" t="str">
        <x:v>input_cost_usd</x:v>
      </x:c>
      <x:c r="N6" s="15" t="str">
        <x:v>output_cost_usd</x:v>
      </x:c>
      <x:c r="O6" s="16" t="str">
        <x:v>ai_cost_usd</x:v>
      </x:c>
    </x:row>
    <x:row r="7" ht="23" customHeight="1">
      <x:c r="A7" s="17" t="str">
        <x:v>U00001</x:v>
      </x:c>
      <x:c r="B7" s="18" t="n">
        <x:v>46281</x:v>
      </x:c>
      <x:c r="C7" s="17" t="str">
        <x:v>W0002</x:v>
      </x:c>
      <x:c r="D7" s="17" t="str">
        <x:v>C001</x:v>
      </x:c>
      <x:c r="E7" s="17" t="str">
        <x:v>CopyStudio</x:v>
      </x:c>
      <x:c r="F7" s="17" t="str">
        <x:v>Lite</x:v>
      </x:c>
      <x:c r="G7" s="17" t="n">
        <x:v>35292</x:v>
      </x:c>
      <x:c r="H7" s="17" t="n">
        <x:v>6248</x:v>
      </x:c>
      <x:c r="I7" s="17" t="str">
        <x:v>First attempt</x:v>
      </x:c>
      <x:c r="J7" s="27" t="n">
        <x:f>INDEX('Model Pricing'!$B$7:$B$8,MATCH(F7,'Model Pricing'!$A$7:$A$8,0))</x:f>
        <x:v>10</x:v>
      </x:c>
      <x:c r="K7" s="27" t="n">
        <x:f>INDEX('Model Pricing'!$C$7:$C$8,MATCH(F7,'Model Pricing'!$A$7:$A$8,0))</x:f>
        <x:v>30</x:v>
      </x:c>
      <x:c r="L7" s="17" t="n">
        <x:f>G7+H7</x:f>
        <x:v>41540</x:v>
      </x:c>
      <x:c r="M7" s="28" t="n">
        <x:f>G7*J7/1000000</x:f>
        <x:v>0.35292</x:v>
      </x:c>
      <x:c r="N7" s="28" t="n">
        <x:f>H7*K7/1000000</x:f>
        <x:v>0.18744</x:v>
      </x:c>
      <x:c r="O7" s="28" t="n">
        <x:f>SUM(M7:N7)</x:f>
        <x:v>0.54036</x:v>
      </x:c>
    </x:row>
    <x:row r="8" ht="23" customHeight="1">
      <x:c r="A8" s="17" t="str">
        <x:v>U00002</x:v>
      </x:c>
      <x:c r="B8" s="18" t="n">
        <x:v>46281</x:v>
      </x:c>
      <x:c r="C8" s="17" t="str">
        <x:v>W0002</x:v>
      </x:c>
      <x:c r="D8" s="17" t="str">
        <x:v>C001</x:v>
      </x:c>
      <x:c r="E8" s="17" t="str">
        <x:v>CopyStudio</x:v>
      </x:c>
      <x:c r="F8" s="17" t="str">
        <x:v>Lite</x:v>
      </x:c>
      <x:c r="G8" s="17" t="n">
        <x:v>41227</x:v>
      </x:c>
      <x:c r="H8" s="17" t="n">
        <x:v>4811</x:v>
      </x:c>
      <x:c r="I8" s="17" t="str">
        <x:v>Followup</x:v>
      </x:c>
      <x:c r="J8" s="27" t="n">
        <x:f>INDEX('Model Pricing'!$B$7:$B$8,MATCH(F8,'Model Pricing'!$A$7:$A$8,0))</x:f>
        <x:v>10</x:v>
      </x:c>
      <x:c r="K8" s="27" t="n">
        <x:f>INDEX('Model Pricing'!$C$7:$C$8,MATCH(F8,'Model Pricing'!$A$7:$A$8,0))</x:f>
        <x:v>30</x:v>
      </x:c>
      <x:c r="L8" s="17" t="n">
        <x:f>G8+H8</x:f>
        <x:v>46038</x:v>
      </x:c>
      <x:c r="M8" s="28" t="n">
        <x:f>G8*J8/1000000</x:f>
        <x:v>0.41227</x:v>
      </x:c>
      <x:c r="N8" s="28" t="n">
        <x:f>H8*K8/1000000</x:f>
        <x:v>0.14433</x:v>
      </x:c>
      <x:c r="O8" s="28" t="n">
        <x:f>SUM(M8:N8)</x:f>
        <x:v>0.5566</x:v>
      </x:c>
    </x:row>
    <x:row r="9" ht="23" customHeight="1">
      <x:c r="A9" s="17" t="str">
        <x:v>U00003</x:v>
      </x:c>
      <x:c r="B9" s="18" t="n">
        <x:v>46281</x:v>
      </x:c>
      <x:c r="C9" s="17" t="str">
        <x:v>W0002</x:v>
      </x:c>
      <x:c r="D9" s="17" t="str">
        <x:v>C001</x:v>
      </x:c>
      <x:c r="E9" s="17" t="str">
        <x:v>CopyStudio</x:v>
      </x:c>
      <x:c r="F9" s="17" t="str">
        <x:v>Lite</x:v>
      </x:c>
      <x:c r="G9" s="17" t="n">
        <x:v>57474</x:v>
      </x:c>
      <x:c r="H9" s="17" t="n">
        <x:v>13663</x:v>
      </x:c>
      <x:c r="I9" s="17" t="str">
        <x:v>Followup</x:v>
      </x:c>
      <x:c r="J9" s="27" t="n">
        <x:f>INDEX('Model Pricing'!$B$7:$B$8,MATCH(F9,'Model Pricing'!$A$7:$A$8,0))</x:f>
        <x:v>10</x:v>
      </x:c>
      <x:c r="K9" s="27" t="n">
        <x:f>INDEX('Model Pricing'!$C$7:$C$8,MATCH(F9,'Model Pricing'!$A$7:$A$8,0))</x:f>
        <x:v>30</x:v>
      </x:c>
      <x:c r="L9" s="17" t="n">
        <x:f>G9+H9</x:f>
        <x:v>71137</x:v>
      </x:c>
      <x:c r="M9" s="28" t="n">
        <x:f>G9*J9/1000000</x:f>
        <x:v>0.57474</x:v>
      </x:c>
      <x:c r="N9" s="28" t="n">
        <x:f>H9*K9/1000000</x:f>
        <x:v>0.40989</x:v>
      </x:c>
      <x:c r="O9" s="28" t="n">
        <x:f>SUM(M9:N9)</x:f>
        <x:v>0.98463</x:v>
      </x:c>
    </x:row>
    <x:row r="10" ht="23" customHeight="1">
      <x:c r="A10" s="17" t="str">
        <x:v>U00004</x:v>
      </x:c>
      <x:c r="B10" s="18" t="n">
        <x:v>46282</x:v>
      </x:c>
      <x:c r="C10" s="17" t="str">
        <x:v>W0002</x:v>
      </x:c>
      <x:c r="D10" s="17" t="str">
        <x:v>C001</x:v>
      </x:c>
      <x:c r="E10" s="17" t="str">
        <x:v>CopyStudio</x:v>
      </x:c>
      <x:c r="F10" s="17" t="str">
        <x:v>Lite</x:v>
      </x:c>
      <x:c r="G10" s="17" t="n">
        <x:v>25608</x:v>
      </x:c>
      <x:c r="H10" s="17" t="n">
        <x:v>14016</x:v>
      </x:c>
      <x:c r="I10" s="17" t="str">
        <x:v>Followup</x:v>
      </x:c>
      <x:c r="J10" s="27" t="n">
        <x:f>INDEX('Model Pricing'!$B$7:$B$8,MATCH(F10,'Model Pricing'!$A$7:$A$8,0))</x:f>
        <x:v>10</x:v>
      </x:c>
      <x:c r="K10" s="27" t="n">
        <x:f>INDEX('Model Pricing'!$C$7:$C$8,MATCH(F10,'Model Pricing'!$A$7:$A$8,0))</x:f>
        <x:v>30</x:v>
      </x:c>
      <x:c r="L10" s="17" t="n">
        <x:f>G10+H10</x:f>
        <x:v>39624</x:v>
      </x:c>
      <x:c r="M10" s="28" t="n">
        <x:f>G10*J10/1000000</x:f>
        <x:v>0.25608</x:v>
      </x:c>
      <x:c r="N10" s="28" t="n">
        <x:f>H10*K10/1000000</x:f>
        <x:v>0.42048</x:v>
      </x:c>
      <x:c r="O10" s="28" t="n">
        <x:f>SUM(M10:N10)</x:f>
        <x:v>0.67656</x:v>
      </x:c>
    </x:row>
    <x:row r="11" ht="23" customHeight="1">
      <x:c r="A11" s="17" t="str">
        <x:v>U00005</x:v>
      </x:c>
      <x:c r="B11" s="18" t="n">
        <x:v>46282</x:v>
      </x:c>
      <x:c r="C11" s="17" t="str">
        <x:v>W0002</x:v>
      </x:c>
      <x:c r="D11" s="17" t="str">
        <x:v>C001</x:v>
      </x:c>
      <x:c r="E11" s="17" t="str">
        <x:v>CopyStudio</x:v>
      </x:c>
      <x:c r="F11" s="17" t="str">
        <x:v>Lite</x:v>
      </x:c>
      <x:c r="G11" s="17" t="n">
        <x:v>49708</x:v>
      </x:c>
      <x:c r="H11" s="17" t="n">
        <x:v>9437</x:v>
      </x:c>
      <x:c r="I11" s="17" t="str">
        <x:v>Correction</x:v>
      </x:c>
      <x:c r="J11" s="27" t="n">
        <x:f>INDEX('Model Pricing'!$B$7:$B$8,MATCH(F11,'Model Pricing'!$A$7:$A$8,0))</x:f>
        <x:v>10</x:v>
      </x:c>
      <x:c r="K11" s="27" t="n">
        <x:f>INDEX('Model Pricing'!$C$7:$C$8,MATCH(F11,'Model Pricing'!$A$7:$A$8,0))</x:f>
        <x:v>30</x:v>
      </x:c>
      <x:c r="L11" s="17" t="n">
        <x:f>G11+H11</x:f>
        <x:v>59145</x:v>
      </x:c>
      <x:c r="M11" s="28" t="n">
        <x:f>G11*J11/1000000</x:f>
        <x:v>0.49708</x:v>
      </x:c>
      <x:c r="N11" s="28" t="n">
        <x:f>H11*K11/1000000</x:f>
        <x:v>0.28311</x:v>
      </x:c>
      <x:c r="O11" s="28" t="n">
        <x:f>SUM(M11:N11)</x:f>
        <x:v>0.7801899999999999</x:v>
      </x:c>
    </x:row>
    <x:row r="12" ht="23" customHeight="1">
      <x:c r="A12" s="17" t="str">
        <x:v>U00006</x:v>
      </x:c>
      <x:c r="B12" s="18" t="n">
        <x:v>46282</x:v>
      </x:c>
      <x:c r="C12" s="17" t="str">
        <x:v>W0002</x:v>
      </x:c>
      <x:c r="D12" s="17" t="str">
        <x:v>C001</x:v>
      </x:c>
      <x:c r="E12" s="17" t="str">
        <x:v>CopyStudio</x:v>
      </x:c>
      <x:c r="F12" s="17" t="str">
        <x:v>Lite</x:v>
      </x:c>
      <x:c r="G12" s="17" t="n">
        <x:v>63861</x:v>
      </x:c>
      <x:c r="H12" s="17" t="n">
        <x:v>5949</x:v>
      </x:c>
      <x:c r="I12" s="17" t="str">
        <x:v>Followup</x:v>
      </x:c>
      <x:c r="J12" s="27" t="n">
        <x:f>INDEX('Model Pricing'!$B$7:$B$8,MATCH(F12,'Model Pricing'!$A$7:$A$8,0))</x:f>
        <x:v>10</x:v>
      </x:c>
      <x:c r="K12" s="27" t="n">
        <x:f>INDEX('Model Pricing'!$C$7:$C$8,MATCH(F12,'Model Pricing'!$A$7:$A$8,0))</x:f>
        <x:v>30</x:v>
      </x:c>
      <x:c r="L12" s="17" t="n">
        <x:f>G12+H12</x:f>
        <x:v>69810</x:v>
      </x:c>
      <x:c r="M12" s="28" t="n">
        <x:f>G12*J12/1000000</x:f>
        <x:v>0.63861</x:v>
      </x:c>
      <x:c r="N12" s="28" t="n">
        <x:f>H12*K12/1000000</x:f>
        <x:v>0.17847</x:v>
      </x:c>
      <x:c r="O12" s="28" t="n">
        <x:f>SUM(M12:N12)</x:f>
        <x:v>0.81708</x:v>
      </x:c>
    </x:row>
    <x:row r="13" ht="23" customHeight="1">
      <x:c r="A13" s="17" t="str">
        <x:v>U00007</x:v>
      </x:c>
      <x:c r="B13" s="18" t="n">
        <x:v>46283</x:v>
      </x:c>
      <x:c r="C13" s="17" t="str">
        <x:v>W0002</x:v>
      </x:c>
      <x:c r="D13" s="17" t="str">
        <x:v>C001</x:v>
      </x:c>
      <x:c r="E13" s="17" t="str">
        <x:v>CopyStudio</x:v>
      </x:c>
      <x:c r="F13" s="17" t="str">
        <x:v>Lite</x:v>
      </x:c>
      <x:c r="G13" s="17" t="n">
        <x:v>48593</x:v>
      </x:c>
      <x:c r="H13" s="17" t="n">
        <x:v>7318</x:v>
      </x:c>
      <x:c r="I13" s="17" t="str">
        <x:v>Followup</x:v>
      </x:c>
      <x:c r="J13" s="27" t="n">
        <x:f>INDEX('Model Pricing'!$B$7:$B$8,MATCH(F13,'Model Pricing'!$A$7:$A$8,0))</x:f>
        <x:v>10</x:v>
      </x:c>
      <x:c r="K13" s="27" t="n">
        <x:f>INDEX('Model Pricing'!$C$7:$C$8,MATCH(F13,'Model Pricing'!$A$7:$A$8,0))</x:f>
        <x:v>30</x:v>
      </x:c>
      <x:c r="L13" s="17" t="n">
        <x:f>G13+H13</x:f>
        <x:v>55911</x:v>
      </x:c>
      <x:c r="M13" s="28" t="n">
        <x:f>G13*J13/1000000</x:f>
        <x:v>0.48593</x:v>
      </x:c>
      <x:c r="N13" s="28" t="n">
        <x:f>H13*K13/1000000</x:f>
        <x:v>0.21954</x:v>
      </x:c>
      <x:c r="O13" s="28" t="n">
        <x:f>SUM(M13:N13)</x:f>
        <x:v>0.70547</x:v>
      </x:c>
    </x:row>
    <x:row r="14" ht="23" customHeight="1">
      <x:c r="A14" s="17" t="str">
        <x:v>U00008</x:v>
      </x:c>
      <x:c r="B14" s="18" t="n">
        <x:v>46283</x:v>
      </x:c>
      <x:c r="C14" s="17" t="str">
        <x:v>W0002</x:v>
      </x:c>
      <x:c r="D14" s="17" t="str">
        <x:v>C001</x:v>
      </x:c>
      <x:c r="E14" s="17" t="str">
        <x:v>CopyStudio</x:v>
      </x:c>
      <x:c r="F14" s="17" t="str">
        <x:v>Lite</x:v>
      </x:c>
      <x:c r="G14" s="17" t="n">
        <x:v>59730</x:v>
      </x:c>
      <x:c r="H14" s="17" t="n">
        <x:v>8970</x:v>
      </x:c>
      <x:c r="I14" s="17" t="str">
        <x:v>Followup</x:v>
      </x:c>
      <x:c r="J14" s="27" t="n">
        <x:f>INDEX('Model Pricing'!$B$7:$B$8,MATCH(F14,'Model Pricing'!$A$7:$A$8,0))</x:f>
        <x:v>10</x:v>
      </x:c>
      <x:c r="K14" s="27" t="n">
        <x:f>INDEX('Model Pricing'!$C$7:$C$8,MATCH(F14,'Model Pricing'!$A$7:$A$8,0))</x:f>
        <x:v>30</x:v>
      </x:c>
      <x:c r="L14" s="17" t="n">
        <x:f>G14+H14</x:f>
        <x:v>68700</x:v>
      </x:c>
      <x:c r="M14" s="28" t="n">
        <x:f>G14*J14/1000000</x:f>
        <x:v>0.5973</x:v>
      </x:c>
      <x:c r="N14" s="28" t="n">
        <x:f>H14*K14/1000000</x:f>
        <x:v>0.2691</x:v>
      </x:c>
      <x:c r="O14" s="28" t="n">
        <x:f>SUM(M14:N14)</x:f>
        <x:v>0.8664000000000001</x:v>
      </x:c>
    </x:row>
    <x:row r="15" ht="23" customHeight="1">
      <x:c r="A15" s="17" t="str">
        <x:v>U00009</x:v>
      </x:c>
      <x:c r="B15" s="18" t="n">
        <x:v>46283</x:v>
      </x:c>
      <x:c r="C15" s="17" t="str">
        <x:v>W0002</x:v>
      </x:c>
      <x:c r="D15" s="17" t="str">
        <x:v>C001</x:v>
      </x:c>
      <x:c r="E15" s="17" t="str">
        <x:v>CopyStudio</x:v>
      </x:c>
      <x:c r="F15" s="17" t="str">
        <x:v>Lite</x:v>
      </x:c>
      <x:c r="G15" s="17" t="n">
        <x:v>68191</x:v>
      </x:c>
      <x:c r="H15" s="17" t="n">
        <x:v>6145</x:v>
      </x:c>
      <x:c r="I15" s="17" t="str">
        <x:v>Followup</x:v>
      </x:c>
      <x:c r="J15" s="27" t="n">
        <x:f>INDEX('Model Pricing'!$B$7:$B$8,MATCH(F15,'Model Pricing'!$A$7:$A$8,0))</x:f>
        <x:v>10</x:v>
      </x:c>
      <x:c r="K15" s="27" t="n">
        <x:f>INDEX('Model Pricing'!$C$7:$C$8,MATCH(F15,'Model Pricing'!$A$7:$A$8,0))</x:f>
        <x:v>30</x:v>
      </x:c>
      <x:c r="L15" s="17" t="n">
        <x:f>G15+H15</x:f>
        <x:v>74336</x:v>
      </x:c>
      <x:c r="M15" s="28" t="n">
        <x:f>G15*J15/1000000</x:f>
        <x:v>0.68191</x:v>
      </x:c>
      <x:c r="N15" s="28" t="n">
        <x:f>H15*K15/1000000</x:f>
        <x:v>0.18435</x:v>
      </x:c>
      <x:c r="O15" s="28" t="n">
        <x:f>SUM(M15:N15)</x:f>
        <x:v>0.86626</x:v>
      </x:c>
    </x:row>
    <x:row r="16" ht="23" customHeight="1">
      <x:c r="A16" s="17" t="str">
        <x:v>U00010</x:v>
      </x:c>
      <x:c r="B16" s="18" t="n">
        <x:v>46286</x:v>
      </x:c>
      <x:c r="C16" s="17" t="str">
        <x:v>W0002</x:v>
      </x:c>
      <x:c r="D16" s="17" t="str">
        <x:v>C001</x:v>
      </x:c>
      <x:c r="E16" s="17" t="str">
        <x:v>CopyStudio</x:v>
      </x:c>
      <x:c r="F16" s="17" t="str">
        <x:v>Lite</x:v>
      </x:c>
      <x:c r="G16" s="17" t="n">
        <x:v>51782</x:v>
      </x:c>
      <x:c r="H16" s="17" t="n">
        <x:v>11046</x:v>
      </x:c>
      <x:c r="I16" s="17" t="str">
        <x:v>Followup</x:v>
      </x:c>
      <x:c r="J16" s="27" t="n">
        <x:f>INDEX('Model Pricing'!$B$7:$B$8,MATCH(F16,'Model Pricing'!$A$7:$A$8,0))</x:f>
        <x:v>10</x:v>
      </x:c>
      <x:c r="K16" s="27" t="n">
        <x:f>INDEX('Model Pricing'!$C$7:$C$8,MATCH(F16,'Model Pricing'!$A$7:$A$8,0))</x:f>
        <x:v>30</x:v>
      </x:c>
      <x:c r="L16" s="17" t="n">
        <x:f>G16+H16</x:f>
        <x:v>62828</x:v>
      </x:c>
      <x:c r="M16" s="28" t="n">
        <x:f>G16*J16/1000000</x:f>
        <x:v>0.51782</x:v>
      </x:c>
      <x:c r="N16" s="28" t="n">
        <x:f>H16*K16/1000000</x:f>
        <x:v>0.33138</x:v>
      </x:c>
      <x:c r="O16" s="28" t="n">
        <x:f>SUM(M16:N16)</x:f>
        <x:v>0.8492</x:v>
      </x:c>
    </x:row>
    <x:row r="17" ht="23" customHeight="1">
      <x:c r="A17" s="17" t="str">
        <x:v>U00011</x:v>
      </x:c>
      <x:c r="B17" s="18" t="n">
        <x:v>46286</x:v>
      </x:c>
      <x:c r="C17" s="17" t="str">
        <x:v>W0002</x:v>
      </x:c>
      <x:c r="D17" s="17" t="str">
        <x:v>C001</x:v>
      </x:c>
      <x:c r="E17" s="17" t="str">
        <x:v>CopyStudio</x:v>
      </x:c>
      <x:c r="F17" s="17" t="str">
        <x:v>Lite</x:v>
      </x:c>
      <x:c r="G17" s="17" t="n">
        <x:v>38433</x:v>
      </x:c>
      <x:c r="H17" s="17" t="n">
        <x:v>7298</x:v>
      </x:c>
      <x:c r="I17" s="17" t="str">
        <x:v>Followup</x:v>
      </x:c>
      <x:c r="J17" s="27" t="n">
        <x:f>INDEX('Model Pricing'!$B$7:$B$8,MATCH(F17,'Model Pricing'!$A$7:$A$8,0))</x:f>
        <x:v>10</x:v>
      </x:c>
      <x:c r="K17" s="27" t="n">
        <x:f>INDEX('Model Pricing'!$C$7:$C$8,MATCH(F17,'Model Pricing'!$A$7:$A$8,0))</x:f>
        <x:v>30</x:v>
      </x:c>
      <x:c r="L17" s="17" t="n">
        <x:f>G17+H17</x:f>
        <x:v>45731</x:v>
      </x:c>
      <x:c r="M17" s="28" t="n">
        <x:f>G17*J17/1000000</x:f>
        <x:v>0.38433</x:v>
      </x:c>
      <x:c r="N17" s="28" t="n">
        <x:f>H17*K17/1000000</x:f>
        <x:v>0.21894</x:v>
      </x:c>
      <x:c r="O17" s="28" t="n">
        <x:f>SUM(M17:N17)</x:f>
        <x:v>0.60327</x:v>
      </x:c>
    </x:row>
    <x:row r="18" ht="23" customHeight="1">
      <x:c r="A18" s="17" t="str">
        <x:v>U00012</x:v>
      </x:c>
      <x:c r="B18" s="18" t="n">
        <x:v>46290</x:v>
      </x:c>
      <x:c r="C18" s="17" t="str">
        <x:v>W0003</x:v>
      </x:c>
      <x:c r="D18" s="17" t="str">
        <x:v>C001</x:v>
      </x:c>
      <x:c r="E18" s="17" t="str">
        <x:v>CampaignChat</x:v>
      </x:c>
      <x:c r="F18" s="17" t="str">
        <x:v>Lite</x:v>
      </x:c>
      <x:c r="G18" s="17" t="n">
        <x:v>17426</x:v>
      </x:c>
      <x:c r="H18" s="17" t="n">
        <x:v>3935</x:v>
      </x:c>
      <x:c r="I18" s="17" t="str">
        <x:v>First attempt</x:v>
      </x:c>
      <x:c r="J18" s="27" t="n">
        <x:f>INDEX('Model Pricing'!$B$7:$B$8,MATCH(F18,'Model Pricing'!$A$7:$A$8,0))</x:f>
        <x:v>10</x:v>
      </x:c>
      <x:c r="K18" s="27" t="n">
        <x:f>INDEX('Model Pricing'!$C$7:$C$8,MATCH(F18,'Model Pricing'!$A$7:$A$8,0))</x:f>
        <x:v>30</x:v>
      </x:c>
      <x:c r="L18" s="17" t="n">
        <x:f>G18+H18</x:f>
        <x:v>21361</x:v>
      </x:c>
      <x:c r="M18" s="28" t="n">
        <x:f>G18*J18/1000000</x:f>
        <x:v>0.17426</x:v>
      </x:c>
      <x:c r="N18" s="28" t="n">
        <x:f>H18*K18/1000000</x:f>
        <x:v>0.11805</x:v>
      </x:c>
      <x:c r="O18" s="28" t="n">
        <x:f>SUM(M18:N18)</x:f>
        <x:v>0.29231</x:v>
      </x:c>
    </x:row>
    <x:row r="19" ht="23" customHeight="1">
      <x:c r="A19" s="17" t="str">
        <x:v>U00013</x:v>
      </x:c>
      <x:c r="B19" s="18" t="n">
        <x:v>46290</x:v>
      </x:c>
      <x:c r="C19" s="17" t="str">
        <x:v>W0003</x:v>
      </x:c>
      <x:c r="D19" s="17" t="str">
        <x:v>C001</x:v>
      </x:c>
      <x:c r="E19" s="17" t="str">
        <x:v>CampaignChat</x:v>
      </x:c>
      <x:c r="F19" s="17" t="str">
        <x:v>Lite</x:v>
      </x:c>
      <x:c r="G19" s="17" t="n">
        <x:v>33573</x:v>
      </x:c>
      <x:c r="H19" s="17" t="n">
        <x:v>13463</x:v>
      </x:c>
      <x:c r="I19" s="17" t="str">
        <x:v>Followup</x:v>
      </x:c>
      <x:c r="J19" s="27" t="n">
        <x:f>INDEX('Model Pricing'!$B$7:$B$8,MATCH(F19,'Model Pricing'!$A$7:$A$8,0))</x:f>
        <x:v>10</x:v>
      </x:c>
      <x:c r="K19" s="27" t="n">
        <x:f>INDEX('Model Pricing'!$C$7:$C$8,MATCH(F19,'Model Pricing'!$A$7:$A$8,0))</x:f>
        <x:v>30</x:v>
      </x:c>
      <x:c r="L19" s="17" t="n">
        <x:f>G19+H19</x:f>
        <x:v>47036</x:v>
      </x:c>
      <x:c r="M19" s="28" t="n">
        <x:f>G19*J19/1000000</x:f>
        <x:v>0.33573</x:v>
      </x:c>
      <x:c r="N19" s="28" t="n">
        <x:f>H19*K19/1000000</x:f>
        <x:v>0.40389</x:v>
      </x:c>
      <x:c r="O19" s="28" t="n">
        <x:f>SUM(M19:N19)</x:f>
        <x:v>0.7396199999999999</x:v>
      </x:c>
    </x:row>
    <x:row r="20" ht="23" customHeight="1">
      <x:c r="A20" s="17" t="str">
        <x:v>U00014</x:v>
      </x:c>
      <x:c r="B20" s="18" t="n">
        <x:v>46290</x:v>
      </x:c>
      <x:c r="C20" s="17" t="str">
        <x:v>W0003</x:v>
      </x:c>
      <x:c r="D20" s="17" t="str">
        <x:v>C001</x:v>
      </x:c>
      <x:c r="E20" s="17" t="str">
        <x:v>CampaignChat</x:v>
      </x:c>
      <x:c r="F20" s="17" t="str">
        <x:v>Lite</x:v>
      </x:c>
      <x:c r="G20" s="17" t="n">
        <x:v>30541</x:v>
      </x:c>
      <x:c r="H20" s="17" t="n">
        <x:v>12920</x:v>
      </x:c>
      <x:c r="I20" s="17" t="str">
        <x:v>Followup</x:v>
      </x:c>
      <x:c r="J20" s="27" t="n">
        <x:f>INDEX('Model Pricing'!$B$7:$B$8,MATCH(F20,'Model Pricing'!$A$7:$A$8,0))</x:f>
        <x:v>10</x:v>
      </x:c>
      <x:c r="K20" s="27" t="n">
        <x:f>INDEX('Model Pricing'!$C$7:$C$8,MATCH(F20,'Model Pricing'!$A$7:$A$8,0))</x:f>
        <x:v>30</x:v>
      </x:c>
      <x:c r="L20" s="17" t="n">
        <x:f>G20+H20</x:f>
        <x:v>43461</x:v>
      </x:c>
      <x:c r="M20" s="28" t="n">
        <x:f>G20*J20/1000000</x:f>
        <x:v>0.30541</x:v>
      </x:c>
      <x:c r="N20" s="28" t="n">
        <x:f>H20*K20/1000000</x:f>
        <x:v>0.3876</x:v>
      </x:c>
      <x:c r="O20" s="28" t="n">
        <x:f>SUM(M20:N20)</x:f>
        <x:v>0.69301</x:v>
      </x:c>
    </x:row>
    <x:row r="21" ht="23" customHeight="1">
      <x:c r="A21" s="17" t="str">
        <x:v>U00015</x:v>
      </x:c>
      <x:c r="B21" s="18" t="n">
        <x:v>46293</x:v>
      </x:c>
      <x:c r="C21" s="17" t="str">
        <x:v>W0003</x:v>
      </x:c>
      <x:c r="D21" s="17" t="str">
        <x:v>C001</x:v>
      </x:c>
      <x:c r="E21" s="17" t="str">
        <x:v>CampaignChat</x:v>
      </x:c>
      <x:c r="F21" s="17" t="str">
        <x:v>Lite</x:v>
      </x:c>
      <x:c r="G21" s="17" t="n">
        <x:v>36913</x:v>
      </x:c>
      <x:c r="H21" s="17" t="n">
        <x:v>15355</x:v>
      </x:c>
      <x:c r="I21" s="17" t="str">
        <x:v>Followup</x:v>
      </x:c>
      <x:c r="J21" s="27" t="n">
        <x:f>INDEX('Model Pricing'!$B$7:$B$8,MATCH(F21,'Model Pricing'!$A$7:$A$8,0))</x:f>
        <x:v>10</x:v>
      </x:c>
      <x:c r="K21" s="27" t="n">
        <x:f>INDEX('Model Pricing'!$C$7:$C$8,MATCH(F21,'Model Pricing'!$A$7:$A$8,0))</x:f>
        <x:v>30</x:v>
      </x:c>
      <x:c r="L21" s="17" t="n">
        <x:f>G21+H21</x:f>
        <x:v>52268</x:v>
      </x:c>
      <x:c r="M21" s="28" t="n">
        <x:f>G21*J21/1000000</x:f>
        <x:v>0.36913</x:v>
      </x:c>
      <x:c r="N21" s="28" t="n">
        <x:f>H21*K21/1000000</x:f>
        <x:v>0.46065</x:v>
      </x:c>
      <x:c r="O21" s="28" t="n">
        <x:f>SUM(M21:N21)</x:f>
        <x:v>0.82978</x:v>
      </x:c>
    </x:row>
    <x:row r="22" ht="23" customHeight="1">
      <x:c r="A22" s="17" t="str">
        <x:v>U00016</x:v>
      </x:c>
      <x:c r="B22" s="18" t="n">
        <x:v>46293</x:v>
      </x:c>
      <x:c r="C22" s="17" t="str">
        <x:v>W0003</x:v>
      </x:c>
      <x:c r="D22" s="17" t="str">
        <x:v>C001</x:v>
      </x:c>
      <x:c r="E22" s="17" t="str">
        <x:v>CampaignChat</x:v>
      </x:c>
      <x:c r="F22" s="17" t="str">
        <x:v>Lite</x:v>
      </x:c>
      <x:c r="G22" s="17" t="n">
        <x:v>14966</x:v>
      </x:c>
      <x:c r="H22" s="17" t="n">
        <x:v>13213</x:v>
      </x:c>
      <x:c r="I22" s="17" t="str">
        <x:v>Followup</x:v>
      </x:c>
      <x:c r="J22" s="27" t="n">
        <x:f>INDEX('Model Pricing'!$B$7:$B$8,MATCH(F22,'Model Pricing'!$A$7:$A$8,0))</x:f>
        <x:v>10</x:v>
      </x:c>
      <x:c r="K22" s="27" t="n">
        <x:f>INDEX('Model Pricing'!$C$7:$C$8,MATCH(F22,'Model Pricing'!$A$7:$A$8,0))</x:f>
        <x:v>30</x:v>
      </x:c>
      <x:c r="L22" s="17" t="n">
        <x:f>G22+H22</x:f>
        <x:v>28179</x:v>
      </x:c>
      <x:c r="M22" s="28" t="n">
        <x:f>G22*J22/1000000</x:f>
        <x:v>0.14966</x:v>
      </x:c>
      <x:c r="N22" s="28" t="n">
        <x:f>H22*K22/1000000</x:f>
        <x:v>0.39639</x:v>
      </x:c>
      <x:c r="O22" s="28" t="n">
        <x:f>SUM(M22:N22)</x:f>
        <x:v>0.54605</x:v>
      </x:c>
    </x:row>
    <x:row r="23" ht="23" customHeight="1">
      <x:c r="A23" s="17" t="str">
        <x:v>U00017</x:v>
      </x:c>
      <x:c r="B23" s="18" t="n">
        <x:v>46293</x:v>
      </x:c>
      <x:c r="C23" s="17" t="str">
        <x:v>W0003</x:v>
      </x:c>
      <x:c r="D23" s="17" t="str">
        <x:v>C001</x:v>
      </x:c>
      <x:c r="E23" s="17" t="str">
        <x:v>CampaignChat</x:v>
      </x:c>
      <x:c r="F23" s="17" t="str">
        <x:v>Lite</x:v>
      </x:c>
      <x:c r="G23" s="17" t="n">
        <x:v>13942</x:v>
      </x:c>
      <x:c r="H23" s="17" t="n">
        <x:v>13346</x:v>
      </x:c>
      <x:c r="I23" s="17" t="str">
        <x:v>Followup</x:v>
      </x:c>
      <x:c r="J23" s="27" t="n">
        <x:f>INDEX('Model Pricing'!$B$7:$B$8,MATCH(F23,'Model Pricing'!$A$7:$A$8,0))</x:f>
        <x:v>10</x:v>
      </x:c>
      <x:c r="K23" s="27" t="n">
        <x:f>INDEX('Model Pricing'!$C$7:$C$8,MATCH(F23,'Model Pricing'!$A$7:$A$8,0))</x:f>
        <x:v>30</x:v>
      </x:c>
      <x:c r="L23" s="17" t="n">
        <x:f>G23+H23</x:f>
        <x:v>27288</x:v>
      </x:c>
      <x:c r="M23" s="28" t="n">
        <x:f>G23*J23/1000000</x:f>
        <x:v>0.13942</x:v>
      </x:c>
      <x:c r="N23" s="28" t="n">
        <x:f>H23*K23/1000000</x:f>
        <x:v>0.40038</x:v>
      </x:c>
      <x:c r="O23" s="28" t="n">
        <x:f>SUM(M23:N23)</x:f>
        <x:v>0.5398000000000001</x:v>
      </x:c>
    </x:row>
    <x:row r="24" ht="23" customHeight="1">
      <x:c r="A24" s="17" t="str">
        <x:v>U00018</x:v>
      </x:c>
      <x:c r="B24" s="18" t="n">
        <x:v>46294</x:v>
      </x:c>
      <x:c r="C24" s="17" t="str">
        <x:v>W0003</x:v>
      </x:c>
      <x:c r="D24" s="17" t="str">
        <x:v>C001</x:v>
      </x:c>
      <x:c r="E24" s="17" t="str">
        <x:v>CampaignChat</x:v>
      </x:c>
      <x:c r="F24" s="17" t="str">
        <x:v>Lite</x:v>
      </x:c>
      <x:c r="G24" s="17" t="n">
        <x:v>15643</x:v>
      </x:c>
      <x:c r="H24" s="17" t="n">
        <x:v>11835</x:v>
      </x:c>
      <x:c r="I24" s="17" t="str">
        <x:v>Correction</x:v>
      </x:c>
      <x:c r="J24" s="27" t="n">
        <x:f>INDEX('Model Pricing'!$B$7:$B$8,MATCH(F24,'Model Pricing'!$A$7:$A$8,0))</x:f>
        <x:v>10</x:v>
      </x:c>
      <x:c r="K24" s="27" t="n">
        <x:f>INDEX('Model Pricing'!$C$7:$C$8,MATCH(F24,'Model Pricing'!$A$7:$A$8,0))</x:f>
        <x:v>30</x:v>
      </x:c>
      <x:c r="L24" s="17" t="n">
        <x:f>G24+H24</x:f>
        <x:v>27478</x:v>
      </x:c>
      <x:c r="M24" s="28" t="n">
        <x:f>G24*J24/1000000</x:f>
        <x:v>0.15643</x:v>
      </x:c>
      <x:c r="N24" s="28" t="n">
        <x:f>H24*K24/1000000</x:f>
        <x:v>0.35505</x:v>
      </x:c>
      <x:c r="O24" s="28" t="n">
        <x:f>SUM(M24:N24)</x:f>
        <x:v>0.5114799999999999</x:v>
      </x:c>
    </x:row>
    <x:row r="25" ht="23" customHeight="1">
      <x:c r="A25" s="17" t="str">
        <x:v>U00019</x:v>
      </x:c>
      <x:c r="B25" s="18" t="n">
        <x:v>46294</x:v>
      </x:c>
      <x:c r="C25" s="17" t="str">
        <x:v>W0003</x:v>
      </x:c>
      <x:c r="D25" s="17" t="str">
        <x:v>C001</x:v>
      </x:c>
      <x:c r="E25" s="17" t="str">
        <x:v>CampaignChat</x:v>
      </x:c>
      <x:c r="F25" s="17" t="str">
        <x:v>Lite</x:v>
      </x:c>
      <x:c r="G25" s="17" t="n">
        <x:v>18389</x:v>
      </x:c>
      <x:c r="H25" s="17" t="n">
        <x:v>14429</x:v>
      </x:c>
      <x:c r="I25" s="17" t="str">
        <x:v>Followup</x:v>
      </x:c>
      <x:c r="J25" s="27" t="n">
        <x:f>INDEX('Model Pricing'!$B$7:$B$8,MATCH(F25,'Model Pricing'!$A$7:$A$8,0))</x:f>
        <x:v>10</x:v>
      </x:c>
      <x:c r="K25" s="27" t="n">
        <x:f>INDEX('Model Pricing'!$C$7:$C$8,MATCH(F25,'Model Pricing'!$A$7:$A$8,0))</x:f>
        <x:v>30</x:v>
      </x:c>
      <x:c r="L25" s="17" t="n">
        <x:f>G25+H25</x:f>
        <x:v>32818</x:v>
      </x:c>
      <x:c r="M25" s="28" t="n">
        <x:f>G25*J25/1000000</x:f>
        <x:v>0.18389</x:v>
      </x:c>
      <x:c r="N25" s="28" t="n">
        <x:f>H25*K25/1000000</x:f>
        <x:v>0.43287</x:v>
      </x:c>
      <x:c r="O25" s="28" t="n">
        <x:f>SUM(M25:N25)</x:f>
        <x:v>0.61676</x:v>
      </x:c>
    </x:row>
    <x:row r="26" ht="23" customHeight="1">
      <x:c r="A26" s="17" t="str">
        <x:v>U00020</x:v>
      </x:c>
      <x:c r="B26" s="18" t="n">
        <x:v>46294</x:v>
      </x:c>
      <x:c r="C26" s="17" t="str">
        <x:v>W0003</x:v>
      </x:c>
      <x:c r="D26" s="17" t="str">
        <x:v>C001</x:v>
      </x:c>
      <x:c r="E26" s="17" t="str">
        <x:v>CampaignChat</x:v>
      </x:c>
      <x:c r="F26" s="17" t="str">
        <x:v>Lite</x:v>
      </x:c>
      <x:c r="G26" s="17" t="n">
        <x:v>35454</x:v>
      </x:c>
      <x:c r="H26" s="17" t="n">
        <x:v>6415</x:v>
      </x:c>
      <x:c r="I26" s="17" t="str">
        <x:v>Followup</x:v>
      </x:c>
      <x:c r="J26" s="27" t="n">
        <x:f>INDEX('Model Pricing'!$B$7:$B$8,MATCH(F26,'Model Pricing'!$A$7:$A$8,0))</x:f>
        <x:v>10</x:v>
      </x:c>
      <x:c r="K26" s="27" t="n">
        <x:f>INDEX('Model Pricing'!$C$7:$C$8,MATCH(F26,'Model Pricing'!$A$7:$A$8,0))</x:f>
        <x:v>30</x:v>
      </x:c>
      <x:c r="L26" s="17" t="n">
        <x:f>G26+H26</x:f>
        <x:v>41869</x:v>
      </x:c>
      <x:c r="M26" s="28" t="n">
        <x:f>G26*J26/1000000</x:f>
        <x:v>0.35454</x:v>
      </x:c>
      <x:c r="N26" s="28" t="n">
        <x:f>H26*K26/1000000</x:f>
        <x:v>0.19245</x:v>
      </x:c>
      <x:c r="O26" s="28" t="n">
        <x:f>SUM(M26:N26)</x:f>
        <x:v>0.5469900000000001</x:v>
      </x:c>
    </x:row>
    <x:row r="27" ht="23" customHeight="1">
      <x:c r="A27" s="17" t="str">
        <x:v>U00021</x:v>
      </x:c>
      <x:c r="B27" s="18" t="n">
        <x:v>46295</x:v>
      </x:c>
      <x:c r="C27" s="17" t="str">
        <x:v>W0003</x:v>
      </x:c>
      <x:c r="D27" s="17" t="str">
        <x:v>C001</x:v>
      </x:c>
      <x:c r="E27" s="17" t="str">
        <x:v>CampaignChat</x:v>
      </x:c>
      <x:c r="F27" s="17" t="str">
        <x:v>Lite</x:v>
      </x:c>
      <x:c r="G27" s="17" t="n">
        <x:v>28633</x:v>
      </x:c>
      <x:c r="H27" s="17" t="n">
        <x:v>7011</x:v>
      </x:c>
      <x:c r="I27" s="17" t="str">
        <x:v>Correction</x:v>
      </x:c>
      <x:c r="J27" s="27" t="n">
        <x:f>INDEX('Model Pricing'!$B$7:$B$8,MATCH(F27,'Model Pricing'!$A$7:$A$8,0))</x:f>
        <x:v>10</x:v>
      </x:c>
      <x:c r="K27" s="27" t="n">
        <x:f>INDEX('Model Pricing'!$C$7:$C$8,MATCH(F27,'Model Pricing'!$A$7:$A$8,0))</x:f>
        <x:v>30</x:v>
      </x:c>
      <x:c r="L27" s="17" t="n">
        <x:f>G27+H27</x:f>
        <x:v>35644</x:v>
      </x:c>
      <x:c r="M27" s="28" t="n">
        <x:f>G27*J27/1000000</x:f>
        <x:v>0.28633</x:v>
      </x:c>
      <x:c r="N27" s="28" t="n">
        <x:f>H27*K27/1000000</x:f>
        <x:v>0.21033</x:v>
      </x:c>
      <x:c r="O27" s="28" t="n">
        <x:f>SUM(M27:N27)</x:f>
        <x:v>0.49666</x:v>
      </x:c>
    </x:row>
    <x:row r="28" ht="23" customHeight="1">
      <x:c r="A28" s="17" t="str">
        <x:v>U00022</x:v>
      </x:c>
      <x:c r="B28" s="18" t="n">
        <x:v>46295</x:v>
      </x:c>
      <x:c r="C28" s="17" t="str">
        <x:v>W0003</x:v>
      </x:c>
      <x:c r="D28" s="17" t="str">
        <x:v>C001</x:v>
      </x:c>
      <x:c r="E28" s="17" t="str">
        <x:v>CampaignChat</x:v>
      </x:c>
      <x:c r="F28" s="17" t="str">
        <x:v>Lite</x:v>
      </x:c>
      <x:c r="G28" s="17" t="n">
        <x:v>31633</x:v>
      </x:c>
      <x:c r="H28" s="17" t="n">
        <x:v>5430</x:v>
      </x:c>
      <x:c r="I28" s="17" t="str">
        <x:v>Followup</x:v>
      </x:c>
      <x:c r="J28" s="27" t="n">
        <x:f>INDEX('Model Pricing'!$B$7:$B$8,MATCH(F28,'Model Pricing'!$A$7:$A$8,0))</x:f>
        <x:v>10</x:v>
      </x:c>
      <x:c r="K28" s="27" t="n">
        <x:f>INDEX('Model Pricing'!$C$7:$C$8,MATCH(F28,'Model Pricing'!$A$7:$A$8,0))</x:f>
        <x:v>30</x:v>
      </x:c>
      <x:c r="L28" s="17" t="n">
        <x:f>G28+H28</x:f>
        <x:v>37063</x:v>
      </x:c>
      <x:c r="M28" s="28" t="n">
        <x:f>G28*J28/1000000</x:f>
        <x:v>0.31633</x:v>
      </x:c>
      <x:c r="N28" s="28" t="n">
        <x:f>H28*K28/1000000</x:f>
        <x:v>0.1629</x:v>
      </x:c>
      <x:c r="O28" s="28" t="n">
        <x:f>SUM(M28:N28)</x:f>
        <x:v>0.47923</x:v>
      </x:c>
    </x:row>
    <x:row r="29" ht="23" customHeight="1">
      <x:c r="A29" s="17" t="str">
        <x:v>U00023</x:v>
      </x:c>
      <x:c r="B29" s="18" t="n">
        <x:v>46295</x:v>
      </x:c>
      <x:c r="C29" s="17" t="str">
        <x:v>W0003</x:v>
      </x:c>
      <x:c r="D29" s="17" t="str">
        <x:v>C001</x:v>
      </x:c>
      <x:c r="E29" s="17" t="str">
        <x:v>CampaignChat</x:v>
      </x:c>
      <x:c r="F29" s="17" t="str">
        <x:v>Lite</x:v>
      </x:c>
      <x:c r="G29" s="17" t="n">
        <x:v>17408</x:v>
      </x:c>
      <x:c r="H29" s="17" t="n">
        <x:v>10715</x:v>
      </x:c>
      <x:c r="I29" s="17" t="str">
        <x:v>Followup</x:v>
      </x:c>
      <x:c r="J29" s="27" t="n">
        <x:f>INDEX('Model Pricing'!$B$7:$B$8,MATCH(F29,'Model Pricing'!$A$7:$A$8,0))</x:f>
        <x:v>10</x:v>
      </x:c>
      <x:c r="K29" s="27" t="n">
        <x:f>INDEX('Model Pricing'!$C$7:$C$8,MATCH(F29,'Model Pricing'!$A$7:$A$8,0))</x:f>
        <x:v>30</x:v>
      </x:c>
      <x:c r="L29" s="17" t="n">
        <x:f>G29+H29</x:f>
        <x:v>28123</x:v>
      </x:c>
      <x:c r="M29" s="28" t="n">
        <x:f>G29*J29/1000000</x:f>
        <x:v>0.17408</x:v>
      </x:c>
      <x:c r="N29" s="28" t="n">
        <x:f>H29*K29/1000000</x:f>
        <x:v>0.32145</x:v>
      </x:c>
      <x:c r="O29" s="28" t="n">
        <x:f>SUM(M29:N29)</x:f>
        <x:v>0.49553</x:v>
      </x:c>
    </x:row>
    <x:row r="30" ht="23" customHeight="1">
      <x:c r="A30" s="17" t="str">
        <x:v>U00024</x:v>
      </x:c>
      <x:c r="B30" s="18" t="n">
        <x:v>46286</x:v>
      </x:c>
      <x:c r="C30" s="17" t="str">
        <x:v>W0005</x:v>
      </x:c>
      <x:c r="D30" s="17" t="str">
        <x:v>C001</x:v>
      </x:c>
      <x:c r="E30" s="17" t="str">
        <x:v>DataFlow</x:v>
      </x:c>
      <x:c r="F30" s="17" t="str">
        <x:v>Lite</x:v>
      </x:c>
      <x:c r="G30" s="17" t="n">
        <x:v>56138</x:v>
      </x:c>
      <x:c r="H30" s="17" t="n">
        <x:v>4428</x:v>
      </x:c>
      <x:c r="I30" s="17" t="str">
        <x:v>First attempt</x:v>
      </x:c>
      <x:c r="J30" s="27" t="n">
        <x:f>INDEX('Model Pricing'!$B$7:$B$8,MATCH(F30,'Model Pricing'!$A$7:$A$8,0))</x:f>
        <x:v>10</x:v>
      </x:c>
      <x:c r="K30" s="27" t="n">
        <x:f>INDEX('Model Pricing'!$C$7:$C$8,MATCH(F30,'Model Pricing'!$A$7:$A$8,0))</x:f>
        <x:v>30</x:v>
      </x:c>
      <x:c r="L30" s="17" t="n">
        <x:f>G30+H30</x:f>
        <x:v>60566</x:v>
      </x:c>
      <x:c r="M30" s="28" t="n">
        <x:f>G30*J30/1000000</x:f>
        <x:v>0.56138</x:v>
      </x:c>
      <x:c r="N30" s="28" t="n">
        <x:f>H30*K30/1000000</x:f>
        <x:v>0.13284</x:v>
      </x:c>
      <x:c r="O30" s="28" t="n">
        <x:f>SUM(M30:N30)</x:f>
        <x:v>0.6942200000000001</x:v>
      </x:c>
    </x:row>
    <x:row r="31" ht="23" customHeight="1">
      <x:c r="A31" s="17" t="str">
        <x:v>U00025</x:v>
      </x:c>
      <x:c r="B31" s="18" t="n">
        <x:v>46286</x:v>
      </x:c>
      <x:c r="C31" s="17" t="str">
        <x:v>W0005</x:v>
      </x:c>
      <x:c r="D31" s="17" t="str">
        <x:v>C001</x:v>
      </x:c>
      <x:c r="E31" s="17" t="str">
        <x:v>DataFlow</x:v>
      </x:c>
      <x:c r="F31" s="17" t="str">
        <x:v>Lite</x:v>
      </x:c>
      <x:c r="G31" s="17" t="n">
        <x:v>55523</x:v>
      </x:c>
      <x:c r="H31" s="17" t="n">
        <x:v>5068</x:v>
      </x:c>
      <x:c r="I31" s="17" t="str">
        <x:v>Followup</x:v>
      </x:c>
      <x:c r="J31" s="27" t="n">
        <x:f>INDEX('Model Pricing'!$B$7:$B$8,MATCH(F31,'Model Pricing'!$A$7:$A$8,0))</x:f>
        <x:v>10</x:v>
      </x:c>
      <x:c r="K31" s="27" t="n">
        <x:f>INDEX('Model Pricing'!$C$7:$C$8,MATCH(F31,'Model Pricing'!$A$7:$A$8,0))</x:f>
        <x:v>30</x:v>
      </x:c>
      <x:c r="L31" s="17" t="n">
        <x:f>G31+H31</x:f>
        <x:v>60591</x:v>
      </x:c>
      <x:c r="M31" s="28" t="n">
        <x:f>G31*J31/1000000</x:f>
        <x:v>0.55523</x:v>
      </x:c>
      <x:c r="N31" s="28" t="n">
        <x:f>H31*K31/1000000</x:f>
        <x:v>0.15204</x:v>
      </x:c>
      <x:c r="O31" s="28" t="n">
        <x:f>SUM(M31:N31)</x:f>
        <x:v>0.7072700000000001</x:v>
      </x:c>
    </x:row>
    <x:row r="32" ht="23" customHeight="1">
      <x:c r="A32" s="17" t="str">
        <x:v>U00026</x:v>
      </x:c>
      <x:c r="B32" s="18" t="n">
        <x:v>46286</x:v>
      </x:c>
      <x:c r="C32" s="17" t="str">
        <x:v>W0005</x:v>
      </x:c>
      <x:c r="D32" s="17" t="str">
        <x:v>C001</x:v>
      </x:c>
      <x:c r="E32" s="17" t="str">
        <x:v>DataFlow</x:v>
      </x:c>
      <x:c r="F32" s="17" t="str">
        <x:v>Lite</x:v>
      </x:c>
      <x:c r="G32" s="17" t="n">
        <x:v>59964</x:v>
      </x:c>
      <x:c r="H32" s="17" t="n">
        <x:v>5426</x:v>
      </x:c>
      <x:c r="I32" s="17" t="str">
        <x:v>Followup</x:v>
      </x:c>
      <x:c r="J32" s="27" t="n">
        <x:f>INDEX('Model Pricing'!$B$7:$B$8,MATCH(F32,'Model Pricing'!$A$7:$A$8,0))</x:f>
        <x:v>10</x:v>
      </x:c>
      <x:c r="K32" s="27" t="n">
        <x:f>INDEX('Model Pricing'!$C$7:$C$8,MATCH(F32,'Model Pricing'!$A$7:$A$8,0))</x:f>
        <x:v>30</x:v>
      </x:c>
      <x:c r="L32" s="17" t="n">
        <x:f>G32+H32</x:f>
        <x:v>65390</x:v>
      </x:c>
      <x:c r="M32" s="28" t="n">
        <x:f>G32*J32/1000000</x:f>
        <x:v>0.59964</x:v>
      </x:c>
      <x:c r="N32" s="28" t="n">
        <x:f>H32*K32/1000000</x:f>
        <x:v>0.16278</x:v>
      </x:c>
      <x:c r="O32" s="28" t="n">
        <x:f>SUM(M32:N32)</x:f>
        <x:v>0.76242</x:v>
      </x:c>
    </x:row>
    <x:row r="33" ht="23" customHeight="1">
      <x:c r="A33" s="17" t="str">
        <x:v>U00027</x:v>
      </x:c>
      <x:c r="B33" s="18" t="n">
        <x:v>46286</x:v>
      </x:c>
      <x:c r="C33" s="17" t="str">
        <x:v>W0005</x:v>
      </x:c>
      <x:c r="D33" s="17" t="str">
        <x:v>C001</x:v>
      </x:c>
      <x:c r="E33" s="17" t="str">
        <x:v>DataFlow</x:v>
      </x:c>
      <x:c r="F33" s="17" t="str">
        <x:v>Lite</x:v>
      </x:c>
      <x:c r="G33" s="17" t="n">
        <x:v>53163</x:v>
      </x:c>
      <x:c r="H33" s="17" t="n">
        <x:v>12080</x:v>
      </x:c>
      <x:c r="I33" s="17" t="str">
        <x:v>Followup</x:v>
      </x:c>
      <x:c r="J33" s="27" t="n">
        <x:f>INDEX('Model Pricing'!$B$7:$B$8,MATCH(F33,'Model Pricing'!$A$7:$A$8,0))</x:f>
        <x:v>10</x:v>
      </x:c>
      <x:c r="K33" s="27" t="n">
        <x:f>INDEX('Model Pricing'!$C$7:$C$8,MATCH(F33,'Model Pricing'!$A$7:$A$8,0))</x:f>
        <x:v>30</x:v>
      </x:c>
      <x:c r="L33" s="17" t="n">
        <x:f>G33+H33</x:f>
        <x:v>65243</x:v>
      </x:c>
      <x:c r="M33" s="28" t="n">
        <x:f>G33*J33/1000000</x:f>
        <x:v>0.53163</x:v>
      </x:c>
      <x:c r="N33" s="28" t="n">
        <x:f>H33*K33/1000000</x:f>
        <x:v>0.3624</x:v>
      </x:c>
      <x:c r="O33" s="28" t="n">
        <x:f>SUM(M33:N33)</x:f>
        <x:v>0.8940300000000001</x:v>
      </x:c>
    </x:row>
    <x:row r="34" ht="23" customHeight="1">
      <x:c r="A34" s="17" t="str">
        <x:v>U00028</x:v>
      </x:c>
      <x:c r="B34" s="18" t="n">
        <x:v>46287</x:v>
      </x:c>
      <x:c r="C34" s="17" t="str">
        <x:v>W0005</x:v>
      </x:c>
      <x:c r="D34" s="17" t="str">
        <x:v>C001</x:v>
      </x:c>
      <x:c r="E34" s="17" t="str">
        <x:v>DataFlow</x:v>
      </x:c>
      <x:c r="F34" s="17" t="str">
        <x:v>Lite</x:v>
      </x:c>
      <x:c r="G34" s="17" t="n">
        <x:v>30527</x:v>
      </x:c>
      <x:c r="H34" s="17" t="n">
        <x:v>4397</x:v>
      </x:c>
      <x:c r="I34" s="17" t="str">
        <x:v>Followup</x:v>
      </x:c>
      <x:c r="J34" s="27" t="n">
        <x:f>INDEX('Model Pricing'!$B$7:$B$8,MATCH(F34,'Model Pricing'!$A$7:$A$8,0))</x:f>
        <x:v>10</x:v>
      </x:c>
      <x:c r="K34" s="27" t="n">
        <x:f>INDEX('Model Pricing'!$C$7:$C$8,MATCH(F34,'Model Pricing'!$A$7:$A$8,0))</x:f>
        <x:v>30</x:v>
      </x:c>
      <x:c r="L34" s="17" t="n">
        <x:f>G34+H34</x:f>
        <x:v>34924</x:v>
      </x:c>
      <x:c r="M34" s="28" t="n">
        <x:f>G34*J34/1000000</x:f>
        <x:v>0.30527</x:v>
      </x:c>
      <x:c r="N34" s="28" t="n">
        <x:f>H34*K34/1000000</x:f>
        <x:v>0.13191</x:v>
      </x:c>
      <x:c r="O34" s="28" t="n">
        <x:f>SUM(M34:N34)</x:f>
        <x:v>0.43718</x:v>
      </x:c>
    </x:row>
    <x:row r="35" ht="23" customHeight="1">
      <x:c r="A35" s="17" t="str">
        <x:v>U00029</x:v>
      </x:c>
      <x:c r="B35" s="18" t="n">
        <x:v>46287</x:v>
      </x:c>
      <x:c r="C35" s="17" t="str">
        <x:v>W0005</x:v>
      </x:c>
      <x:c r="D35" s="17" t="str">
        <x:v>C001</x:v>
      </x:c>
      <x:c r="E35" s="17" t="str">
        <x:v>DataFlow</x:v>
      </x:c>
      <x:c r="F35" s="17" t="str">
        <x:v>Lite</x:v>
      </x:c>
      <x:c r="G35" s="17" t="n">
        <x:v>34557</x:v>
      </x:c>
      <x:c r="H35" s="17" t="n">
        <x:v>9408</x:v>
      </x:c>
      <x:c r="I35" s="17" t="str">
        <x:v>Followup</x:v>
      </x:c>
      <x:c r="J35" s="27" t="n">
        <x:f>INDEX('Model Pricing'!$B$7:$B$8,MATCH(F35,'Model Pricing'!$A$7:$A$8,0))</x:f>
        <x:v>10</x:v>
      </x:c>
      <x:c r="K35" s="27" t="n">
        <x:f>INDEX('Model Pricing'!$C$7:$C$8,MATCH(F35,'Model Pricing'!$A$7:$A$8,0))</x:f>
        <x:v>30</x:v>
      </x:c>
      <x:c r="L35" s="17" t="n">
        <x:f>G35+H35</x:f>
        <x:v>43965</x:v>
      </x:c>
      <x:c r="M35" s="28" t="n">
        <x:f>G35*J35/1000000</x:f>
        <x:v>0.34557</x:v>
      </x:c>
      <x:c r="N35" s="28" t="n">
        <x:f>H35*K35/1000000</x:f>
        <x:v>0.28224</x:v>
      </x:c>
      <x:c r="O35" s="28" t="n">
        <x:f>SUM(M35:N35)</x:f>
        <x:v>0.62781</x:v>
      </x:c>
    </x:row>
    <x:row r="36" ht="23" customHeight="1">
      <x:c r="A36" s="17" t="str">
        <x:v>U00030</x:v>
      </x:c>
      <x:c r="B36" s="18" t="n">
        <x:v>46287</x:v>
      </x:c>
      <x:c r="C36" s="17" t="str">
        <x:v>W0005</x:v>
      </x:c>
      <x:c r="D36" s="17" t="str">
        <x:v>C001</x:v>
      </x:c>
      <x:c r="E36" s="17" t="str">
        <x:v>DataFlow</x:v>
      </x:c>
      <x:c r="F36" s="17" t="str">
        <x:v>Lite</x:v>
      </x:c>
      <x:c r="G36" s="17" t="n">
        <x:v>51195</x:v>
      </x:c>
      <x:c r="H36" s="17" t="n">
        <x:v>4417</x:v>
      </x:c>
      <x:c r="I36" s="17" t="str">
        <x:v>Followup</x:v>
      </x:c>
      <x:c r="J36" s="27" t="n">
        <x:f>INDEX('Model Pricing'!$B$7:$B$8,MATCH(F36,'Model Pricing'!$A$7:$A$8,0))</x:f>
        <x:v>10</x:v>
      </x:c>
      <x:c r="K36" s="27" t="n">
        <x:f>INDEX('Model Pricing'!$C$7:$C$8,MATCH(F36,'Model Pricing'!$A$7:$A$8,0))</x:f>
        <x:v>30</x:v>
      </x:c>
      <x:c r="L36" s="17" t="n">
        <x:f>G36+H36</x:f>
        <x:v>55612</x:v>
      </x:c>
      <x:c r="M36" s="28" t="n">
        <x:f>G36*J36/1000000</x:f>
        <x:v>0.51195</x:v>
      </x:c>
      <x:c r="N36" s="28" t="n">
        <x:f>H36*K36/1000000</x:f>
        <x:v>0.13251</x:v>
      </x:c>
      <x:c r="O36" s="28" t="n">
        <x:f>SUM(M36:N36)</x:f>
        <x:v>0.64446</x:v>
      </x:c>
    </x:row>
    <x:row r="37" ht="23" customHeight="1">
      <x:c r="A37" s="17" t="str">
        <x:v>U00031</x:v>
      </x:c>
      <x:c r="B37" s="18" t="n">
        <x:v>46287</x:v>
      </x:c>
      <x:c r="C37" s="17" t="str">
        <x:v>W0005</x:v>
      </x:c>
      <x:c r="D37" s="17" t="str">
        <x:v>C001</x:v>
      </x:c>
      <x:c r="E37" s="17" t="str">
        <x:v>DataFlow</x:v>
      </x:c>
      <x:c r="F37" s="17" t="str">
        <x:v>Lite</x:v>
      </x:c>
      <x:c r="G37" s="17" t="n">
        <x:v>59330</x:v>
      </x:c>
      <x:c r="H37" s="17" t="n">
        <x:v>9004</x:v>
      </x:c>
      <x:c r="I37" s="17" t="str">
        <x:v>Followup</x:v>
      </x:c>
      <x:c r="J37" s="27" t="n">
        <x:f>INDEX('Model Pricing'!$B$7:$B$8,MATCH(F37,'Model Pricing'!$A$7:$A$8,0))</x:f>
        <x:v>10</x:v>
      </x:c>
      <x:c r="K37" s="27" t="n">
        <x:f>INDEX('Model Pricing'!$C$7:$C$8,MATCH(F37,'Model Pricing'!$A$7:$A$8,0))</x:f>
        <x:v>30</x:v>
      </x:c>
      <x:c r="L37" s="17" t="n">
        <x:f>G37+H37</x:f>
        <x:v>68334</x:v>
      </x:c>
      <x:c r="M37" s="28" t="n">
        <x:f>G37*J37/1000000</x:f>
        <x:v>0.5933</x:v>
      </x:c>
      <x:c r="N37" s="28" t="n">
        <x:f>H37*K37/1000000</x:f>
        <x:v>0.27012</x:v>
      </x:c>
      <x:c r="O37" s="28" t="n">
        <x:f>SUM(M37:N37)</x:f>
        <x:v>0.8634200000000001</x:v>
      </x:c>
    </x:row>
    <x:row r="38" ht="23" customHeight="1">
      <x:c r="A38" s="17" t="str">
        <x:v>U00032</x:v>
      </x:c>
      <x:c r="B38" s="18" t="n">
        <x:v>46288</x:v>
      </x:c>
      <x:c r="C38" s="17" t="str">
        <x:v>W0005</x:v>
      </x:c>
      <x:c r="D38" s="17" t="str">
        <x:v>C001</x:v>
      </x:c>
      <x:c r="E38" s="17" t="str">
        <x:v>DataFlow</x:v>
      </x:c>
      <x:c r="F38" s="17" t="str">
        <x:v>Lite</x:v>
      </x:c>
      <x:c r="G38" s="17" t="n">
        <x:v>26074</x:v>
      </x:c>
      <x:c r="H38" s="17" t="n">
        <x:v>9978</x:v>
      </x:c>
      <x:c r="I38" s="17" t="str">
        <x:v>Followup</x:v>
      </x:c>
      <x:c r="J38" s="27" t="n">
        <x:f>INDEX('Model Pricing'!$B$7:$B$8,MATCH(F38,'Model Pricing'!$A$7:$A$8,0))</x:f>
        <x:v>10</x:v>
      </x:c>
      <x:c r="K38" s="27" t="n">
        <x:f>INDEX('Model Pricing'!$C$7:$C$8,MATCH(F38,'Model Pricing'!$A$7:$A$8,0))</x:f>
        <x:v>30</x:v>
      </x:c>
      <x:c r="L38" s="17" t="n">
        <x:f>G38+H38</x:f>
        <x:v>36052</x:v>
      </x:c>
      <x:c r="M38" s="28" t="n">
        <x:f>G38*J38/1000000</x:f>
        <x:v>0.26074</x:v>
      </x:c>
      <x:c r="N38" s="28" t="n">
        <x:f>H38*K38/1000000</x:f>
        <x:v>0.29934</x:v>
      </x:c>
      <x:c r="O38" s="28" t="n">
        <x:f>SUM(M38:N38)</x:f>
        <x:v>0.56008</x:v>
      </x:c>
    </x:row>
    <x:row r="39" ht="23" customHeight="1">
      <x:c r="A39" s="17" t="str">
        <x:v>U00033</x:v>
      </x:c>
      <x:c r="B39" s="18" t="n">
        <x:v>46288</x:v>
      </x:c>
      <x:c r="C39" s="17" t="str">
        <x:v>W0005</x:v>
      </x:c>
      <x:c r="D39" s="17" t="str">
        <x:v>C001</x:v>
      </x:c>
      <x:c r="E39" s="17" t="str">
        <x:v>DataFlow</x:v>
      </x:c>
      <x:c r="F39" s="17" t="str">
        <x:v>Lite</x:v>
      </x:c>
      <x:c r="G39" s="17" t="n">
        <x:v>61710</x:v>
      </x:c>
      <x:c r="H39" s="17" t="n">
        <x:v>9721</x:v>
      </x:c>
      <x:c r="I39" s="17" t="str">
        <x:v>Followup</x:v>
      </x:c>
      <x:c r="J39" s="27" t="n">
        <x:f>INDEX('Model Pricing'!$B$7:$B$8,MATCH(F39,'Model Pricing'!$A$7:$A$8,0))</x:f>
        <x:v>10</x:v>
      </x:c>
      <x:c r="K39" s="27" t="n">
        <x:f>INDEX('Model Pricing'!$C$7:$C$8,MATCH(F39,'Model Pricing'!$A$7:$A$8,0))</x:f>
        <x:v>30</x:v>
      </x:c>
      <x:c r="L39" s="17" t="n">
        <x:f>G39+H39</x:f>
        <x:v>71431</x:v>
      </x:c>
      <x:c r="M39" s="28" t="n">
        <x:f>G39*J39/1000000</x:f>
        <x:v>0.6171</x:v>
      </x:c>
      <x:c r="N39" s="28" t="n">
        <x:f>H39*K39/1000000</x:f>
        <x:v>0.29163</x:v>
      </x:c>
      <x:c r="O39" s="28" t="n">
        <x:f>SUM(M39:N39)</x:f>
        <x:v>0.90873</x:v>
      </x:c>
    </x:row>
    <x:row r="40" ht="23" customHeight="1">
      <x:c r="A40" s="17" t="str">
        <x:v>U00034</x:v>
      </x:c>
      <x:c r="B40" s="18" t="n">
        <x:v>46288</x:v>
      </x:c>
      <x:c r="C40" s="17" t="str">
        <x:v>W0005</x:v>
      </x:c>
      <x:c r="D40" s="17" t="str">
        <x:v>C001</x:v>
      </x:c>
      <x:c r="E40" s="17" t="str">
        <x:v>DataFlow</x:v>
      </x:c>
      <x:c r="F40" s="17" t="str">
        <x:v>Lite</x:v>
      </x:c>
      <x:c r="G40" s="17" t="n">
        <x:v>52040</x:v>
      </x:c>
      <x:c r="H40" s="17" t="n">
        <x:v>7246</x:v>
      </x:c>
      <x:c r="I40" s="17" t="str">
        <x:v>Followup</x:v>
      </x:c>
      <x:c r="J40" s="27" t="n">
        <x:f>INDEX('Model Pricing'!$B$7:$B$8,MATCH(F40,'Model Pricing'!$A$7:$A$8,0))</x:f>
        <x:v>10</x:v>
      </x:c>
      <x:c r="K40" s="27" t="n">
        <x:f>INDEX('Model Pricing'!$C$7:$C$8,MATCH(F40,'Model Pricing'!$A$7:$A$8,0))</x:f>
        <x:v>30</x:v>
      </x:c>
      <x:c r="L40" s="17" t="n">
        <x:f>G40+H40</x:f>
        <x:v>59286</x:v>
      </x:c>
      <x:c r="M40" s="28" t="n">
        <x:f>G40*J40/1000000</x:f>
        <x:v>0.5204</x:v>
      </x:c>
      <x:c r="N40" s="28" t="n">
        <x:f>H40*K40/1000000</x:f>
        <x:v>0.21738</x:v>
      </x:c>
      <x:c r="O40" s="28" t="n">
        <x:f>SUM(M40:N40)</x:f>
        <x:v>0.73778</x:v>
      </x:c>
    </x:row>
    <x:row r="41" ht="23" customHeight="1">
      <x:c r="A41" s="17" t="str">
        <x:v>U00035</x:v>
      </x:c>
      <x:c r="B41" s="18" t="n">
        <x:v>46288</x:v>
      </x:c>
      <x:c r="C41" s="17" t="str">
        <x:v>W0005</x:v>
      </x:c>
      <x:c r="D41" s="17" t="str">
        <x:v>C001</x:v>
      </x:c>
      <x:c r="E41" s="17" t="str">
        <x:v>DataFlow</x:v>
      </x:c>
      <x:c r="F41" s="17" t="str">
        <x:v>Lite</x:v>
      </x:c>
      <x:c r="G41" s="17" t="n">
        <x:v>23145</x:v>
      </x:c>
      <x:c r="H41" s="17" t="n">
        <x:v>6609</x:v>
      </x:c>
      <x:c r="I41" s="17" t="str">
        <x:v>Correction</x:v>
      </x:c>
      <x:c r="J41" s="27" t="n">
        <x:f>INDEX('Model Pricing'!$B$7:$B$8,MATCH(F41,'Model Pricing'!$A$7:$A$8,0))</x:f>
        <x:v>10</x:v>
      </x:c>
      <x:c r="K41" s="27" t="n">
        <x:f>INDEX('Model Pricing'!$C$7:$C$8,MATCH(F41,'Model Pricing'!$A$7:$A$8,0))</x:f>
        <x:v>30</x:v>
      </x:c>
      <x:c r="L41" s="17" t="n">
        <x:f>G41+H41</x:f>
        <x:v>29754</x:v>
      </x:c>
      <x:c r="M41" s="28" t="n">
        <x:f>G41*J41/1000000</x:f>
        <x:v>0.23145</x:v>
      </x:c>
      <x:c r="N41" s="28" t="n">
        <x:f>H41*K41/1000000</x:f>
        <x:v>0.19827</x:v>
      </x:c>
      <x:c r="O41" s="28" t="n">
        <x:f>SUM(M41:N41)</x:f>
        <x:v>0.42972</x:v>
      </x:c>
    </x:row>
    <x:row r="42" ht="23" customHeight="1">
      <x:c r="A42" s="17" t="str">
        <x:v>U00036</x:v>
      </x:c>
      <x:c r="B42" s="18" t="n">
        <x:v>46289</x:v>
      </x:c>
      <x:c r="C42" s="17" t="str">
        <x:v>W0005</x:v>
      </x:c>
      <x:c r="D42" s="17" t="str">
        <x:v>C001</x:v>
      </x:c>
      <x:c r="E42" s="17" t="str">
        <x:v>DataFlow</x:v>
      </x:c>
      <x:c r="F42" s="17" t="str">
        <x:v>Lite</x:v>
      </x:c>
      <x:c r="G42" s="17" t="n">
        <x:v>53754</x:v>
      </x:c>
      <x:c r="H42" s="17" t="n">
        <x:v>3776</x:v>
      </x:c>
      <x:c r="I42" s="17" t="str">
        <x:v>Correction</x:v>
      </x:c>
      <x:c r="J42" s="27" t="n">
        <x:f>INDEX('Model Pricing'!$B$7:$B$8,MATCH(F42,'Model Pricing'!$A$7:$A$8,0))</x:f>
        <x:v>10</x:v>
      </x:c>
      <x:c r="K42" s="27" t="n">
        <x:f>INDEX('Model Pricing'!$C$7:$C$8,MATCH(F42,'Model Pricing'!$A$7:$A$8,0))</x:f>
        <x:v>30</x:v>
      </x:c>
      <x:c r="L42" s="17" t="n">
        <x:f>G42+H42</x:f>
        <x:v>57530</x:v>
      </x:c>
      <x:c r="M42" s="28" t="n">
        <x:f>G42*J42/1000000</x:f>
        <x:v>0.53754</x:v>
      </x:c>
      <x:c r="N42" s="28" t="n">
        <x:f>H42*K42/1000000</x:f>
        <x:v>0.11328</x:v>
      </x:c>
      <x:c r="O42" s="28" t="n">
        <x:f>SUM(M42:N42)</x:f>
        <x:v>0.6508200000000001</x:v>
      </x:c>
    </x:row>
    <x:row r="43" ht="23" customHeight="1">
      <x:c r="A43" s="17" t="str">
        <x:v>U00037</x:v>
      </x:c>
      <x:c r="B43" s="18" t="n">
        <x:v>46289</x:v>
      </x:c>
      <x:c r="C43" s="17" t="str">
        <x:v>W0005</x:v>
      </x:c>
      <x:c r="D43" s="17" t="str">
        <x:v>C001</x:v>
      </x:c>
      <x:c r="E43" s="17" t="str">
        <x:v>DataFlow</x:v>
      </x:c>
      <x:c r="F43" s="17" t="str">
        <x:v>Lite</x:v>
      </x:c>
      <x:c r="G43" s="17" t="n">
        <x:v>59891</x:v>
      </x:c>
      <x:c r="H43" s="17" t="n">
        <x:v>7779</x:v>
      </x:c>
      <x:c r="I43" s="17" t="str">
        <x:v>Followup</x:v>
      </x:c>
      <x:c r="J43" s="27" t="n">
        <x:f>INDEX('Model Pricing'!$B$7:$B$8,MATCH(F43,'Model Pricing'!$A$7:$A$8,0))</x:f>
        <x:v>10</x:v>
      </x:c>
      <x:c r="K43" s="27" t="n">
        <x:f>INDEX('Model Pricing'!$C$7:$C$8,MATCH(F43,'Model Pricing'!$A$7:$A$8,0))</x:f>
        <x:v>30</x:v>
      </x:c>
      <x:c r="L43" s="17" t="n">
        <x:f>G43+H43</x:f>
        <x:v>67670</x:v>
      </x:c>
      <x:c r="M43" s="28" t="n">
        <x:f>G43*J43/1000000</x:f>
        <x:v>0.59891</x:v>
      </x:c>
      <x:c r="N43" s="28" t="n">
        <x:f>H43*K43/1000000</x:f>
        <x:v>0.23337</x:v>
      </x:c>
      <x:c r="O43" s="28" t="n">
        <x:f>SUM(M43:N43)</x:f>
        <x:v>0.83228</x:v>
      </x:c>
    </x:row>
    <x:row r="44" ht="23" customHeight="1">
      <x:c r="A44" s="17" t="str">
        <x:v>U00038</x:v>
      </x:c>
      <x:c r="B44" s="18" t="n">
        <x:v>46289</x:v>
      </x:c>
      <x:c r="C44" s="17" t="str">
        <x:v>W0005</x:v>
      </x:c>
      <x:c r="D44" s="17" t="str">
        <x:v>C001</x:v>
      </x:c>
      <x:c r="E44" s="17" t="str">
        <x:v>DataFlow</x:v>
      </x:c>
      <x:c r="F44" s="17" t="str">
        <x:v>Lite</x:v>
      </x:c>
      <x:c r="G44" s="17" t="n">
        <x:v>62803</x:v>
      </x:c>
      <x:c r="H44" s="17" t="n">
        <x:v>6979</x:v>
      </x:c>
      <x:c r="I44" s="17" t="str">
        <x:v>Followup</x:v>
      </x:c>
      <x:c r="J44" s="27" t="n">
        <x:f>INDEX('Model Pricing'!$B$7:$B$8,MATCH(F44,'Model Pricing'!$A$7:$A$8,0))</x:f>
        <x:v>10</x:v>
      </x:c>
      <x:c r="K44" s="27" t="n">
        <x:f>INDEX('Model Pricing'!$C$7:$C$8,MATCH(F44,'Model Pricing'!$A$7:$A$8,0))</x:f>
        <x:v>30</x:v>
      </x:c>
      <x:c r="L44" s="17" t="n">
        <x:f>G44+H44</x:f>
        <x:v>69782</x:v>
      </x:c>
      <x:c r="M44" s="28" t="n">
        <x:f>G44*J44/1000000</x:f>
        <x:v>0.62803</x:v>
      </x:c>
      <x:c r="N44" s="28" t="n">
        <x:f>H44*K44/1000000</x:f>
        <x:v>0.20937</x:v>
      </x:c>
      <x:c r="O44" s="28" t="n">
        <x:f>SUM(M44:N44)</x:f>
        <x:v>0.8373999999999999</x:v>
      </x:c>
    </x:row>
    <x:row r="45" ht="23" customHeight="1">
      <x:c r="A45" s="17" t="str">
        <x:v>U00039</x:v>
      </x:c>
      <x:c r="B45" s="18" t="n">
        <x:v>46289</x:v>
      </x:c>
      <x:c r="C45" s="17" t="str">
        <x:v>W0005</x:v>
      </x:c>
      <x:c r="D45" s="17" t="str">
        <x:v>C001</x:v>
      </x:c>
      <x:c r="E45" s="17" t="str">
        <x:v>DataFlow</x:v>
      </x:c>
      <x:c r="F45" s="17" t="str">
        <x:v>Lite</x:v>
      </x:c>
      <x:c r="G45" s="17" t="n">
        <x:v>32267</x:v>
      </x:c>
      <x:c r="H45" s="17" t="n">
        <x:v>4797</x:v>
      </x:c>
      <x:c r="I45" s="17" t="str">
        <x:v>Followup</x:v>
      </x:c>
      <x:c r="J45" s="27" t="n">
        <x:f>INDEX('Model Pricing'!$B$7:$B$8,MATCH(F45,'Model Pricing'!$A$7:$A$8,0))</x:f>
        <x:v>10</x:v>
      </x:c>
      <x:c r="K45" s="27" t="n">
        <x:f>INDEX('Model Pricing'!$C$7:$C$8,MATCH(F45,'Model Pricing'!$A$7:$A$8,0))</x:f>
        <x:v>30</x:v>
      </x:c>
      <x:c r="L45" s="17" t="n">
        <x:f>G45+H45</x:f>
        <x:v>37064</x:v>
      </x:c>
      <x:c r="M45" s="28" t="n">
        <x:f>G45*J45/1000000</x:f>
        <x:v>0.32267</x:v>
      </x:c>
      <x:c r="N45" s="28" t="n">
        <x:f>H45*K45/1000000</x:f>
        <x:v>0.14391</x:v>
      </x:c>
      <x:c r="O45" s="28" t="n">
        <x:f>SUM(M45:N45)</x:f>
        <x:v>0.46658</x:v>
      </x:c>
    </x:row>
    <x:row r="46" ht="23" customHeight="1">
      <x:c r="A46" s="17" t="str">
        <x:v>U00040</x:v>
      </x:c>
      <x:c r="B46" s="18" t="n">
        <x:v>46268</x:v>
      </x:c>
      <x:c r="C46" s="17" t="str">
        <x:v>W0006</x:v>
      </x:c>
      <x:c r="D46" s="17" t="str">
        <x:v>C001</x:v>
      </x:c>
      <x:c r="E46" s="17" t="str">
        <x:v>DataFlow</x:v>
      </x:c>
      <x:c r="F46" s="17" t="str">
        <x:v>Lite</x:v>
      </x:c>
      <x:c r="G46" s="17" t="n">
        <x:v>38976</x:v>
      </x:c>
      <x:c r="H46" s="17" t="n">
        <x:v>10824</x:v>
      </x:c>
      <x:c r="I46" s="17" t="str">
        <x:v>First attempt</x:v>
      </x:c>
      <x:c r="J46" s="27" t="n">
        <x:f>INDEX('Model Pricing'!$B$7:$B$8,MATCH(F46,'Model Pricing'!$A$7:$A$8,0))</x:f>
        <x:v>10</x:v>
      </x:c>
      <x:c r="K46" s="27" t="n">
        <x:f>INDEX('Model Pricing'!$C$7:$C$8,MATCH(F46,'Model Pricing'!$A$7:$A$8,0))</x:f>
        <x:v>30</x:v>
      </x:c>
      <x:c r="L46" s="17" t="n">
        <x:f>G46+H46</x:f>
        <x:v>49800</x:v>
      </x:c>
      <x:c r="M46" s="28" t="n">
        <x:f>G46*J46/1000000</x:f>
        <x:v>0.38976</x:v>
      </x:c>
      <x:c r="N46" s="28" t="n">
        <x:f>H46*K46/1000000</x:f>
        <x:v>0.32472</x:v>
      </x:c>
      <x:c r="O46" s="28" t="n">
        <x:f>SUM(M46:N46)</x:f>
        <x:v>0.71448</x:v>
      </x:c>
    </x:row>
    <x:row r="47" ht="23" customHeight="1">
      <x:c r="A47" s="17" t="str">
        <x:v>U00041</x:v>
      </x:c>
      <x:c r="B47" s="18" t="n">
        <x:v>46268</x:v>
      </x:c>
      <x:c r="C47" s="17" t="str">
        <x:v>W0006</x:v>
      </x:c>
      <x:c r="D47" s="17" t="str">
        <x:v>C001</x:v>
      </x:c>
      <x:c r="E47" s="17" t="str">
        <x:v>DataFlow</x:v>
      </x:c>
      <x:c r="F47" s="17" t="str">
        <x:v>Lite</x:v>
      </x:c>
      <x:c r="G47" s="17" t="n">
        <x:v>65005</x:v>
      </x:c>
      <x:c r="H47" s="17" t="n">
        <x:v>11965</x:v>
      </x:c>
      <x:c r="I47" s="17" t="str">
        <x:v>Followup</x:v>
      </x:c>
      <x:c r="J47" s="27" t="n">
        <x:f>INDEX('Model Pricing'!$B$7:$B$8,MATCH(F47,'Model Pricing'!$A$7:$A$8,0))</x:f>
        <x:v>10</x:v>
      </x:c>
      <x:c r="K47" s="27" t="n">
        <x:f>INDEX('Model Pricing'!$C$7:$C$8,MATCH(F47,'Model Pricing'!$A$7:$A$8,0))</x:f>
        <x:v>30</x:v>
      </x:c>
      <x:c r="L47" s="17" t="n">
        <x:f>G47+H47</x:f>
        <x:v>76970</x:v>
      </x:c>
      <x:c r="M47" s="28" t="n">
        <x:f>G47*J47/1000000</x:f>
        <x:v>0.65005</x:v>
      </x:c>
      <x:c r="N47" s="28" t="n">
        <x:f>H47*K47/1000000</x:f>
        <x:v>0.35895</x:v>
      </x:c>
      <x:c r="O47" s="28" t="n">
        <x:f>SUM(M47:N47)</x:f>
        <x:v>1.009</x:v>
      </x:c>
    </x:row>
    <x:row r="48" ht="23" customHeight="1">
      <x:c r="A48" s="17" t="str">
        <x:v>U00042</x:v>
      </x:c>
      <x:c r="B48" s="18" t="n">
        <x:v>46268</x:v>
      </x:c>
      <x:c r="C48" s="17" t="str">
        <x:v>W0006</x:v>
      </x:c>
      <x:c r="D48" s="17" t="str">
        <x:v>C001</x:v>
      </x:c>
      <x:c r="E48" s="17" t="str">
        <x:v>DataFlow</x:v>
      </x:c>
      <x:c r="F48" s="17" t="str">
        <x:v>Lite</x:v>
      </x:c>
      <x:c r="G48" s="17" t="n">
        <x:v>32809</x:v>
      </x:c>
      <x:c r="H48" s="17" t="n">
        <x:v>7448</x:v>
      </x:c>
      <x:c r="I48" s="17" t="str">
        <x:v>Correction</x:v>
      </x:c>
      <x:c r="J48" s="27" t="n">
        <x:f>INDEX('Model Pricing'!$B$7:$B$8,MATCH(F48,'Model Pricing'!$A$7:$A$8,0))</x:f>
        <x:v>10</x:v>
      </x:c>
      <x:c r="K48" s="27" t="n">
        <x:f>INDEX('Model Pricing'!$C$7:$C$8,MATCH(F48,'Model Pricing'!$A$7:$A$8,0))</x:f>
        <x:v>30</x:v>
      </x:c>
      <x:c r="L48" s="17" t="n">
        <x:f>G48+H48</x:f>
        <x:v>40257</x:v>
      </x:c>
      <x:c r="M48" s="28" t="n">
        <x:f>G48*J48/1000000</x:f>
        <x:v>0.32809</x:v>
      </x:c>
      <x:c r="N48" s="28" t="n">
        <x:f>H48*K48/1000000</x:f>
        <x:v>0.22344</x:v>
      </x:c>
      <x:c r="O48" s="28" t="n">
        <x:f>SUM(M48:N48)</x:f>
        <x:v>0.55153</x:v>
      </x:c>
    </x:row>
    <x:row r="49" ht="23" customHeight="1">
      <x:c r="A49" s="17" t="str">
        <x:v>U00043</x:v>
      </x:c>
      <x:c r="B49" s="18" t="n">
        <x:v>46269</x:v>
      </x:c>
      <x:c r="C49" s="17" t="str">
        <x:v>W0006</x:v>
      </x:c>
      <x:c r="D49" s="17" t="str">
        <x:v>C001</x:v>
      </x:c>
      <x:c r="E49" s="17" t="str">
        <x:v>DataFlow</x:v>
      </x:c>
      <x:c r="F49" s="17" t="str">
        <x:v>Lite</x:v>
      </x:c>
      <x:c r="G49" s="17" t="n">
        <x:v>58330</x:v>
      </x:c>
      <x:c r="H49" s="17" t="n">
        <x:v>11718</x:v>
      </x:c>
      <x:c r="I49" s="17" t="str">
        <x:v>Followup</x:v>
      </x:c>
      <x:c r="J49" s="27" t="n">
        <x:f>INDEX('Model Pricing'!$B$7:$B$8,MATCH(F49,'Model Pricing'!$A$7:$A$8,0))</x:f>
        <x:v>10</x:v>
      </x:c>
      <x:c r="K49" s="27" t="n">
        <x:f>INDEX('Model Pricing'!$C$7:$C$8,MATCH(F49,'Model Pricing'!$A$7:$A$8,0))</x:f>
        <x:v>30</x:v>
      </x:c>
      <x:c r="L49" s="17" t="n">
        <x:f>G49+H49</x:f>
        <x:v>70048</x:v>
      </x:c>
      <x:c r="M49" s="28" t="n">
        <x:f>G49*J49/1000000</x:f>
        <x:v>0.5833</x:v>
      </x:c>
      <x:c r="N49" s="28" t="n">
        <x:f>H49*K49/1000000</x:f>
        <x:v>0.35154</x:v>
      </x:c>
      <x:c r="O49" s="28" t="n">
        <x:f>SUM(M49:N49)</x:f>
        <x:v>0.9348400000000001</x:v>
      </x:c>
    </x:row>
    <x:row r="50" ht="23" customHeight="1">
      <x:c r="A50" s="17" t="str">
        <x:v>U00044</x:v>
      </x:c>
      <x:c r="B50" s="18" t="n">
        <x:v>46269</x:v>
      </x:c>
      <x:c r="C50" s="17" t="str">
        <x:v>W0006</x:v>
      </x:c>
      <x:c r="D50" s="17" t="str">
        <x:v>C001</x:v>
      </x:c>
      <x:c r="E50" s="17" t="str">
        <x:v>DataFlow</x:v>
      </x:c>
      <x:c r="F50" s="17" t="str">
        <x:v>Lite</x:v>
      </x:c>
      <x:c r="G50" s="17" t="n">
        <x:v>38499</x:v>
      </x:c>
      <x:c r="H50" s="17" t="n">
        <x:v>7601</x:v>
      </x:c>
      <x:c r="I50" s="17" t="str">
        <x:v>Followup</x:v>
      </x:c>
      <x:c r="J50" s="27" t="n">
        <x:f>INDEX('Model Pricing'!$B$7:$B$8,MATCH(F50,'Model Pricing'!$A$7:$A$8,0))</x:f>
        <x:v>10</x:v>
      </x:c>
      <x:c r="K50" s="27" t="n">
        <x:f>INDEX('Model Pricing'!$C$7:$C$8,MATCH(F50,'Model Pricing'!$A$7:$A$8,0))</x:f>
        <x:v>30</x:v>
      </x:c>
      <x:c r="L50" s="17" t="n">
        <x:f>G50+H50</x:f>
        <x:v>46100</x:v>
      </x:c>
      <x:c r="M50" s="28" t="n">
        <x:f>G50*J50/1000000</x:f>
        <x:v>0.38499</x:v>
      </x:c>
      <x:c r="N50" s="28" t="n">
        <x:f>H50*K50/1000000</x:f>
        <x:v>0.22803</x:v>
      </x:c>
      <x:c r="O50" s="28" t="n">
        <x:f>SUM(M50:N50)</x:f>
        <x:v>0.61302</x:v>
      </x:c>
    </x:row>
    <x:row r="51" ht="23" customHeight="1">
      <x:c r="A51" s="17" t="str">
        <x:v>U00045</x:v>
      </x:c>
      <x:c r="B51" s="18" t="n">
        <x:v>46273</x:v>
      </x:c>
      <x:c r="C51" s="17" t="str">
        <x:v>W0006</x:v>
      </x:c>
      <x:c r="D51" s="17" t="str">
        <x:v>C001</x:v>
      </x:c>
      <x:c r="E51" s="17" t="str">
        <x:v>DataFlow</x:v>
      </x:c>
      <x:c r="F51" s="17" t="str">
        <x:v>Lite</x:v>
      </x:c>
      <x:c r="G51" s="17" t="n">
        <x:v>71595</x:v>
      </x:c>
      <x:c r="H51" s="17" t="n">
        <x:v>14554</x:v>
      </x:c>
      <x:c r="I51" s="17" t="str">
        <x:v>Followup</x:v>
      </x:c>
      <x:c r="J51" s="27" t="n">
        <x:f>INDEX('Model Pricing'!$B$7:$B$8,MATCH(F51,'Model Pricing'!$A$7:$A$8,0))</x:f>
        <x:v>10</x:v>
      </x:c>
      <x:c r="K51" s="27" t="n">
        <x:f>INDEX('Model Pricing'!$C$7:$C$8,MATCH(F51,'Model Pricing'!$A$7:$A$8,0))</x:f>
        <x:v>30</x:v>
      </x:c>
      <x:c r="L51" s="17" t="n">
        <x:f>G51+H51</x:f>
        <x:v>86149</x:v>
      </x:c>
      <x:c r="M51" s="28" t="n">
        <x:f>G51*J51/1000000</x:f>
        <x:v>0.71595</x:v>
      </x:c>
      <x:c r="N51" s="28" t="n">
        <x:f>H51*K51/1000000</x:f>
        <x:v>0.43662</x:v>
      </x:c>
      <x:c r="O51" s="28" t="n">
        <x:f>SUM(M51:N51)</x:f>
        <x:v>1.1525699999999999</x:v>
      </x:c>
    </x:row>
    <x:row r="52" ht="23" customHeight="1">
      <x:c r="A52" s="17" t="str">
        <x:v>U00046</x:v>
      </x:c>
      <x:c r="B52" s="18" t="n">
        <x:v>46273</x:v>
      </x:c>
      <x:c r="C52" s="17" t="str">
        <x:v>W0006</x:v>
      </x:c>
      <x:c r="D52" s="17" t="str">
        <x:v>C001</x:v>
      </x:c>
      <x:c r="E52" s="17" t="str">
        <x:v>DataFlow</x:v>
      </x:c>
      <x:c r="F52" s="17" t="str">
        <x:v>Lite</x:v>
      </x:c>
      <x:c r="G52" s="17" t="n">
        <x:v>63162</x:v>
      </x:c>
      <x:c r="H52" s="17" t="n">
        <x:v>15392</x:v>
      </x:c>
      <x:c r="I52" s="17" t="str">
        <x:v>Followup</x:v>
      </x:c>
      <x:c r="J52" s="27" t="n">
        <x:f>INDEX('Model Pricing'!$B$7:$B$8,MATCH(F52,'Model Pricing'!$A$7:$A$8,0))</x:f>
        <x:v>10</x:v>
      </x:c>
      <x:c r="K52" s="27" t="n">
        <x:f>INDEX('Model Pricing'!$C$7:$C$8,MATCH(F52,'Model Pricing'!$A$7:$A$8,0))</x:f>
        <x:v>30</x:v>
      </x:c>
      <x:c r="L52" s="17" t="n">
        <x:f>G52+H52</x:f>
        <x:v>78554</x:v>
      </x:c>
      <x:c r="M52" s="28" t="n">
        <x:f>G52*J52/1000000</x:f>
        <x:v>0.63162</x:v>
      </x:c>
      <x:c r="N52" s="28" t="n">
        <x:f>H52*K52/1000000</x:f>
        <x:v>0.46176</x:v>
      </x:c>
      <x:c r="O52" s="28" t="n">
        <x:f>SUM(M52:N52)</x:f>
        <x:v>1.09338</x:v>
      </x:c>
    </x:row>
    <x:row r="53" ht="23" customHeight="1">
      <x:c r="A53" s="17" t="str">
        <x:v>U00047</x:v>
      </x:c>
      <x:c r="B53" s="18" t="n">
        <x:v>46273</x:v>
      </x:c>
      <x:c r="C53" s="17" t="str">
        <x:v>W0006</x:v>
      </x:c>
      <x:c r="D53" s="17" t="str">
        <x:v>C001</x:v>
      </x:c>
      <x:c r="E53" s="17" t="str">
        <x:v>DataFlow</x:v>
      </x:c>
      <x:c r="F53" s="17" t="str">
        <x:v>Lite</x:v>
      </x:c>
      <x:c r="G53" s="17" t="n">
        <x:v>76202</x:v>
      </x:c>
      <x:c r="H53" s="17" t="n">
        <x:v>12538</x:v>
      </x:c>
      <x:c r="I53" s="17" t="str">
        <x:v>Followup</x:v>
      </x:c>
      <x:c r="J53" s="27" t="n">
        <x:f>INDEX('Model Pricing'!$B$7:$B$8,MATCH(F53,'Model Pricing'!$A$7:$A$8,0))</x:f>
        <x:v>10</x:v>
      </x:c>
      <x:c r="K53" s="27" t="n">
        <x:f>INDEX('Model Pricing'!$C$7:$C$8,MATCH(F53,'Model Pricing'!$A$7:$A$8,0))</x:f>
        <x:v>30</x:v>
      </x:c>
      <x:c r="L53" s="17" t="n">
        <x:f>G53+H53</x:f>
        <x:v>88740</x:v>
      </x:c>
      <x:c r="M53" s="28" t="n">
        <x:f>G53*J53/1000000</x:f>
        <x:v>0.76202</x:v>
      </x:c>
      <x:c r="N53" s="28" t="n">
        <x:f>H53*K53/1000000</x:f>
        <x:v>0.37614</x:v>
      </x:c>
      <x:c r="O53" s="28" t="n">
        <x:f>SUM(M53:N53)</x:f>
        <x:v>1.13816</x:v>
      </x:c>
    </x:row>
    <x:row r="54" ht="23" customHeight="1">
      <x:c r="A54" s="17" t="str">
        <x:v>U00048</x:v>
      </x:c>
      <x:c r="B54" s="18" t="n">
        <x:v>46274</x:v>
      </x:c>
      <x:c r="C54" s="17" t="str">
        <x:v>W0006</x:v>
      </x:c>
      <x:c r="D54" s="17" t="str">
        <x:v>C001</x:v>
      </x:c>
      <x:c r="E54" s="17" t="str">
        <x:v>DataFlow</x:v>
      </x:c>
      <x:c r="F54" s="17" t="str">
        <x:v>Lite</x:v>
      </x:c>
      <x:c r="G54" s="17" t="n">
        <x:v>32717</x:v>
      </x:c>
      <x:c r="H54" s="17" t="n">
        <x:v>13816</x:v>
      </x:c>
      <x:c r="I54" s="17" t="str">
        <x:v>Followup</x:v>
      </x:c>
      <x:c r="J54" s="27" t="n">
        <x:f>INDEX('Model Pricing'!$B$7:$B$8,MATCH(F54,'Model Pricing'!$A$7:$A$8,0))</x:f>
        <x:v>10</x:v>
      </x:c>
      <x:c r="K54" s="27" t="n">
        <x:f>INDEX('Model Pricing'!$C$7:$C$8,MATCH(F54,'Model Pricing'!$A$7:$A$8,0))</x:f>
        <x:v>30</x:v>
      </x:c>
      <x:c r="L54" s="17" t="n">
        <x:f>G54+H54</x:f>
        <x:v>46533</x:v>
      </x:c>
      <x:c r="M54" s="28" t="n">
        <x:f>G54*J54/1000000</x:f>
        <x:v>0.32717</x:v>
      </x:c>
      <x:c r="N54" s="28" t="n">
        <x:f>H54*K54/1000000</x:f>
        <x:v>0.41448</x:v>
      </x:c>
      <x:c r="O54" s="28" t="n">
        <x:f>SUM(M54:N54)</x:f>
        <x:v>0.74165</x:v>
      </x:c>
    </x:row>
    <x:row r="55" ht="23" customHeight="1">
      <x:c r="A55" s="17" t="str">
        <x:v>U00049</x:v>
      </x:c>
      <x:c r="B55" s="18" t="n">
        <x:v>46274</x:v>
      </x:c>
      <x:c r="C55" s="17" t="str">
        <x:v>W0006</x:v>
      </x:c>
      <x:c r="D55" s="17" t="str">
        <x:v>C001</x:v>
      </x:c>
      <x:c r="E55" s="17" t="str">
        <x:v>DataFlow</x:v>
      </x:c>
      <x:c r="F55" s="17" t="str">
        <x:v>Lite</x:v>
      </x:c>
      <x:c r="G55" s="17" t="n">
        <x:v>83794</x:v>
      </x:c>
      <x:c r="H55" s="17" t="n">
        <x:v>8710</x:v>
      </x:c>
      <x:c r="I55" s="17" t="str">
        <x:v>Followup</x:v>
      </x:c>
      <x:c r="J55" s="27" t="n">
        <x:f>INDEX('Model Pricing'!$B$7:$B$8,MATCH(F55,'Model Pricing'!$A$7:$A$8,0))</x:f>
        <x:v>10</x:v>
      </x:c>
      <x:c r="K55" s="27" t="n">
        <x:f>INDEX('Model Pricing'!$C$7:$C$8,MATCH(F55,'Model Pricing'!$A$7:$A$8,0))</x:f>
        <x:v>30</x:v>
      </x:c>
      <x:c r="L55" s="17" t="n">
        <x:f>G55+H55</x:f>
        <x:v>92504</x:v>
      </x:c>
      <x:c r="M55" s="28" t="n">
        <x:f>G55*J55/1000000</x:f>
        <x:v>0.83794</x:v>
      </x:c>
      <x:c r="N55" s="28" t="n">
        <x:f>H55*K55/1000000</x:f>
        <x:v>0.2613</x:v>
      </x:c>
      <x:c r="O55" s="28" t="n">
        <x:f>SUM(M55:N55)</x:f>
        <x:v>1.09924</x:v>
      </x:c>
    </x:row>
    <x:row r="56" ht="23" customHeight="1">
      <x:c r="A56" s="17" t="str">
        <x:v>U00050</x:v>
      </x:c>
      <x:c r="B56" s="18" t="n">
        <x:v>46280</x:v>
      </x:c>
      <x:c r="C56" s="17" t="str">
        <x:v>W0007</x:v>
      </x:c>
      <x:c r="D56" s="17" t="str">
        <x:v>C001</x:v>
      </x:c>
      <x:c r="E56" s="17" t="str">
        <x:v>InsightDesk</x:v>
      </x:c>
      <x:c r="F56" s="17" t="str">
        <x:v>Lite</x:v>
      </x:c>
      <x:c r="G56" s="17" t="n">
        <x:v>32024</x:v>
      </x:c>
      <x:c r="H56" s="17" t="n">
        <x:v>12703</x:v>
      </x:c>
      <x:c r="I56" s="17" t="str">
        <x:v>First attempt</x:v>
      </x:c>
      <x:c r="J56" s="27" t="n">
        <x:f>INDEX('Model Pricing'!$B$7:$B$8,MATCH(F56,'Model Pricing'!$A$7:$A$8,0))</x:f>
        <x:v>10</x:v>
      </x:c>
      <x:c r="K56" s="27" t="n">
        <x:f>INDEX('Model Pricing'!$C$7:$C$8,MATCH(F56,'Model Pricing'!$A$7:$A$8,0))</x:f>
        <x:v>30</x:v>
      </x:c>
      <x:c r="L56" s="17" t="n">
        <x:f>G56+H56</x:f>
        <x:v>44727</x:v>
      </x:c>
      <x:c r="M56" s="28" t="n">
        <x:f>G56*J56/1000000</x:f>
        <x:v>0.32024</x:v>
      </x:c>
      <x:c r="N56" s="28" t="n">
        <x:f>H56*K56/1000000</x:f>
        <x:v>0.38109</x:v>
      </x:c>
      <x:c r="O56" s="28" t="n">
        <x:f>SUM(M56:N56)</x:f>
        <x:v>0.70133</x:v>
      </x:c>
    </x:row>
    <x:row r="57" ht="23" customHeight="1">
      <x:c r="A57" s="17" t="str">
        <x:v>U00051</x:v>
      </x:c>
      <x:c r="B57" s="18" t="n">
        <x:v>46280</x:v>
      </x:c>
      <x:c r="C57" s="17" t="str">
        <x:v>W0007</x:v>
      </x:c>
      <x:c r="D57" s="17" t="str">
        <x:v>C001</x:v>
      </x:c>
      <x:c r="E57" s="17" t="str">
        <x:v>InsightDesk</x:v>
      </x:c>
      <x:c r="F57" s="17" t="str">
        <x:v>Lite</x:v>
      </x:c>
      <x:c r="G57" s="17" t="n">
        <x:v>39004</x:v>
      </x:c>
      <x:c r="H57" s="17" t="n">
        <x:v>9609</x:v>
      </x:c>
      <x:c r="I57" s="17" t="str">
        <x:v>Followup</x:v>
      </x:c>
      <x:c r="J57" s="27" t="n">
        <x:f>INDEX('Model Pricing'!$B$7:$B$8,MATCH(F57,'Model Pricing'!$A$7:$A$8,0))</x:f>
        <x:v>10</x:v>
      </x:c>
      <x:c r="K57" s="27" t="n">
        <x:f>INDEX('Model Pricing'!$C$7:$C$8,MATCH(F57,'Model Pricing'!$A$7:$A$8,0))</x:f>
        <x:v>30</x:v>
      </x:c>
      <x:c r="L57" s="17" t="n">
        <x:f>G57+H57</x:f>
        <x:v>48613</x:v>
      </x:c>
      <x:c r="M57" s="28" t="n">
        <x:f>G57*J57/1000000</x:f>
        <x:v>0.39004</x:v>
      </x:c>
      <x:c r="N57" s="28" t="n">
        <x:f>H57*K57/1000000</x:f>
        <x:v>0.28827</x:v>
      </x:c>
      <x:c r="O57" s="28" t="n">
        <x:f>SUM(M57:N57)</x:f>
        <x:v>0.67831</x:v>
      </x:c>
    </x:row>
    <x:row r="58" ht="23" customHeight="1">
      <x:c r="A58" s="17" t="str">
        <x:v>U00052</x:v>
      </x:c>
      <x:c r="B58" s="18" t="n">
        <x:v>46280</x:v>
      </x:c>
      <x:c r="C58" s="17" t="str">
        <x:v>W0007</x:v>
      </x:c>
      <x:c r="D58" s="17" t="str">
        <x:v>C001</x:v>
      </x:c>
      <x:c r="E58" s="17" t="str">
        <x:v>InsightDesk</x:v>
      </x:c>
      <x:c r="F58" s="17" t="str">
        <x:v>Lite</x:v>
      </x:c>
      <x:c r="G58" s="17" t="n">
        <x:v>55592</x:v>
      </x:c>
      <x:c r="H58" s="17" t="n">
        <x:v>10834</x:v>
      </x:c>
      <x:c r="I58" s="17" t="str">
        <x:v>Correction</x:v>
      </x:c>
      <x:c r="J58" s="27" t="n">
        <x:f>INDEX('Model Pricing'!$B$7:$B$8,MATCH(F58,'Model Pricing'!$A$7:$A$8,0))</x:f>
        <x:v>10</x:v>
      </x:c>
      <x:c r="K58" s="27" t="n">
        <x:f>INDEX('Model Pricing'!$C$7:$C$8,MATCH(F58,'Model Pricing'!$A$7:$A$8,0))</x:f>
        <x:v>30</x:v>
      </x:c>
      <x:c r="L58" s="17" t="n">
        <x:f>G58+H58</x:f>
        <x:v>66426</x:v>
      </x:c>
      <x:c r="M58" s="28" t="n">
        <x:f>G58*J58/1000000</x:f>
        <x:v>0.55592</x:v>
      </x:c>
      <x:c r="N58" s="28" t="n">
        <x:f>H58*K58/1000000</x:f>
        <x:v>0.32502</x:v>
      </x:c>
      <x:c r="O58" s="28" t="n">
        <x:f>SUM(M58:N58)</x:f>
        <x:v>0.88094</x:v>
      </x:c>
    </x:row>
    <x:row r="59" ht="23" customHeight="1">
      <x:c r="A59" s="17" t="str">
        <x:v>U00053</x:v>
      </x:c>
      <x:c r="B59" s="18" t="n">
        <x:v>46280</x:v>
      </x:c>
      <x:c r="C59" s="17" t="str">
        <x:v>W0007</x:v>
      </x:c>
      <x:c r="D59" s="17" t="str">
        <x:v>C001</x:v>
      </x:c>
      <x:c r="E59" s="17" t="str">
        <x:v>InsightDesk</x:v>
      </x:c>
      <x:c r="F59" s="17" t="str">
        <x:v>Lite</x:v>
      </x:c>
      <x:c r="G59" s="17" t="n">
        <x:v>41963</x:v>
      </x:c>
      <x:c r="H59" s="17" t="n">
        <x:v>15202</x:v>
      </x:c>
      <x:c r="I59" s="17" t="str">
        <x:v>Followup</x:v>
      </x:c>
      <x:c r="J59" s="27" t="n">
        <x:f>INDEX('Model Pricing'!$B$7:$B$8,MATCH(F59,'Model Pricing'!$A$7:$A$8,0))</x:f>
        <x:v>10</x:v>
      </x:c>
      <x:c r="K59" s="27" t="n">
        <x:f>INDEX('Model Pricing'!$C$7:$C$8,MATCH(F59,'Model Pricing'!$A$7:$A$8,0))</x:f>
        <x:v>30</x:v>
      </x:c>
      <x:c r="L59" s="17" t="n">
        <x:f>G59+H59</x:f>
        <x:v>57165</x:v>
      </x:c>
      <x:c r="M59" s="28" t="n">
        <x:f>G59*J59/1000000</x:f>
        <x:v>0.41963</x:v>
      </x:c>
      <x:c r="N59" s="28" t="n">
        <x:f>H59*K59/1000000</x:f>
        <x:v>0.45606</x:v>
      </x:c>
      <x:c r="O59" s="28" t="n">
        <x:f>SUM(M59:N59)</x:f>
        <x:v>0.8756900000000001</x:v>
      </x:c>
    </x:row>
    <x:row r="60" ht="23" customHeight="1">
      <x:c r="A60" s="17" t="str">
        <x:v>U00054</x:v>
      </x:c>
      <x:c r="B60" s="18" t="n">
        <x:v>46281</x:v>
      </x:c>
      <x:c r="C60" s="17" t="str">
        <x:v>W0007</x:v>
      </x:c>
      <x:c r="D60" s="17" t="str">
        <x:v>C001</x:v>
      </x:c>
      <x:c r="E60" s="17" t="str">
        <x:v>InsightDesk</x:v>
      </x:c>
      <x:c r="F60" s="17" t="str">
        <x:v>Lite</x:v>
      </x:c>
      <x:c r="G60" s="17" t="n">
        <x:v>58817</x:v>
      </x:c>
      <x:c r="H60" s="17" t="n">
        <x:v>8907</x:v>
      </x:c>
      <x:c r="I60" s="17" t="str">
        <x:v>Followup</x:v>
      </x:c>
      <x:c r="J60" s="27" t="n">
        <x:f>INDEX('Model Pricing'!$B$7:$B$8,MATCH(F60,'Model Pricing'!$A$7:$A$8,0))</x:f>
        <x:v>10</x:v>
      </x:c>
      <x:c r="K60" s="27" t="n">
        <x:f>INDEX('Model Pricing'!$C$7:$C$8,MATCH(F60,'Model Pricing'!$A$7:$A$8,0))</x:f>
        <x:v>30</x:v>
      </x:c>
      <x:c r="L60" s="17" t="n">
        <x:f>G60+H60</x:f>
        <x:v>67724</x:v>
      </x:c>
      <x:c r="M60" s="28" t="n">
        <x:f>G60*J60/1000000</x:f>
        <x:v>0.58817</x:v>
      </x:c>
      <x:c r="N60" s="28" t="n">
        <x:f>H60*K60/1000000</x:f>
        <x:v>0.26721</x:v>
      </x:c>
      <x:c r="O60" s="28" t="n">
        <x:f>SUM(M60:N60)</x:f>
        <x:v>0.85538</x:v>
      </x:c>
    </x:row>
    <x:row r="61" ht="23" customHeight="1">
      <x:c r="A61" s="17" t="str">
        <x:v>U00055</x:v>
      </x:c>
      <x:c r="B61" s="18" t="n">
        <x:v>46281</x:v>
      </x:c>
      <x:c r="C61" s="17" t="str">
        <x:v>W0007</x:v>
      </x:c>
      <x:c r="D61" s="17" t="str">
        <x:v>C001</x:v>
      </x:c>
      <x:c r="E61" s="17" t="str">
        <x:v>InsightDesk</x:v>
      </x:c>
      <x:c r="F61" s="17" t="str">
        <x:v>Lite</x:v>
      </x:c>
      <x:c r="G61" s="17" t="n">
        <x:v>42517</x:v>
      </x:c>
      <x:c r="H61" s="17" t="n">
        <x:v>7146</x:v>
      </x:c>
      <x:c r="I61" s="17" t="str">
        <x:v>Followup</x:v>
      </x:c>
      <x:c r="J61" s="27" t="n">
        <x:f>INDEX('Model Pricing'!$B$7:$B$8,MATCH(F61,'Model Pricing'!$A$7:$A$8,0))</x:f>
        <x:v>10</x:v>
      </x:c>
      <x:c r="K61" s="27" t="n">
        <x:f>INDEX('Model Pricing'!$C$7:$C$8,MATCH(F61,'Model Pricing'!$A$7:$A$8,0))</x:f>
        <x:v>30</x:v>
      </x:c>
      <x:c r="L61" s="17" t="n">
        <x:f>G61+H61</x:f>
        <x:v>49663</x:v>
      </x:c>
      <x:c r="M61" s="28" t="n">
        <x:f>G61*J61/1000000</x:f>
        <x:v>0.42517</x:v>
      </x:c>
      <x:c r="N61" s="28" t="n">
        <x:f>H61*K61/1000000</x:f>
        <x:v>0.21438</x:v>
      </x:c>
      <x:c r="O61" s="28" t="n">
        <x:f>SUM(M61:N61)</x:f>
        <x:v>0.63955</x:v>
      </x:c>
    </x:row>
    <x:row r="62" ht="23" customHeight="1">
      <x:c r="A62" s="17" t="str">
        <x:v>U00056</x:v>
      </x:c>
      <x:c r="B62" s="18" t="n">
        <x:v>46281</x:v>
      </x:c>
      <x:c r="C62" s="17" t="str">
        <x:v>W0007</x:v>
      </x:c>
      <x:c r="D62" s="17" t="str">
        <x:v>C001</x:v>
      </x:c>
      <x:c r="E62" s="17" t="str">
        <x:v>InsightDesk</x:v>
      </x:c>
      <x:c r="F62" s="17" t="str">
        <x:v>Lite</x:v>
      </x:c>
      <x:c r="G62" s="17" t="n">
        <x:v>29552</x:v>
      </x:c>
      <x:c r="H62" s="17" t="n">
        <x:v>4294</x:v>
      </x:c>
      <x:c r="I62" s="17" t="str">
        <x:v>Followup</x:v>
      </x:c>
      <x:c r="J62" s="27" t="n">
        <x:f>INDEX('Model Pricing'!$B$7:$B$8,MATCH(F62,'Model Pricing'!$A$7:$A$8,0))</x:f>
        <x:v>10</x:v>
      </x:c>
      <x:c r="K62" s="27" t="n">
        <x:f>INDEX('Model Pricing'!$C$7:$C$8,MATCH(F62,'Model Pricing'!$A$7:$A$8,0))</x:f>
        <x:v>30</x:v>
      </x:c>
      <x:c r="L62" s="17" t="n">
        <x:f>G62+H62</x:f>
        <x:v>33846</x:v>
      </x:c>
      <x:c r="M62" s="28" t="n">
        <x:f>G62*J62/1000000</x:f>
        <x:v>0.29552</x:v>
      </x:c>
      <x:c r="N62" s="28" t="n">
        <x:f>H62*K62/1000000</x:f>
        <x:v>0.12882</x:v>
      </x:c>
      <x:c r="O62" s="28" t="n">
        <x:f>SUM(M62:N62)</x:f>
        <x:v>0.42434</x:v>
      </x:c>
    </x:row>
    <x:row r="63" ht="23" customHeight="1">
      <x:c r="A63" s="17" t="str">
        <x:v>U00057</x:v>
      </x:c>
      <x:c r="B63" s="18" t="n">
        <x:v>46281</x:v>
      </x:c>
      <x:c r="C63" s="17" t="str">
        <x:v>W0007</x:v>
      </x:c>
      <x:c r="D63" s="17" t="str">
        <x:v>C001</x:v>
      </x:c>
      <x:c r="E63" s="17" t="str">
        <x:v>InsightDesk</x:v>
      </x:c>
      <x:c r="F63" s="17" t="str">
        <x:v>Lite</x:v>
      </x:c>
      <x:c r="G63" s="17" t="n">
        <x:v>44618</x:v>
      </x:c>
      <x:c r="H63" s="17" t="n">
        <x:v>10866</x:v>
      </x:c>
      <x:c r="I63" s="17" t="str">
        <x:v>Correction</x:v>
      </x:c>
      <x:c r="J63" s="27" t="n">
        <x:f>INDEX('Model Pricing'!$B$7:$B$8,MATCH(F63,'Model Pricing'!$A$7:$A$8,0))</x:f>
        <x:v>10</x:v>
      </x:c>
      <x:c r="K63" s="27" t="n">
        <x:f>INDEX('Model Pricing'!$C$7:$C$8,MATCH(F63,'Model Pricing'!$A$7:$A$8,0))</x:f>
        <x:v>30</x:v>
      </x:c>
      <x:c r="L63" s="17" t="n">
        <x:f>G63+H63</x:f>
        <x:v>55484</x:v>
      </x:c>
      <x:c r="M63" s="28" t="n">
        <x:f>G63*J63/1000000</x:f>
        <x:v>0.44618</x:v>
      </x:c>
      <x:c r="N63" s="28" t="n">
        <x:f>H63*K63/1000000</x:f>
        <x:v>0.32598</x:v>
      </x:c>
      <x:c r="O63" s="28" t="n">
        <x:f>SUM(M63:N63)</x:f>
        <x:v>0.77216</x:v>
      </x:c>
    </x:row>
    <x:row r="64" ht="23" customHeight="1">
      <x:c r="A64" s="17" t="str">
        <x:v>U00058</x:v>
      </x:c>
      <x:c r="B64" s="18" t="n">
        <x:v>46282</x:v>
      </x:c>
      <x:c r="C64" s="17" t="str">
        <x:v>W0007</x:v>
      </x:c>
      <x:c r="D64" s="17" t="str">
        <x:v>C001</x:v>
      </x:c>
      <x:c r="E64" s="17" t="str">
        <x:v>InsightDesk</x:v>
      </x:c>
      <x:c r="F64" s="17" t="str">
        <x:v>Lite</x:v>
      </x:c>
      <x:c r="G64" s="17" t="n">
        <x:v>54204</x:v>
      </x:c>
      <x:c r="H64" s="17" t="n">
        <x:v>13678</x:v>
      </x:c>
      <x:c r="I64" s="17" t="str">
        <x:v>Followup</x:v>
      </x:c>
      <x:c r="J64" s="27" t="n">
        <x:f>INDEX('Model Pricing'!$B$7:$B$8,MATCH(F64,'Model Pricing'!$A$7:$A$8,0))</x:f>
        <x:v>10</x:v>
      </x:c>
      <x:c r="K64" s="27" t="n">
        <x:f>INDEX('Model Pricing'!$C$7:$C$8,MATCH(F64,'Model Pricing'!$A$7:$A$8,0))</x:f>
        <x:v>30</x:v>
      </x:c>
      <x:c r="L64" s="17" t="n">
        <x:f>G64+H64</x:f>
        <x:v>67882</x:v>
      </x:c>
      <x:c r="M64" s="28" t="n">
        <x:f>G64*J64/1000000</x:f>
        <x:v>0.54204</x:v>
      </x:c>
      <x:c r="N64" s="28" t="n">
        <x:f>H64*K64/1000000</x:f>
        <x:v>0.41034</x:v>
      </x:c>
      <x:c r="O64" s="28" t="n">
        <x:f>SUM(M64:N64)</x:f>
        <x:v>0.95238</x:v>
      </x:c>
    </x:row>
    <x:row r="65" ht="23" customHeight="1">
      <x:c r="A65" s="17" t="str">
        <x:v>U00059</x:v>
      </x:c>
      <x:c r="B65" s="18" t="n">
        <x:v>46282</x:v>
      </x:c>
      <x:c r="C65" s="17" t="str">
        <x:v>W0007</x:v>
      </x:c>
      <x:c r="D65" s="17" t="str">
        <x:v>C001</x:v>
      </x:c>
      <x:c r="E65" s="17" t="str">
        <x:v>InsightDesk</x:v>
      </x:c>
      <x:c r="F65" s="17" t="str">
        <x:v>Lite</x:v>
      </x:c>
      <x:c r="G65" s="17" t="n">
        <x:v>49950</x:v>
      </x:c>
      <x:c r="H65" s="17" t="n">
        <x:v>5627</x:v>
      </x:c>
      <x:c r="I65" s="17" t="str">
        <x:v>Followup</x:v>
      </x:c>
      <x:c r="J65" s="27" t="n">
        <x:f>INDEX('Model Pricing'!$B$7:$B$8,MATCH(F65,'Model Pricing'!$A$7:$A$8,0))</x:f>
        <x:v>10</x:v>
      </x:c>
      <x:c r="K65" s="27" t="n">
        <x:f>INDEX('Model Pricing'!$C$7:$C$8,MATCH(F65,'Model Pricing'!$A$7:$A$8,0))</x:f>
        <x:v>30</x:v>
      </x:c>
      <x:c r="L65" s="17" t="n">
        <x:f>G65+H65</x:f>
        <x:v>55577</x:v>
      </x:c>
      <x:c r="M65" s="28" t="n">
        <x:f>G65*J65/1000000</x:f>
        <x:v>0.4995</x:v>
      </x:c>
      <x:c r="N65" s="28" t="n">
        <x:f>H65*K65/1000000</x:f>
        <x:v>0.16881</x:v>
      </x:c>
      <x:c r="O65" s="28" t="n">
        <x:f>SUM(M65:N65)</x:f>
        <x:v>0.66831</x:v>
      </x:c>
    </x:row>
    <x:row r="66" ht="23" customHeight="1">
      <x:c r="A66" s="17" t="str">
        <x:v>U00060</x:v>
      </x:c>
      <x:c r="B66" s="18" t="n">
        <x:v>46282</x:v>
      </x:c>
      <x:c r="C66" s="17" t="str">
        <x:v>W0007</x:v>
      </x:c>
      <x:c r="D66" s="17" t="str">
        <x:v>C001</x:v>
      </x:c>
      <x:c r="E66" s="17" t="str">
        <x:v>InsightDesk</x:v>
      </x:c>
      <x:c r="F66" s="17" t="str">
        <x:v>Lite</x:v>
      </x:c>
      <x:c r="G66" s="17" t="n">
        <x:v>49951</x:v>
      </x:c>
      <x:c r="H66" s="17" t="n">
        <x:v>10118</x:v>
      </x:c>
      <x:c r="I66" s="17" t="str">
        <x:v>Followup</x:v>
      </x:c>
      <x:c r="J66" s="27" t="n">
        <x:f>INDEX('Model Pricing'!$B$7:$B$8,MATCH(F66,'Model Pricing'!$A$7:$A$8,0))</x:f>
        <x:v>10</x:v>
      </x:c>
      <x:c r="K66" s="27" t="n">
        <x:f>INDEX('Model Pricing'!$C$7:$C$8,MATCH(F66,'Model Pricing'!$A$7:$A$8,0))</x:f>
        <x:v>30</x:v>
      </x:c>
      <x:c r="L66" s="17" t="n">
        <x:f>G66+H66</x:f>
        <x:v>60069</x:v>
      </x:c>
      <x:c r="M66" s="28" t="n">
        <x:f>G66*J66/1000000</x:f>
        <x:v>0.49951</x:v>
      </x:c>
      <x:c r="N66" s="28" t="n">
        <x:f>H66*K66/1000000</x:f>
        <x:v>0.30354</x:v>
      </x:c>
      <x:c r="O66" s="28" t="n">
        <x:f>SUM(M66:N66)</x:f>
        <x:v>0.80305</x:v>
      </x:c>
    </x:row>
    <x:row r="67" ht="23" customHeight="1">
      <x:c r="A67" s="17" t="str">
        <x:v>U00061</x:v>
      </x:c>
      <x:c r="B67" s="18" t="n">
        <x:v>46282</x:v>
      </x:c>
      <x:c r="C67" s="17" t="str">
        <x:v>W0007</x:v>
      </x:c>
      <x:c r="D67" s="17" t="str">
        <x:v>C001</x:v>
      </x:c>
      <x:c r="E67" s="17" t="str">
        <x:v>InsightDesk</x:v>
      </x:c>
      <x:c r="F67" s="17" t="str">
        <x:v>Lite</x:v>
      </x:c>
      <x:c r="G67" s="17" t="n">
        <x:v>45105</x:v>
      </x:c>
      <x:c r="H67" s="17" t="n">
        <x:v>9644</x:v>
      </x:c>
      <x:c r="I67" s="17" t="str">
        <x:v>Followup</x:v>
      </x:c>
      <x:c r="J67" s="27" t="n">
        <x:f>INDEX('Model Pricing'!$B$7:$B$8,MATCH(F67,'Model Pricing'!$A$7:$A$8,0))</x:f>
        <x:v>10</x:v>
      </x:c>
      <x:c r="K67" s="27" t="n">
        <x:f>INDEX('Model Pricing'!$C$7:$C$8,MATCH(F67,'Model Pricing'!$A$7:$A$8,0))</x:f>
        <x:v>30</x:v>
      </x:c>
      <x:c r="L67" s="17" t="n">
        <x:f>G67+H67</x:f>
        <x:v>54749</x:v>
      </x:c>
      <x:c r="M67" s="28" t="n">
        <x:f>G67*J67/1000000</x:f>
        <x:v>0.45105</x:v>
      </x:c>
      <x:c r="N67" s="28" t="n">
        <x:f>H67*K67/1000000</x:f>
        <x:v>0.28932</x:v>
      </x:c>
      <x:c r="O67" s="28" t="n">
        <x:f>SUM(M67:N67)</x:f>
        <x:v>0.74037</x:v>
      </x:c>
    </x:row>
    <x:row r="68" ht="23" customHeight="1">
      <x:c r="A68" s="17" t="str">
        <x:v>U00062</x:v>
      </x:c>
      <x:c r="B68" s="18" t="n">
        <x:v>46283</x:v>
      </x:c>
      <x:c r="C68" s="17" t="str">
        <x:v>W0007</x:v>
      </x:c>
      <x:c r="D68" s="17" t="str">
        <x:v>C001</x:v>
      </x:c>
      <x:c r="E68" s="17" t="str">
        <x:v>InsightDesk</x:v>
      </x:c>
      <x:c r="F68" s="17" t="str">
        <x:v>Lite</x:v>
      </x:c>
      <x:c r="G68" s="17" t="n">
        <x:v>26184</x:v>
      </x:c>
      <x:c r="H68" s="17" t="n">
        <x:v>8219</x:v>
      </x:c>
      <x:c r="I68" s="17" t="str">
        <x:v>Followup</x:v>
      </x:c>
      <x:c r="J68" s="27" t="n">
        <x:f>INDEX('Model Pricing'!$B$7:$B$8,MATCH(F68,'Model Pricing'!$A$7:$A$8,0))</x:f>
        <x:v>10</x:v>
      </x:c>
      <x:c r="K68" s="27" t="n">
        <x:f>INDEX('Model Pricing'!$C$7:$C$8,MATCH(F68,'Model Pricing'!$A$7:$A$8,0))</x:f>
        <x:v>30</x:v>
      </x:c>
      <x:c r="L68" s="17" t="n">
        <x:f>G68+H68</x:f>
        <x:v>34403</x:v>
      </x:c>
      <x:c r="M68" s="28" t="n">
        <x:f>G68*J68/1000000</x:f>
        <x:v>0.26184</x:v>
      </x:c>
      <x:c r="N68" s="28" t="n">
        <x:f>H68*K68/1000000</x:f>
        <x:v>0.24657</x:v>
      </x:c>
      <x:c r="O68" s="28" t="n">
        <x:f>SUM(M68:N68)</x:f>
        <x:v>0.50841</x:v>
      </x:c>
    </x:row>
    <x:row r="69" ht="23" customHeight="1">
      <x:c r="A69" s="17" t="str">
        <x:v>U00063</x:v>
      </x:c>
      <x:c r="B69" s="18" t="n">
        <x:v>46283</x:v>
      </x:c>
      <x:c r="C69" s="17" t="str">
        <x:v>W0007</x:v>
      </x:c>
      <x:c r="D69" s="17" t="str">
        <x:v>C001</x:v>
      </x:c>
      <x:c r="E69" s="17" t="str">
        <x:v>InsightDesk</x:v>
      </x:c>
      <x:c r="F69" s="17" t="str">
        <x:v>Lite</x:v>
      </x:c>
      <x:c r="G69" s="17" t="n">
        <x:v>56760</x:v>
      </x:c>
      <x:c r="H69" s="17" t="n">
        <x:v>15969</x:v>
      </x:c>
      <x:c r="I69" s="17" t="str">
        <x:v>Followup</x:v>
      </x:c>
      <x:c r="J69" s="27" t="n">
        <x:f>INDEX('Model Pricing'!$B$7:$B$8,MATCH(F69,'Model Pricing'!$A$7:$A$8,0))</x:f>
        <x:v>10</x:v>
      </x:c>
      <x:c r="K69" s="27" t="n">
        <x:f>INDEX('Model Pricing'!$C$7:$C$8,MATCH(F69,'Model Pricing'!$A$7:$A$8,0))</x:f>
        <x:v>30</x:v>
      </x:c>
      <x:c r="L69" s="17" t="n">
        <x:f>G69+H69</x:f>
        <x:v>72729</x:v>
      </x:c>
      <x:c r="M69" s="28" t="n">
        <x:f>G69*J69/1000000</x:f>
        <x:v>0.5676</x:v>
      </x:c>
      <x:c r="N69" s="28" t="n">
        <x:f>H69*K69/1000000</x:f>
        <x:v>0.47907</x:v>
      </x:c>
      <x:c r="O69" s="28" t="n">
        <x:f>SUM(M69:N69)</x:f>
        <x:v>1.04667</x:v>
      </x:c>
    </x:row>
    <x:row r="70" ht="23" customHeight="1">
      <x:c r="A70" s="17" t="str">
        <x:v>U00064</x:v>
      </x:c>
      <x:c r="B70" s="18" t="n">
        <x:v>46283</x:v>
      </x:c>
      <x:c r="C70" s="17" t="str">
        <x:v>W0007</x:v>
      </x:c>
      <x:c r="D70" s="17" t="str">
        <x:v>C001</x:v>
      </x:c>
      <x:c r="E70" s="17" t="str">
        <x:v>InsightDesk</x:v>
      </x:c>
      <x:c r="F70" s="17" t="str">
        <x:v>Lite</x:v>
      </x:c>
      <x:c r="G70" s="17" t="n">
        <x:v>44942</x:v>
      </x:c>
      <x:c r="H70" s="17" t="n">
        <x:v>13626</x:v>
      </x:c>
      <x:c r="I70" s="17" t="str">
        <x:v>Followup</x:v>
      </x:c>
      <x:c r="J70" s="27" t="n">
        <x:f>INDEX('Model Pricing'!$B$7:$B$8,MATCH(F70,'Model Pricing'!$A$7:$A$8,0))</x:f>
        <x:v>10</x:v>
      </x:c>
      <x:c r="K70" s="27" t="n">
        <x:f>INDEX('Model Pricing'!$C$7:$C$8,MATCH(F70,'Model Pricing'!$A$7:$A$8,0))</x:f>
        <x:v>30</x:v>
      </x:c>
      <x:c r="L70" s="17" t="n">
        <x:f>G70+H70</x:f>
        <x:v>58568</x:v>
      </x:c>
      <x:c r="M70" s="28" t="n">
        <x:f>G70*J70/1000000</x:f>
        <x:v>0.44942</x:v>
      </x:c>
      <x:c r="N70" s="28" t="n">
        <x:f>H70*K70/1000000</x:f>
        <x:v>0.40878</x:v>
      </x:c>
      <x:c r="O70" s="28" t="n">
        <x:f>SUM(M70:N70)</x:f>
        <x:v>0.8582</x:v>
      </x:c>
    </x:row>
    <x:row r="71" ht="23" customHeight="1">
      <x:c r="A71" s="17" t="str">
        <x:v>U00065</x:v>
      </x:c>
      <x:c r="B71" s="18" t="n">
        <x:v>46289</x:v>
      </x:c>
      <x:c r="C71" s="17" t="str">
        <x:v>W0008</x:v>
      </x:c>
      <x:c r="D71" s="17" t="str">
        <x:v>C001</x:v>
      </x:c>
      <x:c r="E71" s="17" t="str">
        <x:v>InsightDesk</x:v>
      </x:c>
      <x:c r="F71" s="17" t="str">
        <x:v>Lite</x:v>
      </x:c>
      <x:c r="G71" s="17" t="n">
        <x:v>25707</x:v>
      </x:c>
      <x:c r="H71" s="17" t="n">
        <x:v>12215</x:v>
      </x:c>
      <x:c r="I71" s="17" t="str">
        <x:v>First attempt</x:v>
      </x:c>
      <x:c r="J71" s="27" t="n">
        <x:f>INDEX('Model Pricing'!$B$7:$B$8,MATCH(F71,'Model Pricing'!$A$7:$A$8,0))</x:f>
        <x:v>10</x:v>
      </x:c>
      <x:c r="K71" s="27" t="n">
        <x:f>INDEX('Model Pricing'!$C$7:$C$8,MATCH(F71,'Model Pricing'!$A$7:$A$8,0))</x:f>
        <x:v>30</x:v>
      </x:c>
      <x:c r="L71" s="17" t="n">
        <x:f>G71+H71</x:f>
        <x:v>37922</x:v>
      </x:c>
      <x:c r="M71" s="28" t="n">
        <x:f>G71*J71/1000000</x:f>
        <x:v>0.25707</x:v>
      </x:c>
      <x:c r="N71" s="28" t="n">
        <x:f>H71*K71/1000000</x:f>
        <x:v>0.36645</x:v>
      </x:c>
      <x:c r="O71" s="28" t="n">
        <x:f>SUM(M71:N71)</x:f>
        <x:v>0.6235200000000001</x:v>
      </x:c>
    </x:row>
    <x:row r="72" ht="23" customHeight="1">
      <x:c r="A72" s="17" t="str">
        <x:v>U00066</x:v>
      </x:c>
      <x:c r="B72" s="18" t="n">
        <x:v>46289</x:v>
      </x:c>
      <x:c r="C72" s="17" t="str">
        <x:v>W0008</x:v>
      </x:c>
      <x:c r="D72" s="17" t="str">
        <x:v>C001</x:v>
      </x:c>
      <x:c r="E72" s="17" t="str">
        <x:v>InsightDesk</x:v>
      </x:c>
      <x:c r="F72" s="17" t="str">
        <x:v>Lite</x:v>
      </x:c>
      <x:c r="G72" s="17" t="n">
        <x:v>59321</x:v>
      </x:c>
      <x:c r="H72" s="17" t="n">
        <x:v>6583</x:v>
      </x:c>
      <x:c r="I72" s="17" t="str">
        <x:v>Followup</x:v>
      </x:c>
      <x:c r="J72" s="27" t="n">
        <x:f>INDEX('Model Pricing'!$B$7:$B$8,MATCH(F72,'Model Pricing'!$A$7:$A$8,0))</x:f>
        <x:v>10</x:v>
      </x:c>
      <x:c r="K72" s="27" t="n">
        <x:f>INDEX('Model Pricing'!$C$7:$C$8,MATCH(F72,'Model Pricing'!$A$7:$A$8,0))</x:f>
        <x:v>30</x:v>
      </x:c>
      <x:c r="L72" s="17" t="n">
        <x:f>G72+H72</x:f>
        <x:v>65904</x:v>
      </x:c>
      <x:c r="M72" s="28" t="n">
        <x:f>G72*J72/1000000</x:f>
        <x:v>0.59321</x:v>
      </x:c>
      <x:c r="N72" s="28" t="n">
        <x:f>H72*K72/1000000</x:f>
        <x:v>0.19749</x:v>
      </x:c>
      <x:c r="O72" s="28" t="n">
        <x:f>SUM(M72:N72)</x:f>
        <x:v>0.7907</x:v>
      </x:c>
    </x:row>
    <x:row r="73" ht="23" customHeight="1">
      <x:c r="A73" s="17" t="str">
        <x:v>U00067</x:v>
      </x:c>
      <x:c r="B73" s="18" t="n">
        <x:v>46289</x:v>
      </x:c>
      <x:c r="C73" s="17" t="str">
        <x:v>W0008</x:v>
      </x:c>
      <x:c r="D73" s="17" t="str">
        <x:v>C001</x:v>
      </x:c>
      <x:c r="E73" s="17" t="str">
        <x:v>InsightDesk</x:v>
      </x:c>
      <x:c r="F73" s="17" t="str">
        <x:v>Lite</x:v>
      </x:c>
      <x:c r="G73" s="17" t="n">
        <x:v>53135</x:v>
      </x:c>
      <x:c r="H73" s="17" t="n">
        <x:v>9017</x:v>
      </x:c>
      <x:c r="I73" s="17" t="str">
        <x:v>Followup</x:v>
      </x:c>
      <x:c r="J73" s="27" t="n">
        <x:f>INDEX('Model Pricing'!$B$7:$B$8,MATCH(F73,'Model Pricing'!$A$7:$A$8,0))</x:f>
        <x:v>10</x:v>
      </x:c>
      <x:c r="K73" s="27" t="n">
        <x:f>INDEX('Model Pricing'!$C$7:$C$8,MATCH(F73,'Model Pricing'!$A$7:$A$8,0))</x:f>
        <x:v>30</x:v>
      </x:c>
      <x:c r="L73" s="17" t="n">
        <x:f>G73+H73</x:f>
        <x:v>62152</x:v>
      </x:c>
      <x:c r="M73" s="28" t="n">
        <x:f>G73*J73/1000000</x:f>
        <x:v>0.53135</x:v>
      </x:c>
      <x:c r="N73" s="28" t="n">
        <x:f>H73*K73/1000000</x:f>
        <x:v>0.27051</x:v>
      </x:c>
      <x:c r="O73" s="28" t="n">
        <x:f>SUM(M73:N73)</x:f>
        <x:v>0.80186</x:v>
      </x:c>
    </x:row>
    <x:row r="74" ht="23" customHeight="1">
      <x:c r="A74" s="17" t="str">
        <x:v>U00068</x:v>
      </x:c>
      <x:c r="B74" s="18" t="n">
        <x:v>46290</x:v>
      </x:c>
      <x:c r="C74" s="17" t="str">
        <x:v>W0008</x:v>
      </x:c>
      <x:c r="D74" s="17" t="str">
        <x:v>C001</x:v>
      </x:c>
      <x:c r="E74" s="17" t="str">
        <x:v>InsightDesk</x:v>
      </x:c>
      <x:c r="F74" s="17" t="str">
        <x:v>Lite</x:v>
      </x:c>
      <x:c r="G74" s="17" t="n">
        <x:v>56189</x:v>
      </x:c>
      <x:c r="H74" s="17" t="n">
        <x:v>10317</x:v>
      </x:c>
      <x:c r="I74" s="17" t="str">
        <x:v>Correction</x:v>
      </x:c>
      <x:c r="J74" s="27" t="n">
        <x:f>INDEX('Model Pricing'!$B$7:$B$8,MATCH(F74,'Model Pricing'!$A$7:$A$8,0))</x:f>
        <x:v>10</x:v>
      </x:c>
      <x:c r="K74" s="27" t="n">
        <x:f>INDEX('Model Pricing'!$C$7:$C$8,MATCH(F74,'Model Pricing'!$A$7:$A$8,0))</x:f>
        <x:v>30</x:v>
      </x:c>
      <x:c r="L74" s="17" t="n">
        <x:f>G74+H74</x:f>
        <x:v>66506</x:v>
      </x:c>
      <x:c r="M74" s="28" t="n">
        <x:f>G74*J74/1000000</x:f>
        <x:v>0.56189</x:v>
      </x:c>
      <x:c r="N74" s="28" t="n">
        <x:f>H74*K74/1000000</x:f>
        <x:v>0.30951</x:v>
      </x:c>
      <x:c r="O74" s="28" t="n">
        <x:f>SUM(M74:N74)</x:f>
        <x:v>0.8714</x:v>
      </x:c>
    </x:row>
    <x:row r="75" ht="23" customHeight="1">
      <x:c r="A75" s="17" t="str">
        <x:v>U00069</x:v>
      </x:c>
      <x:c r="B75" s="18" t="n">
        <x:v>46290</x:v>
      </x:c>
      <x:c r="C75" s="17" t="str">
        <x:v>W0008</x:v>
      </x:c>
      <x:c r="D75" s="17" t="str">
        <x:v>C001</x:v>
      </x:c>
      <x:c r="E75" s="17" t="str">
        <x:v>InsightDesk</x:v>
      </x:c>
      <x:c r="F75" s="17" t="str">
        <x:v>Lite</x:v>
      </x:c>
      <x:c r="G75" s="17" t="n">
        <x:v>41636</x:v>
      </x:c>
      <x:c r="H75" s="17" t="n">
        <x:v>12195</x:v>
      </x:c>
      <x:c r="I75" s="17" t="str">
        <x:v>Followup</x:v>
      </x:c>
      <x:c r="J75" s="27" t="n">
        <x:f>INDEX('Model Pricing'!$B$7:$B$8,MATCH(F75,'Model Pricing'!$A$7:$A$8,0))</x:f>
        <x:v>10</x:v>
      </x:c>
      <x:c r="K75" s="27" t="n">
        <x:f>INDEX('Model Pricing'!$C$7:$C$8,MATCH(F75,'Model Pricing'!$A$7:$A$8,0))</x:f>
        <x:v>30</x:v>
      </x:c>
      <x:c r="L75" s="17" t="n">
        <x:f>G75+H75</x:f>
        <x:v>53831</x:v>
      </x:c>
      <x:c r="M75" s="28" t="n">
        <x:f>G75*J75/1000000</x:f>
        <x:v>0.41636</x:v>
      </x:c>
      <x:c r="N75" s="28" t="n">
        <x:f>H75*K75/1000000</x:f>
        <x:v>0.36585</x:v>
      </x:c>
      <x:c r="O75" s="28" t="n">
        <x:f>SUM(M75:N75)</x:f>
        <x:v>0.7822100000000001</x:v>
      </x:c>
    </x:row>
    <x:row r="76" ht="23" customHeight="1">
      <x:c r="A76" s="17" t="str">
        <x:v>U00070</x:v>
      </x:c>
      <x:c r="B76" s="18" t="n">
        <x:v>46293</x:v>
      </x:c>
      <x:c r="C76" s="17" t="str">
        <x:v>W0008</x:v>
      </x:c>
      <x:c r="D76" s="17" t="str">
        <x:v>C001</x:v>
      </x:c>
      <x:c r="E76" s="17" t="str">
        <x:v>InsightDesk</x:v>
      </x:c>
      <x:c r="F76" s="17" t="str">
        <x:v>Lite</x:v>
      </x:c>
      <x:c r="G76" s="17" t="n">
        <x:v>67636</x:v>
      </x:c>
      <x:c r="H76" s="17" t="n">
        <x:v>14078</x:v>
      </x:c>
      <x:c r="I76" s="17" t="str">
        <x:v>Followup</x:v>
      </x:c>
      <x:c r="J76" s="27" t="n">
        <x:f>INDEX('Model Pricing'!$B$7:$B$8,MATCH(F76,'Model Pricing'!$A$7:$A$8,0))</x:f>
        <x:v>10</x:v>
      </x:c>
      <x:c r="K76" s="27" t="n">
        <x:f>INDEX('Model Pricing'!$C$7:$C$8,MATCH(F76,'Model Pricing'!$A$7:$A$8,0))</x:f>
        <x:v>30</x:v>
      </x:c>
      <x:c r="L76" s="17" t="n">
        <x:f>G76+H76</x:f>
        <x:v>81714</x:v>
      </x:c>
      <x:c r="M76" s="28" t="n">
        <x:f>G76*J76/1000000</x:f>
        <x:v>0.67636</x:v>
      </x:c>
      <x:c r="N76" s="28" t="n">
        <x:f>H76*K76/1000000</x:f>
        <x:v>0.42234</x:v>
      </x:c>
      <x:c r="O76" s="28" t="n">
        <x:f>SUM(M76:N76)</x:f>
        <x:v>1.0987</x:v>
      </x:c>
    </x:row>
    <x:row r="77" ht="23" customHeight="1">
      <x:c r="A77" s="17" t="str">
        <x:v>U00071</x:v>
      </x:c>
      <x:c r="B77" s="18" t="n">
        <x:v>46293</x:v>
      </x:c>
      <x:c r="C77" s="17" t="str">
        <x:v>W0008</x:v>
      </x:c>
      <x:c r="D77" s="17" t="str">
        <x:v>C001</x:v>
      </x:c>
      <x:c r="E77" s="17" t="str">
        <x:v>InsightDesk</x:v>
      </x:c>
      <x:c r="F77" s="17" t="str">
        <x:v>Lite</x:v>
      </x:c>
      <x:c r="G77" s="17" t="n">
        <x:v>56370</x:v>
      </x:c>
      <x:c r="H77" s="17" t="n">
        <x:v>14902</x:v>
      </x:c>
      <x:c r="I77" s="17" t="str">
        <x:v>Followup</x:v>
      </x:c>
      <x:c r="J77" s="27" t="n">
        <x:f>INDEX('Model Pricing'!$B$7:$B$8,MATCH(F77,'Model Pricing'!$A$7:$A$8,0))</x:f>
        <x:v>10</x:v>
      </x:c>
      <x:c r="K77" s="27" t="n">
        <x:f>INDEX('Model Pricing'!$C$7:$C$8,MATCH(F77,'Model Pricing'!$A$7:$A$8,0))</x:f>
        <x:v>30</x:v>
      </x:c>
      <x:c r="L77" s="17" t="n">
        <x:f>G77+H77</x:f>
        <x:v>71272</x:v>
      </x:c>
      <x:c r="M77" s="28" t="n">
        <x:f>G77*J77/1000000</x:f>
        <x:v>0.5637</x:v>
      </x:c>
      <x:c r="N77" s="28" t="n">
        <x:f>H77*K77/1000000</x:f>
        <x:v>0.44706</x:v>
      </x:c>
      <x:c r="O77" s="28" t="n">
        <x:f>SUM(M77:N77)</x:f>
        <x:v>1.0107599999999999</x:v>
      </x:c>
    </x:row>
    <x:row r="78" ht="23" customHeight="1">
      <x:c r="A78" s="17" t="str">
        <x:v>U00072</x:v>
      </x:c>
      <x:c r="B78" s="18" t="n">
        <x:v>46294</x:v>
      </x:c>
      <x:c r="C78" s="17" t="str">
        <x:v>W0008</x:v>
      </x:c>
      <x:c r="D78" s="17" t="str">
        <x:v>C001</x:v>
      </x:c>
      <x:c r="E78" s="17" t="str">
        <x:v>InsightDesk</x:v>
      </x:c>
      <x:c r="F78" s="17" t="str">
        <x:v>Lite</x:v>
      </x:c>
      <x:c r="G78" s="17" t="n">
        <x:v>53399</x:v>
      </x:c>
      <x:c r="H78" s="17" t="n">
        <x:v>9279</x:v>
      </x:c>
      <x:c r="I78" s="17" t="str">
        <x:v>Followup</x:v>
      </x:c>
      <x:c r="J78" s="27" t="n">
        <x:f>INDEX('Model Pricing'!$B$7:$B$8,MATCH(F78,'Model Pricing'!$A$7:$A$8,0))</x:f>
        <x:v>10</x:v>
      </x:c>
      <x:c r="K78" s="27" t="n">
        <x:f>INDEX('Model Pricing'!$C$7:$C$8,MATCH(F78,'Model Pricing'!$A$7:$A$8,0))</x:f>
        <x:v>30</x:v>
      </x:c>
      <x:c r="L78" s="17" t="n">
        <x:f>G78+H78</x:f>
        <x:v>62678</x:v>
      </x:c>
      <x:c r="M78" s="28" t="n">
        <x:f>G78*J78/1000000</x:f>
        <x:v>0.53399</x:v>
      </x:c>
      <x:c r="N78" s="28" t="n">
        <x:f>H78*K78/1000000</x:f>
        <x:v>0.27837</x:v>
      </x:c>
      <x:c r="O78" s="28" t="n">
        <x:f>SUM(M78:N78)</x:f>
        <x:v>0.81236</x:v>
      </x:c>
    </x:row>
    <x:row r="79" ht="23" customHeight="1">
      <x:c r="A79" s="17" t="str">
        <x:v>U00073</x:v>
      </x:c>
      <x:c r="B79" s="18" t="n">
        <x:v>46294</x:v>
      </x:c>
      <x:c r="C79" s="17" t="str">
        <x:v>W0008</x:v>
      </x:c>
      <x:c r="D79" s="17" t="str">
        <x:v>C001</x:v>
      </x:c>
      <x:c r="E79" s="17" t="str">
        <x:v>InsightDesk</x:v>
      </x:c>
      <x:c r="F79" s="17" t="str">
        <x:v>Lite</x:v>
      </x:c>
      <x:c r="G79" s="17" t="n">
        <x:v>44991</x:v>
      </x:c>
      <x:c r="H79" s="17" t="n">
        <x:v>5028</x:v>
      </x:c>
      <x:c r="I79" s="17" t="str">
        <x:v>Followup</x:v>
      </x:c>
      <x:c r="J79" s="27" t="n">
        <x:f>INDEX('Model Pricing'!$B$7:$B$8,MATCH(F79,'Model Pricing'!$A$7:$A$8,0))</x:f>
        <x:v>10</x:v>
      </x:c>
      <x:c r="K79" s="27" t="n">
        <x:f>INDEX('Model Pricing'!$C$7:$C$8,MATCH(F79,'Model Pricing'!$A$7:$A$8,0))</x:f>
        <x:v>30</x:v>
      </x:c>
      <x:c r="L79" s="17" t="n">
        <x:f>G79+H79</x:f>
        <x:v>50019</x:v>
      </x:c>
      <x:c r="M79" s="28" t="n">
        <x:f>G79*J79/1000000</x:f>
        <x:v>0.44991</x:v>
      </x:c>
      <x:c r="N79" s="28" t="n">
        <x:f>H79*K79/1000000</x:f>
        <x:v>0.15084</x:v>
      </x:c>
      <x:c r="O79" s="28" t="n">
        <x:f>SUM(M79:N79)</x:f>
        <x:v>0.60075</x:v>
      </x:c>
    </x:row>
    <x:row r="80" ht="23" customHeight="1">
      <x:c r="A80" s="17" t="str">
        <x:v>U00074</x:v>
      </x:c>
      <x:c r="B80" s="18" t="n">
        <x:v>46274</x:v>
      </x:c>
      <x:c r="C80" s="17" t="str">
        <x:v>W0009</x:v>
      </x:c>
      <x:c r="D80" s="17" t="str">
        <x:v>C001</x:v>
      </x:c>
      <x:c r="E80" s="17" t="str">
        <x:v>CopyStudio</x:v>
      </x:c>
      <x:c r="F80" s="17" t="str">
        <x:v>Lite</x:v>
      </x:c>
      <x:c r="G80" s="17" t="n">
        <x:v>39659</x:v>
      </x:c>
      <x:c r="H80" s="17" t="n">
        <x:v>8388</x:v>
      </x:c>
      <x:c r="I80" s="17" t="str">
        <x:v>First attempt</x:v>
      </x:c>
      <x:c r="J80" s="27" t="n">
        <x:f>INDEX('Model Pricing'!$B$7:$B$8,MATCH(F80,'Model Pricing'!$A$7:$A$8,0))</x:f>
        <x:v>10</x:v>
      </x:c>
      <x:c r="K80" s="27" t="n">
        <x:f>INDEX('Model Pricing'!$C$7:$C$8,MATCH(F80,'Model Pricing'!$A$7:$A$8,0))</x:f>
        <x:v>30</x:v>
      </x:c>
      <x:c r="L80" s="17" t="n">
        <x:f>G80+H80</x:f>
        <x:v>48047</x:v>
      </x:c>
      <x:c r="M80" s="28" t="n">
        <x:f>G80*J80/1000000</x:f>
        <x:v>0.39659</x:v>
      </x:c>
      <x:c r="N80" s="28" t="n">
        <x:f>H80*K80/1000000</x:f>
        <x:v>0.25164</x:v>
      </x:c>
      <x:c r="O80" s="28" t="n">
        <x:f>SUM(M80:N80)</x:f>
        <x:v>0.64823</x:v>
      </x:c>
    </x:row>
    <x:row r="81" ht="23" customHeight="1">
      <x:c r="A81" s="17" t="str">
        <x:v>U00075</x:v>
      </x:c>
      <x:c r="B81" s="18" t="n">
        <x:v>46274</x:v>
      </x:c>
      <x:c r="C81" s="17" t="str">
        <x:v>W0009</x:v>
      </x:c>
      <x:c r="D81" s="17" t="str">
        <x:v>C001</x:v>
      </x:c>
      <x:c r="E81" s="17" t="str">
        <x:v>CopyStudio</x:v>
      </x:c>
      <x:c r="F81" s="17" t="str">
        <x:v>Lite</x:v>
      </x:c>
      <x:c r="G81" s="17" t="n">
        <x:v>37585</x:v>
      </x:c>
      <x:c r="H81" s="17" t="n">
        <x:v>5570</x:v>
      </x:c>
      <x:c r="I81" s="17" t="str">
        <x:v>Followup</x:v>
      </x:c>
      <x:c r="J81" s="27" t="n">
        <x:f>INDEX('Model Pricing'!$B$7:$B$8,MATCH(F81,'Model Pricing'!$A$7:$A$8,0))</x:f>
        <x:v>10</x:v>
      </x:c>
      <x:c r="K81" s="27" t="n">
        <x:f>INDEX('Model Pricing'!$C$7:$C$8,MATCH(F81,'Model Pricing'!$A$7:$A$8,0))</x:f>
        <x:v>30</x:v>
      </x:c>
      <x:c r="L81" s="17" t="n">
        <x:f>G81+H81</x:f>
        <x:v>43155</x:v>
      </x:c>
      <x:c r="M81" s="28" t="n">
        <x:f>G81*J81/1000000</x:f>
        <x:v>0.37585</x:v>
      </x:c>
      <x:c r="N81" s="28" t="n">
        <x:f>H81*K81/1000000</x:f>
        <x:v>0.1671</x:v>
      </x:c>
      <x:c r="O81" s="28" t="n">
        <x:f>SUM(M81:N81)</x:f>
        <x:v>0.54295</x:v>
      </x:c>
    </x:row>
    <x:row r="82" ht="23" customHeight="1">
      <x:c r="A82" s="17" t="str">
        <x:v>U00076</x:v>
      </x:c>
      <x:c r="B82" s="18" t="n">
        <x:v>46274</x:v>
      </x:c>
      <x:c r="C82" s="17" t="str">
        <x:v>W0009</x:v>
      </x:c>
      <x:c r="D82" s="17" t="str">
        <x:v>C001</x:v>
      </x:c>
      <x:c r="E82" s="17" t="str">
        <x:v>CopyStudio</x:v>
      </x:c>
      <x:c r="F82" s="17" t="str">
        <x:v>Lite</x:v>
      </x:c>
      <x:c r="G82" s="17" t="n">
        <x:v>57970</x:v>
      </x:c>
      <x:c r="H82" s="17" t="n">
        <x:v>12725</x:v>
      </x:c>
      <x:c r="I82" s="17" t="str">
        <x:v>Followup</x:v>
      </x:c>
      <x:c r="J82" s="27" t="n">
        <x:f>INDEX('Model Pricing'!$B$7:$B$8,MATCH(F82,'Model Pricing'!$A$7:$A$8,0))</x:f>
        <x:v>10</x:v>
      </x:c>
      <x:c r="K82" s="27" t="n">
        <x:f>INDEX('Model Pricing'!$C$7:$C$8,MATCH(F82,'Model Pricing'!$A$7:$A$8,0))</x:f>
        <x:v>30</x:v>
      </x:c>
      <x:c r="L82" s="17" t="n">
        <x:f>G82+H82</x:f>
        <x:v>70695</x:v>
      </x:c>
      <x:c r="M82" s="28" t="n">
        <x:f>G82*J82/1000000</x:f>
        <x:v>0.5797</x:v>
      </x:c>
      <x:c r="N82" s="28" t="n">
        <x:f>H82*K82/1000000</x:f>
        <x:v>0.38175</x:v>
      </x:c>
      <x:c r="O82" s="28" t="n">
        <x:f>SUM(M82:N82)</x:f>
        <x:v>0.9614499999999999</x:v>
      </x:c>
    </x:row>
    <x:row r="83" ht="23" customHeight="1">
      <x:c r="A83" s="17" t="str">
        <x:v>U00077</x:v>
      </x:c>
      <x:c r="B83" s="18" t="n">
        <x:v>46275</x:v>
      </x:c>
      <x:c r="C83" s="17" t="str">
        <x:v>W0009</x:v>
      </x:c>
      <x:c r="D83" s="17" t="str">
        <x:v>C001</x:v>
      </x:c>
      <x:c r="E83" s="17" t="str">
        <x:v>CopyStudio</x:v>
      </x:c>
      <x:c r="F83" s="17" t="str">
        <x:v>Lite</x:v>
      </x:c>
      <x:c r="G83" s="17" t="n">
        <x:v>37044</x:v>
      </x:c>
      <x:c r="H83" s="17" t="n">
        <x:v>11732</x:v>
      </x:c>
      <x:c r="I83" s="17" t="str">
        <x:v>Followup</x:v>
      </x:c>
      <x:c r="J83" s="27" t="n">
        <x:f>INDEX('Model Pricing'!$B$7:$B$8,MATCH(F83,'Model Pricing'!$A$7:$A$8,0))</x:f>
        <x:v>10</x:v>
      </x:c>
      <x:c r="K83" s="27" t="n">
        <x:f>INDEX('Model Pricing'!$C$7:$C$8,MATCH(F83,'Model Pricing'!$A$7:$A$8,0))</x:f>
        <x:v>30</x:v>
      </x:c>
      <x:c r="L83" s="17" t="n">
        <x:f>G83+H83</x:f>
        <x:v>48776</x:v>
      </x:c>
      <x:c r="M83" s="28" t="n">
        <x:f>G83*J83/1000000</x:f>
        <x:v>0.37044</x:v>
      </x:c>
      <x:c r="N83" s="28" t="n">
        <x:f>H83*K83/1000000</x:f>
        <x:v>0.35196</x:v>
      </x:c>
      <x:c r="O83" s="28" t="n">
        <x:f>SUM(M83:N83)</x:f>
        <x:v>0.7223999999999999</x:v>
      </x:c>
    </x:row>
    <x:row r="84" ht="23" customHeight="1">
      <x:c r="A84" s="17" t="str">
        <x:v>U00078</x:v>
      </x:c>
      <x:c r="B84" s="18" t="n">
        <x:v>46275</x:v>
      </x:c>
      <x:c r="C84" s="17" t="str">
        <x:v>W0009</x:v>
      </x:c>
      <x:c r="D84" s="17" t="str">
        <x:v>C001</x:v>
      </x:c>
      <x:c r="E84" s="17" t="str">
        <x:v>CopyStudio</x:v>
      </x:c>
      <x:c r="F84" s="17" t="str">
        <x:v>Lite</x:v>
      </x:c>
      <x:c r="G84" s="17" t="n">
        <x:v>27325</x:v>
      </x:c>
      <x:c r="H84" s="17" t="n">
        <x:v>7609</x:v>
      </x:c>
      <x:c r="I84" s="17" t="str">
        <x:v>Followup</x:v>
      </x:c>
      <x:c r="J84" s="27" t="n">
        <x:f>INDEX('Model Pricing'!$B$7:$B$8,MATCH(F84,'Model Pricing'!$A$7:$A$8,0))</x:f>
        <x:v>10</x:v>
      </x:c>
      <x:c r="K84" s="27" t="n">
        <x:f>INDEX('Model Pricing'!$C$7:$C$8,MATCH(F84,'Model Pricing'!$A$7:$A$8,0))</x:f>
        <x:v>30</x:v>
      </x:c>
      <x:c r="L84" s="17" t="n">
        <x:f>G84+H84</x:f>
        <x:v>34934</x:v>
      </x:c>
      <x:c r="M84" s="28" t="n">
        <x:f>G84*J84/1000000</x:f>
        <x:v>0.27325</x:v>
      </x:c>
      <x:c r="N84" s="28" t="n">
        <x:f>H84*K84/1000000</x:f>
        <x:v>0.22827</x:v>
      </x:c>
      <x:c r="O84" s="28" t="n">
        <x:f>SUM(M84:N84)</x:f>
        <x:v>0.50152</x:v>
      </x:c>
    </x:row>
    <x:row r="85" ht="23" customHeight="1">
      <x:c r="A85" s="17" t="str">
        <x:v>U00079</x:v>
      </x:c>
      <x:c r="B85" s="18" t="n">
        <x:v>46276</x:v>
      </x:c>
      <x:c r="C85" s="17" t="str">
        <x:v>W0009</x:v>
      </x:c>
      <x:c r="D85" s="17" t="str">
        <x:v>C001</x:v>
      </x:c>
      <x:c r="E85" s="17" t="str">
        <x:v>CopyStudio</x:v>
      </x:c>
      <x:c r="F85" s="17" t="str">
        <x:v>Lite</x:v>
      </x:c>
      <x:c r="G85" s="17" t="n">
        <x:v>60570</x:v>
      </x:c>
      <x:c r="H85" s="17" t="n">
        <x:v>8760</x:v>
      </x:c>
      <x:c r="I85" s="17" t="str">
        <x:v>Followup</x:v>
      </x:c>
      <x:c r="J85" s="27" t="n">
        <x:f>INDEX('Model Pricing'!$B$7:$B$8,MATCH(F85,'Model Pricing'!$A$7:$A$8,0))</x:f>
        <x:v>10</x:v>
      </x:c>
      <x:c r="K85" s="27" t="n">
        <x:f>INDEX('Model Pricing'!$C$7:$C$8,MATCH(F85,'Model Pricing'!$A$7:$A$8,0))</x:f>
        <x:v>30</x:v>
      </x:c>
      <x:c r="L85" s="17" t="n">
        <x:f>G85+H85</x:f>
        <x:v>69330</x:v>
      </x:c>
      <x:c r="M85" s="28" t="n">
        <x:f>G85*J85/1000000</x:f>
        <x:v>0.6057</x:v>
      </x:c>
      <x:c r="N85" s="28" t="n">
        <x:f>H85*K85/1000000</x:f>
        <x:v>0.2628</x:v>
      </x:c>
      <x:c r="O85" s="28" t="n">
        <x:f>SUM(M85:N85)</x:f>
        <x:v>0.8685</x:v>
      </x:c>
    </x:row>
    <x:row r="86" ht="23" customHeight="1">
      <x:c r="A86" s="17" t="str">
        <x:v>U00080</x:v>
      </x:c>
      <x:c r="B86" s="18" t="n">
        <x:v>46276</x:v>
      </x:c>
      <x:c r="C86" s="17" t="str">
        <x:v>W0009</x:v>
      </x:c>
      <x:c r="D86" s="17" t="str">
        <x:v>C001</x:v>
      </x:c>
      <x:c r="E86" s="17" t="str">
        <x:v>CopyStudio</x:v>
      </x:c>
      <x:c r="F86" s="17" t="str">
        <x:v>Lite</x:v>
      </x:c>
      <x:c r="G86" s="17" t="n">
        <x:v>67058</x:v>
      </x:c>
      <x:c r="H86" s="17" t="n">
        <x:v>11308</x:v>
      </x:c>
      <x:c r="I86" s="17" t="str">
        <x:v>Followup</x:v>
      </x:c>
      <x:c r="J86" s="27" t="n">
        <x:f>INDEX('Model Pricing'!$B$7:$B$8,MATCH(F86,'Model Pricing'!$A$7:$A$8,0))</x:f>
        <x:v>10</x:v>
      </x:c>
      <x:c r="K86" s="27" t="n">
        <x:f>INDEX('Model Pricing'!$C$7:$C$8,MATCH(F86,'Model Pricing'!$A$7:$A$8,0))</x:f>
        <x:v>30</x:v>
      </x:c>
      <x:c r="L86" s="17" t="n">
        <x:f>G86+H86</x:f>
        <x:v>78366</x:v>
      </x:c>
      <x:c r="M86" s="28" t="n">
        <x:f>G86*J86/1000000</x:f>
        <x:v>0.67058</x:v>
      </x:c>
      <x:c r="N86" s="28" t="n">
        <x:f>H86*K86/1000000</x:f>
        <x:v>0.33924</x:v>
      </x:c>
      <x:c r="O86" s="28" t="n">
        <x:f>SUM(M86:N86)</x:f>
        <x:v>1.00982</x:v>
      </x:c>
    </x:row>
    <x:row r="87" ht="23" customHeight="1">
      <x:c r="A87" s="17" t="str">
        <x:v>U00081</x:v>
      </x:c>
      <x:c r="B87" s="18" t="n">
        <x:v>46279</x:v>
      </x:c>
      <x:c r="C87" s="17" t="str">
        <x:v>W0009</x:v>
      </x:c>
      <x:c r="D87" s="17" t="str">
        <x:v>C001</x:v>
      </x:c>
      <x:c r="E87" s="17" t="str">
        <x:v>CopyStudio</x:v>
      </x:c>
      <x:c r="F87" s="17" t="str">
        <x:v>Lite</x:v>
      </x:c>
      <x:c r="G87" s="17" t="n">
        <x:v>35715</x:v>
      </x:c>
      <x:c r="H87" s="17" t="n">
        <x:v>10203</x:v>
      </x:c>
      <x:c r="I87" s="17" t="str">
        <x:v>Correction</x:v>
      </x:c>
      <x:c r="J87" s="27" t="n">
        <x:f>INDEX('Model Pricing'!$B$7:$B$8,MATCH(F87,'Model Pricing'!$A$7:$A$8,0))</x:f>
        <x:v>10</x:v>
      </x:c>
      <x:c r="K87" s="27" t="n">
        <x:f>INDEX('Model Pricing'!$C$7:$C$8,MATCH(F87,'Model Pricing'!$A$7:$A$8,0))</x:f>
        <x:v>30</x:v>
      </x:c>
      <x:c r="L87" s="17" t="n">
        <x:f>G87+H87</x:f>
        <x:v>45918</x:v>
      </x:c>
      <x:c r="M87" s="28" t="n">
        <x:f>G87*J87/1000000</x:f>
        <x:v>0.35715</x:v>
      </x:c>
      <x:c r="N87" s="28" t="n">
        <x:f>H87*K87/1000000</x:f>
        <x:v>0.30609</x:v>
      </x:c>
      <x:c r="O87" s="28" t="n">
        <x:f>SUM(M87:N87)</x:f>
        <x:v>0.66324</x:v>
      </x:c>
    </x:row>
    <x:row r="88" ht="23" customHeight="1">
      <x:c r="A88" s="17" t="str">
        <x:v>U00082</x:v>
      </x:c>
      <x:c r="B88" s="18" t="n">
        <x:v>46279</x:v>
      </x:c>
      <x:c r="C88" s="17" t="str">
        <x:v>W0009</x:v>
      </x:c>
      <x:c r="D88" s="17" t="str">
        <x:v>C001</x:v>
      </x:c>
      <x:c r="E88" s="17" t="str">
        <x:v>CopyStudio</x:v>
      </x:c>
      <x:c r="F88" s="17" t="str">
        <x:v>Lite</x:v>
      </x:c>
      <x:c r="G88" s="17" t="n">
        <x:v>72353</x:v>
      </x:c>
      <x:c r="H88" s="17" t="n">
        <x:v>9251</x:v>
      </x:c>
      <x:c r="I88" s="17" t="str">
        <x:v>Followup</x:v>
      </x:c>
      <x:c r="J88" s="27" t="n">
        <x:f>INDEX('Model Pricing'!$B$7:$B$8,MATCH(F88,'Model Pricing'!$A$7:$A$8,0))</x:f>
        <x:v>10</x:v>
      </x:c>
      <x:c r="K88" s="27" t="n">
        <x:f>INDEX('Model Pricing'!$C$7:$C$8,MATCH(F88,'Model Pricing'!$A$7:$A$8,0))</x:f>
        <x:v>30</x:v>
      </x:c>
      <x:c r="L88" s="17" t="n">
        <x:f>G88+H88</x:f>
        <x:v>81604</x:v>
      </x:c>
      <x:c r="M88" s="28" t="n">
        <x:f>G88*J88/1000000</x:f>
        <x:v>0.72353</x:v>
      </x:c>
      <x:c r="N88" s="28" t="n">
        <x:f>H88*K88/1000000</x:f>
        <x:v>0.27753</x:v>
      </x:c>
      <x:c r="O88" s="28" t="n">
        <x:f>SUM(M88:N88)</x:f>
        <x:v>1.00106</x:v>
      </x:c>
    </x:row>
    <x:row r="89" ht="23" customHeight="1">
      <x:c r="A89" s="17" t="str">
        <x:v>U00083</x:v>
      </x:c>
      <x:c r="B89" s="18" t="n">
        <x:v>46283</x:v>
      </x:c>
      <x:c r="C89" s="17" t="str">
        <x:v>W0010</x:v>
      </x:c>
      <x:c r="D89" s="17" t="str">
        <x:v>C001</x:v>
      </x:c>
      <x:c r="E89" s="17" t="str">
        <x:v>CopyStudio</x:v>
      </x:c>
      <x:c r="F89" s="17" t="str">
        <x:v>Lite</x:v>
      </x:c>
      <x:c r="G89" s="17" t="n">
        <x:v>53404</x:v>
      </x:c>
      <x:c r="H89" s="17" t="n">
        <x:v>3734</x:v>
      </x:c>
      <x:c r="I89" s="17" t="str">
        <x:v>First attempt</x:v>
      </x:c>
      <x:c r="J89" s="27" t="n">
        <x:f>INDEX('Model Pricing'!$B$7:$B$8,MATCH(F89,'Model Pricing'!$A$7:$A$8,0))</x:f>
        <x:v>10</x:v>
      </x:c>
      <x:c r="K89" s="27" t="n">
        <x:f>INDEX('Model Pricing'!$C$7:$C$8,MATCH(F89,'Model Pricing'!$A$7:$A$8,0))</x:f>
        <x:v>30</x:v>
      </x:c>
      <x:c r="L89" s="17" t="n">
        <x:f>G89+H89</x:f>
        <x:v>57138</x:v>
      </x:c>
      <x:c r="M89" s="28" t="n">
        <x:f>G89*J89/1000000</x:f>
        <x:v>0.53404</x:v>
      </x:c>
      <x:c r="N89" s="28" t="n">
        <x:f>H89*K89/1000000</x:f>
        <x:v>0.11202</x:v>
      </x:c>
      <x:c r="O89" s="28" t="n">
        <x:f>SUM(M89:N89)</x:f>
        <x:v>0.64606</x:v>
      </x:c>
    </x:row>
    <x:row r="90" ht="23" customHeight="1">
      <x:c r="A90" s="17" t="str">
        <x:v>U00084</x:v>
      </x:c>
      <x:c r="B90" s="18" t="n">
        <x:v>46283</x:v>
      </x:c>
      <x:c r="C90" s="17" t="str">
        <x:v>W0010</x:v>
      </x:c>
      <x:c r="D90" s="17" t="str">
        <x:v>C001</x:v>
      </x:c>
      <x:c r="E90" s="17" t="str">
        <x:v>CopyStudio</x:v>
      </x:c>
      <x:c r="F90" s="17" t="str">
        <x:v>Lite</x:v>
      </x:c>
      <x:c r="G90" s="17" t="n">
        <x:v>53873</x:v>
      </x:c>
      <x:c r="H90" s="17" t="n">
        <x:v>12052</x:v>
      </x:c>
      <x:c r="I90" s="17" t="str">
        <x:v>Followup</x:v>
      </x:c>
      <x:c r="J90" s="27" t="n">
        <x:f>INDEX('Model Pricing'!$B$7:$B$8,MATCH(F90,'Model Pricing'!$A$7:$A$8,0))</x:f>
        <x:v>10</x:v>
      </x:c>
      <x:c r="K90" s="27" t="n">
        <x:f>INDEX('Model Pricing'!$C$7:$C$8,MATCH(F90,'Model Pricing'!$A$7:$A$8,0))</x:f>
        <x:v>30</x:v>
      </x:c>
      <x:c r="L90" s="17" t="n">
        <x:f>G90+H90</x:f>
        <x:v>65925</x:v>
      </x:c>
      <x:c r="M90" s="28" t="n">
        <x:f>G90*J90/1000000</x:f>
        <x:v>0.53873</x:v>
      </x:c>
      <x:c r="N90" s="28" t="n">
        <x:f>H90*K90/1000000</x:f>
        <x:v>0.36156</x:v>
      </x:c>
      <x:c r="O90" s="28" t="n">
        <x:f>SUM(M90:N90)</x:f>
        <x:v>0.90029</x:v>
      </x:c>
    </x:row>
    <x:row r="91" ht="23" customHeight="1">
      <x:c r="A91" s="17" t="str">
        <x:v>U00085</x:v>
      </x:c>
      <x:c r="B91" s="18" t="n">
        <x:v>46283</x:v>
      </x:c>
      <x:c r="C91" s="17" t="str">
        <x:v>W0010</x:v>
      </x:c>
      <x:c r="D91" s="17" t="str">
        <x:v>C001</x:v>
      </x:c>
      <x:c r="E91" s="17" t="str">
        <x:v>CopyStudio</x:v>
      </x:c>
      <x:c r="F91" s="17" t="str">
        <x:v>Lite</x:v>
      </x:c>
      <x:c r="G91" s="17" t="n">
        <x:v>51568</x:v>
      </x:c>
      <x:c r="H91" s="17" t="n">
        <x:v>12259</x:v>
      </x:c>
      <x:c r="I91" s="17" t="str">
        <x:v>Followup</x:v>
      </x:c>
      <x:c r="J91" s="27" t="n">
        <x:f>INDEX('Model Pricing'!$B$7:$B$8,MATCH(F91,'Model Pricing'!$A$7:$A$8,0))</x:f>
        <x:v>10</x:v>
      </x:c>
      <x:c r="K91" s="27" t="n">
        <x:f>INDEX('Model Pricing'!$C$7:$C$8,MATCH(F91,'Model Pricing'!$A$7:$A$8,0))</x:f>
        <x:v>30</x:v>
      </x:c>
      <x:c r="L91" s="17" t="n">
        <x:f>G91+H91</x:f>
        <x:v>63827</x:v>
      </x:c>
      <x:c r="M91" s="28" t="n">
        <x:f>G91*J91/1000000</x:f>
        <x:v>0.51568</x:v>
      </x:c>
      <x:c r="N91" s="28" t="n">
        <x:f>H91*K91/1000000</x:f>
        <x:v>0.36777</x:v>
      </x:c>
      <x:c r="O91" s="28" t="n">
        <x:f>SUM(M91:N91)</x:f>
        <x:v>0.8834500000000001</x:v>
      </x:c>
    </x:row>
    <x:row r="92" ht="23" customHeight="1">
      <x:c r="A92" s="17" t="str">
        <x:v>U00086</x:v>
      </x:c>
      <x:c r="B92" s="18" t="n">
        <x:v>46286</x:v>
      </x:c>
      <x:c r="C92" s="17" t="str">
        <x:v>W0010</x:v>
      </x:c>
      <x:c r="D92" s="17" t="str">
        <x:v>C001</x:v>
      </x:c>
      <x:c r="E92" s="17" t="str">
        <x:v>CopyStudio</x:v>
      </x:c>
      <x:c r="F92" s="17" t="str">
        <x:v>Lite</x:v>
      </x:c>
      <x:c r="G92" s="17" t="n">
        <x:v>72901</x:v>
      </x:c>
      <x:c r="H92" s="17" t="n">
        <x:v>11219</x:v>
      </x:c>
      <x:c r="I92" s="17" t="str">
        <x:v>Followup</x:v>
      </x:c>
      <x:c r="J92" s="27" t="n">
        <x:f>INDEX('Model Pricing'!$B$7:$B$8,MATCH(F92,'Model Pricing'!$A$7:$A$8,0))</x:f>
        <x:v>10</x:v>
      </x:c>
      <x:c r="K92" s="27" t="n">
        <x:f>INDEX('Model Pricing'!$C$7:$C$8,MATCH(F92,'Model Pricing'!$A$7:$A$8,0))</x:f>
        <x:v>30</x:v>
      </x:c>
      <x:c r="L92" s="17" t="n">
        <x:f>G92+H92</x:f>
        <x:v>84120</x:v>
      </x:c>
      <x:c r="M92" s="28" t="n">
        <x:f>G92*J92/1000000</x:f>
        <x:v>0.72901</x:v>
      </x:c>
      <x:c r="N92" s="28" t="n">
        <x:f>H92*K92/1000000</x:f>
        <x:v>0.33657</x:v>
      </x:c>
      <x:c r="O92" s="28" t="n">
        <x:f>SUM(M92:N92)</x:f>
        <x:v>1.06558</x:v>
      </x:c>
    </x:row>
    <x:row r="93" ht="23" customHeight="1">
      <x:c r="A93" s="17" t="str">
        <x:v>U00087</x:v>
      </x:c>
      <x:c r="B93" s="18" t="n">
        <x:v>46286</x:v>
      </x:c>
      <x:c r="C93" s="17" t="str">
        <x:v>W0010</x:v>
      </x:c>
      <x:c r="D93" s="17" t="str">
        <x:v>C001</x:v>
      </x:c>
      <x:c r="E93" s="17" t="str">
        <x:v>CopyStudio</x:v>
      </x:c>
      <x:c r="F93" s="17" t="str">
        <x:v>Lite</x:v>
      </x:c>
      <x:c r="G93" s="17" t="n">
        <x:v>30866</x:v>
      </x:c>
      <x:c r="H93" s="17" t="n">
        <x:v>12821</x:v>
      </x:c>
      <x:c r="I93" s="17" t="str">
        <x:v>Correction</x:v>
      </x:c>
      <x:c r="J93" s="27" t="n">
        <x:f>INDEX('Model Pricing'!$B$7:$B$8,MATCH(F93,'Model Pricing'!$A$7:$A$8,0))</x:f>
        <x:v>10</x:v>
      </x:c>
      <x:c r="K93" s="27" t="n">
        <x:f>INDEX('Model Pricing'!$C$7:$C$8,MATCH(F93,'Model Pricing'!$A$7:$A$8,0))</x:f>
        <x:v>30</x:v>
      </x:c>
      <x:c r="L93" s="17" t="n">
        <x:f>G93+H93</x:f>
        <x:v>43687</x:v>
      </x:c>
      <x:c r="M93" s="28" t="n">
        <x:f>G93*J93/1000000</x:f>
        <x:v>0.30866</x:v>
      </x:c>
      <x:c r="N93" s="28" t="n">
        <x:f>H93*K93/1000000</x:f>
        <x:v>0.38463</x:v>
      </x:c>
      <x:c r="O93" s="28" t="n">
        <x:f>SUM(M93:N93)</x:f>
        <x:v>0.69329</x:v>
      </x:c>
    </x:row>
    <x:row r="94" ht="23" customHeight="1">
      <x:c r="A94" s="17" t="str">
        <x:v>U00088</x:v>
      </x:c>
      <x:c r="B94" s="18" t="n">
        <x:v>46287</x:v>
      </x:c>
      <x:c r="C94" s="17" t="str">
        <x:v>W0010</x:v>
      </x:c>
      <x:c r="D94" s="17" t="str">
        <x:v>C001</x:v>
      </x:c>
      <x:c r="E94" s="17" t="str">
        <x:v>CopyStudio</x:v>
      </x:c>
      <x:c r="F94" s="17" t="str">
        <x:v>Lite</x:v>
      </x:c>
      <x:c r="G94" s="17" t="n">
        <x:v>59103</x:v>
      </x:c>
      <x:c r="H94" s="17" t="n">
        <x:v>13149</x:v>
      </x:c>
      <x:c r="I94" s="17" t="str">
        <x:v>Followup</x:v>
      </x:c>
      <x:c r="J94" s="27" t="n">
        <x:f>INDEX('Model Pricing'!$B$7:$B$8,MATCH(F94,'Model Pricing'!$A$7:$A$8,0))</x:f>
        <x:v>10</x:v>
      </x:c>
      <x:c r="K94" s="27" t="n">
        <x:f>INDEX('Model Pricing'!$C$7:$C$8,MATCH(F94,'Model Pricing'!$A$7:$A$8,0))</x:f>
        <x:v>30</x:v>
      </x:c>
      <x:c r="L94" s="17" t="n">
        <x:f>G94+H94</x:f>
        <x:v>72252</x:v>
      </x:c>
      <x:c r="M94" s="28" t="n">
        <x:f>G94*J94/1000000</x:f>
        <x:v>0.59103</x:v>
      </x:c>
      <x:c r="N94" s="28" t="n">
        <x:f>H94*K94/1000000</x:f>
        <x:v>0.39447</x:v>
      </x:c>
      <x:c r="O94" s="28" t="n">
        <x:f>SUM(M94:N94)</x:f>
        <x:v>0.9855</x:v>
      </x:c>
    </x:row>
    <x:row r="95" ht="23" customHeight="1">
      <x:c r="A95" s="17" t="str">
        <x:v>U00089</x:v>
      </x:c>
      <x:c r="B95" s="18" t="n">
        <x:v>46287</x:v>
      </x:c>
      <x:c r="C95" s="17" t="str">
        <x:v>W0010</x:v>
      </x:c>
      <x:c r="D95" s="17" t="str">
        <x:v>C001</x:v>
      </x:c>
      <x:c r="E95" s="17" t="str">
        <x:v>CopyStudio</x:v>
      </x:c>
      <x:c r="F95" s="17" t="str">
        <x:v>Lite</x:v>
      </x:c>
      <x:c r="G95" s="17" t="n">
        <x:v>25562</x:v>
      </x:c>
      <x:c r="H95" s="17" t="n">
        <x:v>10041</x:v>
      </x:c>
      <x:c r="I95" s="17" t="str">
        <x:v>Followup</x:v>
      </x:c>
      <x:c r="J95" s="27" t="n">
        <x:f>INDEX('Model Pricing'!$B$7:$B$8,MATCH(F95,'Model Pricing'!$A$7:$A$8,0))</x:f>
        <x:v>10</x:v>
      </x:c>
      <x:c r="K95" s="27" t="n">
        <x:f>INDEX('Model Pricing'!$C$7:$C$8,MATCH(F95,'Model Pricing'!$A$7:$A$8,0))</x:f>
        <x:v>30</x:v>
      </x:c>
      <x:c r="L95" s="17" t="n">
        <x:f>G95+H95</x:f>
        <x:v>35603</x:v>
      </x:c>
      <x:c r="M95" s="28" t="n">
        <x:f>G95*J95/1000000</x:f>
        <x:v>0.25562</x:v>
      </x:c>
      <x:c r="N95" s="28" t="n">
        <x:f>H95*K95/1000000</x:f>
        <x:v>0.30123</x:v>
      </x:c>
      <x:c r="O95" s="28" t="n">
        <x:f>SUM(M95:N95)</x:f>
        <x:v>0.5568500000000001</x:v>
      </x:c>
    </x:row>
    <x:row r="96" ht="23" customHeight="1">
      <x:c r="A96" s="17" t="str">
        <x:v>U00090</x:v>
      </x:c>
      <x:c r="B96" s="18" t="n">
        <x:v>46288</x:v>
      </x:c>
      <x:c r="C96" s="17" t="str">
        <x:v>W0010</x:v>
      </x:c>
      <x:c r="D96" s="17" t="str">
        <x:v>C001</x:v>
      </x:c>
      <x:c r="E96" s="17" t="str">
        <x:v>CopyStudio</x:v>
      </x:c>
      <x:c r="F96" s="17" t="str">
        <x:v>Lite</x:v>
      </x:c>
      <x:c r="G96" s="17" t="n">
        <x:v>74275</x:v>
      </x:c>
      <x:c r="H96" s="17" t="n">
        <x:v>4787</x:v>
      </x:c>
      <x:c r="I96" s="17" t="str">
        <x:v>Followup</x:v>
      </x:c>
      <x:c r="J96" s="27" t="n">
        <x:f>INDEX('Model Pricing'!$B$7:$B$8,MATCH(F96,'Model Pricing'!$A$7:$A$8,0))</x:f>
        <x:v>10</x:v>
      </x:c>
      <x:c r="K96" s="27" t="n">
        <x:f>INDEX('Model Pricing'!$C$7:$C$8,MATCH(F96,'Model Pricing'!$A$7:$A$8,0))</x:f>
        <x:v>30</x:v>
      </x:c>
      <x:c r="L96" s="17" t="n">
        <x:f>G96+H96</x:f>
        <x:v>79062</x:v>
      </x:c>
      <x:c r="M96" s="28" t="n">
        <x:f>G96*J96/1000000</x:f>
        <x:v>0.74275</x:v>
      </x:c>
      <x:c r="N96" s="28" t="n">
        <x:f>H96*K96/1000000</x:f>
        <x:v>0.14361</x:v>
      </x:c>
      <x:c r="O96" s="28" t="n">
        <x:f>SUM(M96:N96)</x:f>
        <x:v>0.88636</x:v>
      </x:c>
    </x:row>
    <x:row r="97" ht="23" customHeight="1">
      <x:c r="A97" s="17" t="str">
        <x:v>U00091</x:v>
      </x:c>
      <x:c r="B97" s="18" t="n">
        <x:v>46288</x:v>
      </x:c>
      <x:c r="C97" s="17" t="str">
        <x:v>W0010</x:v>
      </x:c>
      <x:c r="D97" s="17" t="str">
        <x:v>C001</x:v>
      </x:c>
      <x:c r="E97" s="17" t="str">
        <x:v>CopyStudio</x:v>
      </x:c>
      <x:c r="F97" s="17" t="str">
        <x:v>Lite</x:v>
      </x:c>
      <x:c r="G97" s="17" t="n">
        <x:v>62287</x:v>
      </x:c>
      <x:c r="H97" s="17" t="n">
        <x:v>11971</x:v>
      </x:c>
      <x:c r="I97" s="17" t="str">
        <x:v>Followup</x:v>
      </x:c>
      <x:c r="J97" s="27" t="n">
        <x:f>INDEX('Model Pricing'!$B$7:$B$8,MATCH(F97,'Model Pricing'!$A$7:$A$8,0))</x:f>
        <x:v>10</x:v>
      </x:c>
      <x:c r="K97" s="27" t="n">
        <x:f>INDEX('Model Pricing'!$C$7:$C$8,MATCH(F97,'Model Pricing'!$A$7:$A$8,0))</x:f>
        <x:v>30</x:v>
      </x:c>
      <x:c r="L97" s="17" t="n">
        <x:f>G97+H97</x:f>
        <x:v>74258</x:v>
      </x:c>
      <x:c r="M97" s="28" t="n">
        <x:f>G97*J97/1000000</x:f>
        <x:v>0.62287</x:v>
      </x:c>
      <x:c r="N97" s="28" t="n">
        <x:f>H97*K97/1000000</x:f>
        <x:v>0.35913</x:v>
      </x:c>
      <x:c r="O97" s="28" t="n">
        <x:f>SUM(M97:N97)</x:f>
        <x:v>0.982</x:v>
      </x:c>
    </x:row>
    <x:row r="98" ht="23" customHeight="1">
      <x:c r="A98" s="17" t="str">
        <x:v>U00092</x:v>
      </x:c>
      <x:c r="B98" s="18" t="n">
        <x:v>46267</x:v>
      </x:c>
      <x:c r="C98" s="17" t="str">
        <x:v>W0011</x:v>
      </x:c>
      <x:c r="D98" s="17" t="str">
        <x:v>C001</x:v>
      </x:c>
      <x:c r="E98" s="17" t="str">
        <x:v>CampaignChat</x:v>
      </x:c>
      <x:c r="F98" s="17" t="str">
        <x:v>Lite</x:v>
      </x:c>
      <x:c r="G98" s="17" t="n">
        <x:v>25318</x:v>
      </x:c>
      <x:c r="H98" s="17" t="n">
        <x:v>4837</x:v>
      </x:c>
      <x:c r="I98" s="17" t="str">
        <x:v>First attempt</x:v>
      </x:c>
      <x:c r="J98" s="27" t="n">
        <x:f>INDEX('Model Pricing'!$B$7:$B$8,MATCH(F98,'Model Pricing'!$A$7:$A$8,0))</x:f>
        <x:v>10</x:v>
      </x:c>
      <x:c r="K98" s="27" t="n">
        <x:f>INDEX('Model Pricing'!$C$7:$C$8,MATCH(F98,'Model Pricing'!$A$7:$A$8,0))</x:f>
        <x:v>30</x:v>
      </x:c>
      <x:c r="L98" s="17" t="n">
        <x:f>G98+H98</x:f>
        <x:v>30155</x:v>
      </x:c>
      <x:c r="M98" s="28" t="n">
        <x:f>G98*J98/1000000</x:f>
        <x:v>0.25318</x:v>
      </x:c>
      <x:c r="N98" s="28" t="n">
        <x:f>H98*K98/1000000</x:f>
        <x:v>0.14511</x:v>
      </x:c>
      <x:c r="O98" s="28" t="n">
        <x:f>SUM(M98:N98)</x:f>
        <x:v>0.39829000000000003</x:v>
      </x:c>
    </x:row>
    <x:row r="99" ht="23" customHeight="1">
      <x:c r="A99" s="17" t="str">
        <x:v>U00093</x:v>
      </x:c>
      <x:c r="B99" s="18" t="n">
        <x:v>46267</x:v>
      </x:c>
      <x:c r="C99" s="17" t="str">
        <x:v>W0011</x:v>
      </x:c>
      <x:c r="D99" s="17" t="str">
        <x:v>C001</x:v>
      </x:c>
      <x:c r="E99" s="17" t="str">
        <x:v>CampaignChat</x:v>
      </x:c>
      <x:c r="F99" s="17" t="str">
        <x:v>Lite</x:v>
      </x:c>
      <x:c r="G99" s="17" t="n">
        <x:v>37106</x:v>
      </x:c>
      <x:c r="H99" s="17" t="n">
        <x:v>12362</x:v>
      </x:c>
      <x:c r="I99" s="17" t="str">
        <x:v>Followup</x:v>
      </x:c>
      <x:c r="J99" s="27" t="n">
        <x:f>INDEX('Model Pricing'!$B$7:$B$8,MATCH(F99,'Model Pricing'!$A$7:$A$8,0))</x:f>
        <x:v>10</x:v>
      </x:c>
      <x:c r="K99" s="27" t="n">
        <x:f>INDEX('Model Pricing'!$C$7:$C$8,MATCH(F99,'Model Pricing'!$A$7:$A$8,0))</x:f>
        <x:v>30</x:v>
      </x:c>
      <x:c r="L99" s="17" t="n">
        <x:f>G99+H99</x:f>
        <x:v>49468</x:v>
      </x:c>
      <x:c r="M99" s="28" t="n">
        <x:f>G99*J99/1000000</x:f>
        <x:v>0.37106</x:v>
      </x:c>
      <x:c r="N99" s="28" t="n">
        <x:f>H99*K99/1000000</x:f>
        <x:v>0.37086</x:v>
      </x:c>
      <x:c r="O99" s="28" t="n">
        <x:f>SUM(M99:N99)</x:f>
        <x:v>0.74192</x:v>
      </x:c>
    </x:row>
    <x:row r="100" ht="23" customHeight="1">
      <x:c r="A100" s="17" t="str">
        <x:v>U00094</x:v>
      </x:c>
      <x:c r="B100" s="18" t="n">
        <x:v>46267</x:v>
      </x:c>
      <x:c r="C100" s="17" t="str">
        <x:v>W0011</x:v>
      </x:c>
      <x:c r="D100" s="17" t="str">
        <x:v>C001</x:v>
      </x:c>
      <x:c r="E100" s="17" t="str">
        <x:v>CampaignChat</x:v>
      </x:c>
      <x:c r="F100" s="17" t="str">
        <x:v>Lite</x:v>
      </x:c>
      <x:c r="G100" s="17" t="n">
        <x:v>23286</x:v>
      </x:c>
      <x:c r="H100" s="17" t="n">
        <x:v>10284</x:v>
      </x:c>
      <x:c r="I100" s="17" t="str">
        <x:v>Followup</x:v>
      </x:c>
      <x:c r="J100" s="27" t="n">
        <x:f>INDEX('Model Pricing'!$B$7:$B$8,MATCH(F100,'Model Pricing'!$A$7:$A$8,0))</x:f>
        <x:v>10</x:v>
      </x:c>
      <x:c r="K100" s="27" t="n">
        <x:f>INDEX('Model Pricing'!$C$7:$C$8,MATCH(F100,'Model Pricing'!$A$7:$A$8,0))</x:f>
        <x:v>30</x:v>
      </x:c>
      <x:c r="L100" s="17" t="n">
        <x:f>G100+H100</x:f>
        <x:v>33570</x:v>
      </x:c>
      <x:c r="M100" s="28" t="n">
        <x:f>G100*J100/1000000</x:f>
        <x:v>0.23286</x:v>
      </x:c>
      <x:c r="N100" s="28" t="n">
        <x:f>H100*K100/1000000</x:f>
        <x:v>0.30852</x:v>
      </x:c>
      <x:c r="O100" s="28" t="n">
        <x:f>SUM(M100:N100)</x:f>
        <x:v>0.54138</x:v>
      </x:c>
    </x:row>
    <x:row r="101" ht="23" customHeight="1">
      <x:c r="A101" s="17" t="str">
        <x:v>U00095</x:v>
      </x:c>
      <x:c r="B101" s="18" t="n">
        <x:v>46268</x:v>
      </x:c>
      <x:c r="C101" s="17" t="str">
        <x:v>W0011</x:v>
      </x:c>
      <x:c r="D101" s="17" t="str">
        <x:v>C001</x:v>
      </x:c>
      <x:c r="E101" s="17" t="str">
        <x:v>CampaignChat</x:v>
      </x:c>
      <x:c r="F101" s="17" t="str">
        <x:v>Lite</x:v>
      </x:c>
      <x:c r="G101" s="17" t="n">
        <x:v>38688</x:v>
      </x:c>
      <x:c r="H101" s="17" t="n">
        <x:v>5805</x:v>
      </x:c>
      <x:c r="I101" s="17" t="str">
        <x:v>Followup</x:v>
      </x:c>
      <x:c r="J101" s="27" t="n">
        <x:f>INDEX('Model Pricing'!$B$7:$B$8,MATCH(F101,'Model Pricing'!$A$7:$A$8,0))</x:f>
        <x:v>10</x:v>
      </x:c>
      <x:c r="K101" s="27" t="n">
        <x:f>INDEX('Model Pricing'!$C$7:$C$8,MATCH(F101,'Model Pricing'!$A$7:$A$8,0))</x:f>
        <x:v>30</x:v>
      </x:c>
      <x:c r="L101" s="17" t="n">
        <x:f>G101+H101</x:f>
        <x:v>44493</x:v>
      </x:c>
      <x:c r="M101" s="28" t="n">
        <x:f>G101*J101/1000000</x:f>
        <x:v>0.38688</x:v>
      </x:c>
      <x:c r="N101" s="28" t="n">
        <x:f>H101*K101/1000000</x:f>
        <x:v>0.17415</x:v>
      </x:c>
      <x:c r="O101" s="28" t="n">
        <x:f>SUM(M101:N101)</x:f>
        <x:v>0.56103</x:v>
      </x:c>
    </x:row>
    <x:row r="102" ht="23" customHeight="1">
      <x:c r="A102" s="17" t="str">
        <x:v>U00096</x:v>
      </x:c>
      <x:c r="B102" s="18" t="n">
        <x:v>46268</x:v>
      </x:c>
      <x:c r="C102" s="17" t="str">
        <x:v>W0011</x:v>
      </x:c>
      <x:c r="D102" s="17" t="str">
        <x:v>C001</x:v>
      </x:c>
      <x:c r="E102" s="17" t="str">
        <x:v>CampaignChat</x:v>
      </x:c>
      <x:c r="F102" s="17" t="str">
        <x:v>Lite</x:v>
      </x:c>
      <x:c r="G102" s="17" t="n">
        <x:v>46316</x:v>
      </x:c>
      <x:c r="H102" s="17" t="n">
        <x:v>5850</x:v>
      </x:c>
      <x:c r="I102" s="17" t="str">
        <x:v>Followup</x:v>
      </x:c>
      <x:c r="J102" s="27" t="n">
        <x:f>INDEX('Model Pricing'!$B$7:$B$8,MATCH(F102,'Model Pricing'!$A$7:$A$8,0))</x:f>
        <x:v>10</x:v>
      </x:c>
      <x:c r="K102" s="27" t="n">
        <x:f>INDEX('Model Pricing'!$C$7:$C$8,MATCH(F102,'Model Pricing'!$A$7:$A$8,0))</x:f>
        <x:v>30</x:v>
      </x:c>
      <x:c r="L102" s="17" t="n">
        <x:f>G102+H102</x:f>
        <x:v>52166</x:v>
      </x:c>
      <x:c r="M102" s="28" t="n">
        <x:f>G102*J102/1000000</x:f>
        <x:v>0.46316</x:v>
      </x:c>
      <x:c r="N102" s="28" t="n">
        <x:f>H102*K102/1000000</x:f>
        <x:v>0.1755</x:v>
      </x:c>
      <x:c r="O102" s="28" t="n">
        <x:f>SUM(M102:N102)</x:f>
        <x:v>0.63866</x:v>
      </x:c>
    </x:row>
    <x:row r="103" ht="23" customHeight="1">
      <x:c r="A103" s="17" t="str">
        <x:v>U00097</x:v>
      </x:c>
      <x:c r="B103" s="18" t="n">
        <x:v>46269</x:v>
      </x:c>
      <x:c r="C103" s="17" t="str">
        <x:v>W0011</x:v>
      </x:c>
      <x:c r="D103" s="17" t="str">
        <x:v>C001</x:v>
      </x:c>
      <x:c r="E103" s="17" t="str">
        <x:v>CampaignChat</x:v>
      </x:c>
      <x:c r="F103" s="17" t="str">
        <x:v>Lite</x:v>
      </x:c>
      <x:c r="G103" s="17" t="n">
        <x:v>20176</x:v>
      </x:c>
      <x:c r="H103" s="17" t="n">
        <x:v>10320</x:v>
      </x:c>
      <x:c r="I103" s="17" t="str">
        <x:v>Followup</x:v>
      </x:c>
      <x:c r="J103" s="27" t="n">
        <x:f>INDEX('Model Pricing'!$B$7:$B$8,MATCH(F103,'Model Pricing'!$A$7:$A$8,0))</x:f>
        <x:v>10</x:v>
      </x:c>
      <x:c r="K103" s="27" t="n">
        <x:f>INDEX('Model Pricing'!$C$7:$C$8,MATCH(F103,'Model Pricing'!$A$7:$A$8,0))</x:f>
        <x:v>30</x:v>
      </x:c>
      <x:c r="L103" s="17" t="n">
        <x:f>G103+H103</x:f>
        <x:v>30496</x:v>
      </x:c>
      <x:c r="M103" s="28" t="n">
        <x:f>G103*J103/1000000</x:f>
        <x:v>0.20176</x:v>
      </x:c>
      <x:c r="N103" s="28" t="n">
        <x:f>H103*K103/1000000</x:f>
        <x:v>0.3096</x:v>
      </x:c>
      <x:c r="O103" s="28" t="n">
        <x:f>SUM(M103:N103)</x:f>
        <x:v>0.51136</x:v>
      </x:c>
    </x:row>
    <x:row r="104" ht="23" customHeight="1">
      <x:c r="A104" s="17" t="str">
        <x:v>U00098</x:v>
      </x:c>
      <x:c r="B104" s="18" t="n">
        <x:v>46269</x:v>
      </x:c>
      <x:c r="C104" s="17" t="str">
        <x:v>W0011</x:v>
      </x:c>
      <x:c r="D104" s="17" t="str">
        <x:v>C001</x:v>
      </x:c>
      <x:c r="E104" s="17" t="str">
        <x:v>CampaignChat</x:v>
      </x:c>
      <x:c r="F104" s="17" t="str">
        <x:v>Lite</x:v>
      </x:c>
      <x:c r="G104" s="17" t="n">
        <x:v>21124</x:v>
      </x:c>
      <x:c r="H104" s="17" t="n">
        <x:v>8131</x:v>
      </x:c>
      <x:c r="I104" s="17" t="str">
        <x:v>Followup</x:v>
      </x:c>
      <x:c r="J104" s="27" t="n">
        <x:f>INDEX('Model Pricing'!$B$7:$B$8,MATCH(F104,'Model Pricing'!$A$7:$A$8,0))</x:f>
        <x:v>10</x:v>
      </x:c>
      <x:c r="K104" s="27" t="n">
        <x:f>INDEX('Model Pricing'!$C$7:$C$8,MATCH(F104,'Model Pricing'!$A$7:$A$8,0))</x:f>
        <x:v>30</x:v>
      </x:c>
      <x:c r="L104" s="17" t="n">
        <x:f>G104+H104</x:f>
        <x:v>29255</x:v>
      </x:c>
      <x:c r="M104" s="28" t="n">
        <x:f>G104*J104/1000000</x:f>
        <x:v>0.21124</x:v>
      </x:c>
      <x:c r="N104" s="28" t="n">
        <x:f>H104*K104/1000000</x:f>
        <x:v>0.24393</x:v>
      </x:c>
      <x:c r="O104" s="28" t="n">
        <x:f>SUM(M104:N104)</x:f>
        <x:v>0.45517</x:v>
      </x:c>
    </x:row>
    <x:row r="105" ht="23" customHeight="1">
      <x:c r="A105" s="17" t="str">
        <x:v>U00099</x:v>
      </x:c>
      <x:c r="B105" s="18" t="n">
        <x:v>46269</x:v>
      </x:c>
      <x:c r="C105" s="17" t="str">
        <x:v>W0011</x:v>
      </x:c>
      <x:c r="D105" s="17" t="str">
        <x:v>C001</x:v>
      </x:c>
      <x:c r="E105" s="17" t="str">
        <x:v>CampaignChat</x:v>
      </x:c>
      <x:c r="F105" s="17" t="str">
        <x:v>Lite</x:v>
      </x:c>
      <x:c r="G105" s="17" t="n">
        <x:v>45214</x:v>
      </x:c>
      <x:c r="H105" s="17" t="n">
        <x:v>7742</x:v>
      </x:c>
      <x:c r="I105" s="17" t="str">
        <x:v>Followup</x:v>
      </x:c>
      <x:c r="J105" s="27" t="n">
        <x:f>INDEX('Model Pricing'!$B$7:$B$8,MATCH(F105,'Model Pricing'!$A$7:$A$8,0))</x:f>
        <x:v>10</x:v>
      </x:c>
      <x:c r="K105" s="27" t="n">
        <x:f>INDEX('Model Pricing'!$C$7:$C$8,MATCH(F105,'Model Pricing'!$A$7:$A$8,0))</x:f>
        <x:v>30</x:v>
      </x:c>
      <x:c r="L105" s="17" t="n">
        <x:f>G105+H105</x:f>
        <x:v>52956</x:v>
      </x:c>
      <x:c r="M105" s="28" t="n">
        <x:f>G105*J105/1000000</x:f>
        <x:v>0.45214</x:v>
      </x:c>
      <x:c r="N105" s="28" t="n">
        <x:f>H105*K105/1000000</x:f>
        <x:v>0.23226</x:v>
      </x:c>
      <x:c r="O105" s="28" t="n">
        <x:f>SUM(M105:N105)</x:f>
        <x:v>0.6844</x:v>
      </x:c>
    </x:row>
    <x:row r="106" ht="23" customHeight="1">
      <x:c r="A106" s="17" t="str">
        <x:v>U00100</x:v>
      </x:c>
      <x:c r="B106" s="18" t="n">
        <x:v>46273</x:v>
      </x:c>
      <x:c r="C106" s="17" t="str">
        <x:v>W0011</x:v>
      </x:c>
      <x:c r="D106" s="17" t="str">
        <x:v>C001</x:v>
      </x:c>
      <x:c r="E106" s="17" t="str">
        <x:v>CampaignChat</x:v>
      </x:c>
      <x:c r="F106" s="17" t="str">
        <x:v>Lite</x:v>
      </x:c>
      <x:c r="G106" s="17" t="n">
        <x:v>44845</x:v>
      </x:c>
      <x:c r="H106" s="17" t="n">
        <x:v>7889</x:v>
      </x:c>
      <x:c r="I106" s="17" t="str">
        <x:v>Followup</x:v>
      </x:c>
      <x:c r="J106" s="27" t="n">
        <x:f>INDEX('Model Pricing'!$B$7:$B$8,MATCH(F106,'Model Pricing'!$A$7:$A$8,0))</x:f>
        <x:v>10</x:v>
      </x:c>
      <x:c r="K106" s="27" t="n">
        <x:f>INDEX('Model Pricing'!$C$7:$C$8,MATCH(F106,'Model Pricing'!$A$7:$A$8,0))</x:f>
        <x:v>30</x:v>
      </x:c>
      <x:c r="L106" s="17" t="n">
        <x:f>G106+H106</x:f>
        <x:v>52734</x:v>
      </x:c>
      <x:c r="M106" s="28" t="n">
        <x:f>G106*J106/1000000</x:f>
        <x:v>0.44845</x:v>
      </x:c>
      <x:c r="N106" s="28" t="n">
        <x:f>H106*K106/1000000</x:f>
        <x:v>0.23667</x:v>
      </x:c>
      <x:c r="O106" s="28" t="n">
        <x:f>SUM(M106:N106)</x:f>
        <x:v>0.68512</x:v>
      </x:c>
    </x:row>
    <x:row r="107" ht="23" customHeight="1">
      <x:c r="A107" s="17" t="str">
        <x:v>U00101</x:v>
      </x:c>
      <x:c r="B107" s="18" t="n">
        <x:v>46273</x:v>
      </x:c>
      <x:c r="C107" s="17" t="str">
        <x:v>W0011</x:v>
      </x:c>
      <x:c r="D107" s="17" t="str">
        <x:v>C001</x:v>
      </x:c>
      <x:c r="E107" s="17" t="str">
        <x:v>CampaignChat</x:v>
      </x:c>
      <x:c r="F107" s="17" t="str">
        <x:v>Lite</x:v>
      </x:c>
      <x:c r="G107" s="17" t="n">
        <x:v>21376</x:v>
      </x:c>
      <x:c r="H107" s="17" t="n">
        <x:v>11067</x:v>
      </x:c>
      <x:c r="I107" s="17" t="str">
        <x:v>Correction</x:v>
      </x:c>
      <x:c r="J107" s="27" t="n">
        <x:f>INDEX('Model Pricing'!$B$7:$B$8,MATCH(F107,'Model Pricing'!$A$7:$A$8,0))</x:f>
        <x:v>10</x:v>
      </x:c>
      <x:c r="K107" s="27" t="n">
        <x:f>INDEX('Model Pricing'!$C$7:$C$8,MATCH(F107,'Model Pricing'!$A$7:$A$8,0))</x:f>
        <x:v>30</x:v>
      </x:c>
      <x:c r="L107" s="17" t="n">
        <x:f>G107+H107</x:f>
        <x:v>32443</x:v>
      </x:c>
      <x:c r="M107" s="28" t="n">
        <x:f>G107*J107/1000000</x:f>
        <x:v>0.21376</x:v>
      </x:c>
      <x:c r="N107" s="28" t="n">
        <x:f>H107*K107/1000000</x:f>
        <x:v>0.33201</x:v>
      </x:c>
      <x:c r="O107" s="28" t="n">
        <x:f>SUM(M107:N107)</x:f>
        <x:v>0.5457700000000001</x:v>
      </x:c>
    </x:row>
    <x:row r="108" ht="23" customHeight="1">
      <x:c r="A108" s="17" t="str">
        <x:v>U00102</x:v>
      </x:c>
      <x:c r="B108" s="18" t="n">
        <x:v>46288</x:v>
      </x:c>
      <x:c r="C108" s="17" t="str">
        <x:v>W0013</x:v>
      </x:c>
      <x:c r="D108" s="17" t="str">
        <x:v>C001</x:v>
      </x:c>
      <x:c r="E108" s="17" t="str">
        <x:v>DataFlow</x:v>
      </x:c>
      <x:c r="F108" s="17" t="str">
        <x:v>Lite</x:v>
      </x:c>
      <x:c r="G108" s="17" t="n">
        <x:v>36384</x:v>
      </x:c>
      <x:c r="H108" s="17" t="n">
        <x:v>3745</x:v>
      </x:c>
      <x:c r="I108" s="17" t="str">
        <x:v>First attempt</x:v>
      </x:c>
      <x:c r="J108" s="27" t="n">
        <x:f>INDEX('Model Pricing'!$B$7:$B$8,MATCH(F108,'Model Pricing'!$A$7:$A$8,0))</x:f>
        <x:v>10</x:v>
      </x:c>
      <x:c r="K108" s="27" t="n">
        <x:f>INDEX('Model Pricing'!$C$7:$C$8,MATCH(F108,'Model Pricing'!$A$7:$A$8,0))</x:f>
        <x:v>30</x:v>
      </x:c>
      <x:c r="L108" s="17" t="n">
        <x:f>G108+H108</x:f>
        <x:v>40129</x:v>
      </x:c>
      <x:c r="M108" s="28" t="n">
        <x:f>G108*J108/1000000</x:f>
        <x:v>0.36384</x:v>
      </x:c>
      <x:c r="N108" s="28" t="n">
        <x:f>H108*K108/1000000</x:f>
        <x:v>0.11235</x:v>
      </x:c>
      <x:c r="O108" s="28" t="n">
        <x:f>SUM(M108:N108)</x:f>
        <x:v>0.47619</x:v>
      </x:c>
    </x:row>
    <x:row r="109" ht="23" customHeight="1">
      <x:c r="A109" s="17" t="str">
        <x:v>U00103</x:v>
      </x:c>
      <x:c r="B109" s="18" t="n">
        <x:v>46288</x:v>
      </x:c>
      <x:c r="C109" s="17" t="str">
        <x:v>W0013</x:v>
      </x:c>
      <x:c r="D109" s="17" t="str">
        <x:v>C001</x:v>
      </x:c>
      <x:c r="E109" s="17" t="str">
        <x:v>DataFlow</x:v>
      </x:c>
      <x:c r="F109" s="17" t="str">
        <x:v>Lite</x:v>
      </x:c>
      <x:c r="G109" s="17" t="n">
        <x:v>19275</x:v>
      </x:c>
      <x:c r="H109" s="17" t="n">
        <x:v>2265</x:v>
      </x:c>
      <x:c r="I109" s="17" t="str">
        <x:v>Correction</x:v>
      </x:c>
      <x:c r="J109" s="27" t="n">
        <x:f>INDEX('Model Pricing'!$B$7:$B$8,MATCH(F109,'Model Pricing'!$A$7:$A$8,0))</x:f>
        <x:v>10</x:v>
      </x:c>
      <x:c r="K109" s="27" t="n">
        <x:f>INDEX('Model Pricing'!$C$7:$C$8,MATCH(F109,'Model Pricing'!$A$7:$A$8,0))</x:f>
        <x:v>30</x:v>
      </x:c>
      <x:c r="L109" s="17" t="n">
        <x:f>G109+H109</x:f>
        <x:v>21540</x:v>
      </x:c>
      <x:c r="M109" s="28" t="n">
        <x:f>G109*J109/1000000</x:f>
        <x:v>0.19275</x:v>
      </x:c>
      <x:c r="N109" s="28" t="n">
        <x:f>H109*K109/1000000</x:f>
        <x:v>0.06795</x:v>
      </x:c>
      <x:c r="O109" s="28" t="n">
        <x:f>SUM(M109:N109)</x:f>
        <x:v>0.2607</x:v>
      </x:c>
    </x:row>
    <x:row r="110" ht="23" customHeight="1">
      <x:c r="A110" s="17" t="str">
        <x:v>U00104</x:v>
      </x:c>
      <x:c r="B110" s="18" t="n">
        <x:v>46288</x:v>
      </x:c>
      <x:c r="C110" s="17" t="str">
        <x:v>W0013</x:v>
      </x:c>
      <x:c r="D110" s="17" t="str">
        <x:v>C001</x:v>
      </x:c>
      <x:c r="E110" s="17" t="str">
        <x:v>DataFlow</x:v>
      </x:c>
      <x:c r="F110" s="17" t="str">
        <x:v>Lite</x:v>
      </x:c>
      <x:c r="G110" s="17" t="n">
        <x:v>18173</x:v>
      </x:c>
      <x:c r="H110" s="17" t="n">
        <x:v>3165</x:v>
      </x:c>
      <x:c r="I110" s="17" t="str">
        <x:v>Followup</x:v>
      </x:c>
      <x:c r="J110" s="27" t="n">
        <x:f>INDEX('Model Pricing'!$B$7:$B$8,MATCH(F110,'Model Pricing'!$A$7:$A$8,0))</x:f>
        <x:v>10</x:v>
      </x:c>
      <x:c r="K110" s="27" t="n">
        <x:f>INDEX('Model Pricing'!$C$7:$C$8,MATCH(F110,'Model Pricing'!$A$7:$A$8,0))</x:f>
        <x:v>30</x:v>
      </x:c>
      <x:c r="L110" s="17" t="n">
        <x:f>G110+H110</x:f>
        <x:v>21338</x:v>
      </x:c>
      <x:c r="M110" s="28" t="n">
        <x:f>G110*J110/1000000</x:f>
        <x:v>0.18173</x:v>
      </x:c>
      <x:c r="N110" s="28" t="n">
        <x:f>H110*K110/1000000</x:f>
        <x:v>0.09495</x:v>
      </x:c>
      <x:c r="O110" s="28" t="n">
        <x:f>SUM(M110:N110)</x:f>
        <x:v>0.27668000000000004</x:v>
      </x:c>
    </x:row>
    <x:row r="111" ht="23" customHeight="1">
      <x:c r="A111" s="17" t="str">
        <x:v>U00105</x:v>
      </x:c>
      <x:c r="B111" s="18" t="n">
        <x:v>46289</x:v>
      </x:c>
      <x:c r="C111" s="17" t="str">
        <x:v>W0013</x:v>
      </x:c>
      <x:c r="D111" s="17" t="str">
        <x:v>C001</x:v>
      </x:c>
      <x:c r="E111" s="17" t="str">
        <x:v>DataFlow</x:v>
      </x:c>
      <x:c r="F111" s="17" t="str">
        <x:v>Lite</x:v>
      </x:c>
      <x:c r="G111" s="17" t="n">
        <x:v>24647</x:v>
      </x:c>
      <x:c r="H111" s="17" t="n">
        <x:v>2905</x:v>
      </x:c>
      <x:c r="I111" s="17" t="str">
        <x:v>Followup</x:v>
      </x:c>
      <x:c r="J111" s="27" t="n">
        <x:f>INDEX('Model Pricing'!$B$7:$B$8,MATCH(F111,'Model Pricing'!$A$7:$A$8,0))</x:f>
        <x:v>10</x:v>
      </x:c>
      <x:c r="K111" s="27" t="n">
        <x:f>INDEX('Model Pricing'!$C$7:$C$8,MATCH(F111,'Model Pricing'!$A$7:$A$8,0))</x:f>
        <x:v>30</x:v>
      </x:c>
      <x:c r="L111" s="17" t="n">
        <x:f>G111+H111</x:f>
        <x:v>27552</x:v>
      </x:c>
      <x:c r="M111" s="28" t="n">
        <x:f>G111*J111/1000000</x:f>
        <x:v>0.24647</x:v>
      </x:c>
      <x:c r="N111" s="28" t="n">
        <x:f>H111*K111/1000000</x:f>
        <x:v>0.08715</x:v>
      </x:c>
      <x:c r="O111" s="28" t="n">
        <x:f>SUM(M111:N111)</x:f>
        <x:v>0.33362</x:v>
      </x:c>
    </x:row>
    <x:row r="112" ht="23" customHeight="1">
      <x:c r="A112" s="17" t="str">
        <x:v>U00106</x:v>
      </x:c>
      <x:c r="B112" s="18" t="n">
        <x:v>46289</x:v>
      </x:c>
      <x:c r="C112" s="17" t="str">
        <x:v>W0013</x:v>
      </x:c>
      <x:c r="D112" s="17" t="str">
        <x:v>C001</x:v>
      </x:c>
      <x:c r="E112" s="17" t="str">
        <x:v>DataFlow</x:v>
      </x:c>
      <x:c r="F112" s="17" t="str">
        <x:v>Lite</x:v>
      </x:c>
      <x:c r="G112" s="17" t="n">
        <x:v>29263</x:v>
      </x:c>
      <x:c r="H112" s="17" t="n">
        <x:v>5224</x:v>
      </x:c>
      <x:c r="I112" s="17" t="str">
        <x:v>Followup</x:v>
      </x:c>
      <x:c r="J112" s="27" t="n">
        <x:f>INDEX('Model Pricing'!$B$7:$B$8,MATCH(F112,'Model Pricing'!$A$7:$A$8,0))</x:f>
        <x:v>10</x:v>
      </x:c>
      <x:c r="K112" s="27" t="n">
        <x:f>INDEX('Model Pricing'!$C$7:$C$8,MATCH(F112,'Model Pricing'!$A$7:$A$8,0))</x:f>
        <x:v>30</x:v>
      </x:c>
      <x:c r="L112" s="17" t="n">
        <x:f>G112+H112</x:f>
        <x:v>34487</x:v>
      </x:c>
      <x:c r="M112" s="28" t="n">
        <x:f>G112*J112/1000000</x:f>
        <x:v>0.29263</x:v>
      </x:c>
      <x:c r="N112" s="28" t="n">
        <x:f>H112*K112/1000000</x:f>
        <x:v>0.15672</x:v>
      </x:c>
      <x:c r="O112" s="28" t="n">
        <x:f>SUM(M112:N112)</x:f>
        <x:v>0.44935</x:v>
      </x:c>
    </x:row>
    <x:row r="113" ht="23" customHeight="1">
      <x:c r="A113" s="17" t="str">
        <x:v>U00107</x:v>
      </x:c>
      <x:c r="B113" s="18" t="n">
        <x:v>46289</x:v>
      </x:c>
      <x:c r="C113" s="17" t="str">
        <x:v>W0013</x:v>
      </x:c>
      <x:c r="D113" s="17" t="str">
        <x:v>C001</x:v>
      </x:c>
      <x:c r="E113" s="17" t="str">
        <x:v>DataFlow</x:v>
      </x:c>
      <x:c r="F113" s="17" t="str">
        <x:v>Lite</x:v>
      </x:c>
      <x:c r="G113" s="17" t="n">
        <x:v>26427</x:v>
      </x:c>
      <x:c r="H113" s="17" t="n">
        <x:v>6557</x:v>
      </x:c>
      <x:c r="I113" s="17" t="str">
        <x:v>Followup</x:v>
      </x:c>
      <x:c r="J113" s="27" t="n">
        <x:f>INDEX('Model Pricing'!$B$7:$B$8,MATCH(F113,'Model Pricing'!$A$7:$A$8,0))</x:f>
        <x:v>10</x:v>
      </x:c>
      <x:c r="K113" s="27" t="n">
        <x:f>INDEX('Model Pricing'!$C$7:$C$8,MATCH(F113,'Model Pricing'!$A$7:$A$8,0))</x:f>
        <x:v>30</x:v>
      </x:c>
      <x:c r="L113" s="17" t="n">
        <x:f>G113+H113</x:f>
        <x:v>32984</x:v>
      </x:c>
      <x:c r="M113" s="28" t="n">
        <x:f>G113*J113/1000000</x:f>
        <x:v>0.26427</x:v>
      </x:c>
      <x:c r="N113" s="28" t="n">
        <x:f>H113*K113/1000000</x:f>
        <x:v>0.19671</x:v>
      </x:c>
      <x:c r="O113" s="28" t="n">
        <x:f>SUM(M113:N113)</x:f>
        <x:v>0.46098</x:v>
      </x:c>
    </x:row>
    <x:row r="114" ht="23" customHeight="1">
      <x:c r="A114" s="17" t="str">
        <x:v>U00108</x:v>
      </x:c>
      <x:c r="B114" s="18" t="n">
        <x:v>46290</x:v>
      </x:c>
      <x:c r="C114" s="17" t="str">
        <x:v>W0013</x:v>
      </x:c>
      <x:c r="D114" s="17" t="str">
        <x:v>C001</x:v>
      </x:c>
      <x:c r="E114" s="17" t="str">
        <x:v>DataFlow</x:v>
      </x:c>
      <x:c r="F114" s="17" t="str">
        <x:v>Lite</x:v>
      </x:c>
      <x:c r="G114" s="17" t="n">
        <x:v>34545</x:v>
      </x:c>
      <x:c r="H114" s="17" t="n">
        <x:v>6727</x:v>
      </x:c>
      <x:c r="I114" s="17" t="str">
        <x:v>Followup</x:v>
      </x:c>
      <x:c r="J114" s="27" t="n">
        <x:f>INDEX('Model Pricing'!$B$7:$B$8,MATCH(F114,'Model Pricing'!$A$7:$A$8,0))</x:f>
        <x:v>10</x:v>
      </x:c>
      <x:c r="K114" s="27" t="n">
        <x:f>INDEX('Model Pricing'!$C$7:$C$8,MATCH(F114,'Model Pricing'!$A$7:$A$8,0))</x:f>
        <x:v>30</x:v>
      </x:c>
      <x:c r="L114" s="17" t="n">
        <x:f>G114+H114</x:f>
        <x:v>41272</x:v>
      </x:c>
      <x:c r="M114" s="28" t="n">
        <x:f>G114*J114/1000000</x:f>
        <x:v>0.34545</x:v>
      </x:c>
      <x:c r="N114" s="28" t="n">
        <x:f>H114*K114/1000000</x:f>
        <x:v>0.20181</x:v>
      </x:c>
      <x:c r="O114" s="28" t="n">
        <x:f>SUM(M114:N114)</x:f>
        <x:v>0.54726</x:v>
      </x:c>
    </x:row>
    <x:row r="115" ht="23" customHeight="1">
      <x:c r="A115" s="17" t="str">
        <x:v>U00109</x:v>
      </x:c>
      <x:c r="B115" s="18" t="n">
        <x:v>46290</x:v>
      </x:c>
      <x:c r="C115" s="17" t="str">
        <x:v>W0013</x:v>
      </x:c>
      <x:c r="D115" s="17" t="str">
        <x:v>C001</x:v>
      </x:c>
      <x:c r="E115" s="17" t="str">
        <x:v>DataFlow</x:v>
      </x:c>
      <x:c r="F115" s="17" t="str">
        <x:v>Lite</x:v>
      </x:c>
      <x:c r="G115" s="17" t="n">
        <x:v>24476</x:v>
      </x:c>
      <x:c r="H115" s="17" t="n">
        <x:v>3034</x:v>
      </x:c>
      <x:c r="I115" s="17" t="str">
        <x:v>Correction</x:v>
      </x:c>
      <x:c r="J115" s="27" t="n">
        <x:f>INDEX('Model Pricing'!$B$7:$B$8,MATCH(F115,'Model Pricing'!$A$7:$A$8,0))</x:f>
        <x:v>10</x:v>
      </x:c>
      <x:c r="K115" s="27" t="n">
        <x:f>INDEX('Model Pricing'!$C$7:$C$8,MATCH(F115,'Model Pricing'!$A$7:$A$8,0))</x:f>
        <x:v>30</x:v>
      </x:c>
      <x:c r="L115" s="17" t="n">
        <x:f>G115+H115</x:f>
        <x:v>27510</x:v>
      </x:c>
      <x:c r="M115" s="28" t="n">
        <x:f>G115*J115/1000000</x:f>
        <x:v>0.24476</x:v>
      </x:c>
      <x:c r="N115" s="28" t="n">
        <x:f>H115*K115/1000000</x:f>
        <x:v>0.09102</x:v>
      </x:c>
      <x:c r="O115" s="28" t="n">
        <x:f>SUM(M115:N115)</x:f>
        <x:v>0.33578</x:v>
      </x:c>
    </x:row>
    <x:row r="116" ht="23" customHeight="1">
      <x:c r="A116" s="17" t="str">
        <x:v>U00110</x:v>
      </x:c>
      <x:c r="B116" s="18" t="n">
        <x:v>46290</x:v>
      </x:c>
      <x:c r="C116" s="17" t="str">
        <x:v>W0013</x:v>
      </x:c>
      <x:c r="D116" s="17" t="str">
        <x:v>C001</x:v>
      </x:c>
      <x:c r="E116" s="17" t="str">
        <x:v>DataFlow</x:v>
      </x:c>
      <x:c r="F116" s="17" t="str">
        <x:v>Lite</x:v>
      </x:c>
      <x:c r="G116" s="17" t="n">
        <x:v>14077</x:v>
      </x:c>
      <x:c r="H116" s="17" t="n">
        <x:v>6265</x:v>
      </x:c>
      <x:c r="I116" s="17" t="str">
        <x:v>Followup</x:v>
      </x:c>
      <x:c r="J116" s="27" t="n">
        <x:f>INDEX('Model Pricing'!$B$7:$B$8,MATCH(F116,'Model Pricing'!$A$7:$A$8,0))</x:f>
        <x:v>10</x:v>
      </x:c>
      <x:c r="K116" s="27" t="n">
        <x:f>INDEX('Model Pricing'!$C$7:$C$8,MATCH(F116,'Model Pricing'!$A$7:$A$8,0))</x:f>
        <x:v>30</x:v>
      </x:c>
      <x:c r="L116" s="17" t="n">
        <x:f>G116+H116</x:f>
        <x:v>20342</x:v>
      </x:c>
      <x:c r="M116" s="28" t="n">
        <x:f>G116*J116/1000000</x:f>
        <x:v>0.14077</x:v>
      </x:c>
      <x:c r="N116" s="28" t="n">
        <x:f>H116*K116/1000000</x:f>
        <x:v>0.18795</x:v>
      </x:c>
      <x:c r="O116" s="28" t="n">
        <x:f>SUM(M116:N116)</x:f>
        <x:v>0.32872</x:v>
      </x:c>
    </x:row>
    <x:row r="117" ht="23" customHeight="1">
      <x:c r="A117" s="17" t="str">
        <x:v>U00111</x:v>
      </x:c>
      <x:c r="B117" s="18" t="n">
        <x:v>46293</x:v>
      </x:c>
      <x:c r="C117" s="17" t="str">
        <x:v>W0013</x:v>
      </x:c>
      <x:c r="D117" s="17" t="str">
        <x:v>C001</x:v>
      </x:c>
      <x:c r="E117" s="17" t="str">
        <x:v>DataFlow</x:v>
      </x:c>
      <x:c r="F117" s="17" t="str">
        <x:v>Lite</x:v>
      </x:c>
      <x:c r="G117" s="17" t="n">
        <x:v>25385</x:v>
      </x:c>
      <x:c r="H117" s="17" t="n">
        <x:v>6302</x:v>
      </x:c>
      <x:c r="I117" s="17" t="str">
        <x:v>Followup</x:v>
      </x:c>
      <x:c r="J117" s="27" t="n">
        <x:f>INDEX('Model Pricing'!$B$7:$B$8,MATCH(F117,'Model Pricing'!$A$7:$A$8,0))</x:f>
        <x:v>10</x:v>
      </x:c>
      <x:c r="K117" s="27" t="n">
        <x:f>INDEX('Model Pricing'!$C$7:$C$8,MATCH(F117,'Model Pricing'!$A$7:$A$8,0))</x:f>
        <x:v>30</x:v>
      </x:c>
      <x:c r="L117" s="17" t="n">
        <x:f>G117+H117</x:f>
        <x:v>31687</x:v>
      </x:c>
      <x:c r="M117" s="28" t="n">
        <x:f>G117*J117/1000000</x:f>
        <x:v>0.25385</x:v>
      </x:c>
      <x:c r="N117" s="28" t="n">
        <x:f>H117*K117/1000000</x:f>
        <x:v>0.18906</x:v>
      </x:c>
      <x:c r="O117" s="28" t="n">
        <x:f>SUM(M117:N117)</x:f>
        <x:v>0.44291</x:v>
      </x:c>
    </x:row>
    <x:row r="118" ht="23" customHeight="1">
      <x:c r="A118" s="17" t="str">
        <x:v>U00112</x:v>
      </x:c>
      <x:c r="B118" s="18" t="n">
        <x:v>46293</x:v>
      </x:c>
      <x:c r="C118" s="17" t="str">
        <x:v>W0013</x:v>
      </x:c>
      <x:c r="D118" s="17" t="str">
        <x:v>C001</x:v>
      </x:c>
      <x:c r="E118" s="17" t="str">
        <x:v>DataFlow</x:v>
      </x:c>
      <x:c r="F118" s="17" t="str">
        <x:v>Lite</x:v>
      </x:c>
      <x:c r="G118" s="17" t="n">
        <x:v>20519</x:v>
      </x:c>
      <x:c r="H118" s="17" t="n">
        <x:v>4487</x:v>
      </x:c>
      <x:c r="I118" s="17" t="str">
        <x:v>Followup</x:v>
      </x:c>
      <x:c r="J118" s="27" t="n">
        <x:f>INDEX('Model Pricing'!$B$7:$B$8,MATCH(F118,'Model Pricing'!$A$7:$A$8,0))</x:f>
        <x:v>10</x:v>
      </x:c>
      <x:c r="K118" s="27" t="n">
        <x:f>INDEX('Model Pricing'!$C$7:$C$8,MATCH(F118,'Model Pricing'!$A$7:$A$8,0))</x:f>
        <x:v>30</x:v>
      </x:c>
      <x:c r="L118" s="17" t="n">
        <x:f>G118+H118</x:f>
        <x:v>25006</x:v>
      </x:c>
      <x:c r="M118" s="28" t="n">
        <x:f>G118*J118/1000000</x:f>
        <x:v>0.20519</x:v>
      </x:c>
      <x:c r="N118" s="28" t="n">
        <x:f>H118*K118/1000000</x:f>
        <x:v>0.13461</x:v>
      </x:c>
      <x:c r="O118" s="28" t="n">
        <x:f>SUM(M118:N118)</x:f>
        <x:v>0.3398</x:v>
      </x:c>
    </x:row>
    <x:row r="119" ht="23" customHeight="1">
      <x:c r="A119" s="17" t="str">
        <x:v>U00113</x:v>
      </x:c>
      <x:c r="B119" s="18" t="n">
        <x:v>46273</x:v>
      </x:c>
      <x:c r="C119" s="17" t="str">
        <x:v>W0014</x:v>
      </x:c>
      <x:c r="D119" s="17" t="str">
        <x:v>C001</x:v>
      </x:c>
      <x:c r="E119" s="17" t="str">
        <x:v>DataFlow</x:v>
      </x:c>
      <x:c r="F119" s="17" t="str">
        <x:v>Lite</x:v>
      </x:c>
      <x:c r="G119" s="17" t="n">
        <x:v>27442</x:v>
      </x:c>
      <x:c r="H119" s="17" t="n">
        <x:v>9017</x:v>
      </x:c>
      <x:c r="I119" s="17" t="str">
        <x:v>First attempt</x:v>
      </x:c>
      <x:c r="J119" s="27" t="n">
        <x:f>INDEX('Model Pricing'!$B$7:$B$8,MATCH(F119,'Model Pricing'!$A$7:$A$8,0))</x:f>
        <x:v>10</x:v>
      </x:c>
      <x:c r="K119" s="27" t="n">
        <x:f>INDEX('Model Pricing'!$C$7:$C$8,MATCH(F119,'Model Pricing'!$A$7:$A$8,0))</x:f>
        <x:v>30</x:v>
      </x:c>
      <x:c r="L119" s="17" t="n">
        <x:f>G119+H119</x:f>
        <x:v>36459</x:v>
      </x:c>
      <x:c r="M119" s="28" t="n">
        <x:f>G119*J119/1000000</x:f>
        <x:v>0.27442</x:v>
      </x:c>
      <x:c r="N119" s="28" t="n">
        <x:f>H119*K119/1000000</x:f>
        <x:v>0.27051</x:v>
      </x:c>
      <x:c r="O119" s="28" t="n">
        <x:f>SUM(M119:N119)</x:f>
        <x:v>0.5449299999999999</x:v>
      </x:c>
    </x:row>
    <x:row r="120" ht="23" customHeight="1">
      <x:c r="A120" s="17" t="str">
        <x:v>U00114</x:v>
      </x:c>
      <x:c r="B120" s="18" t="n">
        <x:v>46273</x:v>
      </x:c>
      <x:c r="C120" s="17" t="str">
        <x:v>W0014</x:v>
      </x:c>
      <x:c r="D120" s="17" t="str">
        <x:v>C001</x:v>
      </x:c>
      <x:c r="E120" s="17" t="str">
        <x:v>DataFlow</x:v>
      </x:c>
      <x:c r="F120" s="17" t="str">
        <x:v>Lite</x:v>
      </x:c>
      <x:c r="G120" s="17" t="n">
        <x:v>34580</x:v>
      </x:c>
      <x:c r="H120" s="17" t="n">
        <x:v>8097</x:v>
      </x:c>
      <x:c r="I120" s="17" t="str">
        <x:v>Correction</x:v>
      </x:c>
      <x:c r="J120" s="27" t="n">
        <x:f>INDEX('Model Pricing'!$B$7:$B$8,MATCH(F120,'Model Pricing'!$A$7:$A$8,0))</x:f>
        <x:v>10</x:v>
      </x:c>
      <x:c r="K120" s="27" t="n">
        <x:f>INDEX('Model Pricing'!$C$7:$C$8,MATCH(F120,'Model Pricing'!$A$7:$A$8,0))</x:f>
        <x:v>30</x:v>
      </x:c>
      <x:c r="L120" s="17" t="n">
        <x:f>G120+H120</x:f>
        <x:v>42677</x:v>
      </x:c>
      <x:c r="M120" s="28" t="n">
        <x:f>G120*J120/1000000</x:f>
        <x:v>0.3458</x:v>
      </x:c>
      <x:c r="N120" s="28" t="n">
        <x:f>H120*K120/1000000</x:f>
        <x:v>0.24291</x:v>
      </x:c>
      <x:c r="O120" s="28" t="n">
        <x:f>SUM(M120:N120)</x:f>
        <x:v>0.58871</x:v>
      </x:c>
    </x:row>
    <x:row r="121" ht="23" customHeight="1">
      <x:c r="A121" s="17" t="str">
        <x:v>U00115</x:v>
      </x:c>
      <x:c r="B121" s="18" t="n">
        <x:v>46274</x:v>
      </x:c>
      <x:c r="C121" s="17" t="str">
        <x:v>W0014</x:v>
      </x:c>
      <x:c r="D121" s="17" t="str">
        <x:v>C001</x:v>
      </x:c>
      <x:c r="E121" s="17" t="str">
        <x:v>DataFlow</x:v>
      </x:c>
      <x:c r="F121" s="17" t="str">
        <x:v>Lite</x:v>
      </x:c>
      <x:c r="G121" s="17" t="n">
        <x:v>39153</x:v>
      </x:c>
      <x:c r="H121" s="17" t="n">
        <x:v>9663</x:v>
      </x:c>
      <x:c r="I121" s="17" t="str">
        <x:v>Followup</x:v>
      </x:c>
      <x:c r="J121" s="27" t="n">
        <x:f>INDEX('Model Pricing'!$B$7:$B$8,MATCH(F121,'Model Pricing'!$A$7:$A$8,0))</x:f>
        <x:v>10</x:v>
      </x:c>
      <x:c r="K121" s="27" t="n">
        <x:f>INDEX('Model Pricing'!$C$7:$C$8,MATCH(F121,'Model Pricing'!$A$7:$A$8,0))</x:f>
        <x:v>30</x:v>
      </x:c>
      <x:c r="L121" s="17" t="n">
        <x:f>G121+H121</x:f>
        <x:v>48816</x:v>
      </x:c>
      <x:c r="M121" s="28" t="n">
        <x:f>G121*J121/1000000</x:f>
        <x:v>0.39153</x:v>
      </x:c>
      <x:c r="N121" s="28" t="n">
        <x:f>H121*K121/1000000</x:f>
        <x:v>0.28989</x:v>
      </x:c>
      <x:c r="O121" s="28" t="n">
        <x:f>SUM(M121:N121)</x:f>
        <x:v>0.6814199999999999</x:v>
      </x:c>
    </x:row>
    <x:row r="122" ht="23" customHeight="1">
      <x:c r="A122" s="17" t="str">
        <x:v>U00116</x:v>
      </x:c>
      <x:c r="B122" s="18" t="n">
        <x:v>46274</x:v>
      </x:c>
      <x:c r="C122" s="17" t="str">
        <x:v>W0014</x:v>
      </x:c>
      <x:c r="D122" s="17" t="str">
        <x:v>C001</x:v>
      </x:c>
      <x:c r="E122" s="17" t="str">
        <x:v>DataFlow</x:v>
      </x:c>
      <x:c r="F122" s="17" t="str">
        <x:v>Lite</x:v>
      </x:c>
      <x:c r="G122" s="17" t="n">
        <x:v>57604</x:v>
      </x:c>
      <x:c r="H122" s="17" t="n">
        <x:v>15662</x:v>
      </x:c>
      <x:c r="I122" s="17" t="str">
        <x:v>Followup</x:v>
      </x:c>
      <x:c r="J122" s="27" t="n">
        <x:f>INDEX('Model Pricing'!$B$7:$B$8,MATCH(F122,'Model Pricing'!$A$7:$A$8,0))</x:f>
        <x:v>10</x:v>
      </x:c>
      <x:c r="K122" s="27" t="n">
        <x:f>INDEX('Model Pricing'!$C$7:$C$8,MATCH(F122,'Model Pricing'!$A$7:$A$8,0))</x:f>
        <x:v>30</x:v>
      </x:c>
      <x:c r="L122" s="17" t="n">
        <x:f>G122+H122</x:f>
        <x:v>73266</x:v>
      </x:c>
      <x:c r="M122" s="28" t="n">
        <x:f>G122*J122/1000000</x:f>
        <x:v>0.57604</x:v>
      </x:c>
      <x:c r="N122" s="28" t="n">
        <x:f>H122*K122/1000000</x:f>
        <x:v>0.46986</x:v>
      </x:c>
      <x:c r="O122" s="28" t="n">
        <x:f>SUM(M122:N122)</x:f>
        <x:v>1.0459</x:v>
      </x:c>
    </x:row>
    <x:row r="123" ht="23" customHeight="1">
      <x:c r="A123" s="17" t="str">
        <x:v>U00117</x:v>
      </x:c>
      <x:c r="B123" s="18" t="n">
        <x:v>46275</x:v>
      </x:c>
      <x:c r="C123" s="17" t="str">
        <x:v>W0014</x:v>
      </x:c>
      <x:c r="D123" s="17" t="str">
        <x:v>C001</x:v>
      </x:c>
      <x:c r="E123" s="17" t="str">
        <x:v>DataFlow</x:v>
      </x:c>
      <x:c r="F123" s="17" t="str">
        <x:v>Lite</x:v>
      </x:c>
      <x:c r="G123" s="17" t="n">
        <x:v>63043</x:v>
      </x:c>
      <x:c r="H123" s="17" t="n">
        <x:v>10357</x:v>
      </x:c>
      <x:c r="I123" s="17" t="str">
        <x:v>Followup</x:v>
      </x:c>
      <x:c r="J123" s="27" t="n">
        <x:f>INDEX('Model Pricing'!$B$7:$B$8,MATCH(F123,'Model Pricing'!$A$7:$A$8,0))</x:f>
        <x:v>10</x:v>
      </x:c>
      <x:c r="K123" s="27" t="n">
        <x:f>INDEX('Model Pricing'!$C$7:$C$8,MATCH(F123,'Model Pricing'!$A$7:$A$8,0))</x:f>
        <x:v>30</x:v>
      </x:c>
      <x:c r="L123" s="17" t="n">
        <x:f>G123+H123</x:f>
        <x:v>73400</x:v>
      </x:c>
      <x:c r="M123" s="28" t="n">
        <x:f>G123*J123/1000000</x:f>
        <x:v>0.63043</x:v>
      </x:c>
      <x:c r="N123" s="28" t="n">
        <x:f>H123*K123/1000000</x:f>
        <x:v>0.31071</x:v>
      </x:c>
      <x:c r="O123" s="28" t="n">
        <x:f>SUM(M123:N123)</x:f>
        <x:v>0.9411400000000001</x:v>
      </x:c>
    </x:row>
    <x:row r="124" ht="23" customHeight="1">
      <x:c r="A124" s="17" t="str">
        <x:v>U00118</x:v>
      </x:c>
      <x:c r="B124" s="18" t="n">
        <x:v>46275</x:v>
      </x:c>
      <x:c r="C124" s="17" t="str">
        <x:v>W0014</x:v>
      </x:c>
      <x:c r="D124" s="17" t="str">
        <x:v>C001</x:v>
      </x:c>
      <x:c r="E124" s="17" t="str">
        <x:v>DataFlow</x:v>
      </x:c>
      <x:c r="F124" s="17" t="str">
        <x:v>Lite</x:v>
      </x:c>
      <x:c r="G124" s="17" t="n">
        <x:v>41075</x:v>
      </x:c>
      <x:c r="H124" s="17" t="n">
        <x:v>13870</x:v>
      </x:c>
      <x:c r="I124" s="17" t="str">
        <x:v>Followup</x:v>
      </x:c>
      <x:c r="J124" s="27" t="n">
        <x:f>INDEX('Model Pricing'!$B$7:$B$8,MATCH(F124,'Model Pricing'!$A$7:$A$8,0))</x:f>
        <x:v>10</x:v>
      </x:c>
      <x:c r="K124" s="27" t="n">
        <x:f>INDEX('Model Pricing'!$C$7:$C$8,MATCH(F124,'Model Pricing'!$A$7:$A$8,0))</x:f>
        <x:v>30</x:v>
      </x:c>
      <x:c r="L124" s="17" t="n">
        <x:f>G124+H124</x:f>
        <x:v>54945</x:v>
      </x:c>
      <x:c r="M124" s="28" t="n">
        <x:f>G124*J124/1000000</x:f>
        <x:v>0.41075</x:v>
      </x:c>
      <x:c r="N124" s="28" t="n">
        <x:f>H124*K124/1000000</x:f>
        <x:v>0.4161</x:v>
      </x:c>
      <x:c r="O124" s="28" t="n">
        <x:f>SUM(M124:N124)</x:f>
        <x:v>0.8268500000000001</x:v>
      </x:c>
    </x:row>
    <x:row r="125" ht="23" customHeight="1">
      <x:c r="A125" s="17" t="str">
        <x:v>U00119</x:v>
      </x:c>
      <x:c r="B125" s="18" t="n">
        <x:v>46276</x:v>
      </x:c>
      <x:c r="C125" s="17" t="str">
        <x:v>W0014</x:v>
      </x:c>
      <x:c r="D125" s="17" t="str">
        <x:v>C001</x:v>
      </x:c>
      <x:c r="E125" s="17" t="str">
        <x:v>DataFlow</x:v>
      </x:c>
      <x:c r="F125" s="17" t="str">
        <x:v>Lite</x:v>
      </x:c>
      <x:c r="G125" s="17" t="n">
        <x:v>34197</x:v>
      </x:c>
      <x:c r="H125" s="17" t="n">
        <x:v>11960</x:v>
      </x:c>
      <x:c r="I125" s="17" t="str">
        <x:v>Followup</x:v>
      </x:c>
      <x:c r="J125" s="27" t="n">
        <x:f>INDEX('Model Pricing'!$B$7:$B$8,MATCH(F125,'Model Pricing'!$A$7:$A$8,0))</x:f>
        <x:v>10</x:v>
      </x:c>
      <x:c r="K125" s="27" t="n">
        <x:f>INDEX('Model Pricing'!$C$7:$C$8,MATCH(F125,'Model Pricing'!$A$7:$A$8,0))</x:f>
        <x:v>30</x:v>
      </x:c>
      <x:c r="L125" s="17" t="n">
        <x:f>G125+H125</x:f>
        <x:v>46157</x:v>
      </x:c>
      <x:c r="M125" s="28" t="n">
        <x:f>G125*J125/1000000</x:f>
        <x:v>0.34197</x:v>
      </x:c>
      <x:c r="N125" s="28" t="n">
        <x:f>H125*K125/1000000</x:f>
        <x:v>0.3588</x:v>
      </x:c>
      <x:c r="O125" s="28" t="n">
        <x:f>SUM(M125:N125)</x:f>
        <x:v>0.70077</x:v>
      </x:c>
    </x:row>
    <x:row r="126" ht="23" customHeight="1">
      <x:c r="A126" s="17" t="str">
        <x:v>U00120</x:v>
      </x:c>
      <x:c r="B126" s="18" t="n">
        <x:v>46276</x:v>
      </x:c>
      <x:c r="C126" s="17" t="str">
        <x:v>W0017</x:v>
      </x:c>
      <x:c r="D126" s="17" t="str">
        <x:v>C001</x:v>
      </x:c>
      <x:c r="E126" s="17" t="str">
        <x:v>CopyStudio</x:v>
      </x:c>
      <x:c r="F126" s="17" t="str">
        <x:v>Lite</x:v>
      </x:c>
      <x:c r="G126" s="17" t="n">
        <x:v>54700</x:v>
      </x:c>
      <x:c r="H126" s="17" t="n">
        <x:v>6491</x:v>
      </x:c>
      <x:c r="I126" s="17" t="str">
        <x:v>First attempt</x:v>
      </x:c>
      <x:c r="J126" s="27" t="n">
        <x:f>INDEX('Model Pricing'!$B$7:$B$8,MATCH(F126,'Model Pricing'!$A$7:$A$8,0))</x:f>
        <x:v>10</x:v>
      </x:c>
      <x:c r="K126" s="27" t="n">
        <x:f>INDEX('Model Pricing'!$C$7:$C$8,MATCH(F126,'Model Pricing'!$A$7:$A$8,0))</x:f>
        <x:v>30</x:v>
      </x:c>
      <x:c r="L126" s="17" t="n">
        <x:f>G126+H126</x:f>
        <x:v>61191</x:v>
      </x:c>
      <x:c r="M126" s="28" t="n">
        <x:f>G126*J126/1000000</x:f>
        <x:v>0.547</x:v>
      </x:c>
      <x:c r="N126" s="28" t="n">
        <x:f>H126*K126/1000000</x:f>
        <x:v>0.19473</x:v>
      </x:c>
      <x:c r="O126" s="28" t="n">
        <x:f>SUM(M126:N126)</x:f>
        <x:v>0.74173</x:v>
      </x:c>
    </x:row>
    <x:row r="127" ht="23" customHeight="1">
      <x:c r="A127" s="17" t="str">
        <x:v>U00121</x:v>
      </x:c>
      <x:c r="B127" s="18" t="n">
        <x:v>46276</x:v>
      </x:c>
      <x:c r="C127" s="17" t="str">
        <x:v>W0017</x:v>
      </x:c>
      <x:c r="D127" s="17" t="str">
        <x:v>C001</x:v>
      </x:c>
      <x:c r="E127" s="17" t="str">
        <x:v>CopyStudio</x:v>
      </x:c>
      <x:c r="F127" s="17" t="str">
        <x:v>Lite</x:v>
      </x:c>
      <x:c r="G127" s="17" t="n">
        <x:v>44780</x:v>
      </x:c>
      <x:c r="H127" s="17" t="n">
        <x:v>10616</x:v>
      </x:c>
      <x:c r="I127" s="17" t="str">
        <x:v>Correction</x:v>
      </x:c>
      <x:c r="J127" s="27" t="n">
        <x:f>INDEX('Model Pricing'!$B$7:$B$8,MATCH(F127,'Model Pricing'!$A$7:$A$8,0))</x:f>
        <x:v>10</x:v>
      </x:c>
      <x:c r="K127" s="27" t="n">
        <x:f>INDEX('Model Pricing'!$C$7:$C$8,MATCH(F127,'Model Pricing'!$A$7:$A$8,0))</x:f>
        <x:v>30</x:v>
      </x:c>
      <x:c r="L127" s="17" t="n">
        <x:f>G127+H127</x:f>
        <x:v>55396</x:v>
      </x:c>
      <x:c r="M127" s="28" t="n">
        <x:f>G127*J127/1000000</x:f>
        <x:v>0.4478</x:v>
      </x:c>
      <x:c r="N127" s="28" t="n">
        <x:f>H127*K127/1000000</x:f>
        <x:v>0.31848</x:v>
      </x:c>
      <x:c r="O127" s="28" t="n">
        <x:f>SUM(M127:N127)</x:f>
        <x:v>0.76628</x:v>
      </x:c>
    </x:row>
    <x:row r="128" ht="23" customHeight="1">
      <x:c r="A128" s="17" t="str">
        <x:v>U00122</x:v>
      </x:c>
      <x:c r="B128" s="18" t="n">
        <x:v>46276</x:v>
      </x:c>
      <x:c r="C128" s="17" t="str">
        <x:v>W0017</x:v>
      </x:c>
      <x:c r="D128" s="17" t="str">
        <x:v>C001</x:v>
      </x:c>
      <x:c r="E128" s="17" t="str">
        <x:v>CopyStudio</x:v>
      </x:c>
      <x:c r="F128" s="17" t="str">
        <x:v>Lite</x:v>
      </x:c>
      <x:c r="G128" s="17" t="n">
        <x:v>58826</x:v>
      </x:c>
      <x:c r="H128" s="17" t="n">
        <x:v>9811</x:v>
      </x:c>
      <x:c r="I128" s="17" t="str">
        <x:v>Followup</x:v>
      </x:c>
      <x:c r="J128" s="27" t="n">
        <x:f>INDEX('Model Pricing'!$B$7:$B$8,MATCH(F128,'Model Pricing'!$A$7:$A$8,0))</x:f>
        <x:v>10</x:v>
      </x:c>
      <x:c r="K128" s="27" t="n">
        <x:f>INDEX('Model Pricing'!$C$7:$C$8,MATCH(F128,'Model Pricing'!$A$7:$A$8,0))</x:f>
        <x:v>30</x:v>
      </x:c>
      <x:c r="L128" s="17" t="n">
        <x:f>G128+H128</x:f>
        <x:v>68637</x:v>
      </x:c>
      <x:c r="M128" s="28" t="n">
        <x:f>G128*J128/1000000</x:f>
        <x:v>0.58826</x:v>
      </x:c>
      <x:c r="N128" s="28" t="n">
        <x:f>H128*K128/1000000</x:f>
        <x:v>0.29433</x:v>
      </x:c>
      <x:c r="O128" s="28" t="n">
        <x:f>SUM(M128:N128)</x:f>
        <x:v>0.88259</x:v>
      </x:c>
    </x:row>
    <x:row r="129" ht="23" customHeight="1">
      <x:c r="A129" s="17" t="str">
        <x:v>U00123</x:v>
      </x:c>
      <x:c r="B129" s="18" t="n">
        <x:v>46279</x:v>
      </x:c>
      <x:c r="C129" s="17" t="str">
        <x:v>W0017</x:v>
      </x:c>
      <x:c r="D129" s="17" t="str">
        <x:v>C001</x:v>
      </x:c>
      <x:c r="E129" s="17" t="str">
        <x:v>CopyStudio</x:v>
      </x:c>
      <x:c r="F129" s="17" t="str">
        <x:v>Lite</x:v>
      </x:c>
      <x:c r="G129" s="17" t="n">
        <x:v>30124</x:v>
      </x:c>
      <x:c r="H129" s="17" t="n">
        <x:v>3952</x:v>
      </x:c>
      <x:c r="I129" s="17" t="str">
        <x:v>Followup</x:v>
      </x:c>
      <x:c r="J129" s="27" t="n">
        <x:f>INDEX('Model Pricing'!$B$7:$B$8,MATCH(F129,'Model Pricing'!$A$7:$A$8,0))</x:f>
        <x:v>10</x:v>
      </x:c>
      <x:c r="K129" s="27" t="n">
        <x:f>INDEX('Model Pricing'!$C$7:$C$8,MATCH(F129,'Model Pricing'!$A$7:$A$8,0))</x:f>
        <x:v>30</x:v>
      </x:c>
      <x:c r="L129" s="17" t="n">
        <x:f>G129+H129</x:f>
        <x:v>34076</x:v>
      </x:c>
      <x:c r="M129" s="28" t="n">
        <x:f>G129*J129/1000000</x:f>
        <x:v>0.30124</x:v>
      </x:c>
      <x:c r="N129" s="28" t="n">
        <x:f>H129*K129/1000000</x:f>
        <x:v>0.11856</x:v>
      </x:c>
      <x:c r="O129" s="28" t="n">
        <x:f>SUM(M129:N129)</x:f>
        <x:v>0.4198</x:v>
      </x:c>
    </x:row>
    <x:row r="130" ht="23" customHeight="1">
      <x:c r="A130" s="17" t="str">
        <x:v>U00124</x:v>
      </x:c>
      <x:c r="B130" s="18" t="n">
        <x:v>46279</x:v>
      </x:c>
      <x:c r="C130" s="17" t="str">
        <x:v>W0017</x:v>
      </x:c>
      <x:c r="D130" s="17" t="str">
        <x:v>C001</x:v>
      </x:c>
      <x:c r="E130" s="17" t="str">
        <x:v>CopyStudio</x:v>
      </x:c>
      <x:c r="F130" s="17" t="str">
        <x:v>Lite</x:v>
      </x:c>
      <x:c r="G130" s="17" t="n">
        <x:v>30457</x:v>
      </x:c>
      <x:c r="H130" s="17" t="n">
        <x:v>6700</x:v>
      </x:c>
      <x:c r="I130" s="17" t="str">
        <x:v>Followup</x:v>
      </x:c>
      <x:c r="J130" s="27" t="n">
        <x:f>INDEX('Model Pricing'!$B$7:$B$8,MATCH(F130,'Model Pricing'!$A$7:$A$8,0))</x:f>
        <x:v>10</x:v>
      </x:c>
      <x:c r="K130" s="27" t="n">
        <x:f>INDEX('Model Pricing'!$C$7:$C$8,MATCH(F130,'Model Pricing'!$A$7:$A$8,0))</x:f>
        <x:v>30</x:v>
      </x:c>
      <x:c r="L130" s="17" t="n">
        <x:f>G130+H130</x:f>
        <x:v>37157</x:v>
      </x:c>
      <x:c r="M130" s="28" t="n">
        <x:f>G130*J130/1000000</x:f>
        <x:v>0.30457</x:v>
      </x:c>
      <x:c r="N130" s="28" t="n">
        <x:f>H130*K130/1000000</x:f>
        <x:v>0.201</x:v>
      </x:c>
      <x:c r="O130" s="28" t="n">
        <x:f>SUM(M130:N130)</x:f>
        <x:v>0.5055700000000001</x:v>
      </x:c>
    </x:row>
    <x:row r="131" ht="23" customHeight="1">
      <x:c r="A131" s="17" t="str">
        <x:v>U00125</x:v>
      </x:c>
      <x:c r="B131" s="18" t="n">
        <x:v>46279</x:v>
      </x:c>
      <x:c r="C131" s="17" t="str">
        <x:v>W0017</x:v>
      </x:c>
      <x:c r="D131" s="17" t="str">
        <x:v>C001</x:v>
      </x:c>
      <x:c r="E131" s="17" t="str">
        <x:v>CopyStudio</x:v>
      </x:c>
      <x:c r="F131" s="17" t="str">
        <x:v>Lite</x:v>
      </x:c>
      <x:c r="G131" s="17" t="n">
        <x:v>52411</x:v>
      </x:c>
      <x:c r="H131" s="17" t="n">
        <x:v>10926</x:v>
      </x:c>
      <x:c r="I131" s="17" t="str">
        <x:v>Followup</x:v>
      </x:c>
      <x:c r="J131" s="27" t="n">
        <x:f>INDEX('Model Pricing'!$B$7:$B$8,MATCH(F131,'Model Pricing'!$A$7:$A$8,0))</x:f>
        <x:v>10</x:v>
      </x:c>
      <x:c r="K131" s="27" t="n">
        <x:f>INDEX('Model Pricing'!$C$7:$C$8,MATCH(F131,'Model Pricing'!$A$7:$A$8,0))</x:f>
        <x:v>30</x:v>
      </x:c>
      <x:c r="L131" s="17" t="n">
        <x:f>G131+H131</x:f>
        <x:v>63337</x:v>
      </x:c>
      <x:c r="M131" s="28" t="n">
        <x:f>G131*J131/1000000</x:f>
        <x:v>0.52411</x:v>
      </x:c>
      <x:c r="N131" s="28" t="n">
        <x:f>H131*K131/1000000</x:f>
        <x:v>0.32778</x:v>
      </x:c>
      <x:c r="O131" s="28" t="n">
        <x:f>SUM(M131:N131)</x:f>
        <x:v>0.85189</x:v>
      </x:c>
    </x:row>
    <x:row r="132" ht="23" customHeight="1">
      <x:c r="A132" s="17" t="str">
        <x:v>U00126</x:v>
      </x:c>
      <x:c r="B132" s="18" t="n">
        <x:v>46280</x:v>
      </x:c>
      <x:c r="C132" s="17" t="str">
        <x:v>W0017</x:v>
      </x:c>
      <x:c r="D132" s="17" t="str">
        <x:v>C001</x:v>
      </x:c>
      <x:c r="E132" s="17" t="str">
        <x:v>CopyStudio</x:v>
      </x:c>
      <x:c r="F132" s="17" t="str">
        <x:v>Lite</x:v>
      </x:c>
      <x:c r="G132" s="17" t="n">
        <x:v>24286</x:v>
      </x:c>
      <x:c r="H132" s="17" t="n">
        <x:v>5084</x:v>
      </x:c>
      <x:c r="I132" s="17" t="str">
        <x:v>Followup</x:v>
      </x:c>
      <x:c r="J132" s="27" t="n">
        <x:f>INDEX('Model Pricing'!$B$7:$B$8,MATCH(F132,'Model Pricing'!$A$7:$A$8,0))</x:f>
        <x:v>10</x:v>
      </x:c>
      <x:c r="K132" s="27" t="n">
        <x:f>INDEX('Model Pricing'!$C$7:$C$8,MATCH(F132,'Model Pricing'!$A$7:$A$8,0))</x:f>
        <x:v>30</x:v>
      </x:c>
      <x:c r="L132" s="17" t="n">
        <x:f>G132+H132</x:f>
        <x:v>29370</x:v>
      </x:c>
      <x:c r="M132" s="28" t="n">
        <x:f>G132*J132/1000000</x:f>
        <x:v>0.24286</x:v>
      </x:c>
      <x:c r="N132" s="28" t="n">
        <x:f>H132*K132/1000000</x:f>
        <x:v>0.15252</x:v>
      </x:c>
      <x:c r="O132" s="28" t="n">
        <x:f>SUM(M132:N132)</x:f>
        <x:v>0.39537999999999995</x:v>
      </x:c>
    </x:row>
    <x:row r="133" ht="23" customHeight="1">
      <x:c r="A133" s="17" t="str">
        <x:v>U00127</x:v>
      </x:c>
      <x:c r="B133" s="18" t="n">
        <x:v>46280</x:v>
      </x:c>
      <x:c r="C133" s="17" t="str">
        <x:v>W0017</x:v>
      </x:c>
      <x:c r="D133" s="17" t="str">
        <x:v>C001</x:v>
      </x:c>
      <x:c r="E133" s="17" t="str">
        <x:v>CopyStudio</x:v>
      </x:c>
      <x:c r="F133" s="17" t="str">
        <x:v>Lite</x:v>
      </x:c>
      <x:c r="G133" s="17" t="n">
        <x:v>43141</x:v>
      </x:c>
      <x:c r="H133" s="17" t="n">
        <x:v>8306</x:v>
      </x:c>
      <x:c r="I133" s="17" t="str">
        <x:v>Followup</x:v>
      </x:c>
      <x:c r="J133" s="27" t="n">
        <x:f>INDEX('Model Pricing'!$B$7:$B$8,MATCH(F133,'Model Pricing'!$A$7:$A$8,0))</x:f>
        <x:v>10</x:v>
      </x:c>
      <x:c r="K133" s="27" t="n">
        <x:f>INDEX('Model Pricing'!$C$7:$C$8,MATCH(F133,'Model Pricing'!$A$7:$A$8,0))</x:f>
        <x:v>30</x:v>
      </x:c>
      <x:c r="L133" s="17" t="n">
        <x:f>G133+H133</x:f>
        <x:v>51447</x:v>
      </x:c>
      <x:c r="M133" s="28" t="n">
        <x:f>G133*J133/1000000</x:f>
        <x:v>0.43141</x:v>
      </x:c>
      <x:c r="N133" s="28" t="n">
        <x:f>H133*K133/1000000</x:f>
        <x:v>0.24918</x:v>
      </x:c>
      <x:c r="O133" s="28" t="n">
        <x:f>SUM(M133:N133)</x:f>
        <x:v>0.68059</x:v>
      </x:c>
    </x:row>
    <x:row r="134" ht="23" customHeight="1">
      <x:c r="A134" s="17" t="str">
        <x:v>U00128</x:v>
      </x:c>
      <x:c r="B134" s="18" t="n">
        <x:v>46280</x:v>
      </x:c>
      <x:c r="C134" s="17" t="str">
        <x:v>W0017</x:v>
      </x:c>
      <x:c r="D134" s="17" t="str">
        <x:v>C001</x:v>
      </x:c>
      <x:c r="E134" s="17" t="str">
        <x:v>CopyStudio</x:v>
      </x:c>
      <x:c r="F134" s="17" t="str">
        <x:v>Lite</x:v>
      </x:c>
      <x:c r="G134" s="17" t="n">
        <x:v>37540</x:v>
      </x:c>
      <x:c r="H134" s="17" t="n">
        <x:v>6585</x:v>
      </x:c>
      <x:c r="I134" s="17" t="str">
        <x:v>Followup</x:v>
      </x:c>
      <x:c r="J134" s="27" t="n">
        <x:f>INDEX('Model Pricing'!$B$7:$B$8,MATCH(F134,'Model Pricing'!$A$7:$A$8,0))</x:f>
        <x:v>10</x:v>
      </x:c>
      <x:c r="K134" s="27" t="n">
        <x:f>INDEX('Model Pricing'!$C$7:$C$8,MATCH(F134,'Model Pricing'!$A$7:$A$8,0))</x:f>
        <x:v>30</x:v>
      </x:c>
      <x:c r="L134" s="17" t="n">
        <x:f>G134+H134</x:f>
        <x:v>44125</x:v>
      </x:c>
      <x:c r="M134" s="28" t="n">
        <x:f>G134*J134/1000000</x:f>
        <x:v>0.3754</x:v>
      </x:c>
      <x:c r="N134" s="28" t="n">
        <x:f>H134*K134/1000000</x:f>
        <x:v>0.19755</x:v>
      </x:c>
      <x:c r="O134" s="28" t="n">
        <x:f>SUM(M134:N134)</x:f>
        <x:v>0.5729500000000001</x:v>
      </x:c>
    </x:row>
    <x:row r="135" ht="23" customHeight="1">
      <x:c r="A135" s="17" t="str">
        <x:v>U00129</x:v>
      </x:c>
      <x:c r="B135" s="18" t="n">
        <x:v>46281</x:v>
      </x:c>
      <x:c r="C135" s="17" t="str">
        <x:v>W0017</x:v>
      </x:c>
      <x:c r="D135" s="17" t="str">
        <x:v>C001</x:v>
      </x:c>
      <x:c r="E135" s="17" t="str">
        <x:v>CopyStudio</x:v>
      </x:c>
      <x:c r="F135" s="17" t="str">
        <x:v>Lite</x:v>
      </x:c>
      <x:c r="G135" s="17" t="n">
        <x:v>65409</x:v>
      </x:c>
      <x:c r="H135" s="17" t="n">
        <x:v>5908</x:v>
      </x:c>
      <x:c r="I135" s="17" t="str">
        <x:v>Followup</x:v>
      </x:c>
      <x:c r="J135" s="27" t="n">
        <x:f>INDEX('Model Pricing'!$B$7:$B$8,MATCH(F135,'Model Pricing'!$A$7:$A$8,0))</x:f>
        <x:v>10</x:v>
      </x:c>
      <x:c r="K135" s="27" t="n">
        <x:f>INDEX('Model Pricing'!$C$7:$C$8,MATCH(F135,'Model Pricing'!$A$7:$A$8,0))</x:f>
        <x:v>30</x:v>
      </x:c>
      <x:c r="L135" s="17" t="n">
        <x:f>G135+H135</x:f>
        <x:v>71317</x:v>
      </x:c>
      <x:c r="M135" s="28" t="n">
        <x:f>G135*J135/1000000</x:f>
        <x:v>0.65409</x:v>
      </x:c>
      <x:c r="N135" s="28" t="n">
        <x:f>H135*K135/1000000</x:f>
        <x:v>0.17724</x:v>
      </x:c>
      <x:c r="O135" s="28" t="n">
        <x:f>SUM(M135:N135)</x:f>
        <x:v>0.8313299999999999</x:v>
      </x:c>
    </x:row>
    <x:row r="136" ht="23" customHeight="1">
      <x:c r="A136" s="17" t="str">
        <x:v>U00130</x:v>
      </x:c>
      <x:c r="B136" s="18" t="n">
        <x:v>46281</x:v>
      </x:c>
      <x:c r="C136" s="17" t="str">
        <x:v>W0017</x:v>
      </x:c>
      <x:c r="D136" s="17" t="str">
        <x:v>C001</x:v>
      </x:c>
      <x:c r="E136" s="17" t="str">
        <x:v>CopyStudio</x:v>
      </x:c>
      <x:c r="F136" s="17" t="str">
        <x:v>Lite</x:v>
      </x:c>
      <x:c r="G136" s="17" t="n">
        <x:v>53384</x:v>
      </x:c>
      <x:c r="H136" s="17" t="n">
        <x:v>9650</x:v>
      </x:c>
      <x:c r="I136" s="17" t="str">
        <x:v>Followup</x:v>
      </x:c>
      <x:c r="J136" s="27" t="n">
        <x:f>INDEX('Model Pricing'!$B$7:$B$8,MATCH(F136,'Model Pricing'!$A$7:$A$8,0))</x:f>
        <x:v>10</x:v>
      </x:c>
      <x:c r="K136" s="27" t="n">
        <x:f>INDEX('Model Pricing'!$C$7:$C$8,MATCH(F136,'Model Pricing'!$A$7:$A$8,0))</x:f>
        <x:v>30</x:v>
      </x:c>
      <x:c r="L136" s="17" t="n">
        <x:f>G136+H136</x:f>
        <x:v>63034</x:v>
      </x:c>
      <x:c r="M136" s="28" t="n">
        <x:f>G136*J136/1000000</x:f>
        <x:v>0.53384</x:v>
      </x:c>
      <x:c r="N136" s="28" t="n">
        <x:f>H136*K136/1000000</x:f>
        <x:v>0.2895</x:v>
      </x:c>
      <x:c r="O136" s="28" t="n">
        <x:f>SUM(M136:N136)</x:f>
        <x:v>0.82334</x:v>
      </x:c>
    </x:row>
    <x:row r="137" ht="23" customHeight="1">
      <x:c r="A137" s="17" t="str">
        <x:v>U00131</x:v>
      </x:c>
      <x:c r="B137" s="18" t="n">
        <x:v>46281</x:v>
      </x:c>
      <x:c r="C137" s="17" t="str">
        <x:v>W0017</x:v>
      </x:c>
      <x:c r="D137" s="17" t="str">
        <x:v>C001</x:v>
      </x:c>
      <x:c r="E137" s="17" t="str">
        <x:v>CopyStudio</x:v>
      </x:c>
      <x:c r="F137" s="17" t="str">
        <x:v>Lite</x:v>
      </x:c>
      <x:c r="G137" s="17" t="n">
        <x:v>52118</x:v>
      </x:c>
      <x:c r="H137" s="17" t="n">
        <x:v>11785</x:v>
      </x:c>
      <x:c r="I137" s="17" t="str">
        <x:v>Followup</x:v>
      </x:c>
      <x:c r="J137" s="27" t="n">
        <x:f>INDEX('Model Pricing'!$B$7:$B$8,MATCH(F137,'Model Pricing'!$A$7:$A$8,0))</x:f>
        <x:v>10</x:v>
      </x:c>
      <x:c r="K137" s="27" t="n">
        <x:f>INDEX('Model Pricing'!$C$7:$C$8,MATCH(F137,'Model Pricing'!$A$7:$A$8,0))</x:f>
        <x:v>30</x:v>
      </x:c>
      <x:c r="L137" s="17" t="n">
        <x:f>G137+H137</x:f>
        <x:v>63903</x:v>
      </x:c>
      <x:c r="M137" s="28" t="n">
        <x:f>G137*J137/1000000</x:f>
        <x:v>0.52118</x:v>
      </x:c>
      <x:c r="N137" s="28" t="n">
        <x:f>H137*K137/1000000</x:f>
        <x:v>0.35355</x:v>
      </x:c>
      <x:c r="O137" s="28" t="n">
        <x:f>SUM(M137:N137)</x:f>
        <x:v>0.87473</x:v>
      </x:c>
    </x:row>
    <x:row r="138" ht="23" customHeight="1">
      <x:c r="A138" s="17" t="str">
        <x:v>U00132</x:v>
      </x:c>
      <x:c r="B138" s="18" t="n">
        <x:v>46287</x:v>
      </x:c>
      <x:c r="C138" s="17" t="str">
        <x:v>W0018</x:v>
      </x:c>
      <x:c r="D138" s="17" t="str">
        <x:v>C001</x:v>
      </x:c>
      <x:c r="E138" s="17" t="str">
        <x:v>CopyStudio</x:v>
      </x:c>
      <x:c r="F138" s="17" t="str">
        <x:v>Lite</x:v>
      </x:c>
      <x:c r="G138" s="17" t="n">
        <x:v>36126</x:v>
      </x:c>
      <x:c r="H138" s="17" t="n">
        <x:v>7745</x:v>
      </x:c>
      <x:c r="I138" s="17" t="str">
        <x:v>First attempt</x:v>
      </x:c>
      <x:c r="J138" s="27" t="n">
        <x:f>INDEX('Model Pricing'!$B$7:$B$8,MATCH(F138,'Model Pricing'!$A$7:$A$8,0))</x:f>
        <x:v>10</x:v>
      </x:c>
      <x:c r="K138" s="27" t="n">
        <x:f>INDEX('Model Pricing'!$C$7:$C$8,MATCH(F138,'Model Pricing'!$A$7:$A$8,0))</x:f>
        <x:v>30</x:v>
      </x:c>
      <x:c r="L138" s="17" t="n">
        <x:f>G138+H138</x:f>
        <x:v>43871</x:v>
      </x:c>
      <x:c r="M138" s="28" t="n">
        <x:f>G138*J138/1000000</x:f>
        <x:v>0.36126</x:v>
      </x:c>
      <x:c r="N138" s="28" t="n">
        <x:f>H138*K138/1000000</x:f>
        <x:v>0.23235</x:v>
      </x:c>
      <x:c r="O138" s="28" t="n">
        <x:f>SUM(M138:N138)</x:f>
        <x:v>0.59361</x:v>
      </x:c>
    </x:row>
    <x:row r="139" ht="23" customHeight="1">
      <x:c r="A139" s="17" t="str">
        <x:v>U00133</x:v>
      </x:c>
      <x:c r="B139" s="18" t="n">
        <x:v>46287</x:v>
      </x:c>
      <x:c r="C139" s="17" t="str">
        <x:v>W0018</x:v>
      </x:c>
      <x:c r="D139" s="17" t="str">
        <x:v>C001</x:v>
      </x:c>
      <x:c r="E139" s="17" t="str">
        <x:v>CopyStudio</x:v>
      </x:c>
      <x:c r="F139" s="17" t="str">
        <x:v>Lite</x:v>
      </x:c>
      <x:c r="G139" s="17" t="n">
        <x:v>35246</x:v>
      </x:c>
      <x:c r="H139" s="17" t="n">
        <x:v>6773</x:v>
      </x:c>
      <x:c r="I139" s="17" t="str">
        <x:v>Followup</x:v>
      </x:c>
      <x:c r="J139" s="27" t="n">
        <x:f>INDEX('Model Pricing'!$B$7:$B$8,MATCH(F139,'Model Pricing'!$A$7:$A$8,0))</x:f>
        <x:v>10</x:v>
      </x:c>
      <x:c r="K139" s="27" t="n">
        <x:f>INDEX('Model Pricing'!$C$7:$C$8,MATCH(F139,'Model Pricing'!$A$7:$A$8,0))</x:f>
        <x:v>30</x:v>
      </x:c>
      <x:c r="L139" s="17" t="n">
        <x:f>G139+H139</x:f>
        <x:v>42019</x:v>
      </x:c>
      <x:c r="M139" s="28" t="n">
        <x:f>G139*J139/1000000</x:f>
        <x:v>0.35246</x:v>
      </x:c>
      <x:c r="N139" s="28" t="n">
        <x:f>H139*K139/1000000</x:f>
        <x:v>0.20319</x:v>
      </x:c>
      <x:c r="O139" s="28" t="n">
        <x:f>SUM(M139:N139)</x:f>
        <x:v>0.55565</x:v>
      </x:c>
    </x:row>
    <x:row r="140" ht="23" customHeight="1">
      <x:c r="A140" s="17" t="str">
        <x:v>U00134</x:v>
      </x:c>
      <x:c r="B140" s="18" t="n">
        <x:v>46287</x:v>
      </x:c>
      <x:c r="C140" s="17" t="str">
        <x:v>W0018</x:v>
      </x:c>
      <x:c r="D140" s="17" t="str">
        <x:v>C001</x:v>
      </x:c>
      <x:c r="E140" s="17" t="str">
        <x:v>CopyStudio</x:v>
      </x:c>
      <x:c r="F140" s="17" t="str">
        <x:v>Lite</x:v>
      </x:c>
      <x:c r="G140" s="17" t="n">
        <x:v>64250</x:v>
      </x:c>
      <x:c r="H140" s="17" t="n">
        <x:v>4910</x:v>
      </x:c>
      <x:c r="I140" s="17" t="str">
        <x:v>Followup</x:v>
      </x:c>
      <x:c r="J140" s="27" t="n">
        <x:f>INDEX('Model Pricing'!$B$7:$B$8,MATCH(F140,'Model Pricing'!$A$7:$A$8,0))</x:f>
        <x:v>10</x:v>
      </x:c>
      <x:c r="K140" s="27" t="n">
        <x:f>INDEX('Model Pricing'!$C$7:$C$8,MATCH(F140,'Model Pricing'!$A$7:$A$8,0))</x:f>
        <x:v>30</x:v>
      </x:c>
      <x:c r="L140" s="17" t="n">
        <x:f>G140+H140</x:f>
        <x:v>69160</x:v>
      </x:c>
      <x:c r="M140" s="28" t="n">
        <x:f>G140*J140/1000000</x:f>
        <x:v>0.6425</x:v>
      </x:c>
      <x:c r="N140" s="28" t="n">
        <x:f>H140*K140/1000000</x:f>
        <x:v>0.1473</x:v>
      </x:c>
      <x:c r="O140" s="28" t="n">
        <x:f>SUM(M140:N140)</x:f>
        <x:v>0.7898</x:v>
      </x:c>
    </x:row>
    <x:row r="141" ht="23" customHeight="1">
      <x:c r="A141" s="17" t="str">
        <x:v>U00135</x:v>
      </x:c>
      <x:c r="B141" s="18" t="n">
        <x:v>46287</x:v>
      </x:c>
      <x:c r="C141" s="17" t="str">
        <x:v>W0018</x:v>
      </x:c>
      <x:c r="D141" s="17" t="str">
        <x:v>C001</x:v>
      </x:c>
      <x:c r="E141" s="17" t="str">
        <x:v>CopyStudio</x:v>
      </x:c>
      <x:c r="F141" s="17" t="str">
        <x:v>Lite</x:v>
      </x:c>
      <x:c r="G141" s="17" t="n">
        <x:v>36360</x:v>
      </x:c>
      <x:c r="H141" s="17" t="n">
        <x:v>6178</x:v>
      </x:c>
      <x:c r="I141" s="17" t="str">
        <x:v>Followup</x:v>
      </x:c>
      <x:c r="J141" s="27" t="n">
        <x:f>INDEX('Model Pricing'!$B$7:$B$8,MATCH(F141,'Model Pricing'!$A$7:$A$8,0))</x:f>
        <x:v>10</x:v>
      </x:c>
      <x:c r="K141" s="27" t="n">
        <x:f>INDEX('Model Pricing'!$C$7:$C$8,MATCH(F141,'Model Pricing'!$A$7:$A$8,0))</x:f>
        <x:v>30</x:v>
      </x:c>
      <x:c r="L141" s="17" t="n">
        <x:f>G141+H141</x:f>
        <x:v>42538</x:v>
      </x:c>
      <x:c r="M141" s="28" t="n">
        <x:f>G141*J141/1000000</x:f>
        <x:v>0.3636</x:v>
      </x:c>
      <x:c r="N141" s="28" t="n">
        <x:f>H141*K141/1000000</x:f>
        <x:v>0.18534</x:v>
      </x:c>
      <x:c r="O141" s="28" t="n">
        <x:f>SUM(M141:N141)</x:f>
        <x:v>0.54894</x:v>
      </x:c>
    </x:row>
    <x:row r="142" ht="23" customHeight="1">
      <x:c r="A142" s="17" t="str">
        <x:v>U00136</x:v>
      </x:c>
      <x:c r="B142" s="18" t="n">
        <x:v>46288</x:v>
      </x:c>
      <x:c r="C142" s="17" t="str">
        <x:v>W0018</x:v>
      </x:c>
      <x:c r="D142" s="17" t="str">
        <x:v>C001</x:v>
      </x:c>
      <x:c r="E142" s="17" t="str">
        <x:v>CopyStudio</x:v>
      </x:c>
      <x:c r="F142" s="17" t="str">
        <x:v>Lite</x:v>
      </x:c>
      <x:c r="G142" s="17" t="n">
        <x:v>76229</x:v>
      </x:c>
      <x:c r="H142" s="17" t="n">
        <x:v>8753</x:v>
      </x:c>
      <x:c r="I142" s="17" t="str">
        <x:v>Followup</x:v>
      </x:c>
      <x:c r="J142" s="27" t="n">
        <x:f>INDEX('Model Pricing'!$B$7:$B$8,MATCH(F142,'Model Pricing'!$A$7:$A$8,0))</x:f>
        <x:v>10</x:v>
      </x:c>
      <x:c r="K142" s="27" t="n">
        <x:f>INDEX('Model Pricing'!$C$7:$C$8,MATCH(F142,'Model Pricing'!$A$7:$A$8,0))</x:f>
        <x:v>30</x:v>
      </x:c>
      <x:c r="L142" s="17" t="n">
        <x:f>G142+H142</x:f>
        <x:v>84982</x:v>
      </x:c>
      <x:c r="M142" s="28" t="n">
        <x:f>G142*J142/1000000</x:f>
        <x:v>0.76229</x:v>
      </x:c>
      <x:c r="N142" s="28" t="n">
        <x:f>H142*K142/1000000</x:f>
        <x:v>0.26259</x:v>
      </x:c>
      <x:c r="O142" s="28" t="n">
        <x:f>SUM(M142:N142)</x:f>
        <x:v>1.02488</x:v>
      </x:c>
    </x:row>
    <x:row r="143" ht="23" customHeight="1">
      <x:c r="A143" s="17" t="str">
        <x:v>U00137</x:v>
      </x:c>
      <x:c r="B143" s="18" t="n">
        <x:v>46288</x:v>
      </x:c>
      <x:c r="C143" s="17" t="str">
        <x:v>W0018</x:v>
      </x:c>
      <x:c r="D143" s="17" t="str">
        <x:v>C001</x:v>
      </x:c>
      <x:c r="E143" s="17" t="str">
        <x:v>CopyStudio</x:v>
      </x:c>
      <x:c r="F143" s="17" t="str">
        <x:v>Lite</x:v>
      </x:c>
      <x:c r="G143" s="17" t="n">
        <x:v>41698</x:v>
      </x:c>
      <x:c r="H143" s="17" t="n">
        <x:v>4277</x:v>
      </x:c>
      <x:c r="I143" s="17" t="str">
        <x:v>Followup</x:v>
      </x:c>
      <x:c r="J143" s="27" t="n">
        <x:f>INDEX('Model Pricing'!$B$7:$B$8,MATCH(F143,'Model Pricing'!$A$7:$A$8,0))</x:f>
        <x:v>10</x:v>
      </x:c>
      <x:c r="K143" s="27" t="n">
        <x:f>INDEX('Model Pricing'!$C$7:$C$8,MATCH(F143,'Model Pricing'!$A$7:$A$8,0))</x:f>
        <x:v>30</x:v>
      </x:c>
      <x:c r="L143" s="17" t="n">
        <x:f>G143+H143</x:f>
        <x:v>45975</x:v>
      </x:c>
      <x:c r="M143" s="28" t="n">
        <x:f>G143*J143/1000000</x:f>
        <x:v>0.41698</x:v>
      </x:c>
      <x:c r="N143" s="28" t="n">
        <x:f>H143*K143/1000000</x:f>
        <x:v>0.12831</x:v>
      </x:c>
      <x:c r="O143" s="28" t="n">
        <x:f>SUM(M143:N143)</x:f>
        <x:v>0.54529</x:v>
      </x:c>
    </x:row>
    <x:row r="144" ht="23" customHeight="1">
      <x:c r="A144" s="17" t="str">
        <x:v>U00138</x:v>
      </x:c>
      <x:c r="B144" s="18" t="n">
        <x:v>46288</x:v>
      </x:c>
      <x:c r="C144" s="17" t="str">
        <x:v>W0018</x:v>
      </x:c>
      <x:c r="D144" s="17" t="str">
        <x:v>C001</x:v>
      </x:c>
      <x:c r="E144" s="17" t="str">
        <x:v>CopyStudio</x:v>
      </x:c>
      <x:c r="F144" s="17" t="str">
        <x:v>Lite</x:v>
      </x:c>
      <x:c r="G144" s="17" t="n">
        <x:v>62360</x:v>
      </x:c>
      <x:c r="H144" s="17" t="n">
        <x:v>11313</x:v>
      </x:c>
      <x:c r="I144" s="17" t="str">
        <x:v>Followup</x:v>
      </x:c>
      <x:c r="J144" s="27" t="n">
        <x:f>INDEX('Model Pricing'!$B$7:$B$8,MATCH(F144,'Model Pricing'!$A$7:$A$8,0))</x:f>
        <x:v>10</x:v>
      </x:c>
      <x:c r="K144" s="27" t="n">
        <x:f>INDEX('Model Pricing'!$C$7:$C$8,MATCH(F144,'Model Pricing'!$A$7:$A$8,0))</x:f>
        <x:v>30</x:v>
      </x:c>
      <x:c r="L144" s="17" t="n">
        <x:f>G144+H144</x:f>
        <x:v>73673</x:v>
      </x:c>
      <x:c r="M144" s="28" t="n">
        <x:f>G144*J144/1000000</x:f>
        <x:v>0.6236</x:v>
      </x:c>
      <x:c r="N144" s="28" t="n">
        <x:f>H144*K144/1000000</x:f>
        <x:v>0.33939</x:v>
      </x:c>
      <x:c r="O144" s="28" t="n">
        <x:f>SUM(M144:N144)</x:f>
        <x:v>0.96299</x:v>
      </x:c>
    </x:row>
    <x:row r="145" ht="23" customHeight="1">
      <x:c r="A145" s="17" t="str">
        <x:v>U00139</x:v>
      </x:c>
      <x:c r="B145" s="18" t="n">
        <x:v>46289</x:v>
      </x:c>
      <x:c r="C145" s="17" t="str">
        <x:v>W0018</x:v>
      </x:c>
      <x:c r="D145" s="17" t="str">
        <x:v>C001</x:v>
      </x:c>
      <x:c r="E145" s="17" t="str">
        <x:v>CopyStudio</x:v>
      </x:c>
      <x:c r="F145" s="17" t="str">
        <x:v>Lite</x:v>
      </x:c>
      <x:c r="G145" s="17" t="n">
        <x:v>35912</x:v>
      </x:c>
      <x:c r="H145" s="17" t="n">
        <x:v>3450</x:v>
      </x:c>
      <x:c r="I145" s="17" t="str">
        <x:v>Followup</x:v>
      </x:c>
      <x:c r="J145" s="27" t="n">
        <x:f>INDEX('Model Pricing'!$B$7:$B$8,MATCH(F145,'Model Pricing'!$A$7:$A$8,0))</x:f>
        <x:v>10</x:v>
      </x:c>
      <x:c r="K145" s="27" t="n">
        <x:f>INDEX('Model Pricing'!$C$7:$C$8,MATCH(F145,'Model Pricing'!$A$7:$A$8,0))</x:f>
        <x:v>30</x:v>
      </x:c>
      <x:c r="L145" s="17" t="n">
        <x:f>G145+H145</x:f>
        <x:v>39362</x:v>
      </x:c>
      <x:c r="M145" s="28" t="n">
        <x:f>G145*J145/1000000</x:f>
        <x:v>0.35912</x:v>
      </x:c>
      <x:c r="N145" s="28" t="n">
        <x:f>H145*K145/1000000</x:f>
        <x:v>0.1035</x:v>
      </x:c>
      <x:c r="O145" s="28" t="n">
        <x:f>SUM(M145:N145)</x:f>
        <x:v>0.46262</x:v>
      </x:c>
    </x:row>
    <x:row r="146" ht="23" customHeight="1">
      <x:c r="A146" s="17" t="str">
        <x:v>U00140</x:v>
      </x:c>
      <x:c r="B146" s="18" t="n">
        <x:v>46289</x:v>
      </x:c>
      <x:c r="C146" s="17" t="str">
        <x:v>W0018</x:v>
      </x:c>
      <x:c r="D146" s="17" t="str">
        <x:v>C001</x:v>
      </x:c>
      <x:c r="E146" s="17" t="str">
        <x:v>CopyStudio</x:v>
      </x:c>
      <x:c r="F146" s="17" t="str">
        <x:v>Lite</x:v>
      </x:c>
      <x:c r="G146" s="17" t="n">
        <x:v>50312</x:v>
      </x:c>
      <x:c r="H146" s="17" t="n">
        <x:v>7759</x:v>
      </x:c>
      <x:c r="I146" s="17" t="str">
        <x:v>Followup</x:v>
      </x:c>
      <x:c r="J146" s="27" t="n">
        <x:f>INDEX('Model Pricing'!$B$7:$B$8,MATCH(F146,'Model Pricing'!$A$7:$A$8,0))</x:f>
        <x:v>10</x:v>
      </x:c>
      <x:c r="K146" s="27" t="n">
        <x:f>INDEX('Model Pricing'!$C$7:$C$8,MATCH(F146,'Model Pricing'!$A$7:$A$8,0))</x:f>
        <x:v>30</x:v>
      </x:c>
      <x:c r="L146" s="17" t="n">
        <x:f>G146+H146</x:f>
        <x:v>58071</x:v>
      </x:c>
      <x:c r="M146" s="28" t="n">
        <x:f>G146*J146/1000000</x:f>
        <x:v>0.50312</x:v>
      </x:c>
      <x:c r="N146" s="28" t="n">
        <x:f>H146*K146/1000000</x:f>
        <x:v>0.23277</x:v>
      </x:c>
      <x:c r="O146" s="28" t="n">
        <x:f>SUM(M146:N146)</x:f>
        <x:v>0.73589</x:v>
      </x:c>
    </x:row>
    <x:row r="147" ht="23" customHeight="1">
      <x:c r="A147" s="17" t="str">
        <x:v>U00141</x:v>
      </x:c>
      <x:c r="B147" s="18" t="n">
        <x:v>46289</x:v>
      </x:c>
      <x:c r="C147" s="17" t="str">
        <x:v>W0018</x:v>
      </x:c>
      <x:c r="D147" s="17" t="str">
        <x:v>C001</x:v>
      </x:c>
      <x:c r="E147" s="17" t="str">
        <x:v>CopyStudio</x:v>
      </x:c>
      <x:c r="F147" s="17" t="str">
        <x:v>Lite</x:v>
      </x:c>
      <x:c r="G147" s="17" t="n">
        <x:v>71632</x:v>
      </x:c>
      <x:c r="H147" s="17" t="n">
        <x:v>6716</x:v>
      </x:c>
      <x:c r="I147" s="17" t="str">
        <x:v>Followup</x:v>
      </x:c>
      <x:c r="J147" s="27" t="n">
        <x:f>INDEX('Model Pricing'!$B$7:$B$8,MATCH(F147,'Model Pricing'!$A$7:$A$8,0))</x:f>
        <x:v>10</x:v>
      </x:c>
      <x:c r="K147" s="27" t="n">
        <x:f>INDEX('Model Pricing'!$C$7:$C$8,MATCH(F147,'Model Pricing'!$A$7:$A$8,0))</x:f>
        <x:v>30</x:v>
      </x:c>
      <x:c r="L147" s="17" t="n">
        <x:f>G147+H147</x:f>
        <x:v>78348</x:v>
      </x:c>
      <x:c r="M147" s="28" t="n">
        <x:f>G147*J147/1000000</x:f>
        <x:v>0.71632</x:v>
      </x:c>
      <x:c r="N147" s="28" t="n">
        <x:f>H147*K147/1000000</x:f>
        <x:v>0.20148</x:v>
      </x:c>
      <x:c r="O147" s="28" t="n">
        <x:f>SUM(M147:N147)</x:f>
        <x:v>0.9178</x:v>
      </x:c>
    </x:row>
    <x:row r="148" ht="23" customHeight="1">
      <x:c r="A148" s="17" t="str">
        <x:v>U00142</x:v>
      </x:c>
      <x:c r="B148" s="18" t="n">
        <x:v>46290</x:v>
      </x:c>
      <x:c r="C148" s="17" t="str">
        <x:v>W0018</x:v>
      </x:c>
      <x:c r="D148" s="17" t="str">
        <x:v>C001</x:v>
      </x:c>
      <x:c r="E148" s="17" t="str">
        <x:v>CopyStudio</x:v>
      </x:c>
      <x:c r="F148" s="17" t="str">
        <x:v>Lite</x:v>
      </x:c>
      <x:c r="G148" s="17" t="n">
        <x:v>53118</x:v>
      </x:c>
      <x:c r="H148" s="17" t="n">
        <x:v>12746</x:v>
      </x:c>
      <x:c r="I148" s="17" t="str">
        <x:v>Followup</x:v>
      </x:c>
      <x:c r="J148" s="27" t="n">
        <x:f>INDEX('Model Pricing'!$B$7:$B$8,MATCH(F148,'Model Pricing'!$A$7:$A$8,0))</x:f>
        <x:v>10</x:v>
      </x:c>
      <x:c r="K148" s="27" t="n">
        <x:f>INDEX('Model Pricing'!$C$7:$C$8,MATCH(F148,'Model Pricing'!$A$7:$A$8,0))</x:f>
        <x:v>30</x:v>
      </x:c>
      <x:c r="L148" s="17" t="n">
        <x:f>G148+H148</x:f>
        <x:v>65864</x:v>
      </x:c>
      <x:c r="M148" s="28" t="n">
        <x:f>G148*J148/1000000</x:f>
        <x:v>0.53118</x:v>
      </x:c>
      <x:c r="N148" s="28" t="n">
        <x:f>H148*K148/1000000</x:f>
        <x:v>0.38238</x:v>
      </x:c>
      <x:c r="O148" s="28" t="n">
        <x:f>SUM(M148:N148)</x:f>
        <x:v>0.9135599999999999</x:v>
      </x:c>
    </x:row>
    <x:row r="149" ht="23" customHeight="1">
      <x:c r="A149" s="17" t="str">
        <x:v>U00143</x:v>
      </x:c>
      <x:c r="B149" s="18" t="n">
        <x:v>46290</x:v>
      </x:c>
      <x:c r="C149" s="17" t="str">
        <x:v>W0018</x:v>
      </x:c>
      <x:c r="D149" s="17" t="str">
        <x:v>C001</x:v>
      </x:c>
      <x:c r="E149" s="17" t="str">
        <x:v>CopyStudio</x:v>
      </x:c>
      <x:c r="F149" s="17" t="str">
        <x:v>Lite</x:v>
      </x:c>
      <x:c r="G149" s="17" t="n">
        <x:v>72196</x:v>
      </x:c>
      <x:c r="H149" s="17" t="n">
        <x:v>8255</x:v>
      </x:c>
      <x:c r="I149" s="17" t="str">
        <x:v>Followup</x:v>
      </x:c>
      <x:c r="J149" s="27" t="n">
        <x:f>INDEX('Model Pricing'!$B$7:$B$8,MATCH(F149,'Model Pricing'!$A$7:$A$8,0))</x:f>
        <x:v>10</x:v>
      </x:c>
      <x:c r="K149" s="27" t="n">
        <x:f>INDEX('Model Pricing'!$C$7:$C$8,MATCH(F149,'Model Pricing'!$A$7:$A$8,0))</x:f>
        <x:v>30</x:v>
      </x:c>
      <x:c r="L149" s="17" t="n">
        <x:f>G149+H149</x:f>
        <x:v>80451</x:v>
      </x:c>
      <x:c r="M149" s="28" t="n">
        <x:f>G149*J149/1000000</x:f>
        <x:v>0.72196</x:v>
      </x:c>
      <x:c r="N149" s="28" t="n">
        <x:f>H149*K149/1000000</x:f>
        <x:v>0.24765</x:v>
      </x:c>
      <x:c r="O149" s="28" t="n">
        <x:f>SUM(M149:N149)</x:f>
        <x:v>0.9696100000000001</x:v>
      </x:c>
    </x:row>
    <x:row r="150" ht="23" customHeight="1">
      <x:c r="A150" s="17" t="str">
        <x:v>U00144</x:v>
      </x:c>
      <x:c r="B150" s="18" t="n">
        <x:v>46290</x:v>
      </x:c>
      <x:c r="C150" s="17" t="str">
        <x:v>W0018</x:v>
      </x:c>
      <x:c r="D150" s="17" t="str">
        <x:v>C001</x:v>
      </x:c>
      <x:c r="E150" s="17" t="str">
        <x:v>CopyStudio</x:v>
      </x:c>
      <x:c r="F150" s="17" t="str">
        <x:v>Lite</x:v>
      </x:c>
      <x:c r="G150" s="17" t="n">
        <x:v>45062</x:v>
      </x:c>
      <x:c r="H150" s="17" t="n">
        <x:v>13337</x:v>
      </x:c>
      <x:c r="I150" s="17" t="str">
        <x:v>Correction</x:v>
      </x:c>
      <x:c r="J150" s="27" t="n">
        <x:f>INDEX('Model Pricing'!$B$7:$B$8,MATCH(F150,'Model Pricing'!$A$7:$A$8,0))</x:f>
        <x:v>10</x:v>
      </x:c>
      <x:c r="K150" s="27" t="n">
        <x:f>INDEX('Model Pricing'!$C$7:$C$8,MATCH(F150,'Model Pricing'!$A$7:$A$8,0))</x:f>
        <x:v>30</x:v>
      </x:c>
      <x:c r="L150" s="17" t="n">
        <x:f>G150+H150</x:f>
        <x:v>58399</x:v>
      </x:c>
      <x:c r="M150" s="28" t="n">
        <x:f>G150*J150/1000000</x:f>
        <x:v>0.45062</x:v>
      </x:c>
      <x:c r="N150" s="28" t="n">
        <x:f>H150*K150/1000000</x:f>
        <x:v>0.40011</x:v>
      </x:c>
      <x:c r="O150" s="28" t="n">
        <x:f>SUM(M150:N150)</x:f>
        <x:v>0.85073</x:v>
      </x:c>
    </x:row>
    <x:row r="151" ht="23" customHeight="1">
      <x:c r="A151" s="17" t="str">
        <x:v>U00145</x:v>
      </x:c>
      <x:c r="B151" s="18" t="n">
        <x:v>46281</x:v>
      </x:c>
      <x:c r="C151" s="17" t="str">
        <x:v>W0020</x:v>
      </x:c>
      <x:c r="D151" s="17" t="str">
        <x:v>C001</x:v>
      </x:c>
      <x:c r="E151" s="17" t="str">
        <x:v>CampaignChat</x:v>
      </x:c>
      <x:c r="F151" s="17" t="str">
        <x:v>Lite</x:v>
      </x:c>
      <x:c r="G151" s="17" t="n">
        <x:v>23670</x:v>
      </x:c>
      <x:c r="H151" s="17" t="n">
        <x:v>7366</x:v>
      </x:c>
      <x:c r="I151" s="17" t="str">
        <x:v>First attempt</x:v>
      </x:c>
      <x:c r="J151" s="27" t="n">
        <x:f>INDEX('Model Pricing'!$B$7:$B$8,MATCH(F151,'Model Pricing'!$A$7:$A$8,0))</x:f>
        <x:v>10</x:v>
      </x:c>
      <x:c r="K151" s="27" t="n">
        <x:f>INDEX('Model Pricing'!$C$7:$C$8,MATCH(F151,'Model Pricing'!$A$7:$A$8,0))</x:f>
        <x:v>30</x:v>
      </x:c>
      <x:c r="L151" s="17" t="n">
        <x:f>G151+H151</x:f>
        <x:v>31036</x:v>
      </x:c>
      <x:c r="M151" s="28" t="n">
        <x:f>G151*J151/1000000</x:f>
        <x:v>0.2367</x:v>
      </x:c>
      <x:c r="N151" s="28" t="n">
        <x:f>H151*K151/1000000</x:f>
        <x:v>0.22098</x:v>
      </x:c>
      <x:c r="O151" s="28" t="n">
        <x:f>SUM(M151:N151)</x:f>
        <x:v>0.45768</x:v>
      </x:c>
    </x:row>
    <x:row r="152" ht="23" customHeight="1">
      <x:c r="A152" s="17" t="str">
        <x:v>U00146</x:v>
      </x:c>
      <x:c r="B152" s="18" t="n">
        <x:v>46281</x:v>
      </x:c>
      <x:c r="C152" s="17" t="str">
        <x:v>W0020</x:v>
      </x:c>
      <x:c r="D152" s="17" t="str">
        <x:v>C001</x:v>
      </x:c>
      <x:c r="E152" s="17" t="str">
        <x:v>CampaignChat</x:v>
      </x:c>
      <x:c r="F152" s="17" t="str">
        <x:v>Lite</x:v>
      </x:c>
      <x:c r="G152" s="17" t="n">
        <x:v>30199</x:v>
      </x:c>
      <x:c r="H152" s="17" t="n">
        <x:v>7111</x:v>
      </x:c>
      <x:c r="I152" s="17" t="str">
        <x:v>Followup</x:v>
      </x:c>
      <x:c r="J152" s="27" t="n">
        <x:f>INDEX('Model Pricing'!$B$7:$B$8,MATCH(F152,'Model Pricing'!$A$7:$A$8,0))</x:f>
        <x:v>10</x:v>
      </x:c>
      <x:c r="K152" s="27" t="n">
        <x:f>INDEX('Model Pricing'!$C$7:$C$8,MATCH(F152,'Model Pricing'!$A$7:$A$8,0))</x:f>
        <x:v>30</x:v>
      </x:c>
      <x:c r="L152" s="17" t="n">
        <x:f>G152+H152</x:f>
        <x:v>37310</x:v>
      </x:c>
      <x:c r="M152" s="28" t="n">
        <x:f>G152*J152/1000000</x:f>
        <x:v>0.30199</x:v>
      </x:c>
      <x:c r="N152" s="28" t="n">
        <x:f>H152*K152/1000000</x:f>
        <x:v>0.21333</x:v>
      </x:c>
      <x:c r="O152" s="28" t="n">
        <x:f>SUM(M152:N152)</x:f>
        <x:v>0.51532</x:v>
      </x:c>
    </x:row>
    <x:row r="153" ht="23" customHeight="1">
      <x:c r="A153" s="17" t="str">
        <x:v>U00147</x:v>
      </x:c>
      <x:c r="B153" s="18" t="n">
        <x:v>46282</x:v>
      </x:c>
      <x:c r="C153" s="17" t="str">
        <x:v>W0020</x:v>
      </x:c>
      <x:c r="D153" s="17" t="str">
        <x:v>C001</x:v>
      </x:c>
      <x:c r="E153" s="17" t="str">
        <x:v>CampaignChat</x:v>
      </x:c>
      <x:c r="F153" s="17" t="str">
        <x:v>Lite</x:v>
      </x:c>
      <x:c r="G153" s="17" t="n">
        <x:v>50462</x:v>
      </x:c>
      <x:c r="H153" s="17" t="n">
        <x:v>5930</x:v>
      </x:c>
      <x:c r="I153" s="17" t="str">
        <x:v>Correction</x:v>
      </x:c>
      <x:c r="J153" s="27" t="n">
        <x:f>INDEX('Model Pricing'!$B$7:$B$8,MATCH(F153,'Model Pricing'!$A$7:$A$8,0))</x:f>
        <x:v>10</x:v>
      </x:c>
      <x:c r="K153" s="27" t="n">
        <x:f>INDEX('Model Pricing'!$C$7:$C$8,MATCH(F153,'Model Pricing'!$A$7:$A$8,0))</x:f>
        <x:v>30</x:v>
      </x:c>
      <x:c r="L153" s="17" t="n">
        <x:f>G153+H153</x:f>
        <x:v>56392</x:v>
      </x:c>
      <x:c r="M153" s="28" t="n">
        <x:f>G153*J153/1000000</x:f>
        <x:v>0.50462</x:v>
      </x:c>
      <x:c r="N153" s="28" t="n">
        <x:f>H153*K153/1000000</x:f>
        <x:v>0.1779</x:v>
      </x:c>
      <x:c r="O153" s="28" t="n">
        <x:f>SUM(M153:N153)</x:f>
        <x:v>0.68252</x:v>
      </x:c>
    </x:row>
    <x:row r="154" ht="23" customHeight="1">
      <x:c r="A154" s="17" t="str">
        <x:v>U00148</x:v>
      </x:c>
      <x:c r="B154" s="18" t="n">
        <x:v>46282</x:v>
      </x:c>
      <x:c r="C154" s="17" t="str">
        <x:v>W0020</x:v>
      </x:c>
      <x:c r="D154" s="17" t="str">
        <x:v>C001</x:v>
      </x:c>
      <x:c r="E154" s="17" t="str">
        <x:v>CampaignChat</x:v>
      </x:c>
      <x:c r="F154" s="17" t="str">
        <x:v>Lite</x:v>
      </x:c>
      <x:c r="G154" s="17" t="n">
        <x:v>41187</x:v>
      </x:c>
      <x:c r="H154" s="17" t="n">
        <x:v>7727</x:v>
      </x:c>
      <x:c r="I154" s="17" t="str">
        <x:v>Followup</x:v>
      </x:c>
      <x:c r="J154" s="27" t="n">
        <x:f>INDEX('Model Pricing'!$B$7:$B$8,MATCH(F154,'Model Pricing'!$A$7:$A$8,0))</x:f>
        <x:v>10</x:v>
      </x:c>
      <x:c r="K154" s="27" t="n">
        <x:f>INDEX('Model Pricing'!$C$7:$C$8,MATCH(F154,'Model Pricing'!$A$7:$A$8,0))</x:f>
        <x:v>30</x:v>
      </x:c>
      <x:c r="L154" s="17" t="n">
        <x:f>G154+H154</x:f>
        <x:v>48914</x:v>
      </x:c>
      <x:c r="M154" s="28" t="n">
        <x:f>G154*J154/1000000</x:f>
        <x:v>0.41187</x:v>
      </x:c>
      <x:c r="N154" s="28" t="n">
        <x:f>H154*K154/1000000</x:f>
        <x:v>0.23181</x:v>
      </x:c>
      <x:c r="O154" s="28" t="n">
        <x:f>SUM(M154:N154)</x:f>
        <x:v>0.64368</x:v>
      </x:c>
    </x:row>
    <x:row r="155" ht="23" customHeight="1">
      <x:c r="A155" s="17" t="str">
        <x:v>U00149</x:v>
      </x:c>
      <x:c r="B155" s="18" t="n">
        <x:v>46283</x:v>
      </x:c>
      <x:c r="C155" s="17" t="str">
        <x:v>W0020</x:v>
      </x:c>
      <x:c r="D155" s="17" t="str">
        <x:v>C001</x:v>
      </x:c>
      <x:c r="E155" s="17" t="str">
        <x:v>CampaignChat</x:v>
      </x:c>
      <x:c r="F155" s="17" t="str">
        <x:v>Lite</x:v>
      </x:c>
      <x:c r="G155" s="17" t="n">
        <x:v>54163</x:v>
      </x:c>
      <x:c r="H155" s="17" t="n">
        <x:v>3992</x:v>
      </x:c>
      <x:c r="I155" s="17" t="str">
        <x:v>Followup</x:v>
      </x:c>
      <x:c r="J155" s="27" t="n">
        <x:f>INDEX('Model Pricing'!$B$7:$B$8,MATCH(F155,'Model Pricing'!$A$7:$A$8,0))</x:f>
        <x:v>10</x:v>
      </x:c>
      <x:c r="K155" s="27" t="n">
        <x:f>INDEX('Model Pricing'!$C$7:$C$8,MATCH(F155,'Model Pricing'!$A$7:$A$8,0))</x:f>
        <x:v>30</x:v>
      </x:c>
      <x:c r="L155" s="17" t="n">
        <x:f>G155+H155</x:f>
        <x:v>58155</x:v>
      </x:c>
      <x:c r="M155" s="28" t="n">
        <x:f>G155*J155/1000000</x:f>
        <x:v>0.54163</x:v>
      </x:c>
      <x:c r="N155" s="28" t="n">
        <x:f>H155*K155/1000000</x:f>
        <x:v>0.11976</x:v>
      </x:c>
      <x:c r="O155" s="28" t="n">
        <x:f>SUM(M155:N155)</x:f>
        <x:v>0.6613899999999999</x:v>
      </x:c>
    </x:row>
    <x:row r="156" ht="23" customHeight="1">
      <x:c r="A156" s="17" t="str">
        <x:v>U00150</x:v>
      </x:c>
      <x:c r="B156" s="18" t="n">
        <x:v>46283</x:v>
      </x:c>
      <x:c r="C156" s="17" t="str">
        <x:v>W0020</x:v>
      </x:c>
      <x:c r="D156" s="17" t="str">
        <x:v>C001</x:v>
      </x:c>
      <x:c r="E156" s="17" t="str">
        <x:v>CampaignChat</x:v>
      </x:c>
      <x:c r="F156" s="17" t="str">
        <x:v>Lite</x:v>
      </x:c>
      <x:c r="G156" s="17" t="n">
        <x:v>45362</x:v>
      </x:c>
      <x:c r="H156" s="17" t="n">
        <x:v>6729</x:v>
      </x:c>
      <x:c r="I156" s="17" t="str">
        <x:v>Followup</x:v>
      </x:c>
      <x:c r="J156" s="27" t="n">
        <x:f>INDEX('Model Pricing'!$B$7:$B$8,MATCH(F156,'Model Pricing'!$A$7:$A$8,0))</x:f>
        <x:v>10</x:v>
      </x:c>
      <x:c r="K156" s="27" t="n">
        <x:f>INDEX('Model Pricing'!$C$7:$C$8,MATCH(F156,'Model Pricing'!$A$7:$A$8,0))</x:f>
        <x:v>30</x:v>
      </x:c>
      <x:c r="L156" s="17" t="n">
        <x:f>G156+H156</x:f>
        <x:v>52091</x:v>
      </x:c>
      <x:c r="M156" s="28" t="n">
        <x:f>G156*J156/1000000</x:f>
        <x:v>0.45362</x:v>
      </x:c>
      <x:c r="N156" s="28" t="n">
        <x:f>H156*K156/1000000</x:f>
        <x:v>0.20187</x:v>
      </x:c>
      <x:c r="O156" s="28" t="n">
        <x:f>SUM(M156:N156)</x:f>
        <x:v>0.65549</x:v>
      </x:c>
    </x:row>
    <x:row r="157" ht="23" customHeight="1">
      <x:c r="A157" s="17" t="str">
        <x:v>U00151</x:v>
      </x:c>
      <x:c r="B157" s="18" t="n">
        <x:v>46286</x:v>
      </x:c>
      <x:c r="C157" s="17" t="str">
        <x:v>W0020</x:v>
      </x:c>
      <x:c r="D157" s="17" t="str">
        <x:v>C001</x:v>
      </x:c>
      <x:c r="E157" s="17" t="str">
        <x:v>CampaignChat</x:v>
      </x:c>
      <x:c r="F157" s="17" t="str">
        <x:v>Lite</x:v>
      </x:c>
      <x:c r="G157" s="17" t="n">
        <x:v>66014</x:v>
      </x:c>
      <x:c r="H157" s="17" t="n">
        <x:v>7062</x:v>
      </x:c>
      <x:c r="I157" s="17" t="str">
        <x:v>Followup</x:v>
      </x:c>
      <x:c r="J157" s="27" t="n">
        <x:f>INDEX('Model Pricing'!$B$7:$B$8,MATCH(F157,'Model Pricing'!$A$7:$A$8,0))</x:f>
        <x:v>10</x:v>
      </x:c>
      <x:c r="K157" s="27" t="n">
        <x:f>INDEX('Model Pricing'!$C$7:$C$8,MATCH(F157,'Model Pricing'!$A$7:$A$8,0))</x:f>
        <x:v>30</x:v>
      </x:c>
      <x:c r="L157" s="17" t="n">
        <x:f>G157+H157</x:f>
        <x:v>73076</x:v>
      </x:c>
      <x:c r="M157" s="28" t="n">
        <x:f>G157*J157/1000000</x:f>
        <x:v>0.66014</x:v>
      </x:c>
      <x:c r="N157" s="28" t="n">
        <x:f>H157*K157/1000000</x:f>
        <x:v>0.21186</x:v>
      </x:c>
      <x:c r="O157" s="28" t="n">
        <x:f>SUM(M157:N157)</x:f>
        <x:v>0.8719999999999999</x:v>
      </x:c>
    </x:row>
    <x:row r="158" ht="23" customHeight="1">
      <x:c r="A158" s="17" t="str">
        <x:v>U00152</x:v>
      </x:c>
      <x:c r="B158" s="18" t="n">
        <x:v>46286</x:v>
      </x:c>
      <x:c r="C158" s="17" t="str">
        <x:v>W0020</x:v>
      </x:c>
      <x:c r="D158" s="17" t="str">
        <x:v>C001</x:v>
      </x:c>
      <x:c r="E158" s="17" t="str">
        <x:v>CampaignChat</x:v>
      </x:c>
      <x:c r="F158" s="17" t="str">
        <x:v>Lite</x:v>
      </x:c>
      <x:c r="G158" s="17" t="n">
        <x:v>29221</x:v>
      </x:c>
      <x:c r="H158" s="17" t="n">
        <x:v>3545</x:v>
      </x:c>
      <x:c r="I158" s="17" t="str">
        <x:v>Followup</x:v>
      </x:c>
      <x:c r="J158" s="27" t="n">
        <x:f>INDEX('Model Pricing'!$B$7:$B$8,MATCH(F158,'Model Pricing'!$A$7:$A$8,0))</x:f>
        <x:v>10</x:v>
      </x:c>
      <x:c r="K158" s="27" t="n">
        <x:f>INDEX('Model Pricing'!$C$7:$C$8,MATCH(F158,'Model Pricing'!$A$7:$A$8,0))</x:f>
        <x:v>30</x:v>
      </x:c>
      <x:c r="L158" s="17" t="n">
        <x:f>G158+H158</x:f>
        <x:v>32766</x:v>
      </x:c>
      <x:c r="M158" s="28" t="n">
        <x:f>G158*J158/1000000</x:f>
        <x:v>0.29221</x:v>
      </x:c>
      <x:c r="N158" s="28" t="n">
        <x:f>H158*K158/1000000</x:f>
        <x:v>0.10635</x:v>
      </x:c>
      <x:c r="O158" s="28" t="n">
        <x:f>SUM(M158:N158)</x:f>
        <x:v>0.39856</x:v>
      </x:c>
    </x:row>
    <x:row r="159" ht="23" customHeight="1">
      <x:c r="A159" s="17" t="str">
        <x:v>U00153</x:v>
      </x:c>
      <x:c r="B159" s="18" t="n">
        <x:v>46290</x:v>
      </x:c>
      <x:c r="C159" s="17" t="str">
        <x:v>W0021</x:v>
      </x:c>
      <x:c r="D159" s="17" t="str">
        <x:v>C001</x:v>
      </x:c>
      <x:c r="E159" s="17" t="str">
        <x:v>DataFlow</x:v>
      </x:c>
      <x:c r="F159" s="17" t="str">
        <x:v>Lite</x:v>
      </x:c>
      <x:c r="G159" s="17" t="n">
        <x:v>38025</x:v>
      </x:c>
      <x:c r="H159" s="17" t="n">
        <x:v>10275</x:v>
      </x:c>
      <x:c r="I159" s="17" t="str">
        <x:v>First attempt</x:v>
      </x:c>
      <x:c r="J159" s="27" t="n">
        <x:f>INDEX('Model Pricing'!$B$7:$B$8,MATCH(F159,'Model Pricing'!$A$7:$A$8,0))</x:f>
        <x:v>10</x:v>
      </x:c>
      <x:c r="K159" s="27" t="n">
        <x:f>INDEX('Model Pricing'!$C$7:$C$8,MATCH(F159,'Model Pricing'!$A$7:$A$8,0))</x:f>
        <x:v>30</x:v>
      </x:c>
      <x:c r="L159" s="17" t="n">
        <x:f>G159+H159</x:f>
        <x:v>48300</x:v>
      </x:c>
      <x:c r="M159" s="28" t="n">
        <x:f>G159*J159/1000000</x:f>
        <x:v>0.38025</x:v>
      </x:c>
      <x:c r="N159" s="28" t="n">
        <x:f>H159*K159/1000000</x:f>
        <x:v>0.30825</x:v>
      </x:c>
      <x:c r="O159" s="28" t="n">
        <x:f>SUM(M159:N159)</x:f>
        <x:v>0.6885</x:v>
      </x:c>
    </x:row>
    <x:row r="160" ht="23" customHeight="1">
      <x:c r="A160" s="17" t="str">
        <x:v>U00154</x:v>
      </x:c>
      <x:c r="B160" s="18" t="n">
        <x:v>46290</x:v>
      </x:c>
      <x:c r="C160" s="17" t="str">
        <x:v>W0021</x:v>
      </x:c>
      <x:c r="D160" s="17" t="str">
        <x:v>C001</x:v>
      </x:c>
      <x:c r="E160" s="17" t="str">
        <x:v>DataFlow</x:v>
      </x:c>
      <x:c r="F160" s="17" t="str">
        <x:v>Lite</x:v>
      </x:c>
      <x:c r="G160" s="17" t="n">
        <x:v>29823</x:v>
      </x:c>
      <x:c r="H160" s="17" t="n">
        <x:v>12027</x:v>
      </x:c>
      <x:c r="I160" s="17" t="str">
        <x:v>Followup</x:v>
      </x:c>
      <x:c r="J160" s="27" t="n">
        <x:f>INDEX('Model Pricing'!$B$7:$B$8,MATCH(F160,'Model Pricing'!$A$7:$A$8,0))</x:f>
        <x:v>10</x:v>
      </x:c>
      <x:c r="K160" s="27" t="n">
        <x:f>INDEX('Model Pricing'!$C$7:$C$8,MATCH(F160,'Model Pricing'!$A$7:$A$8,0))</x:f>
        <x:v>30</x:v>
      </x:c>
      <x:c r="L160" s="17" t="n">
        <x:f>G160+H160</x:f>
        <x:v>41850</x:v>
      </x:c>
      <x:c r="M160" s="28" t="n">
        <x:f>G160*J160/1000000</x:f>
        <x:v>0.29823</x:v>
      </x:c>
      <x:c r="N160" s="28" t="n">
        <x:f>H160*K160/1000000</x:f>
        <x:v>0.36081</x:v>
      </x:c>
      <x:c r="O160" s="28" t="n">
        <x:f>SUM(M160:N160)</x:f>
        <x:v>0.6590400000000001</x:v>
      </x:c>
    </x:row>
    <x:row r="161" ht="23" customHeight="1">
      <x:c r="A161" s="17" t="str">
        <x:v>U00155</x:v>
      </x:c>
      <x:c r="B161" s="18" t="n">
        <x:v>46293</x:v>
      </x:c>
      <x:c r="C161" s="17" t="str">
        <x:v>W0021</x:v>
      </x:c>
      <x:c r="D161" s="17" t="str">
        <x:v>C001</x:v>
      </x:c>
      <x:c r="E161" s="17" t="str">
        <x:v>DataFlow</x:v>
      </x:c>
      <x:c r="F161" s="17" t="str">
        <x:v>Lite</x:v>
      </x:c>
      <x:c r="G161" s="17" t="n">
        <x:v>56819</x:v>
      </x:c>
      <x:c r="H161" s="17" t="n">
        <x:v>8037</x:v>
      </x:c>
      <x:c r="I161" s="17" t="str">
        <x:v>Followup</x:v>
      </x:c>
      <x:c r="J161" s="27" t="n">
        <x:f>INDEX('Model Pricing'!$B$7:$B$8,MATCH(F161,'Model Pricing'!$A$7:$A$8,0))</x:f>
        <x:v>10</x:v>
      </x:c>
      <x:c r="K161" s="27" t="n">
        <x:f>INDEX('Model Pricing'!$C$7:$C$8,MATCH(F161,'Model Pricing'!$A$7:$A$8,0))</x:f>
        <x:v>30</x:v>
      </x:c>
      <x:c r="L161" s="17" t="n">
        <x:f>G161+H161</x:f>
        <x:v>64856</x:v>
      </x:c>
      <x:c r="M161" s="28" t="n">
        <x:f>G161*J161/1000000</x:f>
        <x:v>0.56819</x:v>
      </x:c>
      <x:c r="N161" s="28" t="n">
        <x:f>H161*K161/1000000</x:f>
        <x:v>0.24111</x:v>
      </x:c>
      <x:c r="O161" s="28" t="n">
        <x:f>SUM(M161:N161)</x:f>
        <x:v>0.8092999999999999</x:v>
      </x:c>
    </x:row>
    <x:row r="162" ht="23" customHeight="1">
      <x:c r="A162" s="17" t="str">
        <x:v>U00156</x:v>
      </x:c>
      <x:c r="B162" s="18" t="n">
        <x:v>46293</x:v>
      </x:c>
      <x:c r="C162" s="17" t="str">
        <x:v>W0021</x:v>
      </x:c>
      <x:c r="D162" s="17" t="str">
        <x:v>C001</x:v>
      </x:c>
      <x:c r="E162" s="17" t="str">
        <x:v>DataFlow</x:v>
      </x:c>
      <x:c r="F162" s="17" t="str">
        <x:v>Lite</x:v>
      </x:c>
      <x:c r="G162" s="17" t="n">
        <x:v>57322</x:v>
      </x:c>
      <x:c r="H162" s="17" t="n">
        <x:v>8955</x:v>
      </x:c>
      <x:c r="I162" s="17" t="str">
        <x:v>Followup</x:v>
      </x:c>
      <x:c r="J162" s="27" t="n">
        <x:f>INDEX('Model Pricing'!$B$7:$B$8,MATCH(F162,'Model Pricing'!$A$7:$A$8,0))</x:f>
        <x:v>10</x:v>
      </x:c>
      <x:c r="K162" s="27" t="n">
        <x:f>INDEX('Model Pricing'!$C$7:$C$8,MATCH(F162,'Model Pricing'!$A$7:$A$8,0))</x:f>
        <x:v>30</x:v>
      </x:c>
      <x:c r="L162" s="17" t="n">
        <x:f>G162+H162</x:f>
        <x:v>66277</x:v>
      </x:c>
      <x:c r="M162" s="28" t="n">
        <x:f>G162*J162/1000000</x:f>
        <x:v>0.57322</x:v>
      </x:c>
      <x:c r="N162" s="28" t="n">
        <x:f>H162*K162/1000000</x:f>
        <x:v>0.26865</x:v>
      </x:c>
      <x:c r="O162" s="28" t="n">
        <x:f>SUM(M162:N162)</x:f>
        <x:v>0.8418699999999999</x:v>
      </x:c>
    </x:row>
    <x:row r="163" ht="23" customHeight="1">
      <x:c r="A163" s="17" t="str">
        <x:v>U00157</x:v>
      </x:c>
      <x:c r="B163" s="18" t="n">
        <x:v>46294</x:v>
      </x:c>
      <x:c r="C163" s="17" t="str">
        <x:v>W0021</x:v>
      </x:c>
      <x:c r="D163" s="17" t="str">
        <x:v>C001</x:v>
      </x:c>
      <x:c r="E163" s="17" t="str">
        <x:v>DataFlow</x:v>
      </x:c>
      <x:c r="F163" s="17" t="str">
        <x:v>Lite</x:v>
      </x:c>
      <x:c r="G163" s="17" t="n">
        <x:v>63432</x:v>
      </x:c>
      <x:c r="H163" s="17" t="n">
        <x:v>6731</x:v>
      </x:c>
      <x:c r="I163" s="17" t="str">
        <x:v>Followup</x:v>
      </x:c>
      <x:c r="J163" s="27" t="n">
        <x:f>INDEX('Model Pricing'!$B$7:$B$8,MATCH(F163,'Model Pricing'!$A$7:$A$8,0))</x:f>
        <x:v>10</x:v>
      </x:c>
      <x:c r="K163" s="27" t="n">
        <x:f>INDEX('Model Pricing'!$C$7:$C$8,MATCH(F163,'Model Pricing'!$A$7:$A$8,0))</x:f>
        <x:v>30</x:v>
      </x:c>
      <x:c r="L163" s="17" t="n">
        <x:f>G163+H163</x:f>
        <x:v>70163</x:v>
      </x:c>
      <x:c r="M163" s="28" t="n">
        <x:f>G163*J163/1000000</x:f>
        <x:v>0.63432</x:v>
      </x:c>
      <x:c r="N163" s="28" t="n">
        <x:f>H163*K163/1000000</x:f>
        <x:v>0.20193</x:v>
      </x:c>
      <x:c r="O163" s="28" t="n">
        <x:f>SUM(M163:N163)</x:f>
        <x:v>0.8362499999999999</x:v>
      </x:c>
    </x:row>
    <x:row r="164" ht="23" customHeight="1">
      <x:c r="A164" s="17" t="str">
        <x:v>U00158</x:v>
      </x:c>
      <x:c r="B164" s="18" t="n">
        <x:v>46294</x:v>
      </x:c>
      <x:c r="C164" s="17" t="str">
        <x:v>W0021</x:v>
      </x:c>
      <x:c r="D164" s="17" t="str">
        <x:v>C001</x:v>
      </x:c>
      <x:c r="E164" s="17" t="str">
        <x:v>DataFlow</x:v>
      </x:c>
      <x:c r="F164" s="17" t="str">
        <x:v>Lite</x:v>
      </x:c>
      <x:c r="G164" s="17" t="n">
        <x:v>78428</x:v>
      </x:c>
      <x:c r="H164" s="17" t="n">
        <x:v>11155</x:v>
      </x:c>
      <x:c r="I164" s="17" t="str">
        <x:v>Followup</x:v>
      </x:c>
      <x:c r="J164" s="27" t="n">
        <x:f>INDEX('Model Pricing'!$B$7:$B$8,MATCH(F164,'Model Pricing'!$A$7:$A$8,0))</x:f>
        <x:v>10</x:v>
      </x:c>
      <x:c r="K164" s="27" t="n">
        <x:f>INDEX('Model Pricing'!$C$7:$C$8,MATCH(F164,'Model Pricing'!$A$7:$A$8,0))</x:f>
        <x:v>30</x:v>
      </x:c>
      <x:c r="L164" s="17" t="n">
        <x:f>G164+H164</x:f>
        <x:v>89583</x:v>
      </x:c>
      <x:c r="M164" s="28" t="n">
        <x:f>G164*J164/1000000</x:f>
        <x:v>0.78428</x:v>
      </x:c>
      <x:c r="N164" s="28" t="n">
        <x:f>H164*K164/1000000</x:f>
        <x:v>0.33465</x:v>
      </x:c>
      <x:c r="O164" s="28" t="n">
        <x:f>SUM(M164:N164)</x:f>
        <x:v>1.11893</x:v>
      </x:c>
    </x:row>
    <x:row r="165" ht="23" customHeight="1">
      <x:c r="A165" s="17" t="str">
        <x:v>U00159</x:v>
      </x:c>
      <x:c r="B165" s="18" t="n">
        <x:v>46295</x:v>
      </x:c>
      <x:c r="C165" s="17" t="str">
        <x:v>W0021</x:v>
      </x:c>
      <x:c r="D165" s="17" t="str">
        <x:v>C001</x:v>
      </x:c>
      <x:c r="E165" s="17" t="str">
        <x:v>DataFlow</x:v>
      </x:c>
      <x:c r="F165" s="17" t="str">
        <x:v>Lite</x:v>
      </x:c>
      <x:c r="G165" s="17" t="n">
        <x:v>29972</x:v>
      </x:c>
      <x:c r="H165" s="17" t="n">
        <x:v>8154</x:v>
      </x:c>
      <x:c r="I165" s="17" t="str">
        <x:v>Correction</x:v>
      </x:c>
      <x:c r="J165" s="27" t="n">
        <x:f>INDEX('Model Pricing'!$B$7:$B$8,MATCH(F165,'Model Pricing'!$A$7:$A$8,0))</x:f>
        <x:v>10</x:v>
      </x:c>
      <x:c r="K165" s="27" t="n">
        <x:f>INDEX('Model Pricing'!$C$7:$C$8,MATCH(F165,'Model Pricing'!$A$7:$A$8,0))</x:f>
        <x:v>30</x:v>
      </x:c>
      <x:c r="L165" s="17" t="n">
        <x:f>G165+H165</x:f>
        <x:v>38126</x:v>
      </x:c>
      <x:c r="M165" s="28" t="n">
        <x:f>G165*J165/1000000</x:f>
        <x:v>0.29972</x:v>
      </x:c>
      <x:c r="N165" s="28" t="n">
        <x:f>H165*K165/1000000</x:f>
        <x:v>0.24462</x:v>
      </x:c>
      <x:c r="O165" s="28" t="n">
        <x:f>SUM(M165:N165)</x:f>
        <x:v>0.54434</x:v>
      </x:c>
    </x:row>
    <x:row r="166" ht="23" customHeight="1">
      <x:c r="A166" s="17" t="str">
        <x:v>U00160</x:v>
      </x:c>
      <x:c r="B166" s="18" t="n">
        <x:v>46295</x:v>
      </x:c>
      <x:c r="C166" s="17" t="str">
        <x:v>W0021</x:v>
      </x:c>
      <x:c r="D166" s="17" t="str">
        <x:v>C001</x:v>
      </x:c>
      <x:c r="E166" s="17" t="str">
        <x:v>DataFlow</x:v>
      </x:c>
      <x:c r="F166" s="17" t="str">
        <x:v>Lite</x:v>
      </x:c>
      <x:c r="G166" s="17" t="n">
        <x:v>80962</x:v>
      </x:c>
      <x:c r="H166" s="17" t="n">
        <x:v>4413</x:v>
      </x:c>
      <x:c r="I166" s="17" t="str">
        <x:v>Followup</x:v>
      </x:c>
      <x:c r="J166" s="27" t="n">
        <x:f>INDEX('Model Pricing'!$B$7:$B$8,MATCH(F166,'Model Pricing'!$A$7:$A$8,0))</x:f>
        <x:v>10</x:v>
      </x:c>
      <x:c r="K166" s="27" t="n">
        <x:f>INDEX('Model Pricing'!$C$7:$C$8,MATCH(F166,'Model Pricing'!$A$7:$A$8,0))</x:f>
        <x:v>30</x:v>
      </x:c>
      <x:c r="L166" s="17" t="n">
        <x:f>G166+H166</x:f>
        <x:v>85375</x:v>
      </x:c>
      <x:c r="M166" s="28" t="n">
        <x:f>G166*J166/1000000</x:f>
        <x:v>0.80962</x:v>
      </x:c>
      <x:c r="N166" s="28" t="n">
        <x:f>H166*K166/1000000</x:f>
        <x:v>0.13239</x:v>
      </x:c>
      <x:c r="O166" s="28" t="n">
        <x:f>SUM(M166:N166)</x:f>
        <x:v>0.94201</x:v>
      </x:c>
    </x:row>
    <x:row r="167" ht="23" customHeight="1">
      <x:c r="A167" s="17" t="str">
        <x:v>U00161</x:v>
      </x:c>
      <x:c r="B167" s="18" t="n">
        <x:v>46275</x:v>
      </x:c>
      <x:c r="C167" s="17" t="str">
        <x:v>W0022</x:v>
      </x:c>
      <x:c r="D167" s="17" t="str">
        <x:v>C001</x:v>
      </x:c>
      <x:c r="E167" s="17" t="str">
        <x:v>DataFlow</x:v>
      </x:c>
      <x:c r="F167" s="17" t="str">
        <x:v>Lite</x:v>
      </x:c>
      <x:c r="G167" s="17" t="n">
        <x:v>48932</x:v>
      </x:c>
      <x:c r="H167" s="17" t="n">
        <x:v>5805</x:v>
      </x:c>
      <x:c r="I167" s="17" t="str">
        <x:v>First attempt</x:v>
      </x:c>
      <x:c r="J167" s="27" t="n">
        <x:f>INDEX('Model Pricing'!$B$7:$B$8,MATCH(F167,'Model Pricing'!$A$7:$A$8,0))</x:f>
        <x:v>10</x:v>
      </x:c>
      <x:c r="K167" s="27" t="n">
        <x:f>INDEX('Model Pricing'!$C$7:$C$8,MATCH(F167,'Model Pricing'!$A$7:$A$8,0))</x:f>
        <x:v>30</x:v>
      </x:c>
      <x:c r="L167" s="17" t="n">
        <x:f>G167+H167</x:f>
        <x:v>54737</x:v>
      </x:c>
      <x:c r="M167" s="28" t="n">
        <x:f>G167*J167/1000000</x:f>
        <x:v>0.48932</x:v>
      </x:c>
      <x:c r="N167" s="28" t="n">
        <x:f>H167*K167/1000000</x:f>
        <x:v>0.17415</x:v>
      </x:c>
      <x:c r="O167" s="28" t="n">
        <x:f>SUM(M167:N167)</x:f>
        <x:v>0.66347</x:v>
      </x:c>
    </x:row>
    <x:row r="168" ht="23" customHeight="1">
      <x:c r="A168" s="17" t="str">
        <x:v>U00162</x:v>
      </x:c>
      <x:c r="B168" s="18" t="n">
        <x:v>46275</x:v>
      </x:c>
      <x:c r="C168" s="17" t="str">
        <x:v>W0022</x:v>
      </x:c>
      <x:c r="D168" s="17" t="str">
        <x:v>C001</x:v>
      </x:c>
      <x:c r="E168" s="17" t="str">
        <x:v>DataFlow</x:v>
      </x:c>
      <x:c r="F168" s="17" t="str">
        <x:v>Lite</x:v>
      </x:c>
      <x:c r="G168" s="17" t="n">
        <x:v>53015</x:v>
      </x:c>
      <x:c r="H168" s="17" t="n">
        <x:v>12878</x:v>
      </x:c>
      <x:c r="I168" s="17" t="str">
        <x:v>Followup</x:v>
      </x:c>
      <x:c r="J168" s="27" t="n">
        <x:f>INDEX('Model Pricing'!$B$7:$B$8,MATCH(F168,'Model Pricing'!$A$7:$A$8,0))</x:f>
        <x:v>10</x:v>
      </x:c>
      <x:c r="K168" s="27" t="n">
        <x:f>INDEX('Model Pricing'!$C$7:$C$8,MATCH(F168,'Model Pricing'!$A$7:$A$8,0))</x:f>
        <x:v>30</x:v>
      </x:c>
      <x:c r="L168" s="17" t="n">
        <x:f>G168+H168</x:f>
        <x:v>65893</x:v>
      </x:c>
      <x:c r="M168" s="28" t="n">
        <x:f>G168*J168/1000000</x:f>
        <x:v>0.53015</x:v>
      </x:c>
      <x:c r="N168" s="28" t="n">
        <x:f>H168*K168/1000000</x:f>
        <x:v>0.38634</x:v>
      </x:c>
      <x:c r="O168" s="28" t="n">
        <x:f>SUM(M168:N168)</x:f>
        <x:v>0.91649</x:v>
      </x:c>
    </x:row>
    <x:row r="169" ht="23" customHeight="1">
      <x:c r="A169" s="17" t="str">
        <x:v>U00163</x:v>
      </x:c>
      <x:c r="B169" s="18" t="n">
        <x:v>46275</x:v>
      </x:c>
      <x:c r="C169" s="17" t="str">
        <x:v>W0022</x:v>
      </x:c>
      <x:c r="D169" s="17" t="str">
        <x:v>C001</x:v>
      </x:c>
      <x:c r="E169" s="17" t="str">
        <x:v>DataFlow</x:v>
      </x:c>
      <x:c r="F169" s="17" t="str">
        <x:v>Lite</x:v>
      </x:c>
      <x:c r="G169" s="17" t="n">
        <x:v>73637</x:v>
      </x:c>
      <x:c r="H169" s="17" t="n">
        <x:v>9655</x:v>
      </x:c>
      <x:c r="I169" s="17" t="str">
        <x:v>Followup</x:v>
      </x:c>
      <x:c r="J169" s="27" t="n">
        <x:f>INDEX('Model Pricing'!$B$7:$B$8,MATCH(F169,'Model Pricing'!$A$7:$A$8,0))</x:f>
        <x:v>10</x:v>
      </x:c>
      <x:c r="K169" s="27" t="n">
        <x:f>INDEX('Model Pricing'!$C$7:$C$8,MATCH(F169,'Model Pricing'!$A$7:$A$8,0))</x:f>
        <x:v>30</x:v>
      </x:c>
      <x:c r="L169" s="17" t="n">
        <x:f>G169+H169</x:f>
        <x:v>83292</x:v>
      </x:c>
      <x:c r="M169" s="28" t="n">
        <x:f>G169*J169/1000000</x:f>
        <x:v>0.73637</x:v>
      </x:c>
      <x:c r="N169" s="28" t="n">
        <x:f>H169*K169/1000000</x:f>
        <x:v>0.28965</x:v>
      </x:c>
      <x:c r="O169" s="28" t="n">
        <x:f>SUM(M169:N169)</x:f>
        <x:v>1.02602</x:v>
      </x:c>
    </x:row>
    <x:row r="170" ht="23" customHeight="1">
      <x:c r="A170" s="17" t="str">
        <x:v>U00164</x:v>
      </x:c>
      <x:c r="B170" s="18" t="n">
        <x:v>46276</x:v>
      </x:c>
      <x:c r="C170" s="17" t="str">
        <x:v>W0022</x:v>
      </x:c>
      <x:c r="D170" s="17" t="str">
        <x:v>C001</x:v>
      </x:c>
      <x:c r="E170" s="17" t="str">
        <x:v>DataFlow</x:v>
      </x:c>
      <x:c r="F170" s="17" t="str">
        <x:v>Lite</x:v>
      </x:c>
      <x:c r="G170" s="17" t="n">
        <x:v>50785</x:v>
      </x:c>
      <x:c r="H170" s="17" t="n">
        <x:v>11160</x:v>
      </x:c>
      <x:c r="I170" s="17" t="str">
        <x:v>Followup</x:v>
      </x:c>
      <x:c r="J170" s="27" t="n">
        <x:f>INDEX('Model Pricing'!$B$7:$B$8,MATCH(F170,'Model Pricing'!$A$7:$A$8,0))</x:f>
        <x:v>10</x:v>
      </x:c>
      <x:c r="K170" s="27" t="n">
        <x:f>INDEX('Model Pricing'!$C$7:$C$8,MATCH(F170,'Model Pricing'!$A$7:$A$8,0))</x:f>
        <x:v>30</x:v>
      </x:c>
      <x:c r="L170" s="17" t="n">
        <x:f>G170+H170</x:f>
        <x:v>61945</x:v>
      </x:c>
      <x:c r="M170" s="28" t="n">
        <x:f>G170*J170/1000000</x:f>
        <x:v>0.50785</x:v>
      </x:c>
      <x:c r="N170" s="28" t="n">
        <x:f>H170*K170/1000000</x:f>
        <x:v>0.3348</x:v>
      </x:c>
      <x:c r="O170" s="28" t="n">
        <x:f>SUM(M170:N170)</x:f>
        <x:v>0.84265</x:v>
      </x:c>
    </x:row>
    <x:row r="171" ht="23" customHeight="1">
      <x:c r="A171" s="17" t="str">
        <x:v>U00165</x:v>
      </x:c>
      <x:c r="B171" s="18" t="n">
        <x:v>46276</x:v>
      </x:c>
      <x:c r="C171" s="17" t="str">
        <x:v>W0022</x:v>
      </x:c>
      <x:c r="D171" s="17" t="str">
        <x:v>C001</x:v>
      </x:c>
      <x:c r="E171" s="17" t="str">
        <x:v>DataFlow</x:v>
      </x:c>
      <x:c r="F171" s="17" t="str">
        <x:v>Lite</x:v>
      </x:c>
      <x:c r="G171" s="17" t="n">
        <x:v>43558</x:v>
      </x:c>
      <x:c r="H171" s="17" t="n">
        <x:v>4616</x:v>
      </x:c>
      <x:c r="I171" s="17" t="str">
        <x:v>Followup</x:v>
      </x:c>
      <x:c r="J171" s="27" t="n">
        <x:f>INDEX('Model Pricing'!$B$7:$B$8,MATCH(F171,'Model Pricing'!$A$7:$A$8,0))</x:f>
        <x:v>10</x:v>
      </x:c>
      <x:c r="K171" s="27" t="n">
        <x:f>INDEX('Model Pricing'!$C$7:$C$8,MATCH(F171,'Model Pricing'!$A$7:$A$8,0))</x:f>
        <x:v>30</x:v>
      </x:c>
      <x:c r="L171" s="17" t="n">
        <x:f>G171+H171</x:f>
        <x:v>48174</x:v>
      </x:c>
      <x:c r="M171" s="28" t="n">
        <x:f>G171*J171/1000000</x:f>
        <x:v>0.43558</x:v>
      </x:c>
      <x:c r="N171" s="28" t="n">
        <x:f>H171*K171/1000000</x:f>
        <x:v>0.13848</x:v>
      </x:c>
      <x:c r="O171" s="28" t="n">
        <x:f>SUM(M171:N171)</x:f>
        <x:v>0.57406</x:v>
      </x:c>
    </x:row>
    <x:row r="172" ht="23" customHeight="1">
      <x:c r="A172" s="17" t="str">
        <x:v>U00166</x:v>
      </x:c>
      <x:c r="B172" s="18" t="n">
        <x:v>46276</x:v>
      </x:c>
      <x:c r="C172" s="17" t="str">
        <x:v>W0022</x:v>
      </x:c>
      <x:c r="D172" s="17" t="str">
        <x:v>C001</x:v>
      </x:c>
      <x:c r="E172" s="17" t="str">
        <x:v>DataFlow</x:v>
      </x:c>
      <x:c r="F172" s="17" t="str">
        <x:v>Lite</x:v>
      </x:c>
      <x:c r="G172" s="17" t="n">
        <x:v>69387</x:v>
      </x:c>
      <x:c r="H172" s="17" t="n">
        <x:v>12176</x:v>
      </x:c>
      <x:c r="I172" s="17" t="str">
        <x:v>Followup</x:v>
      </x:c>
      <x:c r="J172" s="27" t="n">
        <x:f>INDEX('Model Pricing'!$B$7:$B$8,MATCH(F172,'Model Pricing'!$A$7:$A$8,0))</x:f>
        <x:v>10</x:v>
      </x:c>
      <x:c r="K172" s="27" t="n">
        <x:f>INDEX('Model Pricing'!$C$7:$C$8,MATCH(F172,'Model Pricing'!$A$7:$A$8,0))</x:f>
        <x:v>30</x:v>
      </x:c>
      <x:c r="L172" s="17" t="n">
        <x:f>G172+H172</x:f>
        <x:v>81563</x:v>
      </x:c>
      <x:c r="M172" s="28" t="n">
        <x:f>G172*J172/1000000</x:f>
        <x:v>0.69387</x:v>
      </x:c>
      <x:c r="N172" s="28" t="n">
        <x:f>H172*K172/1000000</x:f>
        <x:v>0.36528</x:v>
      </x:c>
      <x:c r="O172" s="28" t="n">
        <x:f>SUM(M172:N172)</x:f>
        <x:v>1.05915</x:v>
      </x:c>
    </x:row>
    <x:row r="173" ht="23" customHeight="1">
      <x:c r="A173" s="17" t="str">
        <x:v>U00167</x:v>
      </x:c>
      <x:c r="B173" s="18" t="n">
        <x:v>46279</x:v>
      </x:c>
      <x:c r="C173" s="17" t="str">
        <x:v>W0022</x:v>
      </x:c>
      <x:c r="D173" s="17" t="str">
        <x:v>C001</x:v>
      </x:c>
      <x:c r="E173" s="17" t="str">
        <x:v>DataFlow</x:v>
      </x:c>
      <x:c r="F173" s="17" t="str">
        <x:v>Lite</x:v>
      </x:c>
      <x:c r="G173" s="17" t="n">
        <x:v>70776</x:v>
      </x:c>
      <x:c r="H173" s="17" t="n">
        <x:v>10268</x:v>
      </x:c>
      <x:c r="I173" s="17" t="str">
        <x:v>Followup</x:v>
      </x:c>
      <x:c r="J173" s="27" t="n">
        <x:f>INDEX('Model Pricing'!$B$7:$B$8,MATCH(F173,'Model Pricing'!$A$7:$A$8,0))</x:f>
        <x:v>10</x:v>
      </x:c>
      <x:c r="K173" s="27" t="n">
        <x:f>INDEX('Model Pricing'!$C$7:$C$8,MATCH(F173,'Model Pricing'!$A$7:$A$8,0))</x:f>
        <x:v>30</x:v>
      </x:c>
      <x:c r="L173" s="17" t="n">
        <x:f>G173+H173</x:f>
        <x:v>81044</x:v>
      </x:c>
      <x:c r="M173" s="28" t="n">
        <x:f>G173*J173/1000000</x:f>
        <x:v>0.70776</x:v>
      </x:c>
      <x:c r="N173" s="28" t="n">
        <x:f>H173*K173/1000000</x:f>
        <x:v>0.30804</x:v>
      </x:c>
      <x:c r="O173" s="28" t="n">
        <x:f>SUM(M173:N173)</x:f>
        <x:v>1.0158</x:v>
      </x:c>
    </x:row>
    <x:row r="174" ht="23" customHeight="1">
      <x:c r="A174" s="17" t="str">
        <x:v>U00168</x:v>
      </x:c>
      <x:c r="B174" s="18" t="n">
        <x:v>46279</x:v>
      </x:c>
      <x:c r="C174" s="17" t="str">
        <x:v>W0022</x:v>
      </x:c>
      <x:c r="D174" s="17" t="str">
        <x:v>C001</x:v>
      </x:c>
      <x:c r="E174" s="17" t="str">
        <x:v>DataFlow</x:v>
      </x:c>
      <x:c r="F174" s="17" t="str">
        <x:v>Lite</x:v>
      </x:c>
      <x:c r="G174" s="17" t="n">
        <x:v>33028</x:v>
      </x:c>
      <x:c r="H174" s="17" t="n">
        <x:v>9369</x:v>
      </x:c>
      <x:c r="I174" s="17" t="str">
        <x:v>Followup</x:v>
      </x:c>
      <x:c r="J174" s="27" t="n">
        <x:f>INDEX('Model Pricing'!$B$7:$B$8,MATCH(F174,'Model Pricing'!$A$7:$A$8,0))</x:f>
        <x:v>10</x:v>
      </x:c>
      <x:c r="K174" s="27" t="n">
        <x:f>INDEX('Model Pricing'!$C$7:$C$8,MATCH(F174,'Model Pricing'!$A$7:$A$8,0))</x:f>
        <x:v>30</x:v>
      </x:c>
      <x:c r="L174" s="17" t="n">
        <x:f>G174+H174</x:f>
        <x:v>42397</x:v>
      </x:c>
      <x:c r="M174" s="28" t="n">
        <x:f>G174*J174/1000000</x:f>
        <x:v>0.33028</x:v>
      </x:c>
      <x:c r="N174" s="28" t="n">
        <x:f>H174*K174/1000000</x:f>
        <x:v>0.28107</x:v>
      </x:c>
      <x:c r="O174" s="28" t="n">
        <x:f>SUM(M174:N174)</x:f>
        <x:v>0.6113500000000001</x:v>
      </x:c>
    </x:row>
    <x:row r="175" ht="23" customHeight="1">
      <x:c r="A175" s="17" t="str">
        <x:v>U00169</x:v>
      </x:c>
      <x:c r="B175" s="18" t="n">
        <x:v>46279</x:v>
      </x:c>
      <x:c r="C175" s="17" t="str">
        <x:v>W0022</x:v>
      </x:c>
      <x:c r="D175" s="17" t="str">
        <x:v>C001</x:v>
      </x:c>
      <x:c r="E175" s="17" t="str">
        <x:v>DataFlow</x:v>
      </x:c>
      <x:c r="F175" s="17" t="str">
        <x:v>Lite</x:v>
      </x:c>
      <x:c r="G175" s="17" t="n">
        <x:v>76037</x:v>
      </x:c>
      <x:c r="H175" s="17" t="n">
        <x:v>13761</x:v>
      </x:c>
      <x:c r="I175" s="17" t="str">
        <x:v>Followup</x:v>
      </x:c>
      <x:c r="J175" s="27" t="n">
        <x:f>INDEX('Model Pricing'!$B$7:$B$8,MATCH(F175,'Model Pricing'!$A$7:$A$8,0))</x:f>
        <x:v>10</x:v>
      </x:c>
      <x:c r="K175" s="27" t="n">
        <x:f>INDEX('Model Pricing'!$C$7:$C$8,MATCH(F175,'Model Pricing'!$A$7:$A$8,0))</x:f>
        <x:v>30</x:v>
      </x:c>
      <x:c r="L175" s="17" t="n">
        <x:f>G175+H175</x:f>
        <x:v>89798</x:v>
      </x:c>
      <x:c r="M175" s="28" t="n">
        <x:f>G175*J175/1000000</x:f>
        <x:v>0.76037</x:v>
      </x:c>
      <x:c r="N175" s="28" t="n">
        <x:f>H175*K175/1000000</x:f>
        <x:v>0.41283</x:v>
      </x:c>
      <x:c r="O175" s="28" t="n">
        <x:f>SUM(M175:N175)</x:f>
        <x:v>1.1732</x:v>
      </x:c>
    </x:row>
    <x:row r="176" ht="23" customHeight="1">
      <x:c r="A176" s="17" t="str">
        <x:v>U00170</x:v>
      </x:c>
      <x:c r="B176" s="18" t="n">
        <x:v>46280</x:v>
      </x:c>
      <x:c r="C176" s="17" t="str">
        <x:v>W0022</x:v>
      </x:c>
      <x:c r="D176" s="17" t="str">
        <x:v>C001</x:v>
      </x:c>
      <x:c r="E176" s="17" t="str">
        <x:v>DataFlow</x:v>
      </x:c>
      <x:c r="F176" s="17" t="str">
        <x:v>Lite</x:v>
      </x:c>
      <x:c r="G176" s="17" t="n">
        <x:v>29177</x:v>
      </x:c>
      <x:c r="H176" s="17" t="n">
        <x:v>10718</x:v>
      </x:c>
      <x:c r="I176" s="17" t="str">
        <x:v>Correction</x:v>
      </x:c>
      <x:c r="J176" s="27" t="n">
        <x:f>INDEX('Model Pricing'!$B$7:$B$8,MATCH(F176,'Model Pricing'!$A$7:$A$8,0))</x:f>
        <x:v>10</x:v>
      </x:c>
      <x:c r="K176" s="27" t="n">
        <x:f>INDEX('Model Pricing'!$C$7:$C$8,MATCH(F176,'Model Pricing'!$A$7:$A$8,0))</x:f>
        <x:v>30</x:v>
      </x:c>
      <x:c r="L176" s="17" t="n">
        <x:f>G176+H176</x:f>
        <x:v>39895</x:v>
      </x:c>
      <x:c r="M176" s="28" t="n">
        <x:f>G176*J176/1000000</x:f>
        <x:v>0.29177</x:v>
      </x:c>
      <x:c r="N176" s="28" t="n">
        <x:f>H176*K176/1000000</x:f>
        <x:v>0.32154</x:v>
      </x:c>
      <x:c r="O176" s="28" t="n">
        <x:f>SUM(M176:N176)</x:f>
        <x:v>0.61331</x:v>
      </x:c>
    </x:row>
    <x:row r="177" ht="23" customHeight="1">
      <x:c r="A177" s="17" t="str">
        <x:v>U00171</x:v>
      </x:c>
      <x:c r="B177" s="18" t="n">
        <x:v>46280</x:v>
      </x:c>
      <x:c r="C177" s="17" t="str">
        <x:v>W0022</x:v>
      </x:c>
      <x:c r="D177" s="17" t="str">
        <x:v>C001</x:v>
      </x:c>
      <x:c r="E177" s="17" t="str">
        <x:v>DataFlow</x:v>
      </x:c>
      <x:c r="F177" s="17" t="str">
        <x:v>Lite</x:v>
      </x:c>
      <x:c r="G177" s="17" t="n">
        <x:v>62366</x:v>
      </x:c>
      <x:c r="H177" s="17" t="n">
        <x:v>14181</x:v>
      </x:c>
      <x:c r="I177" s="17" t="str">
        <x:v>Followup</x:v>
      </x:c>
      <x:c r="J177" s="27" t="n">
        <x:f>INDEX('Model Pricing'!$B$7:$B$8,MATCH(F177,'Model Pricing'!$A$7:$A$8,0))</x:f>
        <x:v>10</x:v>
      </x:c>
      <x:c r="K177" s="27" t="n">
        <x:f>INDEX('Model Pricing'!$C$7:$C$8,MATCH(F177,'Model Pricing'!$A$7:$A$8,0))</x:f>
        <x:v>30</x:v>
      </x:c>
      <x:c r="L177" s="17" t="n">
        <x:f>G177+H177</x:f>
        <x:v>76547</x:v>
      </x:c>
      <x:c r="M177" s="28" t="n">
        <x:f>G177*J177/1000000</x:f>
        <x:v>0.62366</x:v>
      </x:c>
      <x:c r="N177" s="28" t="n">
        <x:f>H177*K177/1000000</x:f>
        <x:v>0.42543</x:v>
      </x:c>
      <x:c r="O177" s="28" t="n">
        <x:f>SUM(M177:N177)</x:f>
        <x:v>1.04909</x:v>
      </x:c>
    </x:row>
    <x:row r="178" ht="23" customHeight="1">
      <x:c r="A178" s="17" t="str">
        <x:v>U00172</x:v>
      </x:c>
      <x:c r="B178" s="18" t="n">
        <x:v>46280</x:v>
      </x:c>
      <x:c r="C178" s="17" t="str">
        <x:v>W0022</x:v>
      </x:c>
      <x:c r="D178" s="17" t="str">
        <x:v>C001</x:v>
      </x:c>
      <x:c r="E178" s="17" t="str">
        <x:v>DataFlow</x:v>
      </x:c>
      <x:c r="F178" s="17" t="str">
        <x:v>Lite</x:v>
      </x:c>
      <x:c r="G178" s="17" t="n">
        <x:v>48674</x:v>
      </x:c>
      <x:c r="H178" s="17" t="n">
        <x:v>6201</x:v>
      </x:c>
      <x:c r="I178" s="17" t="str">
        <x:v>Followup</x:v>
      </x:c>
      <x:c r="J178" s="27" t="n">
        <x:f>INDEX('Model Pricing'!$B$7:$B$8,MATCH(F178,'Model Pricing'!$A$7:$A$8,0))</x:f>
        <x:v>10</x:v>
      </x:c>
      <x:c r="K178" s="27" t="n">
        <x:f>INDEX('Model Pricing'!$C$7:$C$8,MATCH(F178,'Model Pricing'!$A$7:$A$8,0))</x:f>
        <x:v>30</x:v>
      </x:c>
      <x:c r="L178" s="17" t="n">
        <x:f>G178+H178</x:f>
        <x:v>54875</x:v>
      </x:c>
      <x:c r="M178" s="28" t="n">
        <x:f>G178*J178/1000000</x:f>
        <x:v>0.48674</x:v>
      </x:c>
      <x:c r="N178" s="28" t="n">
        <x:f>H178*K178/1000000</x:f>
        <x:v>0.18603</x:v>
      </x:c>
      <x:c r="O178" s="28" t="n">
        <x:f>SUM(M178:N178)</x:f>
        <x:v>0.67277</x:v>
      </x:c>
    </x:row>
    <x:row r="179" ht="23" customHeight="1">
      <x:c r="A179" s="17" t="str">
        <x:v>U00173</x:v>
      </x:c>
      <x:c r="B179" s="18" t="n">
        <x:v>46268</x:v>
      </x:c>
      <x:c r="C179" s="17" t="str">
        <x:v>W0024</x:v>
      </x:c>
      <x:c r="D179" s="17" t="str">
        <x:v>C001</x:v>
      </x:c>
      <x:c r="E179" s="17" t="str">
        <x:v>CampaignChat</x:v>
      </x:c>
      <x:c r="F179" s="17" t="str">
        <x:v>Lite</x:v>
      </x:c>
      <x:c r="G179" s="17" t="n">
        <x:v>36115</x:v>
      </x:c>
      <x:c r="H179" s="17" t="n">
        <x:v>7055</x:v>
      </x:c>
      <x:c r="I179" s="17" t="str">
        <x:v>First attempt</x:v>
      </x:c>
      <x:c r="J179" s="27" t="n">
        <x:f>INDEX('Model Pricing'!$B$7:$B$8,MATCH(F179,'Model Pricing'!$A$7:$A$8,0))</x:f>
        <x:v>10</x:v>
      </x:c>
      <x:c r="K179" s="27" t="n">
        <x:f>INDEX('Model Pricing'!$C$7:$C$8,MATCH(F179,'Model Pricing'!$A$7:$A$8,0))</x:f>
        <x:v>30</x:v>
      </x:c>
      <x:c r="L179" s="17" t="n">
        <x:f>G179+H179</x:f>
        <x:v>43170</x:v>
      </x:c>
      <x:c r="M179" s="28" t="n">
        <x:f>G179*J179/1000000</x:f>
        <x:v>0.36115</x:v>
      </x:c>
      <x:c r="N179" s="28" t="n">
        <x:f>H179*K179/1000000</x:f>
        <x:v>0.21165</x:v>
      </x:c>
      <x:c r="O179" s="28" t="n">
        <x:f>SUM(M179:N179)</x:f>
        <x:v>0.5728</x:v>
      </x:c>
    </x:row>
    <x:row r="180" ht="23" customHeight="1">
      <x:c r="A180" s="17" t="str">
        <x:v>U00174</x:v>
      </x:c>
      <x:c r="B180" s="18" t="n">
        <x:v>46268</x:v>
      </x:c>
      <x:c r="C180" s="17" t="str">
        <x:v>W0024</x:v>
      </x:c>
      <x:c r="D180" s="17" t="str">
        <x:v>C001</x:v>
      </x:c>
      <x:c r="E180" s="17" t="str">
        <x:v>CampaignChat</x:v>
      </x:c>
      <x:c r="F180" s="17" t="str">
        <x:v>Lite</x:v>
      </x:c>
      <x:c r="G180" s="17" t="n">
        <x:v>41178</x:v>
      </x:c>
      <x:c r="H180" s="17" t="n">
        <x:v>7072</x:v>
      </x:c>
      <x:c r="I180" s="17" t="str">
        <x:v>Followup</x:v>
      </x:c>
      <x:c r="J180" s="27" t="n">
        <x:f>INDEX('Model Pricing'!$B$7:$B$8,MATCH(F180,'Model Pricing'!$A$7:$A$8,0))</x:f>
        <x:v>10</x:v>
      </x:c>
      <x:c r="K180" s="27" t="n">
        <x:f>INDEX('Model Pricing'!$C$7:$C$8,MATCH(F180,'Model Pricing'!$A$7:$A$8,0))</x:f>
        <x:v>30</x:v>
      </x:c>
      <x:c r="L180" s="17" t="n">
        <x:f>G180+H180</x:f>
        <x:v>48250</x:v>
      </x:c>
      <x:c r="M180" s="28" t="n">
        <x:f>G180*J180/1000000</x:f>
        <x:v>0.41178</x:v>
      </x:c>
      <x:c r="N180" s="28" t="n">
        <x:f>H180*K180/1000000</x:f>
        <x:v>0.21216</x:v>
      </x:c>
      <x:c r="O180" s="28" t="n">
        <x:f>SUM(M180:N180)</x:f>
        <x:v>0.6239399999999999</x:v>
      </x:c>
    </x:row>
    <x:row r="181" ht="23" customHeight="1">
      <x:c r="A181" s="17" t="str">
        <x:v>U00175</x:v>
      </x:c>
      <x:c r="B181" s="18" t="n">
        <x:v>46268</x:v>
      </x:c>
      <x:c r="C181" s="17" t="str">
        <x:v>W0024</x:v>
      </x:c>
      <x:c r="D181" s="17" t="str">
        <x:v>C001</x:v>
      </x:c>
      <x:c r="E181" s="17" t="str">
        <x:v>CampaignChat</x:v>
      </x:c>
      <x:c r="F181" s="17" t="str">
        <x:v>Lite</x:v>
      </x:c>
      <x:c r="G181" s="17" t="n">
        <x:v>30307</x:v>
      </x:c>
      <x:c r="H181" s="17" t="n">
        <x:v>5052</x:v>
      </x:c>
      <x:c r="I181" s="17" t="str">
        <x:v>Followup</x:v>
      </x:c>
      <x:c r="J181" s="27" t="n">
        <x:f>INDEX('Model Pricing'!$B$7:$B$8,MATCH(F181,'Model Pricing'!$A$7:$A$8,0))</x:f>
        <x:v>10</x:v>
      </x:c>
      <x:c r="K181" s="27" t="n">
        <x:f>INDEX('Model Pricing'!$C$7:$C$8,MATCH(F181,'Model Pricing'!$A$7:$A$8,0))</x:f>
        <x:v>30</x:v>
      </x:c>
      <x:c r="L181" s="17" t="n">
        <x:f>G181+H181</x:f>
        <x:v>35359</x:v>
      </x:c>
      <x:c r="M181" s="28" t="n">
        <x:f>G181*J181/1000000</x:f>
        <x:v>0.30307</x:v>
      </x:c>
      <x:c r="N181" s="28" t="n">
        <x:f>H181*K181/1000000</x:f>
        <x:v>0.15156</x:v>
      </x:c>
      <x:c r="O181" s="28" t="n">
        <x:f>SUM(M181:N181)</x:f>
        <x:v>0.45463</x:v>
      </x:c>
    </x:row>
    <x:row r="182" ht="23" customHeight="1">
      <x:c r="A182" s="17" t="str">
        <x:v>U00176</x:v>
      </x:c>
      <x:c r="B182" s="18" t="n">
        <x:v>46269</x:v>
      </x:c>
      <x:c r="C182" s="17" t="str">
        <x:v>W0024</x:v>
      </x:c>
      <x:c r="D182" s="17" t="str">
        <x:v>C001</x:v>
      </x:c>
      <x:c r="E182" s="17" t="str">
        <x:v>CampaignChat</x:v>
      </x:c>
      <x:c r="F182" s="17" t="str">
        <x:v>Lite</x:v>
      </x:c>
      <x:c r="G182" s="17" t="n">
        <x:v>26237</x:v>
      </x:c>
      <x:c r="H182" s="17" t="n">
        <x:v>13820</x:v>
      </x:c>
      <x:c r="I182" s="17" t="str">
        <x:v>Followup</x:v>
      </x:c>
      <x:c r="J182" s="27" t="n">
        <x:f>INDEX('Model Pricing'!$B$7:$B$8,MATCH(F182,'Model Pricing'!$A$7:$A$8,0))</x:f>
        <x:v>10</x:v>
      </x:c>
      <x:c r="K182" s="27" t="n">
        <x:f>INDEX('Model Pricing'!$C$7:$C$8,MATCH(F182,'Model Pricing'!$A$7:$A$8,0))</x:f>
        <x:v>30</x:v>
      </x:c>
      <x:c r="L182" s="17" t="n">
        <x:f>G182+H182</x:f>
        <x:v>40057</x:v>
      </x:c>
      <x:c r="M182" s="28" t="n">
        <x:f>G182*J182/1000000</x:f>
        <x:v>0.26237</x:v>
      </x:c>
      <x:c r="N182" s="28" t="n">
        <x:f>H182*K182/1000000</x:f>
        <x:v>0.4146</x:v>
      </x:c>
      <x:c r="O182" s="28" t="n">
        <x:f>SUM(M182:N182)</x:f>
        <x:v>0.6769700000000001</x:v>
      </x:c>
    </x:row>
    <x:row r="183" ht="23" customHeight="1">
      <x:c r="A183" s="17" t="str">
        <x:v>U00177</x:v>
      </x:c>
      <x:c r="B183" s="18" t="n">
        <x:v>46269</x:v>
      </x:c>
      <x:c r="C183" s="17" t="str">
        <x:v>W0024</x:v>
      </x:c>
      <x:c r="D183" s="17" t="str">
        <x:v>C001</x:v>
      </x:c>
      <x:c r="E183" s="17" t="str">
        <x:v>CampaignChat</x:v>
      </x:c>
      <x:c r="F183" s="17" t="str">
        <x:v>Lite</x:v>
      </x:c>
      <x:c r="G183" s="17" t="n">
        <x:v>28528</x:v>
      </x:c>
      <x:c r="H183" s="17" t="n">
        <x:v>10270</x:v>
      </x:c>
      <x:c r="I183" s="17" t="str">
        <x:v>Followup</x:v>
      </x:c>
      <x:c r="J183" s="27" t="n">
        <x:f>INDEX('Model Pricing'!$B$7:$B$8,MATCH(F183,'Model Pricing'!$A$7:$A$8,0))</x:f>
        <x:v>10</x:v>
      </x:c>
      <x:c r="K183" s="27" t="n">
        <x:f>INDEX('Model Pricing'!$C$7:$C$8,MATCH(F183,'Model Pricing'!$A$7:$A$8,0))</x:f>
        <x:v>30</x:v>
      </x:c>
      <x:c r="L183" s="17" t="n">
        <x:f>G183+H183</x:f>
        <x:v>38798</x:v>
      </x:c>
      <x:c r="M183" s="28" t="n">
        <x:f>G183*J183/1000000</x:f>
        <x:v>0.28528</x:v>
      </x:c>
      <x:c r="N183" s="28" t="n">
        <x:f>H183*K183/1000000</x:f>
        <x:v>0.3081</x:v>
      </x:c>
      <x:c r="O183" s="28" t="n">
        <x:f>SUM(M183:N183)</x:f>
        <x:v>0.59338</x:v>
      </x:c>
    </x:row>
    <x:row r="184" ht="23" customHeight="1">
      <x:c r="A184" s="17" t="str">
        <x:v>U00178</x:v>
      </x:c>
      <x:c r="B184" s="18" t="n">
        <x:v>46269</x:v>
      </x:c>
      <x:c r="C184" s="17" t="str">
        <x:v>W0024</x:v>
      </x:c>
      <x:c r="D184" s="17" t="str">
        <x:v>C001</x:v>
      </x:c>
      <x:c r="E184" s="17" t="str">
        <x:v>CampaignChat</x:v>
      </x:c>
      <x:c r="F184" s="17" t="str">
        <x:v>Lite</x:v>
      </x:c>
      <x:c r="G184" s="17" t="n">
        <x:v>35094</x:v>
      </x:c>
      <x:c r="H184" s="17" t="n">
        <x:v>13420</x:v>
      </x:c>
      <x:c r="I184" s="17" t="str">
        <x:v>Followup</x:v>
      </x:c>
      <x:c r="J184" s="27" t="n">
        <x:f>INDEX('Model Pricing'!$B$7:$B$8,MATCH(F184,'Model Pricing'!$A$7:$A$8,0))</x:f>
        <x:v>10</x:v>
      </x:c>
      <x:c r="K184" s="27" t="n">
        <x:f>INDEX('Model Pricing'!$C$7:$C$8,MATCH(F184,'Model Pricing'!$A$7:$A$8,0))</x:f>
        <x:v>30</x:v>
      </x:c>
      <x:c r="L184" s="17" t="n">
        <x:f>G184+H184</x:f>
        <x:v>48514</x:v>
      </x:c>
      <x:c r="M184" s="28" t="n">
        <x:f>G184*J184/1000000</x:f>
        <x:v>0.35094</x:v>
      </x:c>
      <x:c r="N184" s="28" t="n">
        <x:f>H184*K184/1000000</x:f>
        <x:v>0.4026</x:v>
      </x:c>
      <x:c r="O184" s="28" t="n">
        <x:f>SUM(M184:N184)</x:f>
        <x:v>0.75354</x:v>
      </x:c>
    </x:row>
    <x:row r="185" ht="23" customHeight="1">
      <x:c r="A185" s="17" t="str">
        <x:v>U00179</x:v>
      </x:c>
      <x:c r="B185" s="18" t="n">
        <x:v>46273</x:v>
      </x:c>
      <x:c r="C185" s="17" t="str">
        <x:v>W0024</x:v>
      </x:c>
      <x:c r="D185" s="17" t="str">
        <x:v>C001</x:v>
      </x:c>
      <x:c r="E185" s="17" t="str">
        <x:v>CampaignChat</x:v>
      </x:c>
      <x:c r="F185" s="17" t="str">
        <x:v>Lite</x:v>
      </x:c>
      <x:c r="G185" s="17" t="n">
        <x:v>19254</x:v>
      </x:c>
      <x:c r="H185" s="17" t="n">
        <x:v>6670</x:v>
      </x:c>
      <x:c r="I185" s="17" t="str">
        <x:v>Followup</x:v>
      </x:c>
      <x:c r="J185" s="27" t="n">
        <x:f>INDEX('Model Pricing'!$B$7:$B$8,MATCH(F185,'Model Pricing'!$A$7:$A$8,0))</x:f>
        <x:v>10</x:v>
      </x:c>
      <x:c r="K185" s="27" t="n">
        <x:f>INDEX('Model Pricing'!$C$7:$C$8,MATCH(F185,'Model Pricing'!$A$7:$A$8,0))</x:f>
        <x:v>30</x:v>
      </x:c>
      <x:c r="L185" s="17" t="n">
        <x:f>G185+H185</x:f>
        <x:v>25924</x:v>
      </x:c>
      <x:c r="M185" s="28" t="n">
        <x:f>G185*J185/1000000</x:f>
        <x:v>0.19254</x:v>
      </x:c>
      <x:c r="N185" s="28" t="n">
        <x:f>H185*K185/1000000</x:f>
        <x:v>0.2001</x:v>
      </x:c>
      <x:c r="O185" s="28" t="n">
        <x:f>SUM(M185:N185)</x:f>
        <x:v>0.39264</x:v>
      </x:c>
    </x:row>
    <x:row r="186" ht="23" customHeight="1">
      <x:c r="A186" s="17" t="str">
        <x:v>U00180</x:v>
      </x:c>
      <x:c r="B186" s="18" t="n">
        <x:v>46273</x:v>
      </x:c>
      <x:c r="C186" s="17" t="str">
        <x:v>W0024</x:v>
      </x:c>
      <x:c r="D186" s="17" t="str">
        <x:v>C001</x:v>
      </x:c>
      <x:c r="E186" s="17" t="str">
        <x:v>CampaignChat</x:v>
      </x:c>
      <x:c r="F186" s="17" t="str">
        <x:v>Lite</x:v>
      </x:c>
      <x:c r="G186" s="17" t="n">
        <x:v>22519</x:v>
      </x:c>
      <x:c r="H186" s="17" t="n">
        <x:v>6339</x:v>
      </x:c>
      <x:c r="I186" s="17" t="str">
        <x:v>Followup</x:v>
      </x:c>
      <x:c r="J186" s="27" t="n">
        <x:f>INDEX('Model Pricing'!$B$7:$B$8,MATCH(F186,'Model Pricing'!$A$7:$A$8,0))</x:f>
        <x:v>10</x:v>
      </x:c>
      <x:c r="K186" s="27" t="n">
        <x:f>INDEX('Model Pricing'!$C$7:$C$8,MATCH(F186,'Model Pricing'!$A$7:$A$8,0))</x:f>
        <x:v>30</x:v>
      </x:c>
      <x:c r="L186" s="17" t="n">
        <x:f>G186+H186</x:f>
        <x:v>28858</x:v>
      </x:c>
      <x:c r="M186" s="28" t="n">
        <x:f>G186*J186/1000000</x:f>
        <x:v>0.22519</x:v>
      </x:c>
      <x:c r="N186" s="28" t="n">
        <x:f>H186*K186/1000000</x:f>
        <x:v>0.19017</x:v>
      </x:c>
      <x:c r="O186" s="28" t="n">
        <x:f>SUM(M186:N186)</x:f>
        <x:v>0.41536</x:v>
      </x:c>
    </x:row>
    <x:row r="187" ht="23" customHeight="1">
      <x:c r="A187" s="17" t="str">
        <x:v>U00181</x:v>
      </x:c>
      <x:c r="B187" s="18" t="n">
        <x:v>46273</x:v>
      </x:c>
      <x:c r="C187" s="17" t="str">
        <x:v>W0024</x:v>
      </x:c>
      <x:c r="D187" s="17" t="str">
        <x:v>C001</x:v>
      </x:c>
      <x:c r="E187" s="17" t="str">
        <x:v>CampaignChat</x:v>
      </x:c>
      <x:c r="F187" s="17" t="str">
        <x:v>Lite</x:v>
      </x:c>
      <x:c r="G187" s="17" t="n">
        <x:v>43126</x:v>
      </x:c>
      <x:c r="H187" s="17" t="n">
        <x:v>11978</x:v>
      </x:c>
      <x:c r="I187" s="17" t="str">
        <x:v>Correction</x:v>
      </x:c>
      <x:c r="J187" s="27" t="n">
        <x:f>INDEX('Model Pricing'!$B$7:$B$8,MATCH(F187,'Model Pricing'!$A$7:$A$8,0))</x:f>
        <x:v>10</x:v>
      </x:c>
      <x:c r="K187" s="27" t="n">
        <x:f>INDEX('Model Pricing'!$C$7:$C$8,MATCH(F187,'Model Pricing'!$A$7:$A$8,0))</x:f>
        <x:v>30</x:v>
      </x:c>
      <x:c r="L187" s="17" t="n">
        <x:f>G187+H187</x:f>
        <x:v>55104</x:v>
      </x:c>
      <x:c r="M187" s="28" t="n">
        <x:f>G187*J187/1000000</x:f>
        <x:v>0.43126</x:v>
      </x:c>
      <x:c r="N187" s="28" t="n">
        <x:f>H187*K187/1000000</x:f>
        <x:v>0.35934</x:v>
      </x:c>
      <x:c r="O187" s="28" t="n">
        <x:f>SUM(M187:N187)</x:f>
        <x:v>0.7906</x:v>
      </x:c>
    </x:row>
    <x:row r="188" ht="23" customHeight="1">
      <x:c r="A188" s="17" t="str">
        <x:v>U00182</x:v>
      </x:c>
      <x:c r="B188" s="18" t="n">
        <x:v>46274</x:v>
      </x:c>
      <x:c r="C188" s="17" t="str">
        <x:v>W0024</x:v>
      </x:c>
      <x:c r="D188" s="17" t="str">
        <x:v>C001</x:v>
      </x:c>
      <x:c r="E188" s="17" t="str">
        <x:v>CampaignChat</x:v>
      </x:c>
      <x:c r="F188" s="17" t="str">
        <x:v>Lite</x:v>
      </x:c>
      <x:c r="G188" s="17" t="n">
        <x:v>22618</x:v>
      </x:c>
      <x:c r="H188" s="17" t="n">
        <x:v>10272</x:v>
      </x:c>
      <x:c r="I188" s="17" t="str">
        <x:v>Correction</x:v>
      </x:c>
      <x:c r="J188" s="27" t="n">
        <x:f>INDEX('Model Pricing'!$B$7:$B$8,MATCH(F188,'Model Pricing'!$A$7:$A$8,0))</x:f>
        <x:v>10</x:v>
      </x:c>
      <x:c r="K188" s="27" t="n">
        <x:f>INDEX('Model Pricing'!$C$7:$C$8,MATCH(F188,'Model Pricing'!$A$7:$A$8,0))</x:f>
        <x:v>30</x:v>
      </x:c>
      <x:c r="L188" s="17" t="n">
        <x:f>G188+H188</x:f>
        <x:v>32890</x:v>
      </x:c>
      <x:c r="M188" s="28" t="n">
        <x:f>G188*J188/1000000</x:f>
        <x:v>0.22618</x:v>
      </x:c>
      <x:c r="N188" s="28" t="n">
        <x:f>H188*K188/1000000</x:f>
        <x:v>0.30816</x:v>
      </x:c>
      <x:c r="O188" s="28" t="n">
        <x:f>SUM(M188:N188)</x:f>
        <x:v>0.53434</x:v>
      </x:c>
    </x:row>
    <x:row r="189" ht="23" customHeight="1">
      <x:c r="A189" s="17" t="str">
        <x:v>U00183</x:v>
      </x:c>
      <x:c r="B189" s="18" t="n">
        <x:v>46274</x:v>
      </x:c>
      <x:c r="C189" s="17" t="str">
        <x:v>W0024</x:v>
      </x:c>
      <x:c r="D189" s="17" t="str">
        <x:v>C001</x:v>
      </x:c>
      <x:c r="E189" s="17" t="str">
        <x:v>CampaignChat</x:v>
      </x:c>
      <x:c r="F189" s="17" t="str">
        <x:v>Lite</x:v>
      </x:c>
      <x:c r="G189" s="17" t="n">
        <x:v>35483</x:v>
      </x:c>
      <x:c r="H189" s="17" t="n">
        <x:v>6095</x:v>
      </x:c>
      <x:c r="I189" s="17" t="str">
        <x:v>Followup</x:v>
      </x:c>
      <x:c r="J189" s="27" t="n">
        <x:f>INDEX('Model Pricing'!$B$7:$B$8,MATCH(F189,'Model Pricing'!$A$7:$A$8,0))</x:f>
        <x:v>10</x:v>
      </x:c>
      <x:c r="K189" s="27" t="n">
        <x:f>INDEX('Model Pricing'!$C$7:$C$8,MATCH(F189,'Model Pricing'!$A$7:$A$8,0))</x:f>
        <x:v>30</x:v>
      </x:c>
      <x:c r="L189" s="17" t="n">
        <x:f>G189+H189</x:f>
        <x:v>41578</x:v>
      </x:c>
      <x:c r="M189" s="28" t="n">
        <x:f>G189*J189/1000000</x:f>
        <x:v>0.35483</x:v>
      </x:c>
      <x:c r="N189" s="28" t="n">
        <x:f>H189*K189/1000000</x:f>
        <x:v>0.18285</x:v>
      </x:c>
      <x:c r="O189" s="28" t="n">
        <x:f>SUM(M189:N189)</x:f>
        <x:v>0.5376799999999999</x:v>
      </x:c>
    </x:row>
    <x:row r="190" ht="23" customHeight="1">
      <x:c r="A190" s="17" t="str">
        <x:v>U00184</x:v>
      </x:c>
      <x:c r="B190" s="18" t="n">
        <x:v>46274</x:v>
      </x:c>
      <x:c r="C190" s="17" t="str">
        <x:v>W0024</x:v>
      </x:c>
      <x:c r="D190" s="17" t="str">
        <x:v>C001</x:v>
      </x:c>
      <x:c r="E190" s="17" t="str">
        <x:v>CampaignChat</x:v>
      </x:c>
      <x:c r="F190" s="17" t="str">
        <x:v>Lite</x:v>
      </x:c>
      <x:c r="G190" s="17" t="n">
        <x:v>34357</x:v>
      </x:c>
      <x:c r="H190" s="17" t="n">
        <x:v>9262</x:v>
      </x:c>
      <x:c r="I190" s="17" t="str">
        <x:v>Followup</x:v>
      </x:c>
      <x:c r="J190" s="27" t="n">
        <x:f>INDEX('Model Pricing'!$B$7:$B$8,MATCH(F190,'Model Pricing'!$A$7:$A$8,0))</x:f>
        <x:v>10</x:v>
      </x:c>
      <x:c r="K190" s="27" t="n">
        <x:f>INDEX('Model Pricing'!$C$7:$C$8,MATCH(F190,'Model Pricing'!$A$7:$A$8,0))</x:f>
        <x:v>30</x:v>
      </x:c>
      <x:c r="L190" s="17" t="n">
        <x:f>G190+H190</x:f>
        <x:v>43619</x:v>
      </x:c>
      <x:c r="M190" s="28" t="n">
        <x:f>G190*J190/1000000</x:f>
        <x:v>0.34357</x:v>
      </x:c>
      <x:c r="N190" s="28" t="n">
        <x:f>H190*K190/1000000</x:f>
        <x:v>0.27786</x:v>
      </x:c>
      <x:c r="O190" s="28" t="n">
        <x:f>SUM(M190:N190)</x:f>
        <x:v>0.6214299999999999</x:v>
      </x:c>
    </x:row>
    <x:row r="191" ht="23" customHeight="1">
      <x:c r="A191" s="17" t="str">
        <x:v>U00185</x:v>
      </x:c>
      <x:c r="B191" s="18" t="n">
        <x:v>46280</x:v>
      </x:c>
      <x:c r="C191" s="17" t="str">
        <x:v>W0025</x:v>
      </x:c>
      <x:c r="D191" s="17" t="str">
        <x:v>C001</x:v>
      </x:c>
      <x:c r="E191" s="17" t="str">
        <x:v>CopyStudio</x:v>
      </x:c>
      <x:c r="F191" s="17" t="str">
        <x:v>Lite</x:v>
      </x:c>
      <x:c r="G191" s="17" t="n">
        <x:v>23311</x:v>
      </x:c>
      <x:c r="H191" s="17" t="n">
        <x:v>7293</x:v>
      </x:c>
      <x:c r="I191" s="17" t="str">
        <x:v>First attempt</x:v>
      </x:c>
      <x:c r="J191" s="27" t="n">
        <x:f>INDEX('Model Pricing'!$B$7:$B$8,MATCH(F191,'Model Pricing'!$A$7:$A$8,0))</x:f>
        <x:v>10</x:v>
      </x:c>
      <x:c r="K191" s="27" t="n">
        <x:f>INDEX('Model Pricing'!$C$7:$C$8,MATCH(F191,'Model Pricing'!$A$7:$A$8,0))</x:f>
        <x:v>30</x:v>
      </x:c>
      <x:c r="L191" s="17" t="n">
        <x:f>G191+H191</x:f>
        <x:v>30604</x:v>
      </x:c>
      <x:c r="M191" s="28" t="n">
        <x:f>G191*J191/1000000</x:f>
        <x:v>0.23311</x:v>
      </x:c>
      <x:c r="N191" s="28" t="n">
        <x:f>H191*K191/1000000</x:f>
        <x:v>0.21879</x:v>
      </x:c>
      <x:c r="O191" s="28" t="n">
        <x:f>SUM(M191:N191)</x:f>
        <x:v>0.4519</x:v>
      </x:c>
    </x:row>
    <x:row r="192" ht="23" customHeight="1">
      <x:c r="A192" s="17" t="str">
        <x:v>U00186</x:v>
      </x:c>
      <x:c r="B192" s="18" t="n">
        <x:v>46280</x:v>
      </x:c>
      <x:c r="C192" s="17" t="str">
        <x:v>W0025</x:v>
      </x:c>
      <x:c r="D192" s="17" t="str">
        <x:v>C001</x:v>
      </x:c>
      <x:c r="E192" s="17" t="str">
        <x:v>CopyStudio</x:v>
      </x:c>
      <x:c r="F192" s="17" t="str">
        <x:v>Lite</x:v>
      </x:c>
      <x:c r="G192" s="17" t="n">
        <x:v>24795</x:v>
      </x:c>
      <x:c r="H192" s="17" t="n">
        <x:v>12586</x:v>
      </x:c>
      <x:c r="I192" s="17" t="str">
        <x:v>Correction</x:v>
      </x:c>
      <x:c r="J192" s="27" t="n">
        <x:f>INDEX('Model Pricing'!$B$7:$B$8,MATCH(F192,'Model Pricing'!$A$7:$A$8,0))</x:f>
        <x:v>10</x:v>
      </x:c>
      <x:c r="K192" s="27" t="n">
        <x:f>INDEX('Model Pricing'!$C$7:$C$8,MATCH(F192,'Model Pricing'!$A$7:$A$8,0))</x:f>
        <x:v>30</x:v>
      </x:c>
      <x:c r="L192" s="17" t="n">
        <x:f>G192+H192</x:f>
        <x:v>37381</x:v>
      </x:c>
      <x:c r="M192" s="28" t="n">
        <x:f>G192*J192/1000000</x:f>
        <x:v>0.24795</x:v>
      </x:c>
      <x:c r="N192" s="28" t="n">
        <x:f>H192*K192/1000000</x:f>
        <x:v>0.37758</x:v>
      </x:c>
      <x:c r="O192" s="28" t="n">
        <x:f>SUM(M192:N192)</x:f>
        <x:v>0.62553</x:v>
      </x:c>
    </x:row>
    <x:row r="193" ht="23" customHeight="1">
      <x:c r="A193" s="17" t="str">
        <x:v>U00187</x:v>
      </x:c>
      <x:c r="B193" s="18" t="n">
        <x:v>46280</x:v>
      </x:c>
      <x:c r="C193" s="17" t="str">
        <x:v>W0025</x:v>
      </x:c>
      <x:c r="D193" s="17" t="str">
        <x:v>C001</x:v>
      </x:c>
      <x:c r="E193" s="17" t="str">
        <x:v>CopyStudio</x:v>
      </x:c>
      <x:c r="F193" s="17" t="str">
        <x:v>Lite</x:v>
      </x:c>
      <x:c r="G193" s="17" t="n">
        <x:v>46237</x:v>
      </x:c>
      <x:c r="H193" s="17" t="n">
        <x:v>16111</x:v>
      </x:c>
      <x:c r="I193" s="17" t="str">
        <x:v>Followup</x:v>
      </x:c>
      <x:c r="J193" s="27" t="n">
        <x:f>INDEX('Model Pricing'!$B$7:$B$8,MATCH(F193,'Model Pricing'!$A$7:$A$8,0))</x:f>
        <x:v>10</x:v>
      </x:c>
      <x:c r="K193" s="27" t="n">
        <x:f>INDEX('Model Pricing'!$C$7:$C$8,MATCH(F193,'Model Pricing'!$A$7:$A$8,0))</x:f>
        <x:v>30</x:v>
      </x:c>
      <x:c r="L193" s="17" t="n">
        <x:f>G193+H193</x:f>
        <x:v>62348</x:v>
      </x:c>
      <x:c r="M193" s="28" t="n">
        <x:f>G193*J193/1000000</x:f>
        <x:v>0.46237</x:v>
      </x:c>
      <x:c r="N193" s="28" t="n">
        <x:f>H193*K193/1000000</x:f>
        <x:v>0.48333</x:v>
      </x:c>
      <x:c r="O193" s="28" t="n">
        <x:f>SUM(M193:N193)</x:f>
        <x:v>0.9457</x:v>
      </x:c>
    </x:row>
    <x:row r="194" ht="23" customHeight="1">
      <x:c r="A194" s="17" t="str">
        <x:v>U00188</x:v>
      </x:c>
      <x:c r="B194" s="18" t="n">
        <x:v>46281</x:v>
      </x:c>
      <x:c r="C194" s="17" t="str">
        <x:v>W0025</x:v>
      </x:c>
      <x:c r="D194" s="17" t="str">
        <x:v>C001</x:v>
      </x:c>
      <x:c r="E194" s="17" t="str">
        <x:v>CopyStudio</x:v>
      </x:c>
      <x:c r="F194" s="17" t="str">
        <x:v>Lite</x:v>
      </x:c>
      <x:c r="G194" s="17" t="n">
        <x:v>23716</x:v>
      </x:c>
      <x:c r="H194" s="17" t="n">
        <x:v>7626</x:v>
      </x:c>
      <x:c r="I194" s="17" t="str">
        <x:v>Followup</x:v>
      </x:c>
      <x:c r="J194" s="27" t="n">
        <x:f>INDEX('Model Pricing'!$B$7:$B$8,MATCH(F194,'Model Pricing'!$A$7:$A$8,0))</x:f>
        <x:v>10</x:v>
      </x:c>
      <x:c r="K194" s="27" t="n">
        <x:f>INDEX('Model Pricing'!$C$7:$C$8,MATCH(F194,'Model Pricing'!$A$7:$A$8,0))</x:f>
        <x:v>30</x:v>
      </x:c>
      <x:c r="L194" s="17" t="n">
        <x:f>G194+H194</x:f>
        <x:v>31342</x:v>
      </x:c>
      <x:c r="M194" s="28" t="n">
        <x:f>G194*J194/1000000</x:f>
        <x:v>0.23716</x:v>
      </x:c>
      <x:c r="N194" s="28" t="n">
        <x:f>H194*K194/1000000</x:f>
        <x:v>0.22878</x:v>
      </x:c>
      <x:c r="O194" s="28" t="n">
        <x:f>SUM(M194:N194)</x:f>
        <x:v>0.46594</x:v>
      </x:c>
    </x:row>
    <x:row r="195" ht="23" customHeight="1">
      <x:c r="A195" s="17" t="str">
        <x:v>U00189</x:v>
      </x:c>
      <x:c r="B195" s="18" t="n">
        <x:v>46281</x:v>
      </x:c>
      <x:c r="C195" s="17" t="str">
        <x:v>W0025</x:v>
      </x:c>
      <x:c r="D195" s="17" t="str">
        <x:v>C001</x:v>
      </x:c>
      <x:c r="E195" s="17" t="str">
        <x:v>CopyStudio</x:v>
      </x:c>
      <x:c r="F195" s="17" t="str">
        <x:v>Lite</x:v>
      </x:c>
      <x:c r="G195" s="17" t="n">
        <x:v>36914</x:v>
      </x:c>
      <x:c r="H195" s="17" t="n">
        <x:v>8975</x:v>
      </x:c>
      <x:c r="I195" s="17" t="str">
        <x:v>Followup</x:v>
      </x:c>
      <x:c r="J195" s="27" t="n">
        <x:f>INDEX('Model Pricing'!$B$7:$B$8,MATCH(F195,'Model Pricing'!$A$7:$A$8,0))</x:f>
        <x:v>10</x:v>
      </x:c>
      <x:c r="K195" s="27" t="n">
        <x:f>INDEX('Model Pricing'!$C$7:$C$8,MATCH(F195,'Model Pricing'!$A$7:$A$8,0))</x:f>
        <x:v>30</x:v>
      </x:c>
      <x:c r="L195" s="17" t="n">
        <x:f>G195+H195</x:f>
        <x:v>45889</x:v>
      </x:c>
      <x:c r="M195" s="28" t="n">
        <x:f>G195*J195/1000000</x:f>
        <x:v>0.36914</x:v>
      </x:c>
      <x:c r="N195" s="28" t="n">
        <x:f>H195*K195/1000000</x:f>
        <x:v>0.26925</x:v>
      </x:c>
      <x:c r="O195" s="28" t="n">
        <x:f>SUM(M195:N195)</x:f>
        <x:v>0.63839</x:v>
      </x:c>
    </x:row>
    <x:row r="196" ht="23" customHeight="1">
      <x:c r="A196" s="17" t="str">
        <x:v>U00190</x:v>
      </x:c>
      <x:c r="B196" s="18" t="n">
        <x:v>46282</x:v>
      </x:c>
      <x:c r="C196" s="17" t="str">
        <x:v>W0025</x:v>
      </x:c>
      <x:c r="D196" s="17" t="str">
        <x:v>C001</x:v>
      </x:c>
      <x:c r="E196" s="17" t="str">
        <x:v>CopyStudio</x:v>
      </x:c>
      <x:c r="F196" s="17" t="str">
        <x:v>Lite</x:v>
      </x:c>
      <x:c r="G196" s="17" t="n">
        <x:v>26265</x:v>
      </x:c>
      <x:c r="H196" s="17" t="n">
        <x:v>18996</x:v>
      </x:c>
      <x:c r="I196" s="17" t="str">
        <x:v>Followup</x:v>
      </x:c>
      <x:c r="J196" s="27" t="n">
        <x:f>INDEX('Model Pricing'!$B$7:$B$8,MATCH(F196,'Model Pricing'!$A$7:$A$8,0))</x:f>
        <x:v>10</x:v>
      </x:c>
      <x:c r="K196" s="27" t="n">
        <x:f>INDEX('Model Pricing'!$C$7:$C$8,MATCH(F196,'Model Pricing'!$A$7:$A$8,0))</x:f>
        <x:v>30</x:v>
      </x:c>
      <x:c r="L196" s="17" t="n">
        <x:f>G196+H196</x:f>
        <x:v>45261</x:v>
      </x:c>
      <x:c r="M196" s="28" t="n">
        <x:f>G196*J196/1000000</x:f>
        <x:v>0.26265</x:v>
      </x:c>
      <x:c r="N196" s="28" t="n">
        <x:f>H196*K196/1000000</x:f>
        <x:v>0.56988</x:v>
      </x:c>
      <x:c r="O196" s="28" t="n">
        <x:f>SUM(M196:N196)</x:f>
        <x:v>0.83253</x:v>
      </x:c>
    </x:row>
    <x:row r="197" ht="23" customHeight="1">
      <x:c r="A197" s="17" t="str">
        <x:v>U00191</x:v>
      </x:c>
      <x:c r="B197" s="18" t="n">
        <x:v>46282</x:v>
      </x:c>
      <x:c r="C197" s="17" t="str">
        <x:v>W0025</x:v>
      </x:c>
      <x:c r="D197" s="17" t="str">
        <x:v>C001</x:v>
      </x:c>
      <x:c r="E197" s="17" t="str">
        <x:v>CopyStudio</x:v>
      </x:c>
      <x:c r="F197" s="17" t="str">
        <x:v>Lite</x:v>
      </x:c>
      <x:c r="G197" s="17" t="n">
        <x:v>34548</x:v>
      </x:c>
      <x:c r="H197" s="17" t="n">
        <x:v>8282</x:v>
      </x:c>
      <x:c r="I197" s="17" t="str">
        <x:v>Followup</x:v>
      </x:c>
      <x:c r="J197" s="27" t="n">
        <x:f>INDEX('Model Pricing'!$B$7:$B$8,MATCH(F197,'Model Pricing'!$A$7:$A$8,0))</x:f>
        <x:v>10</x:v>
      </x:c>
      <x:c r="K197" s="27" t="n">
        <x:f>INDEX('Model Pricing'!$C$7:$C$8,MATCH(F197,'Model Pricing'!$A$7:$A$8,0))</x:f>
        <x:v>30</x:v>
      </x:c>
      <x:c r="L197" s="17" t="n">
        <x:f>G197+H197</x:f>
        <x:v>42830</x:v>
      </x:c>
      <x:c r="M197" s="28" t="n">
        <x:f>G197*J197/1000000</x:f>
        <x:v>0.34548</x:v>
      </x:c>
      <x:c r="N197" s="28" t="n">
        <x:f>H197*K197/1000000</x:f>
        <x:v>0.24846</x:v>
      </x:c>
      <x:c r="O197" s="28" t="n">
        <x:f>SUM(M197:N197)</x:f>
        <x:v>0.59394</x:v>
      </x:c>
    </x:row>
    <x:row r="198" ht="23" customHeight="1">
      <x:c r="A198" s="17" t="str">
        <x:v>U00192</x:v>
      </x:c>
      <x:c r="B198" s="18" t="n">
        <x:v>46283</x:v>
      </x:c>
      <x:c r="C198" s="17" t="str">
        <x:v>W0025</x:v>
      </x:c>
      <x:c r="D198" s="17" t="str">
        <x:v>C001</x:v>
      </x:c>
      <x:c r="E198" s="17" t="str">
        <x:v>CopyStudio</x:v>
      </x:c>
      <x:c r="F198" s="17" t="str">
        <x:v>Lite</x:v>
      </x:c>
      <x:c r="G198" s="17" t="n">
        <x:v>37135</x:v>
      </x:c>
      <x:c r="H198" s="17" t="n">
        <x:v>5433</x:v>
      </x:c>
      <x:c r="I198" s="17" t="str">
        <x:v>Followup</x:v>
      </x:c>
      <x:c r="J198" s="27" t="n">
        <x:f>INDEX('Model Pricing'!$B$7:$B$8,MATCH(F198,'Model Pricing'!$A$7:$A$8,0))</x:f>
        <x:v>10</x:v>
      </x:c>
      <x:c r="K198" s="27" t="n">
        <x:f>INDEX('Model Pricing'!$C$7:$C$8,MATCH(F198,'Model Pricing'!$A$7:$A$8,0))</x:f>
        <x:v>30</x:v>
      </x:c>
      <x:c r="L198" s="17" t="n">
        <x:f>G198+H198</x:f>
        <x:v>42568</x:v>
      </x:c>
      <x:c r="M198" s="28" t="n">
        <x:f>G198*J198/1000000</x:f>
        <x:v>0.37135</x:v>
      </x:c>
      <x:c r="N198" s="28" t="n">
        <x:f>H198*K198/1000000</x:f>
        <x:v>0.16299</x:v>
      </x:c>
      <x:c r="O198" s="28" t="n">
        <x:f>SUM(M198:N198)</x:f>
        <x:v>0.53434</x:v>
      </x:c>
    </x:row>
    <x:row r="199" ht="23" customHeight="1">
      <x:c r="A199" s="17" t="str">
        <x:v>U00193</x:v>
      </x:c>
      <x:c r="B199" s="18" t="n">
        <x:v>46283</x:v>
      </x:c>
      <x:c r="C199" s="17" t="str">
        <x:v>W0025</x:v>
      </x:c>
      <x:c r="D199" s="17" t="str">
        <x:v>C001</x:v>
      </x:c>
      <x:c r="E199" s="17" t="str">
        <x:v>CopyStudio</x:v>
      </x:c>
      <x:c r="F199" s="17" t="str">
        <x:v>Lite</x:v>
      </x:c>
      <x:c r="G199" s="17" t="n">
        <x:v>42403</x:v>
      </x:c>
      <x:c r="H199" s="17" t="n">
        <x:v>18104</x:v>
      </x:c>
      <x:c r="I199" s="17" t="str">
        <x:v>Followup</x:v>
      </x:c>
      <x:c r="J199" s="27" t="n">
        <x:f>INDEX('Model Pricing'!$B$7:$B$8,MATCH(F199,'Model Pricing'!$A$7:$A$8,0))</x:f>
        <x:v>10</x:v>
      </x:c>
      <x:c r="K199" s="27" t="n">
        <x:f>INDEX('Model Pricing'!$C$7:$C$8,MATCH(F199,'Model Pricing'!$A$7:$A$8,0))</x:f>
        <x:v>30</x:v>
      </x:c>
      <x:c r="L199" s="17" t="n">
        <x:f>G199+H199</x:f>
        <x:v>60507</x:v>
      </x:c>
      <x:c r="M199" s="28" t="n">
        <x:f>G199*J199/1000000</x:f>
        <x:v>0.42403</x:v>
      </x:c>
      <x:c r="N199" s="28" t="n">
        <x:f>H199*K199/1000000</x:f>
        <x:v>0.54312</x:v>
      </x:c>
      <x:c r="O199" s="28" t="n">
        <x:f>SUM(M199:N199)</x:f>
        <x:v>0.9671500000000001</x:v>
      </x:c>
    </x:row>
    <x:row r="200" ht="23" customHeight="1">
      <x:c r="A200" s="17" t="str">
        <x:v>U00194</x:v>
      </x:c>
      <x:c r="B200" s="18" t="n">
        <x:v>46289</x:v>
      </x:c>
      <x:c r="C200" s="17" t="str">
        <x:v>W0026</x:v>
      </x:c>
      <x:c r="D200" s="17" t="str">
        <x:v>C001</x:v>
      </x:c>
      <x:c r="E200" s="17" t="str">
        <x:v>CopyStudio</x:v>
      </x:c>
      <x:c r="F200" s="17" t="str">
        <x:v>Lite</x:v>
      </x:c>
      <x:c r="G200" s="17" t="n">
        <x:v>52924</x:v>
      </x:c>
      <x:c r="H200" s="17" t="n">
        <x:v>6217</x:v>
      </x:c>
      <x:c r="I200" s="17" t="str">
        <x:v>First attempt</x:v>
      </x:c>
      <x:c r="J200" s="27" t="n">
        <x:f>INDEX('Model Pricing'!$B$7:$B$8,MATCH(F200,'Model Pricing'!$A$7:$A$8,0))</x:f>
        <x:v>10</x:v>
      </x:c>
      <x:c r="K200" s="27" t="n">
        <x:f>INDEX('Model Pricing'!$C$7:$C$8,MATCH(F200,'Model Pricing'!$A$7:$A$8,0))</x:f>
        <x:v>30</x:v>
      </x:c>
      <x:c r="L200" s="17" t="n">
        <x:f>G200+H200</x:f>
        <x:v>59141</x:v>
      </x:c>
      <x:c r="M200" s="28" t="n">
        <x:f>G200*J200/1000000</x:f>
        <x:v>0.52924</x:v>
      </x:c>
      <x:c r="N200" s="28" t="n">
        <x:f>H200*K200/1000000</x:f>
        <x:v>0.18651</x:v>
      </x:c>
      <x:c r="O200" s="28" t="n">
        <x:f>SUM(M200:N200)</x:f>
        <x:v>0.7157500000000001</x:v>
      </x:c>
    </x:row>
    <x:row r="201" ht="23" customHeight="1">
      <x:c r="A201" s="17" t="str">
        <x:v>U00195</x:v>
      </x:c>
      <x:c r="B201" s="18" t="n">
        <x:v>46289</x:v>
      </x:c>
      <x:c r="C201" s="17" t="str">
        <x:v>W0026</x:v>
      </x:c>
      <x:c r="D201" s="17" t="str">
        <x:v>C001</x:v>
      </x:c>
      <x:c r="E201" s="17" t="str">
        <x:v>CopyStudio</x:v>
      </x:c>
      <x:c r="F201" s="17" t="str">
        <x:v>Lite</x:v>
      </x:c>
      <x:c r="G201" s="17" t="n">
        <x:v>42207</x:v>
      </x:c>
      <x:c r="H201" s="17" t="n">
        <x:v>7987</x:v>
      </x:c>
      <x:c r="I201" s="17" t="str">
        <x:v>Followup</x:v>
      </x:c>
      <x:c r="J201" s="27" t="n">
        <x:f>INDEX('Model Pricing'!$B$7:$B$8,MATCH(F201,'Model Pricing'!$A$7:$A$8,0))</x:f>
        <x:v>10</x:v>
      </x:c>
      <x:c r="K201" s="27" t="n">
        <x:f>INDEX('Model Pricing'!$C$7:$C$8,MATCH(F201,'Model Pricing'!$A$7:$A$8,0))</x:f>
        <x:v>30</x:v>
      </x:c>
      <x:c r="L201" s="17" t="n">
        <x:f>G201+H201</x:f>
        <x:v>50194</x:v>
      </x:c>
      <x:c r="M201" s="28" t="n">
        <x:f>G201*J201/1000000</x:f>
        <x:v>0.42207</x:v>
      </x:c>
      <x:c r="N201" s="28" t="n">
        <x:f>H201*K201/1000000</x:f>
        <x:v>0.23961</x:v>
      </x:c>
      <x:c r="O201" s="28" t="n">
        <x:f>SUM(M201:N201)</x:f>
        <x:v>0.66168</x:v>
      </x:c>
    </x:row>
    <x:row r="202" ht="23" customHeight="1">
      <x:c r="A202" s="17" t="str">
        <x:v>U00196</x:v>
      </x:c>
      <x:c r="B202" s="18" t="n">
        <x:v>46289</x:v>
      </x:c>
      <x:c r="C202" s="17" t="str">
        <x:v>W0026</x:v>
      </x:c>
      <x:c r="D202" s="17" t="str">
        <x:v>C001</x:v>
      </x:c>
      <x:c r="E202" s="17" t="str">
        <x:v>CopyStudio</x:v>
      </x:c>
      <x:c r="F202" s="17" t="str">
        <x:v>Lite</x:v>
      </x:c>
      <x:c r="G202" s="17" t="n">
        <x:v>54435</x:v>
      </x:c>
      <x:c r="H202" s="17" t="n">
        <x:v>6796</x:v>
      </x:c>
      <x:c r="I202" s="17" t="str">
        <x:v>Followup</x:v>
      </x:c>
      <x:c r="J202" s="27" t="n">
        <x:f>INDEX('Model Pricing'!$B$7:$B$8,MATCH(F202,'Model Pricing'!$A$7:$A$8,0))</x:f>
        <x:v>10</x:v>
      </x:c>
      <x:c r="K202" s="27" t="n">
        <x:f>INDEX('Model Pricing'!$C$7:$C$8,MATCH(F202,'Model Pricing'!$A$7:$A$8,0))</x:f>
        <x:v>30</x:v>
      </x:c>
      <x:c r="L202" s="17" t="n">
        <x:f>G202+H202</x:f>
        <x:v>61231</x:v>
      </x:c>
      <x:c r="M202" s="28" t="n">
        <x:f>G202*J202/1000000</x:f>
        <x:v>0.54435</x:v>
      </x:c>
      <x:c r="N202" s="28" t="n">
        <x:f>H202*K202/1000000</x:f>
        <x:v>0.20388</x:v>
      </x:c>
      <x:c r="O202" s="28" t="n">
        <x:f>SUM(M202:N202)</x:f>
        <x:v>0.74823</x:v>
      </x:c>
    </x:row>
    <x:row r="203" ht="23" customHeight="1">
      <x:c r="A203" s="17" t="str">
        <x:v>U00197</x:v>
      </x:c>
      <x:c r="B203" s="18" t="n">
        <x:v>46290</x:v>
      </x:c>
      <x:c r="C203" s="17" t="str">
        <x:v>W0026</x:v>
      </x:c>
      <x:c r="D203" s="17" t="str">
        <x:v>C001</x:v>
      </x:c>
      <x:c r="E203" s="17" t="str">
        <x:v>CopyStudio</x:v>
      </x:c>
      <x:c r="F203" s="17" t="str">
        <x:v>Lite</x:v>
      </x:c>
      <x:c r="G203" s="17" t="n">
        <x:v>25171</x:v>
      </x:c>
      <x:c r="H203" s="17" t="n">
        <x:v>6416</x:v>
      </x:c>
      <x:c r="I203" s="17" t="str">
        <x:v>Followup</x:v>
      </x:c>
      <x:c r="J203" s="27" t="n">
        <x:f>INDEX('Model Pricing'!$B$7:$B$8,MATCH(F203,'Model Pricing'!$A$7:$A$8,0))</x:f>
        <x:v>10</x:v>
      </x:c>
      <x:c r="K203" s="27" t="n">
        <x:f>INDEX('Model Pricing'!$C$7:$C$8,MATCH(F203,'Model Pricing'!$A$7:$A$8,0))</x:f>
        <x:v>30</x:v>
      </x:c>
      <x:c r="L203" s="17" t="n">
        <x:f>G203+H203</x:f>
        <x:v>31587</x:v>
      </x:c>
      <x:c r="M203" s="28" t="n">
        <x:f>G203*J203/1000000</x:f>
        <x:v>0.25171</x:v>
      </x:c>
      <x:c r="N203" s="28" t="n">
        <x:f>H203*K203/1000000</x:f>
        <x:v>0.19248</x:v>
      </x:c>
      <x:c r="O203" s="28" t="n">
        <x:f>SUM(M203:N203)</x:f>
        <x:v>0.44419</x:v>
      </x:c>
    </x:row>
    <x:row r="204" ht="23" customHeight="1">
      <x:c r="A204" s="17" t="str">
        <x:v>U00198</x:v>
      </x:c>
      <x:c r="B204" s="18" t="n">
        <x:v>46290</x:v>
      </x:c>
      <x:c r="C204" s="17" t="str">
        <x:v>W0026</x:v>
      </x:c>
      <x:c r="D204" s="17" t="str">
        <x:v>C001</x:v>
      </x:c>
      <x:c r="E204" s="17" t="str">
        <x:v>CopyStudio</x:v>
      </x:c>
      <x:c r="F204" s="17" t="str">
        <x:v>Lite</x:v>
      </x:c>
      <x:c r="G204" s="17" t="n">
        <x:v>33670</x:v>
      </x:c>
      <x:c r="H204" s="17" t="n">
        <x:v>4502</x:v>
      </x:c>
      <x:c r="I204" s="17" t="str">
        <x:v>Followup</x:v>
      </x:c>
      <x:c r="J204" s="27" t="n">
        <x:f>INDEX('Model Pricing'!$B$7:$B$8,MATCH(F204,'Model Pricing'!$A$7:$A$8,0))</x:f>
        <x:v>10</x:v>
      </x:c>
      <x:c r="K204" s="27" t="n">
        <x:f>INDEX('Model Pricing'!$C$7:$C$8,MATCH(F204,'Model Pricing'!$A$7:$A$8,0))</x:f>
        <x:v>30</x:v>
      </x:c>
      <x:c r="L204" s="17" t="n">
        <x:f>G204+H204</x:f>
        <x:v>38172</x:v>
      </x:c>
      <x:c r="M204" s="28" t="n">
        <x:f>G204*J204/1000000</x:f>
        <x:v>0.3367</x:v>
      </x:c>
      <x:c r="N204" s="28" t="n">
        <x:f>H204*K204/1000000</x:f>
        <x:v>0.13506</x:v>
      </x:c>
      <x:c r="O204" s="28" t="n">
        <x:f>SUM(M204:N204)</x:f>
        <x:v>0.47176</x:v>
      </x:c>
    </x:row>
    <x:row r="205" ht="23" customHeight="1">
      <x:c r="A205" s="17" t="str">
        <x:v>U00199</x:v>
      </x:c>
      <x:c r="B205" s="18" t="n">
        <x:v>46290</x:v>
      </x:c>
      <x:c r="C205" s="17" t="str">
        <x:v>W0026</x:v>
      </x:c>
      <x:c r="D205" s="17" t="str">
        <x:v>C001</x:v>
      </x:c>
      <x:c r="E205" s="17" t="str">
        <x:v>CopyStudio</x:v>
      </x:c>
      <x:c r="F205" s="17" t="str">
        <x:v>Lite</x:v>
      </x:c>
      <x:c r="G205" s="17" t="n">
        <x:v>40737</x:v>
      </x:c>
      <x:c r="H205" s="17" t="n">
        <x:v>7758</x:v>
      </x:c>
      <x:c r="I205" s="17" t="str">
        <x:v>Followup</x:v>
      </x:c>
      <x:c r="J205" s="27" t="n">
        <x:f>INDEX('Model Pricing'!$B$7:$B$8,MATCH(F205,'Model Pricing'!$A$7:$A$8,0))</x:f>
        <x:v>10</x:v>
      </x:c>
      <x:c r="K205" s="27" t="n">
        <x:f>INDEX('Model Pricing'!$C$7:$C$8,MATCH(F205,'Model Pricing'!$A$7:$A$8,0))</x:f>
        <x:v>30</x:v>
      </x:c>
      <x:c r="L205" s="17" t="n">
        <x:f>G205+H205</x:f>
        <x:v>48495</x:v>
      </x:c>
      <x:c r="M205" s="28" t="n">
        <x:f>G205*J205/1000000</x:f>
        <x:v>0.40737</x:v>
      </x:c>
      <x:c r="N205" s="28" t="n">
        <x:f>H205*K205/1000000</x:f>
        <x:v>0.23274</x:v>
      </x:c>
      <x:c r="O205" s="28" t="n">
        <x:f>SUM(M205:N205)</x:f>
        <x:v>0.64011</x:v>
      </x:c>
    </x:row>
    <x:row r="206" ht="23" customHeight="1">
      <x:c r="A206" s="17" t="str">
        <x:v>U00200</x:v>
      </x:c>
      <x:c r="B206" s="18" t="n">
        <x:v>46293</x:v>
      </x:c>
      <x:c r="C206" s="17" t="str">
        <x:v>W0026</x:v>
      </x:c>
      <x:c r="D206" s="17" t="str">
        <x:v>C001</x:v>
      </x:c>
      <x:c r="E206" s="17" t="str">
        <x:v>CopyStudio</x:v>
      </x:c>
      <x:c r="F206" s="17" t="str">
        <x:v>Lite</x:v>
      </x:c>
      <x:c r="G206" s="17" t="n">
        <x:v>54441</x:v>
      </x:c>
      <x:c r="H206" s="17" t="n">
        <x:v>5709</x:v>
      </x:c>
      <x:c r="I206" s="17" t="str">
        <x:v>Correction</x:v>
      </x:c>
      <x:c r="J206" s="27" t="n">
        <x:f>INDEX('Model Pricing'!$B$7:$B$8,MATCH(F206,'Model Pricing'!$A$7:$A$8,0))</x:f>
        <x:v>10</x:v>
      </x:c>
      <x:c r="K206" s="27" t="n">
        <x:f>INDEX('Model Pricing'!$C$7:$C$8,MATCH(F206,'Model Pricing'!$A$7:$A$8,0))</x:f>
        <x:v>30</x:v>
      </x:c>
      <x:c r="L206" s="17" t="n">
        <x:f>G206+H206</x:f>
        <x:v>60150</x:v>
      </x:c>
      <x:c r="M206" s="28" t="n">
        <x:f>G206*J206/1000000</x:f>
        <x:v>0.54441</x:v>
      </x:c>
      <x:c r="N206" s="28" t="n">
        <x:f>H206*K206/1000000</x:f>
        <x:v>0.17127</x:v>
      </x:c>
      <x:c r="O206" s="28" t="n">
        <x:f>SUM(M206:N206)</x:f>
        <x:v>0.71568</x:v>
      </x:c>
    </x:row>
    <x:row r="207" ht="23" customHeight="1">
      <x:c r="A207" s="17" t="str">
        <x:v>U00201</x:v>
      </x:c>
      <x:c r="B207" s="18" t="n">
        <x:v>46293</x:v>
      </x:c>
      <x:c r="C207" s="17" t="str">
        <x:v>W0026</x:v>
      </x:c>
      <x:c r="D207" s="17" t="str">
        <x:v>C001</x:v>
      </x:c>
      <x:c r="E207" s="17" t="str">
        <x:v>CopyStudio</x:v>
      </x:c>
      <x:c r="F207" s="17" t="str">
        <x:v>Lite</x:v>
      </x:c>
      <x:c r="G207" s="17" t="n">
        <x:v>42248</x:v>
      </x:c>
      <x:c r="H207" s="17" t="n">
        <x:v>2677</x:v>
      </x:c>
      <x:c r="I207" s="17" t="str">
        <x:v>Followup</x:v>
      </x:c>
      <x:c r="J207" s="27" t="n">
        <x:f>INDEX('Model Pricing'!$B$7:$B$8,MATCH(F207,'Model Pricing'!$A$7:$A$8,0))</x:f>
        <x:v>10</x:v>
      </x:c>
      <x:c r="K207" s="27" t="n">
        <x:f>INDEX('Model Pricing'!$C$7:$C$8,MATCH(F207,'Model Pricing'!$A$7:$A$8,0))</x:f>
        <x:v>30</x:v>
      </x:c>
      <x:c r="L207" s="17" t="n">
        <x:f>G207+H207</x:f>
        <x:v>44925</x:v>
      </x:c>
      <x:c r="M207" s="28" t="n">
        <x:f>G207*J207/1000000</x:f>
        <x:v>0.42248</x:v>
      </x:c>
      <x:c r="N207" s="28" t="n">
        <x:f>H207*K207/1000000</x:f>
        <x:v>0.08031</x:v>
      </x:c>
      <x:c r="O207" s="28" t="n">
        <x:f>SUM(M207:N207)</x:f>
        <x:v>0.5027900000000001</x:v>
      </x:c>
    </x:row>
    <x:row r="208" ht="23" customHeight="1">
      <x:c r="A208" s="17" t="str">
        <x:v>U00202</x:v>
      </x:c>
      <x:c r="B208" s="18" t="n">
        <x:v>46293</x:v>
      </x:c>
      <x:c r="C208" s="17" t="str">
        <x:v>W0026</x:v>
      </x:c>
      <x:c r="D208" s="17" t="str">
        <x:v>C001</x:v>
      </x:c>
      <x:c r="E208" s="17" t="str">
        <x:v>CopyStudio</x:v>
      </x:c>
      <x:c r="F208" s="17" t="str">
        <x:v>Lite</x:v>
      </x:c>
      <x:c r="G208" s="17" t="n">
        <x:v>31422</x:v>
      </x:c>
      <x:c r="H208" s="17" t="n">
        <x:v>7468</x:v>
      </x:c>
      <x:c r="I208" s="17" t="str">
        <x:v>Followup</x:v>
      </x:c>
      <x:c r="J208" s="27" t="n">
        <x:f>INDEX('Model Pricing'!$B$7:$B$8,MATCH(F208,'Model Pricing'!$A$7:$A$8,0))</x:f>
        <x:v>10</x:v>
      </x:c>
      <x:c r="K208" s="27" t="n">
        <x:f>INDEX('Model Pricing'!$C$7:$C$8,MATCH(F208,'Model Pricing'!$A$7:$A$8,0))</x:f>
        <x:v>30</x:v>
      </x:c>
      <x:c r="L208" s="17" t="n">
        <x:f>G208+H208</x:f>
        <x:v>38890</x:v>
      </x:c>
      <x:c r="M208" s="28" t="n">
        <x:f>G208*J208/1000000</x:f>
        <x:v>0.31422</x:v>
      </x:c>
      <x:c r="N208" s="28" t="n">
        <x:f>H208*K208/1000000</x:f>
        <x:v>0.22404</x:v>
      </x:c>
      <x:c r="O208" s="28" t="n">
        <x:f>SUM(M208:N208)</x:f>
        <x:v>0.53826</x:v>
      </x:c>
    </x:row>
    <x:row r="209" ht="23" customHeight="1">
      <x:c r="A209" s="17" t="str">
        <x:v>U00203</x:v>
      </x:c>
      <x:c r="B209" s="18" t="n">
        <x:v>46294</x:v>
      </x:c>
      <x:c r="C209" s="17" t="str">
        <x:v>W0026</x:v>
      </x:c>
      <x:c r="D209" s="17" t="str">
        <x:v>C001</x:v>
      </x:c>
      <x:c r="E209" s="17" t="str">
        <x:v>CopyStudio</x:v>
      </x:c>
      <x:c r="F209" s="17" t="str">
        <x:v>Lite</x:v>
      </x:c>
      <x:c r="G209" s="17" t="n">
        <x:v>55801</x:v>
      </x:c>
      <x:c r="H209" s="17" t="n">
        <x:v>6541</x:v>
      </x:c>
      <x:c r="I209" s="17" t="str">
        <x:v>Followup</x:v>
      </x:c>
      <x:c r="J209" s="27" t="n">
        <x:f>INDEX('Model Pricing'!$B$7:$B$8,MATCH(F209,'Model Pricing'!$A$7:$A$8,0))</x:f>
        <x:v>10</x:v>
      </x:c>
      <x:c r="K209" s="27" t="n">
        <x:f>INDEX('Model Pricing'!$C$7:$C$8,MATCH(F209,'Model Pricing'!$A$7:$A$8,0))</x:f>
        <x:v>30</x:v>
      </x:c>
      <x:c r="L209" s="17" t="n">
        <x:f>G209+H209</x:f>
        <x:v>62342</x:v>
      </x:c>
      <x:c r="M209" s="28" t="n">
        <x:f>G209*J209/1000000</x:f>
        <x:v>0.55801</x:v>
      </x:c>
      <x:c r="N209" s="28" t="n">
        <x:f>H209*K209/1000000</x:f>
        <x:v>0.19623</x:v>
      </x:c>
      <x:c r="O209" s="28" t="n">
        <x:f>SUM(M209:N209)</x:f>
        <x:v>0.75424</x:v>
      </x:c>
    </x:row>
    <x:row r="210" ht="23" customHeight="1">
      <x:c r="A210" s="17" t="str">
        <x:v>U00204</x:v>
      </x:c>
      <x:c r="B210" s="18" t="n">
        <x:v>46294</x:v>
      </x:c>
      <x:c r="C210" s="17" t="str">
        <x:v>W0026</x:v>
      </x:c>
      <x:c r="D210" s="17" t="str">
        <x:v>C001</x:v>
      </x:c>
      <x:c r="E210" s="17" t="str">
        <x:v>CopyStudio</x:v>
      </x:c>
      <x:c r="F210" s="17" t="str">
        <x:v>Lite</x:v>
      </x:c>
      <x:c r="G210" s="17" t="n">
        <x:v>49150</x:v>
      </x:c>
      <x:c r="H210" s="17" t="n">
        <x:v>3682</x:v>
      </x:c>
      <x:c r="I210" s="17" t="str">
        <x:v>Followup</x:v>
      </x:c>
      <x:c r="J210" s="27" t="n">
        <x:f>INDEX('Model Pricing'!$B$7:$B$8,MATCH(F210,'Model Pricing'!$A$7:$A$8,0))</x:f>
        <x:v>10</x:v>
      </x:c>
      <x:c r="K210" s="27" t="n">
        <x:f>INDEX('Model Pricing'!$C$7:$C$8,MATCH(F210,'Model Pricing'!$A$7:$A$8,0))</x:f>
        <x:v>30</x:v>
      </x:c>
      <x:c r="L210" s="17" t="n">
        <x:f>G210+H210</x:f>
        <x:v>52832</x:v>
      </x:c>
      <x:c r="M210" s="28" t="n">
        <x:f>G210*J210/1000000</x:f>
        <x:v>0.4915</x:v>
      </x:c>
      <x:c r="N210" s="28" t="n">
        <x:f>H210*K210/1000000</x:f>
        <x:v>0.11046</x:v>
      </x:c>
      <x:c r="O210" s="28" t="n">
        <x:f>SUM(M210:N210)</x:f>
        <x:v>0.60196</x:v>
      </x:c>
    </x:row>
    <x:row r="211" ht="23" customHeight="1">
      <x:c r="A211" s="17" t="str">
        <x:v>U00205</x:v>
      </x:c>
      <x:c r="B211" s="18" t="n">
        <x:v>46294</x:v>
      </x:c>
      <x:c r="C211" s="17" t="str">
        <x:v>W0026</x:v>
      </x:c>
      <x:c r="D211" s="17" t="str">
        <x:v>C001</x:v>
      </x:c>
      <x:c r="E211" s="17" t="str">
        <x:v>CopyStudio</x:v>
      </x:c>
      <x:c r="F211" s="17" t="str">
        <x:v>Lite</x:v>
      </x:c>
      <x:c r="G211" s="17" t="n">
        <x:v>27250</x:v>
      </x:c>
      <x:c r="H211" s="17" t="n">
        <x:v>7748</x:v>
      </x:c>
      <x:c r="I211" s="17" t="str">
        <x:v>Followup</x:v>
      </x:c>
      <x:c r="J211" s="27" t="n">
        <x:f>INDEX('Model Pricing'!$B$7:$B$8,MATCH(F211,'Model Pricing'!$A$7:$A$8,0))</x:f>
        <x:v>10</x:v>
      </x:c>
      <x:c r="K211" s="27" t="n">
        <x:f>INDEX('Model Pricing'!$C$7:$C$8,MATCH(F211,'Model Pricing'!$A$7:$A$8,0))</x:f>
        <x:v>30</x:v>
      </x:c>
      <x:c r="L211" s="17" t="n">
        <x:f>G211+H211</x:f>
        <x:v>34998</x:v>
      </x:c>
      <x:c r="M211" s="28" t="n">
        <x:f>G211*J211/1000000</x:f>
        <x:v>0.2725</x:v>
      </x:c>
      <x:c r="N211" s="28" t="n">
        <x:f>H211*K211/1000000</x:f>
        <x:v>0.23244</x:v>
      </x:c>
      <x:c r="O211" s="28" t="n">
        <x:f>SUM(M211:N211)</x:f>
        <x:v>0.50494</x:v>
      </x:c>
    </x:row>
    <x:row r="212" ht="23" customHeight="1">
      <x:c r="A212" s="17" t="str">
        <x:v>U00206</x:v>
      </x:c>
      <x:c r="B212" s="18" t="n">
        <x:v>46274</x:v>
      </x:c>
      <x:c r="C212" s="17" t="str">
        <x:v>W0027</x:v>
      </x:c>
      <x:c r="D212" s="17" t="str">
        <x:v>C001</x:v>
      </x:c>
      <x:c r="E212" s="17" t="str">
        <x:v>CampaignChat</x:v>
      </x:c>
      <x:c r="F212" s="17" t="str">
        <x:v>Lite</x:v>
      </x:c>
      <x:c r="G212" s="17" t="n">
        <x:v>58725</x:v>
      </x:c>
      <x:c r="H212" s="17" t="n">
        <x:v>8518</x:v>
      </x:c>
      <x:c r="I212" s="17" t="str">
        <x:v>First attempt</x:v>
      </x:c>
      <x:c r="J212" s="27" t="n">
        <x:f>INDEX('Model Pricing'!$B$7:$B$8,MATCH(F212,'Model Pricing'!$A$7:$A$8,0))</x:f>
        <x:v>10</x:v>
      </x:c>
      <x:c r="K212" s="27" t="n">
        <x:f>INDEX('Model Pricing'!$C$7:$C$8,MATCH(F212,'Model Pricing'!$A$7:$A$8,0))</x:f>
        <x:v>30</x:v>
      </x:c>
      <x:c r="L212" s="17" t="n">
        <x:f>G212+H212</x:f>
        <x:v>67243</x:v>
      </x:c>
      <x:c r="M212" s="28" t="n">
        <x:f>G212*J212/1000000</x:f>
        <x:v>0.58725</x:v>
      </x:c>
      <x:c r="N212" s="28" t="n">
        <x:f>H212*K212/1000000</x:f>
        <x:v>0.25554</x:v>
      </x:c>
      <x:c r="O212" s="28" t="n">
        <x:f>SUM(M212:N212)</x:f>
        <x:v>0.84279</x:v>
      </x:c>
    </x:row>
    <x:row r="213" ht="23" customHeight="1">
      <x:c r="A213" s="17" t="str">
        <x:v>U00207</x:v>
      </x:c>
      <x:c r="B213" s="18" t="n">
        <x:v>46274</x:v>
      </x:c>
      <x:c r="C213" s="17" t="str">
        <x:v>W0027</x:v>
      </x:c>
      <x:c r="D213" s="17" t="str">
        <x:v>C001</x:v>
      </x:c>
      <x:c r="E213" s="17" t="str">
        <x:v>CampaignChat</x:v>
      </x:c>
      <x:c r="F213" s="17" t="str">
        <x:v>Lite</x:v>
      </x:c>
      <x:c r="G213" s="17" t="n">
        <x:v>50455</x:v>
      </x:c>
      <x:c r="H213" s="17" t="n">
        <x:v>4253</x:v>
      </x:c>
      <x:c r="I213" s="17" t="str">
        <x:v>Followup</x:v>
      </x:c>
      <x:c r="J213" s="27" t="n">
        <x:f>INDEX('Model Pricing'!$B$7:$B$8,MATCH(F213,'Model Pricing'!$A$7:$A$8,0))</x:f>
        <x:v>10</x:v>
      </x:c>
      <x:c r="K213" s="27" t="n">
        <x:f>INDEX('Model Pricing'!$C$7:$C$8,MATCH(F213,'Model Pricing'!$A$7:$A$8,0))</x:f>
        <x:v>30</x:v>
      </x:c>
      <x:c r="L213" s="17" t="n">
        <x:f>G213+H213</x:f>
        <x:v>54708</x:v>
      </x:c>
      <x:c r="M213" s="28" t="n">
        <x:f>G213*J213/1000000</x:f>
        <x:v>0.50455</x:v>
      </x:c>
      <x:c r="N213" s="28" t="n">
        <x:f>H213*K213/1000000</x:f>
        <x:v>0.12759</x:v>
      </x:c>
      <x:c r="O213" s="28" t="n">
        <x:f>SUM(M213:N213)</x:f>
        <x:v>0.63214</x:v>
      </x:c>
    </x:row>
    <x:row r="214" ht="23" customHeight="1">
      <x:c r="A214" s="17" t="str">
        <x:v>U00208</x:v>
      </x:c>
      <x:c r="B214" s="18" t="n">
        <x:v>46274</x:v>
      </x:c>
      <x:c r="C214" s="17" t="str">
        <x:v>W0027</x:v>
      </x:c>
      <x:c r="D214" s="17" t="str">
        <x:v>C001</x:v>
      </x:c>
      <x:c r="E214" s="17" t="str">
        <x:v>CampaignChat</x:v>
      </x:c>
      <x:c r="F214" s="17" t="str">
        <x:v>Lite</x:v>
      </x:c>
      <x:c r="G214" s="17" t="n">
        <x:v>27534</x:v>
      </x:c>
      <x:c r="H214" s="17" t="n">
        <x:v>7323</x:v>
      </x:c>
      <x:c r="I214" s="17" t="str">
        <x:v>Followup</x:v>
      </x:c>
      <x:c r="J214" s="27" t="n">
        <x:f>INDEX('Model Pricing'!$B$7:$B$8,MATCH(F214,'Model Pricing'!$A$7:$A$8,0))</x:f>
        <x:v>10</x:v>
      </x:c>
      <x:c r="K214" s="27" t="n">
        <x:f>INDEX('Model Pricing'!$C$7:$C$8,MATCH(F214,'Model Pricing'!$A$7:$A$8,0))</x:f>
        <x:v>30</x:v>
      </x:c>
      <x:c r="L214" s="17" t="n">
        <x:f>G214+H214</x:f>
        <x:v>34857</x:v>
      </x:c>
      <x:c r="M214" s="28" t="n">
        <x:f>G214*J214/1000000</x:f>
        <x:v>0.27534</x:v>
      </x:c>
      <x:c r="N214" s="28" t="n">
        <x:f>H214*K214/1000000</x:f>
        <x:v>0.21969</x:v>
      </x:c>
      <x:c r="O214" s="28" t="n">
        <x:f>SUM(M214:N214)</x:f>
        <x:v>0.49502999999999997</x:v>
      </x:c>
    </x:row>
    <x:row r="215" ht="23" customHeight="1">
      <x:c r="A215" s="17" t="str">
        <x:v>U00209</x:v>
      </x:c>
      <x:c r="B215" s="18" t="n">
        <x:v>46275</x:v>
      </x:c>
      <x:c r="C215" s="17" t="str">
        <x:v>W0027</x:v>
      </x:c>
      <x:c r="D215" s="17" t="str">
        <x:v>C001</x:v>
      </x:c>
      <x:c r="E215" s="17" t="str">
        <x:v>CampaignChat</x:v>
      </x:c>
      <x:c r="F215" s="17" t="str">
        <x:v>Lite</x:v>
      </x:c>
      <x:c r="G215" s="17" t="n">
        <x:v>54552</x:v>
      </x:c>
      <x:c r="H215" s="17" t="n">
        <x:v>4311</x:v>
      </x:c>
      <x:c r="I215" s="17" t="str">
        <x:v>Followup</x:v>
      </x:c>
      <x:c r="J215" s="27" t="n">
        <x:f>INDEX('Model Pricing'!$B$7:$B$8,MATCH(F215,'Model Pricing'!$A$7:$A$8,0))</x:f>
        <x:v>10</x:v>
      </x:c>
      <x:c r="K215" s="27" t="n">
        <x:f>INDEX('Model Pricing'!$C$7:$C$8,MATCH(F215,'Model Pricing'!$A$7:$A$8,0))</x:f>
        <x:v>30</x:v>
      </x:c>
      <x:c r="L215" s="17" t="n">
        <x:f>G215+H215</x:f>
        <x:v>58863</x:v>
      </x:c>
      <x:c r="M215" s="28" t="n">
        <x:f>G215*J215/1000000</x:f>
        <x:v>0.54552</x:v>
      </x:c>
      <x:c r="N215" s="28" t="n">
        <x:f>H215*K215/1000000</x:f>
        <x:v>0.12933</x:v>
      </x:c>
      <x:c r="O215" s="28" t="n">
        <x:f>SUM(M215:N215)</x:f>
        <x:v>0.67485</x:v>
      </x:c>
    </x:row>
    <x:row r="216" ht="23" customHeight="1">
      <x:c r="A216" s="17" t="str">
        <x:v>U00210</x:v>
      </x:c>
      <x:c r="B216" s="18" t="n">
        <x:v>46275</x:v>
      </x:c>
      <x:c r="C216" s="17" t="str">
        <x:v>W0027</x:v>
      </x:c>
      <x:c r="D216" s="17" t="str">
        <x:v>C001</x:v>
      </x:c>
      <x:c r="E216" s="17" t="str">
        <x:v>CampaignChat</x:v>
      </x:c>
      <x:c r="F216" s="17" t="str">
        <x:v>Lite</x:v>
      </x:c>
      <x:c r="G216" s="17" t="n">
        <x:v>38668</x:v>
      </x:c>
      <x:c r="H216" s="17" t="n">
        <x:v>4668</x:v>
      </x:c>
      <x:c r="I216" s="17" t="str">
        <x:v>Followup</x:v>
      </x:c>
      <x:c r="J216" s="27" t="n">
        <x:f>INDEX('Model Pricing'!$B$7:$B$8,MATCH(F216,'Model Pricing'!$A$7:$A$8,0))</x:f>
        <x:v>10</x:v>
      </x:c>
      <x:c r="K216" s="27" t="n">
        <x:f>INDEX('Model Pricing'!$C$7:$C$8,MATCH(F216,'Model Pricing'!$A$7:$A$8,0))</x:f>
        <x:v>30</x:v>
      </x:c>
      <x:c r="L216" s="17" t="n">
        <x:f>G216+H216</x:f>
        <x:v>43336</x:v>
      </x:c>
      <x:c r="M216" s="28" t="n">
        <x:f>G216*J216/1000000</x:f>
        <x:v>0.38668</x:v>
      </x:c>
      <x:c r="N216" s="28" t="n">
        <x:f>H216*K216/1000000</x:f>
        <x:v>0.14004</x:v>
      </x:c>
      <x:c r="O216" s="28" t="n">
        <x:f>SUM(M216:N216)</x:f>
        <x:v>0.5267200000000001</x:v>
      </x:c>
    </x:row>
    <x:row r="217" ht="23" customHeight="1">
      <x:c r="A217" s="17" t="str">
        <x:v>U00211</x:v>
      </x:c>
      <x:c r="B217" s="18" t="n">
        <x:v>46276</x:v>
      </x:c>
      <x:c r="C217" s="17" t="str">
        <x:v>W0027</x:v>
      </x:c>
      <x:c r="D217" s="17" t="str">
        <x:v>C001</x:v>
      </x:c>
      <x:c r="E217" s="17" t="str">
        <x:v>CampaignChat</x:v>
      </x:c>
      <x:c r="F217" s="17" t="str">
        <x:v>Lite</x:v>
      </x:c>
      <x:c r="G217" s="17" t="n">
        <x:v>47197</x:v>
      </x:c>
      <x:c r="H217" s="17" t="n">
        <x:v>7413</x:v>
      </x:c>
      <x:c r="I217" s="17" t="str">
        <x:v>Followup</x:v>
      </x:c>
      <x:c r="J217" s="27" t="n">
        <x:f>INDEX('Model Pricing'!$B$7:$B$8,MATCH(F217,'Model Pricing'!$A$7:$A$8,0))</x:f>
        <x:v>10</x:v>
      </x:c>
      <x:c r="K217" s="27" t="n">
        <x:f>INDEX('Model Pricing'!$C$7:$C$8,MATCH(F217,'Model Pricing'!$A$7:$A$8,0))</x:f>
        <x:v>30</x:v>
      </x:c>
      <x:c r="L217" s="17" t="n">
        <x:f>G217+H217</x:f>
        <x:v>54610</x:v>
      </x:c>
      <x:c r="M217" s="28" t="n">
        <x:f>G217*J217/1000000</x:f>
        <x:v>0.47197</x:v>
      </x:c>
      <x:c r="N217" s="28" t="n">
        <x:f>H217*K217/1000000</x:f>
        <x:v>0.22239</x:v>
      </x:c>
      <x:c r="O217" s="28" t="n">
        <x:f>SUM(M217:N217)</x:f>
        <x:v>0.69436</x:v>
      </x:c>
    </x:row>
    <x:row r="218" ht="23" customHeight="1">
      <x:c r="A218" s="17" t="str">
        <x:v>U00212</x:v>
      </x:c>
      <x:c r="B218" s="18" t="n">
        <x:v>46276</x:v>
      </x:c>
      <x:c r="C218" s="17" t="str">
        <x:v>W0027</x:v>
      </x:c>
      <x:c r="D218" s="17" t="str">
        <x:v>C001</x:v>
      </x:c>
      <x:c r="E218" s="17" t="str">
        <x:v>CampaignChat</x:v>
      </x:c>
      <x:c r="F218" s="17" t="str">
        <x:v>Lite</x:v>
      </x:c>
      <x:c r="G218" s="17" t="n">
        <x:v>58348</x:v>
      </x:c>
      <x:c r="H218" s="17" t="n">
        <x:v>7644</x:v>
      </x:c>
      <x:c r="I218" s="17" t="str">
        <x:v>Correction</x:v>
      </x:c>
      <x:c r="J218" s="27" t="n">
        <x:f>INDEX('Model Pricing'!$B$7:$B$8,MATCH(F218,'Model Pricing'!$A$7:$A$8,0))</x:f>
        <x:v>10</x:v>
      </x:c>
      <x:c r="K218" s="27" t="n">
        <x:f>INDEX('Model Pricing'!$C$7:$C$8,MATCH(F218,'Model Pricing'!$A$7:$A$8,0))</x:f>
        <x:v>30</x:v>
      </x:c>
      <x:c r="L218" s="17" t="n">
        <x:f>G218+H218</x:f>
        <x:v>65992</x:v>
      </x:c>
      <x:c r="M218" s="28" t="n">
        <x:f>G218*J218/1000000</x:f>
        <x:v>0.58348</x:v>
      </x:c>
      <x:c r="N218" s="28" t="n">
        <x:f>H218*K218/1000000</x:f>
        <x:v>0.22932</x:v>
      </x:c>
      <x:c r="O218" s="28" t="n">
        <x:f>SUM(M218:N218)</x:f>
        <x:v>0.8128</x:v>
      </x:c>
    </x:row>
    <x:row r="219" ht="23" customHeight="1">
      <x:c r="A219" s="17" t="str">
        <x:v>U00213</x:v>
      </x:c>
      <x:c r="B219" s="18" t="n">
        <x:v>46279</x:v>
      </x:c>
      <x:c r="C219" s="17" t="str">
        <x:v>W0027</x:v>
      </x:c>
      <x:c r="D219" s="17" t="str">
        <x:v>C001</x:v>
      </x:c>
      <x:c r="E219" s="17" t="str">
        <x:v>CampaignChat</x:v>
      </x:c>
      <x:c r="F219" s="17" t="str">
        <x:v>Lite</x:v>
      </x:c>
      <x:c r="G219" s="17" t="n">
        <x:v>70445</x:v>
      </x:c>
      <x:c r="H219" s="17" t="n">
        <x:v>3722</x:v>
      </x:c>
      <x:c r="I219" s="17" t="str">
        <x:v>Followup</x:v>
      </x:c>
      <x:c r="J219" s="27" t="n">
        <x:f>INDEX('Model Pricing'!$B$7:$B$8,MATCH(F219,'Model Pricing'!$A$7:$A$8,0))</x:f>
        <x:v>10</x:v>
      </x:c>
      <x:c r="K219" s="27" t="n">
        <x:f>INDEX('Model Pricing'!$C$7:$C$8,MATCH(F219,'Model Pricing'!$A$7:$A$8,0))</x:f>
        <x:v>30</x:v>
      </x:c>
      <x:c r="L219" s="17" t="n">
        <x:f>G219+H219</x:f>
        <x:v>74167</x:v>
      </x:c>
      <x:c r="M219" s="28" t="n">
        <x:f>G219*J219/1000000</x:f>
        <x:v>0.70445</x:v>
      </x:c>
      <x:c r="N219" s="28" t="n">
        <x:f>H219*K219/1000000</x:f>
        <x:v>0.11166</x:v>
      </x:c>
      <x:c r="O219" s="28" t="n">
        <x:f>SUM(M219:N219)</x:f>
        <x:v>0.81611</x:v>
      </x:c>
    </x:row>
    <x:row r="220" ht="23" customHeight="1">
      <x:c r="A220" s="17" t="str">
        <x:v>U00214</x:v>
      </x:c>
      <x:c r="B220" s="18" t="n">
        <x:v>46279</x:v>
      </x:c>
      <x:c r="C220" s="17" t="str">
        <x:v>W0027</x:v>
      </x:c>
      <x:c r="D220" s="17" t="str">
        <x:v>C001</x:v>
      </x:c>
      <x:c r="E220" s="17" t="str">
        <x:v>CampaignChat</x:v>
      </x:c>
      <x:c r="F220" s="17" t="str">
        <x:v>Lite</x:v>
      </x:c>
      <x:c r="G220" s="17" t="n">
        <x:v>68205</x:v>
      </x:c>
      <x:c r="H220" s="17" t="n">
        <x:v>4577</x:v>
      </x:c>
      <x:c r="I220" s="17" t="str">
        <x:v>Followup</x:v>
      </x:c>
      <x:c r="J220" s="27" t="n">
        <x:f>INDEX('Model Pricing'!$B$7:$B$8,MATCH(F220,'Model Pricing'!$A$7:$A$8,0))</x:f>
        <x:v>10</x:v>
      </x:c>
      <x:c r="K220" s="27" t="n">
        <x:f>INDEX('Model Pricing'!$C$7:$C$8,MATCH(F220,'Model Pricing'!$A$7:$A$8,0))</x:f>
        <x:v>30</x:v>
      </x:c>
      <x:c r="L220" s="17" t="n">
        <x:f>G220+H220</x:f>
        <x:v>72782</x:v>
      </x:c>
      <x:c r="M220" s="28" t="n">
        <x:f>G220*J220/1000000</x:f>
        <x:v>0.68205</x:v>
      </x:c>
      <x:c r="N220" s="28" t="n">
        <x:f>H220*K220/1000000</x:f>
        <x:v>0.13731</x:v>
      </x:c>
      <x:c r="O220" s="28" t="n">
        <x:f>SUM(M220:N220)</x:f>
        <x:v>0.8193600000000001</x:v>
      </x:c>
    </x:row>
    <x:row r="221" ht="23" customHeight="1">
      <x:c r="A221" s="17" t="str">
        <x:v>U00215</x:v>
      </x:c>
      <x:c r="B221" s="18" t="n">
        <x:v>46283</x:v>
      </x:c>
      <x:c r="C221" s="17" t="str">
        <x:v>W0028</x:v>
      </x:c>
      <x:c r="D221" s="17" t="str">
        <x:v>C001</x:v>
      </x:c>
      <x:c r="E221" s="17" t="str">
        <x:v>CampaignChat</x:v>
      </x:c>
      <x:c r="F221" s="17" t="str">
        <x:v>Lite</x:v>
      </x:c>
      <x:c r="G221" s="17" t="n">
        <x:v>11185</x:v>
      </x:c>
      <x:c r="H221" s="17" t="n">
        <x:v>5620</x:v>
      </x:c>
      <x:c r="I221" s="17" t="str">
        <x:v>First attempt</x:v>
      </x:c>
      <x:c r="J221" s="27" t="n">
        <x:f>INDEX('Model Pricing'!$B$7:$B$8,MATCH(F221,'Model Pricing'!$A$7:$A$8,0))</x:f>
        <x:v>10</x:v>
      </x:c>
      <x:c r="K221" s="27" t="n">
        <x:f>INDEX('Model Pricing'!$C$7:$C$8,MATCH(F221,'Model Pricing'!$A$7:$A$8,0))</x:f>
        <x:v>30</x:v>
      </x:c>
      <x:c r="L221" s="17" t="n">
        <x:f>G221+H221</x:f>
        <x:v>16805</x:v>
      </x:c>
      <x:c r="M221" s="28" t="n">
        <x:f>G221*J221/1000000</x:f>
        <x:v>0.11185</x:v>
      </x:c>
      <x:c r="N221" s="28" t="n">
        <x:f>H221*K221/1000000</x:f>
        <x:v>0.1686</x:v>
      </x:c>
      <x:c r="O221" s="28" t="n">
        <x:f>SUM(M221:N221)</x:f>
        <x:v>0.28045</x:v>
      </x:c>
    </x:row>
    <x:row r="222" ht="23" customHeight="1">
      <x:c r="A222" s="17" t="str">
        <x:v>U00216</x:v>
      </x:c>
      <x:c r="B222" s="18" t="n">
        <x:v>46283</x:v>
      </x:c>
      <x:c r="C222" s="17" t="str">
        <x:v>W0028</x:v>
      </x:c>
      <x:c r="D222" s="17" t="str">
        <x:v>C001</x:v>
      </x:c>
      <x:c r="E222" s="17" t="str">
        <x:v>CampaignChat</x:v>
      </x:c>
      <x:c r="F222" s="17" t="str">
        <x:v>Lite</x:v>
      </x:c>
      <x:c r="G222" s="17" t="n">
        <x:v>18412</x:v>
      </x:c>
      <x:c r="H222" s="17" t="n">
        <x:v>12021</x:v>
      </x:c>
      <x:c r="I222" s="17" t="str">
        <x:v>Correction</x:v>
      </x:c>
      <x:c r="J222" s="27" t="n">
        <x:f>INDEX('Model Pricing'!$B$7:$B$8,MATCH(F222,'Model Pricing'!$A$7:$A$8,0))</x:f>
        <x:v>10</x:v>
      </x:c>
      <x:c r="K222" s="27" t="n">
        <x:f>INDEX('Model Pricing'!$C$7:$C$8,MATCH(F222,'Model Pricing'!$A$7:$A$8,0))</x:f>
        <x:v>30</x:v>
      </x:c>
      <x:c r="L222" s="17" t="n">
        <x:f>G222+H222</x:f>
        <x:v>30433</x:v>
      </x:c>
      <x:c r="M222" s="28" t="n">
        <x:f>G222*J222/1000000</x:f>
        <x:v>0.18412</x:v>
      </x:c>
      <x:c r="N222" s="28" t="n">
        <x:f>H222*K222/1000000</x:f>
        <x:v>0.36063</x:v>
      </x:c>
      <x:c r="O222" s="28" t="n">
        <x:f>SUM(M222:N222)</x:f>
        <x:v>0.5447500000000001</x:v>
      </x:c>
    </x:row>
    <x:row r="223" ht="23" customHeight="1">
      <x:c r="A223" s="17" t="str">
        <x:v>U00217</x:v>
      </x:c>
      <x:c r="B223" s="18" t="n">
        <x:v>46283</x:v>
      </x:c>
      <x:c r="C223" s="17" t="str">
        <x:v>W0028</x:v>
      </x:c>
      <x:c r="D223" s="17" t="str">
        <x:v>C001</x:v>
      </x:c>
      <x:c r="E223" s="17" t="str">
        <x:v>CampaignChat</x:v>
      </x:c>
      <x:c r="F223" s="17" t="str">
        <x:v>Lite</x:v>
      </x:c>
      <x:c r="G223" s="17" t="n">
        <x:v>25980</x:v>
      </x:c>
      <x:c r="H223" s="17" t="n">
        <x:v>14142</x:v>
      </x:c>
      <x:c r="I223" s="17" t="str">
        <x:v>Followup</x:v>
      </x:c>
      <x:c r="J223" s="27" t="n">
        <x:f>INDEX('Model Pricing'!$B$7:$B$8,MATCH(F223,'Model Pricing'!$A$7:$A$8,0))</x:f>
        <x:v>10</x:v>
      </x:c>
      <x:c r="K223" s="27" t="n">
        <x:f>INDEX('Model Pricing'!$C$7:$C$8,MATCH(F223,'Model Pricing'!$A$7:$A$8,0))</x:f>
        <x:v>30</x:v>
      </x:c>
      <x:c r="L223" s="17" t="n">
        <x:f>G223+H223</x:f>
        <x:v>40122</x:v>
      </x:c>
      <x:c r="M223" s="28" t="n">
        <x:f>G223*J223/1000000</x:f>
        <x:v>0.2598</x:v>
      </x:c>
      <x:c r="N223" s="28" t="n">
        <x:f>H223*K223/1000000</x:f>
        <x:v>0.42426</x:v>
      </x:c>
      <x:c r="O223" s="28" t="n">
        <x:f>SUM(M223:N223)</x:f>
        <x:v>0.68406</x:v>
      </x:c>
    </x:row>
    <x:row r="224" ht="23" customHeight="1">
      <x:c r="A224" s="17" t="str">
        <x:v>U00218</x:v>
      </x:c>
      <x:c r="B224" s="18" t="n">
        <x:v>46286</x:v>
      </x:c>
      <x:c r="C224" s="17" t="str">
        <x:v>W0028</x:v>
      </x:c>
      <x:c r="D224" s="17" t="str">
        <x:v>C001</x:v>
      </x:c>
      <x:c r="E224" s="17" t="str">
        <x:v>CampaignChat</x:v>
      </x:c>
      <x:c r="F224" s="17" t="str">
        <x:v>Lite</x:v>
      </x:c>
      <x:c r="G224" s="17" t="n">
        <x:v>19724</x:v>
      </x:c>
      <x:c r="H224" s="17" t="n">
        <x:v>13361</x:v>
      </x:c>
      <x:c r="I224" s="17" t="str">
        <x:v>Followup</x:v>
      </x:c>
      <x:c r="J224" s="27" t="n">
        <x:f>INDEX('Model Pricing'!$B$7:$B$8,MATCH(F224,'Model Pricing'!$A$7:$A$8,0))</x:f>
        <x:v>10</x:v>
      </x:c>
      <x:c r="K224" s="27" t="n">
        <x:f>INDEX('Model Pricing'!$C$7:$C$8,MATCH(F224,'Model Pricing'!$A$7:$A$8,0))</x:f>
        <x:v>30</x:v>
      </x:c>
      <x:c r="L224" s="17" t="n">
        <x:f>G224+H224</x:f>
        <x:v>33085</x:v>
      </x:c>
      <x:c r="M224" s="28" t="n">
        <x:f>G224*J224/1000000</x:f>
        <x:v>0.19724</x:v>
      </x:c>
      <x:c r="N224" s="28" t="n">
        <x:f>H224*K224/1000000</x:f>
        <x:v>0.40083</x:v>
      </x:c>
      <x:c r="O224" s="28" t="n">
        <x:f>SUM(M224:N224)</x:f>
        <x:v>0.59807</x:v>
      </x:c>
    </x:row>
    <x:row r="225" ht="23" customHeight="1">
      <x:c r="A225" s="17" t="str">
        <x:v>U00219</x:v>
      </x:c>
      <x:c r="B225" s="18" t="n">
        <x:v>46286</x:v>
      </x:c>
      <x:c r="C225" s="17" t="str">
        <x:v>W0028</x:v>
      </x:c>
      <x:c r="D225" s="17" t="str">
        <x:v>C001</x:v>
      </x:c>
      <x:c r="E225" s="17" t="str">
        <x:v>CampaignChat</x:v>
      </x:c>
      <x:c r="F225" s="17" t="str">
        <x:v>Lite</x:v>
      </x:c>
      <x:c r="G225" s="17" t="n">
        <x:v>28040</x:v>
      </x:c>
      <x:c r="H225" s="17" t="n">
        <x:v>14026</x:v>
      </x:c>
      <x:c r="I225" s="17" t="str">
        <x:v>Followup</x:v>
      </x:c>
      <x:c r="J225" s="27" t="n">
        <x:f>INDEX('Model Pricing'!$B$7:$B$8,MATCH(F225,'Model Pricing'!$A$7:$A$8,0))</x:f>
        <x:v>10</x:v>
      </x:c>
      <x:c r="K225" s="27" t="n">
        <x:f>INDEX('Model Pricing'!$C$7:$C$8,MATCH(F225,'Model Pricing'!$A$7:$A$8,0))</x:f>
        <x:v>30</x:v>
      </x:c>
      <x:c r="L225" s="17" t="n">
        <x:f>G225+H225</x:f>
        <x:v>42066</x:v>
      </x:c>
      <x:c r="M225" s="28" t="n">
        <x:f>G225*J225/1000000</x:f>
        <x:v>0.2804</x:v>
      </x:c>
      <x:c r="N225" s="28" t="n">
        <x:f>H225*K225/1000000</x:f>
        <x:v>0.42078</x:v>
      </x:c>
      <x:c r="O225" s="28" t="n">
        <x:f>SUM(M225:N225)</x:f>
        <x:v>0.7011799999999999</x:v>
      </x:c>
    </x:row>
    <x:row r="226" ht="23" customHeight="1">
      <x:c r="A226" s="17" t="str">
        <x:v>U00220</x:v>
      </x:c>
      <x:c r="B226" s="18" t="n">
        <x:v>46287</x:v>
      </x:c>
      <x:c r="C226" s="17" t="str">
        <x:v>W0028</x:v>
      </x:c>
      <x:c r="D226" s="17" t="str">
        <x:v>C001</x:v>
      </x:c>
      <x:c r="E226" s="17" t="str">
        <x:v>CampaignChat</x:v>
      </x:c>
      <x:c r="F226" s="17" t="str">
        <x:v>Lite</x:v>
      </x:c>
      <x:c r="G226" s="17" t="n">
        <x:v>30301</x:v>
      </x:c>
      <x:c r="H226" s="17" t="n">
        <x:v>4086</x:v>
      </x:c>
      <x:c r="I226" s="17" t="str">
        <x:v>Followup</x:v>
      </x:c>
      <x:c r="J226" s="27" t="n">
        <x:f>INDEX('Model Pricing'!$B$7:$B$8,MATCH(F226,'Model Pricing'!$A$7:$A$8,0))</x:f>
        <x:v>10</x:v>
      </x:c>
      <x:c r="K226" s="27" t="n">
        <x:f>INDEX('Model Pricing'!$C$7:$C$8,MATCH(F226,'Model Pricing'!$A$7:$A$8,0))</x:f>
        <x:v>30</x:v>
      </x:c>
      <x:c r="L226" s="17" t="n">
        <x:f>G226+H226</x:f>
        <x:v>34387</x:v>
      </x:c>
      <x:c r="M226" s="28" t="n">
        <x:f>G226*J226/1000000</x:f>
        <x:v>0.30301</x:v>
      </x:c>
      <x:c r="N226" s="28" t="n">
        <x:f>H226*K226/1000000</x:f>
        <x:v>0.12258</x:v>
      </x:c>
      <x:c r="O226" s="28" t="n">
        <x:f>SUM(M226:N226)</x:f>
        <x:v>0.42559</x:v>
      </x:c>
    </x:row>
    <x:row r="227" ht="23" customHeight="1">
      <x:c r="A227" s="17" t="str">
        <x:v>U00221</x:v>
      </x:c>
      <x:c r="B227" s="18" t="n">
        <x:v>46287</x:v>
      </x:c>
      <x:c r="C227" s="17" t="str">
        <x:v>W0028</x:v>
      </x:c>
      <x:c r="D227" s="17" t="str">
        <x:v>C001</x:v>
      </x:c>
      <x:c r="E227" s="17" t="str">
        <x:v>CampaignChat</x:v>
      </x:c>
      <x:c r="F227" s="17" t="str">
        <x:v>Lite</x:v>
      </x:c>
      <x:c r="G227" s="17" t="n">
        <x:v>22971</x:v>
      </x:c>
      <x:c r="H227" s="17" t="n">
        <x:v>14745</x:v>
      </x:c>
      <x:c r="I227" s="17" t="str">
        <x:v>Followup</x:v>
      </x:c>
      <x:c r="J227" s="27" t="n">
        <x:f>INDEX('Model Pricing'!$B$7:$B$8,MATCH(F227,'Model Pricing'!$A$7:$A$8,0))</x:f>
        <x:v>10</x:v>
      </x:c>
      <x:c r="K227" s="27" t="n">
        <x:f>INDEX('Model Pricing'!$C$7:$C$8,MATCH(F227,'Model Pricing'!$A$7:$A$8,0))</x:f>
        <x:v>30</x:v>
      </x:c>
      <x:c r="L227" s="17" t="n">
        <x:f>G227+H227</x:f>
        <x:v>37716</x:v>
      </x:c>
      <x:c r="M227" s="28" t="n">
        <x:f>G227*J227/1000000</x:f>
        <x:v>0.22971</x:v>
      </x:c>
      <x:c r="N227" s="28" t="n">
        <x:f>H227*K227/1000000</x:f>
        <x:v>0.44235</x:v>
      </x:c>
      <x:c r="O227" s="28" t="n">
        <x:f>SUM(M227:N227)</x:f>
        <x:v>0.67206</x:v>
      </x:c>
    </x:row>
    <x:row r="228" ht="23" customHeight="1">
      <x:c r="A228" s="17" t="str">
        <x:v>U00222</x:v>
      </x:c>
      <x:c r="B228" s="18" t="n">
        <x:v>46287</x:v>
      </x:c>
      <x:c r="C228" s="17" t="str">
        <x:v>W0028</x:v>
      </x:c>
      <x:c r="D228" s="17" t="str">
        <x:v>C001</x:v>
      </x:c>
      <x:c r="E228" s="17" t="str">
        <x:v>CampaignChat</x:v>
      </x:c>
      <x:c r="F228" s="17" t="str">
        <x:v>Lite</x:v>
      </x:c>
      <x:c r="G228" s="17" t="n">
        <x:v>20151</x:v>
      </x:c>
      <x:c r="H228" s="17" t="n">
        <x:v>15735</x:v>
      </x:c>
      <x:c r="I228" s="17" t="str">
        <x:v>Followup</x:v>
      </x:c>
      <x:c r="J228" s="27" t="n">
        <x:f>INDEX('Model Pricing'!$B$7:$B$8,MATCH(F228,'Model Pricing'!$A$7:$A$8,0))</x:f>
        <x:v>10</x:v>
      </x:c>
      <x:c r="K228" s="27" t="n">
        <x:f>INDEX('Model Pricing'!$C$7:$C$8,MATCH(F228,'Model Pricing'!$A$7:$A$8,0))</x:f>
        <x:v>30</x:v>
      </x:c>
      <x:c r="L228" s="17" t="n">
        <x:f>G228+H228</x:f>
        <x:v>35886</x:v>
      </x:c>
      <x:c r="M228" s="28" t="n">
        <x:f>G228*J228/1000000</x:f>
        <x:v>0.20151</x:v>
      </x:c>
      <x:c r="N228" s="28" t="n">
        <x:f>H228*K228/1000000</x:f>
        <x:v>0.47205</x:v>
      </x:c>
      <x:c r="O228" s="28" t="n">
        <x:f>SUM(M228:N228)</x:f>
        <x:v>0.67356</x:v>
      </x:c>
    </x:row>
    <x:row r="229" ht="23" customHeight="1">
      <x:c r="A229" s="17" t="str">
        <x:v>U00223</x:v>
      </x:c>
      <x:c r="B229" s="18" t="n">
        <x:v>46288</x:v>
      </x:c>
      <x:c r="C229" s="17" t="str">
        <x:v>W0028</x:v>
      </x:c>
      <x:c r="D229" s="17" t="str">
        <x:v>C001</x:v>
      </x:c>
      <x:c r="E229" s="17" t="str">
        <x:v>CampaignChat</x:v>
      </x:c>
      <x:c r="F229" s="17" t="str">
        <x:v>Lite</x:v>
      </x:c>
      <x:c r="G229" s="17" t="n">
        <x:v>28417</x:v>
      </x:c>
      <x:c r="H229" s="17" t="n">
        <x:v>8111</x:v>
      </x:c>
      <x:c r="I229" s="17" t="str">
        <x:v>Followup</x:v>
      </x:c>
      <x:c r="J229" s="27" t="n">
        <x:f>INDEX('Model Pricing'!$B$7:$B$8,MATCH(F229,'Model Pricing'!$A$7:$A$8,0))</x:f>
        <x:v>10</x:v>
      </x:c>
      <x:c r="K229" s="27" t="n">
        <x:f>INDEX('Model Pricing'!$C$7:$C$8,MATCH(F229,'Model Pricing'!$A$7:$A$8,0))</x:f>
        <x:v>30</x:v>
      </x:c>
      <x:c r="L229" s="17" t="n">
        <x:f>G229+H229</x:f>
        <x:v>36528</x:v>
      </x:c>
      <x:c r="M229" s="28" t="n">
        <x:f>G229*J229/1000000</x:f>
        <x:v>0.28417</x:v>
      </x:c>
      <x:c r="N229" s="28" t="n">
        <x:f>H229*K229/1000000</x:f>
        <x:v>0.24333</x:v>
      </x:c>
      <x:c r="O229" s="28" t="n">
        <x:f>SUM(M229:N229)</x:f>
        <x:v>0.5275</x:v>
      </x:c>
    </x:row>
    <x:row r="230" ht="23" customHeight="1">
      <x:c r="A230" s="17" t="str">
        <x:v>U00224</x:v>
      </x:c>
      <x:c r="B230" s="18" t="n">
        <x:v>46288</x:v>
      </x:c>
      <x:c r="C230" s="17" t="str">
        <x:v>W0028</x:v>
      </x:c>
      <x:c r="D230" s="17" t="str">
        <x:v>C001</x:v>
      </x:c>
      <x:c r="E230" s="17" t="str">
        <x:v>CampaignChat</x:v>
      </x:c>
      <x:c r="F230" s="17" t="str">
        <x:v>Lite</x:v>
      </x:c>
      <x:c r="G230" s="17" t="n">
        <x:v>25633</x:v>
      </x:c>
      <x:c r="H230" s="17" t="n">
        <x:v>4521</x:v>
      </x:c>
      <x:c r="I230" s="17" t="str">
        <x:v>Followup</x:v>
      </x:c>
      <x:c r="J230" s="27" t="n">
        <x:f>INDEX('Model Pricing'!$B$7:$B$8,MATCH(F230,'Model Pricing'!$A$7:$A$8,0))</x:f>
        <x:v>10</x:v>
      </x:c>
      <x:c r="K230" s="27" t="n">
        <x:f>INDEX('Model Pricing'!$C$7:$C$8,MATCH(F230,'Model Pricing'!$A$7:$A$8,0))</x:f>
        <x:v>30</x:v>
      </x:c>
      <x:c r="L230" s="17" t="n">
        <x:f>G230+H230</x:f>
        <x:v>30154</x:v>
      </x:c>
      <x:c r="M230" s="28" t="n">
        <x:f>G230*J230/1000000</x:f>
        <x:v>0.25633</x:v>
      </x:c>
      <x:c r="N230" s="28" t="n">
        <x:f>H230*K230/1000000</x:f>
        <x:v>0.13563</x:v>
      </x:c>
      <x:c r="O230" s="28" t="n">
        <x:f>SUM(M230:N230)</x:f>
        <x:v>0.39196</x:v>
      </x:c>
    </x:row>
    <x:row r="231" ht="23" customHeight="1">
      <x:c r="A231" s="17" t="str">
        <x:v>U00225</x:v>
      </x:c>
      <x:c r="B231" s="18" t="n">
        <x:v>46267</x:v>
      </x:c>
      <x:c r="C231" s="17" t="str">
        <x:v>W0029</x:v>
      </x:c>
      <x:c r="D231" s="17" t="str">
        <x:v>C001</x:v>
      </x:c>
      <x:c r="E231" s="17" t="str">
        <x:v>CopyStudio</x:v>
      </x:c>
      <x:c r="F231" s="17" t="str">
        <x:v>Lite</x:v>
      </x:c>
      <x:c r="G231" s="17" t="n">
        <x:v>45350</x:v>
      </x:c>
      <x:c r="H231" s="17" t="n">
        <x:v>13812</x:v>
      </x:c>
      <x:c r="I231" s="17" t="str">
        <x:v>First attempt</x:v>
      </x:c>
      <x:c r="J231" s="27" t="n">
        <x:f>INDEX('Model Pricing'!$B$7:$B$8,MATCH(F231,'Model Pricing'!$A$7:$A$8,0))</x:f>
        <x:v>10</x:v>
      </x:c>
      <x:c r="K231" s="27" t="n">
        <x:f>INDEX('Model Pricing'!$C$7:$C$8,MATCH(F231,'Model Pricing'!$A$7:$A$8,0))</x:f>
        <x:v>30</x:v>
      </x:c>
      <x:c r="L231" s="17" t="n">
        <x:f>G231+H231</x:f>
        <x:v>59162</x:v>
      </x:c>
      <x:c r="M231" s="28" t="n">
        <x:f>G231*J231/1000000</x:f>
        <x:v>0.4535</x:v>
      </x:c>
      <x:c r="N231" s="28" t="n">
        <x:f>H231*K231/1000000</x:f>
        <x:v>0.41436</x:v>
      </x:c>
      <x:c r="O231" s="28" t="n">
        <x:f>SUM(M231:N231)</x:f>
        <x:v>0.8678600000000001</x:v>
      </x:c>
    </x:row>
    <x:row r="232" ht="23" customHeight="1">
      <x:c r="A232" s="17" t="str">
        <x:v>U00226</x:v>
      </x:c>
      <x:c r="B232" s="18" t="n">
        <x:v>46267</x:v>
      </x:c>
      <x:c r="C232" s="17" t="str">
        <x:v>W0029</x:v>
      </x:c>
      <x:c r="D232" s="17" t="str">
        <x:v>C001</x:v>
      </x:c>
      <x:c r="E232" s="17" t="str">
        <x:v>CopyStudio</x:v>
      </x:c>
      <x:c r="F232" s="17" t="str">
        <x:v>Lite</x:v>
      </x:c>
      <x:c r="G232" s="17" t="n">
        <x:v>54378</x:v>
      </x:c>
      <x:c r="H232" s="17" t="n">
        <x:v>13966</x:v>
      </x:c>
      <x:c r="I232" s="17" t="str">
        <x:v>Correction</x:v>
      </x:c>
      <x:c r="J232" s="27" t="n">
        <x:f>INDEX('Model Pricing'!$B$7:$B$8,MATCH(F232,'Model Pricing'!$A$7:$A$8,0))</x:f>
        <x:v>10</x:v>
      </x:c>
      <x:c r="K232" s="27" t="n">
        <x:f>INDEX('Model Pricing'!$C$7:$C$8,MATCH(F232,'Model Pricing'!$A$7:$A$8,0))</x:f>
        <x:v>30</x:v>
      </x:c>
      <x:c r="L232" s="17" t="n">
        <x:f>G232+H232</x:f>
        <x:v>68344</x:v>
      </x:c>
      <x:c r="M232" s="28" t="n">
        <x:f>G232*J232/1000000</x:f>
        <x:v>0.54378</x:v>
      </x:c>
      <x:c r="N232" s="28" t="n">
        <x:f>H232*K232/1000000</x:f>
        <x:v>0.41898</x:v>
      </x:c>
      <x:c r="O232" s="28" t="n">
        <x:f>SUM(M232:N232)</x:f>
        <x:v>0.9627600000000001</x:v>
      </x:c>
    </x:row>
    <x:row r="233" ht="23" customHeight="1">
      <x:c r="A233" s="17" t="str">
        <x:v>U00227</x:v>
      </x:c>
      <x:c r="B233" s="18" t="n">
        <x:v>46267</x:v>
      </x:c>
      <x:c r="C233" s="17" t="str">
        <x:v>W0029</x:v>
      </x:c>
      <x:c r="D233" s="17" t="str">
        <x:v>C001</x:v>
      </x:c>
      <x:c r="E233" s="17" t="str">
        <x:v>CopyStudio</x:v>
      </x:c>
      <x:c r="F233" s="17" t="str">
        <x:v>Lite</x:v>
      </x:c>
      <x:c r="G233" s="17" t="n">
        <x:v>49503</x:v>
      </x:c>
      <x:c r="H233" s="17" t="n">
        <x:v>9534</x:v>
      </x:c>
      <x:c r="I233" s="17" t="str">
        <x:v>Followup</x:v>
      </x:c>
      <x:c r="J233" s="27" t="n">
        <x:f>INDEX('Model Pricing'!$B$7:$B$8,MATCH(F233,'Model Pricing'!$A$7:$A$8,0))</x:f>
        <x:v>10</x:v>
      </x:c>
      <x:c r="K233" s="27" t="n">
        <x:f>INDEX('Model Pricing'!$C$7:$C$8,MATCH(F233,'Model Pricing'!$A$7:$A$8,0))</x:f>
        <x:v>30</x:v>
      </x:c>
      <x:c r="L233" s="17" t="n">
        <x:f>G233+H233</x:f>
        <x:v>59037</x:v>
      </x:c>
      <x:c r="M233" s="28" t="n">
        <x:f>G233*J233/1000000</x:f>
        <x:v>0.49503</x:v>
      </x:c>
      <x:c r="N233" s="28" t="n">
        <x:f>H233*K233/1000000</x:f>
        <x:v>0.28602</x:v>
      </x:c>
      <x:c r="O233" s="28" t="n">
        <x:f>SUM(M233:N233)</x:f>
        <x:v>0.78105</x:v>
      </x:c>
    </x:row>
    <x:row r="234" ht="23" customHeight="1">
      <x:c r="A234" s="17" t="str">
        <x:v>U00228</x:v>
      </x:c>
      <x:c r="B234" s="18" t="n">
        <x:v>46268</x:v>
      </x:c>
      <x:c r="C234" s="17" t="str">
        <x:v>W0029</x:v>
      </x:c>
      <x:c r="D234" s="17" t="str">
        <x:v>C001</x:v>
      </x:c>
      <x:c r="E234" s="17" t="str">
        <x:v>CopyStudio</x:v>
      </x:c>
      <x:c r="F234" s="17" t="str">
        <x:v>Lite</x:v>
      </x:c>
      <x:c r="G234" s="17" t="n">
        <x:v>43895</x:v>
      </x:c>
      <x:c r="H234" s="17" t="n">
        <x:v>12263</x:v>
      </x:c>
      <x:c r="I234" s="17" t="str">
        <x:v>Followup</x:v>
      </x:c>
      <x:c r="J234" s="27" t="n">
        <x:f>INDEX('Model Pricing'!$B$7:$B$8,MATCH(F234,'Model Pricing'!$A$7:$A$8,0))</x:f>
        <x:v>10</x:v>
      </x:c>
      <x:c r="K234" s="27" t="n">
        <x:f>INDEX('Model Pricing'!$C$7:$C$8,MATCH(F234,'Model Pricing'!$A$7:$A$8,0))</x:f>
        <x:v>30</x:v>
      </x:c>
      <x:c r="L234" s="17" t="n">
        <x:f>G234+H234</x:f>
        <x:v>56158</x:v>
      </x:c>
      <x:c r="M234" s="28" t="n">
        <x:f>G234*J234/1000000</x:f>
        <x:v>0.43895</x:v>
      </x:c>
      <x:c r="N234" s="28" t="n">
        <x:f>H234*K234/1000000</x:f>
        <x:v>0.36789</x:v>
      </x:c>
      <x:c r="O234" s="28" t="n">
        <x:f>SUM(M234:N234)</x:f>
        <x:v>0.80684</x:v>
      </x:c>
    </x:row>
    <x:row r="235" ht="23" customHeight="1">
      <x:c r="A235" s="17" t="str">
        <x:v>U00229</x:v>
      </x:c>
      <x:c r="B235" s="18" t="n">
        <x:v>46268</x:v>
      </x:c>
      <x:c r="C235" s="17" t="str">
        <x:v>W0029</x:v>
      </x:c>
      <x:c r="D235" s="17" t="str">
        <x:v>C001</x:v>
      </x:c>
      <x:c r="E235" s="17" t="str">
        <x:v>CopyStudio</x:v>
      </x:c>
      <x:c r="F235" s="17" t="str">
        <x:v>Lite</x:v>
      </x:c>
      <x:c r="G235" s="17" t="n">
        <x:v>58993</x:v>
      </x:c>
      <x:c r="H235" s="17" t="n">
        <x:v>7227</x:v>
      </x:c>
      <x:c r="I235" s="17" t="str">
        <x:v>Followup</x:v>
      </x:c>
      <x:c r="J235" s="27" t="n">
        <x:f>INDEX('Model Pricing'!$B$7:$B$8,MATCH(F235,'Model Pricing'!$A$7:$A$8,0))</x:f>
        <x:v>10</x:v>
      </x:c>
      <x:c r="K235" s="27" t="n">
        <x:f>INDEX('Model Pricing'!$C$7:$C$8,MATCH(F235,'Model Pricing'!$A$7:$A$8,0))</x:f>
        <x:v>30</x:v>
      </x:c>
      <x:c r="L235" s="17" t="n">
        <x:f>G235+H235</x:f>
        <x:v>66220</x:v>
      </x:c>
      <x:c r="M235" s="28" t="n">
        <x:f>G235*J235/1000000</x:f>
        <x:v>0.58993</x:v>
      </x:c>
      <x:c r="N235" s="28" t="n">
        <x:f>H235*K235/1000000</x:f>
        <x:v>0.21681</x:v>
      </x:c>
      <x:c r="O235" s="28" t="n">
        <x:f>SUM(M235:N235)</x:f>
        <x:v>0.80674</x:v>
      </x:c>
    </x:row>
    <x:row r="236" ht="23" customHeight="1">
      <x:c r="A236" s="17" t="str">
        <x:v>U00230</x:v>
      </x:c>
      <x:c r="B236" s="18" t="n">
        <x:v>46269</x:v>
      </x:c>
      <x:c r="C236" s="17" t="str">
        <x:v>W0029</x:v>
      </x:c>
      <x:c r="D236" s="17" t="str">
        <x:v>C001</x:v>
      </x:c>
      <x:c r="E236" s="17" t="str">
        <x:v>CopyStudio</x:v>
      </x:c>
      <x:c r="F236" s="17" t="str">
        <x:v>Lite</x:v>
      </x:c>
      <x:c r="G236" s="17" t="n">
        <x:v>58941</x:v>
      </x:c>
      <x:c r="H236" s="17" t="n">
        <x:v>7158</x:v>
      </x:c>
      <x:c r="I236" s="17" t="str">
        <x:v>Followup</x:v>
      </x:c>
      <x:c r="J236" s="27" t="n">
        <x:f>INDEX('Model Pricing'!$B$7:$B$8,MATCH(F236,'Model Pricing'!$A$7:$A$8,0))</x:f>
        <x:v>10</x:v>
      </x:c>
      <x:c r="K236" s="27" t="n">
        <x:f>INDEX('Model Pricing'!$C$7:$C$8,MATCH(F236,'Model Pricing'!$A$7:$A$8,0))</x:f>
        <x:v>30</x:v>
      </x:c>
      <x:c r="L236" s="17" t="n">
        <x:f>G236+H236</x:f>
        <x:v>66099</x:v>
      </x:c>
      <x:c r="M236" s="28" t="n">
        <x:f>G236*J236/1000000</x:f>
        <x:v>0.58941</x:v>
      </x:c>
      <x:c r="N236" s="28" t="n">
        <x:f>H236*K236/1000000</x:f>
        <x:v>0.21474</x:v>
      </x:c>
      <x:c r="O236" s="28" t="n">
        <x:f>SUM(M236:N236)</x:f>
        <x:v>0.8041499999999999</x:v>
      </x:c>
    </x:row>
    <x:row r="237" ht="23" customHeight="1">
      <x:c r="A237" s="17" t="str">
        <x:v>U00231</x:v>
      </x:c>
      <x:c r="B237" s="18" t="n">
        <x:v>46269</x:v>
      </x:c>
      <x:c r="C237" s="17" t="str">
        <x:v>W0029</x:v>
      </x:c>
      <x:c r="D237" s="17" t="str">
        <x:v>C001</x:v>
      </x:c>
      <x:c r="E237" s="17" t="str">
        <x:v>CopyStudio</x:v>
      </x:c>
      <x:c r="F237" s="17" t="str">
        <x:v>Lite</x:v>
      </x:c>
      <x:c r="G237" s="17" t="n">
        <x:v>40587</x:v>
      </x:c>
      <x:c r="H237" s="17" t="n">
        <x:v>14616</x:v>
      </x:c>
      <x:c r="I237" s="17" t="str">
        <x:v>Followup</x:v>
      </x:c>
      <x:c r="J237" s="27" t="n">
        <x:f>INDEX('Model Pricing'!$B$7:$B$8,MATCH(F237,'Model Pricing'!$A$7:$A$8,0))</x:f>
        <x:v>10</x:v>
      </x:c>
      <x:c r="K237" s="27" t="n">
        <x:f>INDEX('Model Pricing'!$C$7:$C$8,MATCH(F237,'Model Pricing'!$A$7:$A$8,0))</x:f>
        <x:v>30</x:v>
      </x:c>
      <x:c r="L237" s="17" t="n">
        <x:f>G237+H237</x:f>
        <x:v>55203</x:v>
      </x:c>
      <x:c r="M237" s="28" t="n">
        <x:f>G237*J237/1000000</x:f>
        <x:v>0.40587</x:v>
      </x:c>
      <x:c r="N237" s="28" t="n">
        <x:f>H237*K237/1000000</x:f>
        <x:v>0.43848</x:v>
      </x:c>
      <x:c r="O237" s="28" t="n">
        <x:f>SUM(M237:N237)</x:f>
        <x:v>0.8443499999999999</x:v>
      </x:c>
    </x:row>
    <x:row r="238" ht="23" customHeight="1">
      <x:c r="A238" s="17" t="str">
        <x:v>U00232</x:v>
      </x:c>
      <x:c r="B238" s="18" t="n">
        <x:v>46273</x:v>
      </x:c>
      <x:c r="C238" s="17" t="str">
        <x:v>W0029</x:v>
      </x:c>
      <x:c r="D238" s="17" t="str">
        <x:v>C001</x:v>
      </x:c>
      <x:c r="E238" s="17" t="str">
        <x:v>CopyStudio</x:v>
      </x:c>
      <x:c r="F238" s="17" t="str">
        <x:v>Lite</x:v>
      </x:c>
      <x:c r="G238" s="17" t="n">
        <x:v>31434</x:v>
      </x:c>
      <x:c r="H238" s="17" t="n">
        <x:v>4962</x:v>
      </x:c>
      <x:c r="I238" s="17" t="str">
        <x:v>Followup</x:v>
      </x:c>
      <x:c r="J238" s="27" t="n">
        <x:f>INDEX('Model Pricing'!$B$7:$B$8,MATCH(F238,'Model Pricing'!$A$7:$A$8,0))</x:f>
        <x:v>10</x:v>
      </x:c>
      <x:c r="K238" s="27" t="n">
        <x:f>INDEX('Model Pricing'!$C$7:$C$8,MATCH(F238,'Model Pricing'!$A$7:$A$8,0))</x:f>
        <x:v>30</x:v>
      </x:c>
      <x:c r="L238" s="17" t="n">
        <x:f>G238+H238</x:f>
        <x:v>36396</x:v>
      </x:c>
      <x:c r="M238" s="28" t="n">
        <x:f>G238*J238/1000000</x:f>
        <x:v>0.31434</x:v>
      </x:c>
      <x:c r="N238" s="28" t="n">
        <x:f>H238*K238/1000000</x:f>
        <x:v>0.14886</x:v>
      </x:c>
      <x:c r="O238" s="28" t="n">
        <x:f>SUM(M238:N238)</x:f>
        <x:v>0.4632</x:v>
      </x:c>
    </x:row>
    <x:row r="239" ht="23" customHeight="1">
      <x:c r="A239" s="17" t="str">
        <x:v>U00233</x:v>
      </x:c>
      <x:c r="B239" s="18" t="n">
        <x:v>46273</x:v>
      </x:c>
      <x:c r="C239" s="17" t="str">
        <x:v>W0029</x:v>
      </x:c>
      <x:c r="D239" s="17" t="str">
        <x:v>C001</x:v>
      </x:c>
      <x:c r="E239" s="17" t="str">
        <x:v>CopyStudio</x:v>
      </x:c>
      <x:c r="F239" s="17" t="str">
        <x:v>Lite</x:v>
      </x:c>
      <x:c r="G239" s="17" t="n">
        <x:v>50052</x:v>
      </x:c>
      <x:c r="H239" s="17" t="n">
        <x:v>6613</x:v>
      </x:c>
      <x:c r="I239" s="17" t="str">
        <x:v>Followup</x:v>
      </x:c>
      <x:c r="J239" s="27" t="n">
        <x:f>INDEX('Model Pricing'!$B$7:$B$8,MATCH(F239,'Model Pricing'!$A$7:$A$8,0))</x:f>
        <x:v>10</x:v>
      </x:c>
      <x:c r="K239" s="27" t="n">
        <x:f>INDEX('Model Pricing'!$C$7:$C$8,MATCH(F239,'Model Pricing'!$A$7:$A$8,0))</x:f>
        <x:v>30</x:v>
      </x:c>
      <x:c r="L239" s="17" t="n">
        <x:f>G239+H239</x:f>
        <x:v>56665</x:v>
      </x:c>
      <x:c r="M239" s="28" t="n">
        <x:f>G239*J239/1000000</x:f>
        <x:v>0.50052</x:v>
      </x:c>
      <x:c r="N239" s="28" t="n">
        <x:f>H239*K239/1000000</x:f>
        <x:v>0.19839</x:v>
      </x:c>
      <x:c r="O239" s="28" t="n">
        <x:f>SUM(M239:N239)</x:f>
        <x:v>0.6989099999999999</x:v>
      </x:c>
    </x:row>
    <x:row r="240" ht="23" customHeight="1">
      <x:c r="A240" s="17" t="str">
        <x:v>U00234</x:v>
      </x:c>
      <x:c r="B240" s="18" t="n">
        <x:v>46279</x:v>
      </x:c>
      <x:c r="C240" s="17" t="str">
        <x:v>W0030</x:v>
      </x:c>
      <x:c r="D240" s="17" t="str">
        <x:v>C001</x:v>
      </x:c>
      <x:c r="E240" s="17" t="str">
        <x:v>DataFlow</x:v>
      </x:c>
      <x:c r="F240" s="17" t="str">
        <x:v>Lite</x:v>
      </x:c>
      <x:c r="G240" s="17" t="n">
        <x:v>32219</x:v>
      </x:c>
      <x:c r="H240" s="17" t="n">
        <x:v>4396</x:v>
      </x:c>
      <x:c r="I240" s="17" t="str">
        <x:v>First attempt</x:v>
      </x:c>
      <x:c r="J240" s="27" t="n">
        <x:f>INDEX('Model Pricing'!$B$7:$B$8,MATCH(F240,'Model Pricing'!$A$7:$A$8,0))</x:f>
        <x:v>10</x:v>
      </x:c>
      <x:c r="K240" s="27" t="n">
        <x:f>INDEX('Model Pricing'!$C$7:$C$8,MATCH(F240,'Model Pricing'!$A$7:$A$8,0))</x:f>
        <x:v>30</x:v>
      </x:c>
      <x:c r="L240" s="17" t="n">
        <x:f>G240+H240</x:f>
        <x:v>36615</x:v>
      </x:c>
      <x:c r="M240" s="28" t="n">
        <x:f>G240*J240/1000000</x:f>
        <x:v>0.32219</x:v>
      </x:c>
      <x:c r="N240" s="28" t="n">
        <x:f>H240*K240/1000000</x:f>
        <x:v>0.13188</x:v>
      </x:c>
      <x:c r="O240" s="28" t="n">
        <x:f>SUM(M240:N240)</x:f>
        <x:v>0.45407</x:v>
      </x:c>
    </x:row>
    <x:row r="241" ht="23" customHeight="1">
      <x:c r="A241" s="17" t="str">
        <x:v>U00235</x:v>
      </x:c>
      <x:c r="B241" s="18" t="n">
        <x:v>46279</x:v>
      </x:c>
      <x:c r="C241" s="17" t="str">
        <x:v>W0030</x:v>
      </x:c>
      <x:c r="D241" s="17" t="str">
        <x:v>C001</x:v>
      </x:c>
      <x:c r="E241" s="17" t="str">
        <x:v>DataFlow</x:v>
      </x:c>
      <x:c r="F241" s="17" t="str">
        <x:v>Lite</x:v>
      </x:c>
      <x:c r="G241" s="17" t="n">
        <x:v>48932</x:v>
      </x:c>
      <x:c r="H241" s="17" t="n">
        <x:v>6852</x:v>
      </x:c>
      <x:c r="I241" s="17" t="str">
        <x:v>Followup</x:v>
      </x:c>
      <x:c r="J241" s="27" t="n">
        <x:f>INDEX('Model Pricing'!$B$7:$B$8,MATCH(F241,'Model Pricing'!$A$7:$A$8,0))</x:f>
        <x:v>10</x:v>
      </x:c>
      <x:c r="K241" s="27" t="n">
        <x:f>INDEX('Model Pricing'!$C$7:$C$8,MATCH(F241,'Model Pricing'!$A$7:$A$8,0))</x:f>
        <x:v>30</x:v>
      </x:c>
      <x:c r="L241" s="17" t="n">
        <x:f>G241+H241</x:f>
        <x:v>55784</x:v>
      </x:c>
      <x:c r="M241" s="28" t="n">
        <x:f>G241*J241/1000000</x:f>
        <x:v>0.48932</x:v>
      </x:c>
      <x:c r="N241" s="28" t="n">
        <x:f>H241*K241/1000000</x:f>
        <x:v>0.20556</x:v>
      </x:c>
      <x:c r="O241" s="28" t="n">
        <x:f>SUM(M241:N241)</x:f>
        <x:v>0.6948799999999999</x:v>
      </x:c>
    </x:row>
    <x:row r="242" ht="23" customHeight="1">
      <x:c r="A242" s="17" t="str">
        <x:v>U00236</x:v>
      </x:c>
      <x:c r="B242" s="18" t="n">
        <x:v>46280</x:v>
      </x:c>
      <x:c r="C242" s="17" t="str">
        <x:v>W0030</x:v>
      </x:c>
      <x:c r="D242" s="17" t="str">
        <x:v>C001</x:v>
      </x:c>
      <x:c r="E242" s="17" t="str">
        <x:v>DataFlow</x:v>
      </x:c>
      <x:c r="F242" s="17" t="str">
        <x:v>Lite</x:v>
      </x:c>
      <x:c r="G242" s="17" t="n">
        <x:v>37854</x:v>
      </x:c>
      <x:c r="H242" s="17" t="n">
        <x:v>8587</x:v>
      </x:c>
      <x:c r="I242" s="17" t="str">
        <x:v>Correction</x:v>
      </x:c>
      <x:c r="J242" s="27" t="n">
        <x:f>INDEX('Model Pricing'!$B$7:$B$8,MATCH(F242,'Model Pricing'!$A$7:$A$8,0))</x:f>
        <x:v>10</x:v>
      </x:c>
      <x:c r="K242" s="27" t="n">
        <x:f>INDEX('Model Pricing'!$C$7:$C$8,MATCH(F242,'Model Pricing'!$A$7:$A$8,0))</x:f>
        <x:v>30</x:v>
      </x:c>
      <x:c r="L242" s="17" t="n">
        <x:f>G242+H242</x:f>
        <x:v>46441</x:v>
      </x:c>
      <x:c r="M242" s="28" t="n">
        <x:f>G242*J242/1000000</x:f>
        <x:v>0.37854</x:v>
      </x:c>
      <x:c r="N242" s="28" t="n">
        <x:f>H242*K242/1000000</x:f>
        <x:v>0.25761</x:v>
      </x:c>
      <x:c r="O242" s="28" t="n">
        <x:f>SUM(M242:N242)</x:f>
        <x:v>0.63615</x:v>
      </x:c>
    </x:row>
    <x:row r="243" ht="23" customHeight="1">
      <x:c r="A243" s="17" t="str">
        <x:v>U00237</x:v>
      </x:c>
      <x:c r="B243" s="18" t="n">
        <x:v>46280</x:v>
      </x:c>
      <x:c r="C243" s="17" t="str">
        <x:v>W0030</x:v>
      </x:c>
      <x:c r="D243" s="17" t="str">
        <x:v>C001</x:v>
      </x:c>
      <x:c r="E243" s="17" t="str">
        <x:v>DataFlow</x:v>
      </x:c>
      <x:c r="F243" s="17" t="str">
        <x:v>Lite</x:v>
      </x:c>
      <x:c r="G243" s="17" t="n">
        <x:v>73258</x:v>
      </x:c>
      <x:c r="H243" s="17" t="n">
        <x:v>7615</x:v>
      </x:c>
      <x:c r="I243" s="17" t="str">
        <x:v>Followup</x:v>
      </x:c>
      <x:c r="J243" s="27" t="n">
        <x:f>INDEX('Model Pricing'!$B$7:$B$8,MATCH(F243,'Model Pricing'!$A$7:$A$8,0))</x:f>
        <x:v>10</x:v>
      </x:c>
      <x:c r="K243" s="27" t="n">
        <x:f>INDEX('Model Pricing'!$C$7:$C$8,MATCH(F243,'Model Pricing'!$A$7:$A$8,0))</x:f>
        <x:v>30</x:v>
      </x:c>
      <x:c r="L243" s="17" t="n">
        <x:f>G243+H243</x:f>
        <x:v>80873</x:v>
      </x:c>
      <x:c r="M243" s="28" t="n">
        <x:f>G243*J243/1000000</x:f>
        <x:v>0.73258</x:v>
      </x:c>
      <x:c r="N243" s="28" t="n">
        <x:f>H243*K243/1000000</x:f>
        <x:v>0.22845</x:v>
      </x:c>
      <x:c r="O243" s="28" t="n">
        <x:f>SUM(M243:N243)</x:f>
        <x:v>0.96103</x:v>
      </x:c>
    </x:row>
    <x:row r="244" ht="23" customHeight="1">
      <x:c r="A244" s="17" t="str">
        <x:v>U00238</x:v>
      </x:c>
      <x:c r="B244" s="18" t="n">
        <x:v>46281</x:v>
      </x:c>
      <x:c r="C244" s="17" t="str">
        <x:v>W0030</x:v>
      </x:c>
      <x:c r="D244" s="17" t="str">
        <x:v>C001</x:v>
      </x:c>
      <x:c r="E244" s="17" t="str">
        <x:v>DataFlow</x:v>
      </x:c>
      <x:c r="F244" s="17" t="str">
        <x:v>Lite</x:v>
      </x:c>
      <x:c r="G244" s="17" t="n">
        <x:v>52781</x:v>
      </x:c>
      <x:c r="H244" s="17" t="n">
        <x:v>14443</x:v>
      </x:c>
      <x:c r="I244" s="17" t="str">
        <x:v>Followup</x:v>
      </x:c>
      <x:c r="J244" s="27" t="n">
        <x:f>INDEX('Model Pricing'!$B$7:$B$8,MATCH(F244,'Model Pricing'!$A$7:$A$8,0))</x:f>
        <x:v>10</x:v>
      </x:c>
      <x:c r="K244" s="27" t="n">
        <x:f>INDEX('Model Pricing'!$C$7:$C$8,MATCH(F244,'Model Pricing'!$A$7:$A$8,0))</x:f>
        <x:v>30</x:v>
      </x:c>
      <x:c r="L244" s="17" t="n">
        <x:f>G244+H244</x:f>
        <x:v>67224</x:v>
      </x:c>
      <x:c r="M244" s="28" t="n">
        <x:f>G244*J244/1000000</x:f>
        <x:v>0.52781</x:v>
      </x:c>
      <x:c r="N244" s="28" t="n">
        <x:f>H244*K244/1000000</x:f>
        <x:v>0.43329</x:v>
      </x:c>
      <x:c r="O244" s="28" t="n">
        <x:f>SUM(M244:N244)</x:f>
        <x:v>0.9611000000000001</x:v>
      </x:c>
    </x:row>
    <x:row r="245" ht="23" customHeight="1">
      <x:c r="A245" s="17" t="str">
        <x:v>U00239</x:v>
      </x:c>
      <x:c r="B245" s="18" t="n">
        <x:v>46281</x:v>
      </x:c>
      <x:c r="C245" s="17" t="str">
        <x:v>W0030</x:v>
      </x:c>
      <x:c r="D245" s="17" t="str">
        <x:v>C001</x:v>
      </x:c>
      <x:c r="E245" s="17" t="str">
        <x:v>DataFlow</x:v>
      </x:c>
      <x:c r="F245" s="17" t="str">
        <x:v>Lite</x:v>
      </x:c>
      <x:c r="G245" s="17" t="n">
        <x:v>38175</x:v>
      </x:c>
      <x:c r="H245" s="17" t="n">
        <x:v>12523</x:v>
      </x:c>
      <x:c r="I245" s="17" t="str">
        <x:v>Followup</x:v>
      </x:c>
      <x:c r="J245" s="27" t="n">
        <x:f>INDEX('Model Pricing'!$B$7:$B$8,MATCH(F245,'Model Pricing'!$A$7:$A$8,0))</x:f>
        <x:v>10</x:v>
      </x:c>
      <x:c r="K245" s="27" t="n">
        <x:f>INDEX('Model Pricing'!$C$7:$C$8,MATCH(F245,'Model Pricing'!$A$7:$A$8,0))</x:f>
        <x:v>30</x:v>
      </x:c>
      <x:c r="L245" s="17" t="n">
        <x:f>G245+H245</x:f>
        <x:v>50698</x:v>
      </x:c>
      <x:c r="M245" s="28" t="n">
        <x:f>G245*J245/1000000</x:f>
        <x:v>0.38175</x:v>
      </x:c>
      <x:c r="N245" s="28" t="n">
        <x:f>H245*K245/1000000</x:f>
        <x:v>0.37569</x:v>
      </x:c>
      <x:c r="O245" s="28" t="n">
        <x:f>SUM(M245:N245)</x:f>
        <x:v>0.75744</x:v>
      </x:c>
    </x:row>
    <x:row r="246" ht="23" customHeight="1">
      <x:c r="A246" s="17" t="str">
        <x:v>U00240</x:v>
      </x:c>
      <x:c r="B246" s="18" t="n">
        <x:v>46282</x:v>
      </x:c>
      <x:c r="C246" s="17" t="str">
        <x:v>W0030</x:v>
      </x:c>
      <x:c r="D246" s="17" t="str">
        <x:v>C001</x:v>
      </x:c>
      <x:c r="E246" s="17" t="str">
        <x:v>DataFlow</x:v>
      </x:c>
      <x:c r="F246" s="17" t="str">
        <x:v>Lite</x:v>
      </x:c>
      <x:c r="G246" s="17" t="n">
        <x:v>49434</x:v>
      </x:c>
      <x:c r="H246" s="17" t="n">
        <x:v>8401</x:v>
      </x:c>
      <x:c r="I246" s="17" t="str">
        <x:v>Followup</x:v>
      </x:c>
      <x:c r="J246" s="27" t="n">
        <x:f>INDEX('Model Pricing'!$B$7:$B$8,MATCH(F246,'Model Pricing'!$A$7:$A$8,0))</x:f>
        <x:v>10</x:v>
      </x:c>
      <x:c r="K246" s="27" t="n">
        <x:f>INDEX('Model Pricing'!$C$7:$C$8,MATCH(F246,'Model Pricing'!$A$7:$A$8,0))</x:f>
        <x:v>30</x:v>
      </x:c>
      <x:c r="L246" s="17" t="n">
        <x:f>G246+H246</x:f>
        <x:v>57835</x:v>
      </x:c>
      <x:c r="M246" s="28" t="n">
        <x:f>G246*J246/1000000</x:f>
        <x:v>0.49434</x:v>
      </x:c>
      <x:c r="N246" s="28" t="n">
        <x:f>H246*K246/1000000</x:f>
        <x:v>0.25203</x:v>
      </x:c>
      <x:c r="O246" s="28" t="n">
        <x:f>SUM(M246:N246)</x:f>
        <x:v>0.74637</x:v>
      </x:c>
    </x:row>
    <x:row r="247" ht="23" customHeight="1">
      <x:c r="A247" s="17" t="str">
        <x:v>U00241</x:v>
      </x:c>
      <x:c r="B247" s="18" t="n">
        <x:v>46288</x:v>
      </x:c>
      <x:c r="C247" s="17" t="str">
        <x:v>W0031</x:v>
      </x:c>
      <x:c r="D247" s="17" t="str">
        <x:v>C001</x:v>
      </x:c>
      <x:c r="E247" s="17" t="str">
        <x:v>InsightDesk</x:v>
      </x:c>
      <x:c r="F247" s="17" t="str">
        <x:v>Lite</x:v>
      </x:c>
      <x:c r="G247" s="17" t="n">
        <x:v>50349</x:v>
      </x:c>
      <x:c r="H247" s="17" t="n">
        <x:v>5204</x:v>
      </x:c>
      <x:c r="I247" s="17" t="str">
        <x:v>First attempt</x:v>
      </x:c>
      <x:c r="J247" s="27" t="n">
        <x:f>INDEX('Model Pricing'!$B$7:$B$8,MATCH(F247,'Model Pricing'!$A$7:$A$8,0))</x:f>
        <x:v>10</x:v>
      </x:c>
      <x:c r="K247" s="27" t="n">
        <x:f>INDEX('Model Pricing'!$C$7:$C$8,MATCH(F247,'Model Pricing'!$A$7:$A$8,0))</x:f>
        <x:v>30</x:v>
      </x:c>
      <x:c r="L247" s="17" t="n">
        <x:f>G247+H247</x:f>
        <x:v>55553</x:v>
      </x:c>
      <x:c r="M247" s="28" t="n">
        <x:f>G247*J247/1000000</x:f>
        <x:v>0.50349</x:v>
      </x:c>
      <x:c r="N247" s="28" t="n">
        <x:f>H247*K247/1000000</x:f>
        <x:v>0.15612</x:v>
      </x:c>
      <x:c r="O247" s="28" t="n">
        <x:f>SUM(M247:N247)</x:f>
        <x:v>0.65961</x:v>
      </x:c>
    </x:row>
    <x:row r="248" ht="23" customHeight="1">
      <x:c r="A248" s="17" t="str">
        <x:v>U00242</x:v>
      </x:c>
      <x:c r="B248" s="18" t="n">
        <x:v>46288</x:v>
      </x:c>
      <x:c r="C248" s="17" t="str">
        <x:v>W0031</x:v>
      </x:c>
      <x:c r="D248" s="17" t="str">
        <x:v>C001</x:v>
      </x:c>
      <x:c r="E248" s="17" t="str">
        <x:v>InsightDesk</x:v>
      </x:c>
      <x:c r="F248" s="17" t="str">
        <x:v>Lite</x:v>
      </x:c>
      <x:c r="G248" s="17" t="n">
        <x:v>57603</x:v>
      </x:c>
      <x:c r="H248" s="17" t="n">
        <x:v>5884</x:v>
      </x:c>
      <x:c r="I248" s="17" t="str">
        <x:v>Correction</x:v>
      </x:c>
      <x:c r="J248" s="27" t="n">
        <x:f>INDEX('Model Pricing'!$B$7:$B$8,MATCH(F248,'Model Pricing'!$A$7:$A$8,0))</x:f>
        <x:v>10</x:v>
      </x:c>
      <x:c r="K248" s="27" t="n">
        <x:f>INDEX('Model Pricing'!$C$7:$C$8,MATCH(F248,'Model Pricing'!$A$7:$A$8,0))</x:f>
        <x:v>30</x:v>
      </x:c>
      <x:c r="L248" s="17" t="n">
        <x:f>G248+H248</x:f>
        <x:v>63487</x:v>
      </x:c>
      <x:c r="M248" s="28" t="n">
        <x:f>G248*J248/1000000</x:f>
        <x:v>0.57603</x:v>
      </x:c>
      <x:c r="N248" s="28" t="n">
        <x:f>H248*K248/1000000</x:f>
        <x:v>0.17652</x:v>
      </x:c>
      <x:c r="O248" s="28" t="n">
        <x:f>SUM(M248:N248)</x:f>
        <x:v>0.75255</x:v>
      </x:c>
    </x:row>
    <x:row r="249" ht="23" customHeight="1">
      <x:c r="A249" s="17" t="str">
        <x:v>U00243</x:v>
      </x:c>
      <x:c r="B249" s="18" t="n">
        <x:v>46289</x:v>
      </x:c>
      <x:c r="C249" s="17" t="str">
        <x:v>W0031</x:v>
      </x:c>
      <x:c r="D249" s="17" t="str">
        <x:v>C001</x:v>
      </x:c>
      <x:c r="E249" s="17" t="str">
        <x:v>InsightDesk</x:v>
      </x:c>
      <x:c r="F249" s="17" t="str">
        <x:v>Lite</x:v>
      </x:c>
      <x:c r="G249" s="17" t="n">
        <x:v>60202</x:v>
      </x:c>
      <x:c r="H249" s="17" t="n">
        <x:v>5370</x:v>
      </x:c>
      <x:c r="I249" s="17" t="str">
        <x:v>Followup</x:v>
      </x:c>
      <x:c r="J249" s="27" t="n">
        <x:f>INDEX('Model Pricing'!$B$7:$B$8,MATCH(F249,'Model Pricing'!$A$7:$A$8,0))</x:f>
        <x:v>10</x:v>
      </x:c>
      <x:c r="K249" s="27" t="n">
        <x:f>INDEX('Model Pricing'!$C$7:$C$8,MATCH(F249,'Model Pricing'!$A$7:$A$8,0))</x:f>
        <x:v>30</x:v>
      </x:c>
      <x:c r="L249" s="17" t="n">
        <x:f>G249+H249</x:f>
        <x:v>65572</x:v>
      </x:c>
      <x:c r="M249" s="28" t="n">
        <x:f>G249*J249/1000000</x:f>
        <x:v>0.60202</x:v>
      </x:c>
      <x:c r="N249" s="28" t="n">
        <x:f>H249*K249/1000000</x:f>
        <x:v>0.1611</x:v>
      </x:c>
      <x:c r="O249" s="28" t="n">
        <x:f>SUM(M249:N249)</x:f>
        <x:v>0.76312</x:v>
      </x:c>
    </x:row>
    <x:row r="250" ht="23" customHeight="1">
      <x:c r="A250" s="17" t="str">
        <x:v>U00244</x:v>
      </x:c>
      <x:c r="B250" s="18" t="n">
        <x:v>46289</x:v>
      </x:c>
      <x:c r="C250" s="17" t="str">
        <x:v>W0031</x:v>
      </x:c>
      <x:c r="D250" s="17" t="str">
        <x:v>C001</x:v>
      </x:c>
      <x:c r="E250" s="17" t="str">
        <x:v>InsightDesk</x:v>
      </x:c>
      <x:c r="F250" s="17" t="str">
        <x:v>Lite</x:v>
      </x:c>
      <x:c r="G250" s="17" t="n">
        <x:v>35413</x:v>
      </x:c>
      <x:c r="H250" s="17" t="n">
        <x:v>6817</x:v>
      </x:c>
      <x:c r="I250" s="17" t="str">
        <x:v>Followup</x:v>
      </x:c>
      <x:c r="J250" s="27" t="n">
        <x:f>INDEX('Model Pricing'!$B$7:$B$8,MATCH(F250,'Model Pricing'!$A$7:$A$8,0))</x:f>
        <x:v>10</x:v>
      </x:c>
      <x:c r="K250" s="27" t="n">
        <x:f>INDEX('Model Pricing'!$C$7:$C$8,MATCH(F250,'Model Pricing'!$A$7:$A$8,0))</x:f>
        <x:v>30</x:v>
      </x:c>
      <x:c r="L250" s="17" t="n">
        <x:f>G250+H250</x:f>
        <x:v>42230</x:v>
      </x:c>
      <x:c r="M250" s="28" t="n">
        <x:f>G250*J250/1000000</x:f>
        <x:v>0.35413</x:v>
      </x:c>
      <x:c r="N250" s="28" t="n">
        <x:f>H250*K250/1000000</x:f>
        <x:v>0.20451</x:v>
      </x:c>
      <x:c r="O250" s="28" t="n">
        <x:f>SUM(M250:N250)</x:f>
        <x:v>0.55864</x:v>
      </x:c>
    </x:row>
    <x:row r="251" ht="23" customHeight="1">
      <x:c r="A251" s="17" t="str">
        <x:v>U00245</x:v>
      </x:c>
      <x:c r="B251" s="18" t="n">
        <x:v>46290</x:v>
      </x:c>
      <x:c r="C251" s="17" t="str">
        <x:v>W0031</x:v>
      </x:c>
      <x:c r="D251" s="17" t="str">
        <x:v>C001</x:v>
      </x:c>
      <x:c r="E251" s="17" t="str">
        <x:v>InsightDesk</x:v>
      </x:c>
      <x:c r="F251" s="17" t="str">
        <x:v>Lite</x:v>
      </x:c>
      <x:c r="G251" s="17" t="n">
        <x:v>82868</x:v>
      </x:c>
      <x:c r="H251" s="17" t="n">
        <x:v>6285</x:v>
      </x:c>
      <x:c r="I251" s="17" t="str">
        <x:v>Followup</x:v>
      </x:c>
      <x:c r="J251" s="27" t="n">
        <x:f>INDEX('Model Pricing'!$B$7:$B$8,MATCH(F251,'Model Pricing'!$A$7:$A$8,0))</x:f>
        <x:v>10</x:v>
      </x:c>
      <x:c r="K251" s="27" t="n">
        <x:f>INDEX('Model Pricing'!$C$7:$C$8,MATCH(F251,'Model Pricing'!$A$7:$A$8,0))</x:f>
        <x:v>30</x:v>
      </x:c>
      <x:c r="L251" s="17" t="n">
        <x:f>G251+H251</x:f>
        <x:v>89153</x:v>
      </x:c>
      <x:c r="M251" s="28" t="n">
        <x:f>G251*J251/1000000</x:f>
        <x:v>0.82868</x:v>
      </x:c>
      <x:c r="N251" s="28" t="n">
        <x:f>H251*K251/1000000</x:f>
        <x:v>0.18855</x:v>
      </x:c>
      <x:c r="O251" s="28" t="n">
        <x:f>SUM(M251:N251)</x:f>
        <x:v>1.01723</x:v>
      </x:c>
    </x:row>
    <x:row r="252" ht="23" customHeight="1">
      <x:c r="A252" s="17" t="str">
        <x:v>U00246</x:v>
      </x:c>
      <x:c r="B252" s="18" t="n">
        <x:v>46290</x:v>
      </x:c>
      <x:c r="C252" s="17" t="str">
        <x:v>W0031</x:v>
      </x:c>
      <x:c r="D252" s="17" t="str">
        <x:v>C001</x:v>
      </x:c>
      <x:c r="E252" s="17" t="str">
        <x:v>InsightDesk</x:v>
      </x:c>
      <x:c r="F252" s="17" t="str">
        <x:v>Lite</x:v>
      </x:c>
      <x:c r="G252" s="17" t="n">
        <x:v>71610</x:v>
      </x:c>
      <x:c r="H252" s="17" t="n">
        <x:v>2181</x:v>
      </x:c>
      <x:c r="I252" s="17" t="str">
        <x:v>Followup</x:v>
      </x:c>
      <x:c r="J252" s="27" t="n">
        <x:f>INDEX('Model Pricing'!$B$7:$B$8,MATCH(F252,'Model Pricing'!$A$7:$A$8,0))</x:f>
        <x:v>10</x:v>
      </x:c>
      <x:c r="K252" s="27" t="n">
        <x:f>INDEX('Model Pricing'!$C$7:$C$8,MATCH(F252,'Model Pricing'!$A$7:$A$8,0))</x:f>
        <x:v>30</x:v>
      </x:c>
      <x:c r="L252" s="17" t="n">
        <x:f>G252+H252</x:f>
        <x:v>73791</x:v>
      </x:c>
      <x:c r="M252" s="28" t="n">
        <x:f>G252*J252/1000000</x:f>
        <x:v>0.7161</x:v>
      </x:c>
      <x:c r="N252" s="28" t="n">
        <x:f>H252*K252/1000000</x:f>
        <x:v>0.06543</x:v>
      </x:c>
      <x:c r="O252" s="28" t="n">
        <x:f>SUM(M252:N252)</x:f>
        <x:v>0.78153</x:v>
      </x:c>
    </x:row>
    <x:row r="253" ht="23" customHeight="1">
      <x:c r="A253" s="17" t="str">
        <x:v>U00247</x:v>
      </x:c>
      <x:c r="B253" s="18" t="n">
        <x:v>46293</x:v>
      </x:c>
      <x:c r="C253" s="17" t="str">
        <x:v>W0031</x:v>
      </x:c>
      <x:c r="D253" s="17" t="str">
        <x:v>C001</x:v>
      </x:c>
      <x:c r="E253" s="17" t="str">
        <x:v>InsightDesk</x:v>
      </x:c>
      <x:c r="F253" s="17" t="str">
        <x:v>Lite</x:v>
      </x:c>
      <x:c r="G253" s="17" t="n">
        <x:v>51523</x:v>
      </x:c>
      <x:c r="H253" s="17" t="n">
        <x:v>5322</x:v>
      </x:c>
      <x:c r="I253" s="17" t="str">
        <x:v>Followup</x:v>
      </x:c>
      <x:c r="J253" s="27" t="n">
        <x:f>INDEX('Model Pricing'!$B$7:$B$8,MATCH(F253,'Model Pricing'!$A$7:$A$8,0))</x:f>
        <x:v>10</x:v>
      </x:c>
      <x:c r="K253" s="27" t="n">
        <x:f>INDEX('Model Pricing'!$C$7:$C$8,MATCH(F253,'Model Pricing'!$A$7:$A$8,0))</x:f>
        <x:v>30</x:v>
      </x:c>
      <x:c r="L253" s="17" t="n">
        <x:f>G253+H253</x:f>
        <x:v>56845</x:v>
      </x:c>
      <x:c r="M253" s="28" t="n">
        <x:f>G253*J253/1000000</x:f>
        <x:v>0.51523</x:v>
      </x:c>
      <x:c r="N253" s="28" t="n">
        <x:f>H253*K253/1000000</x:f>
        <x:v>0.15966</x:v>
      </x:c>
      <x:c r="O253" s="28" t="n">
        <x:f>SUM(M253:N253)</x:f>
        <x:v>0.67489</x:v>
      </x:c>
    </x:row>
    <x:row r="254" ht="23" customHeight="1">
      <x:c r="A254" s="17" t="str">
        <x:v>U00248</x:v>
      </x:c>
      <x:c r="B254" s="18" t="n">
        <x:v>46293</x:v>
      </x:c>
      <x:c r="C254" s="17" t="str">
        <x:v>W0031</x:v>
      </x:c>
      <x:c r="D254" s="17" t="str">
        <x:v>C001</x:v>
      </x:c>
      <x:c r="E254" s="17" t="str">
        <x:v>InsightDesk</x:v>
      </x:c>
      <x:c r="F254" s="17" t="str">
        <x:v>Lite</x:v>
      </x:c>
      <x:c r="G254" s="17" t="n">
        <x:v>38382</x:v>
      </x:c>
      <x:c r="H254" s="17" t="n">
        <x:v>6079</x:v>
      </x:c>
      <x:c r="I254" s="17" t="str">
        <x:v>Followup</x:v>
      </x:c>
      <x:c r="J254" s="27" t="n">
        <x:f>INDEX('Model Pricing'!$B$7:$B$8,MATCH(F254,'Model Pricing'!$A$7:$A$8,0))</x:f>
        <x:v>10</x:v>
      </x:c>
      <x:c r="K254" s="27" t="n">
        <x:f>INDEX('Model Pricing'!$C$7:$C$8,MATCH(F254,'Model Pricing'!$A$7:$A$8,0))</x:f>
        <x:v>30</x:v>
      </x:c>
      <x:c r="L254" s="17" t="n">
        <x:f>G254+H254</x:f>
        <x:v>44461</x:v>
      </x:c>
      <x:c r="M254" s="28" t="n">
        <x:f>G254*J254/1000000</x:f>
        <x:v>0.38382</x:v>
      </x:c>
      <x:c r="N254" s="28" t="n">
        <x:f>H254*K254/1000000</x:f>
        <x:v>0.18237</x:v>
      </x:c>
      <x:c r="O254" s="28" t="n">
        <x:f>SUM(M254:N254)</x:f>
        <x:v>0.56619</x:v>
      </x:c>
    </x:row>
    <x:row r="255" ht="23" customHeight="1">
      <x:c r="A255" s="17" t="str">
        <x:v>U00249</x:v>
      </x:c>
      <x:c r="B255" s="18" t="n">
        <x:v>46273</x:v>
      </x:c>
      <x:c r="C255" s="17" t="str">
        <x:v>W0032</x:v>
      </x:c>
      <x:c r="D255" s="17" t="str">
        <x:v>C001</x:v>
      </x:c>
      <x:c r="E255" s="17" t="str">
        <x:v>InsightDesk</x:v>
      </x:c>
      <x:c r="F255" s="17" t="str">
        <x:v>Lite</x:v>
      </x:c>
      <x:c r="G255" s="17" t="n">
        <x:v>26955</x:v>
      </x:c>
      <x:c r="H255" s="17" t="n">
        <x:v>9253</x:v>
      </x:c>
      <x:c r="I255" s="17" t="str">
        <x:v>First attempt</x:v>
      </x:c>
      <x:c r="J255" s="27" t="n">
        <x:f>INDEX('Model Pricing'!$B$7:$B$8,MATCH(F255,'Model Pricing'!$A$7:$A$8,0))</x:f>
        <x:v>10</x:v>
      </x:c>
      <x:c r="K255" s="27" t="n">
        <x:f>INDEX('Model Pricing'!$C$7:$C$8,MATCH(F255,'Model Pricing'!$A$7:$A$8,0))</x:f>
        <x:v>30</x:v>
      </x:c>
      <x:c r="L255" s="17" t="n">
        <x:f>G255+H255</x:f>
        <x:v>36208</x:v>
      </x:c>
      <x:c r="M255" s="28" t="n">
        <x:f>G255*J255/1000000</x:f>
        <x:v>0.26955</x:v>
      </x:c>
      <x:c r="N255" s="28" t="n">
        <x:f>H255*K255/1000000</x:f>
        <x:v>0.27759</x:v>
      </x:c>
      <x:c r="O255" s="28" t="n">
        <x:f>SUM(M255:N255)</x:f>
        <x:v>0.54714</x:v>
      </x:c>
    </x:row>
    <x:row r="256" ht="23" customHeight="1">
      <x:c r="A256" s="17" t="str">
        <x:v>U00250</x:v>
      </x:c>
      <x:c r="B256" s="18" t="n">
        <x:v>46273</x:v>
      </x:c>
      <x:c r="C256" s="17" t="str">
        <x:v>W0032</x:v>
      </x:c>
      <x:c r="D256" s="17" t="str">
        <x:v>C001</x:v>
      </x:c>
      <x:c r="E256" s="17" t="str">
        <x:v>InsightDesk</x:v>
      </x:c>
      <x:c r="F256" s="17" t="str">
        <x:v>Lite</x:v>
      </x:c>
      <x:c r="G256" s="17" t="n">
        <x:v>12869</x:v>
      </x:c>
      <x:c r="H256" s="17" t="n">
        <x:v>9229</x:v>
      </x:c>
      <x:c r="I256" s="17" t="str">
        <x:v>Correction</x:v>
      </x:c>
      <x:c r="J256" s="27" t="n">
        <x:f>INDEX('Model Pricing'!$B$7:$B$8,MATCH(F256,'Model Pricing'!$A$7:$A$8,0))</x:f>
        <x:v>10</x:v>
      </x:c>
      <x:c r="K256" s="27" t="n">
        <x:f>INDEX('Model Pricing'!$C$7:$C$8,MATCH(F256,'Model Pricing'!$A$7:$A$8,0))</x:f>
        <x:v>30</x:v>
      </x:c>
      <x:c r="L256" s="17" t="n">
        <x:f>G256+H256</x:f>
        <x:v>22098</x:v>
      </x:c>
      <x:c r="M256" s="28" t="n">
        <x:f>G256*J256/1000000</x:f>
        <x:v>0.12869</x:v>
      </x:c>
      <x:c r="N256" s="28" t="n">
        <x:f>H256*K256/1000000</x:f>
        <x:v>0.27687</x:v>
      </x:c>
      <x:c r="O256" s="28" t="n">
        <x:f>SUM(M256:N256)</x:f>
        <x:v>0.40556000000000003</x:v>
      </x:c>
    </x:row>
    <x:row r="257" ht="23" customHeight="1">
      <x:c r="A257" s="17" t="str">
        <x:v>U00251</x:v>
      </x:c>
      <x:c r="B257" s="18" t="n">
        <x:v>46273</x:v>
      </x:c>
      <x:c r="C257" s="17" t="str">
        <x:v>W0032</x:v>
      </x:c>
      <x:c r="D257" s="17" t="str">
        <x:v>C001</x:v>
      </x:c>
      <x:c r="E257" s="17" t="str">
        <x:v>InsightDesk</x:v>
      </x:c>
      <x:c r="F257" s="17" t="str">
        <x:v>Lite</x:v>
      </x:c>
      <x:c r="G257" s="17" t="n">
        <x:v>36978</x:v>
      </x:c>
      <x:c r="H257" s="17" t="n">
        <x:v>9143</x:v>
      </x:c>
      <x:c r="I257" s="17" t="str">
        <x:v>Followup</x:v>
      </x:c>
      <x:c r="J257" s="27" t="n">
        <x:f>INDEX('Model Pricing'!$B$7:$B$8,MATCH(F257,'Model Pricing'!$A$7:$A$8,0))</x:f>
        <x:v>10</x:v>
      </x:c>
      <x:c r="K257" s="27" t="n">
        <x:f>INDEX('Model Pricing'!$C$7:$C$8,MATCH(F257,'Model Pricing'!$A$7:$A$8,0))</x:f>
        <x:v>30</x:v>
      </x:c>
      <x:c r="L257" s="17" t="n">
        <x:f>G257+H257</x:f>
        <x:v>46121</x:v>
      </x:c>
      <x:c r="M257" s="28" t="n">
        <x:f>G257*J257/1000000</x:f>
        <x:v>0.36978</x:v>
      </x:c>
      <x:c r="N257" s="28" t="n">
        <x:f>H257*K257/1000000</x:f>
        <x:v>0.27429</x:v>
      </x:c>
      <x:c r="O257" s="28" t="n">
        <x:f>SUM(M257:N257)</x:f>
        <x:v>0.6440699999999999</x:v>
      </x:c>
    </x:row>
    <x:row r="258" ht="23" customHeight="1">
      <x:c r="A258" s="17" t="str">
        <x:v>U00252</x:v>
      </x:c>
      <x:c r="B258" s="18" t="n">
        <x:v>46274</x:v>
      </x:c>
      <x:c r="C258" s="17" t="str">
        <x:v>W0032</x:v>
      </x:c>
      <x:c r="D258" s="17" t="str">
        <x:v>C001</x:v>
      </x:c>
      <x:c r="E258" s="17" t="str">
        <x:v>InsightDesk</x:v>
      </x:c>
      <x:c r="F258" s="17" t="str">
        <x:v>Lite</x:v>
      </x:c>
      <x:c r="G258" s="17" t="n">
        <x:v>26681</x:v>
      </x:c>
      <x:c r="H258" s="17" t="n">
        <x:v>12545</x:v>
      </x:c>
      <x:c r="I258" s="17" t="str">
        <x:v>Followup</x:v>
      </x:c>
      <x:c r="J258" s="27" t="n">
        <x:f>INDEX('Model Pricing'!$B$7:$B$8,MATCH(F258,'Model Pricing'!$A$7:$A$8,0))</x:f>
        <x:v>10</x:v>
      </x:c>
      <x:c r="K258" s="27" t="n">
        <x:f>INDEX('Model Pricing'!$C$7:$C$8,MATCH(F258,'Model Pricing'!$A$7:$A$8,0))</x:f>
        <x:v>30</x:v>
      </x:c>
      <x:c r="L258" s="17" t="n">
        <x:f>G258+H258</x:f>
        <x:v>39226</x:v>
      </x:c>
      <x:c r="M258" s="28" t="n">
        <x:f>G258*J258/1000000</x:f>
        <x:v>0.26681</x:v>
      </x:c>
      <x:c r="N258" s="28" t="n">
        <x:f>H258*K258/1000000</x:f>
        <x:v>0.37635</x:v>
      </x:c>
      <x:c r="O258" s="28" t="n">
        <x:f>SUM(M258:N258)</x:f>
        <x:v>0.64316</x:v>
      </x:c>
    </x:row>
    <x:row r="259" ht="23" customHeight="1">
      <x:c r="A259" s="17" t="str">
        <x:v>U00253</x:v>
      </x:c>
      <x:c r="B259" s="18" t="n">
        <x:v>46274</x:v>
      </x:c>
      <x:c r="C259" s="17" t="str">
        <x:v>W0032</x:v>
      </x:c>
      <x:c r="D259" s="17" t="str">
        <x:v>C001</x:v>
      </x:c>
      <x:c r="E259" s="17" t="str">
        <x:v>InsightDesk</x:v>
      </x:c>
      <x:c r="F259" s="17" t="str">
        <x:v>Lite</x:v>
      </x:c>
      <x:c r="G259" s="17" t="n">
        <x:v>26935</x:v>
      </x:c>
      <x:c r="H259" s="17" t="n">
        <x:v>8669</x:v>
      </x:c>
      <x:c r="I259" s="17" t="str">
        <x:v>Followup</x:v>
      </x:c>
      <x:c r="J259" s="27" t="n">
        <x:f>INDEX('Model Pricing'!$B$7:$B$8,MATCH(F259,'Model Pricing'!$A$7:$A$8,0))</x:f>
        <x:v>10</x:v>
      </x:c>
      <x:c r="K259" s="27" t="n">
        <x:f>INDEX('Model Pricing'!$C$7:$C$8,MATCH(F259,'Model Pricing'!$A$7:$A$8,0))</x:f>
        <x:v>30</x:v>
      </x:c>
      <x:c r="L259" s="17" t="n">
        <x:f>G259+H259</x:f>
        <x:v>35604</x:v>
      </x:c>
      <x:c r="M259" s="28" t="n">
        <x:f>G259*J259/1000000</x:f>
        <x:v>0.26935</x:v>
      </x:c>
      <x:c r="N259" s="28" t="n">
        <x:f>H259*K259/1000000</x:f>
        <x:v>0.26007</x:v>
      </x:c>
      <x:c r="O259" s="28" t="n">
        <x:f>SUM(M259:N259)</x:f>
        <x:v>0.52942</x:v>
      </x:c>
    </x:row>
    <x:row r="260" ht="23" customHeight="1">
      <x:c r="A260" s="17" t="str">
        <x:v>U00254</x:v>
      </x:c>
      <x:c r="B260" s="18" t="n">
        <x:v>46274</x:v>
      </x:c>
      <x:c r="C260" s="17" t="str">
        <x:v>W0032</x:v>
      </x:c>
      <x:c r="D260" s="17" t="str">
        <x:v>C001</x:v>
      </x:c>
      <x:c r="E260" s="17" t="str">
        <x:v>InsightDesk</x:v>
      </x:c>
      <x:c r="F260" s="17" t="str">
        <x:v>Lite</x:v>
      </x:c>
      <x:c r="G260" s="17" t="n">
        <x:v>16191</x:v>
      </x:c>
      <x:c r="H260" s="17" t="n">
        <x:v>9984</x:v>
      </x:c>
      <x:c r="I260" s="17" t="str">
        <x:v>Followup</x:v>
      </x:c>
      <x:c r="J260" s="27" t="n">
        <x:f>INDEX('Model Pricing'!$B$7:$B$8,MATCH(F260,'Model Pricing'!$A$7:$A$8,0))</x:f>
        <x:v>10</x:v>
      </x:c>
      <x:c r="K260" s="27" t="n">
        <x:f>INDEX('Model Pricing'!$C$7:$C$8,MATCH(F260,'Model Pricing'!$A$7:$A$8,0))</x:f>
        <x:v>30</x:v>
      </x:c>
      <x:c r="L260" s="17" t="n">
        <x:f>G260+H260</x:f>
        <x:v>26175</x:v>
      </x:c>
      <x:c r="M260" s="28" t="n">
        <x:f>G260*J260/1000000</x:f>
        <x:v>0.16191</x:v>
      </x:c>
      <x:c r="N260" s="28" t="n">
        <x:f>H260*K260/1000000</x:f>
        <x:v>0.29952</x:v>
      </x:c>
      <x:c r="O260" s="28" t="n">
        <x:f>SUM(M260:N260)</x:f>
        <x:v>0.46143</x:v>
      </x:c>
    </x:row>
    <x:row r="261" ht="23" customHeight="1">
      <x:c r="A261" s="17" t="str">
        <x:v>U00255</x:v>
      </x:c>
      <x:c r="B261" s="18" t="n">
        <x:v>46275</x:v>
      </x:c>
      <x:c r="C261" s="17" t="str">
        <x:v>W0032</x:v>
      </x:c>
      <x:c r="D261" s="17" t="str">
        <x:v>C001</x:v>
      </x:c>
      <x:c r="E261" s="17" t="str">
        <x:v>InsightDesk</x:v>
      </x:c>
      <x:c r="F261" s="17" t="str">
        <x:v>Lite</x:v>
      </x:c>
      <x:c r="G261" s="17" t="n">
        <x:v>17065</x:v>
      </x:c>
      <x:c r="H261" s="17" t="n">
        <x:v>9803</x:v>
      </x:c>
      <x:c r="I261" s="17" t="str">
        <x:v>Followup</x:v>
      </x:c>
      <x:c r="J261" s="27" t="n">
        <x:f>INDEX('Model Pricing'!$B$7:$B$8,MATCH(F261,'Model Pricing'!$A$7:$A$8,0))</x:f>
        <x:v>10</x:v>
      </x:c>
      <x:c r="K261" s="27" t="n">
        <x:f>INDEX('Model Pricing'!$C$7:$C$8,MATCH(F261,'Model Pricing'!$A$7:$A$8,0))</x:f>
        <x:v>30</x:v>
      </x:c>
      <x:c r="L261" s="17" t="n">
        <x:f>G261+H261</x:f>
        <x:v>26868</x:v>
      </x:c>
      <x:c r="M261" s="28" t="n">
        <x:f>G261*J261/1000000</x:f>
        <x:v>0.17065</x:v>
      </x:c>
      <x:c r="N261" s="28" t="n">
        <x:f>H261*K261/1000000</x:f>
        <x:v>0.29409</x:v>
      </x:c>
      <x:c r="O261" s="28" t="n">
        <x:f>SUM(M261:N261)</x:f>
        <x:v>0.46474000000000004</x:v>
      </x:c>
    </x:row>
    <x:row r="262" ht="23" customHeight="1">
      <x:c r="A262" s="17" t="str">
        <x:v>U00256</x:v>
      </x:c>
      <x:c r="B262" s="18" t="n">
        <x:v>46275</x:v>
      </x:c>
      <x:c r="C262" s="17" t="str">
        <x:v>W0032</x:v>
      </x:c>
      <x:c r="D262" s="17" t="str">
        <x:v>C001</x:v>
      </x:c>
      <x:c r="E262" s="17" t="str">
        <x:v>InsightDesk</x:v>
      </x:c>
      <x:c r="F262" s="17" t="str">
        <x:v>Lite</x:v>
      </x:c>
      <x:c r="G262" s="17" t="n">
        <x:v>24872</x:v>
      </x:c>
      <x:c r="H262" s="17" t="n">
        <x:v>7093</x:v>
      </x:c>
      <x:c r="I262" s="17" t="str">
        <x:v>Followup</x:v>
      </x:c>
      <x:c r="J262" s="27" t="n">
        <x:f>INDEX('Model Pricing'!$B$7:$B$8,MATCH(F262,'Model Pricing'!$A$7:$A$8,0))</x:f>
        <x:v>10</x:v>
      </x:c>
      <x:c r="K262" s="27" t="n">
        <x:f>INDEX('Model Pricing'!$C$7:$C$8,MATCH(F262,'Model Pricing'!$A$7:$A$8,0))</x:f>
        <x:v>30</x:v>
      </x:c>
      <x:c r="L262" s="17" t="n">
        <x:f>G262+H262</x:f>
        <x:v>31965</x:v>
      </x:c>
      <x:c r="M262" s="28" t="n">
        <x:f>G262*J262/1000000</x:f>
        <x:v>0.24872</x:v>
      </x:c>
      <x:c r="N262" s="28" t="n">
        <x:f>H262*K262/1000000</x:f>
        <x:v>0.21279</x:v>
      </x:c>
      <x:c r="O262" s="28" t="n">
        <x:f>SUM(M262:N262)</x:f>
        <x:v>0.46151</x:v>
      </x:c>
    </x:row>
    <x:row r="263" ht="23" customHeight="1">
      <x:c r="A263" s="17" t="str">
        <x:v>U00257</x:v>
      </x:c>
      <x:c r="B263" s="18" t="n">
        <x:v>46275</x:v>
      </x:c>
      <x:c r="C263" s="17" t="str">
        <x:v>W0032</x:v>
      </x:c>
      <x:c r="D263" s="17" t="str">
        <x:v>C001</x:v>
      </x:c>
      <x:c r="E263" s="17" t="str">
        <x:v>InsightDesk</x:v>
      </x:c>
      <x:c r="F263" s="17" t="str">
        <x:v>Lite</x:v>
      </x:c>
      <x:c r="G263" s="17" t="n">
        <x:v>13987</x:v>
      </x:c>
      <x:c r="H263" s="17" t="n">
        <x:v>15473</x:v>
      </x:c>
      <x:c r="I263" s="17" t="str">
        <x:v>Followup</x:v>
      </x:c>
      <x:c r="J263" s="27" t="n">
        <x:f>INDEX('Model Pricing'!$B$7:$B$8,MATCH(F263,'Model Pricing'!$A$7:$A$8,0))</x:f>
        <x:v>10</x:v>
      </x:c>
      <x:c r="K263" s="27" t="n">
        <x:f>INDEX('Model Pricing'!$C$7:$C$8,MATCH(F263,'Model Pricing'!$A$7:$A$8,0))</x:f>
        <x:v>30</x:v>
      </x:c>
      <x:c r="L263" s="17" t="n">
        <x:f>G263+H263</x:f>
        <x:v>29460</x:v>
      </x:c>
      <x:c r="M263" s="28" t="n">
        <x:f>G263*J263/1000000</x:f>
        <x:v>0.13987</x:v>
      </x:c>
      <x:c r="N263" s="28" t="n">
        <x:f>H263*K263/1000000</x:f>
        <x:v>0.46419</x:v>
      </x:c>
      <x:c r="O263" s="28" t="n">
        <x:f>SUM(M263:N263)</x:f>
        <x:v>0.60406</x:v>
      </x:c>
    </x:row>
    <x:row r="264" ht="23" customHeight="1">
      <x:c r="A264" s="17" t="str">
        <x:v>U00258</x:v>
      </x:c>
      <x:c r="B264" s="18" t="n">
        <x:v>46276</x:v>
      </x:c>
      <x:c r="C264" s="17" t="str">
        <x:v>W0032</x:v>
      </x:c>
      <x:c r="D264" s="17" t="str">
        <x:v>C001</x:v>
      </x:c>
      <x:c r="E264" s="17" t="str">
        <x:v>InsightDesk</x:v>
      </x:c>
      <x:c r="F264" s="17" t="str">
        <x:v>Lite</x:v>
      </x:c>
      <x:c r="G264" s="17" t="n">
        <x:v>16758</x:v>
      </x:c>
      <x:c r="H264" s="17" t="n">
        <x:v>6600</x:v>
      </x:c>
      <x:c r="I264" s="17" t="str">
        <x:v>Followup</x:v>
      </x:c>
      <x:c r="J264" s="27" t="n">
        <x:f>INDEX('Model Pricing'!$B$7:$B$8,MATCH(F264,'Model Pricing'!$A$7:$A$8,0))</x:f>
        <x:v>10</x:v>
      </x:c>
      <x:c r="K264" s="27" t="n">
        <x:f>INDEX('Model Pricing'!$C$7:$C$8,MATCH(F264,'Model Pricing'!$A$7:$A$8,0))</x:f>
        <x:v>30</x:v>
      </x:c>
      <x:c r="L264" s="17" t="n">
        <x:f>G264+H264</x:f>
        <x:v>23358</x:v>
      </x:c>
      <x:c r="M264" s="28" t="n">
        <x:f>G264*J264/1000000</x:f>
        <x:v>0.16758</x:v>
      </x:c>
      <x:c r="N264" s="28" t="n">
        <x:f>H264*K264/1000000</x:f>
        <x:v>0.198</x:v>
      </x:c>
      <x:c r="O264" s="28" t="n">
        <x:f>SUM(M264:N264)</x:f>
        <x:v>0.36558</x:v>
      </x:c>
    </x:row>
    <x:row r="265" ht="23" customHeight="1">
      <x:c r="A265" s="17" t="str">
        <x:v>U00259</x:v>
      </x:c>
      <x:c r="B265" s="18" t="n">
        <x:v>46276</x:v>
      </x:c>
      <x:c r="C265" s="17" t="str">
        <x:v>W0032</x:v>
      </x:c>
      <x:c r="D265" s="17" t="str">
        <x:v>C001</x:v>
      </x:c>
      <x:c r="E265" s="17" t="str">
        <x:v>InsightDesk</x:v>
      </x:c>
      <x:c r="F265" s="17" t="str">
        <x:v>Lite</x:v>
      </x:c>
      <x:c r="G265" s="17" t="n">
        <x:v>36664</x:v>
      </x:c>
      <x:c r="H265" s="17" t="n">
        <x:v>10387</x:v>
      </x:c>
      <x:c r="I265" s="17" t="str">
        <x:v>Followup</x:v>
      </x:c>
      <x:c r="J265" s="27" t="n">
        <x:f>INDEX('Model Pricing'!$B$7:$B$8,MATCH(F265,'Model Pricing'!$A$7:$A$8,0))</x:f>
        <x:v>10</x:v>
      </x:c>
      <x:c r="K265" s="27" t="n">
        <x:f>INDEX('Model Pricing'!$C$7:$C$8,MATCH(F265,'Model Pricing'!$A$7:$A$8,0))</x:f>
        <x:v>30</x:v>
      </x:c>
      <x:c r="L265" s="17" t="n">
        <x:f>G265+H265</x:f>
        <x:v>47051</x:v>
      </x:c>
      <x:c r="M265" s="28" t="n">
        <x:f>G265*J265/1000000</x:f>
        <x:v>0.36664</x:v>
      </x:c>
      <x:c r="N265" s="28" t="n">
        <x:f>H265*K265/1000000</x:f>
        <x:v>0.31161</x:v>
      </x:c>
      <x:c r="O265" s="28" t="n">
        <x:f>SUM(M265:N265)</x:f>
        <x:v>0.67825</x:v>
      </x:c>
    </x:row>
    <x:row r="266" ht="23" customHeight="1">
      <x:c r="A266" s="17" t="str">
        <x:v>U00260</x:v>
      </x:c>
      <x:c r="B266" s="18" t="n">
        <x:v>46282</x:v>
      </x:c>
      <x:c r="C266" s="17" t="str">
        <x:v>W0033</x:v>
      </x:c>
      <x:c r="D266" s="17" t="str">
        <x:v>C001</x:v>
      </x:c>
      <x:c r="E266" s="17" t="str">
        <x:v>CopyStudio</x:v>
      </x:c>
      <x:c r="F266" s="17" t="str">
        <x:v>Lite</x:v>
      </x:c>
      <x:c r="G266" s="17" t="n">
        <x:v>30308</x:v>
      </x:c>
      <x:c r="H266" s="17" t="n">
        <x:v>12024</x:v>
      </x:c>
      <x:c r="I266" s="17" t="str">
        <x:v>First attempt</x:v>
      </x:c>
      <x:c r="J266" s="27" t="n">
        <x:f>INDEX('Model Pricing'!$B$7:$B$8,MATCH(F266,'Model Pricing'!$A$7:$A$8,0))</x:f>
        <x:v>10</x:v>
      </x:c>
      <x:c r="K266" s="27" t="n">
        <x:f>INDEX('Model Pricing'!$C$7:$C$8,MATCH(F266,'Model Pricing'!$A$7:$A$8,0))</x:f>
        <x:v>30</x:v>
      </x:c>
      <x:c r="L266" s="17" t="n">
        <x:f>G266+H266</x:f>
        <x:v>42332</x:v>
      </x:c>
      <x:c r="M266" s="28" t="n">
        <x:f>G266*J266/1000000</x:f>
        <x:v>0.30308</x:v>
      </x:c>
      <x:c r="N266" s="28" t="n">
        <x:f>H266*K266/1000000</x:f>
        <x:v>0.36072</x:v>
      </x:c>
      <x:c r="O266" s="28" t="n">
        <x:f>SUM(M266:N266)</x:f>
        <x:v>0.6638</x:v>
      </x:c>
    </x:row>
    <x:row r="267" ht="23" customHeight="1">
      <x:c r="A267" s="17" t="str">
        <x:v>U00261</x:v>
      </x:c>
      <x:c r="B267" s="18" t="n">
        <x:v>46282</x:v>
      </x:c>
      <x:c r="C267" s="17" t="str">
        <x:v>W0033</x:v>
      </x:c>
      <x:c r="D267" s="17" t="str">
        <x:v>C001</x:v>
      </x:c>
      <x:c r="E267" s="17" t="str">
        <x:v>CopyStudio</x:v>
      </x:c>
      <x:c r="F267" s="17" t="str">
        <x:v>Lite</x:v>
      </x:c>
      <x:c r="G267" s="17" t="n">
        <x:v>19982</x:v>
      </x:c>
      <x:c r="H267" s="17" t="n">
        <x:v>5126</x:v>
      </x:c>
      <x:c r="I267" s="17" t="str">
        <x:v>Followup</x:v>
      </x:c>
      <x:c r="J267" s="27" t="n">
        <x:f>INDEX('Model Pricing'!$B$7:$B$8,MATCH(F267,'Model Pricing'!$A$7:$A$8,0))</x:f>
        <x:v>10</x:v>
      </x:c>
      <x:c r="K267" s="27" t="n">
        <x:f>INDEX('Model Pricing'!$C$7:$C$8,MATCH(F267,'Model Pricing'!$A$7:$A$8,0))</x:f>
        <x:v>30</x:v>
      </x:c>
      <x:c r="L267" s="17" t="n">
        <x:f>G267+H267</x:f>
        <x:v>25108</x:v>
      </x:c>
      <x:c r="M267" s="28" t="n">
        <x:f>G267*J267/1000000</x:f>
        <x:v>0.19982</x:v>
      </x:c>
      <x:c r="N267" s="28" t="n">
        <x:f>H267*K267/1000000</x:f>
        <x:v>0.15378</x:v>
      </x:c>
      <x:c r="O267" s="28" t="n">
        <x:f>SUM(M267:N267)</x:f>
        <x:v>0.3536</x:v>
      </x:c>
    </x:row>
    <x:row r="268" ht="23" customHeight="1">
      <x:c r="A268" s="17" t="str">
        <x:v>U00262</x:v>
      </x:c>
      <x:c r="B268" s="18" t="n">
        <x:v>46282</x:v>
      </x:c>
      <x:c r="C268" s="17" t="str">
        <x:v>W0033</x:v>
      </x:c>
      <x:c r="D268" s="17" t="str">
        <x:v>C001</x:v>
      </x:c>
      <x:c r="E268" s="17" t="str">
        <x:v>CopyStudio</x:v>
      </x:c>
      <x:c r="F268" s="17" t="str">
        <x:v>Lite</x:v>
      </x:c>
      <x:c r="G268" s="17" t="n">
        <x:v>27293</x:v>
      </x:c>
      <x:c r="H268" s="17" t="n">
        <x:v>17119</x:v>
      </x:c>
      <x:c r="I268" s="17" t="str">
        <x:v>Followup</x:v>
      </x:c>
      <x:c r="J268" s="27" t="n">
        <x:f>INDEX('Model Pricing'!$B$7:$B$8,MATCH(F268,'Model Pricing'!$A$7:$A$8,0))</x:f>
        <x:v>10</x:v>
      </x:c>
      <x:c r="K268" s="27" t="n">
        <x:f>INDEX('Model Pricing'!$C$7:$C$8,MATCH(F268,'Model Pricing'!$A$7:$A$8,0))</x:f>
        <x:v>30</x:v>
      </x:c>
      <x:c r="L268" s="17" t="n">
        <x:f>G268+H268</x:f>
        <x:v>44412</x:v>
      </x:c>
      <x:c r="M268" s="28" t="n">
        <x:f>G268*J268/1000000</x:f>
        <x:v>0.27293</x:v>
      </x:c>
      <x:c r="N268" s="28" t="n">
        <x:f>H268*K268/1000000</x:f>
        <x:v>0.51357</x:v>
      </x:c>
      <x:c r="O268" s="28" t="n">
        <x:f>SUM(M268:N268)</x:f>
        <x:v>0.7865</x:v>
      </x:c>
    </x:row>
    <x:row r="269" ht="23" customHeight="1">
      <x:c r="A269" s="17" t="str">
        <x:v>U00263</x:v>
      </x:c>
      <x:c r="B269" s="18" t="n">
        <x:v>46283</x:v>
      </x:c>
      <x:c r="C269" s="17" t="str">
        <x:v>W0033</x:v>
      </x:c>
      <x:c r="D269" s="17" t="str">
        <x:v>C001</x:v>
      </x:c>
      <x:c r="E269" s="17" t="str">
        <x:v>CopyStudio</x:v>
      </x:c>
      <x:c r="F269" s="17" t="str">
        <x:v>Lite</x:v>
      </x:c>
      <x:c r="G269" s="17" t="n">
        <x:v>26104</x:v>
      </x:c>
      <x:c r="H269" s="17" t="n">
        <x:v>15173</x:v>
      </x:c>
      <x:c r="I269" s="17" t="str">
        <x:v>Followup</x:v>
      </x:c>
      <x:c r="J269" s="27" t="n">
        <x:f>INDEX('Model Pricing'!$B$7:$B$8,MATCH(F269,'Model Pricing'!$A$7:$A$8,0))</x:f>
        <x:v>10</x:v>
      </x:c>
      <x:c r="K269" s="27" t="n">
        <x:f>INDEX('Model Pricing'!$C$7:$C$8,MATCH(F269,'Model Pricing'!$A$7:$A$8,0))</x:f>
        <x:v>30</x:v>
      </x:c>
      <x:c r="L269" s="17" t="n">
        <x:f>G269+H269</x:f>
        <x:v>41277</x:v>
      </x:c>
      <x:c r="M269" s="28" t="n">
        <x:f>G269*J269/1000000</x:f>
        <x:v>0.26104</x:v>
      </x:c>
      <x:c r="N269" s="28" t="n">
        <x:f>H269*K269/1000000</x:f>
        <x:v>0.45519</x:v>
      </x:c>
      <x:c r="O269" s="28" t="n">
        <x:f>SUM(M269:N269)</x:f>
        <x:v>0.7162299999999999</x:v>
      </x:c>
    </x:row>
    <x:row r="270" ht="23" customHeight="1">
      <x:c r="A270" s="17" t="str">
        <x:v>U00264</x:v>
      </x:c>
      <x:c r="B270" s="18" t="n">
        <x:v>46283</x:v>
      </x:c>
      <x:c r="C270" s="17" t="str">
        <x:v>W0033</x:v>
      </x:c>
      <x:c r="D270" s="17" t="str">
        <x:v>C001</x:v>
      </x:c>
      <x:c r="E270" s="17" t="str">
        <x:v>CopyStudio</x:v>
      </x:c>
      <x:c r="F270" s="17" t="str">
        <x:v>Lite</x:v>
      </x:c>
      <x:c r="G270" s="17" t="n">
        <x:v>18760</x:v>
      </x:c>
      <x:c r="H270" s="17" t="n">
        <x:v>14810</x:v>
      </x:c>
      <x:c r="I270" s="17" t="str">
        <x:v>Followup</x:v>
      </x:c>
      <x:c r="J270" s="27" t="n">
        <x:f>INDEX('Model Pricing'!$B$7:$B$8,MATCH(F270,'Model Pricing'!$A$7:$A$8,0))</x:f>
        <x:v>10</x:v>
      </x:c>
      <x:c r="K270" s="27" t="n">
        <x:f>INDEX('Model Pricing'!$C$7:$C$8,MATCH(F270,'Model Pricing'!$A$7:$A$8,0))</x:f>
        <x:v>30</x:v>
      </x:c>
      <x:c r="L270" s="17" t="n">
        <x:f>G270+H270</x:f>
        <x:v>33570</x:v>
      </x:c>
      <x:c r="M270" s="28" t="n">
        <x:f>G270*J270/1000000</x:f>
        <x:v>0.1876</x:v>
      </x:c>
      <x:c r="N270" s="28" t="n">
        <x:f>H270*K270/1000000</x:f>
        <x:v>0.4443</x:v>
      </x:c>
      <x:c r="O270" s="28" t="n">
        <x:f>SUM(M270:N270)</x:f>
        <x:v>0.6318999999999999</x:v>
      </x:c>
    </x:row>
    <x:row r="271" ht="23" customHeight="1">
      <x:c r="A271" s="17" t="str">
        <x:v>U00265</x:v>
      </x:c>
      <x:c r="B271" s="18" t="n">
        <x:v>46286</x:v>
      </x:c>
      <x:c r="C271" s="17" t="str">
        <x:v>W0033</x:v>
      </x:c>
      <x:c r="D271" s="17" t="str">
        <x:v>C001</x:v>
      </x:c>
      <x:c r="E271" s="17" t="str">
        <x:v>CopyStudio</x:v>
      </x:c>
      <x:c r="F271" s="17" t="str">
        <x:v>Lite</x:v>
      </x:c>
      <x:c r="G271" s="17" t="n">
        <x:v>42430</x:v>
      </x:c>
      <x:c r="H271" s="17" t="n">
        <x:v>13740</x:v>
      </x:c>
      <x:c r="I271" s="17" t="str">
        <x:v>Correction</x:v>
      </x:c>
      <x:c r="J271" s="27" t="n">
        <x:f>INDEX('Model Pricing'!$B$7:$B$8,MATCH(F271,'Model Pricing'!$A$7:$A$8,0))</x:f>
        <x:v>10</x:v>
      </x:c>
      <x:c r="K271" s="27" t="n">
        <x:f>INDEX('Model Pricing'!$C$7:$C$8,MATCH(F271,'Model Pricing'!$A$7:$A$8,0))</x:f>
        <x:v>30</x:v>
      </x:c>
      <x:c r="L271" s="17" t="n">
        <x:f>G271+H271</x:f>
        <x:v>56170</x:v>
      </x:c>
      <x:c r="M271" s="28" t="n">
        <x:f>G271*J271/1000000</x:f>
        <x:v>0.4243</x:v>
      </x:c>
      <x:c r="N271" s="28" t="n">
        <x:f>H271*K271/1000000</x:f>
        <x:v>0.4122</x:v>
      </x:c>
      <x:c r="O271" s="28" t="n">
        <x:f>SUM(M271:N271)</x:f>
        <x:v>0.8365</x:v>
      </x:c>
    </x:row>
    <x:row r="272" ht="23" customHeight="1">
      <x:c r="A272" s="17" t="str">
        <x:v>U00266</x:v>
      </x:c>
      <x:c r="B272" s="18" t="n">
        <x:v>46286</x:v>
      </x:c>
      <x:c r="C272" s="17" t="str">
        <x:v>W0033</x:v>
      </x:c>
      <x:c r="D272" s="17" t="str">
        <x:v>C001</x:v>
      </x:c>
      <x:c r="E272" s="17" t="str">
        <x:v>CopyStudio</x:v>
      </x:c>
      <x:c r="F272" s="17" t="str">
        <x:v>Lite</x:v>
      </x:c>
      <x:c r="G272" s="17" t="n">
        <x:v>37814</x:v>
      </x:c>
      <x:c r="H272" s="17" t="n">
        <x:v>7063</x:v>
      </x:c>
      <x:c r="I272" s="17" t="str">
        <x:v>Followup</x:v>
      </x:c>
      <x:c r="J272" s="27" t="n">
        <x:f>INDEX('Model Pricing'!$B$7:$B$8,MATCH(F272,'Model Pricing'!$A$7:$A$8,0))</x:f>
        <x:v>10</x:v>
      </x:c>
      <x:c r="K272" s="27" t="n">
        <x:f>INDEX('Model Pricing'!$C$7:$C$8,MATCH(F272,'Model Pricing'!$A$7:$A$8,0))</x:f>
        <x:v>30</x:v>
      </x:c>
      <x:c r="L272" s="17" t="n">
        <x:f>G272+H272</x:f>
        <x:v>44877</x:v>
      </x:c>
      <x:c r="M272" s="28" t="n">
        <x:f>G272*J272/1000000</x:f>
        <x:v>0.37814</x:v>
      </x:c>
      <x:c r="N272" s="28" t="n">
        <x:f>H272*K272/1000000</x:f>
        <x:v>0.21189</x:v>
      </x:c>
      <x:c r="O272" s="28" t="n">
        <x:f>SUM(M272:N272)</x:f>
        <x:v>0.5900299999999999</x:v>
      </x:c>
    </x:row>
    <x:row r="273" ht="23" customHeight="1">
      <x:c r="A273" s="17" t="str">
        <x:v>U00267</x:v>
      </x:c>
      <x:c r="B273" s="18" t="n">
        <x:v>46286</x:v>
      </x:c>
      <x:c r="C273" s="17" t="str">
        <x:v>W0033</x:v>
      </x:c>
      <x:c r="D273" s="17" t="str">
        <x:v>C001</x:v>
      </x:c>
      <x:c r="E273" s="17" t="str">
        <x:v>CopyStudio</x:v>
      </x:c>
      <x:c r="F273" s="17" t="str">
        <x:v>Lite</x:v>
      </x:c>
      <x:c r="G273" s="17" t="n">
        <x:v>17646</x:v>
      </x:c>
      <x:c r="H273" s="17" t="n">
        <x:v>5875</x:v>
      </x:c>
      <x:c r="I273" s="17" t="str">
        <x:v>Followup</x:v>
      </x:c>
      <x:c r="J273" s="27" t="n">
        <x:f>INDEX('Model Pricing'!$B$7:$B$8,MATCH(F273,'Model Pricing'!$A$7:$A$8,0))</x:f>
        <x:v>10</x:v>
      </x:c>
      <x:c r="K273" s="27" t="n">
        <x:f>INDEX('Model Pricing'!$C$7:$C$8,MATCH(F273,'Model Pricing'!$A$7:$A$8,0))</x:f>
        <x:v>30</x:v>
      </x:c>
      <x:c r="L273" s="17" t="n">
        <x:f>G273+H273</x:f>
        <x:v>23521</x:v>
      </x:c>
      <x:c r="M273" s="28" t="n">
        <x:f>G273*J273/1000000</x:f>
        <x:v>0.17646</x:v>
      </x:c>
      <x:c r="N273" s="28" t="n">
        <x:f>H273*K273/1000000</x:f>
        <x:v>0.17625</x:v>
      </x:c>
      <x:c r="O273" s="28" t="n">
        <x:f>SUM(M273:N273)</x:f>
        <x:v>0.35270999999999997</x:v>
      </x:c>
    </x:row>
    <x:row r="274" ht="23" customHeight="1">
      <x:c r="A274" s="17" t="str">
        <x:v>U00268</x:v>
      </x:c>
      <x:c r="B274" s="18" t="n">
        <x:v>46287</x:v>
      </x:c>
      <x:c r="C274" s="17" t="str">
        <x:v>W0033</x:v>
      </x:c>
      <x:c r="D274" s="17" t="str">
        <x:v>C001</x:v>
      </x:c>
      <x:c r="E274" s="17" t="str">
        <x:v>CopyStudio</x:v>
      </x:c>
      <x:c r="F274" s="17" t="str">
        <x:v>Lite</x:v>
      </x:c>
      <x:c r="G274" s="17" t="n">
        <x:v>21221</x:v>
      </x:c>
      <x:c r="H274" s="17" t="n">
        <x:v>5745</x:v>
      </x:c>
      <x:c r="I274" s="17" t="str">
        <x:v>Followup</x:v>
      </x:c>
      <x:c r="J274" s="27" t="n">
        <x:f>INDEX('Model Pricing'!$B$7:$B$8,MATCH(F274,'Model Pricing'!$A$7:$A$8,0))</x:f>
        <x:v>10</x:v>
      </x:c>
      <x:c r="K274" s="27" t="n">
        <x:f>INDEX('Model Pricing'!$C$7:$C$8,MATCH(F274,'Model Pricing'!$A$7:$A$8,0))</x:f>
        <x:v>30</x:v>
      </x:c>
      <x:c r="L274" s="17" t="n">
        <x:f>G274+H274</x:f>
        <x:v>26966</x:v>
      </x:c>
      <x:c r="M274" s="28" t="n">
        <x:f>G274*J274/1000000</x:f>
        <x:v>0.21221</x:v>
      </x:c>
      <x:c r="N274" s="28" t="n">
        <x:f>H274*K274/1000000</x:f>
        <x:v>0.17235</x:v>
      </x:c>
      <x:c r="O274" s="28" t="n">
        <x:f>SUM(M274:N274)</x:f>
        <x:v>0.38456</x:v>
      </x:c>
    </x:row>
    <x:row r="275" ht="23" customHeight="1">
      <x:c r="A275" s="17" t="str">
        <x:v>U00269</x:v>
      </x:c>
      <x:c r="B275" s="18" t="n">
        <x:v>46287</x:v>
      </x:c>
      <x:c r="C275" s="17" t="str">
        <x:v>W0033</x:v>
      </x:c>
      <x:c r="D275" s="17" t="str">
        <x:v>C001</x:v>
      </x:c>
      <x:c r="E275" s="17" t="str">
        <x:v>CopyStudio</x:v>
      </x:c>
      <x:c r="F275" s="17" t="str">
        <x:v>Lite</x:v>
      </x:c>
      <x:c r="G275" s="17" t="n">
        <x:v>21706</x:v>
      </x:c>
      <x:c r="H275" s="17" t="n">
        <x:v>8680</x:v>
      </x:c>
      <x:c r="I275" s="17" t="str">
        <x:v>Followup</x:v>
      </x:c>
      <x:c r="J275" s="27" t="n">
        <x:f>INDEX('Model Pricing'!$B$7:$B$8,MATCH(F275,'Model Pricing'!$A$7:$A$8,0))</x:f>
        <x:v>10</x:v>
      </x:c>
      <x:c r="K275" s="27" t="n">
        <x:f>INDEX('Model Pricing'!$C$7:$C$8,MATCH(F275,'Model Pricing'!$A$7:$A$8,0))</x:f>
        <x:v>30</x:v>
      </x:c>
      <x:c r="L275" s="17" t="n">
        <x:f>G275+H275</x:f>
        <x:v>30386</x:v>
      </x:c>
      <x:c r="M275" s="28" t="n">
        <x:f>G275*J275/1000000</x:f>
        <x:v>0.21706</x:v>
      </x:c>
      <x:c r="N275" s="28" t="n">
        <x:f>H275*K275/1000000</x:f>
        <x:v>0.2604</x:v>
      </x:c>
      <x:c r="O275" s="28" t="n">
        <x:f>SUM(M275:N275)</x:f>
        <x:v>0.47746</x:v>
      </x:c>
    </x:row>
    <x:row r="276" ht="23" customHeight="1">
      <x:c r="A276" s="17" t="str">
        <x:v>U00270</x:v>
      </x:c>
      <x:c r="B276" s="18" t="n">
        <x:v>46266</x:v>
      </x:c>
      <x:c r="C276" s="17" t="str">
        <x:v>W0034</x:v>
      </x:c>
      <x:c r="D276" s="17" t="str">
        <x:v>C001</x:v>
      </x:c>
      <x:c r="E276" s="17" t="str">
        <x:v>CopyStudio</x:v>
      </x:c>
      <x:c r="F276" s="17" t="str">
        <x:v>Lite</x:v>
      </x:c>
      <x:c r="G276" s="17" t="n">
        <x:v>43399</x:v>
      </x:c>
      <x:c r="H276" s="17" t="n">
        <x:v>9457</x:v>
      </x:c>
      <x:c r="I276" s="17" t="str">
        <x:v>First attempt</x:v>
      </x:c>
      <x:c r="J276" s="27" t="n">
        <x:f>INDEX('Model Pricing'!$B$7:$B$8,MATCH(F276,'Model Pricing'!$A$7:$A$8,0))</x:f>
        <x:v>10</x:v>
      </x:c>
      <x:c r="K276" s="27" t="n">
        <x:f>INDEX('Model Pricing'!$C$7:$C$8,MATCH(F276,'Model Pricing'!$A$7:$A$8,0))</x:f>
        <x:v>30</x:v>
      </x:c>
      <x:c r="L276" s="17" t="n">
        <x:f>G276+H276</x:f>
        <x:v>52856</x:v>
      </x:c>
      <x:c r="M276" s="28" t="n">
        <x:f>G276*J276/1000000</x:f>
        <x:v>0.43399</x:v>
      </x:c>
      <x:c r="N276" s="28" t="n">
        <x:f>H276*K276/1000000</x:f>
        <x:v>0.28371</x:v>
      </x:c>
      <x:c r="O276" s="28" t="n">
        <x:f>SUM(M276:N276)</x:f>
        <x:v>0.7177</x:v>
      </x:c>
    </x:row>
    <x:row r="277" ht="23" customHeight="1">
      <x:c r="A277" s="17" t="str">
        <x:v>U00271</x:v>
      </x:c>
      <x:c r="B277" s="18" t="n">
        <x:v>46266</x:v>
      </x:c>
      <x:c r="C277" s="17" t="str">
        <x:v>W0034</x:v>
      </x:c>
      <x:c r="D277" s="17" t="str">
        <x:v>C001</x:v>
      </x:c>
      <x:c r="E277" s="17" t="str">
        <x:v>CopyStudio</x:v>
      </x:c>
      <x:c r="F277" s="17" t="str">
        <x:v>Lite</x:v>
      </x:c>
      <x:c r="G277" s="17" t="n">
        <x:v>67928</x:v>
      </x:c>
      <x:c r="H277" s="17" t="n">
        <x:v>3932</x:v>
      </x:c>
      <x:c r="I277" s="17" t="str">
        <x:v>Correction</x:v>
      </x:c>
      <x:c r="J277" s="27" t="n">
        <x:f>INDEX('Model Pricing'!$B$7:$B$8,MATCH(F277,'Model Pricing'!$A$7:$A$8,0))</x:f>
        <x:v>10</x:v>
      </x:c>
      <x:c r="K277" s="27" t="n">
        <x:f>INDEX('Model Pricing'!$C$7:$C$8,MATCH(F277,'Model Pricing'!$A$7:$A$8,0))</x:f>
        <x:v>30</x:v>
      </x:c>
      <x:c r="L277" s="17" t="n">
        <x:f>G277+H277</x:f>
        <x:v>71860</x:v>
      </x:c>
      <x:c r="M277" s="28" t="n">
        <x:f>G277*J277/1000000</x:f>
        <x:v>0.67928</x:v>
      </x:c>
      <x:c r="N277" s="28" t="n">
        <x:f>H277*K277/1000000</x:f>
        <x:v>0.11796</x:v>
      </x:c>
      <x:c r="O277" s="28" t="n">
        <x:f>SUM(M277:N277)</x:f>
        <x:v>0.79724</x:v>
      </x:c>
    </x:row>
    <x:row r="278" ht="23" customHeight="1">
      <x:c r="A278" s="17" t="str">
        <x:v>U00272</x:v>
      </x:c>
      <x:c r="B278" s="18" t="n">
        <x:v>46266</x:v>
      </x:c>
      <x:c r="C278" s="17" t="str">
        <x:v>W0034</x:v>
      </x:c>
      <x:c r="D278" s="17" t="str">
        <x:v>C001</x:v>
      </x:c>
      <x:c r="E278" s="17" t="str">
        <x:v>CopyStudio</x:v>
      </x:c>
      <x:c r="F278" s="17" t="str">
        <x:v>Lite</x:v>
      </x:c>
      <x:c r="G278" s="17" t="n">
        <x:v>52299</x:v>
      </x:c>
      <x:c r="H278" s="17" t="n">
        <x:v>13448</x:v>
      </x:c>
      <x:c r="I278" s="17" t="str">
        <x:v>Followup</x:v>
      </x:c>
      <x:c r="J278" s="27" t="n">
        <x:f>INDEX('Model Pricing'!$B$7:$B$8,MATCH(F278,'Model Pricing'!$A$7:$A$8,0))</x:f>
        <x:v>10</x:v>
      </x:c>
      <x:c r="K278" s="27" t="n">
        <x:f>INDEX('Model Pricing'!$C$7:$C$8,MATCH(F278,'Model Pricing'!$A$7:$A$8,0))</x:f>
        <x:v>30</x:v>
      </x:c>
      <x:c r="L278" s="17" t="n">
        <x:f>G278+H278</x:f>
        <x:v>65747</x:v>
      </x:c>
      <x:c r="M278" s="28" t="n">
        <x:f>G278*J278/1000000</x:f>
        <x:v>0.52299</x:v>
      </x:c>
      <x:c r="N278" s="28" t="n">
        <x:f>H278*K278/1000000</x:f>
        <x:v>0.40344</x:v>
      </x:c>
      <x:c r="O278" s="28" t="n">
        <x:f>SUM(M278:N278)</x:f>
        <x:v>0.92643</x:v>
      </x:c>
    </x:row>
    <x:row r="279" ht="23" customHeight="1">
      <x:c r="A279" s="17" t="str">
        <x:v>U00273</x:v>
      </x:c>
      <x:c r="B279" s="18" t="n">
        <x:v>46267</x:v>
      </x:c>
      <x:c r="C279" s="17" t="str">
        <x:v>W0034</x:v>
      </x:c>
      <x:c r="D279" s="17" t="str">
        <x:v>C001</x:v>
      </x:c>
      <x:c r="E279" s="17" t="str">
        <x:v>CopyStudio</x:v>
      </x:c>
      <x:c r="F279" s="17" t="str">
        <x:v>Lite</x:v>
      </x:c>
      <x:c r="G279" s="17" t="n">
        <x:v>69607</x:v>
      </x:c>
      <x:c r="H279" s="17" t="n">
        <x:v>8979</x:v>
      </x:c>
      <x:c r="I279" s="17" t="str">
        <x:v>Followup</x:v>
      </x:c>
      <x:c r="J279" s="27" t="n">
        <x:f>INDEX('Model Pricing'!$B$7:$B$8,MATCH(F279,'Model Pricing'!$A$7:$A$8,0))</x:f>
        <x:v>10</x:v>
      </x:c>
      <x:c r="K279" s="27" t="n">
        <x:f>INDEX('Model Pricing'!$C$7:$C$8,MATCH(F279,'Model Pricing'!$A$7:$A$8,0))</x:f>
        <x:v>30</x:v>
      </x:c>
      <x:c r="L279" s="17" t="n">
        <x:f>G279+H279</x:f>
        <x:v>78586</x:v>
      </x:c>
      <x:c r="M279" s="28" t="n">
        <x:f>G279*J279/1000000</x:f>
        <x:v>0.69607</x:v>
      </x:c>
      <x:c r="N279" s="28" t="n">
        <x:f>H279*K279/1000000</x:f>
        <x:v>0.26937</x:v>
      </x:c>
      <x:c r="O279" s="28" t="n">
        <x:f>SUM(M279:N279)</x:f>
        <x:v>0.96544</x:v>
      </x:c>
    </x:row>
    <x:row r="280" ht="23" customHeight="1">
      <x:c r="A280" s="17" t="str">
        <x:v>U00274</x:v>
      </x:c>
      <x:c r="B280" s="18" t="n">
        <x:v>46267</x:v>
      </x:c>
      <x:c r="C280" s="17" t="str">
        <x:v>W0034</x:v>
      </x:c>
      <x:c r="D280" s="17" t="str">
        <x:v>C001</x:v>
      </x:c>
      <x:c r="E280" s="17" t="str">
        <x:v>CopyStudio</x:v>
      </x:c>
      <x:c r="F280" s="17" t="str">
        <x:v>Lite</x:v>
      </x:c>
      <x:c r="G280" s="17" t="n">
        <x:v>35563</x:v>
      </x:c>
      <x:c r="H280" s="17" t="n">
        <x:v>9745</x:v>
      </x:c>
      <x:c r="I280" s="17" t="str">
        <x:v>Followup</x:v>
      </x:c>
      <x:c r="J280" s="27" t="n">
        <x:f>INDEX('Model Pricing'!$B$7:$B$8,MATCH(F280,'Model Pricing'!$A$7:$A$8,0))</x:f>
        <x:v>10</x:v>
      </x:c>
      <x:c r="K280" s="27" t="n">
        <x:f>INDEX('Model Pricing'!$C$7:$C$8,MATCH(F280,'Model Pricing'!$A$7:$A$8,0))</x:f>
        <x:v>30</x:v>
      </x:c>
      <x:c r="L280" s="17" t="n">
        <x:f>G280+H280</x:f>
        <x:v>45308</x:v>
      </x:c>
      <x:c r="M280" s="28" t="n">
        <x:f>G280*J280/1000000</x:f>
        <x:v>0.35563</x:v>
      </x:c>
      <x:c r="N280" s="28" t="n">
        <x:f>H280*K280/1000000</x:f>
        <x:v>0.29235</x:v>
      </x:c>
      <x:c r="O280" s="28" t="n">
        <x:f>SUM(M280:N280)</x:f>
        <x:v>0.64798</x:v>
      </x:c>
    </x:row>
    <x:row r="281" ht="23" customHeight="1">
      <x:c r="A281" s="17" t="str">
        <x:v>U00275</x:v>
      </x:c>
      <x:c r="B281" s="18" t="n">
        <x:v>46268</x:v>
      </x:c>
      <x:c r="C281" s="17" t="str">
        <x:v>W0034</x:v>
      </x:c>
      <x:c r="D281" s="17" t="str">
        <x:v>C001</x:v>
      </x:c>
      <x:c r="E281" s="17" t="str">
        <x:v>CopyStudio</x:v>
      </x:c>
      <x:c r="F281" s="17" t="str">
        <x:v>Lite</x:v>
      </x:c>
      <x:c r="G281" s="17" t="n">
        <x:v>43540</x:v>
      </x:c>
      <x:c r="H281" s="17" t="n">
        <x:v>14135</x:v>
      </x:c>
      <x:c r="I281" s="17" t="str">
        <x:v>Followup</x:v>
      </x:c>
      <x:c r="J281" s="27" t="n">
        <x:f>INDEX('Model Pricing'!$B$7:$B$8,MATCH(F281,'Model Pricing'!$A$7:$A$8,0))</x:f>
        <x:v>10</x:v>
      </x:c>
      <x:c r="K281" s="27" t="n">
        <x:f>INDEX('Model Pricing'!$C$7:$C$8,MATCH(F281,'Model Pricing'!$A$7:$A$8,0))</x:f>
        <x:v>30</x:v>
      </x:c>
      <x:c r="L281" s="17" t="n">
        <x:f>G281+H281</x:f>
        <x:v>57675</x:v>
      </x:c>
      <x:c r="M281" s="28" t="n">
        <x:f>G281*J281/1000000</x:f>
        <x:v>0.4354</x:v>
      </x:c>
      <x:c r="N281" s="28" t="n">
        <x:f>H281*K281/1000000</x:f>
        <x:v>0.42405</x:v>
      </x:c>
      <x:c r="O281" s="28" t="n">
        <x:f>SUM(M281:N281)</x:f>
        <x:v>0.85945</x:v>
      </x:c>
    </x:row>
    <x:row r="282" ht="23" customHeight="1">
      <x:c r="A282" s="17" t="str">
        <x:v>U00276</x:v>
      </x:c>
      <x:c r="B282" s="18" t="n">
        <x:v>46268</x:v>
      </x:c>
      <x:c r="C282" s="17" t="str">
        <x:v>W0034</x:v>
      </x:c>
      <x:c r="D282" s="17" t="str">
        <x:v>C001</x:v>
      </x:c>
      <x:c r="E282" s="17" t="str">
        <x:v>CopyStudio</x:v>
      </x:c>
      <x:c r="F282" s="17" t="str">
        <x:v>Lite</x:v>
      </x:c>
      <x:c r="G282" s="17" t="n">
        <x:v>54445</x:v>
      </x:c>
      <x:c r="H282" s="17" t="n">
        <x:v>4118</x:v>
      </x:c>
      <x:c r="I282" s="17" t="str">
        <x:v>Followup</x:v>
      </x:c>
      <x:c r="J282" s="27" t="n">
        <x:f>INDEX('Model Pricing'!$B$7:$B$8,MATCH(F282,'Model Pricing'!$A$7:$A$8,0))</x:f>
        <x:v>10</x:v>
      </x:c>
      <x:c r="K282" s="27" t="n">
        <x:f>INDEX('Model Pricing'!$C$7:$C$8,MATCH(F282,'Model Pricing'!$A$7:$A$8,0))</x:f>
        <x:v>30</x:v>
      </x:c>
      <x:c r="L282" s="17" t="n">
        <x:f>G282+H282</x:f>
        <x:v>58563</x:v>
      </x:c>
      <x:c r="M282" s="28" t="n">
        <x:f>G282*J282/1000000</x:f>
        <x:v>0.54445</x:v>
      </x:c>
      <x:c r="N282" s="28" t="n">
        <x:f>H282*K282/1000000</x:f>
        <x:v>0.12354</x:v>
      </x:c>
      <x:c r="O282" s="28" t="n">
        <x:f>SUM(M282:N282)</x:f>
        <x:v>0.66799</x:v>
      </x:c>
    </x:row>
    <x:row r="283" ht="23" customHeight="1">
      <x:c r="A283" s="17" t="str">
        <x:v>U00277</x:v>
      </x:c>
      <x:c r="B283" s="18" t="n">
        <x:v>46268</x:v>
      </x:c>
      <x:c r="C283" s="17" t="str">
        <x:v>W0034</x:v>
      </x:c>
      <x:c r="D283" s="17" t="str">
        <x:v>C001</x:v>
      </x:c>
      <x:c r="E283" s="17" t="str">
        <x:v>CopyStudio</x:v>
      </x:c>
      <x:c r="F283" s="17" t="str">
        <x:v>Lite</x:v>
      </x:c>
      <x:c r="G283" s="17" t="n">
        <x:v>33972</x:v>
      </x:c>
      <x:c r="H283" s="17" t="n">
        <x:v>11416</x:v>
      </x:c>
      <x:c r="I283" s="17" t="str">
        <x:v>Followup</x:v>
      </x:c>
      <x:c r="J283" s="27" t="n">
        <x:f>INDEX('Model Pricing'!$B$7:$B$8,MATCH(F283,'Model Pricing'!$A$7:$A$8,0))</x:f>
        <x:v>10</x:v>
      </x:c>
      <x:c r="K283" s="27" t="n">
        <x:f>INDEX('Model Pricing'!$C$7:$C$8,MATCH(F283,'Model Pricing'!$A$7:$A$8,0))</x:f>
        <x:v>30</x:v>
      </x:c>
      <x:c r="L283" s="17" t="n">
        <x:f>G283+H283</x:f>
        <x:v>45388</x:v>
      </x:c>
      <x:c r="M283" s="28" t="n">
        <x:f>G283*J283/1000000</x:f>
        <x:v>0.33972</x:v>
      </x:c>
      <x:c r="N283" s="28" t="n">
        <x:f>H283*K283/1000000</x:f>
        <x:v>0.34248</x:v>
      </x:c>
      <x:c r="O283" s="28" t="n">
        <x:f>SUM(M283:N283)</x:f>
        <x:v>0.6822</x:v>
      </x:c>
    </x:row>
    <x:row r="284" ht="23" customHeight="1">
      <x:c r="A284" s="17" t="str">
        <x:v>U00278</x:v>
      </x:c>
      <x:c r="B284" s="18" t="n">
        <x:v>46269</x:v>
      </x:c>
      <x:c r="C284" s="17" t="str">
        <x:v>W0034</x:v>
      </x:c>
      <x:c r="D284" s="17" t="str">
        <x:v>C001</x:v>
      </x:c>
      <x:c r="E284" s="17" t="str">
        <x:v>CopyStudio</x:v>
      </x:c>
      <x:c r="F284" s="17" t="str">
        <x:v>Lite</x:v>
      </x:c>
      <x:c r="G284" s="17" t="n">
        <x:v>44207</x:v>
      </x:c>
      <x:c r="H284" s="17" t="n">
        <x:v>10822</x:v>
      </x:c>
      <x:c r="I284" s="17" t="str">
        <x:v>Followup</x:v>
      </x:c>
      <x:c r="J284" s="27" t="n">
        <x:f>INDEX('Model Pricing'!$B$7:$B$8,MATCH(F284,'Model Pricing'!$A$7:$A$8,0))</x:f>
        <x:v>10</x:v>
      </x:c>
      <x:c r="K284" s="27" t="n">
        <x:f>INDEX('Model Pricing'!$C$7:$C$8,MATCH(F284,'Model Pricing'!$A$7:$A$8,0))</x:f>
        <x:v>30</x:v>
      </x:c>
      <x:c r="L284" s="17" t="n">
        <x:f>G284+H284</x:f>
        <x:v>55029</x:v>
      </x:c>
      <x:c r="M284" s="28" t="n">
        <x:f>G284*J284/1000000</x:f>
        <x:v>0.44207</x:v>
      </x:c>
      <x:c r="N284" s="28" t="n">
        <x:f>H284*K284/1000000</x:f>
        <x:v>0.32466</x:v>
      </x:c>
      <x:c r="O284" s="28" t="n">
        <x:f>SUM(M284:N284)</x:f>
        <x:v>0.76673</x:v>
      </x:c>
    </x:row>
    <x:row r="285" ht="23" customHeight="1">
      <x:c r="A285" s="17" t="str">
        <x:v>U00279</x:v>
      </x:c>
      <x:c r="B285" s="18" t="n">
        <x:v>46269</x:v>
      </x:c>
      <x:c r="C285" s="17" t="str">
        <x:v>W0034</x:v>
      </x:c>
      <x:c r="D285" s="17" t="str">
        <x:v>C001</x:v>
      </x:c>
      <x:c r="E285" s="17" t="str">
        <x:v>CopyStudio</x:v>
      </x:c>
      <x:c r="F285" s="17" t="str">
        <x:v>Lite</x:v>
      </x:c>
      <x:c r="G285" s="17" t="n">
        <x:v>52395</x:v>
      </x:c>
      <x:c r="H285" s="17" t="n">
        <x:v>11590</x:v>
      </x:c>
      <x:c r="I285" s="17" t="str">
        <x:v>Followup</x:v>
      </x:c>
      <x:c r="J285" s="27" t="n">
        <x:f>INDEX('Model Pricing'!$B$7:$B$8,MATCH(F285,'Model Pricing'!$A$7:$A$8,0))</x:f>
        <x:v>10</x:v>
      </x:c>
      <x:c r="K285" s="27" t="n">
        <x:f>INDEX('Model Pricing'!$C$7:$C$8,MATCH(F285,'Model Pricing'!$A$7:$A$8,0))</x:f>
        <x:v>30</x:v>
      </x:c>
      <x:c r="L285" s="17" t="n">
        <x:f>G285+H285</x:f>
        <x:v>63985</x:v>
      </x:c>
      <x:c r="M285" s="28" t="n">
        <x:f>G285*J285/1000000</x:f>
        <x:v>0.52395</x:v>
      </x:c>
      <x:c r="N285" s="28" t="n">
        <x:f>H285*K285/1000000</x:f>
        <x:v>0.3477</x:v>
      </x:c>
      <x:c r="O285" s="28" t="n">
        <x:f>SUM(M285:N285)</x:f>
        <x:v>0.87165</x:v>
      </x:c>
    </x:row>
    <x:row r="286" ht="23" customHeight="1">
      <x:c r="A286" s="17" t="str">
        <x:v>U00280</x:v>
      </x:c>
      <x:c r="B286" s="18" t="n">
        <x:v>46276</x:v>
      </x:c>
      <x:c r="C286" s="17" t="str">
        <x:v>W0035</x:v>
      </x:c>
      <x:c r="D286" s="17" t="str">
        <x:v>C001</x:v>
      </x:c>
      <x:c r="E286" s="17" t="str">
        <x:v>CampaignChat</x:v>
      </x:c>
      <x:c r="F286" s="17" t="str">
        <x:v>Lite</x:v>
      </x:c>
      <x:c r="G286" s="17" t="n">
        <x:v>30393</x:v>
      </x:c>
      <x:c r="H286" s="17" t="n">
        <x:v>8769</x:v>
      </x:c>
      <x:c r="I286" s="17" t="str">
        <x:v>First attempt</x:v>
      </x:c>
      <x:c r="J286" s="27" t="n">
        <x:f>INDEX('Model Pricing'!$B$7:$B$8,MATCH(F286,'Model Pricing'!$A$7:$A$8,0))</x:f>
        <x:v>10</x:v>
      </x:c>
      <x:c r="K286" s="27" t="n">
        <x:f>INDEX('Model Pricing'!$C$7:$C$8,MATCH(F286,'Model Pricing'!$A$7:$A$8,0))</x:f>
        <x:v>30</x:v>
      </x:c>
      <x:c r="L286" s="17" t="n">
        <x:f>G286+H286</x:f>
        <x:v>39162</x:v>
      </x:c>
      <x:c r="M286" s="28" t="n">
        <x:f>G286*J286/1000000</x:f>
        <x:v>0.30393</x:v>
      </x:c>
      <x:c r="N286" s="28" t="n">
        <x:f>H286*K286/1000000</x:f>
        <x:v>0.26307</x:v>
      </x:c>
      <x:c r="O286" s="28" t="n">
        <x:f>SUM(M286:N286)</x:f>
        <x:v>0.567</x:v>
      </x:c>
    </x:row>
    <x:row r="287" ht="23" customHeight="1">
      <x:c r="A287" s="17" t="str">
        <x:v>U00281</x:v>
      </x:c>
      <x:c r="B287" s="18" t="n">
        <x:v>46276</x:v>
      </x:c>
      <x:c r="C287" s="17" t="str">
        <x:v>W0035</x:v>
      </x:c>
      <x:c r="D287" s="17" t="str">
        <x:v>C001</x:v>
      </x:c>
      <x:c r="E287" s="17" t="str">
        <x:v>CampaignChat</x:v>
      </x:c>
      <x:c r="F287" s="17" t="str">
        <x:v>Lite</x:v>
      </x:c>
      <x:c r="G287" s="17" t="n">
        <x:v>42752</x:v>
      </x:c>
      <x:c r="H287" s="17" t="n">
        <x:v>3626</x:v>
      </x:c>
      <x:c r="I287" s="17" t="str">
        <x:v>Followup</x:v>
      </x:c>
      <x:c r="J287" s="27" t="n">
        <x:f>INDEX('Model Pricing'!$B$7:$B$8,MATCH(F287,'Model Pricing'!$A$7:$A$8,0))</x:f>
        <x:v>10</x:v>
      </x:c>
      <x:c r="K287" s="27" t="n">
        <x:f>INDEX('Model Pricing'!$C$7:$C$8,MATCH(F287,'Model Pricing'!$A$7:$A$8,0))</x:f>
        <x:v>30</x:v>
      </x:c>
      <x:c r="L287" s="17" t="n">
        <x:f>G287+H287</x:f>
        <x:v>46378</x:v>
      </x:c>
      <x:c r="M287" s="28" t="n">
        <x:f>G287*J287/1000000</x:f>
        <x:v>0.42752</x:v>
      </x:c>
      <x:c r="N287" s="28" t="n">
        <x:f>H287*K287/1000000</x:f>
        <x:v>0.10878</x:v>
      </x:c>
      <x:c r="O287" s="28" t="n">
        <x:f>SUM(M287:N287)</x:f>
        <x:v>0.5363</x:v>
      </x:c>
    </x:row>
    <x:row r="288" ht="23" customHeight="1">
      <x:c r="A288" s="17" t="str">
        <x:v>U00282</x:v>
      </x:c>
      <x:c r="B288" s="18" t="n">
        <x:v>46279</x:v>
      </x:c>
      <x:c r="C288" s="17" t="str">
        <x:v>W0035</x:v>
      </x:c>
      <x:c r="D288" s="17" t="str">
        <x:v>C001</x:v>
      </x:c>
      <x:c r="E288" s="17" t="str">
        <x:v>CampaignChat</x:v>
      </x:c>
      <x:c r="F288" s="17" t="str">
        <x:v>Lite</x:v>
      </x:c>
      <x:c r="G288" s="17" t="n">
        <x:v>29194</x:v>
      </x:c>
      <x:c r="H288" s="17" t="n">
        <x:v>6847</x:v>
      </x:c>
      <x:c r="I288" s="17" t="str">
        <x:v>Followup</x:v>
      </x:c>
      <x:c r="J288" s="27" t="n">
        <x:f>INDEX('Model Pricing'!$B$7:$B$8,MATCH(F288,'Model Pricing'!$A$7:$A$8,0))</x:f>
        <x:v>10</x:v>
      </x:c>
      <x:c r="K288" s="27" t="n">
        <x:f>INDEX('Model Pricing'!$C$7:$C$8,MATCH(F288,'Model Pricing'!$A$7:$A$8,0))</x:f>
        <x:v>30</x:v>
      </x:c>
      <x:c r="L288" s="17" t="n">
        <x:f>G288+H288</x:f>
        <x:v>36041</x:v>
      </x:c>
      <x:c r="M288" s="28" t="n">
        <x:f>G288*J288/1000000</x:f>
        <x:v>0.29194</x:v>
      </x:c>
      <x:c r="N288" s="28" t="n">
        <x:f>H288*K288/1000000</x:f>
        <x:v>0.20541</x:v>
      </x:c>
      <x:c r="O288" s="28" t="n">
        <x:f>SUM(M288:N288)</x:f>
        <x:v>0.49734999999999996</x:v>
      </x:c>
    </x:row>
    <x:row r="289" ht="23" customHeight="1">
      <x:c r="A289" s="17" t="str">
        <x:v>U00283</x:v>
      </x:c>
      <x:c r="B289" s="18" t="n">
        <x:v>46279</x:v>
      </x:c>
      <x:c r="C289" s="17" t="str">
        <x:v>W0035</x:v>
      </x:c>
      <x:c r="D289" s="17" t="str">
        <x:v>C001</x:v>
      </x:c>
      <x:c r="E289" s="17" t="str">
        <x:v>CampaignChat</x:v>
      </x:c>
      <x:c r="F289" s="17" t="str">
        <x:v>Lite</x:v>
      </x:c>
      <x:c r="G289" s="17" t="n">
        <x:v>36653</x:v>
      </x:c>
      <x:c r="H289" s="17" t="n">
        <x:v>5318</x:v>
      </x:c>
      <x:c r="I289" s="17" t="str">
        <x:v>Followup</x:v>
      </x:c>
      <x:c r="J289" s="27" t="n">
        <x:f>INDEX('Model Pricing'!$B$7:$B$8,MATCH(F289,'Model Pricing'!$A$7:$A$8,0))</x:f>
        <x:v>10</x:v>
      </x:c>
      <x:c r="K289" s="27" t="n">
        <x:f>INDEX('Model Pricing'!$C$7:$C$8,MATCH(F289,'Model Pricing'!$A$7:$A$8,0))</x:f>
        <x:v>30</x:v>
      </x:c>
      <x:c r="L289" s="17" t="n">
        <x:f>G289+H289</x:f>
        <x:v>41971</x:v>
      </x:c>
      <x:c r="M289" s="28" t="n">
        <x:f>G289*J289/1000000</x:f>
        <x:v>0.36653</x:v>
      </x:c>
      <x:c r="N289" s="28" t="n">
        <x:f>H289*K289/1000000</x:f>
        <x:v>0.15954</x:v>
      </x:c>
      <x:c r="O289" s="28" t="n">
        <x:f>SUM(M289:N289)</x:f>
        <x:v>0.52607</x:v>
      </x:c>
    </x:row>
    <x:row r="290" ht="23" customHeight="1">
      <x:c r="A290" s="17" t="str">
        <x:v>U00284</x:v>
      </x:c>
      <x:c r="B290" s="18" t="n">
        <x:v>46280</x:v>
      </x:c>
      <x:c r="C290" s="17" t="str">
        <x:v>W0035</x:v>
      </x:c>
      <x:c r="D290" s="17" t="str">
        <x:v>C001</x:v>
      </x:c>
      <x:c r="E290" s="17" t="str">
        <x:v>CampaignChat</x:v>
      </x:c>
      <x:c r="F290" s="17" t="str">
        <x:v>Lite</x:v>
      </x:c>
      <x:c r="G290" s="17" t="n">
        <x:v>23613</x:v>
      </x:c>
      <x:c r="H290" s="17" t="n">
        <x:v>7036</x:v>
      </x:c>
      <x:c r="I290" s="17" t="str">
        <x:v>Followup</x:v>
      </x:c>
      <x:c r="J290" s="27" t="n">
        <x:f>INDEX('Model Pricing'!$B$7:$B$8,MATCH(F290,'Model Pricing'!$A$7:$A$8,0))</x:f>
        <x:v>10</x:v>
      </x:c>
      <x:c r="K290" s="27" t="n">
        <x:f>INDEX('Model Pricing'!$C$7:$C$8,MATCH(F290,'Model Pricing'!$A$7:$A$8,0))</x:f>
        <x:v>30</x:v>
      </x:c>
      <x:c r="L290" s="17" t="n">
        <x:f>G290+H290</x:f>
        <x:v>30649</x:v>
      </x:c>
      <x:c r="M290" s="28" t="n">
        <x:f>G290*J290/1000000</x:f>
        <x:v>0.23613</x:v>
      </x:c>
      <x:c r="N290" s="28" t="n">
        <x:f>H290*K290/1000000</x:f>
        <x:v>0.21108</x:v>
      </x:c>
      <x:c r="O290" s="28" t="n">
        <x:f>SUM(M290:N290)</x:f>
        <x:v>0.44721</x:v>
      </x:c>
    </x:row>
    <x:row r="291" ht="23" customHeight="1">
      <x:c r="A291" s="17" t="str">
        <x:v>U00285</x:v>
      </x:c>
      <x:c r="B291" s="18" t="n">
        <x:v>46280</x:v>
      </x:c>
      <x:c r="C291" s="17" t="str">
        <x:v>W0035</x:v>
      </x:c>
      <x:c r="D291" s="17" t="str">
        <x:v>C001</x:v>
      </x:c>
      <x:c r="E291" s="17" t="str">
        <x:v>CampaignChat</x:v>
      </x:c>
      <x:c r="F291" s="17" t="str">
        <x:v>Lite</x:v>
      </x:c>
      <x:c r="G291" s="17" t="n">
        <x:v>15601</x:v>
      </x:c>
      <x:c r="H291" s="17" t="n">
        <x:v>3504</x:v>
      </x:c>
      <x:c r="I291" s="17" t="str">
        <x:v>Followup</x:v>
      </x:c>
      <x:c r="J291" s="27" t="n">
        <x:f>INDEX('Model Pricing'!$B$7:$B$8,MATCH(F291,'Model Pricing'!$A$7:$A$8,0))</x:f>
        <x:v>10</x:v>
      </x:c>
      <x:c r="K291" s="27" t="n">
        <x:f>INDEX('Model Pricing'!$C$7:$C$8,MATCH(F291,'Model Pricing'!$A$7:$A$8,0))</x:f>
        <x:v>30</x:v>
      </x:c>
      <x:c r="L291" s="17" t="n">
        <x:f>G291+H291</x:f>
        <x:v>19105</x:v>
      </x:c>
      <x:c r="M291" s="28" t="n">
        <x:f>G291*J291/1000000</x:f>
        <x:v>0.15601</x:v>
      </x:c>
      <x:c r="N291" s="28" t="n">
        <x:f>H291*K291/1000000</x:f>
        <x:v>0.10512</x:v>
      </x:c>
      <x:c r="O291" s="28" t="n">
        <x:f>SUM(M291:N291)</x:f>
        <x:v>0.26113000000000003</x:v>
      </x:c>
    </x:row>
    <x:row r="292" ht="23" customHeight="1">
      <x:c r="A292" s="17" t="str">
        <x:v>U00286</x:v>
      </x:c>
      <x:c r="B292" s="18" t="n">
        <x:v>46281</x:v>
      </x:c>
      <x:c r="C292" s="17" t="str">
        <x:v>W0035</x:v>
      </x:c>
      <x:c r="D292" s="17" t="str">
        <x:v>C001</x:v>
      </x:c>
      <x:c r="E292" s="17" t="str">
        <x:v>CampaignChat</x:v>
      </x:c>
      <x:c r="F292" s="17" t="str">
        <x:v>Lite</x:v>
      </x:c>
      <x:c r="G292" s="17" t="n">
        <x:v>42568</x:v>
      </x:c>
      <x:c r="H292" s="17" t="n">
        <x:v>4364</x:v>
      </x:c>
      <x:c r="I292" s="17" t="str">
        <x:v>Followup</x:v>
      </x:c>
      <x:c r="J292" s="27" t="n">
        <x:f>INDEX('Model Pricing'!$B$7:$B$8,MATCH(F292,'Model Pricing'!$A$7:$A$8,0))</x:f>
        <x:v>10</x:v>
      </x:c>
      <x:c r="K292" s="27" t="n">
        <x:f>INDEX('Model Pricing'!$C$7:$C$8,MATCH(F292,'Model Pricing'!$A$7:$A$8,0))</x:f>
        <x:v>30</x:v>
      </x:c>
      <x:c r="L292" s="17" t="n">
        <x:f>G292+H292</x:f>
        <x:v>46932</x:v>
      </x:c>
      <x:c r="M292" s="28" t="n">
        <x:f>G292*J292/1000000</x:f>
        <x:v>0.42568</x:v>
      </x:c>
      <x:c r="N292" s="28" t="n">
        <x:f>H292*K292/1000000</x:f>
        <x:v>0.13092</x:v>
      </x:c>
      <x:c r="O292" s="28" t="n">
        <x:f>SUM(M292:N292)</x:f>
        <x:v>0.5566</x:v>
      </x:c>
    </x:row>
    <x:row r="293" ht="23" customHeight="1">
      <x:c r="A293" s="17" t="str">
        <x:v>U00287</x:v>
      </x:c>
      <x:c r="B293" s="18" t="n">
        <x:v>46287</x:v>
      </x:c>
      <x:c r="C293" s="17" t="str">
        <x:v>W0036</x:v>
      </x:c>
      <x:c r="D293" s="17" t="str">
        <x:v>C001</x:v>
      </x:c>
      <x:c r="E293" s="17" t="str">
        <x:v>CampaignChat</x:v>
      </x:c>
      <x:c r="F293" s="17" t="str">
        <x:v>Lite</x:v>
      </x:c>
      <x:c r="G293" s="17" t="n">
        <x:v>49577</x:v>
      </x:c>
      <x:c r="H293" s="17" t="n">
        <x:v>14960</x:v>
      </x:c>
      <x:c r="I293" s="17" t="str">
        <x:v>First attempt</x:v>
      </x:c>
      <x:c r="J293" s="27" t="n">
        <x:f>INDEX('Model Pricing'!$B$7:$B$8,MATCH(F293,'Model Pricing'!$A$7:$A$8,0))</x:f>
        <x:v>10</x:v>
      </x:c>
      <x:c r="K293" s="27" t="n">
        <x:f>INDEX('Model Pricing'!$C$7:$C$8,MATCH(F293,'Model Pricing'!$A$7:$A$8,0))</x:f>
        <x:v>30</x:v>
      </x:c>
      <x:c r="L293" s="17" t="n">
        <x:f>G293+H293</x:f>
        <x:v>64537</x:v>
      </x:c>
      <x:c r="M293" s="28" t="n">
        <x:f>G293*J293/1000000</x:f>
        <x:v>0.49577</x:v>
      </x:c>
      <x:c r="N293" s="28" t="n">
        <x:f>H293*K293/1000000</x:f>
        <x:v>0.4488</x:v>
      </x:c>
      <x:c r="O293" s="28" t="n">
        <x:f>SUM(M293:N293)</x:f>
        <x:v>0.9445699999999999</x:v>
      </x:c>
    </x:row>
    <x:row r="294" ht="23" customHeight="1">
      <x:c r="A294" s="17" t="str">
        <x:v>U00288</x:v>
      </x:c>
      <x:c r="B294" s="18" t="n">
        <x:v>46287</x:v>
      </x:c>
      <x:c r="C294" s="17" t="str">
        <x:v>W0036</x:v>
      </x:c>
      <x:c r="D294" s="17" t="str">
        <x:v>C001</x:v>
      </x:c>
      <x:c r="E294" s="17" t="str">
        <x:v>CampaignChat</x:v>
      </x:c>
      <x:c r="F294" s="17" t="str">
        <x:v>Lite</x:v>
      </x:c>
      <x:c r="G294" s="17" t="n">
        <x:v>44712</x:v>
      </x:c>
      <x:c r="H294" s="17" t="n">
        <x:v>8366</x:v>
      </x:c>
      <x:c r="I294" s="17" t="str">
        <x:v>Followup</x:v>
      </x:c>
      <x:c r="J294" s="27" t="n">
        <x:f>INDEX('Model Pricing'!$B$7:$B$8,MATCH(F294,'Model Pricing'!$A$7:$A$8,0))</x:f>
        <x:v>10</x:v>
      </x:c>
      <x:c r="K294" s="27" t="n">
        <x:f>INDEX('Model Pricing'!$C$7:$C$8,MATCH(F294,'Model Pricing'!$A$7:$A$8,0))</x:f>
        <x:v>30</x:v>
      </x:c>
      <x:c r="L294" s="17" t="n">
        <x:f>G294+H294</x:f>
        <x:v>53078</x:v>
      </x:c>
      <x:c r="M294" s="28" t="n">
        <x:f>G294*J294/1000000</x:f>
        <x:v>0.44712</x:v>
      </x:c>
      <x:c r="N294" s="28" t="n">
        <x:f>H294*K294/1000000</x:f>
        <x:v>0.25098</x:v>
      </x:c>
      <x:c r="O294" s="28" t="n">
        <x:f>SUM(M294:N294)</x:f>
        <x:v>0.6980999999999999</x:v>
      </x:c>
    </x:row>
    <x:row r="295" ht="23" customHeight="1">
      <x:c r="A295" s="17" t="str">
        <x:v>U00289</x:v>
      </x:c>
      <x:c r="B295" s="18" t="n">
        <x:v>46287</x:v>
      </x:c>
      <x:c r="C295" s="17" t="str">
        <x:v>W0036</x:v>
      </x:c>
      <x:c r="D295" s="17" t="str">
        <x:v>C001</x:v>
      </x:c>
      <x:c r="E295" s="17" t="str">
        <x:v>CampaignChat</x:v>
      </x:c>
      <x:c r="F295" s="17" t="str">
        <x:v>Lite</x:v>
      </x:c>
      <x:c r="G295" s="17" t="n">
        <x:v>55725</x:v>
      </x:c>
      <x:c r="H295" s="17" t="n">
        <x:v>9801</x:v>
      </x:c>
      <x:c r="I295" s="17" t="str">
        <x:v>Followup</x:v>
      </x:c>
      <x:c r="J295" s="27" t="n">
        <x:f>INDEX('Model Pricing'!$B$7:$B$8,MATCH(F295,'Model Pricing'!$A$7:$A$8,0))</x:f>
        <x:v>10</x:v>
      </x:c>
      <x:c r="K295" s="27" t="n">
        <x:f>INDEX('Model Pricing'!$C$7:$C$8,MATCH(F295,'Model Pricing'!$A$7:$A$8,0))</x:f>
        <x:v>30</x:v>
      </x:c>
      <x:c r="L295" s="17" t="n">
        <x:f>G295+H295</x:f>
        <x:v>65526</x:v>
      </x:c>
      <x:c r="M295" s="28" t="n">
        <x:f>G295*J295/1000000</x:f>
        <x:v>0.55725</x:v>
      </x:c>
      <x:c r="N295" s="28" t="n">
        <x:f>H295*K295/1000000</x:f>
        <x:v>0.29403</x:v>
      </x:c>
      <x:c r="O295" s="28" t="n">
        <x:f>SUM(M295:N295)</x:f>
        <x:v>0.85128</x:v>
      </x:c>
    </x:row>
    <x:row r="296" ht="23" customHeight="1">
      <x:c r="A296" s="17" t="str">
        <x:v>U00290</x:v>
      </x:c>
      <x:c r="B296" s="18" t="n">
        <x:v>46288</x:v>
      </x:c>
      <x:c r="C296" s="17" t="str">
        <x:v>W0036</x:v>
      </x:c>
      <x:c r="D296" s="17" t="str">
        <x:v>C001</x:v>
      </x:c>
      <x:c r="E296" s="17" t="str">
        <x:v>CampaignChat</x:v>
      </x:c>
      <x:c r="F296" s="17" t="str">
        <x:v>Lite</x:v>
      </x:c>
      <x:c r="G296" s="17" t="n">
        <x:v>46105</x:v>
      </x:c>
      <x:c r="H296" s="17" t="n">
        <x:v>6552</x:v>
      </x:c>
      <x:c r="I296" s="17" t="str">
        <x:v>Correction</x:v>
      </x:c>
      <x:c r="J296" s="27" t="n">
        <x:f>INDEX('Model Pricing'!$B$7:$B$8,MATCH(F296,'Model Pricing'!$A$7:$A$8,0))</x:f>
        <x:v>10</x:v>
      </x:c>
      <x:c r="K296" s="27" t="n">
        <x:f>INDEX('Model Pricing'!$C$7:$C$8,MATCH(F296,'Model Pricing'!$A$7:$A$8,0))</x:f>
        <x:v>30</x:v>
      </x:c>
      <x:c r="L296" s="17" t="n">
        <x:f>G296+H296</x:f>
        <x:v>52657</x:v>
      </x:c>
      <x:c r="M296" s="28" t="n">
        <x:f>G296*J296/1000000</x:f>
        <x:v>0.46105</x:v>
      </x:c>
      <x:c r="N296" s="28" t="n">
        <x:f>H296*K296/1000000</x:f>
        <x:v>0.19656</x:v>
      </x:c>
      <x:c r="O296" s="28" t="n">
        <x:f>SUM(M296:N296)</x:f>
        <x:v>0.65761</x:v>
      </x:c>
    </x:row>
    <x:row r="297" ht="23" customHeight="1">
      <x:c r="A297" s="17" t="str">
        <x:v>U00291</x:v>
      </x:c>
      <x:c r="B297" s="18" t="n">
        <x:v>46288</x:v>
      </x:c>
      <x:c r="C297" s="17" t="str">
        <x:v>W0036</x:v>
      </x:c>
      <x:c r="D297" s="17" t="str">
        <x:v>C001</x:v>
      </x:c>
      <x:c r="E297" s="17" t="str">
        <x:v>CampaignChat</x:v>
      </x:c>
      <x:c r="F297" s="17" t="str">
        <x:v>Lite</x:v>
      </x:c>
      <x:c r="G297" s="17" t="n">
        <x:v>43759</x:v>
      </x:c>
      <x:c r="H297" s="17" t="n">
        <x:v>7832</x:v>
      </x:c>
      <x:c r="I297" s="17" t="str">
        <x:v>Correction</x:v>
      </x:c>
      <x:c r="J297" s="27" t="n">
        <x:f>INDEX('Model Pricing'!$B$7:$B$8,MATCH(F297,'Model Pricing'!$A$7:$A$8,0))</x:f>
        <x:v>10</x:v>
      </x:c>
      <x:c r="K297" s="27" t="n">
        <x:f>INDEX('Model Pricing'!$C$7:$C$8,MATCH(F297,'Model Pricing'!$A$7:$A$8,0))</x:f>
        <x:v>30</x:v>
      </x:c>
      <x:c r="L297" s="17" t="n">
        <x:f>G297+H297</x:f>
        <x:v>51591</x:v>
      </x:c>
      <x:c r="M297" s="28" t="n">
        <x:f>G297*J297/1000000</x:f>
        <x:v>0.43759</x:v>
      </x:c>
      <x:c r="N297" s="28" t="n">
        <x:f>H297*K297/1000000</x:f>
        <x:v>0.23496</x:v>
      </x:c>
      <x:c r="O297" s="28" t="n">
        <x:f>SUM(M297:N297)</x:f>
        <x:v>0.67255</x:v>
      </x:c>
    </x:row>
    <x:row r="298" ht="23" customHeight="1">
      <x:c r="A298" s="17" t="str">
        <x:v>U00292</x:v>
      </x:c>
      <x:c r="B298" s="18" t="n">
        <x:v>46288</x:v>
      </x:c>
      <x:c r="C298" s="17" t="str">
        <x:v>W0036</x:v>
      </x:c>
      <x:c r="D298" s="17" t="str">
        <x:v>C001</x:v>
      </x:c>
      <x:c r="E298" s="17" t="str">
        <x:v>CampaignChat</x:v>
      </x:c>
      <x:c r="F298" s="17" t="str">
        <x:v>Lite</x:v>
      </x:c>
      <x:c r="G298" s="17" t="n">
        <x:v>59318</x:v>
      </x:c>
      <x:c r="H298" s="17" t="n">
        <x:v>6881</x:v>
      </x:c>
      <x:c r="I298" s="17" t="str">
        <x:v>Followup</x:v>
      </x:c>
      <x:c r="J298" s="27" t="n">
        <x:f>INDEX('Model Pricing'!$B$7:$B$8,MATCH(F298,'Model Pricing'!$A$7:$A$8,0))</x:f>
        <x:v>10</x:v>
      </x:c>
      <x:c r="K298" s="27" t="n">
        <x:f>INDEX('Model Pricing'!$C$7:$C$8,MATCH(F298,'Model Pricing'!$A$7:$A$8,0))</x:f>
        <x:v>30</x:v>
      </x:c>
      <x:c r="L298" s="17" t="n">
        <x:f>G298+H298</x:f>
        <x:v>66199</x:v>
      </x:c>
      <x:c r="M298" s="28" t="n">
        <x:f>G298*J298/1000000</x:f>
        <x:v>0.59318</x:v>
      </x:c>
      <x:c r="N298" s="28" t="n">
        <x:f>H298*K298/1000000</x:f>
        <x:v>0.20643</x:v>
      </x:c>
      <x:c r="O298" s="28" t="n">
        <x:f>SUM(M298:N298)</x:f>
        <x:v>0.79961</x:v>
      </x:c>
    </x:row>
    <x:row r="299" ht="23" customHeight="1">
      <x:c r="A299" s="17" t="str">
        <x:v>U00293</x:v>
      </x:c>
      <x:c r="B299" s="18" t="n">
        <x:v>46289</x:v>
      </x:c>
      <x:c r="C299" s="17" t="str">
        <x:v>W0036</x:v>
      </x:c>
      <x:c r="D299" s="17" t="str">
        <x:v>C001</x:v>
      </x:c>
      <x:c r="E299" s="17" t="str">
        <x:v>CampaignChat</x:v>
      </x:c>
      <x:c r="F299" s="17" t="str">
        <x:v>Lite</x:v>
      </x:c>
      <x:c r="G299" s="17" t="n">
        <x:v>50074</x:v>
      </x:c>
      <x:c r="H299" s="17" t="n">
        <x:v>6136</x:v>
      </x:c>
      <x:c r="I299" s="17" t="str">
        <x:v>Followup</x:v>
      </x:c>
      <x:c r="J299" s="27" t="n">
        <x:f>INDEX('Model Pricing'!$B$7:$B$8,MATCH(F299,'Model Pricing'!$A$7:$A$8,0))</x:f>
        <x:v>10</x:v>
      </x:c>
      <x:c r="K299" s="27" t="n">
        <x:f>INDEX('Model Pricing'!$C$7:$C$8,MATCH(F299,'Model Pricing'!$A$7:$A$8,0))</x:f>
        <x:v>30</x:v>
      </x:c>
      <x:c r="L299" s="17" t="n">
        <x:f>G299+H299</x:f>
        <x:v>56210</x:v>
      </x:c>
      <x:c r="M299" s="28" t="n">
        <x:f>G299*J299/1000000</x:f>
        <x:v>0.50074</x:v>
      </x:c>
      <x:c r="N299" s="28" t="n">
        <x:f>H299*K299/1000000</x:f>
        <x:v>0.18408</x:v>
      </x:c>
      <x:c r="O299" s="28" t="n">
        <x:f>SUM(M299:N299)</x:f>
        <x:v>0.68482</x:v>
      </x:c>
    </x:row>
    <x:row r="300" ht="23" customHeight="1">
      <x:c r="A300" s="17" t="str">
        <x:v>U00294</x:v>
      </x:c>
      <x:c r="B300" s="18" t="n">
        <x:v>46289</x:v>
      </x:c>
      <x:c r="C300" s="17" t="str">
        <x:v>W0036</x:v>
      </x:c>
      <x:c r="D300" s="17" t="str">
        <x:v>C001</x:v>
      </x:c>
      <x:c r="E300" s="17" t="str">
        <x:v>CampaignChat</x:v>
      </x:c>
      <x:c r="F300" s="17" t="str">
        <x:v>Lite</x:v>
      </x:c>
      <x:c r="G300" s="17" t="n">
        <x:v>54027</x:v>
      </x:c>
      <x:c r="H300" s="17" t="n">
        <x:v>4620</x:v>
      </x:c>
      <x:c r="I300" s="17" t="str">
        <x:v>Followup</x:v>
      </x:c>
      <x:c r="J300" s="27" t="n">
        <x:f>INDEX('Model Pricing'!$B$7:$B$8,MATCH(F300,'Model Pricing'!$A$7:$A$8,0))</x:f>
        <x:v>10</x:v>
      </x:c>
      <x:c r="K300" s="27" t="n">
        <x:f>INDEX('Model Pricing'!$C$7:$C$8,MATCH(F300,'Model Pricing'!$A$7:$A$8,0))</x:f>
        <x:v>30</x:v>
      </x:c>
      <x:c r="L300" s="17" t="n">
        <x:f>G300+H300</x:f>
        <x:v>58647</x:v>
      </x:c>
      <x:c r="M300" s="28" t="n">
        <x:f>G300*J300/1000000</x:f>
        <x:v>0.54027</x:v>
      </x:c>
      <x:c r="N300" s="28" t="n">
        <x:f>H300*K300/1000000</x:f>
        <x:v>0.1386</x:v>
      </x:c>
      <x:c r="O300" s="28" t="n">
        <x:f>SUM(M300:N300)</x:f>
        <x:v>0.6788700000000001</x:v>
      </x:c>
    </x:row>
    <x:row r="301" ht="23" customHeight="1">
      <x:c r="A301" s="17" t="str">
        <x:v>U00295</x:v>
      </x:c>
      <x:c r="B301" s="18" t="n">
        <x:v>46289</x:v>
      </x:c>
      <x:c r="C301" s="17" t="str">
        <x:v>W0036</x:v>
      </x:c>
      <x:c r="D301" s="17" t="str">
        <x:v>C001</x:v>
      </x:c>
      <x:c r="E301" s="17" t="str">
        <x:v>CampaignChat</x:v>
      </x:c>
      <x:c r="F301" s="17" t="str">
        <x:v>Lite</x:v>
      </x:c>
      <x:c r="G301" s="17" t="n">
        <x:v>64360</x:v>
      </x:c>
      <x:c r="H301" s="17" t="n">
        <x:v>10050</x:v>
      </x:c>
      <x:c r="I301" s="17" t="str">
        <x:v>Followup</x:v>
      </x:c>
      <x:c r="J301" s="27" t="n">
        <x:f>INDEX('Model Pricing'!$B$7:$B$8,MATCH(F301,'Model Pricing'!$A$7:$A$8,0))</x:f>
        <x:v>10</x:v>
      </x:c>
      <x:c r="K301" s="27" t="n">
        <x:f>INDEX('Model Pricing'!$C$7:$C$8,MATCH(F301,'Model Pricing'!$A$7:$A$8,0))</x:f>
        <x:v>30</x:v>
      </x:c>
      <x:c r="L301" s="17" t="n">
        <x:f>G301+H301</x:f>
        <x:v>74410</x:v>
      </x:c>
      <x:c r="M301" s="28" t="n">
        <x:f>G301*J301/1000000</x:f>
        <x:v>0.6436</x:v>
      </x:c>
      <x:c r="N301" s="28" t="n">
        <x:f>H301*K301/1000000</x:f>
        <x:v>0.3015</x:v>
      </x:c>
      <x:c r="O301" s="28" t="n">
        <x:f>SUM(M301:N301)</x:f>
        <x:v>0.9450999999999999</x:v>
      </x:c>
    </x:row>
    <x:row r="302" ht="23" customHeight="1">
      <x:c r="A302" s="17" t="str">
        <x:v>U00296</x:v>
      </x:c>
      <x:c r="B302" s="18" t="n">
        <x:v>46290</x:v>
      </x:c>
      <x:c r="C302" s="17" t="str">
        <x:v>W0036</x:v>
      </x:c>
      <x:c r="D302" s="17" t="str">
        <x:v>C001</x:v>
      </x:c>
      <x:c r="E302" s="17" t="str">
        <x:v>CampaignChat</x:v>
      </x:c>
      <x:c r="F302" s="17" t="str">
        <x:v>Lite</x:v>
      </x:c>
      <x:c r="G302" s="17" t="n">
        <x:v>46758</x:v>
      </x:c>
      <x:c r="H302" s="17" t="n">
        <x:v>12448</x:v>
      </x:c>
      <x:c r="I302" s="17" t="str">
        <x:v>Followup</x:v>
      </x:c>
      <x:c r="J302" s="27" t="n">
        <x:f>INDEX('Model Pricing'!$B$7:$B$8,MATCH(F302,'Model Pricing'!$A$7:$A$8,0))</x:f>
        <x:v>10</x:v>
      </x:c>
      <x:c r="K302" s="27" t="n">
        <x:f>INDEX('Model Pricing'!$C$7:$C$8,MATCH(F302,'Model Pricing'!$A$7:$A$8,0))</x:f>
        <x:v>30</x:v>
      </x:c>
      <x:c r="L302" s="17" t="n">
        <x:f>G302+H302</x:f>
        <x:v>59206</x:v>
      </x:c>
      <x:c r="M302" s="28" t="n">
        <x:f>G302*J302/1000000</x:f>
        <x:v>0.46758</x:v>
      </x:c>
      <x:c r="N302" s="28" t="n">
        <x:f>H302*K302/1000000</x:f>
        <x:v>0.37344</x:v>
      </x:c>
      <x:c r="O302" s="28" t="n">
        <x:f>SUM(M302:N302)</x:f>
        <x:v>0.84102</x:v>
      </x:c>
    </x:row>
    <x:row r="303" ht="23" customHeight="1">
      <x:c r="A303" s="17" t="str">
        <x:v>U00297</x:v>
      </x:c>
      <x:c r="B303" s="18" t="n">
        <x:v>46290</x:v>
      </x:c>
      <x:c r="C303" s="17" t="str">
        <x:v>W0036</x:v>
      </x:c>
      <x:c r="D303" s="17" t="str">
        <x:v>C001</x:v>
      </x:c>
      <x:c r="E303" s="17" t="str">
        <x:v>CampaignChat</x:v>
      </x:c>
      <x:c r="F303" s="17" t="str">
        <x:v>Lite</x:v>
      </x:c>
      <x:c r="G303" s="17" t="n">
        <x:v>45046</x:v>
      </x:c>
      <x:c r="H303" s="17" t="n">
        <x:v>7101</x:v>
      </x:c>
      <x:c r="I303" s="17" t="str">
        <x:v>Followup</x:v>
      </x:c>
      <x:c r="J303" s="27" t="n">
        <x:f>INDEX('Model Pricing'!$B$7:$B$8,MATCH(F303,'Model Pricing'!$A$7:$A$8,0))</x:f>
        <x:v>10</x:v>
      </x:c>
      <x:c r="K303" s="27" t="n">
        <x:f>INDEX('Model Pricing'!$C$7:$C$8,MATCH(F303,'Model Pricing'!$A$7:$A$8,0))</x:f>
        <x:v>30</x:v>
      </x:c>
      <x:c r="L303" s="17" t="n">
        <x:f>G303+H303</x:f>
        <x:v>52147</x:v>
      </x:c>
      <x:c r="M303" s="28" t="n">
        <x:f>G303*J303/1000000</x:f>
        <x:v>0.45046</x:v>
      </x:c>
      <x:c r="N303" s="28" t="n">
        <x:f>H303*K303/1000000</x:f>
        <x:v>0.21303</x:v>
      </x:c>
      <x:c r="O303" s="28" t="n">
        <x:f>SUM(M303:N303)</x:f>
        <x:v>0.66349</x:v>
      </x:c>
    </x:row>
    <x:row r="304" ht="23" customHeight="1">
      <x:c r="A304" s="17" t="str">
        <x:v>U00298</x:v>
      </x:c>
      <x:c r="B304" s="18" t="n">
        <x:v>46269</x:v>
      </x:c>
      <x:c r="C304" s="17" t="str">
        <x:v>W0037</x:v>
      </x:c>
      <x:c r="D304" s="17" t="str">
        <x:v>C001</x:v>
      </x:c>
      <x:c r="E304" s="17" t="str">
        <x:v>DataFlow</x:v>
      </x:c>
      <x:c r="F304" s="17" t="str">
        <x:v>Lite</x:v>
      </x:c>
      <x:c r="G304" s="17" t="n">
        <x:v>50114</x:v>
      </x:c>
      <x:c r="H304" s="17" t="n">
        <x:v>11055</x:v>
      </x:c>
      <x:c r="I304" s="17" t="str">
        <x:v>First attempt</x:v>
      </x:c>
      <x:c r="J304" s="27" t="n">
        <x:f>INDEX('Model Pricing'!$B$7:$B$8,MATCH(F304,'Model Pricing'!$A$7:$A$8,0))</x:f>
        <x:v>10</x:v>
      </x:c>
      <x:c r="K304" s="27" t="n">
        <x:f>INDEX('Model Pricing'!$C$7:$C$8,MATCH(F304,'Model Pricing'!$A$7:$A$8,0))</x:f>
        <x:v>30</x:v>
      </x:c>
      <x:c r="L304" s="17" t="n">
        <x:f>G304+H304</x:f>
        <x:v>61169</x:v>
      </x:c>
      <x:c r="M304" s="28" t="n">
        <x:f>G304*J304/1000000</x:f>
        <x:v>0.50114</x:v>
      </x:c>
      <x:c r="N304" s="28" t="n">
        <x:f>H304*K304/1000000</x:f>
        <x:v>0.33165</x:v>
      </x:c>
      <x:c r="O304" s="28" t="n">
        <x:f>SUM(M304:N304)</x:f>
        <x:v>0.83279</x:v>
      </x:c>
    </x:row>
    <x:row r="305" ht="23" customHeight="1">
      <x:c r="A305" s="17" t="str">
        <x:v>U00299</x:v>
      </x:c>
      <x:c r="B305" s="18" t="n">
        <x:v>46269</x:v>
      </x:c>
      <x:c r="C305" s="17" t="str">
        <x:v>W0037</x:v>
      </x:c>
      <x:c r="D305" s="17" t="str">
        <x:v>C001</x:v>
      </x:c>
      <x:c r="E305" s="17" t="str">
        <x:v>DataFlow</x:v>
      </x:c>
      <x:c r="F305" s="17" t="str">
        <x:v>Lite</x:v>
      </x:c>
      <x:c r="G305" s="17" t="n">
        <x:v>44239</x:v>
      </x:c>
      <x:c r="H305" s="17" t="n">
        <x:v>10252</x:v>
      </x:c>
      <x:c r="I305" s="17" t="str">
        <x:v>Followup</x:v>
      </x:c>
      <x:c r="J305" s="27" t="n">
        <x:f>INDEX('Model Pricing'!$B$7:$B$8,MATCH(F305,'Model Pricing'!$A$7:$A$8,0))</x:f>
        <x:v>10</x:v>
      </x:c>
      <x:c r="K305" s="27" t="n">
        <x:f>INDEX('Model Pricing'!$C$7:$C$8,MATCH(F305,'Model Pricing'!$A$7:$A$8,0))</x:f>
        <x:v>30</x:v>
      </x:c>
      <x:c r="L305" s="17" t="n">
        <x:f>G305+H305</x:f>
        <x:v>54491</x:v>
      </x:c>
      <x:c r="M305" s="28" t="n">
        <x:f>G305*J305/1000000</x:f>
        <x:v>0.44239</x:v>
      </x:c>
      <x:c r="N305" s="28" t="n">
        <x:f>H305*K305/1000000</x:f>
        <x:v>0.30756</x:v>
      </x:c>
      <x:c r="O305" s="28" t="n">
        <x:f>SUM(M305:N305)</x:f>
        <x:v>0.74995</x:v>
      </x:c>
    </x:row>
    <x:row r="306" ht="23" customHeight="1">
      <x:c r="A306" s="17" t="str">
        <x:v>U00300</x:v>
      </x:c>
      <x:c r="B306" s="18" t="n">
        <x:v>46269</x:v>
      </x:c>
      <x:c r="C306" s="17" t="str">
        <x:v>W0037</x:v>
      </x:c>
      <x:c r="D306" s="17" t="str">
        <x:v>C001</x:v>
      </x:c>
      <x:c r="E306" s="17" t="str">
        <x:v>DataFlow</x:v>
      </x:c>
      <x:c r="F306" s="17" t="str">
        <x:v>Lite</x:v>
      </x:c>
      <x:c r="G306" s="17" t="n">
        <x:v>41883</x:v>
      </x:c>
      <x:c r="H306" s="17" t="n">
        <x:v>10403</x:v>
      </x:c>
      <x:c r="I306" s="17" t="str">
        <x:v>Followup</x:v>
      </x:c>
      <x:c r="J306" s="27" t="n">
        <x:f>INDEX('Model Pricing'!$B$7:$B$8,MATCH(F306,'Model Pricing'!$A$7:$A$8,0))</x:f>
        <x:v>10</x:v>
      </x:c>
      <x:c r="K306" s="27" t="n">
        <x:f>INDEX('Model Pricing'!$C$7:$C$8,MATCH(F306,'Model Pricing'!$A$7:$A$8,0))</x:f>
        <x:v>30</x:v>
      </x:c>
      <x:c r="L306" s="17" t="n">
        <x:f>G306+H306</x:f>
        <x:v>52286</x:v>
      </x:c>
      <x:c r="M306" s="28" t="n">
        <x:f>G306*J306/1000000</x:f>
        <x:v>0.41883</x:v>
      </x:c>
      <x:c r="N306" s="28" t="n">
        <x:f>H306*K306/1000000</x:f>
        <x:v>0.31209</x:v>
      </x:c>
      <x:c r="O306" s="28" t="n">
        <x:f>SUM(M306:N306)</x:f>
        <x:v>0.73092</x:v>
      </x:c>
    </x:row>
    <x:row r="307" ht="23" customHeight="1">
      <x:c r="A307" s="17" t="str">
        <x:v>U00301</x:v>
      </x:c>
      <x:c r="B307" s="18" t="n">
        <x:v>46273</x:v>
      </x:c>
      <x:c r="C307" s="17" t="str">
        <x:v>W0037</x:v>
      </x:c>
      <x:c r="D307" s="17" t="str">
        <x:v>C001</x:v>
      </x:c>
      <x:c r="E307" s="17" t="str">
        <x:v>DataFlow</x:v>
      </x:c>
      <x:c r="F307" s="17" t="str">
        <x:v>Lite</x:v>
      </x:c>
      <x:c r="G307" s="17" t="n">
        <x:v>52385</x:v>
      </x:c>
      <x:c r="H307" s="17" t="n">
        <x:v>14458</x:v>
      </x:c>
      <x:c r="I307" s="17" t="str">
        <x:v>Followup</x:v>
      </x:c>
      <x:c r="J307" s="27" t="n">
        <x:f>INDEX('Model Pricing'!$B$7:$B$8,MATCH(F307,'Model Pricing'!$A$7:$A$8,0))</x:f>
        <x:v>10</x:v>
      </x:c>
      <x:c r="K307" s="27" t="n">
        <x:f>INDEX('Model Pricing'!$C$7:$C$8,MATCH(F307,'Model Pricing'!$A$7:$A$8,0))</x:f>
        <x:v>30</x:v>
      </x:c>
      <x:c r="L307" s="17" t="n">
        <x:f>G307+H307</x:f>
        <x:v>66843</x:v>
      </x:c>
      <x:c r="M307" s="28" t="n">
        <x:f>G307*J307/1000000</x:f>
        <x:v>0.52385</x:v>
      </x:c>
      <x:c r="N307" s="28" t="n">
        <x:f>H307*K307/1000000</x:f>
        <x:v>0.43374</x:v>
      </x:c>
      <x:c r="O307" s="28" t="n">
        <x:f>SUM(M307:N307)</x:f>
        <x:v>0.95759</x:v>
      </x:c>
    </x:row>
    <x:row r="308" ht="23" customHeight="1">
      <x:c r="A308" s="17" t="str">
        <x:v>U00302</x:v>
      </x:c>
      <x:c r="B308" s="18" t="n">
        <x:v>46273</x:v>
      </x:c>
      <x:c r="C308" s="17" t="str">
        <x:v>W0037</x:v>
      </x:c>
      <x:c r="D308" s="17" t="str">
        <x:v>C001</x:v>
      </x:c>
      <x:c r="E308" s="17" t="str">
        <x:v>DataFlow</x:v>
      </x:c>
      <x:c r="F308" s="17" t="str">
        <x:v>Lite</x:v>
      </x:c>
      <x:c r="G308" s="17" t="n">
        <x:v>43243</x:v>
      </x:c>
      <x:c r="H308" s="17" t="n">
        <x:v>15396</x:v>
      </x:c>
      <x:c r="I308" s="17" t="str">
        <x:v>Followup</x:v>
      </x:c>
      <x:c r="J308" s="27" t="n">
        <x:f>INDEX('Model Pricing'!$B$7:$B$8,MATCH(F308,'Model Pricing'!$A$7:$A$8,0))</x:f>
        <x:v>10</x:v>
      </x:c>
      <x:c r="K308" s="27" t="n">
        <x:f>INDEX('Model Pricing'!$C$7:$C$8,MATCH(F308,'Model Pricing'!$A$7:$A$8,0))</x:f>
        <x:v>30</x:v>
      </x:c>
      <x:c r="L308" s="17" t="n">
        <x:f>G308+H308</x:f>
        <x:v>58639</x:v>
      </x:c>
      <x:c r="M308" s="28" t="n">
        <x:f>G308*J308/1000000</x:f>
        <x:v>0.43243</x:v>
      </x:c>
      <x:c r="N308" s="28" t="n">
        <x:f>H308*K308/1000000</x:f>
        <x:v>0.46188</x:v>
      </x:c>
      <x:c r="O308" s="28" t="n">
        <x:f>SUM(M308:N308)</x:f>
        <x:v>0.8943099999999999</x:v>
      </x:c>
    </x:row>
    <x:row r="309" ht="23" customHeight="1">
      <x:c r="A309" s="17" t="str">
        <x:v>U00303</x:v>
      </x:c>
      <x:c r="B309" s="18" t="n">
        <x:v>46273</x:v>
      </x:c>
      <x:c r="C309" s="17" t="str">
        <x:v>W0037</x:v>
      </x:c>
      <x:c r="D309" s="17" t="str">
        <x:v>C001</x:v>
      </x:c>
      <x:c r="E309" s="17" t="str">
        <x:v>DataFlow</x:v>
      </x:c>
      <x:c r="F309" s="17" t="str">
        <x:v>Lite</x:v>
      </x:c>
      <x:c r="G309" s="17" t="n">
        <x:v>35689</x:v>
      </x:c>
      <x:c r="H309" s="17" t="n">
        <x:v>6514</x:v>
      </x:c>
      <x:c r="I309" s="17" t="str">
        <x:v>Correction</x:v>
      </x:c>
      <x:c r="J309" s="27" t="n">
        <x:f>INDEX('Model Pricing'!$B$7:$B$8,MATCH(F309,'Model Pricing'!$A$7:$A$8,0))</x:f>
        <x:v>10</x:v>
      </x:c>
      <x:c r="K309" s="27" t="n">
        <x:f>INDEX('Model Pricing'!$C$7:$C$8,MATCH(F309,'Model Pricing'!$A$7:$A$8,0))</x:f>
        <x:v>30</x:v>
      </x:c>
      <x:c r="L309" s="17" t="n">
        <x:f>G309+H309</x:f>
        <x:v>42203</x:v>
      </x:c>
      <x:c r="M309" s="28" t="n">
        <x:f>G309*J309/1000000</x:f>
        <x:v>0.35689</x:v>
      </x:c>
      <x:c r="N309" s="28" t="n">
        <x:f>H309*K309/1000000</x:f>
        <x:v>0.19542</x:v>
      </x:c>
      <x:c r="O309" s="28" t="n">
        <x:f>SUM(M309:N309)</x:f>
        <x:v>0.55231</x:v>
      </x:c>
    </x:row>
    <x:row r="310" ht="23" customHeight="1">
      <x:c r="A310" s="17" t="str">
        <x:v>U00304</x:v>
      </x:c>
      <x:c r="B310" s="18" t="n">
        <x:v>46274</x:v>
      </x:c>
      <x:c r="C310" s="17" t="str">
        <x:v>W0037</x:v>
      </x:c>
      <x:c r="D310" s="17" t="str">
        <x:v>C001</x:v>
      </x:c>
      <x:c r="E310" s="17" t="str">
        <x:v>DataFlow</x:v>
      </x:c>
      <x:c r="F310" s="17" t="str">
        <x:v>Lite</x:v>
      </x:c>
      <x:c r="G310" s="17" t="n">
        <x:v>32491</x:v>
      </x:c>
      <x:c r="H310" s="17" t="n">
        <x:v>9812</x:v>
      </x:c>
      <x:c r="I310" s="17" t="str">
        <x:v>Followup</x:v>
      </x:c>
      <x:c r="J310" s="27" t="n">
        <x:f>INDEX('Model Pricing'!$B$7:$B$8,MATCH(F310,'Model Pricing'!$A$7:$A$8,0))</x:f>
        <x:v>10</x:v>
      </x:c>
      <x:c r="K310" s="27" t="n">
        <x:f>INDEX('Model Pricing'!$C$7:$C$8,MATCH(F310,'Model Pricing'!$A$7:$A$8,0))</x:f>
        <x:v>30</x:v>
      </x:c>
      <x:c r="L310" s="17" t="n">
        <x:f>G310+H310</x:f>
        <x:v>42303</x:v>
      </x:c>
      <x:c r="M310" s="28" t="n">
        <x:f>G310*J310/1000000</x:f>
        <x:v>0.32491</x:v>
      </x:c>
      <x:c r="N310" s="28" t="n">
        <x:f>H310*K310/1000000</x:f>
        <x:v>0.29436</x:v>
      </x:c>
      <x:c r="O310" s="28" t="n">
        <x:f>SUM(M310:N310)</x:f>
        <x:v>0.61927</x:v>
      </x:c>
    </x:row>
    <x:row r="311" ht="23" customHeight="1">
      <x:c r="A311" s="17" t="str">
        <x:v>U00305</x:v>
      </x:c>
      <x:c r="B311" s="18" t="n">
        <x:v>46274</x:v>
      </x:c>
      <x:c r="C311" s="17" t="str">
        <x:v>W0037</x:v>
      </x:c>
      <x:c r="D311" s="17" t="str">
        <x:v>C001</x:v>
      </x:c>
      <x:c r="E311" s="17" t="str">
        <x:v>DataFlow</x:v>
      </x:c>
      <x:c r="F311" s="17" t="str">
        <x:v>Lite</x:v>
      </x:c>
      <x:c r="G311" s="17" t="n">
        <x:v>50157</x:v>
      </x:c>
      <x:c r="H311" s="17" t="n">
        <x:v>12466</x:v>
      </x:c>
      <x:c r="I311" s="17" t="str">
        <x:v>Followup</x:v>
      </x:c>
      <x:c r="J311" s="27" t="n">
        <x:f>INDEX('Model Pricing'!$B$7:$B$8,MATCH(F311,'Model Pricing'!$A$7:$A$8,0))</x:f>
        <x:v>10</x:v>
      </x:c>
      <x:c r="K311" s="27" t="n">
        <x:f>INDEX('Model Pricing'!$C$7:$C$8,MATCH(F311,'Model Pricing'!$A$7:$A$8,0))</x:f>
        <x:v>30</x:v>
      </x:c>
      <x:c r="L311" s="17" t="n">
        <x:f>G311+H311</x:f>
        <x:v>62623</x:v>
      </x:c>
      <x:c r="M311" s="28" t="n">
        <x:f>G311*J311/1000000</x:f>
        <x:v>0.50157</x:v>
      </x:c>
      <x:c r="N311" s="28" t="n">
        <x:f>H311*K311/1000000</x:f>
        <x:v>0.37398</x:v>
      </x:c>
      <x:c r="O311" s="28" t="n">
        <x:f>SUM(M311:N311)</x:f>
        <x:v>0.8755499999999999</x:v>
      </x:c>
    </x:row>
    <x:row r="312" ht="23" customHeight="1">
      <x:c r="A312" s="17" t="str">
        <x:v>U00306</x:v>
      </x:c>
      <x:c r="B312" s="18" t="n">
        <x:v>46274</x:v>
      </x:c>
      <x:c r="C312" s="17" t="str">
        <x:v>W0037</x:v>
      </x:c>
      <x:c r="D312" s="17" t="str">
        <x:v>C001</x:v>
      </x:c>
      <x:c r="E312" s="17" t="str">
        <x:v>DataFlow</x:v>
      </x:c>
      <x:c r="F312" s="17" t="str">
        <x:v>Lite</x:v>
      </x:c>
      <x:c r="G312" s="17" t="n">
        <x:v>49099</x:v>
      </x:c>
      <x:c r="H312" s="17" t="n">
        <x:v>13865</x:v>
      </x:c>
      <x:c r="I312" s="17" t="str">
        <x:v>Followup</x:v>
      </x:c>
      <x:c r="J312" s="27" t="n">
        <x:f>INDEX('Model Pricing'!$B$7:$B$8,MATCH(F312,'Model Pricing'!$A$7:$A$8,0))</x:f>
        <x:v>10</x:v>
      </x:c>
      <x:c r="K312" s="27" t="n">
        <x:f>INDEX('Model Pricing'!$C$7:$C$8,MATCH(F312,'Model Pricing'!$A$7:$A$8,0))</x:f>
        <x:v>30</x:v>
      </x:c>
      <x:c r="L312" s="17" t="n">
        <x:f>G312+H312</x:f>
        <x:v>62964</x:v>
      </x:c>
      <x:c r="M312" s="28" t="n">
        <x:f>G312*J312/1000000</x:f>
        <x:v>0.49099</x:v>
      </x:c>
      <x:c r="N312" s="28" t="n">
        <x:f>H312*K312/1000000</x:f>
        <x:v>0.41595</x:v>
      </x:c>
      <x:c r="O312" s="28" t="n">
        <x:f>SUM(M312:N312)</x:f>
        <x:v>0.90694</x:v>
      </x:c>
    </x:row>
    <x:row r="313" ht="23" customHeight="1">
      <x:c r="A313" s="17" t="str">
        <x:v>U00307</x:v>
      </x:c>
      <x:c r="B313" s="18" t="n">
        <x:v>46275</x:v>
      </x:c>
      <x:c r="C313" s="17" t="str">
        <x:v>W0037</x:v>
      </x:c>
      <x:c r="D313" s="17" t="str">
        <x:v>C001</x:v>
      </x:c>
      <x:c r="E313" s="17" t="str">
        <x:v>DataFlow</x:v>
      </x:c>
      <x:c r="F313" s="17" t="str">
        <x:v>Lite</x:v>
      </x:c>
      <x:c r="G313" s="17" t="n">
        <x:v>18986</x:v>
      </x:c>
      <x:c r="H313" s="17" t="n">
        <x:v>6433</x:v>
      </x:c>
      <x:c r="I313" s="17" t="str">
        <x:v>Followup</x:v>
      </x:c>
      <x:c r="J313" s="27" t="n">
        <x:f>INDEX('Model Pricing'!$B$7:$B$8,MATCH(F313,'Model Pricing'!$A$7:$A$8,0))</x:f>
        <x:v>10</x:v>
      </x:c>
      <x:c r="K313" s="27" t="n">
        <x:f>INDEX('Model Pricing'!$C$7:$C$8,MATCH(F313,'Model Pricing'!$A$7:$A$8,0))</x:f>
        <x:v>30</x:v>
      </x:c>
      <x:c r="L313" s="17" t="n">
        <x:f>G313+H313</x:f>
        <x:v>25419</x:v>
      </x:c>
      <x:c r="M313" s="28" t="n">
        <x:f>G313*J313/1000000</x:f>
        <x:v>0.18986</x:v>
      </x:c>
      <x:c r="N313" s="28" t="n">
        <x:f>H313*K313/1000000</x:f>
        <x:v>0.19299</x:v>
      </x:c>
      <x:c r="O313" s="28" t="n">
        <x:f>SUM(M313:N313)</x:f>
        <x:v>0.38285</x:v>
      </x:c>
    </x:row>
    <x:row r="314" ht="23" customHeight="1">
      <x:c r="A314" s="17" t="str">
        <x:v>U00308</x:v>
      </x:c>
      <x:c r="B314" s="18" t="n">
        <x:v>46275</x:v>
      </x:c>
      <x:c r="C314" s="17" t="str">
        <x:v>W0037</x:v>
      </x:c>
      <x:c r="D314" s="17" t="str">
        <x:v>C001</x:v>
      </x:c>
      <x:c r="E314" s="17" t="str">
        <x:v>DataFlow</x:v>
      </x:c>
      <x:c r="F314" s="17" t="str">
        <x:v>Lite</x:v>
      </x:c>
      <x:c r="G314" s="17" t="n">
        <x:v>53889</x:v>
      </x:c>
      <x:c r="H314" s="17" t="n">
        <x:v>12985</x:v>
      </x:c>
      <x:c r="I314" s="17" t="str">
        <x:v>Followup</x:v>
      </x:c>
      <x:c r="J314" s="27" t="n">
        <x:f>INDEX('Model Pricing'!$B$7:$B$8,MATCH(F314,'Model Pricing'!$A$7:$A$8,0))</x:f>
        <x:v>10</x:v>
      </x:c>
      <x:c r="K314" s="27" t="n">
        <x:f>INDEX('Model Pricing'!$C$7:$C$8,MATCH(F314,'Model Pricing'!$A$7:$A$8,0))</x:f>
        <x:v>30</x:v>
      </x:c>
      <x:c r="L314" s="17" t="n">
        <x:f>G314+H314</x:f>
        <x:v>66874</x:v>
      </x:c>
      <x:c r="M314" s="28" t="n">
        <x:f>G314*J314/1000000</x:f>
        <x:v>0.53889</x:v>
      </x:c>
      <x:c r="N314" s="28" t="n">
        <x:f>H314*K314/1000000</x:f>
        <x:v>0.38955</x:v>
      </x:c>
      <x:c r="O314" s="28" t="n">
        <x:f>SUM(M314:N314)</x:f>
        <x:v>0.9284399999999999</x:v>
      </x:c>
    </x:row>
    <x:row r="315" ht="23" customHeight="1">
      <x:c r="A315" s="17" t="str">
        <x:v>U00309</x:v>
      </x:c>
      <x:c r="B315" s="18" t="n">
        <x:v>46290</x:v>
      </x:c>
      <x:c r="C315" s="17" t="str">
        <x:v>W0039</x:v>
      </x:c>
      <x:c r="D315" s="17" t="str">
        <x:v>C001</x:v>
      </x:c>
      <x:c r="E315" s="17" t="str">
        <x:v>InsightDesk</x:v>
      </x:c>
      <x:c r="F315" s="17" t="str">
        <x:v>Lite</x:v>
      </x:c>
      <x:c r="G315" s="17" t="n">
        <x:v>73742</x:v>
      </x:c>
      <x:c r="H315" s="17" t="n">
        <x:v>7631</x:v>
      </x:c>
      <x:c r="I315" s="17" t="str">
        <x:v>First attempt</x:v>
      </x:c>
      <x:c r="J315" s="27" t="n">
        <x:f>INDEX('Model Pricing'!$B$7:$B$8,MATCH(F315,'Model Pricing'!$A$7:$A$8,0))</x:f>
        <x:v>10</x:v>
      </x:c>
      <x:c r="K315" s="27" t="n">
        <x:f>INDEX('Model Pricing'!$C$7:$C$8,MATCH(F315,'Model Pricing'!$A$7:$A$8,0))</x:f>
        <x:v>30</x:v>
      </x:c>
      <x:c r="L315" s="17" t="n">
        <x:f>G315+H315</x:f>
        <x:v>81373</x:v>
      </x:c>
      <x:c r="M315" s="28" t="n">
        <x:f>G315*J315/1000000</x:f>
        <x:v>0.73742</x:v>
      </x:c>
      <x:c r="N315" s="28" t="n">
        <x:f>H315*K315/1000000</x:f>
        <x:v>0.22893</x:v>
      </x:c>
      <x:c r="O315" s="28" t="n">
        <x:f>SUM(M315:N315)</x:f>
        <x:v>0.9663499999999999</x:v>
      </x:c>
    </x:row>
    <x:row r="316" ht="23" customHeight="1">
      <x:c r="A316" s="17" t="str">
        <x:v>U00310</x:v>
      </x:c>
      <x:c r="B316" s="18" t="n">
        <x:v>46290</x:v>
      </x:c>
      <x:c r="C316" s="17" t="str">
        <x:v>W0039</x:v>
      </x:c>
      <x:c r="D316" s="17" t="str">
        <x:v>C001</x:v>
      </x:c>
      <x:c r="E316" s="17" t="str">
        <x:v>InsightDesk</x:v>
      </x:c>
      <x:c r="F316" s="17" t="str">
        <x:v>Lite</x:v>
      </x:c>
      <x:c r="G316" s="17" t="n">
        <x:v>44640</x:v>
      </x:c>
      <x:c r="H316" s="17" t="n">
        <x:v>6313</x:v>
      </x:c>
      <x:c r="I316" s="17" t="str">
        <x:v>Followup</x:v>
      </x:c>
      <x:c r="J316" s="27" t="n">
        <x:f>INDEX('Model Pricing'!$B$7:$B$8,MATCH(F316,'Model Pricing'!$A$7:$A$8,0))</x:f>
        <x:v>10</x:v>
      </x:c>
      <x:c r="K316" s="27" t="n">
        <x:f>INDEX('Model Pricing'!$C$7:$C$8,MATCH(F316,'Model Pricing'!$A$7:$A$8,0))</x:f>
        <x:v>30</x:v>
      </x:c>
      <x:c r="L316" s="17" t="n">
        <x:f>G316+H316</x:f>
        <x:v>50953</x:v>
      </x:c>
      <x:c r="M316" s="28" t="n">
        <x:f>G316*J316/1000000</x:f>
        <x:v>0.4464</x:v>
      </x:c>
      <x:c r="N316" s="28" t="n">
        <x:f>H316*K316/1000000</x:f>
        <x:v>0.18939</x:v>
      </x:c>
      <x:c r="O316" s="28" t="n">
        <x:f>SUM(M316:N316)</x:f>
        <x:v>0.6357900000000001</x:v>
      </x:c>
    </x:row>
    <x:row r="317" ht="23" customHeight="1">
      <x:c r="A317" s="17" t="str">
        <x:v>U00311</x:v>
      </x:c>
      <x:c r="B317" s="18" t="n">
        <x:v>46290</x:v>
      </x:c>
      <x:c r="C317" s="17" t="str">
        <x:v>W0039</x:v>
      </x:c>
      <x:c r="D317" s="17" t="str">
        <x:v>C001</x:v>
      </x:c>
      <x:c r="E317" s="17" t="str">
        <x:v>InsightDesk</x:v>
      </x:c>
      <x:c r="F317" s="17" t="str">
        <x:v>Lite</x:v>
      </x:c>
      <x:c r="G317" s="17" t="n">
        <x:v>64976</x:v>
      </x:c>
      <x:c r="H317" s="17" t="n">
        <x:v>4662</x:v>
      </x:c>
      <x:c r="I317" s="17" t="str">
        <x:v>Followup</x:v>
      </x:c>
      <x:c r="J317" s="27" t="n">
        <x:f>INDEX('Model Pricing'!$B$7:$B$8,MATCH(F317,'Model Pricing'!$A$7:$A$8,0))</x:f>
        <x:v>10</x:v>
      </x:c>
      <x:c r="K317" s="27" t="n">
        <x:f>INDEX('Model Pricing'!$C$7:$C$8,MATCH(F317,'Model Pricing'!$A$7:$A$8,0))</x:f>
        <x:v>30</x:v>
      </x:c>
      <x:c r="L317" s="17" t="n">
        <x:f>G317+H317</x:f>
        <x:v>69638</x:v>
      </x:c>
      <x:c r="M317" s="28" t="n">
        <x:f>G317*J317/1000000</x:f>
        <x:v>0.64976</x:v>
      </x:c>
      <x:c r="N317" s="28" t="n">
        <x:f>H317*K317/1000000</x:f>
        <x:v>0.13986</x:v>
      </x:c>
      <x:c r="O317" s="28" t="n">
        <x:f>SUM(M317:N317)</x:f>
        <x:v>0.78962</x:v>
      </x:c>
    </x:row>
    <x:row r="318" ht="23" customHeight="1">
      <x:c r="A318" s="17" t="str">
        <x:v>U00312</x:v>
      </x:c>
      <x:c r="B318" s="18" t="n">
        <x:v>46293</x:v>
      </x:c>
      <x:c r="C318" s="17" t="str">
        <x:v>W0039</x:v>
      </x:c>
      <x:c r="D318" s="17" t="str">
        <x:v>C001</x:v>
      </x:c>
      <x:c r="E318" s="17" t="str">
        <x:v>InsightDesk</x:v>
      </x:c>
      <x:c r="F318" s="17" t="str">
        <x:v>Lite</x:v>
      </x:c>
      <x:c r="G318" s="17" t="n">
        <x:v>75949</x:v>
      </x:c>
      <x:c r="H318" s="17" t="n">
        <x:v>4060</x:v>
      </x:c>
      <x:c r="I318" s="17" t="str">
        <x:v>Followup</x:v>
      </x:c>
      <x:c r="J318" s="27" t="n">
        <x:f>INDEX('Model Pricing'!$B$7:$B$8,MATCH(F318,'Model Pricing'!$A$7:$A$8,0))</x:f>
        <x:v>10</x:v>
      </x:c>
      <x:c r="K318" s="27" t="n">
        <x:f>INDEX('Model Pricing'!$C$7:$C$8,MATCH(F318,'Model Pricing'!$A$7:$A$8,0))</x:f>
        <x:v>30</x:v>
      </x:c>
      <x:c r="L318" s="17" t="n">
        <x:f>G318+H318</x:f>
        <x:v>80009</x:v>
      </x:c>
      <x:c r="M318" s="28" t="n">
        <x:f>G318*J318/1000000</x:f>
        <x:v>0.75949</x:v>
      </x:c>
      <x:c r="N318" s="28" t="n">
        <x:f>H318*K318/1000000</x:f>
        <x:v>0.1218</x:v>
      </x:c>
      <x:c r="O318" s="28" t="n">
        <x:f>SUM(M318:N318)</x:f>
        <x:v>0.88129</x:v>
      </x:c>
    </x:row>
    <x:row r="319" ht="23" customHeight="1">
      <x:c r="A319" s="17" t="str">
        <x:v>U00313</x:v>
      </x:c>
      <x:c r="B319" s="18" t="n">
        <x:v>46293</x:v>
      </x:c>
      <x:c r="C319" s="17" t="str">
        <x:v>W0039</x:v>
      </x:c>
      <x:c r="D319" s="17" t="str">
        <x:v>C001</x:v>
      </x:c>
      <x:c r="E319" s="17" t="str">
        <x:v>InsightDesk</x:v>
      </x:c>
      <x:c r="F319" s="17" t="str">
        <x:v>Lite</x:v>
      </x:c>
      <x:c r="G319" s="17" t="n">
        <x:v>54328</x:v>
      </x:c>
      <x:c r="H319" s="17" t="n">
        <x:v>2890</x:v>
      </x:c>
      <x:c r="I319" s="17" t="str">
        <x:v>Followup</x:v>
      </x:c>
      <x:c r="J319" s="27" t="n">
        <x:f>INDEX('Model Pricing'!$B$7:$B$8,MATCH(F319,'Model Pricing'!$A$7:$A$8,0))</x:f>
        <x:v>10</x:v>
      </x:c>
      <x:c r="K319" s="27" t="n">
        <x:f>INDEX('Model Pricing'!$C$7:$C$8,MATCH(F319,'Model Pricing'!$A$7:$A$8,0))</x:f>
        <x:v>30</x:v>
      </x:c>
      <x:c r="L319" s="17" t="n">
        <x:f>G319+H319</x:f>
        <x:v>57218</x:v>
      </x:c>
      <x:c r="M319" s="28" t="n">
        <x:f>G319*J319/1000000</x:f>
        <x:v>0.54328</x:v>
      </x:c>
      <x:c r="N319" s="28" t="n">
        <x:f>H319*K319/1000000</x:f>
        <x:v>0.0867</x:v>
      </x:c>
      <x:c r="O319" s="28" t="n">
        <x:f>SUM(M319:N319)</x:f>
        <x:v>0.62998</x:v>
      </x:c>
    </x:row>
    <x:row r="320" ht="23" customHeight="1">
      <x:c r="A320" s="17" t="str">
        <x:v>U00314</x:v>
      </x:c>
      <x:c r="B320" s="18" t="n">
        <x:v>46294</x:v>
      </x:c>
      <x:c r="C320" s="17" t="str">
        <x:v>W0039</x:v>
      </x:c>
      <x:c r="D320" s="17" t="str">
        <x:v>C001</x:v>
      </x:c>
      <x:c r="E320" s="17" t="str">
        <x:v>InsightDesk</x:v>
      </x:c>
      <x:c r="F320" s="17" t="str">
        <x:v>Lite</x:v>
      </x:c>
      <x:c r="G320" s="17" t="n">
        <x:v>30680</x:v>
      </x:c>
      <x:c r="H320" s="17" t="n">
        <x:v>4082</x:v>
      </x:c>
      <x:c r="I320" s="17" t="str">
        <x:v>Followup</x:v>
      </x:c>
      <x:c r="J320" s="27" t="n">
        <x:f>INDEX('Model Pricing'!$B$7:$B$8,MATCH(F320,'Model Pricing'!$A$7:$A$8,0))</x:f>
        <x:v>10</x:v>
      </x:c>
      <x:c r="K320" s="27" t="n">
        <x:f>INDEX('Model Pricing'!$C$7:$C$8,MATCH(F320,'Model Pricing'!$A$7:$A$8,0))</x:f>
        <x:v>30</x:v>
      </x:c>
      <x:c r="L320" s="17" t="n">
        <x:f>G320+H320</x:f>
        <x:v>34762</x:v>
      </x:c>
      <x:c r="M320" s="28" t="n">
        <x:f>G320*J320/1000000</x:f>
        <x:v>0.3068</x:v>
      </x:c>
      <x:c r="N320" s="28" t="n">
        <x:f>H320*K320/1000000</x:f>
        <x:v>0.12246</x:v>
      </x:c>
      <x:c r="O320" s="28" t="n">
        <x:f>SUM(M320:N320)</x:f>
        <x:v>0.42926000000000003</x:v>
      </x:c>
    </x:row>
    <x:row r="321" ht="23" customHeight="1">
      <x:c r="A321" s="17" t="str">
        <x:v>U00315</x:v>
      </x:c>
      <x:c r="B321" s="18" t="n">
        <x:v>46294</x:v>
      </x:c>
      <x:c r="C321" s="17" t="str">
        <x:v>W0039</x:v>
      </x:c>
      <x:c r="D321" s="17" t="str">
        <x:v>C001</x:v>
      </x:c>
      <x:c r="E321" s="17" t="str">
        <x:v>InsightDesk</x:v>
      </x:c>
      <x:c r="F321" s="17" t="str">
        <x:v>Lite</x:v>
      </x:c>
      <x:c r="G321" s="17" t="n">
        <x:v>48224</x:v>
      </x:c>
      <x:c r="H321" s="17" t="n">
        <x:v>6965</x:v>
      </x:c>
      <x:c r="I321" s="17" t="str">
        <x:v>Followup</x:v>
      </x:c>
      <x:c r="J321" s="27" t="n">
        <x:f>INDEX('Model Pricing'!$B$7:$B$8,MATCH(F321,'Model Pricing'!$A$7:$A$8,0))</x:f>
        <x:v>10</x:v>
      </x:c>
      <x:c r="K321" s="27" t="n">
        <x:f>INDEX('Model Pricing'!$C$7:$C$8,MATCH(F321,'Model Pricing'!$A$7:$A$8,0))</x:f>
        <x:v>30</x:v>
      </x:c>
      <x:c r="L321" s="17" t="n">
        <x:f>G321+H321</x:f>
        <x:v>55189</x:v>
      </x:c>
      <x:c r="M321" s="28" t="n">
        <x:f>G321*J321/1000000</x:f>
        <x:v>0.48224</x:v>
      </x:c>
      <x:c r="N321" s="28" t="n">
        <x:f>H321*K321/1000000</x:f>
        <x:v>0.20895</x:v>
      </x:c>
      <x:c r="O321" s="28" t="n">
        <x:f>SUM(M321:N321)</x:f>
        <x:v>0.69119</x:v>
      </x:c>
    </x:row>
    <x:row r="322" ht="23" customHeight="1">
      <x:c r="A322" s="17" t="str">
        <x:v>U00316</x:v>
      </x:c>
      <x:c r="B322" s="18" t="n">
        <x:v>46295</x:v>
      </x:c>
      <x:c r="C322" s="17" t="str">
        <x:v>W0039</x:v>
      </x:c>
      <x:c r="D322" s="17" t="str">
        <x:v>C001</x:v>
      </x:c>
      <x:c r="E322" s="17" t="str">
        <x:v>InsightDesk</x:v>
      </x:c>
      <x:c r="F322" s="17" t="str">
        <x:v>Lite</x:v>
      </x:c>
      <x:c r="G322" s="17" t="n">
        <x:v>47322</x:v>
      </x:c>
      <x:c r="H322" s="17" t="n">
        <x:v>3646</x:v>
      </x:c>
      <x:c r="I322" s="17" t="str">
        <x:v>Correction</x:v>
      </x:c>
      <x:c r="J322" s="27" t="n">
        <x:f>INDEX('Model Pricing'!$B$7:$B$8,MATCH(F322,'Model Pricing'!$A$7:$A$8,0))</x:f>
        <x:v>10</x:v>
      </x:c>
      <x:c r="K322" s="27" t="n">
        <x:f>INDEX('Model Pricing'!$C$7:$C$8,MATCH(F322,'Model Pricing'!$A$7:$A$8,0))</x:f>
        <x:v>30</x:v>
      </x:c>
      <x:c r="L322" s="17" t="n">
        <x:f>G322+H322</x:f>
        <x:v>50968</x:v>
      </x:c>
      <x:c r="M322" s="28" t="n">
        <x:f>G322*J322/1000000</x:f>
        <x:v>0.47322</x:v>
      </x:c>
      <x:c r="N322" s="28" t="n">
        <x:f>H322*K322/1000000</x:f>
        <x:v>0.10938</x:v>
      </x:c>
      <x:c r="O322" s="28" t="n">
        <x:f>SUM(M322:N322)</x:f>
        <x:v>0.5826</x:v>
      </x:c>
    </x:row>
    <x:row r="323" ht="23" customHeight="1">
      <x:c r="A323" s="17" t="str">
        <x:v>U00317</x:v>
      </x:c>
      <x:c r="B323" s="18" t="n">
        <x:v>46295</x:v>
      </x:c>
      <x:c r="C323" s="17" t="str">
        <x:v>W0039</x:v>
      </x:c>
      <x:c r="D323" s="17" t="str">
        <x:v>C001</x:v>
      </x:c>
      <x:c r="E323" s="17" t="str">
        <x:v>InsightDesk</x:v>
      </x:c>
      <x:c r="F323" s="17" t="str">
        <x:v>Lite</x:v>
      </x:c>
      <x:c r="G323" s="17" t="n">
        <x:v>70362</x:v>
      </x:c>
      <x:c r="H323" s="17" t="n">
        <x:v>8410</x:v>
      </x:c>
      <x:c r="I323" s="17" t="str">
        <x:v>Followup</x:v>
      </x:c>
      <x:c r="J323" s="27" t="n">
        <x:f>INDEX('Model Pricing'!$B$7:$B$8,MATCH(F323,'Model Pricing'!$A$7:$A$8,0))</x:f>
        <x:v>10</x:v>
      </x:c>
      <x:c r="K323" s="27" t="n">
        <x:f>INDEX('Model Pricing'!$C$7:$C$8,MATCH(F323,'Model Pricing'!$A$7:$A$8,0))</x:f>
        <x:v>30</x:v>
      </x:c>
      <x:c r="L323" s="17" t="n">
        <x:f>G323+H323</x:f>
        <x:v>78772</x:v>
      </x:c>
      <x:c r="M323" s="28" t="n">
        <x:f>G323*J323/1000000</x:f>
        <x:v>0.70362</x:v>
      </x:c>
      <x:c r="N323" s="28" t="n">
        <x:f>H323*K323/1000000</x:f>
        <x:v>0.2523</x:v>
      </x:c>
      <x:c r="O323" s="28" t="n">
        <x:f>SUM(M323:N323)</x:f>
        <x:v>0.9559200000000001</x:v>
      </x:c>
    </x:row>
    <x:row r="324" ht="23" customHeight="1">
      <x:c r="A324" s="17" t="str">
        <x:v>U00318</x:v>
      </x:c>
      <x:c r="B324" s="18" t="n">
        <x:v>46275</x:v>
      </x:c>
      <x:c r="C324" s="17" t="str">
        <x:v>W0040</x:v>
      </x:c>
      <x:c r="D324" s="17" t="str">
        <x:v>C001</x:v>
      </x:c>
      <x:c r="E324" s="17" t="str">
        <x:v>InsightDesk</x:v>
      </x:c>
      <x:c r="F324" s="17" t="str">
        <x:v>Lite</x:v>
      </x:c>
      <x:c r="G324" s="17" t="n">
        <x:v>39919</x:v>
      </x:c>
      <x:c r="H324" s="17" t="n">
        <x:v>4941</x:v>
      </x:c>
      <x:c r="I324" s="17" t="str">
        <x:v>First attempt</x:v>
      </x:c>
      <x:c r="J324" s="27" t="n">
        <x:f>INDEX('Model Pricing'!$B$7:$B$8,MATCH(F324,'Model Pricing'!$A$7:$A$8,0))</x:f>
        <x:v>10</x:v>
      </x:c>
      <x:c r="K324" s="27" t="n">
        <x:f>INDEX('Model Pricing'!$C$7:$C$8,MATCH(F324,'Model Pricing'!$A$7:$A$8,0))</x:f>
        <x:v>30</x:v>
      </x:c>
      <x:c r="L324" s="17" t="n">
        <x:f>G324+H324</x:f>
        <x:v>44860</x:v>
      </x:c>
      <x:c r="M324" s="28" t="n">
        <x:f>G324*J324/1000000</x:f>
        <x:v>0.39919</x:v>
      </x:c>
      <x:c r="N324" s="28" t="n">
        <x:f>H324*K324/1000000</x:f>
        <x:v>0.14823</x:v>
      </x:c>
      <x:c r="O324" s="28" t="n">
        <x:f>SUM(M324:N324)</x:f>
        <x:v>0.54742</x:v>
      </x:c>
    </x:row>
    <x:row r="325" ht="23" customHeight="1">
      <x:c r="A325" s="17" t="str">
        <x:v>U00319</x:v>
      </x:c>
      <x:c r="B325" s="18" t="n">
        <x:v>46275</x:v>
      </x:c>
      <x:c r="C325" s="17" t="str">
        <x:v>W0040</x:v>
      </x:c>
      <x:c r="D325" s="17" t="str">
        <x:v>C001</x:v>
      </x:c>
      <x:c r="E325" s="17" t="str">
        <x:v>InsightDesk</x:v>
      </x:c>
      <x:c r="F325" s="17" t="str">
        <x:v>Lite</x:v>
      </x:c>
      <x:c r="G325" s="17" t="n">
        <x:v>17701</x:v>
      </x:c>
      <x:c r="H325" s="17" t="n">
        <x:v>5423</x:v>
      </x:c>
      <x:c r="I325" s="17" t="str">
        <x:v>Followup</x:v>
      </x:c>
      <x:c r="J325" s="27" t="n">
        <x:f>INDEX('Model Pricing'!$B$7:$B$8,MATCH(F325,'Model Pricing'!$A$7:$A$8,0))</x:f>
        <x:v>10</x:v>
      </x:c>
      <x:c r="K325" s="27" t="n">
        <x:f>INDEX('Model Pricing'!$C$7:$C$8,MATCH(F325,'Model Pricing'!$A$7:$A$8,0))</x:f>
        <x:v>30</x:v>
      </x:c>
      <x:c r="L325" s="17" t="n">
        <x:f>G325+H325</x:f>
        <x:v>23124</x:v>
      </x:c>
      <x:c r="M325" s="28" t="n">
        <x:f>G325*J325/1000000</x:f>
        <x:v>0.17701</x:v>
      </x:c>
      <x:c r="N325" s="28" t="n">
        <x:f>H325*K325/1000000</x:f>
        <x:v>0.16269</x:v>
      </x:c>
      <x:c r="O325" s="28" t="n">
        <x:f>SUM(M325:N325)</x:f>
        <x:v>0.3397</x:v>
      </x:c>
    </x:row>
    <x:row r="326" ht="23" customHeight="1">
      <x:c r="A326" s="17" t="str">
        <x:v>U00320</x:v>
      </x:c>
      <x:c r="B326" s="18" t="n">
        <x:v>46275</x:v>
      </x:c>
      <x:c r="C326" s="17" t="str">
        <x:v>W0040</x:v>
      </x:c>
      <x:c r="D326" s="17" t="str">
        <x:v>C001</x:v>
      </x:c>
      <x:c r="E326" s="17" t="str">
        <x:v>InsightDesk</x:v>
      </x:c>
      <x:c r="F326" s="17" t="str">
        <x:v>Lite</x:v>
      </x:c>
      <x:c r="G326" s="17" t="n">
        <x:v>22209</x:v>
      </x:c>
      <x:c r="H326" s="17" t="n">
        <x:v>9234</x:v>
      </x:c>
      <x:c r="I326" s="17" t="str">
        <x:v>Followup</x:v>
      </x:c>
      <x:c r="J326" s="27" t="n">
        <x:f>INDEX('Model Pricing'!$B$7:$B$8,MATCH(F326,'Model Pricing'!$A$7:$A$8,0))</x:f>
        <x:v>10</x:v>
      </x:c>
      <x:c r="K326" s="27" t="n">
        <x:f>INDEX('Model Pricing'!$C$7:$C$8,MATCH(F326,'Model Pricing'!$A$7:$A$8,0))</x:f>
        <x:v>30</x:v>
      </x:c>
      <x:c r="L326" s="17" t="n">
        <x:f>G326+H326</x:f>
        <x:v>31443</x:v>
      </x:c>
      <x:c r="M326" s="28" t="n">
        <x:f>G326*J326/1000000</x:f>
        <x:v>0.22209</x:v>
      </x:c>
      <x:c r="N326" s="28" t="n">
        <x:f>H326*K326/1000000</x:f>
        <x:v>0.27702</x:v>
      </x:c>
      <x:c r="O326" s="28" t="n">
        <x:f>SUM(M326:N326)</x:f>
        <x:v>0.49911</x:v>
      </x:c>
    </x:row>
    <x:row r="327" ht="23" customHeight="1">
      <x:c r="A327" s="17" t="str">
        <x:v>U00321</x:v>
      </x:c>
      <x:c r="B327" s="18" t="n">
        <x:v>46276</x:v>
      </x:c>
      <x:c r="C327" s="17" t="str">
        <x:v>W0040</x:v>
      </x:c>
      <x:c r="D327" s="17" t="str">
        <x:v>C001</x:v>
      </x:c>
      <x:c r="E327" s="17" t="str">
        <x:v>InsightDesk</x:v>
      </x:c>
      <x:c r="F327" s="17" t="str">
        <x:v>Lite</x:v>
      </x:c>
      <x:c r="G327" s="17" t="n">
        <x:v>33061</x:v>
      </x:c>
      <x:c r="H327" s="17" t="n">
        <x:v>8511</x:v>
      </x:c>
      <x:c r="I327" s="17" t="str">
        <x:v>Correction</x:v>
      </x:c>
      <x:c r="J327" s="27" t="n">
        <x:f>INDEX('Model Pricing'!$B$7:$B$8,MATCH(F327,'Model Pricing'!$A$7:$A$8,0))</x:f>
        <x:v>10</x:v>
      </x:c>
      <x:c r="K327" s="27" t="n">
        <x:f>INDEX('Model Pricing'!$C$7:$C$8,MATCH(F327,'Model Pricing'!$A$7:$A$8,0))</x:f>
        <x:v>30</x:v>
      </x:c>
      <x:c r="L327" s="17" t="n">
        <x:f>G327+H327</x:f>
        <x:v>41572</x:v>
      </x:c>
      <x:c r="M327" s="28" t="n">
        <x:f>G327*J327/1000000</x:f>
        <x:v>0.33061</x:v>
      </x:c>
      <x:c r="N327" s="28" t="n">
        <x:f>H327*K327/1000000</x:f>
        <x:v>0.25533</x:v>
      </x:c>
      <x:c r="O327" s="28" t="n">
        <x:f>SUM(M327:N327)</x:f>
        <x:v>0.58594</x:v>
      </x:c>
    </x:row>
    <x:row r="328" ht="23" customHeight="1">
      <x:c r="A328" s="17" t="str">
        <x:v>U00322</x:v>
      </x:c>
      <x:c r="B328" s="18" t="n">
        <x:v>46276</x:v>
      </x:c>
      <x:c r="C328" s="17" t="str">
        <x:v>W0040</x:v>
      </x:c>
      <x:c r="D328" s="17" t="str">
        <x:v>C001</x:v>
      </x:c>
      <x:c r="E328" s="17" t="str">
        <x:v>InsightDesk</x:v>
      </x:c>
      <x:c r="F328" s="17" t="str">
        <x:v>Lite</x:v>
      </x:c>
      <x:c r="G328" s="17" t="n">
        <x:v>42852</x:v>
      </x:c>
      <x:c r="H328" s="17" t="n">
        <x:v>7631</x:v>
      </x:c>
      <x:c r="I328" s="17" t="str">
        <x:v>Followup</x:v>
      </x:c>
      <x:c r="J328" s="27" t="n">
        <x:f>INDEX('Model Pricing'!$B$7:$B$8,MATCH(F328,'Model Pricing'!$A$7:$A$8,0))</x:f>
        <x:v>10</x:v>
      </x:c>
      <x:c r="K328" s="27" t="n">
        <x:f>INDEX('Model Pricing'!$C$7:$C$8,MATCH(F328,'Model Pricing'!$A$7:$A$8,0))</x:f>
        <x:v>30</x:v>
      </x:c>
      <x:c r="L328" s="17" t="n">
        <x:f>G328+H328</x:f>
        <x:v>50483</x:v>
      </x:c>
      <x:c r="M328" s="28" t="n">
        <x:f>G328*J328/1000000</x:f>
        <x:v>0.42852</x:v>
      </x:c>
      <x:c r="N328" s="28" t="n">
        <x:f>H328*K328/1000000</x:f>
        <x:v>0.22893</x:v>
      </x:c>
      <x:c r="O328" s="28" t="n">
        <x:f>SUM(M328:N328)</x:f>
        <x:v>0.65745</x:v>
      </x:c>
    </x:row>
    <x:row r="329" ht="23" customHeight="1">
      <x:c r="A329" s="17" t="str">
        <x:v>U00323</x:v>
      </x:c>
      <x:c r="B329" s="18" t="n">
        <x:v>46279</x:v>
      </x:c>
      <x:c r="C329" s="17" t="str">
        <x:v>W0040</x:v>
      </x:c>
      <x:c r="D329" s="17" t="str">
        <x:v>C001</x:v>
      </x:c>
      <x:c r="E329" s="17" t="str">
        <x:v>InsightDesk</x:v>
      </x:c>
      <x:c r="F329" s="17" t="str">
        <x:v>Lite</x:v>
      </x:c>
      <x:c r="G329" s="17" t="n">
        <x:v>29075</x:v>
      </x:c>
      <x:c r="H329" s="17" t="n">
        <x:v>8318</x:v>
      </x:c>
      <x:c r="I329" s="17" t="str">
        <x:v>Followup</x:v>
      </x:c>
      <x:c r="J329" s="27" t="n">
        <x:f>INDEX('Model Pricing'!$B$7:$B$8,MATCH(F329,'Model Pricing'!$A$7:$A$8,0))</x:f>
        <x:v>10</x:v>
      </x:c>
      <x:c r="K329" s="27" t="n">
        <x:f>INDEX('Model Pricing'!$C$7:$C$8,MATCH(F329,'Model Pricing'!$A$7:$A$8,0))</x:f>
        <x:v>30</x:v>
      </x:c>
      <x:c r="L329" s="17" t="n">
        <x:f>G329+H329</x:f>
        <x:v>37393</x:v>
      </x:c>
      <x:c r="M329" s="28" t="n">
        <x:f>G329*J329/1000000</x:f>
        <x:v>0.29075</x:v>
      </x:c>
      <x:c r="N329" s="28" t="n">
        <x:f>H329*K329/1000000</x:f>
        <x:v>0.24954</x:v>
      </x:c>
      <x:c r="O329" s="28" t="n">
        <x:f>SUM(M329:N329)</x:f>
        <x:v>0.54029</x:v>
      </x:c>
    </x:row>
    <x:row r="330" ht="23" customHeight="1">
      <x:c r="A330" s="17" t="str">
        <x:v>U00324</x:v>
      </x:c>
      <x:c r="B330" s="18" t="n">
        <x:v>46279</x:v>
      </x:c>
      <x:c r="C330" s="17" t="str">
        <x:v>W0040</x:v>
      </x:c>
      <x:c r="D330" s="17" t="str">
        <x:v>C001</x:v>
      </x:c>
      <x:c r="E330" s="17" t="str">
        <x:v>InsightDesk</x:v>
      </x:c>
      <x:c r="F330" s="17" t="str">
        <x:v>Lite</x:v>
      </x:c>
      <x:c r="G330" s="17" t="n">
        <x:v>24659</x:v>
      </x:c>
      <x:c r="H330" s="17" t="n">
        <x:v>8807</x:v>
      </x:c>
      <x:c r="I330" s="17" t="str">
        <x:v>Followup</x:v>
      </x:c>
      <x:c r="J330" s="27" t="n">
        <x:f>INDEX('Model Pricing'!$B$7:$B$8,MATCH(F330,'Model Pricing'!$A$7:$A$8,0))</x:f>
        <x:v>10</x:v>
      </x:c>
      <x:c r="K330" s="27" t="n">
        <x:f>INDEX('Model Pricing'!$C$7:$C$8,MATCH(F330,'Model Pricing'!$A$7:$A$8,0))</x:f>
        <x:v>30</x:v>
      </x:c>
      <x:c r="L330" s="17" t="n">
        <x:f>G330+H330</x:f>
        <x:v>33466</x:v>
      </x:c>
      <x:c r="M330" s="28" t="n">
        <x:f>G330*J330/1000000</x:f>
        <x:v>0.24659</x:v>
      </x:c>
      <x:c r="N330" s="28" t="n">
        <x:f>H330*K330/1000000</x:f>
        <x:v>0.26421</x:v>
      </x:c>
      <x:c r="O330" s="28" t="n">
        <x:f>SUM(M330:N330)</x:f>
        <x:v>0.5108</x:v>
      </x:c>
    </x:row>
    <x:row r="331" ht="23" customHeight="1">
      <x:c r="A331" s="17" t="str">
        <x:v>U00325</x:v>
      </x:c>
      <x:c r="B331" s="18" t="n">
        <x:v>46280</x:v>
      </x:c>
      <x:c r="C331" s="17" t="str">
        <x:v>W0040</x:v>
      </x:c>
      <x:c r="D331" s="17" t="str">
        <x:v>C001</x:v>
      </x:c>
      <x:c r="E331" s="17" t="str">
        <x:v>InsightDesk</x:v>
      </x:c>
      <x:c r="F331" s="17" t="str">
        <x:v>Lite</x:v>
      </x:c>
      <x:c r="G331" s="17" t="n">
        <x:v>30685</x:v>
      </x:c>
      <x:c r="H331" s="17" t="n">
        <x:v>12150</x:v>
      </x:c>
      <x:c r="I331" s="17" t="str">
        <x:v>Followup</x:v>
      </x:c>
      <x:c r="J331" s="27" t="n">
        <x:f>INDEX('Model Pricing'!$B$7:$B$8,MATCH(F331,'Model Pricing'!$A$7:$A$8,0))</x:f>
        <x:v>10</x:v>
      </x:c>
      <x:c r="K331" s="27" t="n">
        <x:f>INDEX('Model Pricing'!$C$7:$C$8,MATCH(F331,'Model Pricing'!$A$7:$A$8,0))</x:f>
        <x:v>30</x:v>
      </x:c>
      <x:c r="L331" s="17" t="n">
        <x:f>G331+H331</x:f>
        <x:v>42835</x:v>
      </x:c>
      <x:c r="M331" s="28" t="n">
        <x:f>G331*J331/1000000</x:f>
        <x:v>0.30685</x:v>
      </x:c>
      <x:c r="N331" s="28" t="n">
        <x:f>H331*K331/1000000</x:f>
        <x:v>0.3645</x:v>
      </x:c>
      <x:c r="O331" s="28" t="n">
        <x:f>SUM(M331:N331)</x:f>
        <x:v>0.67135</x:v>
      </x:c>
    </x:row>
    <x:row r="332" ht="23" customHeight="1">
      <x:c r="A332" s="17" t="str">
        <x:v>U00326</x:v>
      </x:c>
      <x:c r="B332" s="18" t="n">
        <x:v>46280</x:v>
      </x:c>
      <x:c r="C332" s="17" t="str">
        <x:v>W0040</x:v>
      </x:c>
      <x:c r="D332" s="17" t="str">
        <x:v>C001</x:v>
      </x:c>
      <x:c r="E332" s="17" t="str">
        <x:v>InsightDesk</x:v>
      </x:c>
      <x:c r="F332" s="17" t="str">
        <x:v>Lite</x:v>
      </x:c>
      <x:c r="G332" s="17" t="n">
        <x:v>28891</x:v>
      </x:c>
      <x:c r="H332" s="17" t="n">
        <x:v>8129</x:v>
      </x:c>
      <x:c r="I332" s="17" t="str">
        <x:v>Followup</x:v>
      </x:c>
      <x:c r="J332" s="27" t="n">
        <x:f>INDEX('Model Pricing'!$B$7:$B$8,MATCH(F332,'Model Pricing'!$A$7:$A$8,0))</x:f>
        <x:v>10</x:v>
      </x:c>
      <x:c r="K332" s="27" t="n">
        <x:f>INDEX('Model Pricing'!$C$7:$C$8,MATCH(F332,'Model Pricing'!$A$7:$A$8,0))</x:f>
        <x:v>30</x:v>
      </x:c>
      <x:c r="L332" s="17" t="n">
        <x:f>G332+H332</x:f>
        <x:v>37020</x:v>
      </x:c>
      <x:c r="M332" s="28" t="n">
        <x:f>G332*J332/1000000</x:f>
        <x:v>0.28891</x:v>
      </x:c>
      <x:c r="N332" s="28" t="n">
        <x:f>H332*K332/1000000</x:f>
        <x:v>0.24387</x:v>
      </x:c>
      <x:c r="O332" s="28" t="n">
        <x:f>SUM(M332:N332)</x:f>
        <x:v>0.53278</x:v>
      </x:c>
    </x:row>
    <x:row r="333" ht="23" customHeight="1">
      <x:c r="A333" s="17" t="str">
        <x:v>U00327</x:v>
      </x:c>
      <x:c r="B333" s="18" t="n">
        <x:v>46286</x:v>
      </x:c>
      <x:c r="C333" s="17" t="str">
        <x:v>W0041</x:v>
      </x:c>
      <x:c r="D333" s="17" t="str">
        <x:v>C001</x:v>
      </x:c>
      <x:c r="E333" s="17" t="str">
        <x:v>CopyStudio</x:v>
      </x:c>
      <x:c r="F333" s="17" t="str">
        <x:v>Lite</x:v>
      </x:c>
      <x:c r="G333" s="17" t="n">
        <x:v>36453</x:v>
      </x:c>
      <x:c r="H333" s="17" t="n">
        <x:v>4678</x:v>
      </x:c>
      <x:c r="I333" s="17" t="str">
        <x:v>First attempt</x:v>
      </x:c>
      <x:c r="J333" s="27" t="n">
        <x:f>INDEX('Model Pricing'!$B$7:$B$8,MATCH(F333,'Model Pricing'!$A$7:$A$8,0))</x:f>
        <x:v>10</x:v>
      </x:c>
      <x:c r="K333" s="27" t="n">
        <x:f>INDEX('Model Pricing'!$C$7:$C$8,MATCH(F333,'Model Pricing'!$A$7:$A$8,0))</x:f>
        <x:v>30</x:v>
      </x:c>
      <x:c r="L333" s="17" t="n">
        <x:f>G333+H333</x:f>
        <x:v>41131</x:v>
      </x:c>
      <x:c r="M333" s="28" t="n">
        <x:f>G333*J333/1000000</x:f>
        <x:v>0.36453</x:v>
      </x:c>
      <x:c r="N333" s="28" t="n">
        <x:f>H333*K333/1000000</x:f>
        <x:v>0.14034</x:v>
      </x:c>
      <x:c r="O333" s="28" t="n">
        <x:f>SUM(M333:N333)</x:f>
        <x:v>0.50487</x:v>
      </x:c>
    </x:row>
    <x:row r="334" ht="23" customHeight="1">
      <x:c r="A334" s="17" t="str">
        <x:v>U00328</x:v>
      </x:c>
      <x:c r="B334" s="18" t="n">
        <x:v>46286</x:v>
      </x:c>
      <x:c r="C334" s="17" t="str">
        <x:v>W0041</x:v>
      </x:c>
      <x:c r="D334" s="17" t="str">
        <x:v>C001</x:v>
      </x:c>
      <x:c r="E334" s="17" t="str">
        <x:v>CopyStudio</x:v>
      </x:c>
      <x:c r="F334" s="17" t="str">
        <x:v>Lite</x:v>
      </x:c>
      <x:c r="G334" s="17" t="n">
        <x:v>68507</x:v>
      </x:c>
      <x:c r="H334" s="17" t="n">
        <x:v>9469</x:v>
      </x:c>
      <x:c r="I334" s="17" t="str">
        <x:v>Followup</x:v>
      </x:c>
      <x:c r="J334" s="27" t="n">
        <x:f>INDEX('Model Pricing'!$B$7:$B$8,MATCH(F334,'Model Pricing'!$A$7:$A$8,0))</x:f>
        <x:v>10</x:v>
      </x:c>
      <x:c r="K334" s="27" t="n">
        <x:f>INDEX('Model Pricing'!$C$7:$C$8,MATCH(F334,'Model Pricing'!$A$7:$A$8,0))</x:f>
        <x:v>30</x:v>
      </x:c>
      <x:c r="L334" s="17" t="n">
        <x:f>G334+H334</x:f>
        <x:v>77976</x:v>
      </x:c>
      <x:c r="M334" s="28" t="n">
        <x:f>G334*J334/1000000</x:f>
        <x:v>0.68507</x:v>
      </x:c>
      <x:c r="N334" s="28" t="n">
        <x:f>H334*K334/1000000</x:f>
        <x:v>0.28407</x:v>
      </x:c>
      <x:c r="O334" s="28" t="n">
        <x:f>SUM(M334:N334)</x:f>
        <x:v>0.9691399999999999</x:v>
      </x:c>
    </x:row>
    <x:row r="335" ht="23" customHeight="1">
      <x:c r="A335" s="17" t="str">
        <x:v>U00329</x:v>
      </x:c>
      <x:c r="B335" s="18" t="n">
        <x:v>46286</x:v>
      </x:c>
      <x:c r="C335" s="17" t="str">
        <x:v>W0041</x:v>
      </x:c>
      <x:c r="D335" s="17" t="str">
        <x:v>C001</x:v>
      </x:c>
      <x:c r="E335" s="17" t="str">
        <x:v>CopyStudio</x:v>
      </x:c>
      <x:c r="F335" s="17" t="str">
        <x:v>Lite</x:v>
      </x:c>
      <x:c r="G335" s="17" t="n">
        <x:v>85358</x:v>
      </x:c>
      <x:c r="H335" s="17" t="n">
        <x:v>4835</x:v>
      </x:c>
      <x:c r="I335" s="17" t="str">
        <x:v>Followup</x:v>
      </x:c>
      <x:c r="J335" s="27" t="n">
        <x:f>INDEX('Model Pricing'!$B$7:$B$8,MATCH(F335,'Model Pricing'!$A$7:$A$8,0))</x:f>
        <x:v>10</x:v>
      </x:c>
      <x:c r="K335" s="27" t="n">
        <x:f>INDEX('Model Pricing'!$C$7:$C$8,MATCH(F335,'Model Pricing'!$A$7:$A$8,0))</x:f>
        <x:v>30</x:v>
      </x:c>
      <x:c r="L335" s="17" t="n">
        <x:f>G335+H335</x:f>
        <x:v>90193</x:v>
      </x:c>
      <x:c r="M335" s="28" t="n">
        <x:f>G335*J335/1000000</x:f>
        <x:v>0.85358</x:v>
      </x:c>
      <x:c r="N335" s="28" t="n">
        <x:f>H335*K335/1000000</x:f>
        <x:v>0.14505</x:v>
      </x:c>
      <x:c r="O335" s="28" t="n">
        <x:f>SUM(M335:N335)</x:f>
        <x:v>0.99863</x:v>
      </x:c>
    </x:row>
    <x:row r="336" ht="23" customHeight="1">
      <x:c r="A336" s="17" t="str">
        <x:v>U00330</x:v>
      </x:c>
      <x:c r="B336" s="18" t="n">
        <x:v>46287</x:v>
      </x:c>
      <x:c r="C336" s="17" t="str">
        <x:v>W0041</x:v>
      </x:c>
      <x:c r="D336" s="17" t="str">
        <x:v>C001</x:v>
      </x:c>
      <x:c r="E336" s="17" t="str">
        <x:v>CopyStudio</x:v>
      </x:c>
      <x:c r="F336" s="17" t="str">
        <x:v>Lite</x:v>
      </x:c>
      <x:c r="G336" s="17" t="n">
        <x:v>32154</x:v>
      </x:c>
      <x:c r="H336" s="17" t="n">
        <x:v>3539</x:v>
      </x:c>
      <x:c r="I336" s="17" t="str">
        <x:v>Followup</x:v>
      </x:c>
      <x:c r="J336" s="27" t="n">
        <x:f>INDEX('Model Pricing'!$B$7:$B$8,MATCH(F336,'Model Pricing'!$A$7:$A$8,0))</x:f>
        <x:v>10</x:v>
      </x:c>
      <x:c r="K336" s="27" t="n">
        <x:f>INDEX('Model Pricing'!$C$7:$C$8,MATCH(F336,'Model Pricing'!$A$7:$A$8,0))</x:f>
        <x:v>30</x:v>
      </x:c>
      <x:c r="L336" s="17" t="n">
        <x:f>G336+H336</x:f>
        <x:v>35693</x:v>
      </x:c>
      <x:c r="M336" s="28" t="n">
        <x:f>G336*J336/1000000</x:f>
        <x:v>0.32154</x:v>
      </x:c>
      <x:c r="N336" s="28" t="n">
        <x:f>H336*K336/1000000</x:f>
        <x:v>0.10617</x:v>
      </x:c>
      <x:c r="O336" s="28" t="n">
        <x:f>SUM(M336:N336)</x:f>
        <x:v>0.42771</x:v>
      </x:c>
    </x:row>
    <x:row r="337" ht="23" customHeight="1">
      <x:c r="A337" s="17" t="str">
        <x:v>U00331</x:v>
      </x:c>
      <x:c r="B337" s="18" t="n">
        <x:v>46287</x:v>
      </x:c>
      <x:c r="C337" s="17" t="str">
        <x:v>W0041</x:v>
      </x:c>
      <x:c r="D337" s="17" t="str">
        <x:v>C001</x:v>
      </x:c>
      <x:c r="E337" s="17" t="str">
        <x:v>CopyStudio</x:v>
      </x:c>
      <x:c r="F337" s="17" t="str">
        <x:v>Lite</x:v>
      </x:c>
      <x:c r="G337" s="17" t="n">
        <x:v>81331</x:v>
      </x:c>
      <x:c r="H337" s="17" t="n">
        <x:v>6683</x:v>
      </x:c>
      <x:c r="I337" s="17" t="str">
        <x:v>Correction</x:v>
      </x:c>
      <x:c r="J337" s="27" t="n">
        <x:f>INDEX('Model Pricing'!$B$7:$B$8,MATCH(F337,'Model Pricing'!$A$7:$A$8,0))</x:f>
        <x:v>10</x:v>
      </x:c>
      <x:c r="K337" s="27" t="n">
        <x:f>INDEX('Model Pricing'!$C$7:$C$8,MATCH(F337,'Model Pricing'!$A$7:$A$8,0))</x:f>
        <x:v>30</x:v>
      </x:c>
      <x:c r="L337" s="17" t="n">
        <x:f>G337+H337</x:f>
        <x:v>88014</x:v>
      </x:c>
      <x:c r="M337" s="28" t="n">
        <x:f>G337*J337/1000000</x:f>
        <x:v>0.81331</x:v>
      </x:c>
      <x:c r="N337" s="28" t="n">
        <x:f>H337*K337/1000000</x:f>
        <x:v>0.20049</x:v>
      </x:c>
      <x:c r="O337" s="28" t="n">
        <x:f>SUM(M337:N337)</x:f>
        <x:v>1.0138</x:v>
      </x:c>
    </x:row>
    <x:row r="338" ht="23" customHeight="1">
      <x:c r="A338" s="17" t="str">
        <x:v>U00332</x:v>
      </x:c>
      <x:c r="B338" s="18" t="n">
        <x:v>46288</x:v>
      </x:c>
      <x:c r="C338" s="17" t="str">
        <x:v>W0041</x:v>
      </x:c>
      <x:c r="D338" s="17" t="str">
        <x:v>C001</x:v>
      </x:c>
      <x:c r="E338" s="17" t="str">
        <x:v>CopyStudio</x:v>
      </x:c>
      <x:c r="F338" s="17" t="str">
        <x:v>Lite</x:v>
      </x:c>
      <x:c r="G338" s="17" t="n">
        <x:v>44919</x:v>
      </x:c>
      <x:c r="H338" s="17" t="n">
        <x:v>6747</x:v>
      </x:c>
      <x:c r="I338" s="17" t="str">
        <x:v>Followup</x:v>
      </x:c>
      <x:c r="J338" s="27" t="n">
        <x:f>INDEX('Model Pricing'!$B$7:$B$8,MATCH(F338,'Model Pricing'!$A$7:$A$8,0))</x:f>
        <x:v>10</x:v>
      </x:c>
      <x:c r="K338" s="27" t="n">
        <x:f>INDEX('Model Pricing'!$C$7:$C$8,MATCH(F338,'Model Pricing'!$A$7:$A$8,0))</x:f>
        <x:v>30</x:v>
      </x:c>
      <x:c r="L338" s="17" t="n">
        <x:f>G338+H338</x:f>
        <x:v>51666</x:v>
      </x:c>
      <x:c r="M338" s="28" t="n">
        <x:f>G338*J338/1000000</x:f>
        <x:v>0.44919</x:v>
      </x:c>
      <x:c r="N338" s="28" t="n">
        <x:f>H338*K338/1000000</x:f>
        <x:v>0.20241</x:v>
      </x:c>
      <x:c r="O338" s="28" t="n">
        <x:f>SUM(M338:N338)</x:f>
        <x:v>0.6516</x:v>
      </x:c>
    </x:row>
    <x:row r="339" ht="23" customHeight="1">
      <x:c r="A339" s="17" t="str">
        <x:v>U00333</x:v>
      </x:c>
      <x:c r="B339" s="18" t="n">
        <x:v>46288</x:v>
      </x:c>
      <x:c r="C339" s="17" t="str">
        <x:v>W0041</x:v>
      </x:c>
      <x:c r="D339" s="17" t="str">
        <x:v>C001</x:v>
      </x:c>
      <x:c r="E339" s="17" t="str">
        <x:v>CopyStudio</x:v>
      </x:c>
      <x:c r="F339" s="17" t="str">
        <x:v>Lite</x:v>
      </x:c>
      <x:c r="G339" s="17" t="n">
        <x:v>35022</x:v>
      </x:c>
      <x:c r="H339" s="17" t="n">
        <x:v>10271</x:v>
      </x:c>
      <x:c r="I339" s="17" t="str">
        <x:v>Followup</x:v>
      </x:c>
      <x:c r="J339" s="27" t="n">
        <x:f>INDEX('Model Pricing'!$B$7:$B$8,MATCH(F339,'Model Pricing'!$A$7:$A$8,0))</x:f>
        <x:v>10</x:v>
      </x:c>
      <x:c r="K339" s="27" t="n">
        <x:f>INDEX('Model Pricing'!$C$7:$C$8,MATCH(F339,'Model Pricing'!$A$7:$A$8,0))</x:f>
        <x:v>30</x:v>
      </x:c>
      <x:c r="L339" s="17" t="n">
        <x:f>G339+H339</x:f>
        <x:v>45293</x:v>
      </x:c>
      <x:c r="M339" s="28" t="n">
        <x:f>G339*J339/1000000</x:f>
        <x:v>0.35022</x:v>
      </x:c>
      <x:c r="N339" s="28" t="n">
        <x:f>H339*K339/1000000</x:f>
        <x:v>0.30813</x:v>
      </x:c>
      <x:c r="O339" s="28" t="n">
        <x:f>SUM(M339:N339)</x:f>
        <x:v>0.65835</x:v>
      </x:c>
    </x:row>
    <x:row r="340" ht="23" customHeight="1">
      <x:c r="A340" s="17" t="str">
        <x:v>U00334</x:v>
      </x:c>
      <x:c r="B340" s="18" t="n">
        <x:v>46288</x:v>
      </x:c>
      <x:c r="C340" s="17" t="str">
        <x:v>W0041</x:v>
      </x:c>
      <x:c r="D340" s="17" t="str">
        <x:v>C001</x:v>
      </x:c>
      <x:c r="E340" s="17" t="str">
        <x:v>CopyStudio</x:v>
      </x:c>
      <x:c r="F340" s="17" t="str">
        <x:v>Lite</x:v>
      </x:c>
      <x:c r="G340" s="17" t="n">
        <x:v>35685</x:v>
      </x:c>
      <x:c r="H340" s="17" t="n">
        <x:v>9922</x:v>
      </x:c>
      <x:c r="I340" s="17" t="str">
        <x:v>Followup</x:v>
      </x:c>
      <x:c r="J340" s="27" t="n">
        <x:f>INDEX('Model Pricing'!$B$7:$B$8,MATCH(F340,'Model Pricing'!$A$7:$A$8,0))</x:f>
        <x:v>10</x:v>
      </x:c>
      <x:c r="K340" s="27" t="n">
        <x:f>INDEX('Model Pricing'!$C$7:$C$8,MATCH(F340,'Model Pricing'!$A$7:$A$8,0))</x:f>
        <x:v>30</x:v>
      </x:c>
      <x:c r="L340" s="17" t="n">
        <x:f>G340+H340</x:f>
        <x:v>45607</x:v>
      </x:c>
      <x:c r="M340" s="28" t="n">
        <x:f>G340*J340/1000000</x:f>
        <x:v>0.35685</x:v>
      </x:c>
      <x:c r="N340" s="28" t="n">
        <x:f>H340*K340/1000000</x:f>
        <x:v>0.29766</x:v>
      </x:c>
      <x:c r="O340" s="28" t="n">
        <x:f>SUM(M340:N340)</x:f>
        <x:v>0.6545099999999999</x:v>
      </x:c>
    </x:row>
    <x:row r="341" ht="23" customHeight="1">
      <x:c r="A341" s="17" t="str">
        <x:v>U00335</x:v>
      </x:c>
      <x:c r="B341" s="18" t="n">
        <x:v>46289</x:v>
      </x:c>
      <x:c r="C341" s="17" t="str">
        <x:v>W0041</x:v>
      </x:c>
      <x:c r="D341" s="17" t="str">
        <x:v>C001</x:v>
      </x:c>
      <x:c r="E341" s="17" t="str">
        <x:v>CopyStudio</x:v>
      </x:c>
      <x:c r="F341" s="17" t="str">
        <x:v>Lite</x:v>
      </x:c>
      <x:c r="G341" s="17" t="n">
        <x:v>71480</x:v>
      </x:c>
      <x:c r="H341" s="17" t="n">
        <x:v>8260</x:v>
      </x:c>
      <x:c r="I341" s="17" t="str">
        <x:v>Followup</x:v>
      </x:c>
      <x:c r="J341" s="27" t="n">
        <x:f>INDEX('Model Pricing'!$B$7:$B$8,MATCH(F341,'Model Pricing'!$A$7:$A$8,0))</x:f>
        <x:v>10</x:v>
      </x:c>
      <x:c r="K341" s="27" t="n">
        <x:f>INDEX('Model Pricing'!$C$7:$C$8,MATCH(F341,'Model Pricing'!$A$7:$A$8,0))</x:f>
        <x:v>30</x:v>
      </x:c>
      <x:c r="L341" s="17" t="n">
        <x:f>G341+H341</x:f>
        <x:v>79740</x:v>
      </x:c>
      <x:c r="M341" s="28" t="n">
        <x:f>G341*J341/1000000</x:f>
        <x:v>0.7148</x:v>
      </x:c>
      <x:c r="N341" s="28" t="n">
        <x:f>H341*K341/1000000</x:f>
        <x:v>0.2478</x:v>
      </x:c>
      <x:c r="O341" s="28" t="n">
        <x:f>SUM(M341:N341)</x:f>
        <x:v>0.9626</x:v>
      </x:c>
    </x:row>
    <x:row r="342" ht="23" customHeight="1">
      <x:c r="A342" s="17" t="str">
        <x:v>U00336</x:v>
      </x:c>
      <x:c r="B342" s="18" t="n">
        <x:v>46289</x:v>
      </x:c>
      <x:c r="C342" s="17" t="str">
        <x:v>W0041</x:v>
      </x:c>
      <x:c r="D342" s="17" t="str">
        <x:v>C001</x:v>
      </x:c>
      <x:c r="E342" s="17" t="str">
        <x:v>CopyStudio</x:v>
      </x:c>
      <x:c r="F342" s="17" t="str">
        <x:v>Lite</x:v>
      </x:c>
      <x:c r="G342" s="17" t="n">
        <x:v>61897</x:v>
      </x:c>
      <x:c r="H342" s="17" t="n">
        <x:v>8336</x:v>
      </x:c>
      <x:c r="I342" s="17" t="str">
        <x:v>Followup</x:v>
      </x:c>
      <x:c r="J342" s="27" t="n">
        <x:f>INDEX('Model Pricing'!$B$7:$B$8,MATCH(F342,'Model Pricing'!$A$7:$A$8,0))</x:f>
        <x:v>10</x:v>
      </x:c>
      <x:c r="K342" s="27" t="n">
        <x:f>INDEX('Model Pricing'!$C$7:$C$8,MATCH(F342,'Model Pricing'!$A$7:$A$8,0))</x:f>
        <x:v>30</x:v>
      </x:c>
      <x:c r="L342" s="17" t="n">
        <x:f>G342+H342</x:f>
        <x:v>70233</x:v>
      </x:c>
      <x:c r="M342" s="28" t="n">
        <x:f>G342*J342/1000000</x:f>
        <x:v>0.61897</x:v>
      </x:c>
      <x:c r="N342" s="28" t="n">
        <x:f>H342*K342/1000000</x:f>
        <x:v>0.25008</x:v>
      </x:c>
      <x:c r="O342" s="28" t="n">
        <x:f>SUM(M342:N342)</x:f>
        <x:v>0.8690500000000001</x:v>
      </x:c>
    </x:row>
    <x:row r="343" ht="23" customHeight="1">
      <x:c r="A343" s="17" t="str">
        <x:v>U00337</x:v>
      </x:c>
      <x:c r="B343" s="18" t="n">
        <x:v>46268</x:v>
      </x:c>
      <x:c r="C343" s="17" t="str">
        <x:v>W0042</x:v>
      </x:c>
      <x:c r="D343" s="17" t="str">
        <x:v>C001</x:v>
      </x:c>
      <x:c r="E343" s="17" t="str">
        <x:v>CampaignChat</x:v>
      </x:c>
      <x:c r="F343" s="17" t="str">
        <x:v>Lite</x:v>
      </x:c>
      <x:c r="G343" s="17" t="n">
        <x:v>20688</x:v>
      </x:c>
      <x:c r="H343" s="17" t="n">
        <x:v>9531</x:v>
      </x:c>
      <x:c r="I343" s="17" t="str">
        <x:v>First attempt</x:v>
      </x:c>
      <x:c r="J343" s="27" t="n">
        <x:f>INDEX('Model Pricing'!$B$7:$B$8,MATCH(F343,'Model Pricing'!$A$7:$A$8,0))</x:f>
        <x:v>10</x:v>
      </x:c>
      <x:c r="K343" s="27" t="n">
        <x:f>INDEX('Model Pricing'!$C$7:$C$8,MATCH(F343,'Model Pricing'!$A$7:$A$8,0))</x:f>
        <x:v>30</x:v>
      </x:c>
      <x:c r="L343" s="17" t="n">
        <x:f>G343+H343</x:f>
        <x:v>30219</x:v>
      </x:c>
      <x:c r="M343" s="28" t="n">
        <x:f>G343*J343/1000000</x:f>
        <x:v>0.20688</x:v>
      </x:c>
      <x:c r="N343" s="28" t="n">
        <x:f>H343*K343/1000000</x:f>
        <x:v>0.28593</x:v>
      </x:c>
      <x:c r="O343" s="28" t="n">
        <x:f>SUM(M343:N343)</x:f>
        <x:v>0.49281</x:v>
      </x:c>
    </x:row>
    <x:row r="344" ht="23" customHeight="1">
      <x:c r="A344" s="17" t="str">
        <x:v>U00338</x:v>
      </x:c>
      <x:c r="B344" s="18" t="n">
        <x:v>46268</x:v>
      </x:c>
      <x:c r="C344" s="17" t="str">
        <x:v>W0042</x:v>
      </x:c>
      <x:c r="D344" s="17" t="str">
        <x:v>C001</x:v>
      </x:c>
      <x:c r="E344" s="17" t="str">
        <x:v>CampaignChat</x:v>
      </x:c>
      <x:c r="F344" s="17" t="str">
        <x:v>Lite</x:v>
      </x:c>
      <x:c r="G344" s="17" t="n">
        <x:v>30691</x:v>
      </x:c>
      <x:c r="H344" s="17" t="n">
        <x:v>5134</x:v>
      </x:c>
      <x:c r="I344" s="17" t="str">
        <x:v>Correction</x:v>
      </x:c>
      <x:c r="J344" s="27" t="n">
        <x:f>INDEX('Model Pricing'!$B$7:$B$8,MATCH(F344,'Model Pricing'!$A$7:$A$8,0))</x:f>
        <x:v>10</x:v>
      </x:c>
      <x:c r="K344" s="27" t="n">
        <x:f>INDEX('Model Pricing'!$C$7:$C$8,MATCH(F344,'Model Pricing'!$A$7:$A$8,0))</x:f>
        <x:v>30</x:v>
      </x:c>
      <x:c r="L344" s="17" t="n">
        <x:f>G344+H344</x:f>
        <x:v>35825</x:v>
      </x:c>
      <x:c r="M344" s="28" t="n">
        <x:f>G344*J344/1000000</x:f>
        <x:v>0.30691</x:v>
      </x:c>
      <x:c r="N344" s="28" t="n">
        <x:f>H344*K344/1000000</x:f>
        <x:v>0.15402</x:v>
      </x:c>
      <x:c r="O344" s="28" t="n">
        <x:f>SUM(M344:N344)</x:f>
        <x:v>0.46093</x:v>
      </x:c>
    </x:row>
    <x:row r="345" ht="23" customHeight="1">
      <x:c r="A345" s="17" t="str">
        <x:v>U00339</x:v>
      </x:c>
      <x:c r="B345" s="18" t="n">
        <x:v>46268</x:v>
      </x:c>
      <x:c r="C345" s="17" t="str">
        <x:v>W0042</x:v>
      </x:c>
      <x:c r="D345" s="17" t="str">
        <x:v>C001</x:v>
      </x:c>
      <x:c r="E345" s="17" t="str">
        <x:v>CampaignChat</x:v>
      </x:c>
      <x:c r="F345" s="17" t="str">
        <x:v>Lite</x:v>
      </x:c>
      <x:c r="G345" s="17" t="n">
        <x:v>26084</x:v>
      </x:c>
      <x:c r="H345" s="17" t="n">
        <x:v>8013</x:v>
      </x:c>
      <x:c r="I345" s="17" t="str">
        <x:v>Followup</x:v>
      </x:c>
      <x:c r="J345" s="27" t="n">
        <x:f>INDEX('Model Pricing'!$B$7:$B$8,MATCH(F345,'Model Pricing'!$A$7:$A$8,0))</x:f>
        <x:v>10</x:v>
      </x:c>
      <x:c r="K345" s="27" t="n">
        <x:f>INDEX('Model Pricing'!$C$7:$C$8,MATCH(F345,'Model Pricing'!$A$7:$A$8,0))</x:f>
        <x:v>30</x:v>
      </x:c>
      <x:c r="L345" s="17" t="n">
        <x:f>G345+H345</x:f>
        <x:v>34097</x:v>
      </x:c>
      <x:c r="M345" s="28" t="n">
        <x:f>G345*J345/1000000</x:f>
        <x:v>0.26084</x:v>
      </x:c>
      <x:c r="N345" s="28" t="n">
        <x:f>H345*K345/1000000</x:f>
        <x:v>0.24039</x:v>
      </x:c>
      <x:c r="O345" s="28" t="n">
        <x:f>SUM(M345:N345)</x:f>
        <x:v>0.5012300000000001</x:v>
      </x:c>
    </x:row>
    <x:row r="346" ht="23" customHeight="1">
      <x:c r="A346" s="17" t="str">
        <x:v>U00340</x:v>
      </x:c>
      <x:c r="B346" s="18" t="n">
        <x:v>46269</x:v>
      </x:c>
      <x:c r="C346" s="17" t="str">
        <x:v>W0042</x:v>
      </x:c>
      <x:c r="D346" s="17" t="str">
        <x:v>C001</x:v>
      </x:c>
      <x:c r="E346" s="17" t="str">
        <x:v>CampaignChat</x:v>
      </x:c>
      <x:c r="F346" s="17" t="str">
        <x:v>Lite</x:v>
      </x:c>
      <x:c r="G346" s="17" t="n">
        <x:v>14597</x:v>
      </x:c>
      <x:c r="H346" s="17" t="n">
        <x:v>5264</x:v>
      </x:c>
      <x:c r="I346" s="17" t="str">
        <x:v>Followup</x:v>
      </x:c>
      <x:c r="J346" s="27" t="n">
        <x:f>INDEX('Model Pricing'!$B$7:$B$8,MATCH(F346,'Model Pricing'!$A$7:$A$8,0))</x:f>
        <x:v>10</x:v>
      </x:c>
      <x:c r="K346" s="27" t="n">
        <x:f>INDEX('Model Pricing'!$C$7:$C$8,MATCH(F346,'Model Pricing'!$A$7:$A$8,0))</x:f>
        <x:v>30</x:v>
      </x:c>
      <x:c r="L346" s="17" t="n">
        <x:f>G346+H346</x:f>
        <x:v>19861</x:v>
      </x:c>
      <x:c r="M346" s="28" t="n">
        <x:f>G346*J346/1000000</x:f>
        <x:v>0.14597</x:v>
      </x:c>
      <x:c r="N346" s="28" t="n">
        <x:f>H346*K346/1000000</x:f>
        <x:v>0.15792</x:v>
      </x:c>
      <x:c r="O346" s="28" t="n">
        <x:f>SUM(M346:N346)</x:f>
        <x:v>0.30389</x:v>
      </x:c>
    </x:row>
    <x:row r="347" ht="23" customHeight="1">
      <x:c r="A347" s="17" t="str">
        <x:v>U00341</x:v>
      </x:c>
      <x:c r="B347" s="18" t="n">
        <x:v>46269</x:v>
      </x:c>
      <x:c r="C347" s="17" t="str">
        <x:v>W0042</x:v>
      </x:c>
      <x:c r="D347" s="17" t="str">
        <x:v>C001</x:v>
      </x:c>
      <x:c r="E347" s="17" t="str">
        <x:v>CampaignChat</x:v>
      </x:c>
      <x:c r="F347" s="17" t="str">
        <x:v>Lite</x:v>
      </x:c>
      <x:c r="G347" s="17" t="n">
        <x:v>17260</x:v>
      </x:c>
      <x:c r="H347" s="17" t="n">
        <x:v>3423</x:v>
      </x:c>
      <x:c r="I347" s="17" t="str">
        <x:v>Followup</x:v>
      </x:c>
      <x:c r="J347" s="27" t="n">
        <x:f>INDEX('Model Pricing'!$B$7:$B$8,MATCH(F347,'Model Pricing'!$A$7:$A$8,0))</x:f>
        <x:v>10</x:v>
      </x:c>
      <x:c r="K347" s="27" t="n">
        <x:f>INDEX('Model Pricing'!$C$7:$C$8,MATCH(F347,'Model Pricing'!$A$7:$A$8,0))</x:f>
        <x:v>30</x:v>
      </x:c>
      <x:c r="L347" s="17" t="n">
        <x:f>G347+H347</x:f>
        <x:v>20683</x:v>
      </x:c>
      <x:c r="M347" s="28" t="n">
        <x:f>G347*J347/1000000</x:f>
        <x:v>0.1726</x:v>
      </x:c>
      <x:c r="N347" s="28" t="n">
        <x:f>H347*K347/1000000</x:f>
        <x:v>0.10269</x:v>
      </x:c>
      <x:c r="O347" s="28" t="n">
        <x:f>SUM(M347:N347)</x:f>
        <x:v>0.27529000000000003</x:v>
      </x:c>
    </x:row>
    <x:row r="348" ht="23" customHeight="1">
      <x:c r="A348" s="17" t="str">
        <x:v>U00342</x:v>
      </x:c>
      <x:c r="B348" s="18" t="n">
        <x:v>46273</x:v>
      </x:c>
      <x:c r="C348" s="17" t="str">
        <x:v>W0042</x:v>
      </x:c>
      <x:c r="D348" s="17" t="str">
        <x:v>C001</x:v>
      </x:c>
      <x:c r="E348" s="17" t="str">
        <x:v>CampaignChat</x:v>
      </x:c>
      <x:c r="F348" s="17" t="str">
        <x:v>Lite</x:v>
      </x:c>
      <x:c r="G348" s="17" t="n">
        <x:v>17318</x:v>
      </x:c>
      <x:c r="H348" s="17" t="n">
        <x:v>6885</x:v>
      </x:c>
      <x:c r="I348" s="17" t="str">
        <x:v>Followup</x:v>
      </x:c>
      <x:c r="J348" s="27" t="n">
        <x:f>INDEX('Model Pricing'!$B$7:$B$8,MATCH(F348,'Model Pricing'!$A$7:$A$8,0))</x:f>
        <x:v>10</x:v>
      </x:c>
      <x:c r="K348" s="27" t="n">
        <x:f>INDEX('Model Pricing'!$C$7:$C$8,MATCH(F348,'Model Pricing'!$A$7:$A$8,0))</x:f>
        <x:v>30</x:v>
      </x:c>
      <x:c r="L348" s="17" t="n">
        <x:f>G348+H348</x:f>
        <x:v>24203</x:v>
      </x:c>
      <x:c r="M348" s="28" t="n">
        <x:f>G348*J348/1000000</x:f>
        <x:v>0.17318</x:v>
      </x:c>
      <x:c r="N348" s="28" t="n">
        <x:f>H348*K348/1000000</x:f>
        <x:v>0.20655</x:v>
      </x:c>
      <x:c r="O348" s="28" t="n">
        <x:f>SUM(M348:N348)</x:f>
        <x:v>0.37973</x:v>
      </x:c>
    </x:row>
    <x:row r="349" ht="23" customHeight="1">
      <x:c r="A349" s="17" t="str">
        <x:v>U00343</x:v>
      </x:c>
      <x:c r="B349" s="18" t="n">
        <x:v>46273</x:v>
      </x:c>
      <x:c r="C349" s="17" t="str">
        <x:v>W0042</x:v>
      </x:c>
      <x:c r="D349" s="17" t="str">
        <x:v>C001</x:v>
      </x:c>
      <x:c r="E349" s="17" t="str">
        <x:v>CampaignChat</x:v>
      </x:c>
      <x:c r="F349" s="17" t="str">
        <x:v>Lite</x:v>
      </x:c>
      <x:c r="G349" s="17" t="n">
        <x:v>32835</x:v>
      </x:c>
      <x:c r="H349" s="17" t="n">
        <x:v>9677</x:v>
      </x:c>
      <x:c r="I349" s="17" t="str">
        <x:v>Followup</x:v>
      </x:c>
      <x:c r="J349" s="27" t="n">
        <x:f>INDEX('Model Pricing'!$B$7:$B$8,MATCH(F349,'Model Pricing'!$A$7:$A$8,0))</x:f>
        <x:v>10</x:v>
      </x:c>
      <x:c r="K349" s="27" t="n">
        <x:f>INDEX('Model Pricing'!$C$7:$C$8,MATCH(F349,'Model Pricing'!$A$7:$A$8,0))</x:f>
        <x:v>30</x:v>
      </x:c>
      <x:c r="L349" s="17" t="n">
        <x:f>G349+H349</x:f>
        <x:v>42512</x:v>
      </x:c>
      <x:c r="M349" s="28" t="n">
        <x:f>G349*J349/1000000</x:f>
        <x:v>0.32835</x:v>
      </x:c>
      <x:c r="N349" s="28" t="n">
        <x:f>H349*K349/1000000</x:f>
        <x:v>0.29031</x:v>
      </x:c>
      <x:c r="O349" s="28" t="n">
        <x:f>SUM(M349:N349)</x:f>
        <x:v>0.61866</x:v>
      </x:c>
    </x:row>
    <x:row r="350" ht="23" customHeight="1">
      <x:c r="A350" s="17" t="str">
        <x:v>U00344</x:v>
      </x:c>
      <x:c r="B350" s="18" t="n">
        <x:v>46273</x:v>
      </x:c>
      <x:c r="C350" s="17" t="str">
        <x:v>W0042</x:v>
      </x:c>
      <x:c r="D350" s="17" t="str">
        <x:v>C001</x:v>
      </x:c>
      <x:c r="E350" s="17" t="str">
        <x:v>CampaignChat</x:v>
      </x:c>
      <x:c r="F350" s="17" t="str">
        <x:v>Lite</x:v>
      </x:c>
      <x:c r="G350" s="17" t="n">
        <x:v>24623</x:v>
      </x:c>
      <x:c r="H350" s="17" t="n">
        <x:v>7949</x:v>
      </x:c>
      <x:c r="I350" s="17" t="str">
        <x:v>Followup</x:v>
      </x:c>
      <x:c r="J350" s="27" t="n">
        <x:f>INDEX('Model Pricing'!$B$7:$B$8,MATCH(F350,'Model Pricing'!$A$7:$A$8,0))</x:f>
        <x:v>10</x:v>
      </x:c>
      <x:c r="K350" s="27" t="n">
        <x:f>INDEX('Model Pricing'!$C$7:$C$8,MATCH(F350,'Model Pricing'!$A$7:$A$8,0))</x:f>
        <x:v>30</x:v>
      </x:c>
      <x:c r="L350" s="17" t="n">
        <x:f>G350+H350</x:f>
        <x:v>32572</x:v>
      </x:c>
      <x:c r="M350" s="28" t="n">
        <x:f>G350*J350/1000000</x:f>
        <x:v>0.24623</x:v>
      </x:c>
      <x:c r="N350" s="28" t="n">
        <x:f>H350*K350/1000000</x:f>
        <x:v>0.23847</x:v>
      </x:c>
      <x:c r="O350" s="28" t="n">
        <x:f>SUM(M350:N350)</x:f>
        <x:v>0.4847</x:v>
      </x:c>
    </x:row>
    <x:row r="351" ht="23" customHeight="1">
      <x:c r="A351" s="17" t="str">
        <x:v>U00345</x:v>
      </x:c>
      <x:c r="B351" s="18" t="n">
        <x:v>46274</x:v>
      </x:c>
      <x:c r="C351" s="17" t="str">
        <x:v>W0042</x:v>
      </x:c>
      <x:c r="D351" s="17" t="str">
        <x:v>C001</x:v>
      </x:c>
      <x:c r="E351" s="17" t="str">
        <x:v>CampaignChat</x:v>
      </x:c>
      <x:c r="F351" s="17" t="str">
        <x:v>Lite</x:v>
      </x:c>
      <x:c r="G351" s="17" t="n">
        <x:v>18100</x:v>
      </x:c>
      <x:c r="H351" s="17" t="n">
        <x:v>2977</x:v>
      </x:c>
      <x:c r="I351" s="17" t="str">
        <x:v>Followup</x:v>
      </x:c>
      <x:c r="J351" s="27" t="n">
        <x:f>INDEX('Model Pricing'!$B$7:$B$8,MATCH(F351,'Model Pricing'!$A$7:$A$8,0))</x:f>
        <x:v>10</x:v>
      </x:c>
      <x:c r="K351" s="27" t="n">
        <x:f>INDEX('Model Pricing'!$C$7:$C$8,MATCH(F351,'Model Pricing'!$A$7:$A$8,0))</x:f>
        <x:v>30</x:v>
      </x:c>
      <x:c r="L351" s="17" t="n">
        <x:f>G351+H351</x:f>
        <x:v>21077</x:v>
      </x:c>
      <x:c r="M351" s="28" t="n">
        <x:f>G351*J351/1000000</x:f>
        <x:v>0.181</x:v>
      </x:c>
      <x:c r="N351" s="28" t="n">
        <x:f>H351*K351/1000000</x:f>
        <x:v>0.08931</x:v>
      </x:c>
      <x:c r="O351" s="28" t="n">
        <x:f>SUM(M351:N351)</x:f>
        <x:v>0.27031</x:v>
      </x:c>
    </x:row>
    <x:row r="352" ht="23" customHeight="1">
      <x:c r="A352" s="17" t="str">
        <x:v>U00346</x:v>
      </x:c>
      <x:c r="B352" s="18" t="n">
        <x:v>46274</x:v>
      </x:c>
      <x:c r="C352" s="17" t="str">
        <x:v>W0042</x:v>
      </x:c>
      <x:c r="D352" s="17" t="str">
        <x:v>C001</x:v>
      </x:c>
      <x:c r="E352" s="17" t="str">
        <x:v>CampaignChat</x:v>
      </x:c>
      <x:c r="F352" s="17" t="str">
        <x:v>Lite</x:v>
      </x:c>
      <x:c r="G352" s="17" t="n">
        <x:v>22703</x:v>
      </x:c>
      <x:c r="H352" s="17" t="n">
        <x:v>9868</x:v>
      </x:c>
      <x:c r="I352" s="17" t="str">
        <x:v>Followup</x:v>
      </x:c>
      <x:c r="J352" s="27" t="n">
        <x:f>INDEX('Model Pricing'!$B$7:$B$8,MATCH(F352,'Model Pricing'!$A$7:$A$8,0))</x:f>
        <x:v>10</x:v>
      </x:c>
      <x:c r="K352" s="27" t="n">
        <x:f>INDEX('Model Pricing'!$C$7:$C$8,MATCH(F352,'Model Pricing'!$A$7:$A$8,0))</x:f>
        <x:v>30</x:v>
      </x:c>
      <x:c r="L352" s="17" t="n">
        <x:f>G352+H352</x:f>
        <x:v>32571</x:v>
      </x:c>
      <x:c r="M352" s="28" t="n">
        <x:f>G352*J352/1000000</x:f>
        <x:v>0.22703</x:v>
      </x:c>
      <x:c r="N352" s="28" t="n">
        <x:f>H352*K352/1000000</x:f>
        <x:v>0.29604</x:v>
      </x:c>
      <x:c r="O352" s="28" t="n">
        <x:f>SUM(M352:N352)</x:f>
        <x:v>0.52307</x:v>
      </x:c>
    </x:row>
    <x:row r="353" ht="23" customHeight="1">
      <x:c r="A353" s="17" t="str">
        <x:v>U00347</x:v>
      </x:c>
      <x:c r="B353" s="18" t="n">
        <x:v>46280</x:v>
      </x:c>
      <x:c r="C353" s="17" t="str">
        <x:v>W0043</x:v>
      </x:c>
      <x:c r="D353" s="17" t="str">
        <x:v>C001</x:v>
      </x:c>
      <x:c r="E353" s="17" t="str">
        <x:v>CampaignChat</x:v>
      </x:c>
      <x:c r="F353" s="17" t="str">
        <x:v>Lite</x:v>
      </x:c>
      <x:c r="G353" s="17" t="n">
        <x:v>25590</x:v>
      </x:c>
      <x:c r="H353" s="17" t="n">
        <x:v>8735</x:v>
      </x:c>
      <x:c r="I353" s="17" t="str">
        <x:v>First attempt</x:v>
      </x:c>
      <x:c r="J353" s="27" t="n">
        <x:f>INDEX('Model Pricing'!$B$7:$B$8,MATCH(F353,'Model Pricing'!$A$7:$A$8,0))</x:f>
        <x:v>10</x:v>
      </x:c>
      <x:c r="K353" s="27" t="n">
        <x:f>INDEX('Model Pricing'!$C$7:$C$8,MATCH(F353,'Model Pricing'!$A$7:$A$8,0))</x:f>
        <x:v>30</x:v>
      </x:c>
      <x:c r="L353" s="17" t="n">
        <x:f>G353+H353</x:f>
        <x:v>34325</x:v>
      </x:c>
      <x:c r="M353" s="28" t="n">
        <x:f>G353*J353/1000000</x:f>
        <x:v>0.2559</x:v>
      </x:c>
      <x:c r="N353" s="28" t="n">
        <x:f>H353*K353/1000000</x:f>
        <x:v>0.26205</x:v>
      </x:c>
      <x:c r="O353" s="28" t="n">
        <x:f>SUM(M353:N353)</x:f>
        <x:v>0.51795</x:v>
      </x:c>
    </x:row>
    <x:row r="354" ht="23" customHeight="1">
      <x:c r="A354" s="17" t="str">
        <x:v>U00348</x:v>
      </x:c>
      <x:c r="B354" s="18" t="n">
        <x:v>46280</x:v>
      </x:c>
      <x:c r="C354" s="17" t="str">
        <x:v>W0043</x:v>
      </x:c>
      <x:c r="D354" s="17" t="str">
        <x:v>C001</x:v>
      </x:c>
      <x:c r="E354" s="17" t="str">
        <x:v>CampaignChat</x:v>
      </x:c>
      <x:c r="F354" s="17" t="str">
        <x:v>Lite</x:v>
      </x:c>
      <x:c r="G354" s="17" t="n">
        <x:v>47318</x:v>
      </x:c>
      <x:c r="H354" s="17" t="n">
        <x:v>4361</x:v>
      </x:c>
      <x:c r="I354" s="17" t="str">
        <x:v>Followup</x:v>
      </x:c>
      <x:c r="J354" s="27" t="n">
        <x:f>INDEX('Model Pricing'!$B$7:$B$8,MATCH(F354,'Model Pricing'!$A$7:$A$8,0))</x:f>
        <x:v>10</x:v>
      </x:c>
      <x:c r="K354" s="27" t="n">
        <x:f>INDEX('Model Pricing'!$C$7:$C$8,MATCH(F354,'Model Pricing'!$A$7:$A$8,0))</x:f>
        <x:v>30</x:v>
      </x:c>
      <x:c r="L354" s="17" t="n">
        <x:f>G354+H354</x:f>
        <x:v>51679</x:v>
      </x:c>
      <x:c r="M354" s="28" t="n">
        <x:f>G354*J354/1000000</x:f>
        <x:v>0.47318</x:v>
      </x:c>
      <x:c r="N354" s="28" t="n">
        <x:f>H354*K354/1000000</x:f>
        <x:v>0.13083</x:v>
      </x:c>
      <x:c r="O354" s="28" t="n">
        <x:f>SUM(M354:N354)</x:f>
        <x:v>0.6040099999999999</x:v>
      </x:c>
    </x:row>
    <x:row r="355" ht="23" customHeight="1">
      <x:c r="A355" s="17" t="str">
        <x:v>U00349</x:v>
      </x:c>
      <x:c r="B355" s="18" t="n">
        <x:v>46280</x:v>
      </x:c>
      <x:c r="C355" s="17" t="str">
        <x:v>W0043</x:v>
      </x:c>
      <x:c r="D355" s="17" t="str">
        <x:v>C001</x:v>
      </x:c>
      <x:c r="E355" s="17" t="str">
        <x:v>CampaignChat</x:v>
      </x:c>
      <x:c r="F355" s="17" t="str">
        <x:v>Lite</x:v>
      </x:c>
      <x:c r="G355" s="17" t="n">
        <x:v>42327</x:v>
      </x:c>
      <x:c r="H355" s="17" t="n">
        <x:v>4069</x:v>
      </x:c>
      <x:c r="I355" s="17" t="str">
        <x:v>Followup</x:v>
      </x:c>
      <x:c r="J355" s="27" t="n">
        <x:f>INDEX('Model Pricing'!$B$7:$B$8,MATCH(F355,'Model Pricing'!$A$7:$A$8,0))</x:f>
        <x:v>10</x:v>
      </x:c>
      <x:c r="K355" s="27" t="n">
        <x:f>INDEX('Model Pricing'!$C$7:$C$8,MATCH(F355,'Model Pricing'!$A$7:$A$8,0))</x:f>
        <x:v>30</x:v>
      </x:c>
      <x:c r="L355" s="17" t="n">
        <x:f>G355+H355</x:f>
        <x:v>46396</x:v>
      </x:c>
      <x:c r="M355" s="28" t="n">
        <x:f>G355*J355/1000000</x:f>
        <x:v>0.42327</x:v>
      </x:c>
      <x:c r="N355" s="28" t="n">
        <x:f>H355*K355/1000000</x:f>
        <x:v>0.12207</x:v>
      </x:c>
      <x:c r="O355" s="28" t="n">
        <x:f>SUM(M355:N355)</x:f>
        <x:v>0.5453399999999999</x:v>
      </x:c>
    </x:row>
    <x:row r="356" ht="23" customHeight="1">
      <x:c r="A356" s="17" t="str">
        <x:v>U00350</x:v>
      </x:c>
      <x:c r="B356" s="18" t="n">
        <x:v>46281</x:v>
      </x:c>
      <x:c r="C356" s="17" t="str">
        <x:v>W0043</x:v>
      </x:c>
      <x:c r="D356" s="17" t="str">
        <x:v>C001</x:v>
      </x:c>
      <x:c r="E356" s="17" t="str">
        <x:v>CampaignChat</x:v>
      </x:c>
      <x:c r="F356" s="17" t="str">
        <x:v>Lite</x:v>
      </x:c>
      <x:c r="G356" s="17" t="n">
        <x:v>20953</x:v>
      </x:c>
      <x:c r="H356" s="17" t="n">
        <x:v>3090</x:v>
      </x:c>
      <x:c r="I356" s="17" t="str">
        <x:v>Followup</x:v>
      </x:c>
      <x:c r="J356" s="27" t="n">
        <x:f>INDEX('Model Pricing'!$B$7:$B$8,MATCH(F356,'Model Pricing'!$A$7:$A$8,0))</x:f>
        <x:v>10</x:v>
      </x:c>
      <x:c r="K356" s="27" t="n">
        <x:f>INDEX('Model Pricing'!$C$7:$C$8,MATCH(F356,'Model Pricing'!$A$7:$A$8,0))</x:f>
        <x:v>30</x:v>
      </x:c>
      <x:c r="L356" s="17" t="n">
        <x:f>G356+H356</x:f>
        <x:v>24043</x:v>
      </x:c>
      <x:c r="M356" s="28" t="n">
        <x:f>G356*J356/1000000</x:f>
        <x:v>0.20953</x:v>
      </x:c>
      <x:c r="N356" s="28" t="n">
        <x:f>H356*K356/1000000</x:f>
        <x:v>0.0927</x:v>
      </x:c>
      <x:c r="O356" s="28" t="n">
        <x:f>SUM(M356:N356)</x:f>
        <x:v>0.30223</x:v>
      </x:c>
    </x:row>
    <x:row r="357" ht="23" customHeight="1">
      <x:c r="A357" s="17" t="str">
        <x:v>U00351</x:v>
      </x:c>
      <x:c r="B357" s="18" t="n">
        <x:v>46281</x:v>
      </x:c>
      <x:c r="C357" s="17" t="str">
        <x:v>W0043</x:v>
      </x:c>
      <x:c r="D357" s="17" t="str">
        <x:v>C001</x:v>
      </x:c>
      <x:c r="E357" s="17" t="str">
        <x:v>CampaignChat</x:v>
      </x:c>
      <x:c r="F357" s="17" t="str">
        <x:v>Lite</x:v>
      </x:c>
      <x:c r="G357" s="17" t="n">
        <x:v>51143</x:v>
      </x:c>
      <x:c r="H357" s="17" t="n">
        <x:v>4925</x:v>
      </x:c>
      <x:c r="I357" s="17" t="str">
        <x:v>Followup</x:v>
      </x:c>
      <x:c r="J357" s="27" t="n">
        <x:f>INDEX('Model Pricing'!$B$7:$B$8,MATCH(F357,'Model Pricing'!$A$7:$A$8,0))</x:f>
        <x:v>10</x:v>
      </x:c>
      <x:c r="K357" s="27" t="n">
        <x:f>INDEX('Model Pricing'!$C$7:$C$8,MATCH(F357,'Model Pricing'!$A$7:$A$8,0))</x:f>
        <x:v>30</x:v>
      </x:c>
      <x:c r="L357" s="17" t="n">
        <x:f>G357+H357</x:f>
        <x:v>56068</x:v>
      </x:c>
      <x:c r="M357" s="28" t="n">
        <x:f>G357*J357/1000000</x:f>
        <x:v>0.51143</x:v>
      </x:c>
      <x:c r="N357" s="28" t="n">
        <x:f>H357*K357/1000000</x:f>
        <x:v>0.14775</x:v>
      </x:c>
      <x:c r="O357" s="28" t="n">
        <x:f>SUM(M357:N357)</x:f>
        <x:v>0.6591800000000001</x:v>
      </x:c>
    </x:row>
    <x:row r="358" ht="23" customHeight="1">
      <x:c r="A358" s="17" t="str">
        <x:v>U00352</x:v>
      </x:c>
      <x:c r="B358" s="18" t="n">
        <x:v>46282</x:v>
      </x:c>
      <x:c r="C358" s="17" t="str">
        <x:v>W0043</x:v>
      </x:c>
      <x:c r="D358" s="17" t="str">
        <x:v>C001</x:v>
      </x:c>
      <x:c r="E358" s="17" t="str">
        <x:v>CampaignChat</x:v>
      </x:c>
      <x:c r="F358" s="17" t="str">
        <x:v>Lite</x:v>
      </x:c>
      <x:c r="G358" s="17" t="n">
        <x:v>35227</x:v>
      </x:c>
      <x:c r="H358" s="17" t="n">
        <x:v>7739</x:v>
      </x:c>
      <x:c r="I358" s="17" t="str">
        <x:v>Followup</x:v>
      </x:c>
      <x:c r="J358" s="27" t="n">
        <x:f>INDEX('Model Pricing'!$B$7:$B$8,MATCH(F358,'Model Pricing'!$A$7:$A$8,0))</x:f>
        <x:v>10</x:v>
      </x:c>
      <x:c r="K358" s="27" t="n">
        <x:f>INDEX('Model Pricing'!$C$7:$C$8,MATCH(F358,'Model Pricing'!$A$7:$A$8,0))</x:f>
        <x:v>30</x:v>
      </x:c>
      <x:c r="L358" s="17" t="n">
        <x:f>G358+H358</x:f>
        <x:v>42966</x:v>
      </x:c>
      <x:c r="M358" s="28" t="n">
        <x:f>G358*J358/1000000</x:f>
        <x:v>0.35227</x:v>
      </x:c>
      <x:c r="N358" s="28" t="n">
        <x:f>H358*K358/1000000</x:f>
        <x:v>0.23217</x:v>
      </x:c>
      <x:c r="O358" s="28" t="n">
        <x:f>SUM(M358:N358)</x:f>
        <x:v>0.5844400000000001</x:v>
      </x:c>
    </x:row>
    <x:row r="359" ht="23" customHeight="1">
      <x:c r="A359" s="17" t="str">
        <x:v>U00353</x:v>
      </x:c>
      <x:c r="B359" s="18" t="n">
        <x:v>46282</x:v>
      </x:c>
      <x:c r="C359" s="17" t="str">
        <x:v>W0043</x:v>
      </x:c>
      <x:c r="D359" s="17" t="str">
        <x:v>C001</x:v>
      </x:c>
      <x:c r="E359" s="17" t="str">
        <x:v>CampaignChat</x:v>
      </x:c>
      <x:c r="F359" s="17" t="str">
        <x:v>Lite</x:v>
      </x:c>
      <x:c r="G359" s="17" t="n">
        <x:v>51436</x:v>
      </x:c>
      <x:c r="H359" s="17" t="n">
        <x:v>3429</x:v>
      </x:c>
      <x:c r="I359" s="17" t="str">
        <x:v>Correction</x:v>
      </x:c>
      <x:c r="J359" s="27" t="n">
        <x:f>INDEX('Model Pricing'!$B$7:$B$8,MATCH(F359,'Model Pricing'!$A$7:$A$8,0))</x:f>
        <x:v>10</x:v>
      </x:c>
      <x:c r="K359" s="27" t="n">
        <x:f>INDEX('Model Pricing'!$C$7:$C$8,MATCH(F359,'Model Pricing'!$A$7:$A$8,0))</x:f>
        <x:v>30</x:v>
      </x:c>
      <x:c r="L359" s="17" t="n">
        <x:f>G359+H359</x:f>
        <x:v>54865</x:v>
      </x:c>
      <x:c r="M359" s="28" t="n">
        <x:f>G359*J359/1000000</x:f>
        <x:v>0.51436</x:v>
      </x:c>
      <x:c r="N359" s="28" t="n">
        <x:f>H359*K359/1000000</x:f>
        <x:v>0.10287</x:v>
      </x:c>
      <x:c r="O359" s="28" t="n">
        <x:f>SUM(M359:N359)</x:f>
        <x:v>0.6172300000000001</x:v>
      </x:c>
    </x:row>
    <x:row r="360" ht="23" customHeight="1">
      <x:c r="A360" s="17" t="str">
        <x:v>U00354</x:v>
      </x:c>
      <x:c r="B360" s="18" t="n">
        <x:v>46282</x:v>
      </x:c>
      <x:c r="C360" s="17" t="str">
        <x:v>W0043</x:v>
      </x:c>
      <x:c r="D360" s="17" t="str">
        <x:v>C001</x:v>
      </x:c>
      <x:c r="E360" s="17" t="str">
        <x:v>CampaignChat</x:v>
      </x:c>
      <x:c r="F360" s="17" t="str">
        <x:v>Lite</x:v>
      </x:c>
      <x:c r="G360" s="17" t="n">
        <x:v>28170</x:v>
      </x:c>
      <x:c r="H360" s="17" t="n">
        <x:v>6772</x:v>
      </x:c>
      <x:c r="I360" s="17" t="str">
        <x:v>Followup</x:v>
      </x:c>
      <x:c r="J360" s="27" t="n">
        <x:f>INDEX('Model Pricing'!$B$7:$B$8,MATCH(F360,'Model Pricing'!$A$7:$A$8,0))</x:f>
        <x:v>10</x:v>
      </x:c>
      <x:c r="K360" s="27" t="n">
        <x:f>INDEX('Model Pricing'!$C$7:$C$8,MATCH(F360,'Model Pricing'!$A$7:$A$8,0))</x:f>
        <x:v>30</x:v>
      </x:c>
      <x:c r="L360" s="17" t="n">
        <x:f>G360+H360</x:f>
        <x:v>34942</x:v>
      </x:c>
      <x:c r="M360" s="28" t="n">
        <x:f>G360*J360/1000000</x:f>
        <x:v>0.2817</x:v>
      </x:c>
      <x:c r="N360" s="28" t="n">
        <x:f>H360*K360/1000000</x:f>
        <x:v>0.20316</x:v>
      </x:c>
      <x:c r="O360" s="28" t="n">
        <x:f>SUM(M360:N360)</x:f>
        <x:v>0.48486</x:v>
      </x:c>
    </x:row>
    <x:row r="361" ht="23" customHeight="1">
      <x:c r="A361" s="17" t="str">
        <x:v>U00355</x:v>
      </x:c>
      <x:c r="B361" s="18" t="n">
        <x:v>46283</x:v>
      </x:c>
      <x:c r="C361" s="17" t="str">
        <x:v>W0043</x:v>
      </x:c>
      <x:c r="D361" s="17" t="str">
        <x:v>C001</x:v>
      </x:c>
      <x:c r="E361" s="17" t="str">
        <x:v>CampaignChat</x:v>
      </x:c>
      <x:c r="F361" s="17" t="str">
        <x:v>Lite</x:v>
      </x:c>
      <x:c r="G361" s="17" t="n">
        <x:v>44606</x:v>
      </x:c>
      <x:c r="H361" s="17" t="n">
        <x:v>5899</x:v>
      </x:c>
      <x:c r="I361" s="17" t="str">
        <x:v>Followup</x:v>
      </x:c>
      <x:c r="J361" s="27" t="n">
        <x:f>INDEX('Model Pricing'!$B$7:$B$8,MATCH(F361,'Model Pricing'!$A$7:$A$8,0))</x:f>
        <x:v>10</x:v>
      </x:c>
      <x:c r="K361" s="27" t="n">
        <x:f>INDEX('Model Pricing'!$C$7:$C$8,MATCH(F361,'Model Pricing'!$A$7:$A$8,0))</x:f>
        <x:v>30</x:v>
      </x:c>
      <x:c r="L361" s="17" t="n">
        <x:f>G361+H361</x:f>
        <x:v>50505</x:v>
      </x:c>
      <x:c r="M361" s="28" t="n">
        <x:f>G361*J361/1000000</x:f>
        <x:v>0.44606</x:v>
      </x:c>
      <x:c r="N361" s="28" t="n">
        <x:f>H361*K361/1000000</x:f>
        <x:v>0.17697</x:v>
      </x:c>
      <x:c r="O361" s="28" t="n">
        <x:f>SUM(M361:N361)</x:f>
        <x:v>0.62303</x:v>
      </x:c>
    </x:row>
    <x:row r="362" ht="23" customHeight="1">
      <x:c r="A362" s="17" t="str">
        <x:v>U00356</x:v>
      </x:c>
      <x:c r="B362" s="18" t="n">
        <x:v>46283</x:v>
      </x:c>
      <x:c r="C362" s="17" t="str">
        <x:v>W0043</x:v>
      </x:c>
      <x:c r="D362" s="17" t="str">
        <x:v>C001</x:v>
      </x:c>
      <x:c r="E362" s="17" t="str">
        <x:v>CampaignChat</x:v>
      </x:c>
      <x:c r="F362" s="17" t="str">
        <x:v>Lite</x:v>
      </x:c>
      <x:c r="G362" s="17" t="n">
        <x:v>37098</x:v>
      </x:c>
      <x:c r="H362" s="17" t="n">
        <x:v>9397</x:v>
      </x:c>
      <x:c r="I362" s="17" t="str">
        <x:v>Followup</x:v>
      </x:c>
      <x:c r="J362" s="27" t="n">
        <x:f>INDEX('Model Pricing'!$B$7:$B$8,MATCH(F362,'Model Pricing'!$A$7:$A$8,0))</x:f>
        <x:v>10</x:v>
      </x:c>
      <x:c r="K362" s="27" t="n">
        <x:f>INDEX('Model Pricing'!$C$7:$C$8,MATCH(F362,'Model Pricing'!$A$7:$A$8,0))</x:f>
        <x:v>30</x:v>
      </x:c>
      <x:c r="L362" s="17" t="n">
        <x:f>G362+H362</x:f>
        <x:v>46495</x:v>
      </x:c>
      <x:c r="M362" s="28" t="n">
        <x:f>G362*J362/1000000</x:f>
        <x:v>0.37098</x:v>
      </x:c>
      <x:c r="N362" s="28" t="n">
        <x:f>H362*K362/1000000</x:f>
        <x:v>0.28191</x:v>
      </x:c>
      <x:c r="O362" s="28" t="n">
        <x:f>SUM(M362:N362)</x:f>
        <x:v>0.65289</x:v>
      </x:c>
    </x:row>
    <x:row r="363" ht="23" customHeight="1">
      <x:c r="A363" s="17" t="str">
        <x:v>U00357</x:v>
      </x:c>
      <x:c r="B363" s="18" t="n">
        <x:v>46274</x:v>
      </x:c>
      <x:c r="C363" s="17" t="str">
        <x:v>W0045</x:v>
      </x:c>
      <x:c r="D363" s="17" t="str">
        <x:v>C001</x:v>
      </x:c>
      <x:c r="E363" s="17" t="str">
        <x:v>DataFlow</x:v>
      </x:c>
      <x:c r="F363" s="17" t="str">
        <x:v>Lite</x:v>
      </x:c>
      <x:c r="G363" s="17" t="n">
        <x:v>39936</x:v>
      </x:c>
      <x:c r="H363" s="17" t="n">
        <x:v>7567</x:v>
      </x:c>
      <x:c r="I363" s="17" t="str">
        <x:v>First attempt</x:v>
      </x:c>
      <x:c r="J363" s="27" t="n">
        <x:f>INDEX('Model Pricing'!$B$7:$B$8,MATCH(F363,'Model Pricing'!$A$7:$A$8,0))</x:f>
        <x:v>10</x:v>
      </x:c>
      <x:c r="K363" s="27" t="n">
        <x:f>INDEX('Model Pricing'!$C$7:$C$8,MATCH(F363,'Model Pricing'!$A$7:$A$8,0))</x:f>
        <x:v>30</x:v>
      </x:c>
      <x:c r="L363" s="17" t="n">
        <x:f>G363+H363</x:f>
        <x:v>47503</x:v>
      </x:c>
      <x:c r="M363" s="28" t="n">
        <x:f>G363*J363/1000000</x:f>
        <x:v>0.39936</x:v>
      </x:c>
      <x:c r="N363" s="28" t="n">
        <x:f>H363*K363/1000000</x:f>
        <x:v>0.22701</x:v>
      </x:c>
      <x:c r="O363" s="28" t="n">
        <x:f>SUM(M363:N363)</x:f>
        <x:v>0.62637</x:v>
      </x:c>
    </x:row>
    <x:row r="364" ht="23" customHeight="1">
      <x:c r="A364" s="17" t="str">
        <x:v>U00358</x:v>
      </x:c>
      <x:c r="B364" s="18" t="n">
        <x:v>46274</x:v>
      </x:c>
      <x:c r="C364" s="17" t="str">
        <x:v>W0045</x:v>
      </x:c>
      <x:c r="D364" s="17" t="str">
        <x:v>C001</x:v>
      </x:c>
      <x:c r="E364" s="17" t="str">
        <x:v>DataFlow</x:v>
      </x:c>
      <x:c r="F364" s="17" t="str">
        <x:v>Lite</x:v>
      </x:c>
      <x:c r="G364" s="17" t="n">
        <x:v>51785</x:v>
      </x:c>
      <x:c r="H364" s="17" t="n">
        <x:v>7102</x:v>
      </x:c>
      <x:c r="I364" s="17" t="str">
        <x:v>Followup</x:v>
      </x:c>
      <x:c r="J364" s="27" t="n">
        <x:f>INDEX('Model Pricing'!$B$7:$B$8,MATCH(F364,'Model Pricing'!$A$7:$A$8,0))</x:f>
        <x:v>10</x:v>
      </x:c>
      <x:c r="K364" s="27" t="n">
        <x:f>INDEX('Model Pricing'!$C$7:$C$8,MATCH(F364,'Model Pricing'!$A$7:$A$8,0))</x:f>
        <x:v>30</x:v>
      </x:c>
      <x:c r="L364" s="17" t="n">
        <x:f>G364+H364</x:f>
        <x:v>58887</x:v>
      </x:c>
      <x:c r="M364" s="28" t="n">
        <x:f>G364*J364/1000000</x:f>
        <x:v>0.51785</x:v>
      </x:c>
      <x:c r="N364" s="28" t="n">
        <x:f>H364*K364/1000000</x:f>
        <x:v>0.21306</x:v>
      </x:c>
      <x:c r="O364" s="28" t="n">
        <x:f>SUM(M364:N364)</x:f>
        <x:v>0.7309100000000001</x:v>
      </x:c>
    </x:row>
    <x:row r="365" ht="23" customHeight="1">
      <x:c r="A365" s="17" t="str">
        <x:v>U00359</x:v>
      </x:c>
      <x:c r="B365" s="18" t="n">
        <x:v>46274</x:v>
      </x:c>
      <x:c r="C365" s="17" t="str">
        <x:v>W0045</x:v>
      </x:c>
      <x:c r="D365" s="17" t="str">
        <x:v>C001</x:v>
      </x:c>
      <x:c r="E365" s="17" t="str">
        <x:v>DataFlow</x:v>
      </x:c>
      <x:c r="F365" s="17" t="str">
        <x:v>Lite</x:v>
      </x:c>
      <x:c r="G365" s="17" t="n">
        <x:v>43245</x:v>
      </x:c>
      <x:c r="H365" s="17" t="n">
        <x:v>5599</x:v>
      </x:c>
      <x:c r="I365" s="17" t="str">
        <x:v>Followup</x:v>
      </x:c>
      <x:c r="J365" s="27" t="n">
        <x:f>INDEX('Model Pricing'!$B$7:$B$8,MATCH(F365,'Model Pricing'!$A$7:$A$8,0))</x:f>
        <x:v>10</x:v>
      </x:c>
      <x:c r="K365" s="27" t="n">
        <x:f>INDEX('Model Pricing'!$C$7:$C$8,MATCH(F365,'Model Pricing'!$A$7:$A$8,0))</x:f>
        <x:v>30</x:v>
      </x:c>
      <x:c r="L365" s="17" t="n">
        <x:f>G365+H365</x:f>
        <x:v>48844</x:v>
      </x:c>
      <x:c r="M365" s="28" t="n">
        <x:f>G365*J365/1000000</x:f>
        <x:v>0.43245</x:v>
      </x:c>
      <x:c r="N365" s="28" t="n">
        <x:f>H365*K365/1000000</x:f>
        <x:v>0.16797</x:v>
      </x:c>
      <x:c r="O365" s="28" t="n">
        <x:f>SUM(M365:N365)</x:f>
        <x:v>0.60042</x:v>
      </x:c>
    </x:row>
    <x:row r="366" ht="23" customHeight="1">
      <x:c r="A366" s="17" t="str">
        <x:v>U00360</x:v>
      </x:c>
      <x:c r="B366" s="18" t="n">
        <x:v>46275</x:v>
      </x:c>
      <x:c r="C366" s="17" t="str">
        <x:v>W0045</x:v>
      </x:c>
      <x:c r="D366" s="17" t="str">
        <x:v>C001</x:v>
      </x:c>
      <x:c r="E366" s="17" t="str">
        <x:v>DataFlow</x:v>
      </x:c>
      <x:c r="F366" s="17" t="str">
        <x:v>Lite</x:v>
      </x:c>
      <x:c r="G366" s="17" t="n">
        <x:v>39051</x:v>
      </x:c>
      <x:c r="H366" s="17" t="n">
        <x:v>4212</x:v>
      </x:c>
      <x:c r="I366" s="17" t="str">
        <x:v>Followup</x:v>
      </x:c>
      <x:c r="J366" s="27" t="n">
        <x:f>INDEX('Model Pricing'!$B$7:$B$8,MATCH(F366,'Model Pricing'!$A$7:$A$8,0))</x:f>
        <x:v>10</x:v>
      </x:c>
      <x:c r="K366" s="27" t="n">
        <x:f>INDEX('Model Pricing'!$C$7:$C$8,MATCH(F366,'Model Pricing'!$A$7:$A$8,0))</x:f>
        <x:v>30</x:v>
      </x:c>
      <x:c r="L366" s="17" t="n">
        <x:f>G366+H366</x:f>
        <x:v>43263</x:v>
      </x:c>
      <x:c r="M366" s="28" t="n">
        <x:f>G366*J366/1000000</x:f>
        <x:v>0.39051</x:v>
      </x:c>
      <x:c r="N366" s="28" t="n">
        <x:f>H366*K366/1000000</x:f>
        <x:v>0.12636</x:v>
      </x:c>
      <x:c r="O366" s="28" t="n">
        <x:f>SUM(M366:N366)</x:f>
        <x:v>0.51687</x:v>
      </x:c>
    </x:row>
    <x:row r="367" ht="23" customHeight="1">
      <x:c r="A367" s="17" t="str">
        <x:v>U00361</x:v>
      </x:c>
      <x:c r="B367" s="18" t="n">
        <x:v>46275</x:v>
      </x:c>
      <x:c r="C367" s="17" t="str">
        <x:v>W0045</x:v>
      </x:c>
      <x:c r="D367" s="17" t="str">
        <x:v>C001</x:v>
      </x:c>
      <x:c r="E367" s="17" t="str">
        <x:v>DataFlow</x:v>
      </x:c>
      <x:c r="F367" s="17" t="str">
        <x:v>Lite</x:v>
      </x:c>
      <x:c r="G367" s="17" t="n">
        <x:v>38116</x:v>
      </x:c>
      <x:c r="H367" s="17" t="n">
        <x:v>5242</x:v>
      </x:c>
      <x:c r="I367" s="17" t="str">
        <x:v>Followup</x:v>
      </x:c>
      <x:c r="J367" s="27" t="n">
        <x:f>INDEX('Model Pricing'!$B$7:$B$8,MATCH(F367,'Model Pricing'!$A$7:$A$8,0))</x:f>
        <x:v>10</x:v>
      </x:c>
      <x:c r="K367" s="27" t="n">
        <x:f>INDEX('Model Pricing'!$C$7:$C$8,MATCH(F367,'Model Pricing'!$A$7:$A$8,0))</x:f>
        <x:v>30</x:v>
      </x:c>
      <x:c r="L367" s="17" t="n">
        <x:f>G367+H367</x:f>
        <x:v>43358</x:v>
      </x:c>
      <x:c r="M367" s="28" t="n">
        <x:f>G367*J367/1000000</x:f>
        <x:v>0.38116</x:v>
      </x:c>
      <x:c r="N367" s="28" t="n">
        <x:f>H367*K367/1000000</x:f>
        <x:v>0.15726</x:v>
      </x:c>
      <x:c r="O367" s="28" t="n">
        <x:f>SUM(M367:N367)</x:f>
        <x:v>0.53842</x:v>
      </x:c>
    </x:row>
    <x:row r="368" ht="23" customHeight="1">
      <x:c r="A368" s="17" t="str">
        <x:v>U00362</x:v>
      </x:c>
      <x:c r="B368" s="18" t="n">
        <x:v>46276</x:v>
      </x:c>
      <x:c r="C368" s="17" t="str">
        <x:v>W0045</x:v>
      </x:c>
      <x:c r="D368" s="17" t="str">
        <x:v>C001</x:v>
      </x:c>
      <x:c r="E368" s="17" t="str">
        <x:v>DataFlow</x:v>
      </x:c>
      <x:c r="F368" s="17" t="str">
        <x:v>Lite</x:v>
      </x:c>
      <x:c r="G368" s="17" t="n">
        <x:v>49155</x:v>
      </x:c>
      <x:c r="H368" s="17" t="n">
        <x:v>5986</x:v>
      </x:c>
      <x:c r="I368" s="17" t="str">
        <x:v>Followup</x:v>
      </x:c>
      <x:c r="J368" s="27" t="n">
        <x:f>INDEX('Model Pricing'!$B$7:$B$8,MATCH(F368,'Model Pricing'!$A$7:$A$8,0))</x:f>
        <x:v>10</x:v>
      </x:c>
      <x:c r="K368" s="27" t="n">
        <x:f>INDEX('Model Pricing'!$C$7:$C$8,MATCH(F368,'Model Pricing'!$A$7:$A$8,0))</x:f>
        <x:v>30</x:v>
      </x:c>
      <x:c r="L368" s="17" t="n">
        <x:f>G368+H368</x:f>
        <x:v>55141</x:v>
      </x:c>
      <x:c r="M368" s="28" t="n">
        <x:f>G368*J368/1000000</x:f>
        <x:v>0.49155</x:v>
      </x:c>
      <x:c r="N368" s="28" t="n">
        <x:f>H368*K368/1000000</x:f>
        <x:v>0.17958</x:v>
      </x:c>
      <x:c r="O368" s="28" t="n">
        <x:f>SUM(M368:N368)</x:f>
        <x:v>0.67113</x:v>
      </x:c>
    </x:row>
    <x:row r="369" ht="23" customHeight="1">
      <x:c r="A369" s="17" t="str">
        <x:v>U00363</x:v>
      </x:c>
      <x:c r="B369" s="18" t="n">
        <x:v>46276</x:v>
      </x:c>
      <x:c r="C369" s="17" t="str">
        <x:v>W0045</x:v>
      </x:c>
      <x:c r="D369" s="17" t="str">
        <x:v>C001</x:v>
      </x:c>
      <x:c r="E369" s="17" t="str">
        <x:v>DataFlow</x:v>
      </x:c>
      <x:c r="F369" s="17" t="str">
        <x:v>Lite</x:v>
      </x:c>
      <x:c r="G369" s="17" t="n">
        <x:v>20525</x:v>
      </x:c>
      <x:c r="H369" s="17" t="n">
        <x:v>6694</x:v>
      </x:c>
      <x:c r="I369" s="17" t="str">
        <x:v>Correction</x:v>
      </x:c>
      <x:c r="J369" s="27" t="n">
        <x:f>INDEX('Model Pricing'!$B$7:$B$8,MATCH(F369,'Model Pricing'!$A$7:$A$8,0))</x:f>
        <x:v>10</x:v>
      </x:c>
      <x:c r="K369" s="27" t="n">
        <x:f>INDEX('Model Pricing'!$C$7:$C$8,MATCH(F369,'Model Pricing'!$A$7:$A$8,0))</x:f>
        <x:v>30</x:v>
      </x:c>
      <x:c r="L369" s="17" t="n">
        <x:f>G369+H369</x:f>
        <x:v>27219</x:v>
      </x:c>
      <x:c r="M369" s="28" t="n">
        <x:f>G369*J369/1000000</x:f>
        <x:v>0.20525</x:v>
      </x:c>
      <x:c r="N369" s="28" t="n">
        <x:f>H369*K369/1000000</x:f>
        <x:v>0.20082</x:v>
      </x:c>
      <x:c r="O369" s="28" t="n">
        <x:f>SUM(M369:N369)</x:f>
        <x:v>0.40607</x:v>
      </x:c>
    </x:row>
    <x:row r="370" ht="23" customHeight="1">
      <x:c r="A370" s="17" t="str">
        <x:v>U00364</x:v>
      </x:c>
      <x:c r="B370" s="18" t="n">
        <x:v>46279</x:v>
      </x:c>
      <x:c r="C370" s="17" t="str">
        <x:v>W0045</x:v>
      </x:c>
      <x:c r="D370" s="17" t="str">
        <x:v>C001</x:v>
      </x:c>
      <x:c r="E370" s="17" t="str">
        <x:v>DataFlow</x:v>
      </x:c>
      <x:c r="F370" s="17" t="str">
        <x:v>Lite</x:v>
      </x:c>
      <x:c r="G370" s="17" t="n">
        <x:v>23506</x:v>
      </x:c>
      <x:c r="H370" s="17" t="n">
        <x:v>7158</x:v>
      </x:c>
      <x:c r="I370" s="17" t="str">
        <x:v>Followup</x:v>
      </x:c>
      <x:c r="J370" s="27" t="n">
        <x:f>INDEX('Model Pricing'!$B$7:$B$8,MATCH(F370,'Model Pricing'!$A$7:$A$8,0))</x:f>
        <x:v>10</x:v>
      </x:c>
      <x:c r="K370" s="27" t="n">
        <x:f>INDEX('Model Pricing'!$C$7:$C$8,MATCH(F370,'Model Pricing'!$A$7:$A$8,0))</x:f>
        <x:v>30</x:v>
      </x:c>
      <x:c r="L370" s="17" t="n">
        <x:f>G370+H370</x:f>
        <x:v>30664</x:v>
      </x:c>
      <x:c r="M370" s="28" t="n">
        <x:f>G370*J370/1000000</x:f>
        <x:v>0.23506</x:v>
      </x:c>
      <x:c r="N370" s="28" t="n">
        <x:f>H370*K370/1000000</x:f>
        <x:v>0.21474</x:v>
      </x:c>
      <x:c r="O370" s="28" t="n">
        <x:f>SUM(M370:N370)</x:f>
        <x:v>0.4498</x:v>
      </x:c>
    </x:row>
    <x:row r="371" ht="23" customHeight="1">
      <x:c r="A371" s="17" t="str">
        <x:v>U00365</x:v>
      </x:c>
      <x:c r="B371" s="18" t="n">
        <x:v>46279</x:v>
      </x:c>
      <x:c r="C371" s="17" t="str">
        <x:v>W0045</x:v>
      </x:c>
      <x:c r="D371" s="17" t="str">
        <x:v>C001</x:v>
      </x:c>
      <x:c r="E371" s="17" t="str">
        <x:v>DataFlow</x:v>
      </x:c>
      <x:c r="F371" s="17" t="str">
        <x:v>Lite</x:v>
      </x:c>
      <x:c r="G371" s="17" t="n">
        <x:v>33777</x:v>
      </x:c>
      <x:c r="H371" s="17" t="n">
        <x:v>6741</x:v>
      </x:c>
      <x:c r="I371" s="17" t="str">
        <x:v>Followup</x:v>
      </x:c>
      <x:c r="J371" s="27" t="n">
        <x:f>INDEX('Model Pricing'!$B$7:$B$8,MATCH(F371,'Model Pricing'!$A$7:$A$8,0))</x:f>
        <x:v>10</x:v>
      </x:c>
      <x:c r="K371" s="27" t="n">
        <x:f>INDEX('Model Pricing'!$C$7:$C$8,MATCH(F371,'Model Pricing'!$A$7:$A$8,0))</x:f>
        <x:v>30</x:v>
      </x:c>
      <x:c r="L371" s="17" t="n">
        <x:f>G371+H371</x:f>
        <x:v>40518</x:v>
      </x:c>
      <x:c r="M371" s="28" t="n">
        <x:f>G371*J371/1000000</x:f>
        <x:v>0.33777</x:v>
      </x:c>
      <x:c r="N371" s="28" t="n">
        <x:f>H371*K371/1000000</x:f>
        <x:v>0.20223</x:v>
      </x:c>
      <x:c r="O371" s="28" t="n">
        <x:f>SUM(M371:N371)</x:f>
        <x:v>0.54</x:v>
      </x:c>
    </x:row>
    <x:row r="372" ht="23" customHeight="1">
      <x:c r="A372" s="17" t="str">
        <x:v>U00366</x:v>
      </x:c>
      <x:c r="B372" s="18" t="n">
        <x:v>46283</x:v>
      </x:c>
      <x:c r="C372" s="17" t="str">
        <x:v>W0046</x:v>
      </x:c>
      <x:c r="D372" s="17" t="str">
        <x:v>C001</x:v>
      </x:c>
      <x:c r="E372" s="17" t="str">
        <x:v>CampaignChat</x:v>
      </x:c>
      <x:c r="F372" s="17" t="str">
        <x:v>Lite</x:v>
      </x:c>
      <x:c r="G372" s="17" t="n">
        <x:v>67411</x:v>
      </x:c>
      <x:c r="H372" s="17" t="n">
        <x:v>6254</x:v>
      </x:c>
      <x:c r="I372" s="17" t="str">
        <x:v>First attempt</x:v>
      </x:c>
      <x:c r="J372" s="27" t="n">
        <x:f>INDEX('Model Pricing'!$B$7:$B$8,MATCH(F372,'Model Pricing'!$A$7:$A$8,0))</x:f>
        <x:v>10</x:v>
      </x:c>
      <x:c r="K372" s="27" t="n">
        <x:f>INDEX('Model Pricing'!$C$7:$C$8,MATCH(F372,'Model Pricing'!$A$7:$A$8,0))</x:f>
        <x:v>30</x:v>
      </x:c>
      <x:c r="L372" s="17" t="n">
        <x:f>G372+H372</x:f>
        <x:v>73665</x:v>
      </x:c>
      <x:c r="M372" s="28" t="n">
        <x:f>G372*J372/1000000</x:f>
        <x:v>0.67411</x:v>
      </x:c>
      <x:c r="N372" s="28" t="n">
        <x:f>H372*K372/1000000</x:f>
        <x:v>0.18762</x:v>
      </x:c>
      <x:c r="O372" s="28" t="n">
        <x:f>SUM(M372:N372)</x:f>
        <x:v>0.86173</x:v>
      </x:c>
    </x:row>
    <x:row r="373" ht="23" customHeight="1">
      <x:c r="A373" s="17" t="str">
        <x:v>U00367</x:v>
      </x:c>
      <x:c r="B373" s="18" t="n">
        <x:v>46283</x:v>
      </x:c>
      <x:c r="C373" s="17" t="str">
        <x:v>W0046</x:v>
      </x:c>
      <x:c r="D373" s="17" t="str">
        <x:v>C001</x:v>
      </x:c>
      <x:c r="E373" s="17" t="str">
        <x:v>CampaignChat</x:v>
      </x:c>
      <x:c r="F373" s="17" t="str">
        <x:v>Lite</x:v>
      </x:c>
      <x:c r="G373" s="17" t="n">
        <x:v>42653</x:v>
      </x:c>
      <x:c r="H373" s="17" t="n">
        <x:v>5057</x:v>
      </x:c>
      <x:c r="I373" s="17" t="str">
        <x:v>Followup</x:v>
      </x:c>
      <x:c r="J373" s="27" t="n">
        <x:f>INDEX('Model Pricing'!$B$7:$B$8,MATCH(F373,'Model Pricing'!$A$7:$A$8,0))</x:f>
        <x:v>10</x:v>
      </x:c>
      <x:c r="K373" s="27" t="n">
        <x:f>INDEX('Model Pricing'!$C$7:$C$8,MATCH(F373,'Model Pricing'!$A$7:$A$8,0))</x:f>
        <x:v>30</x:v>
      </x:c>
      <x:c r="L373" s="17" t="n">
        <x:f>G373+H373</x:f>
        <x:v>47710</x:v>
      </x:c>
      <x:c r="M373" s="28" t="n">
        <x:f>G373*J373/1000000</x:f>
        <x:v>0.42653</x:v>
      </x:c>
      <x:c r="N373" s="28" t="n">
        <x:f>H373*K373/1000000</x:f>
        <x:v>0.15171</x:v>
      </x:c>
      <x:c r="O373" s="28" t="n">
        <x:f>SUM(M373:N373)</x:f>
        <x:v>0.5782400000000001</x:v>
      </x:c>
    </x:row>
    <x:row r="374" ht="23" customHeight="1">
      <x:c r="A374" s="17" t="str">
        <x:v>U00368</x:v>
      </x:c>
      <x:c r="B374" s="18" t="n">
        <x:v>46283</x:v>
      </x:c>
      <x:c r="C374" s="17" t="str">
        <x:v>W0046</x:v>
      </x:c>
      <x:c r="D374" s="17" t="str">
        <x:v>C001</x:v>
      </x:c>
      <x:c r="E374" s="17" t="str">
        <x:v>CampaignChat</x:v>
      </x:c>
      <x:c r="F374" s="17" t="str">
        <x:v>Lite</x:v>
      </x:c>
      <x:c r="G374" s="17" t="n">
        <x:v>73207</x:v>
      </x:c>
      <x:c r="H374" s="17" t="n">
        <x:v>6681</x:v>
      </x:c>
      <x:c r="I374" s="17" t="str">
        <x:v>Correction</x:v>
      </x:c>
      <x:c r="J374" s="27" t="n">
        <x:f>INDEX('Model Pricing'!$B$7:$B$8,MATCH(F374,'Model Pricing'!$A$7:$A$8,0))</x:f>
        <x:v>10</x:v>
      </x:c>
      <x:c r="K374" s="27" t="n">
        <x:f>INDEX('Model Pricing'!$C$7:$C$8,MATCH(F374,'Model Pricing'!$A$7:$A$8,0))</x:f>
        <x:v>30</x:v>
      </x:c>
      <x:c r="L374" s="17" t="n">
        <x:f>G374+H374</x:f>
        <x:v>79888</x:v>
      </x:c>
      <x:c r="M374" s="28" t="n">
        <x:f>G374*J374/1000000</x:f>
        <x:v>0.73207</x:v>
      </x:c>
      <x:c r="N374" s="28" t="n">
        <x:f>H374*K374/1000000</x:f>
        <x:v>0.20043</x:v>
      </x:c>
      <x:c r="O374" s="28" t="n">
        <x:f>SUM(M374:N374)</x:f>
        <x:v>0.9325</x:v>
      </x:c>
    </x:row>
    <x:row r="375" ht="23" customHeight="1">
      <x:c r="A375" s="17" t="str">
        <x:v>U00369</x:v>
      </x:c>
      <x:c r="B375" s="18" t="n">
        <x:v>46286</x:v>
      </x:c>
      <x:c r="C375" s="17" t="str">
        <x:v>W0046</x:v>
      </x:c>
      <x:c r="D375" s="17" t="str">
        <x:v>C001</x:v>
      </x:c>
      <x:c r="E375" s="17" t="str">
        <x:v>CampaignChat</x:v>
      </x:c>
      <x:c r="F375" s="17" t="str">
        <x:v>Lite</x:v>
      </x:c>
      <x:c r="G375" s="17" t="n">
        <x:v>71698</x:v>
      </x:c>
      <x:c r="H375" s="17" t="n">
        <x:v>3991</x:v>
      </x:c>
      <x:c r="I375" s="17" t="str">
        <x:v>Followup</x:v>
      </x:c>
      <x:c r="J375" s="27" t="n">
        <x:f>INDEX('Model Pricing'!$B$7:$B$8,MATCH(F375,'Model Pricing'!$A$7:$A$8,0))</x:f>
        <x:v>10</x:v>
      </x:c>
      <x:c r="K375" s="27" t="n">
        <x:f>INDEX('Model Pricing'!$C$7:$C$8,MATCH(F375,'Model Pricing'!$A$7:$A$8,0))</x:f>
        <x:v>30</x:v>
      </x:c>
      <x:c r="L375" s="17" t="n">
        <x:f>G375+H375</x:f>
        <x:v>75689</x:v>
      </x:c>
      <x:c r="M375" s="28" t="n">
        <x:f>G375*J375/1000000</x:f>
        <x:v>0.71698</x:v>
      </x:c>
      <x:c r="N375" s="28" t="n">
        <x:f>H375*K375/1000000</x:f>
        <x:v>0.11973</x:v>
      </x:c>
      <x:c r="O375" s="28" t="n">
        <x:f>SUM(M375:N375)</x:f>
        <x:v>0.83671</x:v>
      </x:c>
    </x:row>
    <x:row r="376" ht="23" customHeight="1">
      <x:c r="A376" s="17" t="str">
        <x:v>U00370</x:v>
      </x:c>
      <x:c r="B376" s="18" t="n">
        <x:v>46286</x:v>
      </x:c>
      <x:c r="C376" s="17" t="str">
        <x:v>W0046</x:v>
      </x:c>
      <x:c r="D376" s="17" t="str">
        <x:v>C001</x:v>
      </x:c>
      <x:c r="E376" s="17" t="str">
        <x:v>CampaignChat</x:v>
      </x:c>
      <x:c r="F376" s="17" t="str">
        <x:v>Lite</x:v>
      </x:c>
      <x:c r="G376" s="17" t="n">
        <x:v>72387</x:v>
      </x:c>
      <x:c r="H376" s="17" t="n">
        <x:v>7662</x:v>
      </x:c>
      <x:c r="I376" s="17" t="str">
        <x:v>Followup</x:v>
      </x:c>
      <x:c r="J376" s="27" t="n">
        <x:f>INDEX('Model Pricing'!$B$7:$B$8,MATCH(F376,'Model Pricing'!$A$7:$A$8,0))</x:f>
        <x:v>10</x:v>
      </x:c>
      <x:c r="K376" s="27" t="n">
        <x:f>INDEX('Model Pricing'!$C$7:$C$8,MATCH(F376,'Model Pricing'!$A$7:$A$8,0))</x:f>
        <x:v>30</x:v>
      </x:c>
      <x:c r="L376" s="17" t="n">
        <x:f>G376+H376</x:f>
        <x:v>80049</x:v>
      </x:c>
      <x:c r="M376" s="28" t="n">
        <x:f>G376*J376/1000000</x:f>
        <x:v>0.72387</x:v>
      </x:c>
      <x:c r="N376" s="28" t="n">
        <x:f>H376*K376/1000000</x:f>
        <x:v>0.22986</x:v>
      </x:c>
      <x:c r="O376" s="28" t="n">
        <x:f>SUM(M376:N376)</x:f>
        <x:v>0.95373</x:v>
      </x:c>
    </x:row>
    <x:row r="377" ht="23" customHeight="1">
      <x:c r="A377" s="17" t="str">
        <x:v>U00371</x:v>
      </x:c>
      <x:c r="B377" s="18" t="n">
        <x:v>46287</x:v>
      </x:c>
      <x:c r="C377" s="17" t="str">
        <x:v>W0046</x:v>
      </x:c>
      <x:c r="D377" s="17" t="str">
        <x:v>C001</x:v>
      </x:c>
      <x:c r="E377" s="17" t="str">
        <x:v>CampaignChat</x:v>
      </x:c>
      <x:c r="F377" s="17" t="str">
        <x:v>Lite</x:v>
      </x:c>
      <x:c r="G377" s="17" t="n">
        <x:v>32880</x:v>
      </x:c>
      <x:c r="H377" s="17" t="n">
        <x:v>11567</x:v>
      </x:c>
      <x:c r="I377" s="17" t="str">
        <x:v>Followup</x:v>
      </x:c>
      <x:c r="J377" s="27" t="n">
        <x:f>INDEX('Model Pricing'!$B$7:$B$8,MATCH(F377,'Model Pricing'!$A$7:$A$8,0))</x:f>
        <x:v>10</x:v>
      </x:c>
      <x:c r="K377" s="27" t="n">
        <x:f>INDEX('Model Pricing'!$C$7:$C$8,MATCH(F377,'Model Pricing'!$A$7:$A$8,0))</x:f>
        <x:v>30</x:v>
      </x:c>
      <x:c r="L377" s="17" t="n">
        <x:f>G377+H377</x:f>
        <x:v>44447</x:v>
      </x:c>
      <x:c r="M377" s="28" t="n">
        <x:f>G377*J377/1000000</x:f>
        <x:v>0.3288</x:v>
      </x:c>
      <x:c r="N377" s="28" t="n">
        <x:f>H377*K377/1000000</x:f>
        <x:v>0.34701</x:v>
      </x:c>
      <x:c r="O377" s="28" t="n">
        <x:f>SUM(M377:N377)</x:f>
        <x:v>0.67581</x:v>
      </x:c>
    </x:row>
    <x:row r="378" ht="23" customHeight="1">
      <x:c r="A378" s="17" t="str">
        <x:v>U00372</x:v>
      </x:c>
      <x:c r="B378" s="18" t="n">
        <x:v>46287</x:v>
      </x:c>
      <x:c r="C378" s="17" t="str">
        <x:v>W0046</x:v>
      </x:c>
      <x:c r="D378" s="17" t="str">
        <x:v>C001</x:v>
      </x:c>
      <x:c r="E378" s="17" t="str">
        <x:v>CampaignChat</x:v>
      </x:c>
      <x:c r="F378" s="17" t="str">
        <x:v>Lite</x:v>
      </x:c>
      <x:c r="G378" s="17" t="n">
        <x:v>29015</x:v>
      </x:c>
      <x:c r="H378" s="17" t="n">
        <x:v>8925</x:v>
      </x:c>
      <x:c r="I378" s="17" t="str">
        <x:v>Followup</x:v>
      </x:c>
      <x:c r="J378" s="27" t="n">
        <x:f>INDEX('Model Pricing'!$B$7:$B$8,MATCH(F378,'Model Pricing'!$A$7:$A$8,0))</x:f>
        <x:v>10</x:v>
      </x:c>
      <x:c r="K378" s="27" t="n">
        <x:f>INDEX('Model Pricing'!$C$7:$C$8,MATCH(F378,'Model Pricing'!$A$7:$A$8,0))</x:f>
        <x:v>30</x:v>
      </x:c>
      <x:c r="L378" s="17" t="n">
        <x:f>G378+H378</x:f>
        <x:v>37940</x:v>
      </x:c>
      <x:c r="M378" s="28" t="n">
        <x:f>G378*J378/1000000</x:f>
        <x:v>0.29015</x:v>
      </x:c>
      <x:c r="N378" s="28" t="n">
        <x:f>H378*K378/1000000</x:f>
        <x:v>0.26775</x:v>
      </x:c>
      <x:c r="O378" s="28" t="n">
        <x:f>SUM(M378:N378)</x:f>
        <x:v>0.5579000000000001</x:v>
      </x:c>
    </x:row>
    <x:row r="379" ht="23" customHeight="1">
      <x:c r="A379" s="17" t="str">
        <x:v>U00373</x:v>
      </x:c>
      <x:c r="B379" s="18" t="n">
        <x:v>46287</x:v>
      </x:c>
      <x:c r="C379" s="17" t="str">
        <x:v>W0046</x:v>
      </x:c>
      <x:c r="D379" s="17" t="str">
        <x:v>C001</x:v>
      </x:c>
      <x:c r="E379" s="17" t="str">
        <x:v>CampaignChat</x:v>
      </x:c>
      <x:c r="F379" s="17" t="str">
        <x:v>Lite</x:v>
      </x:c>
      <x:c r="G379" s="17" t="n">
        <x:v>28530</x:v>
      </x:c>
      <x:c r="H379" s="17" t="n">
        <x:v>10581</x:v>
      </x:c>
      <x:c r="I379" s="17" t="str">
        <x:v>Followup</x:v>
      </x:c>
      <x:c r="J379" s="27" t="n">
        <x:f>INDEX('Model Pricing'!$B$7:$B$8,MATCH(F379,'Model Pricing'!$A$7:$A$8,0))</x:f>
        <x:v>10</x:v>
      </x:c>
      <x:c r="K379" s="27" t="n">
        <x:f>INDEX('Model Pricing'!$C$7:$C$8,MATCH(F379,'Model Pricing'!$A$7:$A$8,0))</x:f>
        <x:v>30</x:v>
      </x:c>
      <x:c r="L379" s="17" t="n">
        <x:f>G379+H379</x:f>
        <x:v>39111</x:v>
      </x:c>
      <x:c r="M379" s="28" t="n">
        <x:f>G379*J379/1000000</x:f>
        <x:v>0.2853</x:v>
      </x:c>
      <x:c r="N379" s="28" t="n">
        <x:f>H379*K379/1000000</x:f>
        <x:v>0.31743</x:v>
      </x:c>
      <x:c r="O379" s="28" t="n">
        <x:f>SUM(M379:N379)</x:f>
        <x:v>0.60273</x:v>
      </x:c>
    </x:row>
    <x:row r="380" ht="23" customHeight="1">
      <x:c r="A380" s="17" t="str">
        <x:v>U00374</x:v>
      </x:c>
      <x:c r="B380" s="18" t="n">
        <x:v>46288</x:v>
      </x:c>
      <x:c r="C380" s="17" t="str">
        <x:v>W0046</x:v>
      </x:c>
      <x:c r="D380" s="17" t="str">
        <x:v>C001</x:v>
      </x:c>
      <x:c r="E380" s="17" t="str">
        <x:v>CampaignChat</x:v>
      </x:c>
      <x:c r="F380" s="17" t="str">
        <x:v>Lite</x:v>
      </x:c>
      <x:c r="G380" s="17" t="n">
        <x:v>69583</x:v>
      </x:c>
      <x:c r="H380" s="17" t="n">
        <x:v>12140</x:v>
      </x:c>
      <x:c r="I380" s="17" t="str">
        <x:v>Followup</x:v>
      </x:c>
      <x:c r="J380" s="27" t="n">
        <x:f>INDEX('Model Pricing'!$B$7:$B$8,MATCH(F380,'Model Pricing'!$A$7:$A$8,0))</x:f>
        <x:v>10</x:v>
      </x:c>
      <x:c r="K380" s="27" t="n">
        <x:f>INDEX('Model Pricing'!$C$7:$C$8,MATCH(F380,'Model Pricing'!$A$7:$A$8,0))</x:f>
        <x:v>30</x:v>
      </x:c>
      <x:c r="L380" s="17" t="n">
        <x:f>G380+H380</x:f>
        <x:v>81723</x:v>
      </x:c>
      <x:c r="M380" s="28" t="n">
        <x:f>G380*J380/1000000</x:f>
        <x:v>0.69583</x:v>
      </x:c>
      <x:c r="N380" s="28" t="n">
        <x:f>H380*K380/1000000</x:f>
        <x:v>0.3642</x:v>
      </x:c>
      <x:c r="O380" s="28" t="n">
        <x:f>SUM(M380:N380)</x:f>
        <x:v>1.06003</x:v>
      </x:c>
    </x:row>
    <x:row r="381" ht="23" customHeight="1">
      <x:c r="A381" s="17" t="str">
        <x:v>U00375</x:v>
      </x:c>
      <x:c r="B381" s="18" t="n">
        <x:v>46288</x:v>
      </x:c>
      <x:c r="C381" s="17" t="str">
        <x:v>W0046</x:v>
      </x:c>
      <x:c r="D381" s="17" t="str">
        <x:v>C001</x:v>
      </x:c>
      <x:c r="E381" s="17" t="str">
        <x:v>CampaignChat</x:v>
      </x:c>
      <x:c r="F381" s="17" t="str">
        <x:v>Lite</x:v>
      </x:c>
      <x:c r="G381" s="17" t="n">
        <x:v>48708</x:v>
      </x:c>
      <x:c r="H381" s="17" t="n">
        <x:v>9984</x:v>
      </x:c>
      <x:c r="I381" s="17" t="str">
        <x:v>Followup</x:v>
      </x:c>
      <x:c r="J381" s="27" t="n">
        <x:f>INDEX('Model Pricing'!$B$7:$B$8,MATCH(F381,'Model Pricing'!$A$7:$A$8,0))</x:f>
        <x:v>10</x:v>
      </x:c>
      <x:c r="K381" s="27" t="n">
        <x:f>INDEX('Model Pricing'!$C$7:$C$8,MATCH(F381,'Model Pricing'!$A$7:$A$8,0))</x:f>
        <x:v>30</x:v>
      </x:c>
      <x:c r="L381" s="17" t="n">
        <x:f>G381+H381</x:f>
        <x:v>58692</x:v>
      </x:c>
      <x:c r="M381" s="28" t="n">
        <x:f>G381*J381/1000000</x:f>
        <x:v>0.48708</x:v>
      </x:c>
      <x:c r="N381" s="28" t="n">
        <x:f>H381*K381/1000000</x:f>
        <x:v>0.29952</x:v>
      </x:c>
      <x:c r="O381" s="28" t="n">
        <x:f>SUM(M381:N381)</x:f>
        <x:v>0.7866</x:v>
      </x:c>
    </x:row>
    <x:row r="382" ht="23" customHeight="1">
      <x:c r="A382" s="17" t="str">
        <x:v>U00376</x:v>
      </x:c>
      <x:c r="B382" s="18" t="n">
        <x:v>46267</x:v>
      </x:c>
      <x:c r="C382" s="17" t="str">
        <x:v>W0047</x:v>
      </x:c>
      <x:c r="D382" s="17" t="str">
        <x:v>C001</x:v>
      </x:c>
      <x:c r="E382" s="17" t="str">
        <x:v>InsightDesk</x:v>
      </x:c>
      <x:c r="F382" s="17" t="str">
        <x:v>Lite</x:v>
      </x:c>
      <x:c r="G382" s="17" t="n">
        <x:v>18842</x:v>
      </x:c>
      <x:c r="H382" s="17" t="n">
        <x:v>13360</x:v>
      </x:c>
      <x:c r="I382" s="17" t="str">
        <x:v>First attempt</x:v>
      </x:c>
      <x:c r="J382" s="27" t="n">
        <x:f>INDEX('Model Pricing'!$B$7:$B$8,MATCH(F382,'Model Pricing'!$A$7:$A$8,0))</x:f>
        <x:v>10</x:v>
      </x:c>
      <x:c r="K382" s="27" t="n">
        <x:f>INDEX('Model Pricing'!$C$7:$C$8,MATCH(F382,'Model Pricing'!$A$7:$A$8,0))</x:f>
        <x:v>30</x:v>
      </x:c>
      <x:c r="L382" s="17" t="n">
        <x:f>G382+H382</x:f>
        <x:v>32202</x:v>
      </x:c>
      <x:c r="M382" s="28" t="n">
        <x:f>G382*J382/1000000</x:f>
        <x:v>0.18842</x:v>
      </x:c>
      <x:c r="N382" s="28" t="n">
        <x:f>H382*K382/1000000</x:f>
        <x:v>0.4008</x:v>
      </x:c>
      <x:c r="O382" s="28" t="n">
        <x:f>SUM(M382:N382)</x:f>
        <x:v>0.58922</x:v>
      </x:c>
    </x:row>
    <x:row r="383" ht="23" customHeight="1">
      <x:c r="A383" s="17" t="str">
        <x:v>U00377</x:v>
      </x:c>
      <x:c r="B383" s="18" t="n">
        <x:v>46267</x:v>
      </x:c>
      <x:c r="C383" s="17" t="str">
        <x:v>W0047</x:v>
      </x:c>
      <x:c r="D383" s="17" t="str">
        <x:v>C001</x:v>
      </x:c>
      <x:c r="E383" s="17" t="str">
        <x:v>InsightDesk</x:v>
      </x:c>
      <x:c r="F383" s="17" t="str">
        <x:v>Lite</x:v>
      </x:c>
      <x:c r="G383" s="17" t="n">
        <x:v>31166</x:v>
      </x:c>
      <x:c r="H383" s="17" t="n">
        <x:v>10029</x:v>
      </x:c>
      <x:c r="I383" s="17" t="str">
        <x:v>Followup</x:v>
      </x:c>
      <x:c r="J383" s="27" t="n">
        <x:f>INDEX('Model Pricing'!$B$7:$B$8,MATCH(F383,'Model Pricing'!$A$7:$A$8,0))</x:f>
        <x:v>10</x:v>
      </x:c>
      <x:c r="K383" s="27" t="n">
        <x:f>INDEX('Model Pricing'!$C$7:$C$8,MATCH(F383,'Model Pricing'!$A$7:$A$8,0))</x:f>
        <x:v>30</x:v>
      </x:c>
      <x:c r="L383" s="17" t="n">
        <x:f>G383+H383</x:f>
        <x:v>41195</x:v>
      </x:c>
      <x:c r="M383" s="28" t="n">
        <x:f>G383*J383/1000000</x:f>
        <x:v>0.31166</x:v>
      </x:c>
      <x:c r="N383" s="28" t="n">
        <x:f>H383*K383/1000000</x:f>
        <x:v>0.30087</x:v>
      </x:c>
      <x:c r="O383" s="28" t="n">
        <x:f>SUM(M383:N383)</x:f>
        <x:v>0.61253</x:v>
      </x:c>
    </x:row>
    <x:row r="384" ht="23" customHeight="1">
      <x:c r="A384" s="17" t="str">
        <x:v>U00378</x:v>
      </x:c>
      <x:c r="B384" s="18" t="n">
        <x:v>46267</x:v>
      </x:c>
      <x:c r="C384" s="17" t="str">
        <x:v>W0047</x:v>
      </x:c>
      <x:c r="D384" s="17" t="str">
        <x:v>C001</x:v>
      </x:c>
      <x:c r="E384" s="17" t="str">
        <x:v>InsightDesk</x:v>
      </x:c>
      <x:c r="F384" s="17" t="str">
        <x:v>Lite</x:v>
      </x:c>
      <x:c r="G384" s="17" t="n">
        <x:v>19536</x:v>
      </x:c>
      <x:c r="H384" s="17" t="n">
        <x:v>13590</x:v>
      </x:c>
      <x:c r="I384" s="17" t="str">
        <x:v>Followup</x:v>
      </x:c>
      <x:c r="J384" s="27" t="n">
        <x:f>INDEX('Model Pricing'!$B$7:$B$8,MATCH(F384,'Model Pricing'!$A$7:$A$8,0))</x:f>
        <x:v>10</x:v>
      </x:c>
      <x:c r="K384" s="27" t="n">
        <x:f>INDEX('Model Pricing'!$C$7:$C$8,MATCH(F384,'Model Pricing'!$A$7:$A$8,0))</x:f>
        <x:v>30</x:v>
      </x:c>
      <x:c r="L384" s="17" t="n">
        <x:f>G384+H384</x:f>
        <x:v>33126</x:v>
      </x:c>
      <x:c r="M384" s="28" t="n">
        <x:f>G384*J384/1000000</x:f>
        <x:v>0.19536</x:v>
      </x:c>
      <x:c r="N384" s="28" t="n">
        <x:f>H384*K384/1000000</x:f>
        <x:v>0.4077</x:v>
      </x:c>
      <x:c r="O384" s="28" t="n">
        <x:f>SUM(M384:N384)</x:f>
        <x:v>0.60306</x:v>
      </x:c>
    </x:row>
    <x:row r="385" ht="23" customHeight="1">
      <x:c r="A385" s="17" t="str">
        <x:v>U00379</x:v>
      </x:c>
      <x:c r="B385" s="18" t="n">
        <x:v>46268</x:v>
      </x:c>
      <x:c r="C385" s="17" t="str">
        <x:v>W0047</x:v>
      </x:c>
      <x:c r="D385" s="17" t="str">
        <x:v>C001</x:v>
      </x:c>
      <x:c r="E385" s="17" t="str">
        <x:v>InsightDesk</x:v>
      </x:c>
      <x:c r="F385" s="17" t="str">
        <x:v>Lite</x:v>
      </x:c>
      <x:c r="G385" s="17" t="n">
        <x:v>37428</x:v>
      </x:c>
      <x:c r="H385" s="17" t="n">
        <x:v>11430</x:v>
      </x:c>
      <x:c r="I385" s="17" t="str">
        <x:v>Followup</x:v>
      </x:c>
      <x:c r="J385" s="27" t="n">
        <x:f>INDEX('Model Pricing'!$B$7:$B$8,MATCH(F385,'Model Pricing'!$A$7:$A$8,0))</x:f>
        <x:v>10</x:v>
      </x:c>
      <x:c r="K385" s="27" t="n">
        <x:f>INDEX('Model Pricing'!$C$7:$C$8,MATCH(F385,'Model Pricing'!$A$7:$A$8,0))</x:f>
        <x:v>30</x:v>
      </x:c>
      <x:c r="L385" s="17" t="n">
        <x:f>G385+H385</x:f>
        <x:v>48858</x:v>
      </x:c>
      <x:c r="M385" s="28" t="n">
        <x:f>G385*J385/1000000</x:f>
        <x:v>0.37428</x:v>
      </x:c>
      <x:c r="N385" s="28" t="n">
        <x:f>H385*K385/1000000</x:f>
        <x:v>0.3429</x:v>
      </x:c>
      <x:c r="O385" s="28" t="n">
        <x:f>SUM(M385:N385)</x:f>
        <x:v>0.7171799999999999</x:v>
      </x:c>
    </x:row>
    <x:row r="386" ht="23" customHeight="1">
      <x:c r="A386" s="17" t="str">
        <x:v>U00380</x:v>
      </x:c>
      <x:c r="B386" s="18" t="n">
        <x:v>46268</x:v>
      </x:c>
      <x:c r="C386" s="17" t="str">
        <x:v>W0047</x:v>
      </x:c>
      <x:c r="D386" s="17" t="str">
        <x:v>C001</x:v>
      </x:c>
      <x:c r="E386" s="17" t="str">
        <x:v>InsightDesk</x:v>
      </x:c>
      <x:c r="F386" s="17" t="str">
        <x:v>Lite</x:v>
      </x:c>
      <x:c r="G386" s="17" t="n">
        <x:v>32984</x:v>
      </x:c>
      <x:c r="H386" s="17" t="n">
        <x:v>12919</x:v>
      </x:c>
      <x:c r="I386" s="17" t="str">
        <x:v>Followup</x:v>
      </x:c>
      <x:c r="J386" s="27" t="n">
        <x:f>INDEX('Model Pricing'!$B$7:$B$8,MATCH(F386,'Model Pricing'!$A$7:$A$8,0))</x:f>
        <x:v>10</x:v>
      </x:c>
      <x:c r="K386" s="27" t="n">
        <x:f>INDEX('Model Pricing'!$C$7:$C$8,MATCH(F386,'Model Pricing'!$A$7:$A$8,0))</x:f>
        <x:v>30</x:v>
      </x:c>
      <x:c r="L386" s="17" t="n">
        <x:f>G386+H386</x:f>
        <x:v>45903</x:v>
      </x:c>
      <x:c r="M386" s="28" t="n">
        <x:f>G386*J386/1000000</x:f>
        <x:v>0.32984</x:v>
      </x:c>
      <x:c r="N386" s="28" t="n">
        <x:f>H386*K386/1000000</x:f>
        <x:v>0.38757</x:v>
      </x:c>
      <x:c r="O386" s="28" t="n">
        <x:f>SUM(M386:N386)</x:f>
        <x:v>0.7174100000000001</x:v>
      </x:c>
    </x:row>
    <x:row r="387" ht="23" customHeight="1">
      <x:c r="A387" s="17" t="str">
        <x:v>U00381</x:v>
      </x:c>
      <x:c r="B387" s="18" t="n">
        <x:v>46268</x:v>
      </x:c>
      <x:c r="C387" s="17" t="str">
        <x:v>W0047</x:v>
      </x:c>
      <x:c r="D387" s="17" t="str">
        <x:v>C001</x:v>
      </x:c>
      <x:c r="E387" s="17" t="str">
        <x:v>InsightDesk</x:v>
      </x:c>
      <x:c r="F387" s="17" t="str">
        <x:v>Lite</x:v>
      </x:c>
      <x:c r="G387" s="17" t="n">
        <x:v>24068</x:v>
      </x:c>
      <x:c r="H387" s="17" t="n">
        <x:v>13156</x:v>
      </x:c>
      <x:c r="I387" s="17" t="str">
        <x:v>Followup</x:v>
      </x:c>
      <x:c r="J387" s="27" t="n">
        <x:f>INDEX('Model Pricing'!$B$7:$B$8,MATCH(F387,'Model Pricing'!$A$7:$A$8,0))</x:f>
        <x:v>10</x:v>
      </x:c>
      <x:c r="K387" s="27" t="n">
        <x:f>INDEX('Model Pricing'!$C$7:$C$8,MATCH(F387,'Model Pricing'!$A$7:$A$8,0))</x:f>
        <x:v>30</x:v>
      </x:c>
      <x:c r="L387" s="17" t="n">
        <x:f>G387+H387</x:f>
        <x:v>37224</x:v>
      </x:c>
      <x:c r="M387" s="28" t="n">
        <x:f>G387*J387/1000000</x:f>
        <x:v>0.24068</x:v>
      </x:c>
      <x:c r="N387" s="28" t="n">
        <x:f>H387*K387/1000000</x:f>
        <x:v>0.39468</x:v>
      </x:c>
      <x:c r="O387" s="28" t="n">
        <x:f>SUM(M387:N387)</x:f>
        <x:v>0.6353599999999999</x:v>
      </x:c>
    </x:row>
    <x:row r="388" ht="23" customHeight="1">
      <x:c r="A388" s="17" t="str">
        <x:v>U00382</x:v>
      </x:c>
      <x:c r="B388" s="18" t="n">
        <x:v>46269</x:v>
      </x:c>
      <x:c r="C388" s="17" t="str">
        <x:v>W0047</x:v>
      </x:c>
      <x:c r="D388" s="17" t="str">
        <x:v>C001</x:v>
      </x:c>
      <x:c r="E388" s="17" t="str">
        <x:v>InsightDesk</x:v>
      </x:c>
      <x:c r="F388" s="17" t="str">
        <x:v>Lite</x:v>
      </x:c>
      <x:c r="G388" s="17" t="n">
        <x:v>32482</x:v>
      </x:c>
      <x:c r="H388" s="17" t="n">
        <x:v>8248</x:v>
      </x:c>
      <x:c r="I388" s="17" t="str">
        <x:v>Followup</x:v>
      </x:c>
      <x:c r="J388" s="27" t="n">
        <x:f>INDEX('Model Pricing'!$B$7:$B$8,MATCH(F388,'Model Pricing'!$A$7:$A$8,0))</x:f>
        <x:v>10</x:v>
      </x:c>
      <x:c r="K388" s="27" t="n">
        <x:f>INDEX('Model Pricing'!$C$7:$C$8,MATCH(F388,'Model Pricing'!$A$7:$A$8,0))</x:f>
        <x:v>30</x:v>
      </x:c>
      <x:c r="L388" s="17" t="n">
        <x:f>G388+H388</x:f>
        <x:v>40730</x:v>
      </x:c>
      <x:c r="M388" s="28" t="n">
        <x:f>G388*J388/1000000</x:f>
        <x:v>0.32482</x:v>
      </x:c>
      <x:c r="N388" s="28" t="n">
        <x:f>H388*K388/1000000</x:f>
        <x:v>0.24744</x:v>
      </x:c>
      <x:c r="O388" s="28" t="n">
        <x:f>SUM(M388:N388)</x:f>
        <x:v>0.57226</x:v>
      </x:c>
    </x:row>
    <x:row r="389" ht="23" customHeight="1">
      <x:c r="A389" s="17" t="str">
        <x:v>U00383</x:v>
      </x:c>
      <x:c r="B389" s="18" t="n">
        <x:v>46269</x:v>
      </x:c>
      <x:c r="C389" s="17" t="str">
        <x:v>W0047</x:v>
      </x:c>
      <x:c r="D389" s="17" t="str">
        <x:v>C001</x:v>
      </x:c>
      <x:c r="E389" s="17" t="str">
        <x:v>InsightDesk</x:v>
      </x:c>
      <x:c r="F389" s="17" t="str">
        <x:v>Lite</x:v>
      </x:c>
      <x:c r="G389" s="17" t="n">
        <x:v>16585</x:v>
      </x:c>
      <x:c r="H389" s="17" t="n">
        <x:v>3705</x:v>
      </x:c>
      <x:c r="I389" s="17" t="str">
        <x:v>Followup</x:v>
      </x:c>
      <x:c r="J389" s="27" t="n">
        <x:f>INDEX('Model Pricing'!$B$7:$B$8,MATCH(F389,'Model Pricing'!$A$7:$A$8,0))</x:f>
        <x:v>10</x:v>
      </x:c>
      <x:c r="K389" s="27" t="n">
        <x:f>INDEX('Model Pricing'!$C$7:$C$8,MATCH(F389,'Model Pricing'!$A$7:$A$8,0))</x:f>
        <x:v>30</x:v>
      </x:c>
      <x:c r="L389" s="17" t="n">
        <x:f>G389+H389</x:f>
        <x:v>20290</x:v>
      </x:c>
      <x:c r="M389" s="28" t="n">
        <x:f>G389*J389/1000000</x:f>
        <x:v>0.16585</x:v>
      </x:c>
      <x:c r="N389" s="28" t="n">
        <x:f>H389*K389/1000000</x:f>
        <x:v>0.11115</x:v>
      </x:c>
      <x:c r="O389" s="28" t="n">
        <x:f>SUM(M389:N389)</x:f>
        <x:v>0.277</x:v>
      </x:c>
    </x:row>
    <x:row r="390" ht="23" customHeight="1">
      <x:c r="A390" s="17" t="str">
        <x:v>U00384</x:v>
      </x:c>
      <x:c r="B390" s="18" t="n">
        <x:v>46269</x:v>
      </x:c>
      <x:c r="C390" s="17" t="str">
        <x:v>W0047</x:v>
      </x:c>
      <x:c r="D390" s="17" t="str">
        <x:v>C001</x:v>
      </x:c>
      <x:c r="E390" s="17" t="str">
        <x:v>InsightDesk</x:v>
      </x:c>
      <x:c r="F390" s="17" t="str">
        <x:v>Lite</x:v>
      </x:c>
      <x:c r="G390" s="17" t="n">
        <x:v>18459</x:v>
      </x:c>
      <x:c r="H390" s="17" t="n">
        <x:v>9555</x:v>
      </x:c>
      <x:c r="I390" s="17" t="str">
        <x:v>Followup</x:v>
      </x:c>
      <x:c r="J390" s="27" t="n">
        <x:f>INDEX('Model Pricing'!$B$7:$B$8,MATCH(F390,'Model Pricing'!$A$7:$A$8,0))</x:f>
        <x:v>10</x:v>
      </x:c>
      <x:c r="K390" s="27" t="n">
        <x:f>INDEX('Model Pricing'!$C$7:$C$8,MATCH(F390,'Model Pricing'!$A$7:$A$8,0))</x:f>
        <x:v>30</x:v>
      </x:c>
      <x:c r="L390" s="17" t="n">
        <x:f>G390+H390</x:f>
        <x:v>28014</x:v>
      </x:c>
      <x:c r="M390" s="28" t="n">
        <x:f>G390*J390/1000000</x:f>
        <x:v>0.18459</x:v>
      </x:c>
      <x:c r="N390" s="28" t="n">
        <x:f>H390*K390/1000000</x:f>
        <x:v>0.28665</x:v>
      </x:c>
      <x:c r="O390" s="28" t="n">
        <x:f>SUM(M390:N390)</x:f>
        <x:v>0.47124</x:v>
      </x:c>
    </x:row>
    <x:row r="391" ht="23" customHeight="1">
      <x:c r="A391" s="17" t="str">
        <x:v>U00385</x:v>
      </x:c>
      <x:c r="B391" s="18" t="n">
        <x:v>46273</x:v>
      </x:c>
      <x:c r="C391" s="17" t="str">
        <x:v>W0047</x:v>
      </x:c>
      <x:c r="D391" s="17" t="str">
        <x:v>C001</x:v>
      </x:c>
      <x:c r="E391" s="17" t="str">
        <x:v>InsightDesk</x:v>
      </x:c>
      <x:c r="F391" s="17" t="str">
        <x:v>Lite</x:v>
      </x:c>
      <x:c r="G391" s="17" t="n">
        <x:v>19877</x:v>
      </x:c>
      <x:c r="H391" s="17" t="n">
        <x:v>5176</x:v>
      </x:c>
      <x:c r="I391" s="17" t="str">
        <x:v>Correction</x:v>
      </x:c>
      <x:c r="J391" s="27" t="n">
        <x:f>INDEX('Model Pricing'!$B$7:$B$8,MATCH(F391,'Model Pricing'!$A$7:$A$8,0))</x:f>
        <x:v>10</x:v>
      </x:c>
      <x:c r="K391" s="27" t="n">
        <x:f>INDEX('Model Pricing'!$C$7:$C$8,MATCH(F391,'Model Pricing'!$A$7:$A$8,0))</x:f>
        <x:v>30</x:v>
      </x:c>
      <x:c r="L391" s="17" t="n">
        <x:f>G391+H391</x:f>
        <x:v>25053</x:v>
      </x:c>
      <x:c r="M391" s="28" t="n">
        <x:f>G391*J391/1000000</x:f>
        <x:v>0.19877</x:v>
      </x:c>
      <x:c r="N391" s="28" t="n">
        <x:f>H391*K391/1000000</x:f>
        <x:v>0.15528</x:v>
      </x:c>
      <x:c r="O391" s="28" t="n">
        <x:f>SUM(M391:N391)</x:f>
        <x:v>0.35405</x:v>
      </x:c>
    </x:row>
    <x:row r="392" ht="23" customHeight="1">
      <x:c r="A392" s="17" t="str">
        <x:v>U00386</x:v>
      </x:c>
      <x:c r="B392" s="18" t="n">
        <x:v>46273</x:v>
      </x:c>
      <x:c r="C392" s="17" t="str">
        <x:v>W0047</x:v>
      </x:c>
      <x:c r="D392" s="17" t="str">
        <x:v>C001</x:v>
      </x:c>
      <x:c r="E392" s="17" t="str">
        <x:v>InsightDesk</x:v>
      </x:c>
      <x:c r="F392" s="17" t="str">
        <x:v>Lite</x:v>
      </x:c>
      <x:c r="G392" s="17" t="n">
        <x:v>35303</x:v>
      </x:c>
      <x:c r="H392" s="17" t="n">
        <x:v>6102</x:v>
      </x:c>
      <x:c r="I392" s="17" t="str">
        <x:v>Followup</x:v>
      </x:c>
      <x:c r="J392" s="27" t="n">
        <x:f>INDEX('Model Pricing'!$B$7:$B$8,MATCH(F392,'Model Pricing'!$A$7:$A$8,0))</x:f>
        <x:v>10</x:v>
      </x:c>
      <x:c r="K392" s="27" t="n">
        <x:f>INDEX('Model Pricing'!$C$7:$C$8,MATCH(F392,'Model Pricing'!$A$7:$A$8,0))</x:f>
        <x:v>30</x:v>
      </x:c>
      <x:c r="L392" s="17" t="n">
        <x:f>G392+H392</x:f>
        <x:v>41405</x:v>
      </x:c>
      <x:c r="M392" s="28" t="n">
        <x:f>G392*J392/1000000</x:f>
        <x:v>0.35303</x:v>
      </x:c>
      <x:c r="N392" s="28" t="n">
        <x:f>H392*K392/1000000</x:f>
        <x:v>0.18306</x:v>
      </x:c>
      <x:c r="O392" s="28" t="n">
        <x:f>SUM(M392:N392)</x:f>
        <x:v>0.53609</x:v>
      </x:c>
    </x:row>
    <x:row r="393" ht="23" customHeight="1">
      <x:c r="A393" s="17" t="str">
        <x:v>U00387</x:v>
      </x:c>
      <x:c r="B393" s="18" t="n">
        <x:v>46279</x:v>
      </x:c>
      <x:c r="C393" s="17" t="str">
        <x:v>W0048</x:v>
      </x:c>
      <x:c r="D393" s="17" t="str">
        <x:v>C001</x:v>
      </x:c>
      <x:c r="E393" s="17" t="str">
        <x:v>InsightDesk</x:v>
      </x:c>
      <x:c r="F393" s="17" t="str">
        <x:v>Lite</x:v>
      </x:c>
      <x:c r="G393" s="17" t="n">
        <x:v>66812</x:v>
      </x:c>
      <x:c r="H393" s="17" t="n">
        <x:v>6793</x:v>
      </x:c>
      <x:c r="I393" s="17" t="str">
        <x:v>First attempt</x:v>
      </x:c>
      <x:c r="J393" s="27" t="n">
        <x:f>INDEX('Model Pricing'!$B$7:$B$8,MATCH(F393,'Model Pricing'!$A$7:$A$8,0))</x:f>
        <x:v>10</x:v>
      </x:c>
      <x:c r="K393" s="27" t="n">
        <x:f>INDEX('Model Pricing'!$C$7:$C$8,MATCH(F393,'Model Pricing'!$A$7:$A$8,0))</x:f>
        <x:v>30</x:v>
      </x:c>
      <x:c r="L393" s="17" t="n">
        <x:f>G393+H393</x:f>
        <x:v>73605</x:v>
      </x:c>
      <x:c r="M393" s="28" t="n">
        <x:f>G393*J393/1000000</x:f>
        <x:v>0.66812</x:v>
      </x:c>
      <x:c r="N393" s="28" t="n">
        <x:f>H393*K393/1000000</x:f>
        <x:v>0.20379</x:v>
      </x:c>
      <x:c r="O393" s="28" t="n">
        <x:f>SUM(M393:N393)</x:f>
        <x:v>0.8719100000000001</x:v>
      </x:c>
    </x:row>
    <x:row r="394" ht="23" customHeight="1">
      <x:c r="A394" s="17" t="str">
        <x:v>U00388</x:v>
      </x:c>
      <x:c r="B394" s="18" t="n">
        <x:v>46279</x:v>
      </x:c>
      <x:c r="C394" s="17" t="str">
        <x:v>W0048</x:v>
      </x:c>
      <x:c r="D394" s="17" t="str">
        <x:v>C001</x:v>
      </x:c>
      <x:c r="E394" s="17" t="str">
        <x:v>InsightDesk</x:v>
      </x:c>
      <x:c r="F394" s="17" t="str">
        <x:v>Lite</x:v>
      </x:c>
      <x:c r="G394" s="17" t="n">
        <x:v>43107</x:v>
      </x:c>
      <x:c r="H394" s="17" t="n">
        <x:v>6106</x:v>
      </x:c>
      <x:c r="I394" s="17" t="str">
        <x:v>Followup</x:v>
      </x:c>
      <x:c r="J394" s="27" t="n">
        <x:f>INDEX('Model Pricing'!$B$7:$B$8,MATCH(F394,'Model Pricing'!$A$7:$A$8,0))</x:f>
        <x:v>10</x:v>
      </x:c>
      <x:c r="K394" s="27" t="n">
        <x:f>INDEX('Model Pricing'!$C$7:$C$8,MATCH(F394,'Model Pricing'!$A$7:$A$8,0))</x:f>
        <x:v>30</x:v>
      </x:c>
      <x:c r="L394" s="17" t="n">
        <x:f>G394+H394</x:f>
        <x:v>49213</x:v>
      </x:c>
      <x:c r="M394" s="28" t="n">
        <x:f>G394*J394/1000000</x:f>
        <x:v>0.43107</x:v>
      </x:c>
      <x:c r="N394" s="28" t="n">
        <x:f>H394*K394/1000000</x:f>
        <x:v>0.18318</x:v>
      </x:c>
      <x:c r="O394" s="28" t="n">
        <x:f>SUM(M394:N394)</x:f>
        <x:v>0.61425</x:v>
      </x:c>
    </x:row>
    <x:row r="395" ht="23" customHeight="1">
      <x:c r="A395" s="17" t="str">
        <x:v>U00389</x:v>
      </x:c>
      <x:c r="B395" s="18" t="n">
        <x:v>46279</x:v>
      </x:c>
      <x:c r="C395" s="17" t="str">
        <x:v>W0048</x:v>
      </x:c>
      <x:c r="D395" s="17" t="str">
        <x:v>C001</x:v>
      </x:c>
      <x:c r="E395" s="17" t="str">
        <x:v>InsightDesk</x:v>
      </x:c>
      <x:c r="F395" s="17" t="str">
        <x:v>Lite</x:v>
      </x:c>
      <x:c r="G395" s="17" t="n">
        <x:v>53841</x:v>
      </x:c>
      <x:c r="H395" s="17" t="n">
        <x:v>5668</x:v>
      </x:c>
      <x:c r="I395" s="17" t="str">
        <x:v>Followup</x:v>
      </x:c>
      <x:c r="J395" s="27" t="n">
        <x:f>INDEX('Model Pricing'!$B$7:$B$8,MATCH(F395,'Model Pricing'!$A$7:$A$8,0))</x:f>
        <x:v>10</x:v>
      </x:c>
      <x:c r="K395" s="27" t="n">
        <x:f>INDEX('Model Pricing'!$C$7:$C$8,MATCH(F395,'Model Pricing'!$A$7:$A$8,0))</x:f>
        <x:v>30</x:v>
      </x:c>
      <x:c r="L395" s="17" t="n">
        <x:f>G395+H395</x:f>
        <x:v>59509</x:v>
      </x:c>
      <x:c r="M395" s="28" t="n">
        <x:f>G395*J395/1000000</x:f>
        <x:v>0.53841</x:v>
      </x:c>
      <x:c r="N395" s="28" t="n">
        <x:f>H395*K395/1000000</x:f>
        <x:v>0.17004</x:v>
      </x:c>
      <x:c r="O395" s="28" t="n">
        <x:f>SUM(M395:N395)</x:f>
        <x:v>0.70845</x:v>
      </x:c>
    </x:row>
    <x:row r="396" ht="23" customHeight="1">
      <x:c r="A396" s="17" t="str">
        <x:v>U00390</x:v>
      </x:c>
      <x:c r="B396" s="18" t="n">
        <x:v>46280</x:v>
      </x:c>
      <x:c r="C396" s="17" t="str">
        <x:v>W0048</x:v>
      </x:c>
      <x:c r="D396" s="17" t="str">
        <x:v>C001</x:v>
      </x:c>
      <x:c r="E396" s="17" t="str">
        <x:v>InsightDesk</x:v>
      </x:c>
      <x:c r="F396" s="17" t="str">
        <x:v>Lite</x:v>
      </x:c>
      <x:c r="G396" s="17" t="n">
        <x:v>47038</x:v>
      </x:c>
      <x:c r="H396" s="17" t="n">
        <x:v>6790</x:v>
      </x:c>
      <x:c r="I396" s="17" t="str">
        <x:v>Followup</x:v>
      </x:c>
      <x:c r="J396" s="27" t="n">
        <x:f>INDEX('Model Pricing'!$B$7:$B$8,MATCH(F396,'Model Pricing'!$A$7:$A$8,0))</x:f>
        <x:v>10</x:v>
      </x:c>
      <x:c r="K396" s="27" t="n">
        <x:f>INDEX('Model Pricing'!$C$7:$C$8,MATCH(F396,'Model Pricing'!$A$7:$A$8,0))</x:f>
        <x:v>30</x:v>
      </x:c>
      <x:c r="L396" s="17" t="n">
        <x:f>G396+H396</x:f>
        <x:v>53828</x:v>
      </x:c>
      <x:c r="M396" s="28" t="n">
        <x:f>G396*J396/1000000</x:f>
        <x:v>0.47038</x:v>
      </x:c>
      <x:c r="N396" s="28" t="n">
        <x:f>H396*K396/1000000</x:f>
        <x:v>0.2037</x:v>
      </x:c>
      <x:c r="O396" s="28" t="n">
        <x:f>SUM(M396:N396)</x:f>
        <x:v>0.67408</x:v>
      </x:c>
    </x:row>
    <x:row r="397" ht="23" customHeight="1">
      <x:c r="A397" s="17" t="str">
        <x:v>U00391</x:v>
      </x:c>
      <x:c r="B397" s="18" t="n">
        <x:v>46280</x:v>
      </x:c>
      <x:c r="C397" s="17" t="str">
        <x:v>W0048</x:v>
      </x:c>
      <x:c r="D397" s="17" t="str">
        <x:v>C001</x:v>
      </x:c>
      <x:c r="E397" s="17" t="str">
        <x:v>InsightDesk</x:v>
      </x:c>
      <x:c r="F397" s="17" t="str">
        <x:v>Lite</x:v>
      </x:c>
      <x:c r="G397" s="17" t="n">
        <x:v>44194</x:v>
      </x:c>
      <x:c r="H397" s="17" t="n">
        <x:v>5956</x:v>
      </x:c>
      <x:c r="I397" s="17" t="str">
        <x:v>Followup</x:v>
      </x:c>
      <x:c r="J397" s="27" t="n">
        <x:f>INDEX('Model Pricing'!$B$7:$B$8,MATCH(F397,'Model Pricing'!$A$7:$A$8,0))</x:f>
        <x:v>10</x:v>
      </x:c>
      <x:c r="K397" s="27" t="n">
        <x:f>INDEX('Model Pricing'!$C$7:$C$8,MATCH(F397,'Model Pricing'!$A$7:$A$8,0))</x:f>
        <x:v>30</x:v>
      </x:c>
      <x:c r="L397" s="17" t="n">
        <x:f>G397+H397</x:f>
        <x:v>50150</x:v>
      </x:c>
      <x:c r="M397" s="28" t="n">
        <x:f>G397*J397/1000000</x:f>
        <x:v>0.44194</x:v>
      </x:c>
      <x:c r="N397" s="28" t="n">
        <x:f>H397*K397/1000000</x:f>
        <x:v>0.17868</x:v>
      </x:c>
      <x:c r="O397" s="28" t="n">
        <x:f>SUM(M397:N397)</x:f>
        <x:v>0.62062</x:v>
      </x:c>
    </x:row>
    <x:row r="398" ht="23" customHeight="1">
      <x:c r="A398" s="17" t="str">
        <x:v>U00392</x:v>
      </x:c>
      <x:c r="B398" s="18" t="n">
        <x:v>46281</x:v>
      </x:c>
      <x:c r="C398" s="17" t="str">
        <x:v>W0048</x:v>
      </x:c>
      <x:c r="D398" s="17" t="str">
        <x:v>C001</x:v>
      </x:c>
      <x:c r="E398" s="17" t="str">
        <x:v>InsightDesk</x:v>
      </x:c>
      <x:c r="F398" s="17" t="str">
        <x:v>Lite</x:v>
      </x:c>
      <x:c r="G398" s="17" t="n">
        <x:v>33477</x:v>
      </x:c>
      <x:c r="H398" s="17" t="n">
        <x:v>6700</x:v>
      </x:c>
      <x:c r="I398" s="17" t="str">
        <x:v>Followup</x:v>
      </x:c>
      <x:c r="J398" s="27" t="n">
        <x:f>INDEX('Model Pricing'!$B$7:$B$8,MATCH(F398,'Model Pricing'!$A$7:$A$8,0))</x:f>
        <x:v>10</x:v>
      </x:c>
      <x:c r="K398" s="27" t="n">
        <x:f>INDEX('Model Pricing'!$C$7:$C$8,MATCH(F398,'Model Pricing'!$A$7:$A$8,0))</x:f>
        <x:v>30</x:v>
      </x:c>
      <x:c r="L398" s="17" t="n">
        <x:f>G398+H398</x:f>
        <x:v>40177</x:v>
      </x:c>
      <x:c r="M398" s="28" t="n">
        <x:f>G398*J398/1000000</x:f>
        <x:v>0.33477</x:v>
      </x:c>
      <x:c r="N398" s="28" t="n">
        <x:f>H398*K398/1000000</x:f>
        <x:v>0.201</x:v>
      </x:c>
      <x:c r="O398" s="28" t="n">
        <x:f>SUM(M398:N398)</x:f>
        <x:v>0.5357700000000001</x:v>
      </x:c>
    </x:row>
    <x:row r="399" ht="23" customHeight="1">
      <x:c r="A399" s="17" t="str">
        <x:v>U00393</x:v>
      </x:c>
      <x:c r="B399" s="18" t="n">
        <x:v>46281</x:v>
      </x:c>
      <x:c r="C399" s="17" t="str">
        <x:v>W0048</x:v>
      </x:c>
      <x:c r="D399" s="17" t="str">
        <x:v>C001</x:v>
      </x:c>
      <x:c r="E399" s="17" t="str">
        <x:v>InsightDesk</x:v>
      </x:c>
      <x:c r="F399" s="17" t="str">
        <x:v>Lite</x:v>
      </x:c>
      <x:c r="G399" s="17" t="n">
        <x:v>34426</x:v>
      </x:c>
      <x:c r="H399" s="17" t="n">
        <x:v>9678</x:v>
      </x:c>
      <x:c r="I399" s="17" t="str">
        <x:v>Followup</x:v>
      </x:c>
      <x:c r="J399" s="27" t="n">
        <x:f>INDEX('Model Pricing'!$B$7:$B$8,MATCH(F399,'Model Pricing'!$A$7:$A$8,0))</x:f>
        <x:v>10</x:v>
      </x:c>
      <x:c r="K399" s="27" t="n">
        <x:f>INDEX('Model Pricing'!$C$7:$C$8,MATCH(F399,'Model Pricing'!$A$7:$A$8,0))</x:f>
        <x:v>30</x:v>
      </x:c>
      <x:c r="L399" s="17" t="n">
        <x:f>G399+H399</x:f>
        <x:v>44104</x:v>
      </x:c>
      <x:c r="M399" s="28" t="n">
        <x:f>G399*J399/1000000</x:f>
        <x:v>0.34426</x:v>
      </x:c>
      <x:c r="N399" s="28" t="n">
        <x:f>H399*K399/1000000</x:f>
        <x:v>0.29034</x:v>
      </x:c>
      <x:c r="O399" s="28" t="n">
        <x:f>SUM(M399:N399)</x:f>
        <x:v>0.6346</x:v>
      </x:c>
    </x:row>
    <x:row r="400" ht="23" customHeight="1">
      <x:c r="A400" s="17" t="str">
        <x:v>U00394</x:v>
      </x:c>
      <x:c r="B400" s="18" t="n">
        <x:v>46282</x:v>
      </x:c>
      <x:c r="C400" s="17" t="str">
        <x:v>W0048</x:v>
      </x:c>
      <x:c r="D400" s="17" t="str">
        <x:v>C001</x:v>
      </x:c>
      <x:c r="E400" s="17" t="str">
        <x:v>InsightDesk</x:v>
      </x:c>
      <x:c r="F400" s="17" t="str">
        <x:v>Lite</x:v>
      </x:c>
      <x:c r="G400" s="17" t="n">
        <x:v>61021</x:v>
      </x:c>
      <x:c r="H400" s="17" t="n">
        <x:v>14355</x:v>
      </x:c>
      <x:c r="I400" s="17" t="str">
        <x:v>Followup</x:v>
      </x:c>
      <x:c r="J400" s="27" t="n">
        <x:f>INDEX('Model Pricing'!$B$7:$B$8,MATCH(F400,'Model Pricing'!$A$7:$A$8,0))</x:f>
        <x:v>10</x:v>
      </x:c>
      <x:c r="K400" s="27" t="n">
        <x:f>INDEX('Model Pricing'!$C$7:$C$8,MATCH(F400,'Model Pricing'!$A$7:$A$8,0))</x:f>
        <x:v>30</x:v>
      </x:c>
      <x:c r="L400" s="17" t="n">
        <x:f>G400+H400</x:f>
        <x:v>75376</x:v>
      </x:c>
      <x:c r="M400" s="28" t="n">
        <x:f>G400*J400/1000000</x:f>
        <x:v>0.61021</x:v>
      </x:c>
      <x:c r="N400" s="28" t="n">
        <x:f>H400*K400/1000000</x:f>
        <x:v>0.43065</x:v>
      </x:c>
      <x:c r="O400" s="28" t="n">
        <x:f>SUM(M400:N400)</x:f>
        <x:v>1.04086</x:v>
      </x:c>
    </x:row>
    <x:row r="401" ht="23" customHeight="1">
      <x:c r="A401" s="17" t="str">
        <x:v>U00395</x:v>
      </x:c>
      <x:c r="B401" s="18" t="n">
        <x:v>46282</x:v>
      </x:c>
      <x:c r="C401" s="17" t="str">
        <x:v>W0048</x:v>
      </x:c>
      <x:c r="D401" s="17" t="str">
        <x:v>C001</x:v>
      </x:c>
      <x:c r="E401" s="17" t="str">
        <x:v>InsightDesk</x:v>
      </x:c>
      <x:c r="F401" s="17" t="str">
        <x:v>Lite</x:v>
      </x:c>
      <x:c r="G401" s="17" t="n">
        <x:v>65481</x:v>
      </x:c>
      <x:c r="H401" s="17" t="n">
        <x:v>7870</x:v>
      </x:c>
      <x:c r="I401" s="17" t="str">
        <x:v>Correction</x:v>
      </x:c>
      <x:c r="J401" s="27" t="n">
        <x:f>INDEX('Model Pricing'!$B$7:$B$8,MATCH(F401,'Model Pricing'!$A$7:$A$8,0))</x:f>
        <x:v>10</x:v>
      </x:c>
      <x:c r="K401" s="27" t="n">
        <x:f>INDEX('Model Pricing'!$C$7:$C$8,MATCH(F401,'Model Pricing'!$A$7:$A$8,0))</x:f>
        <x:v>30</x:v>
      </x:c>
      <x:c r="L401" s="17" t="n">
        <x:f>G401+H401</x:f>
        <x:v>73351</x:v>
      </x:c>
      <x:c r="M401" s="28" t="n">
        <x:f>G401*J401/1000000</x:f>
        <x:v>0.65481</x:v>
      </x:c>
      <x:c r="N401" s="28" t="n">
        <x:f>H401*K401/1000000</x:f>
        <x:v>0.2361</x:v>
      </x:c>
      <x:c r="O401" s="28" t="n">
        <x:f>SUM(M401:N401)</x:f>
        <x:v>0.89091</x:v>
      </x:c>
    </x:row>
    <x:row r="402" ht="23" customHeight="1">
      <x:c r="A402" s="17" t="str">
        <x:v>U00396</x:v>
      </x:c>
      <x:c r="B402" s="18" t="n">
        <x:v>46288</x:v>
      </x:c>
      <x:c r="C402" s="17" t="str">
        <x:v>W0049</x:v>
      </x:c>
      <x:c r="D402" s="17" t="str">
        <x:v>C001</x:v>
      </x:c>
      <x:c r="E402" s="17" t="str">
        <x:v>CopyStudio</x:v>
      </x:c>
      <x:c r="F402" s="17" t="str">
        <x:v>Lite</x:v>
      </x:c>
      <x:c r="G402" s="17" t="n">
        <x:v>22508</x:v>
      </x:c>
      <x:c r="H402" s="17" t="n">
        <x:v>7447</x:v>
      </x:c>
      <x:c r="I402" s="17" t="str">
        <x:v>First attempt</x:v>
      </x:c>
      <x:c r="J402" s="27" t="n">
        <x:f>INDEX('Model Pricing'!$B$7:$B$8,MATCH(F402,'Model Pricing'!$A$7:$A$8,0))</x:f>
        <x:v>10</x:v>
      </x:c>
      <x:c r="K402" s="27" t="n">
        <x:f>INDEX('Model Pricing'!$C$7:$C$8,MATCH(F402,'Model Pricing'!$A$7:$A$8,0))</x:f>
        <x:v>30</x:v>
      </x:c>
      <x:c r="L402" s="17" t="n">
        <x:f>G402+H402</x:f>
        <x:v>29955</x:v>
      </x:c>
      <x:c r="M402" s="28" t="n">
        <x:f>G402*J402/1000000</x:f>
        <x:v>0.22508</x:v>
      </x:c>
      <x:c r="N402" s="28" t="n">
        <x:f>H402*K402/1000000</x:f>
        <x:v>0.22341</x:v>
      </x:c>
      <x:c r="O402" s="28" t="n">
        <x:f>SUM(M402:N402)</x:f>
        <x:v>0.44849</x:v>
      </x:c>
    </x:row>
    <x:row r="403" ht="23" customHeight="1">
      <x:c r="A403" s="17" t="str">
        <x:v>U00397</x:v>
      </x:c>
      <x:c r="B403" s="18" t="n">
        <x:v>46288</x:v>
      </x:c>
      <x:c r="C403" s="17" t="str">
        <x:v>W0049</x:v>
      </x:c>
      <x:c r="D403" s="17" t="str">
        <x:v>C001</x:v>
      </x:c>
      <x:c r="E403" s="17" t="str">
        <x:v>CopyStudio</x:v>
      </x:c>
      <x:c r="F403" s="17" t="str">
        <x:v>Lite</x:v>
      </x:c>
      <x:c r="G403" s="17" t="n">
        <x:v>28715</x:v>
      </x:c>
      <x:c r="H403" s="17" t="n">
        <x:v>3054</x:v>
      </x:c>
      <x:c r="I403" s="17" t="str">
        <x:v>Followup</x:v>
      </x:c>
      <x:c r="J403" s="27" t="n">
        <x:f>INDEX('Model Pricing'!$B$7:$B$8,MATCH(F403,'Model Pricing'!$A$7:$A$8,0))</x:f>
        <x:v>10</x:v>
      </x:c>
      <x:c r="K403" s="27" t="n">
        <x:f>INDEX('Model Pricing'!$C$7:$C$8,MATCH(F403,'Model Pricing'!$A$7:$A$8,0))</x:f>
        <x:v>30</x:v>
      </x:c>
      <x:c r="L403" s="17" t="n">
        <x:f>G403+H403</x:f>
        <x:v>31769</x:v>
      </x:c>
      <x:c r="M403" s="28" t="n">
        <x:f>G403*J403/1000000</x:f>
        <x:v>0.28715</x:v>
      </x:c>
      <x:c r="N403" s="28" t="n">
        <x:f>H403*K403/1000000</x:f>
        <x:v>0.09162</x:v>
      </x:c>
      <x:c r="O403" s="28" t="n">
        <x:f>SUM(M403:N403)</x:f>
        <x:v>0.37877</x:v>
      </x:c>
    </x:row>
    <x:row r="404" ht="23" customHeight="1">
      <x:c r="A404" s="17" t="str">
        <x:v>U00398</x:v>
      </x:c>
      <x:c r="B404" s="18" t="n">
        <x:v>46288</x:v>
      </x:c>
      <x:c r="C404" s="17" t="str">
        <x:v>W0049</x:v>
      </x:c>
      <x:c r="D404" s="17" t="str">
        <x:v>C001</x:v>
      </x:c>
      <x:c r="E404" s="17" t="str">
        <x:v>CopyStudio</x:v>
      </x:c>
      <x:c r="F404" s="17" t="str">
        <x:v>Lite</x:v>
      </x:c>
      <x:c r="G404" s="17" t="n">
        <x:v>21346</x:v>
      </x:c>
      <x:c r="H404" s="17" t="n">
        <x:v>6164</x:v>
      </x:c>
      <x:c r="I404" s="17" t="str">
        <x:v>Followup</x:v>
      </x:c>
      <x:c r="J404" s="27" t="n">
        <x:f>INDEX('Model Pricing'!$B$7:$B$8,MATCH(F404,'Model Pricing'!$A$7:$A$8,0))</x:f>
        <x:v>10</x:v>
      </x:c>
      <x:c r="K404" s="27" t="n">
        <x:f>INDEX('Model Pricing'!$C$7:$C$8,MATCH(F404,'Model Pricing'!$A$7:$A$8,0))</x:f>
        <x:v>30</x:v>
      </x:c>
      <x:c r="L404" s="17" t="n">
        <x:f>G404+H404</x:f>
        <x:v>27510</x:v>
      </x:c>
      <x:c r="M404" s="28" t="n">
        <x:f>G404*J404/1000000</x:f>
        <x:v>0.21346</x:v>
      </x:c>
      <x:c r="N404" s="28" t="n">
        <x:f>H404*K404/1000000</x:f>
        <x:v>0.18492</x:v>
      </x:c>
      <x:c r="O404" s="28" t="n">
        <x:f>SUM(M404:N404)</x:f>
        <x:v>0.39838</x:v>
      </x:c>
    </x:row>
    <x:row r="405" ht="23" customHeight="1">
      <x:c r="A405" s="17" t="str">
        <x:v>U00399</x:v>
      </x:c>
      <x:c r="B405" s="18" t="n">
        <x:v>46289</x:v>
      </x:c>
      <x:c r="C405" s="17" t="str">
        <x:v>W0049</x:v>
      </x:c>
      <x:c r="D405" s="17" t="str">
        <x:v>C001</x:v>
      </x:c>
      <x:c r="E405" s="17" t="str">
        <x:v>CopyStudio</x:v>
      </x:c>
      <x:c r="F405" s="17" t="str">
        <x:v>Lite</x:v>
      </x:c>
      <x:c r="G405" s="17" t="n">
        <x:v>24977</x:v>
      </x:c>
      <x:c r="H405" s="17" t="n">
        <x:v>2693</x:v>
      </x:c>
      <x:c r="I405" s="17" t="str">
        <x:v>Followup</x:v>
      </x:c>
      <x:c r="J405" s="27" t="n">
        <x:f>INDEX('Model Pricing'!$B$7:$B$8,MATCH(F405,'Model Pricing'!$A$7:$A$8,0))</x:f>
        <x:v>10</x:v>
      </x:c>
      <x:c r="K405" s="27" t="n">
        <x:f>INDEX('Model Pricing'!$C$7:$C$8,MATCH(F405,'Model Pricing'!$A$7:$A$8,0))</x:f>
        <x:v>30</x:v>
      </x:c>
      <x:c r="L405" s="17" t="n">
        <x:f>G405+H405</x:f>
        <x:v>27670</x:v>
      </x:c>
      <x:c r="M405" s="28" t="n">
        <x:f>G405*J405/1000000</x:f>
        <x:v>0.24977</x:v>
      </x:c>
      <x:c r="N405" s="28" t="n">
        <x:f>H405*K405/1000000</x:f>
        <x:v>0.08079</x:v>
      </x:c>
      <x:c r="O405" s="28" t="n">
        <x:f>SUM(M405:N405)</x:f>
        <x:v>0.33055999999999996</x:v>
      </x:c>
    </x:row>
    <x:row r="406" ht="23" customHeight="1">
      <x:c r="A406" s="17" t="str">
        <x:v>U00400</x:v>
      </x:c>
      <x:c r="B406" s="18" t="n">
        <x:v>46289</x:v>
      </x:c>
      <x:c r="C406" s="17" t="str">
        <x:v>W0049</x:v>
      </x:c>
      <x:c r="D406" s="17" t="str">
        <x:v>C001</x:v>
      </x:c>
      <x:c r="E406" s="17" t="str">
        <x:v>CopyStudio</x:v>
      </x:c>
      <x:c r="F406" s="17" t="str">
        <x:v>Lite</x:v>
      </x:c>
      <x:c r="G406" s="17" t="n">
        <x:v>44260</x:v>
      </x:c>
      <x:c r="H406" s="17" t="n">
        <x:v>4471</x:v>
      </x:c>
      <x:c r="I406" s="17" t="str">
        <x:v>Followup</x:v>
      </x:c>
      <x:c r="J406" s="27" t="n">
        <x:f>INDEX('Model Pricing'!$B$7:$B$8,MATCH(F406,'Model Pricing'!$A$7:$A$8,0))</x:f>
        <x:v>10</x:v>
      </x:c>
      <x:c r="K406" s="27" t="n">
        <x:f>INDEX('Model Pricing'!$C$7:$C$8,MATCH(F406,'Model Pricing'!$A$7:$A$8,0))</x:f>
        <x:v>30</x:v>
      </x:c>
      <x:c r="L406" s="17" t="n">
        <x:f>G406+H406</x:f>
        <x:v>48731</x:v>
      </x:c>
      <x:c r="M406" s="28" t="n">
        <x:f>G406*J406/1000000</x:f>
        <x:v>0.4426</x:v>
      </x:c>
      <x:c r="N406" s="28" t="n">
        <x:f>H406*K406/1000000</x:f>
        <x:v>0.13413</x:v>
      </x:c>
      <x:c r="O406" s="28" t="n">
        <x:f>SUM(M406:N406)</x:f>
        <x:v>0.57673</x:v>
      </x:c>
    </x:row>
    <x:row r="407" ht="23" customHeight="1">
      <x:c r="A407" s="17" t="str">
        <x:v>U00401</x:v>
      </x:c>
      <x:c r="B407" s="18" t="n">
        <x:v>46289</x:v>
      </x:c>
      <x:c r="C407" s="17" t="str">
        <x:v>W0049</x:v>
      </x:c>
      <x:c r="D407" s="17" t="str">
        <x:v>C001</x:v>
      </x:c>
      <x:c r="E407" s="17" t="str">
        <x:v>CopyStudio</x:v>
      </x:c>
      <x:c r="F407" s="17" t="str">
        <x:v>Lite</x:v>
      </x:c>
      <x:c r="G407" s="17" t="n">
        <x:v>34248</x:v>
      </x:c>
      <x:c r="H407" s="17" t="n">
        <x:v>7035</x:v>
      </x:c>
      <x:c r="I407" s="17" t="str">
        <x:v>Followup</x:v>
      </x:c>
      <x:c r="J407" s="27" t="n">
        <x:f>INDEX('Model Pricing'!$B$7:$B$8,MATCH(F407,'Model Pricing'!$A$7:$A$8,0))</x:f>
        <x:v>10</x:v>
      </x:c>
      <x:c r="K407" s="27" t="n">
        <x:f>INDEX('Model Pricing'!$C$7:$C$8,MATCH(F407,'Model Pricing'!$A$7:$A$8,0))</x:f>
        <x:v>30</x:v>
      </x:c>
      <x:c r="L407" s="17" t="n">
        <x:f>G407+H407</x:f>
        <x:v>41283</x:v>
      </x:c>
      <x:c r="M407" s="28" t="n">
        <x:f>G407*J407/1000000</x:f>
        <x:v>0.34248</x:v>
      </x:c>
      <x:c r="N407" s="28" t="n">
        <x:f>H407*K407/1000000</x:f>
        <x:v>0.21105</x:v>
      </x:c>
      <x:c r="O407" s="28" t="n">
        <x:f>SUM(M407:N407)</x:f>
        <x:v>0.55353</x:v>
      </x:c>
    </x:row>
    <x:row r="408" ht="23" customHeight="1">
      <x:c r="A408" s="17" t="str">
        <x:v>U00402</x:v>
      </x:c>
      <x:c r="B408" s="18" t="n">
        <x:v>46290</x:v>
      </x:c>
      <x:c r="C408" s="17" t="str">
        <x:v>W0049</x:v>
      </x:c>
      <x:c r="D408" s="17" t="str">
        <x:v>C001</x:v>
      </x:c>
      <x:c r="E408" s="17" t="str">
        <x:v>CopyStudio</x:v>
      </x:c>
      <x:c r="F408" s="17" t="str">
        <x:v>Lite</x:v>
      </x:c>
      <x:c r="G408" s="17" t="n">
        <x:v>43596</x:v>
      </x:c>
      <x:c r="H408" s="17" t="n">
        <x:v>5948</x:v>
      </x:c>
      <x:c r="I408" s="17" t="str">
        <x:v>Followup</x:v>
      </x:c>
      <x:c r="J408" s="27" t="n">
        <x:f>INDEX('Model Pricing'!$B$7:$B$8,MATCH(F408,'Model Pricing'!$A$7:$A$8,0))</x:f>
        <x:v>10</x:v>
      </x:c>
      <x:c r="K408" s="27" t="n">
        <x:f>INDEX('Model Pricing'!$C$7:$C$8,MATCH(F408,'Model Pricing'!$A$7:$A$8,0))</x:f>
        <x:v>30</x:v>
      </x:c>
      <x:c r="L408" s="17" t="n">
        <x:f>G408+H408</x:f>
        <x:v>49544</x:v>
      </x:c>
      <x:c r="M408" s="28" t="n">
        <x:f>G408*J408/1000000</x:f>
        <x:v>0.43596</x:v>
      </x:c>
      <x:c r="N408" s="28" t="n">
        <x:f>H408*K408/1000000</x:f>
        <x:v>0.17844</x:v>
      </x:c>
      <x:c r="O408" s="28" t="n">
        <x:f>SUM(M408:N408)</x:f>
        <x:v>0.6144000000000001</x:v>
      </x:c>
    </x:row>
    <x:row r="409" ht="23" customHeight="1">
      <x:c r="A409" s="17" t="str">
        <x:v>U00403</x:v>
      </x:c>
      <x:c r="B409" s="18" t="n">
        <x:v>46290</x:v>
      </x:c>
      <x:c r="C409" s="17" t="str">
        <x:v>W0049</x:v>
      </x:c>
      <x:c r="D409" s="17" t="str">
        <x:v>C001</x:v>
      </x:c>
      <x:c r="E409" s="17" t="str">
        <x:v>CopyStudio</x:v>
      </x:c>
      <x:c r="F409" s="17" t="str">
        <x:v>Lite</x:v>
      </x:c>
      <x:c r="G409" s="17" t="n">
        <x:v>46272</x:v>
      </x:c>
      <x:c r="H409" s="17" t="n">
        <x:v>2530</x:v>
      </x:c>
      <x:c r="I409" s="17" t="str">
        <x:v>Correction</x:v>
      </x:c>
      <x:c r="J409" s="27" t="n">
        <x:f>INDEX('Model Pricing'!$B$7:$B$8,MATCH(F409,'Model Pricing'!$A$7:$A$8,0))</x:f>
        <x:v>10</x:v>
      </x:c>
      <x:c r="K409" s="27" t="n">
        <x:f>INDEX('Model Pricing'!$C$7:$C$8,MATCH(F409,'Model Pricing'!$A$7:$A$8,0))</x:f>
        <x:v>30</x:v>
      </x:c>
      <x:c r="L409" s="17" t="n">
        <x:f>G409+H409</x:f>
        <x:v>48802</x:v>
      </x:c>
      <x:c r="M409" s="28" t="n">
        <x:f>G409*J409/1000000</x:f>
        <x:v>0.46272</x:v>
      </x:c>
      <x:c r="N409" s="28" t="n">
        <x:f>H409*K409/1000000</x:f>
        <x:v>0.0759</x:v>
      </x:c>
      <x:c r="O409" s="28" t="n">
        <x:f>SUM(M409:N409)</x:f>
        <x:v>0.53862</x:v>
      </x:c>
    </x:row>
    <x:row r="410" ht="23" customHeight="1">
      <x:c r="A410" s="17" t="str">
        <x:v>U00404</x:v>
      </x:c>
      <x:c r="B410" s="18" t="n">
        <x:v>46290</x:v>
      </x:c>
      <x:c r="C410" s="17" t="str">
        <x:v>W0049</x:v>
      </x:c>
      <x:c r="D410" s="17" t="str">
        <x:v>C001</x:v>
      </x:c>
      <x:c r="E410" s="17" t="str">
        <x:v>CopyStudio</x:v>
      </x:c>
      <x:c r="F410" s="17" t="str">
        <x:v>Lite</x:v>
      </x:c>
      <x:c r="G410" s="17" t="n">
        <x:v>48472</x:v>
      </x:c>
      <x:c r="H410" s="17" t="n">
        <x:v>2340</x:v>
      </x:c>
      <x:c r="I410" s="17" t="str">
        <x:v>Followup</x:v>
      </x:c>
      <x:c r="J410" s="27" t="n">
        <x:f>INDEX('Model Pricing'!$B$7:$B$8,MATCH(F410,'Model Pricing'!$A$7:$A$8,0))</x:f>
        <x:v>10</x:v>
      </x:c>
      <x:c r="K410" s="27" t="n">
        <x:f>INDEX('Model Pricing'!$C$7:$C$8,MATCH(F410,'Model Pricing'!$A$7:$A$8,0))</x:f>
        <x:v>30</x:v>
      </x:c>
      <x:c r="L410" s="17" t="n">
        <x:f>G410+H410</x:f>
        <x:v>50812</x:v>
      </x:c>
      <x:c r="M410" s="28" t="n">
        <x:f>G410*J410/1000000</x:f>
        <x:v>0.48472</x:v>
      </x:c>
      <x:c r="N410" s="28" t="n">
        <x:f>H410*K410/1000000</x:f>
        <x:v>0.0702</x:v>
      </x:c>
      <x:c r="O410" s="28" t="n">
        <x:f>SUM(M410:N410)</x:f>
        <x:v>0.55492</x:v>
      </x:c>
    </x:row>
    <x:row r="411" ht="23" customHeight="1">
      <x:c r="A411" s="17" t="str">
        <x:v>U00405</x:v>
      </x:c>
      <x:c r="B411" s="18" t="n">
        <x:v>46293</x:v>
      </x:c>
      <x:c r="C411" s="17" t="str">
        <x:v>W0049</x:v>
      </x:c>
      <x:c r="D411" s="17" t="str">
        <x:v>C001</x:v>
      </x:c>
      <x:c r="E411" s="17" t="str">
        <x:v>CopyStudio</x:v>
      </x:c>
      <x:c r="F411" s="17" t="str">
        <x:v>Lite</x:v>
      </x:c>
      <x:c r="G411" s="17" t="n">
        <x:v>37680</x:v>
      </x:c>
      <x:c r="H411" s="17" t="n">
        <x:v>2146</x:v>
      </x:c>
      <x:c r="I411" s="17" t="str">
        <x:v>Followup</x:v>
      </x:c>
      <x:c r="J411" s="27" t="n">
        <x:f>INDEX('Model Pricing'!$B$7:$B$8,MATCH(F411,'Model Pricing'!$A$7:$A$8,0))</x:f>
        <x:v>10</x:v>
      </x:c>
      <x:c r="K411" s="27" t="n">
        <x:f>INDEX('Model Pricing'!$C$7:$C$8,MATCH(F411,'Model Pricing'!$A$7:$A$8,0))</x:f>
        <x:v>30</x:v>
      </x:c>
      <x:c r="L411" s="17" t="n">
        <x:f>G411+H411</x:f>
        <x:v>39826</x:v>
      </x:c>
      <x:c r="M411" s="28" t="n">
        <x:f>G411*J411/1000000</x:f>
        <x:v>0.3768</x:v>
      </x:c>
      <x:c r="N411" s="28" t="n">
        <x:f>H411*K411/1000000</x:f>
        <x:v>0.06438</x:v>
      </x:c>
      <x:c r="O411" s="28" t="n">
        <x:f>SUM(M411:N411)</x:f>
        <x:v>0.44118</x:v>
      </x:c>
    </x:row>
    <x:row r="412" ht="23" customHeight="1">
      <x:c r="A412" s="17" t="str">
        <x:v>U00406</x:v>
      </x:c>
      <x:c r="B412" s="18" t="n">
        <x:v>46293</x:v>
      </x:c>
      <x:c r="C412" s="17" t="str">
        <x:v>W0049</x:v>
      </x:c>
      <x:c r="D412" s="17" t="str">
        <x:v>C001</x:v>
      </x:c>
      <x:c r="E412" s="17" t="str">
        <x:v>CopyStudio</x:v>
      </x:c>
      <x:c r="F412" s="17" t="str">
        <x:v>Lite</x:v>
      </x:c>
      <x:c r="G412" s="17" t="n">
        <x:v>46460</x:v>
      </x:c>
      <x:c r="H412" s="17" t="n">
        <x:v>6083</x:v>
      </x:c>
      <x:c r="I412" s="17" t="str">
        <x:v>Followup</x:v>
      </x:c>
      <x:c r="J412" s="27" t="n">
        <x:f>INDEX('Model Pricing'!$B$7:$B$8,MATCH(F412,'Model Pricing'!$A$7:$A$8,0))</x:f>
        <x:v>10</x:v>
      </x:c>
      <x:c r="K412" s="27" t="n">
        <x:f>INDEX('Model Pricing'!$C$7:$C$8,MATCH(F412,'Model Pricing'!$A$7:$A$8,0))</x:f>
        <x:v>30</x:v>
      </x:c>
      <x:c r="L412" s="17" t="n">
        <x:f>G412+H412</x:f>
        <x:v>52543</x:v>
      </x:c>
      <x:c r="M412" s="28" t="n">
        <x:f>G412*J412/1000000</x:f>
        <x:v>0.4646</x:v>
      </x:c>
      <x:c r="N412" s="28" t="n">
        <x:f>H412*K412/1000000</x:f>
        <x:v>0.18249</x:v>
      </x:c>
      <x:c r="O412" s="28" t="n">
        <x:f>SUM(M412:N412)</x:f>
        <x:v>0.64709</x:v>
      </x:c>
    </x:row>
    <x:row r="413" ht="23" customHeight="1">
      <x:c r="A413" s="17" t="str">
        <x:v>U00407</x:v>
      </x:c>
      <x:c r="B413" s="18" t="n">
        <x:v>46273</x:v>
      </x:c>
      <x:c r="C413" s="17" t="str">
        <x:v>W0050</x:v>
      </x:c>
      <x:c r="D413" s="17" t="str">
        <x:v>C001</x:v>
      </x:c>
      <x:c r="E413" s="17" t="str">
        <x:v>CopyStudio</x:v>
      </x:c>
      <x:c r="F413" s="17" t="str">
        <x:v>Lite</x:v>
      </x:c>
      <x:c r="G413" s="17" t="n">
        <x:v>66494</x:v>
      </x:c>
      <x:c r="H413" s="17" t="n">
        <x:v>6355</x:v>
      </x:c>
      <x:c r="I413" s="17" t="str">
        <x:v>First attempt</x:v>
      </x:c>
      <x:c r="J413" s="27" t="n">
        <x:f>INDEX('Model Pricing'!$B$7:$B$8,MATCH(F413,'Model Pricing'!$A$7:$A$8,0))</x:f>
        <x:v>10</x:v>
      </x:c>
      <x:c r="K413" s="27" t="n">
        <x:f>INDEX('Model Pricing'!$C$7:$C$8,MATCH(F413,'Model Pricing'!$A$7:$A$8,0))</x:f>
        <x:v>30</x:v>
      </x:c>
      <x:c r="L413" s="17" t="n">
        <x:f>G413+H413</x:f>
        <x:v>72849</x:v>
      </x:c>
      <x:c r="M413" s="28" t="n">
        <x:f>G413*J413/1000000</x:f>
        <x:v>0.66494</x:v>
      </x:c>
      <x:c r="N413" s="28" t="n">
        <x:f>H413*K413/1000000</x:f>
        <x:v>0.19065</x:v>
      </x:c>
      <x:c r="O413" s="28" t="n">
        <x:f>SUM(M413:N413)</x:f>
        <x:v>0.85559</x:v>
      </x:c>
    </x:row>
    <x:row r="414" ht="23" customHeight="1">
      <x:c r="A414" s="17" t="str">
        <x:v>U00408</x:v>
      </x:c>
      <x:c r="B414" s="18" t="n">
        <x:v>46273</x:v>
      </x:c>
      <x:c r="C414" s="17" t="str">
        <x:v>W0050</x:v>
      </x:c>
      <x:c r="D414" s="17" t="str">
        <x:v>C001</x:v>
      </x:c>
      <x:c r="E414" s="17" t="str">
        <x:v>CopyStudio</x:v>
      </x:c>
      <x:c r="F414" s="17" t="str">
        <x:v>Lite</x:v>
      </x:c>
      <x:c r="G414" s="17" t="n">
        <x:v>67403</x:v>
      </x:c>
      <x:c r="H414" s="17" t="n">
        <x:v>7136</x:v>
      </x:c>
      <x:c r="I414" s="17" t="str">
        <x:v>Followup</x:v>
      </x:c>
      <x:c r="J414" s="27" t="n">
        <x:f>INDEX('Model Pricing'!$B$7:$B$8,MATCH(F414,'Model Pricing'!$A$7:$A$8,0))</x:f>
        <x:v>10</x:v>
      </x:c>
      <x:c r="K414" s="27" t="n">
        <x:f>INDEX('Model Pricing'!$C$7:$C$8,MATCH(F414,'Model Pricing'!$A$7:$A$8,0))</x:f>
        <x:v>30</x:v>
      </x:c>
      <x:c r="L414" s="17" t="n">
        <x:f>G414+H414</x:f>
        <x:v>74539</x:v>
      </x:c>
      <x:c r="M414" s="28" t="n">
        <x:f>G414*J414/1000000</x:f>
        <x:v>0.67403</x:v>
      </x:c>
      <x:c r="N414" s="28" t="n">
        <x:f>H414*K414/1000000</x:f>
        <x:v>0.21408</x:v>
      </x:c>
      <x:c r="O414" s="28" t="n">
        <x:f>SUM(M414:N414)</x:f>
        <x:v>0.88811</x:v>
      </x:c>
    </x:row>
    <x:row r="415" ht="23" customHeight="1">
      <x:c r="A415" s="17" t="str">
        <x:v>U00409</x:v>
      </x:c>
      <x:c r="B415" s="18" t="n">
        <x:v>46273</x:v>
      </x:c>
      <x:c r="C415" s="17" t="str">
        <x:v>W0050</x:v>
      </x:c>
      <x:c r="D415" s="17" t="str">
        <x:v>C001</x:v>
      </x:c>
      <x:c r="E415" s="17" t="str">
        <x:v>CopyStudio</x:v>
      </x:c>
      <x:c r="F415" s="17" t="str">
        <x:v>Lite</x:v>
      </x:c>
      <x:c r="G415" s="17" t="n">
        <x:v>54259</x:v>
      </x:c>
      <x:c r="H415" s="17" t="n">
        <x:v>8617</x:v>
      </x:c>
      <x:c r="I415" s="17" t="str">
        <x:v>Correction</x:v>
      </x:c>
      <x:c r="J415" s="27" t="n">
        <x:f>INDEX('Model Pricing'!$B$7:$B$8,MATCH(F415,'Model Pricing'!$A$7:$A$8,0))</x:f>
        <x:v>10</x:v>
      </x:c>
      <x:c r="K415" s="27" t="n">
        <x:f>INDEX('Model Pricing'!$C$7:$C$8,MATCH(F415,'Model Pricing'!$A$7:$A$8,0))</x:f>
        <x:v>30</x:v>
      </x:c>
      <x:c r="L415" s="17" t="n">
        <x:f>G415+H415</x:f>
        <x:v>62876</x:v>
      </x:c>
      <x:c r="M415" s="28" t="n">
        <x:f>G415*J415/1000000</x:f>
        <x:v>0.54259</x:v>
      </x:c>
      <x:c r="N415" s="28" t="n">
        <x:f>H415*K415/1000000</x:f>
        <x:v>0.25851</x:v>
      </x:c>
      <x:c r="O415" s="28" t="n">
        <x:f>SUM(M415:N415)</x:f>
        <x:v>0.8011</x:v>
      </x:c>
    </x:row>
    <x:row r="416" ht="23" customHeight="1">
      <x:c r="A416" s="17" t="str">
        <x:v>U00410</x:v>
      </x:c>
      <x:c r="B416" s="18" t="n">
        <x:v>46274</x:v>
      </x:c>
      <x:c r="C416" s="17" t="str">
        <x:v>W0050</x:v>
      </x:c>
      <x:c r="D416" s="17" t="str">
        <x:v>C001</x:v>
      </x:c>
      <x:c r="E416" s="17" t="str">
        <x:v>CopyStudio</x:v>
      </x:c>
      <x:c r="F416" s="17" t="str">
        <x:v>Lite</x:v>
      </x:c>
      <x:c r="G416" s="17" t="n">
        <x:v>42882</x:v>
      </x:c>
      <x:c r="H416" s="17" t="n">
        <x:v>10084</x:v>
      </x:c>
      <x:c r="I416" s="17" t="str">
        <x:v>Followup</x:v>
      </x:c>
      <x:c r="J416" s="27" t="n">
        <x:f>INDEX('Model Pricing'!$B$7:$B$8,MATCH(F416,'Model Pricing'!$A$7:$A$8,0))</x:f>
        <x:v>10</x:v>
      </x:c>
      <x:c r="K416" s="27" t="n">
        <x:f>INDEX('Model Pricing'!$C$7:$C$8,MATCH(F416,'Model Pricing'!$A$7:$A$8,0))</x:f>
        <x:v>30</x:v>
      </x:c>
      <x:c r="L416" s="17" t="n">
        <x:f>G416+H416</x:f>
        <x:v>52966</x:v>
      </x:c>
      <x:c r="M416" s="28" t="n">
        <x:f>G416*J416/1000000</x:f>
        <x:v>0.42882</x:v>
      </x:c>
      <x:c r="N416" s="28" t="n">
        <x:f>H416*K416/1000000</x:f>
        <x:v>0.30252</x:v>
      </x:c>
      <x:c r="O416" s="28" t="n">
        <x:f>SUM(M416:N416)</x:f>
        <x:v>0.73134</x:v>
      </x:c>
    </x:row>
    <x:row r="417" ht="23" customHeight="1">
      <x:c r="A417" s="17" t="str">
        <x:v>U00411</x:v>
      </x:c>
      <x:c r="B417" s="18" t="n">
        <x:v>46274</x:v>
      </x:c>
      <x:c r="C417" s="17" t="str">
        <x:v>W0050</x:v>
      </x:c>
      <x:c r="D417" s="17" t="str">
        <x:v>C001</x:v>
      </x:c>
      <x:c r="E417" s="17" t="str">
        <x:v>CopyStudio</x:v>
      </x:c>
      <x:c r="F417" s="17" t="str">
        <x:v>Lite</x:v>
      </x:c>
      <x:c r="G417" s="17" t="n">
        <x:v>58803</x:v>
      </x:c>
      <x:c r="H417" s="17" t="n">
        <x:v>10262</x:v>
      </x:c>
      <x:c r="I417" s="17" t="str">
        <x:v>Followup</x:v>
      </x:c>
      <x:c r="J417" s="27" t="n">
        <x:f>INDEX('Model Pricing'!$B$7:$B$8,MATCH(F417,'Model Pricing'!$A$7:$A$8,0))</x:f>
        <x:v>10</x:v>
      </x:c>
      <x:c r="K417" s="27" t="n">
        <x:f>INDEX('Model Pricing'!$C$7:$C$8,MATCH(F417,'Model Pricing'!$A$7:$A$8,0))</x:f>
        <x:v>30</x:v>
      </x:c>
      <x:c r="L417" s="17" t="n">
        <x:f>G417+H417</x:f>
        <x:v>69065</x:v>
      </x:c>
      <x:c r="M417" s="28" t="n">
        <x:f>G417*J417/1000000</x:f>
        <x:v>0.58803</x:v>
      </x:c>
      <x:c r="N417" s="28" t="n">
        <x:f>H417*K417/1000000</x:f>
        <x:v>0.30786</x:v>
      </x:c>
      <x:c r="O417" s="28" t="n">
        <x:f>SUM(M417:N417)</x:f>
        <x:v>0.8958900000000001</x:v>
      </x:c>
    </x:row>
    <x:row r="418" ht="23" customHeight="1">
      <x:c r="A418" s="17" t="str">
        <x:v>U00412</x:v>
      </x:c>
      <x:c r="B418" s="18" t="n">
        <x:v>46275</x:v>
      </x:c>
      <x:c r="C418" s="17" t="str">
        <x:v>W0050</x:v>
      </x:c>
      <x:c r="D418" s="17" t="str">
        <x:v>C001</x:v>
      </x:c>
      <x:c r="E418" s="17" t="str">
        <x:v>CopyStudio</x:v>
      </x:c>
      <x:c r="F418" s="17" t="str">
        <x:v>Lite</x:v>
      </x:c>
      <x:c r="G418" s="17" t="n">
        <x:v>66738</x:v>
      </x:c>
      <x:c r="H418" s="17" t="n">
        <x:v>11244</x:v>
      </x:c>
      <x:c r="I418" s="17" t="str">
        <x:v>Followup</x:v>
      </x:c>
      <x:c r="J418" s="27" t="n">
        <x:f>INDEX('Model Pricing'!$B$7:$B$8,MATCH(F418,'Model Pricing'!$A$7:$A$8,0))</x:f>
        <x:v>10</x:v>
      </x:c>
      <x:c r="K418" s="27" t="n">
        <x:f>INDEX('Model Pricing'!$C$7:$C$8,MATCH(F418,'Model Pricing'!$A$7:$A$8,0))</x:f>
        <x:v>30</x:v>
      </x:c>
      <x:c r="L418" s="17" t="n">
        <x:f>G418+H418</x:f>
        <x:v>77982</x:v>
      </x:c>
      <x:c r="M418" s="28" t="n">
        <x:f>G418*J418/1000000</x:f>
        <x:v>0.66738</x:v>
      </x:c>
      <x:c r="N418" s="28" t="n">
        <x:f>H418*K418/1000000</x:f>
        <x:v>0.33732</x:v>
      </x:c>
      <x:c r="O418" s="28" t="n">
        <x:f>SUM(M418:N418)</x:f>
        <x:v>1.0047</x:v>
      </x:c>
    </x:row>
    <x:row r="419" ht="23" customHeight="1">
      <x:c r="A419" s="17" t="str">
        <x:v>U00413</x:v>
      </x:c>
      <x:c r="B419" s="18" t="n">
        <x:v>46275</x:v>
      </x:c>
      <x:c r="C419" s="17" t="str">
        <x:v>W0050</x:v>
      </x:c>
      <x:c r="D419" s="17" t="str">
        <x:v>C001</x:v>
      </x:c>
      <x:c r="E419" s="17" t="str">
        <x:v>CopyStudio</x:v>
      </x:c>
      <x:c r="F419" s="17" t="str">
        <x:v>Lite</x:v>
      </x:c>
      <x:c r="G419" s="17" t="n">
        <x:v>57245</x:v>
      </x:c>
      <x:c r="H419" s="17" t="n">
        <x:v>4677</x:v>
      </x:c>
      <x:c r="I419" s="17" t="str">
        <x:v>Followup</x:v>
      </x:c>
      <x:c r="J419" s="27" t="n">
        <x:f>INDEX('Model Pricing'!$B$7:$B$8,MATCH(F419,'Model Pricing'!$A$7:$A$8,0))</x:f>
        <x:v>10</x:v>
      </x:c>
      <x:c r="K419" s="27" t="n">
        <x:f>INDEX('Model Pricing'!$C$7:$C$8,MATCH(F419,'Model Pricing'!$A$7:$A$8,0))</x:f>
        <x:v>30</x:v>
      </x:c>
      <x:c r="L419" s="17" t="n">
        <x:f>G419+H419</x:f>
        <x:v>61922</x:v>
      </x:c>
      <x:c r="M419" s="28" t="n">
        <x:f>G419*J419/1000000</x:f>
        <x:v>0.57245</x:v>
      </x:c>
      <x:c r="N419" s="28" t="n">
        <x:f>H419*K419/1000000</x:f>
        <x:v>0.14031</x:v>
      </x:c>
      <x:c r="O419" s="28" t="n">
        <x:f>SUM(M419:N419)</x:f>
        <x:v>0.7127600000000001</x:v>
      </x:c>
    </x:row>
    <x:row r="420" ht="23" customHeight="1">
      <x:c r="A420" s="17" t="str">
        <x:v>U00414</x:v>
      </x:c>
      <x:c r="B420" s="18" t="n">
        <x:v>46275</x:v>
      </x:c>
      <x:c r="C420" s="17" t="str">
        <x:v>W0050</x:v>
      </x:c>
      <x:c r="D420" s="17" t="str">
        <x:v>C001</x:v>
      </x:c>
      <x:c r="E420" s="17" t="str">
        <x:v>CopyStudio</x:v>
      </x:c>
      <x:c r="F420" s="17" t="str">
        <x:v>Lite</x:v>
      </x:c>
      <x:c r="G420" s="17" t="n">
        <x:v>40309</x:v>
      </x:c>
      <x:c r="H420" s="17" t="n">
        <x:v>7270</x:v>
      </x:c>
      <x:c r="I420" s="17" t="str">
        <x:v>Followup</x:v>
      </x:c>
      <x:c r="J420" s="27" t="n">
        <x:f>INDEX('Model Pricing'!$B$7:$B$8,MATCH(F420,'Model Pricing'!$A$7:$A$8,0))</x:f>
        <x:v>10</x:v>
      </x:c>
      <x:c r="K420" s="27" t="n">
        <x:f>INDEX('Model Pricing'!$C$7:$C$8,MATCH(F420,'Model Pricing'!$A$7:$A$8,0))</x:f>
        <x:v>30</x:v>
      </x:c>
      <x:c r="L420" s="17" t="n">
        <x:f>G420+H420</x:f>
        <x:v>47579</x:v>
      </x:c>
      <x:c r="M420" s="28" t="n">
        <x:f>G420*J420/1000000</x:f>
        <x:v>0.40309</x:v>
      </x:c>
      <x:c r="N420" s="28" t="n">
        <x:f>H420*K420/1000000</x:f>
        <x:v>0.2181</x:v>
      </x:c>
      <x:c r="O420" s="28" t="n">
        <x:f>SUM(M420:N420)</x:f>
        <x:v>0.62119</x:v>
      </x:c>
    </x:row>
    <x:row r="421" ht="23" customHeight="1">
      <x:c r="A421" s="17" t="str">
        <x:v>U00415</x:v>
      </x:c>
      <x:c r="B421" s="18" t="n">
        <x:v>46276</x:v>
      </x:c>
      <x:c r="C421" s="17" t="str">
        <x:v>W0050</x:v>
      </x:c>
      <x:c r="D421" s="17" t="str">
        <x:v>C001</x:v>
      </x:c>
      <x:c r="E421" s="17" t="str">
        <x:v>CopyStudio</x:v>
      </x:c>
      <x:c r="F421" s="17" t="str">
        <x:v>Lite</x:v>
      </x:c>
      <x:c r="G421" s="17" t="n">
        <x:v>31951</x:v>
      </x:c>
      <x:c r="H421" s="17" t="n">
        <x:v>8746</x:v>
      </x:c>
      <x:c r="I421" s="17" t="str">
        <x:v>Followup</x:v>
      </x:c>
      <x:c r="J421" s="27" t="n">
        <x:f>INDEX('Model Pricing'!$B$7:$B$8,MATCH(F421,'Model Pricing'!$A$7:$A$8,0))</x:f>
        <x:v>10</x:v>
      </x:c>
      <x:c r="K421" s="27" t="n">
        <x:f>INDEX('Model Pricing'!$C$7:$C$8,MATCH(F421,'Model Pricing'!$A$7:$A$8,0))</x:f>
        <x:v>30</x:v>
      </x:c>
      <x:c r="L421" s="17" t="n">
        <x:f>G421+H421</x:f>
        <x:v>40697</x:v>
      </x:c>
      <x:c r="M421" s="28" t="n">
        <x:f>G421*J421/1000000</x:f>
        <x:v>0.31951</x:v>
      </x:c>
      <x:c r="N421" s="28" t="n">
        <x:f>H421*K421/1000000</x:f>
        <x:v>0.26238</x:v>
      </x:c>
      <x:c r="O421" s="28" t="n">
        <x:f>SUM(M421:N421)</x:f>
        <x:v>0.58189</x:v>
      </x:c>
    </x:row>
    <x:row r="422" ht="23" customHeight="1">
      <x:c r="A422" s="17" t="str">
        <x:v>U00416</x:v>
      </x:c>
      <x:c r="B422" s="18" t="n">
        <x:v>46276</x:v>
      </x:c>
      <x:c r="C422" s="17" t="str">
        <x:v>W0050</x:v>
      </x:c>
      <x:c r="D422" s="17" t="str">
        <x:v>C001</x:v>
      </x:c>
      <x:c r="E422" s="17" t="str">
        <x:v>CopyStudio</x:v>
      </x:c>
      <x:c r="F422" s="17" t="str">
        <x:v>Lite</x:v>
      </x:c>
      <x:c r="G422" s="17" t="n">
        <x:v>43850</x:v>
      </x:c>
      <x:c r="H422" s="17" t="n">
        <x:v>8773</x:v>
      </x:c>
      <x:c r="I422" s="17" t="str">
        <x:v>Followup</x:v>
      </x:c>
      <x:c r="J422" s="27" t="n">
        <x:f>INDEX('Model Pricing'!$B$7:$B$8,MATCH(F422,'Model Pricing'!$A$7:$A$8,0))</x:f>
        <x:v>10</x:v>
      </x:c>
      <x:c r="K422" s="27" t="n">
        <x:f>INDEX('Model Pricing'!$C$7:$C$8,MATCH(F422,'Model Pricing'!$A$7:$A$8,0))</x:f>
        <x:v>30</x:v>
      </x:c>
      <x:c r="L422" s="17" t="n">
        <x:f>G422+H422</x:f>
        <x:v>52623</x:v>
      </x:c>
      <x:c r="M422" s="28" t="n">
        <x:f>G422*J422/1000000</x:f>
        <x:v>0.4385</x:v>
      </x:c>
      <x:c r="N422" s="28" t="n">
        <x:f>H422*K422/1000000</x:f>
        <x:v>0.26319</x:v>
      </x:c>
      <x:c r="O422" s="28" t="n">
        <x:f>SUM(M422:N422)</x:f>
        <x:v>0.7016899999999999</x:v>
      </x:c>
    </x:row>
    <x:row r="423" ht="23" customHeight="1">
      <x:c r="A423" s="17" t="str">
        <x:v>U00417</x:v>
      </x:c>
      <x:c r="B423" s="18" t="n">
        <x:v>46282</x:v>
      </x:c>
      <x:c r="C423" s="17" t="str">
        <x:v>W0051</x:v>
      </x:c>
      <x:c r="D423" s="17" t="str">
        <x:v>C001</x:v>
      </x:c>
      <x:c r="E423" s="17" t="str">
        <x:v>CampaignChat</x:v>
      </x:c>
      <x:c r="F423" s="17" t="str">
        <x:v>Lite</x:v>
      </x:c>
      <x:c r="G423" s="17" t="n">
        <x:v>36661</x:v>
      </x:c>
      <x:c r="H423" s="17" t="n">
        <x:v>16134</x:v>
      </x:c>
      <x:c r="I423" s="17" t="str">
        <x:v>First attempt</x:v>
      </x:c>
      <x:c r="J423" s="27" t="n">
        <x:f>INDEX('Model Pricing'!$B$7:$B$8,MATCH(F423,'Model Pricing'!$A$7:$A$8,0))</x:f>
        <x:v>10</x:v>
      </x:c>
      <x:c r="K423" s="27" t="n">
        <x:f>INDEX('Model Pricing'!$C$7:$C$8,MATCH(F423,'Model Pricing'!$A$7:$A$8,0))</x:f>
        <x:v>30</x:v>
      </x:c>
      <x:c r="L423" s="17" t="n">
        <x:f>G423+H423</x:f>
        <x:v>52795</x:v>
      </x:c>
      <x:c r="M423" s="28" t="n">
        <x:f>G423*J423/1000000</x:f>
        <x:v>0.36661</x:v>
      </x:c>
      <x:c r="N423" s="28" t="n">
        <x:f>H423*K423/1000000</x:f>
        <x:v>0.48402</x:v>
      </x:c>
      <x:c r="O423" s="28" t="n">
        <x:f>SUM(M423:N423)</x:f>
        <x:v>0.85063</x:v>
      </x:c>
    </x:row>
    <x:row r="424" ht="23" customHeight="1">
      <x:c r="A424" s="17" t="str">
        <x:v>U00418</x:v>
      </x:c>
      <x:c r="B424" s="18" t="n">
        <x:v>46282</x:v>
      </x:c>
      <x:c r="C424" s="17" t="str">
        <x:v>W0051</x:v>
      </x:c>
      <x:c r="D424" s="17" t="str">
        <x:v>C001</x:v>
      </x:c>
      <x:c r="E424" s="17" t="str">
        <x:v>CampaignChat</x:v>
      </x:c>
      <x:c r="F424" s="17" t="str">
        <x:v>Lite</x:v>
      </x:c>
      <x:c r="G424" s="17" t="n">
        <x:v>37227</x:v>
      </x:c>
      <x:c r="H424" s="17" t="n">
        <x:v>7197</x:v>
      </x:c>
      <x:c r="I424" s="17" t="str">
        <x:v>Followup</x:v>
      </x:c>
      <x:c r="J424" s="27" t="n">
        <x:f>INDEX('Model Pricing'!$B$7:$B$8,MATCH(F424,'Model Pricing'!$A$7:$A$8,0))</x:f>
        <x:v>10</x:v>
      </x:c>
      <x:c r="K424" s="27" t="n">
        <x:f>INDEX('Model Pricing'!$C$7:$C$8,MATCH(F424,'Model Pricing'!$A$7:$A$8,0))</x:f>
        <x:v>30</x:v>
      </x:c>
      <x:c r="L424" s="17" t="n">
        <x:f>G424+H424</x:f>
        <x:v>44424</x:v>
      </x:c>
      <x:c r="M424" s="28" t="n">
        <x:f>G424*J424/1000000</x:f>
        <x:v>0.37227</x:v>
      </x:c>
      <x:c r="N424" s="28" t="n">
        <x:f>H424*K424/1000000</x:f>
        <x:v>0.21591</x:v>
      </x:c>
      <x:c r="O424" s="28" t="n">
        <x:f>SUM(M424:N424)</x:f>
        <x:v>0.5881799999999999</x:v>
      </x:c>
    </x:row>
    <x:row r="425" ht="23" customHeight="1">
      <x:c r="A425" s="17" t="str">
        <x:v>U00419</x:v>
      </x:c>
      <x:c r="B425" s="18" t="n">
        <x:v>46283</x:v>
      </x:c>
      <x:c r="C425" s="17" t="str">
        <x:v>W0051</x:v>
      </x:c>
      <x:c r="D425" s="17" t="str">
        <x:v>C001</x:v>
      </x:c>
      <x:c r="E425" s="17" t="str">
        <x:v>CampaignChat</x:v>
      </x:c>
      <x:c r="F425" s="17" t="str">
        <x:v>Lite</x:v>
      </x:c>
      <x:c r="G425" s="17" t="n">
        <x:v>24274</x:v>
      </x:c>
      <x:c r="H425" s="17" t="n">
        <x:v>4816</x:v>
      </x:c>
      <x:c r="I425" s="17" t="str">
        <x:v>Followup</x:v>
      </x:c>
      <x:c r="J425" s="27" t="n">
        <x:f>INDEX('Model Pricing'!$B$7:$B$8,MATCH(F425,'Model Pricing'!$A$7:$A$8,0))</x:f>
        <x:v>10</x:v>
      </x:c>
      <x:c r="K425" s="27" t="n">
        <x:f>INDEX('Model Pricing'!$C$7:$C$8,MATCH(F425,'Model Pricing'!$A$7:$A$8,0))</x:f>
        <x:v>30</x:v>
      </x:c>
      <x:c r="L425" s="17" t="n">
        <x:f>G425+H425</x:f>
        <x:v>29090</x:v>
      </x:c>
      <x:c r="M425" s="28" t="n">
        <x:f>G425*J425/1000000</x:f>
        <x:v>0.24274</x:v>
      </x:c>
      <x:c r="N425" s="28" t="n">
        <x:f>H425*K425/1000000</x:f>
        <x:v>0.14448</x:v>
      </x:c>
      <x:c r="O425" s="28" t="n">
        <x:f>SUM(M425:N425)</x:f>
        <x:v>0.38722</x:v>
      </x:c>
    </x:row>
    <x:row r="426" ht="23" customHeight="1">
      <x:c r="A426" s="17" t="str">
        <x:v>U00420</x:v>
      </x:c>
      <x:c r="B426" s="18" t="n">
        <x:v>46283</x:v>
      </x:c>
      <x:c r="C426" s="17" t="str">
        <x:v>W0051</x:v>
      </x:c>
      <x:c r="D426" s="17" t="str">
        <x:v>C001</x:v>
      </x:c>
      <x:c r="E426" s="17" t="str">
        <x:v>CampaignChat</x:v>
      </x:c>
      <x:c r="F426" s="17" t="str">
        <x:v>Lite</x:v>
      </x:c>
      <x:c r="G426" s="17" t="n">
        <x:v>30835</x:v>
      </x:c>
      <x:c r="H426" s="17" t="n">
        <x:v>8847</x:v>
      </x:c>
      <x:c r="I426" s="17" t="str">
        <x:v>Followup</x:v>
      </x:c>
      <x:c r="J426" s="27" t="n">
        <x:f>INDEX('Model Pricing'!$B$7:$B$8,MATCH(F426,'Model Pricing'!$A$7:$A$8,0))</x:f>
        <x:v>10</x:v>
      </x:c>
      <x:c r="K426" s="27" t="n">
        <x:f>INDEX('Model Pricing'!$C$7:$C$8,MATCH(F426,'Model Pricing'!$A$7:$A$8,0))</x:f>
        <x:v>30</x:v>
      </x:c>
      <x:c r="L426" s="17" t="n">
        <x:f>G426+H426</x:f>
        <x:v>39682</x:v>
      </x:c>
      <x:c r="M426" s="28" t="n">
        <x:f>G426*J426/1000000</x:f>
        <x:v>0.30835</x:v>
      </x:c>
      <x:c r="N426" s="28" t="n">
        <x:f>H426*K426/1000000</x:f>
        <x:v>0.26541</x:v>
      </x:c>
      <x:c r="O426" s="28" t="n">
        <x:f>SUM(M426:N426)</x:f>
        <x:v>0.57376</x:v>
      </x:c>
    </x:row>
    <x:row r="427" ht="23" customHeight="1">
      <x:c r="A427" s="17" t="str">
        <x:v>U00421</x:v>
      </x:c>
      <x:c r="B427" s="18" t="n">
        <x:v>46286</x:v>
      </x:c>
      <x:c r="C427" s="17" t="str">
        <x:v>W0051</x:v>
      </x:c>
      <x:c r="D427" s="17" t="str">
        <x:v>C001</x:v>
      </x:c>
      <x:c r="E427" s="17" t="str">
        <x:v>CampaignChat</x:v>
      </x:c>
      <x:c r="F427" s="17" t="str">
        <x:v>Lite</x:v>
      </x:c>
      <x:c r="G427" s="17" t="n">
        <x:v>27434</x:v>
      </x:c>
      <x:c r="H427" s="17" t="n">
        <x:v>9124</x:v>
      </x:c>
      <x:c r="I427" s="17" t="str">
        <x:v>Followup</x:v>
      </x:c>
      <x:c r="J427" s="27" t="n">
        <x:f>INDEX('Model Pricing'!$B$7:$B$8,MATCH(F427,'Model Pricing'!$A$7:$A$8,0))</x:f>
        <x:v>10</x:v>
      </x:c>
      <x:c r="K427" s="27" t="n">
        <x:f>INDEX('Model Pricing'!$C$7:$C$8,MATCH(F427,'Model Pricing'!$A$7:$A$8,0))</x:f>
        <x:v>30</x:v>
      </x:c>
      <x:c r="L427" s="17" t="n">
        <x:f>G427+H427</x:f>
        <x:v>36558</x:v>
      </x:c>
      <x:c r="M427" s="28" t="n">
        <x:f>G427*J427/1000000</x:f>
        <x:v>0.27434</x:v>
      </x:c>
      <x:c r="N427" s="28" t="n">
        <x:f>H427*K427/1000000</x:f>
        <x:v>0.27372</x:v>
      </x:c>
      <x:c r="O427" s="28" t="n">
        <x:f>SUM(M427:N427)</x:f>
        <x:v>0.54806</x:v>
      </x:c>
    </x:row>
    <x:row r="428" ht="23" customHeight="1">
      <x:c r="A428" s="17" t="str">
        <x:v>U00422</x:v>
      </x:c>
      <x:c r="B428" s="18" t="n">
        <x:v>46286</x:v>
      </x:c>
      <x:c r="C428" s="17" t="str">
        <x:v>W0051</x:v>
      </x:c>
      <x:c r="D428" s="17" t="str">
        <x:v>C001</x:v>
      </x:c>
      <x:c r="E428" s="17" t="str">
        <x:v>CampaignChat</x:v>
      </x:c>
      <x:c r="F428" s="17" t="str">
        <x:v>Lite</x:v>
      </x:c>
      <x:c r="G428" s="17" t="n">
        <x:v>17770</x:v>
      </x:c>
      <x:c r="H428" s="17" t="n">
        <x:v>12157</x:v>
      </x:c>
      <x:c r="I428" s="17" t="str">
        <x:v>Followup</x:v>
      </x:c>
      <x:c r="J428" s="27" t="n">
        <x:f>INDEX('Model Pricing'!$B$7:$B$8,MATCH(F428,'Model Pricing'!$A$7:$A$8,0))</x:f>
        <x:v>10</x:v>
      </x:c>
      <x:c r="K428" s="27" t="n">
        <x:f>INDEX('Model Pricing'!$C$7:$C$8,MATCH(F428,'Model Pricing'!$A$7:$A$8,0))</x:f>
        <x:v>30</x:v>
      </x:c>
      <x:c r="L428" s="17" t="n">
        <x:f>G428+H428</x:f>
        <x:v>29927</x:v>
      </x:c>
      <x:c r="M428" s="28" t="n">
        <x:f>G428*J428/1000000</x:f>
        <x:v>0.1777</x:v>
      </x:c>
      <x:c r="N428" s="28" t="n">
        <x:f>H428*K428/1000000</x:f>
        <x:v>0.36471</x:v>
      </x:c>
      <x:c r="O428" s="28" t="n">
        <x:f>SUM(M428:N428)</x:f>
        <x:v>0.54241</x:v>
      </x:c>
    </x:row>
    <x:row r="429" ht="23" customHeight="1">
      <x:c r="A429" s="17" t="str">
        <x:v>U00423</x:v>
      </x:c>
      <x:c r="B429" s="18" t="n">
        <x:v>46287</x:v>
      </x:c>
      <x:c r="C429" s="17" t="str">
        <x:v>W0051</x:v>
      </x:c>
      <x:c r="D429" s="17" t="str">
        <x:v>C001</x:v>
      </x:c>
      <x:c r="E429" s="17" t="str">
        <x:v>CampaignChat</x:v>
      </x:c>
      <x:c r="F429" s="17" t="str">
        <x:v>Lite</x:v>
      </x:c>
      <x:c r="G429" s="17" t="n">
        <x:v>31374</x:v>
      </x:c>
      <x:c r="H429" s="17" t="n">
        <x:v>9630</x:v>
      </x:c>
      <x:c r="I429" s="17" t="str">
        <x:v>Followup</x:v>
      </x:c>
      <x:c r="J429" s="27" t="n">
        <x:f>INDEX('Model Pricing'!$B$7:$B$8,MATCH(F429,'Model Pricing'!$A$7:$A$8,0))</x:f>
        <x:v>10</x:v>
      </x:c>
      <x:c r="K429" s="27" t="n">
        <x:f>INDEX('Model Pricing'!$C$7:$C$8,MATCH(F429,'Model Pricing'!$A$7:$A$8,0))</x:f>
        <x:v>30</x:v>
      </x:c>
      <x:c r="L429" s="17" t="n">
        <x:f>G429+H429</x:f>
        <x:v>41004</x:v>
      </x:c>
      <x:c r="M429" s="28" t="n">
        <x:f>G429*J429/1000000</x:f>
        <x:v>0.31374</x:v>
      </x:c>
      <x:c r="N429" s="28" t="n">
        <x:f>H429*K429/1000000</x:f>
        <x:v>0.2889</x:v>
      </x:c>
      <x:c r="O429" s="28" t="n">
        <x:f>SUM(M429:N429)</x:f>
        <x:v>0.6026400000000001</x:v>
      </x:c>
    </x:row>
    <x:row r="430" ht="23" customHeight="1">
      <x:c r="A430" s="17" t="str">
        <x:v>U00424</x:v>
      </x:c>
      <x:c r="B430" s="18" t="n">
        <x:v>46287</x:v>
      </x:c>
      <x:c r="C430" s="17" t="str">
        <x:v>W0051</x:v>
      </x:c>
      <x:c r="D430" s="17" t="str">
        <x:v>C001</x:v>
      </x:c>
      <x:c r="E430" s="17" t="str">
        <x:v>CampaignChat</x:v>
      </x:c>
      <x:c r="F430" s="17" t="str">
        <x:v>Lite</x:v>
      </x:c>
      <x:c r="G430" s="17" t="n">
        <x:v>35809</x:v>
      </x:c>
      <x:c r="H430" s="17" t="n">
        <x:v>9834</x:v>
      </x:c>
      <x:c r="I430" s="17" t="str">
        <x:v>Correction</x:v>
      </x:c>
      <x:c r="J430" s="27" t="n">
        <x:f>INDEX('Model Pricing'!$B$7:$B$8,MATCH(F430,'Model Pricing'!$A$7:$A$8,0))</x:f>
        <x:v>10</x:v>
      </x:c>
      <x:c r="K430" s="27" t="n">
        <x:f>INDEX('Model Pricing'!$C$7:$C$8,MATCH(F430,'Model Pricing'!$A$7:$A$8,0))</x:f>
        <x:v>30</x:v>
      </x:c>
      <x:c r="L430" s="17" t="n">
        <x:f>G430+H430</x:f>
        <x:v>45643</x:v>
      </x:c>
      <x:c r="M430" s="28" t="n">
        <x:f>G430*J430/1000000</x:f>
        <x:v>0.35809</x:v>
      </x:c>
      <x:c r="N430" s="28" t="n">
        <x:f>H430*K430/1000000</x:f>
        <x:v>0.29502</x:v>
      </x:c>
      <x:c r="O430" s="28" t="n">
        <x:f>SUM(M430:N430)</x:f>
        <x:v>0.6531100000000001</x:v>
      </x:c>
    </x:row>
    <x:row r="431" ht="23" customHeight="1">
      <x:c r="A431" s="17" t="str">
        <x:v>U00425</x:v>
      </x:c>
      <x:c r="B431" s="18" t="n">
        <x:v>46287</x:v>
      </x:c>
      <x:c r="C431" s="17" t="str">
        <x:v>W0054</x:v>
      </x:c>
      <x:c r="D431" s="17" t="str">
        <x:v>C001</x:v>
      </x:c>
      <x:c r="E431" s="17" t="str">
        <x:v>DataFlow</x:v>
      </x:c>
      <x:c r="F431" s="17" t="str">
        <x:v>Lite</x:v>
      </x:c>
      <x:c r="G431" s="17" t="n">
        <x:v>36732</x:v>
      </x:c>
      <x:c r="H431" s="17" t="n">
        <x:v>5451</x:v>
      </x:c>
      <x:c r="I431" s="17" t="str">
        <x:v>First attempt</x:v>
      </x:c>
      <x:c r="J431" s="27" t="n">
        <x:f>INDEX('Model Pricing'!$B$7:$B$8,MATCH(F431,'Model Pricing'!$A$7:$A$8,0))</x:f>
        <x:v>10</x:v>
      </x:c>
      <x:c r="K431" s="27" t="n">
        <x:f>INDEX('Model Pricing'!$C$7:$C$8,MATCH(F431,'Model Pricing'!$A$7:$A$8,0))</x:f>
        <x:v>30</x:v>
      </x:c>
      <x:c r="L431" s="17" t="n">
        <x:f>G431+H431</x:f>
        <x:v>42183</x:v>
      </x:c>
      <x:c r="M431" s="28" t="n">
        <x:f>G431*J431/1000000</x:f>
        <x:v>0.36732</x:v>
      </x:c>
      <x:c r="N431" s="28" t="n">
        <x:f>H431*K431/1000000</x:f>
        <x:v>0.16353</x:v>
      </x:c>
      <x:c r="O431" s="28" t="n">
        <x:f>SUM(M431:N431)</x:f>
        <x:v>0.53085</x:v>
      </x:c>
    </x:row>
    <x:row r="432" ht="23" customHeight="1">
      <x:c r="A432" s="17" t="str">
        <x:v>U00426</x:v>
      </x:c>
      <x:c r="B432" s="18" t="n">
        <x:v>46287</x:v>
      </x:c>
      <x:c r="C432" s="17" t="str">
        <x:v>W0054</x:v>
      </x:c>
      <x:c r="D432" s="17" t="str">
        <x:v>C001</x:v>
      </x:c>
      <x:c r="E432" s="17" t="str">
        <x:v>DataFlow</x:v>
      </x:c>
      <x:c r="F432" s="17" t="str">
        <x:v>Lite</x:v>
      </x:c>
      <x:c r="G432" s="17" t="n">
        <x:v>52164</x:v>
      </x:c>
      <x:c r="H432" s="17" t="n">
        <x:v>4810</x:v>
      </x:c>
      <x:c r="I432" s="17" t="str">
        <x:v>Followup</x:v>
      </x:c>
      <x:c r="J432" s="27" t="n">
        <x:f>INDEX('Model Pricing'!$B$7:$B$8,MATCH(F432,'Model Pricing'!$A$7:$A$8,0))</x:f>
        <x:v>10</x:v>
      </x:c>
      <x:c r="K432" s="27" t="n">
        <x:f>INDEX('Model Pricing'!$C$7:$C$8,MATCH(F432,'Model Pricing'!$A$7:$A$8,0))</x:f>
        <x:v>30</x:v>
      </x:c>
      <x:c r="L432" s="17" t="n">
        <x:f>G432+H432</x:f>
        <x:v>56974</x:v>
      </x:c>
      <x:c r="M432" s="28" t="n">
        <x:f>G432*J432/1000000</x:f>
        <x:v>0.52164</x:v>
      </x:c>
      <x:c r="N432" s="28" t="n">
        <x:f>H432*K432/1000000</x:f>
        <x:v>0.1443</x:v>
      </x:c>
      <x:c r="O432" s="28" t="n">
        <x:f>SUM(M432:N432)</x:f>
        <x:v>0.66594</x:v>
      </x:c>
    </x:row>
    <x:row r="433" ht="23" customHeight="1">
      <x:c r="A433" s="17" t="str">
        <x:v>U00427</x:v>
      </x:c>
      <x:c r="B433" s="18" t="n">
        <x:v>46287</x:v>
      </x:c>
      <x:c r="C433" s="17" t="str">
        <x:v>W0054</x:v>
      </x:c>
      <x:c r="D433" s="17" t="str">
        <x:v>C001</x:v>
      </x:c>
      <x:c r="E433" s="17" t="str">
        <x:v>DataFlow</x:v>
      </x:c>
      <x:c r="F433" s="17" t="str">
        <x:v>Lite</x:v>
      </x:c>
      <x:c r="G433" s="17" t="n">
        <x:v>49173</x:v>
      </x:c>
      <x:c r="H433" s="17" t="n">
        <x:v>3392</x:v>
      </x:c>
      <x:c r="I433" s="17" t="str">
        <x:v>Followup</x:v>
      </x:c>
      <x:c r="J433" s="27" t="n">
        <x:f>INDEX('Model Pricing'!$B$7:$B$8,MATCH(F433,'Model Pricing'!$A$7:$A$8,0))</x:f>
        <x:v>10</x:v>
      </x:c>
      <x:c r="K433" s="27" t="n">
        <x:f>INDEX('Model Pricing'!$C$7:$C$8,MATCH(F433,'Model Pricing'!$A$7:$A$8,0))</x:f>
        <x:v>30</x:v>
      </x:c>
      <x:c r="L433" s="17" t="n">
        <x:f>G433+H433</x:f>
        <x:v>52565</x:v>
      </x:c>
      <x:c r="M433" s="28" t="n">
        <x:f>G433*J433/1000000</x:f>
        <x:v>0.49173</x:v>
      </x:c>
      <x:c r="N433" s="28" t="n">
        <x:f>H433*K433/1000000</x:f>
        <x:v>0.10176</x:v>
      </x:c>
      <x:c r="O433" s="28" t="n">
        <x:f>SUM(M433:N433)</x:f>
        <x:v>0.59349</x:v>
      </x:c>
    </x:row>
    <x:row r="434" ht="23" customHeight="1">
      <x:c r="A434" s="17" t="str">
        <x:v>U00428</x:v>
      </x:c>
      <x:c r="B434" s="18" t="n">
        <x:v>46288</x:v>
      </x:c>
      <x:c r="C434" s="17" t="str">
        <x:v>W0054</x:v>
      </x:c>
      <x:c r="D434" s="17" t="str">
        <x:v>C001</x:v>
      </x:c>
      <x:c r="E434" s="17" t="str">
        <x:v>DataFlow</x:v>
      </x:c>
      <x:c r="F434" s="17" t="str">
        <x:v>Lite</x:v>
      </x:c>
      <x:c r="G434" s="17" t="n">
        <x:v>59818</x:v>
      </x:c>
      <x:c r="H434" s="17" t="n">
        <x:v>6007</x:v>
      </x:c>
      <x:c r="I434" s="17" t="str">
        <x:v>Followup</x:v>
      </x:c>
      <x:c r="J434" s="27" t="n">
        <x:f>INDEX('Model Pricing'!$B$7:$B$8,MATCH(F434,'Model Pricing'!$A$7:$A$8,0))</x:f>
        <x:v>10</x:v>
      </x:c>
      <x:c r="K434" s="27" t="n">
        <x:f>INDEX('Model Pricing'!$C$7:$C$8,MATCH(F434,'Model Pricing'!$A$7:$A$8,0))</x:f>
        <x:v>30</x:v>
      </x:c>
      <x:c r="L434" s="17" t="n">
        <x:f>G434+H434</x:f>
        <x:v>65825</x:v>
      </x:c>
      <x:c r="M434" s="28" t="n">
        <x:f>G434*J434/1000000</x:f>
        <x:v>0.59818</x:v>
      </x:c>
      <x:c r="N434" s="28" t="n">
        <x:f>H434*K434/1000000</x:f>
        <x:v>0.18021</x:v>
      </x:c>
      <x:c r="O434" s="28" t="n">
        <x:f>SUM(M434:N434)</x:f>
        <x:v>0.77839</x:v>
      </x:c>
    </x:row>
    <x:row r="435" ht="23" customHeight="1">
      <x:c r="A435" s="17" t="str">
        <x:v>U00429</x:v>
      </x:c>
      <x:c r="B435" s="18" t="n">
        <x:v>46288</x:v>
      </x:c>
      <x:c r="C435" s="17" t="str">
        <x:v>W0054</x:v>
      </x:c>
      <x:c r="D435" s="17" t="str">
        <x:v>C001</x:v>
      </x:c>
      <x:c r="E435" s="17" t="str">
        <x:v>DataFlow</x:v>
      </x:c>
      <x:c r="F435" s="17" t="str">
        <x:v>Lite</x:v>
      </x:c>
      <x:c r="G435" s="17" t="n">
        <x:v>46132</x:v>
      </x:c>
      <x:c r="H435" s="17" t="n">
        <x:v>4778</x:v>
      </x:c>
      <x:c r="I435" s="17" t="str">
        <x:v>Followup</x:v>
      </x:c>
      <x:c r="J435" s="27" t="n">
        <x:f>INDEX('Model Pricing'!$B$7:$B$8,MATCH(F435,'Model Pricing'!$A$7:$A$8,0))</x:f>
        <x:v>10</x:v>
      </x:c>
      <x:c r="K435" s="27" t="n">
        <x:f>INDEX('Model Pricing'!$C$7:$C$8,MATCH(F435,'Model Pricing'!$A$7:$A$8,0))</x:f>
        <x:v>30</x:v>
      </x:c>
      <x:c r="L435" s="17" t="n">
        <x:f>G435+H435</x:f>
        <x:v>50910</x:v>
      </x:c>
      <x:c r="M435" s="28" t="n">
        <x:f>G435*J435/1000000</x:f>
        <x:v>0.46132</x:v>
      </x:c>
      <x:c r="N435" s="28" t="n">
        <x:f>H435*K435/1000000</x:f>
        <x:v>0.14334</x:v>
      </x:c>
      <x:c r="O435" s="28" t="n">
        <x:f>SUM(M435:N435)</x:f>
        <x:v>0.60466</x:v>
      </x:c>
    </x:row>
    <x:row r="436" ht="23" customHeight="1">
      <x:c r="A436" s="17" t="str">
        <x:v>U00430</x:v>
      </x:c>
      <x:c r="B436" s="18" t="n">
        <x:v>46288</x:v>
      </x:c>
      <x:c r="C436" s="17" t="str">
        <x:v>W0054</x:v>
      </x:c>
      <x:c r="D436" s="17" t="str">
        <x:v>C001</x:v>
      </x:c>
      <x:c r="E436" s="17" t="str">
        <x:v>DataFlow</x:v>
      </x:c>
      <x:c r="F436" s="17" t="str">
        <x:v>Lite</x:v>
      </x:c>
      <x:c r="G436" s="17" t="n">
        <x:v>40385</x:v>
      </x:c>
      <x:c r="H436" s="17" t="n">
        <x:v>4329</x:v>
      </x:c>
      <x:c r="I436" s="17" t="str">
        <x:v>Followup</x:v>
      </x:c>
      <x:c r="J436" s="27" t="n">
        <x:f>INDEX('Model Pricing'!$B$7:$B$8,MATCH(F436,'Model Pricing'!$A$7:$A$8,0))</x:f>
        <x:v>10</x:v>
      </x:c>
      <x:c r="K436" s="27" t="n">
        <x:f>INDEX('Model Pricing'!$C$7:$C$8,MATCH(F436,'Model Pricing'!$A$7:$A$8,0))</x:f>
        <x:v>30</x:v>
      </x:c>
      <x:c r="L436" s="17" t="n">
        <x:f>G436+H436</x:f>
        <x:v>44714</x:v>
      </x:c>
      <x:c r="M436" s="28" t="n">
        <x:f>G436*J436/1000000</x:f>
        <x:v>0.40385</x:v>
      </x:c>
      <x:c r="N436" s="28" t="n">
        <x:f>H436*K436/1000000</x:f>
        <x:v>0.12987</x:v>
      </x:c>
      <x:c r="O436" s="28" t="n">
        <x:f>SUM(M436:N436)</x:f>
        <x:v>0.53372</x:v>
      </x:c>
    </x:row>
    <x:row r="437" ht="23" customHeight="1">
      <x:c r="A437" s="17" t="str">
        <x:v>U00431</x:v>
      </x:c>
      <x:c r="B437" s="18" t="n">
        <x:v>46289</x:v>
      </x:c>
      <x:c r="C437" s="17" t="str">
        <x:v>W0054</x:v>
      </x:c>
      <x:c r="D437" s="17" t="str">
        <x:v>C001</x:v>
      </x:c>
      <x:c r="E437" s="17" t="str">
        <x:v>DataFlow</x:v>
      </x:c>
      <x:c r="F437" s="17" t="str">
        <x:v>Lite</x:v>
      </x:c>
      <x:c r="G437" s="17" t="n">
        <x:v>59147</x:v>
      </x:c>
      <x:c r="H437" s="17" t="n">
        <x:v>4478</x:v>
      </x:c>
      <x:c r="I437" s="17" t="str">
        <x:v>Followup</x:v>
      </x:c>
      <x:c r="J437" s="27" t="n">
        <x:f>INDEX('Model Pricing'!$B$7:$B$8,MATCH(F437,'Model Pricing'!$A$7:$A$8,0))</x:f>
        <x:v>10</x:v>
      </x:c>
      <x:c r="K437" s="27" t="n">
        <x:f>INDEX('Model Pricing'!$C$7:$C$8,MATCH(F437,'Model Pricing'!$A$7:$A$8,0))</x:f>
        <x:v>30</x:v>
      </x:c>
      <x:c r="L437" s="17" t="n">
        <x:f>G437+H437</x:f>
        <x:v>63625</x:v>
      </x:c>
      <x:c r="M437" s="28" t="n">
        <x:f>G437*J437/1000000</x:f>
        <x:v>0.59147</x:v>
      </x:c>
      <x:c r="N437" s="28" t="n">
        <x:f>H437*K437/1000000</x:f>
        <x:v>0.13434</x:v>
      </x:c>
      <x:c r="O437" s="28" t="n">
        <x:f>SUM(M437:N437)</x:f>
        <x:v>0.7258100000000001</x:v>
      </x:c>
    </x:row>
    <x:row r="438" ht="23" customHeight="1">
      <x:c r="A438" s="17" t="str">
        <x:v>U00432</x:v>
      </x:c>
      <x:c r="B438" s="18" t="n">
        <x:v>46289</x:v>
      </x:c>
      <x:c r="C438" s="17" t="str">
        <x:v>W0054</x:v>
      </x:c>
      <x:c r="D438" s="17" t="str">
        <x:v>C001</x:v>
      </x:c>
      <x:c r="E438" s="17" t="str">
        <x:v>DataFlow</x:v>
      </x:c>
      <x:c r="F438" s="17" t="str">
        <x:v>Lite</x:v>
      </x:c>
      <x:c r="G438" s="17" t="n">
        <x:v>67862</x:v>
      </x:c>
      <x:c r="H438" s="17" t="n">
        <x:v>4790</x:v>
      </x:c>
      <x:c r="I438" s="17" t="str">
        <x:v>Followup</x:v>
      </x:c>
      <x:c r="J438" s="27" t="n">
        <x:f>INDEX('Model Pricing'!$B$7:$B$8,MATCH(F438,'Model Pricing'!$A$7:$A$8,0))</x:f>
        <x:v>10</x:v>
      </x:c>
      <x:c r="K438" s="27" t="n">
        <x:f>INDEX('Model Pricing'!$C$7:$C$8,MATCH(F438,'Model Pricing'!$A$7:$A$8,0))</x:f>
        <x:v>30</x:v>
      </x:c>
      <x:c r="L438" s="17" t="n">
        <x:f>G438+H438</x:f>
        <x:v>72652</x:v>
      </x:c>
      <x:c r="M438" s="28" t="n">
        <x:f>G438*J438/1000000</x:f>
        <x:v>0.67862</x:v>
      </x:c>
      <x:c r="N438" s="28" t="n">
        <x:f>H438*K438/1000000</x:f>
        <x:v>0.1437</x:v>
      </x:c>
      <x:c r="O438" s="28" t="n">
        <x:f>SUM(M438:N438)</x:f>
        <x:v>0.8223199999999999</x:v>
      </x:c>
    </x:row>
    <x:row r="439" ht="23" customHeight="1">
      <x:c r="A439" s="17" t="str">
        <x:v>U00433</x:v>
      </x:c>
      <x:c r="B439" s="18" t="n">
        <x:v>46289</x:v>
      </x:c>
      <x:c r="C439" s="17" t="str">
        <x:v>W0054</x:v>
      </x:c>
      <x:c r="D439" s="17" t="str">
        <x:v>C001</x:v>
      </x:c>
      <x:c r="E439" s="17" t="str">
        <x:v>DataFlow</x:v>
      </x:c>
      <x:c r="F439" s="17" t="str">
        <x:v>Lite</x:v>
      </x:c>
      <x:c r="G439" s="17" t="n">
        <x:v>56108</x:v>
      </x:c>
      <x:c r="H439" s="17" t="n">
        <x:v>3705</x:v>
      </x:c>
      <x:c r="I439" s="17" t="str">
        <x:v>Followup</x:v>
      </x:c>
      <x:c r="J439" s="27" t="n">
        <x:f>INDEX('Model Pricing'!$B$7:$B$8,MATCH(F439,'Model Pricing'!$A$7:$A$8,0))</x:f>
        <x:v>10</x:v>
      </x:c>
      <x:c r="K439" s="27" t="n">
        <x:f>INDEX('Model Pricing'!$C$7:$C$8,MATCH(F439,'Model Pricing'!$A$7:$A$8,0))</x:f>
        <x:v>30</x:v>
      </x:c>
      <x:c r="L439" s="17" t="n">
        <x:f>G439+H439</x:f>
        <x:v>59813</x:v>
      </x:c>
      <x:c r="M439" s="28" t="n">
        <x:f>G439*J439/1000000</x:f>
        <x:v>0.56108</x:v>
      </x:c>
      <x:c r="N439" s="28" t="n">
        <x:f>H439*K439/1000000</x:f>
        <x:v>0.11115</x:v>
      </x:c>
      <x:c r="O439" s="28" t="n">
        <x:f>SUM(M439:N439)</x:f>
        <x:v>0.67223</x:v>
      </x:c>
    </x:row>
    <x:row r="440" ht="23" customHeight="1">
      <x:c r="A440" s="17" t="str">
        <x:v>U00434</x:v>
      </x:c>
      <x:c r="B440" s="18" t="n">
        <x:v>46290</x:v>
      </x:c>
      <x:c r="C440" s="17" t="str">
        <x:v>W0054</x:v>
      </x:c>
      <x:c r="D440" s="17" t="str">
        <x:v>C001</x:v>
      </x:c>
      <x:c r="E440" s="17" t="str">
        <x:v>DataFlow</x:v>
      </x:c>
      <x:c r="F440" s="17" t="str">
        <x:v>Lite</x:v>
      </x:c>
      <x:c r="G440" s="17" t="n">
        <x:v>64424</x:v>
      </x:c>
      <x:c r="H440" s="17" t="n">
        <x:v>5955</x:v>
      </x:c>
      <x:c r="I440" s="17" t="str">
        <x:v>Correction</x:v>
      </x:c>
      <x:c r="J440" s="27" t="n">
        <x:f>INDEX('Model Pricing'!$B$7:$B$8,MATCH(F440,'Model Pricing'!$A$7:$A$8,0))</x:f>
        <x:v>10</x:v>
      </x:c>
      <x:c r="K440" s="27" t="n">
        <x:f>INDEX('Model Pricing'!$C$7:$C$8,MATCH(F440,'Model Pricing'!$A$7:$A$8,0))</x:f>
        <x:v>30</x:v>
      </x:c>
      <x:c r="L440" s="17" t="n">
        <x:f>G440+H440</x:f>
        <x:v>70379</x:v>
      </x:c>
      <x:c r="M440" s="28" t="n">
        <x:f>G440*J440/1000000</x:f>
        <x:v>0.64424</x:v>
      </x:c>
      <x:c r="N440" s="28" t="n">
        <x:f>H440*K440/1000000</x:f>
        <x:v>0.17865</x:v>
      </x:c>
      <x:c r="O440" s="28" t="n">
        <x:f>SUM(M440:N440)</x:f>
        <x:v>0.82289</x:v>
      </x:c>
    </x:row>
    <x:row r="441" ht="23" customHeight="1">
      <x:c r="A441" s="17" t="str">
        <x:v>U00435</x:v>
      </x:c>
      <x:c r="B441" s="18" t="n">
        <x:v>46290</x:v>
      </x:c>
      <x:c r="C441" s="17" t="str">
        <x:v>W0054</x:v>
      </x:c>
      <x:c r="D441" s="17" t="str">
        <x:v>C001</x:v>
      </x:c>
      <x:c r="E441" s="17" t="str">
        <x:v>DataFlow</x:v>
      </x:c>
      <x:c r="F441" s="17" t="str">
        <x:v>Lite</x:v>
      </x:c>
      <x:c r="G441" s="17" t="n">
        <x:v>72283</x:v>
      </x:c>
      <x:c r="H441" s="17" t="n">
        <x:v>3062</x:v>
      </x:c>
      <x:c r="I441" s="17" t="str">
        <x:v>Followup</x:v>
      </x:c>
      <x:c r="J441" s="27" t="n">
        <x:f>INDEX('Model Pricing'!$B$7:$B$8,MATCH(F441,'Model Pricing'!$A$7:$A$8,0))</x:f>
        <x:v>10</x:v>
      </x:c>
      <x:c r="K441" s="27" t="n">
        <x:f>INDEX('Model Pricing'!$C$7:$C$8,MATCH(F441,'Model Pricing'!$A$7:$A$8,0))</x:f>
        <x:v>30</x:v>
      </x:c>
      <x:c r="L441" s="17" t="n">
        <x:f>G441+H441</x:f>
        <x:v>75345</x:v>
      </x:c>
      <x:c r="M441" s="28" t="n">
        <x:f>G441*J441/1000000</x:f>
        <x:v>0.72283</x:v>
      </x:c>
      <x:c r="N441" s="28" t="n">
        <x:f>H441*K441/1000000</x:f>
        <x:v>0.09186</x:v>
      </x:c>
      <x:c r="O441" s="28" t="n">
        <x:f>SUM(M441:N441)</x:f>
        <x:v>0.8146899999999999</x:v>
      </x:c>
    </x:row>
    <x:row r="442" ht="23" customHeight="1">
      <x:c r="A442" s="17" t="str">
        <x:v>U00436</x:v>
      </x:c>
      <x:c r="B442" s="18" t="n">
        <x:v>46290</x:v>
      </x:c>
      <x:c r="C442" s="17" t="str">
        <x:v>W0054</x:v>
      </x:c>
      <x:c r="D442" s="17" t="str">
        <x:v>C001</x:v>
      </x:c>
      <x:c r="E442" s="17" t="str">
        <x:v>DataFlow</x:v>
      </x:c>
      <x:c r="F442" s="17" t="str">
        <x:v>Lite</x:v>
      </x:c>
      <x:c r="G442" s="17" t="n">
        <x:v>37764</x:v>
      </x:c>
      <x:c r="H442" s="17" t="n">
        <x:v>5616</x:v>
      </x:c>
      <x:c r="I442" s="17" t="str">
        <x:v>Correction</x:v>
      </x:c>
      <x:c r="J442" s="27" t="n">
        <x:f>INDEX('Model Pricing'!$B$7:$B$8,MATCH(F442,'Model Pricing'!$A$7:$A$8,0))</x:f>
        <x:v>10</x:v>
      </x:c>
      <x:c r="K442" s="27" t="n">
        <x:f>INDEX('Model Pricing'!$C$7:$C$8,MATCH(F442,'Model Pricing'!$A$7:$A$8,0))</x:f>
        <x:v>30</x:v>
      </x:c>
      <x:c r="L442" s="17" t="n">
        <x:f>G442+H442</x:f>
        <x:v>43380</x:v>
      </x:c>
      <x:c r="M442" s="28" t="n">
        <x:f>G442*J442/1000000</x:f>
        <x:v>0.37764</x:v>
      </x:c>
      <x:c r="N442" s="28" t="n">
        <x:f>H442*K442/1000000</x:f>
        <x:v>0.16848</x:v>
      </x:c>
      <x:c r="O442" s="28" t="n">
        <x:f>SUM(M442:N442)</x:f>
        <x:v>0.5461199999999999</x:v>
      </x:c>
    </x:row>
    <x:row r="443" ht="23" customHeight="1">
      <x:c r="A443" s="17" t="str">
        <x:v>U00437</x:v>
      </x:c>
      <x:c r="B443" s="18" t="n">
        <x:v>46281</x:v>
      </x:c>
      <x:c r="C443" s="17" t="str">
        <x:v>W0056</x:v>
      </x:c>
      <x:c r="D443" s="17" t="str">
        <x:v>C001</x:v>
      </x:c>
      <x:c r="E443" s="17" t="str">
        <x:v>InsightDesk</x:v>
      </x:c>
      <x:c r="F443" s="17" t="str">
        <x:v>Lite</x:v>
      </x:c>
      <x:c r="G443" s="17" t="n">
        <x:v>22966</x:v>
      </x:c>
      <x:c r="H443" s="17" t="n">
        <x:v>10500</x:v>
      </x:c>
      <x:c r="I443" s="17" t="str">
        <x:v>First attempt</x:v>
      </x:c>
      <x:c r="J443" s="27" t="n">
        <x:f>INDEX('Model Pricing'!$B$7:$B$8,MATCH(F443,'Model Pricing'!$A$7:$A$8,0))</x:f>
        <x:v>10</x:v>
      </x:c>
      <x:c r="K443" s="27" t="n">
        <x:f>INDEX('Model Pricing'!$C$7:$C$8,MATCH(F443,'Model Pricing'!$A$7:$A$8,0))</x:f>
        <x:v>30</x:v>
      </x:c>
      <x:c r="L443" s="17" t="n">
        <x:f>G443+H443</x:f>
        <x:v>33466</x:v>
      </x:c>
      <x:c r="M443" s="28" t="n">
        <x:f>G443*J443/1000000</x:f>
        <x:v>0.22966</x:v>
      </x:c>
      <x:c r="N443" s="28" t="n">
        <x:f>H443*K443/1000000</x:f>
        <x:v>0.315</x:v>
      </x:c>
      <x:c r="O443" s="28" t="n">
        <x:f>SUM(M443:N443)</x:f>
        <x:v>0.54466</x:v>
      </x:c>
    </x:row>
    <x:row r="444" ht="23" customHeight="1">
      <x:c r="A444" s="17" t="str">
        <x:v>U00438</x:v>
      </x:c>
      <x:c r="B444" s="18" t="n">
        <x:v>46281</x:v>
      </x:c>
      <x:c r="C444" s="17" t="str">
        <x:v>W0056</x:v>
      </x:c>
      <x:c r="D444" s="17" t="str">
        <x:v>C001</x:v>
      </x:c>
      <x:c r="E444" s="17" t="str">
        <x:v>InsightDesk</x:v>
      </x:c>
      <x:c r="F444" s="17" t="str">
        <x:v>Lite</x:v>
      </x:c>
      <x:c r="G444" s="17" t="n">
        <x:v>38601</x:v>
      </x:c>
      <x:c r="H444" s="17" t="n">
        <x:v>11765</x:v>
      </x:c>
      <x:c r="I444" s="17" t="str">
        <x:v>Followup</x:v>
      </x:c>
      <x:c r="J444" s="27" t="n">
        <x:f>INDEX('Model Pricing'!$B$7:$B$8,MATCH(F444,'Model Pricing'!$A$7:$A$8,0))</x:f>
        <x:v>10</x:v>
      </x:c>
      <x:c r="K444" s="27" t="n">
        <x:f>INDEX('Model Pricing'!$C$7:$C$8,MATCH(F444,'Model Pricing'!$A$7:$A$8,0))</x:f>
        <x:v>30</x:v>
      </x:c>
      <x:c r="L444" s="17" t="n">
        <x:f>G444+H444</x:f>
        <x:v>50366</x:v>
      </x:c>
      <x:c r="M444" s="28" t="n">
        <x:f>G444*J444/1000000</x:f>
        <x:v>0.38601</x:v>
      </x:c>
      <x:c r="N444" s="28" t="n">
        <x:f>H444*K444/1000000</x:f>
        <x:v>0.35295</x:v>
      </x:c>
      <x:c r="O444" s="28" t="n">
        <x:f>SUM(M444:N444)</x:f>
        <x:v>0.7389600000000001</x:v>
      </x:c>
    </x:row>
    <x:row r="445" ht="23" customHeight="1">
      <x:c r="A445" s="17" t="str">
        <x:v>U00439</x:v>
      </x:c>
      <x:c r="B445" s="18" t="n">
        <x:v>46281</x:v>
      </x:c>
      <x:c r="C445" s="17" t="str">
        <x:v>W0056</x:v>
      </x:c>
      <x:c r="D445" s="17" t="str">
        <x:v>C001</x:v>
      </x:c>
      <x:c r="E445" s="17" t="str">
        <x:v>InsightDesk</x:v>
      </x:c>
      <x:c r="F445" s="17" t="str">
        <x:v>Lite</x:v>
      </x:c>
      <x:c r="G445" s="17" t="n">
        <x:v>20011</x:v>
      </x:c>
      <x:c r="H445" s="17" t="n">
        <x:v>12184</x:v>
      </x:c>
      <x:c r="I445" s="17" t="str">
        <x:v>Followup</x:v>
      </x:c>
      <x:c r="J445" s="27" t="n">
        <x:f>INDEX('Model Pricing'!$B$7:$B$8,MATCH(F445,'Model Pricing'!$A$7:$A$8,0))</x:f>
        <x:v>10</x:v>
      </x:c>
      <x:c r="K445" s="27" t="n">
        <x:f>INDEX('Model Pricing'!$C$7:$C$8,MATCH(F445,'Model Pricing'!$A$7:$A$8,0))</x:f>
        <x:v>30</x:v>
      </x:c>
      <x:c r="L445" s="17" t="n">
        <x:f>G445+H445</x:f>
        <x:v>32195</x:v>
      </x:c>
      <x:c r="M445" s="28" t="n">
        <x:f>G445*J445/1000000</x:f>
        <x:v>0.20011</x:v>
      </x:c>
      <x:c r="N445" s="28" t="n">
        <x:f>H445*K445/1000000</x:f>
        <x:v>0.36552</x:v>
      </x:c>
      <x:c r="O445" s="28" t="n">
        <x:f>SUM(M445:N445)</x:f>
        <x:v>0.5656300000000001</x:v>
      </x:c>
    </x:row>
    <x:row r="446" ht="23" customHeight="1">
      <x:c r="A446" s="17" t="str">
        <x:v>U00440</x:v>
      </x:c>
      <x:c r="B446" s="18" t="n">
        <x:v>46282</x:v>
      </x:c>
      <x:c r="C446" s="17" t="str">
        <x:v>W0056</x:v>
      </x:c>
      <x:c r="D446" s="17" t="str">
        <x:v>C001</x:v>
      </x:c>
      <x:c r="E446" s="17" t="str">
        <x:v>InsightDesk</x:v>
      </x:c>
      <x:c r="F446" s="17" t="str">
        <x:v>Lite</x:v>
      </x:c>
      <x:c r="G446" s="17" t="n">
        <x:v>39491</x:v>
      </x:c>
      <x:c r="H446" s="17" t="n">
        <x:v>7928</x:v>
      </x:c>
      <x:c r="I446" s="17" t="str">
        <x:v>Followup</x:v>
      </x:c>
      <x:c r="J446" s="27" t="n">
        <x:f>INDEX('Model Pricing'!$B$7:$B$8,MATCH(F446,'Model Pricing'!$A$7:$A$8,0))</x:f>
        <x:v>10</x:v>
      </x:c>
      <x:c r="K446" s="27" t="n">
        <x:f>INDEX('Model Pricing'!$C$7:$C$8,MATCH(F446,'Model Pricing'!$A$7:$A$8,0))</x:f>
        <x:v>30</x:v>
      </x:c>
      <x:c r="L446" s="17" t="n">
        <x:f>G446+H446</x:f>
        <x:v>47419</x:v>
      </x:c>
      <x:c r="M446" s="28" t="n">
        <x:f>G446*J446/1000000</x:f>
        <x:v>0.39491</x:v>
      </x:c>
      <x:c r="N446" s="28" t="n">
        <x:f>H446*K446/1000000</x:f>
        <x:v>0.23784</x:v>
      </x:c>
      <x:c r="O446" s="28" t="n">
        <x:f>SUM(M446:N446)</x:f>
        <x:v>0.6327499999999999</x:v>
      </x:c>
    </x:row>
    <x:row r="447" ht="23" customHeight="1">
      <x:c r="A447" s="17" t="str">
        <x:v>U00441</x:v>
      </x:c>
      <x:c r="B447" s="18" t="n">
        <x:v>46282</x:v>
      </x:c>
      <x:c r="C447" s="17" t="str">
        <x:v>W0056</x:v>
      </x:c>
      <x:c r="D447" s="17" t="str">
        <x:v>C001</x:v>
      </x:c>
      <x:c r="E447" s="17" t="str">
        <x:v>InsightDesk</x:v>
      </x:c>
      <x:c r="F447" s="17" t="str">
        <x:v>Lite</x:v>
      </x:c>
      <x:c r="G447" s="17" t="n">
        <x:v>39689</x:v>
      </x:c>
      <x:c r="H447" s="17" t="n">
        <x:v>13324</x:v>
      </x:c>
      <x:c r="I447" s="17" t="str">
        <x:v>Followup</x:v>
      </x:c>
      <x:c r="J447" s="27" t="n">
        <x:f>INDEX('Model Pricing'!$B$7:$B$8,MATCH(F447,'Model Pricing'!$A$7:$A$8,0))</x:f>
        <x:v>10</x:v>
      </x:c>
      <x:c r="K447" s="27" t="n">
        <x:f>INDEX('Model Pricing'!$C$7:$C$8,MATCH(F447,'Model Pricing'!$A$7:$A$8,0))</x:f>
        <x:v>30</x:v>
      </x:c>
      <x:c r="L447" s="17" t="n">
        <x:f>G447+H447</x:f>
        <x:v>53013</x:v>
      </x:c>
      <x:c r="M447" s="28" t="n">
        <x:f>G447*J447/1000000</x:f>
        <x:v>0.39689</x:v>
      </x:c>
      <x:c r="N447" s="28" t="n">
        <x:f>H447*K447/1000000</x:f>
        <x:v>0.39972</x:v>
      </x:c>
      <x:c r="O447" s="28" t="n">
        <x:f>SUM(M447:N447)</x:f>
        <x:v>0.79661</x:v>
      </x:c>
    </x:row>
    <x:row r="448" ht="23" customHeight="1">
      <x:c r="A448" s="17" t="str">
        <x:v>U00442</x:v>
      </x:c>
      <x:c r="B448" s="18" t="n">
        <x:v>46283</x:v>
      </x:c>
      <x:c r="C448" s="17" t="str">
        <x:v>W0056</x:v>
      </x:c>
      <x:c r="D448" s="17" t="str">
        <x:v>C001</x:v>
      </x:c>
      <x:c r="E448" s="17" t="str">
        <x:v>InsightDesk</x:v>
      </x:c>
      <x:c r="F448" s="17" t="str">
        <x:v>Lite</x:v>
      </x:c>
      <x:c r="G448" s="17" t="n">
        <x:v>45762</x:v>
      </x:c>
      <x:c r="H448" s="17" t="n">
        <x:v>3604</x:v>
      </x:c>
      <x:c r="I448" s="17" t="str">
        <x:v>Followup</x:v>
      </x:c>
      <x:c r="J448" s="27" t="n">
        <x:f>INDEX('Model Pricing'!$B$7:$B$8,MATCH(F448,'Model Pricing'!$A$7:$A$8,0))</x:f>
        <x:v>10</x:v>
      </x:c>
      <x:c r="K448" s="27" t="n">
        <x:f>INDEX('Model Pricing'!$C$7:$C$8,MATCH(F448,'Model Pricing'!$A$7:$A$8,0))</x:f>
        <x:v>30</x:v>
      </x:c>
      <x:c r="L448" s="17" t="n">
        <x:f>G448+H448</x:f>
        <x:v>49366</x:v>
      </x:c>
      <x:c r="M448" s="28" t="n">
        <x:f>G448*J448/1000000</x:f>
        <x:v>0.45762</x:v>
      </x:c>
      <x:c r="N448" s="28" t="n">
        <x:f>H448*K448/1000000</x:f>
        <x:v>0.10812</x:v>
      </x:c>
      <x:c r="O448" s="28" t="n">
        <x:f>SUM(M448:N448)</x:f>
        <x:v>0.56574</x:v>
      </x:c>
    </x:row>
    <x:row r="449" ht="23" customHeight="1">
      <x:c r="A449" s="17" t="str">
        <x:v>U00443</x:v>
      </x:c>
      <x:c r="B449" s="18" t="n">
        <x:v>46283</x:v>
      </x:c>
      <x:c r="C449" s="17" t="str">
        <x:v>W0056</x:v>
      </x:c>
      <x:c r="D449" s="17" t="str">
        <x:v>C001</x:v>
      </x:c>
      <x:c r="E449" s="17" t="str">
        <x:v>InsightDesk</x:v>
      </x:c>
      <x:c r="F449" s="17" t="str">
        <x:v>Lite</x:v>
      </x:c>
      <x:c r="G449" s="17" t="n">
        <x:v>41186</x:v>
      </x:c>
      <x:c r="H449" s="17" t="n">
        <x:v>10415</x:v>
      </x:c>
      <x:c r="I449" s="17" t="str">
        <x:v>Correction</x:v>
      </x:c>
      <x:c r="J449" s="27" t="n">
        <x:f>INDEX('Model Pricing'!$B$7:$B$8,MATCH(F449,'Model Pricing'!$A$7:$A$8,0))</x:f>
        <x:v>10</x:v>
      </x:c>
      <x:c r="K449" s="27" t="n">
        <x:f>INDEX('Model Pricing'!$C$7:$C$8,MATCH(F449,'Model Pricing'!$A$7:$A$8,0))</x:f>
        <x:v>30</x:v>
      </x:c>
      <x:c r="L449" s="17" t="n">
        <x:f>G449+H449</x:f>
        <x:v>51601</x:v>
      </x:c>
      <x:c r="M449" s="28" t="n">
        <x:f>G449*J449/1000000</x:f>
        <x:v>0.41186</x:v>
      </x:c>
      <x:c r="N449" s="28" t="n">
        <x:f>H449*K449/1000000</x:f>
        <x:v>0.31245</x:v>
      </x:c>
      <x:c r="O449" s="28" t="n">
        <x:f>SUM(M449:N449)</x:f>
        <x:v>0.72431</x:v>
      </x:c>
    </x:row>
    <x:row r="450" ht="23" customHeight="1">
      <x:c r="A450" s="17" t="str">
        <x:v>U00444</x:v>
      </x:c>
      <x:c r="B450" s="18" t="n">
        <x:v>46283</x:v>
      </x:c>
      <x:c r="C450" s="17" t="str">
        <x:v>W0056</x:v>
      </x:c>
      <x:c r="D450" s="17" t="str">
        <x:v>C001</x:v>
      </x:c>
      <x:c r="E450" s="17" t="str">
        <x:v>InsightDesk</x:v>
      </x:c>
      <x:c r="F450" s="17" t="str">
        <x:v>Lite</x:v>
      </x:c>
      <x:c r="G450" s="17" t="n">
        <x:v>53695</x:v>
      </x:c>
      <x:c r="H450" s="17" t="n">
        <x:v>5079</x:v>
      </x:c>
      <x:c r="I450" s="17" t="str">
        <x:v>Followup</x:v>
      </x:c>
      <x:c r="J450" s="27" t="n">
        <x:f>INDEX('Model Pricing'!$B$7:$B$8,MATCH(F450,'Model Pricing'!$A$7:$A$8,0))</x:f>
        <x:v>10</x:v>
      </x:c>
      <x:c r="K450" s="27" t="n">
        <x:f>INDEX('Model Pricing'!$C$7:$C$8,MATCH(F450,'Model Pricing'!$A$7:$A$8,0))</x:f>
        <x:v>30</x:v>
      </x:c>
      <x:c r="L450" s="17" t="n">
        <x:f>G450+H450</x:f>
        <x:v>58774</x:v>
      </x:c>
      <x:c r="M450" s="28" t="n">
        <x:f>G450*J450/1000000</x:f>
        <x:v>0.53695</x:v>
      </x:c>
      <x:c r="N450" s="28" t="n">
        <x:f>H450*K450/1000000</x:f>
        <x:v>0.15237</x:v>
      </x:c>
      <x:c r="O450" s="28" t="n">
        <x:f>SUM(M450:N450)</x:f>
        <x:v>0.68932</x:v>
      </x:c>
    </x:row>
    <x:row r="451" ht="23" customHeight="1">
      <x:c r="A451" s="17" t="str">
        <x:v>U00445</x:v>
      </x:c>
      <x:c r="B451" s="18" t="n">
        <x:v>46286</x:v>
      </x:c>
      <x:c r="C451" s="17" t="str">
        <x:v>W0056</x:v>
      </x:c>
      <x:c r="D451" s="17" t="str">
        <x:v>C001</x:v>
      </x:c>
      <x:c r="E451" s="17" t="str">
        <x:v>InsightDesk</x:v>
      </x:c>
      <x:c r="F451" s="17" t="str">
        <x:v>Lite</x:v>
      </x:c>
      <x:c r="G451" s="17" t="n">
        <x:v>37425</x:v>
      </x:c>
      <x:c r="H451" s="17" t="n">
        <x:v>7429</x:v>
      </x:c>
      <x:c r="I451" s="17" t="str">
        <x:v>Followup</x:v>
      </x:c>
      <x:c r="J451" s="27" t="n">
        <x:f>INDEX('Model Pricing'!$B$7:$B$8,MATCH(F451,'Model Pricing'!$A$7:$A$8,0))</x:f>
        <x:v>10</x:v>
      </x:c>
      <x:c r="K451" s="27" t="n">
        <x:f>INDEX('Model Pricing'!$C$7:$C$8,MATCH(F451,'Model Pricing'!$A$7:$A$8,0))</x:f>
        <x:v>30</x:v>
      </x:c>
      <x:c r="L451" s="17" t="n">
        <x:f>G451+H451</x:f>
        <x:v>44854</x:v>
      </x:c>
      <x:c r="M451" s="28" t="n">
        <x:f>G451*J451/1000000</x:f>
        <x:v>0.37425</x:v>
      </x:c>
      <x:c r="N451" s="28" t="n">
        <x:f>H451*K451/1000000</x:f>
        <x:v>0.22287</x:v>
      </x:c>
      <x:c r="O451" s="28" t="n">
        <x:f>SUM(M451:N451)</x:f>
        <x:v>0.5971200000000001</x:v>
      </x:c>
    </x:row>
    <x:row r="452" ht="23" customHeight="1">
      <x:c r="A452" s="17" t="str">
        <x:v>U00446</x:v>
      </x:c>
      <x:c r="B452" s="18" t="n">
        <x:v>46286</x:v>
      </x:c>
      <x:c r="C452" s="17" t="str">
        <x:v>W0056</x:v>
      </x:c>
      <x:c r="D452" s="17" t="str">
        <x:v>C001</x:v>
      </x:c>
      <x:c r="E452" s="17" t="str">
        <x:v>InsightDesk</x:v>
      </x:c>
      <x:c r="F452" s="17" t="str">
        <x:v>Lite</x:v>
      </x:c>
      <x:c r="G452" s="17" t="n">
        <x:v>42041</x:v>
      </x:c>
      <x:c r="H452" s="17" t="n">
        <x:v>8512</x:v>
      </x:c>
      <x:c r="I452" s="17" t="str">
        <x:v>Followup</x:v>
      </x:c>
      <x:c r="J452" s="27" t="n">
        <x:f>INDEX('Model Pricing'!$B$7:$B$8,MATCH(F452,'Model Pricing'!$A$7:$A$8,0))</x:f>
        <x:v>10</x:v>
      </x:c>
      <x:c r="K452" s="27" t="n">
        <x:f>INDEX('Model Pricing'!$C$7:$C$8,MATCH(F452,'Model Pricing'!$A$7:$A$8,0))</x:f>
        <x:v>30</x:v>
      </x:c>
      <x:c r="L452" s="17" t="n">
        <x:f>G452+H452</x:f>
        <x:v>50553</x:v>
      </x:c>
      <x:c r="M452" s="28" t="n">
        <x:f>G452*J452/1000000</x:f>
        <x:v>0.42041</x:v>
      </x:c>
      <x:c r="N452" s="28" t="n">
        <x:f>H452*K452/1000000</x:f>
        <x:v>0.25536</x:v>
      </x:c>
      <x:c r="O452" s="28" t="n">
        <x:f>SUM(M452:N452)</x:f>
        <x:v>0.67577</x:v>
      </x:c>
    </x:row>
    <x:row r="453" ht="23" customHeight="1">
      <x:c r="A453" s="17" t="str">
        <x:v>U00447</x:v>
      </x:c>
      <x:c r="B453" s="18" t="n">
        <x:v>46290</x:v>
      </x:c>
      <x:c r="C453" s="17" t="str">
        <x:v>W0057</x:v>
      </x:c>
      <x:c r="D453" s="17" t="str">
        <x:v>C001</x:v>
      </x:c>
      <x:c r="E453" s="17" t="str">
        <x:v>DataFlow</x:v>
      </x:c>
      <x:c r="F453" s="17" t="str">
        <x:v>Lite</x:v>
      </x:c>
      <x:c r="G453" s="17" t="n">
        <x:v>18804</x:v>
      </x:c>
      <x:c r="H453" s="17" t="n">
        <x:v>8464</x:v>
      </x:c>
      <x:c r="I453" s="17" t="str">
        <x:v>First attempt</x:v>
      </x:c>
      <x:c r="J453" s="27" t="n">
        <x:f>INDEX('Model Pricing'!$B$7:$B$8,MATCH(F453,'Model Pricing'!$A$7:$A$8,0))</x:f>
        <x:v>10</x:v>
      </x:c>
      <x:c r="K453" s="27" t="n">
        <x:f>INDEX('Model Pricing'!$C$7:$C$8,MATCH(F453,'Model Pricing'!$A$7:$A$8,0))</x:f>
        <x:v>30</x:v>
      </x:c>
      <x:c r="L453" s="17" t="n">
        <x:f>G453+H453</x:f>
        <x:v>27268</x:v>
      </x:c>
      <x:c r="M453" s="28" t="n">
        <x:f>G453*J453/1000000</x:f>
        <x:v>0.18804</x:v>
      </x:c>
      <x:c r="N453" s="28" t="n">
        <x:f>H453*K453/1000000</x:f>
        <x:v>0.25392</x:v>
      </x:c>
      <x:c r="O453" s="28" t="n">
        <x:f>SUM(M453:N453)</x:f>
        <x:v>0.44196</x:v>
      </x:c>
    </x:row>
    <x:row r="454" ht="23" customHeight="1">
      <x:c r="A454" s="17" t="str">
        <x:v>U00448</x:v>
      </x:c>
      <x:c r="B454" s="18" t="n">
        <x:v>46290</x:v>
      </x:c>
      <x:c r="C454" s="17" t="str">
        <x:v>W0057</x:v>
      </x:c>
      <x:c r="D454" s="17" t="str">
        <x:v>C001</x:v>
      </x:c>
      <x:c r="E454" s="17" t="str">
        <x:v>DataFlow</x:v>
      </x:c>
      <x:c r="F454" s="17" t="str">
        <x:v>Lite</x:v>
      </x:c>
      <x:c r="G454" s="17" t="n">
        <x:v>19284</x:v>
      </x:c>
      <x:c r="H454" s="17" t="n">
        <x:v>7908</x:v>
      </x:c>
      <x:c r="I454" s="17" t="str">
        <x:v>Followup</x:v>
      </x:c>
      <x:c r="J454" s="27" t="n">
        <x:f>INDEX('Model Pricing'!$B$7:$B$8,MATCH(F454,'Model Pricing'!$A$7:$A$8,0))</x:f>
        <x:v>10</x:v>
      </x:c>
      <x:c r="K454" s="27" t="n">
        <x:f>INDEX('Model Pricing'!$C$7:$C$8,MATCH(F454,'Model Pricing'!$A$7:$A$8,0))</x:f>
        <x:v>30</x:v>
      </x:c>
      <x:c r="L454" s="17" t="n">
        <x:f>G454+H454</x:f>
        <x:v>27192</x:v>
      </x:c>
      <x:c r="M454" s="28" t="n">
        <x:f>G454*J454/1000000</x:f>
        <x:v>0.19284</x:v>
      </x:c>
      <x:c r="N454" s="28" t="n">
        <x:f>H454*K454/1000000</x:f>
        <x:v>0.23724</x:v>
      </x:c>
      <x:c r="O454" s="28" t="n">
        <x:f>SUM(M454:N454)</x:f>
        <x:v>0.43008</x:v>
      </x:c>
    </x:row>
    <x:row r="455" ht="23" customHeight="1">
      <x:c r="A455" s="17" t="str">
        <x:v>U00449</x:v>
      </x:c>
      <x:c r="B455" s="18" t="n">
        <x:v>46290</x:v>
      </x:c>
      <x:c r="C455" s="17" t="str">
        <x:v>W0057</x:v>
      </x:c>
      <x:c r="D455" s="17" t="str">
        <x:v>C001</x:v>
      </x:c>
      <x:c r="E455" s="17" t="str">
        <x:v>DataFlow</x:v>
      </x:c>
      <x:c r="F455" s="17" t="str">
        <x:v>Lite</x:v>
      </x:c>
      <x:c r="G455" s="17" t="n">
        <x:v>14618</x:v>
      </x:c>
      <x:c r="H455" s="17" t="n">
        <x:v>2198</x:v>
      </x:c>
      <x:c r="I455" s="17" t="str">
        <x:v>Followup</x:v>
      </x:c>
      <x:c r="J455" s="27" t="n">
        <x:f>INDEX('Model Pricing'!$B$7:$B$8,MATCH(F455,'Model Pricing'!$A$7:$A$8,0))</x:f>
        <x:v>10</x:v>
      </x:c>
      <x:c r="K455" s="27" t="n">
        <x:f>INDEX('Model Pricing'!$C$7:$C$8,MATCH(F455,'Model Pricing'!$A$7:$A$8,0))</x:f>
        <x:v>30</x:v>
      </x:c>
      <x:c r="L455" s="17" t="n">
        <x:f>G455+H455</x:f>
        <x:v>16816</x:v>
      </x:c>
      <x:c r="M455" s="28" t="n">
        <x:f>G455*J455/1000000</x:f>
        <x:v>0.14618</x:v>
      </x:c>
      <x:c r="N455" s="28" t="n">
        <x:f>H455*K455/1000000</x:f>
        <x:v>0.06594</x:v>
      </x:c>
      <x:c r="O455" s="28" t="n">
        <x:f>SUM(M455:N455)</x:f>
        <x:v>0.21212</x:v>
      </x:c>
    </x:row>
    <x:row r="456" ht="23" customHeight="1">
      <x:c r="A456" s="17" t="str">
        <x:v>U00450</x:v>
      </x:c>
      <x:c r="B456" s="18" t="n">
        <x:v>46293</x:v>
      </x:c>
      <x:c r="C456" s="17" t="str">
        <x:v>W0057</x:v>
      </x:c>
      <x:c r="D456" s="17" t="str">
        <x:v>C001</x:v>
      </x:c>
      <x:c r="E456" s="17" t="str">
        <x:v>DataFlow</x:v>
      </x:c>
      <x:c r="F456" s="17" t="str">
        <x:v>Lite</x:v>
      </x:c>
      <x:c r="G456" s="17" t="n">
        <x:v>36910</x:v>
      </x:c>
      <x:c r="H456" s="17" t="n">
        <x:v>2739</x:v>
      </x:c>
      <x:c r="I456" s="17" t="str">
        <x:v>Followup</x:v>
      </x:c>
      <x:c r="J456" s="27" t="n">
        <x:f>INDEX('Model Pricing'!$B$7:$B$8,MATCH(F456,'Model Pricing'!$A$7:$A$8,0))</x:f>
        <x:v>10</x:v>
      </x:c>
      <x:c r="K456" s="27" t="n">
        <x:f>INDEX('Model Pricing'!$C$7:$C$8,MATCH(F456,'Model Pricing'!$A$7:$A$8,0))</x:f>
        <x:v>30</x:v>
      </x:c>
      <x:c r="L456" s="17" t="n">
        <x:f>G456+H456</x:f>
        <x:v>39649</x:v>
      </x:c>
      <x:c r="M456" s="28" t="n">
        <x:f>G456*J456/1000000</x:f>
        <x:v>0.3691</x:v>
      </x:c>
      <x:c r="N456" s="28" t="n">
        <x:f>H456*K456/1000000</x:f>
        <x:v>0.08217</x:v>
      </x:c>
      <x:c r="O456" s="28" t="n">
        <x:f>SUM(M456:N456)</x:f>
        <x:v>0.45127</x:v>
      </x:c>
    </x:row>
    <x:row r="457" ht="23" customHeight="1">
      <x:c r="A457" s="17" t="str">
        <x:v>U00451</x:v>
      </x:c>
      <x:c r="B457" s="18" t="n">
        <x:v>46293</x:v>
      </x:c>
      <x:c r="C457" s="17" t="str">
        <x:v>W0057</x:v>
      </x:c>
      <x:c r="D457" s="17" t="str">
        <x:v>C001</x:v>
      </x:c>
      <x:c r="E457" s="17" t="str">
        <x:v>DataFlow</x:v>
      </x:c>
      <x:c r="F457" s="17" t="str">
        <x:v>Lite</x:v>
      </x:c>
      <x:c r="G457" s="17" t="n">
        <x:v>16847</x:v>
      </x:c>
      <x:c r="H457" s="17" t="n">
        <x:v>2693</x:v>
      </x:c>
      <x:c r="I457" s="17" t="str">
        <x:v>Followup</x:v>
      </x:c>
      <x:c r="J457" s="27" t="n">
        <x:f>INDEX('Model Pricing'!$B$7:$B$8,MATCH(F457,'Model Pricing'!$A$7:$A$8,0))</x:f>
        <x:v>10</x:v>
      </x:c>
      <x:c r="K457" s="27" t="n">
        <x:f>INDEX('Model Pricing'!$C$7:$C$8,MATCH(F457,'Model Pricing'!$A$7:$A$8,0))</x:f>
        <x:v>30</x:v>
      </x:c>
      <x:c r="L457" s="17" t="n">
        <x:f>G457+H457</x:f>
        <x:v>19540</x:v>
      </x:c>
      <x:c r="M457" s="28" t="n">
        <x:f>G457*J457/1000000</x:f>
        <x:v>0.16847</x:v>
      </x:c>
      <x:c r="N457" s="28" t="n">
        <x:f>H457*K457/1000000</x:f>
        <x:v>0.08079</x:v>
      </x:c>
      <x:c r="O457" s="28" t="n">
        <x:f>SUM(M457:N457)</x:f>
        <x:v>0.24926</x:v>
      </x:c>
    </x:row>
    <x:row r="458" ht="23" customHeight="1">
      <x:c r="A458" s="17" t="str">
        <x:v>U00452</x:v>
      </x:c>
      <x:c r="B458" s="18" t="n">
        <x:v>46293</x:v>
      </x:c>
      <x:c r="C458" s="17" t="str">
        <x:v>W0057</x:v>
      </x:c>
      <x:c r="D458" s="17" t="str">
        <x:v>C001</x:v>
      </x:c>
      <x:c r="E458" s="17" t="str">
        <x:v>DataFlow</x:v>
      </x:c>
      <x:c r="F458" s="17" t="str">
        <x:v>Lite</x:v>
      </x:c>
      <x:c r="G458" s="17" t="n">
        <x:v>37028</x:v>
      </x:c>
      <x:c r="H458" s="17" t="n">
        <x:v>5519</x:v>
      </x:c>
      <x:c r="I458" s="17" t="str">
        <x:v>Followup</x:v>
      </x:c>
      <x:c r="J458" s="27" t="n">
        <x:f>INDEX('Model Pricing'!$B$7:$B$8,MATCH(F458,'Model Pricing'!$A$7:$A$8,0))</x:f>
        <x:v>10</x:v>
      </x:c>
      <x:c r="K458" s="27" t="n">
        <x:f>INDEX('Model Pricing'!$C$7:$C$8,MATCH(F458,'Model Pricing'!$A$7:$A$8,0))</x:f>
        <x:v>30</x:v>
      </x:c>
      <x:c r="L458" s="17" t="n">
        <x:f>G458+H458</x:f>
        <x:v>42547</x:v>
      </x:c>
      <x:c r="M458" s="28" t="n">
        <x:f>G458*J458/1000000</x:f>
        <x:v>0.37028</x:v>
      </x:c>
      <x:c r="N458" s="28" t="n">
        <x:f>H458*K458/1000000</x:f>
        <x:v>0.16557</x:v>
      </x:c>
      <x:c r="O458" s="28" t="n">
        <x:f>SUM(M458:N458)</x:f>
        <x:v>0.5358499999999999</x:v>
      </x:c>
    </x:row>
    <x:row r="459" ht="23" customHeight="1">
      <x:c r="A459" s="17" t="str">
        <x:v>U00453</x:v>
      </x:c>
      <x:c r="B459" s="18" t="n">
        <x:v>46294</x:v>
      </x:c>
      <x:c r="C459" s="17" t="str">
        <x:v>W0057</x:v>
      </x:c>
      <x:c r="D459" s="17" t="str">
        <x:v>C001</x:v>
      </x:c>
      <x:c r="E459" s="17" t="str">
        <x:v>DataFlow</x:v>
      </x:c>
      <x:c r="F459" s="17" t="str">
        <x:v>Lite</x:v>
      </x:c>
      <x:c r="G459" s="17" t="n">
        <x:v>28525</x:v>
      </x:c>
      <x:c r="H459" s="17" t="n">
        <x:v>2348</x:v>
      </x:c>
      <x:c r="I459" s="17" t="str">
        <x:v>Followup</x:v>
      </x:c>
      <x:c r="J459" s="27" t="n">
        <x:f>INDEX('Model Pricing'!$B$7:$B$8,MATCH(F459,'Model Pricing'!$A$7:$A$8,0))</x:f>
        <x:v>10</x:v>
      </x:c>
      <x:c r="K459" s="27" t="n">
        <x:f>INDEX('Model Pricing'!$C$7:$C$8,MATCH(F459,'Model Pricing'!$A$7:$A$8,0))</x:f>
        <x:v>30</x:v>
      </x:c>
      <x:c r="L459" s="17" t="n">
        <x:f>G459+H459</x:f>
        <x:v>30873</x:v>
      </x:c>
      <x:c r="M459" s="28" t="n">
        <x:f>G459*J459/1000000</x:f>
        <x:v>0.28525</x:v>
      </x:c>
      <x:c r="N459" s="28" t="n">
        <x:f>H459*K459/1000000</x:f>
        <x:v>0.07044</x:v>
      </x:c>
      <x:c r="O459" s="28" t="n">
        <x:f>SUM(M459:N459)</x:f>
        <x:v>0.35569</x:v>
      </x:c>
    </x:row>
    <x:row r="460" ht="23" customHeight="1">
      <x:c r="A460" s="17" t="str">
        <x:v>U00454</x:v>
      </x:c>
      <x:c r="B460" s="18" t="n">
        <x:v>46294</x:v>
      </x:c>
      <x:c r="C460" s="17" t="str">
        <x:v>W0057</x:v>
      </x:c>
      <x:c r="D460" s="17" t="str">
        <x:v>C001</x:v>
      </x:c>
      <x:c r="E460" s="17" t="str">
        <x:v>DataFlow</x:v>
      </x:c>
      <x:c r="F460" s="17" t="str">
        <x:v>Lite</x:v>
      </x:c>
      <x:c r="G460" s="17" t="n">
        <x:v>29514</x:v>
      </x:c>
      <x:c r="H460" s="17" t="n">
        <x:v>6613</x:v>
      </x:c>
      <x:c r="I460" s="17" t="str">
        <x:v>Followup</x:v>
      </x:c>
      <x:c r="J460" s="27" t="n">
        <x:f>INDEX('Model Pricing'!$B$7:$B$8,MATCH(F460,'Model Pricing'!$A$7:$A$8,0))</x:f>
        <x:v>10</x:v>
      </x:c>
      <x:c r="K460" s="27" t="n">
        <x:f>INDEX('Model Pricing'!$C$7:$C$8,MATCH(F460,'Model Pricing'!$A$7:$A$8,0))</x:f>
        <x:v>30</x:v>
      </x:c>
      <x:c r="L460" s="17" t="n">
        <x:f>G460+H460</x:f>
        <x:v>36127</x:v>
      </x:c>
      <x:c r="M460" s="28" t="n">
        <x:f>G460*J460/1000000</x:f>
        <x:v>0.29514</x:v>
      </x:c>
      <x:c r="N460" s="28" t="n">
        <x:f>H460*K460/1000000</x:f>
        <x:v>0.19839</x:v>
      </x:c>
      <x:c r="O460" s="28" t="n">
        <x:f>SUM(M460:N460)</x:f>
        <x:v>0.49353</x:v>
      </x:c>
    </x:row>
    <x:row r="461" ht="23" customHeight="1">
      <x:c r="A461" s="17" t="str">
        <x:v>U00455</x:v>
      </x:c>
      <x:c r="B461" s="18" t="n">
        <x:v>46294</x:v>
      </x:c>
      <x:c r="C461" s="17" t="str">
        <x:v>W0057</x:v>
      </x:c>
      <x:c r="D461" s="17" t="str">
        <x:v>C001</x:v>
      </x:c>
      <x:c r="E461" s="17" t="str">
        <x:v>DataFlow</x:v>
      </x:c>
      <x:c r="F461" s="17" t="str">
        <x:v>Lite</x:v>
      </x:c>
      <x:c r="G461" s="17" t="n">
        <x:v>21581</x:v>
      </x:c>
      <x:c r="H461" s="17" t="n">
        <x:v>2231</x:v>
      </x:c>
      <x:c r="I461" s="17" t="str">
        <x:v>Followup</x:v>
      </x:c>
      <x:c r="J461" s="27" t="n">
        <x:f>INDEX('Model Pricing'!$B$7:$B$8,MATCH(F461,'Model Pricing'!$A$7:$A$8,0))</x:f>
        <x:v>10</x:v>
      </x:c>
      <x:c r="K461" s="27" t="n">
        <x:f>INDEX('Model Pricing'!$C$7:$C$8,MATCH(F461,'Model Pricing'!$A$7:$A$8,0))</x:f>
        <x:v>30</x:v>
      </x:c>
      <x:c r="L461" s="17" t="n">
        <x:f>G461+H461</x:f>
        <x:v>23812</x:v>
      </x:c>
      <x:c r="M461" s="28" t="n">
        <x:f>G461*J461/1000000</x:f>
        <x:v>0.21581</x:v>
      </x:c>
      <x:c r="N461" s="28" t="n">
        <x:f>H461*K461/1000000</x:f>
        <x:v>0.06693</x:v>
      </x:c>
      <x:c r="O461" s="28" t="n">
        <x:f>SUM(M461:N461)</x:f>
        <x:v>0.28274</x:v>
      </x:c>
    </x:row>
    <x:row r="462" ht="23" customHeight="1">
      <x:c r="A462" s="17" t="str">
        <x:v>U00456</x:v>
      </x:c>
      <x:c r="B462" s="18" t="n">
        <x:v>46295</x:v>
      </x:c>
      <x:c r="C462" s="17" t="str">
        <x:v>W0057</x:v>
      </x:c>
      <x:c r="D462" s="17" t="str">
        <x:v>C001</x:v>
      </x:c>
      <x:c r="E462" s="17" t="str">
        <x:v>DataFlow</x:v>
      </x:c>
      <x:c r="F462" s="17" t="str">
        <x:v>Lite</x:v>
      </x:c>
      <x:c r="G462" s="17" t="n">
        <x:v>33863</x:v>
      </x:c>
      <x:c r="H462" s="17" t="n">
        <x:v>7633</x:v>
      </x:c>
      <x:c r="I462" s="17" t="str">
        <x:v>Correction</x:v>
      </x:c>
      <x:c r="J462" s="27" t="n">
        <x:f>INDEX('Model Pricing'!$B$7:$B$8,MATCH(F462,'Model Pricing'!$A$7:$A$8,0))</x:f>
        <x:v>10</x:v>
      </x:c>
      <x:c r="K462" s="27" t="n">
        <x:f>INDEX('Model Pricing'!$C$7:$C$8,MATCH(F462,'Model Pricing'!$A$7:$A$8,0))</x:f>
        <x:v>30</x:v>
      </x:c>
      <x:c r="L462" s="17" t="n">
        <x:f>G462+H462</x:f>
        <x:v>41496</x:v>
      </x:c>
      <x:c r="M462" s="28" t="n">
        <x:f>G462*J462/1000000</x:f>
        <x:v>0.33863</x:v>
      </x:c>
      <x:c r="N462" s="28" t="n">
        <x:f>H462*K462/1000000</x:f>
        <x:v>0.22899</x:v>
      </x:c>
      <x:c r="O462" s="28" t="n">
        <x:f>SUM(M462:N462)</x:f>
        <x:v>0.56762</x:v>
      </x:c>
    </x:row>
    <x:row r="463" ht="23" customHeight="1">
      <x:c r="A463" s="17" t="str">
        <x:v>U00457</x:v>
      </x:c>
      <x:c r="B463" s="18" t="n">
        <x:v>46295</x:v>
      </x:c>
      <x:c r="C463" s="17" t="str">
        <x:v>W0057</x:v>
      </x:c>
      <x:c r="D463" s="17" t="str">
        <x:v>C001</x:v>
      </x:c>
      <x:c r="E463" s="17" t="str">
        <x:v>DataFlow</x:v>
      </x:c>
      <x:c r="F463" s="17" t="str">
        <x:v>Lite</x:v>
      </x:c>
      <x:c r="G463" s="17" t="n">
        <x:v>14168</x:v>
      </x:c>
      <x:c r="H463" s="17" t="n">
        <x:v>2969</x:v>
      </x:c>
      <x:c r="I463" s="17" t="str">
        <x:v>Correction</x:v>
      </x:c>
      <x:c r="J463" s="27" t="n">
        <x:f>INDEX('Model Pricing'!$B$7:$B$8,MATCH(F463,'Model Pricing'!$A$7:$A$8,0))</x:f>
        <x:v>10</x:v>
      </x:c>
      <x:c r="K463" s="27" t="n">
        <x:f>INDEX('Model Pricing'!$C$7:$C$8,MATCH(F463,'Model Pricing'!$A$7:$A$8,0))</x:f>
        <x:v>30</x:v>
      </x:c>
      <x:c r="L463" s="17" t="n">
        <x:f>G463+H463</x:f>
        <x:v>17137</x:v>
      </x:c>
      <x:c r="M463" s="28" t="n">
        <x:f>G463*J463/1000000</x:f>
        <x:v>0.14168</x:v>
      </x:c>
      <x:c r="N463" s="28" t="n">
        <x:f>H463*K463/1000000</x:f>
        <x:v>0.08907</x:v>
      </x:c>
      <x:c r="O463" s="28" t="n">
        <x:f>SUM(M463:N463)</x:f>
        <x:v>0.23075</x:v>
      </x:c>
    </x:row>
    <x:row r="464" ht="23" customHeight="1">
      <x:c r="A464" s="17" t="str">
        <x:v>U00458</x:v>
      </x:c>
      <x:c r="B464" s="18" t="n">
        <x:v>46275</x:v>
      </x:c>
      <x:c r="C464" s="17" t="str">
        <x:v>W0058</x:v>
      </x:c>
      <x:c r="D464" s="17" t="str">
        <x:v>C001</x:v>
      </x:c>
      <x:c r="E464" s="17" t="str">
        <x:v>CopyStudio</x:v>
      </x:c>
      <x:c r="F464" s="17" t="str">
        <x:v>Lite</x:v>
      </x:c>
      <x:c r="G464" s="17" t="n">
        <x:v>30358</x:v>
      </x:c>
      <x:c r="H464" s="17" t="n">
        <x:v>5287</x:v>
      </x:c>
      <x:c r="I464" s="17" t="str">
        <x:v>First attempt</x:v>
      </x:c>
      <x:c r="J464" s="27" t="n">
        <x:f>INDEX('Model Pricing'!$B$7:$B$8,MATCH(F464,'Model Pricing'!$A$7:$A$8,0))</x:f>
        <x:v>10</x:v>
      </x:c>
      <x:c r="K464" s="27" t="n">
        <x:f>INDEX('Model Pricing'!$C$7:$C$8,MATCH(F464,'Model Pricing'!$A$7:$A$8,0))</x:f>
        <x:v>30</x:v>
      </x:c>
      <x:c r="L464" s="17" t="n">
        <x:f>G464+H464</x:f>
        <x:v>35645</x:v>
      </x:c>
      <x:c r="M464" s="28" t="n">
        <x:f>G464*J464/1000000</x:f>
        <x:v>0.30358</x:v>
      </x:c>
      <x:c r="N464" s="28" t="n">
        <x:f>H464*K464/1000000</x:f>
        <x:v>0.15861</x:v>
      </x:c>
      <x:c r="O464" s="28" t="n">
        <x:f>SUM(M464:N464)</x:f>
        <x:v>0.46219</x:v>
      </x:c>
    </x:row>
    <x:row r="465" ht="23" customHeight="1">
      <x:c r="A465" s="17" t="str">
        <x:v>U00459</x:v>
      </x:c>
      <x:c r="B465" s="18" t="n">
        <x:v>46275</x:v>
      </x:c>
      <x:c r="C465" s="17" t="str">
        <x:v>W0058</x:v>
      </x:c>
      <x:c r="D465" s="17" t="str">
        <x:v>C001</x:v>
      </x:c>
      <x:c r="E465" s="17" t="str">
        <x:v>CopyStudio</x:v>
      </x:c>
      <x:c r="F465" s="17" t="str">
        <x:v>Lite</x:v>
      </x:c>
      <x:c r="G465" s="17" t="n">
        <x:v>15349</x:v>
      </x:c>
      <x:c r="H465" s="17" t="n">
        <x:v>5400</x:v>
      </x:c>
      <x:c r="I465" s="17" t="str">
        <x:v>Followup</x:v>
      </x:c>
      <x:c r="J465" s="27" t="n">
        <x:f>INDEX('Model Pricing'!$B$7:$B$8,MATCH(F465,'Model Pricing'!$A$7:$A$8,0))</x:f>
        <x:v>10</x:v>
      </x:c>
      <x:c r="K465" s="27" t="n">
        <x:f>INDEX('Model Pricing'!$C$7:$C$8,MATCH(F465,'Model Pricing'!$A$7:$A$8,0))</x:f>
        <x:v>30</x:v>
      </x:c>
      <x:c r="L465" s="17" t="n">
        <x:f>G465+H465</x:f>
        <x:v>20749</x:v>
      </x:c>
      <x:c r="M465" s="28" t="n">
        <x:f>G465*J465/1000000</x:f>
        <x:v>0.15349</x:v>
      </x:c>
      <x:c r="N465" s="28" t="n">
        <x:f>H465*K465/1000000</x:f>
        <x:v>0.162</x:v>
      </x:c>
      <x:c r="O465" s="28" t="n">
        <x:f>SUM(M465:N465)</x:f>
        <x:v>0.31549</x:v>
      </x:c>
    </x:row>
    <x:row r="466" ht="23" customHeight="1">
      <x:c r="A466" s="17" t="str">
        <x:v>U00460</x:v>
      </x:c>
      <x:c r="B466" s="18" t="n">
        <x:v>46276</x:v>
      </x:c>
      <x:c r="C466" s="17" t="str">
        <x:v>W0058</x:v>
      </x:c>
      <x:c r="D466" s="17" t="str">
        <x:v>C001</x:v>
      </x:c>
      <x:c r="E466" s="17" t="str">
        <x:v>CopyStudio</x:v>
      </x:c>
      <x:c r="F466" s="17" t="str">
        <x:v>Lite</x:v>
      </x:c>
      <x:c r="G466" s="17" t="n">
        <x:v>30473</x:v>
      </x:c>
      <x:c r="H466" s="17" t="n">
        <x:v>5239</x:v>
      </x:c>
      <x:c r="I466" s="17" t="str">
        <x:v>Followup</x:v>
      </x:c>
      <x:c r="J466" s="27" t="n">
        <x:f>INDEX('Model Pricing'!$B$7:$B$8,MATCH(F466,'Model Pricing'!$A$7:$A$8,0))</x:f>
        <x:v>10</x:v>
      </x:c>
      <x:c r="K466" s="27" t="n">
        <x:f>INDEX('Model Pricing'!$C$7:$C$8,MATCH(F466,'Model Pricing'!$A$7:$A$8,0))</x:f>
        <x:v>30</x:v>
      </x:c>
      <x:c r="L466" s="17" t="n">
        <x:f>G466+H466</x:f>
        <x:v>35712</x:v>
      </x:c>
      <x:c r="M466" s="28" t="n">
        <x:f>G466*J466/1000000</x:f>
        <x:v>0.30473</x:v>
      </x:c>
      <x:c r="N466" s="28" t="n">
        <x:f>H466*K466/1000000</x:f>
        <x:v>0.15717</x:v>
      </x:c>
      <x:c r="O466" s="28" t="n">
        <x:f>SUM(M466:N466)</x:f>
        <x:v>0.4619</x:v>
      </x:c>
    </x:row>
    <x:row r="467" ht="23" customHeight="1">
      <x:c r="A467" s="17" t="str">
        <x:v>U00461</x:v>
      </x:c>
      <x:c r="B467" s="18" t="n">
        <x:v>46276</x:v>
      </x:c>
      <x:c r="C467" s="17" t="str">
        <x:v>W0058</x:v>
      </x:c>
      <x:c r="D467" s="17" t="str">
        <x:v>C001</x:v>
      </x:c>
      <x:c r="E467" s="17" t="str">
        <x:v>CopyStudio</x:v>
      </x:c>
      <x:c r="F467" s="17" t="str">
        <x:v>Lite</x:v>
      </x:c>
      <x:c r="G467" s="17" t="n">
        <x:v>26199</x:v>
      </x:c>
      <x:c r="H467" s="17" t="n">
        <x:v>6770</x:v>
      </x:c>
      <x:c r="I467" s="17" t="str">
        <x:v>Followup</x:v>
      </x:c>
      <x:c r="J467" s="27" t="n">
        <x:f>INDEX('Model Pricing'!$B$7:$B$8,MATCH(F467,'Model Pricing'!$A$7:$A$8,0))</x:f>
        <x:v>10</x:v>
      </x:c>
      <x:c r="K467" s="27" t="n">
        <x:f>INDEX('Model Pricing'!$C$7:$C$8,MATCH(F467,'Model Pricing'!$A$7:$A$8,0))</x:f>
        <x:v>30</x:v>
      </x:c>
      <x:c r="L467" s="17" t="n">
        <x:f>G467+H467</x:f>
        <x:v>32969</x:v>
      </x:c>
      <x:c r="M467" s="28" t="n">
        <x:f>G467*J467/1000000</x:f>
        <x:v>0.26199</x:v>
      </x:c>
      <x:c r="N467" s="28" t="n">
        <x:f>H467*K467/1000000</x:f>
        <x:v>0.2031</x:v>
      </x:c>
      <x:c r="O467" s="28" t="n">
        <x:f>SUM(M467:N467)</x:f>
        <x:v>0.46509</x:v>
      </x:c>
    </x:row>
    <x:row r="468" ht="23" customHeight="1">
      <x:c r="A468" s="17" t="str">
        <x:v>U00462</x:v>
      </x:c>
      <x:c r="B468" s="18" t="n">
        <x:v>46279</x:v>
      </x:c>
      <x:c r="C468" s="17" t="str">
        <x:v>W0058</x:v>
      </x:c>
      <x:c r="D468" s="17" t="str">
        <x:v>C001</x:v>
      </x:c>
      <x:c r="E468" s="17" t="str">
        <x:v>CopyStudio</x:v>
      </x:c>
      <x:c r="F468" s="17" t="str">
        <x:v>Lite</x:v>
      </x:c>
      <x:c r="G468" s="17" t="n">
        <x:v>24604</x:v>
      </x:c>
      <x:c r="H468" s="17" t="n">
        <x:v>8021</x:v>
      </x:c>
      <x:c r="I468" s="17" t="str">
        <x:v>Followup</x:v>
      </x:c>
      <x:c r="J468" s="27" t="n">
        <x:f>INDEX('Model Pricing'!$B$7:$B$8,MATCH(F468,'Model Pricing'!$A$7:$A$8,0))</x:f>
        <x:v>10</x:v>
      </x:c>
      <x:c r="K468" s="27" t="n">
        <x:f>INDEX('Model Pricing'!$C$7:$C$8,MATCH(F468,'Model Pricing'!$A$7:$A$8,0))</x:f>
        <x:v>30</x:v>
      </x:c>
      <x:c r="L468" s="17" t="n">
        <x:f>G468+H468</x:f>
        <x:v>32625</x:v>
      </x:c>
      <x:c r="M468" s="28" t="n">
        <x:f>G468*J468/1000000</x:f>
        <x:v>0.24604</x:v>
      </x:c>
      <x:c r="N468" s="28" t="n">
        <x:f>H468*K468/1000000</x:f>
        <x:v>0.24063</x:v>
      </x:c>
      <x:c r="O468" s="28" t="n">
        <x:f>SUM(M468:N468)</x:f>
        <x:v>0.48667000000000005</x:v>
      </x:c>
    </x:row>
    <x:row r="469" ht="23" customHeight="1">
      <x:c r="A469" s="17" t="str">
        <x:v>U00463</x:v>
      </x:c>
      <x:c r="B469" s="18" t="n">
        <x:v>46279</x:v>
      </x:c>
      <x:c r="C469" s="17" t="str">
        <x:v>W0058</x:v>
      </x:c>
      <x:c r="D469" s="17" t="str">
        <x:v>C001</x:v>
      </x:c>
      <x:c r="E469" s="17" t="str">
        <x:v>CopyStudio</x:v>
      </x:c>
      <x:c r="F469" s="17" t="str">
        <x:v>Lite</x:v>
      </x:c>
      <x:c r="G469" s="17" t="n">
        <x:v>29478</x:v>
      </x:c>
      <x:c r="H469" s="17" t="n">
        <x:v>8361</x:v>
      </x:c>
      <x:c r="I469" s="17" t="str">
        <x:v>Followup</x:v>
      </x:c>
      <x:c r="J469" s="27" t="n">
        <x:f>INDEX('Model Pricing'!$B$7:$B$8,MATCH(F469,'Model Pricing'!$A$7:$A$8,0))</x:f>
        <x:v>10</x:v>
      </x:c>
      <x:c r="K469" s="27" t="n">
        <x:f>INDEX('Model Pricing'!$C$7:$C$8,MATCH(F469,'Model Pricing'!$A$7:$A$8,0))</x:f>
        <x:v>30</x:v>
      </x:c>
      <x:c r="L469" s="17" t="n">
        <x:f>G469+H469</x:f>
        <x:v>37839</x:v>
      </x:c>
      <x:c r="M469" s="28" t="n">
        <x:f>G469*J469/1000000</x:f>
        <x:v>0.29478</x:v>
      </x:c>
      <x:c r="N469" s="28" t="n">
        <x:f>H469*K469/1000000</x:f>
        <x:v>0.25083</x:v>
      </x:c>
      <x:c r="O469" s="28" t="n">
        <x:f>SUM(M469:N469)</x:f>
        <x:v>0.5456099999999999</x:v>
      </x:c>
    </x:row>
    <x:row r="470" ht="23" customHeight="1">
      <x:c r="A470" s="17" t="str">
        <x:v>U00464</x:v>
      </x:c>
      <x:c r="B470" s="18" t="n">
        <x:v>46280</x:v>
      </x:c>
      <x:c r="C470" s="17" t="str">
        <x:v>W0058</x:v>
      </x:c>
      <x:c r="D470" s="17" t="str">
        <x:v>C001</x:v>
      </x:c>
      <x:c r="E470" s="17" t="str">
        <x:v>CopyStudio</x:v>
      </x:c>
      <x:c r="F470" s="17" t="str">
        <x:v>Lite</x:v>
      </x:c>
      <x:c r="G470" s="17" t="n">
        <x:v>38903</x:v>
      </x:c>
      <x:c r="H470" s="17" t="n">
        <x:v>5102</x:v>
      </x:c>
      <x:c r="I470" s="17" t="str">
        <x:v>Correction</x:v>
      </x:c>
      <x:c r="J470" s="27" t="n">
        <x:f>INDEX('Model Pricing'!$B$7:$B$8,MATCH(F470,'Model Pricing'!$A$7:$A$8,0))</x:f>
        <x:v>10</x:v>
      </x:c>
      <x:c r="K470" s="27" t="n">
        <x:f>INDEX('Model Pricing'!$C$7:$C$8,MATCH(F470,'Model Pricing'!$A$7:$A$8,0))</x:f>
        <x:v>30</x:v>
      </x:c>
      <x:c r="L470" s="17" t="n">
        <x:f>G470+H470</x:f>
        <x:v>44005</x:v>
      </x:c>
      <x:c r="M470" s="28" t="n">
        <x:f>G470*J470/1000000</x:f>
        <x:v>0.38903</x:v>
      </x:c>
      <x:c r="N470" s="28" t="n">
        <x:f>H470*K470/1000000</x:f>
        <x:v>0.15306</x:v>
      </x:c>
      <x:c r="O470" s="28" t="n">
        <x:f>SUM(M470:N470)</x:f>
        <x:v>0.54209</x:v>
      </x:c>
    </x:row>
    <x:row r="471" ht="23" customHeight="1">
      <x:c r="A471" s="17" t="str">
        <x:v>U00465</x:v>
      </x:c>
      <x:c r="B471" s="18" t="n">
        <x:v>46280</x:v>
      </x:c>
      <x:c r="C471" s="17" t="str">
        <x:v>W0058</x:v>
      </x:c>
      <x:c r="D471" s="17" t="str">
        <x:v>C001</x:v>
      </x:c>
      <x:c r="E471" s="17" t="str">
        <x:v>CopyStudio</x:v>
      </x:c>
      <x:c r="F471" s="17" t="str">
        <x:v>Lite</x:v>
      </x:c>
      <x:c r="G471" s="17" t="n">
        <x:v>34358</x:v>
      </x:c>
      <x:c r="H471" s="17" t="n">
        <x:v>2249</x:v>
      </x:c>
      <x:c r="I471" s="17" t="str">
        <x:v>Followup</x:v>
      </x:c>
      <x:c r="J471" s="27" t="n">
        <x:f>INDEX('Model Pricing'!$B$7:$B$8,MATCH(F471,'Model Pricing'!$A$7:$A$8,0))</x:f>
        <x:v>10</x:v>
      </x:c>
      <x:c r="K471" s="27" t="n">
        <x:f>INDEX('Model Pricing'!$C$7:$C$8,MATCH(F471,'Model Pricing'!$A$7:$A$8,0))</x:f>
        <x:v>30</x:v>
      </x:c>
      <x:c r="L471" s="17" t="n">
        <x:f>G471+H471</x:f>
        <x:v>36607</x:v>
      </x:c>
      <x:c r="M471" s="28" t="n">
        <x:f>G471*J471/1000000</x:f>
        <x:v>0.34358</x:v>
      </x:c>
      <x:c r="N471" s="28" t="n">
        <x:f>H471*K471/1000000</x:f>
        <x:v>0.06747</x:v>
      </x:c>
      <x:c r="O471" s="28" t="n">
        <x:f>SUM(M471:N471)</x:f>
        <x:v>0.41105</x:v>
      </x:c>
    </x:row>
    <x:row r="472" ht="23" customHeight="1">
      <x:c r="A472" s="17" t="str">
        <x:v>U00466</x:v>
      </x:c>
      <x:c r="B472" s="18" t="n">
        <x:v>46286</x:v>
      </x:c>
      <x:c r="C472" s="17" t="str">
        <x:v>W0059</x:v>
      </x:c>
      <x:c r="D472" s="17" t="str">
        <x:v>C001</x:v>
      </x:c>
      <x:c r="E472" s="17" t="str">
        <x:v>CampaignChat</x:v>
      </x:c>
      <x:c r="F472" s="17" t="str">
        <x:v>Lite</x:v>
      </x:c>
      <x:c r="G472" s="17" t="n">
        <x:v>30280</x:v>
      </x:c>
      <x:c r="H472" s="17" t="n">
        <x:v>4393</x:v>
      </x:c>
      <x:c r="I472" s="17" t="str">
        <x:v>First attempt</x:v>
      </x:c>
      <x:c r="J472" s="27" t="n">
        <x:f>INDEX('Model Pricing'!$B$7:$B$8,MATCH(F472,'Model Pricing'!$A$7:$A$8,0))</x:f>
        <x:v>10</x:v>
      </x:c>
      <x:c r="K472" s="27" t="n">
        <x:f>INDEX('Model Pricing'!$C$7:$C$8,MATCH(F472,'Model Pricing'!$A$7:$A$8,0))</x:f>
        <x:v>30</x:v>
      </x:c>
      <x:c r="L472" s="17" t="n">
        <x:f>G472+H472</x:f>
        <x:v>34673</x:v>
      </x:c>
      <x:c r="M472" s="28" t="n">
        <x:f>G472*J472/1000000</x:f>
        <x:v>0.3028</x:v>
      </x:c>
      <x:c r="N472" s="28" t="n">
        <x:f>H472*K472/1000000</x:f>
        <x:v>0.13179</x:v>
      </x:c>
      <x:c r="O472" s="28" t="n">
        <x:f>SUM(M472:N472)</x:f>
        <x:v>0.43459000000000003</x:v>
      </x:c>
    </x:row>
    <x:row r="473" ht="23" customHeight="1">
      <x:c r="A473" s="17" t="str">
        <x:v>U00467</x:v>
      </x:c>
      <x:c r="B473" s="18" t="n">
        <x:v>46286</x:v>
      </x:c>
      <x:c r="C473" s="17" t="str">
        <x:v>W0059</x:v>
      </x:c>
      <x:c r="D473" s="17" t="str">
        <x:v>C001</x:v>
      </x:c>
      <x:c r="E473" s="17" t="str">
        <x:v>CampaignChat</x:v>
      </x:c>
      <x:c r="F473" s="17" t="str">
        <x:v>Lite</x:v>
      </x:c>
      <x:c r="G473" s="17" t="n">
        <x:v>19091</x:v>
      </x:c>
      <x:c r="H473" s="17" t="n">
        <x:v>6738</x:v>
      </x:c>
      <x:c r="I473" s="17" t="str">
        <x:v>Correction</x:v>
      </x:c>
      <x:c r="J473" s="27" t="n">
        <x:f>INDEX('Model Pricing'!$B$7:$B$8,MATCH(F473,'Model Pricing'!$A$7:$A$8,0))</x:f>
        <x:v>10</x:v>
      </x:c>
      <x:c r="K473" s="27" t="n">
        <x:f>INDEX('Model Pricing'!$C$7:$C$8,MATCH(F473,'Model Pricing'!$A$7:$A$8,0))</x:f>
        <x:v>30</x:v>
      </x:c>
      <x:c r="L473" s="17" t="n">
        <x:f>G473+H473</x:f>
        <x:v>25829</x:v>
      </x:c>
      <x:c r="M473" s="28" t="n">
        <x:f>G473*J473/1000000</x:f>
        <x:v>0.19091</x:v>
      </x:c>
      <x:c r="N473" s="28" t="n">
        <x:f>H473*K473/1000000</x:f>
        <x:v>0.20214</x:v>
      </x:c>
      <x:c r="O473" s="28" t="n">
        <x:f>SUM(M473:N473)</x:f>
        <x:v>0.39305</x:v>
      </x:c>
    </x:row>
    <x:row r="474" ht="23" customHeight="1">
      <x:c r="A474" s="17" t="str">
        <x:v>U00468</x:v>
      </x:c>
      <x:c r="B474" s="18" t="n">
        <x:v>46286</x:v>
      </x:c>
      <x:c r="C474" s="17" t="str">
        <x:v>W0059</x:v>
      </x:c>
      <x:c r="D474" s="17" t="str">
        <x:v>C001</x:v>
      </x:c>
      <x:c r="E474" s="17" t="str">
        <x:v>CampaignChat</x:v>
      </x:c>
      <x:c r="F474" s="17" t="str">
        <x:v>Lite</x:v>
      </x:c>
      <x:c r="G474" s="17" t="n">
        <x:v>18839</x:v>
      </x:c>
      <x:c r="H474" s="17" t="n">
        <x:v>5823</x:v>
      </x:c>
      <x:c r="I474" s="17" t="str">
        <x:v>Followup</x:v>
      </x:c>
      <x:c r="J474" s="27" t="n">
        <x:f>INDEX('Model Pricing'!$B$7:$B$8,MATCH(F474,'Model Pricing'!$A$7:$A$8,0))</x:f>
        <x:v>10</x:v>
      </x:c>
      <x:c r="K474" s="27" t="n">
        <x:f>INDEX('Model Pricing'!$C$7:$C$8,MATCH(F474,'Model Pricing'!$A$7:$A$8,0))</x:f>
        <x:v>30</x:v>
      </x:c>
      <x:c r="L474" s="17" t="n">
        <x:f>G474+H474</x:f>
        <x:v>24662</x:v>
      </x:c>
      <x:c r="M474" s="28" t="n">
        <x:f>G474*J474/1000000</x:f>
        <x:v>0.18839</x:v>
      </x:c>
      <x:c r="N474" s="28" t="n">
        <x:f>H474*K474/1000000</x:f>
        <x:v>0.17469</x:v>
      </x:c>
      <x:c r="O474" s="28" t="n">
        <x:f>SUM(M474:N474)</x:f>
        <x:v>0.36308</x:v>
      </x:c>
    </x:row>
    <x:row r="475" ht="23" customHeight="1">
      <x:c r="A475" s="17" t="str">
        <x:v>U00469</x:v>
      </x:c>
      <x:c r="B475" s="18" t="n">
        <x:v>46287</x:v>
      </x:c>
      <x:c r="C475" s="17" t="str">
        <x:v>W0059</x:v>
      </x:c>
      <x:c r="D475" s="17" t="str">
        <x:v>C001</x:v>
      </x:c>
      <x:c r="E475" s="17" t="str">
        <x:v>CampaignChat</x:v>
      </x:c>
      <x:c r="F475" s="17" t="str">
        <x:v>Lite</x:v>
      </x:c>
      <x:c r="G475" s="17" t="n">
        <x:v>43846</x:v>
      </x:c>
      <x:c r="H475" s="17" t="n">
        <x:v>5504</x:v>
      </x:c>
      <x:c r="I475" s="17" t="str">
        <x:v>Followup</x:v>
      </x:c>
      <x:c r="J475" s="27" t="n">
        <x:f>INDEX('Model Pricing'!$B$7:$B$8,MATCH(F475,'Model Pricing'!$A$7:$A$8,0))</x:f>
        <x:v>10</x:v>
      </x:c>
      <x:c r="K475" s="27" t="n">
        <x:f>INDEX('Model Pricing'!$C$7:$C$8,MATCH(F475,'Model Pricing'!$A$7:$A$8,0))</x:f>
        <x:v>30</x:v>
      </x:c>
      <x:c r="L475" s="17" t="n">
        <x:f>G475+H475</x:f>
        <x:v>49350</x:v>
      </x:c>
      <x:c r="M475" s="28" t="n">
        <x:f>G475*J475/1000000</x:f>
        <x:v>0.43846</x:v>
      </x:c>
      <x:c r="N475" s="28" t="n">
        <x:f>H475*K475/1000000</x:f>
        <x:v>0.16512</x:v>
      </x:c>
      <x:c r="O475" s="28" t="n">
        <x:f>SUM(M475:N475)</x:f>
        <x:v>0.60358</x:v>
      </x:c>
    </x:row>
    <x:row r="476" ht="23" customHeight="1">
      <x:c r="A476" s="17" t="str">
        <x:v>U00470</x:v>
      </x:c>
      <x:c r="B476" s="18" t="n">
        <x:v>46287</x:v>
      </x:c>
      <x:c r="C476" s="17" t="str">
        <x:v>W0059</x:v>
      </x:c>
      <x:c r="D476" s="17" t="str">
        <x:v>C001</x:v>
      </x:c>
      <x:c r="E476" s="17" t="str">
        <x:v>CampaignChat</x:v>
      </x:c>
      <x:c r="F476" s="17" t="str">
        <x:v>Lite</x:v>
      </x:c>
      <x:c r="G476" s="17" t="n">
        <x:v>33895</x:v>
      </x:c>
      <x:c r="H476" s="17" t="n">
        <x:v>4263</x:v>
      </x:c>
      <x:c r="I476" s="17" t="str">
        <x:v>Followup</x:v>
      </x:c>
      <x:c r="J476" s="27" t="n">
        <x:f>INDEX('Model Pricing'!$B$7:$B$8,MATCH(F476,'Model Pricing'!$A$7:$A$8,0))</x:f>
        <x:v>10</x:v>
      </x:c>
      <x:c r="K476" s="27" t="n">
        <x:f>INDEX('Model Pricing'!$C$7:$C$8,MATCH(F476,'Model Pricing'!$A$7:$A$8,0))</x:f>
        <x:v>30</x:v>
      </x:c>
      <x:c r="L476" s="17" t="n">
        <x:f>G476+H476</x:f>
        <x:v>38158</x:v>
      </x:c>
      <x:c r="M476" s="28" t="n">
        <x:f>G476*J476/1000000</x:f>
        <x:v>0.33895</x:v>
      </x:c>
      <x:c r="N476" s="28" t="n">
        <x:f>H476*K476/1000000</x:f>
        <x:v>0.12789</x:v>
      </x:c>
      <x:c r="O476" s="28" t="n">
        <x:f>SUM(M476:N476)</x:f>
        <x:v>0.46684</x:v>
      </x:c>
    </x:row>
    <x:row r="477" ht="23" customHeight="1">
      <x:c r="A477" s="17" t="str">
        <x:v>U00471</x:v>
      </x:c>
      <x:c r="B477" s="18" t="n">
        <x:v>46287</x:v>
      </x:c>
      <x:c r="C477" s="17" t="str">
        <x:v>W0059</x:v>
      </x:c>
      <x:c r="D477" s="17" t="str">
        <x:v>C001</x:v>
      </x:c>
      <x:c r="E477" s="17" t="str">
        <x:v>CampaignChat</x:v>
      </x:c>
      <x:c r="F477" s="17" t="str">
        <x:v>Lite</x:v>
      </x:c>
      <x:c r="G477" s="17" t="n">
        <x:v>29613</x:v>
      </x:c>
      <x:c r="H477" s="17" t="n">
        <x:v>3468</x:v>
      </x:c>
      <x:c r="I477" s="17" t="str">
        <x:v>Followup</x:v>
      </x:c>
      <x:c r="J477" s="27" t="n">
        <x:f>INDEX('Model Pricing'!$B$7:$B$8,MATCH(F477,'Model Pricing'!$A$7:$A$8,0))</x:f>
        <x:v>10</x:v>
      </x:c>
      <x:c r="K477" s="27" t="n">
        <x:f>INDEX('Model Pricing'!$C$7:$C$8,MATCH(F477,'Model Pricing'!$A$7:$A$8,0))</x:f>
        <x:v>30</x:v>
      </x:c>
      <x:c r="L477" s="17" t="n">
        <x:f>G477+H477</x:f>
        <x:v>33081</x:v>
      </x:c>
      <x:c r="M477" s="28" t="n">
        <x:f>G477*J477/1000000</x:f>
        <x:v>0.29613</x:v>
      </x:c>
      <x:c r="N477" s="28" t="n">
        <x:f>H477*K477/1000000</x:f>
        <x:v>0.10404</x:v>
      </x:c>
      <x:c r="O477" s="28" t="n">
        <x:f>SUM(M477:N477)</x:f>
        <x:v>0.40017</x:v>
      </x:c>
    </x:row>
    <x:row r="478" ht="23" customHeight="1">
      <x:c r="A478" s="17" t="str">
        <x:v>U00472</x:v>
      </x:c>
      <x:c r="B478" s="18" t="n">
        <x:v>46288</x:v>
      </x:c>
      <x:c r="C478" s="17" t="str">
        <x:v>W0059</x:v>
      </x:c>
      <x:c r="D478" s="17" t="str">
        <x:v>C001</x:v>
      </x:c>
      <x:c r="E478" s="17" t="str">
        <x:v>CampaignChat</x:v>
      </x:c>
      <x:c r="F478" s="17" t="str">
        <x:v>Lite</x:v>
      </x:c>
      <x:c r="G478" s="17" t="n">
        <x:v>36629</x:v>
      </x:c>
      <x:c r="H478" s="17" t="n">
        <x:v>7405</x:v>
      </x:c>
      <x:c r="I478" s="17" t="str">
        <x:v>Followup</x:v>
      </x:c>
      <x:c r="J478" s="27" t="n">
        <x:f>INDEX('Model Pricing'!$B$7:$B$8,MATCH(F478,'Model Pricing'!$A$7:$A$8,0))</x:f>
        <x:v>10</x:v>
      </x:c>
      <x:c r="K478" s="27" t="n">
        <x:f>INDEX('Model Pricing'!$C$7:$C$8,MATCH(F478,'Model Pricing'!$A$7:$A$8,0))</x:f>
        <x:v>30</x:v>
      </x:c>
      <x:c r="L478" s="17" t="n">
        <x:f>G478+H478</x:f>
        <x:v>44034</x:v>
      </x:c>
      <x:c r="M478" s="28" t="n">
        <x:f>G478*J478/1000000</x:f>
        <x:v>0.36629</x:v>
      </x:c>
      <x:c r="N478" s="28" t="n">
        <x:f>H478*K478/1000000</x:f>
        <x:v>0.22215</x:v>
      </x:c>
      <x:c r="O478" s="28" t="n">
        <x:f>SUM(M478:N478)</x:f>
        <x:v>0.58844</x:v>
      </x:c>
    </x:row>
    <x:row r="479" ht="23" customHeight="1">
      <x:c r="A479" s="17" t="str">
        <x:v>U00473</x:v>
      </x:c>
      <x:c r="B479" s="18" t="n">
        <x:v>46288</x:v>
      </x:c>
      <x:c r="C479" s="17" t="str">
        <x:v>W0059</x:v>
      </x:c>
      <x:c r="D479" s="17" t="str">
        <x:v>C001</x:v>
      </x:c>
      <x:c r="E479" s="17" t="str">
        <x:v>CampaignChat</x:v>
      </x:c>
      <x:c r="F479" s="17" t="str">
        <x:v>Lite</x:v>
      </x:c>
      <x:c r="G479" s="17" t="n">
        <x:v>34398</x:v>
      </x:c>
      <x:c r="H479" s="17" t="n">
        <x:v>7751</x:v>
      </x:c>
      <x:c r="I479" s="17" t="str">
        <x:v>Followup</x:v>
      </x:c>
      <x:c r="J479" s="27" t="n">
        <x:f>INDEX('Model Pricing'!$B$7:$B$8,MATCH(F479,'Model Pricing'!$A$7:$A$8,0))</x:f>
        <x:v>10</x:v>
      </x:c>
      <x:c r="K479" s="27" t="n">
        <x:f>INDEX('Model Pricing'!$C$7:$C$8,MATCH(F479,'Model Pricing'!$A$7:$A$8,0))</x:f>
        <x:v>30</x:v>
      </x:c>
      <x:c r="L479" s="17" t="n">
        <x:f>G479+H479</x:f>
        <x:v>42149</x:v>
      </x:c>
      <x:c r="M479" s="28" t="n">
        <x:f>G479*J479/1000000</x:f>
        <x:v>0.34398</x:v>
      </x:c>
      <x:c r="N479" s="28" t="n">
        <x:f>H479*K479/1000000</x:f>
        <x:v>0.23253</x:v>
      </x:c>
      <x:c r="O479" s="28" t="n">
        <x:f>SUM(M479:N479)</x:f>
        <x:v>0.57651</x:v>
      </x:c>
    </x:row>
    <x:row r="480" ht="23" customHeight="1">
      <x:c r="A480" s="17" t="str">
        <x:v>U00474</x:v>
      </x:c>
      <x:c r="B480" s="18" t="n">
        <x:v>46288</x:v>
      </x:c>
      <x:c r="C480" s="17" t="str">
        <x:v>W0059</x:v>
      </x:c>
      <x:c r="D480" s="17" t="str">
        <x:v>C001</x:v>
      </x:c>
      <x:c r="E480" s="17" t="str">
        <x:v>CampaignChat</x:v>
      </x:c>
      <x:c r="F480" s="17" t="str">
        <x:v>Lite</x:v>
      </x:c>
      <x:c r="G480" s="17" t="n">
        <x:v>29455</x:v>
      </x:c>
      <x:c r="H480" s="17" t="n">
        <x:v>6135</x:v>
      </x:c>
      <x:c r="I480" s="17" t="str">
        <x:v>Followup</x:v>
      </x:c>
      <x:c r="J480" s="27" t="n">
        <x:f>INDEX('Model Pricing'!$B$7:$B$8,MATCH(F480,'Model Pricing'!$A$7:$A$8,0))</x:f>
        <x:v>10</x:v>
      </x:c>
      <x:c r="K480" s="27" t="n">
        <x:f>INDEX('Model Pricing'!$C$7:$C$8,MATCH(F480,'Model Pricing'!$A$7:$A$8,0))</x:f>
        <x:v>30</x:v>
      </x:c>
      <x:c r="L480" s="17" t="n">
        <x:f>G480+H480</x:f>
        <x:v>35590</x:v>
      </x:c>
      <x:c r="M480" s="28" t="n">
        <x:f>G480*J480/1000000</x:f>
        <x:v>0.29455</x:v>
      </x:c>
      <x:c r="N480" s="28" t="n">
        <x:f>H480*K480/1000000</x:f>
        <x:v>0.18405</x:v>
      </x:c>
      <x:c r="O480" s="28" t="n">
        <x:f>SUM(M480:N480)</x:f>
        <x:v>0.47859999999999997</x:v>
      </x:c>
    </x:row>
    <x:row r="481" ht="23" customHeight="1">
      <x:c r="A481" s="17" t="str">
        <x:v>U00475</x:v>
      </x:c>
      <x:c r="B481" s="18" t="n">
        <x:v>46289</x:v>
      </x:c>
      <x:c r="C481" s="17" t="str">
        <x:v>W0059</x:v>
      </x:c>
      <x:c r="D481" s="17" t="str">
        <x:v>C001</x:v>
      </x:c>
      <x:c r="E481" s="17" t="str">
        <x:v>CampaignChat</x:v>
      </x:c>
      <x:c r="F481" s="17" t="str">
        <x:v>Lite</x:v>
      </x:c>
      <x:c r="G481" s="17" t="n">
        <x:v>33767</x:v>
      </x:c>
      <x:c r="H481" s="17" t="n">
        <x:v>2391</x:v>
      </x:c>
      <x:c r="I481" s="17" t="str">
        <x:v>Followup</x:v>
      </x:c>
      <x:c r="J481" s="27" t="n">
        <x:f>INDEX('Model Pricing'!$B$7:$B$8,MATCH(F481,'Model Pricing'!$A$7:$A$8,0))</x:f>
        <x:v>10</x:v>
      </x:c>
      <x:c r="K481" s="27" t="n">
        <x:f>INDEX('Model Pricing'!$C$7:$C$8,MATCH(F481,'Model Pricing'!$A$7:$A$8,0))</x:f>
        <x:v>30</x:v>
      </x:c>
      <x:c r="L481" s="17" t="n">
        <x:f>G481+H481</x:f>
        <x:v>36158</x:v>
      </x:c>
      <x:c r="M481" s="28" t="n">
        <x:f>G481*J481/1000000</x:f>
        <x:v>0.33767</x:v>
      </x:c>
      <x:c r="N481" s="28" t="n">
        <x:f>H481*K481/1000000</x:f>
        <x:v>0.07173</x:v>
      </x:c>
      <x:c r="O481" s="28" t="n">
        <x:f>SUM(M481:N481)</x:f>
        <x:v>0.40940000000000004</x:v>
      </x:c>
    </x:row>
    <x:row r="482" ht="23" customHeight="1">
      <x:c r="A482" s="17" t="str">
        <x:v>U00476</x:v>
      </x:c>
      <x:c r="B482" s="18" t="n">
        <x:v>46289</x:v>
      </x:c>
      <x:c r="C482" s="17" t="str">
        <x:v>W0059</x:v>
      </x:c>
      <x:c r="D482" s="17" t="str">
        <x:v>C001</x:v>
      </x:c>
      <x:c r="E482" s="17" t="str">
        <x:v>CampaignChat</x:v>
      </x:c>
      <x:c r="F482" s="17" t="str">
        <x:v>Lite</x:v>
      </x:c>
      <x:c r="G482" s="17" t="n">
        <x:v>29032</x:v>
      </x:c>
      <x:c r="H482" s="17" t="n">
        <x:v>3371</x:v>
      </x:c>
      <x:c r="I482" s="17" t="str">
        <x:v>Followup</x:v>
      </x:c>
      <x:c r="J482" s="27" t="n">
        <x:f>INDEX('Model Pricing'!$B$7:$B$8,MATCH(F482,'Model Pricing'!$A$7:$A$8,0))</x:f>
        <x:v>10</x:v>
      </x:c>
      <x:c r="K482" s="27" t="n">
        <x:f>INDEX('Model Pricing'!$C$7:$C$8,MATCH(F482,'Model Pricing'!$A$7:$A$8,0))</x:f>
        <x:v>30</x:v>
      </x:c>
      <x:c r="L482" s="17" t="n">
        <x:f>G482+H482</x:f>
        <x:v>32403</x:v>
      </x:c>
      <x:c r="M482" s="28" t="n">
        <x:f>G482*J482/1000000</x:f>
        <x:v>0.29032</x:v>
      </x:c>
      <x:c r="N482" s="28" t="n">
        <x:f>H482*K482/1000000</x:f>
        <x:v>0.10113</x:v>
      </x:c>
      <x:c r="O482" s="28" t="n">
        <x:f>SUM(M482:N482)</x:f>
        <x:v>0.39145</x:v>
      </x:c>
    </x:row>
    <x:row r="483" ht="23" customHeight="1">
      <x:c r="A483" s="17" t="str">
        <x:v>U00477</x:v>
      </x:c>
      <x:c r="B483" s="18" t="n">
        <x:v>46289</x:v>
      </x:c>
      <x:c r="C483" s="17" t="str">
        <x:v>W0059</x:v>
      </x:c>
      <x:c r="D483" s="17" t="str">
        <x:v>C001</x:v>
      </x:c>
      <x:c r="E483" s="17" t="str">
        <x:v>CampaignChat</x:v>
      </x:c>
      <x:c r="F483" s="17" t="str">
        <x:v>Lite</x:v>
      </x:c>
      <x:c r="G483" s="17" t="n">
        <x:v>29231</x:v>
      </x:c>
      <x:c r="H483" s="17" t="n">
        <x:v>3127</x:v>
      </x:c>
      <x:c r="I483" s="17" t="str">
        <x:v>Followup</x:v>
      </x:c>
      <x:c r="J483" s="27" t="n">
        <x:f>INDEX('Model Pricing'!$B$7:$B$8,MATCH(F483,'Model Pricing'!$A$7:$A$8,0))</x:f>
        <x:v>10</x:v>
      </x:c>
      <x:c r="K483" s="27" t="n">
        <x:f>INDEX('Model Pricing'!$C$7:$C$8,MATCH(F483,'Model Pricing'!$A$7:$A$8,0))</x:f>
        <x:v>30</x:v>
      </x:c>
      <x:c r="L483" s="17" t="n">
        <x:f>G483+H483</x:f>
        <x:v>32358</x:v>
      </x:c>
      <x:c r="M483" s="28" t="n">
        <x:f>G483*J483/1000000</x:f>
        <x:v>0.29231</x:v>
      </x:c>
      <x:c r="N483" s="28" t="n">
        <x:f>H483*K483/1000000</x:f>
        <x:v>0.09381</x:v>
      </x:c>
      <x:c r="O483" s="28" t="n">
        <x:f>SUM(M483:N483)</x:f>
        <x:v>0.38612</x:v>
      </x:c>
    </x:row>
    <x:row r="484" ht="23" customHeight="1">
      <x:c r="A484" s="17" t="str">
        <x:v>U00478</x:v>
      </x:c>
      <x:c r="B484" s="18" t="n">
        <x:v>46268</x:v>
      </x:c>
      <x:c r="C484" s="17" t="str">
        <x:v>W0060</x:v>
      </x:c>
      <x:c r="D484" s="17" t="str">
        <x:v>C001</x:v>
      </x:c>
      <x:c r="E484" s="17" t="str">
        <x:v>CampaignChat</x:v>
      </x:c>
      <x:c r="F484" s="17" t="str">
        <x:v>Lite</x:v>
      </x:c>
      <x:c r="G484" s="17" t="n">
        <x:v>33632</x:v>
      </x:c>
      <x:c r="H484" s="17" t="n">
        <x:v>16443</x:v>
      </x:c>
      <x:c r="I484" s="17" t="str">
        <x:v>First attempt</x:v>
      </x:c>
      <x:c r="J484" s="27" t="n">
        <x:f>INDEX('Model Pricing'!$B$7:$B$8,MATCH(F484,'Model Pricing'!$A$7:$A$8,0))</x:f>
        <x:v>10</x:v>
      </x:c>
      <x:c r="K484" s="27" t="n">
        <x:f>INDEX('Model Pricing'!$C$7:$C$8,MATCH(F484,'Model Pricing'!$A$7:$A$8,0))</x:f>
        <x:v>30</x:v>
      </x:c>
      <x:c r="L484" s="17" t="n">
        <x:f>G484+H484</x:f>
        <x:v>50075</x:v>
      </x:c>
      <x:c r="M484" s="28" t="n">
        <x:f>G484*J484/1000000</x:f>
        <x:v>0.33632</x:v>
      </x:c>
      <x:c r="N484" s="28" t="n">
        <x:f>H484*K484/1000000</x:f>
        <x:v>0.49329</x:v>
      </x:c>
      <x:c r="O484" s="28" t="n">
        <x:f>SUM(M484:N484)</x:f>
        <x:v>0.82961</x:v>
      </x:c>
    </x:row>
    <x:row r="485" ht="23" customHeight="1">
      <x:c r="A485" s="17" t="str">
        <x:v>U00479</x:v>
      </x:c>
      <x:c r="B485" s="18" t="n">
        <x:v>46268</x:v>
      </x:c>
      <x:c r="C485" s="17" t="str">
        <x:v>W0060</x:v>
      </x:c>
      <x:c r="D485" s="17" t="str">
        <x:v>C001</x:v>
      </x:c>
      <x:c r="E485" s="17" t="str">
        <x:v>CampaignChat</x:v>
      </x:c>
      <x:c r="F485" s="17" t="str">
        <x:v>Lite</x:v>
      </x:c>
      <x:c r="G485" s="17" t="n">
        <x:v>21795</x:v>
      </x:c>
      <x:c r="H485" s="17" t="n">
        <x:v>9791</x:v>
      </x:c>
      <x:c r="I485" s="17" t="str">
        <x:v>Followup</x:v>
      </x:c>
      <x:c r="J485" s="27" t="n">
        <x:f>INDEX('Model Pricing'!$B$7:$B$8,MATCH(F485,'Model Pricing'!$A$7:$A$8,0))</x:f>
        <x:v>10</x:v>
      </x:c>
      <x:c r="K485" s="27" t="n">
        <x:f>INDEX('Model Pricing'!$C$7:$C$8,MATCH(F485,'Model Pricing'!$A$7:$A$8,0))</x:f>
        <x:v>30</x:v>
      </x:c>
      <x:c r="L485" s="17" t="n">
        <x:f>G485+H485</x:f>
        <x:v>31586</x:v>
      </x:c>
      <x:c r="M485" s="28" t="n">
        <x:f>G485*J485/1000000</x:f>
        <x:v>0.21795</x:v>
      </x:c>
      <x:c r="N485" s="28" t="n">
        <x:f>H485*K485/1000000</x:f>
        <x:v>0.29373</x:v>
      </x:c>
      <x:c r="O485" s="28" t="n">
        <x:f>SUM(M485:N485)</x:f>
        <x:v>0.51168</x:v>
      </x:c>
    </x:row>
    <x:row r="486" ht="23" customHeight="1">
      <x:c r="A486" s="17" t="str">
        <x:v>U00480</x:v>
      </x:c>
      <x:c r="B486" s="18" t="n">
        <x:v>46268</x:v>
      </x:c>
      <x:c r="C486" s="17" t="str">
        <x:v>W0060</x:v>
      </x:c>
      <x:c r="D486" s="17" t="str">
        <x:v>C001</x:v>
      </x:c>
      <x:c r="E486" s="17" t="str">
        <x:v>CampaignChat</x:v>
      </x:c>
      <x:c r="F486" s="17" t="str">
        <x:v>Lite</x:v>
      </x:c>
      <x:c r="G486" s="17" t="n">
        <x:v>25942</x:v>
      </x:c>
      <x:c r="H486" s="17" t="n">
        <x:v>11765</x:v>
      </x:c>
      <x:c r="I486" s="17" t="str">
        <x:v>Followup</x:v>
      </x:c>
      <x:c r="J486" s="27" t="n">
        <x:f>INDEX('Model Pricing'!$B$7:$B$8,MATCH(F486,'Model Pricing'!$A$7:$A$8,0))</x:f>
        <x:v>10</x:v>
      </x:c>
      <x:c r="K486" s="27" t="n">
        <x:f>INDEX('Model Pricing'!$C$7:$C$8,MATCH(F486,'Model Pricing'!$A$7:$A$8,0))</x:f>
        <x:v>30</x:v>
      </x:c>
      <x:c r="L486" s="17" t="n">
        <x:f>G486+H486</x:f>
        <x:v>37707</x:v>
      </x:c>
      <x:c r="M486" s="28" t="n">
        <x:f>G486*J486/1000000</x:f>
        <x:v>0.25942</x:v>
      </x:c>
      <x:c r="N486" s="28" t="n">
        <x:f>H486*K486/1000000</x:f>
        <x:v>0.35295</x:v>
      </x:c>
      <x:c r="O486" s="28" t="n">
        <x:f>SUM(M486:N486)</x:f>
        <x:v>0.61237</x:v>
      </x:c>
    </x:row>
    <x:row r="487" ht="23" customHeight="1">
      <x:c r="A487" s="17" t="str">
        <x:v>U00481</x:v>
      </x:c>
      <x:c r="B487" s="18" t="n">
        <x:v>46269</x:v>
      </x:c>
      <x:c r="C487" s="17" t="str">
        <x:v>W0060</x:v>
      </x:c>
      <x:c r="D487" s="17" t="str">
        <x:v>C001</x:v>
      </x:c>
      <x:c r="E487" s="17" t="str">
        <x:v>CampaignChat</x:v>
      </x:c>
      <x:c r="F487" s="17" t="str">
        <x:v>Lite</x:v>
      </x:c>
      <x:c r="G487" s="17" t="n">
        <x:v>17719</x:v>
      </x:c>
      <x:c r="H487" s="17" t="n">
        <x:v>8621</x:v>
      </x:c>
      <x:c r="I487" s="17" t="str">
        <x:v>Followup</x:v>
      </x:c>
      <x:c r="J487" s="27" t="n">
        <x:f>INDEX('Model Pricing'!$B$7:$B$8,MATCH(F487,'Model Pricing'!$A$7:$A$8,0))</x:f>
        <x:v>10</x:v>
      </x:c>
      <x:c r="K487" s="27" t="n">
        <x:f>INDEX('Model Pricing'!$C$7:$C$8,MATCH(F487,'Model Pricing'!$A$7:$A$8,0))</x:f>
        <x:v>30</x:v>
      </x:c>
      <x:c r="L487" s="17" t="n">
        <x:f>G487+H487</x:f>
        <x:v>26340</x:v>
      </x:c>
      <x:c r="M487" s="28" t="n">
        <x:f>G487*J487/1000000</x:f>
        <x:v>0.17719</x:v>
      </x:c>
      <x:c r="N487" s="28" t="n">
        <x:f>H487*K487/1000000</x:f>
        <x:v>0.25863</x:v>
      </x:c>
      <x:c r="O487" s="28" t="n">
        <x:f>SUM(M487:N487)</x:f>
        <x:v>0.43582</x:v>
      </x:c>
    </x:row>
    <x:row r="488" ht="23" customHeight="1">
      <x:c r="A488" s="17" t="str">
        <x:v>U00482</x:v>
      </x:c>
      <x:c r="B488" s="18" t="n">
        <x:v>46269</x:v>
      </x:c>
      <x:c r="C488" s="17" t="str">
        <x:v>W0060</x:v>
      </x:c>
      <x:c r="D488" s="17" t="str">
        <x:v>C001</x:v>
      </x:c>
      <x:c r="E488" s="17" t="str">
        <x:v>CampaignChat</x:v>
      </x:c>
      <x:c r="F488" s="17" t="str">
        <x:v>Lite</x:v>
      </x:c>
      <x:c r="G488" s="17" t="n">
        <x:v>21905</x:v>
      </x:c>
      <x:c r="H488" s="17" t="n">
        <x:v>9963</x:v>
      </x:c>
      <x:c r="I488" s="17" t="str">
        <x:v>Followup</x:v>
      </x:c>
      <x:c r="J488" s="27" t="n">
        <x:f>INDEX('Model Pricing'!$B$7:$B$8,MATCH(F488,'Model Pricing'!$A$7:$A$8,0))</x:f>
        <x:v>10</x:v>
      </x:c>
      <x:c r="K488" s="27" t="n">
        <x:f>INDEX('Model Pricing'!$C$7:$C$8,MATCH(F488,'Model Pricing'!$A$7:$A$8,0))</x:f>
        <x:v>30</x:v>
      </x:c>
      <x:c r="L488" s="17" t="n">
        <x:f>G488+H488</x:f>
        <x:v>31868</x:v>
      </x:c>
      <x:c r="M488" s="28" t="n">
        <x:f>G488*J488/1000000</x:f>
        <x:v>0.21905</x:v>
      </x:c>
      <x:c r="N488" s="28" t="n">
        <x:f>H488*K488/1000000</x:f>
        <x:v>0.29889</x:v>
      </x:c>
      <x:c r="O488" s="28" t="n">
        <x:f>SUM(M488:N488)</x:f>
        <x:v>0.51794</x:v>
      </x:c>
    </x:row>
    <x:row r="489" ht="23" customHeight="1">
      <x:c r="A489" s="17" t="str">
        <x:v>U00483</x:v>
      </x:c>
      <x:c r="B489" s="18" t="n">
        <x:v>46273</x:v>
      </x:c>
      <x:c r="C489" s="17" t="str">
        <x:v>W0060</x:v>
      </x:c>
      <x:c r="D489" s="17" t="str">
        <x:v>C001</x:v>
      </x:c>
      <x:c r="E489" s="17" t="str">
        <x:v>CampaignChat</x:v>
      </x:c>
      <x:c r="F489" s="17" t="str">
        <x:v>Lite</x:v>
      </x:c>
      <x:c r="G489" s="17" t="n">
        <x:v>31887</x:v>
      </x:c>
      <x:c r="H489" s="17" t="n">
        <x:v>14243</x:v>
      </x:c>
      <x:c r="I489" s="17" t="str">
        <x:v>Followup</x:v>
      </x:c>
      <x:c r="J489" s="27" t="n">
        <x:f>INDEX('Model Pricing'!$B$7:$B$8,MATCH(F489,'Model Pricing'!$A$7:$A$8,0))</x:f>
        <x:v>10</x:v>
      </x:c>
      <x:c r="K489" s="27" t="n">
        <x:f>INDEX('Model Pricing'!$C$7:$C$8,MATCH(F489,'Model Pricing'!$A$7:$A$8,0))</x:f>
        <x:v>30</x:v>
      </x:c>
      <x:c r="L489" s="17" t="n">
        <x:f>G489+H489</x:f>
        <x:v>46130</x:v>
      </x:c>
      <x:c r="M489" s="28" t="n">
        <x:f>G489*J489/1000000</x:f>
        <x:v>0.31887</x:v>
      </x:c>
      <x:c r="N489" s="28" t="n">
        <x:f>H489*K489/1000000</x:f>
        <x:v>0.42729</x:v>
      </x:c>
      <x:c r="O489" s="28" t="n">
        <x:f>SUM(M489:N489)</x:f>
        <x:v>0.7461599999999999</x:v>
      </x:c>
    </x:row>
    <x:row r="490" ht="23" customHeight="1">
      <x:c r="A490" s="17" t="str">
        <x:v>U00484</x:v>
      </x:c>
      <x:c r="B490" s="18" t="n">
        <x:v>46273</x:v>
      </x:c>
      <x:c r="C490" s="17" t="str">
        <x:v>W0060</x:v>
      </x:c>
      <x:c r="D490" s="17" t="str">
        <x:v>C001</x:v>
      </x:c>
      <x:c r="E490" s="17" t="str">
        <x:v>CampaignChat</x:v>
      </x:c>
      <x:c r="F490" s="17" t="str">
        <x:v>Lite</x:v>
      </x:c>
      <x:c r="G490" s="17" t="n">
        <x:v>15757</x:v>
      </x:c>
      <x:c r="H490" s="17" t="n">
        <x:v>6329</x:v>
      </x:c>
      <x:c r="I490" s="17" t="str">
        <x:v>Followup</x:v>
      </x:c>
      <x:c r="J490" s="27" t="n">
        <x:f>INDEX('Model Pricing'!$B$7:$B$8,MATCH(F490,'Model Pricing'!$A$7:$A$8,0))</x:f>
        <x:v>10</x:v>
      </x:c>
      <x:c r="K490" s="27" t="n">
        <x:f>INDEX('Model Pricing'!$C$7:$C$8,MATCH(F490,'Model Pricing'!$A$7:$A$8,0))</x:f>
        <x:v>30</x:v>
      </x:c>
      <x:c r="L490" s="17" t="n">
        <x:f>G490+H490</x:f>
        <x:v>22086</x:v>
      </x:c>
      <x:c r="M490" s="28" t="n">
        <x:f>G490*J490/1000000</x:f>
        <x:v>0.15757</x:v>
      </x:c>
      <x:c r="N490" s="28" t="n">
        <x:f>H490*K490/1000000</x:f>
        <x:v>0.18987</x:v>
      </x:c>
      <x:c r="O490" s="28" t="n">
        <x:f>SUM(M490:N490)</x:f>
        <x:v>0.34743999999999997</x:v>
      </x:c>
    </x:row>
    <x:row r="491" ht="23" customHeight="1">
      <x:c r="A491" s="17" t="str">
        <x:v>U00485</x:v>
      </x:c>
      <x:c r="B491" s="18" t="n">
        <x:v>46273</x:v>
      </x:c>
      <x:c r="C491" s="17" t="str">
        <x:v>W0060</x:v>
      </x:c>
      <x:c r="D491" s="17" t="str">
        <x:v>C001</x:v>
      </x:c>
      <x:c r="E491" s="17" t="str">
        <x:v>CampaignChat</x:v>
      </x:c>
      <x:c r="F491" s="17" t="str">
        <x:v>Lite</x:v>
      </x:c>
      <x:c r="G491" s="17" t="n">
        <x:v>23503</x:v>
      </x:c>
      <x:c r="H491" s="17" t="n">
        <x:v>16024</x:v>
      </x:c>
      <x:c r="I491" s="17" t="str">
        <x:v>Correction</x:v>
      </x:c>
      <x:c r="J491" s="27" t="n">
        <x:f>INDEX('Model Pricing'!$B$7:$B$8,MATCH(F491,'Model Pricing'!$A$7:$A$8,0))</x:f>
        <x:v>10</x:v>
      </x:c>
      <x:c r="K491" s="27" t="n">
        <x:f>INDEX('Model Pricing'!$C$7:$C$8,MATCH(F491,'Model Pricing'!$A$7:$A$8,0))</x:f>
        <x:v>30</x:v>
      </x:c>
      <x:c r="L491" s="17" t="n">
        <x:f>G491+H491</x:f>
        <x:v>39527</x:v>
      </x:c>
      <x:c r="M491" s="28" t="n">
        <x:f>G491*J491/1000000</x:f>
        <x:v>0.23503</x:v>
      </x:c>
      <x:c r="N491" s="28" t="n">
        <x:f>H491*K491/1000000</x:f>
        <x:v>0.48072</x:v>
      </x:c>
      <x:c r="O491" s="28" t="n">
        <x:f>SUM(M491:N491)</x:f>
        <x:v>0.71575</x:v>
      </x:c>
    </x:row>
    <x:row r="492" ht="23" customHeight="1">
      <x:c r="A492" s="17" t="str">
        <x:v>U00486</x:v>
      </x:c>
      <x:c r="B492" s="18" t="n">
        <x:v>46274</x:v>
      </x:c>
      <x:c r="C492" s="17" t="str">
        <x:v>W0060</x:v>
      </x:c>
      <x:c r="D492" s="17" t="str">
        <x:v>C001</x:v>
      </x:c>
      <x:c r="E492" s="17" t="str">
        <x:v>CampaignChat</x:v>
      </x:c>
      <x:c r="F492" s="17" t="str">
        <x:v>Lite</x:v>
      </x:c>
      <x:c r="G492" s="17" t="n">
        <x:v>25376</x:v>
      </x:c>
      <x:c r="H492" s="17" t="n">
        <x:v>10543</x:v>
      </x:c>
      <x:c r="I492" s="17" t="str">
        <x:v>Followup</x:v>
      </x:c>
      <x:c r="J492" s="27" t="n">
        <x:f>INDEX('Model Pricing'!$B$7:$B$8,MATCH(F492,'Model Pricing'!$A$7:$A$8,0))</x:f>
        <x:v>10</x:v>
      </x:c>
      <x:c r="K492" s="27" t="n">
        <x:f>INDEX('Model Pricing'!$C$7:$C$8,MATCH(F492,'Model Pricing'!$A$7:$A$8,0))</x:f>
        <x:v>30</x:v>
      </x:c>
      <x:c r="L492" s="17" t="n">
        <x:f>G492+H492</x:f>
        <x:v>35919</x:v>
      </x:c>
      <x:c r="M492" s="28" t="n">
        <x:f>G492*J492/1000000</x:f>
        <x:v>0.25376</x:v>
      </x:c>
      <x:c r="N492" s="28" t="n">
        <x:f>H492*K492/1000000</x:f>
        <x:v>0.31629</x:v>
      </x:c>
      <x:c r="O492" s="28" t="n">
        <x:f>SUM(M492:N492)</x:f>
        <x:v>0.57005</x:v>
      </x:c>
    </x:row>
    <x:row r="493" ht="23" customHeight="1">
      <x:c r="A493" s="17" t="str">
        <x:v>U00487</x:v>
      </x:c>
      <x:c r="B493" s="18" t="n">
        <x:v>46274</x:v>
      </x:c>
      <x:c r="C493" s="17" t="str">
        <x:v>W0060</x:v>
      </x:c>
      <x:c r="D493" s="17" t="str">
        <x:v>C001</x:v>
      </x:c>
      <x:c r="E493" s="17" t="str">
        <x:v>CampaignChat</x:v>
      </x:c>
      <x:c r="F493" s="17" t="str">
        <x:v>Lite</x:v>
      </x:c>
      <x:c r="G493" s="17" t="n">
        <x:v>29332</x:v>
      </x:c>
      <x:c r="H493" s="17" t="n">
        <x:v>6190</x:v>
      </x:c>
      <x:c r="I493" s="17" t="str">
        <x:v>Followup</x:v>
      </x:c>
      <x:c r="J493" s="27" t="n">
        <x:f>INDEX('Model Pricing'!$B$7:$B$8,MATCH(F493,'Model Pricing'!$A$7:$A$8,0))</x:f>
        <x:v>10</x:v>
      </x:c>
      <x:c r="K493" s="27" t="n">
        <x:f>INDEX('Model Pricing'!$C$7:$C$8,MATCH(F493,'Model Pricing'!$A$7:$A$8,0))</x:f>
        <x:v>30</x:v>
      </x:c>
      <x:c r="L493" s="17" t="n">
        <x:f>G493+H493</x:f>
        <x:v>35522</x:v>
      </x:c>
      <x:c r="M493" s="28" t="n">
        <x:f>G493*J493/1000000</x:f>
        <x:v>0.29332</x:v>
      </x:c>
      <x:c r="N493" s="28" t="n">
        <x:f>H493*K493/1000000</x:f>
        <x:v>0.1857</x:v>
      </x:c>
      <x:c r="O493" s="28" t="n">
        <x:f>SUM(M493:N493)</x:f>
        <x:v>0.47902</x:v>
      </x:c>
    </x:row>
    <x:row r="494" ht="23" customHeight="1">
      <x:c r="A494" s="17" t="str">
        <x:v>U00488</x:v>
      </x:c>
      <x:c r="B494" s="18" t="n">
        <x:v>46269</x:v>
      </x:c>
      <x:c r="C494" s="17" t="str">
        <x:v>W0001</x:v>
      </x:c>
      <x:c r="D494" s="17" t="str">
        <x:v>C001</x:v>
      </x:c>
      <x:c r="E494" s="17" t="str">
        <x:v>CopyStudio</x:v>
      </x:c>
      <x:c r="F494" s="17" t="str">
        <x:v>Pro</x:v>
      </x:c>
      <x:c r="G494" s="17" t="n">
        <x:v>23833</x:v>
      </x:c>
      <x:c r="H494" s="17" t="n">
        <x:v>13869</x:v>
      </x:c>
      <x:c r="I494" s="17" t="str">
        <x:v>First attempt</x:v>
      </x:c>
      <x:c r="J494" s="27" t="n">
        <x:f>INDEX('Model Pricing'!$B$7:$B$8,MATCH(F494,'Model Pricing'!$A$7:$A$8,0))</x:f>
        <x:v>40</x:v>
      </x:c>
      <x:c r="K494" s="27" t="n">
        <x:f>INDEX('Model Pricing'!$C$7:$C$8,MATCH(F494,'Model Pricing'!$A$7:$A$8,0))</x:f>
        <x:v>100</x:v>
      </x:c>
      <x:c r="L494" s="17" t="n">
        <x:f>G494+H494</x:f>
        <x:v>37702</x:v>
      </x:c>
      <x:c r="M494" s="28" t="n">
        <x:f>G494*J494/1000000</x:f>
        <x:v>0.95332</x:v>
      </x:c>
      <x:c r="N494" s="28" t="n">
        <x:f>H494*K494/1000000</x:f>
        <x:v>1.3869</x:v>
      </x:c>
      <x:c r="O494" s="28" t="n">
        <x:f>SUM(M494:N494)</x:f>
        <x:v>2.34022</x:v>
      </x:c>
    </x:row>
    <x:row r="495" ht="23" customHeight="1">
      <x:c r="A495" s="17" t="str">
        <x:v>U00489</x:v>
      </x:c>
      <x:c r="B495" s="18" t="n">
        <x:v>46269</x:v>
      </x:c>
      <x:c r="C495" s="17" t="str">
        <x:v>W0001</x:v>
      </x:c>
      <x:c r="D495" s="17" t="str">
        <x:v>C001</x:v>
      </x:c>
      <x:c r="E495" s="17" t="str">
        <x:v>CopyStudio</x:v>
      </x:c>
      <x:c r="F495" s="17" t="str">
        <x:v>Pro</x:v>
      </x:c>
      <x:c r="G495" s="17" t="n">
        <x:v>13153</x:v>
      </x:c>
      <x:c r="H495" s="17" t="n">
        <x:v>6472</x:v>
      </x:c>
      <x:c r="I495" s="17" t="str">
        <x:v>Followup</x:v>
      </x:c>
      <x:c r="J495" s="27" t="n">
        <x:f>INDEX('Model Pricing'!$B$7:$B$8,MATCH(F495,'Model Pricing'!$A$7:$A$8,0))</x:f>
        <x:v>40</x:v>
      </x:c>
      <x:c r="K495" s="27" t="n">
        <x:f>INDEX('Model Pricing'!$C$7:$C$8,MATCH(F495,'Model Pricing'!$A$7:$A$8,0))</x:f>
        <x:v>100</x:v>
      </x:c>
      <x:c r="L495" s="17" t="n">
        <x:f>G495+H495</x:f>
        <x:v>19625</x:v>
      </x:c>
      <x:c r="M495" s="28" t="n">
        <x:f>G495*J495/1000000</x:f>
        <x:v>0.52612</x:v>
      </x:c>
      <x:c r="N495" s="28" t="n">
        <x:f>H495*K495/1000000</x:f>
        <x:v>0.6472</x:v>
      </x:c>
      <x:c r="O495" s="28" t="n">
        <x:f>SUM(M495:N495)</x:f>
        <x:v>1.17332</x:v>
      </x:c>
    </x:row>
    <x:row r="496" ht="23" customHeight="1">
      <x:c r="A496" s="17" t="str">
        <x:v>U00490</x:v>
      </x:c>
      <x:c r="B496" s="18" t="n">
        <x:v>46269</x:v>
      </x:c>
      <x:c r="C496" s="17" t="str">
        <x:v>W0001</x:v>
      </x:c>
      <x:c r="D496" s="17" t="str">
        <x:v>C001</x:v>
      </x:c>
      <x:c r="E496" s="17" t="str">
        <x:v>CopyStudio</x:v>
      </x:c>
      <x:c r="F496" s="17" t="str">
        <x:v>Pro</x:v>
      </x:c>
      <x:c r="G496" s="17" t="n">
        <x:v>21288</x:v>
      </x:c>
      <x:c r="H496" s="17" t="n">
        <x:v>6608</x:v>
      </x:c>
      <x:c r="I496" s="17" t="str">
        <x:v>Followup</x:v>
      </x:c>
      <x:c r="J496" s="27" t="n">
        <x:f>INDEX('Model Pricing'!$B$7:$B$8,MATCH(F496,'Model Pricing'!$A$7:$A$8,0))</x:f>
        <x:v>40</x:v>
      </x:c>
      <x:c r="K496" s="27" t="n">
        <x:f>INDEX('Model Pricing'!$C$7:$C$8,MATCH(F496,'Model Pricing'!$A$7:$A$8,0))</x:f>
        <x:v>100</x:v>
      </x:c>
      <x:c r="L496" s="17" t="n">
        <x:f>G496+H496</x:f>
        <x:v>27896</x:v>
      </x:c>
      <x:c r="M496" s="28" t="n">
        <x:f>G496*J496/1000000</x:f>
        <x:v>0.85152</x:v>
      </x:c>
      <x:c r="N496" s="28" t="n">
        <x:f>H496*K496/1000000</x:f>
        <x:v>0.6608</x:v>
      </x:c>
      <x:c r="O496" s="28" t="n">
        <x:f>SUM(M496:N496)</x:f>
        <x:v>1.51232</x:v>
      </x:c>
    </x:row>
    <x:row r="497" ht="23" customHeight="1">
      <x:c r="A497" s="17" t="str">
        <x:v>U00491</x:v>
      </x:c>
      <x:c r="B497" s="18" t="n">
        <x:v>46273</x:v>
      </x:c>
      <x:c r="C497" s="17" t="str">
        <x:v>W0001</x:v>
      </x:c>
      <x:c r="D497" s="17" t="str">
        <x:v>C001</x:v>
      </x:c>
      <x:c r="E497" s="17" t="str">
        <x:v>CopyStudio</x:v>
      </x:c>
      <x:c r="F497" s="17" t="str">
        <x:v>Pro</x:v>
      </x:c>
      <x:c r="G497" s="17" t="n">
        <x:v>24632</x:v>
      </x:c>
      <x:c r="H497" s="17" t="n">
        <x:v>10533</x:v>
      </x:c>
      <x:c r="I497" s="17" t="str">
        <x:v>Followup</x:v>
      </x:c>
      <x:c r="J497" s="27" t="n">
        <x:f>INDEX('Model Pricing'!$B$7:$B$8,MATCH(F497,'Model Pricing'!$A$7:$A$8,0))</x:f>
        <x:v>40</x:v>
      </x:c>
      <x:c r="K497" s="27" t="n">
        <x:f>INDEX('Model Pricing'!$C$7:$C$8,MATCH(F497,'Model Pricing'!$A$7:$A$8,0))</x:f>
        <x:v>100</x:v>
      </x:c>
      <x:c r="L497" s="17" t="n">
        <x:f>G497+H497</x:f>
        <x:v>35165</x:v>
      </x:c>
      <x:c r="M497" s="28" t="n">
        <x:f>G497*J497/1000000</x:f>
        <x:v>0.98528</x:v>
      </x:c>
      <x:c r="N497" s="28" t="n">
        <x:f>H497*K497/1000000</x:f>
        <x:v>1.0533</x:v>
      </x:c>
      <x:c r="O497" s="28" t="n">
        <x:f>SUM(M497:N497)</x:f>
        <x:v>2.03858</x:v>
      </x:c>
    </x:row>
    <x:row r="498" ht="23" customHeight="1">
      <x:c r="A498" s="17" t="str">
        <x:v>U00492</x:v>
      </x:c>
      <x:c r="B498" s="18" t="n">
        <x:v>46273</x:v>
      </x:c>
      <x:c r="C498" s="17" t="str">
        <x:v>W0001</x:v>
      </x:c>
      <x:c r="D498" s="17" t="str">
        <x:v>C001</x:v>
      </x:c>
      <x:c r="E498" s="17" t="str">
        <x:v>CopyStudio</x:v>
      </x:c>
      <x:c r="F498" s="17" t="str">
        <x:v>Pro</x:v>
      </x:c>
      <x:c r="G498" s="17" t="n">
        <x:v>27244</x:v>
      </x:c>
      <x:c r="H498" s="17" t="n">
        <x:v>13156</x:v>
      </x:c>
      <x:c r="I498" s="17" t="str">
        <x:v>Followup</x:v>
      </x:c>
      <x:c r="J498" s="27" t="n">
        <x:f>INDEX('Model Pricing'!$B$7:$B$8,MATCH(F498,'Model Pricing'!$A$7:$A$8,0))</x:f>
        <x:v>40</x:v>
      </x:c>
      <x:c r="K498" s="27" t="n">
        <x:f>INDEX('Model Pricing'!$C$7:$C$8,MATCH(F498,'Model Pricing'!$A$7:$A$8,0))</x:f>
        <x:v>100</x:v>
      </x:c>
      <x:c r="L498" s="17" t="n">
        <x:f>G498+H498</x:f>
        <x:v>40400</x:v>
      </x:c>
      <x:c r="M498" s="28" t="n">
        <x:f>G498*J498/1000000</x:f>
        <x:v>1.08976</x:v>
      </x:c>
      <x:c r="N498" s="28" t="n">
        <x:f>H498*K498/1000000</x:f>
        <x:v>1.3156</x:v>
      </x:c>
      <x:c r="O498" s="28" t="n">
        <x:f>SUM(M498:N498)</x:f>
        <x:v>2.40536</x:v>
      </x:c>
    </x:row>
    <x:row r="499" ht="23" customHeight="1">
      <x:c r="A499" s="17" t="str">
        <x:v>U00493</x:v>
      </x:c>
      <x:c r="B499" s="18" t="n">
        <x:v>46273</x:v>
      </x:c>
      <x:c r="C499" s="17" t="str">
        <x:v>W0001</x:v>
      </x:c>
      <x:c r="D499" s="17" t="str">
        <x:v>C001</x:v>
      </x:c>
      <x:c r="E499" s="17" t="str">
        <x:v>CopyStudio</x:v>
      </x:c>
      <x:c r="F499" s="17" t="str">
        <x:v>Pro</x:v>
      </x:c>
      <x:c r="G499" s="17" t="n">
        <x:v>16655</x:v>
      </x:c>
      <x:c r="H499" s="17" t="n">
        <x:v>13183</x:v>
      </x:c>
      <x:c r="I499" s="17" t="str">
        <x:v>Followup</x:v>
      </x:c>
      <x:c r="J499" s="27" t="n">
        <x:f>INDEX('Model Pricing'!$B$7:$B$8,MATCH(F499,'Model Pricing'!$A$7:$A$8,0))</x:f>
        <x:v>40</x:v>
      </x:c>
      <x:c r="K499" s="27" t="n">
        <x:f>INDEX('Model Pricing'!$C$7:$C$8,MATCH(F499,'Model Pricing'!$A$7:$A$8,0))</x:f>
        <x:v>100</x:v>
      </x:c>
      <x:c r="L499" s="17" t="n">
        <x:f>G499+H499</x:f>
        <x:v>29838</x:v>
      </x:c>
      <x:c r="M499" s="28" t="n">
        <x:f>G499*J499/1000000</x:f>
        <x:v>0.6662</x:v>
      </x:c>
      <x:c r="N499" s="28" t="n">
        <x:f>H499*K499/1000000</x:f>
        <x:v>1.3183</x:v>
      </x:c>
      <x:c r="O499" s="28" t="n">
        <x:f>SUM(M499:N499)</x:f>
        <x:v>1.9845000000000002</x:v>
      </x:c>
    </x:row>
    <x:row r="500" ht="23" customHeight="1">
      <x:c r="A500" s="17" t="str">
        <x:v>U00494</x:v>
      </x:c>
      <x:c r="B500" s="18" t="n">
        <x:v>46274</x:v>
      </x:c>
      <x:c r="C500" s="17" t="str">
        <x:v>W0001</x:v>
      </x:c>
      <x:c r="D500" s="17" t="str">
        <x:v>C001</x:v>
      </x:c>
      <x:c r="E500" s="17" t="str">
        <x:v>CopyStudio</x:v>
      </x:c>
      <x:c r="F500" s="17" t="str">
        <x:v>Pro</x:v>
      </x:c>
      <x:c r="G500" s="17" t="n">
        <x:v>19851</x:v>
      </x:c>
      <x:c r="H500" s="17" t="n">
        <x:v>10456</x:v>
      </x:c>
      <x:c r="I500" s="17" t="str">
        <x:v>Followup</x:v>
      </x:c>
      <x:c r="J500" s="27" t="n">
        <x:f>INDEX('Model Pricing'!$B$7:$B$8,MATCH(F500,'Model Pricing'!$A$7:$A$8,0))</x:f>
        <x:v>40</x:v>
      </x:c>
      <x:c r="K500" s="27" t="n">
        <x:f>INDEX('Model Pricing'!$C$7:$C$8,MATCH(F500,'Model Pricing'!$A$7:$A$8,0))</x:f>
        <x:v>100</x:v>
      </x:c>
      <x:c r="L500" s="17" t="n">
        <x:f>G500+H500</x:f>
        <x:v>30307</x:v>
      </x:c>
      <x:c r="M500" s="28" t="n">
        <x:f>G500*J500/1000000</x:f>
        <x:v>0.79404</x:v>
      </x:c>
      <x:c r="N500" s="28" t="n">
        <x:f>H500*K500/1000000</x:f>
        <x:v>1.0456</x:v>
      </x:c>
      <x:c r="O500" s="28" t="n">
        <x:f>SUM(M500:N500)</x:f>
        <x:v>1.8396400000000002</x:v>
      </x:c>
    </x:row>
    <x:row r="501" ht="23" customHeight="1">
      <x:c r="A501" s="17" t="str">
        <x:v>U00495</x:v>
      </x:c>
      <x:c r="B501" s="18" t="n">
        <x:v>46274</x:v>
      </x:c>
      <x:c r="C501" s="17" t="str">
        <x:v>W0001</x:v>
      </x:c>
      <x:c r="D501" s="17" t="str">
        <x:v>C001</x:v>
      </x:c>
      <x:c r="E501" s="17" t="str">
        <x:v>CopyStudio</x:v>
      </x:c>
      <x:c r="F501" s="17" t="str">
        <x:v>Pro</x:v>
      </x:c>
      <x:c r="G501" s="17" t="n">
        <x:v>21864</x:v>
      </x:c>
      <x:c r="H501" s="17" t="n">
        <x:v>4713</x:v>
      </x:c>
      <x:c r="I501" s="17" t="str">
        <x:v>Correction</x:v>
      </x:c>
      <x:c r="J501" s="27" t="n">
        <x:f>INDEX('Model Pricing'!$B$7:$B$8,MATCH(F501,'Model Pricing'!$A$7:$A$8,0))</x:f>
        <x:v>40</x:v>
      </x:c>
      <x:c r="K501" s="27" t="n">
        <x:f>INDEX('Model Pricing'!$C$7:$C$8,MATCH(F501,'Model Pricing'!$A$7:$A$8,0))</x:f>
        <x:v>100</x:v>
      </x:c>
      <x:c r="L501" s="17" t="n">
        <x:f>G501+H501</x:f>
        <x:v>26577</x:v>
      </x:c>
      <x:c r="M501" s="28" t="n">
        <x:f>G501*J501/1000000</x:f>
        <x:v>0.87456</x:v>
      </x:c>
      <x:c r="N501" s="28" t="n">
        <x:f>H501*K501/1000000</x:f>
        <x:v>0.4713</x:v>
      </x:c>
      <x:c r="O501" s="28" t="n">
        <x:f>SUM(M501:N501)</x:f>
        <x:v>1.34586</x:v>
      </x:c>
    </x:row>
    <x:row r="502" ht="23" customHeight="1">
      <x:c r="A502" s="17" t="str">
        <x:v>U00496</x:v>
      </x:c>
      <x:c r="B502" s="18" t="n">
        <x:v>46274</x:v>
      </x:c>
      <x:c r="C502" s="17" t="str">
        <x:v>W0001</x:v>
      </x:c>
      <x:c r="D502" s="17" t="str">
        <x:v>C001</x:v>
      </x:c>
      <x:c r="E502" s="17" t="str">
        <x:v>CopyStudio</x:v>
      </x:c>
      <x:c r="F502" s="17" t="str">
        <x:v>Pro</x:v>
      </x:c>
      <x:c r="G502" s="17" t="n">
        <x:v>15825</x:v>
      </x:c>
      <x:c r="H502" s="17" t="n">
        <x:v>4837</x:v>
      </x:c>
      <x:c r="I502" s="17" t="str">
        <x:v>Followup</x:v>
      </x:c>
      <x:c r="J502" s="27" t="n">
        <x:f>INDEX('Model Pricing'!$B$7:$B$8,MATCH(F502,'Model Pricing'!$A$7:$A$8,0))</x:f>
        <x:v>40</x:v>
      </x:c>
      <x:c r="K502" s="27" t="n">
        <x:f>INDEX('Model Pricing'!$C$7:$C$8,MATCH(F502,'Model Pricing'!$A$7:$A$8,0))</x:f>
        <x:v>100</x:v>
      </x:c>
      <x:c r="L502" s="17" t="n">
        <x:f>G502+H502</x:f>
        <x:v>20662</x:v>
      </x:c>
      <x:c r="M502" s="28" t="n">
        <x:f>G502*J502/1000000</x:f>
        <x:v>0.633</x:v>
      </x:c>
      <x:c r="N502" s="28" t="n">
        <x:f>H502*K502/1000000</x:f>
        <x:v>0.4837</x:v>
      </x:c>
      <x:c r="O502" s="28" t="n">
        <x:f>SUM(M502:N502)</x:f>
        <x:v>1.1167</x:v>
      </x:c>
    </x:row>
    <x:row r="503" ht="23" customHeight="1">
      <x:c r="A503" s="17" t="str">
        <x:v>U00497</x:v>
      </x:c>
      <x:c r="B503" s="18" t="n">
        <x:v>46275</x:v>
      </x:c>
      <x:c r="C503" s="17" t="str">
        <x:v>W0001</x:v>
      </x:c>
      <x:c r="D503" s="17" t="str">
        <x:v>C001</x:v>
      </x:c>
      <x:c r="E503" s="17" t="str">
        <x:v>CopyStudio</x:v>
      </x:c>
      <x:c r="F503" s="17" t="str">
        <x:v>Pro</x:v>
      </x:c>
      <x:c r="G503" s="17" t="n">
        <x:v>11782</x:v>
      </x:c>
      <x:c r="H503" s="17" t="n">
        <x:v>14079</x:v>
      </x:c>
      <x:c r="I503" s="17" t="str">
        <x:v>Correction</x:v>
      </x:c>
      <x:c r="J503" s="27" t="n">
        <x:f>INDEX('Model Pricing'!$B$7:$B$8,MATCH(F503,'Model Pricing'!$A$7:$A$8,0))</x:f>
        <x:v>40</x:v>
      </x:c>
      <x:c r="K503" s="27" t="n">
        <x:f>INDEX('Model Pricing'!$C$7:$C$8,MATCH(F503,'Model Pricing'!$A$7:$A$8,0))</x:f>
        <x:v>100</x:v>
      </x:c>
      <x:c r="L503" s="17" t="n">
        <x:f>G503+H503</x:f>
        <x:v>25861</x:v>
      </x:c>
      <x:c r="M503" s="28" t="n">
        <x:f>G503*J503/1000000</x:f>
        <x:v>0.47128</x:v>
      </x:c>
      <x:c r="N503" s="28" t="n">
        <x:f>H503*K503/1000000</x:f>
        <x:v>1.4079</x:v>
      </x:c>
      <x:c r="O503" s="28" t="n">
        <x:f>SUM(M503:N503)</x:f>
        <x:v>1.8791799999999999</x:v>
      </x:c>
    </x:row>
    <x:row r="504" ht="23" customHeight="1">
      <x:c r="A504" s="17" t="str">
        <x:v>U00498</x:v>
      </x:c>
      <x:c r="B504" s="18" t="n">
        <x:v>46275</x:v>
      </x:c>
      <x:c r="C504" s="17" t="str">
        <x:v>W0001</x:v>
      </x:c>
      <x:c r="D504" s="17" t="str">
        <x:v>C001</x:v>
      </x:c>
      <x:c r="E504" s="17" t="str">
        <x:v>CopyStudio</x:v>
      </x:c>
      <x:c r="F504" s="17" t="str">
        <x:v>Pro</x:v>
      </x:c>
      <x:c r="G504" s="17" t="n">
        <x:v>29246</x:v>
      </x:c>
      <x:c r="H504" s="17" t="n">
        <x:v>8219</x:v>
      </x:c>
      <x:c r="I504" s="17" t="str">
        <x:v>Followup</x:v>
      </x:c>
      <x:c r="J504" s="27" t="n">
        <x:f>INDEX('Model Pricing'!$B$7:$B$8,MATCH(F504,'Model Pricing'!$A$7:$A$8,0))</x:f>
        <x:v>40</x:v>
      </x:c>
      <x:c r="K504" s="27" t="n">
        <x:f>INDEX('Model Pricing'!$C$7:$C$8,MATCH(F504,'Model Pricing'!$A$7:$A$8,0))</x:f>
        <x:v>100</x:v>
      </x:c>
      <x:c r="L504" s="17" t="n">
        <x:f>G504+H504</x:f>
        <x:v>37465</x:v>
      </x:c>
      <x:c r="M504" s="28" t="n">
        <x:f>G504*J504/1000000</x:f>
        <x:v>1.16984</x:v>
      </x:c>
      <x:c r="N504" s="28" t="n">
        <x:f>H504*K504/1000000</x:f>
        <x:v>0.8219</x:v>
      </x:c>
      <x:c r="O504" s="28" t="n">
        <x:f>SUM(M504:N504)</x:f>
        <x:v>1.99174</x:v>
      </x:c>
    </x:row>
    <x:row r="505" ht="23" customHeight="1">
      <x:c r="A505" s="17" t="str">
        <x:v>U00499</x:v>
      </x:c>
      <x:c r="B505" s="18" t="n">
        <x:v>46275</x:v>
      </x:c>
      <x:c r="C505" s="17" t="str">
        <x:v>W0001</x:v>
      </x:c>
      <x:c r="D505" s="17" t="str">
        <x:v>C001</x:v>
      </x:c>
      <x:c r="E505" s="17" t="str">
        <x:v>CopyStudio</x:v>
      </x:c>
      <x:c r="F505" s="17" t="str">
        <x:v>Pro</x:v>
      </x:c>
      <x:c r="G505" s="17" t="n">
        <x:v>32888</x:v>
      </x:c>
      <x:c r="H505" s="17" t="n">
        <x:v>7085</x:v>
      </x:c>
      <x:c r="I505" s="17" t="str">
        <x:v>Followup</x:v>
      </x:c>
      <x:c r="J505" s="27" t="n">
        <x:f>INDEX('Model Pricing'!$B$7:$B$8,MATCH(F505,'Model Pricing'!$A$7:$A$8,0))</x:f>
        <x:v>40</x:v>
      </x:c>
      <x:c r="K505" s="27" t="n">
        <x:f>INDEX('Model Pricing'!$C$7:$C$8,MATCH(F505,'Model Pricing'!$A$7:$A$8,0))</x:f>
        <x:v>100</x:v>
      </x:c>
      <x:c r="L505" s="17" t="n">
        <x:f>G505+H505</x:f>
        <x:v>39973</x:v>
      </x:c>
      <x:c r="M505" s="28" t="n">
        <x:f>G505*J505/1000000</x:f>
        <x:v>1.31552</x:v>
      </x:c>
      <x:c r="N505" s="28" t="n">
        <x:f>H505*K505/1000000</x:f>
        <x:v>0.7085</x:v>
      </x:c>
      <x:c r="O505" s="28" t="n">
        <x:f>SUM(M505:N505)</x:f>
        <x:v>2.02402</x:v>
      </x:c>
    </x:row>
    <x:row r="506" ht="23" customHeight="1">
      <x:c r="A506" s="17" t="str">
        <x:v>U00500</x:v>
      </x:c>
      <x:c r="B506" s="18" t="n">
        <x:v>46275</x:v>
      </x:c>
      <x:c r="C506" s="17" t="str">
        <x:v>W0004</x:v>
      </x:c>
      <x:c r="D506" s="17" t="str">
        <x:v>C001</x:v>
      </x:c>
      <x:c r="E506" s="17" t="str">
        <x:v>InsightDesk</x:v>
      </x:c>
      <x:c r="F506" s="17" t="str">
        <x:v>Pro</x:v>
      </x:c>
      <x:c r="G506" s="17" t="n">
        <x:v>11619</x:v>
      </x:c>
      <x:c r="H506" s="17" t="n">
        <x:v>7075</x:v>
      </x:c>
      <x:c r="I506" s="17" t="str">
        <x:v>First attempt</x:v>
      </x:c>
      <x:c r="J506" s="27" t="n">
        <x:f>INDEX('Model Pricing'!$B$7:$B$8,MATCH(F506,'Model Pricing'!$A$7:$A$8,0))</x:f>
        <x:v>40</x:v>
      </x:c>
      <x:c r="K506" s="27" t="n">
        <x:f>INDEX('Model Pricing'!$C$7:$C$8,MATCH(F506,'Model Pricing'!$A$7:$A$8,0))</x:f>
        <x:v>100</x:v>
      </x:c>
      <x:c r="L506" s="17" t="n">
        <x:f>G506+H506</x:f>
        <x:v>18694</x:v>
      </x:c>
      <x:c r="M506" s="28" t="n">
        <x:f>G506*J506/1000000</x:f>
        <x:v>0.46476</x:v>
      </x:c>
      <x:c r="N506" s="28" t="n">
        <x:f>H506*K506/1000000</x:f>
        <x:v>0.7075</x:v>
      </x:c>
      <x:c r="O506" s="28" t="n">
        <x:f>SUM(M506:N506)</x:f>
        <x:v>1.17226</x:v>
      </x:c>
    </x:row>
    <x:row r="507" ht="23" customHeight="1">
      <x:c r="A507" s="17" t="str">
        <x:v>U00501</x:v>
      </x:c>
      <x:c r="B507" s="18" t="n">
        <x:v>46275</x:v>
      </x:c>
      <x:c r="C507" s="17" t="str">
        <x:v>W0004</x:v>
      </x:c>
      <x:c r="D507" s="17" t="str">
        <x:v>C001</x:v>
      </x:c>
      <x:c r="E507" s="17" t="str">
        <x:v>InsightDesk</x:v>
      </x:c>
      <x:c r="F507" s="17" t="str">
        <x:v>Pro</x:v>
      </x:c>
      <x:c r="G507" s="17" t="n">
        <x:v>10664</x:v>
      </x:c>
      <x:c r="H507" s="17" t="n">
        <x:v>8276</x:v>
      </x:c>
      <x:c r="I507" s="17" t="str">
        <x:v>Followup</x:v>
      </x:c>
      <x:c r="J507" s="27" t="n">
        <x:f>INDEX('Model Pricing'!$B$7:$B$8,MATCH(F507,'Model Pricing'!$A$7:$A$8,0))</x:f>
        <x:v>40</x:v>
      </x:c>
      <x:c r="K507" s="27" t="n">
        <x:f>INDEX('Model Pricing'!$C$7:$C$8,MATCH(F507,'Model Pricing'!$A$7:$A$8,0))</x:f>
        <x:v>100</x:v>
      </x:c>
      <x:c r="L507" s="17" t="n">
        <x:f>G507+H507</x:f>
        <x:v>18940</x:v>
      </x:c>
      <x:c r="M507" s="28" t="n">
        <x:f>G507*J507/1000000</x:f>
        <x:v>0.42656</x:v>
      </x:c>
      <x:c r="N507" s="28" t="n">
        <x:f>H507*K507/1000000</x:f>
        <x:v>0.8276</x:v>
      </x:c>
      <x:c r="O507" s="28" t="n">
        <x:f>SUM(M507:N507)</x:f>
        <x:v>1.25416</x:v>
      </x:c>
    </x:row>
    <x:row r="508" ht="23" customHeight="1">
      <x:c r="A508" s="17" t="str">
        <x:v>U00502</x:v>
      </x:c>
      <x:c r="B508" s="18" t="n">
        <x:v>46275</x:v>
      </x:c>
      <x:c r="C508" s="17" t="str">
        <x:v>W0004</x:v>
      </x:c>
      <x:c r="D508" s="17" t="str">
        <x:v>C001</x:v>
      </x:c>
      <x:c r="E508" s="17" t="str">
        <x:v>InsightDesk</x:v>
      </x:c>
      <x:c r="F508" s="17" t="str">
        <x:v>Pro</x:v>
      </x:c>
      <x:c r="G508" s="17" t="n">
        <x:v>21371</x:v>
      </x:c>
      <x:c r="H508" s="17" t="n">
        <x:v>3668</x:v>
      </x:c>
      <x:c r="I508" s="17" t="str">
        <x:v>Followup</x:v>
      </x:c>
      <x:c r="J508" s="27" t="n">
        <x:f>INDEX('Model Pricing'!$B$7:$B$8,MATCH(F508,'Model Pricing'!$A$7:$A$8,0))</x:f>
        <x:v>40</x:v>
      </x:c>
      <x:c r="K508" s="27" t="n">
        <x:f>INDEX('Model Pricing'!$C$7:$C$8,MATCH(F508,'Model Pricing'!$A$7:$A$8,0))</x:f>
        <x:v>100</x:v>
      </x:c>
      <x:c r="L508" s="17" t="n">
        <x:f>G508+H508</x:f>
        <x:v>25039</x:v>
      </x:c>
      <x:c r="M508" s="28" t="n">
        <x:f>G508*J508/1000000</x:f>
        <x:v>0.85484</x:v>
      </x:c>
      <x:c r="N508" s="28" t="n">
        <x:f>H508*K508/1000000</x:f>
        <x:v>0.3668</x:v>
      </x:c>
      <x:c r="O508" s="28" t="n">
        <x:f>SUM(M508:N508)</x:f>
        <x:v>1.22164</x:v>
      </x:c>
    </x:row>
    <x:row r="509" ht="23" customHeight="1">
      <x:c r="A509" s="17" t="str">
        <x:v>U00503</x:v>
      </x:c>
      <x:c r="B509" s="18" t="n">
        <x:v>46276</x:v>
      </x:c>
      <x:c r="C509" s="17" t="str">
        <x:v>W0004</x:v>
      </x:c>
      <x:c r="D509" s="17" t="str">
        <x:v>C001</x:v>
      </x:c>
      <x:c r="E509" s="17" t="str">
        <x:v>InsightDesk</x:v>
      </x:c>
      <x:c r="F509" s="17" t="str">
        <x:v>Pro</x:v>
      </x:c>
      <x:c r="G509" s="17" t="n">
        <x:v>18409</x:v>
      </x:c>
      <x:c r="H509" s="17" t="n">
        <x:v>3853</x:v>
      </x:c>
      <x:c r="I509" s="17" t="str">
        <x:v>Followup</x:v>
      </x:c>
      <x:c r="J509" s="27" t="n">
        <x:f>INDEX('Model Pricing'!$B$7:$B$8,MATCH(F509,'Model Pricing'!$A$7:$A$8,0))</x:f>
        <x:v>40</x:v>
      </x:c>
      <x:c r="K509" s="27" t="n">
        <x:f>INDEX('Model Pricing'!$C$7:$C$8,MATCH(F509,'Model Pricing'!$A$7:$A$8,0))</x:f>
        <x:v>100</x:v>
      </x:c>
      <x:c r="L509" s="17" t="n">
        <x:f>G509+H509</x:f>
        <x:v>22262</x:v>
      </x:c>
      <x:c r="M509" s="28" t="n">
        <x:f>G509*J509/1000000</x:f>
        <x:v>0.73636</x:v>
      </x:c>
      <x:c r="N509" s="28" t="n">
        <x:f>H509*K509/1000000</x:f>
        <x:v>0.3853</x:v>
      </x:c>
      <x:c r="O509" s="28" t="n">
        <x:f>SUM(M509:N509)</x:f>
        <x:v>1.1216599999999999</x:v>
      </x:c>
    </x:row>
    <x:row r="510" ht="23" customHeight="1">
      <x:c r="A510" s="17" t="str">
        <x:v>U00504</x:v>
      </x:c>
      <x:c r="B510" s="18" t="n">
        <x:v>46276</x:v>
      </x:c>
      <x:c r="C510" s="17" t="str">
        <x:v>W0004</x:v>
      </x:c>
      <x:c r="D510" s="17" t="str">
        <x:v>C001</x:v>
      </x:c>
      <x:c r="E510" s="17" t="str">
        <x:v>InsightDesk</x:v>
      </x:c>
      <x:c r="F510" s="17" t="str">
        <x:v>Pro</x:v>
      </x:c>
      <x:c r="G510" s="17" t="n">
        <x:v>20565</x:v>
      </x:c>
      <x:c r="H510" s="17" t="n">
        <x:v>10722</x:v>
      </x:c>
      <x:c r="I510" s="17" t="str">
        <x:v>Followup</x:v>
      </x:c>
      <x:c r="J510" s="27" t="n">
        <x:f>INDEX('Model Pricing'!$B$7:$B$8,MATCH(F510,'Model Pricing'!$A$7:$A$8,0))</x:f>
        <x:v>40</x:v>
      </x:c>
      <x:c r="K510" s="27" t="n">
        <x:f>INDEX('Model Pricing'!$C$7:$C$8,MATCH(F510,'Model Pricing'!$A$7:$A$8,0))</x:f>
        <x:v>100</x:v>
      </x:c>
      <x:c r="L510" s="17" t="n">
        <x:f>G510+H510</x:f>
        <x:v>31287</x:v>
      </x:c>
      <x:c r="M510" s="28" t="n">
        <x:f>G510*J510/1000000</x:f>
        <x:v>0.8226</x:v>
      </x:c>
      <x:c r="N510" s="28" t="n">
        <x:f>H510*K510/1000000</x:f>
        <x:v>1.0722</x:v>
      </x:c>
      <x:c r="O510" s="28" t="n">
        <x:f>SUM(M510:N510)</x:f>
        <x:v>1.8948</x:v>
      </x:c>
    </x:row>
    <x:row r="511" ht="23" customHeight="1">
      <x:c r="A511" s="17" t="str">
        <x:v>U00505</x:v>
      </x:c>
      <x:c r="B511" s="18" t="n">
        <x:v>46279</x:v>
      </x:c>
      <x:c r="C511" s="17" t="str">
        <x:v>W0004</x:v>
      </x:c>
      <x:c r="D511" s="17" t="str">
        <x:v>C001</x:v>
      </x:c>
      <x:c r="E511" s="17" t="str">
        <x:v>InsightDesk</x:v>
      </x:c>
      <x:c r="F511" s="17" t="str">
        <x:v>Pro</x:v>
      </x:c>
      <x:c r="G511" s="17" t="n">
        <x:v>8444</x:v>
      </x:c>
      <x:c r="H511" s="17" t="n">
        <x:v>10089</x:v>
      </x:c>
      <x:c r="I511" s="17" t="str">
        <x:v>Followup</x:v>
      </x:c>
      <x:c r="J511" s="27" t="n">
        <x:f>INDEX('Model Pricing'!$B$7:$B$8,MATCH(F511,'Model Pricing'!$A$7:$A$8,0))</x:f>
        <x:v>40</x:v>
      </x:c>
      <x:c r="K511" s="27" t="n">
        <x:f>INDEX('Model Pricing'!$C$7:$C$8,MATCH(F511,'Model Pricing'!$A$7:$A$8,0))</x:f>
        <x:v>100</x:v>
      </x:c>
      <x:c r="L511" s="17" t="n">
        <x:f>G511+H511</x:f>
        <x:v>18533</x:v>
      </x:c>
      <x:c r="M511" s="28" t="n">
        <x:f>G511*J511/1000000</x:f>
        <x:v>0.33776</x:v>
      </x:c>
      <x:c r="N511" s="28" t="n">
        <x:f>H511*K511/1000000</x:f>
        <x:v>1.0089</x:v>
      </x:c>
      <x:c r="O511" s="28" t="n">
        <x:f>SUM(M511:N511)</x:f>
        <x:v>1.34666</x:v>
      </x:c>
    </x:row>
    <x:row r="512" ht="23" customHeight="1">
      <x:c r="A512" s="17" t="str">
        <x:v>U00506</x:v>
      </x:c>
      <x:c r="B512" s="18" t="n">
        <x:v>46279</x:v>
      </x:c>
      <x:c r="C512" s="17" t="str">
        <x:v>W0004</x:v>
      </x:c>
      <x:c r="D512" s="17" t="str">
        <x:v>C001</x:v>
      </x:c>
      <x:c r="E512" s="17" t="str">
        <x:v>InsightDesk</x:v>
      </x:c>
      <x:c r="F512" s="17" t="str">
        <x:v>Pro</x:v>
      </x:c>
      <x:c r="G512" s="17" t="n">
        <x:v>18782</x:v>
      </x:c>
      <x:c r="H512" s="17" t="n">
        <x:v>10156</x:v>
      </x:c>
      <x:c r="I512" s="17" t="str">
        <x:v>Followup</x:v>
      </x:c>
      <x:c r="J512" s="27" t="n">
        <x:f>INDEX('Model Pricing'!$B$7:$B$8,MATCH(F512,'Model Pricing'!$A$7:$A$8,0))</x:f>
        <x:v>40</x:v>
      </x:c>
      <x:c r="K512" s="27" t="n">
        <x:f>INDEX('Model Pricing'!$C$7:$C$8,MATCH(F512,'Model Pricing'!$A$7:$A$8,0))</x:f>
        <x:v>100</x:v>
      </x:c>
      <x:c r="L512" s="17" t="n">
        <x:f>G512+H512</x:f>
        <x:v>28938</x:v>
      </x:c>
      <x:c r="M512" s="28" t="n">
        <x:f>G512*J512/1000000</x:f>
        <x:v>0.75128</x:v>
      </x:c>
      <x:c r="N512" s="28" t="n">
        <x:f>H512*K512/1000000</x:f>
        <x:v>1.0156</x:v>
      </x:c>
      <x:c r="O512" s="28" t="n">
        <x:f>SUM(M512:N512)</x:f>
        <x:v>1.76688</x:v>
      </x:c>
    </x:row>
    <x:row r="513" ht="23" customHeight="1">
      <x:c r="A513" s="17" t="str">
        <x:v>U00507</x:v>
      </x:c>
      <x:c r="B513" s="18" t="n">
        <x:v>46280</x:v>
      </x:c>
      <x:c r="C513" s="17" t="str">
        <x:v>W0004</x:v>
      </x:c>
      <x:c r="D513" s="17" t="str">
        <x:v>C001</x:v>
      </x:c>
      <x:c r="E513" s="17" t="str">
        <x:v>InsightDesk</x:v>
      </x:c>
      <x:c r="F513" s="17" t="str">
        <x:v>Pro</x:v>
      </x:c>
      <x:c r="G513" s="17" t="n">
        <x:v>24023</x:v>
      </x:c>
      <x:c r="H513" s="17" t="n">
        <x:v>10633</x:v>
      </x:c>
      <x:c r="I513" s="17" t="str">
        <x:v>Followup</x:v>
      </x:c>
      <x:c r="J513" s="27" t="n">
        <x:f>INDEX('Model Pricing'!$B$7:$B$8,MATCH(F513,'Model Pricing'!$A$7:$A$8,0))</x:f>
        <x:v>40</x:v>
      </x:c>
      <x:c r="K513" s="27" t="n">
        <x:f>INDEX('Model Pricing'!$C$7:$C$8,MATCH(F513,'Model Pricing'!$A$7:$A$8,0))</x:f>
        <x:v>100</x:v>
      </x:c>
      <x:c r="L513" s="17" t="n">
        <x:f>G513+H513</x:f>
        <x:v>34656</x:v>
      </x:c>
      <x:c r="M513" s="28" t="n">
        <x:f>G513*J513/1000000</x:f>
        <x:v>0.96092</x:v>
      </x:c>
      <x:c r="N513" s="28" t="n">
        <x:f>H513*K513/1000000</x:f>
        <x:v>1.0633</x:v>
      </x:c>
      <x:c r="O513" s="28" t="n">
        <x:f>SUM(M513:N513)</x:f>
        <x:v>2.0242199999999997</x:v>
      </x:c>
    </x:row>
    <x:row r="514" ht="23" customHeight="1">
      <x:c r="A514" s="17" t="str">
        <x:v>U00508</x:v>
      </x:c>
      <x:c r="B514" s="18" t="n">
        <x:v>46280</x:v>
      </x:c>
      <x:c r="C514" s="17" t="str">
        <x:v>W0004</x:v>
      </x:c>
      <x:c r="D514" s="17" t="str">
        <x:v>C001</x:v>
      </x:c>
      <x:c r="E514" s="17" t="str">
        <x:v>InsightDesk</x:v>
      </x:c>
      <x:c r="F514" s="17" t="str">
        <x:v>Pro</x:v>
      </x:c>
      <x:c r="G514" s="17" t="n">
        <x:v>23891</x:v>
      </x:c>
      <x:c r="H514" s="17" t="n">
        <x:v>6381</x:v>
      </x:c>
      <x:c r="I514" s="17" t="str">
        <x:v>Correction</x:v>
      </x:c>
      <x:c r="J514" s="27" t="n">
        <x:f>INDEX('Model Pricing'!$B$7:$B$8,MATCH(F514,'Model Pricing'!$A$7:$A$8,0))</x:f>
        <x:v>40</x:v>
      </x:c>
      <x:c r="K514" s="27" t="n">
        <x:f>INDEX('Model Pricing'!$C$7:$C$8,MATCH(F514,'Model Pricing'!$A$7:$A$8,0))</x:f>
        <x:v>100</x:v>
      </x:c>
      <x:c r="L514" s="17" t="n">
        <x:f>G514+H514</x:f>
        <x:v>30272</x:v>
      </x:c>
      <x:c r="M514" s="28" t="n">
        <x:f>G514*J514/1000000</x:f>
        <x:v>0.95564</x:v>
      </x:c>
      <x:c r="N514" s="28" t="n">
        <x:f>H514*K514/1000000</x:f>
        <x:v>0.6381</x:v>
      </x:c>
      <x:c r="O514" s="28" t="n">
        <x:f>SUM(M514:N514)</x:f>
        <x:v>1.59374</x:v>
      </x:c>
    </x:row>
    <x:row r="515" ht="23" customHeight="1">
      <x:c r="A515" s="17" t="str">
        <x:v>U00509</x:v>
      </x:c>
      <x:c r="B515" s="18" t="n">
        <x:v>46279</x:v>
      </x:c>
      <x:c r="C515" s="17" t="str">
        <x:v>W0012</x:v>
      </x:c>
      <x:c r="D515" s="17" t="str">
        <x:v>C001</x:v>
      </x:c>
      <x:c r="E515" s="17" t="str">
        <x:v>CampaignChat</x:v>
      </x:c>
      <x:c r="F515" s="17" t="str">
        <x:v>Pro</x:v>
      </x:c>
      <x:c r="G515" s="17" t="n">
        <x:v>23199</x:v>
      </x:c>
      <x:c r="H515" s="17" t="n">
        <x:v>10058</x:v>
      </x:c>
      <x:c r="I515" s="17" t="str">
        <x:v>First attempt</x:v>
      </x:c>
      <x:c r="J515" s="27" t="n">
        <x:f>INDEX('Model Pricing'!$B$7:$B$8,MATCH(F515,'Model Pricing'!$A$7:$A$8,0))</x:f>
        <x:v>40</x:v>
      </x:c>
      <x:c r="K515" s="27" t="n">
        <x:f>INDEX('Model Pricing'!$C$7:$C$8,MATCH(F515,'Model Pricing'!$A$7:$A$8,0))</x:f>
        <x:v>100</x:v>
      </x:c>
      <x:c r="L515" s="17" t="n">
        <x:f>G515+H515</x:f>
        <x:v>33257</x:v>
      </x:c>
      <x:c r="M515" s="28" t="n">
        <x:f>G515*J515/1000000</x:f>
        <x:v>0.92796</x:v>
      </x:c>
      <x:c r="N515" s="28" t="n">
        <x:f>H515*K515/1000000</x:f>
        <x:v>1.0058</x:v>
      </x:c>
      <x:c r="O515" s="28" t="n">
        <x:f>SUM(M515:N515)</x:f>
        <x:v>1.93376</x:v>
      </x:c>
    </x:row>
    <x:row r="516" ht="23" customHeight="1">
      <x:c r="A516" s="17" t="str">
        <x:v>U00510</x:v>
      </x:c>
      <x:c r="B516" s="18" t="n">
        <x:v>46279</x:v>
      </x:c>
      <x:c r="C516" s="17" t="str">
        <x:v>W0012</x:v>
      </x:c>
      <x:c r="D516" s="17" t="str">
        <x:v>C001</x:v>
      </x:c>
      <x:c r="E516" s="17" t="str">
        <x:v>CampaignChat</x:v>
      </x:c>
      <x:c r="F516" s="17" t="str">
        <x:v>Pro</x:v>
      </x:c>
      <x:c r="G516" s="17" t="n">
        <x:v>18224</x:v>
      </x:c>
      <x:c r="H516" s="17" t="n">
        <x:v>13478</x:v>
      </x:c>
      <x:c r="I516" s="17" t="str">
        <x:v>Followup</x:v>
      </x:c>
      <x:c r="J516" s="27" t="n">
        <x:f>INDEX('Model Pricing'!$B$7:$B$8,MATCH(F516,'Model Pricing'!$A$7:$A$8,0))</x:f>
        <x:v>40</x:v>
      </x:c>
      <x:c r="K516" s="27" t="n">
        <x:f>INDEX('Model Pricing'!$C$7:$C$8,MATCH(F516,'Model Pricing'!$A$7:$A$8,0))</x:f>
        <x:v>100</x:v>
      </x:c>
      <x:c r="L516" s="17" t="n">
        <x:f>G516+H516</x:f>
        <x:v>31702</x:v>
      </x:c>
      <x:c r="M516" s="28" t="n">
        <x:f>G516*J516/1000000</x:f>
        <x:v>0.72896</x:v>
      </x:c>
      <x:c r="N516" s="28" t="n">
        <x:f>H516*K516/1000000</x:f>
        <x:v>1.3478</x:v>
      </x:c>
      <x:c r="O516" s="28" t="n">
        <x:f>SUM(M516:N516)</x:f>
        <x:v>2.07676</x:v>
      </x:c>
    </x:row>
    <x:row r="517" ht="23" customHeight="1">
      <x:c r="A517" s="17" t="str">
        <x:v>U00511</x:v>
      </x:c>
      <x:c r="B517" s="18" t="n">
        <x:v>46279</x:v>
      </x:c>
      <x:c r="C517" s="17" t="str">
        <x:v>W0012</x:v>
      </x:c>
      <x:c r="D517" s="17" t="str">
        <x:v>C001</x:v>
      </x:c>
      <x:c r="E517" s="17" t="str">
        <x:v>CampaignChat</x:v>
      </x:c>
      <x:c r="F517" s="17" t="str">
        <x:v>Pro</x:v>
      </x:c>
      <x:c r="G517" s="17" t="n">
        <x:v>19430</x:v>
      </x:c>
      <x:c r="H517" s="17" t="n">
        <x:v>5236</x:v>
      </x:c>
      <x:c r="I517" s="17" t="str">
        <x:v>Correction</x:v>
      </x:c>
      <x:c r="J517" s="27" t="n">
        <x:f>INDEX('Model Pricing'!$B$7:$B$8,MATCH(F517,'Model Pricing'!$A$7:$A$8,0))</x:f>
        <x:v>40</x:v>
      </x:c>
      <x:c r="K517" s="27" t="n">
        <x:f>INDEX('Model Pricing'!$C$7:$C$8,MATCH(F517,'Model Pricing'!$A$7:$A$8,0))</x:f>
        <x:v>100</x:v>
      </x:c>
      <x:c r="L517" s="17" t="n">
        <x:f>G517+H517</x:f>
        <x:v>24666</x:v>
      </x:c>
      <x:c r="M517" s="28" t="n">
        <x:f>G517*J517/1000000</x:f>
        <x:v>0.7772</x:v>
      </x:c>
      <x:c r="N517" s="28" t="n">
        <x:f>H517*K517/1000000</x:f>
        <x:v>0.5236</x:v>
      </x:c>
      <x:c r="O517" s="28" t="n">
        <x:f>SUM(M517:N517)</x:f>
        <x:v>1.3008</x:v>
      </x:c>
    </x:row>
    <x:row r="518" ht="23" customHeight="1">
      <x:c r="A518" s="17" t="str">
        <x:v>U00512</x:v>
      </x:c>
      <x:c r="B518" s="18" t="n">
        <x:v>46280</x:v>
      </x:c>
      <x:c r="C518" s="17" t="str">
        <x:v>W0012</x:v>
      </x:c>
      <x:c r="D518" s="17" t="str">
        <x:v>C001</x:v>
      </x:c>
      <x:c r="E518" s="17" t="str">
        <x:v>CampaignChat</x:v>
      </x:c>
      <x:c r="F518" s="17" t="str">
        <x:v>Pro</x:v>
      </x:c>
      <x:c r="G518" s="17" t="n">
        <x:v>18007</x:v>
      </x:c>
      <x:c r="H518" s="17" t="n">
        <x:v>15311</x:v>
      </x:c>
      <x:c r="I518" s="17" t="str">
        <x:v>Followup</x:v>
      </x:c>
      <x:c r="J518" s="27" t="n">
        <x:f>INDEX('Model Pricing'!$B$7:$B$8,MATCH(F518,'Model Pricing'!$A$7:$A$8,0))</x:f>
        <x:v>40</x:v>
      </x:c>
      <x:c r="K518" s="27" t="n">
        <x:f>INDEX('Model Pricing'!$C$7:$C$8,MATCH(F518,'Model Pricing'!$A$7:$A$8,0))</x:f>
        <x:v>100</x:v>
      </x:c>
      <x:c r="L518" s="17" t="n">
        <x:f>G518+H518</x:f>
        <x:v>33318</x:v>
      </x:c>
      <x:c r="M518" s="28" t="n">
        <x:f>G518*J518/1000000</x:f>
        <x:v>0.72028</x:v>
      </x:c>
      <x:c r="N518" s="28" t="n">
        <x:f>H518*K518/1000000</x:f>
        <x:v>1.5311</x:v>
      </x:c>
      <x:c r="O518" s="28" t="n">
        <x:f>SUM(M518:N518)</x:f>
        <x:v>2.25138</x:v>
      </x:c>
    </x:row>
    <x:row r="519" ht="23" customHeight="1">
      <x:c r="A519" s="17" t="str">
        <x:v>U00513</x:v>
      </x:c>
      <x:c r="B519" s="18" t="n">
        <x:v>46280</x:v>
      </x:c>
      <x:c r="C519" s="17" t="str">
        <x:v>W0012</x:v>
      </x:c>
      <x:c r="D519" s="17" t="str">
        <x:v>C001</x:v>
      </x:c>
      <x:c r="E519" s="17" t="str">
        <x:v>CampaignChat</x:v>
      </x:c>
      <x:c r="F519" s="17" t="str">
        <x:v>Pro</x:v>
      </x:c>
      <x:c r="G519" s="17" t="n">
        <x:v>21424</x:v>
      </x:c>
      <x:c r="H519" s="17" t="n">
        <x:v>5210</x:v>
      </x:c>
      <x:c r="I519" s="17" t="str">
        <x:v>Followup</x:v>
      </x:c>
      <x:c r="J519" s="27" t="n">
        <x:f>INDEX('Model Pricing'!$B$7:$B$8,MATCH(F519,'Model Pricing'!$A$7:$A$8,0))</x:f>
        <x:v>40</x:v>
      </x:c>
      <x:c r="K519" s="27" t="n">
        <x:f>INDEX('Model Pricing'!$C$7:$C$8,MATCH(F519,'Model Pricing'!$A$7:$A$8,0))</x:f>
        <x:v>100</x:v>
      </x:c>
      <x:c r="L519" s="17" t="n">
        <x:f>G519+H519</x:f>
        <x:v>26634</x:v>
      </x:c>
      <x:c r="M519" s="28" t="n">
        <x:f>G519*J519/1000000</x:f>
        <x:v>0.85696</x:v>
      </x:c>
      <x:c r="N519" s="28" t="n">
        <x:f>H519*K519/1000000</x:f>
        <x:v>0.521</x:v>
      </x:c>
      <x:c r="O519" s="28" t="n">
        <x:f>SUM(M519:N519)</x:f>
        <x:v>1.37796</x:v>
      </x:c>
    </x:row>
    <x:row r="520" ht="23" customHeight="1">
      <x:c r="A520" s="17" t="str">
        <x:v>U00514</x:v>
      </x:c>
      <x:c r="B520" s="18" t="n">
        <x:v>46281</x:v>
      </x:c>
      <x:c r="C520" s="17" t="str">
        <x:v>W0012</x:v>
      </x:c>
      <x:c r="D520" s="17" t="str">
        <x:v>C001</x:v>
      </x:c>
      <x:c r="E520" s="17" t="str">
        <x:v>CampaignChat</x:v>
      </x:c>
      <x:c r="F520" s="17" t="str">
        <x:v>Pro</x:v>
      </x:c>
      <x:c r="G520" s="17" t="n">
        <x:v>23123</x:v>
      </x:c>
      <x:c r="H520" s="17" t="n">
        <x:v>12636</x:v>
      </x:c>
      <x:c r="I520" s="17" t="str">
        <x:v>Followup</x:v>
      </x:c>
      <x:c r="J520" s="27" t="n">
        <x:f>INDEX('Model Pricing'!$B$7:$B$8,MATCH(F520,'Model Pricing'!$A$7:$A$8,0))</x:f>
        <x:v>40</x:v>
      </x:c>
      <x:c r="K520" s="27" t="n">
        <x:f>INDEX('Model Pricing'!$C$7:$C$8,MATCH(F520,'Model Pricing'!$A$7:$A$8,0))</x:f>
        <x:v>100</x:v>
      </x:c>
      <x:c r="L520" s="17" t="n">
        <x:f>G520+H520</x:f>
        <x:v>35759</x:v>
      </x:c>
      <x:c r="M520" s="28" t="n">
        <x:f>G520*J520/1000000</x:f>
        <x:v>0.92492</x:v>
      </x:c>
      <x:c r="N520" s="28" t="n">
        <x:f>H520*K520/1000000</x:f>
        <x:v>1.2636</x:v>
      </x:c>
      <x:c r="O520" s="28" t="n">
        <x:f>SUM(M520:N520)</x:f>
        <x:v>2.18852</x:v>
      </x:c>
    </x:row>
    <x:row r="521" ht="23" customHeight="1">
      <x:c r="A521" s="17" t="str">
        <x:v>U00515</x:v>
      </x:c>
      <x:c r="B521" s="18" t="n">
        <x:v>46281</x:v>
      </x:c>
      <x:c r="C521" s="17" t="str">
        <x:v>W0012</x:v>
      </x:c>
      <x:c r="D521" s="17" t="str">
        <x:v>C001</x:v>
      </x:c>
      <x:c r="E521" s="17" t="str">
        <x:v>CampaignChat</x:v>
      </x:c>
      <x:c r="F521" s="17" t="str">
        <x:v>Pro</x:v>
      </x:c>
      <x:c r="G521" s="17" t="n">
        <x:v>10402</x:v>
      </x:c>
      <x:c r="H521" s="17" t="n">
        <x:v>5268</x:v>
      </x:c>
      <x:c r="I521" s="17" t="str">
        <x:v>Followup</x:v>
      </x:c>
      <x:c r="J521" s="27" t="n">
        <x:f>INDEX('Model Pricing'!$B$7:$B$8,MATCH(F521,'Model Pricing'!$A$7:$A$8,0))</x:f>
        <x:v>40</x:v>
      </x:c>
      <x:c r="K521" s="27" t="n">
        <x:f>INDEX('Model Pricing'!$C$7:$C$8,MATCH(F521,'Model Pricing'!$A$7:$A$8,0))</x:f>
        <x:v>100</x:v>
      </x:c>
      <x:c r="L521" s="17" t="n">
        <x:f>G521+H521</x:f>
        <x:v>15670</x:v>
      </x:c>
      <x:c r="M521" s="28" t="n">
        <x:f>G521*J521/1000000</x:f>
        <x:v>0.41608</x:v>
      </x:c>
      <x:c r="N521" s="28" t="n">
        <x:f>H521*K521/1000000</x:f>
        <x:v>0.5268</x:v>
      </x:c>
      <x:c r="O521" s="28" t="n">
        <x:f>SUM(M521:N521)</x:f>
        <x:v>0.94288</x:v>
      </x:c>
    </x:row>
    <x:row r="522" ht="23" customHeight="1">
      <x:c r="A522" s="17" t="str">
        <x:v>U00516</x:v>
      </x:c>
      <x:c r="B522" s="18" t="n">
        <x:v>46281</x:v>
      </x:c>
      <x:c r="C522" s="17" t="str">
        <x:v>W0012</x:v>
      </x:c>
      <x:c r="D522" s="17" t="str">
        <x:v>C001</x:v>
      </x:c>
      <x:c r="E522" s="17" t="str">
        <x:v>CampaignChat</x:v>
      </x:c>
      <x:c r="F522" s="17" t="str">
        <x:v>Pro</x:v>
      </x:c>
      <x:c r="G522" s="17" t="n">
        <x:v>24215</x:v>
      </x:c>
      <x:c r="H522" s="17" t="n">
        <x:v>15621</x:v>
      </x:c>
      <x:c r="I522" s="17" t="str">
        <x:v>Followup</x:v>
      </x:c>
      <x:c r="J522" s="27" t="n">
        <x:f>INDEX('Model Pricing'!$B$7:$B$8,MATCH(F522,'Model Pricing'!$A$7:$A$8,0))</x:f>
        <x:v>40</x:v>
      </x:c>
      <x:c r="K522" s="27" t="n">
        <x:f>INDEX('Model Pricing'!$C$7:$C$8,MATCH(F522,'Model Pricing'!$A$7:$A$8,0))</x:f>
        <x:v>100</x:v>
      </x:c>
      <x:c r="L522" s="17" t="n">
        <x:f>G522+H522</x:f>
        <x:v>39836</x:v>
      </x:c>
      <x:c r="M522" s="28" t="n">
        <x:f>G522*J522/1000000</x:f>
        <x:v>0.9686</x:v>
      </x:c>
      <x:c r="N522" s="28" t="n">
        <x:f>H522*K522/1000000</x:f>
        <x:v>1.5621</x:v>
      </x:c>
      <x:c r="O522" s="28" t="n">
        <x:f>SUM(M522:N522)</x:f>
        <x:v>2.5307</x:v>
      </x:c>
    </x:row>
    <x:row r="523" ht="23" customHeight="1">
      <x:c r="A523" s="17" t="str">
        <x:v>U00517</x:v>
      </x:c>
      <x:c r="B523" s="18" t="n">
        <x:v>46282</x:v>
      </x:c>
      <x:c r="C523" s="17" t="str">
        <x:v>W0012</x:v>
      </x:c>
      <x:c r="D523" s="17" t="str">
        <x:v>C001</x:v>
      </x:c>
      <x:c r="E523" s="17" t="str">
        <x:v>CampaignChat</x:v>
      </x:c>
      <x:c r="F523" s="17" t="str">
        <x:v>Pro</x:v>
      </x:c>
      <x:c r="G523" s="17" t="n">
        <x:v>9802</x:v>
      </x:c>
      <x:c r="H523" s="17" t="n">
        <x:v>8427</x:v>
      </x:c>
      <x:c r="I523" s="17" t="str">
        <x:v>Followup</x:v>
      </x:c>
      <x:c r="J523" s="27" t="n">
        <x:f>INDEX('Model Pricing'!$B$7:$B$8,MATCH(F523,'Model Pricing'!$A$7:$A$8,0))</x:f>
        <x:v>40</x:v>
      </x:c>
      <x:c r="K523" s="27" t="n">
        <x:f>INDEX('Model Pricing'!$C$7:$C$8,MATCH(F523,'Model Pricing'!$A$7:$A$8,0))</x:f>
        <x:v>100</x:v>
      </x:c>
      <x:c r="L523" s="17" t="n">
        <x:f>G523+H523</x:f>
        <x:v>18229</x:v>
      </x:c>
      <x:c r="M523" s="28" t="n">
        <x:f>G523*J523/1000000</x:f>
        <x:v>0.39208</x:v>
      </x:c>
      <x:c r="N523" s="28" t="n">
        <x:f>H523*K523/1000000</x:f>
        <x:v>0.8427</x:v>
      </x:c>
      <x:c r="O523" s="28" t="n">
        <x:f>SUM(M523:N523)</x:f>
        <x:v>1.23478</x:v>
      </x:c>
    </x:row>
    <x:row r="524" ht="23" customHeight="1">
      <x:c r="A524" s="17" t="str">
        <x:v>U00518</x:v>
      </x:c>
      <x:c r="B524" s="18" t="n">
        <x:v>46282</x:v>
      </x:c>
      <x:c r="C524" s="17" t="str">
        <x:v>W0012</x:v>
      </x:c>
      <x:c r="D524" s="17" t="str">
        <x:v>C001</x:v>
      </x:c>
      <x:c r="E524" s="17" t="str">
        <x:v>CampaignChat</x:v>
      </x:c>
      <x:c r="F524" s="17" t="str">
        <x:v>Pro</x:v>
      </x:c>
      <x:c r="G524" s="17" t="n">
        <x:v>10540</x:v>
      </x:c>
      <x:c r="H524" s="17" t="n">
        <x:v>10681</x:v>
      </x:c>
      <x:c r="I524" s="17" t="str">
        <x:v>Followup</x:v>
      </x:c>
      <x:c r="J524" s="27" t="n">
        <x:f>INDEX('Model Pricing'!$B$7:$B$8,MATCH(F524,'Model Pricing'!$A$7:$A$8,0))</x:f>
        <x:v>40</x:v>
      </x:c>
      <x:c r="K524" s="27" t="n">
        <x:f>INDEX('Model Pricing'!$C$7:$C$8,MATCH(F524,'Model Pricing'!$A$7:$A$8,0))</x:f>
        <x:v>100</x:v>
      </x:c>
      <x:c r="L524" s="17" t="n">
        <x:f>G524+H524</x:f>
        <x:v>21221</x:v>
      </x:c>
      <x:c r="M524" s="28" t="n">
        <x:f>G524*J524/1000000</x:f>
        <x:v>0.4216</x:v>
      </x:c>
      <x:c r="N524" s="28" t="n">
        <x:f>H524*K524/1000000</x:f>
        <x:v>1.0681</x:v>
      </x:c>
      <x:c r="O524" s="28" t="n">
        <x:f>SUM(M524:N524)</x:f>
        <x:v>1.4897</x:v>
      </x:c>
    </x:row>
    <x:row r="525" ht="23" customHeight="1">
      <x:c r="A525" s="17" t="str">
        <x:v>U00519</x:v>
      </x:c>
      <x:c r="B525" s="18" t="n">
        <x:v>46282</x:v>
      </x:c>
      <x:c r="C525" s="17" t="str">
        <x:v>W0015</x:v>
      </x:c>
      <x:c r="D525" s="17" t="str">
        <x:v>C001</x:v>
      </x:c>
      <x:c r="E525" s="17" t="str">
        <x:v>InsightDesk</x:v>
      </x:c>
      <x:c r="F525" s="17" t="str">
        <x:v>Pro</x:v>
      </x:c>
      <x:c r="G525" s="17" t="n">
        <x:v>30830</x:v>
      </x:c>
      <x:c r="H525" s="17" t="n">
        <x:v>11830</x:v>
      </x:c>
      <x:c r="I525" s="17" t="str">
        <x:v>First attempt</x:v>
      </x:c>
      <x:c r="J525" s="27" t="n">
        <x:f>INDEX('Model Pricing'!$B$7:$B$8,MATCH(F525,'Model Pricing'!$A$7:$A$8,0))</x:f>
        <x:v>40</x:v>
      </x:c>
      <x:c r="K525" s="27" t="n">
        <x:f>INDEX('Model Pricing'!$C$7:$C$8,MATCH(F525,'Model Pricing'!$A$7:$A$8,0))</x:f>
        <x:v>100</x:v>
      </x:c>
      <x:c r="L525" s="17" t="n">
        <x:f>G525+H525</x:f>
        <x:v>42660</x:v>
      </x:c>
      <x:c r="M525" s="28" t="n">
        <x:f>G525*J525/1000000</x:f>
        <x:v>1.2332</x:v>
      </x:c>
      <x:c r="N525" s="28" t="n">
        <x:f>H525*K525/1000000</x:f>
        <x:v>1.183</x:v>
      </x:c>
      <x:c r="O525" s="28" t="n">
        <x:f>SUM(M525:N525)</x:f>
        <x:v>2.4162</x:v>
      </x:c>
    </x:row>
    <x:row r="526" ht="23" customHeight="1">
      <x:c r="A526" s="17" t="str">
        <x:v>U00520</x:v>
      </x:c>
      <x:c r="B526" s="18" t="n">
        <x:v>46282</x:v>
      </x:c>
      <x:c r="C526" s="17" t="str">
        <x:v>W0015</x:v>
      </x:c>
      <x:c r="D526" s="17" t="str">
        <x:v>C001</x:v>
      </x:c>
      <x:c r="E526" s="17" t="str">
        <x:v>InsightDesk</x:v>
      </x:c>
      <x:c r="F526" s="17" t="str">
        <x:v>Pro</x:v>
      </x:c>
      <x:c r="G526" s="17" t="n">
        <x:v>15640</x:v>
      </x:c>
      <x:c r="H526" s="17" t="n">
        <x:v>3767</x:v>
      </x:c>
      <x:c r="I526" s="17" t="str">
        <x:v>Followup</x:v>
      </x:c>
      <x:c r="J526" s="27" t="n">
        <x:f>INDEX('Model Pricing'!$B$7:$B$8,MATCH(F526,'Model Pricing'!$A$7:$A$8,0))</x:f>
        <x:v>40</x:v>
      </x:c>
      <x:c r="K526" s="27" t="n">
        <x:f>INDEX('Model Pricing'!$C$7:$C$8,MATCH(F526,'Model Pricing'!$A$7:$A$8,0))</x:f>
        <x:v>100</x:v>
      </x:c>
      <x:c r="L526" s="17" t="n">
        <x:f>G526+H526</x:f>
        <x:v>19407</x:v>
      </x:c>
      <x:c r="M526" s="28" t="n">
        <x:f>G526*J526/1000000</x:f>
        <x:v>0.6256</x:v>
      </x:c>
      <x:c r="N526" s="28" t="n">
        <x:f>H526*K526/1000000</x:f>
        <x:v>0.3767</x:v>
      </x:c>
      <x:c r="O526" s="28" t="n">
        <x:f>SUM(M526:N526)</x:f>
        <x:v>1.0023</x:v>
      </x:c>
    </x:row>
    <x:row r="527" ht="23" customHeight="1">
      <x:c r="A527" s="17" t="str">
        <x:v>U00521</x:v>
      </x:c>
      <x:c r="B527" s="18" t="n">
        <x:v>46283</x:v>
      </x:c>
      <x:c r="C527" s="17" t="str">
        <x:v>W0015</x:v>
      </x:c>
      <x:c r="D527" s="17" t="str">
        <x:v>C001</x:v>
      </x:c>
      <x:c r="E527" s="17" t="str">
        <x:v>InsightDesk</x:v>
      </x:c>
      <x:c r="F527" s="17" t="str">
        <x:v>Pro</x:v>
      </x:c>
      <x:c r="G527" s="17" t="n">
        <x:v>27771</x:v>
      </x:c>
      <x:c r="H527" s="17" t="n">
        <x:v>9183</x:v>
      </x:c>
      <x:c r="I527" s="17" t="str">
        <x:v>Followup</x:v>
      </x:c>
      <x:c r="J527" s="27" t="n">
        <x:f>INDEX('Model Pricing'!$B$7:$B$8,MATCH(F527,'Model Pricing'!$A$7:$A$8,0))</x:f>
        <x:v>40</x:v>
      </x:c>
      <x:c r="K527" s="27" t="n">
        <x:f>INDEX('Model Pricing'!$C$7:$C$8,MATCH(F527,'Model Pricing'!$A$7:$A$8,0))</x:f>
        <x:v>100</x:v>
      </x:c>
      <x:c r="L527" s="17" t="n">
        <x:f>G527+H527</x:f>
        <x:v>36954</x:v>
      </x:c>
      <x:c r="M527" s="28" t="n">
        <x:f>G527*J527/1000000</x:f>
        <x:v>1.11084</x:v>
      </x:c>
      <x:c r="N527" s="28" t="n">
        <x:f>H527*K527/1000000</x:f>
        <x:v>0.9183</x:v>
      </x:c>
      <x:c r="O527" s="28" t="n">
        <x:f>SUM(M527:N527)</x:f>
        <x:v>2.02914</x:v>
      </x:c>
    </x:row>
    <x:row r="528" ht="23" customHeight="1">
      <x:c r="A528" s="17" t="str">
        <x:v>U00522</x:v>
      </x:c>
      <x:c r="B528" s="18" t="n">
        <x:v>46283</x:v>
      </x:c>
      <x:c r="C528" s="17" t="str">
        <x:v>W0015</x:v>
      </x:c>
      <x:c r="D528" s="17" t="str">
        <x:v>C001</x:v>
      </x:c>
      <x:c r="E528" s="17" t="str">
        <x:v>InsightDesk</x:v>
      </x:c>
      <x:c r="F528" s="17" t="str">
        <x:v>Pro</x:v>
      </x:c>
      <x:c r="G528" s="17" t="n">
        <x:v>27050</x:v>
      </x:c>
      <x:c r="H528" s="17" t="n">
        <x:v>9424</x:v>
      </x:c>
      <x:c r="I528" s="17" t="str">
        <x:v>Followup</x:v>
      </x:c>
      <x:c r="J528" s="27" t="n">
        <x:f>INDEX('Model Pricing'!$B$7:$B$8,MATCH(F528,'Model Pricing'!$A$7:$A$8,0))</x:f>
        <x:v>40</x:v>
      </x:c>
      <x:c r="K528" s="27" t="n">
        <x:f>INDEX('Model Pricing'!$C$7:$C$8,MATCH(F528,'Model Pricing'!$A$7:$A$8,0))</x:f>
        <x:v>100</x:v>
      </x:c>
      <x:c r="L528" s="17" t="n">
        <x:f>G528+H528</x:f>
        <x:v>36474</x:v>
      </x:c>
      <x:c r="M528" s="28" t="n">
        <x:f>G528*J528/1000000</x:f>
        <x:v>1.082</x:v>
      </x:c>
      <x:c r="N528" s="28" t="n">
        <x:f>H528*K528/1000000</x:f>
        <x:v>0.9424</x:v>
      </x:c>
      <x:c r="O528" s="28" t="n">
        <x:f>SUM(M528:N528)</x:f>
        <x:v>2.0244</x:v>
      </x:c>
    </x:row>
    <x:row r="529" ht="23" customHeight="1">
      <x:c r="A529" s="17" t="str">
        <x:v>U00523</x:v>
      </x:c>
      <x:c r="B529" s="18" t="n">
        <x:v>46286</x:v>
      </x:c>
      <x:c r="C529" s="17" t="str">
        <x:v>W0015</x:v>
      </x:c>
      <x:c r="D529" s="17" t="str">
        <x:v>C001</x:v>
      </x:c>
      <x:c r="E529" s="17" t="str">
        <x:v>InsightDesk</x:v>
      </x:c>
      <x:c r="F529" s="17" t="str">
        <x:v>Pro</x:v>
      </x:c>
      <x:c r="G529" s="17" t="n">
        <x:v>17253</x:v>
      </x:c>
      <x:c r="H529" s="17" t="n">
        <x:v>9056</x:v>
      </x:c>
      <x:c r="I529" s="17" t="str">
        <x:v>Followup</x:v>
      </x:c>
      <x:c r="J529" s="27" t="n">
        <x:f>INDEX('Model Pricing'!$B$7:$B$8,MATCH(F529,'Model Pricing'!$A$7:$A$8,0))</x:f>
        <x:v>40</x:v>
      </x:c>
      <x:c r="K529" s="27" t="n">
        <x:f>INDEX('Model Pricing'!$C$7:$C$8,MATCH(F529,'Model Pricing'!$A$7:$A$8,0))</x:f>
        <x:v>100</x:v>
      </x:c>
      <x:c r="L529" s="17" t="n">
        <x:f>G529+H529</x:f>
        <x:v>26309</x:v>
      </x:c>
      <x:c r="M529" s="28" t="n">
        <x:f>G529*J529/1000000</x:f>
        <x:v>0.69012</x:v>
      </x:c>
      <x:c r="N529" s="28" t="n">
        <x:f>H529*K529/1000000</x:f>
        <x:v>0.9056</x:v>
      </x:c>
      <x:c r="O529" s="28" t="n">
        <x:f>SUM(M529:N529)</x:f>
        <x:v>1.59572</x:v>
      </x:c>
    </x:row>
    <x:row r="530" ht="23" customHeight="1">
      <x:c r="A530" s="17" t="str">
        <x:v>U00524</x:v>
      </x:c>
      <x:c r="B530" s="18" t="n">
        <x:v>46286</x:v>
      </x:c>
      <x:c r="C530" s="17" t="str">
        <x:v>W0015</x:v>
      </x:c>
      <x:c r="D530" s="17" t="str">
        <x:v>C001</x:v>
      </x:c>
      <x:c r="E530" s="17" t="str">
        <x:v>InsightDesk</x:v>
      </x:c>
      <x:c r="F530" s="17" t="str">
        <x:v>Pro</x:v>
      </x:c>
      <x:c r="G530" s="17" t="n">
        <x:v>16196</x:v>
      </x:c>
      <x:c r="H530" s="17" t="n">
        <x:v>7598</x:v>
      </x:c>
      <x:c r="I530" s="17" t="str">
        <x:v>Correction</x:v>
      </x:c>
      <x:c r="J530" s="27" t="n">
        <x:f>INDEX('Model Pricing'!$B$7:$B$8,MATCH(F530,'Model Pricing'!$A$7:$A$8,0))</x:f>
        <x:v>40</x:v>
      </x:c>
      <x:c r="K530" s="27" t="n">
        <x:f>INDEX('Model Pricing'!$C$7:$C$8,MATCH(F530,'Model Pricing'!$A$7:$A$8,0))</x:f>
        <x:v>100</x:v>
      </x:c>
      <x:c r="L530" s="17" t="n">
        <x:f>G530+H530</x:f>
        <x:v>23794</x:v>
      </x:c>
      <x:c r="M530" s="28" t="n">
        <x:f>G530*J530/1000000</x:f>
        <x:v>0.64784</x:v>
      </x:c>
      <x:c r="N530" s="28" t="n">
        <x:f>H530*K530/1000000</x:f>
        <x:v>0.7598</x:v>
      </x:c>
      <x:c r="O530" s="28" t="n">
        <x:f>SUM(M530:N530)</x:f>
        <x:v>1.40764</x:v>
      </x:c>
    </x:row>
    <x:row r="531" ht="23" customHeight="1">
      <x:c r="A531" s="17" t="str">
        <x:v>U00525</x:v>
      </x:c>
      <x:c r="B531" s="18" t="n">
        <x:v>46287</x:v>
      </x:c>
      <x:c r="C531" s="17" t="str">
        <x:v>W0015</x:v>
      </x:c>
      <x:c r="D531" s="17" t="str">
        <x:v>C001</x:v>
      </x:c>
      <x:c r="E531" s="17" t="str">
        <x:v>InsightDesk</x:v>
      </x:c>
      <x:c r="F531" s="17" t="str">
        <x:v>Pro</x:v>
      </x:c>
      <x:c r="G531" s="17" t="n">
        <x:v>17069</x:v>
      </x:c>
      <x:c r="H531" s="17" t="n">
        <x:v>7501</x:v>
      </x:c>
      <x:c r="I531" s="17" t="str">
        <x:v>Followup</x:v>
      </x:c>
      <x:c r="J531" s="27" t="n">
        <x:f>INDEX('Model Pricing'!$B$7:$B$8,MATCH(F531,'Model Pricing'!$A$7:$A$8,0))</x:f>
        <x:v>40</x:v>
      </x:c>
      <x:c r="K531" s="27" t="n">
        <x:f>INDEX('Model Pricing'!$C$7:$C$8,MATCH(F531,'Model Pricing'!$A$7:$A$8,0))</x:f>
        <x:v>100</x:v>
      </x:c>
      <x:c r="L531" s="17" t="n">
        <x:f>G531+H531</x:f>
        <x:v>24570</x:v>
      </x:c>
      <x:c r="M531" s="28" t="n">
        <x:f>G531*J531/1000000</x:f>
        <x:v>0.68276</x:v>
      </x:c>
      <x:c r="N531" s="28" t="n">
        <x:f>H531*K531/1000000</x:f>
        <x:v>0.7501</x:v>
      </x:c>
      <x:c r="O531" s="28" t="n">
        <x:f>SUM(M531:N531)</x:f>
        <x:v>1.43286</x:v>
      </x:c>
    </x:row>
    <x:row r="532" ht="23" customHeight="1">
      <x:c r="A532" s="17" t="str">
        <x:v>U00526</x:v>
      </x:c>
      <x:c r="B532" s="18" t="n">
        <x:v>46287</x:v>
      </x:c>
      <x:c r="C532" s="17" t="str">
        <x:v>W0015</x:v>
      </x:c>
      <x:c r="D532" s="17" t="str">
        <x:v>C001</x:v>
      </x:c>
      <x:c r="E532" s="17" t="str">
        <x:v>InsightDesk</x:v>
      </x:c>
      <x:c r="F532" s="17" t="str">
        <x:v>Pro</x:v>
      </x:c>
      <x:c r="G532" s="17" t="n">
        <x:v>23042</x:v>
      </x:c>
      <x:c r="H532" s="17" t="n">
        <x:v>5094</x:v>
      </x:c>
      <x:c r="I532" s="17" t="str">
        <x:v>Followup</x:v>
      </x:c>
      <x:c r="J532" s="27" t="n">
        <x:f>INDEX('Model Pricing'!$B$7:$B$8,MATCH(F532,'Model Pricing'!$A$7:$A$8,0))</x:f>
        <x:v>40</x:v>
      </x:c>
      <x:c r="K532" s="27" t="n">
        <x:f>INDEX('Model Pricing'!$C$7:$C$8,MATCH(F532,'Model Pricing'!$A$7:$A$8,0))</x:f>
        <x:v>100</x:v>
      </x:c>
      <x:c r="L532" s="17" t="n">
        <x:f>G532+H532</x:f>
        <x:v>28136</x:v>
      </x:c>
      <x:c r="M532" s="28" t="n">
        <x:f>G532*J532/1000000</x:f>
        <x:v>0.92168</x:v>
      </x:c>
      <x:c r="N532" s="28" t="n">
        <x:f>H532*K532/1000000</x:f>
        <x:v>0.5094</x:v>
      </x:c>
      <x:c r="O532" s="28" t="n">
        <x:f>SUM(M532:N532)</x:f>
        <x:v>1.4310800000000001</x:v>
      </x:c>
    </x:row>
    <x:row r="533" ht="23" customHeight="1">
      <x:c r="A533" s="17" t="str">
        <x:v>U00527</x:v>
      </x:c>
      <x:c r="B533" s="18" t="n">
        <x:v>46266</x:v>
      </x:c>
      <x:c r="C533" s="17" t="str">
        <x:v>W0016</x:v>
      </x:c>
      <x:c r="D533" s="17" t="str">
        <x:v>C001</x:v>
      </x:c>
      <x:c r="E533" s="17" t="str">
        <x:v>InsightDesk</x:v>
      </x:c>
      <x:c r="F533" s="17" t="str">
        <x:v>Pro</x:v>
      </x:c>
      <x:c r="G533" s="17" t="n">
        <x:v>12578</x:v>
      </x:c>
      <x:c r="H533" s="17" t="n">
        <x:v>11703</x:v>
      </x:c>
      <x:c r="I533" s="17" t="str">
        <x:v>First attempt</x:v>
      </x:c>
      <x:c r="J533" s="27" t="n">
        <x:f>INDEX('Model Pricing'!$B$7:$B$8,MATCH(F533,'Model Pricing'!$A$7:$A$8,0))</x:f>
        <x:v>40</x:v>
      </x:c>
      <x:c r="K533" s="27" t="n">
        <x:f>INDEX('Model Pricing'!$C$7:$C$8,MATCH(F533,'Model Pricing'!$A$7:$A$8,0))</x:f>
        <x:v>100</x:v>
      </x:c>
      <x:c r="L533" s="17" t="n">
        <x:f>G533+H533</x:f>
        <x:v>24281</x:v>
      </x:c>
      <x:c r="M533" s="28" t="n">
        <x:f>G533*J533/1000000</x:f>
        <x:v>0.50312</x:v>
      </x:c>
      <x:c r="N533" s="28" t="n">
        <x:f>H533*K533/1000000</x:f>
        <x:v>1.1703</x:v>
      </x:c>
      <x:c r="O533" s="28" t="n">
        <x:f>SUM(M533:N533)</x:f>
        <x:v>1.67342</x:v>
      </x:c>
    </x:row>
    <x:row r="534" ht="23" customHeight="1">
      <x:c r="A534" s="17" t="str">
        <x:v>U00528</x:v>
      </x:c>
      <x:c r="B534" s="18" t="n">
        <x:v>46266</x:v>
      </x:c>
      <x:c r="C534" s="17" t="str">
        <x:v>W0016</x:v>
      </x:c>
      <x:c r="D534" s="17" t="str">
        <x:v>C001</x:v>
      </x:c>
      <x:c r="E534" s="17" t="str">
        <x:v>InsightDesk</x:v>
      </x:c>
      <x:c r="F534" s="17" t="str">
        <x:v>Pro</x:v>
      </x:c>
      <x:c r="G534" s="17" t="n">
        <x:v>10836</x:v>
      </x:c>
      <x:c r="H534" s="17" t="n">
        <x:v>6638</x:v>
      </x:c>
      <x:c r="I534" s="17" t="str">
        <x:v>Followup</x:v>
      </x:c>
      <x:c r="J534" s="27" t="n">
        <x:f>INDEX('Model Pricing'!$B$7:$B$8,MATCH(F534,'Model Pricing'!$A$7:$A$8,0))</x:f>
        <x:v>40</x:v>
      </x:c>
      <x:c r="K534" s="27" t="n">
        <x:f>INDEX('Model Pricing'!$C$7:$C$8,MATCH(F534,'Model Pricing'!$A$7:$A$8,0))</x:f>
        <x:v>100</x:v>
      </x:c>
      <x:c r="L534" s="17" t="n">
        <x:f>G534+H534</x:f>
        <x:v>17474</x:v>
      </x:c>
      <x:c r="M534" s="28" t="n">
        <x:f>G534*J534/1000000</x:f>
        <x:v>0.43344</x:v>
      </x:c>
      <x:c r="N534" s="28" t="n">
        <x:f>H534*K534/1000000</x:f>
        <x:v>0.6638</x:v>
      </x:c>
      <x:c r="O534" s="28" t="n">
        <x:f>SUM(M534:N534)</x:f>
        <x:v>1.09724</x:v>
      </x:c>
    </x:row>
    <x:row r="535" ht="23" customHeight="1">
      <x:c r="A535" s="17" t="str">
        <x:v>U00529</x:v>
      </x:c>
      <x:c r="B535" s="18" t="n">
        <x:v>46266</x:v>
      </x:c>
      <x:c r="C535" s="17" t="str">
        <x:v>W0016</x:v>
      </x:c>
      <x:c r="D535" s="17" t="str">
        <x:v>C001</x:v>
      </x:c>
      <x:c r="E535" s="17" t="str">
        <x:v>InsightDesk</x:v>
      </x:c>
      <x:c r="F535" s="17" t="str">
        <x:v>Pro</x:v>
      </x:c>
      <x:c r="G535" s="17" t="n">
        <x:v>19204</x:v>
      </x:c>
      <x:c r="H535" s="17" t="n">
        <x:v>13962</x:v>
      </x:c>
      <x:c r="I535" s="17" t="str">
        <x:v>Followup</x:v>
      </x:c>
      <x:c r="J535" s="27" t="n">
        <x:f>INDEX('Model Pricing'!$B$7:$B$8,MATCH(F535,'Model Pricing'!$A$7:$A$8,0))</x:f>
        <x:v>40</x:v>
      </x:c>
      <x:c r="K535" s="27" t="n">
        <x:f>INDEX('Model Pricing'!$C$7:$C$8,MATCH(F535,'Model Pricing'!$A$7:$A$8,0))</x:f>
        <x:v>100</x:v>
      </x:c>
      <x:c r="L535" s="17" t="n">
        <x:f>G535+H535</x:f>
        <x:v>33166</x:v>
      </x:c>
      <x:c r="M535" s="28" t="n">
        <x:f>G535*J535/1000000</x:f>
        <x:v>0.76816</x:v>
      </x:c>
      <x:c r="N535" s="28" t="n">
        <x:f>H535*K535/1000000</x:f>
        <x:v>1.3962</x:v>
      </x:c>
      <x:c r="O535" s="28" t="n">
        <x:f>SUM(M535:N535)</x:f>
        <x:v>2.1643600000000003</x:v>
      </x:c>
    </x:row>
    <x:row r="536" ht="23" customHeight="1">
      <x:c r="A536" s="17" t="str">
        <x:v>U00530</x:v>
      </x:c>
      <x:c r="B536" s="18" t="n">
        <x:v>46267</x:v>
      </x:c>
      <x:c r="C536" s="17" t="str">
        <x:v>W0016</x:v>
      </x:c>
      <x:c r="D536" s="17" t="str">
        <x:v>C001</x:v>
      </x:c>
      <x:c r="E536" s="17" t="str">
        <x:v>InsightDesk</x:v>
      </x:c>
      <x:c r="F536" s="17" t="str">
        <x:v>Pro</x:v>
      </x:c>
      <x:c r="G536" s="17" t="n">
        <x:v>21180</x:v>
      </x:c>
      <x:c r="H536" s="17" t="n">
        <x:v>7494</x:v>
      </x:c>
      <x:c r="I536" s="17" t="str">
        <x:v>Followup</x:v>
      </x:c>
      <x:c r="J536" s="27" t="n">
        <x:f>INDEX('Model Pricing'!$B$7:$B$8,MATCH(F536,'Model Pricing'!$A$7:$A$8,0))</x:f>
        <x:v>40</x:v>
      </x:c>
      <x:c r="K536" s="27" t="n">
        <x:f>INDEX('Model Pricing'!$C$7:$C$8,MATCH(F536,'Model Pricing'!$A$7:$A$8,0))</x:f>
        <x:v>100</x:v>
      </x:c>
      <x:c r="L536" s="17" t="n">
        <x:f>G536+H536</x:f>
        <x:v>28674</x:v>
      </x:c>
      <x:c r="M536" s="28" t="n">
        <x:f>G536*J536/1000000</x:f>
        <x:v>0.8472</x:v>
      </x:c>
      <x:c r="N536" s="28" t="n">
        <x:f>H536*K536/1000000</x:f>
        <x:v>0.7494</x:v>
      </x:c>
      <x:c r="O536" s="28" t="n">
        <x:f>SUM(M536:N536)</x:f>
        <x:v>1.5966</x:v>
      </x:c>
    </x:row>
    <x:row r="537" ht="23" customHeight="1">
      <x:c r="A537" s="17" t="str">
        <x:v>U00531</x:v>
      </x:c>
      <x:c r="B537" s="18" t="n">
        <x:v>46267</x:v>
      </x:c>
      <x:c r="C537" s="17" t="str">
        <x:v>W0016</x:v>
      </x:c>
      <x:c r="D537" s="17" t="str">
        <x:v>C001</x:v>
      </x:c>
      <x:c r="E537" s="17" t="str">
        <x:v>InsightDesk</x:v>
      </x:c>
      <x:c r="F537" s="17" t="str">
        <x:v>Pro</x:v>
      </x:c>
      <x:c r="G537" s="17" t="n">
        <x:v>22359</x:v>
      </x:c>
      <x:c r="H537" s="17" t="n">
        <x:v>14974</x:v>
      </x:c>
      <x:c r="I537" s="17" t="str">
        <x:v>Followup</x:v>
      </x:c>
      <x:c r="J537" s="27" t="n">
        <x:f>INDEX('Model Pricing'!$B$7:$B$8,MATCH(F537,'Model Pricing'!$A$7:$A$8,0))</x:f>
        <x:v>40</x:v>
      </x:c>
      <x:c r="K537" s="27" t="n">
        <x:f>INDEX('Model Pricing'!$C$7:$C$8,MATCH(F537,'Model Pricing'!$A$7:$A$8,0))</x:f>
        <x:v>100</x:v>
      </x:c>
      <x:c r="L537" s="17" t="n">
        <x:f>G537+H537</x:f>
        <x:v>37333</x:v>
      </x:c>
      <x:c r="M537" s="28" t="n">
        <x:f>G537*J537/1000000</x:f>
        <x:v>0.89436</x:v>
      </x:c>
      <x:c r="N537" s="28" t="n">
        <x:f>H537*K537/1000000</x:f>
        <x:v>1.4974</x:v>
      </x:c>
      <x:c r="O537" s="28" t="n">
        <x:f>SUM(M537:N537)</x:f>
        <x:v>2.39176</x:v>
      </x:c>
    </x:row>
    <x:row r="538" ht="23" customHeight="1">
      <x:c r="A538" s="17" t="str">
        <x:v>U00532</x:v>
      </x:c>
      <x:c r="B538" s="18" t="n">
        <x:v>46267</x:v>
      </x:c>
      <x:c r="C538" s="17" t="str">
        <x:v>W0016</x:v>
      </x:c>
      <x:c r="D538" s="17" t="str">
        <x:v>C001</x:v>
      </x:c>
      <x:c r="E538" s="17" t="str">
        <x:v>InsightDesk</x:v>
      </x:c>
      <x:c r="F538" s="17" t="str">
        <x:v>Pro</x:v>
      </x:c>
      <x:c r="G538" s="17" t="n">
        <x:v>18675</x:v>
      </x:c>
      <x:c r="H538" s="17" t="n">
        <x:v>10523</x:v>
      </x:c>
      <x:c r="I538" s="17" t="str">
        <x:v>Followup</x:v>
      </x:c>
      <x:c r="J538" s="27" t="n">
        <x:f>INDEX('Model Pricing'!$B$7:$B$8,MATCH(F538,'Model Pricing'!$A$7:$A$8,0))</x:f>
        <x:v>40</x:v>
      </x:c>
      <x:c r="K538" s="27" t="n">
        <x:f>INDEX('Model Pricing'!$C$7:$C$8,MATCH(F538,'Model Pricing'!$A$7:$A$8,0))</x:f>
        <x:v>100</x:v>
      </x:c>
      <x:c r="L538" s="17" t="n">
        <x:f>G538+H538</x:f>
        <x:v>29198</x:v>
      </x:c>
      <x:c r="M538" s="28" t="n">
        <x:f>G538*J538/1000000</x:f>
        <x:v>0.747</x:v>
      </x:c>
      <x:c r="N538" s="28" t="n">
        <x:f>H538*K538/1000000</x:f>
        <x:v>1.0523</x:v>
      </x:c>
      <x:c r="O538" s="28" t="n">
        <x:f>SUM(M538:N538)</x:f>
        <x:v>1.7993000000000001</x:v>
      </x:c>
    </x:row>
    <x:row r="539" ht="23" customHeight="1">
      <x:c r="A539" s="17" t="str">
        <x:v>U00533</x:v>
      </x:c>
      <x:c r="B539" s="18" t="n">
        <x:v>46268</x:v>
      </x:c>
      <x:c r="C539" s="17" t="str">
        <x:v>W0016</x:v>
      </x:c>
      <x:c r="D539" s="17" t="str">
        <x:v>C001</x:v>
      </x:c>
      <x:c r="E539" s="17" t="str">
        <x:v>InsightDesk</x:v>
      </x:c>
      <x:c r="F539" s="17" t="str">
        <x:v>Pro</x:v>
      </x:c>
      <x:c r="G539" s="17" t="n">
        <x:v>11357</x:v>
      </x:c>
      <x:c r="H539" s="17" t="n">
        <x:v>12061</x:v>
      </x:c>
      <x:c r="I539" s="17" t="str">
        <x:v>Followup</x:v>
      </x:c>
      <x:c r="J539" s="27" t="n">
        <x:f>INDEX('Model Pricing'!$B$7:$B$8,MATCH(F539,'Model Pricing'!$A$7:$A$8,0))</x:f>
        <x:v>40</x:v>
      </x:c>
      <x:c r="K539" s="27" t="n">
        <x:f>INDEX('Model Pricing'!$C$7:$C$8,MATCH(F539,'Model Pricing'!$A$7:$A$8,0))</x:f>
        <x:v>100</x:v>
      </x:c>
      <x:c r="L539" s="17" t="n">
        <x:f>G539+H539</x:f>
        <x:v>23418</x:v>
      </x:c>
      <x:c r="M539" s="28" t="n">
        <x:f>G539*J539/1000000</x:f>
        <x:v>0.45428</x:v>
      </x:c>
      <x:c r="N539" s="28" t="n">
        <x:f>H539*K539/1000000</x:f>
        <x:v>1.2061</x:v>
      </x:c>
      <x:c r="O539" s="28" t="n">
        <x:f>SUM(M539:N539)</x:f>
        <x:v>1.66038</x:v>
      </x:c>
    </x:row>
    <x:row r="540" ht="23" customHeight="1">
      <x:c r="A540" s="17" t="str">
        <x:v>U00534</x:v>
      </x:c>
      <x:c r="B540" s="18" t="n">
        <x:v>46268</x:v>
      </x:c>
      <x:c r="C540" s="17" t="str">
        <x:v>W0016</x:v>
      </x:c>
      <x:c r="D540" s="17" t="str">
        <x:v>C001</x:v>
      </x:c>
      <x:c r="E540" s="17" t="str">
        <x:v>InsightDesk</x:v>
      </x:c>
      <x:c r="F540" s="17" t="str">
        <x:v>Pro</x:v>
      </x:c>
      <x:c r="G540" s="17" t="n">
        <x:v>20684</x:v>
      </x:c>
      <x:c r="H540" s="17" t="n">
        <x:v>6268</x:v>
      </x:c>
      <x:c r="I540" s="17" t="str">
        <x:v>Followup</x:v>
      </x:c>
      <x:c r="J540" s="27" t="n">
        <x:f>INDEX('Model Pricing'!$B$7:$B$8,MATCH(F540,'Model Pricing'!$A$7:$A$8,0))</x:f>
        <x:v>40</x:v>
      </x:c>
      <x:c r="K540" s="27" t="n">
        <x:f>INDEX('Model Pricing'!$C$7:$C$8,MATCH(F540,'Model Pricing'!$A$7:$A$8,0))</x:f>
        <x:v>100</x:v>
      </x:c>
      <x:c r="L540" s="17" t="n">
        <x:f>G540+H540</x:f>
        <x:v>26952</x:v>
      </x:c>
      <x:c r="M540" s="28" t="n">
        <x:f>G540*J540/1000000</x:f>
        <x:v>0.82736</x:v>
      </x:c>
      <x:c r="N540" s="28" t="n">
        <x:f>H540*K540/1000000</x:f>
        <x:v>0.6268</x:v>
      </x:c>
      <x:c r="O540" s="28" t="n">
        <x:f>SUM(M540:N540)</x:f>
        <x:v>1.45416</x:v>
      </x:c>
    </x:row>
    <x:row r="541" ht="23" customHeight="1">
      <x:c r="A541" s="17" t="str">
        <x:v>U00535</x:v>
      </x:c>
      <x:c r="B541" s="18" t="n">
        <x:v>46268</x:v>
      </x:c>
      <x:c r="C541" s="17" t="str">
        <x:v>W0016</x:v>
      </x:c>
      <x:c r="D541" s="17" t="str">
        <x:v>C001</x:v>
      </x:c>
      <x:c r="E541" s="17" t="str">
        <x:v>InsightDesk</x:v>
      </x:c>
      <x:c r="F541" s="17" t="str">
        <x:v>Pro</x:v>
      </x:c>
      <x:c r="G541" s="17" t="n">
        <x:v>16622</x:v>
      </x:c>
      <x:c r="H541" s="17" t="n">
        <x:v>13438</x:v>
      </x:c>
      <x:c r="I541" s="17" t="str">
        <x:v>Correction</x:v>
      </x:c>
      <x:c r="J541" s="27" t="n">
        <x:f>INDEX('Model Pricing'!$B$7:$B$8,MATCH(F541,'Model Pricing'!$A$7:$A$8,0))</x:f>
        <x:v>40</x:v>
      </x:c>
      <x:c r="K541" s="27" t="n">
        <x:f>INDEX('Model Pricing'!$C$7:$C$8,MATCH(F541,'Model Pricing'!$A$7:$A$8,0))</x:f>
        <x:v>100</x:v>
      </x:c>
      <x:c r="L541" s="17" t="n">
        <x:f>G541+H541</x:f>
        <x:v>30060</x:v>
      </x:c>
      <x:c r="M541" s="28" t="n">
        <x:f>G541*J541/1000000</x:f>
        <x:v>0.66488</x:v>
      </x:c>
      <x:c r="N541" s="28" t="n">
        <x:f>H541*K541/1000000</x:f>
        <x:v>1.3438</x:v>
      </x:c>
      <x:c r="O541" s="28" t="n">
        <x:f>SUM(M541:N541)</x:f>
        <x:v>2.00868</x:v>
      </x:c>
    </x:row>
    <x:row r="542" ht="23" customHeight="1">
      <x:c r="A542" s="17" t="str">
        <x:v>U00536</x:v>
      </x:c>
      <x:c r="B542" s="18" t="n">
        <x:v>46269</x:v>
      </x:c>
      <x:c r="C542" s="17" t="str">
        <x:v>W0016</x:v>
      </x:c>
      <x:c r="D542" s="17" t="str">
        <x:v>C001</x:v>
      </x:c>
      <x:c r="E542" s="17" t="str">
        <x:v>InsightDesk</x:v>
      </x:c>
      <x:c r="F542" s="17" t="str">
        <x:v>Pro</x:v>
      </x:c>
      <x:c r="G542" s="17" t="n">
        <x:v>11430</x:v>
      </x:c>
      <x:c r="H542" s="17" t="n">
        <x:v>4170</x:v>
      </x:c>
      <x:c r="I542" s="17" t="str">
        <x:v>Followup</x:v>
      </x:c>
      <x:c r="J542" s="27" t="n">
        <x:f>INDEX('Model Pricing'!$B$7:$B$8,MATCH(F542,'Model Pricing'!$A$7:$A$8,0))</x:f>
        <x:v>40</x:v>
      </x:c>
      <x:c r="K542" s="27" t="n">
        <x:f>INDEX('Model Pricing'!$C$7:$C$8,MATCH(F542,'Model Pricing'!$A$7:$A$8,0))</x:f>
        <x:v>100</x:v>
      </x:c>
      <x:c r="L542" s="17" t="n">
        <x:f>G542+H542</x:f>
        <x:v>15600</x:v>
      </x:c>
      <x:c r="M542" s="28" t="n">
        <x:f>G542*J542/1000000</x:f>
        <x:v>0.4572</x:v>
      </x:c>
      <x:c r="N542" s="28" t="n">
        <x:f>H542*K542/1000000</x:f>
        <x:v>0.417</x:v>
      </x:c>
      <x:c r="O542" s="28" t="n">
        <x:f>SUM(M542:N542)</x:f>
        <x:v>0.8742</x:v>
      </x:c>
    </x:row>
    <x:row r="543" ht="23" customHeight="1">
      <x:c r="A543" s="17" t="str">
        <x:v>U00537</x:v>
      </x:c>
      <x:c r="B543" s="18" t="n">
        <x:v>46269</x:v>
      </x:c>
      <x:c r="C543" s="17" t="str">
        <x:v>W0016</x:v>
      </x:c>
      <x:c r="D543" s="17" t="str">
        <x:v>C001</x:v>
      </x:c>
      <x:c r="E543" s="17" t="str">
        <x:v>InsightDesk</x:v>
      </x:c>
      <x:c r="F543" s="17" t="str">
        <x:v>Pro</x:v>
      </x:c>
      <x:c r="G543" s="17" t="n">
        <x:v>21692</x:v>
      </x:c>
      <x:c r="H543" s="17" t="n">
        <x:v>5536</x:v>
      </x:c>
      <x:c r="I543" s="17" t="str">
        <x:v>Followup</x:v>
      </x:c>
      <x:c r="J543" s="27" t="n">
        <x:f>INDEX('Model Pricing'!$B$7:$B$8,MATCH(F543,'Model Pricing'!$A$7:$A$8,0))</x:f>
        <x:v>40</x:v>
      </x:c>
      <x:c r="K543" s="27" t="n">
        <x:f>INDEX('Model Pricing'!$C$7:$C$8,MATCH(F543,'Model Pricing'!$A$7:$A$8,0))</x:f>
        <x:v>100</x:v>
      </x:c>
      <x:c r="L543" s="17" t="n">
        <x:f>G543+H543</x:f>
        <x:v>27228</x:v>
      </x:c>
      <x:c r="M543" s="28" t="n">
        <x:f>G543*J543/1000000</x:f>
        <x:v>0.86768</x:v>
      </x:c>
      <x:c r="N543" s="28" t="n">
        <x:f>H543*K543/1000000</x:f>
        <x:v>0.5536</x:v>
      </x:c>
      <x:c r="O543" s="28" t="n">
        <x:f>SUM(M543:N543)</x:f>
        <x:v>1.4212799999999999</x:v>
      </x:c>
    </x:row>
    <x:row r="544" ht="23" customHeight="1">
      <x:c r="A544" s="17" t="str">
        <x:v>U00538</x:v>
      </x:c>
      <x:c r="B544" s="18" t="n">
        <x:v>46269</x:v>
      </x:c>
      <x:c r="C544" s="17" t="str">
        <x:v>W0019</x:v>
      </x:c>
      <x:c r="D544" s="17" t="str">
        <x:v>C001</x:v>
      </x:c>
      <x:c r="E544" s="17" t="str">
        <x:v>CampaignChat</x:v>
      </x:c>
      <x:c r="F544" s="17" t="str">
        <x:v>Pro</x:v>
      </x:c>
      <x:c r="G544" s="17" t="n">
        <x:v>15656</x:v>
      </x:c>
      <x:c r="H544" s="17" t="n">
        <x:v>7878</x:v>
      </x:c>
      <x:c r="I544" s="17" t="str">
        <x:v>First attempt</x:v>
      </x:c>
      <x:c r="J544" s="27" t="n">
        <x:f>INDEX('Model Pricing'!$B$7:$B$8,MATCH(F544,'Model Pricing'!$A$7:$A$8,0))</x:f>
        <x:v>40</x:v>
      </x:c>
      <x:c r="K544" s="27" t="n">
        <x:f>INDEX('Model Pricing'!$C$7:$C$8,MATCH(F544,'Model Pricing'!$A$7:$A$8,0))</x:f>
        <x:v>100</x:v>
      </x:c>
      <x:c r="L544" s="17" t="n">
        <x:f>G544+H544</x:f>
        <x:v>23534</x:v>
      </x:c>
      <x:c r="M544" s="28" t="n">
        <x:f>G544*J544/1000000</x:f>
        <x:v>0.62624</x:v>
      </x:c>
      <x:c r="N544" s="28" t="n">
        <x:f>H544*K544/1000000</x:f>
        <x:v>0.7878</x:v>
      </x:c>
      <x:c r="O544" s="28" t="n">
        <x:f>SUM(M544:N544)</x:f>
        <x:v>1.41404</x:v>
      </x:c>
    </x:row>
    <x:row r="545" ht="23" customHeight="1">
      <x:c r="A545" s="17" t="str">
        <x:v>U00539</x:v>
      </x:c>
      <x:c r="B545" s="18" t="n">
        <x:v>46269</x:v>
      </x:c>
      <x:c r="C545" s="17" t="str">
        <x:v>W0019</x:v>
      </x:c>
      <x:c r="D545" s="17" t="str">
        <x:v>C001</x:v>
      </x:c>
      <x:c r="E545" s="17" t="str">
        <x:v>CampaignChat</x:v>
      </x:c>
      <x:c r="F545" s="17" t="str">
        <x:v>Pro</x:v>
      </x:c>
      <x:c r="G545" s="17" t="n">
        <x:v>24281</x:v>
      </x:c>
      <x:c r="H545" s="17" t="n">
        <x:v>5747</x:v>
      </x:c>
      <x:c r="I545" s="17" t="str">
        <x:v>Followup</x:v>
      </x:c>
      <x:c r="J545" s="27" t="n">
        <x:f>INDEX('Model Pricing'!$B$7:$B$8,MATCH(F545,'Model Pricing'!$A$7:$A$8,0))</x:f>
        <x:v>40</x:v>
      </x:c>
      <x:c r="K545" s="27" t="n">
        <x:f>INDEX('Model Pricing'!$C$7:$C$8,MATCH(F545,'Model Pricing'!$A$7:$A$8,0))</x:f>
        <x:v>100</x:v>
      </x:c>
      <x:c r="L545" s="17" t="n">
        <x:f>G545+H545</x:f>
        <x:v>30028</x:v>
      </x:c>
      <x:c r="M545" s="28" t="n">
        <x:f>G545*J545/1000000</x:f>
        <x:v>0.97124</x:v>
      </x:c>
      <x:c r="N545" s="28" t="n">
        <x:f>H545*K545/1000000</x:f>
        <x:v>0.5747</x:v>
      </x:c>
      <x:c r="O545" s="28" t="n">
        <x:f>SUM(M545:N545)</x:f>
        <x:v>1.5459399999999999</x:v>
      </x:c>
    </x:row>
    <x:row r="546" ht="23" customHeight="1">
      <x:c r="A546" s="17" t="str">
        <x:v>U00540</x:v>
      </x:c>
      <x:c r="B546" s="18" t="n">
        <x:v>46273</x:v>
      </x:c>
      <x:c r="C546" s="17" t="str">
        <x:v>W0019</x:v>
      </x:c>
      <x:c r="D546" s="17" t="str">
        <x:v>C001</x:v>
      </x:c>
      <x:c r="E546" s="17" t="str">
        <x:v>CampaignChat</x:v>
      </x:c>
      <x:c r="F546" s="17" t="str">
        <x:v>Pro</x:v>
      </x:c>
      <x:c r="G546" s="17" t="n">
        <x:v>15945</x:v>
      </x:c>
      <x:c r="H546" s="17" t="n">
        <x:v>7669</x:v>
      </x:c>
      <x:c r="I546" s="17" t="str">
        <x:v>Followup</x:v>
      </x:c>
      <x:c r="J546" s="27" t="n">
        <x:f>INDEX('Model Pricing'!$B$7:$B$8,MATCH(F546,'Model Pricing'!$A$7:$A$8,0))</x:f>
        <x:v>40</x:v>
      </x:c>
      <x:c r="K546" s="27" t="n">
        <x:f>INDEX('Model Pricing'!$C$7:$C$8,MATCH(F546,'Model Pricing'!$A$7:$A$8,0))</x:f>
        <x:v>100</x:v>
      </x:c>
      <x:c r="L546" s="17" t="n">
        <x:f>G546+H546</x:f>
        <x:v>23614</x:v>
      </x:c>
      <x:c r="M546" s="28" t="n">
        <x:f>G546*J546/1000000</x:f>
        <x:v>0.6378</x:v>
      </x:c>
      <x:c r="N546" s="28" t="n">
        <x:f>H546*K546/1000000</x:f>
        <x:v>0.7669</x:v>
      </x:c>
      <x:c r="O546" s="28" t="n">
        <x:f>SUM(M546:N546)</x:f>
        <x:v>1.4047</x:v>
      </x:c>
    </x:row>
    <x:row r="547" ht="23" customHeight="1">
      <x:c r="A547" s="17" t="str">
        <x:v>U00541</x:v>
      </x:c>
      <x:c r="B547" s="18" t="n">
        <x:v>46273</x:v>
      </x:c>
      <x:c r="C547" s="17" t="str">
        <x:v>W0019</x:v>
      </x:c>
      <x:c r="D547" s="17" t="str">
        <x:v>C001</x:v>
      </x:c>
      <x:c r="E547" s="17" t="str">
        <x:v>CampaignChat</x:v>
      </x:c>
      <x:c r="F547" s="17" t="str">
        <x:v>Pro</x:v>
      </x:c>
      <x:c r="G547" s="17" t="n">
        <x:v>17687</x:v>
      </x:c>
      <x:c r="H547" s="17" t="n">
        <x:v>4388</x:v>
      </x:c>
      <x:c r="I547" s="17" t="str">
        <x:v>Followup</x:v>
      </x:c>
      <x:c r="J547" s="27" t="n">
        <x:f>INDEX('Model Pricing'!$B$7:$B$8,MATCH(F547,'Model Pricing'!$A$7:$A$8,0))</x:f>
        <x:v>40</x:v>
      </x:c>
      <x:c r="K547" s="27" t="n">
        <x:f>INDEX('Model Pricing'!$C$7:$C$8,MATCH(F547,'Model Pricing'!$A$7:$A$8,0))</x:f>
        <x:v>100</x:v>
      </x:c>
      <x:c r="L547" s="17" t="n">
        <x:f>G547+H547</x:f>
        <x:v>22075</x:v>
      </x:c>
      <x:c r="M547" s="28" t="n">
        <x:f>G547*J547/1000000</x:f>
        <x:v>0.70748</x:v>
      </x:c>
      <x:c r="N547" s="28" t="n">
        <x:f>H547*K547/1000000</x:f>
        <x:v>0.4388</x:v>
      </x:c>
      <x:c r="O547" s="28" t="n">
        <x:f>SUM(M547:N547)</x:f>
        <x:v>1.14628</x:v>
      </x:c>
    </x:row>
    <x:row r="548" ht="23" customHeight="1">
      <x:c r="A548" s="17" t="str">
        <x:v>U00542</x:v>
      </x:c>
      <x:c r="B548" s="18" t="n">
        <x:v>46274</x:v>
      </x:c>
      <x:c r="C548" s="17" t="str">
        <x:v>W0019</x:v>
      </x:c>
      <x:c r="D548" s="17" t="str">
        <x:v>C001</x:v>
      </x:c>
      <x:c r="E548" s="17" t="str">
        <x:v>CampaignChat</x:v>
      </x:c>
      <x:c r="F548" s="17" t="str">
        <x:v>Pro</x:v>
      </x:c>
      <x:c r="G548" s="17" t="n">
        <x:v>15645</x:v>
      </x:c>
      <x:c r="H548" s="17" t="n">
        <x:v>2341</x:v>
      </x:c>
      <x:c r="I548" s="17" t="str">
        <x:v>Followup</x:v>
      </x:c>
      <x:c r="J548" s="27" t="n">
        <x:f>INDEX('Model Pricing'!$B$7:$B$8,MATCH(F548,'Model Pricing'!$A$7:$A$8,0))</x:f>
        <x:v>40</x:v>
      </x:c>
      <x:c r="K548" s="27" t="n">
        <x:f>INDEX('Model Pricing'!$C$7:$C$8,MATCH(F548,'Model Pricing'!$A$7:$A$8,0))</x:f>
        <x:v>100</x:v>
      </x:c>
      <x:c r="L548" s="17" t="n">
        <x:f>G548+H548</x:f>
        <x:v>17986</x:v>
      </x:c>
      <x:c r="M548" s="28" t="n">
        <x:f>G548*J548/1000000</x:f>
        <x:v>0.6258</x:v>
      </x:c>
      <x:c r="N548" s="28" t="n">
        <x:f>H548*K548/1000000</x:f>
        <x:v>0.2341</x:v>
      </x:c>
      <x:c r="O548" s="28" t="n">
        <x:f>SUM(M548:N548)</x:f>
        <x:v>0.8599</x:v>
      </x:c>
    </x:row>
    <x:row r="549" ht="23" customHeight="1">
      <x:c r="A549" s="17" t="str">
        <x:v>U00543</x:v>
      </x:c>
      <x:c r="B549" s="18" t="n">
        <x:v>46274</x:v>
      </x:c>
      <x:c r="C549" s="17" t="str">
        <x:v>W0019</x:v>
      </x:c>
      <x:c r="D549" s="17" t="str">
        <x:v>C001</x:v>
      </x:c>
      <x:c r="E549" s="17" t="str">
        <x:v>CampaignChat</x:v>
      </x:c>
      <x:c r="F549" s="17" t="str">
        <x:v>Pro</x:v>
      </x:c>
      <x:c r="G549" s="17" t="n">
        <x:v>13566</x:v>
      </x:c>
      <x:c r="H549" s="17" t="n">
        <x:v>6839</x:v>
      </x:c>
      <x:c r="I549" s="17" t="str">
        <x:v>Followup</x:v>
      </x:c>
      <x:c r="J549" s="27" t="n">
        <x:f>INDEX('Model Pricing'!$B$7:$B$8,MATCH(F549,'Model Pricing'!$A$7:$A$8,0))</x:f>
        <x:v>40</x:v>
      </x:c>
      <x:c r="K549" s="27" t="n">
        <x:f>INDEX('Model Pricing'!$C$7:$C$8,MATCH(F549,'Model Pricing'!$A$7:$A$8,0))</x:f>
        <x:v>100</x:v>
      </x:c>
      <x:c r="L549" s="17" t="n">
        <x:f>G549+H549</x:f>
        <x:v>20405</x:v>
      </x:c>
      <x:c r="M549" s="28" t="n">
        <x:f>G549*J549/1000000</x:f>
        <x:v>0.54264</x:v>
      </x:c>
      <x:c r="N549" s="28" t="n">
        <x:f>H549*K549/1000000</x:f>
        <x:v>0.6839</x:v>
      </x:c>
      <x:c r="O549" s="28" t="n">
        <x:f>SUM(M549:N549)</x:f>
        <x:v>1.22654</x:v>
      </x:c>
    </x:row>
    <x:row r="550" ht="23" customHeight="1">
      <x:c r="A550" s="17" t="str">
        <x:v>U00544</x:v>
      </x:c>
      <x:c r="B550" s="18" t="n">
        <x:v>46275</x:v>
      </x:c>
      <x:c r="C550" s="17" t="str">
        <x:v>W0019</x:v>
      </x:c>
      <x:c r="D550" s="17" t="str">
        <x:v>C001</x:v>
      </x:c>
      <x:c r="E550" s="17" t="str">
        <x:v>CampaignChat</x:v>
      </x:c>
      <x:c r="F550" s="17" t="str">
        <x:v>Pro</x:v>
      </x:c>
      <x:c r="G550" s="17" t="n">
        <x:v>25295</x:v>
      </x:c>
      <x:c r="H550" s="17" t="n">
        <x:v>5110</x:v>
      </x:c>
      <x:c r="I550" s="17" t="str">
        <x:v>Correction</x:v>
      </x:c>
      <x:c r="J550" s="27" t="n">
        <x:f>INDEX('Model Pricing'!$B$7:$B$8,MATCH(F550,'Model Pricing'!$A$7:$A$8,0))</x:f>
        <x:v>40</x:v>
      </x:c>
      <x:c r="K550" s="27" t="n">
        <x:f>INDEX('Model Pricing'!$C$7:$C$8,MATCH(F550,'Model Pricing'!$A$7:$A$8,0))</x:f>
        <x:v>100</x:v>
      </x:c>
      <x:c r="L550" s="17" t="n">
        <x:f>G550+H550</x:f>
        <x:v>30405</x:v>
      </x:c>
      <x:c r="M550" s="28" t="n">
        <x:f>G550*J550/1000000</x:f>
        <x:v>1.0118</x:v>
      </x:c>
      <x:c r="N550" s="28" t="n">
        <x:f>H550*K550/1000000</x:f>
        <x:v>0.511</x:v>
      </x:c>
      <x:c r="O550" s="28" t="n">
        <x:f>SUM(M550:N550)</x:f>
        <x:v>1.5228000000000002</x:v>
      </x:c>
    </x:row>
    <x:row r="551" ht="23" customHeight="1">
      <x:c r="A551" s="17" t="str">
        <x:v>U00545</x:v>
      </x:c>
      <x:c r="B551" s="18" t="n">
        <x:v>46275</x:v>
      </x:c>
      <x:c r="C551" s="17" t="str">
        <x:v>W0019</x:v>
      </x:c>
      <x:c r="D551" s="17" t="str">
        <x:v>C001</x:v>
      </x:c>
      <x:c r="E551" s="17" t="str">
        <x:v>CampaignChat</x:v>
      </x:c>
      <x:c r="F551" s="17" t="str">
        <x:v>Pro</x:v>
      </x:c>
      <x:c r="G551" s="17" t="n">
        <x:v>18822</x:v>
      </x:c>
      <x:c r="H551" s="17" t="n">
        <x:v>4765</x:v>
      </x:c>
      <x:c r="I551" s="17" t="str">
        <x:v>Followup</x:v>
      </x:c>
      <x:c r="J551" s="27" t="n">
        <x:f>INDEX('Model Pricing'!$B$7:$B$8,MATCH(F551,'Model Pricing'!$A$7:$A$8,0))</x:f>
        <x:v>40</x:v>
      </x:c>
      <x:c r="K551" s="27" t="n">
        <x:f>INDEX('Model Pricing'!$C$7:$C$8,MATCH(F551,'Model Pricing'!$A$7:$A$8,0))</x:f>
        <x:v>100</x:v>
      </x:c>
      <x:c r="L551" s="17" t="n">
        <x:f>G551+H551</x:f>
        <x:v>23587</x:v>
      </x:c>
      <x:c r="M551" s="28" t="n">
        <x:f>G551*J551/1000000</x:f>
        <x:v>0.75288</x:v>
      </x:c>
      <x:c r="N551" s="28" t="n">
        <x:f>H551*K551/1000000</x:f>
        <x:v>0.4765</x:v>
      </x:c>
      <x:c r="O551" s="28" t="n">
        <x:f>SUM(M551:N551)</x:f>
        <x:v>1.22938</x:v>
      </x:c>
    </x:row>
    <x:row r="552" ht="23" customHeight="1">
      <x:c r="A552" s="17" t="str">
        <x:v>U00546</x:v>
      </x:c>
      <x:c r="B552" s="18" t="n">
        <x:v>46286</x:v>
      </x:c>
      <x:c r="C552" s="17" t="str">
        <x:v>W0023</x:v>
      </x:c>
      <x:c r="D552" s="17" t="str">
        <x:v>C001</x:v>
      </x:c>
      <x:c r="E552" s="17" t="str">
        <x:v>InsightDesk</x:v>
      </x:c>
      <x:c r="F552" s="17" t="str">
        <x:v>Pro</x:v>
      </x:c>
      <x:c r="G552" s="17" t="n">
        <x:v>27266</x:v>
      </x:c>
      <x:c r="H552" s="17" t="n">
        <x:v>4809</x:v>
      </x:c>
      <x:c r="I552" s="17" t="str">
        <x:v>First attempt</x:v>
      </x:c>
      <x:c r="J552" s="27" t="n">
        <x:f>INDEX('Model Pricing'!$B$7:$B$8,MATCH(F552,'Model Pricing'!$A$7:$A$8,0))</x:f>
        <x:v>40</x:v>
      </x:c>
      <x:c r="K552" s="27" t="n">
        <x:f>INDEX('Model Pricing'!$C$7:$C$8,MATCH(F552,'Model Pricing'!$A$7:$A$8,0))</x:f>
        <x:v>100</x:v>
      </x:c>
      <x:c r="L552" s="17" t="n">
        <x:f>G552+H552</x:f>
        <x:v>32075</x:v>
      </x:c>
      <x:c r="M552" s="28" t="n">
        <x:f>G552*J552/1000000</x:f>
        <x:v>1.09064</x:v>
      </x:c>
      <x:c r="N552" s="28" t="n">
        <x:f>H552*K552/1000000</x:f>
        <x:v>0.4809</x:v>
      </x:c>
      <x:c r="O552" s="28" t="n">
        <x:f>SUM(M552:N552)</x:f>
        <x:v>1.5715400000000002</x:v>
      </x:c>
    </x:row>
    <x:row r="553" ht="23" customHeight="1">
      <x:c r="A553" s="17" t="str">
        <x:v>U00547</x:v>
      </x:c>
      <x:c r="B553" s="18" t="n">
        <x:v>46286</x:v>
      </x:c>
      <x:c r="C553" s="17" t="str">
        <x:v>W0023</x:v>
      </x:c>
      <x:c r="D553" s="17" t="str">
        <x:v>C001</x:v>
      </x:c>
      <x:c r="E553" s="17" t="str">
        <x:v>InsightDesk</x:v>
      </x:c>
      <x:c r="F553" s="17" t="str">
        <x:v>Pro</x:v>
      </x:c>
      <x:c r="G553" s="17" t="n">
        <x:v>23511</x:v>
      </x:c>
      <x:c r="H553" s="17" t="n">
        <x:v>10982</x:v>
      </x:c>
      <x:c r="I553" s="17" t="str">
        <x:v>Followup</x:v>
      </x:c>
      <x:c r="J553" s="27" t="n">
        <x:f>INDEX('Model Pricing'!$B$7:$B$8,MATCH(F553,'Model Pricing'!$A$7:$A$8,0))</x:f>
        <x:v>40</x:v>
      </x:c>
      <x:c r="K553" s="27" t="n">
        <x:f>INDEX('Model Pricing'!$C$7:$C$8,MATCH(F553,'Model Pricing'!$A$7:$A$8,0))</x:f>
        <x:v>100</x:v>
      </x:c>
      <x:c r="L553" s="17" t="n">
        <x:f>G553+H553</x:f>
        <x:v>34493</x:v>
      </x:c>
      <x:c r="M553" s="28" t="n">
        <x:f>G553*J553/1000000</x:f>
        <x:v>0.94044</x:v>
      </x:c>
      <x:c r="N553" s="28" t="n">
        <x:f>H553*K553/1000000</x:f>
        <x:v>1.0982</x:v>
      </x:c>
      <x:c r="O553" s="28" t="n">
        <x:f>SUM(M553:N553)</x:f>
        <x:v>2.03864</x:v>
      </x:c>
    </x:row>
    <x:row r="554" ht="23" customHeight="1">
      <x:c r="A554" s="17" t="str">
        <x:v>U00548</x:v>
      </x:c>
      <x:c r="B554" s="18" t="n">
        <x:v>46287</x:v>
      </x:c>
      <x:c r="C554" s="17" t="str">
        <x:v>W0023</x:v>
      </x:c>
      <x:c r="D554" s="17" t="str">
        <x:v>C001</x:v>
      </x:c>
      <x:c r="E554" s="17" t="str">
        <x:v>InsightDesk</x:v>
      </x:c>
      <x:c r="F554" s="17" t="str">
        <x:v>Pro</x:v>
      </x:c>
      <x:c r="G554" s="17" t="n">
        <x:v>28195</x:v>
      </x:c>
      <x:c r="H554" s="17" t="n">
        <x:v>8005</x:v>
      </x:c>
      <x:c r="I554" s="17" t="str">
        <x:v>Followup</x:v>
      </x:c>
      <x:c r="J554" s="27" t="n">
        <x:f>INDEX('Model Pricing'!$B$7:$B$8,MATCH(F554,'Model Pricing'!$A$7:$A$8,0))</x:f>
        <x:v>40</x:v>
      </x:c>
      <x:c r="K554" s="27" t="n">
        <x:f>INDEX('Model Pricing'!$C$7:$C$8,MATCH(F554,'Model Pricing'!$A$7:$A$8,0))</x:f>
        <x:v>100</x:v>
      </x:c>
      <x:c r="L554" s="17" t="n">
        <x:f>G554+H554</x:f>
        <x:v>36200</x:v>
      </x:c>
      <x:c r="M554" s="28" t="n">
        <x:f>G554*J554/1000000</x:f>
        <x:v>1.1278</x:v>
      </x:c>
      <x:c r="N554" s="28" t="n">
        <x:f>H554*K554/1000000</x:f>
        <x:v>0.8005</x:v>
      </x:c>
      <x:c r="O554" s="28" t="n">
        <x:f>SUM(M554:N554)</x:f>
        <x:v>1.9283</x:v>
      </x:c>
    </x:row>
    <x:row r="555" ht="23" customHeight="1">
      <x:c r="A555" s="17" t="str">
        <x:v>U00549</x:v>
      </x:c>
      <x:c r="B555" s="18" t="n">
        <x:v>46287</x:v>
      </x:c>
      <x:c r="C555" s="17" t="str">
        <x:v>W0023</x:v>
      </x:c>
      <x:c r="D555" s="17" t="str">
        <x:v>C001</x:v>
      </x:c>
      <x:c r="E555" s="17" t="str">
        <x:v>InsightDesk</x:v>
      </x:c>
      <x:c r="F555" s="17" t="str">
        <x:v>Pro</x:v>
      </x:c>
      <x:c r="G555" s="17" t="n">
        <x:v>22597</x:v>
      </x:c>
      <x:c r="H555" s="17" t="n">
        <x:v>8941</x:v>
      </x:c>
      <x:c r="I555" s="17" t="str">
        <x:v>Followup</x:v>
      </x:c>
      <x:c r="J555" s="27" t="n">
        <x:f>INDEX('Model Pricing'!$B$7:$B$8,MATCH(F555,'Model Pricing'!$A$7:$A$8,0))</x:f>
        <x:v>40</x:v>
      </x:c>
      <x:c r="K555" s="27" t="n">
        <x:f>INDEX('Model Pricing'!$C$7:$C$8,MATCH(F555,'Model Pricing'!$A$7:$A$8,0))</x:f>
        <x:v>100</x:v>
      </x:c>
      <x:c r="L555" s="17" t="n">
        <x:f>G555+H555</x:f>
        <x:v>31538</x:v>
      </x:c>
      <x:c r="M555" s="28" t="n">
        <x:f>G555*J555/1000000</x:f>
        <x:v>0.90388</x:v>
      </x:c>
      <x:c r="N555" s="28" t="n">
        <x:f>H555*K555/1000000</x:f>
        <x:v>0.8941</x:v>
      </x:c>
      <x:c r="O555" s="28" t="n">
        <x:f>SUM(M555:N555)</x:f>
        <x:v>1.79798</x:v>
      </x:c>
    </x:row>
    <x:row r="556" ht="23" customHeight="1">
      <x:c r="A556" s="17" t="str">
        <x:v>U00550</x:v>
      </x:c>
      <x:c r="B556" s="18" t="n">
        <x:v>46288</x:v>
      </x:c>
      <x:c r="C556" s="17" t="str">
        <x:v>W0023</x:v>
      </x:c>
      <x:c r="D556" s="17" t="str">
        <x:v>C001</x:v>
      </x:c>
      <x:c r="E556" s="17" t="str">
        <x:v>InsightDesk</x:v>
      </x:c>
      <x:c r="F556" s="17" t="str">
        <x:v>Pro</x:v>
      </x:c>
      <x:c r="G556" s="17" t="n">
        <x:v>19807</x:v>
      </x:c>
      <x:c r="H556" s="17" t="n">
        <x:v>9780</x:v>
      </x:c>
      <x:c r="I556" s="17" t="str">
        <x:v>Correction</x:v>
      </x:c>
      <x:c r="J556" s="27" t="n">
        <x:f>INDEX('Model Pricing'!$B$7:$B$8,MATCH(F556,'Model Pricing'!$A$7:$A$8,0))</x:f>
        <x:v>40</x:v>
      </x:c>
      <x:c r="K556" s="27" t="n">
        <x:f>INDEX('Model Pricing'!$C$7:$C$8,MATCH(F556,'Model Pricing'!$A$7:$A$8,0))</x:f>
        <x:v>100</x:v>
      </x:c>
      <x:c r="L556" s="17" t="n">
        <x:f>G556+H556</x:f>
        <x:v>29587</x:v>
      </x:c>
      <x:c r="M556" s="28" t="n">
        <x:f>G556*J556/1000000</x:f>
        <x:v>0.79228</x:v>
      </x:c>
      <x:c r="N556" s="28" t="n">
        <x:f>H556*K556/1000000</x:f>
        <x:v>0.978</x:v>
      </x:c>
      <x:c r="O556" s="28" t="n">
        <x:f>SUM(M556:N556)</x:f>
        <x:v>1.77028</x:v>
      </x:c>
    </x:row>
    <x:row r="557" ht="23" customHeight="1">
      <x:c r="A557" s="17" t="str">
        <x:v>U00551</x:v>
      </x:c>
      <x:c r="B557" s="18" t="n">
        <x:v>46288</x:v>
      </x:c>
      <x:c r="C557" s="17" t="str">
        <x:v>W0023</x:v>
      </x:c>
      <x:c r="D557" s="17" t="str">
        <x:v>C001</x:v>
      </x:c>
      <x:c r="E557" s="17" t="str">
        <x:v>InsightDesk</x:v>
      </x:c>
      <x:c r="F557" s="17" t="str">
        <x:v>Pro</x:v>
      </x:c>
      <x:c r="G557" s="17" t="n">
        <x:v>20117</x:v>
      </x:c>
      <x:c r="H557" s="17" t="n">
        <x:v>9110</x:v>
      </x:c>
      <x:c r="I557" s="17" t="str">
        <x:v>Followup</x:v>
      </x:c>
      <x:c r="J557" s="27" t="n">
        <x:f>INDEX('Model Pricing'!$B$7:$B$8,MATCH(F557,'Model Pricing'!$A$7:$A$8,0))</x:f>
        <x:v>40</x:v>
      </x:c>
      <x:c r="K557" s="27" t="n">
        <x:f>INDEX('Model Pricing'!$C$7:$C$8,MATCH(F557,'Model Pricing'!$A$7:$A$8,0))</x:f>
        <x:v>100</x:v>
      </x:c>
      <x:c r="L557" s="17" t="n">
        <x:f>G557+H557</x:f>
        <x:v>29227</x:v>
      </x:c>
      <x:c r="M557" s="28" t="n">
        <x:f>G557*J557/1000000</x:f>
        <x:v>0.80468</x:v>
      </x:c>
      <x:c r="N557" s="28" t="n">
        <x:f>H557*K557/1000000</x:f>
        <x:v>0.911</x:v>
      </x:c>
      <x:c r="O557" s="28" t="n">
        <x:f>SUM(M557:N557)</x:f>
        <x:v>1.7156799999999999</x:v>
      </x:c>
    </x:row>
    <x:row r="558" ht="23" customHeight="1">
      <x:c r="A558" s="17" t="str">
        <x:v>U00552</x:v>
      </x:c>
      <x:c r="B558" s="18" t="n">
        <x:v>46289</x:v>
      </x:c>
      <x:c r="C558" s="17" t="str">
        <x:v>W0023</x:v>
      </x:c>
      <x:c r="D558" s="17" t="str">
        <x:v>C001</x:v>
      </x:c>
      <x:c r="E558" s="17" t="str">
        <x:v>InsightDesk</x:v>
      </x:c>
      <x:c r="F558" s="17" t="str">
        <x:v>Pro</x:v>
      </x:c>
      <x:c r="G558" s="17" t="n">
        <x:v>18643</x:v>
      </x:c>
      <x:c r="H558" s="17" t="n">
        <x:v>5099</x:v>
      </x:c>
      <x:c r="I558" s="17" t="str">
        <x:v>Followup</x:v>
      </x:c>
      <x:c r="J558" s="27" t="n">
        <x:f>INDEX('Model Pricing'!$B$7:$B$8,MATCH(F558,'Model Pricing'!$A$7:$A$8,0))</x:f>
        <x:v>40</x:v>
      </x:c>
      <x:c r="K558" s="27" t="n">
        <x:f>INDEX('Model Pricing'!$C$7:$C$8,MATCH(F558,'Model Pricing'!$A$7:$A$8,0))</x:f>
        <x:v>100</x:v>
      </x:c>
      <x:c r="L558" s="17" t="n">
        <x:f>G558+H558</x:f>
        <x:v>23742</x:v>
      </x:c>
      <x:c r="M558" s="28" t="n">
        <x:f>G558*J558/1000000</x:f>
        <x:v>0.74572</x:v>
      </x:c>
      <x:c r="N558" s="28" t="n">
        <x:f>H558*K558/1000000</x:f>
        <x:v>0.5099</x:v>
      </x:c>
      <x:c r="O558" s="28" t="n">
        <x:f>SUM(M558:N558)</x:f>
        <x:v>1.25562</x:v>
      </x:c>
    </x:row>
    <x:row r="559" ht="23" customHeight="1">
      <x:c r="A559" s="17" t="str">
        <x:v>U00553</x:v>
      </x:c>
      <x:c r="B559" s="18" t="n">
        <x:v>46289</x:v>
      </x:c>
      <x:c r="C559" s="17" t="str">
        <x:v>W0023</x:v>
      </x:c>
      <x:c r="D559" s="17" t="str">
        <x:v>C001</x:v>
      </x:c>
      <x:c r="E559" s="17" t="str">
        <x:v>InsightDesk</x:v>
      </x:c>
      <x:c r="F559" s="17" t="str">
        <x:v>Pro</x:v>
      </x:c>
      <x:c r="G559" s="17" t="n">
        <x:v>14326</x:v>
      </x:c>
      <x:c r="H559" s="17" t="n">
        <x:v>3018</x:v>
      </x:c>
      <x:c r="I559" s="17" t="str">
        <x:v>Followup</x:v>
      </x:c>
      <x:c r="J559" s="27" t="n">
        <x:f>INDEX('Model Pricing'!$B$7:$B$8,MATCH(F559,'Model Pricing'!$A$7:$A$8,0))</x:f>
        <x:v>40</x:v>
      </x:c>
      <x:c r="K559" s="27" t="n">
        <x:f>INDEX('Model Pricing'!$C$7:$C$8,MATCH(F559,'Model Pricing'!$A$7:$A$8,0))</x:f>
        <x:v>100</x:v>
      </x:c>
      <x:c r="L559" s="17" t="n">
        <x:f>G559+H559</x:f>
        <x:v>17344</x:v>
      </x:c>
      <x:c r="M559" s="28" t="n">
        <x:f>G559*J559/1000000</x:f>
        <x:v>0.57304</x:v>
      </x:c>
      <x:c r="N559" s="28" t="n">
        <x:f>H559*K559/1000000</x:f>
        <x:v>0.3018</x:v>
      </x:c>
      <x:c r="O559" s="28" t="n">
        <x:f>SUM(M559:N559)</x:f>
        <x:v>0.8748400000000001</x:v>
      </x:c>
    </x:row>
    <x:row r="560" ht="23" customHeight="1">
      <x:c r="A560" s="17" t="str">
        <x:v>U00554</x:v>
      </x:c>
      <x:c r="B560" s="18" t="n">
        <x:v>46281</x:v>
      </x:c>
      <x:c r="C560" s="17" t="str">
        <x:v>W0038</x:v>
      </x:c>
      <x:c r="D560" s="17" t="str">
        <x:v>C001</x:v>
      </x:c>
      <x:c r="E560" s="17" t="str">
        <x:v>DataFlow</x:v>
      </x:c>
      <x:c r="F560" s="17" t="str">
        <x:v>Pro</x:v>
      </x:c>
      <x:c r="G560" s="17" t="n">
        <x:v>13307</x:v>
      </x:c>
      <x:c r="H560" s="17" t="n">
        <x:v>13018</x:v>
      </x:c>
      <x:c r="I560" s="17" t="str">
        <x:v>First attempt</x:v>
      </x:c>
      <x:c r="J560" s="27" t="n">
        <x:f>INDEX('Model Pricing'!$B$7:$B$8,MATCH(F560,'Model Pricing'!$A$7:$A$8,0))</x:f>
        <x:v>40</x:v>
      </x:c>
      <x:c r="K560" s="27" t="n">
        <x:f>INDEX('Model Pricing'!$C$7:$C$8,MATCH(F560,'Model Pricing'!$A$7:$A$8,0))</x:f>
        <x:v>100</x:v>
      </x:c>
      <x:c r="L560" s="17" t="n">
        <x:f>G560+H560</x:f>
        <x:v>26325</x:v>
      </x:c>
      <x:c r="M560" s="28" t="n">
        <x:f>G560*J560/1000000</x:f>
        <x:v>0.53228</x:v>
      </x:c>
      <x:c r="N560" s="28" t="n">
        <x:f>H560*K560/1000000</x:f>
        <x:v>1.3018</x:v>
      </x:c>
      <x:c r="O560" s="28" t="n">
        <x:f>SUM(M560:N560)</x:f>
        <x:v>1.8340800000000002</x:v>
      </x:c>
    </x:row>
    <x:row r="561" ht="23" customHeight="1">
      <x:c r="A561" s="17" t="str">
        <x:v>U00555</x:v>
      </x:c>
      <x:c r="B561" s="18" t="n">
        <x:v>46281</x:v>
      </x:c>
      <x:c r="C561" s="17" t="str">
        <x:v>W0038</x:v>
      </x:c>
      <x:c r="D561" s="17" t="str">
        <x:v>C001</x:v>
      </x:c>
      <x:c r="E561" s="17" t="str">
        <x:v>DataFlow</x:v>
      </x:c>
      <x:c r="F561" s="17" t="str">
        <x:v>Pro</x:v>
      </x:c>
      <x:c r="G561" s="17" t="n">
        <x:v>8126</x:v>
      </x:c>
      <x:c r="H561" s="17" t="n">
        <x:v>8100</x:v>
      </x:c>
      <x:c r="I561" s="17" t="str">
        <x:v>Followup</x:v>
      </x:c>
      <x:c r="J561" s="27" t="n">
        <x:f>INDEX('Model Pricing'!$B$7:$B$8,MATCH(F561,'Model Pricing'!$A$7:$A$8,0))</x:f>
        <x:v>40</x:v>
      </x:c>
      <x:c r="K561" s="27" t="n">
        <x:f>INDEX('Model Pricing'!$C$7:$C$8,MATCH(F561,'Model Pricing'!$A$7:$A$8,0))</x:f>
        <x:v>100</x:v>
      </x:c>
      <x:c r="L561" s="17" t="n">
        <x:f>G561+H561</x:f>
        <x:v>16226</x:v>
      </x:c>
      <x:c r="M561" s="28" t="n">
        <x:f>G561*J561/1000000</x:f>
        <x:v>0.32504</x:v>
      </x:c>
      <x:c r="N561" s="28" t="n">
        <x:f>H561*K561/1000000</x:f>
        <x:v>0.81</x:v>
      </x:c>
      <x:c r="O561" s="28" t="n">
        <x:f>SUM(M561:N561)</x:f>
        <x:v>1.13504</x:v>
      </x:c>
    </x:row>
    <x:row r="562" ht="23" customHeight="1">
      <x:c r="A562" s="17" t="str">
        <x:v>U00556</x:v>
      </x:c>
      <x:c r="B562" s="18" t="n">
        <x:v>46281</x:v>
      </x:c>
      <x:c r="C562" s="17" t="str">
        <x:v>W0038</x:v>
      </x:c>
      <x:c r="D562" s="17" t="str">
        <x:v>C001</x:v>
      </x:c>
      <x:c r="E562" s="17" t="str">
        <x:v>DataFlow</x:v>
      </x:c>
      <x:c r="F562" s="17" t="str">
        <x:v>Pro</x:v>
      </x:c>
      <x:c r="G562" s="17" t="n">
        <x:v>5134</x:v>
      </x:c>
      <x:c r="H562" s="17" t="n">
        <x:v>5762</x:v>
      </x:c>
      <x:c r="I562" s="17" t="str">
        <x:v>Followup</x:v>
      </x:c>
      <x:c r="J562" s="27" t="n">
        <x:f>INDEX('Model Pricing'!$B$7:$B$8,MATCH(F562,'Model Pricing'!$A$7:$A$8,0))</x:f>
        <x:v>40</x:v>
      </x:c>
      <x:c r="K562" s="27" t="n">
        <x:f>INDEX('Model Pricing'!$C$7:$C$8,MATCH(F562,'Model Pricing'!$A$7:$A$8,0))</x:f>
        <x:v>100</x:v>
      </x:c>
      <x:c r="L562" s="17" t="n">
        <x:f>G562+H562</x:f>
        <x:v>10896</x:v>
      </x:c>
      <x:c r="M562" s="28" t="n">
        <x:f>G562*J562/1000000</x:f>
        <x:v>0.20536</x:v>
      </x:c>
      <x:c r="N562" s="28" t="n">
        <x:f>H562*K562/1000000</x:f>
        <x:v>0.5762</x:v>
      </x:c>
      <x:c r="O562" s="28" t="n">
        <x:f>SUM(M562:N562)</x:f>
        <x:v>0.78156</x:v>
      </x:c>
    </x:row>
    <x:row r="563" ht="23" customHeight="1">
      <x:c r="A563" s="17" t="str">
        <x:v>U00557</x:v>
      </x:c>
      <x:c r="B563" s="18" t="n">
        <x:v>46282</x:v>
      </x:c>
      <x:c r="C563" s="17" t="str">
        <x:v>W0038</x:v>
      </x:c>
      <x:c r="D563" s="17" t="str">
        <x:v>C001</x:v>
      </x:c>
      <x:c r="E563" s="17" t="str">
        <x:v>DataFlow</x:v>
      </x:c>
      <x:c r="F563" s="17" t="str">
        <x:v>Pro</x:v>
      </x:c>
      <x:c r="G563" s="17" t="n">
        <x:v>9888</x:v>
      </x:c>
      <x:c r="H563" s="17" t="n">
        <x:v>13771</x:v>
      </x:c>
      <x:c r="I563" s="17" t="str">
        <x:v>Followup</x:v>
      </x:c>
      <x:c r="J563" s="27" t="n">
        <x:f>INDEX('Model Pricing'!$B$7:$B$8,MATCH(F563,'Model Pricing'!$A$7:$A$8,0))</x:f>
        <x:v>40</x:v>
      </x:c>
      <x:c r="K563" s="27" t="n">
        <x:f>INDEX('Model Pricing'!$C$7:$C$8,MATCH(F563,'Model Pricing'!$A$7:$A$8,0))</x:f>
        <x:v>100</x:v>
      </x:c>
      <x:c r="L563" s="17" t="n">
        <x:f>G563+H563</x:f>
        <x:v>23659</x:v>
      </x:c>
      <x:c r="M563" s="28" t="n">
        <x:f>G563*J563/1000000</x:f>
        <x:v>0.39552</x:v>
      </x:c>
      <x:c r="N563" s="28" t="n">
        <x:f>H563*K563/1000000</x:f>
        <x:v>1.3771</x:v>
      </x:c>
      <x:c r="O563" s="28" t="n">
        <x:f>SUM(M563:N563)</x:f>
        <x:v>1.7726199999999999</x:v>
      </x:c>
    </x:row>
    <x:row r="564" ht="23" customHeight="1">
      <x:c r="A564" s="17" t="str">
        <x:v>U00558</x:v>
      </x:c>
      <x:c r="B564" s="18" t="n">
        <x:v>46282</x:v>
      </x:c>
      <x:c r="C564" s="17" t="str">
        <x:v>W0038</x:v>
      </x:c>
      <x:c r="D564" s="17" t="str">
        <x:v>C001</x:v>
      </x:c>
      <x:c r="E564" s="17" t="str">
        <x:v>DataFlow</x:v>
      </x:c>
      <x:c r="F564" s="17" t="str">
        <x:v>Pro</x:v>
      </x:c>
      <x:c r="G564" s="17" t="n">
        <x:v>7152</x:v>
      </x:c>
      <x:c r="H564" s="17" t="n">
        <x:v>6140</x:v>
      </x:c>
      <x:c r="I564" s="17" t="str">
        <x:v>Followup</x:v>
      </x:c>
      <x:c r="J564" s="27" t="n">
        <x:f>INDEX('Model Pricing'!$B$7:$B$8,MATCH(F564,'Model Pricing'!$A$7:$A$8,0))</x:f>
        <x:v>40</x:v>
      </x:c>
      <x:c r="K564" s="27" t="n">
        <x:f>INDEX('Model Pricing'!$C$7:$C$8,MATCH(F564,'Model Pricing'!$A$7:$A$8,0))</x:f>
        <x:v>100</x:v>
      </x:c>
      <x:c r="L564" s="17" t="n">
        <x:f>G564+H564</x:f>
        <x:v>13292</x:v>
      </x:c>
      <x:c r="M564" s="28" t="n">
        <x:f>G564*J564/1000000</x:f>
        <x:v>0.28608</x:v>
      </x:c>
      <x:c r="N564" s="28" t="n">
        <x:f>H564*K564/1000000</x:f>
        <x:v>0.614</x:v>
      </x:c>
      <x:c r="O564" s="28" t="n">
        <x:f>SUM(M564:N564)</x:f>
        <x:v>0.90008</x:v>
      </x:c>
    </x:row>
    <x:row r="565" ht="23" customHeight="1">
      <x:c r="A565" s="17" t="str">
        <x:v>U00559</x:v>
      </x:c>
      <x:c r="B565" s="18" t="n">
        <x:v>46283</x:v>
      </x:c>
      <x:c r="C565" s="17" t="str">
        <x:v>W0038</x:v>
      </x:c>
      <x:c r="D565" s="17" t="str">
        <x:v>C001</x:v>
      </x:c>
      <x:c r="E565" s="17" t="str">
        <x:v>DataFlow</x:v>
      </x:c>
      <x:c r="F565" s="17" t="str">
        <x:v>Pro</x:v>
      </x:c>
      <x:c r="G565" s="17" t="n">
        <x:v>6364</x:v>
      </x:c>
      <x:c r="H565" s="17" t="n">
        <x:v>10981</x:v>
      </x:c>
      <x:c r="I565" s="17" t="str">
        <x:v>Followup</x:v>
      </x:c>
      <x:c r="J565" s="27" t="n">
        <x:f>INDEX('Model Pricing'!$B$7:$B$8,MATCH(F565,'Model Pricing'!$A$7:$A$8,0))</x:f>
        <x:v>40</x:v>
      </x:c>
      <x:c r="K565" s="27" t="n">
        <x:f>INDEX('Model Pricing'!$C$7:$C$8,MATCH(F565,'Model Pricing'!$A$7:$A$8,0))</x:f>
        <x:v>100</x:v>
      </x:c>
      <x:c r="L565" s="17" t="n">
        <x:f>G565+H565</x:f>
        <x:v>17345</x:v>
      </x:c>
      <x:c r="M565" s="28" t="n">
        <x:f>G565*J565/1000000</x:f>
        <x:v>0.25456</x:v>
      </x:c>
      <x:c r="N565" s="28" t="n">
        <x:f>H565*K565/1000000</x:f>
        <x:v>1.0981</x:v>
      </x:c>
      <x:c r="O565" s="28" t="n">
        <x:f>SUM(M565:N565)</x:f>
        <x:v>1.3526600000000002</x:v>
      </x:c>
    </x:row>
    <x:row r="566" ht="23" customHeight="1">
      <x:c r="A566" s="17" t="str">
        <x:v>U00560</x:v>
      </x:c>
      <x:c r="B566" s="18" t="n">
        <x:v>46283</x:v>
      </x:c>
      <x:c r="C566" s="17" t="str">
        <x:v>W0038</x:v>
      </x:c>
      <x:c r="D566" s="17" t="str">
        <x:v>C001</x:v>
      </x:c>
      <x:c r="E566" s="17" t="str">
        <x:v>DataFlow</x:v>
      </x:c>
      <x:c r="F566" s="17" t="str">
        <x:v>Pro</x:v>
      </x:c>
      <x:c r="G566" s="17" t="n">
        <x:v>14705</x:v>
      </x:c>
      <x:c r="H566" s="17" t="n">
        <x:v>12211</x:v>
      </x:c>
      <x:c r="I566" s="17" t="str">
        <x:v>Followup</x:v>
      </x:c>
      <x:c r="J566" s="27" t="n">
        <x:f>INDEX('Model Pricing'!$B$7:$B$8,MATCH(F566,'Model Pricing'!$A$7:$A$8,0))</x:f>
        <x:v>40</x:v>
      </x:c>
      <x:c r="K566" s="27" t="n">
        <x:f>INDEX('Model Pricing'!$C$7:$C$8,MATCH(F566,'Model Pricing'!$A$7:$A$8,0))</x:f>
        <x:v>100</x:v>
      </x:c>
      <x:c r="L566" s="17" t="n">
        <x:f>G566+H566</x:f>
        <x:v>26916</x:v>
      </x:c>
      <x:c r="M566" s="28" t="n">
        <x:f>G566*J566/1000000</x:f>
        <x:v>0.5882</x:v>
      </x:c>
      <x:c r="N566" s="28" t="n">
        <x:f>H566*K566/1000000</x:f>
        <x:v>1.2211</x:v>
      </x:c>
      <x:c r="O566" s="28" t="n">
        <x:f>SUM(M566:N566)</x:f>
        <x:v>1.8093</x:v>
      </x:c>
    </x:row>
    <x:row r="567" ht="23" customHeight="1">
      <x:c r="A567" s="17" t="str">
        <x:v>U00561</x:v>
      </x:c>
      <x:c r="B567" s="18" t="n">
        <x:v>46283</x:v>
      </x:c>
      <x:c r="C567" s="17" t="str">
        <x:v>W0038</x:v>
      </x:c>
      <x:c r="D567" s="17" t="str">
        <x:v>C001</x:v>
      </x:c>
      <x:c r="E567" s="17" t="str">
        <x:v>DataFlow</x:v>
      </x:c>
      <x:c r="F567" s="17" t="str">
        <x:v>Pro</x:v>
      </x:c>
      <x:c r="G567" s="17" t="n">
        <x:v>11904</x:v>
      </x:c>
      <x:c r="H567" s="17" t="n">
        <x:v>13122</x:v>
      </x:c>
      <x:c r="I567" s="17" t="str">
        <x:v>Followup</x:v>
      </x:c>
      <x:c r="J567" s="27" t="n">
        <x:f>INDEX('Model Pricing'!$B$7:$B$8,MATCH(F567,'Model Pricing'!$A$7:$A$8,0))</x:f>
        <x:v>40</x:v>
      </x:c>
      <x:c r="K567" s="27" t="n">
        <x:f>INDEX('Model Pricing'!$C$7:$C$8,MATCH(F567,'Model Pricing'!$A$7:$A$8,0))</x:f>
        <x:v>100</x:v>
      </x:c>
      <x:c r="L567" s="17" t="n">
        <x:f>G567+H567</x:f>
        <x:v>25026</x:v>
      </x:c>
      <x:c r="M567" s="28" t="n">
        <x:f>G567*J567/1000000</x:f>
        <x:v>0.47616</x:v>
      </x:c>
      <x:c r="N567" s="28" t="n">
        <x:f>H567*K567/1000000</x:f>
        <x:v>1.3122</x:v>
      </x:c>
      <x:c r="O567" s="28" t="n">
        <x:f>SUM(M567:N567)</x:f>
        <x:v>1.78836</x:v>
      </x:c>
    </x:row>
    <x:row r="568" ht="23" customHeight="1">
      <x:c r="A568" s="17" t="str">
        <x:v>U00562</x:v>
      </x:c>
      <x:c r="B568" s="18" t="n">
        <x:v>46286</x:v>
      </x:c>
      <x:c r="C568" s="17" t="str">
        <x:v>W0038</x:v>
      </x:c>
      <x:c r="D568" s="17" t="str">
        <x:v>C001</x:v>
      </x:c>
      <x:c r="E568" s="17" t="str">
        <x:v>DataFlow</x:v>
      </x:c>
      <x:c r="F568" s="17" t="str">
        <x:v>Pro</x:v>
      </x:c>
      <x:c r="G568" s="17" t="n">
        <x:v>14209</x:v>
      </x:c>
      <x:c r="H568" s="17" t="n">
        <x:v>9964</x:v>
      </x:c>
      <x:c r="I568" s="17" t="str">
        <x:v>Followup</x:v>
      </x:c>
      <x:c r="J568" s="27" t="n">
        <x:f>INDEX('Model Pricing'!$B$7:$B$8,MATCH(F568,'Model Pricing'!$A$7:$A$8,0))</x:f>
        <x:v>40</x:v>
      </x:c>
      <x:c r="K568" s="27" t="n">
        <x:f>INDEX('Model Pricing'!$C$7:$C$8,MATCH(F568,'Model Pricing'!$A$7:$A$8,0))</x:f>
        <x:v>100</x:v>
      </x:c>
      <x:c r="L568" s="17" t="n">
        <x:f>G568+H568</x:f>
        <x:v>24173</x:v>
      </x:c>
      <x:c r="M568" s="28" t="n">
        <x:f>G568*J568/1000000</x:f>
        <x:v>0.56836</x:v>
      </x:c>
      <x:c r="N568" s="28" t="n">
        <x:f>H568*K568/1000000</x:f>
        <x:v>0.9964</x:v>
      </x:c>
      <x:c r="O568" s="28" t="n">
        <x:f>SUM(M568:N568)</x:f>
        <x:v>1.56476</x:v>
      </x:c>
    </x:row>
    <x:row r="569" ht="23" customHeight="1">
      <x:c r="A569" s="17" t="str">
        <x:v>U00563</x:v>
      </x:c>
      <x:c r="B569" s="18" t="n">
        <x:v>46286</x:v>
      </x:c>
      <x:c r="C569" s="17" t="str">
        <x:v>W0038</x:v>
      </x:c>
      <x:c r="D569" s="17" t="str">
        <x:v>C001</x:v>
      </x:c>
      <x:c r="E569" s="17" t="str">
        <x:v>DataFlow</x:v>
      </x:c>
      <x:c r="F569" s="17" t="str">
        <x:v>Pro</x:v>
      </x:c>
      <x:c r="G569" s="17" t="n">
        <x:v>13706</x:v>
      </x:c>
      <x:c r="H569" s="17" t="n">
        <x:v>13873</x:v>
      </x:c>
      <x:c r="I569" s="17" t="str">
        <x:v>Correction</x:v>
      </x:c>
      <x:c r="J569" s="27" t="n">
        <x:f>INDEX('Model Pricing'!$B$7:$B$8,MATCH(F569,'Model Pricing'!$A$7:$A$8,0))</x:f>
        <x:v>40</x:v>
      </x:c>
      <x:c r="K569" s="27" t="n">
        <x:f>INDEX('Model Pricing'!$C$7:$C$8,MATCH(F569,'Model Pricing'!$A$7:$A$8,0))</x:f>
        <x:v>100</x:v>
      </x:c>
      <x:c r="L569" s="17" t="n">
        <x:f>G569+H569</x:f>
        <x:v>27579</x:v>
      </x:c>
      <x:c r="M569" s="28" t="n">
        <x:f>G569*J569/1000000</x:f>
        <x:v>0.54824</x:v>
      </x:c>
      <x:c r="N569" s="28" t="n">
        <x:f>H569*K569/1000000</x:f>
        <x:v>1.3873</x:v>
      </x:c>
      <x:c r="O569" s="28" t="n">
        <x:f>SUM(M569:N569)</x:f>
        <x:v>1.93554</x:v>
      </x:c>
    </x:row>
    <x:row r="570" ht="23" customHeight="1">
      <x:c r="A570" s="17" t="str">
        <x:v>U00564</x:v>
      </x:c>
      <x:c r="B570" s="18" t="n">
        <x:v>46289</x:v>
      </x:c>
      <x:c r="C570" s="17" t="str">
        <x:v>W0044</x:v>
      </x:c>
      <x:c r="D570" s="17" t="str">
        <x:v>C001</x:v>
      </x:c>
      <x:c r="E570" s="17" t="str">
        <x:v>CampaignChat</x:v>
      </x:c>
      <x:c r="F570" s="17" t="str">
        <x:v>Pro</x:v>
      </x:c>
      <x:c r="G570" s="17" t="n">
        <x:v>16467</x:v>
      </x:c>
      <x:c r="H570" s="17" t="n">
        <x:v>11728</x:v>
      </x:c>
      <x:c r="I570" s="17" t="str">
        <x:v>First attempt</x:v>
      </x:c>
      <x:c r="J570" s="27" t="n">
        <x:f>INDEX('Model Pricing'!$B$7:$B$8,MATCH(F570,'Model Pricing'!$A$7:$A$8,0))</x:f>
        <x:v>40</x:v>
      </x:c>
      <x:c r="K570" s="27" t="n">
        <x:f>INDEX('Model Pricing'!$C$7:$C$8,MATCH(F570,'Model Pricing'!$A$7:$A$8,0))</x:f>
        <x:v>100</x:v>
      </x:c>
      <x:c r="L570" s="17" t="n">
        <x:f>G570+H570</x:f>
        <x:v>28195</x:v>
      </x:c>
      <x:c r="M570" s="28" t="n">
        <x:f>G570*J570/1000000</x:f>
        <x:v>0.65868</x:v>
      </x:c>
      <x:c r="N570" s="28" t="n">
        <x:f>H570*K570/1000000</x:f>
        <x:v>1.1728</x:v>
      </x:c>
      <x:c r="O570" s="28" t="n">
        <x:f>SUM(M570:N570)</x:f>
        <x:v>1.83148</x:v>
      </x:c>
    </x:row>
    <x:row r="571" ht="23" customHeight="1">
      <x:c r="A571" s="17" t="str">
        <x:v>U00565</x:v>
      </x:c>
      <x:c r="B571" s="18" t="n">
        <x:v>46289</x:v>
      </x:c>
      <x:c r="C571" s="17" t="str">
        <x:v>W0044</x:v>
      </x:c>
      <x:c r="D571" s="17" t="str">
        <x:v>C001</x:v>
      </x:c>
      <x:c r="E571" s="17" t="str">
        <x:v>CampaignChat</x:v>
      </x:c>
      <x:c r="F571" s="17" t="str">
        <x:v>Pro</x:v>
      </x:c>
      <x:c r="G571" s="17" t="n">
        <x:v>17581</x:v>
      </x:c>
      <x:c r="H571" s="17" t="n">
        <x:v>10382</x:v>
      </x:c>
      <x:c r="I571" s="17" t="str">
        <x:v>Followup</x:v>
      </x:c>
      <x:c r="J571" s="27" t="n">
        <x:f>INDEX('Model Pricing'!$B$7:$B$8,MATCH(F571,'Model Pricing'!$A$7:$A$8,0))</x:f>
        <x:v>40</x:v>
      </x:c>
      <x:c r="K571" s="27" t="n">
        <x:f>INDEX('Model Pricing'!$C$7:$C$8,MATCH(F571,'Model Pricing'!$A$7:$A$8,0))</x:f>
        <x:v>100</x:v>
      </x:c>
      <x:c r="L571" s="17" t="n">
        <x:f>G571+H571</x:f>
        <x:v>27963</x:v>
      </x:c>
      <x:c r="M571" s="28" t="n">
        <x:f>G571*J571/1000000</x:f>
        <x:v>0.70324</x:v>
      </x:c>
      <x:c r="N571" s="28" t="n">
        <x:f>H571*K571/1000000</x:f>
        <x:v>1.0382</x:v>
      </x:c>
      <x:c r="O571" s="28" t="n">
        <x:f>SUM(M571:N571)</x:f>
        <x:v>1.7414399999999999</x:v>
      </x:c>
    </x:row>
    <x:row r="572" ht="23" customHeight="1">
      <x:c r="A572" s="17" t="str">
        <x:v>U00566</x:v>
      </x:c>
      <x:c r="B572" s="18" t="n">
        <x:v>46289</x:v>
      </x:c>
      <x:c r="C572" s="17" t="str">
        <x:v>W0044</x:v>
      </x:c>
      <x:c r="D572" s="17" t="str">
        <x:v>C001</x:v>
      </x:c>
      <x:c r="E572" s="17" t="str">
        <x:v>CampaignChat</x:v>
      </x:c>
      <x:c r="F572" s="17" t="str">
        <x:v>Pro</x:v>
      </x:c>
      <x:c r="G572" s="17" t="n">
        <x:v>14111</x:v>
      </x:c>
      <x:c r="H572" s="17" t="n">
        <x:v>3578</x:v>
      </x:c>
      <x:c r="I572" s="17" t="str">
        <x:v>Followup</x:v>
      </x:c>
      <x:c r="J572" s="27" t="n">
        <x:f>INDEX('Model Pricing'!$B$7:$B$8,MATCH(F572,'Model Pricing'!$A$7:$A$8,0))</x:f>
        <x:v>40</x:v>
      </x:c>
      <x:c r="K572" s="27" t="n">
        <x:f>INDEX('Model Pricing'!$C$7:$C$8,MATCH(F572,'Model Pricing'!$A$7:$A$8,0))</x:f>
        <x:v>100</x:v>
      </x:c>
      <x:c r="L572" s="17" t="n">
        <x:f>G572+H572</x:f>
        <x:v>17689</x:v>
      </x:c>
      <x:c r="M572" s="28" t="n">
        <x:f>G572*J572/1000000</x:f>
        <x:v>0.56444</x:v>
      </x:c>
      <x:c r="N572" s="28" t="n">
        <x:f>H572*K572/1000000</x:f>
        <x:v>0.3578</x:v>
      </x:c>
      <x:c r="O572" s="28" t="n">
        <x:f>SUM(M572:N572)</x:f>
        <x:v>0.9222400000000001</x:v>
      </x:c>
    </x:row>
    <x:row r="573" ht="23" customHeight="1">
      <x:c r="A573" s="17" t="str">
        <x:v>U00567</x:v>
      </x:c>
      <x:c r="B573" s="18" t="n">
        <x:v>46290</x:v>
      </x:c>
      <x:c r="C573" s="17" t="str">
        <x:v>W0044</x:v>
      </x:c>
      <x:c r="D573" s="17" t="str">
        <x:v>C001</x:v>
      </x:c>
      <x:c r="E573" s="17" t="str">
        <x:v>CampaignChat</x:v>
      </x:c>
      <x:c r="F573" s="17" t="str">
        <x:v>Pro</x:v>
      </x:c>
      <x:c r="G573" s="17" t="n">
        <x:v>31020</x:v>
      </x:c>
      <x:c r="H573" s="17" t="n">
        <x:v>9219</x:v>
      </x:c>
      <x:c r="I573" s="17" t="str">
        <x:v>Followup</x:v>
      </x:c>
      <x:c r="J573" s="27" t="n">
        <x:f>INDEX('Model Pricing'!$B$7:$B$8,MATCH(F573,'Model Pricing'!$A$7:$A$8,0))</x:f>
        <x:v>40</x:v>
      </x:c>
      <x:c r="K573" s="27" t="n">
        <x:f>INDEX('Model Pricing'!$C$7:$C$8,MATCH(F573,'Model Pricing'!$A$7:$A$8,0))</x:f>
        <x:v>100</x:v>
      </x:c>
      <x:c r="L573" s="17" t="n">
        <x:f>G573+H573</x:f>
        <x:v>40239</x:v>
      </x:c>
      <x:c r="M573" s="28" t="n">
        <x:f>G573*J573/1000000</x:f>
        <x:v>1.2408</x:v>
      </x:c>
      <x:c r="N573" s="28" t="n">
        <x:f>H573*K573/1000000</x:f>
        <x:v>0.9219</x:v>
      </x:c>
      <x:c r="O573" s="28" t="n">
        <x:f>SUM(M573:N573)</x:f>
        <x:v>2.1627</x:v>
      </x:c>
    </x:row>
    <x:row r="574" ht="23" customHeight="1">
      <x:c r="A574" s="17" t="str">
        <x:v>U00568</x:v>
      </x:c>
      <x:c r="B574" s="18" t="n">
        <x:v>46290</x:v>
      </x:c>
      <x:c r="C574" s="17" t="str">
        <x:v>W0044</x:v>
      </x:c>
      <x:c r="D574" s="17" t="str">
        <x:v>C001</x:v>
      </x:c>
      <x:c r="E574" s="17" t="str">
        <x:v>CampaignChat</x:v>
      </x:c>
      <x:c r="F574" s="17" t="str">
        <x:v>Pro</x:v>
      </x:c>
      <x:c r="G574" s="17" t="n">
        <x:v>14547</x:v>
      </x:c>
      <x:c r="H574" s="17" t="n">
        <x:v>6158</x:v>
      </x:c>
      <x:c r="I574" s="17" t="str">
        <x:v>Followup</x:v>
      </x:c>
      <x:c r="J574" s="27" t="n">
        <x:f>INDEX('Model Pricing'!$B$7:$B$8,MATCH(F574,'Model Pricing'!$A$7:$A$8,0))</x:f>
        <x:v>40</x:v>
      </x:c>
      <x:c r="K574" s="27" t="n">
        <x:f>INDEX('Model Pricing'!$C$7:$C$8,MATCH(F574,'Model Pricing'!$A$7:$A$8,0))</x:f>
        <x:v>100</x:v>
      </x:c>
      <x:c r="L574" s="17" t="n">
        <x:f>G574+H574</x:f>
        <x:v>20705</x:v>
      </x:c>
      <x:c r="M574" s="28" t="n">
        <x:f>G574*J574/1000000</x:f>
        <x:v>0.58188</x:v>
      </x:c>
      <x:c r="N574" s="28" t="n">
        <x:f>H574*K574/1000000</x:f>
        <x:v>0.6158</x:v>
      </x:c>
      <x:c r="O574" s="28" t="n">
        <x:f>SUM(M574:N574)</x:f>
        <x:v>1.19768</x:v>
      </x:c>
    </x:row>
    <x:row r="575" ht="23" customHeight="1">
      <x:c r="A575" s="17" t="str">
        <x:v>U00569</x:v>
      </x:c>
      <x:c r="B575" s="18" t="n">
        <x:v>46290</x:v>
      </x:c>
      <x:c r="C575" s="17" t="str">
        <x:v>W0044</x:v>
      </x:c>
      <x:c r="D575" s="17" t="str">
        <x:v>C001</x:v>
      </x:c>
      <x:c r="E575" s="17" t="str">
        <x:v>CampaignChat</x:v>
      </x:c>
      <x:c r="F575" s="17" t="str">
        <x:v>Pro</x:v>
      </x:c>
      <x:c r="G575" s="17" t="n">
        <x:v>30068</x:v>
      </x:c>
      <x:c r="H575" s="17" t="n">
        <x:v>7263</x:v>
      </x:c>
      <x:c r="I575" s="17" t="str">
        <x:v>Followup</x:v>
      </x:c>
      <x:c r="J575" s="27" t="n">
        <x:f>INDEX('Model Pricing'!$B$7:$B$8,MATCH(F575,'Model Pricing'!$A$7:$A$8,0))</x:f>
        <x:v>40</x:v>
      </x:c>
      <x:c r="K575" s="27" t="n">
        <x:f>INDEX('Model Pricing'!$C$7:$C$8,MATCH(F575,'Model Pricing'!$A$7:$A$8,0))</x:f>
        <x:v>100</x:v>
      </x:c>
      <x:c r="L575" s="17" t="n">
        <x:f>G575+H575</x:f>
        <x:v>37331</x:v>
      </x:c>
      <x:c r="M575" s="28" t="n">
        <x:f>G575*J575/1000000</x:f>
        <x:v>1.20272</x:v>
      </x:c>
      <x:c r="N575" s="28" t="n">
        <x:f>H575*K575/1000000</x:f>
        <x:v>0.7263</x:v>
      </x:c>
      <x:c r="O575" s="28" t="n">
        <x:f>SUM(M575:N575)</x:f>
        <x:v>1.92902</x:v>
      </x:c>
    </x:row>
    <x:row r="576" ht="23" customHeight="1">
      <x:c r="A576" s="17" t="str">
        <x:v>U00570</x:v>
      </x:c>
      <x:c r="B576" s="18" t="n">
        <x:v>46293</x:v>
      </x:c>
      <x:c r="C576" s="17" t="str">
        <x:v>W0044</x:v>
      </x:c>
      <x:c r="D576" s="17" t="str">
        <x:v>C001</x:v>
      </x:c>
      <x:c r="E576" s="17" t="str">
        <x:v>CampaignChat</x:v>
      </x:c>
      <x:c r="F576" s="17" t="str">
        <x:v>Pro</x:v>
      </x:c>
      <x:c r="G576" s="17" t="n">
        <x:v>21118</x:v>
      </x:c>
      <x:c r="H576" s="17" t="n">
        <x:v>7527</x:v>
      </x:c>
      <x:c r="I576" s="17" t="str">
        <x:v>Followup</x:v>
      </x:c>
      <x:c r="J576" s="27" t="n">
        <x:f>INDEX('Model Pricing'!$B$7:$B$8,MATCH(F576,'Model Pricing'!$A$7:$A$8,0))</x:f>
        <x:v>40</x:v>
      </x:c>
      <x:c r="K576" s="27" t="n">
        <x:f>INDEX('Model Pricing'!$C$7:$C$8,MATCH(F576,'Model Pricing'!$A$7:$A$8,0))</x:f>
        <x:v>100</x:v>
      </x:c>
      <x:c r="L576" s="17" t="n">
        <x:f>G576+H576</x:f>
        <x:v>28645</x:v>
      </x:c>
      <x:c r="M576" s="28" t="n">
        <x:f>G576*J576/1000000</x:f>
        <x:v>0.84472</x:v>
      </x:c>
      <x:c r="N576" s="28" t="n">
        <x:f>H576*K576/1000000</x:f>
        <x:v>0.7527</x:v>
      </x:c>
      <x:c r="O576" s="28" t="n">
        <x:f>SUM(M576:N576)</x:f>
        <x:v>1.59742</x:v>
      </x:c>
    </x:row>
    <x:row r="577" ht="23" customHeight="1">
      <x:c r="A577" s="17" t="str">
        <x:v>U00571</x:v>
      </x:c>
      <x:c r="B577" s="18" t="n">
        <x:v>46293</x:v>
      </x:c>
      <x:c r="C577" s="17" t="str">
        <x:v>W0044</x:v>
      </x:c>
      <x:c r="D577" s="17" t="str">
        <x:v>C001</x:v>
      </x:c>
      <x:c r="E577" s="17" t="str">
        <x:v>CampaignChat</x:v>
      </x:c>
      <x:c r="F577" s="17" t="str">
        <x:v>Pro</x:v>
      </x:c>
      <x:c r="G577" s="17" t="n">
        <x:v>32054</x:v>
      </x:c>
      <x:c r="H577" s="17" t="n">
        <x:v>7941</x:v>
      </x:c>
      <x:c r="I577" s="17" t="str">
        <x:v>Followup</x:v>
      </x:c>
      <x:c r="J577" s="27" t="n">
        <x:f>INDEX('Model Pricing'!$B$7:$B$8,MATCH(F577,'Model Pricing'!$A$7:$A$8,0))</x:f>
        <x:v>40</x:v>
      </x:c>
      <x:c r="K577" s="27" t="n">
        <x:f>INDEX('Model Pricing'!$C$7:$C$8,MATCH(F577,'Model Pricing'!$A$7:$A$8,0))</x:f>
        <x:v>100</x:v>
      </x:c>
      <x:c r="L577" s="17" t="n">
        <x:f>G577+H577</x:f>
        <x:v>39995</x:v>
      </x:c>
      <x:c r="M577" s="28" t="n">
        <x:f>G577*J577/1000000</x:f>
        <x:v>1.28216</x:v>
      </x:c>
      <x:c r="N577" s="28" t="n">
        <x:f>H577*K577/1000000</x:f>
        <x:v>0.7941</x:v>
      </x:c>
      <x:c r="O577" s="28" t="n">
        <x:f>SUM(M577:N577)</x:f>
        <x:v>2.07626</x:v>
      </x:c>
    </x:row>
    <x:row r="578" ht="23" customHeight="1">
      <x:c r="A578" s="17" t="str">
        <x:v>U00572</x:v>
      </x:c>
      <x:c r="B578" s="18" t="n">
        <x:v>46293</x:v>
      </x:c>
      <x:c r="C578" s="17" t="str">
        <x:v>W0044</x:v>
      </x:c>
      <x:c r="D578" s="17" t="str">
        <x:v>C001</x:v>
      </x:c>
      <x:c r="E578" s="17" t="str">
        <x:v>CampaignChat</x:v>
      </x:c>
      <x:c r="F578" s="17" t="str">
        <x:v>Pro</x:v>
      </x:c>
      <x:c r="G578" s="17" t="n">
        <x:v>21436</x:v>
      </x:c>
      <x:c r="H578" s="17" t="n">
        <x:v>5880</x:v>
      </x:c>
      <x:c r="I578" s="17" t="str">
        <x:v>Followup</x:v>
      </x:c>
      <x:c r="J578" s="27" t="n">
        <x:f>INDEX('Model Pricing'!$B$7:$B$8,MATCH(F578,'Model Pricing'!$A$7:$A$8,0))</x:f>
        <x:v>40</x:v>
      </x:c>
      <x:c r="K578" s="27" t="n">
        <x:f>INDEX('Model Pricing'!$C$7:$C$8,MATCH(F578,'Model Pricing'!$A$7:$A$8,0))</x:f>
        <x:v>100</x:v>
      </x:c>
      <x:c r="L578" s="17" t="n">
        <x:f>G578+H578</x:f>
        <x:v>27316</x:v>
      </x:c>
      <x:c r="M578" s="28" t="n">
        <x:f>G578*J578/1000000</x:f>
        <x:v>0.85744</x:v>
      </x:c>
      <x:c r="N578" s="28" t="n">
        <x:f>H578*K578/1000000</x:f>
        <x:v>0.588</x:v>
      </x:c>
      <x:c r="O578" s="28" t="n">
        <x:f>SUM(M578:N578)</x:f>
        <x:v>1.44544</x:v>
      </x:c>
    </x:row>
    <x:row r="579" ht="23" customHeight="1">
      <x:c r="A579" s="17" t="str">
        <x:v>U00573</x:v>
      </x:c>
      <x:c r="B579" s="18" t="n">
        <x:v>46294</x:v>
      </x:c>
      <x:c r="C579" s="17" t="str">
        <x:v>W0044</x:v>
      </x:c>
      <x:c r="D579" s="17" t="str">
        <x:v>C001</x:v>
      </x:c>
      <x:c r="E579" s="17" t="str">
        <x:v>CampaignChat</x:v>
      </x:c>
      <x:c r="F579" s="17" t="str">
        <x:v>Pro</x:v>
      </x:c>
      <x:c r="G579" s="17" t="n">
        <x:v>23832</x:v>
      </x:c>
      <x:c r="H579" s="17" t="n">
        <x:v>4207</x:v>
      </x:c>
      <x:c r="I579" s="17" t="str">
        <x:v>Correction</x:v>
      </x:c>
      <x:c r="J579" s="27" t="n">
        <x:f>INDEX('Model Pricing'!$B$7:$B$8,MATCH(F579,'Model Pricing'!$A$7:$A$8,0))</x:f>
        <x:v>40</x:v>
      </x:c>
      <x:c r="K579" s="27" t="n">
        <x:f>INDEX('Model Pricing'!$C$7:$C$8,MATCH(F579,'Model Pricing'!$A$7:$A$8,0))</x:f>
        <x:v>100</x:v>
      </x:c>
      <x:c r="L579" s="17" t="n">
        <x:f>G579+H579</x:f>
        <x:v>28039</x:v>
      </x:c>
      <x:c r="M579" s="28" t="n">
        <x:f>G579*J579/1000000</x:f>
        <x:v>0.95328</x:v>
      </x:c>
      <x:c r="N579" s="28" t="n">
        <x:f>H579*K579/1000000</x:f>
        <x:v>0.4207</x:v>
      </x:c>
      <x:c r="O579" s="28" t="n">
        <x:f>SUM(M579:N579)</x:f>
        <x:v>1.37398</x:v>
      </x:c>
    </x:row>
    <x:row r="580" ht="23" customHeight="1">
      <x:c r="A580" s="17" t="str">
        <x:v>U00574</x:v>
      </x:c>
      <x:c r="B580" s="18" t="n">
        <x:v>46294</x:v>
      </x:c>
      <x:c r="C580" s="17" t="str">
        <x:v>W0044</x:v>
      </x:c>
      <x:c r="D580" s="17" t="str">
        <x:v>C001</x:v>
      </x:c>
      <x:c r="E580" s="17" t="str">
        <x:v>CampaignChat</x:v>
      </x:c>
      <x:c r="F580" s="17" t="str">
        <x:v>Pro</x:v>
      </x:c>
      <x:c r="G580" s="17" t="n">
        <x:v>13161</x:v>
      </x:c>
      <x:c r="H580" s="17" t="n">
        <x:v>5273</x:v>
      </x:c>
      <x:c r="I580" s="17" t="str">
        <x:v>Followup</x:v>
      </x:c>
      <x:c r="J580" s="27" t="n">
        <x:f>INDEX('Model Pricing'!$B$7:$B$8,MATCH(F580,'Model Pricing'!$A$7:$A$8,0))</x:f>
        <x:v>40</x:v>
      </x:c>
      <x:c r="K580" s="27" t="n">
        <x:f>INDEX('Model Pricing'!$C$7:$C$8,MATCH(F580,'Model Pricing'!$A$7:$A$8,0))</x:f>
        <x:v>100</x:v>
      </x:c>
      <x:c r="L580" s="17" t="n">
        <x:f>G580+H580</x:f>
        <x:v>18434</x:v>
      </x:c>
      <x:c r="M580" s="28" t="n">
        <x:f>G580*J580/1000000</x:f>
        <x:v>0.52644</x:v>
      </x:c>
      <x:c r="N580" s="28" t="n">
        <x:f>H580*K580/1000000</x:f>
        <x:v>0.5273</x:v>
      </x:c>
      <x:c r="O580" s="28" t="n">
        <x:f>SUM(M580:N580)</x:f>
        <x:v>1.05374</x:v>
      </x:c>
    </x:row>
    <x:row r="581" ht="23" customHeight="1">
      <x:c r="A581" s="17" t="str">
        <x:v>U00575</x:v>
      </x:c>
      <x:c r="B581" s="18" t="n">
        <x:v>46266</x:v>
      </x:c>
      <x:c r="C581" s="17" t="str">
        <x:v>W0052</x:v>
      </x:c>
      <x:c r="D581" s="17" t="str">
        <x:v>C001</x:v>
      </x:c>
      <x:c r="E581" s="17" t="str">
        <x:v>CampaignChat</x:v>
      </x:c>
      <x:c r="F581" s="17" t="str">
        <x:v>Pro</x:v>
      </x:c>
      <x:c r="G581" s="17" t="n">
        <x:v>7661</x:v>
      </x:c>
      <x:c r="H581" s="17" t="n">
        <x:v>7066</x:v>
      </x:c>
      <x:c r="I581" s="17" t="str">
        <x:v>First attempt</x:v>
      </x:c>
      <x:c r="J581" s="27" t="n">
        <x:f>INDEX('Model Pricing'!$B$7:$B$8,MATCH(F581,'Model Pricing'!$A$7:$A$8,0))</x:f>
        <x:v>40</x:v>
      </x:c>
      <x:c r="K581" s="27" t="n">
        <x:f>INDEX('Model Pricing'!$C$7:$C$8,MATCH(F581,'Model Pricing'!$A$7:$A$8,0))</x:f>
        <x:v>100</x:v>
      </x:c>
      <x:c r="L581" s="17" t="n">
        <x:f>G581+H581</x:f>
        <x:v>14727</x:v>
      </x:c>
      <x:c r="M581" s="28" t="n">
        <x:f>G581*J581/1000000</x:f>
        <x:v>0.30644</x:v>
      </x:c>
      <x:c r="N581" s="28" t="n">
        <x:f>H581*K581/1000000</x:f>
        <x:v>0.7066</x:v>
      </x:c>
      <x:c r="O581" s="28" t="n">
        <x:f>SUM(M581:N581)</x:f>
        <x:v>1.01304</x:v>
      </x:c>
    </x:row>
    <x:row r="582" ht="23" customHeight="1">
      <x:c r="A582" s="17" t="str">
        <x:v>U00576</x:v>
      </x:c>
      <x:c r="B582" s="18" t="n">
        <x:v>46266</x:v>
      </x:c>
      <x:c r="C582" s="17" t="str">
        <x:v>W0052</x:v>
      </x:c>
      <x:c r="D582" s="17" t="str">
        <x:v>C001</x:v>
      </x:c>
      <x:c r="E582" s="17" t="str">
        <x:v>CampaignChat</x:v>
      </x:c>
      <x:c r="F582" s="17" t="str">
        <x:v>Pro</x:v>
      </x:c>
      <x:c r="G582" s="17" t="n">
        <x:v>10604</x:v>
      </x:c>
      <x:c r="H582" s="17" t="n">
        <x:v>10713</x:v>
      </x:c>
      <x:c r="I582" s="17" t="str">
        <x:v>Followup</x:v>
      </x:c>
      <x:c r="J582" s="27" t="n">
        <x:f>INDEX('Model Pricing'!$B$7:$B$8,MATCH(F582,'Model Pricing'!$A$7:$A$8,0))</x:f>
        <x:v>40</x:v>
      </x:c>
      <x:c r="K582" s="27" t="n">
        <x:f>INDEX('Model Pricing'!$C$7:$C$8,MATCH(F582,'Model Pricing'!$A$7:$A$8,0))</x:f>
        <x:v>100</x:v>
      </x:c>
      <x:c r="L582" s="17" t="n">
        <x:f>G582+H582</x:f>
        <x:v>21317</x:v>
      </x:c>
      <x:c r="M582" s="28" t="n">
        <x:f>G582*J582/1000000</x:f>
        <x:v>0.42416</x:v>
      </x:c>
      <x:c r="N582" s="28" t="n">
        <x:f>H582*K582/1000000</x:f>
        <x:v>1.0713</x:v>
      </x:c>
      <x:c r="O582" s="28" t="n">
        <x:f>SUM(M582:N582)</x:f>
        <x:v>1.49546</x:v>
      </x:c>
    </x:row>
    <x:row r="583" ht="23" customHeight="1">
      <x:c r="A583" s="17" t="str">
        <x:v>U00577</x:v>
      </x:c>
      <x:c r="B583" s="18" t="n">
        <x:v>46267</x:v>
      </x:c>
      <x:c r="C583" s="17" t="str">
        <x:v>W0052</x:v>
      </x:c>
      <x:c r="D583" s="17" t="str">
        <x:v>C001</x:v>
      </x:c>
      <x:c r="E583" s="17" t="str">
        <x:v>CampaignChat</x:v>
      </x:c>
      <x:c r="F583" s="17" t="str">
        <x:v>Pro</x:v>
      </x:c>
      <x:c r="G583" s="17" t="n">
        <x:v>11385</x:v>
      </x:c>
      <x:c r="H583" s="17" t="n">
        <x:v>11417</x:v>
      </x:c>
      <x:c r="I583" s="17" t="str">
        <x:v>Followup</x:v>
      </x:c>
      <x:c r="J583" s="27" t="n">
        <x:f>INDEX('Model Pricing'!$B$7:$B$8,MATCH(F583,'Model Pricing'!$A$7:$A$8,0))</x:f>
        <x:v>40</x:v>
      </x:c>
      <x:c r="K583" s="27" t="n">
        <x:f>INDEX('Model Pricing'!$C$7:$C$8,MATCH(F583,'Model Pricing'!$A$7:$A$8,0))</x:f>
        <x:v>100</x:v>
      </x:c>
      <x:c r="L583" s="17" t="n">
        <x:f>G583+H583</x:f>
        <x:v>22802</x:v>
      </x:c>
      <x:c r="M583" s="28" t="n">
        <x:f>G583*J583/1000000</x:f>
        <x:v>0.4554</x:v>
      </x:c>
      <x:c r="N583" s="28" t="n">
        <x:f>H583*K583/1000000</x:f>
        <x:v>1.1417</x:v>
      </x:c>
      <x:c r="O583" s="28" t="n">
        <x:f>SUM(M583:N583)</x:f>
        <x:v>1.5971</x:v>
      </x:c>
    </x:row>
    <x:row r="584" ht="23" customHeight="1">
      <x:c r="A584" s="17" t="str">
        <x:v>U00578</x:v>
      </x:c>
      <x:c r="B584" s="18" t="n">
        <x:v>46267</x:v>
      </x:c>
      <x:c r="C584" s="17" t="str">
        <x:v>W0052</x:v>
      </x:c>
      <x:c r="D584" s="17" t="str">
        <x:v>C001</x:v>
      </x:c>
      <x:c r="E584" s="17" t="str">
        <x:v>CampaignChat</x:v>
      </x:c>
      <x:c r="F584" s="17" t="str">
        <x:v>Pro</x:v>
      </x:c>
      <x:c r="G584" s="17" t="n">
        <x:v>14365</x:v>
      </x:c>
      <x:c r="H584" s="17" t="n">
        <x:v>10673</x:v>
      </x:c>
      <x:c r="I584" s="17" t="str">
        <x:v>Followup</x:v>
      </x:c>
      <x:c r="J584" s="27" t="n">
        <x:f>INDEX('Model Pricing'!$B$7:$B$8,MATCH(F584,'Model Pricing'!$A$7:$A$8,0))</x:f>
        <x:v>40</x:v>
      </x:c>
      <x:c r="K584" s="27" t="n">
        <x:f>INDEX('Model Pricing'!$C$7:$C$8,MATCH(F584,'Model Pricing'!$A$7:$A$8,0))</x:f>
        <x:v>100</x:v>
      </x:c>
      <x:c r="L584" s="17" t="n">
        <x:f>G584+H584</x:f>
        <x:v>25038</x:v>
      </x:c>
      <x:c r="M584" s="28" t="n">
        <x:f>G584*J584/1000000</x:f>
        <x:v>0.5746</x:v>
      </x:c>
      <x:c r="N584" s="28" t="n">
        <x:f>H584*K584/1000000</x:f>
        <x:v>1.0673</x:v>
      </x:c>
      <x:c r="O584" s="28" t="n">
        <x:f>SUM(M584:N584)</x:f>
        <x:v>1.6419</x:v>
      </x:c>
    </x:row>
    <x:row r="585" ht="23" customHeight="1">
      <x:c r="A585" s="17" t="str">
        <x:v>U00579</x:v>
      </x:c>
      <x:c r="B585" s="18" t="n">
        <x:v>46268</x:v>
      </x:c>
      <x:c r="C585" s="17" t="str">
        <x:v>W0052</x:v>
      </x:c>
      <x:c r="D585" s="17" t="str">
        <x:v>C001</x:v>
      </x:c>
      <x:c r="E585" s="17" t="str">
        <x:v>CampaignChat</x:v>
      </x:c>
      <x:c r="F585" s="17" t="str">
        <x:v>Pro</x:v>
      </x:c>
      <x:c r="G585" s="17" t="n">
        <x:v>15898</x:v>
      </x:c>
      <x:c r="H585" s="17" t="n">
        <x:v>6804</x:v>
      </x:c>
      <x:c r="I585" s="17" t="str">
        <x:v>Followup</x:v>
      </x:c>
      <x:c r="J585" s="27" t="n">
        <x:f>INDEX('Model Pricing'!$B$7:$B$8,MATCH(F585,'Model Pricing'!$A$7:$A$8,0))</x:f>
        <x:v>40</x:v>
      </x:c>
      <x:c r="K585" s="27" t="n">
        <x:f>INDEX('Model Pricing'!$C$7:$C$8,MATCH(F585,'Model Pricing'!$A$7:$A$8,0))</x:f>
        <x:v>100</x:v>
      </x:c>
      <x:c r="L585" s="17" t="n">
        <x:f>G585+H585</x:f>
        <x:v>22702</x:v>
      </x:c>
      <x:c r="M585" s="28" t="n">
        <x:f>G585*J585/1000000</x:f>
        <x:v>0.63592</x:v>
      </x:c>
      <x:c r="N585" s="28" t="n">
        <x:f>H585*K585/1000000</x:f>
        <x:v>0.6804</x:v>
      </x:c>
      <x:c r="O585" s="28" t="n">
        <x:f>SUM(M585:N585)</x:f>
        <x:v>1.3163200000000002</x:v>
      </x:c>
    </x:row>
    <x:row r="586" ht="23" customHeight="1">
      <x:c r="A586" s="17" t="str">
        <x:v>U00580</x:v>
      </x:c>
      <x:c r="B586" s="18" t="n">
        <x:v>46268</x:v>
      </x:c>
      <x:c r="C586" s="17" t="str">
        <x:v>W0052</x:v>
      </x:c>
      <x:c r="D586" s="17" t="str">
        <x:v>C001</x:v>
      </x:c>
      <x:c r="E586" s="17" t="str">
        <x:v>CampaignChat</x:v>
      </x:c>
      <x:c r="F586" s="17" t="str">
        <x:v>Pro</x:v>
      </x:c>
      <x:c r="G586" s="17" t="n">
        <x:v>11829</x:v>
      </x:c>
      <x:c r="H586" s="17" t="n">
        <x:v>6966</x:v>
      </x:c>
      <x:c r="I586" s="17" t="str">
        <x:v>Followup</x:v>
      </x:c>
      <x:c r="J586" s="27" t="n">
        <x:f>INDEX('Model Pricing'!$B$7:$B$8,MATCH(F586,'Model Pricing'!$A$7:$A$8,0))</x:f>
        <x:v>40</x:v>
      </x:c>
      <x:c r="K586" s="27" t="n">
        <x:f>INDEX('Model Pricing'!$C$7:$C$8,MATCH(F586,'Model Pricing'!$A$7:$A$8,0))</x:f>
        <x:v>100</x:v>
      </x:c>
      <x:c r="L586" s="17" t="n">
        <x:f>G586+H586</x:f>
        <x:v>18795</x:v>
      </x:c>
      <x:c r="M586" s="28" t="n">
        <x:f>G586*J586/1000000</x:f>
        <x:v>0.47316</x:v>
      </x:c>
      <x:c r="N586" s="28" t="n">
        <x:f>H586*K586/1000000</x:f>
        <x:v>0.6966</x:v>
      </x:c>
      <x:c r="O586" s="28" t="n">
        <x:f>SUM(M586:N586)</x:f>
        <x:v>1.1697600000000001</x:v>
      </x:c>
    </x:row>
    <x:row r="587" ht="23" customHeight="1">
      <x:c r="A587" s="17" t="str">
        <x:v>U00581</x:v>
      </x:c>
      <x:c r="B587" s="18" t="n">
        <x:v>46269</x:v>
      </x:c>
      <x:c r="C587" s="17" t="str">
        <x:v>W0052</x:v>
      </x:c>
      <x:c r="D587" s="17" t="str">
        <x:v>C001</x:v>
      </x:c>
      <x:c r="E587" s="17" t="str">
        <x:v>CampaignChat</x:v>
      </x:c>
      <x:c r="F587" s="17" t="str">
        <x:v>Pro</x:v>
      </x:c>
      <x:c r="G587" s="17" t="n">
        <x:v>5760</x:v>
      </x:c>
      <x:c r="H587" s="17" t="n">
        <x:v>3766</x:v>
      </x:c>
      <x:c r="I587" s="17" t="str">
        <x:v>Correction</x:v>
      </x:c>
      <x:c r="J587" s="27" t="n">
        <x:f>INDEX('Model Pricing'!$B$7:$B$8,MATCH(F587,'Model Pricing'!$A$7:$A$8,0))</x:f>
        <x:v>40</x:v>
      </x:c>
      <x:c r="K587" s="27" t="n">
        <x:f>INDEX('Model Pricing'!$C$7:$C$8,MATCH(F587,'Model Pricing'!$A$7:$A$8,0))</x:f>
        <x:v>100</x:v>
      </x:c>
      <x:c r="L587" s="17" t="n">
        <x:f>G587+H587</x:f>
        <x:v>9526</x:v>
      </x:c>
      <x:c r="M587" s="28" t="n">
        <x:f>G587*J587/1000000</x:f>
        <x:v>0.2304</x:v>
      </x:c>
      <x:c r="N587" s="28" t="n">
        <x:f>H587*K587/1000000</x:f>
        <x:v>0.3766</x:v>
      </x:c>
      <x:c r="O587" s="28" t="n">
        <x:f>SUM(M587:N587)</x:f>
        <x:v>0.607</x:v>
      </x:c>
    </x:row>
    <x:row r="588" ht="23" customHeight="1">
      <x:c r="A588" s="17" t="str">
        <x:v>U00582</x:v>
      </x:c>
      <x:c r="B588" s="18" t="n">
        <x:v>46269</x:v>
      </x:c>
      <x:c r="C588" s="17" t="str">
        <x:v>W0052</x:v>
      </x:c>
      <x:c r="D588" s="17" t="str">
        <x:v>C001</x:v>
      </x:c>
      <x:c r="E588" s="17" t="str">
        <x:v>CampaignChat</x:v>
      </x:c>
      <x:c r="F588" s="17" t="str">
        <x:v>Pro</x:v>
      </x:c>
      <x:c r="G588" s="17" t="n">
        <x:v>10217</x:v>
      </x:c>
      <x:c r="H588" s="17" t="n">
        <x:v>4900</x:v>
      </x:c>
      <x:c r="I588" s="17" t="str">
        <x:v>Followup</x:v>
      </x:c>
      <x:c r="J588" s="27" t="n">
        <x:f>INDEX('Model Pricing'!$B$7:$B$8,MATCH(F588,'Model Pricing'!$A$7:$A$8,0))</x:f>
        <x:v>40</x:v>
      </x:c>
      <x:c r="K588" s="27" t="n">
        <x:f>INDEX('Model Pricing'!$C$7:$C$8,MATCH(F588,'Model Pricing'!$A$7:$A$8,0))</x:f>
        <x:v>100</x:v>
      </x:c>
      <x:c r="L588" s="17" t="n">
        <x:f>G588+H588</x:f>
        <x:v>15117</x:v>
      </x:c>
      <x:c r="M588" s="28" t="n">
        <x:f>G588*J588/1000000</x:f>
        <x:v>0.40868</x:v>
      </x:c>
      <x:c r="N588" s="28" t="n">
        <x:f>H588*K588/1000000</x:f>
        <x:v>0.49</x:v>
      </x:c>
      <x:c r="O588" s="28" t="n">
        <x:f>SUM(M588:N588)</x:f>
        <x:v>0.8986799999999999</x:v>
      </x:c>
    </x:row>
    <x:row r="589" ht="23" customHeight="1">
      <x:c r="A589" s="17" t="str">
        <x:v>U00583</x:v>
      </x:c>
      <x:c r="B589" s="18" t="n">
        <x:v>46276</x:v>
      </x:c>
      <x:c r="C589" s="17" t="str">
        <x:v>W0053</x:v>
      </x:c>
      <x:c r="D589" s="17" t="str">
        <x:v>C001</x:v>
      </x:c>
      <x:c r="E589" s="17" t="str">
        <x:v>DataFlow</x:v>
      </x:c>
      <x:c r="F589" s="17" t="str">
        <x:v>Pro</x:v>
      </x:c>
      <x:c r="G589" s="17" t="n">
        <x:v>18550</x:v>
      </x:c>
      <x:c r="H589" s="17" t="n">
        <x:v>8430</x:v>
      </x:c>
      <x:c r="I589" s="17" t="str">
        <x:v>First attempt</x:v>
      </x:c>
      <x:c r="J589" s="27" t="n">
        <x:f>INDEX('Model Pricing'!$B$7:$B$8,MATCH(F589,'Model Pricing'!$A$7:$A$8,0))</x:f>
        <x:v>40</x:v>
      </x:c>
      <x:c r="K589" s="27" t="n">
        <x:f>INDEX('Model Pricing'!$C$7:$C$8,MATCH(F589,'Model Pricing'!$A$7:$A$8,0))</x:f>
        <x:v>100</x:v>
      </x:c>
      <x:c r="L589" s="17" t="n">
        <x:f>G589+H589</x:f>
        <x:v>26980</x:v>
      </x:c>
      <x:c r="M589" s="28" t="n">
        <x:f>G589*J589/1000000</x:f>
        <x:v>0.742</x:v>
      </x:c>
      <x:c r="N589" s="28" t="n">
        <x:f>H589*K589/1000000</x:f>
        <x:v>0.843</x:v>
      </x:c>
      <x:c r="O589" s="28" t="n">
        <x:f>SUM(M589:N589)</x:f>
        <x:v>1.585</x:v>
      </x:c>
    </x:row>
    <x:row r="590" ht="23" customHeight="1">
      <x:c r="A590" s="17" t="str">
        <x:v>U00584</x:v>
      </x:c>
      <x:c r="B590" s="18" t="n">
        <x:v>46276</x:v>
      </x:c>
      <x:c r="C590" s="17" t="str">
        <x:v>W0053</x:v>
      </x:c>
      <x:c r="D590" s="17" t="str">
        <x:v>C001</x:v>
      </x:c>
      <x:c r="E590" s="17" t="str">
        <x:v>DataFlow</x:v>
      </x:c>
      <x:c r="F590" s="17" t="str">
        <x:v>Pro</x:v>
      </x:c>
      <x:c r="G590" s="17" t="n">
        <x:v>21539</x:v>
      </x:c>
      <x:c r="H590" s="17" t="n">
        <x:v>10107</x:v>
      </x:c>
      <x:c r="I590" s="17" t="str">
        <x:v>Followup</x:v>
      </x:c>
      <x:c r="J590" s="27" t="n">
        <x:f>INDEX('Model Pricing'!$B$7:$B$8,MATCH(F590,'Model Pricing'!$A$7:$A$8,0))</x:f>
        <x:v>40</x:v>
      </x:c>
      <x:c r="K590" s="27" t="n">
        <x:f>INDEX('Model Pricing'!$C$7:$C$8,MATCH(F590,'Model Pricing'!$A$7:$A$8,0))</x:f>
        <x:v>100</x:v>
      </x:c>
      <x:c r="L590" s="17" t="n">
        <x:f>G590+H590</x:f>
        <x:v>31646</x:v>
      </x:c>
      <x:c r="M590" s="28" t="n">
        <x:f>G590*J590/1000000</x:f>
        <x:v>0.86156</x:v>
      </x:c>
      <x:c r="N590" s="28" t="n">
        <x:f>H590*K590/1000000</x:f>
        <x:v>1.0107</x:v>
      </x:c>
      <x:c r="O590" s="28" t="n">
        <x:f>SUM(M590:N590)</x:f>
        <x:v>1.8722599999999998</x:v>
      </x:c>
    </x:row>
    <x:row r="591" ht="23" customHeight="1">
      <x:c r="A591" s="17" t="str">
        <x:v>U00585</x:v>
      </x:c>
      <x:c r="B591" s="18" t="n">
        <x:v>46279</x:v>
      </x:c>
      <x:c r="C591" s="17" t="str">
        <x:v>W0053</x:v>
      </x:c>
      <x:c r="D591" s="17" t="str">
        <x:v>C001</x:v>
      </x:c>
      <x:c r="E591" s="17" t="str">
        <x:v>DataFlow</x:v>
      </x:c>
      <x:c r="F591" s="17" t="str">
        <x:v>Pro</x:v>
      </x:c>
      <x:c r="G591" s="17" t="n">
        <x:v>30675</x:v>
      </x:c>
      <x:c r="H591" s="17" t="n">
        <x:v>13995</x:v>
      </x:c>
      <x:c r="I591" s="17" t="str">
        <x:v>Followup</x:v>
      </x:c>
      <x:c r="J591" s="27" t="n">
        <x:f>INDEX('Model Pricing'!$B$7:$B$8,MATCH(F591,'Model Pricing'!$A$7:$A$8,0))</x:f>
        <x:v>40</x:v>
      </x:c>
      <x:c r="K591" s="27" t="n">
        <x:f>INDEX('Model Pricing'!$C$7:$C$8,MATCH(F591,'Model Pricing'!$A$7:$A$8,0))</x:f>
        <x:v>100</x:v>
      </x:c>
      <x:c r="L591" s="17" t="n">
        <x:f>G591+H591</x:f>
        <x:v>44670</x:v>
      </x:c>
      <x:c r="M591" s="28" t="n">
        <x:f>G591*J591/1000000</x:f>
        <x:v>1.227</x:v>
      </x:c>
      <x:c r="N591" s="28" t="n">
        <x:f>H591*K591/1000000</x:f>
        <x:v>1.3995</x:v>
      </x:c>
      <x:c r="O591" s="28" t="n">
        <x:f>SUM(M591:N591)</x:f>
        <x:v>2.6265</x:v>
      </x:c>
    </x:row>
    <x:row r="592" ht="23" customHeight="1">
      <x:c r="A592" s="17" t="str">
        <x:v>U00586</x:v>
      </x:c>
      <x:c r="B592" s="18" t="n">
        <x:v>46279</x:v>
      </x:c>
      <x:c r="C592" s="17" t="str">
        <x:v>W0053</x:v>
      </x:c>
      <x:c r="D592" s="17" t="str">
        <x:v>C001</x:v>
      </x:c>
      <x:c r="E592" s="17" t="str">
        <x:v>DataFlow</x:v>
      </x:c>
      <x:c r="F592" s="17" t="str">
        <x:v>Pro</x:v>
      </x:c>
      <x:c r="G592" s="17" t="n">
        <x:v>24049</x:v>
      </x:c>
      <x:c r="H592" s="17" t="n">
        <x:v>8860</x:v>
      </x:c>
      <x:c r="I592" s="17" t="str">
        <x:v>Correction</x:v>
      </x:c>
      <x:c r="J592" s="27" t="n">
        <x:f>INDEX('Model Pricing'!$B$7:$B$8,MATCH(F592,'Model Pricing'!$A$7:$A$8,0))</x:f>
        <x:v>40</x:v>
      </x:c>
      <x:c r="K592" s="27" t="n">
        <x:f>INDEX('Model Pricing'!$C$7:$C$8,MATCH(F592,'Model Pricing'!$A$7:$A$8,0))</x:f>
        <x:v>100</x:v>
      </x:c>
      <x:c r="L592" s="17" t="n">
        <x:f>G592+H592</x:f>
        <x:v>32909</x:v>
      </x:c>
      <x:c r="M592" s="28" t="n">
        <x:f>G592*J592/1000000</x:f>
        <x:v>0.96196</x:v>
      </x:c>
      <x:c r="N592" s="28" t="n">
        <x:f>H592*K592/1000000</x:f>
        <x:v>0.886</x:v>
      </x:c>
      <x:c r="O592" s="28" t="n">
        <x:f>SUM(M592:N592)</x:f>
        <x:v>1.84796</x:v>
      </x:c>
    </x:row>
    <x:row r="593" ht="23" customHeight="1">
      <x:c r="A593" s="17" t="str">
        <x:v>U00587</x:v>
      </x:c>
      <x:c r="B593" s="18" t="n">
        <x:v>46280</x:v>
      </x:c>
      <x:c r="C593" s="17" t="str">
        <x:v>W0053</x:v>
      </x:c>
      <x:c r="D593" s="17" t="str">
        <x:v>C001</x:v>
      </x:c>
      <x:c r="E593" s="17" t="str">
        <x:v>DataFlow</x:v>
      </x:c>
      <x:c r="F593" s="17" t="str">
        <x:v>Pro</x:v>
      </x:c>
      <x:c r="G593" s="17" t="n">
        <x:v>28204</x:v>
      </x:c>
      <x:c r="H593" s="17" t="n">
        <x:v>9216</x:v>
      </x:c>
      <x:c r="I593" s="17" t="str">
        <x:v>Followup</x:v>
      </x:c>
      <x:c r="J593" s="27" t="n">
        <x:f>INDEX('Model Pricing'!$B$7:$B$8,MATCH(F593,'Model Pricing'!$A$7:$A$8,0))</x:f>
        <x:v>40</x:v>
      </x:c>
      <x:c r="K593" s="27" t="n">
        <x:f>INDEX('Model Pricing'!$C$7:$C$8,MATCH(F593,'Model Pricing'!$A$7:$A$8,0))</x:f>
        <x:v>100</x:v>
      </x:c>
      <x:c r="L593" s="17" t="n">
        <x:f>G593+H593</x:f>
        <x:v>37420</x:v>
      </x:c>
      <x:c r="M593" s="28" t="n">
        <x:f>G593*J593/1000000</x:f>
        <x:v>1.12816</x:v>
      </x:c>
      <x:c r="N593" s="28" t="n">
        <x:f>H593*K593/1000000</x:f>
        <x:v>0.9216</x:v>
      </x:c>
      <x:c r="O593" s="28" t="n">
        <x:f>SUM(M593:N593)</x:f>
        <x:v>2.04976</x:v>
      </x:c>
    </x:row>
    <x:row r="594" ht="23" customHeight="1">
      <x:c r="A594" s="17" t="str">
        <x:v>U00588</x:v>
      </x:c>
      <x:c r="B594" s="18" t="n">
        <x:v>46280</x:v>
      </x:c>
      <x:c r="C594" s="17" t="str">
        <x:v>W0053</x:v>
      </x:c>
      <x:c r="D594" s="17" t="str">
        <x:v>C001</x:v>
      </x:c>
      <x:c r="E594" s="17" t="str">
        <x:v>DataFlow</x:v>
      </x:c>
      <x:c r="F594" s="17" t="str">
        <x:v>Pro</x:v>
      </x:c>
      <x:c r="G594" s="17" t="n">
        <x:v>24680</x:v>
      </x:c>
      <x:c r="H594" s="17" t="n">
        <x:v>17813</x:v>
      </x:c>
      <x:c r="I594" s="17" t="str">
        <x:v>Followup</x:v>
      </x:c>
      <x:c r="J594" s="27" t="n">
        <x:f>INDEX('Model Pricing'!$B$7:$B$8,MATCH(F594,'Model Pricing'!$A$7:$A$8,0))</x:f>
        <x:v>40</x:v>
      </x:c>
      <x:c r="K594" s="27" t="n">
        <x:f>INDEX('Model Pricing'!$C$7:$C$8,MATCH(F594,'Model Pricing'!$A$7:$A$8,0))</x:f>
        <x:v>100</x:v>
      </x:c>
      <x:c r="L594" s="17" t="n">
        <x:f>G594+H594</x:f>
        <x:v>42493</x:v>
      </x:c>
      <x:c r="M594" s="28" t="n">
        <x:f>G594*J594/1000000</x:f>
        <x:v>0.9872</x:v>
      </x:c>
      <x:c r="N594" s="28" t="n">
        <x:f>H594*K594/1000000</x:f>
        <x:v>1.7813</x:v>
      </x:c>
      <x:c r="O594" s="28" t="n">
        <x:f>SUM(M594:N594)</x:f>
        <x:v>2.7685</x:v>
      </x:c>
    </x:row>
    <x:row r="595" ht="23" customHeight="1">
      <x:c r="A595" s="17" t="str">
        <x:v>U00589</x:v>
      </x:c>
      <x:c r="B595" s="18" t="n">
        <x:v>46281</x:v>
      </x:c>
      <x:c r="C595" s="17" t="str">
        <x:v>W0053</x:v>
      </x:c>
      <x:c r="D595" s="17" t="str">
        <x:v>C001</x:v>
      </x:c>
      <x:c r="E595" s="17" t="str">
        <x:v>DataFlow</x:v>
      </x:c>
      <x:c r="F595" s="17" t="str">
        <x:v>Pro</x:v>
      </x:c>
      <x:c r="G595" s="17" t="n">
        <x:v>16089</x:v>
      </x:c>
      <x:c r="H595" s="17" t="n">
        <x:v>16658</x:v>
      </x:c>
      <x:c r="I595" s="17" t="str">
        <x:v>Followup</x:v>
      </x:c>
      <x:c r="J595" s="27" t="n">
        <x:f>INDEX('Model Pricing'!$B$7:$B$8,MATCH(F595,'Model Pricing'!$A$7:$A$8,0))</x:f>
        <x:v>40</x:v>
      </x:c>
      <x:c r="K595" s="27" t="n">
        <x:f>INDEX('Model Pricing'!$C$7:$C$8,MATCH(F595,'Model Pricing'!$A$7:$A$8,0))</x:f>
        <x:v>100</x:v>
      </x:c>
      <x:c r="L595" s="17" t="n">
        <x:f>G595+H595</x:f>
        <x:v>32747</x:v>
      </x:c>
      <x:c r="M595" s="28" t="n">
        <x:f>G595*J595/1000000</x:f>
        <x:v>0.64356</x:v>
      </x:c>
      <x:c r="N595" s="28" t="n">
        <x:f>H595*K595/1000000</x:f>
        <x:v>1.6658</x:v>
      </x:c>
      <x:c r="O595" s="28" t="n">
        <x:f>SUM(M595:N595)</x:f>
        <x:v>2.30936</x:v>
      </x:c>
    </x:row>
    <x:row r="596" ht="23" customHeight="1">
      <x:c r="A596" s="17" t="str">
        <x:v>U00590</x:v>
      </x:c>
      <x:c r="B596" s="18" t="n">
        <x:v>46281</x:v>
      </x:c>
      <x:c r="C596" s="17" t="str">
        <x:v>W0053</x:v>
      </x:c>
      <x:c r="D596" s="17" t="str">
        <x:v>C001</x:v>
      </x:c>
      <x:c r="E596" s="17" t="str">
        <x:v>DataFlow</x:v>
      </x:c>
      <x:c r="F596" s="17" t="str">
        <x:v>Pro</x:v>
      </x:c>
      <x:c r="G596" s="17" t="n">
        <x:v>15702</x:v>
      </x:c>
      <x:c r="H596" s="17" t="n">
        <x:v>8520</x:v>
      </x:c>
      <x:c r="I596" s="17" t="str">
        <x:v>Followup</x:v>
      </x:c>
      <x:c r="J596" s="27" t="n">
        <x:f>INDEX('Model Pricing'!$B$7:$B$8,MATCH(F596,'Model Pricing'!$A$7:$A$8,0))</x:f>
        <x:v>40</x:v>
      </x:c>
      <x:c r="K596" s="27" t="n">
        <x:f>INDEX('Model Pricing'!$C$7:$C$8,MATCH(F596,'Model Pricing'!$A$7:$A$8,0))</x:f>
        <x:v>100</x:v>
      </x:c>
      <x:c r="L596" s="17" t="n">
        <x:f>G596+H596</x:f>
        <x:v>24222</x:v>
      </x:c>
      <x:c r="M596" s="28" t="n">
        <x:f>G596*J596/1000000</x:f>
        <x:v>0.62808</x:v>
      </x:c>
      <x:c r="N596" s="28" t="n">
        <x:f>H596*K596/1000000</x:f>
        <x:v>0.852</x:v>
      </x:c>
      <x:c r="O596" s="28" t="n">
        <x:f>SUM(M596:N596)</x:f>
        <x:v>1.48008</x:v>
      </x:c>
    </x:row>
    <x:row r="597" ht="23" customHeight="1">
      <x:c r="A597" s="17" t="str">
        <x:v>U00591</x:v>
      </x:c>
      <x:c r="B597" s="18" t="n">
        <x:v>46269</x:v>
      </x:c>
      <x:c r="C597" s="17" t="str">
        <x:v>W0055</x:v>
      </x:c>
      <x:c r="D597" s="17" t="str">
        <x:v>C001</x:v>
      </x:c>
      <x:c r="E597" s="17" t="str">
        <x:v>InsightDesk</x:v>
      </x:c>
      <x:c r="F597" s="17" t="str">
        <x:v>Pro</x:v>
      </x:c>
      <x:c r="G597" s="17" t="n">
        <x:v>18432</x:v>
      </x:c>
      <x:c r="H597" s="17" t="n">
        <x:v>15738</x:v>
      </x:c>
      <x:c r="I597" s="17" t="str">
        <x:v>First attempt</x:v>
      </x:c>
      <x:c r="J597" s="27" t="n">
        <x:f>INDEX('Model Pricing'!$B$7:$B$8,MATCH(F597,'Model Pricing'!$A$7:$A$8,0))</x:f>
        <x:v>40</x:v>
      </x:c>
      <x:c r="K597" s="27" t="n">
        <x:f>INDEX('Model Pricing'!$C$7:$C$8,MATCH(F597,'Model Pricing'!$A$7:$A$8,0))</x:f>
        <x:v>100</x:v>
      </x:c>
      <x:c r="L597" s="17" t="n">
        <x:f>G597+H597</x:f>
        <x:v>34170</x:v>
      </x:c>
      <x:c r="M597" s="28" t="n">
        <x:f>G597*J597/1000000</x:f>
        <x:v>0.73728</x:v>
      </x:c>
      <x:c r="N597" s="28" t="n">
        <x:f>H597*K597/1000000</x:f>
        <x:v>1.5738</x:v>
      </x:c>
      <x:c r="O597" s="28" t="n">
        <x:f>SUM(M597:N597)</x:f>
        <x:v>2.31108</x:v>
      </x:c>
    </x:row>
    <x:row r="598" ht="23" customHeight="1">
      <x:c r="A598" s="17" t="str">
        <x:v>U00592</x:v>
      </x:c>
      <x:c r="B598" s="18" t="n">
        <x:v>46269</x:v>
      </x:c>
      <x:c r="C598" s="17" t="str">
        <x:v>W0055</x:v>
      </x:c>
      <x:c r="D598" s="17" t="str">
        <x:v>C001</x:v>
      </x:c>
      <x:c r="E598" s="17" t="str">
        <x:v>InsightDesk</x:v>
      </x:c>
      <x:c r="F598" s="17" t="str">
        <x:v>Pro</x:v>
      </x:c>
      <x:c r="G598" s="17" t="n">
        <x:v>8206</x:v>
      </x:c>
      <x:c r="H598" s="17" t="n">
        <x:v>5823</x:v>
      </x:c>
      <x:c r="I598" s="17" t="str">
        <x:v>Followup</x:v>
      </x:c>
      <x:c r="J598" s="27" t="n">
        <x:f>INDEX('Model Pricing'!$B$7:$B$8,MATCH(F598,'Model Pricing'!$A$7:$A$8,0))</x:f>
        <x:v>40</x:v>
      </x:c>
      <x:c r="K598" s="27" t="n">
        <x:f>INDEX('Model Pricing'!$C$7:$C$8,MATCH(F598,'Model Pricing'!$A$7:$A$8,0))</x:f>
        <x:v>100</x:v>
      </x:c>
      <x:c r="L598" s="17" t="n">
        <x:f>G598+H598</x:f>
        <x:v>14029</x:v>
      </x:c>
      <x:c r="M598" s="28" t="n">
        <x:f>G598*J598/1000000</x:f>
        <x:v>0.32824</x:v>
      </x:c>
      <x:c r="N598" s="28" t="n">
        <x:f>H598*K598/1000000</x:f>
        <x:v>0.5823</x:v>
      </x:c>
      <x:c r="O598" s="28" t="n">
        <x:f>SUM(M598:N598)</x:f>
        <x:v>0.91054</x:v>
      </x:c>
    </x:row>
    <x:row r="599" ht="23" customHeight="1">
      <x:c r="A599" s="17" t="str">
        <x:v>U00593</x:v>
      </x:c>
      <x:c r="B599" s="18" t="n">
        <x:v>46269</x:v>
      </x:c>
      <x:c r="C599" s="17" t="str">
        <x:v>W0055</x:v>
      </x:c>
      <x:c r="D599" s="17" t="str">
        <x:v>C001</x:v>
      </x:c>
      <x:c r="E599" s="17" t="str">
        <x:v>InsightDesk</x:v>
      </x:c>
      <x:c r="F599" s="17" t="str">
        <x:v>Pro</x:v>
      </x:c>
      <x:c r="G599" s="17" t="n">
        <x:v>10158</x:v>
      </x:c>
      <x:c r="H599" s="17" t="n">
        <x:v>10850</x:v>
      </x:c>
      <x:c r="I599" s="17" t="str">
        <x:v>Followup</x:v>
      </x:c>
      <x:c r="J599" s="27" t="n">
        <x:f>INDEX('Model Pricing'!$B$7:$B$8,MATCH(F599,'Model Pricing'!$A$7:$A$8,0))</x:f>
        <x:v>40</x:v>
      </x:c>
      <x:c r="K599" s="27" t="n">
        <x:f>INDEX('Model Pricing'!$C$7:$C$8,MATCH(F599,'Model Pricing'!$A$7:$A$8,0))</x:f>
        <x:v>100</x:v>
      </x:c>
      <x:c r="L599" s="17" t="n">
        <x:f>G599+H599</x:f>
        <x:v>21008</x:v>
      </x:c>
      <x:c r="M599" s="28" t="n">
        <x:f>G599*J599/1000000</x:f>
        <x:v>0.40632</x:v>
      </x:c>
      <x:c r="N599" s="28" t="n">
        <x:f>H599*K599/1000000</x:f>
        <x:v>1.085</x:v>
      </x:c>
      <x:c r="O599" s="28" t="n">
        <x:f>SUM(M599:N599)</x:f>
        <x:v>1.49132</x:v>
      </x:c>
    </x:row>
    <x:row r="600" ht="23" customHeight="1">
      <x:c r="A600" s="17" t="str">
        <x:v>U00594</x:v>
      </x:c>
      <x:c r="B600" s="18" t="n">
        <x:v>46273</x:v>
      </x:c>
      <x:c r="C600" s="17" t="str">
        <x:v>W0055</x:v>
      </x:c>
      <x:c r="D600" s="17" t="str">
        <x:v>C001</x:v>
      </x:c>
      <x:c r="E600" s="17" t="str">
        <x:v>InsightDesk</x:v>
      </x:c>
      <x:c r="F600" s="17" t="str">
        <x:v>Pro</x:v>
      </x:c>
      <x:c r="G600" s="17" t="n">
        <x:v>7293</x:v>
      </x:c>
      <x:c r="H600" s="17" t="n">
        <x:v>5888</x:v>
      </x:c>
      <x:c r="I600" s="17" t="str">
        <x:v>Followup</x:v>
      </x:c>
      <x:c r="J600" s="27" t="n">
        <x:f>INDEX('Model Pricing'!$B$7:$B$8,MATCH(F600,'Model Pricing'!$A$7:$A$8,0))</x:f>
        <x:v>40</x:v>
      </x:c>
      <x:c r="K600" s="27" t="n">
        <x:f>INDEX('Model Pricing'!$C$7:$C$8,MATCH(F600,'Model Pricing'!$A$7:$A$8,0))</x:f>
        <x:v>100</x:v>
      </x:c>
      <x:c r="L600" s="17" t="n">
        <x:f>G600+H600</x:f>
        <x:v>13181</x:v>
      </x:c>
      <x:c r="M600" s="28" t="n">
        <x:f>G600*J600/1000000</x:f>
        <x:v>0.29172</x:v>
      </x:c>
      <x:c r="N600" s="28" t="n">
        <x:f>H600*K600/1000000</x:f>
        <x:v>0.5888</x:v>
      </x:c>
      <x:c r="O600" s="28" t="n">
        <x:f>SUM(M600:N600)</x:f>
        <x:v>0.88052</x:v>
      </x:c>
    </x:row>
    <x:row r="601" ht="23" customHeight="1">
      <x:c r="A601" s="17" t="str">
        <x:v>U00595</x:v>
      </x:c>
      <x:c r="B601" s="18" t="n">
        <x:v>46273</x:v>
      </x:c>
      <x:c r="C601" s="17" t="str">
        <x:v>W0055</x:v>
      </x:c>
      <x:c r="D601" s="17" t="str">
        <x:v>C001</x:v>
      </x:c>
      <x:c r="E601" s="17" t="str">
        <x:v>InsightDesk</x:v>
      </x:c>
      <x:c r="F601" s="17" t="str">
        <x:v>Pro</x:v>
      </x:c>
      <x:c r="G601" s="17" t="n">
        <x:v>11759</x:v>
      </x:c>
      <x:c r="H601" s="17" t="n">
        <x:v>15779</x:v>
      </x:c>
      <x:c r="I601" s="17" t="str">
        <x:v>Followup</x:v>
      </x:c>
      <x:c r="J601" s="27" t="n">
        <x:f>INDEX('Model Pricing'!$B$7:$B$8,MATCH(F601,'Model Pricing'!$A$7:$A$8,0))</x:f>
        <x:v>40</x:v>
      </x:c>
      <x:c r="K601" s="27" t="n">
        <x:f>INDEX('Model Pricing'!$C$7:$C$8,MATCH(F601,'Model Pricing'!$A$7:$A$8,0))</x:f>
        <x:v>100</x:v>
      </x:c>
      <x:c r="L601" s="17" t="n">
        <x:f>G601+H601</x:f>
        <x:v>27538</x:v>
      </x:c>
      <x:c r="M601" s="28" t="n">
        <x:f>G601*J601/1000000</x:f>
        <x:v>0.47036</x:v>
      </x:c>
      <x:c r="N601" s="28" t="n">
        <x:f>H601*K601/1000000</x:f>
        <x:v>1.5779</x:v>
      </x:c>
      <x:c r="O601" s="28" t="n">
        <x:f>SUM(M601:N601)</x:f>
        <x:v>2.04826</x:v>
      </x:c>
    </x:row>
    <x:row r="602" ht="23" customHeight="1">
      <x:c r="A602" s="17" t="str">
        <x:v>U00596</x:v>
      </x:c>
      <x:c r="B602" s="18" t="n">
        <x:v>46274</x:v>
      </x:c>
      <x:c r="C602" s="17" t="str">
        <x:v>W0055</x:v>
      </x:c>
      <x:c r="D602" s="17" t="str">
        <x:v>C001</x:v>
      </x:c>
      <x:c r="E602" s="17" t="str">
        <x:v>InsightDesk</x:v>
      </x:c>
      <x:c r="F602" s="17" t="str">
        <x:v>Pro</x:v>
      </x:c>
      <x:c r="G602" s="17" t="n">
        <x:v>10058</x:v>
      </x:c>
      <x:c r="H602" s="17" t="n">
        <x:v>7574</x:v>
      </x:c>
      <x:c r="I602" s="17" t="str">
        <x:v>Correction</x:v>
      </x:c>
      <x:c r="J602" s="27" t="n">
        <x:f>INDEX('Model Pricing'!$B$7:$B$8,MATCH(F602,'Model Pricing'!$A$7:$A$8,0))</x:f>
        <x:v>40</x:v>
      </x:c>
      <x:c r="K602" s="27" t="n">
        <x:f>INDEX('Model Pricing'!$C$7:$C$8,MATCH(F602,'Model Pricing'!$A$7:$A$8,0))</x:f>
        <x:v>100</x:v>
      </x:c>
      <x:c r="L602" s="17" t="n">
        <x:f>G602+H602</x:f>
        <x:v>17632</x:v>
      </x:c>
      <x:c r="M602" s="28" t="n">
        <x:f>G602*J602/1000000</x:f>
        <x:v>0.40232</x:v>
      </x:c>
      <x:c r="N602" s="28" t="n">
        <x:f>H602*K602/1000000</x:f>
        <x:v>0.7574</x:v>
      </x:c>
      <x:c r="O602" s="28" t="n">
        <x:f>SUM(M602:N602)</x:f>
        <x:v>1.15972</x:v>
      </x:c>
    </x:row>
    <x:row r="603" ht="23" customHeight="1">
      <x:c r="A603" s="17" t="str">
        <x:v>U00597</x:v>
      </x:c>
      <x:c r="B603" s="18" t="n">
        <x:v>46274</x:v>
      </x:c>
      <x:c r="C603" s="17" t="str">
        <x:v>W0055</x:v>
      </x:c>
      <x:c r="D603" s="17" t="str">
        <x:v>C001</x:v>
      </x:c>
      <x:c r="E603" s="17" t="str">
        <x:v>InsightDesk</x:v>
      </x:c>
      <x:c r="F603" s="17" t="str">
        <x:v>Pro</x:v>
      </x:c>
      <x:c r="G603" s="17" t="n">
        <x:v>11688</x:v>
      </x:c>
      <x:c r="H603" s="17" t="n">
        <x:v>5738</x:v>
      </x:c>
      <x:c r="I603" s="17" t="str">
        <x:v>Followup</x:v>
      </x:c>
      <x:c r="J603" s="27" t="n">
        <x:f>INDEX('Model Pricing'!$B$7:$B$8,MATCH(F603,'Model Pricing'!$A$7:$A$8,0))</x:f>
        <x:v>40</x:v>
      </x:c>
      <x:c r="K603" s="27" t="n">
        <x:f>INDEX('Model Pricing'!$C$7:$C$8,MATCH(F603,'Model Pricing'!$A$7:$A$8,0))</x:f>
        <x:v>100</x:v>
      </x:c>
      <x:c r="L603" s="17" t="n">
        <x:f>G603+H603</x:f>
        <x:v>17426</x:v>
      </x:c>
      <x:c r="M603" s="28" t="n">
        <x:f>G603*J603/1000000</x:f>
        <x:v>0.46752</x:v>
      </x:c>
      <x:c r="N603" s="28" t="n">
        <x:f>H603*K603/1000000</x:f>
        <x:v>0.5738</x:v>
      </x:c>
      <x:c r="O603" s="28" t="n">
        <x:f>SUM(M603:N603)</x:f>
        <x:v>1.04132</x:v>
      </x:c>
    </x:row>
    <x:row r="604" ht="23" customHeight="1">
      <x:c r="A604" s="17" t="str">
        <x:v>U00598</x:v>
      </x:c>
      <x:c r="B604" s="18" t="n">
        <x:v>46274</x:v>
      </x:c>
      <x:c r="C604" s="17" t="str">
        <x:v>W0055</x:v>
      </x:c>
      <x:c r="D604" s="17" t="str">
        <x:v>C001</x:v>
      </x:c>
      <x:c r="E604" s="17" t="str">
        <x:v>InsightDesk</x:v>
      </x:c>
      <x:c r="F604" s="17" t="str">
        <x:v>Pro</x:v>
      </x:c>
      <x:c r="G604" s="17" t="n">
        <x:v>12386</x:v>
      </x:c>
      <x:c r="H604" s="17" t="n">
        <x:v>14476</x:v>
      </x:c>
      <x:c r="I604" s="17" t="str">
        <x:v>Followup</x:v>
      </x:c>
      <x:c r="J604" s="27" t="n">
        <x:f>INDEX('Model Pricing'!$B$7:$B$8,MATCH(F604,'Model Pricing'!$A$7:$A$8,0))</x:f>
        <x:v>40</x:v>
      </x:c>
      <x:c r="K604" s="27" t="n">
        <x:f>INDEX('Model Pricing'!$C$7:$C$8,MATCH(F604,'Model Pricing'!$A$7:$A$8,0))</x:f>
        <x:v>100</x:v>
      </x:c>
      <x:c r="L604" s="17" t="n">
        <x:f>G604+H604</x:f>
        <x:v>26862</x:v>
      </x:c>
      <x:c r="M604" s="28" t="n">
        <x:f>G604*J604/1000000</x:f>
        <x:v>0.49544</x:v>
      </x:c>
      <x:c r="N604" s="28" t="n">
        <x:f>H604*K604/1000000</x:f>
        <x:v>1.4476</x:v>
      </x:c>
      <x:c r="O604" s="28" t="n">
        <x:f>SUM(M604:N604)</x:f>
        <x:v>1.9430399999999999</x:v>
      </x:c>
    </x:row>
    <x:row r="605" ht="23" customHeight="1">
      <x:c r="A605" s="17" t="str">
        <x:v>U00599</x:v>
      </x:c>
      <x:c r="B605" s="18" t="n">
        <x:v>46275</x:v>
      </x:c>
      <x:c r="C605" s="17" t="str">
        <x:v>W0055</x:v>
      </x:c>
      <x:c r="D605" s="17" t="str">
        <x:v>C001</x:v>
      </x:c>
      <x:c r="E605" s="17" t="str">
        <x:v>InsightDesk</x:v>
      </x:c>
      <x:c r="F605" s="17" t="str">
        <x:v>Pro</x:v>
      </x:c>
      <x:c r="G605" s="17" t="n">
        <x:v>11591</x:v>
      </x:c>
      <x:c r="H605" s="17" t="n">
        <x:v>8773</x:v>
      </x:c>
      <x:c r="I605" s="17" t="str">
        <x:v>Followup</x:v>
      </x:c>
      <x:c r="J605" s="27" t="n">
        <x:f>INDEX('Model Pricing'!$B$7:$B$8,MATCH(F605,'Model Pricing'!$A$7:$A$8,0))</x:f>
        <x:v>40</x:v>
      </x:c>
      <x:c r="K605" s="27" t="n">
        <x:f>INDEX('Model Pricing'!$C$7:$C$8,MATCH(F605,'Model Pricing'!$A$7:$A$8,0))</x:f>
        <x:v>100</x:v>
      </x:c>
      <x:c r="L605" s="17" t="n">
        <x:f>G605+H605</x:f>
        <x:v>20364</x:v>
      </x:c>
      <x:c r="M605" s="28" t="n">
        <x:f>G605*J605/1000000</x:f>
        <x:v>0.46364</x:v>
      </x:c>
      <x:c r="N605" s="28" t="n">
        <x:f>H605*K605/1000000</x:f>
        <x:v>0.8773</x:v>
      </x:c>
      <x:c r="O605" s="28" t="n">
        <x:f>SUM(M605:N605)</x:f>
        <x:v>1.34094</x:v>
      </x:c>
    </x:row>
    <x:row r="606" ht="23" customHeight="1">
      <x:c r="A606" s="17" t="str">
        <x:v>U00600</x:v>
      </x:c>
      <x:c r="B606" s="18" t="n">
        <x:v>46275</x:v>
      </x:c>
      <x:c r="C606" s="17" t="str">
        <x:v>W0055</x:v>
      </x:c>
      <x:c r="D606" s="17" t="str">
        <x:v>C001</x:v>
      </x:c>
      <x:c r="E606" s="17" t="str">
        <x:v>InsightDesk</x:v>
      </x:c>
      <x:c r="F606" s="17" t="str">
        <x:v>Pro</x:v>
      </x:c>
      <x:c r="G606" s="17" t="n">
        <x:v>14110</x:v>
      </x:c>
      <x:c r="H606" s="17" t="n">
        <x:v>6669</x:v>
      </x:c>
      <x:c r="I606" s="17" t="str">
        <x:v>Followup</x:v>
      </x:c>
      <x:c r="J606" s="27" t="n">
        <x:f>INDEX('Model Pricing'!$B$7:$B$8,MATCH(F606,'Model Pricing'!$A$7:$A$8,0))</x:f>
        <x:v>40</x:v>
      </x:c>
      <x:c r="K606" s="27" t="n">
        <x:f>INDEX('Model Pricing'!$C$7:$C$8,MATCH(F606,'Model Pricing'!$A$7:$A$8,0))</x:f>
        <x:v>100</x:v>
      </x:c>
      <x:c r="L606" s="17" t="n">
        <x:f>G606+H606</x:f>
        <x:v>20779</x:v>
      </x:c>
      <x:c r="M606" s="28" t="n">
        <x:f>G606*J606/1000000</x:f>
        <x:v>0.5644</x:v>
      </x:c>
      <x:c r="N606" s="28" t="n">
        <x:f>H606*K606/1000000</x:f>
        <x:v>0.6669</x:v>
      </x:c>
      <x:c r="O606" s="28" t="n">
        <x:f>SUM(M606:N606)</x:f>
        <x:v>1.2313</x:v>
      </x:c>
    </x:row>
    <x:row r="607" ht="23" customHeight="1">
      <x:c r="A607" s="17" t="str">
        <x:v>U00601</x:v>
      </x:c>
      <x:c r="B607" s="18" t="n">
        <x:v>46275</x:v>
      </x:c>
      <x:c r="C607" s="17" t="str">
        <x:v>W0061</x:v>
      </x:c>
      <x:c r="D607" s="17" t="str">
        <x:v>C002</x:v>
      </x:c>
      <x:c r="E607" s="17" t="str">
        <x:v>CopyStudio</x:v>
      </x:c>
      <x:c r="F607" s="17" t="str">
        <x:v>Lite</x:v>
      </x:c>
      <x:c r="G607" s="17" t="n">
        <x:v>21456</x:v>
      </x:c>
      <x:c r="H607" s="17" t="n">
        <x:v>8682</x:v>
      </x:c>
      <x:c r="I607" s="17" t="str">
        <x:v>First attempt</x:v>
      </x:c>
      <x:c r="J607" s="27" t="n">
        <x:f>INDEX('Model Pricing'!$B$7:$B$8,MATCH(F607,'Model Pricing'!$A$7:$A$8,0))</x:f>
        <x:v>10</x:v>
      </x:c>
      <x:c r="K607" s="27" t="n">
        <x:f>INDEX('Model Pricing'!$C$7:$C$8,MATCH(F607,'Model Pricing'!$A$7:$A$8,0))</x:f>
        <x:v>30</x:v>
      </x:c>
      <x:c r="L607" s="17" t="n">
        <x:f>G607+H607</x:f>
        <x:v>30138</x:v>
      </x:c>
      <x:c r="M607" s="28" t="n">
        <x:f>G607*J607/1000000</x:f>
        <x:v>0.21456</x:v>
      </x:c>
      <x:c r="N607" s="28" t="n">
        <x:f>H607*K607/1000000</x:f>
        <x:v>0.26046</x:v>
      </x:c>
      <x:c r="O607" s="28" t="n">
        <x:f>SUM(M607:N607)</x:f>
        <x:v>0.47502</x:v>
      </x:c>
    </x:row>
    <x:row r="608" ht="23" customHeight="1">
      <x:c r="A608" s="17" t="str">
        <x:v>U00602</x:v>
      </x:c>
      <x:c r="B608" s="18" t="n">
        <x:v>46275</x:v>
      </x:c>
      <x:c r="C608" s="17" t="str">
        <x:v>W0061</x:v>
      </x:c>
      <x:c r="D608" s="17" t="str">
        <x:v>C002</x:v>
      </x:c>
      <x:c r="E608" s="17" t="str">
        <x:v>CopyStudio</x:v>
      </x:c>
      <x:c r="F608" s="17" t="str">
        <x:v>Lite</x:v>
      </x:c>
      <x:c r="G608" s="17" t="n">
        <x:v>34474</x:v>
      </x:c>
      <x:c r="H608" s="17" t="n">
        <x:v>3608</x:v>
      </x:c>
      <x:c r="I608" s="17" t="str">
        <x:v>Followup</x:v>
      </x:c>
      <x:c r="J608" s="27" t="n">
        <x:f>INDEX('Model Pricing'!$B$7:$B$8,MATCH(F608,'Model Pricing'!$A$7:$A$8,0))</x:f>
        <x:v>10</x:v>
      </x:c>
      <x:c r="K608" s="27" t="n">
        <x:f>INDEX('Model Pricing'!$C$7:$C$8,MATCH(F608,'Model Pricing'!$A$7:$A$8,0))</x:f>
        <x:v>30</x:v>
      </x:c>
      <x:c r="L608" s="17" t="n">
        <x:f>G608+H608</x:f>
        <x:v>38082</x:v>
      </x:c>
      <x:c r="M608" s="28" t="n">
        <x:f>G608*J608/1000000</x:f>
        <x:v>0.34474</x:v>
      </x:c>
      <x:c r="N608" s="28" t="n">
        <x:f>H608*K608/1000000</x:f>
        <x:v>0.10824</x:v>
      </x:c>
      <x:c r="O608" s="28" t="n">
        <x:f>SUM(M608:N608)</x:f>
        <x:v>0.45298</x:v>
      </x:c>
    </x:row>
    <x:row r="609" ht="23" customHeight="1">
      <x:c r="A609" s="17" t="str">
        <x:v>U00603</x:v>
      </x:c>
      <x:c r="B609" s="18" t="n">
        <x:v>46275</x:v>
      </x:c>
      <x:c r="C609" s="17" t="str">
        <x:v>W0061</x:v>
      </x:c>
      <x:c r="D609" s="17" t="str">
        <x:v>C002</x:v>
      </x:c>
      <x:c r="E609" s="17" t="str">
        <x:v>CopyStudio</x:v>
      </x:c>
      <x:c r="F609" s="17" t="str">
        <x:v>Lite</x:v>
      </x:c>
      <x:c r="G609" s="17" t="n">
        <x:v>50080</x:v>
      </x:c>
      <x:c r="H609" s="17" t="n">
        <x:v>9378</x:v>
      </x:c>
      <x:c r="I609" s="17" t="str">
        <x:v>Correction</x:v>
      </x:c>
      <x:c r="J609" s="27" t="n">
        <x:f>INDEX('Model Pricing'!$B$7:$B$8,MATCH(F609,'Model Pricing'!$A$7:$A$8,0))</x:f>
        <x:v>10</x:v>
      </x:c>
      <x:c r="K609" s="27" t="n">
        <x:f>INDEX('Model Pricing'!$C$7:$C$8,MATCH(F609,'Model Pricing'!$A$7:$A$8,0))</x:f>
        <x:v>30</x:v>
      </x:c>
      <x:c r="L609" s="17" t="n">
        <x:f>G609+H609</x:f>
        <x:v>59458</x:v>
      </x:c>
      <x:c r="M609" s="28" t="n">
        <x:f>G609*J609/1000000</x:f>
        <x:v>0.5008</x:v>
      </x:c>
      <x:c r="N609" s="28" t="n">
        <x:f>H609*K609/1000000</x:f>
        <x:v>0.28134</x:v>
      </x:c>
      <x:c r="O609" s="28" t="n">
        <x:f>SUM(M609:N609)</x:f>
        <x:v>0.7821400000000001</x:v>
      </x:c>
    </x:row>
    <x:row r="610" ht="23" customHeight="1">
      <x:c r="A610" s="17" t="str">
        <x:v>U00604</x:v>
      </x:c>
      <x:c r="B610" s="18" t="n">
        <x:v>46276</x:v>
      </x:c>
      <x:c r="C610" s="17" t="str">
        <x:v>W0061</x:v>
      </x:c>
      <x:c r="D610" s="17" t="str">
        <x:v>C002</x:v>
      </x:c>
      <x:c r="E610" s="17" t="str">
        <x:v>CopyStudio</x:v>
      </x:c>
      <x:c r="F610" s="17" t="str">
        <x:v>Lite</x:v>
      </x:c>
      <x:c r="G610" s="17" t="n">
        <x:v>47058</x:v>
      </x:c>
      <x:c r="H610" s="17" t="n">
        <x:v>7753</x:v>
      </x:c>
      <x:c r="I610" s="17" t="str">
        <x:v>Followup</x:v>
      </x:c>
      <x:c r="J610" s="27" t="n">
        <x:f>INDEX('Model Pricing'!$B$7:$B$8,MATCH(F610,'Model Pricing'!$A$7:$A$8,0))</x:f>
        <x:v>10</x:v>
      </x:c>
      <x:c r="K610" s="27" t="n">
        <x:f>INDEX('Model Pricing'!$C$7:$C$8,MATCH(F610,'Model Pricing'!$A$7:$A$8,0))</x:f>
        <x:v>30</x:v>
      </x:c>
      <x:c r="L610" s="17" t="n">
        <x:f>G610+H610</x:f>
        <x:v>54811</x:v>
      </x:c>
      <x:c r="M610" s="28" t="n">
        <x:f>G610*J610/1000000</x:f>
        <x:v>0.47058</x:v>
      </x:c>
      <x:c r="N610" s="28" t="n">
        <x:f>H610*K610/1000000</x:f>
        <x:v>0.23259</x:v>
      </x:c>
      <x:c r="O610" s="28" t="n">
        <x:f>SUM(M610:N610)</x:f>
        <x:v>0.70317</x:v>
      </x:c>
    </x:row>
    <x:row r="611" ht="23" customHeight="1">
      <x:c r="A611" s="17" t="str">
        <x:v>U00605</x:v>
      </x:c>
      <x:c r="B611" s="18" t="n">
        <x:v>46276</x:v>
      </x:c>
      <x:c r="C611" s="17" t="str">
        <x:v>W0061</x:v>
      </x:c>
      <x:c r="D611" s="17" t="str">
        <x:v>C002</x:v>
      </x:c>
      <x:c r="E611" s="17" t="str">
        <x:v>CopyStudio</x:v>
      </x:c>
      <x:c r="F611" s="17" t="str">
        <x:v>Lite</x:v>
      </x:c>
      <x:c r="G611" s="17" t="n">
        <x:v>42242</x:v>
      </x:c>
      <x:c r="H611" s="17" t="n">
        <x:v>9274</x:v>
      </x:c>
      <x:c r="I611" s="17" t="str">
        <x:v>Correction</x:v>
      </x:c>
      <x:c r="J611" s="27" t="n">
        <x:f>INDEX('Model Pricing'!$B$7:$B$8,MATCH(F611,'Model Pricing'!$A$7:$A$8,0))</x:f>
        <x:v>10</x:v>
      </x:c>
      <x:c r="K611" s="27" t="n">
        <x:f>INDEX('Model Pricing'!$C$7:$C$8,MATCH(F611,'Model Pricing'!$A$7:$A$8,0))</x:f>
        <x:v>30</x:v>
      </x:c>
      <x:c r="L611" s="17" t="n">
        <x:f>G611+H611</x:f>
        <x:v>51516</x:v>
      </x:c>
      <x:c r="M611" s="28" t="n">
        <x:f>G611*J611/1000000</x:f>
        <x:v>0.42242</x:v>
      </x:c>
      <x:c r="N611" s="28" t="n">
        <x:f>H611*K611/1000000</x:f>
        <x:v>0.27822</x:v>
      </x:c>
      <x:c r="O611" s="28" t="n">
        <x:f>SUM(M611:N611)</x:f>
        <x:v>0.70064</x:v>
      </x:c>
    </x:row>
    <x:row r="612" ht="23" customHeight="1">
      <x:c r="A612" s="17" t="str">
        <x:v>U00606</x:v>
      </x:c>
      <x:c r="B612" s="18" t="n">
        <x:v>46276</x:v>
      </x:c>
      <x:c r="C612" s="17" t="str">
        <x:v>W0061</x:v>
      </x:c>
      <x:c r="D612" s="17" t="str">
        <x:v>C002</x:v>
      </x:c>
      <x:c r="E612" s="17" t="str">
        <x:v>CopyStudio</x:v>
      </x:c>
      <x:c r="F612" s="17" t="str">
        <x:v>Lite</x:v>
      </x:c>
      <x:c r="G612" s="17" t="n">
        <x:v>40830</x:v>
      </x:c>
      <x:c r="H612" s="17" t="n">
        <x:v>5582</x:v>
      </x:c>
      <x:c r="I612" s="17" t="str">
        <x:v>Correction</x:v>
      </x:c>
      <x:c r="J612" s="27" t="n">
        <x:f>INDEX('Model Pricing'!$B$7:$B$8,MATCH(F612,'Model Pricing'!$A$7:$A$8,0))</x:f>
        <x:v>10</x:v>
      </x:c>
      <x:c r="K612" s="27" t="n">
        <x:f>INDEX('Model Pricing'!$C$7:$C$8,MATCH(F612,'Model Pricing'!$A$7:$A$8,0))</x:f>
        <x:v>30</x:v>
      </x:c>
      <x:c r="L612" s="17" t="n">
        <x:f>G612+H612</x:f>
        <x:v>46412</x:v>
      </x:c>
      <x:c r="M612" s="28" t="n">
        <x:f>G612*J612/1000000</x:f>
        <x:v>0.4083</x:v>
      </x:c>
      <x:c r="N612" s="28" t="n">
        <x:f>H612*K612/1000000</x:f>
        <x:v>0.16746</x:v>
      </x:c>
      <x:c r="O612" s="28" t="n">
        <x:f>SUM(M612:N612)</x:f>
        <x:v>0.57576</x:v>
      </x:c>
    </x:row>
    <x:row r="613" ht="23" customHeight="1">
      <x:c r="A613" s="17" t="str">
        <x:v>U00607</x:v>
      </x:c>
      <x:c r="B613" s="18" t="n">
        <x:v>46279</x:v>
      </x:c>
      <x:c r="C613" s="17" t="str">
        <x:v>W0061</x:v>
      </x:c>
      <x:c r="D613" s="17" t="str">
        <x:v>C002</x:v>
      </x:c>
      <x:c r="E613" s="17" t="str">
        <x:v>CopyStudio</x:v>
      </x:c>
      <x:c r="F613" s="17" t="str">
        <x:v>Lite</x:v>
      </x:c>
      <x:c r="G613" s="17" t="n">
        <x:v>39500</x:v>
      </x:c>
      <x:c r="H613" s="17" t="n">
        <x:v>2719</x:v>
      </x:c>
      <x:c r="I613" s="17" t="str">
        <x:v>Followup</x:v>
      </x:c>
      <x:c r="J613" s="27" t="n">
        <x:f>INDEX('Model Pricing'!$B$7:$B$8,MATCH(F613,'Model Pricing'!$A$7:$A$8,0))</x:f>
        <x:v>10</x:v>
      </x:c>
      <x:c r="K613" s="27" t="n">
        <x:f>INDEX('Model Pricing'!$C$7:$C$8,MATCH(F613,'Model Pricing'!$A$7:$A$8,0))</x:f>
        <x:v>30</x:v>
      </x:c>
      <x:c r="L613" s="17" t="n">
        <x:f>G613+H613</x:f>
        <x:v>42219</x:v>
      </x:c>
      <x:c r="M613" s="28" t="n">
        <x:f>G613*J613/1000000</x:f>
        <x:v>0.395</x:v>
      </x:c>
      <x:c r="N613" s="28" t="n">
        <x:f>H613*K613/1000000</x:f>
        <x:v>0.08157</x:v>
      </x:c>
      <x:c r="O613" s="28" t="n">
        <x:f>SUM(M613:N613)</x:f>
        <x:v>0.47657000000000005</x:v>
      </x:c>
    </x:row>
    <x:row r="614" ht="23" customHeight="1">
      <x:c r="A614" s="17" t="str">
        <x:v>U00608</x:v>
      </x:c>
      <x:c r="B614" s="18" t="n">
        <x:v>46279</x:v>
      </x:c>
      <x:c r="C614" s="17" t="str">
        <x:v>W0061</x:v>
      </x:c>
      <x:c r="D614" s="17" t="str">
        <x:v>C002</x:v>
      </x:c>
      <x:c r="E614" s="17" t="str">
        <x:v>CopyStudio</x:v>
      </x:c>
      <x:c r="F614" s="17" t="str">
        <x:v>Lite</x:v>
      </x:c>
      <x:c r="G614" s="17" t="n">
        <x:v>48363</x:v>
      </x:c>
      <x:c r="H614" s="17" t="n">
        <x:v>9866</x:v>
      </x:c>
      <x:c r="I614" s="17" t="str">
        <x:v>Followup</x:v>
      </x:c>
      <x:c r="J614" s="27" t="n">
        <x:f>INDEX('Model Pricing'!$B$7:$B$8,MATCH(F614,'Model Pricing'!$A$7:$A$8,0))</x:f>
        <x:v>10</x:v>
      </x:c>
      <x:c r="K614" s="27" t="n">
        <x:f>INDEX('Model Pricing'!$C$7:$C$8,MATCH(F614,'Model Pricing'!$A$7:$A$8,0))</x:f>
        <x:v>30</x:v>
      </x:c>
      <x:c r="L614" s="17" t="n">
        <x:f>G614+H614</x:f>
        <x:v>58229</x:v>
      </x:c>
      <x:c r="M614" s="28" t="n">
        <x:f>G614*J614/1000000</x:f>
        <x:v>0.48363</x:v>
      </x:c>
      <x:c r="N614" s="28" t="n">
        <x:f>H614*K614/1000000</x:f>
        <x:v>0.29598</x:v>
      </x:c>
      <x:c r="O614" s="28" t="n">
        <x:f>SUM(M614:N614)</x:f>
        <x:v>0.77961</x:v>
      </x:c>
    </x:row>
    <x:row r="615" ht="23" customHeight="1">
      <x:c r="A615" s="17" t="str">
        <x:v>U00609</x:v>
      </x:c>
      <x:c r="B615" s="18" t="n">
        <x:v>46279</x:v>
      </x:c>
      <x:c r="C615" s="17" t="str">
        <x:v>W0061</x:v>
      </x:c>
      <x:c r="D615" s="17" t="str">
        <x:v>C002</x:v>
      </x:c>
      <x:c r="E615" s="17" t="str">
        <x:v>CopyStudio</x:v>
      </x:c>
      <x:c r="F615" s="17" t="str">
        <x:v>Lite</x:v>
      </x:c>
      <x:c r="G615" s="17" t="n">
        <x:v>42778</x:v>
      </x:c>
      <x:c r="H615" s="17" t="n">
        <x:v>5443</x:v>
      </x:c>
      <x:c r="I615" s="17" t="str">
        <x:v>Followup</x:v>
      </x:c>
      <x:c r="J615" s="27" t="n">
        <x:f>INDEX('Model Pricing'!$B$7:$B$8,MATCH(F615,'Model Pricing'!$A$7:$A$8,0))</x:f>
        <x:v>10</x:v>
      </x:c>
      <x:c r="K615" s="27" t="n">
        <x:f>INDEX('Model Pricing'!$C$7:$C$8,MATCH(F615,'Model Pricing'!$A$7:$A$8,0))</x:f>
        <x:v>30</x:v>
      </x:c>
      <x:c r="L615" s="17" t="n">
        <x:f>G615+H615</x:f>
        <x:v>48221</x:v>
      </x:c>
      <x:c r="M615" s="28" t="n">
        <x:f>G615*J615/1000000</x:f>
        <x:v>0.42778</x:v>
      </x:c>
      <x:c r="N615" s="28" t="n">
        <x:f>H615*K615/1000000</x:f>
        <x:v>0.16329</x:v>
      </x:c>
      <x:c r="O615" s="28" t="n">
        <x:f>SUM(M615:N615)</x:f>
        <x:v>0.59107</x:v>
      </x:c>
    </x:row>
    <x:row r="616" ht="23" customHeight="1">
      <x:c r="A616" s="17" t="str">
        <x:v>U00610</x:v>
      </x:c>
      <x:c r="B616" s="18" t="n">
        <x:v>46280</x:v>
      </x:c>
      <x:c r="C616" s="17" t="str">
        <x:v>W0061</x:v>
      </x:c>
      <x:c r="D616" s="17" t="str">
        <x:v>C002</x:v>
      </x:c>
      <x:c r="E616" s="17" t="str">
        <x:v>CopyStudio</x:v>
      </x:c>
      <x:c r="F616" s="17" t="str">
        <x:v>Lite</x:v>
      </x:c>
      <x:c r="G616" s="17" t="n">
        <x:v>42212</x:v>
      </x:c>
      <x:c r="H616" s="17" t="n">
        <x:v>8716</x:v>
      </x:c>
      <x:c r="I616" s="17" t="str">
        <x:v>Followup</x:v>
      </x:c>
      <x:c r="J616" s="27" t="n">
        <x:f>INDEX('Model Pricing'!$B$7:$B$8,MATCH(F616,'Model Pricing'!$A$7:$A$8,0))</x:f>
        <x:v>10</x:v>
      </x:c>
      <x:c r="K616" s="27" t="n">
        <x:f>INDEX('Model Pricing'!$C$7:$C$8,MATCH(F616,'Model Pricing'!$A$7:$A$8,0))</x:f>
        <x:v>30</x:v>
      </x:c>
      <x:c r="L616" s="17" t="n">
        <x:f>G616+H616</x:f>
        <x:v>50928</x:v>
      </x:c>
      <x:c r="M616" s="28" t="n">
        <x:f>G616*J616/1000000</x:f>
        <x:v>0.42212</x:v>
      </x:c>
      <x:c r="N616" s="28" t="n">
        <x:f>H616*K616/1000000</x:f>
        <x:v>0.26148</x:v>
      </x:c>
      <x:c r="O616" s="28" t="n">
        <x:f>SUM(M616:N616)</x:f>
        <x:v>0.6836</x:v>
      </x:c>
    </x:row>
    <x:row r="617" ht="23" customHeight="1">
      <x:c r="A617" s="17" t="str">
        <x:v>U00611</x:v>
      </x:c>
      <x:c r="B617" s="18" t="n">
        <x:v>46280</x:v>
      </x:c>
      <x:c r="C617" s="17" t="str">
        <x:v>W0061</x:v>
      </x:c>
      <x:c r="D617" s="17" t="str">
        <x:v>C002</x:v>
      </x:c>
      <x:c r="E617" s="17" t="str">
        <x:v>CopyStudio</x:v>
      </x:c>
      <x:c r="F617" s="17" t="str">
        <x:v>Lite</x:v>
      </x:c>
      <x:c r="G617" s="17" t="n">
        <x:v>50327</x:v>
      </x:c>
      <x:c r="H617" s="17" t="n">
        <x:v>3541</x:v>
      </x:c>
      <x:c r="I617" s="17" t="str">
        <x:v>Followup</x:v>
      </x:c>
      <x:c r="J617" s="27" t="n">
        <x:f>INDEX('Model Pricing'!$B$7:$B$8,MATCH(F617,'Model Pricing'!$A$7:$A$8,0))</x:f>
        <x:v>10</x:v>
      </x:c>
      <x:c r="K617" s="27" t="n">
        <x:f>INDEX('Model Pricing'!$C$7:$C$8,MATCH(F617,'Model Pricing'!$A$7:$A$8,0))</x:f>
        <x:v>30</x:v>
      </x:c>
      <x:c r="L617" s="17" t="n">
        <x:f>G617+H617</x:f>
        <x:v>53868</x:v>
      </x:c>
      <x:c r="M617" s="28" t="n">
        <x:f>G617*J617/1000000</x:f>
        <x:v>0.50327</x:v>
      </x:c>
      <x:c r="N617" s="28" t="n">
        <x:f>H617*K617/1000000</x:f>
        <x:v>0.10623</x:v>
      </x:c>
      <x:c r="O617" s="28" t="n">
        <x:f>SUM(M617:N617)</x:f>
        <x:v>0.6095</x:v>
      </x:c>
    </x:row>
    <x:row r="618" ht="23" customHeight="1">
      <x:c r="A618" s="17" t="str">
        <x:v>U00612</x:v>
      </x:c>
      <x:c r="B618" s="18" t="n">
        <x:v>46280</x:v>
      </x:c>
      <x:c r="C618" s="17" t="str">
        <x:v>W0061</x:v>
      </x:c>
      <x:c r="D618" s="17" t="str">
        <x:v>C002</x:v>
      </x:c>
      <x:c r="E618" s="17" t="str">
        <x:v>CopyStudio</x:v>
      </x:c>
      <x:c r="F618" s="17" t="str">
        <x:v>Lite</x:v>
      </x:c>
      <x:c r="G618" s="17" t="n">
        <x:v>47533</x:v>
      </x:c>
      <x:c r="H618" s="17" t="n">
        <x:v>7876</x:v>
      </x:c>
      <x:c r="I618" s="17" t="str">
        <x:v>Correction</x:v>
      </x:c>
      <x:c r="J618" s="27" t="n">
        <x:f>INDEX('Model Pricing'!$B$7:$B$8,MATCH(F618,'Model Pricing'!$A$7:$A$8,0))</x:f>
        <x:v>10</x:v>
      </x:c>
      <x:c r="K618" s="27" t="n">
        <x:f>INDEX('Model Pricing'!$C$7:$C$8,MATCH(F618,'Model Pricing'!$A$7:$A$8,0))</x:f>
        <x:v>30</x:v>
      </x:c>
      <x:c r="L618" s="17" t="n">
        <x:f>G618+H618</x:f>
        <x:v>55409</x:v>
      </x:c>
      <x:c r="M618" s="28" t="n">
        <x:f>G618*J618/1000000</x:f>
        <x:v>0.47533</x:v>
      </x:c>
      <x:c r="N618" s="28" t="n">
        <x:f>H618*K618/1000000</x:f>
        <x:v>0.23628</x:v>
      </x:c>
      <x:c r="O618" s="28" t="n">
        <x:f>SUM(M618:N618)</x:f>
        <x:v>0.71161</x:v>
      </x:c>
    </x:row>
    <x:row r="619" ht="23" customHeight="1">
      <x:c r="A619" s="17" t="str">
        <x:v>U00613</x:v>
      </x:c>
      <x:c r="B619" s="18" t="n">
        <x:v>46268</x:v>
      </x:c>
      <x:c r="C619" s="17" t="str">
        <x:v>W0063</x:v>
      </x:c>
      <x:c r="D619" s="17" t="str">
        <x:v>C002</x:v>
      </x:c>
      <x:c r="E619" s="17" t="str">
        <x:v>CampaignChat</x:v>
      </x:c>
      <x:c r="F619" s="17" t="str">
        <x:v>Lite</x:v>
      </x:c>
      <x:c r="G619" s="17" t="n">
        <x:v>36183</x:v>
      </x:c>
      <x:c r="H619" s="17" t="n">
        <x:v>6529</x:v>
      </x:c>
      <x:c r="I619" s="17" t="str">
        <x:v>First attempt</x:v>
      </x:c>
      <x:c r="J619" s="27" t="n">
        <x:f>INDEX('Model Pricing'!$B$7:$B$8,MATCH(F619,'Model Pricing'!$A$7:$A$8,0))</x:f>
        <x:v>10</x:v>
      </x:c>
      <x:c r="K619" s="27" t="n">
        <x:f>INDEX('Model Pricing'!$C$7:$C$8,MATCH(F619,'Model Pricing'!$A$7:$A$8,0))</x:f>
        <x:v>30</x:v>
      </x:c>
      <x:c r="L619" s="17" t="n">
        <x:f>G619+H619</x:f>
        <x:v>42712</x:v>
      </x:c>
      <x:c r="M619" s="28" t="n">
        <x:f>G619*J619/1000000</x:f>
        <x:v>0.36183</x:v>
      </x:c>
      <x:c r="N619" s="28" t="n">
        <x:f>H619*K619/1000000</x:f>
        <x:v>0.19587</x:v>
      </x:c>
      <x:c r="O619" s="28" t="n">
        <x:f>SUM(M619:N619)</x:f>
        <x:v>0.5577</x:v>
      </x:c>
    </x:row>
    <x:row r="620" ht="23" customHeight="1">
      <x:c r="A620" s="17" t="str">
        <x:v>U00614</x:v>
      </x:c>
      <x:c r="B620" s="18" t="n">
        <x:v>46268</x:v>
      </x:c>
      <x:c r="C620" s="17" t="str">
        <x:v>W0063</x:v>
      </x:c>
      <x:c r="D620" s="17" t="str">
        <x:v>C002</x:v>
      </x:c>
      <x:c r="E620" s="17" t="str">
        <x:v>CampaignChat</x:v>
      </x:c>
      <x:c r="F620" s="17" t="str">
        <x:v>Lite</x:v>
      </x:c>
      <x:c r="G620" s="17" t="n">
        <x:v>26510</x:v>
      </x:c>
      <x:c r="H620" s="17" t="n">
        <x:v>7975</x:v>
      </x:c>
      <x:c r="I620" s="17" t="str">
        <x:v>Followup</x:v>
      </x:c>
      <x:c r="J620" s="27" t="n">
        <x:f>INDEX('Model Pricing'!$B$7:$B$8,MATCH(F620,'Model Pricing'!$A$7:$A$8,0))</x:f>
        <x:v>10</x:v>
      </x:c>
      <x:c r="K620" s="27" t="n">
        <x:f>INDEX('Model Pricing'!$C$7:$C$8,MATCH(F620,'Model Pricing'!$A$7:$A$8,0))</x:f>
        <x:v>30</x:v>
      </x:c>
      <x:c r="L620" s="17" t="n">
        <x:f>G620+H620</x:f>
        <x:v>34485</x:v>
      </x:c>
      <x:c r="M620" s="28" t="n">
        <x:f>G620*J620/1000000</x:f>
        <x:v>0.2651</x:v>
      </x:c>
      <x:c r="N620" s="28" t="n">
        <x:f>H620*K620/1000000</x:f>
        <x:v>0.23925</x:v>
      </x:c>
      <x:c r="O620" s="28" t="n">
        <x:f>SUM(M620:N620)</x:f>
        <x:v>0.50435</x:v>
      </x:c>
    </x:row>
    <x:row r="621" ht="23" customHeight="1">
      <x:c r="A621" s="17" t="str">
        <x:v>U00615</x:v>
      </x:c>
      <x:c r="B621" s="18" t="n">
        <x:v>46268</x:v>
      </x:c>
      <x:c r="C621" s="17" t="str">
        <x:v>W0063</x:v>
      </x:c>
      <x:c r="D621" s="17" t="str">
        <x:v>C002</x:v>
      </x:c>
      <x:c r="E621" s="17" t="str">
        <x:v>CampaignChat</x:v>
      </x:c>
      <x:c r="F621" s="17" t="str">
        <x:v>Lite</x:v>
      </x:c>
      <x:c r="G621" s="17" t="n">
        <x:v>55084</x:v>
      </x:c>
      <x:c r="H621" s="17" t="n">
        <x:v>10340</x:v>
      </x:c>
      <x:c r="I621" s="17" t="str">
        <x:v>Correction</x:v>
      </x:c>
      <x:c r="J621" s="27" t="n">
        <x:f>INDEX('Model Pricing'!$B$7:$B$8,MATCH(F621,'Model Pricing'!$A$7:$A$8,0))</x:f>
        <x:v>10</x:v>
      </x:c>
      <x:c r="K621" s="27" t="n">
        <x:f>INDEX('Model Pricing'!$C$7:$C$8,MATCH(F621,'Model Pricing'!$A$7:$A$8,0))</x:f>
        <x:v>30</x:v>
      </x:c>
      <x:c r="L621" s="17" t="n">
        <x:f>G621+H621</x:f>
        <x:v>65424</x:v>
      </x:c>
      <x:c r="M621" s="28" t="n">
        <x:f>G621*J621/1000000</x:f>
        <x:v>0.55084</x:v>
      </x:c>
      <x:c r="N621" s="28" t="n">
        <x:f>H621*K621/1000000</x:f>
        <x:v>0.3102</x:v>
      </x:c>
      <x:c r="O621" s="28" t="n">
        <x:f>SUM(M621:N621)</x:f>
        <x:v>0.86104</x:v>
      </x:c>
    </x:row>
    <x:row r="622" ht="23" customHeight="1">
      <x:c r="A622" s="17" t="str">
        <x:v>U00616</x:v>
      </x:c>
      <x:c r="B622" s="18" t="n">
        <x:v>46268</x:v>
      </x:c>
      <x:c r="C622" s="17" t="str">
        <x:v>W0063</x:v>
      </x:c>
      <x:c r="D622" s="17" t="str">
        <x:v>C002</x:v>
      </x:c>
      <x:c r="E622" s="17" t="str">
        <x:v>CampaignChat</x:v>
      </x:c>
      <x:c r="F622" s="17" t="str">
        <x:v>Lite</x:v>
      </x:c>
      <x:c r="G622" s="17" t="n">
        <x:v>41536</x:v>
      </x:c>
      <x:c r="H622" s="17" t="n">
        <x:v>7541</x:v>
      </x:c>
      <x:c r="I622" s="17" t="str">
        <x:v>Followup</x:v>
      </x:c>
      <x:c r="J622" s="27" t="n">
        <x:f>INDEX('Model Pricing'!$B$7:$B$8,MATCH(F622,'Model Pricing'!$A$7:$A$8,0))</x:f>
        <x:v>10</x:v>
      </x:c>
      <x:c r="K622" s="27" t="n">
        <x:f>INDEX('Model Pricing'!$C$7:$C$8,MATCH(F622,'Model Pricing'!$A$7:$A$8,0))</x:f>
        <x:v>30</x:v>
      </x:c>
      <x:c r="L622" s="17" t="n">
        <x:f>G622+H622</x:f>
        <x:v>49077</x:v>
      </x:c>
      <x:c r="M622" s="28" t="n">
        <x:f>G622*J622/1000000</x:f>
        <x:v>0.41536</x:v>
      </x:c>
      <x:c r="N622" s="28" t="n">
        <x:f>H622*K622/1000000</x:f>
        <x:v>0.22623</x:v>
      </x:c>
      <x:c r="O622" s="28" t="n">
        <x:f>SUM(M622:N622)</x:f>
        <x:v>0.64159</x:v>
      </x:c>
    </x:row>
    <x:row r="623" ht="23" customHeight="1">
      <x:c r="A623" s="17" t="str">
        <x:v>U00617</x:v>
      </x:c>
      <x:c r="B623" s="18" t="n">
        <x:v>46269</x:v>
      </x:c>
      <x:c r="C623" s="17" t="str">
        <x:v>W0063</x:v>
      </x:c>
      <x:c r="D623" s="17" t="str">
        <x:v>C002</x:v>
      </x:c>
      <x:c r="E623" s="17" t="str">
        <x:v>CampaignChat</x:v>
      </x:c>
      <x:c r="F623" s="17" t="str">
        <x:v>Lite</x:v>
      </x:c>
      <x:c r="G623" s="17" t="n">
        <x:v>43291</x:v>
      </x:c>
      <x:c r="H623" s="17" t="n">
        <x:v>3752</x:v>
      </x:c>
      <x:c r="I623" s="17" t="str">
        <x:v>Followup</x:v>
      </x:c>
      <x:c r="J623" s="27" t="n">
        <x:f>INDEX('Model Pricing'!$B$7:$B$8,MATCH(F623,'Model Pricing'!$A$7:$A$8,0))</x:f>
        <x:v>10</x:v>
      </x:c>
      <x:c r="K623" s="27" t="n">
        <x:f>INDEX('Model Pricing'!$C$7:$C$8,MATCH(F623,'Model Pricing'!$A$7:$A$8,0))</x:f>
        <x:v>30</x:v>
      </x:c>
      <x:c r="L623" s="17" t="n">
        <x:f>G623+H623</x:f>
        <x:v>47043</x:v>
      </x:c>
      <x:c r="M623" s="28" t="n">
        <x:f>G623*J623/1000000</x:f>
        <x:v>0.43291</x:v>
      </x:c>
      <x:c r="N623" s="28" t="n">
        <x:f>H623*K623/1000000</x:f>
        <x:v>0.11256</x:v>
      </x:c>
      <x:c r="O623" s="28" t="n">
        <x:f>SUM(M623:N623)</x:f>
        <x:v>0.54547</x:v>
      </x:c>
    </x:row>
    <x:row r="624" ht="23" customHeight="1">
      <x:c r="A624" s="17" t="str">
        <x:v>U00618</x:v>
      </x:c>
      <x:c r="B624" s="18" t="n">
        <x:v>46269</x:v>
      </x:c>
      <x:c r="C624" s="17" t="str">
        <x:v>W0063</x:v>
      </x:c>
      <x:c r="D624" s="17" t="str">
        <x:v>C002</x:v>
      </x:c>
      <x:c r="E624" s="17" t="str">
        <x:v>CampaignChat</x:v>
      </x:c>
      <x:c r="F624" s="17" t="str">
        <x:v>Lite</x:v>
      </x:c>
      <x:c r="G624" s="17" t="n">
        <x:v>38669</x:v>
      </x:c>
      <x:c r="H624" s="17" t="n">
        <x:v>3189</x:v>
      </x:c>
      <x:c r="I624" s="17" t="str">
        <x:v>Correction</x:v>
      </x:c>
      <x:c r="J624" s="27" t="n">
        <x:f>INDEX('Model Pricing'!$B$7:$B$8,MATCH(F624,'Model Pricing'!$A$7:$A$8,0))</x:f>
        <x:v>10</x:v>
      </x:c>
      <x:c r="K624" s="27" t="n">
        <x:f>INDEX('Model Pricing'!$C$7:$C$8,MATCH(F624,'Model Pricing'!$A$7:$A$8,0))</x:f>
        <x:v>30</x:v>
      </x:c>
      <x:c r="L624" s="17" t="n">
        <x:f>G624+H624</x:f>
        <x:v>41858</x:v>
      </x:c>
      <x:c r="M624" s="28" t="n">
        <x:f>G624*J624/1000000</x:f>
        <x:v>0.38669</x:v>
      </x:c>
      <x:c r="N624" s="28" t="n">
        <x:f>H624*K624/1000000</x:f>
        <x:v>0.09567</x:v>
      </x:c>
      <x:c r="O624" s="28" t="n">
        <x:f>SUM(M624:N624)</x:f>
        <x:v>0.48236</x:v>
      </x:c>
    </x:row>
    <x:row r="625" ht="23" customHeight="1">
      <x:c r="A625" s="17" t="str">
        <x:v>U00619</x:v>
      </x:c>
      <x:c r="B625" s="18" t="n">
        <x:v>46269</x:v>
      </x:c>
      <x:c r="C625" s="17" t="str">
        <x:v>W0063</x:v>
      </x:c>
      <x:c r="D625" s="17" t="str">
        <x:v>C002</x:v>
      </x:c>
      <x:c r="E625" s="17" t="str">
        <x:v>CampaignChat</x:v>
      </x:c>
      <x:c r="F625" s="17" t="str">
        <x:v>Lite</x:v>
      </x:c>
      <x:c r="G625" s="17" t="n">
        <x:v>51131</x:v>
      </x:c>
      <x:c r="H625" s="17" t="n">
        <x:v>6219</x:v>
      </x:c>
      <x:c r="I625" s="17" t="str">
        <x:v>Followup</x:v>
      </x:c>
      <x:c r="J625" s="27" t="n">
        <x:f>INDEX('Model Pricing'!$B$7:$B$8,MATCH(F625,'Model Pricing'!$A$7:$A$8,0))</x:f>
        <x:v>10</x:v>
      </x:c>
      <x:c r="K625" s="27" t="n">
        <x:f>INDEX('Model Pricing'!$C$7:$C$8,MATCH(F625,'Model Pricing'!$A$7:$A$8,0))</x:f>
        <x:v>30</x:v>
      </x:c>
      <x:c r="L625" s="17" t="n">
        <x:f>G625+H625</x:f>
        <x:v>57350</x:v>
      </x:c>
      <x:c r="M625" s="28" t="n">
        <x:f>G625*J625/1000000</x:f>
        <x:v>0.51131</x:v>
      </x:c>
      <x:c r="N625" s="28" t="n">
        <x:f>H625*K625/1000000</x:f>
        <x:v>0.18657</x:v>
      </x:c>
      <x:c r="O625" s="28" t="n">
        <x:f>SUM(M625:N625)</x:f>
        <x:v>0.6978800000000001</x:v>
      </x:c>
    </x:row>
    <x:row r="626" ht="23" customHeight="1">
      <x:c r="A626" s="17" t="str">
        <x:v>U00620</x:v>
      </x:c>
      <x:c r="B626" s="18" t="n">
        <x:v>46269</x:v>
      </x:c>
      <x:c r="C626" s="17" t="str">
        <x:v>W0063</x:v>
      </x:c>
      <x:c r="D626" s="17" t="str">
        <x:v>C002</x:v>
      </x:c>
      <x:c r="E626" s="17" t="str">
        <x:v>CampaignChat</x:v>
      </x:c>
      <x:c r="F626" s="17" t="str">
        <x:v>Lite</x:v>
      </x:c>
      <x:c r="G626" s="17" t="n">
        <x:v>48783</x:v>
      </x:c>
      <x:c r="H626" s="17" t="n">
        <x:v>8394</x:v>
      </x:c>
      <x:c r="I626" s="17" t="str">
        <x:v>Followup</x:v>
      </x:c>
      <x:c r="J626" s="27" t="n">
        <x:f>INDEX('Model Pricing'!$B$7:$B$8,MATCH(F626,'Model Pricing'!$A$7:$A$8,0))</x:f>
        <x:v>10</x:v>
      </x:c>
      <x:c r="K626" s="27" t="n">
        <x:f>INDEX('Model Pricing'!$C$7:$C$8,MATCH(F626,'Model Pricing'!$A$7:$A$8,0))</x:f>
        <x:v>30</x:v>
      </x:c>
      <x:c r="L626" s="17" t="n">
        <x:f>G626+H626</x:f>
        <x:v>57177</x:v>
      </x:c>
      <x:c r="M626" s="28" t="n">
        <x:f>G626*J626/1000000</x:f>
        <x:v>0.48783</x:v>
      </x:c>
      <x:c r="N626" s="28" t="n">
        <x:f>H626*K626/1000000</x:f>
        <x:v>0.25182</x:v>
      </x:c>
      <x:c r="O626" s="28" t="n">
        <x:f>SUM(M626:N626)</x:f>
        <x:v>0.7396499999999999</x:v>
      </x:c>
    </x:row>
    <x:row r="627" ht="23" customHeight="1">
      <x:c r="A627" s="17" t="str">
        <x:v>U00621</x:v>
      </x:c>
      <x:c r="B627" s="18" t="n">
        <x:v>46273</x:v>
      </x:c>
      <x:c r="C627" s="17" t="str">
        <x:v>W0063</x:v>
      </x:c>
      <x:c r="D627" s="17" t="str">
        <x:v>C002</x:v>
      </x:c>
      <x:c r="E627" s="17" t="str">
        <x:v>CampaignChat</x:v>
      </x:c>
      <x:c r="F627" s="17" t="str">
        <x:v>Lite</x:v>
      </x:c>
      <x:c r="G627" s="17" t="n">
        <x:v>46039</x:v>
      </x:c>
      <x:c r="H627" s="17" t="n">
        <x:v>8060</x:v>
      </x:c>
      <x:c r="I627" s="17" t="str">
        <x:v>Correction</x:v>
      </x:c>
      <x:c r="J627" s="27" t="n">
        <x:f>INDEX('Model Pricing'!$B$7:$B$8,MATCH(F627,'Model Pricing'!$A$7:$A$8,0))</x:f>
        <x:v>10</x:v>
      </x:c>
      <x:c r="K627" s="27" t="n">
        <x:f>INDEX('Model Pricing'!$C$7:$C$8,MATCH(F627,'Model Pricing'!$A$7:$A$8,0))</x:f>
        <x:v>30</x:v>
      </x:c>
      <x:c r="L627" s="17" t="n">
        <x:f>G627+H627</x:f>
        <x:v>54099</x:v>
      </x:c>
      <x:c r="M627" s="28" t="n">
        <x:f>G627*J627/1000000</x:f>
        <x:v>0.46039</x:v>
      </x:c>
      <x:c r="N627" s="28" t="n">
        <x:f>H627*K627/1000000</x:f>
        <x:v>0.2418</x:v>
      </x:c>
      <x:c r="O627" s="28" t="n">
        <x:f>SUM(M627:N627)</x:f>
        <x:v>0.70219</x:v>
      </x:c>
    </x:row>
    <x:row r="628" ht="23" customHeight="1">
      <x:c r="A628" s="17" t="str">
        <x:v>U00622</x:v>
      </x:c>
      <x:c r="B628" s="18" t="n">
        <x:v>46273</x:v>
      </x:c>
      <x:c r="C628" s="17" t="str">
        <x:v>W0063</x:v>
      </x:c>
      <x:c r="D628" s="17" t="str">
        <x:v>C002</x:v>
      </x:c>
      <x:c r="E628" s="17" t="str">
        <x:v>CampaignChat</x:v>
      </x:c>
      <x:c r="F628" s="17" t="str">
        <x:v>Lite</x:v>
      </x:c>
      <x:c r="G628" s="17" t="n">
        <x:v>24436</x:v>
      </x:c>
      <x:c r="H628" s="17" t="n">
        <x:v>7980</x:v>
      </x:c>
      <x:c r="I628" s="17" t="str">
        <x:v>Followup</x:v>
      </x:c>
      <x:c r="J628" s="27" t="n">
        <x:f>INDEX('Model Pricing'!$B$7:$B$8,MATCH(F628,'Model Pricing'!$A$7:$A$8,0))</x:f>
        <x:v>10</x:v>
      </x:c>
      <x:c r="K628" s="27" t="n">
        <x:f>INDEX('Model Pricing'!$C$7:$C$8,MATCH(F628,'Model Pricing'!$A$7:$A$8,0))</x:f>
        <x:v>30</x:v>
      </x:c>
      <x:c r="L628" s="17" t="n">
        <x:f>G628+H628</x:f>
        <x:v>32416</x:v>
      </x:c>
      <x:c r="M628" s="28" t="n">
        <x:f>G628*J628/1000000</x:f>
        <x:v>0.24436</x:v>
      </x:c>
      <x:c r="N628" s="28" t="n">
        <x:f>H628*K628/1000000</x:f>
        <x:v>0.2394</x:v>
      </x:c>
      <x:c r="O628" s="28" t="n">
        <x:f>SUM(M628:N628)</x:f>
        <x:v>0.48375999999999997</x:v>
      </x:c>
    </x:row>
    <x:row r="629" ht="23" customHeight="1">
      <x:c r="A629" s="17" t="str">
        <x:v>U00623</x:v>
      </x:c>
      <x:c r="B629" s="18" t="n">
        <x:v>46273</x:v>
      </x:c>
      <x:c r="C629" s="17" t="str">
        <x:v>W0063</x:v>
      </x:c>
      <x:c r="D629" s="17" t="str">
        <x:v>C002</x:v>
      </x:c>
      <x:c r="E629" s="17" t="str">
        <x:v>CampaignChat</x:v>
      </x:c>
      <x:c r="F629" s="17" t="str">
        <x:v>Lite</x:v>
      </x:c>
      <x:c r="G629" s="17" t="n">
        <x:v>52779</x:v>
      </x:c>
      <x:c r="H629" s="17" t="n">
        <x:v>8247</x:v>
      </x:c>
      <x:c r="I629" s="17" t="str">
        <x:v>Correction</x:v>
      </x:c>
      <x:c r="J629" s="27" t="n">
        <x:f>INDEX('Model Pricing'!$B$7:$B$8,MATCH(F629,'Model Pricing'!$A$7:$A$8,0))</x:f>
        <x:v>10</x:v>
      </x:c>
      <x:c r="K629" s="27" t="n">
        <x:f>INDEX('Model Pricing'!$C$7:$C$8,MATCH(F629,'Model Pricing'!$A$7:$A$8,0))</x:f>
        <x:v>30</x:v>
      </x:c>
      <x:c r="L629" s="17" t="n">
        <x:f>G629+H629</x:f>
        <x:v>61026</x:v>
      </x:c>
      <x:c r="M629" s="28" t="n">
        <x:f>G629*J629/1000000</x:f>
        <x:v>0.52779</x:v>
      </x:c>
      <x:c r="N629" s="28" t="n">
        <x:f>H629*K629/1000000</x:f>
        <x:v>0.24741</x:v>
      </x:c>
      <x:c r="O629" s="28" t="n">
        <x:f>SUM(M629:N629)</x:f>
        <x:v>0.7752</x:v>
      </x:c>
    </x:row>
    <x:row r="630" ht="23" customHeight="1">
      <x:c r="A630" s="17" t="str">
        <x:v>U00624</x:v>
      </x:c>
      <x:c r="B630" s="18" t="n">
        <x:v>46273</x:v>
      </x:c>
      <x:c r="C630" s="17" t="str">
        <x:v>W0063</x:v>
      </x:c>
      <x:c r="D630" s="17" t="str">
        <x:v>C002</x:v>
      </x:c>
      <x:c r="E630" s="17" t="str">
        <x:v>CampaignChat</x:v>
      </x:c>
      <x:c r="F630" s="17" t="str">
        <x:v>Lite</x:v>
      </x:c>
      <x:c r="G630" s="17" t="n">
        <x:v>55536</x:v>
      </x:c>
      <x:c r="H630" s="17" t="n">
        <x:v>9266</x:v>
      </x:c>
      <x:c r="I630" s="17" t="str">
        <x:v>Correction</x:v>
      </x:c>
      <x:c r="J630" s="27" t="n">
        <x:f>INDEX('Model Pricing'!$B$7:$B$8,MATCH(F630,'Model Pricing'!$A$7:$A$8,0))</x:f>
        <x:v>10</x:v>
      </x:c>
      <x:c r="K630" s="27" t="n">
        <x:f>INDEX('Model Pricing'!$C$7:$C$8,MATCH(F630,'Model Pricing'!$A$7:$A$8,0))</x:f>
        <x:v>30</x:v>
      </x:c>
      <x:c r="L630" s="17" t="n">
        <x:f>G630+H630</x:f>
        <x:v>64802</x:v>
      </x:c>
      <x:c r="M630" s="28" t="n">
        <x:f>G630*J630/1000000</x:f>
        <x:v>0.55536</x:v>
      </x:c>
      <x:c r="N630" s="28" t="n">
        <x:f>H630*K630/1000000</x:f>
        <x:v>0.27798</x:v>
      </x:c>
      <x:c r="O630" s="28" t="n">
        <x:f>SUM(M630:N630)</x:f>
        <x:v>0.83334</x:v>
      </x:c>
    </x:row>
    <x:row r="631" ht="23" customHeight="1">
      <x:c r="A631" s="17" t="str">
        <x:v>U00625</x:v>
      </x:c>
      <x:c r="B631" s="18" t="n">
        <x:v>46274</x:v>
      </x:c>
      <x:c r="C631" s="17" t="str">
        <x:v>W0063</x:v>
      </x:c>
      <x:c r="D631" s="17" t="str">
        <x:v>C002</x:v>
      </x:c>
      <x:c r="E631" s="17" t="str">
        <x:v>CampaignChat</x:v>
      </x:c>
      <x:c r="F631" s="17" t="str">
        <x:v>Lite</x:v>
      </x:c>
      <x:c r="G631" s="17" t="n">
        <x:v>53786</x:v>
      </x:c>
      <x:c r="H631" s="17" t="n">
        <x:v>9818</x:v>
      </x:c>
      <x:c r="I631" s="17" t="str">
        <x:v>Followup</x:v>
      </x:c>
      <x:c r="J631" s="27" t="n">
        <x:f>INDEX('Model Pricing'!$B$7:$B$8,MATCH(F631,'Model Pricing'!$A$7:$A$8,0))</x:f>
        <x:v>10</x:v>
      </x:c>
      <x:c r="K631" s="27" t="n">
        <x:f>INDEX('Model Pricing'!$C$7:$C$8,MATCH(F631,'Model Pricing'!$A$7:$A$8,0))</x:f>
        <x:v>30</x:v>
      </x:c>
      <x:c r="L631" s="17" t="n">
        <x:f>G631+H631</x:f>
        <x:v>63604</x:v>
      </x:c>
      <x:c r="M631" s="28" t="n">
        <x:f>G631*J631/1000000</x:f>
        <x:v>0.53786</x:v>
      </x:c>
      <x:c r="N631" s="28" t="n">
        <x:f>H631*K631/1000000</x:f>
        <x:v>0.29454</x:v>
      </x:c>
      <x:c r="O631" s="28" t="n">
        <x:f>SUM(M631:N631)</x:f>
        <x:v>0.8324</x:v>
      </x:c>
    </x:row>
    <x:row r="632" ht="23" customHeight="1">
      <x:c r="A632" s="17" t="str">
        <x:v>U00626</x:v>
      </x:c>
      <x:c r="B632" s="18" t="n">
        <x:v>46274</x:v>
      </x:c>
      <x:c r="C632" s="17" t="str">
        <x:v>W0063</x:v>
      </x:c>
      <x:c r="D632" s="17" t="str">
        <x:v>C002</x:v>
      </x:c>
      <x:c r="E632" s="17" t="str">
        <x:v>CampaignChat</x:v>
      </x:c>
      <x:c r="F632" s="17" t="str">
        <x:v>Lite</x:v>
      </x:c>
      <x:c r="G632" s="17" t="n">
        <x:v>33971</x:v>
      </x:c>
      <x:c r="H632" s="17" t="n">
        <x:v>6885</x:v>
      </x:c>
      <x:c r="I632" s="17" t="str">
        <x:v>Followup</x:v>
      </x:c>
      <x:c r="J632" s="27" t="n">
        <x:f>INDEX('Model Pricing'!$B$7:$B$8,MATCH(F632,'Model Pricing'!$A$7:$A$8,0))</x:f>
        <x:v>10</x:v>
      </x:c>
      <x:c r="K632" s="27" t="n">
        <x:f>INDEX('Model Pricing'!$C$7:$C$8,MATCH(F632,'Model Pricing'!$A$7:$A$8,0))</x:f>
        <x:v>30</x:v>
      </x:c>
      <x:c r="L632" s="17" t="n">
        <x:f>G632+H632</x:f>
        <x:v>40856</x:v>
      </x:c>
      <x:c r="M632" s="28" t="n">
        <x:f>G632*J632/1000000</x:f>
        <x:v>0.33971</x:v>
      </x:c>
      <x:c r="N632" s="28" t="n">
        <x:f>H632*K632/1000000</x:f>
        <x:v>0.20655</x:v>
      </x:c>
      <x:c r="O632" s="28" t="n">
        <x:f>SUM(M632:N632)</x:f>
        <x:v>0.54626</x:v>
      </x:c>
    </x:row>
    <x:row r="633" ht="23" customHeight="1">
      <x:c r="A633" s="17" t="str">
        <x:v>U00627</x:v>
      </x:c>
      <x:c r="B633" s="18" t="n">
        <x:v>46274</x:v>
      </x:c>
      <x:c r="C633" s="17" t="str">
        <x:v>W0063</x:v>
      </x:c>
      <x:c r="D633" s="17" t="str">
        <x:v>C002</x:v>
      </x:c>
      <x:c r="E633" s="17" t="str">
        <x:v>CampaignChat</x:v>
      </x:c>
      <x:c r="F633" s="17" t="str">
        <x:v>Lite</x:v>
      </x:c>
      <x:c r="G633" s="17" t="n">
        <x:v>37524</x:v>
      </x:c>
      <x:c r="H633" s="17" t="n">
        <x:v>10995</x:v>
      </x:c>
      <x:c r="I633" s="17" t="str">
        <x:v>Followup</x:v>
      </x:c>
      <x:c r="J633" s="27" t="n">
        <x:f>INDEX('Model Pricing'!$B$7:$B$8,MATCH(F633,'Model Pricing'!$A$7:$A$8,0))</x:f>
        <x:v>10</x:v>
      </x:c>
      <x:c r="K633" s="27" t="n">
        <x:f>INDEX('Model Pricing'!$C$7:$C$8,MATCH(F633,'Model Pricing'!$A$7:$A$8,0))</x:f>
        <x:v>30</x:v>
      </x:c>
      <x:c r="L633" s="17" t="n">
        <x:f>G633+H633</x:f>
        <x:v>48519</x:v>
      </x:c>
      <x:c r="M633" s="28" t="n">
        <x:f>G633*J633/1000000</x:f>
        <x:v>0.37524</x:v>
      </x:c>
      <x:c r="N633" s="28" t="n">
        <x:f>H633*K633/1000000</x:f>
        <x:v>0.32985</x:v>
      </x:c>
      <x:c r="O633" s="28" t="n">
        <x:f>SUM(M633:N633)</x:f>
        <x:v>0.70509</x:v>
      </x:c>
    </x:row>
    <x:row r="634" ht="23" customHeight="1">
      <x:c r="A634" s="17" t="str">
        <x:v>U00628</x:v>
      </x:c>
      <x:c r="B634" s="18" t="n">
        <x:v>46274</x:v>
      </x:c>
      <x:c r="C634" s="17" t="str">
        <x:v>W0063</x:v>
      </x:c>
      <x:c r="D634" s="17" t="str">
        <x:v>C002</x:v>
      </x:c>
      <x:c r="E634" s="17" t="str">
        <x:v>CampaignChat</x:v>
      </x:c>
      <x:c r="F634" s="17" t="str">
        <x:v>Lite</x:v>
      </x:c>
      <x:c r="G634" s="17" t="n">
        <x:v>36543</x:v>
      </x:c>
      <x:c r="H634" s="17" t="n">
        <x:v>6139</x:v>
      </x:c>
      <x:c r="I634" s="17" t="str">
        <x:v>Followup</x:v>
      </x:c>
      <x:c r="J634" s="27" t="n">
        <x:f>INDEX('Model Pricing'!$B$7:$B$8,MATCH(F634,'Model Pricing'!$A$7:$A$8,0))</x:f>
        <x:v>10</x:v>
      </x:c>
      <x:c r="K634" s="27" t="n">
        <x:f>INDEX('Model Pricing'!$C$7:$C$8,MATCH(F634,'Model Pricing'!$A$7:$A$8,0))</x:f>
        <x:v>30</x:v>
      </x:c>
      <x:c r="L634" s="17" t="n">
        <x:f>G634+H634</x:f>
        <x:v>42682</x:v>
      </x:c>
      <x:c r="M634" s="28" t="n">
        <x:f>G634*J634/1000000</x:f>
        <x:v>0.36543</x:v>
      </x:c>
      <x:c r="N634" s="28" t="n">
        <x:f>H634*K634/1000000</x:f>
        <x:v>0.18417</x:v>
      </x:c>
      <x:c r="O634" s="28" t="n">
        <x:f>SUM(M634:N634)</x:f>
        <x:v>0.5496</x:v>
      </x:c>
    </x:row>
    <x:row r="635" ht="23" customHeight="1">
      <x:c r="A635" s="17" t="str">
        <x:v>U00629</x:v>
      </x:c>
      <x:c r="B635" s="18" t="n">
        <x:v>46280</x:v>
      </x:c>
      <x:c r="C635" s="17" t="str">
        <x:v>W0064</x:v>
      </x:c>
      <x:c r="D635" s="17" t="str">
        <x:v>C002</x:v>
      </x:c>
      <x:c r="E635" s="17" t="str">
        <x:v>DataFlow</x:v>
      </x:c>
      <x:c r="F635" s="17" t="str">
        <x:v>Lite</x:v>
      </x:c>
      <x:c r="G635" s="17" t="n">
        <x:v>42638</x:v>
      </x:c>
      <x:c r="H635" s="17" t="n">
        <x:v>8019</x:v>
      </x:c>
      <x:c r="I635" s="17" t="str">
        <x:v>First attempt</x:v>
      </x:c>
      <x:c r="J635" s="27" t="n">
        <x:f>INDEX('Model Pricing'!$B$7:$B$8,MATCH(F635,'Model Pricing'!$A$7:$A$8,0))</x:f>
        <x:v>10</x:v>
      </x:c>
      <x:c r="K635" s="27" t="n">
        <x:f>INDEX('Model Pricing'!$C$7:$C$8,MATCH(F635,'Model Pricing'!$A$7:$A$8,0))</x:f>
        <x:v>30</x:v>
      </x:c>
      <x:c r="L635" s="17" t="n">
        <x:f>G635+H635</x:f>
        <x:v>50657</x:v>
      </x:c>
      <x:c r="M635" s="28" t="n">
        <x:f>G635*J635/1000000</x:f>
        <x:v>0.42638</x:v>
      </x:c>
      <x:c r="N635" s="28" t="n">
        <x:f>H635*K635/1000000</x:f>
        <x:v>0.24057</x:v>
      </x:c>
      <x:c r="O635" s="28" t="n">
        <x:f>SUM(M635:N635)</x:f>
        <x:v>0.6669499999999999</x:v>
      </x:c>
    </x:row>
    <x:row r="636" ht="23" customHeight="1">
      <x:c r="A636" s="17" t="str">
        <x:v>U00630</x:v>
      </x:c>
      <x:c r="B636" s="18" t="n">
        <x:v>46280</x:v>
      </x:c>
      <x:c r="C636" s="17" t="str">
        <x:v>W0064</x:v>
      </x:c>
      <x:c r="D636" s="17" t="str">
        <x:v>C002</x:v>
      </x:c>
      <x:c r="E636" s="17" t="str">
        <x:v>DataFlow</x:v>
      </x:c>
      <x:c r="F636" s="17" t="str">
        <x:v>Lite</x:v>
      </x:c>
      <x:c r="G636" s="17" t="n">
        <x:v>42246</x:v>
      </x:c>
      <x:c r="H636" s="17" t="n">
        <x:v>6600</x:v>
      </x:c>
      <x:c r="I636" s="17" t="str">
        <x:v>Correction</x:v>
      </x:c>
      <x:c r="J636" s="27" t="n">
        <x:f>INDEX('Model Pricing'!$B$7:$B$8,MATCH(F636,'Model Pricing'!$A$7:$A$8,0))</x:f>
        <x:v>10</x:v>
      </x:c>
      <x:c r="K636" s="27" t="n">
        <x:f>INDEX('Model Pricing'!$C$7:$C$8,MATCH(F636,'Model Pricing'!$A$7:$A$8,0))</x:f>
        <x:v>30</x:v>
      </x:c>
      <x:c r="L636" s="17" t="n">
        <x:f>G636+H636</x:f>
        <x:v>48846</x:v>
      </x:c>
      <x:c r="M636" s="28" t="n">
        <x:f>G636*J636/1000000</x:f>
        <x:v>0.42246</x:v>
      </x:c>
      <x:c r="N636" s="28" t="n">
        <x:f>H636*K636/1000000</x:f>
        <x:v>0.198</x:v>
      </x:c>
      <x:c r="O636" s="28" t="n">
        <x:f>SUM(M636:N636)</x:f>
        <x:v>0.62046</x:v>
      </x:c>
    </x:row>
    <x:row r="637" ht="23" customHeight="1">
      <x:c r="A637" s="17" t="str">
        <x:v>U00631</x:v>
      </x:c>
      <x:c r="B637" s="18" t="n">
        <x:v>46280</x:v>
      </x:c>
      <x:c r="C637" s="17" t="str">
        <x:v>W0064</x:v>
      </x:c>
      <x:c r="D637" s="17" t="str">
        <x:v>C002</x:v>
      </x:c>
      <x:c r="E637" s="17" t="str">
        <x:v>DataFlow</x:v>
      </x:c>
      <x:c r="F637" s="17" t="str">
        <x:v>Lite</x:v>
      </x:c>
      <x:c r="G637" s="17" t="n">
        <x:v>15258</x:v>
      </x:c>
      <x:c r="H637" s="17" t="n">
        <x:v>6460</x:v>
      </x:c>
      <x:c r="I637" s="17" t="str">
        <x:v>Followup</x:v>
      </x:c>
      <x:c r="J637" s="27" t="n">
        <x:f>INDEX('Model Pricing'!$B$7:$B$8,MATCH(F637,'Model Pricing'!$A$7:$A$8,0))</x:f>
        <x:v>10</x:v>
      </x:c>
      <x:c r="K637" s="27" t="n">
        <x:f>INDEX('Model Pricing'!$C$7:$C$8,MATCH(F637,'Model Pricing'!$A$7:$A$8,0))</x:f>
        <x:v>30</x:v>
      </x:c>
      <x:c r="L637" s="17" t="n">
        <x:f>G637+H637</x:f>
        <x:v>21718</x:v>
      </x:c>
      <x:c r="M637" s="28" t="n">
        <x:f>G637*J637/1000000</x:f>
        <x:v>0.15258</x:v>
      </x:c>
      <x:c r="N637" s="28" t="n">
        <x:f>H637*K637/1000000</x:f>
        <x:v>0.1938</x:v>
      </x:c>
      <x:c r="O637" s="28" t="n">
        <x:f>SUM(M637:N637)</x:f>
        <x:v>0.34638</x:v>
      </x:c>
    </x:row>
    <x:row r="638" ht="23" customHeight="1">
      <x:c r="A638" s="17" t="str">
        <x:v>U00632</x:v>
      </x:c>
      <x:c r="B638" s="18" t="n">
        <x:v>46280</x:v>
      </x:c>
      <x:c r="C638" s="17" t="str">
        <x:v>W0064</x:v>
      </x:c>
      <x:c r="D638" s="17" t="str">
        <x:v>C002</x:v>
      </x:c>
      <x:c r="E638" s="17" t="str">
        <x:v>DataFlow</x:v>
      </x:c>
      <x:c r="F638" s="17" t="str">
        <x:v>Lite</x:v>
      </x:c>
      <x:c r="G638" s="17" t="n">
        <x:v>20135</x:v>
      </x:c>
      <x:c r="H638" s="17" t="n">
        <x:v>4530</x:v>
      </x:c>
      <x:c r="I638" s="17" t="str">
        <x:v>Followup</x:v>
      </x:c>
      <x:c r="J638" s="27" t="n">
        <x:f>INDEX('Model Pricing'!$B$7:$B$8,MATCH(F638,'Model Pricing'!$A$7:$A$8,0))</x:f>
        <x:v>10</x:v>
      </x:c>
      <x:c r="K638" s="27" t="n">
        <x:f>INDEX('Model Pricing'!$C$7:$C$8,MATCH(F638,'Model Pricing'!$A$7:$A$8,0))</x:f>
        <x:v>30</x:v>
      </x:c>
      <x:c r="L638" s="17" t="n">
        <x:f>G638+H638</x:f>
        <x:v>24665</x:v>
      </x:c>
      <x:c r="M638" s="28" t="n">
        <x:f>G638*J638/1000000</x:f>
        <x:v>0.20135</x:v>
      </x:c>
      <x:c r="N638" s="28" t="n">
        <x:f>H638*K638/1000000</x:f>
        <x:v>0.1359</x:v>
      </x:c>
      <x:c r="O638" s="28" t="n">
        <x:f>SUM(M638:N638)</x:f>
        <x:v>0.33725</x:v>
      </x:c>
    </x:row>
    <x:row r="639" ht="23" customHeight="1">
      <x:c r="A639" s="17" t="str">
        <x:v>U00633</x:v>
      </x:c>
      <x:c r="B639" s="18" t="n">
        <x:v>46281</x:v>
      </x:c>
      <x:c r="C639" s="17" t="str">
        <x:v>W0064</x:v>
      </x:c>
      <x:c r="D639" s="17" t="str">
        <x:v>C002</x:v>
      </x:c>
      <x:c r="E639" s="17" t="str">
        <x:v>DataFlow</x:v>
      </x:c>
      <x:c r="F639" s="17" t="str">
        <x:v>Lite</x:v>
      </x:c>
      <x:c r="G639" s="17" t="n">
        <x:v>38043</x:v>
      </x:c>
      <x:c r="H639" s="17" t="n">
        <x:v>4819</x:v>
      </x:c>
      <x:c r="I639" s="17" t="str">
        <x:v>Followup</x:v>
      </x:c>
      <x:c r="J639" s="27" t="n">
        <x:f>INDEX('Model Pricing'!$B$7:$B$8,MATCH(F639,'Model Pricing'!$A$7:$A$8,0))</x:f>
        <x:v>10</x:v>
      </x:c>
      <x:c r="K639" s="27" t="n">
        <x:f>INDEX('Model Pricing'!$C$7:$C$8,MATCH(F639,'Model Pricing'!$A$7:$A$8,0))</x:f>
        <x:v>30</x:v>
      </x:c>
      <x:c r="L639" s="17" t="n">
        <x:f>G639+H639</x:f>
        <x:v>42862</x:v>
      </x:c>
      <x:c r="M639" s="28" t="n">
        <x:f>G639*J639/1000000</x:f>
        <x:v>0.38043</x:v>
      </x:c>
      <x:c r="N639" s="28" t="n">
        <x:f>H639*K639/1000000</x:f>
        <x:v>0.14457</x:v>
      </x:c>
      <x:c r="O639" s="28" t="n">
        <x:f>SUM(M639:N639)</x:f>
        <x:v>0.525</x:v>
      </x:c>
    </x:row>
    <x:row r="640" ht="23" customHeight="1">
      <x:c r="A640" s="17" t="str">
        <x:v>U00634</x:v>
      </x:c>
      <x:c r="B640" s="18" t="n">
        <x:v>46281</x:v>
      </x:c>
      <x:c r="C640" s="17" t="str">
        <x:v>W0064</x:v>
      </x:c>
      <x:c r="D640" s="17" t="str">
        <x:v>C002</x:v>
      </x:c>
      <x:c r="E640" s="17" t="str">
        <x:v>DataFlow</x:v>
      </x:c>
      <x:c r="F640" s="17" t="str">
        <x:v>Lite</x:v>
      </x:c>
      <x:c r="G640" s="17" t="n">
        <x:v>39603</x:v>
      </x:c>
      <x:c r="H640" s="17" t="n">
        <x:v>7398</x:v>
      </x:c>
      <x:c r="I640" s="17" t="str">
        <x:v>Correction</x:v>
      </x:c>
      <x:c r="J640" s="27" t="n">
        <x:f>INDEX('Model Pricing'!$B$7:$B$8,MATCH(F640,'Model Pricing'!$A$7:$A$8,0))</x:f>
        <x:v>10</x:v>
      </x:c>
      <x:c r="K640" s="27" t="n">
        <x:f>INDEX('Model Pricing'!$C$7:$C$8,MATCH(F640,'Model Pricing'!$A$7:$A$8,0))</x:f>
        <x:v>30</x:v>
      </x:c>
      <x:c r="L640" s="17" t="n">
        <x:f>G640+H640</x:f>
        <x:v>47001</x:v>
      </x:c>
      <x:c r="M640" s="28" t="n">
        <x:f>G640*J640/1000000</x:f>
        <x:v>0.39603</x:v>
      </x:c>
      <x:c r="N640" s="28" t="n">
        <x:f>H640*K640/1000000</x:f>
        <x:v>0.22194</x:v>
      </x:c>
      <x:c r="O640" s="28" t="n">
        <x:f>SUM(M640:N640)</x:f>
        <x:v>0.61797</x:v>
      </x:c>
    </x:row>
    <x:row r="641" ht="23" customHeight="1">
      <x:c r="A641" s="17" t="str">
        <x:v>U00635</x:v>
      </x:c>
      <x:c r="B641" s="18" t="n">
        <x:v>46281</x:v>
      </x:c>
      <x:c r="C641" s="17" t="str">
        <x:v>W0064</x:v>
      </x:c>
      <x:c r="D641" s="17" t="str">
        <x:v>C002</x:v>
      </x:c>
      <x:c r="E641" s="17" t="str">
        <x:v>DataFlow</x:v>
      </x:c>
      <x:c r="F641" s="17" t="str">
        <x:v>Lite</x:v>
      </x:c>
      <x:c r="G641" s="17" t="n">
        <x:v>35209</x:v>
      </x:c>
      <x:c r="H641" s="17" t="n">
        <x:v>8111</x:v>
      </x:c>
      <x:c r="I641" s="17" t="str">
        <x:v>Followup</x:v>
      </x:c>
      <x:c r="J641" s="27" t="n">
        <x:f>INDEX('Model Pricing'!$B$7:$B$8,MATCH(F641,'Model Pricing'!$A$7:$A$8,0))</x:f>
        <x:v>10</x:v>
      </x:c>
      <x:c r="K641" s="27" t="n">
        <x:f>INDEX('Model Pricing'!$C$7:$C$8,MATCH(F641,'Model Pricing'!$A$7:$A$8,0))</x:f>
        <x:v>30</x:v>
      </x:c>
      <x:c r="L641" s="17" t="n">
        <x:f>G641+H641</x:f>
        <x:v>43320</x:v>
      </x:c>
      <x:c r="M641" s="28" t="n">
        <x:f>G641*J641/1000000</x:f>
        <x:v>0.35209</x:v>
      </x:c>
      <x:c r="N641" s="28" t="n">
        <x:f>H641*K641/1000000</x:f>
        <x:v>0.24333</x:v>
      </x:c>
      <x:c r="O641" s="28" t="n">
        <x:f>SUM(M641:N641)</x:f>
        <x:v>0.5954200000000001</x:v>
      </x:c>
    </x:row>
    <x:row r="642" ht="23" customHeight="1">
      <x:c r="A642" s="17" t="str">
        <x:v>U00636</x:v>
      </x:c>
      <x:c r="B642" s="18" t="n">
        <x:v>46281</x:v>
      </x:c>
      <x:c r="C642" s="17" t="str">
        <x:v>W0064</x:v>
      </x:c>
      <x:c r="D642" s="17" t="str">
        <x:v>C002</x:v>
      </x:c>
      <x:c r="E642" s="17" t="str">
        <x:v>DataFlow</x:v>
      </x:c>
      <x:c r="F642" s="17" t="str">
        <x:v>Lite</x:v>
      </x:c>
      <x:c r="G642" s="17" t="n">
        <x:v>39430</x:v>
      </x:c>
      <x:c r="H642" s="17" t="n">
        <x:v>3183</x:v>
      </x:c>
      <x:c r="I642" s="17" t="str">
        <x:v>Correction</x:v>
      </x:c>
      <x:c r="J642" s="27" t="n">
        <x:f>INDEX('Model Pricing'!$B$7:$B$8,MATCH(F642,'Model Pricing'!$A$7:$A$8,0))</x:f>
        <x:v>10</x:v>
      </x:c>
      <x:c r="K642" s="27" t="n">
        <x:f>INDEX('Model Pricing'!$C$7:$C$8,MATCH(F642,'Model Pricing'!$A$7:$A$8,0))</x:f>
        <x:v>30</x:v>
      </x:c>
      <x:c r="L642" s="17" t="n">
        <x:f>G642+H642</x:f>
        <x:v>42613</x:v>
      </x:c>
      <x:c r="M642" s="28" t="n">
        <x:f>G642*J642/1000000</x:f>
        <x:v>0.3943</x:v>
      </x:c>
      <x:c r="N642" s="28" t="n">
        <x:f>H642*K642/1000000</x:f>
        <x:v>0.09549</x:v>
      </x:c>
      <x:c r="O642" s="28" t="n">
        <x:f>SUM(M642:N642)</x:f>
        <x:v>0.48979</x:v>
      </x:c>
    </x:row>
    <x:row r="643" ht="23" customHeight="1">
      <x:c r="A643" s="17" t="str">
        <x:v>U00637</x:v>
      </x:c>
      <x:c r="B643" s="18" t="n">
        <x:v>46282</x:v>
      </x:c>
      <x:c r="C643" s="17" t="str">
        <x:v>W0064</x:v>
      </x:c>
      <x:c r="D643" s="17" t="str">
        <x:v>C002</x:v>
      </x:c>
      <x:c r="E643" s="17" t="str">
        <x:v>DataFlow</x:v>
      </x:c>
      <x:c r="F643" s="17" t="str">
        <x:v>Lite</x:v>
      </x:c>
      <x:c r="G643" s="17" t="n">
        <x:v>25778</x:v>
      </x:c>
      <x:c r="H643" s="17" t="n">
        <x:v>2821</x:v>
      </x:c>
      <x:c r="I643" s="17" t="str">
        <x:v>Followup</x:v>
      </x:c>
      <x:c r="J643" s="27" t="n">
        <x:f>INDEX('Model Pricing'!$B$7:$B$8,MATCH(F643,'Model Pricing'!$A$7:$A$8,0))</x:f>
        <x:v>10</x:v>
      </x:c>
      <x:c r="K643" s="27" t="n">
        <x:f>INDEX('Model Pricing'!$C$7:$C$8,MATCH(F643,'Model Pricing'!$A$7:$A$8,0))</x:f>
        <x:v>30</x:v>
      </x:c>
      <x:c r="L643" s="17" t="n">
        <x:f>G643+H643</x:f>
        <x:v>28599</x:v>
      </x:c>
      <x:c r="M643" s="28" t="n">
        <x:f>G643*J643/1000000</x:f>
        <x:v>0.25778</x:v>
      </x:c>
      <x:c r="N643" s="28" t="n">
        <x:f>H643*K643/1000000</x:f>
        <x:v>0.08463</x:v>
      </x:c>
      <x:c r="O643" s="28" t="n">
        <x:f>SUM(M643:N643)</x:f>
        <x:v>0.34241</x:v>
      </x:c>
    </x:row>
    <x:row r="644" ht="23" customHeight="1">
      <x:c r="A644" s="17" t="str">
        <x:v>U00638</x:v>
      </x:c>
      <x:c r="B644" s="18" t="n">
        <x:v>46282</x:v>
      </x:c>
      <x:c r="C644" s="17" t="str">
        <x:v>W0064</x:v>
      </x:c>
      <x:c r="D644" s="17" t="str">
        <x:v>C002</x:v>
      </x:c>
      <x:c r="E644" s="17" t="str">
        <x:v>DataFlow</x:v>
      </x:c>
      <x:c r="F644" s="17" t="str">
        <x:v>Lite</x:v>
      </x:c>
      <x:c r="G644" s="17" t="n">
        <x:v>43958</x:v>
      </x:c>
      <x:c r="H644" s="17" t="n">
        <x:v>4234</x:v>
      </x:c>
      <x:c r="I644" s="17" t="str">
        <x:v>Followup</x:v>
      </x:c>
      <x:c r="J644" s="27" t="n">
        <x:f>INDEX('Model Pricing'!$B$7:$B$8,MATCH(F644,'Model Pricing'!$A$7:$A$8,0))</x:f>
        <x:v>10</x:v>
      </x:c>
      <x:c r="K644" s="27" t="n">
        <x:f>INDEX('Model Pricing'!$C$7:$C$8,MATCH(F644,'Model Pricing'!$A$7:$A$8,0))</x:f>
        <x:v>30</x:v>
      </x:c>
      <x:c r="L644" s="17" t="n">
        <x:f>G644+H644</x:f>
        <x:v>48192</x:v>
      </x:c>
      <x:c r="M644" s="28" t="n">
        <x:f>G644*J644/1000000</x:f>
        <x:v>0.43958</x:v>
      </x:c>
      <x:c r="N644" s="28" t="n">
        <x:f>H644*K644/1000000</x:f>
        <x:v>0.12702</x:v>
      </x:c>
      <x:c r="O644" s="28" t="n">
        <x:f>SUM(M644:N644)</x:f>
        <x:v>0.5666</x:v>
      </x:c>
    </x:row>
    <x:row r="645" ht="23" customHeight="1">
      <x:c r="A645" s="17" t="str">
        <x:v>U00639</x:v>
      </x:c>
      <x:c r="B645" s="18" t="n">
        <x:v>46282</x:v>
      </x:c>
      <x:c r="C645" s="17" t="str">
        <x:v>W0064</x:v>
      </x:c>
      <x:c r="D645" s="17" t="str">
        <x:v>C002</x:v>
      </x:c>
      <x:c r="E645" s="17" t="str">
        <x:v>DataFlow</x:v>
      </x:c>
      <x:c r="F645" s="17" t="str">
        <x:v>Lite</x:v>
      </x:c>
      <x:c r="G645" s="17" t="n">
        <x:v>39225</x:v>
      </x:c>
      <x:c r="H645" s="17" t="n">
        <x:v>5425</x:v>
      </x:c>
      <x:c r="I645" s="17" t="str">
        <x:v>Correction</x:v>
      </x:c>
      <x:c r="J645" s="27" t="n">
        <x:f>INDEX('Model Pricing'!$B$7:$B$8,MATCH(F645,'Model Pricing'!$A$7:$A$8,0))</x:f>
        <x:v>10</x:v>
      </x:c>
      <x:c r="K645" s="27" t="n">
        <x:f>INDEX('Model Pricing'!$C$7:$C$8,MATCH(F645,'Model Pricing'!$A$7:$A$8,0))</x:f>
        <x:v>30</x:v>
      </x:c>
      <x:c r="L645" s="17" t="n">
        <x:f>G645+H645</x:f>
        <x:v>44650</x:v>
      </x:c>
      <x:c r="M645" s="28" t="n">
        <x:f>G645*J645/1000000</x:f>
        <x:v>0.39225</x:v>
      </x:c>
      <x:c r="N645" s="28" t="n">
        <x:f>H645*K645/1000000</x:f>
        <x:v>0.16275</x:v>
      </x:c>
      <x:c r="O645" s="28" t="n">
        <x:f>SUM(M645:N645)</x:f>
        <x:v>0.5549999999999999</x:v>
      </x:c>
    </x:row>
    <x:row r="646" ht="23" customHeight="1">
      <x:c r="A646" s="17" t="str">
        <x:v>U00640</x:v>
      </x:c>
      <x:c r="B646" s="18" t="n">
        <x:v>46282</x:v>
      </x:c>
      <x:c r="C646" s="17" t="str">
        <x:v>W0064</x:v>
      </x:c>
      <x:c r="D646" s="17" t="str">
        <x:v>C002</x:v>
      </x:c>
      <x:c r="E646" s="17" t="str">
        <x:v>DataFlow</x:v>
      </x:c>
      <x:c r="F646" s="17" t="str">
        <x:v>Lite</x:v>
      </x:c>
      <x:c r="G646" s="17" t="n">
        <x:v>30628</x:v>
      </x:c>
      <x:c r="H646" s="17" t="n">
        <x:v>7095</x:v>
      </x:c>
      <x:c r="I646" s="17" t="str">
        <x:v>Correction</x:v>
      </x:c>
      <x:c r="J646" s="27" t="n">
        <x:f>INDEX('Model Pricing'!$B$7:$B$8,MATCH(F646,'Model Pricing'!$A$7:$A$8,0))</x:f>
        <x:v>10</x:v>
      </x:c>
      <x:c r="K646" s="27" t="n">
        <x:f>INDEX('Model Pricing'!$C$7:$C$8,MATCH(F646,'Model Pricing'!$A$7:$A$8,0))</x:f>
        <x:v>30</x:v>
      </x:c>
      <x:c r="L646" s="17" t="n">
        <x:f>G646+H646</x:f>
        <x:v>37723</x:v>
      </x:c>
      <x:c r="M646" s="28" t="n">
        <x:f>G646*J646/1000000</x:f>
        <x:v>0.30628</x:v>
      </x:c>
      <x:c r="N646" s="28" t="n">
        <x:f>H646*K646/1000000</x:f>
        <x:v>0.21285</x:v>
      </x:c>
      <x:c r="O646" s="28" t="n">
        <x:f>SUM(M646:N646)</x:f>
        <x:v>0.51913</x:v>
      </x:c>
    </x:row>
    <x:row r="647" ht="23" customHeight="1">
      <x:c r="A647" s="17" t="str">
        <x:v>U00641</x:v>
      </x:c>
      <x:c r="B647" s="18" t="n">
        <x:v>46283</x:v>
      </x:c>
      <x:c r="C647" s="17" t="str">
        <x:v>W0064</x:v>
      </x:c>
      <x:c r="D647" s="17" t="str">
        <x:v>C002</x:v>
      </x:c>
      <x:c r="E647" s="17" t="str">
        <x:v>DataFlow</x:v>
      </x:c>
      <x:c r="F647" s="17" t="str">
        <x:v>Lite</x:v>
      </x:c>
      <x:c r="G647" s="17" t="n">
        <x:v>42008</x:v>
      </x:c>
      <x:c r="H647" s="17" t="n">
        <x:v>6926</x:v>
      </x:c>
      <x:c r="I647" s="17" t="str">
        <x:v>Correction</x:v>
      </x:c>
      <x:c r="J647" s="27" t="n">
        <x:f>INDEX('Model Pricing'!$B$7:$B$8,MATCH(F647,'Model Pricing'!$A$7:$A$8,0))</x:f>
        <x:v>10</x:v>
      </x:c>
      <x:c r="K647" s="27" t="n">
        <x:f>INDEX('Model Pricing'!$C$7:$C$8,MATCH(F647,'Model Pricing'!$A$7:$A$8,0))</x:f>
        <x:v>30</x:v>
      </x:c>
      <x:c r="L647" s="17" t="n">
        <x:f>G647+H647</x:f>
        <x:v>48934</x:v>
      </x:c>
      <x:c r="M647" s="28" t="n">
        <x:f>G647*J647/1000000</x:f>
        <x:v>0.42008</x:v>
      </x:c>
      <x:c r="N647" s="28" t="n">
        <x:f>H647*K647/1000000</x:f>
        <x:v>0.20778</x:v>
      </x:c>
      <x:c r="O647" s="28" t="n">
        <x:f>SUM(M647:N647)</x:f>
        <x:v>0.62786</x:v>
      </x:c>
    </x:row>
    <x:row r="648" ht="23" customHeight="1">
      <x:c r="A648" s="17" t="str">
        <x:v>U00642</x:v>
      </x:c>
      <x:c r="B648" s="18" t="n">
        <x:v>46283</x:v>
      </x:c>
      <x:c r="C648" s="17" t="str">
        <x:v>W0064</x:v>
      </x:c>
      <x:c r="D648" s="17" t="str">
        <x:v>C002</x:v>
      </x:c>
      <x:c r="E648" s="17" t="str">
        <x:v>DataFlow</x:v>
      </x:c>
      <x:c r="F648" s="17" t="str">
        <x:v>Lite</x:v>
      </x:c>
      <x:c r="G648" s="17" t="n">
        <x:v>32467</x:v>
      </x:c>
      <x:c r="H648" s="17" t="n">
        <x:v>4513</x:v>
      </x:c>
      <x:c r="I648" s="17" t="str">
        <x:v>Followup</x:v>
      </x:c>
      <x:c r="J648" s="27" t="n">
        <x:f>INDEX('Model Pricing'!$B$7:$B$8,MATCH(F648,'Model Pricing'!$A$7:$A$8,0))</x:f>
        <x:v>10</x:v>
      </x:c>
      <x:c r="K648" s="27" t="n">
        <x:f>INDEX('Model Pricing'!$C$7:$C$8,MATCH(F648,'Model Pricing'!$A$7:$A$8,0))</x:f>
        <x:v>30</x:v>
      </x:c>
      <x:c r="L648" s="17" t="n">
        <x:f>G648+H648</x:f>
        <x:v>36980</x:v>
      </x:c>
      <x:c r="M648" s="28" t="n">
        <x:f>G648*J648/1000000</x:f>
        <x:v>0.32467</x:v>
      </x:c>
      <x:c r="N648" s="28" t="n">
        <x:f>H648*K648/1000000</x:f>
        <x:v>0.13539</x:v>
      </x:c>
      <x:c r="O648" s="28" t="n">
        <x:f>SUM(M648:N648)</x:f>
        <x:v>0.46006</x:v>
      </x:c>
    </x:row>
    <x:row r="649" ht="23" customHeight="1">
      <x:c r="A649" s="17" t="str">
        <x:v>U00643</x:v>
      </x:c>
      <x:c r="B649" s="18" t="n">
        <x:v>46283</x:v>
      </x:c>
      <x:c r="C649" s="17" t="str">
        <x:v>W0064</x:v>
      </x:c>
      <x:c r="D649" s="17" t="str">
        <x:v>C002</x:v>
      </x:c>
      <x:c r="E649" s="17" t="str">
        <x:v>DataFlow</x:v>
      </x:c>
      <x:c r="F649" s="17" t="str">
        <x:v>Lite</x:v>
      </x:c>
      <x:c r="G649" s="17" t="n">
        <x:v>25011</x:v>
      </x:c>
      <x:c r="H649" s="17" t="n">
        <x:v>2741</x:v>
      </x:c>
      <x:c r="I649" s="17" t="str">
        <x:v>Correction</x:v>
      </x:c>
      <x:c r="J649" s="27" t="n">
        <x:f>INDEX('Model Pricing'!$B$7:$B$8,MATCH(F649,'Model Pricing'!$A$7:$A$8,0))</x:f>
        <x:v>10</x:v>
      </x:c>
      <x:c r="K649" s="27" t="n">
        <x:f>INDEX('Model Pricing'!$C$7:$C$8,MATCH(F649,'Model Pricing'!$A$7:$A$8,0))</x:f>
        <x:v>30</x:v>
      </x:c>
      <x:c r="L649" s="17" t="n">
        <x:f>G649+H649</x:f>
        <x:v>27752</x:v>
      </x:c>
      <x:c r="M649" s="28" t="n">
        <x:f>G649*J649/1000000</x:f>
        <x:v>0.25011</x:v>
      </x:c>
      <x:c r="N649" s="28" t="n">
        <x:f>H649*K649/1000000</x:f>
        <x:v>0.08223</x:v>
      </x:c>
      <x:c r="O649" s="28" t="n">
        <x:f>SUM(M649:N649)</x:f>
        <x:v>0.33233999999999997</x:v>
      </x:c>
    </x:row>
    <x:row r="650" ht="23" customHeight="1">
      <x:c r="A650" s="17" t="str">
        <x:v>U00644</x:v>
      </x:c>
      <x:c r="B650" s="18" t="n">
        <x:v>46283</x:v>
      </x:c>
      <x:c r="C650" s="17" t="str">
        <x:v>W0064</x:v>
      </x:c>
      <x:c r="D650" s="17" t="str">
        <x:v>C002</x:v>
      </x:c>
      <x:c r="E650" s="17" t="str">
        <x:v>DataFlow</x:v>
      </x:c>
      <x:c r="F650" s="17" t="str">
        <x:v>Lite</x:v>
      </x:c>
      <x:c r="G650" s="17" t="n">
        <x:v>31734</x:v>
      </x:c>
      <x:c r="H650" s="17" t="n">
        <x:v>5966</x:v>
      </x:c>
      <x:c r="I650" s="17" t="str">
        <x:v>Correction</x:v>
      </x:c>
      <x:c r="J650" s="27" t="n">
        <x:f>INDEX('Model Pricing'!$B$7:$B$8,MATCH(F650,'Model Pricing'!$A$7:$A$8,0))</x:f>
        <x:v>10</x:v>
      </x:c>
      <x:c r="K650" s="27" t="n">
        <x:f>INDEX('Model Pricing'!$C$7:$C$8,MATCH(F650,'Model Pricing'!$A$7:$A$8,0))</x:f>
        <x:v>30</x:v>
      </x:c>
      <x:c r="L650" s="17" t="n">
        <x:f>G650+H650</x:f>
        <x:v>37700</x:v>
      </x:c>
      <x:c r="M650" s="28" t="n">
        <x:f>G650*J650/1000000</x:f>
        <x:v>0.31734</x:v>
      </x:c>
      <x:c r="N650" s="28" t="n">
        <x:f>H650*K650/1000000</x:f>
        <x:v>0.17898</x:v>
      </x:c>
      <x:c r="O650" s="28" t="n">
        <x:f>SUM(M650:N650)</x:f>
        <x:v>0.49632</x:v>
      </x:c>
    </x:row>
    <x:row r="651" ht="23" customHeight="1">
      <x:c r="A651" s="17" t="str">
        <x:v>U00645</x:v>
      </x:c>
      <x:c r="B651" s="18" t="n">
        <x:v>46273</x:v>
      </x:c>
      <x:c r="C651" s="17" t="str">
        <x:v>W0071</x:v>
      </x:c>
      <x:c r="D651" s="17" t="str">
        <x:v>C002</x:v>
      </x:c>
      <x:c r="E651" s="17" t="str">
        <x:v>CampaignChat</x:v>
      </x:c>
      <x:c r="F651" s="17" t="str">
        <x:v>Lite</x:v>
      </x:c>
      <x:c r="G651" s="17" t="n">
        <x:v>47519</x:v>
      </x:c>
      <x:c r="H651" s="17" t="n">
        <x:v>6019</x:v>
      </x:c>
      <x:c r="I651" s="17" t="str">
        <x:v>First attempt</x:v>
      </x:c>
      <x:c r="J651" s="27" t="n">
        <x:f>INDEX('Model Pricing'!$B$7:$B$8,MATCH(F651,'Model Pricing'!$A$7:$A$8,0))</x:f>
        <x:v>10</x:v>
      </x:c>
      <x:c r="K651" s="27" t="n">
        <x:f>INDEX('Model Pricing'!$C$7:$C$8,MATCH(F651,'Model Pricing'!$A$7:$A$8,0))</x:f>
        <x:v>30</x:v>
      </x:c>
      <x:c r="L651" s="17" t="n">
        <x:f>G651+H651</x:f>
        <x:v>53538</x:v>
      </x:c>
      <x:c r="M651" s="28" t="n">
        <x:f>G651*J651/1000000</x:f>
        <x:v>0.47519</x:v>
      </x:c>
      <x:c r="N651" s="28" t="n">
        <x:f>H651*K651/1000000</x:f>
        <x:v>0.18057</x:v>
      </x:c>
      <x:c r="O651" s="28" t="n">
        <x:f>SUM(M651:N651)</x:f>
        <x:v>0.65576</x:v>
      </x:c>
    </x:row>
    <x:row r="652" ht="23" customHeight="1">
      <x:c r="A652" s="17" t="str">
        <x:v>U00646</x:v>
      </x:c>
      <x:c r="B652" s="18" t="n">
        <x:v>46273</x:v>
      </x:c>
      <x:c r="C652" s="17" t="str">
        <x:v>W0071</x:v>
      </x:c>
      <x:c r="D652" s="17" t="str">
        <x:v>C002</x:v>
      </x:c>
      <x:c r="E652" s="17" t="str">
        <x:v>CampaignChat</x:v>
      </x:c>
      <x:c r="F652" s="17" t="str">
        <x:v>Lite</x:v>
      </x:c>
      <x:c r="G652" s="17" t="n">
        <x:v>32224</x:v>
      </x:c>
      <x:c r="H652" s="17" t="n">
        <x:v>6898</x:v>
      </x:c>
      <x:c r="I652" s="17" t="str">
        <x:v>Correction</x:v>
      </x:c>
      <x:c r="J652" s="27" t="n">
        <x:f>INDEX('Model Pricing'!$B$7:$B$8,MATCH(F652,'Model Pricing'!$A$7:$A$8,0))</x:f>
        <x:v>10</x:v>
      </x:c>
      <x:c r="K652" s="27" t="n">
        <x:f>INDEX('Model Pricing'!$C$7:$C$8,MATCH(F652,'Model Pricing'!$A$7:$A$8,0))</x:f>
        <x:v>30</x:v>
      </x:c>
      <x:c r="L652" s="17" t="n">
        <x:f>G652+H652</x:f>
        <x:v>39122</x:v>
      </x:c>
      <x:c r="M652" s="28" t="n">
        <x:f>G652*J652/1000000</x:f>
        <x:v>0.32224</x:v>
      </x:c>
      <x:c r="N652" s="28" t="n">
        <x:f>H652*K652/1000000</x:f>
        <x:v>0.20694</x:v>
      </x:c>
      <x:c r="O652" s="28" t="n">
        <x:f>SUM(M652:N652)</x:f>
        <x:v>0.52918</x:v>
      </x:c>
    </x:row>
    <x:row r="653" ht="23" customHeight="1">
      <x:c r="A653" s="17" t="str">
        <x:v>U00647</x:v>
      </x:c>
      <x:c r="B653" s="18" t="n">
        <x:v>46273</x:v>
      </x:c>
      <x:c r="C653" s="17" t="str">
        <x:v>W0071</x:v>
      </x:c>
      <x:c r="D653" s="17" t="str">
        <x:v>C002</x:v>
      </x:c>
      <x:c r="E653" s="17" t="str">
        <x:v>CampaignChat</x:v>
      </x:c>
      <x:c r="F653" s="17" t="str">
        <x:v>Lite</x:v>
      </x:c>
      <x:c r="G653" s="17" t="n">
        <x:v>37560</x:v>
      </x:c>
      <x:c r="H653" s="17" t="n">
        <x:v>13086</x:v>
      </x:c>
      <x:c r="I653" s="17" t="str">
        <x:v>Correction</x:v>
      </x:c>
      <x:c r="J653" s="27" t="n">
        <x:f>INDEX('Model Pricing'!$B$7:$B$8,MATCH(F653,'Model Pricing'!$A$7:$A$8,0))</x:f>
        <x:v>10</x:v>
      </x:c>
      <x:c r="K653" s="27" t="n">
        <x:f>INDEX('Model Pricing'!$C$7:$C$8,MATCH(F653,'Model Pricing'!$A$7:$A$8,0))</x:f>
        <x:v>30</x:v>
      </x:c>
      <x:c r="L653" s="17" t="n">
        <x:f>G653+H653</x:f>
        <x:v>50646</x:v>
      </x:c>
      <x:c r="M653" s="28" t="n">
        <x:f>G653*J653/1000000</x:f>
        <x:v>0.3756</x:v>
      </x:c>
      <x:c r="N653" s="28" t="n">
        <x:f>H653*K653/1000000</x:f>
        <x:v>0.39258</x:v>
      </x:c>
      <x:c r="O653" s="28" t="n">
        <x:f>SUM(M653:N653)</x:f>
        <x:v>0.76818</x:v>
      </x:c>
    </x:row>
    <x:row r="654" ht="23" customHeight="1">
      <x:c r="A654" s="17" t="str">
        <x:v>U00648</x:v>
      </x:c>
      <x:c r="B654" s="18" t="n">
        <x:v>46273</x:v>
      </x:c>
      <x:c r="C654" s="17" t="str">
        <x:v>W0071</x:v>
      </x:c>
      <x:c r="D654" s="17" t="str">
        <x:v>C002</x:v>
      </x:c>
      <x:c r="E654" s="17" t="str">
        <x:v>CampaignChat</x:v>
      </x:c>
      <x:c r="F654" s="17" t="str">
        <x:v>Lite</x:v>
      </x:c>
      <x:c r="G654" s="17" t="n">
        <x:v>22523</x:v>
      </x:c>
      <x:c r="H654" s="17" t="n">
        <x:v>10089</x:v>
      </x:c>
      <x:c r="I654" s="17" t="str">
        <x:v>Correction</x:v>
      </x:c>
      <x:c r="J654" s="27" t="n">
        <x:f>INDEX('Model Pricing'!$B$7:$B$8,MATCH(F654,'Model Pricing'!$A$7:$A$8,0))</x:f>
        <x:v>10</x:v>
      </x:c>
      <x:c r="K654" s="27" t="n">
        <x:f>INDEX('Model Pricing'!$C$7:$C$8,MATCH(F654,'Model Pricing'!$A$7:$A$8,0))</x:f>
        <x:v>30</x:v>
      </x:c>
      <x:c r="L654" s="17" t="n">
        <x:f>G654+H654</x:f>
        <x:v>32612</x:v>
      </x:c>
      <x:c r="M654" s="28" t="n">
        <x:f>G654*J654/1000000</x:f>
        <x:v>0.22523</x:v>
      </x:c>
      <x:c r="N654" s="28" t="n">
        <x:f>H654*K654/1000000</x:f>
        <x:v>0.30267</x:v>
      </x:c>
      <x:c r="O654" s="28" t="n">
        <x:f>SUM(M654:N654)</x:f>
        <x:v>0.5279</x:v>
      </x:c>
    </x:row>
    <x:row r="655" ht="23" customHeight="1">
      <x:c r="A655" s="17" t="str">
        <x:v>U00649</x:v>
      </x:c>
      <x:c r="B655" s="18" t="n">
        <x:v>46273</x:v>
      </x:c>
      <x:c r="C655" s="17" t="str">
        <x:v>W0071</x:v>
      </x:c>
      <x:c r="D655" s="17" t="str">
        <x:v>C002</x:v>
      </x:c>
      <x:c r="E655" s="17" t="str">
        <x:v>CampaignChat</x:v>
      </x:c>
      <x:c r="F655" s="17" t="str">
        <x:v>Lite</x:v>
      </x:c>
      <x:c r="G655" s="17" t="n">
        <x:v>44440</x:v>
      </x:c>
      <x:c r="H655" s="17" t="n">
        <x:v>10076</x:v>
      </x:c>
      <x:c r="I655" s="17" t="str">
        <x:v>Correction</x:v>
      </x:c>
      <x:c r="J655" s="27" t="n">
        <x:f>INDEX('Model Pricing'!$B$7:$B$8,MATCH(F655,'Model Pricing'!$A$7:$A$8,0))</x:f>
        <x:v>10</x:v>
      </x:c>
      <x:c r="K655" s="27" t="n">
        <x:f>INDEX('Model Pricing'!$C$7:$C$8,MATCH(F655,'Model Pricing'!$A$7:$A$8,0))</x:f>
        <x:v>30</x:v>
      </x:c>
      <x:c r="L655" s="17" t="n">
        <x:f>G655+H655</x:f>
        <x:v>54516</x:v>
      </x:c>
      <x:c r="M655" s="28" t="n">
        <x:f>G655*J655/1000000</x:f>
        <x:v>0.4444</x:v>
      </x:c>
      <x:c r="N655" s="28" t="n">
        <x:f>H655*K655/1000000</x:f>
        <x:v>0.30228</x:v>
      </x:c>
      <x:c r="O655" s="28" t="n">
        <x:f>SUM(M655:N655)</x:f>
        <x:v>0.74668</x:v>
      </x:c>
    </x:row>
    <x:row r="656" ht="23" customHeight="1">
      <x:c r="A656" s="17" t="str">
        <x:v>U00650</x:v>
      </x:c>
      <x:c r="B656" s="18" t="n">
        <x:v>46274</x:v>
      </x:c>
      <x:c r="C656" s="17" t="str">
        <x:v>W0071</x:v>
      </x:c>
      <x:c r="D656" s="17" t="str">
        <x:v>C002</x:v>
      </x:c>
      <x:c r="E656" s="17" t="str">
        <x:v>CampaignChat</x:v>
      </x:c>
      <x:c r="F656" s="17" t="str">
        <x:v>Lite</x:v>
      </x:c>
      <x:c r="G656" s="17" t="n">
        <x:v>24146</x:v>
      </x:c>
      <x:c r="H656" s="17" t="n">
        <x:v>10388</x:v>
      </x:c>
      <x:c r="I656" s="17" t="str">
        <x:v>Correction</x:v>
      </x:c>
      <x:c r="J656" s="27" t="n">
        <x:f>INDEX('Model Pricing'!$B$7:$B$8,MATCH(F656,'Model Pricing'!$A$7:$A$8,0))</x:f>
        <x:v>10</x:v>
      </x:c>
      <x:c r="K656" s="27" t="n">
        <x:f>INDEX('Model Pricing'!$C$7:$C$8,MATCH(F656,'Model Pricing'!$A$7:$A$8,0))</x:f>
        <x:v>30</x:v>
      </x:c>
      <x:c r="L656" s="17" t="n">
        <x:f>G656+H656</x:f>
        <x:v>34534</x:v>
      </x:c>
      <x:c r="M656" s="28" t="n">
        <x:f>G656*J656/1000000</x:f>
        <x:v>0.24146</x:v>
      </x:c>
      <x:c r="N656" s="28" t="n">
        <x:f>H656*K656/1000000</x:f>
        <x:v>0.31164</x:v>
      </x:c>
      <x:c r="O656" s="28" t="n">
        <x:f>SUM(M656:N656)</x:f>
        <x:v>0.5530999999999999</x:v>
      </x:c>
    </x:row>
    <x:row r="657" ht="23" customHeight="1">
      <x:c r="A657" s="17" t="str">
        <x:v>U00651</x:v>
      </x:c>
      <x:c r="B657" s="18" t="n">
        <x:v>46274</x:v>
      </x:c>
      <x:c r="C657" s="17" t="str">
        <x:v>W0071</x:v>
      </x:c>
      <x:c r="D657" s="17" t="str">
        <x:v>C002</x:v>
      </x:c>
      <x:c r="E657" s="17" t="str">
        <x:v>CampaignChat</x:v>
      </x:c>
      <x:c r="F657" s="17" t="str">
        <x:v>Lite</x:v>
      </x:c>
      <x:c r="G657" s="17" t="n">
        <x:v>20107</x:v>
      </x:c>
      <x:c r="H657" s="17" t="n">
        <x:v>4215</x:v>
      </x:c>
      <x:c r="I657" s="17" t="str">
        <x:v>Followup</x:v>
      </x:c>
      <x:c r="J657" s="27" t="n">
        <x:f>INDEX('Model Pricing'!$B$7:$B$8,MATCH(F657,'Model Pricing'!$A$7:$A$8,0))</x:f>
        <x:v>10</x:v>
      </x:c>
      <x:c r="K657" s="27" t="n">
        <x:f>INDEX('Model Pricing'!$C$7:$C$8,MATCH(F657,'Model Pricing'!$A$7:$A$8,0))</x:f>
        <x:v>30</x:v>
      </x:c>
      <x:c r="L657" s="17" t="n">
        <x:f>G657+H657</x:f>
        <x:v>24322</x:v>
      </x:c>
      <x:c r="M657" s="28" t="n">
        <x:f>G657*J657/1000000</x:f>
        <x:v>0.20107</x:v>
      </x:c>
      <x:c r="N657" s="28" t="n">
        <x:f>H657*K657/1000000</x:f>
        <x:v>0.12645</x:v>
      </x:c>
      <x:c r="O657" s="28" t="n">
        <x:f>SUM(M657:N657)</x:f>
        <x:v>0.32752000000000003</x:v>
      </x:c>
    </x:row>
    <x:row r="658" ht="23" customHeight="1">
      <x:c r="A658" s="17" t="str">
        <x:v>U00652</x:v>
      </x:c>
      <x:c r="B658" s="18" t="n">
        <x:v>46274</x:v>
      </x:c>
      <x:c r="C658" s="17" t="str">
        <x:v>W0071</x:v>
      </x:c>
      <x:c r="D658" s="17" t="str">
        <x:v>C002</x:v>
      </x:c>
      <x:c r="E658" s="17" t="str">
        <x:v>CampaignChat</x:v>
      </x:c>
      <x:c r="F658" s="17" t="str">
        <x:v>Lite</x:v>
      </x:c>
      <x:c r="G658" s="17" t="n">
        <x:v>24225</x:v>
      </x:c>
      <x:c r="H658" s="17" t="n">
        <x:v>7397</x:v>
      </x:c>
      <x:c r="I658" s="17" t="str">
        <x:v>Followup</x:v>
      </x:c>
      <x:c r="J658" s="27" t="n">
        <x:f>INDEX('Model Pricing'!$B$7:$B$8,MATCH(F658,'Model Pricing'!$A$7:$A$8,0))</x:f>
        <x:v>10</x:v>
      </x:c>
      <x:c r="K658" s="27" t="n">
        <x:f>INDEX('Model Pricing'!$C$7:$C$8,MATCH(F658,'Model Pricing'!$A$7:$A$8,0))</x:f>
        <x:v>30</x:v>
      </x:c>
      <x:c r="L658" s="17" t="n">
        <x:f>G658+H658</x:f>
        <x:v>31622</x:v>
      </x:c>
      <x:c r="M658" s="28" t="n">
        <x:f>G658*J658/1000000</x:f>
        <x:v>0.24225</x:v>
      </x:c>
      <x:c r="N658" s="28" t="n">
        <x:f>H658*K658/1000000</x:f>
        <x:v>0.22191</x:v>
      </x:c>
      <x:c r="O658" s="28" t="n">
        <x:f>SUM(M658:N658)</x:f>
        <x:v>0.46416</x:v>
      </x:c>
    </x:row>
    <x:row r="659" ht="23" customHeight="1">
      <x:c r="A659" s="17" t="str">
        <x:v>U00653</x:v>
      </x:c>
      <x:c r="B659" s="18" t="n">
        <x:v>46274</x:v>
      </x:c>
      <x:c r="C659" s="17" t="str">
        <x:v>W0071</x:v>
      </x:c>
      <x:c r="D659" s="17" t="str">
        <x:v>C002</x:v>
      </x:c>
      <x:c r="E659" s="17" t="str">
        <x:v>CampaignChat</x:v>
      </x:c>
      <x:c r="F659" s="17" t="str">
        <x:v>Lite</x:v>
      </x:c>
      <x:c r="G659" s="17" t="n">
        <x:v>47745</x:v>
      </x:c>
      <x:c r="H659" s="17" t="n">
        <x:v>13434</x:v>
      </x:c>
      <x:c r="I659" s="17" t="str">
        <x:v>Followup</x:v>
      </x:c>
      <x:c r="J659" s="27" t="n">
        <x:f>INDEX('Model Pricing'!$B$7:$B$8,MATCH(F659,'Model Pricing'!$A$7:$A$8,0))</x:f>
        <x:v>10</x:v>
      </x:c>
      <x:c r="K659" s="27" t="n">
        <x:f>INDEX('Model Pricing'!$C$7:$C$8,MATCH(F659,'Model Pricing'!$A$7:$A$8,0))</x:f>
        <x:v>30</x:v>
      </x:c>
      <x:c r="L659" s="17" t="n">
        <x:f>G659+H659</x:f>
        <x:v>61179</x:v>
      </x:c>
      <x:c r="M659" s="28" t="n">
        <x:f>G659*J659/1000000</x:f>
        <x:v>0.47745</x:v>
      </x:c>
      <x:c r="N659" s="28" t="n">
        <x:f>H659*K659/1000000</x:f>
        <x:v>0.40302</x:v>
      </x:c>
      <x:c r="O659" s="28" t="n">
        <x:f>SUM(M659:N659)</x:f>
        <x:v>0.88047</x:v>
      </x:c>
    </x:row>
    <x:row r="660" ht="23" customHeight="1">
      <x:c r="A660" s="17" t="str">
        <x:v>U00654</x:v>
      </x:c>
      <x:c r="B660" s="18" t="n">
        <x:v>46274</x:v>
      </x:c>
      <x:c r="C660" s="17" t="str">
        <x:v>W0071</x:v>
      </x:c>
      <x:c r="D660" s="17" t="str">
        <x:v>C002</x:v>
      </x:c>
      <x:c r="E660" s="17" t="str">
        <x:v>CampaignChat</x:v>
      </x:c>
      <x:c r="F660" s="17" t="str">
        <x:v>Lite</x:v>
      </x:c>
      <x:c r="G660" s="17" t="n">
        <x:v>45368</x:v>
      </x:c>
      <x:c r="H660" s="17" t="n">
        <x:v>12718</x:v>
      </x:c>
      <x:c r="I660" s="17" t="str">
        <x:v>Followup</x:v>
      </x:c>
      <x:c r="J660" s="27" t="n">
        <x:f>INDEX('Model Pricing'!$B$7:$B$8,MATCH(F660,'Model Pricing'!$A$7:$A$8,0))</x:f>
        <x:v>10</x:v>
      </x:c>
      <x:c r="K660" s="27" t="n">
        <x:f>INDEX('Model Pricing'!$C$7:$C$8,MATCH(F660,'Model Pricing'!$A$7:$A$8,0))</x:f>
        <x:v>30</x:v>
      </x:c>
      <x:c r="L660" s="17" t="n">
        <x:f>G660+H660</x:f>
        <x:v>58086</x:v>
      </x:c>
      <x:c r="M660" s="28" t="n">
        <x:f>G660*J660/1000000</x:f>
        <x:v>0.45368</x:v>
      </x:c>
      <x:c r="N660" s="28" t="n">
        <x:f>H660*K660/1000000</x:f>
        <x:v>0.38154</x:v>
      </x:c>
      <x:c r="O660" s="28" t="n">
        <x:f>SUM(M660:N660)</x:f>
        <x:v>0.8352200000000001</x:v>
      </x:c>
    </x:row>
    <x:row r="661" ht="23" customHeight="1">
      <x:c r="A661" s="17" t="str">
        <x:v>U00655</x:v>
      </x:c>
      <x:c r="B661" s="18" t="n">
        <x:v>46275</x:v>
      </x:c>
      <x:c r="C661" s="17" t="str">
        <x:v>W0071</x:v>
      </x:c>
      <x:c r="D661" s="17" t="str">
        <x:v>C002</x:v>
      </x:c>
      <x:c r="E661" s="17" t="str">
        <x:v>CampaignChat</x:v>
      </x:c>
      <x:c r="F661" s="17" t="str">
        <x:v>Lite</x:v>
      </x:c>
      <x:c r="G661" s="17" t="n">
        <x:v>46120</x:v>
      </x:c>
      <x:c r="H661" s="17" t="n">
        <x:v>4534</x:v>
      </x:c>
      <x:c r="I661" s="17" t="str">
        <x:v>Followup</x:v>
      </x:c>
      <x:c r="J661" s="27" t="n">
        <x:f>INDEX('Model Pricing'!$B$7:$B$8,MATCH(F661,'Model Pricing'!$A$7:$A$8,0))</x:f>
        <x:v>10</x:v>
      </x:c>
      <x:c r="K661" s="27" t="n">
        <x:f>INDEX('Model Pricing'!$C$7:$C$8,MATCH(F661,'Model Pricing'!$A$7:$A$8,0))</x:f>
        <x:v>30</x:v>
      </x:c>
      <x:c r="L661" s="17" t="n">
        <x:f>G661+H661</x:f>
        <x:v>50654</x:v>
      </x:c>
      <x:c r="M661" s="28" t="n">
        <x:f>G661*J661/1000000</x:f>
        <x:v>0.4612</x:v>
      </x:c>
      <x:c r="N661" s="28" t="n">
        <x:f>H661*K661/1000000</x:f>
        <x:v>0.13602</x:v>
      </x:c>
      <x:c r="O661" s="28" t="n">
        <x:f>SUM(M661:N661)</x:f>
        <x:v>0.59722</x:v>
      </x:c>
    </x:row>
    <x:row r="662" ht="23" customHeight="1">
      <x:c r="A662" s="17" t="str">
        <x:v>U00656</x:v>
      </x:c>
      <x:c r="B662" s="18" t="n">
        <x:v>46275</x:v>
      </x:c>
      <x:c r="C662" s="17" t="str">
        <x:v>W0071</x:v>
      </x:c>
      <x:c r="D662" s="17" t="str">
        <x:v>C002</x:v>
      </x:c>
      <x:c r="E662" s="17" t="str">
        <x:v>CampaignChat</x:v>
      </x:c>
      <x:c r="F662" s="17" t="str">
        <x:v>Lite</x:v>
      </x:c>
      <x:c r="G662" s="17" t="n">
        <x:v>28384</x:v>
      </x:c>
      <x:c r="H662" s="17" t="n">
        <x:v>10417</x:v>
      </x:c>
      <x:c r="I662" s="17" t="str">
        <x:v>Correction</x:v>
      </x:c>
      <x:c r="J662" s="27" t="n">
        <x:f>INDEX('Model Pricing'!$B$7:$B$8,MATCH(F662,'Model Pricing'!$A$7:$A$8,0))</x:f>
        <x:v>10</x:v>
      </x:c>
      <x:c r="K662" s="27" t="n">
        <x:f>INDEX('Model Pricing'!$C$7:$C$8,MATCH(F662,'Model Pricing'!$A$7:$A$8,0))</x:f>
        <x:v>30</x:v>
      </x:c>
      <x:c r="L662" s="17" t="n">
        <x:f>G662+H662</x:f>
        <x:v>38801</x:v>
      </x:c>
      <x:c r="M662" s="28" t="n">
        <x:f>G662*J662/1000000</x:f>
        <x:v>0.28384</x:v>
      </x:c>
      <x:c r="N662" s="28" t="n">
        <x:f>H662*K662/1000000</x:f>
        <x:v>0.31251</x:v>
      </x:c>
      <x:c r="O662" s="28" t="n">
        <x:f>SUM(M662:N662)</x:f>
        <x:v>0.5963499999999999</x:v>
      </x:c>
    </x:row>
    <x:row r="663" ht="23" customHeight="1">
      <x:c r="A663" s="17" t="str">
        <x:v>U00657</x:v>
      </x:c>
      <x:c r="B663" s="18" t="n">
        <x:v>46275</x:v>
      </x:c>
      <x:c r="C663" s="17" t="str">
        <x:v>W0071</x:v>
      </x:c>
      <x:c r="D663" s="17" t="str">
        <x:v>C002</x:v>
      </x:c>
      <x:c r="E663" s="17" t="str">
        <x:v>CampaignChat</x:v>
      </x:c>
      <x:c r="F663" s="17" t="str">
        <x:v>Lite</x:v>
      </x:c>
      <x:c r="G663" s="17" t="n">
        <x:v>37769</x:v>
      </x:c>
      <x:c r="H663" s="17" t="n">
        <x:v>10123</x:v>
      </x:c>
      <x:c r="I663" s="17" t="str">
        <x:v>Followup</x:v>
      </x:c>
      <x:c r="J663" s="27" t="n">
        <x:f>INDEX('Model Pricing'!$B$7:$B$8,MATCH(F663,'Model Pricing'!$A$7:$A$8,0))</x:f>
        <x:v>10</x:v>
      </x:c>
      <x:c r="K663" s="27" t="n">
        <x:f>INDEX('Model Pricing'!$C$7:$C$8,MATCH(F663,'Model Pricing'!$A$7:$A$8,0))</x:f>
        <x:v>30</x:v>
      </x:c>
      <x:c r="L663" s="17" t="n">
        <x:f>G663+H663</x:f>
        <x:v>47892</x:v>
      </x:c>
      <x:c r="M663" s="28" t="n">
        <x:f>G663*J663/1000000</x:f>
        <x:v>0.37769</x:v>
      </x:c>
      <x:c r="N663" s="28" t="n">
        <x:f>H663*K663/1000000</x:f>
        <x:v>0.30369</x:v>
      </x:c>
      <x:c r="O663" s="28" t="n">
        <x:f>SUM(M663:N663)</x:f>
        <x:v>0.6813800000000001</x:v>
      </x:c>
    </x:row>
    <x:row r="664" ht="23" customHeight="1">
      <x:c r="A664" s="17" t="str">
        <x:v>U00658</x:v>
      </x:c>
      <x:c r="B664" s="18" t="n">
        <x:v>46275</x:v>
      </x:c>
      <x:c r="C664" s="17" t="str">
        <x:v>W0071</x:v>
      </x:c>
      <x:c r="D664" s="17" t="str">
        <x:v>C002</x:v>
      </x:c>
      <x:c r="E664" s="17" t="str">
        <x:v>CampaignChat</x:v>
      </x:c>
      <x:c r="F664" s="17" t="str">
        <x:v>Lite</x:v>
      </x:c>
      <x:c r="G664" s="17" t="n">
        <x:v>28301</x:v>
      </x:c>
      <x:c r="H664" s="17" t="n">
        <x:v>8391</x:v>
      </x:c>
      <x:c r="I664" s="17" t="str">
        <x:v>Correction</x:v>
      </x:c>
      <x:c r="J664" s="27" t="n">
        <x:f>INDEX('Model Pricing'!$B$7:$B$8,MATCH(F664,'Model Pricing'!$A$7:$A$8,0))</x:f>
        <x:v>10</x:v>
      </x:c>
      <x:c r="K664" s="27" t="n">
        <x:f>INDEX('Model Pricing'!$C$7:$C$8,MATCH(F664,'Model Pricing'!$A$7:$A$8,0))</x:f>
        <x:v>30</x:v>
      </x:c>
      <x:c r="L664" s="17" t="n">
        <x:f>G664+H664</x:f>
        <x:v>36692</x:v>
      </x:c>
      <x:c r="M664" s="28" t="n">
        <x:f>G664*J664/1000000</x:f>
        <x:v>0.28301</x:v>
      </x:c>
      <x:c r="N664" s="28" t="n">
        <x:f>H664*K664/1000000</x:f>
        <x:v>0.25173</x:v>
      </x:c>
      <x:c r="O664" s="28" t="n">
        <x:f>SUM(M664:N664)</x:f>
        <x:v>0.53474</x:v>
      </x:c>
    </x:row>
    <x:row r="665" ht="23" customHeight="1">
      <x:c r="A665" s="17" t="str">
        <x:v>U00659</x:v>
      </x:c>
      <x:c r="B665" s="18" t="n">
        <x:v>46275</x:v>
      </x:c>
      <x:c r="C665" s="17" t="str">
        <x:v>W0071</x:v>
      </x:c>
      <x:c r="D665" s="17" t="str">
        <x:v>C002</x:v>
      </x:c>
      <x:c r="E665" s="17" t="str">
        <x:v>CampaignChat</x:v>
      </x:c>
      <x:c r="F665" s="17" t="str">
        <x:v>Lite</x:v>
      </x:c>
      <x:c r="G665" s="17" t="n">
        <x:v>20951</x:v>
      </x:c>
      <x:c r="H665" s="17" t="n">
        <x:v>10232</x:v>
      </x:c>
      <x:c r="I665" s="17" t="str">
        <x:v>Correction</x:v>
      </x:c>
      <x:c r="J665" s="27" t="n">
        <x:f>INDEX('Model Pricing'!$B$7:$B$8,MATCH(F665,'Model Pricing'!$A$7:$A$8,0))</x:f>
        <x:v>10</x:v>
      </x:c>
      <x:c r="K665" s="27" t="n">
        <x:f>INDEX('Model Pricing'!$C$7:$C$8,MATCH(F665,'Model Pricing'!$A$7:$A$8,0))</x:f>
        <x:v>30</x:v>
      </x:c>
      <x:c r="L665" s="17" t="n">
        <x:f>G665+H665</x:f>
        <x:v>31183</x:v>
      </x:c>
      <x:c r="M665" s="28" t="n">
        <x:f>G665*J665/1000000</x:f>
        <x:v>0.20951</x:v>
      </x:c>
      <x:c r="N665" s="28" t="n">
        <x:f>H665*K665/1000000</x:f>
        <x:v>0.30696</x:v>
      </x:c>
      <x:c r="O665" s="28" t="n">
        <x:f>SUM(M665:N665)</x:f>
        <x:v>0.51647</x:v>
      </x:c>
    </x:row>
    <x:row r="666" ht="23" customHeight="1">
      <x:c r="A666" s="17" t="str">
        <x:v>U00660</x:v>
      </x:c>
      <x:c r="B666" s="18" t="n">
        <x:v>46276</x:v>
      </x:c>
      <x:c r="C666" s="17" t="str">
        <x:v>W0071</x:v>
      </x:c>
      <x:c r="D666" s="17" t="str">
        <x:v>C002</x:v>
      </x:c>
      <x:c r="E666" s="17" t="str">
        <x:v>CampaignChat</x:v>
      </x:c>
      <x:c r="F666" s="17" t="str">
        <x:v>Lite</x:v>
      </x:c>
      <x:c r="G666" s="17" t="n">
        <x:v>22569</x:v>
      </x:c>
      <x:c r="H666" s="17" t="n">
        <x:v>4419</x:v>
      </x:c>
      <x:c r="I666" s="17" t="str">
        <x:v>Followup</x:v>
      </x:c>
      <x:c r="J666" s="27" t="n">
        <x:f>INDEX('Model Pricing'!$B$7:$B$8,MATCH(F666,'Model Pricing'!$A$7:$A$8,0))</x:f>
        <x:v>10</x:v>
      </x:c>
      <x:c r="K666" s="27" t="n">
        <x:f>INDEX('Model Pricing'!$C$7:$C$8,MATCH(F666,'Model Pricing'!$A$7:$A$8,0))</x:f>
        <x:v>30</x:v>
      </x:c>
      <x:c r="L666" s="17" t="n">
        <x:f>G666+H666</x:f>
        <x:v>26988</x:v>
      </x:c>
      <x:c r="M666" s="28" t="n">
        <x:f>G666*J666/1000000</x:f>
        <x:v>0.22569</x:v>
      </x:c>
      <x:c r="N666" s="28" t="n">
        <x:f>H666*K666/1000000</x:f>
        <x:v>0.13257</x:v>
      </x:c>
      <x:c r="O666" s="28" t="n">
        <x:f>SUM(M666:N666)</x:f>
        <x:v>0.35826</x:v>
      </x:c>
    </x:row>
    <x:row r="667" ht="23" customHeight="1">
      <x:c r="A667" s="17" t="str">
        <x:v>U00661</x:v>
      </x:c>
      <x:c r="B667" s="18" t="n">
        <x:v>46276</x:v>
      </x:c>
      <x:c r="C667" s="17" t="str">
        <x:v>W0071</x:v>
      </x:c>
      <x:c r="D667" s="17" t="str">
        <x:v>C002</x:v>
      </x:c>
      <x:c r="E667" s="17" t="str">
        <x:v>CampaignChat</x:v>
      </x:c>
      <x:c r="F667" s="17" t="str">
        <x:v>Lite</x:v>
      </x:c>
      <x:c r="G667" s="17" t="n">
        <x:v>27144</x:v>
      </x:c>
      <x:c r="H667" s="17" t="n">
        <x:v>8662</x:v>
      </x:c>
      <x:c r="I667" s="17" t="str">
        <x:v>Followup</x:v>
      </x:c>
      <x:c r="J667" s="27" t="n">
        <x:f>INDEX('Model Pricing'!$B$7:$B$8,MATCH(F667,'Model Pricing'!$A$7:$A$8,0))</x:f>
        <x:v>10</x:v>
      </x:c>
      <x:c r="K667" s="27" t="n">
        <x:f>INDEX('Model Pricing'!$C$7:$C$8,MATCH(F667,'Model Pricing'!$A$7:$A$8,0))</x:f>
        <x:v>30</x:v>
      </x:c>
      <x:c r="L667" s="17" t="n">
        <x:f>G667+H667</x:f>
        <x:v>35806</x:v>
      </x:c>
      <x:c r="M667" s="28" t="n">
        <x:f>G667*J667/1000000</x:f>
        <x:v>0.27144</x:v>
      </x:c>
      <x:c r="N667" s="28" t="n">
        <x:f>H667*K667/1000000</x:f>
        <x:v>0.25986</x:v>
      </x:c>
      <x:c r="O667" s="28" t="n">
        <x:f>SUM(M667:N667)</x:f>
        <x:v>0.5313</x:v>
      </x:c>
    </x:row>
    <x:row r="668" ht="23" customHeight="1">
      <x:c r="A668" s="17" t="str">
        <x:v>U00662</x:v>
      </x:c>
      <x:c r="B668" s="18" t="n">
        <x:v>46276</x:v>
      </x:c>
      <x:c r="C668" s="17" t="str">
        <x:v>W0071</x:v>
      </x:c>
      <x:c r="D668" s="17" t="str">
        <x:v>C002</x:v>
      </x:c>
      <x:c r="E668" s="17" t="str">
        <x:v>CampaignChat</x:v>
      </x:c>
      <x:c r="F668" s="17" t="str">
        <x:v>Lite</x:v>
      </x:c>
      <x:c r="G668" s="17" t="n">
        <x:v>20646</x:v>
      </x:c>
      <x:c r="H668" s="17" t="n">
        <x:v>11680</x:v>
      </x:c>
      <x:c r="I668" s="17" t="str">
        <x:v>Followup</x:v>
      </x:c>
      <x:c r="J668" s="27" t="n">
        <x:f>INDEX('Model Pricing'!$B$7:$B$8,MATCH(F668,'Model Pricing'!$A$7:$A$8,0))</x:f>
        <x:v>10</x:v>
      </x:c>
      <x:c r="K668" s="27" t="n">
        <x:f>INDEX('Model Pricing'!$C$7:$C$8,MATCH(F668,'Model Pricing'!$A$7:$A$8,0))</x:f>
        <x:v>30</x:v>
      </x:c>
      <x:c r="L668" s="17" t="n">
        <x:f>G668+H668</x:f>
        <x:v>32326</x:v>
      </x:c>
      <x:c r="M668" s="28" t="n">
        <x:f>G668*J668/1000000</x:f>
        <x:v>0.20646</x:v>
      </x:c>
      <x:c r="N668" s="28" t="n">
        <x:f>H668*K668/1000000</x:f>
        <x:v>0.3504</x:v>
      </x:c>
      <x:c r="O668" s="28" t="n">
        <x:f>SUM(M668:N668)</x:f>
        <x:v>0.55686</x:v>
      </x:c>
    </x:row>
    <x:row r="669" ht="23" customHeight="1">
      <x:c r="A669" s="17" t="str">
        <x:v>U00663</x:v>
      </x:c>
      <x:c r="B669" s="18" t="n">
        <x:v>46276</x:v>
      </x:c>
      <x:c r="C669" s="17" t="str">
        <x:v>W0071</x:v>
      </x:c>
      <x:c r="D669" s="17" t="str">
        <x:v>C002</x:v>
      </x:c>
      <x:c r="E669" s="17" t="str">
        <x:v>CampaignChat</x:v>
      </x:c>
      <x:c r="F669" s="17" t="str">
        <x:v>Lite</x:v>
      </x:c>
      <x:c r="G669" s="17" t="n">
        <x:v>49196</x:v>
      </x:c>
      <x:c r="H669" s="17" t="n">
        <x:v>9533</x:v>
      </x:c>
      <x:c r="I669" s="17" t="str">
        <x:v>Followup</x:v>
      </x:c>
      <x:c r="J669" s="27" t="n">
        <x:f>INDEX('Model Pricing'!$B$7:$B$8,MATCH(F669,'Model Pricing'!$A$7:$A$8,0))</x:f>
        <x:v>10</x:v>
      </x:c>
      <x:c r="K669" s="27" t="n">
        <x:f>INDEX('Model Pricing'!$C$7:$C$8,MATCH(F669,'Model Pricing'!$A$7:$A$8,0))</x:f>
        <x:v>30</x:v>
      </x:c>
      <x:c r="L669" s="17" t="n">
        <x:f>G669+H669</x:f>
        <x:v>58729</x:v>
      </x:c>
      <x:c r="M669" s="28" t="n">
        <x:f>G669*J669/1000000</x:f>
        <x:v>0.49196</x:v>
      </x:c>
      <x:c r="N669" s="28" t="n">
        <x:f>H669*K669/1000000</x:f>
        <x:v>0.28599</x:v>
      </x:c>
      <x:c r="O669" s="28" t="n">
        <x:f>SUM(M669:N669)</x:f>
        <x:v>0.77795</x:v>
      </x:c>
    </x:row>
    <x:row r="670" ht="23" customHeight="1">
      <x:c r="A670" s="17" t="str">
        <x:v>U00664</x:v>
      </x:c>
      <x:c r="B670" s="18" t="n">
        <x:v>46276</x:v>
      </x:c>
      <x:c r="C670" s="17" t="str">
        <x:v>W0071</x:v>
      </x:c>
      <x:c r="D670" s="17" t="str">
        <x:v>C002</x:v>
      </x:c>
      <x:c r="E670" s="17" t="str">
        <x:v>CampaignChat</x:v>
      </x:c>
      <x:c r="F670" s="17" t="str">
        <x:v>Lite</x:v>
      </x:c>
      <x:c r="G670" s="17" t="n">
        <x:v>47258</x:v>
      </x:c>
      <x:c r="H670" s="17" t="n">
        <x:v>9622</x:v>
      </x:c>
      <x:c r="I670" s="17" t="str">
        <x:v>Correction</x:v>
      </x:c>
      <x:c r="J670" s="27" t="n">
        <x:f>INDEX('Model Pricing'!$B$7:$B$8,MATCH(F670,'Model Pricing'!$A$7:$A$8,0))</x:f>
        <x:v>10</x:v>
      </x:c>
      <x:c r="K670" s="27" t="n">
        <x:f>INDEX('Model Pricing'!$C$7:$C$8,MATCH(F670,'Model Pricing'!$A$7:$A$8,0))</x:f>
        <x:v>30</x:v>
      </x:c>
      <x:c r="L670" s="17" t="n">
        <x:f>G670+H670</x:f>
        <x:v>56880</x:v>
      </x:c>
      <x:c r="M670" s="28" t="n">
        <x:f>G670*J670/1000000</x:f>
        <x:v>0.47258</x:v>
      </x:c>
      <x:c r="N670" s="28" t="n">
        <x:f>H670*K670/1000000</x:f>
        <x:v>0.28866</x:v>
      </x:c>
      <x:c r="O670" s="28" t="n">
        <x:f>SUM(M670:N670)</x:f>
        <x:v>0.76124</x:v>
      </x:c>
    </x:row>
    <x:row r="671" ht="23" customHeight="1">
      <x:c r="A671" s="17" t="str">
        <x:v>U00665</x:v>
      </x:c>
      <x:c r="B671" s="18" t="n">
        <x:v>46282</x:v>
      </x:c>
      <x:c r="C671" s="17" t="str">
        <x:v>W0072</x:v>
      </x:c>
      <x:c r="D671" s="17" t="str">
        <x:v>C002</x:v>
      </x:c>
      <x:c r="E671" s="17" t="str">
        <x:v>CopyStudio</x:v>
      </x:c>
      <x:c r="F671" s="17" t="str">
        <x:v>Lite</x:v>
      </x:c>
      <x:c r="G671" s="17" t="n">
        <x:v>34852</x:v>
      </x:c>
      <x:c r="H671" s="17" t="n">
        <x:v>5359</x:v>
      </x:c>
      <x:c r="I671" s="17" t="str">
        <x:v>First attempt</x:v>
      </x:c>
      <x:c r="J671" s="27" t="n">
        <x:f>INDEX('Model Pricing'!$B$7:$B$8,MATCH(F671,'Model Pricing'!$A$7:$A$8,0))</x:f>
        <x:v>10</x:v>
      </x:c>
      <x:c r="K671" s="27" t="n">
        <x:f>INDEX('Model Pricing'!$C$7:$C$8,MATCH(F671,'Model Pricing'!$A$7:$A$8,0))</x:f>
        <x:v>30</x:v>
      </x:c>
      <x:c r="L671" s="17" t="n">
        <x:f>G671+H671</x:f>
        <x:v>40211</x:v>
      </x:c>
      <x:c r="M671" s="28" t="n">
        <x:f>G671*J671/1000000</x:f>
        <x:v>0.34852</x:v>
      </x:c>
      <x:c r="N671" s="28" t="n">
        <x:f>H671*K671/1000000</x:f>
        <x:v>0.16077</x:v>
      </x:c>
      <x:c r="O671" s="28" t="n">
        <x:f>SUM(M671:N671)</x:f>
        <x:v>0.50929</x:v>
      </x:c>
    </x:row>
    <x:row r="672" ht="23" customHeight="1">
      <x:c r="A672" s="17" t="str">
        <x:v>U00666</x:v>
      </x:c>
      <x:c r="B672" s="18" t="n">
        <x:v>46282</x:v>
      </x:c>
      <x:c r="C672" s="17" t="str">
        <x:v>W0072</x:v>
      </x:c>
      <x:c r="D672" s="17" t="str">
        <x:v>C002</x:v>
      </x:c>
      <x:c r="E672" s="17" t="str">
        <x:v>CopyStudio</x:v>
      </x:c>
      <x:c r="F672" s="17" t="str">
        <x:v>Lite</x:v>
      </x:c>
      <x:c r="G672" s="17" t="n">
        <x:v>29555</x:v>
      </x:c>
      <x:c r="H672" s="17" t="n">
        <x:v>4544</x:v>
      </x:c>
      <x:c r="I672" s="17" t="str">
        <x:v>Followup</x:v>
      </x:c>
      <x:c r="J672" s="27" t="n">
        <x:f>INDEX('Model Pricing'!$B$7:$B$8,MATCH(F672,'Model Pricing'!$A$7:$A$8,0))</x:f>
        <x:v>10</x:v>
      </x:c>
      <x:c r="K672" s="27" t="n">
        <x:f>INDEX('Model Pricing'!$C$7:$C$8,MATCH(F672,'Model Pricing'!$A$7:$A$8,0))</x:f>
        <x:v>30</x:v>
      </x:c>
      <x:c r="L672" s="17" t="n">
        <x:f>G672+H672</x:f>
        <x:v>34099</x:v>
      </x:c>
      <x:c r="M672" s="28" t="n">
        <x:f>G672*J672/1000000</x:f>
        <x:v>0.29555</x:v>
      </x:c>
      <x:c r="N672" s="28" t="n">
        <x:f>H672*K672/1000000</x:f>
        <x:v>0.13632</x:v>
      </x:c>
      <x:c r="O672" s="28" t="n">
        <x:f>SUM(M672:N672)</x:f>
        <x:v>0.43187</x:v>
      </x:c>
    </x:row>
    <x:row r="673" ht="23" customHeight="1">
      <x:c r="A673" s="17" t="str">
        <x:v>U00667</x:v>
      </x:c>
      <x:c r="B673" s="18" t="n">
        <x:v>46282</x:v>
      </x:c>
      <x:c r="C673" s="17" t="str">
        <x:v>W0072</x:v>
      </x:c>
      <x:c r="D673" s="17" t="str">
        <x:v>C002</x:v>
      </x:c>
      <x:c r="E673" s="17" t="str">
        <x:v>CopyStudio</x:v>
      </x:c>
      <x:c r="F673" s="17" t="str">
        <x:v>Lite</x:v>
      </x:c>
      <x:c r="G673" s="17" t="n">
        <x:v>27014</x:v>
      </x:c>
      <x:c r="H673" s="17" t="n">
        <x:v>4000</x:v>
      </x:c>
      <x:c r="I673" s="17" t="str">
        <x:v>Correction</x:v>
      </x:c>
      <x:c r="J673" s="27" t="n">
        <x:f>INDEX('Model Pricing'!$B$7:$B$8,MATCH(F673,'Model Pricing'!$A$7:$A$8,0))</x:f>
        <x:v>10</x:v>
      </x:c>
      <x:c r="K673" s="27" t="n">
        <x:f>INDEX('Model Pricing'!$C$7:$C$8,MATCH(F673,'Model Pricing'!$A$7:$A$8,0))</x:f>
        <x:v>30</x:v>
      </x:c>
      <x:c r="L673" s="17" t="n">
        <x:f>G673+H673</x:f>
        <x:v>31014</x:v>
      </x:c>
      <x:c r="M673" s="28" t="n">
        <x:f>G673*J673/1000000</x:f>
        <x:v>0.27014</x:v>
      </x:c>
      <x:c r="N673" s="28" t="n">
        <x:f>H673*K673/1000000</x:f>
        <x:v>0.12</x:v>
      </x:c>
      <x:c r="O673" s="28" t="n">
        <x:f>SUM(M673:N673)</x:f>
        <x:v>0.39014</x:v>
      </x:c>
    </x:row>
    <x:row r="674" ht="23" customHeight="1">
      <x:c r="A674" s="17" t="str">
        <x:v>U00668</x:v>
      </x:c>
      <x:c r="B674" s="18" t="n">
        <x:v>46282</x:v>
      </x:c>
      <x:c r="C674" s="17" t="str">
        <x:v>W0072</x:v>
      </x:c>
      <x:c r="D674" s="17" t="str">
        <x:v>C002</x:v>
      </x:c>
      <x:c r="E674" s="17" t="str">
        <x:v>CopyStudio</x:v>
      </x:c>
      <x:c r="F674" s="17" t="str">
        <x:v>Lite</x:v>
      </x:c>
      <x:c r="G674" s="17" t="n">
        <x:v>18126</x:v>
      </x:c>
      <x:c r="H674" s="17" t="n">
        <x:v>5123</x:v>
      </x:c>
      <x:c r="I674" s="17" t="str">
        <x:v>Followup</x:v>
      </x:c>
      <x:c r="J674" s="27" t="n">
        <x:f>INDEX('Model Pricing'!$B$7:$B$8,MATCH(F674,'Model Pricing'!$A$7:$A$8,0))</x:f>
        <x:v>10</x:v>
      </x:c>
      <x:c r="K674" s="27" t="n">
        <x:f>INDEX('Model Pricing'!$C$7:$C$8,MATCH(F674,'Model Pricing'!$A$7:$A$8,0))</x:f>
        <x:v>30</x:v>
      </x:c>
      <x:c r="L674" s="17" t="n">
        <x:f>G674+H674</x:f>
        <x:v>23249</x:v>
      </x:c>
      <x:c r="M674" s="28" t="n">
        <x:f>G674*J674/1000000</x:f>
        <x:v>0.18126</x:v>
      </x:c>
      <x:c r="N674" s="28" t="n">
        <x:f>H674*K674/1000000</x:f>
        <x:v>0.15369</x:v>
      </x:c>
      <x:c r="O674" s="28" t="n">
        <x:f>SUM(M674:N674)</x:f>
        <x:v>0.33494999999999997</x:v>
      </x:c>
    </x:row>
    <x:row r="675" ht="23" customHeight="1">
      <x:c r="A675" s="17" t="str">
        <x:v>U00669</x:v>
      </x:c>
      <x:c r="B675" s="18" t="n">
        <x:v>46282</x:v>
      </x:c>
      <x:c r="C675" s="17" t="str">
        <x:v>W0072</x:v>
      </x:c>
      <x:c r="D675" s="17" t="str">
        <x:v>C002</x:v>
      </x:c>
      <x:c r="E675" s="17" t="str">
        <x:v>CopyStudio</x:v>
      </x:c>
      <x:c r="F675" s="17" t="str">
        <x:v>Lite</x:v>
      </x:c>
      <x:c r="G675" s="17" t="n">
        <x:v>15937</x:v>
      </x:c>
      <x:c r="H675" s="17" t="n">
        <x:v>5937</x:v>
      </x:c>
      <x:c r="I675" s="17" t="str">
        <x:v>Correction</x:v>
      </x:c>
      <x:c r="J675" s="27" t="n">
        <x:f>INDEX('Model Pricing'!$B$7:$B$8,MATCH(F675,'Model Pricing'!$A$7:$A$8,0))</x:f>
        <x:v>10</x:v>
      </x:c>
      <x:c r="K675" s="27" t="n">
        <x:f>INDEX('Model Pricing'!$C$7:$C$8,MATCH(F675,'Model Pricing'!$A$7:$A$8,0))</x:f>
        <x:v>30</x:v>
      </x:c>
      <x:c r="L675" s="17" t="n">
        <x:f>G675+H675</x:f>
        <x:v>21874</x:v>
      </x:c>
      <x:c r="M675" s="28" t="n">
        <x:f>G675*J675/1000000</x:f>
        <x:v>0.15937</x:v>
      </x:c>
      <x:c r="N675" s="28" t="n">
        <x:f>H675*K675/1000000</x:f>
        <x:v>0.17811</x:v>
      </x:c>
      <x:c r="O675" s="28" t="n">
        <x:f>SUM(M675:N675)</x:f>
        <x:v>0.33748</x:v>
      </x:c>
    </x:row>
    <x:row r="676" ht="23" customHeight="1">
      <x:c r="A676" s="17" t="str">
        <x:v>U00670</x:v>
      </x:c>
      <x:c r="B676" s="18" t="n">
        <x:v>46282</x:v>
      </x:c>
      <x:c r="C676" s="17" t="str">
        <x:v>W0072</x:v>
      </x:c>
      <x:c r="D676" s="17" t="str">
        <x:v>C002</x:v>
      </x:c>
      <x:c r="E676" s="17" t="str">
        <x:v>CopyStudio</x:v>
      </x:c>
      <x:c r="F676" s="17" t="str">
        <x:v>Lite</x:v>
      </x:c>
      <x:c r="G676" s="17" t="n">
        <x:v>43465</x:v>
      </x:c>
      <x:c r="H676" s="17" t="n">
        <x:v>4108</x:v>
      </x:c>
      <x:c r="I676" s="17" t="str">
        <x:v>Followup</x:v>
      </x:c>
      <x:c r="J676" s="27" t="n">
        <x:f>INDEX('Model Pricing'!$B$7:$B$8,MATCH(F676,'Model Pricing'!$A$7:$A$8,0))</x:f>
        <x:v>10</x:v>
      </x:c>
      <x:c r="K676" s="27" t="n">
        <x:f>INDEX('Model Pricing'!$C$7:$C$8,MATCH(F676,'Model Pricing'!$A$7:$A$8,0))</x:f>
        <x:v>30</x:v>
      </x:c>
      <x:c r="L676" s="17" t="n">
        <x:f>G676+H676</x:f>
        <x:v>47573</x:v>
      </x:c>
      <x:c r="M676" s="28" t="n">
        <x:f>G676*J676/1000000</x:f>
        <x:v>0.43465</x:v>
      </x:c>
      <x:c r="N676" s="28" t="n">
        <x:f>H676*K676/1000000</x:f>
        <x:v>0.12324</x:v>
      </x:c>
      <x:c r="O676" s="28" t="n">
        <x:f>SUM(M676:N676)</x:f>
        <x:v>0.55789</x:v>
      </x:c>
    </x:row>
    <x:row r="677" ht="23" customHeight="1">
      <x:c r="A677" s="17" t="str">
        <x:v>U00671</x:v>
      </x:c>
      <x:c r="B677" s="18" t="n">
        <x:v>46282</x:v>
      </x:c>
      <x:c r="C677" s="17" t="str">
        <x:v>W0072</x:v>
      </x:c>
      <x:c r="D677" s="17" t="str">
        <x:v>C002</x:v>
      </x:c>
      <x:c r="E677" s="17" t="str">
        <x:v>CopyStudio</x:v>
      </x:c>
      <x:c r="F677" s="17" t="str">
        <x:v>Lite</x:v>
      </x:c>
      <x:c r="G677" s="17" t="n">
        <x:v>36028</x:v>
      </x:c>
      <x:c r="H677" s="17" t="n">
        <x:v>5109</x:v>
      </x:c>
      <x:c r="I677" s="17" t="str">
        <x:v>Followup</x:v>
      </x:c>
      <x:c r="J677" s="27" t="n">
        <x:f>INDEX('Model Pricing'!$B$7:$B$8,MATCH(F677,'Model Pricing'!$A$7:$A$8,0))</x:f>
        <x:v>10</x:v>
      </x:c>
      <x:c r="K677" s="27" t="n">
        <x:f>INDEX('Model Pricing'!$C$7:$C$8,MATCH(F677,'Model Pricing'!$A$7:$A$8,0))</x:f>
        <x:v>30</x:v>
      </x:c>
      <x:c r="L677" s="17" t="n">
        <x:f>G677+H677</x:f>
        <x:v>41137</x:v>
      </x:c>
      <x:c r="M677" s="28" t="n">
        <x:f>G677*J677/1000000</x:f>
        <x:v>0.36028</x:v>
      </x:c>
      <x:c r="N677" s="28" t="n">
        <x:f>H677*K677/1000000</x:f>
        <x:v>0.15327</x:v>
      </x:c>
      <x:c r="O677" s="28" t="n">
        <x:f>SUM(M677:N677)</x:f>
        <x:v>0.51355</x:v>
      </x:c>
    </x:row>
    <x:row r="678" ht="23" customHeight="1">
      <x:c r="A678" s="17" t="str">
        <x:v>U00672</x:v>
      </x:c>
      <x:c r="B678" s="18" t="n">
        <x:v>46282</x:v>
      </x:c>
      <x:c r="C678" s="17" t="str">
        <x:v>W0072</x:v>
      </x:c>
      <x:c r="D678" s="17" t="str">
        <x:v>C002</x:v>
      </x:c>
      <x:c r="E678" s="17" t="str">
        <x:v>CopyStudio</x:v>
      </x:c>
      <x:c r="F678" s="17" t="str">
        <x:v>Lite</x:v>
      </x:c>
      <x:c r="G678" s="17" t="n">
        <x:v>28036</x:v>
      </x:c>
      <x:c r="H678" s="17" t="n">
        <x:v>3734</x:v>
      </x:c>
      <x:c r="I678" s="17" t="str">
        <x:v>Followup</x:v>
      </x:c>
      <x:c r="J678" s="27" t="n">
        <x:f>INDEX('Model Pricing'!$B$7:$B$8,MATCH(F678,'Model Pricing'!$A$7:$A$8,0))</x:f>
        <x:v>10</x:v>
      </x:c>
      <x:c r="K678" s="27" t="n">
        <x:f>INDEX('Model Pricing'!$C$7:$C$8,MATCH(F678,'Model Pricing'!$A$7:$A$8,0))</x:f>
        <x:v>30</x:v>
      </x:c>
      <x:c r="L678" s="17" t="n">
        <x:f>G678+H678</x:f>
        <x:v>31770</x:v>
      </x:c>
      <x:c r="M678" s="28" t="n">
        <x:f>G678*J678/1000000</x:f>
        <x:v>0.28036</x:v>
      </x:c>
      <x:c r="N678" s="28" t="n">
        <x:f>H678*K678/1000000</x:f>
        <x:v>0.11202</x:v>
      </x:c>
      <x:c r="O678" s="28" t="n">
        <x:f>SUM(M678:N678)</x:f>
        <x:v>0.39238</x:v>
      </x:c>
    </x:row>
    <x:row r="679" ht="23" customHeight="1">
      <x:c r="A679" s="17" t="str">
        <x:v>U00673</x:v>
      </x:c>
      <x:c r="B679" s="18" t="n">
        <x:v>46283</x:v>
      </x:c>
      <x:c r="C679" s="17" t="str">
        <x:v>W0072</x:v>
      </x:c>
      <x:c r="D679" s="17" t="str">
        <x:v>C002</x:v>
      </x:c>
      <x:c r="E679" s="17" t="str">
        <x:v>CopyStudio</x:v>
      </x:c>
      <x:c r="F679" s="17" t="str">
        <x:v>Lite</x:v>
      </x:c>
      <x:c r="G679" s="17" t="n">
        <x:v>18547</x:v>
      </x:c>
      <x:c r="H679" s="17" t="n">
        <x:v>3118</x:v>
      </x:c>
      <x:c r="I679" s="17" t="str">
        <x:v>Followup</x:v>
      </x:c>
      <x:c r="J679" s="27" t="n">
        <x:f>INDEX('Model Pricing'!$B$7:$B$8,MATCH(F679,'Model Pricing'!$A$7:$A$8,0))</x:f>
        <x:v>10</x:v>
      </x:c>
      <x:c r="K679" s="27" t="n">
        <x:f>INDEX('Model Pricing'!$C$7:$C$8,MATCH(F679,'Model Pricing'!$A$7:$A$8,0))</x:f>
        <x:v>30</x:v>
      </x:c>
      <x:c r="L679" s="17" t="n">
        <x:f>G679+H679</x:f>
        <x:v>21665</x:v>
      </x:c>
      <x:c r="M679" s="28" t="n">
        <x:f>G679*J679/1000000</x:f>
        <x:v>0.18547</x:v>
      </x:c>
      <x:c r="N679" s="28" t="n">
        <x:f>H679*K679/1000000</x:f>
        <x:v>0.09354</x:v>
      </x:c>
      <x:c r="O679" s="28" t="n">
        <x:f>SUM(M679:N679)</x:f>
        <x:v>0.27901</x:v>
      </x:c>
    </x:row>
    <x:row r="680" ht="23" customHeight="1">
      <x:c r="A680" s="17" t="str">
        <x:v>U00674</x:v>
      </x:c>
      <x:c r="B680" s="18" t="n">
        <x:v>46283</x:v>
      </x:c>
      <x:c r="C680" s="17" t="str">
        <x:v>W0072</x:v>
      </x:c>
      <x:c r="D680" s="17" t="str">
        <x:v>C002</x:v>
      </x:c>
      <x:c r="E680" s="17" t="str">
        <x:v>CopyStudio</x:v>
      </x:c>
      <x:c r="F680" s="17" t="str">
        <x:v>Lite</x:v>
      </x:c>
      <x:c r="G680" s="17" t="n">
        <x:v>22165</x:v>
      </x:c>
      <x:c r="H680" s="17" t="n">
        <x:v>5678</x:v>
      </x:c>
      <x:c r="I680" s="17" t="str">
        <x:v>Correction</x:v>
      </x:c>
      <x:c r="J680" s="27" t="n">
        <x:f>INDEX('Model Pricing'!$B$7:$B$8,MATCH(F680,'Model Pricing'!$A$7:$A$8,0))</x:f>
        <x:v>10</x:v>
      </x:c>
      <x:c r="K680" s="27" t="n">
        <x:f>INDEX('Model Pricing'!$C$7:$C$8,MATCH(F680,'Model Pricing'!$A$7:$A$8,0))</x:f>
        <x:v>30</x:v>
      </x:c>
      <x:c r="L680" s="17" t="n">
        <x:f>G680+H680</x:f>
        <x:v>27843</x:v>
      </x:c>
      <x:c r="M680" s="28" t="n">
        <x:f>G680*J680/1000000</x:f>
        <x:v>0.22165</x:v>
      </x:c>
      <x:c r="N680" s="28" t="n">
        <x:f>H680*K680/1000000</x:f>
        <x:v>0.17034</x:v>
      </x:c>
      <x:c r="O680" s="28" t="n">
        <x:f>SUM(M680:N680)</x:f>
        <x:v>0.39199</x:v>
      </x:c>
    </x:row>
    <x:row r="681" ht="23" customHeight="1">
      <x:c r="A681" s="17" t="str">
        <x:v>U00675</x:v>
      </x:c>
      <x:c r="B681" s="18" t="n">
        <x:v>46283</x:v>
      </x:c>
      <x:c r="C681" s="17" t="str">
        <x:v>W0072</x:v>
      </x:c>
      <x:c r="D681" s="17" t="str">
        <x:v>C002</x:v>
      </x:c>
      <x:c r="E681" s="17" t="str">
        <x:v>CopyStudio</x:v>
      </x:c>
      <x:c r="F681" s="17" t="str">
        <x:v>Lite</x:v>
      </x:c>
      <x:c r="G681" s="17" t="n">
        <x:v>20011</x:v>
      </x:c>
      <x:c r="H681" s="17" t="n">
        <x:v>5866</x:v>
      </x:c>
      <x:c r="I681" s="17" t="str">
        <x:v>Correction</x:v>
      </x:c>
      <x:c r="J681" s="27" t="n">
        <x:f>INDEX('Model Pricing'!$B$7:$B$8,MATCH(F681,'Model Pricing'!$A$7:$A$8,0))</x:f>
        <x:v>10</x:v>
      </x:c>
      <x:c r="K681" s="27" t="n">
        <x:f>INDEX('Model Pricing'!$C$7:$C$8,MATCH(F681,'Model Pricing'!$A$7:$A$8,0))</x:f>
        <x:v>30</x:v>
      </x:c>
      <x:c r="L681" s="17" t="n">
        <x:f>G681+H681</x:f>
        <x:v>25877</x:v>
      </x:c>
      <x:c r="M681" s="28" t="n">
        <x:f>G681*J681/1000000</x:f>
        <x:v>0.20011</x:v>
      </x:c>
      <x:c r="N681" s="28" t="n">
        <x:f>H681*K681/1000000</x:f>
        <x:v>0.17598</x:v>
      </x:c>
      <x:c r="O681" s="28" t="n">
        <x:f>SUM(M681:N681)</x:f>
        <x:v>0.37609000000000004</x:v>
      </x:c>
    </x:row>
    <x:row r="682" ht="23" customHeight="1">
      <x:c r="A682" s="17" t="str">
        <x:v>U00676</x:v>
      </x:c>
      <x:c r="B682" s="18" t="n">
        <x:v>46283</x:v>
      </x:c>
      <x:c r="C682" s="17" t="str">
        <x:v>W0072</x:v>
      </x:c>
      <x:c r="D682" s="17" t="str">
        <x:v>C002</x:v>
      </x:c>
      <x:c r="E682" s="17" t="str">
        <x:v>CopyStudio</x:v>
      </x:c>
      <x:c r="F682" s="17" t="str">
        <x:v>Lite</x:v>
      </x:c>
      <x:c r="G682" s="17" t="n">
        <x:v>28224</x:v>
      </x:c>
      <x:c r="H682" s="17" t="n">
        <x:v>3570</x:v>
      </x:c>
      <x:c r="I682" s="17" t="str">
        <x:v>Correction</x:v>
      </x:c>
      <x:c r="J682" s="27" t="n">
        <x:f>INDEX('Model Pricing'!$B$7:$B$8,MATCH(F682,'Model Pricing'!$A$7:$A$8,0))</x:f>
        <x:v>10</x:v>
      </x:c>
      <x:c r="K682" s="27" t="n">
        <x:f>INDEX('Model Pricing'!$C$7:$C$8,MATCH(F682,'Model Pricing'!$A$7:$A$8,0))</x:f>
        <x:v>30</x:v>
      </x:c>
      <x:c r="L682" s="17" t="n">
        <x:f>G682+H682</x:f>
        <x:v>31794</x:v>
      </x:c>
      <x:c r="M682" s="28" t="n">
        <x:f>G682*J682/1000000</x:f>
        <x:v>0.28224</x:v>
      </x:c>
      <x:c r="N682" s="28" t="n">
        <x:f>H682*K682/1000000</x:f>
        <x:v>0.1071</x:v>
      </x:c>
      <x:c r="O682" s="28" t="n">
        <x:f>SUM(M682:N682)</x:f>
        <x:v>0.38934</x:v>
      </x:c>
    </x:row>
    <x:row r="683" ht="23" customHeight="1">
      <x:c r="A683" s="17" t="str">
        <x:v>U00677</x:v>
      </x:c>
      <x:c r="B683" s="18" t="n">
        <x:v>46283</x:v>
      </x:c>
      <x:c r="C683" s="17" t="str">
        <x:v>W0072</x:v>
      </x:c>
      <x:c r="D683" s="17" t="str">
        <x:v>C002</x:v>
      </x:c>
      <x:c r="E683" s="17" t="str">
        <x:v>CopyStudio</x:v>
      </x:c>
      <x:c r="F683" s="17" t="str">
        <x:v>Lite</x:v>
      </x:c>
      <x:c r="G683" s="17" t="n">
        <x:v>27598</x:v>
      </x:c>
      <x:c r="H683" s="17" t="n">
        <x:v>3344</x:v>
      </x:c>
      <x:c r="I683" s="17" t="str">
        <x:v>Correction</x:v>
      </x:c>
      <x:c r="J683" s="27" t="n">
        <x:f>INDEX('Model Pricing'!$B$7:$B$8,MATCH(F683,'Model Pricing'!$A$7:$A$8,0))</x:f>
        <x:v>10</x:v>
      </x:c>
      <x:c r="K683" s="27" t="n">
        <x:f>INDEX('Model Pricing'!$C$7:$C$8,MATCH(F683,'Model Pricing'!$A$7:$A$8,0))</x:f>
        <x:v>30</x:v>
      </x:c>
      <x:c r="L683" s="17" t="n">
        <x:f>G683+H683</x:f>
        <x:v>30942</x:v>
      </x:c>
      <x:c r="M683" s="28" t="n">
        <x:f>G683*J683/1000000</x:f>
        <x:v>0.27598</x:v>
      </x:c>
      <x:c r="N683" s="28" t="n">
        <x:f>H683*K683/1000000</x:f>
        <x:v>0.10032</x:v>
      </x:c>
      <x:c r="O683" s="28" t="n">
        <x:f>SUM(M683:N683)</x:f>
        <x:v>0.3763</x:v>
      </x:c>
    </x:row>
    <x:row r="684" ht="23" customHeight="1">
      <x:c r="A684" s="17" t="str">
        <x:v>U00678</x:v>
      </x:c>
      <x:c r="B684" s="18" t="n">
        <x:v>46283</x:v>
      </x:c>
      <x:c r="C684" s="17" t="str">
        <x:v>W0072</x:v>
      </x:c>
      <x:c r="D684" s="17" t="str">
        <x:v>C002</x:v>
      </x:c>
      <x:c r="E684" s="17" t="str">
        <x:v>CopyStudio</x:v>
      </x:c>
      <x:c r="F684" s="17" t="str">
        <x:v>Lite</x:v>
      </x:c>
      <x:c r="G684" s="17" t="n">
        <x:v>42395</x:v>
      </x:c>
      <x:c r="H684" s="17" t="n">
        <x:v>2292</x:v>
      </x:c>
      <x:c r="I684" s="17" t="str">
        <x:v>Followup</x:v>
      </x:c>
      <x:c r="J684" s="27" t="n">
        <x:f>INDEX('Model Pricing'!$B$7:$B$8,MATCH(F684,'Model Pricing'!$A$7:$A$8,0))</x:f>
        <x:v>10</x:v>
      </x:c>
      <x:c r="K684" s="27" t="n">
        <x:f>INDEX('Model Pricing'!$C$7:$C$8,MATCH(F684,'Model Pricing'!$A$7:$A$8,0))</x:f>
        <x:v>30</x:v>
      </x:c>
      <x:c r="L684" s="17" t="n">
        <x:f>G684+H684</x:f>
        <x:v>44687</x:v>
      </x:c>
      <x:c r="M684" s="28" t="n">
        <x:f>G684*J684/1000000</x:f>
        <x:v>0.42395</x:v>
      </x:c>
      <x:c r="N684" s="28" t="n">
        <x:f>H684*K684/1000000</x:f>
        <x:v>0.06876</x:v>
      </x:c>
      <x:c r="O684" s="28" t="n">
        <x:f>SUM(M684:N684)</x:f>
        <x:v>0.49271</x:v>
      </x:c>
    </x:row>
    <x:row r="685" ht="23" customHeight="1">
      <x:c r="A685" s="17" t="str">
        <x:v>U00679</x:v>
      </x:c>
      <x:c r="B685" s="18" t="n">
        <x:v>46283</x:v>
      </x:c>
      <x:c r="C685" s="17" t="str">
        <x:v>W0072</x:v>
      </x:c>
      <x:c r="D685" s="17" t="str">
        <x:v>C002</x:v>
      </x:c>
      <x:c r="E685" s="17" t="str">
        <x:v>CopyStudio</x:v>
      </x:c>
      <x:c r="F685" s="17" t="str">
        <x:v>Lite</x:v>
      </x:c>
      <x:c r="G685" s="17" t="n">
        <x:v>18974</x:v>
      </x:c>
      <x:c r="H685" s="17" t="n">
        <x:v>4589</x:v>
      </x:c>
      <x:c r="I685" s="17" t="str">
        <x:v>Followup</x:v>
      </x:c>
      <x:c r="J685" s="27" t="n">
        <x:f>INDEX('Model Pricing'!$B$7:$B$8,MATCH(F685,'Model Pricing'!$A$7:$A$8,0))</x:f>
        <x:v>10</x:v>
      </x:c>
      <x:c r="K685" s="27" t="n">
        <x:f>INDEX('Model Pricing'!$C$7:$C$8,MATCH(F685,'Model Pricing'!$A$7:$A$8,0))</x:f>
        <x:v>30</x:v>
      </x:c>
      <x:c r="L685" s="17" t="n">
        <x:f>G685+H685</x:f>
        <x:v>23563</x:v>
      </x:c>
      <x:c r="M685" s="28" t="n">
        <x:f>G685*J685/1000000</x:f>
        <x:v>0.18974</x:v>
      </x:c>
      <x:c r="N685" s="28" t="n">
        <x:f>H685*K685/1000000</x:f>
        <x:v>0.13767</x:v>
      </x:c>
      <x:c r="O685" s="28" t="n">
        <x:f>SUM(M685:N685)</x:f>
        <x:v>0.32741</x:v>
      </x:c>
    </x:row>
    <x:row r="686" ht="23" customHeight="1">
      <x:c r="A686" s="17" t="str">
        <x:v>U00680</x:v>
      </x:c>
      <x:c r="B686" s="18" t="n">
        <x:v>46286</x:v>
      </x:c>
      <x:c r="C686" s="17" t="str">
        <x:v>W0072</x:v>
      </x:c>
      <x:c r="D686" s="17" t="str">
        <x:v>C002</x:v>
      </x:c>
      <x:c r="E686" s="17" t="str">
        <x:v>CopyStudio</x:v>
      </x:c>
      <x:c r="F686" s="17" t="str">
        <x:v>Lite</x:v>
      </x:c>
      <x:c r="G686" s="17" t="n">
        <x:v>42543</x:v>
      </x:c>
      <x:c r="H686" s="17" t="n">
        <x:v>2274</x:v>
      </x:c>
      <x:c r="I686" s="17" t="str">
        <x:v>Correction</x:v>
      </x:c>
      <x:c r="J686" s="27" t="n">
        <x:f>INDEX('Model Pricing'!$B$7:$B$8,MATCH(F686,'Model Pricing'!$A$7:$A$8,0))</x:f>
        <x:v>10</x:v>
      </x:c>
      <x:c r="K686" s="27" t="n">
        <x:f>INDEX('Model Pricing'!$C$7:$C$8,MATCH(F686,'Model Pricing'!$A$7:$A$8,0))</x:f>
        <x:v>30</x:v>
      </x:c>
      <x:c r="L686" s="17" t="n">
        <x:f>G686+H686</x:f>
        <x:v>44817</x:v>
      </x:c>
      <x:c r="M686" s="28" t="n">
        <x:f>G686*J686/1000000</x:f>
        <x:v>0.42543</x:v>
      </x:c>
      <x:c r="N686" s="28" t="n">
        <x:f>H686*K686/1000000</x:f>
        <x:v>0.06822</x:v>
      </x:c>
      <x:c r="O686" s="28" t="n">
        <x:f>SUM(M686:N686)</x:f>
        <x:v>0.49365</x:v>
      </x:c>
    </x:row>
    <x:row r="687" ht="23" customHeight="1">
      <x:c r="A687" s="17" t="str">
        <x:v>U00681</x:v>
      </x:c>
      <x:c r="B687" s="18" t="n">
        <x:v>46286</x:v>
      </x:c>
      <x:c r="C687" s="17" t="str">
        <x:v>W0072</x:v>
      </x:c>
      <x:c r="D687" s="17" t="str">
        <x:v>C002</x:v>
      </x:c>
      <x:c r="E687" s="17" t="str">
        <x:v>CopyStudio</x:v>
      </x:c>
      <x:c r="F687" s="17" t="str">
        <x:v>Lite</x:v>
      </x:c>
      <x:c r="G687" s="17" t="n">
        <x:v>25890</x:v>
      </x:c>
      <x:c r="H687" s="17" t="n">
        <x:v>5273</x:v>
      </x:c>
      <x:c r="I687" s="17" t="str">
        <x:v>Correction</x:v>
      </x:c>
      <x:c r="J687" s="27" t="n">
        <x:f>INDEX('Model Pricing'!$B$7:$B$8,MATCH(F687,'Model Pricing'!$A$7:$A$8,0))</x:f>
        <x:v>10</x:v>
      </x:c>
      <x:c r="K687" s="27" t="n">
        <x:f>INDEX('Model Pricing'!$C$7:$C$8,MATCH(F687,'Model Pricing'!$A$7:$A$8,0))</x:f>
        <x:v>30</x:v>
      </x:c>
      <x:c r="L687" s="17" t="n">
        <x:f>G687+H687</x:f>
        <x:v>31163</x:v>
      </x:c>
      <x:c r="M687" s="28" t="n">
        <x:f>G687*J687/1000000</x:f>
        <x:v>0.2589</x:v>
      </x:c>
      <x:c r="N687" s="28" t="n">
        <x:f>H687*K687/1000000</x:f>
        <x:v>0.15819</x:v>
      </x:c>
      <x:c r="O687" s="28" t="n">
        <x:f>SUM(M687:N687)</x:f>
        <x:v>0.41709</x:v>
      </x:c>
    </x:row>
    <x:row r="688" ht="23" customHeight="1">
      <x:c r="A688" s="17" t="str">
        <x:v>U00682</x:v>
      </x:c>
      <x:c r="B688" s="18" t="n">
        <x:v>46286</x:v>
      </x:c>
      <x:c r="C688" s="17" t="str">
        <x:v>W0072</x:v>
      </x:c>
      <x:c r="D688" s="17" t="str">
        <x:v>C002</x:v>
      </x:c>
      <x:c r="E688" s="17" t="str">
        <x:v>CopyStudio</x:v>
      </x:c>
      <x:c r="F688" s="17" t="str">
        <x:v>Lite</x:v>
      </x:c>
      <x:c r="G688" s="17" t="n">
        <x:v>30428</x:v>
      </x:c>
      <x:c r="H688" s="17" t="n">
        <x:v>5307</x:v>
      </x:c>
      <x:c r="I688" s="17" t="str">
        <x:v>Followup</x:v>
      </x:c>
      <x:c r="J688" s="27" t="n">
        <x:f>INDEX('Model Pricing'!$B$7:$B$8,MATCH(F688,'Model Pricing'!$A$7:$A$8,0))</x:f>
        <x:v>10</x:v>
      </x:c>
      <x:c r="K688" s="27" t="n">
        <x:f>INDEX('Model Pricing'!$C$7:$C$8,MATCH(F688,'Model Pricing'!$A$7:$A$8,0))</x:f>
        <x:v>30</x:v>
      </x:c>
      <x:c r="L688" s="17" t="n">
        <x:f>G688+H688</x:f>
        <x:v>35735</x:v>
      </x:c>
      <x:c r="M688" s="28" t="n">
        <x:f>G688*J688/1000000</x:f>
        <x:v>0.30428</x:v>
      </x:c>
      <x:c r="N688" s="28" t="n">
        <x:f>H688*K688/1000000</x:f>
        <x:v>0.15921</x:v>
      </x:c>
      <x:c r="O688" s="28" t="n">
        <x:f>SUM(M688:N688)</x:f>
        <x:v>0.46348999999999996</x:v>
      </x:c>
    </x:row>
    <x:row r="689" ht="23" customHeight="1">
      <x:c r="A689" s="17" t="str">
        <x:v>U00683</x:v>
      </x:c>
      <x:c r="B689" s="18" t="n">
        <x:v>46286</x:v>
      </x:c>
      <x:c r="C689" s="17" t="str">
        <x:v>W0072</x:v>
      </x:c>
      <x:c r="D689" s="17" t="str">
        <x:v>C002</x:v>
      </x:c>
      <x:c r="E689" s="17" t="str">
        <x:v>CopyStudio</x:v>
      </x:c>
      <x:c r="F689" s="17" t="str">
        <x:v>Lite</x:v>
      </x:c>
      <x:c r="G689" s="17" t="n">
        <x:v>41949</x:v>
      </x:c>
      <x:c r="H689" s="17" t="n">
        <x:v>2974</x:v>
      </x:c>
      <x:c r="I689" s="17" t="str">
        <x:v>Followup</x:v>
      </x:c>
      <x:c r="J689" s="27" t="n">
        <x:f>INDEX('Model Pricing'!$B$7:$B$8,MATCH(F689,'Model Pricing'!$A$7:$A$8,0))</x:f>
        <x:v>10</x:v>
      </x:c>
      <x:c r="K689" s="27" t="n">
        <x:f>INDEX('Model Pricing'!$C$7:$C$8,MATCH(F689,'Model Pricing'!$A$7:$A$8,0))</x:f>
        <x:v>30</x:v>
      </x:c>
      <x:c r="L689" s="17" t="n">
        <x:f>G689+H689</x:f>
        <x:v>44923</x:v>
      </x:c>
      <x:c r="M689" s="28" t="n">
        <x:f>G689*J689/1000000</x:f>
        <x:v>0.41949</x:v>
      </x:c>
      <x:c r="N689" s="28" t="n">
        <x:f>H689*K689/1000000</x:f>
        <x:v>0.08922</x:v>
      </x:c>
      <x:c r="O689" s="28" t="n">
        <x:f>SUM(M689:N689)</x:f>
        <x:v>0.50871</x:v>
      </x:c>
    </x:row>
    <x:row r="690" ht="23" customHeight="1">
      <x:c r="A690" s="17" t="str">
        <x:v>U00684</x:v>
      </x:c>
      <x:c r="B690" s="18" t="n">
        <x:v>46286</x:v>
      </x:c>
      <x:c r="C690" s="17" t="str">
        <x:v>W0072</x:v>
      </x:c>
      <x:c r="D690" s="17" t="str">
        <x:v>C002</x:v>
      </x:c>
      <x:c r="E690" s="17" t="str">
        <x:v>CopyStudio</x:v>
      </x:c>
      <x:c r="F690" s="17" t="str">
        <x:v>Lite</x:v>
      </x:c>
      <x:c r="G690" s="17" t="n">
        <x:v>19873</x:v>
      </x:c>
      <x:c r="H690" s="17" t="n">
        <x:v>5575</x:v>
      </x:c>
      <x:c r="I690" s="17" t="str">
        <x:v>Followup</x:v>
      </x:c>
      <x:c r="J690" s="27" t="n">
        <x:f>INDEX('Model Pricing'!$B$7:$B$8,MATCH(F690,'Model Pricing'!$A$7:$A$8,0))</x:f>
        <x:v>10</x:v>
      </x:c>
      <x:c r="K690" s="27" t="n">
        <x:f>INDEX('Model Pricing'!$C$7:$C$8,MATCH(F690,'Model Pricing'!$A$7:$A$8,0))</x:f>
        <x:v>30</x:v>
      </x:c>
      <x:c r="L690" s="17" t="n">
        <x:f>G690+H690</x:f>
        <x:v>25448</x:v>
      </x:c>
      <x:c r="M690" s="28" t="n">
        <x:f>G690*J690/1000000</x:f>
        <x:v>0.19873</x:v>
      </x:c>
      <x:c r="N690" s="28" t="n">
        <x:f>H690*K690/1000000</x:f>
        <x:v>0.16725</x:v>
      </x:c>
      <x:c r="O690" s="28" t="n">
        <x:f>SUM(M690:N690)</x:f>
        <x:v>0.36597999999999997</x:v>
      </x:c>
    </x:row>
    <x:row r="691" ht="23" customHeight="1">
      <x:c r="A691" s="17" t="str">
        <x:v>U00685</x:v>
      </x:c>
      <x:c r="B691" s="18" t="n">
        <x:v>46286</x:v>
      </x:c>
      <x:c r="C691" s="17" t="str">
        <x:v>W0072</x:v>
      </x:c>
      <x:c r="D691" s="17" t="str">
        <x:v>C002</x:v>
      </x:c>
      <x:c r="E691" s="17" t="str">
        <x:v>CopyStudio</x:v>
      </x:c>
      <x:c r="F691" s="17" t="str">
        <x:v>Lite</x:v>
      </x:c>
      <x:c r="G691" s="17" t="n">
        <x:v>38472</x:v>
      </x:c>
      <x:c r="H691" s="17" t="n">
        <x:v>1654</x:v>
      </x:c>
      <x:c r="I691" s="17" t="str">
        <x:v>Followup</x:v>
      </x:c>
      <x:c r="J691" s="27" t="n">
        <x:f>INDEX('Model Pricing'!$B$7:$B$8,MATCH(F691,'Model Pricing'!$A$7:$A$8,0))</x:f>
        <x:v>10</x:v>
      </x:c>
      <x:c r="K691" s="27" t="n">
        <x:f>INDEX('Model Pricing'!$C$7:$C$8,MATCH(F691,'Model Pricing'!$A$7:$A$8,0))</x:f>
        <x:v>30</x:v>
      </x:c>
      <x:c r="L691" s="17" t="n">
        <x:f>G691+H691</x:f>
        <x:v>40126</x:v>
      </x:c>
      <x:c r="M691" s="28" t="n">
        <x:f>G691*J691/1000000</x:f>
        <x:v>0.38472</x:v>
      </x:c>
      <x:c r="N691" s="28" t="n">
        <x:f>H691*K691/1000000</x:f>
        <x:v>0.04962</x:v>
      </x:c>
      <x:c r="O691" s="28" t="n">
        <x:f>SUM(M691:N691)</x:f>
        <x:v>0.43434</x:v>
      </x:c>
    </x:row>
    <x:row r="692" ht="23" customHeight="1">
      <x:c r="A692" s="17" t="str">
        <x:v>U00686</x:v>
      </x:c>
      <x:c r="B692" s="18" t="n">
        <x:v>46286</x:v>
      </x:c>
      <x:c r="C692" s="17" t="str">
        <x:v>W0072</x:v>
      </x:c>
      <x:c r="D692" s="17" t="str">
        <x:v>C002</x:v>
      </x:c>
      <x:c r="E692" s="17" t="str">
        <x:v>CopyStudio</x:v>
      </x:c>
      <x:c r="F692" s="17" t="str">
        <x:v>Lite</x:v>
      </x:c>
      <x:c r="G692" s="17" t="n">
        <x:v>31338</x:v>
      </x:c>
      <x:c r="H692" s="17" t="n">
        <x:v>3206</x:v>
      </x:c>
      <x:c r="I692" s="17" t="str">
        <x:v>Followup</x:v>
      </x:c>
      <x:c r="J692" s="27" t="n">
        <x:f>INDEX('Model Pricing'!$B$7:$B$8,MATCH(F692,'Model Pricing'!$A$7:$A$8,0))</x:f>
        <x:v>10</x:v>
      </x:c>
      <x:c r="K692" s="27" t="n">
        <x:f>INDEX('Model Pricing'!$C$7:$C$8,MATCH(F692,'Model Pricing'!$A$7:$A$8,0))</x:f>
        <x:v>30</x:v>
      </x:c>
      <x:c r="L692" s="17" t="n">
        <x:f>G692+H692</x:f>
        <x:v>34544</x:v>
      </x:c>
      <x:c r="M692" s="28" t="n">
        <x:f>G692*J692/1000000</x:f>
        <x:v>0.31338</x:v>
      </x:c>
      <x:c r="N692" s="28" t="n">
        <x:f>H692*K692/1000000</x:f>
        <x:v>0.09618</x:v>
      </x:c>
      <x:c r="O692" s="28" t="n">
        <x:f>SUM(M692:N692)</x:f>
        <x:v>0.40956</x:v>
      </x:c>
    </x:row>
    <x:row r="693" ht="23" customHeight="1">
      <x:c r="A693" s="17" t="str">
        <x:v>U00687</x:v>
      </x:c>
      <x:c r="B693" s="18" t="n">
        <x:v>46287</x:v>
      </x:c>
      <x:c r="C693" s="17" t="str">
        <x:v>W0072</x:v>
      </x:c>
      <x:c r="D693" s="17" t="str">
        <x:v>C002</x:v>
      </x:c>
      <x:c r="E693" s="17" t="str">
        <x:v>CopyStudio</x:v>
      </x:c>
      <x:c r="F693" s="17" t="str">
        <x:v>Lite</x:v>
      </x:c>
      <x:c r="G693" s="17" t="n">
        <x:v>21122</x:v>
      </x:c>
      <x:c r="H693" s="17" t="n">
        <x:v>2337</x:v>
      </x:c>
      <x:c r="I693" s="17" t="str">
        <x:v>Correction</x:v>
      </x:c>
      <x:c r="J693" s="27" t="n">
        <x:f>INDEX('Model Pricing'!$B$7:$B$8,MATCH(F693,'Model Pricing'!$A$7:$A$8,0))</x:f>
        <x:v>10</x:v>
      </x:c>
      <x:c r="K693" s="27" t="n">
        <x:f>INDEX('Model Pricing'!$C$7:$C$8,MATCH(F693,'Model Pricing'!$A$7:$A$8,0))</x:f>
        <x:v>30</x:v>
      </x:c>
      <x:c r="L693" s="17" t="n">
        <x:f>G693+H693</x:f>
        <x:v>23459</x:v>
      </x:c>
      <x:c r="M693" s="28" t="n">
        <x:f>G693*J693/1000000</x:f>
        <x:v>0.21122</x:v>
      </x:c>
      <x:c r="N693" s="28" t="n">
        <x:f>H693*K693/1000000</x:f>
        <x:v>0.07011</x:v>
      </x:c>
      <x:c r="O693" s="28" t="n">
        <x:f>SUM(M693:N693)</x:f>
        <x:v>0.28132999999999997</x:v>
      </x:c>
    </x:row>
    <x:row r="694" ht="23" customHeight="1">
      <x:c r="A694" s="17" t="str">
        <x:v>U00688</x:v>
      </x:c>
      <x:c r="B694" s="18" t="n">
        <x:v>46287</x:v>
      </x:c>
      <x:c r="C694" s="17" t="str">
        <x:v>W0072</x:v>
      </x:c>
      <x:c r="D694" s="17" t="str">
        <x:v>C002</x:v>
      </x:c>
      <x:c r="E694" s="17" t="str">
        <x:v>CopyStudio</x:v>
      </x:c>
      <x:c r="F694" s="17" t="str">
        <x:v>Lite</x:v>
      </x:c>
      <x:c r="G694" s="17" t="n">
        <x:v>15453</x:v>
      </x:c>
      <x:c r="H694" s="17" t="n">
        <x:v>2624</x:v>
      </x:c>
      <x:c r="I694" s="17" t="str">
        <x:v>Correction</x:v>
      </x:c>
      <x:c r="J694" s="27" t="n">
        <x:f>INDEX('Model Pricing'!$B$7:$B$8,MATCH(F694,'Model Pricing'!$A$7:$A$8,0))</x:f>
        <x:v>10</x:v>
      </x:c>
      <x:c r="K694" s="27" t="n">
        <x:f>INDEX('Model Pricing'!$C$7:$C$8,MATCH(F694,'Model Pricing'!$A$7:$A$8,0))</x:f>
        <x:v>30</x:v>
      </x:c>
      <x:c r="L694" s="17" t="n">
        <x:f>G694+H694</x:f>
        <x:v>18077</x:v>
      </x:c>
      <x:c r="M694" s="28" t="n">
        <x:f>G694*J694/1000000</x:f>
        <x:v>0.15453</x:v>
      </x:c>
      <x:c r="N694" s="28" t="n">
        <x:f>H694*K694/1000000</x:f>
        <x:v>0.07872</x:v>
      </x:c>
      <x:c r="O694" s="28" t="n">
        <x:f>SUM(M694:N694)</x:f>
        <x:v>0.23325</x:v>
      </x:c>
    </x:row>
    <x:row r="695" ht="23" customHeight="1">
      <x:c r="A695" s="17" t="str">
        <x:v>U00689</x:v>
      </x:c>
      <x:c r="B695" s="18" t="n">
        <x:v>46287</x:v>
      </x:c>
      <x:c r="C695" s="17" t="str">
        <x:v>W0072</x:v>
      </x:c>
      <x:c r="D695" s="17" t="str">
        <x:v>C002</x:v>
      </x:c>
      <x:c r="E695" s="17" t="str">
        <x:v>CopyStudio</x:v>
      </x:c>
      <x:c r="F695" s="17" t="str">
        <x:v>Lite</x:v>
      </x:c>
      <x:c r="G695" s="17" t="n">
        <x:v>32800</x:v>
      </x:c>
      <x:c r="H695" s="17" t="n">
        <x:v>2467</x:v>
      </x:c>
      <x:c r="I695" s="17" t="str">
        <x:v>Correction</x:v>
      </x:c>
      <x:c r="J695" s="27" t="n">
        <x:f>INDEX('Model Pricing'!$B$7:$B$8,MATCH(F695,'Model Pricing'!$A$7:$A$8,0))</x:f>
        <x:v>10</x:v>
      </x:c>
      <x:c r="K695" s="27" t="n">
        <x:f>INDEX('Model Pricing'!$C$7:$C$8,MATCH(F695,'Model Pricing'!$A$7:$A$8,0))</x:f>
        <x:v>30</x:v>
      </x:c>
      <x:c r="L695" s="17" t="n">
        <x:f>G695+H695</x:f>
        <x:v>35267</x:v>
      </x:c>
      <x:c r="M695" s="28" t="n">
        <x:f>G695*J695/1000000</x:f>
        <x:v>0.328</x:v>
      </x:c>
      <x:c r="N695" s="28" t="n">
        <x:f>H695*K695/1000000</x:f>
        <x:v>0.07401</x:v>
      </x:c>
      <x:c r="O695" s="28" t="n">
        <x:f>SUM(M695:N695)</x:f>
        <x:v>0.40201000000000003</x:v>
      </x:c>
    </x:row>
    <x:row r="696" ht="23" customHeight="1">
      <x:c r="A696" s="17" t="str">
        <x:v>U00690</x:v>
      </x:c>
      <x:c r="B696" s="18" t="n">
        <x:v>46287</x:v>
      </x:c>
      <x:c r="C696" s="17" t="str">
        <x:v>W0072</x:v>
      </x:c>
      <x:c r="D696" s="17" t="str">
        <x:v>C002</x:v>
      </x:c>
      <x:c r="E696" s="17" t="str">
        <x:v>CopyStudio</x:v>
      </x:c>
      <x:c r="F696" s="17" t="str">
        <x:v>Lite</x:v>
      </x:c>
      <x:c r="G696" s="17" t="n">
        <x:v>20518</x:v>
      </x:c>
      <x:c r="H696" s="17" t="n">
        <x:v>1769</x:v>
      </x:c>
      <x:c r="I696" s="17" t="str">
        <x:v>Followup</x:v>
      </x:c>
      <x:c r="J696" s="27" t="n">
        <x:f>INDEX('Model Pricing'!$B$7:$B$8,MATCH(F696,'Model Pricing'!$A$7:$A$8,0))</x:f>
        <x:v>10</x:v>
      </x:c>
      <x:c r="K696" s="27" t="n">
        <x:f>INDEX('Model Pricing'!$C$7:$C$8,MATCH(F696,'Model Pricing'!$A$7:$A$8,0))</x:f>
        <x:v>30</x:v>
      </x:c>
      <x:c r="L696" s="17" t="n">
        <x:f>G696+H696</x:f>
        <x:v>22287</x:v>
      </x:c>
      <x:c r="M696" s="28" t="n">
        <x:f>G696*J696/1000000</x:f>
        <x:v>0.20518</x:v>
      </x:c>
      <x:c r="N696" s="28" t="n">
        <x:f>H696*K696/1000000</x:f>
        <x:v>0.05307</x:v>
      </x:c>
      <x:c r="O696" s="28" t="n">
        <x:f>SUM(M696:N696)</x:f>
        <x:v>0.25825</x:v>
      </x:c>
    </x:row>
    <x:row r="697" ht="23" customHeight="1">
      <x:c r="A697" s="17" t="str">
        <x:v>U00691</x:v>
      </x:c>
      <x:c r="B697" s="18" t="n">
        <x:v>46287</x:v>
      </x:c>
      <x:c r="C697" s="17" t="str">
        <x:v>W0072</x:v>
      </x:c>
      <x:c r="D697" s="17" t="str">
        <x:v>C002</x:v>
      </x:c>
      <x:c r="E697" s="17" t="str">
        <x:v>CopyStudio</x:v>
      </x:c>
      <x:c r="F697" s="17" t="str">
        <x:v>Lite</x:v>
      </x:c>
      <x:c r="G697" s="17" t="n">
        <x:v>18386</x:v>
      </x:c>
      <x:c r="H697" s="17" t="n">
        <x:v>3881</x:v>
      </x:c>
      <x:c r="I697" s="17" t="str">
        <x:v>Followup</x:v>
      </x:c>
      <x:c r="J697" s="27" t="n">
        <x:f>INDEX('Model Pricing'!$B$7:$B$8,MATCH(F697,'Model Pricing'!$A$7:$A$8,0))</x:f>
        <x:v>10</x:v>
      </x:c>
      <x:c r="K697" s="27" t="n">
        <x:f>INDEX('Model Pricing'!$C$7:$C$8,MATCH(F697,'Model Pricing'!$A$7:$A$8,0))</x:f>
        <x:v>30</x:v>
      </x:c>
      <x:c r="L697" s="17" t="n">
        <x:f>G697+H697</x:f>
        <x:v>22267</x:v>
      </x:c>
      <x:c r="M697" s="28" t="n">
        <x:f>G697*J697/1000000</x:f>
        <x:v>0.18386</x:v>
      </x:c>
      <x:c r="N697" s="28" t="n">
        <x:f>H697*K697/1000000</x:f>
        <x:v>0.11643</x:v>
      </x:c>
      <x:c r="O697" s="28" t="n">
        <x:f>SUM(M697:N697)</x:f>
        <x:v>0.30029</x:v>
      </x:c>
    </x:row>
    <x:row r="698" ht="23" customHeight="1">
      <x:c r="A698" s="17" t="str">
        <x:v>U00692</x:v>
      </x:c>
      <x:c r="B698" s="18" t="n">
        <x:v>46287</x:v>
      </x:c>
      <x:c r="C698" s="17" t="str">
        <x:v>W0072</x:v>
      </x:c>
      <x:c r="D698" s="17" t="str">
        <x:v>C002</x:v>
      </x:c>
      <x:c r="E698" s="17" t="str">
        <x:v>CopyStudio</x:v>
      </x:c>
      <x:c r="F698" s="17" t="str">
        <x:v>Lite</x:v>
      </x:c>
      <x:c r="G698" s="17" t="n">
        <x:v>20742</x:v>
      </x:c>
      <x:c r="H698" s="17" t="n">
        <x:v>5545</x:v>
      </x:c>
      <x:c r="I698" s="17" t="str">
        <x:v>Correction</x:v>
      </x:c>
      <x:c r="J698" s="27" t="n">
        <x:f>INDEX('Model Pricing'!$B$7:$B$8,MATCH(F698,'Model Pricing'!$A$7:$A$8,0))</x:f>
        <x:v>10</x:v>
      </x:c>
      <x:c r="K698" s="27" t="n">
        <x:f>INDEX('Model Pricing'!$C$7:$C$8,MATCH(F698,'Model Pricing'!$A$7:$A$8,0))</x:f>
        <x:v>30</x:v>
      </x:c>
      <x:c r="L698" s="17" t="n">
        <x:f>G698+H698</x:f>
        <x:v>26287</x:v>
      </x:c>
      <x:c r="M698" s="28" t="n">
        <x:f>G698*J698/1000000</x:f>
        <x:v>0.20742</x:v>
      </x:c>
      <x:c r="N698" s="28" t="n">
        <x:f>H698*K698/1000000</x:f>
        <x:v>0.16635</x:v>
      </x:c>
      <x:c r="O698" s="28" t="n">
        <x:f>SUM(M698:N698)</x:f>
        <x:v>0.37377</x:v>
      </x:c>
    </x:row>
    <x:row r="699" ht="23" customHeight="1">
      <x:c r="A699" s="17" t="str">
        <x:v>U00693</x:v>
      </x:c>
      <x:c r="B699" s="18" t="n">
        <x:v>46287</x:v>
      </x:c>
      <x:c r="C699" s="17" t="str">
        <x:v>W0072</x:v>
      </x:c>
      <x:c r="D699" s="17" t="str">
        <x:v>C002</x:v>
      </x:c>
      <x:c r="E699" s="17" t="str">
        <x:v>CopyStudio</x:v>
      </x:c>
      <x:c r="F699" s="17" t="str">
        <x:v>Lite</x:v>
      </x:c>
      <x:c r="G699" s="17" t="n">
        <x:v>38008</x:v>
      </x:c>
      <x:c r="H699" s="17" t="n">
        <x:v>5799</x:v>
      </x:c>
      <x:c r="I699" s="17" t="str">
        <x:v>Correction</x:v>
      </x:c>
      <x:c r="J699" s="27" t="n">
        <x:f>INDEX('Model Pricing'!$B$7:$B$8,MATCH(F699,'Model Pricing'!$A$7:$A$8,0))</x:f>
        <x:v>10</x:v>
      </x:c>
      <x:c r="K699" s="27" t="n">
        <x:f>INDEX('Model Pricing'!$C$7:$C$8,MATCH(F699,'Model Pricing'!$A$7:$A$8,0))</x:f>
        <x:v>30</x:v>
      </x:c>
      <x:c r="L699" s="17" t="n">
        <x:f>G699+H699</x:f>
        <x:v>43807</x:v>
      </x:c>
      <x:c r="M699" s="28" t="n">
        <x:f>G699*J699/1000000</x:f>
        <x:v>0.38008</x:v>
      </x:c>
      <x:c r="N699" s="28" t="n">
        <x:f>H699*K699/1000000</x:f>
        <x:v>0.17397</x:v>
      </x:c>
      <x:c r="O699" s="28" t="n">
        <x:f>SUM(M699:N699)</x:f>
        <x:v>0.5540499999999999</x:v>
      </x:c>
    </x:row>
    <x:row r="700" ht="23" customHeight="1">
      <x:c r="A700" s="17" t="str">
        <x:v>U00694</x:v>
      </x:c>
      <x:c r="B700" s="18" t="n">
        <x:v>46266</x:v>
      </x:c>
      <x:c r="C700" s="17" t="str">
        <x:v>W0073</x:v>
      </x:c>
      <x:c r="D700" s="17" t="str">
        <x:v>C002</x:v>
      </x:c>
      <x:c r="E700" s="17" t="str">
        <x:v>DataFlow</x:v>
      </x:c>
      <x:c r="F700" s="17" t="str">
        <x:v>Lite</x:v>
      </x:c>
      <x:c r="G700" s="17" t="n">
        <x:v>25805</x:v>
      </x:c>
      <x:c r="H700" s="17" t="n">
        <x:v>6097</x:v>
      </x:c>
      <x:c r="I700" s="17" t="str">
        <x:v>First attempt</x:v>
      </x:c>
      <x:c r="J700" s="27" t="n">
        <x:f>INDEX('Model Pricing'!$B$7:$B$8,MATCH(F700,'Model Pricing'!$A$7:$A$8,0))</x:f>
        <x:v>10</x:v>
      </x:c>
      <x:c r="K700" s="27" t="n">
        <x:f>INDEX('Model Pricing'!$C$7:$C$8,MATCH(F700,'Model Pricing'!$A$7:$A$8,0))</x:f>
        <x:v>30</x:v>
      </x:c>
      <x:c r="L700" s="17" t="n">
        <x:f>G700+H700</x:f>
        <x:v>31902</x:v>
      </x:c>
      <x:c r="M700" s="28" t="n">
        <x:f>G700*J700/1000000</x:f>
        <x:v>0.25805</x:v>
      </x:c>
      <x:c r="N700" s="28" t="n">
        <x:f>H700*K700/1000000</x:f>
        <x:v>0.18291</x:v>
      </x:c>
      <x:c r="O700" s="28" t="n">
        <x:f>SUM(M700:N700)</x:f>
        <x:v>0.44096</x:v>
      </x:c>
    </x:row>
    <x:row r="701" ht="23" customHeight="1">
      <x:c r="A701" s="17" t="str">
        <x:v>U00695</x:v>
      </x:c>
      <x:c r="B701" s="18" t="n">
        <x:v>46266</x:v>
      </x:c>
      <x:c r="C701" s="17" t="str">
        <x:v>W0073</x:v>
      </x:c>
      <x:c r="D701" s="17" t="str">
        <x:v>C002</x:v>
      </x:c>
      <x:c r="E701" s="17" t="str">
        <x:v>DataFlow</x:v>
      </x:c>
      <x:c r="F701" s="17" t="str">
        <x:v>Lite</x:v>
      </x:c>
      <x:c r="G701" s="17" t="n">
        <x:v>29197</x:v>
      </x:c>
      <x:c r="H701" s="17" t="n">
        <x:v>4112</x:v>
      </x:c>
      <x:c r="I701" s="17" t="str">
        <x:v>Followup</x:v>
      </x:c>
      <x:c r="J701" s="27" t="n">
        <x:f>INDEX('Model Pricing'!$B$7:$B$8,MATCH(F701,'Model Pricing'!$A$7:$A$8,0))</x:f>
        <x:v>10</x:v>
      </x:c>
      <x:c r="K701" s="27" t="n">
        <x:f>INDEX('Model Pricing'!$C$7:$C$8,MATCH(F701,'Model Pricing'!$A$7:$A$8,0))</x:f>
        <x:v>30</x:v>
      </x:c>
      <x:c r="L701" s="17" t="n">
        <x:f>G701+H701</x:f>
        <x:v>33309</x:v>
      </x:c>
      <x:c r="M701" s="28" t="n">
        <x:f>G701*J701/1000000</x:f>
        <x:v>0.29197</x:v>
      </x:c>
      <x:c r="N701" s="28" t="n">
        <x:f>H701*K701/1000000</x:f>
        <x:v>0.12336</x:v>
      </x:c>
      <x:c r="O701" s="28" t="n">
        <x:f>SUM(M701:N701)</x:f>
        <x:v>0.41533</x:v>
      </x:c>
    </x:row>
    <x:row r="702" ht="23" customHeight="1">
      <x:c r="A702" s="17" t="str">
        <x:v>U00696</x:v>
      </x:c>
      <x:c r="B702" s="18" t="n">
        <x:v>46266</x:v>
      </x:c>
      <x:c r="C702" s="17" t="str">
        <x:v>W0073</x:v>
      </x:c>
      <x:c r="D702" s="17" t="str">
        <x:v>C002</x:v>
      </x:c>
      <x:c r="E702" s="17" t="str">
        <x:v>DataFlow</x:v>
      </x:c>
      <x:c r="F702" s="17" t="str">
        <x:v>Lite</x:v>
      </x:c>
      <x:c r="G702" s="17" t="n">
        <x:v>38677</x:v>
      </x:c>
      <x:c r="H702" s="17" t="n">
        <x:v>7665</x:v>
      </x:c>
      <x:c r="I702" s="17" t="str">
        <x:v>Followup</x:v>
      </x:c>
      <x:c r="J702" s="27" t="n">
        <x:f>INDEX('Model Pricing'!$B$7:$B$8,MATCH(F702,'Model Pricing'!$A$7:$A$8,0))</x:f>
        <x:v>10</x:v>
      </x:c>
      <x:c r="K702" s="27" t="n">
        <x:f>INDEX('Model Pricing'!$C$7:$C$8,MATCH(F702,'Model Pricing'!$A$7:$A$8,0))</x:f>
        <x:v>30</x:v>
      </x:c>
      <x:c r="L702" s="17" t="n">
        <x:f>G702+H702</x:f>
        <x:v>46342</x:v>
      </x:c>
      <x:c r="M702" s="28" t="n">
        <x:f>G702*J702/1000000</x:f>
        <x:v>0.38677</x:v>
      </x:c>
      <x:c r="N702" s="28" t="n">
        <x:f>H702*K702/1000000</x:f>
        <x:v>0.22995</x:v>
      </x:c>
      <x:c r="O702" s="28" t="n">
        <x:f>SUM(M702:N702)</x:f>
        <x:v>0.6167199999999999</x:v>
      </x:c>
    </x:row>
    <x:row r="703" ht="23" customHeight="1">
      <x:c r="A703" s="17" t="str">
        <x:v>U00697</x:v>
      </x:c>
      <x:c r="B703" s="18" t="n">
        <x:v>46266</x:v>
      </x:c>
      <x:c r="C703" s="17" t="str">
        <x:v>W0073</x:v>
      </x:c>
      <x:c r="D703" s="17" t="str">
        <x:v>C002</x:v>
      </x:c>
      <x:c r="E703" s="17" t="str">
        <x:v>DataFlow</x:v>
      </x:c>
      <x:c r="F703" s="17" t="str">
        <x:v>Lite</x:v>
      </x:c>
      <x:c r="G703" s="17" t="n">
        <x:v>30026</x:v>
      </x:c>
      <x:c r="H703" s="17" t="n">
        <x:v>6791</x:v>
      </x:c>
      <x:c r="I703" s="17" t="str">
        <x:v>Followup</x:v>
      </x:c>
      <x:c r="J703" s="27" t="n">
        <x:f>INDEX('Model Pricing'!$B$7:$B$8,MATCH(F703,'Model Pricing'!$A$7:$A$8,0))</x:f>
        <x:v>10</x:v>
      </x:c>
      <x:c r="K703" s="27" t="n">
        <x:f>INDEX('Model Pricing'!$C$7:$C$8,MATCH(F703,'Model Pricing'!$A$7:$A$8,0))</x:f>
        <x:v>30</x:v>
      </x:c>
      <x:c r="L703" s="17" t="n">
        <x:f>G703+H703</x:f>
        <x:v>36817</x:v>
      </x:c>
      <x:c r="M703" s="28" t="n">
        <x:f>G703*J703/1000000</x:f>
        <x:v>0.30026</x:v>
      </x:c>
      <x:c r="N703" s="28" t="n">
        <x:f>H703*K703/1000000</x:f>
        <x:v>0.20373</x:v>
      </x:c>
      <x:c r="O703" s="28" t="n">
        <x:f>SUM(M703:N703)</x:f>
        <x:v>0.50399</x:v>
      </x:c>
    </x:row>
    <x:row r="704" ht="23" customHeight="1">
      <x:c r="A704" s="17" t="str">
        <x:v>U00698</x:v>
      </x:c>
      <x:c r="B704" s="18" t="n">
        <x:v>46266</x:v>
      </x:c>
      <x:c r="C704" s="17" t="str">
        <x:v>W0073</x:v>
      </x:c>
      <x:c r="D704" s="17" t="str">
        <x:v>C002</x:v>
      </x:c>
      <x:c r="E704" s="17" t="str">
        <x:v>DataFlow</x:v>
      </x:c>
      <x:c r="F704" s="17" t="str">
        <x:v>Lite</x:v>
      </x:c>
      <x:c r="G704" s="17" t="n">
        <x:v>57874</x:v>
      </x:c>
      <x:c r="H704" s="17" t="n">
        <x:v>7520</x:v>
      </x:c>
      <x:c r="I704" s="17" t="str">
        <x:v>Followup</x:v>
      </x:c>
      <x:c r="J704" s="27" t="n">
        <x:f>INDEX('Model Pricing'!$B$7:$B$8,MATCH(F704,'Model Pricing'!$A$7:$A$8,0))</x:f>
        <x:v>10</x:v>
      </x:c>
      <x:c r="K704" s="27" t="n">
        <x:f>INDEX('Model Pricing'!$C$7:$C$8,MATCH(F704,'Model Pricing'!$A$7:$A$8,0))</x:f>
        <x:v>30</x:v>
      </x:c>
      <x:c r="L704" s="17" t="n">
        <x:f>G704+H704</x:f>
        <x:v>65394</x:v>
      </x:c>
      <x:c r="M704" s="28" t="n">
        <x:f>G704*J704/1000000</x:f>
        <x:v>0.57874</x:v>
      </x:c>
      <x:c r="N704" s="28" t="n">
        <x:f>H704*K704/1000000</x:f>
        <x:v>0.2256</x:v>
      </x:c>
      <x:c r="O704" s="28" t="n">
        <x:f>SUM(M704:N704)</x:f>
        <x:v>0.80434</x:v>
      </x:c>
    </x:row>
    <x:row r="705" ht="23" customHeight="1">
      <x:c r="A705" s="17" t="str">
        <x:v>U00699</x:v>
      </x:c>
      <x:c r="B705" s="18" t="n">
        <x:v>46266</x:v>
      </x:c>
      <x:c r="C705" s="17" t="str">
        <x:v>W0073</x:v>
      </x:c>
      <x:c r="D705" s="17" t="str">
        <x:v>C002</x:v>
      </x:c>
      <x:c r="E705" s="17" t="str">
        <x:v>DataFlow</x:v>
      </x:c>
      <x:c r="F705" s="17" t="str">
        <x:v>Lite</x:v>
      </x:c>
      <x:c r="G705" s="17" t="n">
        <x:v>32685</x:v>
      </x:c>
      <x:c r="H705" s="17" t="n">
        <x:v>3893</x:v>
      </x:c>
      <x:c r="I705" s="17" t="str">
        <x:v>Followup</x:v>
      </x:c>
      <x:c r="J705" s="27" t="n">
        <x:f>INDEX('Model Pricing'!$B$7:$B$8,MATCH(F705,'Model Pricing'!$A$7:$A$8,0))</x:f>
        <x:v>10</x:v>
      </x:c>
      <x:c r="K705" s="27" t="n">
        <x:f>INDEX('Model Pricing'!$C$7:$C$8,MATCH(F705,'Model Pricing'!$A$7:$A$8,0))</x:f>
        <x:v>30</x:v>
      </x:c>
      <x:c r="L705" s="17" t="n">
        <x:f>G705+H705</x:f>
        <x:v>36578</x:v>
      </x:c>
      <x:c r="M705" s="28" t="n">
        <x:f>G705*J705/1000000</x:f>
        <x:v>0.32685</x:v>
      </x:c>
      <x:c r="N705" s="28" t="n">
        <x:f>H705*K705/1000000</x:f>
        <x:v>0.11679</x:v>
      </x:c>
      <x:c r="O705" s="28" t="n">
        <x:f>SUM(M705:N705)</x:f>
        <x:v>0.44364</x:v>
      </x:c>
    </x:row>
    <x:row r="706" ht="23" customHeight="1">
      <x:c r="A706" s="17" t="str">
        <x:v>U00700</x:v>
      </x:c>
      <x:c r="B706" s="18" t="n">
        <x:v>46267</x:v>
      </x:c>
      <x:c r="C706" s="17" t="str">
        <x:v>W0073</x:v>
      </x:c>
      <x:c r="D706" s="17" t="str">
        <x:v>C002</x:v>
      </x:c>
      <x:c r="E706" s="17" t="str">
        <x:v>DataFlow</x:v>
      </x:c>
      <x:c r="F706" s="17" t="str">
        <x:v>Lite</x:v>
      </x:c>
      <x:c r="G706" s="17" t="n">
        <x:v>47727</x:v>
      </x:c>
      <x:c r="H706" s="17" t="n">
        <x:v>4792</x:v>
      </x:c>
      <x:c r="I706" s="17" t="str">
        <x:v>Correction</x:v>
      </x:c>
      <x:c r="J706" s="27" t="n">
        <x:f>INDEX('Model Pricing'!$B$7:$B$8,MATCH(F706,'Model Pricing'!$A$7:$A$8,0))</x:f>
        <x:v>10</x:v>
      </x:c>
      <x:c r="K706" s="27" t="n">
        <x:f>INDEX('Model Pricing'!$C$7:$C$8,MATCH(F706,'Model Pricing'!$A$7:$A$8,0))</x:f>
        <x:v>30</x:v>
      </x:c>
      <x:c r="L706" s="17" t="n">
        <x:f>G706+H706</x:f>
        <x:v>52519</x:v>
      </x:c>
      <x:c r="M706" s="28" t="n">
        <x:f>G706*J706/1000000</x:f>
        <x:v>0.47727</x:v>
      </x:c>
      <x:c r="N706" s="28" t="n">
        <x:f>H706*K706/1000000</x:f>
        <x:v>0.14376</x:v>
      </x:c>
      <x:c r="O706" s="28" t="n">
        <x:f>SUM(M706:N706)</x:f>
        <x:v>0.62103</x:v>
      </x:c>
    </x:row>
    <x:row r="707" ht="23" customHeight="1">
      <x:c r="A707" s="17" t="str">
        <x:v>U00701</x:v>
      </x:c>
      <x:c r="B707" s="18" t="n">
        <x:v>46267</x:v>
      </x:c>
      <x:c r="C707" s="17" t="str">
        <x:v>W0073</x:v>
      </x:c>
      <x:c r="D707" s="17" t="str">
        <x:v>C002</x:v>
      </x:c>
      <x:c r="E707" s="17" t="str">
        <x:v>DataFlow</x:v>
      </x:c>
      <x:c r="F707" s="17" t="str">
        <x:v>Lite</x:v>
      </x:c>
      <x:c r="G707" s="17" t="n">
        <x:v>53288</x:v>
      </x:c>
      <x:c r="H707" s="17" t="n">
        <x:v>7062</x:v>
      </x:c>
      <x:c r="I707" s="17" t="str">
        <x:v>Followup</x:v>
      </x:c>
      <x:c r="J707" s="27" t="n">
        <x:f>INDEX('Model Pricing'!$B$7:$B$8,MATCH(F707,'Model Pricing'!$A$7:$A$8,0))</x:f>
        <x:v>10</x:v>
      </x:c>
      <x:c r="K707" s="27" t="n">
        <x:f>INDEX('Model Pricing'!$C$7:$C$8,MATCH(F707,'Model Pricing'!$A$7:$A$8,0))</x:f>
        <x:v>30</x:v>
      </x:c>
      <x:c r="L707" s="17" t="n">
        <x:f>G707+H707</x:f>
        <x:v>60350</x:v>
      </x:c>
      <x:c r="M707" s="28" t="n">
        <x:f>G707*J707/1000000</x:f>
        <x:v>0.53288</x:v>
      </x:c>
      <x:c r="N707" s="28" t="n">
        <x:f>H707*K707/1000000</x:f>
        <x:v>0.21186</x:v>
      </x:c>
      <x:c r="O707" s="28" t="n">
        <x:f>SUM(M707:N707)</x:f>
        <x:v>0.74474</x:v>
      </x:c>
    </x:row>
    <x:row r="708" ht="23" customHeight="1">
      <x:c r="A708" s="17" t="str">
        <x:v>U00702</x:v>
      </x:c>
      <x:c r="B708" s="18" t="n">
        <x:v>46267</x:v>
      </x:c>
      <x:c r="C708" s="17" t="str">
        <x:v>W0073</x:v>
      </x:c>
      <x:c r="D708" s="17" t="str">
        <x:v>C002</x:v>
      </x:c>
      <x:c r="E708" s="17" t="str">
        <x:v>DataFlow</x:v>
      </x:c>
      <x:c r="F708" s="17" t="str">
        <x:v>Lite</x:v>
      </x:c>
      <x:c r="G708" s="17" t="n">
        <x:v>42727</x:v>
      </x:c>
      <x:c r="H708" s="17" t="n">
        <x:v>3590</x:v>
      </x:c>
      <x:c r="I708" s="17" t="str">
        <x:v>Correction</x:v>
      </x:c>
      <x:c r="J708" s="27" t="n">
        <x:f>INDEX('Model Pricing'!$B$7:$B$8,MATCH(F708,'Model Pricing'!$A$7:$A$8,0))</x:f>
        <x:v>10</x:v>
      </x:c>
      <x:c r="K708" s="27" t="n">
        <x:f>INDEX('Model Pricing'!$C$7:$C$8,MATCH(F708,'Model Pricing'!$A$7:$A$8,0))</x:f>
        <x:v>30</x:v>
      </x:c>
      <x:c r="L708" s="17" t="n">
        <x:f>G708+H708</x:f>
        <x:v>46317</x:v>
      </x:c>
      <x:c r="M708" s="28" t="n">
        <x:f>G708*J708/1000000</x:f>
        <x:v>0.42727</x:v>
      </x:c>
      <x:c r="N708" s="28" t="n">
        <x:f>H708*K708/1000000</x:f>
        <x:v>0.1077</x:v>
      </x:c>
      <x:c r="O708" s="28" t="n">
        <x:f>SUM(M708:N708)</x:f>
        <x:v>0.53497</x:v>
      </x:c>
    </x:row>
    <x:row r="709" ht="23" customHeight="1">
      <x:c r="A709" s="17" t="str">
        <x:v>U00703</x:v>
      </x:c>
      <x:c r="B709" s="18" t="n">
        <x:v>46267</x:v>
      </x:c>
      <x:c r="C709" s="17" t="str">
        <x:v>W0073</x:v>
      </x:c>
      <x:c r="D709" s="17" t="str">
        <x:v>C002</x:v>
      </x:c>
      <x:c r="E709" s="17" t="str">
        <x:v>DataFlow</x:v>
      </x:c>
      <x:c r="F709" s="17" t="str">
        <x:v>Lite</x:v>
      </x:c>
      <x:c r="G709" s="17" t="n">
        <x:v>23333</x:v>
      </x:c>
      <x:c r="H709" s="17" t="n">
        <x:v>7736</x:v>
      </x:c>
      <x:c r="I709" s="17" t="str">
        <x:v>Correction</x:v>
      </x:c>
      <x:c r="J709" s="27" t="n">
        <x:f>INDEX('Model Pricing'!$B$7:$B$8,MATCH(F709,'Model Pricing'!$A$7:$A$8,0))</x:f>
        <x:v>10</x:v>
      </x:c>
      <x:c r="K709" s="27" t="n">
        <x:f>INDEX('Model Pricing'!$C$7:$C$8,MATCH(F709,'Model Pricing'!$A$7:$A$8,0))</x:f>
        <x:v>30</x:v>
      </x:c>
      <x:c r="L709" s="17" t="n">
        <x:f>G709+H709</x:f>
        <x:v>31069</x:v>
      </x:c>
      <x:c r="M709" s="28" t="n">
        <x:f>G709*J709/1000000</x:f>
        <x:v>0.23333</x:v>
      </x:c>
      <x:c r="N709" s="28" t="n">
        <x:f>H709*K709/1000000</x:f>
        <x:v>0.23208</x:v>
      </x:c>
      <x:c r="O709" s="28" t="n">
        <x:f>SUM(M709:N709)</x:f>
        <x:v>0.46541</x:v>
      </x:c>
    </x:row>
    <x:row r="710" ht="23" customHeight="1">
      <x:c r="A710" s="17" t="str">
        <x:v>U00704</x:v>
      </x:c>
      <x:c r="B710" s="18" t="n">
        <x:v>46267</x:v>
      </x:c>
      <x:c r="C710" s="17" t="str">
        <x:v>W0073</x:v>
      </x:c>
      <x:c r="D710" s="17" t="str">
        <x:v>C002</x:v>
      </x:c>
      <x:c r="E710" s="17" t="str">
        <x:v>DataFlow</x:v>
      </x:c>
      <x:c r="F710" s="17" t="str">
        <x:v>Lite</x:v>
      </x:c>
      <x:c r="G710" s="17" t="n">
        <x:v>50276</x:v>
      </x:c>
      <x:c r="H710" s="17" t="n">
        <x:v>5928</x:v>
      </x:c>
      <x:c r="I710" s="17" t="str">
        <x:v>Correction</x:v>
      </x:c>
      <x:c r="J710" s="27" t="n">
        <x:f>INDEX('Model Pricing'!$B$7:$B$8,MATCH(F710,'Model Pricing'!$A$7:$A$8,0))</x:f>
        <x:v>10</x:v>
      </x:c>
      <x:c r="K710" s="27" t="n">
        <x:f>INDEX('Model Pricing'!$C$7:$C$8,MATCH(F710,'Model Pricing'!$A$7:$A$8,0))</x:f>
        <x:v>30</x:v>
      </x:c>
      <x:c r="L710" s="17" t="n">
        <x:f>G710+H710</x:f>
        <x:v>56204</x:v>
      </x:c>
      <x:c r="M710" s="28" t="n">
        <x:f>G710*J710/1000000</x:f>
        <x:v>0.50276</x:v>
      </x:c>
      <x:c r="N710" s="28" t="n">
        <x:f>H710*K710/1000000</x:f>
        <x:v>0.17784</x:v>
      </x:c>
      <x:c r="O710" s="28" t="n">
        <x:f>SUM(M710:N710)</x:f>
        <x:v>0.6806</x:v>
      </x:c>
    </x:row>
    <x:row r="711" ht="23" customHeight="1">
      <x:c r="A711" s="17" t="str">
        <x:v>U00705</x:v>
      </x:c>
      <x:c r="B711" s="18" t="n">
        <x:v>46267</x:v>
      </x:c>
      <x:c r="C711" s="17" t="str">
        <x:v>W0073</x:v>
      </x:c>
      <x:c r="D711" s="17" t="str">
        <x:v>C002</x:v>
      </x:c>
      <x:c r="E711" s="17" t="str">
        <x:v>DataFlow</x:v>
      </x:c>
      <x:c r="F711" s="17" t="str">
        <x:v>Lite</x:v>
      </x:c>
      <x:c r="G711" s="17" t="n">
        <x:v>38752</x:v>
      </x:c>
      <x:c r="H711" s="17" t="n">
        <x:v>4342</x:v>
      </x:c>
      <x:c r="I711" s="17" t="str">
        <x:v>Correction</x:v>
      </x:c>
      <x:c r="J711" s="27" t="n">
        <x:f>INDEX('Model Pricing'!$B$7:$B$8,MATCH(F711,'Model Pricing'!$A$7:$A$8,0))</x:f>
        <x:v>10</x:v>
      </x:c>
      <x:c r="K711" s="27" t="n">
        <x:f>INDEX('Model Pricing'!$C$7:$C$8,MATCH(F711,'Model Pricing'!$A$7:$A$8,0))</x:f>
        <x:v>30</x:v>
      </x:c>
      <x:c r="L711" s="17" t="n">
        <x:f>G711+H711</x:f>
        <x:v>43094</x:v>
      </x:c>
      <x:c r="M711" s="28" t="n">
        <x:f>G711*J711/1000000</x:f>
        <x:v>0.38752</x:v>
      </x:c>
      <x:c r="N711" s="28" t="n">
        <x:f>H711*K711/1000000</x:f>
        <x:v>0.13026</x:v>
      </x:c>
      <x:c r="O711" s="28" t="n">
        <x:f>SUM(M711:N711)</x:f>
        <x:v>0.5177799999999999</x:v>
      </x:c>
    </x:row>
    <x:row r="712" ht="23" customHeight="1">
      <x:c r="A712" s="17" t="str">
        <x:v>U00706</x:v>
      </x:c>
      <x:c r="B712" s="18" t="n">
        <x:v>46268</x:v>
      </x:c>
      <x:c r="C712" s="17" t="str">
        <x:v>W0073</x:v>
      </x:c>
      <x:c r="D712" s="17" t="str">
        <x:v>C002</x:v>
      </x:c>
      <x:c r="E712" s="17" t="str">
        <x:v>DataFlow</x:v>
      </x:c>
      <x:c r="F712" s="17" t="str">
        <x:v>Lite</x:v>
      </x:c>
      <x:c r="G712" s="17" t="n">
        <x:v>44933</x:v>
      </x:c>
      <x:c r="H712" s="17" t="n">
        <x:v>6238</x:v>
      </x:c>
      <x:c r="I712" s="17" t="str">
        <x:v>Correction</x:v>
      </x:c>
      <x:c r="J712" s="27" t="n">
        <x:f>INDEX('Model Pricing'!$B$7:$B$8,MATCH(F712,'Model Pricing'!$A$7:$A$8,0))</x:f>
        <x:v>10</x:v>
      </x:c>
      <x:c r="K712" s="27" t="n">
        <x:f>INDEX('Model Pricing'!$C$7:$C$8,MATCH(F712,'Model Pricing'!$A$7:$A$8,0))</x:f>
        <x:v>30</x:v>
      </x:c>
      <x:c r="L712" s="17" t="n">
        <x:f>G712+H712</x:f>
        <x:v>51171</x:v>
      </x:c>
      <x:c r="M712" s="28" t="n">
        <x:f>G712*J712/1000000</x:f>
        <x:v>0.44933</x:v>
      </x:c>
      <x:c r="N712" s="28" t="n">
        <x:f>H712*K712/1000000</x:f>
        <x:v>0.18714</x:v>
      </x:c>
      <x:c r="O712" s="28" t="n">
        <x:f>SUM(M712:N712)</x:f>
        <x:v>0.63647</x:v>
      </x:c>
    </x:row>
    <x:row r="713" ht="23" customHeight="1">
      <x:c r="A713" s="17" t="str">
        <x:v>U00707</x:v>
      </x:c>
      <x:c r="B713" s="18" t="n">
        <x:v>46268</x:v>
      </x:c>
      <x:c r="C713" s="17" t="str">
        <x:v>W0073</x:v>
      </x:c>
      <x:c r="D713" s="17" t="str">
        <x:v>C002</x:v>
      </x:c>
      <x:c r="E713" s="17" t="str">
        <x:v>DataFlow</x:v>
      </x:c>
      <x:c r="F713" s="17" t="str">
        <x:v>Lite</x:v>
      </x:c>
      <x:c r="G713" s="17" t="n">
        <x:v>65502</x:v>
      </x:c>
      <x:c r="H713" s="17" t="n">
        <x:v>7144</x:v>
      </x:c>
      <x:c r="I713" s="17" t="str">
        <x:v>Correction</x:v>
      </x:c>
      <x:c r="J713" s="27" t="n">
        <x:f>INDEX('Model Pricing'!$B$7:$B$8,MATCH(F713,'Model Pricing'!$A$7:$A$8,0))</x:f>
        <x:v>10</x:v>
      </x:c>
      <x:c r="K713" s="27" t="n">
        <x:f>INDEX('Model Pricing'!$C$7:$C$8,MATCH(F713,'Model Pricing'!$A$7:$A$8,0))</x:f>
        <x:v>30</x:v>
      </x:c>
      <x:c r="L713" s="17" t="n">
        <x:f>G713+H713</x:f>
        <x:v>72646</x:v>
      </x:c>
      <x:c r="M713" s="28" t="n">
        <x:f>G713*J713/1000000</x:f>
        <x:v>0.65502</x:v>
      </x:c>
      <x:c r="N713" s="28" t="n">
        <x:f>H713*K713/1000000</x:f>
        <x:v>0.21432</x:v>
      </x:c>
      <x:c r="O713" s="28" t="n">
        <x:f>SUM(M713:N713)</x:f>
        <x:v>0.86934</x:v>
      </x:c>
    </x:row>
    <x:row r="714" ht="23" customHeight="1">
      <x:c r="A714" s="17" t="str">
        <x:v>U00708</x:v>
      </x:c>
      <x:c r="B714" s="18" t="n">
        <x:v>46268</x:v>
      </x:c>
      <x:c r="C714" s="17" t="str">
        <x:v>W0073</x:v>
      </x:c>
      <x:c r="D714" s="17" t="str">
        <x:v>C002</x:v>
      </x:c>
      <x:c r="E714" s="17" t="str">
        <x:v>DataFlow</x:v>
      </x:c>
      <x:c r="F714" s="17" t="str">
        <x:v>Lite</x:v>
      </x:c>
      <x:c r="G714" s="17" t="n">
        <x:v>33242</x:v>
      </x:c>
      <x:c r="H714" s="17" t="n">
        <x:v>6857</x:v>
      </x:c>
      <x:c r="I714" s="17" t="str">
        <x:v>Followup</x:v>
      </x:c>
      <x:c r="J714" s="27" t="n">
        <x:f>INDEX('Model Pricing'!$B$7:$B$8,MATCH(F714,'Model Pricing'!$A$7:$A$8,0))</x:f>
        <x:v>10</x:v>
      </x:c>
      <x:c r="K714" s="27" t="n">
        <x:f>INDEX('Model Pricing'!$C$7:$C$8,MATCH(F714,'Model Pricing'!$A$7:$A$8,0))</x:f>
        <x:v>30</x:v>
      </x:c>
      <x:c r="L714" s="17" t="n">
        <x:f>G714+H714</x:f>
        <x:v>40099</x:v>
      </x:c>
      <x:c r="M714" s="28" t="n">
        <x:f>G714*J714/1000000</x:f>
        <x:v>0.33242</x:v>
      </x:c>
      <x:c r="N714" s="28" t="n">
        <x:f>H714*K714/1000000</x:f>
        <x:v>0.20571</x:v>
      </x:c>
      <x:c r="O714" s="28" t="n">
        <x:f>SUM(M714:N714)</x:f>
        <x:v>0.53813</x:v>
      </x:c>
    </x:row>
    <x:row r="715" ht="23" customHeight="1">
      <x:c r="A715" s="17" t="str">
        <x:v>U00709</x:v>
      </x:c>
      <x:c r="B715" s="18" t="n">
        <x:v>46268</x:v>
      </x:c>
      <x:c r="C715" s="17" t="str">
        <x:v>W0073</x:v>
      </x:c>
      <x:c r="D715" s="17" t="str">
        <x:v>C002</x:v>
      </x:c>
      <x:c r="E715" s="17" t="str">
        <x:v>DataFlow</x:v>
      </x:c>
      <x:c r="F715" s="17" t="str">
        <x:v>Lite</x:v>
      </x:c>
      <x:c r="G715" s="17" t="n">
        <x:v>37391</x:v>
      </x:c>
      <x:c r="H715" s="17" t="n">
        <x:v>4425</x:v>
      </x:c>
      <x:c r="I715" s="17" t="str">
        <x:v>Followup</x:v>
      </x:c>
      <x:c r="J715" s="27" t="n">
        <x:f>INDEX('Model Pricing'!$B$7:$B$8,MATCH(F715,'Model Pricing'!$A$7:$A$8,0))</x:f>
        <x:v>10</x:v>
      </x:c>
      <x:c r="K715" s="27" t="n">
        <x:f>INDEX('Model Pricing'!$C$7:$C$8,MATCH(F715,'Model Pricing'!$A$7:$A$8,0))</x:f>
        <x:v>30</x:v>
      </x:c>
      <x:c r="L715" s="17" t="n">
        <x:f>G715+H715</x:f>
        <x:v>41816</x:v>
      </x:c>
      <x:c r="M715" s="28" t="n">
        <x:f>G715*J715/1000000</x:f>
        <x:v>0.37391</x:v>
      </x:c>
      <x:c r="N715" s="28" t="n">
        <x:f>H715*K715/1000000</x:f>
        <x:v>0.13275</x:v>
      </x:c>
      <x:c r="O715" s="28" t="n">
        <x:f>SUM(M715:N715)</x:f>
        <x:v>0.50666</x:v>
      </x:c>
    </x:row>
    <x:row r="716" ht="23" customHeight="1">
      <x:c r="A716" s="17" t="str">
        <x:v>U00710</x:v>
      </x:c>
      <x:c r="B716" s="18" t="n">
        <x:v>46268</x:v>
      </x:c>
      <x:c r="C716" s="17" t="str">
        <x:v>W0073</x:v>
      </x:c>
      <x:c r="D716" s="17" t="str">
        <x:v>C002</x:v>
      </x:c>
      <x:c r="E716" s="17" t="str">
        <x:v>DataFlow</x:v>
      </x:c>
      <x:c r="F716" s="17" t="str">
        <x:v>Lite</x:v>
      </x:c>
      <x:c r="G716" s="17" t="n">
        <x:v>57184</x:v>
      </x:c>
      <x:c r="H716" s="17" t="n">
        <x:v>5080</x:v>
      </x:c>
      <x:c r="I716" s="17" t="str">
        <x:v>Correction</x:v>
      </x:c>
      <x:c r="J716" s="27" t="n">
        <x:f>INDEX('Model Pricing'!$B$7:$B$8,MATCH(F716,'Model Pricing'!$A$7:$A$8,0))</x:f>
        <x:v>10</x:v>
      </x:c>
      <x:c r="K716" s="27" t="n">
        <x:f>INDEX('Model Pricing'!$C$7:$C$8,MATCH(F716,'Model Pricing'!$A$7:$A$8,0))</x:f>
        <x:v>30</x:v>
      </x:c>
      <x:c r="L716" s="17" t="n">
        <x:f>G716+H716</x:f>
        <x:v>62264</x:v>
      </x:c>
      <x:c r="M716" s="28" t="n">
        <x:f>G716*J716/1000000</x:f>
        <x:v>0.57184</x:v>
      </x:c>
      <x:c r="N716" s="28" t="n">
        <x:f>H716*K716/1000000</x:f>
        <x:v>0.1524</x:v>
      </x:c>
      <x:c r="O716" s="28" t="n">
        <x:f>SUM(M716:N716)</x:f>
        <x:v>0.72424</x:v>
      </x:c>
    </x:row>
    <x:row r="717" ht="23" customHeight="1">
      <x:c r="A717" s="17" t="str">
        <x:v>U00711</x:v>
      </x:c>
      <x:c r="B717" s="18" t="n">
        <x:v>46268</x:v>
      </x:c>
      <x:c r="C717" s="17" t="str">
        <x:v>W0073</x:v>
      </x:c>
      <x:c r="D717" s="17" t="str">
        <x:v>C002</x:v>
      </x:c>
      <x:c r="E717" s="17" t="str">
        <x:v>DataFlow</x:v>
      </x:c>
      <x:c r="F717" s="17" t="str">
        <x:v>Lite</x:v>
      </x:c>
      <x:c r="G717" s="17" t="n">
        <x:v>37382</x:v>
      </x:c>
      <x:c r="H717" s="17" t="n">
        <x:v>3141</x:v>
      </x:c>
      <x:c r="I717" s="17" t="str">
        <x:v>Followup</x:v>
      </x:c>
      <x:c r="J717" s="27" t="n">
        <x:f>INDEX('Model Pricing'!$B$7:$B$8,MATCH(F717,'Model Pricing'!$A$7:$A$8,0))</x:f>
        <x:v>10</x:v>
      </x:c>
      <x:c r="K717" s="27" t="n">
        <x:f>INDEX('Model Pricing'!$C$7:$C$8,MATCH(F717,'Model Pricing'!$A$7:$A$8,0))</x:f>
        <x:v>30</x:v>
      </x:c>
      <x:c r="L717" s="17" t="n">
        <x:f>G717+H717</x:f>
        <x:v>40523</x:v>
      </x:c>
      <x:c r="M717" s="28" t="n">
        <x:f>G717*J717/1000000</x:f>
        <x:v>0.37382</x:v>
      </x:c>
      <x:c r="N717" s="28" t="n">
        <x:f>H717*K717/1000000</x:f>
        <x:v>0.09423</x:v>
      </x:c>
      <x:c r="O717" s="28" t="n">
        <x:f>SUM(M717:N717)</x:f>
        <x:v>0.46804999999999997</x:v>
      </x:c>
    </x:row>
    <x:row r="718" ht="23" customHeight="1">
      <x:c r="A718" s="17" t="str">
        <x:v>U00712</x:v>
      </x:c>
      <x:c r="B718" s="18" t="n">
        <x:v>46269</x:v>
      </x:c>
      <x:c r="C718" s="17" t="str">
        <x:v>W0073</x:v>
      </x:c>
      <x:c r="D718" s="17" t="str">
        <x:v>C002</x:v>
      </x:c>
      <x:c r="E718" s="17" t="str">
        <x:v>DataFlow</x:v>
      </x:c>
      <x:c r="F718" s="17" t="str">
        <x:v>Lite</x:v>
      </x:c>
      <x:c r="G718" s="17" t="n">
        <x:v>63697</x:v>
      </x:c>
      <x:c r="H718" s="17" t="n">
        <x:v>4583</x:v>
      </x:c>
      <x:c r="I718" s="17" t="str">
        <x:v>Followup</x:v>
      </x:c>
      <x:c r="J718" s="27" t="n">
        <x:f>INDEX('Model Pricing'!$B$7:$B$8,MATCH(F718,'Model Pricing'!$A$7:$A$8,0))</x:f>
        <x:v>10</x:v>
      </x:c>
      <x:c r="K718" s="27" t="n">
        <x:f>INDEX('Model Pricing'!$C$7:$C$8,MATCH(F718,'Model Pricing'!$A$7:$A$8,0))</x:f>
        <x:v>30</x:v>
      </x:c>
      <x:c r="L718" s="17" t="n">
        <x:f>G718+H718</x:f>
        <x:v>68280</x:v>
      </x:c>
      <x:c r="M718" s="28" t="n">
        <x:f>G718*J718/1000000</x:f>
        <x:v>0.63697</x:v>
      </x:c>
      <x:c r="N718" s="28" t="n">
        <x:f>H718*K718/1000000</x:f>
        <x:v>0.13749</x:v>
      </x:c>
      <x:c r="O718" s="28" t="n">
        <x:f>SUM(M718:N718)</x:f>
        <x:v>0.77446</x:v>
      </x:c>
    </x:row>
    <x:row r="719" ht="23" customHeight="1">
      <x:c r="A719" s="17" t="str">
        <x:v>U00713</x:v>
      </x:c>
      <x:c r="B719" s="18" t="n">
        <x:v>46269</x:v>
      </x:c>
      <x:c r="C719" s="17" t="str">
        <x:v>W0073</x:v>
      </x:c>
      <x:c r="D719" s="17" t="str">
        <x:v>C002</x:v>
      </x:c>
      <x:c r="E719" s="17" t="str">
        <x:v>DataFlow</x:v>
      </x:c>
      <x:c r="F719" s="17" t="str">
        <x:v>Lite</x:v>
      </x:c>
      <x:c r="G719" s="17" t="n">
        <x:v>65535</x:v>
      </x:c>
      <x:c r="H719" s="17" t="n">
        <x:v>6210</x:v>
      </x:c>
      <x:c r="I719" s="17" t="str">
        <x:v>Correction</x:v>
      </x:c>
      <x:c r="J719" s="27" t="n">
        <x:f>INDEX('Model Pricing'!$B$7:$B$8,MATCH(F719,'Model Pricing'!$A$7:$A$8,0))</x:f>
        <x:v>10</x:v>
      </x:c>
      <x:c r="K719" s="27" t="n">
        <x:f>INDEX('Model Pricing'!$C$7:$C$8,MATCH(F719,'Model Pricing'!$A$7:$A$8,0))</x:f>
        <x:v>30</x:v>
      </x:c>
      <x:c r="L719" s="17" t="n">
        <x:f>G719+H719</x:f>
        <x:v>71745</x:v>
      </x:c>
      <x:c r="M719" s="28" t="n">
        <x:f>G719*J719/1000000</x:f>
        <x:v>0.65535</x:v>
      </x:c>
      <x:c r="N719" s="28" t="n">
        <x:f>H719*K719/1000000</x:f>
        <x:v>0.1863</x:v>
      </x:c>
      <x:c r="O719" s="28" t="n">
        <x:f>SUM(M719:N719)</x:f>
        <x:v>0.84165</x:v>
      </x:c>
    </x:row>
    <x:row r="720" ht="23" customHeight="1">
      <x:c r="A720" s="17" t="str">
        <x:v>U00714</x:v>
      </x:c>
      <x:c r="B720" s="18" t="n">
        <x:v>46269</x:v>
      </x:c>
      <x:c r="C720" s="17" t="str">
        <x:v>W0073</x:v>
      </x:c>
      <x:c r="D720" s="17" t="str">
        <x:v>C002</x:v>
      </x:c>
      <x:c r="E720" s="17" t="str">
        <x:v>DataFlow</x:v>
      </x:c>
      <x:c r="F720" s="17" t="str">
        <x:v>Lite</x:v>
      </x:c>
      <x:c r="G720" s="17" t="n">
        <x:v>42682</x:v>
      </x:c>
      <x:c r="H720" s="17" t="n">
        <x:v>6484</x:v>
      </x:c>
      <x:c r="I720" s="17" t="str">
        <x:v>Correction</x:v>
      </x:c>
      <x:c r="J720" s="27" t="n">
        <x:f>INDEX('Model Pricing'!$B$7:$B$8,MATCH(F720,'Model Pricing'!$A$7:$A$8,0))</x:f>
        <x:v>10</x:v>
      </x:c>
      <x:c r="K720" s="27" t="n">
        <x:f>INDEX('Model Pricing'!$C$7:$C$8,MATCH(F720,'Model Pricing'!$A$7:$A$8,0))</x:f>
        <x:v>30</x:v>
      </x:c>
      <x:c r="L720" s="17" t="n">
        <x:f>G720+H720</x:f>
        <x:v>49166</x:v>
      </x:c>
      <x:c r="M720" s="28" t="n">
        <x:f>G720*J720/1000000</x:f>
        <x:v>0.42682</x:v>
      </x:c>
      <x:c r="N720" s="28" t="n">
        <x:f>H720*K720/1000000</x:f>
        <x:v>0.19452</x:v>
      </x:c>
      <x:c r="O720" s="28" t="n">
        <x:f>SUM(M720:N720)</x:f>
        <x:v>0.62134</x:v>
      </x:c>
    </x:row>
    <x:row r="721" ht="23" customHeight="1">
      <x:c r="A721" s="17" t="str">
        <x:v>U00715</x:v>
      </x:c>
      <x:c r="B721" s="18" t="n">
        <x:v>46269</x:v>
      </x:c>
      <x:c r="C721" s="17" t="str">
        <x:v>W0073</x:v>
      </x:c>
      <x:c r="D721" s="17" t="str">
        <x:v>C002</x:v>
      </x:c>
      <x:c r="E721" s="17" t="str">
        <x:v>DataFlow</x:v>
      </x:c>
      <x:c r="F721" s="17" t="str">
        <x:v>Lite</x:v>
      </x:c>
      <x:c r="G721" s="17" t="n">
        <x:v>60601</x:v>
      </x:c>
      <x:c r="H721" s="17" t="n">
        <x:v>5911</x:v>
      </x:c>
      <x:c r="I721" s="17" t="str">
        <x:v>Followup</x:v>
      </x:c>
      <x:c r="J721" s="27" t="n">
        <x:f>INDEX('Model Pricing'!$B$7:$B$8,MATCH(F721,'Model Pricing'!$A$7:$A$8,0))</x:f>
        <x:v>10</x:v>
      </x:c>
      <x:c r="K721" s="27" t="n">
        <x:f>INDEX('Model Pricing'!$C$7:$C$8,MATCH(F721,'Model Pricing'!$A$7:$A$8,0))</x:f>
        <x:v>30</x:v>
      </x:c>
      <x:c r="L721" s="17" t="n">
        <x:f>G721+H721</x:f>
        <x:v>66512</x:v>
      </x:c>
      <x:c r="M721" s="28" t="n">
        <x:f>G721*J721/1000000</x:f>
        <x:v>0.60601</x:v>
      </x:c>
      <x:c r="N721" s="28" t="n">
        <x:f>H721*K721/1000000</x:f>
        <x:v>0.17733</x:v>
      </x:c>
      <x:c r="O721" s="28" t="n">
        <x:f>SUM(M721:N721)</x:f>
        <x:v>0.78334</x:v>
      </x:c>
    </x:row>
    <x:row r="722" ht="23" customHeight="1">
      <x:c r="A722" s="17" t="str">
        <x:v>U00716</x:v>
      </x:c>
      <x:c r="B722" s="18" t="n">
        <x:v>46269</x:v>
      </x:c>
      <x:c r="C722" s="17" t="str">
        <x:v>W0073</x:v>
      </x:c>
      <x:c r="D722" s="17" t="str">
        <x:v>C002</x:v>
      </x:c>
      <x:c r="E722" s="17" t="str">
        <x:v>DataFlow</x:v>
      </x:c>
      <x:c r="F722" s="17" t="str">
        <x:v>Lite</x:v>
      </x:c>
      <x:c r="G722" s="17" t="n">
        <x:v>25046</x:v>
      </x:c>
      <x:c r="H722" s="17" t="n">
        <x:v>2436</x:v>
      </x:c>
      <x:c r="I722" s="17" t="str">
        <x:v>Followup</x:v>
      </x:c>
      <x:c r="J722" s="27" t="n">
        <x:f>INDEX('Model Pricing'!$B$7:$B$8,MATCH(F722,'Model Pricing'!$A$7:$A$8,0))</x:f>
        <x:v>10</x:v>
      </x:c>
      <x:c r="K722" s="27" t="n">
        <x:f>INDEX('Model Pricing'!$C$7:$C$8,MATCH(F722,'Model Pricing'!$A$7:$A$8,0))</x:f>
        <x:v>30</x:v>
      </x:c>
      <x:c r="L722" s="17" t="n">
        <x:f>G722+H722</x:f>
        <x:v>27482</x:v>
      </x:c>
      <x:c r="M722" s="28" t="n">
        <x:f>G722*J722/1000000</x:f>
        <x:v>0.25046</x:v>
      </x:c>
      <x:c r="N722" s="28" t="n">
        <x:f>H722*K722/1000000</x:f>
        <x:v>0.07308</x:v>
      </x:c>
      <x:c r="O722" s="28" t="n">
        <x:f>SUM(M722:N722)</x:f>
        <x:v>0.32354000000000005</x:v>
      </x:c>
    </x:row>
    <x:row r="723" ht="23" customHeight="1">
      <x:c r="A723" s="17" t="str">
        <x:v>U00717</x:v>
      </x:c>
      <x:c r="B723" s="18" t="n">
        <x:v>46287</x:v>
      </x:c>
      <x:c r="C723" s="17" t="str">
        <x:v>W0075</x:v>
      </x:c>
      <x:c r="D723" s="17" t="str">
        <x:v>C002</x:v>
      </x:c>
      <x:c r="E723" s="17" t="str">
        <x:v>InsightDesk</x:v>
      </x:c>
      <x:c r="F723" s="17" t="str">
        <x:v>Lite</x:v>
      </x:c>
      <x:c r="G723" s="17" t="n">
        <x:v>13262</x:v>
      </x:c>
      <x:c r="H723" s="17" t="n">
        <x:v>4093</x:v>
      </x:c>
      <x:c r="I723" s="17" t="str">
        <x:v>First attempt</x:v>
      </x:c>
      <x:c r="J723" s="27" t="n">
        <x:f>INDEX('Model Pricing'!$B$7:$B$8,MATCH(F723,'Model Pricing'!$A$7:$A$8,0))</x:f>
        <x:v>10</x:v>
      </x:c>
      <x:c r="K723" s="27" t="n">
        <x:f>INDEX('Model Pricing'!$C$7:$C$8,MATCH(F723,'Model Pricing'!$A$7:$A$8,0))</x:f>
        <x:v>30</x:v>
      </x:c>
      <x:c r="L723" s="17" t="n">
        <x:f>G723+H723</x:f>
        <x:v>17355</x:v>
      </x:c>
      <x:c r="M723" s="28" t="n">
        <x:f>G723*J723/1000000</x:f>
        <x:v>0.13262</x:v>
      </x:c>
      <x:c r="N723" s="28" t="n">
        <x:f>H723*K723/1000000</x:f>
        <x:v>0.12279</x:v>
      </x:c>
      <x:c r="O723" s="28" t="n">
        <x:f>SUM(M723:N723)</x:f>
        <x:v>0.25540999999999997</x:v>
      </x:c>
    </x:row>
    <x:row r="724" ht="23" customHeight="1">
      <x:c r="A724" s="17" t="str">
        <x:v>U00718</x:v>
      </x:c>
      <x:c r="B724" s="18" t="n">
        <x:v>46287</x:v>
      </x:c>
      <x:c r="C724" s="17" t="str">
        <x:v>W0075</x:v>
      </x:c>
      <x:c r="D724" s="17" t="str">
        <x:v>C002</x:v>
      </x:c>
      <x:c r="E724" s="17" t="str">
        <x:v>InsightDesk</x:v>
      </x:c>
      <x:c r="F724" s="17" t="str">
        <x:v>Lite</x:v>
      </x:c>
      <x:c r="G724" s="17" t="n">
        <x:v>23922</x:v>
      </x:c>
      <x:c r="H724" s="17" t="n">
        <x:v>8150</x:v>
      </x:c>
      <x:c r="I724" s="17" t="str">
        <x:v>Followup</x:v>
      </x:c>
      <x:c r="J724" s="27" t="n">
        <x:f>INDEX('Model Pricing'!$B$7:$B$8,MATCH(F724,'Model Pricing'!$A$7:$A$8,0))</x:f>
        <x:v>10</x:v>
      </x:c>
      <x:c r="K724" s="27" t="n">
        <x:f>INDEX('Model Pricing'!$C$7:$C$8,MATCH(F724,'Model Pricing'!$A$7:$A$8,0))</x:f>
        <x:v>30</x:v>
      </x:c>
      <x:c r="L724" s="17" t="n">
        <x:f>G724+H724</x:f>
        <x:v>32072</x:v>
      </x:c>
      <x:c r="M724" s="28" t="n">
        <x:f>G724*J724/1000000</x:f>
        <x:v>0.23922</x:v>
      </x:c>
      <x:c r="N724" s="28" t="n">
        <x:f>H724*K724/1000000</x:f>
        <x:v>0.2445</x:v>
      </x:c>
      <x:c r="O724" s="28" t="n">
        <x:f>SUM(M724:N724)</x:f>
        <x:v>0.48372</x:v>
      </x:c>
    </x:row>
    <x:row r="725" ht="23" customHeight="1">
      <x:c r="A725" s="17" t="str">
        <x:v>U00719</x:v>
      </x:c>
      <x:c r="B725" s="18" t="n">
        <x:v>46287</x:v>
      </x:c>
      <x:c r="C725" s="17" t="str">
        <x:v>W0075</x:v>
      </x:c>
      <x:c r="D725" s="17" t="str">
        <x:v>C002</x:v>
      </x:c>
      <x:c r="E725" s="17" t="str">
        <x:v>InsightDesk</x:v>
      </x:c>
      <x:c r="F725" s="17" t="str">
        <x:v>Lite</x:v>
      </x:c>
      <x:c r="G725" s="17" t="n">
        <x:v>19585</x:v>
      </x:c>
      <x:c r="H725" s="17" t="n">
        <x:v>3545</x:v>
      </x:c>
      <x:c r="I725" s="17" t="str">
        <x:v>Correction</x:v>
      </x:c>
      <x:c r="J725" s="27" t="n">
        <x:f>INDEX('Model Pricing'!$B$7:$B$8,MATCH(F725,'Model Pricing'!$A$7:$A$8,0))</x:f>
        <x:v>10</x:v>
      </x:c>
      <x:c r="K725" s="27" t="n">
        <x:f>INDEX('Model Pricing'!$C$7:$C$8,MATCH(F725,'Model Pricing'!$A$7:$A$8,0))</x:f>
        <x:v>30</x:v>
      </x:c>
      <x:c r="L725" s="17" t="n">
        <x:f>G725+H725</x:f>
        <x:v>23130</x:v>
      </x:c>
      <x:c r="M725" s="28" t="n">
        <x:f>G725*J725/1000000</x:f>
        <x:v>0.19585</x:v>
      </x:c>
      <x:c r="N725" s="28" t="n">
        <x:f>H725*K725/1000000</x:f>
        <x:v>0.10635</x:v>
      </x:c>
      <x:c r="O725" s="28" t="n">
        <x:f>SUM(M725:N725)</x:f>
        <x:v>0.3022</x:v>
      </x:c>
    </x:row>
    <x:row r="726" ht="23" customHeight="1">
      <x:c r="A726" s="17" t="str">
        <x:v>U00720</x:v>
      </x:c>
      <x:c r="B726" s="18" t="n">
        <x:v>46287</x:v>
      </x:c>
      <x:c r="C726" s="17" t="str">
        <x:v>W0075</x:v>
      </x:c>
      <x:c r="D726" s="17" t="str">
        <x:v>C002</x:v>
      </x:c>
      <x:c r="E726" s="17" t="str">
        <x:v>InsightDesk</x:v>
      </x:c>
      <x:c r="F726" s="17" t="str">
        <x:v>Lite</x:v>
      </x:c>
      <x:c r="G726" s="17" t="n">
        <x:v>13657</x:v>
      </x:c>
      <x:c r="H726" s="17" t="n">
        <x:v>3008</x:v>
      </x:c>
      <x:c r="I726" s="17" t="str">
        <x:v>Followup</x:v>
      </x:c>
      <x:c r="J726" s="27" t="n">
        <x:f>INDEX('Model Pricing'!$B$7:$B$8,MATCH(F726,'Model Pricing'!$A$7:$A$8,0))</x:f>
        <x:v>10</x:v>
      </x:c>
      <x:c r="K726" s="27" t="n">
        <x:f>INDEX('Model Pricing'!$C$7:$C$8,MATCH(F726,'Model Pricing'!$A$7:$A$8,0))</x:f>
        <x:v>30</x:v>
      </x:c>
      <x:c r="L726" s="17" t="n">
        <x:f>G726+H726</x:f>
        <x:v>16665</x:v>
      </x:c>
      <x:c r="M726" s="28" t="n">
        <x:f>G726*J726/1000000</x:f>
        <x:v>0.13657</x:v>
      </x:c>
      <x:c r="N726" s="28" t="n">
        <x:f>H726*K726/1000000</x:f>
        <x:v>0.09024</x:v>
      </x:c>
      <x:c r="O726" s="28" t="n">
        <x:f>SUM(M726:N726)</x:f>
        <x:v>0.22681</x:v>
      </x:c>
    </x:row>
    <x:row r="727" ht="23" customHeight="1">
      <x:c r="A727" s="17" t="str">
        <x:v>U00721</x:v>
      </x:c>
      <x:c r="B727" s="18" t="n">
        <x:v>46287</x:v>
      </x:c>
      <x:c r="C727" s="17" t="str">
        <x:v>W0075</x:v>
      </x:c>
      <x:c r="D727" s="17" t="str">
        <x:v>C002</x:v>
      </x:c>
      <x:c r="E727" s="17" t="str">
        <x:v>InsightDesk</x:v>
      </x:c>
      <x:c r="F727" s="17" t="str">
        <x:v>Lite</x:v>
      </x:c>
      <x:c r="G727" s="17" t="n">
        <x:v>28321</x:v>
      </x:c>
      <x:c r="H727" s="17" t="n">
        <x:v>3207</x:v>
      </x:c>
      <x:c r="I727" s="17" t="str">
        <x:v>Correction</x:v>
      </x:c>
      <x:c r="J727" s="27" t="n">
        <x:f>INDEX('Model Pricing'!$B$7:$B$8,MATCH(F727,'Model Pricing'!$A$7:$A$8,0))</x:f>
        <x:v>10</x:v>
      </x:c>
      <x:c r="K727" s="27" t="n">
        <x:f>INDEX('Model Pricing'!$C$7:$C$8,MATCH(F727,'Model Pricing'!$A$7:$A$8,0))</x:f>
        <x:v>30</x:v>
      </x:c>
      <x:c r="L727" s="17" t="n">
        <x:f>G727+H727</x:f>
        <x:v>31528</x:v>
      </x:c>
      <x:c r="M727" s="28" t="n">
        <x:f>G727*J727/1000000</x:f>
        <x:v>0.28321</x:v>
      </x:c>
      <x:c r="N727" s="28" t="n">
        <x:f>H727*K727/1000000</x:f>
        <x:v>0.09621</x:v>
      </x:c>
      <x:c r="O727" s="28" t="n">
        <x:f>SUM(M727:N727)</x:f>
        <x:v>0.37942000000000004</x:v>
      </x:c>
    </x:row>
    <x:row r="728" ht="23" customHeight="1">
      <x:c r="A728" s="17" t="str">
        <x:v>U00722</x:v>
      </x:c>
      <x:c r="B728" s="18" t="n">
        <x:v>46287</x:v>
      </x:c>
      <x:c r="C728" s="17" t="str">
        <x:v>W0075</x:v>
      </x:c>
      <x:c r="D728" s="17" t="str">
        <x:v>C002</x:v>
      </x:c>
      <x:c r="E728" s="17" t="str">
        <x:v>InsightDesk</x:v>
      </x:c>
      <x:c r="F728" s="17" t="str">
        <x:v>Lite</x:v>
      </x:c>
      <x:c r="G728" s="17" t="n">
        <x:v>23839</x:v>
      </x:c>
      <x:c r="H728" s="17" t="n">
        <x:v>5679</x:v>
      </x:c>
      <x:c r="I728" s="17" t="str">
        <x:v>Followup</x:v>
      </x:c>
      <x:c r="J728" s="27" t="n">
        <x:f>INDEX('Model Pricing'!$B$7:$B$8,MATCH(F728,'Model Pricing'!$A$7:$A$8,0))</x:f>
        <x:v>10</x:v>
      </x:c>
      <x:c r="K728" s="27" t="n">
        <x:f>INDEX('Model Pricing'!$C$7:$C$8,MATCH(F728,'Model Pricing'!$A$7:$A$8,0))</x:f>
        <x:v>30</x:v>
      </x:c>
      <x:c r="L728" s="17" t="n">
        <x:f>G728+H728</x:f>
        <x:v>29518</x:v>
      </x:c>
      <x:c r="M728" s="28" t="n">
        <x:f>G728*J728/1000000</x:f>
        <x:v>0.23839</x:v>
      </x:c>
      <x:c r="N728" s="28" t="n">
        <x:f>H728*K728/1000000</x:f>
        <x:v>0.17037</x:v>
      </x:c>
      <x:c r="O728" s="28" t="n">
        <x:f>SUM(M728:N728)</x:f>
        <x:v>0.40876</x:v>
      </x:c>
    </x:row>
    <x:row r="729" ht="23" customHeight="1">
      <x:c r="A729" s="17" t="str">
        <x:v>U00723</x:v>
      </x:c>
      <x:c r="B729" s="18" t="n">
        <x:v>46288</x:v>
      </x:c>
      <x:c r="C729" s="17" t="str">
        <x:v>W0075</x:v>
      </x:c>
      <x:c r="D729" s="17" t="str">
        <x:v>C002</x:v>
      </x:c>
      <x:c r="E729" s="17" t="str">
        <x:v>InsightDesk</x:v>
      </x:c>
      <x:c r="F729" s="17" t="str">
        <x:v>Lite</x:v>
      </x:c>
      <x:c r="G729" s="17" t="n">
        <x:v>17870</x:v>
      </x:c>
      <x:c r="H729" s="17" t="n">
        <x:v>7324</x:v>
      </x:c>
      <x:c r="I729" s="17" t="str">
        <x:v>Followup</x:v>
      </x:c>
      <x:c r="J729" s="27" t="n">
        <x:f>INDEX('Model Pricing'!$B$7:$B$8,MATCH(F729,'Model Pricing'!$A$7:$A$8,0))</x:f>
        <x:v>10</x:v>
      </x:c>
      <x:c r="K729" s="27" t="n">
        <x:f>INDEX('Model Pricing'!$C$7:$C$8,MATCH(F729,'Model Pricing'!$A$7:$A$8,0))</x:f>
        <x:v>30</x:v>
      </x:c>
      <x:c r="L729" s="17" t="n">
        <x:f>G729+H729</x:f>
        <x:v>25194</x:v>
      </x:c>
      <x:c r="M729" s="28" t="n">
        <x:f>G729*J729/1000000</x:f>
        <x:v>0.1787</x:v>
      </x:c>
      <x:c r="N729" s="28" t="n">
        <x:f>H729*K729/1000000</x:f>
        <x:v>0.21972</x:v>
      </x:c>
      <x:c r="O729" s="28" t="n">
        <x:f>SUM(M729:N729)</x:f>
        <x:v>0.39842</x:v>
      </x:c>
    </x:row>
    <x:row r="730" ht="23" customHeight="1">
      <x:c r="A730" s="17" t="str">
        <x:v>U00724</x:v>
      </x:c>
      <x:c r="B730" s="18" t="n">
        <x:v>46288</x:v>
      </x:c>
      <x:c r="C730" s="17" t="str">
        <x:v>W0075</x:v>
      </x:c>
      <x:c r="D730" s="17" t="str">
        <x:v>C002</x:v>
      </x:c>
      <x:c r="E730" s="17" t="str">
        <x:v>InsightDesk</x:v>
      </x:c>
      <x:c r="F730" s="17" t="str">
        <x:v>Lite</x:v>
      </x:c>
      <x:c r="G730" s="17" t="n">
        <x:v>34588</x:v>
      </x:c>
      <x:c r="H730" s="17" t="n">
        <x:v>4617</x:v>
      </x:c>
      <x:c r="I730" s="17" t="str">
        <x:v>Followup</x:v>
      </x:c>
      <x:c r="J730" s="27" t="n">
        <x:f>INDEX('Model Pricing'!$B$7:$B$8,MATCH(F730,'Model Pricing'!$A$7:$A$8,0))</x:f>
        <x:v>10</x:v>
      </x:c>
      <x:c r="K730" s="27" t="n">
        <x:f>INDEX('Model Pricing'!$C$7:$C$8,MATCH(F730,'Model Pricing'!$A$7:$A$8,0))</x:f>
        <x:v>30</x:v>
      </x:c>
      <x:c r="L730" s="17" t="n">
        <x:f>G730+H730</x:f>
        <x:v>39205</x:v>
      </x:c>
      <x:c r="M730" s="28" t="n">
        <x:f>G730*J730/1000000</x:f>
        <x:v>0.34588</x:v>
      </x:c>
      <x:c r="N730" s="28" t="n">
        <x:f>H730*K730/1000000</x:f>
        <x:v>0.13851</x:v>
      </x:c>
      <x:c r="O730" s="28" t="n">
        <x:f>SUM(M730:N730)</x:f>
        <x:v>0.48439</x:v>
      </x:c>
    </x:row>
    <x:row r="731" ht="23" customHeight="1">
      <x:c r="A731" s="17" t="str">
        <x:v>U00725</x:v>
      </x:c>
      <x:c r="B731" s="18" t="n">
        <x:v>46288</x:v>
      </x:c>
      <x:c r="C731" s="17" t="str">
        <x:v>W0075</x:v>
      </x:c>
      <x:c r="D731" s="17" t="str">
        <x:v>C002</x:v>
      </x:c>
      <x:c r="E731" s="17" t="str">
        <x:v>InsightDesk</x:v>
      </x:c>
      <x:c r="F731" s="17" t="str">
        <x:v>Lite</x:v>
      </x:c>
      <x:c r="G731" s="17" t="n">
        <x:v>16590</x:v>
      </x:c>
      <x:c r="H731" s="17" t="n">
        <x:v>5788</x:v>
      </x:c>
      <x:c r="I731" s="17" t="str">
        <x:v>Correction</x:v>
      </x:c>
      <x:c r="J731" s="27" t="n">
        <x:f>INDEX('Model Pricing'!$B$7:$B$8,MATCH(F731,'Model Pricing'!$A$7:$A$8,0))</x:f>
        <x:v>10</x:v>
      </x:c>
      <x:c r="K731" s="27" t="n">
        <x:f>INDEX('Model Pricing'!$C$7:$C$8,MATCH(F731,'Model Pricing'!$A$7:$A$8,0))</x:f>
        <x:v>30</x:v>
      </x:c>
      <x:c r="L731" s="17" t="n">
        <x:f>G731+H731</x:f>
        <x:v>22378</x:v>
      </x:c>
      <x:c r="M731" s="28" t="n">
        <x:f>G731*J731/1000000</x:f>
        <x:v>0.1659</x:v>
      </x:c>
      <x:c r="N731" s="28" t="n">
        <x:f>H731*K731/1000000</x:f>
        <x:v>0.17364</x:v>
      </x:c>
      <x:c r="O731" s="28" t="n">
        <x:f>SUM(M731:N731)</x:f>
        <x:v>0.33953999999999995</x:v>
      </x:c>
    </x:row>
    <x:row r="732" ht="23" customHeight="1">
      <x:c r="A732" s="17" t="str">
        <x:v>U00726</x:v>
      </x:c>
      <x:c r="B732" s="18" t="n">
        <x:v>46288</x:v>
      </x:c>
      <x:c r="C732" s="17" t="str">
        <x:v>W0075</x:v>
      </x:c>
      <x:c r="D732" s="17" t="str">
        <x:v>C002</x:v>
      </x:c>
      <x:c r="E732" s="17" t="str">
        <x:v>InsightDesk</x:v>
      </x:c>
      <x:c r="F732" s="17" t="str">
        <x:v>Lite</x:v>
      </x:c>
      <x:c r="G732" s="17" t="n">
        <x:v>23357</x:v>
      </x:c>
      <x:c r="H732" s="17" t="n">
        <x:v>7506</x:v>
      </x:c>
      <x:c r="I732" s="17" t="str">
        <x:v>Followup</x:v>
      </x:c>
      <x:c r="J732" s="27" t="n">
        <x:f>INDEX('Model Pricing'!$B$7:$B$8,MATCH(F732,'Model Pricing'!$A$7:$A$8,0))</x:f>
        <x:v>10</x:v>
      </x:c>
      <x:c r="K732" s="27" t="n">
        <x:f>INDEX('Model Pricing'!$C$7:$C$8,MATCH(F732,'Model Pricing'!$A$7:$A$8,0))</x:f>
        <x:v>30</x:v>
      </x:c>
      <x:c r="L732" s="17" t="n">
        <x:f>G732+H732</x:f>
        <x:v>30863</x:v>
      </x:c>
      <x:c r="M732" s="28" t="n">
        <x:f>G732*J732/1000000</x:f>
        <x:v>0.23357</x:v>
      </x:c>
      <x:c r="N732" s="28" t="n">
        <x:f>H732*K732/1000000</x:f>
        <x:v>0.22518</x:v>
      </x:c>
      <x:c r="O732" s="28" t="n">
        <x:f>SUM(M732:N732)</x:f>
        <x:v>0.45875</x:v>
      </x:c>
    </x:row>
    <x:row r="733" ht="23" customHeight="1">
      <x:c r="A733" s="17" t="str">
        <x:v>U00727</x:v>
      </x:c>
      <x:c r="B733" s="18" t="n">
        <x:v>46288</x:v>
      </x:c>
      <x:c r="C733" s="17" t="str">
        <x:v>W0075</x:v>
      </x:c>
      <x:c r="D733" s="17" t="str">
        <x:v>C002</x:v>
      </x:c>
      <x:c r="E733" s="17" t="str">
        <x:v>InsightDesk</x:v>
      </x:c>
      <x:c r="F733" s="17" t="str">
        <x:v>Lite</x:v>
      </x:c>
      <x:c r="G733" s="17" t="n">
        <x:v>15644</x:v>
      </x:c>
      <x:c r="H733" s="17" t="n">
        <x:v>6630</x:v>
      </x:c>
      <x:c r="I733" s="17" t="str">
        <x:v>Followup</x:v>
      </x:c>
      <x:c r="J733" s="27" t="n">
        <x:f>INDEX('Model Pricing'!$B$7:$B$8,MATCH(F733,'Model Pricing'!$A$7:$A$8,0))</x:f>
        <x:v>10</x:v>
      </x:c>
      <x:c r="K733" s="27" t="n">
        <x:f>INDEX('Model Pricing'!$C$7:$C$8,MATCH(F733,'Model Pricing'!$A$7:$A$8,0))</x:f>
        <x:v>30</x:v>
      </x:c>
      <x:c r="L733" s="17" t="n">
        <x:f>G733+H733</x:f>
        <x:v>22274</x:v>
      </x:c>
      <x:c r="M733" s="28" t="n">
        <x:f>G733*J733/1000000</x:f>
        <x:v>0.15644</x:v>
      </x:c>
      <x:c r="N733" s="28" t="n">
        <x:f>H733*K733/1000000</x:f>
        <x:v>0.1989</x:v>
      </x:c>
      <x:c r="O733" s="28" t="n">
        <x:f>SUM(M733:N733)</x:f>
        <x:v>0.35534</x:v>
      </x:c>
    </x:row>
    <x:row r="734" ht="23" customHeight="1">
      <x:c r="A734" s="17" t="str">
        <x:v>U00728</x:v>
      </x:c>
      <x:c r="B734" s="18" t="n">
        <x:v>46289</x:v>
      </x:c>
      <x:c r="C734" s="17" t="str">
        <x:v>W0075</x:v>
      </x:c>
      <x:c r="D734" s="17" t="str">
        <x:v>C002</x:v>
      </x:c>
      <x:c r="E734" s="17" t="str">
        <x:v>InsightDesk</x:v>
      </x:c>
      <x:c r="F734" s="17" t="str">
        <x:v>Lite</x:v>
      </x:c>
      <x:c r="G734" s="17" t="n">
        <x:v>21064</x:v>
      </x:c>
      <x:c r="H734" s="17" t="n">
        <x:v>3141</x:v>
      </x:c>
      <x:c r="I734" s="17" t="str">
        <x:v>Correction</x:v>
      </x:c>
      <x:c r="J734" s="27" t="n">
        <x:f>INDEX('Model Pricing'!$B$7:$B$8,MATCH(F734,'Model Pricing'!$A$7:$A$8,0))</x:f>
        <x:v>10</x:v>
      </x:c>
      <x:c r="K734" s="27" t="n">
        <x:f>INDEX('Model Pricing'!$C$7:$C$8,MATCH(F734,'Model Pricing'!$A$7:$A$8,0))</x:f>
        <x:v>30</x:v>
      </x:c>
      <x:c r="L734" s="17" t="n">
        <x:f>G734+H734</x:f>
        <x:v>24205</x:v>
      </x:c>
      <x:c r="M734" s="28" t="n">
        <x:f>G734*J734/1000000</x:f>
        <x:v>0.21064</x:v>
      </x:c>
      <x:c r="N734" s="28" t="n">
        <x:f>H734*K734/1000000</x:f>
        <x:v>0.09423</x:v>
      </x:c>
      <x:c r="O734" s="28" t="n">
        <x:f>SUM(M734:N734)</x:f>
        <x:v>0.30487</x:v>
      </x:c>
    </x:row>
    <x:row r="735" ht="23" customHeight="1">
      <x:c r="A735" s="17" t="str">
        <x:v>U00729</x:v>
      </x:c>
      <x:c r="B735" s="18" t="n">
        <x:v>46289</x:v>
      </x:c>
      <x:c r="C735" s="17" t="str">
        <x:v>W0075</x:v>
      </x:c>
      <x:c r="D735" s="17" t="str">
        <x:v>C002</x:v>
      </x:c>
      <x:c r="E735" s="17" t="str">
        <x:v>InsightDesk</x:v>
      </x:c>
      <x:c r="F735" s="17" t="str">
        <x:v>Lite</x:v>
      </x:c>
      <x:c r="G735" s="17" t="n">
        <x:v>19745</x:v>
      </x:c>
      <x:c r="H735" s="17" t="n">
        <x:v>4953</x:v>
      </x:c>
      <x:c r="I735" s="17" t="str">
        <x:v>Followup</x:v>
      </x:c>
      <x:c r="J735" s="27" t="n">
        <x:f>INDEX('Model Pricing'!$B$7:$B$8,MATCH(F735,'Model Pricing'!$A$7:$A$8,0))</x:f>
        <x:v>10</x:v>
      </x:c>
      <x:c r="K735" s="27" t="n">
        <x:f>INDEX('Model Pricing'!$C$7:$C$8,MATCH(F735,'Model Pricing'!$A$7:$A$8,0))</x:f>
        <x:v>30</x:v>
      </x:c>
      <x:c r="L735" s="17" t="n">
        <x:f>G735+H735</x:f>
        <x:v>24698</x:v>
      </x:c>
      <x:c r="M735" s="28" t="n">
        <x:f>G735*J735/1000000</x:f>
        <x:v>0.19745</x:v>
      </x:c>
      <x:c r="N735" s="28" t="n">
        <x:f>H735*K735/1000000</x:f>
        <x:v>0.14859</x:v>
      </x:c>
      <x:c r="O735" s="28" t="n">
        <x:f>SUM(M735:N735)</x:f>
        <x:v>0.34604</x:v>
      </x:c>
    </x:row>
    <x:row r="736" ht="23" customHeight="1">
      <x:c r="A736" s="17" t="str">
        <x:v>U00730</x:v>
      </x:c>
      <x:c r="B736" s="18" t="n">
        <x:v>46289</x:v>
      </x:c>
      <x:c r="C736" s="17" t="str">
        <x:v>W0075</x:v>
      </x:c>
      <x:c r="D736" s="17" t="str">
        <x:v>C002</x:v>
      </x:c>
      <x:c r="E736" s="17" t="str">
        <x:v>InsightDesk</x:v>
      </x:c>
      <x:c r="F736" s="17" t="str">
        <x:v>Lite</x:v>
      </x:c>
      <x:c r="G736" s="17" t="n">
        <x:v>14538</x:v>
      </x:c>
      <x:c r="H736" s="17" t="n">
        <x:v>3864</x:v>
      </x:c>
      <x:c r="I736" s="17" t="str">
        <x:v>Followup</x:v>
      </x:c>
      <x:c r="J736" s="27" t="n">
        <x:f>INDEX('Model Pricing'!$B$7:$B$8,MATCH(F736,'Model Pricing'!$A$7:$A$8,0))</x:f>
        <x:v>10</x:v>
      </x:c>
      <x:c r="K736" s="27" t="n">
        <x:f>INDEX('Model Pricing'!$C$7:$C$8,MATCH(F736,'Model Pricing'!$A$7:$A$8,0))</x:f>
        <x:v>30</x:v>
      </x:c>
      <x:c r="L736" s="17" t="n">
        <x:f>G736+H736</x:f>
        <x:v>18402</x:v>
      </x:c>
      <x:c r="M736" s="28" t="n">
        <x:f>G736*J736/1000000</x:f>
        <x:v>0.14538</x:v>
      </x:c>
      <x:c r="N736" s="28" t="n">
        <x:f>H736*K736/1000000</x:f>
        <x:v>0.11592</x:v>
      </x:c>
      <x:c r="O736" s="28" t="n">
        <x:f>SUM(M736:N736)</x:f>
        <x:v>0.2613</x:v>
      </x:c>
    </x:row>
    <x:row r="737" ht="23" customHeight="1">
      <x:c r="A737" s="17" t="str">
        <x:v>U00731</x:v>
      </x:c>
      <x:c r="B737" s="18" t="n">
        <x:v>46289</x:v>
      </x:c>
      <x:c r="C737" s="17" t="str">
        <x:v>W0075</x:v>
      </x:c>
      <x:c r="D737" s="17" t="str">
        <x:v>C002</x:v>
      </x:c>
      <x:c r="E737" s="17" t="str">
        <x:v>InsightDesk</x:v>
      </x:c>
      <x:c r="F737" s="17" t="str">
        <x:v>Lite</x:v>
      </x:c>
      <x:c r="G737" s="17" t="n">
        <x:v>14701</x:v>
      </x:c>
      <x:c r="H737" s="17" t="n">
        <x:v>3634</x:v>
      </x:c>
      <x:c r="I737" s="17" t="str">
        <x:v>Followup</x:v>
      </x:c>
      <x:c r="J737" s="27" t="n">
        <x:f>INDEX('Model Pricing'!$B$7:$B$8,MATCH(F737,'Model Pricing'!$A$7:$A$8,0))</x:f>
        <x:v>10</x:v>
      </x:c>
      <x:c r="K737" s="27" t="n">
        <x:f>INDEX('Model Pricing'!$C$7:$C$8,MATCH(F737,'Model Pricing'!$A$7:$A$8,0))</x:f>
        <x:v>30</x:v>
      </x:c>
      <x:c r="L737" s="17" t="n">
        <x:f>G737+H737</x:f>
        <x:v>18335</x:v>
      </x:c>
      <x:c r="M737" s="28" t="n">
        <x:f>G737*J737/1000000</x:f>
        <x:v>0.14701</x:v>
      </x:c>
      <x:c r="N737" s="28" t="n">
        <x:f>H737*K737/1000000</x:f>
        <x:v>0.10902</x:v>
      </x:c>
      <x:c r="O737" s="28" t="n">
        <x:f>SUM(M737:N737)</x:f>
        <x:v>0.25603</x:v>
      </x:c>
    </x:row>
    <x:row r="738" ht="23" customHeight="1">
      <x:c r="A738" s="17" t="str">
        <x:v>U00732</x:v>
      </x:c>
      <x:c r="B738" s="18" t="n">
        <x:v>46289</x:v>
      </x:c>
      <x:c r="C738" s="17" t="str">
        <x:v>W0075</x:v>
      </x:c>
      <x:c r="D738" s="17" t="str">
        <x:v>C002</x:v>
      </x:c>
      <x:c r="E738" s="17" t="str">
        <x:v>InsightDesk</x:v>
      </x:c>
      <x:c r="F738" s="17" t="str">
        <x:v>Lite</x:v>
      </x:c>
      <x:c r="G738" s="17" t="n">
        <x:v>22135</x:v>
      </x:c>
      <x:c r="H738" s="17" t="n">
        <x:v>4217</x:v>
      </x:c>
      <x:c r="I738" s="17" t="str">
        <x:v>Followup</x:v>
      </x:c>
      <x:c r="J738" s="27" t="n">
        <x:f>INDEX('Model Pricing'!$B$7:$B$8,MATCH(F738,'Model Pricing'!$A$7:$A$8,0))</x:f>
        <x:v>10</x:v>
      </x:c>
      <x:c r="K738" s="27" t="n">
        <x:f>INDEX('Model Pricing'!$C$7:$C$8,MATCH(F738,'Model Pricing'!$A$7:$A$8,0))</x:f>
        <x:v>30</x:v>
      </x:c>
      <x:c r="L738" s="17" t="n">
        <x:f>G738+H738</x:f>
        <x:v>26352</x:v>
      </x:c>
      <x:c r="M738" s="28" t="n">
        <x:f>G738*J738/1000000</x:f>
        <x:v>0.22135</x:v>
      </x:c>
      <x:c r="N738" s="28" t="n">
        <x:f>H738*K738/1000000</x:f>
        <x:v>0.12651</x:v>
      </x:c>
      <x:c r="O738" s="28" t="n">
        <x:f>SUM(M738:N738)</x:f>
        <x:v>0.34786</x:v>
      </x:c>
    </x:row>
    <x:row r="739" ht="23" customHeight="1">
      <x:c r="A739" s="17" t="str">
        <x:v>U00733</x:v>
      </x:c>
      <x:c r="B739" s="18" t="n">
        <x:v>46290</x:v>
      </x:c>
      <x:c r="C739" s="17" t="str">
        <x:v>W0075</x:v>
      </x:c>
      <x:c r="D739" s="17" t="str">
        <x:v>C002</x:v>
      </x:c>
      <x:c r="E739" s="17" t="str">
        <x:v>InsightDesk</x:v>
      </x:c>
      <x:c r="F739" s="17" t="str">
        <x:v>Lite</x:v>
      </x:c>
      <x:c r="G739" s="17" t="n">
        <x:v>34529</x:v>
      </x:c>
      <x:c r="H739" s="17" t="n">
        <x:v>3784</x:v>
      </x:c>
      <x:c r="I739" s="17" t="str">
        <x:v>Followup</x:v>
      </x:c>
      <x:c r="J739" s="27" t="n">
        <x:f>INDEX('Model Pricing'!$B$7:$B$8,MATCH(F739,'Model Pricing'!$A$7:$A$8,0))</x:f>
        <x:v>10</x:v>
      </x:c>
      <x:c r="K739" s="27" t="n">
        <x:f>INDEX('Model Pricing'!$C$7:$C$8,MATCH(F739,'Model Pricing'!$A$7:$A$8,0))</x:f>
        <x:v>30</x:v>
      </x:c>
      <x:c r="L739" s="17" t="n">
        <x:f>G739+H739</x:f>
        <x:v>38313</x:v>
      </x:c>
      <x:c r="M739" s="28" t="n">
        <x:f>G739*J739/1000000</x:f>
        <x:v>0.34529</x:v>
      </x:c>
      <x:c r="N739" s="28" t="n">
        <x:f>H739*K739/1000000</x:f>
        <x:v>0.11352</x:v>
      </x:c>
      <x:c r="O739" s="28" t="n">
        <x:f>SUM(M739:N739)</x:f>
        <x:v>0.45881</x:v>
      </x:c>
    </x:row>
    <x:row r="740" ht="23" customHeight="1">
      <x:c r="A740" s="17" t="str">
        <x:v>U00734</x:v>
      </x:c>
      <x:c r="B740" s="18" t="n">
        <x:v>46290</x:v>
      </x:c>
      <x:c r="C740" s="17" t="str">
        <x:v>W0075</x:v>
      </x:c>
      <x:c r="D740" s="17" t="str">
        <x:v>C002</x:v>
      </x:c>
      <x:c r="E740" s="17" t="str">
        <x:v>InsightDesk</x:v>
      </x:c>
      <x:c r="F740" s="17" t="str">
        <x:v>Lite</x:v>
      </x:c>
      <x:c r="G740" s="17" t="n">
        <x:v>13545</x:v>
      </x:c>
      <x:c r="H740" s="17" t="n">
        <x:v>4263</x:v>
      </x:c>
      <x:c r="I740" s="17" t="str">
        <x:v>Correction</x:v>
      </x:c>
      <x:c r="J740" s="27" t="n">
        <x:f>INDEX('Model Pricing'!$B$7:$B$8,MATCH(F740,'Model Pricing'!$A$7:$A$8,0))</x:f>
        <x:v>10</x:v>
      </x:c>
      <x:c r="K740" s="27" t="n">
        <x:f>INDEX('Model Pricing'!$C$7:$C$8,MATCH(F740,'Model Pricing'!$A$7:$A$8,0))</x:f>
        <x:v>30</x:v>
      </x:c>
      <x:c r="L740" s="17" t="n">
        <x:f>G740+H740</x:f>
        <x:v>17808</x:v>
      </x:c>
      <x:c r="M740" s="28" t="n">
        <x:f>G740*J740/1000000</x:f>
        <x:v>0.13545</x:v>
      </x:c>
      <x:c r="N740" s="28" t="n">
        <x:f>H740*K740/1000000</x:f>
        <x:v>0.12789</x:v>
      </x:c>
      <x:c r="O740" s="28" t="n">
        <x:f>SUM(M740:N740)</x:f>
        <x:v>0.26334</x:v>
      </x:c>
    </x:row>
    <x:row r="741" ht="23" customHeight="1">
      <x:c r="A741" s="17" t="str">
        <x:v>U00735</x:v>
      </x:c>
      <x:c r="B741" s="18" t="n">
        <x:v>46290</x:v>
      </x:c>
      <x:c r="C741" s="17" t="str">
        <x:v>W0075</x:v>
      </x:c>
      <x:c r="D741" s="17" t="str">
        <x:v>C002</x:v>
      </x:c>
      <x:c r="E741" s="17" t="str">
        <x:v>InsightDesk</x:v>
      </x:c>
      <x:c r="F741" s="17" t="str">
        <x:v>Lite</x:v>
      </x:c>
      <x:c r="G741" s="17" t="n">
        <x:v>16359</x:v>
      </x:c>
      <x:c r="H741" s="17" t="n">
        <x:v>5463</x:v>
      </x:c>
      <x:c r="I741" s="17" t="str">
        <x:v>Correction</x:v>
      </x:c>
      <x:c r="J741" s="27" t="n">
        <x:f>INDEX('Model Pricing'!$B$7:$B$8,MATCH(F741,'Model Pricing'!$A$7:$A$8,0))</x:f>
        <x:v>10</x:v>
      </x:c>
      <x:c r="K741" s="27" t="n">
        <x:f>INDEX('Model Pricing'!$C$7:$C$8,MATCH(F741,'Model Pricing'!$A$7:$A$8,0))</x:f>
        <x:v>30</x:v>
      </x:c>
      <x:c r="L741" s="17" t="n">
        <x:f>G741+H741</x:f>
        <x:v>21822</x:v>
      </x:c>
      <x:c r="M741" s="28" t="n">
        <x:f>G741*J741/1000000</x:f>
        <x:v>0.16359</x:v>
      </x:c>
      <x:c r="N741" s="28" t="n">
        <x:f>H741*K741/1000000</x:f>
        <x:v>0.16389</x:v>
      </x:c>
      <x:c r="O741" s="28" t="n">
        <x:f>SUM(M741:N741)</x:f>
        <x:v>0.32748</x:v>
      </x:c>
    </x:row>
    <x:row r="742" ht="23" customHeight="1">
      <x:c r="A742" s="17" t="str">
        <x:v>U00736</x:v>
      </x:c>
      <x:c r="B742" s="18" t="n">
        <x:v>46290</x:v>
      </x:c>
      <x:c r="C742" s="17" t="str">
        <x:v>W0075</x:v>
      </x:c>
      <x:c r="D742" s="17" t="str">
        <x:v>C002</x:v>
      </x:c>
      <x:c r="E742" s="17" t="str">
        <x:v>InsightDesk</x:v>
      </x:c>
      <x:c r="F742" s="17" t="str">
        <x:v>Lite</x:v>
      </x:c>
      <x:c r="G742" s="17" t="n">
        <x:v>18847</x:v>
      </x:c>
      <x:c r="H742" s="17" t="n">
        <x:v>5526</x:v>
      </x:c>
      <x:c r="I742" s="17" t="str">
        <x:v>Followup</x:v>
      </x:c>
      <x:c r="J742" s="27" t="n">
        <x:f>INDEX('Model Pricing'!$B$7:$B$8,MATCH(F742,'Model Pricing'!$A$7:$A$8,0))</x:f>
        <x:v>10</x:v>
      </x:c>
      <x:c r="K742" s="27" t="n">
        <x:f>INDEX('Model Pricing'!$C$7:$C$8,MATCH(F742,'Model Pricing'!$A$7:$A$8,0))</x:f>
        <x:v>30</x:v>
      </x:c>
      <x:c r="L742" s="17" t="n">
        <x:f>G742+H742</x:f>
        <x:v>24373</x:v>
      </x:c>
      <x:c r="M742" s="28" t="n">
        <x:f>G742*J742/1000000</x:f>
        <x:v>0.18847</x:v>
      </x:c>
      <x:c r="N742" s="28" t="n">
        <x:f>H742*K742/1000000</x:f>
        <x:v>0.16578</x:v>
      </x:c>
      <x:c r="O742" s="28" t="n">
        <x:f>SUM(M742:N742)</x:f>
        <x:v>0.35425</x:v>
      </x:c>
    </x:row>
    <x:row r="743" ht="23" customHeight="1">
      <x:c r="A743" s="17" t="str">
        <x:v>U00737</x:v>
      </x:c>
      <x:c r="B743" s="18" t="n">
        <x:v>46290</x:v>
      </x:c>
      <x:c r="C743" s="17" t="str">
        <x:v>W0075</x:v>
      </x:c>
      <x:c r="D743" s="17" t="str">
        <x:v>C002</x:v>
      </x:c>
      <x:c r="E743" s="17" t="str">
        <x:v>InsightDesk</x:v>
      </x:c>
      <x:c r="F743" s="17" t="str">
        <x:v>Lite</x:v>
      </x:c>
      <x:c r="G743" s="17" t="n">
        <x:v>25234</x:v>
      </x:c>
      <x:c r="H743" s="17" t="n">
        <x:v>6258</x:v>
      </x:c>
      <x:c r="I743" s="17" t="str">
        <x:v>Followup</x:v>
      </x:c>
      <x:c r="J743" s="27" t="n">
        <x:f>INDEX('Model Pricing'!$B$7:$B$8,MATCH(F743,'Model Pricing'!$A$7:$A$8,0))</x:f>
        <x:v>10</x:v>
      </x:c>
      <x:c r="K743" s="27" t="n">
        <x:f>INDEX('Model Pricing'!$C$7:$C$8,MATCH(F743,'Model Pricing'!$A$7:$A$8,0))</x:f>
        <x:v>30</x:v>
      </x:c>
      <x:c r="L743" s="17" t="n">
        <x:f>G743+H743</x:f>
        <x:v>31492</x:v>
      </x:c>
      <x:c r="M743" s="28" t="n">
        <x:f>G743*J743/1000000</x:f>
        <x:v>0.25234</x:v>
      </x:c>
      <x:c r="N743" s="28" t="n">
        <x:f>H743*K743/1000000</x:f>
        <x:v>0.18774</x:v>
      </x:c>
      <x:c r="O743" s="28" t="n">
        <x:f>SUM(M743:N743)</x:f>
        <x:v>0.44008</x:v>
      </x:c>
    </x:row>
    <x:row r="744" ht="23" customHeight="1">
      <x:c r="A744" s="17" t="str">
        <x:v>U00738</x:v>
      </x:c>
      <x:c r="B744" s="18" t="n">
        <x:v>46269</x:v>
      </x:c>
      <x:c r="C744" s="17" t="str">
        <x:v>W0076</x:v>
      </x:c>
      <x:c r="D744" s="17" t="str">
        <x:v>C002</x:v>
      </x:c>
      <x:c r="E744" s="17" t="str">
        <x:v>CopyStudio</x:v>
      </x:c>
      <x:c r="F744" s="17" t="str">
        <x:v>Lite</x:v>
      </x:c>
      <x:c r="G744" s="17" t="n">
        <x:v>32510</x:v>
      </x:c>
      <x:c r="H744" s="17" t="n">
        <x:v>5431</x:v>
      </x:c>
      <x:c r="I744" s="17" t="str">
        <x:v>First attempt</x:v>
      </x:c>
      <x:c r="J744" s="27" t="n">
        <x:f>INDEX('Model Pricing'!$B$7:$B$8,MATCH(F744,'Model Pricing'!$A$7:$A$8,0))</x:f>
        <x:v>10</x:v>
      </x:c>
      <x:c r="K744" s="27" t="n">
        <x:f>INDEX('Model Pricing'!$C$7:$C$8,MATCH(F744,'Model Pricing'!$A$7:$A$8,0))</x:f>
        <x:v>30</x:v>
      </x:c>
      <x:c r="L744" s="17" t="n">
        <x:f>G744+H744</x:f>
        <x:v>37941</x:v>
      </x:c>
      <x:c r="M744" s="28" t="n">
        <x:f>G744*J744/1000000</x:f>
        <x:v>0.3251</x:v>
      </x:c>
      <x:c r="N744" s="28" t="n">
        <x:f>H744*K744/1000000</x:f>
        <x:v>0.16293</x:v>
      </x:c>
      <x:c r="O744" s="28" t="n">
        <x:f>SUM(M744:N744)</x:f>
        <x:v>0.48802999999999996</x:v>
      </x:c>
    </x:row>
    <x:row r="745" ht="23" customHeight="1">
      <x:c r="A745" s="17" t="str">
        <x:v>U00739</x:v>
      </x:c>
      <x:c r="B745" s="18" t="n">
        <x:v>46269</x:v>
      </x:c>
      <x:c r="C745" s="17" t="str">
        <x:v>W0076</x:v>
      </x:c>
      <x:c r="D745" s="17" t="str">
        <x:v>C002</x:v>
      </x:c>
      <x:c r="E745" s="17" t="str">
        <x:v>CopyStudio</x:v>
      </x:c>
      <x:c r="F745" s="17" t="str">
        <x:v>Lite</x:v>
      </x:c>
      <x:c r="G745" s="17" t="n">
        <x:v>27093</x:v>
      </x:c>
      <x:c r="H745" s="17" t="n">
        <x:v>13385</x:v>
      </x:c>
      <x:c r="I745" s="17" t="str">
        <x:v>Correction</x:v>
      </x:c>
      <x:c r="J745" s="27" t="n">
        <x:f>INDEX('Model Pricing'!$B$7:$B$8,MATCH(F745,'Model Pricing'!$A$7:$A$8,0))</x:f>
        <x:v>10</x:v>
      </x:c>
      <x:c r="K745" s="27" t="n">
        <x:f>INDEX('Model Pricing'!$C$7:$C$8,MATCH(F745,'Model Pricing'!$A$7:$A$8,0))</x:f>
        <x:v>30</x:v>
      </x:c>
      <x:c r="L745" s="17" t="n">
        <x:f>G745+H745</x:f>
        <x:v>40478</x:v>
      </x:c>
      <x:c r="M745" s="28" t="n">
        <x:f>G745*J745/1000000</x:f>
        <x:v>0.27093</x:v>
      </x:c>
      <x:c r="N745" s="28" t="n">
        <x:f>H745*K745/1000000</x:f>
        <x:v>0.40155</x:v>
      </x:c>
      <x:c r="O745" s="28" t="n">
        <x:f>SUM(M745:N745)</x:f>
        <x:v>0.67248</x:v>
      </x:c>
    </x:row>
    <x:row r="746" ht="23" customHeight="1">
      <x:c r="A746" s="17" t="str">
        <x:v>U00740</x:v>
      </x:c>
      <x:c r="B746" s="18" t="n">
        <x:v>46269</x:v>
      </x:c>
      <x:c r="C746" s="17" t="str">
        <x:v>W0076</x:v>
      </x:c>
      <x:c r="D746" s="17" t="str">
        <x:v>C002</x:v>
      </x:c>
      <x:c r="E746" s="17" t="str">
        <x:v>CopyStudio</x:v>
      </x:c>
      <x:c r="F746" s="17" t="str">
        <x:v>Lite</x:v>
      </x:c>
      <x:c r="G746" s="17" t="n">
        <x:v>30191</x:v>
      </x:c>
      <x:c r="H746" s="17" t="n">
        <x:v>13315</x:v>
      </x:c>
      <x:c r="I746" s="17" t="str">
        <x:v>Followup</x:v>
      </x:c>
      <x:c r="J746" s="27" t="n">
        <x:f>INDEX('Model Pricing'!$B$7:$B$8,MATCH(F746,'Model Pricing'!$A$7:$A$8,0))</x:f>
        <x:v>10</x:v>
      </x:c>
      <x:c r="K746" s="27" t="n">
        <x:f>INDEX('Model Pricing'!$C$7:$C$8,MATCH(F746,'Model Pricing'!$A$7:$A$8,0))</x:f>
        <x:v>30</x:v>
      </x:c>
      <x:c r="L746" s="17" t="n">
        <x:f>G746+H746</x:f>
        <x:v>43506</x:v>
      </x:c>
      <x:c r="M746" s="28" t="n">
        <x:f>G746*J746/1000000</x:f>
        <x:v>0.30191</x:v>
      </x:c>
      <x:c r="N746" s="28" t="n">
        <x:f>H746*K746/1000000</x:f>
        <x:v>0.39945</x:v>
      </x:c>
      <x:c r="O746" s="28" t="n">
        <x:f>SUM(M746:N746)</x:f>
        <x:v>0.70136</x:v>
      </x:c>
    </x:row>
    <x:row r="747" ht="23" customHeight="1">
      <x:c r="A747" s="17" t="str">
        <x:v>U00741</x:v>
      </x:c>
      <x:c r="B747" s="18" t="n">
        <x:v>46269</x:v>
      </x:c>
      <x:c r="C747" s="17" t="str">
        <x:v>W0076</x:v>
      </x:c>
      <x:c r="D747" s="17" t="str">
        <x:v>C002</x:v>
      </x:c>
      <x:c r="E747" s="17" t="str">
        <x:v>CopyStudio</x:v>
      </x:c>
      <x:c r="F747" s="17" t="str">
        <x:v>Lite</x:v>
      </x:c>
      <x:c r="G747" s="17" t="n">
        <x:v>37939</x:v>
      </x:c>
      <x:c r="H747" s="17" t="n">
        <x:v>4425</x:v>
      </x:c>
      <x:c r="I747" s="17" t="str">
        <x:v>Correction</x:v>
      </x:c>
      <x:c r="J747" s="27" t="n">
        <x:f>INDEX('Model Pricing'!$B$7:$B$8,MATCH(F747,'Model Pricing'!$A$7:$A$8,0))</x:f>
        <x:v>10</x:v>
      </x:c>
      <x:c r="K747" s="27" t="n">
        <x:f>INDEX('Model Pricing'!$C$7:$C$8,MATCH(F747,'Model Pricing'!$A$7:$A$8,0))</x:f>
        <x:v>30</x:v>
      </x:c>
      <x:c r="L747" s="17" t="n">
        <x:f>G747+H747</x:f>
        <x:v>42364</x:v>
      </x:c>
      <x:c r="M747" s="28" t="n">
        <x:f>G747*J747/1000000</x:f>
        <x:v>0.37939</x:v>
      </x:c>
      <x:c r="N747" s="28" t="n">
        <x:f>H747*K747/1000000</x:f>
        <x:v>0.13275</x:v>
      </x:c>
      <x:c r="O747" s="28" t="n">
        <x:f>SUM(M747:N747)</x:f>
        <x:v>0.51214</x:v>
      </x:c>
    </x:row>
    <x:row r="748" ht="23" customHeight="1">
      <x:c r="A748" s="17" t="str">
        <x:v>U00742</x:v>
      </x:c>
      <x:c r="B748" s="18" t="n">
        <x:v>46273</x:v>
      </x:c>
      <x:c r="C748" s="17" t="str">
        <x:v>W0076</x:v>
      </x:c>
      <x:c r="D748" s="17" t="str">
        <x:v>C002</x:v>
      </x:c>
      <x:c r="E748" s="17" t="str">
        <x:v>CopyStudio</x:v>
      </x:c>
      <x:c r="F748" s="17" t="str">
        <x:v>Lite</x:v>
      </x:c>
      <x:c r="G748" s="17" t="n">
        <x:v>24006</x:v>
      </x:c>
      <x:c r="H748" s="17" t="n">
        <x:v>13751</x:v>
      </x:c>
      <x:c r="I748" s="17" t="str">
        <x:v>Followup</x:v>
      </x:c>
      <x:c r="J748" s="27" t="n">
        <x:f>INDEX('Model Pricing'!$B$7:$B$8,MATCH(F748,'Model Pricing'!$A$7:$A$8,0))</x:f>
        <x:v>10</x:v>
      </x:c>
      <x:c r="K748" s="27" t="n">
        <x:f>INDEX('Model Pricing'!$C$7:$C$8,MATCH(F748,'Model Pricing'!$A$7:$A$8,0))</x:f>
        <x:v>30</x:v>
      </x:c>
      <x:c r="L748" s="17" t="n">
        <x:f>G748+H748</x:f>
        <x:v>37757</x:v>
      </x:c>
      <x:c r="M748" s="28" t="n">
        <x:f>G748*J748/1000000</x:f>
        <x:v>0.24006</x:v>
      </x:c>
      <x:c r="N748" s="28" t="n">
        <x:f>H748*K748/1000000</x:f>
        <x:v>0.41253</x:v>
      </x:c>
      <x:c r="O748" s="28" t="n">
        <x:f>SUM(M748:N748)</x:f>
        <x:v>0.65259</x:v>
      </x:c>
    </x:row>
    <x:row r="749" ht="23" customHeight="1">
      <x:c r="A749" s="17" t="str">
        <x:v>U00743</x:v>
      </x:c>
      <x:c r="B749" s="18" t="n">
        <x:v>46273</x:v>
      </x:c>
      <x:c r="C749" s="17" t="str">
        <x:v>W0076</x:v>
      </x:c>
      <x:c r="D749" s="17" t="str">
        <x:v>C002</x:v>
      </x:c>
      <x:c r="E749" s="17" t="str">
        <x:v>CopyStudio</x:v>
      </x:c>
      <x:c r="F749" s="17" t="str">
        <x:v>Lite</x:v>
      </x:c>
      <x:c r="G749" s="17" t="n">
        <x:v>41349</x:v>
      </x:c>
      <x:c r="H749" s="17" t="n">
        <x:v>11805</x:v>
      </x:c>
      <x:c r="I749" s="17" t="str">
        <x:v>Followup</x:v>
      </x:c>
      <x:c r="J749" s="27" t="n">
        <x:f>INDEX('Model Pricing'!$B$7:$B$8,MATCH(F749,'Model Pricing'!$A$7:$A$8,0))</x:f>
        <x:v>10</x:v>
      </x:c>
      <x:c r="K749" s="27" t="n">
        <x:f>INDEX('Model Pricing'!$C$7:$C$8,MATCH(F749,'Model Pricing'!$A$7:$A$8,0))</x:f>
        <x:v>30</x:v>
      </x:c>
      <x:c r="L749" s="17" t="n">
        <x:f>G749+H749</x:f>
        <x:v>53154</x:v>
      </x:c>
      <x:c r="M749" s="28" t="n">
        <x:f>G749*J749/1000000</x:f>
        <x:v>0.41349</x:v>
      </x:c>
      <x:c r="N749" s="28" t="n">
        <x:f>H749*K749/1000000</x:f>
        <x:v>0.35415</x:v>
      </x:c>
      <x:c r="O749" s="28" t="n">
        <x:f>SUM(M749:N749)</x:f>
        <x:v>0.7676400000000001</x:v>
      </x:c>
    </x:row>
    <x:row r="750" ht="23" customHeight="1">
      <x:c r="A750" s="17" t="str">
        <x:v>U00744</x:v>
      </x:c>
      <x:c r="B750" s="18" t="n">
        <x:v>46273</x:v>
      </x:c>
      <x:c r="C750" s="17" t="str">
        <x:v>W0076</x:v>
      </x:c>
      <x:c r="D750" s="17" t="str">
        <x:v>C002</x:v>
      </x:c>
      <x:c r="E750" s="17" t="str">
        <x:v>CopyStudio</x:v>
      </x:c>
      <x:c r="F750" s="17" t="str">
        <x:v>Lite</x:v>
      </x:c>
      <x:c r="G750" s="17" t="n">
        <x:v>33285</x:v>
      </x:c>
      <x:c r="H750" s="17" t="n">
        <x:v>14157</x:v>
      </x:c>
      <x:c r="I750" s="17" t="str">
        <x:v>Correction</x:v>
      </x:c>
      <x:c r="J750" s="27" t="n">
        <x:f>INDEX('Model Pricing'!$B$7:$B$8,MATCH(F750,'Model Pricing'!$A$7:$A$8,0))</x:f>
        <x:v>10</x:v>
      </x:c>
      <x:c r="K750" s="27" t="n">
        <x:f>INDEX('Model Pricing'!$C$7:$C$8,MATCH(F750,'Model Pricing'!$A$7:$A$8,0))</x:f>
        <x:v>30</x:v>
      </x:c>
      <x:c r="L750" s="17" t="n">
        <x:f>G750+H750</x:f>
        <x:v>47442</x:v>
      </x:c>
      <x:c r="M750" s="28" t="n">
        <x:f>G750*J750/1000000</x:f>
        <x:v>0.33285</x:v>
      </x:c>
      <x:c r="N750" s="28" t="n">
        <x:f>H750*K750/1000000</x:f>
        <x:v>0.42471</x:v>
      </x:c>
      <x:c r="O750" s="28" t="n">
        <x:f>SUM(M750:N750)</x:f>
        <x:v>0.75756</x:v>
      </x:c>
    </x:row>
    <x:row r="751" ht="23" customHeight="1">
      <x:c r="A751" s="17" t="str">
        <x:v>U00745</x:v>
      </x:c>
      <x:c r="B751" s="18" t="n">
        <x:v>46273</x:v>
      </x:c>
      <x:c r="C751" s="17" t="str">
        <x:v>W0076</x:v>
      </x:c>
      <x:c r="D751" s="17" t="str">
        <x:v>C002</x:v>
      </x:c>
      <x:c r="E751" s="17" t="str">
        <x:v>CopyStudio</x:v>
      </x:c>
      <x:c r="F751" s="17" t="str">
        <x:v>Lite</x:v>
      </x:c>
      <x:c r="G751" s="17" t="n">
        <x:v>22528</x:v>
      </x:c>
      <x:c r="H751" s="17" t="n">
        <x:v>10579</x:v>
      </x:c>
      <x:c r="I751" s="17" t="str">
        <x:v>Correction</x:v>
      </x:c>
      <x:c r="J751" s="27" t="n">
        <x:f>INDEX('Model Pricing'!$B$7:$B$8,MATCH(F751,'Model Pricing'!$A$7:$A$8,0))</x:f>
        <x:v>10</x:v>
      </x:c>
      <x:c r="K751" s="27" t="n">
        <x:f>INDEX('Model Pricing'!$C$7:$C$8,MATCH(F751,'Model Pricing'!$A$7:$A$8,0))</x:f>
        <x:v>30</x:v>
      </x:c>
      <x:c r="L751" s="17" t="n">
        <x:f>G751+H751</x:f>
        <x:v>33107</x:v>
      </x:c>
      <x:c r="M751" s="28" t="n">
        <x:f>G751*J751/1000000</x:f>
        <x:v>0.22528</x:v>
      </x:c>
      <x:c r="N751" s="28" t="n">
        <x:f>H751*K751/1000000</x:f>
        <x:v>0.31737</x:v>
      </x:c>
      <x:c r="O751" s="28" t="n">
        <x:f>SUM(M751:N751)</x:f>
        <x:v>0.54265</x:v>
      </x:c>
    </x:row>
    <x:row r="752" ht="23" customHeight="1">
      <x:c r="A752" s="17" t="str">
        <x:v>U00746</x:v>
      </x:c>
      <x:c r="B752" s="18" t="n">
        <x:v>46274</x:v>
      </x:c>
      <x:c r="C752" s="17" t="str">
        <x:v>W0076</x:v>
      </x:c>
      <x:c r="D752" s="17" t="str">
        <x:v>C002</x:v>
      </x:c>
      <x:c r="E752" s="17" t="str">
        <x:v>CopyStudio</x:v>
      </x:c>
      <x:c r="F752" s="17" t="str">
        <x:v>Lite</x:v>
      </x:c>
      <x:c r="G752" s="17" t="n">
        <x:v>42241</x:v>
      </x:c>
      <x:c r="H752" s="17" t="n">
        <x:v>8525</x:v>
      </x:c>
      <x:c r="I752" s="17" t="str">
        <x:v>Correction</x:v>
      </x:c>
      <x:c r="J752" s="27" t="n">
        <x:f>INDEX('Model Pricing'!$B$7:$B$8,MATCH(F752,'Model Pricing'!$A$7:$A$8,0))</x:f>
        <x:v>10</x:v>
      </x:c>
      <x:c r="K752" s="27" t="n">
        <x:f>INDEX('Model Pricing'!$C$7:$C$8,MATCH(F752,'Model Pricing'!$A$7:$A$8,0))</x:f>
        <x:v>30</x:v>
      </x:c>
      <x:c r="L752" s="17" t="n">
        <x:f>G752+H752</x:f>
        <x:v>50766</x:v>
      </x:c>
      <x:c r="M752" s="28" t="n">
        <x:f>G752*J752/1000000</x:f>
        <x:v>0.42241</x:v>
      </x:c>
      <x:c r="N752" s="28" t="n">
        <x:f>H752*K752/1000000</x:f>
        <x:v>0.25575</x:v>
      </x:c>
      <x:c r="O752" s="28" t="n">
        <x:f>SUM(M752:N752)</x:f>
        <x:v>0.67816</x:v>
      </x:c>
    </x:row>
    <x:row r="753" ht="23" customHeight="1">
      <x:c r="A753" s="17" t="str">
        <x:v>U00747</x:v>
      </x:c>
      <x:c r="B753" s="18" t="n">
        <x:v>46274</x:v>
      </x:c>
      <x:c r="C753" s="17" t="str">
        <x:v>W0076</x:v>
      </x:c>
      <x:c r="D753" s="17" t="str">
        <x:v>C002</x:v>
      </x:c>
      <x:c r="E753" s="17" t="str">
        <x:v>CopyStudio</x:v>
      </x:c>
      <x:c r="F753" s="17" t="str">
        <x:v>Lite</x:v>
      </x:c>
      <x:c r="G753" s="17" t="n">
        <x:v>43293</x:v>
      </x:c>
      <x:c r="H753" s="17" t="n">
        <x:v>6079</x:v>
      </x:c>
      <x:c r="I753" s="17" t="str">
        <x:v>Followup</x:v>
      </x:c>
      <x:c r="J753" s="27" t="n">
        <x:f>INDEX('Model Pricing'!$B$7:$B$8,MATCH(F753,'Model Pricing'!$A$7:$A$8,0))</x:f>
        <x:v>10</x:v>
      </x:c>
      <x:c r="K753" s="27" t="n">
        <x:f>INDEX('Model Pricing'!$C$7:$C$8,MATCH(F753,'Model Pricing'!$A$7:$A$8,0))</x:f>
        <x:v>30</x:v>
      </x:c>
      <x:c r="L753" s="17" t="n">
        <x:f>G753+H753</x:f>
        <x:v>49372</x:v>
      </x:c>
      <x:c r="M753" s="28" t="n">
        <x:f>G753*J753/1000000</x:f>
        <x:v>0.43293</x:v>
      </x:c>
      <x:c r="N753" s="28" t="n">
        <x:f>H753*K753/1000000</x:f>
        <x:v>0.18237</x:v>
      </x:c>
      <x:c r="O753" s="28" t="n">
        <x:f>SUM(M753:N753)</x:f>
        <x:v>0.6153</x:v>
      </x:c>
    </x:row>
    <x:row r="754" ht="23" customHeight="1">
      <x:c r="A754" s="17" t="str">
        <x:v>U00748</x:v>
      </x:c>
      <x:c r="B754" s="18" t="n">
        <x:v>46274</x:v>
      </x:c>
      <x:c r="C754" s="17" t="str">
        <x:v>W0076</x:v>
      </x:c>
      <x:c r="D754" s="17" t="str">
        <x:v>C002</x:v>
      </x:c>
      <x:c r="E754" s="17" t="str">
        <x:v>CopyStudio</x:v>
      </x:c>
      <x:c r="F754" s="17" t="str">
        <x:v>Lite</x:v>
      </x:c>
      <x:c r="G754" s="17" t="n">
        <x:v>15373</x:v>
      </x:c>
      <x:c r="H754" s="17" t="n">
        <x:v>13258</x:v>
      </x:c>
      <x:c r="I754" s="17" t="str">
        <x:v>Followup</x:v>
      </x:c>
      <x:c r="J754" s="27" t="n">
        <x:f>INDEX('Model Pricing'!$B$7:$B$8,MATCH(F754,'Model Pricing'!$A$7:$A$8,0))</x:f>
        <x:v>10</x:v>
      </x:c>
      <x:c r="K754" s="27" t="n">
        <x:f>INDEX('Model Pricing'!$C$7:$C$8,MATCH(F754,'Model Pricing'!$A$7:$A$8,0))</x:f>
        <x:v>30</x:v>
      </x:c>
      <x:c r="L754" s="17" t="n">
        <x:f>G754+H754</x:f>
        <x:v>28631</x:v>
      </x:c>
      <x:c r="M754" s="28" t="n">
        <x:f>G754*J754/1000000</x:f>
        <x:v>0.15373</x:v>
      </x:c>
      <x:c r="N754" s="28" t="n">
        <x:f>H754*K754/1000000</x:f>
        <x:v>0.39774</x:v>
      </x:c>
      <x:c r="O754" s="28" t="n">
        <x:f>SUM(M754:N754)</x:f>
        <x:v>0.55147</x:v>
      </x:c>
    </x:row>
    <x:row r="755" ht="23" customHeight="1">
      <x:c r="A755" s="17" t="str">
        <x:v>U00749</x:v>
      </x:c>
      <x:c r="B755" s="18" t="n">
        <x:v>46274</x:v>
      </x:c>
      <x:c r="C755" s="17" t="str">
        <x:v>W0076</x:v>
      </x:c>
      <x:c r="D755" s="17" t="str">
        <x:v>C002</x:v>
      </x:c>
      <x:c r="E755" s="17" t="str">
        <x:v>CopyStudio</x:v>
      </x:c>
      <x:c r="F755" s="17" t="str">
        <x:v>Lite</x:v>
      </x:c>
      <x:c r="G755" s="17" t="n">
        <x:v>43624</x:v>
      </x:c>
      <x:c r="H755" s="17" t="n">
        <x:v>3975</x:v>
      </x:c>
      <x:c r="I755" s="17" t="str">
        <x:v>Followup</x:v>
      </x:c>
      <x:c r="J755" s="27" t="n">
        <x:f>INDEX('Model Pricing'!$B$7:$B$8,MATCH(F755,'Model Pricing'!$A$7:$A$8,0))</x:f>
        <x:v>10</x:v>
      </x:c>
      <x:c r="K755" s="27" t="n">
        <x:f>INDEX('Model Pricing'!$C$7:$C$8,MATCH(F755,'Model Pricing'!$A$7:$A$8,0))</x:f>
        <x:v>30</x:v>
      </x:c>
      <x:c r="L755" s="17" t="n">
        <x:f>G755+H755</x:f>
        <x:v>47599</x:v>
      </x:c>
      <x:c r="M755" s="28" t="n">
        <x:f>G755*J755/1000000</x:f>
        <x:v>0.43624</x:v>
      </x:c>
      <x:c r="N755" s="28" t="n">
        <x:f>H755*K755/1000000</x:f>
        <x:v>0.11925</x:v>
      </x:c>
      <x:c r="O755" s="28" t="n">
        <x:f>SUM(M755:N755)</x:f>
        <x:v>0.55549</x:v>
      </x:c>
    </x:row>
    <x:row r="756" ht="23" customHeight="1">
      <x:c r="A756" s="17" t="str">
        <x:v>U00750</x:v>
      </x:c>
      <x:c r="B756" s="18" t="n">
        <x:v>46275</x:v>
      </x:c>
      <x:c r="C756" s="17" t="str">
        <x:v>W0076</x:v>
      </x:c>
      <x:c r="D756" s="17" t="str">
        <x:v>C002</x:v>
      </x:c>
      <x:c r="E756" s="17" t="str">
        <x:v>CopyStudio</x:v>
      </x:c>
      <x:c r="F756" s="17" t="str">
        <x:v>Lite</x:v>
      </x:c>
      <x:c r="G756" s="17" t="n">
        <x:v>39260</x:v>
      </x:c>
      <x:c r="H756" s="17" t="n">
        <x:v>9855</x:v>
      </x:c>
      <x:c r="I756" s="17" t="str">
        <x:v>Correction</x:v>
      </x:c>
      <x:c r="J756" s="27" t="n">
        <x:f>INDEX('Model Pricing'!$B$7:$B$8,MATCH(F756,'Model Pricing'!$A$7:$A$8,0))</x:f>
        <x:v>10</x:v>
      </x:c>
      <x:c r="K756" s="27" t="n">
        <x:f>INDEX('Model Pricing'!$C$7:$C$8,MATCH(F756,'Model Pricing'!$A$7:$A$8,0))</x:f>
        <x:v>30</x:v>
      </x:c>
      <x:c r="L756" s="17" t="n">
        <x:f>G756+H756</x:f>
        <x:v>49115</x:v>
      </x:c>
      <x:c r="M756" s="28" t="n">
        <x:f>G756*J756/1000000</x:f>
        <x:v>0.3926</x:v>
      </x:c>
      <x:c r="N756" s="28" t="n">
        <x:f>H756*K756/1000000</x:f>
        <x:v>0.29565</x:v>
      </x:c>
      <x:c r="O756" s="28" t="n">
        <x:f>SUM(M756:N756)</x:f>
        <x:v>0.68825</x:v>
      </x:c>
    </x:row>
    <x:row r="757" ht="23" customHeight="1">
      <x:c r="A757" s="17" t="str">
        <x:v>U00751</x:v>
      </x:c>
      <x:c r="B757" s="18" t="n">
        <x:v>46275</x:v>
      </x:c>
      <x:c r="C757" s="17" t="str">
        <x:v>W0076</x:v>
      </x:c>
      <x:c r="D757" s="17" t="str">
        <x:v>C002</x:v>
      </x:c>
      <x:c r="E757" s="17" t="str">
        <x:v>CopyStudio</x:v>
      </x:c>
      <x:c r="F757" s="17" t="str">
        <x:v>Lite</x:v>
      </x:c>
      <x:c r="G757" s="17" t="n">
        <x:v>27122</x:v>
      </x:c>
      <x:c r="H757" s="17" t="n">
        <x:v>8724</x:v>
      </x:c>
      <x:c r="I757" s="17" t="str">
        <x:v>Followup</x:v>
      </x:c>
      <x:c r="J757" s="27" t="n">
        <x:f>INDEX('Model Pricing'!$B$7:$B$8,MATCH(F757,'Model Pricing'!$A$7:$A$8,0))</x:f>
        <x:v>10</x:v>
      </x:c>
      <x:c r="K757" s="27" t="n">
        <x:f>INDEX('Model Pricing'!$C$7:$C$8,MATCH(F757,'Model Pricing'!$A$7:$A$8,0))</x:f>
        <x:v>30</x:v>
      </x:c>
      <x:c r="L757" s="17" t="n">
        <x:f>G757+H757</x:f>
        <x:v>35846</x:v>
      </x:c>
      <x:c r="M757" s="28" t="n">
        <x:f>G757*J757/1000000</x:f>
        <x:v>0.27122</x:v>
      </x:c>
      <x:c r="N757" s="28" t="n">
        <x:f>H757*K757/1000000</x:f>
        <x:v>0.26172</x:v>
      </x:c>
      <x:c r="O757" s="28" t="n">
        <x:f>SUM(M757:N757)</x:f>
        <x:v>0.53294</x:v>
      </x:c>
    </x:row>
    <x:row r="758" ht="23" customHeight="1">
      <x:c r="A758" s="17" t="str">
        <x:v>U00752</x:v>
      </x:c>
      <x:c r="B758" s="18" t="n">
        <x:v>46275</x:v>
      </x:c>
      <x:c r="C758" s="17" t="str">
        <x:v>W0076</x:v>
      </x:c>
      <x:c r="D758" s="17" t="str">
        <x:v>C002</x:v>
      </x:c>
      <x:c r="E758" s="17" t="str">
        <x:v>CopyStudio</x:v>
      </x:c>
      <x:c r="F758" s="17" t="str">
        <x:v>Lite</x:v>
      </x:c>
      <x:c r="G758" s="17" t="n">
        <x:v>20758</x:v>
      </x:c>
      <x:c r="H758" s="17" t="n">
        <x:v>4601</x:v>
      </x:c>
      <x:c r="I758" s="17" t="str">
        <x:v>Followup</x:v>
      </x:c>
      <x:c r="J758" s="27" t="n">
        <x:f>INDEX('Model Pricing'!$B$7:$B$8,MATCH(F758,'Model Pricing'!$A$7:$A$8,0))</x:f>
        <x:v>10</x:v>
      </x:c>
      <x:c r="K758" s="27" t="n">
        <x:f>INDEX('Model Pricing'!$C$7:$C$8,MATCH(F758,'Model Pricing'!$A$7:$A$8,0))</x:f>
        <x:v>30</x:v>
      </x:c>
      <x:c r="L758" s="17" t="n">
        <x:f>G758+H758</x:f>
        <x:v>25359</x:v>
      </x:c>
      <x:c r="M758" s="28" t="n">
        <x:f>G758*J758/1000000</x:f>
        <x:v>0.20758</x:v>
      </x:c>
      <x:c r="N758" s="28" t="n">
        <x:f>H758*K758/1000000</x:f>
        <x:v>0.13803</x:v>
      </x:c>
      <x:c r="O758" s="28" t="n">
        <x:f>SUM(M758:N758)</x:f>
        <x:v>0.34561</x:v>
      </x:c>
    </x:row>
    <x:row r="759" ht="23" customHeight="1">
      <x:c r="A759" s="17" t="str">
        <x:v>U00753</x:v>
      </x:c>
      <x:c r="B759" s="18" t="n">
        <x:v>46281</x:v>
      </x:c>
      <x:c r="C759" s="17" t="str">
        <x:v>W0077</x:v>
      </x:c>
      <x:c r="D759" s="17" t="str">
        <x:v>C002</x:v>
      </x:c>
      <x:c r="E759" s="17" t="str">
        <x:v>CampaignChat</x:v>
      </x:c>
      <x:c r="F759" s="17" t="str">
        <x:v>Lite</x:v>
      </x:c>
      <x:c r="G759" s="17" t="n">
        <x:v>21949</x:v>
      </x:c>
      <x:c r="H759" s="17" t="n">
        <x:v>9521</x:v>
      </x:c>
      <x:c r="I759" s="17" t="str">
        <x:v>First attempt</x:v>
      </x:c>
      <x:c r="J759" s="27" t="n">
        <x:f>INDEX('Model Pricing'!$B$7:$B$8,MATCH(F759,'Model Pricing'!$A$7:$A$8,0))</x:f>
        <x:v>10</x:v>
      </x:c>
      <x:c r="K759" s="27" t="n">
        <x:f>INDEX('Model Pricing'!$C$7:$C$8,MATCH(F759,'Model Pricing'!$A$7:$A$8,0))</x:f>
        <x:v>30</x:v>
      </x:c>
      <x:c r="L759" s="17" t="n">
        <x:f>G759+H759</x:f>
        <x:v>31470</x:v>
      </x:c>
      <x:c r="M759" s="28" t="n">
        <x:f>G759*J759/1000000</x:f>
        <x:v>0.21949</x:v>
      </x:c>
      <x:c r="N759" s="28" t="n">
        <x:f>H759*K759/1000000</x:f>
        <x:v>0.28563</x:v>
      </x:c>
      <x:c r="O759" s="28" t="n">
        <x:f>SUM(M759:N759)</x:f>
        <x:v>0.50512</x:v>
      </x:c>
    </x:row>
    <x:row r="760" ht="23" customHeight="1">
      <x:c r="A760" s="17" t="str">
        <x:v>U00754</x:v>
      </x:c>
      <x:c r="B760" s="18" t="n">
        <x:v>46281</x:v>
      </x:c>
      <x:c r="C760" s="17" t="str">
        <x:v>W0077</x:v>
      </x:c>
      <x:c r="D760" s="17" t="str">
        <x:v>C002</x:v>
      </x:c>
      <x:c r="E760" s="17" t="str">
        <x:v>CampaignChat</x:v>
      </x:c>
      <x:c r="F760" s="17" t="str">
        <x:v>Lite</x:v>
      </x:c>
      <x:c r="G760" s="17" t="n">
        <x:v>46573</x:v>
      </x:c>
      <x:c r="H760" s="17" t="n">
        <x:v>6469</x:v>
      </x:c>
      <x:c r="I760" s="17" t="str">
        <x:v>Followup</x:v>
      </x:c>
      <x:c r="J760" s="27" t="n">
        <x:f>INDEX('Model Pricing'!$B$7:$B$8,MATCH(F760,'Model Pricing'!$A$7:$A$8,0))</x:f>
        <x:v>10</x:v>
      </x:c>
      <x:c r="K760" s="27" t="n">
        <x:f>INDEX('Model Pricing'!$C$7:$C$8,MATCH(F760,'Model Pricing'!$A$7:$A$8,0))</x:f>
        <x:v>30</x:v>
      </x:c>
      <x:c r="L760" s="17" t="n">
        <x:f>G760+H760</x:f>
        <x:v>53042</x:v>
      </x:c>
      <x:c r="M760" s="28" t="n">
        <x:f>G760*J760/1000000</x:f>
        <x:v>0.46573</x:v>
      </x:c>
      <x:c r="N760" s="28" t="n">
        <x:f>H760*K760/1000000</x:f>
        <x:v>0.19407</x:v>
      </x:c>
      <x:c r="O760" s="28" t="n">
        <x:f>SUM(M760:N760)</x:f>
        <x:v>0.6597999999999999</x:v>
      </x:c>
    </x:row>
    <x:row r="761" ht="23" customHeight="1">
      <x:c r="A761" s="17" t="str">
        <x:v>U00755</x:v>
      </x:c>
      <x:c r="B761" s="18" t="n">
        <x:v>46281</x:v>
      </x:c>
      <x:c r="C761" s="17" t="str">
        <x:v>W0077</x:v>
      </x:c>
      <x:c r="D761" s="17" t="str">
        <x:v>C002</x:v>
      </x:c>
      <x:c r="E761" s="17" t="str">
        <x:v>CampaignChat</x:v>
      </x:c>
      <x:c r="F761" s="17" t="str">
        <x:v>Lite</x:v>
      </x:c>
      <x:c r="G761" s="17" t="n">
        <x:v>37052</x:v>
      </x:c>
      <x:c r="H761" s="17" t="n">
        <x:v>5141</x:v>
      </x:c>
      <x:c r="I761" s="17" t="str">
        <x:v>Followup</x:v>
      </x:c>
      <x:c r="J761" s="27" t="n">
        <x:f>INDEX('Model Pricing'!$B$7:$B$8,MATCH(F761,'Model Pricing'!$A$7:$A$8,0))</x:f>
        <x:v>10</x:v>
      </x:c>
      <x:c r="K761" s="27" t="n">
        <x:f>INDEX('Model Pricing'!$C$7:$C$8,MATCH(F761,'Model Pricing'!$A$7:$A$8,0))</x:f>
        <x:v>30</x:v>
      </x:c>
      <x:c r="L761" s="17" t="n">
        <x:f>G761+H761</x:f>
        <x:v>42193</x:v>
      </x:c>
      <x:c r="M761" s="28" t="n">
        <x:f>G761*J761/1000000</x:f>
        <x:v>0.37052</x:v>
      </x:c>
      <x:c r="N761" s="28" t="n">
        <x:f>H761*K761/1000000</x:f>
        <x:v>0.15423</x:v>
      </x:c>
      <x:c r="O761" s="28" t="n">
        <x:f>SUM(M761:N761)</x:f>
        <x:v>0.52475</x:v>
      </x:c>
    </x:row>
    <x:row r="762" ht="23" customHeight="1">
      <x:c r="A762" s="17" t="str">
        <x:v>U00756</x:v>
      </x:c>
      <x:c r="B762" s="18" t="n">
        <x:v>46281</x:v>
      </x:c>
      <x:c r="C762" s="17" t="str">
        <x:v>W0077</x:v>
      </x:c>
      <x:c r="D762" s="17" t="str">
        <x:v>C002</x:v>
      </x:c>
      <x:c r="E762" s="17" t="str">
        <x:v>CampaignChat</x:v>
      </x:c>
      <x:c r="F762" s="17" t="str">
        <x:v>Lite</x:v>
      </x:c>
      <x:c r="G762" s="17" t="n">
        <x:v>32123</x:v>
      </x:c>
      <x:c r="H762" s="17" t="n">
        <x:v>2592</x:v>
      </x:c>
      <x:c r="I762" s="17" t="str">
        <x:v>Followup</x:v>
      </x:c>
      <x:c r="J762" s="27" t="n">
        <x:f>INDEX('Model Pricing'!$B$7:$B$8,MATCH(F762,'Model Pricing'!$A$7:$A$8,0))</x:f>
        <x:v>10</x:v>
      </x:c>
      <x:c r="K762" s="27" t="n">
        <x:f>INDEX('Model Pricing'!$C$7:$C$8,MATCH(F762,'Model Pricing'!$A$7:$A$8,0))</x:f>
        <x:v>30</x:v>
      </x:c>
      <x:c r="L762" s="17" t="n">
        <x:f>G762+H762</x:f>
        <x:v>34715</x:v>
      </x:c>
      <x:c r="M762" s="28" t="n">
        <x:f>G762*J762/1000000</x:f>
        <x:v>0.32123</x:v>
      </x:c>
      <x:c r="N762" s="28" t="n">
        <x:f>H762*K762/1000000</x:f>
        <x:v>0.07776</x:v>
      </x:c>
      <x:c r="O762" s="28" t="n">
        <x:f>SUM(M762:N762)</x:f>
        <x:v>0.39899</x:v>
      </x:c>
    </x:row>
    <x:row r="763" ht="23" customHeight="1">
      <x:c r="A763" s="17" t="str">
        <x:v>U00757</x:v>
      </x:c>
      <x:c r="B763" s="18" t="n">
        <x:v>46281</x:v>
      </x:c>
      <x:c r="C763" s="17" t="str">
        <x:v>W0077</x:v>
      </x:c>
      <x:c r="D763" s="17" t="str">
        <x:v>C002</x:v>
      </x:c>
      <x:c r="E763" s="17" t="str">
        <x:v>CampaignChat</x:v>
      </x:c>
      <x:c r="F763" s="17" t="str">
        <x:v>Lite</x:v>
      </x:c>
      <x:c r="G763" s="17" t="n">
        <x:v>20141</x:v>
      </x:c>
      <x:c r="H763" s="17" t="n">
        <x:v>4064</x:v>
      </x:c>
      <x:c r="I763" s="17" t="str">
        <x:v>Correction</x:v>
      </x:c>
      <x:c r="J763" s="27" t="n">
        <x:f>INDEX('Model Pricing'!$B$7:$B$8,MATCH(F763,'Model Pricing'!$A$7:$A$8,0))</x:f>
        <x:v>10</x:v>
      </x:c>
      <x:c r="K763" s="27" t="n">
        <x:f>INDEX('Model Pricing'!$C$7:$C$8,MATCH(F763,'Model Pricing'!$A$7:$A$8,0))</x:f>
        <x:v>30</x:v>
      </x:c>
      <x:c r="L763" s="17" t="n">
        <x:f>G763+H763</x:f>
        <x:v>24205</x:v>
      </x:c>
      <x:c r="M763" s="28" t="n">
        <x:f>G763*J763/1000000</x:f>
        <x:v>0.20141</x:v>
      </x:c>
      <x:c r="N763" s="28" t="n">
        <x:f>H763*K763/1000000</x:f>
        <x:v>0.12192</x:v>
      </x:c>
      <x:c r="O763" s="28" t="n">
        <x:f>SUM(M763:N763)</x:f>
        <x:v>0.32333</x:v>
      </x:c>
    </x:row>
    <x:row r="764" ht="23" customHeight="1">
      <x:c r="A764" s="17" t="str">
        <x:v>U00758</x:v>
      </x:c>
      <x:c r="B764" s="18" t="n">
        <x:v>46282</x:v>
      </x:c>
      <x:c r="C764" s="17" t="str">
        <x:v>W0077</x:v>
      </x:c>
      <x:c r="D764" s="17" t="str">
        <x:v>C002</x:v>
      </x:c>
      <x:c r="E764" s="17" t="str">
        <x:v>CampaignChat</x:v>
      </x:c>
      <x:c r="F764" s="17" t="str">
        <x:v>Lite</x:v>
      </x:c>
      <x:c r="G764" s="17" t="n">
        <x:v>47372</x:v>
      </x:c>
      <x:c r="H764" s="17" t="n">
        <x:v>6412</x:v>
      </x:c>
      <x:c r="I764" s="17" t="str">
        <x:v>Correction</x:v>
      </x:c>
      <x:c r="J764" s="27" t="n">
        <x:f>INDEX('Model Pricing'!$B$7:$B$8,MATCH(F764,'Model Pricing'!$A$7:$A$8,0))</x:f>
        <x:v>10</x:v>
      </x:c>
      <x:c r="K764" s="27" t="n">
        <x:f>INDEX('Model Pricing'!$C$7:$C$8,MATCH(F764,'Model Pricing'!$A$7:$A$8,0))</x:f>
        <x:v>30</x:v>
      </x:c>
      <x:c r="L764" s="17" t="n">
        <x:f>G764+H764</x:f>
        <x:v>53784</x:v>
      </x:c>
      <x:c r="M764" s="28" t="n">
        <x:f>G764*J764/1000000</x:f>
        <x:v>0.47372</x:v>
      </x:c>
      <x:c r="N764" s="28" t="n">
        <x:f>H764*K764/1000000</x:f>
        <x:v>0.19236</x:v>
      </x:c>
      <x:c r="O764" s="28" t="n">
        <x:f>SUM(M764:N764)</x:f>
        <x:v>0.66608</x:v>
      </x:c>
    </x:row>
    <x:row r="765" ht="23" customHeight="1">
      <x:c r="A765" s="17" t="str">
        <x:v>U00759</x:v>
      </x:c>
      <x:c r="B765" s="18" t="n">
        <x:v>46282</x:v>
      </x:c>
      <x:c r="C765" s="17" t="str">
        <x:v>W0077</x:v>
      </x:c>
      <x:c r="D765" s="17" t="str">
        <x:v>C002</x:v>
      </x:c>
      <x:c r="E765" s="17" t="str">
        <x:v>CampaignChat</x:v>
      </x:c>
      <x:c r="F765" s="17" t="str">
        <x:v>Lite</x:v>
      </x:c>
      <x:c r="G765" s="17" t="n">
        <x:v>31493</x:v>
      </x:c>
      <x:c r="H765" s="17" t="n">
        <x:v>8516</x:v>
      </x:c>
      <x:c r="I765" s="17" t="str">
        <x:v>Followup</x:v>
      </x:c>
      <x:c r="J765" s="27" t="n">
        <x:f>INDEX('Model Pricing'!$B$7:$B$8,MATCH(F765,'Model Pricing'!$A$7:$A$8,0))</x:f>
        <x:v>10</x:v>
      </x:c>
      <x:c r="K765" s="27" t="n">
        <x:f>INDEX('Model Pricing'!$C$7:$C$8,MATCH(F765,'Model Pricing'!$A$7:$A$8,0))</x:f>
        <x:v>30</x:v>
      </x:c>
      <x:c r="L765" s="17" t="n">
        <x:f>G765+H765</x:f>
        <x:v>40009</x:v>
      </x:c>
      <x:c r="M765" s="28" t="n">
        <x:f>G765*J765/1000000</x:f>
        <x:v>0.31493</x:v>
      </x:c>
      <x:c r="N765" s="28" t="n">
        <x:f>H765*K765/1000000</x:f>
        <x:v>0.25548</x:v>
      </x:c>
      <x:c r="O765" s="28" t="n">
        <x:f>SUM(M765:N765)</x:f>
        <x:v>0.57041</x:v>
      </x:c>
    </x:row>
    <x:row r="766" ht="23" customHeight="1">
      <x:c r="A766" s="17" t="str">
        <x:v>U00760</x:v>
      </x:c>
      <x:c r="B766" s="18" t="n">
        <x:v>46282</x:v>
      </x:c>
      <x:c r="C766" s="17" t="str">
        <x:v>W0077</x:v>
      </x:c>
      <x:c r="D766" s="17" t="str">
        <x:v>C002</x:v>
      </x:c>
      <x:c r="E766" s="17" t="str">
        <x:v>CampaignChat</x:v>
      </x:c>
      <x:c r="F766" s="17" t="str">
        <x:v>Lite</x:v>
      </x:c>
      <x:c r="G766" s="17" t="n">
        <x:v>29142</x:v>
      </x:c>
      <x:c r="H766" s="17" t="n">
        <x:v>7316</x:v>
      </x:c>
      <x:c r="I766" s="17" t="str">
        <x:v>Followup</x:v>
      </x:c>
      <x:c r="J766" s="27" t="n">
        <x:f>INDEX('Model Pricing'!$B$7:$B$8,MATCH(F766,'Model Pricing'!$A$7:$A$8,0))</x:f>
        <x:v>10</x:v>
      </x:c>
      <x:c r="K766" s="27" t="n">
        <x:f>INDEX('Model Pricing'!$C$7:$C$8,MATCH(F766,'Model Pricing'!$A$7:$A$8,0))</x:f>
        <x:v>30</x:v>
      </x:c>
      <x:c r="L766" s="17" t="n">
        <x:f>G766+H766</x:f>
        <x:v>36458</x:v>
      </x:c>
      <x:c r="M766" s="28" t="n">
        <x:f>G766*J766/1000000</x:f>
        <x:v>0.29142</x:v>
      </x:c>
      <x:c r="N766" s="28" t="n">
        <x:f>H766*K766/1000000</x:f>
        <x:v>0.21948</x:v>
      </x:c>
      <x:c r="O766" s="28" t="n">
        <x:f>SUM(M766:N766)</x:f>
        <x:v>0.5109</x:v>
      </x:c>
    </x:row>
    <x:row r="767" ht="23" customHeight="1">
      <x:c r="A767" s="17" t="str">
        <x:v>U00761</x:v>
      </x:c>
      <x:c r="B767" s="18" t="n">
        <x:v>46282</x:v>
      </x:c>
      <x:c r="C767" s="17" t="str">
        <x:v>W0077</x:v>
      </x:c>
      <x:c r="D767" s="17" t="str">
        <x:v>C002</x:v>
      </x:c>
      <x:c r="E767" s="17" t="str">
        <x:v>CampaignChat</x:v>
      </x:c>
      <x:c r="F767" s="17" t="str">
        <x:v>Lite</x:v>
      </x:c>
      <x:c r="G767" s="17" t="n">
        <x:v>41730</x:v>
      </x:c>
      <x:c r="H767" s="17" t="n">
        <x:v>3739</x:v>
      </x:c>
      <x:c r="I767" s="17" t="str">
        <x:v>Followup</x:v>
      </x:c>
      <x:c r="J767" s="27" t="n">
        <x:f>INDEX('Model Pricing'!$B$7:$B$8,MATCH(F767,'Model Pricing'!$A$7:$A$8,0))</x:f>
        <x:v>10</x:v>
      </x:c>
      <x:c r="K767" s="27" t="n">
        <x:f>INDEX('Model Pricing'!$C$7:$C$8,MATCH(F767,'Model Pricing'!$A$7:$A$8,0))</x:f>
        <x:v>30</x:v>
      </x:c>
      <x:c r="L767" s="17" t="n">
        <x:f>G767+H767</x:f>
        <x:v>45469</x:v>
      </x:c>
      <x:c r="M767" s="28" t="n">
        <x:f>G767*J767/1000000</x:f>
        <x:v>0.4173</x:v>
      </x:c>
      <x:c r="N767" s="28" t="n">
        <x:f>H767*K767/1000000</x:f>
        <x:v>0.11217</x:v>
      </x:c>
      <x:c r="O767" s="28" t="n">
        <x:f>SUM(M767:N767)</x:f>
        <x:v>0.52947</x:v>
      </x:c>
    </x:row>
    <x:row r="768" ht="23" customHeight="1">
      <x:c r="A768" s="17" t="str">
        <x:v>U00762</x:v>
      </x:c>
      <x:c r="B768" s="18" t="n">
        <x:v>46282</x:v>
      </x:c>
      <x:c r="C768" s="17" t="str">
        <x:v>W0077</x:v>
      </x:c>
      <x:c r="D768" s="17" t="str">
        <x:v>C002</x:v>
      </x:c>
      <x:c r="E768" s="17" t="str">
        <x:v>CampaignChat</x:v>
      </x:c>
      <x:c r="F768" s="17" t="str">
        <x:v>Lite</x:v>
      </x:c>
      <x:c r="G768" s="17" t="n">
        <x:v>33949</x:v>
      </x:c>
      <x:c r="H768" s="17" t="n">
        <x:v>4035</x:v>
      </x:c>
      <x:c r="I768" s="17" t="str">
        <x:v>Followup</x:v>
      </x:c>
      <x:c r="J768" s="27" t="n">
        <x:f>INDEX('Model Pricing'!$B$7:$B$8,MATCH(F768,'Model Pricing'!$A$7:$A$8,0))</x:f>
        <x:v>10</x:v>
      </x:c>
      <x:c r="K768" s="27" t="n">
        <x:f>INDEX('Model Pricing'!$C$7:$C$8,MATCH(F768,'Model Pricing'!$A$7:$A$8,0))</x:f>
        <x:v>30</x:v>
      </x:c>
      <x:c r="L768" s="17" t="n">
        <x:f>G768+H768</x:f>
        <x:v>37984</x:v>
      </x:c>
      <x:c r="M768" s="28" t="n">
        <x:f>G768*J768/1000000</x:f>
        <x:v>0.33949</x:v>
      </x:c>
      <x:c r="N768" s="28" t="n">
        <x:f>H768*K768/1000000</x:f>
        <x:v>0.12105</x:v>
      </x:c>
      <x:c r="O768" s="28" t="n">
        <x:f>SUM(M768:N768)</x:f>
        <x:v>0.46054</x:v>
      </x:c>
    </x:row>
    <x:row r="769" ht="23" customHeight="1">
      <x:c r="A769" s="17" t="str">
        <x:v>U00763</x:v>
      </x:c>
      <x:c r="B769" s="18" t="n">
        <x:v>46283</x:v>
      </x:c>
      <x:c r="C769" s="17" t="str">
        <x:v>W0077</x:v>
      </x:c>
      <x:c r="D769" s="17" t="str">
        <x:v>C002</x:v>
      </x:c>
      <x:c r="E769" s="17" t="str">
        <x:v>CampaignChat</x:v>
      </x:c>
      <x:c r="F769" s="17" t="str">
        <x:v>Lite</x:v>
      </x:c>
      <x:c r="G769" s="17" t="n">
        <x:v>45585</x:v>
      </x:c>
      <x:c r="H769" s="17" t="n">
        <x:v>8544</x:v>
      </x:c>
      <x:c r="I769" s="17" t="str">
        <x:v>Followup</x:v>
      </x:c>
      <x:c r="J769" s="27" t="n">
        <x:f>INDEX('Model Pricing'!$B$7:$B$8,MATCH(F769,'Model Pricing'!$A$7:$A$8,0))</x:f>
        <x:v>10</x:v>
      </x:c>
      <x:c r="K769" s="27" t="n">
        <x:f>INDEX('Model Pricing'!$C$7:$C$8,MATCH(F769,'Model Pricing'!$A$7:$A$8,0))</x:f>
        <x:v>30</x:v>
      </x:c>
      <x:c r="L769" s="17" t="n">
        <x:f>G769+H769</x:f>
        <x:v>54129</x:v>
      </x:c>
      <x:c r="M769" s="28" t="n">
        <x:f>G769*J769/1000000</x:f>
        <x:v>0.45585</x:v>
      </x:c>
      <x:c r="N769" s="28" t="n">
        <x:f>H769*K769/1000000</x:f>
        <x:v>0.25632</x:v>
      </x:c>
      <x:c r="O769" s="28" t="n">
        <x:f>SUM(M769:N769)</x:f>
        <x:v>0.71217</x:v>
      </x:c>
    </x:row>
    <x:row r="770" ht="23" customHeight="1">
      <x:c r="A770" s="17" t="str">
        <x:v>U00764</x:v>
      </x:c>
      <x:c r="B770" s="18" t="n">
        <x:v>46283</x:v>
      </x:c>
      <x:c r="C770" s="17" t="str">
        <x:v>W0077</x:v>
      </x:c>
      <x:c r="D770" s="17" t="str">
        <x:v>C002</x:v>
      </x:c>
      <x:c r="E770" s="17" t="str">
        <x:v>CampaignChat</x:v>
      </x:c>
      <x:c r="F770" s="17" t="str">
        <x:v>Lite</x:v>
      </x:c>
      <x:c r="G770" s="17" t="n">
        <x:v>47103</x:v>
      </x:c>
      <x:c r="H770" s="17" t="n">
        <x:v>4893</x:v>
      </x:c>
      <x:c r="I770" s="17" t="str">
        <x:v>Followup</x:v>
      </x:c>
      <x:c r="J770" s="27" t="n">
        <x:f>INDEX('Model Pricing'!$B$7:$B$8,MATCH(F770,'Model Pricing'!$A$7:$A$8,0))</x:f>
        <x:v>10</x:v>
      </x:c>
      <x:c r="K770" s="27" t="n">
        <x:f>INDEX('Model Pricing'!$C$7:$C$8,MATCH(F770,'Model Pricing'!$A$7:$A$8,0))</x:f>
        <x:v>30</x:v>
      </x:c>
      <x:c r="L770" s="17" t="n">
        <x:f>G770+H770</x:f>
        <x:v>51996</x:v>
      </x:c>
      <x:c r="M770" s="28" t="n">
        <x:f>G770*J770/1000000</x:f>
        <x:v>0.47103</x:v>
      </x:c>
      <x:c r="N770" s="28" t="n">
        <x:f>H770*K770/1000000</x:f>
        <x:v>0.14679</x:v>
      </x:c>
      <x:c r="O770" s="28" t="n">
        <x:f>SUM(M770:N770)</x:f>
        <x:v>0.61782</x:v>
      </x:c>
    </x:row>
    <x:row r="771" ht="23" customHeight="1">
      <x:c r="A771" s="17" t="str">
        <x:v>U00765</x:v>
      </x:c>
      <x:c r="B771" s="18" t="n">
        <x:v>46283</x:v>
      </x:c>
      <x:c r="C771" s="17" t="str">
        <x:v>W0077</x:v>
      </x:c>
      <x:c r="D771" s="17" t="str">
        <x:v>C002</x:v>
      </x:c>
      <x:c r="E771" s="17" t="str">
        <x:v>CampaignChat</x:v>
      </x:c>
      <x:c r="F771" s="17" t="str">
        <x:v>Lite</x:v>
      </x:c>
      <x:c r="G771" s="17" t="n">
        <x:v>41760</x:v>
      </x:c>
      <x:c r="H771" s="17" t="n">
        <x:v>4650</x:v>
      </x:c>
      <x:c r="I771" s="17" t="str">
        <x:v>Correction</x:v>
      </x:c>
      <x:c r="J771" s="27" t="n">
        <x:f>INDEX('Model Pricing'!$B$7:$B$8,MATCH(F771,'Model Pricing'!$A$7:$A$8,0))</x:f>
        <x:v>10</x:v>
      </x:c>
      <x:c r="K771" s="27" t="n">
        <x:f>INDEX('Model Pricing'!$C$7:$C$8,MATCH(F771,'Model Pricing'!$A$7:$A$8,0))</x:f>
        <x:v>30</x:v>
      </x:c>
      <x:c r="L771" s="17" t="n">
        <x:f>G771+H771</x:f>
        <x:v>46410</x:v>
      </x:c>
      <x:c r="M771" s="28" t="n">
        <x:f>G771*J771/1000000</x:f>
        <x:v>0.4176</x:v>
      </x:c>
      <x:c r="N771" s="28" t="n">
        <x:f>H771*K771/1000000</x:f>
        <x:v>0.1395</x:v>
      </x:c>
      <x:c r="O771" s="28" t="n">
        <x:f>SUM(M771:N771)</x:f>
        <x:v>0.5571</x:v>
      </x:c>
    </x:row>
    <x:row r="772" ht="23" customHeight="1">
      <x:c r="A772" s="17" t="str">
        <x:v>U00766</x:v>
      </x:c>
      <x:c r="B772" s="18" t="n">
        <x:v>46283</x:v>
      </x:c>
      <x:c r="C772" s="17" t="str">
        <x:v>W0077</x:v>
      </x:c>
      <x:c r="D772" s="17" t="str">
        <x:v>C002</x:v>
      </x:c>
      <x:c r="E772" s="17" t="str">
        <x:v>CampaignChat</x:v>
      </x:c>
      <x:c r="F772" s="17" t="str">
        <x:v>Lite</x:v>
      </x:c>
      <x:c r="G772" s="17" t="n">
        <x:v>26021</x:v>
      </x:c>
      <x:c r="H772" s="17" t="n">
        <x:v>6304</x:v>
      </x:c>
      <x:c r="I772" s="17" t="str">
        <x:v>Correction</x:v>
      </x:c>
      <x:c r="J772" s="27" t="n">
        <x:f>INDEX('Model Pricing'!$B$7:$B$8,MATCH(F772,'Model Pricing'!$A$7:$A$8,0))</x:f>
        <x:v>10</x:v>
      </x:c>
      <x:c r="K772" s="27" t="n">
        <x:f>INDEX('Model Pricing'!$C$7:$C$8,MATCH(F772,'Model Pricing'!$A$7:$A$8,0))</x:f>
        <x:v>30</x:v>
      </x:c>
      <x:c r="L772" s="17" t="n">
        <x:f>G772+H772</x:f>
        <x:v>32325</x:v>
      </x:c>
      <x:c r="M772" s="28" t="n">
        <x:f>G772*J772/1000000</x:f>
        <x:v>0.26021</x:v>
      </x:c>
      <x:c r="N772" s="28" t="n">
        <x:f>H772*K772/1000000</x:f>
        <x:v>0.18912</x:v>
      </x:c>
      <x:c r="O772" s="28" t="n">
        <x:f>SUM(M772:N772)</x:f>
        <x:v>0.44933</x:v>
      </x:c>
    </x:row>
    <x:row r="773" ht="23" customHeight="1">
      <x:c r="A773" s="17" t="str">
        <x:v>U00767</x:v>
      </x:c>
      <x:c r="B773" s="18" t="n">
        <x:v>46283</x:v>
      </x:c>
      <x:c r="C773" s="17" t="str">
        <x:v>W0077</x:v>
      </x:c>
      <x:c r="D773" s="17" t="str">
        <x:v>C002</x:v>
      </x:c>
      <x:c r="E773" s="17" t="str">
        <x:v>CampaignChat</x:v>
      </x:c>
      <x:c r="F773" s="17" t="str">
        <x:v>Lite</x:v>
      </x:c>
      <x:c r="G773" s="17" t="n">
        <x:v>48246</x:v>
      </x:c>
      <x:c r="H773" s="17" t="n">
        <x:v>6517</x:v>
      </x:c>
      <x:c r="I773" s="17" t="str">
        <x:v>Correction</x:v>
      </x:c>
      <x:c r="J773" s="27" t="n">
        <x:f>INDEX('Model Pricing'!$B$7:$B$8,MATCH(F773,'Model Pricing'!$A$7:$A$8,0))</x:f>
        <x:v>10</x:v>
      </x:c>
      <x:c r="K773" s="27" t="n">
        <x:f>INDEX('Model Pricing'!$C$7:$C$8,MATCH(F773,'Model Pricing'!$A$7:$A$8,0))</x:f>
        <x:v>30</x:v>
      </x:c>
      <x:c r="L773" s="17" t="n">
        <x:f>G773+H773</x:f>
        <x:v>54763</x:v>
      </x:c>
      <x:c r="M773" s="28" t="n">
        <x:f>G773*J773/1000000</x:f>
        <x:v>0.48246</x:v>
      </x:c>
      <x:c r="N773" s="28" t="n">
        <x:f>H773*K773/1000000</x:f>
        <x:v>0.19551</x:v>
      </x:c>
      <x:c r="O773" s="28" t="n">
        <x:f>SUM(M773:N773)</x:f>
        <x:v>0.67797</x:v>
      </x:c>
    </x:row>
    <x:row r="774" ht="23" customHeight="1">
      <x:c r="A774" s="17" t="str">
        <x:v>U00768</x:v>
      </x:c>
      <x:c r="B774" s="18" t="n">
        <x:v>46286</x:v>
      </x:c>
      <x:c r="C774" s="17" t="str">
        <x:v>W0077</x:v>
      </x:c>
      <x:c r="D774" s="17" t="str">
        <x:v>C002</x:v>
      </x:c>
      <x:c r="E774" s="17" t="str">
        <x:v>CampaignChat</x:v>
      </x:c>
      <x:c r="F774" s="17" t="str">
        <x:v>Lite</x:v>
      </x:c>
      <x:c r="G774" s="17" t="n">
        <x:v>47779</x:v>
      </x:c>
      <x:c r="H774" s="17" t="n">
        <x:v>5384</x:v>
      </x:c>
      <x:c r="I774" s="17" t="str">
        <x:v>Correction</x:v>
      </x:c>
      <x:c r="J774" s="27" t="n">
        <x:f>INDEX('Model Pricing'!$B$7:$B$8,MATCH(F774,'Model Pricing'!$A$7:$A$8,0))</x:f>
        <x:v>10</x:v>
      </x:c>
      <x:c r="K774" s="27" t="n">
        <x:f>INDEX('Model Pricing'!$C$7:$C$8,MATCH(F774,'Model Pricing'!$A$7:$A$8,0))</x:f>
        <x:v>30</x:v>
      </x:c>
      <x:c r="L774" s="17" t="n">
        <x:f>G774+H774</x:f>
        <x:v>53163</x:v>
      </x:c>
      <x:c r="M774" s="28" t="n">
        <x:f>G774*J774/1000000</x:f>
        <x:v>0.47779</x:v>
      </x:c>
      <x:c r="N774" s="28" t="n">
        <x:f>H774*K774/1000000</x:f>
        <x:v>0.16152</x:v>
      </x:c>
      <x:c r="O774" s="28" t="n">
        <x:f>SUM(M774:N774)</x:f>
        <x:v>0.63931</x:v>
      </x:c>
    </x:row>
    <x:row r="775" ht="23" customHeight="1">
      <x:c r="A775" s="17" t="str">
        <x:v>U00769</x:v>
      </x:c>
      <x:c r="B775" s="18" t="n">
        <x:v>46286</x:v>
      </x:c>
      <x:c r="C775" s="17" t="str">
        <x:v>W0077</x:v>
      </x:c>
      <x:c r="D775" s="17" t="str">
        <x:v>C002</x:v>
      </x:c>
      <x:c r="E775" s="17" t="str">
        <x:v>CampaignChat</x:v>
      </x:c>
      <x:c r="F775" s="17" t="str">
        <x:v>Lite</x:v>
      </x:c>
      <x:c r="G775" s="17" t="n">
        <x:v>46163</x:v>
      </x:c>
      <x:c r="H775" s="17" t="n">
        <x:v>3160</x:v>
      </x:c>
      <x:c r="I775" s="17" t="str">
        <x:v>Correction</x:v>
      </x:c>
      <x:c r="J775" s="27" t="n">
        <x:f>INDEX('Model Pricing'!$B$7:$B$8,MATCH(F775,'Model Pricing'!$A$7:$A$8,0))</x:f>
        <x:v>10</x:v>
      </x:c>
      <x:c r="K775" s="27" t="n">
        <x:f>INDEX('Model Pricing'!$C$7:$C$8,MATCH(F775,'Model Pricing'!$A$7:$A$8,0))</x:f>
        <x:v>30</x:v>
      </x:c>
      <x:c r="L775" s="17" t="n">
        <x:f>G775+H775</x:f>
        <x:v>49323</x:v>
      </x:c>
      <x:c r="M775" s="28" t="n">
        <x:f>G775*J775/1000000</x:f>
        <x:v>0.46163</x:v>
      </x:c>
      <x:c r="N775" s="28" t="n">
        <x:f>H775*K775/1000000</x:f>
        <x:v>0.0948</x:v>
      </x:c>
      <x:c r="O775" s="28" t="n">
        <x:f>SUM(M775:N775)</x:f>
        <x:v>0.55643</x:v>
      </x:c>
    </x:row>
    <x:row r="776" ht="23" customHeight="1">
      <x:c r="A776" s="17" t="str">
        <x:v>U00770</x:v>
      </x:c>
      <x:c r="B776" s="18" t="n">
        <x:v>46286</x:v>
      </x:c>
      <x:c r="C776" s="17" t="str">
        <x:v>W0077</x:v>
      </x:c>
      <x:c r="D776" s="17" t="str">
        <x:v>C002</x:v>
      </x:c>
      <x:c r="E776" s="17" t="str">
        <x:v>CampaignChat</x:v>
      </x:c>
      <x:c r="F776" s="17" t="str">
        <x:v>Lite</x:v>
      </x:c>
      <x:c r="G776" s="17" t="n">
        <x:v>43477</x:v>
      </x:c>
      <x:c r="H776" s="17" t="n">
        <x:v>6070</x:v>
      </x:c>
      <x:c r="I776" s="17" t="str">
        <x:v>Followup</x:v>
      </x:c>
      <x:c r="J776" s="27" t="n">
        <x:f>INDEX('Model Pricing'!$B$7:$B$8,MATCH(F776,'Model Pricing'!$A$7:$A$8,0))</x:f>
        <x:v>10</x:v>
      </x:c>
      <x:c r="K776" s="27" t="n">
        <x:f>INDEX('Model Pricing'!$C$7:$C$8,MATCH(F776,'Model Pricing'!$A$7:$A$8,0))</x:f>
        <x:v>30</x:v>
      </x:c>
      <x:c r="L776" s="17" t="n">
        <x:f>G776+H776</x:f>
        <x:v>49547</x:v>
      </x:c>
      <x:c r="M776" s="28" t="n">
        <x:f>G776*J776/1000000</x:f>
        <x:v>0.43477</x:v>
      </x:c>
      <x:c r="N776" s="28" t="n">
        <x:f>H776*K776/1000000</x:f>
        <x:v>0.1821</x:v>
      </x:c>
      <x:c r="O776" s="28" t="n">
        <x:f>SUM(M776:N776)</x:f>
        <x:v>0.61687</x:v>
      </x:c>
    </x:row>
    <x:row r="777" ht="23" customHeight="1">
      <x:c r="A777" s="17" t="str">
        <x:v>U00771</x:v>
      </x:c>
      <x:c r="B777" s="18" t="n">
        <x:v>46286</x:v>
      </x:c>
      <x:c r="C777" s="17" t="str">
        <x:v>W0077</x:v>
      </x:c>
      <x:c r="D777" s="17" t="str">
        <x:v>C002</x:v>
      </x:c>
      <x:c r="E777" s="17" t="str">
        <x:v>CampaignChat</x:v>
      </x:c>
      <x:c r="F777" s="17" t="str">
        <x:v>Lite</x:v>
      </x:c>
      <x:c r="G777" s="17" t="n">
        <x:v>17785</x:v>
      </x:c>
      <x:c r="H777" s="17" t="n">
        <x:v>2862</x:v>
      </x:c>
      <x:c r="I777" s="17" t="str">
        <x:v>Followup</x:v>
      </x:c>
      <x:c r="J777" s="27" t="n">
        <x:f>INDEX('Model Pricing'!$B$7:$B$8,MATCH(F777,'Model Pricing'!$A$7:$A$8,0))</x:f>
        <x:v>10</x:v>
      </x:c>
      <x:c r="K777" s="27" t="n">
        <x:f>INDEX('Model Pricing'!$C$7:$C$8,MATCH(F777,'Model Pricing'!$A$7:$A$8,0))</x:f>
        <x:v>30</x:v>
      </x:c>
      <x:c r="L777" s="17" t="n">
        <x:f>G777+H777</x:f>
        <x:v>20647</x:v>
      </x:c>
      <x:c r="M777" s="28" t="n">
        <x:f>G777*J777/1000000</x:f>
        <x:v>0.17785</x:v>
      </x:c>
      <x:c r="N777" s="28" t="n">
        <x:f>H777*K777/1000000</x:f>
        <x:v>0.08586</x:v>
      </x:c>
      <x:c r="O777" s="28" t="n">
        <x:f>SUM(M777:N777)</x:f>
        <x:v>0.26371</x:v>
      </x:c>
    </x:row>
    <x:row r="778" ht="23" customHeight="1">
      <x:c r="A778" s="17" t="str">
        <x:v>U00772</x:v>
      </x:c>
      <x:c r="B778" s="18" t="n">
        <x:v>46286</x:v>
      </x:c>
      <x:c r="C778" s="17" t="str">
        <x:v>W0077</x:v>
      </x:c>
      <x:c r="D778" s="17" t="str">
        <x:v>C002</x:v>
      </x:c>
      <x:c r="E778" s="17" t="str">
        <x:v>CampaignChat</x:v>
      </x:c>
      <x:c r="F778" s="17" t="str">
        <x:v>Lite</x:v>
      </x:c>
      <x:c r="G778" s="17" t="n">
        <x:v>40243</x:v>
      </x:c>
      <x:c r="H778" s="17" t="n">
        <x:v>9179</x:v>
      </x:c>
      <x:c r="I778" s="17" t="str">
        <x:v>Followup</x:v>
      </x:c>
      <x:c r="J778" s="27" t="n">
        <x:f>INDEX('Model Pricing'!$B$7:$B$8,MATCH(F778,'Model Pricing'!$A$7:$A$8,0))</x:f>
        <x:v>10</x:v>
      </x:c>
      <x:c r="K778" s="27" t="n">
        <x:f>INDEX('Model Pricing'!$C$7:$C$8,MATCH(F778,'Model Pricing'!$A$7:$A$8,0))</x:f>
        <x:v>30</x:v>
      </x:c>
      <x:c r="L778" s="17" t="n">
        <x:f>G778+H778</x:f>
        <x:v>49422</x:v>
      </x:c>
      <x:c r="M778" s="28" t="n">
        <x:f>G778*J778/1000000</x:f>
        <x:v>0.40243</x:v>
      </x:c>
      <x:c r="N778" s="28" t="n">
        <x:f>H778*K778/1000000</x:f>
        <x:v>0.27537</x:v>
      </x:c>
      <x:c r="O778" s="28" t="n">
        <x:f>SUM(M778:N778)</x:f>
        <x:v>0.6778</x:v>
      </x:c>
    </x:row>
    <x:row r="779" ht="23" customHeight="1">
      <x:c r="A779" s="17" t="str">
        <x:v>U00773</x:v>
      </x:c>
      <x:c r="B779" s="18" t="n">
        <x:v>46290</x:v>
      </x:c>
      <x:c r="C779" s="17" t="str">
        <x:v>W0078</x:v>
      </x:c>
      <x:c r="D779" s="17" t="str">
        <x:v>C002</x:v>
      </x:c>
      <x:c r="E779" s="17" t="str">
        <x:v>CampaignChat</x:v>
      </x:c>
      <x:c r="F779" s="17" t="str">
        <x:v>Lite</x:v>
      </x:c>
      <x:c r="G779" s="17" t="n">
        <x:v>20452</x:v>
      </x:c>
      <x:c r="H779" s="17" t="n">
        <x:v>10124</x:v>
      </x:c>
      <x:c r="I779" s="17" t="str">
        <x:v>First attempt</x:v>
      </x:c>
      <x:c r="J779" s="27" t="n">
        <x:f>INDEX('Model Pricing'!$B$7:$B$8,MATCH(F779,'Model Pricing'!$A$7:$A$8,0))</x:f>
        <x:v>10</x:v>
      </x:c>
      <x:c r="K779" s="27" t="n">
        <x:f>INDEX('Model Pricing'!$C$7:$C$8,MATCH(F779,'Model Pricing'!$A$7:$A$8,0))</x:f>
        <x:v>30</x:v>
      </x:c>
      <x:c r="L779" s="17" t="n">
        <x:f>G779+H779</x:f>
        <x:v>30576</x:v>
      </x:c>
      <x:c r="M779" s="28" t="n">
        <x:f>G779*J779/1000000</x:f>
        <x:v>0.20452</x:v>
      </x:c>
      <x:c r="N779" s="28" t="n">
        <x:f>H779*K779/1000000</x:f>
        <x:v>0.30372</x:v>
      </x:c>
      <x:c r="O779" s="28" t="n">
        <x:f>SUM(M779:N779)</x:f>
        <x:v>0.50824</x:v>
      </x:c>
    </x:row>
    <x:row r="780" ht="23" customHeight="1">
      <x:c r="A780" s="17" t="str">
        <x:v>U00774</x:v>
      </x:c>
      <x:c r="B780" s="18" t="n">
        <x:v>46290</x:v>
      </x:c>
      <x:c r="C780" s="17" t="str">
        <x:v>W0078</x:v>
      </x:c>
      <x:c r="D780" s="17" t="str">
        <x:v>C002</x:v>
      </x:c>
      <x:c r="E780" s="17" t="str">
        <x:v>CampaignChat</x:v>
      </x:c>
      <x:c r="F780" s="17" t="str">
        <x:v>Lite</x:v>
      </x:c>
      <x:c r="G780" s="17" t="n">
        <x:v>45195</x:v>
      </x:c>
      <x:c r="H780" s="17" t="n">
        <x:v>4876</x:v>
      </x:c>
      <x:c r="I780" s="17" t="str">
        <x:v>Followup</x:v>
      </x:c>
      <x:c r="J780" s="27" t="n">
        <x:f>INDEX('Model Pricing'!$B$7:$B$8,MATCH(F780,'Model Pricing'!$A$7:$A$8,0))</x:f>
        <x:v>10</x:v>
      </x:c>
      <x:c r="K780" s="27" t="n">
        <x:f>INDEX('Model Pricing'!$C$7:$C$8,MATCH(F780,'Model Pricing'!$A$7:$A$8,0))</x:f>
        <x:v>30</x:v>
      </x:c>
      <x:c r="L780" s="17" t="n">
        <x:f>G780+H780</x:f>
        <x:v>50071</x:v>
      </x:c>
      <x:c r="M780" s="28" t="n">
        <x:f>G780*J780/1000000</x:f>
        <x:v>0.45195</x:v>
      </x:c>
      <x:c r="N780" s="28" t="n">
        <x:f>H780*K780/1000000</x:f>
        <x:v>0.14628</x:v>
      </x:c>
      <x:c r="O780" s="28" t="n">
        <x:f>SUM(M780:N780)</x:f>
        <x:v>0.59823</x:v>
      </x:c>
    </x:row>
    <x:row r="781" ht="23" customHeight="1">
      <x:c r="A781" s="17" t="str">
        <x:v>U00775</x:v>
      </x:c>
      <x:c r="B781" s="18" t="n">
        <x:v>46290</x:v>
      </x:c>
      <x:c r="C781" s="17" t="str">
        <x:v>W0078</x:v>
      </x:c>
      <x:c r="D781" s="17" t="str">
        <x:v>C002</x:v>
      </x:c>
      <x:c r="E781" s="17" t="str">
        <x:v>CampaignChat</x:v>
      </x:c>
      <x:c r="F781" s="17" t="str">
        <x:v>Lite</x:v>
      </x:c>
      <x:c r="G781" s="17" t="n">
        <x:v>29701</x:v>
      </x:c>
      <x:c r="H781" s="17" t="n">
        <x:v>5404</x:v>
      </x:c>
      <x:c r="I781" s="17" t="str">
        <x:v>Followup</x:v>
      </x:c>
      <x:c r="J781" s="27" t="n">
        <x:f>INDEX('Model Pricing'!$B$7:$B$8,MATCH(F781,'Model Pricing'!$A$7:$A$8,0))</x:f>
        <x:v>10</x:v>
      </x:c>
      <x:c r="K781" s="27" t="n">
        <x:f>INDEX('Model Pricing'!$C$7:$C$8,MATCH(F781,'Model Pricing'!$A$7:$A$8,0))</x:f>
        <x:v>30</x:v>
      </x:c>
      <x:c r="L781" s="17" t="n">
        <x:f>G781+H781</x:f>
        <x:v>35105</x:v>
      </x:c>
      <x:c r="M781" s="28" t="n">
        <x:f>G781*J781/1000000</x:f>
        <x:v>0.29701</x:v>
      </x:c>
      <x:c r="N781" s="28" t="n">
        <x:f>H781*K781/1000000</x:f>
        <x:v>0.16212</x:v>
      </x:c>
      <x:c r="O781" s="28" t="n">
        <x:f>SUM(M781:N781)</x:f>
        <x:v>0.45913</x:v>
      </x:c>
    </x:row>
    <x:row r="782" ht="23" customHeight="1">
      <x:c r="A782" s="17" t="str">
        <x:v>U00776</x:v>
      </x:c>
      <x:c r="B782" s="18" t="n">
        <x:v>46290</x:v>
      </x:c>
      <x:c r="C782" s="17" t="str">
        <x:v>W0078</x:v>
      </x:c>
      <x:c r="D782" s="17" t="str">
        <x:v>C002</x:v>
      </x:c>
      <x:c r="E782" s="17" t="str">
        <x:v>CampaignChat</x:v>
      </x:c>
      <x:c r="F782" s="17" t="str">
        <x:v>Lite</x:v>
      </x:c>
      <x:c r="G782" s="17" t="n">
        <x:v>15530</x:v>
      </x:c>
      <x:c r="H782" s="17" t="n">
        <x:v>8630</x:v>
      </x:c>
      <x:c r="I782" s="17" t="str">
        <x:v>Correction</x:v>
      </x:c>
      <x:c r="J782" s="27" t="n">
        <x:f>INDEX('Model Pricing'!$B$7:$B$8,MATCH(F782,'Model Pricing'!$A$7:$A$8,0))</x:f>
        <x:v>10</x:v>
      </x:c>
      <x:c r="K782" s="27" t="n">
        <x:f>INDEX('Model Pricing'!$C$7:$C$8,MATCH(F782,'Model Pricing'!$A$7:$A$8,0))</x:f>
        <x:v>30</x:v>
      </x:c>
      <x:c r="L782" s="17" t="n">
        <x:f>G782+H782</x:f>
        <x:v>24160</x:v>
      </x:c>
      <x:c r="M782" s="28" t="n">
        <x:f>G782*J782/1000000</x:f>
        <x:v>0.1553</x:v>
      </x:c>
      <x:c r="N782" s="28" t="n">
        <x:f>H782*K782/1000000</x:f>
        <x:v>0.2589</x:v>
      </x:c>
      <x:c r="O782" s="28" t="n">
        <x:f>SUM(M782:N782)</x:f>
        <x:v>0.4142</x:v>
      </x:c>
    </x:row>
    <x:row r="783" ht="23" customHeight="1">
      <x:c r="A783" s="17" t="str">
        <x:v>U00777</x:v>
      </x:c>
      <x:c r="B783" s="18" t="n">
        <x:v>46290</x:v>
      </x:c>
      <x:c r="C783" s="17" t="str">
        <x:v>W0078</x:v>
      </x:c>
      <x:c r="D783" s="17" t="str">
        <x:v>C002</x:v>
      </x:c>
      <x:c r="E783" s="17" t="str">
        <x:v>CampaignChat</x:v>
      </x:c>
      <x:c r="F783" s="17" t="str">
        <x:v>Lite</x:v>
      </x:c>
      <x:c r="G783" s="17" t="n">
        <x:v>30884</x:v>
      </x:c>
      <x:c r="H783" s="17" t="n">
        <x:v>8886</x:v>
      </x:c>
      <x:c r="I783" s="17" t="str">
        <x:v>Correction</x:v>
      </x:c>
      <x:c r="J783" s="27" t="n">
        <x:f>INDEX('Model Pricing'!$B$7:$B$8,MATCH(F783,'Model Pricing'!$A$7:$A$8,0))</x:f>
        <x:v>10</x:v>
      </x:c>
      <x:c r="K783" s="27" t="n">
        <x:f>INDEX('Model Pricing'!$C$7:$C$8,MATCH(F783,'Model Pricing'!$A$7:$A$8,0))</x:f>
        <x:v>30</x:v>
      </x:c>
      <x:c r="L783" s="17" t="n">
        <x:f>G783+H783</x:f>
        <x:v>39770</x:v>
      </x:c>
      <x:c r="M783" s="28" t="n">
        <x:f>G783*J783/1000000</x:f>
        <x:v>0.30884</x:v>
      </x:c>
      <x:c r="N783" s="28" t="n">
        <x:f>H783*K783/1000000</x:f>
        <x:v>0.26658</x:v>
      </x:c>
      <x:c r="O783" s="28" t="n">
        <x:f>SUM(M783:N783)</x:f>
        <x:v>0.57542</x:v>
      </x:c>
    </x:row>
    <x:row r="784" ht="23" customHeight="1">
      <x:c r="A784" s="17" t="str">
        <x:v>U00778</x:v>
      </x:c>
      <x:c r="B784" s="18" t="n">
        <x:v>46293</x:v>
      </x:c>
      <x:c r="C784" s="17" t="str">
        <x:v>W0078</x:v>
      </x:c>
      <x:c r="D784" s="17" t="str">
        <x:v>C002</x:v>
      </x:c>
      <x:c r="E784" s="17" t="str">
        <x:v>CampaignChat</x:v>
      </x:c>
      <x:c r="F784" s="17" t="str">
        <x:v>Lite</x:v>
      </x:c>
      <x:c r="G784" s="17" t="n">
        <x:v>38329</x:v>
      </x:c>
      <x:c r="H784" s="17" t="n">
        <x:v>9880</x:v>
      </x:c>
      <x:c r="I784" s="17" t="str">
        <x:v>Followup</x:v>
      </x:c>
      <x:c r="J784" s="27" t="n">
        <x:f>INDEX('Model Pricing'!$B$7:$B$8,MATCH(F784,'Model Pricing'!$A$7:$A$8,0))</x:f>
        <x:v>10</x:v>
      </x:c>
      <x:c r="K784" s="27" t="n">
        <x:f>INDEX('Model Pricing'!$C$7:$C$8,MATCH(F784,'Model Pricing'!$A$7:$A$8,0))</x:f>
        <x:v>30</x:v>
      </x:c>
      <x:c r="L784" s="17" t="n">
        <x:f>G784+H784</x:f>
        <x:v>48209</x:v>
      </x:c>
      <x:c r="M784" s="28" t="n">
        <x:f>G784*J784/1000000</x:f>
        <x:v>0.38329</x:v>
      </x:c>
      <x:c r="N784" s="28" t="n">
        <x:f>H784*K784/1000000</x:f>
        <x:v>0.2964</x:v>
      </x:c>
      <x:c r="O784" s="28" t="n">
        <x:f>SUM(M784:N784)</x:f>
        <x:v>0.67969</x:v>
      </x:c>
    </x:row>
    <x:row r="785" ht="23" customHeight="1">
      <x:c r="A785" s="17" t="str">
        <x:v>U00779</x:v>
      </x:c>
      <x:c r="B785" s="18" t="n">
        <x:v>46293</x:v>
      </x:c>
      <x:c r="C785" s="17" t="str">
        <x:v>W0078</x:v>
      </x:c>
      <x:c r="D785" s="17" t="str">
        <x:v>C002</x:v>
      </x:c>
      <x:c r="E785" s="17" t="str">
        <x:v>CampaignChat</x:v>
      </x:c>
      <x:c r="F785" s="17" t="str">
        <x:v>Lite</x:v>
      </x:c>
      <x:c r="G785" s="17" t="n">
        <x:v>19466</x:v>
      </x:c>
      <x:c r="H785" s="17" t="n">
        <x:v>3416</x:v>
      </x:c>
      <x:c r="I785" s="17" t="str">
        <x:v>Correction</x:v>
      </x:c>
      <x:c r="J785" s="27" t="n">
        <x:f>INDEX('Model Pricing'!$B$7:$B$8,MATCH(F785,'Model Pricing'!$A$7:$A$8,0))</x:f>
        <x:v>10</x:v>
      </x:c>
      <x:c r="K785" s="27" t="n">
        <x:f>INDEX('Model Pricing'!$C$7:$C$8,MATCH(F785,'Model Pricing'!$A$7:$A$8,0))</x:f>
        <x:v>30</x:v>
      </x:c>
      <x:c r="L785" s="17" t="n">
        <x:f>G785+H785</x:f>
        <x:v>22882</x:v>
      </x:c>
      <x:c r="M785" s="28" t="n">
        <x:f>G785*J785/1000000</x:f>
        <x:v>0.19466</x:v>
      </x:c>
      <x:c r="N785" s="28" t="n">
        <x:f>H785*K785/1000000</x:f>
        <x:v>0.10248</x:v>
      </x:c>
      <x:c r="O785" s="28" t="n">
        <x:f>SUM(M785:N785)</x:f>
        <x:v>0.29714</x:v>
      </x:c>
    </x:row>
    <x:row r="786" ht="23" customHeight="1">
      <x:c r="A786" s="17" t="str">
        <x:v>U00780</x:v>
      </x:c>
      <x:c r="B786" s="18" t="n">
        <x:v>46293</x:v>
      </x:c>
      <x:c r="C786" s="17" t="str">
        <x:v>W0078</x:v>
      </x:c>
      <x:c r="D786" s="17" t="str">
        <x:v>C002</x:v>
      </x:c>
      <x:c r="E786" s="17" t="str">
        <x:v>CampaignChat</x:v>
      </x:c>
      <x:c r="F786" s="17" t="str">
        <x:v>Lite</x:v>
      </x:c>
      <x:c r="G786" s="17" t="n">
        <x:v>26620</x:v>
      </x:c>
      <x:c r="H786" s="17" t="n">
        <x:v>6667</x:v>
      </x:c>
      <x:c r="I786" s="17" t="str">
        <x:v>Followup</x:v>
      </x:c>
      <x:c r="J786" s="27" t="n">
        <x:f>INDEX('Model Pricing'!$B$7:$B$8,MATCH(F786,'Model Pricing'!$A$7:$A$8,0))</x:f>
        <x:v>10</x:v>
      </x:c>
      <x:c r="K786" s="27" t="n">
        <x:f>INDEX('Model Pricing'!$C$7:$C$8,MATCH(F786,'Model Pricing'!$A$7:$A$8,0))</x:f>
        <x:v>30</x:v>
      </x:c>
      <x:c r="L786" s="17" t="n">
        <x:f>G786+H786</x:f>
        <x:v>33287</x:v>
      </x:c>
      <x:c r="M786" s="28" t="n">
        <x:f>G786*J786/1000000</x:f>
        <x:v>0.2662</x:v>
      </x:c>
      <x:c r="N786" s="28" t="n">
        <x:f>H786*K786/1000000</x:f>
        <x:v>0.20001</x:v>
      </x:c>
      <x:c r="O786" s="28" t="n">
        <x:f>SUM(M786:N786)</x:f>
        <x:v>0.46621</x:v>
      </x:c>
    </x:row>
    <x:row r="787" ht="23" customHeight="1">
      <x:c r="A787" s="17" t="str">
        <x:v>U00781</x:v>
      </x:c>
      <x:c r="B787" s="18" t="n">
        <x:v>46293</x:v>
      </x:c>
      <x:c r="C787" s="17" t="str">
        <x:v>W0078</x:v>
      </x:c>
      <x:c r="D787" s="17" t="str">
        <x:v>C002</x:v>
      </x:c>
      <x:c r="E787" s="17" t="str">
        <x:v>CampaignChat</x:v>
      </x:c>
      <x:c r="F787" s="17" t="str">
        <x:v>Lite</x:v>
      </x:c>
      <x:c r="G787" s="17" t="n">
        <x:v>22709</x:v>
      </x:c>
      <x:c r="H787" s="17" t="n">
        <x:v>11120</x:v>
      </x:c>
      <x:c r="I787" s="17" t="str">
        <x:v>Correction</x:v>
      </x:c>
      <x:c r="J787" s="27" t="n">
        <x:f>INDEX('Model Pricing'!$B$7:$B$8,MATCH(F787,'Model Pricing'!$A$7:$A$8,0))</x:f>
        <x:v>10</x:v>
      </x:c>
      <x:c r="K787" s="27" t="n">
        <x:f>INDEX('Model Pricing'!$C$7:$C$8,MATCH(F787,'Model Pricing'!$A$7:$A$8,0))</x:f>
        <x:v>30</x:v>
      </x:c>
      <x:c r="L787" s="17" t="n">
        <x:f>G787+H787</x:f>
        <x:v>33829</x:v>
      </x:c>
      <x:c r="M787" s="28" t="n">
        <x:f>G787*J787/1000000</x:f>
        <x:v>0.22709</x:v>
      </x:c>
      <x:c r="N787" s="28" t="n">
        <x:f>H787*K787/1000000</x:f>
        <x:v>0.3336</x:v>
      </x:c>
      <x:c r="O787" s="28" t="n">
        <x:f>SUM(M787:N787)</x:f>
        <x:v>0.56069</x:v>
      </x:c>
    </x:row>
    <x:row r="788" ht="23" customHeight="1">
      <x:c r="A788" s="17" t="str">
        <x:v>U00782</x:v>
      </x:c>
      <x:c r="B788" s="18" t="n">
        <x:v>46293</x:v>
      </x:c>
      <x:c r="C788" s="17" t="str">
        <x:v>W0078</x:v>
      </x:c>
      <x:c r="D788" s="17" t="str">
        <x:v>C002</x:v>
      </x:c>
      <x:c r="E788" s="17" t="str">
        <x:v>CampaignChat</x:v>
      </x:c>
      <x:c r="F788" s="17" t="str">
        <x:v>Lite</x:v>
      </x:c>
      <x:c r="G788" s="17" t="n">
        <x:v>32132</x:v>
      </x:c>
      <x:c r="H788" s="17" t="n">
        <x:v>4939</x:v>
      </x:c>
      <x:c r="I788" s="17" t="str">
        <x:v>Correction</x:v>
      </x:c>
      <x:c r="J788" s="27" t="n">
        <x:f>INDEX('Model Pricing'!$B$7:$B$8,MATCH(F788,'Model Pricing'!$A$7:$A$8,0))</x:f>
        <x:v>10</x:v>
      </x:c>
      <x:c r="K788" s="27" t="n">
        <x:f>INDEX('Model Pricing'!$C$7:$C$8,MATCH(F788,'Model Pricing'!$A$7:$A$8,0))</x:f>
        <x:v>30</x:v>
      </x:c>
      <x:c r="L788" s="17" t="n">
        <x:f>G788+H788</x:f>
        <x:v>37071</x:v>
      </x:c>
      <x:c r="M788" s="28" t="n">
        <x:f>G788*J788/1000000</x:f>
        <x:v>0.32132</x:v>
      </x:c>
      <x:c r="N788" s="28" t="n">
        <x:f>H788*K788/1000000</x:f>
        <x:v>0.14817</x:v>
      </x:c>
      <x:c r="O788" s="28" t="n">
        <x:f>SUM(M788:N788)</x:f>
        <x:v>0.46948999999999996</x:v>
      </x:c>
    </x:row>
    <x:row r="789" ht="23" customHeight="1">
      <x:c r="A789" s="17" t="str">
        <x:v>U00783</x:v>
      </x:c>
      <x:c r="B789" s="18" t="n">
        <x:v>46294</x:v>
      </x:c>
      <x:c r="C789" s="17" t="str">
        <x:v>W0078</x:v>
      </x:c>
      <x:c r="D789" s="17" t="str">
        <x:v>C002</x:v>
      </x:c>
      <x:c r="E789" s="17" t="str">
        <x:v>CampaignChat</x:v>
      </x:c>
      <x:c r="F789" s="17" t="str">
        <x:v>Lite</x:v>
      </x:c>
      <x:c r="G789" s="17" t="n">
        <x:v>42100</x:v>
      </x:c>
      <x:c r="H789" s="17" t="n">
        <x:v>3489</x:v>
      </x:c>
      <x:c r="I789" s="17" t="str">
        <x:v>Followup</x:v>
      </x:c>
      <x:c r="J789" s="27" t="n">
        <x:f>INDEX('Model Pricing'!$B$7:$B$8,MATCH(F789,'Model Pricing'!$A$7:$A$8,0))</x:f>
        <x:v>10</x:v>
      </x:c>
      <x:c r="K789" s="27" t="n">
        <x:f>INDEX('Model Pricing'!$C$7:$C$8,MATCH(F789,'Model Pricing'!$A$7:$A$8,0))</x:f>
        <x:v>30</x:v>
      </x:c>
      <x:c r="L789" s="17" t="n">
        <x:f>G789+H789</x:f>
        <x:v>45589</x:v>
      </x:c>
      <x:c r="M789" s="28" t="n">
        <x:f>G789*J789/1000000</x:f>
        <x:v>0.421</x:v>
      </x:c>
      <x:c r="N789" s="28" t="n">
        <x:f>H789*K789/1000000</x:f>
        <x:v>0.10467</x:v>
      </x:c>
      <x:c r="O789" s="28" t="n">
        <x:f>SUM(M789:N789)</x:f>
        <x:v>0.52567</x:v>
      </x:c>
    </x:row>
    <x:row r="790" ht="23" customHeight="1">
      <x:c r="A790" s="17" t="str">
        <x:v>U00784</x:v>
      </x:c>
      <x:c r="B790" s="18" t="n">
        <x:v>46294</x:v>
      </x:c>
      <x:c r="C790" s="17" t="str">
        <x:v>W0078</x:v>
      </x:c>
      <x:c r="D790" s="17" t="str">
        <x:v>C002</x:v>
      </x:c>
      <x:c r="E790" s="17" t="str">
        <x:v>CampaignChat</x:v>
      </x:c>
      <x:c r="F790" s="17" t="str">
        <x:v>Lite</x:v>
      </x:c>
      <x:c r="G790" s="17" t="n">
        <x:v>36853</x:v>
      </x:c>
      <x:c r="H790" s="17" t="n">
        <x:v>4712</x:v>
      </x:c>
      <x:c r="I790" s="17" t="str">
        <x:v>Correction</x:v>
      </x:c>
      <x:c r="J790" s="27" t="n">
        <x:f>INDEX('Model Pricing'!$B$7:$B$8,MATCH(F790,'Model Pricing'!$A$7:$A$8,0))</x:f>
        <x:v>10</x:v>
      </x:c>
      <x:c r="K790" s="27" t="n">
        <x:f>INDEX('Model Pricing'!$C$7:$C$8,MATCH(F790,'Model Pricing'!$A$7:$A$8,0))</x:f>
        <x:v>30</x:v>
      </x:c>
      <x:c r="L790" s="17" t="n">
        <x:f>G790+H790</x:f>
        <x:v>41565</x:v>
      </x:c>
      <x:c r="M790" s="28" t="n">
        <x:f>G790*J790/1000000</x:f>
        <x:v>0.36853</x:v>
      </x:c>
      <x:c r="N790" s="28" t="n">
        <x:f>H790*K790/1000000</x:f>
        <x:v>0.14136</x:v>
      </x:c>
      <x:c r="O790" s="28" t="n">
        <x:f>SUM(M790:N790)</x:f>
        <x:v>0.5098900000000001</x:v>
      </x:c>
    </x:row>
    <x:row r="791" ht="23" customHeight="1">
      <x:c r="A791" s="17" t="str">
        <x:v>U00785</x:v>
      </x:c>
      <x:c r="B791" s="18" t="n">
        <x:v>46294</x:v>
      </x:c>
      <x:c r="C791" s="17" t="str">
        <x:v>W0078</x:v>
      </x:c>
      <x:c r="D791" s="17" t="str">
        <x:v>C002</x:v>
      </x:c>
      <x:c r="E791" s="17" t="str">
        <x:v>CampaignChat</x:v>
      </x:c>
      <x:c r="F791" s="17" t="str">
        <x:v>Lite</x:v>
      </x:c>
      <x:c r="G791" s="17" t="n">
        <x:v>28325</x:v>
      </x:c>
      <x:c r="H791" s="17" t="n">
        <x:v>6078</x:v>
      </x:c>
      <x:c r="I791" s="17" t="str">
        <x:v>Followup</x:v>
      </x:c>
      <x:c r="J791" s="27" t="n">
        <x:f>INDEX('Model Pricing'!$B$7:$B$8,MATCH(F791,'Model Pricing'!$A$7:$A$8,0))</x:f>
        <x:v>10</x:v>
      </x:c>
      <x:c r="K791" s="27" t="n">
        <x:f>INDEX('Model Pricing'!$C$7:$C$8,MATCH(F791,'Model Pricing'!$A$7:$A$8,0))</x:f>
        <x:v>30</x:v>
      </x:c>
      <x:c r="L791" s="17" t="n">
        <x:f>G791+H791</x:f>
        <x:v>34403</x:v>
      </x:c>
      <x:c r="M791" s="28" t="n">
        <x:f>G791*J791/1000000</x:f>
        <x:v>0.28325</x:v>
      </x:c>
      <x:c r="N791" s="28" t="n">
        <x:f>H791*K791/1000000</x:f>
        <x:v>0.18234</x:v>
      </x:c>
      <x:c r="O791" s="28" t="n">
        <x:f>SUM(M791:N791)</x:f>
        <x:v>0.46559</x:v>
      </x:c>
    </x:row>
    <x:row r="792" ht="23" customHeight="1">
      <x:c r="A792" s="17" t="str">
        <x:v>U00786</x:v>
      </x:c>
      <x:c r="B792" s="18" t="n">
        <x:v>46294</x:v>
      </x:c>
      <x:c r="C792" s="17" t="str">
        <x:v>W0078</x:v>
      </x:c>
      <x:c r="D792" s="17" t="str">
        <x:v>C002</x:v>
      </x:c>
      <x:c r="E792" s="17" t="str">
        <x:v>CampaignChat</x:v>
      </x:c>
      <x:c r="F792" s="17" t="str">
        <x:v>Lite</x:v>
      </x:c>
      <x:c r="G792" s="17" t="n">
        <x:v>16067</x:v>
      </x:c>
      <x:c r="H792" s="17" t="n">
        <x:v>5505</x:v>
      </x:c>
      <x:c r="I792" s="17" t="str">
        <x:v>Followup</x:v>
      </x:c>
      <x:c r="J792" s="27" t="n">
        <x:f>INDEX('Model Pricing'!$B$7:$B$8,MATCH(F792,'Model Pricing'!$A$7:$A$8,0))</x:f>
        <x:v>10</x:v>
      </x:c>
      <x:c r="K792" s="27" t="n">
        <x:f>INDEX('Model Pricing'!$C$7:$C$8,MATCH(F792,'Model Pricing'!$A$7:$A$8,0))</x:f>
        <x:v>30</x:v>
      </x:c>
      <x:c r="L792" s="17" t="n">
        <x:f>G792+H792</x:f>
        <x:v>21572</x:v>
      </x:c>
      <x:c r="M792" s="28" t="n">
        <x:f>G792*J792/1000000</x:f>
        <x:v>0.16067</x:v>
      </x:c>
      <x:c r="N792" s="28" t="n">
        <x:f>H792*K792/1000000</x:f>
        <x:v>0.16515</x:v>
      </x:c>
      <x:c r="O792" s="28" t="n">
        <x:f>SUM(M792:N792)</x:f>
        <x:v>0.32582</x:v>
      </x:c>
    </x:row>
    <x:row r="793" ht="23" customHeight="1">
      <x:c r="A793" s="17" t="str">
        <x:v>U00787</x:v>
      </x:c>
      <x:c r="B793" s="18" t="n">
        <x:v>46294</x:v>
      </x:c>
      <x:c r="C793" s="17" t="str">
        <x:v>W0078</x:v>
      </x:c>
      <x:c r="D793" s="17" t="str">
        <x:v>C002</x:v>
      </x:c>
      <x:c r="E793" s="17" t="str">
        <x:v>CampaignChat</x:v>
      </x:c>
      <x:c r="F793" s="17" t="str">
        <x:v>Lite</x:v>
      </x:c>
      <x:c r="G793" s="17" t="n">
        <x:v>22292</x:v>
      </x:c>
      <x:c r="H793" s="17" t="n">
        <x:v>6376</x:v>
      </x:c>
      <x:c r="I793" s="17" t="str">
        <x:v>Followup</x:v>
      </x:c>
      <x:c r="J793" s="27" t="n">
        <x:f>INDEX('Model Pricing'!$B$7:$B$8,MATCH(F793,'Model Pricing'!$A$7:$A$8,0))</x:f>
        <x:v>10</x:v>
      </x:c>
      <x:c r="K793" s="27" t="n">
        <x:f>INDEX('Model Pricing'!$C$7:$C$8,MATCH(F793,'Model Pricing'!$A$7:$A$8,0))</x:f>
        <x:v>30</x:v>
      </x:c>
      <x:c r="L793" s="17" t="n">
        <x:f>G793+H793</x:f>
        <x:v>28668</x:v>
      </x:c>
      <x:c r="M793" s="28" t="n">
        <x:f>G793*J793/1000000</x:f>
        <x:v>0.22292</x:v>
      </x:c>
      <x:c r="N793" s="28" t="n">
        <x:f>H793*K793/1000000</x:f>
        <x:v>0.19128</x:v>
      </x:c>
      <x:c r="O793" s="28" t="n">
        <x:f>SUM(M793:N793)</x:f>
        <x:v>0.4142</x:v>
      </x:c>
    </x:row>
    <x:row r="794" ht="23" customHeight="1">
      <x:c r="A794" s="17" t="str">
        <x:v>U00788</x:v>
      </x:c>
      <x:c r="B794" s="18" t="n">
        <x:v>46295</x:v>
      </x:c>
      <x:c r="C794" s="17" t="str">
        <x:v>W0078</x:v>
      </x:c>
      <x:c r="D794" s="17" t="str">
        <x:v>C002</x:v>
      </x:c>
      <x:c r="E794" s="17" t="str">
        <x:v>CampaignChat</x:v>
      </x:c>
      <x:c r="F794" s="17" t="str">
        <x:v>Lite</x:v>
      </x:c>
      <x:c r="G794" s="17" t="n">
        <x:v>25256</x:v>
      </x:c>
      <x:c r="H794" s="17" t="n">
        <x:v>4158</x:v>
      </x:c>
      <x:c r="I794" s="17" t="str">
        <x:v>Followup</x:v>
      </x:c>
      <x:c r="J794" s="27" t="n">
        <x:f>INDEX('Model Pricing'!$B$7:$B$8,MATCH(F794,'Model Pricing'!$A$7:$A$8,0))</x:f>
        <x:v>10</x:v>
      </x:c>
      <x:c r="K794" s="27" t="n">
        <x:f>INDEX('Model Pricing'!$C$7:$C$8,MATCH(F794,'Model Pricing'!$A$7:$A$8,0))</x:f>
        <x:v>30</x:v>
      </x:c>
      <x:c r="L794" s="17" t="n">
        <x:f>G794+H794</x:f>
        <x:v>29414</x:v>
      </x:c>
      <x:c r="M794" s="28" t="n">
        <x:f>G794*J794/1000000</x:f>
        <x:v>0.25256</x:v>
      </x:c>
      <x:c r="N794" s="28" t="n">
        <x:f>H794*K794/1000000</x:f>
        <x:v>0.12474</x:v>
      </x:c>
      <x:c r="O794" s="28" t="n">
        <x:f>SUM(M794:N794)</x:f>
        <x:v>0.3773</x:v>
      </x:c>
    </x:row>
    <x:row r="795" ht="23" customHeight="1">
      <x:c r="A795" s="17" t="str">
        <x:v>U00789</x:v>
      </x:c>
      <x:c r="B795" s="18" t="n">
        <x:v>46295</x:v>
      </x:c>
      <x:c r="C795" s="17" t="str">
        <x:v>W0078</x:v>
      </x:c>
      <x:c r="D795" s="17" t="str">
        <x:v>C002</x:v>
      </x:c>
      <x:c r="E795" s="17" t="str">
        <x:v>CampaignChat</x:v>
      </x:c>
      <x:c r="F795" s="17" t="str">
        <x:v>Lite</x:v>
      </x:c>
      <x:c r="G795" s="17" t="n">
        <x:v>29905</x:v>
      </x:c>
      <x:c r="H795" s="17" t="n">
        <x:v>4202</x:v>
      </x:c>
      <x:c r="I795" s="17" t="str">
        <x:v>Followup</x:v>
      </x:c>
      <x:c r="J795" s="27" t="n">
        <x:f>INDEX('Model Pricing'!$B$7:$B$8,MATCH(F795,'Model Pricing'!$A$7:$A$8,0))</x:f>
        <x:v>10</x:v>
      </x:c>
      <x:c r="K795" s="27" t="n">
        <x:f>INDEX('Model Pricing'!$C$7:$C$8,MATCH(F795,'Model Pricing'!$A$7:$A$8,0))</x:f>
        <x:v>30</x:v>
      </x:c>
      <x:c r="L795" s="17" t="n">
        <x:f>G795+H795</x:f>
        <x:v>34107</x:v>
      </x:c>
      <x:c r="M795" s="28" t="n">
        <x:f>G795*J795/1000000</x:f>
        <x:v>0.29905</x:v>
      </x:c>
      <x:c r="N795" s="28" t="n">
        <x:f>H795*K795/1000000</x:f>
        <x:v>0.12606</x:v>
      </x:c>
      <x:c r="O795" s="28" t="n">
        <x:f>SUM(M795:N795)</x:f>
        <x:v>0.42511</x:v>
      </x:c>
    </x:row>
    <x:row r="796" ht="23" customHeight="1">
      <x:c r="A796" s="17" t="str">
        <x:v>U00790</x:v>
      </x:c>
      <x:c r="B796" s="18" t="n">
        <x:v>46295</x:v>
      </x:c>
      <x:c r="C796" s="17" t="str">
        <x:v>W0078</x:v>
      </x:c>
      <x:c r="D796" s="17" t="str">
        <x:v>C002</x:v>
      </x:c>
      <x:c r="E796" s="17" t="str">
        <x:v>CampaignChat</x:v>
      </x:c>
      <x:c r="F796" s="17" t="str">
        <x:v>Lite</x:v>
      </x:c>
      <x:c r="G796" s="17" t="n">
        <x:v>44132</x:v>
      </x:c>
      <x:c r="H796" s="17" t="n">
        <x:v>3923</x:v>
      </x:c>
      <x:c r="I796" s="17" t="str">
        <x:v>Followup</x:v>
      </x:c>
      <x:c r="J796" s="27" t="n">
        <x:f>INDEX('Model Pricing'!$B$7:$B$8,MATCH(F796,'Model Pricing'!$A$7:$A$8,0))</x:f>
        <x:v>10</x:v>
      </x:c>
      <x:c r="K796" s="27" t="n">
        <x:f>INDEX('Model Pricing'!$C$7:$C$8,MATCH(F796,'Model Pricing'!$A$7:$A$8,0))</x:f>
        <x:v>30</x:v>
      </x:c>
      <x:c r="L796" s="17" t="n">
        <x:f>G796+H796</x:f>
        <x:v>48055</x:v>
      </x:c>
      <x:c r="M796" s="28" t="n">
        <x:f>G796*J796/1000000</x:f>
        <x:v>0.44132</x:v>
      </x:c>
      <x:c r="N796" s="28" t="n">
        <x:f>H796*K796/1000000</x:f>
        <x:v>0.11769</x:v>
      </x:c>
      <x:c r="O796" s="28" t="n">
        <x:f>SUM(M796:N796)</x:f>
        <x:v>0.55901</x:v>
      </x:c>
    </x:row>
    <x:row r="797" ht="23" customHeight="1">
      <x:c r="A797" s="17" t="str">
        <x:v>U00791</x:v>
      </x:c>
      <x:c r="B797" s="18" t="n">
        <x:v>46295</x:v>
      </x:c>
      <x:c r="C797" s="17" t="str">
        <x:v>W0078</x:v>
      </x:c>
      <x:c r="D797" s="17" t="str">
        <x:v>C002</x:v>
      </x:c>
      <x:c r="E797" s="17" t="str">
        <x:v>CampaignChat</x:v>
      </x:c>
      <x:c r="F797" s="17" t="str">
        <x:v>Lite</x:v>
      </x:c>
      <x:c r="G797" s="17" t="n">
        <x:v>38289</x:v>
      </x:c>
      <x:c r="H797" s="17" t="n">
        <x:v>8089</x:v>
      </x:c>
      <x:c r="I797" s="17" t="str">
        <x:v>Followup</x:v>
      </x:c>
      <x:c r="J797" s="27" t="n">
        <x:f>INDEX('Model Pricing'!$B$7:$B$8,MATCH(F797,'Model Pricing'!$A$7:$A$8,0))</x:f>
        <x:v>10</x:v>
      </x:c>
      <x:c r="K797" s="27" t="n">
        <x:f>INDEX('Model Pricing'!$C$7:$C$8,MATCH(F797,'Model Pricing'!$A$7:$A$8,0))</x:f>
        <x:v>30</x:v>
      </x:c>
      <x:c r="L797" s="17" t="n">
        <x:f>G797+H797</x:f>
        <x:v>46378</x:v>
      </x:c>
      <x:c r="M797" s="28" t="n">
        <x:f>G797*J797/1000000</x:f>
        <x:v>0.38289</x:v>
      </x:c>
      <x:c r="N797" s="28" t="n">
        <x:f>H797*K797/1000000</x:f>
        <x:v>0.24267</x:v>
      </x:c>
      <x:c r="O797" s="28" t="n">
        <x:f>SUM(M797:N797)</x:f>
        <x:v>0.62556</x:v>
      </x:c>
    </x:row>
    <x:row r="798" ht="23" customHeight="1">
      <x:c r="A798" s="17" t="str">
        <x:v>U00792</x:v>
      </x:c>
      <x:c r="B798" s="18" t="n">
        <x:v>46295</x:v>
      </x:c>
      <x:c r="C798" s="17" t="str">
        <x:v>W0078</x:v>
      </x:c>
      <x:c r="D798" s="17" t="str">
        <x:v>C002</x:v>
      </x:c>
      <x:c r="E798" s="17" t="str">
        <x:v>CampaignChat</x:v>
      </x:c>
      <x:c r="F798" s="17" t="str">
        <x:v>Lite</x:v>
      </x:c>
      <x:c r="G798" s="17" t="n">
        <x:v>18794</x:v>
      </x:c>
      <x:c r="H798" s="17" t="n">
        <x:v>6905</x:v>
      </x:c>
      <x:c r="I798" s="17" t="str">
        <x:v>Followup</x:v>
      </x:c>
      <x:c r="J798" s="27" t="n">
        <x:f>INDEX('Model Pricing'!$B$7:$B$8,MATCH(F798,'Model Pricing'!$A$7:$A$8,0))</x:f>
        <x:v>10</x:v>
      </x:c>
      <x:c r="K798" s="27" t="n">
        <x:f>INDEX('Model Pricing'!$C$7:$C$8,MATCH(F798,'Model Pricing'!$A$7:$A$8,0))</x:f>
        <x:v>30</x:v>
      </x:c>
      <x:c r="L798" s="17" t="n">
        <x:f>G798+H798</x:f>
        <x:v>25699</x:v>
      </x:c>
      <x:c r="M798" s="28" t="n">
        <x:f>G798*J798/1000000</x:f>
        <x:v>0.18794</x:v>
      </x:c>
      <x:c r="N798" s="28" t="n">
        <x:f>H798*K798/1000000</x:f>
        <x:v>0.20715</x:v>
      </x:c>
      <x:c r="O798" s="28" t="n">
        <x:f>SUM(M798:N798)</x:f>
        <x:v>0.39509</x:v>
      </x:c>
    </x:row>
    <x:row r="799" ht="23" customHeight="1">
      <x:c r="A799" s="17" t="str">
        <x:v>U00793</x:v>
      </x:c>
      <x:c r="B799" s="18" t="n">
        <x:v>46289</x:v>
      </x:c>
      <x:c r="C799" s="17" t="str">
        <x:v>W0083</x:v>
      </x:c>
      <x:c r="D799" s="17" t="str">
        <x:v>C002</x:v>
      </x:c>
      <x:c r="E799" s="17" t="str">
        <x:v>InsightDesk</x:v>
      </x:c>
      <x:c r="F799" s="17" t="str">
        <x:v>Lite</x:v>
      </x:c>
      <x:c r="G799" s="17" t="n">
        <x:v>43576</x:v>
      </x:c>
      <x:c r="H799" s="17" t="n">
        <x:v>7379</x:v>
      </x:c>
      <x:c r="I799" s="17" t="str">
        <x:v>First attempt</x:v>
      </x:c>
      <x:c r="J799" s="27" t="n">
        <x:f>INDEX('Model Pricing'!$B$7:$B$8,MATCH(F799,'Model Pricing'!$A$7:$A$8,0))</x:f>
        <x:v>10</x:v>
      </x:c>
      <x:c r="K799" s="27" t="n">
        <x:f>INDEX('Model Pricing'!$C$7:$C$8,MATCH(F799,'Model Pricing'!$A$7:$A$8,0))</x:f>
        <x:v>30</x:v>
      </x:c>
      <x:c r="L799" s="17" t="n">
        <x:f>G799+H799</x:f>
        <x:v>50955</x:v>
      </x:c>
      <x:c r="M799" s="28" t="n">
        <x:f>G799*J799/1000000</x:f>
        <x:v>0.43576</x:v>
      </x:c>
      <x:c r="N799" s="28" t="n">
        <x:f>H799*K799/1000000</x:f>
        <x:v>0.22137</x:v>
      </x:c>
      <x:c r="O799" s="28" t="n">
        <x:f>SUM(M799:N799)</x:f>
        <x:v>0.65713</x:v>
      </x:c>
    </x:row>
    <x:row r="800" ht="23" customHeight="1">
      <x:c r="A800" s="17" t="str">
        <x:v>U00794</x:v>
      </x:c>
      <x:c r="B800" s="18" t="n">
        <x:v>46289</x:v>
      </x:c>
      <x:c r="C800" s="17" t="str">
        <x:v>W0083</x:v>
      </x:c>
      <x:c r="D800" s="17" t="str">
        <x:v>C002</x:v>
      </x:c>
      <x:c r="E800" s="17" t="str">
        <x:v>InsightDesk</x:v>
      </x:c>
      <x:c r="F800" s="17" t="str">
        <x:v>Lite</x:v>
      </x:c>
      <x:c r="G800" s="17" t="n">
        <x:v>43684</x:v>
      </x:c>
      <x:c r="H800" s="17" t="n">
        <x:v>2523</x:v>
      </x:c>
      <x:c r="I800" s="17" t="str">
        <x:v>Followup</x:v>
      </x:c>
      <x:c r="J800" s="27" t="n">
        <x:f>INDEX('Model Pricing'!$B$7:$B$8,MATCH(F800,'Model Pricing'!$A$7:$A$8,0))</x:f>
        <x:v>10</x:v>
      </x:c>
      <x:c r="K800" s="27" t="n">
        <x:f>INDEX('Model Pricing'!$C$7:$C$8,MATCH(F800,'Model Pricing'!$A$7:$A$8,0))</x:f>
        <x:v>30</x:v>
      </x:c>
      <x:c r="L800" s="17" t="n">
        <x:f>G800+H800</x:f>
        <x:v>46207</x:v>
      </x:c>
      <x:c r="M800" s="28" t="n">
        <x:f>G800*J800/1000000</x:f>
        <x:v>0.43684</x:v>
      </x:c>
      <x:c r="N800" s="28" t="n">
        <x:f>H800*K800/1000000</x:f>
        <x:v>0.07569</x:v>
      </x:c>
      <x:c r="O800" s="28" t="n">
        <x:f>SUM(M800:N800)</x:f>
        <x:v>0.51253</x:v>
      </x:c>
    </x:row>
    <x:row r="801" ht="23" customHeight="1">
      <x:c r="A801" s="17" t="str">
        <x:v>U00795</x:v>
      </x:c>
      <x:c r="B801" s="18" t="n">
        <x:v>46289</x:v>
      </x:c>
      <x:c r="C801" s="17" t="str">
        <x:v>W0083</x:v>
      </x:c>
      <x:c r="D801" s="17" t="str">
        <x:v>C002</x:v>
      </x:c>
      <x:c r="E801" s="17" t="str">
        <x:v>InsightDesk</x:v>
      </x:c>
      <x:c r="F801" s="17" t="str">
        <x:v>Lite</x:v>
      </x:c>
      <x:c r="G801" s="17" t="n">
        <x:v>26793</x:v>
      </x:c>
      <x:c r="H801" s="17" t="n">
        <x:v>2839</x:v>
      </x:c>
      <x:c r="I801" s="17" t="str">
        <x:v>Followup</x:v>
      </x:c>
      <x:c r="J801" s="27" t="n">
        <x:f>INDEX('Model Pricing'!$B$7:$B$8,MATCH(F801,'Model Pricing'!$A$7:$A$8,0))</x:f>
        <x:v>10</x:v>
      </x:c>
      <x:c r="K801" s="27" t="n">
        <x:f>INDEX('Model Pricing'!$C$7:$C$8,MATCH(F801,'Model Pricing'!$A$7:$A$8,0))</x:f>
        <x:v>30</x:v>
      </x:c>
      <x:c r="L801" s="17" t="n">
        <x:f>G801+H801</x:f>
        <x:v>29632</x:v>
      </x:c>
      <x:c r="M801" s="28" t="n">
        <x:f>G801*J801/1000000</x:f>
        <x:v>0.26793</x:v>
      </x:c>
      <x:c r="N801" s="28" t="n">
        <x:f>H801*K801/1000000</x:f>
        <x:v>0.08517</x:v>
      </x:c>
      <x:c r="O801" s="28" t="n">
        <x:f>SUM(M801:N801)</x:f>
        <x:v>0.35309999999999997</x:v>
      </x:c>
    </x:row>
    <x:row r="802" ht="23" customHeight="1">
      <x:c r="A802" s="17" t="str">
        <x:v>U00796</x:v>
      </x:c>
      <x:c r="B802" s="18" t="n">
        <x:v>46289</x:v>
      </x:c>
      <x:c r="C802" s="17" t="str">
        <x:v>W0083</x:v>
      </x:c>
      <x:c r="D802" s="17" t="str">
        <x:v>C002</x:v>
      </x:c>
      <x:c r="E802" s="17" t="str">
        <x:v>InsightDesk</x:v>
      </x:c>
      <x:c r="F802" s="17" t="str">
        <x:v>Lite</x:v>
      </x:c>
      <x:c r="G802" s="17" t="n">
        <x:v>17650</x:v>
      </x:c>
      <x:c r="H802" s="17" t="n">
        <x:v>4941</x:v>
      </x:c>
      <x:c r="I802" s="17" t="str">
        <x:v>Followup</x:v>
      </x:c>
      <x:c r="J802" s="27" t="n">
        <x:f>INDEX('Model Pricing'!$B$7:$B$8,MATCH(F802,'Model Pricing'!$A$7:$A$8,0))</x:f>
        <x:v>10</x:v>
      </x:c>
      <x:c r="K802" s="27" t="n">
        <x:f>INDEX('Model Pricing'!$C$7:$C$8,MATCH(F802,'Model Pricing'!$A$7:$A$8,0))</x:f>
        <x:v>30</x:v>
      </x:c>
      <x:c r="L802" s="17" t="n">
        <x:f>G802+H802</x:f>
        <x:v>22591</x:v>
      </x:c>
      <x:c r="M802" s="28" t="n">
        <x:f>G802*J802/1000000</x:f>
        <x:v>0.1765</x:v>
      </x:c>
      <x:c r="N802" s="28" t="n">
        <x:f>H802*K802/1000000</x:f>
        <x:v>0.14823</x:v>
      </x:c>
      <x:c r="O802" s="28" t="n">
        <x:f>SUM(M802:N802)</x:f>
        <x:v>0.32472999999999996</x:v>
      </x:c>
    </x:row>
    <x:row r="803" ht="23" customHeight="1">
      <x:c r="A803" s="17" t="str">
        <x:v>U00797</x:v>
      </x:c>
      <x:c r="B803" s="18" t="n">
        <x:v>46289</x:v>
      </x:c>
      <x:c r="C803" s="17" t="str">
        <x:v>W0083</x:v>
      </x:c>
      <x:c r="D803" s="17" t="str">
        <x:v>C002</x:v>
      </x:c>
      <x:c r="E803" s="17" t="str">
        <x:v>InsightDesk</x:v>
      </x:c>
      <x:c r="F803" s="17" t="str">
        <x:v>Lite</x:v>
      </x:c>
      <x:c r="G803" s="17" t="n">
        <x:v>21129</x:v>
      </x:c>
      <x:c r="H803" s="17" t="n">
        <x:v>5841</x:v>
      </x:c>
      <x:c r="I803" s="17" t="str">
        <x:v>Followup</x:v>
      </x:c>
      <x:c r="J803" s="27" t="n">
        <x:f>INDEX('Model Pricing'!$B$7:$B$8,MATCH(F803,'Model Pricing'!$A$7:$A$8,0))</x:f>
        <x:v>10</x:v>
      </x:c>
      <x:c r="K803" s="27" t="n">
        <x:f>INDEX('Model Pricing'!$C$7:$C$8,MATCH(F803,'Model Pricing'!$A$7:$A$8,0))</x:f>
        <x:v>30</x:v>
      </x:c>
      <x:c r="L803" s="17" t="n">
        <x:f>G803+H803</x:f>
        <x:v>26970</x:v>
      </x:c>
      <x:c r="M803" s="28" t="n">
        <x:f>G803*J803/1000000</x:f>
        <x:v>0.21129</x:v>
      </x:c>
      <x:c r="N803" s="28" t="n">
        <x:f>H803*K803/1000000</x:f>
        <x:v>0.17523</x:v>
      </x:c>
      <x:c r="O803" s="28" t="n">
        <x:f>SUM(M803:N803)</x:f>
        <x:v>0.38652</x:v>
      </x:c>
    </x:row>
    <x:row r="804" ht="23" customHeight="1">
      <x:c r="A804" s="17" t="str">
        <x:v>U00798</x:v>
      </x:c>
      <x:c r="B804" s="18" t="n">
        <x:v>46289</x:v>
      </x:c>
      <x:c r="C804" s="17" t="str">
        <x:v>W0083</x:v>
      </x:c>
      <x:c r="D804" s="17" t="str">
        <x:v>C002</x:v>
      </x:c>
      <x:c r="E804" s="17" t="str">
        <x:v>InsightDesk</x:v>
      </x:c>
      <x:c r="F804" s="17" t="str">
        <x:v>Lite</x:v>
      </x:c>
      <x:c r="G804" s="17" t="n">
        <x:v>19118</x:v>
      </x:c>
      <x:c r="H804" s="17" t="n">
        <x:v>7112</x:v>
      </x:c>
      <x:c r="I804" s="17" t="str">
        <x:v>Correction</x:v>
      </x:c>
      <x:c r="J804" s="27" t="n">
        <x:f>INDEX('Model Pricing'!$B$7:$B$8,MATCH(F804,'Model Pricing'!$A$7:$A$8,0))</x:f>
        <x:v>10</x:v>
      </x:c>
      <x:c r="K804" s="27" t="n">
        <x:f>INDEX('Model Pricing'!$C$7:$C$8,MATCH(F804,'Model Pricing'!$A$7:$A$8,0))</x:f>
        <x:v>30</x:v>
      </x:c>
      <x:c r="L804" s="17" t="n">
        <x:f>G804+H804</x:f>
        <x:v>26230</x:v>
      </x:c>
      <x:c r="M804" s="28" t="n">
        <x:f>G804*J804/1000000</x:f>
        <x:v>0.19118</x:v>
      </x:c>
      <x:c r="N804" s="28" t="n">
        <x:f>H804*K804/1000000</x:f>
        <x:v>0.21336</x:v>
      </x:c>
      <x:c r="O804" s="28" t="n">
        <x:f>SUM(M804:N804)</x:f>
        <x:v>0.40454</x:v>
      </x:c>
    </x:row>
    <x:row r="805" ht="23" customHeight="1">
      <x:c r="A805" s="17" t="str">
        <x:v>U00799</x:v>
      </x:c>
      <x:c r="B805" s="18" t="n">
        <x:v>46290</x:v>
      </x:c>
      <x:c r="C805" s="17" t="str">
        <x:v>W0083</x:v>
      </x:c>
      <x:c r="D805" s="17" t="str">
        <x:v>C002</x:v>
      </x:c>
      <x:c r="E805" s="17" t="str">
        <x:v>InsightDesk</x:v>
      </x:c>
      <x:c r="F805" s="17" t="str">
        <x:v>Lite</x:v>
      </x:c>
      <x:c r="G805" s="17" t="n">
        <x:v>28610</x:v>
      </x:c>
      <x:c r="H805" s="17" t="n">
        <x:v>6068</x:v>
      </x:c>
      <x:c r="I805" s="17" t="str">
        <x:v>Followup</x:v>
      </x:c>
      <x:c r="J805" s="27" t="n">
        <x:f>INDEX('Model Pricing'!$B$7:$B$8,MATCH(F805,'Model Pricing'!$A$7:$A$8,0))</x:f>
        <x:v>10</x:v>
      </x:c>
      <x:c r="K805" s="27" t="n">
        <x:f>INDEX('Model Pricing'!$C$7:$C$8,MATCH(F805,'Model Pricing'!$A$7:$A$8,0))</x:f>
        <x:v>30</x:v>
      </x:c>
      <x:c r="L805" s="17" t="n">
        <x:f>G805+H805</x:f>
        <x:v>34678</x:v>
      </x:c>
      <x:c r="M805" s="28" t="n">
        <x:f>G805*J805/1000000</x:f>
        <x:v>0.2861</x:v>
      </x:c>
      <x:c r="N805" s="28" t="n">
        <x:f>H805*K805/1000000</x:f>
        <x:v>0.18204</x:v>
      </x:c>
      <x:c r="O805" s="28" t="n">
        <x:f>SUM(M805:N805)</x:f>
        <x:v>0.46814</x:v>
      </x:c>
    </x:row>
    <x:row r="806" ht="23" customHeight="1">
      <x:c r="A806" s="17" t="str">
        <x:v>U00800</x:v>
      </x:c>
      <x:c r="B806" s="18" t="n">
        <x:v>46290</x:v>
      </x:c>
      <x:c r="C806" s="17" t="str">
        <x:v>W0083</x:v>
      </x:c>
      <x:c r="D806" s="17" t="str">
        <x:v>C002</x:v>
      </x:c>
      <x:c r="E806" s="17" t="str">
        <x:v>InsightDesk</x:v>
      </x:c>
      <x:c r="F806" s="17" t="str">
        <x:v>Lite</x:v>
      </x:c>
      <x:c r="G806" s="17" t="n">
        <x:v>32778</x:v>
      </x:c>
      <x:c r="H806" s="17" t="n">
        <x:v>2516</x:v>
      </x:c>
      <x:c r="I806" s="17" t="str">
        <x:v>Followup</x:v>
      </x:c>
      <x:c r="J806" s="27" t="n">
        <x:f>INDEX('Model Pricing'!$B$7:$B$8,MATCH(F806,'Model Pricing'!$A$7:$A$8,0))</x:f>
        <x:v>10</x:v>
      </x:c>
      <x:c r="K806" s="27" t="n">
        <x:f>INDEX('Model Pricing'!$C$7:$C$8,MATCH(F806,'Model Pricing'!$A$7:$A$8,0))</x:f>
        <x:v>30</x:v>
      </x:c>
      <x:c r="L806" s="17" t="n">
        <x:f>G806+H806</x:f>
        <x:v>35294</x:v>
      </x:c>
      <x:c r="M806" s="28" t="n">
        <x:f>G806*J806/1000000</x:f>
        <x:v>0.32778</x:v>
      </x:c>
      <x:c r="N806" s="28" t="n">
        <x:f>H806*K806/1000000</x:f>
        <x:v>0.07548</x:v>
      </x:c>
      <x:c r="O806" s="28" t="n">
        <x:f>SUM(M806:N806)</x:f>
        <x:v>0.40326</x:v>
      </x:c>
    </x:row>
    <x:row r="807" ht="23" customHeight="1">
      <x:c r="A807" s="17" t="str">
        <x:v>U00801</x:v>
      </x:c>
      <x:c r="B807" s="18" t="n">
        <x:v>46290</x:v>
      </x:c>
      <x:c r="C807" s="17" t="str">
        <x:v>W0083</x:v>
      </x:c>
      <x:c r="D807" s="17" t="str">
        <x:v>C002</x:v>
      </x:c>
      <x:c r="E807" s="17" t="str">
        <x:v>InsightDesk</x:v>
      </x:c>
      <x:c r="F807" s="17" t="str">
        <x:v>Lite</x:v>
      </x:c>
      <x:c r="G807" s="17" t="n">
        <x:v>32959</x:v>
      </x:c>
      <x:c r="H807" s="17" t="n">
        <x:v>7206</x:v>
      </x:c>
      <x:c r="I807" s="17" t="str">
        <x:v>Followup</x:v>
      </x:c>
      <x:c r="J807" s="27" t="n">
        <x:f>INDEX('Model Pricing'!$B$7:$B$8,MATCH(F807,'Model Pricing'!$A$7:$A$8,0))</x:f>
        <x:v>10</x:v>
      </x:c>
      <x:c r="K807" s="27" t="n">
        <x:f>INDEX('Model Pricing'!$C$7:$C$8,MATCH(F807,'Model Pricing'!$A$7:$A$8,0))</x:f>
        <x:v>30</x:v>
      </x:c>
      <x:c r="L807" s="17" t="n">
        <x:f>G807+H807</x:f>
        <x:v>40165</x:v>
      </x:c>
      <x:c r="M807" s="28" t="n">
        <x:f>G807*J807/1000000</x:f>
        <x:v>0.32959</x:v>
      </x:c>
      <x:c r="N807" s="28" t="n">
        <x:f>H807*K807/1000000</x:f>
        <x:v>0.21618</x:v>
      </x:c>
      <x:c r="O807" s="28" t="n">
        <x:f>SUM(M807:N807)</x:f>
        <x:v>0.54577</x:v>
      </x:c>
    </x:row>
    <x:row r="808" ht="23" customHeight="1">
      <x:c r="A808" s="17" t="str">
        <x:v>U00802</x:v>
      </x:c>
      <x:c r="B808" s="18" t="n">
        <x:v>46290</x:v>
      </x:c>
      <x:c r="C808" s="17" t="str">
        <x:v>W0083</x:v>
      </x:c>
      <x:c r="D808" s="17" t="str">
        <x:v>C002</x:v>
      </x:c>
      <x:c r="E808" s="17" t="str">
        <x:v>InsightDesk</x:v>
      </x:c>
      <x:c r="F808" s="17" t="str">
        <x:v>Lite</x:v>
      </x:c>
      <x:c r="G808" s="17" t="n">
        <x:v>40310</x:v>
      </x:c>
      <x:c r="H808" s="17" t="n">
        <x:v>2583</x:v>
      </x:c>
      <x:c r="I808" s="17" t="str">
        <x:v>Correction</x:v>
      </x:c>
      <x:c r="J808" s="27" t="n">
        <x:f>INDEX('Model Pricing'!$B$7:$B$8,MATCH(F808,'Model Pricing'!$A$7:$A$8,0))</x:f>
        <x:v>10</x:v>
      </x:c>
      <x:c r="K808" s="27" t="n">
        <x:f>INDEX('Model Pricing'!$C$7:$C$8,MATCH(F808,'Model Pricing'!$A$7:$A$8,0))</x:f>
        <x:v>30</x:v>
      </x:c>
      <x:c r="L808" s="17" t="n">
        <x:f>G808+H808</x:f>
        <x:v>42893</x:v>
      </x:c>
      <x:c r="M808" s="28" t="n">
        <x:f>G808*J808/1000000</x:f>
        <x:v>0.4031</x:v>
      </x:c>
      <x:c r="N808" s="28" t="n">
        <x:f>H808*K808/1000000</x:f>
        <x:v>0.07749</x:v>
      </x:c>
      <x:c r="O808" s="28" t="n">
        <x:f>SUM(M808:N808)</x:f>
        <x:v>0.48059</x:v>
      </x:c>
    </x:row>
    <x:row r="809" ht="23" customHeight="1">
      <x:c r="A809" s="17" t="str">
        <x:v>U00803</x:v>
      </x:c>
      <x:c r="B809" s="18" t="n">
        <x:v>46290</x:v>
      </x:c>
      <x:c r="C809" s="17" t="str">
        <x:v>W0083</x:v>
      </x:c>
      <x:c r="D809" s="17" t="str">
        <x:v>C002</x:v>
      </x:c>
      <x:c r="E809" s="17" t="str">
        <x:v>InsightDesk</x:v>
      </x:c>
      <x:c r="F809" s="17" t="str">
        <x:v>Lite</x:v>
      </x:c>
      <x:c r="G809" s="17" t="n">
        <x:v>28565</x:v>
      </x:c>
      <x:c r="H809" s="17" t="n">
        <x:v>8846</x:v>
      </x:c>
      <x:c r="I809" s="17" t="str">
        <x:v>Followup</x:v>
      </x:c>
      <x:c r="J809" s="27" t="n">
        <x:f>INDEX('Model Pricing'!$B$7:$B$8,MATCH(F809,'Model Pricing'!$A$7:$A$8,0))</x:f>
        <x:v>10</x:v>
      </x:c>
      <x:c r="K809" s="27" t="n">
        <x:f>INDEX('Model Pricing'!$C$7:$C$8,MATCH(F809,'Model Pricing'!$A$7:$A$8,0))</x:f>
        <x:v>30</x:v>
      </x:c>
      <x:c r="L809" s="17" t="n">
        <x:f>G809+H809</x:f>
        <x:v>37411</x:v>
      </x:c>
      <x:c r="M809" s="28" t="n">
        <x:f>G809*J809/1000000</x:f>
        <x:v>0.28565</x:v>
      </x:c>
      <x:c r="N809" s="28" t="n">
        <x:f>H809*K809/1000000</x:f>
        <x:v>0.26538</x:v>
      </x:c>
      <x:c r="O809" s="28" t="n">
        <x:f>SUM(M809:N809)</x:f>
        <x:v>0.55103</x:v>
      </x:c>
    </x:row>
    <x:row r="810" ht="23" customHeight="1">
      <x:c r="A810" s="17" t="str">
        <x:v>U00804</x:v>
      </x:c>
      <x:c r="B810" s="18" t="n">
        <x:v>46293</x:v>
      </x:c>
      <x:c r="C810" s="17" t="str">
        <x:v>W0083</x:v>
      </x:c>
      <x:c r="D810" s="17" t="str">
        <x:v>C002</x:v>
      </x:c>
      <x:c r="E810" s="17" t="str">
        <x:v>InsightDesk</x:v>
      </x:c>
      <x:c r="F810" s="17" t="str">
        <x:v>Lite</x:v>
      </x:c>
      <x:c r="G810" s="17" t="n">
        <x:v>25694</x:v>
      </x:c>
      <x:c r="H810" s="17" t="n">
        <x:v>7731</x:v>
      </x:c>
      <x:c r="I810" s="17" t="str">
        <x:v>Correction</x:v>
      </x:c>
      <x:c r="J810" s="27" t="n">
        <x:f>INDEX('Model Pricing'!$B$7:$B$8,MATCH(F810,'Model Pricing'!$A$7:$A$8,0))</x:f>
        <x:v>10</x:v>
      </x:c>
      <x:c r="K810" s="27" t="n">
        <x:f>INDEX('Model Pricing'!$C$7:$C$8,MATCH(F810,'Model Pricing'!$A$7:$A$8,0))</x:f>
        <x:v>30</x:v>
      </x:c>
      <x:c r="L810" s="17" t="n">
        <x:f>G810+H810</x:f>
        <x:v>33425</x:v>
      </x:c>
      <x:c r="M810" s="28" t="n">
        <x:f>G810*J810/1000000</x:f>
        <x:v>0.25694</x:v>
      </x:c>
      <x:c r="N810" s="28" t="n">
        <x:f>H810*K810/1000000</x:f>
        <x:v>0.23193</x:v>
      </x:c>
      <x:c r="O810" s="28" t="n">
        <x:f>SUM(M810:N810)</x:f>
        <x:v>0.48887</x:v>
      </x:c>
    </x:row>
    <x:row r="811" ht="23" customHeight="1">
      <x:c r="A811" s="17" t="str">
        <x:v>U00805</x:v>
      </x:c>
      <x:c r="B811" s="18" t="n">
        <x:v>46293</x:v>
      </x:c>
      <x:c r="C811" s="17" t="str">
        <x:v>W0083</x:v>
      </x:c>
      <x:c r="D811" s="17" t="str">
        <x:v>C002</x:v>
      </x:c>
      <x:c r="E811" s="17" t="str">
        <x:v>InsightDesk</x:v>
      </x:c>
      <x:c r="F811" s="17" t="str">
        <x:v>Lite</x:v>
      </x:c>
      <x:c r="G811" s="17" t="n">
        <x:v>22218</x:v>
      </x:c>
      <x:c r="H811" s="17" t="n">
        <x:v>2589</x:v>
      </x:c>
      <x:c r="I811" s="17" t="str">
        <x:v>Correction</x:v>
      </x:c>
      <x:c r="J811" s="27" t="n">
        <x:f>INDEX('Model Pricing'!$B$7:$B$8,MATCH(F811,'Model Pricing'!$A$7:$A$8,0))</x:f>
        <x:v>10</x:v>
      </x:c>
      <x:c r="K811" s="27" t="n">
        <x:f>INDEX('Model Pricing'!$C$7:$C$8,MATCH(F811,'Model Pricing'!$A$7:$A$8,0))</x:f>
        <x:v>30</x:v>
      </x:c>
      <x:c r="L811" s="17" t="n">
        <x:f>G811+H811</x:f>
        <x:v>24807</x:v>
      </x:c>
      <x:c r="M811" s="28" t="n">
        <x:f>G811*J811/1000000</x:f>
        <x:v>0.22218</x:v>
      </x:c>
      <x:c r="N811" s="28" t="n">
        <x:f>H811*K811/1000000</x:f>
        <x:v>0.07767</x:v>
      </x:c>
      <x:c r="O811" s="28" t="n">
        <x:f>SUM(M811:N811)</x:f>
        <x:v>0.29985</x:v>
      </x:c>
    </x:row>
    <x:row r="812" ht="23" customHeight="1">
      <x:c r="A812" s="17" t="str">
        <x:v>U00806</x:v>
      </x:c>
      <x:c r="B812" s="18" t="n">
        <x:v>46293</x:v>
      </x:c>
      <x:c r="C812" s="17" t="str">
        <x:v>W0083</x:v>
      </x:c>
      <x:c r="D812" s="17" t="str">
        <x:v>C002</x:v>
      </x:c>
      <x:c r="E812" s="17" t="str">
        <x:v>InsightDesk</x:v>
      </x:c>
      <x:c r="F812" s="17" t="str">
        <x:v>Lite</x:v>
      </x:c>
      <x:c r="G812" s="17" t="n">
        <x:v>38741</x:v>
      </x:c>
      <x:c r="H812" s="17" t="n">
        <x:v>4395</x:v>
      </x:c>
      <x:c r="I812" s="17" t="str">
        <x:v>Correction</x:v>
      </x:c>
      <x:c r="J812" s="27" t="n">
        <x:f>INDEX('Model Pricing'!$B$7:$B$8,MATCH(F812,'Model Pricing'!$A$7:$A$8,0))</x:f>
        <x:v>10</x:v>
      </x:c>
      <x:c r="K812" s="27" t="n">
        <x:f>INDEX('Model Pricing'!$C$7:$C$8,MATCH(F812,'Model Pricing'!$A$7:$A$8,0))</x:f>
        <x:v>30</x:v>
      </x:c>
      <x:c r="L812" s="17" t="n">
        <x:f>G812+H812</x:f>
        <x:v>43136</x:v>
      </x:c>
      <x:c r="M812" s="28" t="n">
        <x:f>G812*J812/1000000</x:f>
        <x:v>0.38741</x:v>
      </x:c>
      <x:c r="N812" s="28" t="n">
        <x:f>H812*K812/1000000</x:f>
        <x:v>0.13185</x:v>
      </x:c>
      <x:c r="O812" s="28" t="n">
        <x:f>SUM(M812:N812)</x:f>
        <x:v>0.5192599999999999</x:v>
      </x:c>
    </x:row>
    <x:row r="813" ht="23" customHeight="1">
      <x:c r="A813" s="17" t="str">
        <x:v>U00807</x:v>
      </x:c>
      <x:c r="B813" s="18" t="n">
        <x:v>46293</x:v>
      </x:c>
      <x:c r="C813" s="17" t="str">
        <x:v>W0083</x:v>
      </x:c>
      <x:c r="D813" s="17" t="str">
        <x:v>C002</x:v>
      </x:c>
      <x:c r="E813" s="17" t="str">
        <x:v>InsightDesk</x:v>
      </x:c>
      <x:c r="F813" s="17" t="str">
        <x:v>Lite</x:v>
      </x:c>
      <x:c r="G813" s="17" t="n">
        <x:v>36142</x:v>
      </x:c>
      <x:c r="H813" s="17" t="n">
        <x:v>9068</x:v>
      </x:c>
      <x:c r="I813" s="17" t="str">
        <x:v>Correction</x:v>
      </x:c>
      <x:c r="J813" s="27" t="n">
        <x:f>INDEX('Model Pricing'!$B$7:$B$8,MATCH(F813,'Model Pricing'!$A$7:$A$8,0))</x:f>
        <x:v>10</x:v>
      </x:c>
      <x:c r="K813" s="27" t="n">
        <x:f>INDEX('Model Pricing'!$C$7:$C$8,MATCH(F813,'Model Pricing'!$A$7:$A$8,0))</x:f>
        <x:v>30</x:v>
      </x:c>
      <x:c r="L813" s="17" t="n">
        <x:f>G813+H813</x:f>
        <x:v>45210</x:v>
      </x:c>
      <x:c r="M813" s="28" t="n">
        <x:f>G813*J813/1000000</x:f>
        <x:v>0.36142</x:v>
      </x:c>
      <x:c r="N813" s="28" t="n">
        <x:f>H813*K813/1000000</x:f>
        <x:v>0.27204</x:v>
      </x:c>
      <x:c r="O813" s="28" t="n">
        <x:f>SUM(M813:N813)</x:f>
        <x:v>0.63346</x:v>
      </x:c>
    </x:row>
    <x:row r="814" ht="23" customHeight="1">
      <x:c r="A814" s="17" t="str">
        <x:v>U00808</x:v>
      </x:c>
      <x:c r="B814" s="18" t="n">
        <x:v>46293</x:v>
      </x:c>
      <x:c r="C814" s="17" t="str">
        <x:v>W0083</x:v>
      </x:c>
      <x:c r="D814" s="17" t="str">
        <x:v>C002</x:v>
      </x:c>
      <x:c r="E814" s="17" t="str">
        <x:v>InsightDesk</x:v>
      </x:c>
      <x:c r="F814" s="17" t="str">
        <x:v>Lite</x:v>
      </x:c>
      <x:c r="G814" s="17" t="n">
        <x:v>19900</x:v>
      </x:c>
      <x:c r="H814" s="17" t="n">
        <x:v>4802</x:v>
      </x:c>
      <x:c r="I814" s="17" t="str">
        <x:v>Correction</x:v>
      </x:c>
      <x:c r="J814" s="27" t="n">
        <x:f>INDEX('Model Pricing'!$B$7:$B$8,MATCH(F814,'Model Pricing'!$A$7:$A$8,0))</x:f>
        <x:v>10</x:v>
      </x:c>
      <x:c r="K814" s="27" t="n">
        <x:f>INDEX('Model Pricing'!$C$7:$C$8,MATCH(F814,'Model Pricing'!$A$7:$A$8,0))</x:f>
        <x:v>30</x:v>
      </x:c>
      <x:c r="L814" s="17" t="n">
        <x:f>G814+H814</x:f>
        <x:v>24702</x:v>
      </x:c>
      <x:c r="M814" s="28" t="n">
        <x:f>G814*J814/1000000</x:f>
        <x:v>0.199</x:v>
      </x:c>
      <x:c r="N814" s="28" t="n">
        <x:f>H814*K814/1000000</x:f>
        <x:v>0.14406</x:v>
      </x:c>
      <x:c r="O814" s="28" t="n">
        <x:f>SUM(M814:N814)</x:f>
        <x:v>0.34306000000000003</x:v>
      </x:c>
    </x:row>
    <x:row r="815" ht="23" customHeight="1">
      <x:c r="A815" s="17" t="str">
        <x:v>U00809</x:v>
      </x:c>
      <x:c r="B815" s="18" t="n">
        <x:v>46294</x:v>
      </x:c>
      <x:c r="C815" s="17" t="str">
        <x:v>W0083</x:v>
      </x:c>
      <x:c r="D815" s="17" t="str">
        <x:v>C002</x:v>
      </x:c>
      <x:c r="E815" s="17" t="str">
        <x:v>InsightDesk</x:v>
      </x:c>
      <x:c r="F815" s="17" t="str">
        <x:v>Lite</x:v>
      </x:c>
      <x:c r="G815" s="17" t="n">
        <x:v>36725</x:v>
      </x:c>
      <x:c r="H815" s="17" t="n">
        <x:v>7724</x:v>
      </x:c>
      <x:c r="I815" s="17" t="str">
        <x:v>Followup</x:v>
      </x:c>
      <x:c r="J815" s="27" t="n">
        <x:f>INDEX('Model Pricing'!$B$7:$B$8,MATCH(F815,'Model Pricing'!$A$7:$A$8,0))</x:f>
        <x:v>10</x:v>
      </x:c>
      <x:c r="K815" s="27" t="n">
        <x:f>INDEX('Model Pricing'!$C$7:$C$8,MATCH(F815,'Model Pricing'!$A$7:$A$8,0))</x:f>
        <x:v>30</x:v>
      </x:c>
      <x:c r="L815" s="17" t="n">
        <x:f>G815+H815</x:f>
        <x:v>44449</x:v>
      </x:c>
      <x:c r="M815" s="28" t="n">
        <x:f>G815*J815/1000000</x:f>
        <x:v>0.36725</x:v>
      </x:c>
      <x:c r="N815" s="28" t="n">
        <x:f>H815*K815/1000000</x:f>
        <x:v>0.23172</x:v>
      </x:c>
      <x:c r="O815" s="28" t="n">
        <x:f>SUM(M815:N815)</x:f>
        <x:v>0.59897</x:v>
      </x:c>
    </x:row>
    <x:row r="816" ht="23" customHeight="1">
      <x:c r="A816" s="17" t="str">
        <x:v>U00810</x:v>
      </x:c>
      <x:c r="B816" s="18" t="n">
        <x:v>46294</x:v>
      </x:c>
      <x:c r="C816" s="17" t="str">
        <x:v>W0083</x:v>
      </x:c>
      <x:c r="D816" s="17" t="str">
        <x:v>C002</x:v>
      </x:c>
      <x:c r="E816" s="17" t="str">
        <x:v>InsightDesk</x:v>
      </x:c>
      <x:c r="F816" s="17" t="str">
        <x:v>Lite</x:v>
      </x:c>
      <x:c r="G816" s="17" t="n">
        <x:v>42858</x:v>
      </x:c>
      <x:c r="H816" s="17" t="n">
        <x:v>5799</x:v>
      </x:c>
      <x:c r="I816" s="17" t="str">
        <x:v>Correction</x:v>
      </x:c>
      <x:c r="J816" s="27" t="n">
        <x:f>INDEX('Model Pricing'!$B$7:$B$8,MATCH(F816,'Model Pricing'!$A$7:$A$8,0))</x:f>
        <x:v>10</x:v>
      </x:c>
      <x:c r="K816" s="27" t="n">
        <x:f>INDEX('Model Pricing'!$C$7:$C$8,MATCH(F816,'Model Pricing'!$A$7:$A$8,0))</x:f>
        <x:v>30</x:v>
      </x:c>
      <x:c r="L816" s="17" t="n">
        <x:f>G816+H816</x:f>
        <x:v>48657</x:v>
      </x:c>
      <x:c r="M816" s="28" t="n">
        <x:f>G816*J816/1000000</x:f>
        <x:v>0.42858</x:v>
      </x:c>
      <x:c r="N816" s="28" t="n">
        <x:f>H816*K816/1000000</x:f>
        <x:v>0.17397</x:v>
      </x:c>
      <x:c r="O816" s="28" t="n">
        <x:f>SUM(M816:N816)</x:f>
        <x:v>0.60255</x:v>
      </x:c>
    </x:row>
    <x:row r="817" ht="23" customHeight="1">
      <x:c r="A817" s="17" t="str">
        <x:v>U00811</x:v>
      </x:c>
      <x:c r="B817" s="18" t="n">
        <x:v>46294</x:v>
      </x:c>
      <x:c r="C817" s="17" t="str">
        <x:v>W0083</x:v>
      </x:c>
      <x:c r="D817" s="17" t="str">
        <x:v>C002</x:v>
      </x:c>
      <x:c r="E817" s="17" t="str">
        <x:v>InsightDesk</x:v>
      </x:c>
      <x:c r="F817" s="17" t="str">
        <x:v>Lite</x:v>
      </x:c>
      <x:c r="G817" s="17" t="n">
        <x:v>28682</x:v>
      </x:c>
      <x:c r="H817" s="17" t="n">
        <x:v>6206</x:v>
      </x:c>
      <x:c r="I817" s="17" t="str">
        <x:v>Followup</x:v>
      </x:c>
      <x:c r="J817" s="27" t="n">
        <x:f>INDEX('Model Pricing'!$B$7:$B$8,MATCH(F817,'Model Pricing'!$A$7:$A$8,0))</x:f>
        <x:v>10</x:v>
      </x:c>
      <x:c r="K817" s="27" t="n">
        <x:f>INDEX('Model Pricing'!$C$7:$C$8,MATCH(F817,'Model Pricing'!$A$7:$A$8,0))</x:f>
        <x:v>30</x:v>
      </x:c>
      <x:c r="L817" s="17" t="n">
        <x:f>G817+H817</x:f>
        <x:v>34888</x:v>
      </x:c>
      <x:c r="M817" s="28" t="n">
        <x:f>G817*J817/1000000</x:f>
        <x:v>0.28682</x:v>
      </x:c>
      <x:c r="N817" s="28" t="n">
        <x:f>H817*K817/1000000</x:f>
        <x:v>0.18618</x:v>
      </x:c>
      <x:c r="O817" s="28" t="n">
        <x:f>SUM(M817:N817)</x:f>
        <x:v>0.47300000000000003</x:v>
      </x:c>
    </x:row>
    <x:row r="818" ht="23" customHeight="1">
      <x:c r="A818" s="17" t="str">
        <x:v>U00812</x:v>
      </x:c>
      <x:c r="B818" s="18" t="n">
        <x:v>46294</x:v>
      </x:c>
      <x:c r="C818" s="17" t="str">
        <x:v>W0083</x:v>
      </x:c>
      <x:c r="D818" s="17" t="str">
        <x:v>C002</x:v>
      </x:c>
      <x:c r="E818" s="17" t="str">
        <x:v>InsightDesk</x:v>
      </x:c>
      <x:c r="F818" s="17" t="str">
        <x:v>Lite</x:v>
      </x:c>
      <x:c r="G818" s="17" t="n">
        <x:v>16229</x:v>
      </x:c>
      <x:c r="H818" s="17" t="n">
        <x:v>8925</x:v>
      </x:c>
      <x:c r="I818" s="17" t="str">
        <x:v>Followup</x:v>
      </x:c>
      <x:c r="J818" s="27" t="n">
        <x:f>INDEX('Model Pricing'!$B$7:$B$8,MATCH(F818,'Model Pricing'!$A$7:$A$8,0))</x:f>
        <x:v>10</x:v>
      </x:c>
      <x:c r="K818" s="27" t="n">
        <x:f>INDEX('Model Pricing'!$C$7:$C$8,MATCH(F818,'Model Pricing'!$A$7:$A$8,0))</x:f>
        <x:v>30</x:v>
      </x:c>
      <x:c r="L818" s="17" t="n">
        <x:f>G818+H818</x:f>
        <x:v>25154</x:v>
      </x:c>
      <x:c r="M818" s="28" t="n">
        <x:f>G818*J818/1000000</x:f>
        <x:v>0.16229</x:v>
      </x:c>
      <x:c r="N818" s="28" t="n">
        <x:f>H818*K818/1000000</x:f>
        <x:v>0.26775</x:v>
      </x:c>
      <x:c r="O818" s="28" t="n">
        <x:f>SUM(M818:N818)</x:f>
        <x:v>0.43004</x:v>
      </x:c>
    </x:row>
    <x:row r="819" ht="23" customHeight="1">
      <x:c r="A819" s="17" t="str">
        <x:v>U00813</x:v>
      </x:c>
      <x:c r="B819" s="18" t="n">
        <x:v>46294</x:v>
      </x:c>
      <x:c r="C819" s="17" t="str">
        <x:v>W0083</x:v>
      </x:c>
      <x:c r="D819" s="17" t="str">
        <x:v>C002</x:v>
      </x:c>
      <x:c r="E819" s="17" t="str">
        <x:v>InsightDesk</x:v>
      </x:c>
      <x:c r="F819" s="17" t="str">
        <x:v>Lite</x:v>
      </x:c>
      <x:c r="G819" s="17" t="n">
        <x:v>41618</x:v>
      </x:c>
      <x:c r="H819" s="17" t="n">
        <x:v>3618</x:v>
      </x:c>
      <x:c r="I819" s="17" t="str">
        <x:v>Correction</x:v>
      </x:c>
      <x:c r="J819" s="27" t="n">
        <x:f>INDEX('Model Pricing'!$B$7:$B$8,MATCH(F819,'Model Pricing'!$A$7:$A$8,0))</x:f>
        <x:v>10</x:v>
      </x:c>
      <x:c r="K819" s="27" t="n">
        <x:f>INDEX('Model Pricing'!$C$7:$C$8,MATCH(F819,'Model Pricing'!$A$7:$A$8,0))</x:f>
        <x:v>30</x:v>
      </x:c>
      <x:c r="L819" s="17" t="n">
        <x:f>G819+H819</x:f>
        <x:v>45236</x:v>
      </x:c>
      <x:c r="M819" s="28" t="n">
        <x:f>G819*J819/1000000</x:f>
        <x:v>0.41618</x:v>
      </x:c>
      <x:c r="N819" s="28" t="n">
        <x:f>H819*K819/1000000</x:f>
        <x:v>0.10854</x:v>
      </x:c>
      <x:c r="O819" s="28" t="n">
        <x:f>SUM(M819:N819)</x:f>
        <x:v>0.52472</x:v>
      </x:c>
    </x:row>
    <x:row r="820" ht="23" customHeight="1">
      <x:c r="A820" s="17" t="str">
        <x:v>U00814</x:v>
      </x:c>
      <x:c r="B820" s="18" t="n">
        <x:v>46274</x:v>
      </x:c>
      <x:c r="C820" s="17" t="str">
        <x:v>W0084</x:v>
      </x:c>
      <x:c r="D820" s="17" t="str">
        <x:v>C002</x:v>
      </x:c>
      <x:c r="E820" s="17" t="str">
        <x:v>CopyStudio</x:v>
      </x:c>
      <x:c r="F820" s="17" t="str">
        <x:v>Lite</x:v>
      </x:c>
      <x:c r="G820" s="17" t="n">
        <x:v>37916</x:v>
      </x:c>
      <x:c r="H820" s="17" t="n">
        <x:v>6202</x:v>
      </x:c>
      <x:c r="I820" s="17" t="str">
        <x:v>First attempt</x:v>
      </x:c>
      <x:c r="J820" s="27" t="n">
        <x:f>INDEX('Model Pricing'!$B$7:$B$8,MATCH(F820,'Model Pricing'!$A$7:$A$8,0))</x:f>
        <x:v>10</x:v>
      </x:c>
      <x:c r="K820" s="27" t="n">
        <x:f>INDEX('Model Pricing'!$C$7:$C$8,MATCH(F820,'Model Pricing'!$A$7:$A$8,0))</x:f>
        <x:v>30</x:v>
      </x:c>
      <x:c r="L820" s="17" t="n">
        <x:f>G820+H820</x:f>
        <x:v>44118</x:v>
      </x:c>
      <x:c r="M820" s="28" t="n">
        <x:f>G820*J820/1000000</x:f>
        <x:v>0.37916</x:v>
      </x:c>
      <x:c r="N820" s="28" t="n">
        <x:f>H820*K820/1000000</x:f>
        <x:v>0.18606</x:v>
      </x:c>
      <x:c r="O820" s="28" t="n">
        <x:f>SUM(M820:N820)</x:f>
        <x:v>0.5652200000000001</x:v>
      </x:c>
    </x:row>
    <x:row r="821" ht="23" customHeight="1">
      <x:c r="A821" s="17" t="str">
        <x:v>U00815</x:v>
      </x:c>
      <x:c r="B821" s="18" t="n">
        <x:v>46274</x:v>
      </x:c>
      <x:c r="C821" s="17" t="str">
        <x:v>W0084</x:v>
      </x:c>
      <x:c r="D821" s="17" t="str">
        <x:v>C002</x:v>
      </x:c>
      <x:c r="E821" s="17" t="str">
        <x:v>CopyStudio</x:v>
      </x:c>
      <x:c r="F821" s="17" t="str">
        <x:v>Lite</x:v>
      </x:c>
      <x:c r="G821" s="17" t="n">
        <x:v>19937</x:v>
      </x:c>
      <x:c r="H821" s="17" t="n">
        <x:v>8224</x:v>
      </x:c>
      <x:c r="I821" s="17" t="str">
        <x:v>Followup</x:v>
      </x:c>
      <x:c r="J821" s="27" t="n">
        <x:f>INDEX('Model Pricing'!$B$7:$B$8,MATCH(F821,'Model Pricing'!$A$7:$A$8,0))</x:f>
        <x:v>10</x:v>
      </x:c>
      <x:c r="K821" s="27" t="n">
        <x:f>INDEX('Model Pricing'!$C$7:$C$8,MATCH(F821,'Model Pricing'!$A$7:$A$8,0))</x:f>
        <x:v>30</x:v>
      </x:c>
      <x:c r="L821" s="17" t="n">
        <x:f>G821+H821</x:f>
        <x:v>28161</x:v>
      </x:c>
      <x:c r="M821" s="28" t="n">
        <x:f>G821*J821/1000000</x:f>
        <x:v>0.19937</x:v>
      </x:c>
      <x:c r="N821" s="28" t="n">
        <x:f>H821*K821/1000000</x:f>
        <x:v>0.24672</x:v>
      </x:c>
      <x:c r="O821" s="28" t="n">
        <x:f>SUM(M821:N821)</x:f>
        <x:v>0.44609</x:v>
      </x:c>
    </x:row>
    <x:row r="822" ht="23" customHeight="1">
      <x:c r="A822" s="17" t="str">
        <x:v>U00816</x:v>
      </x:c>
      <x:c r="B822" s="18" t="n">
        <x:v>46274</x:v>
      </x:c>
      <x:c r="C822" s="17" t="str">
        <x:v>W0084</x:v>
      </x:c>
      <x:c r="D822" s="17" t="str">
        <x:v>C002</x:v>
      </x:c>
      <x:c r="E822" s="17" t="str">
        <x:v>CopyStudio</x:v>
      </x:c>
      <x:c r="F822" s="17" t="str">
        <x:v>Lite</x:v>
      </x:c>
      <x:c r="G822" s="17" t="n">
        <x:v>24968</x:v>
      </x:c>
      <x:c r="H822" s="17" t="n">
        <x:v>11074</x:v>
      </x:c>
      <x:c r="I822" s="17" t="str">
        <x:v>Followup</x:v>
      </x:c>
      <x:c r="J822" s="27" t="n">
        <x:f>INDEX('Model Pricing'!$B$7:$B$8,MATCH(F822,'Model Pricing'!$A$7:$A$8,0))</x:f>
        <x:v>10</x:v>
      </x:c>
      <x:c r="K822" s="27" t="n">
        <x:f>INDEX('Model Pricing'!$C$7:$C$8,MATCH(F822,'Model Pricing'!$A$7:$A$8,0))</x:f>
        <x:v>30</x:v>
      </x:c>
      <x:c r="L822" s="17" t="n">
        <x:f>G822+H822</x:f>
        <x:v>36042</x:v>
      </x:c>
      <x:c r="M822" s="28" t="n">
        <x:f>G822*J822/1000000</x:f>
        <x:v>0.24968</x:v>
      </x:c>
      <x:c r="N822" s="28" t="n">
        <x:f>H822*K822/1000000</x:f>
        <x:v>0.33222</x:v>
      </x:c>
      <x:c r="O822" s="28" t="n">
        <x:f>SUM(M822:N822)</x:f>
        <x:v>0.5819000000000001</x:v>
      </x:c>
    </x:row>
    <x:row r="823" ht="23" customHeight="1">
      <x:c r="A823" s="17" t="str">
        <x:v>U00817</x:v>
      </x:c>
      <x:c r="B823" s="18" t="n">
        <x:v>46274</x:v>
      </x:c>
      <x:c r="C823" s="17" t="str">
        <x:v>W0084</x:v>
      </x:c>
      <x:c r="D823" s="17" t="str">
        <x:v>C002</x:v>
      </x:c>
      <x:c r="E823" s="17" t="str">
        <x:v>CopyStudio</x:v>
      </x:c>
      <x:c r="F823" s="17" t="str">
        <x:v>Lite</x:v>
      </x:c>
      <x:c r="G823" s="17" t="n">
        <x:v>15163</x:v>
      </x:c>
      <x:c r="H823" s="17" t="n">
        <x:v>5866</x:v>
      </x:c>
      <x:c r="I823" s="17" t="str">
        <x:v>Followup</x:v>
      </x:c>
      <x:c r="J823" s="27" t="n">
        <x:f>INDEX('Model Pricing'!$B$7:$B$8,MATCH(F823,'Model Pricing'!$A$7:$A$8,0))</x:f>
        <x:v>10</x:v>
      </x:c>
      <x:c r="K823" s="27" t="n">
        <x:f>INDEX('Model Pricing'!$C$7:$C$8,MATCH(F823,'Model Pricing'!$A$7:$A$8,0))</x:f>
        <x:v>30</x:v>
      </x:c>
      <x:c r="L823" s="17" t="n">
        <x:f>G823+H823</x:f>
        <x:v>21029</x:v>
      </x:c>
      <x:c r="M823" s="28" t="n">
        <x:f>G823*J823/1000000</x:f>
        <x:v>0.15163</x:v>
      </x:c>
      <x:c r="N823" s="28" t="n">
        <x:f>H823*K823/1000000</x:f>
        <x:v>0.17598</x:v>
      </x:c>
      <x:c r="O823" s="28" t="n">
        <x:f>SUM(M823:N823)</x:f>
        <x:v>0.32760999999999996</x:v>
      </x:c>
    </x:row>
    <x:row r="824" ht="23" customHeight="1">
      <x:c r="A824" s="17" t="str">
        <x:v>U00818</x:v>
      </x:c>
      <x:c r="B824" s="18" t="n">
        <x:v>46274</x:v>
      </x:c>
      <x:c r="C824" s="17" t="str">
        <x:v>W0084</x:v>
      </x:c>
      <x:c r="D824" s="17" t="str">
        <x:v>C002</x:v>
      </x:c>
      <x:c r="E824" s="17" t="str">
        <x:v>CopyStudio</x:v>
      </x:c>
      <x:c r="F824" s="17" t="str">
        <x:v>Lite</x:v>
      </x:c>
      <x:c r="G824" s="17" t="n">
        <x:v>37729</x:v>
      </x:c>
      <x:c r="H824" s="17" t="n">
        <x:v>4374</x:v>
      </x:c>
      <x:c r="I824" s="17" t="str">
        <x:v>Correction</x:v>
      </x:c>
      <x:c r="J824" s="27" t="n">
        <x:f>INDEX('Model Pricing'!$B$7:$B$8,MATCH(F824,'Model Pricing'!$A$7:$A$8,0))</x:f>
        <x:v>10</x:v>
      </x:c>
      <x:c r="K824" s="27" t="n">
        <x:f>INDEX('Model Pricing'!$C$7:$C$8,MATCH(F824,'Model Pricing'!$A$7:$A$8,0))</x:f>
        <x:v>30</x:v>
      </x:c>
      <x:c r="L824" s="17" t="n">
        <x:f>G824+H824</x:f>
        <x:v>42103</x:v>
      </x:c>
      <x:c r="M824" s="28" t="n">
        <x:f>G824*J824/1000000</x:f>
        <x:v>0.37729</x:v>
      </x:c>
      <x:c r="N824" s="28" t="n">
        <x:f>H824*K824/1000000</x:f>
        <x:v>0.13122</x:v>
      </x:c>
      <x:c r="O824" s="28" t="n">
        <x:f>SUM(M824:N824)</x:f>
        <x:v>0.50851</x:v>
      </x:c>
    </x:row>
    <x:row r="825" ht="23" customHeight="1">
      <x:c r="A825" s="17" t="str">
        <x:v>U00819</x:v>
      </x:c>
      <x:c r="B825" s="18" t="n">
        <x:v>46274</x:v>
      </x:c>
      <x:c r="C825" s="17" t="str">
        <x:v>W0084</x:v>
      </x:c>
      <x:c r="D825" s="17" t="str">
        <x:v>C002</x:v>
      </x:c>
      <x:c r="E825" s="17" t="str">
        <x:v>CopyStudio</x:v>
      </x:c>
      <x:c r="F825" s="17" t="str">
        <x:v>Lite</x:v>
      </x:c>
      <x:c r="G825" s="17" t="n">
        <x:v>34019</x:v>
      </x:c>
      <x:c r="H825" s="17" t="n">
        <x:v>4248</x:v>
      </x:c>
      <x:c r="I825" s="17" t="str">
        <x:v>Followup</x:v>
      </x:c>
      <x:c r="J825" s="27" t="n">
        <x:f>INDEX('Model Pricing'!$B$7:$B$8,MATCH(F825,'Model Pricing'!$A$7:$A$8,0))</x:f>
        <x:v>10</x:v>
      </x:c>
      <x:c r="K825" s="27" t="n">
        <x:f>INDEX('Model Pricing'!$C$7:$C$8,MATCH(F825,'Model Pricing'!$A$7:$A$8,0))</x:f>
        <x:v>30</x:v>
      </x:c>
      <x:c r="L825" s="17" t="n">
        <x:f>G825+H825</x:f>
        <x:v>38267</x:v>
      </x:c>
      <x:c r="M825" s="28" t="n">
        <x:f>G825*J825/1000000</x:f>
        <x:v>0.34019</x:v>
      </x:c>
      <x:c r="N825" s="28" t="n">
        <x:f>H825*K825/1000000</x:f>
        <x:v>0.12744</x:v>
      </x:c>
      <x:c r="O825" s="28" t="n">
        <x:f>SUM(M825:N825)</x:f>
        <x:v>0.46763</x:v>
      </x:c>
    </x:row>
    <x:row r="826" ht="23" customHeight="1">
      <x:c r="A826" s="17" t="str">
        <x:v>U00820</x:v>
      </x:c>
      <x:c r="B826" s="18" t="n">
        <x:v>46275</x:v>
      </x:c>
      <x:c r="C826" s="17" t="str">
        <x:v>W0084</x:v>
      </x:c>
      <x:c r="D826" s="17" t="str">
        <x:v>C002</x:v>
      </x:c>
      <x:c r="E826" s="17" t="str">
        <x:v>CopyStudio</x:v>
      </x:c>
      <x:c r="F826" s="17" t="str">
        <x:v>Lite</x:v>
      </x:c>
      <x:c r="G826" s="17" t="n">
        <x:v>32081</x:v>
      </x:c>
      <x:c r="H826" s="17" t="n">
        <x:v>10118</x:v>
      </x:c>
      <x:c r="I826" s="17" t="str">
        <x:v>Correction</x:v>
      </x:c>
      <x:c r="J826" s="27" t="n">
        <x:f>INDEX('Model Pricing'!$B$7:$B$8,MATCH(F826,'Model Pricing'!$A$7:$A$8,0))</x:f>
        <x:v>10</x:v>
      </x:c>
      <x:c r="K826" s="27" t="n">
        <x:f>INDEX('Model Pricing'!$C$7:$C$8,MATCH(F826,'Model Pricing'!$A$7:$A$8,0))</x:f>
        <x:v>30</x:v>
      </x:c>
      <x:c r="L826" s="17" t="n">
        <x:f>G826+H826</x:f>
        <x:v>42199</x:v>
      </x:c>
      <x:c r="M826" s="28" t="n">
        <x:f>G826*J826/1000000</x:f>
        <x:v>0.32081</x:v>
      </x:c>
      <x:c r="N826" s="28" t="n">
        <x:f>H826*K826/1000000</x:f>
        <x:v>0.30354</x:v>
      </x:c>
      <x:c r="O826" s="28" t="n">
        <x:f>SUM(M826:N826)</x:f>
        <x:v>0.62435</x:v>
      </x:c>
    </x:row>
    <x:row r="827" ht="23" customHeight="1">
      <x:c r="A827" s="17" t="str">
        <x:v>U00821</x:v>
      </x:c>
      <x:c r="B827" s="18" t="n">
        <x:v>46275</x:v>
      </x:c>
      <x:c r="C827" s="17" t="str">
        <x:v>W0084</x:v>
      </x:c>
      <x:c r="D827" s="17" t="str">
        <x:v>C002</x:v>
      </x:c>
      <x:c r="E827" s="17" t="str">
        <x:v>CopyStudio</x:v>
      </x:c>
      <x:c r="F827" s="17" t="str">
        <x:v>Lite</x:v>
      </x:c>
      <x:c r="G827" s="17" t="n">
        <x:v>40889</x:v>
      </x:c>
      <x:c r="H827" s="17" t="n">
        <x:v>11891</x:v>
      </x:c>
      <x:c r="I827" s="17" t="str">
        <x:v>Followup</x:v>
      </x:c>
      <x:c r="J827" s="27" t="n">
        <x:f>INDEX('Model Pricing'!$B$7:$B$8,MATCH(F827,'Model Pricing'!$A$7:$A$8,0))</x:f>
        <x:v>10</x:v>
      </x:c>
      <x:c r="K827" s="27" t="n">
        <x:f>INDEX('Model Pricing'!$C$7:$C$8,MATCH(F827,'Model Pricing'!$A$7:$A$8,0))</x:f>
        <x:v>30</x:v>
      </x:c>
      <x:c r="L827" s="17" t="n">
        <x:f>G827+H827</x:f>
        <x:v>52780</x:v>
      </x:c>
      <x:c r="M827" s="28" t="n">
        <x:f>G827*J827/1000000</x:f>
        <x:v>0.40889</x:v>
      </x:c>
      <x:c r="N827" s="28" t="n">
        <x:f>H827*K827/1000000</x:f>
        <x:v>0.35673</x:v>
      </x:c>
      <x:c r="O827" s="28" t="n">
        <x:f>SUM(M827:N827)</x:f>
        <x:v>0.76562</x:v>
      </x:c>
    </x:row>
    <x:row r="828" ht="23" customHeight="1">
      <x:c r="A828" s="17" t="str">
        <x:v>U00822</x:v>
      </x:c>
      <x:c r="B828" s="18" t="n">
        <x:v>46275</x:v>
      </x:c>
      <x:c r="C828" s="17" t="str">
        <x:v>W0084</x:v>
      </x:c>
      <x:c r="D828" s="17" t="str">
        <x:v>C002</x:v>
      </x:c>
      <x:c r="E828" s="17" t="str">
        <x:v>CopyStudio</x:v>
      </x:c>
      <x:c r="F828" s="17" t="str">
        <x:v>Lite</x:v>
      </x:c>
      <x:c r="G828" s="17" t="n">
        <x:v>15629</x:v>
      </x:c>
      <x:c r="H828" s="17" t="n">
        <x:v>3938</x:v>
      </x:c>
      <x:c r="I828" s="17" t="str">
        <x:v>Followup</x:v>
      </x:c>
      <x:c r="J828" s="27" t="n">
        <x:f>INDEX('Model Pricing'!$B$7:$B$8,MATCH(F828,'Model Pricing'!$A$7:$A$8,0))</x:f>
        <x:v>10</x:v>
      </x:c>
      <x:c r="K828" s="27" t="n">
        <x:f>INDEX('Model Pricing'!$C$7:$C$8,MATCH(F828,'Model Pricing'!$A$7:$A$8,0))</x:f>
        <x:v>30</x:v>
      </x:c>
      <x:c r="L828" s="17" t="n">
        <x:f>G828+H828</x:f>
        <x:v>19567</x:v>
      </x:c>
      <x:c r="M828" s="28" t="n">
        <x:f>G828*J828/1000000</x:f>
        <x:v>0.15629</x:v>
      </x:c>
      <x:c r="N828" s="28" t="n">
        <x:f>H828*K828/1000000</x:f>
        <x:v>0.11814</x:v>
      </x:c>
      <x:c r="O828" s="28" t="n">
        <x:f>SUM(M828:N828)</x:f>
        <x:v>0.27443</x:v>
      </x:c>
    </x:row>
    <x:row r="829" ht="23" customHeight="1">
      <x:c r="A829" s="17" t="str">
        <x:v>U00823</x:v>
      </x:c>
      <x:c r="B829" s="18" t="n">
        <x:v>46275</x:v>
      </x:c>
      <x:c r="C829" s="17" t="str">
        <x:v>W0084</x:v>
      </x:c>
      <x:c r="D829" s="17" t="str">
        <x:v>C002</x:v>
      </x:c>
      <x:c r="E829" s="17" t="str">
        <x:v>CopyStudio</x:v>
      </x:c>
      <x:c r="F829" s="17" t="str">
        <x:v>Lite</x:v>
      </x:c>
      <x:c r="G829" s="17" t="n">
        <x:v>40714</x:v>
      </x:c>
      <x:c r="H829" s="17" t="n">
        <x:v>3172</x:v>
      </x:c>
      <x:c r="I829" s="17" t="str">
        <x:v>Followup</x:v>
      </x:c>
      <x:c r="J829" s="27" t="n">
        <x:f>INDEX('Model Pricing'!$B$7:$B$8,MATCH(F829,'Model Pricing'!$A$7:$A$8,0))</x:f>
        <x:v>10</x:v>
      </x:c>
      <x:c r="K829" s="27" t="n">
        <x:f>INDEX('Model Pricing'!$C$7:$C$8,MATCH(F829,'Model Pricing'!$A$7:$A$8,0))</x:f>
        <x:v>30</x:v>
      </x:c>
      <x:c r="L829" s="17" t="n">
        <x:f>G829+H829</x:f>
        <x:v>43886</x:v>
      </x:c>
      <x:c r="M829" s="28" t="n">
        <x:f>G829*J829/1000000</x:f>
        <x:v>0.40714</x:v>
      </x:c>
      <x:c r="N829" s="28" t="n">
        <x:f>H829*K829/1000000</x:f>
        <x:v>0.09516</x:v>
      </x:c>
      <x:c r="O829" s="28" t="n">
        <x:f>SUM(M829:N829)</x:f>
        <x:v>0.5023</x:v>
      </x:c>
    </x:row>
    <x:row r="830" ht="23" customHeight="1">
      <x:c r="A830" s="17" t="str">
        <x:v>U00824</x:v>
      </x:c>
      <x:c r="B830" s="18" t="n">
        <x:v>46275</x:v>
      </x:c>
      <x:c r="C830" s="17" t="str">
        <x:v>W0084</x:v>
      </x:c>
      <x:c r="D830" s="17" t="str">
        <x:v>C002</x:v>
      </x:c>
      <x:c r="E830" s="17" t="str">
        <x:v>CopyStudio</x:v>
      </x:c>
      <x:c r="F830" s="17" t="str">
        <x:v>Lite</x:v>
      </x:c>
      <x:c r="G830" s="17" t="n">
        <x:v>43011</x:v>
      </x:c>
      <x:c r="H830" s="17" t="n">
        <x:v>6671</x:v>
      </x:c>
      <x:c r="I830" s="17" t="str">
        <x:v>Followup</x:v>
      </x:c>
      <x:c r="J830" s="27" t="n">
        <x:f>INDEX('Model Pricing'!$B$7:$B$8,MATCH(F830,'Model Pricing'!$A$7:$A$8,0))</x:f>
        <x:v>10</x:v>
      </x:c>
      <x:c r="K830" s="27" t="n">
        <x:f>INDEX('Model Pricing'!$C$7:$C$8,MATCH(F830,'Model Pricing'!$A$7:$A$8,0))</x:f>
        <x:v>30</x:v>
      </x:c>
      <x:c r="L830" s="17" t="n">
        <x:f>G830+H830</x:f>
        <x:v>49682</x:v>
      </x:c>
      <x:c r="M830" s="28" t="n">
        <x:f>G830*J830/1000000</x:f>
        <x:v>0.43011</x:v>
      </x:c>
      <x:c r="N830" s="28" t="n">
        <x:f>H830*K830/1000000</x:f>
        <x:v>0.20013</x:v>
      </x:c>
      <x:c r="O830" s="28" t="n">
        <x:f>SUM(M830:N830)</x:f>
        <x:v>0.63024</x:v>
      </x:c>
    </x:row>
    <x:row r="831" ht="23" customHeight="1">
      <x:c r="A831" s="17" t="str">
        <x:v>U00825</x:v>
      </x:c>
      <x:c r="B831" s="18" t="n">
        <x:v>46275</x:v>
      </x:c>
      <x:c r="C831" s="17" t="str">
        <x:v>W0084</x:v>
      </x:c>
      <x:c r="D831" s="17" t="str">
        <x:v>C002</x:v>
      </x:c>
      <x:c r="E831" s="17" t="str">
        <x:v>CopyStudio</x:v>
      </x:c>
      <x:c r="F831" s="17" t="str">
        <x:v>Lite</x:v>
      </x:c>
      <x:c r="G831" s="17" t="n">
        <x:v>20207</x:v>
      </x:c>
      <x:c r="H831" s="17" t="n">
        <x:v>10146</x:v>
      </x:c>
      <x:c r="I831" s="17" t="str">
        <x:v>Followup</x:v>
      </x:c>
      <x:c r="J831" s="27" t="n">
        <x:f>INDEX('Model Pricing'!$B$7:$B$8,MATCH(F831,'Model Pricing'!$A$7:$A$8,0))</x:f>
        <x:v>10</x:v>
      </x:c>
      <x:c r="K831" s="27" t="n">
        <x:f>INDEX('Model Pricing'!$C$7:$C$8,MATCH(F831,'Model Pricing'!$A$7:$A$8,0))</x:f>
        <x:v>30</x:v>
      </x:c>
      <x:c r="L831" s="17" t="n">
        <x:f>G831+H831</x:f>
        <x:v>30353</x:v>
      </x:c>
      <x:c r="M831" s="28" t="n">
        <x:f>G831*J831/1000000</x:f>
        <x:v>0.20207</x:v>
      </x:c>
      <x:c r="N831" s="28" t="n">
        <x:f>H831*K831/1000000</x:f>
        <x:v>0.30438</x:v>
      </x:c>
      <x:c r="O831" s="28" t="n">
        <x:f>SUM(M831:N831)</x:f>
        <x:v>0.50645</x:v>
      </x:c>
    </x:row>
    <x:row r="832" ht="23" customHeight="1">
      <x:c r="A832" s="17" t="str">
        <x:v>U00826</x:v>
      </x:c>
      <x:c r="B832" s="18" t="n">
        <x:v>46276</x:v>
      </x:c>
      <x:c r="C832" s="17" t="str">
        <x:v>W0084</x:v>
      </x:c>
      <x:c r="D832" s="17" t="str">
        <x:v>C002</x:v>
      </x:c>
      <x:c r="E832" s="17" t="str">
        <x:v>CopyStudio</x:v>
      </x:c>
      <x:c r="F832" s="17" t="str">
        <x:v>Lite</x:v>
      </x:c>
      <x:c r="G832" s="17" t="n">
        <x:v>27013</x:v>
      </x:c>
      <x:c r="H832" s="17" t="n">
        <x:v>11347</x:v>
      </x:c>
      <x:c r="I832" s="17" t="str">
        <x:v>Correction</x:v>
      </x:c>
      <x:c r="J832" s="27" t="n">
        <x:f>INDEX('Model Pricing'!$B$7:$B$8,MATCH(F832,'Model Pricing'!$A$7:$A$8,0))</x:f>
        <x:v>10</x:v>
      </x:c>
      <x:c r="K832" s="27" t="n">
        <x:f>INDEX('Model Pricing'!$C$7:$C$8,MATCH(F832,'Model Pricing'!$A$7:$A$8,0))</x:f>
        <x:v>30</x:v>
      </x:c>
      <x:c r="L832" s="17" t="n">
        <x:f>G832+H832</x:f>
        <x:v>38360</x:v>
      </x:c>
      <x:c r="M832" s="28" t="n">
        <x:f>G832*J832/1000000</x:f>
        <x:v>0.27013</x:v>
      </x:c>
      <x:c r="N832" s="28" t="n">
        <x:f>H832*K832/1000000</x:f>
        <x:v>0.34041</x:v>
      </x:c>
      <x:c r="O832" s="28" t="n">
        <x:f>SUM(M832:N832)</x:f>
        <x:v>0.61054</x:v>
      </x:c>
    </x:row>
    <x:row r="833" ht="23" customHeight="1">
      <x:c r="A833" s="17" t="str">
        <x:v>U00827</x:v>
      </x:c>
      <x:c r="B833" s="18" t="n">
        <x:v>46276</x:v>
      </x:c>
      <x:c r="C833" s="17" t="str">
        <x:v>W0084</x:v>
      </x:c>
      <x:c r="D833" s="17" t="str">
        <x:v>C002</x:v>
      </x:c>
      <x:c r="E833" s="17" t="str">
        <x:v>CopyStudio</x:v>
      </x:c>
      <x:c r="F833" s="17" t="str">
        <x:v>Lite</x:v>
      </x:c>
      <x:c r="G833" s="17" t="n">
        <x:v>34311</x:v>
      </x:c>
      <x:c r="H833" s="17" t="n">
        <x:v>8128</x:v>
      </x:c>
      <x:c r="I833" s="17" t="str">
        <x:v>Correction</x:v>
      </x:c>
      <x:c r="J833" s="27" t="n">
        <x:f>INDEX('Model Pricing'!$B$7:$B$8,MATCH(F833,'Model Pricing'!$A$7:$A$8,0))</x:f>
        <x:v>10</x:v>
      </x:c>
      <x:c r="K833" s="27" t="n">
        <x:f>INDEX('Model Pricing'!$C$7:$C$8,MATCH(F833,'Model Pricing'!$A$7:$A$8,0))</x:f>
        <x:v>30</x:v>
      </x:c>
      <x:c r="L833" s="17" t="n">
        <x:f>G833+H833</x:f>
        <x:v>42439</x:v>
      </x:c>
      <x:c r="M833" s="28" t="n">
        <x:f>G833*J833/1000000</x:f>
        <x:v>0.34311</x:v>
      </x:c>
      <x:c r="N833" s="28" t="n">
        <x:f>H833*K833/1000000</x:f>
        <x:v>0.24384</x:v>
      </x:c>
      <x:c r="O833" s="28" t="n">
        <x:f>SUM(M833:N833)</x:f>
        <x:v>0.5869500000000001</x:v>
      </x:c>
    </x:row>
    <x:row r="834" ht="23" customHeight="1">
      <x:c r="A834" s="17" t="str">
        <x:v>U00828</x:v>
      </x:c>
      <x:c r="B834" s="18" t="n">
        <x:v>46276</x:v>
      </x:c>
      <x:c r="C834" s="17" t="str">
        <x:v>W0084</x:v>
      </x:c>
      <x:c r="D834" s="17" t="str">
        <x:v>C002</x:v>
      </x:c>
      <x:c r="E834" s="17" t="str">
        <x:v>CopyStudio</x:v>
      </x:c>
      <x:c r="F834" s="17" t="str">
        <x:v>Lite</x:v>
      </x:c>
      <x:c r="G834" s="17" t="n">
        <x:v>14756</x:v>
      </x:c>
      <x:c r="H834" s="17" t="n">
        <x:v>6585</x:v>
      </x:c>
      <x:c r="I834" s="17" t="str">
        <x:v>Followup</x:v>
      </x:c>
      <x:c r="J834" s="27" t="n">
        <x:f>INDEX('Model Pricing'!$B$7:$B$8,MATCH(F834,'Model Pricing'!$A$7:$A$8,0))</x:f>
        <x:v>10</x:v>
      </x:c>
      <x:c r="K834" s="27" t="n">
        <x:f>INDEX('Model Pricing'!$C$7:$C$8,MATCH(F834,'Model Pricing'!$A$7:$A$8,0))</x:f>
        <x:v>30</x:v>
      </x:c>
      <x:c r="L834" s="17" t="n">
        <x:f>G834+H834</x:f>
        <x:v>21341</x:v>
      </x:c>
      <x:c r="M834" s="28" t="n">
        <x:f>G834*J834/1000000</x:f>
        <x:v>0.14756</x:v>
      </x:c>
      <x:c r="N834" s="28" t="n">
        <x:f>H834*K834/1000000</x:f>
        <x:v>0.19755</x:v>
      </x:c>
      <x:c r="O834" s="28" t="n">
        <x:f>SUM(M834:N834)</x:f>
        <x:v>0.34511000000000003</x:v>
      </x:c>
    </x:row>
    <x:row r="835" ht="23" customHeight="1">
      <x:c r="A835" s="17" t="str">
        <x:v>U00829</x:v>
      </x:c>
      <x:c r="B835" s="18" t="n">
        <x:v>46276</x:v>
      </x:c>
      <x:c r="C835" s="17" t="str">
        <x:v>W0084</x:v>
      </x:c>
      <x:c r="D835" s="17" t="str">
        <x:v>C002</x:v>
      </x:c>
      <x:c r="E835" s="17" t="str">
        <x:v>CopyStudio</x:v>
      </x:c>
      <x:c r="F835" s="17" t="str">
        <x:v>Lite</x:v>
      </x:c>
      <x:c r="G835" s="17" t="n">
        <x:v>21336</x:v>
      </x:c>
      <x:c r="H835" s="17" t="n">
        <x:v>6805</x:v>
      </x:c>
      <x:c r="I835" s="17" t="str">
        <x:v>Followup</x:v>
      </x:c>
      <x:c r="J835" s="27" t="n">
        <x:f>INDEX('Model Pricing'!$B$7:$B$8,MATCH(F835,'Model Pricing'!$A$7:$A$8,0))</x:f>
        <x:v>10</x:v>
      </x:c>
      <x:c r="K835" s="27" t="n">
        <x:f>INDEX('Model Pricing'!$C$7:$C$8,MATCH(F835,'Model Pricing'!$A$7:$A$8,0))</x:f>
        <x:v>30</x:v>
      </x:c>
      <x:c r="L835" s="17" t="n">
        <x:f>G835+H835</x:f>
        <x:v>28141</x:v>
      </x:c>
      <x:c r="M835" s="28" t="n">
        <x:f>G835*J835/1000000</x:f>
        <x:v>0.21336</x:v>
      </x:c>
      <x:c r="N835" s="28" t="n">
        <x:f>H835*K835/1000000</x:f>
        <x:v>0.20415</x:v>
      </x:c>
      <x:c r="O835" s="28" t="n">
        <x:f>SUM(M835:N835)</x:f>
        <x:v>0.41751</x:v>
      </x:c>
    </x:row>
    <x:row r="836" ht="23" customHeight="1">
      <x:c r="A836" s="17" t="str">
        <x:v>U00830</x:v>
      </x:c>
      <x:c r="B836" s="18" t="n">
        <x:v>46276</x:v>
      </x:c>
      <x:c r="C836" s="17" t="str">
        <x:v>W0084</x:v>
      </x:c>
      <x:c r="D836" s="17" t="str">
        <x:v>C002</x:v>
      </x:c>
      <x:c r="E836" s="17" t="str">
        <x:v>CopyStudio</x:v>
      </x:c>
      <x:c r="F836" s="17" t="str">
        <x:v>Lite</x:v>
      </x:c>
      <x:c r="G836" s="17" t="n">
        <x:v>23086</x:v>
      </x:c>
      <x:c r="H836" s="17" t="n">
        <x:v>3231</x:v>
      </x:c>
      <x:c r="I836" s="17" t="str">
        <x:v>Followup</x:v>
      </x:c>
      <x:c r="J836" s="27" t="n">
        <x:f>INDEX('Model Pricing'!$B$7:$B$8,MATCH(F836,'Model Pricing'!$A$7:$A$8,0))</x:f>
        <x:v>10</x:v>
      </x:c>
      <x:c r="K836" s="27" t="n">
        <x:f>INDEX('Model Pricing'!$C$7:$C$8,MATCH(F836,'Model Pricing'!$A$7:$A$8,0))</x:f>
        <x:v>30</x:v>
      </x:c>
      <x:c r="L836" s="17" t="n">
        <x:f>G836+H836</x:f>
        <x:v>26317</x:v>
      </x:c>
      <x:c r="M836" s="28" t="n">
        <x:f>G836*J836/1000000</x:f>
        <x:v>0.23086</x:v>
      </x:c>
      <x:c r="N836" s="28" t="n">
        <x:f>H836*K836/1000000</x:f>
        <x:v>0.09693</x:v>
      </x:c>
      <x:c r="O836" s="28" t="n">
        <x:f>SUM(M836:N836)</x:f>
        <x:v>0.32779</x:v>
      </x:c>
    </x:row>
    <x:row r="837" ht="23" customHeight="1">
      <x:c r="A837" s="17" t="str">
        <x:v>U00831</x:v>
      </x:c>
      <x:c r="B837" s="18" t="n">
        <x:v>46276</x:v>
      </x:c>
      <x:c r="C837" s="17" t="str">
        <x:v>W0084</x:v>
      </x:c>
      <x:c r="D837" s="17" t="str">
        <x:v>C002</x:v>
      </x:c>
      <x:c r="E837" s="17" t="str">
        <x:v>CopyStudio</x:v>
      </x:c>
      <x:c r="F837" s="17" t="str">
        <x:v>Lite</x:v>
      </x:c>
      <x:c r="G837" s="17" t="n">
        <x:v>29025</x:v>
      </x:c>
      <x:c r="H837" s="17" t="n">
        <x:v>9952</x:v>
      </x:c>
      <x:c r="I837" s="17" t="str">
        <x:v>Followup</x:v>
      </x:c>
      <x:c r="J837" s="27" t="n">
        <x:f>INDEX('Model Pricing'!$B$7:$B$8,MATCH(F837,'Model Pricing'!$A$7:$A$8,0))</x:f>
        <x:v>10</x:v>
      </x:c>
      <x:c r="K837" s="27" t="n">
        <x:f>INDEX('Model Pricing'!$C$7:$C$8,MATCH(F837,'Model Pricing'!$A$7:$A$8,0))</x:f>
        <x:v>30</x:v>
      </x:c>
      <x:c r="L837" s="17" t="n">
        <x:f>G837+H837</x:f>
        <x:v>38977</x:v>
      </x:c>
      <x:c r="M837" s="28" t="n">
        <x:f>G837*J837/1000000</x:f>
        <x:v>0.29025</x:v>
      </x:c>
      <x:c r="N837" s="28" t="n">
        <x:f>H837*K837/1000000</x:f>
        <x:v>0.29856</x:v>
      </x:c>
      <x:c r="O837" s="28" t="n">
        <x:f>SUM(M837:N837)</x:f>
        <x:v>0.5888100000000001</x:v>
      </x:c>
    </x:row>
    <x:row r="838" ht="23" customHeight="1">
      <x:c r="A838" s="17" t="str">
        <x:v>U00832</x:v>
      </x:c>
      <x:c r="B838" s="18" t="n">
        <x:v>46279</x:v>
      </x:c>
      <x:c r="C838" s="17" t="str">
        <x:v>W0084</x:v>
      </x:c>
      <x:c r="D838" s="17" t="str">
        <x:v>C002</x:v>
      </x:c>
      <x:c r="E838" s="17" t="str">
        <x:v>CopyStudio</x:v>
      </x:c>
      <x:c r="F838" s="17" t="str">
        <x:v>Lite</x:v>
      </x:c>
      <x:c r="G838" s="17" t="n">
        <x:v>15654</x:v>
      </x:c>
      <x:c r="H838" s="17" t="n">
        <x:v>5643</x:v>
      </x:c>
      <x:c r="I838" s="17" t="str">
        <x:v>Correction</x:v>
      </x:c>
      <x:c r="J838" s="27" t="n">
        <x:f>INDEX('Model Pricing'!$B$7:$B$8,MATCH(F838,'Model Pricing'!$A$7:$A$8,0))</x:f>
        <x:v>10</x:v>
      </x:c>
      <x:c r="K838" s="27" t="n">
        <x:f>INDEX('Model Pricing'!$C$7:$C$8,MATCH(F838,'Model Pricing'!$A$7:$A$8,0))</x:f>
        <x:v>30</x:v>
      </x:c>
      <x:c r="L838" s="17" t="n">
        <x:f>G838+H838</x:f>
        <x:v>21297</x:v>
      </x:c>
      <x:c r="M838" s="28" t="n">
        <x:f>G838*J838/1000000</x:f>
        <x:v>0.15654</x:v>
      </x:c>
      <x:c r="N838" s="28" t="n">
        <x:f>H838*K838/1000000</x:f>
        <x:v>0.16929</x:v>
      </x:c>
      <x:c r="O838" s="28" t="n">
        <x:f>SUM(M838:N838)</x:f>
        <x:v>0.32583</x:v>
      </x:c>
    </x:row>
    <x:row r="839" ht="23" customHeight="1">
      <x:c r="A839" s="17" t="str">
        <x:v>U00833</x:v>
      </x:c>
      <x:c r="B839" s="18" t="n">
        <x:v>46279</x:v>
      </x:c>
      <x:c r="C839" s="17" t="str">
        <x:v>W0084</x:v>
      </x:c>
      <x:c r="D839" s="17" t="str">
        <x:v>C002</x:v>
      </x:c>
      <x:c r="E839" s="17" t="str">
        <x:v>CopyStudio</x:v>
      </x:c>
      <x:c r="F839" s="17" t="str">
        <x:v>Lite</x:v>
      </x:c>
      <x:c r="G839" s="17" t="n">
        <x:v>40751</x:v>
      </x:c>
      <x:c r="H839" s="17" t="n">
        <x:v>11075</x:v>
      </x:c>
      <x:c r="I839" s="17" t="str">
        <x:v>Followup</x:v>
      </x:c>
      <x:c r="J839" s="27" t="n">
        <x:f>INDEX('Model Pricing'!$B$7:$B$8,MATCH(F839,'Model Pricing'!$A$7:$A$8,0))</x:f>
        <x:v>10</x:v>
      </x:c>
      <x:c r="K839" s="27" t="n">
        <x:f>INDEX('Model Pricing'!$C$7:$C$8,MATCH(F839,'Model Pricing'!$A$7:$A$8,0))</x:f>
        <x:v>30</x:v>
      </x:c>
      <x:c r="L839" s="17" t="n">
        <x:f>G839+H839</x:f>
        <x:v>51826</x:v>
      </x:c>
      <x:c r="M839" s="28" t="n">
        <x:f>G839*J839/1000000</x:f>
        <x:v>0.40751</x:v>
      </x:c>
      <x:c r="N839" s="28" t="n">
        <x:f>H839*K839/1000000</x:f>
        <x:v>0.33225</x:v>
      </x:c>
      <x:c r="O839" s="28" t="n">
        <x:f>SUM(M839:N839)</x:f>
        <x:v>0.73976</x:v>
      </x:c>
    </x:row>
    <x:row r="840" ht="23" customHeight="1">
      <x:c r="A840" s="17" t="str">
        <x:v>U00834</x:v>
      </x:c>
      <x:c r="B840" s="18" t="n">
        <x:v>46279</x:v>
      </x:c>
      <x:c r="C840" s="17" t="str">
        <x:v>W0084</x:v>
      </x:c>
      <x:c r="D840" s="17" t="str">
        <x:v>C002</x:v>
      </x:c>
      <x:c r="E840" s="17" t="str">
        <x:v>CopyStudio</x:v>
      </x:c>
      <x:c r="F840" s="17" t="str">
        <x:v>Lite</x:v>
      </x:c>
      <x:c r="G840" s="17" t="n">
        <x:v>27718</x:v>
      </x:c>
      <x:c r="H840" s="17" t="n">
        <x:v>3120</x:v>
      </x:c>
      <x:c r="I840" s="17" t="str">
        <x:v>Correction</x:v>
      </x:c>
      <x:c r="J840" s="27" t="n">
        <x:f>INDEX('Model Pricing'!$B$7:$B$8,MATCH(F840,'Model Pricing'!$A$7:$A$8,0))</x:f>
        <x:v>10</x:v>
      </x:c>
      <x:c r="K840" s="27" t="n">
        <x:f>INDEX('Model Pricing'!$C$7:$C$8,MATCH(F840,'Model Pricing'!$A$7:$A$8,0))</x:f>
        <x:v>30</x:v>
      </x:c>
      <x:c r="L840" s="17" t="n">
        <x:f>G840+H840</x:f>
        <x:v>30838</x:v>
      </x:c>
      <x:c r="M840" s="28" t="n">
        <x:f>G840*J840/1000000</x:f>
        <x:v>0.27718</x:v>
      </x:c>
      <x:c r="N840" s="28" t="n">
        <x:f>H840*K840/1000000</x:f>
        <x:v>0.0936</x:v>
      </x:c>
      <x:c r="O840" s="28" t="n">
        <x:f>SUM(M840:N840)</x:f>
        <x:v>0.37078</x:v>
      </x:c>
    </x:row>
    <x:row r="841" ht="23" customHeight="1">
      <x:c r="A841" s="17" t="str">
        <x:v>U00835</x:v>
      </x:c>
      <x:c r="B841" s="18" t="n">
        <x:v>46279</x:v>
      </x:c>
      <x:c r="C841" s="17" t="str">
        <x:v>W0084</x:v>
      </x:c>
      <x:c r="D841" s="17" t="str">
        <x:v>C002</x:v>
      </x:c>
      <x:c r="E841" s="17" t="str">
        <x:v>CopyStudio</x:v>
      </x:c>
      <x:c r="F841" s="17" t="str">
        <x:v>Lite</x:v>
      </x:c>
      <x:c r="G841" s="17" t="n">
        <x:v>15217</x:v>
      </x:c>
      <x:c r="H841" s="17" t="n">
        <x:v>11451</x:v>
      </x:c>
      <x:c r="I841" s="17" t="str">
        <x:v>Followup</x:v>
      </x:c>
      <x:c r="J841" s="27" t="n">
        <x:f>INDEX('Model Pricing'!$B$7:$B$8,MATCH(F841,'Model Pricing'!$A$7:$A$8,0))</x:f>
        <x:v>10</x:v>
      </x:c>
      <x:c r="K841" s="27" t="n">
        <x:f>INDEX('Model Pricing'!$C$7:$C$8,MATCH(F841,'Model Pricing'!$A$7:$A$8,0))</x:f>
        <x:v>30</x:v>
      </x:c>
      <x:c r="L841" s="17" t="n">
        <x:f>G841+H841</x:f>
        <x:v>26668</x:v>
      </x:c>
      <x:c r="M841" s="28" t="n">
        <x:f>G841*J841/1000000</x:f>
        <x:v>0.15217</x:v>
      </x:c>
      <x:c r="N841" s="28" t="n">
        <x:f>H841*K841/1000000</x:f>
        <x:v>0.34353</x:v>
      </x:c>
      <x:c r="O841" s="28" t="n">
        <x:f>SUM(M841:N841)</x:f>
        <x:v>0.49570000000000003</x:v>
      </x:c>
    </x:row>
    <x:row r="842" ht="23" customHeight="1">
      <x:c r="A842" s="17" t="str">
        <x:v>U00836</x:v>
      </x:c>
      <x:c r="B842" s="18" t="n">
        <x:v>46279</x:v>
      </x:c>
      <x:c r="C842" s="17" t="str">
        <x:v>W0084</x:v>
      </x:c>
      <x:c r="D842" s="17" t="str">
        <x:v>C002</x:v>
      </x:c>
      <x:c r="E842" s="17" t="str">
        <x:v>CopyStudio</x:v>
      </x:c>
      <x:c r="F842" s="17" t="str">
        <x:v>Lite</x:v>
      </x:c>
      <x:c r="G842" s="17" t="n">
        <x:v>39385</x:v>
      </x:c>
      <x:c r="H842" s="17" t="n">
        <x:v>11024</x:v>
      </x:c>
      <x:c r="I842" s="17" t="str">
        <x:v>Followup</x:v>
      </x:c>
      <x:c r="J842" s="27" t="n">
        <x:f>INDEX('Model Pricing'!$B$7:$B$8,MATCH(F842,'Model Pricing'!$A$7:$A$8,0))</x:f>
        <x:v>10</x:v>
      </x:c>
      <x:c r="K842" s="27" t="n">
        <x:f>INDEX('Model Pricing'!$C$7:$C$8,MATCH(F842,'Model Pricing'!$A$7:$A$8,0))</x:f>
        <x:v>30</x:v>
      </x:c>
      <x:c r="L842" s="17" t="n">
        <x:f>G842+H842</x:f>
        <x:v>50409</x:v>
      </x:c>
      <x:c r="M842" s="28" t="n">
        <x:f>G842*J842/1000000</x:f>
        <x:v>0.39385</x:v>
      </x:c>
      <x:c r="N842" s="28" t="n">
        <x:f>H842*K842/1000000</x:f>
        <x:v>0.33072</x:v>
      </x:c>
      <x:c r="O842" s="28" t="n">
        <x:f>SUM(M842:N842)</x:f>
        <x:v>0.7245699999999999</x:v>
      </x:c>
    </x:row>
    <x:row r="843" ht="23" customHeight="1">
      <x:c r="A843" s="17" t="str">
        <x:v>U00837</x:v>
      </x:c>
      <x:c r="B843" s="18" t="n">
        <x:v>46279</x:v>
      </x:c>
      <x:c r="C843" s="17" t="str">
        <x:v>W0084</x:v>
      </x:c>
      <x:c r="D843" s="17" t="str">
        <x:v>C002</x:v>
      </x:c>
      <x:c r="E843" s="17" t="str">
        <x:v>CopyStudio</x:v>
      </x:c>
      <x:c r="F843" s="17" t="str">
        <x:v>Lite</x:v>
      </x:c>
      <x:c r="G843" s="17" t="n">
        <x:v>18211</x:v>
      </x:c>
      <x:c r="H843" s="17" t="n">
        <x:v>7728</x:v>
      </x:c>
      <x:c r="I843" s="17" t="str">
        <x:v>Followup</x:v>
      </x:c>
      <x:c r="J843" s="27" t="n">
        <x:f>INDEX('Model Pricing'!$B$7:$B$8,MATCH(F843,'Model Pricing'!$A$7:$A$8,0))</x:f>
        <x:v>10</x:v>
      </x:c>
      <x:c r="K843" s="27" t="n">
        <x:f>INDEX('Model Pricing'!$C$7:$C$8,MATCH(F843,'Model Pricing'!$A$7:$A$8,0))</x:f>
        <x:v>30</x:v>
      </x:c>
      <x:c r="L843" s="17" t="n">
        <x:f>G843+H843</x:f>
        <x:v>25939</x:v>
      </x:c>
      <x:c r="M843" s="28" t="n">
        <x:f>G843*J843/1000000</x:f>
        <x:v>0.18211</x:v>
      </x:c>
      <x:c r="N843" s="28" t="n">
        <x:f>H843*K843/1000000</x:f>
        <x:v>0.23184</x:v>
      </x:c>
      <x:c r="O843" s="28" t="n">
        <x:f>SUM(M843:N843)</x:f>
        <x:v>0.41395</x:v>
      </x:c>
    </x:row>
    <x:row r="844" ht="23" customHeight="1">
      <x:c r="A844" s="17" t="str">
        <x:v>U00838</x:v>
      </x:c>
      <x:c r="B844" s="18" t="n">
        <x:v>46288</x:v>
      </x:c>
      <x:c r="C844" s="17" t="str">
        <x:v>W0088</x:v>
      </x:c>
      <x:c r="D844" s="17" t="str">
        <x:v>C002</x:v>
      </x:c>
      <x:c r="E844" s="17" t="str">
        <x:v>DataFlow</x:v>
      </x:c>
      <x:c r="F844" s="17" t="str">
        <x:v>Lite</x:v>
      </x:c>
      <x:c r="G844" s="17" t="n">
        <x:v>25350</x:v>
      </x:c>
      <x:c r="H844" s="17" t="n">
        <x:v>2750</x:v>
      </x:c>
      <x:c r="I844" s="17" t="str">
        <x:v>First attempt</x:v>
      </x:c>
      <x:c r="J844" s="27" t="n">
        <x:f>INDEX('Model Pricing'!$B$7:$B$8,MATCH(F844,'Model Pricing'!$A$7:$A$8,0))</x:f>
        <x:v>10</x:v>
      </x:c>
      <x:c r="K844" s="27" t="n">
        <x:f>INDEX('Model Pricing'!$C$7:$C$8,MATCH(F844,'Model Pricing'!$A$7:$A$8,0))</x:f>
        <x:v>30</x:v>
      </x:c>
      <x:c r="L844" s="17" t="n">
        <x:f>G844+H844</x:f>
        <x:v>28100</x:v>
      </x:c>
      <x:c r="M844" s="28" t="n">
        <x:f>G844*J844/1000000</x:f>
        <x:v>0.2535</x:v>
      </x:c>
      <x:c r="N844" s="28" t="n">
        <x:f>H844*K844/1000000</x:f>
        <x:v>0.0825</x:v>
      </x:c>
      <x:c r="O844" s="28" t="n">
        <x:f>SUM(M844:N844)</x:f>
        <x:v>0.336</x:v>
      </x:c>
    </x:row>
    <x:row r="845" ht="23" customHeight="1">
      <x:c r="A845" s="17" t="str">
        <x:v>U00839</x:v>
      </x:c>
      <x:c r="B845" s="18" t="n">
        <x:v>46288</x:v>
      </x:c>
      <x:c r="C845" s="17" t="str">
        <x:v>W0088</x:v>
      </x:c>
      <x:c r="D845" s="17" t="str">
        <x:v>C002</x:v>
      </x:c>
      <x:c r="E845" s="17" t="str">
        <x:v>DataFlow</x:v>
      </x:c>
      <x:c r="F845" s="17" t="str">
        <x:v>Lite</x:v>
      </x:c>
      <x:c r="G845" s="17" t="n">
        <x:v>38736</x:v>
      </x:c>
      <x:c r="H845" s="17" t="n">
        <x:v>1805</x:v>
      </x:c>
      <x:c r="I845" s="17" t="str">
        <x:v>Correction</x:v>
      </x:c>
      <x:c r="J845" s="27" t="n">
        <x:f>INDEX('Model Pricing'!$B$7:$B$8,MATCH(F845,'Model Pricing'!$A$7:$A$8,0))</x:f>
        <x:v>10</x:v>
      </x:c>
      <x:c r="K845" s="27" t="n">
        <x:f>INDEX('Model Pricing'!$C$7:$C$8,MATCH(F845,'Model Pricing'!$A$7:$A$8,0))</x:f>
        <x:v>30</x:v>
      </x:c>
      <x:c r="L845" s="17" t="n">
        <x:f>G845+H845</x:f>
        <x:v>40541</x:v>
      </x:c>
      <x:c r="M845" s="28" t="n">
        <x:f>G845*J845/1000000</x:f>
        <x:v>0.38736</x:v>
      </x:c>
      <x:c r="N845" s="28" t="n">
        <x:f>H845*K845/1000000</x:f>
        <x:v>0.05415</x:v>
      </x:c>
      <x:c r="O845" s="28" t="n">
        <x:f>SUM(M845:N845)</x:f>
        <x:v>0.44150999999999996</x:v>
      </x:c>
    </x:row>
    <x:row r="846" ht="23" customHeight="1">
      <x:c r="A846" s="17" t="str">
        <x:v>U00840</x:v>
      </x:c>
      <x:c r="B846" s="18" t="n">
        <x:v>46288</x:v>
      </x:c>
      <x:c r="C846" s="17" t="str">
        <x:v>W0088</x:v>
      </x:c>
      <x:c r="D846" s="17" t="str">
        <x:v>C002</x:v>
      </x:c>
      <x:c r="E846" s="17" t="str">
        <x:v>DataFlow</x:v>
      </x:c>
      <x:c r="F846" s="17" t="str">
        <x:v>Lite</x:v>
      </x:c>
      <x:c r="G846" s="17" t="n">
        <x:v>33776</x:v>
      </x:c>
      <x:c r="H846" s="17" t="n">
        <x:v>4573</x:v>
      </x:c>
      <x:c r="I846" s="17" t="str">
        <x:v>Correction</x:v>
      </x:c>
      <x:c r="J846" s="27" t="n">
        <x:f>INDEX('Model Pricing'!$B$7:$B$8,MATCH(F846,'Model Pricing'!$A$7:$A$8,0))</x:f>
        <x:v>10</x:v>
      </x:c>
      <x:c r="K846" s="27" t="n">
        <x:f>INDEX('Model Pricing'!$C$7:$C$8,MATCH(F846,'Model Pricing'!$A$7:$A$8,0))</x:f>
        <x:v>30</x:v>
      </x:c>
      <x:c r="L846" s="17" t="n">
        <x:f>G846+H846</x:f>
        <x:v>38349</x:v>
      </x:c>
      <x:c r="M846" s="28" t="n">
        <x:f>G846*J846/1000000</x:f>
        <x:v>0.33776</x:v>
      </x:c>
      <x:c r="N846" s="28" t="n">
        <x:f>H846*K846/1000000</x:f>
        <x:v>0.13719</x:v>
      </x:c>
      <x:c r="O846" s="28" t="n">
        <x:f>SUM(M846:N846)</x:f>
        <x:v>0.47495</x:v>
      </x:c>
    </x:row>
    <x:row r="847" ht="23" customHeight="1">
      <x:c r="A847" s="17" t="str">
        <x:v>U00841</x:v>
      </x:c>
      <x:c r="B847" s="18" t="n">
        <x:v>46288</x:v>
      </x:c>
      <x:c r="C847" s="17" t="str">
        <x:v>W0088</x:v>
      </x:c>
      <x:c r="D847" s="17" t="str">
        <x:v>C002</x:v>
      </x:c>
      <x:c r="E847" s="17" t="str">
        <x:v>DataFlow</x:v>
      </x:c>
      <x:c r="F847" s="17" t="str">
        <x:v>Lite</x:v>
      </x:c>
      <x:c r="G847" s="17" t="n">
        <x:v>24253</x:v>
      </x:c>
      <x:c r="H847" s="17" t="n">
        <x:v>6640</x:v>
      </x:c>
      <x:c r="I847" s="17" t="str">
        <x:v>Correction</x:v>
      </x:c>
      <x:c r="J847" s="27" t="n">
        <x:f>INDEX('Model Pricing'!$B$7:$B$8,MATCH(F847,'Model Pricing'!$A$7:$A$8,0))</x:f>
        <x:v>10</x:v>
      </x:c>
      <x:c r="K847" s="27" t="n">
        <x:f>INDEX('Model Pricing'!$C$7:$C$8,MATCH(F847,'Model Pricing'!$A$7:$A$8,0))</x:f>
        <x:v>30</x:v>
      </x:c>
      <x:c r="L847" s="17" t="n">
        <x:f>G847+H847</x:f>
        <x:v>30893</x:v>
      </x:c>
      <x:c r="M847" s="28" t="n">
        <x:f>G847*J847/1000000</x:f>
        <x:v>0.24253</x:v>
      </x:c>
      <x:c r="N847" s="28" t="n">
        <x:f>H847*K847/1000000</x:f>
        <x:v>0.1992</x:v>
      </x:c>
      <x:c r="O847" s="28" t="n">
        <x:f>SUM(M847:N847)</x:f>
        <x:v>0.44172999999999996</x:v>
      </x:c>
    </x:row>
    <x:row r="848" ht="23" customHeight="1">
      <x:c r="A848" s="17" t="str">
        <x:v>U00842</x:v>
      </x:c>
      <x:c r="B848" s="18" t="n">
        <x:v>46288</x:v>
      </x:c>
      <x:c r="C848" s="17" t="str">
        <x:v>W0088</x:v>
      </x:c>
      <x:c r="D848" s="17" t="str">
        <x:v>C002</x:v>
      </x:c>
      <x:c r="E848" s="17" t="str">
        <x:v>DataFlow</x:v>
      </x:c>
      <x:c r="F848" s="17" t="str">
        <x:v>Lite</x:v>
      </x:c>
      <x:c r="G848" s="17" t="n">
        <x:v>38263</x:v>
      </x:c>
      <x:c r="H848" s="17" t="n">
        <x:v>2102</x:v>
      </x:c>
      <x:c r="I848" s="17" t="str">
        <x:v>Followup</x:v>
      </x:c>
      <x:c r="J848" s="27" t="n">
        <x:f>INDEX('Model Pricing'!$B$7:$B$8,MATCH(F848,'Model Pricing'!$A$7:$A$8,0))</x:f>
        <x:v>10</x:v>
      </x:c>
      <x:c r="K848" s="27" t="n">
        <x:f>INDEX('Model Pricing'!$C$7:$C$8,MATCH(F848,'Model Pricing'!$A$7:$A$8,0))</x:f>
        <x:v>30</x:v>
      </x:c>
      <x:c r="L848" s="17" t="n">
        <x:f>G848+H848</x:f>
        <x:v>40365</x:v>
      </x:c>
      <x:c r="M848" s="28" t="n">
        <x:f>G848*J848/1000000</x:f>
        <x:v>0.38263</x:v>
      </x:c>
      <x:c r="N848" s="28" t="n">
        <x:f>H848*K848/1000000</x:f>
        <x:v>0.06306</x:v>
      </x:c>
      <x:c r="O848" s="28" t="n">
        <x:f>SUM(M848:N848)</x:f>
        <x:v>0.44569000000000003</x:v>
      </x:c>
    </x:row>
    <x:row r="849" ht="23" customHeight="1">
      <x:c r="A849" s="17" t="str">
        <x:v>U00843</x:v>
      </x:c>
      <x:c r="B849" s="18" t="n">
        <x:v>46288</x:v>
      </x:c>
      <x:c r="C849" s="17" t="str">
        <x:v>W0088</x:v>
      </x:c>
      <x:c r="D849" s="17" t="str">
        <x:v>C002</x:v>
      </x:c>
      <x:c r="E849" s="17" t="str">
        <x:v>DataFlow</x:v>
      </x:c>
      <x:c r="F849" s="17" t="str">
        <x:v>Lite</x:v>
      </x:c>
      <x:c r="G849" s="17" t="n">
        <x:v>36542</x:v>
      </x:c>
      <x:c r="H849" s="17" t="n">
        <x:v>4437</x:v>
      </x:c>
      <x:c r="I849" s="17" t="str">
        <x:v>Followup</x:v>
      </x:c>
      <x:c r="J849" s="27" t="n">
        <x:f>INDEX('Model Pricing'!$B$7:$B$8,MATCH(F849,'Model Pricing'!$A$7:$A$8,0))</x:f>
        <x:v>10</x:v>
      </x:c>
      <x:c r="K849" s="27" t="n">
        <x:f>INDEX('Model Pricing'!$C$7:$C$8,MATCH(F849,'Model Pricing'!$A$7:$A$8,0))</x:f>
        <x:v>30</x:v>
      </x:c>
      <x:c r="L849" s="17" t="n">
        <x:f>G849+H849</x:f>
        <x:v>40979</x:v>
      </x:c>
      <x:c r="M849" s="28" t="n">
        <x:f>G849*J849/1000000</x:f>
        <x:v>0.36542</x:v>
      </x:c>
      <x:c r="N849" s="28" t="n">
        <x:f>H849*K849/1000000</x:f>
        <x:v>0.13311</x:v>
      </x:c>
      <x:c r="O849" s="28" t="n">
        <x:f>SUM(M849:N849)</x:f>
        <x:v>0.49853000000000003</x:v>
      </x:c>
    </x:row>
    <x:row r="850" ht="23" customHeight="1">
      <x:c r="A850" s="17" t="str">
        <x:v>U00844</x:v>
      </x:c>
      <x:c r="B850" s="18" t="n">
        <x:v>46288</x:v>
      </x:c>
      <x:c r="C850" s="17" t="str">
        <x:v>W0088</x:v>
      </x:c>
      <x:c r="D850" s="17" t="str">
        <x:v>C002</x:v>
      </x:c>
      <x:c r="E850" s="17" t="str">
        <x:v>DataFlow</x:v>
      </x:c>
      <x:c r="F850" s="17" t="str">
        <x:v>Lite</x:v>
      </x:c>
      <x:c r="G850" s="17" t="n">
        <x:v>20972</x:v>
      </x:c>
      <x:c r="H850" s="17" t="n">
        <x:v>4523</x:v>
      </x:c>
      <x:c r="I850" s="17" t="str">
        <x:v>Correction</x:v>
      </x:c>
      <x:c r="J850" s="27" t="n">
        <x:f>INDEX('Model Pricing'!$B$7:$B$8,MATCH(F850,'Model Pricing'!$A$7:$A$8,0))</x:f>
        <x:v>10</x:v>
      </x:c>
      <x:c r="K850" s="27" t="n">
        <x:f>INDEX('Model Pricing'!$C$7:$C$8,MATCH(F850,'Model Pricing'!$A$7:$A$8,0))</x:f>
        <x:v>30</x:v>
      </x:c>
      <x:c r="L850" s="17" t="n">
        <x:f>G850+H850</x:f>
        <x:v>25495</x:v>
      </x:c>
      <x:c r="M850" s="28" t="n">
        <x:f>G850*J850/1000000</x:f>
        <x:v>0.20972</x:v>
      </x:c>
      <x:c r="N850" s="28" t="n">
        <x:f>H850*K850/1000000</x:f>
        <x:v>0.13569</x:v>
      </x:c>
      <x:c r="O850" s="28" t="n">
        <x:f>SUM(M850:N850)</x:f>
        <x:v>0.34541</x:v>
      </x:c>
    </x:row>
    <x:row r="851" ht="23" customHeight="1">
      <x:c r="A851" s="17" t="str">
        <x:v>U00845</x:v>
      </x:c>
      <x:c r="B851" s="18" t="n">
        <x:v>46289</x:v>
      </x:c>
      <x:c r="C851" s="17" t="str">
        <x:v>W0088</x:v>
      </x:c>
      <x:c r="D851" s="17" t="str">
        <x:v>C002</x:v>
      </x:c>
      <x:c r="E851" s="17" t="str">
        <x:v>DataFlow</x:v>
      </x:c>
      <x:c r="F851" s="17" t="str">
        <x:v>Lite</x:v>
      </x:c>
      <x:c r="G851" s="17" t="n">
        <x:v>28925</x:v>
      </x:c>
      <x:c r="H851" s="17" t="n">
        <x:v>3001</x:v>
      </x:c>
      <x:c r="I851" s="17" t="str">
        <x:v>Followup</x:v>
      </x:c>
      <x:c r="J851" s="27" t="n">
        <x:f>INDEX('Model Pricing'!$B$7:$B$8,MATCH(F851,'Model Pricing'!$A$7:$A$8,0))</x:f>
        <x:v>10</x:v>
      </x:c>
      <x:c r="K851" s="27" t="n">
        <x:f>INDEX('Model Pricing'!$C$7:$C$8,MATCH(F851,'Model Pricing'!$A$7:$A$8,0))</x:f>
        <x:v>30</x:v>
      </x:c>
      <x:c r="L851" s="17" t="n">
        <x:f>G851+H851</x:f>
        <x:v>31926</x:v>
      </x:c>
      <x:c r="M851" s="28" t="n">
        <x:f>G851*J851/1000000</x:f>
        <x:v>0.28925</x:v>
      </x:c>
      <x:c r="N851" s="28" t="n">
        <x:f>H851*K851/1000000</x:f>
        <x:v>0.09003</x:v>
      </x:c>
      <x:c r="O851" s="28" t="n">
        <x:f>SUM(M851:N851)</x:f>
        <x:v>0.37928</x:v>
      </x:c>
    </x:row>
    <x:row r="852" ht="23" customHeight="1">
      <x:c r="A852" s="17" t="str">
        <x:v>U00846</x:v>
      </x:c>
      <x:c r="B852" s="18" t="n">
        <x:v>46289</x:v>
      </x:c>
      <x:c r="C852" s="17" t="str">
        <x:v>W0088</x:v>
      </x:c>
      <x:c r="D852" s="17" t="str">
        <x:v>C002</x:v>
      </x:c>
      <x:c r="E852" s="17" t="str">
        <x:v>DataFlow</x:v>
      </x:c>
      <x:c r="F852" s="17" t="str">
        <x:v>Lite</x:v>
      </x:c>
      <x:c r="G852" s="17" t="n">
        <x:v>42320</x:v>
      </x:c>
      <x:c r="H852" s="17" t="n">
        <x:v>2946</x:v>
      </x:c>
      <x:c r="I852" s="17" t="str">
        <x:v>Followup</x:v>
      </x:c>
      <x:c r="J852" s="27" t="n">
        <x:f>INDEX('Model Pricing'!$B$7:$B$8,MATCH(F852,'Model Pricing'!$A$7:$A$8,0))</x:f>
        <x:v>10</x:v>
      </x:c>
      <x:c r="K852" s="27" t="n">
        <x:f>INDEX('Model Pricing'!$C$7:$C$8,MATCH(F852,'Model Pricing'!$A$7:$A$8,0))</x:f>
        <x:v>30</x:v>
      </x:c>
      <x:c r="L852" s="17" t="n">
        <x:f>G852+H852</x:f>
        <x:v>45266</x:v>
      </x:c>
      <x:c r="M852" s="28" t="n">
        <x:f>G852*J852/1000000</x:f>
        <x:v>0.4232</x:v>
      </x:c>
      <x:c r="N852" s="28" t="n">
        <x:f>H852*K852/1000000</x:f>
        <x:v>0.08838</x:v>
      </x:c>
      <x:c r="O852" s="28" t="n">
        <x:f>SUM(M852:N852)</x:f>
        <x:v>0.51158</x:v>
      </x:c>
    </x:row>
    <x:row r="853" ht="23" customHeight="1">
      <x:c r="A853" s="17" t="str">
        <x:v>U00847</x:v>
      </x:c>
      <x:c r="B853" s="18" t="n">
        <x:v>46289</x:v>
      </x:c>
      <x:c r="C853" s="17" t="str">
        <x:v>W0088</x:v>
      </x:c>
      <x:c r="D853" s="17" t="str">
        <x:v>C002</x:v>
      </x:c>
      <x:c r="E853" s="17" t="str">
        <x:v>DataFlow</x:v>
      </x:c>
      <x:c r="F853" s="17" t="str">
        <x:v>Lite</x:v>
      </x:c>
      <x:c r="G853" s="17" t="n">
        <x:v>40627</x:v>
      </x:c>
      <x:c r="H853" s="17" t="n">
        <x:v>5933</x:v>
      </x:c>
      <x:c r="I853" s="17" t="str">
        <x:v>Followup</x:v>
      </x:c>
      <x:c r="J853" s="27" t="n">
        <x:f>INDEX('Model Pricing'!$B$7:$B$8,MATCH(F853,'Model Pricing'!$A$7:$A$8,0))</x:f>
        <x:v>10</x:v>
      </x:c>
      <x:c r="K853" s="27" t="n">
        <x:f>INDEX('Model Pricing'!$C$7:$C$8,MATCH(F853,'Model Pricing'!$A$7:$A$8,0))</x:f>
        <x:v>30</x:v>
      </x:c>
      <x:c r="L853" s="17" t="n">
        <x:f>G853+H853</x:f>
        <x:v>46560</x:v>
      </x:c>
      <x:c r="M853" s="28" t="n">
        <x:f>G853*J853/1000000</x:f>
        <x:v>0.40627</x:v>
      </x:c>
      <x:c r="N853" s="28" t="n">
        <x:f>H853*K853/1000000</x:f>
        <x:v>0.17799</x:v>
      </x:c>
      <x:c r="O853" s="28" t="n">
        <x:f>SUM(M853:N853)</x:f>
        <x:v>0.58426</x:v>
      </x:c>
    </x:row>
    <x:row r="854" ht="23" customHeight="1">
      <x:c r="A854" s="17" t="str">
        <x:v>U00848</x:v>
      </x:c>
      <x:c r="B854" s="18" t="n">
        <x:v>46289</x:v>
      </x:c>
      <x:c r="C854" s="17" t="str">
        <x:v>W0088</x:v>
      </x:c>
      <x:c r="D854" s="17" t="str">
        <x:v>C002</x:v>
      </x:c>
      <x:c r="E854" s="17" t="str">
        <x:v>DataFlow</x:v>
      </x:c>
      <x:c r="F854" s="17" t="str">
        <x:v>Lite</x:v>
      </x:c>
      <x:c r="G854" s="17" t="n">
        <x:v>15691</x:v>
      </x:c>
      <x:c r="H854" s="17" t="n">
        <x:v>6489</x:v>
      </x:c>
      <x:c r="I854" s="17" t="str">
        <x:v>Followup</x:v>
      </x:c>
      <x:c r="J854" s="27" t="n">
        <x:f>INDEX('Model Pricing'!$B$7:$B$8,MATCH(F854,'Model Pricing'!$A$7:$A$8,0))</x:f>
        <x:v>10</x:v>
      </x:c>
      <x:c r="K854" s="27" t="n">
        <x:f>INDEX('Model Pricing'!$C$7:$C$8,MATCH(F854,'Model Pricing'!$A$7:$A$8,0))</x:f>
        <x:v>30</x:v>
      </x:c>
      <x:c r="L854" s="17" t="n">
        <x:f>G854+H854</x:f>
        <x:v>22180</x:v>
      </x:c>
      <x:c r="M854" s="28" t="n">
        <x:f>G854*J854/1000000</x:f>
        <x:v>0.15691</x:v>
      </x:c>
      <x:c r="N854" s="28" t="n">
        <x:f>H854*K854/1000000</x:f>
        <x:v>0.19467</x:v>
      </x:c>
      <x:c r="O854" s="28" t="n">
        <x:f>SUM(M854:N854)</x:f>
        <x:v>0.35158</x:v>
      </x:c>
    </x:row>
    <x:row r="855" ht="23" customHeight="1">
      <x:c r="A855" s="17" t="str">
        <x:v>U00849</x:v>
      </x:c>
      <x:c r="B855" s="18" t="n">
        <x:v>46289</x:v>
      </x:c>
      <x:c r="C855" s="17" t="str">
        <x:v>W0088</x:v>
      </x:c>
      <x:c r="D855" s="17" t="str">
        <x:v>C002</x:v>
      </x:c>
      <x:c r="E855" s="17" t="str">
        <x:v>DataFlow</x:v>
      </x:c>
      <x:c r="F855" s="17" t="str">
        <x:v>Lite</x:v>
      </x:c>
      <x:c r="G855" s="17" t="n">
        <x:v>36035</x:v>
      </x:c>
      <x:c r="H855" s="17" t="n">
        <x:v>5272</x:v>
      </x:c>
      <x:c r="I855" s="17" t="str">
        <x:v>Correction</x:v>
      </x:c>
      <x:c r="J855" s="27" t="n">
        <x:f>INDEX('Model Pricing'!$B$7:$B$8,MATCH(F855,'Model Pricing'!$A$7:$A$8,0))</x:f>
        <x:v>10</x:v>
      </x:c>
      <x:c r="K855" s="27" t="n">
        <x:f>INDEX('Model Pricing'!$C$7:$C$8,MATCH(F855,'Model Pricing'!$A$7:$A$8,0))</x:f>
        <x:v>30</x:v>
      </x:c>
      <x:c r="L855" s="17" t="n">
        <x:f>G855+H855</x:f>
        <x:v>41307</x:v>
      </x:c>
      <x:c r="M855" s="28" t="n">
        <x:f>G855*J855/1000000</x:f>
        <x:v>0.36035</x:v>
      </x:c>
      <x:c r="N855" s="28" t="n">
        <x:f>H855*K855/1000000</x:f>
        <x:v>0.15816</x:v>
      </x:c>
      <x:c r="O855" s="28" t="n">
        <x:f>SUM(M855:N855)</x:f>
        <x:v>0.51851</x:v>
      </x:c>
    </x:row>
    <x:row r="856" ht="23" customHeight="1">
      <x:c r="A856" s="17" t="str">
        <x:v>U00850</x:v>
      </x:c>
      <x:c r="B856" s="18" t="n">
        <x:v>46289</x:v>
      </x:c>
      <x:c r="C856" s="17" t="str">
        <x:v>W0088</x:v>
      </x:c>
      <x:c r="D856" s="17" t="str">
        <x:v>C002</x:v>
      </x:c>
      <x:c r="E856" s="17" t="str">
        <x:v>DataFlow</x:v>
      </x:c>
      <x:c r="F856" s="17" t="str">
        <x:v>Lite</x:v>
      </x:c>
      <x:c r="G856" s="17" t="n">
        <x:v>16243</x:v>
      </x:c>
      <x:c r="H856" s="17" t="n">
        <x:v>2280</x:v>
      </x:c>
      <x:c r="I856" s="17" t="str">
        <x:v>Correction</x:v>
      </x:c>
      <x:c r="J856" s="27" t="n">
        <x:f>INDEX('Model Pricing'!$B$7:$B$8,MATCH(F856,'Model Pricing'!$A$7:$A$8,0))</x:f>
        <x:v>10</x:v>
      </x:c>
      <x:c r="K856" s="27" t="n">
        <x:f>INDEX('Model Pricing'!$C$7:$C$8,MATCH(F856,'Model Pricing'!$A$7:$A$8,0))</x:f>
        <x:v>30</x:v>
      </x:c>
      <x:c r="L856" s="17" t="n">
        <x:f>G856+H856</x:f>
        <x:v>18523</x:v>
      </x:c>
      <x:c r="M856" s="28" t="n">
        <x:f>G856*J856/1000000</x:f>
        <x:v>0.16243</x:v>
      </x:c>
      <x:c r="N856" s="28" t="n">
        <x:f>H856*K856/1000000</x:f>
        <x:v>0.0684</x:v>
      </x:c>
      <x:c r="O856" s="28" t="n">
        <x:f>SUM(M856:N856)</x:f>
        <x:v>0.23082999999999998</x:v>
      </x:c>
    </x:row>
    <x:row r="857" ht="23" customHeight="1">
      <x:c r="A857" s="17" t="str">
        <x:v>U00851</x:v>
      </x:c>
      <x:c r="B857" s="18" t="n">
        <x:v>46289</x:v>
      </x:c>
      <x:c r="C857" s="17" t="str">
        <x:v>W0088</x:v>
      </x:c>
      <x:c r="D857" s="17" t="str">
        <x:v>C002</x:v>
      </x:c>
      <x:c r="E857" s="17" t="str">
        <x:v>DataFlow</x:v>
      </x:c>
      <x:c r="F857" s="17" t="str">
        <x:v>Lite</x:v>
      </x:c>
      <x:c r="G857" s="17" t="n">
        <x:v>14934</x:v>
      </x:c>
      <x:c r="H857" s="17" t="n">
        <x:v>2515</x:v>
      </x:c>
      <x:c r="I857" s="17" t="str">
        <x:v>Correction</x:v>
      </x:c>
      <x:c r="J857" s="27" t="n">
        <x:f>INDEX('Model Pricing'!$B$7:$B$8,MATCH(F857,'Model Pricing'!$A$7:$A$8,0))</x:f>
        <x:v>10</x:v>
      </x:c>
      <x:c r="K857" s="27" t="n">
        <x:f>INDEX('Model Pricing'!$C$7:$C$8,MATCH(F857,'Model Pricing'!$A$7:$A$8,0))</x:f>
        <x:v>30</x:v>
      </x:c>
      <x:c r="L857" s="17" t="n">
        <x:f>G857+H857</x:f>
        <x:v>17449</x:v>
      </x:c>
      <x:c r="M857" s="28" t="n">
        <x:f>G857*J857/1000000</x:f>
        <x:v>0.14934</x:v>
      </x:c>
      <x:c r="N857" s="28" t="n">
        <x:f>H857*K857/1000000</x:f>
        <x:v>0.07545</x:v>
      </x:c>
      <x:c r="O857" s="28" t="n">
        <x:f>SUM(M857:N857)</x:f>
        <x:v>0.22479</x:v>
      </x:c>
    </x:row>
    <x:row r="858" ht="23" customHeight="1">
      <x:c r="A858" s="17" t="str">
        <x:v>U00852</x:v>
      </x:c>
      <x:c r="B858" s="18" t="n">
        <x:v>46290</x:v>
      </x:c>
      <x:c r="C858" s="17" t="str">
        <x:v>W0088</x:v>
      </x:c>
      <x:c r="D858" s="17" t="str">
        <x:v>C002</x:v>
      </x:c>
      <x:c r="E858" s="17" t="str">
        <x:v>DataFlow</x:v>
      </x:c>
      <x:c r="F858" s="17" t="str">
        <x:v>Lite</x:v>
      </x:c>
      <x:c r="G858" s="17" t="n">
        <x:v>39164</x:v>
      </x:c>
      <x:c r="H858" s="17" t="n">
        <x:v>2455</x:v>
      </x:c>
      <x:c r="I858" s="17" t="str">
        <x:v>Followup</x:v>
      </x:c>
      <x:c r="J858" s="27" t="n">
        <x:f>INDEX('Model Pricing'!$B$7:$B$8,MATCH(F858,'Model Pricing'!$A$7:$A$8,0))</x:f>
        <x:v>10</x:v>
      </x:c>
      <x:c r="K858" s="27" t="n">
        <x:f>INDEX('Model Pricing'!$C$7:$C$8,MATCH(F858,'Model Pricing'!$A$7:$A$8,0))</x:f>
        <x:v>30</x:v>
      </x:c>
      <x:c r="L858" s="17" t="n">
        <x:f>G858+H858</x:f>
        <x:v>41619</x:v>
      </x:c>
      <x:c r="M858" s="28" t="n">
        <x:f>G858*J858/1000000</x:f>
        <x:v>0.39164</x:v>
      </x:c>
      <x:c r="N858" s="28" t="n">
        <x:f>H858*K858/1000000</x:f>
        <x:v>0.07365</x:v>
      </x:c>
      <x:c r="O858" s="28" t="n">
        <x:f>SUM(M858:N858)</x:f>
        <x:v>0.46529</x:v>
      </x:c>
    </x:row>
    <x:row r="859" ht="23" customHeight="1">
      <x:c r="A859" s="17" t="str">
        <x:v>U00853</x:v>
      </x:c>
      <x:c r="B859" s="18" t="n">
        <x:v>46290</x:v>
      </x:c>
      <x:c r="C859" s="17" t="str">
        <x:v>W0088</x:v>
      </x:c>
      <x:c r="D859" s="17" t="str">
        <x:v>C002</x:v>
      </x:c>
      <x:c r="E859" s="17" t="str">
        <x:v>DataFlow</x:v>
      </x:c>
      <x:c r="F859" s="17" t="str">
        <x:v>Lite</x:v>
      </x:c>
      <x:c r="G859" s="17" t="n">
        <x:v>20770</x:v>
      </x:c>
      <x:c r="H859" s="17" t="n">
        <x:v>5921</x:v>
      </x:c>
      <x:c r="I859" s="17" t="str">
        <x:v>Correction</x:v>
      </x:c>
      <x:c r="J859" s="27" t="n">
        <x:f>INDEX('Model Pricing'!$B$7:$B$8,MATCH(F859,'Model Pricing'!$A$7:$A$8,0))</x:f>
        <x:v>10</x:v>
      </x:c>
      <x:c r="K859" s="27" t="n">
        <x:f>INDEX('Model Pricing'!$C$7:$C$8,MATCH(F859,'Model Pricing'!$A$7:$A$8,0))</x:f>
        <x:v>30</x:v>
      </x:c>
      <x:c r="L859" s="17" t="n">
        <x:f>G859+H859</x:f>
        <x:v>26691</x:v>
      </x:c>
      <x:c r="M859" s="28" t="n">
        <x:f>G859*J859/1000000</x:f>
        <x:v>0.2077</x:v>
      </x:c>
      <x:c r="N859" s="28" t="n">
        <x:f>H859*K859/1000000</x:f>
        <x:v>0.17763</x:v>
      </x:c>
      <x:c r="O859" s="28" t="n">
        <x:f>SUM(M859:N859)</x:f>
        <x:v>0.38533</x:v>
      </x:c>
    </x:row>
    <x:row r="860" ht="23" customHeight="1">
      <x:c r="A860" s="17" t="str">
        <x:v>U00854</x:v>
      </x:c>
      <x:c r="B860" s="18" t="n">
        <x:v>46290</x:v>
      </x:c>
      <x:c r="C860" s="17" t="str">
        <x:v>W0088</x:v>
      </x:c>
      <x:c r="D860" s="17" t="str">
        <x:v>C002</x:v>
      </x:c>
      <x:c r="E860" s="17" t="str">
        <x:v>DataFlow</x:v>
      </x:c>
      <x:c r="F860" s="17" t="str">
        <x:v>Lite</x:v>
      </x:c>
      <x:c r="G860" s="17" t="n">
        <x:v>28598</x:v>
      </x:c>
      <x:c r="H860" s="17" t="n">
        <x:v>4816</x:v>
      </x:c>
      <x:c r="I860" s="17" t="str">
        <x:v>Followup</x:v>
      </x:c>
      <x:c r="J860" s="27" t="n">
        <x:f>INDEX('Model Pricing'!$B$7:$B$8,MATCH(F860,'Model Pricing'!$A$7:$A$8,0))</x:f>
        <x:v>10</x:v>
      </x:c>
      <x:c r="K860" s="27" t="n">
        <x:f>INDEX('Model Pricing'!$C$7:$C$8,MATCH(F860,'Model Pricing'!$A$7:$A$8,0))</x:f>
        <x:v>30</x:v>
      </x:c>
      <x:c r="L860" s="17" t="n">
        <x:f>G860+H860</x:f>
        <x:v>33414</x:v>
      </x:c>
      <x:c r="M860" s="28" t="n">
        <x:f>G860*J860/1000000</x:f>
        <x:v>0.28598</x:v>
      </x:c>
      <x:c r="N860" s="28" t="n">
        <x:f>H860*K860/1000000</x:f>
        <x:v>0.14448</x:v>
      </x:c>
      <x:c r="O860" s="28" t="n">
        <x:f>SUM(M860:N860)</x:f>
        <x:v>0.43046</x:v>
      </x:c>
    </x:row>
    <x:row r="861" ht="23" customHeight="1">
      <x:c r="A861" s="17" t="str">
        <x:v>U00855</x:v>
      </x:c>
      <x:c r="B861" s="18" t="n">
        <x:v>46290</x:v>
      </x:c>
      <x:c r="C861" s="17" t="str">
        <x:v>W0088</x:v>
      </x:c>
      <x:c r="D861" s="17" t="str">
        <x:v>C002</x:v>
      </x:c>
      <x:c r="E861" s="17" t="str">
        <x:v>DataFlow</x:v>
      </x:c>
      <x:c r="F861" s="17" t="str">
        <x:v>Lite</x:v>
      </x:c>
      <x:c r="G861" s="17" t="n">
        <x:v>19357</x:v>
      </x:c>
      <x:c r="H861" s="17" t="n">
        <x:v>5870</x:v>
      </x:c>
      <x:c r="I861" s="17" t="str">
        <x:v>Followup</x:v>
      </x:c>
      <x:c r="J861" s="27" t="n">
        <x:f>INDEX('Model Pricing'!$B$7:$B$8,MATCH(F861,'Model Pricing'!$A$7:$A$8,0))</x:f>
        <x:v>10</x:v>
      </x:c>
      <x:c r="K861" s="27" t="n">
        <x:f>INDEX('Model Pricing'!$C$7:$C$8,MATCH(F861,'Model Pricing'!$A$7:$A$8,0))</x:f>
        <x:v>30</x:v>
      </x:c>
      <x:c r="L861" s="17" t="n">
        <x:f>G861+H861</x:f>
        <x:v>25227</x:v>
      </x:c>
      <x:c r="M861" s="28" t="n">
        <x:f>G861*J861/1000000</x:f>
        <x:v>0.19357</x:v>
      </x:c>
      <x:c r="N861" s="28" t="n">
        <x:f>H861*K861/1000000</x:f>
        <x:v>0.1761</x:v>
      </x:c>
      <x:c r="O861" s="28" t="n">
        <x:f>SUM(M861:N861)</x:f>
        <x:v>0.36967</x:v>
      </x:c>
    </x:row>
    <x:row r="862" ht="23" customHeight="1">
      <x:c r="A862" s="17" t="str">
        <x:v>U00856</x:v>
      </x:c>
      <x:c r="B862" s="18" t="n">
        <x:v>46290</x:v>
      </x:c>
      <x:c r="C862" s="17" t="str">
        <x:v>W0088</x:v>
      </x:c>
      <x:c r="D862" s="17" t="str">
        <x:v>C002</x:v>
      </x:c>
      <x:c r="E862" s="17" t="str">
        <x:v>DataFlow</x:v>
      </x:c>
      <x:c r="F862" s="17" t="str">
        <x:v>Lite</x:v>
      </x:c>
      <x:c r="G862" s="17" t="n">
        <x:v>29060</x:v>
      </x:c>
      <x:c r="H862" s="17" t="n">
        <x:v>6400</x:v>
      </x:c>
      <x:c r="I862" s="17" t="str">
        <x:v>Followup</x:v>
      </x:c>
      <x:c r="J862" s="27" t="n">
        <x:f>INDEX('Model Pricing'!$B$7:$B$8,MATCH(F862,'Model Pricing'!$A$7:$A$8,0))</x:f>
        <x:v>10</x:v>
      </x:c>
      <x:c r="K862" s="27" t="n">
        <x:f>INDEX('Model Pricing'!$C$7:$C$8,MATCH(F862,'Model Pricing'!$A$7:$A$8,0))</x:f>
        <x:v>30</x:v>
      </x:c>
      <x:c r="L862" s="17" t="n">
        <x:f>G862+H862</x:f>
        <x:v>35460</x:v>
      </x:c>
      <x:c r="M862" s="28" t="n">
        <x:f>G862*J862/1000000</x:f>
        <x:v>0.2906</x:v>
      </x:c>
      <x:c r="N862" s="28" t="n">
        <x:f>H862*K862/1000000</x:f>
        <x:v>0.192</x:v>
      </x:c>
      <x:c r="O862" s="28" t="n">
        <x:f>SUM(M862:N862)</x:f>
        <x:v>0.48260000000000003</x:v>
      </x:c>
    </x:row>
    <x:row r="863" ht="23" customHeight="1">
      <x:c r="A863" s="17" t="str">
        <x:v>U00857</x:v>
      </x:c>
      <x:c r="B863" s="18" t="n">
        <x:v>46290</x:v>
      </x:c>
      <x:c r="C863" s="17" t="str">
        <x:v>W0088</x:v>
      </x:c>
      <x:c r="D863" s="17" t="str">
        <x:v>C002</x:v>
      </x:c>
      <x:c r="E863" s="17" t="str">
        <x:v>DataFlow</x:v>
      </x:c>
      <x:c r="F863" s="17" t="str">
        <x:v>Lite</x:v>
      </x:c>
      <x:c r="G863" s="17" t="n">
        <x:v>31076</x:v>
      </x:c>
      <x:c r="H863" s="17" t="n">
        <x:v>6420</x:v>
      </x:c>
      <x:c r="I863" s="17" t="str">
        <x:v>Followup</x:v>
      </x:c>
      <x:c r="J863" s="27" t="n">
        <x:f>INDEX('Model Pricing'!$B$7:$B$8,MATCH(F863,'Model Pricing'!$A$7:$A$8,0))</x:f>
        <x:v>10</x:v>
      </x:c>
      <x:c r="K863" s="27" t="n">
        <x:f>INDEX('Model Pricing'!$C$7:$C$8,MATCH(F863,'Model Pricing'!$A$7:$A$8,0))</x:f>
        <x:v>30</x:v>
      </x:c>
      <x:c r="L863" s="17" t="n">
        <x:f>G863+H863</x:f>
        <x:v>37496</x:v>
      </x:c>
      <x:c r="M863" s="28" t="n">
        <x:f>G863*J863/1000000</x:f>
        <x:v>0.31076</x:v>
      </x:c>
      <x:c r="N863" s="28" t="n">
        <x:f>H863*K863/1000000</x:f>
        <x:v>0.1926</x:v>
      </x:c>
      <x:c r="O863" s="28" t="n">
        <x:f>SUM(M863:N863)</x:f>
        <x:v>0.50336</x:v>
      </x:c>
    </x:row>
    <x:row r="864" ht="23" customHeight="1">
      <x:c r="A864" s="17" t="str">
        <x:v>U00858</x:v>
      </x:c>
      <x:c r="B864" s="18" t="n">
        <x:v>46290</x:v>
      </x:c>
      <x:c r="C864" s="17" t="str">
        <x:v>W0088</x:v>
      </x:c>
      <x:c r="D864" s="17" t="str">
        <x:v>C002</x:v>
      </x:c>
      <x:c r="E864" s="17" t="str">
        <x:v>DataFlow</x:v>
      </x:c>
      <x:c r="F864" s="17" t="str">
        <x:v>Lite</x:v>
      </x:c>
      <x:c r="G864" s="17" t="n">
        <x:v>14756</x:v>
      </x:c>
      <x:c r="H864" s="17" t="n">
        <x:v>5923</x:v>
      </x:c>
      <x:c r="I864" s="17" t="str">
        <x:v>Followup</x:v>
      </x:c>
      <x:c r="J864" s="27" t="n">
        <x:f>INDEX('Model Pricing'!$B$7:$B$8,MATCH(F864,'Model Pricing'!$A$7:$A$8,0))</x:f>
        <x:v>10</x:v>
      </x:c>
      <x:c r="K864" s="27" t="n">
        <x:f>INDEX('Model Pricing'!$C$7:$C$8,MATCH(F864,'Model Pricing'!$A$7:$A$8,0))</x:f>
        <x:v>30</x:v>
      </x:c>
      <x:c r="L864" s="17" t="n">
        <x:f>G864+H864</x:f>
        <x:v>20679</x:v>
      </x:c>
      <x:c r="M864" s="28" t="n">
        <x:f>G864*J864/1000000</x:f>
        <x:v>0.14756</x:v>
      </x:c>
      <x:c r="N864" s="28" t="n">
        <x:f>H864*K864/1000000</x:f>
        <x:v>0.17769</x:v>
      </x:c>
      <x:c r="O864" s="28" t="n">
        <x:f>SUM(M864:N864)</x:f>
        <x:v>0.32525</x:v>
      </x:c>
    </x:row>
    <x:row r="865" ht="23" customHeight="1">
      <x:c r="A865" s="17" t="str">
        <x:v>U00859</x:v>
      </x:c>
      <x:c r="B865" s="18" t="n">
        <x:v>46293</x:v>
      </x:c>
      <x:c r="C865" s="17" t="str">
        <x:v>W0088</x:v>
      </x:c>
      <x:c r="D865" s="17" t="str">
        <x:v>C002</x:v>
      </x:c>
      <x:c r="E865" s="17" t="str">
        <x:v>DataFlow</x:v>
      </x:c>
      <x:c r="F865" s="17" t="str">
        <x:v>Lite</x:v>
      </x:c>
      <x:c r="G865" s="17" t="n">
        <x:v>38656</x:v>
      </x:c>
      <x:c r="H865" s="17" t="n">
        <x:v>5007</x:v>
      </x:c>
      <x:c r="I865" s="17" t="str">
        <x:v>Correction</x:v>
      </x:c>
      <x:c r="J865" s="27" t="n">
        <x:f>INDEX('Model Pricing'!$B$7:$B$8,MATCH(F865,'Model Pricing'!$A$7:$A$8,0))</x:f>
        <x:v>10</x:v>
      </x:c>
      <x:c r="K865" s="27" t="n">
        <x:f>INDEX('Model Pricing'!$C$7:$C$8,MATCH(F865,'Model Pricing'!$A$7:$A$8,0))</x:f>
        <x:v>30</x:v>
      </x:c>
      <x:c r="L865" s="17" t="n">
        <x:f>G865+H865</x:f>
        <x:v>43663</x:v>
      </x:c>
      <x:c r="M865" s="28" t="n">
        <x:f>G865*J865/1000000</x:f>
        <x:v>0.38656</x:v>
      </x:c>
      <x:c r="N865" s="28" t="n">
        <x:f>H865*K865/1000000</x:f>
        <x:v>0.15021</x:v>
      </x:c>
      <x:c r="O865" s="28" t="n">
        <x:f>SUM(M865:N865)</x:f>
        <x:v>0.53677</x:v>
      </x:c>
    </x:row>
    <x:row r="866" ht="23" customHeight="1">
      <x:c r="A866" s="17" t="str">
        <x:v>U00860</x:v>
      </x:c>
      <x:c r="B866" s="18" t="n">
        <x:v>46293</x:v>
      </x:c>
      <x:c r="C866" s="17" t="str">
        <x:v>W0088</x:v>
      </x:c>
      <x:c r="D866" s="17" t="str">
        <x:v>C002</x:v>
      </x:c>
      <x:c r="E866" s="17" t="str">
        <x:v>DataFlow</x:v>
      </x:c>
      <x:c r="F866" s="17" t="str">
        <x:v>Lite</x:v>
      </x:c>
      <x:c r="G866" s="17" t="n">
        <x:v>16066</x:v>
      </x:c>
      <x:c r="H866" s="17" t="n">
        <x:v>1940</x:v>
      </x:c>
      <x:c r="I866" s="17" t="str">
        <x:v>Followup</x:v>
      </x:c>
      <x:c r="J866" s="27" t="n">
        <x:f>INDEX('Model Pricing'!$B$7:$B$8,MATCH(F866,'Model Pricing'!$A$7:$A$8,0))</x:f>
        <x:v>10</x:v>
      </x:c>
      <x:c r="K866" s="27" t="n">
        <x:f>INDEX('Model Pricing'!$C$7:$C$8,MATCH(F866,'Model Pricing'!$A$7:$A$8,0))</x:f>
        <x:v>30</x:v>
      </x:c>
      <x:c r="L866" s="17" t="n">
        <x:f>G866+H866</x:f>
        <x:v>18006</x:v>
      </x:c>
      <x:c r="M866" s="28" t="n">
        <x:f>G866*J866/1000000</x:f>
        <x:v>0.16066</x:v>
      </x:c>
      <x:c r="N866" s="28" t="n">
        <x:f>H866*K866/1000000</x:f>
        <x:v>0.0582</x:v>
      </x:c>
      <x:c r="O866" s="28" t="n">
        <x:f>SUM(M866:N866)</x:f>
        <x:v>0.21886</x:v>
      </x:c>
    </x:row>
    <x:row r="867" ht="23" customHeight="1">
      <x:c r="A867" s="17" t="str">
        <x:v>U00861</x:v>
      </x:c>
      <x:c r="B867" s="18" t="n">
        <x:v>46293</x:v>
      </x:c>
      <x:c r="C867" s="17" t="str">
        <x:v>W0088</x:v>
      </x:c>
      <x:c r="D867" s="17" t="str">
        <x:v>C002</x:v>
      </x:c>
      <x:c r="E867" s="17" t="str">
        <x:v>DataFlow</x:v>
      </x:c>
      <x:c r="F867" s="17" t="str">
        <x:v>Lite</x:v>
      </x:c>
      <x:c r="G867" s="17" t="n">
        <x:v>38752</x:v>
      </x:c>
      <x:c r="H867" s="17" t="n">
        <x:v>2598</x:v>
      </x:c>
      <x:c r="I867" s="17" t="str">
        <x:v>Correction</x:v>
      </x:c>
      <x:c r="J867" s="27" t="n">
        <x:f>INDEX('Model Pricing'!$B$7:$B$8,MATCH(F867,'Model Pricing'!$A$7:$A$8,0))</x:f>
        <x:v>10</x:v>
      </x:c>
      <x:c r="K867" s="27" t="n">
        <x:f>INDEX('Model Pricing'!$C$7:$C$8,MATCH(F867,'Model Pricing'!$A$7:$A$8,0))</x:f>
        <x:v>30</x:v>
      </x:c>
      <x:c r="L867" s="17" t="n">
        <x:f>G867+H867</x:f>
        <x:v>41350</x:v>
      </x:c>
      <x:c r="M867" s="28" t="n">
        <x:f>G867*J867/1000000</x:f>
        <x:v>0.38752</x:v>
      </x:c>
      <x:c r="N867" s="28" t="n">
        <x:f>H867*K867/1000000</x:f>
        <x:v>0.07794</x:v>
      </x:c>
      <x:c r="O867" s="28" t="n">
        <x:f>SUM(M867:N867)</x:f>
        <x:v>0.46546</x:v>
      </x:c>
    </x:row>
    <x:row r="868" ht="23" customHeight="1">
      <x:c r="A868" s="17" t="str">
        <x:v>U00862</x:v>
      </x:c>
      <x:c r="B868" s="18" t="n">
        <x:v>46293</x:v>
      </x:c>
      <x:c r="C868" s="17" t="str">
        <x:v>W0088</x:v>
      </x:c>
      <x:c r="D868" s="17" t="str">
        <x:v>C002</x:v>
      </x:c>
      <x:c r="E868" s="17" t="str">
        <x:v>DataFlow</x:v>
      </x:c>
      <x:c r="F868" s="17" t="str">
        <x:v>Lite</x:v>
      </x:c>
      <x:c r="G868" s="17" t="n">
        <x:v>30095</x:v>
      </x:c>
      <x:c r="H868" s="17" t="n">
        <x:v>2930</x:v>
      </x:c>
      <x:c r="I868" s="17" t="str">
        <x:v>Correction</x:v>
      </x:c>
      <x:c r="J868" s="27" t="n">
        <x:f>INDEX('Model Pricing'!$B$7:$B$8,MATCH(F868,'Model Pricing'!$A$7:$A$8,0))</x:f>
        <x:v>10</x:v>
      </x:c>
      <x:c r="K868" s="27" t="n">
        <x:f>INDEX('Model Pricing'!$C$7:$C$8,MATCH(F868,'Model Pricing'!$A$7:$A$8,0))</x:f>
        <x:v>30</x:v>
      </x:c>
      <x:c r="L868" s="17" t="n">
        <x:f>G868+H868</x:f>
        <x:v>33025</x:v>
      </x:c>
      <x:c r="M868" s="28" t="n">
        <x:f>G868*J868/1000000</x:f>
        <x:v>0.30095</x:v>
      </x:c>
      <x:c r="N868" s="28" t="n">
        <x:f>H868*K868/1000000</x:f>
        <x:v>0.0879</x:v>
      </x:c>
      <x:c r="O868" s="28" t="n">
        <x:f>SUM(M868:N868)</x:f>
        <x:v>0.38885000000000003</x:v>
      </x:c>
    </x:row>
    <x:row r="869" ht="23" customHeight="1">
      <x:c r="A869" s="17" t="str">
        <x:v>U00863</x:v>
      </x:c>
      <x:c r="B869" s="18" t="n">
        <x:v>46293</x:v>
      </x:c>
      <x:c r="C869" s="17" t="str">
        <x:v>W0088</x:v>
      </x:c>
      <x:c r="D869" s="17" t="str">
        <x:v>C002</x:v>
      </x:c>
      <x:c r="E869" s="17" t="str">
        <x:v>DataFlow</x:v>
      </x:c>
      <x:c r="F869" s="17" t="str">
        <x:v>Lite</x:v>
      </x:c>
      <x:c r="G869" s="17" t="n">
        <x:v>33296</x:v>
      </x:c>
      <x:c r="H869" s="17" t="n">
        <x:v>1919</x:v>
      </x:c>
      <x:c r="I869" s="17" t="str">
        <x:v>Correction</x:v>
      </x:c>
      <x:c r="J869" s="27" t="n">
        <x:f>INDEX('Model Pricing'!$B$7:$B$8,MATCH(F869,'Model Pricing'!$A$7:$A$8,0))</x:f>
        <x:v>10</x:v>
      </x:c>
      <x:c r="K869" s="27" t="n">
        <x:f>INDEX('Model Pricing'!$C$7:$C$8,MATCH(F869,'Model Pricing'!$A$7:$A$8,0))</x:f>
        <x:v>30</x:v>
      </x:c>
      <x:c r="L869" s="17" t="n">
        <x:f>G869+H869</x:f>
        <x:v>35215</x:v>
      </x:c>
      <x:c r="M869" s="28" t="n">
        <x:f>G869*J869/1000000</x:f>
        <x:v>0.33296</x:v>
      </x:c>
      <x:c r="N869" s="28" t="n">
        <x:f>H869*K869/1000000</x:f>
        <x:v>0.05757</x:v>
      </x:c>
      <x:c r="O869" s="28" t="n">
        <x:f>SUM(M869:N869)</x:f>
        <x:v>0.39053</x:v>
      </x:c>
    </x:row>
    <x:row r="870" ht="23" customHeight="1">
      <x:c r="A870" s="17" t="str">
        <x:v>U00864</x:v>
      </x:c>
      <x:c r="B870" s="18" t="n">
        <x:v>46293</x:v>
      </x:c>
      <x:c r="C870" s="17" t="str">
        <x:v>W0088</x:v>
      </x:c>
      <x:c r="D870" s="17" t="str">
        <x:v>C002</x:v>
      </x:c>
      <x:c r="E870" s="17" t="str">
        <x:v>DataFlow</x:v>
      </x:c>
      <x:c r="F870" s="17" t="str">
        <x:v>Lite</x:v>
      </x:c>
      <x:c r="G870" s="17" t="n">
        <x:v>36850</x:v>
      </x:c>
      <x:c r="H870" s="17" t="n">
        <x:v>3393</x:v>
      </x:c>
      <x:c r="I870" s="17" t="str">
        <x:v>Followup</x:v>
      </x:c>
      <x:c r="J870" s="27" t="n">
        <x:f>INDEX('Model Pricing'!$B$7:$B$8,MATCH(F870,'Model Pricing'!$A$7:$A$8,0))</x:f>
        <x:v>10</x:v>
      </x:c>
      <x:c r="K870" s="27" t="n">
        <x:f>INDEX('Model Pricing'!$C$7:$C$8,MATCH(F870,'Model Pricing'!$A$7:$A$8,0))</x:f>
        <x:v>30</x:v>
      </x:c>
      <x:c r="L870" s="17" t="n">
        <x:f>G870+H870</x:f>
        <x:v>40243</x:v>
      </x:c>
      <x:c r="M870" s="28" t="n">
        <x:f>G870*J870/1000000</x:f>
        <x:v>0.3685</x:v>
      </x:c>
      <x:c r="N870" s="28" t="n">
        <x:f>H870*K870/1000000</x:f>
        <x:v>0.10179</x:v>
      </x:c>
      <x:c r="O870" s="28" t="n">
        <x:f>SUM(M870:N870)</x:f>
        <x:v>0.47029</x:v>
      </x:c>
    </x:row>
    <x:row r="871" ht="23" customHeight="1">
      <x:c r="A871" s="17" t="str">
        <x:v>U00865</x:v>
      </x:c>
      <x:c r="B871" s="18" t="n">
        <x:v>46273</x:v>
      </x:c>
      <x:c r="C871" s="17" t="str">
        <x:v>W0089</x:v>
      </x:c>
      <x:c r="D871" s="17" t="str">
        <x:v>C002</x:v>
      </x:c>
      <x:c r="E871" s="17" t="str">
        <x:v>DataFlow</x:v>
      </x:c>
      <x:c r="F871" s="17" t="str">
        <x:v>Lite</x:v>
      </x:c>
      <x:c r="G871" s="17" t="n">
        <x:v>16029</x:v>
      </x:c>
      <x:c r="H871" s="17" t="n">
        <x:v>7266</x:v>
      </x:c>
      <x:c r="I871" s="17" t="str">
        <x:v>First attempt</x:v>
      </x:c>
      <x:c r="J871" s="27" t="n">
        <x:f>INDEX('Model Pricing'!$B$7:$B$8,MATCH(F871,'Model Pricing'!$A$7:$A$8,0))</x:f>
        <x:v>10</x:v>
      </x:c>
      <x:c r="K871" s="27" t="n">
        <x:f>INDEX('Model Pricing'!$C$7:$C$8,MATCH(F871,'Model Pricing'!$A$7:$A$8,0))</x:f>
        <x:v>30</x:v>
      </x:c>
      <x:c r="L871" s="17" t="n">
        <x:f>G871+H871</x:f>
        <x:v>23295</x:v>
      </x:c>
      <x:c r="M871" s="28" t="n">
        <x:f>G871*J871/1000000</x:f>
        <x:v>0.16029</x:v>
      </x:c>
      <x:c r="N871" s="28" t="n">
        <x:f>H871*K871/1000000</x:f>
        <x:v>0.21798</x:v>
      </x:c>
      <x:c r="O871" s="28" t="n">
        <x:f>SUM(M871:N871)</x:f>
        <x:v>0.37827</x:v>
      </x:c>
    </x:row>
    <x:row r="872" ht="23" customHeight="1">
      <x:c r="A872" s="17" t="str">
        <x:v>U00866</x:v>
      </x:c>
      <x:c r="B872" s="18" t="n">
        <x:v>46273</x:v>
      </x:c>
      <x:c r="C872" s="17" t="str">
        <x:v>W0089</x:v>
      </x:c>
      <x:c r="D872" s="17" t="str">
        <x:v>C002</x:v>
      </x:c>
      <x:c r="E872" s="17" t="str">
        <x:v>DataFlow</x:v>
      </x:c>
      <x:c r="F872" s="17" t="str">
        <x:v>Lite</x:v>
      </x:c>
      <x:c r="G872" s="17" t="n">
        <x:v>29030</x:v>
      </x:c>
      <x:c r="H872" s="17" t="n">
        <x:v>3967</x:v>
      </x:c>
      <x:c r="I872" s="17" t="str">
        <x:v>Correction</x:v>
      </x:c>
      <x:c r="J872" s="27" t="n">
        <x:f>INDEX('Model Pricing'!$B$7:$B$8,MATCH(F872,'Model Pricing'!$A$7:$A$8,0))</x:f>
        <x:v>10</x:v>
      </x:c>
      <x:c r="K872" s="27" t="n">
        <x:f>INDEX('Model Pricing'!$C$7:$C$8,MATCH(F872,'Model Pricing'!$A$7:$A$8,0))</x:f>
        <x:v>30</x:v>
      </x:c>
      <x:c r="L872" s="17" t="n">
        <x:f>G872+H872</x:f>
        <x:v>32997</x:v>
      </x:c>
      <x:c r="M872" s="28" t="n">
        <x:f>G872*J872/1000000</x:f>
        <x:v>0.2903</x:v>
      </x:c>
      <x:c r="N872" s="28" t="n">
        <x:f>H872*K872/1000000</x:f>
        <x:v>0.11901</x:v>
      </x:c>
      <x:c r="O872" s="28" t="n">
        <x:f>SUM(M872:N872)</x:f>
        <x:v>0.40931</x:v>
      </x:c>
    </x:row>
    <x:row r="873" ht="23" customHeight="1">
      <x:c r="A873" s="17" t="str">
        <x:v>U00867</x:v>
      </x:c>
      <x:c r="B873" s="18" t="n">
        <x:v>46273</x:v>
      </x:c>
      <x:c r="C873" s="17" t="str">
        <x:v>W0089</x:v>
      </x:c>
      <x:c r="D873" s="17" t="str">
        <x:v>C002</x:v>
      </x:c>
      <x:c r="E873" s="17" t="str">
        <x:v>DataFlow</x:v>
      </x:c>
      <x:c r="F873" s="17" t="str">
        <x:v>Lite</x:v>
      </x:c>
      <x:c r="G873" s="17" t="n">
        <x:v>14026</x:v>
      </x:c>
      <x:c r="H873" s="17" t="n">
        <x:v>7127</x:v>
      </x:c>
      <x:c r="I873" s="17" t="str">
        <x:v>Followup</x:v>
      </x:c>
      <x:c r="J873" s="27" t="n">
        <x:f>INDEX('Model Pricing'!$B$7:$B$8,MATCH(F873,'Model Pricing'!$A$7:$A$8,0))</x:f>
        <x:v>10</x:v>
      </x:c>
      <x:c r="K873" s="27" t="n">
        <x:f>INDEX('Model Pricing'!$C$7:$C$8,MATCH(F873,'Model Pricing'!$A$7:$A$8,0))</x:f>
        <x:v>30</x:v>
      </x:c>
      <x:c r="L873" s="17" t="n">
        <x:f>G873+H873</x:f>
        <x:v>21153</x:v>
      </x:c>
      <x:c r="M873" s="28" t="n">
        <x:f>G873*J873/1000000</x:f>
        <x:v>0.14026</x:v>
      </x:c>
      <x:c r="N873" s="28" t="n">
        <x:f>H873*K873/1000000</x:f>
        <x:v>0.21381</x:v>
      </x:c>
      <x:c r="O873" s="28" t="n">
        <x:f>SUM(M873:N873)</x:f>
        <x:v>0.35407</x:v>
      </x:c>
    </x:row>
    <x:row r="874" ht="23" customHeight="1">
      <x:c r="A874" s="17" t="str">
        <x:v>U00868</x:v>
      </x:c>
      <x:c r="B874" s="18" t="n">
        <x:v>46273</x:v>
      </x:c>
      <x:c r="C874" s="17" t="str">
        <x:v>W0089</x:v>
      </x:c>
      <x:c r="D874" s="17" t="str">
        <x:v>C002</x:v>
      </x:c>
      <x:c r="E874" s="17" t="str">
        <x:v>DataFlow</x:v>
      </x:c>
      <x:c r="F874" s="17" t="str">
        <x:v>Lite</x:v>
      </x:c>
      <x:c r="G874" s="17" t="n">
        <x:v>26905</x:v>
      </x:c>
      <x:c r="H874" s="17" t="n">
        <x:v>5485</x:v>
      </x:c>
      <x:c r="I874" s="17" t="str">
        <x:v>Correction</x:v>
      </x:c>
      <x:c r="J874" s="27" t="n">
        <x:f>INDEX('Model Pricing'!$B$7:$B$8,MATCH(F874,'Model Pricing'!$A$7:$A$8,0))</x:f>
        <x:v>10</x:v>
      </x:c>
      <x:c r="K874" s="27" t="n">
        <x:f>INDEX('Model Pricing'!$C$7:$C$8,MATCH(F874,'Model Pricing'!$A$7:$A$8,0))</x:f>
        <x:v>30</x:v>
      </x:c>
      <x:c r="L874" s="17" t="n">
        <x:f>G874+H874</x:f>
        <x:v>32390</x:v>
      </x:c>
      <x:c r="M874" s="28" t="n">
        <x:f>G874*J874/1000000</x:f>
        <x:v>0.26905</x:v>
      </x:c>
      <x:c r="N874" s="28" t="n">
        <x:f>H874*K874/1000000</x:f>
        <x:v>0.16455</x:v>
      </x:c>
      <x:c r="O874" s="28" t="n">
        <x:f>SUM(M874:N874)</x:f>
        <x:v>0.4336</x:v>
      </x:c>
    </x:row>
    <x:row r="875" ht="23" customHeight="1">
      <x:c r="A875" s="17" t="str">
        <x:v>U00869</x:v>
      </x:c>
      <x:c r="B875" s="18" t="n">
        <x:v>46273</x:v>
      </x:c>
      <x:c r="C875" s="17" t="str">
        <x:v>W0089</x:v>
      </x:c>
      <x:c r="D875" s="17" t="str">
        <x:v>C002</x:v>
      </x:c>
      <x:c r="E875" s="17" t="str">
        <x:v>DataFlow</x:v>
      </x:c>
      <x:c r="F875" s="17" t="str">
        <x:v>Lite</x:v>
      </x:c>
      <x:c r="G875" s="17" t="n">
        <x:v>22862</x:v>
      </x:c>
      <x:c r="H875" s="17" t="n">
        <x:v>3006</x:v>
      </x:c>
      <x:c r="I875" s="17" t="str">
        <x:v>Followup</x:v>
      </x:c>
      <x:c r="J875" s="27" t="n">
        <x:f>INDEX('Model Pricing'!$B$7:$B$8,MATCH(F875,'Model Pricing'!$A$7:$A$8,0))</x:f>
        <x:v>10</x:v>
      </x:c>
      <x:c r="K875" s="27" t="n">
        <x:f>INDEX('Model Pricing'!$C$7:$C$8,MATCH(F875,'Model Pricing'!$A$7:$A$8,0))</x:f>
        <x:v>30</x:v>
      </x:c>
      <x:c r="L875" s="17" t="n">
        <x:f>G875+H875</x:f>
        <x:v>25868</x:v>
      </x:c>
      <x:c r="M875" s="28" t="n">
        <x:f>G875*J875/1000000</x:f>
        <x:v>0.22862</x:v>
      </x:c>
      <x:c r="N875" s="28" t="n">
        <x:f>H875*K875/1000000</x:f>
        <x:v>0.09018</x:v>
      </x:c>
      <x:c r="O875" s="28" t="n">
        <x:f>SUM(M875:N875)</x:f>
        <x:v>0.3188</x:v>
      </x:c>
    </x:row>
    <x:row r="876" ht="23" customHeight="1">
      <x:c r="A876" s="17" t="str">
        <x:v>U00870</x:v>
      </x:c>
      <x:c r="B876" s="18" t="n">
        <x:v>46273</x:v>
      </x:c>
      <x:c r="C876" s="17" t="str">
        <x:v>W0089</x:v>
      </x:c>
      <x:c r="D876" s="17" t="str">
        <x:v>C002</x:v>
      </x:c>
      <x:c r="E876" s="17" t="str">
        <x:v>DataFlow</x:v>
      </x:c>
      <x:c r="F876" s="17" t="str">
        <x:v>Lite</x:v>
      </x:c>
      <x:c r="G876" s="17" t="n">
        <x:v>10002</x:v>
      </x:c>
      <x:c r="H876" s="17" t="n">
        <x:v>5058</x:v>
      </x:c>
      <x:c r="I876" s="17" t="str">
        <x:v>Correction</x:v>
      </x:c>
      <x:c r="J876" s="27" t="n">
        <x:f>INDEX('Model Pricing'!$B$7:$B$8,MATCH(F876,'Model Pricing'!$A$7:$A$8,0))</x:f>
        <x:v>10</x:v>
      </x:c>
      <x:c r="K876" s="27" t="n">
        <x:f>INDEX('Model Pricing'!$C$7:$C$8,MATCH(F876,'Model Pricing'!$A$7:$A$8,0))</x:f>
        <x:v>30</x:v>
      </x:c>
      <x:c r="L876" s="17" t="n">
        <x:f>G876+H876</x:f>
        <x:v>15060</x:v>
      </x:c>
      <x:c r="M876" s="28" t="n">
        <x:f>G876*J876/1000000</x:f>
        <x:v>0.10002</x:v>
      </x:c>
      <x:c r="N876" s="28" t="n">
        <x:f>H876*K876/1000000</x:f>
        <x:v>0.15174</x:v>
      </x:c>
      <x:c r="O876" s="28" t="n">
        <x:f>SUM(M876:N876)</x:f>
        <x:v>0.25176</x:v>
      </x:c>
    </x:row>
    <x:row r="877" ht="23" customHeight="1">
      <x:c r="A877" s="17" t="str">
        <x:v>U00871</x:v>
      </x:c>
      <x:c r="B877" s="18" t="n">
        <x:v>46274</x:v>
      </x:c>
      <x:c r="C877" s="17" t="str">
        <x:v>W0089</x:v>
      </x:c>
      <x:c r="D877" s="17" t="str">
        <x:v>C002</x:v>
      </x:c>
      <x:c r="E877" s="17" t="str">
        <x:v>DataFlow</x:v>
      </x:c>
      <x:c r="F877" s="17" t="str">
        <x:v>Lite</x:v>
      </x:c>
      <x:c r="G877" s="17" t="n">
        <x:v>27811</x:v>
      </x:c>
      <x:c r="H877" s="17" t="n">
        <x:v>5072</x:v>
      </x:c>
      <x:c r="I877" s="17" t="str">
        <x:v>Followup</x:v>
      </x:c>
      <x:c r="J877" s="27" t="n">
        <x:f>INDEX('Model Pricing'!$B$7:$B$8,MATCH(F877,'Model Pricing'!$A$7:$A$8,0))</x:f>
        <x:v>10</x:v>
      </x:c>
      <x:c r="K877" s="27" t="n">
        <x:f>INDEX('Model Pricing'!$C$7:$C$8,MATCH(F877,'Model Pricing'!$A$7:$A$8,0))</x:f>
        <x:v>30</x:v>
      </x:c>
      <x:c r="L877" s="17" t="n">
        <x:f>G877+H877</x:f>
        <x:v>32883</x:v>
      </x:c>
      <x:c r="M877" s="28" t="n">
        <x:f>G877*J877/1000000</x:f>
        <x:v>0.27811</x:v>
      </x:c>
      <x:c r="N877" s="28" t="n">
        <x:f>H877*K877/1000000</x:f>
        <x:v>0.15216</x:v>
      </x:c>
      <x:c r="O877" s="28" t="n">
        <x:f>SUM(M877:N877)</x:f>
        <x:v>0.43027000000000004</x:v>
      </x:c>
    </x:row>
    <x:row r="878" ht="23" customHeight="1">
      <x:c r="A878" s="17" t="str">
        <x:v>U00872</x:v>
      </x:c>
      <x:c r="B878" s="18" t="n">
        <x:v>46274</x:v>
      </x:c>
      <x:c r="C878" s="17" t="str">
        <x:v>W0089</x:v>
      </x:c>
      <x:c r="D878" s="17" t="str">
        <x:v>C002</x:v>
      </x:c>
      <x:c r="E878" s="17" t="str">
        <x:v>DataFlow</x:v>
      </x:c>
      <x:c r="F878" s="17" t="str">
        <x:v>Lite</x:v>
      </x:c>
      <x:c r="G878" s="17" t="n">
        <x:v>17652</x:v>
      </x:c>
      <x:c r="H878" s="17" t="n">
        <x:v>5399</x:v>
      </x:c>
      <x:c r="I878" s="17" t="str">
        <x:v>Correction</x:v>
      </x:c>
      <x:c r="J878" s="27" t="n">
        <x:f>INDEX('Model Pricing'!$B$7:$B$8,MATCH(F878,'Model Pricing'!$A$7:$A$8,0))</x:f>
        <x:v>10</x:v>
      </x:c>
      <x:c r="K878" s="27" t="n">
        <x:f>INDEX('Model Pricing'!$C$7:$C$8,MATCH(F878,'Model Pricing'!$A$7:$A$8,0))</x:f>
        <x:v>30</x:v>
      </x:c>
      <x:c r="L878" s="17" t="n">
        <x:f>G878+H878</x:f>
        <x:v>23051</x:v>
      </x:c>
      <x:c r="M878" s="28" t="n">
        <x:f>G878*J878/1000000</x:f>
        <x:v>0.17652</x:v>
      </x:c>
      <x:c r="N878" s="28" t="n">
        <x:f>H878*K878/1000000</x:f>
        <x:v>0.16197</x:v>
      </x:c>
      <x:c r="O878" s="28" t="n">
        <x:f>SUM(M878:N878)</x:f>
        <x:v>0.33849</x:v>
      </x:c>
    </x:row>
    <x:row r="879" ht="23" customHeight="1">
      <x:c r="A879" s="17" t="str">
        <x:v>U00873</x:v>
      </x:c>
      <x:c r="B879" s="18" t="n">
        <x:v>46274</x:v>
      </x:c>
      <x:c r="C879" s="17" t="str">
        <x:v>W0089</x:v>
      </x:c>
      <x:c r="D879" s="17" t="str">
        <x:v>C002</x:v>
      </x:c>
      <x:c r="E879" s="17" t="str">
        <x:v>DataFlow</x:v>
      </x:c>
      <x:c r="F879" s="17" t="str">
        <x:v>Lite</x:v>
      </x:c>
      <x:c r="G879" s="17" t="n">
        <x:v>18500</x:v>
      </x:c>
      <x:c r="H879" s="17" t="n">
        <x:v>6223</x:v>
      </x:c>
      <x:c r="I879" s="17" t="str">
        <x:v>Correction</x:v>
      </x:c>
      <x:c r="J879" s="27" t="n">
        <x:f>INDEX('Model Pricing'!$B$7:$B$8,MATCH(F879,'Model Pricing'!$A$7:$A$8,0))</x:f>
        <x:v>10</x:v>
      </x:c>
      <x:c r="K879" s="27" t="n">
        <x:f>INDEX('Model Pricing'!$C$7:$C$8,MATCH(F879,'Model Pricing'!$A$7:$A$8,0))</x:f>
        <x:v>30</x:v>
      </x:c>
      <x:c r="L879" s="17" t="n">
        <x:f>G879+H879</x:f>
        <x:v>24723</x:v>
      </x:c>
      <x:c r="M879" s="28" t="n">
        <x:f>G879*J879/1000000</x:f>
        <x:v>0.185</x:v>
      </x:c>
      <x:c r="N879" s="28" t="n">
        <x:f>H879*K879/1000000</x:f>
        <x:v>0.18669</x:v>
      </x:c>
      <x:c r="O879" s="28" t="n">
        <x:f>SUM(M879:N879)</x:f>
        <x:v>0.37168999999999996</x:v>
      </x:c>
    </x:row>
    <x:row r="880" ht="23" customHeight="1">
      <x:c r="A880" s="17" t="str">
        <x:v>U00874</x:v>
      </x:c>
      <x:c r="B880" s="18" t="n">
        <x:v>46274</x:v>
      </x:c>
      <x:c r="C880" s="17" t="str">
        <x:v>W0089</x:v>
      </x:c>
      <x:c r="D880" s="17" t="str">
        <x:v>C002</x:v>
      </x:c>
      <x:c r="E880" s="17" t="str">
        <x:v>DataFlow</x:v>
      </x:c>
      <x:c r="F880" s="17" t="str">
        <x:v>Lite</x:v>
      </x:c>
      <x:c r="G880" s="17" t="n">
        <x:v>11481</x:v>
      </x:c>
      <x:c r="H880" s="17" t="n">
        <x:v>6986</x:v>
      </x:c>
      <x:c r="I880" s="17" t="str">
        <x:v>Correction</x:v>
      </x:c>
      <x:c r="J880" s="27" t="n">
        <x:f>INDEX('Model Pricing'!$B$7:$B$8,MATCH(F880,'Model Pricing'!$A$7:$A$8,0))</x:f>
        <x:v>10</x:v>
      </x:c>
      <x:c r="K880" s="27" t="n">
        <x:f>INDEX('Model Pricing'!$C$7:$C$8,MATCH(F880,'Model Pricing'!$A$7:$A$8,0))</x:f>
        <x:v>30</x:v>
      </x:c>
      <x:c r="L880" s="17" t="n">
        <x:f>G880+H880</x:f>
        <x:v>18467</x:v>
      </x:c>
      <x:c r="M880" s="28" t="n">
        <x:f>G880*J880/1000000</x:f>
        <x:v>0.11481</x:v>
      </x:c>
      <x:c r="N880" s="28" t="n">
        <x:f>H880*K880/1000000</x:f>
        <x:v>0.20958</x:v>
      </x:c>
      <x:c r="O880" s="28" t="n">
        <x:f>SUM(M880:N880)</x:f>
        <x:v>0.32438999999999996</x:v>
      </x:c>
    </x:row>
    <x:row r="881" ht="23" customHeight="1">
      <x:c r="A881" s="17" t="str">
        <x:v>U00875</x:v>
      </x:c>
      <x:c r="B881" s="18" t="n">
        <x:v>46274</x:v>
      </x:c>
      <x:c r="C881" s="17" t="str">
        <x:v>W0089</x:v>
      </x:c>
      <x:c r="D881" s="17" t="str">
        <x:v>C002</x:v>
      </x:c>
      <x:c r="E881" s="17" t="str">
        <x:v>DataFlow</x:v>
      </x:c>
      <x:c r="F881" s="17" t="str">
        <x:v>Lite</x:v>
      </x:c>
      <x:c r="G881" s="17" t="n">
        <x:v>12790</x:v>
      </x:c>
      <x:c r="H881" s="17" t="n">
        <x:v>4672</x:v>
      </x:c>
      <x:c r="I881" s="17" t="str">
        <x:v>Correction</x:v>
      </x:c>
      <x:c r="J881" s="27" t="n">
        <x:f>INDEX('Model Pricing'!$B$7:$B$8,MATCH(F881,'Model Pricing'!$A$7:$A$8,0))</x:f>
        <x:v>10</x:v>
      </x:c>
      <x:c r="K881" s="27" t="n">
        <x:f>INDEX('Model Pricing'!$C$7:$C$8,MATCH(F881,'Model Pricing'!$A$7:$A$8,0))</x:f>
        <x:v>30</x:v>
      </x:c>
      <x:c r="L881" s="17" t="n">
        <x:f>G881+H881</x:f>
        <x:v>17462</x:v>
      </x:c>
      <x:c r="M881" s="28" t="n">
        <x:f>G881*J881/1000000</x:f>
        <x:v>0.1279</x:v>
      </x:c>
      <x:c r="N881" s="28" t="n">
        <x:f>H881*K881/1000000</x:f>
        <x:v>0.14016</x:v>
      </x:c>
      <x:c r="O881" s="28" t="n">
        <x:f>SUM(M881:N881)</x:f>
        <x:v>0.26806</x:v>
      </x:c>
    </x:row>
    <x:row r="882" ht="23" customHeight="1">
      <x:c r="A882" s="17" t="str">
        <x:v>U00876</x:v>
      </x:c>
      <x:c r="B882" s="18" t="n">
        <x:v>46274</x:v>
      </x:c>
      <x:c r="C882" s="17" t="str">
        <x:v>W0089</x:v>
      </x:c>
      <x:c r="D882" s="17" t="str">
        <x:v>C002</x:v>
      </x:c>
      <x:c r="E882" s="17" t="str">
        <x:v>DataFlow</x:v>
      </x:c>
      <x:c r="F882" s="17" t="str">
        <x:v>Lite</x:v>
      </x:c>
      <x:c r="G882" s="17" t="n">
        <x:v>21685</x:v>
      </x:c>
      <x:c r="H882" s="17" t="n">
        <x:v>7516</x:v>
      </x:c>
      <x:c r="I882" s="17" t="str">
        <x:v>Followup</x:v>
      </x:c>
      <x:c r="J882" s="27" t="n">
        <x:f>INDEX('Model Pricing'!$B$7:$B$8,MATCH(F882,'Model Pricing'!$A$7:$A$8,0))</x:f>
        <x:v>10</x:v>
      </x:c>
      <x:c r="K882" s="27" t="n">
        <x:f>INDEX('Model Pricing'!$C$7:$C$8,MATCH(F882,'Model Pricing'!$A$7:$A$8,0))</x:f>
        <x:v>30</x:v>
      </x:c>
      <x:c r="L882" s="17" t="n">
        <x:f>G882+H882</x:f>
        <x:v>29201</x:v>
      </x:c>
      <x:c r="M882" s="28" t="n">
        <x:f>G882*J882/1000000</x:f>
        <x:v>0.21685</x:v>
      </x:c>
      <x:c r="N882" s="28" t="n">
        <x:f>H882*K882/1000000</x:f>
        <x:v>0.22548</x:v>
      </x:c>
      <x:c r="O882" s="28" t="n">
        <x:f>SUM(M882:N882)</x:f>
        <x:v>0.44233</x:v>
      </x:c>
    </x:row>
    <x:row r="883" ht="23" customHeight="1">
      <x:c r="A883" s="17" t="str">
        <x:v>U00877</x:v>
      </x:c>
      <x:c r="B883" s="18" t="n">
        <x:v>46275</x:v>
      </x:c>
      <x:c r="C883" s="17" t="str">
        <x:v>W0089</x:v>
      </x:c>
      <x:c r="D883" s="17" t="str">
        <x:v>C002</x:v>
      </x:c>
      <x:c r="E883" s="17" t="str">
        <x:v>DataFlow</x:v>
      </x:c>
      <x:c r="F883" s="17" t="str">
        <x:v>Lite</x:v>
      </x:c>
      <x:c r="G883" s="17" t="n">
        <x:v>27291</x:v>
      </x:c>
      <x:c r="H883" s="17" t="n">
        <x:v>2742</x:v>
      </x:c>
      <x:c r="I883" s="17" t="str">
        <x:v>Followup</x:v>
      </x:c>
      <x:c r="J883" s="27" t="n">
        <x:f>INDEX('Model Pricing'!$B$7:$B$8,MATCH(F883,'Model Pricing'!$A$7:$A$8,0))</x:f>
        <x:v>10</x:v>
      </x:c>
      <x:c r="K883" s="27" t="n">
        <x:f>INDEX('Model Pricing'!$C$7:$C$8,MATCH(F883,'Model Pricing'!$A$7:$A$8,0))</x:f>
        <x:v>30</x:v>
      </x:c>
      <x:c r="L883" s="17" t="n">
        <x:f>G883+H883</x:f>
        <x:v>30033</x:v>
      </x:c>
      <x:c r="M883" s="28" t="n">
        <x:f>G883*J883/1000000</x:f>
        <x:v>0.27291</x:v>
      </x:c>
      <x:c r="N883" s="28" t="n">
        <x:f>H883*K883/1000000</x:f>
        <x:v>0.08226</x:v>
      </x:c>
      <x:c r="O883" s="28" t="n">
        <x:f>SUM(M883:N883)</x:f>
        <x:v>0.35517</x:v>
      </x:c>
    </x:row>
    <x:row r="884" ht="23" customHeight="1">
      <x:c r="A884" s="17" t="str">
        <x:v>U00878</x:v>
      </x:c>
      <x:c r="B884" s="18" t="n">
        <x:v>46275</x:v>
      </x:c>
      <x:c r="C884" s="17" t="str">
        <x:v>W0089</x:v>
      </x:c>
      <x:c r="D884" s="17" t="str">
        <x:v>C002</x:v>
      </x:c>
      <x:c r="E884" s="17" t="str">
        <x:v>DataFlow</x:v>
      </x:c>
      <x:c r="F884" s="17" t="str">
        <x:v>Lite</x:v>
      </x:c>
      <x:c r="G884" s="17" t="n">
        <x:v>21182</x:v>
      </x:c>
      <x:c r="H884" s="17" t="n">
        <x:v>4291</x:v>
      </x:c>
      <x:c r="I884" s="17" t="str">
        <x:v>Correction</x:v>
      </x:c>
      <x:c r="J884" s="27" t="n">
        <x:f>INDEX('Model Pricing'!$B$7:$B$8,MATCH(F884,'Model Pricing'!$A$7:$A$8,0))</x:f>
        <x:v>10</x:v>
      </x:c>
      <x:c r="K884" s="27" t="n">
        <x:f>INDEX('Model Pricing'!$C$7:$C$8,MATCH(F884,'Model Pricing'!$A$7:$A$8,0))</x:f>
        <x:v>30</x:v>
      </x:c>
      <x:c r="L884" s="17" t="n">
        <x:f>G884+H884</x:f>
        <x:v>25473</x:v>
      </x:c>
      <x:c r="M884" s="28" t="n">
        <x:f>G884*J884/1000000</x:f>
        <x:v>0.21182</x:v>
      </x:c>
      <x:c r="N884" s="28" t="n">
        <x:f>H884*K884/1000000</x:f>
        <x:v>0.12873</x:v>
      </x:c>
      <x:c r="O884" s="28" t="n">
        <x:f>SUM(M884:N884)</x:f>
        <x:v>0.34055</x:v>
      </x:c>
    </x:row>
    <x:row r="885" ht="23" customHeight="1">
      <x:c r="A885" s="17" t="str">
        <x:v>U00879</x:v>
      </x:c>
      <x:c r="B885" s="18" t="n">
        <x:v>46275</x:v>
      </x:c>
      <x:c r="C885" s="17" t="str">
        <x:v>W0089</x:v>
      </x:c>
      <x:c r="D885" s="17" t="str">
        <x:v>C002</x:v>
      </x:c>
      <x:c r="E885" s="17" t="str">
        <x:v>DataFlow</x:v>
      </x:c>
      <x:c r="F885" s="17" t="str">
        <x:v>Lite</x:v>
      </x:c>
      <x:c r="G885" s="17" t="n">
        <x:v>25135</x:v>
      </x:c>
      <x:c r="H885" s="17" t="n">
        <x:v>3606</x:v>
      </x:c>
      <x:c r="I885" s="17" t="str">
        <x:v>Followup</x:v>
      </x:c>
      <x:c r="J885" s="27" t="n">
        <x:f>INDEX('Model Pricing'!$B$7:$B$8,MATCH(F885,'Model Pricing'!$A$7:$A$8,0))</x:f>
        <x:v>10</x:v>
      </x:c>
      <x:c r="K885" s="27" t="n">
        <x:f>INDEX('Model Pricing'!$C$7:$C$8,MATCH(F885,'Model Pricing'!$A$7:$A$8,0))</x:f>
        <x:v>30</x:v>
      </x:c>
      <x:c r="L885" s="17" t="n">
        <x:f>G885+H885</x:f>
        <x:v>28741</x:v>
      </x:c>
      <x:c r="M885" s="28" t="n">
        <x:f>G885*J885/1000000</x:f>
        <x:v>0.25135</x:v>
      </x:c>
      <x:c r="N885" s="28" t="n">
        <x:f>H885*K885/1000000</x:f>
        <x:v>0.10818</x:v>
      </x:c>
      <x:c r="O885" s="28" t="n">
        <x:f>SUM(M885:N885)</x:f>
        <x:v>0.35953</x:v>
      </x:c>
    </x:row>
    <x:row r="886" ht="23" customHeight="1">
      <x:c r="A886" s="17" t="str">
        <x:v>U00880</x:v>
      </x:c>
      <x:c r="B886" s="18" t="n">
        <x:v>46275</x:v>
      </x:c>
      <x:c r="C886" s="17" t="str">
        <x:v>W0089</x:v>
      </x:c>
      <x:c r="D886" s="17" t="str">
        <x:v>C002</x:v>
      </x:c>
      <x:c r="E886" s="17" t="str">
        <x:v>DataFlow</x:v>
      </x:c>
      <x:c r="F886" s="17" t="str">
        <x:v>Lite</x:v>
      </x:c>
      <x:c r="G886" s="17" t="n">
        <x:v>25007</x:v>
      </x:c>
      <x:c r="H886" s="17" t="n">
        <x:v>6271</x:v>
      </x:c>
      <x:c r="I886" s="17" t="str">
        <x:v>Correction</x:v>
      </x:c>
      <x:c r="J886" s="27" t="n">
        <x:f>INDEX('Model Pricing'!$B$7:$B$8,MATCH(F886,'Model Pricing'!$A$7:$A$8,0))</x:f>
        <x:v>10</x:v>
      </x:c>
      <x:c r="K886" s="27" t="n">
        <x:f>INDEX('Model Pricing'!$C$7:$C$8,MATCH(F886,'Model Pricing'!$A$7:$A$8,0))</x:f>
        <x:v>30</x:v>
      </x:c>
      <x:c r="L886" s="17" t="n">
        <x:f>G886+H886</x:f>
        <x:v>31278</x:v>
      </x:c>
      <x:c r="M886" s="28" t="n">
        <x:f>G886*J886/1000000</x:f>
        <x:v>0.25007</x:v>
      </x:c>
      <x:c r="N886" s="28" t="n">
        <x:f>H886*K886/1000000</x:f>
        <x:v>0.18813</x:v>
      </x:c>
      <x:c r="O886" s="28" t="n">
        <x:f>SUM(M886:N886)</x:f>
        <x:v>0.43820000000000003</x:v>
      </x:c>
    </x:row>
    <x:row r="887" ht="23" customHeight="1">
      <x:c r="A887" s="17" t="str">
        <x:v>U00881</x:v>
      </x:c>
      <x:c r="B887" s="18" t="n">
        <x:v>46275</x:v>
      </x:c>
      <x:c r="C887" s="17" t="str">
        <x:v>W0089</x:v>
      </x:c>
      <x:c r="D887" s="17" t="str">
        <x:v>C002</x:v>
      </x:c>
      <x:c r="E887" s="17" t="str">
        <x:v>DataFlow</x:v>
      </x:c>
      <x:c r="F887" s="17" t="str">
        <x:v>Lite</x:v>
      </x:c>
      <x:c r="G887" s="17" t="n">
        <x:v>17453</x:v>
      </x:c>
      <x:c r="H887" s="17" t="n">
        <x:v>6236</x:v>
      </x:c>
      <x:c r="I887" s="17" t="str">
        <x:v>Followup</x:v>
      </x:c>
      <x:c r="J887" s="27" t="n">
        <x:f>INDEX('Model Pricing'!$B$7:$B$8,MATCH(F887,'Model Pricing'!$A$7:$A$8,0))</x:f>
        <x:v>10</x:v>
      </x:c>
      <x:c r="K887" s="27" t="n">
        <x:f>INDEX('Model Pricing'!$C$7:$C$8,MATCH(F887,'Model Pricing'!$A$7:$A$8,0))</x:f>
        <x:v>30</x:v>
      </x:c>
      <x:c r="L887" s="17" t="n">
        <x:f>G887+H887</x:f>
        <x:v>23689</x:v>
      </x:c>
      <x:c r="M887" s="28" t="n">
        <x:f>G887*J887/1000000</x:f>
        <x:v>0.17453</x:v>
      </x:c>
      <x:c r="N887" s="28" t="n">
        <x:f>H887*K887/1000000</x:f>
        <x:v>0.18708</x:v>
      </x:c>
      <x:c r="O887" s="28" t="n">
        <x:f>SUM(M887:N887)</x:f>
        <x:v>0.36161</x:v>
      </x:c>
    </x:row>
    <x:row r="888" ht="23" customHeight="1">
      <x:c r="A888" s="17" t="str">
        <x:v>U00882</x:v>
      </x:c>
      <x:c r="B888" s="18" t="n">
        <x:v>46275</x:v>
      </x:c>
      <x:c r="C888" s="17" t="str">
        <x:v>W0089</x:v>
      </x:c>
      <x:c r="D888" s="17" t="str">
        <x:v>C002</x:v>
      </x:c>
      <x:c r="E888" s="17" t="str">
        <x:v>DataFlow</x:v>
      </x:c>
      <x:c r="F888" s="17" t="str">
        <x:v>Lite</x:v>
      </x:c>
      <x:c r="G888" s="17" t="n">
        <x:v>20371</x:v>
      </x:c>
      <x:c r="H888" s="17" t="n">
        <x:v>6532</x:v>
      </x:c>
      <x:c r="I888" s="17" t="str">
        <x:v>Followup</x:v>
      </x:c>
      <x:c r="J888" s="27" t="n">
        <x:f>INDEX('Model Pricing'!$B$7:$B$8,MATCH(F888,'Model Pricing'!$A$7:$A$8,0))</x:f>
        <x:v>10</x:v>
      </x:c>
      <x:c r="K888" s="27" t="n">
        <x:f>INDEX('Model Pricing'!$C$7:$C$8,MATCH(F888,'Model Pricing'!$A$7:$A$8,0))</x:f>
        <x:v>30</x:v>
      </x:c>
      <x:c r="L888" s="17" t="n">
        <x:f>G888+H888</x:f>
        <x:v>26903</x:v>
      </x:c>
      <x:c r="M888" s="28" t="n">
        <x:f>G888*J888/1000000</x:f>
        <x:v>0.20371</x:v>
      </x:c>
      <x:c r="N888" s="28" t="n">
        <x:f>H888*K888/1000000</x:f>
        <x:v>0.19596</x:v>
      </x:c>
      <x:c r="O888" s="28" t="n">
        <x:f>SUM(M888:N888)</x:f>
        <x:v>0.39966999999999997</x:v>
      </x:c>
    </x:row>
    <x:row r="889" ht="23" customHeight="1">
      <x:c r="A889" s="17" t="str">
        <x:v>U00883</x:v>
      </x:c>
      <x:c r="B889" s="18" t="n">
        <x:v>46276</x:v>
      </x:c>
      <x:c r="C889" s="17" t="str">
        <x:v>W0089</x:v>
      </x:c>
      <x:c r="D889" s="17" t="str">
        <x:v>C002</x:v>
      </x:c>
      <x:c r="E889" s="17" t="str">
        <x:v>DataFlow</x:v>
      </x:c>
      <x:c r="F889" s="17" t="str">
        <x:v>Lite</x:v>
      </x:c>
      <x:c r="G889" s="17" t="n">
        <x:v>23389</x:v>
      </x:c>
      <x:c r="H889" s="17" t="n">
        <x:v>2729</x:v>
      </x:c>
      <x:c r="I889" s="17" t="str">
        <x:v>Followup</x:v>
      </x:c>
      <x:c r="J889" s="27" t="n">
        <x:f>INDEX('Model Pricing'!$B$7:$B$8,MATCH(F889,'Model Pricing'!$A$7:$A$8,0))</x:f>
        <x:v>10</x:v>
      </x:c>
      <x:c r="K889" s="27" t="n">
        <x:f>INDEX('Model Pricing'!$C$7:$C$8,MATCH(F889,'Model Pricing'!$A$7:$A$8,0))</x:f>
        <x:v>30</x:v>
      </x:c>
      <x:c r="L889" s="17" t="n">
        <x:f>G889+H889</x:f>
        <x:v>26118</x:v>
      </x:c>
      <x:c r="M889" s="28" t="n">
        <x:f>G889*J889/1000000</x:f>
        <x:v>0.23389</x:v>
      </x:c>
      <x:c r="N889" s="28" t="n">
        <x:f>H889*K889/1000000</x:f>
        <x:v>0.08187</x:v>
      </x:c>
      <x:c r="O889" s="28" t="n">
        <x:f>SUM(M889:N889)</x:f>
        <x:v>0.31576</x:v>
      </x:c>
    </x:row>
    <x:row r="890" ht="23" customHeight="1">
      <x:c r="A890" s="17" t="str">
        <x:v>U00884</x:v>
      </x:c>
      <x:c r="B890" s="18" t="n">
        <x:v>46276</x:v>
      </x:c>
      <x:c r="C890" s="17" t="str">
        <x:v>W0089</x:v>
      </x:c>
      <x:c r="D890" s="17" t="str">
        <x:v>C002</x:v>
      </x:c>
      <x:c r="E890" s="17" t="str">
        <x:v>DataFlow</x:v>
      </x:c>
      <x:c r="F890" s="17" t="str">
        <x:v>Lite</x:v>
      </x:c>
      <x:c r="G890" s="17" t="n">
        <x:v>20093</x:v>
      </x:c>
      <x:c r="H890" s="17" t="n">
        <x:v>4435</x:v>
      </x:c>
      <x:c r="I890" s="17" t="str">
        <x:v>Followup</x:v>
      </x:c>
      <x:c r="J890" s="27" t="n">
        <x:f>INDEX('Model Pricing'!$B$7:$B$8,MATCH(F890,'Model Pricing'!$A$7:$A$8,0))</x:f>
        <x:v>10</x:v>
      </x:c>
      <x:c r="K890" s="27" t="n">
        <x:f>INDEX('Model Pricing'!$C$7:$C$8,MATCH(F890,'Model Pricing'!$A$7:$A$8,0))</x:f>
        <x:v>30</x:v>
      </x:c>
      <x:c r="L890" s="17" t="n">
        <x:f>G890+H890</x:f>
        <x:v>24528</x:v>
      </x:c>
      <x:c r="M890" s="28" t="n">
        <x:f>G890*J890/1000000</x:f>
        <x:v>0.20093</x:v>
      </x:c>
      <x:c r="N890" s="28" t="n">
        <x:f>H890*K890/1000000</x:f>
        <x:v>0.13305</x:v>
      </x:c>
      <x:c r="O890" s="28" t="n">
        <x:f>SUM(M890:N890)</x:f>
        <x:v>0.33398</x:v>
      </x:c>
    </x:row>
    <x:row r="891" ht="23" customHeight="1">
      <x:c r="A891" s="17" t="str">
        <x:v>U00885</x:v>
      </x:c>
      <x:c r="B891" s="18" t="n">
        <x:v>46276</x:v>
      </x:c>
      <x:c r="C891" s="17" t="str">
        <x:v>W0089</x:v>
      </x:c>
      <x:c r="D891" s="17" t="str">
        <x:v>C002</x:v>
      </x:c>
      <x:c r="E891" s="17" t="str">
        <x:v>DataFlow</x:v>
      </x:c>
      <x:c r="F891" s="17" t="str">
        <x:v>Lite</x:v>
      </x:c>
      <x:c r="G891" s="17" t="n">
        <x:v>26667</x:v>
      </x:c>
      <x:c r="H891" s="17" t="n">
        <x:v>6281</x:v>
      </x:c>
      <x:c r="I891" s="17" t="str">
        <x:v>Correction</x:v>
      </x:c>
      <x:c r="J891" s="27" t="n">
        <x:f>INDEX('Model Pricing'!$B$7:$B$8,MATCH(F891,'Model Pricing'!$A$7:$A$8,0))</x:f>
        <x:v>10</x:v>
      </x:c>
      <x:c r="K891" s="27" t="n">
        <x:f>INDEX('Model Pricing'!$C$7:$C$8,MATCH(F891,'Model Pricing'!$A$7:$A$8,0))</x:f>
        <x:v>30</x:v>
      </x:c>
      <x:c r="L891" s="17" t="n">
        <x:f>G891+H891</x:f>
        <x:v>32948</x:v>
      </x:c>
      <x:c r="M891" s="28" t="n">
        <x:f>G891*J891/1000000</x:f>
        <x:v>0.26667</x:v>
      </x:c>
      <x:c r="N891" s="28" t="n">
        <x:f>H891*K891/1000000</x:f>
        <x:v>0.18843</x:v>
      </x:c>
      <x:c r="O891" s="28" t="n">
        <x:f>SUM(M891:N891)</x:f>
        <x:v>0.4551</x:v>
      </x:c>
    </x:row>
    <x:row r="892" ht="23" customHeight="1">
      <x:c r="A892" s="17" t="str">
        <x:v>U00886</x:v>
      </x:c>
      <x:c r="B892" s="18" t="n">
        <x:v>46276</x:v>
      </x:c>
      <x:c r="C892" s="17" t="str">
        <x:v>W0089</x:v>
      </x:c>
      <x:c r="D892" s="17" t="str">
        <x:v>C002</x:v>
      </x:c>
      <x:c r="E892" s="17" t="str">
        <x:v>DataFlow</x:v>
      </x:c>
      <x:c r="F892" s="17" t="str">
        <x:v>Lite</x:v>
      </x:c>
      <x:c r="G892" s="17" t="n">
        <x:v>16503</x:v>
      </x:c>
      <x:c r="H892" s="17" t="n">
        <x:v>2206</x:v>
      </x:c>
      <x:c r="I892" s="17" t="str">
        <x:v>Followup</x:v>
      </x:c>
      <x:c r="J892" s="27" t="n">
        <x:f>INDEX('Model Pricing'!$B$7:$B$8,MATCH(F892,'Model Pricing'!$A$7:$A$8,0))</x:f>
        <x:v>10</x:v>
      </x:c>
      <x:c r="K892" s="27" t="n">
        <x:f>INDEX('Model Pricing'!$C$7:$C$8,MATCH(F892,'Model Pricing'!$A$7:$A$8,0))</x:f>
        <x:v>30</x:v>
      </x:c>
      <x:c r="L892" s="17" t="n">
        <x:f>G892+H892</x:f>
        <x:v>18709</x:v>
      </x:c>
      <x:c r="M892" s="28" t="n">
        <x:f>G892*J892/1000000</x:f>
        <x:v>0.16503</x:v>
      </x:c>
      <x:c r="N892" s="28" t="n">
        <x:f>H892*K892/1000000</x:f>
        <x:v>0.06618</x:v>
      </x:c>
      <x:c r="O892" s="28" t="n">
        <x:f>SUM(M892:N892)</x:f>
        <x:v>0.23121000000000003</x:v>
      </x:c>
    </x:row>
    <x:row r="893" ht="23" customHeight="1">
      <x:c r="A893" s="17" t="str">
        <x:v>U00887</x:v>
      </x:c>
      <x:c r="B893" s="18" t="n">
        <x:v>46276</x:v>
      </x:c>
      <x:c r="C893" s="17" t="str">
        <x:v>W0089</x:v>
      </x:c>
      <x:c r="D893" s="17" t="str">
        <x:v>C002</x:v>
      </x:c>
      <x:c r="E893" s="17" t="str">
        <x:v>DataFlow</x:v>
      </x:c>
      <x:c r="F893" s="17" t="str">
        <x:v>Lite</x:v>
      </x:c>
      <x:c r="G893" s="17" t="n">
        <x:v>17146</x:v>
      </x:c>
      <x:c r="H893" s="17" t="n">
        <x:v>5712</x:v>
      </x:c>
      <x:c r="I893" s="17" t="str">
        <x:v>Followup</x:v>
      </x:c>
      <x:c r="J893" s="27" t="n">
        <x:f>INDEX('Model Pricing'!$B$7:$B$8,MATCH(F893,'Model Pricing'!$A$7:$A$8,0))</x:f>
        <x:v>10</x:v>
      </x:c>
      <x:c r="K893" s="27" t="n">
        <x:f>INDEX('Model Pricing'!$C$7:$C$8,MATCH(F893,'Model Pricing'!$A$7:$A$8,0))</x:f>
        <x:v>30</x:v>
      </x:c>
      <x:c r="L893" s="17" t="n">
        <x:f>G893+H893</x:f>
        <x:v>22858</x:v>
      </x:c>
      <x:c r="M893" s="28" t="n">
        <x:f>G893*J893/1000000</x:f>
        <x:v>0.17146</x:v>
      </x:c>
      <x:c r="N893" s="28" t="n">
        <x:f>H893*K893/1000000</x:f>
        <x:v>0.17136</x:v>
      </x:c>
      <x:c r="O893" s="28" t="n">
        <x:f>SUM(M893:N893)</x:f>
        <x:v>0.34282</x:v>
      </x:c>
    </x:row>
    <x:row r="894" ht="23" customHeight="1">
      <x:c r="A894" s="17" t="str">
        <x:v>U00888</x:v>
      </x:c>
      <x:c r="B894" s="18" t="n">
        <x:v>46266</x:v>
      </x:c>
      <x:c r="C894" s="17" t="str">
        <x:v>W0091</x:v>
      </x:c>
      <x:c r="D894" s="17" t="str">
        <x:v>C002</x:v>
      </x:c>
      <x:c r="E894" s="17" t="str">
        <x:v>CopyStudio</x:v>
      </x:c>
      <x:c r="F894" s="17" t="str">
        <x:v>Lite</x:v>
      </x:c>
      <x:c r="G894" s="17" t="n">
        <x:v>61101</x:v>
      </x:c>
      <x:c r="H894" s="17" t="n">
        <x:v>11518</x:v>
      </x:c>
      <x:c r="I894" s="17" t="str">
        <x:v>First attempt</x:v>
      </x:c>
      <x:c r="J894" s="27" t="n">
        <x:f>INDEX('Model Pricing'!$B$7:$B$8,MATCH(F894,'Model Pricing'!$A$7:$A$8,0))</x:f>
        <x:v>10</x:v>
      </x:c>
      <x:c r="K894" s="27" t="n">
        <x:f>INDEX('Model Pricing'!$C$7:$C$8,MATCH(F894,'Model Pricing'!$A$7:$A$8,0))</x:f>
        <x:v>30</x:v>
      </x:c>
      <x:c r="L894" s="17" t="n">
        <x:f>G894+H894</x:f>
        <x:v>72619</x:v>
      </x:c>
      <x:c r="M894" s="28" t="n">
        <x:f>G894*J894/1000000</x:f>
        <x:v>0.61101</x:v>
      </x:c>
      <x:c r="N894" s="28" t="n">
        <x:f>H894*K894/1000000</x:f>
        <x:v>0.34554</x:v>
      </x:c>
      <x:c r="O894" s="28" t="n">
        <x:f>SUM(M894:N894)</x:f>
        <x:v>0.95655</x:v>
      </x:c>
    </x:row>
    <x:row r="895" ht="23" customHeight="1">
      <x:c r="A895" s="17" t="str">
        <x:v>U00889</x:v>
      </x:c>
      <x:c r="B895" s="18" t="n">
        <x:v>46266</x:v>
      </x:c>
      <x:c r="C895" s="17" t="str">
        <x:v>W0091</x:v>
      </x:c>
      <x:c r="D895" s="17" t="str">
        <x:v>C002</x:v>
      </x:c>
      <x:c r="E895" s="17" t="str">
        <x:v>CopyStudio</x:v>
      </x:c>
      <x:c r="F895" s="17" t="str">
        <x:v>Lite</x:v>
      </x:c>
      <x:c r="G895" s="17" t="n">
        <x:v>40130</x:v>
      </x:c>
      <x:c r="H895" s="17" t="n">
        <x:v>4523</x:v>
      </x:c>
      <x:c r="I895" s="17" t="str">
        <x:v>Correction</x:v>
      </x:c>
      <x:c r="J895" s="27" t="n">
        <x:f>INDEX('Model Pricing'!$B$7:$B$8,MATCH(F895,'Model Pricing'!$A$7:$A$8,0))</x:f>
        <x:v>10</x:v>
      </x:c>
      <x:c r="K895" s="27" t="n">
        <x:f>INDEX('Model Pricing'!$C$7:$C$8,MATCH(F895,'Model Pricing'!$A$7:$A$8,0))</x:f>
        <x:v>30</x:v>
      </x:c>
      <x:c r="L895" s="17" t="n">
        <x:f>G895+H895</x:f>
        <x:v>44653</x:v>
      </x:c>
      <x:c r="M895" s="28" t="n">
        <x:f>G895*J895/1000000</x:f>
        <x:v>0.4013</x:v>
      </x:c>
      <x:c r="N895" s="28" t="n">
        <x:f>H895*K895/1000000</x:f>
        <x:v>0.13569</x:v>
      </x:c>
      <x:c r="O895" s="28" t="n">
        <x:f>SUM(M895:N895)</x:f>
        <x:v>0.53699</x:v>
      </x:c>
    </x:row>
    <x:row r="896" ht="23" customHeight="1">
      <x:c r="A896" s="17" t="str">
        <x:v>U00890</x:v>
      </x:c>
      <x:c r="B896" s="18" t="n">
        <x:v>46266</x:v>
      </x:c>
      <x:c r="C896" s="17" t="str">
        <x:v>W0091</x:v>
      </x:c>
      <x:c r="D896" s="17" t="str">
        <x:v>C002</x:v>
      </x:c>
      <x:c r="E896" s="17" t="str">
        <x:v>CopyStudio</x:v>
      </x:c>
      <x:c r="F896" s="17" t="str">
        <x:v>Lite</x:v>
      </x:c>
      <x:c r="G896" s="17" t="n">
        <x:v>38600</x:v>
      </x:c>
      <x:c r="H896" s="17" t="n">
        <x:v>6384</x:v>
      </x:c>
      <x:c r="I896" s="17" t="str">
        <x:v>Followup</x:v>
      </x:c>
      <x:c r="J896" s="27" t="n">
        <x:f>INDEX('Model Pricing'!$B$7:$B$8,MATCH(F896,'Model Pricing'!$A$7:$A$8,0))</x:f>
        <x:v>10</x:v>
      </x:c>
      <x:c r="K896" s="27" t="n">
        <x:f>INDEX('Model Pricing'!$C$7:$C$8,MATCH(F896,'Model Pricing'!$A$7:$A$8,0))</x:f>
        <x:v>30</x:v>
      </x:c>
      <x:c r="L896" s="17" t="n">
        <x:f>G896+H896</x:f>
        <x:v>44984</x:v>
      </x:c>
      <x:c r="M896" s="28" t="n">
        <x:f>G896*J896/1000000</x:f>
        <x:v>0.386</x:v>
      </x:c>
      <x:c r="N896" s="28" t="n">
        <x:f>H896*K896/1000000</x:f>
        <x:v>0.19152</x:v>
      </x:c>
      <x:c r="O896" s="28" t="n">
        <x:f>SUM(M896:N896)</x:f>
        <x:v>0.57752</x:v>
      </x:c>
    </x:row>
    <x:row r="897" ht="23" customHeight="1">
      <x:c r="A897" s="17" t="str">
        <x:v>U00891</x:v>
      </x:c>
      <x:c r="B897" s="18" t="n">
        <x:v>46266</x:v>
      </x:c>
      <x:c r="C897" s="17" t="str">
        <x:v>W0091</x:v>
      </x:c>
      <x:c r="D897" s="17" t="str">
        <x:v>C002</x:v>
      </x:c>
      <x:c r="E897" s="17" t="str">
        <x:v>CopyStudio</x:v>
      </x:c>
      <x:c r="F897" s="17" t="str">
        <x:v>Lite</x:v>
      </x:c>
      <x:c r="G897" s="17" t="n">
        <x:v>23218</x:v>
      </x:c>
      <x:c r="H897" s="17" t="n">
        <x:v>11663</x:v>
      </x:c>
      <x:c r="I897" s="17" t="str">
        <x:v>Correction</x:v>
      </x:c>
      <x:c r="J897" s="27" t="n">
        <x:f>INDEX('Model Pricing'!$B$7:$B$8,MATCH(F897,'Model Pricing'!$A$7:$A$8,0))</x:f>
        <x:v>10</x:v>
      </x:c>
      <x:c r="K897" s="27" t="n">
        <x:f>INDEX('Model Pricing'!$C$7:$C$8,MATCH(F897,'Model Pricing'!$A$7:$A$8,0))</x:f>
        <x:v>30</x:v>
      </x:c>
      <x:c r="L897" s="17" t="n">
        <x:f>G897+H897</x:f>
        <x:v>34881</x:v>
      </x:c>
      <x:c r="M897" s="28" t="n">
        <x:f>G897*J897/1000000</x:f>
        <x:v>0.23218</x:v>
      </x:c>
      <x:c r="N897" s="28" t="n">
        <x:f>H897*K897/1000000</x:f>
        <x:v>0.34989</x:v>
      </x:c>
      <x:c r="O897" s="28" t="n">
        <x:f>SUM(M897:N897)</x:f>
        <x:v>0.58207</x:v>
      </x:c>
    </x:row>
    <x:row r="898" ht="23" customHeight="1">
      <x:c r="A898" s="17" t="str">
        <x:v>U00892</x:v>
      </x:c>
      <x:c r="B898" s="18" t="n">
        <x:v>46266</x:v>
      </x:c>
      <x:c r="C898" s="17" t="str">
        <x:v>W0091</x:v>
      </x:c>
      <x:c r="D898" s="17" t="str">
        <x:v>C002</x:v>
      </x:c>
      <x:c r="E898" s="17" t="str">
        <x:v>CopyStudio</x:v>
      </x:c>
      <x:c r="F898" s="17" t="str">
        <x:v>Lite</x:v>
      </x:c>
      <x:c r="G898" s="17" t="n">
        <x:v>51554</x:v>
      </x:c>
      <x:c r="H898" s="17" t="n">
        <x:v>8689</x:v>
      </x:c>
      <x:c r="I898" s="17" t="str">
        <x:v>Correction</x:v>
      </x:c>
      <x:c r="J898" s="27" t="n">
        <x:f>INDEX('Model Pricing'!$B$7:$B$8,MATCH(F898,'Model Pricing'!$A$7:$A$8,0))</x:f>
        <x:v>10</x:v>
      </x:c>
      <x:c r="K898" s="27" t="n">
        <x:f>INDEX('Model Pricing'!$C$7:$C$8,MATCH(F898,'Model Pricing'!$A$7:$A$8,0))</x:f>
        <x:v>30</x:v>
      </x:c>
      <x:c r="L898" s="17" t="n">
        <x:f>G898+H898</x:f>
        <x:v>60243</x:v>
      </x:c>
      <x:c r="M898" s="28" t="n">
        <x:f>G898*J898/1000000</x:f>
        <x:v>0.51554</x:v>
      </x:c>
      <x:c r="N898" s="28" t="n">
        <x:f>H898*K898/1000000</x:f>
        <x:v>0.26067</x:v>
      </x:c>
      <x:c r="O898" s="28" t="n">
        <x:f>SUM(M898:N898)</x:f>
        <x:v>0.7762100000000001</x:v>
      </x:c>
    </x:row>
    <x:row r="899" ht="23" customHeight="1">
      <x:c r="A899" s="17" t="str">
        <x:v>U00893</x:v>
      </x:c>
      <x:c r="B899" s="18" t="n">
        <x:v>46266</x:v>
      </x:c>
      <x:c r="C899" s="17" t="str">
        <x:v>W0091</x:v>
      </x:c>
      <x:c r="D899" s="17" t="str">
        <x:v>C002</x:v>
      </x:c>
      <x:c r="E899" s="17" t="str">
        <x:v>CopyStudio</x:v>
      </x:c>
      <x:c r="F899" s="17" t="str">
        <x:v>Lite</x:v>
      </x:c>
      <x:c r="G899" s="17" t="n">
        <x:v>52634</x:v>
      </x:c>
      <x:c r="H899" s="17" t="n">
        <x:v>5970</x:v>
      </x:c>
      <x:c r="I899" s="17" t="str">
        <x:v>Followup</x:v>
      </x:c>
      <x:c r="J899" s="27" t="n">
        <x:f>INDEX('Model Pricing'!$B$7:$B$8,MATCH(F899,'Model Pricing'!$A$7:$A$8,0))</x:f>
        <x:v>10</x:v>
      </x:c>
      <x:c r="K899" s="27" t="n">
        <x:f>INDEX('Model Pricing'!$C$7:$C$8,MATCH(F899,'Model Pricing'!$A$7:$A$8,0))</x:f>
        <x:v>30</x:v>
      </x:c>
      <x:c r="L899" s="17" t="n">
        <x:f>G899+H899</x:f>
        <x:v>58604</x:v>
      </x:c>
      <x:c r="M899" s="28" t="n">
        <x:f>G899*J899/1000000</x:f>
        <x:v>0.52634</x:v>
      </x:c>
      <x:c r="N899" s="28" t="n">
        <x:f>H899*K899/1000000</x:f>
        <x:v>0.1791</x:v>
      </x:c>
      <x:c r="O899" s="28" t="n">
        <x:f>SUM(M899:N899)</x:f>
        <x:v>0.7054400000000001</x:v>
      </x:c>
    </x:row>
    <x:row r="900" ht="23" customHeight="1">
      <x:c r="A900" s="17" t="str">
        <x:v>U00894</x:v>
      </x:c>
      <x:c r="B900" s="18" t="n">
        <x:v>46266</x:v>
      </x:c>
      <x:c r="C900" s="17" t="str">
        <x:v>W0091</x:v>
      </x:c>
      <x:c r="D900" s="17" t="str">
        <x:v>C002</x:v>
      </x:c>
      <x:c r="E900" s="17" t="str">
        <x:v>CopyStudio</x:v>
      </x:c>
      <x:c r="F900" s="17" t="str">
        <x:v>Lite</x:v>
      </x:c>
      <x:c r="G900" s="17" t="n">
        <x:v>60811</x:v>
      </x:c>
      <x:c r="H900" s="17" t="n">
        <x:v>7807</x:v>
      </x:c>
      <x:c r="I900" s="17" t="str">
        <x:v>Followup</x:v>
      </x:c>
      <x:c r="J900" s="27" t="n">
        <x:f>INDEX('Model Pricing'!$B$7:$B$8,MATCH(F900,'Model Pricing'!$A$7:$A$8,0))</x:f>
        <x:v>10</x:v>
      </x:c>
      <x:c r="K900" s="27" t="n">
        <x:f>INDEX('Model Pricing'!$C$7:$C$8,MATCH(F900,'Model Pricing'!$A$7:$A$8,0))</x:f>
        <x:v>30</x:v>
      </x:c>
      <x:c r="L900" s="17" t="n">
        <x:f>G900+H900</x:f>
        <x:v>68618</x:v>
      </x:c>
      <x:c r="M900" s="28" t="n">
        <x:f>G900*J900/1000000</x:f>
        <x:v>0.60811</x:v>
      </x:c>
      <x:c r="N900" s="28" t="n">
        <x:f>H900*K900/1000000</x:f>
        <x:v>0.23421</x:v>
      </x:c>
      <x:c r="O900" s="28" t="n">
        <x:f>SUM(M900:N900)</x:f>
        <x:v>0.8423200000000001</x:v>
      </x:c>
    </x:row>
    <x:row r="901" ht="23" customHeight="1">
      <x:c r="A901" s="17" t="str">
        <x:v>U00895</x:v>
      </x:c>
      <x:c r="B901" s="18" t="n">
        <x:v>46267</x:v>
      </x:c>
      <x:c r="C901" s="17" t="str">
        <x:v>W0091</x:v>
      </x:c>
      <x:c r="D901" s="17" t="str">
        <x:v>C002</x:v>
      </x:c>
      <x:c r="E901" s="17" t="str">
        <x:v>CopyStudio</x:v>
      </x:c>
      <x:c r="F901" s="17" t="str">
        <x:v>Lite</x:v>
      </x:c>
      <x:c r="G901" s="17" t="n">
        <x:v>44847</x:v>
      </x:c>
      <x:c r="H901" s="17" t="n">
        <x:v>7707</x:v>
      </x:c>
      <x:c r="I901" s="17" t="str">
        <x:v>Followup</x:v>
      </x:c>
      <x:c r="J901" s="27" t="n">
        <x:f>INDEX('Model Pricing'!$B$7:$B$8,MATCH(F901,'Model Pricing'!$A$7:$A$8,0))</x:f>
        <x:v>10</x:v>
      </x:c>
      <x:c r="K901" s="27" t="n">
        <x:f>INDEX('Model Pricing'!$C$7:$C$8,MATCH(F901,'Model Pricing'!$A$7:$A$8,0))</x:f>
        <x:v>30</x:v>
      </x:c>
      <x:c r="L901" s="17" t="n">
        <x:f>G901+H901</x:f>
        <x:v>52554</x:v>
      </x:c>
      <x:c r="M901" s="28" t="n">
        <x:f>G901*J901/1000000</x:f>
        <x:v>0.44847</x:v>
      </x:c>
      <x:c r="N901" s="28" t="n">
        <x:f>H901*K901/1000000</x:f>
        <x:v>0.23121</x:v>
      </x:c>
      <x:c r="O901" s="28" t="n">
        <x:f>SUM(M901:N901)</x:f>
        <x:v>0.67968</x:v>
      </x:c>
    </x:row>
    <x:row r="902" ht="23" customHeight="1">
      <x:c r="A902" s="17" t="str">
        <x:v>U00896</x:v>
      </x:c>
      <x:c r="B902" s="18" t="n">
        <x:v>46267</x:v>
      </x:c>
      <x:c r="C902" s="17" t="str">
        <x:v>W0091</x:v>
      </x:c>
      <x:c r="D902" s="17" t="str">
        <x:v>C002</x:v>
      </x:c>
      <x:c r="E902" s="17" t="str">
        <x:v>CopyStudio</x:v>
      </x:c>
      <x:c r="F902" s="17" t="str">
        <x:v>Lite</x:v>
      </x:c>
      <x:c r="G902" s="17" t="n">
        <x:v>37368</x:v>
      </x:c>
      <x:c r="H902" s="17" t="n">
        <x:v>9297</x:v>
      </x:c>
      <x:c r="I902" s="17" t="str">
        <x:v>Followup</x:v>
      </x:c>
      <x:c r="J902" s="27" t="n">
        <x:f>INDEX('Model Pricing'!$B$7:$B$8,MATCH(F902,'Model Pricing'!$A$7:$A$8,0))</x:f>
        <x:v>10</x:v>
      </x:c>
      <x:c r="K902" s="27" t="n">
        <x:f>INDEX('Model Pricing'!$C$7:$C$8,MATCH(F902,'Model Pricing'!$A$7:$A$8,0))</x:f>
        <x:v>30</x:v>
      </x:c>
      <x:c r="L902" s="17" t="n">
        <x:f>G902+H902</x:f>
        <x:v>46665</x:v>
      </x:c>
      <x:c r="M902" s="28" t="n">
        <x:f>G902*J902/1000000</x:f>
        <x:v>0.37368</x:v>
      </x:c>
      <x:c r="N902" s="28" t="n">
        <x:f>H902*K902/1000000</x:f>
        <x:v>0.27891</x:v>
      </x:c>
      <x:c r="O902" s="28" t="n">
        <x:f>SUM(M902:N902)</x:f>
        <x:v>0.65259</x:v>
      </x:c>
    </x:row>
    <x:row r="903" ht="23" customHeight="1">
      <x:c r="A903" s="17" t="str">
        <x:v>U00897</x:v>
      </x:c>
      <x:c r="B903" s="18" t="n">
        <x:v>46267</x:v>
      </x:c>
      <x:c r="C903" s="17" t="str">
        <x:v>W0091</x:v>
      </x:c>
      <x:c r="D903" s="17" t="str">
        <x:v>C002</x:v>
      </x:c>
      <x:c r="E903" s="17" t="str">
        <x:v>CopyStudio</x:v>
      </x:c>
      <x:c r="F903" s="17" t="str">
        <x:v>Lite</x:v>
      </x:c>
      <x:c r="G903" s="17" t="n">
        <x:v>32959</x:v>
      </x:c>
      <x:c r="H903" s="17" t="n">
        <x:v>7534</x:v>
      </x:c>
      <x:c r="I903" s="17" t="str">
        <x:v>Followup</x:v>
      </x:c>
      <x:c r="J903" s="27" t="n">
        <x:f>INDEX('Model Pricing'!$B$7:$B$8,MATCH(F903,'Model Pricing'!$A$7:$A$8,0))</x:f>
        <x:v>10</x:v>
      </x:c>
      <x:c r="K903" s="27" t="n">
        <x:f>INDEX('Model Pricing'!$C$7:$C$8,MATCH(F903,'Model Pricing'!$A$7:$A$8,0))</x:f>
        <x:v>30</x:v>
      </x:c>
      <x:c r="L903" s="17" t="n">
        <x:f>G903+H903</x:f>
        <x:v>40493</x:v>
      </x:c>
      <x:c r="M903" s="28" t="n">
        <x:f>G903*J903/1000000</x:f>
        <x:v>0.32959</x:v>
      </x:c>
      <x:c r="N903" s="28" t="n">
        <x:f>H903*K903/1000000</x:f>
        <x:v>0.22602</x:v>
      </x:c>
      <x:c r="O903" s="28" t="n">
        <x:f>SUM(M903:N903)</x:f>
        <x:v>0.5556099999999999</x:v>
      </x:c>
    </x:row>
    <x:row r="904" ht="23" customHeight="1">
      <x:c r="A904" s="17" t="str">
        <x:v>U00898</x:v>
      </x:c>
      <x:c r="B904" s="18" t="n">
        <x:v>46267</x:v>
      </x:c>
      <x:c r="C904" s="17" t="str">
        <x:v>W0091</x:v>
      </x:c>
      <x:c r="D904" s="17" t="str">
        <x:v>C002</x:v>
      </x:c>
      <x:c r="E904" s="17" t="str">
        <x:v>CopyStudio</x:v>
      </x:c>
      <x:c r="F904" s="17" t="str">
        <x:v>Lite</x:v>
      </x:c>
      <x:c r="G904" s="17" t="n">
        <x:v>29617</x:v>
      </x:c>
      <x:c r="H904" s="17" t="n">
        <x:v>6249</x:v>
      </x:c>
      <x:c r="I904" s="17" t="str">
        <x:v>Followup</x:v>
      </x:c>
      <x:c r="J904" s="27" t="n">
        <x:f>INDEX('Model Pricing'!$B$7:$B$8,MATCH(F904,'Model Pricing'!$A$7:$A$8,0))</x:f>
        <x:v>10</x:v>
      </x:c>
      <x:c r="K904" s="27" t="n">
        <x:f>INDEX('Model Pricing'!$C$7:$C$8,MATCH(F904,'Model Pricing'!$A$7:$A$8,0))</x:f>
        <x:v>30</x:v>
      </x:c>
      <x:c r="L904" s="17" t="n">
        <x:f>G904+H904</x:f>
        <x:v>35866</x:v>
      </x:c>
      <x:c r="M904" s="28" t="n">
        <x:f>G904*J904/1000000</x:f>
        <x:v>0.29617</x:v>
      </x:c>
      <x:c r="N904" s="28" t="n">
        <x:f>H904*K904/1000000</x:f>
        <x:v>0.18747</x:v>
      </x:c>
      <x:c r="O904" s="28" t="n">
        <x:f>SUM(M904:N904)</x:f>
        <x:v>0.48363999999999996</x:v>
      </x:c>
    </x:row>
    <x:row r="905" ht="23" customHeight="1">
      <x:c r="A905" s="17" t="str">
        <x:v>U00899</x:v>
      </x:c>
      <x:c r="B905" s="18" t="n">
        <x:v>46267</x:v>
      </x:c>
      <x:c r="C905" s="17" t="str">
        <x:v>W0091</x:v>
      </x:c>
      <x:c r="D905" s="17" t="str">
        <x:v>C002</x:v>
      </x:c>
      <x:c r="E905" s="17" t="str">
        <x:v>CopyStudio</x:v>
      </x:c>
      <x:c r="F905" s="17" t="str">
        <x:v>Lite</x:v>
      </x:c>
      <x:c r="G905" s="17" t="n">
        <x:v>62323</x:v>
      </x:c>
      <x:c r="H905" s="17" t="n">
        <x:v>11295</x:v>
      </x:c>
      <x:c r="I905" s="17" t="str">
        <x:v>Correction</x:v>
      </x:c>
      <x:c r="J905" s="27" t="n">
        <x:f>INDEX('Model Pricing'!$B$7:$B$8,MATCH(F905,'Model Pricing'!$A$7:$A$8,0))</x:f>
        <x:v>10</x:v>
      </x:c>
      <x:c r="K905" s="27" t="n">
        <x:f>INDEX('Model Pricing'!$C$7:$C$8,MATCH(F905,'Model Pricing'!$A$7:$A$8,0))</x:f>
        <x:v>30</x:v>
      </x:c>
      <x:c r="L905" s="17" t="n">
        <x:f>G905+H905</x:f>
        <x:v>73618</x:v>
      </x:c>
      <x:c r="M905" s="28" t="n">
        <x:f>G905*J905/1000000</x:f>
        <x:v>0.62323</x:v>
      </x:c>
      <x:c r="N905" s="28" t="n">
        <x:f>H905*K905/1000000</x:f>
        <x:v>0.33885</x:v>
      </x:c>
      <x:c r="O905" s="28" t="n">
        <x:f>SUM(M905:N905)</x:f>
        <x:v>0.9620799999999999</x:v>
      </x:c>
    </x:row>
    <x:row r="906" ht="23" customHeight="1">
      <x:c r="A906" s="17" t="str">
        <x:v>U00900</x:v>
      </x:c>
      <x:c r="B906" s="18" t="n">
        <x:v>46267</x:v>
      </x:c>
      <x:c r="C906" s="17" t="str">
        <x:v>W0091</x:v>
      </x:c>
      <x:c r="D906" s="17" t="str">
        <x:v>C002</x:v>
      </x:c>
      <x:c r="E906" s="17" t="str">
        <x:v>CopyStudio</x:v>
      </x:c>
      <x:c r="F906" s="17" t="str">
        <x:v>Lite</x:v>
      </x:c>
      <x:c r="G906" s="17" t="n">
        <x:v>44430</x:v>
      </x:c>
      <x:c r="H906" s="17" t="n">
        <x:v>12636</x:v>
      </x:c>
      <x:c r="I906" s="17" t="str">
        <x:v>Followup</x:v>
      </x:c>
      <x:c r="J906" s="27" t="n">
        <x:f>INDEX('Model Pricing'!$B$7:$B$8,MATCH(F906,'Model Pricing'!$A$7:$A$8,0))</x:f>
        <x:v>10</x:v>
      </x:c>
      <x:c r="K906" s="27" t="n">
        <x:f>INDEX('Model Pricing'!$C$7:$C$8,MATCH(F906,'Model Pricing'!$A$7:$A$8,0))</x:f>
        <x:v>30</x:v>
      </x:c>
      <x:c r="L906" s="17" t="n">
        <x:f>G906+H906</x:f>
        <x:v>57066</x:v>
      </x:c>
      <x:c r="M906" s="28" t="n">
        <x:f>G906*J906/1000000</x:f>
        <x:v>0.4443</x:v>
      </x:c>
      <x:c r="N906" s="28" t="n">
        <x:f>H906*K906/1000000</x:f>
        <x:v>0.37908</x:v>
      </x:c>
      <x:c r="O906" s="28" t="n">
        <x:f>SUM(M906:N906)</x:f>
        <x:v>0.82338</x:v>
      </x:c>
    </x:row>
    <x:row r="907" ht="23" customHeight="1">
      <x:c r="A907" s="17" t="str">
        <x:v>U00901</x:v>
      </x:c>
      <x:c r="B907" s="18" t="n">
        <x:v>46267</x:v>
      </x:c>
      <x:c r="C907" s="17" t="str">
        <x:v>W0091</x:v>
      </x:c>
      <x:c r="D907" s="17" t="str">
        <x:v>C002</x:v>
      </x:c>
      <x:c r="E907" s="17" t="str">
        <x:v>CopyStudio</x:v>
      </x:c>
      <x:c r="F907" s="17" t="str">
        <x:v>Lite</x:v>
      </x:c>
      <x:c r="G907" s="17" t="n">
        <x:v>24325</x:v>
      </x:c>
      <x:c r="H907" s="17" t="n">
        <x:v>12647</x:v>
      </x:c>
      <x:c r="I907" s="17" t="str">
        <x:v>Followup</x:v>
      </x:c>
      <x:c r="J907" s="27" t="n">
        <x:f>INDEX('Model Pricing'!$B$7:$B$8,MATCH(F907,'Model Pricing'!$A$7:$A$8,0))</x:f>
        <x:v>10</x:v>
      </x:c>
      <x:c r="K907" s="27" t="n">
        <x:f>INDEX('Model Pricing'!$C$7:$C$8,MATCH(F907,'Model Pricing'!$A$7:$A$8,0))</x:f>
        <x:v>30</x:v>
      </x:c>
      <x:c r="L907" s="17" t="n">
        <x:f>G907+H907</x:f>
        <x:v>36972</x:v>
      </x:c>
      <x:c r="M907" s="28" t="n">
        <x:f>G907*J907/1000000</x:f>
        <x:v>0.24325</x:v>
      </x:c>
      <x:c r="N907" s="28" t="n">
        <x:f>H907*K907/1000000</x:f>
        <x:v>0.37941</x:v>
      </x:c>
      <x:c r="O907" s="28" t="n">
        <x:f>SUM(M907:N907)</x:f>
        <x:v>0.62266</x:v>
      </x:c>
    </x:row>
    <x:row r="908" ht="23" customHeight="1">
      <x:c r="A908" s="17" t="str">
        <x:v>U00902</x:v>
      </x:c>
      <x:c r="B908" s="18" t="n">
        <x:v>46268</x:v>
      </x:c>
      <x:c r="C908" s="17" t="str">
        <x:v>W0091</x:v>
      </x:c>
      <x:c r="D908" s="17" t="str">
        <x:v>C002</x:v>
      </x:c>
      <x:c r="E908" s="17" t="str">
        <x:v>CopyStudio</x:v>
      </x:c>
      <x:c r="F908" s="17" t="str">
        <x:v>Lite</x:v>
      </x:c>
      <x:c r="G908" s="17" t="n">
        <x:v>58364</x:v>
      </x:c>
      <x:c r="H908" s="17" t="n">
        <x:v>10077</x:v>
      </x:c>
      <x:c r="I908" s="17" t="str">
        <x:v>Correction</x:v>
      </x:c>
      <x:c r="J908" s="27" t="n">
        <x:f>INDEX('Model Pricing'!$B$7:$B$8,MATCH(F908,'Model Pricing'!$A$7:$A$8,0))</x:f>
        <x:v>10</x:v>
      </x:c>
      <x:c r="K908" s="27" t="n">
        <x:f>INDEX('Model Pricing'!$C$7:$C$8,MATCH(F908,'Model Pricing'!$A$7:$A$8,0))</x:f>
        <x:v>30</x:v>
      </x:c>
      <x:c r="L908" s="17" t="n">
        <x:f>G908+H908</x:f>
        <x:v>68441</x:v>
      </x:c>
      <x:c r="M908" s="28" t="n">
        <x:f>G908*J908/1000000</x:f>
        <x:v>0.58364</x:v>
      </x:c>
      <x:c r="N908" s="28" t="n">
        <x:f>H908*K908/1000000</x:f>
        <x:v>0.30231</x:v>
      </x:c>
      <x:c r="O908" s="28" t="n">
        <x:f>SUM(M908:N908)</x:f>
        <x:v>0.88595</x:v>
      </x:c>
    </x:row>
    <x:row r="909" ht="23" customHeight="1">
      <x:c r="A909" s="17" t="str">
        <x:v>U00903</x:v>
      </x:c>
      <x:c r="B909" s="18" t="n">
        <x:v>46268</x:v>
      </x:c>
      <x:c r="C909" s="17" t="str">
        <x:v>W0091</x:v>
      </x:c>
      <x:c r="D909" s="17" t="str">
        <x:v>C002</x:v>
      </x:c>
      <x:c r="E909" s="17" t="str">
        <x:v>CopyStudio</x:v>
      </x:c>
      <x:c r="F909" s="17" t="str">
        <x:v>Lite</x:v>
      </x:c>
      <x:c r="G909" s="17" t="n">
        <x:v>50198</x:v>
      </x:c>
      <x:c r="H909" s="17" t="n">
        <x:v>11111</x:v>
      </x:c>
      <x:c r="I909" s="17" t="str">
        <x:v>Correction</x:v>
      </x:c>
      <x:c r="J909" s="27" t="n">
        <x:f>INDEX('Model Pricing'!$B$7:$B$8,MATCH(F909,'Model Pricing'!$A$7:$A$8,0))</x:f>
        <x:v>10</x:v>
      </x:c>
      <x:c r="K909" s="27" t="n">
        <x:f>INDEX('Model Pricing'!$C$7:$C$8,MATCH(F909,'Model Pricing'!$A$7:$A$8,0))</x:f>
        <x:v>30</x:v>
      </x:c>
      <x:c r="L909" s="17" t="n">
        <x:f>G909+H909</x:f>
        <x:v>61309</x:v>
      </x:c>
      <x:c r="M909" s="28" t="n">
        <x:f>G909*J909/1000000</x:f>
        <x:v>0.50198</x:v>
      </x:c>
      <x:c r="N909" s="28" t="n">
        <x:f>H909*K909/1000000</x:f>
        <x:v>0.33333</x:v>
      </x:c>
      <x:c r="O909" s="28" t="n">
        <x:f>SUM(M909:N909)</x:f>
        <x:v>0.83531</x:v>
      </x:c>
    </x:row>
    <x:row r="910" ht="23" customHeight="1">
      <x:c r="A910" s="17" t="str">
        <x:v>U00904</x:v>
      </x:c>
      <x:c r="B910" s="18" t="n">
        <x:v>46268</x:v>
      </x:c>
      <x:c r="C910" s="17" t="str">
        <x:v>W0091</x:v>
      </x:c>
      <x:c r="D910" s="17" t="str">
        <x:v>C002</x:v>
      </x:c>
      <x:c r="E910" s="17" t="str">
        <x:v>CopyStudio</x:v>
      </x:c>
      <x:c r="F910" s="17" t="str">
        <x:v>Lite</x:v>
      </x:c>
      <x:c r="G910" s="17" t="n">
        <x:v>59788</x:v>
      </x:c>
      <x:c r="H910" s="17" t="n">
        <x:v>8843</x:v>
      </x:c>
      <x:c r="I910" s="17" t="str">
        <x:v>Followup</x:v>
      </x:c>
      <x:c r="J910" s="27" t="n">
        <x:f>INDEX('Model Pricing'!$B$7:$B$8,MATCH(F910,'Model Pricing'!$A$7:$A$8,0))</x:f>
        <x:v>10</x:v>
      </x:c>
      <x:c r="K910" s="27" t="n">
        <x:f>INDEX('Model Pricing'!$C$7:$C$8,MATCH(F910,'Model Pricing'!$A$7:$A$8,0))</x:f>
        <x:v>30</x:v>
      </x:c>
      <x:c r="L910" s="17" t="n">
        <x:f>G910+H910</x:f>
        <x:v>68631</x:v>
      </x:c>
      <x:c r="M910" s="28" t="n">
        <x:f>G910*J910/1000000</x:f>
        <x:v>0.59788</x:v>
      </x:c>
      <x:c r="N910" s="28" t="n">
        <x:f>H910*K910/1000000</x:f>
        <x:v>0.26529</x:v>
      </x:c>
      <x:c r="O910" s="28" t="n">
        <x:f>SUM(M910:N910)</x:f>
        <x:v>0.86317</x:v>
      </x:c>
    </x:row>
    <x:row r="911" ht="23" customHeight="1">
      <x:c r="A911" s="17" t="str">
        <x:v>U00905</x:v>
      </x:c>
      <x:c r="B911" s="18" t="n">
        <x:v>46268</x:v>
      </x:c>
      <x:c r="C911" s="17" t="str">
        <x:v>W0091</x:v>
      </x:c>
      <x:c r="D911" s="17" t="str">
        <x:v>C002</x:v>
      </x:c>
      <x:c r="E911" s="17" t="str">
        <x:v>CopyStudio</x:v>
      </x:c>
      <x:c r="F911" s="17" t="str">
        <x:v>Lite</x:v>
      </x:c>
      <x:c r="G911" s="17" t="n">
        <x:v>24520</x:v>
      </x:c>
      <x:c r="H911" s="17" t="n">
        <x:v>3684</x:v>
      </x:c>
      <x:c r="I911" s="17" t="str">
        <x:v>Followup</x:v>
      </x:c>
      <x:c r="J911" s="27" t="n">
        <x:f>INDEX('Model Pricing'!$B$7:$B$8,MATCH(F911,'Model Pricing'!$A$7:$A$8,0))</x:f>
        <x:v>10</x:v>
      </x:c>
      <x:c r="K911" s="27" t="n">
        <x:f>INDEX('Model Pricing'!$C$7:$C$8,MATCH(F911,'Model Pricing'!$A$7:$A$8,0))</x:f>
        <x:v>30</x:v>
      </x:c>
      <x:c r="L911" s="17" t="n">
        <x:f>G911+H911</x:f>
        <x:v>28204</x:v>
      </x:c>
      <x:c r="M911" s="28" t="n">
        <x:f>G911*J911/1000000</x:f>
        <x:v>0.2452</x:v>
      </x:c>
      <x:c r="N911" s="28" t="n">
        <x:f>H911*K911/1000000</x:f>
        <x:v>0.11052</x:v>
      </x:c>
      <x:c r="O911" s="28" t="n">
        <x:f>SUM(M911:N911)</x:f>
        <x:v>0.35572</x:v>
      </x:c>
    </x:row>
    <x:row r="912" ht="23" customHeight="1">
      <x:c r="A912" s="17" t="str">
        <x:v>U00906</x:v>
      </x:c>
      <x:c r="B912" s="18" t="n">
        <x:v>46268</x:v>
      </x:c>
      <x:c r="C912" s="17" t="str">
        <x:v>W0091</x:v>
      </x:c>
      <x:c r="D912" s="17" t="str">
        <x:v>C002</x:v>
      </x:c>
      <x:c r="E912" s="17" t="str">
        <x:v>CopyStudio</x:v>
      </x:c>
      <x:c r="F912" s="17" t="str">
        <x:v>Lite</x:v>
      </x:c>
      <x:c r="G912" s="17" t="n">
        <x:v>39627</x:v>
      </x:c>
      <x:c r="H912" s="17" t="n">
        <x:v>11785</x:v>
      </x:c>
      <x:c r="I912" s="17" t="str">
        <x:v>Followup</x:v>
      </x:c>
      <x:c r="J912" s="27" t="n">
        <x:f>INDEX('Model Pricing'!$B$7:$B$8,MATCH(F912,'Model Pricing'!$A$7:$A$8,0))</x:f>
        <x:v>10</x:v>
      </x:c>
      <x:c r="K912" s="27" t="n">
        <x:f>INDEX('Model Pricing'!$C$7:$C$8,MATCH(F912,'Model Pricing'!$A$7:$A$8,0))</x:f>
        <x:v>30</x:v>
      </x:c>
      <x:c r="L912" s="17" t="n">
        <x:f>G912+H912</x:f>
        <x:v>51412</x:v>
      </x:c>
      <x:c r="M912" s="28" t="n">
        <x:f>G912*J912/1000000</x:f>
        <x:v>0.39627</x:v>
      </x:c>
      <x:c r="N912" s="28" t="n">
        <x:f>H912*K912/1000000</x:f>
        <x:v>0.35355</x:v>
      </x:c>
      <x:c r="O912" s="28" t="n">
        <x:f>SUM(M912:N912)</x:f>
        <x:v>0.7498199999999999</x:v>
      </x:c>
    </x:row>
    <x:row r="913" ht="23" customHeight="1">
      <x:c r="A913" s="17" t="str">
        <x:v>U00907</x:v>
      </x:c>
      <x:c r="B913" s="18" t="n">
        <x:v>46268</x:v>
      </x:c>
      <x:c r="C913" s="17" t="str">
        <x:v>W0091</x:v>
      </x:c>
      <x:c r="D913" s="17" t="str">
        <x:v>C002</x:v>
      </x:c>
      <x:c r="E913" s="17" t="str">
        <x:v>CopyStudio</x:v>
      </x:c>
      <x:c r="F913" s="17" t="str">
        <x:v>Lite</x:v>
      </x:c>
      <x:c r="G913" s="17" t="n">
        <x:v>55502</x:v>
      </x:c>
      <x:c r="H913" s="17" t="n">
        <x:v>10470</x:v>
      </x:c>
      <x:c r="I913" s="17" t="str">
        <x:v>Correction</x:v>
      </x:c>
      <x:c r="J913" s="27" t="n">
        <x:f>INDEX('Model Pricing'!$B$7:$B$8,MATCH(F913,'Model Pricing'!$A$7:$A$8,0))</x:f>
        <x:v>10</x:v>
      </x:c>
      <x:c r="K913" s="27" t="n">
        <x:f>INDEX('Model Pricing'!$C$7:$C$8,MATCH(F913,'Model Pricing'!$A$7:$A$8,0))</x:f>
        <x:v>30</x:v>
      </x:c>
      <x:c r="L913" s="17" t="n">
        <x:f>G913+H913</x:f>
        <x:v>65972</x:v>
      </x:c>
      <x:c r="M913" s="28" t="n">
        <x:f>G913*J913/1000000</x:f>
        <x:v>0.55502</x:v>
      </x:c>
      <x:c r="N913" s="28" t="n">
        <x:f>H913*K913/1000000</x:f>
        <x:v>0.3141</x:v>
      </x:c>
      <x:c r="O913" s="28" t="n">
        <x:f>SUM(M913:N913)</x:f>
        <x:v>0.8691199999999999</x:v>
      </x:c>
    </x:row>
    <x:row r="914" ht="23" customHeight="1">
      <x:c r="A914" s="17" t="str">
        <x:v>U00908</x:v>
      </x:c>
      <x:c r="B914" s="18" t="n">
        <x:v>46268</x:v>
      </x:c>
      <x:c r="C914" s="17" t="str">
        <x:v>W0091</x:v>
      </x:c>
      <x:c r="D914" s="17" t="str">
        <x:v>C002</x:v>
      </x:c>
      <x:c r="E914" s="17" t="str">
        <x:v>CopyStudio</x:v>
      </x:c>
      <x:c r="F914" s="17" t="str">
        <x:v>Lite</x:v>
      </x:c>
      <x:c r="G914" s="17" t="n">
        <x:v>52014</x:v>
      </x:c>
      <x:c r="H914" s="17" t="n">
        <x:v>4918</x:v>
      </x:c>
      <x:c r="I914" s="17" t="str">
        <x:v>Followup</x:v>
      </x:c>
      <x:c r="J914" s="27" t="n">
        <x:f>INDEX('Model Pricing'!$B$7:$B$8,MATCH(F914,'Model Pricing'!$A$7:$A$8,0))</x:f>
        <x:v>10</x:v>
      </x:c>
      <x:c r="K914" s="27" t="n">
        <x:f>INDEX('Model Pricing'!$C$7:$C$8,MATCH(F914,'Model Pricing'!$A$7:$A$8,0))</x:f>
        <x:v>30</x:v>
      </x:c>
      <x:c r="L914" s="17" t="n">
        <x:f>G914+H914</x:f>
        <x:v>56932</x:v>
      </x:c>
      <x:c r="M914" s="28" t="n">
        <x:f>G914*J914/1000000</x:f>
        <x:v>0.52014</x:v>
      </x:c>
      <x:c r="N914" s="28" t="n">
        <x:f>H914*K914/1000000</x:f>
        <x:v>0.14754</x:v>
      </x:c>
      <x:c r="O914" s="28" t="n">
        <x:f>SUM(M914:N914)</x:f>
        <x:v>0.66768</x:v>
      </x:c>
    </x:row>
    <x:row r="915" ht="23" customHeight="1">
      <x:c r="A915" s="17" t="str">
        <x:v>U00909</x:v>
      </x:c>
      <x:c r="B915" s="18" t="n">
        <x:v>46269</x:v>
      </x:c>
      <x:c r="C915" s="17" t="str">
        <x:v>W0091</x:v>
      </x:c>
      <x:c r="D915" s="17" t="str">
        <x:v>C002</x:v>
      </x:c>
      <x:c r="E915" s="17" t="str">
        <x:v>CopyStudio</x:v>
      </x:c>
      <x:c r="F915" s="17" t="str">
        <x:v>Lite</x:v>
      </x:c>
      <x:c r="G915" s="17" t="n">
        <x:v>22133</x:v>
      </x:c>
      <x:c r="H915" s="17" t="n">
        <x:v>5726</x:v>
      </x:c>
      <x:c r="I915" s="17" t="str">
        <x:v>Followup</x:v>
      </x:c>
      <x:c r="J915" s="27" t="n">
        <x:f>INDEX('Model Pricing'!$B$7:$B$8,MATCH(F915,'Model Pricing'!$A$7:$A$8,0))</x:f>
        <x:v>10</x:v>
      </x:c>
      <x:c r="K915" s="27" t="n">
        <x:f>INDEX('Model Pricing'!$C$7:$C$8,MATCH(F915,'Model Pricing'!$A$7:$A$8,0))</x:f>
        <x:v>30</x:v>
      </x:c>
      <x:c r="L915" s="17" t="n">
        <x:f>G915+H915</x:f>
        <x:v>27859</x:v>
      </x:c>
      <x:c r="M915" s="28" t="n">
        <x:f>G915*J915/1000000</x:f>
        <x:v>0.22133</x:v>
      </x:c>
      <x:c r="N915" s="28" t="n">
        <x:f>H915*K915/1000000</x:f>
        <x:v>0.17178</x:v>
      </x:c>
      <x:c r="O915" s="28" t="n">
        <x:f>SUM(M915:N915)</x:f>
        <x:v>0.39310999999999996</x:v>
      </x:c>
    </x:row>
    <x:row r="916" ht="23" customHeight="1">
      <x:c r="A916" s="17" t="str">
        <x:v>U00910</x:v>
      </x:c>
      <x:c r="B916" s="18" t="n">
        <x:v>46269</x:v>
      </x:c>
      <x:c r="C916" s="17" t="str">
        <x:v>W0091</x:v>
      </x:c>
      <x:c r="D916" s="17" t="str">
        <x:v>C002</x:v>
      </x:c>
      <x:c r="E916" s="17" t="str">
        <x:v>CopyStudio</x:v>
      </x:c>
      <x:c r="F916" s="17" t="str">
        <x:v>Lite</x:v>
      </x:c>
      <x:c r="G916" s="17" t="n">
        <x:v>22805</x:v>
      </x:c>
      <x:c r="H916" s="17" t="n">
        <x:v>12162</x:v>
      </x:c>
      <x:c r="I916" s="17" t="str">
        <x:v>Correction</x:v>
      </x:c>
      <x:c r="J916" s="27" t="n">
        <x:f>INDEX('Model Pricing'!$B$7:$B$8,MATCH(F916,'Model Pricing'!$A$7:$A$8,0))</x:f>
        <x:v>10</x:v>
      </x:c>
      <x:c r="K916" s="27" t="n">
        <x:f>INDEX('Model Pricing'!$C$7:$C$8,MATCH(F916,'Model Pricing'!$A$7:$A$8,0))</x:f>
        <x:v>30</x:v>
      </x:c>
      <x:c r="L916" s="17" t="n">
        <x:f>G916+H916</x:f>
        <x:v>34967</x:v>
      </x:c>
      <x:c r="M916" s="28" t="n">
        <x:f>G916*J916/1000000</x:f>
        <x:v>0.22805</x:v>
      </x:c>
      <x:c r="N916" s="28" t="n">
        <x:f>H916*K916/1000000</x:f>
        <x:v>0.36486</x:v>
      </x:c>
      <x:c r="O916" s="28" t="n">
        <x:f>SUM(M916:N916)</x:f>
        <x:v>0.59291</x:v>
      </x:c>
    </x:row>
    <x:row r="917" ht="23" customHeight="1">
      <x:c r="A917" s="17" t="str">
        <x:v>U00911</x:v>
      </x:c>
      <x:c r="B917" s="18" t="n">
        <x:v>46269</x:v>
      </x:c>
      <x:c r="C917" s="17" t="str">
        <x:v>W0091</x:v>
      </x:c>
      <x:c r="D917" s="17" t="str">
        <x:v>C002</x:v>
      </x:c>
      <x:c r="E917" s="17" t="str">
        <x:v>CopyStudio</x:v>
      </x:c>
      <x:c r="F917" s="17" t="str">
        <x:v>Lite</x:v>
      </x:c>
      <x:c r="G917" s="17" t="n">
        <x:v>25610</x:v>
      </x:c>
      <x:c r="H917" s="17" t="n">
        <x:v>7926</x:v>
      </x:c>
      <x:c r="I917" s="17" t="str">
        <x:v>Followup</x:v>
      </x:c>
      <x:c r="J917" s="27" t="n">
        <x:f>INDEX('Model Pricing'!$B$7:$B$8,MATCH(F917,'Model Pricing'!$A$7:$A$8,0))</x:f>
        <x:v>10</x:v>
      </x:c>
      <x:c r="K917" s="27" t="n">
        <x:f>INDEX('Model Pricing'!$C$7:$C$8,MATCH(F917,'Model Pricing'!$A$7:$A$8,0))</x:f>
        <x:v>30</x:v>
      </x:c>
      <x:c r="L917" s="17" t="n">
        <x:f>G917+H917</x:f>
        <x:v>33536</x:v>
      </x:c>
      <x:c r="M917" s="28" t="n">
        <x:f>G917*J917/1000000</x:f>
        <x:v>0.2561</x:v>
      </x:c>
      <x:c r="N917" s="28" t="n">
        <x:f>H917*K917/1000000</x:f>
        <x:v>0.23778</x:v>
      </x:c>
      <x:c r="O917" s="28" t="n">
        <x:f>SUM(M917:N917)</x:f>
        <x:v>0.49388</x:v>
      </x:c>
    </x:row>
    <x:row r="918" ht="23" customHeight="1">
      <x:c r="A918" s="17" t="str">
        <x:v>U00912</x:v>
      </x:c>
      <x:c r="B918" s="18" t="n">
        <x:v>46269</x:v>
      </x:c>
      <x:c r="C918" s="17" t="str">
        <x:v>W0091</x:v>
      </x:c>
      <x:c r="D918" s="17" t="str">
        <x:v>C002</x:v>
      </x:c>
      <x:c r="E918" s="17" t="str">
        <x:v>CopyStudio</x:v>
      </x:c>
      <x:c r="F918" s="17" t="str">
        <x:v>Lite</x:v>
      </x:c>
      <x:c r="G918" s="17" t="n">
        <x:v>32267</x:v>
      </x:c>
      <x:c r="H918" s="17" t="n">
        <x:v>4902</x:v>
      </x:c>
      <x:c r="I918" s="17" t="str">
        <x:v>Correction</x:v>
      </x:c>
      <x:c r="J918" s="27" t="n">
        <x:f>INDEX('Model Pricing'!$B$7:$B$8,MATCH(F918,'Model Pricing'!$A$7:$A$8,0))</x:f>
        <x:v>10</x:v>
      </x:c>
      <x:c r="K918" s="27" t="n">
        <x:f>INDEX('Model Pricing'!$C$7:$C$8,MATCH(F918,'Model Pricing'!$A$7:$A$8,0))</x:f>
        <x:v>30</x:v>
      </x:c>
      <x:c r="L918" s="17" t="n">
        <x:f>G918+H918</x:f>
        <x:v>37169</x:v>
      </x:c>
      <x:c r="M918" s="28" t="n">
        <x:f>G918*J918/1000000</x:f>
        <x:v>0.32267</x:v>
      </x:c>
      <x:c r="N918" s="28" t="n">
        <x:f>H918*K918/1000000</x:f>
        <x:v>0.14706</x:v>
      </x:c>
      <x:c r="O918" s="28" t="n">
        <x:f>SUM(M918:N918)</x:f>
        <x:v>0.46973</x:v>
      </x:c>
    </x:row>
    <x:row r="919" ht="23" customHeight="1">
      <x:c r="A919" s="17" t="str">
        <x:v>U00913</x:v>
      </x:c>
      <x:c r="B919" s="18" t="n">
        <x:v>46269</x:v>
      </x:c>
      <x:c r="C919" s="17" t="str">
        <x:v>W0091</x:v>
      </x:c>
      <x:c r="D919" s="17" t="str">
        <x:v>C002</x:v>
      </x:c>
      <x:c r="E919" s="17" t="str">
        <x:v>CopyStudio</x:v>
      </x:c>
      <x:c r="F919" s="17" t="str">
        <x:v>Lite</x:v>
      </x:c>
      <x:c r="G919" s="17" t="n">
        <x:v>43653</x:v>
      </x:c>
      <x:c r="H919" s="17" t="n">
        <x:v>7776</x:v>
      </x:c>
      <x:c r="I919" s="17" t="str">
        <x:v>Followup</x:v>
      </x:c>
      <x:c r="J919" s="27" t="n">
        <x:f>INDEX('Model Pricing'!$B$7:$B$8,MATCH(F919,'Model Pricing'!$A$7:$A$8,0))</x:f>
        <x:v>10</x:v>
      </x:c>
      <x:c r="K919" s="27" t="n">
        <x:f>INDEX('Model Pricing'!$C$7:$C$8,MATCH(F919,'Model Pricing'!$A$7:$A$8,0))</x:f>
        <x:v>30</x:v>
      </x:c>
      <x:c r="L919" s="17" t="n">
        <x:f>G919+H919</x:f>
        <x:v>51429</x:v>
      </x:c>
      <x:c r="M919" s="28" t="n">
        <x:f>G919*J919/1000000</x:f>
        <x:v>0.43653</x:v>
      </x:c>
      <x:c r="N919" s="28" t="n">
        <x:f>H919*K919/1000000</x:f>
        <x:v>0.23328</x:v>
      </x:c>
      <x:c r="O919" s="28" t="n">
        <x:f>SUM(M919:N919)</x:f>
        <x:v>0.66981</x:v>
      </x:c>
    </x:row>
    <x:row r="920" ht="23" customHeight="1">
      <x:c r="A920" s="17" t="str">
        <x:v>U00914</x:v>
      </x:c>
      <x:c r="B920" s="18" t="n">
        <x:v>46269</x:v>
      </x:c>
      <x:c r="C920" s="17" t="str">
        <x:v>W0091</x:v>
      </x:c>
      <x:c r="D920" s="17" t="str">
        <x:v>C002</x:v>
      </x:c>
      <x:c r="E920" s="17" t="str">
        <x:v>CopyStudio</x:v>
      </x:c>
      <x:c r="F920" s="17" t="str">
        <x:v>Lite</x:v>
      </x:c>
      <x:c r="G920" s="17" t="n">
        <x:v>22960</x:v>
      </x:c>
      <x:c r="H920" s="17" t="n">
        <x:v>13062</x:v>
      </x:c>
      <x:c r="I920" s="17" t="str">
        <x:v>Correction</x:v>
      </x:c>
      <x:c r="J920" s="27" t="n">
        <x:f>INDEX('Model Pricing'!$B$7:$B$8,MATCH(F920,'Model Pricing'!$A$7:$A$8,0))</x:f>
        <x:v>10</x:v>
      </x:c>
      <x:c r="K920" s="27" t="n">
        <x:f>INDEX('Model Pricing'!$C$7:$C$8,MATCH(F920,'Model Pricing'!$A$7:$A$8,0))</x:f>
        <x:v>30</x:v>
      </x:c>
      <x:c r="L920" s="17" t="n">
        <x:f>G920+H920</x:f>
        <x:v>36022</x:v>
      </x:c>
      <x:c r="M920" s="28" t="n">
        <x:f>G920*J920/1000000</x:f>
        <x:v>0.2296</x:v>
      </x:c>
      <x:c r="N920" s="28" t="n">
        <x:f>H920*K920/1000000</x:f>
        <x:v>0.39186</x:v>
      </x:c>
      <x:c r="O920" s="28" t="n">
        <x:f>SUM(M920:N920)</x:f>
        <x:v>0.62146</x:v>
      </x:c>
    </x:row>
    <x:row r="921" ht="23" customHeight="1">
      <x:c r="A921" s="17" t="str">
        <x:v>U00915</x:v>
      </x:c>
      <x:c r="B921" s="18" t="n">
        <x:v>46276</x:v>
      </x:c>
      <x:c r="C921" s="17" t="str">
        <x:v>W0092</x:v>
      </x:c>
      <x:c r="D921" s="17" t="str">
        <x:v>C002</x:v>
      </x:c>
      <x:c r="E921" s="17" t="str">
        <x:v>CopyStudio</x:v>
      </x:c>
      <x:c r="F921" s="17" t="str">
        <x:v>Lite</x:v>
      </x:c>
      <x:c r="G921" s="17" t="n">
        <x:v>31868</x:v>
      </x:c>
      <x:c r="H921" s="17" t="n">
        <x:v>10809</x:v>
      </x:c>
      <x:c r="I921" s="17" t="str">
        <x:v>First attempt</x:v>
      </x:c>
      <x:c r="J921" s="27" t="n">
        <x:f>INDEX('Model Pricing'!$B$7:$B$8,MATCH(F921,'Model Pricing'!$A$7:$A$8,0))</x:f>
        <x:v>10</x:v>
      </x:c>
      <x:c r="K921" s="27" t="n">
        <x:f>INDEX('Model Pricing'!$C$7:$C$8,MATCH(F921,'Model Pricing'!$A$7:$A$8,0))</x:f>
        <x:v>30</x:v>
      </x:c>
      <x:c r="L921" s="17" t="n">
        <x:f>G921+H921</x:f>
        <x:v>42677</x:v>
      </x:c>
      <x:c r="M921" s="28" t="n">
        <x:f>G921*J921/1000000</x:f>
        <x:v>0.31868</x:v>
      </x:c>
      <x:c r="N921" s="28" t="n">
        <x:f>H921*K921/1000000</x:f>
        <x:v>0.32427</x:v>
      </x:c>
      <x:c r="O921" s="28" t="n">
        <x:f>SUM(M921:N921)</x:f>
        <x:v>0.64295</x:v>
      </x:c>
    </x:row>
    <x:row r="922" ht="23" customHeight="1">
      <x:c r="A922" s="17" t="str">
        <x:v>U00916</x:v>
      </x:c>
      <x:c r="B922" s="18" t="n">
        <x:v>46276</x:v>
      </x:c>
      <x:c r="C922" s="17" t="str">
        <x:v>W0092</x:v>
      </x:c>
      <x:c r="D922" s="17" t="str">
        <x:v>C002</x:v>
      </x:c>
      <x:c r="E922" s="17" t="str">
        <x:v>CopyStudio</x:v>
      </x:c>
      <x:c r="F922" s="17" t="str">
        <x:v>Lite</x:v>
      </x:c>
      <x:c r="G922" s="17" t="n">
        <x:v>27053</x:v>
      </x:c>
      <x:c r="H922" s="17" t="n">
        <x:v>8013</x:v>
      </x:c>
      <x:c r="I922" s="17" t="str">
        <x:v>Followup</x:v>
      </x:c>
      <x:c r="J922" s="27" t="n">
        <x:f>INDEX('Model Pricing'!$B$7:$B$8,MATCH(F922,'Model Pricing'!$A$7:$A$8,0))</x:f>
        <x:v>10</x:v>
      </x:c>
      <x:c r="K922" s="27" t="n">
        <x:f>INDEX('Model Pricing'!$C$7:$C$8,MATCH(F922,'Model Pricing'!$A$7:$A$8,0))</x:f>
        <x:v>30</x:v>
      </x:c>
      <x:c r="L922" s="17" t="n">
        <x:f>G922+H922</x:f>
        <x:v>35066</x:v>
      </x:c>
      <x:c r="M922" s="28" t="n">
        <x:f>G922*J922/1000000</x:f>
        <x:v>0.27053</x:v>
      </x:c>
      <x:c r="N922" s="28" t="n">
        <x:f>H922*K922/1000000</x:f>
        <x:v>0.24039</x:v>
      </x:c>
      <x:c r="O922" s="28" t="n">
        <x:f>SUM(M922:N922)</x:f>
        <x:v>0.51092</x:v>
      </x:c>
    </x:row>
    <x:row r="923" ht="23" customHeight="1">
      <x:c r="A923" s="17" t="str">
        <x:v>U00917</x:v>
      </x:c>
      <x:c r="B923" s="18" t="n">
        <x:v>46276</x:v>
      </x:c>
      <x:c r="C923" s="17" t="str">
        <x:v>W0092</x:v>
      </x:c>
      <x:c r="D923" s="17" t="str">
        <x:v>C002</x:v>
      </x:c>
      <x:c r="E923" s="17" t="str">
        <x:v>CopyStudio</x:v>
      </x:c>
      <x:c r="F923" s="17" t="str">
        <x:v>Lite</x:v>
      </x:c>
      <x:c r="G923" s="17" t="n">
        <x:v>44037</x:v>
      </x:c>
      <x:c r="H923" s="17" t="n">
        <x:v>9721</x:v>
      </x:c>
      <x:c r="I923" s="17" t="str">
        <x:v>Correction</x:v>
      </x:c>
      <x:c r="J923" s="27" t="n">
        <x:f>INDEX('Model Pricing'!$B$7:$B$8,MATCH(F923,'Model Pricing'!$A$7:$A$8,0))</x:f>
        <x:v>10</x:v>
      </x:c>
      <x:c r="K923" s="27" t="n">
        <x:f>INDEX('Model Pricing'!$C$7:$C$8,MATCH(F923,'Model Pricing'!$A$7:$A$8,0))</x:f>
        <x:v>30</x:v>
      </x:c>
      <x:c r="L923" s="17" t="n">
        <x:f>G923+H923</x:f>
        <x:v>53758</x:v>
      </x:c>
      <x:c r="M923" s="28" t="n">
        <x:f>G923*J923/1000000</x:f>
        <x:v>0.44037</x:v>
      </x:c>
      <x:c r="N923" s="28" t="n">
        <x:f>H923*K923/1000000</x:f>
        <x:v>0.29163</x:v>
      </x:c>
      <x:c r="O923" s="28" t="n">
        <x:f>SUM(M923:N923)</x:f>
        <x:v>0.732</x:v>
      </x:c>
    </x:row>
    <x:row r="924" ht="23" customHeight="1">
      <x:c r="A924" s="17" t="str">
        <x:v>U00918</x:v>
      </x:c>
      <x:c r="B924" s="18" t="n">
        <x:v>46276</x:v>
      </x:c>
      <x:c r="C924" s="17" t="str">
        <x:v>W0092</x:v>
      </x:c>
      <x:c r="D924" s="17" t="str">
        <x:v>C002</x:v>
      </x:c>
      <x:c r="E924" s="17" t="str">
        <x:v>CopyStudio</x:v>
      </x:c>
      <x:c r="F924" s="17" t="str">
        <x:v>Lite</x:v>
      </x:c>
      <x:c r="G924" s="17" t="n">
        <x:v>29237</x:v>
      </x:c>
      <x:c r="H924" s="17" t="n">
        <x:v>6971</x:v>
      </x:c>
      <x:c r="I924" s="17" t="str">
        <x:v>Followup</x:v>
      </x:c>
      <x:c r="J924" s="27" t="n">
        <x:f>INDEX('Model Pricing'!$B$7:$B$8,MATCH(F924,'Model Pricing'!$A$7:$A$8,0))</x:f>
        <x:v>10</x:v>
      </x:c>
      <x:c r="K924" s="27" t="n">
        <x:f>INDEX('Model Pricing'!$C$7:$C$8,MATCH(F924,'Model Pricing'!$A$7:$A$8,0))</x:f>
        <x:v>30</x:v>
      </x:c>
      <x:c r="L924" s="17" t="n">
        <x:f>G924+H924</x:f>
        <x:v>36208</x:v>
      </x:c>
      <x:c r="M924" s="28" t="n">
        <x:f>G924*J924/1000000</x:f>
        <x:v>0.29237</x:v>
      </x:c>
      <x:c r="N924" s="28" t="n">
        <x:f>H924*K924/1000000</x:f>
        <x:v>0.20913</x:v>
      </x:c>
      <x:c r="O924" s="28" t="n">
        <x:f>SUM(M924:N924)</x:f>
        <x:v>0.5015000000000001</x:v>
      </x:c>
    </x:row>
    <x:row r="925" ht="23" customHeight="1">
      <x:c r="A925" s="17" t="str">
        <x:v>U00919</x:v>
      </x:c>
      <x:c r="B925" s="18" t="n">
        <x:v>46276</x:v>
      </x:c>
      <x:c r="C925" s="17" t="str">
        <x:v>W0092</x:v>
      </x:c>
      <x:c r="D925" s="17" t="str">
        <x:v>C002</x:v>
      </x:c>
      <x:c r="E925" s="17" t="str">
        <x:v>CopyStudio</x:v>
      </x:c>
      <x:c r="F925" s="17" t="str">
        <x:v>Lite</x:v>
      </x:c>
      <x:c r="G925" s="17" t="n">
        <x:v>43720</x:v>
      </x:c>
      <x:c r="H925" s="17" t="n">
        <x:v>11583</x:v>
      </x:c>
      <x:c r="I925" s="17" t="str">
        <x:v>Correction</x:v>
      </x:c>
      <x:c r="J925" s="27" t="n">
        <x:f>INDEX('Model Pricing'!$B$7:$B$8,MATCH(F925,'Model Pricing'!$A$7:$A$8,0))</x:f>
        <x:v>10</x:v>
      </x:c>
      <x:c r="K925" s="27" t="n">
        <x:f>INDEX('Model Pricing'!$C$7:$C$8,MATCH(F925,'Model Pricing'!$A$7:$A$8,0))</x:f>
        <x:v>30</x:v>
      </x:c>
      <x:c r="L925" s="17" t="n">
        <x:f>G925+H925</x:f>
        <x:v>55303</x:v>
      </x:c>
      <x:c r="M925" s="28" t="n">
        <x:f>G925*J925/1000000</x:f>
        <x:v>0.4372</x:v>
      </x:c>
      <x:c r="N925" s="28" t="n">
        <x:f>H925*K925/1000000</x:f>
        <x:v>0.34749</x:v>
      </x:c>
      <x:c r="O925" s="28" t="n">
        <x:f>SUM(M925:N925)</x:f>
        <x:v>0.78469</x:v>
      </x:c>
    </x:row>
    <x:row r="926" ht="23" customHeight="1">
      <x:c r="A926" s="17" t="str">
        <x:v>U00920</x:v>
      </x:c>
      <x:c r="B926" s="18" t="n">
        <x:v>46276</x:v>
      </x:c>
      <x:c r="C926" s="17" t="str">
        <x:v>W0092</x:v>
      </x:c>
      <x:c r="D926" s="17" t="str">
        <x:v>C002</x:v>
      </x:c>
      <x:c r="E926" s="17" t="str">
        <x:v>CopyStudio</x:v>
      </x:c>
      <x:c r="F926" s="17" t="str">
        <x:v>Lite</x:v>
      </x:c>
      <x:c r="G926" s="17" t="n">
        <x:v>27408</x:v>
      </x:c>
      <x:c r="H926" s="17" t="n">
        <x:v>9153</x:v>
      </x:c>
      <x:c r="I926" s="17" t="str">
        <x:v>Correction</x:v>
      </x:c>
      <x:c r="J926" s="27" t="n">
        <x:f>INDEX('Model Pricing'!$B$7:$B$8,MATCH(F926,'Model Pricing'!$A$7:$A$8,0))</x:f>
        <x:v>10</x:v>
      </x:c>
      <x:c r="K926" s="27" t="n">
        <x:f>INDEX('Model Pricing'!$C$7:$C$8,MATCH(F926,'Model Pricing'!$A$7:$A$8,0))</x:f>
        <x:v>30</x:v>
      </x:c>
      <x:c r="L926" s="17" t="n">
        <x:f>G926+H926</x:f>
        <x:v>36561</x:v>
      </x:c>
      <x:c r="M926" s="28" t="n">
        <x:f>G926*J926/1000000</x:f>
        <x:v>0.27408</x:v>
      </x:c>
      <x:c r="N926" s="28" t="n">
        <x:f>H926*K926/1000000</x:f>
        <x:v>0.27459</x:v>
      </x:c>
      <x:c r="O926" s="28" t="n">
        <x:f>SUM(M926:N926)</x:f>
        <x:v>0.54867</x:v>
      </x:c>
    </x:row>
    <x:row r="927" ht="23" customHeight="1">
      <x:c r="A927" s="17" t="str">
        <x:v>U00921</x:v>
      </x:c>
      <x:c r="B927" s="18" t="n">
        <x:v>46276</x:v>
      </x:c>
      <x:c r="C927" s="17" t="str">
        <x:v>W0092</x:v>
      </x:c>
      <x:c r="D927" s="17" t="str">
        <x:v>C002</x:v>
      </x:c>
      <x:c r="E927" s="17" t="str">
        <x:v>CopyStudio</x:v>
      </x:c>
      <x:c r="F927" s="17" t="str">
        <x:v>Lite</x:v>
      </x:c>
      <x:c r="G927" s="17" t="n">
        <x:v>27088</x:v>
      </x:c>
      <x:c r="H927" s="17" t="n">
        <x:v>4740</x:v>
      </x:c>
      <x:c r="I927" s="17" t="str">
        <x:v>Correction</x:v>
      </x:c>
      <x:c r="J927" s="27" t="n">
        <x:f>INDEX('Model Pricing'!$B$7:$B$8,MATCH(F927,'Model Pricing'!$A$7:$A$8,0))</x:f>
        <x:v>10</x:v>
      </x:c>
      <x:c r="K927" s="27" t="n">
        <x:f>INDEX('Model Pricing'!$C$7:$C$8,MATCH(F927,'Model Pricing'!$A$7:$A$8,0))</x:f>
        <x:v>30</x:v>
      </x:c>
      <x:c r="L927" s="17" t="n">
        <x:f>G927+H927</x:f>
        <x:v>31828</x:v>
      </x:c>
      <x:c r="M927" s="28" t="n">
        <x:f>G927*J927/1000000</x:f>
        <x:v>0.27088</x:v>
      </x:c>
      <x:c r="N927" s="28" t="n">
        <x:f>H927*K927/1000000</x:f>
        <x:v>0.1422</x:v>
      </x:c>
      <x:c r="O927" s="28" t="n">
        <x:f>SUM(M927:N927)</x:f>
        <x:v>0.41308</x:v>
      </x:c>
    </x:row>
    <x:row r="928" ht="23" customHeight="1">
      <x:c r="A928" s="17" t="str">
        <x:v>U00922</x:v>
      </x:c>
      <x:c r="B928" s="18" t="n">
        <x:v>46279</x:v>
      </x:c>
      <x:c r="C928" s="17" t="str">
        <x:v>W0092</x:v>
      </x:c>
      <x:c r="D928" s="17" t="str">
        <x:v>C002</x:v>
      </x:c>
      <x:c r="E928" s="17" t="str">
        <x:v>CopyStudio</x:v>
      </x:c>
      <x:c r="F928" s="17" t="str">
        <x:v>Lite</x:v>
      </x:c>
      <x:c r="G928" s="17" t="n">
        <x:v>36961</x:v>
      </x:c>
      <x:c r="H928" s="17" t="n">
        <x:v>3889</x:v>
      </x:c>
      <x:c r="I928" s="17" t="str">
        <x:v>Followup</x:v>
      </x:c>
      <x:c r="J928" s="27" t="n">
        <x:f>INDEX('Model Pricing'!$B$7:$B$8,MATCH(F928,'Model Pricing'!$A$7:$A$8,0))</x:f>
        <x:v>10</x:v>
      </x:c>
      <x:c r="K928" s="27" t="n">
        <x:f>INDEX('Model Pricing'!$C$7:$C$8,MATCH(F928,'Model Pricing'!$A$7:$A$8,0))</x:f>
        <x:v>30</x:v>
      </x:c>
      <x:c r="L928" s="17" t="n">
        <x:f>G928+H928</x:f>
        <x:v>40850</x:v>
      </x:c>
      <x:c r="M928" s="28" t="n">
        <x:f>G928*J928/1000000</x:f>
        <x:v>0.36961</x:v>
      </x:c>
      <x:c r="N928" s="28" t="n">
        <x:f>H928*K928/1000000</x:f>
        <x:v>0.11667</x:v>
      </x:c>
      <x:c r="O928" s="28" t="n">
        <x:f>SUM(M928:N928)</x:f>
        <x:v>0.48628</x:v>
      </x:c>
    </x:row>
    <x:row r="929" ht="23" customHeight="1">
      <x:c r="A929" s="17" t="str">
        <x:v>U00923</x:v>
      </x:c>
      <x:c r="B929" s="18" t="n">
        <x:v>46279</x:v>
      </x:c>
      <x:c r="C929" s="17" t="str">
        <x:v>W0092</x:v>
      </x:c>
      <x:c r="D929" s="17" t="str">
        <x:v>C002</x:v>
      </x:c>
      <x:c r="E929" s="17" t="str">
        <x:v>CopyStudio</x:v>
      </x:c>
      <x:c r="F929" s="17" t="str">
        <x:v>Lite</x:v>
      </x:c>
      <x:c r="G929" s="17" t="n">
        <x:v>19727</x:v>
      </x:c>
      <x:c r="H929" s="17" t="n">
        <x:v>12870</x:v>
      </x:c>
      <x:c r="I929" s="17" t="str">
        <x:v>Correction</x:v>
      </x:c>
      <x:c r="J929" s="27" t="n">
        <x:f>INDEX('Model Pricing'!$B$7:$B$8,MATCH(F929,'Model Pricing'!$A$7:$A$8,0))</x:f>
        <x:v>10</x:v>
      </x:c>
      <x:c r="K929" s="27" t="n">
        <x:f>INDEX('Model Pricing'!$C$7:$C$8,MATCH(F929,'Model Pricing'!$A$7:$A$8,0))</x:f>
        <x:v>30</x:v>
      </x:c>
      <x:c r="L929" s="17" t="n">
        <x:f>G929+H929</x:f>
        <x:v>32597</x:v>
      </x:c>
      <x:c r="M929" s="28" t="n">
        <x:f>G929*J929/1000000</x:f>
        <x:v>0.19727</x:v>
      </x:c>
      <x:c r="N929" s="28" t="n">
        <x:f>H929*K929/1000000</x:f>
        <x:v>0.3861</x:v>
      </x:c>
      <x:c r="O929" s="28" t="n">
        <x:f>SUM(M929:N929)</x:f>
        <x:v>0.5833699999999999</x:v>
      </x:c>
    </x:row>
    <x:row r="930" ht="23" customHeight="1">
      <x:c r="A930" s="17" t="str">
        <x:v>U00924</x:v>
      </x:c>
      <x:c r="B930" s="18" t="n">
        <x:v>46279</x:v>
      </x:c>
      <x:c r="C930" s="17" t="str">
        <x:v>W0092</x:v>
      </x:c>
      <x:c r="D930" s="17" t="str">
        <x:v>C002</x:v>
      </x:c>
      <x:c r="E930" s="17" t="str">
        <x:v>CopyStudio</x:v>
      </x:c>
      <x:c r="F930" s="17" t="str">
        <x:v>Lite</x:v>
      </x:c>
      <x:c r="G930" s="17" t="n">
        <x:v>39502</x:v>
      </x:c>
      <x:c r="H930" s="17" t="n">
        <x:v>3661</x:v>
      </x:c>
      <x:c r="I930" s="17" t="str">
        <x:v>Followup</x:v>
      </x:c>
      <x:c r="J930" s="27" t="n">
        <x:f>INDEX('Model Pricing'!$B$7:$B$8,MATCH(F930,'Model Pricing'!$A$7:$A$8,0))</x:f>
        <x:v>10</x:v>
      </x:c>
      <x:c r="K930" s="27" t="n">
        <x:f>INDEX('Model Pricing'!$C$7:$C$8,MATCH(F930,'Model Pricing'!$A$7:$A$8,0))</x:f>
        <x:v>30</x:v>
      </x:c>
      <x:c r="L930" s="17" t="n">
        <x:f>G930+H930</x:f>
        <x:v>43163</x:v>
      </x:c>
      <x:c r="M930" s="28" t="n">
        <x:f>G930*J930/1000000</x:f>
        <x:v>0.39502</x:v>
      </x:c>
      <x:c r="N930" s="28" t="n">
        <x:f>H930*K930/1000000</x:f>
        <x:v>0.10983</x:v>
      </x:c>
      <x:c r="O930" s="28" t="n">
        <x:f>SUM(M930:N930)</x:f>
        <x:v>0.50485</x:v>
      </x:c>
    </x:row>
    <x:row r="931" ht="23" customHeight="1">
      <x:c r="A931" s="17" t="str">
        <x:v>U00925</x:v>
      </x:c>
      <x:c r="B931" s="18" t="n">
        <x:v>46279</x:v>
      </x:c>
      <x:c r="C931" s="17" t="str">
        <x:v>W0092</x:v>
      </x:c>
      <x:c r="D931" s="17" t="str">
        <x:v>C002</x:v>
      </x:c>
      <x:c r="E931" s="17" t="str">
        <x:v>CopyStudio</x:v>
      </x:c>
      <x:c r="F931" s="17" t="str">
        <x:v>Lite</x:v>
      </x:c>
      <x:c r="G931" s="17" t="n">
        <x:v>47330</x:v>
      </x:c>
      <x:c r="H931" s="17" t="n">
        <x:v>13060</x:v>
      </x:c>
      <x:c r="I931" s="17" t="str">
        <x:v>Correction</x:v>
      </x:c>
      <x:c r="J931" s="27" t="n">
        <x:f>INDEX('Model Pricing'!$B$7:$B$8,MATCH(F931,'Model Pricing'!$A$7:$A$8,0))</x:f>
        <x:v>10</x:v>
      </x:c>
      <x:c r="K931" s="27" t="n">
        <x:f>INDEX('Model Pricing'!$C$7:$C$8,MATCH(F931,'Model Pricing'!$A$7:$A$8,0))</x:f>
        <x:v>30</x:v>
      </x:c>
      <x:c r="L931" s="17" t="n">
        <x:f>G931+H931</x:f>
        <x:v>60390</x:v>
      </x:c>
      <x:c r="M931" s="28" t="n">
        <x:f>G931*J931/1000000</x:f>
        <x:v>0.4733</x:v>
      </x:c>
      <x:c r="N931" s="28" t="n">
        <x:f>H931*K931/1000000</x:f>
        <x:v>0.3918</x:v>
      </x:c>
      <x:c r="O931" s="28" t="n">
        <x:f>SUM(M931:N931)</x:f>
        <x:v>0.8651</x:v>
      </x:c>
    </x:row>
    <x:row r="932" ht="23" customHeight="1">
      <x:c r="A932" s="17" t="str">
        <x:v>U00926</x:v>
      </x:c>
      <x:c r="B932" s="18" t="n">
        <x:v>46279</x:v>
      </x:c>
      <x:c r="C932" s="17" t="str">
        <x:v>W0092</x:v>
      </x:c>
      <x:c r="D932" s="17" t="str">
        <x:v>C002</x:v>
      </x:c>
      <x:c r="E932" s="17" t="str">
        <x:v>CopyStudio</x:v>
      </x:c>
      <x:c r="F932" s="17" t="str">
        <x:v>Lite</x:v>
      </x:c>
      <x:c r="G932" s="17" t="n">
        <x:v>34449</x:v>
      </x:c>
      <x:c r="H932" s="17" t="n">
        <x:v>9489</x:v>
      </x:c>
      <x:c r="I932" s="17" t="str">
        <x:v>Correction</x:v>
      </x:c>
      <x:c r="J932" s="27" t="n">
        <x:f>INDEX('Model Pricing'!$B$7:$B$8,MATCH(F932,'Model Pricing'!$A$7:$A$8,0))</x:f>
        <x:v>10</x:v>
      </x:c>
      <x:c r="K932" s="27" t="n">
        <x:f>INDEX('Model Pricing'!$C$7:$C$8,MATCH(F932,'Model Pricing'!$A$7:$A$8,0))</x:f>
        <x:v>30</x:v>
      </x:c>
      <x:c r="L932" s="17" t="n">
        <x:f>G932+H932</x:f>
        <x:v>43938</x:v>
      </x:c>
      <x:c r="M932" s="28" t="n">
        <x:f>G932*J932/1000000</x:f>
        <x:v>0.34449</x:v>
      </x:c>
      <x:c r="N932" s="28" t="n">
        <x:f>H932*K932/1000000</x:f>
        <x:v>0.28467</x:v>
      </x:c>
      <x:c r="O932" s="28" t="n">
        <x:f>SUM(M932:N932)</x:f>
        <x:v>0.6291599999999999</x:v>
      </x:c>
    </x:row>
    <x:row r="933" ht="23" customHeight="1">
      <x:c r="A933" s="17" t="str">
        <x:v>U00927</x:v>
      </x:c>
      <x:c r="B933" s="18" t="n">
        <x:v>46279</x:v>
      </x:c>
      <x:c r="C933" s="17" t="str">
        <x:v>W0092</x:v>
      </x:c>
      <x:c r="D933" s="17" t="str">
        <x:v>C002</x:v>
      </x:c>
      <x:c r="E933" s="17" t="str">
        <x:v>CopyStudio</x:v>
      </x:c>
      <x:c r="F933" s="17" t="str">
        <x:v>Lite</x:v>
      </x:c>
      <x:c r="G933" s="17" t="n">
        <x:v>22540</x:v>
      </x:c>
      <x:c r="H933" s="17" t="n">
        <x:v>12130</x:v>
      </x:c>
      <x:c r="I933" s="17" t="str">
        <x:v>Followup</x:v>
      </x:c>
      <x:c r="J933" s="27" t="n">
        <x:f>INDEX('Model Pricing'!$B$7:$B$8,MATCH(F933,'Model Pricing'!$A$7:$A$8,0))</x:f>
        <x:v>10</x:v>
      </x:c>
      <x:c r="K933" s="27" t="n">
        <x:f>INDEX('Model Pricing'!$C$7:$C$8,MATCH(F933,'Model Pricing'!$A$7:$A$8,0))</x:f>
        <x:v>30</x:v>
      </x:c>
      <x:c r="L933" s="17" t="n">
        <x:f>G933+H933</x:f>
        <x:v>34670</x:v>
      </x:c>
      <x:c r="M933" s="28" t="n">
        <x:f>G933*J933/1000000</x:f>
        <x:v>0.2254</x:v>
      </x:c>
      <x:c r="N933" s="28" t="n">
        <x:f>H933*K933/1000000</x:f>
        <x:v>0.3639</x:v>
      </x:c>
      <x:c r="O933" s="28" t="n">
        <x:f>SUM(M933:N933)</x:f>
        <x:v>0.5892999999999999</x:v>
      </x:c>
    </x:row>
    <x:row r="934" ht="23" customHeight="1">
      <x:c r="A934" s="17" t="str">
        <x:v>U00928</x:v>
      </x:c>
      <x:c r="B934" s="18" t="n">
        <x:v>46279</x:v>
      </x:c>
      <x:c r="C934" s="17" t="str">
        <x:v>W0092</x:v>
      </x:c>
      <x:c r="D934" s="17" t="str">
        <x:v>C002</x:v>
      </x:c>
      <x:c r="E934" s="17" t="str">
        <x:v>CopyStudio</x:v>
      </x:c>
      <x:c r="F934" s="17" t="str">
        <x:v>Lite</x:v>
      </x:c>
      <x:c r="G934" s="17" t="n">
        <x:v>26846</x:v>
      </x:c>
      <x:c r="H934" s="17" t="n">
        <x:v>11093</x:v>
      </x:c>
      <x:c r="I934" s="17" t="str">
        <x:v>Followup</x:v>
      </x:c>
      <x:c r="J934" s="27" t="n">
        <x:f>INDEX('Model Pricing'!$B$7:$B$8,MATCH(F934,'Model Pricing'!$A$7:$A$8,0))</x:f>
        <x:v>10</x:v>
      </x:c>
      <x:c r="K934" s="27" t="n">
        <x:f>INDEX('Model Pricing'!$C$7:$C$8,MATCH(F934,'Model Pricing'!$A$7:$A$8,0))</x:f>
        <x:v>30</x:v>
      </x:c>
      <x:c r="L934" s="17" t="n">
        <x:f>G934+H934</x:f>
        <x:v>37939</x:v>
      </x:c>
      <x:c r="M934" s="28" t="n">
        <x:f>G934*J934/1000000</x:f>
        <x:v>0.26846</x:v>
      </x:c>
      <x:c r="N934" s="28" t="n">
        <x:f>H934*K934/1000000</x:f>
        <x:v>0.33279</x:v>
      </x:c>
      <x:c r="O934" s="28" t="n">
        <x:f>SUM(M934:N934)</x:f>
        <x:v>0.60125</x:v>
      </x:c>
    </x:row>
    <x:row r="935" ht="23" customHeight="1">
      <x:c r="A935" s="17" t="str">
        <x:v>U00929</x:v>
      </x:c>
      <x:c r="B935" s="18" t="n">
        <x:v>46280</x:v>
      </x:c>
      <x:c r="C935" s="17" t="str">
        <x:v>W0092</x:v>
      </x:c>
      <x:c r="D935" s="17" t="str">
        <x:v>C002</x:v>
      </x:c>
      <x:c r="E935" s="17" t="str">
        <x:v>CopyStudio</x:v>
      </x:c>
      <x:c r="F935" s="17" t="str">
        <x:v>Lite</x:v>
      </x:c>
      <x:c r="G935" s="17" t="n">
        <x:v>47247</x:v>
      </x:c>
      <x:c r="H935" s="17" t="n">
        <x:v>10517</x:v>
      </x:c>
      <x:c r="I935" s="17" t="str">
        <x:v>Followup</x:v>
      </x:c>
      <x:c r="J935" s="27" t="n">
        <x:f>INDEX('Model Pricing'!$B$7:$B$8,MATCH(F935,'Model Pricing'!$A$7:$A$8,0))</x:f>
        <x:v>10</x:v>
      </x:c>
      <x:c r="K935" s="27" t="n">
        <x:f>INDEX('Model Pricing'!$C$7:$C$8,MATCH(F935,'Model Pricing'!$A$7:$A$8,0))</x:f>
        <x:v>30</x:v>
      </x:c>
      <x:c r="L935" s="17" t="n">
        <x:f>G935+H935</x:f>
        <x:v>57764</x:v>
      </x:c>
      <x:c r="M935" s="28" t="n">
        <x:f>G935*J935/1000000</x:f>
        <x:v>0.47247</x:v>
      </x:c>
      <x:c r="N935" s="28" t="n">
        <x:f>H935*K935/1000000</x:f>
        <x:v>0.31551</x:v>
      </x:c>
      <x:c r="O935" s="28" t="n">
        <x:f>SUM(M935:N935)</x:f>
        <x:v>0.78798</x:v>
      </x:c>
    </x:row>
    <x:row r="936" ht="23" customHeight="1">
      <x:c r="A936" s="17" t="str">
        <x:v>U00930</x:v>
      </x:c>
      <x:c r="B936" s="18" t="n">
        <x:v>46280</x:v>
      </x:c>
      <x:c r="C936" s="17" t="str">
        <x:v>W0092</x:v>
      </x:c>
      <x:c r="D936" s="17" t="str">
        <x:v>C002</x:v>
      </x:c>
      <x:c r="E936" s="17" t="str">
        <x:v>CopyStudio</x:v>
      </x:c>
      <x:c r="F936" s="17" t="str">
        <x:v>Lite</x:v>
      </x:c>
      <x:c r="G936" s="17" t="n">
        <x:v>16910</x:v>
      </x:c>
      <x:c r="H936" s="17" t="n">
        <x:v>10223</x:v>
      </x:c>
      <x:c r="I936" s="17" t="str">
        <x:v>Correction</x:v>
      </x:c>
      <x:c r="J936" s="27" t="n">
        <x:f>INDEX('Model Pricing'!$B$7:$B$8,MATCH(F936,'Model Pricing'!$A$7:$A$8,0))</x:f>
        <x:v>10</x:v>
      </x:c>
      <x:c r="K936" s="27" t="n">
        <x:f>INDEX('Model Pricing'!$C$7:$C$8,MATCH(F936,'Model Pricing'!$A$7:$A$8,0))</x:f>
        <x:v>30</x:v>
      </x:c>
      <x:c r="L936" s="17" t="n">
        <x:f>G936+H936</x:f>
        <x:v>27133</x:v>
      </x:c>
      <x:c r="M936" s="28" t="n">
        <x:f>G936*J936/1000000</x:f>
        <x:v>0.1691</x:v>
      </x:c>
      <x:c r="N936" s="28" t="n">
        <x:f>H936*K936/1000000</x:f>
        <x:v>0.30669</x:v>
      </x:c>
      <x:c r="O936" s="28" t="n">
        <x:f>SUM(M936:N936)</x:f>
        <x:v>0.47579000000000005</x:v>
      </x:c>
    </x:row>
    <x:row r="937" ht="23" customHeight="1">
      <x:c r="A937" s="17" t="str">
        <x:v>U00931</x:v>
      </x:c>
      <x:c r="B937" s="18" t="n">
        <x:v>46280</x:v>
      </x:c>
      <x:c r="C937" s="17" t="str">
        <x:v>W0092</x:v>
      </x:c>
      <x:c r="D937" s="17" t="str">
        <x:v>C002</x:v>
      </x:c>
      <x:c r="E937" s="17" t="str">
        <x:v>CopyStudio</x:v>
      </x:c>
      <x:c r="F937" s="17" t="str">
        <x:v>Lite</x:v>
      </x:c>
      <x:c r="G937" s="17" t="n">
        <x:v>40264</x:v>
      </x:c>
      <x:c r="H937" s="17" t="n">
        <x:v>7855</x:v>
      </x:c>
      <x:c r="I937" s="17" t="str">
        <x:v>Followup</x:v>
      </x:c>
      <x:c r="J937" s="27" t="n">
        <x:f>INDEX('Model Pricing'!$B$7:$B$8,MATCH(F937,'Model Pricing'!$A$7:$A$8,0))</x:f>
        <x:v>10</x:v>
      </x:c>
      <x:c r="K937" s="27" t="n">
        <x:f>INDEX('Model Pricing'!$C$7:$C$8,MATCH(F937,'Model Pricing'!$A$7:$A$8,0))</x:f>
        <x:v>30</x:v>
      </x:c>
      <x:c r="L937" s="17" t="n">
        <x:f>G937+H937</x:f>
        <x:v>48119</x:v>
      </x:c>
      <x:c r="M937" s="28" t="n">
        <x:f>G937*J937/1000000</x:f>
        <x:v>0.40264</x:v>
      </x:c>
      <x:c r="N937" s="28" t="n">
        <x:f>H937*K937/1000000</x:f>
        <x:v>0.23565</x:v>
      </x:c>
      <x:c r="O937" s="28" t="n">
        <x:f>SUM(M937:N937)</x:f>
        <x:v>0.63829</x:v>
      </x:c>
    </x:row>
    <x:row r="938" ht="23" customHeight="1">
      <x:c r="A938" s="17" t="str">
        <x:v>U00932</x:v>
      </x:c>
      <x:c r="B938" s="18" t="n">
        <x:v>46280</x:v>
      </x:c>
      <x:c r="C938" s="17" t="str">
        <x:v>W0092</x:v>
      </x:c>
      <x:c r="D938" s="17" t="str">
        <x:v>C002</x:v>
      </x:c>
      <x:c r="E938" s="17" t="str">
        <x:v>CopyStudio</x:v>
      </x:c>
      <x:c r="F938" s="17" t="str">
        <x:v>Lite</x:v>
      </x:c>
      <x:c r="G938" s="17" t="n">
        <x:v>36000</x:v>
      </x:c>
      <x:c r="H938" s="17" t="n">
        <x:v>5351</x:v>
      </x:c>
      <x:c r="I938" s="17" t="str">
        <x:v>Followup</x:v>
      </x:c>
      <x:c r="J938" s="27" t="n">
        <x:f>INDEX('Model Pricing'!$B$7:$B$8,MATCH(F938,'Model Pricing'!$A$7:$A$8,0))</x:f>
        <x:v>10</x:v>
      </x:c>
      <x:c r="K938" s="27" t="n">
        <x:f>INDEX('Model Pricing'!$C$7:$C$8,MATCH(F938,'Model Pricing'!$A$7:$A$8,0))</x:f>
        <x:v>30</x:v>
      </x:c>
      <x:c r="L938" s="17" t="n">
        <x:f>G938+H938</x:f>
        <x:v>41351</x:v>
      </x:c>
      <x:c r="M938" s="28" t="n">
        <x:f>G938*J938/1000000</x:f>
        <x:v>0.36</x:v>
      </x:c>
      <x:c r="N938" s="28" t="n">
        <x:f>H938*K938/1000000</x:f>
        <x:v>0.16053</x:v>
      </x:c>
      <x:c r="O938" s="28" t="n">
        <x:f>SUM(M938:N938)</x:f>
        <x:v>0.5205299999999999</x:v>
      </x:c>
    </x:row>
    <x:row r="939" ht="23" customHeight="1">
      <x:c r="A939" s="17" t="str">
        <x:v>U00933</x:v>
      </x:c>
      <x:c r="B939" s="18" t="n">
        <x:v>46280</x:v>
      </x:c>
      <x:c r="C939" s="17" t="str">
        <x:v>W0092</x:v>
      </x:c>
      <x:c r="D939" s="17" t="str">
        <x:v>C002</x:v>
      </x:c>
      <x:c r="E939" s="17" t="str">
        <x:v>CopyStudio</x:v>
      </x:c>
      <x:c r="F939" s="17" t="str">
        <x:v>Lite</x:v>
      </x:c>
      <x:c r="G939" s="17" t="n">
        <x:v>32583</x:v>
      </x:c>
      <x:c r="H939" s="17" t="n">
        <x:v>8568</x:v>
      </x:c>
      <x:c r="I939" s="17" t="str">
        <x:v>Followup</x:v>
      </x:c>
      <x:c r="J939" s="27" t="n">
        <x:f>INDEX('Model Pricing'!$B$7:$B$8,MATCH(F939,'Model Pricing'!$A$7:$A$8,0))</x:f>
        <x:v>10</x:v>
      </x:c>
      <x:c r="K939" s="27" t="n">
        <x:f>INDEX('Model Pricing'!$C$7:$C$8,MATCH(F939,'Model Pricing'!$A$7:$A$8,0))</x:f>
        <x:v>30</x:v>
      </x:c>
      <x:c r="L939" s="17" t="n">
        <x:f>G939+H939</x:f>
        <x:v>41151</x:v>
      </x:c>
      <x:c r="M939" s="28" t="n">
        <x:f>G939*J939/1000000</x:f>
        <x:v>0.32583</x:v>
      </x:c>
      <x:c r="N939" s="28" t="n">
        <x:f>H939*K939/1000000</x:f>
        <x:v>0.25704</x:v>
      </x:c>
      <x:c r="O939" s="28" t="n">
        <x:f>SUM(M939:N939)</x:f>
        <x:v>0.58287</x:v>
      </x:c>
    </x:row>
    <x:row r="940" ht="23" customHeight="1">
      <x:c r="A940" s="17" t="str">
        <x:v>U00934</x:v>
      </x:c>
      <x:c r="B940" s="18" t="n">
        <x:v>46280</x:v>
      </x:c>
      <x:c r="C940" s="17" t="str">
        <x:v>W0092</x:v>
      </x:c>
      <x:c r="D940" s="17" t="str">
        <x:v>C002</x:v>
      </x:c>
      <x:c r="E940" s="17" t="str">
        <x:v>CopyStudio</x:v>
      </x:c>
      <x:c r="F940" s="17" t="str">
        <x:v>Lite</x:v>
      </x:c>
      <x:c r="G940" s="17" t="n">
        <x:v>47168</x:v>
      </x:c>
      <x:c r="H940" s="17" t="n">
        <x:v>11184</x:v>
      </x:c>
      <x:c r="I940" s="17" t="str">
        <x:v>Followup</x:v>
      </x:c>
      <x:c r="J940" s="27" t="n">
        <x:f>INDEX('Model Pricing'!$B$7:$B$8,MATCH(F940,'Model Pricing'!$A$7:$A$8,0))</x:f>
        <x:v>10</x:v>
      </x:c>
      <x:c r="K940" s="27" t="n">
        <x:f>INDEX('Model Pricing'!$C$7:$C$8,MATCH(F940,'Model Pricing'!$A$7:$A$8,0))</x:f>
        <x:v>30</x:v>
      </x:c>
      <x:c r="L940" s="17" t="n">
        <x:f>G940+H940</x:f>
        <x:v>58352</x:v>
      </x:c>
      <x:c r="M940" s="28" t="n">
        <x:f>G940*J940/1000000</x:f>
        <x:v>0.47168</x:v>
      </x:c>
      <x:c r="N940" s="28" t="n">
        <x:f>H940*K940/1000000</x:f>
        <x:v>0.33552</x:v>
      </x:c>
      <x:c r="O940" s="28" t="n">
        <x:f>SUM(M940:N940)</x:f>
        <x:v>0.8071999999999999</x:v>
      </x:c>
    </x:row>
    <x:row r="941" ht="23" customHeight="1">
      <x:c r="A941" s="17" t="str">
        <x:v>U00935</x:v>
      </x:c>
      <x:c r="B941" s="18" t="n">
        <x:v>46280</x:v>
      </x:c>
      <x:c r="C941" s="17" t="str">
        <x:v>W0092</x:v>
      </x:c>
      <x:c r="D941" s="17" t="str">
        <x:v>C002</x:v>
      </x:c>
      <x:c r="E941" s="17" t="str">
        <x:v>CopyStudio</x:v>
      </x:c>
      <x:c r="F941" s="17" t="str">
        <x:v>Lite</x:v>
      </x:c>
      <x:c r="G941" s="17" t="n">
        <x:v>44856</x:v>
      </x:c>
      <x:c r="H941" s="17" t="n">
        <x:v>8895</x:v>
      </x:c>
      <x:c r="I941" s="17" t="str">
        <x:v>Correction</x:v>
      </x:c>
      <x:c r="J941" s="27" t="n">
        <x:f>INDEX('Model Pricing'!$B$7:$B$8,MATCH(F941,'Model Pricing'!$A$7:$A$8,0))</x:f>
        <x:v>10</x:v>
      </x:c>
      <x:c r="K941" s="27" t="n">
        <x:f>INDEX('Model Pricing'!$C$7:$C$8,MATCH(F941,'Model Pricing'!$A$7:$A$8,0))</x:f>
        <x:v>30</x:v>
      </x:c>
      <x:c r="L941" s="17" t="n">
        <x:f>G941+H941</x:f>
        <x:v>53751</x:v>
      </x:c>
      <x:c r="M941" s="28" t="n">
        <x:f>G941*J941/1000000</x:f>
        <x:v>0.44856</x:v>
      </x:c>
      <x:c r="N941" s="28" t="n">
        <x:f>H941*K941/1000000</x:f>
        <x:v>0.26685</x:v>
      </x:c>
      <x:c r="O941" s="28" t="n">
        <x:f>SUM(M941:N941)</x:f>
        <x:v>0.71541</x:v>
      </x:c>
    </x:row>
    <x:row r="942" ht="23" customHeight="1">
      <x:c r="A942" s="17" t="str">
        <x:v>U00936</x:v>
      </x:c>
      <x:c r="B942" s="18" t="n">
        <x:v>46281</x:v>
      </x:c>
      <x:c r="C942" s="17" t="str">
        <x:v>W0092</x:v>
      </x:c>
      <x:c r="D942" s="17" t="str">
        <x:v>C002</x:v>
      </x:c>
      <x:c r="E942" s="17" t="str">
        <x:v>CopyStudio</x:v>
      </x:c>
      <x:c r="F942" s="17" t="str">
        <x:v>Lite</x:v>
      </x:c>
      <x:c r="G942" s="17" t="n">
        <x:v>36510</x:v>
      </x:c>
      <x:c r="H942" s="17" t="n">
        <x:v>5041</x:v>
      </x:c>
      <x:c r="I942" s="17" t="str">
        <x:v>Followup</x:v>
      </x:c>
      <x:c r="J942" s="27" t="n">
        <x:f>INDEX('Model Pricing'!$B$7:$B$8,MATCH(F942,'Model Pricing'!$A$7:$A$8,0))</x:f>
        <x:v>10</x:v>
      </x:c>
      <x:c r="K942" s="27" t="n">
        <x:f>INDEX('Model Pricing'!$C$7:$C$8,MATCH(F942,'Model Pricing'!$A$7:$A$8,0))</x:f>
        <x:v>30</x:v>
      </x:c>
      <x:c r="L942" s="17" t="n">
        <x:f>G942+H942</x:f>
        <x:v>41551</x:v>
      </x:c>
      <x:c r="M942" s="28" t="n">
        <x:f>G942*J942/1000000</x:f>
        <x:v>0.3651</x:v>
      </x:c>
      <x:c r="N942" s="28" t="n">
        <x:f>H942*K942/1000000</x:f>
        <x:v>0.15123</x:v>
      </x:c>
      <x:c r="O942" s="28" t="n">
        <x:f>SUM(M942:N942)</x:f>
        <x:v>0.51633</x:v>
      </x:c>
    </x:row>
    <x:row r="943" ht="23" customHeight="1">
      <x:c r="A943" s="17" t="str">
        <x:v>U00937</x:v>
      </x:c>
      <x:c r="B943" s="18" t="n">
        <x:v>46281</x:v>
      </x:c>
      <x:c r="C943" s="17" t="str">
        <x:v>W0092</x:v>
      </x:c>
      <x:c r="D943" s="17" t="str">
        <x:v>C002</x:v>
      </x:c>
      <x:c r="E943" s="17" t="str">
        <x:v>CopyStudio</x:v>
      </x:c>
      <x:c r="F943" s="17" t="str">
        <x:v>Lite</x:v>
      </x:c>
      <x:c r="G943" s="17" t="n">
        <x:v>23443</x:v>
      </x:c>
      <x:c r="H943" s="17" t="n">
        <x:v>9037</x:v>
      </x:c>
      <x:c r="I943" s="17" t="str">
        <x:v>Correction</x:v>
      </x:c>
      <x:c r="J943" s="27" t="n">
        <x:f>INDEX('Model Pricing'!$B$7:$B$8,MATCH(F943,'Model Pricing'!$A$7:$A$8,0))</x:f>
        <x:v>10</x:v>
      </x:c>
      <x:c r="K943" s="27" t="n">
        <x:f>INDEX('Model Pricing'!$C$7:$C$8,MATCH(F943,'Model Pricing'!$A$7:$A$8,0))</x:f>
        <x:v>30</x:v>
      </x:c>
      <x:c r="L943" s="17" t="n">
        <x:f>G943+H943</x:f>
        <x:v>32480</x:v>
      </x:c>
      <x:c r="M943" s="28" t="n">
        <x:f>G943*J943/1000000</x:f>
        <x:v>0.23443</x:v>
      </x:c>
      <x:c r="N943" s="28" t="n">
        <x:f>H943*K943/1000000</x:f>
        <x:v>0.27111</x:v>
      </x:c>
      <x:c r="O943" s="28" t="n">
        <x:f>SUM(M943:N943)</x:f>
        <x:v>0.50554</x:v>
      </x:c>
    </x:row>
    <x:row r="944" ht="23" customHeight="1">
      <x:c r="A944" s="17" t="str">
        <x:v>U00938</x:v>
      </x:c>
      <x:c r="B944" s="18" t="n">
        <x:v>46281</x:v>
      </x:c>
      <x:c r="C944" s="17" t="str">
        <x:v>W0092</x:v>
      </x:c>
      <x:c r="D944" s="17" t="str">
        <x:v>C002</x:v>
      </x:c>
      <x:c r="E944" s="17" t="str">
        <x:v>CopyStudio</x:v>
      </x:c>
      <x:c r="F944" s="17" t="str">
        <x:v>Lite</x:v>
      </x:c>
      <x:c r="G944" s="17" t="n">
        <x:v>25557</x:v>
      </x:c>
      <x:c r="H944" s="17" t="n">
        <x:v>13575</x:v>
      </x:c>
      <x:c r="I944" s="17" t="str">
        <x:v>Followup</x:v>
      </x:c>
      <x:c r="J944" s="27" t="n">
        <x:f>INDEX('Model Pricing'!$B$7:$B$8,MATCH(F944,'Model Pricing'!$A$7:$A$8,0))</x:f>
        <x:v>10</x:v>
      </x:c>
      <x:c r="K944" s="27" t="n">
        <x:f>INDEX('Model Pricing'!$C$7:$C$8,MATCH(F944,'Model Pricing'!$A$7:$A$8,0))</x:f>
        <x:v>30</x:v>
      </x:c>
      <x:c r="L944" s="17" t="n">
        <x:f>G944+H944</x:f>
        <x:v>39132</x:v>
      </x:c>
      <x:c r="M944" s="28" t="n">
        <x:f>G944*J944/1000000</x:f>
        <x:v>0.25557</x:v>
      </x:c>
      <x:c r="N944" s="28" t="n">
        <x:f>H944*K944/1000000</x:f>
        <x:v>0.40725</x:v>
      </x:c>
      <x:c r="O944" s="28" t="n">
        <x:f>SUM(M944:N944)</x:f>
        <x:v>0.66282</x:v>
      </x:c>
    </x:row>
    <x:row r="945" ht="23" customHeight="1">
      <x:c r="A945" s="17" t="str">
        <x:v>U00939</x:v>
      </x:c>
      <x:c r="B945" s="18" t="n">
        <x:v>46281</x:v>
      </x:c>
      <x:c r="C945" s="17" t="str">
        <x:v>W0092</x:v>
      </x:c>
      <x:c r="D945" s="17" t="str">
        <x:v>C002</x:v>
      </x:c>
      <x:c r="E945" s="17" t="str">
        <x:v>CopyStudio</x:v>
      </x:c>
      <x:c r="F945" s="17" t="str">
        <x:v>Lite</x:v>
      </x:c>
      <x:c r="G945" s="17" t="n">
        <x:v>30097</x:v>
      </x:c>
      <x:c r="H945" s="17" t="n">
        <x:v>12651</x:v>
      </x:c>
      <x:c r="I945" s="17" t="str">
        <x:v>Followup</x:v>
      </x:c>
      <x:c r="J945" s="27" t="n">
        <x:f>INDEX('Model Pricing'!$B$7:$B$8,MATCH(F945,'Model Pricing'!$A$7:$A$8,0))</x:f>
        <x:v>10</x:v>
      </x:c>
      <x:c r="K945" s="27" t="n">
        <x:f>INDEX('Model Pricing'!$C$7:$C$8,MATCH(F945,'Model Pricing'!$A$7:$A$8,0))</x:f>
        <x:v>30</x:v>
      </x:c>
      <x:c r="L945" s="17" t="n">
        <x:f>G945+H945</x:f>
        <x:v>42748</x:v>
      </x:c>
      <x:c r="M945" s="28" t="n">
        <x:f>G945*J945/1000000</x:f>
        <x:v>0.30097</x:v>
      </x:c>
      <x:c r="N945" s="28" t="n">
        <x:f>H945*K945/1000000</x:f>
        <x:v>0.37953</x:v>
      </x:c>
      <x:c r="O945" s="28" t="n">
        <x:f>SUM(M945:N945)</x:f>
        <x:v>0.6805</x:v>
      </x:c>
    </x:row>
    <x:row r="946" ht="23" customHeight="1">
      <x:c r="A946" s="17" t="str">
        <x:v>U00940</x:v>
      </x:c>
      <x:c r="B946" s="18" t="n">
        <x:v>46281</x:v>
      </x:c>
      <x:c r="C946" s="17" t="str">
        <x:v>W0092</x:v>
      </x:c>
      <x:c r="D946" s="17" t="str">
        <x:v>C002</x:v>
      </x:c>
      <x:c r="E946" s="17" t="str">
        <x:v>CopyStudio</x:v>
      </x:c>
      <x:c r="F946" s="17" t="str">
        <x:v>Lite</x:v>
      </x:c>
      <x:c r="G946" s="17" t="n">
        <x:v>37427</x:v>
      </x:c>
      <x:c r="H946" s="17" t="n">
        <x:v>3952</x:v>
      </x:c>
      <x:c r="I946" s="17" t="str">
        <x:v>Followup</x:v>
      </x:c>
      <x:c r="J946" s="27" t="n">
        <x:f>INDEX('Model Pricing'!$B$7:$B$8,MATCH(F946,'Model Pricing'!$A$7:$A$8,0))</x:f>
        <x:v>10</x:v>
      </x:c>
      <x:c r="K946" s="27" t="n">
        <x:f>INDEX('Model Pricing'!$C$7:$C$8,MATCH(F946,'Model Pricing'!$A$7:$A$8,0))</x:f>
        <x:v>30</x:v>
      </x:c>
      <x:c r="L946" s="17" t="n">
        <x:f>G946+H946</x:f>
        <x:v>41379</x:v>
      </x:c>
      <x:c r="M946" s="28" t="n">
        <x:f>G946*J946/1000000</x:f>
        <x:v>0.37427</x:v>
      </x:c>
      <x:c r="N946" s="28" t="n">
        <x:f>H946*K946/1000000</x:f>
        <x:v>0.11856</x:v>
      </x:c>
      <x:c r="O946" s="28" t="n">
        <x:f>SUM(M946:N946)</x:f>
        <x:v>0.49283</x:v>
      </x:c>
    </x:row>
    <x:row r="947" ht="23" customHeight="1">
      <x:c r="A947" s="17" t="str">
        <x:v>U00941</x:v>
      </x:c>
      <x:c r="B947" s="18" t="n">
        <x:v>46281</x:v>
      </x:c>
      <x:c r="C947" s="17" t="str">
        <x:v>W0092</x:v>
      </x:c>
      <x:c r="D947" s="17" t="str">
        <x:v>C002</x:v>
      </x:c>
      <x:c r="E947" s="17" t="str">
        <x:v>CopyStudio</x:v>
      </x:c>
      <x:c r="F947" s="17" t="str">
        <x:v>Lite</x:v>
      </x:c>
      <x:c r="G947" s="17" t="n">
        <x:v>22900</x:v>
      </x:c>
      <x:c r="H947" s="17" t="n">
        <x:v>9625</x:v>
      </x:c>
      <x:c r="I947" s="17" t="str">
        <x:v>Correction</x:v>
      </x:c>
      <x:c r="J947" s="27" t="n">
        <x:f>INDEX('Model Pricing'!$B$7:$B$8,MATCH(F947,'Model Pricing'!$A$7:$A$8,0))</x:f>
        <x:v>10</x:v>
      </x:c>
      <x:c r="K947" s="27" t="n">
        <x:f>INDEX('Model Pricing'!$C$7:$C$8,MATCH(F947,'Model Pricing'!$A$7:$A$8,0))</x:f>
        <x:v>30</x:v>
      </x:c>
      <x:c r="L947" s="17" t="n">
        <x:f>G947+H947</x:f>
        <x:v>32525</x:v>
      </x:c>
      <x:c r="M947" s="28" t="n">
        <x:f>G947*J947/1000000</x:f>
        <x:v>0.229</x:v>
      </x:c>
      <x:c r="N947" s="28" t="n">
        <x:f>H947*K947/1000000</x:f>
        <x:v>0.28875</x:v>
      </x:c>
      <x:c r="O947" s="28" t="n">
        <x:f>SUM(M947:N947)</x:f>
        <x:v>0.51775</x:v>
      </x:c>
    </x:row>
    <x:row r="948" ht="23" customHeight="1">
      <x:c r="A948" s="17" t="str">
        <x:v>U00942</x:v>
      </x:c>
      <x:c r="B948" s="18" t="n">
        <x:v>46287</x:v>
      </x:c>
      <x:c r="C948" s="17" t="str">
        <x:v>W0093</x:v>
      </x:c>
      <x:c r="D948" s="17" t="str">
        <x:v>C002</x:v>
      </x:c>
      <x:c r="E948" s="17" t="str">
        <x:v>CampaignChat</x:v>
      </x:c>
      <x:c r="F948" s="17" t="str">
        <x:v>Lite</x:v>
      </x:c>
      <x:c r="G948" s="17" t="n">
        <x:v>19650</x:v>
      </x:c>
      <x:c r="H948" s="17" t="n">
        <x:v>8491</x:v>
      </x:c>
      <x:c r="I948" s="17" t="str">
        <x:v>First attempt</x:v>
      </x:c>
      <x:c r="J948" s="27" t="n">
        <x:f>INDEX('Model Pricing'!$B$7:$B$8,MATCH(F948,'Model Pricing'!$A$7:$A$8,0))</x:f>
        <x:v>10</x:v>
      </x:c>
      <x:c r="K948" s="27" t="n">
        <x:f>INDEX('Model Pricing'!$C$7:$C$8,MATCH(F948,'Model Pricing'!$A$7:$A$8,0))</x:f>
        <x:v>30</x:v>
      </x:c>
      <x:c r="L948" s="17" t="n">
        <x:f>G948+H948</x:f>
        <x:v>28141</x:v>
      </x:c>
      <x:c r="M948" s="28" t="n">
        <x:f>G948*J948/1000000</x:f>
        <x:v>0.1965</x:v>
      </x:c>
      <x:c r="N948" s="28" t="n">
        <x:f>H948*K948/1000000</x:f>
        <x:v>0.25473</x:v>
      </x:c>
      <x:c r="O948" s="28" t="n">
        <x:f>SUM(M948:N948)</x:f>
        <x:v>0.45123</x:v>
      </x:c>
    </x:row>
    <x:row r="949" ht="23" customHeight="1">
      <x:c r="A949" s="17" t="str">
        <x:v>U00943</x:v>
      </x:c>
      <x:c r="B949" s="18" t="n">
        <x:v>46287</x:v>
      </x:c>
      <x:c r="C949" s="17" t="str">
        <x:v>W0093</x:v>
      </x:c>
      <x:c r="D949" s="17" t="str">
        <x:v>C002</x:v>
      </x:c>
      <x:c r="E949" s="17" t="str">
        <x:v>CampaignChat</x:v>
      </x:c>
      <x:c r="F949" s="17" t="str">
        <x:v>Lite</x:v>
      </x:c>
      <x:c r="G949" s="17" t="n">
        <x:v>21949</x:v>
      </x:c>
      <x:c r="H949" s="17" t="n">
        <x:v>6728</x:v>
      </x:c>
      <x:c r="I949" s="17" t="str">
        <x:v>Followup</x:v>
      </x:c>
      <x:c r="J949" s="27" t="n">
        <x:f>INDEX('Model Pricing'!$B$7:$B$8,MATCH(F949,'Model Pricing'!$A$7:$A$8,0))</x:f>
        <x:v>10</x:v>
      </x:c>
      <x:c r="K949" s="27" t="n">
        <x:f>INDEX('Model Pricing'!$C$7:$C$8,MATCH(F949,'Model Pricing'!$A$7:$A$8,0))</x:f>
        <x:v>30</x:v>
      </x:c>
      <x:c r="L949" s="17" t="n">
        <x:f>G949+H949</x:f>
        <x:v>28677</x:v>
      </x:c>
      <x:c r="M949" s="28" t="n">
        <x:f>G949*J949/1000000</x:f>
        <x:v>0.21949</x:v>
      </x:c>
      <x:c r="N949" s="28" t="n">
        <x:f>H949*K949/1000000</x:f>
        <x:v>0.20184</x:v>
      </x:c>
      <x:c r="O949" s="28" t="n">
        <x:f>SUM(M949:N949)</x:f>
        <x:v>0.42133</x:v>
      </x:c>
    </x:row>
    <x:row r="950" ht="23" customHeight="1">
      <x:c r="A950" s="17" t="str">
        <x:v>U00944</x:v>
      </x:c>
      <x:c r="B950" s="18" t="n">
        <x:v>46287</x:v>
      </x:c>
      <x:c r="C950" s="17" t="str">
        <x:v>W0093</x:v>
      </x:c>
      <x:c r="D950" s="17" t="str">
        <x:v>C002</x:v>
      </x:c>
      <x:c r="E950" s="17" t="str">
        <x:v>CampaignChat</x:v>
      </x:c>
      <x:c r="F950" s="17" t="str">
        <x:v>Lite</x:v>
      </x:c>
      <x:c r="G950" s="17" t="n">
        <x:v>15298</x:v>
      </x:c>
      <x:c r="H950" s="17" t="n">
        <x:v>10683</x:v>
      </x:c>
      <x:c r="I950" s="17" t="str">
        <x:v>Followup</x:v>
      </x:c>
      <x:c r="J950" s="27" t="n">
        <x:f>INDEX('Model Pricing'!$B$7:$B$8,MATCH(F950,'Model Pricing'!$A$7:$A$8,0))</x:f>
        <x:v>10</x:v>
      </x:c>
      <x:c r="K950" s="27" t="n">
        <x:f>INDEX('Model Pricing'!$C$7:$C$8,MATCH(F950,'Model Pricing'!$A$7:$A$8,0))</x:f>
        <x:v>30</x:v>
      </x:c>
      <x:c r="L950" s="17" t="n">
        <x:f>G950+H950</x:f>
        <x:v>25981</x:v>
      </x:c>
      <x:c r="M950" s="28" t="n">
        <x:f>G950*J950/1000000</x:f>
        <x:v>0.15298</x:v>
      </x:c>
      <x:c r="N950" s="28" t="n">
        <x:f>H950*K950/1000000</x:f>
        <x:v>0.32049</x:v>
      </x:c>
      <x:c r="O950" s="28" t="n">
        <x:f>SUM(M950:N950)</x:f>
        <x:v>0.47347</x:v>
      </x:c>
    </x:row>
    <x:row r="951" ht="23" customHeight="1">
      <x:c r="A951" s="17" t="str">
        <x:v>U00945</x:v>
      </x:c>
      <x:c r="B951" s="18" t="n">
        <x:v>46287</x:v>
      </x:c>
      <x:c r="C951" s="17" t="str">
        <x:v>W0093</x:v>
      </x:c>
      <x:c r="D951" s="17" t="str">
        <x:v>C002</x:v>
      </x:c>
      <x:c r="E951" s="17" t="str">
        <x:v>CampaignChat</x:v>
      </x:c>
      <x:c r="F951" s="17" t="str">
        <x:v>Lite</x:v>
      </x:c>
      <x:c r="G951" s="17" t="n">
        <x:v>30921</x:v>
      </x:c>
      <x:c r="H951" s="17" t="n">
        <x:v>4184</x:v>
      </x:c>
      <x:c r="I951" s="17" t="str">
        <x:v>Followup</x:v>
      </x:c>
      <x:c r="J951" s="27" t="n">
        <x:f>INDEX('Model Pricing'!$B$7:$B$8,MATCH(F951,'Model Pricing'!$A$7:$A$8,0))</x:f>
        <x:v>10</x:v>
      </x:c>
      <x:c r="K951" s="27" t="n">
        <x:f>INDEX('Model Pricing'!$C$7:$C$8,MATCH(F951,'Model Pricing'!$A$7:$A$8,0))</x:f>
        <x:v>30</x:v>
      </x:c>
      <x:c r="L951" s="17" t="n">
        <x:f>G951+H951</x:f>
        <x:v>35105</x:v>
      </x:c>
      <x:c r="M951" s="28" t="n">
        <x:f>G951*J951/1000000</x:f>
        <x:v>0.30921</x:v>
      </x:c>
      <x:c r="N951" s="28" t="n">
        <x:f>H951*K951/1000000</x:f>
        <x:v>0.12552</x:v>
      </x:c>
      <x:c r="O951" s="28" t="n">
        <x:f>SUM(M951:N951)</x:f>
        <x:v>0.43472999999999995</x:v>
      </x:c>
    </x:row>
    <x:row r="952" ht="23" customHeight="1">
      <x:c r="A952" s="17" t="str">
        <x:v>U00946</x:v>
      </x:c>
      <x:c r="B952" s="18" t="n">
        <x:v>46287</x:v>
      </x:c>
      <x:c r="C952" s="17" t="str">
        <x:v>W0093</x:v>
      </x:c>
      <x:c r="D952" s="17" t="str">
        <x:v>C002</x:v>
      </x:c>
      <x:c r="E952" s="17" t="str">
        <x:v>CampaignChat</x:v>
      </x:c>
      <x:c r="F952" s="17" t="str">
        <x:v>Lite</x:v>
      </x:c>
      <x:c r="G952" s="17" t="n">
        <x:v>26798</x:v>
      </x:c>
      <x:c r="H952" s="17" t="n">
        <x:v>4047</x:v>
      </x:c>
      <x:c r="I952" s="17" t="str">
        <x:v>Correction</x:v>
      </x:c>
      <x:c r="J952" s="27" t="n">
        <x:f>INDEX('Model Pricing'!$B$7:$B$8,MATCH(F952,'Model Pricing'!$A$7:$A$8,0))</x:f>
        <x:v>10</x:v>
      </x:c>
      <x:c r="K952" s="27" t="n">
        <x:f>INDEX('Model Pricing'!$C$7:$C$8,MATCH(F952,'Model Pricing'!$A$7:$A$8,0))</x:f>
        <x:v>30</x:v>
      </x:c>
      <x:c r="L952" s="17" t="n">
        <x:f>G952+H952</x:f>
        <x:v>30845</x:v>
      </x:c>
      <x:c r="M952" s="28" t="n">
        <x:f>G952*J952/1000000</x:f>
        <x:v>0.26798</x:v>
      </x:c>
      <x:c r="N952" s="28" t="n">
        <x:f>H952*K952/1000000</x:f>
        <x:v>0.12141</x:v>
      </x:c>
      <x:c r="O952" s="28" t="n">
        <x:f>SUM(M952:N952)</x:f>
        <x:v>0.38939</x:v>
      </x:c>
    </x:row>
    <x:row r="953" ht="23" customHeight="1">
      <x:c r="A953" s="17" t="str">
        <x:v>U00947</x:v>
      </x:c>
      <x:c r="B953" s="18" t="n">
        <x:v>46287</x:v>
      </x:c>
      <x:c r="C953" s="17" t="str">
        <x:v>W0093</x:v>
      </x:c>
      <x:c r="D953" s="17" t="str">
        <x:v>C002</x:v>
      </x:c>
      <x:c r="E953" s="17" t="str">
        <x:v>CampaignChat</x:v>
      </x:c>
      <x:c r="F953" s="17" t="str">
        <x:v>Lite</x:v>
      </x:c>
      <x:c r="G953" s="17" t="n">
        <x:v>21017</x:v>
      </x:c>
      <x:c r="H953" s="17" t="n">
        <x:v>7195</x:v>
      </x:c>
      <x:c r="I953" s="17" t="str">
        <x:v>Correction</x:v>
      </x:c>
      <x:c r="J953" s="27" t="n">
        <x:f>INDEX('Model Pricing'!$B$7:$B$8,MATCH(F953,'Model Pricing'!$A$7:$A$8,0))</x:f>
        <x:v>10</x:v>
      </x:c>
      <x:c r="K953" s="27" t="n">
        <x:f>INDEX('Model Pricing'!$C$7:$C$8,MATCH(F953,'Model Pricing'!$A$7:$A$8,0))</x:f>
        <x:v>30</x:v>
      </x:c>
      <x:c r="L953" s="17" t="n">
        <x:f>G953+H953</x:f>
        <x:v>28212</x:v>
      </x:c>
      <x:c r="M953" s="28" t="n">
        <x:f>G953*J953/1000000</x:f>
        <x:v>0.21017</x:v>
      </x:c>
      <x:c r="N953" s="28" t="n">
        <x:f>H953*K953/1000000</x:f>
        <x:v>0.21585</x:v>
      </x:c>
      <x:c r="O953" s="28" t="n">
        <x:f>SUM(M953:N953)</x:f>
        <x:v>0.42601999999999995</x:v>
      </x:c>
    </x:row>
    <x:row r="954" ht="23" customHeight="1">
      <x:c r="A954" s="17" t="str">
        <x:v>U00948</x:v>
      </x:c>
      <x:c r="B954" s="18" t="n">
        <x:v>46288</x:v>
      </x:c>
      <x:c r="C954" s="17" t="str">
        <x:v>W0093</x:v>
      </x:c>
      <x:c r="D954" s="17" t="str">
        <x:v>C002</x:v>
      </x:c>
      <x:c r="E954" s="17" t="str">
        <x:v>CampaignChat</x:v>
      </x:c>
      <x:c r="F954" s="17" t="str">
        <x:v>Lite</x:v>
      </x:c>
      <x:c r="G954" s="17" t="n">
        <x:v>33269</x:v>
      </x:c>
      <x:c r="H954" s="17" t="n">
        <x:v>7524</x:v>
      </x:c>
      <x:c r="I954" s="17" t="str">
        <x:v>Followup</x:v>
      </x:c>
      <x:c r="J954" s="27" t="n">
        <x:f>INDEX('Model Pricing'!$B$7:$B$8,MATCH(F954,'Model Pricing'!$A$7:$A$8,0))</x:f>
        <x:v>10</x:v>
      </x:c>
      <x:c r="K954" s="27" t="n">
        <x:f>INDEX('Model Pricing'!$C$7:$C$8,MATCH(F954,'Model Pricing'!$A$7:$A$8,0))</x:f>
        <x:v>30</x:v>
      </x:c>
      <x:c r="L954" s="17" t="n">
        <x:f>G954+H954</x:f>
        <x:v>40793</x:v>
      </x:c>
      <x:c r="M954" s="28" t="n">
        <x:f>G954*J954/1000000</x:f>
        <x:v>0.33269</x:v>
      </x:c>
      <x:c r="N954" s="28" t="n">
        <x:f>H954*K954/1000000</x:f>
        <x:v>0.22572</x:v>
      </x:c>
      <x:c r="O954" s="28" t="n">
        <x:f>SUM(M954:N954)</x:f>
        <x:v>0.55841</x:v>
      </x:c>
    </x:row>
    <x:row r="955" ht="23" customHeight="1">
      <x:c r="A955" s="17" t="str">
        <x:v>U00949</x:v>
      </x:c>
      <x:c r="B955" s="18" t="n">
        <x:v>46288</x:v>
      </x:c>
      <x:c r="C955" s="17" t="str">
        <x:v>W0093</x:v>
      </x:c>
      <x:c r="D955" s="17" t="str">
        <x:v>C002</x:v>
      </x:c>
      <x:c r="E955" s="17" t="str">
        <x:v>CampaignChat</x:v>
      </x:c>
      <x:c r="F955" s="17" t="str">
        <x:v>Lite</x:v>
      </x:c>
      <x:c r="G955" s="17" t="n">
        <x:v>28401</x:v>
      </x:c>
      <x:c r="H955" s="17" t="n">
        <x:v>6032</x:v>
      </x:c>
      <x:c r="I955" s="17" t="str">
        <x:v>Followup</x:v>
      </x:c>
      <x:c r="J955" s="27" t="n">
        <x:f>INDEX('Model Pricing'!$B$7:$B$8,MATCH(F955,'Model Pricing'!$A$7:$A$8,0))</x:f>
        <x:v>10</x:v>
      </x:c>
      <x:c r="K955" s="27" t="n">
        <x:f>INDEX('Model Pricing'!$C$7:$C$8,MATCH(F955,'Model Pricing'!$A$7:$A$8,0))</x:f>
        <x:v>30</x:v>
      </x:c>
      <x:c r="L955" s="17" t="n">
        <x:f>G955+H955</x:f>
        <x:v>34433</x:v>
      </x:c>
      <x:c r="M955" s="28" t="n">
        <x:f>G955*J955/1000000</x:f>
        <x:v>0.28401</x:v>
      </x:c>
      <x:c r="N955" s="28" t="n">
        <x:f>H955*K955/1000000</x:f>
        <x:v>0.18096</x:v>
      </x:c>
      <x:c r="O955" s="28" t="n">
        <x:f>SUM(M955:N955)</x:f>
        <x:v>0.46497</x:v>
      </x:c>
    </x:row>
    <x:row r="956" ht="23" customHeight="1">
      <x:c r="A956" s="17" t="str">
        <x:v>U00950</x:v>
      </x:c>
      <x:c r="B956" s="18" t="n">
        <x:v>46288</x:v>
      </x:c>
      <x:c r="C956" s="17" t="str">
        <x:v>W0093</x:v>
      </x:c>
      <x:c r="D956" s="17" t="str">
        <x:v>C002</x:v>
      </x:c>
      <x:c r="E956" s="17" t="str">
        <x:v>CampaignChat</x:v>
      </x:c>
      <x:c r="F956" s="17" t="str">
        <x:v>Lite</x:v>
      </x:c>
      <x:c r="G956" s="17" t="n">
        <x:v>12364</x:v>
      </x:c>
      <x:c r="H956" s="17" t="n">
        <x:v>7240</x:v>
      </x:c>
      <x:c r="I956" s="17" t="str">
        <x:v>Followup</x:v>
      </x:c>
      <x:c r="J956" s="27" t="n">
        <x:f>INDEX('Model Pricing'!$B$7:$B$8,MATCH(F956,'Model Pricing'!$A$7:$A$8,0))</x:f>
        <x:v>10</x:v>
      </x:c>
      <x:c r="K956" s="27" t="n">
        <x:f>INDEX('Model Pricing'!$C$7:$C$8,MATCH(F956,'Model Pricing'!$A$7:$A$8,0))</x:f>
        <x:v>30</x:v>
      </x:c>
      <x:c r="L956" s="17" t="n">
        <x:f>G956+H956</x:f>
        <x:v>19604</x:v>
      </x:c>
      <x:c r="M956" s="28" t="n">
        <x:f>G956*J956/1000000</x:f>
        <x:v>0.12364</x:v>
      </x:c>
      <x:c r="N956" s="28" t="n">
        <x:f>H956*K956/1000000</x:f>
        <x:v>0.2172</x:v>
      </x:c>
      <x:c r="O956" s="28" t="n">
        <x:f>SUM(M956:N956)</x:f>
        <x:v>0.34084000000000003</x:v>
      </x:c>
    </x:row>
    <x:row r="957" ht="23" customHeight="1">
      <x:c r="A957" s="17" t="str">
        <x:v>U00951</x:v>
      </x:c>
      <x:c r="B957" s="18" t="n">
        <x:v>46288</x:v>
      </x:c>
      <x:c r="C957" s="17" t="str">
        <x:v>W0093</x:v>
      </x:c>
      <x:c r="D957" s="17" t="str">
        <x:v>C002</x:v>
      </x:c>
      <x:c r="E957" s="17" t="str">
        <x:v>CampaignChat</x:v>
      </x:c>
      <x:c r="F957" s="17" t="str">
        <x:v>Lite</x:v>
      </x:c>
      <x:c r="G957" s="17" t="n">
        <x:v>33125</x:v>
      </x:c>
      <x:c r="H957" s="17" t="n">
        <x:v>7867</x:v>
      </x:c>
      <x:c r="I957" s="17" t="str">
        <x:v>Followup</x:v>
      </x:c>
      <x:c r="J957" s="27" t="n">
        <x:f>INDEX('Model Pricing'!$B$7:$B$8,MATCH(F957,'Model Pricing'!$A$7:$A$8,0))</x:f>
        <x:v>10</x:v>
      </x:c>
      <x:c r="K957" s="27" t="n">
        <x:f>INDEX('Model Pricing'!$C$7:$C$8,MATCH(F957,'Model Pricing'!$A$7:$A$8,0))</x:f>
        <x:v>30</x:v>
      </x:c>
      <x:c r="L957" s="17" t="n">
        <x:f>G957+H957</x:f>
        <x:v>40992</x:v>
      </x:c>
      <x:c r="M957" s="28" t="n">
        <x:f>G957*J957/1000000</x:f>
        <x:v>0.33125</x:v>
      </x:c>
      <x:c r="N957" s="28" t="n">
        <x:f>H957*K957/1000000</x:f>
        <x:v>0.23601</x:v>
      </x:c>
      <x:c r="O957" s="28" t="n">
        <x:f>SUM(M957:N957)</x:f>
        <x:v>0.56726</x:v>
      </x:c>
    </x:row>
    <x:row r="958" ht="23" customHeight="1">
      <x:c r="A958" s="17" t="str">
        <x:v>U00952</x:v>
      </x:c>
      <x:c r="B958" s="18" t="n">
        <x:v>46288</x:v>
      </x:c>
      <x:c r="C958" s="17" t="str">
        <x:v>W0093</x:v>
      </x:c>
      <x:c r="D958" s="17" t="str">
        <x:v>C002</x:v>
      </x:c>
      <x:c r="E958" s="17" t="str">
        <x:v>CampaignChat</x:v>
      </x:c>
      <x:c r="F958" s="17" t="str">
        <x:v>Lite</x:v>
      </x:c>
      <x:c r="G958" s="17" t="n">
        <x:v>16138</x:v>
      </x:c>
      <x:c r="H958" s="17" t="n">
        <x:v>8252</x:v>
      </x:c>
      <x:c r="I958" s="17" t="str">
        <x:v>Correction</x:v>
      </x:c>
      <x:c r="J958" s="27" t="n">
        <x:f>INDEX('Model Pricing'!$B$7:$B$8,MATCH(F958,'Model Pricing'!$A$7:$A$8,0))</x:f>
        <x:v>10</x:v>
      </x:c>
      <x:c r="K958" s="27" t="n">
        <x:f>INDEX('Model Pricing'!$C$7:$C$8,MATCH(F958,'Model Pricing'!$A$7:$A$8,0))</x:f>
        <x:v>30</x:v>
      </x:c>
      <x:c r="L958" s="17" t="n">
        <x:f>G958+H958</x:f>
        <x:v>24390</x:v>
      </x:c>
      <x:c r="M958" s="28" t="n">
        <x:f>G958*J958/1000000</x:f>
        <x:v>0.16138</x:v>
      </x:c>
      <x:c r="N958" s="28" t="n">
        <x:f>H958*K958/1000000</x:f>
        <x:v>0.24756</x:v>
      </x:c>
      <x:c r="O958" s="28" t="n">
        <x:f>SUM(M958:N958)</x:f>
        <x:v>0.40893999999999997</x:v>
      </x:c>
    </x:row>
    <x:row r="959" ht="23" customHeight="1">
      <x:c r="A959" s="17" t="str">
        <x:v>U00953</x:v>
      </x:c>
      <x:c r="B959" s="18" t="n">
        <x:v>46289</x:v>
      </x:c>
      <x:c r="C959" s="17" t="str">
        <x:v>W0093</x:v>
      </x:c>
      <x:c r="D959" s="17" t="str">
        <x:v>C002</x:v>
      </x:c>
      <x:c r="E959" s="17" t="str">
        <x:v>CampaignChat</x:v>
      </x:c>
      <x:c r="F959" s="17" t="str">
        <x:v>Lite</x:v>
      </x:c>
      <x:c r="G959" s="17" t="n">
        <x:v>30858</x:v>
      </x:c>
      <x:c r="H959" s="17" t="n">
        <x:v>3370</x:v>
      </x:c>
      <x:c r="I959" s="17" t="str">
        <x:v>Followup</x:v>
      </x:c>
      <x:c r="J959" s="27" t="n">
        <x:f>INDEX('Model Pricing'!$B$7:$B$8,MATCH(F959,'Model Pricing'!$A$7:$A$8,0))</x:f>
        <x:v>10</x:v>
      </x:c>
      <x:c r="K959" s="27" t="n">
        <x:f>INDEX('Model Pricing'!$C$7:$C$8,MATCH(F959,'Model Pricing'!$A$7:$A$8,0))</x:f>
        <x:v>30</x:v>
      </x:c>
      <x:c r="L959" s="17" t="n">
        <x:f>G959+H959</x:f>
        <x:v>34228</x:v>
      </x:c>
      <x:c r="M959" s="28" t="n">
        <x:f>G959*J959/1000000</x:f>
        <x:v>0.30858</x:v>
      </x:c>
      <x:c r="N959" s="28" t="n">
        <x:f>H959*K959/1000000</x:f>
        <x:v>0.1011</x:v>
      </x:c>
      <x:c r="O959" s="28" t="n">
        <x:f>SUM(M959:N959)</x:f>
        <x:v>0.40968000000000004</x:v>
      </x:c>
    </x:row>
    <x:row r="960" ht="23" customHeight="1">
      <x:c r="A960" s="17" t="str">
        <x:v>U00954</x:v>
      </x:c>
      <x:c r="B960" s="18" t="n">
        <x:v>46289</x:v>
      </x:c>
      <x:c r="C960" s="17" t="str">
        <x:v>W0093</x:v>
      </x:c>
      <x:c r="D960" s="17" t="str">
        <x:v>C002</x:v>
      </x:c>
      <x:c r="E960" s="17" t="str">
        <x:v>CampaignChat</x:v>
      </x:c>
      <x:c r="F960" s="17" t="str">
        <x:v>Lite</x:v>
      </x:c>
      <x:c r="G960" s="17" t="n">
        <x:v>35707</x:v>
      </x:c>
      <x:c r="H960" s="17" t="n">
        <x:v>5290</x:v>
      </x:c>
      <x:c r="I960" s="17" t="str">
        <x:v>Followup</x:v>
      </x:c>
      <x:c r="J960" s="27" t="n">
        <x:f>INDEX('Model Pricing'!$B$7:$B$8,MATCH(F960,'Model Pricing'!$A$7:$A$8,0))</x:f>
        <x:v>10</x:v>
      </x:c>
      <x:c r="K960" s="27" t="n">
        <x:f>INDEX('Model Pricing'!$C$7:$C$8,MATCH(F960,'Model Pricing'!$A$7:$A$8,0))</x:f>
        <x:v>30</x:v>
      </x:c>
      <x:c r="L960" s="17" t="n">
        <x:f>G960+H960</x:f>
        <x:v>40997</x:v>
      </x:c>
      <x:c r="M960" s="28" t="n">
        <x:f>G960*J960/1000000</x:f>
        <x:v>0.35707</x:v>
      </x:c>
      <x:c r="N960" s="28" t="n">
        <x:f>H960*K960/1000000</x:f>
        <x:v>0.1587</x:v>
      </x:c>
      <x:c r="O960" s="28" t="n">
        <x:f>SUM(M960:N960)</x:f>
        <x:v>0.5157700000000001</x:v>
      </x:c>
    </x:row>
    <x:row r="961" ht="23" customHeight="1">
      <x:c r="A961" s="17" t="str">
        <x:v>U00955</x:v>
      </x:c>
      <x:c r="B961" s="18" t="n">
        <x:v>46289</x:v>
      </x:c>
      <x:c r="C961" s="17" t="str">
        <x:v>W0093</x:v>
      </x:c>
      <x:c r="D961" s="17" t="str">
        <x:v>C002</x:v>
      </x:c>
      <x:c r="E961" s="17" t="str">
        <x:v>CampaignChat</x:v>
      </x:c>
      <x:c r="F961" s="17" t="str">
        <x:v>Lite</x:v>
      </x:c>
      <x:c r="G961" s="17" t="n">
        <x:v>18592</x:v>
      </x:c>
      <x:c r="H961" s="17" t="n">
        <x:v>9279</x:v>
      </x:c>
      <x:c r="I961" s="17" t="str">
        <x:v>Followup</x:v>
      </x:c>
      <x:c r="J961" s="27" t="n">
        <x:f>INDEX('Model Pricing'!$B$7:$B$8,MATCH(F961,'Model Pricing'!$A$7:$A$8,0))</x:f>
        <x:v>10</x:v>
      </x:c>
      <x:c r="K961" s="27" t="n">
        <x:f>INDEX('Model Pricing'!$C$7:$C$8,MATCH(F961,'Model Pricing'!$A$7:$A$8,0))</x:f>
        <x:v>30</x:v>
      </x:c>
      <x:c r="L961" s="17" t="n">
        <x:f>G961+H961</x:f>
        <x:v>27871</x:v>
      </x:c>
      <x:c r="M961" s="28" t="n">
        <x:f>G961*J961/1000000</x:f>
        <x:v>0.18592</x:v>
      </x:c>
      <x:c r="N961" s="28" t="n">
        <x:f>H961*K961/1000000</x:f>
        <x:v>0.27837</x:v>
      </x:c>
      <x:c r="O961" s="28" t="n">
        <x:f>SUM(M961:N961)</x:f>
        <x:v>0.46429</x:v>
      </x:c>
    </x:row>
    <x:row r="962" ht="23" customHeight="1">
      <x:c r="A962" s="17" t="str">
        <x:v>U00956</x:v>
      </x:c>
      <x:c r="B962" s="18" t="n">
        <x:v>46289</x:v>
      </x:c>
      <x:c r="C962" s="17" t="str">
        <x:v>W0093</x:v>
      </x:c>
      <x:c r="D962" s="17" t="str">
        <x:v>C002</x:v>
      </x:c>
      <x:c r="E962" s="17" t="str">
        <x:v>CampaignChat</x:v>
      </x:c>
      <x:c r="F962" s="17" t="str">
        <x:v>Lite</x:v>
      </x:c>
      <x:c r="G962" s="17" t="n">
        <x:v>21368</x:v>
      </x:c>
      <x:c r="H962" s="17" t="n">
        <x:v>10907</x:v>
      </x:c>
      <x:c r="I962" s="17" t="str">
        <x:v>Followup</x:v>
      </x:c>
      <x:c r="J962" s="27" t="n">
        <x:f>INDEX('Model Pricing'!$B$7:$B$8,MATCH(F962,'Model Pricing'!$A$7:$A$8,0))</x:f>
        <x:v>10</x:v>
      </x:c>
      <x:c r="K962" s="27" t="n">
        <x:f>INDEX('Model Pricing'!$C$7:$C$8,MATCH(F962,'Model Pricing'!$A$7:$A$8,0))</x:f>
        <x:v>30</x:v>
      </x:c>
      <x:c r="L962" s="17" t="n">
        <x:f>G962+H962</x:f>
        <x:v>32275</x:v>
      </x:c>
      <x:c r="M962" s="28" t="n">
        <x:f>G962*J962/1000000</x:f>
        <x:v>0.21368</x:v>
      </x:c>
      <x:c r="N962" s="28" t="n">
        <x:f>H962*K962/1000000</x:f>
        <x:v>0.32721</x:v>
      </x:c>
      <x:c r="O962" s="28" t="n">
        <x:f>SUM(M962:N962)</x:f>
        <x:v>0.54089</x:v>
      </x:c>
    </x:row>
    <x:row r="963" ht="23" customHeight="1">
      <x:c r="A963" s="17" t="str">
        <x:v>U00957</x:v>
      </x:c>
      <x:c r="B963" s="18" t="n">
        <x:v>46289</x:v>
      </x:c>
      <x:c r="C963" s="17" t="str">
        <x:v>W0093</x:v>
      </x:c>
      <x:c r="D963" s="17" t="str">
        <x:v>C002</x:v>
      </x:c>
      <x:c r="E963" s="17" t="str">
        <x:v>CampaignChat</x:v>
      </x:c>
      <x:c r="F963" s="17" t="str">
        <x:v>Lite</x:v>
      </x:c>
      <x:c r="G963" s="17" t="n">
        <x:v>22943</x:v>
      </x:c>
      <x:c r="H963" s="17" t="n">
        <x:v>10700</x:v>
      </x:c>
      <x:c r="I963" s="17" t="str">
        <x:v>Followup</x:v>
      </x:c>
      <x:c r="J963" s="27" t="n">
        <x:f>INDEX('Model Pricing'!$B$7:$B$8,MATCH(F963,'Model Pricing'!$A$7:$A$8,0))</x:f>
        <x:v>10</x:v>
      </x:c>
      <x:c r="K963" s="27" t="n">
        <x:f>INDEX('Model Pricing'!$C$7:$C$8,MATCH(F963,'Model Pricing'!$A$7:$A$8,0))</x:f>
        <x:v>30</x:v>
      </x:c>
      <x:c r="L963" s="17" t="n">
        <x:f>G963+H963</x:f>
        <x:v>33643</x:v>
      </x:c>
      <x:c r="M963" s="28" t="n">
        <x:f>G963*J963/1000000</x:f>
        <x:v>0.22943</x:v>
      </x:c>
      <x:c r="N963" s="28" t="n">
        <x:f>H963*K963/1000000</x:f>
        <x:v>0.321</x:v>
      </x:c>
      <x:c r="O963" s="28" t="n">
        <x:f>SUM(M963:N963)</x:f>
        <x:v>0.55043</x:v>
      </x:c>
    </x:row>
    <x:row r="964" ht="23" customHeight="1">
      <x:c r="A964" s="17" t="str">
        <x:v>U00958</x:v>
      </x:c>
      <x:c r="B964" s="18" t="n">
        <x:v>46289</x:v>
      </x:c>
      <x:c r="C964" s="17" t="str">
        <x:v>W0093</x:v>
      </x:c>
      <x:c r="D964" s="17" t="str">
        <x:v>C002</x:v>
      </x:c>
      <x:c r="E964" s="17" t="str">
        <x:v>CampaignChat</x:v>
      </x:c>
      <x:c r="F964" s="17" t="str">
        <x:v>Lite</x:v>
      </x:c>
      <x:c r="G964" s="17" t="n">
        <x:v>22587</x:v>
      </x:c>
      <x:c r="H964" s="17" t="n">
        <x:v>4753</x:v>
      </x:c>
      <x:c r="I964" s="17" t="str">
        <x:v>Correction</x:v>
      </x:c>
      <x:c r="J964" s="27" t="n">
        <x:f>INDEX('Model Pricing'!$B$7:$B$8,MATCH(F964,'Model Pricing'!$A$7:$A$8,0))</x:f>
        <x:v>10</x:v>
      </x:c>
      <x:c r="K964" s="27" t="n">
        <x:f>INDEX('Model Pricing'!$C$7:$C$8,MATCH(F964,'Model Pricing'!$A$7:$A$8,0))</x:f>
        <x:v>30</x:v>
      </x:c>
      <x:c r="L964" s="17" t="n">
        <x:f>G964+H964</x:f>
        <x:v>27340</x:v>
      </x:c>
      <x:c r="M964" s="28" t="n">
        <x:f>G964*J964/1000000</x:f>
        <x:v>0.22587</x:v>
      </x:c>
      <x:c r="N964" s="28" t="n">
        <x:f>H964*K964/1000000</x:f>
        <x:v>0.14259</x:v>
      </x:c>
      <x:c r="O964" s="28" t="n">
        <x:f>SUM(M964:N964)</x:f>
        <x:v>0.36846</x:v>
      </x:c>
    </x:row>
    <x:row r="965" ht="23" customHeight="1">
      <x:c r="A965" s="17" t="str">
        <x:v>U00959</x:v>
      </x:c>
      <x:c r="B965" s="18" t="n">
        <x:v>46290</x:v>
      </x:c>
      <x:c r="C965" s="17" t="str">
        <x:v>W0093</x:v>
      </x:c>
      <x:c r="D965" s="17" t="str">
        <x:v>C002</x:v>
      </x:c>
      <x:c r="E965" s="17" t="str">
        <x:v>CampaignChat</x:v>
      </x:c>
      <x:c r="F965" s="17" t="str">
        <x:v>Lite</x:v>
      </x:c>
      <x:c r="G965" s="17" t="n">
        <x:v>33564</x:v>
      </x:c>
      <x:c r="H965" s="17" t="n">
        <x:v>3524</x:v>
      </x:c>
      <x:c r="I965" s="17" t="str">
        <x:v>Followup</x:v>
      </x:c>
      <x:c r="J965" s="27" t="n">
        <x:f>INDEX('Model Pricing'!$B$7:$B$8,MATCH(F965,'Model Pricing'!$A$7:$A$8,0))</x:f>
        <x:v>10</x:v>
      </x:c>
      <x:c r="K965" s="27" t="n">
        <x:f>INDEX('Model Pricing'!$C$7:$C$8,MATCH(F965,'Model Pricing'!$A$7:$A$8,0))</x:f>
        <x:v>30</x:v>
      </x:c>
      <x:c r="L965" s="17" t="n">
        <x:f>G965+H965</x:f>
        <x:v>37088</x:v>
      </x:c>
      <x:c r="M965" s="28" t="n">
        <x:f>G965*J965/1000000</x:f>
        <x:v>0.33564</x:v>
      </x:c>
      <x:c r="N965" s="28" t="n">
        <x:f>H965*K965/1000000</x:f>
        <x:v>0.10572</x:v>
      </x:c>
      <x:c r="O965" s="28" t="n">
        <x:f>SUM(M965:N965)</x:f>
        <x:v>0.44136</x:v>
      </x:c>
    </x:row>
    <x:row r="966" ht="23" customHeight="1">
      <x:c r="A966" s="17" t="str">
        <x:v>U00960</x:v>
      </x:c>
      <x:c r="B966" s="18" t="n">
        <x:v>46290</x:v>
      </x:c>
      <x:c r="C966" s="17" t="str">
        <x:v>W0093</x:v>
      </x:c>
      <x:c r="D966" s="17" t="str">
        <x:v>C002</x:v>
      </x:c>
      <x:c r="E966" s="17" t="str">
        <x:v>CampaignChat</x:v>
      </x:c>
      <x:c r="F966" s="17" t="str">
        <x:v>Lite</x:v>
      </x:c>
      <x:c r="G966" s="17" t="n">
        <x:v>12976</x:v>
      </x:c>
      <x:c r="H966" s="17" t="n">
        <x:v>9868</x:v>
      </x:c>
      <x:c r="I966" s="17" t="str">
        <x:v>Correction</x:v>
      </x:c>
      <x:c r="J966" s="27" t="n">
        <x:f>INDEX('Model Pricing'!$B$7:$B$8,MATCH(F966,'Model Pricing'!$A$7:$A$8,0))</x:f>
        <x:v>10</x:v>
      </x:c>
      <x:c r="K966" s="27" t="n">
        <x:f>INDEX('Model Pricing'!$C$7:$C$8,MATCH(F966,'Model Pricing'!$A$7:$A$8,0))</x:f>
        <x:v>30</x:v>
      </x:c>
      <x:c r="L966" s="17" t="n">
        <x:f>G966+H966</x:f>
        <x:v>22844</x:v>
      </x:c>
      <x:c r="M966" s="28" t="n">
        <x:f>G966*J966/1000000</x:f>
        <x:v>0.12976</x:v>
      </x:c>
      <x:c r="N966" s="28" t="n">
        <x:f>H966*K966/1000000</x:f>
        <x:v>0.29604</x:v>
      </x:c>
      <x:c r="O966" s="28" t="n">
        <x:f>SUM(M966:N966)</x:f>
        <x:v>0.4258</x:v>
      </x:c>
    </x:row>
    <x:row r="967" ht="23" customHeight="1">
      <x:c r="A967" s="17" t="str">
        <x:v>U00961</x:v>
      </x:c>
      <x:c r="B967" s="18" t="n">
        <x:v>46290</x:v>
      </x:c>
      <x:c r="C967" s="17" t="str">
        <x:v>W0093</x:v>
      </x:c>
      <x:c r="D967" s="17" t="str">
        <x:v>C002</x:v>
      </x:c>
      <x:c r="E967" s="17" t="str">
        <x:v>CampaignChat</x:v>
      </x:c>
      <x:c r="F967" s="17" t="str">
        <x:v>Lite</x:v>
      </x:c>
      <x:c r="G967" s="17" t="n">
        <x:v>13853</x:v>
      </x:c>
      <x:c r="H967" s="17" t="n">
        <x:v>5403</x:v>
      </x:c>
      <x:c r="I967" s="17" t="str">
        <x:v>Followup</x:v>
      </x:c>
      <x:c r="J967" s="27" t="n">
        <x:f>INDEX('Model Pricing'!$B$7:$B$8,MATCH(F967,'Model Pricing'!$A$7:$A$8,0))</x:f>
        <x:v>10</x:v>
      </x:c>
      <x:c r="K967" s="27" t="n">
        <x:f>INDEX('Model Pricing'!$C$7:$C$8,MATCH(F967,'Model Pricing'!$A$7:$A$8,0))</x:f>
        <x:v>30</x:v>
      </x:c>
      <x:c r="L967" s="17" t="n">
        <x:f>G967+H967</x:f>
        <x:v>19256</x:v>
      </x:c>
      <x:c r="M967" s="28" t="n">
        <x:f>G967*J967/1000000</x:f>
        <x:v>0.13853</x:v>
      </x:c>
      <x:c r="N967" s="28" t="n">
        <x:f>H967*K967/1000000</x:f>
        <x:v>0.16209</x:v>
      </x:c>
      <x:c r="O967" s="28" t="n">
        <x:f>SUM(M967:N967)</x:f>
        <x:v>0.30062</x:v>
      </x:c>
    </x:row>
    <x:row r="968" ht="23" customHeight="1">
      <x:c r="A968" s="17" t="str">
        <x:v>U00962</x:v>
      </x:c>
      <x:c r="B968" s="18" t="n">
        <x:v>46290</x:v>
      </x:c>
      <x:c r="C968" s="17" t="str">
        <x:v>W0093</x:v>
      </x:c>
      <x:c r="D968" s="17" t="str">
        <x:v>C002</x:v>
      </x:c>
      <x:c r="E968" s="17" t="str">
        <x:v>CampaignChat</x:v>
      </x:c>
      <x:c r="F968" s="17" t="str">
        <x:v>Lite</x:v>
      </x:c>
      <x:c r="G968" s="17" t="n">
        <x:v>14389</x:v>
      </x:c>
      <x:c r="H968" s="17" t="n">
        <x:v>10850</x:v>
      </x:c>
      <x:c r="I968" s="17" t="str">
        <x:v>Correction</x:v>
      </x:c>
      <x:c r="J968" s="27" t="n">
        <x:f>INDEX('Model Pricing'!$B$7:$B$8,MATCH(F968,'Model Pricing'!$A$7:$A$8,0))</x:f>
        <x:v>10</x:v>
      </x:c>
      <x:c r="K968" s="27" t="n">
        <x:f>INDEX('Model Pricing'!$C$7:$C$8,MATCH(F968,'Model Pricing'!$A$7:$A$8,0))</x:f>
        <x:v>30</x:v>
      </x:c>
      <x:c r="L968" s="17" t="n">
        <x:f>G968+H968</x:f>
        <x:v>25239</x:v>
      </x:c>
      <x:c r="M968" s="28" t="n">
        <x:f>G968*J968/1000000</x:f>
        <x:v>0.14389</x:v>
      </x:c>
      <x:c r="N968" s="28" t="n">
        <x:f>H968*K968/1000000</x:f>
        <x:v>0.3255</x:v>
      </x:c>
      <x:c r="O968" s="28" t="n">
        <x:f>SUM(M968:N968)</x:f>
        <x:v>0.46939</x:v>
      </x:c>
    </x:row>
    <x:row r="969" ht="23" customHeight="1">
      <x:c r="A969" s="17" t="str">
        <x:v>U00963</x:v>
      </x:c>
      <x:c r="B969" s="18" t="n">
        <x:v>46290</x:v>
      </x:c>
      <x:c r="C969" s="17" t="str">
        <x:v>W0093</x:v>
      </x:c>
      <x:c r="D969" s="17" t="str">
        <x:v>C002</x:v>
      </x:c>
      <x:c r="E969" s="17" t="str">
        <x:v>CampaignChat</x:v>
      </x:c>
      <x:c r="F969" s="17" t="str">
        <x:v>Lite</x:v>
      </x:c>
      <x:c r="G969" s="17" t="n">
        <x:v>25797</x:v>
      </x:c>
      <x:c r="H969" s="17" t="n">
        <x:v>8006</x:v>
      </x:c>
      <x:c r="I969" s="17" t="str">
        <x:v>Followup</x:v>
      </x:c>
      <x:c r="J969" s="27" t="n">
        <x:f>INDEX('Model Pricing'!$B$7:$B$8,MATCH(F969,'Model Pricing'!$A$7:$A$8,0))</x:f>
        <x:v>10</x:v>
      </x:c>
      <x:c r="K969" s="27" t="n">
        <x:f>INDEX('Model Pricing'!$C$7:$C$8,MATCH(F969,'Model Pricing'!$A$7:$A$8,0))</x:f>
        <x:v>30</x:v>
      </x:c>
      <x:c r="L969" s="17" t="n">
        <x:f>G969+H969</x:f>
        <x:v>33803</x:v>
      </x:c>
      <x:c r="M969" s="28" t="n">
        <x:f>G969*J969/1000000</x:f>
        <x:v>0.25797</x:v>
      </x:c>
      <x:c r="N969" s="28" t="n">
        <x:f>H969*K969/1000000</x:f>
        <x:v>0.24018</x:v>
      </x:c>
      <x:c r="O969" s="28" t="n">
        <x:f>SUM(M969:N969)</x:f>
        <x:v>0.49815</x:v>
      </x:c>
    </x:row>
    <x:row r="970" ht="23" customHeight="1">
      <x:c r="A970" s="17" t="str">
        <x:v>U00964</x:v>
      </x:c>
      <x:c r="B970" s="18" t="n">
        <x:v>46269</x:v>
      </x:c>
      <x:c r="C970" s="17" t="str">
        <x:v>W0094</x:v>
      </x:c>
      <x:c r="D970" s="17" t="str">
        <x:v>C002</x:v>
      </x:c>
      <x:c r="E970" s="17" t="str">
        <x:v>CopyStudio</x:v>
      </x:c>
      <x:c r="F970" s="17" t="str">
        <x:v>Lite</x:v>
      </x:c>
      <x:c r="G970" s="17" t="n">
        <x:v>39391</x:v>
      </x:c>
      <x:c r="H970" s="17" t="n">
        <x:v>4970</x:v>
      </x:c>
      <x:c r="I970" s="17" t="str">
        <x:v>First attempt</x:v>
      </x:c>
      <x:c r="J970" s="27" t="n">
        <x:f>INDEX('Model Pricing'!$B$7:$B$8,MATCH(F970,'Model Pricing'!$A$7:$A$8,0))</x:f>
        <x:v>10</x:v>
      </x:c>
      <x:c r="K970" s="27" t="n">
        <x:f>INDEX('Model Pricing'!$C$7:$C$8,MATCH(F970,'Model Pricing'!$A$7:$A$8,0))</x:f>
        <x:v>30</x:v>
      </x:c>
      <x:c r="L970" s="17" t="n">
        <x:f>G970+H970</x:f>
        <x:v>44361</x:v>
      </x:c>
      <x:c r="M970" s="28" t="n">
        <x:f>G970*J970/1000000</x:f>
        <x:v>0.39391</x:v>
      </x:c>
      <x:c r="N970" s="28" t="n">
        <x:f>H970*K970/1000000</x:f>
        <x:v>0.1491</x:v>
      </x:c>
      <x:c r="O970" s="28" t="n">
        <x:f>SUM(M970:N970)</x:f>
        <x:v>0.54301</x:v>
      </x:c>
    </x:row>
    <x:row r="971" ht="23" customHeight="1">
      <x:c r="A971" s="17" t="str">
        <x:v>U00965</x:v>
      </x:c>
      <x:c r="B971" s="18" t="n">
        <x:v>46269</x:v>
      </x:c>
      <x:c r="C971" s="17" t="str">
        <x:v>W0094</x:v>
      </x:c>
      <x:c r="D971" s="17" t="str">
        <x:v>C002</x:v>
      </x:c>
      <x:c r="E971" s="17" t="str">
        <x:v>CopyStudio</x:v>
      </x:c>
      <x:c r="F971" s="17" t="str">
        <x:v>Lite</x:v>
      </x:c>
      <x:c r="G971" s="17" t="n">
        <x:v>49268</x:v>
      </x:c>
      <x:c r="H971" s="17" t="n">
        <x:v>8756</x:v>
      </x:c>
      <x:c r="I971" s="17" t="str">
        <x:v>Followup</x:v>
      </x:c>
      <x:c r="J971" s="27" t="n">
        <x:f>INDEX('Model Pricing'!$B$7:$B$8,MATCH(F971,'Model Pricing'!$A$7:$A$8,0))</x:f>
        <x:v>10</x:v>
      </x:c>
      <x:c r="K971" s="27" t="n">
        <x:f>INDEX('Model Pricing'!$C$7:$C$8,MATCH(F971,'Model Pricing'!$A$7:$A$8,0))</x:f>
        <x:v>30</x:v>
      </x:c>
      <x:c r="L971" s="17" t="n">
        <x:f>G971+H971</x:f>
        <x:v>58024</x:v>
      </x:c>
      <x:c r="M971" s="28" t="n">
        <x:f>G971*J971/1000000</x:f>
        <x:v>0.49268</x:v>
      </x:c>
      <x:c r="N971" s="28" t="n">
        <x:f>H971*K971/1000000</x:f>
        <x:v>0.26268</x:v>
      </x:c>
      <x:c r="O971" s="28" t="n">
        <x:f>SUM(M971:N971)</x:f>
        <x:v>0.75536</x:v>
      </x:c>
    </x:row>
    <x:row r="972" ht="23" customHeight="1">
      <x:c r="A972" s="17" t="str">
        <x:v>U00966</x:v>
      </x:c>
      <x:c r="B972" s="18" t="n">
        <x:v>46269</x:v>
      </x:c>
      <x:c r="C972" s="17" t="str">
        <x:v>W0094</x:v>
      </x:c>
      <x:c r="D972" s="17" t="str">
        <x:v>C002</x:v>
      </x:c>
      <x:c r="E972" s="17" t="str">
        <x:v>CopyStudio</x:v>
      </x:c>
      <x:c r="F972" s="17" t="str">
        <x:v>Lite</x:v>
      </x:c>
      <x:c r="G972" s="17" t="n">
        <x:v>31809</x:v>
      </x:c>
      <x:c r="H972" s="17" t="n">
        <x:v>7503</x:v>
      </x:c>
      <x:c r="I972" s="17" t="str">
        <x:v>Correction</x:v>
      </x:c>
      <x:c r="J972" s="27" t="n">
        <x:f>INDEX('Model Pricing'!$B$7:$B$8,MATCH(F972,'Model Pricing'!$A$7:$A$8,0))</x:f>
        <x:v>10</x:v>
      </x:c>
      <x:c r="K972" s="27" t="n">
        <x:f>INDEX('Model Pricing'!$C$7:$C$8,MATCH(F972,'Model Pricing'!$A$7:$A$8,0))</x:f>
        <x:v>30</x:v>
      </x:c>
      <x:c r="L972" s="17" t="n">
        <x:f>G972+H972</x:f>
        <x:v>39312</x:v>
      </x:c>
      <x:c r="M972" s="28" t="n">
        <x:f>G972*J972/1000000</x:f>
        <x:v>0.31809</x:v>
      </x:c>
      <x:c r="N972" s="28" t="n">
        <x:f>H972*K972/1000000</x:f>
        <x:v>0.22509</x:v>
      </x:c>
      <x:c r="O972" s="28" t="n">
        <x:f>SUM(M972:N972)</x:f>
        <x:v>0.54318</x:v>
      </x:c>
    </x:row>
    <x:row r="973" ht="23" customHeight="1">
      <x:c r="A973" s="17" t="str">
        <x:v>U00967</x:v>
      </x:c>
      <x:c r="B973" s="18" t="n">
        <x:v>46269</x:v>
      </x:c>
      <x:c r="C973" s="17" t="str">
        <x:v>W0094</x:v>
      </x:c>
      <x:c r="D973" s="17" t="str">
        <x:v>C002</x:v>
      </x:c>
      <x:c r="E973" s="17" t="str">
        <x:v>CopyStudio</x:v>
      </x:c>
      <x:c r="F973" s="17" t="str">
        <x:v>Lite</x:v>
      </x:c>
      <x:c r="G973" s="17" t="n">
        <x:v>28391</x:v>
      </x:c>
      <x:c r="H973" s="17" t="n">
        <x:v>7085</x:v>
      </x:c>
      <x:c r="I973" s="17" t="str">
        <x:v>Correction</x:v>
      </x:c>
      <x:c r="J973" s="27" t="n">
        <x:f>INDEX('Model Pricing'!$B$7:$B$8,MATCH(F973,'Model Pricing'!$A$7:$A$8,0))</x:f>
        <x:v>10</x:v>
      </x:c>
      <x:c r="K973" s="27" t="n">
        <x:f>INDEX('Model Pricing'!$C$7:$C$8,MATCH(F973,'Model Pricing'!$A$7:$A$8,0))</x:f>
        <x:v>30</x:v>
      </x:c>
      <x:c r="L973" s="17" t="n">
        <x:f>G973+H973</x:f>
        <x:v>35476</x:v>
      </x:c>
      <x:c r="M973" s="28" t="n">
        <x:f>G973*J973/1000000</x:f>
        <x:v>0.28391</x:v>
      </x:c>
      <x:c r="N973" s="28" t="n">
        <x:f>H973*K973/1000000</x:f>
        <x:v>0.21255</x:v>
      </x:c>
      <x:c r="O973" s="28" t="n">
        <x:f>SUM(M973:N973)</x:f>
        <x:v>0.49646</x:v>
      </x:c>
    </x:row>
    <x:row r="974" ht="23" customHeight="1">
      <x:c r="A974" s="17" t="str">
        <x:v>U00968</x:v>
      </x:c>
      <x:c r="B974" s="18" t="n">
        <x:v>46269</x:v>
      </x:c>
      <x:c r="C974" s="17" t="str">
        <x:v>W0094</x:v>
      </x:c>
      <x:c r="D974" s="17" t="str">
        <x:v>C002</x:v>
      </x:c>
      <x:c r="E974" s="17" t="str">
        <x:v>CopyStudio</x:v>
      </x:c>
      <x:c r="F974" s="17" t="str">
        <x:v>Lite</x:v>
      </x:c>
      <x:c r="G974" s="17" t="n">
        <x:v>57025</x:v>
      </x:c>
      <x:c r="H974" s="17" t="n">
        <x:v>9408</x:v>
      </x:c>
      <x:c r="I974" s="17" t="str">
        <x:v>Correction</x:v>
      </x:c>
      <x:c r="J974" s="27" t="n">
        <x:f>INDEX('Model Pricing'!$B$7:$B$8,MATCH(F974,'Model Pricing'!$A$7:$A$8,0))</x:f>
        <x:v>10</x:v>
      </x:c>
      <x:c r="K974" s="27" t="n">
        <x:f>INDEX('Model Pricing'!$C$7:$C$8,MATCH(F974,'Model Pricing'!$A$7:$A$8,0))</x:f>
        <x:v>30</x:v>
      </x:c>
      <x:c r="L974" s="17" t="n">
        <x:f>G974+H974</x:f>
        <x:v>66433</x:v>
      </x:c>
      <x:c r="M974" s="28" t="n">
        <x:f>G974*J974/1000000</x:f>
        <x:v>0.57025</x:v>
      </x:c>
      <x:c r="N974" s="28" t="n">
        <x:f>H974*K974/1000000</x:f>
        <x:v>0.28224</x:v>
      </x:c>
      <x:c r="O974" s="28" t="n">
        <x:f>SUM(M974:N974)</x:f>
        <x:v>0.85249</x:v>
      </x:c>
    </x:row>
    <x:row r="975" ht="23" customHeight="1">
      <x:c r="A975" s="17" t="str">
        <x:v>U00969</x:v>
      </x:c>
      <x:c r="B975" s="18" t="n">
        <x:v>46269</x:v>
      </x:c>
      <x:c r="C975" s="17" t="str">
        <x:v>W0094</x:v>
      </x:c>
      <x:c r="D975" s="17" t="str">
        <x:v>C002</x:v>
      </x:c>
      <x:c r="E975" s="17" t="str">
        <x:v>CopyStudio</x:v>
      </x:c>
      <x:c r="F975" s="17" t="str">
        <x:v>Lite</x:v>
      </x:c>
      <x:c r="G975" s="17" t="n">
        <x:v>51940</x:v>
      </x:c>
      <x:c r="H975" s="17" t="n">
        <x:v>7444</x:v>
      </x:c>
      <x:c r="I975" s="17" t="str">
        <x:v>Correction</x:v>
      </x:c>
      <x:c r="J975" s="27" t="n">
        <x:f>INDEX('Model Pricing'!$B$7:$B$8,MATCH(F975,'Model Pricing'!$A$7:$A$8,0))</x:f>
        <x:v>10</x:v>
      </x:c>
      <x:c r="K975" s="27" t="n">
        <x:f>INDEX('Model Pricing'!$C$7:$C$8,MATCH(F975,'Model Pricing'!$A$7:$A$8,0))</x:f>
        <x:v>30</x:v>
      </x:c>
      <x:c r="L975" s="17" t="n">
        <x:f>G975+H975</x:f>
        <x:v>59384</x:v>
      </x:c>
      <x:c r="M975" s="28" t="n">
        <x:f>G975*J975/1000000</x:f>
        <x:v>0.5194</x:v>
      </x:c>
      <x:c r="N975" s="28" t="n">
        <x:f>H975*K975/1000000</x:f>
        <x:v>0.22332</x:v>
      </x:c>
      <x:c r="O975" s="28" t="n">
        <x:f>SUM(M975:N975)</x:f>
        <x:v>0.7427199999999999</x:v>
      </x:c>
    </x:row>
    <x:row r="976" ht="23" customHeight="1">
      <x:c r="A976" s="17" t="str">
        <x:v>U00970</x:v>
      </x:c>
      <x:c r="B976" s="18" t="n">
        <x:v>46269</x:v>
      </x:c>
      <x:c r="C976" s="17" t="str">
        <x:v>W0094</x:v>
      </x:c>
      <x:c r="D976" s="17" t="str">
        <x:v>C002</x:v>
      </x:c>
      <x:c r="E976" s="17" t="str">
        <x:v>CopyStudio</x:v>
      </x:c>
      <x:c r="F976" s="17" t="str">
        <x:v>Lite</x:v>
      </x:c>
      <x:c r="G976" s="17" t="n">
        <x:v>43754</x:v>
      </x:c>
      <x:c r="H976" s="17" t="n">
        <x:v>8005</x:v>
      </x:c>
      <x:c r="I976" s="17" t="str">
        <x:v>Correction</x:v>
      </x:c>
      <x:c r="J976" s="27" t="n">
        <x:f>INDEX('Model Pricing'!$B$7:$B$8,MATCH(F976,'Model Pricing'!$A$7:$A$8,0))</x:f>
        <x:v>10</x:v>
      </x:c>
      <x:c r="K976" s="27" t="n">
        <x:f>INDEX('Model Pricing'!$C$7:$C$8,MATCH(F976,'Model Pricing'!$A$7:$A$8,0))</x:f>
        <x:v>30</x:v>
      </x:c>
      <x:c r="L976" s="17" t="n">
        <x:f>G976+H976</x:f>
        <x:v>51759</x:v>
      </x:c>
      <x:c r="M976" s="28" t="n">
        <x:f>G976*J976/1000000</x:f>
        <x:v>0.43754</x:v>
      </x:c>
      <x:c r="N976" s="28" t="n">
        <x:f>H976*K976/1000000</x:f>
        <x:v>0.24015</x:v>
      </x:c>
      <x:c r="O976" s="28" t="n">
        <x:f>SUM(M976:N976)</x:f>
        <x:v>0.67769</x:v>
      </x:c>
    </x:row>
    <x:row r="977" ht="23" customHeight="1">
      <x:c r="A977" s="17" t="str">
        <x:v>U00971</x:v>
      </x:c>
      <x:c r="B977" s="18" t="n">
        <x:v>46273</x:v>
      </x:c>
      <x:c r="C977" s="17" t="str">
        <x:v>W0094</x:v>
      </x:c>
      <x:c r="D977" s="17" t="str">
        <x:v>C002</x:v>
      </x:c>
      <x:c r="E977" s="17" t="str">
        <x:v>CopyStudio</x:v>
      </x:c>
      <x:c r="F977" s="17" t="str">
        <x:v>Lite</x:v>
      </x:c>
      <x:c r="G977" s="17" t="n">
        <x:v>56893</x:v>
      </x:c>
      <x:c r="H977" s="17" t="n">
        <x:v>3742</x:v>
      </x:c>
      <x:c r="I977" s="17" t="str">
        <x:v>Correction</x:v>
      </x:c>
      <x:c r="J977" s="27" t="n">
        <x:f>INDEX('Model Pricing'!$B$7:$B$8,MATCH(F977,'Model Pricing'!$A$7:$A$8,0))</x:f>
        <x:v>10</x:v>
      </x:c>
      <x:c r="K977" s="27" t="n">
        <x:f>INDEX('Model Pricing'!$C$7:$C$8,MATCH(F977,'Model Pricing'!$A$7:$A$8,0))</x:f>
        <x:v>30</x:v>
      </x:c>
      <x:c r="L977" s="17" t="n">
        <x:f>G977+H977</x:f>
        <x:v>60635</x:v>
      </x:c>
      <x:c r="M977" s="28" t="n">
        <x:f>G977*J977/1000000</x:f>
        <x:v>0.56893</x:v>
      </x:c>
      <x:c r="N977" s="28" t="n">
        <x:f>H977*K977/1000000</x:f>
        <x:v>0.11226</x:v>
      </x:c>
      <x:c r="O977" s="28" t="n">
        <x:f>SUM(M977:N977)</x:f>
        <x:v>0.6811900000000001</x:v>
      </x:c>
    </x:row>
    <x:row r="978" ht="23" customHeight="1">
      <x:c r="A978" s="17" t="str">
        <x:v>U00972</x:v>
      </x:c>
      <x:c r="B978" s="18" t="n">
        <x:v>46273</x:v>
      </x:c>
      <x:c r="C978" s="17" t="str">
        <x:v>W0094</x:v>
      </x:c>
      <x:c r="D978" s="17" t="str">
        <x:v>C002</x:v>
      </x:c>
      <x:c r="E978" s="17" t="str">
        <x:v>CopyStudio</x:v>
      </x:c>
      <x:c r="F978" s="17" t="str">
        <x:v>Lite</x:v>
      </x:c>
      <x:c r="G978" s="17" t="n">
        <x:v>45261</x:v>
      </x:c>
      <x:c r="H978" s="17" t="n">
        <x:v>4554</x:v>
      </x:c>
      <x:c r="I978" s="17" t="str">
        <x:v>Correction</x:v>
      </x:c>
      <x:c r="J978" s="27" t="n">
        <x:f>INDEX('Model Pricing'!$B$7:$B$8,MATCH(F978,'Model Pricing'!$A$7:$A$8,0))</x:f>
        <x:v>10</x:v>
      </x:c>
      <x:c r="K978" s="27" t="n">
        <x:f>INDEX('Model Pricing'!$C$7:$C$8,MATCH(F978,'Model Pricing'!$A$7:$A$8,0))</x:f>
        <x:v>30</x:v>
      </x:c>
      <x:c r="L978" s="17" t="n">
        <x:f>G978+H978</x:f>
        <x:v>49815</x:v>
      </x:c>
      <x:c r="M978" s="28" t="n">
        <x:f>G978*J978/1000000</x:f>
        <x:v>0.45261</x:v>
      </x:c>
      <x:c r="N978" s="28" t="n">
        <x:f>H978*K978/1000000</x:f>
        <x:v>0.13662</x:v>
      </x:c>
      <x:c r="O978" s="28" t="n">
        <x:f>SUM(M978:N978)</x:f>
        <x:v>0.58923</x:v>
      </x:c>
    </x:row>
    <x:row r="979" ht="23" customHeight="1">
      <x:c r="A979" s="17" t="str">
        <x:v>U00973</x:v>
      </x:c>
      <x:c r="B979" s="18" t="n">
        <x:v>46273</x:v>
      </x:c>
      <x:c r="C979" s="17" t="str">
        <x:v>W0094</x:v>
      </x:c>
      <x:c r="D979" s="17" t="str">
        <x:v>C002</x:v>
      </x:c>
      <x:c r="E979" s="17" t="str">
        <x:v>CopyStudio</x:v>
      </x:c>
      <x:c r="F979" s="17" t="str">
        <x:v>Lite</x:v>
      </x:c>
      <x:c r="G979" s="17" t="n">
        <x:v>32759</x:v>
      </x:c>
      <x:c r="H979" s="17" t="n">
        <x:v>5100</x:v>
      </x:c>
      <x:c r="I979" s="17" t="str">
        <x:v>Followup</x:v>
      </x:c>
      <x:c r="J979" s="27" t="n">
        <x:f>INDEX('Model Pricing'!$B$7:$B$8,MATCH(F979,'Model Pricing'!$A$7:$A$8,0))</x:f>
        <x:v>10</x:v>
      </x:c>
      <x:c r="K979" s="27" t="n">
        <x:f>INDEX('Model Pricing'!$C$7:$C$8,MATCH(F979,'Model Pricing'!$A$7:$A$8,0))</x:f>
        <x:v>30</x:v>
      </x:c>
      <x:c r="L979" s="17" t="n">
        <x:f>G979+H979</x:f>
        <x:v>37859</x:v>
      </x:c>
      <x:c r="M979" s="28" t="n">
        <x:f>G979*J979/1000000</x:f>
        <x:v>0.32759</x:v>
      </x:c>
      <x:c r="N979" s="28" t="n">
        <x:f>H979*K979/1000000</x:f>
        <x:v>0.153</x:v>
      </x:c>
      <x:c r="O979" s="28" t="n">
        <x:f>SUM(M979:N979)</x:f>
        <x:v>0.48058999999999996</x:v>
      </x:c>
    </x:row>
    <x:row r="980" ht="23" customHeight="1">
      <x:c r="A980" s="17" t="str">
        <x:v>U00974</x:v>
      </x:c>
      <x:c r="B980" s="18" t="n">
        <x:v>46273</x:v>
      </x:c>
      <x:c r="C980" s="17" t="str">
        <x:v>W0094</x:v>
      </x:c>
      <x:c r="D980" s="17" t="str">
        <x:v>C002</x:v>
      </x:c>
      <x:c r="E980" s="17" t="str">
        <x:v>CopyStudio</x:v>
      </x:c>
      <x:c r="F980" s="17" t="str">
        <x:v>Lite</x:v>
      </x:c>
      <x:c r="G980" s="17" t="n">
        <x:v>25772</x:v>
      </x:c>
      <x:c r="H980" s="17" t="n">
        <x:v>6579</x:v>
      </x:c>
      <x:c r="I980" s="17" t="str">
        <x:v>Followup</x:v>
      </x:c>
      <x:c r="J980" s="27" t="n">
        <x:f>INDEX('Model Pricing'!$B$7:$B$8,MATCH(F980,'Model Pricing'!$A$7:$A$8,0))</x:f>
        <x:v>10</x:v>
      </x:c>
      <x:c r="K980" s="27" t="n">
        <x:f>INDEX('Model Pricing'!$C$7:$C$8,MATCH(F980,'Model Pricing'!$A$7:$A$8,0))</x:f>
        <x:v>30</x:v>
      </x:c>
      <x:c r="L980" s="17" t="n">
        <x:f>G980+H980</x:f>
        <x:v>32351</x:v>
      </x:c>
      <x:c r="M980" s="28" t="n">
        <x:f>G980*J980/1000000</x:f>
        <x:v>0.25772</x:v>
      </x:c>
      <x:c r="N980" s="28" t="n">
        <x:f>H980*K980/1000000</x:f>
        <x:v>0.19737</x:v>
      </x:c>
      <x:c r="O980" s="28" t="n">
        <x:f>SUM(M980:N980)</x:f>
        <x:v>0.45509</x:v>
      </x:c>
    </x:row>
    <x:row r="981" ht="23" customHeight="1">
      <x:c r="A981" s="17" t="str">
        <x:v>U00975</x:v>
      </x:c>
      <x:c r="B981" s="18" t="n">
        <x:v>46273</x:v>
      </x:c>
      <x:c r="C981" s="17" t="str">
        <x:v>W0094</x:v>
      </x:c>
      <x:c r="D981" s="17" t="str">
        <x:v>C002</x:v>
      </x:c>
      <x:c r="E981" s="17" t="str">
        <x:v>CopyStudio</x:v>
      </x:c>
      <x:c r="F981" s="17" t="str">
        <x:v>Lite</x:v>
      </x:c>
      <x:c r="G981" s="17" t="n">
        <x:v>37886</x:v>
      </x:c>
      <x:c r="H981" s="17" t="n">
        <x:v>3259</x:v>
      </x:c>
      <x:c r="I981" s="17" t="str">
        <x:v>Correction</x:v>
      </x:c>
      <x:c r="J981" s="27" t="n">
        <x:f>INDEX('Model Pricing'!$B$7:$B$8,MATCH(F981,'Model Pricing'!$A$7:$A$8,0))</x:f>
        <x:v>10</x:v>
      </x:c>
      <x:c r="K981" s="27" t="n">
        <x:f>INDEX('Model Pricing'!$C$7:$C$8,MATCH(F981,'Model Pricing'!$A$7:$A$8,0))</x:f>
        <x:v>30</x:v>
      </x:c>
      <x:c r="L981" s="17" t="n">
        <x:f>G981+H981</x:f>
        <x:v>41145</x:v>
      </x:c>
      <x:c r="M981" s="28" t="n">
        <x:f>G981*J981/1000000</x:f>
        <x:v>0.37886</x:v>
      </x:c>
      <x:c r="N981" s="28" t="n">
        <x:f>H981*K981/1000000</x:f>
        <x:v>0.09777</x:v>
      </x:c>
      <x:c r="O981" s="28" t="n">
        <x:f>SUM(M981:N981)</x:f>
        <x:v>0.47663</x:v>
      </x:c>
    </x:row>
    <x:row r="982" ht="23" customHeight="1">
      <x:c r="A982" s="17" t="str">
        <x:v>U00976</x:v>
      </x:c>
      <x:c r="B982" s="18" t="n">
        <x:v>46273</x:v>
      </x:c>
      <x:c r="C982" s="17" t="str">
        <x:v>W0094</x:v>
      </x:c>
      <x:c r="D982" s="17" t="str">
        <x:v>C002</x:v>
      </x:c>
      <x:c r="E982" s="17" t="str">
        <x:v>CopyStudio</x:v>
      </x:c>
      <x:c r="F982" s="17" t="str">
        <x:v>Lite</x:v>
      </x:c>
      <x:c r="G982" s="17" t="n">
        <x:v>21219</x:v>
      </x:c>
      <x:c r="H982" s="17" t="n">
        <x:v>6583</x:v>
      </x:c>
      <x:c r="I982" s="17" t="str">
        <x:v>Followup</x:v>
      </x:c>
      <x:c r="J982" s="27" t="n">
        <x:f>INDEX('Model Pricing'!$B$7:$B$8,MATCH(F982,'Model Pricing'!$A$7:$A$8,0))</x:f>
        <x:v>10</x:v>
      </x:c>
      <x:c r="K982" s="27" t="n">
        <x:f>INDEX('Model Pricing'!$C$7:$C$8,MATCH(F982,'Model Pricing'!$A$7:$A$8,0))</x:f>
        <x:v>30</x:v>
      </x:c>
      <x:c r="L982" s="17" t="n">
        <x:f>G982+H982</x:f>
        <x:v>27802</x:v>
      </x:c>
      <x:c r="M982" s="28" t="n">
        <x:f>G982*J982/1000000</x:f>
        <x:v>0.21219</x:v>
      </x:c>
      <x:c r="N982" s="28" t="n">
        <x:f>H982*K982/1000000</x:f>
        <x:v>0.19749</x:v>
      </x:c>
      <x:c r="O982" s="28" t="n">
        <x:f>SUM(M982:N982)</x:f>
        <x:v>0.40968</x:v>
      </x:c>
    </x:row>
    <x:row r="983" ht="23" customHeight="1">
      <x:c r="A983" s="17" t="str">
        <x:v>U00977</x:v>
      </x:c>
      <x:c r="B983" s="18" t="n">
        <x:v>46274</x:v>
      </x:c>
      <x:c r="C983" s="17" t="str">
        <x:v>W0094</x:v>
      </x:c>
      <x:c r="D983" s="17" t="str">
        <x:v>C002</x:v>
      </x:c>
      <x:c r="E983" s="17" t="str">
        <x:v>CopyStudio</x:v>
      </x:c>
      <x:c r="F983" s="17" t="str">
        <x:v>Lite</x:v>
      </x:c>
      <x:c r="G983" s="17" t="n">
        <x:v>21760</x:v>
      </x:c>
      <x:c r="H983" s="17" t="n">
        <x:v>3756</x:v>
      </x:c>
      <x:c r="I983" s="17" t="str">
        <x:v>Correction</x:v>
      </x:c>
      <x:c r="J983" s="27" t="n">
        <x:f>INDEX('Model Pricing'!$B$7:$B$8,MATCH(F983,'Model Pricing'!$A$7:$A$8,0))</x:f>
        <x:v>10</x:v>
      </x:c>
      <x:c r="K983" s="27" t="n">
        <x:f>INDEX('Model Pricing'!$C$7:$C$8,MATCH(F983,'Model Pricing'!$A$7:$A$8,0))</x:f>
        <x:v>30</x:v>
      </x:c>
      <x:c r="L983" s="17" t="n">
        <x:f>G983+H983</x:f>
        <x:v>25516</x:v>
      </x:c>
      <x:c r="M983" s="28" t="n">
        <x:f>G983*J983/1000000</x:f>
        <x:v>0.2176</x:v>
      </x:c>
      <x:c r="N983" s="28" t="n">
        <x:f>H983*K983/1000000</x:f>
        <x:v>0.11268</x:v>
      </x:c>
      <x:c r="O983" s="28" t="n">
        <x:f>SUM(M983:N983)</x:f>
        <x:v>0.33028</x:v>
      </x:c>
    </x:row>
    <x:row r="984" ht="23" customHeight="1">
      <x:c r="A984" s="17" t="str">
        <x:v>U00978</x:v>
      </x:c>
      <x:c r="B984" s="18" t="n">
        <x:v>46274</x:v>
      </x:c>
      <x:c r="C984" s="17" t="str">
        <x:v>W0094</x:v>
      </x:c>
      <x:c r="D984" s="17" t="str">
        <x:v>C002</x:v>
      </x:c>
      <x:c r="E984" s="17" t="str">
        <x:v>CopyStudio</x:v>
      </x:c>
      <x:c r="F984" s="17" t="str">
        <x:v>Lite</x:v>
      </x:c>
      <x:c r="G984" s="17" t="n">
        <x:v>20903</x:v>
      </x:c>
      <x:c r="H984" s="17" t="n">
        <x:v>5346</x:v>
      </x:c>
      <x:c r="I984" s="17" t="str">
        <x:v>Correction</x:v>
      </x:c>
      <x:c r="J984" s="27" t="n">
        <x:f>INDEX('Model Pricing'!$B$7:$B$8,MATCH(F984,'Model Pricing'!$A$7:$A$8,0))</x:f>
        <x:v>10</x:v>
      </x:c>
      <x:c r="K984" s="27" t="n">
        <x:f>INDEX('Model Pricing'!$C$7:$C$8,MATCH(F984,'Model Pricing'!$A$7:$A$8,0))</x:f>
        <x:v>30</x:v>
      </x:c>
      <x:c r="L984" s="17" t="n">
        <x:f>G984+H984</x:f>
        <x:v>26249</x:v>
      </x:c>
      <x:c r="M984" s="28" t="n">
        <x:f>G984*J984/1000000</x:f>
        <x:v>0.20903</x:v>
      </x:c>
      <x:c r="N984" s="28" t="n">
        <x:f>H984*K984/1000000</x:f>
        <x:v>0.16038</x:v>
      </x:c>
      <x:c r="O984" s="28" t="n">
        <x:f>SUM(M984:N984)</x:f>
        <x:v>0.36941</x:v>
      </x:c>
    </x:row>
    <x:row r="985" ht="23" customHeight="1">
      <x:c r="A985" s="17" t="str">
        <x:v>U00979</x:v>
      </x:c>
      <x:c r="B985" s="18" t="n">
        <x:v>46274</x:v>
      </x:c>
      <x:c r="C985" s="17" t="str">
        <x:v>W0094</x:v>
      </x:c>
      <x:c r="D985" s="17" t="str">
        <x:v>C002</x:v>
      </x:c>
      <x:c r="E985" s="17" t="str">
        <x:v>CopyStudio</x:v>
      </x:c>
      <x:c r="F985" s="17" t="str">
        <x:v>Lite</x:v>
      </x:c>
      <x:c r="G985" s="17" t="n">
        <x:v>54162</x:v>
      </x:c>
      <x:c r="H985" s="17" t="n">
        <x:v>7916</x:v>
      </x:c>
      <x:c r="I985" s="17" t="str">
        <x:v>Correction</x:v>
      </x:c>
      <x:c r="J985" s="27" t="n">
        <x:f>INDEX('Model Pricing'!$B$7:$B$8,MATCH(F985,'Model Pricing'!$A$7:$A$8,0))</x:f>
        <x:v>10</x:v>
      </x:c>
      <x:c r="K985" s="27" t="n">
        <x:f>INDEX('Model Pricing'!$C$7:$C$8,MATCH(F985,'Model Pricing'!$A$7:$A$8,0))</x:f>
        <x:v>30</x:v>
      </x:c>
      <x:c r="L985" s="17" t="n">
        <x:f>G985+H985</x:f>
        <x:v>62078</x:v>
      </x:c>
      <x:c r="M985" s="28" t="n">
        <x:f>G985*J985/1000000</x:f>
        <x:v>0.54162</x:v>
      </x:c>
      <x:c r="N985" s="28" t="n">
        <x:f>H985*K985/1000000</x:f>
        <x:v>0.23748</x:v>
      </x:c>
      <x:c r="O985" s="28" t="n">
        <x:f>SUM(M985:N985)</x:f>
        <x:v>0.7791</x:v>
      </x:c>
    </x:row>
    <x:row r="986" ht="23" customHeight="1">
      <x:c r="A986" s="17" t="str">
        <x:v>U00980</x:v>
      </x:c>
      <x:c r="B986" s="18" t="n">
        <x:v>46274</x:v>
      </x:c>
      <x:c r="C986" s="17" t="str">
        <x:v>W0094</x:v>
      </x:c>
      <x:c r="D986" s="17" t="str">
        <x:v>C002</x:v>
      </x:c>
      <x:c r="E986" s="17" t="str">
        <x:v>CopyStudio</x:v>
      </x:c>
      <x:c r="F986" s="17" t="str">
        <x:v>Lite</x:v>
      </x:c>
      <x:c r="G986" s="17" t="n">
        <x:v>42147</x:v>
      </x:c>
      <x:c r="H986" s="17" t="n">
        <x:v>7334</x:v>
      </x:c>
      <x:c r="I986" s="17" t="str">
        <x:v>Followup</x:v>
      </x:c>
      <x:c r="J986" s="27" t="n">
        <x:f>INDEX('Model Pricing'!$B$7:$B$8,MATCH(F986,'Model Pricing'!$A$7:$A$8,0))</x:f>
        <x:v>10</x:v>
      </x:c>
      <x:c r="K986" s="27" t="n">
        <x:f>INDEX('Model Pricing'!$C$7:$C$8,MATCH(F986,'Model Pricing'!$A$7:$A$8,0))</x:f>
        <x:v>30</x:v>
      </x:c>
      <x:c r="L986" s="17" t="n">
        <x:f>G986+H986</x:f>
        <x:v>49481</x:v>
      </x:c>
      <x:c r="M986" s="28" t="n">
        <x:f>G986*J986/1000000</x:f>
        <x:v>0.42147</x:v>
      </x:c>
      <x:c r="N986" s="28" t="n">
        <x:f>H986*K986/1000000</x:f>
        <x:v>0.22002</x:v>
      </x:c>
      <x:c r="O986" s="28" t="n">
        <x:f>SUM(M986:N986)</x:f>
        <x:v>0.64149</x:v>
      </x:c>
    </x:row>
    <x:row r="987" ht="23" customHeight="1">
      <x:c r="A987" s="17" t="str">
        <x:v>U00981</x:v>
      </x:c>
      <x:c r="B987" s="18" t="n">
        <x:v>46274</x:v>
      </x:c>
      <x:c r="C987" s="17" t="str">
        <x:v>W0094</x:v>
      </x:c>
      <x:c r="D987" s="17" t="str">
        <x:v>C002</x:v>
      </x:c>
      <x:c r="E987" s="17" t="str">
        <x:v>CopyStudio</x:v>
      </x:c>
      <x:c r="F987" s="17" t="str">
        <x:v>Lite</x:v>
      </x:c>
      <x:c r="G987" s="17" t="n">
        <x:v>44023</x:v>
      </x:c>
      <x:c r="H987" s="17" t="n">
        <x:v>8263</x:v>
      </x:c>
      <x:c r="I987" s="17" t="str">
        <x:v>Followup</x:v>
      </x:c>
      <x:c r="J987" s="27" t="n">
        <x:f>INDEX('Model Pricing'!$B$7:$B$8,MATCH(F987,'Model Pricing'!$A$7:$A$8,0))</x:f>
        <x:v>10</x:v>
      </x:c>
      <x:c r="K987" s="27" t="n">
        <x:f>INDEX('Model Pricing'!$C$7:$C$8,MATCH(F987,'Model Pricing'!$A$7:$A$8,0))</x:f>
        <x:v>30</x:v>
      </x:c>
      <x:c r="L987" s="17" t="n">
        <x:f>G987+H987</x:f>
        <x:v>52286</x:v>
      </x:c>
      <x:c r="M987" s="28" t="n">
        <x:f>G987*J987/1000000</x:f>
        <x:v>0.44023</x:v>
      </x:c>
      <x:c r="N987" s="28" t="n">
        <x:f>H987*K987/1000000</x:f>
        <x:v>0.24789</x:v>
      </x:c>
      <x:c r="O987" s="28" t="n">
        <x:f>SUM(M987:N987)</x:f>
        <x:v>0.6881200000000001</x:v>
      </x:c>
    </x:row>
    <x:row r="988" ht="23" customHeight="1">
      <x:c r="A988" s="17" t="str">
        <x:v>U00982</x:v>
      </x:c>
      <x:c r="B988" s="18" t="n">
        <x:v>46274</x:v>
      </x:c>
      <x:c r="C988" s="17" t="str">
        <x:v>W0094</x:v>
      </x:c>
      <x:c r="D988" s="17" t="str">
        <x:v>C002</x:v>
      </x:c>
      <x:c r="E988" s="17" t="str">
        <x:v>CopyStudio</x:v>
      </x:c>
      <x:c r="F988" s="17" t="str">
        <x:v>Lite</x:v>
      </x:c>
      <x:c r="G988" s="17" t="n">
        <x:v>55685</x:v>
      </x:c>
      <x:c r="H988" s="17" t="n">
        <x:v>6709</x:v>
      </x:c>
      <x:c r="I988" s="17" t="str">
        <x:v>Followup</x:v>
      </x:c>
      <x:c r="J988" s="27" t="n">
        <x:f>INDEX('Model Pricing'!$B$7:$B$8,MATCH(F988,'Model Pricing'!$A$7:$A$8,0))</x:f>
        <x:v>10</x:v>
      </x:c>
      <x:c r="K988" s="27" t="n">
        <x:f>INDEX('Model Pricing'!$C$7:$C$8,MATCH(F988,'Model Pricing'!$A$7:$A$8,0))</x:f>
        <x:v>30</x:v>
      </x:c>
      <x:c r="L988" s="17" t="n">
        <x:f>G988+H988</x:f>
        <x:v>62394</x:v>
      </x:c>
      <x:c r="M988" s="28" t="n">
        <x:f>G988*J988/1000000</x:f>
        <x:v>0.55685</x:v>
      </x:c>
      <x:c r="N988" s="28" t="n">
        <x:f>H988*K988/1000000</x:f>
        <x:v>0.20127</x:v>
      </x:c>
      <x:c r="O988" s="28" t="n">
        <x:f>SUM(M988:N988)</x:f>
        <x:v>0.7581199999999999</x:v>
      </x:c>
    </x:row>
    <x:row r="989" ht="23" customHeight="1">
      <x:c r="A989" s="17" t="str">
        <x:v>U00983</x:v>
      </x:c>
      <x:c r="B989" s="18" t="n">
        <x:v>46274</x:v>
      </x:c>
      <x:c r="C989" s="17" t="str">
        <x:v>W0094</x:v>
      </x:c>
      <x:c r="D989" s="17" t="str">
        <x:v>C002</x:v>
      </x:c>
      <x:c r="E989" s="17" t="str">
        <x:v>CopyStudio</x:v>
      </x:c>
      <x:c r="F989" s="17" t="str">
        <x:v>Lite</x:v>
      </x:c>
      <x:c r="G989" s="17" t="n">
        <x:v>51330</x:v>
      </x:c>
      <x:c r="H989" s="17" t="n">
        <x:v>6703</x:v>
      </x:c>
      <x:c r="I989" s="17" t="str">
        <x:v>Followup</x:v>
      </x:c>
      <x:c r="J989" s="27" t="n">
        <x:f>INDEX('Model Pricing'!$B$7:$B$8,MATCH(F989,'Model Pricing'!$A$7:$A$8,0))</x:f>
        <x:v>10</x:v>
      </x:c>
      <x:c r="K989" s="27" t="n">
        <x:f>INDEX('Model Pricing'!$C$7:$C$8,MATCH(F989,'Model Pricing'!$A$7:$A$8,0))</x:f>
        <x:v>30</x:v>
      </x:c>
      <x:c r="L989" s="17" t="n">
        <x:f>G989+H989</x:f>
        <x:v>58033</x:v>
      </x:c>
      <x:c r="M989" s="28" t="n">
        <x:f>G989*J989/1000000</x:f>
        <x:v>0.5133</x:v>
      </x:c>
      <x:c r="N989" s="28" t="n">
        <x:f>H989*K989/1000000</x:f>
        <x:v>0.20109</x:v>
      </x:c>
      <x:c r="O989" s="28" t="n">
        <x:f>SUM(M989:N989)</x:f>
        <x:v>0.71439</x:v>
      </x:c>
    </x:row>
    <x:row r="990" ht="23" customHeight="1">
      <x:c r="A990" s="17" t="str">
        <x:v>U00984</x:v>
      </x:c>
      <x:c r="B990" s="18" t="n">
        <x:v>46275</x:v>
      </x:c>
      <x:c r="C990" s="17" t="str">
        <x:v>W0094</x:v>
      </x:c>
      <x:c r="D990" s="17" t="str">
        <x:v>C002</x:v>
      </x:c>
      <x:c r="E990" s="17" t="str">
        <x:v>CopyStudio</x:v>
      </x:c>
      <x:c r="F990" s="17" t="str">
        <x:v>Lite</x:v>
      </x:c>
      <x:c r="G990" s="17" t="n">
        <x:v>31973</x:v>
      </x:c>
      <x:c r="H990" s="17" t="n">
        <x:v>5426</x:v>
      </x:c>
      <x:c r="I990" s="17" t="str">
        <x:v>Followup</x:v>
      </x:c>
      <x:c r="J990" s="27" t="n">
        <x:f>INDEX('Model Pricing'!$B$7:$B$8,MATCH(F990,'Model Pricing'!$A$7:$A$8,0))</x:f>
        <x:v>10</x:v>
      </x:c>
      <x:c r="K990" s="27" t="n">
        <x:f>INDEX('Model Pricing'!$C$7:$C$8,MATCH(F990,'Model Pricing'!$A$7:$A$8,0))</x:f>
        <x:v>30</x:v>
      </x:c>
      <x:c r="L990" s="17" t="n">
        <x:f>G990+H990</x:f>
        <x:v>37399</x:v>
      </x:c>
      <x:c r="M990" s="28" t="n">
        <x:f>G990*J990/1000000</x:f>
        <x:v>0.31973</x:v>
      </x:c>
      <x:c r="N990" s="28" t="n">
        <x:f>H990*K990/1000000</x:f>
        <x:v>0.16278</x:v>
      </x:c>
      <x:c r="O990" s="28" t="n">
        <x:f>SUM(M990:N990)</x:f>
        <x:v>0.48251</x:v>
      </x:c>
    </x:row>
    <x:row r="991" ht="23" customHeight="1">
      <x:c r="A991" s="17" t="str">
        <x:v>U00985</x:v>
      </x:c>
      <x:c r="B991" s="18" t="n">
        <x:v>46275</x:v>
      </x:c>
      <x:c r="C991" s="17" t="str">
        <x:v>W0094</x:v>
      </x:c>
      <x:c r="D991" s="17" t="str">
        <x:v>C002</x:v>
      </x:c>
      <x:c r="E991" s="17" t="str">
        <x:v>CopyStudio</x:v>
      </x:c>
      <x:c r="F991" s="17" t="str">
        <x:v>Lite</x:v>
      </x:c>
      <x:c r="G991" s="17" t="n">
        <x:v>36216</x:v>
      </x:c>
      <x:c r="H991" s="17" t="n">
        <x:v>8141</x:v>
      </x:c>
      <x:c r="I991" s="17" t="str">
        <x:v>Followup</x:v>
      </x:c>
      <x:c r="J991" s="27" t="n">
        <x:f>INDEX('Model Pricing'!$B$7:$B$8,MATCH(F991,'Model Pricing'!$A$7:$A$8,0))</x:f>
        <x:v>10</x:v>
      </x:c>
      <x:c r="K991" s="27" t="n">
        <x:f>INDEX('Model Pricing'!$C$7:$C$8,MATCH(F991,'Model Pricing'!$A$7:$A$8,0))</x:f>
        <x:v>30</x:v>
      </x:c>
      <x:c r="L991" s="17" t="n">
        <x:f>G991+H991</x:f>
        <x:v>44357</x:v>
      </x:c>
      <x:c r="M991" s="28" t="n">
        <x:f>G991*J991/1000000</x:f>
        <x:v>0.36216</x:v>
      </x:c>
      <x:c r="N991" s="28" t="n">
        <x:f>H991*K991/1000000</x:f>
        <x:v>0.24423</x:v>
      </x:c>
      <x:c r="O991" s="28" t="n">
        <x:f>SUM(M991:N991)</x:f>
        <x:v>0.60639</x:v>
      </x:c>
    </x:row>
    <x:row r="992" ht="23" customHeight="1">
      <x:c r="A992" s="17" t="str">
        <x:v>U00986</x:v>
      </x:c>
      <x:c r="B992" s="18" t="n">
        <x:v>46275</x:v>
      </x:c>
      <x:c r="C992" s="17" t="str">
        <x:v>W0094</x:v>
      </x:c>
      <x:c r="D992" s="17" t="str">
        <x:v>C002</x:v>
      </x:c>
      <x:c r="E992" s="17" t="str">
        <x:v>CopyStudio</x:v>
      </x:c>
      <x:c r="F992" s="17" t="str">
        <x:v>Lite</x:v>
      </x:c>
      <x:c r="G992" s="17" t="n">
        <x:v>39646</x:v>
      </x:c>
      <x:c r="H992" s="17" t="n">
        <x:v>7907</x:v>
      </x:c>
      <x:c r="I992" s="17" t="str">
        <x:v>Correction</x:v>
      </x:c>
      <x:c r="J992" s="27" t="n">
        <x:f>INDEX('Model Pricing'!$B$7:$B$8,MATCH(F992,'Model Pricing'!$A$7:$A$8,0))</x:f>
        <x:v>10</x:v>
      </x:c>
      <x:c r="K992" s="27" t="n">
        <x:f>INDEX('Model Pricing'!$C$7:$C$8,MATCH(F992,'Model Pricing'!$A$7:$A$8,0))</x:f>
        <x:v>30</x:v>
      </x:c>
      <x:c r="L992" s="17" t="n">
        <x:f>G992+H992</x:f>
        <x:v>47553</x:v>
      </x:c>
      <x:c r="M992" s="28" t="n">
        <x:f>G992*J992/1000000</x:f>
        <x:v>0.39646</x:v>
      </x:c>
      <x:c r="N992" s="28" t="n">
        <x:f>H992*K992/1000000</x:f>
        <x:v>0.23721</x:v>
      </x:c>
      <x:c r="O992" s="28" t="n">
        <x:f>SUM(M992:N992)</x:f>
        <x:v>0.63367</x:v>
      </x:c>
    </x:row>
    <x:row r="993" ht="23" customHeight="1">
      <x:c r="A993" s="17" t="str">
        <x:v>U00987</x:v>
      </x:c>
      <x:c r="B993" s="18" t="n">
        <x:v>46275</x:v>
      </x:c>
      <x:c r="C993" s="17" t="str">
        <x:v>W0094</x:v>
      </x:c>
      <x:c r="D993" s="17" t="str">
        <x:v>C002</x:v>
      </x:c>
      <x:c r="E993" s="17" t="str">
        <x:v>CopyStudio</x:v>
      </x:c>
      <x:c r="F993" s="17" t="str">
        <x:v>Lite</x:v>
      </x:c>
      <x:c r="G993" s="17" t="n">
        <x:v>25544</x:v>
      </x:c>
      <x:c r="H993" s="17" t="n">
        <x:v>5846</x:v>
      </x:c>
      <x:c r="I993" s="17" t="str">
        <x:v>Followup</x:v>
      </x:c>
      <x:c r="J993" s="27" t="n">
        <x:f>INDEX('Model Pricing'!$B$7:$B$8,MATCH(F993,'Model Pricing'!$A$7:$A$8,0))</x:f>
        <x:v>10</x:v>
      </x:c>
      <x:c r="K993" s="27" t="n">
        <x:f>INDEX('Model Pricing'!$C$7:$C$8,MATCH(F993,'Model Pricing'!$A$7:$A$8,0))</x:f>
        <x:v>30</x:v>
      </x:c>
      <x:c r="L993" s="17" t="n">
        <x:f>G993+H993</x:f>
        <x:v>31390</x:v>
      </x:c>
      <x:c r="M993" s="28" t="n">
        <x:f>G993*J993/1000000</x:f>
        <x:v>0.25544</x:v>
      </x:c>
      <x:c r="N993" s="28" t="n">
        <x:f>H993*K993/1000000</x:f>
        <x:v>0.17538</x:v>
      </x:c>
      <x:c r="O993" s="28" t="n">
        <x:f>SUM(M993:N993)</x:f>
        <x:v>0.43082</x:v>
      </x:c>
    </x:row>
    <x:row r="994" ht="23" customHeight="1">
      <x:c r="A994" s="17" t="str">
        <x:v>U00988</x:v>
      </x:c>
      <x:c r="B994" s="18" t="n">
        <x:v>46275</x:v>
      </x:c>
      <x:c r="C994" s="17" t="str">
        <x:v>W0094</x:v>
      </x:c>
      <x:c r="D994" s="17" t="str">
        <x:v>C002</x:v>
      </x:c>
      <x:c r="E994" s="17" t="str">
        <x:v>CopyStudio</x:v>
      </x:c>
      <x:c r="F994" s="17" t="str">
        <x:v>Lite</x:v>
      </x:c>
      <x:c r="G994" s="17" t="n">
        <x:v>26511</x:v>
      </x:c>
      <x:c r="H994" s="17" t="n">
        <x:v>7474</x:v>
      </x:c>
      <x:c r="I994" s="17" t="str">
        <x:v>Correction</x:v>
      </x:c>
      <x:c r="J994" s="27" t="n">
        <x:f>INDEX('Model Pricing'!$B$7:$B$8,MATCH(F994,'Model Pricing'!$A$7:$A$8,0))</x:f>
        <x:v>10</x:v>
      </x:c>
      <x:c r="K994" s="27" t="n">
        <x:f>INDEX('Model Pricing'!$C$7:$C$8,MATCH(F994,'Model Pricing'!$A$7:$A$8,0))</x:f>
        <x:v>30</x:v>
      </x:c>
      <x:c r="L994" s="17" t="n">
        <x:f>G994+H994</x:f>
        <x:v>33985</x:v>
      </x:c>
      <x:c r="M994" s="28" t="n">
        <x:f>G994*J994/1000000</x:f>
        <x:v>0.26511</x:v>
      </x:c>
      <x:c r="N994" s="28" t="n">
        <x:f>H994*K994/1000000</x:f>
        <x:v>0.22422</x:v>
      </x:c>
      <x:c r="O994" s="28" t="n">
        <x:f>SUM(M994:N994)</x:f>
        <x:v>0.48933000000000004</x:v>
      </x:c>
    </x:row>
    <x:row r="995" ht="23" customHeight="1">
      <x:c r="A995" s="17" t="str">
        <x:v>U00989</x:v>
      </x:c>
      <x:c r="B995" s="18" t="n">
        <x:v>46275</x:v>
      </x:c>
      <x:c r="C995" s="17" t="str">
        <x:v>W0094</x:v>
      </x:c>
      <x:c r="D995" s="17" t="str">
        <x:v>C002</x:v>
      </x:c>
      <x:c r="E995" s="17" t="str">
        <x:v>CopyStudio</x:v>
      </x:c>
      <x:c r="F995" s="17" t="str">
        <x:v>Lite</x:v>
      </x:c>
      <x:c r="G995" s="17" t="n">
        <x:v>47199</x:v>
      </x:c>
      <x:c r="H995" s="17" t="n">
        <x:v>4133</x:v>
      </x:c>
      <x:c r="I995" s="17" t="str">
        <x:v>Followup</x:v>
      </x:c>
      <x:c r="J995" s="27" t="n">
        <x:f>INDEX('Model Pricing'!$B$7:$B$8,MATCH(F995,'Model Pricing'!$A$7:$A$8,0))</x:f>
        <x:v>10</x:v>
      </x:c>
      <x:c r="K995" s="27" t="n">
        <x:f>INDEX('Model Pricing'!$C$7:$C$8,MATCH(F995,'Model Pricing'!$A$7:$A$8,0))</x:f>
        <x:v>30</x:v>
      </x:c>
      <x:c r="L995" s="17" t="n">
        <x:f>G995+H995</x:f>
        <x:v>51332</x:v>
      </x:c>
      <x:c r="M995" s="28" t="n">
        <x:f>G995*J995/1000000</x:f>
        <x:v>0.47199</x:v>
      </x:c>
      <x:c r="N995" s="28" t="n">
        <x:f>H995*K995/1000000</x:f>
        <x:v>0.12399</x:v>
      </x:c>
      <x:c r="O995" s="28" t="n">
        <x:f>SUM(M995:N995)</x:f>
        <x:v>0.5959800000000001</x:v>
      </x:c>
    </x:row>
    <x:row r="996" ht="23" customHeight="1">
      <x:c r="A996" s="17" t="str">
        <x:v>U00990</x:v>
      </x:c>
      <x:c r="B996" s="18" t="n">
        <x:v>46268</x:v>
      </x:c>
      <x:c r="C996" s="17" t="str">
        <x:v>W0099</x:v>
      </x:c>
      <x:c r="D996" s="17" t="str">
        <x:v>C002</x:v>
      </x:c>
      <x:c r="E996" s="17" t="str">
        <x:v>InsightDesk</x:v>
      </x:c>
      <x:c r="F996" s="17" t="str">
        <x:v>Lite</x:v>
      </x:c>
      <x:c r="G996" s="17" t="n">
        <x:v>42890</x:v>
      </x:c>
      <x:c r="H996" s="17" t="n">
        <x:v>5200</x:v>
      </x:c>
      <x:c r="I996" s="17" t="str">
        <x:v>First attempt</x:v>
      </x:c>
      <x:c r="J996" s="27" t="n">
        <x:f>INDEX('Model Pricing'!$B$7:$B$8,MATCH(F996,'Model Pricing'!$A$7:$A$8,0))</x:f>
        <x:v>10</x:v>
      </x:c>
      <x:c r="K996" s="27" t="n">
        <x:f>INDEX('Model Pricing'!$C$7:$C$8,MATCH(F996,'Model Pricing'!$A$7:$A$8,0))</x:f>
        <x:v>30</x:v>
      </x:c>
      <x:c r="L996" s="17" t="n">
        <x:f>G996+H996</x:f>
        <x:v>48090</x:v>
      </x:c>
      <x:c r="M996" s="28" t="n">
        <x:f>G996*J996/1000000</x:f>
        <x:v>0.4289</x:v>
      </x:c>
      <x:c r="N996" s="28" t="n">
        <x:f>H996*K996/1000000</x:f>
        <x:v>0.156</x:v>
      </x:c>
      <x:c r="O996" s="28" t="n">
        <x:f>SUM(M996:N996)</x:f>
        <x:v>0.5849</x:v>
      </x:c>
    </x:row>
    <x:row r="997" ht="23" customHeight="1">
      <x:c r="A997" s="17" t="str">
        <x:v>U00991</x:v>
      </x:c>
      <x:c r="B997" s="18" t="n">
        <x:v>46268</x:v>
      </x:c>
      <x:c r="C997" s="17" t="str">
        <x:v>W0099</x:v>
      </x:c>
      <x:c r="D997" s="17" t="str">
        <x:v>C002</x:v>
      </x:c>
      <x:c r="E997" s="17" t="str">
        <x:v>InsightDesk</x:v>
      </x:c>
      <x:c r="F997" s="17" t="str">
        <x:v>Lite</x:v>
      </x:c>
      <x:c r="G997" s="17" t="n">
        <x:v>47382</x:v>
      </x:c>
      <x:c r="H997" s="17" t="n">
        <x:v>5529</x:v>
      </x:c>
      <x:c r="I997" s="17" t="str">
        <x:v>Correction</x:v>
      </x:c>
      <x:c r="J997" s="27" t="n">
        <x:f>INDEX('Model Pricing'!$B$7:$B$8,MATCH(F997,'Model Pricing'!$A$7:$A$8,0))</x:f>
        <x:v>10</x:v>
      </x:c>
      <x:c r="K997" s="27" t="n">
        <x:f>INDEX('Model Pricing'!$C$7:$C$8,MATCH(F997,'Model Pricing'!$A$7:$A$8,0))</x:f>
        <x:v>30</x:v>
      </x:c>
      <x:c r="L997" s="17" t="n">
        <x:f>G997+H997</x:f>
        <x:v>52911</x:v>
      </x:c>
      <x:c r="M997" s="28" t="n">
        <x:f>G997*J997/1000000</x:f>
        <x:v>0.47382</x:v>
      </x:c>
      <x:c r="N997" s="28" t="n">
        <x:f>H997*K997/1000000</x:f>
        <x:v>0.16587</x:v>
      </x:c>
      <x:c r="O997" s="28" t="n">
        <x:f>SUM(M997:N997)</x:f>
        <x:v>0.63969</x:v>
      </x:c>
    </x:row>
    <x:row r="998" ht="23" customHeight="1">
      <x:c r="A998" s="17" t="str">
        <x:v>U00992</x:v>
      </x:c>
      <x:c r="B998" s="18" t="n">
        <x:v>46268</x:v>
      </x:c>
      <x:c r="C998" s="17" t="str">
        <x:v>W0099</x:v>
      </x:c>
      <x:c r="D998" s="17" t="str">
        <x:v>C002</x:v>
      </x:c>
      <x:c r="E998" s="17" t="str">
        <x:v>InsightDesk</x:v>
      </x:c>
      <x:c r="F998" s="17" t="str">
        <x:v>Lite</x:v>
      </x:c>
      <x:c r="G998" s="17" t="n">
        <x:v>33831</x:v>
      </x:c>
      <x:c r="H998" s="17" t="n">
        <x:v>2548</x:v>
      </x:c>
      <x:c r="I998" s="17" t="str">
        <x:v>Followup</x:v>
      </x:c>
      <x:c r="J998" s="27" t="n">
        <x:f>INDEX('Model Pricing'!$B$7:$B$8,MATCH(F998,'Model Pricing'!$A$7:$A$8,0))</x:f>
        <x:v>10</x:v>
      </x:c>
      <x:c r="K998" s="27" t="n">
        <x:f>INDEX('Model Pricing'!$C$7:$C$8,MATCH(F998,'Model Pricing'!$A$7:$A$8,0))</x:f>
        <x:v>30</x:v>
      </x:c>
      <x:c r="L998" s="17" t="n">
        <x:f>G998+H998</x:f>
        <x:v>36379</x:v>
      </x:c>
      <x:c r="M998" s="28" t="n">
        <x:f>G998*J998/1000000</x:f>
        <x:v>0.33831</x:v>
      </x:c>
      <x:c r="N998" s="28" t="n">
        <x:f>H998*K998/1000000</x:f>
        <x:v>0.07644</x:v>
      </x:c>
      <x:c r="O998" s="28" t="n">
        <x:f>SUM(M998:N998)</x:f>
        <x:v>0.41475</x:v>
      </x:c>
    </x:row>
    <x:row r="999" ht="23" customHeight="1">
      <x:c r="A999" s="17" t="str">
        <x:v>U00993</x:v>
      </x:c>
      <x:c r="B999" s="18" t="n">
        <x:v>46268</x:v>
      </x:c>
      <x:c r="C999" s="17" t="str">
        <x:v>W0099</x:v>
      </x:c>
      <x:c r="D999" s="17" t="str">
        <x:v>C002</x:v>
      </x:c>
      <x:c r="E999" s="17" t="str">
        <x:v>InsightDesk</x:v>
      </x:c>
      <x:c r="F999" s="17" t="str">
        <x:v>Lite</x:v>
      </x:c>
      <x:c r="G999" s="17" t="n">
        <x:v>43607</x:v>
      </x:c>
      <x:c r="H999" s="17" t="n">
        <x:v>3707</x:v>
      </x:c>
      <x:c r="I999" s="17" t="str">
        <x:v>Correction</x:v>
      </x:c>
      <x:c r="J999" s="27" t="n">
        <x:f>INDEX('Model Pricing'!$B$7:$B$8,MATCH(F999,'Model Pricing'!$A$7:$A$8,0))</x:f>
        <x:v>10</x:v>
      </x:c>
      <x:c r="K999" s="27" t="n">
        <x:f>INDEX('Model Pricing'!$C$7:$C$8,MATCH(F999,'Model Pricing'!$A$7:$A$8,0))</x:f>
        <x:v>30</x:v>
      </x:c>
      <x:c r="L999" s="17" t="n">
        <x:f>G999+H999</x:f>
        <x:v>47314</x:v>
      </x:c>
      <x:c r="M999" s="28" t="n">
        <x:f>G999*J999/1000000</x:f>
        <x:v>0.43607</x:v>
      </x:c>
      <x:c r="N999" s="28" t="n">
        <x:f>H999*K999/1000000</x:f>
        <x:v>0.11121</x:v>
      </x:c>
      <x:c r="O999" s="28" t="n">
        <x:f>SUM(M999:N999)</x:f>
        <x:v>0.54728</x:v>
      </x:c>
    </x:row>
    <x:row r="1000" ht="23" customHeight="1">
      <x:c r="A1000" s="17" t="str">
        <x:v>U00994</x:v>
      </x:c>
      <x:c r="B1000" s="18" t="n">
        <x:v>46268</x:v>
      </x:c>
      <x:c r="C1000" s="17" t="str">
        <x:v>W0099</x:v>
      </x:c>
      <x:c r="D1000" s="17" t="str">
        <x:v>C002</x:v>
      </x:c>
      <x:c r="E1000" s="17" t="str">
        <x:v>InsightDesk</x:v>
      </x:c>
      <x:c r="F1000" s="17" t="str">
        <x:v>Lite</x:v>
      </x:c>
      <x:c r="G1000" s="17" t="n">
        <x:v>45891</x:v>
      </x:c>
      <x:c r="H1000" s="17" t="n">
        <x:v>1576</x:v>
      </x:c>
      <x:c r="I1000" s="17" t="str">
        <x:v>Correction</x:v>
      </x:c>
      <x:c r="J1000" s="27" t="n">
        <x:f>INDEX('Model Pricing'!$B$7:$B$8,MATCH(F1000,'Model Pricing'!$A$7:$A$8,0))</x:f>
        <x:v>10</x:v>
      </x:c>
      <x:c r="K1000" s="27" t="n">
        <x:f>INDEX('Model Pricing'!$C$7:$C$8,MATCH(F1000,'Model Pricing'!$A$7:$A$8,0))</x:f>
        <x:v>30</x:v>
      </x:c>
      <x:c r="L1000" s="17" t="n">
        <x:f>G1000+H1000</x:f>
        <x:v>47467</x:v>
      </x:c>
      <x:c r="M1000" s="28" t="n">
        <x:f>G1000*J1000/1000000</x:f>
        <x:v>0.45891</x:v>
      </x:c>
      <x:c r="N1000" s="28" t="n">
        <x:f>H1000*K1000/1000000</x:f>
        <x:v>0.04728</x:v>
      </x:c>
      <x:c r="O1000" s="28" t="n">
        <x:f>SUM(M1000:N1000)</x:f>
        <x:v>0.50619</x:v>
      </x:c>
    </x:row>
    <x:row r="1001" ht="23" customHeight="1">
      <x:c r="A1001" s="17" t="str">
        <x:v>U00995</x:v>
      </x:c>
      <x:c r="B1001" s="18" t="n">
        <x:v>46269</x:v>
      </x:c>
      <x:c r="C1001" s="17" t="str">
        <x:v>W0099</x:v>
      </x:c>
      <x:c r="D1001" s="17" t="str">
        <x:v>C002</x:v>
      </x:c>
      <x:c r="E1001" s="17" t="str">
        <x:v>InsightDesk</x:v>
      </x:c>
      <x:c r="F1001" s="17" t="str">
        <x:v>Lite</x:v>
      </x:c>
      <x:c r="G1001" s="17" t="n">
        <x:v>28545</x:v>
      </x:c>
      <x:c r="H1001" s="17" t="n">
        <x:v>4059</x:v>
      </x:c>
      <x:c r="I1001" s="17" t="str">
        <x:v>Followup</x:v>
      </x:c>
      <x:c r="J1001" s="27" t="n">
        <x:f>INDEX('Model Pricing'!$B$7:$B$8,MATCH(F1001,'Model Pricing'!$A$7:$A$8,0))</x:f>
        <x:v>10</x:v>
      </x:c>
      <x:c r="K1001" s="27" t="n">
        <x:f>INDEX('Model Pricing'!$C$7:$C$8,MATCH(F1001,'Model Pricing'!$A$7:$A$8,0))</x:f>
        <x:v>30</x:v>
      </x:c>
      <x:c r="L1001" s="17" t="n">
        <x:f>G1001+H1001</x:f>
        <x:v>32604</x:v>
      </x:c>
      <x:c r="M1001" s="28" t="n">
        <x:f>G1001*J1001/1000000</x:f>
        <x:v>0.28545</x:v>
      </x:c>
      <x:c r="N1001" s="28" t="n">
        <x:f>H1001*K1001/1000000</x:f>
        <x:v>0.12177</x:v>
      </x:c>
      <x:c r="O1001" s="28" t="n">
        <x:f>SUM(M1001:N1001)</x:f>
        <x:v>0.40721999999999997</x:v>
      </x:c>
    </x:row>
    <x:row r="1002" ht="23" customHeight="1">
      <x:c r="A1002" s="17" t="str">
        <x:v>U00996</x:v>
      </x:c>
      <x:c r="B1002" s="18" t="n">
        <x:v>46269</x:v>
      </x:c>
      <x:c r="C1002" s="17" t="str">
        <x:v>W0099</x:v>
      </x:c>
      <x:c r="D1002" s="17" t="str">
        <x:v>C002</x:v>
      </x:c>
      <x:c r="E1002" s="17" t="str">
        <x:v>InsightDesk</x:v>
      </x:c>
      <x:c r="F1002" s="17" t="str">
        <x:v>Lite</x:v>
      </x:c>
      <x:c r="G1002" s="17" t="n">
        <x:v>21969</x:v>
      </x:c>
      <x:c r="H1002" s="17" t="n">
        <x:v>5186</x:v>
      </x:c>
      <x:c r="I1002" s="17" t="str">
        <x:v>Followup</x:v>
      </x:c>
      <x:c r="J1002" s="27" t="n">
        <x:f>INDEX('Model Pricing'!$B$7:$B$8,MATCH(F1002,'Model Pricing'!$A$7:$A$8,0))</x:f>
        <x:v>10</x:v>
      </x:c>
      <x:c r="K1002" s="27" t="n">
        <x:f>INDEX('Model Pricing'!$C$7:$C$8,MATCH(F1002,'Model Pricing'!$A$7:$A$8,0))</x:f>
        <x:v>30</x:v>
      </x:c>
      <x:c r="L1002" s="17" t="n">
        <x:f>G1002+H1002</x:f>
        <x:v>27155</x:v>
      </x:c>
      <x:c r="M1002" s="28" t="n">
        <x:f>G1002*J1002/1000000</x:f>
        <x:v>0.21969</x:v>
      </x:c>
      <x:c r="N1002" s="28" t="n">
        <x:f>H1002*K1002/1000000</x:f>
        <x:v>0.15558</x:v>
      </x:c>
      <x:c r="O1002" s="28" t="n">
        <x:f>SUM(M1002:N1002)</x:f>
        <x:v>0.37527</x:v>
      </x:c>
    </x:row>
    <x:row r="1003" ht="23" customHeight="1">
      <x:c r="A1003" s="17" t="str">
        <x:v>U00997</x:v>
      </x:c>
      <x:c r="B1003" s="18" t="n">
        <x:v>46269</x:v>
      </x:c>
      <x:c r="C1003" s="17" t="str">
        <x:v>W0099</x:v>
      </x:c>
      <x:c r="D1003" s="17" t="str">
        <x:v>C002</x:v>
      </x:c>
      <x:c r="E1003" s="17" t="str">
        <x:v>InsightDesk</x:v>
      </x:c>
      <x:c r="F1003" s="17" t="str">
        <x:v>Lite</x:v>
      </x:c>
      <x:c r="G1003" s="17" t="n">
        <x:v>30672</x:v>
      </x:c>
      <x:c r="H1003" s="17" t="n">
        <x:v>4495</x:v>
      </x:c>
      <x:c r="I1003" s="17" t="str">
        <x:v>Followup</x:v>
      </x:c>
      <x:c r="J1003" s="27" t="n">
        <x:f>INDEX('Model Pricing'!$B$7:$B$8,MATCH(F1003,'Model Pricing'!$A$7:$A$8,0))</x:f>
        <x:v>10</x:v>
      </x:c>
      <x:c r="K1003" s="27" t="n">
        <x:f>INDEX('Model Pricing'!$C$7:$C$8,MATCH(F1003,'Model Pricing'!$A$7:$A$8,0))</x:f>
        <x:v>30</x:v>
      </x:c>
      <x:c r="L1003" s="17" t="n">
        <x:f>G1003+H1003</x:f>
        <x:v>35167</x:v>
      </x:c>
      <x:c r="M1003" s="28" t="n">
        <x:f>G1003*J1003/1000000</x:f>
        <x:v>0.30672</x:v>
      </x:c>
      <x:c r="N1003" s="28" t="n">
        <x:f>H1003*K1003/1000000</x:f>
        <x:v>0.13485</x:v>
      </x:c>
      <x:c r="O1003" s="28" t="n">
        <x:f>SUM(M1003:N1003)</x:f>
        <x:v>0.44157</x:v>
      </x:c>
    </x:row>
    <x:row r="1004" ht="23" customHeight="1">
      <x:c r="A1004" s="17" t="str">
        <x:v>U00998</x:v>
      </x:c>
      <x:c r="B1004" s="18" t="n">
        <x:v>46269</x:v>
      </x:c>
      <x:c r="C1004" s="17" t="str">
        <x:v>W0099</x:v>
      </x:c>
      <x:c r="D1004" s="17" t="str">
        <x:v>C002</x:v>
      </x:c>
      <x:c r="E1004" s="17" t="str">
        <x:v>InsightDesk</x:v>
      </x:c>
      <x:c r="F1004" s="17" t="str">
        <x:v>Lite</x:v>
      </x:c>
      <x:c r="G1004" s="17" t="n">
        <x:v>35917</x:v>
      </x:c>
      <x:c r="H1004" s="17" t="n">
        <x:v>4039</x:v>
      </x:c>
      <x:c r="I1004" s="17" t="str">
        <x:v>Correction</x:v>
      </x:c>
      <x:c r="J1004" s="27" t="n">
        <x:f>INDEX('Model Pricing'!$B$7:$B$8,MATCH(F1004,'Model Pricing'!$A$7:$A$8,0))</x:f>
        <x:v>10</x:v>
      </x:c>
      <x:c r="K1004" s="27" t="n">
        <x:f>INDEX('Model Pricing'!$C$7:$C$8,MATCH(F1004,'Model Pricing'!$A$7:$A$8,0))</x:f>
        <x:v>30</x:v>
      </x:c>
      <x:c r="L1004" s="17" t="n">
        <x:f>G1004+H1004</x:f>
        <x:v>39956</x:v>
      </x:c>
      <x:c r="M1004" s="28" t="n">
        <x:f>G1004*J1004/1000000</x:f>
        <x:v>0.35917</x:v>
      </x:c>
      <x:c r="N1004" s="28" t="n">
        <x:f>H1004*K1004/1000000</x:f>
        <x:v>0.12117</x:v>
      </x:c>
      <x:c r="O1004" s="28" t="n">
        <x:f>SUM(M1004:N1004)</x:f>
        <x:v>0.48034</x:v>
      </x:c>
    </x:row>
    <x:row r="1005" ht="23" customHeight="1">
      <x:c r="A1005" s="17" t="str">
        <x:v>U00999</x:v>
      </x:c>
      <x:c r="B1005" s="18" t="n">
        <x:v>46273</x:v>
      </x:c>
      <x:c r="C1005" s="17" t="str">
        <x:v>W0099</x:v>
      </x:c>
      <x:c r="D1005" s="17" t="str">
        <x:v>C002</x:v>
      </x:c>
      <x:c r="E1005" s="17" t="str">
        <x:v>InsightDesk</x:v>
      </x:c>
      <x:c r="F1005" s="17" t="str">
        <x:v>Lite</x:v>
      </x:c>
      <x:c r="G1005" s="17" t="n">
        <x:v>44261</x:v>
      </x:c>
      <x:c r="H1005" s="17" t="n">
        <x:v>3894</x:v>
      </x:c>
      <x:c r="I1005" s="17" t="str">
        <x:v>Followup</x:v>
      </x:c>
      <x:c r="J1005" s="27" t="n">
        <x:f>INDEX('Model Pricing'!$B$7:$B$8,MATCH(F1005,'Model Pricing'!$A$7:$A$8,0))</x:f>
        <x:v>10</x:v>
      </x:c>
      <x:c r="K1005" s="27" t="n">
        <x:f>INDEX('Model Pricing'!$C$7:$C$8,MATCH(F1005,'Model Pricing'!$A$7:$A$8,0))</x:f>
        <x:v>30</x:v>
      </x:c>
      <x:c r="L1005" s="17" t="n">
        <x:f>G1005+H1005</x:f>
        <x:v>48155</x:v>
      </x:c>
      <x:c r="M1005" s="28" t="n">
        <x:f>G1005*J1005/1000000</x:f>
        <x:v>0.44261</x:v>
      </x:c>
      <x:c r="N1005" s="28" t="n">
        <x:f>H1005*K1005/1000000</x:f>
        <x:v>0.11682</x:v>
      </x:c>
      <x:c r="O1005" s="28" t="n">
        <x:f>SUM(M1005:N1005)</x:f>
        <x:v>0.55943</x:v>
      </x:c>
    </x:row>
    <x:row r="1006" ht="23" customHeight="1">
      <x:c r="A1006" s="17" t="str">
        <x:v>U01000</x:v>
      </x:c>
      <x:c r="B1006" s="18" t="n">
        <x:v>46273</x:v>
      </x:c>
      <x:c r="C1006" s="17" t="str">
        <x:v>W0099</x:v>
      </x:c>
      <x:c r="D1006" s="17" t="str">
        <x:v>C002</x:v>
      </x:c>
      <x:c r="E1006" s="17" t="str">
        <x:v>InsightDesk</x:v>
      </x:c>
      <x:c r="F1006" s="17" t="str">
        <x:v>Lite</x:v>
      </x:c>
      <x:c r="G1006" s="17" t="n">
        <x:v>41590</x:v>
      </x:c>
      <x:c r="H1006" s="17" t="n">
        <x:v>4561</x:v>
      </x:c>
      <x:c r="I1006" s="17" t="str">
        <x:v>Followup</x:v>
      </x:c>
      <x:c r="J1006" s="27" t="n">
        <x:f>INDEX('Model Pricing'!$B$7:$B$8,MATCH(F1006,'Model Pricing'!$A$7:$A$8,0))</x:f>
        <x:v>10</x:v>
      </x:c>
      <x:c r="K1006" s="27" t="n">
        <x:f>INDEX('Model Pricing'!$C$7:$C$8,MATCH(F1006,'Model Pricing'!$A$7:$A$8,0))</x:f>
        <x:v>30</x:v>
      </x:c>
      <x:c r="L1006" s="17" t="n">
        <x:f>G1006+H1006</x:f>
        <x:v>46151</x:v>
      </x:c>
      <x:c r="M1006" s="28" t="n">
        <x:f>G1006*J1006/1000000</x:f>
        <x:v>0.4159</x:v>
      </x:c>
      <x:c r="N1006" s="28" t="n">
        <x:f>H1006*K1006/1000000</x:f>
        <x:v>0.13683</x:v>
      </x:c>
      <x:c r="O1006" s="28" t="n">
        <x:f>SUM(M1006:N1006)</x:f>
        <x:v>0.5527299999999999</x:v>
      </x:c>
    </x:row>
    <x:row r="1007" ht="23" customHeight="1">
      <x:c r="A1007" s="17" t="str">
        <x:v>U01001</x:v>
      </x:c>
      <x:c r="B1007" s="18" t="n">
        <x:v>46273</x:v>
      </x:c>
      <x:c r="C1007" s="17" t="str">
        <x:v>W0099</x:v>
      </x:c>
      <x:c r="D1007" s="17" t="str">
        <x:v>C002</x:v>
      </x:c>
      <x:c r="E1007" s="17" t="str">
        <x:v>InsightDesk</x:v>
      </x:c>
      <x:c r="F1007" s="17" t="str">
        <x:v>Lite</x:v>
      </x:c>
      <x:c r="G1007" s="17" t="n">
        <x:v>29977</x:v>
      </x:c>
      <x:c r="H1007" s="17" t="n">
        <x:v>4509</x:v>
      </x:c>
      <x:c r="I1007" s="17" t="str">
        <x:v>Followup</x:v>
      </x:c>
      <x:c r="J1007" s="27" t="n">
        <x:f>INDEX('Model Pricing'!$B$7:$B$8,MATCH(F1007,'Model Pricing'!$A$7:$A$8,0))</x:f>
        <x:v>10</x:v>
      </x:c>
      <x:c r="K1007" s="27" t="n">
        <x:f>INDEX('Model Pricing'!$C$7:$C$8,MATCH(F1007,'Model Pricing'!$A$7:$A$8,0))</x:f>
        <x:v>30</x:v>
      </x:c>
      <x:c r="L1007" s="17" t="n">
        <x:f>G1007+H1007</x:f>
        <x:v>34486</x:v>
      </x:c>
      <x:c r="M1007" s="28" t="n">
        <x:f>G1007*J1007/1000000</x:f>
        <x:v>0.29977</x:v>
      </x:c>
      <x:c r="N1007" s="28" t="n">
        <x:f>H1007*K1007/1000000</x:f>
        <x:v>0.13527</x:v>
      </x:c>
      <x:c r="O1007" s="28" t="n">
        <x:f>SUM(M1007:N1007)</x:f>
        <x:v>0.43504</x:v>
      </x:c>
    </x:row>
    <x:row r="1008" ht="23" customHeight="1">
      <x:c r="A1008" s="17" t="str">
        <x:v>U01002</x:v>
      </x:c>
      <x:c r="B1008" s="18" t="n">
        <x:v>46273</x:v>
      </x:c>
      <x:c r="C1008" s="17" t="str">
        <x:v>W0099</x:v>
      </x:c>
      <x:c r="D1008" s="17" t="str">
        <x:v>C002</x:v>
      </x:c>
      <x:c r="E1008" s="17" t="str">
        <x:v>InsightDesk</x:v>
      </x:c>
      <x:c r="F1008" s="17" t="str">
        <x:v>Lite</x:v>
      </x:c>
      <x:c r="G1008" s="17" t="n">
        <x:v>50445</x:v>
      </x:c>
      <x:c r="H1008" s="17" t="n">
        <x:v>3615</x:v>
      </x:c>
      <x:c r="I1008" s="17" t="str">
        <x:v>Correction</x:v>
      </x:c>
      <x:c r="J1008" s="27" t="n">
        <x:f>INDEX('Model Pricing'!$B$7:$B$8,MATCH(F1008,'Model Pricing'!$A$7:$A$8,0))</x:f>
        <x:v>10</x:v>
      </x:c>
      <x:c r="K1008" s="27" t="n">
        <x:f>INDEX('Model Pricing'!$C$7:$C$8,MATCH(F1008,'Model Pricing'!$A$7:$A$8,0))</x:f>
        <x:v>30</x:v>
      </x:c>
      <x:c r="L1008" s="17" t="n">
        <x:f>G1008+H1008</x:f>
        <x:v>54060</x:v>
      </x:c>
      <x:c r="M1008" s="28" t="n">
        <x:f>G1008*J1008/1000000</x:f>
        <x:v>0.50445</x:v>
      </x:c>
      <x:c r="N1008" s="28" t="n">
        <x:f>H1008*K1008/1000000</x:f>
        <x:v>0.10845</x:v>
      </x:c>
      <x:c r="O1008" s="28" t="n">
        <x:f>SUM(M1008:N1008)</x:f>
        <x:v>0.6129</x:v>
      </x:c>
    </x:row>
    <x:row r="1009" ht="23" customHeight="1">
      <x:c r="A1009" s="17" t="str">
        <x:v>U01003</x:v>
      </x:c>
      <x:c r="B1009" s="18" t="n">
        <x:v>46274</x:v>
      </x:c>
      <x:c r="C1009" s="17" t="str">
        <x:v>W0099</x:v>
      </x:c>
      <x:c r="D1009" s="17" t="str">
        <x:v>C002</x:v>
      </x:c>
      <x:c r="E1009" s="17" t="str">
        <x:v>InsightDesk</x:v>
      </x:c>
      <x:c r="F1009" s="17" t="str">
        <x:v>Lite</x:v>
      </x:c>
      <x:c r="G1009" s="17" t="n">
        <x:v>19330</x:v>
      </x:c>
      <x:c r="H1009" s="17" t="n">
        <x:v>2220</x:v>
      </x:c>
      <x:c r="I1009" s="17" t="str">
        <x:v>Followup</x:v>
      </x:c>
      <x:c r="J1009" s="27" t="n">
        <x:f>INDEX('Model Pricing'!$B$7:$B$8,MATCH(F1009,'Model Pricing'!$A$7:$A$8,0))</x:f>
        <x:v>10</x:v>
      </x:c>
      <x:c r="K1009" s="27" t="n">
        <x:f>INDEX('Model Pricing'!$C$7:$C$8,MATCH(F1009,'Model Pricing'!$A$7:$A$8,0))</x:f>
        <x:v>30</x:v>
      </x:c>
      <x:c r="L1009" s="17" t="n">
        <x:f>G1009+H1009</x:f>
        <x:v>21550</x:v>
      </x:c>
      <x:c r="M1009" s="28" t="n">
        <x:f>G1009*J1009/1000000</x:f>
        <x:v>0.1933</x:v>
      </x:c>
      <x:c r="N1009" s="28" t="n">
        <x:f>H1009*K1009/1000000</x:f>
        <x:v>0.0666</x:v>
      </x:c>
      <x:c r="O1009" s="28" t="n">
        <x:f>SUM(M1009:N1009)</x:f>
        <x:v>0.2599</x:v>
      </x:c>
    </x:row>
    <x:row r="1010" ht="23" customHeight="1">
      <x:c r="A1010" s="17" t="str">
        <x:v>U01004</x:v>
      </x:c>
      <x:c r="B1010" s="18" t="n">
        <x:v>46274</x:v>
      </x:c>
      <x:c r="C1010" s="17" t="str">
        <x:v>W0099</x:v>
      </x:c>
      <x:c r="D1010" s="17" t="str">
        <x:v>C002</x:v>
      </x:c>
      <x:c r="E1010" s="17" t="str">
        <x:v>InsightDesk</x:v>
      </x:c>
      <x:c r="F1010" s="17" t="str">
        <x:v>Lite</x:v>
      </x:c>
      <x:c r="G1010" s="17" t="n">
        <x:v>48091</x:v>
      </x:c>
      <x:c r="H1010" s="17" t="n">
        <x:v>2178</x:v>
      </x:c>
      <x:c r="I1010" s="17" t="str">
        <x:v>Followup</x:v>
      </x:c>
      <x:c r="J1010" s="27" t="n">
        <x:f>INDEX('Model Pricing'!$B$7:$B$8,MATCH(F1010,'Model Pricing'!$A$7:$A$8,0))</x:f>
        <x:v>10</x:v>
      </x:c>
      <x:c r="K1010" s="27" t="n">
        <x:f>INDEX('Model Pricing'!$C$7:$C$8,MATCH(F1010,'Model Pricing'!$A$7:$A$8,0))</x:f>
        <x:v>30</x:v>
      </x:c>
      <x:c r="L1010" s="17" t="n">
        <x:f>G1010+H1010</x:f>
        <x:v>50269</x:v>
      </x:c>
      <x:c r="M1010" s="28" t="n">
        <x:f>G1010*J1010/1000000</x:f>
        <x:v>0.48091</x:v>
      </x:c>
      <x:c r="N1010" s="28" t="n">
        <x:f>H1010*K1010/1000000</x:f>
        <x:v>0.06534</x:v>
      </x:c>
      <x:c r="O1010" s="28" t="n">
        <x:f>SUM(M1010:N1010)</x:f>
        <x:v>0.54625</x:v>
      </x:c>
    </x:row>
    <x:row r="1011" ht="23" customHeight="1">
      <x:c r="A1011" s="17" t="str">
        <x:v>U01005</x:v>
      </x:c>
      <x:c r="B1011" s="18" t="n">
        <x:v>46274</x:v>
      </x:c>
      <x:c r="C1011" s="17" t="str">
        <x:v>W0099</x:v>
      </x:c>
      <x:c r="D1011" s="17" t="str">
        <x:v>C002</x:v>
      </x:c>
      <x:c r="E1011" s="17" t="str">
        <x:v>InsightDesk</x:v>
      </x:c>
      <x:c r="F1011" s="17" t="str">
        <x:v>Lite</x:v>
      </x:c>
      <x:c r="G1011" s="17" t="n">
        <x:v>38804</x:v>
      </x:c>
      <x:c r="H1011" s="17" t="n">
        <x:v>4984</x:v>
      </x:c>
      <x:c r="I1011" s="17" t="str">
        <x:v>Followup</x:v>
      </x:c>
      <x:c r="J1011" s="27" t="n">
        <x:f>INDEX('Model Pricing'!$B$7:$B$8,MATCH(F1011,'Model Pricing'!$A$7:$A$8,0))</x:f>
        <x:v>10</x:v>
      </x:c>
      <x:c r="K1011" s="27" t="n">
        <x:f>INDEX('Model Pricing'!$C$7:$C$8,MATCH(F1011,'Model Pricing'!$A$7:$A$8,0))</x:f>
        <x:v>30</x:v>
      </x:c>
      <x:c r="L1011" s="17" t="n">
        <x:f>G1011+H1011</x:f>
        <x:v>43788</x:v>
      </x:c>
      <x:c r="M1011" s="28" t="n">
        <x:f>G1011*J1011/1000000</x:f>
        <x:v>0.38804</x:v>
      </x:c>
      <x:c r="N1011" s="28" t="n">
        <x:f>H1011*K1011/1000000</x:f>
        <x:v>0.14952</x:v>
      </x:c>
      <x:c r="O1011" s="28" t="n">
        <x:f>SUM(M1011:N1011)</x:f>
        <x:v>0.53756</x:v>
      </x:c>
    </x:row>
    <x:row r="1012" ht="23" customHeight="1">
      <x:c r="A1012" s="17" t="str">
        <x:v>U01006</x:v>
      </x:c>
      <x:c r="B1012" s="18" t="n">
        <x:v>46274</x:v>
      </x:c>
      <x:c r="C1012" s="17" t="str">
        <x:v>W0099</x:v>
      </x:c>
      <x:c r="D1012" s="17" t="str">
        <x:v>C002</x:v>
      </x:c>
      <x:c r="E1012" s="17" t="str">
        <x:v>InsightDesk</x:v>
      </x:c>
      <x:c r="F1012" s="17" t="str">
        <x:v>Lite</x:v>
      </x:c>
      <x:c r="G1012" s="17" t="n">
        <x:v>49308</x:v>
      </x:c>
      <x:c r="H1012" s="17" t="n">
        <x:v>2068</x:v>
      </x:c>
      <x:c r="I1012" s="17" t="str">
        <x:v>Followup</x:v>
      </x:c>
      <x:c r="J1012" s="27" t="n">
        <x:f>INDEX('Model Pricing'!$B$7:$B$8,MATCH(F1012,'Model Pricing'!$A$7:$A$8,0))</x:f>
        <x:v>10</x:v>
      </x:c>
      <x:c r="K1012" s="27" t="n">
        <x:f>INDEX('Model Pricing'!$C$7:$C$8,MATCH(F1012,'Model Pricing'!$A$7:$A$8,0))</x:f>
        <x:v>30</x:v>
      </x:c>
      <x:c r="L1012" s="17" t="n">
        <x:f>G1012+H1012</x:f>
        <x:v>51376</x:v>
      </x:c>
      <x:c r="M1012" s="28" t="n">
        <x:f>G1012*J1012/1000000</x:f>
        <x:v>0.49308</x:v>
      </x:c>
      <x:c r="N1012" s="28" t="n">
        <x:f>H1012*K1012/1000000</x:f>
        <x:v>0.06204</x:v>
      </x:c>
      <x:c r="O1012" s="28" t="n">
        <x:f>SUM(M1012:N1012)</x:f>
        <x:v>0.5551200000000001</x:v>
      </x:c>
    </x:row>
    <x:row r="1013" ht="23" customHeight="1">
      <x:c r="A1013" s="17" t="str">
        <x:v>U01007</x:v>
      </x:c>
      <x:c r="B1013" s="18" t="n">
        <x:v>46274</x:v>
      </x:c>
      <x:c r="C1013" s="17" t="str">
        <x:v>W0102</x:v>
      </x:c>
      <x:c r="D1013" s="17" t="str">
        <x:v>C002</x:v>
      </x:c>
      <x:c r="E1013" s="17" t="str">
        <x:v>DataFlow</x:v>
      </x:c>
      <x:c r="F1013" s="17" t="str">
        <x:v>Lite</x:v>
      </x:c>
      <x:c r="G1013" s="17" t="n">
        <x:v>44478</x:v>
      </x:c>
      <x:c r="H1013" s="17" t="n">
        <x:v>4338</x:v>
      </x:c>
      <x:c r="I1013" s="17" t="str">
        <x:v>First attempt</x:v>
      </x:c>
      <x:c r="J1013" s="27" t="n">
        <x:f>INDEX('Model Pricing'!$B$7:$B$8,MATCH(F1013,'Model Pricing'!$A$7:$A$8,0))</x:f>
        <x:v>10</x:v>
      </x:c>
      <x:c r="K1013" s="27" t="n">
        <x:f>INDEX('Model Pricing'!$C$7:$C$8,MATCH(F1013,'Model Pricing'!$A$7:$A$8,0))</x:f>
        <x:v>30</x:v>
      </x:c>
      <x:c r="L1013" s="17" t="n">
        <x:f>G1013+H1013</x:f>
        <x:v>48816</x:v>
      </x:c>
      <x:c r="M1013" s="28" t="n">
        <x:f>G1013*J1013/1000000</x:f>
        <x:v>0.44478</x:v>
      </x:c>
      <x:c r="N1013" s="28" t="n">
        <x:f>H1013*K1013/1000000</x:f>
        <x:v>0.13014</x:v>
      </x:c>
      <x:c r="O1013" s="28" t="n">
        <x:f>SUM(M1013:N1013)</x:f>
        <x:v>0.57492</x:v>
      </x:c>
    </x:row>
    <x:row r="1014" ht="23" customHeight="1">
      <x:c r="A1014" s="17" t="str">
        <x:v>U01008</x:v>
      </x:c>
      <x:c r="B1014" s="18" t="n">
        <x:v>46274</x:v>
      </x:c>
      <x:c r="C1014" s="17" t="str">
        <x:v>W0102</x:v>
      </x:c>
      <x:c r="D1014" s="17" t="str">
        <x:v>C002</x:v>
      </x:c>
      <x:c r="E1014" s="17" t="str">
        <x:v>DataFlow</x:v>
      </x:c>
      <x:c r="F1014" s="17" t="str">
        <x:v>Lite</x:v>
      </x:c>
      <x:c r="G1014" s="17" t="n">
        <x:v>35446</x:v>
      </x:c>
      <x:c r="H1014" s="17" t="n">
        <x:v>6100</x:v>
      </x:c>
      <x:c r="I1014" s="17" t="str">
        <x:v>Correction</x:v>
      </x:c>
      <x:c r="J1014" s="27" t="n">
        <x:f>INDEX('Model Pricing'!$B$7:$B$8,MATCH(F1014,'Model Pricing'!$A$7:$A$8,0))</x:f>
        <x:v>10</x:v>
      </x:c>
      <x:c r="K1014" s="27" t="n">
        <x:f>INDEX('Model Pricing'!$C$7:$C$8,MATCH(F1014,'Model Pricing'!$A$7:$A$8,0))</x:f>
        <x:v>30</x:v>
      </x:c>
      <x:c r="L1014" s="17" t="n">
        <x:f>G1014+H1014</x:f>
        <x:v>41546</x:v>
      </x:c>
      <x:c r="M1014" s="28" t="n">
        <x:f>G1014*J1014/1000000</x:f>
        <x:v>0.35446</x:v>
      </x:c>
      <x:c r="N1014" s="28" t="n">
        <x:f>H1014*K1014/1000000</x:f>
        <x:v>0.183</x:v>
      </x:c>
      <x:c r="O1014" s="28" t="n">
        <x:f>SUM(M1014:N1014)</x:f>
        <x:v>0.53746</x:v>
      </x:c>
    </x:row>
    <x:row r="1015" ht="23" customHeight="1">
      <x:c r="A1015" s="17" t="str">
        <x:v>U01009</x:v>
      </x:c>
      <x:c r="B1015" s="18" t="n">
        <x:v>46274</x:v>
      </x:c>
      <x:c r="C1015" s="17" t="str">
        <x:v>W0102</x:v>
      </x:c>
      <x:c r="D1015" s="17" t="str">
        <x:v>C002</x:v>
      </x:c>
      <x:c r="E1015" s="17" t="str">
        <x:v>DataFlow</x:v>
      </x:c>
      <x:c r="F1015" s="17" t="str">
        <x:v>Lite</x:v>
      </x:c>
      <x:c r="G1015" s="17" t="n">
        <x:v>23557</x:v>
      </x:c>
      <x:c r="H1015" s="17" t="n">
        <x:v>6641</x:v>
      </x:c>
      <x:c r="I1015" s="17" t="str">
        <x:v>Correction</x:v>
      </x:c>
      <x:c r="J1015" s="27" t="n">
        <x:f>INDEX('Model Pricing'!$B$7:$B$8,MATCH(F1015,'Model Pricing'!$A$7:$A$8,0))</x:f>
        <x:v>10</x:v>
      </x:c>
      <x:c r="K1015" s="27" t="n">
        <x:f>INDEX('Model Pricing'!$C$7:$C$8,MATCH(F1015,'Model Pricing'!$A$7:$A$8,0))</x:f>
        <x:v>30</x:v>
      </x:c>
      <x:c r="L1015" s="17" t="n">
        <x:f>G1015+H1015</x:f>
        <x:v>30198</x:v>
      </x:c>
      <x:c r="M1015" s="28" t="n">
        <x:f>G1015*J1015/1000000</x:f>
        <x:v>0.23557</x:v>
      </x:c>
      <x:c r="N1015" s="28" t="n">
        <x:f>H1015*K1015/1000000</x:f>
        <x:v>0.19923</x:v>
      </x:c>
      <x:c r="O1015" s="28" t="n">
        <x:f>SUM(M1015:N1015)</x:f>
        <x:v>0.43479999999999996</x:v>
      </x:c>
    </x:row>
    <x:row r="1016" ht="23" customHeight="1">
      <x:c r="A1016" s="17" t="str">
        <x:v>U01010</x:v>
      </x:c>
      <x:c r="B1016" s="18" t="n">
        <x:v>46274</x:v>
      </x:c>
      <x:c r="C1016" s="17" t="str">
        <x:v>W0102</x:v>
      </x:c>
      <x:c r="D1016" s="17" t="str">
        <x:v>C002</x:v>
      </x:c>
      <x:c r="E1016" s="17" t="str">
        <x:v>DataFlow</x:v>
      </x:c>
      <x:c r="F1016" s="17" t="str">
        <x:v>Lite</x:v>
      </x:c>
      <x:c r="G1016" s="17" t="n">
        <x:v>40692</x:v>
      </x:c>
      <x:c r="H1016" s="17" t="n">
        <x:v>6536</x:v>
      </x:c>
      <x:c r="I1016" s="17" t="str">
        <x:v>Correction</x:v>
      </x:c>
      <x:c r="J1016" s="27" t="n">
        <x:f>INDEX('Model Pricing'!$B$7:$B$8,MATCH(F1016,'Model Pricing'!$A$7:$A$8,0))</x:f>
        <x:v>10</x:v>
      </x:c>
      <x:c r="K1016" s="27" t="n">
        <x:f>INDEX('Model Pricing'!$C$7:$C$8,MATCH(F1016,'Model Pricing'!$A$7:$A$8,0))</x:f>
        <x:v>30</x:v>
      </x:c>
      <x:c r="L1016" s="17" t="n">
        <x:f>G1016+H1016</x:f>
        <x:v>47228</x:v>
      </x:c>
      <x:c r="M1016" s="28" t="n">
        <x:f>G1016*J1016/1000000</x:f>
        <x:v>0.40692</x:v>
      </x:c>
      <x:c r="N1016" s="28" t="n">
        <x:f>H1016*K1016/1000000</x:f>
        <x:v>0.19608</x:v>
      </x:c>
      <x:c r="O1016" s="28" t="n">
        <x:f>SUM(M1016:N1016)</x:f>
        <x:v>0.603</x:v>
      </x:c>
    </x:row>
    <x:row r="1017" ht="23" customHeight="1">
      <x:c r="A1017" s="17" t="str">
        <x:v>U01011</x:v>
      </x:c>
      <x:c r="B1017" s="18" t="n">
        <x:v>46274</x:v>
      </x:c>
      <x:c r="C1017" s="17" t="str">
        <x:v>W0102</x:v>
      </x:c>
      <x:c r="D1017" s="17" t="str">
        <x:v>C002</x:v>
      </x:c>
      <x:c r="E1017" s="17" t="str">
        <x:v>DataFlow</x:v>
      </x:c>
      <x:c r="F1017" s="17" t="str">
        <x:v>Lite</x:v>
      </x:c>
      <x:c r="G1017" s="17" t="n">
        <x:v>26316</x:v>
      </x:c>
      <x:c r="H1017" s="17" t="n">
        <x:v>3960</x:v>
      </x:c>
      <x:c r="I1017" s="17" t="str">
        <x:v>Correction</x:v>
      </x:c>
      <x:c r="J1017" s="27" t="n">
        <x:f>INDEX('Model Pricing'!$B$7:$B$8,MATCH(F1017,'Model Pricing'!$A$7:$A$8,0))</x:f>
        <x:v>10</x:v>
      </x:c>
      <x:c r="K1017" s="27" t="n">
        <x:f>INDEX('Model Pricing'!$C$7:$C$8,MATCH(F1017,'Model Pricing'!$A$7:$A$8,0))</x:f>
        <x:v>30</x:v>
      </x:c>
      <x:c r="L1017" s="17" t="n">
        <x:f>G1017+H1017</x:f>
        <x:v>30276</x:v>
      </x:c>
      <x:c r="M1017" s="28" t="n">
        <x:f>G1017*J1017/1000000</x:f>
        <x:v>0.26316</x:v>
      </x:c>
      <x:c r="N1017" s="28" t="n">
        <x:f>H1017*K1017/1000000</x:f>
        <x:v>0.1188</x:v>
      </x:c>
      <x:c r="O1017" s="28" t="n">
        <x:f>SUM(M1017:N1017)</x:f>
        <x:v>0.38196</x:v>
      </x:c>
    </x:row>
    <x:row r="1018" ht="23" customHeight="1">
      <x:c r="A1018" s="17" t="str">
        <x:v>U01012</x:v>
      </x:c>
      <x:c r="B1018" s="18" t="n">
        <x:v>46275</x:v>
      </x:c>
      <x:c r="C1018" s="17" t="str">
        <x:v>W0102</x:v>
      </x:c>
      <x:c r="D1018" s="17" t="str">
        <x:v>C002</x:v>
      </x:c>
      <x:c r="E1018" s="17" t="str">
        <x:v>DataFlow</x:v>
      </x:c>
      <x:c r="F1018" s="17" t="str">
        <x:v>Lite</x:v>
      </x:c>
      <x:c r="G1018" s="17" t="n">
        <x:v>36697</x:v>
      </x:c>
      <x:c r="H1018" s="17" t="n">
        <x:v>9745</x:v>
      </x:c>
      <x:c r="I1018" s="17" t="str">
        <x:v>Followup</x:v>
      </x:c>
      <x:c r="J1018" s="27" t="n">
        <x:f>INDEX('Model Pricing'!$B$7:$B$8,MATCH(F1018,'Model Pricing'!$A$7:$A$8,0))</x:f>
        <x:v>10</x:v>
      </x:c>
      <x:c r="K1018" s="27" t="n">
        <x:f>INDEX('Model Pricing'!$C$7:$C$8,MATCH(F1018,'Model Pricing'!$A$7:$A$8,0))</x:f>
        <x:v>30</x:v>
      </x:c>
      <x:c r="L1018" s="17" t="n">
        <x:f>G1018+H1018</x:f>
        <x:v>46442</x:v>
      </x:c>
      <x:c r="M1018" s="28" t="n">
        <x:f>G1018*J1018/1000000</x:f>
        <x:v>0.36697</x:v>
      </x:c>
      <x:c r="N1018" s="28" t="n">
        <x:f>H1018*K1018/1000000</x:f>
        <x:v>0.29235</x:v>
      </x:c>
      <x:c r="O1018" s="28" t="n">
        <x:f>SUM(M1018:N1018)</x:f>
        <x:v>0.65932</x:v>
      </x:c>
    </x:row>
    <x:row r="1019" ht="23" customHeight="1">
      <x:c r="A1019" s="17" t="str">
        <x:v>U01013</x:v>
      </x:c>
      <x:c r="B1019" s="18" t="n">
        <x:v>46275</x:v>
      </x:c>
      <x:c r="C1019" s="17" t="str">
        <x:v>W0102</x:v>
      </x:c>
      <x:c r="D1019" s="17" t="str">
        <x:v>C002</x:v>
      </x:c>
      <x:c r="E1019" s="17" t="str">
        <x:v>DataFlow</x:v>
      </x:c>
      <x:c r="F1019" s="17" t="str">
        <x:v>Lite</x:v>
      </x:c>
      <x:c r="G1019" s="17" t="n">
        <x:v>42871</x:v>
      </x:c>
      <x:c r="H1019" s="17" t="n">
        <x:v>4441</x:v>
      </x:c>
      <x:c r="I1019" s="17" t="str">
        <x:v>Followup</x:v>
      </x:c>
      <x:c r="J1019" s="27" t="n">
        <x:f>INDEX('Model Pricing'!$B$7:$B$8,MATCH(F1019,'Model Pricing'!$A$7:$A$8,0))</x:f>
        <x:v>10</x:v>
      </x:c>
      <x:c r="K1019" s="27" t="n">
        <x:f>INDEX('Model Pricing'!$C$7:$C$8,MATCH(F1019,'Model Pricing'!$A$7:$A$8,0))</x:f>
        <x:v>30</x:v>
      </x:c>
      <x:c r="L1019" s="17" t="n">
        <x:f>G1019+H1019</x:f>
        <x:v>47312</x:v>
      </x:c>
      <x:c r="M1019" s="28" t="n">
        <x:f>G1019*J1019/1000000</x:f>
        <x:v>0.42871</x:v>
      </x:c>
      <x:c r="N1019" s="28" t="n">
        <x:f>H1019*K1019/1000000</x:f>
        <x:v>0.13323</x:v>
      </x:c>
      <x:c r="O1019" s="28" t="n">
        <x:f>SUM(M1019:N1019)</x:f>
        <x:v>0.56194</x:v>
      </x:c>
    </x:row>
    <x:row r="1020" ht="23" customHeight="1">
      <x:c r="A1020" s="17" t="str">
        <x:v>U01014</x:v>
      </x:c>
      <x:c r="B1020" s="18" t="n">
        <x:v>46275</x:v>
      </x:c>
      <x:c r="C1020" s="17" t="str">
        <x:v>W0102</x:v>
      </x:c>
      <x:c r="D1020" s="17" t="str">
        <x:v>C002</x:v>
      </x:c>
      <x:c r="E1020" s="17" t="str">
        <x:v>DataFlow</x:v>
      </x:c>
      <x:c r="F1020" s="17" t="str">
        <x:v>Lite</x:v>
      </x:c>
      <x:c r="G1020" s="17" t="n">
        <x:v>46621</x:v>
      </x:c>
      <x:c r="H1020" s="17" t="n">
        <x:v>7697</x:v>
      </x:c>
      <x:c r="I1020" s="17" t="str">
        <x:v>Followup</x:v>
      </x:c>
      <x:c r="J1020" s="27" t="n">
        <x:f>INDEX('Model Pricing'!$B$7:$B$8,MATCH(F1020,'Model Pricing'!$A$7:$A$8,0))</x:f>
        <x:v>10</x:v>
      </x:c>
      <x:c r="K1020" s="27" t="n">
        <x:f>INDEX('Model Pricing'!$C$7:$C$8,MATCH(F1020,'Model Pricing'!$A$7:$A$8,0))</x:f>
        <x:v>30</x:v>
      </x:c>
      <x:c r="L1020" s="17" t="n">
        <x:f>G1020+H1020</x:f>
        <x:v>54318</x:v>
      </x:c>
      <x:c r="M1020" s="28" t="n">
        <x:f>G1020*J1020/1000000</x:f>
        <x:v>0.46621</x:v>
      </x:c>
      <x:c r="N1020" s="28" t="n">
        <x:f>H1020*K1020/1000000</x:f>
        <x:v>0.23091</x:v>
      </x:c>
      <x:c r="O1020" s="28" t="n">
        <x:f>SUM(M1020:N1020)</x:f>
        <x:v>0.69712</x:v>
      </x:c>
    </x:row>
    <x:row r="1021" ht="23" customHeight="1">
      <x:c r="A1021" s="17" t="str">
        <x:v>U01015</x:v>
      </x:c>
      <x:c r="B1021" s="18" t="n">
        <x:v>46275</x:v>
      </x:c>
      <x:c r="C1021" s="17" t="str">
        <x:v>W0102</x:v>
      </x:c>
      <x:c r="D1021" s="17" t="str">
        <x:v>C002</x:v>
      </x:c>
      <x:c r="E1021" s="17" t="str">
        <x:v>DataFlow</x:v>
      </x:c>
      <x:c r="F1021" s="17" t="str">
        <x:v>Lite</x:v>
      </x:c>
      <x:c r="G1021" s="17" t="n">
        <x:v>28333</x:v>
      </x:c>
      <x:c r="H1021" s="17" t="n">
        <x:v>7678</x:v>
      </x:c>
      <x:c r="I1021" s="17" t="str">
        <x:v>Followup</x:v>
      </x:c>
      <x:c r="J1021" s="27" t="n">
        <x:f>INDEX('Model Pricing'!$B$7:$B$8,MATCH(F1021,'Model Pricing'!$A$7:$A$8,0))</x:f>
        <x:v>10</x:v>
      </x:c>
      <x:c r="K1021" s="27" t="n">
        <x:f>INDEX('Model Pricing'!$C$7:$C$8,MATCH(F1021,'Model Pricing'!$A$7:$A$8,0))</x:f>
        <x:v>30</x:v>
      </x:c>
      <x:c r="L1021" s="17" t="n">
        <x:f>G1021+H1021</x:f>
        <x:v>36011</x:v>
      </x:c>
      <x:c r="M1021" s="28" t="n">
        <x:f>G1021*J1021/1000000</x:f>
        <x:v>0.28333</x:v>
      </x:c>
      <x:c r="N1021" s="28" t="n">
        <x:f>H1021*K1021/1000000</x:f>
        <x:v>0.23034</x:v>
      </x:c>
      <x:c r="O1021" s="28" t="n">
        <x:f>SUM(M1021:N1021)</x:f>
        <x:v>0.5136700000000001</x:v>
      </x:c>
    </x:row>
    <x:row r="1022" ht="23" customHeight="1">
      <x:c r="A1022" s="17" t="str">
        <x:v>U01016</x:v>
      </x:c>
      <x:c r="B1022" s="18" t="n">
        <x:v>46276</x:v>
      </x:c>
      <x:c r="C1022" s="17" t="str">
        <x:v>W0102</x:v>
      </x:c>
      <x:c r="D1022" s="17" t="str">
        <x:v>C002</x:v>
      </x:c>
      <x:c r="E1022" s="17" t="str">
        <x:v>DataFlow</x:v>
      </x:c>
      <x:c r="F1022" s="17" t="str">
        <x:v>Lite</x:v>
      </x:c>
      <x:c r="G1022" s="17" t="n">
        <x:v>47023</x:v>
      </x:c>
      <x:c r="H1022" s="17" t="n">
        <x:v>7329</x:v>
      </x:c>
      <x:c r="I1022" s="17" t="str">
        <x:v>Correction</x:v>
      </x:c>
      <x:c r="J1022" s="27" t="n">
        <x:f>INDEX('Model Pricing'!$B$7:$B$8,MATCH(F1022,'Model Pricing'!$A$7:$A$8,0))</x:f>
        <x:v>10</x:v>
      </x:c>
      <x:c r="K1022" s="27" t="n">
        <x:f>INDEX('Model Pricing'!$C$7:$C$8,MATCH(F1022,'Model Pricing'!$A$7:$A$8,0))</x:f>
        <x:v>30</x:v>
      </x:c>
      <x:c r="L1022" s="17" t="n">
        <x:f>G1022+H1022</x:f>
        <x:v>54352</x:v>
      </x:c>
      <x:c r="M1022" s="28" t="n">
        <x:f>G1022*J1022/1000000</x:f>
        <x:v>0.47023</x:v>
      </x:c>
      <x:c r="N1022" s="28" t="n">
        <x:f>H1022*K1022/1000000</x:f>
        <x:v>0.21987</x:v>
      </x:c>
      <x:c r="O1022" s="28" t="n">
        <x:f>SUM(M1022:N1022)</x:f>
        <x:v>0.6900999999999999</x:v>
      </x:c>
    </x:row>
    <x:row r="1023" ht="23" customHeight="1">
      <x:c r="A1023" s="17" t="str">
        <x:v>U01017</x:v>
      </x:c>
      <x:c r="B1023" s="18" t="n">
        <x:v>46276</x:v>
      </x:c>
      <x:c r="C1023" s="17" t="str">
        <x:v>W0102</x:v>
      </x:c>
      <x:c r="D1023" s="17" t="str">
        <x:v>C002</x:v>
      </x:c>
      <x:c r="E1023" s="17" t="str">
        <x:v>DataFlow</x:v>
      </x:c>
      <x:c r="F1023" s="17" t="str">
        <x:v>Lite</x:v>
      </x:c>
      <x:c r="G1023" s="17" t="n">
        <x:v>38905</x:v>
      </x:c>
      <x:c r="H1023" s="17" t="n">
        <x:v>6462</x:v>
      </x:c>
      <x:c r="I1023" s="17" t="str">
        <x:v>Correction</x:v>
      </x:c>
      <x:c r="J1023" s="27" t="n">
        <x:f>INDEX('Model Pricing'!$B$7:$B$8,MATCH(F1023,'Model Pricing'!$A$7:$A$8,0))</x:f>
        <x:v>10</x:v>
      </x:c>
      <x:c r="K1023" s="27" t="n">
        <x:f>INDEX('Model Pricing'!$C$7:$C$8,MATCH(F1023,'Model Pricing'!$A$7:$A$8,0))</x:f>
        <x:v>30</x:v>
      </x:c>
      <x:c r="L1023" s="17" t="n">
        <x:f>G1023+H1023</x:f>
        <x:v>45367</x:v>
      </x:c>
      <x:c r="M1023" s="28" t="n">
        <x:f>G1023*J1023/1000000</x:f>
        <x:v>0.38905</x:v>
      </x:c>
      <x:c r="N1023" s="28" t="n">
        <x:f>H1023*K1023/1000000</x:f>
        <x:v>0.19386</x:v>
      </x:c>
      <x:c r="O1023" s="28" t="n">
        <x:f>SUM(M1023:N1023)</x:f>
        <x:v>0.58291</x:v>
      </x:c>
    </x:row>
    <x:row r="1024" ht="23" customHeight="1">
      <x:c r="A1024" s="17" t="str">
        <x:v>U01018</x:v>
      </x:c>
      <x:c r="B1024" s="18" t="n">
        <x:v>46276</x:v>
      </x:c>
      <x:c r="C1024" s="17" t="str">
        <x:v>W0102</x:v>
      </x:c>
      <x:c r="D1024" s="17" t="str">
        <x:v>C002</x:v>
      </x:c>
      <x:c r="E1024" s="17" t="str">
        <x:v>DataFlow</x:v>
      </x:c>
      <x:c r="F1024" s="17" t="str">
        <x:v>Lite</x:v>
      </x:c>
      <x:c r="G1024" s="17" t="n">
        <x:v>48244</x:v>
      </x:c>
      <x:c r="H1024" s="17" t="n">
        <x:v>8626</x:v>
      </x:c>
      <x:c r="I1024" s="17" t="str">
        <x:v>Correction</x:v>
      </x:c>
      <x:c r="J1024" s="27" t="n">
        <x:f>INDEX('Model Pricing'!$B$7:$B$8,MATCH(F1024,'Model Pricing'!$A$7:$A$8,0))</x:f>
        <x:v>10</x:v>
      </x:c>
      <x:c r="K1024" s="27" t="n">
        <x:f>INDEX('Model Pricing'!$C$7:$C$8,MATCH(F1024,'Model Pricing'!$A$7:$A$8,0))</x:f>
        <x:v>30</x:v>
      </x:c>
      <x:c r="L1024" s="17" t="n">
        <x:f>G1024+H1024</x:f>
        <x:v>56870</x:v>
      </x:c>
      <x:c r="M1024" s="28" t="n">
        <x:f>G1024*J1024/1000000</x:f>
        <x:v>0.48244</x:v>
      </x:c>
      <x:c r="N1024" s="28" t="n">
        <x:f>H1024*K1024/1000000</x:f>
        <x:v>0.25878</x:v>
      </x:c>
      <x:c r="O1024" s="28" t="n">
        <x:f>SUM(M1024:N1024)</x:f>
        <x:v>0.74122</x:v>
      </x:c>
    </x:row>
    <x:row r="1025" ht="23" customHeight="1">
      <x:c r="A1025" s="17" t="str">
        <x:v>U01019</x:v>
      </x:c>
      <x:c r="B1025" s="18" t="n">
        <x:v>46276</x:v>
      </x:c>
      <x:c r="C1025" s="17" t="str">
        <x:v>W0102</x:v>
      </x:c>
      <x:c r="D1025" s="17" t="str">
        <x:v>C002</x:v>
      </x:c>
      <x:c r="E1025" s="17" t="str">
        <x:v>DataFlow</x:v>
      </x:c>
      <x:c r="F1025" s="17" t="str">
        <x:v>Lite</x:v>
      </x:c>
      <x:c r="G1025" s="17" t="n">
        <x:v>42355</x:v>
      </x:c>
      <x:c r="H1025" s="17" t="n">
        <x:v>7985</x:v>
      </x:c>
      <x:c r="I1025" s="17" t="str">
        <x:v>Followup</x:v>
      </x:c>
      <x:c r="J1025" s="27" t="n">
        <x:f>INDEX('Model Pricing'!$B$7:$B$8,MATCH(F1025,'Model Pricing'!$A$7:$A$8,0))</x:f>
        <x:v>10</x:v>
      </x:c>
      <x:c r="K1025" s="27" t="n">
        <x:f>INDEX('Model Pricing'!$C$7:$C$8,MATCH(F1025,'Model Pricing'!$A$7:$A$8,0))</x:f>
        <x:v>30</x:v>
      </x:c>
      <x:c r="L1025" s="17" t="n">
        <x:f>G1025+H1025</x:f>
        <x:v>50340</x:v>
      </x:c>
      <x:c r="M1025" s="28" t="n">
        <x:f>G1025*J1025/1000000</x:f>
        <x:v>0.42355</x:v>
      </x:c>
      <x:c r="N1025" s="28" t="n">
        <x:f>H1025*K1025/1000000</x:f>
        <x:v>0.23955</x:v>
      </x:c>
      <x:c r="O1025" s="28" t="n">
        <x:f>SUM(M1025:N1025)</x:f>
        <x:v>0.6631</x:v>
      </x:c>
    </x:row>
    <x:row r="1026" ht="23" customHeight="1">
      <x:c r="A1026" s="17" t="str">
        <x:v>U01020</x:v>
      </x:c>
      <x:c r="B1026" s="18" t="n">
        <x:v>46276</x:v>
      </x:c>
      <x:c r="C1026" s="17" t="str">
        <x:v>W0102</x:v>
      </x:c>
      <x:c r="D1026" s="17" t="str">
        <x:v>C002</x:v>
      </x:c>
      <x:c r="E1026" s="17" t="str">
        <x:v>DataFlow</x:v>
      </x:c>
      <x:c r="F1026" s="17" t="str">
        <x:v>Lite</x:v>
      </x:c>
      <x:c r="G1026" s="17" t="n">
        <x:v>36510</x:v>
      </x:c>
      <x:c r="H1026" s="17" t="n">
        <x:v>10795</x:v>
      </x:c>
      <x:c r="I1026" s="17" t="str">
        <x:v>Correction</x:v>
      </x:c>
      <x:c r="J1026" s="27" t="n">
        <x:f>INDEX('Model Pricing'!$B$7:$B$8,MATCH(F1026,'Model Pricing'!$A$7:$A$8,0))</x:f>
        <x:v>10</x:v>
      </x:c>
      <x:c r="K1026" s="27" t="n">
        <x:f>INDEX('Model Pricing'!$C$7:$C$8,MATCH(F1026,'Model Pricing'!$A$7:$A$8,0))</x:f>
        <x:v>30</x:v>
      </x:c>
      <x:c r="L1026" s="17" t="n">
        <x:f>G1026+H1026</x:f>
        <x:v>47305</x:v>
      </x:c>
      <x:c r="M1026" s="28" t="n">
        <x:f>G1026*J1026/1000000</x:f>
        <x:v>0.3651</x:v>
      </x:c>
      <x:c r="N1026" s="28" t="n">
        <x:f>H1026*K1026/1000000</x:f>
        <x:v>0.32385</x:v>
      </x:c>
      <x:c r="O1026" s="28" t="n">
        <x:f>SUM(M1026:N1026)</x:f>
        <x:v>0.68895</x:v>
      </x:c>
    </x:row>
    <x:row r="1027" ht="23" customHeight="1">
      <x:c r="A1027" s="17" t="str">
        <x:v>U01021</x:v>
      </x:c>
      <x:c r="B1027" s="18" t="n">
        <x:v>46279</x:v>
      </x:c>
      <x:c r="C1027" s="17" t="str">
        <x:v>W0102</x:v>
      </x:c>
      <x:c r="D1027" s="17" t="str">
        <x:v>C002</x:v>
      </x:c>
      <x:c r="E1027" s="17" t="str">
        <x:v>DataFlow</x:v>
      </x:c>
      <x:c r="F1027" s="17" t="str">
        <x:v>Lite</x:v>
      </x:c>
      <x:c r="G1027" s="17" t="n">
        <x:v>35376</x:v>
      </x:c>
      <x:c r="H1027" s="17" t="n">
        <x:v>8896</x:v>
      </x:c>
      <x:c r="I1027" s="17" t="str">
        <x:v>Correction</x:v>
      </x:c>
      <x:c r="J1027" s="27" t="n">
        <x:f>INDEX('Model Pricing'!$B$7:$B$8,MATCH(F1027,'Model Pricing'!$A$7:$A$8,0))</x:f>
        <x:v>10</x:v>
      </x:c>
      <x:c r="K1027" s="27" t="n">
        <x:f>INDEX('Model Pricing'!$C$7:$C$8,MATCH(F1027,'Model Pricing'!$A$7:$A$8,0))</x:f>
        <x:v>30</x:v>
      </x:c>
      <x:c r="L1027" s="17" t="n">
        <x:f>G1027+H1027</x:f>
        <x:v>44272</x:v>
      </x:c>
      <x:c r="M1027" s="28" t="n">
        <x:f>G1027*J1027/1000000</x:f>
        <x:v>0.35376</x:v>
      </x:c>
      <x:c r="N1027" s="28" t="n">
        <x:f>H1027*K1027/1000000</x:f>
        <x:v>0.26688</x:v>
      </x:c>
      <x:c r="O1027" s="28" t="n">
        <x:f>SUM(M1027:N1027)</x:f>
        <x:v>0.6206400000000001</x:v>
      </x:c>
    </x:row>
    <x:row r="1028" ht="23" customHeight="1">
      <x:c r="A1028" s="17" t="str">
        <x:v>U01022</x:v>
      </x:c>
      <x:c r="B1028" s="18" t="n">
        <x:v>46279</x:v>
      </x:c>
      <x:c r="C1028" s="17" t="str">
        <x:v>W0102</x:v>
      </x:c>
      <x:c r="D1028" s="17" t="str">
        <x:v>C002</x:v>
      </x:c>
      <x:c r="E1028" s="17" t="str">
        <x:v>DataFlow</x:v>
      </x:c>
      <x:c r="F1028" s="17" t="str">
        <x:v>Lite</x:v>
      </x:c>
      <x:c r="G1028" s="17" t="n">
        <x:v>31319</x:v>
      </x:c>
      <x:c r="H1028" s="17" t="n">
        <x:v>3467</x:v>
      </x:c>
      <x:c r="I1028" s="17" t="str">
        <x:v>Followup</x:v>
      </x:c>
      <x:c r="J1028" s="27" t="n">
        <x:f>INDEX('Model Pricing'!$B$7:$B$8,MATCH(F1028,'Model Pricing'!$A$7:$A$8,0))</x:f>
        <x:v>10</x:v>
      </x:c>
      <x:c r="K1028" s="27" t="n">
        <x:f>INDEX('Model Pricing'!$C$7:$C$8,MATCH(F1028,'Model Pricing'!$A$7:$A$8,0))</x:f>
        <x:v>30</x:v>
      </x:c>
      <x:c r="L1028" s="17" t="n">
        <x:f>G1028+H1028</x:f>
        <x:v>34786</x:v>
      </x:c>
      <x:c r="M1028" s="28" t="n">
        <x:f>G1028*J1028/1000000</x:f>
        <x:v>0.31319</x:v>
      </x:c>
      <x:c r="N1028" s="28" t="n">
        <x:f>H1028*K1028/1000000</x:f>
        <x:v>0.10401</x:v>
      </x:c>
      <x:c r="O1028" s="28" t="n">
        <x:f>SUM(M1028:N1028)</x:f>
        <x:v>0.4172</x:v>
      </x:c>
    </x:row>
    <x:row r="1029" ht="23" customHeight="1">
      <x:c r="A1029" s="17" t="str">
        <x:v>U01023</x:v>
      </x:c>
      <x:c r="B1029" s="18" t="n">
        <x:v>46279</x:v>
      </x:c>
      <x:c r="C1029" s="17" t="str">
        <x:v>W0102</x:v>
      </x:c>
      <x:c r="D1029" s="17" t="str">
        <x:v>C002</x:v>
      </x:c>
      <x:c r="E1029" s="17" t="str">
        <x:v>DataFlow</x:v>
      </x:c>
      <x:c r="F1029" s="17" t="str">
        <x:v>Lite</x:v>
      </x:c>
      <x:c r="G1029" s="17" t="n">
        <x:v>45921</x:v>
      </x:c>
      <x:c r="H1029" s="17" t="n">
        <x:v>4414</x:v>
      </x:c>
      <x:c r="I1029" s="17" t="str">
        <x:v>Followup</x:v>
      </x:c>
      <x:c r="J1029" s="27" t="n">
        <x:f>INDEX('Model Pricing'!$B$7:$B$8,MATCH(F1029,'Model Pricing'!$A$7:$A$8,0))</x:f>
        <x:v>10</x:v>
      </x:c>
      <x:c r="K1029" s="27" t="n">
        <x:f>INDEX('Model Pricing'!$C$7:$C$8,MATCH(F1029,'Model Pricing'!$A$7:$A$8,0))</x:f>
        <x:v>30</x:v>
      </x:c>
      <x:c r="L1029" s="17" t="n">
        <x:f>G1029+H1029</x:f>
        <x:v>50335</x:v>
      </x:c>
      <x:c r="M1029" s="28" t="n">
        <x:f>G1029*J1029/1000000</x:f>
        <x:v>0.45921</x:v>
      </x:c>
      <x:c r="N1029" s="28" t="n">
        <x:f>H1029*K1029/1000000</x:f>
        <x:v>0.13242</x:v>
      </x:c>
      <x:c r="O1029" s="28" t="n">
        <x:f>SUM(M1029:N1029)</x:f>
        <x:v>0.59163</x:v>
      </x:c>
    </x:row>
    <x:row r="1030" ht="23" customHeight="1">
      <x:c r="A1030" s="17" t="str">
        <x:v>U01024</x:v>
      </x:c>
      <x:c r="B1030" s="18" t="n">
        <x:v>46279</x:v>
      </x:c>
      <x:c r="C1030" s="17" t="str">
        <x:v>W0102</x:v>
      </x:c>
      <x:c r="D1030" s="17" t="str">
        <x:v>C002</x:v>
      </x:c>
      <x:c r="E1030" s="17" t="str">
        <x:v>DataFlow</x:v>
      </x:c>
      <x:c r="F1030" s="17" t="str">
        <x:v>Lite</x:v>
      </x:c>
      <x:c r="G1030" s="17" t="n">
        <x:v>50950</x:v>
      </x:c>
      <x:c r="H1030" s="17" t="n">
        <x:v>10591</x:v>
      </x:c>
      <x:c r="I1030" s="17" t="str">
        <x:v>Followup</x:v>
      </x:c>
      <x:c r="J1030" s="27" t="n">
        <x:f>INDEX('Model Pricing'!$B$7:$B$8,MATCH(F1030,'Model Pricing'!$A$7:$A$8,0))</x:f>
        <x:v>10</x:v>
      </x:c>
      <x:c r="K1030" s="27" t="n">
        <x:f>INDEX('Model Pricing'!$C$7:$C$8,MATCH(F1030,'Model Pricing'!$A$7:$A$8,0))</x:f>
        <x:v>30</x:v>
      </x:c>
      <x:c r="L1030" s="17" t="n">
        <x:f>G1030+H1030</x:f>
        <x:v>61541</x:v>
      </x:c>
      <x:c r="M1030" s="28" t="n">
        <x:f>G1030*J1030/1000000</x:f>
        <x:v>0.5095</x:v>
      </x:c>
      <x:c r="N1030" s="28" t="n">
        <x:f>H1030*K1030/1000000</x:f>
        <x:v>0.31773</x:v>
      </x:c>
      <x:c r="O1030" s="28" t="n">
        <x:f>SUM(M1030:N1030)</x:f>
        <x:v>0.8272299999999999</x:v>
      </x:c>
    </x:row>
    <x:row r="1031" ht="23" customHeight="1">
      <x:c r="A1031" s="17" t="str">
        <x:v>U01025</x:v>
      </x:c>
      <x:c r="B1031" s="18" t="n">
        <x:v>46267</x:v>
      </x:c>
      <x:c r="C1031" s="17" t="str">
        <x:v>W0104</x:v>
      </x:c>
      <x:c r="D1031" s="17" t="str">
        <x:v>C002</x:v>
      </x:c>
      <x:c r="E1031" s="17" t="str">
        <x:v>DataFlow</x:v>
      </x:c>
      <x:c r="F1031" s="17" t="str">
        <x:v>Lite</x:v>
      </x:c>
      <x:c r="G1031" s="17" t="n">
        <x:v>30399</x:v>
      </x:c>
      <x:c r="H1031" s="17" t="n">
        <x:v>2947</x:v>
      </x:c>
      <x:c r="I1031" s="17" t="str">
        <x:v>First attempt</x:v>
      </x:c>
      <x:c r="J1031" s="27" t="n">
        <x:f>INDEX('Model Pricing'!$B$7:$B$8,MATCH(F1031,'Model Pricing'!$A$7:$A$8,0))</x:f>
        <x:v>10</x:v>
      </x:c>
      <x:c r="K1031" s="27" t="n">
        <x:f>INDEX('Model Pricing'!$C$7:$C$8,MATCH(F1031,'Model Pricing'!$A$7:$A$8,0))</x:f>
        <x:v>30</x:v>
      </x:c>
      <x:c r="L1031" s="17" t="n">
        <x:f>G1031+H1031</x:f>
        <x:v>33346</x:v>
      </x:c>
      <x:c r="M1031" s="28" t="n">
        <x:f>G1031*J1031/1000000</x:f>
        <x:v>0.30399</x:v>
      </x:c>
      <x:c r="N1031" s="28" t="n">
        <x:f>H1031*K1031/1000000</x:f>
        <x:v>0.08841</x:v>
      </x:c>
      <x:c r="O1031" s="28" t="n">
        <x:f>SUM(M1031:N1031)</x:f>
        <x:v>0.39239999999999997</x:v>
      </x:c>
    </x:row>
    <x:row r="1032" ht="23" customHeight="1">
      <x:c r="A1032" s="17" t="str">
        <x:v>U01026</x:v>
      </x:c>
      <x:c r="B1032" s="18" t="n">
        <x:v>46267</x:v>
      </x:c>
      <x:c r="C1032" s="17" t="str">
        <x:v>W0104</x:v>
      </x:c>
      <x:c r="D1032" s="17" t="str">
        <x:v>C002</x:v>
      </x:c>
      <x:c r="E1032" s="17" t="str">
        <x:v>DataFlow</x:v>
      </x:c>
      <x:c r="F1032" s="17" t="str">
        <x:v>Lite</x:v>
      </x:c>
      <x:c r="G1032" s="17" t="n">
        <x:v>42494</x:v>
      </x:c>
      <x:c r="H1032" s="17" t="n">
        <x:v>5537</x:v>
      </x:c>
      <x:c r="I1032" s="17" t="str">
        <x:v>Followup</x:v>
      </x:c>
      <x:c r="J1032" s="27" t="n">
        <x:f>INDEX('Model Pricing'!$B$7:$B$8,MATCH(F1032,'Model Pricing'!$A$7:$A$8,0))</x:f>
        <x:v>10</x:v>
      </x:c>
      <x:c r="K1032" s="27" t="n">
        <x:f>INDEX('Model Pricing'!$C$7:$C$8,MATCH(F1032,'Model Pricing'!$A$7:$A$8,0))</x:f>
        <x:v>30</x:v>
      </x:c>
      <x:c r="L1032" s="17" t="n">
        <x:f>G1032+H1032</x:f>
        <x:v>48031</x:v>
      </x:c>
      <x:c r="M1032" s="28" t="n">
        <x:f>G1032*J1032/1000000</x:f>
        <x:v>0.42494</x:v>
      </x:c>
      <x:c r="N1032" s="28" t="n">
        <x:f>H1032*K1032/1000000</x:f>
        <x:v>0.16611</x:v>
      </x:c>
      <x:c r="O1032" s="28" t="n">
        <x:f>SUM(M1032:N1032)</x:f>
        <x:v>0.59105</x:v>
      </x:c>
    </x:row>
    <x:row r="1033" ht="23" customHeight="1">
      <x:c r="A1033" s="17" t="str">
        <x:v>U01027</x:v>
      </x:c>
      <x:c r="B1033" s="18" t="n">
        <x:v>46267</x:v>
      </x:c>
      <x:c r="C1033" s="17" t="str">
        <x:v>W0104</x:v>
      </x:c>
      <x:c r="D1033" s="17" t="str">
        <x:v>C002</x:v>
      </x:c>
      <x:c r="E1033" s="17" t="str">
        <x:v>DataFlow</x:v>
      </x:c>
      <x:c r="F1033" s="17" t="str">
        <x:v>Lite</x:v>
      </x:c>
      <x:c r="G1033" s="17" t="n">
        <x:v>20947</x:v>
      </x:c>
      <x:c r="H1033" s="17" t="n">
        <x:v>5264</x:v>
      </x:c>
      <x:c r="I1033" s="17" t="str">
        <x:v>Correction</x:v>
      </x:c>
      <x:c r="J1033" s="27" t="n">
        <x:f>INDEX('Model Pricing'!$B$7:$B$8,MATCH(F1033,'Model Pricing'!$A$7:$A$8,0))</x:f>
        <x:v>10</x:v>
      </x:c>
      <x:c r="K1033" s="27" t="n">
        <x:f>INDEX('Model Pricing'!$C$7:$C$8,MATCH(F1033,'Model Pricing'!$A$7:$A$8,0))</x:f>
        <x:v>30</x:v>
      </x:c>
      <x:c r="L1033" s="17" t="n">
        <x:f>G1033+H1033</x:f>
        <x:v>26211</x:v>
      </x:c>
      <x:c r="M1033" s="28" t="n">
        <x:f>G1033*J1033/1000000</x:f>
        <x:v>0.20947</x:v>
      </x:c>
      <x:c r="N1033" s="28" t="n">
        <x:f>H1033*K1033/1000000</x:f>
        <x:v>0.15792</x:v>
      </x:c>
      <x:c r="O1033" s="28" t="n">
        <x:f>SUM(M1033:N1033)</x:f>
        <x:v>0.36739</x:v>
      </x:c>
    </x:row>
    <x:row r="1034" ht="23" customHeight="1">
      <x:c r="A1034" s="17" t="str">
        <x:v>U01028</x:v>
      </x:c>
      <x:c r="B1034" s="18" t="n">
        <x:v>46267</x:v>
      </x:c>
      <x:c r="C1034" s="17" t="str">
        <x:v>W0104</x:v>
      </x:c>
      <x:c r="D1034" s="17" t="str">
        <x:v>C002</x:v>
      </x:c>
      <x:c r="E1034" s="17" t="str">
        <x:v>DataFlow</x:v>
      </x:c>
      <x:c r="F1034" s="17" t="str">
        <x:v>Lite</x:v>
      </x:c>
      <x:c r="G1034" s="17" t="n">
        <x:v>44618</x:v>
      </x:c>
      <x:c r="H1034" s="17" t="n">
        <x:v>3578</x:v>
      </x:c>
      <x:c r="I1034" s="17" t="str">
        <x:v>Correction</x:v>
      </x:c>
      <x:c r="J1034" s="27" t="n">
        <x:f>INDEX('Model Pricing'!$B$7:$B$8,MATCH(F1034,'Model Pricing'!$A$7:$A$8,0))</x:f>
        <x:v>10</x:v>
      </x:c>
      <x:c r="K1034" s="27" t="n">
        <x:f>INDEX('Model Pricing'!$C$7:$C$8,MATCH(F1034,'Model Pricing'!$A$7:$A$8,0))</x:f>
        <x:v>30</x:v>
      </x:c>
      <x:c r="L1034" s="17" t="n">
        <x:f>G1034+H1034</x:f>
        <x:v>48196</x:v>
      </x:c>
      <x:c r="M1034" s="28" t="n">
        <x:f>G1034*J1034/1000000</x:f>
        <x:v>0.44618</x:v>
      </x:c>
      <x:c r="N1034" s="28" t="n">
        <x:f>H1034*K1034/1000000</x:f>
        <x:v>0.10734</x:v>
      </x:c>
      <x:c r="O1034" s="28" t="n">
        <x:f>SUM(M1034:N1034)</x:f>
        <x:v>0.55352</x:v>
      </x:c>
    </x:row>
    <x:row r="1035" ht="23" customHeight="1">
      <x:c r="A1035" s="17" t="str">
        <x:v>U01029</x:v>
      </x:c>
      <x:c r="B1035" s="18" t="n">
        <x:v>46267</x:v>
      </x:c>
      <x:c r="C1035" s="17" t="str">
        <x:v>W0104</x:v>
      </x:c>
      <x:c r="D1035" s="17" t="str">
        <x:v>C002</x:v>
      </x:c>
      <x:c r="E1035" s="17" t="str">
        <x:v>DataFlow</x:v>
      </x:c>
      <x:c r="F1035" s="17" t="str">
        <x:v>Lite</x:v>
      </x:c>
      <x:c r="G1035" s="17" t="n">
        <x:v>19402</x:v>
      </x:c>
      <x:c r="H1035" s="17" t="n">
        <x:v>5459</x:v>
      </x:c>
      <x:c r="I1035" s="17" t="str">
        <x:v>Followup</x:v>
      </x:c>
      <x:c r="J1035" s="27" t="n">
        <x:f>INDEX('Model Pricing'!$B$7:$B$8,MATCH(F1035,'Model Pricing'!$A$7:$A$8,0))</x:f>
        <x:v>10</x:v>
      </x:c>
      <x:c r="K1035" s="27" t="n">
        <x:f>INDEX('Model Pricing'!$C$7:$C$8,MATCH(F1035,'Model Pricing'!$A$7:$A$8,0))</x:f>
        <x:v>30</x:v>
      </x:c>
      <x:c r="L1035" s="17" t="n">
        <x:f>G1035+H1035</x:f>
        <x:v>24861</x:v>
      </x:c>
      <x:c r="M1035" s="28" t="n">
        <x:f>G1035*J1035/1000000</x:f>
        <x:v>0.19402</x:v>
      </x:c>
      <x:c r="N1035" s="28" t="n">
        <x:f>H1035*K1035/1000000</x:f>
        <x:v>0.16377</x:v>
      </x:c>
      <x:c r="O1035" s="28" t="n">
        <x:f>SUM(M1035:N1035)</x:f>
        <x:v>0.35779</x:v>
      </x:c>
    </x:row>
    <x:row r="1036" ht="23" customHeight="1">
      <x:c r="A1036" s="17" t="str">
        <x:v>U01030</x:v>
      </x:c>
      <x:c r="B1036" s="18" t="n">
        <x:v>46268</x:v>
      </x:c>
      <x:c r="C1036" s="17" t="str">
        <x:v>W0104</x:v>
      </x:c>
      <x:c r="D1036" s="17" t="str">
        <x:v>C002</x:v>
      </x:c>
      <x:c r="E1036" s="17" t="str">
        <x:v>DataFlow</x:v>
      </x:c>
      <x:c r="F1036" s="17" t="str">
        <x:v>Lite</x:v>
      </x:c>
      <x:c r="G1036" s="17" t="n">
        <x:v>16315</x:v>
      </x:c>
      <x:c r="H1036" s="17" t="n">
        <x:v>5420</x:v>
      </x:c>
      <x:c r="I1036" s="17" t="str">
        <x:v>Followup</x:v>
      </x:c>
      <x:c r="J1036" s="27" t="n">
        <x:f>INDEX('Model Pricing'!$B$7:$B$8,MATCH(F1036,'Model Pricing'!$A$7:$A$8,0))</x:f>
        <x:v>10</x:v>
      </x:c>
      <x:c r="K1036" s="27" t="n">
        <x:f>INDEX('Model Pricing'!$C$7:$C$8,MATCH(F1036,'Model Pricing'!$A$7:$A$8,0))</x:f>
        <x:v>30</x:v>
      </x:c>
      <x:c r="L1036" s="17" t="n">
        <x:f>G1036+H1036</x:f>
        <x:v>21735</x:v>
      </x:c>
      <x:c r="M1036" s="28" t="n">
        <x:f>G1036*J1036/1000000</x:f>
        <x:v>0.16315</x:v>
      </x:c>
      <x:c r="N1036" s="28" t="n">
        <x:f>H1036*K1036/1000000</x:f>
        <x:v>0.1626</x:v>
      </x:c>
      <x:c r="O1036" s="28" t="n">
        <x:f>SUM(M1036:N1036)</x:f>
        <x:v>0.32575</x:v>
      </x:c>
    </x:row>
    <x:row r="1037" ht="23" customHeight="1">
      <x:c r="A1037" s="17" t="str">
        <x:v>U01031</x:v>
      </x:c>
      <x:c r="B1037" s="18" t="n">
        <x:v>46268</x:v>
      </x:c>
      <x:c r="C1037" s="17" t="str">
        <x:v>W0104</x:v>
      </x:c>
      <x:c r="D1037" s="17" t="str">
        <x:v>C002</x:v>
      </x:c>
      <x:c r="E1037" s="17" t="str">
        <x:v>DataFlow</x:v>
      </x:c>
      <x:c r="F1037" s="17" t="str">
        <x:v>Lite</x:v>
      </x:c>
      <x:c r="G1037" s="17" t="n">
        <x:v>46332</x:v>
      </x:c>
      <x:c r="H1037" s="17" t="n">
        <x:v>2276</x:v>
      </x:c>
      <x:c r="I1037" s="17" t="str">
        <x:v>Followup</x:v>
      </x:c>
      <x:c r="J1037" s="27" t="n">
        <x:f>INDEX('Model Pricing'!$B$7:$B$8,MATCH(F1037,'Model Pricing'!$A$7:$A$8,0))</x:f>
        <x:v>10</x:v>
      </x:c>
      <x:c r="K1037" s="27" t="n">
        <x:f>INDEX('Model Pricing'!$C$7:$C$8,MATCH(F1037,'Model Pricing'!$A$7:$A$8,0))</x:f>
        <x:v>30</x:v>
      </x:c>
      <x:c r="L1037" s="17" t="n">
        <x:f>G1037+H1037</x:f>
        <x:v>48608</x:v>
      </x:c>
      <x:c r="M1037" s="28" t="n">
        <x:f>G1037*J1037/1000000</x:f>
        <x:v>0.46332</x:v>
      </x:c>
      <x:c r="N1037" s="28" t="n">
        <x:f>H1037*K1037/1000000</x:f>
        <x:v>0.06828</x:v>
      </x:c>
      <x:c r="O1037" s="28" t="n">
        <x:f>SUM(M1037:N1037)</x:f>
        <x:v>0.5316</x:v>
      </x:c>
    </x:row>
    <x:row r="1038" ht="23" customHeight="1">
      <x:c r="A1038" s="17" t="str">
        <x:v>U01032</x:v>
      </x:c>
      <x:c r="B1038" s="18" t="n">
        <x:v>46268</x:v>
      </x:c>
      <x:c r="C1038" s="17" t="str">
        <x:v>W0104</x:v>
      </x:c>
      <x:c r="D1038" s="17" t="str">
        <x:v>C002</x:v>
      </x:c>
      <x:c r="E1038" s="17" t="str">
        <x:v>DataFlow</x:v>
      </x:c>
      <x:c r="F1038" s="17" t="str">
        <x:v>Lite</x:v>
      </x:c>
      <x:c r="G1038" s="17" t="n">
        <x:v>45132</x:v>
      </x:c>
      <x:c r="H1038" s="17" t="n">
        <x:v>5918</x:v>
      </x:c>
      <x:c r="I1038" s="17" t="str">
        <x:v>Correction</x:v>
      </x:c>
      <x:c r="J1038" s="27" t="n">
        <x:f>INDEX('Model Pricing'!$B$7:$B$8,MATCH(F1038,'Model Pricing'!$A$7:$A$8,0))</x:f>
        <x:v>10</x:v>
      </x:c>
      <x:c r="K1038" s="27" t="n">
        <x:f>INDEX('Model Pricing'!$C$7:$C$8,MATCH(F1038,'Model Pricing'!$A$7:$A$8,0))</x:f>
        <x:v>30</x:v>
      </x:c>
      <x:c r="L1038" s="17" t="n">
        <x:f>G1038+H1038</x:f>
        <x:v>51050</x:v>
      </x:c>
      <x:c r="M1038" s="28" t="n">
        <x:f>G1038*J1038/1000000</x:f>
        <x:v>0.45132</x:v>
      </x:c>
      <x:c r="N1038" s="28" t="n">
        <x:f>H1038*K1038/1000000</x:f>
        <x:v>0.17754</x:v>
      </x:c>
      <x:c r="O1038" s="28" t="n">
        <x:f>SUM(M1038:N1038)</x:f>
        <x:v>0.62886</x:v>
      </x:c>
    </x:row>
    <x:row r="1039" ht="23" customHeight="1">
      <x:c r="A1039" s="17" t="str">
        <x:v>U01033</x:v>
      </x:c>
      <x:c r="B1039" s="18" t="n">
        <x:v>46268</x:v>
      </x:c>
      <x:c r="C1039" s="17" t="str">
        <x:v>W0104</x:v>
      </x:c>
      <x:c r="D1039" s="17" t="str">
        <x:v>C002</x:v>
      </x:c>
      <x:c r="E1039" s="17" t="str">
        <x:v>DataFlow</x:v>
      </x:c>
      <x:c r="F1039" s="17" t="str">
        <x:v>Lite</x:v>
      </x:c>
      <x:c r="G1039" s="17" t="n">
        <x:v>29167</x:v>
      </x:c>
      <x:c r="H1039" s="17" t="n">
        <x:v>6237</x:v>
      </x:c>
      <x:c r="I1039" s="17" t="str">
        <x:v>Correction</x:v>
      </x:c>
      <x:c r="J1039" s="27" t="n">
        <x:f>INDEX('Model Pricing'!$B$7:$B$8,MATCH(F1039,'Model Pricing'!$A$7:$A$8,0))</x:f>
        <x:v>10</x:v>
      </x:c>
      <x:c r="K1039" s="27" t="n">
        <x:f>INDEX('Model Pricing'!$C$7:$C$8,MATCH(F1039,'Model Pricing'!$A$7:$A$8,0))</x:f>
        <x:v>30</x:v>
      </x:c>
      <x:c r="L1039" s="17" t="n">
        <x:f>G1039+H1039</x:f>
        <x:v>35404</x:v>
      </x:c>
      <x:c r="M1039" s="28" t="n">
        <x:f>G1039*J1039/1000000</x:f>
        <x:v>0.29167</x:v>
      </x:c>
      <x:c r="N1039" s="28" t="n">
        <x:f>H1039*K1039/1000000</x:f>
        <x:v>0.18711</x:v>
      </x:c>
      <x:c r="O1039" s="28" t="n">
        <x:f>SUM(M1039:N1039)</x:f>
        <x:v>0.47878</x:v>
      </x:c>
    </x:row>
    <x:row r="1040" ht="23" customHeight="1">
      <x:c r="A1040" s="17" t="str">
        <x:v>U01034</x:v>
      </x:c>
      <x:c r="B1040" s="18" t="n">
        <x:v>46268</x:v>
      </x:c>
      <x:c r="C1040" s="17" t="str">
        <x:v>W0104</x:v>
      </x:c>
      <x:c r="D1040" s="17" t="str">
        <x:v>C002</x:v>
      </x:c>
      <x:c r="E1040" s="17" t="str">
        <x:v>DataFlow</x:v>
      </x:c>
      <x:c r="F1040" s="17" t="str">
        <x:v>Lite</x:v>
      </x:c>
      <x:c r="G1040" s="17" t="n">
        <x:v>27242</x:v>
      </x:c>
      <x:c r="H1040" s="17" t="n">
        <x:v>2993</x:v>
      </x:c>
      <x:c r="I1040" s="17" t="str">
        <x:v>Followup</x:v>
      </x:c>
      <x:c r="J1040" s="27" t="n">
        <x:f>INDEX('Model Pricing'!$B$7:$B$8,MATCH(F1040,'Model Pricing'!$A$7:$A$8,0))</x:f>
        <x:v>10</x:v>
      </x:c>
      <x:c r="K1040" s="27" t="n">
        <x:f>INDEX('Model Pricing'!$C$7:$C$8,MATCH(F1040,'Model Pricing'!$A$7:$A$8,0))</x:f>
        <x:v>30</x:v>
      </x:c>
      <x:c r="L1040" s="17" t="n">
        <x:f>G1040+H1040</x:f>
        <x:v>30235</x:v>
      </x:c>
      <x:c r="M1040" s="28" t="n">
        <x:f>G1040*J1040/1000000</x:f>
        <x:v>0.27242</x:v>
      </x:c>
      <x:c r="N1040" s="28" t="n">
        <x:f>H1040*K1040/1000000</x:f>
        <x:v>0.08979</x:v>
      </x:c>
      <x:c r="O1040" s="28" t="n">
        <x:f>SUM(M1040:N1040)</x:f>
        <x:v>0.36221</x:v>
      </x:c>
    </x:row>
    <x:row r="1041" ht="23" customHeight="1">
      <x:c r="A1041" s="17" t="str">
        <x:v>U01035</x:v>
      </x:c>
      <x:c r="B1041" s="18" t="n">
        <x:v>46269</x:v>
      </x:c>
      <x:c r="C1041" s="17" t="str">
        <x:v>W0104</x:v>
      </x:c>
      <x:c r="D1041" s="17" t="str">
        <x:v>C002</x:v>
      </x:c>
      <x:c r="E1041" s="17" t="str">
        <x:v>DataFlow</x:v>
      </x:c>
      <x:c r="F1041" s="17" t="str">
        <x:v>Lite</x:v>
      </x:c>
      <x:c r="G1041" s="17" t="n">
        <x:v>20068</x:v>
      </x:c>
      <x:c r="H1041" s="17" t="n">
        <x:v>6738</x:v>
      </x:c>
      <x:c r="I1041" s="17" t="str">
        <x:v>Followup</x:v>
      </x:c>
      <x:c r="J1041" s="27" t="n">
        <x:f>INDEX('Model Pricing'!$B$7:$B$8,MATCH(F1041,'Model Pricing'!$A$7:$A$8,0))</x:f>
        <x:v>10</x:v>
      </x:c>
      <x:c r="K1041" s="27" t="n">
        <x:f>INDEX('Model Pricing'!$C$7:$C$8,MATCH(F1041,'Model Pricing'!$A$7:$A$8,0))</x:f>
        <x:v>30</x:v>
      </x:c>
      <x:c r="L1041" s="17" t="n">
        <x:f>G1041+H1041</x:f>
        <x:v>26806</x:v>
      </x:c>
      <x:c r="M1041" s="28" t="n">
        <x:f>G1041*J1041/1000000</x:f>
        <x:v>0.20068</x:v>
      </x:c>
      <x:c r="N1041" s="28" t="n">
        <x:f>H1041*K1041/1000000</x:f>
        <x:v>0.20214</x:v>
      </x:c>
      <x:c r="O1041" s="28" t="n">
        <x:f>SUM(M1041:N1041)</x:f>
        <x:v>0.40281999999999996</x:v>
      </x:c>
    </x:row>
    <x:row r="1042" ht="23" customHeight="1">
      <x:c r="A1042" s="17" t="str">
        <x:v>U01036</x:v>
      </x:c>
      <x:c r="B1042" s="18" t="n">
        <x:v>46269</x:v>
      </x:c>
      <x:c r="C1042" s="17" t="str">
        <x:v>W0104</x:v>
      </x:c>
      <x:c r="D1042" s="17" t="str">
        <x:v>C002</x:v>
      </x:c>
      <x:c r="E1042" s="17" t="str">
        <x:v>DataFlow</x:v>
      </x:c>
      <x:c r="F1042" s="17" t="str">
        <x:v>Lite</x:v>
      </x:c>
      <x:c r="G1042" s="17" t="n">
        <x:v>39357</x:v>
      </x:c>
      <x:c r="H1042" s="17" t="n">
        <x:v>5052</x:v>
      </x:c>
      <x:c r="I1042" s="17" t="str">
        <x:v>Followup</x:v>
      </x:c>
      <x:c r="J1042" s="27" t="n">
        <x:f>INDEX('Model Pricing'!$B$7:$B$8,MATCH(F1042,'Model Pricing'!$A$7:$A$8,0))</x:f>
        <x:v>10</x:v>
      </x:c>
      <x:c r="K1042" s="27" t="n">
        <x:f>INDEX('Model Pricing'!$C$7:$C$8,MATCH(F1042,'Model Pricing'!$A$7:$A$8,0))</x:f>
        <x:v>30</x:v>
      </x:c>
      <x:c r="L1042" s="17" t="n">
        <x:f>G1042+H1042</x:f>
        <x:v>44409</x:v>
      </x:c>
      <x:c r="M1042" s="28" t="n">
        <x:f>G1042*J1042/1000000</x:f>
        <x:v>0.39357</x:v>
      </x:c>
      <x:c r="N1042" s="28" t="n">
        <x:f>H1042*K1042/1000000</x:f>
        <x:v>0.15156</x:v>
      </x:c>
      <x:c r="O1042" s="28" t="n">
        <x:f>SUM(M1042:N1042)</x:f>
        <x:v>0.54513</x:v>
      </x:c>
    </x:row>
    <x:row r="1043" ht="23" customHeight="1">
      <x:c r="A1043" s="17" t="str">
        <x:v>U01037</x:v>
      </x:c>
      <x:c r="B1043" s="18" t="n">
        <x:v>46269</x:v>
      </x:c>
      <x:c r="C1043" s="17" t="str">
        <x:v>W0104</x:v>
      </x:c>
      <x:c r="D1043" s="17" t="str">
        <x:v>C002</x:v>
      </x:c>
      <x:c r="E1043" s="17" t="str">
        <x:v>DataFlow</x:v>
      </x:c>
      <x:c r="F1043" s="17" t="str">
        <x:v>Lite</x:v>
      </x:c>
      <x:c r="G1043" s="17" t="n">
        <x:v>20726</x:v>
      </x:c>
      <x:c r="H1043" s="17" t="n">
        <x:v>3772</x:v>
      </x:c>
      <x:c r="I1043" s="17" t="str">
        <x:v>Followup</x:v>
      </x:c>
      <x:c r="J1043" s="27" t="n">
        <x:f>INDEX('Model Pricing'!$B$7:$B$8,MATCH(F1043,'Model Pricing'!$A$7:$A$8,0))</x:f>
        <x:v>10</x:v>
      </x:c>
      <x:c r="K1043" s="27" t="n">
        <x:f>INDEX('Model Pricing'!$C$7:$C$8,MATCH(F1043,'Model Pricing'!$A$7:$A$8,0))</x:f>
        <x:v>30</x:v>
      </x:c>
      <x:c r="L1043" s="17" t="n">
        <x:f>G1043+H1043</x:f>
        <x:v>24498</x:v>
      </x:c>
      <x:c r="M1043" s="28" t="n">
        <x:f>G1043*J1043/1000000</x:f>
        <x:v>0.20726</x:v>
      </x:c>
      <x:c r="N1043" s="28" t="n">
        <x:f>H1043*K1043/1000000</x:f>
        <x:v>0.11316</x:v>
      </x:c>
      <x:c r="O1043" s="28" t="n">
        <x:f>SUM(M1043:N1043)</x:f>
        <x:v>0.32042</x:v>
      </x:c>
    </x:row>
    <x:row r="1044" ht="23" customHeight="1">
      <x:c r="A1044" s="17" t="str">
        <x:v>U01038</x:v>
      </x:c>
      <x:c r="B1044" s="18" t="n">
        <x:v>46269</x:v>
      </x:c>
      <x:c r="C1044" s="17" t="str">
        <x:v>W0104</x:v>
      </x:c>
      <x:c r="D1044" s="17" t="str">
        <x:v>C002</x:v>
      </x:c>
      <x:c r="E1044" s="17" t="str">
        <x:v>DataFlow</x:v>
      </x:c>
      <x:c r="F1044" s="17" t="str">
        <x:v>Lite</x:v>
      </x:c>
      <x:c r="G1044" s="17" t="n">
        <x:v>35399</x:v>
      </x:c>
      <x:c r="H1044" s="17" t="n">
        <x:v>6550</x:v>
      </x:c>
      <x:c r="I1044" s="17" t="str">
        <x:v>Followup</x:v>
      </x:c>
      <x:c r="J1044" s="27" t="n">
        <x:f>INDEX('Model Pricing'!$B$7:$B$8,MATCH(F1044,'Model Pricing'!$A$7:$A$8,0))</x:f>
        <x:v>10</x:v>
      </x:c>
      <x:c r="K1044" s="27" t="n">
        <x:f>INDEX('Model Pricing'!$C$7:$C$8,MATCH(F1044,'Model Pricing'!$A$7:$A$8,0))</x:f>
        <x:v>30</x:v>
      </x:c>
      <x:c r="L1044" s="17" t="n">
        <x:f>G1044+H1044</x:f>
        <x:v>41949</x:v>
      </x:c>
      <x:c r="M1044" s="28" t="n">
        <x:f>G1044*J1044/1000000</x:f>
        <x:v>0.35399</x:v>
      </x:c>
      <x:c r="N1044" s="28" t="n">
        <x:f>H1044*K1044/1000000</x:f>
        <x:v>0.1965</x:v>
      </x:c>
      <x:c r="O1044" s="28" t="n">
        <x:f>SUM(M1044:N1044)</x:f>
        <x:v>0.55049</x:v>
      </x:c>
    </x:row>
    <x:row r="1045" ht="23" customHeight="1">
      <x:c r="A1045" s="17" t="str">
        <x:v>U01039</x:v>
      </x:c>
      <x:c r="B1045" s="18" t="n">
        <x:v>46269</x:v>
      </x:c>
      <x:c r="C1045" s="17" t="str">
        <x:v>W0104</x:v>
      </x:c>
      <x:c r="D1045" s="17" t="str">
        <x:v>C002</x:v>
      </x:c>
      <x:c r="E1045" s="17" t="str">
        <x:v>DataFlow</x:v>
      </x:c>
      <x:c r="F1045" s="17" t="str">
        <x:v>Lite</x:v>
      </x:c>
      <x:c r="G1045" s="17" t="n">
        <x:v>47741</x:v>
      </x:c>
      <x:c r="H1045" s="17" t="n">
        <x:v>2820</x:v>
      </x:c>
      <x:c r="I1045" s="17" t="str">
        <x:v>Correction</x:v>
      </x:c>
      <x:c r="J1045" s="27" t="n">
        <x:f>INDEX('Model Pricing'!$B$7:$B$8,MATCH(F1045,'Model Pricing'!$A$7:$A$8,0))</x:f>
        <x:v>10</x:v>
      </x:c>
      <x:c r="K1045" s="27" t="n">
        <x:f>INDEX('Model Pricing'!$C$7:$C$8,MATCH(F1045,'Model Pricing'!$A$7:$A$8,0))</x:f>
        <x:v>30</x:v>
      </x:c>
      <x:c r="L1045" s="17" t="n">
        <x:f>G1045+H1045</x:f>
        <x:v>50561</x:v>
      </x:c>
      <x:c r="M1045" s="28" t="n">
        <x:f>G1045*J1045/1000000</x:f>
        <x:v>0.47741</x:v>
      </x:c>
      <x:c r="N1045" s="28" t="n">
        <x:f>H1045*K1045/1000000</x:f>
        <x:v>0.0846</x:v>
      </x:c>
      <x:c r="O1045" s="28" t="n">
        <x:f>SUM(M1045:N1045)</x:f>
        <x:v>0.56201</x:v>
      </x:c>
    </x:row>
    <x:row r="1046" ht="23" customHeight="1">
      <x:c r="A1046" s="17" t="str">
        <x:v>U01040</x:v>
      </x:c>
      <x:c r="B1046" s="18" t="n">
        <x:v>46273</x:v>
      </x:c>
      <x:c r="C1046" s="17" t="str">
        <x:v>W0104</x:v>
      </x:c>
      <x:c r="D1046" s="17" t="str">
        <x:v>C002</x:v>
      </x:c>
      <x:c r="E1046" s="17" t="str">
        <x:v>DataFlow</x:v>
      </x:c>
      <x:c r="F1046" s="17" t="str">
        <x:v>Lite</x:v>
      </x:c>
      <x:c r="G1046" s="17" t="n">
        <x:v>16116</x:v>
      </x:c>
      <x:c r="H1046" s="17" t="n">
        <x:v>2553</x:v>
      </x:c>
      <x:c r="I1046" s="17" t="str">
        <x:v>Followup</x:v>
      </x:c>
      <x:c r="J1046" s="27" t="n">
        <x:f>INDEX('Model Pricing'!$B$7:$B$8,MATCH(F1046,'Model Pricing'!$A$7:$A$8,0))</x:f>
        <x:v>10</x:v>
      </x:c>
      <x:c r="K1046" s="27" t="n">
        <x:f>INDEX('Model Pricing'!$C$7:$C$8,MATCH(F1046,'Model Pricing'!$A$7:$A$8,0))</x:f>
        <x:v>30</x:v>
      </x:c>
      <x:c r="L1046" s="17" t="n">
        <x:f>G1046+H1046</x:f>
        <x:v>18669</x:v>
      </x:c>
      <x:c r="M1046" s="28" t="n">
        <x:f>G1046*J1046/1000000</x:f>
        <x:v>0.16116</x:v>
      </x:c>
      <x:c r="N1046" s="28" t="n">
        <x:f>H1046*K1046/1000000</x:f>
        <x:v>0.07659</x:v>
      </x:c>
      <x:c r="O1046" s="28" t="n">
        <x:f>SUM(M1046:N1046)</x:f>
        <x:v>0.23775000000000002</x:v>
      </x:c>
    </x:row>
    <x:row r="1047" ht="23" customHeight="1">
      <x:c r="A1047" s="17" t="str">
        <x:v>U01041</x:v>
      </x:c>
      <x:c r="B1047" s="18" t="n">
        <x:v>46273</x:v>
      </x:c>
      <x:c r="C1047" s="17" t="str">
        <x:v>W0104</x:v>
      </x:c>
      <x:c r="D1047" s="17" t="str">
        <x:v>C002</x:v>
      </x:c>
      <x:c r="E1047" s="17" t="str">
        <x:v>DataFlow</x:v>
      </x:c>
      <x:c r="F1047" s="17" t="str">
        <x:v>Lite</x:v>
      </x:c>
      <x:c r="G1047" s="17" t="n">
        <x:v>22680</x:v>
      </x:c>
      <x:c r="H1047" s="17" t="n">
        <x:v>2947</x:v>
      </x:c>
      <x:c r="I1047" s="17" t="str">
        <x:v>Correction</x:v>
      </x:c>
      <x:c r="J1047" s="27" t="n">
        <x:f>INDEX('Model Pricing'!$B$7:$B$8,MATCH(F1047,'Model Pricing'!$A$7:$A$8,0))</x:f>
        <x:v>10</x:v>
      </x:c>
      <x:c r="K1047" s="27" t="n">
        <x:f>INDEX('Model Pricing'!$C$7:$C$8,MATCH(F1047,'Model Pricing'!$A$7:$A$8,0))</x:f>
        <x:v>30</x:v>
      </x:c>
      <x:c r="L1047" s="17" t="n">
        <x:f>G1047+H1047</x:f>
        <x:v>25627</x:v>
      </x:c>
      <x:c r="M1047" s="28" t="n">
        <x:f>G1047*J1047/1000000</x:f>
        <x:v>0.2268</x:v>
      </x:c>
      <x:c r="N1047" s="28" t="n">
        <x:f>H1047*K1047/1000000</x:f>
        <x:v>0.08841</x:v>
      </x:c>
      <x:c r="O1047" s="28" t="n">
        <x:f>SUM(M1047:N1047)</x:f>
        <x:v>0.31521</x:v>
      </x:c>
    </x:row>
    <x:row r="1048" ht="23" customHeight="1">
      <x:c r="A1048" s="17" t="str">
        <x:v>U01042</x:v>
      </x:c>
      <x:c r="B1048" s="18" t="n">
        <x:v>46273</x:v>
      </x:c>
      <x:c r="C1048" s="17" t="str">
        <x:v>W0104</x:v>
      </x:c>
      <x:c r="D1048" s="17" t="str">
        <x:v>C002</x:v>
      </x:c>
      <x:c r="E1048" s="17" t="str">
        <x:v>DataFlow</x:v>
      </x:c>
      <x:c r="F1048" s="17" t="str">
        <x:v>Lite</x:v>
      </x:c>
      <x:c r="G1048" s="17" t="n">
        <x:v>16159</x:v>
      </x:c>
      <x:c r="H1048" s="17" t="n">
        <x:v>2265</x:v>
      </x:c>
      <x:c r="I1048" s="17" t="str">
        <x:v>Followup</x:v>
      </x:c>
      <x:c r="J1048" s="27" t="n">
        <x:f>INDEX('Model Pricing'!$B$7:$B$8,MATCH(F1048,'Model Pricing'!$A$7:$A$8,0))</x:f>
        <x:v>10</x:v>
      </x:c>
      <x:c r="K1048" s="27" t="n">
        <x:f>INDEX('Model Pricing'!$C$7:$C$8,MATCH(F1048,'Model Pricing'!$A$7:$A$8,0))</x:f>
        <x:v>30</x:v>
      </x:c>
      <x:c r="L1048" s="17" t="n">
        <x:f>G1048+H1048</x:f>
        <x:v>18424</x:v>
      </x:c>
      <x:c r="M1048" s="28" t="n">
        <x:f>G1048*J1048/1000000</x:f>
        <x:v>0.16159</x:v>
      </x:c>
      <x:c r="N1048" s="28" t="n">
        <x:f>H1048*K1048/1000000</x:f>
        <x:v>0.06795</x:v>
      </x:c>
      <x:c r="O1048" s="28" t="n">
        <x:f>SUM(M1048:N1048)</x:f>
        <x:v>0.22954000000000002</x:v>
      </x:c>
    </x:row>
    <x:row r="1049" ht="23" customHeight="1">
      <x:c r="A1049" s="17" t="str">
        <x:v>U01043</x:v>
      </x:c>
      <x:c r="B1049" s="18" t="n">
        <x:v>46273</x:v>
      </x:c>
      <x:c r="C1049" s="17" t="str">
        <x:v>W0104</x:v>
      </x:c>
      <x:c r="D1049" s="17" t="str">
        <x:v>C002</x:v>
      </x:c>
      <x:c r="E1049" s="17" t="str">
        <x:v>DataFlow</x:v>
      </x:c>
      <x:c r="F1049" s="17" t="str">
        <x:v>Lite</x:v>
      </x:c>
      <x:c r="G1049" s="17" t="n">
        <x:v>36282</x:v>
      </x:c>
      <x:c r="H1049" s="17" t="n">
        <x:v>5514</x:v>
      </x:c>
      <x:c r="I1049" s="17" t="str">
        <x:v>Correction</x:v>
      </x:c>
      <x:c r="J1049" s="27" t="n">
        <x:f>INDEX('Model Pricing'!$B$7:$B$8,MATCH(F1049,'Model Pricing'!$A$7:$A$8,0))</x:f>
        <x:v>10</x:v>
      </x:c>
      <x:c r="K1049" s="27" t="n">
        <x:f>INDEX('Model Pricing'!$C$7:$C$8,MATCH(F1049,'Model Pricing'!$A$7:$A$8,0))</x:f>
        <x:v>30</x:v>
      </x:c>
      <x:c r="L1049" s="17" t="n">
        <x:f>G1049+H1049</x:f>
        <x:v>41796</x:v>
      </x:c>
      <x:c r="M1049" s="28" t="n">
        <x:f>G1049*J1049/1000000</x:f>
        <x:v>0.36282</x:v>
      </x:c>
      <x:c r="N1049" s="28" t="n">
        <x:f>H1049*K1049/1000000</x:f>
        <x:v>0.16542</x:v>
      </x:c>
      <x:c r="O1049" s="28" t="n">
        <x:f>SUM(M1049:N1049)</x:f>
        <x:v>0.52824</x:v>
      </x:c>
    </x:row>
    <x:row r="1050" ht="23" customHeight="1">
      <x:c r="A1050" s="17" t="str">
        <x:v>U01044</x:v>
      </x:c>
      <x:c r="B1050" s="18" t="n">
        <x:v>46279</x:v>
      </x:c>
      <x:c r="C1050" s="17" t="str">
        <x:v>W0105</x:v>
      </x:c>
      <x:c r="D1050" s="17" t="str">
        <x:v>C002</x:v>
      </x:c>
      <x:c r="E1050" s="17" t="str">
        <x:v>CopyStudio</x:v>
      </x:c>
      <x:c r="F1050" s="17" t="str">
        <x:v>Lite</x:v>
      </x:c>
      <x:c r="G1050" s="17" t="n">
        <x:v>18964</x:v>
      </x:c>
      <x:c r="H1050" s="17" t="n">
        <x:v>3964</x:v>
      </x:c>
      <x:c r="I1050" s="17" t="str">
        <x:v>First attempt</x:v>
      </x:c>
      <x:c r="J1050" s="27" t="n">
        <x:f>INDEX('Model Pricing'!$B$7:$B$8,MATCH(F1050,'Model Pricing'!$A$7:$A$8,0))</x:f>
        <x:v>10</x:v>
      </x:c>
      <x:c r="K1050" s="27" t="n">
        <x:f>INDEX('Model Pricing'!$C$7:$C$8,MATCH(F1050,'Model Pricing'!$A$7:$A$8,0))</x:f>
        <x:v>30</x:v>
      </x:c>
      <x:c r="L1050" s="17" t="n">
        <x:f>G1050+H1050</x:f>
        <x:v>22928</x:v>
      </x:c>
      <x:c r="M1050" s="28" t="n">
        <x:f>G1050*J1050/1000000</x:f>
        <x:v>0.18964</x:v>
      </x:c>
      <x:c r="N1050" s="28" t="n">
        <x:f>H1050*K1050/1000000</x:f>
        <x:v>0.11892</x:v>
      </x:c>
      <x:c r="O1050" s="28" t="n">
        <x:f>SUM(M1050:N1050)</x:f>
        <x:v>0.30856</x:v>
      </x:c>
    </x:row>
    <x:row r="1051" ht="23" customHeight="1">
      <x:c r="A1051" s="17" t="str">
        <x:v>U01045</x:v>
      </x:c>
      <x:c r="B1051" s="18" t="n">
        <x:v>46279</x:v>
      </x:c>
      <x:c r="C1051" s="17" t="str">
        <x:v>W0105</x:v>
      </x:c>
      <x:c r="D1051" s="17" t="str">
        <x:v>C002</x:v>
      </x:c>
      <x:c r="E1051" s="17" t="str">
        <x:v>CopyStudio</x:v>
      </x:c>
      <x:c r="F1051" s="17" t="str">
        <x:v>Lite</x:v>
      </x:c>
      <x:c r="G1051" s="17" t="n">
        <x:v>26986</x:v>
      </x:c>
      <x:c r="H1051" s="17" t="n">
        <x:v>7739</x:v>
      </x:c>
      <x:c r="I1051" s="17" t="str">
        <x:v>Followup</x:v>
      </x:c>
      <x:c r="J1051" s="27" t="n">
        <x:f>INDEX('Model Pricing'!$B$7:$B$8,MATCH(F1051,'Model Pricing'!$A$7:$A$8,0))</x:f>
        <x:v>10</x:v>
      </x:c>
      <x:c r="K1051" s="27" t="n">
        <x:f>INDEX('Model Pricing'!$C$7:$C$8,MATCH(F1051,'Model Pricing'!$A$7:$A$8,0))</x:f>
        <x:v>30</x:v>
      </x:c>
      <x:c r="L1051" s="17" t="n">
        <x:f>G1051+H1051</x:f>
        <x:v>34725</x:v>
      </x:c>
      <x:c r="M1051" s="28" t="n">
        <x:f>G1051*J1051/1000000</x:f>
        <x:v>0.26986</x:v>
      </x:c>
      <x:c r="N1051" s="28" t="n">
        <x:f>H1051*K1051/1000000</x:f>
        <x:v>0.23217</x:v>
      </x:c>
      <x:c r="O1051" s="28" t="n">
        <x:f>SUM(M1051:N1051)</x:f>
        <x:v>0.50203</x:v>
      </x:c>
    </x:row>
    <x:row r="1052" ht="23" customHeight="1">
      <x:c r="A1052" s="17" t="str">
        <x:v>U01046</x:v>
      </x:c>
      <x:c r="B1052" s="18" t="n">
        <x:v>46279</x:v>
      </x:c>
      <x:c r="C1052" s="17" t="str">
        <x:v>W0105</x:v>
      </x:c>
      <x:c r="D1052" s="17" t="str">
        <x:v>C002</x:v>
      </x:c>
      <x:c r="E1052" s="17" t="str">
        <x:v>CopyStudio</x:v>
      </x:c>
      <x:c r="F1052" s="17" t="str">
        <x:v>Lite</x:v>
      </x:c>
      <x:c r="G1052" s="17" t="n">
        <x:v>31871</x:v>
      </x:c>
      <x:c r="H1052" s="17" t="n">
        <x:v>6985</x:v>
      </x:c>
      <x:c r="I1052" s="17" t="str">
        <x:v>Followup</x:v>
      </x:c>
      <x:c r="J1052" s="27" t="n">
        <x:f>INDEX('Model Pricing'!$B$7:$B$8,MATCH(F1052,'Model Pricing'!$A$7:$A$8,0))</x:f>
        <x:v>10</x:v>
      </x:c>
      <x:c r="K1052" s="27" t="n">
        <x:f>INDEX('Model Pricing'!$C$7:$C$8,MATCH(F1052,'Model Pricing'!$A$7:$A$8,0))</x:f>
        <x:v>30</x:v>
      </x:c>
      <x:c r="L1052" s="17" t="n">
        <x:f>G1052+H1052</x:f>
        <x:v>38856</x:v>
      </x:c>
      <x:c r="M1052" s="28" t="n">
        <x:f>G1052*J1052/1000000</x:f>
        <x:v>0.31871</x:v>
      </x:c>
      <x:c r="N1052" s="28" t="n">
        <x:f>H1052*K1052/1000000</x:f>
        <x:v>0.20955</x:v>
      </x:c>
      <x:c r="O1052" s="28" t="n">
        <x:f>SUM(M1052:N1052)</x:f>
        <x:v>0.52826</x:v>
      </x:c>
    </x:row>
    <x:row r="1053" ht="23" customHeight="1">
      <x:c r="A1053" s="17" t="str">
        <x:v>U01047</x:v>
      </x:c>
      <x:c r="B1053" s="18" t="n">
        <x:v>46279</x:v>
      </x:c>
      <x:c r="C1053" s="17" t="str">
        <x:v>W0105</x:v>
      </x:c>
      <x:c r="D1053" s="17" t="str">
        <x:v>C002</x:v>
      </x:c>
      <x:c r="E1053" s="17" t="str">
        <x:v>CopyStudio</x:v>
      </x:c>
      <x:c r="F1053" s="17" t="str">
        <x:v>Lite</x:v>
      </x:c>
      <x:c r="G1053" s="17" t="n">
        <x:v>23450</x:v>
      </x:c>
      <x:c r="H1053" s="17" t="n">
        <x:v>7383</x:v>
      </x:c>
      <x:c r="I1053" s="17" t="str">
        <x:v>Followup</x:v>
      </x:c>
      <x:c r="J1053" s="27" t="n">
        <x:f>INDEX('Model Pricing'!$B$7:$B$8,MATCH(F1053,'Model Pricing'!$A$7:$A$8,0))</x:f>
        <x:v>10</x:v>
      </x:c>
      <x:c r="K1053" s="27" t="n">
        <x:f>INDEX('Model Pricing'!$C$7:$C$8,MATCH(F1053,'Model Pricing'!$A$7:$A$8,0))</x:f>
        <x:v>30</x:v>
      </x:c>
      <x:c r="L1053" s="17" t="n">
        <x:f>G1053+H1053</x:f>
        <x:v>30833</x:v>
      </x:c>
      <x:c r="M1053" s="28" t="n">
        <x:f>G1053*J1053/1000000</x:f>
        <x:v>0.2345</x:v>
      </x:c>
      <x:c r="N1053" s="28" t="n">
        <x:f>H1053*K1053/1000000</x:f>
        <x:v>0.22149</x:v>
      </x:c>
      <x:c r="O1053" s="28" t="n">
        <x:f>SUM(M1053:N1053)</x:f>
        <x:v>0.45599</x:v>
      </x:c>
    </x:row>
    <x:row r="1054" ht="23" customHeight="1">
      <x:c r="A1054" s="17" t="str">
        <x:v>U01048</x:v>
      </x:c>
      <x:c r="B1054" s="18" t="n">
        <x:v>46279</x:v>
      </x:c>
      <x:c r="C1054" s="17" t="str">
        <x:v>W0105</x:v>
      </x:c>
      <x:c r="D1054" s="17" t="str">
        <x:v>C002</x:v>
      </x:c>
      <x:c r="E1054" s="17" t="str">
        <x:v>CopyStudio</x:v>
      </x:c>
      <x:c r="F1054" s="17" t="str">
        <x:v>Lite</x:v>
      </x:c>
      <x:c r="G1054" s="17" t="n">
        <x:v>35367</x:v>
      </x:c>
      <x:c r="H1054" s="17" t="n">
        <x:v>5831</x:v>
      </x:c>
      <x:c r="I1054" s="17" t="str">
        <x:v>Followup</x:v>
      </x:c>
      <x:c r="J1054" s="27" t="n">
        <x:f>INDEX('Model Pricing'!$B$7:$B$8,MATCH(F1054,'Model Pricing'!$A$7:$A$8,0))</x:f>
        <x:v>10</x:v>
      </x:c>
      <x:c r="K1054" s="27" t="n">
        <x:f>INDEX('Model Pricing'!$C$7:$C$8,MATCH(F1054,'Model Pricing'!$A$7:$A$8,0))</x:f>
        <x:v>30</x:v>
      </x:c>
      <x:c r="L1054" s="17" t="n">
        <x:f>G1054+H1054</x:f>
        <x:v>41198</x:v>
      </x:c>
      <x:c r="M1054" s="28" t="n">
        <x:f>G1054*J1054/1000000</x:f>
        <x:v>0.35367</x:v>
      </x:c>
      <x:c r="N1054" s="28" t="n">
        <x:f>H1054*K1054/1000000</x:f>
        <x:v>0.17493</x:v>
      </x:c>
      <x:c r="O1054" s="28" t="n">
        <x:f>SUM(M1054:N1054)</x:f>
        <x:v>0.5286</x:v>
      </x:c>
    </x:row>
    <x:row r="1055" ht="23" customHeight="1">
      <x:c r="A1055" s="17" t="str">
        <x:v>U01049</x:v>
      </x:c>
      <x:c r="B1055" s="18" t="n">
        <x:v>46279</x:v>
      </x:c>
      <x:c r="C1055" s="17" t="str">
        <x:v>W0105</x:v>
      </x:c>
      <x:c r="D1055" s="17" t="str">
        <x:v>C002</x:v>
      </x:c>
      <x:c r="E1055" s="17" t="str">
        <x:v>CopyStudio</x:v>
      </x:c>
      <x:c r="F1055" s="17" t="str">
        <x:v>Lite</x:v>
      </x:c>
      <x:c r="G1055" s="17" t="n">
        <x:v>22438</x:v>
      </x:c>
      <x:c r="H1055" s="17" t="n">
        <x:v>3676</x:v>
      </x:c>
      <x:c r="I1055" s="17" t="str">
        <x:v>Correction</x:v>
      </x:c>
      <x:c r="J1055" s="27" t="n">
        <x:f>INDEX('Model Pricing'!$B$7:$B$8,MATCH(F1055,'Model Pricing'!$A$7:$A$8,0))</x:f>
        <x:v>10</x:v>
      </x:c>
      <x:c r="K1055" s="27" t="n">
        <x:f>INDEX('Model Pricing'!$C$7:$C$8,MATCH(F1055,'Model Pricing'!$A$7:$A$8,0))</x:f>
        <x:v>30</x:v>
      </x:c>
      <x:c r="L1055" s="17" t="n">
        <x:f>G1055+H1055</x:f>
        <x:v>26114</x:v>
      </x:c>
      <x:c r="M1055" s="28" t="n">
        <x:f>G1055*J1055/1000000</x:f>
        <x:v>0.22438</x:v>
      </x:c>
      <x:c r="N1055" s="28" t="n">
        <x:f>H1055*K1055/1000000</x:f>
        <x:v>0.11028</x:v>
      </x:c>
      <x:c r="O1055" s="28" t="n">
        <x:f>SUM(M1055:N1055)</x:f>
        <x:v>0.33466</x:v>
      </x:c>
    </x:row>
    <x:row r="1056" ht="23" customHeight="1">
      <x:c r="A1056" s="17" t="str">
        <x:v>U01050</x:v>
      </x:c>
      <x:c r="B1056" s="18" t="n">
        <x:v>46280</x:v>
      </x:c>
      <x:c r="C1056" s="17" t="str">
        <x:v>W0105</x:v>
      </x:c>
      <x:c r="D1056" s="17" t="str">
        <x:v>C002</x:v>
      </x:c>
      <x:c r="E1056" s="17" t="str">
        <x:v>CopyStudio</x:v>
      </x:c>
      <x:c r="F1056" s="17" t="str">
        <x:v>Lite</x:v>
      </x:c>
      <x:c r="G1056" s="17" t="n">
        <x:v>26674</x:v>
      </x:c>
      <x:c r="H1056" s="17" t="n">
        <x:v>2199</x:v>
      </x:c>
      <x:c r="I1056" s="17" t="str">
        <x:v>Correction</x:v>
      </x:c>
      <x:c r="J1056" s="27" t="n">
        <x:f>INDEX('Model Pricing'!$B$7:$B$8,MATCH(F1056,'Model Pricing'!$A$7:$A$8,0))</x:f>
        <x:v>10</x:v>
      </x:c>
      <x:c r="K1056" s="27" t="n">
        <x:f>INDEX('Model Pricing'!$C$7:$C$8,MATCH(F1056,'Model Pricing'!$A$7:$A$8,0))</x:f>
        <x:v>30</x:v>
      </x:c>
      <x:c r="L1056" s="17" t="n">
        <x:f>G1056+H1056</x:f>
        <x:v>28873</x:v>
      </x:c>
      <x:c r="M1056" s="28" t="n">
        <x:f>G1056*J1056/1000000</x:f>
        <x:v>0.26674</x:v>
      </x:c>
      <x:c r="N1056" s="28" t="n">
        <x:f>H1056*K1056/1000000</x:f>
        <x:v>0.06597</x:v>
      </x:c>
      <x:c r="O1056" s="28" t="n">
        <x:f>SUM(M1056:N1056)</x:f>
        <x:v>0.33270999999999995</x:v>
      </x:c>
    </x:row>
    <x:row r="1057" ht="23" customHeight="1">
      <x:c r="A1057" s="17" t="str">
        <x:v>U01051</x:v>
      </x:c>
      <x:c r="B1057" s="18" t="n">
        <x:v>46280</x:v>
      </x:c>
      <x:c r="C1057" s="17" t="str">
        <x:v>W0105</x:v>
      </x:c>
      <x:c r="D1057" s="17" t="str">
        <x:v>C002</x:v>
      </x:c>
      <x:c r="E1057" s="17" t="str">
        <x:v>CopyStudio</x:v>
      </x:c>
      <x:c r="F1057" s="17" t="str">
        <x:v>Lite</x:v>
      </x:c>
      <x:c r="G1057" s="17" t="n">
        <x:v>15830</x:v>
      </x:c>
      <x:c r="H1057" s="17" t="n">
        <x:v>5836</x:v>
      </x:c>
      <x:c r="I1057" s="17" t="str">
        <x:v>Correction</x:v>
      </x:c>
      <x:c r="J1057" s="27" t="n">
        <x:f>INDEX('Model Pricing'!$B$7:$B$8,MATCH(F1057,'Model Pricing'!$A$7:$A$8,0))</x:f>
        <x:v>10</x:v>
      </x:c>
      <x:c r="K1057" s="27" t="n">
        <x:f>INDEX('Model Pricing'!$C$7:$C$8,MATCH(F1057,'Model Pricing'!$A$7:$A$8,0))</x:f>
        <x:v>30</x:v>
      </x:c>
      <x:c r="L1057" s="17" t="n">
        <x:f>G1057+H1057</x:f>
        <x:v>21666</x:v>
      </x:c>
      <x:c r="M1057" s="28" t="n">
        <x:f>G1057*J1057/1000000</x:f>
        <x:v>0.1583</x:v>
      </x:c>
      <x:c r="N1057" s="28" t="n">
        <x:f>H1057*K1057/1000000</x:f>
        <x:v>0.17508</x:v>
      </x:c>
      <x:c r="O1057" s="28" t="n">
        <x:f>SUM(M1057:N1057)</x:f>
        <x:v>0.33338</x:v>
      </x:c>
    </x:row>
    <x:row r="1058" ht="23" customHeight="1">
      <x:c r="A1058" s="17" t="str">
        <x:v>U01052</x:v>
      </x:c>
      <x:c r="B1058" s="18" t="n">
        <x:v>46280</x:v>
      </x:c>
      <x:c r="C1058" s="17" t="str">
        <x:v>W0105</x:v>
      </x:c>
      <x:c r="D1058" s="17" t="str">
        <x:v>C002</x:v>
      </x:c>
      <x:c r="E1058" s="17" t="str">
        <x:v>CopyStudio</x:v>
      </x:c>
      <x:c r="F1058" s="17" t="str">
        <x:v>Lite</x:v>
      </x:c>
      <x:c r="G1058" s="17" t="n">
        <x:v>38124</x:v>
      </x:c>
      <x:c r="H1058" s="17" t="n">
        <x:v>7650</x:v>
      </x:c>
      <x:c r="I1058" s="17" t="str">
        <x:v>Followup</x:v>
      </x:c>
      <x:c r="J1058" s="27" t="n">
        <x:f>INDEX('Model Pricing'!$B$7:$B$8,MATCH(F1058,'Model Pricing'!$A$7:$A$8,0))</x:f>
        <x:v>10</x:v>
      </x:c>
      <x:c r="K1058" s="27" t="n">
        <x:f>INDEX('Model Pricing'!$C$7:$C$8,MATCH(F1058,'Model Pricing'!$A$7:$A$8,0))</x:f>
        <x:v>30</x:v>
      </x:c>
      <x:c r="L1058" s="17" t="n">
        <x:f>G1058+H1058</x:f>
        <x:v>45774</x:v>
      </x:c>
      <x:c r="M1058" s="28" t="n">
        <x:f>G1058*J1058/1000000</x:f>
        <x:v>0.38124</x:v>
      </x:c>
      <x:c r="N1058" s="28" t="n">
        <x:f>H1058*K1058/1000000</x:f>
        <x:v>0.2295</x:v>
      </x:c>
      <x:c r="O1058" s="28" t="n">
        <x:f>SUM(M1058:N1058)</x:f>
        <x:v>0.6107400000000001</x:v>
      </x:c>
    </x:row>
    <x:row r="1059" ht="23" customHeight="1">
      <x:c r="A1059" s="17" t="str">
        <x:v>U01053</x:v>
      </x:c>
      <x:c r="B1059" s="18" t="n">
        <x:v>46280</x:v>
      </x:c>
      <x:c r="C1059" s="17" t="str">
        <x:v>W0105</x:v>
      </x:c>
      <x:c r="D1059" s="17" t="str">
        <x:v>C002</x:v>
      </x:c>
      <x:c r="E1059" s="17" t="str">
        <x:v>CopyStudio</x:v>
      </x:c>
      <x:c r="F1059" s="17" t="str">
        <x:v>Lite</x:v>
      </x:c>
      <x:c r="G1059" s="17" t="n">
        <x:v>15558</x:v>
      </x:c>
      <x:c r="H1059" s="17" t="n">
        <x:v>6563</x:v>
      </x:c>
      <x:c r="I1059" s="17" t="str">
        <x:v>Followup</x:v>
      </x:c>
      <x:c r="J1059" s="27" t="n">
        <x:f>INDEX('Model Pricing'!$B$7:$B$8,MATCH(F1059,'Model Pricing'!$A$7:$A$8,0))</x:f>
        <x:v>10</x:v>
      </x:c>
      <x:c r="K1059" s="27" t="n">
        <x:f>INDEX('Model Pricing'!$C$7:$C$8,MATCH(F1059,'Model Pricing'!$A$7:$A$8,0))</x:f>
        <x:v>30</x:v>
      </x:c>
      <x:c r="L1059" s="17" t="n">
        <x:f>G1059+H1059</x:f>
        <x:v>22121</x:v>
      </x:c>
      <x:c r="M1059" s="28" t="n">
        <x:f>G1059*J1059/1000000</x:f>
        <x:v>0.15558</x:v>
      </x:c>
      <x:c r="N1059" s="28" t="n">
        <x:f>H1059*K1059/1000000</x:f>
        <x:v>0.19689</x:v>
      </x:c>
      <x:c r="O1059" s="28" t="n">
        <x:f>SUM(M1059:N1059)</x:f>
        <x:v>0.35247</x:v>
      </x:c>
    </x:row>
    <x:row r="1060" ht="23" customHeight="1">
      <x:c r="A1060" s="17" t="str">
        <x:v>U01054</x:v>
      </x:c>
      <x:c r="B1060" s="18" t="n">
        <x:v>46280</x:v>
      </x:c>
      <x:c r="C1060" s="17" t="str">
        <x:v>W0105</x:v>
      </x:c>
      <x:c r="D1060" s="17" t="str">
        <x:v>C002</x:v>
      </x:c>
      <x:c r="E1060" s="17" t="str">
        <x:v>CopyStudio</x:v>
      </x:c>
      <x:c r="F1060" s="17" t="str">
        <x:v>Lite</x:v>
      </x:c>
      <x:c r="G1060" s="17" t="n">
        <x:v>16500</x:v>
      </x:c>
      <x:c r="H1060" s="17" t="n">
        <x:v>5228</x:v>
      </x:c>
      <x:c r="I1060" s="17" t="str">
        <x:v>Followup</x:v>
      </x:c>
      <x:c r="J1060" s="27" t="n">
        <x:f>INDEX('Model Pricing'!$B$7:$B$8,MATCH(F1060,'Model Pricing'!$A$7:$A$8,0))</x:f>
        <x:v>10</x:v>
      </x:c>
      <x:c r="K1060" s="27" t="n">
        <x:f>INDEX('Model Pricing'!$C$7:$C$8,MATCH(F1060,'Model Pricing'!$A$7:$A$8,0))</x:f>
        <x:v>30</x:v>
      </x:c>
      <x:c r="L1060" s="17" t="n">
        <x:f>G1060+H1060</x:f>
        <x:v>21728</x:v>
      </x:c>
      <x:c r="M1060" s="28" t="n">
        <x:f>G1060*J1060/1000000</x:f>
        <x:v>0.165</x:v>
      </x:c>
      <x:c r="N1060" s="28" t="n">
        <x:f>H1060*K1060/1000000</x:f>
        <x:v>0.15684</x:v>
      </x:c>
      <x:c r="O1060" s="28" t="n">
        <x:f>SUM(M1060:N1060)</x:f>
        <x:v>0.32184</x:v>
      </x:c>
    </x:row>
    <x:row r="1061" ht="23" customHeight="1">
      <x:c r="A1061" s="17" t="str">
        <x:v>U01055</x:v>
      </x:c>
      <x:c r="B1061" s="18" t="n">
        <x:v>46280</x:v>
      </x:c>
      <x:c r="C1061" s="17" t="str">
        <x:v>W0105</x:v>
      </x:c>
      <x:c r="D1061" s="17" t="str">
        <x:v>C002</x:v>
      </x:c>
      <x:c r="E1061" s="17" t="str">
        <x:v>CopyStudio</x:v>
      </x:c>
      <x:c r="F1061" s="17" t="str">
        <x:v>Lite</x:v>
      </x:c>
      <x:c r="G1061" s="17" t="n">
        <x:v>36931</x:v>
      </x:c>
      <x:c r="H1061" s="17" t="n">
        <x:v>2403</x:v>
      </x:c>
      <x:c r="I1061" s="17" t="str">
        <x:v>Followup</x:v>
      </x:c>
      <x:c r="J1061" s="27" t="n">
        <x:f>INDEX('Model Pricing'!$B$7:$B$8,MATCH(F1061,'Model Pricing'!$A$7:$A$8,0))</x:f>
        <x:v>10</x:v>
      </x:c>
      <x:c r="K1061" s="27" t="n">
        <x:f>INDEX('Model Pricing'!$C$7:$C$8,MATCH(F1061,'Model Pricing'!$A$7:$A$8,0))</x:f>
        <x:v>30</x:v>
      </x:c>
      <x:c r="L1061" s="17" t="n">
        <x:f>G1061+H1061</x:f>
        <x:v>39334</x:v>
      </x:c>
      <x:c r="M1061" s="28" t="n">
        <x:f>G1061*J1061/1000000</x:f>
        <x:v>0.36931</x:v>
      </x:c>
      <x:c r="N1061" s="28" t="n">
        <x:f>H1061*K1061/1000000</x:f>
        <x:v>0.07209</x:v>
      </x:c>
      <x:c r="O1061" s="28" t="n">
        <x:f>SUM(M1061:N1061)</x:f>
        <x:v>0.4414</x:v>
      </x:c>
    </x:row>
    <x:row r="1062" ht="23" customHeight="1">
      <x:c r="A1062" s="17" t="str">
        <x:v>U01056</x:v>
      </x:c>
      <x:c r="B1062" s="18" t="n">
        <x:v>46281</x:v>
      </x:c>
      <x:c r="C1062" s="17" t="str">
        <x:v>W0105</x:v>
      </x:c>
      <x:c r="D1062" s="17" t="str">
        <x:v>C002</x:v>
      </x:c>
      <x:c r="E1062" s="17" t="str">
        <x:v>CopyStudio</x:v>
      </x:c>
      <x:c r="F1062" s="17" t="str">
        <x:v>Lite</x:v>
      </x:c>
      <x:c r="G1062" s="17" t="n">
        <x:v>22961</x:v>
      </x:c>
      <x:c r="H1062" s="17" t="n">
        <x:v>2196</x:v>
      </x:c>
      <x:c r="I1062" s="17" t="str">
        <x:v>Correction</x:v>
      </x:c>
      <x:c r="J1062" s="27" t="n">
        <x:f>INDEX('Model Pricing'!$B$7:$B$8,MATCH(F1062,'Model Pricing'!$A$7:$A$8,0))</x:f>
        <x:v>10</x:v>
      </x:c>
      <x:c r="K1062" s="27" t="n">
        <x:f>INDEX('Model Pricing'!$C$7:$C$8,MATCH(F1062,'Model Pricing'!$A$7:$A$8,0))</x:f>
        <x:v>30</x:v>
      </x:c>
      <x:c r="L1062" s="17" t="n">
        <x:f>G1062+H1062</x:f>
        <x:v>25157</x:v>
      </x:c>
      <x:c r="M1062" s="28" t="n">
        <x:f>G1062*J1062/1000000</x:f>
        <x:v>0.22961</x:v>
      </x:c>
      <x:c r="N1062" s="28" t="n">
        <x:f>H1062*K1062/1000000</x:f>
        <x:v>0.06588</x:v>
      </x:c>
      <x:c r="O1062" s="28" t="n">
        <x:f>SUM(M1062:N1062)</x:f>
        <x:v>0.29549000000000003</x:v>
      </x:c>
    </x:row>
    <x:row r="1063" ht="23" customHeight="1">
      <x:c r="A1063" s="17" t="str">
        <x:v>U01057</x:v>
      </x:c>
      <x:c r="B1063" s="18" t="n">
        <x:v>46281</x:v>
      </x:c>
      <x:c r="C1063" s="17" t="str">
        <x:v>W0105</x:v>
      </x:c>
      <x:c r="D1063" s="17" t="str">
        <x:v>C002</x:v>
      </x:c>
      <x:c r="E1063" s="17" t="str">
        <x:v>CopyStudio</x:v>
      </x:c>
      <x:c r="F1063" s="17" t="str">
        <x:v>Lite</x:v>
      </x:c>
      <x:c r="G1063" s="17" t="n">
        <x:v>19035</x:v>
      </x:c>
      <x:c r="H1063" s="17" t="n">
        <x:v>5037</x:v>
      </x:c>
      <x:c r="I1063" s="17" t="str">
        <x:v>Followup</x:v>
      </x:c>
      <x:c r="J1063" s="27" t="n">
        <x:f>INDEX('Model Pricing'!$B$7:$B$8,MATCH(F1063,'Model Pricing'!$A$7:$A$8,0))</x:f>
        <x:v>10</x:v>
      </x:c>
      <x:c r="K1063" s="27" t="n">
        <x:f>INDEX('Model Pricing'!$C$7:$C$8,MATCH(F1063,'Model Pricing'!$A$7:$A$8,0))</x:f>
        <x:v>30</x:v>
      </x:c>
      <x:c r="L1063" s="17" t="n">
        <x:f>G1063+H1063</x:f>
        <x:v>24072</x:v>
      </x:c>
      <x:c r="M1063" s="28" t="n">
        <x:f>G1063*J1063/1000000</x:f>
        <x:v>0.19035</x:v>
      </x:c>
      <x:c r="N1063" s="28" t="n">
        <x:f>H1063*K1063/1000000</x:f>
        <x:v>0.15111</x:v>
      </x:c>
      <x:c r="O1063" s="28" t="n">
        <x:f>SUM(M1063:N1063)</x:f>
        <x:v>0.34146</x:v>
      </x:c>
    </x:row>
    <x:row r="1064" ht="23" customHeight="1">
      <x:c r="A1064" s="17" t="str">
        <x:v>U01058</x:v>
      </x:c>
      <x:c r="B1064" s="18" t="n">
        <x:v>46281</x:v>
      </x:c>
      <x:c r="C1064" s="17" t="str">
        <x:v>W0105</x:v>
      </x:c>
      <x:c r="D1064" s="17" t="str">
        <x:v>C002</x:v>
      </x:c>
      <x:c r="E1064" s="17" t="str">
        <x:v>CopyStudio</x:v>
      </x:c>
      <x:c r="F1064" s="17" t="str">
        <x:v>Lite</x:v>
      </x:c>
      <x:c r="G1064" s="17" t="n">
        <x:v>18733</x:v>
      </x:c>
      <x:c r="H1064" s="17" t="n">
        <x:v>7100</x:v>
      </x:c>
      <x:c r="I1064" s="17" t="str">
        <x:v>Correction</x:v>
      </x:c>
      <x:c r="J1064" s="27" t="n">
        <x:f>INDEX('Model Pricing'!$B$7:$B$8,MATCH(F1064,'Model Pricing'!$A$7:$A$8,0))</x:f>
        <x:v>10</x:v>
      </x:c>
      <x:c r="K1064" s="27" t="n">
        <x:f>INDEX('Model Pricing'!$C$7:$C$8,MATCH(F1064,'Model Pricing'!$A$7:$A$8,0))</x:f>
        <x:v>30</x:v>
      </x:c>
      <x:c r="L1064" s="17" t="n">
        <x:f>G1064+H1064</x:f>
        <x:v>25833</x:v>
      </x:c>
      <x:c r="M1064" s="28" t="n">
        <x:f>G1064*J1064/1000000</x:f>
        <x:v>0.18733</x:v>
      </x:c>
      <x:c r="N1064" s="28" t="n">
        <x:f>H1064*K1064/1000000</x:f>
        <x:v>0.213</x:v>
      </x:c>
      <x:c r="O1064" s="28" t="n">
        <x:f>SUM(M1064:N1064)</x:f>
        <x:v>0.40032999999999996</x:v>
      </x:c>
    </x:row>
    <x:row r="1065" ht="23" customHeight="1">
      <x:c r="A1065" s="17" t="str">
        <x:v>U01059</x:v>
      </x:c>
      <x:c r="B1065" s="18" t="n">
        <x:v>46281</x:v>
      </x:c>
      <x:c r="C1065" s="17" t="str">
        <x:v>W0105</x:v>
      </x:c>
      <x:c r="D1065" s="17" t="str">
        <x:v>C002</x:v>
      </x:c>
      <x:c r="E1065" s="17" t="str">
        <x:v>CopyStudio</x:v>
      </x:c>
      <x:c r="F1065" s="17" t="str">
        <x:v>Lite</x:v>
      </x:c>
      <x:c r="G1065" s="17" t="n">
        <x:v>28951</x:v>
      </x:c>
      <x:c r="H1065" s="17" t="n">
        <x:v>6821</x:v>
      </x:c>
      <x:c r="I1065" s="17" t="str">
        <x:v>Correction</x:v>
      </x:c>
      <x:c r="J1065" s="27" t="n">
        <x:f>INDEX('Model Pricing'!$B$7:$B$8,MATCH(F1065,'Model Pricing'!$A$7:$A$8,0))</x:f>
        <x:v>10</x:v>
      </x:c>
      <x:c r="K1065" s="27" t="n">
        <x:f>INDEX('Model Pricing'!$C$7:$C$8,MATCH(F1065,'Model Pricing'!$A$7:$A$8,0))</x:f>
        <x:v>30</x:v>
      </x:c>
      <x:c r="L1065" s="17" t="n">
        <x:f>G1065+H1065</x:f>
        <x:v>35772</x:v>
      </x:c>
      <x:c r="M1065" s="28" t="n">
        <x:f>G1065*J1065/1000000</x:f>
        <x:v>0.28951</x:v>
      </x:c>
      <x:c r="N1065" s="28" t="n">
        <x:f>H1065*K1065/1000000</x:f>
        <x:v>0.20463</x:v>
      </x:c>
      <x:c r="O1065" s="28" t="n">
        <x:f>SUM(M1065:N1065)</x:f>
        <x:v>0.49414</x:v>
      </x:c>
    </x:row>
    <x:row r="1066" ht="23" customHeight="1">
      <x:c r="A1066" s="17" t="str">
        <x:v>U01060</x:v>
      </x:c>
      <x:c r="B1066" s="18" t="n">
        <x:v>46281</x:v>
      </x:c>
      <x:c r="C1066" s="17" t="str">
        <x:v>W0105</x:v>
      </x:c>
      <x:c r="D1066" s="17" t="str">
        <x:v>C002</x:v>
      </x:c>
      <x:c r="E1066" s="17" t="str">
        <x:v>CopyStudio</x:v>
      </x:c>
      <x:c r="F1066" s="17" t="str">
        <x:v>Lite</x:v>
      </x:c>
      <x:c r="G1066" s="17" t="n">
        <x:v>35928</x:v>
      </x:c>
      <x:c r="H1066" s="17" t="n">
        <x:v>3584</x:v>
      </x:c>
      <x:c r="I1066" s="17" t="str">
        <x:v>Correction</x:v>
      </x:c>
      <x:c r="J1066" s="27" t="n">
        <x:f>INDEX('Model Pricing'!$B$7:$B$8,MATCH(F1066,'Model Pricing'!$A$7:$A$8,0))</x:f>
        <x:v>10</x:v>
      </x:c>
      <x:c r="K1066" s="27" t="n">
        <x:f>INDEX('Model Pricing'!$C$7:$C$8,MATCH(F1066,'Model Pricing'!$A$7:$A$8,0))</x:f>
        <x:v>30</x:v>
      </x:c>
      <x:c r="L1066" s="17" t="n">
        <x:f>G1066+H1066</x:f>
        <x:v>39512</x:v>
      </x:c>
      <x:c r="M1066" s="28" t="n">
        <x:f>G1066*J1066/1000000</x:f>
        <x:v>0.35928</x:v>
      </x:c>
      <x:c r="N1066" s="28" t="n">
        <x:f>H1066*K1066/1000000</x:f>
        <x:v>0.10752</x:v>
      </x:c>
      <x:c r="O1066" s="28" t="n">
        <x:f>SUM(M1066:N1066)</x:f>
        <x:v>0.4668</x:v>
      </x:c>
    </x:row>
    <x:row r="1067" ht="23" customHeight="1">
      <x:c r="A1067" s="17" t="str">
        <x:v>U01061</x:v>
      </x:c>
      <x:c r="B1067" s="18" t="n">
        <x:v>46281</x:v>
      </x:c>
      <x:c r="C1067" s="17" t="str">
        <x:v>W0105</x:v>
      </x:c>
      <x:c r="D1067" s="17" t="str">
        <x:v>C002</x:v>
      </x:c>
      <x:c r="E1067" s="17" t="str">
        <x:v>CopyStudio</x:v>
      </x:c>
      <x:c r="F1067" s="17" t="str">
        <x:v>Lite</x:v>
      </x:c>
      <x:c r="G1067" s="17" t="n">
        <x:v>20107</x:v>
      </x:c>
      <x:c r="H1067" s="17" t="n">
        <x:v>4676</x:v>
      </x:c>
      <x:c r="I1067" s="17" t="str">
        <x:v>Correction</x:v>
      </x:c>
      <x:c r="J1067" s="27" t="n">
        <x:f>INDEX('Model Pricing'!$B$7:$B$8,MATCH(F1067,'Model Pricing'!$A$7:$A$8,0))</x:f>
        <x:v>10</x:v>
      </x:c>
      <x:c r="K1067" s="27" t="n">
        <x:f>INDEX('Model Pricing'!$C$7:$C$8,MATCH(F1067,'Model Pricing'!$A$7:$A$8,0))</x:f>
        <x:v>30</x:v>
      </x:c>
      <x:c r="L1067" s="17" t="n">
        <x:f>G1067+H1067</x:f>
        <x:v>24783</x:v>
      </x:c>
      <x:c r="M1067" s="28" t="n">
        <x:f>G1067*J1067/1000000</x:f>
        <x:v>0.20107</x:v>
      </x:c>
      <x:c r="N1067" s="28" t="n">
        <x:f>H1067*K1067/1000000</x:f>
        <x:v>0.14028</x:v>
      </x:c>
      <x:c r="O1067" s="28" t="n">
        <x:f>SUM(M1067:N1067)</x:f>
        <x:v>0.34135</x:v>
      </x:c>
    </x:row>
    <x:row r="1068" ht="23" customHeight="1">
      <x:c r="A1068" s="17" t="str">
        <x:v>U01062</x:v>
      </x:c>
      <x:c r="B1068" s="18" t="n">
        <x:v>46282</x:v>
      </x:c>
      <x:c r="C1068" s="17" t="str">
        <x:v>W0105</x:v>
      </x:c>
      <x:c r="D1068" s="17" t="str">
        <x:v>C002</x:v>
      </x:c>
      <x:c r="E1068" s="17" t="str">
        <x:v>CopyStudio</x:v>
      </x:c>
      <x:c r="F1068" s="17" t="str">
        <x:v>Lite</x:v>
      </x:c>
      <x:c r="G1068" s="17" t="n">
        <x:v>29868</x:v>
      </x:c>
      <x:c r="H1068" s="17" t="n">
        <x:v>6707</x:v>
      </x:c>
      <x:c r="I1068" s="17" t="str">
        <x:v>Correction</x:v>
      </x:c>
      <x:c r="J1068" s="27" t="n">
        <x:f>INDEX('Model Pricing'!$B$7:$B$8,MATCH(F1068,'Model Pricing'!$A$7:$A$8,0))</x:f>
        <x:v>10</x:v>
      </x:c>
      <x:c r="K1068" s="27" t="n">
        <x:f>INDEX('Model Pricing'!$C$7:$C$8,MATCH(F1068,'Model Pricing'!$A$7:$A$8,0))</x:f>
        <x:v>30</x:v>
      </x:c>
      <x:c r="L1068" s="17" t="n">
        <x:f>G1068+H1068</x:f>
        <x:v>36575</x:v>
      </x:c>
      <x:c r="M1068" s="28" t="n">
        <x:f>G1068*J1068/1000000</x:f>
        <x:v>0.29868</x:v>
      </x:c>
      <x:c r="N1068" s="28" t="n">
        <x:f>H1068*K1068/1000000</x:f>
        <x:v>0.20121</x:v>
      </x:c>
      <x:c r="O1068" s="28" t="n">
        <x:f>SUM(M1068:N1068)</x:f>
        <x:v>0.49989</x:v>
      </x:c>
    </x:row>
    <x:row r="1069" ht="23" customHeight="1">
      <x:c r="A1069" s="17" t="str">
        <x:v>U01063</x:v>
      </x:c>
      <x:c r="B1069" s="18" t="n">
        <x:v>46282</x:v>
      </x:c>
      <x:c r="C1069" s="17" t="str">
        <x:v>W0105</x:v>
      </x:c>
      <x:c r="D1069" s="17" t="str">
        <x:v>C002</x:v>
      </x:c>
      <x:c r="E1069" s="17" t="str">
        <x:v>CopyStudio</x:v>
      </x:c>
      <x:c r="F1069" s="17" t="str">
        <x:v>Lite</x:v>
      </x:c>
      <x:c r="G1069" s="17" t="n">
        <x:v>36629</x:v>
      </x:c>
      <x:c r="H1069" s="17" t="n">
        <x:v>7933</x:v>
      </x:c>
      <x:c r="I1069" s="17" t="str">
        <x:v>Correction</x:v>
      </x:c>
      <x:c r="J1069" s="27" t="n">
        <x:f>INDEX('Model Pricing'!$B$7:$B$8,MATCH(F1069,'Model Pricing'!$A$7:$A$8,0))</x:f>
        <x:v>10</x:v>
      </x:c>
      <x:c r="K1069" s="27" t="n">
        <x:f>INDEX('Model Pricing'!$C$7:$C$8,MATCH(F1069,'Model Pricing'!$A$7:$A$8,0))</x:f>
        <x:v>30</x:v>
      </x:c>
      <x:c r="L1069" s="17" t="n">
        <x:f>G1069+H1069</x:f>
        <x:v>44562</x:v>
      </x:c>
      <x:c r="M1069" s="28" t="n">
        <x:f>G1069*J1069/1000000</x:f>
        <x:v>0.36629</x:v>
      </x:c>
      <x:c r="N1069" s="28" t="n">
        <x:f>H1069*K1069/1000000</x:f>
        <x:v>0.23799</x:v>
      </x:c>
      <x:c r="O1069" s="28" t="n">
        <x:f>SUM(M1069:N1069)</x:f>
        <x:v>0.60428</x:v>
      </x:c>
    </x:row>
    <x:row r="1070" ht="23" customHeight="1">
      <x:c r="A1070" s="17" t="str">
        <x:v>U01064</x:v>
      </x:c>
      <x:c r="B1070" s="18" t="n">
        <x:v>46282</x:v>
      </x:c>
      <x:c r="C1070" s="17" t="str">
        <x:v>W0105</x:v>
      </x:c>
      <x:c r="D1070" s="17" t="str">
        <x:v>C002</x:v>
      </x:c>
      <x:c r="E1070" s="17" t="str">
        <x:v>CopyStudio</x:v>
      </x:c>
      <x:c r="F1070" s="17" t="str">
        <x:v>Lite</x:v>
      </x:c>
      <x:c r="G1070" s="17" t="n">
        <x:v>16885</x:v>
      </x:c>
      <x:c r="H1070" s="17" t="n">
        <x:v>7274</x:v>
      </x:c>
      <x:c r="I1070" s="17" t="str">
        <x:v>Correction</x:v>
      </x:c>
      <x:c r="J1070" s="27" t="n">
        <x:f>INDEX('Model Pricing'!$B$7:$B$8,MATCH(F1070,'Model Pricing'!$A$7:$A$8,0))</x:f>
        <x:v>10</x:v>
      </x:c>
      <x:c r="K1070" s="27" t="n">
        <x:f>INDEX('Model Pricing'!$C$7:$C$8,MATCH(F1070,'Model Pricing'!$A$7:$A$8,0))</x:f>
        <x:v>30</x:v>
      </x:c>
      <x:c r="L1070" s="17" t="n">
        <x:f>G1070+H1070</x:f>
        <x:v>24159</x:v>
      </x:c>
      <x:c r="M1070" s="28" t="n">
        <x:f>G1070*J1070/1000000</x:f>
        <x:v>0.16885</x:v>
      </x:c>
      <x:c r="N1070" s="28" t="n">
        <x:f>H1070*K1070/1000000</x:f>
        <x:v>0.21822</x:v>
      </x:c>
      <x:c r="O1070" s="28" t="n">
        <x:f>SUM(M1070:N1070)</x:f>
        <x:v>0.38707</x:v>
      </x:c>
    </x:row>
    <x:row r="1071" ht="23" customHeight="1">
      <x:c r="A1071" s="17" t="str">
        <x:v>U01065</x:v>
      </x:c>
      <x:c r="B1071" s="18" t="n">
        <x:v>46282</x:v>
      </x:c>
      <x:c r="C1071" s="17" t="str">
        <x:v>W0105</x:v>
      </x:c>
      <x:c r="D1071" s="17" t="str">
        <x:v>C002</x:v>
      </x:c>
      <x:c r="E1071" s="17" t="str">
        <x:v>CopyStudio</x:v>
      </x:c>
      <x:c r="F1071" s="17" t="str">
        <x:v>Lite</x:v>
      </x:c>
      <x:c r="G1071" s="17" t="n">
        <x:v>14099</x:v>
      </x:c>
      <x:c r="H1071" s="17" t="n">
        <x:v>6566</x:v>
      </x:c>
      <x:c r="I1071" s="17" t="str">
        <x:v>Followup</x:v>
      </x:c>
      <x:c r="J1071" s="27" t="n">
        <x:f>INDEX('Model Pricing'!$B$7:$B$8,MATCH(F1071,'Model Pricing'!$A$7:$A$8,0))</x:f>
        <x:v>10</x:v>
      </x:c>
      <x:c r="K1071" s="27" t="n">
        <x:f>INDEX('Model Pricing'!$C$7:$C$8,MATCH(F1071,'Model Pricing'!$A$7:$A$8,0))</x:f>
        <x:v>30</x:v>
      </x:c>
      <x:c r="L1071" s="17" t="n">
        <x:f>G1071+H1071</x:f>
        <x:v>20665</x:v>
      </x:c>
      <x:c r="M1071" s="28" t="n">
        <x:f>G1071*J1071/1000000</x:f>
        <x:v>0.14099</x:v>
      </x:c>
      <x:c r="N1071" s="28" t="n">
        <x:f>H1071*K1071/1000000</x:f>
        <x:v>0.19698</x:v>
      </x:c>
      <x:c r="O1071" s="28" t="n">
        <x:f>SUM(M1071:N1071)</x:f>
        <x:v>0.33797</x:v>
      </x:c>
    </x:row>
    <x:row r="1072" ht="23" customHeight="1">
      <x:c r="A1072" s="17" t="str">
        <x:v>U01066</x:v>
      </x:c>
      <x:c r="B1072" s="18" t="n">
        <x:v>46282</x:v>
      </x:c>
      <x:c r="C1072" s="17" t="str">
        <x:v>W0105</x:v>
      </x:c>
      <x:c r="D1072" s="17" t="str">
        <x:v>C002</x:v>
      </x:c>
      <x:c r="E1072" s="17" t="str">
        <x:v>CopyStudio</x:v>
      </x:c>
      <x:c r="F1072" s="17" t="str">
        <x:v>Lite</x:v>
      </x:c>
      <x:c r="G1072" s="17" t="n">
        <x:v>18647</x:v>
      </x:c>
      <x:c r="H1072" s="17" t="n">
        <x:v>4221</x:v>
      </x:c>
      <x:c r="I1072" s="17" t="str">
        <x:v>Correction</x:v>
      </x:c>
      <x:c r="J1072" s="27" t="n">
        <x:f>INDEX('Model Pricing'!$B$7:$B$8,MATCH(F1072,'Model Pricing'!$A$7:$A$8,0))</x:f>
        <x:v>10</x:v>
      </x:c>
      <x:c r="K1072" s="27" t="n">
        <x:f>INDEX('Model Pricing'!$C$7:$C$8,MATCH(F1072,'Model Pricing'!$A$7:$A$8,0))</x:f>
        <x:v>30</x:v>
      </x:c>
      <x:c r="L1072" s="17" t="n">
        <x:f>G1072+H1072</x:f>
        <x:v>22868</x:v>
      </x:c>
      <x:c r="M1072" s="28" t="n">
        <x:f>G1072*J1072/1000000</x:f>
        <x:v>0.18647</x:v>
      </x:c>
      <x:c r="N1072" s="28" t="n">
        <x:f>H1072*K1072/1000000</x:f>
        <x:v>0.12663</x:v>
      </x:c>
      <x:c r="O1072" s="28" t="n">
        <x:f>SUM(M1072:N1072)</x:f>
        <x:v>0.3131</x:v>
      </x:c>
    </x:row>
    <x:row r="1073" ht="23" customHeight="1">
      <x:c r="A1073" s="17" t="str">
        <x:v>U01067</x:v>
      </x:c>
      <x:c r="B1073" s="18" t="n">
        <x:v>46288</x:v>
      </x:c>
      <x:c r="C1073" s="17" t="str">
        <x:v>W0106</x:v>
      </x:c>
      <x:c r="D1073" s="17" t="str">
        <x:v>C002</x:v>
      </x:c>
      <x:c r="E1073" s="17" t="str">
        <x:v>InsightDesk</x:v>
      </x:c>
      <x:c r="F1073" s="17" t="str">
        <x:v>Lite</x:v>
      </x:c>
      <x:c r="G1073" s="17" t="n">
        <x:v>45471</x:v>
      </x:c>
      <x:c r="H1073" s="17" t="n">
        <x:v>7588</x:v>
      </x:c>
      <x:c r="I1073" s="17" t="str">
        <x:v>First attempt</x:v>
      </x:c>
      <x:c r="J1073" s="27" t="n">
        <x:f>INDEX('Model Pricing'!$B$7:$B$8,MATCH(F1073,'Model Pricing'!$A$7:$A$8,0))</x:f>
        <x:v>10</x:v>
      </x:c>
      <x:c r="K1073" s="27" t="n">
        <x:f>INDEX('Model Pricing'!$C$7:$C$8,MATCH(F1073,'Model Pricing'!$A$7:$A$8,0))</x:f>
        <x:v>30</x:v>
      </x:c>
      <x:c r="L1073" s="17" t="n">
        <x:f>G1073+H1073</x:f>
        <x:v>53059</x:v>
      </x:c>
      <x:c r="M1073" s="28" t="n">
        <x:f>G1073*J1073/1000000</x:f>
        <x:v>0.45471</x:v>
      </x:c>
      <x:c r="N1073" s="28" t="n">
        <x:f>H1073*K1073/1000000</x:f>
        <x:v>0.22764</x:v>
      </x:c>
      <x:c r="O1073" s="28" t="n">
        <x:f>SUM(M1073:N1073)</x:f>
        <x:v>0.68235</x:v>
      </x:c>
    </x:row>
    <x:row r="1074" ht="23" customHeight="1">
      <x:c r="A1074" s="17" t="str">
        <x:v>U01068</x:v>
      </x:c>
      <x:c r="B1074" s="18" t="n">
        <x:v>46288</x:v>
      </x:c>
      <x:c r="C1074" s="17" t="str">
        <x:v>W0106</x:v>
      </x:c>
      <x:c r="D1074" s="17" t="str">
        <x:v>C002</x:v>
      </x:c>
      <x:c r="E1074" s="17" t="str">
        <x:v>InsightDesk</x:v>
      </x:c>
      <x:c r="F1074" s="17" t="str">
        <x:v>Lite</x:v>
      </x:c>
      <x:c r="G1074" s="17" t="n">
        <x:v>47667</x:v>
      </x:c>
      <x:c r="H1074" s="17" t="n">
        <x:v>4951</x:v>
      </x:c>
      <x:c r="I1074" s="17" t="str">
        <x:v>Followup</x:v>
      </x:c>
      <x:c r="J1074" s="27" t="n">
        <x:f>INDEX('Model Pricing'!$B$7:$B$8,MATCH(F1074,'Model Pricing'!$A$7:$A$8,0))</x:f>
        <x:v>10</x:v>
      </x:c>
      <x:c r="K1074" s="27" t="n">
        <x:f>INDEX('Model Pricing'!$C$7:$C$8,MATCH(F1074,'Model Pricing'!$A$7:$A$8,0))</x:f>
        <x:v>30</x:v>
      </x:c>
      <x:c r="L1074" s="17" t="n">
        <x:f>G1074+H1074</x:f>
        <x:v>52618</x:v>
      </x:c>
      <x:c r="M1074" s="28" t="n">
        <x:f>G1074*J1074/1000000</x:f>
        <x:v>0.47667</x:v>
      </x:c>
      <x:c r="N1074" s="28" t="n">
        <x:f>H1074*K1074/1000000</x:f>
        <x:v>0.14853</x:v>
      </x:c>
      <x:c r="O1074" s="28" t="n">
        <x:f>SUM(M1074:N1074)</x:f>
        <x:v>0.6252</x:v>
      </x:c>
    </x:row>
    <x:row r="1075" ht="23" customHeight="1">
      <x:c r="A1075" s="17" t="str">
        <x:v>U01069</x:v>
      </x:c>
      <x:c r="B1075" s="18" t="n">
        <x:v>46288</x:v>
      </x:c>
      <x:c r="C1075" s="17" t="str">
        <x:v>W0106</x:v>
      </x:c>
      <x:c r="D1075" s="17" t="str">
        <x:v>C002</x:v>
      </x:c>
      <x:c r="E1075" s="17" t="str">
        <x:v>InsightDesk</x:v>
      </x:c>
      <x:c r="F1075" s="17" t="str">
        <x:v>Lite</x:v>
      </x:c>
      <x:c r="G1075" s="17" t="n">
        <x:v>24974</x:v>
      </x:c>
      <x:c r="H1075" s="17" t="n">
        <x:v>8159</x:v>
      </x:c>
      <x:c r="I1075" s="17" t="str">
        <x:v>Followup</x:v>
      </x:c>
      <x:c r="J1075" s="27" t="n">
        <x:f>INDEX('Model Pricing'!$B$7:$B$8,MATCH(F1075,'Model Pricing'!$A$7:$A$8,0))</x:f>
        <x:v>10</x:v>
      </x:c>
      <x:c r="K1075" s="27" t="n">
        <x:f>INDEX('Model Pricing'!$C$7:$C$8,MATCH(F1075,'Model Pricing'!$A$7:$A$8,0))</x:f>
        <x:v>30</x:v>
      </x:c>
      <x:c r="L1075" s="17" t="n">
        <x:f>G1075+H1075</x:f>
        <x:v>33133</x:v>
      </x:c>
      <x:c r="M1075" s="28" t="n">
        <x:f>G1075*J1075/1000000</x:f>
        <x:v>0.24974</x:v>
      </x:c>
      <x:c r="N1075" s="28" t="n">
        <x:f>H1075*K1075/1000000</x:f>
        <x:v>0.24477</x:v>
      </x:c>
      <x:c r="O1075" s="28" t="n">
        <x:f>SUM(M1075:N1075)</x:f>
        <x:v>0.49451</x:v>
      </x:c>
    </x:row>
    <x:row r="1076" ht="23" customHeight="1">
      <x:c r="A1076" s="17" t="str">
        <x:v>U01070</x:v>
      </x:c>
      <x:c r="B1076" s="18" t="n">
        <x:v>46288</x:v>
      </x:c>
      <x:c r="C1076" s="17" t="str">
        <x:v>W0106</x:v>
      </x:c>
      <x:c r="D1076" s="17" t="str">
        <x:v>C002</x:v>
      </x:c>
      <x:c r="E1076" s="17" t="str">
        <x:v>InsightDesk</x:v>
      </x:c>
      <x:c r="F1076" s="17" t="str">
        <x:v>Lite</x:v>
      </x:c>
      <x:c r="G1076" s="17" t="n">
        <x:v>50839</x:v>
      </x:c>
      <x:c r="H1076" s="17" t="n">
        <x:v>13889</x:v>
      </x:c>
      <x:c r="I1076" s="17" t="str">
        <x:v>Correction</x:v>
      </x:c>
      <x:c r="J1076" s="27" t="n">
        <x:f>INDEX('Model Pricing'!$B$7:$B$8,MATCH(F1076,'Model Pricing'!$A$7:$A$8,0))</x:f>
        <x:v>10</x:v>
      </x:c>
      <x:c r="K1076" s="27" t="n">
        <x:f>INDEX('Model Pricing'!$C$7:$C$8,MATCH(F1076,'Model Pricing'!$A$7:$A$8,0))</x:f>
        <x:v>30</x:v>
      </x:c>
      <x:c r="L1076" s="17" t="n">
        <x:f>G1076+H1076</x:f>
        <x:v>64728</x:v>
      </x:c>
      <x:c r="M1076" s="28" t="n">
        <x:f>G1076*J1076/1000000</x:f>
        <x:v>0.50839</x:v>
      </x:c>
      <x:c r="N1076" s="28" t="n">
        <x:f>H1076*K1076/1000000</x:f>
        <x:v>0.41667</x:v>
      </x:c>
      <x:c r="O1076" s="28" t="n">
        <x:f>SUM(M1076:N1076)</x:f>
        <x:v>0.92506</x:v>
      </x:c>
    </x:row>
    <x:row r="1077" ht="23" customHeight="1">
      <x:c r="A1077" s="17" t="str">
        <x:v>U01071</x:v>
      </x:c>
      <x:c r="B1077" s="18" t="n">
        <x:v>46289</x:v>
      </x:c>
      <x:c r="C1077" s="17" t="str">
        <x:v>W0106</x:v>
      </x:c>
      <x:c r="D1077" s="17" t="str">
        <x:v>C002</x:v>
      </x:c>
      <x:c r="E1077" s="17" t="str">
        <x:v>InsightDesk</x:v>
      </x:c>
      <x:c r="F1077" s="17" t="str">
        <x:v>Lite</x:v>
      </x:c>
      <x:c r="G1077" s="17" t="n">
        <x:v>20724</x:v>
      </x:c>
      <x:c r="H1077" s="17" t="n">
        <x:v>8654</x:v>
      </x:c>
      <x:c r="I1077" s="17" t="str">
        <x:v>Followup</x:v>
      </x:c>
      <x:c r="J1077" s="27" t="n">
        <x:f>INDEX('Model Pricing'!$B$7:$B$8,MATCH(F1077,'Model Pricing'!$A$7:$A$8,0))</x:f>
        <x:v>10</x:v>
      </x:c>
      <x:c r="K1077" s="27" t="n">
        <x:f>INDEX('Model Pricing'!$C$7:$C$8,MATCH(F1077,'Model Pricing'!$A$7:$A$8,0))</x:f>
        <x:v>30</x:v>
      </x:c>
      <x:c r="L1077" s="17" t="n">
        <x:f>G1077+H1077</x:f>
        <x:v>29378</x:v>
      </x:c>
      <x:c r="M1077" s="28" t="n">
        <x:f>G1077*J1077/1000000</x:f>
        <x:v>0.20724</x:v>
      </x:c>
      <x:c r="N1077" s="28" t="n">
        <x:f>H1077*K1077/1000000</x:f>
        <x:v>0.25962</x:v>
      </x:c>
      <x:c r="O1077" s="28" t="n">
        <x:f>SUM(M1077:N1077)</x:f>
        <x:v>0.46686000000000005</x:v>
      </x:c>
    </x:row>
    <x:row r="1078" ht="23" customHeight="1">
      <x:c r="A1078" s="17" t="str">
        <x:v>U01072</x:v>
      </x:c>
      <x:c r="B1078" s="18" t="n">
        <x:v>46289</x:v>
      </x:c>
      <x:c r="C1078" s="17" t="str">
        <x:v>W0106</x:v>
      </x:c>
      <x:c r="D1078" s="17" t="str">
        <x:v>C002</x:v>
      </x:c>
      <x:c r="E1078" s="17" t="str">
        <x:v>InsightDesk</x:v>
      </x:c>
      <x:c r="F1078" s="17" t="str">
        <x:v>Lite</x:v>
      </x:c>
      <x:c r="G1078" s="17" t="n">
        <x:v>25543</x:v>
      </x:c>
      <x:c r="H1078" s="17" t="n">
        <x:v>9740</x:v>
      </x:c>
      <x:c r="I1078" s="17" t="str">
        <x:v>Followup</x:v>
      </x:c>
      <x:c r="J1078" s="27" t="n">
        <x:f>INDEX('Model Pricing'!$B$7:$B$8,MATCH(F1078,'Model Pricing'!$A$7:$A$8,0))</x:f>
        <x:v>10</x:v>
      </x:c>
      <x:c r="K1078" s="27" t="n">
        <x:f>INDEX('Model Pricing'!$C$7:$C$8,MATCH(F1078,'Model Pricing'!$A$7:$A$8,0))</x:f>
        <x:v>30</x:v>
      </x:c>
      <x:c r="L1078" s="17" t="n">
        <x:f>G1078+H1078</x:f>
        <x:v>35283</x:v>
      </x:c>
      <x:c r="M1078" s="28" t="n">
        <x:f>G1078*J1078/1000000</x:f>
        <x:v>0.25543</x:v>
      </x:c>
      <x:c r="N1078" s="28" t="n">
        <x:f>H1078*K1078/1000000</x:f>
        <x:v>0.2922</x:v>
      </x:c>
      <x:c r="O1078" s="28" t="n">
        <x:f>SUM(M1078:N1078)</x:f>
        <x:v>0.5476300000000001</x:v>
      </x:c>
    </x:row>
    <x:row r="1079" ht="23" customHeight="1">
      <x:c r="A1079" s="17" t="str">
        <x:v>U01073</x:v>
      </x:c>
      <x:c r="B1079" s="18" t="n">
        <x:v>46289</x:v>
      </x:c>
      <x:c r="C1079" s="17" t="str">
        <x:v>W0106</x:v>
      </x:c>
      <x:c r="D1079" s="17" t="str">
        <x:v>C002</x:v>
      </x:c>
      <x:c r="E1079" s="17" t="str">
        <x:v>InsightDesk</x:v>
      </x:c>
      <x:c r="F1079" s="17" t="str">
        <x:v>Lite</x:v>
      </x:c>
      <x:c r="G1079" s="17" t="n">
        <x:v>55336</x:v>
      </x:c>
      <x:c r="H1079" s="17" t="n">
        <x:v>12249</x:v>
      </x:c>
      <x:c r="I1079" s="17" t="str">
        <x:v>Correction</x:v>
      </x:c>
      <x:c r="J1079" s="27" t="n">
        <x:f>INDEX('Model Pricing'!$B$7:$B$8,MATCH(F1079,'Model Pricing'!$A$7:$A$8,0))</x:f>
        <x:v>10</x:v>
      </x:c>
      <x:c r="K1079" s="27" t="n">
        <x:f>INDEX('Model Pricing'!$C$7:$C$8,MATCH(F1079,'Model Pricing'!$A$7:$A$8,0))</x:f>
        <x:v>30</x:v>
      </x:c>
      <x:c r="L1079" s="17" t="n">
        <x:f>G1079+H1079</x:f>
        <x:v>67585</x:v>
      </x:c>
      <x:c r="M1079" s="28" t="n">
        <x:f>G1079*J1079/1000000</x:f>
        <x:v>0.55336</x:v>
      </x:c>
      <x:c r="N1079" s="28" t="n">
        <x:f>H1079*K1079/1000000</x:f>
        <x:v>0.36747</x:v>
      </x:c>
      <x:c r="O1079" s="28" t="n">
        <x:f>SUM(M1079:N1079)</x:f>
        <x:v>0.92083</x:v>
      </x:c>
    </x:row>
    <x:row r="1080" ht="23" customHeight="1">
      <x:c r="A1080" s="17" t="str">
        <x:v>U01074</x:v>
      </x:c>
      <x:c r="B1080" s="18" t="n">
        <x:v>46289</x:v>
      </x:c>
      <x:c r="C1080" s="17" t="str">
        <x:v>W0106</x:v>
      </x:c>
      <x:c r="D1080" s="17" t="str">
        <x:v>C002</x:v>
      </x:c>
      <x:c r="E1080" s="17" t="str">
        <x:v>InsightDesk</x:v>
      </x:c>
      <x:c r="F1080" s="17" t="str">
        <x:v>Lite</x:v>
      </x:c>
      <x:c r="G1080" s="17" t="n">
        <x:v>42619</x:v>
      </x:c>
      <x:c r="H1080" s="17" t="n">
        <x:v>9707</x:v>
      </x:c>
      <x:c r="I1080" s="17" t="str">
        <x:v>Followup</x:v>
      </x:c>
      <x:c r="J1080" s="27" t="n">
        <x:f>INDEX('Model Pricing'!$B$7:$B$8,MATCH(F1080,'Model Pricing'!$A$7:$A$8,0))</x:f>
        <x:v>10</x:v>
      </x:c>
      <x:c r="K1080" s="27" t="n">
        <x:f>INDEX('Model Pricing'!$C$7:$C$8,MATCH(F1080,'Model Pricing'!$A$7:$A$8,0))</x:f>
        <x:v>30</x:v>
      </x:c>
      <x:c r="L1080" s="17" t="n">
        <x:f>G1080+H1080</x:f>
        <x:v>52326</x:v>
      </x:c>
      <x:c r="M1080" s="28" t="n">
        <x:f>G1080*J1080/1000000</x:f>
        <x:v>0.42619</x:v>
      </x:c>
      <x:c r="N1080" s="28" t="n">
        <x:f>H1080*K1080/1000000</x:f>
        <x:v>0.29121</x:v>
      </x:c>
      <x:c r="O1080" s="28" t="n">
        <x:f>SUM(M1080:N1080)</x:f>
        <x:v>0.7174</x:v>
      </x:c>
    </x:row>
    <x:row r="1081" ht="23" customHeight="1">
      <x:c r="A1081" s="17" t="str">
        <x:v>U01075</x:v>
      </x:c>
      <x:c r="B1081" s="18" t="n">
        <x:v>46290</x:v>
      </x:c>
      <x:c r="C1081" s="17" t="str">
        <x:v>W0106</x:v>
      </x:c>
      <x:c r="D1081" s="17" t="str">
        <x:v>C002</x:v>
      </x:c>
      <x:c r="E1081" s="17" t="str">
        <x:v>InsightDesk</x:v>
      </x:c>
      <x:c r="F1081" s="17" t="str">
        <x:v>Lite</x:v>
      </x:c>
      <x:c r="G1081" s="17" t="n">
        <x:v>33726</x:v>
      </x:c>
      <x:c r="H1081" s="17" t="n">
        <x:v>15286</x:v>
      </x:c>
      <x:c r="I1081" s="17" t="str">
        <x:v>Followup</x:v>
      </x:c>
      <x:c r="J1081" s="27" t="n">
        <x:f>INDEX('Model Pricing'!$B$7:$B$8,MATCH(F1081,'Model Pricing'!$A$7:$A$8,0))</x:f>
        <x:v>10</x:v>
      </x:c>
      <x:c r="K1081" s="27" t="n">
        <x:f>INDEX('Model Pricing'!$C$7:$C$8,MATCH(F1081,'Model Pricing'!$A$7:$A$8,0))</x:f>
        <x:v>30</x:v>
      </x:c>
      <x:c r="L1081" s="17" t="n">
        <x:f>G1081+H1081</x:f>
        <x:v>49012</x:v>
      </x:c>
      <x:c r="M1081" s="28" t="n">
        <x:f>G1081*J1081/1000000</x:f>
        <x:v>0.33726</x:v>
      </x:c>
      <x:c r="N1081" s="28" t="n">
        <x:f>H1081*K1081/1000000</x:f>
        <x:v>0.45858</x:v>
      </x:c>
      <x:c r="O1081" s="28" t="n">
        <x:f>SUM(M1081:N1081)</x:f>
        <x:v>0.79584</x:v>
      </x:c>
    </x:row>
    <x:row r="1082" ht="23" customHeight="1">
      <x:c r="A1082" s="17" t="str">
        <x:v>U01076</x:v>
      </x:c>
      <x:c r="B1082" s="18" t="n">
        <x:v>46290</x:v>
      </x:c>
      <x:c r="C1082" s="17" t="str">
        <x:v>W0106</x:v>
      </x:c>
      <x:c r="D1082" s="17" t="str">
        <x:v>C002</x:v>
      </x:c>
      <x:c r="E1082" s="17" t="str">
        <x:v>InsightDesk</x:v>
      </x:c>
      <x:c r="F1082" s="17" t="str">
        <x:v>Lite</x:v>
      </x:c>
      <x:c r="G1082" s="17" t="n">
        <x:v>45242</x:v>
      </x:c>
      <x:c r="H1082" s="17" t="n">
        <x:v>9515</x:v>
      </x:c>
      <x:c r="I1082" s="17" t="str">
        <x:v>Followup</x:v>
      </x:c>
      <x:c r="J1082" s="27" t="n">
        <x:f>INDEX('Model Pricing'!$B$7:$B$8,MATCH(F1082,'Model Pricing'!$A$7:$A$8,0))</x:f>
        <x:v>10</x:v>
      </x:c>
      <x:c r="K1082" s="27" t="n">
        <x:f>INDEX('Model Pricing'!$C$7:$C$8,MATCH(F1082,'Model Pricing'!$A$7:$A$8,0))</x:f>
        <x:v>30</x:v>
      </x:c>
      <x:c r="L1082" s="17" t="n">
        <x:f>G1082+H1082</x:f>
        <x:v>54757</x:v>
      </x:c>
      <x:c r="M1082" s="28" t="n">
        <x:f>G1082*J1082/1000000</x:f>
        <x:v>0.45242</x:v>
      </x:c>
      <x:c r="N1082" s="28" t="n">
        <x:f>H1082*K1082/1000000</x:f>
        <x:v>0.28545</x:v>
      </x:c>
      <x:c r="O1082" s="28" t="n">
        <x:f>SUM(M1082:N1082)</x:f>
        <x:v>0.73787</x:v>
      </x:c>
    </x:row>
    <x:row r="1083" ht="23" customHeight="1">
      <x:c r="A1083" s="17" t="str">
        <x:v>U01077</x:v>
      </x:c>
      <x:c r="B1083" s="18" t="n">
        <x:v>46290</x:v>
      </x:c>
      <x:c r="C1083" s="17" t="str">
        <x:v>W0106</x:v>
      </x:c>
      <x:c r="D1083" s="17" t="str">
        <x:v>C002</x:v>
      </x:c>
      <x:c r="E1083" s="17" t="str">
        <x:v>InsightDesk</x:v>
      </x:c>
      <x:c r="F1083" s="17" t="str">
        <x:v>Lite</x:v>
      </x:c>
      <x:c r="G1083" s="17" t="n">
        <x:v>46782</x:v>
      </x:c>
      <x:c r="H1083" s="17" t="n">
        <x:v>5706</x:v>
      </x:c>
      <x:c r="I1083" s="17" t="str">
        <x:v>Correction</x:v>
      </x:c>
      <x:c r="J1083" s="27" t="n">
        <x:f>INDEX('Model Pricing'!$B$7:$B$8,MATCH(F1083,'Model Pricing'!$A$7:$A$8,0))</x:f>
        <x:v>10</x:v>
      </x:c>
      <x:c r="K1083" s="27" t="n">
        <x:f>INDEX('Model Pricing'!$C$7:$C$8,MATCH(F1083,'Model Pricing'!$A$7:$A$8,0))</x:f>
        <x:v>30</x:v>
      </x:c>
      <x:c r="L1083" s="17" t="n">
        <x:f>G1083+H1083</x:f>
        <x:v>52488</x:v>
      </x:c>
      <x:c r="M1083" s="28" t="n">
        <x:f>G1083*J1083/1000000</x:f>
        <x:v>0.46782</x:v>
      </x:c>
      <x:c r="N1083" s="28" t="n">
        <x:f>H1083*K1083/1000000</x:f>
        <x:v>0.17118</x:v>
      </x:c>
      <x:c r="O1083" s="28" t="n">
        <x:f>SUM(M1083:N1083)</x:f>
        <x:v>0.639</x:v>
      </x:c>
    </x:row>
    <x:row r="1084" ht="23" customHeight="1">
      <x:c r="A1084" s="17" t="str">
        <x:v>U01078</x:v>
      </x:c>
      <x:c r="B1084" s="18" t="n">
        <x:v>46290</x:v>
      </x:c>
      <x:c r="C1084" s="17" t="str">
        <x:v>W0106</x:v>
      </x:c>
      <x:c r="D1084" s="17" t="str">
        <x:v>C002</x:v>
      </x:c>
      <x:c r="E1084" s="17" t="str">
        <x:v>InsightDesk</x:v>
      </x:c>
      <x:c r="F1084" s="17" t="str">
        <x:v>Lite</x:v>
      </x:c>
      <x:c r="G1084" s="17" t="n">
        <x:v>29172</x:v>
      </x:c>
      <x:c r="H1084" s="17" t="n">
        <x:v>4511</x:v>
      </x:c>
      <x:c r="I1084" s="17" t="str">
        <x:v>Followup</x:v>
      </x:c>
      <x:c r="J1084" s="27" t="n">
        <x:f>INDEX('Model Pricing'!$B$7:$B$8,MATCH(F1084,'Model Pricing'!$A$7:$A$8,0))</x:f>
        <x:v>10</x:v>
      </x:c>
      <x:c r="K1084" s="27" t="n">
        <x:f>INDEX('Model Pricing'!$C$7:$C$8,MATCH(F1084,'Model Pricing'!$A$7:$A$8,0))</x:f>
        <x:v>30</x:v>
      </x:c>
      <x:c r="L1084" s="17" t="n">
        <x:f>G1084+H1084</x:f>
        <x:v>33683</x:v>
      </x:c>
      <x:c r="M1084" s="28" t="n">
        <x:f>G1084*J1084/1000000</x:f>
        <x:v>0.29172</x:v>
      </x:c>
      <x:c r="N1084" s="28" t="n">
        <x:f>H1084*K1084/1000000</x:f>
        <x:v>0.13533</x:v>
      </x:c>
      <x:c r="O1084" s="28" t="n">
        <x:f>SUM(M1084:N1084)</x:f>
        <x:v>0.42705</x:v>
      </x:c>
    </x:row>
    <x:row r="1085" ht="23" customHeight="1">
      <x:c r="A1085" s="17" t="str">
        <x:v>U01079</x:v>
      </x:c>
      <x:c r="B1085" s="18" t="n">
        <x:v>46293</x:v>
      </x:c>
      <x:c r="C1085" s="17" t="str">
        <x:v>W0106</x:v>
      </x:c>
      <x:c r="D1085" s="17" t="str">
        <x:v>C002</x:v>
      </x:c>
      <x:c r="E1085" s="17" t="str">
        <x:v>InsightDesk</x:v>
      </x:c>
      <x:c r="F1085" s="17" t="str">
        <x:v>Lite</x:v>
      </x:c>
      <x:c r="G1085" s="17" t="n">
        <x:v>43439</x:v>
      </x:c>
      <x:c r="H1085" s="17" t="n">
        <x:v>9589</x:v>
      </x:c>
      <x:c r="I1085" s="17" t="str">
        <x:v>Correction</x:v>
      </x:c>
      <x:c r="J1085" s="27" t="n">
        <x:f>INDEX('Model Pricing'!$B$7:$B$8,MATCH(F1085,'Model Pricing'!$A$7:$A$8,0))</x:f>
        <x:v>10</x:v>
      </x:c>
      <x:c r="K1085" s="27" t="n">
        <x:f>INDEX('Model Pricing'!$C$7:$C$8,MATCH(F1085,'Model Pricing'!$A$7:$A$8,0))</x:f>
        <x:v>30</x:v>
      </x:c>
      <x:c r="L1085" s="17" t="n">
        <x:f>G1085+H1085</x:f>
        <x:v>53028</x:v>
      </x:c>
      <x:c r="M1085" s="28" t="n">
        <x:f>G1085*J1085/1000000</x:f>
        <x:v>0.43439</x:v>
      </x:c>
      <x:c r="N1085" s="28" t="n">
        <x:f>H1085*K1085/1000000</x:f>
        <x:v>0.28767</x:v>
      </x:c>
      <x:c r="O1085" s="28" t="n">
        <x:f>SUM(M1085:N1085)</x:f>
        <x:v>0.7220599999999999</x:v>
      </x:c>
    </x:row>
    <x:row r="1086" ht="23" customHeight="1">
      <x:c r="A1086" s="17" t="str">
        <x:v>U01080</x:v>
      </x:c>
      <x:c r="B1086" s="18" t="n">
        <x:v>46293</x:v>
      </x:c>
      <x:c r="C1086" s="17" t="str">
        <x:v>W0106</x:v>
      </x:c>
      <x:c r="D1086" s="17" t="str">
        <x:v>C002</x:v>
      </x:c>
      <x:c r="E1086" s="17" t="str">
        <x:v>InsightDesk</x:v>
      </x:c>
      <x:c r="F1086" s="17" t="str">
        <x:v>Lite</x:v>
      </x:c>
      <x:c r="G1086" s="17" t="n">
        <x:v>31712</x:v>
      </x:c>
      <x:c r="H1086" s="17" t="n">
        <x:v>5237</x:v>
      </x:c>
      <x:c r="I1086" s="17" t="str">
        <x:v>Followup</x:v>
      </x:c>
      <x:c r="J1086" s="27" t="n">
        <x:f>INDEX('Model Pricing'!$B$7:$B$8,MATCH(F1086,'Model Pricing'!$A$7:$A$8,0))</x:f>
        <x:v>10</x:v>
      </x:c>
      <x:c r="K1086" s="27" t="n">
        <x:f>INDEX('Model Pricing'!$C$7:$C$8,MATCH(F1086,'Model Pricing'!$A$7:$A$8,0))</x:f>
        <x:v>30</x:v>
      </x:c>
      <x:c r="L1086" s="17" t="n">
        <x:f>G1086+H1086</x:f>
        <x:v>36949</x:v>
      </x:c>
      <x:c r="M1086" s="28" t="n">
        <x:f>G1086*J1086/1000000</x:f>
        <x:v>0.31712</x:v>
      </x:c>
      <x:c r="N1086" s="28" t="n">
        <x:f>H1086*K1086/1000000</x:f>
        <x:v>0.15711</x:v>
      </x:c>
      <x:c r="O1086" s="28" t="n">
        <x:f>SUM(M1086:N1086)</x:f>
        <x:v>0.47423000000000004</x:v>
      </x:c>
    </x:row>
    <x:row r="1087" ht="23" customHeight="1">
      <x:c r="A1087" s="17" t="str">
        <x:v>U01081</x:v>
      </x:c>
      <x:c r="B1087" s="18" t="n">
        <x:v>46293</x:v>
      </x:c>
      <x:c r="C1087" s="17" t="str">
        <x:v>W0106</x:v>
      </x:c>
      <x:c r="D1087" s="17" t="str">
        <x:v>C002</x:v>
      </x:c>
      <x:c r="E1087" s="17" t="str">
        <x:v>InsightDesk</x:v>
      </x:c>
      <x:c r="F1087" s="17" t="str">
        <x:v>Lite</x:v>
      </x:c>
      <x:c r="G1087" s="17" t="n">
        <x:v>22331</x:v>
      </x:c>
      <x:c r="H1087" s="17" t="n">
        <x:v>4954</x:v>
      </x:c>
      <x:c r="I1087" s="17" t="str">
        <x:v>Followup</x:v>
      </x:c>
      <x:c r="J1087" s="27" t="n">
        <x:f>INDEX('Model Pricing'!$B$7:$B$8,MATCH(F1087,'Model Pricing'!$A$7:$A$8,0))</x:f>
        <x:v>10</x:v>
      </x:c>
      <x:c r="K1087" s="27" t="n">
        <x:f>INDEX('Model Pricing'!$C$7:$C$8,MATCH(F1087,'Model Pricing'!$A$7:$A$8,0))</x:f>
        <x:v>30</x:v>
      </x:c>
      <x:c r="L1087" s="17" t="n">
        <x:f>G1087+H1087</x:f>
        <x:v>27285</x:v>
      </x:c>
      <x:c r="M1087" s="28" t="n">
        <x:f>G1087*J1087/1000000</x:f>
        <x:v>0.22331</x:v>
      </x:c>
      <x:c r="N1087" s="28" t="n">
        <x:f>H1087*K1087/1000000</x:f>
        <x:v>0.14862</x:v>
      </x:c>
      <x:c r="O1087" s="28" t="n">
        <x:f>SUM(M1087:N1087)</x:f>
        <x:v>0.37193</x:v>
      </x:c>
    </x:row>
    <x:row r="1088" ht="23" customHeight="1">
      <x:c r="A1088" s="17" t="str">
        <x:v>U01082</x:v>
      </x:c>
      <x:c r="B1088" s="18" t="n">
        <x:v>46293</x:v>
      </x:c>
      <x:c r="C1088" s="17" t="str">
        <x:v>W0106</x:v>
      </x:c>
      <x:c r="D1088" s="17" t="str">
        <x:v>C002</x:v>
      </x:c>
      <x:c r="E1088" s="17" t="str">
        <x:v>InsightDesk</x:v>
      </x:c>
      <x:c r="F1088" s="17" t="str">
        <x:v>Lite</x:v>
      </x:c>
      <x:c r="G1088" s="17" t="n">
        <x:v>28012</x:v>
      </x:c>
      <x:c r="H1088" s="17" t="n">
        <x:v>8910</x:v>
      </x:c>
      <x:c r="I1088" s="17" t="str">
        <x:v>Followup</x:v>
      </x:c>
      <x:c r="J1088" s="27" t="n">
        <x:f>INDEX('Model Pricing'!$B$7:$B$8,MATCH(F1088,'Model Pricing'!$A$7:$A$8,0))</x:f>
        <x:v>10</x:v>
      </x:c>
      <x:c r="K1088" s="27" t="n">
        <x:f>INDEX('Model Pricing'!$C$7:$C$8,MATCH(F1088,'Model Pricing'!$A$7:$A$8,0))</x:f>
        <x:v>30</x:v>
      </x:c>
      <x:c r="L1088" s="17" t="n">
        <x:f>G1088+H1088</x:f>
        <x:v>36922</x:v>
      </x:c>
      <x:c r="M1088" s="28" t="n">
        <x:f>G1088*J1088/1000000</x:f>
        <x:v>0.28012</x:v>
      </x:c>
      <x:c r="N1088" s="28" t="n">
        <x:f>H1088*K1088/1000000</x:f>
        <x:v>0.2673</x:v>
      </x:c>
      <x:c r="O1088" s="28" t="n">
        <x:f>SUM(M1088:N1088)</x:f>
        <x:v>0.54742</x:v>
      </x:c>
    </x:row>
    <x:row r="1089" ht="23" customHeight="1">
      <x:c r="A1089" s="17" t="str">
        <x:v>U01083</x:v>
      </x:c>
      <x:c r="B1089" s="18" t="n">
        <x:v>46273</x:v>
      </x:c>
      <x:c r="C1089" s="17" t="str">
        <x:v>W0107</x:v>
      </x:c>
      <x:c r="D1089" s="17" t="str">
        <x:v>C002</x:v>
      </x:c>
      <x:c r="E1089" s="17" t="str">
        <x:v>CampaignChat</x:v>
      </x:c>
      <x:c r="F1089" s="17" t="str">
        <x:v>Lite</x:v>
      </x:c>
      <x:c r="G1089" s="17" t="n">
        <x:v>46951</x:v>
      </x:c>
      <x:c r="H1089" s="17" t="n">
        <x:v>5488</x:v>
      </x:c>
      <x:c r="I1089" s="17" t="str">
        <x:v>First attempt</x:v>
      </x:c>
      <x:c r="J1089" s="27" t="n">
        <x:f>INDEX('Model Pricing'!$B$7:$B$8,MATCH(F1089,'Model Pricing'!$A$7:$A$8,0))</x:f>
        <x:v>10</x:v>
      </x:c>
      <x:c r="K1089" s="27" t="n">
        <x:f>INDEX('Model Pricing'!$C$7:$C$8,MATCH(F1089,'Model Pricing'!$A$7:$A$8,0))</x:f>
        <x:v>30</x:v>
      </x:c>
      <x:c r="L1089" s="17" t="n">
        <x:f>G1089+H1089</x:f>
        <x:v>52439</x:v>
      </x:c>
      <x:c r="M1089" s="28" t="n">
        <x:f>G1089*J1089/1000000</x:f>
        <x:v>0.46951</x:v>
      </x:c>
      <x:c r="N1089" s="28" t="n">
        <x:f>H1089*K1089/1000000</x:f>
        <x:v>0.16464</x:v>
      </x:c>
      <x:c r="O1089" s="28" t="n">
        <x:f>SUM(M1089:N1089)</x:f>
        <x:v>0.63415</x:v>
      </x:c>
    </x:row>
    <x:row r="1090" ht="23" customHeight="1">
      <x:c r="A1090" s="17" t="str">
        <x:v>U01084</x:v>
      </x:c>
      <x:c r="B1090" s="18" t="n">
        <x:v>46273</x:v>
      </x:c>
      <x:c r="C1090" s="17" t="str">
        <x:v>W0107</x:v>
      </x:c>
      <x:c r="D1090" s="17" t="str">
        <x:v>C002</x:v>
      </x:c>
      <x:c r="E1090" s="17" t="str">
        <x:v>CampaignChat</x:v>
      </x:c>
      <x:c r="F1090" s="17" t="str">
        <x:v>Lite</x:v>
      </x:c>
      <x:c r="G1090" s="17" t="n">
        <x:v>36062</x:v>
      </x:c>
      <x:c r="H1090" s="17" t="n">
        <x:v>6845</x:v>
      </x:c>
      <x:c r="I1090" s="17" t="str">
        <x:v>Followup</x:v>
      </x:c>
      <x:c r="J1090" s="27" t="n">
        <x:f>INDEX('Model Pricing'!$B$7:$B$8,MATCH(F1090,'Model Pricing'!$A$7:$A$8,0))</x:f>
        <x:v>10</x:v>
      </x:c>
      <x:c r="K1090" s="27" t="n">
        <x:f>INDEX('Model Pricing'!$C$7:$C$8,MATCH(F1090,'Model Pricing'!$A$7:$A$8,0))</x:f>
        <x:v>30</x:v>
      </x:c>
      <x:c r="L1090" s="17" t="n">
        <x:f>G1090+H1090</x:f>
        <x:v>42907</x:v>
      </x:c>
      <x:c r="M1090" s="28" t="n">
        <x:f>G1090*J1090/1000000</x:f>
        <x:v>0.36062</x:v>
      </x:c>
      <x:c r="N1090" s="28" t="n">
        <x:f>H1090*K1090/1000000</x:f>
        <x:v>0.20535</x:v>
      </x:c>
      <x:c r="O1090" s="28" t="n">
        <x:f>SUM(M1090:N1090)</x:f>
        <x:v>0.56597</x:v>
      </x:c>
    </x:row>
    <x:row r="1091" ht="23" customHeight="1">
      <x:c r="A1091" s="17" t="str">
        <x:v>U01085</x:v>
      </x:c>
      <x:c r="B1091" s="18" t="n">
        <x:v>46273</x:v>
      </x:c>
      <x:c r="C1091" s="17" t="str">
        <x:v>W0107</x:v>
      </x:c>
      <x:c r="D1091" s="17" t="str">
        <x:v>C002</x:v>
      </x:c>
      <x:c r="E1091" s="17" t="str">
        <x:v>CampaignChat</x:v>
      </x:c>
      <x:c r="F1091" s="17" t="str">
        <x:v>Lite</x:v>
      </x:c>
      <x:c r="G1091" s="17" t="n">
        <x:v>32378</x:v>
      </x:c>
      <x:c r="H1091" s="17" t="n">
        <x:v>3857</x:v>
      </x:c>
      <x:c r="I1091" s="17" t="str">
        <x:v>Followup</x:v>
      </x:c>
      <x:c r="J1091" s="27" t="n">
        <x:f>INDEX('Model Pricing'!$B$7:$B$8,MATCH(F1091,'Model Pricing'!$A$7:$A$8,0))</x:f>
        <x:v>10</x:v>
      </x:c>
      <x:c r="K1091" s="27" t="n">
        <x:f>INDEX('Model Pricing'!$C$7:$C$8,MATCH(F1091,'Model Pricing'!$A$7:$A$8,0))</x:f>
        <x:v>30</x:v>
      </x:c>
      <x:c r="L1091" s="17" t="n">
        <x:f>G1091+H1091</x:f>
        <x:v>36235</x:v>
      </x:c>
      <x:c r="M1091" s="28" t="n">
        <x:f>G1091*J1091/1000000</x:f>
        <x:v>0.32378</x:v>
      </x:c>
      <x:c r="N1091" s="28" t="n">
        <x:f>H1091*K1091/1000000</x:f>
        <x:v>0.11571</x:v>
      </x:c>
      <x:c r="O1091" s="28" t="n">
        <x:f>SUM(M1091:N1091)</x:f>
        <x:v>0.43949</x:v>
      </x:c>
    </x:row>
    <x:row r="1092" ht="23" customHeight="1">
      <x:c r="A1092" s="17" t="str">
        <x:v>U01086</x:v>
      </x:c>
      <x:c r="B1092" s="18" t="n">
        <x:v>46273</x:v>
      </x:c>
      <x:c r="C1092" s="17" t="str">
        <x:v>W0107</x:v>
      </x:c>
      <x:c r="D1092" s="17" t="str">
        <x:v>C002</x:v>
      </x:c>
      <x:c r="E1092" s="17" t="str">
        <x:v>CampaignChat</x:v>
      </x:c>
      <x:c r="F1092" s="17" t="str">
        <x:v>Lite</x:v>
      </x:c>
      <x:c r="G1092" s="17" t="n">
        <x:v>51367</x:v>
      </x:c>
      <x:c r="H1092" s="17" t="n">
        <x:v>2837</x:v>
      </x:c>
      <x:c r="I1092" s="17" t="str">
        <x:v>Correction</x:v>
      </x:c>
      <x:c r="J1092" s="27" t="n">
        <x:f>INDEX('Model Pricing'!$B$7:$B$8,MATCH(F1092,'Model Pricing'!$A$7:$A$8,0))</x:f>
        <x:v>10</x:v>
      </x:c>
      <x:c r="K1092" s="27" t="n">
        <x:f>INDEX('Model Pricing'!$C$7:$C$8,MATCH(F1092,'Model Pricing'!$A$7:$A$8,0))</x:f>
        <x:v>30</x:v>
      </x:c>
      <x:c r="L1092" s="17" t="n">
        <x:f>G1092+H1092</x:f>
        <x:v>54204</x:v>
      </x:c>
      <x:c r="M1092" s="28" t="n">
        <x:f>G1092*J1092/1000000</x:f>
        <x:v>0.51367</x:v>
      </x:c>
      <x:c r="N1092" s="28" t="n">
        <x:f>H1092*K1092/1000000</x:f>
        <x:v>0.08511</x:v>
      </x:c>
      <x:c r="O1092" s="28" t="n">
        <x:f>SUM(M1092:N1092)</x:f>
        <x:v>0.59878</x:v>
      </x:c>
    </x:row>
    <x:row r="1093" ht="23" customHeight="1">
      <x:c r="A1093" s="17" t="str">
        <x:v>U01087</x:v>
      </x:c>
      <x:c r="B1093" s="18" t="n">
        <x:v>46274</x:v>
      </x:c>
      <x:c r="C1093" s="17" t="str">
        <x:v>W0107</x:v>
      </x:c>
      <x:c r="D1093" s="17" t="str">
        <x:v>C002</x:v>
      </x:c>
      <x:c r="E1093" s="17" t="str">
        <x:v>CampaignChat</x:v>
      </x:c>
      <x:c r="F1093" s="17" t="str">
        <x:v>Lite</x:v>
      </x:c>
      <x:c r="G1093" s="17" t="n">
        <x:v>19574</x:v>
      </x:c>
      <x:c r="H1093" s="17" t="n">
        <x:v>4010</x:v>
      </x:c>
      <x:c r="I1093" s="17" t="str">
        <x:v>Correction</x:v>
      </x:c>
      <x:c r="J1093" s="27" t="n">
        <x:f>INDEX('Model Pricing'!$B$7:$B$8,MATCH(F1093,'Model Pricing'!$A$7:$A$8,0))</x:f>
        <x:v>10</x:v>
      </x:c>
      <x:c r="K1093" s="27" t="n">
        <x:f>INDEX('Model Pricing'!$C$7:$C$8,MATCH(F1093,'Model Pricing'!$A$7:$A$8,0))</x:f>
        <x:v>30</x:v>
      </x:c>
      <x:c r="L1093" s="17" t="n">
        <x:f>G1093+H1093</x:f>
        <x:v>23584</x:v>
      </x:c>
      <x:c r="M1093" s="28" t="n">
        <x:f>G1093*J1093/1000000</x:f>
        <x:v>0.19574</x:v>
      </x:c>
      <x:c r="N1093" s="28" t="n">
        <x:f>H1093*K1093/1000000</x:f>
        <x:v>0.1203</x:v>
      </x:c>
      <x:c r="O1093" s="28" t="n">
        <x:f>SUM(M1093:N1093)</x:f>
        <x:v>0.31604</x:v>
      </x:c>
    </x:row>
    <x:row r="1094" ht="23" customHeight="1">
      <x:c r="A1094" s="17" t="str">
        <x:v>U01088</x:v>
      </x:c>
      <x:c r="B1094" s="18" t="n">
        <x:v>46274</x:v>
      </x:c>
      <x:c r="C1094" s="17" t="str">
        <x:v>W0107</x:v>
      </x:c>
      <x:c r="D1094" s="17" t="str">
        <x:v>C002</x:v>
      </x:c>
      <x:c r="E1094" s="17" t="str">
        <x:v>CampaignChat</x:v>
      </x:c>
      <x:c r="F1094" s="17" t="str">
        <x:v>Lite</x:v>
      </x:c>
      <x:c r="G1094" s="17" t="n">
        <x:v>32777</x:v>
      </x:c>
      <x:c r="H1094" s="17" t="n">
        <x:v>4289</x:v>
      </x:c>
      <x:c r="I1094" s="17" t="str">
        <x:v>Followup</x:v>
      </x:c>
      <x:c r="J1094" s="27" t="n">
        <x:f>INDEX('Model Pricing'!$B$7:$B$8,MATCH(F1094,'Model Pricing'!$A$7:$A$8,0))</x:f>
        <x:v>10</x:v>
      </x:c>
      <x:c r="K1094" s="27" t="n">
        <x:f>INDEX('Model Pricing'!$C$7:$C$8,MATCH(F1094,'Model Pricing'!$A$7:$A$8,0))</x:f>
        <x:v>30</x:v>
      </x:c>
      <x:c r="L1094" s="17" t="n">
        <x:f>G1094+H1094</x:f>
        <x:v>37066</x:v>
      </x:c>
      <x:c r="M1094" s="28" t="n">
        <x:f>G1094*J1094/1000000</x:f>
        <x:v>0.32777</x:v>
      </x:c>
      <x:c r="N1094" s="28" t="n">
        <x:f>H1094*K1094/1000000</x:f>
        <x:v>0.12867</x:v>
      </x:c>
      <x:c r="O1094" s="28" t="n">
        <x:f>SUM(M1094:N1094)</x:f>
        <x:v>0.45644</x:v>
      </x:c>
    </x:row>
    <x:row r="1095" ht="23" customHeight="1">
      <x:c r="A1095" s="17" t="str">
        <x:v>U01089</x:v>
      </x:c>
      <x:c r="B1095" s="18" t="n">
        <x:v>46274</x:v>
      </x:c>
      <x:c r="C1095" s="17" t="str">
        <x:v>W0107</x:v>
      </x:c>
      <x:c r="D1095" s="17" t="str">
        <x:v>C002</x:v>
      </x:c>
      <x:c r="E1095" s="17" t="str">
        <x:v>CampaignChat</x:v>
      </x:c>
      <x:c r="F1095" s="17" t="str">
        <x:v>Lite</x:v>
      </x:c>
      <x:c r="G1095" s="17" t="n">
        <x:v>56175</x:v>
      </x:c>
      <x:c r="H1095" s="17" t="n">
        <x:v>8367</x:v>
      </x:c>
      <x:c r="I1095" s="17" t="str">
        <x:v>Followup</x:v>
      </x:c>
      <x:c r="J1095" s="27" t="n">
        <x:f>INDEX('Model Pricing'!$B$7:$B$8,MATCH(F1095,'Model Pricing'!$A$7:$A$8,0))</x:f>
        <x:v>10</x:v>
      </x:c>
      <x:c r="K1095" s="27" t="n">
        <x:f>INDEX('Model Pricing'!$C$7:$C$8,MATCH(F1095,'Model Pricing'!$A$7:$A$8,0))</x:f>
        <x:v>30</x:v>
      </x:c>
      <x:c r="L1095" s="17" t="n">
        <x:f>G1095+H1095</x:f>
        <x:v>64542</x:v>
      </x:c>
      <x:c r="M1095" s="28" t="n">
        <x:f>G1095*J1095/1000000</x:f>
        <x:v>0.56175</x:v>
      </x:c>
      <x:c r="N1095" s="28" t="n">
        <x:f>H1095*K1095/1000000</x:f>
        <x:v>0.25101</x:v>
      </x:c>
      <x:c r="O1095" s="28" t="n">
        <x:f>SUM(M1095:N1095)</x:f>
        <x:v>0.8127599999999999</x:v>
      </x:c>
    </x:row>
    <x:row r="1096" ht="23" customHeight="1">
      <x:c r="A1096" s="17" t="str">
        <x:v>U01090</x:v>
      </x:c>
      <x:c r="B1096" s="18" t="n">
        <x:v>46274</x:v>
      </x:c>
      <x:c r="C1096" s="17" t="str">
        <x:v>W0107</x:v>
      </x:c>
      <x:c r="D1096" s="17" t="str">
        <x:v>C002</x:v>
      </x:c>
      <x:c r="E1096" s="17" t="str">
        <x:v>CampaignChat</x:v>
      </x:c>
      <x:c r="F1096" s="17" t="str">
        <x:v>Lite</x:v>
      </x:c>
      <x:c r="G1096" s="17" t="n">
        <x:v>34749</x:v>
      </x:c>
      <x:c r="H1096" s="17" t="n">
        <x:v>9908</x:v>
      </x:c>
      <x:c r="I1096" s="17" t="str">
        <x:v>Correction</x:v>
      </x:c>
      <x:c r="J1096" s="27" t="n">
        <x:f>INDEX('Model Pricing'!$B$7:$B$8,MATCH(F1096,'Model Pricing'!$A$7:$A$8,0))</x:f>
        <x:v>10</x:v>
      </x:c>
      <x:c r="K1096" s="27" t="n">
        <x:f>INDEX('Model Pricing'!$C$7:$C$8,MATCH(F1096,'Model Pricing'!$A$7:$A$8,0))</x:f>
        <x:v>30</x:v>
      </x:c>
      <x:c r="L1096" s="17" t="n">
        <x:f>G1096+H1096</x:f>
        <x:v>44657</x:v>
      </x:c>
      <x:c r="M1096" s="28" t="n">
        <x:f>G1096*J1096/1000000</x:f>
        <x:v>0.34749</x:v>
      </x:c>
      <x:c r="N1096" s="28" t="n">
        <x:f>H1096*K1096/1000000</x:f>
        <x:v>0.29724</x:v>
      </x:c>
      <x:c r="O1096" s="28" t="n">
        <x:f>SUM(M1096:N1096)</x:f>
        <x:v>0.64473</x:v>
      </x:c>
    </x:row>
    <x:row r="1097" ht="23" customHeight="1">
      <x:c r="A1097" s="17" t="str">
        <x:v>U01091</x:v>
      </x:c>
      <x:c r="B1097" s="18" t="n">
        <x:v>46275</x:v>
      </x:c>
      <x:c r="C1097" s="17" t="str">
        <x:v>W0107</x:v>
      </x:c>
      <x:c r="D1097" s="17" t="str">
        <x:v>C002</x:v>
      </x:c>
      <x:c r="E1097" s="17" t="str">
        <x:v>CampaignChat</x:v>
      </x:c>
      <x:c r="F1097" s="17" t="str">
        <x:v>Lite</x:v>
      </x:c>
      <x:c r="G1097" s="17" t="n">
        <x:v>22262</x:v>
      </x:c>
      <x:c r="H1097" s="17" t="n">
        <x:v>10475</x:v>
      </x:c>
      <x:c r="I1097" s="17" t="str">
        <x:v>Followup</x:v>
      </x:c>
      <x:c r="J1097" s="27" t="n">
        <x:f>INDEX('Model Pricing'!$B$7:$B$8,MATCH(F1097,'Model Pricing'!$A$7:$A$8,0))</x:f>
        <x:v>10</x:v>
      </x:c>
      <x:c r="K1097" s="27" t="n">
        <x:f>INDEX('Model Pricing'!$C$7:$C$8,MATCH(F1097,'Model Pricing'!$A$7:$A$8,0))</x:f>
        <x:v>30</x:v>
      </x:c>
      <x:c r="L1097" s="17" t="n">
        <x:f>G1097+H1097</x:f>
        <x:v>32737</x:v>
      </x:c>
      <x:c r="M1097" s="28" t="n">
        <x:f>G1097*J1097/1000000</x:f>
        <x:v>0.22262</x:v>
      </x:c>
      <x:c r="N1097" s="28" t="n">
        <x:f>H1097*K1097/1000000</x:f>
        <x:v>0.31425</x:v>
      </x:c>
      <x:c r="O1097" s="28" t="n">
        <x:f>SUM(M1097:N1097)</x:f>
        <x:v>0.53687</x:v>
      </x:c>
    </x:row>
    <x:row r="1098" ht="23" customHeight="1">
      <x:c r="A1098" s="17" t="str">
        <x:v>U01092</x:v>
      </x:c>
      <x:c r="B1098" s="18" t="n">
        <x:v>46275</x:v>
      </x:c>
      <x:c r="C1098" s="17" t="str">
        <x:v>W0107</x:v>
      </x:c>
      <x:c r="D1098" s="17" t="str">
        <x:v>C002</x:v>
      </x:c>
      <x:c r="E1098" s="17" t="str">
        <x:v>CampaignChat</x:v>
      </x:c>
      <x:c r="F1098" s="17" t="str">
        <x:v>Lite</x:v>
      </x:c>
      <x:c r="G1098" s="17" t="n">
        <x:v>20486</x:v>
      </x:c>
      <x:c r="H1098" s="17" t="n">
        <x:v>7525</x:v>
      </x:c>
      <x:c r="I1098" s="17" t="str">
        <x:v>Followup</x:v>
      </x:c>
      <x:c r="J1098" s="27" t="n">
        <x:f>INDEX('Model Pricing'!$B$7:$B$8,MATCH(F1098,'Model Pricing'!$A$7:$A$8,0))</x:f>
        <x:v>10</x:v>
      </x:c>
      <x:c r="K1098" s="27" t="n">
        <x:f>INDEX('Model Pricing'!$C$7:$C$8,MATCH(F1098,'Model Pricing'!$A$7:$A$8,0))</x:f>
        <x:v>30</x:v>
      </x:c>
      <x:c r="L1098" s="17" t="n">
        <x:f>G1098+H1098</x:f>
        <x:v>28011</x:v>
      </x:c>
      <x:c r="M1098" s="28" t="n">
        <x:f>G1098*J1098/1000000</x:f>
        <x:v>0.20486</x:v>
      </x:c>
      <x:c r="N1098" s="28" t="n">
        <x:f>H1098*K1098/1000000</x:f>
        <x:v>0.22575</x:v>
      </x:c>
      <x:c r="O1098" s="28" t="n">
        <x:f>SUM(M1098:N1098)</x:f>
        <x:v>0.43061</x:v>
      </x:c>
    </x:row>
    <x:row r="1099" ht="23" customHeight="1">
      <x:c r="A1099" s="17" t="str">
        <x:v>U01093</x:v>
      </x:c>
      <x:c r="B1099" s="18" t="n">
        <x:v>46275</x:v>
      </x:c>
      <x:c r="C1099" s="17" t="str">
        <x:v>W0107</x:v>
      </x:c>
      <x:c r="D1099" s="17" t="str">
        <x:v>C002</x:v>
      </x:c>
      <x:c r="E1099" s="17" t="str">
        <x:v>CampaignChat</x:v>
      </x:c>
      <x:c r="F1099" s="17" t="str">
        <x:v>Lite</x:v>
      </x:c>
      <x:c r="G1099" s="17" t="n">
        <x:v>39902</x:v>
      </x:c>
      <x:c r="H1099" s="17" t="n">
        <x:v>8172</x:v>
      </x:c>
      <x:c r="I1099" s="17" t="str">
        <x:v>Correction</x:v>
      </x:c>
      <x:c r="J1099" s="27" t="n">
        <x:f>INDEX('Model Pricing'!$B$7:$B$8,MATCH(F1099,'Model Pricing'!$A$7:$A$8,0))</x:f>
        <x:v>10</x:v>
      </x:c>
      <x:c r="K1099" s="27" t="n">
        <x:f>INDEX('Model Pricing'!$C$7:$C$8,MATCH(F1099,'Model Pricing'!$A$7:$A$8,0))</x:f>
        <x:v>30</x:v>
      </x:c>
      <x:c r="L1099" s="17" t="n">
        <x:f>G1099+H1099</x:f>
        <x:v>48074</x:v>
      </x:c>
      <x:c r="M1099" s="28" t="n">
        <x:f>G1099*J1099/1000000</x:f>
        <x:v>0.39902</x:v>
      </x:c>
      <x:c r="N1099" s="28" t="n">
        <x:f>H1099*K1099/1000000</x:f>
        <x:v>0.24516</x:v>
      </x:c>
      <x:c r="O1099" s="28" t="n">
        <x:f>SUM(M1099:N1099)</x:f>
        <x:v>0.64418</x:v>
      </x:c>
    </x:row>
    <x:row r="1100" ht="23" customHeight="1">
      <x:c r="A1100" s="17" t="str">
        <x:v>U01094</x:v>
      </x:c>
      <x:c r="B1100" s="18" t="n">
        <x:v>46275</x:v>
      </x:c>
      <x:c r="C1100" s="17" t="str">
        <x:v>W0107</x:v>
      </x:c>
      <x:c r="D1100" s="17" t="str">
        <x:v>C002</x:v>
      </x:c>
      <x:c r="E1100" s="17" t="str">
        <x:v>CampaignChat</x:v>
      </x:c>
      <x:c r="F1100" s="17" t="str">
        <x:v>Lite</x:v>
      </x:c>
      <x:c r="G1100" s="17" t="n">
        <x:v>57368</x:v>
      </x:c>
      <x:c r="H1100" s="17" t="n">
        <x:v>3034</x:v>
      </x:c>
      <x:c r="I1100" s="17" t="str">
        <x:v>Followup</x:v>
      </x:c>
      <x:c r="J1100" s="27" t="n">
        <x:f>INDEX('Model Pricing'!$B$7:$B$8,MATCH(F1100,'Model Pricing'!$A$7:$A$8,0))</x:f>
        <x:v>10</x:v>
      </x:c>
      <x:c r="K1100" s="27" t="n">
        <x:f>INDEX('Model Pricing'!$C$7:$C$8,MATCH(F1100,'Model Pricing'!$A$7:$A$8,0))</x:f>
        <x:v>30</x:v>
      </x:c>
      <x:c r="L1100" s="17" t="n">
        <x:f>G1100+H1100</x:f>
        <x:v>60402</x:v>
      </x:c>
      <x:c r="M1100" s="28" t="n">
        <x:f>G1100*J1100/1000000</x:f>
        <x:v>0.57368</x:v>
      </x:c>
      <x:c r="N1100" s="28" t="n">
        <x:f>H1100*K1100/1000000</x:f>
        <x:v>0.09102</x:v>
      </x:c>
      <x:c r="O1100" s="28" t="n">
        <x:f>SUM(M1100:N1100)</x:f>
        <x:v>0.6647</x:v>
      </x:c>
    </x:row>
    <x:row r="1101" ht="23" customHeight="1">
      <x:c r="A1101" s="17" t="str">
        <x:v>U01095</x:v>
      </x:c>
      <x:c r="B1101" s="18" t="n">
        <x:v>46276</x:v>
      </x:c>
      <x:c r="C1101" s="17" t="str">
        <x:v>W0107</x:v>
      </x:c>
      <x:c r="D1101" s="17" t="str">
        <x:v>C002</x:v>
      </x:c>
      <x:c r="E1101" s="17" t="str">
        <x:v>CampaignChat</x:v>
      </x:c>
      <x:c r="F1101" s="17" t="str">
        <x:v>Lite</x:v>
      </x:c>
      <x:c r="G1101" s="17" t="n">
        <x:v>31173</x:v>
      </x:c>
      <x:c r="H1101" s="17" t="n">
        <x:v>9335</x:v>
      </x:c>
      <x:c r="I1101" s="17" t="str">
        <x:v>Correction</x:v>
      </x:c>
      <x:c r="J1101" s="27" t="n">
        <x:f>INDEX('Model Pricing'!$B$7:$B$8,MATCH(F1101,'Model Pricing'!$A$7:$A$8,0))</x:f>
        <x:v>10</x:v>
      </x:c>
      <x:c r="K1101" s="27" t="n">
        <x:f>INDEX('Model Pricing'!$C$7:$C$8,MATCH(F1101,'Model Pricing'!$A$7:$A$8,0))</x:f>
        <x:v>30</x:v>
      </x:c>
      <x:c r="L1101" s="17" t="n">
        <x:f>G1101+H1101</x:f>
        <x:v>40508</x:v>
      </x:c>
      <x:c r="M1101" s="28" t="n">
        <x:f>G1101*J1101/1000000</x:f>
        <x:v>0.31173</x:v>
      </x:c>
      <x:c r="N1101" s="28" t="n">
        <x:f>H1101*K1101/1000000</x:f>
        <x:v>0.28005</x:v>
      </x:c>
      <x:c r="O1101" s="28" t="n">
        <x:f>SUM(M1101:N1101)</x:f>
        <x:v>0.59178</x:v>
      </x:c>
    </x:row>
    <x:row r="1102" ht="23" customHeight="1">
      <x:c r="A1102" s="17" t="str">
        <x:v>U01096</x:v>
      </x:c>
      <x:c r="B1102" s="18" t="n">
        <x:v>46276</x:v>
      </x:c>
      <x:c r="C1102" s="17" t="str">
        <x:v>W0107</x:v>
      </x:c>
      <x:c r="D1102" s="17" t="str">
        <x:v>C002</x:v>
      </x:c>
      <x:c r="E1102" s="17" t="str">
        <x:v>CampaignChat</x:v>
      </x:c>
      <x:c r="F1102" s="17" t="str">
        <x:v>Lite</x:v>
      </x:c>
      <x:c r="G1102" s="17" t="n">
        <x:v>52183</x:v>
      </x:c>
      <x:c r="H1102" s="17" t="n">
        <x:v>8663</x:v>
      </x:c>
      <x:c r="I1102" s="17" t="str">
        <x:v>Correction</x:v>
      </x:c>
      <x:c r="J1102" s="27" t="n">
        <x:f>INDEX('Model Pricing'!$B$7:$B$8,MATCH(F1102,'Model Pricing'!$A$7:$A$8,0))</x:f>
        <x:v>10</x:v>
      </x:c>
      <x:c r="K1102" s="27" t="n">
        <x:f>INDEX('Model Pricing'!$C$7:$C$8,MATCH(F1102,'Model Pricing'!$A$7:$A$8,0))</x:f>
        <x:v>30</x:v>
      </x:c>
      <x:c r="L1102" s="17" t="n">
        <x:f>G1102+H1102</x:f>
        <x:v>60846</x:v>
      </x:c>
      <x:c r="M1102" s="28" t="n">
        <x:f>G1102*J1102/1000000</x:f>
        <x:v>0.52183</x:v>
      </x:c>
      <x:c r="N1102" s="28" t="n">
        <x:f>H1102*K1102/1000000</x:f>
        <x:v>0.25989</x:v>
      </x:c>
      <x:c r="O1102" s="28" t="n">
        <x:f>SUM(M1102:N1102)</x:f>
        <x:v>0.78172</x:v>
      </x:c>
    </x:row>
    <x:row r="1103" ht="23" customHeight="1">
      <x:c r="A1103" s="17" t="str">
        <x:v>U01097</x:v>
      </x:c>
      <x:c r="B1103" s="18" t="n">
        <x:v>46276</x:v>
      </x:c>
      <x:c r="C1103" s="17" t="str">
        <x:v>W0107</x:v>
      </x:c>
      <x:c r="D1103" s="17" t="str">
        <x:v>C002</x:v>
      </x:c>
      <x:c r="E1103" s="17" t="str">
        <x:v>CampaignChat</x:v>
      </x:c>
      <x:c r="F1103" s="17" t="str">
        <x:v>Lite</x:v>
      </x:c>
      <x:c r="G1103" s="17" t="n">
        <x:v>27302</x:v>
      </x:c>
      <x:c r="H1103" s="17" t="n">
        <x:v>4936</x:v>
      </x:c>
      <x:c r="I1103" s="17" t="str">
        <x:v>Correction</x:v>
      </x:c>
      <x:c r="J1103" s="27" t="n">
        <x:f>INDEX('Model Pricing'!$B$7:$B$8,MATCH(F1103,'Model Pricing'!$A$7:$A$8,0))</x:f>
        <x:v>10</x:v>
      </x:c>
      <x:c r="K1103" s="27" t="n">
        <x:f>INDEX('Model Pricing'!$C$7:$C$8,MATCH(F1103,'Model Pricing'!$A$7:$A$8,0))</x:f>
        <x:v>30</x:v>
      </x:c>
      <x:c r="L1103" s="17" t="n">
        <x:f>G1103+H1103</x:f>
        <x:v>32238</x:v>
      </x:c>
      <x:c r="M1103" s="28" t="n">
        <x:f>G1103*J1103/1000000</x:f>
        <x:v>0.27302</x:v>
      </x:c>
      <x:c r="N1103" s="28" t="n">
        <x:f>H1103*K1103/1000000</x:f>
        <x:v>0.14808</x:v>
      </x:c>
      <x:c r="O1103" s="28" t="n">
        <x:f>SUM(M1103:N1103)</x:f>
        <x:v>0.4211</x:v>
      </x:c>
    </x:row>
    <x:row r="1104" ht="23" customHeight="1">
      <x:c r="A1104" s="17" t="str">
        <x:v>U01098</x:v>
      </x:c>
      <x:c r="B1104" s="18" t="n">
        <x:v>46276</x:v>
      </x:c>
      <x:c r="C1104" s="17" t="str">
        <x:v>W0107</x:v>
      </x:c>
      <x:c r="D1104" s="17" t="str">
        <x:v>C002</x:v>
      </x:c>
      <x:c r="E1104" s="17" t="str">
        <x:v>CampaignChat</x:v>
      </x:c>
      <x:c r="F1104" s="17" t="str">
        <x:v>Lite</x:v>
      </x:c>
      <x:c r="G1104" s="17" t="n">
        <x:v>52195</x:v>
      </x:c>
      <x:c r="H1104" s="17" t="n">
        <x:v>6144</x:v>
      </x:c>
      <x:c r="I1104" s="17" t="str">
        <x:v>Correction</x:v>
      </x:c>
      <x:c r="J1104" s="27" t="n">
        <x:f>INDEX('Model Pricing'!$B$7:$B$8,MATCH(F1104,'Model Pricing'!$A$7:$A$8,0))</x:f>
        <x:v>10</x:v>
      </x:c>
      <x:c r="K1104" s="27" t="n">
        <x:f>INDEX('Model Pricing'!$C$7:$C$8,MATCH(F1104,'Model Pricing'!$A$7:$A$8,0))</x:f>
        <x:v>30</x:v>
      </x:c>
      <x:c r="L1104" s="17" t="n">
        <x:f>G1104+H1104</x:f>
        <x:v>58339</x:v>
      </x:c>
      <x:c r="M1104" s="28" t="n">
        <x:f>G1104*J1104/1000000</x:f>
        <x:v>0.52195</x:v>
      </x:c>
      <x:c r="N1104" s="28" t="n">
        <x:f>H1104*K1104/1000000</x:f>
        <x:v>0.18432</x:v>
      </x:c>
      <x:c r="O1104" s="28" t="n">
        <x:f>SUM(M1104:N1104)</x:f>
        <x:v>0.7062700000000001</x:v>
      </x:c>
    </x:row>
    <x:row r="1105" ht="23" customHeight="1">
      <x:c r="A1105" s="17" t="str">
        <x:v>U01099</x:v>
      </x:c>
      <x:c r="B1105" s="18" t="n">
        <x:v>46282</x:v>
      </x:c>
      <x:c r="C1105" s="17" t="str">
        <x:v>W0108</x:v>
      </x:c>
      <x:c r="D1105" s="17" t="str">
        <x:v>C002</x:v>
      </x:c>
      <x:c r="E1105" s="17" t="str">
        <x:v>CopyStudio</x:v>
      </x:c>
      <x:c r="F1105" s="17" t="str">
        <x:v>Lite</x:v>
      </x:c>
      <x:c r="G1105" s="17" t="n">
        <x:v>44760</x:v>
      </x:c>
      <x:c r="H1105" s="17" t="n">
        <x:v>6099</x:v>
      </x:c>
      <x:c r="I1105" s="17" t="str">
        <x:v>First attempt</x:v>
      </x:c>
      <x:c r="J1105" s="27" t="n">
        <x:f>INDEX('Model Pricing'!$B$7:$B$8,MATCH(F1105,'Model Pricing'!$A$7:$A$8,0))</x:f>
        <x:v>10</x:v>
      </x:c>
      <x:c r="K1105" s="27" t="n">
        <x:f>INDEX('Model Pricing'!$C$7:$C$8,MATCH(F1105,'Model Pricing'!$A$7:$A$8,0))</x:f>
        <x:v>30</x:v>
      </x:c>
      <x:c r="L1105" s="17" t="n">
        <x:f>G1105+H1105</x:f>
        <x:v>50859</x:v>
      </x:c>
      <x:c r="M1105" s="28" t="n">
        <x:f>G1105*J1105/1000000</x:f>
        <x:v>0.4476</x:v>
      </x:c>
      <x:c r="N1105" s="28" t="n">
        <x:f>H1105*K1105/1000000</x:f>
        <x:v>0.18297</x:v>
      </x:c>
      <x:c r="O1105" s="28" t="n">
        <x:f>SUM(M1105:N1105)</x:f>
        <x:v>0.63057</x:v>
      </x:c>
    </x:row>
    <x:row r="1106" ht="23" customHeight="1">
      <x:c r="A1106" s="17" t="str">
        <x:v>U01100</x:v>
      </x:c>
      <x:c r="B1106" s="18" t="n">
        <x:v>46282</x:v>
      </x:c>
      <x:c r="C1106" s="17" t="str">
        <x:v>W0108</x:v>
      </x:c>
      <x:c r="D1106" s="17" t="str">
        <x:v>C002</x:v>
      </x:c>
      <x:c r="E1106" s="17" t="str">
        <x:v>CopyStudio</x:v>
      </x:c>
      <x:c r="F1106" s="17" t="str">
        <x:v>Lite</x:v>
      </x:c>
      <x:c r="G1106" s="17" t="n">
        <x:v>40031</x:v>
      </x:c>
      <x:c r="H1106" s="17" t="n">
        <x:v>10885</x:v>
      </x:c>
      <x:c r="I1106" s="17" t="str">
        <x:v>Correction</x:v>
      </x:c>
      <x:c r="J1106" s="27" t="n">
        <x:f>INDEX('Model Pricing'!$B$7:$B$8,MATCH(F1106,'Model Pricing'!$A$7:$A$8,0))</x:f>
        <x:v>10</x:v>
      </x:c>
      <x:c r="K1106" s="27" t="n">
        <x:f>INDEX('Model Pricing'!$C$7:$C$8,MATCH(F1106,'Model Pricing'!$A$7:$A$8,0))</x:f>
        <x:v>30</x:v>
      </x:c>
      <x:c r="L1106" s="17" t="n">
        <x:f>G1106+H1106</x:f>
        <x:v>50916</x:v>
      </x:c>
      <x:c r="M1106" s="28" t="n">
        <x:f>G1106*J1106/1000000</x:f>
        <x:v>0.40031</x:v>
      </x:c>
      <x:c r="N1106" s="28" t="n">
        <x:f>H1106*K1106/1000000</x:f>
        <x:v>0.32655</x:v>
      </x:c>
      <x:c r="O1106" s="28" t="n">
        <x:f>SUM(M1106:N1106)</x:f>
        <x:v>0.7268600000000001</x:v>
      </x:c>
    </x:row>
    <x:row r="1107" ht="23" customHeight="1">
      <x:c r="A1107" s="17" t="str">
        <x:v>U01101</x:v>
      </x:c>
      <x:c r="B1107" s="18" t="n">
        <x:v>46282</x:v>
      </x:c>
      <x:c r="C1107" s="17" t="str">
        <x:v>W0108</x:v>
      </x:c>
      <x:c r="D1107" s="17" t="str">
        <x:v>C002</x:v>
      </x:c>
      <x:c r="E1107" s="17" t="str">
        <x:v>CopyStudio</x:v>
      </x:c>
      <x:c r="F1107" s="17" t="str">
        <x:v>Lite</x:v>
      </x:c>
      <x:c r="G1107" s="17" t="n">
        <x:v>26861</x:v>
      </x:c>
      <x:c r="H1107" s="17" t="n">
        <x:v>4709</x:v>
      </x:c>
      <x:c r="I1107" s="17" t="str">
        <x:v>Followup</x:v>
      </x:c>
      <x:c r="J1107" s="27" t="n">
        <x:f>INDEX('Model Pricing'!$B$7:$B$8,MATCH(F1107,'Model Pricing'!$A$7:$A$8,0))</x:f>
        <x:v>10</x:v>
      </x:c>
      <x:c r="K1107" s="27" t="n">
        <x:f>INDEX('Model Pricing'!$C$7:$C$8,MATCH(F1107,'Model Pricing'!$A$7:$A$8,0))</x:f>
        <x:v>30</x:v>
      </x:c>
      <x:c r="L1107" s="17" t="n">
        <x:f>G1107+H1107</x:f>
        <x:v>31570</x:v>
      </x:c>
      <x:c r="M1107" s="28" t="n">
        <x:f>G1107*J1107/1000000</x:f>
        <x:v>0.26861</x:v>
      </x:c>
      <x:c r="N1107" s="28" t="n">
        <x:f>H1107*K1107/1000000</x:f>
        <x:v>0.14127</x:v>
      </x:c>
      <x:c r="O1107" s="28" t="n">
        <x:f>SUM(M1107:N1107)</x:f>
        <x:v>0.40988</x:v>
      </x:c>
    </x:row>
    <x:row r="1108" ht="23" customHeight="1">
      <x:c r="A1108" s="17" t="str">
        <x:v>U01102</x:v>
      </x:c>
      <x:c r="B1108" s="18" t="n">
        <x:v>46282</x:v>
      </x:c>
      <x:c r="C1108" s="17" t="str">
        <x:v>W0108</x:v>
      </x:c>
      <x:c r="D1108" s="17" t="str">
        <x:v>C002</x:v>
      </x:c>
      <x:c r="E1108" s="17" t="str">
        <x:v>CopyStudio</x:v>
      </x:c>
      <x:c r="F1108" s="17" t="str">
        <x:v>Lite</x:v>
      </x:c>
      <x:c r="G1108" s="17" t="n">
        <x:v>39526</x:v>
      </x:c>
      <x:c r="H1108" s="17" t="n">
        <x:v>10625</x:v>
      </x:c>
      <x:c r="I1108" s="17" t="str">
        <x:v>Followup</x:v>
      </x:c>
      <x:c r="J1108" s="27" t="n">
        <x:f>INDEX('Model Pricing'!$B$7:$B$8,MATCH(F1108,'Model Pricing'!$A$7:$A$8,0))</x:f>
        <x:v>10</x:v>
      </x:c>
      <x:c r="K1108" s="27" t="n">
        <x:f>INDEX('Model Pricing'!$C$7:$C$8,MATCH(F1108,'Model Pricing'!$A$7:$A$8,0))</x:f>
        <x:v>30</x:v>
      </x:c>
      <x:c r="L1108" s="17" t="n">
        <x:f>G1108+H1108</x:f>
        <x:v>50151</x:v>
      </x:c>
      <x:c r="M1108" s="28" t="n">
        <x:f>G1108*J1108/1000000</x:f>
        <x:v>0.39526</x:v>
      </x:c>
      <x:c r="N1108" s="28" t="n">
        <x:f>H1108*K1108/1000000</x:f>
        <x:v>0.31875</x:v>
      </x:c>
      <x:c r="O1108" s="28" t="n">
        <x:f>SUM(M1108:N1108)</x:f>
        <x:v>0.71401</x:v>
      </x:c>
    </x:row>
    <x:row r="1109" ht="23" customHeight="1">
      <x:c r="A1109" s="17" t="str">
        <x:v>U01103</x:v>
      </x:c>
      <x:c r="B1109" s="18" t="n">
        <x:v>46283</x:v>
      </x:c>
      <x:c r="C1109" s="17" t="str">
        <x:v>W0108</x:v>
      </x:c>
      <x:c r="D1109" s="17" t="str">
        <x:v>C002</x:v>
      </x:c>
      <x:c r="E1109" s="17" t="str">
        <x:v>CopyStudio</x:v>
      </x:c>
      <x:c r="F1109" s="17" t="str">
        <x:v>Lite</x:v>
      </x:c>
      <x:c r="G1109" s="17" t="n">
        <x:v>43024</x:v>
      </x:c>
      <x:c r="H1109" s="17" t="n">
        <x:v>10522</x:v>
      </x:c>
      <x:c r="I1109" s="17" t="str">
        <x:v>Followup</x:v>
      </x:c>
      <x:c r="J1109" s="27" t="n">
        <x:f>INDEX('Model Pricing'!$B$7:$B$8,MATCH(F1109,'Model Pricing'!$A$7:$A$8,0))</x:f>
        <x:v>10</x:v>
      </x:c>
      <x:c r="K1109" s="27" t="n">
        <x:f>INDEX('Model Pricing'!$C$7:$C$8,MATCH(F1109,'Model Pricing'!$A$7:$A$8,0))</x:f>
        <x:v>30</x:v>
      </x:c>
      <x:c r="L1109" s="17" t="n">
        <x:f>G1109+H1109</x:f>
        <x:v>53546</x:v>
      </x:c>
      <x:c r="M1109" s="28" t="n">
        <x:f>G1109*J1109/1000000</x:f>
        <x:v>0.43024</x:v>
      </x:c>
      <x:c r="N1109" s="28" t="n">
        <x:f>H1109*K1109/1000000</x:f>
        <x:v>0.31566</x:v>
      </x:c>
      <x:c r="O1109" s="28" t="n">
        <x:f>SUM(M1109:N1109)</x:f>
        <x:v>0.7459</x:v>
      </x:c>
    </x:row>
    <x:row r="1110" ht="23" customHeight="1">
      <x:c r="A1110" s="17" t="str">
        <x:v>U01104</x:v>
      </x:c>
      <x:c r="B1110" s="18" t="n">
        <x:v>46283</x:v>
      </x:c>
      <x:c r="C1110" s="17" t="str">
        <x:v>W0108</x:v>
      </x:c>
      <x:c r="D1110" s="17" t="str">
        <x:v>C002</x:v>
      </x:c>
      <x:c r="E1110" s="17" t="str">
        <x:v>CopyStudio</x:v>
      </x:c>
      <x:c r="F1110" s="17" t="str">
        <x:v>Lite</x:v>
      </x:c>
      <x:c r="G1110" s="17" t="n">
        <x:v>48919</x:v>
      </x:c>
      <x:c r="H1110" s="17" t="n">
        <x:v>6584</x:v>
      </x:c>
      <x:c r="I1110" s="17" t="str">
        <x:v>Correction</x:v>
      </x:c>
      <x:c r="J1110" s="27" t="n">
        <x:f>INDEX('Model Pricing'!$B$7:$B$8,MATCH(F1110,'Model Pricing'!$A$7:$A$8,0))</x:f>
        <x:v>10</x:v>
      </x:c>
      <x:c r="K1110" s="27" t="n">
        <x:f>INDEX('Model Pricing'!$C$7:$C$8,MATCH(F1110,'Model Pricing'!$A$7:$A$8,0))</x:f>
        <x:v>30</x:v>
      </x:c>
      <x:c r="L1110" s="17" t="n">
        <x:f>G1110+H1110</x:f>
        <x:v>55503</x:v>
      </x:c>
      <x:c r="M1110" s="28" t="n">
        <x:f>G1110*J1110/1000000</x:f>
        <x:v>0.48919</x:v>
      </x:c>
      <x:c r="N1110" s="28" t="n">
        <x:f>H1110*K1110/1000000</x:f>
        <x:v>0.19752</x:v>
      </x:c>
      <x:c r="O1110" s="28" t="n">
        <x:f>SUM(M1110:N1110)</x:f>
        <x:v>0.68671</x:v>
      </x:c>
    </x:row>
    <x:row r="1111" ht="23" customHeight="1">
      <x:c r="A1111" s="17" t="str">
        <x:v>U01105</x:v>
      </x:c>
      <x:c r="B1111" s="18" t="n">
        <x:v>46283</x:v>
      </x:c>
      <x:c r="C1111" s="17" t="str">
        <x:v>W0108</x:v>
      </x:c>
      <x:c r="D1111" s="17" t="str">
        <x:v>C002</x:v>
      </x:c>
      <x:c r="E1111" s="17" t="str">
        <x:v>CopyStudio</x:v>
      </x:c>
      <x:c r="F1111" s="17" t="str">
        <x:v>Lite</x:v>
      </x:c>
      <x:c r="G1111" s="17" t="n">
        <x:v>26426</x:v>
      </x:c>
      <x:c r="H1111" s="17" t="n">
        <x:v>9554</x:v>
      </x:c>
      <x:c r="I1111" s="17" t="str">
        <x:v>Followup</x:v>
      </x:c>
      <x:c r="J1111" s="27" t="n">
        <x:f>INDEX('Model Pricing'!$B$7:$B$8,MATCH(F1111,'Model Pricing'!$A$7:$A$8,0))</x:f>
        <x:v>10</x:v>
      </x:c>
      <x:c r="K1111" s="27" t="n">
        <x:f>INDEX('Model Pricing'!$C$7:$C$8,MATCH(F1111,'Model Pricing'!$A$7:$A$8,0))</x:f>
        <x:v>30</x:v>
      </x:c>
      <x:c r="L1111" s="17" t="n">
        <x:f>G1111+H1111</x:f>
        <x:v>35980</x:v>
      </x:c>
      <x:c r="M1111" s="28" t="n">
        <x:f>G1111*J1111/1000000</x:f>
        <x:v>0.26426</x:v>
      </x:c>
      <x:c r="N1111" s="28" t="n">
        <x:f>H1111*K1111/1000000</x:f>
        <x:v>0.28662</x:v>
      </x:c>
      <x:c r="O1111" s="28" t="n">
        <x:f>SUM(M1111:N1111)</x:f>
        <x:v>0.55088</x:v>
      </x:c>
    </x:row>
    <x:row r="1112" ht="23" customHeight="1">
      <x:c r="A1112" s="17" t="str">
        <x:v>U01106</x:v>
      </x:c>
      <x:c r="B1112" s="18" t="n">
        <x:v>46283</x:v>
      </x:c>
      <x:c r="C1112" s="17" t="str">
        <x:v>W0108</x:v>
      </x:c>
      <x:c r="D1112" s="17" t="str">
        <x:v>C002</x:v>
      </x:c>
      <x:c r="E1112" s="17" t="str">
        <x:v>CopyStudio</x:v>
      </x:c>
      <x:c r="F1112" s="17" t="str">
        <x:v>Lite</x:v>
      </x:c>
      <x:c r="G1112" s="17" t="n">
        <x:v>54289</x:v>
      </x:c>
      <x:c r="H1112" s="17" t="n">
        <x:v>4013</x:v>
      </x:c>
      <x:c r="I1112" s="17" t="str">
        <x:v>Correction</x:v>
      </x:c>
      <x:c r="J1112" s="27" t="n">
        <x:f>INDEX('Model Pricing'!$B$7:$B$8,MATCH(F1112,'Model Pricing'!$A$7:$A$8,0))</x:f>
        <x:v>10</x:v>
      </x:c>
      <x:c r="K1112" s="27" t="n">
        <x:f>INDEX('Model Pricing'!$C$7:$C$8,MATCH(F1112,'Model Pricing'!$A$7:$A$8,0))</x:f>
        <x:v>30</x:v>
      </x:c>
      <x:c r="L1112" s="17" t="n">
        <x:f>G1112+H1112</x:f>
        <x:v>58302</x:v>
      </x:c>
      <x:c r="M1112" s="28" t="n">
        <x:f>G1112*J1112/1000000</x:f>
        <x:v>0.54289</x:v>
      </x:c>
      <x:c r="N1112" s="28" t="n">
        <x:f>H1112*K1112/1000000</x:f>
        <x:v>0.12039</x:v>
      </x:c>
      <x:c r="O1112" s="28" t="n">
        <x:f>SUM(M1112:N1112)</x:f>
        <x:v>0.66328</x:v>
      </x:c>
    </x:row>
    <x:row r="1113" ht="23" customHeight="1">
      <x:c r="A1113" s="17" t="str">
        <x:v>U01107</x:v>
      </x:c>
      <x:c r="B1113" s="18" t="n">
        <x:v>46286</x:v>
      </x:c>
      <x:c r="C1113" s="17" t="str">
        <x:v>W0108</x:v>
      </x:c>
      <x:c r="D1113" s="17" t="str">
        <x:v>C002</x:v>
      </x:c>
      <x:c r="E1113" s="17" t="str">
        <x:v>CopyStudio</x:v>
      </x:c>
      <x:c r="F1113" s="17" t="str">
        <x:v>Lite</x:v>
      </x:c>
      <x:c r="G1113" s="17" t="n">
        <x:v>49040</x:v>
      </x:c>
      <x:c r="H1113" s="17" t="n">
        <x:v>8045</x:v>
      </x:c>
      <x:c r="I1113" s="17" t="str">
        <x:v>Correction</x:v>
      </x:c>
      <x:c r="J1113" s="27" t="n">
        <x:f>INDEX('Model Pricing'!$B$7:$B$8,MATCH(F1113,'Model Pricing'!$A$7:$A$8,0))</x:f>
        <x:v>10</x:v>
      </x:c>
      <x:c r="K1113" s="27" t="n">
        <x:f>INDEX('Model Pricing'!$C$7:$C$8,MATCH(F1113,'Model Pricing'!$A$7:$A$8,0))</x:f>
        <x:v>30</x:v>
      </x:c>
      <x:c r="L1113" s="17" t="n">
        <x:f>G1113+H1113</x:f>
        <x:v>57085</x:v>
      </x:c>
      <x:c r="M1113" s="28" t="n">
        <x:f>G1113*J1113/1000000</x:f>
        <x:v>0.4904</x:v>
      </x:c>
      <x:c r="N1113" s="28" t="n">
        <x:f>H1113*K1113/1000000</x:f>
        <x:v>0.24135</x:v>
      </x:c>
      <x:c r="O1113" s="28" t="n">
        <x:f>SUM(M1113:N1113)</x:f>
        <x:v>0.73175</x:v>
      </x:c>
    </x:row>
    <x:row r="1114" ht="23" customHeight="1">
      <x:c r="A1114" s="17" t="str">
        <x:v>U01108</x:v>
      </x:c>
      <x:c r="B1114" s="18" t="n">
        <x:v>46286</x:v>
      </x:c>
      <x:c r="C1114" s="17" t="str">
        <x:v>W0108</x:v>
      </x:c>
      <x:c r="D1114" s="17" t="str">
        <x:v>C002</x:v>
      </x:c>
      <x:c r="E1114" s="17" t="str">
        <x:v>CopyStudio</x:v>
      </x:c>
      <x:c r="F1114" s="17" t="str">
        <x:v>Lite</x:v>
      </x:c>
      <x:c r="G1114" s="17" t="n">
        <x:v>37693</x:v>
      </x:c>
      <x:c r="H1114" s="17" t="n">
        <x:v>6984</x:v>
      </x:c>
      <x:c r="I1114" s="17" t="str">
        <x:v>Followup</x:v>
      </x:c>
      <x:c r="J1114" s="27" t="n">
        <x:f>INDEX('Model Pricing'!$B$7:$B$8,MATCH(F1114,'Model Pricing'!$A$7:$A$8,0))</x:f>
        <x:v>10</x:v>
      </x:c>
      <x:c r="K1114" s="27" t="n">
        <x:f>INDEX('Model Pricing'!$C$7:$C$8,MATCH(F1114,'Model Pricing'!$A$7:$A$8,0))</x:f>
        <x:v>30</x:v>
      </x:c>
      <x:c r="L1114" s="17" t="n">
        <x:f>G1114+H1114</x:f>
        <x:v>44677</x:v>
      </x:c>
      <x:c r="M1114" s="28" t="n">
        <x:f>G1114*J1114/1000000</x:f>
        <x:v>0.37693</x:v>
      </x:c>
      <x:c r="N1114" s="28" t="n">
        <x:f>H1114*K1114/1000000</x:f>
        <x:v>0.20952</x:v>
      </x:c>
      <x:c r="O1114" s="28" t="n">
        <x:f>SUM(M1114:N1114)</x:f>
        <x:v>0.58645</x:v>
      </x:c>
    </x:row>
    <x:row r="1115" ht="23" customHeight="1">
      <x:c r="A1115" s="17" t="str">
        <x:v>U01109</x:v>
      </x:c>
      <x:c r="B1115" s="18" t="n">
        <x:v>46286</x:v>
      </x:c>
      <x:c r="C1115" s="17" t="str">
        <x:v>W0108</x:v>
      </x:c>
      <x:c r="D1115" s="17" t="str">
        <x:v>C002</x:v>
      </x:c>
      <x:c r="E1115" s="17" t="str">
        <x:v>CopyStudio</x:v>
      </x:c>
      <x:c r="F1115" s="17" t="str">
        <x:v>Lite</x:v>
      </x:c>
      <x:c r="G1115" s="17" t="n">
        <x:v>43020</x:v>
      </x:c>
      <x:c r="H1115" s="17" t="n">
        <x:v>9256</x:v>
      </x:c>
      <x:c r="I1115" s="17" t="str">
        <x:v>Followup</x:v>
      </x:c>
      <x:c r="J1115" s="27" t="n">
        <x:f>INDEX('Model Pricing'!$B$7:$B$8,MATCH(F1115,'Model Pricing'!$A$7:$A$8,0))</x:f>
        <x:v>10</x:v>
      </x:c>
      <x:c r="K1115" s="27" t="n">
        <x:f>INDEX('Model Pricing'!$C$7:$C$8,MATCH(F1115,'Model Pricing'!$A$7:$A$8,0))</x:f>
        <x:v>30</x:v>
      </x:c>
      <x:c r="L1115" s="17" t="n">
        <x:f>G1115+H1115</x:f>
        <x:v>52276</x:v>
      </x:c>
      <x:c r="M1115" s="28" t="n">
        <x:f>G1115*J1115/1000000</x:f>
        <x:v>0.4302</x:v>
      </x:c>
      <x:c r="N1115" s="28" t="n">
        <x:f>H1115*K1115/1000000</x:f>
        <x:v>0.27768</x:v>
      </x:c>
      <x:c r="O1115" s="28" t="n">
        <x:f>SUM(M1115:N1115)</x:f>
        <x:v>0.7078800000000001</x:v>
      </x:c>
    </x:row>
    <x:row r="1116" ht="23" customHeight="1">
      <x:c r="A1116" s="17" t="str">
        <x:v>U01110</x:v>
      </x:c>
      <x:c r="B1116" s="18" t="n">
        <x:v>46286</x:v>
      </x:c>
      <x:c r="C1116" s="17" t="str">
        <x:v>W0108</x:v>
      </x:c>
      <x:c r="D1116" s="17" t="str">
        <x:v>C002</x:v>
      </x:c>
      <x:c r="E1116" s="17" t="str">
        <x:v>CopyStudio</x:v>
      </x:c>
      <x:c r="F1116" s="17" t="str">
        <x:v>Lite</x:v>
      </x:c>
      <x:c r="G1116" s="17" t="n">
        <x:v>28584</x:v>
      </x:c>
      <x:c r="H1116" s="17" t="n">
        <x:v>3022</x:v>
      </x:c>
      <x:c r="I1116" s="17" t="str">
        <x:v>Followup</x:v>
      </x:c>
      <x:c r="J1116" s="27" t="n">
        <x:f>INDEX('Model Pricing'!$B$7:$B$8,MATCH(F1116,'Model Pricing'!$A$7:$A$8,0))</x:f>
        <x:v>10</x:v>
      </x:c>
      <x:c r="K1116" s="27" t="n">
        <x:f>INDEX('Model Pricing'!$C$7:$C$8,MATCH(F1116,'Model Pricing'!$A$7:$A$8,0))</x:f>
        <x:v>30</x:v>
      </x:c>
      <x:c r="L1116" s="17" t="n">
        <x:f>G1116+H1116</x:f>
        <x:v>31606</x:v>
      </x:c>
      <x:c r="M1116" s="28" t="n">
        <x:f>G1116*J1116/1000000</x:f>
        <x:v>0.28584</x:v>
      </x:c>
      <x:c r="N1116" s="28" t="n">
        <x:f>H1116*K1116/1000000</x:f>
        <x:v>0.09066</x:v>
      </x:c>
      <x:c r="O1116" s="28" t="n">
        <x:f>SUM(M1116:N1116)</x:f>
        <x:v>0.3765</x:v>
      </x:c>
    </x:row>
    <x:row r="1117" ht="23" customHeight="1">
      <x:c r="A1117" s="17" t="str">
        <x:v>U01111</x:v>
      </x:c>
      <x:c r="B1117" s="18" t="n">
        <x:v>46287</x:v>
      </x:c>
      <x:c r="C1117" s="17" t="str">
        <x:v>W0108</x:v>
      </x:c>
      <x:c r="D1117" s="17" t="str">
        <x:v>C002</x:v>
      </x:c>
      <x:c r="E1117" s="17" t="str">
        <x:v>CopyStudio</x:v>
      </x:c>
      <x:c r="F1117" s="17" t="str">
        <x:v>Lite</x:v>
      </x:c>
      <x:c r="G1117" s="17" t="n">
        <x:v>53600</x:v>
      </x:c>
      <x:c r="H1117" s="17" t="n">
        <x:v>7818</x:v>
      </x:c>
      <x:c r="I1117" s="17" t="str">
        <x:v>Followup</x:v>
      </x:c>
      <x:c r="J1117" s="27" t="n">
        <x:f>INDEX('Model Pricing'!$B$7:$B$8,MATCH(F1117,'Model Pricing'!$A$7:$A$8,0))</x:f>
        <x:v>10</x:v>
      </x:c>
      <x:c r="K1117" s="27" t="n">
        <x:f>INDEX('Model Pricing'!$C$7:$C$8,MATCH(F1117,'Model Pricing'!$A$7:$A$8,0))</x:f>
        <x:v>30</x:v>
      </x:c>
      <x:c r="L1117" s="17" t="n">
        <x:f>G1117+H1117</x:f>
        <x:v>61418</x:v>
      </x:c>
      <x:c r="M1117" s="28" t="n">
        <x:f>G1117*J1117/1000000</x:f>
        <x:v>0.536</x:v>
      </x:c>
      <x:c r="N1117" s="28" t="n">
        <x:f>H1117*K1117/1000000</x:f>
        <x:v>0.23454</x:v>
      </x:c>
      <x:c r="O1117" s="28" t="n">
        <x:f>SUM(M1117:N1117)</x:f>
        <x:v>0.77054</x:v>
      </x:c>
    </x:row>
    <x:row r="1118" ht="23" customHeight="1">
      <x:c r="A1118" s="17" t="str">
        <x:v>U01112</x:v>
      </x:c>
      <x:c r="B1118" s="18" t="n">
        <x:v>46287</x:v>
      </x:c>
      <x:c r="C1118" s="17" t="str">
        <x:v>W0108</x:v>
      </x:c>
      <x:c r="D1118" s="17" t="str">
        <x:v>C002</x:v>
      </x:c>
      <x:c r="E1118" s="17" t="str">
        <x:v>CopyStudio</x:v>
      </x:c>
      <x:c r="F1118" s="17" t="str">
        <x:v>Lite</x:v>
      </x:c>
      <x:c r="G1118" s="17" t="n">
        <x:v>37081</x:v>
      </x:c>
      <x:c r="H1118" s="17" t="n">
        <x:v>6574</x:v>
      </x:c>
      <x:c r="I1118" s="17" t="str">
        <x:v>Correction</x:v>
      </x:c>
      <x:c r="J1118" s="27" t="n">
        <x:f>INDEX('Model Pricing'!$B$7:$B$8,MATCH(F1118,'Model Pricing'!$A$7:$A$8,0))</x:f>
        <x:v>10</x:v>
      </x:c>
      <x:c r="K1118" s="27" t="n">
        <x:f>INDEX('Model Pricing'!$C$7:$C$8,MATCH(F1118,'Model Pricing'!$A$7:$A$8,0))</x:f>
        <x:v>30</x:v>
      </x:c>
      <x:c r="L1118" s="17" t="n">
        <x:f>G1118+H1118</x:f>
        <x:v>43655</x:v>
      </x:c>
      <x:c r="M1118" s="28" t="n">
        <x:f>G1118*J1118/1000000</x:f>
        <x:v>0.37081</x:v>
      </x:c>
      <x:c r="N1118" s="28" t="n">
        <x:f>H1118*K1118/1000000</x:f>
        <x:v>0.19722</x:v>
      </x:c>
      <x:c r="O1118" s="28" t="n">
        <x:f>SUM(M1118:N1118)</x:f>
        <x:v>0.56803</x:v>
      </x:c>
    </x:row>
    <x:row r="1119" ht="23" customHeight="1">
      <x:c r="A1119" s="17" t="str">
        <x:v>U01113</x:v>
      </x:c>
      <x:c r="B1119" s="18" t="n">
        <x:v>46287</x:v>
      </x:c>
      <x:c r="C1119" s="17" t="str">
        <x:v>W0108</x:v>
      </x:c>
      <x:c r="D1119" s="17" t="str">
        <x:v>C002</x:v>
      </x:c>
      <x:c r="E1119" s="17" t="str">
        <x:v>CopyStudio</x:v>
      </x:c>
      <x:c r="F1119" s="17" t="str">
        <x:v>Lite</x:v>
      </x:c>
      <x:c r="G1119" s="17" t="n">
        <x:v>21951</x:v>
      </x:c>
      <x:c r="H1119" s="17" t="n">
        <x:v>5737</x:v>
      </x:c>
      <x:c r="I1119" s="17" t="str">
        <x:v>Followup</x:v>
      </x:c>
      <x:c r="J1119" s="27" t="n">
        <x:f>INDEX('Model Pricing'!$B$7:$B$8,MATCH(F1119,'Model Pricing'!$A$7:$A$8,0))</x:f>
        <x:v>10</x:v>
      </x:c>
      <x:c r="K1119" s="27" t="n">
        <x:f>INDEX('Model Pricing'!$C$7:$C$8,MATCH(F1119,'Model Pricing'!$A$7:$A$8,0))</x:f>
        <x:v>30</x:v>
      </x:c>
      <x:c r="L1119" s="17" t="n">
        <x:f>G1119+H1119</x:f>
        <x:v>27688</x:v>
      </x:c>
      <x:c r="M1119" s="28" t="n">
        <x:f>G1119*J1119/1000000</x:f>
        <x:v>0.21951</x:v>
      </x:c>
      <x:c r="N1119" s="28" t="n">
        <x:f>H1119*K1119/1000000</x:f>
        <x:v>0.17211</x:v>
      </x:c>
      <x:c r="O1119" s="28" t="n">
        <x:f>SUM(M1119:N1119)</x:f>
        <x:v>0.39162</x:v>
      </x:c>
    </x:row>
    <x:row r="1120" ht="23" customHeight="1">
      <x:c r="A1120" s="17" t="str">
        <x:v>U01114</x:v>
      </x:c>
      <x:c r="B1120" s="18" t="n">
        <x:v>46276</x:v>
      </x:c>
      <x:c r="C1120" s="17" t="str">
        <x:v>W0110</x:v>
      </x:c>
      <x:c r="D1120" s="17" t="str">
        <x:v>C002</x:v>
      </x:c>
      <x:c r="E1120" s="17" t="str">
        <x:v>CampaignChat</x:v>
      </x:c>
      <x:c r="F1120" s="17" t="str">
        <x:v>Lite</x:v>
      </x:c>
      <x:c r="G1120" s="17" t="n">
        <x:v>19487</x:v>
      </x:c>
      <x:c r="H1120" s="17" t="n">
        <x:v>8576</x:v>
      </x:c>
      <x:c r="I1120" s="17" t="str">
        <x:v>First attempt</x:v>
      </x:c>
      <x:c r="J1120" s="27" t="n">
        <x:f>INDEX('Model Pricing'!$B$7:$B$8,MATCH(F1120,'Model Pricing'!$A$7:$A$8,0))</x:f>
        <x:v>10</x:v>
      </x:c>
      <x:c r="K1120" s="27" t="n">
        <x:f>INDEX('Model Pricing'!$C$7:$C$8,MATCH(F1120,'Model Pricing'!$A$7:$A$8,0))</x:f>
        <x:v>30</x:v>
      </x:c>
      <x:c r="L1120" s="17" t="n">
        <x:f>G1120+H1120</x:f>
        <x:v>28063</x:v>
      </x:c>
      <x:c r="M1120" s="28" t="n">
        <x:f>G1120*J1120/1000000</x:f>
        <x:v>0.19487</x:v>
      </x:c>
      <x:c r="N1120" s="28" t="n">
        <x:f>H1120*K1120/1000000</x:f>
        <x:v>0.25728</x:v>
      </x:c>
      <x:c r="O1120" s="28" t="n">
        <x:f>SUM(M1120:N1120)</x:f>
        <x:v>0.45215</x:v>
      </x:c>
    </x:row>
    <x:row r="1121" ht="23" customHeight="1">
      <x:c r="A1121" s="17" t="str">
        <x:v>U01115</x:v>
      </x:c>
      <x:c r="B1121" s="18" t="n">
        <x:v>46276</x:v>
      </x:c>
      <x:c r="C1121" s="17" t="str">
        <x:v>W0110</x:v>
      </x:c>
      <x:c r="D1121" s="17" t="str">
        <x:v>C002</x:v>
      </x:c>
      <x:c r="E1121" s="17" t="str">
        <x:v>CampaignChat</x:v>
      </x:c>
      <x:c r="F1121" s="17" t="str">
        <x:v>Lite</x:v>
      </x:c>
      <x:c r="G1121" s="17" t="n">
        <x:v>26608</x:v>
      </x:c>
      <x:c r="H1121" s="17" t="n">
        <x:v>7306</x:v>
      </x:c>
      <x:c r="I1121" s="17" t="str">
        <x:v>Correction</x:v>
      </x:c>
      <x:c r="J1121" s="27" t="n">
        <x:f>INDEX('Model Pricing'!$B$7:$B$8,MATCH(F1121,'Model Pricing'!$A$7:$A$8,0))</x:f>
        <x:v>10</x:v>
      </x:c>
      <x:c r="K1121" s="27" t="n">
        <x:f>INDEX('Model Pricing'!$C$7:$C$8,MATCH(F1121,'Model Pricing'!$A$7:$A$8,0))</x:f>
        <x:v>30</x:v>
      </x:c>
      <x:c r="L1121" s="17" t="n">
        <x:f>G1121+H1121</x:f>
        <x:v>33914</x:v>
      </x:c>
      <x:c r="M1121" s="28" t="n">
        <x:f>G1121*J1121/1000000</x:f>
        <x:v>0.26608</x:v>
      </x:c>
      <x:c r="N1121" s="28" t="n">
        <x:f>H1121*K1121/1000000</x:f>
        <x:v>0.21918</x:v>
      </x:c>
      <x:c r="O1121" s="28" t="n">
        <x:f>SUM(M1121:N1121)</x:f>
        <x:v>0.48526</x:v>
      </x:c>
    </x:row>
    <x:row r="1122" ht="23" customHeight="1">
      <x:c r="A1122" s="17" t="str">
        <x:v>U01116</x:v>
      </x:c>
      <x:c r="B1122" s="18" t="n">
        <x:v>46276</x:v>
      </x:c>
      <x:c r="C1122" s="17" t="str">
        <x:v>W0110</x:v>
      </x:c>
      <x:c r="D1122" s="17" t="str">
        <x:v>C002</x:v>
      </x:c>
      <x:c r="E1122" s="17" t="str">
        <x:v>CampaignChat</x:v>
      </x:c>
      <x:c r="F1122" s="17" t="str">
        <x:v>Lite</x:v>
      </x:c>
      <x:c r="G1122" s="17" t="n">
        <x:v>18347</x:v>
      </x:c>
      <x:c r="H1122" s="17" t="n">
        <x:v>9752</x:v>
      </x:c>
      <x:c r="I1122" s="17" t="str">
        <x:v>Followup</x:v>
      </x:c>
      <x:c r="J1122" s="27" t="n">
        <x:f>INDEX('Model Pricing'!$B$7:$B$8,MATCH(F1122,'Model Pricing'!$A$7:$A$8,0))</x:f>
        <x:v>10</x:v>
      </x:c>
      <x:c r="K1122" s="27" t="n">
        <x:f>INDEX('Model Pricing'!$C$7:$C$8,MATCH(F1122,'Model Pricing'!$A$7:$A$8,0))</x:f>
        <x:v>30</x:v>
      </x:c>
      <x:c r="L1122" s="17" t="n">
        <x:f>G1122+H1122</x:f>
        <x:v>28099</x:v>
      </x:c>
      <x:c r="M1122" s="28" t="n">
        <x:f>G1122*J1122/1000000</x:f>
        <x:v>0.18347</x:v>
      </x:c>
      <x:c r="N1122" s="28" t="n">
        <x:f>H1122*K1122/1000000</x:f>
        <x:v>0.29256</x:v>
      </x:c>
      <x:c r="O1122" s="28" t="n">
        <x:f>SUM(M1122:N1122)</x:f>
        <x:v>0.47602999999999995</x:v>
      </x:c>
    </x:row>
    <x:row r="1123" ht="23" customHeight="1">
      <x:c r="A1123" s="17" t="str">
        <x:v>U01117</x:v>
      </x:c>
      <x:c r="B1123" s="18" t="n">
        <x:v>46276</x:v>
      </x:c>
      <x:c r="C1123" s="17" t="str">
        <x:v>W0110</x:v>
      </x:c>
      <x:c r="D1123" s="17" t="str">
        <x:v>C002</x:v>
      </x:c>
      <x:c r="E1123" s="17" t="str">
        <x:v>CampaignChat</x:v>
      </x:c>
      <x:c r="F1123" s="17" t="str">
        <x:v>Lite</x:v>
      </x:c>
      <x:c r="G1123" s="17" t="n">
        <x:v>35641</x:v>
      </x:c>
      <x:c r="H1123" s="17" t="n">
        <x:v>8675</x:v>
      </x:c>
      <x:c r="I1123" s="17" t="str">
        <x:v>Followup</x:v>
      </x:c>
      <x:c r="J1123" s="27" t="n">
        <x:f>INDEX('Model Pricing'!$B$7:$B$8,MATCH(F1123,'Model Pricing'!$A$7:$A$8,0))</x:f>
        <x:v>10</x:v>
      </x:c>
      <x:c r="K1123" s="27" t="n">
        <x:f>INDEX('Model Pricing'!$C$7:$C$8,MATCH(F1123,'Model Pricing'!$A$7:$A$8,0))</x:f>
        <x:v>30</x:v>
      </x:c>
      <x:c r="L1123" s="17" t="n">
        <x:f>G1123+H1123</x:f>
        <x:v>44316</x:v>
      </x:c>
      <x:c r="M1123" s="28" t="n">
        <x:f>G1123*J1123/1000000</x:f>
        <x:v>0.35641</x:v>
      </x:c>
      <x:c r="N1123" s="28" t="n">
        <x:f>H1123*K1123/1000000</x:f>
        <x:v>0.26025</x:v>
      </x:c>
      <x:c r="O1123" s="28" t="n">
        <x:f>SUM(M1123:N1123)</x:f>
        <x:v>0.61666</x:v>
      </x:c>
    </x:row>
    <x:row r="1124" ht="23" customHeight="1">
      <x:c r="A1124" s="17" t="str">
        <x:v>U01118</x:v>
      </x:c>
      <x:c r="B1124" s="18" t="n">
        <x:v>46276</x:v>
      </x:c>
      <x:c r="C1124" s="17" t="str">
        <x:v>W0110</x:v>
      </x:c>
      <x:c r="D1124" s="17" t="str">
        <x:v>C002</x:v>
      </x:c>
      <x:c r="E1124" s="17" t="str">
        <x:v>CampaignChat</x:v>
      </x:c>
      <x:c r="F1124" s="17" t="str">
        <x:v>Lite</x:v>
      </x:c>
      <x:c r="G1124" s="17" t="n">
        <x:v>28225</x:v>
      </x:c>
      <x:c r="H1124" s="17" t="n">
        <x:v>9766</x:v>
      </x:c>
      <x:c r="I1124" s="17" t="str">
        <x:v>Followup</x:v>
      </x:c>
      <x:c r="J1124" s="27" t="n">
        <x:f>INDEX('Model Pricing'!$B$7:$B$8,MATCH(F1124,'Model Pricing'!$A$7:$A$8,0))</x:f>
        <x:v>10</x:v>
      </x:c>
      <x:c r="K1124" s="27" t="n">
        <x:f>INDEX('Model Pricing'!$C$7:$C$8,MATCH(F1124,'Model Pricing'!$A$7:$A$8,0))</x:f>
        <x:v>30</x:v>
      </x:c>
      <x:c r="L1124" s="17" t="n">
        <x:f>G1124+H1124</x:f>
        <x:v>37991</x:v>
      </x:c>
      <x:c r="M1124" s="28" t="n">
        <x:f>G1124*J1124/1000000</x:f>
        <x:v>0.28225</x:v>
      </x:c>
      <x:c r="N1124" s="28" t="n">
        <x:f>H1124*K1124/1000000</x:f>
        <x:v>0.29298</x:v>
      </x:c>
      <x:c r="O1124" s="28" t="n">
        <x:f>SUM(M1124:N1124)</x:f>
        <x:v>0.57523</x:v>
      </x:c>
    </x:row>
    <x:row r="1125" ht="23" customHeight="1">
      <x:c r="A1125" s="17" t="str">
        <x:v>U01119</x:v>
      </x:c>
      <x:c r="B1125" s="18" t="n">
        <x:v>46276</x:v>
      </x:c>
      <x:c r="C1125" s="17" t="str">
        <x:v>W0110</x:v>
      </x:c>
      <x:c r="D1125" s="17" t="str">
        <x:v>C002</x:v>
      </x:c>
      <x:c r="E1125" s="17" t="str">
        <x:v>CampaignChat</x:v>
      </x:c>
      <x:c r="F1125" s="17" t="str">
        <x:v>Lite</x:v>
      </x:c>
      <x:c r="G1125" s="17" t="n">
        <x:v>40356</x:v>
      </x:c>
      <x:c r="H1125" s="17" t="n">
        <x:v>6886</x:v>
      </x:c>
      <x:c r="I1125" s="17" t="str">
        <x:v>Followup</x:v>
      </x:c>
      <x:c r="J1125" s="27" t="n">
        <x:f>INDEX('Model Pricing'!$B$7:$B$8,MATCH(F1125,'Model Pricing'!$A$7:$A$8,0))</x:f>
        <x:v>10</x:v>
      </x:c>
      <x:c r="K1125" s="27" t="n">
        <x:f>INDEX('Model Pricing'!$C$7:$C$8,MATCH(F1125,'Model Pricing'!$A$7:$A$8,0))</x:f>
        <x:v>30</x:v>
      </x:c>
      <x:c r="L1125" s="17" t="n">
        <x:f>G1125+H1125</x:f>
        <x:v>47242</x:v>
      </x:c>
      <x:c r="M1125" s="28" t="n">
        <x:f>G1125*J1125/1000000</x:f>
        <x:v>0.40356</x:v>
      </x:c>
      <x:c r="N1125" s="28" t="n">
        <x:f>H1125*K1125/1000000</x:f>
        <x:v>0.20658</x:v>
      </x:c>
      <x:c r="O1125" s="28" t="n">
        <x:f>SUM(M1125:N1125)</x:f>
        <x:v>0.61014</x:v>
      </x:c>
    </x:row>
    <x:row r="1126" ht="23" customHeight="1">
      <x:c r="A1126" s="17" t="str">
        <x:v>U01120</x:v>
      </x:c>
      <x:c r="B1126" s="18" t="n">
        <x:v>46279</x:v>
      </x:c>
      <x:c r="C1126" s="17" t="str">
        <x:v>W0110</x:v>
      </x:c>
      <x:c r="D1126" s="17" t="str">
        <x:v>C002</x:v>
      </x:c>
      <x:c r="E1126" s="17" t="str">
        <x:v>CampaignChat</x:v>
      </x:c>
      <x:c r="F1126" s="17" t="str">
        <x:v>Lite</x:v>
      </x:c>
      <x:c r="G1126" s="17" t="n">
        <x:v>15460</x:v>
      </x:c>
      <x:c r="H1126" s="17" t="n">
        <x:v>9915</x:v>
      </x:c>
      <x:c r="I1126" s="17" t="str">
        <x:v>Followup</x:v>
      </x:c>
      <x:c r="J1126" s="27" t="n">
        <x:f>INDEX('Model Pricing'!$B$7:$B$8,MATCH(F1126,'Model Pricing'!$A$7:$A$8,0))</x:f>
        <x:v>10</x:v>
      </x:c>
      <x:c r="K1126" s="27" t="n">
        <x:f>INDEX('Model Pricing'!$C$7:$C$8,MATCH(F1126,'Model Pricing'!$A$7:$A$8,0))</x:f>
        <x:v>30</x:v>
      </x:c>
      <x:c r="L1126" s="17" t="n">
        <x:f>G1126+H1126</x:f>
        <x:v>25375</x:v>
      </x:c>
      <x:c r="M1126" s="28" t="n">
        <x:f>G1126*J1126/1000000</x:f>
        <x:v>0.1546</x:v>
      </x:c>
      <x:c r="N1126" s="28" t="n">
        <x:f>H1126*K1126/1000000</x:f>
        <x:v>0.29745</x:v>
      </x:c>
      <x:c r="O1126" s="28" t="n">
        <x:f>SUM(M1126:N1126)</x:f>
        <x:v>0.45204999999999995</x:v>
      </x:c>
    </x:row>
    <x:row r="1127" ht="23" customHeight="1">
      <x:c r="A1127" s="17" t="str">
        <x:v>U01121</x:v>
      </x:c>
      <x:c r="B1127" s="18" t="n">
        <x:v>46279</x:v>
      </x:c>
      <x:c r="C1127" s="17" t="str">
        <x:v>W0110</x:v>
      </x:c>
      <x:c r="D1127" s="17" t="str">
        <x:v>C002</x:v>
      </x:c>
      <x:c r="E1127" s="17" t="str">
        <x:v>CampaignChat</x:v>
      </x:c>
      <x:c r="F1127" s="17" t="str">
        <x:v>Lite</x:v>
      </x:c>
      <x:c r="G1127" s="17" t="n">
        <x:v>23678</x:v>
      </x:c>
      <x:c r="H1127" s="17" t="n">
        <x:v>9160</x:v>
      </x:c>
      <x:c r="I1127" s="17" t="str">
        <x:v>Followup</x:v>
      </x:c>
      <x:c r="J1127" s="27" t="n">
        <x:f>INDEX('Model Pricing'!$B$7:$B$8,MATCH(F1127,'Model Pricing'!$A$7:$A$8,0))</x:f>
        <x:v>10</x:v>
      </x:c>
      <x:c r="K1127" s="27" t="n">
        <x:f>INDEX('Model Pricing'!$C$7:$C$8,MATCH(F1127,'Model Pricing'!$A$7:$A$8,0))</x:f>
        <x:v>30</x:v>
      </x:c>
      <x:c r="L1127" s="17" t="n">
        <x:f>G1127+H1127</x:f>
        <x:v>32838</x:v>
      </x:c>
      <x:c r="M1127" s="28" t="n">
        <x:f>G1127*J1127/1000000</x:f>
        <x:v>0.23678</x:v>
      </x:c>
      <x:c r="N1127" s="28" t="n">
        <x:f>H1127*K1127/1000000</x:f>
        <x:v>0.2748</x:v>
      </x:c>
      <x:c r="O1127" s="28" t="n">
        <x:f>SUM(M1127:N1127)</x:f>
        <x:v>0.5115799999999999</x:v>
      </x:c>
    </x:row>
    <x:row r="1128" ht="23" customHeight="1">
      <x:c r="A1128" s="17" t="str">
        <x:v>U01122</x:v>
      </x:c>
      <x:c r="B1128" s="18" t="n">
        <x:v>46279</x:v>
      </x:c>
      <x:c r="C1128" s="17" t="str">
        <x:v>W0110</x:v>
      </x:c>
      <x:c r="D1128" s="17" t="str">
        <x:v>C002</x:v>
      </x:c>
      <x:c r="E1128" s="17" t="str">
        <x:v>CampaignChat</x:v>
      </x:c>
      <x:c r="F1128" s="17" t="str">
        <x:v>Lite</x:v>
      </x:c>
      <x:c r="G1128" s="17" t="n">
        <x:v>25758</x:v>
      </x:c>
      <x:c r="H1128" s="17" t="n">
        <x:v>6757</x:v>
      </x:c>
      <x:c r="I1128" s="17" t="str">
        <x:v>Followup</x:v>
      </x:c>
      <x:c r="J1128" s="27" t="n">
        <x:f>INDEX('Model Pricing'!$B$7:$B$8,MATCH(F1128,'Model Pricing'!$A$7:$A$8,0))</x:f>
        <x:v>10</x:v>
      </x:c>
      <x:c r="K1128" s="27" t="n">
        <x:f>INDEX('Model Pricing'!$C$7:$C$8,MATCH(F1128,'Model Pricing'!$A$7:$A$8,0))</x:f>
        <x:v>30</x:v>
      </x:c>
      <x:c r="L1128" s="17" t="n">
        <x:f>G1128+H1128</x:f>
        <x:v>32515</x:v>
      </x:c>
      <x:c r="M1128" s="28" t="n">
        <x:f>G1128*J1128/1000000</x:f>
        <x:v>0.25758</x:v>
      </x:c>
      <x:c r="N1128" s="28" t="n">
        <x:f>H1128*K1128/1000000</x:f>
        <x:v>0.20271</x:v>
      </x:c>
      <x:c r="O1128" s="28" t="n">
        <x:f>SUM(M1128:N1128)</x:f>
        <x:v>0.46029</x:v>
      </x:c>
    </x:row>
    <x:row r="1129" ht="23" customHeight="1">
      <x:c r="A1129" s="17" t="str">
        <x:v>U01123</x:v>
      </x:c>
      <x:c r="B1129" s="18" t="n">
        <x:v>46279</x:v>
      </x:c>
      <x:c r="C1129" s="17" t="str">
        <x:v>W0110</x:v>
      </x:c>
      <x:c r="D1129" s="17" t="str">
        <x:v>C002</x:v>
      </x:c>
      <x:c r="E1129" s="17" t="str">
        <x:v>CampaignChat</x:v>
      </x:c>
      <x:c r="F1129" s="17" t="str">
        <x:v>Lite</x:v>
      </x:c>
      <x:c r="G1129" s="17" t="n">
        <x:v>30279</x:v>
      </x:c>
      <x:c r="H1129" s="17" t="n">
        <x:v>6438</x:v>
      </x:c>
      <x:c r="I1129" s="17" t="str">
        <x:v>Followup</x:v>
      </x:c>
      <x:c r="J1129" s="27" t="n">
        <x:f>INDEX('Model Pricing'!$B$7:$B$8,MATCH(F1129,'Model Pricing'!$A$7:$A$8,0))</x:f>
        <x:v>10</x:v>
      </x:c>
      <x:c r="K1129" s="27" t="n">
        <x:f>INDEX('Model Pricing'!$C$7:$C$8,MATCH(F1129,'Model Pricing'!$A$7:$A$8,0))</x:f>
        <x:v>30</x:v>
      </x:c>
      <x:c r="L1129" s="17" t="n">
        <x:f>G1129+H1129</x:f>
        <x:v>36717</x:v>
      </x:c>
      <x:c r="M1129" s="28" t="n">
        <x:f>G1129*J1129/1000000</x:f>
        <x:v>0.30279</x:v>
      </x:c>
      <x:c r="N1129" s="28" t="n">
        <x:f>H1129*K1129/1000000</x:f>
        <x:v>0.19314</x:v>
      </x:c>
      <x:c r="O1129" s="28" t="n">
        <x:f>SUM(M1129:N1129)</x:f>
        <x:v>0.49593</x:v>
      </x:c>
    </x:row>
    <x:row r="1130" ht="23" customHeight="1">
      <x:c r="A1130" s="17" t="str">
        <x:v>U01124</x:v>
      </x:c>
      <x:c r="B1130" s="18" t="n">
        <x:v>46279</x:v>
      </x:c>
      <x:c r="C1130" s="17" t="str">
        <x:v>W0110</x:v>
      </x:c>
      <x:c r="D1130" s="17" t="str">
        <x:v>C002</x:v>
      </x:c>
      <x:c r="E1130" s="17" t="str">
        <x:v>CampaignChat</x:v>
      </x:c>
      <x:c r="F1130" s="17" t="str">
        <x:v>Lite</x:v>
      </x:c>
      <x:c r="G1130" s="17" t="n">
        <x:v>17569</x:v>
      </x:c>
      <x:c r="H1130" s="17" t="n">
        <x:v>7445</x:v>
      </x:c>
      <x:c r="I1130" s="17" t="str">
        <x:v>Correction</x:v>
      </x:c>
      <x:c r="J1130" s="27" t="n">
        <x:f>INDEX('Model Pricing'!$B$7:$B$8,MATCH(F1130,'Model Pricing'!$A$7:$A$8,0))</x:f>
        <x:v>10</x:v>
      </x:c>
      <x:c r="K1130" s="27" t="n">
        <x:f>INDEX('Model Pricing'!$C$7:$C$8,MATCH(F1130,'Model Pricing'!$A$7:$A$8,0))</x:f>
        <x:v>30</x:v>
      </x:c>
      <x:c r="L1130" s="17" t="n">
        <x:f>G1130+H1130</x:f>
        <x:v>25014</x:v>
      </x:c>
      <x:c r="M1130" s="28" t="n">
        <x:f>G1130*J1130/1000000</x:f>
        <x:v>0.17569</x:v>
      </x:c>
      <x:c r="N1130" s="28" t="n">
        <x:f>H1130*K1130/1000000</x:f>
        <x:v>0.22335</x:v>
      </x:c>
      <x:c r="O1130" s="28" t="n">
        <x:f>SUM(M1130:N1130)</x:f>
        <x:v>0.39904</x:v>
      </x:c>
    </x:row>
    <x:row r="1131" ht="23" customHeight="1">
      <x:c r="A1131" s="17" t="str">
        <x:v>U01125</x:v>
      </x:c>
      <x:c r="B1131" s="18" t="n">
        <x:v>46280</x:v>
      </x:c>
      <x:c r="C1131" s="17" t="str">
        <x:v>W0110</x:v>
      </x:c>
      <x:c r="D1131" s="17" t="str">
        <x:v>C002</x:v>
      </x:c>
      <x:c r="E1131" s="17" t="str">
        <x:v>CampaignChat</x:v>
      </x:c>
      <x:c r="F1131" s="17" t="str">
        <x:v>Lite</x:v>
      </x:c>
      <x:c r="G1131" s="17" t="n">
        <x:v>14489</x:v>
      </x:c>
      <x:c r="H1131" s="17" t="n">
        <x:v>7235</x:v>
      </x:c>
      <x:c r="I1131" s="17" t="str">
        <x:v>Correction</x:v>
      </x:c>
      <x:c r="J1131" s="27" t="n">
        <x:f>INDEX('Model Pricing'!$B$7:$B$8,MATCH(F1131,'Model Pricing'!$A$7:$A$8,0))</x:f>
        <x:v>10</x:v>
      </x:c>
      <x:c r="K1131" s="27" t="n">
        <x:f>INDEX('Model Pricing'!$C$7:$C$8,MATCH(F1131,'Model Pricing'!$A$7:$A$8,0))</x:f>
        <x:v>30</x:v>
      </x:c>
      <x:c r="L1131" s="17" t="n">
        <x:f>G1131+H1131</x:f>
        <x:v>21724</x:v>
      </x:c>
      <x:c r="M1131" s="28" t="n">
        <x:f>G1131*J1131/1000000</x:f>
        <x:v>0.14489</x:v>
      </x:c>
      <x:c r="N1131" s="28" t="n">
        <x:f>H1131*K1131/1000000</x:f>
        <x:v>0.21705</x:v>
      </x:c>
      <x:c r="O1131" s="28" t="n">
        <x:f>SUM(M1131:N1131)</x:f>
        <x:v>0.36194</x:v>
      </x:c>
    </x:row>
    <x:row r="1132" ht="23" customHeight="1">
      <x:c r="A1132" s="17" t="str">
        <x:v>U01126</x:v>
      </x:c>
      <x:c r="B1132" s="18" t="n">
        <x:v>46280</x:v>
      </x:c>
      <x:c r="C1132" s="17" t="str">
        <x:v>W0110</x:v>
      </x:c>
      <x:c r="D1132" s="17" t="str">
        <x:v>C002</x:v>
      </x:c>
      <x:c r="E1132" s="17" t="str">
        <x:v>CampaignChat</x:v>
      </x:c>
      <x:c r="F1132" s="17" t="str">
        <x:v>Lite</x:v>
      </x:c>
      <x:c r="G1132" s="17" t="n">
        <x:v>37246</x:v>
      </x:c>
      <x:c r="H1132" s="17" t="n">
        <x:v>8340</x:v>
      </x:c>
      <x:c r="I1132" s="17" t="str">
        <x:v>Correction</x:v>
      </x:c>
      <x:c r="J1132" s="27" t="n">
        <x:f>INDEX('Model Pricing'!$B$7:$B$8,MATCH(F1132,'Model Pricing'!$A$7:$A$8,0))</x:f>
        <x:v>10</x:v>
      </x:c>
      <x:c r="K1132" s="27" t="n">
        <x:f>INDEX('Model Pricing'!$C$7:$C$8,MATCH(F1132,'Model Pricing'!$A$7:$A$8,0))</x:f>
        <x:v>30</x:v>
      </x:c>
      <x:c r="L1132" s="17" t="n">
        <x:f>G1132+H1132</x:f>
        <x:v>45586</x:v>
      </x:c>
      <x:c r="M1132" s="28" t="n">
        <x:f>G1132*J1132/1000000</x:f>
        <x:v>0.37246</x:v>
      </x:c>
      <x:c r="N1132" s="28" t="n">
        <x:f>H1132*K1132/1000000</x:f>
        <x:v>0.2502</x:v>
      </x:c>
      <x:c r="O1132" s="28" t="n">
        <x:f>SUM(M1132:N1132)</x:f>
        <x:v>0.62266</x:v>
      </x:c>
    </x:row>
    <x:row r="1133" ht="23" customHeight="1">
      <x:c r="A1133" s="17" t="str">
        <x:v>U01127</x:v>
      </x:c>
      <x:c r="B1133" s="18" t="n">
        <x:v>46280</x:v>
      </x:c>
      <x:c r="C1133" s="17" t="str">
        <x:v>W0110</x:v>
      </x:c>
      <x:c r="D1133" s="17" t="str">
        <x:v>C002</x:v>
      </x:c>
      <x:c r="E1133" s="17" t="str">
        <x:v>CampaignChat</x:v>
      </x:c>
      <x:c r="F1133" s="17" t="str">
        <x:v>Lite</x:v>
      </x:c>
      <x:c r="G1133" s="17" t="n">
        <x:v>16118</x:v>
      </x:c>
      <x:c r="H1133" s="17" t="n">
        <x:v>2866</x:v>
      </x:c>
      <x:c r="I1133" s="17" t="str">
        <x:v>Correction</x:v>
      </x:c>
      <x:c r="J1133" s="27" t="n">
        <x:f>INDEX('Model Pricing'!$B$7:$B$8,MATCH(F1133,'Model Pricing'!$A$7:$A$8,0))</x:f>
        <x:v>10</x:v>
      </x:c>
      <x:c r="K1133" s="27" t="n">
        <x:f>INDEX('Model Pricing'!$C$7:$C$8,MATCH(F1133,'Model Pricing'!$A$7:$A$8,0))</x:f>
        <x:v>30</x:v>
      </x:c>
      <x:c r="L1133" s="17" t="n">
        <x:f>G1133+H1133</x:f>
        <x:v>18984</x:v>
      </x:c>
      <x:c r="M1133" s="28" t="n">
        <x:f>G1133*J1133/1000000</x:f>
        <x:v>0.16118</x:v>
      </x:c>
      <x:c r="N1133" s="28" t="n">
        <x:f>H1133*K1133/1000000</x:f>
        <x:v>0.08598</x:v>
      </x:c>
      <x:c r="O1133" s="28" t="n">
        <x:f>SUM(M1133:N1133)</x:f>
        <x:v>0.24716</x:v>
      </x:c>
    </x:row>
    <x:row r="1134" ht="23" customHeight="1">
      <x:c r="A1134" s="17" t="str">
        <x:v>U01128</x:v>
      </x:c>
      <x:c r="B1134" s="18" t="n">
        <x:v>46280</x:v>
      </x:c>
      <x:c r="C1134" s="17" t="str">
        <x:v>W0110</x:v>
      </x:c>
      <x:c r="D1134" s="17" t="str">
        <x:v>C002</x:v>
      </x:c>
      <x:c r="E1134" s="17" t="str">
        <x:v>CampaignChat</x:v>
      </x:c>
      <x:c r="F1134" s="17" t="str">
        <x:v>Lite</x:v>
      </x:c>
      <x:c r="G1134" s="17" t="n">
        <x:v>21704</x:v>
      </x:c>
      <x:c r="H1134" s="17" t="n">
        <x:v>9289</x:v>
      </x:c>
      <x:c r="I1134" s="17" t="str">
        <x:v>Correction</x:v>
      </x:c>
      <x:c r="J1134" s="27" t="n">
        <x:f>INDEX('Model Pricing'!$B$7:$B$8,MATCH(F1134,'Model Pricing'!$A$7:$A$8,0))</x:f>
        <x:v>10</x:v>
      </x:c>
      <x:c r="K1134" s="27" t="n">
        <x:f>INDEX('Model Pricing'!$C$7:$C$8,MATCH(F1134,'Model Pricing'!$A$7:$A$8,0))</x:f>
        <x:v>30</x:v>
      </x:c>
      <x:c r="L1134" s="17" t="n">
        <x:f>G1134+H1134</x:f>
        <x:v>30993</x:v>
      </x:c>
      <x:c r="M1134" s="28" t="n">
        <x:f>G1134*J1134/1000000</x:f>
        <x:v>0.21704</x:v>
      </x:c>
      <x:c r="N1134" s="28" t="n">
        <x:f>H1134*K1134/1000000</x:f>
        <x:v>0.27867</x:v>
      </x:c>
      <x:c r="O1134" s="28" t="n">
        <x:f>SUM(M1134:N1134)</x:f>
        <x:v>0.49571</x:v>
      </x:c>
    </x:row>
    <x:row r="1135" ht="23" customHeight="1">
      <x:c r="A1135" s="17" t="str">
        <x:v>U01129</x:v>
      </x:c>
      <x:c r="B1135" s="18" t="n">
        <x:v>46280</x:v>
      </x:c>
      <x:c r="C1135" s="17" t="str">
        <x:v>W0110</x:v>
      </x:c>
      <x:c r="D1135" s="17" t="str">
        <x:v>C002</x:v>
      </x:c>
      <x:c r="E1135" s="17" t="str">
        <x:v>CampaignChat</x:v>
      </x:c>
      <x:c r="F1135" s="17" t="str">
        <x:v>Lite</x:v>
      </x:c>
      <x:c r="G1135" s="17" t="n">
        <x:v>26765</x:v>
      </x:c>
      <x:c r="H1135" s="17" t="n">
        <x:v>4470</x:v>
      </x:c>
      <x:c r="I1135" s="17" t="str">
        <x:v>Followup</x:v>
      </x:c>
      <x:c r="J1135" s="27" t="n">
        <x:f>INDEX('Model Pricing'!$B$7:$B$8,MATCH(F1135,'Model Pricing'!$A$7:$A$8,0))</x:f>
        <x:v>10</x:v>
      </x:c>
      <x:c r="K1135" s="27" t="n">
        <x:f>INDEX('Model Pricing'!$C$7:$C$8,MATCH(F1135,'Model Pricing'!$A$7:$A$8,0))</x:f>
        <x:v>30</x:v>
      </x:c>
      <x:c r="L1135" s="17" t="n">
        <x:f>G1135+H1135</x:f>
        <x:v>31235</x:v>
      </x:c>
      <x:c r="M1135" s="28" t="n">
        <x:f>G1135*J1135/1000000</x:f>
        <x:v>0.26765</x:v>
      </x:c>
      <x:c r="N1135" s="28" t="n">
        <x:f>H1135*K1135/1000000</x:f>
        <x:v>0.1341</x:v>
      </x:c>
      <x:c r="O1135" s="28" t="n">
        <x:f>SUM(M1135:N1135)</x:f>
        <x:v>0.40175</x:v>
      </x:c>
    </x:row>
    <x:row r="1136" ht="23" customHeight="1">
      <x:c r="A1136" s="17" t="str">
        <x:v>U01130</x:v>
      </x:c>
      <x:c r="B1136" s="18" t="n">
        <x:v>46281</x:v>
      </x:c>
      <x:c r="C1136" s="17" t="str">
        <x:v>W0110</x:v>
      </x:c>
      <x:c r="D1136" s="17" t="str">
        <x:v>C002</x:v>
      </x:c>
      <x:c r="E1136" s="17" t="str">
        <x:v>CampaignChat</x:v>
      </x:c>
      <x:c r="F1136" s="17" t="str">
        <x:v>Lite</x:v>
      </x:c>
      <x:c r="G1136" s="17" t="n">
        <x:v>21007</x:v>
      </x:c>
      <x:c r="H1136" s="17" t="n">
        <x:v>7061</x:v>
      </x:c>
      <x:c r="I1136" s="17" t="str">
        <x:v>Followup</x:v>
      </x:c>
      <x:c r="J1136" s="27" t="n">
        <x:f>INDEX('Model Pricing'!$B$7:$B$8,MATCH(F1136,'Model Pricing'!$A$7:$A$8,0))</x:f>
        <x:v>10</x:v>
      </x:c>
      <x:c r="K1136" s="27" t="n">
        <x:f>INDEX('Model Pricing'!$C$7:$C$8,MATCH(F1136,'Model Pricing'!$A$7:$A$8,0))</x:f>
        <x:v>30</x:v>
      </x:c>
      <x:c r="L1136" s="17" t="n">
        <x:f>G1136+H1136</x:f>
        <x:v>28068</x:v>
      </x:c>
      <x:c r="M1136" s="28" t="n">
        <x:f>G1136*J1136/1000000</x:f>
        <x:v>0.21007</x:v>
      </x:c>
      <x:c r="N1136" s="28" t="n">
        <x:f>H1136*K1136/1000000</x:f>
        <x:v>0.21183</x:v>
      </x:c>
      <x:c r="O1136" s="28" t="n">
        <x:f>SUM(M1136:N1136)</x:f>
        <x:v>0.4219</x:v>
      </x:c>
    </x:row>
    <x:row r="1137" ht="23" customHeight="1">
      <x:c r="A1137" s="17" t="str">
        <x:v>U01131</x:v>
      </x:c>
      <x:c r="B1137" s="18" t="n">
        <x:v>46281</x:v>
      </x:c>
      <x:c r="C1137" s="17" t="str">
        <x:v>W0110</x:v>
      </x:c>
      <x:c r="D1137" s="17" t="str">
        <x:v>C002</x:v>
      </x:c>
      <x:c r="E1137" s="17" t="str">
        <x:v>CampaignChat</x:v>
      </x:c>
      <x:c r="F1137" s="17" t="str">
        <x:v>Lite</x:v>
      </x:c>
      <x:c r="G1137" s="17" t="n">
        <x:v>35656</x:v>
      </x:c>
      <x:c r="H1137" s="17" t="n">
        <x:v>9024</x:v>
      </x:c>
      <x:c r="I1137" s="17" t="str">
        <x:v>Followup</x:v>
      </x:c>
      <x:c r="J1137" s="27" t="n">
        <x:f>INDEX('Model Pricing'!$B$7:$B$8,MATCH(F1137,'Model Pricing'!$A$7:$A$8,0))</x:f>
        <x:v>10</x:v>
      </x:c>
      <x:c r="K1137" s="27" t="n">
        <x:f>INDEX('Model Pricing'!$C$7:$C$8,MATCH(F1137,'Model Pricing'!$A$7:$A$8,0))</x:f>
        <x:v>30</x:v>
      </x:c>
      <x:c r="L1137" s="17" t="n">
        <x:f>G1137+H1137</x:f>
        <x:v>44680</x:v>
      </x:c>
      <x:c r="M1137" s="28" t="n">
        <x:f>G1137*J1137/1000000</x:f>
        <x:v>0.35656</x:v>
      </x:c>
      <x:c r="N1137" s="28" t="n">
        <x:f>H1137*K1137/1000000</x:f>
        <x:v>0.27072</x:v>
      </x:c>
      <x:c r="O1137" s="28" t="n">
        <x:f>SUM(M1137:N1137)</x:f>
        <x:v>0.6272800000000001</x:v>
      </x:c>
    </x:row>
    <x:row r="1138" ht="23" customHeight="1">
      <x:c r="A1138" s="17" t="str">
        <x:v>U01132</x:v>
      </x:c>
      <x:c r="B1138" s="18" t="n">
        <x:v>46281</x:v>
      </x:c>
      <x:c r="C1138" s="17" t="str">
        <x:v>W0110</x:v>
      </x:c>
      <x:c r="D1138" s="17" t="str">
        <x:v>C002</x:v>
      </x:c>
      <x:c r="E1138" s="17" t="str">
        <x:v>CampaignChat</x:v>
      </x:c>
      <x:c r="F1138" s="17" t="str">
        <x:v>Lite</x:v>
      </x:c>
      <x:c r="G1138" s="17" t="n">
        <x:v>34707</x:v>
      </x:c>
      <x:c r="H1138" s="17" t="n">
        <x:v>5753</x:v>
      </x:c>
      <x:c r="I1138" s="17" t="str">
        <x:v>Correction</x:v>
      </x:c>
      <x:c r="J1138" s="27" t="n">
        <x:f>INDEX('Model Pricing'!$B$7:$B$8,MATCH(F1138,'Model Pricing'!$A$7:$A$8,0))</x:f>
        <x:v>10</x:v>
      </x:c>
      <x:c r="K1138" s="27" t="n">
        <x:f>INDEX('Model Pricing'!$C$7:$C$8,MATCH(F1138,'Model Pricing'!$A$7:$A$8,0))</x:f>
        <x:v>30</x:v>
      </x:c>
      <x:c r="L1138" s="17" t="n">
        <x:f>G1138+H1138</x:f>
        <x:v>40460</x:v>
      </x:c>
      <x:c r="M1138" s="28" t="n">
        <x:f>G1138*J1138/1000000</x:f>
        <x:v>0.34707</x:v>
      </x:c>
      <x:c r="N1138" s="28" t="n">
        <x:f>H1138*K1138/1000000</x:f>
        <x:v>0.17259</x:v>
      </x:c>
      <x:c r="O1138" s="28" t="n">
        <x:f>SUM(M1138:N1138)</x:f>
        <x:v>0.51966</x:v>
      </x:c>
    </x:row>
    <x:row r="1139" ht="23" customHeight="1">
      <x:c r="A1139" s="17" t="str">
        <x:v>U01133</x:v>
      </x:c>
      <x:c r="B1139" s="18" t="n">
        <x:v>46281</x:v>
      </x:c>
      <x:c r="C1139" s="17" t="str">
        <x:v>W0110</x:v>
      </x:c>
      <x:c r="D1139" s="17" t="str">
        <x:v>C002</x:v>
      </x:c>
      <x:c r="E1139" s="17" t="str">
        <x:v>CampaignChat</x:v>
      </x:c>
      <x:c r="F1139" s="17" t="str">
        <x:v>Lite</x:v>
      </x:c>
      <x:c r="G1139" s="17" t="n">
        <x:v>29016</x:v>
      </x:c>
      <x:c r="H1139" s="17" t="n">
        <x:v>9563</x:v>
      </x:c>
      <x:c r="I1139" s="17" t="str">
        <x:v>Correction</x:v>
      </x:c>
      <x:c r="J1139" s="27" t="n">
        <x:f>INDEX('Model Pricing'!$B$7:$B$8,MATCH(F1139,'Model Pricing'!$A$7:$A$8,0))</x:f>
        <x:v>10</x:v>
      </x:c>
      <x:c r="K1139" s="27" t="n">
        <x:f>INDEX('Model Pricing'!$C$7:$C$8,MATCH(F1139,'Model Pricing'!$A$7:$A$8,0))</x:f>
        <x:v>30</x:v>
      </x:c>
      <x:c r="L1139" s="17" t="n">
        <x:f>G1139+H1139</x:f>
        <x:v>38579</x:v>
      </x:c>
      <x:c r="M1139" s="28" t="n">
        <x:f>G1139*J1139/1000000</x:f>
        <x:v>0.29016</x:v>
      </x:c>
      <x:c r="N1139" s="28" t="n">
        <x:f>H1139*K1139/1000000</x:f>
        <x:v>0.28689</x:v>
      </x:c>
      <x:c r="O1139" s="28" t="n">
        <x:f>SUM(M1139:N1139)</x:f>
        <x:v>0.57705</x:v>
      </x:c>
    </x:row>
    <x:row r="1140" ht="23" customHeight="1">
      <x:c r="A1140" s="17" t="str">
        <x:v>U01134</x:v>
      </x:c>
      <x:c r="B1140" s="18" t="n">
        <x:v>46281</x:v>
      </x:c>
      <x:c r="C1140" s="17" t="str">
        <x:v>W0110</x:v>
      </x:c>
      <x:c r="D1140" s="17" t="str">
        <x:v>C002</x:v>
      </x:c>
      <x:c r="E1140" s="17" t="str">
        <x:v>CampaignChat</x:v>
      </x:c>
      <x:c r="F1140" s="17" t="str">
        <x:v>Lite</x:v>
      </x:c>
      <x:c r="G1140" s="17" t="n">
        <x:v>29845</x:v>
      </x:c>
      <x:c r="H1140" s="17" t="n">
        <x:v>7059</x:v>
      </x:c>
      <x:c r="I1140" s="17" t="str">
        <x:v>Correction</x:v>
      </x:c>
      <x:c r="J1140" s="27" t="n">
        <x:f>INDEX('Model Pricing'!$B$7:$B$8,MATCH(F1140,'Model Pricing'!$A$7:$A$8,0))</x:f>
        <x:v>10</x:v>
      </x:c>
      <x:c r="K1140" s="27" t="n">
        <x:f>INDEX('Model Pricing'!$C$7:$C$8,MATCH(F1140,'Model Pricing'!$A$7:$A$8,0))</x:f>
        <x:v>30</x:v>
      </x:c>
      <x:c r="L1140" s="17" t="n">
        <x:f>G1140+H1140</x:f>
        <x:v>36904</x:v>
      </x:c>
      <x:c r="M1140" s="28" t="n">
        <x:f>G1140*J1140/1000000</x:f>
        <x:v>0.29845</x:v>
      </x:c>
      <x:c r="N1140" s="28" t="n">
        <x:f>H1140*K1140/1000000</x:f>
        <x:v>0.21177</x:v>
      </x:c>
      <x:c r="O1140" s="28" t="n">
        <x:f>SUM(M1140:N1140)</x:f>
        <x:v>0.51022</x:v>
      </x:c>
    </x:row>
    <x:row r="1141" ht="23" customHeight="1">
      <x:c r="A1141" s="17" t="str">
        <x:v>U01135</x:v>
      </x:c>
      <x:c r="B1141" s="18" t="n">
        <x:v>46287</x:v>
      </x:c>
      <x:c r="C1141" s="17" t="str">
        <x:v>W0111</x:v>
      </x:c>
      <x:c r="D1141" s="17" t="str">
        <x:v>C002</x:v>
      </x:c>
      <x:c r="E1141" s="17" t="str">
        <x:v>CampaignChat</x:v>
      </x:c>
      <x:c r="F1141" s="17" t="str">
        <x:v>Lite</x:v>
      </x:c>
      <x:c r="G1141" s="17" t="n">
        <x:v>31404</x:v>
      </x:c>
      <x:c r="H1141" s="17" t="n">
        <x:v>5158</x:v>
      </x:c>
      <x:c r="I1141" s="17" t="str">
        <x:v>First attempt</x:v>
      </x:c>
      <x:c r="J1141" s="27" t="n">
        <x:f>INDEX('Model Pricing'!$B$7:$B$8,MATCH(F1141,'Model Pricing'!$A$7:$A$8,0))</x:f>
        <x:v>10</x:v>
      </x:c>
      <x:c r="K1141" s="27" t="n">
        <x:f>INDEX('Model Pricing'!$C$7:$C$8,MATCH(F1141,'Model Pricing'!$A$7:$A$8,0))</x:f>
        <x:v>30</x:v>
      </x:c>
      <x:c r="L1141" s="17" t="n">
        <x:f>G1141+H1141</x:f>
        <x:v>36562</x:v>
      </x:c>
      <x:c r="M1141" s="28" t="n">
        <x:f>G1141*J1141/1000000</x:f>
        <x:v>0.31404</x:v>
      </x:c>
      <x:c r="N1141" s="28" t="n">
        <x:f>H1141*K1141/1000000</x:f>
        <x:v>0.15474</x:v>
      </x:c>
      <x:c r="O1141" s="28" t="n">
        <x:f>SUM(M1141:N1141)</x:f>
        <x:v>0.46878</x:v>
      </x:c>
    </x:row>
    <x:row r="1142" ht="23" customHeight="1">
      <x:c r="A1142" s="17" t="str">
        <x:v>U01136</x:v>
      </x:c>
      <x:c r="B1142" s="18" t="n">
        <x:v>46287</x:v>
      </x:c>
      <x:c r="C1142" s="17" t="str">
        <x:v>W0111</x:v>
      </x:c>
      <x:c r="D1142" s="17" t="str">
        <x:v>C002</x:v>
      </x:c>
      <x:c r="E1142" s="17" t="str">
        <x:v>CampaignChat</x:v>
      </x:c>
      <x:c r="F1142" s="17" t="str">
        <x:v>Lite</x:v>
      </x:c>
      <x:c r="G1142" s="17" t="n">
        <x:v>27819</x:v>
      </x:c>
      <x:c r="H1142" s="17" t="n">
        <x:v>3378</x:v>
      </x:c>
      <x:c r="I1142" s="17" t="str">
        <x:v>Correction</x:v>
      </x:c>
      <x:c r="J1142" s="27" t="n">
        <x:f>INDEX('Model Pricing'!$B$7:$B$8,MATCH(F1142,'Model Pricing'!$A$7:$A$8,0))</x:f>
        <x:v>10</x:v>
      </x:c>
      <x:c r="K1142" s="27" t="n">
        <x:f>INDEX('Model Pricing'!$C$7:$C$8,MATCH(F1142,'Model Pricing'!$A$7:$A$8,0))</x:f>
        <x:v>30</x:v>
      </x:c>
      <x:c r="L1142" s="17" t="n">
        <x:f>G1142+H1142</x:f>
        <x:v>31197</x:v>
      </x:c>
      <x:c r="M1142" s="28" t="n">
        <x:f>G1142*J1142/1000000</x:f>
        <x:v>0.27819</x:v>
      </x:c>
      <x:c r="N1142" s="28" t="n">
        <x:f>H1142*K1142/1000000</x:f>
        <x:v>0.10134</x:v>
      </x:c>
      <x:c r="O1142" s="28" t="n">
        <x:f>SUM(M1142:N1142)</x:f>
        <x:v>0.37953</x:v>
      </x:c>
    </x:row>
    <x:row r="1143" ht="23" customHeight="1">
      <x:c r="A1143" s="17" t="str">
        <x:v>U01137</x:v>
      </x:c>
      <x:c r="B1143" s="18" t="n">
        <x:v>46287</x:v>
      </x:c>
      <x:c r="C1143" s="17" t="str">
        <x:v>W0111</x:v>
      </x:c>
      <x:c r="D1143" s="17" t="str">
        <x:v>C002</x:v>
      </x:c>
      <x:c r="E1143" s="17" t="str">
        <x:v>CampaignChat</x:v>
      </x:c>
      <x:c r="F1143" s="17" t="str">
        <x:v>Lite</x:v>
      </x:c>
      <x:c r="G1143" s="17" t="n">
        <x:v>26728</x:v>
      </x:c>
      <x:c r="H1143" s="17" t="n">
        <x:v>4998</x:v>
      </x:c>
      <x:c r="I1143" s="17" t="str">
        <x:v>Followup</x:v>
      </x:c>
      <x:c r="J1143" s="27" t="n">
        <x:f>INDEX('Model Pricing'!$B$7:$B$8,MATCH(F1143,'Model Pricing'!$A$7:$A$8,0))</x:f>
        <x:v>10</x:v>
      </x:c>
      <x:c r="K1143" s="27" t="n">
        <x:f>INDEX('Model Pricing'!$C$7:$C$8,MATCH(F1143,'Model Pricing'!$A$7:$A$8,0))</x:f>
        <x:v>30</x:v>
      </x:c>
      <x:c r="L1143" s="17" t="n">
        <x:f>G1143+H1143</x:f>
        <x:v>31726</x:v>
      </x:c>
      <x:c r="M1143" s="28" t="n">
        <x:f>G1143*J1143/1000000</x:f>
        <x:v>0.26728</x:v>
      </x:c>
      <x:c r="N1143" s="28" t="n">
        <x:f>H1143*K1143/1000000</x:f>
        <x:v>0.14994</x:v>
      </x:c>
      <x:c r="O1143" s="28" t="n">
        <x:f>SUM(M1143:N1143)</x:f>
        <x:v>0.41722000000000004</x:v>
      </x:c>
    </x:row>
    <x:row r="1144" ht="23" customHeight="1">
      <x:c r="A1144" s="17" t="str">
        <x:v>U01138</x:v>
      </x:c>
      <x:c r="B1144" s="18" t="n">
        <x:v>46287</x:v>
      </x:c>
      <x:c r="C1144" s="17" t="str">
        <x:v>W0111</x:v>
      </x:c>
      <x:c r="D1144" s="17" t="str">
        <x:v>C002</x:v>
      </x:c>
      <x:c r="E1144" s="17" t="str">
        <x:v>CampaignChat</x:v>
      </x:c>
      <x:c r="F1144" s="17" t="str">
        <x:v>Lite</x:v>
      </x:c>
      <x:c r="G1144" s="17" t="n">
        <x:v>24508</x:v>
      </x:c>
      <x:c r="H1144" s="17" t="n">
        <x:v>7527</x:v>
      </x:c>
      <x:c r="I1144" s="17" t="str">
        <x:v>Followup</x:v>
      </x:c>
      <x:c r="J1144" s="27" t="n">
        <x:f>INDEX('Model Pricing'!$B$7:$B$8,MATCH(F1144,'Model Pricing'!$A$7:$A$8,0))</x:f>
        <x:v>10</x:v>
      </x:c>
      <x:c r="K1144" s="27" t="n">
        <x:f>INDEX('Model Pricing'!$C$7:$C$8,MATCH(F1144,'Model Pricing'!$A$7:$A$8,0))</x:f>
        <x:v>30</x:v>
      </x:c>
      <x:c r="L1144" s="17" t="n">
        <x:f>G1144+H1144</x:f>
        <x:v>32035</x:v>
      </x:c>
      <x:c r="M1144" s="28" t="n">
        <x:f>G1144*J1144/1000000</x:f>
        <x:v>0.24508</x:v>
      </x:c>
      <x:c r="N1144" s="28" t="n">
        <x:f>H1144*K1144/1000000</x:f>
        <x:v>0.22581</x:v>
      </x:c>
      <x:c r="O1144" s="28" t="n">
        <x:f>SUM(M1144:N1144)</x:f>
        <x:v>0.47089000000000003</x:v>
      </x:c>
    </x:row>
    <x:row r="1145" ht="23" customHeight="1">
      <x:c r="A1145" s="17" t="str">
        <x:v>U01139</x:v>
      </x:c>
      <x:c r="B1145" s="18" t="n">
        <x:v>46287</x:v>
      </x:c>
      <x:c r="C1145" s="17" t="str">
        <x:v>W0111</x:v>
      </x:c>
      <x:c r="D1145" s="17" t="str">
        <x:v>C002</x:v>
      </x:c>
      <x:c r="E1145" s="17" t="str">
        <x:v>CampaignChat</x:v>
      </x:c>
      <x:c r="F1145" s="17" t="str">
        <x:v>Lite</x:v>
      </x:c>
      <x:c r="G1145" s="17" t="n">
        <x:v>54864</x:v>
      </x:c>
      <x:c r="H1145" s="17" t="n">
        <x:v>9807</x:v>
      </x:c>
      <x:c r="I1145" s="17" t="str">
        <x:v>Correction</x:v>
      </x:c>
      <x:c r="J1145" s="27" t="n">
        <x:f>INDEX('Model Pricing'!$B$7:$B$8,MATCH(F1145,'Model Pricing'!$A$7:$A$8,0))</x:f>
        <x:v>10</x:v>
      </x:c>
      <x:c r="K1145" s="27" t="n">
        <x:f>INDEX('Model Pricing'!$C$7:$C$8,MATCH(F1145,'Model Pricing'!$A$7:$A$8,0))</x:f>
        <x:v>30</x:v>
      </x:c>
      <x:c r="L1145" s="17" t="n">
        <x:f>G1145+H1145</x:f>
        <x:v>64671</x:v>
      </x:c>
      <x:c r="M1145" s="28" t="n">
        <x:f>G1145*J1145/1000000</x:f>
        <x:v>0.54864</x:v>
      </x:c>
      <x:c r="N1145" s="28" t="n">
        <x:f>H1145*K1145/1000000</x:f>
        <x:v>0.29421</x:v>
      </x:c>
      <x:c r="O1145" s="28" t="n">
        <x:f>SUM(M1145:N1145)</x:f>
        <x:v>0.8428500000000001</x:v>
      </x:c>
    </x:row>
    <x:row r="1146" ht="23" customHeight="1">
      <x:c r="A1146" s="17" t="str">
        <x:v>U01140</x:v>
      </x:c>
      <x:c r="B1146" s="18" t="n">
        <x:v>46287</x:v>
      </x:c>
      <x:c r="C1146" s="17" t="str">
        <x:v>W0111</x:v>
      </x:c>
      <x:c r="D1146" s="17" t="str">
        <x:v>C002</x:v>
      </x:c>
      <x:c r="E1146" s="17" t="str">
        <x:v>CampaignChat</x:v>
      </x:c>
      <x:c r="F1146" s="17" t="str">
        <x:v>Lite</x:v>
      </x:c>
      <x:c r="G1146" s="17" t="n">
        <x:v>56360</x:v>
      </x:c>
      <x:c r="H1146" s="17" t="n">
        <x:v>5108</x:v>
      </x:c>
      <x:c r="I1146" s="17" t="str">
        <x:v>Correction</x:v>
      </x:c>
      <x:c r="J1146" s="27" t="n">
        <x:f>INDEX('Model Pricing'!$B$7:$B$8,MATCH(F1146,'Model Pricing'!$A$7:$A$8,0))</x:f>
        <x:v>10</x:v>
      </x:c>
      <x:c r="K1146" s="27" t="n">
        <x:f>INDEX('Model Pricing'!$C$7:$C$8,MATCH(F1146,'Model Pricing'!$A$7:$A$8,0))</x:f>
        <x:v>30</x:v>
      </x:c>
      <x:c r="L1146" s="17" t="n">
        <x:f>G1146+H1146</x:f>
        <x:v>61468</x:v>
      </x:c>
      <x:c r="M1146" s="28" t="n">
        <x:f>G1146*J1146/1000000</x:f>
        <x:v>0.5636</x:v>
      </x:c>
      <x:c r="N1146" s="28" t="n">
        <x:f>H1146*K1146/1000000</x:f>
        <x:v>0.15324</x:v>
      </x:c>
      <x:c r="O1146" s="28" t="n">
        <x:f>SUM(M1146:N1146)</x:f>
        <x:v>0.7168399999999999</x:v>
      </x:c>
    </x:row>
    <x:row r="1147" ht="23" customHeight="1">
      <x:c r="A1147" s="17" t="str">
        <x:v>U01141</x:v>
      </x:c>
      <x:c r="B1147" s="18" t="n">
        <x:v>46287</x:v>
      </x:c>
      <x:c r="C1147" s="17" t="str">
        <x:v>W0111</x:v>
      </x:c>
      <x:c r="D1147" s="17" t="str">
        <x:v>C002</x:v>
      </x:c>
      <x:c r="E1147" s="17" t="str">
        <x:v>CampaignChat</x:v>
      </x:c>
      <x:c r="F1147" s="17" t="str">
        <x:v>Lite</x:v>
      </x:c>
      <x:c r="G1147" s="17" t="n">
        <x:v>43324</x:v>
      </x:c>
      <x:c r="H1147" s="17" t="n">
        <x:v>8321</x:v>
      </x:c>
      <x:c r="I1147" s="17" t="str">
        <x:v>Followup</x:v>
      </x:c>
      <x:c r="J1147" s="27" t="n">
        <x:f>INDEX('Model Pricing'!$B$7:$B$8,MATCH(F1147,'Model Pricing'!$A$7:$A$8,0))</x:f>
        <x:v>10</x:v>
      </x:c>
      <x:c r="K1147" s="27" t="n">
        <x:f>INDEX('Model Pricing'!$C$7:$C$8,MATCH(F1147,'Model Pricing'!$A$7:$A$8,0))</x:f>
        <x:v>30</x:v>
      </x:c>
      <x:c r="L1147" s="17" t="n">
        <x:f>G1147+H1147</x:f>
        <x:v>51645</x:v>
      </x:c>
      <x:c r="M1147" s="28" t="n">
        <x:f>G1147*J1147/1000000</x:f>
        <x:v>0.43324</x:v>
      </x:c>
      <x:c r="N1147" s="28" t="n">
        <x:f>H1147*K1147/1000000</x:f>
        <x:v>0.24963</x:v>
      </x:c>
      <x:c r="O1147" s="28" t="n">
        <x:f>SUM(M1147:N1147)</x:f>
        <x:v>0.68287</x:v>
      </x:c>
    </x:row>
    <x:row r="1148" ht="23" customHeight="1">
      <x:c r="A1148" s="17" t="str">
        <x:v>U01142</x:v>
      </x:c>
      <x:c r="B1148" s="18" t="n">
        <x:v>46288</x:v>
      </x:c>
      <x:c r="C1148" s="17" t="str">
        <x:v>W0111</x:v>
      </x:c>
      <x:c r="D1148" s="17" t="str">
        <x:v>C002</x:v>
      </x:c>
      <x:c r="E1148" s="17" t="str">
        <x:v>CampaignChat</x:v>
      </x:c>
      <x:c r="F1148" s="17" t="str">
        <x:v>Lite</x:v>
      </x:c>
      <x:c r="G1148" s="17" t="n">
        <x:v>52459</x:v>
      </x:c>
      <x:c r="H1148" s="17" t="n">
        <x:v>4748</x:v>
      </x:c>
      <x:c r="I1148" s="17" t="str">
        <x:v>Correction</x:v>
      </x:c>
      <x:c r="J1148" s="27" t="n">
        <x:f>INDEX('Model Pricing'!$B$7:$B$8,MATCH(F1148,'Model Pricing'!$A$7:$A$8,0))</x:f>
        <x:v>10</x:v>
      </x:c>
      <x:c r="K1148" s="27" t="n">
        <x:f>INDEX('Model Pricing'!$C$7:$C$8,MATCH(F1148,'Model Pricing'!$A$7:$A$8,0))</x:f>
        <x:v>30</x:v>
      </x:c>
      <x:c r="L1148" s="17" t="n">
        <x:f>G1148+H1148</x:f>
        <x:v>57207</x:v>
      </x:c>
      <x:c r="M1148" s="28" t="n">
        <x:f>G1148*J1148/1000000</x:f>
        <x:v>0.52459</x:v>
      </x:c>
      <x:c r="N1148" s="28" t="n">
        <x:f>H1148*K1148/1000000</x:f>
        <x:v>0.14244</x:v>
      </x:c>
      <x:c r="O1148" s="28" t="n">
        <x:f>SUM(M1148:N1148)</x:f>
        <x:v>0.66703</x:v>
      </x:c>
    </x:row>
    <x:row r="1149" ht="23" customHeight="1">
      <x:c r="A1149" s="17" t="str">
        <x:v>U01143</x:v>
      </x:c>
      <x:c r="B1149" s="18" t="n">
        <x:v>46288</x:v>
      </x:c>
      <x:c r="C1149" s="17" t="str">
        <x:v>W0111</x:v>
      </x:c>
      <x:c r="D1149" s="17" t="str">
        <x:v>C002</x:v>
      </x:c>
      <x:c r="E1149" s="17" t="str">
        <x:v>CampaignChat</x:v>
      </x:c>
      <x:c r="F1149" s="17" t="str">
        <x:v>Lite</x:v>
      </x:c>
      <x:c r="G1149" s="17" t="n">
        <x:v>44832</x:v>
      </x:c>
      <x:c r="H1149" s="17" t="n">
        <x:v>4782</x:v>
      </x:c>
      <x:c r="I1149" s="17" t="str">
        <x:v>Followup</x:v>
      </x:c>
      <x:c r="J1149" s="27" t="n">
        <x:f>INDEX('Model Pricing'!$B$7:$B$8,MATCH(F1149,'Model Pricing'!$A$7:$A$8,0))</x:f>
        <x:v>10</x:v>
      </x:c>
      <x:c r="K1149" s="27" t="n">
        <x:f>INDEX('Model Pricing'!$C$7:$C$8,MATCH(F1149,'Model Pricing'!$A$7:$A$8,0))</x:f>
        <x:v>30</x:v>
      </x:c>
      <x:c r="L1149" s="17" t="n">
        <x:f>G1149+H1149</x:f>
        <x:v>49614</x:v>
      </x:c>
      <x:c r="M1149" s="28" t="n">
        <x:f>G1149*J1149/1000000</x:f>
        <x:v>0.44832</x:v>
      </x:c>
      <x:c r="N1149" s="28" t="n">
        <x:f>H1149*K1149/1000000</x:f>
        <x:v>0.14346</x:v>
      </x:c>
      <x:c r="O1149" s="28" t="n">
        <x:f>SUM(M1149:N1149)</x:f>
        <x:v>0.59178</x:v>
      </x:c>
    </x:row>
    <x:row r="1150" ht="23" customHeight="1">
      <x:c r="A1150" s="17" t="str">
        <x:v>U01144</x:v>
      </x:c>
      <x:c r="B1150" s="18" t="n">
        <x:v>46288</x:v>
      </x:c>
      <x:c r="C1150" s="17" t="str">
        <x:v>W0111</x:v>
      </x:c>
      <x:c r="D1150" s="17" t="str">
        <x:v>C002</x:v>
      </x:c>
      <x:c r="E1150" s="17" t="str">
        <x:v>CampaignChat</x:v>
      </x:c>
      <x:c r="F1150" s="17" t="str">
        <x:v>Lite</x:v>
      </x:c>
      <x:c r="G1150" s="17" t="n">
        <x:v>43443</x:v>
      </x:c>
      <x:c r="H1150" s="17" t="n">
        <x:v>3710</x:v>
      </x:c>
      <x:c r="I1150" s="17" t="str">
        <x:v>Followup</x:v>
      </x:c>
      <x:c r="J1150" s="27" t="n">
        <x:f>INDEX('Model Pricing'!$B$7:$B$8,MATCH(F1150,'Model Pricing'!$A$7:$A$8,0))</x:f>
        <x:v>10</x:v>
      </x:c>
      <x:c r="K1150" s="27" t="n">
        <x:f>INDEX('Model Pricing'!$C$7:$C$8,MATCH(F1150,'Model Pricing'!$A$7:$A$8,0))</x:f>
        <x:v>30</x:v>
      </x:c>
      <x:c r="L1150" s="17" t="n">
        <x:f>G1150+H1150</x:f>
        <x:v>47153</x:v>
      </x:c>
      <x:c r="M1150" s="28" t="n">
        <x:f>G1150*J1150/1000000</x:f>
        <x:v>0.43443</x:v>
      </x:c>
      <x:c r="N1150" s="28" t="n">
        <x:f>H1150*K1150/1000000</x:f>
        <x:v>0.1113</x:v>
      </x:c>
      <x:c r="O1150" s="28" t="n">
        <x:f>SUM(M1150:N1150)</x:f>
        <x:v>0.5457299999999999</x:v>
      </x:c>
    </x:row>
    <x:row r="1151" ht="23" customHeight="1">
      <x:c r="A1151" s="17" t="str">
        <x:v>U01145</x:v>
      </x:c>
      <x:c r="B1151" s="18" t="n">
        <x:v>46288</x:v>
      </x:c>
      <x:c r="C1151" s="17" t="str">
        <x:v>W0111</x:v>
      </x:c>
      <x:c r="D1151" s="17" t="str">
        <x:v>C002</x:v>
      </x:c>
      <x:c r="E1151" s="17" t="str">
        <x:v>CampaignChat</x:v>
      </x:c>
      <x:c r="F1151" s="17" t="str">
        <x:v>Lite</x:v>
      </x:c>
      <x:c r="G1151" s="17" t="n">
        <x:v>28911</x:v>
      </x:c>
      <x:c r="H1151" s="17" t="n">
        <x:v>4428</x:v>
      </x:c>
      <x:c r="I1151" s="17" t="str">
        <x:v>Followup</x:v>
      </x:c>
      <x:c r="J1151" s="27" t="n">
        <x:f>INDEX('Model Pricing'!$B$7:$B$8,MATCH(F1151,'Model Pricing'!$A$7:$A$8,0))</x:f>
        <x:v>10</x:v>
      </x:c>
      <x:c r="K1151" s="27" t="n">
        <x:f>INDEX('Model Pricing'!$C$7:$C$8,MATCH(F1151,'Model Pricing'!$A$7:$A$8,0))</x:f>
        <x:v>30</x:v>
      </x:c>
      <x:c r="L1151" s="17" t="n">
        <x:f>G1151+H1151</x:f>
        <x:v>33339</x:v>
      </x:c>
      <x:c r="M1151" s="28" t="n">
        <x:f>G1151*J1151/1000000</x:f>
        <x:v>0.28911</x:v>
      </x:c>
      <x:c r="N1151" s="28" t="n">
        <x:f>H1151*K1151/1000000</x:f>
        <x:v>0.13284</x:v>
      </x:c>
      <x:c r="O1151" s="28" t="n">
        <x:f>SUM(M1151:N1151)</x:f>
        <x:v>0.42195</x:v>
      </x:c>
    </x:row>
    <x:row r="1152" ht="23" customHeight="1">
      <x:c r="A1152" s="17" t="str">
        <x:v>U01146</x:v>
      </x:c>
      <x:c r="B1152" s="18" t="n">
        <x:v>46288</x:v>
      </x:c>
      <x:c r="C1152" s="17" t="str">
        <x:v>W0111</x:v>
      </x:c>
      <x:c r="D1152" s="17" t="str">
        <x:v>C002</x:v>
      </x:c>
      <x:c r="E1152" s="17" t="str">
        <x:v>CampaignChat</x:v>
      </x:c>
      <x:c r="F1152" s="17" t="str">
        <x:v>Lite</x:v>
      </x:c>
      <x:c r="G1152" s="17" t="n">
        <x:v>45568</x:v>
      </x:c>
      <x:c r="H1152" s="17" t="n">
        <x:v>3849</x:v>
      </x:c>
      <x:c r="I1152" s="17" t="str">
        <x:v>Correction</x:v>
      </x:c>
      <x:c r="J1152" s="27" t="n">
        <x:f>INDEX('Model Pricing'!$B$7:$B$8,MATCH(F1152,'Model Pricing'!$A$7:$A$8,0))</x:f>
        <x:v>10</x:v>
      </x:c>
      <x:c r="K1152" s="27" t="n">
        <x:f>INDEX('Model Pricing'!$C$7:$C$8,MATCH(F1152,'Model Pricing'!$A$7:$A$8,0))</x:f>
        <x:v>30</x:v>
      </x:c>
      <x:c r="L1152" s="17" t="n">
        <x:f>G1152+H1152</x:f>
        <x:v>49417</x:v>
      </x:c>
      <x:c r="M1152" s="28" t="n">
        <x:f>G1152*J1152/1000000</x:f>
        <x:v>0.45568</x:v>
      </x:c>
      <x:c r="N1152" s="28" t="n">
        <x:f>H1152*K1152/1000000</x:f>
        <x:v>0.11547</x:v>
      </x:c>
      <x:c r="O1152" s="28" t="n">
        <x:f>SUM(M1152:N1152)</x:f>
        <x:v>0.5711499999999999</x:v>
      </x:c>
    </x:row>
    <x:row r="1153" ht="23" customHeight="1">
      <x:c r="A1153" s="17" t="str">
        <x:v>U01147</x:v>
      </x:c>
      <x:c r="B1153" s="18" t="n">
        <x:v>46288</x:v>
      </x:c>
      <x:c r="C1153" s="17" t="str">
        <x:v>W0111</x:v>
      </x:c>
      <x:c r="D1153" s="17" t="str">
        <x:v>C002</x:v>
      </x:c>
      <x:c r="E1153" s="17" t="str">
        <x:v>CampaignChat</x:v>
      </x:c>
      <x:c r="F1153" s="17" t="str">
        <x:v>Lite</x:v>
      </x:c>
      <x:c r="G1153" s="17" t="n">
        <x:v>38873</x:v>
      </x:c>
      <x:c r="H1153" s="17" t="n">
        <x:v>3852</x:v>
      </x:c>
      <x:c r="I1153" s="17" t="str">
        <x:v>Followup</x:v>
      </x:c>
      <x:c r="J1153" s="27" t="n">
        <x:f>INDEX('Model Pricing'!$B$7:$B$8,MATCH(F1153,'Model Pricing'!$A$7:$A$8,0))</x:f>
        <x:v>10</x:v>
      </x:c>
      <x:c r="K1153" s="27" t="n">
        <x:f>INDEX('Model Pricing'!$C$7:$C$8,MATCH(F1153,'Model Pricing'!$A$7:$A$8,0))</x:f>
        <x:v>30</x:v>
      </x:c>
      <x:c r="L1153" s="17" t="n">
        <x:f>G1153+H1153</x:f>
        <x:v>42725</x:v>
      </x:c>
      <x:c r="M1153" s="28" t="n">
        <x:f>G1153*J1153/1000000</x:f>
        <x:v>0.38873</x:v>
      </x:c>
      <x:c r="N1153" s="28" t="n">
        <x:f>H1153*K1153/1000000</x:f>
        <x:v>0.11556</x:v>
      </x:c>
      <x:c r="O1153" s="28" t="n">
        <x:f>SUM(M1153:N1153)</x:f>
        <x:v>0.50429</x:v>
      </x:c>
    </x:row>
    <x:row r="1154" ht="23" customHeight="1">
      <x:c r="A1154" s="17" t="str">
        <x:v>U01148</x:v>
      </x:c>
      <x:c r="B1154" s="18" t="n">
        <x:v>46289</x:v>
      </x:c>
      <x:c r="C1154" s="17" t="str">
        <x:v>W0111</x:v>
      </x:c>
      <x:c r="D1154" s="17" t="str">
        <x:v>C002</x:v>
      </x:c>
      <x:c r="E1154" s="17" t="str">
        <x:v>CampaignChat</x:v>
      </x:c>
      <x:c r="F1154" s="17" t="str">
        <x:v>Lite</x:v>
      </x:c>
      <x:c r="G1154" s="17" t="n">
        <x:v>24143</x:v>
      </x:c>
      <x:c r="H1154" s="17" t="n">
        <x:v>6660</x:v>
      </x:c>
      <x:c r="I1154" s="17" t="str">
        <x:v>Correction</x:v>
      </x:c>
      <x:c r="J1154" s="27" t="n">
        <x:f>INDEX('Model Pricing'!$B$7:$B$8,MATCH(F1154,'Model Pricing'!$A$7:$A$8,0))</x:f>
        <x:v>10</x:v>
      </x:c>
      <x:c r="K1154" s="27" t="n">
        <x:f>INDEX('Model Pricing'!$C$7:$C$8,MATCH(F1154,'Model Pricing'!$A$7:$A$8,0))</x:f>
        <x:v>30</x:v>
      </x:c>
      <x:c r="L1154" s="17" t="n">
        <x:f>G1154+H1154</x:f>
        <x:v>30803</x:v>
      </x:c>
      <x:c r="M1154" s="28" t="n">
        <x:f>G1154*J1154/1000000</x:f>
        <x:v>0.24143</x:v>
      </x:c>
      <x:c r="N1154" s="28" t="n">
        <x:f>H1154*K1154/1000000</x:f>
        <x:v>0.1998</x:v>
      </x:c>
      <x:c r="O1154" s="28" t="n">
        <x:f>SUM(M1154:N1154)</x:f>
        <x:v>0.44123</x:v>
      </x:c>
    </x:row>
    <x:row r="1155" ht="23" customHeight="1">
      <x:c r="A1155" s="17" t="str">
        <x:v>U01149</x:v>
      </x:c>
      <x:c r="B1155" s="18" t="n">
        <x:v>46289</x:v>
      </x:c>
      <x:c r="C1155" s="17" t="str">
        <x:v>W0111</x:v>
      </x:c>
      <x:c r="D1155" s="17" t="str">
        <x:v>C002</x:v>
      </x:c>
      <x:c r="E1155" s="17" t="str">
        <x:v>CampaignChat</x:v>
      </x:c>
      <x:c r="F1155" s="17" t="str">
        <x:v>Lite</x:v>
      </x:c>
      <x:c r="G1155" s="17" t="n">
        <x:v>25224</x:v>
      </x:c>
      <x:c r="H1155" s="17" t="n">
        <x:v>3337</x:v>
      </x:c>
      <x:c r="I1155" s="17" t="str">
        <x:v>Correction</x:v>
      </x:c>
      <x:c r="J1155" s="27" t="n">
        <x:f>INDEX('Model Pricing'!$B$7:$B$8,MATCH(F1155,'Model Pricing'!$A$7:$A$8,0))</x:f>
        <x:v>10</x:v>
      </x:c>
      <x:c r="K1155" s="27" t="n">
        <x:f>INDEX('Model Pricing'!$C$7:$C$8,MATCH(F1155,'Model Pricing'!$A$7:$A$8,0))</x:f>
        <x:v>30</x:v>
      </x:c>
      <x:c r="L1155" s="17" t="n">
        <x:f>G1155+H1155</x:f>
        <x:v>28561</x:v>
      </x:c>
      <x:c r="M1155" s="28" t="n">
        <x:f>G1155*J1155/1000000</x:f>
        <x:v>0.25224</x:v>
      </x:c>
      <x:c r="N1155" s="28" t="n">
        <x:f>H1155*K1155/1000000</x:f>
        <x:v>0.10011</x:v>
      </x:c>
      <x:c r="O1155" s="28" t="n">
        <x:f>SUM(M1155:N1155)</x:f>
        <x:v>0.35235000000000005</x:v>
      </x:c>
    </x:row>
    <x:row r="1156" ht="23" customHeight="1">
      <x:c r="A1156" s="17" t="str">
        <x:v>U01150</x:v>
      </x:c>
      <x:c r="B1156" s="18" t="n">
        <x:v>46289</x:v>
      </x:c>
      <x:c r="C1156" s="17" t="str">
        <x:v>W0111</x:v>
      </x:c>
      <x:c r="D1156" s="17" t="str">
        <x:v>C002</x:v>
      </x:c>
      <x:c r="E1156" s="17" t="str">
        <x:v>CampaignChat</x:v>
      </x:c>
      <x:c r="F1156" s="17" t="str">
        <x:v>Lite</x:v>
      </x:c>
      <x:c r="G1156" s="17" t="n">
        <x:v>42534</x:v>
      </x:c>
      <x:c r="H1156" s="17" t="n">
        <x:v>5716</x:v>
      </x:c>
      <x:c r="I1156" s="17" t="str">
        <x:v>Followup</x:v>
      </x:c>
      <x:c r="J1156" s="27" t="n">
        <x:f>INDEX('Model Pricing'!$B$7:$B$8,MATCH(F1156,'Model Pricing'!$A$7:$A$8,0))</x:f>
        <x:v>10</x:v>
      </x:c>
      <x:c r="K1156" s="27" t="n">
        <x:f>INDEX('Model Pricing'!$C$7:$C$8,MATCH(F1156,'Model Pricing'!$A$7:$A$8,0))</x:f>
        <x:v>30</x:v>
      </x:c>
      <x:c r="L1156" s="17" t="n">
        <x:f>G1156+H1156</x:f>
        <x:v>48250</x:v>
      </x:c>
      <x:c r="M1156" s="28" t="n">
        <x:f>G1156*J1156/1000000</x:f>
        <x:v>0.42534</x:v>
      </x:c>
      <x:c r="N1156" s="28" t="n">
        <x:f>H1156*K1156/1000000</x:f>
        <x:v>0.17148</x:v>
      </x:c>
      <x:c r="O1156" s="28" t="n">
        <x:f>SUM(M1156:N1156)</x:f>
        <x:v>0.59682</x:v>
      </x:c>
    </x:row>
    <x:row r="1157" ht="23" customHeight="1">
      <x:c r="A1157" s="17" t="str">
        <x:v>U01151</x:v>
      </x:c>
      <x:c r="B1157" s="18" t="n">
        <x:v>46289</x:v>
      </x:c>
      <x:c r="C1157" s="17" t="str">
        <x:v>W0111</x:v>
      </x:c>
      <x:c r="D1157" s="17" t="str">
        <x:v>C002</x:v>
      </x:c>
      <x:c r="E1157" s="17" t="str">
        <x:v>CampaignChat</x:v>
      </x:c>
      <x:c r="F1157" s="17" t="str">
        <x:v>Lite</x:v>
      </x:c>
      <x:c r="G1157" s="17" t="n">
        <x:v>26547</x:v>
      </x:c>
      <x:c r="H1157" s="17" t="n">
        <x:v>6750</x:v>
      </x:c>
      <x:c r="I1157" s="17" t="str">
        <x:v>Correction</x:v>
      </x:c>
      <x:c r="J1157" s="27" t="n">
        <x:f>INDEX('Model Pricing'!$B$7:$B$8,MATCH(F1157,'Model Pricing'!$A$7:$A$8,0))</x:f>
        <x:v>10</x:v>
      </x:c>
      <x:c r="K1157" s="27" t="n">
        <x:f>INDEX('Model Pricing'!$C$7:$C$8,MATCH(F1157,'Model Pricing'!$A$7:$A$8,0))</x:f>
        <x:v>30</x:v>
      </x:c>
      <x:c r="L1157" s="17" t="n">
        <x:f>G1157+H1157</x:f>
        <x:v>33297</x:v>
      </x:c>
      <x:c r="M1157" s="28" t="n">
        <x:f>G1157*J1157/1000000</x:f>
        <x:v>0.26547</x:v>
      </x:c>
      <x:c r="N1157" s="28" t="n">
        <x:f>H1157*K1157/1000000</x:f>
        <x:v>0.2025</x:v>
      </x:c>
      <x:c r="O1157" s="28" t="n">
        <x:f>SUM(M1157:N1157)</x:f>
        <x:v>0.46797</x:v>
      </x:c>
    </x:row>
    <x:row r="1158" ht="23" customHeight="1">
      <x:c r="A1158" s="17" t="str">
        <x:v>U01152</x:v>
      </x:c>
      <x:c r="B1158" s="18" t="n">
        <x:v>46289</x:v>
      </x:c>
      <x:c r="C1158" s="17" t="str">
        <x:v>W0111</x:v>
      </x:c>
      <x:c r="D1158" s="17" t="str">
        <x:v>C002</x:v>
      </x:c>
      <x:c r="E1158" s="17" t="str">
        <x:v>CampaignChat</x:v>
      </x:c>
      <x:c r="F1158" s="17" t="str">
        <x:v>Lite</x:v>
      </x:c>
      <x:c r="G1158" s="17" t="n">
        <x:v>27925</x:v>
      </x:c>
      <x:c r="H1158" s="17" t="n">
        <x:v>4943</x:v>
      </x:c>
      <x:c r="I1158" s="17" t="str">
        <x:v>Followup</x:v>
      </x:c>
      <x:c r="J1158" s="27" t="n">
        <x:f>INDEX('Model Pricing'!$B$7:$B$8,MATCH(F1158,'Model Pricing'!$A$7:$A$8,0))</x:f>
        <x:v>10</x:v>
      </x:c>
      <x:c r="K1158" s="27" t="n">
        <x:f>INDEX('Model Pricing'!$C$7:$C$8,MATCH(F1158,'Model Pricing'!$A$7:$A$8,0))</x:f>
        <x:v>30</x:v>
      </x:c>
      <x:c r="L1158" s="17" t="n">
        <x:f>G1158+H1158</x:f>
        <x:v>32868</x:v>
      </x:c>
      <x:c r="M1158" s="28" t="n">
        <x:f>G1158*J1158/1000000</x:f>
        <x:v>0.27925</x:v>
      </x:c>
      <x:c r="N1158" s="28" t="n">
        <x:f>H1158*K1158/1000000</x:f>
        <x:v>0.14829</x:v>
      </x:c>
      <x:c r="O1158" s="28" t="n">
        <x:f>SUM(M1158:N1158)</x:f>
        <x:v>0.42754000000000003</x:v>
      </x:c>
    </x:row>
    <x:row r="1159" ht="23" customHeight="1">
      <x:c r="A1159" s="17" t="str">
        <x:v>U01153</x:v>
      </x:c>
      <x:c r="B1159" s="18" t="n">
        <x:v>46289</x:v>
      </x:c>
      <x:c r="C1159" s="17" t="str">
        <x:v>W0111</x:v>
      </x:c>
      <x:c r="D1159" s="17" t="str">
        <x:v>C002</x:v>
      </x:c>
      <x:c r="E1159" s="17" t="str">
        <x:v>CampaignChat</x:v>
      </x:c>
      <x:c r="F1159" s="17" t="str">
        <x:v>Lite</x:v>
      </x:c>
      <x:c r="G1159" s="17" t="n">
        <x:v>56504</x:v>
      </x:c>
      <x:c r="H1159" s="17" t="n">
        <x:v>6713</x:v>
      </x:c>
      <x:c r="I1159" s="17" t="str">
        <x:v>Correction</x:v>
      </x:c>
      <x:c r="J1159" s="27" t="n">
        <x:f>INDEX('Model Pricing'!$B$7:$B$8,MATCH(F1159,'Model Pricing'!$A$7:$A$8,0))</x:f>
        <x:v>10</x:v>
      </x:c>
      <x:c r="K1159" s="27" t="n">
        <x:f>INDEX('Model Pricing'!$C$7:$C$8,MATCH(F1159,'Model Pricing'!$A$7:$A$8,0))</x:f>
        <x:v>30</x:v>
      </x:c>
      <x:c r="L1159" s="17" t="n">
        <x:f>G1159+H1159</x:f>
        <x:v>63217</x:v>
      </x:c>
      <x:c r="M1159" s="28" t="n">
        <x:f>G1159*J1159/1000000</x:f>
        <x:v>0.56504</x:v>
      </x:c>
      <x:c r="N1159" s="28" t="n">
        <x:f>H1159*K1159/1000000</x:f>
        <x:v>0.20139</x:v>
      </x:c>
      <x:c r="O1159" s="28" t="n">
        <x:f>SUM(M1159:N1159)</x:f>
        <x:v>0.76643</x:v>
      </x:c>
    </x:row>
    <x:row r="1160" ht="23" customHeight="1">
      <x:c r="A1160" s="17" t="str">
        <x:v>U01154</x:v>
      </x:c>
      <x:c r="B1160" s="18" t="n">
        <x:v>46290</x:v>
      </x:c>
      <x:c r="C1160" s="17" t="str">
        <x:v>W0111</x:v>
      </x:c>
      <x:c r="D1160" s="17" t="str">
        <x:v>C002</x:v>
      </x:c>
      <x:c r="E1160" s="17" t="str">
        <x:v>CampaignChat</x:v>
      </x:c>
      <x:c r="F1160" s="17" t="str">
        <x:v>Lite</x:v>
      </x:c>
      <x:c r="G1160" s="17" t="n">
        <x:v>27643</x:v>
      </x:c>
      <x:c r="H1160" s="17" t="n">
        <x:v>8161</x:v>
      </x:c>
      <x:c r="I1160" s="17" t="str">
        <x:v>Correction</x:v>
      </x:c>
      <x:c r="J1160" s="27" t="n">
        <x:f>INDEX('Model Pricing'!$B$7:$B$8,MATCH(F1160,'Model Pricing'!$A$7:$A$8,0))</x:f>
        <x:v>10</x:v>
      </x:c>
      <x:c r="K1160" s="27" t="n">
        <x:f>INDEX('Model Pricing'!$C$7:$C$8,MATCH(F1160,'Model Pricing'!$A$7:$A$8,0))</x:f>
        <x:v>30</x:v>
      </x:c>
      <x:c r="L1160" s="17" t="n">
        <x:f>G1160+H1160</x:f>
        <x:v>35804</x:v>
      </x:c>
      <x:c r="M1160" s="28" t="n">
        <x:f>G1160*J1160/1000000</x:f>
        <x:v>0.27643</x:v>
      </x:c>
      <x:c r="N1160" s="28" t="n">
        <x:f>H1160*K1160/1000000</x:f>
        <x:v>0.24483</x:v>
      </x:c>
      <x:c r="O1160" s="28" t="n">
        <x:f>SUM(M1160:N1160)</x:f>
        <x:v>0.5212600000000001</x:v>
      </x:c>
    </x:row>
    <x:row r="1161" ht="23" customHeight="1">
      <x:c r="A1161" s="17" t="str">
        <x:v>U01155</x:v>
      </x:c>
      <x:c r="B1161" s="18" t="n">
        <x:v>46290</x:v>
      </x:c>
      <x:c r="C1161" s="17" t="str">
        <x:v>W0111</x:v>
      </x:c>
      <x:c r="D1161" s="17" t="str">
        <x:v>C002</x:v>
      </x:c>
      <x:c r="E1161" s="17" t="str">
        <x:v>CampaignChat</x:v>
      </x:c>
      <x:c r="F1161" s="17" t="str">
        <x:v>Lite</x:v>
      </x:c>
      <x:c r="G1161" s="17" t="n">
        <x:v>37815</x:v>
      </x:c>
      <x:c r="H1161" s="17" t="n">
        <x:v>8877</x:v>
      </x:c>
      <x:c r="I1161" s="17" t="str">
        <x:v>Correction</x:v>
      </x:c>
      <x:c r="J1161" s="27" t="n">
        <x:f>INDEX('Model Pricing'!$B$7:$B$8,MATCH(F1161,'Model Pricing'!$A$7:$A$8,0))</x:f>
        <x:v>10</x:v>
      </x:c>
      <x:c r="K1161" s="27" t="n">
        <x:f>INDEX('Model Pricing'!$C$7:$C$8,MATCH(F1161,'Model Pricing'!$A$7:$A$8,0))</x:f>
        <x:v>30</x:v>
      </x:c>
      <x:c r="L1161" s="17" t="n">
        <x:f>G1161+H1161</x:f>
        <x:v>46692</x:v>
      </x:c>
      <x:c r="M1161" s="28" t="n">
        <x:f>G1161*J1161/1000000</x:f>
        <x:v>0.37815</x:v>
      </x:c>
      <x:c r="N1161" s="28" t="n">
        <x:f>H1161*K1161/1000000</x:f>
        <x:v>0.26631</x:v>
      </x:c>
      <x:c r="O1161" s="28" t="n">
        <x:f>SUM(M1161:N1161)</x:f>
        <x:v>0.64446</x:v>
      </x:c>
    </x:row>
    <x:row r="1162" ht="23" customHeight="1">
      <x:c r="A1162" s="17" t="str">
        <x:v>U01156</x:v>
      </x:c>
      <x:c r="B1162" s="18" t="n">
        <x:v>46290</x:v>
      </x:c>
      <x:c r="C1162" s="17" t="str">
        <x:v>W0111</x:v>
      </x:c>
      <x:c r="D1162" s="17" t="str">
        <x:v>C002</x:v>
      </x:c>
      <x:c r="E1162" s="17" t="str">
        <x:v>CampaignChat</x:v>
      </x:c>
      <x:c r="F1162" s="17" t="str">
        <x:v>Lite</x:v>
      </x:c>
      <x:c r="G1162" s="17" t="n">
        <x:v>22062</x:v>
      </x:c>
      <x:c r="H1162" s="17" t="n">
        <x:v>4206</x:v>
      </x:c>
      <x:c r="I1162" s="17" t="str">
        <x:v>Correction</x:v>
      </x:c>
      <x:c r="J1162" s="27" t="n">
        <x:f>INDEX('Model Pricing'!$B$7:$B$8,MATCH(F1162,'Model Pricing'!$A$7:$A$8,0))</x:f>
        <x:v>10</x:v>
      </x:c>
      <x:c r="K1162" s="27" t="n">
        <x:f>INDEX('Model Pricing'!$C$7:$C$8,MATCH(F1162,'Model Pricing'!$A$7:$A$8,0))</x:f>
        <x:v>30</x:v>
      </x:c>
      <x:c r="L1162" s="17" t="n">
        <x:f>G1162+H1162</x:f>
        <x:v>26268</x:v>
      </x:c>
      <x:c r="M1162" s="28" t="n">
        <x:f>G1162*J1162/1000000</x:f>
        <x:v>0.22062</x:v>
      </x:c>
      <x:c r="N1162" s="28" t="n">
        <x:f>H1162*K1162/1000000</x:f>
        <x:v>0.12618</x:v>
      </x:c>
      <x:c r="O1162" s="28" t="n">
        <x:f>SUM(M1162:N1162)</x:f>
        <x:v>0.3468</x:v>
      </x:c>
    </x:row>
    <x:row r="1163" ht="23" customHeight="1">
      <x:c r="A1163" s="17" t="str">
        <x:v>U01157</x:v>
      </x:c>
      <x:c r="B1163" s="18" t="n">
        <x:v>46290</x:v>
      </x:c>
      <x:c r="C1163" s="17" t="str">
        <x:v>W0111</x:v>
      </x:c>
      <x:c r="D1163" s="17" t="str">
        <x:v>C002</x:v>
      </x:c>
      <x:c r="E1163" s="17" t="str">
        <x:v>CampaignChat</x:v>
      </x:c>
      <x:c r="F1163" s="17" t="str">
        <x:v>Lite</x:v>
      </x:c>
      <x:c r="G1163" s="17" t="n">
        <x:v>41453</x:v>
      </x:c>
      <x:c r="H1163" s="17" t="n">
        <x:v>2903</x:v>
      </x:c>
      <x:c r="I1163" s="17" t="str">
        <x:v>Followup</x:v>
      </x:c>
      <x:c r="J1163" s="27" t="n">
        <x:f>INDEX('Model Pricing'!$B$7:$B$8,MATCH(F1163,'Model Pricing'!$A$7:$A$8,0))</x:f>
        <x:v>10</x:v>
      </x:c>
      <x:c r="K1163" s="27" t="n">
        <x:f>INDEX('Model Pricing'!$C$7:$C$8,MATCH(F1163,'Model Pricing'!$A$7:$A$8,0))</x:f>
        <x:v>30</x:v>
      </x:c>
      <x:c r="L1163" s="17" t="n">
        <x:f>G1163+H1163</x:f>
        <x:v>44356</x:v>
      </x:c>
      <x:c r="M1163" s="28" t="n">
        <x:f>G1163*J1163/1000000</x:f>
        <x:v>0.41453</x:v>
      </x:c>
      <x:c r="N1163" s="28" t="n">
        <x:f>H1163*K1163/1000000</x:f>
        <x:v>0.08709</x:v>
      </x:c>
      <x:c r="O1163" s="28" t="n">
        <x:f>SUM(M1163:N1163)</x:f>
        <x:v>0.50162</x:v>
      </x:c>
    </x:row>
    <x:row r="1164" ht="23" customHeight="1">
      <x:c r="A1164" s="17" t="str">
        <x:v>U01158</x:v>
      </x:c>
      <x:c r="B1164" s="18" t="n">
        <x:v>46290</x:v>
      </x:c>
      <x:c r="C1164" s="17" t="str">
        <x:v>W0111</x:v>
      </x:c>
      <x:c r="D1164" s="17" t="str">
        <x:v>C002</x:v>
      </x:c>
      <x:c r="E1164" s="17" t="str">
        <x:v>CampaignChat</x:v>
      </x:c>
      <x:c r="F1164" s="17" t="str">
        <x:v>Lite</x:v>
      </x:c>
      <x:c r="G1164" s="17" t="n">
        <x:v>49627</x:v>
      </x:c>
      <x:c r="H1164" s="17" t="n">
        <x:v>7269</x:v>
      </x:c>
      <x:c r="I1164" s="17" t="str">
        <x:v>Followup</x:v>
      </x:c>
      <x:c r="J1164" s="27" t="n">
        <x:f>INDEX('Model Pricing'!$B$7:$B$8,MATCH(F1164,'Model Pricing'!$A$7:$A$8,0))</x:f>
        <x:v>10</x:v>
      </x:c>
      <x:c r="K1164" s="27" t="n">
        <x:f>INDEX('Model Pricing'!$C$7:$C$8,MATCH(F1164,'Model Pricing'!$A$7:$A$8,0))</x:f>
        <x:v>30</x:v>
      </x:c>
      <x:c r="L1164" s="17" t="n">
        <x:f>G1164+H1164</x:f>
        <x:v>56896</x:v>
      </x:c>
      <x:c r="M1164" s="28" t="n">
        <x:f>G1164*J1164/1000000</x:f>
        <x:v>0.49627</x:v>
      </x:c>
      <x:c r="N1164" s="28" t="n">
        <x:f>H1164*K1164/1000000</x:f>
        <x:v>0.21807</x:v>
      </x:c>
      <x:c r="O1164" s="28" t="n">
        <x:f>SUM(M1164:N1164)</x:f>
        <x:v>0.71434</x:v>
      </x:c>
    </x:row>
    <x:row r="1165" ht="23" customHeight="1">
      <x:c r="A1165" s="17" t="str">
        <x:v>U01159</x:v>
      </x:c>
      <x:c r="B1165" s="18" t="n">
        <x:v>46290</x:v>
      </x:c>
      <x:c r="C1165" s="17" t="str">
        <x:v>W0111</x:v>
      </x:c>
      <x:c r="D1165" s="17" t="str">
        <x:v>C002</x:v>
      </x:c>
      <x:c r="E1165" s="17" t="str">
        <x:v>CampaignChat</x:v>
      </x:c>
      <x:c r="F1165" s="17" t="str">
        <x:v>Lite</x:v>
      </x:c>
      <x:c r="G1165" s="17" t="n">
        <x:v>52548</x:v>
      </x:c>
      <x:c r="H1165" s="17" t="n">
        <x:v>9407</x:v>
      </x:c>
      <x:c r="I1165" s="17" t="str">
        <x:v>Correction</x:v>
      </x:c>
      <x:c r="J1165" s="27" t="n">
        <x:f>INDEX('Model Pricing'!$B$7:$B$8,MATCH(F1165,'Model Pricing'!$A$7:$A$8,0))</x:f>
        <x:v>10</x:v>
      </x:c>
      <x:c r="K1165" s="27" t="n">
        <x:f>INDEX('Model Pricing'!$C$7:$C$8,MATCH(F1165,'Model Pricing'!$A$7:$A$8,0))</x:f>
        <x:v>30</x:v>
      </x:c>
      <x:c r="L1165" s="17" t="n">
        <x:f>G1165+H1165</x:f>
        <x:v>61955</x:v>
      </x:c>
      <x:c r="M1165" s="28" t="n">
        <x:f>G1165*J1165/1000000</x:f>
        <x:v>0.52548</x:v>
      </x:c>
      <x:c r="N1165" s="28" t="n">
        <x:f>H1165*K1165/1000000</x:f>
        <x:v>0.28221</x:v>
      </x:c>
      <x:c r="O1165" s="28" t="n">
        <x:f>SUM(M1165:N1165)</x:f>
        <x:v>0.80769</x:v>
      </x:c>
    </x:row>
    <x:row r="1166" ht="23" customHeight="1">
      <x:c r="A1166" s="17" t="str">
        <x:v>U01160</x:v>
      </x:c>
      <x:c r="B1166" s="18" t="n">
        <x:v>46269</x:v>
      </x:c>
      <x:c r="C1166" s="17" t="str">
        <x:v>W0112</x:v>
      </x:c>
      <x:c r="D1166" s="17" t="str">
        <x:v>C002</x:v>
      </x:c>
      <x:c r="E1166" s="17" t="str">
        <x:v>DataFlow</x:v>
      </x:c>
      <x:c r="F1166" s="17" t="str">
        <x:v>Lite</x:v>
      </x:c>
      <x:c r="G1166" s="17" t="n">
        <x:v>40766</x:v>
      </x:c>
      <x:c r="H1166" s="17" t="n">
        <x:v>5062</x:v>
      </x:c>
      <x:c r="I1166" s="17" t="str">
        <x:v>First attempt</x:v>
      </x:c>
      <x:c r="J1166" s="27" t="n">
        <x:f>INDEX('Model Pricing'!$B$7:$B$8,MATCH(F1166,'Model Pricing'!$A$7:$A$8,0))</x:f>
        <x:v>10</x:v>
      </x:c>
      <x:c r="K1166" s="27" t="n">
        <x:f>INDEX('Model Pricing'!$C$7:$C$8,MATCH(F1166,'Model Pricing'!$A$7:$A$8,0))</x:f>
        <x:v>30</x:v>
      </x:c>
      <x:c r="L1166" s="17" t="n">
        <x:f>G1166+H1166</x:f>
        <x:v>45828</x:v>
      </x:c>
      <x:c r="M1166" s="28" t="n">
        <x:f>G1166*J1166/1000000</x:f>
        <x:v>0.40766</x:v>
      </x:c>
      <x:c r="N1166" s="28" t="n">
        <x:f>H1166*K1166/1000000</x:f>
        <x:v>0.15186</x:v>
      </x:c>
      <x:c r="O1166" s="28" t="n">
        <x:f>SUM(M1166:N1166)</x:f>
        <x:v>0.55952</x:v>
      </x:c>
    </x:row>
    <x:row r="1167" ht="23" customHeight="1">
      <x:c r="A1167" s="17" t="str">
        <x:v>U01161</x:v>
      </x:c>
      <x:c r="B1167" s="18" t="n">
        <x:v>46269</x:v>
      </x:c>
      <x:c r="C1167" s="17" t="str">
        <x:v>W0112</x:v>
      </x:c>
      <x:c r="D1167" s="17" t="str">
        <x:v>C002</x:v>
      </x:c>
      <x:c r="E1167" s="17" t="str">
        <x:v>DataFlow</x:v>
      </x:c>
      <x:c r="F1167" s="17" t="str">
        <x:v>Lite</x:v>
      </x:c>
      <x:c r="G1167" s="17" t="n">
        <x:v>29697</x:v>
      </x:c>
      <x:c r="H1167" s="17" t="n">
        <x:v>8599</x:v>
      </x:c>
      <x:c r="I1167" s="17" t="str">
        <x:v>Followup</x:v>
      </x:c>
      <x:c r="J1167" s="27" t="n">
        <x:f>INDEX('Model Pricing'!$B$7:$B$8,MATCH(F1167,'Model Pricing'!$A$7:$A$8,0))</x:f>
        <x:v>10</x:v>
      </x:c>
      <x:c r="K1167" s="27" t="n">
        <x:f>INDEX('Model Pricing'!$C$7:$C$8,MATCH(F1167,'Model Pricing'!$A$7:$A$8,0))</x:f>
        <x:v>30</x:v>
      </x:c>
      <x:c r="L1167" s="17" t="n">
        <x:f>G1167+H1167</x:f>
        <x:v>38296</x:v>
      </x:c>
      <x:c r="M1167" s="28" t="n">
        <x:f>G1167*J1167/1000000</x:f>
        <x:v>0.29697</x:v>
      </x:c>
      <x:c r="N1167" s="28" t="n">
        <x:f>H1167*K1167/1000000</x:f>
        <x:v>0.25797</x:v>
      </x:c>
      <x:c r="O1167" s="28" t="n">
        <x:f>SUM(M1167:N1167)</x:f>
        <x:v>0.55494</x:v>
      </x:c>
    </x:row>
    <x:row r="1168" ht="23" customHeight="1">
      <x:c r="A1168" s="17" t="str">
        <x:v>U01162</x:v>
      </x:c>
      <x:c r="B1168" s="18" t="n">
        <x:v>46269</x:v>
      </x:c>
      <x:c r="C1168" s="17" t="str">
        <x:v>W0112</x:v>
      </x:c>
      <x:c r="D1168" s="17" t="str">
        <x:v>C002</x:v>
      </x:c>
      <x:c r="E1168" s="17" t="str">
        <x:v>DataFlow</x:v>
      </x:c>
      <x:c r="F1168" s="17" t="str">
        <x:v>Lite</x:v>
      </x:c>
      <x:c r="G1168" s="17" t="n">
        <x:v>31012</x:v>
      </x:c>
      <x:c r="H1168" s="17" t="n">
        <x:v>10224</x:v>
      </x:c>
      <x:c r="I1168" s="17" t="str">
        <x:v>Correction</x:v>
      </x:c>
      <x:c r="J1168" s="27" t="n">
        <x:f>INDEX('Model Pricing'!$B$7:$B$8,MATCH(F1168,'Model Pricing'!$A$7:$A$8,0))</x:f>
        <x:v>10</x:v>
      </x:c>
      <x:c r="K1168" s="27" t="n">
        <x:f>INDEX('Model Pricing'!$C$7:$C$8,MATCH(F1168,'Model Pricing'!$A$7:$A$8,0))</x:f>
        <x:v>30</x:v>
      </x:c>
      <x:c r="L1168" s="17" t="n">
        <x:f>G1168+H1168</x:f>
        <x:v>41236</x:v>
      </x:c>
      <x:c r="M1168" s="28" t="n">
        <x:f>G1168*J1168/1000000</x:f>
        <x:v>0.31012</x:v>
      </x:c>
      <x:c r="N1168" s="28" t="n">
        <x:f>H1168*K1168/1000000</x:f>
        <x:v>0.30672</x:v>
      </x:c>
      <x:c r="O1168" s="28" t="n">
        <x:f>SUM(M1168:N1168)</x:f>
        <x:v>0.61684</x:v>
      </x:c>
    </x:row>
    <x:row r="1169" ht="23" customHeight="1">
      <x:c r="A1169" s="17" t="str">
        <x:v>U01163</x:v>
      </x:c>
      <x:c r="B1169" s="18" t="n">
        <x:v>46269</x:v>
      </x:c>
      <x:c r="C1169" s="17" t="str">
        <x:v>W0112</x:v>
      </x:c>
      <x:c r="D1169" s="17" t="str">
        <x:v>C002</x:v>
      </x:c>
      <x:c r="E1169" s="17" t="str">
        <x:v>DataFlow</x:v>
      </x:c>
      <x:c r="F1169" s="17" t="str">
        <x:v>Lite</x:v>
      </x:c>
      <x:c r="G1169" s="17" t="n">
        <x:v>28913</x:v>
      </x:c>
      <x:c r="H1169" s="17" t="n">
        <x:v>9894</x:v>
      </x:c>
      <x:c r="I1169" s="17" t="str">
        <x:v>Correction</x:v>
      </x:c>
      <x:c r="J1169" s="27" t="n">
        <x:f>INDEX('Model Pricing'!$B$7:$B$8,MATCH(F1169,'Model Pricing'!$A$7:$A$8,0))</x:f>
        <x:v>10</x:v>
      </x:c>
      <x:c r="K1169" s="27" t="n">
        <x:f>INDEX('Model Pricing'!$C$7:$C$8,MATCH(F1169,'Model Pricing'!$A$7:$A$8,0))</x:f>
        <x:v>30</x:v>
      </x:c>
      <x:c r="L1169" s="17" t="n">
        <x:f>G1169+H1169</x:f>
        <x:v>38807</x:v>
      </x:c>
      <x:c r="M1169" s="28" t="n">
        <x:f>G1169*J1169/1000000</x:f>
        <x:v>0.28913</x:v>
      </x:c>
      <x:c r="N1169" s="28" t="n">
        <x:f>H1169*K1169/1000000</x:f>
        <x:v>0.29682</x:v>
      </x:c>
      <x:c r="O1169" s="28" t="n">
        <x:f>SUM(M1169:N1169)</x:f>
        <x:v>0.58595</x:v>
      </x:c>
    </x:row>
    <x:row r="1170" ht="23" customHeight="1">
      <x:c r="A1170" s="17" t="str">
        <x:v>U01164</x:v>
      </x:c>
      <x:c r="B1170" s="18" t="n">
        <x:v>46269</x:v>
      </x:c>
      <x:c r="C1170" s="17" t="str">
        <x:v>W0112</x:v>
      </x:c>
      <x:c r="D1170" s="17" t="str">
        <x:v>C002</x:v>
      </x:c>
      <x:c r="E1170" s="17" t="str">
        <x:v>DataFlow</x:v>
      </x:c>
      <x:c r="F1170" s="17" t="str">
        <x:v>Lite</x:v>
      </x:c>
      <x:c r="G1170" s="17" t="n">
        <x:v>37762</x:v>
      </x:c>
      <x:c r="H1170" s="17" t="n">
        <x:v>4594</x:v>
      </x:c>
      <x:c r="I1170" s="17" t="str">
        <x:v>Followup</x:v>
      </x:c>
      <x:c r="J1170" s="27" t="n">
        <x:f>INDEX('Model Pricing'!$B$7:$B$8,MATCH(F1170,'Model Pricing'!$A$7:$A$8,0))</x:f>
        <x:v>10</x:v>
      </x:c>
      <x:c r="K1170" s="27" t="n">
        <x:f>INDEX('Model Pricing'!$C$7:$C$8,MATCH(F1170,'Model Pricing'!$A$7:$A$8,0))</x:f>
        <x:v>30</x:v>
      </x:c>
      <x:c r="L1170" s="17" t="n">
        <x:f>G1170+H1170</x:f>
        <x:v>42356</x:v>
      </x:c>
      <x:c r="M1170" s="28" t="n">
        <x:f>G1170*J1170/1000000</x:f>
        <x:v>0.37762</x:v>
      </x:c>
      <x:c r="N1170" s="28" t="n">
        <x:f>H1170*K1170/1000000</x:f>
        <x:v>0.13782</x:v>
      </x:c>
      <x:c r="O1170" s="28" t="n">
        <x:f>SUM(M1170:N1170)</x:f>
        <x:v>0.51544</x:v>
      </x:c>
    </x:row>
    <x:row r="1171" ht="23" customHeight="1">
      <x:c r="A1171" s="17" t="str">
        <x:v>U01165</x:v>
      </x:c>
      <x:c r="B1171" s="18" t="n">
        <x:v>46269</x:v>
      </x:c>
      <x:c r="C1171" s="17" t="str">
        <x:v>W0112</x:v>
      </x:c>
      <x:c r="D1171" s="17" t="str">
        <x:v>C002</x:v>
      </x:c>
      <x:c r="E1171" s="17" t="str">
        <x:v>DataFlow</x:v>
      </x:c>
      <x:c r="F1171" s="17" t="str">
        <x:v>Lite</x:v>
      </x:c>
      <x:c r="G1171" s="17" t="n">
        <x:v>27297</x:v>
      </x:c>
      <x:c r="H1171" s="17" t="n">
        <x:v>10510</x:v>
      </x:c>
      <x:c r="I1171" s="17" t="str">
        <x:v>Correction</x:v>
      </x:c>
      <x:c r="J1171" s="27" t="n">
        <x:f>INDEX('Model Pricing'!$B$7:$B$8,MATCH(F1171,'Model Pricing'!$A$7:$A$8,0))</x:f>
        <x:v>10</x:v>
      </x:c>
      <x:c r="K1171" s="27" t="n">
        <x:f>INDEX('Model Pricing'!$C$7:$C$8,MATCH(F1171,'Model Pricing'!$A$7:$A$8,0))</x:f>
        <x:v>30</x:v>
      </x:c>
      <x:c r="L1171" s="17" t="n">
        <x:f>G1171+H1171</x:f>
        <x:v>37807</x:v>
      </x:c>
      <x:c r="M1171" s="28" t="n">
        <x:f>G1171*J1171/1000000</x:f>
        <x:v>0.27297</x:v>
      </x:c>
      <x:c r="N1171" s="28" t="n">
        <x:f>H1171*K1171/1000000</x:f>
        <x:v>0.3153</x:v>
      </x:c>
      <x:c r="O1171" s="28" t="n">
        <x:f>SUM(M1171:N1171)</x:f>
        <x:v>0.5882700000000001</x:v>
      </x:c>
    </x:row>
    <x:row r="1172" ht="23" customHeight="1">
      <x:c r="A1172" s="17" t="str">
        <x:v>U01166</x:v>
      </x:c>
      <x:c r="B1172" s="18" t="n">
        <x:v>46269</x:v>
      </x:c>
      <x:c r="C1172" s="17" t="str">
        <x:v>W0112</x:v>
      </x:c>
      <x:c r="D1172" s="17" t="str">
        <x:v>C002</x:v>
      </x:c>
      <x:c r="E1172" s="17" t="str">
        <x:v>DataFlow</x:v>
      </x:c>
      <x:c r="F1172" s="17" t="str">
        <x:v>Lite</x:v>
      </x:c>
      <x:c r="G1172" s="17" t="n">
        <x:v>44705</x:v>
      </x:c>
      <x:c r="H1172" s="17" t="n">
        <x:v>9339</x:v>
      </x:c>
      <x:c r="I1172" s="17" t="str">
        <x:v>Followup</x:v>
      </x:c>
      <x:c r="J1172" s="27" t="n">
        <x:f>INDEX('Model Pricing'!$B$7:$B$8,MATCH(F1172,'Model Pricing'!$A$7:$A$8,0))</x:f>
        <x:v>10</x:v>
      </x:c>
      <x:c r="K1172" s="27" t="n">
        <x:f>INDEX('Model Pricing'!$C$7:$C$8,MATCH(F1172,'Model Pricing'!$A$7:$A$8,0))</x:f>
        <x:v>30</x:v>
      </x:c>
      <x:c r="L1172" s="17" t="n">
        <x:f>G1172+H1172</x:f>
        <x:v>54044</x:v>
      </x:c>
      <x:c r="M1172" s="28" t="n">
        <x:f>G1172*J1172/1000000</x:f>
        <x:v>0.44705</x:v>
      </x:c>
      <x:c r="N1172" s="28" t="n">
        <x:f>H1172*K1172/1000000</x:f>
        <x:v>0.28017</x:v>
      </x:c>
      <x:c r="O1172" s="28" t="n">
        <x:f>SUM(M1172:N1172)</x:f>
        <x:v>0.72722</x:v>
      </x:c>
    </x:row>
    <x:row r="1173" ht="23" customHeight="1">
      <x:c r="A1173" s="17" t="str">
        <x:v>U01167</x:v>
      </x:c>
      <x:c r="B1173" s="18" t="n">
        <x:v>46273</x:v>
      </x:c>
      <x:c r="C1173" s="17" t="str">
        <x:v>W0112</x:v>
      </x:c>
      <x:c r="D1173" s="17" t="str">
        <x:v>C002</x:v>
      </x:c>
      <x:c r="E1173" s="17" t="str">
        <x:v>DataFlow</x:v>
      </x:c>
      <x:c r="F1173" s="17" t="str">
        <x:v>Lite</x:v>
      </x:c>
      <x:c r="G1173" s="17" t="n">
        <x:v>25212</x:v>
      </x:c>
      <x:c r="H1173" s="17" t="n">
        <x:v>9482</x:v>
      </x:c>
      <x:c r="I1173" s="17" t="str">
        <x:v>Correction</x:v>
      </x:c>
      <x:c r="J1173" s="27" t="n">
        <x:f>INDEX('Model Pricing'!$B$7:$B$8,MATCH(F1173,'Model Pricing'!$A$7:$A$8,0))</x:f>
        <x:v>10</x:v>
      </x:c>
      <x:c r="K1173" s="27" t="n">
        <x:f>INDEX('Model Pricing'!$C$7:$C$8,MATCH(F1173,'Model Pricing'!$A$7:$A$8,0))</x:f>
        <x:v>30</x:v>
      </x:c>
      <x:c r="L1173" s="17" t="n">
        <x:f>G1173+H1173</x:f>
        <x:v>34694</x:v>
      </x:c>
      <x:c r="M1173" s="28" t="n">
        <x:f>G1173*J1173/1000000</x:f>
        <x:v>0.25212</x:v>
      </x:c>
      <x:c r="N1173" s="28" t="n">
        <x:f>H1173*K1173/1000000</x:f>
        <x:v>0.28446</x:v>
      </x:c>
      <x:c r="O1173" s="28" t="n">
        <x:f>SUM(M1173:N1173)</x:f>
        <x:v>0.5365800000000001</x:v>
      </x:c>
    </x:row>
    <x:row r="1174" ht="23" customHeight="1">
      <x:c r="A1174" s="17" t="str">
        <x:v>U01168</x:v>
      </x:c>
      <x:c r="B1174" s="18" t="n">
        <x:v>46273</x:v>
      </x:c>
      <x:c r="C1174" s="17" t="str">
        <x:v>W0112</x:v>
      </x:c>
      <x:c r="D1174" s="17" t="str">
        <x:v>C002</x:v>
      </x:c>
      <x:c r="E1174" s="17" t="str">
        <x:v>DataFlow</x:v>
      </x:c>
      <x:c r="F1174" s="17" t="str">
        <x:v>Lite</x:v>
      </x:c>
      <x:c r="G1174" s="17" t="n">
        <x:v>34383</x:v>
      </x:c>
      <x:c r="H1174" s="17" t="n">
        <x:v>8849</x:v>
      </x:c>
      <x:c r="I1174" s="17" t="str">
        <x:v>Followup</x:v>
      </x:c>
      <x:c r="J1174" s="27" t="n">
        <x:f>INDEX('Model Pricing'!$B$7:$B$8,MATCH(F1174,'Model Pricing'!$A$7:$A$8,0))</x:f>
        <x:v>10</x:v>
      </x:c>
      <x:c r="K1174" s="27" t="n">
        <x:f>INDEX('Model Pricing'!$C$7:$C$8,MATCH(F1174,'Model Pricing'!$A$7:$A$8,0))</x:f>
        <x:v>30</x:v>
      </x:c>
      <x:c r="L1174" s="17" t="n">
        <x:f>G1174+H1174</x:f>
        <x:v>43232</x:v>
      </x:c>
      <x:c r="M1174" s="28" t="n">
        <x:f>G1174*J1174/1000000</x:f>
        <x:v>0.34383</x:v>
      </x:c>
      <x:c r="N1174" s="28" t="n">
        <x:f>H1174*K1174/1000000</x:f>
        <x:v>0.26547</x:v>
      </x:c>
      <x:c r="O1174" s="28" t="n">
        <x:f>SUM(M1174:N1174)</x:f>
        <x:v>0.6093</x:v>
      </x:c>
    </x:row>
    <x:row r="1175" ht="23" customHeight="1">
      <x:c r="A1175" s="17" t="str">
        <x:v>U01169</x:v>
      </x:c>
      <x:c r="B1175" s="18" t="n">
        <x:v>46273</x:v>
      </x:c>
      <x:c r="C1175" s="17" t="str">
        <x:v>W0112</x:v>
      </x:c>
      <x:c r="D1175" s="17" t="str">
        <x:v>C002</x:v>
      </x:c>
      <x:c r="E1175" s="17" t="str">
        <x:v>DataFlow</x:v>
      </x:c>
      <x:c r="F1175" s="17" t="str">
        <x:v>Lite</x:v>
      </x:c>
      <x:c r="G1175" s="17" t="n">
        <x:v>43340</x:v>
      </x:c>
      <x:c r="H1175" s="17" t="n">
        <x:v>6314</x:v>
      </x:c>
      <x:c r="I1175" s="17" t="str">
        <x:v>Correction</x:v>
      </x:c>
      <x:c r="J1175" s="27" t="n">
        <x:f>INDEX('Model Pricing'!$B$7:$B$8,MATCH(F1175,'Model Pricing'!$A$7:$A$8,0))</x:f>
        <x:v>10</x:v>
      </x:c>
      <x:c r="K1175" s="27" t="n">
        <x:f>INDEX('Model Pricing'!$C$7:$C$8,MATCH(F1175,'Model Pricing'!$A$7:$A$8,0))</x:f>
        <x:v>30</x:v>
      </x:c>
      <x:c r="L1175" s="17" t="n">
        <x:f>G1175+H1175</x:f>
        <x:v>49654</x:v>
      </x:c>
      <x:c r="M1175" s="28" t="n">
        <x:f>G1175*J1175/1000000</x:f>
        <x:v>0.4334</x:v>
      </x:c>
      <x:c r="N1175" s="28" t="n">
        <x:f>H1175*K1175/1000000</x:f>
        <x:v>0.18942</x:v>
      </x:c>
      <x:c r="O1175" s="28" t="n">
        <x:f>SUM(M1175:N1175)</x:f>
        <x:v>0.62282</x:v>
      </x:c>
    </x:row>
    <x:row r="1176" ht="23" customHeight="1">
      <x:c r="A1176" s="17" t="str">
        <x:v>U01170</x:v>
      </x:c>
      <x:c r="B1176" s="18" t="n">
        <x:v>46273</x:v>
      </x:c>
      <x:c r="C1176" s="17" t="str">
        <x:v>W0112</x:v>
      </x:c>
      <x:c r="D1176" s="17" t="str">
        <x:v>C002</x:v>
      </x:c>
      <x:c r="E1176" s="17" t="str">
        <x:v>DataFlow</x:v>
      </x:c>
      <x:c r="F1176" s="17" t="str">
        <x:v>Lite</x:v>
      </x:c>
      <x:c r="G1176" s="17" t="n">
        <x:v>32081</x:v>
      </x:c>
      <x:c r="H1176" s="17" t="n">
        <x:v>5343</x:v>
      </x:c>
      <x:c r="I1176" s="17" t="str">
        <x:v>Followup</x:v>
      </x:c>
      <x:c r="J1176" s="27" t="n">
        <x:f>INDEX('Model Pricing'!$B$7:$B$8,MATCH(F1176,'Model Pricing'!$A$7:$A$8,0))</x:f>
        <x:v>10</x:v>
      </x:c>
      <x:c r="K1176" s="27" t="n">
        <x:f>INDEX('Model Pricing'!$C$7:$C$8,MATCH(F1176,'Model Pricing'!$A$7:$A$8,0))</x:f>
        <x:v>30</x:v>
      </x:c>
      <x:c r="L1176" s="17" t="n">
        <x:f>G1176+H1176</x:f>
        <x:v>37424</x:v>
      </x:c>
      <x:c r="M1176" s="28" t="n">
        <x:f>G1176*J1176/1000000</x:f>
        <x:v>0.32081</x:v>
      </x:c>
      <x:c r="N1176" s="28" t="n">
        <x:f>H1176*K1176/1000000</x:f>
        <x:v>0.16029</x:v>
      </x:c>
      <x:c r="O1176" s="28" t="n">
        <x:f>SUM(M1176:N1176)</x:f>
        <x:v>0.48109999999999997</x:v>
      </x:c>
    </x:row>
    <x:row r="1177" ht="23" customHeight="1">
      <x:c r="A1177" s="17" t="str">
        <x:v>U01171</x:v>
      </x:c>
      <x:c r="B1177" s="18" t="n">
        <x:v>46273</x:v>
      </x:c>
      <x:c r="C1177" s="17" t="str">
        <x:v>W0112</x:v>
      </x:c>
      <x:c r="D1177" s="17" t="str">
        <x:v>C002</x:v>
      </x:c>
      <x:c r="E1177" s="17" t="str">
        <x:v>DataFlow</x:v>
      </x:c>
      <x:c r="F1177" s="17" t="str">
        <x:v>Lite</x:v>
      </x:c>
      <x:c r="G1177" s="17" t="n">
        <x:v>15154</x:v>
      </x:c>
      <x:c r="H1177" s="17" t="n">
        <x:v>6882</x:v>
      </x:c>
      <x:c r="I1177" s="17" t="str">
        <x:v>Followup</x:v>
      </x:c>
      <x:c r="J1177" s="27" t="n">
        <x:f>INDEX('Model Pricing'!$B$7:$B$8,MATCH(F1177,'Model Pricing'!$A$7:$A$8,0))</x:f>
        <x:v>10</x:v>
      </x:c>
      <x:c r="K1177" s="27" t="n">
        <x:f>INDEX('Model Pricing'!$C$7:$C$8,MATCH(F1177,'Model Pricing'!$A$7:$A$8,0))</x:f>
        <x:v>30</x:v>
      </x:c>
      <x:c r="L1177" s="17" t="n">
        <x:f>G1177+H1177</x:f>
        <x:v>22036</x:v>
      </x:c>
      <x:c r="M1177" s="28" t="n">
        <x:f>G1177*J1177/1000000</x:f>
        <x:v>0.15154</x:v>
      </x:c>
      <x:c r="N1177" s="28" t="n">
        <x:f>H1177*K1177/1000000</x:f>
        <x:v>0.20646</x:v>
      </x:c>
      <x:c r="O1177" s="28" t="n">
        <x:f>SUM(M1177:N1177)</x:f>
        <x:v>0.358</x:v>
      </x:c>
    </x:row>
    <x:row r="1178" ht="23" customHeight="1">
      <x:c r="A1178" s="17" t="str">
        <x:v>U01172</x:v>
      </x:c>
      <x:c r="B1178" s="18" t="n">
        <x:v>46273</x:v>
      </x:c>
      <x:c r="C1178" s="17" t="str">
        <x:v>W0112</x:v>
      </x:c>
      <x:c r="D1178" s="17" t="str">
        <x:v>C002</x:v>
      </x:c>
      <x:c r="E1178" s="17" t="str">
        <x:v>DataFlow</x:v>
      </x:c>
      <x:c r="F1178" s="17" t="str">
        <x:v>Lite</x:v>
      </x:c>
      <x:c r="G1178" s="17" t="n">
        <x:v>43947</x:v>
      </x:c>
      <x:c r="H1178" s="17" t="n">
        <x:v>12013</x:v>
      </x:c>
      <x:c r="I1178" s="17" t="str">
        <x:v>Followup</x:v>
      </x:c>
      <x:c r="J1178" s="27" t="n">
        <x:f>INDEX('Model Pricing'!$B$7:$B$8,MATCH(F1178,'Model Pricing'!$A$7:$A$8,0))</x:f>
        <x:v>10</x:v>
      </x:c>
      <x:c r="K1178" s="27" t="n">
        <x:f>INDEX('Model Pricing'!$C$7:$C$8,MATCH(F1178,'Model Pricing'!$A$7:$A$8,0))</x:f>
        <x:v>30</x:v>
      </x:c>
      <x:c r="L1178" s="17" t="n">
        <x:f>G1178+H1178</x:f>
        <x:v>55960</x:v>
      </x:c>
      <x:c r="M1178" s="28" t="n">
        <x:f>G1178*J1178/1000000</x:f>
        <x:v>0.43947</x:v>
      </x:c>
      <x:c r="N1178" s="28" t="n">
        <x:f>H1178*K1178/1000000</x:f>
        <x:v>0.36039</x:v>
      </x:c>
      <x:c r="O1178" s="28" t="n">
        <x:f>SUM(M1178:N1178)</x:f>
        <x:v>0.79986</x:v>
      </x:c>
    </x:row>
    <x:row r="1179" ht="23" customHeight="1">
      <x:c r="A1179" s="17" t="str">
        <x:v>U01173</x:v>
      </x:c>
      <x:c r="B1179" s="18" t="n">
        <x:v>46274</x:v>
      </x:c>
      <x:c r="C1179" s="17" t="str">
        <x:v>W0112</x:v>
      </x:c>
      <x:c r="D1179" s="17" t="str">
        <x:v>C002</x:v>
      </x:c>
      <x:c r="E1179" s="17" t="str">
        <x:v>DataFlow</x:v>
      </x:c>
      <x:c r="F1179" s="17" t="str">
        <x:v>Lite</x:v>
      </x:c>
      <x:c r="G1179" s="17" t="n">
        <x:v>40206</x:v>
      </x:c>
      <x:c r="H1179" s="17" t="n">
        <x:v>4212</x:v>
      </x:c>
      <x:c r="I1179" s="17" t="str">
        <x:v>Correction</x:v>
      </x:c>
      <x:c r="J1179" s="27" t="n">
        <x:f>INDEX('Model Pricing'!$B$7:$B$8,MATCH(F1179,'Model Pricing'!$A$7:$A$8,0))</x:f>
        <x:v>10</x:v>
      </x:c>
      <x:c r="K1179" s="27" t="n">
        <x:f>INDEX('Model Pricing'!$C$7:$C$8,MATCH(F1179,'Model Pricing'!$A$7:$A$8,0))</x:f>
        <x:v>30</x:v>
      </x:c>
      <x:c r="L1179" s="17" t="n">
        <x:f>G1179+H1179</x:f>
        <x:v>44418</x:v>
      </x:c>
      <x:c r="M1179" s="28" t="n">
        <x:f>G1179*J1179/1000000</x:f>
        <x:v>0.40206</x:v>
      </x:c>
      <x:c r="N1179" s="28" t="n">
        <x:f>H1179*K1179/1000000</x:f>
        <x:v>0.12636</x:v>
      </x:c>
      <x:c r="O1179" s="28" t="n">
        <x:f>SUM(M1179:N1179)</x:f>
        <x:v>0.52842</x:v>
      </x:c>
    </x:row>
    <x:row r="1180" ht="23" customHeight="1">
      <x:c r="A1180" s="17" t="str">
        <x:v>U01174</x:v>
      </x:c>
      <x:c r="B1180" s="18" t="n">
        <x:v>46274</x:v>
      </x:c>
      <x:c r="C1180" s="17" t="str">
        <x:v>W0112</x:v>
      </x:c>
      <x:c r="D1180" s="17" t="str">
        <x:v>C002</x:v>
      </x:c>
      <x:c r="E1180" s="17" t="str">
        <x:v>DataFlow</x:v>
      </x:c>
      <x:c r="F1180" s="17" t="str">
        <x:v>Lite</x:v>
      </x:c>
      <x:c r="G1180" s="17" t="n">
        <x:v>33657</x:v>
      </x:c>
      <x:c r="H1180" s="17" t="n">
        <x:v>4484</x:v>
      </x:c>
      <x:c r="I1180" s="17" t="str">
        <x:v>Followup</x:v>
      </x:c>
      <x:c r="J1180" s="27" t="n">
        <x:f>INDEX('Model Pricing'!$B$7:$B$8,MATCH(F1180,'Model Pricing'!$A$7:$A$8,0))</x:f>
        <x:v>10</x:v>
      </x:c>
      <x:c r="K1180" s="27" t="n">
        <x:f>INDEX('Model Pricing'!$C$7:$C$8,MATCH(F1180,'Model Pricing'!$A$7:$A$8,0))</x:f>
        <x:v>30</x:v>
      </x:c>
      <x:c r="L1180" s="17" t="n">
        <x:f>G1180+H1180</x:f>
        <x:v>38141</x:v>
      </x:c>
      <x:c r="M1180" s="28" t="n">
        <x:f>G1180*J1180/1000000</x:f>
        <x:v>0.33657</x:v>
      </x:c>
      <x:c r="N1180" s="28" t="n">
        <x:f>H1180*K1180/1000000</x:f>
        <x:v>0.13452</x:v>
      </x:c>
      <x:c r="O1180" s="28" t="n">
        <x:f>SUM(M1180:N1180)</x:f>
        <x:v>0.47109</x:v>
      </x:c>
    </x:row>
    <x:row r="1181" ht="23" customHeight="1">
      <x:c r="A1181" s="17" t="str">
        <x:v>U01175</x:v>
      </x:c>
      <x:c r="B1181" s="18" t="n">
        <x:v>46274</x:v>
      </x:c>
      <x:c r="C1181" s="17" t="str">
        <x:v>W0112</x:v>
      </x:c>
      <x:c r="D1181" s="17" t="str">
        <x:v>C002</x:v>
      </x:c>
      <x:c r="E1181" s="17" t="str">
        <x:v>DataFlow</x:v>
      </x:c>
      <x:c r="F1181" s="17" t="str">
        <x:v>Lite</x:v>
      </x:c>
      <x:c r="G1181" s="17" t="n">
        <x:v>36005</x:v>
      </x:c>
      <x:c r="H1181" s="17" t="n">
        <x:v>5895</x:v>
      </x:c>
      <x:c r="I1181" s="17" t="str">
        <x:v>Followup</x:v>
      </x:c>
      <x:c r="J1181" s="27" t="n">
        <x:f>INDEX('Model Pricing'!$B$7:$B$8,MATCH(F1181,'Model Pricing'!$A$7:$A$8,0))</x:f>
        <x:v>10</x:v>
      </x:c>
      <x:c r="K1181" s="27" t="n">
        <x:f>INDEX('Model Pricing'!$C$7:$C$8,MATCH(F1181,'Model Pricing'!$A$7:$A$8,0))</x:f>
        <x:v>30</x:v>
      </x:c>
      <x:c r="L1181" s="17" t="n">
        <x:f>G1181+H1181</x:f>
        <x:v>41900</x:v>
      </x:c>
      <x:c r="M1181" s="28" t="n">
        <x:f>G1181*J1181/1000000</x:f>
        <x:v>0.36005</x:v>
      </x:c>
      <x:c r="N1181" s="28" t="n">
        <x:f>H1181*K1181/1000000</x:f>
        <x:v>0.17685</x:v>
      </x:c>
      <x:c r="O1181" s="28" t="n">
        <x:f>SUM(M1181:N1181)</x:f>
        <x:v>0.5368999999999999</x:v>
      </x:c>
    </x:row>
    <x:row r="1182" ht="23" customHeight="1">
      <x:c r="A1182" s="17" t="str">
        <x:v>U01176</x:v>
      </x:c>
      <x:c r="B1182" s="18" t="n">
        <x:v>46274</x:v>
      </x:c>
      <x:c r="C1182" s="17" t="str">
        <x:v>W0112</x:v>
      </x:c>
      <x:c r="D1182" s="17" t="str">
        <x:v>C002</x:v>
      </x:c>
      <x:c r="E1182" s="17" t="str">
        <x:v>DataFlow</x:v>
      </x:c>
      <x:c r="F1182" s="17" t="str">
        <x:v>Lite</x:v>
      </x:c>
      <x:c r="G1182" s="17" t="n">
        <x:v>17484</x:v>
      </x:c>
      <x:c r="H1182" s="17" t="n">
        <x:v>12820</x:v>
      </x:c>
      <x:c r="I1182" s="17" t="str">
        <x:v>Correction</x:v>
      </x:c>
      <x:c r="J1182" s="27" t="n">
        <x:f>INDEX('Model Pricing'!$B$7:$B$8,MATCH(F1182,'Model Pricing'!$A$7:$A$8,0))</x:f>
        <x:v>10</x:v>
      </x:c>
      <x:c r="K1182" s="27" t="n">
        <x:f>INDEX('Model Pricing'!$C$7:$C$8,MATCH(F1182,'Model Pricing'!$A$7:$A$8,0))</x:f>
        <x:v>30</x:v>
      </x:c>
      <x:c r="L1182" s="17" t="n">
        <x:f>G1182+H1182</x:f>
        <x:v>30304</x:v>
      </x:c>
      <x:c r="M1182" s="28" t="n">
        <x:f>G1182*J1182/1000000</x:f>
        <x:v>0.17484</x:v>
      </x:c>
      <x:c r="N1182" s="28" t="n">
        <x:f>H1182*K1182/1000000</x:f>
        <x:v>0.3846</x:v>
      </x:c>
      <x:c r="O1182" s="28" t="n">
        <x:f>SUM(M1182:N1182)</x:f>
        <x:v>0.5594399999999999</x:v>
      </x:c>
    </x:row>
    <x:row r="1183" ht="23" customHeight="1">
      <x:c r="A1183" s="17" t="str">
        <x:v>U01177</x:v>
      </x:c>
      <x:c r="B1183" s="18" t="n">
        <x:v>46274</x:v>
      </x:c>
      <x:c r="C1183" s="17" t="str">
        <x:v>W0112</x:v>
      </x:c>
      <x:c r="D1183" s="17" t="str">
        <x:v>C002</x:v>
      </x:c>
      <x:c r="E1183" s="17" t="str">
        <x:v>DataFlow</x:v>
      </x:c>
      <x:c r="F1183" s="17" t="str">
        <x:v>Lite</x:v>
      </x:c>
      <x:c r="G1183" s="17" t="n">
        <x:v>36544</x:v>
      </x:c>
      <x:c r="H1183" s="17" t="n">
        <x:v>14403</x:v>
      </x:c>
      <x:c r="I1183" s="17" t="str">
        <x:v>Followup</x:v>
      </x:c>
      <x:c r="J1183" s="27" t="n">
        <x:f>INDEX('Model Pricing'!$B$7:$B$8,MATCH(F1183,'Model Pricing'!$A$7:$A$8,0))</x:f>
        <x:v>10</x:v>
      </x:c>
      <x:c r="K1183" s="27" t="n">
        <x:f>INDEX('Model Pricing'!$C$7:$C$8,MATCH(F1183,'Model Pricing'!$A$7:$A$8,0))</x:f>
        <x:v>30</x:v>
      </x:c>
      <x:c r="L1183" s="17" t="n">
        <x:f>G1183+H1183</x:f>
        <x:v>50947</x:v>
      </x:c>
      <x:c r="M1183" s="28" t="n">
        <x:f>G1183*J1183/1000000</x:f>
        <x:v>0.36544</x:v>
      </x:c>
      <x:c r="N1183" s="28" t="n">
        <x:f>H1183*K1183/1000000</x:f>
        <x:v>0.43209</x:v>
      </x:c>
      <x:c r="O1183" s="28" t="n">
        <x:f>SUM(M1183:N1183)</x:f>
        <x:v>0.79753</x:v>
      </x:c>
    </x:row>
    <x:row r="1184" ht="23" customHeight="1">
      <x:c r="A1184" s="17" t="str">
        <x:v>U01178</x:v>
      </x:c>
      <x:c r="B1184" s="18" t="n">
        <x:v>46274</x:v>
      </x:c>
      <x:c r="C1184" s="17" t="str">
        <x:v>W0112</x:v>
      </x:c>
      <x:c r="D1184" s="17" t="str">
        <x:v>C002</x:v>
      </x:c>
      <x:c r="E1184" s="17" t="str">
        <x:v>DataFlow</x:v>
      </x:c>
      <x:c r="F1184" s="17" t="str">
        <x:v>Lite</x:v>
      </x:c>
      <x:c r="G1184" s="17" t="n">
        <x:v>37324</x:v>
      </x:c>
      <x:c r="H1184" s="17" t="n">
        <x:v>13372</x:v>
      </x:c>
      <x:c r="I1184" s="17" t="str">
        <x:v>Followup</x:v>
      </x:c>
      <x:c r="J1184" s="27" t="n">
        <x:f>INDEX('Model Pricing'!$B$7:$B$8,MATCH(F1184,'Model Pricing'!$A$7:$A$8,0))</x:f>
        <x:v>10</x:v>
      </x:c>
      <x:c r="K1184" s="27" t="n">
        <x:f>INDEX('Model Pricing'!$C$7:$C$8,MATCH(F1184,'Model Pricing'!$A$7:$A$8,0))</x:f>
        <x:v>30</x:v>
      </x:c>
      <x:c r="L1184" s="17" t="n">
        <x:f>G1184+H1184</x:f>
        <x:v>50696</x:v>
      </x:c>
      <x:c r="M1184" s="28" t="n">
        <x:f>G1184*J1184/1000000</x:f>
        <x:v>0.37324</x:v>
      </x:c>
      <x:c r="N1184" s="28" t="n">
        <x:f>H1184*K1184/1000000</x:f>
        <x:v>0.40116</x:v>
      </x:c>
      <x:c r="O1184" s="28" t="n">
        <x:f>SUM(M1184:N1184)</x:f>
        <x:v>0.7744</x:v>
      </x:c>
    </x:row>
    <x:row r="1185" ht="23" customHeight="1">
      <x:c r="A1185" s="17" t="str">
        <x:v>U01179</x:v>
      </x:c>
      <x:c r="B1185" s="18" t="n">
        <x:v>46275</x:v>
      </x:c>
      <x:c r="C1185" s="17" t="str">
        <x:v>W0112</x:v>
      </x:c>
      <x:c r="D1185" s="17" t="str">
        <x:v>C002</x:v>
      </x:c>
      <x:c r="E1185" s="17" t="str">
        <x:v>DataFlow</x:v>
      </x:c>
      <x:c r="F1185" s="17" t="str">
        <x:v>Lite</x:v>
      </x:c>
      <x:c r="G1185" s="17" t="n">
        <x:v>25012</x:v>
      </x:c>
      <x:c r="H1185" s="17" t="n">
        <x:v>4813</x:v>
      </x:c>
      <x:c r="I1185" s="17" t="str">
        <x:v>Followup</x:v>
      </x:c>
      <x:c r="J1185" s="27" t="n">
        <x:f>INDEX('Model Pricing'!$B$7:$B$8,MATCH(F1185,'Model Pricing'!$A$7:$A$8,0))</x:f>
        <x:v>10</x:v>
      </x:c>
      <x:c r="K1185" s="27" t="n">
        <x:f>INDEX('Model Pricing'!$C$7:$C$8,MATCH(F1185,'Model Pricing'!$A$7:$A$8,0))</x:f>
        <x:v>30</x:v>
      </x:c>
      <x:c r="L1185" s="17" t="n">
        <x:f>G1185+H1185</x:f>
        <x:v>29825</x:v>
      </x:c>
      <x:c r="M1185" s="28" t="n">
        <x:f>G1185*J1185/1000000</x:f>
        <x:v>0.25012</x:v>
      </x:c>
      <x:c r="N1185" s="28" t="n">
        <x:f>H1185*K1185/1000000</x:f>
        <x:v>0.14439</x:v>
      </x:c>
      <x:c r="O1185" s="28" t="n">
        <x:f>SUM(M1185:N1185)</x:f>
        <x:v>0.39451</x:v>
      </x:c>
    </x:row>
    <x:row r="1186" ht="23" customHeight="1">
      <x:c r="A1186" s="17" t="str">
        <x:v>U01180</x:v>
      </x:c>
      <x:c r="B1186" s="18" t="n">
        <x:v>46275</x:v>
      </x:c>
      <x:c r="C1186" s="17" t="str">
        <x:v>W0112</x:v>
      </x:c>
      <x:c r="D1186" s="17" t="str">
        <x:v>C002</x:v>
      </x:c>
      <x:c r="E1186" s="17" t="str">
        <x:v>DataFlow</x:v>
      </x:c>
      <x:c r="F1186" s="17" t="str">
        <x:v>Lite</x:v>
      </x:c>
      <x:c r="G1186" s="17" t="n">
        <x:v>22021</x:v>
      </x:c>
      <x:c r="H1186" s="17" t="n">
        <x:v>5556</x:v>
      </x:c>
      <x:c r="I1186" s="17" t="str">
        <x:v>Followup</x:v>
      </x:c>
      <x:c r="J1186" s="27" t="n">
        <x:f>INDEX('Model Pricing'!$B$7:$B$8,MATCH(F1186,'Model Pricing'!$A$7:$A$8,0))</x:f>
        <x:v>10</x:v>
      </x:c>
      <x:c r="K1186" s="27" t="n">
        <x:f>INDEX('Model Pricing'!$C$7:$C$8,MATCH(F1186,'Model Pricing'!$A$7:$A$8,0))</x:f>
        <x:v>30</x:v>
      </x:c>
      <x:c r="L1186" s="17" t="n">
        <x:f>G1186+H1186</x:f>
        <x:v>27577</x:v>
      </x:c>
      <x:c r="M1186" s="28" t="n">
        <x:f>G1186*J1186/1000000</x:f>
        <x:v>0.22021</x:v>
      </x:c>
      <x:c r="N1186" s="28" t="n">
        <x:f>H1186*K1186/1000000</x:f>
        <x:v>0.16668</x:v>
      </x:c>
      <x:c r="O1186" s="28" t="n">
        <x:f>SUM(M1186:N1186)</x:f>
        <x:v>0.38688999999999996</x:v>
      </x:c>
    </x:row>
    <x:row r="1187" ht="23" customHeight="1">
      <x:c r="A1187" s="17" t="str">
        <x:v>U01181</x:v>
      </x:c>
      <x:c r="B1187" s="18" t="n">
        <x:v>46275</x:v>
      </x:c>
      <x:c r="C1187" s="17" t="str">
        <x:v>W0112</x:v>
      </x:c>
      <x:c r="D1187" s="17" t="str">
        <x:v>C002</x:v>
      </x:c>
      <x:c r="E1187" s="17" t="str">
        <x:v>DataFlow</x:v>
      </x:c>
      <x:c r="F1187" s="17" t="str">
        <x:v>Lite</x:v>
      </x:c>
      <x:c r="G1187" s="17" t="n">
        <x:v>27437</x:v>
      </x:c>
      <x:c r="H1187" s="17" t="n">
        <x:v>8105</x:v>
      </x:c>
      <x:c r="I1187" s="17" t="str">
        <x:v>Correction</x:v>
      </x:c>
      <x:c r="J1187" s="27" t="n">
        <x:f>INDEX('Model Pricing'!$B$7:$B$8,MATCH(F1187,'Model Pricing'!$A$7:$A$8,0))</x:f>
        <x:v>10</x:v>
      </x:c>
      <x:c r="K1187" s="27" t="n">
        <x:f>INDEX('Model Pricing'!$C$7:$C$8,MATCH(F1187,'Model Pricing'!$A$7:$A$8,0))</x:f>
        <x:v>30</x:v>
      </x:c>
      <x:c r="L1187" s="17" t="n">
        <x:f>G1187+H1187</x:f>
        <x:v>35542</x:v>
      </x:c>
      <x:c r="M1187" s="28" t="n">
        <x:f>G1187*J1187/1000000</x:f>
        <x:v>0.27437</x:v>
      </x:c>
      <x:c r="N1187" s="28" t="n">
        <x:f>H1187*K1187/1000000</x:f>
        <x:v>0.24315</x:v>
      </x:c>
      <x:c r="O1187" s="28" t="n">
        <x:f>SUM(M1187:N1187)</x:f>
        <x:v>0.51752</x:v>
      </x:c>
    </x:row>
    <x:row r="1188" ht="23" customHeight="1">
      <x:c r="A1188" s="17" t="str">
        <x:v>U01182</x:v>
      </x:c>
      <x:c r="B1188" s="18" t="n">
        <x:v>46275</x:v>
      </x:c>
      <x:c r="C1188" s="17" t="str">
        <x:v>W0112</x:v>
      </x:c>
      <x:c r="D1188" s="17" t="str">
        <x:v>C002</x:v>
      </x:c>
      <x:c r="E1188" s="17" t="str">
        <x:v>DataFlow</x:v>
      </x:c>
      <x:c r="F1188" s="17" t="str">
        <x:v>Lite</x:v>
      </x:c>
      <x:c r="G1188" s="17" t="n">
        <x:v>15729</x:v>
      </x:c>
      <x:c r="H1188" s="17" t="n">
        <x:v>15365</x:v>
      </x:c>
      <x:c r="I1188" s="17" t="str">
        <x:v>Correction</x:v>
      </x:c>
      <x:c r="J1188" s="27" t="n">
        <x:f>INDEX('Model Pricing'!$B$7:$B$8,MATCH(F1188,'Model Pricing'!$A$7:$A$8,0))</x:f>
        <x:v>10</x:v>
      </x:c>
      <x:c r="K1188" s="27" t="n">
        <x:f>INDEX('Model Pricing'!$C$7:$C$8,MATCH(F1188,'Model Pricing'!$A$7:$A$8,0))</x:f>
        <x:v>30</x:v>
      </x:c>
      <x:c r="L1188" s="17" t="n">
        <x:f>G1188+H1188</x:f>
        <x:v>31094</x:v>
      </x:c>
      <x:c r="M1188" s="28" t="n">
        <x:f>G1188*J1188/1000000</x:f>
        <x:v>0.15729</x:v>
      </x:c>
      <x:c r="N1188" s="28" t="n">
        <x:f>H1188*K1188/1000000</x:f>
        <x:v>0.46095</x:v>
      </x:c>
      <x:c r="O1188" s="28" t="n">
        <x:f>SUM(M1188:N1188)</x:f>
        <x:v>0.61824</x:v>
      </x:c>
    </x:row>
    <x:row r="1189" ht="23" customHeight="1">
      <x:c r="A1189" s="17" t="str">
        <x:v>U01183</x:v>
      </x:c>
      <x:c r="B1189" s="18" t="n">
        <x:v>46275</x:v>
      </x:c>
      <x:c r="C1189" s="17" t="str">
        <x:v>W0112</x:v>
      </x:c>
      <x:c r="D1189" s="17" t="str">
        <x:v>C002</x:v>
      </x:c>
      <x:c r="E1189" s="17" t="str">
        <x:v>DataFlow</x:v>
      </x:c>
      <x:c r="F1189" s="17" t="str">
        <x:v>Lite</x:v>
      </x:c>
      <x:c r="G1189" s="17" t="n">
        <x:v>41645</x:v>
      </x:c>
      <x:c r="H1189" s="17" t="n">
        <x:v>10002</x:v>
      </x:c>
      <x:c r="I1189" s="17" t="str">
        <x:v>Followup</x:v>
      </x:c>
      <x:c r="J1189" s="27" t="n">
        <x:f>INDEX('Model Pricing'!$B$7:$B$8,MATCH(F1189,'Model Pricing'!$A$7:$A$8,0))</x:f>
        <x:v>10</x:v>
      </x:c>
      <x:c r="K1189" s="27" t="n">
        <x:f>INDEX('Model Pricing'!$C$7:$C$8,MATCH(F1189,'Model Pricing'!$A$7:$A$8,0))</x:f>
        <x:v>30</x:v>
      </x:c>
      <x:c r="L1189" s="17" t="n">
        <x:f>G1189+H1189</x:f>
        <x:v>51647</x:v>
      </x:c>
      <x:c r="M1189" s="28" t="n">
        <x:f>G1189*J1189/1000000</x:f>
        <x:v>0.41645</x:v>
      </x:c>
      <x:c r="N1189" s="28" t="n">
        <x:f>H1189*K1189/1000000</x:f>
        <x:v>0.30006</x:v>
      </x:c>
      <x:c r="O1189" s="28" t="n">
        <x:f>SUM(M1189:N1189)</x:f>
        <x:v>0.71651</x:v>
      </x:c>
    </x:row>
    <x:row r="1190" ht="23" customHeight="1">
      <x:c r="A1190" s="17" t="str">
        <x:v>U01184</x:v>
      </x:c>
      <x:c r="B1190" s="18" t="n">
        <x:v>46275</x:v>
      </x:c>
      <x:c r="C1190" s="17" t="str">
        <x:v>W0112</x:v>
      </x:c>
      <x:c r="D1190" s="17" t="str">
        <x:v>C002</x:v>
      </x:c>
      <x:c r="E1190" s="17" t="str">
        <x:v>DataFlow</x:v>
      </x:c>
      <x:c r="F1190" s="17" t="str">
        <x:v>Lite</x:v>
      </x:c>
      <x:c r="G1190" s="17" t="n">
        <x:v>28137</x:v>
      </x:c>
      <x:c r="H1190" s="17" t="n">
        <x:v>7833</x:v>
      </x:c>
      <x:c r="I1190" s="17" t="str">
        <x:v>Followup</x:v>
      </x:c>
      <x:c r="J1190" s="27" t="n">
        <x:f>INDEX('Model Pricing'!$B$7:$B$8,MATCH(F1190,'Model Pricing'!$A$7:$A$8,0))</x:f>
        <x:v>10</x:v>
      </x:c>
      <x:c r="K1190" s="27" t="n">
        <x:f>INDEX('Model Pricing'!$C$7:$C$8,MATCH(F1190,'Model Pricing'!$A$7:$A$8,0))</x:f>
        <x:v>30</x:v>
      </x:c>
      <x:c r="L1190" s="17" t="n">
        <x:f>G1190+H1190</x:f>
        <x:v>35970</x:v>
      </x:c>
      <x:c r="M1190" s="28" t="n">
        <x:f>G1190*J1190/1000000</x:f>
        <x:v>0.28137</x:v>
      </x:c>
      <x:c r="N1190" s="28" t="n">
        <x:f>H1190*K1190/1000000</x:f>
        <x:v>0.23499</x:v>
      </x:c>
      <x:c r="O1190" s="28" t="n">
        <x:f>SUM(M1190:N1190)</x:f>
        <x:v>0.51636</x:v>
      </x:c>
    </x:row>
    <x:row r="1191" ht="23" customHeight="1">
      <x:c r="A1191" s="17" t="str">
        <x:v>U01185</x:v>
      </x:c>
      <x:c r="B1191" s="18" t="n">
        <x:v>46268</x:v>
      </x:c>
      <x:c r="C1191" s="17" t="str">
        <x:v>W0117</x:v>
      </x:c>
      <x:c r="D1191" s="17" t="str">
        <x:v>C002</x:v>
      </x:c>
      <x:c r="E1191" s="17" t="str">
        <x:v>CopyStudio</x:v>
      </x:c>
      <x:c r="F1191" s="17" t="str">
        <x:v>Lite</x:v>
      </x:c>
      <x:c r="G1191" s="17" t="n">
        <x:v>19735</x:v>
      </x:c>
      <x:c r="H1191" s="17" t="n">
        <x:v>5973</x:v>
      </x:c>
      <x:c r="I1191" s="17" t="str">
        <x:v>First attempt</x:v>
      </x:c>
      <x:c r="J1191" s="27" t="n">
        <x:f>INDEX('Model Pricing'!$B$7:$B$8,MATCH(F1191,'Model Pricing'!$A$7:$A$8,0))</x:f>
        <x:v>10</x:v>
      </x:c>
      <x:c r="K1191" s="27" t="n">
        <x:f>INDEX('Model Pricing'!$C$7:$C$8,MATCH(F1191,'Model Pricing'!$A$7:$A$8,0))</x:f>
        <x:v>30</x:v>
      </x:c>
      <x:c r="L1191" s="17" t="n">
        <x:f>G1191+H1191</x:f>
        <x:v>25708</x:v>
      </x:c>
      <x:c r="M1191" s="28" t="n">
        <x:f>G1191*J1191/1000000</x:f>
        <x:v>0.19735</x:v>
      </x:c>
      <x:c r="N1191" s="28" t="n">
        <x:f>H1191*K1191/1000000</x:f>
        <x:v>0.17919</x:v>
      </x:c>
      <x:c r="O1191" s="28" t="n">
        <x:f>SUM(M1191:N1191)</x:f>
        <x:v>0.37654</x:v>
      </x:c>
    </x:row>
    <x:row r="1192" ht="23" customHeight="1">
      <x:c r="A1192" s="17" t="str">
        <x:v>U01186</x:v>
      </x:c>
      <x:c r="B1192" s="18" t="n">
        <x:v>46268</x:v>
      </x:c>
      <x:c r="C1192" s="17" t="str">
        <x:v>W0117</x:v>
      </x:c>
      <x:c r="D1192" s="17" t="str">
        <x:v>C002</x:v>
      </x:c>
      <x:c r="E1192" s="17" t="str">
        <x:v>CopyStudio</x:v>
      </x:c>
      <x:c r="F1192" s="17" t="str">
        <x:v>Lite</x:v>
      </x:c>
      <x:c r="G1192" s="17" t="n">
        <x:v>41193</x:v>
      </x:c>
      <x:c r="H1192" s="17" t="n">
        <x:v>2291</x:v>
      </x:c>
      <x:c r="I1192" s="17" t="str">
        <x:v>Correction</x:v>
      </x:c>
      <x:c r="J1192" s="27" t="n">
        <x:f>INDEX('Model Pricing'!$B$7:$B$8,MATCH(F1192,'Model Pricing'!$A$7:$A$8,0))</x:f>
        <x:v>10</x:v>
      </x:c>
      <x:c r="K1192" s="27" t="n">
        <x:f>INDEX('Model Pricing'!$C$7:$C$8,MATCH(F1192,'Model Pricing'!$A$7:$A$8,0))</x:f>
        <x:v>30</x:v>
      </x:c>
      <x:c r="L1192" s="17" t="n">
        <x:f>G1192+H1192</x:f>
        <x:v>43484</x:v>
      </x:c>
      <x:c r="M1192" s="28" t="n">
        <x:f>G1192*J1192/1000000</x:f>
        <x:v>0.41193</x:v>
      </x:c>
      <x:c r="N1192" s="28" t="n">
        <x:f>H1192*K1192/1000000</x:f>
        <x:v>0.06873</x:v>
      </x:c>
      <x:c r="O1192" s="28" t="n">
        <x:f>SUM(M1192:N1192)</x:f>
        <x:v>0.48066000000000003</x:v>
      </x:c>
    </x:row>
    <x:row r="1193" ht="23" customHeight="1">
      <x:c r="A1193" s="17" t="str">
        <x:v>U01187</x:v>
      </x:c>
      <x:c r="B1193" s="18" t="n">
        <x:v>46268</x:v>
      </x:c>
      <x:c r="C1193" s="17" t="str">
        <x:v>W0117</x:v>
      </x:c>
      <x:c r="D1193" s="17" t="str">
        <x:v>C002</x:v>
      </x:c>
      <x:c r="E1193" s="17" t="str">
        <x:v>CopyStudio</x:v>
      </x:c>
      <x:c r="F1193" s="17" t="str">
        <x:v>Lite</x:v>
      </x:c>
      <x:c r="G1193" s="17" t="n">
        <x:v>16152</x:v>
      </x:c>
      <x:c r="H1193" s="17" t="n">
        <x:v>4105</x:v>
      </x:c>
      <x:c r="I1193" s="17" t="str">
        <x:v>Followup</x:v>
      </x:c>
      <x:c r="J1193" s="27" t="n">
        <x:f>INDEX('Model Pricing'!$B$7:$B$8,MATCH(F1193,'Model Pricing'!$A$7:$A$8,0))</x:f>
        <x:v>10</x:v>
      </x:c>
      <x:c r="K1193" s="27" t="n">
        <x:f>INDEX('Model Pricing'!$C$7:$C$8,MATCH(F1193,'Model Pricing'!$A$7:$A$8,0))</x:f>
        <x:v>30</x:v>
      </x:c>
      <x:c r="L1193" s="17" t="n">
        <x:f>G1193+H1193</x:f>
        <x:v>20257</x:v>
      </x:c>
      <x:c r="M1193" s="28" t="n">
        <x:f>G1193*J1193/1000000</x:f>
        <x:v>0.16152</x:v>
      </x:c>
      <x:c r="N1193" s="28" t="n">
        <x:f>H1193*K1193/1000000</x:f>
        <x:v>0.12315</x:v>
      </x:c>
      <x:c r="O1193" s="28" t="n">
        <x:f>SUM(M1193:N1193)</x:f>
        <x:v>0.28467</x:v>
      </x:c>
    </x:row>
    <x:row r="1194" ht="23" customHeight="1">
      <x:c r="A1194" s="17" t="str">
        <x:v>U01188</x:v>
      </x:c>
      <x:c r="B1194" s="18" t="n">
        <x:v>46268</x:v>
      </x:c>
      <x:c r="C1194" s="17" t="str">
        <x:v>W0117</x:v>
      </x:c>
      <x:c r="D1194" s="17" t="str">
        <x:v>C002</x:v>
      </x:c>
      <x:c r="E1194" s="17" t="str">
        <x:v>CopyStudio</x:v>
      </x:c>
      <x:c r="F1194" s="17" t="str">
        <x:v>Lite</x:v>
      </x:c>
      <x:c r="G1194" s="17" t="n">
        <x:v>26800</x:v>
      </x:c>
      <x:c r="H1194" s="17" t="n">
        <x:v>3033</x:v>
      </x:c>
      <x:c r="I1194" s="17" t="str">
        <x:v>Followup</x:v>
      </x:c>
      <x:c r="J1194" s="27" t="n">
        <x:f>INDEX('Model Pricing'!$B$7:$B$8,MATCH(F1194,'Model Pricing'!$A$7:$A$8,0))</x:f>
        <x:v>10</x:v>
      </x:c>
      <x:c r="K1194" s="27" t="n">
        <x:f>INDEX('Model Pricing'!$C$7:$C$8,MATCH(F1194,'Model Pricing'!$A$7:$A$8,0))</x:f>
        <x:v>30</x:v>
      </x:c>
      <x:c r="L1194" s="17" t="n">
        <x:f>G1194+H1194</x:f>
        <x:v>29833</x:v>
      </x:c>
      <x:c r="M1194" s="28" t="n">
        <x:f>G1194*J1194/1000000</x:f>
        <x:v>0.268</x:v>
      </x:c>
      <x:c r="N1194" s="28" t="n">
        <x:f>H1194*K1194/1000000</x:f>
        <x:v>0.09099</x:v>
      </x:c>
      <x:c r="O1194" s="28" t="n">
        <x:f>SUM(M1194:N1194)</x:f>
        <x:v>0.35899000000000003</x:v>
      </x:c>
    </x:row>
    <x:row r="1195" ht="23" customHeight="1">
      <x:c r="A1195" s="17" t="str">
        <x:v>U01189</x:v>
      </x:c>
      <x:c r="B1195" s="18" t="n">
        <x:v>46268</x:v>
      </x:c>
      <x:c r="C1195" s="17" t="str">
        <x:v>W0117</x:v>
      </x:c>
      <x:c r="D1195" s="17" t="str">
        <x:v>C002</x:v>
      </x:c>
      <x:c r="E1195" s="17" t="str">
        <x:v>CopyStudio</x:v>
      </x:c>
      <x:c r="F1195" s="17" t="str">
        <x:v>Lite</x:v>
      </x:c>
      <x:c r="G1195" s="17" t="n">
        <x:v>43335</x:v>
      </x:c>
      <x:c r="H1195" s="17" t="n">
        <x:v>2188</x:v>
      </x:c>
      <x:c r="I1195" s="17" t="str">
        <x:v>Followup</x:v>
      </x:c>
      <x:c r="J1195" s="27" t="n">
        <x:f>INDEX('Model Pricing'!$B$7:$B$8,MATCH(F1195,'Model Pricing'!$A$7:$A$8,0))</x:f>
        <x:v>10</x:v>
      </x:c>
      <x:c r="K1195" s="27" t="n">
        <x:f>INDEX('Model Pricing'!$C$7:$C$8,MATCH(F1195,'Model Pricing'!$A$7:$A$8,0))</x:f>
        <x:v>30</x:v>
      </x:c>
      <x:c r="L1195" s="17" t="n">
        <x:f>G1195+H1195</x:f>
        <x:v>45523</x:v>
      </x:c>
      <x:c r="M1195" s="28" t="n">
        <x:f>G1195*J1195/1000000</x:f>
        <x:v>0.43335</x:v>
      </x:c>
      <x:c r="N1195" s="28" t="n">
        <x:f>H1195*K1195/1000000</x:f>
        <x:v>0.06564</x:v>
      </x:c>
      <x:c r="O1195" s="28" t="n">
        <x:f>SUM(M1195:N1195)</x:f>
        <x:v>0.49899000000000004</x:v>
      </x:c>
    </x:row>
    <x:row r="1196" ht="23" customHeight="1">
      <x:c r="A1196" s="17" t="str">
        <x:v>U01190</x:v>
      </x:c>
      <x:c r="B1196" s="18" t="n">
        <x:v>46269</x:v>
      </x:c>
      <x:c r="C1196" s="17" t="str">
        <x:v>W0117</x:v>
      </x:c>
      <x:c r="D1196" s="17" t="str">
        <x:v>C002</x:v>
      </x:c>
      <x:c r="E1196" s="17" t="str">
        <x:v>CopyStudio</x:v>
      </x:c>
      <x:c r="F1196" s="17" t="str">
        <x:v>Lite</x:v>
      </x:c>
      <x:c r="G1196" s="17" t="n">
        <x:v>45677</x:v>
      </x:c>
      <x:c r="H1196" s="17" t="n">
        <x:v>5444</x:v>
      </x:c>
      <x:c r="I1196" s="17" t="str">
        <x:v>Correction</x:v>
      </x:c>
      <x:c r="J1196" s="27" t="n">
        <x:f>INDEX('Model Pricing'!$B$7:$B$8,MATCH(F1196,'Model Pricing'!$A$7:$A$8,0))</x:f>
        <x:v>10</x:v>
      </x:c>
      <x:c r="K1196" s="27" t="n">
        <x:f>INDEX('Model Pricing'!$C$7:$C$8,MATCH(F1196,'Model Pricing'!$A$7:$A$8,0))</x:f>
        <x:v>30</x:v>
      </x:c>
      <x:c r="L1196" s="17" t="n">
        <x:f>G1196+H1196</x:f>
        <x:v>51121</x:v>
      </x:c>
      <x:c r="M1196" s="28" t="n">
        <x:f>G1196*J1196/1000000</x:f>
        <x:v>0.45677</x:v>
      </x:c>
      <x:c r="N1196" s="28" t="n">
        <x:f>H1196*K1196/1000000</x:f>
        <x:v>0.16332</x:v>
      </x:c>
      <x:c r="O1196" s="28" t="n">
        <x:f>SUM(M1196:N1196)</x:f>
        <x:v>0.62009</x:v>
      </x:c>
    </x:row>
    <x:row r="1197" ht="23" customHeight="1">
      <x:c r="A1197" s="17" t="str">
        <x:v>U01191</x:v>
      </x:c>
      <x:c r="B1197" s="18" t="n">
        <x:v>46269</x:v>
      </x:c>
      <x:c r="C1197" s="17" t="str">
        <x:v>W0117</x:v>
      </x:c>
      <x:c r="D1197" s="17" t="str">
        <x:v>C002</x:v>
      </x:c>
      <x:c r="E1197" s="17" t="str">
        <x:v>CopyStudio</x:v>
      </x:c>
      <x:c r="F1197" s="17" t="str">
        <x:v>Lite</x:v>
      </x:c>
      <x:c r="G1197" s="17" t="n">
        <x:v>27312</x:v>
      </x:c>
      <x:c r="H1197" s="17" t="n">
        <x:v>5098</x:v>
      </x:c>
      <x:c r="I1197" s="17" t="str">
        <x:v>Followup</x:v>
      </x:c>
      <x:c r="J1197" s="27" t="n">
        <x:f>INDEX('Model Pricing'!$B$7:$B$8,MATCH(F1197,'Model Pricing'!$A$7:$A$8,0))</x:f>
        <x:v>10</x:v>
      </x:c>
      <x:c r="K1197" s="27" t="n">
        <x:f>INDEX('Model Pricing'!$C$7:$C$8,MATCH(F1197,'Model Pricing'!$A$7:$A$8,0))</x:f>
        <x:v>30</x:v>
      </x:c>
      <x:c r="L1197" s="17" t="n">
        <x:f>G1197+H1197</x:f>
        <x:v>32410</x:v>
      </x:c>
      <x:c r="M1197" s="28" t="n">
        <x:f>G1197*J1197/1000000</x:f>
        <x:v>0.27312</x:v>
      </x:c>
      <x:c r="N1197" s="28" t="n">
        <x:f>H1197*K1197/1000000</x:f>
        <x:v>0.15294</x:v>
      </x:c>
      <x:c r="O1197" s="28" t="n">
        <x:f>SUM(M1197:N1197)</x:f>
        <x:v>0.42606</x:v>
      </x:c>
    </x:row>
    <x:row r="1198" ht="23" customHeight="1">
      <x:c r="A1198" s="17" t="str">
        <x:v>U01192</x:v>
      </x:c>
      <x:c r="B1198" s="18" t="n">
        <x:v>46269</x:v>
      </x:c>
      <x:c r="C1198" s="17" t="str">
        <x:v>W0117</x:v>
      </x:c>
      <x:c r="D1198" s="17" t="str">
        <x:v>C002</x:v>
      </x:c>
      <x:c r="E1198" s="17" t="str">
        <x:v>CopyStudio</x:v>
      </x:c>
      <x:c r="F1198" s="17" t="str">
        <x:v>Lite</x:v>
      </x:c>
      <x:c r="G1198" s="17" t="n">
        <x:v>32247</x:v>
      </x:c>
      <x:c r="H1198" s="17" t="n">
        <x:v>5408</x:v>
      </x:c>
      <x:c r="I1198" s="17" t="str">
        <x:v>Correction</x:v>
      </x:c>
      <x:c r="J1198" s="27" t="n">
        <x:f>INDEX('Model Pricing'!$B$7:$B$8,MATCH(F1198,'Model Pricing'!$A$7:$A$8,0))</x:f>
        <x:v>10</x:v>
      </x:c>
      <x:c r="K1198" s="27" t="n">
        <x:f>INDEX('Model Pricing'!$C$7:$C$8,MATCH(F1198,'Model Pricing'!$A$7:$A$8,0))</x:f>
        <x:v>30</x:v>
      </x:c>
      <x:c r="L1198" s="17" t="n">
        <x:f>G1198+H1198</x:f>
        <x:v>37655</x:v>
      </x:c>
      <x:c r="M1198" s="28" t="n">
        <x:f>G1198*J1198/1000000</x:f>
        <x:v>0.32247</x:v>
      </x:c>
      <x:c r="N1198" s="28" t="n">
        <x:f>H1198*K1198/1000000</x:f>
        <x:v>0.16224</x:v>
      </x:c>
      <x:c r="O1198" s="28" t="n">
        <x:f>SUM(M1198:N1198)</x:f>
        <x:v>0.48471</x:v>
      </x:c>
    </x:row>
    <x:row r="1199" ht="23" customHeight="1">
      <x:c r="A1199" s="17" t="str">
        <x:v>U01193</x:v>
      </x:c>
      <x:c r="B1199" s="18" t="n">
        <x:v>46269</x:v>
      </x:c>
      <x:c r="C1199" s="17" t="str">
        <x:v>W0117</x:v>
      </x:c>
      <x:c r="D1199" s="17" t="str">
        <x:v>C002</x:v>
      </x:c>
      <x:c r="E1199" s="17" t="str">
        <x:v>CopyStudio</x:v>
      </x:c>
      <x:c r="F1199" s="17" t="str">
        <x:v>Lite</x:v>
      </x:c>
      <x:c r="G1199" s="17" t="n">
        <x:v>28818</x:v>
      </x:c>
      <x:c r="H1199" s="17" t="n">
        <x:v>4057</x:v>
      </x:c>
      <x:c r="I1199" s="17" t="str">
        <x:v>Correction</x:v>
      </x:c>
      <x:c r="J1199" s="27" t="n">
        <x:f>INDEX('Model Pricing'!$B$7:$B$8,MATCH(F1199,'Model Pricing'!$A$7:$A$8,0))</x:f>
        <x:v>10</x:v>
      </x:c>
      <x:c r="K1199" s="27" t="n">
        <x:f>INDEX('Model Pricing'!$C$7:$C$8,MATCH(F1199,'Model Pricing'!$A$7:$A$8,0))</x:f>
        <x:v>30</x:v>
      </x:c>
      <x:c r="L1199" s="17" t="n">
        <x:f>G1199+H1199</x:f>
        <x:v>32875</x:v>
      </x:c>
      <x:c r="M1199" s="28" t="n">
        <x:f>G1199*J1199/1000000</x:f>
        <x:v>0.28818</x:v>
      </x:c>
      <x:c r="N1199" s="28" t="n">
        <x:f>H1199*K1199/1000000</x:f>
        <x:v>0.12171</x:v>
      </x:c>
      <x:c r="O1199" s="28" t="n">
        <x:f>SUM(M1199:N1199)</x:f>
        <x:v>0.40989</x:v>
      </x:c>
    </x:row>
    <x:row r="1200" ht="23" customHeight="1">
      <x:c r="A1200" s="17" t="str">
        <x:v>U01194</x:v>
      </x:c>
      <x:c r="B1200" s="18" t="n">
        <x:v>46273</x:v>
      </x:c>
      <x:c r="C1200" s="17" t="str">
        <x:v>W0117</x:v>
      </x:c>
      <x:c r="D1200" s="17" t="str">
        <x:v>C002</x:v>
      </x:c>
      <x:c r="E1200" s="17" t="str">
        <x:v>CopyStudio</x:v>
      </x:c>
      <x:c r="F1200" s="17" t="str">
        <x:v>Lite</x:v>
      </x:c>
      <x:c r="G1200" s="17" t="n">
        <x:v>43548</x:v>
      </x:c>
      <x:c r="H1200" s="17" t="n">
        <x:v>4111</x:v>
      </x:c>
      <x:c r="I1200" s="17" t="str">
        <x:v>Followup</x:v>
      </x:c>
      <x:c r="J1200" s="27" t="n">
        <x:f>INDEX('Model Pricing'!$B$7:$B$8,MATCH(F1200,'Model Pricing'!$A$7:$A$8,0))</x:f>
        <x:v>10</x:v>
      </x:c>
      <x:c r="K1200" s="27" t="n">
        <x:f>INDEX('Model Pricing'!$C$7:$C$8,MATCH(F1200,'Model Pricing'!$A$7:$A$8,0))</x:f>
        <x:v>30</x:v>
      </x:c>
      <x:c r="L1200" s="17" t="n">
        <x:f>G1200+H1200</x:f>
        <x:v>47659</x:v>
      </x:c>
      <x:c r="M1200" s="28" t="n">
        <x:f>G1200*J1200/1000000</x:f>
        <x:v>0.43548</x:v>
      </x:c>
      <x:c r="N1200" s="28" t="n">
        <x:f>H1200*K1200/1000000</x:f>
        <x:v>0.12333</x:v>
      </x:c>
      <x:c r="O1200" s="28" t="n">
        <x:f>SUM(M1200:N1200)</x:f>
        <x:v>0.55881</x:v>
      </x:c>
    </x:row>
    <x:row r="1201" ht="23" customHeight="1">
      <x:c r="A1201" s="17" t="str">
        <x:v>U01195</x:v>
      </x:c>
      <x:c r="B1201" s="18" t="n">
        <x:v>46273</x:v>
      </x:c>
      <x:c r="C1201" s="17" t="str">
        <x:v>W0117</x:v>
      </x:c>
      <x:c r="D1201" s="17" t="str">
        <x:v>C002</x:v>
      </x:c>
      <x:c r="E1201" s="17" t="str">
        <x:v>CopyStudio</x:v>
      </x:c>
      <x:c r="F1201" s="17" t="str">
        <x:v>Lite</x:v>
      </x:c>
      <x:c r="G1201" s="17" t="n">
        <x:v>26638</x:v>
      </x:c>
      <x:c r="H1201" s="17" t="n">
        <x:v>4363</x:v>
      </x:c>
      <x:c r="I1201" s="17" t="str">
        <x:v>Followup</x:v>
      </x:c>
      <x:c r="J1201" s="27" t="n">
        <x:f>INDEX('Model Pricing'!$B$7:$B$8,MATCH(F1201,'Model Pricing'!$A$7:$A$8,0))</x:f>
        <x:v>10</x:v>
      </x:c>
      <x:c r="K1201" s="27" t="n">
        <x:f>INDEX('Model Pricing'!$C$7:$C$8,MATCH(F1201,'Model Pricing'!$A$7:$A$8,0))</x:f>
        <x:v>30</x:v>
      </x:c>
      <x:c r="L1201" s="17" t="n">
        <x:f>G1201+H1201</x:f>
        <x:v>31001</x:v>
      </x:c>
      <x:c r="M1201" s="28" t="n">
        <x:f>G1201*J1201/1000000</x:f>
        <x:v>0.26638</x:v>
      </x:c>
      <x:c r="N1201" s="28" t="n">
        <x:f>H1201*K1201/1000000</x:f>
        <x:v>0.13089</x:v>
      </x:c>
      <x:c r="O1201" s="28" t="n">
        <x:f>SUM(M1201:N1201)</x:f>
        <x:v>0.39727</x:v>
      </x:c>
    </x:row>
    <x:row r="1202" ht="23" customHeight="1">
      <x:c r="A1202" s="17" t="str">
        <x:v>U01196</x:v>
      </x:c>
      <x:c r="B1202" s="18" t="n">
        <x:v>46273</x:v>
      </x:c>
      <x:c r="C1202" s="17" t="str">
        <x:v>W0117</x:v>
      </x:c>
      <x:c r="D1202" s="17" t="str">
        <x:v>C002</x:v>
      </x:c>
      <x:c r="E1202" s="17" t="str">
        <x:v>CopyStudio</x:v>
      </x:c>
      <x:c r="F1202" s="17" t="str">
        <x:v>Lite</x:v>
      </x:c>
      <x:c r="G1202" s="17" t="n">
        <x:v>23931</x:v>
      </x:c>
      <x:c r="H1202" s="17" t="n">
        <x:v>4969</x:v>
      </x:c>
      <x:c r="I1202" s="17" t="str">
        <x:v>Followup</x:v>
      </x:c>
      <x:c r="J1202" s="27" t="n">
        <x:f>INDEX('Model Pricing'!$B$7:$B$8,MATCH(F1202,'Model Pricing'!$A$7:$A$8,0))</x:f>
        <x:v>10</x:v>
      </x:c>
      <x:c r="K1202" s="27" t="n">
        <x:f>INDEX('Model Pricing'!$C$7:$C$8,MATCH(F1202,'Model Pricing'!$A$7:$A$8,0))</x:f>
        <x:v>30</x:v>
      </x:c>
      <x:c r="L1202" s="17" t="n">
        <x:f>G1202+H1202</x:f>
        <x:v>28900</x:v>
      </x:c>
      <x:c r="M1202" s="28" t="n">
        <x:f>G1202*J1202/1000000</x:f>
        <x:v>0.23931</x:v>
      </x:c>
      <x:c r="N1202" s="28" t="n">
        <x:f>H1202*K1202/1000000</x:f>
        <x:v>0.14907</x:v>
      </x:c>
      <x:c r="O1202" s="28" t="n">
        <x:f>SUM(M1202:N1202)</x:f>
        <x:v>0.38838</x:v>
      </x:c>
    </x:row>
    <x:row r="1203" ht="23" customHeight="1">
      <x:c r="A1203" s="17" t="str">
        <x:v>U01197</x:v>
      </x:c>
      <x:c r="B1203" s="18" t="n">
        <x:v>46273</x:v>
      </x:c>
      <x:c r="C1203" s="17" t="str">
        <x:v>W0117</x:v>
      </x:c>
      <x:c r="D1203" s="17" t="str">
        <x:v>C002</x:v>
      </x:c>
      <x:c r="E1203" s="17" t="str">
        <x:v>CopyStudio</x:v>
      </x:c>
      <x:c r="F1203" s="17" t="str">
        <x:v>Lite</x:v>
      </x:c>
      <x:c r="G1203" s="17" t="n">
        <x:v>18111</x:v>
      </x:c>
      <x:c r="H1203" s="17" t="n">
        <x:v>2210</x:v>
      </x:c>
      <x:c r="I1203" s="17" t="str">
        <x:v>Followup</x:v>
      </x:c>
      <x:c r="J1203" s="27" t="n">
        <x:f>INDEX('Model Pricing'!$B$7:$B$8,MATCH(F1203,'Model Pricing'!$A$7:$A$8,0))</x:f>
        <x:v>10</x:v>
      </x:c>
      <x:c r="K1203" s="27" t="n">
        <x:f>INDEX('Model Pricing'!$C$7:$C$8,MATCH(F1203,'Model Pricing'!$A$7:$A$8,0))</x:f>
        <x:v>30</x:v>
      </x:c>
      <x:c r="L1203" s="17" t="n">
        <x:f>G1203+H1203</x:f>
        <x:v>20321</x:v>
      </x:c>
      <x:c r="M1203" s="28" t="n">
        <x:f>G1203*J1203/1000000</x:f>
        <x:v>0.18111</x:v>
      </x:c>
      <x:c r="N1203" s="28" t="n">
        <x:f>H1203*K1203/1000000</x:f>
        <x:v>0.0663</x:v>
      </x:c>
      <x:c r="O1203" s="28" t="n">
        <x:f>SUM(M1203:N1203)</x:f>
        <x:v>0.24741</x:v>
      </x:c>
    </x:row>
    <x:row r="1204" ht="23" customHeight="1">
      <x:c r="A1204" s="17" t="str">
        <x:v>U01198</x:v>
      </x:c>
      <x:c r="B1204" s="18" t="n">
        <x:v>46274</x:v>
      </x:c>
      <x:c r="C1204" s="17" t="str">
        <x:v>W0117</x:v>
      </x:c>
      <x:c r="D1204" s="17" t="str">
        <x:v>C002</x:v>
      </x:c>
      <x:c r="E1204" s="17" t="str">
        <x:v>CopyStudio</x:v>
      </x:c>
      <x:c r="F1204" s="17" t="str">
        <x:v>Lite</x:v>
      </x:c>
      <x:c r="G1204" s="17" t="n">
        <x:v>36251</x:v>
      </x:c>
      <x:c r="H1204" s="17" t="n">
        <x:v>5801</x:v>
      </x:c>
      <x:c r="I1204" s="17" t="str">
        <x:v>Correction</x:v>
      </x:c>
      <x:c r="J1204" s="27" t="n">
        <x:f>INDEX('Model Pricing'!$B$7:$B$8,MATCH(F1204,'Model Pricing'!$A$7:$A$8,0))</x:f>
        <x:v>10</x:v>
      </x:c>
      <x:c r="K1204" s="27" t="n">
        <x:f>INDEX('Model Pricing'!$C$7:$C$8,MATCH(F1204,'Model Pricing'!$A$7:$A$8,0))</x:f>
        <x:v>30</x:v>
      </x:c>
      <x:c r="L1204" s="17" t="n">
        <x:f>G1204+H1204</x:f>
        <x:v>42052</x:v>
      </x:c>
      <x:c r="M1204" s="28" t="n">
        <x:f>G1204*J1204/1000000</x:f>
        <x:v>0.36251</x:v>
      </x:c>
      <x:c r="N1204" s="28" t="n">
        <x:f>H1204*K1204/1000000</x:f>
        <x:v>0.17403</x:v>
      </x:c>
      <x:c r="O1204" s="28" t="n">
        <x:f>SUM(M1204:N1204)</x:f>
        <x:v>0.53654</x:v>
      </x:c>
    </x:row>
    <x:row r="1205" ht="23" customHeight="1">
      <x:c r="A1205" s="17" t="str">
        <x:v>U01199</x:v>
      </x:c>
      <x:c r="B1205" s="18" t="n">
        <x:v>46274</x:v>
      </x:c>
      <x:c r="C1205" s="17" t="str">
        <x:v>W0117</x:v>
      </x:c>
      <x:c r="D1205" s="17" t="str">
        <x:v>C002</x:v>
      </x:c>
      <x:c r="E1205" s="17" t="str">
        <x:v>CopyStudio</x:v>
      </x:c>
      <x:c r="F1205" s="17" t="str">
        <x:v>Lite</x:v>
      </x:c>
      <x:c r="G1205" s="17" t="n">
        <x:v>42006</x:v>
      </x:c>
      <x:c r="H1205" s="17" t="n">
        <x:v>2079</x:v>
      </x:c>
      <x:c r="I1205" s="17" t="str">
        <x:v>Correction</x:v>
      </x:c>
      <x:c r="J1205" s="27" t="n">
        <x:f>INDEX('Model Pricing'!$B$7:$B$8,MATCH(F1205,'Model Pricing'!$A$7:$A$8,0))</x:f>
        <x:v>10</x:v>
      </x:c>
      <x:c r="K1205" s="27" t="n">
        <x:f>INDEX('Model Pricing'!$C$7:$C$8,MATCH(F1205,'Model Pricing'!$A$7:$A$8,0))</x:f>
        <x:v>30</x:v>
      </x:c>
      <x:c r="L1205" s="17" t="n">
        <x:f>G1205+H1205</x:f>
        <x:v>44085</x:v>
      </x:c>
      <x:c r="M1205" s="28" t="n">
        <x:f>G1205*J1205/1000000</x:f>
        <x:v>0.42006</x:v>
      </x:c>
      <x:c r="N1205" s="28" t="n">
        <x:f>H1205*K1205/1000000</x:f>
        <x:v>0.06237</x:v>
      </x:c>
      <x:c r="O1205" s="28" t="n">
        <x:f>SUM(M1205:N1205)</x:f>
        <x:v>0.48242999999999997</x:v>
      </x:c>
    </x:row>
    <x:row r="1206" ht="23" customHeight="1">
      <x:c r="A1206" s="17" t="str">
        <x:v>U01200</x:v>
      </x:c>
      <x:c r="B1206" s="18" t="n">
        <x:v>46274</x:v>
      </x:c>
      <x:c r="C1206" s="17" t="str">
        <x:v>W0117</x:v>
      </x:c>
      <x:c r="D1206" s="17" t="str">
        <x:v>C002</x:v>
      </x:c>
      <x:c r="E1206" s="17" t="str">
        <x:v>CopyStudio</x:v>
      </x:c>
      <x:c r="F1206" s="17" t="str">
        <x:v>Lite</x:v>
      </x:c>
      <x:c r="G1206" s="17" t="n">
        <x:v>29765</x:v>
      </x:c>
      <x:c r="H1206" s="17" t="n">
        <x:v>1932</x:v>
      </x:c>
      <x:c r="I1206" s="17" t="str">
        <x:v>Followup</x:v>
      </x:c>
      <x:c r="J1206" s="27" t="n">
        <x:f>INDEX('Model Pricing'!$B$7:$B$8,MATCH(F1206,'Model Pricing'!$A$7:$A$8,0))</x:f>
        <x:v>10</x:v>
      </x:c>
      <x:c r="K1206" s="27" t="n">
        <x:f>INDEX('Model Pricing'!$C$7:$C$8,MATCH(F1206,'Model Pricing'!$A$7:$A$8,0))</x:f>
        <x:v>30</x:v>
      </x:c>
      <x:c r="L1206" s="17" t="n">
        <x:f>G1206+H1206</x:f>
        <x:v>31697</x:v>
      </x:c>
      <x:c r="M1206" s="28" t="n">
        <x:f>G1206*J1206/1000000</x:f>
        <x:v>0.29765</x:v>
      </x:c>
      <x:c r="N1206" s="28" t="n">
        <x:f>H1206*K1206/1000000</x:f>
        <x:v>0.05796</x:v>
      </x:c>
      <x:c r="O1206" s="28" t="n">
        <x:f>SUM(M1206:N1206)</x:f>
        <x:v>0.35561000000000004</x:v>
      </x:c>
    </x:row>
    <x:row r="1207" ht="23" customHeight="1">
      <x:c r="A1207" s="17" t="str">
        <x:v>U01201</x:v>
      </x:c>
      <x:c r="B1207" s="18" t="n">
        <x:v>46274</x:v>
      </x:c>
      <x:c r="C1207" s="17" t="str">
        <x:v>W0117</x:v>
      </x:c>
      <x:c r="D1207" s="17" t="str">
        <x:v>C002</x:v>
      </x:c>
      <x:c r="E1207" s="17" t="str">
        <x:v>CopyStudio</x:v>
      </x:c>
      <x:c r="F1207" s="17" t="str">
        <x:v>Lite</x:v>
      </x:c>
      <x:c r="G1207" s="17" t="n">
        <x:v>34263</x:v>
      </x:c>
      <x:c r="H1207" s="17" t="n">
        <x:v>2049</x:v>
      </x:c>
      <x:c r="I1207" s="17" t="str">
        <x:v>Followup</x:v>
      </x:c>
      <x:c r="J1207" s="27" t="n">
        <x:f>INDEX('Model Pricing'!$B$7:$B$8,MATCH(F1207,'Model Pricing'!$A$7:$A$8,0))</x:f>
        <x:v>10</x:v>
      </x:c>
      <x:c r="K1207" s="27" t="n">
        <x:f>INDEX('Model Pricing'!$C$7:$C$8,MATCH(F1207,'Model Pricing'!$A$7:$A$8,0))</x:f>
        <x:v>30</x:v>
      </x:c>
      <x:c r="L1207" s="17" t="n">
        <x:f>G1207+H1207</x:f>
        <x:v>36312</x:v>
      </x:c>
      <x:c r="M1207" s="28" t="n">
        <x:f>G1207*J1207/1000000</x:f>
        <x:v>0.34263</x:v>
      </x:c>
      <x:c r="N1207" s="28" t="n">
        <x:f>H1207*K1207/1000000</x:f>
        <x:v>0.06147</x:v>
      </x:c>
      <x:c r="O1207" s="28" t="n">
        <x:f>SUM(M1207:N1207)</x:f>
        <x:v>0.4041</x:v>
      </x:c>
    </x:row>
    <x:row r="1208" ht="23" customHeight="1">
      <x:c r="A1208" s="17" t="str">
        <x:v>U01202</x:v>
      </x:c>
      <x:c r="B1208" s="18" t="n">
        <x:v>46280</x:v>
      </x:c>
      <x:c r="C1208" s="17" t="str">
        <x:v>W0118</x:v>
      </x:c>
      <x:c r="D1208" s="17" t="str">
        <x:v>C002</x:v>
      </x:c>
      <x:c r="E1208" s="17" t="str">
        <x:v>CampaignChat</x:v>
      </x:c>
      <x:c r="F1208" s="17" t="str">
        <x:v>Lite</x:v>
      </x:c>
      <x:c r="G1208" s="17" t="n">
        <x:v>21124</x:v>
      </x:c>
      <x:c r="H1208" s="17" t="n">
        <x:v>4615</x:v>
      </x:c>
      <x:c r="I1208" s="17" t="str">
        <x:v>First attempt</x:v>
      </x:c>
      <x:c r="J1208" s="27" t="n">
        <x:f>INDEX('Model Pricing'!$B$7:$B$8,MATCH(F1208,'Model Pricing'!$A$7:$A$8,0))</x:f>
        <x:v>10</x:v>
      </x:c>
      <x:c r="K1208" s="27" t="n">
        <x:f>INDEX('Model Pricing'!$C$7:$C$8,MATCH(F1208,'Model Pricing'!$A$7:$A$8,0))</x:f>
        <x:v>30</x:v>
      </x:c>
      <x:c r="L1208" s="17" t="n">
        <x:f>G1208+H1208</x:f>
        <x:v>25739</x:v>
      </x:c>
      <x:c r="M1208" s="28" t="n">
        <x:f>G1208*J1208/1000000</x:f>
        <x:v>0.21124</x:v>
      </x:c>
      <x:c r="N1208" s="28" t="n">
        <x:f>H1208*K1208/1000000</x:f>
        <x:v>0.13845</x:v>
      </x:c>
      <x:c r="O1208" s="28" t="n">
        <x:f>SUM(M1208:N1208)</x:f>
        <x:v>0.34969</x:v>
      </x:c>
    </x:row>
    <x:row r="1209" ht="23" customHeight="1">
      <x:c r="A1209" s="17" t="str">
        <x:v>U01203</x:v>
      </x:c>
      <x:c r="B1209" s="18" t="n">
        <x:v>46280</x:v>
      </x:c>
      <x:c r="C1209" s="17" t="str">
        <x:v>W0118</x:v>
      </x:c>
      <x:c r="D1209" s="17" t="str">
        <x:v>C002</x:v>
      </x:c>
      <x:c r="E1209" s="17" t="str">
        <x:v>CampaignChat</x:v>
      </x:c>
      <x:c r="F1209" s="17" t="str">
        <x:v>Lite</x:v>
      </x:c>
      <x:c r="G1209" s="17" t="n">
        <x:v>13339</x:v>
      </x:c>
      <x:c r="H1209" s="17" t="n">
        <x:v>8341</x:v>
      </x:c>
      <x:c r="I1209" s="17" t="str">
        <x:v>Followup</x:v>
      </x:c>
      <x:c r="J1209" s="27" t="n">
        <x:f>INDEX('Model Pricing'!$B$7:$B$8,MATCH(F1209,'Model Pricing'!$A$7:$A$8,0))</x:f>
        <x:v>10</x:v>
      </x:c>
      <x:c r="K1209" s="27" t="n">
        <x:f>INDEX('Model Pricing'!$C$7:$C$8,MATCH(F1209,'Model Pricing'!$A$7:$A$8,0))</x:f>
        <x:v>30</x:v>
      </x:c>
      <x:c r="L1209" s="17" t="n">
        <x:f>G1209+H1209</x:f>
        <x:v>21680</x:v>
      </x:c>
      <x:c r="M1209" s="28" t="n">
        <x:f>G1209*J1209/1000000</x:f>
        <x:v>0.13339</x:v>
      </x:c>
      <x:c r="N1209" s="28" t="n">
        <x:f>H1209*K1209/1000000</x:f>
        <x:v>0.25023</x:v>
      </x:c>
      <x:c r="O1209" s="28" t="n">
        <x:f>SUM(M1209:N1209)</x:f>
        <x:v>0.38362</x:v>
      </x:c>
    </x:row>
    <x:row r="1210" ht="23" customHeight="1">
      <x:c r="A1210" s="17" t="str">
        <x:v>U01204</x:v>
      </x:c>
      <x:c r="B1210" s="18" t="n">
        <x:v>46280</x:v>
      </x:c>
      <x:c r="C1210" s="17" t="str">
        <x:v>W0118</x:v>
      </x:c>
      <x:c r="D1210" s="17" t="str">
        <x:v>C002</x:v>
      </x:c>
      <x:c r="E1210" s="17" t="str">
        <x:v>CampaignChat</x:v>
      </x:c>
      <x:c r="F1210" s="17" t="str">
        <x:v>Lite</x:v>
      </x:c>
      <x:c r="G1210" s="17" t="n">
        <x:v>11954</x:v>
      </x:c>
      <x:c r="H1210" s="17" t="n">
        <x:v>6905</x:v>
      </x:c>
      <x:c r="I1210" s="17" t="str">
        <x:v>Followup</x:v>
      </x:c>
      <x:c r="J1210" s="27" t="n">
        <x:f>INDEX('Model Pricing'!$B$7:$B$8,MATCH(F1210,'Model Pricing'!$A$7:$A$8,0))</x:f>
        <x:v>10</x:v>
      </x:c>
      <x:c r="K1210" s="27" t="n">
        <x:f>INDEX('Model Pricing'!$C$7:$C$8,MATCH(F1210,'Model Pricing'!$A$7:$A$8,0))</x:f>
        <x:v>30</x:v>
      </x:c>
      <x:c r="L1210" s="17" t="n">
        <x:f>G1210+H1210</x:f>
        <x:v>18859</x:v>
      </x:c>
      <x:c r="M1210" s="28" t="n">
        <x:f>G1210*J1210/1000000</x:f>
        <x:v>0.11954</x:v>
      </x:c>
      <x:c r="N1210" s="28" t="n">
        <x:f>H1210*K1210/1000000</x:f>
        <x:v>0.20715</x:v>
      </x:c>
      <x:c r="O1210" s="28" t="n">
        <x:f>SUM(M1210:N1210)</x:f>
        <x:v>0.32669</x:v>
      </x:c>
    </x:row>
    <x:row r="1211" ht="23" customHeight="1">
      <x:c r="A1211" s="17" t="str">
        <x:v>U01205</x:v>
      </x:c>
      <x:c r="B1211" s="18" t="n">
        <x:v>46280</x:v>
      </x:c>
      <x:c r="C1211" s="17" t="str">
        <x:v>W0118</x:v>
      </x:c>
      <x:c r="D1211" s="17" t="str">
        <x:v>C002</x:v>
      </x:c>
      <x:c r="E1211" s="17" t="str">
        <x:v>CampaignChat</x:v>
      </x:c>
      <x:c r="F1211" s="17" t="str">
        <x:v>Lite</x:v>
      </x:c>
      <x:c r="G1211" s="17" t="n">
        <x:v>12181</x:v>
      </x:c>
      <x:c r="H1211" s="17" t="n">
        <x:v>9673</x:v>
      </x:c>
      <x:c r="I1211" s="17" t="str">
        <x:v>Followup</x:v>
      </x:c>
      <x:c r="J1211" s="27" t="n">
        <x:f>INDEX('Model Pricing'!$B$7:$B$8,MATCH(F1211,'Model Pricing'!$A$7:$A$8,0))</x:f>
        <x:v>10</x:v>
      </x:c>
      <x:c r="K1211" s="27" t="n">
        <x:f>INDEX('Model Pricing'!$C$7:$C$8,MATCH(F1211,'Model Pricing'!$A$7:$A$8,0))</x:f>
        <x:v>30</x:v>
      </x:c>
      <x:c r="L1211" s="17" t="n">
        <x:f>G1211+H1211</x:f>
        <x:v>21854</x:v>
      </x:c>
      <x:c r="M1211" s="28" t="n">
        <x:f>G1211*J1211/1000000</x:f>
        <x:v>0.12181</x:v>
      </x:c>
      <x:c r="N1211" s="28" t="n">
        <x:f>H1211*K1211/1000000</x:f>
        <x:v>0.29019</x:v>
      </x:c>
      <x:c r="O1211" s="28" t="n">
        <x:f>SUM(M1211:N1211)</x:f>
        <x:v>0.41200000000000003</x:v>
      </x:c>
    </x:row>
    <x:row r="1212" ht="23" customHeight="1">
      <x:c r="A1212" s="17" t="str">
        <x:v>U01206</x:v>
      </x:c>
      <x:c r="B1212" s="18" t="n">
        <x:v>46281</x:v>
      </x:c>
      <x:c r="C1212" s="17" t="str">
        <x:v>W0118</x:v>
      </x:c>
      <x:c r="D1212" s="17" t="str">
        <x:v>C002</x:v>
      </x:c>
      <x:c r="E1212" s="17" t="str">
        <x:v>CampaignChat</x:v>
      </x:c>
      <x:c r="F1212" s="17" t="str">
        <x:v>Lite</x:v>
      </x:c>
      <x:c r="G1212" s="17" t="n">
        <x:v>28190</x:v>
      </x:c>
      <x:c r="H1212" s="17" t="n">
        <x:v>6102</x:v>
      </x:c>
      <x:c r="I1212" s="17" t="str">
        <x:v>Correction</x:v>
      </x:c>
      <x:c r="J1212" s="27" t="n">
        <x:f>INDEX('Model Pricing'!$B$7:$B$8,MATCH(F1212,'Model Pricing'!$A$7:$A$8,0))</x:f>
        <x:v>10</x:v>
      </x:c>
      <x:c r="K1212" s="27" t="n">
        <x:f>INDEX('Model Pricing'!$C$7:$C$8,MATCH(F1212,'Model Pricing'!$A$7:$A$8,0))</x:f>
        <x:v>30</x:v>
      </x:c>
      <x:c r="L1212" s="17" t="n">
        <x:f>G1212+H1212</x:f>
        <x:v>34292</x:v>
      </x:c>
      <x:c r="M1212" s="28" t="n">
        <x:f>G1212*J1212/1000000</x:f>
        <x:v>0.2819</x:v>
      </x:c>
      <x:c r="N1212" s="28" t="n">
        <x:f>H1212*K1212/1000000</x:f>
        <x:v>0.18306</x:v>
      </x:c>
      <x:c r="O1212" s="28" t="n">
        <x:f>SUM(M1212:N1212)</x:f>
        <x:v>0.46496</x:v>
      </x:c>
    </x:row>
    <x:row r="1213" ht="23" customHeight="1">
      <x:c r="A1213" s="17" t="str">
        <x:v>U01207</x:v>
      </x:c>
      <x:c r="B1213" s="18" t="n">
        <x:v>46281</x:v>
      </x:c>
      <x:c r="C1213" s="17" t="str">
        <x:v>W0118</x:v>
      </x:c>
      <x:c r="D1213" s="17" t="str">
        <x:v>C002</x:v>
      </x:c>
      <x:c r="E1213" s="17" t="str">
        <x:v>CampaignChat</x:v>
      </x:c>
      <x:c r="F1213" s="17" t="str">
        <x:v>Lite</x:v>
      </x:c>
      <x:c r="G1213" s="17" t="n">
        <x:v>23328</x:v>
      </x:c>
      <x:c r="H1213" s="17" t="n">
        <x:v>6228</x:v>
      </x:c>
      <x:c r="I1213" s="17" t="str">
        <x:v>Correction</x:v>
      </x:c>
      <x:c r="J1213" s="27" t="n">
        <x:f>INDEX('Model Pricing'!$B$7:$B$8,MATCH(F1213,'Model Pricing'!$A$7:$A$8,0))</x:f>
        <x:v>10</x:v>
      </x:c>
      <x:c r="K1213" s="27" t="n">
        <x:f>INDEX('Model Pricing'!$C$7:$C$8,MATCH(F1213,'Model Pricing'!$A$7:$A$8,0))</x:f>
        <x:v>30</x:v>
      </x:c>
      <x:c r="L1213" s="17" t="n">
        <x:f>G1213+H1213</x:f>
        <x:v>29556</x:v>
      </x:c>
      <x:c r="M1213" s="28" t="n">
        <x:f>G1213*J1213/1000000</x:f>
        <x:v>0.23328</x:v>
      </x:c>
      <x:c r="N1213" s="28" t="n">
        <x:f>H1213*K1213/1000000</x:f>
        <x:v>0.18684</x:v>
      </x:c>
      <x:c r="O1213" s="28" t="n">
        <x:f>SUM(M1213:N1213)</x:f>
        <x:v>0.42012</x:v>
      </x:c>
    </x:row>
    <x:row r="1214" ht="23" customHeight="1">
      <x:c r="A1214" s="17" t="str">
        <x:v>U01208</x:v>
      </x:c>
      <x:c r="B1214" s="18" t="n">
        <x:v>46281</x:v>
      </x:c>
      <x:c r="C1214" s="17" t="str">
        <x:v>W0118</x:v>
      </x:c>
      <x:c r="D1214" s="17" t="str">
        <x:v>C002</x:v>
      </x:c>
      <x:c r="E1214" s="17" t="str">
        <x:v>CampaignChat</x:v>
      </x:c>
      <x:c r="F1214" s="17" t="str">
        <x:v>Lite</x:v>
      </x:c>
      <x:c r="G1214" s="17" t="n">
        <x:v>20857</x:v>
      </x:c>
      <x:c r="H1214" s="17" t="n">
        <x:v>6905</x:v>
      </x:c>
      <x:c r="I1214" s="17" t="str">
        <x:v>Followup</x:v>
      </x:c>
      <x:c r="J1214" s="27" t="n">
        <x:f>INDEX('Model Pricing'!$B$7:$B$8,MATCH(F1214,'Model Pricing'!$A$7:$A$8,0))</x:f>
        <x:v>10</x:v>
      </x:c>
      <x:c r="K1214" s="27" t="n">
        <x:f>INDEX('Model Pricing'!$C$7:$C$8,MATCH(F1214,'Model Pricing'!$A$7:$A$8,0))</x:f>
        <x:v>30</x:v>
      </x:c>
      <x:c r="L1214" s="17" t="n">
        <x:f>G1214+H1214</x:f>
        <x:v>27762</x:v>
      </x:c>
      <x:c r="M1214" s="28" t="n">
        <x:f>G1214*J1214/1000000</x:f>
        <x:v>0.20857</x:v>
      </x:c>
      <x:c r="N1214" s="28" t="n">
        <x:f>H1214*K1214/1000000</x:f>
        <x:v>0.20715</x:v>
      </x:c>
      <x:c r="O1214" s="28" t="n">
        <x:f>SUM(M1214:N1214)</x:f>
        <x:v>0.41572</x:v>
      </x:c>
    </x:row>
    <x:row r="1215" ht="23" customHeight="1">
      <x:c r="A1215" s="17" t="str">
        <x:v>U01209</x:v>
      </x:c>
      <x:c r="B1215" s="18" t="n">
        <x:v>46281</x:v>
      </x:c>
      <x:c r="C1215" s="17" t="str">
        <x:v>W0118</x:v>
      </x:c>
      <x:c r="D1215" s="17" t="str">
        <x:v>C002</x:v>
      </x:c>
      <x:c r="E1215" s="17" t="str">
        <x:v>CampaignChat</x:v>
      </x:c>
      <x:c r="F1215" s="17" t="str">
        <x:v>Lite</x:v>
      </x:c>
      <x:c r="G1215" s="17" t="n">
        <x:v>34225</x:v>
      </x:c>
      <x:c r="H1215" s="17" t="n">
        <x:v>9801</x:v>
      </x:c>
      <x:c r="I1215" s="17" t="str">
        <x:v>Followup</x:v>
      </x:c>
      <x:c r="J1215" s="27" t="n">
        <x:f>INDEX('Model Pricing'!$B$7:$B$8,MATCH(F1215,'Model Pricing'!$A$7:$A$8,0))</x:f>
        <x:v>10</x:v>
      </x:c>
      <x:c r="K1215" s="27" t="n">
        <x:f>INDEX('Model Pricing'!$C$7:$C$8,MATCH(F1215,'Model Pricing'!$A$7:$A$8,0))</x:f>
        <x:v>30</x:v>
      </x:c>
      <x:c r="L1215" s="17" t="n">
        <x:f>G1215+H1215</x:f>
        <x:v>44026</x:v>
      </x:c>
      <x:c r="M1215" s="28" t="n">
        <x:f>G1215*J1215/1000000</x:f>
        <x:v>0.34225</x:v>
      </x:c>
      <x:c r="N1215" s="28" t="n">
        <x:f>H1215*K1215/1000000</x:f>
        <x:v>0.29403</x:v>
      </x:c>
      <x:c r="O1215" s="28" t="n">
        <x:f>SUM(M1215:N1215)</x:f>
        <x:v>0.63628</x:v>
      </x:c>
    </x:row>
    <x:row r="1216" ht="23" customHeight="1">
      <x:c r="A1216" s="17" t="str">
        <x:v>U01210</x:v>
      </x:c>
      <x:c r="B1216" s="18" t="n">
        <x:v>46282</x:v>
      </x:c>
      <x:c r="C1216" s="17" t="str">
        <x:v>W0118</x:v>
      </x:c>
      <x:c r="D1216" s="17" t="str">
        <x:v>C002</x:v>
      </x:c>
      <x:c r="E1216" s="17" t="str">
        <x:v>CampaignChat</x:v>
      </x:c>
      <x:c r="F1216" s="17" t="str">
        <x:v>Lite</x:v>
      </x:c>
      <x:c r="G1216" s="17" t="n">
        <x:v>14319</x:v>
      </x:c>
      <x:c r="H1216" s="17" t="n">
        <x:v>3232</x:v>
      </x:c>
      <x:c r="I1216" s="17" t="str">
        <x:v>Followup</x:v>
      </x:c>
      <x:c r="J1216" s="27" t="n">
        <x:f>INDEX('Model Pricing'!$B$7:$B$8,MATCH(F1216,'Model Pricing'!$A$7:$A$8,0))</x:f>
        <x:v>10</x:v>
      </x:c>
      <x:c r="K1216" s="27" t="n">
        <x:f>INDEX('Model Pricing'!$C$7:$C$8,MATCH(F1216,'Model Pricing'!$A$7:$A$8,0))</x:f>
        <x:v>30</x:v>
      </x:c>
      <x:c r="L1216" s="17" t="n">
        <x:f>G1216+H1216</x:f>
        <x:v>17551</x:v>
      </x:c>
      <x:c r="M1216" s="28" t="n">
        <x:f>G1216*J1216/1000000</x:f>
        <x:v>0.14319</x:v>
      </x:c>
      <x:c r="N1216" s="28" t="n">
        <x:f>H1216*K1216/1000000</x:f>
        <x:v>0.09696</x:v>
      </x:c>
      <x:c r="O1216" s="28" t="n">
        <x:f>SUM(M1216:N1216)</x:f>
        <x:v>0.24015000000000003</x:v>
      </x:c>
    </x:row>
    <x:row r="1217" ht="23" customHeight="1">
      <x:c r="A1217" s="17" t="str">
        <x:v>U01211</x:v>
      </x:c>
      <x:c r="B1217" s="18" t="n">
        <x:v>46282</x:v>
      </x:c>
      <x:c r="C1217" s="17" t="str">
        <x:v>W0118</x:v>
      </x:c>
      <x:c r="D1217" s="17" t="str">
        <x:v>C002</x:v>
      </x:c>
      <x:c r="E1217" s="17" t="str">
        <x:v>CampaignChat</x:v>
      </x:c>
      <x:c r="F1217" s="17" t="str">
        <x:v>Lite</x:v>
      </x:c>
      <x:c r="G1217" s="17" t="n">
        <x:v>22879</x:v>
      </x:c>
      <x:c r="H1217" s="17" t="n">
        <x:v>6887</x:v>
      </x:c>
      <x:c r="I1217" s="17" t="str">
        <x:v>Correction</x:v>
      </x:c>
      <x:c r="J1217" s="27" t="n">
        <x:f>INDEX('Model Pricing'!$B$7:$B$8,MATCH(F1217,'Model Pricing'!$A$7:$A$8,0))</x:f>
        <x:v>10</x:v>
      </x:c>
      <x:c r="K1217" s="27" t="n">
        <x:f>INDEX('Model Pricing'!$C$7:$C$8,MATCH(F1217,'Model Pricing'!$A$7:$A$8,0))</x:f>
        <x:v>30</x:v>
      </x:c>
      <x:c r="L1217" s="17" t="n">
        <x:f>G1217+H1217</x:f>
        <x:v>29766</x:v>
      </x:c>
      <x:c r="M1217" s="28" t="n">
        <x:f>G1217*J1217/1000000</x:f>
        <x:v>0.22879</x:v>
      </x:c>
      <x:c r="N1217" s="28" t="n">
        <x:f>H1217*K1217/1000000</x:f>
        <x:v>0.20661</x:v>
      </x:c>
      <x:c r="O1217" s="28" t="n">
        <x:f>SUM(M1217:N1217)</x:f>
        <x:v>0.4354</x:v>
      </x:c>
    </x:row>
    <x:row r="1218" ht="23" customHeight="1">
      <x:c r="A1218" s="17" t="str">
        <x:v>U01212</x:v>
      </x:c>
      <x:c r="B1218" s="18" t="n">
        <x:v>46282</x:v>
      </x:c>
      <x:c r="C1218" s="17" t="str">
        <x:v>W0118</x:v>
      </x:c>
      <x:c r="D1218" s="17" t="str">
        <x:v>C002</x:v>
      </x:c>
      <x:c r="E1218" s="17" t="str">
        <x:v>CampaignChat</x:v>
      </x:c>
      <x:c r="F1218" s="17" t="str">
        <x:v>Lite</x:v>
      </x:c>
      <x:c r="G1218" s="17" t="n">
        <x:v>11662</x:v>
      </x:c>
      <x:c r="H1218" s="17" t="n">
        <x:v>6869</x:v>
      </x:c>
      <x:c r="I1218" s="17" t="str">
        <x:v>Correction</x:v>
      </x:c>
      <x:c r="J1218" s="27" t="n">
        <x:f>INDEX('Model Pricing'!$B$7:$B$8,MATCH(F1218,'Model Pricing'!$A$7:$A$8,0))</x:f>
        <x:v>10</x:v>
      </x:c>
      <x:c r="K1218" s="27" t="n">
        <x:f>INDEX('Model Pricing'!$C$7:$C$8,MATCH(F1218,'Model Pricing'!$A$7:$A$8,0))</x:f>
        <x:v>30</x:v>
      </x:c>
      <x:c r="L1218" s="17" t="n">
        <x:f>G1218+H1218</x:f>
        <x:v>18531</x:v>
      </x:c>
      <x:c r="M1218" s="28" t="n">
        <x:f>G1218*J1218/1000000</x:f>
        <x:v>0.11662</x:v>
      </x:c>
      <x:c r="N1218" s="28" t="n">
        <x:f>H1218*K1218/1000000</x:f>
        <x:v>0.20607</x:v>
      </x:c>
      <x:c r="O1218" s="28" t="n">
        <x:f>SUM(M1218:N1218)</x:f>
        <x:v>0.32269000000000003</x:v>
      </x:c>
    </x:row>
    <x:row r="1219" ht="23" customHeight="1">
      <x:c r="A1219" s="17" t="str">
        <x:v>U01213</x:v>
      </x:c>
      <x:c r="B1219" s="18" t="n">
        <x:v>46282</x:v>
      </x:c>
      <x:c r="C1219" s="17" t="str">
        <x:v>W0118</x:v>
      </x:c>
      <x:c r="D1219" s="17" t="str">
        <x:v>C002</x:v>
      </x:c>
      <x:c r="E1219" s="17" t="str">
        <x:v>CampaignChat</x:v>
      </x:c>
      <x:c r="F1219" s="17" t="str">
        <x:v>Lite</x:v>
      </x:c>
      <x:c r="G1219" s="17" t="n">
        <x:v>30274</x:v>
      </x:c>
      <x:c r="H1219" s="17" t="n">
        <x:v>7193</x:v>
      </x:c>
      <x:c r="I1219" s="17" t="str">
        <x:v>Followup</x:v>
      </x:c>
      <x:c r="J1219" s="27" t="n">
        <x:f>INDEX('Model Pricing'!$B$7:$B$8,MATCH(F1219,'Model Pricing'!$A$7:$A$8,0))</x:f>
        <x:v>10</x:v>
      </x:c>
      <x:c r="K1219" s="27" t="n">
        <x:f>INDEX('Model Pricing'!$C$7:$C$8,MATCH(F1219,'Model Pricing'!$A$7:$A$8,0))</x:f>
        <x:v>30</x:v>
      </x:c>
      <x:c r="L1219" s="17" t="n">
        <x:f>G1219+H1219</x:f>
        <x:v>37467</x:v>
      </x:c>
      <x:c r="M1219" s="28" t="n">
        <x:f>G1219*J1219/1000000</x:f>
        <x:v>0.30274</x:v>
      </x:c>
      <x:c r="N1219" s="28" t="n">
        <x:f>H1219*K1219/1000000</x:f>
        <x:v>0.21579</x:v>
      </x:c>
      <x:c r="O1219" s="28" t="n">
        <x:f>SUM(M1219:N1219)</x:f>
        <x:v>0.51853</x:v>
      </x:c>
    </x:row>
    <x:row r="1220" ht="23" customHeight="1">
      <x:c r="A1220" s="17" t="str">
        <x:v>U01214</x:v>
      </x:c>
      <x:c r="B1220" s="18" t="n">
        <x:v>46283</x:v>
      </x:c>
      <x:c r="C1220" s="17" t="str">
        <x:v>W0118</x:v>
      </x:c>
      <x:c r="D1220" s="17" t="str">
        <x:v>C002</x:v>
      </x:c>
      <x:c r="E1220" s="17" t="str">
        <x:v>CampaignChat</x:v>
      </x:c>
      <x:c r="F1220" s="17" t="str">
        <x:v>Lite</x:v>
      </x:c>
      <x:c r="G1220" s="17" t="n">
        <x:v>15619</x:v>
      </x:c>
      <x:c r="H1220" s="17" t="n">
        <x:v>9808</x:v>
      </x:c>
      <x:c r="I1220" s="17" t="str">
        <x:v>Correction</x:v>
      </x:c>
      <x:c r="J1220" s="27" t="n">
        <x:f>INDEX('Model Pricing'!$B$7:$B$8,MATCH(F1220,'Model Pricing'!$A$7:$A$8,0))</x:f>
        <x:v>10</x:v>
      </x:c>
      <x:c r="K1220" s="27" t="n">
        <x:f>INDEX('Model Pricing'!$C$7:$C$8,MATCH(F1220,'Model Pricing'!$A$7:$A$8,0))</x:f>
        <x:v>30</x:v>
      </x:c>
      <x:c r="L1220" s="17" t="n">
        <x:f>G1220+H1220</x:f>
        <x:v>25427</x:v>
      </x:c>
      <x:c r="M1220" s="28" t="n">
        <x:f>G1220*J1220/1000000</x:f>
        <x:v>0.15619</x:v>
      </x:c>
      <x:c r="N1220" s="28" t="n">
        <x:f>H1220*K1220/1000000</x:f>
        <x:v>0.29424</x:v>
      </x:c>
      <x:c r="O1220" s="28" t="n">
        <x:f>SUM(M1220:N1220)</x:f>
        <x:v>0.45043</x:v>
      </x:c>
    </x:row>
    <x:row r="1221" ht="23" customHeight="1">
      <x:c r="A1221" s="17" t="str">
        <x:v>U01215</x:v>
      </x:c>
      <x:c r="B1221" s="18" t="n">
        <x:v>46283</x:v>
      </x:c>
      <x:c r="C1221" s="17" t="str">
        <x:v>W0118</x:v>
      </x:c>
      <x:c r="D1221" s="17" t="str">
        <x:v>C002</x:v>
      </x:c>
      <x:c r="E1221" s="17" t="str">
        <x:v>CampaignChat</x:v>
      </x:c>
      <x:c r="F1221" s="17" t="str">
        <x:v>Lite</x:v>
      </x:c>
      <x:c r="G1221" s="17" t="n">
        <x:v>12740</x:v>
      </x:c>
      <x:c r="H1221" s="17" t="n">
        <x:v>10379</x:v>
      </x:c>
      <x:c r="I1221" s="17" t="str">
        <x:v>Correction</x:v>
      </x:c>
      <x:c r="J1221" s="27" t="n">
        <x:f>INDEX('Model Pricing'!$B$7:$B$8,MATCH(F1221,'Model Pricing'!$A$7:$A$8,0))</x:f>
        <x:v>10</x:v>
      </x:c>
      <x:c r="K1221" s="27" t="n">
        <x:f>INDEX('Model Pricing'!$C$7:$C$8,MATCH(F1221,'Model Pricing'!$A$7:$A$8,0))</x:f>
        <x:v>30</x:v>
      </x:c>
      <x:c r="L1221" s="17" t="n">
        <x:f>G1221+H1221</x:f>
        <x:v>23119</x:v>
      </x:c>
      <x:c r="M1221" s="28" t="n">
        <x:f>G1221*J1221/1000000</x:f>
        <x:v>0.1274</x:v>
      </x:c>
      <x:c r="N1221" s="28" t="n">
        <x:f>H1221*K1221/1000000</x:f>
        <x:v>0.31137</x:v>
      </x:c>
      <x:c r="O1221" s="28" t="n">
        <x:f>SUM(M1221:N1221)</x:f>
        <x:v>0.43877</x:v>
      </x:c>
    </x:row>
    <x:row r="1222" ht="23" customHeight="1">
      <x:c r="A1222" s="17" t="str">
        <x:v>U01216</x:v>
      </x:c>
      <x:c r="B1222" s="18" t="n">
        <x:v>46283</x:v>
      </x:c>
      <x:c r="C1222" s="17" t="str">
        <x:v>W0118</x:v>
      </x:c>
      <x:c r="D1222" s="17" t="str">
        <x:v>C002</x:v>
      </x:c>
      <x:c r="E1222" s="17" t="str">
        <x:v>CampaignChat</x:v>
      </x:c>
      <x:c r="F1222" s="17" t="str">
        <x:v>Lite</x:v>
      </x:c>
      <x:c r="G1222" s="17" t="n">
        <x:v>20597</x:v>
      </x:c>
      <x:c r="H1222" s="17" t="n">
        <x:v>10156</x:v>
      </x:c>
      <x:c r="I1222" s="17" t="str">
        <x:v>Correction</x:v>
      </x:c>
      <x:c r="J1222" s="27" t="n">
        <x:f>INDEX('Model Pricing'!$B$7:$B$8,MATCH(F1222,'Model Pricing'!$A$7:$A$8,0))</x:f>
        <x:v>10</x:v>
      </x:c>
      <x:c r="K1222" s="27" t="n">
        <x:f>INDEX('Model Pricing'!$C$7:$C$8,MATCH(F1222,'Model Pricing'!$A$7:$A$8,0))</x:f>
        <x:v>30</x:v>
      </x:c>
      <x:c r="L1222" s="17" t="n">
        <x:f>G1222+H1222</x:f>
        <x:v>30753</x:v>
      </x:c>
      <x:c r="M1222" s="28" t="n">
        <x:f>G1222*J1222/1000000</x:f>
        <x:v>0.20597</x:v>
      </x:c>
      <x:c r="N1222" s="28" t="n">
        <x:f>H1222*K1222/1000000</x:f>
        <x:v>0.30468</x:v>
      </x:c>
      <x:c r="O1222" s="28" t="n">
        <x:f>SUM(M1222:N1222)</x:f>
        <x:v>0.51065</x:v>
      </x:c>
    </x:row>
    <x:row r="1223" ht="23" customHeight="1">
      <x:c r="A1223" s="17" t="str">
        <x:v>U01217</x:v>
      </x:c>
      <x:c r="B1223" s="18" t="n">
        <x:v>46286</x:v>
      </x:c>
      <x:c r="C1223" s="17" t="str">
        <x:v>W0062</x:v>
      </x:c>
      <x:c r="D1223" s="17" t="str">
        <x:v>C002</x:v>
      </x:c>
      <x:c r="E1223" s="17" t="str">
        <x:v>CampaignChat</x:v>
      </x:c>
      <x:c r="F1223" s="17" t="str">
        <x:v>Pro</x:v>
      </x:c>
      <x:c r="G1223" s="17" t="n">
        <x:v>15269</x:v>
      </x:c>
      <x:c r="H1223" s="17" t="n">
        <x:v>7245</x:v>
      </x:c>
      <x:c r="I1223" s="17" t="str">
        <x:v>First attempt</x:v>
      </x:c>
      <x:c r="J1223" s="27" t="n">
        <x:f>INDEX('Model Pricing'!$B$7:$B$8,MATCH(F1223,'Model Pricing'!$A$7:$A$8,0))</x:f>
        <x:v>40</x:v>
      </x:c>
      <x:c r="K1223" s="27" t="n">
        <x:f>INDEX('Model Pricing'!$C$7:$C$8,MATCH(F1223,'Model Pricing'!$A$7:$A$8,0))</x:f>
        <x:v>100</x:v>
      </x:c>
      <x:c r="L1223" s="17" t="n">
        <x:f>G1223+H1223</x:f>
        <x:v>22514</x:v>
      </x:c>
      <x:c r="M1223" s="28" t="n">
        <x:f>G1223*J1223/1000000</x:f>
        <x:v>0.61076</x:v>
      </x:c>
      <x:c r="N1223" s="28" t="n">
        <x:f>H1223*K1223/1000000</x:f>
        <x:v>0.7245</x:v>
      </x:c>
      <x:c r="O1223" s="28" t="n">
        <x:f>SUM(M1223:N1223)</x:f>
        <x:v>1.33526</x:v>
      </x:c>
    </x:row>
    <x:row r="1224" ht="23" customHeight="1">
      <x:c r="A1224" s="17" t="str">
        <x:v>U01218</x:v>
      </x:c>
      <x:c r="B1224" s="18" t="n">
        <x:v>46286</x:v>
      </x:c>
      <x:c r="C1224" s="17" t="str">
        <x:v>W0062</x:v>
      </x:c>
      <x:c r="D1224" s="17" t="str">
        <x:v>C002</x:v>
      </x:c>
      <x:c r="E1224" s="17" t="str">
        <x:v>CampaignChat</x:v>
      </x:c>
      <x:c r="F1224" s="17" t="str">
        <x:v>Pro</x:v>
      </x:c>
      <x:c r="G1224" s="17" t="n">
        <x:v>18105</x:v>
      </x:c>
      <x:c r="H1224" s="17" t="n">
        <x:v>6296</x:v>
      </x:c>
      <x:c r="I1224" s="17" t="str">
        <x:v>Correction</x:v>
      </x:c>
      <x:c r="J1224" s="27" t="n">
        <x:f>INDEX('Model Pricing'!$B$7:$B$8,MATCH(F1224,'Model Pricing'!$A$7:$A$8,0))</x:f>
        <x:v>40</x:v>
      </x:c>
      <x:c r="K1224" s="27" t="n">
        <x:f>INDEX('Model Pricing'!$C$7:$C$8,MATCH(F1224,'Model Pricing'!$A$7:$A$8,0))</x:f>
        <x:v>100</x:v>
      </x:c>
      <x:c r="L1224" s="17" t="n">
        <x:f>G1224+H1224</x:f>
        <x:v>24401</x:v>
      </x:c>
      <x:c r="M1224" s="28" t="n">
        <x:f>G1224*J1224/1000000</x:f>
        <x:v>0.7242</x:v>
      </x:c>
      <x:c r="N1224" s="28" t="n">
        <x:f>H1224*K1224/1000000</x:f>
        <x:v>0.6296</x:v>
      </x:c>
      <x:c r="O1224" s="28" t="n">
        <x:f>SUM(M1224:N1224)</x:f>
        <x:v>1.3538000000000001</x:v>
      </x:c>
    </x:row>
    <x:row r="1225" ht="23" customHeight="1">
      <x:c r="A1225" s="17" t="str">
        <x:v>U01219</x:v>
      </x:c>
      <x:c r="B1225" s="18" t="n">
        <x:v>46286</x:v>
      </x:c>
      <x:c r="C1225" s="17" t="str">
        <x:v>W0062</x:v>
      </x:c>
      <x:c r="D1225" s="17" t="str">
        <x:v>C002</x:v>
      </x:c>
      <x:c r="E1225" s="17" t="str">
        <x:v>CampaignChat</x:v>
      </x:c>
      <x:c r="F1225" s="17" t="str">
        <x:v>Pro</x:v>
      </x:c>
      <x:c r="G1225" s="17" t="n">
        <x:v>15910</x:v>
      </x:c>
      <x:c r="H1225" s="17" t="n">
        <x:v>3692</x:v>
      </x:c>
      <x:c r="I1225" s="17" t="str">
        <x:v>Followup</x:v>
      </x:c>
      <x:c r="J1225" s="27" t="n">
        <x:f>INDEX('Model Pricing'!$B$7:$B$8,MATCH(F1225,'Model Pricing'!$A$7:$A$8,0))</x:f>
        <x:v>40</x:v>
      </x:c>
      <x:c r="K1225" s="27" t="n">
        <x:f>INDEX('Model Pricing'!$C$7:$C$8,MATCH(F1225,'Model Pricing'!$A$7:$A$8,0))</x:f>
        <x:v>100</x:v>
      </x:c>
      <x:c r="L1225" s="17" t="n">
        <x:f>G1225+H1225</x:f>
        <x:v>19602</x:v>
      </x:c>
      <x:c r="M1225" s="28" t="n">
        <x:f>G1225*J1225/1000000</x:f>
        <x:v>0.6364</x:v>
      </x:c>
      <x:c r="N1225" s="28" t="n">
        <x:f>H1225*K1225/1000000</x:f>
        <x:v>0.3692</x:v>
      </x:c>
      <x:c r="O1225" s="28" t="n">
        <x:f>SUM(M1225:N1225)</x:f>
        <x:v>1.0055999999999998</x:v>
      </x:c>
    </x:row>
    <x:row r="1226" ht="23" customHeight="1">
      <x:c r="A1226" s="17" t="str">
        <x:v>U01220</x:v>
      </x:c>
      <x:c r="B1226" s="18" t="n">
        <x:v>46286</x:v>
      </x:c>
      <x:c r="C1226" s="17" t="str">
        <x:v>W0062</x:v>
      </x:c>
      <x:c r="D1226" s="17" t="str">
        <x:v>C002</x:v>
      </x:c>
      <x:c r="E1226" s="17" t="str">
        <x:v>CampaignChat</x:v>
      </x:c>
      <x:c r="F1226" s="17" t="str">
        <x:v>Pro</x:v>
      </x:c>
      <x:c r="G1226" s="17" t="n">
        <x:v>6693</x:v>
      </x:c>
      <x:c r="H1226" s="17" t="n">
        <x:v>8059</x:v>
      </x:c>
      <x:c r="I1226" s="17" t="str">
        <x:v>Correction</x:v>
      </x:c>
      <x:c r="J1226" s="27" t="n">
        <x:f>INDEX('Model Pricing'!$B$7:$B$8,MATCH(F1226,'Model Pricing'!$A$7:$A$8,0))</x:f>
        <x:v>40</x:v>
      </x:c>
      <x:c r="K1226" s="27" t="n">
        <x:f>INDEX('Model Pricing'!$C$7:$C$8,MATCH(F1226,'Model Pricing'!$A$7:$A$8,0))</x:f>
        <x:v>100</x:v>
      </x:c>
      <x:c r="L1226" s="17" t="n">
        <x:f>G1226+H1226</x:f>
        <x:v>14752</x:v>
      </x:c>
      <x:c r="M1226" s="28" t="n">
        <x:f>G1226*J1226/1000000</x:f>
        <x:v>0.26772</x:v>
      </x:c>
      <x:c r="N1226" s="28" t="n">
        <x:f>H1226*K1226/1000000</x:f>
        <x:v>0.8059</x:v>
      </x:c>
      <x:c r="O1226" s="28" t="n">
        <x:f>SUM(M1226:N1226)</x:f>
        <x:v>1.07362</x:v>
      </x:c>
    </x:row>
    <x:row r="1227" ht="23" customHeight="1">
      <x:c r="A1227" s="17" t="str">
        <x:v>U01221</x:v>
      </x:c>
      <x:c r="B1227" s="18" t="n">
        <x:v>46287</x:v>
      </x:c>
      <x:c r="C1227" s="17" t="str">
        <x:v>W0062</x:v>
      </x:c>
      <x:c r="D1227" s="17" t="str">
        <x:v>C002</x:v>
      </x:c>
      <x:c r="E1227" s="17" t="str">
        <x:v>CampaignChat</x:v>
      </x:c>
      <x:c r="F1227" s="17" t="str">
        <x:v>Pro</x:v>
      </x:c>
      <x:c r="G1227" s="17" t="n">
        <x:v>8507</x:v>
      </x:c>
      <x:c r="H1227" s="17" t="n">
        <x:v>10686</x:v>
      </x:c>
      <x:c r="I1227" s="17" t="str">
        <x:v>Correction</x:v>
      </x:c>
      <x:c r="J1227" s="27" t="n">
        <x:f>INDEX('Model Pricing'!$B$7:$B$8,MATCH(F1227,'Model Pricing'!$A$7:$A$8,0))</x:f>
        <x:v>40</x:v>
      </x:c>
      <x:c r="K1227" s="27" t="n">
        <x:f>INDEX('Model Pricing'!$C$7:$C$8,MATCH(F1227,'Model Pricing'!$A$7:$A$8,0))</x:f>
        <x:v>100</x:v>
      </x:c>
      <x:c r="L1227" s="17" t="n">
        <x:f>G1227+H1227</x:f>
        <x:v>19193</x:v>
      </x:c>
      <x:c r="M1227" s="28" t="n">
        <x:f>G1227*J1227/1000000</x:f>
        <x:v>0.34028</x:v>
      </x:c>
      <x:c r="N1227" s="28" t="n">
        <x:f>H1227*K1227/1000000</x:f>
        <x:v>1.0686</x:v>
      </x:c>
      <x:c r="O1227" s="28" t="n">
        <x:f>SUM(M1227:N1227)</x:f>
        <x:v>1.40888</x:v>
      </x:c>
    </x:row>
    <x:row r="1228" ht="23" customHeight="1">
      <x:c r="A1228" s="17" t="str">
        <x:v>U01222</x:v>
      </x:c>
      <x:c r="B1228" s="18" t="n">
        <x:v>46287</x:v>
      </x:c>
      <x:c r="C1228" s="17" t="str">
        <x:v>W0062</x:v>
      </x:c>
      <x:c r="D1228" s="17" t="str">
        <x:v>C002</x:v>
      </x:c>
      <x:c r="E1228" s="17" t="str">
        <x:v>CampaignChat</x:v>
      </x:c>
      <x:c r="F1228" s="17" t="str">
        <x:v>Pro</x:v>
      </x:c>
      <x:c r="G1228" s="17" t="n">
        <x:v>12630</x:v>
      </x:c>
      <x:c r="H1228" s="17" t="n">
        <x:v>10246</x:v>
      </x:c>
      <x:c r="I1228" s="17" t="str">
        <x:v>Followup</x:v>
      </x:c>
      <x:c r="J1228" s="27" t="n">
        <x:f>INDEX('Model Pricing'!$B$7:$B$8,MATCH(F1228,'Model Pricing'!$A$7:$A$8,0))</x:f>
        <x:v>40</x:v>
      </x:c>
      <x:c r="K1228" s="27" t="n">
        <x:f>INDEX('Model Pricing'!$C$7:$C$8,MATCH(F1228,'Model Pricing'!$A$7:$A$8,0))</x:f>
        <x:v>100</x:v>
      </x:c>
      <x:c r="L1228" s="17" t="n">
        <x:f>G1228+H1228</x:f>
        <x:v>22876</x:v>
      </x:c>
      <x:c r="M1228" s="28" t="n">
        <x:f>G1228*J1228/1000000</x:f>
        <x:v>0.5052</x:v>
      </x:c>
      <x:c r="N1228" s="28" t="n">
        <x:f>H1228*K1228/1000000</x:f>
        <x:v>1.0246</x:v>
      </x:c>
      <x:c r="O1228" s="28" t="n">
        <x:f>SUM(M1228:N1228)</x:f>
        <x:v>1.5297999999999998</x:v>
      </x:c>
    </x:row>
    <x:row r="1229" ht="23" customHeight="1">
      <x:c r="A1229" s="17" t="str">
        <x:v>U01223</x:v>
      </x:c>
      <x:c r="B1229" s="18" t="n">
        <x:v>46287</x:v>
      </x:c>
      <x:c r="C1229" s="17" t="str">
        <x:v>W0062</x:v>
      </x:c>
      <x:c r="D1229" s="17" t="str">
        <x:v>C002</x:v>
      </x:c>
      <x:c r="E1229" s="17" t="str">
        <x:v>CampaignChat</x:v>
      </x:c>
      <x:c r="F1229" s="17" t="str">
        <x:v>Pro</x:v>
      </x:c>
      <x:c r="G1229" s="17" t="n">
        <x:v>9876</x:v>
      </x:c>
      <x:c r="H1229" s="17" t="n">
        <x:v>7088</x:v>
      </x:c>
      <x:c r="I1229" s="17" t="str">
        <x:v>Correction</x:v>
      </x:c>
      <x:c r="J1229" s="27" t="n">
        <x:f>INDEX('Model Pricing'!$B$7:$B$8,MATCH(F1229,'Model Pricing'!$A$7:$A$8,0))</x:f>
        <x:v>40</x:v>
      </x:c>
      <x:c r="K1229" s="27" t="n">
        <x:f>INDEX('Model Pricing'!$C$7:$C$8,MATCH(F1229,'Model Pricing'!$A$7:$A$8,0))</x:f>
        <x:v>100</x:v>
      </x:c>
      <x:c r="L1229" s="17" t="n">
        <x:f>G1229+H1229</x:f>
        <x:v>16964</x:v>
      </x:c>
      <x:c r="M1229" s="28" t="n">
        <x:f>G1229*J1229/1000000</x:f>
        <x:v>0.39504</x:v>
      </x:c>
      <x:c r="N1229" s="28" t="n">
        <x:f>H1229*K1229/1000000</x:f>
        <x:v>0.7088</x:v>
      </x:c>
      <x:c r="O1229" s="28" t="n">
        <x:f>SUM(M1229:N1229)</x:f>
        <x:v>1.10384</x:v>
      </x:c>
    </x:row>
    <x:row r="1230" ht="23" customHeight="1">
      <x:c r="A1230" s="17" t="str">
        <x:v>U01224</x:v>
      </x:c>
      <x:c r="B1230" s="18" t="n">
        <x:v>46287</x:v>
      </x:c>
      <x:c r="C1230" s="17" t="str">
        <x:v>W0062</x:v>
      </x:c>
      <x:c r="D1230" s="17" t="str">
        <x:v>C002</x:v>
      </x:c>
      <x:c r="E1230" s="17" t="str">
        <x:v>CampaignChat</x:v>
      </x:c>
      <x:c r="F1230" s="17" t="str">
        <x:v>Pro</x:v>
      </x:c>
      <x:c r="G1230" s="17" t="n">
        <x:v>12917</x:v>
      </x:c>
      <x:c r="H1230" s="17" t="n">
        <x:v>4247</x:v>
      </x:c>
      <x:c r="I1230" s="17" t="str">
        <x:v>Correction</x:v>
      </x:c>
      <x:c r="J1230" s="27" t="n">
        <x:f>INDEX('Model Pricing'!$B$7:$B$8,MATCH(F1230,'Model Pricing'!$A$7:$A$8,0))</x:f>
        <x:v>40</x:v>
      </x:c>
      <x:c r="K1230" s="27" t="n">
        <x:f>INDEX('Model Pricing'!$C$7:$C$8,MATCH(F1230,'Model Pricing'!$A$7:$A$8,0))</x:f>
        <x:v>100</x:v>
      </x:c>
      <x:c r="L1230" s="17" t="n">
        <x:f>G1230+H1230</x:f>
        <x:v>17164</x:v>
      </x:c>
      <x:c r="M1230" s="28" t="n">
        <x:f>G1230*J1230/1000000</x:f>
        <x:v>0.51668</x:v>
      </x:c>
      <x:c r="N1230" s="28" t="n">
        <x:f>H1230*K1230/1000000</x:f>
        <x:v>0.4247</x:v>
      </x:c>
      <x:c r="O1230" s="28" t="n">
        <x:f>SUM(M1230:N1230)</x:f>
        <x:v>0.9413800000000001</x:v>
      </x:c>
    </x:row>
    <x:row r="1231" ht="23" customHeight="1">
      <x:c r="A1231" s="17" t="str">
        <x:v>U01225</x:v>
      </x:c>
      <x:c r="B1231" s="18" t="n">
        <x:v>46288</x:v>
      </x:c>
      <x:c r="C1231" s="17" t="str">
        <x:v>W0062</x:v>
      </x:c>
      <x:c r="D1231" s="17" t="str">
        <x:v>C002</x:v>
      </x:c>
      <x:c r="E1231" s="17" t="str">
        <x:v>CampaignChat</x:v>
      </x:c>
      <x:c r="F1231" s="17" t="str">
        <x:v>Pro</x:v>
      </x:c>
      <x:c r="G1231" s="17" t="n">
        <x:v>15635</x:v>
      </x:c>
      <x:c r="H1231" s="17" t="n">
        <x:v>4354</x:v>
      </x:c>
      <x:c r="I1231" s="17" t="str">
        <x:v>Followup</x:v>
      </x:c>
      <x:c r="J1231" s="27" t="n">
        <x:f>INDEX('Model Pricing'!$B$7:$B$8,MATCH(F1231,'Model Pricing'!$A$7:$A$8,0))</x:f>
        <x:v>40</x:v>
      </x:c>
      <x:c r="K1231" s="27" t="n">
        <x:f>INDEX('Model Pricing'!$C$7:$C$8,MATCH(F1231,'Model Pricing'!$A$7:$A$8,0))</x:f>
        <x:v>100</x:v>
      </x:c>
      <x:c r="L1231" s="17" t="n">
        <x:f>G1231+H1231</x:f>
        <x:v>19989</x:v>
      </x:c>
      <x:c r="M1231" s="28" t="n">
        <x:f>G1231*J1231/1000000</x:f>
        <x:v>0.6254</x:v>
      </x:c>
      <x:c r="N1231" s="28" t="n">
        <x:f>H1231*K1231/1000000</x:f>
        <x:v>0.4354</x:v>
      </x:c>
      <x:c r="O1231" s="28" t="n">
        <x:f>SUM(M1231:N1231)</x:f>
        <x:v>1.0608</x:v>
      </x:c>
    </x:row>
    <x:row r="1232" ht="23" customHeight="1">
      <x:c r="A1232" s="17" t="str">
        <x:v>U01226</x:v>
      </x:c>
      <x:c r="B1232" s="18" t="n">
        <x:v>46288</x:v>
      </x:c>
      <x:c r="C1232" s="17" t="str">
        <x:v>W0062</x:v>
      </x:c>
      <x:c r="D1232" s="17" t="str">
        <x:v>C002</x:v>
      </x:c>
      <x:c r="E1232" s="17" t="str">
        <x:v>CampaignChat</x:v>
      </x:c>
      <x:c r="F1232" s="17" t="str">
        <x:v>Pro</x:v>
      </x:c>
      <x:c r="G1232" s="17" t="n">
        <x:v>15188</x:v>
      </x:c>
      <x:c r="H1232" s="17" t="n">
        <x:v>7099</x:v>
      </x:c>
      <x:c r="I1232" s="17" t="str">
        <x:v>Followup</x:v>
      </x:c>
      <x:c r="J1232" s="27" t="n">
        <x:f>INDEX('Model Pricing'!$B$7:$B$8,MATCH(F1232,'Model Pricing'!$A$7:$A$8,0))</x:f>
        <x:v>40</x:v>
      </x:c>
      <x:c r="K1232" s="27" t="n">
        <x:f>INDEX('Model Pricing'!$C$7:$C$8,MATCH(F1232,'Model Pricing'!$A$7:$A$8,0))</x:f>
        <x:v>100</x:v>
      </x:c>
      <x:c r="L1232" s="17" t="n">
        <x:f>G1232+H1232</x:f>
        <x:v>22287</x:v>
      </x:c>
      <x:c r="M1232" s="28" t="n">
        <x:f>G1232*J1232/1000000</x:f>
        <x:v>0.60752</x:v>
      </x:c>
      <x:c r="N1232" s="28" t="n">
        <x:f>H1232*K1232/1000000</x:f>
        <x:v>0.7099</x:v>
      </x:c>
      <x:c r="O1232" s="28" t="n">
        <x:f>SUM(M1232:N1232)</x:f>
        <x:v>1.3174199999999998</x:v>
      </x:c>
    </x:row>
    <x:row r="1233" ht="23" customHeight="1">
      <x:c r="A1233" s="17" t="str">
        <x:v>U01227</x:v>
      </x:c>
      <x:c r="B1233" s="18" t="n">
        <x:v>46288</x:v>
      </x:c>
      <x:c r="C1233" s="17" t="str">
        <x:v>W0062</x:v>
      </x:c>
      <x:c r="D1233" s="17" t="str">
        <x:v>C002</x:v>
      </x:c>
      <x:c r="E1233" s="17" t="str">
        <x:v>CampaignChat</x:v>
      </x:c>
      <x:c r="F1233" s="17" t="str">
        <x:v>Pro</x:v>
      </x:c>
      <x:c r="G1233" s="17" t="n">
        <x:v>18136</x:v>
      </x:c>
      <x:c r="H1233" s="17" t="n">
        <x:v>3784</x:v>
      </x:c>
      <x:c r="I1233" s="17" t="str">
        <x:v>Correction</x:v>
      </x:c>
      <x:c r="J1233" s="27" t="n">
        <x:f>INDEX('Model Pricing'!$B$7:$B$8,MATCH(F1233,'Model Pricing'!$A$7:$A$8,0))</x:f>
        <x:v>40</x:v>
      </x:c>
      <x:c r="K1233" s="27" t="n">
        <x:f>INDEX('Model Pricing'!$C$7:$C$8,MATCH(F1233,'Model Pricing'!$A$7:$A$8,0))</x:f>
        <x:v>100</x:v>
      </x:c>
      <x:c r="L1233" s="17" t="n">
        <x:f>G1233+H1233</x:f>
        <x:v>21920</x:v>
      </x:c>
      <x:c r="M1233" s="28" t="n">
        <x:f>G1233*J1233/1000000</x:f>
        <x:v>0.72544</x:v>
      </x:c>
      <x:c r="N1233" s="28" t="n">
        <x:f>H1233*K1233/1000000</x:f>
        <x:v>0.3784</x:v>
      </x:c>
      <x:c r="O1233" s="28" t="n">
        <x:f>SUM(M1233:N1233)</x:f>
        <x:v>1.10384</x:v>
      </x:c>
    </x:row>
    <x:row r="1234" ht="23" customHeight="1">
      <x:c r="A1234" s="17" t="str">
        <x:v>U01228</x:v>
      </x:c>
      <x:c r="B1234" s="18" t="n">
        <x:v>46288</x:v>
      </x:c>
      <x:c r="C1234" s="17" t="str">
        <x:v>W0062</x:v>
      </x:c>
      <x:c r="D1234" s="17" t="str">
        <x:v>C002</x:v>
      </x:c>
      <x:c r="E1234" s="17" t="str">
        <x:v>CampaignChat</x:v>
      </x:c>
      <x:c r="F1234" s="17" t="str">
        <x:v>Pro</x:v>
      </x:c>
      <x:c r="G1234" s="17" t="n">
        <x:v>18152</x:v>
      </x:c>
      <x:c r="H1234" s="17" t="n">
        <x:v>3861</x:v>
      </x:c>
      <x:c r="I1234" s="17" t="str">
        <x:v>Followup</x:v>
      </x:c>
      <x:c r="J1234" s="27" t="n">
        <x:f>INDEX('Model Pricing'!$B$7:$B$8,MATCH(F1234,'Model Pricing'!$A$7:$A$8,0))</x:f>
        <x:v>40</x:v>
      </x:c>
      <x:c r="K1234" s="27" t="n">
        <x:f>INDEX('Model Pricing'!$C$7:$C$8,MATCH(F1234,'Model Pricing'!$A$7:$A$8,0))</x:f>
        <x:v>100</x:v>
      </x:c>
      <x:c r="L1234" s="17" t="n">
        <x:f>G1234+H1234</x:f>
        <x:v>22013</x:v>
      </x:c>
      <x:c r="M1234" s="28" t="n">
        <x:f>G1234*J1234/1000000</x:f>
        <x:v>0.72608</x:v>
      </x:c>
      <x:c r="N1234" s="28" t="n">
        <x:f>H1234*K1234/1000000</x:f>
        <x:v>0.3861</x:v>
      </x:c>
      <x:c r="O1234" s="28" t="n">
        <x:f>SUM(M1234:N1234)</x:f>
        <x:v>1.11218</x:v>
      </x:c>
    </x:row>
    <x:row r="1235" ht="23" customHeight="1">
      <x:c r="A1235" s="17" t="str">
        <x:v>U01229</x:v>
      </x:c>
      <x:c r="B1235" s="18" t="n">
        <x:v>46289</x:v>
      </x:c>
      <x:c r="C1235" s="17" t="str">
        <x:v>W0062</x:v>
      </x:c>
      <x:c r="D1235" s="17" t="str">
        <x:v>C002</x:v>
      </x:c>
      <x:c r="E1235" s="17" t="str">
        <x:v>CampaignChat</x:v>
      </x:c>
      <x:c r="F1235" s="17" t="str">
        <x:v>Pro</x:v>
      </x:c>
      <x:c r="G1235" s="17" t="n">
        <x:v>11214</x:v>
      </x:c>
      <x:c r="H1235" s="17" t="n">
        <x:v>8264</x:v>
      </x:c>
      <x:c r="I1235" s="17" t="str">
        <x:v>Correction</x:v>
      </x:c>
      <x:c r="J1235" s="27" t="n">
        <x:f>INDEX('Model Pricing'!$B$7:$B$8,MATCH(F1235,'Model Pricing'!$A$7:$A$8,0))</x:f>
        <x:v>40</x:v>
      </x:c>
      <x:c r="K1235" s="27" t="n">
        <x:f>INDEX('Model Pricing'!$C$7:$C$8,MATCH(F1235,'Model Pricing'!$A$7:$A$8,0))</x:f>
        <x:v>100</x:v>
      </x:c>
      <x:c r="L1235" s="17" t="n">
        <x:f>G1235+H1235</x:f>
        <x:v>19478</x:v>
      </x:c>
      <x:c r="M1235" s="28" t="n">
        <x:f>G1235*J1235/1000000</x:f>
        <x:v>0.44856</x:v>
      </x:c>
      <x:c r="N1235" s="28" t="n">
        <x:f>H1235*K1235/1000000</x:f>
        <x:v>0.8264</x:v>
      </x:c>
      <x:c r="O1235" s="28" t="n">
        <x:f>SUM(M1235:N1235)</x:f>
        <x:v>1.27496</x:v>
      </x:c>
    </x:row>
    <x:row r="1236" ht="23" customHeight="1">
      <x:c r="A1236" s="17" t="str">
        <x:v>U01230</x:v>
      </x:c>
      <x:c r="B1236" s="18" t="n">
        <x:v>46289</x:v>
      </x:c>
      <x:c r="C1236" s="17" t="str">
        <x:v>W0062</x:v>
      </x:c>
      <x:c r="D1236" s="17" t="str">
        <x:v>C002</x:v>
      </x:c>
      <x:c r="E1236" s="17" t="str">
        <x:v>CampaignChat</x:v>
      </x:c>
      <x:c r="F1236" s="17" t="str">
        <x:v>Pro</x:v>
      </x:c>
      <x:c r="G1236" s="17" t="n">
        <x:v>8937</x:v>
      </x:c>
      <x:c r="H1236" s="17" t="n">
        <x:v>6642</x:v>
      </x:c>
      <x:c r="I1236" s="17" t="str">
        <x:v>Correction</x:v>
      </x:c>
      <x:c r="J1236" s="27" t="n">
        <x:f>INDEX('Model Pricing'!$B$7:$B$8,MATCH(F1236,'Model Pricing'!$A$7:$A$8,0))</x:f>
        <x:v>40</x:v>
      </x:c>
      <x:c r="K1236" s="27" t="n">
        <x:f>INDEX('Model Pricing'!$C$7:$C$8,MATCH(F1236,'Model Pricing'!$A$7:$A$8,0))</x:f>
        <x:v>100</x:v>
      </x:c>
      <x:c r="L1236" s="17" t="n">
        <x:f>G1236+H1236</x:f>
        <x:v>15579</x:v>
      </x:c>
      <x:c r="M1236" s="28" t="n">
        <x:f>G1236*J1236/1000000</x:f>
        <x:v>0.35748</x:v>
      </x:c>
      <x:c r="N1236" s="28" t="n">
        <x:f>H1236*K1236/1000000</x:f>
        <x:v>0.6642</x:v>
      </x:c>
      <x:c r="O1236" s="28" t="n">
        <x:f>SUM(M1236:N1236)</x:f>
        <x:v>1.02168</x:v>
      </x:c>
    </x:row>
    <x:row r="1237" ht="23" customHeight="1">
      <x:c r="A1237" s="17" t="str">
        <x:v>U01231</x:v>
      </x:c>
      <x:c r="B1237" s="18" t="n">
        <x:v>46289</x:v>
      </x:c>
      <x:c r="C1237" s="17" t="str">
        <x:v>W0062</x:v>
      </x:c>
      <x:c r="D1237" s="17" t="str">
        <x:v>C002</x:v>
      </x:c>
      <x:c r="E1237" s="17" t="str">
        <x:v>CampaignChat</x:v>
      </x:c>
      <x:c r="F1237" s="17" t="str">
        <x:v>Pro</x:v>
      </x:c>
      <x:c r="G1237" s="17" t="n">
        <x:v>16435</x:v>
      </x:c>
      <x:c r="H1237" s="17" t="n">
        <x:v>10724</x:v>
      </x:c>
      <x:c r="I1237" s="17" t="str">
        <x:v>Followup</x:v>
      </x:c>
      <x:c r="J1237" s="27" t="n">
        <x:f>INDEX('Model Pricing'!$B$7:$B$8,MATCH(F1237,'Model Pricing'!$A$7:$A$8,0))</x:f>
        <x:v>40</x:v>
      </x:c>
      <x:c r="K1237" s="27" t="n">
        <x:f>INDEX('Model Pricing'!$C$7:$C$8,MATCH(F1237,'Model Pricing'!$A$7:$A$8,0))</x:f>
        <x:v>100</x:v>
      </x:c>
      <x:c r="L1237" s="17" t="n">
        <x:f>G1237+H1237</x:f>
        <x:v>27159</x:v>
      </x:c>
      <x:c r="M1237" s="28" t="n">
        <x:f>G1237*J1237/1000000</x:f>
        <x:v>0.6574</x:v>
      </x:c>
      <x:c r="N1237" s="28" t="n">
        <x:f>H1237*K1237/1000000</x:f>
        <x:v>1.0724</x:v>
      </x:c>
      <x:c r="O1237" s="28" t="n">
        <x:f>SUM(M1237:N1237)</x:f>
        <x:v>1.7298</x:v>
      </x:c>
    </x:row>
    <x:row r="1238" ht="23" customHeight="1">
      <x:c r="A1238" s="17" t="str">
        <x:v>U01232</x:v>
      </x:c>
      <x:c r="B1238" s="18" t="n">
        <x:v>46289</x:v>
      </x:c>
      <x:c r="C1238" s="17" t="str">
        <x:v>W0062</x:v>
      </x:c>
      <x:c r="D1238" s="17" t="str">
        <x:v>C002</x:v>
      </x:c>
      <x:c r="E1238" s="17" t="str">
        <x:v>CampaignChat</x:v>
      </x:c>
      <x:c r="F1238" s="17" t="str">
        <x:v>Pro</x:v>
      </x:c>
      <x:c r="G1238" s="17" t="n">
        <x:v>12703</x:v>
      </x:c>
      <x:c r="H1238" s="17" t="n">
        <x:v>9765</x:v>
      </x:c>
      <x:c r="I1238" s="17" t="str">
        <x:v>Followup</x:v>
      </x:c>
      <x:c r="J1238" s="27" t="n">
        <x:f>INDEX('Model Pricing'!$B$7:$B$8,MATCH(F1238,'Model Pricing'!$A$7:$A$8,0))</x:f>
        <x:v>40</x:v>
      </x:c>
      <x:c r="K1238" s="27" t="n">
        <x:f>INDEX('Model Pricing'!$C$7:$C$8,MATCH(F1238,'Model Pricing'!$A$7:$A$8,0))</x:f>
        <x:v>100</x:v>
      </x:c>
      <x:c r="L1238" s="17" t="n">
        <x:f>G1238+H1238</x:f>
        <x:v>22468</x:v>
      </x:c>
      <x:c r="M1238" s="28" t="n">
        <x:f>G1238*J1238/1000000</x:f>
        <x:v>0.50812</x:v>
      </x:c>
      <x:c r="N1238" s="28" t="n">
        <x:f>H1238*K1238/1000000</x:f>
        <x:v>0.9765</x:v>
      </x:c>
      <x:c r="O1238" s="28" t="n">
        <x:f>SUM(M1238:N1238)</x:f>
        <x:v>1.48462</x:v>
      </x:c>
    </x:row>
    <x:row r="1239" ht="23" customHeight="1">
      <x:c r="A1239" s="17" t="str">
        <x:v>U01233</x:v>
      </x:c>
      <x:c r="B1239" s="18" t="n">
        <x:v>46289</x:v>
      </x:c>
      <x:c r="C1239" s="17" t="str">
        <x:v>W0065</x:v>
      </x:c>
      <x:c r="D1239" s="17" t="str">
        <x:v>C002</x:v>
      </x:c>
      <x:c r="E1239" s="17" t="str">
        <x:v>DataFlow</x:v>
      </x:c>
      <x:c r="F1239" s="17" t="str">
        <x:v>Pro</x:v>
      </x:c>
      <x:c r="G1239" s="17" t="n">
        <x:v>21490</x:v>
      </x:c>
      <x:c r="H1239" s="17" t="n">
        <x:v>9255</x:v>
      </x:c>
      <x:c r="I1239" s="17" t="str">
        <x:v>First attempt</x:v>
      </x:c>
      <x:c r="J1239" s="27" t="n">
        <x:f>INDEX('Model Pricing'!$B$7:$B$8,MATCH(F1239,'Model Pricing'!$A$7:$A$8,0))</x:f>
        <x:v>40</x:v>
      </x:c>
      <x:c r="K1239" s="27" t="n">
        <x:f>INDEX('Model Pricing'!$C$7:$C$8,MATCH(F1239,'Model Pricing'!$A$7:$A$8,0))</x:f>
        <x:v>100</x:v>
      </x:c>
      <x:c r="L1239" s="17" t="n">
        <x:f>G1239+H1239</x:f>
        <x:v>30745</x:v>
      </x:c>
      <x:c r="M1239" s="28" t="n">
        <x:f>G1239*J1239/1000000</x:f>
        <x:v>0.8596</x:v>
      </x:c>
      <x:c r="N1239" s="28" t="n">
        <x:f>H1239*K1239/1000000</x:f>
        <x:v>0.9255</x:v>
      </x:c>
      <x:c r="O1239" s="28" t="n">
        <x:f>SUM(M1239:N1239)</x:f>
        <x:v>1.7851</x:v>
      </x:c>
    </x:row>
    <x:row r="1240" ht="23" customHeight="1">
      <x:c r="A1240" s="17" t="str">
        <x:v>U01234</x:v>
      </x:c>
      <x:c r="B1240" s="18" t="n">
        <x:v>46289</x:v>
      </x:c>
      <x:c r="C1240" s="17" t="str">
        <x:v>W0065</x:v>
      </x:c>
      <x:c r="D1240" s="17" t="str">
        <x:v>C002</x:v>
      </x:c>
      <x:c r="E1240" s="17" t="str">
        <x:v>DataFlow</x:v>
      </x:c>
      <x:c r="F1240" s="17" t="str">
        <x:v>Pro</x:v>
      </x:c>
      <x:c r="G1240" s="17" t="n">
        <x:v>26257</x:v>
      </x:c>
      <x:c r="H1240" s="17" t="n">
        <x:v>13223</x:v>
      </x:c>
      <x:c r="I1240" s="17" t="str">
        <x:v>Followup</x:v>
      </x:c>
      <x:c r="J1240" s="27" t="n">
        <x:f>INDEX('Model Pricing'!$B$7:$B$8,MATCH(F1240,'Model Pricing'!$A$7:$A$8,0))</x:f>
        <x:v>40</x:v>
      </x:c>
      <x:c r="K1240" s="27" t="n">
        <x:f>INDEX('Model Pricing'!$C$7:$C$8,MATCH(F1240,'Model Pricing'!$A$7:$A$8,0))</x:f>
        <x:v>100</x:v>
      </x:c>
      <x:c r="L1240" s="17" t="n">
        <x:f>G1240+H1240</x:f>
        <x:v>39480</x:v>
      </x:c>
      <x:c r="M1240" s="28" t="n">
        <x:f>G1240*J1240/1000000</x:f>
        <x:v>1.05028</x:v>
      </x:c>
      <x:c r="N1240" s="28" t="n">
        <x:f>H1240*K1240/1000000</x:f>
        <x:v>1.3223</x:v>
      </x:c>
      <x:c r="O1240" s="28" t="n">
        <x:f>SUM(M1240:N1240)</x:f>
        <x:v>2.37258</x:v>
      </x:c>
    </x:row>
    <x:row r="1241" ht="23" customHeight="1">
      <x:c r="A1241" s="17" t="str">
        <x:v>U01235</x:v>
      </x:c>
      <x:c r="B1241" s="18" t="n">
        <x:v>46289</x:v>
      </x:c>
      <x:c r="C1241" s="17" t="str">
        <x:v>W0065</x:v>
      </x:c>
      <x:c r="D1241" s="17" t="str">
        <x:v>C002</x:v>
      </x:c>
      <x:c r="E1241" s="17" t="str">
        <x:v>DataFlow</x:v>
      </x:c>
      <x:c r="F1241" s="17" t="str">
        <x:v>Pro</x:v>
      </x:c>
      <x:c r="G1241" s="17" t="n">
        <x:v>30121</x:v>
      </x:c>
      <x:c r="H1241" s="17" t="n">
        <x:v>16537</x:v>
      </x:c>
      <x:c r="I1241" s="17" t="str">
        <x:v>Followup</x:v>
      </x:c>
      <x:c r="J1241" s="27" t="n">
        <x:f>INDEX('Model Pricing'!$B$7:$B$8,MATCH(F1241,'Model Pricing'!$A$7:$A$8,0))</x:f>
        <x:v>40</x:v>
      </x:c>
      <x:c r="K1241" s="27" t="n">
        <x:f>INDEX('Model Pricing'!$C$7:$C$8,MATCH(F1241,'Model Pricing'!$A$7:$A$8,0))</x:f>
        <x:v>100</x:v>
      </x:c>
      <x:c r="L1241" s="17" t="n">
        <x:f>G1241+H1241</x:f>
        <x:v>46658</x:v>
      </x:c>
      <x:c r="M1241" s="28" t="n">
        <x:f>G1241*J1241/1000000</x:f>
        <x:v>1.20484</x:v>
      </x:c>
      <x:c r="N1241" s="28" t="n">
        <x:f>H1241*K1241/1000000</x:f>
        <x:v>1.6537</x:v>
      </x:c>
      <x:c r="O1241" s="28" t="n">
        <x:f>SUM(M1241:N1241)</x:f>
        <x:v>2.8585399999999996</x:v>
      </x:c>
    </x:row>
    <x:row r="1242" ht="23" customHeight="1">
      <x:c r="A1242" s="17" t="str">
        <x:v>U01236</x:v>
      </x:c>
      <x:c r="B1242" s="18" t="n">
        <x:v>46289</x:v>
      </x:c>
      <x:c r="C1242" s="17" t="str">
        <x:v>W0065</x:v>
      </x:c>
      <x:c r="D1242" s="17" t="str">
        <x:v>C002</x:v>
      </x:c>
      <x:c r="E1242" s="17" t="str">
        <x:v>DataFlow</x:v>
      </x:c>
      <x:c r="F1242" s="17" t="str">
        <x:v>Pro</x:v>
      </x:c>
      <x:c r="G1242" s="17" t="n">
        <x:v>12661</x:v>
      </x:c>
      <x:c r="H1242" s="17" t="n">
        <x:v>20289</x:v>
      </x:c>
      <x:c r="I1242" s="17" t="str">
        <x:v>Correction</x:v>
      </x:c>
      <x:c r="J1242" s="27" t="n">
        <x:f>INDEX('Model Pricing'!$B$7:$B$8,MATCH(F1242,'Model Pricing'!$A$7:$A$8,0))</x:f>
        <x:v>40</x:v>
      </x:c>
      <x:c r="K1242" s="27" t="n">
        <x:f>INDEX('Model Pricing'!$C$7:$C$8,MATCH(F1242,'Model Pricing'!$A$7:$A$8,0))</x:f>
        <x:v>100</x:v>
      </x:c>
      <x:c r="L1242" s="17" t="n">
        <x:f>G1242+H1242</x:f>
        <x:v>32950</x:v>
      </x:c>
      <x:c r="M1242" s="28" t="n">
        <x:f>G1242*J1242/1000000</x:f>
        <x:v>0.50644</x:v>
      </x:c>
      <x:c r="N1242" s="28" t="n">
        <x:f>H1242*K1242/1000000</x:f>
        <x:v>2.0289</x:v>
      </x:c>
      <x:c r="O1242" s="28" t="n">
        <x:f>SUM(M1242:N1242)</x:f>
        <x:v>2.53534</x:v>
      </x:c>
    </x:row>
    <x:row r="1243" ht="23" customHeight="1">
      <x:c r="A1243" s="17" t="str">
        <x:v>U01237</x:v>
      </x:c>
      <x:c r="B1243" s="18" t="n">
        <x:v>46290</x:v>
      </x:c>
      <x:c r="C1243" s="17" t="str">
        <x:v>W0065</x:v>
      </x:c>
      <x:c r="D1243" s="17" t="str">
        <x:v>C002</x:v>
      </x:c>
      <x:c r="E1243" s="17" t="str">
        <x:v>DataFlow</x:v>
      </x:c>
      <x:c r="F1243" s="17" t="str">
        <x:v>Pro</x:v>
      </x:c>
      <x:c r="G1243" s="17" t="n">
        <x:v>17579</x:v>
      </x:c>
      <x:c r="H1243" s="17" t="n">
        <x:v>19074</x:v>
      </x:c>
      <x:c r="I1243" s="17" t="str">
        <x:v>Correction</x:v>
      </x:c>
      <x:c r="J1243" s="27" t="n">
        <x:f>INDEX('Model Pricing'!$B$7:$B$8,MATCH(F1243,'Model Pricing'!$A$7:$A$8,0))</x:f>
        <x:v>40</x:v>
      </x:c>
      <x:c r="K1243" s="27" t="n">
        <x:f>INDEX('Model Pricing'!$C$7:$C$8,MATCH(F1243,'Model Pricing'!$A$7:$A$8,0))</x:f>
        <x:v>100</x:v>
      </x:c>
      <x:c r="L1243" s="17" t="n">
        <x:f>G1243+H1243</x:f>
        <x:v>36653</x:v>
      </x:c>
      <x:c r="M1243" s="28" t="n">
        <x:f>G1243*J1243/1000000</x:f>
        <x:v>0.70316</x:v>
      </x:c>
      <x:c r="N1243" s="28" t="n">
        <x:f>H1243*K1243/1000000</x:f>
        <x:v>1.9074</x:v>
      </x:c>
      <x:c r="O1243" s="28" t="n">
        <x:f>SUM(M1243:N1243)</x:f>
        <x:v>2.61056</x:v>
      </x:c>
    </x:row>
    <x:row r="1244" ht="23" customHeight="1">
      <x:c r="A1244" s="17" t="str">
        <x:v>U01238</x:v>
      </x:c>
      <x:c r="B1244" s="18" t="n">
        <x:v>46290</x:v>
      </x:c>
      <x:c r="C1244" s="17" t="str">
        <x:v>W0065</x:v>
      </x:c>
      <x:c r="D1244" s="17" t="str">
        <x:v>C002</x:v>
      </x:c>
      <x:c r="E1244" s="17" t="str">
        <x:v>DataFlow</x:v>
      </x:c>
      <x:c r="F1244" s="17" t="str">
        <x:v>Pro</x:v>
      </x:c>
      <x:c r="G1244" s="17" t="n">
        <x:v>19887</x:v>
      </x:c>
      <x:c r="H1244" s="17" t="n">
        <x:v>11857</x:v>
      </x:c>
      <x:c r="I1244" s="17" t="str">
        <x:v>Followup</x:v>
      </x:c>
      <x:c r="J1244" s="27" t="n">
        <x:f>INDEX('Model Pricing'!$B$7:$B$8,MATCH(F1244,'Model Pricing'!$A$7:$A$8,0))</x:f>
        <x:v>40</x:v>
      </x:c>
      <x:c r="K1244" s="27" t="n">
        <x:f>INDEX('Model Pricing'!$C$7:$C$8,MATCH(F1244,'Model Pricing'!$A$7:$A$8,0))</x:f>
        <x:v>100</x:v>
      </x:c>
      <x:c r="L1244" s="17" t="n">
        <x:f>G1244+H1244</x:f>
        <x:v>31744</x:v>
      </x:c>
      <x:c r="M1244" s="28" t="n">
        <x:f>G1244*J1244/1000000</x:f>
        <x:v>0.79548</x:v>
      </x:c>
      <x:c r="N1244" s="28" t="n">
        <x:f>H1244*K1244/1000000</x:f>
        <x:v>1.1857</x:v>
      </x:c>
      <x:c r="O1244" s="28" t="n">
        <x:f>SUM(M1244:N1244)</x:f>
        <x:v>1.98118</x:v>
      </x:c>
    </x:row>
    <x:row r="1245" ht="23" customHeight="1">
      <x:c r="A1245" s="17" t="str">
        <x:v>U01239</x:v>
      </x:c>
      <x:c r="B1245" s="18" t="n">
        <x:v>46290</x:v>
      </x:c>
      <x:c r="C1245" s="17" t="str">
        <x:v>W0065</x:v>
      </x:c>
      <x:c r="D1245" s="17" t="str">
        <x:v>C002</x:v>
      </x:c>
      <x:c r="E1245" s="17" t="str">
        <x:v>DataFlow</x:v>
      </x:c>
      <x:c r="F1245" s="17" t="str">
        <x:v>Pro</x:v>
      </x:c>
      <x:c r="G1245" s="17" t="n">
        <x:v>28427</x:v>
      </x:c>
      <x:c r="H1245" s="17" t="n">
        <x:v>15825</x:v>
      </x:c>
      <x:c r="I1245" s="17" t="str">
        <x:v>Correction</x:v>
      </x:c>
      <x:c r="J1245" s="27" t="n">
        <x:f>INDEX('Model Pricing'!$B$7:$B$8,MATCH(F1245,'Model Pricing'!$A$7:$A$8,0))</x:f>
        <x:v>40</x:v>
      </x:c>
      <x:c r="K1245" s="27" t="n">
        <x:f>INDEX('Model Pricing'!$C$7:$C$8,MATCH(F1245,'Model Pricing'!$A$7:$A$8,0))</x:f>
        <x:v>100</x:v>
      </x:c>
      <x:c r="L1245" s="17" t="n">
        <x:f>G1245+H1245</x:f>
        <x:v>44252</x:v>
      </x:c>
      <x:c r="M1245" s="28" t="n">
        <x:f>G1245*J1245/1000000</x:f>
        <x:v>1.13708</x:v>
      </x:c>
      <x:c r="N1245" s="28" t="n">
        <x:f>H1245*K1245/1000000</x:f>
        <x:v>1.5825</x:v>
      </x:c>
      <x:c r="O1245" s="28" t="n">
        <x:f>SUM(M1245:N1245)</x:f>
        <x:v>2.71958</x:v>
      </x:c>
    </x:row>
    <x:row r="1246" ht="23" customHeight="1">
      <x:c r="A1246" s="17" t="str">
        <x:v>U01240</x:v>
      </x:c>
      <x:c r="B1246" s="18" t="n">
        <x:v>46293</x:v>
      </x:c>
      <x:c r="C1246" s="17" t="str">
        <x:v>W0065</x:v>
      </x:c>
      <x:c r="D1246" s="17" t="str">
        <x:v>C002</x:v>
      </x:c>
      <x:c r="E1246" s="17" t="str">
        <x:v>DataFlow</x:v>
      </x:c>
      <x:c r="F1246" s="17" t="str">
        <x:v>Pro</x:v>
      </x:c>
      <x:c r="G1246" s="17" t="n">
        <x:v>16361</x:v>
      </x:c>
      <x:c r="H1246" s="17" t="n">
        <x:v>7230</x:v>
      </x:c>
      <x:c r="I1246" s="17" t="str">
        <x:v>Followup</x:v>
      </x:c>
      <x:c r="J1246" s="27" t="n">
        <x:f>INDEX('Model Pricing'!$B$7:$B$8,MATCH(F1246,'Model Pricing'!$A$7:$A$8,0))</x:f>
        <x:v>40</x:v>
      </x:c>
      <x:c r="K1246" s="27" t="n">
        <x:f>INDEX('Model Pricing'!$C$7:$C$8,MATCH(F1246,'Model Pricing'!$A$7:$A$8,0))</x:f>
        <x:v>100</x:v>
      </x:c>
      <x:c r="L1246" s="17" t="n">
        <x:f>G1246+H1246</x:f>
        <x:v>23591</x:v>
      </x:c>
      <x:c r="M1246" s="28" t="n">
        <x:f>G1246*J1246/1000000</x:f>
        <x:v>0.65444</x:v>
      </x:c>
      <x:c r="N1246" s="28" t="n">
        <x:f>H1246*K1246/1000000</x:f>
        <x:v>0.723</x:v>
      </x:c>
      <x:c r="O1246" s="28" t="n">
        <x:f>SUM(M1246:N1246)</x:f>
        <x:v>1.37744</x:v>
      </x:c>
    </x:row>
    <x:row r="1247" ht="23" customHeight="1">
      <x:c r="A1247" s="17" t="str">
        <x:v>U01241</x:v>
      </x:c>
      <x:c r="B1247" s="18" t="n">
        <x:v>46293</x:v>
      </x:c>
      <x:c r="C1247" s="17" t="str">
        <x:v>W0065</x:v>
      </x:c>
      <x:c r="D1247" s="17" t="str">
        <x:v>C002</x:v>
      </x:c>
      <x:c r="E1247" s="17" t="str">
        <x:v>DataFlow</x:v>
      </x:c>
      <x:c r="F1247" s="17" t="str">
        <x:v>Pro</x:v>
      </x:c>
      <x:c r="G1247" s="17" t="n">
        <x:v>17818</x:v>
      </x:c>
      <x:c r="H1247" s="17" t="n">
        <x:v>19414</x:v>
      </x:c>
      <x:c r="I1247" s="17" t="str">
        <x:v>Followup</x:v>
      </x:c>
      <x:c r="J1247" s="27" t="n">
        <x:f>INDEX('Model Pricing'!$B$7:$B$8,MATCH(F1247,'Model Pricing'!$A$7:$A$8,0))</x:f>
        <x:v>40</x:v>
      </x:c>
      <x:c r="K1247" s="27" t="n">
        <x:f>INDEX('Model Pricing'!$C$7:$C$8,MATCH(F1247,'Model Pricing'!$A$7:$A$8,0))</x:f>
        <x:v>100</x:v>
      </x:c>
      <x:c r="L1247" s="17" t="n">
        <x:f>G1247+H1247</x:f>
        <x:v>37232</x:v>
      </x:c>
      <x:c r="M1247" s="28" t="n">
        <x:f>G1247*J1247/1000000</x:f>
        <x:v>0.71272</x:v>
      </x:c>
      <x:c r="N1247" s="28" t="n">
        <x:f>H1247*K1247/1000000</x:f>
        <x:v>1.9414</x:v>
      </x:c>
      <x:c r="O1247" s="28" t="n">
        <x:f>SUM(M1247:N1247)</x:f>
        <x:v>2.65412</x:v>
      </x:c>
    </x:row>
    <x:row r="1248" ht="23" customHeight="1">
      <x:c r="A1248" s="17" t="str">
        <x:v>U01242</x:v>
      </x:c>
      <x:c r="B1248" s="18" t="n">
        <x:v>46293</x:v>
      </x:c>
      <x:c r="C1248" s="17" t="str">
        <x:v>W0065</x:v>
      </x:c>
      <x:c r="D1248" s="17" t="str">
        <x:v>C002</x:v>
      </x:c>
      <x:c r="E1248" s="17" t="str">
        <x:v>DataFlow</x:v>
      </x:c>
      <x:c r="F1248" s="17" t="str">
        <x:v>Pro</x:v>
      </x:c>
      <x:c r="G1248" s="17" t="n">
        <x:v>29326</x:v>
      </x:c>
      <x:c r="H1248" s="17" t="n">
        <x:v>6371</x:v>
      </x:c>
      <x:c r="I1248" s="17" t="str">
        <x:v>Followup</x:v>
      </x:c>
      <x:c r="J1248" s="27" t="n">
        <x:f>INDEX('Model Pricing'!$B$7:$B$8,MATCH(F1248,'Model Pricing'!$A$7:$A$8,0))</x:f>
        <x:v>40</x:v>
      </x:c>
      <x:c r="K1248" s="27" t="n">
        <x:f>INDEX('Model Pricing'!$C$7:$C$8,MATCH(F1248,'Model Pricing'!$A$7:$A$8,0))</x:f>
        <x:v>100</x:v>
      </x:c>
      <x:c r="L1248" s="17" t="n">
        <x:f>G1248+H1248</x:f>
        <x:v>35697</x:v>
      </x:c>
      <x:c r="M1248" s="28" t="n">
        <x:f>G1248*J1248/1000000</x:f>
        <x:v>1.17304</x:v>
      </x:c>
      <x:c r="N1248" s="28" t="n">
        <x:f>H1248*K1248/1000000</x:f>
        <x:v>0.6371</x:v>
      </x:c>
      <x:c r="O1248" s="28" t="n">
        <x:f>SUM(M1248:N1248)</x:f>
        <x:v>1.81014</x:v>
      </x:c>
    </x:row>
    <x:row r="1249" ht="23" customHeight="1">
      <x:c r="A1249" s="17" t="str">
        <x:v>U01243</x:v>
      </x:c>
      <x:c r="B1249" s="18" t="n">
        <x:v>46293</x:v>
      </x:c>
      <x:c r="C1249" s="17" t="str">
        <x:v>W0065</x:v>
      </x:c>
      <x:c r="D1249" s="17" t="str">
        <x:v>C002</x:v>
      </x:c>
      <x:c r="E1249" s="17" t="str">
        <x:v>DataFlow</x:v>
      </x:c>
      <x:c r="F1249" s="17" t="str">
        <x:v>Pro</x:v>
      </x:c>
      <x:c r="G1249" s="17" t="n">
        <x:v>13885</x:v>
      </x:c>
      <x:c r="H1249" s="17" t="n">
        <x:v>7698</x:v>
      </x:c>
      <x:c r="I1249" s="17" t="str">
        <x:v>Correction</x:v>
      </x:c>
      <x:c r="J1249" s="27" t="n">
        <x:f>INDEX('Model Pricing'!$B$7:$B$8,MATCH(F1249,'Model Pricing'!$A$7:$A$8,0))</x:f>
        <x:v>40</x:v>
      </x:c>
      <x:c r="K1249" s="27" t="n">
        <x:f>INDEX('Model Pricing'!$C$7:$C$8,MATCH(F1249,'Model Pricing'!$A$7:$A$8,0))</x:f>
        <x:v>100</x:v>
      </x:c>
      <x:c r="L1249" s="17" t="n">
        <x:f>G1249+H1249</x:f>
        <x:v>21583</x:v>
      </x:c>
      <x:c r="M1249" s="28" t="n">
        <x:f>G1249*J1249/1000000</x:f>
        <x:v>0.5554</x:v>
      </x:c>
      <x:c r="N1249" s="28" t="n">
        <x:f>H1249*K1249/1000000</x:f>
        <x:v>0.7698</x:v>
      </x:c>
      <x:c r="O1249" s="28" t="n">
        <x:f>SUM(M1249:N1249)</x:f>
        <x:v>1.3252000000000002</x:v>
      </x:c>
    </x:row>
    <x:row r="1250" ht="23" customHeight="1">
      <x:c r="A1250" s="17" t="str">
        <x:v>U01244</x:v>
      </x:c>
      <x:c r="B1250" s="18" t="n">
        <x:v>46294</x:v>
      </x:c>
      <x:c r="C1250" s="17" t="str">
        <x:v>W0065</x:v>
      </x:c>
      <x:c r="D1250" s="17" t="str">
        <x:v>C002</x:v>
      </x:c>
      <x:c r="E1250" s="17" t="str">
        <x:v>DataFlow</x:v>
      </x:c>
      <x:c r="F1250" s="17" t="str">
        <x:v>Pro</x:v>
      </x:c>
      <x:c r="G1250" s="17" t="n">
        <x:v>30480</x:v>
      </x:c>
      <x:c r="H1250" s="17" t="n">
        <x:v>15305</x:v>
      </x:c>
      <x:c r="I1250" s="17" t="str">
        <x:v>Correction</x:v>
      </x:c>
      <x:c r="J1250" s="27" t="n">
        <x:f>INDEX('Model Pricing'!$B$7:$B$8,MATCH(F1250,'Model Pricing'!$A$7:$A$8,0))</x:f>
        <x:v>40</x:v>
      </x:c>
      <x:c r="K1250" s="27" t="n">
        <x:f>INDEX('Model Pricing'!$C$7:$C$8,MATCH(F1250,'Model Pricing'!$A$7:$A$8,0))</x:f>
        <x:v>100</x:v>
      </x:c>
      <x:c r="L1250" s="17" t="n">
        <x:f>G1250+H1250</x:f>
        <x:v>45785</x:v>
      </x:c>
      <x:c r="M1250" s="28" t="n">
        <x:f>G1250*J1250/1000000</x:f>
        <x:v>1.2192</x:v>
      </x:c>
      <x:c r="N1250" s="28" t="n">
        <x:f>H1250*K1250/1000000</x:f>
        <x:v>1.5305</x:v>
      </x:c>
      <x:c r="O1250" s="28" t="n">
        <x:f>SUM(M1250:N1250)</x:f>
        <x:v>2.7497</x:v>
      </x:c>
    </x:row>
    <x:row r="1251" ht="23" customHeight="1">
      <x:c r="A1251" s="17" t="str">
        <x:v>U01245</x:v>
      </x:c>
      <x:c r="B1251" s="18" t="n">
        <x:v>46294</x:v>
      </x:c>
      <x:c r="C1251" s="17" t="str">
        <x:v>W0065</x:v>
      </x:c>
      <x:c r="D1251" s="17" t="str">
        <x:v>C002</x:v>
      </x:c>
      <x:c r="E1251" s="17" t="str">
        <x:v>DataFlow</x:v>
      </x:c>
      <x:c r="F1251" s="17" t="str">
        <x:v>Pro</x:v>
      </x:c>
      <x:c r="G1251" s="17" t="n">
        <x:v>28681</x:v>
      </x:c>
      <x:c r="H1251" s="17" t="n">
        <x:v>22130</x:v>
      </x:c>
      <x:c r="I1251" s="17" t="str">
        <x:v>Followup</x:v>
      </x:c>
      <x:c r="J1251" s="27" t="n">
        <x:f>INDEX('Model Pricing'!$B$7:$B$8,MATCH(F1251,'Model Pricing'!$A$7:$A$8,0))</x:f>
        <x:v>40</x:v>
      </x:c>
      <x:c r="K1251" s="27" t="n">
        <x:f>INDEX('Model Pricing'!$C$7:$C$8,MATCH(F1251,'Model Pricing'!$A$7:$A$8,0))</x:f>
        <x:v>100</x:v>
      </x:c>
      <x:c r="L1251" s="17" t="n">
        <x:f>G1251+H1251</x:f>
        <x:v>50811</x:v>
      </x:c>
      <x:c r="M1251" s="28" t="n">
        <x:f>G1251*J1251/1000000</x:f>
        <x:v>1.14724</x:v>
      </x:c>
      <x:c r="N1251" s="28" t="n">
        <x:f>H1251*K1251/1000000</x:f>
        <x:v>2.213</x:v>
      </x:c>
      <x:c r="O1251" s="28" t="n">
        <x:f>SUM(M1251:N1251)</x:f>
        <x:v>3.36024</x:v>
      </x:c>
    </x:row>
    <x:row r="1252" ht="23" customHeight="1">
      <x:c r="A1252" s="17" t="str">
        <x:v>U01246</x:v>
      </x:c>
      <x:c r="B1252" s="18" t="n">
        <x:v>46294</x:v>
      </x:c>
      <x:c r="C1252" s="17" t="str">
        <x:v>W0065</x:v>
      </x:c>
      <x:c r="D1252" s="17" t="str">
        <x:v>C002</x:v>
      </x:c>
      <x:c r="E1252" s="17" t="str">
        <x:v>DataFlow</x:v>
      </x:c>
      <x:c r="F1252" s="17" t="str">
        <x:v>Pro</x:v>
      </x:c>
      <x:c r="G1252" s="17" t="n">
        <x:v>26020</x:v>
      </x:c>
      <x:c r="H1252" s="17" t="n">
        <x:v>12465</x:v>
      </x:c>
      <x:c r="I1252" s="17" t="str">
        <x:v>Correction</x:v>
      </x:c>
      <x:c r="J1252" s="27" t="n">
        <x:f>INDEX('Model Pricing'!$B$7:$B$8,MATCH(F1252,'Model Pricing'!$A$7:$A$8,0))</x:f>
        <x:v>40</x:v>
      </x:c>
      <x:c r="K1252" s="27" t="n">
        <x:f>INDEX('Model Pricing'!$C$7:$C$8,MATCH(F1252,'Model Pricing'!$A$7:$A$8,0))</x:f>
        <x:v>100</x:v>
      </x:c>
      <x:c r="L1252" s="17" t="n">
        <x:f>G1252+H1252</x:f>
        <x:v>38485</x:v>
      </x:c>
      <x:c r="M1252" s="28" t="n">
        <x:f>G1252*J1252/1000000</x:f>
        <x:v>1.0408</x:v>
      </x:c>
      <x:c r="N1252" s="28" t="n">
        <x:f>H1252*K1252/1000000</x:f>
        <x:v>1.2465</x:v>
      </x:c>
      <x:c r="O1252" s="28" t="n">
        <x:f>SUM(M1252:N1252)</x:f>
        <x:v>2.2873</x:v>
      </x:c>
    </x:row>
    <x:row r="1253" ht="23" customHeight="1">
      <x:c r="A1253" s="17" t="str">
        <x:v>U01247</x:v>
      </x:c>
      <x:c r="B1253" s="18" t="n">
        <x:v>46274</x:v>
      </x:c>
      <x:c r="C1253" s="17" t="str">
        <x:v>W0066</x:v>
      </x:c>
      <x:c r="D1253" s="17" t="str">
        <x:v>C002</x:v>
      </x:c>
      <x:c r="E1253" s="17" t="str">
        <x:v>DataFlow</x:v>
      </x:c>
      <x:c r="F1253" s="17" t="str">
        <x:v>Pro</x:v>
      </x:c>
      <x:c r="G1253" s="17" t="n">
        <x:v>17161</x:v>
      </x:c>
      <x:c r="H1253" s="17" t="n">
        <x:v>6326</x:v>
      </x:c>
      <x:c r="I1253" s="17" t="str">
        <x:v>First attempt</x:v>
      </x:c>
      <x:c r="J1253" s="27" t="n">
        <x:f>INDEX('Model Pricing'!$B$7:$B$8,MATCH(F1253,'Model Pricing'!$A$7:$A$8,0))</x:f>
        <x:v>40</x:v>
      </x:c>
      <x:c r="K1253" s="27" t="n">
        <x:f>INDEX('Model Pricing'!$C$7:$C$8,MATCH(F1253,'Model Pricing'!$A$7:$A$8,0))</x:f>
        <x:v>100</x:v>
      </x:c>
      <x:c r="L1253" s="17" t="n">
        <x:f>G1253+H1253</x:f>
        <x:v>23487</x:v>
      </x:c>
      <x:c r="M1253" s="28" t="n">
        <x:f>G1253*J1253/1000000</x:f>
        <x:v>0.68644</x:v>
      </x:c>
      <x:c r="N1253" s="28" t="n">
        <x:f>H1253*K1253/1000000</x:f>
        <x:v>0.6326</x:v>
      </x:c>
      <x:c r="O1253" s="28" t="n">
        <x:f>SUM(M1253:N1253)</x:f>
        <x:v>1.3190400000000002</x:v>
      </x:c>
    </x:row>
    <x:row r="1254" ht="23" customHeight="1">
      <x:c r="A1254" s="17" t="str">
        <x:v>U01248</x:v>
      </x:c>
      <x:c r="B1254" s="18" t="n">
        <x:v>46274</x:v>
      </x:c>
      <x:c r="C1254" s="17" t="str">
        <x:v>W0066</x:v>
      </x:c>
      <x:c r="D1254" s="17" t="str">
        <x:v>C002</x:v>
      </x:c>
      <x:c r="E1254" s="17" t="str">
        <x:v>DataFlow</x:v>
      </x:c>
      <x:c r="F1254" s="17" t="str">
        <x:v>Pro</x:v>
      </x:c>
      <x:c r="G1254" s="17" t="n">
        <x:v>29276</x:v>
      </x:c>
      <x:c r="H1254" s="17" t="n">
        <x:v>12849</x:v>
      </x:c>
      <x:c r="I1254" s="17" t="str">
        <x:v>Correction</x:v>
      </x:c>
      <x:c r="J1254" s="27" t="n">
        <x:f>INDEX('Model Pricing'!$B$7:$B$8,MATCH(F1254,'Model Pricing'!$A$7:$A$8,0))</x:f>
        <x:v>40</x:v>
      </x:c>
      <x:c r="K1254" s="27" t="n">
        <x:f>INDEX('Model Pricing'!$C$7:$C$8,MATCH(F1254,'Model Pricing'!$A$7:$A$8,0))</x:f>
        <x:v>100</x:v>
      </x:c>
      <x:c r="L1254" s="17" t="n">
        <x:f>G1254+H1254</x:f>
        <x:v>42125</x:v>
      </x:c>
      <x:c r="M1254" s="28" t="n">
        <x:f>G1254*J1254/1000000</x:f>
        <x:v>1.17104</x:v>
      </x:c>
      <x:c r="N1254" s="28" t="n">
        <x:f>H1254*K1254/1000000</x:f>
        <x:v>1.2849</x:v>
      </x:c>
      <x:c r="O1254" s="28" t="n">
        <x:f>SUM(M1254:N1254)</x:f>
        <x:v>2.45594</x:v>
      </x:c>
    </x:row>
    <x:row r="1255" ht="23" customHeight="1">
      <x:c r="A1255" s="17" t="str">
        <x:v>U01249</x:v>
      </x:c>
      <x:c r="B1255" s="18" t="n">
        <x:v>46274</x:v>
      </x:c>
      <x:c r="C1255" s="17" t="str">
        <x:v>W0066</x:v>
      </x:c>
      <x:c r="D1255" s="17" t="str">
        <x:v>C002</x:v>
      </x:c>
      <x:c r="E1255" s="17" t="str">
        <x:v>DataFlow</x:v>
      </x:c>
      <x:c r="F1255" s="17" t="str">
        <x:v>Pro</x:v>
      </x:c>
      <x:c r="G1255" s="17" t="n">
        <x:v>37754</x:v>
      </x:c>
      <x:c r="H1255" s="17" t="n">
        <x:v>15021</x:v>
      </x:c>
      <x:c r="I1255" s="17" t="str">
        <x:v>Followup</x:v>
      </x:c>
      <x:c r="J1255" s="27" t="n">
        <x:f>INDEX('Model Pricing'!$B$7:$B$8,MATCH(F1255,'Model Pricing'!$A$7:$A$8,0))</x:f>
        <x:v>40</x:v>
      </x:c>
      <x:c r="K1255" s="27" t="n">
        <x:f>INDEX('Model Pricing'!$C$7:$C$8,MATCH(F1255,'Model Pricing'!$A$7:$A$8,0))</x:f>
        <x:v>100</x:v>
      </x:c>
      <x:c r="L1255" s="17" t="n">
        <x:f>G1255+H1255</x:f>
        <x:v>52775</x:v>
      </x:c>
      <x:c r="M1255" s="28" t="n">
        <x:f>G1255*J1255/1000000</x:f>
        <x:v>1.51016</x:v>
      </x:c>
      <x:c r="N1255" s="28" t="n">
        <x:f>H1255*K1255/1000000</x:f>
        <x:v>1.5021</x:v>
      </x:c>
      <x:c r="O1255" s="28" t="n">
        <x:f>SUM(M1255:N1255)</x:f>
        <x:v>3.01226</x:v>
      </x:c>
    </x:row>
    <x:row r="1256" ht="23" customHeight="1">
      <x:c r="A1256" s="17" t="str">
        <x:v>U01250</x:v>
      </x:c>
      <x:c r="B1256" s="18" t="n">
        <x:v>46275</x:v>
      </x:c>
      <x:c r="C1256" s="17" t="str">
        <x:v>W0066</x:v>
      </x:c>
      <x:c r="D1256" s="17" t="str">
        <x:v>C002</x:v>
      </x:c>
      <x:c r="E1256" s="17" t="str">
        <x:v>DataFlow</x:v>
      </x:c>
      <x:c r="F1256" s="17" t="str">
        <x:v>Pro</x:v>
      </x:c>
      <x:c r="G1256" s="17" t="n">
        <x:v>37979</x:v>
      </x:c>
      <x:c r="H1256" s="17" t="n">
        <x:v>15991</x:v>
      </x:c>
      <x:c r="I1256" s="17" t="str">
        <x:v>Correction</x:v>
      </x:c>
      <x:c r="J1256" s="27" t="n">
        <x:f>INDEX('Model Pricing'!$B$7:$B$8,MATCH(F1256,'Model Pricing'!$A$7:$A$8,0))</x:f>
        <x:v>40</x:v>
      </x:c>
      <x:c r="K1256" s="27" t="n">
        <x:f>INDEX('Model Pricing'!$C$7:$C$8,MATCH(F1256,'Model Pricing'!$A$7:$A$8,0))</x:f>
        <x:v>100</x:v>
      </x:c>
      <x:c r="L1256" s="17" t="n">
        <x:f>G1256+H1256</x:f>
        <x:v>53970</x:v>
      </x:c>
      <x:c r="M1256" s="28" t="n">
        <x:f>G1256*J1256/1000000</x:f>
        <x:v>1.51916</x:v>
      </x:c>
      <x:c r="N1256" s="28" t="n">
        <x:f>H1256*K1256/1000000</x:f>
        <x:v>1.5991</x:v>
      </x:c>
      <x:c r="O1256" s="28" t="n">
        <x:f>SUM(M1256:N1256)</x:f>
        <x:v>3.1182600000000003</x:v>
      </x:c>
    </x:row>
    <x:row r="1257" ht="23" customHeight="1">
      <x:c r="A1257" s="17" t="str">
        <x:v>U01251</x:v>
      </x:c>
      <x:c r="B1257" s="18" t="n">
        <x:v>46275</x:v>
      </x:c>
      <x:c r="C1257" s="17" t="str">
        <x:v>W0066</x:v>
      </x:c>
      <x:c r="D1257" s="17" t="str">
        <x:v>C002</x:v>
      </x:c>
      <x:c r="E1257" s="17" t="str">
        <x:v>DataFlow</x:v>
      </x:c>
      <x:c r="F1257" s="17" t="str">
        <x:v>Pro</x:v>
      </x:c>
      <x:c r="G1257" s="17" t="n">
        <x:v>18108</x:v>
      </x:c>
      <x:c r="H1257" s="17" t="n">
        <x:v>8521</x:v>
      </x:c>
      <x:c r="I1257" s="17" t="str">
        <x:v>Followup</x:v>
      </x:c>
      <x:c r="J1257" s="27" t="n">
        <x:f>INDEX('Model Pricing'!$B$7:$B$8,MATCH(F1257,'Model Pricing'!$A$7:$A$8,0))</x:f>
        <x:v>40</x:v>
      </x:c>
      <x:c r="K1257" s="27" t="n">
        <x:f>INDEX('Model Pricing'!$C$7:$C$8,MATCH(F1257,'Model Pricing'!$A$7:$A$8,0))</x:f>
        <x:v>100</x:v>
      </x:c>
      <x:c r="L1257" s="17" t="n">
        <x:f>G1257+H1257</x:f>
        <x:v>26629</x:v>
      </x:c>
      <x:c r="M1257" s="28" t="n">
        <x:f>G1257*J1257/1000000</x:f>
        <x:v>0.72432</x:v>
      </x:c>
      <x:c r="N1257" s="28" t="n">
        <x:f>H1257*K1257/1000000</x:f>
        <x:v>0.8521</x:v>
      </x:c>
      <x:c r="O1257" s="28" t="n">
        <x:f>SUM(M1257:N1257)</x:f>
        <x:v>1.57642</x:v>
      </x:c>
    </x:row>
    <x:row r="1258" ht="23" customHeight="1">
      <x:c r="A1258" s="17" t="str">
        <x:v>U01252</x:v>
      </x:c>
      <x:c r="B1258" s="18" t="n">
        <x:v>46275</x:v>
      </x:c>
      <x:c r="C1258" s="17" t="str">
        <x:v>W0066</x:v>
      </x:c>
      <x:c r="D1258" s="17" t="str">
        <x:v>C002</x:v>
      </x:c>
      <x:c r="E1258" s="17" t="str">
        <x:v>DataFlow</x:v>
      </x:c>
      <x:c r="F1258" s="17" t="str">
        <x:v>Pro</x:v>
      </x:c>
      <x:c r="G1258" s="17" t="n">
        <x:v>21805</x:v>
      </x:c>
      <x:c r="H1258" s="17" t="n">
        <x:v>14029</x:v>
      </x:c>
      <x:c r="I1258" s="17" t="str">
        <x:v>Correction</x:v>
      </x:c>
      <x:c r="J1258" s="27" t="n">
        <x:f>INDEX('Model Pricing'!$B$7:$B$8,MATCH(F1258,'Model Pricing'!$A$7:$A$8,0))</x:f>
        <x:v>40</x:v>
      </x:c>
      <x:c r="K1258" s="27" t="n">
        <x:f>INDEX('Model Pricing'!$C$7:$C$8,MATCH(F1258,'Model Pricing'!$A$7:$A$8,0))</x:f>
        <x:v>100</x:v>
      </x:c>
      <x:c r="L1258" s="17" t="n">
        <x:f>G1258+H1258</x:f>
        <x:v>35834</x:v>
      </x:c>
      <x:c r="M1258" s="28" t="n">
        <x:f>G1258*J1258/1000000</x:f>
        <x:v>0.8722</x:v>
      </x:c>
      <x:c r="N1258" s="28" t="n">
        <x:f>H1258*K1258/1000000</x:f>
        <x:v>1.4029</x:v>
      </x:c>
      <x:c r="O1258" s="28" t="n">
        <x:f>SUM(M1258:N1258)</x:f>
        <x:v>2.2751</x:v>
      </x:c>
    </x:row>
    <x:row r="1259" ht="23" customHeight="1">
      <x:c r="A1259" s="17" t="str">
        <x:v>U01253</x:v>
      </x:c>
      <x:c r="B1259" s="18" t="n">
        <x:v>46276</x:v>
      </x:c>
      <x:c r="C1259" s="17" t="str">
        <x:v>W0066</x:v>
      </x:c>
      <x:c r="D1259" s="17" t="str">
        <x:v>C002</x:v>
      </x:c>
      <x:c r="E1259" s="17" t="str">
        <x:v>DataFlow</x:v>
      </x:c>
      <x:c r="F1259" s="17" t="str">
        <x:v>Pro</x:v>
      </x:c>
      <x:c r="G1259" s="17" t="n">
        <x:v>25881</x:v>
      </x:c>
      <x:c r="H1259" s="17" t="n">
        <x:v>9390</x:v>
      </x:c>
      <x:c r="I1259" s="17" t="str">
        <x:v>Followup</x:v>
      </x:c>
      <x:c r="J1259" s="27" t="n">
        <x:f>INDEX('Model Pricing'!$B$7:$B$8,MATCH(F1259,'Model Pricing'!$A$7:$A$8,0))</x:f>
        <x:v>40</x:v>
      </x:c>
      <x:c r="K1259" s="27" t="n">
        <x:f>INDEX('Model Pricing'!$C$7:$C$8,MATCH(F1259,'Model Pricing'!$A$7:$A$8,0))</x:f>
        <x:v>100</x:v>
      </x:c>
      <x:c r="L1259" s="17" t="n">
        <x:f>G1259+H1259</x:f>
        <x:v>35271</x:v>
      </x:c>
      <x:c r="M1259" s="28" t="n">
        <x:f>G1259*J1259/1000000</x:f>
        <x:v>1.03524</x:v>
      </x:c>
      <x:c r="N1259" s="28" t="n">
        <x:f>H1259*K1259/1000000</x:f>
        <x:v>0.939</x:v>
      </x:c>
      <x:c r="O1259" s="28" t="n">
        <x:f>SUM(M1259:N1259)</x:f>
        <x:v>1.97424</x:v>
      </x:c>
    </x:row>
    <x:row r="1260" ht="23" customHeight="1">
      <x:c r="A1260" s="17" t="str">
        <x:v>U01254</x:v>
      </x:c>
      <x:c r="B1260" s="18" t="n">
        <x:v>46276</x:v>
      </x:c>
      <x:c r="C1260" s="17" t="str">
        <x:v>W0066</x:v>
      </x:c>
      <x:c r="D1260" s="17" t="str">
        <x:v>C002</x:v>
      </x:c>
      <x:c r="E1260" s="17" t="str">
        <x:v>DataFlow</x:v>
      </x:c>
      <x:c r="F1260" s="17" t="str">
        <x:v>Pro</x:v>
      </x:c>
      <x:c r="G1260" s="17" t="n">
        <x:v>21082</x:v>
      </x:c>
      <x:c r="H1260" s="17" t="n">
        <x:v>12647</x:v>
      </x:c>
      <x:c r="I1260" s="17" t="str">
        <x:v>Correction</x:v>
      </x:c>
      <x:c r="J1260" s="27" t="n">
        <x:f>INDEX('Model Pricing'!$B$7:$B$8,MATCH(F1260,'Model Pricing'!$A$7:$A$8,0))</x:f>
        <x:v>40</x:v>
      </x:c>
      <x:c r="K1260" s="27" t="n">
        <x:f>INDEX('Model Pricing'!$C$7:$C$8,MATCH(F1260,'Model Pricing'!$A$7:$A$8,0))</x:f>
        <x:v>100</x:v>
      </x:c>
      <x:c r="L1260" s="17" t="n">
        <x:f>G1260+H1260</x:f>
        <x:v>33729</x:v>
      </x:c>
      <x:c r="M1260" s="28" t="n">
        <x:f>G1260*J1260/1000000</x:f>
        <x:v>0.84328</x:v>
      </x:c>
      <x:c r="N1260" s="28" t="n">
        <x:f>H1260*K1260/1000000</x:f>
        <x:v>1.2647</x:v>
      </x:c>
      <x:c r="O1260" s="28" t="n">
        <x:f>SUM(M1260:N1260)</x:f>
        <x:v>2.10798</x:v>
      </x:c>
    </x:row>
    <x:row r="1261" ht="23" customHeight="1">
      <x:c r="A1261" s="17" t="str">
        <x:v>U01255</x:v>
      </x:c>
      <x:c r="B1261" s="18" t="n">
        <x:v>46276</x:v>
      </x:c>
      <x:c r="C1261" s="17" t="str">
        <x:v>W0066</x:v>
      </x:c>
      <x:c r="D1261" s="17" t="str">
        <x:v>C002</x:v>
      </x:c>
      <x:c r="E1261" s="17" t="str">
        <x:v>DataFlow</x:v>
      </x:c>
      <x:c r="F1261" s="17" t="str">
        <x:v>Pro</x:v>
      </x:c>
      <x:c r="G1261" s="17" t="n">
        <x:v>15924</x:v>
      </x:c>
      <x:c r="H1261" s="17" t="n">
        <x:v>9603</x:v>
      </x:c>
      <x:c r="I1261" s="17" t="str">
        <x:v>Correction</x:v>
      </x:c>
      <x:c r="J1261" s="27" t="n">
        <x:f>INDEX('Model Pricing'!$B$7:$B$8,MATCH(F1261,'Model Pricing'!$A$7:$A$8,0))</x:f>
        <x:v>40</x:v>
      </x:c>
      <x:c r="K1261" s="27" t="n">
        <x:f>INDEX('Model Pricing'!$C$7:$C$8,MATCH(F1261,'Model Pricing'!$A$7:$A$8,0))</x:f>
        <x:v>100</x:v>
      </x:c>
      <x:c r="L1261" s="17" t="n">
        <x:f>G1261+H1261</x:f>
        <x:v>25527</x:v>
      </x:c>
      <x:c r="M1261" s="28" t="n">
        <x:f>G1261*J1261/1000000</x:f>
        <x:v>0.63696</x:v>
      </x:c>
      <x:c r="N1261" s="28" t="n">
        <x:f>H1261*K1261/1000000</x:f>
        <x:v>0.9603</x:v>
      </x:c>
      <x:c r="O1261" s="28" t="n">
        <x:f>SUM(M1261:N1261)</x:f>
        <x:v>1.59726</x:v>
      </x:c>
    </x:row>
    <x:row r="1262" ht="23" customHeight="1">
      <x:c r="A1262" s="17" t="str">
        <x:v>U01256</x:v>
      </x:c>
      <x:c r="B1262" s="18" t="n">
        <x:v>46279</x:v>
      </x:c>
      <x:c r="C1262" s="17" t="str">
        <x:v>W0066</x:v>
      </x:c>
      <x:c r="D1262" s="17" t="str">
        <x:v>C002</x:v>
      </x:c>
      <x:c r="E1262" s="17" t="str">
        <x:v>DataFlow</x:v>
      </x:c>
      <x:c r="F1262" s="17" t="str">
        <x:v>Pro</x:v>
      </x:c>
      <x:c r="G1262" s="17" t="n">
        <x:v>36895</x:v>
      </x:c>
      <x:c r="H1262" s="17" t="n">
        <x:v>5912</x:v>
      </x:c>
      <x:c r="I1262" s="17" t="str">
        <x:v>Followup</x:v>
      </x:c>
      <x:c r="J1262" s="27" t="n">
        <x:f>INDEX('Model Pricing'!$B$7:$B$8,MATCH(F1262,'Model Pricing'!$A$7:$A$8,0))</x:f>
        <x:v>40</x:v>
      </x:c>
      <x:c r="K1262" s="27" t="n">
        <x:f>INDEX('Model Pricing'!$C$7:$C$8,MATCH(F1262,'Model Pricing'!$A$7:$A$8,0))</x:f>
        <x:v>100</x:v>
      </x:c>
      <x:c r="L1262" s="17" t="n">
        <x:f>G1262+H1262</x:f>
        <x:v>42807</x:v>
      </x:c>
      <x:c r="M1262" s="28" t="n">
        <x:f>G1262*J1262/1000000</x:f>
        <x:v>1.4758</x:v>
      </x:c>
      <x:c r="N1262" s="28" t="n">
        <x:f>H1262*K1262/1000000</x:f>
        <x:v>0.5912</x:v>
      </x:c>
      <x:c r="O1262" s="28" t="n">
        <x:f>SUM(M1262:N1262)</x:f>
        <x:v>2.067</x:v>
      </x:c>
    </x:row>
    <x:row r="1263" ht="23" customHeight="1">
      <x:c r="A1263" s="17" t="str">
        <x:v>U01257</x:v>
      </x:c>
      <x:c r="B1263" s="18" t="n">
        <x:v>46279</x:v>
      </x:c>
      <x:c r="C1263" s="17" t="str">
        <x:v>W0066</x:v>
      </x:c>
      <x:c r="D1263" s="17" t="str">
        <x:v>C002</x:v>
      </x:c>
      <x:c r="E1263" s="17" t="str">
        <x:v>DataFlow</x:v>
      </x:c>
      <x:c r="F1263" s="17" t="str">
        <x:v>Pro</x:v>
      </x:c>
      <x:c r="G1263" s="17" t="n">
        <x:v>32293</x:v>
      </x:c>
      <x:c r="H1263" s="17" t="n">
        <x:v>5195</x:v>
      </x:c>
      <x:c r="I1263" s="17" t="str">
        <x:v>Followup</x:v>
      </x:c>
      <x:c r="J1263" s="27" t="n">
        <x:f>INDEX('Model Pricing'!$B$7:$B$8,MATCH(F1263,'Model Pricing'!$A$7:$A$8,0))</x:f>
        <x:v>40</x:v>
      </x:c>
      <x:c r="K1263" s="27" t="n">
        <x:f>INDEX('Model Pricing'!$C$7:$C$8,MATCH(F1263,'Model Pricing'!$A$7:$A$8,0))</x:f>
        <x:v>100</x:v>
      </x:c>
      <x:c r="L1263" s="17" t="n">
        <x:f>G1263+H1263</x:f>
        <x:v>37488</x:v>
      </x:c>
      <x:c r="M1263" s="28" t="n">
        <x:f>G1263*J1263/1000000</x:f>
        <x:v>1.29172</x:v>
      </x:c>
      <x:c r="N1263" s="28" t="n">
        <x:f>H1263*K1263/1000000</x:f>
        <x:v>0.5195</x:v>
      </x:c>
      <x:c r="O1263" s="28" t="n">
        <x:f>SUM(M1263:N1263)</x:f>
        <x:v>1.81122</x:v>
      </x:c>
    </x:row>
    <x:row r="1264" ht="23" customHeight="1">
      <x:c r="A1264" s="17" t="str">
        <x:v>U01258</x:v>
      </x:c>
      <x:c r="B1264" s="18" t="n">
        <x:v>46283</x:v>
      </x:c>
      <x:c r="C1264" s="17" t="str">
        <x:v>W0067</x:v>
      </x:c>
      <x:c r="D1264" s="17" t="str">
        <x:v>C002</x:v>
      </x:c>
      <x:c r="E1264" s="17" t="str">
        <x:v>InsightDesk</x:v>
      </x:c>
      <x:c r="F1264" s="17" t="str">
        <x:v>Pro</x:v>
      </x:c>
      <x:c r="G1264" s="17" t="n">
        <x:v>15783</x:v>
      </x:c>
      <x:c r="H1264" s="17" t="n">
        <x:v>6226</x:v>
      </x:c>
      <x:c r="I1264" s="17" t="str">
        <x:v>First attempt</x:v>
      </x:c>
      <x:c r="J1264" s="27" t="n">
        <x:f>INDEX('Model Pricing'!$B$7:$B$8,MATCH(F1264,'Model Pricing'!$A$7:$A$8,0))</x:f>
        <x:v>40</x:v>
      </x:c>
      <x:c r="K1264" s="27" t="n">
        <x:f>INDEX('Model Pricing'!$C$7:$C$8,MATCH(F1264,'Model Pricing'!$A$7:$A$8,0))</x:f>
        <x:v>100</x:v>
      </x:c>
      <x:c r="L1264" s="17" t="n">
        <x:f>G1264+H1264</x:f>
        <x:v>22009</x:v>
      </x:c>
      <x:c r="M1264" s="28" t="n">
        <x:f>G1264*J1264/1000000</x:f>
        <x:v>0.63132</x:v>
      </x:c>
      <x:c r="N1264" s="28" t="n">
        <x:f>H1264*K1264/1000000</x:f>
        <x:v>0.6226</x:v>
      </x:c>
      <x:c r="O1264" s="28" t="n">
        <x:f>SUM(M1264:N1264)</x:f>
        <x:v>1.25392</x:v>
      </x:c>
    </x:row>
    <x:row r="1265" ht="23" customHeight="1">
      <x:c r="A1265" s="17" t="str">
        <x:v>U01259</x:v>
      </x:c>
      <x:c r="B1265" s="18" t="n">
        <x:v>46283</x:v>
      </x:c>
      <x:c r="C1265" s="17" t="str">
        <x:v>W0067</x:v>
      </x:c>
      <x:c r="D1265" s="17" t="str">
        <x:v>C002</x:v>
      </x:c>
      <x:c r="E1265" s="17" t="str">
        <x:v>InsightDesk</x:v>
      </x:c>
      <x:c r="F1265" s="17" t="str">
        <x:v>Pro</x:v>
      </x:c>
      <x:c r="G1265" s="17" t="n">
        <x:v>18564</x:v>
      </x:c>
      <x:c r="H1265" s="17" t="n">
        <x:v>11336</x:v>
      </x:c>
      <x:c r="I1265" s="17" t="str">
        <x:v>Followup</x:v>
      </x:c>
      <x:c r="J1265" s="27" t="n">
        <x:f>INDEX('Model Pricing'!$B$7:$B$8,MATCH(F1265,'Model Pricing'!$A$7:$A$8,0))</x:f>
        <x:v>40</x:v>
      </x:c>
      <x:c r="K1265" s="27" t="n">
        <x:f>INDEX('Model Pricing'!$C$7:$C$8,MATCH(F1265,'Model Pricing'!$A$7:$A$8,0))</x:f>
        <x:v>100</x:v>
      </x:c>
      <x:c r="L1265" s="17" t="n">
        <x:f>G1265+H1265</x:f>
        <x:v>29900</x:v>
      </x:c>
      <x:c r="M1265" s="28" t="n">
        <x:f>G1265*J1265/1000000</x:f>
        <x:v>0.74256</x:v>
      </x:c>
      <x:c r="N1265" s="28" t="n">
        <x:f>H1265*K1265/1000000</x:f>
        <x:v>1.1336</x:v>
      </x:c>
      <x:c r="O1265" s="28" t="n">
        <x:f>SUM(M1265:N1265)</x:f>
        <x:v>1.87616</x:v>
      </x:c>
    </x:row>
    <x:row r="1266" ht="23" customHeight="1">
      <x:c r="A1266" s="17" t="str">
        <x:v>U01260</x:v>
      </x:c>
      <x:c r="B1266" s="18" t="n">
        <x:v>46283</x:v>
      </x:c>
      <x:c r="C1266" s="17" t="str">
        <x:v>W0067</x:v>
      </x:c>
      <x:c r="D1266" s="17" t="str">
        <x:v>C002</x:v>
      </x:c>
      <x:c r="E1266" s="17" t="str">
        <x:v>InsightDesk</x:v>
      </x:c>
      <x:c r="F1266" s="17" t="str">
        <x:v>Pro</x:v>
      </x:c>
      <x:c r="G1266" s="17" t="n">
        <x:v>32186</x:v>
      </x:c>
      <x:c r="H1266" s="17" t="n">
        <x:v>11953</x:v>
      </x:c>
      <x:c r="I1266" s="17" t="str">
        <x:v>Correction</x:v>
      </x:c>
      <x:c r="J1266" s="27" t="n">
        <x:f>INDEX('Model Pricing'!$B$7:$B$8,MATCH(F1266,'Model Pricing'!$A$7:$A$8,0))</x:f>
        <x:v>40</x:v>
      </x:c>
      <x:c r="K1266" s="27" t="n">
        <x:f>INDEX('Model Pricing'!$C$7:$C$8,MATCH(F1266,'Model Pricing'!$A$7:$A$8,0))</x:f>
        <x:v>100</x:v>
      </x:c>
      <x:c r="L1266" s="17" t="n">
        <x:f>G1266+H1266</x:f>
        <x:v>44139</x:v>
      </x:c>
      <x:c r="M1266" s="28" t="n">
        <x:f>G1266*J1266/1000000</x:f>
        <x:v>1.28744</x:v>
      </x:c>
      <x:c r="N1266" s="28" t="n">
        <x:f>H1266*K1266/1000000</x:f>
        <x:v>1.1953</x:v>
      </x:c>
      <x:c r="O1266" s="28" t="n">
        <x:f>SUM(M1266:N1266)</x:f>
        <x:v>2.4827399999999997</x:v>
      </x:c>
    </x:row>
    <x:row r="1267" ht="23" customHeight="1">
      <x:c r="A1267" s="17" t="str">
        <x:v>U01261</x:v>
      </x:c>
      <x:c r="B1267" s="18" t="n">
        <x:v>46283</x:v>
      </x:c>
      <x:c r="C1267" s="17" t="str">
        <x:v>W0067</x:v>
      </x:c>
      <x:c r="D1267" s="17" t="str">
        <x:v>C002</x:v>
      </x:c>
      <x:c r="E1267" s="17" t="str">
        <x:v>InsightDesk</x:v>
      </x:c>
      <x:c r="F1267" s="17" t="str">
        <x:v>Pro</x:v>
      </x:c>
      <x:c r="G1267" s="17" t="n">
        <x:v>40294</x:v>
      </x:c>
      <x:c r="H1267" s="17" t="n">
        <x:v>13231</x:v>
      </x:c>
      <x:c r="I1267" s="17" t="str">
        <x:v>Correction</x:v>
      </x:c>
      <x:c r="J1267" s="27" t="n">
        <x:f>INDEX('Model Pricing'!$B$7:$B$8,MATCH(F1267,'Model Pricing'!$A$7:$A$8,0))</x:f>
        <x:v>40</x:v>
      </x:c>
      <x:c r="K1267" s="27" t="n">
        <x:f>INDEX('Model Pricing'!$C$7:$C$8,MATCH(F1267,'Model Pricing'!$A$7:$A$8,0))</x:f>
        <x:v>100</x:v>
      </x:c>
      <x:c r="L1267" s="17" t="n">
        <x:f>G1267+H1267</x:f>
        <x:v>53525</x:v>
      </x:c>
      <x:c r="M1267" s="28" t="n">
        <x:f>G1267*J1267/1000000</x:f>
        <x:v>1.61176</x:v>
      </x:c>
      <x:c r="N1267" s="28" t="n">
        <x:f>H1267*K1267/1000000</x:f>
        <x:v>1.3231</x:v>
      </x:c>
      <x:c r="O1267" s="28" t="n">
        <x:f>SUM(M1267:N1267)</x:f>
        <x:v>2.93486</x:v>
      </x:c>
    </x:row>
    <x:row r="1268" ht="23" customHeight="1">
      <x:c r="A1268" s="17" t="str">
        <x:v>U01262</x:v>
      </x:c>
      <x:c r="B1268" s="18" t="n">
        <x:v>46286</x:v>
      </x:c>
      <x:c r="C1268" s="17" t="str">
        <x:v>W0067</x:v>
      </x:c>
      <x:c r="D1268" s="17" t="str">
        <x:v>C002</x:v>
      </x:c>
      <x:c r="E1268" s="17" t="str">
        <x:v>InsightDesk</x:v>
      </x:c>
      <x:c r="F1268" s="17" t="str">
        <x:v>Pro</x:v>
      </x:c>
      <x:c r="G1268" s="17" t="n">
        <x:v>28713</x:v>
      </x:c>
      <x:c r="H1268" s="17" t="n">
        <x:v>14312</x:v>
      </x:c>
      <x:c r="I1268" s="17" t="str">
        <x:v>Correction</x:v>
      </x:c>
      <x:c r="J1268" s="27" t="n">
        <x:f>INDEX('Model Pricing'!$B$7:$B$8,MATCH(F1268,'Model Pricing'!$A$7:$A$8,0))</x:f>
        <x:v>40</x:v>
      </x:c>
      <x:c r="K1268" s="27" t="n">
        <x:f>INDEX('Model Pricing'!$C$7:$C$8,MATCH(F1268,'Model Pricing'!$A$7:$A$8,0))</x:f>
        <x:v>100</x:v>
      </x:c>
      <x:c r="L1268" s="17" t="n">
        <x:f>G1268+H1268</x:f>
        <x:v>43025</x:v>
      </x:c>
      <x:c r="M1268" s="28" t="n">
        <x:f>G1268*J1268/1000000</x:f>
        <x:v>1.14852</x:v>
      </x:c>
      <x:c r="N1268" s="28" t="n">
        <x:f>H1268*K1268/1000000</x:f>
        <x:v>1.4312</x:v>
      </x:c>
      <x:c r="O1268" s="28" t="n">
        <x:f>SUM(M1268:N1268)</x:f>
        <x:v>2.57972</x:v>
      </x:c>
    </x:row>
    <x:row r="1269" ht="23" customHeight="1">
      <x:c r="A1269" s="17" t="str">
        <x:v>U01263</x:v>
      </x:c>
      <x:c r="B1269" s="18" t="n">
        <x:v>46286</x:v>
      </x:c>
      <x:c r="C1269" s="17" t="str">
        <x:v>W0067</x:v>
      </x:c>
      <x:c r="D1269" s="17" t="str">
        <x:v>C002</x:v>
      </x:c>
      <x:c r="E1269" s="17" t="str">
        <x:v>InsightDesk</x:v>
      </x:c>
      <x:c r="F1269" s="17" t="str">
        <x:v>Pro</x:v>
      </x:c>
      <x:c r="G1269" s="17" t="n">
        <x:v>22527</x:v>
      </x:c>
      <x:c r="H1269" s="17" t="n">
        <x:v>16051</x:v>
      </x:c>
      <x:c r="I1269" s="17" t="str">
        <x:v>Correction</x:v>
      </x:c>
      <x:c r="J1269" s="27" t="n">
        <x:f>INDEX('Model Pricing'!$B$7:$B$8,MATCH(F1269,'Model Pricing'!$A$7:$A$8,0))</x:f>
        <x:v>40</x:v>
      </x:c>
      <x:c r="K1269" s="27" t="n">
        <x:f>INDEX('Model Pricing'!$C$7:$C$8,MATCH(F1269,'Model Pricing'!$A$7:$A$8,0))</x:f>
        <x:v>100</x:v>
      </x:c>
      <x:c r="L1269" s="17" t="n">
        <x:f>G1269+H1269</x:f>
        <x:v>38578</x:v>
      </x:c>
      <x:c r="M1269" s="28" t="n">
        <x:f>G1269*J1269/1000000</x:f>
        <x:v>0.90108</x:v>
      </x:c>
      <x:c r="N1269" s="28" t="n">
        <x:f>H1269*K1269/1000000</x:f>
        <x:v>1.6051</x:v>
      </x:c>
      <x:c r="O1269" s="28" t="n">
        <x:f>SUM(M1269:N1269)</x:f>
        <x:v>2.50618</x:v>
      </x:c>
    </x:row>
    <x:row r="1270" ht="23" customHeight="1">
      <x:c r="A1270" s="17" t="str">
        <x:v>U01264</x:v>
      </x:c>
      <x:c r="B1270" s="18" t="n">
        <x:v>46286</x:v>
      </x:c>
      <x:c r="C1270" s="17" t="str">
        <x:v>W0067</x:v>
      </x:c>
      <x:c r="D1270" s="17" t="str">
        <x:v>C002</x:v>
      </x:c>
      <x:c r="E1270" s="17" t="str">
        <x:v>InsightDesk</x:v>
      </x:c>
      <x:c r="F1270" s="17" t="str">
        <x:v>Pro</x:v>
      </x:c>
      <x:c r="G1270" s="17" t="n">
        <x:v>30758</x:v>
      </x:c>
      <x:c r="H1270" s="17" t="n">
        <x:v>9640</x:v>
      </x:c>
      <x:c r="I1270" s="17" t="str">
        <x:v>Followup</x:v>
      </x:c>
      <x:c r="J1270" s="27" t="n">
        <x:f>INDEX('Model Pricing'!$B$7:$B$8,MATCH(F1270,'Model Pricing'!$A$7:$A$8,0))</x:f>
        <x:v>40</x:v>
      </x:c>
      <x:c r="K1270" s="27" t="n">
        <x:f>INDEX('Model Pricing'!$C$7:$C$8,MATCH(F1270,'Model Pricing'!$A$7:$A$8,0))</x:f>
        <x:v>100</x:v>
      </x:c>
      <x:c r="L1270" s="17" t="n">
        <x:f>G1270+H1270</x:f>
        <x:v>40398</x:v>
      </x:c>
      <x:c r="M1270" s="28" t="n">
        <x:f>G1270*J1270/1000000</x:f>
        <x:v>1.23032</x:v>
      </x:c>
      <x:c r="N1270" s="28" t="n">
        <x:f>H1270*K1270/1000000</x:f>
        <x:v>0.964</x:v>
      </x:c>
      <x:c r="O1270" s="28" t="n">
        <x:f>SUM(M1270:N1270)</x:f>
        <x:v>2.1943200000000003</x:v>
      </x:c>
    </x:row>
    <x:row r="1271" ht="23" customHeight="1">
      <x:c r="A1271" s="17" t="str">
        <x:v>U01265</x:v>
      </x:c>
      <x:c r="B1271" s="18" t="n">
        <x:v>46286</x:v>
      </x:c>
      <x:c r="C1271" s="17" t="str">
        <x:v>W0067</x:v>
      </x:c>
      <x:c r="D1271" s="17" t="str">
        <x:v>C002</x:v>
      </x:c>
      <x:c r="E1271" s="17" t="str">
        <x:v>InsightDesk</x:v>
      </x:c>
      <x:c r="F1271" s="17" t="str">
        <x:v>Pro</x:v>
      </x:c>
      <x:c r="G1271" s="17" t="n">
        <x:v>36578</x:v>
      </x:c>
      <x:c r="H1271" s="17" t="n">
        <x:v>15569</x:v>
      </x:c>
      <x:c r="I1271" s="17" t="str">
        <x:v>Correction</x:v>
      </x:c>
      <x:c r="J1271" s="27" t="n">
        <x:f>INDEX('Model Pricing'!$B$7:$B$8,MATCH(F1271,'Model Pricing'!$A$7:$A$8,0))</x:f>
        <x:v>40</x:v>
      </x:c>
      <x:c r="K1271" s="27" t="n">
        <x:f>INDEX('Model Pricing'!$C$7:$C$8,MATCH(F1271,'Model Pricing'!$A$7:$A$8,0))</x:f>
        <x:v>100</x:v>
      </x:c>
      <x:c r="L1271" s="17" t="n">
        <x:f>G1271+H1271</x:f>
        <x:v>52147</x:v>
      </x:c>
      <x:c r="M1271" s="28" t="n">
        <x:f>G1271*J1271/1000000</x:f>
        <x:v>1.46312</x:v>
      </x:c>
      <x:c r="N1271" s="28" t="n">
        <x:f>H1271*K1271/1000000</x:f>
        <x:v>1.5569</x:v>
      </x:c>
      <x:c r="O1271" s="28" t="n">
        <x:f>SUM(M1271:N1271)</x:f>
        <x:v>3.0200199999999997</x:v>
      </x:c>
    </x:row>
    <x:row r="1272" ht="23" customHeight="1">
      <x:c r="A1272" s="17" t="str">
        <x:v>U01266</x:v>
      </x:c>
      <x:c r="B1272" s="18" t="n">
        <x:v>46287</x:v>
      </x:c>
      <x:c r="C1272" s="17" t="str">
        <x:v>W0067</x:v>
      </x:c>
      <x:c r="D1272" s="17" t="str">
        <x:v>C002</x:v>
      </x:c>
      <x:c r="E1272" s="17" t="str">
        <x:v>InsightDesk</x:v>
      </x:c>
      <x:c r="F1272" s="17" t="str">
        <x:v>Pro</x:v>
      </x:c>
      <x:c r="G1272" s="17" t="n">
        <x:v>30833</x:v>
      </x:c>
      <x:c r="H1272" s="17" t="n">
        <x:v>18995</x:v>
      </x:c>
      <x:c r="I1272" s="17" t="str">
        <x:v>Followup</x:v>
      </x:c>
      <x:c r="J1272" s="27" t="n">
        <x:f>INDEX('Model Pricing'!$B$7:$B$8,MATCH(F1272,'Model Pricing'!$A$7:$A$8,0))</x:f>
        <x:v>40</x:v>
      </x:c>
      <x:c r="K1272" s="27" t="n">
        <x:f>INDEX('Model Pricing'!$C$7:$C$8,MATCH(F1272,'Model Pricing'!$A$7:$A$8,0))</x:f>
        <x:v>100</x:v>
      </x:c>
      <x:c r="L1272" s="17" t="n">
        <x:f>G1272+H1272</x:f>
        <x:v>49828</x:v>
      </x:c>
      <x:c r="M1272" s="28" t="n">
        <x:f>G1272*J1272/1000000</x:f>
        <x:v>1.23332</x:v>
      </x:c>
      <x:c r="N1272" s="28" t="n">
        <x:f>H1272*K1272/1000000</x:f>
        <x:v>1.8995</x:v>
      </x:c>
      <x:c r="O1272" s="28" t="n">
        <x:f>SUM(M1272:N1272)</x:f>
        <x:v>3.1328199999999997</x:v>
      </x:c>
    </x:row>
    <x:row r="1273" ht="23" customHeight="1">
      <x:c r="A1273" s="17" t="str">
        <x:v>U01267</x:v>
      </x:c>
      <x:c r="B1273" s="18" t="n">
        <x:v>46287</x:v>
      </x:c>
      <x:c r="C1273" s="17" t="str">
        <x:v>W0067</x:v>
      </x:c>
      <x:c r="D1273" s="17" t="str">
        <x:v>C002</x:v>
      </x:c>
      <x:c r="E1273" s="17" t="str">
        <x:v>InsightDesk</x:v>
      </x:c>
      <x:c r="F1273" s="17" t="str">
        <x:v>Pro</x:v>
      </x:c>
      <x:c r="G1273" s="17" t="n">
        <x:v>34262</x:v>
      </x:c>
      <x:c r="H1273" s="17" t="n">
        <x:v>13251</x:v>
      </x:c>
      <x:c r="I1273" s="17" t="str">
        <x:v>Followup</x:v>
      </x:c>
      <x:c r="J1273" s="27" t="n">
        <x:f>INDEX('Model Pricing'!$B$7:$B$8,MATCH(F1273,'Model Pricing'!$A$7:$A$8,0))</x:f>
        <x:v>40</x:v>
      </x:c>
      <x:c r="K1273" s="27" t="n">
        <x:f>INDEX('Model Pricing'!$C$7:$C$8,MATCH(F1273,'Model Pricing'!$A$7:$A$8,0))</x:f>
        <x:v>100</x:v>
      </x:c>
      <x:c r="L1273" s="17" t="n">
        <x:f>G1273+H1273</x:f>
        <x:v>47513</x:v>
      </x:c>
      <x:c r="M1273" s="28" t="n">
        <x:f>G1273*J1273/1000000</x:f>
        <x:v>1.37048</x:v>
      </x:c>
      <x:c r="N1273" s="28" t="n">
        <x:f>H1273*K1273/1000000</x:f>
        <x:v>1.3251</x:v>
      </x:c>
      <x:c r="O1273" s="28" t="n">
        <x:f>SUM(M1273:N1273)</x:f>
        <x:v>2.6955799999999996</x:v>
      </x:c>
    </x:row>
    <x:row r="1274" ht="23" customHeight="1">
      <x:c r="A1274" s="17" t="str">
        <x:v>U01268</x:v>
      </x:c>
      <x:c r="B1274" s="18" t="n">
        <x:v>46287</x:v>
      </x:c>
      <x:c r="C1274" s="17" t="str">
        <x:v>W0067</x:v>
      </x:c>
      <x:c r="D1274" s="17" t="str">
        <x:v>C002</x:v>
      </x:c>
      <x:c r="E1274" s="17" t="str">
        <x:v>InsightDesk</x:v>
      </x:c>
      <x:c r="F1274" s="17" t="str">
        <x:v>Pro</x:v>
      </x:c>
      <x:c r="G1274" s="17" t="n">
        <x:v>35477</x:v>
      </x:c>
      <x:c r="H1274" s="17" t="n">
        <x:v>18451</x:v>
      </x:c>
      <x:c r="I1274" s="17" t="str">
        <x:v>Correction</x:v>
      </x:c>
      <x:c r="J1274" s="27" t="n">
        <x:f>INDEX('Model Pricing'!$B$7:$B$8,MATCH(F1274,'Model Pricing'!$A$7:$A$8,0))</x:f>
        <x:v>40</x:v>
      </x:c>
      <x:c r="K1274" s="27" t="n">
        <x:f>INDEX('Model Pricing'!$C$7:$C$8,MATCH(F1274,'Model Pricing'!$A$7:$A$8,0))</x:f>
        <x:v>100</x:v>
      </x:c>
      <x:c r="L1274" s="17" t="n">
        <x:f>G1274+H1274</x:f>
        <x:v>53928</x:v>
      </x:c>
      <x:c r="M1274" s="28" t="n">
        <x:f>G1274*J1274/1000000</x:f>
        <x:v>1.41908</x:v>
      </x:c>
      <x:c r="N1274" s="28" t="n">
        <x:f>H1274*K1274/1000000</x:f>
        <x:v>1.8451</x:v>
      </x:c>
      <x:c r="O1274" s="28" t="n">
        <x:f>SUM(M1274:N1274)</x:f>
        <x:v>3.2641799999999996</x:v>
      </x:c>
    </x:row>
    <x:row r="1275" ht="23" customHeight="1">
      <x:c r="A1275" s="17" t="str">
        <x:v>U01269</x:v>
      </x:c>
      <x:c r="B1275" s="18" t="n">
        <x:v>46287</x:v>
      </x:c>
      <x:c r="C1275" s="17" t="str">
        <x:v>W0067</x:v>
      </x:c>
      <x:c r="D1275" s="17" t="str">
        <x:v>C002</x:v>
      </x:c>
      <x:c r="E1275" s="17" t="str">
        <x:v>InsightDesk</x:v>
      </x:c>
      <x:c r="F1275" s="17" t="str">
        <x:v>Pro</x:v>
      </x:c>
      <x:c r="G1275" s="17" t="n">
        <x:v>37513</x:v>
      </x:c>
      <x:c r="H1275" s="17" t="n">
        <x:v>14341</x:v>
      </x:c>
      <x:c r="I1275" s="17" t="str">
        <x:v>Followup</x:v>
      </x:c>
      <x:c r="J1275" s="27" t="n">
        <x:f>INDEX('Model Pricing'!$B$7:$B$8,MATCH(F1275,'Model Pricing'!$A$7:$A$8,0))</x:f>
        <x:v>40</x:v>
      </x:c>
      <x:c r="K1275" s="27" t="n">
        <x:f>INDEX('Model Pricing'!$C$7:$C$8,MATCH(F1275,'Model Pricing'!$A$7:$A$8,0))</x:f>
        <x:v>100</x:v>
      </x:c>
      <x:c r="L1275" s="17" t="n">
        <x:f>G1275+H1275</x:f>
        <x:v>51854</x:v>
      </x:c>
      <x:c r="M1275" s="28" t="n">
        <x:f>G1275*J1275/1000000</x:f>
        <x:v>1.50052</x:v>
      </x:c>
      <x:c r="N1275" s="28" t="n">
        <x:f>H1275*K1275/1000000</x:f>
        <x:v>1.4341</x:v>
      </x:c>
      <x:c r="O1275" s="28" t="n">
        <x:f>SUM(M1275:N1275)</x:f>
        <x:v>2.93462</x:v>
      </x:c>
    </x:row>
    <x:row r="1276" ht="23" customHeight="1">
      <x:c r="A1276" s="17" t="str">
        <x:v>U01270</x:v>
      </x:c>
      <x:c r="B1276" s="18" t="n">
        <x:v>46288</x:v>
      </x:c>
      <x:c r="C1276" s="17" t="str">
        <x:v>W0067</x:v>
      </x:c>
      <x:c r="D1276" s="17" t="str">
        <x:v>C002</x:v>
      </x:c>
      <x:c r="E1276" s="17" t="str">
        <x:v>InsightDesk</x:v>
      </x:c>
      <x:c r="F1276" s="17" t="str">
        <x:v>Pro</x:v>
      </x:c>
      <x:c r="G1276" s="17" t="n">
        <x:v>14487</x:v>
      </x:c>
      <x:c r="H1276" s="17" t="n">
        <x:v>17137</x:v>
      </x:c>
      <x:c r="I1276" s="17" t="str">
        <x:v>Correction</x:v>
      </x:c>
      <x:c r="J1276" s="27" t="n">
        <x:f>INDEX('Model Pricing'!$B$7:$B$8,MATCH(F1276,'Model Pricing'!$A$7:$A$8,0))</x:f>
        <x:v>40</x:v>
      </x:c>
      <x:c r="K1276" s="27" t="n">
        <x:f>INDEX('Model Pricing'!$C$7:$C$8,MATCH(F1276,'Model Pricing'!$A$7:$A$8,0))</x:f>
        <x:v>100</x:v>
      </x:c>
      <x:c r="L1276" s="17" t="n">
        <x:f>G1276+H1276</x:f>
        <x:v>31624</x:v>
      </x:c>
      <x:c r="M1276" s="28" t="n">
        <x:f>G1276*J1276/1000000</x:f>
        <x:v>0.57948</x:v>
      </x:c>
      <x:c r="N1276" s="28" t="n">
        <x:f>H1276*K1276/1000000</x:f>
        <x:v>1.7137</x:v>
      </x:c>
      <x:c r="O1276" s="28" t="n">
        <x:f>SUM(M1276:N1276)</x:f>
        <x:v>2.29318</x:v>
      </x:c>
    </x:row>
    <x:row r="1277" ht="23" customHeight="1">
      <x:c r="A1277" s="17" t="str">
        <x:v>U01271</x:v>
      </x:c>
      <x:c r="B1277" s="18" t="n">
        <x:v>46288</x:v>
      </x:c>
      <x:c r="C1277" s="17" t="str">
        <x:v>W0067</x:v>
      </x:c>
      <x:c r="D1277" s="17" t="str">
        <x:v>C002</x:v>
      </x:c>
      <x:c r="E1277" s="17" t="str">
        <x:v>InsightDesk</x:v>
      </x:c>
      <x:c r="F1277" s="17" t="str">
        <x:v>Pro</x:v>
      </x:c>
      <x:c r="G1277" s="17" t="n">
        <x:v>21659</x:v>
      </x:c>
      <x:c r="H1277" s="17" t="n">
        <x:v>6014</x:v>
      </x:c>
      <x:c r="I1277" s="17" t="str">
        <x:v>Followup</x:v>
      </x:c>
      <x:c r="J1277" s="27" t="n">
        <x:f>INDEX('Model Pricing'!$B$7:$B$8,MATCH(F1277,'Model Pricing'!$A$7:$A$8,0))</x:f>
        <x:v>40</x:v>
      </x:c>
      <x:c r="K1277" s="27" t="n">
        <x:f>INDEX('Model Pricing'!$C$7:$C$8,MATCH(F1277,'Model Pricing'!$A$7:$A$8,0))</x:f>
        <x:v>100</x:v>
      </x:c>
      <x:c r="L1277" s="17" t="n">
        <x:f>G1277+H1277</x:f>
        <x:v>27673</x:v>
      </x:c>
      <x:c r="M1277" s="28" t="n">
        <x:f>G1277*J1277/1000000</x:f>
        <x:v>0.86636</x:v>
      </x:c>
      <x:c r="N1277" s="28" t="n">
        <x:f>H1277*K1277/1000000</x:f>
        <x:v>0.6014</x:v>
      </x:c>
      <x:c r="O1277" s="28" t="n">
        <x:f>SUM(M1277:N1277)</x:f>
        <x:v>1.4677600000000002</x:v>
      </x:c>
    </x:row>
    <x:row r="1278" ht="23" customHeight="1">
      <x:c r="A1278" s="17" t="str">
        <x:v>U01272</x:v>
      </x:c>
      <x:c r="B1278" s="18" t="n">
        <x:v>46288</x:v>
      </x:c>
      <x:c r="C1278" s="17" t="str">
        <x:v>W0067</x:v>
      </x:c>
      <x:c r="D1278" s="17" t="str">
        <x:v>C002</x:v>
      </x:c>
      <x:c r="E1278" s="17" t="str">
        <x:v>InsightDesk</x:v>
      </x:c>
      <x:c r="F1278" s="17" t="str">
        <x:v>Pro</x:v>
      </x:c>
      <x:c r="G1278" s="17" t="n">
        <x:v>25515</x:v>
      </x:c>
      <x:c r="H1278" s="17" t="n">
        <x:v>14377</x:v>
      </x:c>
      <x:c r="I1278" s="17" t="str">
        <x:v>Followup</x:v>
      </x:c>
      <x:c r="J1278" s="27" t="n">
        <x:f>INDEX('Model Pricing'!$B$7:$B$8,MATCH(F1278,'Model Pricing'!$A$7:$A$8,0))</x:f>
        <x:v>40</x:v>
      </x:c>
      <x:c r="K1278" s="27" t="n">
        <x:f>INDEX('Model Pricing'!$C$7:$C$8,MATCH(F1278,'Model Pricing'!$A$7:$A$8,0))</x:f>
        <x:v>100</x:v>
      </x:c>
      <x:c r="L1278" s="17" t="n">
        <x:f>G1278+H1278</x:f>
        <x:v>39892</x:v>
      </x:c>
      <x:c r="M1278" s="28" t="n">
        <x:f>G1278*J1278/1000000</x:f>
        <x:v>1.0206</x:v>
      </x:c>
      <x:c r="N1278" s="28" t="n">
        <x:f>H1278*K1278/1000000</x:f>
        <x:v>1.4377</x:v>
      </x:c>
      <x:c r="O1278" s="28" t="n">
        <x:f>SUM(M1278:N1278)</x:f>
        <x:v>2.4583</x:v>
      </x:c>
    </x:row>
    <x:row r="1279" ht="23" customHeight="1">
      <x:c r="A1279" s="17" t="str">
        <x:v>U01273</x:v>
      </x:c>
      <x:c r="B1279" s="18" t="n">
        <x:v>46288</x:v>
      </x:c>
      <x:c r="C1279" s="17" t="str">
        <x:v>W0067</x:v>
      </x:c>
      <x:c r="D1279" s="17" t="str">
        <x:v>C002</x:v>
      </x:c>
      <x:c r="E1279" s="17" t="str">
        <x:v>InsightDesk</x:v>
      </x:c>
      <x:c r="F1279" s="17" t="str">
        <x:v>Pro</x:v>
      </x:c>
      <x:c r="G1279" s="17" t="n">
        <x:v>23554</x:v>
      </x:c>
      <x:c r="H1279" s="17" t="n">
        <x:v>16930</x:v>
      </x:c>
      <x:c r="I1279" s="17" t="str">
        <x:v>Correction</x:v>
      </x:c>
      <x:c r="J1279" s="27" t="n">
        <x:f>INDEX('Model Pricing'!$B$7:$B$8,MATCH(F1279,'Model Pricing'!$A$7:$A$8,0))</x:f>
        <x:v>40</x:v>
      </x:c>
      <x:c r="K1279" s="27" t="n">
        <x:f>INDEX('Model Pricing'!$C$7:$C$8,MATCH(F1279,'Model Pricing'!$A$7:$A$8,0))</x:f>
        <x:v>100</x:v>
      </x:c>
      <x:c r="L1279" s="17" t="n">
        <x:f>G1279+H1279</x:f>
        <x:v>40484</x:v>
      </x:c>
      <x:c r="M1279" s="28" t="n">
        <x:f>G1279*J1279/1000000</x:f>
        <x:v>0.94216</x:v>
      </x:c>
      <x:c r="N1279" s="28" t="n">
        <x:f>H1279*K1279/1000000</x:f>
        <x:v>1.693</x:v>
      </x:c>
      <x:c r="O1279" s="28" t="n">
        <x:f>SUM(M1279:N1279)</x:f>
        <x:v>2.63516</x:v>
      </x:c>
    </x:row>
    <x:row r="1280" ht="23" customHeight="1">
      <x:c r="A1280" s="17" t="str">
        <x:v>U01274</x:v>
      </x:c>
      <x:c r="B1280" s="18" t="n">
        <x:v>46267</x:v>
      </x:c>
      <x:c r="C1280" s="17" t="str">
        <x:v>W0068</x:v>
      </x:c>
      <x:c r="D1280" s="17" t="str">
        <x:v>C002</x:v>
      </x:c>
      <x:c r="E1280" s="17" t="str">
        <x:v>CopyStudio</x:v>
      </x:c>
      <x:c r="F1280" s="17" t="str">
        <x:v>Pro</x:v>
      </x:c>
      <x:c r="G1280" s="17" t="n">
        <x:v>17107</x:v>
      </x:c>
      <x:c r="H1280" s="17" t="n">
        <x:v>4958</x:v>
      </x:c>
      <x:c r="I1280" s="17" t="str">
        <x:v>First attempt</x:v>
      </x:c>
      <x:c r="J1280" s="27" t="n">
        <x:f>INDEX('Model Pricing'!$B$7:$B$8,MATCH(F1280,'Model Pricing'!$A$7:$A$8,0))</x:f>
        <x:v>40</x:v>
      </x:c>
      <x:c r="K1280" s="27" t="n">
        <x:f>INDEX('Model Pricing'!$C$7:$C$8,MATCH(F1280,'Model Pricing'!$A$7:$A$8,0))</x:f>
        <x:v>100</x:v>
      </x:c>
      <x:c r="L1280" s="17" t="n">
        <x:f>G1280+H1280</x:f>
        <x:v>22065</x:v>
      </x:c>
      <x:c r="M1280" s="28" t="n">
        <x:f>G1280*J1280/1000000</x:f>
        <x:v>0.68428</x:v>
      </x:c>
      <x:c r="N1280" s="28" t="n">
        <x:f>H1280*K1280/1000000</x:f>
        <x:v>0.4958</x:v>
      </x:c>
      <x:c r="O1280" s="28" t="n">
        <x:f>SUM(M1280:N1280)</x:f>
        <x:v>1.18008</x:v>
      </x:c>
    </x:row>
    <x:row r="1281" ht="23" customHeight="1">
      <x:c r="A1281" s="17" t="str">
        <x:v>U01275</x:v>
      </x:c>
      <x:c r="B1281" s="18" t="n">
        <x:v>46267</x:v>
      </x:c>
      <x:c r="C1281" s="17" t="str">
        <x:v>W0068</x:v>
      </x:c>
      <x:c r="D1281" s="17" t="str">
        <x:v>C002</x:v>
      </x:c>
      <x:c r="E1281" s="17" t="str">
        <x:v>CopyStudio</x:v>
      </x:c>
      <x:c r="F1281" s="17" t="str">
        <x:v>Pro</x:v>
      </x:c>
      <x:c r="G1281" s="17" t="n">
        <x:v>13188</x:v>
      </x:c>
      <x:c r="H1281" s="17" t="n">
        <x:v>6035</x:v>
      </x:c>
      <x:c r="I1281" s="17" t="str">
        <x:v>Correction</x:v>
      </x:c>
      <x:c r="J1281" s="27" t="n">
        <x:f>INDEX('Model Pricing'!$B$7:$B$8,MATCH(F1281,'Model Pricing'!$A$7:$A$8,0))</x:f>
        <x:v>40</x:v>
      </x:c>
      <x:c r="K1281" s="27" t="n">
        <x:f>INDEX('Model Pricing'!$C$7:$C$8,MATCH(F1281,'Model Pricing'!$A$7:$A$8,0))</x:f>
        <x:v>100</x:v>
      </x:c>
      <x:c r="L1281" s="17" t="n">
        <x:f>G1281+H1281</x:f>
        <x:v>19223</x:v>
      </x:c>
      <x:c r="M1281" s="28" t="n">
        <x:f>G1281*J1281/1000000</x:f>
        <x:v>0.52752</x:v>
      </x:c>
      <x:c r="N1281" s="28" t="n">
        <x:f>H1281*K1281/1000000</x:f>
        <x:v>0.6035</x:v>
      </x:c>
      <x:c r="O1281" s="28" t="n">
        <x:f>SUM(M1281:N1281)</x:f>
        <x:v>1.13102</x:v>
      </x:c>
    </x:row>
    <x:row r="1282" ht="23" customHeight="1">
      <x:c r="A1282" s="17" t="str">
        <x:v>U01276</x:v>
      </x:c>
      <x:c r="B1282" s="18" t="n">
        <x:v>46267</x:v>
      </x:c>
      <x:c r="C1282" s="17" t="str">
        <x:v>W0068</x:v>
      </x:c>
      <x:c r="D1282" s="17" t="str">
        <x:v>C002</x:v>
      </x:c>
      <x:c r="E1282" s="17" t="str">
        <x:v>CopyStudio</x:v>
      </x:c>
      <x:c r="F1282" s="17" t="str">
        <x:v>Pro</x:v>
      </x:c>
      <x:c r="G1282" s="17" t="n">
        <x:v>14074</x:v>
      </x:c>
      <x:c r="H1282" s="17" t="n">
        <x:v>5727</x:v>
      </x:c>
      <x:c r="I1282" s="17" t="str">
        <x:v>Followup</x:v>
      </x:c>
      <x:c r="J1282" s="27" t="n">
        <x:f>INDEX('Model Pricing'!$B$7:$B$8,MATCH(F1282,'Model Pricing'!$A$7:$A$8,0))</x:f>
        <x:v>40</x:v>
      </x:c>
      <x:c r="K1282" s="27" t="n">
        <x:f>INDEX('Model Pricing'!$C$7:$C$8,MATCH(F1282,'Model Pricing'!$A$7:$A$8,0))</x:f>
        <x:v>100</x:v>
      </x:c>
      <x:c r="L1282" s="17" t="n">
        <x:f>G1282+H1282</x:f>
        <x:v>19801</x:v>
      </x:c>
      <x:c r="M1282" s="28" t="n">
        <x:f>G1282*J1282/1000000</x:f>
        <x:v>0.56296</x:v>
      </x:c>
      <x:c r="N1282" s="28" t="n">
        <x:f>H1282*K1282/1000000</x:f>
        <x:v>0.5727</x:v>
      </x:c>
      <x:c r="O1282" s="28" t="n">
        <x:f>SUM(M1282:N1282)</x:f>
        <x:v>1.1356600000000001</x:v>
      </x:c>
    </x:row>
    <x:row r="1283" ht="23" customHeight="1">
      <x:c r="A1283" s="17" t="str">
        <x:v>U01277</x:v>
      </x:c>
      <x:c r="B1283" s="18" t="n">
        <x:v>46267</x:v>
      </x:c>
      <x:c r="C1283" s="17" t="str">
        <x:v>W0068</x:v>
      </x:c>
      <x:c r="D1283" s="17" t="str">
        <x:v>C002</x:v>
      </x:c>
      <x:c r="E1283" s="17" t="str">
        <x:v>CopyStudio</x:v>
      </x:c>
      <x:c r="F1283" s="17" t="str">
        <x:v>Pro</x:v>
      </x:c>
      <x:c r="G1283" s="17" t="n">
        <x:v>8577</x:v>
      </x:c>
      <x:c r="H1283" s="17" t="n">
        <x:v>4609</x:v>
      </x:c>
      <x:c r="I1283" s="17" t="str">
        <x:v>Followup</x:v>
      </x:c>
      <x:c r="J1283" s="27" t="n">
        <x:f>INDEX('Model Pricing'!$B$7:$B$8,MATCH(F1283,'Model Pricing'!$A$7:$A$8,0))</x:f>
        <x:v>40</x:v>
      </x:c>
      <x:c r="K1283" s="27" t="n">
        <x:f>INDEX('Model Pricing'!$C$7:$C$8,MATCH(F1283,'Model Pricing'!$A$7:$A$8,0))</x:f>
        <x:v>100</x:v>
      </x:c>
      <x:c r="L1283" s="17" t="n">
        <x:f>G1283+H1283</x:f>
        <x:v>13186</x:v>
      </x:c>
      <x:c r="M1283" s="28" t="n">
        <x:f>G1283*J1283/1000000</x:f>
        <x:v>0.34308</x:v>
      </x:c>
      <x:c r="N1283" s="28" t="n">
        <x:f>H1283*K1283/1000000</x:f>
        <x:v>0.4609</x:v>
      </x:c>
      <x:c r="O1283" s="28" t="n">
        <x:f>SUM(M1283:N1283)</x:f>
        <x:v>0.8039799999999999</x:v>
      </x:c>
    </x:row>
    <x:row r="1284" ht="23" customHeight="1">
      <x:c r="A1284" s="17" t="str">
        <x:v>U01278</x:v>
      </x:c>
      <x:c r="B1284" s="18" t="n">
        <x:v>46268</x:v>
      </x:c>
      <x:c r="C1284" s="17" t="str">
        <x:v>W0068</x:v>
      </x:c>
      <x:c r="D1284" s="17" t="str">
        <x:v>C002</x:v>
      </x:c>
      <x:c r="E1284" s="17" t="str">
        <x:v>CopyStudio</x:v>
      </x:c>
      <x:c r="F1284" s="17" t="str">
        <x:v>Pro</x:v>
      </x:c>
      <x:c r="G1284" s="17" t="n">
        <x:v>7430</x:v>
      </x:c>
      <x:c r="H1284" s="17" t="n">
        <x:v>12032</x:v>
      </x:c>
      <x:c r="I1284" s="17" t="str">
        <x:v>Followup</x:v>
      </x:c>
      <x:c r="J1284" s="27" t="n">
        <x:f>INDEX('Model Pricing'!$B$7:$B$8,MATCH(F1284,'Model Pricing'!$A$7:$A$8,0))</x:f>
        <x:v>40</x:v>
      </x:c>
      <x:c r="K1284" s="27" t="n">
        <x:f>INDEX('Model Pricing'!$C$7:$C$8,MATCH(F1284,'Model Pricing'!$A$7:$A$8,0))</x:f>
        <x:v>100</x:v>
      </x:c>
      <x:c r="L1284" s="17" t="n">
        <x:f>G1284+H1284</x:f>
        <x:v>19462</x:v>
      </x:c>
      <x:c r="M1284" s="28" t="n">
        <x:f>G1284*J1284/1000000</x:f>
        <x:v>0.2972</x:v>
      </x:c>
      <x:c r="N1284" s="28" t="n">
        <x:f>H1284*K1284/1000000</x:f>
        <x:v>1.2032</x:v>
      </x:c>
      <x:c r="O1284" s="28" t="n">
        <x:f>SUM(M1284:N1284)</x:f>
        <x:v>1.5004</x:v>
      </x:c>
    </x:row>
    <x:row r="1285" ht="23" customHeight="1">
      <x:c r="A1285" s="17" t="str">
        <x:v>U01279</x:v>
      </x:c>
      <x:c r="B1285" s="18" t="n">
        <x:v>46268</x:v>
      </x:c>
      <x:c r="C1285" s="17" t="str">
        <x:v>W0068</x:v>
      </x:c>
      <x:c r="D1285" s="17" t="str">
        <x:v>C002</x:v>
      </x:c>
      <x:c r="E1285" s="17" t="str">
        <x:v>CopyStudio</x:v>
      </x:c>
      <x:c r="F1285" s="17" t="str">
        <x:v>Pro</x:v>
      </x:c>
      <x:c r="G1285" s="17" t="n">
        <x:v>11770</x:v>
      </x:c>
      <x:c r="H1285" s="17" t="n">
        <x:v>8901</x:v>
      </x:c>
      <x:c r="I1285" s="17" t="str">
        <x:v>Followup</x:v>
      </x:c>
      <x:c r="J1285" s="27" t="n">
        <x:f>INDEX('Model Pricing'!$B$7:$B$8,MATCH(F1285,'Model Pricing'!$A$7:$A$8,0))</x:f>
        <x:v>40</x:v>
      </x:c>
      <x:c r="K1285" s="27" t="n">
        <x:f>INDEX('Model Pricing'!$C$7:$C$8,MATCH(F1285,'Model Pricing'!$A$7:$A$8,0))</x:f>
        <x:v>100</x:v>
      </x:c>
      <x:c r="L1285" s="17" t="n">
        <x:f>G1285+H1285</x:f>
        <x:v>20671</x:v>
      </x:c>
      <x:c r="M1285" s="28" t="n">
        <x:f>G1285*J1285/1000000</x:f>
        <x:v>0.4708</x:v>
      </x:c>
      <x:c r="N1285" s="28" t="n">
        <x:f>H1285*K1285/1000000</x:f>
        <x:v>0.8901</x:v>
      </x:c>
      <x:c r="O1285" s="28" t="n">
        <x:f>SUM(M1285:N1285)</x:f>
        <x:v>1.3609</x:v>
      </x:c>
    </x:row>
    <x:row r="1286" ht="23" customHeight="1">
      <x:c r="A1286" s="17" t="str">
        <x:v>U01280</x:v>
      </x:c>
      <x:c r="B1286" s="18" t="n">
        <x:v>46268</x:v>
      </x:c>
      <x:c r="C1286" s="17" t="str">
        <x:v>W0068</x:v>
      </x:c>
      <x:c r="D1286" s="17" t="str">
        <x:v>C002</x:v>
      </x:c>
      <x:c r="E1286" s="17" t="str">
        <x:v>CopyStudio</x:v>
      </x:c>
      <x:c r="F1286" s="17" t="str">
        <x:v>Pro</x:v>
      </x:c>
      <x:c r="G1286" s="17" t="n">
        <x:v>15098</x:v>
      </x:c>
      <x:c r="H1286" s="17" t="n">
        <x:v>11437</x:v>
      </x:c>
      <x:c r="I1286" s="17" t="str">
        <x:v>Followup</x:v>
      </x:c>
      <x:c r="J1286" s="27" t="n">
        <x:f>INDEX('Model Pricing'!$B$7:$B$8,MATCH(F1286,'Model Pricing'!$A$7:$A$8,0))</x:f>
        <x:v>40</x:v>
      </x:c>
      <x:c r="K1286" s="27" t="n">
        <x:f>INDEX('Model Pricing'!$C$7:$C$8,MATCH(F1286,'Model Pricing'!$A$7:$A$8,0))</x:f>
        <x:v>100</x:v>
      </x:c>
      <x:c r="L1286" s="17" t="n">
        <x:f>G1286+H1286</x:f>
        <x:v>26535</x:v>
      </x:c>
      <x:c r="M1286" s="28" t="n">
        <x:f>G1286*J1286/1000000</x:f>
        <x:v>0.60392</x:v>
      </x:c>
      <x:c r="N1286" s="28" t="n">
        <x:f>H1286*K1286/1000000</x:f>
        <x:v>1.1437</x:v>
      </x:c>
      <x:c r="O1286" s="28" t="n">
        <x:f>SUM(M1286:N1286)</x:f>
        <x:v>1.74762</x:v>
      </x:c>
    </x:row>
    <x:row r="1287" ht="23" customHeight="1">
      <x:c r="A1287" s="17" t="str">
        <x:v>U01281</x:v>
      </x:c>
      <x:c r="B1287" s="18" t="n">
        <x:v>46269</x:v>
      </x:c>
      <x:c r="C1287" s="17" t="str">
        <x:v>W0068</x:v>
      </x:c>
      <x:c r="D1287" s="17" t="str">
        <x:v>C002</x:v>
      </x:c>
      <x:c r="E1287" s="17" t="str">
        <x:v>CopyStudio</x:v>
      </x:c>
      <x:c r="F1287" s="17" t="str">
        <x:v>Pro</x:v>
      </x:c>
      <x:c r="G1287" s="17" t="n">
        <x:v>10997</x:v>
      </x:c>
      <x:c r="H1287" s="17" t="n">
        <x:v>7412</x:v>
      </x:c>
      <x:c r="I1287" s="17" t="str">
        <x:v>Followup</x:v>
      </x:c>
      <x:c r="J1287" s="27" t="n">
        <x:f>INDEX('Model Pricing'!$B$7:$B$8,MATCH(F1287,'Model Pricing'!$A$7:$A$8,0))</x:f>
        <x:v>40</x:v>
      </x:c>
      <x:c r="K1287" s="27" t="n">
        <x:f>INDEX('Model Pricing'!$C$7:$C$8,MATCH(F1287,'Model Pricing'!$A$7:$A$8,0))</x:f>
        <x:v>100</x:v>
      </x:c>
      <x:c r="L1287" s="17" t="n">
        <x:f>G1287+H1287</x:f>
        <x:v>18409</x:v>
      </x:c>
      <x:c r="M1287" s="28" t="n">
        <x:f>G1287*J1287/1000000</x:f>
        <x:v>0.43988</x:v>
      </x:c>
      <x:c r="N1287" s="28" t="n">
        <x:f>H1287*K1287/1000000</x:f>
        <x:v>0.7412</x:v>
      </x:c>
      <x:c r="O1287" s="28" t="n">
        <x:f>SUM(M1287:N1287)</x:f>
        <x:v>1.18108</x:v>
      </x:c>
    </x:row>
    <x:row r="1288" ht="23" customHeight="1">
      <x:c r="A1288" s="17" t="str">
        <x:v>U01282</x:v>
      </x:c>
      <x:c r="B1288" s="18" t="n">
        <x:v>46269</x:v>
      </x:c>
      <x:c r="C1288" s="17" t="str">
        <x:v>W0068</x:v>
      </x:c>
      <x:c r="D1288" s="17" t="str">
        <x:v>C002</x:v>
      </x:c>
      <x:c r="E1288" s="17" t="str">
        <x:v>CopyStudio</x:v>
      </x:c>
      <x:c r="F1288" s="17" t="str">
        <x:v>Pro</x:v>
      </x:c>
      <x:c r="G1288" s="17" t="n">
        <x:v>11282</x:v>
      </x:c>
      <x:c r="H1288" s="17" t="n">
        <x:v>3322</x:v>
      </x:c>
      <x:c r="I1288" s="17" t="str">
        <x:v>Correction</x:v>
      </x:c>
      <x:c r="J1288" s="27" t="n">
        <x:f>INDEX('Model Pricing'!$B$7:$B$8,MATCH(F1288,'Model Pricing'!$A$7:$A$8,0))</x:f>
        <x:v>40</x:v>
      </x:c>
      <x:c r="K1288" s="27" t="n">
        <x:f>INDEX('Model Pricing'!$C$7:$C$8,MATCH(F1288,'Model Pricing'!$A$7:$A$8,0))</x:f>
        <x:v>100</x:v>
      </x:c>
      <x:c r="L1288" s="17" t="n">
        <x:f>G1288+H1288</x:f>
        <x:v>14604</x:v>
      </x:c>
      <x:c r="M1288" s="28" t="n">
        <x:f>G1288*J1288/1000000</x:f>
        <x:v>0.45128</x:v>
      </x:c>
      <x:c r="N1288" s="28" t="n">
        <x:f>H1288*K1288/1000000</x:f>
        <x:v>0.3322</x:v>
      </x:c>
      <x:c r="O1288" s="28" t="n">
        <x:f>SUM(M1288:N1288)</x:f>
        <x:v>0.78348</x:v>
      </x:c>
    </x:row>
    <x:row r="1289" ht="23" customHeight="1">
      <x:c r="A1289" s="17" t="str">
        <x:v>U01283</x:v>
      </x:c>
      <x:c r="B1289" s="18" t="n">
        <x:v>46269</x:v>
      </x:c>
      <x:c r="C1289" s="17" t="str">
        <x:v>W0068</x:v>
      </x:c>
      <x:c r="D1289" s="17" t="str">
        <x:v>C002</x:v>
      </x:c>
      <x:c r="E1289" s="17" t="str">
        <x:v>CopyStudio</x:v>
      </x:c>
      <x:c r="F1289" s="17" t="str">
        <x:v>Pro</x:v>
      </x:c>
      <x:c r="G1289" s="17" t="n">
        <x:v>16031</x:v>
      </x:c>
      <x:c r="H1289" s="17" t="n">
        <x:v>11898</x:v>
      </x:c>
      <x:c r="I1289" s="17" t="str">
        <x:v>Followup</x:v>
      </x:c>
      <x:c r="J1289" s="27" t="n">
        <x:f>INDEX('Model Pricing'!$B$7:$B$8,MATCH(F1289,'Model Pricing'!$A$7:$A$8,0))</x:f>
        <x:v>40</x:v>
      </x:c>
      <x:c r="K1289" s="27" t="n">
        <x:f>INDEX('Model Pricing'!$C$7:$C$8,MATCH(F1289,'Model Pricing'!$A$7:$A$8,0))</x:f>
        <x:v>100</x:v>
      </x:c>
      <x:c r="L1289" s="17" t="n">
        <x:f>G1289+H1289</x:f>
        <x:v>27929</x:v>
      </x:c>
      <x:c r="M1289" s="28" t="n">
        <x:f>G1289*J1289/1000000</x:f>
        <x:v>0.64124</x:v>
      </x:c>
      <x:c r="N1289" s="28" t="n">
        <x:f>H1289*K1289/1000000</x:f>
        <x:v>1.1898</x:v>
      </x:c>
      <x:c r="O1289" s="28" t="n">
        <x:f>SUM(M1289:N1289)</x:f>
        <x:v>1.83104</x:v>
      </x:c>
    </x:row>
    <x:row r="1290" ht="23" customHeight="1">
      <x:c r="A1290" s="17" t="str">
        <x:v>U01284</x:v>
      </x:c>
      <x:c r="B1290" s="18" t="n">
        <x:v>46269</x:v>
      </x:c>
      <x:c r="C1290" s="17" t="str">
        <x:v>W0068</x:v>
      </x:c>
      <x:c r="D1290" s="17" t="str">
        <x:v>C002</x:v>
      </x:c>
      <x:c r="E1290" s="17" t="str">
        <x:v>CopyStudio</x:v>
      </x:c>
      <x:c r="F1290" s="17" t="str">
        <x:v>Pro</x:v>
      </x:c>
      <x:c r="G1290" s="17" t="n">
        <x:v>8480</x:v>
      </x:c>
      <x:c r="H1290" s="17" t="n">
        <x:v>7820</x:v>
      </x:c>
      <x:c r="I1290" s="17" t="str">
        <x:v>Followup</x:v>
      </x:c>
      <x:c r="J1290" s="27" t="n">
        <x:f>INDEX('Model Pricing'!$B$7:$B$8,MATCH(F1290,'Model Pricing'!$A$7:$A$8,0))</x:f>
        <x:v>40</x:v>
      </x:c>
      <x:c r="K1290" s="27" t="n">
        <x:f>INDEX('Model Pricing'!$C$7:$C$8,MATCH(F1290,'Model Pricing'!$A$7:$A$8,0))</x:f>
        <x:v>100</x:v>
      </x:c>
      <x:c r="L1290" s="17" t="n">
        <x:f>G1290+H1290</x:f>
        <x:v>16300</x:v>
      </x:c>
      <x:c r="M1290" s="28" t="n">
        <x:f>G1290*J1290/1000000</x:f>
        <x:v>0.3392</x:v>
      </x:c>
      <x:c r="N1290" s="28" t="n">
        <x:f>H1290*K1290/1000000</x:f>
        <x:v>0.782</x:v>
      </x:c>
      <x:c r="O1290" s="28" t="n">
        <x:f>SUM(M1290:N1290)</x:f>
        <x:v>1.1212</x:v>
      </x:c>
    </x:row>
    <x:row r="1291" ht="23" customHeight="1">
      <x:c r="A1291" s="17" t="str">
        <x:v>U01285</x:v>
      </x:c>
      <x:c r="B1291" s="18" t="n">
        <x:v>46273</x:v>
      </x:c>
      <x:c r="C1291" s="17" t="str">
        <x:v>W0068</x:v>
      </x:c>
      <x:c r="D1291" s="17" t="str">
        <x:v>C002</x:v>
      </x:c>
      <x:c r="E1291" s="17" t="str">
        <x:v>CopyStudio</x:v>
      </x:c>
      <x:c r="F1291" s="17" t="str">
        <x:v>Pro</x:v>
      </x:c>
      <x:c r="G1291" s="17" t="n">
        <x:v>10877</x:v>
      </x:c>
      <x:c r="H1291" s="17" t="n">
        <x:v>10549</x:v>
      </x:c>
      <x:c r="I1291" s="17" t="str">
        <x:v>Followup</x:v>
      </x:c>
      <x:c r="J1291" s="27" t="n">
        <x:f>INDEX('Model Pricing'!$B$7:$B$8,MATCH(F1291,'Model Pricing'!$A$7:$A$8,0))</x:f>
        <x:v>40</x:v>
      </x:c>
      <x:c r="K1291" s="27" t="n">
        <x:f>INDEX('Model Pricing'!$C$7:$C$8,MATCH(F1291,'Model Pricing'!$A$7:$A$8,0))</x:f>
        <x:v>100</x:v>
      </x:c>
      <x:c r="L1291" s="17" t="n">
        <x:f>G1291+H1291</x:f>
        <x:v>21426</x:v>
      </x:c>
      <x:c r="M1291" s="28" t="n">
        <x:f>G1291*J1291/1000000</x:f>
        <x:v>0.43508</x:v>
      </x:c>
      <x:c r="N1291" s="28" t="n">
        <x:f>H1291*K1291/1000000</x:f>
        <x:v>1.0549</x:v>
      </x:c>
      <x:c r="O1291" s="28" t="n">
        <x:f>SUM(M1291:N1291)</x:f>
        <x:v>1.48998</x:v>
      </x:c>
    </x:row>
    <x:row r="1292" ht="23" customHeight="1">
      <x:c r="A1292" s="17" t="str">
        <x:v>U01286</x:v>
      </x:c>
      <x:c r="B1292" s="18" t="n">
        <x:v>46273</x:v>
      </x:c>
      <x:c r="C1292" s="17" t="str">
        <x:v>W0068</x:v>
      </x:c>
      <x:c r="D1292" s="17" t="str">
        <x:v>C002</x:v>
      </x:c>
      <x:c r="E1292" s="17" t="str">
        <x:v>CopyStudio</x:v>
      </x:c>
      <x:c r="F1292" s="17" t="str">
        <x:v>Pro</x:v>
      </x:c>
      <x:c r="G1292" s="17" t="n">
        <x:v>15044</x:v>
      </x:c>
      <x:c r="H1292" s="17" t="n">
        <x:v>11346</x:v>
      </x:c>
      <x:c r="I1292" s="17" t="str">
        <x:v>Correction</x:v>
      </x:c>
      <x:c r="J1292" s="27" t="n">
        <x:f>INDEX('Model Pricing'!$B$7:$B$8,MATCH(F1292,'Model Pricing'!$A$7:$A$8,0))</x:f>
        <x:v>40</x:v>
      </x:c>
      <x:c r="K1292" s="27" t="n">
        <x:f>INDEX('Model Pricing'!$C$7:$C$8,MATCH(F1292,'Model Pricing'!$A$7:$A$8,0))</x:f>
        <x:v>100</x:v>
      </x:c>
      <x:c r="L1292" s="17" t="n">
        <x:f>G1292+H1292</x:f>
        <x:v>26390</x:v>
      </x:c>
      <x:c r="M1292" s="28" t="n">
        <x:f>G1292*J1292/1000000</x:f>
        <x:v>0.60176</x:v>
      </x:c>
      <x:c r="N1292" s="28" t="n">
        <x:f>H1292*K1292/1000000</x:f>
        <x:v>1.1346</x:v>
      </x:c>
      <x:c r="O1292" s="28" t="n">
        <x:f>SUM(M1292:N1292)</x:f>
        <x:v>1.73636</x:v>
      </x:c>
    </x:row>
    <x:row r="1293" ht="23" customHeight="1">
      <x:c r="A1293" s="17" t="str">
        <x:v>U01287</x:v>
      </x:c>
      <x:c r="B1293" s="18" t="n">
        <x:v>46273</x:v>
      </x:c>
      <x:c r="C1293" s="17" t="str">
        <x:v>W0068</x:v>
      </x:c>
      <x:c r="D1293" s="17" t="str">
        <x:v>C002</x:v>
      </x:c>
      <x:c r="E1293" s="17" t="str">
        <x:v>CopyStudio</x:v>
      </x:c>
      <x:c r="F1293" s="17" t="str">
        <x:v>Pro</x:v>
      </x:c>
      <x:c r="G1293" s="17" t="n">
        <x:v>8975</x:v>
      </x:c>
      <x:c r="H1293" s="17" t="n">
        <x:v>9444</x:v>
      </x:c>
      <x:c r="I1293" s="17" t="str">
        <x:v>Followup</x:v>
      </x:c>
      <x:c r="J1293" s="27" t="n">
        <x:f>INDEX('Model Pricing'!$B$7:$B$8,MATCH(F1293,'Model Pricing'!$A$7:$A$8,0))</x:f>
        <x:v>40</x:v>
      </x:c>
      <x:c r="K1293" s="27" t="n">
        <x:f>INDEX('Model Pricing'!$C$7:$C$8,MATCH(F1293,'Model Pricing'!$A$7:$A$8,0))</x:f>
        <x:v>100</x:v>
      </x:c>
      <x:c r="L1293" s="17" t="n">
        <x:f>G1293+H1293</x:f>
        <x:v>18419</x:v>
      </x:c>
      <x:c r="M1293" s="28" t="n">
        <x:f>G1293*J1293/1000000</x:f>
        <x:v>0.359</x:v>
      </x:c>
      <x:c r="N1293" s="28" t="n">
        <x:f>H1293*K1293/1000000</x:f>
        <x:v>0.9444</x:v>
      </x:c>
      <x:c r="O1293" s="28" t="n">
        <x:f>SUM(M1293:N1293)</x:f>
        <x:v>1.3034</x:v>
      </x:c>
    </x:row>
    <x:row r="1294" ht="23" customHeight="1">
      <x:c r="A1294" s="17" t="str">
        <x:v>U01288</x:v>
      </x:c>
      <x:c r="B1294" s="18" t="n">
        <x:v>46279</x:v>
      </x:c>
      <x:c r="C1294" s="17" t="str">
        <x:v>W0069</x:v>
      </x:c>
      <x:c r="D1294" s="17" t="str">
        <x:v>C002</x:v>
      </x:c>
      <x:c r="E1294" s="17" t="str">
        <x:v>CopyStudio</x:v>
      </x:c>
      <x:c r="F1294" s="17" t="str">
        <x:v>Pro</x:v>
      </x:c>
      <x:c r="G1294" s="17" t="n">
        <x:v>8272</x:v>
      </x:c>
      <x:c r="H1294" s="17" t="n">
        <x:v>6850</x:v>
      </x:c>
      <x:c r="I1294" s="17" t="str">
        <x:v>First attempt</x:v>
      </x:c>
      <x:c r="J1294" s="27" t="n">
        <x:f>INDEX('Model Pricing'!$B$7:$B$8,MATCH(F1294,'Model Pricing'!$A$7:$A$8,0))</x:f>
        <x:v>40</x:v>
      </x:c>
      <x:c r="K1294" s="27" t="n">
        <x:f>INDEX('Model Pricing'!$C$7:$C$8,MATCH(F1294,'Model Pricing'!$A$7:$A$8,0))</x:f>
        <x:v>100</x:v>
      </x:c>
      <x:c r="L1294" s="17" t="n">
        <x:f>G1294+H1294</x:f>
        <x:v>15122</x:v>
      </x:c>
      <x:c r="M1294" s="28" t="n">
        <x:f>G1294*J1294/1000000</x:f>
        <x:v>0.33088</x:v>
      </x:c>
      <x:c r="N1294" s="28" t="n">
        <x:f>H1294*K1294/1000000</x:f>
        <x:v>0.685</x:v>
      </x:c>
      <x:c r="O1294" s="28" t="n">
        <x:f>SUM(M1294:N1294)</x:f>
        <x:v>1.0158800000000001</x:v>
      </x:c>
    </x:row>
    <x:row r="1295" ht="23" customHeight="1">
      <x:c r="A1295" s="17" t="str">
        <x:v>U01289</x:v>
      </x:c>
      <x:c r="B1295" s="18" t="n">
        <x:v>46279</x:v>
      </x:c>
      <x:c r="C1295" s="17" t="str">
        <x:v>W0069</x:v>
      </x:c>
      <x:c r="D1295" s="17" t="str">
        <x:v>C002</x:v>
      </x:c>
      <x:c r="E1295" s="17" t="str">
        <x:v>CopyStudio</x:v>
      </x:c>
      <x:c r="F1295" s="17" t="str">
        <x:v>Pro</x:v>
      </x:c>
      <x:c r="G1295" s="17" t="n">
        <x:v>8043</x:v>
      </x:c>
      <x:c r="H1295" s="17" t="n">
        <x:v>7266</x:v>
      </x:c>
      <x:c r="I1295" s="17" t="str">
        <x:v>Followup</x:v>
      </x:c>
      <x:c r="J1295" s="27" t="n">
        <x:f>INDEX('Model Pricing'!$B$7:$B$8,MATCH(F1295,'Model Pricing'!$A$7:$A$8,0))</x:f>
        <x:v>40</x:v>
      </x:c>
      <x:c r="K1295" s="27" t="n">
        <x:f>INDEX('Model Pricing'!$C$7:$C$8,MATCH(F1295,'Model Pricing'!$A$7:$A$8,0))</x:f>
        <x:v>100</x:v>
      </x:c>
      <x:c r="L1295" s="17" t="n">
        <x:f>G1295+H1295</x:f>
        <x:v>15309</x:v>
      </x:c>
      <x:c r="M1295" s="28" t="n">
        <x:f>G1295*J1295/1000000</x:f>
        <x:v>0.32172</x:v>
      </x:c>
      <x:c r="N1295" s="28" t="n">
        <x:f>H1295*K1295/1000000</x:f>
        <x:v>0.7266</x:v>
      </x:c>
      <x:c r="O1295" s="28" t="n">
        <x:f>SUM(M1295:N1295)</x:f>
        <x:v>1.04832</x:v>
      </x:c>
    </x:row>
    <x:row r="1296" ht="23" customHeight="1">
      <x:c r="A1296" s="17" t="str">
        <x:v>U01290</x:v>
      </x:c>
      <x:c r="B1296" s="18" t="n">
        <x:v>46279</x:v>
      </x:c>
      <x:c r="C1296" s="17" t="str">
        <x:v>W0069</x:v>
      </x:c>
      <x:c r="D1296" s="17" t="str">
        <x:v>C002</x:v>
      </x:c>
      <x:c r="E1296" s="17" t="str">
        <x:v>CopyStudio</x:v>
      </x:c>
      <x:c r="F1296" s="17" t="str">
        <x:v>Pro</x:v>
      </x:c>
      <x:c r="G1296" s="17" t="n">
        <x:v>10756</x:v>
      </x:c>
      <x:c r="H1296" s="17" t="n">
        <x:v>8572</x:v>
      </x:c>
      <x:c r="I1296" s="17" t="str">
        <x:v>Correction</x:v>
      </x:c>
      <x:c r="J1296" s="27" t="n">
        <x:f>INDEX('Model Pricing'!$B$7:$B$8,MATCH(F1296,'Model Pricing'!$A$7:$A$8,0))</x:f>
        <x:v>40</x:v>
      </x:c>
      <x:c r="K1296" s="27" t="n">
        <x:f>INDEX('Model Pricing'!$C$7:$C$8,MATCH(F1296,'Model Pricing'!$A$7:$A$8,0))</x:f>
        <x:v>100</x:v>
      </x:c>
      <x:c r="L1296" s="17" t="n">
        <x:f>G1296+H1296</x:f>
        <x:v>19328</x:v>
      </x:c>
      <x:c r="M1296" s="28" t="n">
        <x:f>G1296*J1296/1000000</x:f>
        <x:v>0.43024</x:v>
      </x:c>
      <x:c r="N1296" s="28" t="n">
        <x:f>H1296*K1296/1000000</x:f>
        <x:v>0.8572</x:v>
      </x:c>
      <x:c r="O1296" s="28" t="n">
        <x:f>SUM(M1296:N1296)</x:f>
        <x:v>1.28744</x:v>
      </x:c>
    </x:row>
    <x:row r="1297" ht="23" customHeight="1">
      <x:c r="A1297" s="17" t="str">
        <x:v>U01291</x:v>
      </x:c>
      <x:c r="B1297" s="18" t="n">
        <x:v>46279</x:v>
      </x:c>
      <x:c r="C1297" s="17" t="str">
        <x:v>W0069</x:v>
      </x:c>
      <x:c r="D1297" s="17" t="str">
        <x:v>C002</x:v>
      </x:c>
      <x:c r="E1297" s="17" t="str">
        <x:v>CopyStudio</x:v>
      </x:c>
      <x:c r="F1297" s="17" t="str">
        <x:v>Pro</x:v>
      </x:c>
      <x:c r="G1297" s="17" t="n">
        <x:v>17097</x:v>
      </x:c>
      <x:c r="H1297" s="17" t="n">
        <x:v>12172</x:v>
      </x:c>
      <x:c r="I1297" s="17" t="str">
        <x:v>Followup</x:v>
      </x:c>
      <x:c r="J1297" s="27" t="n">
        <x:f>INDEX('Model Pricing'!$B$7:$B$8,MATCH(F1297,'Model Pricing'!$A$7:$A$8,0))</x:f>
        <x:v>40</x:v>
      </x:c>
      <x:c r="K1297" s="27" t="n">
        <x:f>INDEX('Model Pricing'!$C$7:$C$8,MATCH(F1297,'Model Pricing'!$A$7:$A$8,0))</x:f>
        <x:v>100</x:v>
      </x:c>
      <x:c r="L1297" s="17" t="n">
        <x:f>G1297+H1297</x:f>
        <x:v>29269</x:v>
      </x:c>
      <x:c r="M1297" s="28" t="n">
        <x:f>G1297*J1297/1000000</x:f>
        <x:v>0.68388</x:v>
      </x:c>
      <x:c r="N1297" s="28" t="n">
        <x:f>H1297*K1297/1000000</x:f>
        <x:v>1.2172</x:v>
      </x:c>
      <x:c r="O1297" s="28" t="n">
        <x:f>SUM(M1297:N1297)</x:f>
        <x:v>1.90108</x:v>
      </x:c>
    </x:row>
    <x:row r="1298" ht="23" customHeight="1">
      <x:c r="A1298" s="17" t="str">
        <x:v>U01292</x:v>
      </x:c>
      <x:c r="B1298" s="18" t="n">
        <x:v>46280</x:v>
      </x:c>
      <x:c r="C1298" s="17" t="str">
        <x:v>W0069</x:v>
      </x:c>
      <x:c r="D1298" s="17" t="str">
        <x:v>C002</x:v>
      </x:c>
      <x:c r="E1298" s="17" t="str">
        <x:v>CopyStudio</x:v>
      </x:c>
      <x:c r="F1298" s="17" t="str">
        <x:v>Pro</x:v>
      </x:c>
      <x:c r="G1298" s="17" t="n">
        <x:v>14594</x:v>
      </x:c>
      <x:c r="H1298" s="17" t="n">
        <x:v>7612</x:v>
      </x:c>
      <x:c r="I1298" s="17" t="str">
        <x:v>Correction</x:v>
      </x:c>
      <x:c r="J1298" s="27" t="n">
        <x:f>INDEX('Model Pricing'!$B$7:$B$8,MATCH(F1298,'Model Pricing'!$A$7:$A$8,0))</x:f>
        <x:v>40</x:v>
      </x:c>
      <x:c r="K1298" s="27" t="n">
        <x:f>INDEX('Model Pricing'!$C$7:$C$8,MATCH(F1298,'Model Pricing'!$A$7:$A$8,0))</x:f>
        <x:v>100</x:v>
      </x:c>
      <x:c r="L1298" s="17" t="n">
        <x:f>G1298+H1298</x:f>
        <x:v>22206</x:v>
      </x:c>
      <x:c r="M1298" s="28" t="n">
        <x:f>G1298*J1298/1000000</x:f>
        <x:v>0.58376</x:v>
      </x:c>
      <x:c r="N1298" s="28" t="n">
        <x:f>H1298*K1298/1000000</x:f>
        <x:v>0.7612</x:v>
      </x:c>
      <x:c r="O1298" s="28" t="n">
        <x:f>SUM(M1298:N1298)</x:f>
        <x:v>1.34496</x:v>
      </x:c>
    </x:row>
    <x:row r="1299" ht="23" customHeight="1">
      <x:c r="A1299" s="17" t="str">
        <x:v>U01293</x:v>
      </x:c>
      <x:c r="B1299" s="18" t="n">
        <x:v>46280</x:v>
      </x:c>
      <x:c r="C1299" s="17" t="str">
        <x:v>W0069</x:v>
      </x:c>
      <x:c r="D1299" s="17" t="str">
        <x:v>C002</x:v>
      </x:c>
      <x:c r="E1299" s="17" t="str">
        <x:v>CopyStudio</x:v>
      </x:c>
      <x:c r="F1299" s="17" t="str">
        <x:v>Pro</x:v>
      </x:c>
      <x:c r="G1299" s="17" t="n">
        <x:v>10275</x:v>
      </x:c>
      <x:c r="H1299" s="17" t="n">
        <x:v>6103</x:v>
      </x:c>
      <x:c r="I1299" s="17" t="str">
        <x:v>Followup</x:v>
      </x:c>
      <x:c r="J1299" s="27" t="n">
        <x:f>INDEX('Model Pricing'!$B$7:$B$8,MATCH(F1299,'Model Pricing'!$A$7:$A$8,0))</x:f>
        <x:v>40</x:v>
      </x:c>
      <x:c r="K1299" s="27" t="n">
        <x:f>INDEX('Model Pricing'!$C$7:$C$8,MATCH(F1299,'Model Pricing'!$A$7:$A$8,0))</x:f>
        <x:v>100</x:v>
      </x:c>
      <x:c r="L1299" s="17" t="n">
        <x:f>G1299+H1299</x:f>
        <x:v>16378</x:v>
      </x:c>
      <x:c r="M1299" s="28" t="n">
        <x:f>G1299*J1299/1000000</x:f>
        <x:v>0.411</x:v>
      </x:c>
      <x:c r="N1299" s="28" t="n">
        <x:f>H1299*K1299/1000000</x:f>
        <x:v>0.6103</x:v>
      </x:c>
      <x:c r="O1299" s="28" t="n">
        <x:f>SUM(M1299:N1299)</x:f>
        <x:v>1.0212999999999999</x:v>
      </x:c>
    </x:row>
    <x:row r="1300" ht="23" customHeight="1">
      <x:c r="A1300" s="17" t="str">
        <x:v>U01294</x:v>
      </x:c>
      <x:c r="B1300" s="18" t="n">
        <x:v>46280</x:v>
      </x:c>
      <x:c r="C1300" s="17" t="str">
        <x:v>W0069</x:v>
      </x:c>
      <x:c r="D1300" s="17" t="str">
        <x:v>C002</x:v>
      </x:c>
      <x:c r="E1300" s="17" t="str">
        <x:v>CopyStudio</x:v>
      </x:c>
      <x:c r="F1300" s="17" t="str">
        <x:v>Pro</x:v>
      </x:c>
      <x:c r="G1300" s="17" t="n">
        <x:v>16185</x:v>
      </x:c>
      <x:c r="H1300" s="17" t="n">
        <x:v>10887</x:v>
      </x:c>
      <x:c r="I1300" s="17" t="str">
        <x:v>Followup</x:v>
      </x:c>
      <x:c r="J1300" s="27" t="n">
        <x:f>INDEX('Model Pricing'!$B$7:$B$8,MATCH(F1300,'Model Pricing'!$A$7:$A$8,0))</x:f>
        <x:v>40</x:v>
      </x:c>
      <x:c r="K1300" s="27" t="n">
        <x:f>INDEX('Model Pricing'!$C$7:$C$8,MATCH(F1300,'Model Pricing'!$A$7:$A$8,0))</x:f>
        <x:v>100</x:v>
      </x:c>
      <x:c r="L1300" s="17" t="n">
        <x:f>G1300+H1300</x:f>
        <x:v>27072</x:v>
      </x:c>
      <x:c r="M1300" s="28" t="n">
        <x:f>G1300*J1300/1000000</x:f>
        <x:v>0.6474</x:v>
      </x:c>
      <x:c r="N1300" s="28" t="n">
        <x:f>H1300*K1300/1000000</x:f>
        <x:v>1.0887</x:v>
      </x:c>
      <x:c r="O1300" s="28" t="n">
        <x:f>SUM(M1300:N1300)</x:f>
        <x:v>1.7361</x:v>
      </x:c>
    </x:row>
    <x:row r="1301" ht="23" customHeight="1">
      <x:c r="A1301" s="17" t="str">
        <x:v>U01295</x:v>
      </x:c>
      <x:c r="B1301" s="18" t="n">
        <x:v>46280</x:v>
      </x:c>
      <x:c r="C1301" s="17" t="str">
        <x:v>W0069</x:v>
      </x:c>
      <x:c r="D1301" s="17" t="str">
        <x:v>C002</x:v>
      </x:c>
      <x:c r="E1301" s="17" t="str">
        <x:v>CopyStudio</x:v>
      </x:c>
      <x:c r="F1301" s="17" t="str">
        <x:v>Pro</x:v>
      </x:c>
      <x:c r="G1301" s="17" t="n">
        <x:v>12608</x:v>
      </x:c>
      <x:c r="H1301" s="17" t="n">
        <x:v>7860</x:v>
      </x:c>
      <x:c r="I1301" s="17" t="str">
        <x:v>Followup</x:v>
      </x:c>
      <x:c r="J1301" s="27" t="n">
        <x:f>INDEX('Model Pricing'!$B$7:$B$8,MATCH(F1301,'Model Pricing'!$A$7:$A$8,0))</x:f>
        <x:v>40</x:v>
      </x:c>
      <x:c r="K1301" s="27" t="n">
        <x:f>INDEX('Model Pricing'!$C$7:$C$8,MATCH(F1301,'Model Pricing'!$A$7:$A$8,0))</x:f>
        <x:v>100</x:v>
      </x:c>
      <x:c r="L1301" s="17" t="n">
        <x:f>G1301+H1301</x:f>
        <x:v>20468</x:v>
      </x:c>
      <x:c r="M1301" s="28" t="n">
        <x:f>G1301*J1301/1000000</x:f>
        <x:v>0.50432</x:v>
      </x:c>
      <x:c r="N1301" s="28" t="n">
        <x:f>H1301*K1301/1000000</x:f>
        <x:v>0.786</x:v>
      </x:c>
      <x:c r="O1301" s="28" t="n">
        <x:f>SUM(M1301:N1301)</x:f>
        <x:v>1.29032</x:v>
      </x:c>
    </x:row>
    <x:row r="1302" ht="23" customHeight="1">
      <x:c r="A1302" s="17" t="str">
        <x:v>U01296</x:v>
      </x:c>
      <x:c r="B1302" s="18" t="n">
        <x:v>46281</x:v>
      </x:c>
      <x:c r="C1302" s="17" t="str">
        <x:v>W0069</x:v>
      </x:c>
      <x:c r="D1302" s="17" t="str">
        <x:v>C002</x:v>
      </x:c>
      <x:c r="E1302" s="17" t="str">
        <x:v>CopyStudio</x:v>
      </x:c>
      <x:c r="F1302" s="17" t="str">
        <x:v>Pro</x:v>
      </x:c>
      <x:c r="G1302" s="17" t="n">
        <x:v>12324</x:v>
      </x:c>
      <x:c r="H1302" s="17" t="n">
        <x:v>7389</x:v>
      </x:c>
      <x:c r="I1302" s="17" t="str">
        <x:v>Correction</x:v>
      </x:c>
      <x:c r="J1302" s="27" t="n">
        <x:f>INDEX('Model Pricing'!$B$7:$B$8,MATCH(F1302,'Model Pricing'!$A$7:$A$8,0))</x:f>
        <x:v>40</x:v>
      </x:c>
      <x:c r="K1302" s="27" t="n">
        <x:f>INDEX('Model Pricing'!$C$7:$C$8,MATCH(F1302,'Model Pricing'!$A$7:$A$8,0))</x:f>
        <x:v>100</x:v>
      </x:c>
      <x:c r="L1302" s="17" t="n">
        <x:f>G1302+H1302</x:f>
        <x:v>19713</x:v>
      </x:c>
      <x:c r="M1302" s="28" t="n">
        <x:f>G1302*J1302/1000000</x:f>
        <x:v>0.49296</x:v>
      </x:c>
      <x:c r="N1302" s="28" t="n">
        <x:f>H1302*K1302/1000000</x:f>
        <x:v>0.7389</x:v>
      </x:c>
      <x:c r="O1302" s="28" t="n">
        <x:f>SUM(M1302:N1302)</x:f>
        <x:v>1.23186</x:v>
      </x:c>
    </x:row>
    <x:row r="1303" ht="23" customHeight="1">
      <x:c r="A1303" s="17" t="str">
        <x:v>U01297</x:v>
      </x:c>
      <x:c r="B1303" s="18" t="n">
        <x:v>46281</x:v>
      </x:c>
      <x:c r="C1303" s="17" t="str">
        <x:v>W0069</x:v>
      </x:c>
      <x:c r="D1303" s="17" t="str">
        <x:v>C002</x:v>
      </x:c>
      <x:c r="E1303" s="17" t="str">
        <x:v>CopyStudio</x:v>
      </x:c>
      <x:c r="F1303" s="17" t="str">
        <x:v>Pro</x:v>
      </x:c>
      <x:c r="G1303" s="17" t="n">
        <x:v>18953</x:v>
      </x:c>
      <x:c r="H1303" s="17" t="n">
        <x:v>8278</x:v>
      </x:c>
      <x:c r="I1303" s="17" t="str">
        <x:v>Followup</x:v>
      </x:c>
      <x:c r="J1303" s="27" t="n">
        <x:f>INDEX('Model Pricing'!$B$7:$B$8,MATCH(F1303,'Model Pricing'!$A$7:$A$8,0))</x:f>
        <x:v>40</x:v>
      </x:c>
      <x:c r="K1303" s="27" t="n">
        <x:f>INDEX('Model Pricing'!$C$7:$C$8,MATCH(F1303,'Model Pricing'!$A$7:$A$8,0))</x:f>
        <x:v>100</x:v>
      </x:c>
      <x:c r="L1303" s="17" t="n">
        <x:f>G1303+H1303</x:f>
        <x:v>27231</x:v>
      </x:c>
      <x:c r="M1303" s="28" t="n">
        <x:f>G1303*J1303/1000000</x:f>
        <x:v>0.75812</x:v>
      </x:c>
      <x:c r="N1303" s="28" t="n">
        <x:f>H1303*K1303/1000000</x:f>
        <x:v>0.8278</x:v>
      </x:c>
      <x:c r="O1303" s="28" t="n">
        <x:f>SUM(M1303:N1303)</x:f>
        <x:v>1.58592</x:v>
      </x:c>
    </x:row>
    <x:row r="1304" ht="23" customHeight="1">
      <x:c r="A1304" s="17" t="str">
        <x:v>U01298</x:v>
      </x:c>
      <x:c r="B1304" s="18" t="n">
        <x:v>46281</x:v>
      </x:c>
      <x:c r="C1304" s="17" t="str">
        <x:v>W0069</x:v>
      </x:c>
      <x:c r="D1304" s="17" t="str">
        <x:v>C002</x:v>
      </x:c>
      <x:c r="E1304" s="17" t="str">
        <x:v>CopyStudio</x:v>
      </x:c>
      <x:c r="F1304" s="17" t="str">
        <x:v>Pro</x:v>
      </x:c>
      <x:c r="G1304" s="17" t="n">
        <x:v>19816</x:v>
      </x:c>
      <x:c r="H1304" s="17" t="n">
        <x:v>5303</x:v>
      </x:c>
      <x:c r="I1304" s="17" t="str">
        <x:v>Followup</x:v>
      </x:c>
      <x:c r="J1304" s="27" t="n">
        <x:f>INDEX('Model Pricing'!$B$7:$B$8,MATCH(F1304,'Model Pricing'!$A$7:$A$8,0))</x:f>
        <x:v>40</x:v>
      </x:c>
      <x:c r="K1304" s="27" t="n">
        <x:f>INDEX('Model Pricing'!$C$7:$C$8,MATCH(F1304,'Model Pricing'!$A$7:$A$8,0))</x:f>
        <x:v>100</x:v>
      </x:c>
      <x:c r="L1304" s="17" t="n">
        <x:f>G1304+H1304</x:f>
        <x:v>25119</x:v>
      </x:c>
      <x:c r="M1304" s="28" t="n">
        <x:f>G1304*J1304/1000000</x:f>
        <x:v>0.79264</x:v>
      </x:c>
      <x:c r="N1304" s="28" t="n">
        <x:f>H1304*K1304/1000000</x:f>
        <x:v>0.5303</x:v>
      </x:c>
      <x:c r="O1304" s="28" t="n">
        <x:f>SUM(M1304:N1304)</x:f>
        <x:v>1.32294</x:v>
      </x:c>
    </x:row>
    <x:row r="1305" ht="23" customHeight="1">
      <x:c r="A1305" s="17" t="str">
        <x:v>U01299</x:v>
      </x:c>
      <x:c r="B1305" s="18" t="n">
        <x:v>46281</x:v>
      </x:c>
      <x:c r="C1305" s="17" t="str">
        <x:v>W0069</x:v>
      </x:c>
      <x:c r="D1305" s="17" t="str">
        <x:v>C002</x:v>
      </x:c>
      <x:c r="E1305" s="17" t="str">
        <x:v>CopyStudio</x:v>
      </x:c>
      <x:c r="F1305" s="17" t="str">
        <x:v>Pro</x:v>
      </x:c>
      <x:c r="G1305" s="17" t="n">
        <x:v>11292</x:v>
      </x:c>
      <x:c r="H1305" s="17" t="n">
        <x:v>11314</x:v>
      </x:c>
      <x:c r="I1305" s="17" t="str">
        <x:v>Correction</x:v>
      </x:c>
      <x:c r="J1305" s="27" t="n">
        <x:f>INDEX('Model Pricing'!$B$7:$B$8,MATCH(F1305,'Model Pricing'!$A$7:$A$8,0))</x:f>
        <x:v>40</x:v>
      </x:c>
      <x:c r="K1305" s="27" t="n">
        <x:f>INDEX('Model Pricing'!$C$7:$C$8,MATCH(F1305,'Model Pricing'!$A$7:$A$8,0))</x:f>
        <x:v>100</x:v>
      </x:c>
      <x:c r="L1305" s="17" t="n">
        <x:f>G1305+H1305</x:f>
        <x:v>22606</x:v>
      </x:c>
      <x:c r="M1305" s="28" t="n">
        <x:f>G1305*J1305/1000000</x:f>
        <x:v>0.45168</x:v>
      </x:c>
      <x:c r="N1305" s="28" t="n">
        <x:f>H1305*K1305/1000000</x:f>
        <x:v>1.1314</x:v>
      </x:c>
      <x:c r="O1305" s="28" t="n">
        <x:f>SUM(M1305:N1305)</x:f>
        <x:v>1.58308</x:v>
      </x:c>
    </x:row>
    <x:row r="1306" ht="23" customHeight="1">
      <x:c r="A1306" s="17" t="str">
        <x:v>U01300</x:v>
      </x:c>
      <x:c r="B1306" s="18" t="n">
        <x:v>46282</x:v>
      </x:c>
      <x:c r="C1306" s="17" t="str">
        <x:v>W0069</x:v>
      </x:c>
      <x:c r="D1306" s="17" t="str">
        <x:v>C002</x:v>
      </x:c>
      <x:c r="E1306" s="17" t="str">
        <x:v>CopyStudio</x:v>
      </x:c>
      <x:c r="F1306" s="17" t="str">
        <x:v>Pro</x:v>
      </x:c>
      <x:c r="G1306" s="17" t="n">
        <x:v>8395</x:v>
      </x:c>
      <x:c r="H1306" s="17" t="n">
        <x:v>6046</x:v>
      </x:c>
      <x:c r="I1306" s="17" t="str">
        <x:v>Followup</x:v>
      </x:c>
      <x:c r="J1306" s="27" t="n">
        <x:f>INDEX('Model Pricing'!$B$7:$B$8,MATCH(F1306,'Model Pricing'!$A$7:$A$8,0))</x:f>
        <x:v>40</x:v>
      </x:c>
      <x:c r="K1306" s="27" t="n">
        <x:f>INDEX('Model Pricing'!$C$7:$C$8,MATCH(F1306,'Model Pricing'!$A$7:$A$8,0))</x:f>
        <x:v>100</x:v>
      </x:c>
      <x:c r="L1306" s="17" t="n">
        <x:f>G1306+H1306</x:f>
        <x:v>14441</x:v>
      </x:c>
      <x:c r="M1306" s="28" t="n">
        <x:f>G1306*J1306/1000000</x:f>
        <x:v>0.3358</x:v>
      </x:c>
      <x:c r="N1306" s="28" t="n">
        <x:f>H1306*K1306/1000000</x:f>
        <x:v>0.6046</x:v>
      </x:c>
      <x:c r="O1306" s="28" t="n">
        <x:f>SUM(M1306:N1306)</x:f>
        <x:v>0.9404</x:v>
      </x:c>
    </x:row>
    <x:row r="1307" ht="23" customHeight="1">
      <x:c r="A1307" s="17" t="str">
        <x:v>U01301</x:v>
      </x:c>
      <x:c r="B1307" s="18" t="n">
        <x:v>46282</x:v>
      </x:c>
      <x:c r="C1307" s="17" t="str">
        <x:v>W0069</x:v>
      </x:c>
      <x:c r="D1307" s="17" t="str">
        <x:v>C002</x:v>
      </x:c>
      <x:c r="E1307" s="17" t="str">
        <x:v>CopyStudio</x:v>
      </x:c>
      <x:c r="F1307" s="17" t="str">
        <x:v>Pro</x:v>
      </x:c>
      <x:c r="G1307" s="17" t="n">
        <x:v>13608</x:v>
      </x:c>
      <x:c r="H1307" s="17" t="n">
        <x:v>4724</x:v>
      </x:c>
      <x:c r="I1307" s="17" t="str">
        <x:v>Followup</x:v>
      </x:c>
      <x:c r="J1307" s="27" t="n">
        <x:f>INDEX('Model Pricing'!$B$7:$B$8,MATCH(F1307,'Model Pricing'!$A$7:$A$8,0))</x:f>
        <x:v>40</x:v>
      </x:c>
      <x:c r="K1307" s="27" t="n">
        <x:f>INDEX('Model Pricing'!$C$7:$C$8,MATCH(F1307,'Model Pricing'!$A$7:$A$8,0))</x:f>
        <x:v>100</x:v>
      </x:c>
      <x:c r="L1307" s="17" t="n">
        <x:f>G1307+H1307</x:f>
        <x:v>18332</x:v>
      </x:c>
      <x:c r="M1307" s="28" t="n">
        <x:f>G1307*J1307/1000000</x:f>
        <x:v>0.54432</x:v>
      </x:c>
      <x:c r="N1307" s="28" t="n">
        <x:f>H1307*K1307/1000000</x:f>
        <x:v>0.4724</x:v>
      </x:c>
      <x:c r="O1307" s="28" t="n">
        <x:f>SUM(M1307:N1307)</x:f>
        <x:v>1.01672</x:v>
      </x:c>
    </x:row>
    <x:row r="1308" ht="23" customHeight="1">
      <x:c r="A1308" s="17" t="str">
        <x:v>U01302</x:v>
      </x:c>
      <x:c r="B1308" s="18" t="n">
        <x:v>46282</x:v>
      </x:c>
      <x:c r="C1308" s="17" t="str">
        <x:v>W0069</x:v>
      </x:c>
      <x:c r="D1308" s="17" t="str">
        <x:v>C002</x:v>
      </x:c>
      <x:c r="E1308" s="17" t="str">
        <x:v>CopyStudio</x:v>
      </x:c>
      <x:c r="F1308" s="17" t="str">
        <x:v>Pro</x:v>
      </x:c>
      <x:c r="G1308" s="17" t="n">
        <x:v>15383</x:v>
      </x:c>
      <x:c r="H1308" s="17" t="n">
        <x:v>8239</x:v>
      </x:c>
      <x:c r="I1308" s="17" t="str">
        <x:v>Followup</x:v>
      </x:c>
      <x:c r="J1308" s="27" t="n">
        <x:f>INDEX('Model Pricing'!$B$7:$B$8,MATCH(F1308,'Model Pricing'!$A$7:$A$8,0))</x:f>
        <x:v>40</x:v>
      </x:c>
      <x:c r="K1308" s="27" t="n">
        <x:f>INDEX('Model Pricing'!$C$7:$C$8,MATCH(F1308,'Model Pricing'!$A$7:$A$8,0))</x:f>
        <x:v>100</x:v>
      </x:c>
      <x:c r="L1308" s="17" t="n">
        <x:f>G1308+H1308</x:f>
        <x:v>23622</x:v>
      </x:c>
      <x:c r="M1308" s="28" t="n">
        <x:f>G1308*J1308/1000000</x:f>
        <x:v>0.61532</x:v>
      </x:c>
      <x:c r="N1308" s="28" t="n">
        <x:f>H1308*K1308/1000000</x:f>
        <x:v>0.8239</x:v>
      </x:c>
      <x:c r="O1308" s="28" t="n">
        <x:f>SUM(M1308:N1308)</x:f>
        <x:v>1.43922</x:v>
      </x:c>
    </x:row>
    <x:row r="1309" ht="23" customHeight="1">
      <x:c r="A1309" s="17" t="str">
        <x:v>U01303</x:v>
      </x:c>
      <x:c r="B1309" s="18" t="n">
        <x:v>46288</x:v>
      </x:c>
      <x:c r="C1309" s="17" t="str">
        <x:v>W0070</x:v>
      </x:c>
      <x:c r="D1309" s="17" t="str">
        <x:v>C002</x:v>
      </x:c>
      <x:c r="E1309" s="17" t="str">
        <x:v>CampaignChat</x:v>
      </x:c>
      <x:c r="F1309" s="17" t="str">
        <x:v>Pro</x:v>
      </x:c>
      <x:c r="G1309" s="17" t="n">
        <x:v>13163</x:v>
      </x:c>
      <x:c r="H1309" s="17" t="n">
        <x:v>4104</x:v>
      </x:c>
      <x:c r="I1309" s="17" t="str">
        <x:v>First attempt</x:v>
      </x:c>
      <x:c r="J1309" s="27" t="n">
        <x:f>INDEX('Model Pricing'!$B$7:$B$8,MATCH(F1309,'Model Pricing'!$A$7:$A$8,0))</x:f>
        <x:v>40</x:v>
      </x:c>
      <x:c r="K1309" s="27" t="n">
        <x:f>INDEX('Model Pricing'!$C$7:$C$8,MATCH(F1309,'Model Pricing'!$A$7:$A$8,0))</x:f>
        <x:v>100</x:v>
      </x:c>
      <x:c r="L1309" s="17" t="n">
        <x:f>G1309+H1309</x:f>
        <x:v>17267</x:v>
      </x:c>
      <x:c r="M1309" s="28" t="n">
        <x:f>G1309*J1309/1000000</x:f>
        <x:v>0.52652</x:v>
      </x:c>
      <x:c r="N1309" s="28" t="n">
        <x:f>H1309*K1309/1000000</x:f>
        <x:v>0.4104</x:v>
      </x:c>
      <x:c r="O1309" s="28" t="n">
        <x:f>SUM(M1309:N1309)</x:f>
        <x:v>0.93692</x:v>
      </x:c>
    </x:row>
    <x:row r="1310" ht="23" customHeight="1">
      <x:c r="A1310" s="17" t="str">
        <x:v>U01304</x:v>
      </x:c>
      <x:c r="B1310" s="18" t="n">
        <x:v>46288</x:v>
      </x:c>
      <x:c r="C1310" s="17" t="str">
        <x:v>W0070</x:v>
      </x:c>
      <x:c r="D1310" s="17" t="str">
        <x:v>C002</x:v>
      </x:c>
      <x:c r="E1310" s="17" t="str">
        <x:v>CampaignChat</x:v>
      </x:c>
      <x:c r="F1310" s="17" t="str">
        <x:v>Pro</x:v>
      </x:c>
      <x:c r="G1310" s="17" t="n">
        <x:v>11168</x:v>
      </x:c>
      <x:c r="H1310" s="17" t="n">
        <x:v>14690</x:v>
      </x:c>
      <x:c r="I1310" s="17" t="str">
        <x:v>Followup</x:v>
      </x:c>
      <x:c r="J1310" s="27" t="n">
        <x:f>INDEX('Model Pricing'!$B$7:$B$8,MATCH(F1310,'Model Pricing'!$A$7:$A$8,0))</x:f>
        <x:v>40</x:v>
      </x:c>
      <x:c r="K1310" s="27" t="n">
        <x:f>INDEX('Model Pricing'!$C$7:$C$8,MATCH(F1310,'Model Pricing'!$A$7:$A$8,0))</x:f>
        <x:v>100</x:v>
      </x:c>
      <x:c r="L1310" s="17" t="n">
        <x:f>G1310+H1310</x:f>
        <x:v>25858</x:v>
      </x:c>
      <x:c r="M1310" s="28" t="n">
        <x:f>G1310*J1310/1000000</x:f>
        <x:v>0.44672</x:v>
      </x:c>
      <x:c r="N1310" s="28" t="n">
        <x:f>H1310*K1310/1000000</x:f>
        <x:v>1.469</x:v>
      </x:c>
      <x:c r="O1310" s="28" t="n">
        <x:f>SUM(M1310:N1310)</x:f>
        <x:v>1.91572</x:v>
      </x:c>
    </x:row>
    <x:row r="1311" ht="23" customHeight="1">
      <x:c r="A1311" s="17" t="str">
        <x:v>U01305</x:v>
      </x:c>
      <x:c r="B1311" s="18" t="n">
        <x:v>46288</x:v>
      </x:c>
      <x:c r="C1311" s="17" t="str">
        <x:v>W0070</x:v>
      </x:c>
      <x:c r="D1311" s="17" t="str">
        <x:v>C002</x:v>
      </x:c>
      <x:c r="E1311" s="17" t="str">
        <x:v>CampaignChat</x:v>
      </x:c>
      <x:c r="F1311" s="17" t="str">
        <x:v>Pro</x:v>
      </x:c>
      <x:c r="G1311" s="17" t="n">
        <x:v>16262</x:v>
      </x:c>
      <x:c r="H1311" s="17" t="n">
        <x:v>3985</x:v>
      </x:c>
      <x:c r="I1311" s="17" t="str">
        <x:v>Followup</x:v>
      </x:c>
      <x:c r="J1311" s="27" t="n">
        <x:f>INDEX('Model Pricing'!$B$7:$B$8,MATCH(F1311,'Model Pricing'!$A$7:$A$8,0))</x:f>
        <x:v>40</x:v>
      </x:c>
      <x:c r="K1311" s="27" t="n">
        <x:f>INDEX('Model Pricing'!$C$7:$C$8,MATCH(F1311,'Model Pricing'!$A$7:$A$8,0))</x:f>
        <x:v>100</x:v>
      </x:c>
      <x:c r="L1311" s="17" t="n">
        <x:f>G1311+H1311</x:f>
        <x:v>20247</x:v>
      </x:c>
      <x:c r="M1311" s="28" t="n">
        <x:f>G1311*J1311/1000000</x:f>
        <x:v>0.65048</x:v>
      </x:c>
      <x:c r="N1311" s="28" t="n">
        <x:f>H1311*K1311/1000000</x:f>
        <x:v>0.3985</x:v>
      </x:c>
      <x:c r="O1311" s="28" t="n">
        <x:f>SUM(M1311:N1311)</x:f>
        <x:v>1.04898</x:v>
      </x:c>
    </x:row>
    <x:row r="1312" ht="23" customHeight="1">
      <x:c r="A1312" s="17" t="str">
        <x:v>U01306</x:v>
      </x:c>
      <x:c r="B1312" s="18" t="n">
        <x:v>46289</x:v>
      </x:c>
      <x:c r="C1312" s="17" t="str">
        <x:v>W0070</x:v>
      </x:c>
      <x:c r="D1312" s="17" t="str">
        <x:v>C002</x:v>
      </x:c>
      <x:c r="E1312" s="17" t="str">
        <x:v>CampaignChat</x:v>
      </x:c>
      <x:c r="F1312" s="17" t="str">
        <x:v>Pro</x:v>
      </x:c>
      <x:c r="G1312" s="17" t="n">
        <x:v>7679</x:v>
      </x:c>
      <x:c r="H1312" s="17" t="n">
        <x:v>6409</x:v>
      </x:c>
      <x:c r="I1312" s="17" t="str">
        <x:v>Followup</x:v>
      </x:c>
      <x:c r="J1312" s="27" t="n">
        <x:f>INDEX('Model Pricing'!$B$7:$B$8,MATCH(F1312,'Model Pricing'!$A$7:$A$8,0))</x:f>
        <x:v>40</x:v>
      </x:c>
      <x:c r="K1312" s="27" t="n">
        <x:f>INDEX('Model Pricing'!$C$7:$C$8,MATCH(F1312,'Model Pricing'!$A$7:$A$8,0))</x:f>
        <x:v>100</x:v>
      </x:c>
      <x:c r="L1312" s="17" t="n">
        <x:f>G1312+H1312</x:f>
        <x:v>14088</x:v>
      </x:c>
      <x:c r="M1312" s="28" t="n">
        <x:f>G1312*J1312/1000000</x:f>
        <x:v>0.30716</x:v>
      </x:c>
      <x:c r="N1312" s="28" t="n">
        <x:f>H1312*K1312/1000000</x:f>
        <x:v>0.6409</x:v>
      </x:c>
      <x:c r="O1312" s="28" t="n">
        <x:f>SUM(M1312:N1312)</x:f>
        <x:v>0.94806</x:v>
      </x:c>
    </x:row>
    <x:row r="1313" ht="23" customHeight="1">
      <x:c r="A1313" s="17" t="str">
        <x:v>U01307</x:v>
      </x:c>
      <x:c r="B1313" s="18" t="n">
        <x:v>46289</x:v>
      </x:c>
      <x:c r="C1313" s="17" t="str">
        <x:v>W0070</x:v>
      </x:c>
      <x:c r="D1313" s="17" t="str">
        <x:v>C002</x:v>
      </x:c>
      <x:c r="E1313" s="17" t="str">
        <x:v>CampaignChat</x:v>
      </x:c>
      <x:c r="F1313" s="17" t="str">
        <x:v>Pro</x:v>
      </x:c>
      <x:c r="G1313" s="17" t="n">
        <x:v>9477</x:v>
      </x:c>
      <x:c r="H1313" s="17" t="n">
        <x:v>6419</x:v>
      </x:c>
      <x:c r="I1313" s="17" t="str">
        <x:v>Correction</x:v>
      </x:c>
      <x:c r="J1313" s="27" t="n">
        <x:f>INDEX('Model Pricing'!$B$7:$B$8,MATCH(F1313,'Model Pricing'!$A$7:$A$8,0))</x:f>
        <x:v>40</x:v>
      </x:c>
      <x:c r="K1313" s="27" t="n">
        <x:f>INDEX('Model Pricing'!$C$7:$C$8,MATCH(F1313,'Model Pricing'!$A$7:$A$8,0))</x:f>
        <x:v>100</x:v>
      </x:c>
      <x:c r="L1313" s="17" t="n">
        <x:f>G1313+H1313</x:f>
        <x:v>15896</x:v>
      </x:c>
      <x:c r="M1313" s="28" t="n">
        <x:f>G1313*J1313/1000000</x:f>
        <x:v>0.37908</x:v>
      </x:c>
      <x:c r="N1313" s="28" t="n">
        <x:f>H1313*K1313/1000000</x:f>
        <x:v>0.6419</x:v>
      </x:c>
      <x:c r="O1313" s="28" t="n">
        <x:f>SUM(M1313:N1313)</x:f>
        <x:v>1.02098</x:v>
      </x:c>
    </x:row>
    <x:row r="1314" ht="23" customHeight="1">
      <x:c r="A1314" s="17" t="str">
        <x:v>U01308</x:v>
      </x:c>
      <x:c r="B1314" s="18" t="n">
        <x:v>46289</x:v>
      </x:c>
      <x:c r="C1314" s="17" t="str">
        <x:v>W0070</x:v>
      </x:c>
      <x:c r="D1314" s="17" t="str">
        <x:v>C002</x:v>
      </x:c>
      <x:c r="E1314" s="17" t="str">
        <x:v>CampaignChat</x:v>
      </x:c>
      <x:c r="F1314" s="17" t="str">
        <x:v>Pro</x:v>
      </x:c>
      <x:c r="G1314" s="17" t="n">
        <x:v>9616</x:v>
      </x:c>
      <x:c r="H1314" s="17" t="n">
        <x:v>9664</x:v>
      </x:c>
      <x:c r="I1314" s="17" t="str">
        <x:v>Followup</x:v>
      </x:c>
      <x:c r="J1314" s="27" t="n">
        <x:f>INDEX('Model Pricing'!$B$7:$B$8,MATCH(F1314,'Model Pricing'!$A$7:$A$8,0))</x:f>
        <x:v>40</x:v>
      </x:c>
      <x:c r="K1314" s="27" t="n">
        <x:f>INDEX('Model Pricing'!$C$7:$C$8,MATCH(F1314,'Model Pricing'!$A$7:$A$8,0))</x:f>
        <x:v>100</x:v>
      </x:c>
      <x:c r="L1314" s="17" t="n">
        <x:f>G1314+H1314</x:f>
        <x:v>19280</x:v>
      </x:c>
      <x:c r="M1314" s="28" t="n">
        <x:f>G1314*J1314/1000000</x:f>
        <x:v>0.38464</x:v>
      </x:c>
      <x:c r="N1314" s="28" t="n">
        <x:f>H1314*K1314/1000000</x:f>
        <x:v>0.9664</x:v>
      </x:c>
      <x:c r="O1314" s="28" t="n">
        <x:f>SUM(M1314:N1314)</x:f>
        <x:v>1.35104</x:v>
      </x:c>
    </x:row>
    <x:row r="1315" ht="23" customHeight="1">
      <x:c r="A1315" s="17" t="str">
        <x:v>U01309</x:v>
      </x:c>
      <x:c r="B1315" s="18" t="n">
        <x:v>46290</x:v>
      </x:c>
      <x:c r="C1315" s="17" t="str">
        <x:v>W0070</x:v>
      </x:c>
      <x:c r="D1315" s="17" t="str">
        <x:v>C002</x:v>
      </x:c>
      <x:c r="E1315" s="17" t="str">
        <x:v>CampaignChat</x:v>
      </x:c>
      <x:c r="F1315" s="17" t="str">
        <x:v>Pro</x:v>
      </x:c>
      <x:c r="G1315" s="17" t="n">
        <x:v>11375</x:v>
      </x:c>
      <x:c r="H1315" s="17" t="n">
        <x:v>10720</x:v>
      </x:c>
      <x:c r="I1315" s="17" t="str">
        <x:v>Correction</x:v>
      </x:c>
      <x:c r="J1315" s="27" t="n">
        <x:f>INDEX('Model Pricing'!$B$7:$B$8,MATCH(F1315,'Model Pricing'!$A$7:$A$8,0))</x:f>
        <x:v>40</x:v>
      </x:c>
      <x:c r="K1315" s="27" t="n">
        <x:f>INDEX('Model Pricing'!$C$7:$C$8,MATCH(F1315,'Model Pricing'!$A$7:$A$8,0))</x:f>
        <x:v>100</x:v>
      </x:c>
      <x:c r="L1315" s="17" t="n">
        <x:f>G1315+H1315</x:f>
        <x:v>22095</x:v>
      </x:c>
      <x:c r="M1315" s="28" t="n">
        <x:f>G1315*J1315/1000000</x:f>
        <x:v>0.455</x:v>
      </x:c>
      <x:c r="N1315" s="28" t="n">
        <x:f>H1315*K1315/1000000</x:f>
        <x:v>1.072</x:v>
      </x:c>
      <x:c r="O1315" s="28" t="n">
        <x:f>SUM(M1315:N1315)</x:f>
        <x:v>1.5270000000000001</x:v>
      </x:c>
    </x:row>
    <x:row r="1316" ht="23" customHeight="1">
      <x:c r="A1316" s="17" t="str">
        <x:v>U01310</x:v>
      </x:c>
      <x:c r="B1316" s="18" t="n">
        <x:v>46290</x:v>
      </x:c>
      <x:c r="C1316" s="17" t="str">
        <x:v>W0070</x:v>
      </x:c>
      <x:c r="D1316" s="17" t="str">
        <x:v>C002</x:v>
      </x:c>
      <x:c r="E1316" s="17" t="str">
        <x:v>CampaignChat</x:v>
      </x:c>
      <x:c r="F1316" s="17" t="str">
        <x:v>Pro</x:v>
      </x:c>
      <x:c r="G1316" s="17" t="n">
        <x:v>14603</x:v>
      </x:c>
      <x:c r="H1316" s="17" t="n">
        <x:v>5314</x:v>
      </x:c>
      <x:c r="I1316" s="17" t="str">
        <x:v>Followup</x:v>
      </x:c>
      <x:c r="J1316" s="27" t="n">
        <x:f>INDEX('Model Pricing'!$B$7:$B$8,MATCH(F1316,'Model Pricing'!$A$7:$A$8,0))</x:f>
        <x:v>40</x:v>
      </x:c>
      <x:c r="K1316" s="27" t="n">
        <x:f>INDEX('Model Pricing'!$C$7:$C$8,MATCH(F1316,'Model Pricing'!$A$7:$A$8,0))</x:f>
        <x:v>100</x:v>
      </x:c>
      <x:c r="L1316" s="17" t="n">
        <x:f>G1316+H1316</x:f>
        <x:v>19917</x:v>
      </x:c>
      <x:c r="M1316" s="28" t="n">
        <x:f>G1316*J1316/1000000</x:f>
        <x:v>0.58412</x:v>
      </x:c>
      <x:c r="N1316" s="28" t="n">
        <x:f>H1316*K1316/1000000</x:f>
        <x:v>0.5314</x:v>
      </x:c>
      <x:c r="O1316" s="28" t="n">
        <x:f>SUM(M1316:N1316)</x:f>
        <x:v>1.11552</x:v>
      </x:c>
    </x:row>
    <x:row r="1317" ht="23" customHeight="1">
      <x:c r="A1317" s="17" t="str">
        <x:v>U01311</x:v>
      </x:c>
      <x:c r="B1317" s="18" t="n">
        <x:v>46290</x:v>
      </x:c>
      <x:c r="C1317" s="17" t="str">
        <x:v>W0070</x:v>
      </x:c>
      <x:c r="D1317" s="17" t="str">
        <x:v>C002</x:v>
      </x:c>
      <x:c r="E1317" s="17" t="str">
        <x:v>CampaignChat</x:v>
      </x:c>
      <x:c r="F1317" s="17" t="str">
        <x:v>Pro</x:v>
      </x:c>
      <x:c r="G1317" s="17" t="n">
        <x:v>14048</x:v>
      </x:c>
      <x:c r="H1317" s="17" t="n">
        <x:v>4267</x:v>
      </x:c>
      <x:c r="I1317" s="17" t="str">
        <x:v>Followup</x:v>
      </x:c>
      <x:c r="J1317" s="27" t="n">
        <x:f>INDEX('Model Pricing'!$B$7:$B$8,MATCH(F1317,'Model Pricing'!$A$7:$A$8,0))</x:f>
        <x:v>40</x:v>
      </x:c>
      <x:c r="K1317" s="27" t="n">
        <x:f>INDEX('Model Pricing'!$C$7:$C$8,MATCH(F1317,'Model Pricing'!$A$7:$A$8,0))</x:f>
        <x:v>100</x:v>
      </x:c>
      <x:c r="L1317" s="17" t="n">
        <x:f>G1317+H1317</x:f>
        <x:v>18315</x:v>
      </x:c>
      <x:c r="M1317" s="28" t="n">
        <x:f>G1317*J1317/1000000</x:f>
        <x:v>0.56192</x:v>
      </x:c>
      <x:c r="N1317" s="28" t="n">
        <x:f>H1317*K1317/1000000</x:f>
        <x:v>0.4267</x:v>
      </x:c>
      <x:c r="O1317" s="28" t="n">
        <x:f>SUM(M1317:N1317)</x:f>
        <x:v>0.98862</x:v>
      </x:c>
    </x:row>
    <x:row r="1318" ht="23" customHeight="1">
      <x:c r="A1318" s="17" t="str">
        <x:v>U01312</x:v>
      </x:c>
      <x:c r="B1318" s="18" t="n">
        <x:v>46293</x:v>
      </x:c>
      <x:c r="C1318" s="17" t="str">
        <x:v>W0070</x:v>
      </x:c>
      <x:c r="D1318" s="17" t="str">
        <x:v>C002</x:v>
      </x:c>
      <x:c r="E1318" s="17" t="str">
        <x:v>CampaignChat</x:v>
      </x:c>
      <x:c r="F1318" s="17" t="str">
        <x:v>Pro</x:v>
      </x:c>
      <x:c r="G1318" s="17" t="n">
        <x:v>10967</x:v>
      </x:c>
      <x:c r="H1318" s="17" t="n">
        <x:v>11166</x:v>
      </x:c>
      <x:c r="I1318" s="17" t="str">
        <x:v>Correction</x:v>
      </x:c>
      <x:c r="J1318" s="27" t="n">
        <x:f>INDEX('Model Pricing'!$B$7:$B$8,MATCH(F1318,'Model Pricing'!$A$7:$A$8,0))</x:f>
        <x:v>40</x:v>
      </x:c>
      <x:c r="K1318" s="27" t="n">
        <x:f>INDEX('Model Pricing'!$C$7:$C$8,MATCH(F1318,'Model Pricing'!$A$7:$A$8,0))</x:f>
        <x:v>100</x:v>
      </x:c>
      <x:c r="L1318" s="17" t="n">
        <x:f>G1318+H1318</x:f>
        <x:v>22133</x:v>
      </x:c>
      <x:c r="M1318" s="28" t="n">
        <x:f>G1318*J1318/1000000</x:f>
        <x:v>0.43868</x:v>
      </x:c>
      <x:c r="N1318" s="28" t="n">
        <x:f>H1318*K1318/1000000</x:f>
        <x:v>1.1166</x:v>
      </x:c>
      <x:c r="O1318" s="28" t="n">
        <x:f>SUM(M1318:N1318)</x:f>
        <x:v>1.55528</x:v>
      </x:c>
    </x:row>
    <x:row r="1319" ht="23" customHeight="1">
      <x:c r="A1319" s="17" t="str">
        <x:v>U01313</x:v>
      </x:c>
      <x:c r="B1319" s="18" t="n">
        <x:v>46293</x:v>
      </x:c>
      <x:c r="C1319" s="17" t="str">
        <x:v>W0070</x:v>
      </x:c>
      <x:c r="D1319" s="17" t="str">
        <x:v>C002</x:v>
      </x:c>
      <x:c r="E1319" s="17" t="str">
        <x:v>CampaignChat</x:v>
      </x:c>
      <x:c r="F1319" s="17" t="str">
        <x:v>Pro</x:v>
      </x:c>
      <x:c r="G1319" s="17" t="n">
        <x:v>14775</x:v>
      </x:c>
      <x:c r="H1319" s="17" t="n">
        <x:v>4146</x:v>
      </x:c>
      <x:c r="I1319" s="17" t="str">
        <x:v>Correction</x:v>
      </x:c>
      <x:c r="J1319" s="27" t="n">
        <x:f>INDEX('Model Pricing'!$B$7:$B$8,MATCH(F1319,'Model Pricing'!$A$7:$A$8,0))</x:f>
        <x:v>40</x:v>
      </x:c>
      <x:c r="K1319" s="27" t="n">
        <x:f>INDEX('Model Pricing'!$C$7:$C$8,MATCH(F1319,'Model Pricing'!$A$7:$A$8,0))</x:f>
        <x:v>100</x:v>
      </x:c>
      <x:c r="L1319" s="17" t="n">
        <x:f>G1319+H1319</x:f>
        <x:v>18921</x:v>
      </x:c>
      <x:c r="M1319" s="28" t="n">
        <x:f>G1319*J1319/1000000</x:f>
        <x:v>0.591</x:v>
      </x:c>
      <x:c r="N1319" s="28" t="n">
        <x:f>H1319*K1319/1000000</x:f>
        <x:v>0.4146</x:v>
      </x:c>
      <x:c r="O1319" s="28" t="n">
        <x:f>SUM(M1319:N1319)</x:f>
        <x:v>1.0056</x:v>
      </x:c>
    </x:row>
    <x:row r="1320" ht="23" customHeight="1">
      <x:c r="A1320" s="17" t="str">
        <x:v>U01314</x:v>
      </x:c>
      <x:c r="B1320" s="18" t="n">
        <x:v>46276</x:v>
      </x:c>
      <x:c r="C1320" s="17" t="str">
        <x:v>W0074</x:v>
      </x:c>
      <x:c r="D1320" s="17" t="str">
        <x:v>C002</x:v>
      </x:c>
      <x:c r="E1320" s="17" t="str">
        <x:v>InsightDesk</x:v>
      </x:c>
      <x:c r="F1320" s="17" t="str">
        <x:v>Pro</x:v>
      </x:c>
      <x:c r="G1320" s="17" t="n">
        <x:v>19190</x:v>
      </x:c>
      <x:c r="H1320" s="17" t="n">
        <x:v>10073</x:v>
      </x:c>
      <x:c r="I1320" s="17" t="str">
        <x:v>First attempt</x:v>
      </x:c>
      <x:c r="J1320" s="27" t="n">
        <x:f>INDEX('Model Pricing'!$B$7:$B$8,MATCH(F1320,'Model Pricing'!$A$7:$A$8,0))</x:f>
        <x:v>40</x:v>
      </x:c>
      <x:c r="K1320" s="27" t="n">
        <x:f>INDEX('Model Pricing'!$C$7:$C$8,MATCH(F1320,'Model Pricing'!$A$7:$A$8,0))</x:f>
        <x:v>100</x:v>
      </x:c>
      <x:c r="L1320" s="17" t="n">
        <x:f>G1320+H1320</x:f>
        <x:v>29263</x:v>
      </x:c>
      <x:c r="M1320" s="28" t="n">
        <x:f>G1320*J1320/1000000</x:f>
        <x:v>0.7676</x:v>
      </x:c>
      <x:c r="N1320" s="28" t="n">
        <x:f>H1320*K1320/1000000</x:f>
        <x:v>1.0073</x:v>
      </x:c>
      <x:c r="O1320" s="28" t="n">
        <x:f>SUM(M1320:N1320)</x:f>
        <x:v>1.7749000000000001</x:v>
      </x:c>
    </x:row>
    <x:row r="1321" ht="23" customHeight="1">
      <x:c r="A1321" s="17" t="str">
        <x:v>U01315</x:v>
      </x:c>
      <x:c r="B1321" s="18" t="n">
        <x:v>46276</x:v>
      </x:c>
      <x:c r="C1321" s="17" t="str">
        <x:v>W0074</x:v>
      </x:c>
      <x:c r="D1321" s="17" t="str">
        <x:v>C002</x:v>
      </x:c>
      <x:c r="E1321" s="17" t="str">
        <x:v>InsightDesk</x:v>
      </x:c>
      <x:c r="F1321" s="17" t="str">
        <x:v>Pro</x:v>
      </x:c>
      <x:c r="G1321" s="17" t="n">
        <x:v>20900</x:v>
      </x:c>
      <x:c r="H1321" s="17" t="n">
        <x:v>5001</x:v>
      </x:c>
      <x:c r="I1321" s="17" t="str">
        <x:v>Correction</x:v>
      </x:c>
      <x:c r="J1321" s="27" t="n">
        <x:f>INDEX('Model Pricing'!$B$7:$B$8,MATCH(F1321,'Model Pricing'!$A$7:$A$8,0))</x:f>
        <x:v>40</x:v>
      </x:c>
      <x:c r="K1321" s="27" t="n">
        <x:f>INDEX('Model Pricing'!$C$7:$C$8,MATCH(F1321,'Model Pricing'!$A$7:$A$8,0))</x:f>
        <x:v>100</x:v>
      </x:c>
      <x:c r="L1321" s="17" t="n">
        <x:f>G1321+H1321</x:f>
        <x:v>25901</x:v>
      </x:c>
      <x:c r="M1321" s="28" t="n">
        <x:f>G1321*J1321/1000000</x:f>
        <x:v>0.836</x:v>
      </x:c>
      <x:c r="N1321" s="28" t="n">
        <x:f>H1321*K1321/1000000</x:f>
        <x:v>0.5001</x:v>
      </x:c>
      <x:c r="O1321" s="28" t="n">
        <x:f>SUM(M1321:N1321)</x:f>
        <x:v>1.3361</x:v>
      </x:c>
    </x:row>
    <x:row r="1322" ht="23" customHeight="1">
      <x:c r="A1322" s="17" t="str">
        <x:v>U01316</x:v>
      </x:c>
      <x:c r="B1322" s="18" t="n">
        <x:v>46276</x:v>
      </x:c>
      <x:c r="C1322" s="17" t="str">
        <x:v>W0074</x:v>
      </x:c>
      <x:c r="D1322" s="17" t="str">
        <x:v>C002</x:v>
      </x:c>
      <x:c r="E1322" s="17" t="str">
        <x:v>InsightDesk</x:v>
      </x:c>
      <x:c r="F1322" s="17" t="str">
        <x:v>Pro</x:v>
      </x:c>
      <x:c r="G1322" s="17" t="n">
        <x:v>38505</x:v>
      </x:c>
      <x:c r="H1322" s="17" t="n">
        <x:v>11486</x:v>
      </x:c>
      <x:c r="I1322" s="17" t="str">
        <x:v>Correction</x:v>
      </x:c>
      <x:c r="J1322" s="27" t="n">
        <x:f>INDEX('Model Pricing'!$B$7:$B$8,MATCH(F1322,'Model Pricing'!$A$7:$A$8,0))</x:f>
        <x:v>40</x:v>
      </x:c>
      <x:c r="K1322" s="27" t="n">
        <x:f>INDEX('Model Pricing'!$C$7:$C$8,MATCH(F1322,'Model Pricing'!$A$7:$A$8,0))</x:f>
        <x:v>100</x:v>
      </x:c>
      <x:c r="L1322" s="17" t="n">
        <x:f>G1322+H1322</x:f>
        <x:v>49991</x:v>
      </x:c>
      <x:c r="M1322" s="28" t="n">
        <x:f>G1322*J1322/1000000</x:f>
        <x:v>1.5402</x:v>
      </x:c>
      <x:c r="N1322" s="28" t="n">
        <x:f>H1322*K1322/1000000</x:f>
        <x:v>1.1486</x:v>
      </x:c>
      <x:c r="O1322" s="28" t="n">
        <x:f>SUM(M1322:N1322)</x:f>
        <x:v>2.6888</x:v>
      </x:c>
    </x:row>
    <x:row r="1323" ht="23" customHeight="1">
      <x:c r="A1323" s="17" t="str">
        <x:v>U01317</x:v>
      </x:c>
      <x:c r="B1323" s="18" t="n">
        <x:v>46276</x:v>
      </x:c>
      <x:c r="C1323" s="17" t="str">
        <x:v>W0074</x:v>
      </x:c>
      <x:c r="D1323" s="17" t="str">
        <x:v>C002</x:v>
      </x:c>
      <x:c r="E1323" s="17" t="str">
        <x:v>InsightDesk</x:v>
      </x:c>
      <x:c r="F1323" s="17" t="str">
        <x:v>Pro</x:v>
      </x:c>
      <x:c r="G1323" s="17" t="n">
        <x:v>36562</x:v>
      </x:c>
      <x:c r="H1323" s="17" t="n">
        <x:v>5311</x:v>
      </x:c>
      <x:c r="I1323" s="17" t="str">
        <x:v>Followup</x:v>
      </x:c>
      <x:c r="J1323" s="27" t="n">
        <x:f>INDEX('Model Pricing'!$B$7:$B$8,MATCH(F1323,'Model Pricing'!$A$7:$A$8,0))</x:f>
        <x:v>40</x:v>
      </x:c>
      <x:c r="K1323" s="27" t="n">
        <x:f>INDEX('Model Pricing'!$C$7:$C$8,MATCH(F1323,'Model Pricing'!$A$7:$A$8,0))</x:f>
        <x:v>100</x:v>
      </x:c>
      <x:c r="L1323" s="17" t="n">
        <x:f>G1323+H1323</x:f>
        <x:v>41873</x:v>
      </x:c>
      <x:c r="M1323" s="28" t="n">
        <x:f>G1323*J1323/1000000</x:f>
        <x:v>1.46248</x:v>
      </x:c>
      <x:c r="N1323" s="28" t="n">
        <x:f>H1323*K1323/1000000</x:f>
        <x:v>0.5311</x:v>
      </x:c>
      <x:c r="O1323" s="28" t="n">
        <x:f>SUM(M1323:N1323)</x:f>
        <x:v>1.9935800000000001</x:v>
      </x:c>
    </x:row>
    <x:row r="1324" ht="23" customHeight="1">
      <x:c r="A1324" s="17" t="str">
        <x:v>U01318</x:v>
      </x:c>
      <x:c r="B1324" s="18" t="n">
        <x:v>46276</x:v>
      </x:c>
      <x:c r="C1324" s="17" t="str">
        <x:v>W0074</x:v>
      </x:c>
      <x:c r="D1324" s="17" t="str">
        <x:v>C002</x:v>
      </x:c>
      <x:c r="E1324" s="17" t="str">
        <x:v>InsightDesk</x:v>
      </x:c>
      <x:c r="F1324" s="17" t="str">
        <x:v>Pro</x:v>
      </x:c>
      <x:c r="G1324" s="17" t="n">
        <x:v>15809</x:v>
      </x:c>
      <x:c r="H1324" s="17" t="n">
        <x:v>3659</x:v>
      </x:c>
      <x:c r="I1324" s="17" t="str">
        <x:v>Followup</x:v>
      </x:c>
      <x:c r="J1324" s="27" t="n">
        <x:f>INDEX('Model Pricing'!$B$7:$B$8,MATCH(F1324,'Model Pricing'!$A$7:$A$8,0))</x:f>
        <x:v>40</x:v>
      </x:c>
      <x:c r="K1324" s="27" t="n">
        <x:f>INDEX('Model Pricing'!$C$7:$C$8,MATCH(F1324,'Model Pricing'!$A$7:$A$8,0))</x:f>
        <x:v>100</x:v>
      </x:c>
      <x:c r="L1324" s="17" t="n">
        <x:f>G1324+H1324</x:f>
        <x:v>19468</x:v>
      </x:c>
      <x:c r="M1324" s="28" t="n">
        <x:f>G1324*J1324/1000000</x:f>
        <x:v>0.63236</x:v>
      </x:c>
      <x:c r="N1324" s="28" t="n">
        <x:f>H1324*K1324/1000000</x:f>
        <x:v>0.3659</x:v>
      </x:c>
      <x:c r="O1324" s="28" t="n">
        <x:f>SUM(M1324:N1324)</x:f>
        <x:v>0.99826</x:v>
      </x:c>
    </x:row>
    <x:row r="1325" ht="23" customHeight="1">
      <x:c r="A1325" s="17" t="str">
        <x:v>U01319</x:v>
      </x:c>
      <x:c r="B1325" s="18" t="n">
        <x:v>46279</x:v>
      </x:c>
      <x:c r="C1325" s="17" t="str">
        <x:v>W0074</x:v>
      </x:c>
      <x:c r="D1325" s="17" t="str">
        <x:v>C002</x:v>
      </x:c>
      <x:c r="E1325" s="17" t="str">
        <x:v>InsightDesk</x:v>
      </x:c>
      <x:c r="F1325" s="17" t="str">
        <x:v>Pro</x:v>
      </x:c>
      <x:c r="G1325" s="17" t="n">
        <x:v>24559</x:v>
      </x:c>
      <x:c r="H1325" s="17" t="n">
        <x:v>11211</x:v>
      </x:c>
      <x:c r="I1325" s="17" t="str">
        <x:v>Correction</x:v>
      </x:c>
      <x:c r="J1325" s="27" t="n">
        <x:f>INDEX('Model Pricing'!$B$7:$B$8,MATCH(F1325,'Model Pricing'!$A$7:$A$8,0))</x:f>
        <x:v>40</x:v>
      </x:c>
      <x:c r="K1325" s="27" t="n">
        <x:f>INDEX('Model Pricing'!$C$7:$C$8,MATCH(F1325,'Model Pricing'!$A$7:$A$8,0))</x:f>
        <x:v>100</x:v>
      </x:c>
      <x:c r="L1325" s="17" t="n">
        <x:f>G1325+H1325</x:f>
        <x:v>35770</x:v>
      </x:c>
      <x:c r="M1325" s="28" t="n">
        <x:f>G1325*J1325/1000000</x:f>
        <x:v>0.98236</x:v>
      </x:c>
      <x:c r="N1325" s="28" t="n">
        <x:f>H1325*K1325/1000000</x:f>
        <x:v>1.1211</x:v>
      </x:c>
      <x:c r="O1325" s="28" t="n">
        <x:f>SUM(M1325:N1325)</x:f>
        <x:v>2.10346</x:v>
      </x:c>
    </x:row>
    <x:row r="1326" ht="23" customHeight="1">
      <x:c r="A1326" s="17" t="str">
        <x:v>U01320</x:v>
      </x:c>
      <x:c r="B1326" s="18" t="n">
        <x:v>46279</x:v>
      </x:c>
      <x:c r="C1326" s="17" t="str">
        <x:v>W0074</x:v>
      </x:c>
      <x:c r="D1326" s="17" t="str">
        <x:v>C002</x:v>
      </x:c>
      <x:c r="E1326" s="17" t="str">
        <x:v>InsightDesk</x:v>
      </x:c>
      <x:c r="F1326" s="17" t="str">
        <x:v>Pro</x:v>
      </x:c>
      <x:c r="G1326" s="17" t="n">
        <x:v>37406</x:v>
      </x:c>
      <x:c r="H1326" s="17" t="n">
        <x:v>7547</x:v>
      </x:c>
      <x:c r="I1326" s="17" t="str">
        <x:v>Followup</x:v>
      </x:c>
      <x:c r="J1326" s="27" t="n">
        <x:f>INDEX('Model Pricing'!$B$7:$B$8,MATCH(F1326,'Model Pricing'!$A$7:$A$8,0))</x:f>
        <x:v>40</x:v>
      </x:c>
      <x:c r="K1326" s="27" t="n">
        <x:f>INDEX('Model Pricing'!$C$7:$C$8,MATCH(F1326,'Model Pricing'!$A$7:$A$8,0))</x:f>
        <x:v>100</x:v>
      </x:c>
      <x:c r="L1326" s="17" t="n">
        <x:f>G1326+H1326</x:f>
        <x:v>44953</x:v>
      </x:c>
      <x:c r="M1326" s="28" t="n">
        <x:f>G1326*J1326/1000000</x:f>
        <x:v>1.49624</x:v>
      </x:c>
      <x:c r="N1326" s="28" t="n">
        <x:f>H1326*K1326/1000000</x:f>
        <x:v>0.7547</x:v>
      </x:c>
      <x:c r="O1326" s="28" t="n">
        <x:f>SUM(M1326:N1326)</x:f>
        <x:v>2.25094</x:v>
      </x:c>
    </x:row>
    <x:row r="1327" ht="23" customHeight="1">
      <x:c r="A1327" s="17" t="str">
        <x:v>U01321</x:v>
      </x:c>
      <x:c r="B1327" s="18" t="n">
        <x:v>46279</x:v>
      </x:c>
      <x:c r="C1327" s="17" t="str">
        <x:v>W0074</x:v>
      </x:c>
      <x:c r="D1327" s="17" t="str">
        <x:v>C002</x:v>
      </x:c>
      <x:c r="E1327" s="17" t="str">
        <x:v>InsightDesk</x:v>
      </x:c>
      <x:c r="F1327" s="17" t="str">
        <x:v>Pro</x:v>
      </x:c>
      <x:c r="G1327" s="17" t="n">
        <x:v>32110</x:v>
      </x:c>
      <x:c r="H1327" s="17" t="n">
        <x:v>11265</x:v>
      </x:c>
      <x:c r="I1327" s="17" t="str">
        <x:v>Correction</x:v>
      </x:c>
      <x:c r="J1327" s="27" t="n">
        <x:f>INDEX('Model Pricing'!$B$7:$B$8,MATCH(F1327,'Model Pricing'!$A$7:$A$8,0))</x:f>
        <x:v>40</x:v>
      </x:c>
      <x:c r="K1327" s="27" t="n">
        <x:f>INDEX('Model Pricing'!$C$7:$C$8,MATCH(F1327,'Model Pricing'!$A$7:$A$8,0))</x:f>
        <x:v>100</x:v>
      </x:c>
      <x:c r="L1327" s="17" t="n">
        <x:f>G1327+H1327</x:f>
        <x:v>43375</x:v>
      </x:c>
      <x:c r="M1327" s="28" t="n">
        <x:f>G1327*J1327/1000000</x:f>
        <x:v>1.2844</x:v>
      </x:c>
      <x:c r="N1327" s="28" t="n">
        <x:f>H1327*K1327/1000000</x:f>
        <x:v>1.1265</x:v>
      </x:c>
      <x:c r="O1327" s="28" t="n">
        <x:f>SUM(M1327:N1327)</x:f>
        <x:v>2.4109</x:v>
      </x:c>
    </x:row>
    <x:row r="1328" ht="23" customHeight="1">
      <x:c r="A1328" s="17" t="str">
        <x:v>U01322</x:v>
      </x:c>
      <x:c r="B1328" s="18" t="n">
        <x:v>46279</x:v>
      </x:c>
      <x:c r="C1328" s="17" t="str">
        <x:v>W0074</x:v>
      </x:c>
      <x:c r="D1328" s="17" t="str">
        <x:v>C002</x:v>
      </x:c>
      <x:c r="E1328" s="17" t="str">
        <x:v>InsightDesk</x:v>
      </x:c>
      <x:c r="F1328" s="17" t="str">
        <x:v>Pro</x:v>
      </x:c>
      <x:c r="G1328" s="17" t="n">
        <x:v>24791</x:v>
      </x:c>
      <x:c r="H1328" s="17" t="n">
        <x:v>8073</x:v>
      </x:c>
      <x:c r="I1328" s="17" t="str">
        <x:v>Followup</x:v>
      </x:c>
      <x:c r="J1328" s="27" t="n">
        <x:f>INDEX('Model Pricing'!$B$7:$B$8,MATCH(F1328,'Model Pricing'!$A$7:$A$8,0))</x:f>
        <x:v>40</x:v>
      </x:c>
      <x:c r="K1328" s="27" t="n">
        <x:f>INDEX('Model Pricing'!$C$7:$C$8,MATCH(F1328,'Model Pricing'!$A$7:$A$8,0))</x:f>
        <x:v>100</x:v>
      </x:c>
      <x:c r="L1328" s="17" t="n">
        <x:f>G1328+H1328</x:f>
        <x:v>32864</x:v>
      </x:c>
      <x:c r="M1328" s="28" t="n">
        <x:f>G1328*J1328/1000000</x:f>
        <x:v>0.99164</x:v>
      </x:c>
      <x:c r="N1328" s="28" t="n">
        <x:f>H1328*K1328/1000000</x:f>
        <x:v>0.8073</x:v>
      </x:c>
      <x:c r="O1328" s="28" t="n">
        <x:f>SUM(M1328:N1328)</x:f>
        <x:v>1.79894</x:v>
      </x:c>
    </x:row>
    <x:row r="1329" ht="23" customHeight="1">
      <x:c r="A1329" s="17" t="str">
        <x:v>U01323</x:v>
      </x:c>
      <x:c r="B1329" s="18" t="n">
        <x:v>46280</x:v>
      </x:c>
      <x:c r="C1329" s="17" t="str">
        <x:v>W0074</x:v>
      </x:c>
      <x:c r="D1329" s="17" t="str">
        <x:v>C002</x:v>
      </x:c>
      <x:c r="E1329" s="17" t="str">
        <x:v>InsightDesk</x:v>
      </x:c>
      <x:c r="F1329" s="17" t="str">
        <x:v>Pro</x:v>
      </x:c>
      <x:c r="G1329" s="17" t="n">
        <x:v>34013</x:v>
      </x:c>
      <x:c r="H1329" s="17" t="n">
        <x:v>3456</x:v>
      </x:c>
      <x:c r="I1329" s="17" t="str">
        <x:v>Followup</x:v>
      </x:c>
      <x:c r="J1329" s="27" t="n">
        <x:f>INDEX('Model Pricing'!$B$7:$B$8,MATCH(F1329,'Model Pricing'!$A$7:$A$8,0))</x:f>
        <x:v>40</x:v>
      </x:c>
      <x:c r="K1329" s="27" t="n">
        <x:f>INDEX('Model Pricing'!$C$7:$C$8,MATCH(F1329,'Model Pricing'!$A$7:$A$8,0))</x:f>
        <x:v>100</x:v>
      </x:c>
      <x:c r="L1329" s="17" t="n">
        <x:f>G1329+H1329</x:f>
        <x:v>37469</x:v>
      </x:c>
      <x:c r="M1329" s="28" t="n">
        <x:f>G1329*J1329/1000000</x:f>
        <x:v>1.36052</x:v>
      </x:c>
      <x:c r="N1329" s="28" t="n">
        <x:f>H1329*K1329/1000000</x:f>
        <x:v>0.3456</x:v>
      </x:c>
      <x:c r="O1329" s="28" t="n">
        <x:f>SUM(M1329:N1329)</x:f>
        <x:v>1.7061199999999999</x:v>
      </x:c>
    </x:row>
    <x:row r="1330" ht="23" customHeight="1">
      <x:c r="A1330" s="17" t="str">
        <x:v>U01324</x:v>
      </x:c>
      <x:c r="B1330" s="18" t="n">
        <x:v>46280</x:v>
      </x:c>
      <x:c r="C1330" s="17" t="str">
        <x:v>W0074</x:v>
      </x:c>
      <x:c r="D1330" s="17" t="str">
        <x:v>C002</x:v>
      </x:c>
      <x:c r="E1330" s="17" t="str">
        <x:v>InsightDesk</x:v>
      </x:c>
      <x:c r="F1330" s="17" t="str">
        <x:v>Pro</x:v>
      </x:c>
      <x:c r="G1330" s="17" t="n">
        <x:v>39198</x:v>
      </x:c>
      <x:c r="H1330" s="17" t="n">
        <x:v>5961</x:v>
      </x:c>
      <x:c r="I1330" s="17" t="str">
        <x:v>Correction</x:v>
      </x:c>
      <x:c r="J1330" s="27" t="n">
        <x:f>INDEX('Model Pricing'!$B$7:$B$8,MATCH(F1330,'Model Pricing'!$A$7:$A$8,0))</x:f>
        <x:v>40</x:v>
      </x:c>
      <x:c r="K1330" s="27" t="n">
        <x:f>INDEX('Model Pricing'!$C$7:$C$8,MATCH(F1330,'Model Pricing'!$A$7:$A$8,0))</x:f>
        <x:v>100</x:v>
      </x:c>
      <x:c r="L1330" s="17" t="n">
        <x:f>G1330+H1330</x:f>
        <x:v>45159</x:v>
      </x:c>
      <x:c r="M1330" s="28" t="n">
        <x:f>G1330*J1330/1000000</x:f>
        <x:v>1.56792</x:v>
      </x:c>
      <x:c r="N1330" s="28" t="n">
        <x:f>H1330*K1330/1000000</x:f>
        <x:v>0.5961</x:v>
      </x:c>
      <x:c r="O1330" s="28" t="n">
        <x:f>SUM(M1330:N1330)</x:f>
        <x:v>2.16402</x:v>
      </x:c>
    </x:row>
    <x:row r="1331" ht="23" customHeight="1">
      <x:c r="A1331" s="17" t="str">
        <x:v>U01325</x:v>
      </x:c>
      <x:c r="B1331" s="18" t="n">
        <x:v>46280</x:v>
      </x:c>
      <x:c r="C1331" s="17" t="str">
        <x:v>W0074</x:v>
      </x:c>
      <x:c r="D1331" s="17" t="str">
        <x:v>C002</x:v>
      </x:c>
      <x:c r="E1331" s="17" t="str">
        <x:v>InsightDesk</x:v>
      </x:c>
      <x:c r="F1331" s="17" t="str">
        <x:v>Pro</x:v>
      </x:c>
      <x:c r="G1331" s="17" t="n">
        <x:v>38052</x:v>
      </x:c>
      <x:c r="H1331" s="17" t="n">
        <x:v>6335</x:v>
      </x:c>
      <x:c r="I1331" s="17" t="str">
        <x:v>Correction</x:v>
      </x:c>
      <x:c r="J1331" s="27" t="n">
        <x:f>INDEX('Model Pricing'!$B$7:$B$8,MATCH(F1331,'Model Pricing'!$A$7:$A$8,0))</x:f>
        <x:v>40</x:v>
      </x:c>
      <x:c r="K1331" s="27" t="n">
        <x:f>INDEX('Model Pricing'!$C$7:$C$8,MATCH(F1331,'Model Pricing'!$A$7:$A$8,0))</x:f>
        <x:v>100</x:v>
      </x:c>
      <x:c r="L1331" s="17" t="n">
        <x:f>G1331+H1331</x:f>
        <x:v>44387</x:v>
      </x:c>
      <x:c r="M1331" s="28" t="n">
        <x:f>G1331*J1331/1000000</x:f>
        <x:v>1.52208</x:v>
      </x:c>
      <x:c r="N1331" s="28" t="n">
        <x:f>H1331*K1331/1000000</x:f>
        <x:v>0.6335</x:v>
      </x:c>
      <x:c r="O1331" s="28" t="n">
        <x:f>SUM(M1331:N1331)</x:f>
        <x:v>2.15558</x:v>
      </x:c>
    </x:row>
    <x:row r="1332" ht="23" customHeight="1">
      <x:c r="A1332" s="17" t="str">
        <x:v>U01326</x:v>
      </x:c>
      <x:c r="B1332" s="18" t="n">
        <x:v>46280</x:v>
      </x:c>
      <x:c r="C1332" s="17" t="str">
        <x:v>W0074</x:v>
      </x:c>
      <x:c r="D1332" s="17" t="str">
        <x:v>C002</x:v>
      </x:c>
      <x:c r="E1332" s="17" t="str">
        <x:v>InsightDesk</x:v>
      </x:c>
      <x:c r="F1332" s="17" t="str">
        <x:v>Pro</x:v>
      </x:c>
      <x:c r="G1332" s="17" t="n">
        <x:v>31114</x:v>
      </x:c>
      <x:c r="H1332" s="17" t="n">
        <x:v>6470</x:v>
      </x:c>
      <x:c r="I1332" s="17" t="str">
        <x:v>Correction</x:v>
      </x:c>
      <x:c r="J1332" s="27" t="n">
        <x:f>INDEX('Model Pricing'!$B$7:$B$8,MATCH(F1332,'Model Pricing'!$A$7:$A$8,0))</x:f>
        <x:v>40</x:v>
      </x:c>
      <x:c r="K1332" s="27" t="n">
        <x:f>INDEX('Model Pricing'!$C$7:$C$8,MATCH(F1332,'Model Pricing'!$A$7:$A$8,0))</x:f>
        <x:v>100</x:v>
      </x:c>
      <x:c r="L1332" s="17" t="n">
        <x:f>G1332+H1332</x:f>
        <x:v>37584</x:v>
      </x:c>
      <x:c r="M1332" s="28" t="n">
        <x:f>G1332*J1332/1000000</x:f>
        <x:v>1.24456</x:v>
      </x:c>
      <x:c r="N1332" s="28" t="n">
        <x:f>H1332*K1332/1000000</x:f>
        <x:v>0.647</x:v>
      </x:c>
      <x:c r="O1332" s="28" t="n">
        <x:f>SUM(M1332:N1332)</x:f>
        <x:v>1.8915600000000001</x:v>
      </x:c>
    </x:row>
    <x:row r="1333" ht="23" customHeight="1">
      <x:c r="A1333" s="17" t="str">
        <x:v>U01327</x:v>
      </x:c>
      <x:c r="B1333" s="18" t="n">
        <x:v>46280</x:v>
      </x:c>
      <x:c r="C1333" s="17" t="str">
        <x:v>W0074</x:v>
      </x:c>
      <x:c r="D1333" s="17" t="str">
        <x:v>C002</x:v>
      </x:c>
      <x:c r="E1333" s="17" t="str">
        <x:v>InsightDesk</x:v>
      </x:c>
      <x:c r="F1333" s="17" t="str">
        <x:v>Pro</x:v>
      </x:c>
      <x:c r="G1333" s="17" t="n">
        <x:v>32771</x:v>
      </x:c>
      <x:c r="H1333" s="17" t="n">
        <x:v>7723</x:v>
      </x:c>
      <x:c r="I1333" s="17" t="str">
        <x:v>Correction</x:v>
      </x:c>
      <x:c r="J1333" s="27" t="n">
        <x:f>INDEX('Model Pricing'!$B$7:$B$8,MATCH(F1333,'Model Pricing'!$A$7:$A$8,0))</x:f>
        <x:v>40</x:v>
      </x:c>
      <x:c r="K1333" s="27" t="n">
        <x:f>INDEX('Model Pricing'!$C$7:$C$8,MATCH(F1333,'Model Pricing'!$A$7:$A$8,0))</x:f>
        <x:v>100</x:v>
      </x:c>
      <x:c r="L1333" s="17" t="n">
        <x:f>G1333+H1333</x:f>
        <x:v>40494</x:v>
      </x:c>
      <x:c r="M1333" s="28" t="n">
        <x:f>G1333*J1333/1000000</x:f>
        <x:v>1.31084</x:v>
      </x:c>
      <x:c r="N1333" s="28" t="n">
        <x:f>H1333*K1333/1000000</x:f>
        <x:v>0.7723</x:v>
      </x:c>
      <x:c r="O1333" s="28" t="n">
        <x:f>SUM(M1333:N1333)</x:f>
        <x:v>2.08314</x:v>
      </x:c>
    </x:row>
    <x:row r="1334" ht="23" customHeight="1">
      <x:c r="A1334" s="17" t="str">
        <x:v>U01328</x:v>
      </x:c>
      <x:c r="B1334" s="18" t="n">
        <x:v>46281</x:v>
      </x:c>
      <x:c r="C1334" s="17" t="str">
        <x:v>W0074</x:v>
      </x:c>
      <x:c r="D1334" s="17" t="str">
        <x:v>C002</x:v>
      </x:c>
      <x:c r="E1334" s="17" t="str">
        <x:v>InsightDesk</x:v>
      </x:c>
      <x:c r="F1334" s="17" t="str">
        <x:v>Pro</x:v>
      </x:c>
      <x:c r="G1334" s="17" t="n">
        <x:v>13611</x:v>
      </x:c>
      <x:c r="H1334" s="17" t="n">
        <x:v>5457</x:v>
      </x:c>
      <x:c r="I1334" s="17" t="str">
        <x:v>Followup</x:v>
      </x:c>
      <x:c r="J1334" s="27" t="n">
        <x:f>INDEX('Model Pricing'!$B$7:$B$8,MATCH(F1334,'Model Pricing'!$A$7:$A$8,0))</x:f>
        <x:v>40</x:v>
      </x:c>
      <x:c r="K1334" s="27" t="n">
        <x:f>INDEX('Model Pricing'!$C$7:$C$8,MATCH(F1334,'Model Pricing'!$A$7:$A$8,0))</x:f>
        <x:v>100</x:v>
      </x:c>
      <x:c r="L1334" s="17" t="n">
        <x:f>G1334+H1334</x:f>
        <x:v>19068</x:v>
      </x:c>
      <x:c r="M1334" s="28" t="n">
        <x:f>G1334*J1334/1000000</x:f>
        <x:v>0.54444</x:v>
      </x:c>
      <x:c r="N1334" s="28" t="n">
        <x:f>H1334*K1334/1000000</x:f>
        <x:v>0.5457</x:v>
      </x:c>
      <x:c r="O1334" s="28" t="n">
        <x:f>SUM(M1334:N1334)</x:f>
        <x:v>1.0901399999999999</x:v>
      </x:c>
    </x:row>
    <x:row r="1335" ht="23" customHeight="1">
      <x:c r="A1335" s="17" t="str">
        <x:v>U01329</x:v>
      </x:c>
      <x:c r="B1335" s="18" t="n">
        <x:v>46281</x:v>
      </x:c>
      <x:c r="C1335" s="17" t="str">
        <x:v>W0074</x:v>
      </x:c>
      <x:c r="D1335" s="17" t="str">
        <x:v>C002</x:v>
      </x:c>
      <x:c r="E1335" s="17" t="str">
        <x:v>InsightDesk</x:v>
      </x:c>
      <x:c r="F1335" s="17" t="str">
        <x:v>Pro</x:v>
      </x:c>
      <x:c r="G1335" s="17" t="n">
        <x:v>17934</x:v>
      </x:c>
      <x:c r="H1335" s="17" t="n">
        <x:v>3189</x:v>
      </x:c>
      <x:c r="I1335" s="17" t="str">
        <x:v>Correction</x:v>
      </x:c>
      <x:c r="J1335" s="27" t="n">
        <x:f>INDEX('Model Pricing'!$B$7:$B$8,MATCH(F1335,'Model Pricing'!$A$7:$A$8,0))</x:f>
        <x:v>40</x:v>
      </x:c>
      <x:c r="K1335" s="27" t="n">
        <x:f>INDEX('Model Pricing'!$C$7:$C$8,MATCH(F1335,'Model Pricing'!$A$7:$A$8,0))</x:f>
        <x:v>100</x:v>
      </x:c>
      <x:c r="L1335" s="17" t="n">
        <x:f>G1335+H1335</x:f>
        <x:v>21123</x:v>
      </x:c>
      <x:c r="M1335" s="28" t="n">
        <x:f>G1335*J1335/1000000</x:f>
        <x:v>0.71736</x:v>
      </x:c>
      <x:c r="N1335" s="28" t="n">
        <x:f>H1335*K1335/1000000</x:f>
        <x:v>0.3189</x:v>
      </x:c>
      <x:c r="O1335" s="28" t="n">
        <x:f>SUM(M1335:N1335)</x:f>
        <x:v>1.03626</x:v>
      </x:c>
    </x:row>
    <x:row r="1336" ht="23" customHeight="1">
      <x:c r="A1336" s="17" t="str">
        <x:v>U01330</x:v>
      </x:c>
      <x:c r="B1336" s="18" t="n">
        <x:v>46281</x:v>
      </x:c>
      <x:c r="C1336" s="17" t="str">
        <x:v>W0074</x:v>
      </x:c>
      <x:c r="D1336" s="17" t="str">
        <x:v>C002</x:v>
      </x:c>
      <x:c r="E1336" s="17" t="str">
        <x:v>InsightDesk</x:v>
      </x:c>
      <x:c r="F1336" s="17" t="str">
        <x:v>Pro</x:v>
      </x:c>
      <x:c r="G1336" s="17" t="n">
        <x:v>19871</x:v>
      </x:c>
      <x:c r="H1336" s="17" t="n">
        <x:v>4046</x:v>
      </x:c>
      <x:c r="I1336" s="17" t="str">
        <x:v>Followup</x:v>
      </x:c>
      <x:c r="J1336" s="27" t="n">
        <x:f>INDEX('Model Pricing'!$B$7:$B$8,MATCH(F1336,'Model Pricing'!$A$7:$A$8,0))</x:f>
        <x:v>40</x:v>
      </x:c>
      <x:c r="K1336" s="27" t="n">
        <x:f>INDEX('Model Pricing'!$C$7:$C$8,MATCH(F1336,'Model Pricing'!$A$7:$A$8,0))</x:f>
        <x:v>100</x:v>
      </x:c>
      <x:c r="L1336" s="17" t="n">
        <x:f>G1336+H1336</x:f>
        <x:v>23917</x:v>
      </x:c>
      <x:c r="M1336" s="28" t="n">
        <x:f>G1336*J1336/1000000</x:f>
        <x:v>0.79484</x:v>
      </x:c>
      <x:c r="N1336" s="28" t="n">
        <x:f>H1336*K1336/1000000</x:f>
        <x:v>0.4046</x:v>
      </x:c>
      <x:c r="O1336" s="28" t="n">
        <x:f>SUM(M1336:N1336)</x:f>
        <x:v>1.19944</x:v>
      </x:c>
    </x:row>
    <x:row r="1337" ht="23" customHeight="1">
      <x:c r="A1337" s="17" t="str">
        <x:v>U01331</x:v>
      </x:c>
      <x:c r="B1337" s="18" t="n">
        <x:v>46281</x:v>
      </x:c>
      <x:c r="C1337" s="17" t="str">
        <x:v>W0074</x:v>
      </x:c>
      <x:c r="D1337" s="17" t="str">
        <x:v>C002</x:v>
      </x:c>
      <x:c r="E1337" s="17" t="str">
        <x:v>InsightDesk</x:v>
      </x:c>
      <x:c r="F1337" s="17" t="str">
        <x:v>Pro</x:v>
      </x:c>
      <x:c r="G1337" s="17" t="n">
        <x:v>27376</x:v>
      </x:c>
      <x:c r="H1337" s="17" t="n">
        <x:v>9101</x:v>
      </x:c>
      <x:c r="I1337" s="17" t="str">
        <x:v>Correction</x:v>
      </x:c>
      <x:c r="J1337" s="27" t="n">
        <x:f>INDEX('Model Pricing'!$B$7:$B$8,MATCH(F1337,'Model Pricing'!$A$7:$A$8,0))</x:f>
        <x:v>40</x:v>
      </x:c>
      <x:c r="K1337" s="27" t="n">
        <x:f>INDEX('Model Pricing'!$C$7:$C$8,MATCH(F1337,'Model Pricing'!$A$7:$A$8,0))</x:f>
        <x:v>100</x:v>
      </x:c>
      <x:c r="L1337" s="17" t="n">
        <x:f>G1337+H1337</x:f>
        <x:v>36477</x:v>
      </x:c>
      <x:c r="M1337" s="28" t="n">
        <x:f>G1337*J1337/1000000</x:f>
        <x:v>1.09504</x:v>
      </x:c>
      <x:c r="N1337" s="28" t="n">
        <x:f>H1337*K1337/1000000</x:f>
        <x:v>0.9101</x:v>
      </x:c>
      <x:c r="O1337" s="28" t="n">
        <x:f>SUM(M1337:N1337)</x:f>
        <x:v>2.00514</x:v>
      </x:c>
    </x:row>
    <x:row r="1338" ht="23" customHeight="1">
      <x:c r="A1338" s="17" t="str">
        <x:v>U01332</x:v>
      </x:c>
      <x:c r="B1338" s="18" t="n">
        <x:v>46275</x:v>
      </x:c>
      <x:c r="C1338" s="17" t="str">
        <x:v>W0079</x:v>
      </x:c>
      <x:c r="D1338" s="17" t="str">
        <x:v>C002</x:v>
      </x:c>
      <x:c r="E1338" s="17" t="str">
        <x:v>CampaignChat</x:v>
      </x:c>
      <x:c r="F1338" s="17" t="str">
        <x:v>Pro</x:v>
      </x:c>
      <x:c r="G1338" s="17" t="n">
        <x:v>12278</x:v>
      </x:c>
      <x:c r="H1338" s="17" t="n">
        <x:v>13513</x:v>
      </x:c>
      <x:c r="I1338" s="17" t="str">
        <x:v>First attempt</x:v>
      </x:c>
      <x:c r="J1338" s="27" t="n">
        <x:f>INDEX('Model Pricing'!$B$7:$B$8,MATCH(F1338,'Model Pricing'!$A$7:$A$8,0))</x:f>
        <x:v>40</x:v>
      </x:c>
      <x:c r="K1338" s="27" t="n">
        <x:f>INDEX('Model Pricing'!$C$7:$C$8,MATCH(F1338,'Model Pricing'!$A$7:$A$8,0))</x:f>
        <x:v>100</x:v>
      </x:c>
      <x:c r="L1338" s="17" t="n">
        <x:f>G1338+H1338</x:f>
        <x:v>25791</x:v>
      </x:c>
      <x:c r="M1338" s="28" t="n">
        <x:f>G1338*J1338/1000000</x:f>
        <x:v>0.49112</x:v>
      </x:c>
      <x:c r="N1338" s="28" t="n">
        <x:f>H1338*K1338/1000000</x:f>
        <x:v>1.3513</x:v>
      </x:c>
      <x:c r="O1338" s="28" t="n">
        <x:f>SUM(M1338:N1338)</x:f>
        <x:v>1.84242</x:v>
      </x:c>
    </x:row>
    <x:row r="1339" ht="23" customHeight="1">
      <x:c r="A1339" s="17" t="str">
        <x:v>U01333</x:v>
      </x:c>
      <x:c r="B1339" s="18" t="n">
        <x:v>46275</x:v>
      </x:c>
      <x:c r="C1339" s="17" t="str">
        <x:v>W0079</x:v>
      </x:c>
      <x:c r="D1339" s="17" t="str">
        <x:v>C002</x:v>
      </x:c>
      <x:c r="E1339" s="17" t="str">
        <x:v>CampaignChat</x:v>
      </x:c>
      <x:c r="F1339" s="17" t="str">
        <x:v>Pro</x:v>
      </x:c>
      <x:c r="G1339" s="17" t="n">
        <x:v>16065</x:v>
      </x:c>
      <x:c r="H1339" s="17" t="n">
        <x:v>7715</x:v>
      </x:c>
      <x:c r="I1339" s="17" t="str">
        <x:v>Correction</x:v>
      </x:c>
      <x:c r="J1339" s="27" t="n">
        <x:f>INDEX('Model Pricing'!$B$7:$B$8,MATCH(F1339,'Model Pricing'!$A$7:$A$8,0))</x:f>
        <x:v>40</x:v>
      </x:c>
      <x:c r="K1339" s="27" t="n">
        <x:f>INDEX('Model Pricing'!$C$7:$C$8,MATCH(F1339,'Model Pricing'!$A$7:$A$8,0))</x:f>
        <x:v>100</x:v>
      </x:c>
      <x:c r="L1339" s="17" t="n">
        <x:f>G1339+H1339</x:f>
        <x:v>23780</x:v>
      </x:c>
      <x:c r="M1339" s="28" t="n">
        <x:f>G1339*J1339/1000000</x:f>
        <x:v>0.6426</x:v>
      </x:c>
      <x:c r="N1339" s="28" t="n">
        <x:f>H1339*K1339/1000000</x:f>
        <x:v>0.7715</x:v>
      </x:c>
      <x:c r="O1339" s="28" t="n">
        <x:f>SUM(M1339:N1339)</x:f>
        <x:v>1.4141</x:v>
      </x:c>
    </x:row>
    <x:row r="1340" ht="23" customHeight="1">
      <x:c r="A1340" s="17" t="str">
        <x:v>U01334</x:v>
      </x:c>
      <x:c r="B1340" s="18" t="n">
        <x:v>46275</x:v>
      </x:c>
      <x:c r="C1340" s="17" t="str">
        <x:v>W0079</x:v>
      </x:c>
      <x:c r="D1340" s="17" t="str">
        <x:v>C002</x:v>
      </x:c>
      <x:c r="E1340" s="17" t="str">
        <x:v>CampaignChat</x:v>
      </x:c>
      <x:c r="F1340" s="17" t="str">
        <x:v>Pro</x:v>
      </x:c>
      <x:c r="G1340" s="17" t="n">
        <x:v>16210</x:v>
      </x:c>
      <x:c r="H1340" s="17" t="n">
        <x:v>10359</x:v>
      </x:c>
      <x:c r="I1340" s="17" t="str">
        <x:v>Followup</x:v>
      </x:c>
      <x:c r="J1340" s="27" t="n">
        <x:f>INDEX('Model Pricing'!$B$7:$B$8,MATCH(F1340,'Model Pricing'!$A$7:$A$8,0))</x:f>
        <x:v>40</x:v>
      </x:c>
      <x:c r="K1340" s="27" t="n">
        <x:f>INDEX('Model Pricing'!$C$7:$C$8,MATCH(F1340,'Model Pricing'!$A$7:$A$8,0))</x:f>
        <x:v>100</x:v>
      </x:c>
      <x:c r="L1340" s="17" t="n">
        <x:f>G1340+H1340</x:f>
        <x:v>26569</x:v>
      </x:c>
      <x:c r="M1340" s="28" t="n">
        <x:f>G1340*J1340/1000000</x:f>
        <x:v>0.6484</x:v>
      </x:c>
      <x:c r="N1340" s="28" t="n">
        <x:f>H1340*K1340/1000000</x:f>
        <x:v>1.0359</x:v>
      </x:c>
      <x:c r="O1340" s="28" t="n">
        <x:f>SUM(M1340:N1340)</x:f>
        <x:v>1.6843</x:v>
      </x:c>
    </x:row>
    <x:row r="1341" ht="23" customHeight="1">
      <x:c r="A1341" s="17" t="str">
        <x:v>U01335</x:v>
      </x:c>
      <x:c r="B1341" s="18" t="n">
        <x:v>46275</x:v>
      </x:c>
      <x:c r="C1341" s="17" t="str">
        <x:v>W0079</x:v>
      </x:c>
      <x:c r="D1341" s="17" t="str">
        <x:v>C002</x:v>
      </x:c>
      <x:c r="E1341" s="17" t="str">
        <x:v>CampaignChat</x:v>
      </x:c>
      <x:c r="F1341" s="17" t="str">
        <x:v>Pro</x:v>
      </x:c>
      <x:c r="G1341" s="17" t="n">
        <x:v>15058</x:v>
      </x:c>
      <x:c r="H1341" s="17" t="n">
        <x:v>16520</x:v>
      </x:c>
      <x:c r="I1341" s="17" t="str">
        <x:v>Correction</x:v>
      </x:c>
      <x:c r="J1341" s="27" t="n">
        <x:f>INDEX('Model Pricing'!$B$7:$B$8,MATCH(F1341,'Model Pricing'!$A$7:$A$8,0))</x:f>
        <x:v>40</x:v>
      </x:c>
      <x:c r="K1341" s="27" t="n">
        <x:f>INDEX('Model Pricing'!$C$7:$C$8,MATCH(F1341,'Model Pricing'!$A$7:$A$8,0))</x:f>
        <x:v>100</x:v>
      </x:c>
      <x:c r="L1341" s="17" t="n">
        <x:f>G1341+H1341</x:f>
        <x:v>31578</x:v>
      </x:c>
      <x:c r="M1341" s="28" t="n">
        <x:f>G1341*J1341/1000000</x:f>
        <x:v>0.60232</x:v>
      </x:c>
      <x:c r="N1341" s="28" t="n">
        <x:f>H1341*K1341/1000000</x:f>
        <x:v>1.652</x:v>
      </x:c>
      <x:c r="O1341" s="28" t="n">
        <x:f>SUM(M1341:N1341)</x:f>
        <x:v>2.25432</x:v>
      </x:c>
    </x:row>
    <x:row r="1342" ht="23" customHeight="1">
      <x:c r="A1342" s="17" t="str">
        <x:v>U01336</x:v>
      </x:c>
      <x:c r="B1342" s="18" t="n">
        <x:v>46275</x:v>
      </x:c>
      <x:c r="C1342" s="17" t="str">
        <x:v>W0079</x:v>
      </x:c>
      <x:c r="D1342" s="17" t="str">
        <x:v>C002</x:v>
      </x:c>
      <x:c r="E1342" s="17" t="str">
        <x:v>CampaignChat</x:v>
      </x:c>
      <x:c r="F1342" s="17" t="str">
        <x:v>Pro</x:v>
      </x:c>
      <x:c r="G1342" s="17" t="n">
        <x:v>11223</x:v>
      </x:c>
      <x:c r="H1342" s="17" t="n">
        <x:v>5913</x:v>
      </x:c>
      <x:c r="I1342" s="17" t="str">
        <x:v>Followup</x:v>
      </x:c>
      <x:c r="J1342" s="27" t="n">
        <x:f>INDEX('Model Pricing'!$B$7:$B$8,MATCH(F1342,'Model Pricing'!$A$7:$A$8,0))</x:f>
        <x:v>40</x:v>
      </x:c>
      <x:c r="K1342" s="27" t="n">
        <x:f>INDEX('Model Pricing'!$C$7:$C$8,MATCH(F1342,'Model Pricing'!$A$7:$A$8,0))</x:f>
        <x:v>100</x:v>
      </x:c>
      <x:c r="L1342" s="17" t="n">
        <x:f>G1342+H1342</x:f>
        <x:v>17136</x:v>
      </x:c>
      <x:c r="M1342" s="28" t="n">
        <x:f>G1342*J1342/1000000</x:f>
        <x:v>0.44892</x:v>
      </x:c>
      <x:c r="N1342" s="28" t="n">
        <x:f>H1342*K1342/1000000</x:f>
        <x:v>0.5913</x:v>
      </x:c>
      <x:c r="O1342" s="28" t="n">
        <x:f>SUM(M1342:N1342)</x:f>
        <x:v>1.0402200000000001</x:v>
      </x:c>
    </x:row>
    <x:row r="1343" ht="23" customHeight="1">
      <x:c r="A1343" s="17" t="str">
        <x:v>U01337</x:v>
      </x:c>
      <x:c r="B1343" s="18" t="n">
        <x:v>46275</x:v>
      </x:c>
      <x:c r="C1343" s="17" t="str">
        <x:v>W0079</x:v>
      </x:c>
      <x:c r="D1343" s="17" t="str">
        <x:v>C002</x:v>
      </x:c>
      <x:c r="E1343" s="17" t="str">
        <x:v>CampaignChat</x:v>
      </x:c>
      <x:c r="F1343" s="17" t="str">
        <x:v>Pro</x:v>
      </x:c>
      <x:c r="G1343" s="17" t="n">
        <x:v>16150</x:v>
      </x:c>
      <x:c r="H1343" s="17" t="n">
        <x:v>15272</x:v>
      </x:c>
      <x:c r="I1343" s="17" t="str">
        <x:v>Followup</x:v>
      </x:c>
      <x:c r="J1343" s="27" t="n">
        <x:f>INDEX('Model Pricing'!$B$7:$B$8,MATCH(F1343,'Model Pricing'!$A$7:$A$8,0))</x:f>
        <x:v>40</x:v>
      </x:c>
      <x:c r="K1343" s="27" t="n">
        <x:f>INDEX('Model Pricing'!$C$7:$C$8,MATCH(F1343,'Model Pricing'!$A$7:$A$8,0))</x:f>
        <x:v>100</x:v>
      </x:c>
      <x:c r="L1343" s="17" t="n">
        <x:f>G1343+H1343</x:f>
        <x:v>31422</x:v>
      </x:c>
      <x:c r="M1343" s="28" t="n">
        <x:f>G1343*J1343/1000000</x:f>
        <x:v>0.646</x:v>
      </x:c>
      <x:c r="N1343" s="28" t="n">
        <x:f>H1343*K1343/1000000</x:f>
        <x:v>1.5272</x:v>
      </x:c>
      <x:c r="O1343" s="28" t="n">
        <x:f>SUM(M1343:N1343)</x:f>
        <x:v>2.1732</x:v>
      </x:c>
    </x:row>
    <x:row r="1344" ht="23" customHeight="1">
      <x:c r="A1344" s="17" t="str">
        <x:v>U01338</x:v>
      </x:c>
      <x:c r="B1344" s="18" t="n">
        <x:v>46275</x:v>
      </x:c>
      <x:c r="C1344" s="17" t="str">
        <x:v>W0079</x:v>
      </x:c>
      <x:c r="D1344" s="17" t="str">
        <x:v>C002</x:v>
      </x:c>
      <x:c r="E1344" s="17" t="str">
        <x:v>CampaignChat</x:v>
      </x:c>
      <x:c r="F1344" s="17" t="str">
        <x:v>Pro</x:v>
      </x:c>
      <x:c r="G1344" s="17" t="n">
        <x:v>15742</x:v>
      </x:c>
      <x:c r="H1344" s="17" t="n">
        <x:v>5804</x:v>
      </x:c>
      <x:c r="I1344" s="17" t="str">
        <x:v>Correction</x:v>
      </x:c>
      <x:c r="J1344" s="27" t="n">
        <x:f>INDEX('Model Pricing'!$B$7:$B$8,MATCH(F1344,'Model Pricing'!$A$7:$A$8,0))</x:f>
        <x:v>40</x:v>
      </x:c>
      <x:c r="K1344" s="27" t="n">
        <x:f>INDEX('Model Pricing'!$C$7:$C$8,MATCH(F1344,'Model Pricing'!$A$7:$A$8,0))</x:f>
        <x:v>100</x:v>
      </x:c>
      <x:c r="L1344" s="17" t="n">
        <x:f>G1344+H1344</x:f>
        <x:v>21546</x:v>
      </x:c>
      <x:c r="M1344" s="28" t="n">
        <x:f>G1344*J1344/1000000</x:f>
        <x:v>0.62968</x:v>
      </x:c>
      <x:c r="N1344" s="28" t="n">
        <x:f>H1344*K1344/1000000</x:f>
        <x:v>0.5804</x:v>
      </x:c>
      <x:c r="O1344" s="28" t="n">
        <x:f>SUM(M1344:N1344)</x:f>
        <x:v>1.21008</x:v>
      </x:c>
    </x:row>
    <x:row r="1345" ht="23" customHeight="1">
      <x:c r="A1345" s="17" t="str">
        <x:v>U01339</x:v>
      </x:c>
      <x:c r="B1345" s="18" t="n">
        <x:v>46276</x:v>
      </x:c>
      <x:c r="C1345" s="17" t="str">
        <x:v>W0079</x:v>
      </x:c>
      <x:c r="D1345" s="17" t="str">
        <x:v>C002</x:v>
      </x:c>
      <x:c r="E1345" s="17" t="str">
        <x:v>CampaignChat</x:v>
      </x:c>
      <x:c r="F1345" s="17" t="str">
        <x:v>Pro</x:v>
      </x:c>
      <x:c r="G1345" s="17" t="n">
        <x:v>12610</x:v>
      </x:c>
      <x:c r="H1345" s="17" t="n">
        <x:v>15415</x:v>
      </x:c>
      <x:c r="I1345" s="17" t="str">
        <x:v>Correction</x:v>
      </x:c>
      <x:c r="J1345" s="27" t="n">
        <x:f>INDEX('Model Pricing'!$B$7:$B$8,MATCH(F1345,'Model Pricing'!$A$7:$A$8,0))</x:f>
        <x:v>40</x:v>
      </x:c>
      <x:c r="K1345" s="27" t="n">
        <x:f>INDEX('Model Pricing'!$C$7:$C$8,MATCH(F1345,'Model Pricing'!$A$7:$A$8,0))</x:f>
        <x:v>100</x:v>
      </x:c>
      <x:c r="L1345" s="17" t="n">
        <x:f>G1345+H1345</x:f>
        <x:v>28025</x:v>
      </x:c>
      <x:c r="M1345" s="28" t="n">
        <x:f>G1345*J1345/1000000</x:f>
        <x:v>0.5044</x:v>
      </x:c>
      <x:c r="N1345" s="28" t="n">
        <x:f>H1345*K1345/1000000</x:f>
        <x:v>1.5415</x:v>
      </x:c>
      <x:c r="O1345" s="28" t="n">
        <x:f>SUM(M1345:N1345)</x:f>
        <x:v>2.0459</x:v>
      </x:c>
    </x:row>
    <x:row r="1346" ht="23" customHeight="1">
      <x:c r="A1346" s="17" t="str">
        <x:v>U01340</x:v>
      </x:c>
      <x:c r="B1346" s="18" t="n">
        <x:v>46276</x:v>
      </x:c>
      <x:c r="C1346" s="17" t="str">
        <x:v>W0079</x:v>
      </x:c>
      <x:c r="D1346" s="17" t="str">
        <x:v>C002</x:v>
      </x:c>
      <x:c r="E1346" s="17" t="str">
        <x:v>CampaignChat</x:v>
      </x:c>
      <x:c r="F1346" s="17" t="str">
        <x:v>Pro</x:v>
      </x:c>
      <x:c r="G1346" s="17" t="n">
        <x:v>13896</x:v>
      </x:c>
      <x:c r="H1346" s="17" t="n">
        <x:v>11947</x:v>
      </x:c>
      <x:c r="I1346" s="17" t="str">
        <x:v>Followup</x:v>
      </x:c>
      <x:c r="J1346" s="27" t="n">
        <x:f>INDEX('Model Pricing'!$B$7:$B$8,MATCH(F1346,'Model Pricing'!$A$7:$A$8,0))</x:f>
        <x:v>40</x:v>
      </x:c>
      <x:c r="K1346" s="27" t="n">
        <x:f>INDEX('Model Pricing'!$C$7:$C$8,MATCH(F1346,'Model Pricing'!$A$7:$A$8,0))</x:f>
        <x:v>100</x:v>
      </x:c>
      <x:c r="L1346" s="17" t="n">
        <x:f>G1346+H1346</x:f>
        <x:v>25843</x:v>
      </x:c>
      <x:c r="M1346" s="28" t="n">
        <x:f>G1346*J1346/1000000</x:f>
        <x:v>0.55584</x:v>
      </x:c>
      <x:c r="N1346" s="28" t="n">
        <x:f>H1346*K1346/1000000</x:f>
        <x:v>1.1947</x:v>
      </x:c>
      <x:c r="O1346" s="28" t="n">
        <x:f>SUM(M1346:N1346)</x:f>
        <x:v>1.75054</x:v>
      </x:c>
    </x:row>
    <x:row r="1347" ht="23" customHeight="1">
      <x:c r="A1347" s="17" t="str">
        <x:v>U01341</x:v>
      </x:c>
      <x:c r="B1347" s="18" t="n">
        <x:v>46276</x:v>
      </x:c>
      <x:c r="C1347" s="17" t="str">
        <x:v>W0079</x:v>
      </x:c>
      <x:c r="D1347" s="17" t="str">
        <x:v>C002</x:v>
      </x:c>
      <x:c r="E1347" s="17" t="str">
        <x:v>CampaignChat</x:v>
      </x:c>
      <x:c r="F1347" s="17" t="str">
        <x:v>Pro</x:v>
      </x:c>
      <x:c r="G1347" s="17" t="n">
        <x:v>6674</x:v>
      </x:c>
      <x:c r="H1347" s="17" t="n">
        <x:v>6009</x:v>
      </x:c>
      <x:c r="I1347" s="17" t="str">
        <x:v>Correction</x:v>
      </x:c>
      <x:c r="J1347" s="27" t="n">
        <x:f>INDEX('Model Pricing'!$B$7:$B$8,MATCH(F1347,'Model Pricing'!$A$7:$A$8,0))</x:f>
        <x:v>40</x:v>
      </x:c>
      <x:c r="K1347" s="27" t="n">
        <x:f>INDEX('Model Pricing'!$C$7:$C$8,MATCH(F1347,'Model Pricing'!$A$7:$A$8,0))</x:f>
        <x:v>100</x:v>
      </x:c>
      <x:c r="L1347" s="17" t="n">
        <x:f>G1347+H1347</x:f>
        <x:v>12683</x:v>
      </x:c>
      <x:c r="M1347" s="28" t="n">
        <x:f>G1347*J1347/1000000</x:f>
        <x:v>0.26696</x:v>
      </x:c>
      <x:c r="N1347" s="28" t="n">
        <x:f>H1347*K1347/1000000</x:f>
        <x:v>0.6009</x:v>
      </x:c>
      <x:c r="O1347" s="28" t="n">
        <x:f>SUM(M1347:N1347)</x:f>
        <x:v>0.86786</x:v>
      </x:c>
    </x:row>
    <x:row r="1348" ht="23" customHeight="1">
      <x:c r="A1348" s="17" t="str">
        <x:v>U01342</x:v>
      </x:c>
      <x:c r="B1348" s="18" t="n">
        <x:v>46276</x:v>
      </x:c>
      <x:c r="C1348" s="17" t="str">
        <x:v>W0079</x:v>
      </x:c>
      <x:c r="D1348" s="17" t="str">
        <x:v>C002</x:v>
      </x:c>
      <x:c r="E1348" s="17" t="str">
        <x:v>CampaignChat</x:v>
      </x:c>
      <x:c r="F1348" s="17" t="str">
        <x:v>Pro</x:v>
      </x:c>
      <x:c r="G1348" s="17" t="n">
        <x:v>10990</x:v>
      </x:c>
      <x:c r="H1348" s="17" t="n">
        <x:v>4827</x:v>
      </x:c>
      <x:c r="I1348" s="17" t="str">
        <x:v>Followup</x:v>
      </x:c>
      <x:c r="J1348" s="27" t="n">
        <x:f>INDEX('Model Pricing'!$B$7:$B$8,MATCH(F1348,'Model Pricing'!$A$7:$A$8,0))</x:f>
        <x:v>40</x:v>
      </x:c>
      <x:c r="K1348" s="27" t="n">
        <x:f>INDEX('Model Pricing'!$C$7:$C$8,MATCH(F1348,'Model Pricing'!$A$7:$A$8,0))</x:f>
        <x:v>100</x:v>
      </x:c>
      <x:c r="L1348" s="17" t="n">
        <x:f>G1348+H1348</x:f>
        <x:v>15817</x:v>
      </x:c>
      <x:c r="M1348" s="28" t="n">
        <x:f>G1348*J1348/1000000</x:f>
        <x:v>0.4396</x:v>
      </x:c>
      <x:c r="N1348" s="28" t="n">
        <x:f>H1348*K1348/1000000</x:f>
        <x:v>0.4827</x:v>
      </x:c>
      <x:c r="O1348" s="28" t="n">
        <x:f>SUM(M1348:N1348)</x:f>
        <x:v>0.9223</x:v>
      </x:c>
    </x:row>
    <x:row r="1349" ht="23" customHeight="1">
      <x:c r="A1349" s="17" t="str">
        <x:v>U01343</x:v>
      </x:c>
      <x:c r="B1349" s="18" t="n">
        <x:v>46276</x:v>
      </x:c>
      <x:c r="C1349" s="17" t="str">
        <x:v>W0079</x:v>
      </x:c>
      <x:c r="D1349" s="17" t="str">
        <x:v>C002</x:v>
      </x:c>
      <x:c r="E1349" s="17" t="str">
        <x:v>CampaignChat</x:v>
      </x:c>
      <x:c r="F1349" s="17" t="str">
        <x:v>Pro</x:v>
      </x:c>
      <x:c r="G1349" s="17" t="n">
        <x:v>17199</x:v>
      </x:c>
      <x:c r="H1349" s="17" t="n">
        <x:v>15732</x:v>
      </x:c>
      <x:c r="I1349" s="17" t="str">
        <x:v>Correction</x:v>
      </x:c>
      <x:c r="J1349" s="27" t="n">
        <x:f>INDEX('Model Pricing'!$B$7:$B$8,MATCH(F1349,'Model Pricing'!$A$7:$A$8,0))</x:f>
        <x:v>40</x:v>
      </x:c>
      <x:c r="K1349" s="27" t="n">
        <x:f>INDEX('Model Pricing'!$C$7:$C$8,MATCH(F1349,'Model Pricing'!$A$7:$A$8,0))</x:f>
        <x:v>100</x:v>
      </x:c>
      <x:c r="L1349" s="17" t="n">
        <x:f>G1349+H1349</x:f>
        <x:v>32931</x:v>
      </x:c>
      <x:c r="M1349" s="28" t="n">
        <x:f>G1349*J1349/1000000</x:f>
        <x:v>0.68796</x:v>
      </x:c>
      <x:c r="N1349" s="28" t="n">
        <x:f>H1349*K1349/1000000</x:f>
        <x:v>1.5732</x:v>
      </x:c>
      <x:c r="O1349" s="28" t="n">
        <x:f>SUM(M1349:N1349)</x:f>
        <x:v>2.26116</x:v>
      </x:c>
    </x:row>
    <x:row r="1350" ht="23" customHeight="1">
      <x:c r="A1350" s="17" t="str">
        <x:v>U01344</x:v>
      </x:c>
      <x:c r="B1350" s="18" t="n">
        <x:v>46276</x:v>
      </x:c>
      <x:c r="C1350" s="17" t="str">
        <x:v>W0079</x:v>
      </x:c>
      <x:c r="D1350" s="17" t="str">
        <x:v>C002</x:v>
      </x:c>
      <x:c r="E1350" s="17" t="str">
        <x:v>CampaignChat</x:v>
      </x:c>
      <x:c r="F1350" s="17" t="str">
        <x:v>Pro</x:v>
      </x:c>
      <x:c r="G1350" s="17" t="n">
        <x:v>6924</x:v>
      </x:c>
      <x:c r="H1350" s="17" t="n">
        <x:v>13462</x:v>
      </x:c>
      <x:c r="I1350" s="17" t="str">
        <x:v>Followup</x:v>
      </x:c>
      <x:c r="J1350" s="27" t="n">
        <x:f>INDEX('Model Pricing'!$B$7:$B$8,MATCH(F1350,'Model Pricing'!$A$7:$A$8,0))</x:f>
        <x:v>40</x:v>
      </x:c>
      <x:c r="K1350" s="27" t="n">
        <x:f>INDEX('Model Pricing'!$C$7:$C$8,MATCH(F1350,'Model Pricing'!$A$7:$A$8,0))</x:f>
        <x:v>100</x:v>
      </x:c>
      <x:c r="L1350" s="17" t="n">
        <x:f>G1350+H1350</x:f>
        <x:v>20386</x:v>
      </x:c>
      <x:c r="M1350" s="28" t="n">
        <x:f>G1350*J1350/1000000</x:f>
        <x:v>0.27696</x:v>
      </x:c>
      <x:c r="N1350" s="28" t="n">
        <x:f>H1350*K1350/1000000</x:f>
        <x:v>1.3462</x:v>
      </x:c>
      <x:c r="O1350" s="28" t="n">
        <x:f>SUM(M1350:N1350)</x:f>
        <x:v>1.62316</x:v>
      </x:c>
    </x:row>
    <x:row r="1351" ht="23" customHeight="1">
      <x:c r="A1351" s="17" t="str">
        <x:v>U01345</x:v>
      </x:c>
      <x:c r="B1351" s="18" t="n">
        <x:v>46276</x:v>
      </x:c>
      <x:c r="C1351" s="17" t="str">
        <x:v>W0079</x:v>
      </x:c>
      <x:c r="D1351" s="17" t="str">
        <x:v>C002</x:v>
      </x:c>
      <x:c r="E1351" s="17" t="str">
        <x:v>CampaignChat</x:v>
      </x:c>
      <x:c r="F1351" s="17" t="str">
        <x:v>Pro</x:v>
      </x:c>
      <x:c r="G1351" s="17" t="n">
        <x:v>9253</x:v>
      </x:c>
      <x:c r="H1351" s="17" t="n">
        <x:v>8966</x:v>
      </x:c>
      <x:c r="I1351" s="17" t="str">
        <x:v>Followup</x:v>
      </x:c>
      <x:c r="J1351" s="27" t="n">
        <x:f>INDEX('Model Pricing'!$B$7:$B$8,MATCH(F1351,'Model Pricing'!$A$7:$A$8,0))</x:f>
        <x:v>40</x:v>
      </x:c>
      <x:c r="K1351" s="27" t="n">
        <x:f>INDEX('Model Pricing'!$C$7:$C$8,MATCH(F1351,'Model Pricing'!$A$7:$A$8,0))</x:f>
        <x:v>100</x:v>
      </x:c>
      <x:c r="L1351" s="17" t="n">
        <x:f>G1351+H1351</x:f>
        <x:v>18219</x:v>
      </x:c>
      <x:c r="M1351" s="28" t="n">
        <x:f>G1351*J1351/1000000</x:f>
        <x:v>0.37012</x:v>
      </x:c>
      <x:c r="N1351" s="28" t="n">
        <x:f>H1351*K1351/1000000</x:f>
        <x:v>0.8966</x:v>
      </x:c>
      <x:c r="O1351" s="28" t="n">
        <x:f>SUM(M1351:N1351)</x:f>
        <x:v>1.2667199999999998</x:v>
      </x:c>
    </x:row>
    <x:row r="1352" ht="23" customHeight="1">
      <x:c r="A1352" s="17" t="str">
        <x:v>U01346</x:v>
      </x:c>
      <x:c r="B1352" s="18" t="n">
        <x:v>46279</x:v>
      </x:c>
      <x:c r="C1352" s="17" t="str">
        <x:v>W0079</x:v>
      </x:c>
      <x:c r="D1352" s="17" t="str">
        <x:v>C002</x:v>
      </x:c>
      <x:c r="E1352" s="17" t="str">
        <x:v>CampaignChat</x:v>
      </x:c>
      <x:c r="F1352" s="17" t="str">
        <x:v>Pro</x:v>
      </x:c>
      <x:c r="G1352" s="17" t="n">
        <x:v>14909</x:v>
      </x:c>
      <x:c r="H1352" s="17" t="n">
        <x:v>10697</x:v>
      </x:c>
      <x:c r="I1352" s="17" t="str">
        <x:v>Followup</x:v>
      </x:c>
      <x:c r="J1352" s="27" t="n">
        <x:f>INDEX('Model Pricing'!$B$7:$B$8,MATCH(F1352,'Model Pricing'!$A$7:$A$8,0))</x:f>
        <x:v>40</x:v>
      </x:c>
      <x:c r="K1352" s="27" t="n">
        <x:f>INDEX('Model Pricing'!$C$7:$C$8,MATCH(F1352,'Model Pricing'!$A$7:$A$8,0))</x:f>
        <x:v>100</x:v>
      </x:c>
      <x:c r="L1352" s="17" t="n">
        <x:f>G1352+H1352</x:f>
        <x:v>25606</x:v>
      </x:c>
      <x:c r="M1352" s="28" t="n">
        <x:f>G1352*J1352/1000000</x:f>
        <x:v>0.59636</x:v>
      </x:c>
      <x:c r="N1352" s="28" t="n">
        <x:f>H1352*K1352/1000000</x:f>
        <x:v>1.0697</x:v>
      </x:c>
      <x:c r="O1352" s="28" t="n">
        <x:f>SUM(M1352:N1352)</x:f>
        <x:v>1.66606</x:v>
      </x:c>
    </x:row>
    <x:row r="1353" ht="23" customHeight="1">
      <x:c r="A1353" s="17" t="str">
        <x:v>U01347</x:v>
      </x:c>
      <x:c r="B1353" s="18" t="n">
        <x:v>46279</x:v>
      </x:c>
      <x:c r="C1353" s="17" t="str">
        <x:v>W0079</x:v>
      </x:c>
      <x:c r="D1353" s="17" t="str">
        <x:v>C002</x:v>
      </x:c>
      <x:c r="E1353" s="17" t="str">
        <x:v>CampaignChat</x:v>
      </x:c>
      <x:c r="F1353" s="17" t="str">
        <x:v>Pro</x:v>
      </x:c>
      <x:c r="G1353" s="17" t="n">
        <x:v>13779</x:v>
      </x:c>
      <x:c r="H1353" s="17" t="n">
        <x:v>11603</x:v>
      </x:c>
      <x:c r="I1353" s="17" t="str">
        <x:v>Followup</x:v>
      </x:c>
      <x:c r="J1353" s="27" t="n">
        <x:f>INDEX('Model Pricing'!$B$7:$B$8,MATCH(F1353,'Model Pricing'!$A$7:$A$8,0))</x:f>
        <x:v>40</x:v>
      </x:c>
      <x:c r="K1353" s="27" t="n">
        <x:f>INDEX('Model Pricing'!$C$7:$C$8,MATCH(F1353,'Model Pricing'!$A$7:$A$8,0))</x:f>
        <x:v>100</x:v>
      </x:c>
      <x:c r="L1353" s="17" t="n">
        <x:f>G1353+H1353</x:f>
        <x:v>25382</x:v>
      </x:c>
      <x:c r="M1353" s="28" t="n">
        <x:f>G1353*J1353/1000000</x:f>
        <x:v>0.55116</x:v>
      </x:c>
      <x:c r="N1353" s="28" t="n">
        <x:f>H1353*K1353/1000000</x:f>
        <x:v>1.1603</x:v>
      </x:c>
      <x:c r="O1353" s="28" t="n">
        <x:f>SUM(M1353:N1353)</x:f>
        <x:v>1.7114600000000002</x:v>
      </x:c>
    </x:row>
    <x:row r="1354" ht="23" customHeight="1">
      <x:c r="A1354" s="17" t="str">
        <x:v>U01348</x:v>
      </x:c>
      <x:c r="B1354" s="18" t="n">
        <x:v>46279</x:v>
      </x:c>
      <x:c r="C1354" s="17" t="str">
        <x:v>W0079</x:v>
      </x:c>
      <x:c r="D1354" s="17" t="str">
        <x:v>C002</x:v>
      </x:c>
      <x:c r="E1354" s="17" t="str">
        <x:v>CampaignChat</x:v>
      </x:c>
      <x:c r="F1354" s="17" t="str">
        <x:v>Pro</x:v>
      </x:c>
      <x:c r="G1354" s="17" t="n">
        <x:v>10750</x:v>
      </x:c>
      <x:c r="H1354" s="17" t="n">
        <x:v>8636</x:v>
      </x:c>
      <x:c r="I1354" s="17" t="str">
        <x:v>Followup</x:v>
      </x:c>
      <x:c r="J1354" s="27" t="n">
        <x:f>INDEX('Model Pricing'!$B$7:$B$8,MATCH(F1354,'Model Pricing'!$A$7:$A$8,0))</x:f>
        <x:v>40</x:v>
      </x:c>
      <x:c r="K1354" s="27" t="n">
        <x:f>INDEX('Model Pricing'!$C$7:$C$8,MATCH(F1354,'Model Pricing'!$A$7:$A$8,0))</x:f>
        <x:v>100</x:v>
      </x:c>
      <x:c r="L1354" s="17" t="n">
        <x:f>G1354+H1354</x:f>
        <x:v>19386</x:v>
      </x:c>
      <x:c r="M1354" s="28" t="n">
        <x:f>G1354*J1354/1000000</x:f>
        <x:v>0.43</x:v>
      </x:c>
      <x:c r="N1354" s="28" t="n">
        <x:f>H1354*K1354/1000000</x:f>
        <x:v>0.8636</x:v>
      </x:c>
      <x:c r="O1354" s="28" t="n">
        <x:f>SUM(M1354:N1354)</x:f>
        <x:v>1.2936</x:v>
      </x:c>
    </x:row>
    <x:row r="1355" ht="23" customHeight="1">
      <x:c r="A1355" s="17" t="str">
        <x:v>U01349</x:v>
      </x:c>
      <x:c r="B1355" s="18" t="n">
        <x:v>46279</x:v>
      </x:c>
      <x:c r="C1355" s="17" t="str">
        <x:v>W0079</x:v>
      </x:c>
      <x:c r="D1355" s="17" t="str">
        <x:v>C002</x:v>
      </x:c>
      <x:c r="E1355" s="17" t="str">
        <x:v>CampaignChat</x:v>
      </x:c>
      <x:c r="F1355" s="17" t="str">
        <x:v>Pro</x:v>
      </x:c>
      <x:c r="G1355" s="17" t="n">
        <x:v>15091</x:v>
      </x:c>
      <x:c r="H1355" s="17" t="n">
        <x:v>5173</x:v>
      </x:c>
      <x:c r="I1355" s="17" t="str">
        <x:v>Followup</x:v>
      </x:c>
      <x:c r="J1355" s="27" t="n">
        <x:f>INDEX('Model Pricing'!$B$7:$B$8,MATCH(F1355,'Model Pricing'!$A$7:$A$8,0))</x:f>
        <x:v>40</x:v>
      </x:c>
      <x:c r="K1355" s="27" t="n">
        <x:f>INDEX('Model Pricing'!$C$7:$C$8,MATCH(F1355,'Model Pricing'!$A$7:$A$8,0))</x:f>
        <x:v>100</x:v>
      </x:c>
      <x:c r="L1355" s="17" t="n">
        <x:f>G1355+H1355</x:f>
        <x:v>20264</x:v>
      </x:c>
      <x:c r="M1355" s="28" t="n">
        <x:f>G1355*J1355/1000000</x:f>
        <x:v>0.60364</x:v>
      </x:c>
      <x:c r="N1355" s="28" t="n">
        <x:f>H1355*K1355/1000000</x:f>
        <x:v>0.5173</x:v>
      </x:c>
      <x:c r="O1355" s="28" t="n">
        <x:f>SUM(M1355:N1355)</x:f>
        <x:v>1.12094</x:v>
      </x:c>
    </x:row>
    <x:row r="1356" ht="23" customHeight="1">
      <x:c r="A1356" s="17" t="str">
        <x:v>U01350</x:v>
      </x:c>
      <x:c r="B1356" s="18" t="n">
        <x:v>46279</x:v>
      </x:c>
      <x:c r="C1356" s="17" t="str">
        <x:v>W0079</x:v>
      </x:c>
      <x:c r="D1356" s="17" t="str">
        <x:v>C002</x:v>
      </x:c>
      <x:c r="E1356" s="17" t="str">
        <x:v>CampaignChat</x:v>
      </x:c>
      <x:c r="F1356" s="17" t="str">
        <x:v>Pro</x:v>
      </x:c>
      <x:c r="G1356" s="17" t="n">
        <x:v>13971</x:v>
      </x:c>
      <x:c r="H1356" s="17" t="n">
        <x:v>4943</x:v>
      </x:c>
      <x:c r="I1356" s="17" t="str">
        <x:v>Correction</x:v>
      </x:c>
      <x:c r="J1356" s="27" t="n">
        <x:f>INDEX('Model Pricing'!$B$7:$B$8,MATCH(F1356,'Model Pricing'!$A$7:$A$8,0))</x:f>
        <x:v>40</x:v>
      </x:c>
      <x:c r="K1356" s="27" t="n">
        <x:f>INDEX('Model Pricing'!$C$7:$C$8,MATCH(F1356,'Model Pricing'!$A$7:$A$8,0))</x:f>
        <x:v>100</x:v>
      </x:c>
      <x:c r="L1356" s="17" t="n">
        <x:f>G1356+H1356</x:f>
        <x:v>18914</x:v>
      </x:c>
      <x:c r="M1356" s="28" t="n">
        <x:f>G1356*J1356/1000000</x:f>
        <x:v>0.55884</x:v>
      </x:c>
      <x:c r="N1356" s="28" t="n">
        <x:f>H1356*K1356/1000000</x:f>
        <x:v>0.4943</x:v>
      </x:c>
      <x:c r="O1356" s="28" t="n">
        <x:f>SUM(M1356:N1356)</x:f>
        <x:v>1.05314</x:v>
      </x:c>
    </x:row>
    <x:row r="1357" ht="23" customHeight="1">
      <x:c r="A1357" s="17" t="str">
        <x:v>U01351</x:v>
      </x:c>
      <x:c r="B1357" s="18" t="n">
        <x:v>46279</x:v>
      </x:c>
      <x:c r="C1357" s="17" t="str">
        <x:v>W0079</x:v>
      </x:c>
      <x:c r="D1357" s="17" t="str">
        <x:v>C002</x:v>
      </x:c>
      <x:c r="E1357" s="17" t="str">
        <x:v>CampaignChat</x:v>
      </x:c>
      <x:c r="F1357" s="17" t="str">
        <x:v>Pro</x:v>
      </x:c>
      <x:c r="G1357" s="17" t="n">
        <x:v>15620</x:v>
      </x:c>
      <x:c r="H1357" s="17" t="n">
        <x:v>12479</x:v>
      </x:c>
      <x:c r="I1357" s="17" t="str">
        <x:v>Correction</x:v>
      </x:c>
      <x:c r="J1357" s="27" t="n">
        <x:f>INDEX('Model Pricing'!$B$7:$B$8,MATCH(F1357,'Model Pricing'!$A$7:$A$8,0))</x:f>
        <x:v>40</x:v>
      </x:c>
      <x:c r="K1357" s="27" t="n">
        <x:f>INDEX('Model Pricing'!$C$7:$C$8,MATCH(F1357,'Model Pricing'!$A$7:$A$8,0))</x:f>
        <x:v>100</x:v>
      </x:c>
      <x:c r="L1357" s="17" t="n">
        <x:f>G1357+H1357</x:f>
        <x:v>28099</x:v>
      </x:c>
      <x:c r="M1357" s="28" t="n">
        <x:f>G1357*J1357/1000000</x:f>
        <x:v>0.6248</x:v>
      </x:c>
      <x:c r="N1357" s="28" t="n">
        <x:f>H1357*K1357/1000000</x:f>
        <x:v>1.2479</x:v>
      </x:c>
      <x:c r="O1357" s="28" t="n">
        <x:f>SUM(M1357:N1357)</x:f>
        <x:v>1.8727</x:v>
      </x:c>
    </x:row>
    <x:row r="1358" ht="23" customHeight="1">
      <x:c r="A1358" s="17" t="str">
        <x:v>U01352</x:v>
      </x:c>
      <x:c r="B1358" s="18" t="n">
        <x:v>46279</x:v>
      </x:c>
      <x:c r="C1358" s="17" t="str">
        <x:v>W0079</x:v>
      </x:c>
      <x:c r="D1358" s="17" t="str">
        <x:v>C002</x:v>
      </x:c>
      <x:c r="E1358" s="17" t="str">
        <x:v>CampaignChat</x:v>
      </x:c>
      <x:c r="F1358" s="17" t="str">
        <x:v>Pro</x:v>
      </x:c>
      <x:c r="G1358" s="17" t="n">
        <x:v>12248</x:v>
      </x:c>
      <x:c r="H1358" s="17" t="n">
        <x:v>15538</x:v>
      </x:c>
      <x:c r="I1358" s="17" t="str">
        <x:v>Correction</x:v>
      </x:c>
      <x:c r="J1358" s="27" t="n">
        <x:f>INDEX('Model Pricing'!$B$7:$B$8,MATCH(F1358,'Model Pricing'!$A$7:$A$8,0))</x:f>
        <x:v>40</x:v>
      </x:c>
      <x:c r="K1358" s="27" t="n">
        <x:f>INDEX('Model Pricing'!$C$7:$C$8,MATCH(F1358,'Model Pricing'!$A$7:$A$8,0))</x:f>
        <x:v>100</x:v>
      </x:c>
      <x:c r="L1358" s="17" t="n">
        <x:f>G1358+H1358</x:f>
        <x:v>27786</x:v>
      </x:c>
      <x:c r="M1358" s="28" t="n">
        <x:f>G1358*J1358/1000000</x:f>
        <x:v>0.48992</x:v>
      </x:c>
      <x:c r="N1358" s="28" t="n">
        <x:f>H1358*K1358/1000000</x:f>
        <x:v>1.5538</x:v>
      </x:c>
      <x:c r="O1358" s="28" t="n">
        <x:f>SUM(M1358:N1358)</x:f>
        <x:v>2.04372</x:v>
      </x:c>
    </x:row>
    <x:row r="1359" ht="23" customHeight="1">
      <x:c r="A1359" s="17" t="str">
        <x:v>U01353</x:v>
      </x:c>
      <x:c r="B1359" s="18" t="n">
        <x:v>46280</x:v>
      </x:c>
      <x:c r="C1359" s="17" t="str">
        <x:v>W0079</x:v>
      </x:c>
      <x:c r="D1359" s="17" t="str">
        <x:v>C002</x:v>
      </x:c>
      <x:c r="E1359" s="17" t="str">
        <x:v>CampaignChat</x:v>
      </x:c>
      <x:c r="F1359" s="17" t="str">
        <x:v>Pro</x:v>
      </x:c>
      <x:c r="G1359" s="17" t="n">
        <x:v>13172</x:v>
      </x:c>
      <x:c r="H1359" s="17" t="n">
        <x:v>11663</x:v>
      </x:c>
      <x:c r="I1359" s="17" t="str">
        <x:v>Followup</x:v>
      </x:c>
      <x:c r="J1359" s="27" t="n">
        <x:f>INDEX('Model Pricing'!$B$7:$B$8,MATCH(F1359,'Model Pricing'!$A$7:$A$8,0))</x:f>
        <x:v>40</x:v>
      </x:c>
      <x:c r="K1359" s="27" t="n">
        <x:f>INDEX('Model Pricing'!$C$7:$C$8,MATCH(F1359,'Model Pricing'!$A$7:$A$8,0))</x:f>
        <x:v>100</x:v>
      </x:c>
      <x:c r="L1359" s="17" t="n">
        <x:f>G1359+H1359</x:f>
        <x:v>24835</x:v>
      </x:c>
      <x:c r="M1359" s="28" t="n">
        <x:f>G1359*J1359/1000000</x:f>
        <x:v>0.52688</x:v>
      </x:c>
      <x:c r="N1359" s="28" t="n">
        <x:f>H1359*K1359/1000000</x:f>
        <x:v>1.1663</x:v>
      </x:c>
      <x:c r="O1359" s="28" t="n">
        <x:f>SUM(M1359:N1359)</x:f>
        <x:v>1.69318</x:v>
      </x:c>
    </x:row>
    <x:row r="1360" ht="23" customHeight="1">
      <x:c r="A1360" s="17" t="str">
        <x:v>U01354</x:v>
      </x:c>
      <x:c r="B1360" s="18" t="n">
        <x:v>46280</x:v>
      </x:c>
      <x:c r="C1360" s="17" t="str">
        <x:v>W0079</x:v>
      </x:c>
      <x:c r="D1360" s="17" t="str">
        <x:v>C002</x:v>
      </x:c>
      <x:c r="E1360" s="17" t="str">
        <x:v>CampaignChat</x:v>
      </x:c>
      <x:c r="F1360" s="17" t="str">
        <x:v>Pro</x:v>
      </x:c>
      <x:c r="G1360" s="17" t="n">
        <x:v>9142</x:v>
      </x:c>
      <x:c r="H1360" s="17" t="n">
        <x:v>11042</x:v>
      </x:c>
      <x:c r="I1360" s="17" t="str">
        <x:v>Followup</x:v>
      </x:c>
      <x:c r="J1360" s="27" t="n">
        <x:f>INDEX('Model Pricing'!$B$7:$B$8,MATCH(F1360,'Model Pricing'!$A$7:$A$8,0))</x:f>
        <x:v>40</x:v>
      </x:c>
      <x:c r="K1360" s="27" t="n">
        <x:f>INDEX('Model Pricing'!$C$7:$C$8,MATCH(F1360,'Model Pricing'!$A$7:$A$8,0))</x:f>
        <x:v>100</x:v>
      </x:c>
      <x:c r="L1360" s="17" t="n">
        <x:f>G1360+H1360</x:f>
        <x:v>20184</x:v>
      </x:c>
      <x:c r="M1360" s="28" t="n">
        <x:f>G1360*J1360/1000000</x:f>
        <x:v>0.36568</x:v>
      </x:c>
      <x:c r="N1360" s="28" t="n">
        <x:f>H1360*K1360/1000000</x:f>
        <x:v>1.1042</x:v>
      </x:c>
      <x:c r="O1360" s="28" t="n">
        <x:f>SUM(M1360:N1360)</x:f>
        <x:v>1.46988</x:v>
      </x:c>
    </x:row>
    <x:row r="1361" ht="23" customHeight="1">
      <x:c r="A1361" s="17" t="str">
        <x:v>U01355</x:v>
      </x:c>
      <x:c r="B1361" s="18" t="n">
        <x:v>46280</x:v>
      </x:c>
      <x:c r="C1361" s="17" t="str">
        <x:v>W0079</x:v>
      </x:c>
      <x:c r="D1361" s="17" t="str">
        <x:v>C002</x:v>
      </x:c>
      <x:c r="E1361" s="17" t="str">
        <x:v>CampaignChat</x:v>
      </x:c>
      <x:c r="F1361" s="17" t="str">
        <x:v>Pro</x:v>
      </x:c>
      <x:c r="G1361" s="17" t="n">
        <x:v>11306</x:v>
      </x:c>
      <x:c r="H1361" s="17" t="n">
        <x:v>14486</x:v>
      </x:c>
      <x:c r="I1361" s="17" t="str">
        <x:v>Followup</x:v>
      </x:c>
      <x:c r="J1361" s="27" t="n">
        <x:f>INDEX('Model Pricing'!$B$7:$B$8,MATCH(F1361,'Model Pricing'!$A$7:$A$8,0))</x:f>
        <x:v>40</x:v>
      </x:c>
      <x:c r="K1361" s="27" t="n">
        <x:f>INDEX('Model Pricing'!$C$7:$C$8,MATCH(F1361,'Model Pricing'!$A$7:$A$8,0))</x:f>
        <x:v>100</x:v>
      </x:c>
      <x:c r="L1361" s="17" t="n">
        <x:f>G1361+H1361</x:f>
        <x:v>25792</x:v>
      </x:c>
      <x:c r="M1361" s="28" t="n">
        <x:f>G1361*J1361/1000000</x:f>
        <x:v>0.45224</x:v>
      </x:c>
      <x:c r="N1361" s="28" t="n">
        <x:f>H1361*K1361/1000000</x:f>
        <x:v>1.4486</x:v>
      </x:c>
      <x:c r="O1361" s="28" t="n">
        <x:f>SUM(M1361:N1361)</x:f>
        <x:v>1.90084</x:v>
      </x:c>
    </x:row>
    <x:row r="1362" ht="23" customHeight="1">
      <x:c r="A1362" s="17" t="str">
        <x:v>U01356</x:v>
      </x:c>
      <x:c r="B1362" s="18" t="n">
        <x:v>46280</x:v>
      </x:c>
      <x:c r="C1362" s="17" t="str">
        <x:v>W0079</x:v>
      </x:c>
      <x:c r="D1362" s="17" t="str">
        <x:v>C002</x:v>
      </x:c>
      <x:c r="E1362" s="17" t="str">
        <x:v>CampaignChat</x:v>
      </x:c>
      <x:c r="F1362" s="17" t="str">
        <x:v>Pro</x:v>
      </x:c>
      <x:c r="G1362" s="17" t="n">
        <x:v>8364</x:v>
      </x:c>
      <x:c r="H1362" s="17" t="n">
        <x:v>16604</x:v>
      </x:c>
      <x:c r="I1362" s="17" t="str">
        <x:v>Correction</x:v>
      </x:c>
      <x:c r="J1362" s="27" t="n">
        <x:f>INDEX('Model Pricing'!$B$7:$B$8,MATCH(F1362,'Model Pricing'!$A$7:$A$8,0))</x:f>
        <x:v>40</x:v>
      </x:c>
      <x:c r="K1362" s="27" t="n">
        <x:f>INDEX('Model Pricing'!$C$7:$C$8,MATCH(F1362,'Model Pricing'!$A$7:$A$8,0))</x:f>
        <x:v>100</x:v>
      </x:c>
      <x:c r="L1362" s="17" t="n">
        <x:f>G1362+H1362</x:f>
        <x:v>24968</x:v>
      </x:c>
      <x:c r="M1362" s="28" t="n">
        <x:f>G1362*J1362/1000000</x:f>
        <x:v>0.33456</x:v>
      </x:c>
      <x:c r="N1362" s="28" t="n">
        <x:f>H1362*K1362/1000000</x:f>
        <x:v>1.6604</x:v>
      </x:c>
      <x:c r="O1362" s="28" t="n">
        <x:f>SUM(M1362:N1362)</x:f>
        <x:v>1.99496</x:v>
      </x:c>
    </x:row>
    <x:row r="1363" ht="23" customHeight="1">
      <x:c r="A1363" s="17" t="str">
        <x:v>U01357</x:v>
      </x:c>
      <x:c r="B1363" s="18" t="n">
        <x:v>46280</x:v>
      </x:c>
      <x:c r="C1363" s="17" t="str">
        <x:v>W0079</x:v>
      </x:c>
      <x:c r="D1363" s="17" t="str">
        <x:v>C002</x:v>
      </x:c>
      <x:c r="E1363" s="17" t="str">
        <x:v>CampaignChat</x:v>
      </x:c>
      <x:c r="F1363" s="17" t="str">
        <x:v>Pro</x:v>
      </x:c>
      <x:c r="G1363" s="17" t="n">
        <x:v>7240</x:v>
      </x:c>
      <x:c r="H1363" s="17" t="n">
        <x:v>12890</x:v>
      </x:c>
      <x:c r="I1363" s="17" t="str">
        <x:v>Followup</x:v>
      </x:c>
      <x:c r="J1363" s="27" t="n">
        <x:f>INDEX('Model Pricing'!$B$7:$B$8,MATCH(F1363,'Model Pricing'!$A$7:$A$8,0))</x:f>
        <x:v>40</x:v>
      </x:c>
      <x:c r="K1363" s="27" t="n">
        <x:f>INDEX('Model Pricing'!$C$7:$C$8,MATCH(F1363,'Model Pricing'!$A$7:$A$8,0))</x:f>
        <x:v>100</x:v>
      </x:c>
      <x:c r="L1363" s="17" t="n">
        <x:f>G1363+H1363</x:f>
        <x:v>20130</x:v>
      </x:c>
      <x:c r="M1363" s="28" t="n">
        <x:f>G1363*J1363/1000000</x:f>
        <x:v>0.2896</x:v>
      </x:c>
      <x:c r="N1363" s="28" t="n">
        <x:f>H1363*K1363/1000000</x:f>
        <x:v>1.289</x:v>
      </x:c>
      <x:c r="O1363" s="28" t="n">
        <x:f>SUM(M1363:N1363)</x:f>
        <x:v>1.5786</x:v>
      </x:c>
    </x:row>
    <x:row r="1364" ht="23" customHeight="1">
      <x:c r="A1364" s="17" t="str">
        <x:v>U01358</x:v>
      </x:c>
      <x:c r="B1364" s="18" t="n">
        <x:v>46280</x:v>
      </x:c>
      <x:c r="C1364" s="17" t="str">
        <x:v>W0079</x:v>
      </x:c>
      <x:c r="D1364" s="17" t="str">
        <x:v>C002</x:v>
      </x:c>
      <x:c r="E1364" s="17" t="str">
        <x:v>CampaignChat</x:v>
      </x:c>
      <x:c r="F1364" s="17" t="str">
        <x:v>Pro</x:v>
      </x:c>
      <x:c r="G1364" s="17" t="n">
        <x:v>9747</x:v>
      </x:c>
      <x:c r="H1364" s="17" t="n">
        <x:v>4927</x:v>
      </x:c>
      <x:c r="I1364" s="17" t="str">
        <x:v>Correction</x:v>
      </x:c>
      <x:c r="J1364" s="27" t="n">
        <x:f>INDEX('Model Pricing'!$B$7:$B$8,MATCH(F1364,'Model Pricing'!$A$7:$A$8,0))</x:f>
        <x:v>40</x:v>
      </x:c>
      <x:c r="K1364" s="27" t="n">
        <x:f>INDEX('Model Pricing'!$C$7:$C$8,MATCH(F1364,'Model Pricing'!$A$7:$A$8,0))</x:f>
        <x:v>100</x:v>
      </x:c>
      <x:c r="L1364" s="17" t="n">
        <x:f>G1364+H1364</x:f>
        <x:v>14674</x:v>
      </x:c>
      <x:c r="M1364" s="28" t="n">
        <x:f>G1364*J1364/1000000</x:f>
        <x:v>0.38988</x:v>
      </x:c>
      <x:c r="N1364" s="28" t="n">
        <x:f>H1364*K1364/1000000</x:f>
        <x:v>0.4927</x:v>
      </x:c>
      <x:c r="O1364" s="28" t="n">
        <x:f>SUM(M1364:N1364)</x:f>
        <x:v>0.88258</x:v>
      </x:c>
    </x:row>
    <x:row r="1365" ht="23" customHeight="1">
      <x:c r="A1365" s="17" t="str">
        <x:v>U01359</x:v>
      </x:c>
      <x:c r="B1365" s="18" t="n">
        <x:v>46286</x:v>
      </x:c>
      <x:c r="C1365" s="17" t="str">
        <x:v>W0080</x:v>
      </x:c>
      <x:c r="D1365" s="17" t="str">
        <x:v>C002</x:v>
      </x:c>
      <x:c r="E1365" s="17" t="str">
        <x:v>DataFlow</x:v>
      </x:c>
      <x:c r="F1365" s="17" t="str">
        <x:v>Pro</x:v>
      </x:c>
      <x:c r="G1365" s="17" t="n">
        <x:v>33080</x:v>
      </x:c>
      <x:c r="H1365" s="17" t="n">
        <x:v>8161</x:v>
      </x:c>
      <x:c r="I1365" s="17" t="str">
        <x:v>First attempt</x:v>
      </x:c>
      <x:c r="J1365" s="27" t="n">
        <x:f>INDEX('Model Pricing'!$B$7:$B$8,MATCH(F1365,'Model Pricing'!$A$7:$A$8,0))</x:f>
        <x:v>40</x:v>
      </x:c>
      <x:c r="K1365" s="27" t="n">
        <x:f>INDEX('Model Pricing'!$C$7:$C$8,MATCH(F1365,'Model Pricing'!$A$7:$A$8,0))</x:f>
        <x:v>100</x:v>
      </x:c>
      <x:c r="L1365" s="17" t="n">
        <x:f>G1365+H1365</x:f>
        <x:v>41241</x:v>
      </x:c>
      <x:c r="M1365" s="28" t="n">
        <x:f>G1365*J1365/1000000</x:f>
        <x:v>1.3232</x:v>
      </x:c>
      <x:c r="N1365" s="28" t="n">
        <x:f>H1365*K1365/1000000</x:f>
        <x:v>0.8161</x:v>
      </x:c>
      <x:c r="O1365" s="28" t="n">
        <x:f>SUM(M1365:N1365)</x:f>
        <x:v>2.1393</x:v>
      </x:c>
    </x:row>
    <x:row r="1366" ht="23" customHeight="1">
      <x:c r="A1366" s="17" t="str">
        <x:v>U01360</x:v>
      </x:c>
      <x:c r="B1366" s="18" t="n">
        <x:v>46286</x:v>
      </x:c>
      <x:c r="C1366" s="17" t="str">
        <x:v>W0080</x:v>
      </x:c>
      <x:c r="D1366" s="17" t="str">
        <x:v>C002</x:v>
      </x:c>
      <x:c r="E1366" s="17" t="str">
        <x:v>DataFlow</x:v>
      </x:c>
      <x:c r="F1366" s="17" t="str">
        <x:v>Pro</x:v>
      </x:c>
      <x:c r="G1366" s="17" t="n">
        <x:v>40773</x:v>
      </x:c>
      <x:c r="H1366" s="17" t="n">
        <x:v>13143</x:v>
      </x:c>
      <x:c r="I1366" s="17" t="str">
        <x:v>Followup</x:v>
      </x:c>
      <x:c r="J1366" s="27" t="n">
        <x:f>INDEX('Model Pricing'!$B$7:$B$8,MATCH(F1366,'Model Pricing'!$A$7:$A$8,0))</x:f>
        <x:v>40</x:v>
      </x:c>
      <x:c r="K1366" s="27" t="n">
        <x:f>INDEX('Model Pricing'!$C$7:$C$8,MATCH(F1366,'Model Pricing'!$A$7:$A$8,0))</x:f>
        <x:v>100</x:v>
      </x:c>
      <x:c r="L1366" s="17" t="n">
        <x:f>G1366+H1366</x:f>
        <x:v>53916</x:v>
      </x:c>
      <x:c r="M1366" s="28" t="n">
        <x:f>G1366*J1366/1000000</x:f>
        <x:v>1.63092</x:v>
      </x:c>
      <x:c r="N1366" s="28" t="n">
        <x:f>H1366*K1366/1000000</x:f>
        <x:v>1.3143</x:v>
      </x:c>
      <x:c r="O1366" s="28" t="n">
        <x:f>SUM(M1366:N1366)</x:f>
        <x:v>2.94522</x:v>
      </x:c>
    </x:row>
    <x:row r="1367" ht="23" customHeight="1">
      <x:c r="A1367" s="17" t="str">
        <x:v>U01361</x:v>
      </x:c>
      <x:c r="B1367" s="18" t="n">
        <x:v>46286</x:v>
      </x:c>
      <x:c r="C1367" s="17" t="str">
        <x:v>W0080</x:v>
      </x:c>
      <x:c r="D1367" s="17" t="str">
        <x:v>C002</x:v>
      </x:c>
      <x:c r="E1367" s="17" t="str">
        <x:v>DataFlow</x:v>
      </x:c>
      <x:c r="F1367" s="17" t="str">
        <x:v>Pro</x:v>
      </x:c>
      <x:c r="G1367" s="17" t="n">
        <x:v>36623</x:v>
      </x:c>
      <x:c r="H1367" s="17" t="n">
        <x:v>20768</x:v>
      </x:c>
      <x:c r="I1367" s="17" t="str">
        <x:v>Correction</x:v>
      </x:c>
      <x:c r="J1367" s="27" t="n">
        <x:f>INDEX('Model Pricing'!$B$7:$B$8,MATCH(F1367,'Model Pricing'!$A$7:$A$8,0))</x:f>
        <x:v>40</x:v>
      </x:c>
      <x:c r="K1367" s="27" t="n">
        <x:f>INDEX('Model Pricing'!$C$7:$C$8,MATCH(F1367,'Model Pricing'!$A$7:$A$8,0))</x:f>
        <x:v>100</x:v>
      </x:c>
      <x:c r="L1367" s="17" t="n">
        <x:f>G1367+H1367</x:f>
        <x:v>57391</x:v>
      </x:c>
      <x:c r="M1367" s="28" t="n">
        <x:f>G1367*J1367/1000000</x:f>
        <x:v>1.46492</x:v>
      </x:c>
      <x:c r="N1367" s="28" t="n">
        <x:f>H1367*K1367/1000000</x:f>
        <x:v>2.0768</x:v>
      </x:c>
      <x:c r="O1367" s="28" t="n">
        <x:f>SUM(M1367:N1367)</x:f>
        <x:v>3.5417199999999998</x:v>
      </x:c>
    </x:row>
    <x:row r="1368" ht="23" customHeight="1">
      <x:c r="A1368" s="17" t="str">
        <x:v>U01362</x:v>
      </x:c>
      <x:c r="B1368" s="18" t="n">
        <x:v>46286</x:v>
      </x:c>
      <x:c r="C1368" s="17" t="str">
        <x:v>W0080</x:v>
      </x:c>
      <x:c r="D1368" s="17" t="str">
        <x:v>C002</x:v>
      </x:c>
      <x:c r="E1368" s="17" t="str">
        <x:v>DataFlow</x:v>
      </x:c>
      <x:c r="F1368" s="17" t="str">
        <x:v>Pro</x:v>
      </x:c>
      <x:c r="G1368" s="17" t="n">
        <x:v>22162</x:v>
      </x:c>
      <x:c r="H1368" s="17" t="n">
        <x:v>15707</x:v>
      </x:c>
      <x:c r="I1368" s="17" t="str">
        <x:v>Followup</x:v>
      </x:c>
      <x:c r="J1368" s="27" t="n">
        <x:f>INDEX('Model Pricing'!$B$7:$B$8,MATCH(F1368,'Model Pricing'!$A$7:$A$8,0))</x:f>
        <x:v>40</x:v>
      </x:c>
      <x:c r="K1368" s="27" t="n">
        <x:f>INDEX('Model Pricing'!$C$7:$C$8,MATCH(F1368,'Model Pricing'!$A$7:$A$8,0))</x:f>
        <x:v>100</x:v>
      </x:c>
      <x:c r="L1368" s="17" t="n">
        <x:f>G1368+H1368</x:f>
        <x:v>37869</x:v>
      </x:c>
      <x:c r="M1368" s="28" t="n">
        <x:f>G1368*J1368/1000000</x:f>
        <x:v>0.88648</x:v>
      </x:c>
      <x:c r="N1368" s="28" t="n">
        <x:f>H1368*K1368/1000000</x:f>
        <x:v>1.5707</x:v>
      </x:c>
      <x:c r="O1368" s="28" t="n">
        <x:f>SUM(M1368:N1368)</x:f>
        <x:v>2.45718</x:v>
      </x:c>
    </x:row>
    <x:row r="1369" ht="23" customHeight="1">
      <x:c r="A1369" s="17" t="str">
        <x:v>U01363</x:v>
      </x:c>
      <x:c r="B1369" s="18" t="n">
        <x:v>46286</x:v>
      </x:c>
      <x:c r="C1369" s="17" t="str">
        <x:v>W0080</x:v>
      </x:c>
      <x:c r="D1369" s="17" t="str">
        <x:v>C002</x:v>
      </x:c>
      <x:c r="E1369" s="17" t="str">
        <x:v>DataFlow</x:v>
      </x:c>
      <x:c r="F1369" s="17" t="str">
        <x:v>Pro</x:v>
      </x:c>
      <x:c r="G1369" s="17" t="n">
        <x:v>15563</x:v>
      </x:c>
      <x:c r="H1369" s="17" t="n">
        <x:v>15193</x:v>
      </x:c>
      <x:c r="I1369" s="17" t="str">
        <x:v>Correction</x:v>
      </x:c>
      <x:c r="J1369" s="27" t="n">
        <x:f>INDEX('Model Pricing'!$B$7:$B$8,MATCH(F1369,'Model Pricing'!$A$7:$A$8,0))</x:f>
        <x:v>40</x:v>
      </x:c>
      <x:c r="K1369" s="27" t="n">
        <x:f>INDEX('Model Pricing'!$C$7:$C$8,MATCH(F1369,'Model Pricing'!$A$7:$A$8,0))</x:f>
        <x:v>100</x:v>
      </x:c>
      <x:c r="L1369" s="17" t="n">
        <x:f>G1369+H1369</x:f>
        <x:v>30756</x:v>
      </x:c>
      <x:c r="M1369" s="28" t="n">
        <x:f>G1369*J1369/1000000</x:f>
        <x:v>0.62252</x:v>
      </x:c>
      <x:c r="N1369" s="28" t="n">
        <x:f>H1369*K1369/1000000</x:f>
        <x:v>1.5193</x:v>
      </x:c>
      <x:c r="O1369" s="28" t="n">
        <x:f>SUM(M1369:N1369)</x:f>
        <x:v>2.14182</x:v>
      </x:c>
    </x:row>
    <x:row r="1370" ht="23" customHeight="1">
      <x:c r="A1370" s="17" t="str">
        <x:v>U01364</x:v>
      </x:c>
      <x:c r="B1370" s="18" t="n">
        <x:v>46286</x:v>
      </x:c>
      <x:c r="C1370" s="17" t="str">
        <x:v>W0080</x:v>
      </x:c>
      <x:c r="D1370" s="17" t="str">
        <x:v>C002</x:v>
      </x:c>
      <x:c r="E1370" s="17" t="str">
        <x:v>DataFlow</x:v>
      </x:c>
      <x:c r="F1370" s="17" t="str">
        <x:v>Pro</x:v>
      </x:c>
      <x:c r="G1370" s="17" t="n">
        <x:v>17535</x:v>
      </x:c>
      <x:c r="H1370" s="17" t="n">
        <x:v>5401</x:v>
      </x:c>
      <x:c r="I1370" s="17" t="str">
        <x:v>Correction</x:v>
      </x:c>
      <x:c r="J1370" s="27" t="n">
        <x:f>INDEX('Model Pricing'!$B$7:$B$8,MATCH(F1370,'Model Pricing'!$A$7:$A$8,0))</x:f>
        <x:v>40</x:v>
      </x:c>
      <x:c r="K1370" s="27" t="n">
        <x:f>INDEX('Model Pricing'!$C$7:$C$8,MATCH(F1370,'Model Pricing'!$A$7:$A$8,0))</x:f>
        <x:v>100</x:v>
      </x:c>
      <x:c r="L1370" s="17" t="n">
        <x:f>G1370+H1370</x:f>
        <x:v>22936</x:v>
      </x:c>
      <x:c r="M1370" s="28" t="n">
        <x:f>G1370*J1370/1000000</x:f>
        <x:v>0.7014</x:v>
      </x:c>
      <x:c r="N1370" s="28" t="n">
        <x:f>H1370*K1370/1000000</x:f>
        <x:v>0.5401</x:v>
      </x:c>
      <x:c r="O1370" s="28" t="n">
        <x:f>SUM(M1370:N1370)</x:f>
        <x:v>1.2415</x:v>
      </x:c>
    </x:row>
    <x:row r="1371" ht="23" customHeight="1">
      <x:c r="A1371" s="17" t="str">
        <x:v>U01365</x:v>
      </x:c>
      <x:c r="B1371" s="18" t="n">
        <x:v>46286</x:v>
      </x:c>
      <x:c r="C1371" s="17" t="str">
        <x:v>W0080</x:v>
      </x:c>
      <x:c r="D1371" s="17" t="str">
        <x:v>C002</x:v>
      </x:c>
      <x:c r="E1371" s="17" t="str">
        <x:v>DataFlow</x:v>
      </x:c>
      <x:c r="F1371" s="17" t="str">
        <x:v>Pro</x:v>
      </x:c>
      <x:c r="G1371" s="17" t="n">
        <x:v>32160</x:v>
      </x:c>
      <x:c r="H1371" s="17" t="n">
        <x:v>8150</x:v>
      </x:c>
      <x:c r="I1371" s="17" t="str">
        <x:v>Correction</x:v>
      </x:c>
      <x:c r="J1371" s="27" t="n">
        <x:f>INDEX('Model Pricing'!$B$7:$B$8,MATCH(F1371,'Model Pricing'!$A$7:$A$8,0))</x:f>
        <x:v>40</x:v>
      </x:c>
      <x:c r="K1371" s="27" t="n">
        <x:f>INDEX('Model Pricing'!$C$7:$C$8,MATCH(F1371,'Model Pricing'!$A$7:$A$8,0))</x:f>
        <x:v>100</x:v>
      </x:c>
      <x:c r="L1371" s="17" t="n">
        <x:f>G1371+H1371</x:f>
        <x:v>40310</x:v>
      </x:c>
      <x:c r="M1371" s="28" t="n">
        <x:f>G1371*J1371/1000000</x:f>
        <x:v>1.2864</x:v>
      </x:c>
      <x:c r="N1371" s="28" t="n">
        <x:f>H1371*K1371/1000000</x:f>
        <x:v>0.815</x:v>
      </x:c>
      <x:c r="O1371" s="28" t="n">
        <x:f>SUM(M1371:N1371)</x:f>
        <x:v>2.1014</x:v>
      </x:c>
    </x:row>
    <x:row r="1372" ht="23" customHeight="1">
      <x:c r="A1372" s="17" t="str">
        <x:v>U01366</x:v>
      </x:c>
      <x:c r="B1372" s="18" t="n">
        <x:v>46287</x:v>
      </x:c>
      <x:c r="C1372" s="17" t="str">
        <x:v>W0080</x:v>
      </x:c>
      <x:c r="D1372" s="17" t="str">
        <x:v>C002</x:v>
      </x:c>
      <x:c r="E1372" s="17" t="str">
        <x:v>DataFlow</x:v>
      </x:c>
      <x:c r="F1372" s="17" t="str">
        <x:v>Pro</x:v>
      </x:c>
      <x:c r="G1372" s="17" t="n">
        <x:v>15594</x:v>
      </x:c>
      <x:c r="H1372" s="17" t="n">
        <x:v>15524</x:v>
      </x:c>
      <x:c r="I1372" s="17" t="str">
        <x:v>Followup</x:v>
      </x:c>
      <x:c r="J1372" s="27" t="n">
        <x:f>INDEX('Model Pricing'!$B$7:$B$8,MATCH(F1372,'Model Pricing'!$A$7:$A$8,0))</x:f>
        <x:v>40</x:v>
      </x:c>
      <x:c r="K1372" s="27" t="n">
        <x:f>INDEX('Model Pricing'!$C$7:$C$8,MATCH(F1372,'Model Pricing'!$A$7:$A$8,0))</x:f>
        <x:v>100</x:v>
      </x:c>
      <x:c r="L1372" s="17" t="n">
        <x:f>G1372+H1372</x:f>
        <x:v>31118</x:v>
      </x:c>
      <x:c r="M1372" s="28" t="n">
        <x:f>G1372*J1372/1000000</x:f>
        <x:v>0.62376</x:v>
      </x:c>
      <x:c r="N1372" s="28" t="n">
        <x:f>H1372*K1372/1000000</x:f>
        <x:v>1.5524</x:v>
      </x:c>
      <x:c r="O1372" s="28" t="n">
        <x:f>SUM(M1372:N1372)</x:f>
        <x:v>2.17616</x:v>
      </x:c>
    </x:row>
    <x:row r="1373" ht="23" customHeight="1">
      <x:c r="A1373" s="17" t="str">
        <x:v>U01367</x:v>
      </x:c>
      <x:c r="B1373" s="18" t="n">
        <x:v>46287</x:v>
      </x:c>
      <x:c r="C1373" s="17" t="str">
        <x:v>W0080</x:v>
      </x:c>
      <x:c r="D1373" s="17" t="str">
        <x:v>C002</x:v>
      </x:c>
      <x:c r="E1373" s="17" t="str">
        <x:v>DataFlow</x:v>
      </x:c>
      <x:c r="F1373" s="17" t="str">
        <x:v>Pro</x:v>
      </x:c>
      <x:c r="G1373" s="17" t="n">
        <x:v>34990</x:v>
      </x:c>
      <x:c r="H1373" s="17" t="n">
        <x:v>7501</x:v>
      </x:c>
      <x:c r="I1373" s="17" t="str">
        <x:v>Followup</x:v>
      </x:c>
      <x:c r="J1373" s="27" t="n">
        <x:f>INDEX('Model Pricing'!$B$7:$B$8,MATCH(F1373,'Model Pricing'!$A$7:$A$8,0))</x:f>
        <x:v>40</x:v>
      </x:c>
      <x:c r="K1373" s="27" t="n">
        <x:f>INDEX('Model Pricing'!$C$7:$C$8,MATCH(F1373,'Model Pricing'!$A$7:$A$8,0))</x:f>
        <x:v>100</x:v>
      </x:c>
      <x:c r="L1373" s="17" t="n">
        <x:f>G1373+H1373</x:f>
        <x:v>42491</x:v>
      </x:c>
      <x:c r="M1373" s="28" t="n">
        <x:f>G1373*J1373/1000000</x:f>
        <x:v>1.3996</x:v>
      </x:c>
      <x:c r="N1373" s="28" t="n">
        <x:f>H1373*K1373/1000000</x:f>
        <x:v>0.7501</x:v>
      </x:c>
      <x:c r="O1373" s="28" t="n">
        <x:f>SUM(M1373:N1373)</x:f>
        <x:v>2.1497</x:v>
      </x:c>
    </x:row>
    <x:row r="1374" ht="23" customHeight="1">
      <x:c r="A1374" s="17" t="str">
        <x:v>U01368</x:v>
      </x:c>
      <x:c r="B1374" s="18" t="n">
        <x:v>46287</x:v>
      </x:c>
      <x:c r="C1374" s="17" t="str">
        <x:v>W0080</x:v>
      </x:c>
      <x:c r="D1374" s="17" t="str">
        <x:v>C002</x:v>
      </x:c>
      <x:c r="E1374" s="17" t="str">
        <x:v>DataFlow</x:v>
      </x:c>
      <x:c r="F1374" s="17" t="str">
        <x:v>Pro</x:v>
      </x:c>
      <x:c r="G1374" s="17" t="n">
        <x:v>26855</x:v>
      </x:c>
      <x:c r="H1374" s="17" t="n">
        <x:v>5509</x:v>
      </x:c>
      <x:c r="I1374" s="17" t="str">
        <x:v>Correction</x:v>
      </x:c>
      <x:c r="J1374" s="27" t="n">
        <x:f>INDEX('Model Pricing'!$B$7:$B$8,MATCH(F1374,'Model Pricing'!$A$7:$A$8,0))</x:f>
        <x:v>40</x:v>
      </x:c>
      <x:c r="K1374" s="27" t="n">
        <x:f>INDEX('Model Pricing'!$C$7:$C$8,MATCH(F1374,'Model Pricing'!$A$7:$A$8,0))</x:f>
        <x:v>100</x:v>
      </x:c>
      <x:c r="L1374" s="17" t="n">
        <x:f>G1374+H1374</x:f>
        <x:v>32364</x:v>
      </x:c>
      <x:c r="M1374" s="28" t="n">
        <x:f>G1374*J1374/1000000</x:f>
        <x:v>1.0742</x:v>
      </x:c>
      <x:c r="N1374" s="28" t="n">
        <x:f>H1374*K1374/1000000</x:f>
        <x:v>0.5509</x:v>
      </x:c>
      <x:c r="O1374" s="28" t="n">
        <x:f>SUM(M1374:N1374)</x:f>
        <x:v>1.6251</x:v>
      </x:c>
    </x:row>
    <x:row r="1375" ht="23" customHeight="1">
      <x:c r="A1375" s="17" t="str">
        <x:v>U01369</x:v>
      </x:c>
      <x:c r="B1375" s="18" t="n">
        <x:v>46287</x:v>
      </x:c>
      <x:c r="C1375" s="17" t="str">
        <x:v>W0080</x:v>
      </x:c>
      <x:c r="D1375" s="17" t="str">
        <x:v>C002</x:v>
      </x:c>
      <x:c r="E1375" s="17" t="str">
        <x:v>DataFlow</x:v>
      </x:c>
      <x:c r="F1375" s="17" t="str">
        <x:v>Pro</x:v>
      </x:c>
      <x:c r="G1375" s="17" t="n">
        <x:v>14664</x:v>
      </x:c>
      <x:c r="H1375" s="17" t="n">
        <x:v>11288</x:v>
      </x:c>
      <x:c r="I1375" s="17" t="str">
        <x:v>Followup</x:v>
      </x:c>
      <x:c r="J1375" s="27" t="n">
        <x:f>INDEX('Model Pricing'!$B$7:$B$8,MATCH(F1375,'Model Pricing'!$A$7:$A$8,0))</x:f>
        <x:v>40</x:v>
      </x:c>
      <x:c r="K1375" s="27" t="n">
        <x:f>INDEX('Model Pricing'!$C$7:$C$8,MATCH(F1375,'Model Pricing'!$A$7:$A$8,0))</x:f>
        <x:v>100</x:v>
      </x:c>
      <x:c r="L1375" s="17" t="n">
        <x:f>G1375+H1375</x:f>
        <x:v>25952</x:v>
      </x:c>
      <x:c r="M1375" s="28" t="n">
        <x:f>G1375*J1375/1000000</x:f>
        <x:v>0.58656</x:v>
      </x:c>
      <x:c r="N1375" s="28" t="n">
        <x:f>H1375*K1375/1000000</x:f>
        <x:v>1.1288</x:v>
      </x:c>
      <x:c r="O1375" s="28" t="n">
        <x:f>SUM(M1375:N1375)</x:f>
        <x:v>1.71536</x:v>
      </x:c>
    </x:row>
    <x:row r="1376" ht="23" customHeight="1">
      <x:c r="A1376" s="17" t="str">
        <x:v>U01370</x:v>
      </x:c>
      <x:c r="B1376" s="18" t="n">
        <x:v>46287</x:v>
      </x:c>
      <x:c r="C1376" s="17" t="str">
        <x:v>W0080</x:v>
      </x:c>
      <x:c r="D1376" s="17" t="str">
        <x:v>C002</x:v>
      </x:c>
      <x:c r="E1376" s="17" t="str">
        <x:v>DataFlow</x:v>
      </x:c>
      <x:c r="F1376" s="17" t="str">
        <x:v>Pro</x:v>
      </x:c>
      <x:c r="G1376" s="17" t="n">
        <x:v>32490</x:v>
      </x:c>
      <x:c r="H1376" s="17" t="n">
        <x:v>13461</x:v>
      </x:c>
      <x:c r="I1376" s="17" t="str">
        <x:v>Followup</x:v>
      </x:c>
      <x:c r="J1376" s="27" t="n">
        <x:f>INDEX('Model Pricing'!$B$7:$B$8,MATCH(F1376,'Model Pricing'!$A$7:$A$8,0))</x:f>
        <x:v>40</x:v>
      </x:c>
      <x:c r="K1376" s="27" t="n">
        <x:f>INDEX('Model Pricing'!$C$7:$C$8,MATCH(F1376,'Model Pricing'!$A$7:$A$8,0))</x:f>
        <x:v>100</x:v>
      </x:c>
      <x:c r="L1376" s="17" t="n">
        <x:f>G1376+H1376</x:f>
        <x:v>45951</x:v>
      </x:c>
      <x:c r="M1376" s="28" t="n">
        <x:f>G1376*J1376/1000000</x:f>
        <x:v>1.2996</x:v>
      </x:c>
      <x:c r="N1376" s="28" t="n">
        <x:f>H1376*K1376/1000000</x:f>
        <x:v>1.3461</x:v>
      </x:c>
      <x:c r="O1376" s="28" t="n">
        <x:f>SUM(M1376:N1376)</x:f>
        <x:v>2.6457</x:v>
      </x:c>
    </x:row>
    <x:row r="1377" ht="23" customHeight="1">
      <x:c r="A1377" s="17" t="str">
        <x:v>U01371</x:v>
      </x:c>
      <x:c r="B1377" s="18" t="n">
        <x:v>46287</x:v>
      </x:c>
      <x:c r="C1377" s="17" t="str">
        <x:v>W0080</x:v>
      </x:c>
      <x:c r="D1377" s="17" t="str">
        <x:v>C002</x:v>
      </x:c>
      <x:c r="E1377" s="17" t="str">
        <x:v>DataFlow</x:v>
      </x:c>
      <x:c r="F1377" s="17" t="str">
        <x:v>Pro</x:v>
      </x:c>
      <x:c r="G1377" s="17" t="n">
        <x:v>31780</x:v>
      </x:c>
      <x:c r="H1377" s="17" t="n">
        <x:v>12991</x:v>
      </x:c>
      <x:c r="I1377" s="17" t="str">
        <x:v>Followup</x:v>
      </x:c>
      <x:c r="J1377" s="27" t="n">
        <x:f>INDEX('Model Pricing'!$B$7:$B$8,MATCH(F1377,'Model Pricing'!$A$7:$A$8,0))</x:f>
        <x:v>40</x:v>
      </x:c>
      <x:c r="K1377" s="27" t="n">
        <x:f>INDEX('Model Pricing'!$C$7:$C$8,MATCH(F1377,'Model Pricing'!$A$7:$A$8,0))</x:f>
        <x:v>100</x:v>
      </x:c>
      <x:c r="L1377" s="17" t="n">
        <x:f>G1377+H1377</x:f>
        <x:v>44771</x:v>
      </x:c>
      <x:c r="M1377" s="28" t="n">
        <x:f>G1377*J1377/1000000</x:f>
        <x:v>1.2712</x:v>
      </x:c>
      <x:c r="N1377" s="28" t="n">
        <x:f>H1377*K1377/1000000</x:f>
        <x:v>1.2991</x:v>
      </x:c>
      <x:c r="O1377" s="28" t="n">
        <x:f>SUM(M1377:N1377)</x:f>
        <x:v>2.5703</x:v>
      </x:c>
    </x:row>
    <x:row r="1378" ht="23" customHeight="1">
      <x:c r="A1378" s="17" t="str">
        <x:v>U01372</x:v>
      </x:c>
      <x:c r="B1378" s="18" t="n">
        <x:v>46288</x:v>
      </x:c>
      <x:c r="C1378" s="17" t="str">
        <x:v>W0080</x:v>
      </x:c>
      <x:c r="D1378" s="17" t="str">
        <x:v>C002</x:v>
      </x:c>
      <x:c r="E1378" s="17" t="str">
        <x:v>DataFlow</x:v>
      </x:c>
      <x:c r="F1378" s="17" t="str">
        <x:v>Pro</x:v>
      </x:c>
      <x:c r="G1378" s="17" t="n">
        <x:v>22319</x:v>
      </x:c>
      <x:c r="H1378" s="17" t="n">
        <x:v>20750</x:v>
      </x:c>
      <x:c r="I1378" s="17" t="str">
        <x:v>Followup</x:v>
      </x:c>
      <x:c r="J1378" s="27" t="n">
        <x:f>INDEX('Model Pricing'!$B$7:$B$8,MATCH(F1378,'Model Pricing'!$A$7:$A$8,0))</x:f>
        <x:v>40</x:v>
      </x:c>
      <x:c r="K1378" s="27" t="n">
        <x:f>INDEX('Model Pricing'!$C$7:$C$8,MATCH(F1378,'Model Pricing'!$A$7:$A$8,0))</x:f>
        <x:v>100</x:v>
      </x:c>
      <x:c r="L1378" s="17" t="n">
        <x:f>G1378+H1378</x:f>
        <x:v>43069</x:v>
      </x:c>
      <x:c r="M1378" s="28" t="n">
        <x:f>G1378*J1378/1000000</x:f>
        <x:v>0.89276</x:v>
      </x:c>
      <x:c r="N1378" s="28" t="n">
        <x:f>H1378*K1378/1000000</x:f>
        <x:v>2.075</x:v>
      </x:c>
      <x:c r="O1378" s="28" t="n">
        <x:f>SUM(M1378:N1378)</x:f>
        <x:v>2.96776</x:v>
      </x:c>
    </x:row>
    <x:row r="1379" ht="23" customHeight="1">
      <x:c r="A1379" s="17" t="str">
        <x:v>U01373</x:v>
      </x:c>
      <x:c r="B1379" s="18" t="n">
        <x:v>46288</x:v>
      </x:c>
      <x:c r="C1379" s="17" t="str">
        <x:v>W0080</x:v>
      </x:c>
      <x:c r="D1379" s="17" t="str">
        <x:v>C002</x:v>
      </x:c>
      <x:c r="E1379" s="17" t="str">
        <x:v>DataFlow</x:v>
      </x:c>
      <x:c r="F1379" s="17" t="str">
        <x:v>Pro</x:v>
      </x:c>
      <x:c r="G1379" s="17" t="n">
        <x:v>27747</x:v>
      </x:c>
      <x:c r="H1379" s="17" t="n">
        <x:v>7714</x:v>
      </x:c>
      <x:c r="I1379" s="17" t="str">
        <x:v>Followup</x:v>
      </x:c>
      <x:c r="J1379" s="27" t="n">
        <x:f>INDEX('Model Pricing'!$B$7:$B$8,MATCH(F1379,'Model Pricing'!$A$7:$A$8,0))</x:f>
        <x:v>40</x:v>
      </x:c>
      <x:c r="K1379" s="27" t="n">
        <x:f>INDEX('Model Pricing'!$C$7:$C$8,MATCH(F1379,'Model Pricing'!$A$7:$A$8,0))</x:f>
        <x:v>100</x:v>
      </x:c>
      <x:c r="L1379" s="17" t="n">
        <x:f>G1379+H1379</x:f>
        <x:v>35461</x:v>
      </x:c>
      <x:c r="M1379" s="28" t="n">
        <x:f>G1379*J1379/1000000</x:f>
        <x:v>1.10988</x:v>
      </x:c>
      <x:c r="N1379" s="28" t="n">
        <x:f>H1379*K1379/1000000</x:f>
        <x:v>0.7714</x:v>
      </x:c>
      <x:c r="O1379" s="28" t="n">
        <x:f>SUM(M1379:N1379)</x:f>
        <x:v>1.8812799999999998</x:v>
      </x:c>
    </x:row>
    <x:row r="1380" ht="23" customHeight="1">
      <x:c r="A1380" s="17" t="str">
        <x:v>U01374</x:v>
      </x:c>
      <x:c r="B1380" s="18" t="n">
        <x:v>46288</x:v>
      </x:c>
      <x:c r="C1380" s="17" t="str">
        <x:v>W0080</x:v>
      </x:c>
      <x:c r="D1380" s="17" t="str">
        <x:v>C002</x:v>
      </x:c>
      <x:c r="E1380" s="17" t="str">
        <x:v>DataFlow</x:v>
      </x:c>
      <x:c r="F1380" s="17" t="str">
        <x:v>Pro</x:v>
      </x:c>
      <x:c r="G1380" s="17" t="n">
        <x:v>26648</x:v>
      </x:c>
      <x:c r="H1380" s="17" t="n">
        <x:v>13363</x:v>
      </x:c>
      <x:c r="I1380" s="17" t="str">
        <x:v>Correction</x:v>
      </x:c>
      <x:c r="J1380" s="27" t="n">
        <x:f>INDEX('Model Pricing'!$B$7:$B$8,MATCH(F1380,'Model Pricing'!$A$7:$A$8,0))</x:f>
        <x:v>40</x:v>
      </x:c>
      <x:c r="K1380" s="27" t="n">
        <x:f>INDEX('Model Pricing'!$C$7:$C$8,MATCH(F1380,'Model Pricing'!$A$7:$A$8,0))</x:f>
        <x:v>100</x:v>
      </x:c>
      <x:c r="L1380" s="17" t="n">
        <x:f>G1380+H1380</x:f>
        <x:v>40011</x:v>
      </x:c>
      <x:c r="M1380" s="28" t="n">
        <x:f>G1380*J1380/1000000</x:f>
        <x:v>1.06592</x:v>
      </x:c>
      <x:c r="N1380" s="28" t="n">
        <x:f>H1380*K1380/1000000</x:f>
        <x:v>1.3363</x:v>
      </x:c>
      <x:c r="O1380" s="28" t="n">
        <x:f>SUM(M1380:N1380)</x:f>
        <x:v>2.40222</x:v>
      </x:c>
    </x:row>
    <x:row r="1381" ht="23" customHeight="1">
      <x:c r="A1381" s="17" t="str">
        <x:v>U01375</x:v>
      </x:c>
      <x:c r="B1381" s="18" t="n">
        <x:v>46288</x:v>
      </x:c>
      <x:c r="C1381" s="17" t="str">
        <x:v>W0080</x:v>
      </x:c>
      <x:c r="D1381" s="17" t="str">
        <x:v>C002</x:v>
      </x:c>
      <x:c r="E1381" s="17" t="str">
        <x:v>DataFlow</x:v>
      </x:c>
      <x:c r="F1381" s="17" t="str">
        <x:v>Pro</x:v>
      </x:c>
      <x:c r="G1381" s="17" t="n">
        <x:v>19176</x:v>
      </x:c>
      <x:c r="H1381" s="17" t="n">
        <x:v>18413</x:v>
      </x:c>
      <x:c r="I1381" s="17" t="str">
        <x:v>Correction</x:v>
      </x:c>
      <x:c r="J1381" s="27" t="n">
        <x:f>INDEX('Model Pricing'!$B$7:$B$8,MATCH(F1381,'Model Pricing'!$A$7:$A$8,0))</x:f>
        <x:v>40</x:v>
      </x:c>
      <x:c r="K1381" s="27" t="n">
        <x:f>INDEX('Model Pricing'!$C$7:$C$8,MATCH(F1381,'Model Pricing'!$A$7:$A$8,0))</x:f>
        <x:v>100</x:v>
      </x:c>
      <x:c r="L1381" s="17" t="n">
        <x:f>G1381+H1381</x:f>
        <x:v>37589</x:v>
      </x:c>
      <x:c r="M1381" s="28" t="n">
        <x:f>G1381*J1381/1000000</x:f>
        <x:v>0.76704</x:v>
      </x:c>
      <x:c r="N1381" s="28" t="n">
        <x:f>H1381*K1381/1000000</x:f>
        <x:v>1.8413</x:v>
      </x:c>
      <x:c r="O1381" s="28" t="n">
        <x:f>SUM(M1381:N1381)</x:f>
        <x:v>2.60834</x:v>
      </x:c>
    </x:row>
    <x:row r="1382" ht="23" customHeight="1">
      <x:c r="A1382" s="17" t="str">
        <x:v>U01376</x:v>
      </x:c>
      <x:c r="B1382" s="18" t="n">
        <x:v>46288</x:v>
      </x:c>
      <x:c r="C1382" s="17" t="str">
        <x:v>W0080</x:v>
      </x:c>
      <x:c r="D1382" s="17" t="str">
        <x:v>C002</x:v>
      </x:c>
      <x:c r="E1382" s="17" t="str">
        <x:v>DataFlow</x:v>
      </x:c>
      <x:c r="F1382" s="17" t="str">
        <x:v>Pro</x:v>
      </x:c>
      <x:c r="G1382" s="17" t="n">
        <x:v>28746</x:v>
      </x:c>
      <x:c r="H1382" s="17" t="n">
        <x:v>10851</x:v>
      </x:c>
      <x:c r="I1382" s="17" t="str">
        <x:v>Correction</x:v>
      </x:c>
      <x:c r="J1382" s="27" t="n">
        <x:f>INDEX('Model Pricing'!$B$7:$B$8,MATCH(F1382,'Model Pricing'!$A$7:$A$8,0))</x:f>
        <x:v>40</x:v>
      </x:c>
      <x:c r="K1382" s="27" t="n">
        <x:f>INDEX('Model Pricing'!$C$7:$C$8,MATCH(F1382,'Model Pricing'!$A$7:$A$8,0))</x:f>
        <x:v>100</x:v>
      </x:c>
      <x:c r="L1382" s="17" t="n">
        <x:f>G1382+H1382</x:f>
        <x:v>39597</x:v>
      </x:c>
      <x:c r="M1382" s="28" t="n">
        <x:f>G1382*J1382/1000000</x:f>
        <x:v>1.14984</x:v>
      </x:c>
      <x:c r="N1382" s="28" t="n">
        <x:f>H1382*K1382/1000000</x:f>
        <x:v>1.0851</x:v>
      </x:c>
      <x:c r="O1382" s="28" t="n">
        <x:f>SUM(M1382:N1382)</x:f>
        <x:v>2.23494</x:v>
      </x:c>
    </x:row>
    <x:row r="1383" ht="23" customHeight="1">
      <x:c r="A1383" s="17" t="str">
        <x:v>U01377</x:v>
      </x:c>
      <x:c r="B1383" s="18" t="n">
        <x:v>46288</x:v>
      </x:c>
      <x:c r="C1383" s="17" t="str">
        <x:v>W0080</x:v>
      </x:c>
      <x:c r="D1383" s="17" t="str">
        <x:v>C002</x:v>
      </x:c>
      <x:c r="E1383" s="17" t="str">
        <x:v>DataFlow</x:v>
      </x:c>
      <x:c r="F1383" s="17" t="str">
        <x:v>Pro</x:v>
      </x:c>
      <x:c r="G1383" s="17" t="n">
        <x:v>31851</x:v>
      </x:c>
      <x:c r="H1383" s="17" t="n">
        <x:v>9828</x:v>
      </x:c>
      <x:c r="I1383" s="17" t="str">
        <x:v>Followup</x:v>
      </x:c>
      <x:c r="J1383" s="27" t="n">
        <x:f>INDEX('Model Pricing'!$B$7:$B$8,MATCH(F1383,'Model Pricing'!$A$7:$A$8,0))</x:f>
        <x:v>40</x:v>
      </x:c>
      <x:c r="K1383" s="27" t="n">
        <x:f>INDEX('Model Pricing'!$C$7:$C$8,MATCH(F1383,'Model Pricing'!$A$7:$A$8,0))</x:f>
        <x:v>100</x:v>
      </x:c>
      <x:c r="L1383" s="17" t="n">
        <x:f>G1383+H1383</x:f>
        <x:v>41679</x:v>
      </x:c>
      <x:c r="M1383" s="28" t="n">
        <x:f>G1383*J1383/1000000</x:f>
        <x:v>1.27404</x:v>
      </x:c>
      <x:c r="N1383" s="28" t="n">
        <x:f>H1383*K1383/1000000</x:f>
        <x:v>0.9828</x:v>
      </x:c>
      <x:c r="O1383" s="28" t="n">
        <x:f>SUM(M1383:N1383)</x:f>
        <x:v>2.25684</x:v>
      </x:c>
    </x:row>
    <x:row r="1384" ht="23" customHeight="1">
      <x:c r="A1384" s="17" t="str">
        <x:v>U01378</x:v>
      </x:c>
      <x:c r="B1384" s="18" t="n">
        <x:v>46288</x:v>
      </x:c>
      <x:c r="C1384" s="17" t="str">
        <x:v>W0080</x:v>
      </x:c>
      <x:c r="D1384" s="17" t="str">
        <x:v>C002</x:v>
      </x:c>
      <x:c r="E1384" s="17" t="str">
        <x:v>DataFlow</x:v>
      </x:c>
      <x:c r="F1384" s="17" t="str">
        <x:v>Pro</x:v>
      </x:c>
      <x:c r="G1384" s="17" t="n">
        <x:v>25532</x:v>
      </x:c>
      <x:c r="H1384" s="17" t="n">
        <x:v>20784</x:v>
      </x:c>
      <x:c r="I1384" s="17" t="str">
        <x:v>Followup</x:v>
      </x:c>
      <x:c r="J1384" s="27" t="n">
        <x:f>INDEX('Model Pricing'!$B$7:$B$8,MATCH(F1384,'Model Pricing'!$A$7:$A$8,0))</x:f>
        <x:v>40</x:v>
      </x:c>
      <x:c r="K1384" s="27" t="n">
        <x:f>INDEX('Model Pricing'!$C$7:$C$8,MATCH(F1384,'Model Pricing'!$A$7:$A$8,0))</x:f>
        <x:v>100</x:v>
      </x:c>
      <x:c r="L1384" s="17" t="n">
        <x:f>G1384+H1384</x:f>
        <x:v>46316</x:v>
      </x:c>
      <x:c r="M1384" s="28" t="n">
        <x:f>G1384*J1384/1000000</x:f>
        <x:v>1.02128</x:v>
      </x:c>
      <x:c r="N1384" s="28" t="n">
        <x:f>H1384*K1384/1000000</x:f>
        <x:v>2.0784</x:v>
      </x:c>
      <x:c r="O1384" s="28" t="n">
        <x:f>SUM(M1384:N1384)</x:f>
        <x:v>3.0996799999999998</x:v>
      </x:c>
    </x:row>
    <x:row r="1385" ht="23" customHeight="1">
      <x:c r="A1385" s="17" t="str">
        <x:v>U01379</x:v>
      </x:c>
      <x:c r="B1385" s="18" t="n">
        <x:v>46289</x:v>
      </x:c>
      <x:c r="C1385" s="17" t="str">
        <x:v>W0080</x:v>
      </x:c>
      <x:c r="D1385" s="17" t="str">
        <x:v>C002</x:v>
      </x:c>
      <x:c r="E1385" s="17" t="str">
        <x:v>DataFlow</x:v>
      </x:c>
      <x:c r="F1385" s="17" t="str">
        <x:v>Pro</x:v>
      </x:c>
      <x:c r="G1385" s="17" t="n">
        <x:v>37212</x:v>
      </x:c>
      <x:c r="H1385" s="17" t="n">
        <x:v>7828</x:v>
      </x:c>
      <x:c r="I1385" s="17" t="str">
        <x:v>Followup</x:v>
      </x:c>
      <x:c r="J1385" s="27" t="n">
        <x:f>INDEX('Model Pricing'!$B$7:$B$8,MATCH(F1385,'Model Pricing'!$A$7:$A$8,0))</x:f>
        <x:v>40</x:v>
      </x:c>
      <x:c r="K1385" s="27" t="n">
        <x:f>INDEX('Model Pricing'!$C$7:$C$8,MATCH(F1385,'Model Pricing'!$A$7:$A$8,0))</x:f>
        <x:v>100</x:v>
      </x:c>
      <x:c r="L1385" s="17" t="n">
        <x:f>G1385+H1385</x:f>
        <x:v>45040</x:v>
      </x:c>
      <x:c r="M1385" s="28" t="n">
        <x:f>G1385*J1385/1000000</x:f>
        <x:v>1.48848</x:v>
      </x:c>
      <x:c r="N1385" s="28" t="n">
        <x:f>H1385*K1385/1000000</x:f>
        <x:v>0.7828</x:v>
      </x:c>
      <x:c r="O1385" s="28" t="n">
        <x:f>SUM(M1385:N1385)</x:f>
        <x:v>2.27128</x:v>
      </x:c>
    </x:row>
    <x:row r="1386" ht="23" customHeight="1">
      <x:c r="A1386" s="17" t="str">
        <x:v>U01380</x:v>
      </x:c>
      <x:c r="B1386" s="18" t="n">
        <x:v>46289</x:v>
      </x:c>
      <x:c r="C1386" s="17" t="str">
        <x:v>W0080</x:v>
      </x:c>
      <x:c r="D1386" s="17" t="str">
        <x:v>C002</x:v>
      </x:c>
      <x:c r="E1386" s="17" t="str">
        <x:v>DataFlow</x:v>
      </x:c>
      <x:c r="F1386" s="17" t="str">
        <x:v>Pro</x:v>
      </x:c>
      <x:c r="G1386" s="17" t="n">
        <x:v>21233</x:v>
      </x:c>
      <x:c r="H1386" s="17" t="n">
        <x:v>7116</x:v>
      </x:c>
      <x:c r="I1386" s="17" t="str">
        <x:v>Correction</x:v>
      </x:c>
      <x:c r="J1386" s="27" t="n">
        <x:f>INDEX('Model Pricing'!$B$7:$B$8,MATCH(F1386,'Model Pricing'!$A$7:$A$8,0))</x:f>
        <x:v>40</x:v>
      </x:c>
      <x:c r="K1386" s="27" t="n">
        <x:f>INDEX('Model Pricing'!$C$7:$C$8,MATCH(F1386,'Model Pricing'!$A$7:$A$8,0))</x:f>
        <x:v>100</x:v>
      </x:c>
      <x:c r="L1386" s="17" t="n">
        <x:f>G1386+H1386</x:f>
        <x:v>28349</x:v>
      </x:c>
      <x:c r="M1386" s="28" t="n">
        <x:f>G1386*J1386/1000000</x:f>
        <x:v>0.84932</x:v>
      </x:c>
      <x:c r="N1386" s="28" t="n">
        <x:f>H1386*K1386/1000000</x:f>
        <x:v>0.7116</x:v>
      </x:c>
      <x:c r="O1386" s="28" t="n">
        <x:f>SUM(M1386:N1386)</x:f>
        <x:v>1.5609199999999999</x:v>
      </x:c>
    </x:row>
    <x:row r="1387" ht="23" customHeight="1">
      <x:c r="A1387" s="17" t="str">
        <x:v>U01381</x:v>
      </x:c>
      <x:c r="B1387" s="18" t="n">
        <x:v>46289</x:v>
      </x:c>
      <x:c r="C1387" s="17" t="str">
        <x:v>W0080</x:v>
      </x:c>
      <x:c r="D1387" s="17" t="str">
        <x:v>C002</x:v>
      </x:c>
      <x:c r="E1387" s="17" t="str">
        <x:v>DataFlow</x:v>
      </x:c>
      <x:c r="F1387" s="17" t="str">
        <x:v>Pro</x:v>
      </x:c>
      <x:c r="G1387" s="17" t="n">
        <x:v>14347</x:v>
      </x:c>
      <x:c r="H1387" s="17" t="n">
        <x:v>19326</x:v>
      </x:c>
      <x:c r="I1387" s="17" t="str">
        <x:v>Correction</x:v>
      </x:c>
      <x:c r="J1387" s="27" t="n">
        <x:f>INDEX('Model Pricing'!$B$7:$B$8,MATCH(F1387,'Model Pricing'!$A$7:$A$8,0))</x:f>
        <x:v>40</x:v>
      </x:c>
      <x:c r="K1387" s="27" t="n">
        <x:f>INDEX('Model Pricing'!$C$7:$C$8,MATCH(F1387,'Model Pricing'!$A$7:$A$8,0))</x:f>
        <x:v>100</x:v>
      </x:c>
      <x:c r="L1387" s="17" t="n">
        <x:f>G1387+H1387</x:f>
        <x:v>33673</x:v>
      </x:c>
      <x:c r="M1387" s="28" t="n">
        <x:f>G1387*J1387/1000000</x:f>
        <x:v>0.57388</x:v>
      </x:c>
      <x:c r="N1387" s="28" t="n">
        <x:f>H1387*K1387/1000000</x:f>
        <x:v>1.9326</x:v>
      </x:c>
      <x:c r="O1387" s="28" t="n">
        <x:f>SUM(M1387:N1387)</x:f>
        <x:v>2.50648</x:v>
      </x:c>
    </x:row>
    <x:row r="1388" ht="23" customHeight="1">
      <x:c r="A1388" s="17" t="str">
        <x:v>U01382</x:v>
      </x:c>
      <x:c r="B1388" s="18" t="n">
        <x:v>46289</x:v>
      </x:c>
      <x:c r="C1388" s="17" t="str">
        <x:v>W0080</x:v>
      </x:c>
      <x:c r="D1388" s="17" t="str">
        <x:v>C002</x:v>
      </x:c>
      <x:c r="E1388" s="17" t="str">
        <x:v>DataFlow</x:v>
      </x:c>
      <x:c r="F1388" s="17" t="str">
        <x:v>Pro</x:v>
      </x:c>
      <x:c r="G1388" s="17" t="n">
        <x:v>40733</x:v>
      </x:c>
      <x:c r="H1388" s="17" t="n">
        <x:v>11384</x:v>
      </x:c>
      <x:c r="I1388" s="17" t="str">
        <x:v>Followup</x:v>
      </x:c>
      <x:c r="J1388" s="27" t="n">
        <x:f>INDEX('Model Pricing'!$B$7:$B$8,MATCH(F1388,'Model Pricing'!$A$7:$A$8,0))</x:f>
        <x:v>40</x:v>
      </x:c>
      <x:c r="K1388" s="27" t="n">
        <x:f>INDEX('Model Pricing'!$C$7:$C$8,MATCH(F1388,'Model Pricing'!$A$7:$A$8,0))</x:f>
        <x:v>100</x:v>
      </x:c>
      <x:c r="L1388" s="17" t="n">
        <x:f>G1388+H1388</x:f>
        <x:v>52117</x:v>
      </x:c>
      <x:c r="M1388" s="28" t="n">
        <x:f>G1388*J1388/1000000</x:f>
        <x:v>1.62932</x:v>
      </x:c>
      <x:c r="N1388" s="28" t="n">
        <x:f>H1388*K1388/1000000</x:f>
        <x:v>1.1384</x:v>
      </x:c>
      <x:c r="O1388" s="28" t="n">
        <x:f>SUM(M1388:N1388)</x:f>
        <x:v>2.76772</x:v>
      </x:c>
    </x:row>
    <x:row r="1389" ht="23" customHeight="1">
      <x:c r="A1389" s="17" t="str">
        <x:v>U01383</x:v>
      </x:c>
      <x:c r="B1389" s="18" t="n">
        <x:v>46289</x:v>
      </x:c>
      <x:c r="C1389" s="17" t="str">
        <x:v>W0080</x:v>
      </x:c>
      <x:c r="D1389" s="17" t="str">
        <x:v>C002</x:v>
      </x:c>
      <x:c r="E1389" s="17" t="str">
        <x:v>DataFlow</x:v>
      </x:c>
      <x:c r="F1389" s="17" t="str">
        <x:v>Pro</x:v>
      </x:c>
      <x:c r="G1389" s="17" t="n">
        <x:v>27697</x:v>
      </x:c>
      <x:c r="H1389" s="17" t="n">
        <x:v>13010</x:v>
      </x:c>
      <x:c r="I1389" s="17" t="str">
        <x:v>Followup</x:v>
      </x:c>
      <x:c r="J1389" s="27" t="n">
        <x:f>INDEX('Model Pricing'!$B$7:$B$8,MATCH(F1389,'Model Pricing'!$A$7:$A$8,0))</x:f>
        <x:v>40</x:v>
      </x:c>
      <x:c r="K1389" s="27" t="n">
        <x:f>INDEX('Model Pricing'!$C$7:$C$8,MATCH(F1389,'Model Pricing'!$A$7:$A$8,0))</x:f>
        <x:v>100</x:v>
      </x:c>
      <x:c r="L1389" s="17" t="n">
        <x:f>G1389+H1389</x:f>
        <x:v>40707</x:v>
      </x:c>
      <x:c r="M1389" s="28" t="n">
        <x:f>G1389*J1389/1000000</x:f>
        <x:v>1.10788</x:v>
      </x:c>
      <x:c r="N1389" s="28" t="n">
        <x:f>H1389*K1389/1000000</x:f>
        <x:v>1.301</x:v>
      </x:c>
      <x:c r="O1389" s="28" t="n">
        <x:f>SUM(M1389:N1389)</x:f>
        <x:v>2.40888</x:v>
      </x:c>
    </x:row>
    <x:row r="1390" ht="23" customHeight="1">
      <x:c r="A1390" s="17" t="str">
        <x:v>U01384</x:v>
      </x:c>
      <x:c r="B1390" s="18" t="n">
        <x:v>46289</x:v>
      </x:c>
      <x:c r="C1390" s="17" t="str">
        <x:v>W0080</x:v>
      </x:c>
      <x:c r="D1390" s="17" t="str">
        <x:v>C002</x:v>
      </x:c>
      <x:c r="E1390" s="17" t="str">
        <x:v>DataFlow</x:v>
      </x:c>
      <x:c r="F1390" s="17" t="str">
        <x:v>Pro</x:v>
      </x:c>
      <x:c r="G1390" s="17" t="n">
        <x:v>26226</x:v>
      </x:c>
      <x:c r="H1390" s="17" t="n">
        <x:v>19672</x:v>
      </x:c>
      <x:c r="I1390" s="17" t="str">
        <x:v>Correction</x:v>
      </x:c>
      <x:c r="J1390" s="27" t="n">
        <x:f>INDEX('Model Pricing'!$B$7:$B$8,MATCH(F1390,'Model Pricing'!$A$7:$A$8,0))</x:f>
        <x:v>40</x:v>
      </x:c>
      <x:c r="K1390" s="27" t="n">
        <x:f>INDEX('Model Pricing'!$C$7:$C$8,MATCH(F1390,'Model Pricing'!$A$7:$A$8,0))</x:f>
        <x:v>100</x:v>
      </x:c>
      <x:c r="L1390" s="17" t="n">
        <x:f>G1390+H1390</x:f>
        <x:v>45898</x:v>
      </x:c>
      <x:c r="M1390" s="28" t="n">
        <x:f>G1390*J1390/1000000</x:f>
        <x:v>1.04904</x:v>
      </x:c>
      <x:c r="N1390" s="28" t="n">
        <x:f>H1390*K1390/1000000</x:f>
        <x:v>1.9672</x:v>
      </x:c>
      <x:c r="O1390" s="28" t="n">
        <x:f>SUM(M1390:N1390)</x:f>
        <x:v>3.01624</x:v>
      </x:c>
    </x:row>
    <x:row r="1391" ht="23" customHeight="1">
      <x:c r="A1391" s="17" t="str">
        <x:v>U01385</x:v>
      </x:c>
      <x:c r="B1391" s="18" t="n">
        <x:v>46268</x:v>
      </x:c>
      <x:c r="C1391" s="17" t="str">
        <x:v>W0081</x:v>
      </x:c>
      <x:c r="D1391" s="17" t="str">
        <x:v>C002</x:v>
      </x:c>
      <x:c r="E1391" s="17" t="str">
        <x:v>DataFlow</x:v>
      </x:c>
      <x:c r="F1391" s="17" t="str">
        <x:v>Pro</x:v>
      </x:c>
      <x:c r="G1391" s="17" t="n">
        <x:v>21719</x:v>
      </x:c>
      <x:c r="H1391" s="17" t="n">
        <x:v>7426</x:v>
      </x:c>
      <x:c r="I1391" s="17" t="str">
        <x:v>First attempt</x:v>
      </x:c>
      <x:c r="J1391" s="27" t="n">
        <x:f>INDEX('Model Pricing'!$B$7:$B$8,MATCH(F1391,'Model Pricing'!$A$7:$A$8,0))</x:f>
        <x:v>40</x:v>
      </x:c>
      <x:c r="K1391" s="27" t="n">
        <x:f>INDEX('Model Pricing'!$C$7:$C$8,MATCH(F1391,'Model Pricing'!$A$7:$A$8,0))</x:f>
        <x:v>100</x:v>
      </x:c>
      <x:c r="L1391" s="17" t="n">
        <x:f>G1391+H1391</x:f>
        <x:v>29145</x:v>
      </x:c>
      <x:c r="M1391" s="28" t="n">
        <x:f>G1391*J1391/1000000</x:f>
        <x:v>0.86876</x:v>
      </x:c>
      <x:c r="N1391" s="28" t="n">
        <x:f>H1391*K1391/1000000</x:f>
        <x:v>0.7426</x:v>
      </x:c>
      <x:c r="O1391" s="28" t="n">
        <x:f>SUM(M1391:N1391)</x:f>
        <x:v>1.61136</x:v>
      </x:c>
    </x:row>
    <x:row r="1392" ht="23" customHeight="1">
      <x:c r="A1392" s="17" t="str">
        <x:v>U01386</x:v>
      </x:c>
      <x:c r="B1392" s="18" t="n">
        <x:v>46268</x:v>
      </x:c>
      <x:c r="C1392" s="17" t="str">
        <x:v>W0081</x:v>
      </x:c>
      <x:c r="D1392" s="17" t="str">
        <x:v>C002</x:v>
      </x:c>
      <x:c r="E1392" s="17" t="str">
        <x:v>DataFlow</x:v>
      </x:c>
      <x:c r="F1392" s="17" t="str">
        <x:v>Pro</x:v>
      </x:c>
      <x:c r="G1392" s="17" t="n">
        <x:v>19976</x:v>
      </x:c>
      <x:c r="H1392" s="17" t="n">
        <x:v>14489</x:v>
      </x:c>
      <x:c r="I1392" s="17" t="str">
        <x:v>Correction</x:v>
      </x:c>
      <x:c r="J1392" s="27" t="n">
        <x:f>INDEX('Model Pricing'!$B$7:$B$8,MATCH(F1392,'Model Pricing'!$A$7:$A$8,0))</x:f>
        <x:v>40</x:v>
      </x:c>
      <x:c r="K1392" s="27" t="n">
        <x:f>INDEX('Model Pricing'!$C$7:$C$8,MATCH(F1392,'Model Pricing'!$A$7:$A$8,0))</x:f>
        <x:v>100</x:v>
      </x:c>
      <x:c r="L1392" s="17" t="n">
        <x:f>G1392+H1392</x:f>
        <x:v>34465</x:v>
      </x:c>
      <x:c r="M1392" s="28" t="n">
        <x:f>G1392*J1392/1000000</x:f>
        <x:v>0.79904</x:v>
      </x:c>
      <x:c r="N1392" s="28" t="n">
        <x:f>H1392*K1392/1000000</x:f>
        <x:v>1.4489</x:v>
      </x:c>
      <x:c r="O1392" s="28" t="n">
        <x:f>SUM(M1392:N1392)</x:f>
        <x:v>2.24794</x:v>
      </x:c>
    </x:row>
    <x:row r="1393" ht="23" customHeight="1">
      <x:c r="A1393" s="17" t="str">
        <x:v>U01387</x:v>
      </x:c>
      <x:c r="B1393" s="18" t="n">
        <x:v>46268</x:v>
      </x:c>
      <x:c r="C1393" s="17" t="str">
        <x:v>W0081</x:v>
      </x:c>
      <x:c r="D1393" s="17" t="str">
        <x:v>C002</x:v>
      </x:c>
      <x:c r="E1393" s="17" t="str">
        <x:v>DataFlow</x:v>
      </x:c>
      <x:c r="F1393" s="17" t="str">
        <x:v>Pro</x:v>
      </x:c>
      <x:c r="G1393" s="17" t="n">
        <x:v>24577</x:v>
      </x:c>
      <x:c r="H1393" s="17" t="n">
        <x:v>11382</x:v>
      </x:c>
      <x:c r="I1393" s="17" t="str">
        <x:v>Followup</x:v>
      </x:c>
      <x:c r="J1393" s="27" t="n">
        <x:f>INDEX('Model Pricing'!$B$7:$B$8,MATCH(F1393,'Model Pricing'!$A$7:$A$8,0))</x:f>
        <x:v>40</x:v>
      </x:c>
      <x:c r="K1393" s="27" t="n">
        <x:f>INDEX('Model Pricing'!$C$7:$C$8,MATCH(F1393,'Model Pricing'!$A$7:$A$8,0))</x:f>
        <x:v>100</x:v>
      </x:c>
      <x:c r="L1393" s="17" t="n">
        <x:f>G1393+H1393</x:f>
        <x:v>35959</x:v>
      </x:c>
      <x:c r="M1393" s="28" t="n">
        <x:f>G1393*J1393/1000000</x:f>
        <x:v>0.98308</x:v>
      </x:c>
      <x:c r="N1393" s="28" t="n">
        <x:f>H1393*K1393/1000000</x:f>
        <x:v>1.1382</x:v>
      </x:c>
      <x:c r="O1393" s="28" t="n">
        <x:f>SUM(M1393:N1393)</x:f>
        <x:v>2.12128</x:v>
      </x:c>
    </x:row>
    <x:row r="1394" ht="23" customHeight="1">
      <x:c r="A1394" s="17" t="str">
        <x:v>U01388</x:v>
      </x:c>
      <x:c r="B1394" s="18" t="n">
        <x:v>46268</x:v>
      </x:c>
      <x:c r="C1394" s="17" t="str">
        <x:v>W0081</x:v>
      </x:c>
      <x:c r="D1394" s="17" t="str">
        <x:v>C002</x:v>
      </x:c>
      <x:c r="E1394" s="17" t="str">
        <x:v>DataFlow</x:v>
      </x:c>
      <x:c r="F1394" s="17" t="str">
        <x:v>Pro</x:v>
      </x:c>
      <x:c r="G1394" s="17" t="n">
        <x:v>22460</x:v>
      </x:c>
      <x:c r="H1394" s="17" t="n">
        <x:v>8455</x:v>
      </x:c>
      <x:c r="I1394" s="17" t="str">
        <x:v>Correction</x:v>
      </x:c>
      <x:c r="J1394" s="27" t="n">
        <x:f>INDEX('Model Pricing'!$B$7:$B$8,MATCH(F1394,'Model Pricing'!$A$7:$A$8,0))</x:f>
        <x:v>40</x:v>
      </x:c>
      <x:c r="K1394" s="27" t="n">
        <x:f>INDEX('Model Pricing'!$C$7:$C$8,MATCH(F1394,'Model Pricing'!$A$7:$A$8,0))</x:f>
        <x:v>100</x:v>
      </x:c>
      <x:c r="L1394" s="17" t="n">
        <x:f>G1394+H1394</x:f>
        <x:v>30915</x:v>
      </x:c>
      <x:c r="M1394" s="28" t="n">
        <x:f>G1394*J1394/1000000</x:f>
        <x:v>0.8984</x:v>
      </x:c>
      <x:c r="N1394" s="28" t="n">
        <x:f>H1394*K1394/1000000</x:f>
        <x:v>0.8455</x:v>
      </x:c>
      <x:c r="O1394" s="28" t="n">
        <x:f>SUM(M1394:N1394)</x:f>
        <x:v>1.7439</x:v>
      </x:c>
    </x:row>
    <x:row r="1395" ht="23" customHeight="1">
      <x:c r="A1395" s="17" t="str">
        <x:v>U01389</x:v>
      </x:c>
      <x:c r="B1395" s="18" t="n">
        <x:v>46268</x:v>
      </x:c>
      <x:c r="C1395" s="17" t="str">
        <x:v>W0081</x:v>
      </x:c>
      <x:c r="D1395" s="17" t="str">
        <x:v>C002</x:v>
      </x:c>
      <x:c r="E1395" s="17" t="str">
        <x:v>DataFlow</x:v>
      </x:c>
      <x:c r="F1395" s="17" t="str">
        <x:v>Pro</x:v>
      </x:c>
      <x:c r="G1395" s="17" t="n">
        <x:v>21292</x:v>
      </x:c>
      <x:c r="H1395" s="17" t="n">
        <x:v>13435</x:v>
      </x:c>
      <x:c r="I1395" s="17" t="str">
        <x:v>Correction</x:v>
      </x:c>
      <x:c r="J1395" s="27" t="n">
        <x:f>INDEX('Model Pricing'!$B$7:$B$8,MATCH(F1395,'Model Pricing'!$A$7:$A$8,0))</x:f>
        <x:v>40</x:v>
      </x:c>
      <x:c r="K1395" s="27" t="n">
        <x:f>INDEX('Model Pricing'!$C$7:$C$8,MATCH(F1395,'Model Pricing'!$A$7:$A$8,0))</x:f>
        <x:v>100</x:v>
      </x:c>
      <x:c r="L1395" s="17" t="n">
        <x:f>G1395+H1395</x:f>
        <x:v>34727</x:v>
      </x:c>
      <x:c r="M1395" s="28" t="n">
        <x:f>G1395*J1395/1000000</x:f>
        <x:v>0.85168</x:v>
      </x:c>
      <x:c r="N1395" s="28" t="n">
        <x:f>H1395*K1395/1000000</x:f>
        <x:v>1.3435</x:v>
      </x:c>
      <x:c r="O1395" s="28" t="n">
        <x:f>SUM(M1395:N1395)</x:f>
        <x:v>2.1951799999999997</x:v>
      </x:c>
    </x:row>
    <x:row r="1396" ht="23" customHeight="1">
      <x:c r="A1396" s="17" t="str">
        <x:v>U01390</x:v>
      </x:c>
      <x:c r="B1396" s="18" t="n">
        <x:v>46269</x:v>
      </x:c>
      <x:c r="C1396" s="17" t="str">
        <x:v>W0081</x:v>
      </x:c>
      <x:c r="D1396" s="17" t="str">
        <x:v>C002</x:v>
      </x:c>
      <x:c r="E1396" s="17" t="str">
        <x:v>DataFlow</x:v>
      </x:c>
      <x:c r="F1396" s="17" t="str">
        <x:v>Pro</x:v>
      </x:c>
      <x:c r="G1396" s="17" t="n">
        <x:v>30784</x:v>
      </x:c>
      <x:c r="H1396" s="17" t="n">
        <x:v>6140</x:v>
      </x:c>
      <x:c r="I1396" s="17" t="str">
        <x:v>Correction</x:v>
      </x:c>
      <x:c r="J1396" s="27" t="n">
        <x:f>INDEX('Model Pricing'!$B$7:$B$8,MATCH(F1396,'Model Pricing'!$A$7:$A$8,0))</x:f>
        <x:v>40</x:v>
      </x:c>
      <x:c r="K1396" s="27" t="n">
        <x:f>INDEX('Model Pricing'!$C$7:$C$8,MATCH(F1396,'Model Pricing'!$A$7:$A$8,0))</x:f>
        <x:v>100</x:v>
      </x:c>
      <x:c r="L1396" s="17" t="n">
        <x:f>G1396+H1396</x:f>
        <x:v>36924</x:v>
      </x:c>
      <x:c r="M1396" s="28" t="n">
        <x:f>G1396*J1396/1000000</x:f>
        <x:v>1.23136</x:v>
      </x:c>
      <x:c r="N1396" s="28" t="n">
        <x:f>H1396*K1396/1000000</x:f>
        <x:v>0.614</x:v>
      </x:c>
      <x:c r="O1396" s="28" t="n">
        <x:f>SUM(M1396:N1396)</x:f>
        <x:v>1.84536</x:v>
      </x:c>
    </x:row>
    <x:row r="1397" ht="23" customHeight="1">
      <x:c r="A1397" s="17" t="str">
        <x:v>U01391</x:v>
      </x:c>
      <x:c r="B1397" s="18" t="n">
        <x:v>46269</x:v>
      </x:c>
      <x:c r="C1397" s="17" t="str">
        <x:v>W0081</x:v>
      </x:c>
      <x:c r="D1397" s="17" t="str">
        <x:v>C002</x:v>
      </x:c>
      <x:c r="E1397" s="17" t="str">
        <x:v>DataFlow</x:v>
      </x:c>
      <x:c r="F1397" s="17" t="str">
        <x:v>Pro</x:v>
      </x:c>
      <x:c r="G1397" s="17" t="n">
        <x:v>15536</x:v>
      </x:c>
      <x:c r="H1397" s="17" t="n">
        <x:v>13636</x:v>
      </x:c>
      <x:c r="I1397" s="17" t="str">
        <x:v>Followup</x:v>
      </x:c>
      <x:c r="J1397" s="27" t="n">
        <x:f>INDEX('Model Pricing'!$B$7:$B$8,MATCH(F1397,'Model Pricing'!$A$7:$A$8,0))</x:f>
        <x:v>40</x:v>
      </x:c>
      <x:c r="K1397" s="27" t="n">
        <x:f>INDEX('Model Pricing'!$C$7:$C$8,MATCH(F1397,'Model Pricing'!$A$7:$A$8,0))</x:f>
        <x:v>100</x:v>
      </x:c>
      <x:c r="L1397" s="17" t="n">
        <x:f>G1397+H1397</x:f>
        <x:v>29172</x:v>
      </x:c>
      <x:c r="M1397" s="28" t="n">
        <x:f>G1397*J1397/1000000</x:f>
        <x:v>0.62144</x:v>
      </x:c>
      <x:c r="N1397" s="28" t="n">
        <x:f>H1397*K1397/1000000</x:f>
        <x:v>1.3636</x:v>
      </x:c>
      <x:c r="O1397" s="28" t="n">
        <x:f>SUM(M1397:N1397)</x:f>
        <x:v>1.98504</x:v>
      </x:c>
    </x:row>
    <x:row r="1398" ht="23" customHeight="1">
      <x:c r="A1398" s="17" t="str">
        <x:v>U01392</x:v>
      </x:c>
      <x:c r="B1398" s="18" t="n">
        <x:v>46269</x:v>
      </x:c>
      <x:c r="C1398" s="17" t="str">
        <x:v>W0081</x:v>
      </x:c>
      <x:c r="D1398" s="17" t="str">
        <x:v>C002</x:v>
      </x:c>
      <x:c r="E1398" s="17" t="str">
        <x:v>DataFlow</x:v>
      </x:c>
      <x:c r="F1398" s="17" t="str">
        <x:v>Pro</x:v>
      </x:c>
      <x:c r="G1398" s="17" t="n">
        <x:v>37253</x:v>
      </x:c>
      <x:c r="H1398" s="17" t="n">
        <x:v>10718</x:v>
      </x:c>
      <x:c r="I1398" s="17" t="str">
        <x:v>Followup</x:v>
      </x:c>
      <x:c r="J1398" s="27" t="n">
        <x:f>INDEX('Model Pricing'!$B$7:$B$8,MATCH(F1398,'Model Pricing'!$A$7:$A$8,0))</x:f>
        <x:v>40</x:v>
      </x:c>
      <x:c r="K1398" s="27" t="n">
        <x:f>INDEX('Model Pricing'!$C$7:$C$8,MATCH(F1398,'Model Pricing'!$A$7:$A$8,0))</x:f>
        <x:v>100</x:v>
      </x:c>
      <x:c r="L1398" s="17" t="n">
        <x:f>G1398+H1398</x:f>
        <x:v>47971</x:v>
      </x:c>
      <x:c r="M1398" s="28" t="n">
        <x:f>G1398*J1398/1000000</x:f>
        <x:v>1.49012</x:v>
      </x:c>
      <x:c r="N1398" s="28" t="n">
        <x:f>H1398*K1398/1000000</x:f>
        <x:v>1.0718</x:v>
      </x:c>
      <x:c r="O1398" s="28" t="n">
        <x:f>SUM(M1398:N1398)</x:f>
        <x:v>2.5619199999999998</x:v>
      </x:c>
    </x:row>
    <x:row r="1399" ht="23" customHeight="1">
      <x:c r="A1399" s="17" t="str">
        <x:v>U01393</x:v>
      </x:c>
      <x:c r="B1399" s="18" t="n">
        <x:v>46269</x:v>
      </x:c>
      <x:c r="C1399" s="17" t="str">
        <x:v>W0081</x:v>
      </x:c>
      <x:c r="D1399" s="17" t="str">
        <x:v>C002</x:v>
      </x:c>
      <x:c r="E1399" s="17" t="str">
        <x:v>DataFlow</x:v>
      </x:c>
      <x:c r="F1399" s="17" t="str">
        <x:v>Pro</x:v>
      </x:c>
      <x:c r="G1399" s="17" t="n">
        <x:v>33759</x:v>
      </x:c>
      <x:c r="H1399" s="17" t="n">
        <x:v>8308</x:v>
      </x:c>
      <x:c r="I1399" s="17" t="str">
        <x:v>Correction</x:v>
      </x:c>
      <x:c r="J1399" s="27" t="n">
        <x:f>INDEX('Model Pricing'!$B$7:$B$8,MATCH(F1399,'Model Pricing'!$A$7:$A$8,0))</x:f>
        <x:v>40</x:v>
      </x:c>
      <x:c r="K1399" s="27" t="n">
        <x:f>INDEX('Model Pricing'!$C$7:$C$8,MATCH(F1399,'Model Pricing'!$A$7:$A$8,0))</x:f>
        <x:v>100</x:v>
      </x:c>
      <x:c r="L1399" s="17" t="n">
        <x:f>G1399+H1399</x:f>
        <x:v>42067</x:v>
      </x:c>
      <x:c r="M1399" s="28" t="n">
        <x:f>G1399*J1399/1000000</x:f>
        <x:v>1.35036</x:v>
      </x:c>
      <x:c r="N1399" s="28" t="n">
        <x:f>H1399*K1399/1000000</x:f>
        <x:v>0.8308</x:v>
      </x:c>
      <x:c r="O1399" s="28" t="n">
        <x:f>SUM(M1399:N1399)</x:f>
        <x:v>2.18116</x:v>
      </x:c>
    </x:row>
    <x:row r="1400" ht="23" customHeight="1">
      <x:c r="A1400" s="17" t="str">
        <x:v>U01394</x:v>
      </x:c>
      <x:c r="B1400" s="18" t="n">
        <x:v>46269</x:v>
      </x:c>
      <x:c r="C1400" s="17" t="str">
        <x:v>W0081</x:v>
      </x:c>
      <x:c r="D1400" s="17" t="str">
        <x:v>C002</x:v>
      </x:c>
      <x:c r="E1400" s="17" t="str">
        <x:v>DataFlow</x:v>
      </x:c>
      <x:c r="F1400" s="17" t="str">
        <x:v>Pro</x:v>
      </x:c>
      <x:c r="G1400" s="17" t="n">
        <x:v>18251</x:v>
      </x:c>
      <x:c r="H1400" s="17" t="n">
        <x:v>8793</x:v>
      </x:c>
      <x:c r="I1400" s="17" t="str">
        <x:v>Followup</x:v>
      </x:c>
      <x:c r="J1400" s="27" t="n">
        <x:f>INDEX('Model Pricing'!$B$7:$B$8,MATCH(F1400,'Model Pricing'!$A$7:$A$8,0))</x:f>
        <x:v>40</x:v>
      </x:c>
      <x:c r="K1400" s="27" t="n">
        <x:f>INDEX('Model Pricing'!$C$7:$C$8,MATCH(F1400,'Model Pricing'!$A$7:$A$8,0))</x:f>
        <x:v>100</x:v>
      </x:c>
      <x:c r="L1400" s="17" t="n">
        <x:f>G1400+H1400</x:f>
        <x:v>27044</x:v>
      </x:c>
      <x:c r="M1400" s="28" t="n">
        <x:f>G1400*J1400/1000000</x:f>
        <x:v>0.73004</x:v>
      </x:c>
      <x:c r="N1400" s="28" t="n">
        <x:f>H1400*K1400/1000000</x:f>
        <x:v>0.8793</x:v>
      </x:c>
      <x:c r="O1400" s="28" t="n">
        <x:f>SUM(M1400:N1400)</x:f>
        <x:v>1.60934</x:v>
      </x:c>
    </x:row>
    <x:row r="1401" ht="23" customHeight="1">
      <x:c r="A1401" s="17" t="str">
        <x:v>U01395</x:v>
      </x:c>
      <x:c r="B1401" s="18" t="n">
        <x:v>46273</x:v>
      </x:c>
      <x:c r="C1401" s="17" t="str">
        <x:v>W0081</x:v>
      </x:c>
      <x:c r="D1401" s="17" t="str">
        <x:v>C002</x:v>
      </x:c>
      <x:c r="E1401" s="17" t="str">
        <x:v>DataFlow</x:v>
      </x:c>
      <x:c r="F1401" s="17" t="str">
        <x:v>Pro</x:v>
      </x:c>
      <x:c r="G1401" s="17" t="n">
        <x:v>28436</x:v>
      </x:c>
      <x:c r="H1401" s="17" t="n">
        <x:v>7315</x:v>
      </x:c>
      <x:c r="I1401" s="17" t="str">
        <x:v>Followup</x:v>
      </x:c>
      <x:c r="J1401" s="27" t="n">
        <x:f>INDEX('Model Pricing'!$B$7:$B$8,MATCH(F1401,'Model Pricing'!$A$7:$A$8,0))</x:f>
        <x:v>40</x:v>
      </x:c>
      <x:c r="K1401" s="27" t="n">
        <x:f>INDEX('Model Pricing'!$C$7:$C$8,MATCH(F1401,'Model Pricing'!$A$7:$A$8,0))</x:f>
        <x:v>100</x:v>
      </x:c>
      <x:c r="L1401" s="17" t="n">
        <x:f>G1401+H1401</x:f>
        <x:v>35751</x:v>
      </x:c>
      <x:c r="M1401" s="28" t="n">
        <x:f>G1401*J1401/1000000</x:f>
        <x:v>1.13744</x:v>
      </x:c>
      <x:c r="N1401" s="28" t="n">
        <x:f>H1401*K1401/1000000</x:f>
        <x:v>0.7315</x:v>
      </x:c>
      <x:c r="O1401" s="28" t="n">
        <x:f>SUM(M1401:N1401)</x:f>
        <x:v>1.86894</x:v>
      </x:c>
    </x:row>
    <x:row r="1402" ht="23" customHeight="1">
      <x:c r="A1402" s="17" t="str">
        <x:v>U01396</x:v>
      </x:c>
      <x:c r="B1402" s="18" t="n">
        <x:v>46273</x:v>
      </x:c>
      <x:c r="C1402" s="17" t="str">
        <x:v>W0081</x:v>
      </x:c>
      <x:c r="D1402" s="17" t="str">
        <x:v>C002</x:v>
      </x:c>
      <x:c r="E1402" s="17" t="str">
        <x:v>DataFlow</x:v>
      </x:c>
      <x:c r="F1402" s="17" t="str">
        <x:v>Pro</x:v>
      </x:c>
      <x:c r="G1402" s="17" t="n">
        <x:v>22057</x:v>
      </x:c>
      <x:c r="H1402" s="17" t="n">
        <x:v>16199</x:v>
      </x:c>
      <x:c r="I1402" s="17" t="str">
        <x:v>Correction</x:v>
      </x:c>
      <x:c r="J1402" s="27" t="n">
        <x:f>INDEX('Model Pricing'!$B$7:$B$8,MATCH(F1402,'Model Pricing'!$A$7:$A$8,0))</x:f>
        <x:v>40</x:v>
      </x:c>
      <x:c r="K1402" s="27" t="n">
        <x:f>INDEX('Model Pricing'!$C$7:$C$8,MATCH(F1402,'Model Pricing'!$A$7:$A$8,0))</x:f>
        <x:v>100</x:v>
      </x:c>
      <x:c r="L1402" s="17" t="n">
        <x:f>G1402+H1402</x:f>
        <x:v>38256</x:v>
      </x:c>
      <x:c r="M1402" s="28" t="n">
        <x:f>G1402*J1402/1000000</x:f>
        <x:v>0.88228</x:v>
      </x:c>
      <x:c r="N1402" s="28" t="n">
        <x:f>H1402*K1402/1000000</x:f>
        <x:v>1.6199</x:v>
      </x:c>
      <x:c r="O1402" s="28" t="n">
        <x:f>SUM(M1402:N1402)</x:f>
        <x:v>2.50218</x:v>
      </x:c>
    </x:row>
    <x:row r="1403" ht="23" customHeight="1">
      <x:c r="A1403" s="17" t="str">
        <x:v>U01397</x:v>
      </x:c>
      <x:c r="B1403" s="18" t="n">
        <x:v>46273</x:v>
      </x:c>
      <x:c r="C1403" s="17" t="str">
        <x:v>W0081</x:v>
      </x:c>
      <x:c r="D1403" s="17" t="str">
        <x:v>C002</x:v>
      </x:c>
      <x:c r="E1403" s="17" t="str">
        <x:v>DataFlow</x:v>
      </x:c>
      <x:c r="F1403" s="17" t="str">
        <x:v>Pro</x:v>
      </x:c>
      <x:c r="G1403" s="17" t="n">
        <x:v>14294</x:v>
      </x:c>
      <x:c r="H1403" s="17" t="n">
        <x:v>17109</x:v>
      </x:c>
      <x:c r="I1403" s="17" t="str">
        <x:v>Followup</x:v>
      </x:c>
      <x:c r="J1403" s="27" t="n">
        <x:f>INDEX('Model Pricing'!$B$7:$B$8,MATCH(F1403,'Model Pricing'!$A$7:$A$8,0))</x:f>
        <x:v>40</x:v>
      </x:c>
      <x:c r="K1403" s="27" t="n">
        <x:f>INDEX('Model Pricing'!$C$7:$C$8,MATCH(F1403,'Model Pricing'!$A$7:$A$8,0))</x:f>
        <x:v>100</x:v>
      </x:c>
      <x:c r="L1403" s="17" t="n">
        <x:f>G1403+H1403</x:f>
        <x:v>31403</x:v>
      </x:c>
      <x:c r="M1403" s="28" t="n">
        <x:f>G1403*J1403/1000000</x:f>
        <x:v>0.57176</x:v>
      </x:c>
      <x:c r="N1403" s="28" t="n">
        <x:f>H1403*K1403/1000000</x:f>
        <x:v>1.7109</x:v>
      </x:c>
      <x:c r="O1403" s="28" t="n">
        <x:f>SUM(M1403:N1403)</x:f>
        <x:v>2.28266</x:v>
      </x:c>
    </x:row>
    <x:row r="1404" ht="23" customHeight="1">
      <x:c r="A1404" s="17" t="str">
        <x:v>U01398</x:v>
      </x:c>
      <x:c r="B1404" s="18" t="n">
        <x:v>46273</x:v>
      </x:c>
      <x:c r="C1404" s="17" t="str">
        <x:v>W0081</x:v>
      </x:c>
      <x:c r="D1404" s="17" t="str">
        <x:v>C002</x:v>
      </x:c>
      <x:c r="E1404" s="17" t="str">
        <x:v>DataFlow</x:v>
      </x:c>
      <x:c r="F1404" s="17" t="str">
        <x:v>Pro</x:v>
      </x:c>
      <x:c r="G1404" s="17" t="n">
        <x:v>18253</x:v>
      </x:c>
      <x:c r="H1404" s="17" t="n">
        <x:v>13288</x:v>
      </x:c>
      <x:c r="I1404" s="17" t="str">
        <x:v>Correction</x:v>
      </x:c>
      <x:c r="J1404" s="27" t="n">
        <x:f>INDEX('Model Pricing'!$B$7:$B$8,MATCH(F1404,'Model Pricing'!$A$7:$A$8,0))</x:f>
        <x:v>40</x:v>
      </x:c>
      <x:c r="K1404" s="27" t="n">
        <x:f>INDEX('Model Pricing'!$C$7:$C$8,MATCH(F1404,'Model Pricing'!$A$7:$A$8,0))</x:f>
        <x:v>100</x:v>
      </x:c>
      <x:c r="L1404" s="17" t="n">
        <x:f>G1404+H1404</x:f>
        <x:v>31541</x:v>
      </x:c>
      <x:c r="M1404" s="28" t="n">
        <x:f>G1404*J1404/1000000</x:f>
        <x:v>0.73012</x:v>
      </x:c>
      <x:c r="N1404" s="28" t="n">
        <x:f>H1404*K1404/1000000</x:f>
        <x:v>1.3288</x:v>
      </x:c>
      <x:c r="O1404" s="28" t="n">
        <x:f>SUM(M1404:N1404)</x:f>
        <x:v>2.05892</x:v>
      </x:c>
    </x:row>
    <x:row r="1405" ht="23" customHeight="1">
      <x:c r="A1405" s="17" t="str">
        <x:v>U01399</x:v>
      </x:c>
      <x:c r="B1405" s="18" t="n">
        <x:v>46273</x:v>
      </x:c>
      <x:c r="C1405" s="17" t="str">
        <x:v>W0081</x:v>
      </x:c>
      <x:c r="D1405" s="17" t="str">
        <x:v>C002</x:v>
      </x:c>
      <x:c r="E1405" s="17" t="str">
        <x:v>DataFlow</x:v>
      </x:c>
      <x:c r="F1405" s="17" t="str">
        <x:v>Pro</x:v>
      </x:c>
      <x:c r="G1405" s="17" t="n">
        <x:v>18200</x:v>
      </x:c>
      <x:c r="H1405" s="17" t="n">
        <x:v>14441</x:v>
      </x:c>
      <x:c r="I1405" s="17" t="str">
        <x:v>Followup</x:v>
      </x:c>
      <x:c r="J1405" s="27" t="n">
        <x:f>INDEX('Model Pricing'!$B$7:$B$8,MATCH(F1405,'Model Pricing'!$A$7:$A$8,0))</x:f>
        <x:v>40</x:v>
      </x:c>
      <x:c r="K1405" s="27" t="n">
        <x:f>INDEX('Model Pricing'!$C$7:$C$8,MATCH(F1405,'Model Pricing'!$A$7:$A$8,0))</x:f>
        <x:v>100</x:v>
      </x:c>
      <x:c r="L1405" s="17" t="n">
        <x:f>G1405+H1405</x:f>
        <x:v>32641</x:v>
      </x:c>
      <x:c r="M1405" s="28" t="n">
        <x:f>G1405*J1405/1000000</x:f>
        <x:v>0.728</x:v>
      </x:c>
      <x:c r="N1405" s="28" t="n">
        <x:f>H1405*K1405/1000000</x:f>
        <x:v>1.4441</x:v>
      </x:c>
      <x:c r="O1405" s="28" t="n">
        <x:f>SUM(M1405:N1405)</x:f>
        <x:v>2.1721</x:v>
      </x:c>
    </x:row>
    <x:row r="1406" ht="23" customHeight="1">
      <x:c r="A1406" s="17" t="str">
        <x:v>U01400</x:v>
      </x:c>
      <x:c r="B1406" s="18" t="n">
        <x:v>46274</x:v>
      </x:c>
      <x:c r="C1406" s="17" t="str">
        <x:v>W0081</x:v>
      </x:c>
      <x:c r="D1406" s="17" t="str">
        <x:v>C002</x:v>
      </x:c>
      <x:c r="E1406" s="17" t="str">
        <x:v>DataFlow</x:v>
      </x:c>
      <x:c r="F1406" s="17" t="str">
        <x:v>Pro</x:v>
      </x:c>
      <x:c r="G1406" s="17" t="n">
        <x:v>20233</x:v>
      </x:c>
      <x:c r="H1406" s="17" t="n">
        <x:v>5971</x:v>
      </x:c>
      <x:c r="I1406" s="17" t="str">
        <x:v>Followup</x:v>
      </x:c>
      <x:c r="J1406" s="27" t="n">
        <x:f>INDEX('Model Pricing'!$B$7:$B$8,MATCH(F1406,'Model Pricing'!$A$7:$A$8,0))</x:f>
        <x:v>40</x:v>
      </x:c>
      <x:c r="K1406" s="27" t="n">
        <x:f>INDEX('Model Pricing'!$C$7:$C$8,MATCH(F1406,'Model Pricing'!$A$7:$A$8,0))</x:f>
        <x:v>100</x:v>
      </x:c>
      <x:c r="L1406" s="17" t="n">
        <x:f>G1406+H1406</x:f>
        <x:v>26204</x:v>
      </x:c>
      <x:c r="M1406" s="28" t="n">
        <x:f>G1406*J1406/1000000</x:f>
        <x:v>0.80932</x:v>
      </x:c>
      <x:c r="N1406" s="28" t="n">
        <x:f>H1406*K1406/1000000</x:f>
        <x:v>0.5971</x:v>
      </x:c>
      <x:c r="O1406" s="28" t="n">
        <x:f>SUM(M1406:N1406)</x:f>
        <x:v>1.40642</x:v>
      </x:c>
    </x:row>
    <x:row r="1407" ht="23" customHeight="1">
      <x:c r="A1407" s="17" t="str">
        <x:v>U01401</x:v>
      </x:c>
      <x:c r="B1407" s="18" t="n">
        <x:v>46274</x:v>
      </x:c>
      <x:c r="C1407" s="17" t="str">
        <x:v>W0081</x:v>
      </x:c>
      <x:c r="D1407" s="17" t="str">
        <x:v>C002</x:v>
      </x:c>
      <x:c r="E1407" s="17" t="str">
        <x:v>DataFlow</x:v>
      </x:c>
      <x:c r="F1407" s="17" t="str">
        <x:v>Pro</x:v>
      </x:c>
      <x:c r="G1407" s="17" t="n">
        <x:v>13356</x:v>
      </x:c>
      <x:c r="H1407" s="17" t="n">
        <x:v>11251</x:v>
      </x:c>
      <x:c r="I1407" s="17" t="str">
        <x:v>Correction</x:v>
      </x:c>
      <x:c r="J1407" s="27" t="n">
        <x:f>INDEX('Model Pricing'!$B$7:$B$8,MATCH(F1407,'Model Pricing'!$A$7:$A$8,0))</x:f>
        <x:v>40</x:v>
      </x:c>
      <x:c r="K1407" s="27" t="n">
        <x:f>INDEX('Model Pricing'!$C$7:$C$8,MATCH(F1407,'Model Pricing'!$A$7:$A$8,0))</x:f>
        <x:v>100</x:v>
      </x:c>
      <x:c r="L1407" s="17" t="n">
        <x:f>G1407+H1407</x:f>
        <x:v>24607</x:v>
      </x:c>
      <x:c r="M1407" s="28" t="n">
        <x:f>G1407*J1407/1000000</x:f>
        <x:v>0.53424</x:v>
      </x:c>
      <x:c r="N1407" s="28" t="n">
        <x:f>H1407*K1407/1000000</x:f>
        <x:v>1.1251</x:v>
      </x:c>
      <x:c r="O1407" s="28" t="n">
        <x:f>SUM(M1407:N1407)</x:f>
        <x:v>1.65934</x:v>
      </x:c>
    </x:row>
    <x:row r="1408" ht="23" customHeight="1">
      <x:c r="A1408" s="17" t="str">
        <x:v>U01402</x:v>
      </x:c>
      <x:c r="B1408" s="18" t="n">
        <x:v>46274</x:v>
      </x:c>
      <x:c r="C1408" s="17" t="str">
        <x:v>W0081</x:v>
      </x:c>
      <x:c r="D1408" s="17" t="str">
        <x:v>C002</x:v>
      </x:c>
      <x:c r="E1408" s="17" t="str">
        <x:v>DataFlow</x:v>
      </x:c>
      <x:c r="F1408" s="17" t="str">
        <x:v>Pro</x:v>
      </x:c>
      <x:c r="G1408" s="17" t="n">
        <x:v>28226</x:v>
      </x:c>
      <x:c r="H1408" s="17" t="n">
        <x:v>16413</x:v>
      </x:c>
      <x:c r="I1408" s="17" t="str">
        <x:v>Correction</x:v>
      </x:c>
      <x:c r="J1408" s="27" t="n">
        <x:f>INDEX('Model Pricing'!$B$7:$B$8,MATCH(F1408,'Model Pricing'!$A$7:$A$8,0))</x:f>
        <x:v>40</x:v>
      </x:c>
      <x:c r="K1408" s="27" t="n">
        <x:f>INDEX('Model Pricing'!$C$7:$C$8,MATCH(F1408,'Model Pricing'!$A$7:$A$8,0))</x:f>
        <x:v>100</x:v>
      </x:c>
      <x:c r="L1408" s="17" t="n">
        <x:f>G1408+H1408</x:f>
        <x:v>44639</x:v>
      </x:c>
      <x:c r="M1408" s="28" t="n">
        <x:f>G1408*J1408/1000000</x:f>
        <x:v>1.12904</x:v>
      </x:c>
      <x:c r="N1408" s="28" t="n">
        <x:f>H1408*K1408/1000000</x:f>
        <x:v>1.6413</x:v>
      </x:c>
      <x:c r="O1408" s="28" t="n">
        <x:f>SUM(M1408:N1408)</x:f>
        <x:v>2.77034</x:v>
      </x:c>
    </x:row>
    <x:row r="1409" ht="23" customHeight="1">
      <x:c r="A1409" s="17" t="str">
        <x:v>U01403</x:v>
      </x:c>
      <x:c r="B1409" s="18" t="n">
        <x:v>46274</x:v>
      </x:c>
      <x:c r="C1409" s="17" t="str">
        <x:v>W0081</x:v>
      </x:c>
      <x:c r="D1409" s="17" t="str">
        <x:v>C002</x:v>
      </x:c>
      <x:c r="E1409" s="17" t="str">
        <x:v>DataFlow</x:v>
      </x:c>
      <x:c r="F1409" s="17" t="str">
        <x:v>Pro</x:v>
      </x:c>
      <x:c r="G1409" s="17" t="n">
        <x:v>37166</x:v>
      </x:c>
      <x:c r="H1409" s="17" t="n">
        <x:v>5169</x:v>
      </x:c>
      <x:c r="I1409" s="17" t="str">
        <x:v>Followup</x:v>
      </x:c>
      <x:c r="J1409" s="27" t="n">
        <x:f>INDEX('Model Pricing'!$B$7:$B$8,MATCH(F1409,'Model Pricing'!$A$7:$A$8,0))</x:f>
        <x:v>40</x:v>
      </x:c>
      <x:c r="K1409" s="27" t="n">
        <x:f>INDEX('Model Pricing'!$C$7:$C$8,MATCH(F1409,'Model Pricing'!$A$7:$A$8,0))</x:f>
        <x:v>100</x:v>
      </x:c>
      <x:c r="L1409" s="17" t="n">
        <x:f>G1409+H1409</x:f>
        <x:v>42335</x:v>
      </x:c>
      <x:c r="M1409" s="28" t="n">
        <x:f>G1409*J1409/1000000</x:f>
        <x:v>1.48664</x:v>
      </x:c>
      <x:c r="N1409" s="28" t="n">
        <x:f>H1409*K1409/1000000</x:f>
        <x:v>0.5169</x:v>
      </x:c>
      <x:c r="O1409" s="28" t="n">
        <x:f>SUM(M1409:N1409)</x:f>
        <x:v>2.00354</x:v>
      </x:c>
    </x:row>
    <x:row r="1410" ht="23" customHeight="1">
      <x:c r="A1410" s="17" t="str">
        <x:v>U01404</x:v>
      </x:c>
      <x:c r="B1410" s="18" t="n">
        <x:v>46274</x:v>
      </x:c>
      <x:c r="C1410" s="17" t="str">
        <x:v>W0081</x:v>
      </x:c>
      <x:c r="D1410" s="17" t="str">
        <x:v>C002</x:v>
      </x:c>
      <x:c r="E1410" s="17" t="str">
        <x:v>DataFlow</x:v>
      </x:c>
      <x:c r="F1410" s="17" t="str">
        <x:v>Pro</x:v>
      </x:c>
      <x:c r="G1410" s="17" t="n">
        <x:v>26051</x:v>
      </x:c>
      <x:c r="H1410" s="17" t="n">
        <x:v>17131</x:v>
      </x:c>
      <x:c r="I1410" s="17" t="str">
        <x:v>Correction</x:v>
      </x:c>
      <x:c r="J1410" s="27" t="n">
        <x:f>INDEX('Model Pricing'!$B$7:$B$8,MATCH(F1410,'Model Pricing'!$A$7:$A$8,0))</x:f>
        <x:v>40</x:v>
      </x:c>
      <x:c r="K1410" s="27" t="n">
        <x:f>INDEX('Model Pricing'!$C$7:$C$8,MATCH(F1410,'Model Pricing'!$A$7:$A$8,0))</x:f>
        <x:v>100</x:v>
      </x:c>
      <x:c r="L1410" s="17" t="n">
        <x:f>G1410+H1410</x:f>
        <x:v>43182</x:v>
      </x:c>
      <x:c r="M1410" s="28" t="n">
        <x:f>G1410*J1410/1000000</x:f>
        <x:v>1.04204</x:v>
      </x:c>
      <x:c r="N1410" s="28" t="n">
        <x:f>H1410*K1410/1000000</x:f>
        <x:v>1.7131</x:v>
      </x:c>
      <x:c r="O1410" s="28" t="n">
        <x:f>SUM(M1410:N1410)</x:f>
        <x:v>2.75514</x:v>
      </x:c>
    </x:row>
    <x:row r="1411" ht="23" customHeight="1">
      <x:c r="A1411" s="17" t="str">
        <x:v>U01405</x:v>
      </x:c>
      <x:c r="B1411" s="18" t="n">
        <x:v>46280</x:v>
      </x:c>
      <x:c r="C1411" s="17" t="str">
        <x:v>W0082</x:v>
      </x:c>
      <x:c r="D1411" s="17" t="str">
        <x:v>C002</x:v>
      </x:c>
      <x:c r="E1411" s="17" t="str">
        <x:v>InsightDesk</x:v>
      </x:c>
      <x:c r="F1411" s="17" t="str">
        <x:v>Pro</x:v>
      </x:c>
      <x:c r="G1411" s="17" t="n">
        <x:v>34224</x:v>
      </x:c>
      <x:c r="H1411" s="17" t="n">
        <x:v>11490</x:v>
      </x:c>
      <x:c r="I1411" s="17" t="str">
        <x:v>First attempt</x:v>
      </x:c>
      <x:c r="J1411" s="27" t="n">
        <x:f>INDEX('Model Pricing'!$B$7:$B$8,MATCH(F1411,'Model Pricing'!$A$7:$A$8,0))</x:f>
        <x:v>40</x:v>
      </x:c>
      <x:c r="K1411" s="27" t="n">
        <x:f>INDEX('Model Pricing'!$C$7:$C$8,MATCH(F1411,'Model Pricing'!$A$7:$A$8,0))</x:f>
        <x:v>100</x:v>
      </x:c>
      <x:c r="L1411" s="17" t="n">
        <x:f>G1411+H1411</x:f>
        <x:v>45714</x:v>
      </x:c>
      <x:c r="M1411" s="28" t="n">
        <x:f>G1411*J1411/1000000</x:f>
        <x:v>1.36896</x:v>
      </x:c>
      <x:c r="N1411" s="28" t="n">
        <x:f>H1411*K1411/1000000</x:f>
        <x:v>1.149</x:v>
      </x:c>
      <x:c r="O1411" s="28" t="n">
        <x:f>SUM(M1411:N1411)</x:f>
        <x:v>2.51796</x:v>
      </x:c>
    </x:row>
    <x:row r="1412" ht="23" customHeight="1">
      <x:c r="A1412" s="17" t="str">
        <x:v>U01406</x:v>
      </x:c>
      <x:c r="B1412" s="18" t="n">
        <x:v>46280</x:v>
      </x:c>
      <x:c r="C1412" s="17" t="str">
        <x:v>W0082</x:v>
      </x:c>
      <x:c r="D1412" s="17" t="str">
        <x:v>C002</x:v>
      </x:c>
      <x:c r="E1412" s="17" t="str">
        <x:v>InsightDesk</x:v>
      </x:c>
      <x:c r="F1412" s="17" t="str">
        <x:v>Pro</x:v>
      </x:c>
      <x:c r="G1412" s="17" t="n">
        <x:v>38730</x:v>
      </x:c>
      <x:c r="H1412" s="17" t="n">
        <x:v>10830</x:v>
      </x:c>
      <x:c r="I1412" s="17" t="str">
        <x:v>Followup</x:v>
      </x:c>
      <x:c r="J1412" s="27" t="n">
        <x:f>INDEX('Model Pricing'!$B$7:$B$8,MATCH(F1412,'Model Pricing'!$A$7:$A$8,0))</x:f>
        <x:v>40</x:v>
      </x:c>
      <x:c r="K1412" s="27" t="n">
        <x:f>INDEX('Model Pricing'!$C$7:$C$8,MATCH(F1412,'Model Pricing'!$A$7:$A$8,0))</x:f>
        <x:v>100</x:v>
      </x:c>
      <x:c r="L1412" s="17" t="n">
        <x:f>G1412+H1412</x:f>
        <x:v>49560</x:v>
      </x:c>
      <x:c r="M1412" s="28" t="n">
        <x:f>G1412*J1412/1000000</x:f>
        <x:v>1.5492</x:v>
      </x:c>
      <x:c r="N1412" s="28" t="n">
        <x:f>H1412*K1412/1000000</x:f>
        <x:v>1.083</x:v>
      </x:c>
      <x:c r="O1412" s="28" t="n">
        <x:f>SUM(M1412:N1412)</x:f>
        <x:v>2.6322</x:v>
      </x:c>
    </x:row>
    <x:row r="1413" ht="23" customHeight="1">
      <x:c r="A1413" s="17" t="str">
        <x:v>U01407</x:v>
      </x:c>
      <x:c r="B1413" s="18" t="n">
        <x:v>46280</x:v>
      </x:c>
      <x:c r="C1413" s="17" t="str">
        <x:v>W0082</x:v>
      </x:c>
      <x:c r="D1413" s="17" t="str">
        <x:v>C002</x:v>
      </x:c>
      <x:c r="E1413" s="17" t="str">
        <x:v>InsightDesk</x:v>
      </x:c>
      <x:c r="F1413" s="17" t="str">
        <x:v>Pro</x:v>
      </x:c>
      <x:c r="G1413" s="17" t="n">
        <x:v>36767</x:v>
      </x:c>
      <x:c r="H1413" s="17" t="n">
        <x:v>4085</x:v>
      </x:c>
      <x:c r="I1413" s="17" t="str">
        <x:v>Followup</x:v>
      </x:c>
      <x:c r="J1413" s="27" t="n">
        <x:f>INDEX('Model Pricing'!$B$7:$B$8,MATCH(F1413,'Model Pricing'!$A$7:$A$8,0))</x:f>
        <x:v>40</x:v>
      </x:c>
      <x:c r="K1413" s="27" t="n">
        <x:f>INDEX('Model Pricing'!$C$7:$C$8,MATCH(F1413,'Model Pricing'!$A$7:$A$8,0))</x:f>
        <x:v>100</x:v>
      </x:c>
      <x:c r="L1413" s="17" t="n">
        <x:f>G1413+H1413</x:f>
        <x:v>40852</x:v>
      </x:c>
      <x:c r="M1413" s="28" t="n">
        <x:f>G1413*J1413/1000000</x:f>
        <x:v>1.47068</x:v>
      </x:c>
      <x:c r="N1413" s="28" t="n">
        <x:f>H1413*K1413/1000000</x:f>
        <x:v>0.4085</x:v>
      </x:c>
      <x:c r="O1413" s="28" t="n">
        <x:f>SUM(M1413:N1413)</x:f>
        <x:v>1.8791799999999999</x:v>
      </x:c>
    </x:row>
    <x:row r="1414" ht="23" customHeight="1">
      <x:c r="A1414" s="17" t="str">
        <x:v>U01408</x:v>
      </x:c>
      <x:c r="B1414" s="18" t="n">
        <x:v>46280</x:v>
      </x:c>
      <x:c r="C1414" s="17" t="str">
        <x:v>W0082</x:v>
      </x:c>
      <x:c r="D1414" s="17" t="str">
        <x:v>C002</x:v>
      </x:c>
      <x:c r="E1414" s="17" t="str">
        <x:v>InsightDesk</x:v>
      </x:c>
      <x:c r="F1414" s="17" t="str">
        <x:v>Pro</x:v>
      </x:c>
      <x:c r="G1414" s="17" t="n">
        <x:v>18241</x:v>
      </x:c>
      <x:c r="H1414" s="17" t="n">
        <x:v>10027</x:v>
      </x:c>
      <x:c r="I1414" s="17" t="str">
        <x:v>Followup</x:v>
      </x:c>
      <x:c r="J1414" s="27" t="n">
        <x:f>INDEX('Model Pricing'!$B$7:$B$8,MATCH(F1414,'Model Pricing'!$A$7:$A$8,0))</x:f>
        <x:v>40</x:v>
      </x:c>
      <x:c r="K1414" s="27" t="n">
        <x:f>INDEX('Model Pricing'!$C$7:$C$8,MATCH(F1414,'Model Pricing'!$A$7:$A$8,0))</x:f>
        <x:v>100</x:v>
      </x:c>
      <x:c r="L1414" s="17" t="n">
        <x:f>G1414+H1414</x:f>
        <x:v>28268</x:v>
      </x:c>
      <x:c r="M1414" s="28" t="n">
        <x:f>G1414*J1414/1000000</x:f>
        <x:v>0.72964</x:v>
      </x:c>
      <x:c r="N1414" s="28" t="n">
        <x:f>H1414*K1414/1000000</x:f>
        <x:v>1.0027</x:v>
      </x:c>
      <x:c r="O1414" s="28" t="n">
        <x:f>SUM(M1414:N1414)</x:f>
        <x:v>1.7323399999999998</x:v>
      </x:c>
    </x:row>
    <x:row r="1415" ht="23" customHeight="1">
      <x:c r="A1415" s="17" t="str">
        <x:v>U01409</x:v>
      </x:c>
      <x:c r="B1415" s="18" t="n">
        <x:v>46280</x:v>
      </x:c>
      <x:c r="C1415" s="17" t="str">
        <x:v>W0082</x:v>
      </x:c>
      <x:c r="D1415" s="17" t="str">
        <x:v>C002</x:v>
      </x:c>
      <x:c r="E1415" s="17" t="str">
        <x:v>InsightDesk</x:v>
      </x:c>
      <x:c r="F1415" s="17" t="str">
        <x:v>Pro</x:v>
      </x:c>
      <x:c r="G1415" s="17" t="n">
        <x:v>32088</x:v>
      </x:c>
      <x:c r="H1415" s="17" t="n">
        <x:v>6998</x:v>
      </x:c>
      <x:c r="I1415" s="17" t="str">
        <x:v>Followup</x:v>
      </x:c>
      <x:c r="J1415" s="27" t="n">
        <x:f>INDEX('Model Pricing'!$B$7:$B$8,MATCH(F1415,'Model Pricing'!$A$7:$A$8,0))</x:f>
        <x:v>40</x:v>
      </x:c>
      <x:c r="K1415" s="27" t="n">
        <x:f>INDEX('Model Pricing'!$C$7:$C$8,MATCH(F1415,'Model Pricing'!$A$7:$A$8,0))</x:f>
        <x:v>100</x:v>
      </x:c>
      <x:c r="L1415" s="17" t="n">
        <x:f>G1415+H1415</x:f>
        <x:v>39086</x:v>
      </x:c>
      <x:c r="M1415" s="28" t="n">
        <x:f>G1415*J1415/1000000</x:f>
        <x:v>1.28352</x:v>
      </x:c>
      <x:c r="N1415" s="28" t="n">
        <x:f>H1415*K1415/1000000</x:f>
        <x:v>0.6998</x:v>
      </x:c>
      <x:c r="O1415" s="28" t="n">
        <x:f>SUM(M1415:N1415)</x:f>
        <x:v>1.98332</x:v>
      </x:c>
    </x:row>
    <x:row r="1416" ht="23" customHeight="1">
      <x:c r="A1416" s="17" t="str">
        <x:v>U01410</x:v>
      </x:c>
      <x:c r="B1416" s="18" t="n">
        <x:v>46281</x:v>
      </x:c>
      <x:c r="C1416" s="17" t="str">
        <x:v>W0082</x:v>
      </x:c>
      <x:c r="D1416" s="17" t="str">
        <x:v>C002</x:v>
      </x:c>
      <x:c r="E1416" s="17" t="str">
        <x:v>InsightDesk</x:v>
      </x:c>
      <x:c r="F1416" s="17" t="str">
        <x:v>Pro</x:v>
      </x:c>
      <x:c r="G1416" s="17" t="n">
        <x:v>18839</x:v>
      </x:c>
      <x:c r="H1416" s="17" t="n">
        <x:v>13801</x:v>
      </x:c>
      <x:c r="I1416" s="17" t="str">
        <x:v>Followup</x:v>
      </x:c>
      <x:c r="J1416" s="27" t="n">
        <x:f>INDEX('Model Pricing'!$B$7:$B$8,MATCH(F1416,'Model Pricing'!$A$7:$A$8,0))</x:f>
        <x:v>40</x:v>
      </x:c>
      <x:c r="K1416" s="27" t="n">
        <x:f>INDEX('Model Pricing'!$C$7:$C$8,MATCH(F1416,'Model Pricing'!$A$7:$A$8,0))</x:f>
        <x:v>100</x:v>
      </x:c>
      <x:c r="L1416" s="17" t="n">
        <x:f>G1416+H1416</x:f>
        <x:v>32640</x:v>
      </x:c>
      <x:c r="M1416" s="28" t="n">
        <x:f>G1416*J1416/1000000</x:f>
        <x:v>0.75356</x:v>
      </x:c>
      <x:c r="N1416" s="28" t="n">
        <x:f>H1416*K1416/1000000</x:f>
        <x:v>1.3801</x:v>
      </x:c>
      <x:c r="O1416" s="28" t="n">
        <x:f>SUM(M1416:N1416)</x:f>
        <x:v>2.13366</x:v>
      </x:c>
    </x:row>
    <x:row r="1417" ht="23" customHeight="1">
      <x:c r="A1417" s="17" t="str">
        <x:v>U01411</x:v>
      </x:c>
      <x:c r="B1417" s="18" t="n">
        <x:v>46281</x:v>
      </x:c>
      <x:c r="C1417" s="17" t="str">
        <x:v>W0082</x:v>
      </x:c>
      <x:c r="D1417" s="17" t="str">
        <x:v>C002</x:v>
      </x:c>
      <x:c r="E1417" s="17" t="str">
        <x:v>InsightDesk</x:v>
      </x:c>
      <x:c r="F1417" s="17" t="str">
        <x:v>Pro</x:v>
      </x:c>
      <x:c r="G1417" s="17" t="n">
        <x:v>28087</x:v>
      </x:c>
      <x:c r="H1417" s="17" t="n">
        <x:v>4605</x:v>
      </x:c>
      <x:c r="I1417" s="17" t="str">
        <x:v>Followup</x:v>
      </x:c>
      <x:c r="J1417" s="27" t="n">
        <x:f>INDEX('Model Pricing'!$B$7:$B$8,MATCH(F1417,'Model Pricing'!$A$7:$A$8,0))</x:f>
        <x:v>40</x:v>
      </x:c>
      <x:c r="K1417" s="27" t="n">
        <x:f>INDEX('Model Pricing'!$C$7:$C$8,MATCH(F1417,'Model Pricing'!$A$7:$A$8,0))</x:f>
        <x:v>100</x:v>
      </x:c>
      <x:c r="L1417" s="17" t="n">
        <x:f>G1417+H1417</x:f>
        <x:v>32692</x:v>
      </x:c>
      <x:c r="M1417" s="28" t="n">
        <x:f>G1417*J1417/1000000</x:f>
        <x:v>1.12348</x:v>
      </x:c>
      <x:c r="N1417" s="28" t="n">
        <x:f>H1417*K1417/1000000</x:f>
        <x:v>0.4605</x:v>
      </x:c>
      <x:c r="O1417" s="28" t="n">
        <x:f>SUM(M1417:N1417)</x:f>
        <x:v>1.58398</x:v>
      </x:c>
    </x:row>
    <x:row r="1418" ht="23" customHeight="1">
      <x:c r="A1418" s="17" t="str">
        <x:v>U01412</x:v>
      </x:c>
      <x:c r="B1418" s="18" t="n">
        <x:v>46281</x:v>
      </x:c>
      <x:c r="C1418" s="17" t="str">
        <x:v>W0082</x:v>
      </x:c>
      <x:c r="D1418" s="17" t="str">
        <x:v>C002</x:v>
      </x:c>
      <x:c r="E1418" s="17" t="str">
        <x:v>InsightDesk</x:v>
      </x:c>
      <x:c r="F1418" s="17" t="str">
        <x:v>Pro</x:v>
      </x:c>
      <x:c r="G1418" s="17" t="n">
        <x:v>32355</x:v>
      </x:c>
      <x:c r="H1418" s="17" t="n">
        <x:v>8825</x:v>
      </x:c>
      <x:c r="I1418" s="17" t="str">
        <x:v>Correction</x:v>
      </x:c>
      <x:c r="J1418" s="27" t="n">
        <x:f>INDEX('Model Pricing'!$B$7:$B$8,MATCH(F1418,'Model Pricing'!$A$7:$A$8,0))</x:f>
        <x:v>40</x:v>
      </x:c>
      <x:c r="K1418" s="27" t="n">
        <x:f>INDEX('Model Pricing'!$C$7:$C$8,MATCH(F1418,'Model Pricing'!$A$7:$A$8,0))</x:f>
        <x:v>100</x:v>
      </x:c>
      <x:c r="L1418" s="17" t="n">
        <x:f>G1418+H1418</x:f>
        <x:v>41180</x:v>
      </x:c>
      <x:c r="M1418" s="28" t="n">
        <x:f>G1418*J1418/1000000</x:f>
        <x:v>1.2942</x:v>
      </x:c>
      <x:c r="N1418" s="28" t="n">
        <x:f>H1418*K1418/1000000</x:f>
        <x:v>0.8825</x:v>
      </x:c>
      <x:c r="O1418" s="28" t="n">
        <x:f>SUM(M1418:N1418)</x:f>
        <x:v>2.1767</x:v>
      </x:c>
    </x:row>
    <x:row r="1419" ht="23" customHeight="1">
      <x:c r="A1419" s="17" t="str">
        <x:v>U01413</x:v>
      </x:c>
      <x:c r="B1419" s="18" t="n">
        <x:v>46281</x:v>
      </x:c>
      <x:c r="C1419" s="17" t="str">
        <x:v>W0082</x:v>
      </x:c>
      <x:c r="D1419" s="17" t="str">
        <x:v>C002</x:v>
      </x:c>
      <x:c r="E1419" s="17" t="str">
        <x:v>InsightDesk</x:v>
      </x:c>
      <x:c r="F1419" s="17" t="str">
        <x:v>Pro</x:v>
      </x:c>
      <x:c r="G1419" s="17" t="n">
        <x:v>16187</x:v>
      </x:c>
      <x:c r="H1419" s="17" t="n">
        <x:v>5074</x:v>
      </x:c>
      <x:c r="I1419" s="17" t="str">
        <x:v>Followup</x:v>
      </x:c>
      <x:c r="J1419" s="27" t="n">
        <x:f>INDEX('Model Pricing'!$B$7:$B$8,MATCH(F1419,'Model Pricing'!$A$7:$A$8,0))</x:f>
        <x:v>40</x:v>
      </x:c>
      <x:c r="K1419" s="27" t="n">
        <x:f>INDEX('Model Pricing'!$C$7:$C$8,MATCH(F1419,'Model Pricing'!$A$7:$A$8,0))</x:f>
        <x:v>100</x:v>
      </x:c>
      <x:c r="L1419" s="17" t="n">
        <x:f>G1419+H1419</x:f>
        <x:v>21261</x:v>
      </x:c>
      <x:c r="M1419" s="28" t="n">
        <x:f>G1419*J1419/1000000</x:f>
        <x:v>0.64748</x:v>
      </x:c>
      <x:c r="N1419" s="28" t="n">
        <x:f>H1419*K1419/1000000</x:f>
        <x:v>0.5074</x:v>
      </x:c>
      <x:c r="O1419" s="28" t="n">
        <x:f>SUM(M1419:N1419)</x:f>
        <x:v>1.15488</x:v>
      </x:c>
    </x:row>
    <x:row r="1420" ht="23" customHeight="1">
      <x:c r="A1420" s="17" t="str">
        <x:v>U01414</x:v>
      </x:c>
      <x:c r="B1420" s="18" t="n">
        <x:v>46282</x:v>
      </x:c>
      <x:c r="C1420" s="17" t="str">
        <x:v>W0082</x:v>
      </x:c>
      <x:c r="D1420" s="17" t="str">
        <x:v>C002</x:v>
      </x:c>
      <x:c r="E1420" s="17" t="str">
        <x:v>InsightDesk</x:v>
      </x:c>
      <x:c r="F1420" s="17" t="str">
        <x:v>Pro</x:v>
      </x:c>
      <x:c r="G1420" s="17" t="n">
        <x:v>34224</x:v>
      </x:c>
      <x:c r="H1420" s="17" t="n">
        <x:v>8245</x:v>
      </x:c>
      <x:c r="I1420" s="17" t="str">
        <x:v>Correction</x:v>
      </x:c>
      <x:c r="J1420" s="27" t="n">
        <x:f>INDEX('Model Pricing'!$B$7:$B$8,MATCH(F1420,'Model Pricing'!$A$7:$A$8,0))</x:f>
        <x:v>40</x:v>
      </x:c>
      <x:c r="K1420" s="27" t="n">
        <x:f>INDEX('Model Pricing'!$C$7:$C$8,MATCH(F1420,'Model Pricing'!$A$7:$A$8,0))</x:f>
        <x:v>100</x:v>
      </x:c>
      <x:c r="L1420" s="17" t="n">
        <x:f>G1420+H1420</x:f>
        <x:v>42469</x:v>
      </x:c>
      <x:c r="M1420" s="28" t="n">
        <x:f>G1420*J1420/1000000</x:f>
        <x:v>1.36896</x:v>
      </x:c>
      <x:c r="N1420" s="28" t="n">
        <x:f>H1420*K1420/1000000</x:f>
        <x:v>0.8245</x:v>
      </x:c>
      <x:c r="O1420" s="28" t="n">
        <x:f>SUM(M1420:N1420)</x:f>
        <x:v>2.19346</x:v>
      </x:c>
    </x:row>
    <x:row r="1421" ht="23" customHeight="1">
      <x:c r="A1421" s="17" t="str">
        <x:v>U01415</x:v>
      </x:c>
      <x:c r="B1421" s="18" t="n">
        <x:v>46282</x:v>
      </x:c>
      <x:c r="C1421" s="17" t="str">
        <x:v>W0082</x:v>
      </x:c>
      <x:c r="D1421" s="17" t="str">
        <x:v>C002</x:v>
      </x:c>
      <x:c r="E1421" s="17" t="str">
        <x:v>InsightDesk</x:v>
      </x:c>
      <x:c r="F1421" s="17" t="str">
        <x:v>Pro</x:v>
      </x:c>
      <x:c r="G1421" s="17" t="n">
        <x:v>25230</x:v>
      </x:c>
      <x:c r="H1421" s="17" t="n">
        <x:v>12836</x:v>
      </x:c>
      <x:c r="I1421" s="17" t="str">
        <x:v>Correction</x:v>
      </x:c>
      <x:c r="J1421" s="27" t="n">
        <x:f>INDEX('Model Pricing'!$B$7:$B$8,MATCH(F1421,'Model Pricing'!$A$7:$A$8,0))</x:f>
        <x:v>40</x:v>
      </x:c>
      <x:c r="K1421" s="27" t="n">
        <x:f>INDEX('Model Pricing'!$C$7:$C$8,MATCH(F1421,'Model Pricing'!$A$7:$A$8,0))</x:f>
        <x:v>100</x:v>
      </x:c>
      <x:c r="L1421" s="17" t="n">
        <x:f>G1421+H1421</x:f>
        <x:v>38066</x:v>
      </x:c>
      <x:c r="M1421" s="28" t="n">
        <x:f>G1421*J1421/1000000</x:f>
        <x:v>1.0092</x:v>
      </x:c>
      <x:c r="N1421" s="28" t="n">
        <x:f>H1421*K1421/1000000</x:f>
        <x:v>1.2836</x:v>
      </x:c>
      <x:c r="O1421" s="28" t="n">
        <x:f>SUM(M1421:N1421)</x:f>
        <x:v>2.2928</x:v>
      </x:c>
    </x:row>
    <x:row r="1422" ht="23" customHeight="1">
      <x:c r="A1422" s="17" t="str">
        <x:v>U01416</x:v>
      </x:c>
      <x:c r="B1422" s="18" t="n">
        <x:v>46282</x:v>
      </x:c>
      <x:c r="C1422" s="17" t="str">
        <x:v>W0082</x:v>
      </x:c>
      <x:c r="D1422" s="17" t="str">
        <x:v>C002</x:v>
      </x:c>
      <x:c r="E1422" s="17" t="str">
        <x:v>InsightDesk</x:v>
      </x:c>
      <x:c r="F1422" s="17" t="str">
        <x:v>Pro</x:v>
      </x:c>
      <x:c r="G1422" s="17" t="n">
        <x:v>17555</x:v>
      </x:c>
      <x:c r="H1422" s="17" t="n">
        <x:v>11147</x:v>
      </x:c>
      <x:c r="I1422" s="17" t="str">
        <x:v>Correction</x:v>
      </x:c>
      <x:c r="J1422" s="27" t="n">
        <x:f>INDEX('Model Pricing'!$B$7:$B$8,MATCH(F1422,'Model Pricing'!$A$7:$A$8,0))</x:f>
        <x:v>40</x:v>
      </x:c>
      <x:c r="K1422" s="27" t="n">
        <x:f>INDEX('Model Pricing'!$C$7:$C$8,MATCH(F1422,'Model Pricing'!$A$7:$A$8,0))</x:f>
        <x:v>100</x:v>
      </x:c>
      <x:c r="L1422" s="17" t="n">
        <x:f>G1422+H1422</x:f>
        <x:v>28702</x:v>
      </x:c>
      <x:c r="M1422" s="28" t="n">
        <x:f>G1422*J1422/1000000</x:f>
        <x:v>0.7022</x:v>
      </x:c>
      <x:c r="N1422" s="28" t="n">
        <x:f>H1422*K1422/1000000</x:f>
        <x:v>1.1147</x:v>
      </x:c>
      <x:c r="O1422" s="28" t="n">
        <x:f>SUM(M1422:N1422)</x:f>
        <x:v>1.8169</x:v>
      </x:c>
    </x:row>
    <x:row r="1423" ht="23" customHeight="1">
      <x:c r="A1423" s="17" t="str">
        <x:v>U01417</x:v>
      </x:c>
      <x:c r="B1423" s="18" t="n">
        <x:v>46282</x:v>
      </x:c>
      <x:c r="C1423" s="17" t="str">
        <x:v>W0082</x:v>
      </x:c>
      <x:c r="D1423" s="17" t="str">
        <x:v>C002</x:v>
      </x:c>
      <x:c r="E1423" s="17" t="str">
        <x:v>InsightDesk</x:v>
      </x:c>
      <x:c r="F1423" s="17" t="str">
        <x:v>Pro</x:v>
      </x:c>
      <x:c r="G1423" s="17" t="n">
        <x:v>21442</x:v>
      </x:c>
      <x:c r="H1423" s="17" t="n">
        <x:v>11483</x:v>
      </x:c>
      <x:c r="I1423" s="17" t="str">
        <x:v>Followup</x:v>
      </x:c>
      <x:c r="J1423" s="27" t="n">
        <x:f>INDEX('Model Pricing'!$B$7:$B$8,MATCH(F1423,'Model Pricing'!$A$7:$A$8,0))</x:f>
        <x:v>40</x:v>
      </x:c>
      <x:c r="K1423" s="27" t="n">
        <x:f>INDEX('Model Pricing'!$C$7:$C$8,MATCH(F1423,'Model Pricing'!$A$7:$A$8,0))</x:f>
        <x:v>100</x:v>
      </x:c>
      <x:c r="L1423" s="17" t="n">
        <x:f>G1423+H1423</x:f>
        <x:v>32925</x:v>
      </x:c>
      <x:c r="M1423" s="28" t="n">
        <x:f>G1423*J1423/1000000</x:f>
        <x:v>0.85768</x:v>
      </x:c>
      <x:c r="N1423" s="28" t="n">
        <x:f>H1423*K1423/1000000</x:f>
        <x:v>1.1483</x:v>
      </x:c>
      <x:c r="O1423" s="28" t="n">
        <x:f>SUM(M1423:N1423)</x:f>
        <x:v>2.00598</x:v>
      </x:c>
    </x:row>
    <x:row r="1424" ht="23" customHeight="1">
      <x:c r="A1424" s="17" t="str">
        <x:v>U01418</x:v>
      </x:c>
      <x:c r="B1424" s="18" t="n">
        <x:v>46283</x:v>
      </x:c>
      <x:c r="C1424" s="17" t="str">
        <x:v>W0082</x:v>
      </x:c>
      <x:c r="D1424" s="17" t="str">
        <x:v>C002</x:v>
      </x:c>
      <x:c r="E1424" s="17" t="str">
        <x:v>InsightDesk</x:v>
      </x:c>
      <x:c r="F1424" s="17" t="str">
        <x:v>Pro</x:v>
      </x:c>
      <x:c r="G1424" s="17" t="n">
        <x:v>18553</x:v>
      </x:c>
      <x:c r="H1424" s="17" t="n">
        <x:v>3982</x:v>
      </x:c>
      <x:c r="I1424" s="17" t="str">
        <x:v>Followup</x:v>
      </x:c>
      <x:c r="J1424" s="27" t="n">
        <x:f>INDEX('Model Pricing'!$B$7:$B$8,MATCH(F1424,'Model Pricing'!$A$7:$A$8,0))</x:f>
        <x:v>40</x:v>
      </x:c>
      <x:c r="K1424" s="27" t="n">
        <x:f>INDEX('Model Pricing'!$C$7:$C$8,MATCH(F1424,'Model Pricing'!$A$7:$A$8,0))</x:f>
        <x:v>100</x:v>
      </x:c>
      <x:c r="L1424" s="17" t="n">
        <x:f>G1424+H1424</x:f>
        <x:v>22535</x:v>
      </x:c>
      <x:c r="M1424" s="28" t="n">
        <x:f>G1424*J1424/1000000</x:f>
        <x:v>0.74212</x:v>
      </x:c>
      <x:c r="N1424" s="28" t="n">
        <x:f>H1424*K1424/1000000</x:f>
        <x:v>0.3982</x:v>
      </x:c>
      <x:c r="O1424" s="28" t="n">
        <x:f>SUM(M1424:N1424)</x:f>
        <x:v>1.14032</x:v>
      </x:c>
    </x:row>
    <x:row r="1425" ht="23" customHeight="1">
      <x:c r="A1425" s="17" t="str">
        <x:v>U01419</x:v>
      </x:c>
      <x:c r="B1425" s="18" t="n">
        <x:v>46283</x:v>
      </x:c>
      <x:c r="C1425" s="17" t="str">
        <x:v>W0082</x:v>
      </x:c>
      <x:c r="D1425" s="17" t="str">
        <x:v>C002</x:v>
      </x:c>
      <x:c r="E1425" s="17" t="str">
        <x:v>InsightDesk</x:v>
      </x:c>
      <x:c r="F1425" s="17" t="str">
        <x:v>Pro</x:v>
      </x:c>
      <x:c r="G1425" s="17" t="n">
        <x:v>30897</x:v>
      </x:c>
      <x:c r="H1425" s="17" t="n">
        <x:v>13658</x:v>
      </x:c>
      <x:c r="I1425" s="17" t="str">
        <x:v>Followup</x:v>
      </x:c>
      <x:c r="J1425" s="27" t="n">
        <x:f>INDEX('Model Pricing'!$B$7:$B$8,MATCH(F1425,'Model Pricing'!$A$7:$A$8,0))</x:f>
        <x:v>40</x:v>
      </x:c>
      <x:c r="K1425" s="27" t="n">
        <x:f>INDEX('Model Pricing'!$C$7:$C$8,MATCH(F1425,'Model Pricing'!$A$7:$A$8,0))</x:f>
        <x:v>100</x:v>
      </x:c>
      <x:c r="L1425" s="17" t="n">
        <x:f>G1425+H1425</x:f>
        <x:v>44555</x:v>
      </x:c>
      <x:c r="M1425" s="28" t="n">
        <x:f>G1425*J1425/1000000</x:f>
        <x:v>1.23588</x:v>
      </x:c>
      <x:c r="N1425" s="28" t="n">
        <x:f>H1425*K1425/1000000</x:f>
        <x:v>1.3658</x:v>
      </x:c>
      <x:c r="O1425" s="28" t="n">
        <x:f>SUM(M1425:N1425)</x:f>
        <x:v>2.60168</x:v>
      </x:c>
    </x:row>
    <x:row r="1426" ht="23" customHeight="1">
      <x:c r="A1426" s="17" t="str">
        <x:v>U01420</x:v>
      </x:c>
      <x:c r="B1426" s="18" t="n">
        <x:v>46283</x:v>
      </x:c>
      <x:c r="C1426" s="17" t="str">
        <x:v>W0082</x:v>
      </x:c>
      <x:c r="D1426" s="17" t="str">
        <x:v>C002</x:v>
      </x:c>
      <x:c r="E1426" s="17" t="str">
        <x:v>InsightDesk</x:v>
      </x:c>
      <x:c r="F1426" s="17" t="str">
        <x:v>Pro</x:v>
      </x:c>
      <x:c r="G1426" s="17" t="n">
        <x:v>38569</x:v>
      </x:c>
      <x:c r="H1426" s="17" t="n">
        <x:v>8187</x:v>
      </x:c>
      <x:c r="I1426" s="17" t="str">
        <x:v>Correction</x:v>
      </x:c>
      <x:c r="J1426" s="27" t="n">
        <x:f>INDEX('Model Pricing'!$B$7:$B$8,MATCH(F1426,'Model Pricing'!$A$7:$A$8,0))</x:f>
        <x:v>40</x:v>
      </x:c>
      <x:c r="K1426" s="27" t="n">
        <x:f>INDEX('Model Pricing'!$C$7:$C$8,MATCH(F1426,'Model Pricing'!$A$7:$A$8,0))</x:f>
        <x:v>100</x:v>
      </x:c>
      <x:c r="L1426" s="17" t="n">
        <x:f>G1426+H1426</x:f>
        <x:v>46756</x:v>
      </x:c>
      <x:c r="M1426" s="28" t="n">
        <x:f>G1426*J1426/1000000</x:f>
        <x:v>1.54276</x:v>
      </x:c>
      <x:c r="N1426" s="28" t="n">
        <x:f>H1426*K1426/1000000</x:f>
        <x:v>0.8187</x:v>
      </x:c>
      <x:c r="O1426" s="28" t="n">
        <x:f>SUM(M1426:N1426)</x:f>
        <x:v>2.36146</x:v>
      </x:c>
    </x:row>
    <x:row r="1427" ht="23" customHeight="1">
      <x:c r="A1427" s="17" t="str">
        <x:v>U01421</x:v>
      </x:c>
      <x:c r="B1427" s="18" t="n">
        <x:v>46283</x:v>
      </x:c>
      <x:c r="C1427" s="17" t="str">
        <x:v>W0082</x:v>
      </x:c>
      <x:c r="D1427" s="17" t="str">
        <x:v>C002</x:v>
      </x:c>
      <x:c r="E1427" s="17" t="str">
        <x:v>InsightDesk</x:v>
      </x:c>
      <x:c r="F1427" s="17" t="str">
        <x:v>Pro</x:v>
      </x:c>
      <x:c r="G1427" s="17" t="n">
        <x:v>28329</x:v>
      </x:c>
      <x:c r="H1427" s="17" t="n">
        <x:v>7862</x:v>
      </x:c>
      <x:c r="I1427" s="17" t="str">
        <x:v>Correction</x:v>
      </x:c>
      <x:c r="J1427" s="27" t="n">
        <x:f>INDEX('Model Pricing'!$B$7:$B$8,MATCH(F1427,'Model Pricing'!$A$7:$A$8,0))</x:f>
        <x:v>40</x:v>
      </x:c>
      <x:c r="K1427" s="27" t="n">
        <x:f>INDEX('Model Pricing'!$C$7:$C$8,MATCH(F1427,'Model Pricing'!$A$7:$A$8,0))</x:f>
        <x:v>100</x:v>
      </x:c>
      <x:c r="L1427" s="17" t="n">
        <x:f>G1427+H1427</x:f>
        <x:v>36191</x:v>
      </x:c>
      <x:c r="M1427" s="28" t="n">
        <x:f>G1427*J1427/1000000</x:f>
        <x:v>1.13316</x:v>
      </x:c>
      <x:c r="N1427" s="28" t="n">
        <x:f>H1427*K1427/1000000</x:f>
        <x:v>0.7862</x:v>
      </x:c>
      <x:c r="O1427" s="28" t="n">
        <x:f>SUM(M1427:N1427)</x:f>
        <x:v>1.91936</x:v>
      </x:c>
    </x:row>
    <x:row r="1428" ht="23" customHeight="1">
      <x:c r="A1428" s="17" t="str">
        <x:v>U01422</x:v>
      </x:c>
      <x:c r="B1428" s="18" t="n">
        <x:v>46283</x:v>
      </x:c>
      <x:c r="C1428" s="17" t="str">
        <x:v>W0085</x:v>
      </x:c>
      <x:c r="D1428" s="17" t="str">
        <x:v>C002</x:v>
      </x:c>
      <x:c r="E1428" s="17" t="str">
        <x:v>CopyStudio</x:v>
      </x:c>
      <x:c r="F1428" s="17" t="str">
        <x:v>Pro</x:v>
      </x:c>
      <x:c r="G1428" s="17" t="n">
        <x:v>23582</x:v>
      </x:c>
      <x:c r="H1428" s="17" t="n">
        <x:v>6546</x:v>
      </x:c>
      <x:c r="I1428" s="17" t="str">
        <x:v>First attempt</x:v>
      </x:c>
      <x:c r="J1428" s="27" t="n">
        <x:f>INDEX('Model Pricing'!$B$7:$B$8,MATCH(F1428,'Model Pricing'!$A$7:$A$8,0))</x:f>
        <x:v>40</x:v>
      </x:c>
      <x:c r="K1428" s="27" t="n">
        <x:f>INDEX('Model Pricing'!$C$7:$C$8,MATCH(F1428,'Model Pricing'!$A$7:$A$8,0))</x:f>
        <x:v>100</x:v>
      </x:c>
      <x:c r="L1428" s="17" t="n">
        <x:f>G1428+H1428</x:f>
        <x:v>30128</x:v>
      </x:c>
      <x:c r="M1428" s="28" t="n">
        <x:f>G1428*J1428/1000000</x:f>
        <x:v>0.94328</x:v>
      </x:c>
      <x:c r="N1428" s="28" t="n">
        <x:f>H1428*K1428/1000000</x:f>
        <x:v>0.6546</x:v>
      </x:c>
      <x:c r="O1428" s="28" t="n">
        <x:f>SUM(M1428:N1428)</x:f>
        <x:v>1.59788</x:v>
      </x:c>
    </x:row>
    <x:row r="1429" ht="23" customHeight="1">
      <x:c r="A1429" s="17" t="str">
        <x:v>U01423</x:v>
      </x:c>
      <x:c r="B1429" s="18" t="n">
        <x:v>46283</x:v>
      </x:c>
      <x:c r="C1429" s="17" t="str">
        <x:v>W0085</x:v>
      </x:c>
      <x:c r="D1429" s="17" t="str">
        <x:v>C002</x:v>
      </x:c>
      <x:c r="E1429" s="17" t="str">
        <x:v>CopyStudio</x:v>
      </x:c>
      <x:c r="F1429" s="17" t="str">
        <x:v>Pro</x:v>
      </x:c>
      <x:c r="G1429" s="17" t="n">
        <x:v>19052</x:v>
      </x:c>
      <x:c r="H1429" s="17" t="n">
        <x:v>11100</x:v>
      </x:c>
      <x:c r="I1429" s="17" t="str">
        <x:v>Correction</x:v>
      </x:c>
      <x:c r="J1429" s="27" t="n">
        <x:f>INDEX('Model Pricing'!$B$7:$B$8,MATCH(F1429,'Model Pricing'!$A$7:$A$8,0))</x:f>
        <x:v>40</x:v>
      </x:c>
      <x:c r="K1429" s="27" t="n">
        <x:f>INDEX('Model Pricing'!$C$7:$C$8,MATCH(F1429,'Model Pricing'!$A$7:$A$8,0))</x:f>
        <x:v>100</x:v>
      </x:c>
      <x:c r="L1429" s="17" t="n">
        <x:f>G1429+H1429</x:f>
        <x:v>30152</x:v>
      </x:c>
      <x:c r="M1429" s="28" t="n">
        <x:f>G1429*J1429/1000000</x:f>
        <x:v>0.76208</x:v>
      </x:c>
      <x:c r="N1429" s="28" t="n">
        <x:f>H1429*K1429/1000000</x:f>
        <x:v>1.11</x:v>
      </x:c>
      <x:c r="O1429" s="28" t="n">
        <x:f>SUM(M1429:N1429)</x:f>
        <x:v>1.87208</x:v>
      </x:c>
    </x:row>
    <x:row r="1430" ht="23" customHeight="1">
      <x:c r="A1430" s="17" t="str">
        <x:v>U01424</x:v>
      </x:c>
      <x:c r="B1430" s="18" t="n">
        <x:v>46283</x:v>
      </x:c>
      <x:c r="C1430" s="17" t="str">
        <x:v>W0085</x:v>
      </x:c>
      <x:c r="D1430" s="17" t="str">
        <x:v>C002</x:v>
      </x:c>
      <x:c r="E1430" s="17" t="str">
        <x:v>CopyStudio</x:v>
      </x:c>
      <x:c r="F1430" s="17" t="str">
        <x:v>Pro</x:v>
      </x:c>
      <x:c r="G1430" s="17" t="n">
        <x:v>32022</x:v>
      </x:c>
      <x:c r="H1430" s="17" t="n">
        <x:v>9780</x:v>
      </x:c>
      <x:c r="I1430" s="17" t="str">
        <x:v>Followup</x:v>
      </x:c>
      <x:c r="J1430" s="27" t="n">
        <x:f>INDEX('Model Pricing'!$B$7:$B$8,MATCH(F1430,'Model Pricing'!$A$7:$A$8,0))</x:f>
        <x:v>40</x:v>
      </x:c>
      <x:c r="K1430" s="27" t="n">
        <x:f>INDEX('Model Pricing'!$C$7:$C$8,MATCH(F1430,'Model Pricing'!$A$7:$A$8,0))</x:f>
        <x:v>100</x:v>
      </x:c>
      <x:c r="L1430" s="17" t="n">
        <x:f>G1430+H1430</x:f>
        <x:v>41802</x:v>
      </x:c>
      <x:c r="M1430" s="28" t="n">
        <x:f>G1430*J1430/1000000</x:f>
        <x:v>1.28088</x:v>
      </x:c>
      <x:c r="N1430" s="28" t="n">
        <x:f>H1430*K1430/1000000</x:f>
        <x:v>0.978</x:v>
      </x:c>
      <x:c r="O1430" s="28" t="n">
        <x:f>SUM(M1430:N1430)</x:f>
        <x:v>2.25888</x:v>
      </x:c>
    </x:row>
    <x:row r="1431" ht="23" customHeight="1">
      <x:c r="A1431" s="17" t="str">
        <x:v>U01425</x:v>
      </x:c>
      <x:c r="B1431" s="18" t="n">
        <x:v>46283</x:v>
      </x:c>
      <x:c r="C1431" s="17" t="str">
        <x:v>W0085</x:v>
      </x:c>
      <x:c r="D1431" s="17" t="str">
        <x:v>C002</x:v>
      </x:c>
      <x:c r="E1431" s="17" t="str">
        <x:v>CopyStudio</x:v>
      </x:c>
      <x:c r="F1431" s="17" t="str">
        <x:v>Pro</x:v>
      </x:c>
      <x:c r="G1431" s="17" t="n">
        <x:v>11575</x:v>
      </x:c>
      <x:c r="H1431" s="17" t="n">
        <x:v>6684</x:v>
      </x:c>
      <x:c r="I1431" s="17" t="str">
        <x:v>Correction</x:v>
      </x:c>
      <x:c r="J1431" s="27" t="n">
        <x:f>INDEX('Model Pricing'!$B$7:$B$8,MATCH(F1431,'Model Pricing'!$A$7:$A$8,0))</x:f>
        <x:v>40</x:v>
      </x:c>
      <x:c r="K1431" s="27" t="n">
        <x:f>INDEX('Model Pricing'!$C$7:$C$8,MATCH(F1431,'Model Pricing'!$A$7:$A$8,0))</x:f>
        <x:v>100</x:v>
      </x:c>
      <x:c r="L1431" s="17" t="n">
        <x:f>G1431+H1431</x:f>
        <x:v>18259</x:v>
      </x:c>
      <x:c r="M1431" s="28" t="n">
        <x:f>G1431*J1431/1000000</x:f>
        <x:v>0.463</x:v>
      </x:c>
      <x:c r="N1431" s="28" t="n">
        <x:f>H1431*K1431/1000000</x:f>
        <x:v>0.6684</x:v>
      </x:c>
      <x:c r="O1431" s="28" t="n">
        <x:f>SUM(M1431:N1431)</x:f>
        <x:v>1.1314</x:v>
      </x:c>
    </x:row>
    <x:row r="1432" ht="23" customHeight="1">
      <x:c r="A1432" s="17" t="str">
        <x:v>U01426</x:v>
      </x:c>
      <x:c r="B1432" s="18" t="n">
        <x:v>46283</x:v>
      </x:c>
      <x:c r="C1432" s="17" t="str">
        <x:v>W0085</x:v>
      </x:c>
      <x:c r="D1432" s="17" t="str">
        <x:v>C002</x:v>
      </x:c>
      <x:c r="E1432" s="17" t="str">
        <x:v>CopyStudio</x:v>
      </x:c>
      <x:c r="F1432" s="17" t="str">
        <x:v>Pro</x:v>
      </x:c>
      <x:c r="G1432" s="17" t="n">
        <x:v>12126</x:v>
      </x:c>
      <x:c r="H1432" s="17" t="n">
        <x:v>11090</x:v>
      </x:c>
      <x:c r="I1432" s="17" t="str">
        <x:v>Followup</x:v>
      </x:c>
      <x:c r="J1432" s="27" t="n">
        <x:f>INDEX('Model Pricing'!$B$7:$B$8,MATCH(F1432,'Model Pricing'!$A$7:$A$8,0))</x:f>
        <x:v>40</x:v>
      </x:c>
      <x:c r="K1432" s="27" t="n">
        <x:f>INDEX('Model Pricing'!$C$7:$C$8,MATCH(F1432,'Model Pricing'!$A$7:$A$8,0))</x:f>
        <x:v>100</x:v>
      </x:c>
      <x:c r="L1432" s="17" t="n">
        <x:f>G1432+H1432</x:f>
        <x:v>23216</x:v>
      </x:c>
      <x:c r="M1432" s="28" t="n">
        <x:f>G1432*J1432/1000000</x:f>
        <x:v>0.48504</x:v>
      </x:c>
      <x:c r="N1432" s="28" t="n">
        <x:f>H1432*K1432/1000000</x:f>
        <x:v>1.109</x:v>
      </x:c>
      <x:c r="O1432" s="28" t="n">
        <x:f>SUM(M1432:N1432)</x:f>
        <x:v>1.5940400000000001</x:v>
      </x:c>
    </x:row>
    <x:row r="1433" ht="23" customHeight="1">
      <x:c r="A1433" s="17" t="str">
        <x:v>U01427</x:v>
      </x:c>
      <x:c r="B1433" s="18" t="n">
        <x:v>46286</x:v>
      </x:c>
      <x:c r="C1433" s="17" t="str">
        <x:v>W0085</x:v>
      </x:c>
      <x:c r="D1433" s="17" t="str">
        <x:v>C002</x:v>
      </x:c>
      <x:c r="E1433" s="17" t="str">
        <x:v>CopyStudio</x:v>
      </x:c>
      <x:c r="F1433" s="17" t="str">
        <x:v>Pro</x:v>
      </x:c>
      <x:c r="G1433" s="17" t="n">
        <x:v>32113</x:v>
      </x:c>
      <x:c r="H1433" s="17" t="n">
        <x:v>9082</x:v>
      </x:c>
      <x:c r="I1433" s="17" t="str">
        <x:v>Followup</x:v>
      </x:c>
      <x:c r="J1433" s="27" t="n">
        <x:f>INDEX('Model Pricing'!$B$7:$B$8,MATCH(F1433,'Model Pricing'!$A$7:$A$8,0))</x:f>
        <x:v>40</x:v>
      </x:c>
      <x:c r="K1433" s="27" t="n">
        <x:f>INDEX('Model Pricing'!$C$7:$C$8,MATCH(F1433,'Model Pricing'!$A$7:$A$8,0))</x:f>
        <x:v>100</x:v>
      </x:c>
      <x:c r="L1433" s="17" t="n">
        <x:f>G1433+H1433</x:f>
        <x:v>41195</x:v>
      </x:c>
      <x:c r="M1433" s="28" t="n">
        <x:f>G1433*J1433/1000000</x:f>
        <x:v>1.28452</x:v>
      </x:c>
      <x:c r="N1433" s="28" t="n">
        <x:f>H1433*K1433/1000000</x:f>
        <x:v>0.9082</x:v>
      </x:c>
      <x:c r="O1433" s="28" t="n">
        <x:f>SUM(M1433:N1433)</x:f>
        <x:v>2.19272</x:v>
      </x:c>
    </x:row>
    <x:row r="1434" ht="23" customHeight="1">
      <x:c r="A1434" s="17" t="str">
        <x:v>U01428</x:v>
      </x:c>
      <x:c r="B1434" s="18" t="n">
        <x:v>46286</x:v>
      </x:c>
      <x:c r="C1434" s="17" t="str">
        <x:v>W0085</x:v>
      </x:c>
      <x:c r="D1434" s="17" t="str">
        <x:v>C002</x:v>
      </x:c>
      <x:c r="E1434" s="17" t="str">
        <x:v>CopyStudio</x:v>
      </x:c>
      <x:c r="F1434" s="17" t="str">
        <x:v>Pro</x:v>
      </x:c>
      <x:c r="G1434" s="17" t="n">
        <x:v>18628</x:v>
      </x:c>
      <x:c r="H1434" s="17" t="n">
        <x:v>10391</x:v>
      </x:c>
      <x:c r="I1434" s="17" t="str">
        <x:v>Correction</x:v>
      </x:c>
      <x:c r="J1434" s="27" t="n">
        <x:f>INDEX('Model Pricing'!$B$7:$B$8,MATCH(F1434,'Model Pricing'!$A$7:$A$8,0))</x:f>
        <x:v>40</x:v>
      </x:c>
      <x:c r="K1434" s="27" t="n">
        <x:f>INDEX('Model Pricing'!$C$7:$C$8,MATCH(F1434,'Model Pricing'!$A$7:$A$8,0))</x:f>
        <x:v>100</x:v>
      </x:c>
      <x:c r="L1434" s="17" t="n">
        <x:f>G1434+H1434</x:f>
        <x:v>29019</x:v>
      </x:c>
      <x:c r="M1434" s="28" t="n">
        <x:f>G1434*J1434/1000000</x:f>
        <x:v>0.74512</x:v>
      </x:c>
      <x:c r="N1434" s="28" t="n">
        <x:f>H1434*K1434/1000000</x:f>
        <x:v>1.0391</x:v>
      </x:c>
      <x:c r="O1434" s="28" t="n">
        <x:f>SUM(M1434:N1434)</x:f>
        <x:v>1.78422</x:v>
      </x:c>
    </x:row>
    <x:row r="1435" ht="23" customHeight="1">
      <x:c r="A1435" s="17" t="str">
        <x:v>U01429</x:v>
      </x:c>
      <x:c r="B1435" s="18" t="n">
        <x:v>46286</x:v>
      </x:c>
      <x:c r="C1435" s="17" t="str">
        <x:v>W0085</x:v>
      </x:c>
      <x:c r="D1435" s="17" t="str">
        <x:v>C002</x:v>
      </x:c>
      <x:c r="E1435" s="17" t="str">
        <x:v>CopyStudio</x:v>
      </x:c>
      <x:c r="F1435" s="17" t="str">
        <x:v>Pro</x:v>
      </x:c>
      <x:c r="G1435" s="17" t="n">
        <x:v>12421</x:v>
      </x:c>
      <x:c r="H1435" s="17" t="n">
        <x:v>4764</x:v>
      </x:c>
      <x:c r="I1435" s="17" t="str">
        <x:v>Followup</x:v>
      </x:c>
      <x:c r="J1435" s="27" t="n">
        <x:f>INDEX('Model Pricing'!$B$7:$B$8,MATCH(F1435,'Model Pricing'!$A$7:$A$8,0))</x:f>
        <x:v>40</x:v>
      </x:c>
      <x:c r="K1435" s="27" t="n">
        <x:f>INDEX('Model Pricing'!$C$7:$C$8,MATCH(F1435,'Model Pricing'!$A$7:$A$8,0))</x:f>
        <x:v>100</x:v>
      </x:c>
      <x:c r="L1435" s="17" t="n">
        <x:f>G1435+H1435</x:f>
        <x:v>17185</x:v>
      </x:c>
      <x:c r="M1435" s="28" t="n">
        <x:f>G1435*J1435/1000000</x:f>
        <x:v>0.49684</x:v>
      </x:c>
      <x:c r="N1435" s="28" t="n">
        <x:f>H1435*K1435/1000000</x:f>
        <x:v>0.4764</x:v>
      </x:c>
      <x:c r="O1435" s="28" t="n">
        <x:f>SUM(M1435:N1435)</x:f>
        <x:v>0.97324</x:v>
      </x:c>
    </x:row>
    <x:row r="1436" ht="23" customHeight="1">
      <x:c r="A1436" s="17" t="str">
        <x:v>U01430</x:v>
      </x:c>
      <x:c r="B1436" s="18" t="n">
        <x:v>46286</x:v>
      </x:c>
      <x:c r="C1436" s="17" t="str">
        <x:v>W0085</x:v>
      </x:c>
      <x:c r="D1436" s="17" t="str">
        <x:v>C002</x:v>
      </x:c>
      <x:c r="E1436" s="17" t="str">
        <x:v>CopyStudio</x:v>
      </x:c>
      <x:c r="F1436" s="17" t="str">
        <x:v>Pro</x:v>
      </x:c>
      <x:c r="G1436" s="17" t="n">
        <x:v>21417</x:v>
      </x:c>
      <x:c r="H1436" s="17" t="n">
        <x:v>4377</x:v>
      </x:c>
      <x:c r="I1436" s="17" t="str">
        <x:v>Followup</x:v>
      </x:c>
      <x:c r="J1436" s="27" t="n">
        <x:f>INDEX('Model Pricing'!$B$7:$B$8,MATCH(F1436,'Model Pricing'!$A$7:$A$8,0))</x:f>
        <x:v>40</x:v>
      </x:c>
      <x:c r="K1436" s="27" t="n">
        <x:f>INDEX('Model Pricing'!$C$7:$C$8,MATCH(F1436,'Model Pricing'!$A$7:$A$8,0))</x:f>
        <x:v>100</x:v>
      </x:c>
      <x:c r="L1436" s="17" t="n">
        <x:f>G1436+H1436</x:f>
        <x:v>25794</x:v>
      </x:c>
      <x:c r="M1436" s="28" t="n">
        <x:f>G1436*J1436/1000000</x:f>
        <x:v>0.85668</x:v>
      </x:c>
      <x:c r="N1436" s="28" t="n">
        <x:f>H1436*K1436/1000000</x:f>
        <x:v>0.4377</x:v>
      </x:c>
      <x:c r="O1436" s="28" t="n">
        <x:f>SUM(M1436:N1436)</x:f>
        <x:v>1.2943799999999999</x:v>
      </x:c>
    </x:row>
    <x:row r="1437" ht="23" customHeight="1">
      <x:c r="A1437" s="17" t="str">
        <x:v>U01431</x:v>
      </x:c>
      <x:c r="B1437" s="18" t="n">
        <x:v>46287</x:v>
      </x:c>
      <x:c r="C1437" s="17" t="str">
        <x:v>W0085</x:v>
      </x:c>
      <x:c r="D1437" s="17" t="str">
        <x:v>C002</x:v>
      </x:c>
      <x:c r="E1437" s="17" t="str">
        <x:v>CopyStudio</x:v>
      </x:c>
      <x:c r="F1437" s="17" t="str">
        <x:v>Pro</x:v>
      </x:c>
      <x:c r="G1437" s="17" t="n">
        <x:v>25284</x:v>
      </x:c>
      <x:c r="H1437" s="17" t="n">
        <x:v>5926</x:v>
      </x:c>
      <x:c r="I1437" s="17" t="str">
        <x:v>Followup</x:v>
      </x:c>
      <x:c r="J1437" s="27" t="n">
        <x:f>INDEX('Model Pricing'!$B$7:$B$8,MATCH(F1437,'Model Pricing'!$A$7:$A$8,0))</x:f>
        <x:v>40</x:v>
      </x:c>
      <x:c r="K1437" s="27" t="n">
        <x:f>INDEX('Model Pricing'!$C$7:$C$8,MATCH(F1437,'Model Pricing'!$A$7:$A$8,0))</x:f>
        <x:v>100</x:v>
      </x:c>
      <x:c r="L1437" s="17" t="n">
        <x:f>G1437+H1437</x:f>
        <x:v>31210</x:v>
      </x:c>
      <x:c r="M1437" s="28" t="n">
        <x:f>G1437*J1437/1000000</x:f>
        <x:v>1.01136</x:v>
      </x:c>
      <x:c r="N1437" s="28" t="n">
        <x:f>H1437*K1437/1000000</x:f>
        <x:v>0.5926</x:v>
      </x:c>
      <x:c r="O1437" s="28" t="n">
        <x:f>SUM(M1437:N1437)</x:f>
        <x:v>1.60396</x:v>
      </x:c>
    </x:row>
    <x:row r="1438" ht="23" customHeight="1">
      <x:c r="A1438" s="17" t="str">
        <x:v>U01432</x:v>
      </x:c>
      <x:c r="B1438" s="18" t="n">
        <x:v>46287</x:v>
      </x:c>
      <x:c r="C1438" s="17" t="str">
        <x:v>W0085</x:v>
      </x:c>
      <x:c r="D1438" s="17" t="str">
        <x:v>C002</x:v>
      </x:c>
      <x:c r="E1438" s="17" t="str">
        <x:v>CopyStudio</x:v>
      </x:c>
      <x:c r="F1438" s="17" t="str">
        <x:v>Pro</x:v>
      </x:c>
      <x:c r="G1438" s="17" t="n">
        <x:v>21371</x:v>
      </x:c>
      <x:c r="H1438" s="17" t="n">
        <x:v>7775</x:v>
      </x:c>
      <x:c r="I1438" s="17" t="str">
        <x:v>Followup</x:v>
      </x:c>
      <x:c r="J1438" s="27" t="n">
        <x:f>INDEX('Model Pricing'!$B$7:$B$8,MATCH(F1438,'Model Pricing'!$A$7:$A$8,0))</x:f>
        <x:v>40</x:v>
      </x:c>
      <x:c r="K1438" s="27" t="n">
        <x:f>INDEX('Model Pricing'!$C$7:$C$8,MATCH(F1438,'Model Pricing'!$A$7:$A$8,0))</x:f>
        <x:v>100</x:v>
      </x:c>
      <x:c r="L1438" s="17" t="n">
        <x:f>G1438+H1438</x:f>
        <x:v>29146</x:v>
      </x:c>
      <x:c r="M1438" s="28" t="n">
        <x:f>G1438*J1438/1000000</x:f>
        <x:v>0.85484</x:v>
      </x:c>
      <x:c r="N1438" s="28" t="n">
        <x:f>H1438*K1438/1000000</x:f>
        <x:v>0.7775</x:v>
      </x:c>
      <x:c r="O1438" s="28" t="n">
        <x:f>SUM(M1438:N1438)</x:f>
        <x:v>1.6323400000000001</x:v>
      </x:c>
    </x:row>
    <x:row r="1439" ht="23" customHeight="1">
      <x:c r="A1439" s="17" t="str">
        <x:v>U01433</x:v>
      </x:c>
      <x:c r="B1439" s="18" t="n">
        <x:v>46287</x:v>
      </x:c>
      <x:c r="C1439" s="17" t="str">
        <x:v>W0085</x:v>
      </x:c>
      <x:c r="D1439" s="17" t="str">
        <x:v>C002</x:v>
      </x:c>
      <x:c r="E1439" s="17" t="str">
        <x:v>CopyStudio</x:v>
      </x:c>
      <x:c r="F1439" s="17" t="str">
        <x:v>Pro</x:v>
      </x:c>
      <x:c r="G1439" s="17" t="n">
        <x:v>27070</x:v>
      </x:c>
      <x:c r="H1439" s="17" t="n">
        <x:v>5519</x:v>
      </x:c>
      <x:c r="I1439" s="17" t="str">
        <x:v>Followup</x:v>
      </x:c>
      <x:c r="J1439" s="27" t="n">
        <x:f>INDEX('Model Pricing'!$B$7:$B$8,MATCH(F1439,'Model Pricing'!$A$7:$A$8,0))</x:f>
        <x:v>40</x:v>
      </x:c>
      <x:c r="K1439" s="27" t="n">
        <x:f>INDEX('Model Pricing'!$C$7:$C$8,MATCH(F1439,'Model Pricing'!$A$7:$A$8,0))</x:f>
        <x:v>100</x:v>
      </x:c>
      <x:c r="L1439" s="17" t="n">
        <x:f>G1439+H1439</x:f>
        <x:v>32589</x:v>
      </x:c>
      <x:c r="M1439" s="28" t="n">
        <x:f>G1439*J1439/1000000</x:f>
        <x:v>1.0828</x:v>
      </x:c>
      <x:c r="N1439" s="28" t="n">
        <x:f>H1439*K1439/1000000</x:f>
        <x:v>0.5519</x:v>
      </x:c>
      <x:c r="O1439" s="28" t="n">
        <x:f>SUM(M1439:N1439)</x:f>
        <x:v>1.6347</x:v>
      </x:c>
    </x:row>
    <x:row r="1440" ht="23" customHeight="1">
      <x:c r="A1440" s="17" t="str">
        <x:v>U01434</x:v>
      </x:c>
      <x:c r="B1440" s="18" t="n">
        <x:v>46287</x:v>
      </x:c>
      <x:c r="C1440" s="17" t="str">
        <x:v>W0085</x:v>
      </x:c>
      <x:c r="D1440" s="17" t="str">
        <x:v>C002</x:v>
      </x:c>
      <x:c r="E1440" s="17" t="str">
        <x:v>CopyStudio</x:v>
      </x:c>
      <x:c r="F1440" s="17" t="str">
        <x:v>Pro</x:v>
      </x:c>
      <x:c r="G1440" s="17" t="n">
        <x:v>16866</x:v>
      </x:c>
      <x:c r="H1440" s="17" t="n">
        <x:v>3206</x:v>
      </x:c>
      <x:c r="I1440" s="17" t="str">
        <x:v>Correction</x:v>
      </x:c>
      <x:c r="J1440" s="27" t="n">
        <x:f>INDEX('Model Pricing'!$B$7:$B$8,MATCH(F1440,'Model Pricing'!$A$7:$A$8,0))</x:f>
        <x:v>40</x:v>
      </x:c>
      <x:c r="K1440" s="27" t="n">
        <x:f>INDEX('Model Pricing'!$C$7:$C$8,MATCH(F1440,'Model Pricing'!$A$7:$A$8,0))</x:f>
        <x:v>100</x:v>
      </x:c>
      <x:c r="L1440" s="17" t="n">
        <x:f>G1440+H1440</x:f>
        <x:v>20072</x:v>
      </x:c>
      <x:c r="M1440" s="28" t="n">
        <x:f>G1440*J1440/1000000</x:f>
        <x:v>0.67464</x:v>
      </x:c>
      <x:c r="N1440" s="28" t="n">
        <x:f>H1440*K1440/1000000</x:f>
        <x:v>0.3206</x:v>
      </x:c>
      <x:c r="O1440" s="28" t="n">
        <x:f>SUM(M1440:N1440)</x:f>
        <x:v>0.99524</x:v>
      </x:c>
    </x:row>
    <x:row r="1441" ht="23" customHeight="1">
      <x:c r="A1441" s="17" t="str">
        <x:v>U01435</x:v>
      </x:c>
      <x:c r="B1441" s="18" t="n">
        <x:v>46287</x:v>
      </x:c>
      <x:c r="C1441" s="17" t="str">
        <x:v>W0085</x:v>
      </x:c>
      <x:c r="D1441" s="17" t="str">
        <x:v>C002</x:v>
      </x:c>
      <x:c r="E1441" s="17" t="str">
        <x:v>CopyStudio</x:v>
      </x:c>
      <x:c r="F1441" s="17" t="str">
        <x:v>Pro</x:v>
      </x:c>
      <x:c r="G1441" s="17" t="n">
        <x:v>15524</x:v>
      </x:c>
      <x:c r="H1441" s="17" t="n">
        <x:v>6363</x:v>
      </x:c>
      <x:c r="I1441" s="17" t="str">
        <x:v>Correction</x:v>
      </x:c>
      <x:c r="J1441" s="27" t="n">
        <x:f>INDEX('Model Pricing'!$B$7:$B$8,MATCH(F1441,'Model Pricing'!$A$7:$A$8,0))</x:f>
        <x:v>40</x:v>
      </x:c>
      <x:c r="K1441" s="27" t="n">
        <x:f>INDEX('Model Pricing'!$C$7:$C$8,MATCH(F1441,'Model Pricing'!$A$7:$A$8,0))</x:f>
        <x:v>100</x:v>
      </x:c>
      <x:c r="L1441" s="17" t="n">
        <x:f>G1441+H1441</x:f>
        <x:v>21887</x:v>
      </x:c>
      <x:c r="M1441" s="28" t="n">
        <x:f>G1441*J1441/1000000</x:f>
        <x:v>0.62096</x:v>
      </x:c>
      <x:c r="N1441" s="28" t="n">
        <x:f>H1441*K1441/1000000</x:f>
        <x:v>0.6363</x:v>
      </x:c>
      <x:c r="O1441" s="28" t="n">
        <x:f>SUM(M1441:N1441)</x:f>
        <x:v>1.25726</x:v>
      </x:c>
    </x:row>
    <x:row r="1442" ht="23" customHeight="1">
      <x:c r="A1442" s="17" t="str">
        <x:v>U01436</x:v>
      </x:c>
      <x:c r="B1442" s="18" t="n">
        <x:v>46288</x:v>
      </x:c>
      <x:c r="C1442" s="17" t="str">
        <x:v>W0085</x:v>
      </x:c>
      <x:c r="D1442" s="17" t="str">
        <x:v>C002</x:v>
      </x:c>
      <x:c r="E1442" s="17" t="str">
        <x:v>CopyStudio</x:v>
      </x:c>
      <x:c r="F1442" s="17" t="str">
        <x:v>Pro</x:v>
      </x:c>
      <x:c r="G1442" s="17" t="n">
        <x:v>16890</x:v>
      </x:c>
      <x:c r="H1442" s="17" t="n">
        <x:v>3287</x:v>
      </x:c>
      <x:c r="I1442" s="17" t="str">
        <x:v>Followup</x:v>
      </x:c>
      <x:c r="J1442" s="27" t="n">
        <x:f>INDEX('Model Pricing'!$B$7:$B$8,MATCH(F1442,'Model Pricing'!$A$7:$A$8,0))</x:f>
        <x:v>40</x:v>
      </x:c>
      <x:c r="K1442" s="27" t="n">
        <x:f>INDEX('Model Pricing'!$C$7:$C$8,MATCH(F1442,'Model Pricing'!$A$7:$A$8,0))</x:f>
        <x:v>100</x:v>
      </x:c>
      <x:c r="L1442" s="17" t="n">
        <x:f>G1442+H1442</x:f>
        <x:v>20177</x:v>
      </x:c>
      <x:c r="M1442" s="28" t="n">
        <x:f>G1442*J1442/1000000</x:f>
        <x:v>0.6756</x:v>
      </x:c>
      <x:c r="N1442" s="28" t="n">
        <x:f>H1442*K1442/1000000</x:f>
        <x:v>0.3287</x:v>
      </x:c>
      <x:c r="O1442" s="28" t="n">
        <x:f>SUM(M1442:N1442)</x:f>
        <x:v>1.0043</x:v>
      </x:c>
    </x:row>
    <x:row r="1443" ht="23" customHeight="1">
      <x:c r="A1443" s="17" t="str">
        <x:v>U01437</x:v>
      </x:c>
      <x:c r="B1443" s="18" t="n">
        <x:v>46288</x:v>
      </x:c>
      <x:c r="C1443" s="17" t="str">
        <x:v>W0085</x:v>
      </x:c>
      <x:c r="D1443" s="17" t="str">
        <x:v>C002</x:v>
      </x:c>
      <x:c r="E1443" s="17" t="str">
        <x:v>CopyStudio</x:v>
      </x:c>
      <x:c r="F1443" s="17" t="str">
        <x:v>Pro</x:v>
      </x:c>
      <x:c r="G1443" s="17" t="n">
        <x:v>27537</x:v>
      </x:c>
      <x:c r="H1443" s="17" t="n">
        <x:v>8328</x:v>
      </x:c>
      <x:c r="I1443" s="17" t="str">
        <x:v>Correction</x:v>
      </x:c>
      <x:c r="J1443" s="27" t="n">
        <x:f>INDEX('Model Pricing'!$B$7:$B$8,MATCH(F1443,'Model Pricing'!$A$7:$A$8,0))</x:f>
        <x:v>40</x:v>
      </x:c>
      <x:c r="K1443" s="27" t="n">
        <x:f>INDEX('Model Pricing'!$C$7:$C$8,MATCH(F1443,'Model Pricing'!$A$7:$A$8,0))</x:f>
        <x:v>100</x:v>
      </x:c>
      <x:c r="L1443" s="17" t="n">
        <x:f>G1443+H1443</x:f>
        <x:v>35865</x:v>
      </x:c>
      <x:c r="M1443" s="28" t="n">
        <x:f>G1443*J1443/1000000</x:f>
        <x:v>1.10148</x:v>
      </x:c>
      <x:c r="N1443" s="28" t="n">
        <x:f>H1443*K1443/1000000</x:f>
        <x:v>0.8328</x:v>
      </x:c>
      <x:c r="O1443" s="28" t="n">
        <x:f>SUM(M1443:N1443)</x:f>
        <x:v>1.93428</x:v>
      </x:c>
    </x:row>
    <x:row r="1444" ht="23" customHeight="1">
      <x:c r="A1444" s="17" t="str">
        <x:v>U01438</x:v>
      </x:c>
      <x:c r="B1444" s="18" t="n">
        <x:v>46288</x:v>
      </x:c>
      <x:c r="C1444" s="17" t="str">
        <x:v>W0085</x:v>
      </x:c>
      <x:c r="D1444" s="17" t="str">
        <x:v>C002</x:v>
      </x:c>
      <x:c r="E1444" s="17" t="str">
        <x:v>CopyStudio</x:v>
      </x:c>
      <x:c r="F1444" s="17" t="str">
        <x:v>Pro</x:v>
      </x:c>
      <x:c r="G1444" s="17" t="n">
        <x:v>21163</x:v>
      </x:c>
      <x:c r="H1444" s="17" t="n">
        <x:v>4350</x:v>
      </x:c>
      <x:c r="I1444" s="17" t="str">
        <x:v>Correction</x:v>
      </x:c>
      <x:c r="J1444" s="27" t="n">
        <x:f>INDEX('Model Pricing'!$B$7:$B$8,MATCH(F1444,'Model Pricing'!$A$7:$A$8,0))</x:f>
        <x:v>40</x:v>
      </x:c>
      <x:c r="K1444" s="27" t="n">
        <x:f>INDEX('Model Pricing'!$C$7:$C$8,MATCH(F1444,'Model Pricing'!$A$7:$A$8,0))</x:f>
        <x:v>100</x:v>
      </x:c>
      <x:c r="L1444" s="17" t="n">
        <x:f>G1444+H1444</x:f>
        <x:v>25513</x:v>
      </x:c>
      <x:c r="M1444" s="28" t="n">
        <x:f>G1444*J1444/1000000</x:f>
        <x:v>0.84652</x:v>
      </x:c>
      <x:c r="N1444" s="28" t="n">
        <x:f>H1444*K1444/1000000</x:f>
        <x:v>0.435</x:v>
      </x:c>
      <x:c r="O1444" s="28" t="n">
        <x:f>SUM(M1444:N1444)</x:f>
        <x:v>1.28152</x:v>
      </x:c>
    </x:row>
    <x:row r="1445" ht="23" customHeight="1">
      <x:c r="A1445" s="17" t="str">
        <x:v>U01439</x:v>
      </x:c>
      <x:c r="B1445" s="18" t="n">
        <x:v>46288</x:v>
      </x:c>
      <x:c r="C1445" s="17" t="str">
        <x:v>W0085</x:v>
      </x:c>
      <x:c r="D1445" s="17" t="str">
        <x:v>C002</x:v>
      </x:c>
      <x:c r="E1445" s="17" t="str">
        <x:v>CopyStudio</x:v>
      </x:c>
      <x:c r="F1445" s="17" t="str">
        <x:v>Pro</x:v>
      </x:c>
      <x:c r="G1445" s="17" t="n">
        <x:v>33862</x:v>
      </x:c>
      <x:c r="H1445" s="17" t="n">
        <x:v>6134</x:v>
      </x:c>
      <x:c r="I1445" s="17" t="str">
        <x:v>Followup</x:v>
      </x:c>
      <x:c r="J1445" s="27" t="n">
        <x:f>INDEX('Model Pricing'!$B$7:$B$8,MATCH(F1445,'Model Pricing'!$A$7:$A$8,0))</x:f>
        <x:v>40</x:v>
      </x:c>
      <x:c r="K1445" s="27" t="n">
        <x:f>INDEX('Model Pricing'!$C$7:$C$8,MATCH(F1445,'Model Pricing'!$A$7:$A$8,0))</x:f>
        <x:v>100</x:v>
      </x:c>
      <x:c r="L1445" s="17" t="n">
        <x:f>G1445+H1445</x:f>
        <x:v>39996</x:v>
      </x:c>
      <x:c r="M1445" s="28" t="n">
        <x:f>G1445*J1445/1000000</x:f>
        <x:v>1.35448</x:v>
      </x:c>
      <x:c r="N1445" s="28" t="n">
        <x:f>H1445*K1445/1000000</x:f>
        <x:v>0.6134</x:v>
      </x:c>
      <x:c r="O1445" s="28" t="n">
        <x:f>SUM(M1445:N1445)</x:f>
        <x:v>1.9678799999999999</x:v>
      </x:c>
    </x:row>
    <x:row r="1446" ht="23" customHeight="1">
      <x:c r="A1446" s="17" t="str">
        <x:v>U01440</x:v>
      </x:c>
      <x:c r="B1446" s="18" t="n">
        <x:v>46267</x:v>
      </x:c>
      <x:c r="C1446" s="17" t="str">
        <x:v>W0086</x:v>
      </x:c>
      <x:c r="D1446" s="17" t="str">
        <x:v>C002</x:v>
      </x:c>
      <x:c r="E1446" s="17" t="str">
        <x:v>CampaignChat</x:v>
      </x:c>
      <x:c r="F1446" s="17" t="str">
        <x:v>Pro</x:v>
      </x:c>
      <x:c r="G1446" s="17" t="n">
        <x:v>38777</x:v>
      </x:c>
      <x:c r="H1446" s="17" t="n">
        <x:v>3910</x:v>
      </x:c>
      <x:c r="I1446" s="17" t="str">
        <x:v>First attempt</x:v>
      </x:c>
      <x:c r="J1446" s="27" t="n">
        <x:f>INDEX('Model Pricing'!$B$7:$B$8,MATCH(F1446,'Model Pricing'!$A$7:$A$8,0))</x:f>
        <x:v>40</x:v>
      </x:c>
      <x:c r="K1446" s="27" t="n">
        <x:f>INDEX('Model Pricing'!$C$7:$C$8,MATCH(F1446,'Model Pricing'!$A$7:$A$8,0))</x:f>
        <x:v>100</x:v>
      </x:c>
      <x:c r="L1446" s="17" t="n">
        <x:f>G1446+H1446</x:f>
        <x:v>42687</x:v>
      </x:c>
      <x:c r="M1446" s="28" t="n">
        <x:f>G1446*J1446/1000000</x:f>
        <x:v>1.55108</x:v>
      </x:c>
      <x:c r="N1446" s="28" t="n">
        <x:f>H1446*K1446/1000000</x:f>
        <x:v>0.391</x:v>
      </x:c>
      <x:c r="O1446" s="28" t="n">
        <x:f>SUM(M1446:N1446)</x:f>
        <x:v>1.94208</x:v>
      </x:c>
    </x:row>
    <x:row r="1447" ht="23" customHeight="1">
      <x:c r="A1447" s="17" t="str">
        <x:v>U01441</x:v>
      </x:c>
      <x:c r="B1447" s="18" t="n">
        <x:v>46267</x:v>
      </x:c>
      <x:c r="C1447" s="17" t="str">
        <x:v>W0086</x:v>
      </x:c>
      <x:c r="D1447" s="17" t="str">
        <x:v>C002</x:v>
      </x:c>
      <x:c r="E1447" s="17" t="str">
        <x:v>CampaignChat</x:v>
      </x:c>
      <x:c r="F1447" s="17" t="str">
        <x:v>Pro</x:v>
      </x:c>
      <x:c r="G1447" s="17" t="n">
        <x:v>31931</x:v>
      </x:c>
      <x:c r="H1447" s="17" t="n">
        <x:v>9013</x:v>
      </x:c>
      <x:c r="I1447" s="17" t="str">
        <x:v>Followup</x:v>
      </x:c>
      <x:c r="J1447" s="27" t="n">
        <x:f>INDEX('Model Pricing'!$B$7:$B$8,MATCH(F1447,'Model Pricing'!$A$7:$A$8,0))</x:f>
        <x:v>40</x:v>
      </x:c>
      <x:c r="K1447" s="27" t="n">
        <x:f>INDEX('Model Pricing'!$C$7:$C$8,MATCH(F1447,'Model Pricing'!$A$7:$A$8,0))</x:f>
        <x:v>100</x:v>
      </x:c>
      <x:c r="L1447" s="17" t="n">
        <x:f>G1447+H1447</x:f>
        <x:v>40944</x:v>
      </x:c>
      <x:c r="M1447" s="28" t="n">
        <x:f>G1447*J1447/1000000</x:f>
        <x:v>1.27724</x:v>
      </x:c>
      <x:c r="N1447" s="28" t="n">
        <x:f>H1447*K1447/1000000</x:f>
        <x:v>0.9013</x:v>
      </x:c>
      <x:c r="O1447" s="28" t="n">
        <x:f>SUM(M1447:N1447)</x:f>
        <x:v>2.17854</x:v>
      </x:c>
    </x:row>
    <x:row r="1448" ht="23" customHeight="1">
      <x:c r="A1448" s="17" t="str">
        <x:v>U01442</x:v>
      </x:c>
      <x:c r="B1448" s="18" t="n">
        <x:v>46267</x:v>
      </x:c>
      <x:c r="C1448" s="17" t="str">
        <x:v>W0086</x:v>
      </x:c>
      <x:c r="D1448" s="17" t="str">
        <x:v>C002</x:v>
      </x:c>
      <x:c r="E1448" s="17" t="str">
        <x:v>CampaignChat</x:v>
      </x:c>
      <x:c r="F1448" s="17" t="str">
        <x:v>Pro</x:v>
      </x:c>
      <x:c r="G1448" s="17" t="n">
        <x:v>32027</x:v>
      </x:c>
      <x:c r="H1448" s="17" t="n">
        <x:v>12978</x:v>
      </x:c>
      <x:c r="I1448" s="17" t="str">
        <x:v>Followup</x:v>
      </x:c>
      <x:c r="J1448" s="27" t="n">
        <x:f>INDEX('Model Pricing'!$B$7:$B$8,MATCH(F1448,'Model Pricing'!$A$7:$A$8,0))</x:f>
        <x:v>40</x:v>
      </x:c>
      <x:c r="K1448" s="27" t="n">
        <x:f>INDEX('Model Pricing'!$C$7:$C$8,MATCH(F1448,'Model Pricing'!$A$7:$A$8,0))</x:f>
        <x:v>100</x:v>
      </x:c>
      <x:c r="L1448" s="17" t="n">
        <x:f>G1448+H1448</x:f>
        <x:v>45005</x:v>
      </x:c>
      <x:c r="M1448" s="28" t="n">
        <x:f>G1448*J1448/1000000</x:f>
        <x:v>1.28108</x:v>
      </x:c>
      <x:c r="N1448" s="28" t="n">
        <x:f>H1448*K1448/1000000</x:f>
        <x:v>1.2978</x:v>
      </x:c>
      <x:c r="O1448" s="28" t="n">
        <x:f>SUM(M1448:N1448)</x:f>
        <x:v>2.57888</x:v>
      </x:c>
    </x:row>
    <x:row r="1449" ht="23" customHeight="1">
      <x:c r="A1449" s="17" t="str">
        <x:v>U01443</x:v>
      </x:c>
      <x:c r="B1449" s="18" t="n">
        <x:v>46267</x:v>
      </x:c>
      <x:c r="C1449" s="17" t="str">
        <x:v>W0086</x:v>
      </x:c>
      <x:c r="D1449" s="17" t="str">
        <x:v>C002</x:v>
      </x:c>
      <x:c r="E1449" s="17" t="str">
        <x:v>CampaignChat</x:v>
      </x:c>
      <x:c r="F1449" s="17" t="str">
        <x:v>Pro</x:v>
      </x:c>
      <x:c r="G1449" s="17" t="n">
        <x:v>36165</x:v>
      </x:c>
      <x:c r="H1449" s="17" t="n">
        <x:v>3753</x:v>
      </x:c>
      <x:c r="I1449" s="17" t="str">
        <x:v>Correction</x:v>
      </x:c>
      <x:c r="J1449" s="27" t="n">
        <x:f>INDEX('Model Pricing'!$B$7:$B$8,MATCH(F1449,'Model Pricing'!$A$7:$A$8,0))</x:f>
        <x:v>40</x:v>
      </x:c>
      <x:c r="K1449" s="27" t="n">
        <x:f>INDEX('Model Pricing'!$C$7:$C$8,MATCH(F1449,'Model Pricing'!$A$7:$A$8,0))</x:f>
        <x:v>100</x:v>
      </x:c>
      <x:c r="L1449" s="17" t="n">
        <x:f>G1449+H1449</x:f>
        <x:v>39918</x:v>
      </x:c>
      <x:c r="M1449" s="28" t="n">
        <x:f>G1449*J1449/1000000</x:f>
        <x:v>1.4466</x:v>
      </x:c>
      <x:c r="N1449" s="28" t="n">
        <x:f>H1449*K1449/1000000</x:f>
        <x:v>0.3753</x:v>
      </x:c>
      <x:c r="O1449" s="28" t="n">
        <x:f>SUM(M1449:N1449)</x:f>
        <x:v>1.8219</x:v>
      </x:c>
    </x:row>
    <x:row r="1450" ht="23" customHeight="1">
      <x:c r="A1450" s="17" t="str">
        <x:v>U01444</x:v>
      </x:c>
      <x:c r="B1450" s="18" t="n">
        <x:v>46267</x:v>
      </x:c>
      <x:c r="C1450" s="17" t="str">
        <x:v>W0086</x:v>
      </x:c>
      <x:c r="D1450" s="17" t="str">
        <x:v>C002</x:v>
      </x:c>
      <x:c r="E1450" s="17" t="str">
        <x:v>CampaignChat</x:v>
      </x:c>
      <x:c r="F1450" s="17" t="str">
        <x:v>Pro</x:v>
      </x:c>
      <x:c r="G1450" s="17" t="n">
        <x:v>23053</x:v>
      </x:c>
      <x:c r="H1450" s="17" t="n">
        <x:v>3481</x:v>
      </x:c>
      <x:c r="I1450" s="17" t="str">
        <x:v>Followup</x:v>
      </x:c>
      <x:c r="J1450" s="27" t="n">
        <x:f>INDEX('Model Pricing'!$B$7:$B$8,MATCH(F1450,'Model Pricing'!$A$7:$A$8,0))</x:f>
        <x:v>40</x:v>
      </x:c>
      <x:c r="K1450" s="27" t="n">
        <x:f>INDEX('Model Pricing'!$C$7:$C$8,MATCH(F1450,'Model Pricing'!$A$7:$A$8,0))</x:f>
        <x:v>100</x:v>
      </x:c>
      <x:c r="L1450" s="17" t="n">
        <x:f>G1450+H1450</x:f>
        <x:v>26534</x:v>
      </x:c>
      <x:c r="M1450" s="28" t="n">
        <x:f>G1450*J1450/1000000</x:f>
        <x:v>0.92212</x:v>
      </x:c>
      <x:c r="N1450" s="28" t="n">
        <x:f>H1450*K1450/1000000</x:f>
        <x:v>0.3481</x:v>
      </x:c>
      <x:c r="O1450" s="28" t="n">
        <x:f>SUM(M1450:N1450)</x:f>
        <x:v>1.2702200000000001</x:v>
      </x:c>
    </x:row>
    <x:row r="1451" ht="23" customHeight="1">
      <x:c r="A1451" s="17" t="str">
        <x:v>U01445</x:v>
      </x:c>
      <x:c r="B1451" s="18" t="n">
        <x:v>46268</x:v>
      </x:c>
      <x:c r="C1451" s="17" t="str">
        <x:v>W0086</x:v>
      </x:c>
      <x:c r="D1451" s="17" t="str">
        <x:v>C002</x:v>
      </x:c>
      <x:c r="E1451" s="17" t="str">
        <x:v>CampaignChat</x:v>
      </x:c>
      <x:c r="F1451" s="17" t="str">
        <x:v>Pro</x:v>
      </x:c>
      <x:c r="G1451" s="17" t="n">
        <x:v>23711</x:v>
      </x:c>
      <x:c r="H1451" s="17" t="n">
        <x:v>10974</x:v>
      </x:c>
      <x:c r="I1451" s="17" t="str">
        <x:v>Followup</x:v>
      </x:c>
      <x:c r="J1451" s="27" t="n">
        <x:f>INDEX('Model Pricing'!$B$7:$B$8,MATCH(F1451,'Model Pricing'!$A$7:$A$8,0))</x:f>
        <x:v>40</x:v>
      </x:c>
      <x:c r="K1451" s="27" t="n">
        <x:f>INDEX('Model Pricing'!$C$7:$C$8,MATCH(F1451,'Model Pricing'!$A$7:$A$8,0))</x:f>
        <x:v>100</x:v>
      </x:c>
      <x:c r="L1451" s="17" t="n">
        <x:f>G1451+H1451</x:f>
        <x:v>34685</x:v>
      </x:c>
      <x:c r="M1451" s="28" t="n">
        <x:f>G1451*J1451/1000000</x:f>
        <x:v>0.94844</x:v>
      </x:c>
      <x:c r="N1451" s="28" t="n">
        <x:f>H1451*K1451/1000000</x:f>
        <x:v>1.0974</x:v>
      </x:c>
      <x:c r="O1451" s="28" t="n">
        <x:f>SUM(M1451:N1451)</x:f>
        <x:v>2.04584</x:v>
      </x:c>
    </x:row>
    <x:row r="1452" ht="23" customHeight="1">
      <x:c r="A1452" s="17" t="str">
        <x:v>U01446</x:v>
      </x:c>
      <x:c r="B1452" s="18" t="n">
        <x:v>46268</x:v>
      </x:c>
      <x:c r="C1452" s="17" t="str">
        <x:v>W0086</x:v>
      </x:c>
      <x:c r="D1452" s="17" t="str">
        <x:v>C002</x:v>
      </x:c>
      <x:c r="E1452" s="17" t="str">
        <x:v>CampaignChat</x:v>
      </x:c>
      <x:c r="F1452" s="17" t="str">
        <x:v>Pro</x:v>
      </x:c>
      <x:c r="G1452" s="17" t="n">
        <x:v>17459</x:v>
      </x:c>
      <x:c r="H1452" s="17" t="n">
        <x:v>6522</x:v>
      </x:c>
      <x:c r="I1452" s="17" t="str">
        <x:v>Followup</x:v>
      </x:c>
      <x:c r="J1452" s="27" t="n">
        <x:f>INDEX('Model Pricing'!$B$7:$B$8,MATCH(F1452,'Model Pricing'!$A$7:$A$8,0))</x:f>
        <x:v>40</x:v>
      </x:c>
      <x:c r="K1452" s="27" t="n">
        <x:f>INDEX('Model Pricing'!$C$7:$C$8,MATCH(F1452,'Model Pricing'!$A$7:$A$8,0))</x:f>
        <x:v>100</x:v>
      </x:c>
      <x:c r="L1452" s="17" t="n">
        <x:f>G1452+H1452</x:f>
        <x:v>23981</x:v>
      </x:c>
      <x:c r="M1452" s="28" t="n">
        <x:f>G1452*J1452/1000000</x:f>
        <x:v>0.69836</x:v>
      </x:c>
      <x:c r="N1452" s="28" t="n">
        <x:f>H1452*K1452/1000000</x:f>
        <x:v>0.6522</x:v>
      </x:c>
      <x:c r="O1452" s="28" t="n">
        <x:f>SUM(M1452:N1452)</x:f>
        <x:v>1.35056</x:v>
      </x:c>
    </x:row>
    <x:row r="1453" ht="23" customHeight="1">
      <x:c r="A1453" s="17" t="str">
        <x:v>U01447</x:v>
      </x:c>
      <x:c r="B1453" s="18" t="n">
        <x:v>46268</x:v>
      </x:c>
      <x:c r="C1453" s="17" t="str">
        <x:v>W0086</x:v>
      </x:c>
      <x:c r="D1453" s="17" t="str">
        <x:v>C002</x:v>
      </x:c>
      <x:c r="E1453" s="17" t="str">
        <x:v>CampaignChat</x:v>
      </x:c>
      <x:c r="F1453" s="17" t="str">
        <x:v>Pro</x:v>
      </x:c>
      <x:c r="G1453" s="17" t="n">
        <x:v>38612</x:v>
      </x:c>
      <x:c r="H1453" s="17" t="n">
        <x:v>4360</x:v>
      </x:c>
      <x:c r="I1453" s="17" t="str">
        <x:v>Correction</x:v>
      </x:c>
      <x:c r="J1453" s="27" t="n">
        <x:f>INDEX('Model Pricing'!$B$7:$B$8,MATCH(F1453,'Model Pricing'!$A$7:$A$8,0))</x:f>
        <x:v>40</x:v>
      </x:c>
      <x:c r="K1453" s="27" t="n">
        <x:f>INDEX('Model Pricing'!$C$7:$C$8,MATCH(F1453,'Model Pricing'!$A$7:$A$8,0))</x:f>
        <x:v>100</x:v>
      </x:c>
      <x:c r="L1453" s="17" t="n">
        <x:f>G1453+H1453</x:f>
        <x:v>42972</x:v>
      </x:c>
      <x:c r="M1453" s="28" t="n">
        <x:f>G1453*J1453/1000000</x:f>
        <x:v>1.54448</x:v>
      </x:c>
      <x:c r="N1453" s="28" t="n">
        <x:f>H1453*K1453/1000000</x:f>
        <x:v>0.436</x:v>
      </x:c>
      <x:c r="O1453" s="28" t="n">
        <x:f>SUM(M1453:N1453)</x:f>
        <x:v>1.98048</x:v>
      </x:c>
    </x:row>
    <x:row r="1454" ht="23" customHeight="1">
      <x:c r="A1454" s="17" t="str">
        <x:v>U01448</x:v>
      </x:c>
      <x:c r="B1454" s="18" t="n">
        <x:v>46268</x:v>
      </x:c>
      <x:c r="C1454" s="17" t="str">
        <x:v>W0086</x:v>
      </x:c>
      <x:c r="D1454" s="17" t="str">
        <x:v>C002</x:v>
      </x:c>
      <x:c r="E1454" s="17" t="str">
        <x:v>CampaignChat</x:v>
      </x:c>
      <x:c r="F1454" s="17" t="str">
        <x:v>Pro</x:v>
      </x:c>
      <x:c r="G1454" s="17" t="n">
        <x:v>23603</x:v>
      </x:c>
      <x:c r="H1454" s="17" t="n">
        <x:v>5133</x:v>
      </x:c>
      <x:c r="I1454" s="17" t="str">
        <x:v>Followup</x:v>
      </x:c>
      <x:c r="J1454" s="27" t="n">
        <x:f>INDEX('Model Pricing'!$B$7:$B$8,MATCH(F1454,'Model Pricing'!$A$7:$A$8,0))</x:f>
        <x:v>40</x:v>
      </x:c>
      <x:c r="K1454" s="27" t="n">
        <x:f>INDEX('Model Pricing'!$C$7:$C$8,MATCH(F1454,'Model Pricing'!$A$7:$A$8,0))</x:f>
        <x:v>100</x:v>
      </x:c>
      <x:c r="L1454" s="17" t="n">
        <x:f>G1454+H1454</x:f>
        <x:v>28736</x:v>
      </x:c>
      <x:c r="M1454" s="28" t="n">
        <x:f>G1454*J1454/1000000</x:f>
        <x:v>0.94412</x:v>
      </x:c>
      <x:c r="N1454" s="28" t="n">
        <x:f>H1454*K1454/1000000</x:f>
        <x:v>0.5133</x:v>
      </x:c>
      <x:c r="O1454" s="28" t="n">
        <x:f>SUM(M1454:N1454)</x:f>
        <x:v>1.45742</x:v>
      </x:c>
    </x:row>
    <x:row r="1455" ht="23" customHeight="1">
      <x:c r="A1455" s="17" t="str">
        <x:v>U01449</x:v>
      </x:c>
      <x:c r="B1455" s="18" t="n">
        <x:v>46268</x:v>
      </x:c>
      <x:c r="C1455" s="17" t="str">
        <x:v>W0086</x:v>
      </x:c>
      <x:c r="D1455" s="17" t="str">
        <x:v>C002</x:v>
      </x:c>
      <x:c r="E1455" s="17" t="str">
        <x:v>CampaignChat</x:v>
      </x:c>
      <x:c r="F1455" s="17" t="str">
        <x:v>Pro</x:v>
      </x:c>
      <x:c r="G1455" s="17" t="n">
        <x:v>13795</x:v>
      </x:c>
      <x:c r="H1455" s="17" t="n">
        <x:v>13003</x:v>
      </x:c>
      <x:c r="I1455" s="17" t="str">
        <x:v>Correction</x:v>
      </x:c>
      <x:c r="J1455" s="27" t="n">
        <x:f>INDEX('Model Pricing'!$B$7:$B$8,MATCH(F1455,'Model Pricing'!$A$7:$A$8,0))</x:f>
        <x:v>40</x:v>
      </x:c>
      <x:c r="K1455" s="27" t="n">
        <x:f>INDEX('Model Pricing'!$C$7:$C$8,MATCH(F1455,'Model Pricing'!$A$7:$A$8,0))</x:f>
        <x:v>100</x:v>
      </x:c>
      <x:c r="L1455" s="17" t="n">
        <x:f>G1455+H1455</x:f>
        <x:v>26798</x:v>
      </x:c>
      <x:c r="M1455" s="28" t="n">
        <x:f>G1455*J1455/1000000</x:f>
        <x:v>0.5518</x:v>
      </x:c>
      <x:c r="N1455" s="28" t="n">
        <x:f>H1455*K1455/1000000</x:f>
        <x:v>1.3003</x:v>
      </x:c>
      <x:c r="O1455" s="28" t="n">
        <x:f>SUM(M1455:N1455)</x:f>
        <x:v>1.8521</x:v>
      </x:c>
    </x:row>
    <x:row r="1456" ht="23" customHeight="1">
      <x:c r="A1456" s="17" t="str">
        <x:v>U01450</x:v>
      </x:c>
      <x:c r="B1456" s="18" t="n">
        <x:v>46269</x:v>
      </x:c>
      <x:c r="C1456" s="17" t="str">
        <x:v>W0086</x:v>
      </x:c>
      <x:c r="D1456" s="17" t="str">
        <x:v>C002</x:v>
      </x:c>
      <x:c r="E1456" s="17" t="str">
        <x:v>CampaignChat</x:v>
      </x:c>
      <x:c r="F1456" s="17" t="str">
        <x:v>Pro</x:v>
      </x:c>
      <x:c r="G1456" s="17" t="n">
        <x:v>27154</x:v>
      </x:c>
      <x:c r="H1456" s="17" t="n">
        <x:v>6874</x:v>
      </x:c>
      <x:c r="I1456" s="17" t="str">
        <x:v>Followup</x:v>
      </x:c>
      <x:c r="J1456" s="27" t="n">
        <x:f>INDEX('Model Pricing'!$B$7:$B$8,MATCH(F1456,'Model Pricing'!$A$7:$A$8,0))</x:f>
        <x:v>40</x:v>
      </x:c>
      <x:c r="K1456" s="27" t="n">
        <x:f>INDEX('Model Pricing'!$C$7:$C$8,MATCH(F1456,'Model Pricing'!$A$7:$A$8,0))</x:f>
        <x:v>100</x:v>
      </x:c>
      <x:c r="L1456" s="17" t="n">
        <x:f>G1456+H1456</x:f>
        <x:v>34028</x:v>
      </x:c>
      <x:c r="M1456" s="28" t="n">
        <x:f>G1456*J1456/1000000</x:f>
        <x:v>1.08616</x:v>
      </x:c>
      <x:c r="N1456" s="28" t="n">
        <x:f>H1456*K1456/1000000</x:f>
        <x:v>0.6874</x:v>
      </x:c>
      <x:c r="O1456" s="28" t="n">
        <x:f>SUM(M1456:N1456)</x:f>
        <x:v>1.77356</x:v>
      </x:c>
    </x:row>
    <x:row r="1457" ht="23" customHeight="1">
      <x:c r="A1457" s="17" t="str">
        <x:v>U01451</x:v>
      </x:c>
      <x:c r="B1457" s="18" t="n">
        <x:v>46269</x:v>
      </x:c>
      <x:c r="C1457" s="17" t="str">
        <x:v>W0086</x:v>
      </x:c>
      <x:c r="D1457" s="17" t="str">
        <x:v>C002</x:v>
      </x:c>
      <x:c r="E1457" s="17" t="str">
        <x:v>CampaignChat</x:v>
      </x:c>
      <x:c r="F1457" s="17" t="str">
        <x:v>Pro</x:v>
      </x:c>
      <x:c r="G1457" s="17" t="n">
        <x:v>35679</x:v>
      </x:c>
      <x:c r="H1457" s="17" t="n">
        <x:v>12944</x:v>
      </x:c>
      <x:c r="I1457" s="17" t="str">
        <x:v>Followup</x:v>
      </x:c>
      <x:c r="J1457" s="27" t="n">
        <x:f>INDEX('Model Pricing'!$B$7:$B$8,MATCH(F1457,'Model Pricing'!$A$7:$A$8,0))</x:f>
        <x:v>40</x:v>
      </x:c>
      <x:c r="K1457" s="27" t="n">
        <x:f>INDEX('Model Pricing'!$C$7:$C$8,MATCH(F1457,'Model Pricing'!$A$7:$A$8,0))</x:f>
        <x:v>100</x:v>
      </x:c>
      <x:c r="L1457" s="17" t="n">
        <x:f>G1457+H1457</x:f>
        <x:v>48623</x:v>
      </x:c>
      <x:c r="M1457" s="28" t="n">
        <x:f>G1457*J1457/1000000</x:f>
        <x:v>1.42716</x:v>
      </x:c>
      <x:c r="N1457" s="28" t="n">
        <x:f>H1457*K1457/1000000</x:f>
        <x:v>1.2944</x:v>
      </x:c>
      <x:c r="O1457" s="28" t="n">
        <x:f>SUM(M1457:N1457)</x:f>
        <x:v>2.72156</x:v>
      </x:c>
    </x:row>
    <x:row r="1458" ht="23" customHeight="1">
      <x:c r="A1458" s="17" t="str">
        <x:v>U01452</x:v>
      </x:c>
      <x:c r="B1458" s="18" t="n">
        <x:v>46269</x:v>
      </x:c>
      <x:c r="C1458" s="17" t="str">
        <x:v>W0086</x:v>
      </x:c>
      <x:c r="D1458" s="17" t="str">
        <x:v>C002</x:v>
      </x:c>
      <x:c r="E1458" s="17" t="str">
        <x:v>CampaignChat</x:v>
      </x:c>
      <x:c r="F1458" s="17" t="str">
        <x:v>Pro</x:v>
      </x:c>
      <x:c r="G1458" s="17" t="n">
        <x:v>37473</x:v>
      </x:c>
      <x:c r="H1458" s="17" t="n">
        <x:v>12532</x:v>
      </x:c>
      <x:c r="I1458" s="17" t="str">
        <x:v>Followup</x:v>
      </x:c>
      <x:c r="J1458" s="27" t="n">
        <x:f>INDEX('Model Pricing'!$B$7:$B$8,MATCH(F1458,'Model Pricing'!$A$7:$A$8,0))</x:f>
        <x:v>40</x:v>
      </x:c>
      <x:c r="K1458" s="27" t="n">
        <x:f>INDEX('Model Pricing'!$C$7:$C$8,MATCH(F1458,'Model Pricing'!$A$7:$A$8,0))</x:f>
        <x:v>100</x:v>
      </x:c>
      <x:c r="L1458" s="17" t="n">
        <x:f>G1458+H1458</x:f>
        <x:v>50005</x:v>
      </x:c>
      <x:c r="M1458" s="28" t="n">
        <x:f>G1458*J1458/1000000</x:f>
        <x:v>1.49892</x:v>
      </x:c>
      <x:c r="N1458" s="28" t="n">
        <x:f>H1458*K1458/1000000</x:f>
        <x:v>1.2532</x:v>
      </x:c>
      <x:c r="O1458" s="28" t="n">
        <x:f>SUM(M1458:N1458)</x:f>
        <x:v>2.75212</x:v>
      </x:c>
    </x:row>
    <x:row r="1459" ht="23" customHeight="1">
      <x:c r="A1459" s="17" t="str">
        <x:v>U01453</x:v>
      </x:c>
      <x:c r="B1459" s="18" t="n">
        <x:v>46269</x:v>
      </x:c>
      <x:c r="C1459" s="17" t="str">
        <x:v>W0086</x:v>
      </x:c>
      <x:c r="D1459" s="17" t="str">
        <x:v>C002</x:v>
      </x:c>
      <x:c r="E1459" s="17" t="str">
        <x:v>CampaignChat</x:v>
      </x:c>
      <x:c r="F1459" s="17" t="str">
        <x:v>Pro</x:v>
      </x:c>
      <x:c r="G1459" s="17" t="n">
        <x:v>34258</x:v>
      </x:c>
      <x:c r="H1459" s="17" t="n">
        <x:v>12727</x:v>
      </x:c>
      <x:c r="I1459" s="17" t="str">
        <x:v>Correction</x:v>
      </x:c>
      <x:c r="J1459" s="27" t="n">
        <x:f>INDEX('Model Pricing'!$B$7:$B$8,MATCH(F1459,'Model Pricing'!$A$7:$A$8,0))</x:f>
        <x:v>40</x:v>
      </x:c>
      <x:c r="K1459" s="27" t="n">
        <x:f>INDEX('Model Pricing'!$C$7:$C$8,MATCH(F1459,'Model Pricing'!$A$7:$A$8,0))</x:f>
        <x:v>100</x:v>
      </x:c>
      <x:c r="L1459" s="17" t="n">
        <x:f>G1459+H1459</x:f>
        <x:v>46985</x:v>
      </x:c>
      <x:c r="M1459" s="28" t="n">
        <x:f>G1459*J1459/1000000</x:f>
        <x:v>1.37032</x:v>
      </x:c>
      <x:c r="N1459" s="28" t="n">
        <x:f>H1459*K1459/1000000</x:f>
        <x:v>1.2727</x:v>
      </x:c>
      <x:c r="O1459" s="28" t="n">
        <x:f>SUM(M1459:N1459)</x:f>
        <x:v>2.64302</x:v>
      </x:c>
    </x:row>
    <x:row r="1460" ht="23" customHeight="1">
      <x:c r="A1460" s="17" t="str">
        <x:v>U01454</x:v>
      </x:c>
      <x:c r="B1460" s="18" t="n">
        <x:v>46269</x:v>
      </x:c>
      <x:c r="C1460" s="17" t="str">
        <x:v>W0086</x:v>
      </x:c>
      <x:c r="D1460" s="17" t="str">
        <x:v>C002</x:v>
      </x:c>
      <x:c r="E1460" s="17" t="str">
        <x:v>CampaignChat</x:v>
      </x:c>
      <x:c r="F1460" s="17" t="str">
        <x:v>Pro</x:v>
      </x:c>
      <x:c r="G1460" s="17" t="n">
        <x:v>17253</x:v>
      </x:c>
      <x:c r="H1460" s="17" t="n">
        <x:v>8002</x:v>
      </x:c>
      <x:c r="I1460" s="17" t="str">
        <x:v>Correction</x:v>
      </x:c>
      <x:c r="J1460" s="27" t="n">
        <x:f>INDEX('Model Pricing'!$B$7:$B$8,MATCH(F1460,'Model Pricing'!$A$7:$A$8,0))</x:f>
        <x:v>40</x:v>
      </x:c>
      <x:c r="K1460" s="27" t="n">
        <x:f>INDEX('Model Pricing'!$C$7:$C$8,MATCH(F1460,'Model Pricing'!$A$7:$A$8,0))</x:f>
        <x:v>100</x:v>
      </x:c>
      <x:c r="L1460" s="17" t="n">
        <x:f>G1460+H1460</x:f>
        <x:v>25255</x:v>
      </x:c>
      <x:c r="M1460" s="28" t="n">
        <x:f>G1460*J1460/1000000</x:f>
        <x:v>0.69012</x:v>
      </x:c>
      <x:c r="N1460" s="28" t="n">
        <x:f>H1460*K1460/1000000</x:f>
        <x:v>0.8002</x:v>
      </x:c>
      <x:c r="O1460" s="28" t="n">
        <x:f>SUM(M1460:N1460)</x:f>
        <x:v>1.49032</x:v>
      </x:c>
    </x:row>
    <x:row r="1461" ht="23" customHeight="1">
      <x:c r="A1461" s="17" t="str">
        <x:v>U01455</x:v>
      </x:c>
      <x:c r="B1461" s="18" t="n">
        <x:v>46273</x:v>
      </x:c>
      <x:c r="C1461" s="17" t="str">
        <x:v>W0086</x:v>
      </x:c>
      <x:c r="D1461" s="17" t="str">
        <x:v>C002</x:v>
      </x:c>
      <x:c r="E1461" s="17" t="str">
        <x:v>CampaignChat</x:v>
      </x:c>
      <x:c r="F1461" s="17" t="str">
        <x:v>Pro</x:v>
      </x:c>
      <x:c r="G1461" s="17" t="n">
        <x:v>40022</x:v>
      </x:c>
      <x:c r="H1461" s="17" t="n">
        <x:v>8732</x:v>
      </x:c>
      <x:c r="I1461" s="17" t="str">
        <x:v>Followup</x:v>
      </x:c>
      <x:c r="J1461" s="27" t="n">
        <x:f>INDEX('Model Pricing'!$B$7:$B$8,MATCH(F1461,'Model Pricing'!$A$7:$A$8,0))</x:f>
        <x:v>40</x:v>
      </x:c>
      <x:c r="K1461" s="27" t="n">
        <x:f>INDEX('Model Pricing'!$C$7:$C$8,MATCH(F1461,'Model Pricing'!$A$7:$A$8,0))</x:f>
        <x:v>100</x:v>
      </x:c>
      <x:c r="L1461" s="17" t="n">
        <x:f>G1461+H1461</x:f>
        <x:v>48754</x:v>
      </x:c>
      <x:c r="M1461" s="28" t="n">
        <x:f>G1461*J1461/1000000</x:f>
        <x:v>1.60088</x:v>
      </x:c>
      <x:c r="N1461" s="28" t="n">
        <x:f>H1461*K1461/1000000</x:f>
        <x:v>0.8732</x:v>
      </x:c>
      <x:c r="O1461" s="28" t="n">
        <x:f>SUM(M1461:N1461)</x:f>
        <x:v>2.47408</x:v>
      </x:c>
    </x:row>
    <x:row r="1462" ht="23" customHeight="1">
      <x:c r="A1462" s="17" t="str">
        <x:v>U01456</x:v>
      </x:c>
      <x:c r="B1462" s="18" t="n">
        <x:v>46273</x:v>
      </x:c>
      <x:c r="C1462" s="17" t="str">
        <x:v>W0086</x:v>
      </x:c>
      <x:c r="D1462" s="17" t="str">
        <x:v>C002</x:v>
      </x:c>
      <x:c r="E1462" s="17" t="str">
        <x:v>CampaignChat</x:v>
      </x:c>
      <x:c r="F1462" s="17" t="str">
        <x:v>Pro</x:v>
      </x:c>
      <x:c r="G1462" s="17" t="n">
        <x:v>17072</x:v>
      </x:c>
      <x:c r="H1462" s="17" t="n">
        <x:v>11077</x:v>
      </x:c>
      <x:c r="I1462" s="17" t="str">
        <x:v>Followup</x:v>
      </x:c>
      <x:c r="J1462" s="27" t="n">
        <x:f>INDEX('Model Pricing'!$B$7:$B$8,MATCH(F1462,'Model Pricing'!$A$7:$A$8,0))</x:f>
        <x:v>40</x:v>
      </x:c>
      <x:c r="K1462" s="27" t="n">
        <x:f>INDEX('Model Pricing'!$C$7:$C$8,MATCH(F1462,'Model Pricing'!$A$7:$A$8,0))</x:f>
        <x:v>100</x:v>
      </x:c>
      <x:c r="L1462" s="17" t="n">
        <x:f>G1462+H1462</x:f>
        <x:v>28149</x:v>
      </x:c>
      <x:c r="M1462" s="28" t="n">
        <x:f>G1462*J1462/1000000</x:f>
        <x:v>0.68288</x:v>
      </x:c>
      <x:c r="N1462" s="28" t="n">
        <x:f>H1462*K1462/1000000</x:f>
        <x:v>1.1077</x:v>
      </x:c>
      <x:c r="O1462" s="28" t="n">
        <x:f>SUM(M1462:N1462)</x:f>
        <x:v>1.7905799999999998</x:v>
      </x:c>
    </x:row>
    <x:row r="1463" ht="23" customHeight="1">
      <x:c r="A1463" s="17" t="str">
        <x:v>U01457</x:v>
      </x:c>
      <x:c r="B1463" s="18" t="n">
        <x:v>46273</x:v>
      </x:c>
      <x:c r="C1463" s="17" t="str">
        <x:v>W0086</x:v>
      </x:c>
      <x:c r="D1463" s="17" t="str">
        <x:v>C002</x:v>
      </x:c>
      <x:c r="E1463" s="17" t="str">
        <x:v>CampaignChat</x:v>
      </x:c>
      <x:c r="F1463" s="17" t="str">
        <x:v>Pro</x:v>
      </x:c>
      <x:c r="G1463" s="17" t="n">
        <x:v>14362</x:v>
      </x:c>
      <x:c r="H1463" s="17" t="n">
        <x:v>10207</x:v>
      </x:c>
      <x:c r="I1463" s="17" t="str">
        <x:v>Followup</x:v>
      </x:c>
      <x:c r="J1463" s="27" t="n">
        <x:f>INDEX('Model Pricing'!$B$7:$B$8,MATCH(F1463,'Model Pricing'!$A$7:$A$8,0))</x:f>
        <x:v>40</x:v>
      </x:c>
      <x:c r="K1463" s="27" t="n">
        <x:f>INDEX('Model Pricing'!$C$7:$C$8,MATCH(F1463,'Model Pricing'!$A$7:$A$8,0))</x:f>
        <x:v>100</x:v>
      </x:c>
      <x:c r="L1463" s="17" t="n">
        <x:f>G1463+H1463</x:f>
        <x:v>24569</x:v>
      </x:c>
      <x:c r="M1463" s="28" t="n">
        <x:f>G1463*J1463/1000000</x:f>
        <x:v>0.57448</x:v>
      </x:c>
      <x:c r="N1463" s="28" t="n">
        <x:f>H1463*K1463/1000000</x:f>
        <x:v>1.0207</x:v>
      </x:c>
      <x:c r="O1463" s="28" t="n">
        <x:f>SUM(M1463:N1463)</x:f>
        <x:v>1.59518</x:v>
      </x:c>
    </x:row>
    <x:row r="1464" ht="23" customHeight="1">
      <x:c r="A1464" s="17" t="str">
        <x:v>U01458</x:v>
      </x:c>
      <x:c r="B1464" s="18" t="n">
        <x:v>46273</x:v>
      </x:c>
      <x:c r="C1464" s="17" t="str">
        <x:v>W0086</x:v>
      </x:c>
      <x:c r="D1464" s="17" t="str">
        <x:v>C002</x:v>
      </x:c>
      <x:c r="E1464" s="17" t="str">
        <x:v>CampaignChat</x:v>
      </x:c>
      <x:c r="F1464" s="17" t="str">
        <x:v>Pro</x:v>
      </x:c>
      <x:c r="G1464" s="17" t="n">
        <x:v>27588</x:v>
      </x:c>
      <x:c r="H1464" s="17" t="n">
        <x:v>7071</x:v>
      </x:c>
      <x:c r="I1464" s="17" t="str">
        <x:v>Followup</x:v>
      </x:c>
      <x:c r="J1464" s="27" t="n">
        <x:f>INDEX('Model Pricing'!$B$7:$B$8,MATCH(F1464,'Model Pricing'!$A$7:$A$8,0))</x:f>
        <x:v>40</x:v>
      </x:c>
      <x:c r="K1464" s="27" t="n">
        <x:f>INDEX('Model Pricing'!$C$7:$C$8,MATCH(F1464,'Model Pricing'!$A$7:$A$8,0))</x:f>
        <x:v>100</x:v>
      </x:c>
      <x:c r="L1464" s="17" t="n">
        <x:f>G1464+H1464</x:f>
        <x:v>34659</x:v>
      </x:c>
      <x:c r="M1464" s="28" t="n">
        <x:f>G1464*J1464/1000000</x:f>
        <x:v>1.10352</x:v>
      </x:c>
      <x:c r="N1464" s="28" t="n">
        <x:f>H1464*K1464/1000000</x:f>
        <x:v>0.7071</x:v>
      </x:c>
      <x:c r="O1464" s="28" t="n">
        <x:f>SUM(M1464:N1464)</x:f>
        <x:v>1.8106200000000001</x:v>
      </x:c>
    </x:row>
    <x:row r="1465" ht="23" customHeight="1">
      <x:c r="A1465" s="17" t="str">
        <x:v>U01459</x:v>
      </x:c>
      <x:c r="B1465" s="18" t="n">
        <x:v>46273</x:v>
      </x:c>
      <x:c r="C1465" s="17" t="str">
        <x:v>W0086</x:v>
      </x:c>
      <x:c r="D1465" s="17" t="str">
        <x:v>C002</x:v>
      </x:c>
      <x:c r="E1465" s="17" t="str">
        <x:v>CampaignChat</x:v>
      </x:c>
      <x:c r="F1465" s="17" t="str">
        <x:v>Pro</x:v>
      </x:c>
      <x:c r="G1465" s="17" t="n">
        <x:v>22613</x:v>
      </x:c>
      <x:c r="H1465" s="17" t="n">
        <x:v>6260</x:v>
      </x:c>
      <x:c r="I1465" s="17" t="str">
        <x:v>Correction</x:v>
      </x:c>
      <x:c r="J1465" s="27" t="n">
        <x:f>INDEX('Model Pricing'!$B$7:$B$8,MATCH(F1465,'Model Pricing'!$A$7:$A$8,0))</x:f>
        <x:v>40</x:v>
      </x:c>
      <x:c r="K1465" s="27" t="n">
        <x:f>INDEX('Model Pricing'!$C$7:$C$8,MATCH(F1465,'Model Pricing'!$A$7:$A$8,0))</x:f>
        <x:v>100</x:v>
      </x:c>
      <x:c r="L1465" s="17" t="n">
        <x:f>G1465+H1465</x:f>
        <x:v>28873</x:v>
      </x:c>
      <x:c r="M1465" s="28" t="n">
        <x:f>G1465*J1465/1000000</x:f>
        <x:v>0.90452</x:v>
      </x:c>
      <x:c r="N1465" s="28" t="n">
        <x:f>H1465*K1465/1000000</x:f>
        <x:v>0.626</x:v>
      </x:c>
      <x:c r="O1465" s="28" t="n">
        <x:f>SUM(M1465:N1465)</x:f>
        <x:v>1.53052</x:v>
      </x:c>
    </x:row>
    <x:row r="1466" ht="23" customHeight="1">
      <x:c r="A1466" s="17" t="str">
        <x:v>U01460</x:v>
      </x:c>
      <x:c r="B1466" s="18" t="n">
        <x:v>46279</x:v>
      </x:c>
      <x:c r="C1466" s="17" t="str">
        <x:v>W0087</x:v>
      </x:c>
      <x:c r="D1466" s="17" t="str">
        <x:v>C002</x:v>
      </x:c>
      <x:c r="E1466" s="17" t="str">
        <x:v>CampaignChat</x:v>
      </x:c>
      <x:c r="F1466" s="17" t="str">
        <x:v>Pro</x:v>
      </x:c>
      <x:c r="G1466" s="17" t="n">
        <x:v>26620</x:v>
      </x:c>
      <x:c r="H1466" s="17" t="n">
        <x:v>14173</x:v>
      </x:c>
      <x:c r="I1466" s="17" t="str">
        <x:v>First attempt</x:v>
      </x:c>
      <x:c r="J1466" s="27" t="n">
        <x:f>INDEX('Model Pricing'!$B$7:$B$8,MATCH(F1466,'Model Pricing'!$A$7:$A$8,0))</x:f>
        <x:v>40</x:v>
      </x:c>
      <x:c r="K1466" s="27" t="n">
        <x:f>INDEX('Model Pricing'!$C$7:$C$8,MATCH(F1466,'Model Pricing'!$A$7:$A$8,0))</x:f>
        <x:v>100</x:v>
      </x:c>
      <x:c r="L1466" s="17" t="n">
        <x:f>G1466+H1466</x:f>
        <x:v>40793</x:v>
      </x:c>
      <x:c r="M1466" s="28" t="n">
        <x:f>G1466*J1466/1000000</x:f>
        <x:v>1.0648</x:v>
      </x:c>
      <x:c r="N1466" s="28" t="n">
        <x:f>H1466*K1466/1000000</x:f>
        <x:v>1.4173</x:v>
      </x:c>
      <x:c r="O1466" s="28" t="n">
        <x:f>SUM(M1466:N1466)</x:f>
        <x:v>2.4821</x:v>
      </x:c>
    </x:row>
    <x:row r="1467" ht="23" customHeight="1">
      <x:c r="A1467" s="17" t="str">
        <x:v>U01461</x:v>
      </x:c>
      <x:c r="B1467" s="18" t="n">
        <x:v>46279</x:v>
      </x:c>
      <x:c r="C1467" s="17" t="str">
        <x:v>W0087</x:v>
      </x:c>
      <x:c r="D1467" s="17" t="str">
        <x:v>C002</x:v>
      </x:c>
      <x:c r="E1467" s="17" t="str">
        <x:v>CampaignChat</x:v>
      </x:c>
      <x:c r="F1467" s="17" t="str">
        <x:v>Pro</x:v>
      </x:c>
      <x:c r="G1467" s="17" t="n">
        <x:v>23996</x:v>
      </x:c>
      <x:c r="H1467" s="17" t="n">
        <x:v>17084</x:v>
      </x:c>
      <x:c r="I1467" s="17" t="str">
        <x:v>Followup</x:v>
      </x:c>
      <x:c r="J1467" s="27" t="n">
        <x:f>INDEX('Model Pricing'!$B$7:$B$8,MATCH(F1467,'Model Pricing'!$A$7:$A$8,0))</x:f>
        <x:v>40</x:v>
      </x:c>
      <x:c r="K1467" s="27" t="n">
        <x:f>INDEX('Model Pricing'!$C$7:$C$8,MATCH(F1467,'Model Pricing'!$A$7:$A$8,0))</x:f>
        <x:v>100</x:v>
      </x:c>
      <x:c r="L1467" s="17" t="n">
        <x:f>G1467+H1467</x:f>
        <x:v>41080</x:v>
      </x:c>
      <x:c r="M1467" s="28" t="n">
        <x:f>G1467*J1467/1000000</x:f>
        <x:v>0.95984</x:v>
      </x:c>
      <x:c r="N1467" s="28" t="n">
        <x:f>H1467*K1467/1000000</x:f>
        <x:v>1.7084</x:v>
      </x:c>
      <x:c r="O1467" s="28" t="n">
        <x:f>SUM(M1467:N1467)</x:f>
        <x:v>2.66824</x:v>
      </x:c>
    </x:row>
    <x:row r="1468" ht="23" customHeight="1">
      <x:c r="A1468" s="17" t="str">
        <x:v>U01462</x:v>
      </x:c>
      <x:c r="B1468" s="18" t="n">
        <x:v>46279</x:v>
      </x:c>
      <x:c r="C1468" s="17" t="str">
        <x:v>W0087</x:v>
      </x:c>
      <x:c r="D1468" s="17" t="str">
        <x:v>C002</x:v>
      </x:c>
      <x:c r="E1468" s="17" t="str">
        <x:v>CampaignChat</x:v>
      </x:c>
      <x:c r="F1468" s="17" t="str">
        <x:v>Pro</x:v>
      </x:c>
      <x:c r="G1468" s="17" t="n">
        <x:v>17853</x:v>
      </x:c>
      <x:c r="H1468" s="17" t="n">
        <x:v>6714</x:v>
      </x:c>
      <x:c r="I1468" s="17" t="str">
        <x:v>Followup</x:v>
      </x:c>
      <x:c r="J1468" s="27" t="n">
        <x:f>INDEX('Model Pricing'!$B$7:$B$8,MATCH(F1468,'Model Pricing'!$A$7:$A$8,0))</x:f>
        <x:v>40</x:v>
      </x:c>
      <x:c r="K1468" s="27" t="n">
        <x:f>INDEX('Model Pricing'!$C$7:$C$8,MATCH(F1468,'Model Pricing'!$A$7:$A$8,0))</x:f>
        <x:v>100</x:v>
      </x:c>
      <x:c r="L1468" s="17" t="n">
        <x:f>G1468+H1468</x:f>
        <x:v>24567</x:v>
      </x:c>
      <x:c r="M1468" s="28" t="n">
        <x:f>G1468*J1468/1000000</x:f>
        <x:v>0.71412</x:v>
      </x:c>
      <x:c r="N1468" s="28" t="n">
        <x:f>H1468*K1468/1000000</x:f>
        <x:v>0.6714</x:v>
      </x:c>
      <x:c r="O1468" s="28" t="n">
        <x:f>SUM(M1468:N1468)</x:f>
        <x:v>1.38552</x:v>
      </x:c>
    </x:row>
    <x:row r="1469" ht="23" customHeight="1">
      <x:c r="A1469" s="17" t="str">
        <x:v>U01463</x:v>
      </x:c>
      <x:c r="B1469" s="18" t="n">
        <x:v>46279</x:v>
      </x:c>
      <x:c r="C1469" s="17" t="str">
        <x:v>W0087</x:v>
      </x:c>
      <x:c r="D1469" s="17" t="str">
        <x:v>C002</x:v>
      </x:c>
      <x:c r="E1469" s="17" t="str">
        <x:v>CampaignChat</x:v>
      </x:c>
      <x:c r="F1469" s="17" t="str">
        <x:v>Pro</x:v>
      </x:c>
      <x:c r="G1469" s="17" t="n">
        <x:v>15286</x:v>
      </x:c>
      <x:c r="H1469" s="17" t="n">
        <x:v>6424</x:v>
      </x:c>
      <x:c r="I1469" s="17" t="str">
        <x:v>Followup</x:v>
      </x:c>
      <x:c r="J1469" s="27" t="n">
        <x:f>INDEX('Model Pricing'!$B$7:$B$8,MATCH(F1469,'Model Pricing'!$A$7:$A$8,0))</x:f>
        <x:v>40</x:v>
      </x:c>
      <x:c r="K1469" s="27" t="n">
        <x:f>INDEX('Model Pricing'!$C$7:$C$8,MATCH(F1469,'Model Pricing'!$A$7:$A$8,0))</x:f>
        <x:v>100</x:v>
      </x:c>
      <x:c r="L1469" s="17" t="n">
        <x:f>G1469+H1469</x:f>
        <x:v>21710</x:v>
      </x:c>
      <x:c r="M1469" s="28" t="n">
        <x:f>G1469*J1469/1000000</x:f>
        <x:v>0.61144</x:v>
      </x:c>
      <x:c r="N1469" s="28" t="n">
        <x:f>H1469*K1469/1000000</x:f>
        <x:v>0.6424</x:v>
      </x:c>
      <x:c r="O1469" s="28" t="n">
        <x:f>SUM(M1469:N1469)</x:f>
        <x:v>1.2538399999999998</x:v>
      </x:c>
    </x:row>
    <x:row r="1470" ht="23" customHeight="1">
      <x:c r="A1470" s="17" t="str">
        <x:v>U01464</x:v>
      </x:c>
      <x:c r="B1470" s="18" t="n">
        <x:v>46279</x:v>
      </x:c>
      <x:c r="C1470" s="17" t="str">
        <x:v>W0087</x:v>
      </x:c>
      <x:c r="D1470" s="17" t="str">
        <x:v>C002</x:v>
      </x:c>
      <x:c r="E1470" s="17" t="str">
        <x:v>CampaignChat</x:v>
      </x:c>
      <x:c r="F1470" s="17" t="str">
        <x:v>Pro</x:v>
      </x:c>
      <x:c r="G1470" s="17" t="n">
        <x:v>28299</x:v>
      </x:c>
      <x:c r="H1470" s="17" t="n">
        <x:v>18748</x:v>
      </x:c>
      <x:c r="I1470" s="17" t="str">
        <x:v>Correction</x:v>
      </x:c>
      <x:c r="J1470" s="27" t="n">
        <x:f>INDEX('Model Pricing'!$B$7:$B$8,MATCH(F1470,'Model Pricing'!$A$7:$A$8,0))</x:f>
        <x:v>40</x:v>
      </x:c>
      <x:c r="K1470" s="27" t="n">
        <x:f>INDEX('Model Pricing'!$C$7:$C$8,MATCH(F1470,'Model Pricing'!$A$7:$A$8,0))</x:f>
        <x:v>100</x:v>
      </x:c>
      <x:c r="L1470" s="17" t="n">
        <x:f>G1470+H1470</x:f>
        <x:v>47047</x:v>
      </x:c>
      <x:c r="M1470" s="28" t="n">
        <x:f>G1470*J1470/1000000</x:f>
        <x:v>1.13196</x:v>
      </x:c>
      <x:c r="N1470" s="28" t="n">
        <x:f>H1470*K1470/1000000</x:f>
        <x:v>1.8748</x:v>
      </x:c>
      <x:c r="O1470" s="28" t="n">
        <x:f>SUM(M1470:N1470)</x:f>
        <x:v>3.00676</x:v>
      </x:c>
    </x:row>
    <x:row r="1471" ht="23" customHeight="1">
      <x:c r="A1471" s="17" t="str">
        <x:v>U01465</x:v>
      </x:c>
      <x:c r="B1471" s="18" t="n">
        <x:v>46279</x:v>
      </x:c>
      <x:c r="C1471" s="17" t="str">
        <x:v>W0087</x:v>
      </x:c>
      <x:c r="D1471" s="17" t="str">
        <x:v>C002</x:v>
      </x:c>
      <x:c r="E1471" s="17" t="str">
        <x:v>CampaignChat</x:v>
      </x:c>
      <x:c r="F1471" s="17" t="str">
        <x:v>Pro</x:v>
      </x:c>
      <x:c r="G1471" s="17" t="n">
        <x:v>22876</x:v>
      </x:c>
      <x:c r="H1471" s="17" t="n">
        <x:v>5680</x:v>
      </x:c>
      <x:c r="I1471" s="17" t="str">
        <x:v>Followup</x:v>
      </x:c>
      <x:c r="J1471" s="27" t="n">
        <x:f>INDEX('Model Pricing'!$B$7:$B$8,MATCH(F1471,'Model Pricing'!$A$7:$A$8,0))</x:f>
        <x:v>40</x:v>
      </x:c>
      <x:c r="K1471" s="27" t="n">
        <x:f>INDEX('Model Pricing'!$C$7:$C$8,MATCH(F1471,'Model Pricing'!$A$7:$A$8,0))</x:f>
        <x:v>100</x:v>
      </x:c>
      <x:c r="L1471" s="17" t="n">
        <x:f>G1471+H1471</x:f>
        <x:v>28556</x:v>
      </x:c>
      <x:c r="M1471" s="28" t="n">
        <x:f>G1471*J1471/1000000</x:f>
        <x:v>0.91504</x:v>
      </x:c>
      <x:c r="N1471" s="28" t="n">
        <x:f>H1471*K1471/1000000</x:f>
        <x:v>0.568</x:v>
      </x:c>
      <x:c r="O1471" s="28" t="n">
        <x:f>SUM(M1471:N1471)</x:f>
        <x:v>1.48304</x:v>
      </x:c>
    </x:row>
    <x:row r="1472" ht="23" customHeight="1">
      <x:c r="A1472" s="17" t="str">
        <x:v>U01466</x:v>
      </x:c>
      <x:c r="B1472" s="18" t="n">
        <x:v>46280</x:v>
      </x:c>
      <x:c r="C1472" s="17" t="str">
        <x:v>W0087</x:v>
      </x:c>
      <x:c r="D1472" s="17" t="str">
        <x:v>C002</x:v>
      </x:c>
      <x:c r="E1472" s="17" t="str">
        <x:v>CampaignChat</x:v>
      </x:c>
      <x:c r="F1472" s="17" t="str">
        <x:v>Pro</x:v>
      </x:c>
      <x:c r="G1472" s="17" t="n">
        <x:v>13755</x:v>
      </x:c>
      <x:c r="H1472" s="17" t="n">
        <x:v>9055</x:v>
      </x:c>
      <x:c r="I1472" s="17" t="str">
        <x:v>Followup</x:v>
      </x:c>
      <x:c r="J1472" s="27" t="n">
        <x:f>INDEX('Model Pricing'!$B$7:$B$8,MATCH(F1472,'Model Pricing'!$A$7:$A$8,0))</x:f>
        <x:v>40</x:v>
      </x:c>
      <x:c r="K1472" s="27" t="n">
        <x:f>INDEX('Model Pricing'!$C$7:$C$8,MATCH(F1472,'Model Pricing'!$A$7:$A$8,0))</x:f>
        <x:v>100</x:v>
      </x:c>
      <x:c r="L1472" s="17" t="n">
        <x:f>G1472+H1472</x:f>
        <x:v>22810</x:v>
      </x:c>
      <x:c r="M1472" s="28" t="n">
        <x:f>G1472*J1472/1000000</x:f>
        <x:v>0.5502</x:v>
      </x:c>
      <x:c r="N1472" s="28" t="n">
        <x:f>H1472*K1472/1000000</x:f>
        <x:v>0.9055</x:v>
      </x:c>
      <x:c r="O1472" s="28" t="n">
        <x:f>SUM(M1472:N1472)</x:f>
        <x:v>1.4557</x:v>
      </x:c>
    </x:row>
    <x:row r="1473" ht="23" customHeight="1">
      <x:c r="A1473" s="17" t="str">
        <x:v>U01467</x:v>
      </x:c>
      <x:c r="B1473" s="18" t="n">
        <x:v>46280</x:v>
      </x:c>
      <x:c r="C1473" s="17" t="str">
        <x:v>W0087</x:v>
      </x:c>
      <x:c r="D1473" s="17" t="str">
        <x:v>C002</x:v>
      </x:c>
      <x:c r="E1473" s="17" t="str">
        <x:v>CampaignChat</x:v>
      </x:c>
      <x:c r="F1473" s="17" t="str">
        <x:v>Pro</x:v>
      </x:c>
      <x:c r="G1473" s="17" t="n">
        <x:v>16337</x:v>
      </x:c>
      <x:c r="H1473" s="17" t="n">
        <x:v>4893</x:v>
      </x:c>
      <x:c r="I1473" s="17" t="str">
        <x:v>Correction</x:v>
      </x:c>
      <x:c r="J1473" s="27" t="n">
        <x:f>INDEX('Model Pricing'!$B$7:$B$8,MATCH(F1473,'Model Pricing'!$A$7:$A$8,0))</x:f>
        <x:v>40</x:v>
      </x:c>
      <x:c r="K1473" s="27" t="n">
        <x:f>INDEX('Model Pricing'!$C$7:$C$8,MATCH(F1473,'Model Pricing'!$A$7:$A$8,0))</x:f>
        <x:v>100</x:v>
      </x:c>
      <x:c r="L1473" s="17" t="n">
        <x:f>G1473+H1473</x:f>
        <x:v>21230</x:v>
      </x:c>
      <x:c r="M1473" s="28" t="n">
        <x:f>G1473*J1473/1000000</x:f>
        <x:v>0.65348</x:v>
      </x:c>
      <x:c r="N1473" s="28" t="n">
        <x:f>H1473*K1473/1000000</x:f>
        <x:v>0.4893</x:v>
      </x:c>
      <x:c r="O1473" s="28" t="n">
        <x:f>SUM(M1473:N1473)</x:f>
        <x:v>1.14278</x:v>
      </x:c>
    </x:row>
    <x:row r="1474" ht="23" customHeight="1">
      <x:c r="A1474" s="17" t="str">
        <x:v>U01468</x:v>
      </x:c>
      <x:c r="B1474" s="18" t="n">
        <x:v>46280</x:v>
      </x:c>
      <x:c r="C1474" s="17" t="str">
        <x:v>W0087</x:v>
      </x:c>
      <x:c r="D1474" s="17" t="str">
        <x:v>C002</x:v>
      </x:c>
      <x:c r="E1474" s="17" t="str">
        <x:v>CampaignChat</x:v>
      </x:c>
      <x:c r="F1474" s="17" t="str">
        <x:v>Pro</x:v>
      </x:c>
      <x:c r="G1474" s="17" t="n">
        <x:v>20781</x:v>
      </x:c>
      <x:c r="H1474" s="17" t="n">
        <x:v>16934</x:v>
      </x:c>
      <x:c r="I1474" s="17" t="str">
        <x:v>Correction</x:v>
      </x:c>
      <x:c r="J1474" s="27" t="n">
        <x:f>INDEX('Model Pricing'!$B$7:$B$8,MATCH(F1474,'Model Pricing'!$A$7:$A$8,0))</x:f>
        <x:v>40</x:v>
      </x:c>
      <x:c r="K1474" s="27" t="n">
        <x:f>INDEX('Model Pricing'!$C$7:$C$8,MATCH(F1474,'Model Pricing'!$A$7:$A$8,0))</x:f>
        <x:v>100</x:v>
      </x:c>
      <x:c r="L1474" s="17" t="n">
        <x:f>G1474+H1474</x:f>
        <x:v>37715</x:v>
      </x:c>
      <x:c r="M1474" s="28" t="n">
        <x:f>G1474*J1474/1000000</x:f>
        <x:v>0.83124</x:v>
      </x:c>
      <x:c r="N1474" s="28" t="n">
        <x:f>H1474*K1474/1000000</x:f>
        <x:v>1.6934</x:v>
      </x:c>
      <x:c r="O1474" s="28" t="n">
        <x:f>SUM(M1474:N1474)</x:f>
        <x:v>2.5246399999999998</x:v>
      </x:c>
    </x:row>
    <x:row r="1475" ht="23" customHeight="1">
      <x:c r="A1475" s="17" t="str">
        <x:v>U01469</x:v>
      </x:c>
      <x:c r="B1475" s="18" t="n">
        <x:v>46280</x:v>
      </x:c>
      <x:c r="C1475" s="17" t="str">
        <x:v>W0087</x:v>
      </x:c>
      <x:c r="D1475" s="17" t="str">
        <x:v>C002</x:v>
      </x:c>
      <x:c r="E1475" s="17" t="str">
        <x:v>CampaignChat</x:v>
      </x:c>
      <x:c r="F1475" s="17" t="str">
        <x:v>Pro</x:v>
      </x:c>
      <x:c r="G1475" s="17" t="n">
        <x:v>14733</x:v>
      </x:c>
      <x:c r="H1475" s="17" t="n">
        <x:v>18269</x:v>
      </x:c>
      <x:c r="I1475" s="17" t="str">
        <x:v>Followup</x:v>
      </x:c>
      <x:c r="J1475" s="27" t="n">
        <x:f>INDEX('Model Pricing'!$B$7:$B$8,MATCH(F1475,'Model Pricing'!$A$7:$A$8,0))</x:f>
        <x:v>40</x:v>
      </x:c>
      <x:c r="K1475" s="27" t="n">
        <x:f>INDEX('Model Pricing'!$C$7:$C$8,MATCH(F1475,'Model Pricing'!$A$7:$A$8,0))</x:f>
        <x:v>100</x:v>
      </x:c>
      <x:c r="L1475" s="17" t="n">
        <x:f>G1475+H1475</x:f>
        <x:v>33002</x:v>
      </x:c>
      <x:c r="M1475" s="28" t="n">
        <x:f>G1475*J1475/1000000</x:f>
        <x:v>0.58932</x:v>
      </x:c>
      <x:c r="N1475" s="28" t="n">
        <x:f>H1475*K1475/1000000</x:f>
        <x:v>1.8269</x:v>
      </x:c>
      <x:c r="O1475" s="28" t="n">
        <x:f>SUM(M1475:N1475)</x:f>
        <x:v>2.41622</x:v>
      </x:c>
    </x:row>
    <x:row r="1476" ht="23" customHeight="1">
      <x:c r="A1476" s="17" t="str">
        <x:v>U01470</x:v>
      </x:c>
      <x:c r="B1476" s="18" t="n">
        <x:v>46280</x:v>
      </x:c>
      <x:c r="C1476" s="17" t="str">
        <x:v>W0087</x:v>
      </x:c>
      <x:c r="D1476" s="17" t="str">
        <x:v>C002</x:v>
      </x:c>
      <x:c r="E1476" s="17" t="str">
        <x:v>CampaignChat</x:v>
      </x:c>
      <x:c r="F1476" s="17" t="str">
        <x:v>Pro</x:v>
      </x:c>
      <x:c r="G1476" s="17" t="n">
        <x:v>21952</x:v>
      </x:c>
      <x:c r="H1476" s="17" t="n">
        <x:v>19086</x:v>
      </x:c>
      <x:c r="I1476" s="17" t="str">
        <x:v>Correction</x:v>
      </x:c>
      <x:c r="J1476" s="27" t="n">
        <x:f>INDEX('Model Pricing'!$B$7:$B$8,MATCH(F1476,'Model Pricing'!$A$7:$A$8,0))</x:f>
        <x:v>40</x:v>
      </x:c>
      <x:c r="K1476" s="27" t="n">
        <x:f>INDEX('Model Pricing'!$C$7:$C$8,MATCH(F1476,'Model Pricing'!$A$7:$A$8,0))</x:f>
        <x:v>100</x:v>
      </x:c>
      <x:c r="L1476" s="17" t="n">
        <x:f>G1476+H1476</x:f>
        <x:v>41038</x:v>
      </x:c>
      <x:c r="M1476" s="28" t="n">
        <x:f>G1476*J1476/1000000</x:f>
        <x:v>0.87808</x:v>
      </x:c>
      <x:c r="N1476" s="28" t="n">
        <x:f>H1476*K1476/1000000</x:f>
        <x:v>1.9086</x:v>
      </x:c>
      <x:c r="O1476" s="28" t="n">
        <x:f>SUM(M1476:N1476)</x:f>
        <x:v>2.78668</x:v>
      </x:c>
    </x:row>
    <x:row r="1477" ht="23" customHeight="1">
      <x:c r="A1477" s="17" t="str">
        <x:v>U01471</x:v>
      </x:c>
      <x:c r="B1477" s="18" t="n">
        <x:v>46281</x:v>
      </x:c>
      <x:c r="C1477" s="17" t="str">
        <x:v>W0087</x:v>
      </x:c>
      <x:c r="D1477" s="17" t="str">
        <x:v>C002</x:v>
      </x:c>
      <x:c r="E1477" s="17" t="str">
        <x:v>CampaignChat</x:v>
      </x:c>
      <x:c r="F1477" s="17" t="str">
        <x:v>Pro</x:v>
      </x:c>
      <x:c r="G1477" s="17" t="n">
        <x:v>17296</x:v>
      </x:c>
      <x:c r="H1477" s="17" t="n">
        <x:v>8635</x:v>
      </x:c>
      <x:c r="I1477" s="17" t="str">
        <x:v>Followup</x:v>
      </x:c>
      <x:c r="J1477" s="27" t="n">
        <x:f>INDEX('Model Pricing'!$B$7:$B$8,MATCH(F1477,'Model Pricing'!$A$7:$A$8,0))</x:f>
        <x:v>40</x:v>
      </x:c>
      <x:c r="K1477" s="27" t="n">
        <x:f>INDEX('Model Pricing'!$C$7:$C$8,MATCH(F1477,'Model Pricing'!$A$7:$A$8,0))</x:f>
        <x:v>100</x:v>
      </x:c>
      <x:c r="L1477" s="17" t="n">
        <x:f>G1477+H1477</x:f>
        <x:v>25931</x:v>
      </x:c>
      <x:c r="M1477" s="28" t="n">
        <x:f>G1477*J1477/1000000</x:f>
        <x:v>0.69184</x:v>
      </x:c>
      <x:c r="N1477" s="28" t="n">
        <x:f>H1477*K1477/1000000</x:f>
        <x:v>0.8635</x:v>
      </x:c>
      <x:c r="O1477" s="28" t="n">
        <x:f>SUM(M1477:N1477)</x:f>
        <x:v>1.5553400000000002</x:v>
      </x:c>
    </x:row>
    <x:row r="1478" ht="23" customHeight="1">
      <x:c r="A1478" s="17" t="str">
        <x:v>U01472</x:v>
      </x:c>
      <x:c r="B1478" s="18" t="n">
        <x:v>46281</x:v>
      </x:c>
      <x:c r="C1478" s="17" t="str">
        <x:v>W0087</x:v>
      </x:c>
      <x:c r="D1478" s="17" t="str">
        <x:v>C002</x:v>
      </x:c>
      <x:c r="E1478" s="17" t="str">
        <x:v>CampaignChat</x:v>
      </x:c>
      <x:c r="F1478" s="17" t="str">
        <x:v>Pro</x:v>
      </x:c>
      <x:c r="G1478" s="17" t="n">
        <x:v>16607</x:v>
      </x:c>
      <x:c r="H1478" s="17" t="n">
        <x:v>8821</x:v>
      </x:c>
      <x:c r="I1478" s="17" t="str">
        <x:v>Followup</x:v>
      </x:c>
      <x:c r="J1478" s="27" t="n">
        <x:f>INDEX('Model Pricing'!$B$7:$B$8,MATCH(F1478,'Model Pricing'!$A$7:$A$8,0))</x:f>
        <x:v>40</x:v>
      </x:c>
      <x:c r="K1478" s="27" t="n">
        <x:f>INDEX('Model Pricing'!$C$7:$C$8,MATCH(F1478,'Model Pricing'!$A$7:$A$8,0))</x:f>
        <x:v>100</x:v>
      </x:c>
      <x:c r="L1478" s="17" t="n">
        <x:f>G1478+H1478</x:f>
        <x:v>25428</x:v>
      </x:c>
      <x:c r="M1478" s="28" t="n">
        <x:f>G1478*J1478/1000000</x:f>
        <x:v>0.66428</x:v>
      </x:c>
      <x:c r="N1478" s="28" t="n">
        <x:f>H1478*K1478/1000000</x:f>
        <x:v>0.8821</x:v>
      </x:c>
      <x:c r="O1478" s="28" t="n">
        <x:f>SUM(M1478:N1478)</x:f>
        <x:v>1.54638</x:v>
      </x:c>
    </x:row>
    <x:row r="1479" ht="23" customHeight="1">
      <x:c r="A1479" s="17" t="str">
        <x:v>U01473</x:v>
      </x:c>
      <x:c r="B1479" s="18" t="n">
        <x:v>46281</x:v>
      </x:c>
      <x:c r="C1479" s="17" t="str">
        <x:v>W0087</x:v>
      </x:c>
      <x:c r="D1479" s="17" t="str">
        <x:v>C002</x:v>
      </x:c>
      <x:c r="E1479" s="17" t="str">
        <x:v>CampaignChat</x:v>
      </x:c>
      <x:c r="F1479" s="17" t="str">
        <x:v>Pro</x:v>
      </x:c>
      <x:c r="G1479" s="17" t="n">
        <x:v>23406</x:v>
      </x:c>
      <x:c r="H1479" s="17" t="n">
        <x:v>14151</x:v>
      </x:c>
      <x:c r="I1479" s="17" t="str">
        <x:v>Followup</x:v>
      </x:c>
      <x:c r="J1479" s="27" t="n">
        <x:f>INDEX('Model Pricing'!$B$7:$B$8,MATCH(F1479,'Model Pricing'!$A$7:$A$8,0))</x:f>
        <x:v>40</x:v>
      </x:c>
      <x:c r="K1479" s="27" t="n">
        <x:f>INDEX('Model Pricing'!$C$7:$C$8,MATCH(F1479,'Model Pricing'!$A$7:$A$8,0))</x:f>
        <x:v>100</x:v>
      </x:c>
      <x:c r="L1479" s="17" t="n">
        <x:f>G1479+H1479</x:f>
        <x:v>37557</x:v>
      </x:c>
      <x:c r="M1479" s="28" t="n">
        <x:f>G1479*J1479/1000000</x:f>
        <x:v>0.93624</x:v>
      </x:c>
      <x:c r="N1479" s="28" t="n">
        <x:f>H1479*K1479/1000000</x:f>
        <x:v>1.4151</x:v>
      </x:c>
      <x:c r="O1479" s="28" t="n">
        <x:f>SUM(M1479:N1479)</x:f>
        <x:v>2.35134</x:v>
      </x:c>
    </x:row>
    <x:row r="1480" ht="23" customHeight="1">
      <x:c r="A1480" s="17" t="str">
        <x:v>U01474</x:v>
      </x:c>
      <x:c r="B1480" s="18" t="n">
        <x:v>46281</x:v>
      </x:c>
      <x:c r="C1480" s="17" t="str">
        <x:v>W0087</x:v>
      </x:c>
      <x:c r="D1480" s="17" t="str">
        <x:v>C002</x:v>
      </x:c>
      <x:c r="E1480" s="17" t="str">
        <x:v>CampaignChat</x:v>
      </x:c>
      <x:c r="F1480" s="17" t="str">
        <x:v>Pro</x:v>
      </x:c>
      <x:c r="G1480" s="17" t="n">
        <x:v>24174</x:v>
      </x:c>
      <x:c r="H1480" s="17" t="n">
        <x:v>5781</x:v>
      </x:c>
      <x:c r="I1480" s="17" t="str">
        <x:v>Followup</x:v>
      </x:c>
      <x:c r="J1480" s="27" t="n">
        <x:f>INDEX('Model Pricing'!$B$7:$B$8,MATCH(F1480,'Model Pricing'!$A$7:$A$8,0))</x:f>
        <x:v>40</x:v>
      </x:c>
      <x:c r="K1480" s="27" t="n">
        <x:f>INDEX('Model Pricing'!$C$7:$C$8,MATCH(F1480,'Model Pricing'!$A$7:$A$8,0))</x:f>
        <x:v>100</x:v>
      </x:c>
      <x:c r="L1480" s="17" t="n">
        <x:f>G1480+H1480</x:f>
        <x:v>29955</x:v>
      </x:c>
      <x:c r="M1480" s="28" t="n">
        <x:f>G1480*J1480/1000000</x:f>
        <x:v>0.96696</x:v>
      </x:c>
      <x:c r="N1480" s="28" t="n">
        <x:f>H1480*K1480/1000000</x:f>
        <x:v>0.5781</x:v>
      </x:c>
      <x:c r="O1480" s="28" t="n">
        <x:f>SUM(M1480:N1480)</x:f>
        <x:v>1.5450599999999999</x:v>
      </x:c>
    </x:row>
    <x:row r="1481" ht="23" customHeight="1">
      <x:c r="A1481" s="17" t="str">
        <x:v>U01475</x:v>
      </x:c>
      <x:c r="B1481" s="18" t="n">
        <x:v>46281</x:v>
      </x:c>
      <x:c r="C1481" s="17" t="str">
        <x:v>W0087</x:v>
      </x:c>
      <x:c r="D1481" s="17" t="str">
        <x:v>C002</x:v>
      </x:c>
      <x:c r="E1481" s="17" t="str">
        <x:v>CampaignChat</x:v>
      </x:c>
      <x:c r="F1481" s="17" t="str">
        <x:v>Pro</x:v>
      </x:c>
      <x:c r="G1481" s="17" t="n">
        <x:v>23027</x:v>
      </x:c>
      <x:c r="H1481" s="17" t="n">
        <x:v>18170</x:v>
      </x:c>
      <x:c r="I1481" s="17" t="str">
        <x:v>Correction</x:v>
      </x:c>
      <x:c r="J1481" s="27" t="n">
        <x:f>INDEX('Model Pricing'!$B$7:$B$8,MATCH(F1481,'Model Pricing'!$A$7:$A$8,0))</x:f>
        <x:v>40</x:v>
      </x:c>
      <x:c r="K1481" s="27" t="n">
        <x:f>INDEX('Model Pricing'!$C$7:$C$8,MATCH(F1481,'Model Pricing'!$A$7:$A$8,0))</x:f>
        <x:v>100</x:v>
      </x:c>
      <x:c r="L1481" s="17" t="n">
        <x:f>G1481+H1481</x:f>
        <x:v>41197</x:v>
      </x:c>
      <x:c r="M1481" s="28" t="n">
        <x:f>G1481*J1481/1000000</x:f>
        <x:v>0.92108</x:v>
      </x:c>
      <x:c r="N1481" s="28" t="n">
        <x:f>H1481*K1481/1000000</x:f>
        <x:v>1.817</x:v>
      </x:c>
      <x:c r="O1481" s="28" t="n">
        <x:f>SUM(M1481:N1481)</x:f>
        <x:v>2.73808</x:v>
      </x:c>
    </x:row>
    <x:row r="1482" ht="23" customHeight="1">
      <x:c r="A1482" s="17" t="str">
        <x:v>U01476</x:v>
      </x:c>
      <x:c r="B1482" s="18" t="n">
        <x:v>46282</x:v>
      </x:c>
      <x:c r="C1482" s="17" t="str">
        <x:v>W0087</x:v>
      </x:c>
      <x:c r="D1482" s="17" t="str">
        <x:v>C002</x:v>
      </x:c>
      <x:c r="E1482" s="17" t="str">
        <x:v>CampaignChat</x:v>
      </x:c>
      <x:c r="F1482" s="17" t="str">
        <x:v>Pro</x:v>
      </x:c>
      <x:c r="G1482" s="17" t="n">
        <x:v>16705</x:v>
      </x:c>
      <x:c r="H1482" s="17" t="n">
        <x:v>12302</x:v>
      </x:c>
      <x:c r="I1482" s="17" t="str">
        <x:v>Correction</x:v>
      </x:c>
      <x:c r="J1482" s="27" t="n">
        <x:f>INDEX('Model Pricing'!$B$7:$B$8,MATCH(F1482,'Model Pricing'!$A$7:$A$8,0))</x:f>
        <x:v>40</x:v>
      </x:c>
      <x:c r="K1482" s="27" t="n">
        <x:f>INDEX('Model Pricing'!$C$7:$C$8,MATCH(F1482,'Model Pricing'!$A$7:$A$8,0))</x:f>
        <x:v>100</x:v>
      </x:c>
      <x:c r="L1482" s="17" t="n">
        <x:f>G1482+H1482</x:f>
        <x:v>29007</x:v>
      </x:c>
      <x:c r="M1482" s="28" t="n">
        <x:f>G1482*J1482/1000000</x:f>
        <x:v>0.6682</x:v>
      </x:c>
      <x:c r="N1482" s="28" t="n">
        <x:f>H1482*K1482/1000000</x:f>
        <x:v>1.2302</x:v>
      </x:c>
      <x:c r="O1482" s="28" t="n">
        <x:f>SUM(M1482:N1482)</x:f>
        <x:v>1.8984</x:v>
      </x:c>
    </x:row>
    <x:row r="1483" ht="23" customHeight="1">
      <x:c r="A1483" s="17" t="str">
        <x:v>U01477</x:v>
      </x:c>
      <x:c r="B1483" s="18" t="n">
        <x:v>46282</x:v>
      </x:c>
      <x:c r="C1483" s="17" t="str">
        <x:v>W0087</x:v>
      </x:c>
      <x:c r="D1483" s="17" t="str">
        <x:v>C002</x:v>
      </x:c>
      <x:c r="E1483" s="17" t="str">
        <x:v>CampaignChat</x:v>
      </x:c>
      <x:c r="F1483" s="17" t="str">
        <x:v>Pro</x:v>
      </x:c>
      <x:c r="G1483" s="17" t="n">
        <x:v>12985</x:v>
      </x:c>
      <x:c r="H1483" s="17" t="n">
        <x:v>15870</x:v>
      </x:c>
      <x:c r="I1483" s="17" t="str">
        <x:v>Followup</x:v>
      </x:c>
      <x:c r="J1483" s="27" t="n">
        <x:f>INDEX('Model Pricing'!$B$7:$B$8,MATCH(F1483,'Model Pricing'!$A$7:$A$8,0))</x:f>
        <x:v>40</x:v>
      </x:c>
      <x:c r="K1483" s="27" t="n">
        <x:f>INDEX('Model Pricing'!$C$7:$C$8,MATCH(F1483,'Model Pricing'!$A$7:$A$8,0))</x:f>
        <x:v>100</x:v>
      </x:c>
      <x:c r="L1483" s="17" t="n">
        <x:f>G1483+H1483</x:f>
        <x:v>28855</x:v>
      </x:c>
      <x:c r="M1483" s="28" t="n">
        <x:f>G1483*J1483/1000000</x:f>
        <x:v>0.5194</x:v>
      </x:c>
      <x:c r="N1483" s="28" t="n">
        <x:f>H1483*K1483/1000000</x:f>
        <x:v>1.587</x:v>
      </x:c>
      <x:c r="O1483" s="28" t="n">
        <x:f>SUM(M1483:N1483)</x:f>
        <x:v>2.1064</x:v>
      </x:c>
    </x:row>
    <x:row r="1484" ht="23" customHeight="1">
      <x:c r="A1484" s="17" t="str">
        <x:v>U01478</x:v>
      </x:c>
      <x:c r="B1484" s="18" t="n">
        <x:v>46282</x:v>
      </x:c>
      <x:c r="C1484" s="17" t="str">
        <x:v>W0087</x:v>
      </x:c>
      <x:c r="D1484" s="17" t="str">
        <x:v>C002</x:v>
      </x:c>
      <x:c r="E1484" s="17" t="str">
        <x:v>CampaignChat</x:v>
      </x:c>
      <x:c r="F1484" s="17" t="str">
        <x:v>Pro</x:v>
      </x:c>
      <x:c r="G1484" s="17" t="n">
        <x:v>20808</x:v>
      </x:c>
      <x:c r="H1484" s="17" t="n">
        <x:v>11021</x:v>
      </x:c>
      <x:c r="I1484" s="17" t="str">
        <x:v>Correction</x:v>
      </x:c>
      <x:c r="J1484" s="27" t="n">
        <x:f>INDEX('Model Pricing'!$B$7:$B$8,MATCH(F1484,'Model Pricing'!$A$7:$A$8,0))</x:f>
        <x:v>40</x:v>
      </x:c>
      <x:c r="K1484" s="27" t="n">
        <x:f>INDEX('Model Pricing'!$C$7:$C$8,MATCH(F1484,'Model Pricing'!$A$7:$A$8,0))</x:f>
        <x:v>100</x:v>
      </x:c>
      <x:c r="L1484" s="17" t="n">
        <x:f>G1484+H1484</x:f>
        <x:v>31829</x:v>
      </x:c>
      <x:c r="M1484" s="28" t="n">
        <x:f>G1484*J1484/1000000</x:f>
        <x:v>0.83232</x:v>
      </x:c>
      <x:c r="N1484" s="28" t="n">
        <x:f>H1484*K1484/1000000</x:f>
        <x:v>1.1021</x:v>
      </x:c>
      <x:c r="O1484" s="28" t="n">
        <x:f>SUM(M1484:N1484)</x:f>
        <x:v>1.93442</x:v>
      </x:c>
    </x:row>
    <x:row r="1485" ht="23" customHeight="1">
      <x:c r="A1485" s="17" t="str">
        <x:v>U01479</x:v>
      </x:c>
      <x:c r="B1485" s="18" t="n">
        <x:v>46282</x:v>
      </x:c>
      <x:c r="C1485" s="17" t="str">
        <x:v>W0087</x:v>
      </x:c>
      <x:c r="D1485" s="17" t="str">
        <x:v>C002</x:v>
      </x:c>
      <x:c r="E1485" s="17" t="str">
        <x:v>CampaignChat</x:v>
      </x:c>
      <x:c r="F1485" s="17" t="str">
        <x:v>Pro</x:v>
      </x:c>
      <x:c r="G1485" s="17" t="n">
        <x:v>25778</x:v>
      </x:c>
      <x:c r="H1485" s="17" t="n">
        <x:v>7217</x:v>
      </x:c>
      <x:c r="I1485" s="17" t="str">
        <x:v>Followup</x:v>
      </x:c>
      <x:c r="J1485" s="27" t="n">
        <x:f>INDEX('Model Pricing'!$B$7:$B$8,MATCH(F1485,'Model Pricing'!$A$7:$A$8,0))</x:f>
        <x:v>40</x:v>
      </x:c>
      <x:c r="K1485" s="27" t="n">
        <x:f>INDEX('Model Pricing'!$C$7:$C$8,MATCH(F1485,'Model Pricing'!$A$7:$A$8,0))</x:f>
        <x:v>100</x:v>
      </x:c>
      <x:c r="L1485" s="17" t="n">
        <x:f>G1485+H1485</x:f>
        <x:v>32995</x:v>
      </x:c>
      <x:c r="M1485" s="28" t="n">
        <x:f>G1485*J1485/1000000</x:f>
        <x:v>1.03112</x:v>
      </x:c>
      <x:c r="N1485" s="28" t="n">
        <x:f>H1485*K1485/1000000</x:f>
        <x:v>0.7217</x:v>
      </x:c>
      <x:c r="O1485" s="28" t="n">
        <x:f>SUM(M1485:N1485)</x:f>
        <x:v>1.75282</x:v>
      </x:c>
    </x:row>
    <x:row r="1486" ht="23" customHeight="1">
      <x:c r="A1486" s="17" t="str">
        <x:v>U01480</x:v>
      </x:c>
      <x:c r="B1486" s="18" t="n">
        <x:v>46282</x:v>
      </x:c>
      <x:c r="C1486" s="17" t="str">
        <x:v>W0087</x:v>
      </x:c>
      <x:c r="D1486" s="17" t="str">
        <x:v>C002</x:v>
      </x:c>
      <x:c r="E1486" s="17" t="str">
        <x:v>CampaignChat</x:v>
      </x:c>
      <x:c r="F1486" s="17" t="str">
        <x:v>Pro</x:v>
      </x:c>
      <x:c r="G1486" s="17" t="n">
        <x:v>26296</x:v>
      </x:c>
      <x:c r="H1486" s="17" t="n">
        <x:v>7260</x:v>
      </x:c>
      <x:c r="I1486" s="17" t="str">
        <x:v>Correction</x:v>
      </x:c>
      <x:c r="J1486" s="27" t="n">
        <x:f>INDEX('Model Pricing'!$B$7:$B$8,MATCH(F1486,'Model Pricing'!$A$7:$A$8,0))</x:f>
        <x:v>40</x:v>
      </x:c>
      <x:c r="K1486" s="27" t="n">
        <x:f>INDEX('Model Pricing'!$C$7:$C$8,MATCH(F1486,'Model Pricing'!$A$7:$A$8,0))</x:f>
        <x:v>100</x:v>
      </x:c>
      <x:c r="L1486" s="17" t="n">
        <x:f>G1486+H1486</x:f>
        <x:v>33556</x:v>
      </x:c>
      <x:c r="M1486" s="28" t="n">
        <x:f>G1486*J1486/1000000</x:f>
        <x:v>1.05184</x:v>
      </x:c>
      <x:c r="N1486" s="28" t="n">
        <x:f>H1486*K1486/1000000</x:f>
        <x:v>0.726</x:v>
      </x:c>
      <x:c r="O1486" s="28" t="n">
        <x:f>SUM(M1486:N1486)</x:f>
        <x:v>1.77784</x:v>
      </x:c>
    </x:row>
    <x:row r="1487" ht="23" customHeight="1">
      <x:c r="A1487" s="17" t="str">
        <x:v>U01481</x:v>
      </x:c>
      <x:c r="B1487" s="18" t="n">
        <x:v>46282</x:v>
      </x:c>
      <x:c r="C1487" s="17" t="str">
        <x:v>W0090</x:v>
      </x:c>
      <x:c r="D1487" s="17" t="str">
        <x:v>C002</x:v>
      </x:c>
      <x:c r="E1487" s="17" t="str">
        <x:v>InsightDesk</x:v>
      </x:c>
      <x:c r="F1487" s="17" t="str">
        <x:v>Pro</x:v>
      </x:c>
      <x:c r="G1487" s="17" t="n">
        <x:v>18686</x:v>
      </x:c>
      <x:c r="H1487" s="17" t="n">
        <x:v>12458</x:v>
      </x:c>
      <x:c r="I1487" s="17" t="str">
        <x:v>First attempt</x:v>
      </x:c>
      <x:c r="J1487" s="27" t="n">
        <x:f>INDEX('Model Pricing'!$B$7:$B$8,MATCH(F1487,'Model Pricing'!$A$7:$A$8,0))</x:f>
        <x:v>40</x:v>
      </x:c>
      <x:c r="K1487" s="27" t="n">
        <x:f>INDEX('Model Pricing'!$C$7:$C$8,MATCH(F1487,'Model Pricing'!$A$7:$A$8,0))</x:f>
        <x:v>100</x:v>
      </x:c>
      <x:c r="L1487" s="17" t="n">
        <x:f>G1487+H1487</x:f>
        <x:v>31144</x:v>
      </x:c>
      <x:c r="M1487" s="28" t="n">
        <x:f>G1487*J1487/1000000</x:f>
        <x:v>0.74744</x:v>
      </x:c>
      <x:c r="N1487" s="28" t="n">
        <x:f>H1487*K1487/1000000</x:f>
        <x:v>1.2458</x:v>
      </x:c>
      <x:c r="O1487" s="28" t="n">
        <x:f>SUM(M1487:N1487)</x:f>
        <x:v>1.9932400000000001</x:v>
      </x:c>
    </x:row>
    <x:row r="1488" ht="23" customHeight="1">
      <x:c r="A1488" s="17" t="str">
        <x:v>U01482</x:v>
      </x:c>
      <x:c r="B1488" s="18" t="n">
        <x:v>46282</x:v>
      </x:c>
      <x:c r="C1488" s="17" t="str">
        <x:v>W0090</x:v>
      </x:c>
      <x:c r="D1488" s="17" t="str">
        <x:v>C002</x:v>
      </x:c>
      <x:c r="E1488" s="17" t="str">
        <x:v>InsightDesk</x:v>
      </x:c>
      <x:c r="F1488" s="17" t="str">
        <x:v>Pro</x:v>
      </x:c>
      <x:c r="G1488" s="17" t="n">
        <x:v>19698</x:v>
      </x:c>
      <x:c r="H1488" s="17" t="n">
        <x:v>6115</x:v>
      </x:c>
      <x:c r="I1488" s="17" t="str">
        <x:v>Followup</x:v>
      </x:c>
      <x:c r="J1488" s="27" t="n">
        <x:f>INDEX('Model Pricing'!$B$7:$B$8,MATCH(F1488,'Model Pricing'!$A$7:$A$8,0))</x:f>
        <x:v>40</x:v>
      </x:c>
      <x:c r="K1488" s="27" t="n">
        <x:f>INDEX('Model Pricing'!$C$7:$C$8,MATCH(F1488,'Model Pricing'!$A$7:$A$8,0))</x:f>
        <x:v>100</x:v>
      </x:c>
      <x:c r="L1488" s="17" t="n">
        <x:f>G1488+H1488</x:f>
        <x:v>25813</x:v>
      </x:c>
      <x:c r="M1488" s="28" t="n">
        <x:f>G1488*J1488/1000000</x:f>
        <x:v>0.78792</x:v>
      </x:c>
      <x:c r="N1488" s="28" t="n">
        <x:f>H1488*K1488/1000000</x:f>
        <x:v>0.6115</x:v>
      </x:c>
      <x:c r="O1488" s="28" t="n">
        <x:f>SUM(M1488:N1488)</x:f>
        <x:v>1.39942</x:v>
      </x:c>
    </x:row>
    <x:row r="1489" ht="23" customHeight="1">
      <x:c r="A1489" s="17" t="str">
        <x:v>U01483</x:v>
      </x:c>
      <x:c r="B1489" s="18" t="n">
        <x:v>46282</x:v>
      </x:c>
      <x:c r="C1489" s="17" t="str">
        <x:v>W0090</x:v>
      </x:c>
      <x:c r="D1489" s="17" t="str">
        <x:v>C002</x:v>
      </x:c>
      <x:c r="E1489" s="17" t="str">
        <x:v>InsightDesk</x:v>
      </x:c>
      <x:c r="F1489" s="17" t="str">
        <x:v>Pro</x:v>
      </x:c>
      <x:c r="G1489" s="17" t="n">
        <x:v>16386</x:v>
      </x:c>
      <x:c r="H1489" s="17" t="n">
        <x:v>13977</x:v>
      </x:c>
      <x:c r="I1489" s="17" t="str">
        <x:v>Correction</x:v>
      </x:c>
      <x:c r="J1489" s="27" t="n">
        <x:f>INDEX('Model Pricing'!$B$7:$B$8,MATCH(F1489,'Model Pricing'!$A$7:$A$8,0))</x:f>
        <x:v>40</x:v>
      </x:c>
      <x:c r="K1489" s="27" t="n">
        <x:f>INDEX('Model Pricing'!$C$7:$C$8,MATCH(F1489,'Model Pricing'!$A$7:$A$8,0))</x:f>
        <x:v>100</x:v>
      </x:c>
      <x:c r="L1489" s="17" t="n">
        <x:f>G1489+H1489</x:f>
        <x:v>30363</x:v>
      </x:c>
      <x:c r="M1489" s="28" t="n">
        <x:f>G1489*J1489/1000000</x:f>
        <x:v>0.65544</x:v>
      </x:c>
      <x:c r="N1489" s="28" t="n">
        <x:f>H1489*K1489/1000000</x:f>
        <x:v>1.3977</x:v>
      </x:c>
      <x:c r="O1489" s="28" t="n">
        <x:f>SUM(M1489:N1489)</x:f>
        <x:v>2.05314</x:v>
      </x:c>
    </x:row>
    <x:row r="1490" ht="23" customHeight="1">
      <x:c r="A1490" s="17" t="str">
        <x:v>U01484</x:v>
      </x:c>
      <x:c r="B1490" s="18" t="n">
        <x:v>46282</x:v>
      </x:c>
      <x:c r="C1490" s="17" t="str">
        <x:v>W0090</x:v>
      </x:c>
      <x:c r="D1490" s="17" t="str">
        <x:v>C002</x:v>
      </x:c>
      <x:c r="E1490" s="17" t="str">
        <x:v>InsightDesk</x:v>
      </x:c>
      <x:c r="F1490" s="17" t="str">
        <x:v>Pro</x:v>
      </x:c>
      <x:c r="G1490" s="17" t="n">
        <x:v>11280</x:v>
      </x:c>
      <x:c r="H1490" s="17" t="n">
        <x:v>12159</x:v>
      </x:c>
      <x:c r="I1490" s="17" t="str">
        <x:v>Followup</x:v>
      </x:c>
      <x:c r="J1490" s="27" t="n">
        <x:f>INDEX('Model Pricing'!$B$7:$B$8,MATCH(F1490,'Model Pricing'!$A$7:$A$8,0))</x:f>
        <x:v>40</x:v>
      </x:c>
      <x:c r="K1490" s="27" t="n">
        <x:f>INDEX('Model Pricing'!$C$7:$C$8,MATCH(F1490,'Model Pricing'!$A$7:$A$8,0))</x:f>
        <x:v>100</x:v>
      </x:c>
      <x:c r="L1490" s="17" t="n">
        <x:f>G1490+H1490</x:f>
        <x:v>23439</x:v>
      </x:c>
      <x:c r="M1490" s="28" t="n">
        <x:f>G1490*J1490/1000000</x:f>
        <x:v>0.4512</x:v>
      </x:c>
      <x:c r="N1490" s="28" t="n">
        <x:f>H1490*K1490/1000000</x:f>
        <x:v>1.2159</x:v>
      </x:c>
      <x:c r="O1490" s="28" t="n">
        <x:f>SUM(M1490:N1490)</x:f>
        <x:v>1.6671</x:v>
      </x:c>
    </x:row>
    <x:row r="1491" ht="23" customHeight="1">
      <x:c r="A1491" s="17" t="str">
        <x:v>U01485</x:v>
      </x:c>
      <x:c r="B1491" s="18" t="n">
        <x:v>46282</x:v>
      </x:c>
      <x:c r="C1491" s="17" t="str">
        <x:v>W0090</x:v>
      </x:c>
      <x:c r="D1491" s="17" t="str">
        <x:v>C002</x:v>
      </x:c>
      <x:c r="E1491" s="17" t="str">
        <x:v>InsightDesk</x:v>
      </x:c>
      <x:c r="F1491" s="17" t="str">
        <x:v>Pro</x:v>
      </x:c>
      <x:c r="G1491" s="17" t="n">
        <x:v>15036</x:v>
      </x:c>
      <x:c r="H1491" s="17" t="n">
        <x:v>9915</x:v>
      </x:c>
      <x:c r="I1491" s="17" t="str">
        <x:v>Followup</x:v>
      </x:c>
      <x:c r="J1491" s="27" t="n">
        <x:f>INDEX('Model Pricing'!$B$7:$B$8,MATCH(F1491,'Model Pricing'!$A$7:$A$8,0))</x:f>
        <x:v>40</x:v>
      </x:c>
      <x:c r="K1491" s="27" t="n">
        <x:f>INDEX('Model Pricing'!$C$7:$C$8,MATCH(F1491,'Model Pricing'!$A$7:$A$8,0))</x:f>
        <x:v>100</x:v>
      </x:c>
      <x:c r="L1491" s="17" t="n">
        <x:f>G1491+H1491</x:f>
        <x:v>24951</x:v>
      </x:c>
      <x:c r="M1491" s="28" t="n">
        <x:f>G1491*J1491/1000000</x:f>
        <x:v>0.60144</x:v>
      </x:c>
      <x:c r="N1491" s="28" t="n">
        <x:f>H1491*K1491/1000000</x:f>
        <x:v>0.9915</x:v>
      </x:c>
      <x:c r="O1491" s="28" t="n">
        <x:f>SUM(M1491:N1491)</x:f>
        <x:v>1.59294</x:v>
      </x:c>
    </x:row>
    <x:row r="1492" ht="23" customHeight="1">
      <x:c r="A1492" s="17" t="str">
        <x:v>U01486</x:v>
      </x:c>
      <x:c r="B1492" s="18" t="n">
        <x:v>46283</x:v>
      </x:c>
      <x:c r="C1492" s="17" t="str">
        <x:v>W0090</x:v>
      </x:c>
      <x:c r="D1492" s="17" t="str">
        <x:v>C002</x:v>
      </x:c>
      <x:c r="E1492" s="17" t="str">
        <x:v>InsightDesk</x:v>
      </x:c>
      <x:c r="F1492" s="17" t="str">
        <x:v>Pro</x:v>
      </x:c>
      <x:c r="G1492" s="17" t="n">
        <x:v>14797</x:v>
      </x:c>
      <x:c r="H1492" s="17" t="n">
        <x:v>5581</x:v>
      </x:c>
      <x:c r="I1492" s="17" t="str">
        <x:v>Correction</x:v>
      </x:c>
      <x:c r="J1492" s="27" t="n">
        <x:f>INDEX('Model Pricing'!$B$7:$B$8,MATCH(F1492,'Model Pricing'!$A$7:$A$8,0))</x:f>
        <x:v>40</x:v>
      </x:c>
      <x:c r="K1492" s="27" t="n">
        <x:f>INDEX('Model Pricing'!$C$7:$C$8,MATCH(F1492,'Model Pricing'!$A$7:$A$8,0))</x:f>
        <x:v>100</x:v>
      </x:c>
      <x:c r="L1492" s="17" t="n">
        <x:f>G1492+H1492</x:f>
        <x:v>20378</x:v>
      </x:c>
      <x:c r="M1492" s="28" t="n">
        <x:f>G1492*J1492/1000000</x:f>
        <x:v>0.59188</x:v>
      </x:c>
      <x:c r="N1492" s="28" t="n">
        <x:f>H1492*K1492/1000000</x:f>
        <x:v>0.5581</x:v>
      </x:c>
      <x:c r="O1492" s="28" t="n">
        <x:f>SUM(M1492:N1492)</x:f>
        <x:v>1.14998</x:v>
      </x:c>
    </x:row>
    <x:row r="1493" ht="23" customHeight="1">
      <x:c r="A1493" s="17" t="str">
        <x:v>U01487</x:v>
      </x:c>
      <x:c r="B1493" s="18" t="n">
        <x:v>46283</x:v>
      </x:c>
      <x:c r="C1493" s="17" t="str">
        <x:v>W0090</x:v>
      </x:c>
      <x:c r="D1493" s="17" t="str">
        <x:v>C002</x:v>
      </x:c>
      <x:c r="E1493" s="17" t="str">
        <x:v>InsightDesk</x:v>
      </x:c>
      <x:c r="F1493" s="17" t="str">
        <x:v>Pro</x:v>
      </x:c>
      <x:c r="G1493" s="17" t="n">
        <x:v>9504</x:v>
      </x:c>
      <x:c r="H1493" s="17" t="n">
        <x:v>8145</x:v>
      </x:c>
      <x:c r="I1493" s="17" t="str">
        <x:v>Followup</x:v>
      </x:c>
      <x:c r="J1493" s="27" t="n">
        <x:f>INDEX('Model Pricing'!$B$7:$B$8,MATCH(F1493,'Model Pricing'!$A$7:$A$8,0))</x:f>
        <x:v>40</x:v>
      </x:c>
      <x:c r="K1493" s="27" t="n">
        <x:f>INDEX('Model Pricing'!$C$7:$C$8,MATCH(F1493,'Model Pricing'!$A$7:$A$8,0))</x:f>
        <x:v>100</x:v>
      </x:c>
      <x:c r="L1493" s="17" t="n">
        <x:f>G1493+H1493</x:f>
        <x:v>17649</x:v>
      </x:c>
      <x:c r="M1493" s="28" t="n">
        <x:f>G1493*J1493/1000000</x:f>
        <x:v>0.38016</x:v>
      </x:c>
      <x:c r="N1493" s="28" t="n">
        <x:f>H1493*K1493/1000000</x:f>
        <x:v>0.8145</x:v>
      </x:c>
      <x:c r="O1493" s="28" t="n">
        <x:f>SUM(M1493:N1493)</x:f>
        <x:v>1.19466</x:v>
      </x:c>
    </x:row>
    <x:row r="1494" ht="23" customHeight="1">
      <x:c r="A1494" s="17" t="str">
        <x:v>U01488</x:v>
      </x:c>
      <x:c r="B1494" s="18" t="n">
        <x:v>46283</x:v>
      </x:c>
      <x:c r="C1494" s="17" t="str">
        <x:v>W0090</x:v>
      </x:c>
      <x:c r="D1494" s="17" t="str">
        <x:v>C002</x:v>
      </x:c>
      <x:c r="E1494" s="17" t="str">
        <x:v>InsightDesk</x:v>
      </x:c>
      <x:c r="F1494" s="17" t="str">
        <x:v>Pro</x:v>
      </x:c>
      <x:c r="G1494" s="17" t="n">
        <x:v>8403</x:v>
      </x:c>
      <x:c r="H1494" s="17" t="n">
        <x:v>11087</x:v>
      </x:c>
      <x:c r="I1494" s="17" t="str">
        <x:v>Followup</x:v>
      </x:c>
      <x:c r="J1494" s="27" t="n">
        <x:f>INDEX('Model Pricing'!$B$7:$B$8,MATCH(F1494,'Model Pricing'!$A$7:$A$8,0))</x:f>
        <x:v>40</x:v>
      </x:c>
      <x:c r="K1494" s="27" t="n">
        <x:f>INDEX('Model Pricing'!$C$7:$C$8,MATCH(F1494,'Model Pricing'!$A$7:$A$8,0))</x:f>
        <x:v>100</x:v>
      </x:c>
      <x:c r="L1494" s="17" t="n">
        <x:f>G1494+H1494</x:f>
        <x:v>19490</x:v>
      </x:c>
      <x:c r="M1494" s="28" t="n">
        <x:f>G1494*J1494/1000000</x:f>
        <x:v>0.33612</x:v>
      </x:c>
      <x:c r="N1494" s="28" t="n">
        <x:f>H1494*K1494/1000000</x:f>
        <x:v>1.1087</x:v>
      </x:c>
      <x:c r="O1494" s="28" t="n">
        <x:f>SUM(M1494:N1494)</x:f>
        <x:v>1.44482</x:v>
      </x:c>
    </x:row>
    <x:row r="1495" ht="23" customHeight="1">
      <x:c r="A1495" s="17" t="str">
        <x:v>U01489</x:v>
      </x:c>
      <x:c r="B1495" s="18" t="n">
        <x:v>46283</x:v>
      </x:c>
      <x:c r="C1495" s="17" t="str">
        <x:v>W0090</x:v>
      </x:c>
      <x:c r="D1495" s="17" t="str">
        <x:v>C002</x:v>
      </x:c>
      <x:c r="E1495" s="17" t="str">
        <x:v>InsightDesk</x:v>
      </x:c>
      <x:c r="F1495" s="17" t="str">
        <x:v>Pro</x:v>
      </x:c>
      <x:c r="G1495" s="17" t="n">
        <x:v>20005</x:v>
      </x:c>
      <x:c r="H1495" s="17" t="n">
        <x:v>17181</x:v>
      </x:c>
      <x:c r="I1495" s="17" t="str">
        <x:v>Followup</x:v>
      </x:c>
      <x:c r="J1495" s="27" t="n">
        <x:f>INDEX('Model Pricing'!$B$7:$B$8,MATCH(F1495,'Model Pricing'!$A$7:$A$8,0))</x:f>
        <x:v>40</x:v>
      </x:c>
      <x:c r="K1495" s="27" t="n">
        <x:f>INDEX('Model Pricing'!$C$7:$C$8,MATCH(F1495,'Model Pricing'!$A$7:$A$8,0))</x:f>
        <x:v>100</x:v>
      </x:c>
      <x:c r="L1495" s="17" t="n">
        <x:f>G1495+H1495</x:f>
        <x:v>37186</x:v>
      </x:c>
      <x:c r="M1495" s="28" t="n">
        <x:f>G1495*J1495/1000000</x:f>
        <x:v>0.8002</x:v>
      </x:c>
      <x:c r="N1495" s="28" t="n">
        <x:f>H1495*K1495/1000000</x:f>
        <x:v>1.7181</x:v>
      </x:c>
      <x:c r="O1495" s="28" t="n">
        <x:f>SUM(M1495:N1495)</x:f>
        <x:v>2.5183</x:v>
      </x:c>
    </x:row>
    <x:row r="1496" ht="23" customHeight="1">
      <x:c r="A1496" s="17" t="str">
        <x:v>U01490</x:v>
      </x:c>
      <x:c r="B1496" s="18" t="n">
        <x:v>46286</x:v>
      </x:c>
      <x:c r="C1496" s="17" t="str">
        <x:v>W0090</x:v>
      </x:c>
      <x:c r="D1496" s="17" t="str">
        <x:v>C002</x:v>
      </x:c>
      <x:c r="E1496" s="17" t="str">
        <x:v>InsightDesk</x:v>
      </x:c>
      <x:c r="F1496" s="17" t="str">
        <x:v>Pro</x:v>
      </x:c>
      <x:c r="G1496" s="17" t="n">
        <x:v>19120</x:v>
      </x:c>
      <x:c r="H1496" s="17" t="n">
        <x:v>16260</x:v>
      </x:c>
      <x:c r="I1496" s="17" t="str">
        <x:v>Correction</x:v>
      </x:c>
      <x:c r="J1496" s="27" t="n">
        <x:f>INDEX('Model Pricing'!$B$7:$B$8,MATCH(F1496,'Model Pricing'!$A$7:$A$8,0))</x:f>
        <x:v>40</x:v>
      </x:c>
      <x:c r="K1496" s="27" t="n">
        <x:f>INDEX('Model Pricing'!$C$7:$C$8,MATCH(F1496,'Model Pricing'!$A$7:$A$8,0))</x:f>
        <x:v>100</x:v>
      </x:c>
      <x:c r="L1496" s="17" t="n">
        <x:f>G1496+H1496</x:f>
        <x:v>35380</x:v>
      </x:c>
      <x:c r="M1496" s="28" t="n">
        <x:f>G1496*J1496/1000000</x:f>
        <x:v>0.7648</x:v>
      </x:c>
      <x:c r="N1496" s="28" t="n">
        <x:f>H1496*K1496/1000000</x:f>
        <x:v>1.626</x:v>
      </x:c>
      <x:c r="O1496" s="28" t="n">
        <x:f>SUM(M1496:N1496)</x:f>
        <x:v>2.3908</x:v>
      </x:c>
    </x:row>
    <x:row r="1497" ht="23" customHeight="1">
      <x:c r="A1497" s="17" t="str">
        <x:v>U01491</x:v>
      </x:c>
      <x:c r="B1497" s="18" t="n">
        <x:v>46286</x:v>
      </x:c>
      <x:c r="C1497" s="17" t="str">
        <x:v>W0090</x:v>
      </x:c>
      <x:c r="D1497" s="17" t="str">
        <x:v>C002</x:v>
      </x:c>
      <x:c r="E1497" s="17" t="str">
        <x:v>InsightDesk</x:v>
      </x:c>
      <x:c r="F1497" s="17" t="str">
        <x:v>Pro</x:v>
      </x:c>
      <x:c r="G1497" s="17" t="n">
        <x:v>14398</x:v>
      </x:c>
      <x:c r="H1497" s="17" t="n">
        <x:v>11071</x:v>
      </x:c>
      <x:c r="I1497" s="17" t="str">
        <x:v>Followup</x:v>
      </x:c>
      <x:c r="J1497" s="27" t="n">
        <x:f>INDEX('Model Pricing'!$B$7:$B$8,MATCH(F1497,'Model Pricing'!$A$7:$A$8,0))</x:f>
        <x:v>40</x:v>
      </x:c>
      <x:c r="K1497" s="27" t="n">
        <x:f>INDEX('Model Pricing'!$C$7:$C$8,MATCH(F1497,'Model Pricing'!$A$7:$A$8,0))</x:f>
        <x:v>100</x:v>
      </x:c>
      <x:c r="L1497" s="17" t="n">
        <x:f>G1497+H1497</x:f>
        <x:v>25469</x:v>
      </x:c>
      <x:c r="M1497" s="28" t="n">
        <x:f>G1497*J1497/1000000</x:f>
        <x:v>0.57592</x:v>
      </x:c>
      <x:c r="N1497" s="28" t="n">
        <x:f>H1497*K1497/1000000</x:f>
        <x:v>1.1071</x:v>
      </x:c>
      <x:c r="O1497" s="28" t="n">
        <x:f>SUM(M1497:N1497)</x:f>
        <x:v>1.68302</x:v>
      </x:c>
    </x:row>
    <x:row r="1498" ht="23" customHeight="1">
      <x:c r="A1498" s="17" t="str">
        <x:v>U01492</x:v>
      </x:c>
      <x:c r="B1498" s="18" t="n">
        <x:v>46286</x:v>
      </x:c>
      <x:c r="C1498" s="17" t="str">
        <x:v>W0090</x:v>
      </x:c>
      <x:c r="D1498" s="17" t="str">
        <x:v>C002</x:v>
      </x:c>
      <x:c r="E1498" s="17" t="str">
        <x:v>InsightDesk</x:v>
      </x:c>
      <x:c r="F1498" s="17" t="str">
        <x:v>Pro</x:v>
      </x:c>
      <x:c r="G1498" s="17" t="n">
        <x:v>15357</x:v>
      </x:c>
      <x:c r="H1498" s="17" t="n">
        <x:v>8435</x:v>
      </x:c>
      <x:c r="I1498" s="17" t="str">
        <x:v>Followup</x:v>
      </x:c>
      <x:c r="J1498" s="27" t="n">
        <x:f>INDEX('Model Pricing'!$B$7:$B$8,MATCH(F1498,'Model Pricing'!$A$7:$A$8,0))</x:f>
        <x:v>40</x:v>
      </x:c>
      <x:c r="K1498" s="27" t="n">
        <x:f>INDEX('Model Pricing'!$C$7:$C$8,MATCH(F1498,'Model Pricing'!$A$7:$A$8,0))</x:f>
        <x:v>100</x:v>
      </x:c>
      <x:c r="L1498" s="17" t="n">
        <x:f>G1498+H1498</x:f>
        <x:v>23792</x:v>
      </x:c>
      <x:c r="M1498" s="28" t="n">
        <x:f>G1498*J1498/1000000</x:f>
        <x:v>0.61428</x:v>
      </x:c>
      <x:c r="N1498" s="28" t="n">
        <x:f>H1498*K1498/1000000</x:f>
        <x:v>0.8435</x:v>
      </x:c>
      <x:c r="O1498" s="28" t="n">
        <x:f>SUM(M1498:N1498)</x:f>
        <x:v>1.45778</x:v>
      </x:c>
    </x:row>
    <x:row r="1499" ht="23" customHeight="1">
      <x:c r="A1499" s="17" t="str">
        <x:v>U01493</x:v>
      </x:c>
      <x:c r="B1499" s="18" t="n">
        <x:v>46286</x:v>
      </x:c>
      <x:c r="C1499" s="17" t="str">
        <x:v>W0090</x:v>
      </x:c>
      <x:c r="D1499" s="17" t="str">
        <x:v>C002</x:v>
      </x:c>
      <x:c r="E1499" s="17" t="str">
        <x:v>InsightDesk</x:v>
      </x:c>
      <x:c r="F1499" s="17" t="str">
        <x:v>Pro</x:v>
      </x:c>
      <x:c r="G1499" s="17" t="n">
        <x:v>9128</x:v>
      </x:c>
      <x:c r="H1499" s="17" t="n">
        <x:v>17042</x:v>
      </x:c>
      <x:c r="I1499" s="17" t="str">
        <x:v>Followup</x:v>
      </x:c>
      <x:c r="J1499" s="27" t="n">
        <x:f>INDEX('Model Pricing'!$B$7:$B$8,MATCH(F1499,'Model Pricing'!$A$7:$A$8,0))</x:f>
        <x:v>40</x:v>
      </x:c>
      <x:c r="K1499" s="27" t="n">
        <x:f>INDEX('Model Pricing'!$C$7:$C$8,MATCH(F1499,'Model Pricing'!$A$7:$A$8,0))</x:f>
        <x:v>100</x:v>
      </x:c>
      <x:c r="L1499" s="17" t="n">
        <x:f>G1499+H1499</x:f>
        <x:v>26170</x:v>
      </x:c>
      <x:c r="M1499" s="28" t="n">
        <x:f>G1499*J1499/1000000</x:f>
        <x:v>0.36512</x:v>
      </x:c>
      <x:c r="N1499" s="28" t="n">
        <x:f>H1499*K1499/1000000</x:f>
        <x:v>1.7042</x:v>
      </x:c>
      <x:c r="O1499" s="28" t="n">
        <x:f>SUM(M1499:N1499)</x:f>
        <x:v>2.06932</x:v>
      </x:c>
    </x:row>
    <x:row r="1500" ht="23" customHeight="1">
      <x:c r="A1500" s="17" t="str">
        <x:v>U01494</x:v>
      </x:c>
      <x:c r="B1500" s="18" t="n">
        <x:v>46286</x:v>
      </x:c>
      <x:c r="C1500" s="17" t="str">
        <x:v>W0090</x:v>
      </x:c>
      <x:c r="D1500" s="17" t="str">
        <x:v>C002</x:v>
      </x:c>
      <x:c r="E1500" s="17" t="str">
        <x:v>InsightDesk</x:v>
      </x:c>
      <x:c r="F1500" s="17" t="str">
        <x:v>Pro</x:v>
      </x:c>
      <x:c r="G1500" s="17" t="n">
        <x:v>13248</x:v>
      </x:c>
      <x:c r="H1500" s="17" t="n">
        <x:v>11957</x:v>
      </x:c>
      <x:c r="I1500" s="17" t="str">
        <x:v>Correction</x:v>
      </x:c>
      <x:c r="J1500" s="27" t="n">
        <x:f>INDEX('Model Pricing'!$B$7:$B$8,MATCH(F1500,'Model Pricing'!$A$7:$A$8,0))</x:f>
        <x:v>40</x:v>
      </x:c>
      <x:c r="K1500" s="27" t="n">
        <x:f>INDEX('Model Pricing'!$C$7:$C$8,MATCH(F1500,'Model Pricing'!$A$7:$A$8,0))</x:f>
        <x:v>100</x:v>
      </x:c>
      <x:c r="L1500" s="17" t="n">
        <x:f>G1500+H1500</x:f>
        <x:v>25205</x:v>
      </x:c>
      <x:c r="M1500" s="28" t="n">
        <x:f>G1500*J1500/1000000</x:f>
        <x:v>0.52992</x:v>
      </x:c>
      <x:c r="N1500" s="28" t="n">
        <x:f>H1500*K1500/1000000</x:f>
        <x:v>1.1957</x:v>
      </x:c>
      <x:c r="O1500" s="28" t="n">
        <x:f>SUM(M1500:N1500)</x:f>
        <x:v>1.72562</x:v>
      </x:c>
    </x:row>
    <x:row r="1501" ht="23" customHeight="1">
      <x:c r="A1501" s="17" t="str">
        <x:v>U01495</x:v>
      </x:c>
      <x:c r="B1501" s="18" t="n">
        <x:v>46287</x:v>
      </x:c>
      <x:c r="C1501" s="17" t="str">
        <x:v>W0090</x:v>
      </x:c>
      <x:c r="D1501" s="17" t="str">
        <x:v>C002</x:v>
      </x:c>
      <x:c r="E1501" s="17" t="str">
        <x:v>InsightDesk</x:v>
      </x:c>
      <x:c r="F1501" s="17" t="str">
        <x:v>Pro</x:v>
      </x:c>
      <x:c r="G1501" s="17" t="n">
        <x:v>20029</x:v>
      </x:c>
      <x:c r="H1501" s="17" t="n">
        <x:v>8599</x:v>
      </x:c>
      <x:c r="I1501" s="17" t="str">
        <x:v>Correction</x:v>
      </x:c>
      <x:c r="J1501" s="27" t="n">
        <x:f>INDEX('Model Pricing'!$B$7:$B$8,MATCH(F1501,'Model Pricing'!$A$7:$A$8,0))</x:f>
        <x:v>40</x:v>
      </x:c>
      <x:c r="K1501" s="27" t="n">
        <x:f>INDEX('Model Pricing'!$C$7:$C$8,MATCH(F1501,'Model Pricing'!$A$7:$A$8,0))</x:f>
        <x:v>100</x:v>
      </x:c>
      <x:c r="L1501" s="17" t="n">
        <x:f>G1501+H1501</x:f>
        <x:v>28628</x:v>
      </x:c>
      <x:c r="M1501" s="28" t="n">
        <x:f>G1501*J1501/1000000</x:f>
        <x:v>0.80116</x:v>
      </x:c>
      <x:c r="N1501" s="28" t="n">
        <x:f>H1501*K1501/1000000</x:f>
        <x:v>0.8599</x:v>
      </x:c>
      <x:c r="O1501" s="28" t="n">
        <x:f>SUM(M1501:N1501)</x:f>
        <x:v>1.66106</x:v>
      </x:c>
    </x:row>
    <x:row r="1502" ht="23" customHeight="1">
      <x:c r="A1502" s="17" t="str">
        <x:v>U01496</x:v>
      </x:c>
      <x:c r="B1502" s="18" t="n">
        <x:v>46287</x:v>
      </x:c>
      <x:c r="C1502" s="17" t="str">
        <x:v>W0090</x:v>
      </x:c>
      <x:c r="D1502" s="17" t="str">
        <x:v>C002</x:v>
      </x:c>
      <x:c r="E1502" s="17" t="str">
        <x:v>InsightDesk</x:v>
      </x:c>
      <x:c r="F1502" s="17" t="str">
        <x:v>Pro</x:v>
      </x:c>
      <x:c r="G1502" s="17" t="n">
        <x:v>18049</x:v>
      </x:c>
      <x:c r="H1502" s="17" t="n">
        <x:v>19370</x:v>
      </x:c>
      <x:c r="I1502" s="17" t="str">
        <x:v>Correction</x:v>
      </x:c>
      <x:c r="J1502" s="27" t="n">
        <x:f>INDEX('Model Pricing'!$B$7:$B$8,MATCH(F1502,'Model Pricing'!$A$7:$A$8,0))</x:f>
        <x:v>40</x:v>
      </x:c>
      <x:c r="K1502" s="27" t="n">
        <x:f>INDEX('Model Pricing'!$C$7:$C$8,MATCH(F1502,'Model Pricing'!$A$7:$A$8,0))</x:f>
        <x:v>100</x:v>
      </x:c>
      <x:c r="L1502" s="17" t="n">
        <x:f>G1502+H1502</x:f>
        <x:v>37419</x:v>
      </x:c>
      <x:c r="M1502" s="28" t="n">
        <x:f>G1502*J1502/1000000</x:f>
        <x:v>0.72196</x:v>
      </x:c>
      <x:c r="N1502" s="28" t="n">
        <x:f>H1502*K1502/1000000</x:f>
        <x:v>1.937</x:v>
      </x:c>
      <x:c r="O1502" s="28" t="n">
        <x:f>SUM(M1502:N1502)</x:f>
        <x:v>2.65896</x:v>
      </x:c>
    </x:row>
    <x:row r="1503" ht="23" customHeight="1">
      <x:c r="A1503" s="17" t="str">
        <x:v>U01497</x:v>
      </x:c>
      <x:c r="B1503" s="18" t="n">
        <x:v>46287</x:v>
      </x:c>
      <x:c r="C1503" s="17" t="str">
        <x:v>W0090</x:v>
      </x:c>
      <x:c r="D1503" s="17" t="str">
        <x:v>C002</x:v>
      </x:c>
      <x:c r="E1503" s="17" t="str">
        <x:v>InsightDesk</x:v>
      </x:c>
      <x:c r="F1503" s="17" t="str">
        <x:v>Pro</x:v>
      </x:c>
      <x:c r="G1503" s="17" t="n">
        <x:v>13129</x:v>
      </x:c>
      <x:c r="H1503" s="17" t="n">
        <x:v>10832</x:v>
      </x:c>
      <x:c r="I1503" s="17" t="str">
        <x:v>Correction</x:v>
      </x:c>
      <x:c r="J1503" s="27" t="n">
        <x:f>INDEX('Model Pricing'!$B$7:$B$8,MATCH(F1503,'Model Pricing'!$A$7:$A$8,0))</x:f>
        <x:v>40</x:v>
      </x:c>
      <x:c r="K1503" s="27" t="n">
        <x:f>INDEX('Model Pricing'!$C$7:$C$8,MATCH(F1503,'Model Pricing'!$A$7:$A$8,0))</x:f>
        <x:v>100</x:v>
      </x:c>
      <x:c r="L1503" s="17" t="n">
        <x:f>G1503+H1503</x:f>
        <x:v>23961</x:v>
      </x:c>
      <x:c r="M1503" s="28" t="n">
        <x:f>G1503*J1503/1000000</x:f>
        <x:v>0.52516</x:v>
      </x:c>
      <x:c r="N1503" s="28" t="n">
        <x:f>H1503*K1503/1000000</x:f>
        <x:v>1.0832</x:v>
      </x:c>
      <x:c r="O1503" s="28" t="n">
        <x:f>SUM(M1503:N1503)</x:f>
        <x:v>1.6083599999999998</x:v>
      </x:c>
    </x:row>
    <x:row r="1504" ht="23" customHeight="1">
      <x:c r="A1504" s="17" t="str">
        <x:v>U01498</x:v>
      </x:c>
      <x:c r="B1504" s="18" t="n">
        <x:v>46287</x:v>
      </x:c>
      <x:c r="C1504" s="17" t="str">
        <x:v>W0090</x:v>
      </x:c>
      <x:c r="D1504" s="17" t="str">
        <x:v>C002</x:v>
      </x:c>
      <x:c r="E1504" s="17" t="str">
        <x:v>InsightDesk</x:v>
      </x:c>
      <x:c r="F1504" s="17" t="str">
        <x:v>Pro</x:v>
      </x:c>
      <x:c r="G1504" s="17" t="n">
        <x:v>21636</x:v>
      </x:c>
      <x:c r="H1504" s="17" t="n">
        <x:v>7509</x:v>
      </x:c>
      <x:c r="I1504" s="17" t="str">
        <x:v>Followup</x:v>
      </x:c>
      <x:c r="J1504" s="27" t="n">
        <x:f>INDEX('Model Pricing'!$B$7:$B$8,MATCH(F1504,'Model Pricing'!$A$7:$A$8,0))</x:f>
        <x:v>40</x:v>
      </x:c>
      <x:c r="K1504" s="27" t="n">
        <x:f>INDEX('Model Pricing'!$C$7:$C$8,MATCH(F1504,'Model Pricing'!$A$7:$A$8,0))</x:f>
        <x:v>100</x:v>
      </x:c>
      <x:c r="L1504" s="17" t="n">
        <x:f>G1504+H1504</x:f>
        <x:v>29145</x:v>
      </x:c>
      <x:c r="M1504" s="28" t="n">
        <x:f>G1504*J1504/1000000</x:f>
        <x:v>0.86544</x:v>
      </x:c>
      <x:c r="N1504" s="28" t="n">
        <x:f>H1504*K1504/1000000</x:f>
        <x:v>0.7509</x:v>
      </x:c>
      <x:c r="O1504" s="28" t="n">
        <x:f>SUM(M1504:N1504)</x:f>
        <x:v>1.61634</x:v>
      </x:c>
    </x:row>
    <x:row r="1505" ht="23" customHeight="1">
      <x:c r="A1505" s="17" t="str">
        <x:v>U01499</x:v>
      </x:c>
      <x:c r="B1505" s="18" t="n">
        <x:v>46281</x:v>
      </x:c>
      <x:c r="C1505" s="17" t="str">
        <x:v>W0095</x:v>
      </x:c>
      <x:c r="D1505" s="17" t="str">
        <x:v>C002</x:v>
      </x:c>
      <x:c r="E1505" s="17" t="str">
        <x:v>CampaignChat</x:v>
      </x:c>
      <x:c r="F1505" s="17" t="str">
        <x:v>Pro</x:v>
      </x:c>
      <x:c r="G1505" s="17" t="n">
        <x:v>26209</x:v>
      </x:c>
      <x:c r="H1505" s="17" t="n">
        <x:v>3735</x:v>
      </x:c>
      <x:c r="I1505" s="17" t="str">
        <x:v>First attempt</x:v>
      </x:c>
      <x:c r="J1505" s="27" t="n">
        <x:f>INDEX('Model Pricing'!$B$7:$B$8,MATCH(F1505,'Model Pricing'!$A$7:$A$8,0))</x:f>
        <x:v>40</x:v>
      </x:c>
      <x:c r="K1505" s="27" t="n">
        <x:f>INDEX('Model Pricing'!$C$7:$C$8,MATCH(F1505,'Model Pricing'!$A$7:$A$8,0))</x:f>
        <x:v>100</x:v>
      </x:c>
      <x:c r="L1505" s="17" t="n">
        <x:f>G1505+H1505</x:f>
        <x:v>29944</x:v>
      </x:c>
      <x:c r="M1505" s="28" t="n">
        <x:f>G1505*J1505/1000000</x:f>
        <x:v>1.04836</x:v>
      </x:c>
      <x:c r="N1505" s="28" t="n">
        <x:f>H1505*K1505/1000000</x:f>
        <x:v>0.3735</x:v>
      </x:c>
      <x:c r="O1505" s="28" t="n">
        <x:f>SUM(M1505:N1505)</x:f>
        <x:v>1.42186</x:v>
      </x:c>
    </x:row>
    <x:row r="1506" ht="23" customHeight="1">
      <x:c r="A1506" s="17" t="str">
        <x:v>U01500</x:v>
      </x:c>
      <x:c r="B1506" s="18" t="n">
        <x:v>46281</x:v>
      </x:c>
      <x:c r="C1506" s="17" t="str">
        <x:v>W0095</x:v>
      </x:c>
      <x:c r="D1506" s="17" t="str">
        <x:v>C002</x:v>
      </x:c>
      <x:c r="E1506" s="17" t="str">
        <x:v>CampaignChat</x:v>
      </x:c>
      <x:c r="F1506" s="17" t="str">
        <x:v>Pro</x:v>
      </x:c>
      <x:c r="G1506" s="17" t="n">
        <x:v>21150</x:v>
      </x:c>
      <x:c r="H1506" s="17" t="n">
        <x:v>5386</x:v>
      </x:c>
      <x:c r="I1506" s="17" t="str">
        <x:v>Followup</x:v>
      </x:c>
      <x:c r="J1506" s="27" t="n">
        <x:f>INDEX('Model Pricing'!$B$7:$B$8,MATCH(F1506,'Model Pricing'!$A$7:$A$8,0))</x:f>
        <x:v>40</x:v>
      </x:c>
      <x:c r="K1506" s="27" t="n">
        <x:f>INDEX('Model Pricing'!$C$7:$C$8,MATCH(F1506,'Model Pricing'!$A$7:$A$8,0))</x:f>
        <x:v>100</x:v>
      </x:c>
      <x:c r="L1506" s="17" t="n">
        <x:f>G1506+H1506</x:f>
        <x:v>26536</x:v>
      </x:c>
      <x:c r="M1506" s="28" t="n">
        <x:f>G1506*J1506/1000000</x:f>
        <x:v>0.846</x:v>
      </x:c>
      <x:c r="N1506" s="28" t="n">
        <x:f>H1506*K1506/1000000</x:f>
        <x:v>0.5386</x:v>
      </x:c>
      <x:c r="O1506" s="28" t="n">
        <x:f>SUM(M1506:N1506)</x:f>
        <x:v>1.3845999999999998</x:v>
      </x:c>
    </x:row>
    <x:row r="1507" ht="23" customHeight="1">
      <x:c r="A1507" s="17" t="str">
        <x:v>U01501</x:v>
      </x:c>
      <x:c r="B1507" s="18" t="n">
        <x:v>46281</x:v>
      </x:c>
      <x:c r="C1507" s="17" t="str">
        <x:v>W0095</x:v>
      </x:c>
      <x:c r="D1507" s="17" t="str">
        <x:v>C002</x:v>
      </x:c>
      <x:c r="E1507" s="17" t="str">
        <x:v>CampaignChat</x:v>
      </x:c>
      <x:c r="F1507" s="17" t="str">
        <x:v>Pro</x:v>
      </x:c>
      <x:c r="G1507" s="17" t="n">
        <x:v>34329</x:v>
      </x:c>
      <x:c r="H1507" s="17" t="n">
        <x:v>7890</x:v>
      </x:c>
      <x:c r="I1507" s="17" t="str">
        <x:v>Correction</x:v>
      </x:c>
      <x:c r="J1507" s="27" t="n">
        <x:f>INDEX('Model Pricing'!$B$7:$B$8,MATCH(F1507,'Model Pricing'!$A$7:$A$8,0))</x:f>
        <x:v>40</x:v>
      </x:c>
      <x:c r="K1507" s="27" t="n">
        <x:f>INDEX('Model Pricing'!$C$7:$C$8,MATCH(F1507,'Model Pricing'!$A$7:$A$8,0))</x:f>
        <x:v>100</x:v>
      </x:c>
      <x:c r="L1507" s="17" t="n">
        <x:f>G1507+H1507</x:f>
        <x:v>42219</x:v>
      </x:c>
      <x:c r="M1507" s="28" t="n">
        <x:f>G1507*J1507/1000000</x:f>
        <x:v>1.37316</x:v>
      </x:c>
      <x:c r="N1507" s="28" t="n">
        <x:f>H1507*K1507/1000000</x:f>
        <x:v>0.789</x:v>
      </x:c>
      <x:c r="O1507" s="28" t="n">
        <x:f>SUM(M1507:N1507)</x:f>
        <x:v>2.16216</x:v>
      </x:c>
    </x:row>
    <x:row r="1508" ht="23" customHeight="1">
      <x:c r="A1508" s="17" t="str">
        <x:v>U01502</x:v>
      </x:c>
      <x:c r="B1508" s="18" t="n">
        <x:v>46281</x:v>
      </x:c>
      <x:c r="C1508" s="17" t="str">
        <x:v>W0095</x:v>
      </x:c>
      <x:c r="D1508" s="17" t="str">
        <x:v>C002</x:v>
      </x:c>
      <x:c r="E1508" s="17" t="str">
        <x:v>CampaignChat</x:v>
      </x:c>
      <x:c r="F1508" s="17" t="str">
        <x:v>Pro</x:v>
      </x:c>
      <x:c r="G1508" s="17" t="n">
        <x:v>28932</x:v>
      </x:c>
      <x:c r="H1508" s="17" t="n">
        <x:v>8146</x:v>
      </x:c>
      <x:c r="I1508" s="17" t="str">
        <x:v>Correction</x:v>
      </x:c>
      <x:c r="J1508" s="27" t="n">
        <x:f>INDEX('Model Pricing'!$B$7:$B$8,MATCH(F1508,'Model Pricing'!$A$7:$A$8,0))</x:f>
        <x:v>40</x:v>
      </x:c>
      <x:c r="K1508" s="27" t="n">
        <x:f>INDEX('Model Pricing'!$C$7:$C$8,MATCH(F1508,'Model Pricing'!$A$7:$A$8,0))</x:f>
        <x:v>100</x:v>
      </x:c>
      <x:c r="L1508" s="17" t="n">
        <x:f>G1508+H1508</x:f>
        <x:v>37078</x:v>
      </x:c>
      <x:c r="M1508" s="28" t="n">
        <x:f>G1508*J1508/1000000</x:f>
        <x:v>1.15728</x:v>
      </x:c>
      <x:c r="N1508" s="28" t="n">
        <x:f>H1508*K1508/1000000</x:f>
        <x:v>0.8146</x:v>
      </x:c>
      <x:c r="O1508" s="28" t="n">
        <x:f>SUM(M1508:N1508)</x:f>
        <x:v>1.97188</x:v>
      </x:c>
    </x:row>
    <x:row r="1509" ht="23" customHeight="1">
      <x:c r="A1509" s="17" t="str">
        <x:v>U01503</x:v>
      </x:c>
      <x:c r="B1509" s="18" t="n">
        <x:v>46282</x:v>
      </x:c>
      <x:c r="C1509" s="17" t="str">
        <x:v>W0095</x:v>
      </x:c>
      <x:c r="D1509" s="17" t="str">
        <x:v>C002</x:v>
      </x:c>
      <x:c r="E1509" s="17" t="str">
        <x:v>CampaignChat</x:v>
      </x:c>
      <x:c r="F1509" s="17" t="str">
        <x:v>Pro</x:v>
      </x:c>
      <x:c r="G1509" s="17" t="n">
        <x:v>19729</x:v>
      </x:c>
      <x:c r="H1509" s="17" t="n">
        <x:v>5154</x:v>
      </x:c>
      <x:c r="I1509" s="17" t="str">
        <x:v>Correction</x:v>
      </x:c>
      <x:c r="J1509" s="27" t="n">
        <x:f>INDEX('Model Pricing'!$B$7:$B$8,MATCH(F1509,'Model Pricing'!$A$7:$A$8,0))</x:f>
        <x:v>40</x:v>
      </x:c>
      <x:c r="K1509" s="27" t="n">
        <x:f>INDEX('Model Pricing'!$C$7:$C$8,MATCH(F1509,'Model Pricing'!$A$7:$A$8,0))</x:f>
        <x:v>100</x:v>
      </x:c>
      <x:c r="L1509" s="17" t="n">
        <x:f>G1509+H1509</x:f>
        <x:v>24883</x:v>
      </x:c>
      <x:c r="M1509" s="28" t="n">
        <x:f>G1509*J1509/1000000</x:f>
        <x:v>0.78916</x:v>
      </x:c>
      <x:c r="N1509" s="28" t="n">
        <x:f>H1509*K1509/1000000</x:f>
        <x:v>0.5154</x:v>
      </x:c>
      <x:c r="O1509" s="28" t="n">
        <x:f>SUM(M1509:N1509)</x:f>
        <x:v>1.30456</x:v>
      </x:c>
    </x:row>
    <x:row r="1510" ht="23" customHeight="1">
      <x:c r="A1510" s="17" t="str">
        <x:v>U01504</x:v>
      </x:c>
      <x:c r="B1510" s="18" t="n">
        <x:v>46282</x:v>
      </x:c>
      <x:c r="C1510" s="17" t="str">
        <x:v>W0095</x:v>
      </x:c>
      <x:c r="D1510" s="17" t="str">
        <x:v>C002</x:v>
      </x:c>
      <x:c r="E1510" s="17" t="str">
        <x:v>CampaignChat</x:v>
      </x:c>
      <x:c r="F1510" s="17" t="str">
        <x:v>Pro</x:v>
      </x:c>
      <x:c r="G1510" s="17" t="n">
        <x:v>20021</x:v>
      </x:c>
      <x:c r="H1510" s="17" t="n">
        <x:v>6067</x:v>
      </x:c>
      <x:c r="I1510" s="17" t="str">
        <x:v>Followup</x:v>
      </x:c>
      <x:c r="J1510" s="27" t="n">
        <x:f>INDEX('Model Pricing'!$B$7:$B$8,MATCH(F1510,'Model Pricing'!$A$7:$A$8,0))</x:f>
        <x:v>40</x:v>
      </x:c>
      <x:c r="K1510" s="27" t="n">
        <x:f>INDEX('Model Pricing'!$C$7:$C$8,MATCH(F1510,'Model Pricing'!$A$7:$A$8,0))</x:f>
        <x:v>100</x:v>
      </x:c>
      <x:c r="L1510" s="17" t="n">
        <x:f>G1510+H1510</x:f>
        <x:v>26088</x:v>
      </x:c>
      <x:c r="M1510" s="28" t="n">
        <x:f>G1510*J1510/1000000</x:f>
        <x:v>0.80084</x:v>
      </x:c>
      <x:c r="N1510" s="28" t="n">
        <x:f>H1510*K1510/1000000</x:f>
        <x:v>0.6067</x:v>
      </x:c>
      <x:c r="O1510" s="28" t="n">
        <x:f>SUM(M1510:N1510)</x:f>
        <x:v>1.40754</x:v>
      </x:c>
    </x:row>
    <x:row r="1511" ht="23" customHeight="1">
      <x:c r="A1511" s="17" t="str">
        <x:v>U01505</x:v>
      </x:c>
      <x:c r="B1511" s="18" t="n">
        <x:v>46282</x:v>
      </x:c>
      <x:c r="C1511" s="17" t="str">
        <x:v>W0095</x:v>
      </x:c>
      <x:c r="D1511" s="17" t="str">
        <x:v>C002</x:v>
      </x:c>
      <x:c r="E1511" s="17" t="str">
        <x:v>CampaignChat</x:v>
      </x:c>
      <x:c r="F1511" s="17" t="str">
        <x:v>Pro</x:v>
      </x:c>
      <x:c r="G1511" s="17" t="n">
        <x:v>15493</x:v>
      </x:c>
      <x:c r="H1511" s="17" t="n">
        <x:v>7944</x:v>
      </x:c>
      <x:c r="I1511" s="17" t="str">
        <x:v>Correction</x:v>
      </x:c>
      <x:c r="J1511" s="27" t="n">
        <x:f>INDEX('Model Pricing'!$B$7:$B$8,MATCH(F1511,'Model Pricing'!$A$7:$A$8,0))</x:f>
        <x:v>40</x:v>
      </x:c>
      <x:c r="K1511" s="27" t="n">
        <x:f>INDEX('Model Pricing'!$C$7:$C$8,MATCH(F1511,'Model Pricing'!$A$7:$A$8,0))</x:f>
        <x:v>100</x:v>
      </x:c>
      <x:c r="L1511" s="17" t="n">
        <x:f>G1511+H1511</x:f>
        <x:v>23437</x:v>
      </x:c>
      <x:c r="M1511" s="28" t="n">
        <x:f>G1511*J1511/1000000</x:f>
        <x:v>0.61972</x:v>
      </x:c>
      <x:c r="N1511" s="28" t="n">
        <x:f>H1511*K1511/1000000</x:f>
        <x:v>0.7944</x:v>
      </x:c>
      <x:c r="O1511" s="28" t="n">
        <x:f>SUM(M1511:N1511)</x:f>
        <x:v>1.41412</x:v>
      </x:c>
    </x:row>
    <x:row r="1512" ht="23" customHeight="1">
      <x:c r="A1512" s="17" t="str">
        <x:v>U01506</x:v>
      </x:c>
      <x:c r="B1512" s="18" t="n">
        <x:v>46282</x:v>
      </x:c>
      <x:c r="C1512" s="17" t="str">
        <x:v>W0095</x:v>
      </x:c>
      <x:c r="D1512" s="17" t="str">
        <x:v>C002</x:v>
      </x:c>
      <x:c r="E1512" s="17" t="str">
        <x:v>CampaignChat</x:v>
      </x:c>
      <x:c r="F1512" s="17" t="str">
        <x:v>Pro</x:v>
      </x:c>
      <x:c r="G1512" s="17" t="n">
        <x:v>28524</x:v>
      </x:c>
      <x:c r="H1512" s="17" t="n">
        <x:v>4589</x:v>
      </x:c>
      <x:c r="I1512" s="17" t="str">
        <x:v>Correction</x:v>
      </x:c>
      <x:c r="J1512" s="27" t="n">
        <x:f>INDEX('Model Pricing'!$B$7:$B$8,MATCH(F1512,'Model Pricing'!$A$7:$A$8,0))</x:f>
        <x:v>40</x:v>
      </x:c>
      <x:c r="K1512" s="27" t="n">
        <x:f>INDEX('Model Pricing'!$C$7:$C$8,MATCH(F1512,'Model Pricing'!$A$7:$A$8,0))</x:f>
        <x:v>100</x:v>
      </x:c>
      <x:c r="L1512" s="17" t="n">
        <x:f>G1512+H1512</x:f>
        <x:v>33113</x:v>
      </x:c>
      <x:c r="M1512" s="28" t="n">
        <x:f>G1512*J1512/1000000</x:f>
        <x:v>1.14096</x:v>
      </x:c>
      <x:c r="N1512" s="28" t="n">
        <x:f>H1512*K1512/1000000</x:f>
        <x:v>0.4589</x:v>
      </x:c>
      <x:c r="O1512" s="28" t="n">
        <x:f>SUM(M1512:N1512)</x:f>
        <x:v>1.59986</x:v>
      </x:c>
    </x:row>
    <x:row r="1513" ht="23" customHeight="1">
      <x:c r="A1513" s="17" t="str">
        <x:v>U01507</x:v>
      </x:c>
      <x:c r="B1513" s="18" t="n">
        <x:v>46283</x:v>
      </x:c>
      <x:c r="C1513" s="17" t="str">
        <x:v>W0095</x:v>
      </x:c>
      <x:c r="D1513" s="17" t="str">
        <x:v>C002</x:v>
      </x:c>
      <x:c r="E1513" s="17" t="str">
        <x:v>CampaignChat</x:v>
      </x:c>
      <x:c r="F1513" s="17" t="str">
        <x:v>Pro</x:v>
      </x:c>
      <x:c r="G1513" s="17" t="n">
        <x:v>25985</x:v>
      </x:c>
      <x:c r="H1513" s="17" t="n">
        <x:v>6093</x:v>
      </x:c>
      <x:c r="I1513" s="17" t="str">
        <x:v>Correction</x:v>
      </x:c>
      <x:c r="J1513" s="27" t="n">
        <x:f>INDEX('Model Pricing'!$B$7:$B$8,MATCH(F1513,'Model Pricing'!$A$7:$A$8,0))</x:f>
        <x:v>40</x:v>
      </x:c>
      <x:c r="K1513" s="27" t="n">
        <x:f>INDEX('Model Pricing'!$C$7:$C$8,MATCH(F1513,'Model Pricing'!$A$7:$A$8,0))</x:f>
        <x:v>100</x:v>
      </x:c>
      <x:c r="L1513" s="17" t="n">
        <x:f>G1513+H1513</x:f>
        <x:v>32078</x:v>
      </x:c>
      <x:c r="M1513" s="28" t="n">
        <x:f>G1513*J1513/1000000</x:f>
        <x:v>1.0394</x:v>
      </x:c>
      <x:c r="N1513" s="28" t="n">
        <x:f>H1513*K1513/1000000</x:f>
        <x:v>0.6093</x:v>
      </x:c>
      <x:c r="O1513" s="28" t="n">
        <x:f>SUM(M1513:N1513)</x:f>
        <x:v>1.6487</x:v>
      </x:c>
    </x:row>
    <x:row r="1514" ht="23" customHeight="1">
      <x:c r="A1514" s="17" t="str">
        <x:v>U01508</x:v>
      </x:c>
      <x:c r="B1514" s="18" t="n">
        <x:v>46283</x:v>
      </x:c>
      <x:c r="C1514" s="17" t="str">
        <x:v>W0095</x:v>
      </x:c>
      <x:c r="D1514" s="17" t="str">
        <x:v>C002</x:v>
      </x:c>
      <x:c r="E1514" s="17" t="str">
        <x:v>CampaignChat</x:v>
      </x:c>
      <x:c r="F1514" s="17" t="str">
        <x:v>Pro</x:v>
      </x:c>
      <x:c r="G1514" s="17" t="n">
        <x:v>19318</x:v>
      </x:c>
      <x:c r="H1514" s="17" t="n">
        <x:v>10709</x:v>
      </x:c>
      <x:c r="I1514" s="17" t="str">
        <x:v>Followup</x:v>
      </x:c>
      <x:c r="J1514" s="27" t="n">
        <x:f>INDEX('Model Pricing'!$B$7:$B$8,MATCH(F1514,'Model Pricing'!$A$7:$A$8,0))</x:f>
        <x:v>40</x:v>
      </x:c>
      <x:c r="K1514" s="27" t="n">
        <x:f>INDEX('Model Pricing'!$C$7:$C$8,MATCH(F1514,'Model Pricing'!$A$7:$A$8,0))</x:f>
        <x:v>100</x:v>
      </x:c>
      <x:c r="L1514" s="17" t="n">
        <x:f>G1514+H1514</x:f>
        <x:v>30027</x:v>
      </x:c>
      <x:c r="M1514" s="28" t="n">
        <x:f>G1514*J1514/1000000</x:f>
        <x:v>0.77272</x:v>
      </x:c>
      <x:c r="N1514" s="28" t="n">
        <x:f>H1514*K1514/1000000</x:f>
        <x:v>1.0709</x:v>
      </x:c>
      <x:c r="O1514" s="28" t="n">
        <x:f>SUM(M1514:N1514)</x:f>
        <x:v>1.84362</x:v>
      </x:c>
    </x:row>
    <x:row r="1515" ht="23" customHeight="1">
      <x:c r="A1515" s="17" t="str">
        <x:v>U01509</x:v>
      </x:c>
      <x:c r="B1515" s="18" t="n">
        <x:v>46283</x:v>
      </x:c>
      <x:c r="C1515" s="17" t="str">
        <x:v>W0095</x:v>
      </x:c>
      <x:c r="D1515" s="17" t="str">
        <x:v>C002</x:v>
      </x:c>
      <x:c r="E1515" s="17" t="str">
        <x:v>CampaignChat</x:v>
      </x:c>
      <x:c r="F1515" s="17" t="str">
        <x:v>Pro</x:v>
      </x:c>
      <x:c r="G1515" s="17" t="n">
        <x:v>23337</x:v>
      </x:c>
      <x:c r="H1515" s="17" t="n">
        <x:v>10066</x:v>
      </x:c>
      <x:c r="I1515" s="17" t="str">
        <x:v>Followup</x:v>
      </x:c>
      <x:c r="J1515" s="27" t="n">
        <x:f>INDEX('Model Pricing'!$B$7:$B$8,MATCH(F1515,'Model Pricing'!$A$7:$A$8,0))</x:f>
        <x:v>40</x:v>
      </x:c>
      <x:c r="K1515" s="27" t="n">
        <x:f>INDEX('Model Pricing'!$C$7:$C$8,MATCH(F1515,'Model Pricing'!$A$7:$A$8,0))</x:f>
        <x:v>100</x:v>
      </x:c>
      <x:c r="L1515" s="17" t="n">
        <x:f>G1515+H1515</x:f>
        <x:v>33403</x:v>
      </x:c>
      <x:c r="M1515" s="28" t="n">
        <x:f>G1515*J1515/1000000</x:f>
        <x:v>0.93348</x:v>
      </x:c>
      <x:c r="N1515" s="28" t="n">
        <x:f>H1515*K1515/1000000</x:f>
        <x:v>1.0066</x:v>
      </x:c>
      <x:c r="O1515" s="28" t="n">
        <x:f>SUM(M1515:N1515)</x:f>
        <x:v>1.94008</x:v>
      </x:c>
    </x:row>
    <x:row r="1516" ht="23" customHeight="1">
      <x:c r="A1516" s="17" t="str">
        <x:v>U01510</x:v>
      </x:c>
      <x:c r="B1516" s="18" t="n">
        <x:v>46283</x:v>
      </x:c>
      <x:c r="C1516" s="17" t="str">
        <x:v>W0095</x:v>
      </x:c>
      <x:c r="D1516" s="17" t="str">
        <x:v>C002</x:v>
      </x:c>
      <x:c r="E1516" s="17" t="str">
        <x:v>CampaignChat</x:v>
      </x:c>
      <x:c r="F1516" s="17" t="str">
        <x:v>Pro</x:v>
      </x:c>
      <x:c r="G1516" s="17" t="n">
        <x:v>22173</x:v>
      </x:c>
      <x:c r="H1516" s="17" t="n">
        <x:v>4333</x:v>
      </x:c>
      <x:c r="I1516" s="17" t="str">
        <x:v>Followup</x:v>
      </x:c>
      <x:c r="J1516" s="27" t="n">
        <x:f>INDEX('Model Pricing'!$B$7:$B$8,MATCH(F1516,'Model Pricing'!$A$7:$A$8,0))</x:f>
        <x:v>40</x:v>
      </x:c>
      <x:c r="K1516" s="27" t="n">
        <x:f>INDEX('Model Pricing'!$C$7:$C$8,MATCH(F1516,'Model Pricing'!$A$7:$A$8,0))</x:f>
        <x:v>100</x:v>
      </x:c>
      <x:c r="L1516" s="17" t="n">
        <x:f>G1516+H1516</x:f>
        <x:v>26506</x:v>
      </x:c>
      <x:c r="M1516" s="28" t="n">
        <x:f>G1516*J1516/1000000</x:f>
        <x:v>0.88692</x:v>
      </x:c>
      <x:c r="N1516" s="28" t="n">
        <x:f>H1516*K1516/1000000</x:f>
        <x:v>0.4333</x:v>
      </x:c>
      <x:c r="O1516" s="28" t="n">
        <x:f>SUM(M1516:N1516)</x:f>
        <x:v>1.32022</x:v>
      </x:c>
    </x:row>
    <x:row r="1517" ht="23" customHeight="1">
      <x:c r="A1517" s="17" t="str">
        <x:v>U01511</x:v>
      </x:c>
      <x:c r="B1517" s="18" t="n">
        <x:v>46286</x:v>
      </x:c>
      <x:c r="C1517" s="17" t="str">
        <x:v>W0095</x:v>
      </x:c>
      <x:c r="D1517" s="17" t="str">
        <x:v>C002</x:v>
      </x:c>
      <x:c r="E1517" s="17" t="str">
        <x:v>CampaignChat</x:v>
      </x:c>
      <x:c r="F1517" s="17" t="str">
        <x:v>Pro</x:v>
      </x:c>
      <x:c r="G1517" s="17" t="n">
        <x:v>34006</x:v>
      </x:c>
      <x:c r="H1517" s="17" t="n">
        <x:v>7584</x:v>
      </x:c>
      <x:c r="I1517" s="17" t="str">
        <x:v>Correction</x:v>
      </x:c>
      <x:c r="J1517" s="27" t="n">
        <x:f>INDEX('Model Pricing'!$B$7:$B$8,MATCH(F1517,'Model Pricing'!$A$7:$A$8,0))</x:f>
        <x:v>40</x:v>
      </x:c>
      <x:c r="K1517" s="27" t="n">
        <x:f>INDEX('Model Pricing'!$C$7:$C$8,MATCH(F1517,'Model Pricing'!$A$7:$A$8,0))</x:f>
        <x:v>100</x:v>
      </x:c>
      <x:c r="L1517" s="17" t="n">
        <x:f>G1517+H1517</x:f>
        <x:v>41590</x:v>
      </x:c>
      <x:c r="M1517" s="28" t="n">
        <x:f>G1517*J1517/1000000</x:f>
        <x:v>1.36024</x:v>
      </x:c>
      <x:c r="N1517" s="28" t="n">
        <x:f>H1517*K1517/1000000</x:f>
        <x:v>0.7584</x:v>
      </x:c>
      <x:c r="O1517" s="28" t="n">
        <x:f>SUM(M1517:N1517)</x:f>
        <x:v>2.11864</x:v>
      </x:c>
    </x:row>
    <x:row r="1518" ht="23" customHeight="1">
      <x:c r="A1518" s="17" t="str">
        <x:v>U01512</x:v>
      </x:c>
      <x:c r="B1518" s="18" t="n">
        <x:v>46286</x:v>
      </x:c>
      <x:c r="C1518" s="17" t="str">
        <x:v>W0095</x:v>
      </x:c>
      <x:c r="D1518" s="17" t="str">
        <x:v>C002</x:v>
      </x:c>
      <x:c r="E1518" s="17" t="str">
        <x:v>CampaignChat</x:v>
      </x:c>
      <x:c r="F1518" s="17" t="str">
        <x:v>Pro</x:v>
      </x:c>
      <x:c r="G1518" s="17" t="n">
        <x:v>27001</x:v>
      </x:c>
      <x:c r="H1518" s="17" t="n">
        <x:v>12606</x:v>
      </x:c>
      <x:c r="I1518" s="17" t="str">
        <x:v>Correction</x:v>
      </x:c>
      <x:c r="J1518" s="27" t="n">
        <x:f>INDEX('Model Pricing'!$B$7:$B$8,MATCH(F1518,'Model Pricing'!$A$7:$A$8,0))</x:f>
        <x:v>40</x:v>
      </x:c>
      <x:c r="K1518" s="27" t="n">
        <x:f>INDEX('Model Pricing'!$C$7:$C$8,MATCH(F1518,'Model Pricing'!$A$7:$A$8,0))</x:f>
        <x:v>100</x:v>
      </x:c>
      <x:c r="L1518" s="17" t="n">
        <x:f>G1518+H1518</x:f>
        <x:v>39607</x:v>
      </x:c>
      <x:c r="M1518" s="28" t="n">
        <x:f>G1518*J1518/1000000</x:f>
        <x:v>1.08004</x:v>
      </x:c>
      <x:c r="N1518" s="28" t="n">
        <x:f>H1518*K1518/1000000</x:f>
        <x:v>1.2606</x:v>
      </x:c>
      <x:c r="O1518" s="28" t="n">
        <x:f>SUM(M1518:N1518)</x:f>
        <x:v>2.3406399999999996</x:v>
      </x:c>
    </x:row>
    <x:row r="1519" ht="23" customHeight="1">
      <x:c r="A1519" s="17" t="str">
        <x:v>U01513</x:v>
      </x:c>
      <x:c r="B1519" s="18" t="n">
        <x:v>46286</x:v>
      </x:c>
      <x:c r="C1519" s="17" t="str">
        <x:v>W0095</x:v>
      </x:c>
      <x:c r="D1519" s="17" t="str">
        <x:v>C002</x:v>
      </x:c>
      <x:c r="E1519" s="17" t="str">
        <x:v>CampaignChat</x:v>
      </x:c>
      <x:c r="F1519" s="17" t="str">
        <x:v>Pro</x:v>
      </x:c>
      <x:c r="G1519" s="17" t="n">
        <x:v>34190</x:v>
      </x:c>
      <x:c r="H1519" s="17" t="n">
        <x:v>12016</x:v>
      </x:c>
      <x:c r="I1519" s="17" t="str">
        <x:v>Followup</x:v>
      </x:c>
      <x:c r="J1519" s="27" t="n">
        <x:f>INDEX('Model Pricing'!$B$7:$B$8,MATCH(F1519,'Model Pricing'!$A$7:$A$8,0))</x:f>
        <x:v>40</x:v>
      </x:c>
      <x:c r="K1519" s="27" t="n">
        <x:f>INDEX('Model Pricing'!$C$7:$C$8,MATCH(F1519,'Model Pricing'!$A$7:$A$8,0))</x:f>
        <x:v>100</x:v>
      </x:c>
      <x:c r="L1519" s="17" t="n">
        <x:f>G1519+H1519</x:f>
        <x:v>46206</x:v>
      </x:c>
      <x:c r="M1519" s="28" t="n">
        <x:f>G1519*J1519/1000000</x:f>
        <x:v>1.3676</x:v>
      </x:c>
      <x:c r="N1519" s="28" t="n">
        <x:f>H1519*K1519/1000000</x:f>
        <x:v>1.2016</x:v>
      </x:c>
      <x:c r="O1519" s="28" t="n">
        <x:f>SUM(M1519:N1519)</x:f>
        <x:v>2.5692</x:v>
      </x:c>
    </x:row>
    <x:row r="1520" ht="23" customHeight="1">
      <x:c r="A1520" s="17" t="str">
        <x:v>U01514</x:v>
      </x:c>
      <x:c r="B1520" s="18" t="n">
        <x:v>46290</x:v>
      </x:c>
      <x:c r="C1520" s="17" t="str">
        <x:v>W0096</x:v>
      </x:c>
      <x:c r="D1520" s="17" t="str">
        <x:v>C002</x:v>
      </x:c>
      <x:c r="E1520" s="17" t="str">
        <x:v>DataFlow</x:v>
      </x:c>
      <x:c r="F1520" s="17" t="str">
        <x:v>Pro</x:v>
      </x:c>
      <x:c r="G1520" s="17" t="n">
        <x:v>14650</x:v>
      </x:c>
      <x:c r="H1520" s="17" t="n">
        <x:v>8579</x:v>
      </x:c>
      <x:c r="I1520" s="17" t="str">
        <x:v>First attempt</x:v>
      </x:c>
      <x:c r="J1520" s="27" t="n">
        <x:f>INDEX('Model Pricing'!$B$7:$B$8,MATCH(F1520,'Model Pricing'!$A$7:$A$8,0))</x:f>
        <x:v>40</x:v>
      </x:c>
      <x:c r="K1520" s="27" t="n">
        <x:f>INDEX('Model Pricing'!$C$7:$C$8,MATCH(F1520,'Model Pricing'!$A$7:$A$8,0))</x:f>
        <x:v>100</x:v>
      </x:c>
      <x:c r="L1520" s="17" t="n">
        <x:f>G1520+H1520</x:f>
        <x:v>23229</x:v>
      </x:c>
      <x:c r="M1520" s="28" t="n">
        <x:f>G1520*J1520/1000000</x:f>
        <x:v>0.586</x:v>
      </x:c>
      <x:c r="N1520" s="28" t="n">
        <x:f>H1520*K1520/1000000</x:f>
        <x:v>0.8579</x:v>
      </x:c>
      <x:c r="O1520" s="28" t="n">
        <x:f>SUM(M1520:N1520)</x:f>
        <x:v>1.4439</x:v>
      </x:c>
    </x:row>
    <x:row r="1521" ht="23" customHeight="1">
      <x:c r="A1521" s="17" t="str">
        <x:v>U01515</x:v>
      </x:c>
      <x:c r="B1521" s="18" t="n">
        <x:v>46290</x:v>
      </x:c>
      <x:c r="C1521" s="17" t="str">
        <x:v>W0096</x:v>
      </x:c>
      <x:c r="D1521" s="17" t="str">
        <x:v>C002</x:v>
      </x:c>
      <x:c r="E1521" s="17" t="str">
        <x:v>DataFlow</x:v>
      </x:c>
      <x:c r="F1521" s="17" t="str">
        <x:v>Pro</x:v>
      </x:c>
      <x:c r="G1521" s="17" t="n">
        <x:v>18704</x:v>
      </x:c>
      <x:c r="H1521" s="17" t="n">
        <x:v>8972</x:v>
      </x:c>
      <x:c r="I1521" s="17" t="str">
        <x:v>Correction</x:v>
      </x:c>
      <x:c r="J1521" s="27" t="n">
        <x:f>INDEX('Model Pricing'!$B$7:$B$8,MATCH(F1521,'Model Pricing'!$A$7:$A$8,0))</x:f>
        <x:v>40</x:v>
      </x:c>
      <x:c r="K1521" s="27" t="n">
        <x:f>INDEX('Model Pricing'!$C$7:$C$8,MATCH(F1521,'Model Pricing'!$A$7:$A$8,0))</x:f>
        <x:v>100</x:v>
      </x:c>
      <x:c r="L1521" s="17" t="n">
        <x:f>G1521+H1521</x:f>
        <x:v>27676</x:v>
      </x:c>
      <x:c r="M1521" s="28" t="n">
        <x:f>G1521*J1521/1000000</x:f>
        <x:v>0.74816</x:v>
      </x:c>
      <x:c r="N1521" s="28" t="n">
        <x:f>H1521*K1521/1000000</x:f>
        <x:v>0.8972</x:v>
      </x:c>
      <x:c r="O1521" s="28" t="n">
        <x:f>SUM(M1521:N1521)</x:f>
        <x:v>1.6453600000000002</x:v>
      </x:c>
    </x:row>
    <x:row r="1522" ht="23" customHeight="1">
      <x:c r="A1522" s="17" t="str">
        <x:v>U01516</x:v>
      </x:c>
      <x:c r="B1522" s="18" t="n">
        <x:v>46290</x:v>
      </x:c>
      <x:c r="C1522" s="17" t="str">
        <x:v>W0096</x:v>
      </x:c>
      <x:c r="D1522" s="17" t="str">
        <x:v>C002</x:v>
      </x:c>
      <x:c r="E1522" s="17" t="str">
        <x:v>DataFlow</x:v>
      </x:c>
      <x:c r="F1522" s="17" t="str">
        <x:v>Pro</x:v>
      </x:c>
      <x:c r="G1522" s="17" t="n">
        <x:v>27005</x:v>
      </x:c>
      <x:c r="H1522" s="17" t="n">
        <x:v>5846</x:v>
      </x:c>
      <x:c r="I1522" s="17" t="str">
        <x:v>Followup</x:v>
      </x:c>
      <x:c r="J1522" s="27" t="n">
        <x:f>INDEX('Model Pricing'!$B$7:$B$8,MATCH(F1522,'Model Pricing'!$A$7:$A$8,0))</x:f>
        <x:v>40</x:v>
      </x:c>
      <x:c r="K1522" s="27" t="n">
        <x:f>INDEX('Model Pricing'!$C$7:$C$8,MATCH(F1522,'Model Pricing'!$A$7:$A$8,0))</x:f>
        <x:v>100</x:v>
      </x:c>
      <x:c r="L1522" s="17" t="n">
        <x:f>G1522+H1522</x:f>
        <x:v>32851</x:v>
      </x:c>
      <x:c r="M1522" s="28" t="n">
        <x:f>G1522*J1522/1000000</x:f>
        <x:v>1.0802</x:v>
      </x:c>
      <x:c r="N1522" s="28" t="n">
        <x:f>H1522*K1522/1000000</x:f>
        <x:v>0.5846</x:v>
      </x:c>
      <x:c r="O1522" s="28" t="n">
        <x:f>SUM(M1522:N1522)</x:f>
        <x:v>1.6648</x:v>
      </x:c>
    </x:row>
    <x:row r="1523" ht="23" customHeight="1">
      <x:c r="A1523" s="17" t="str">
        <x:v>U01517</x:v>
      </x:c>
      <x:c r="B1523" s="18" t="n">
        <x:v>46290</x:v>
      </x:c>
      <x:c r="C1523" s="17" t="str">
        <x:v>W0096</x:v>
      </x:c>
      <x:c r="D1523" s="17" t="str">
        <x:v>C002</x:v>
      </x:c>
      <x:c r="E1523" s="17" t="str">
        <x:v>DataFlow</x:v>
      </x:c>
      <x:c r="F1523" s="17" t="str">
        <x:v>Pro</x:v>
      </x:c>
      <x:c r="G1523" s="17" t="n">
        <x:v>16756</x:v>
      </x:c>
      <x:c r="H1523" s="17" t="n">
        <x:v>7094</x:v>
      </x:c>
      <x:c r="I1523" s="17" t="str">
        <x:v>Followup</x:v>
      </x:c>
      <x:c r="J1523" s="27" t="n">
        <x:f>INDEX('Model Pricing'!$B$7:$B$8,MATCH(F1523,'Model Pricing'!$A$7:$A$8,0))</x:f>
        <x:v>40</x:v>
      </x:c>
      <x:c r="K1523" s="27" t="n">
        <x:f>INDEX('Model Pricing'!$C$7:$C$8,MATCH(F1523,'Model Pricing'!$A$7:$A$8,0))</x:f>
        <x:v>100</x:v>
      </x:c>
      <x:c r="L1523" s="17" t="n">
        <x:f>G1523+H1523</x:f>
        <x:v>23850</x:v>
      </x:c>
      <x:c r="M1523" s="28" t="n">
        <x:f>G1523*J1523/1000000</x:f>
        <x:v>0.67024</x:v>
      </x:c>
      <x:c r="N1523" s="28" t="n">
        <x:f>H1523*K1523/1000000</x:f>
        <x:v>0.7094</x:v>
      </x:c>
      <x:c r="O1523" s="28" t="n">
        <x:f>SUM(M1523:N1523)</x:f>
        <x:v>1.37964</x:v>
      </x:c>
    </x:row>
    <x:row r="1524" ht="23" customHeight="1">
      <x:c r="A1524" s="17" t="str">
        <x:v>U01518</x:v>
      </x:c>
      <x:c r="B1524" s="18" t="n">
        <x:v>46293</x:v>
      </x:c>
      <x:c r="C1524" s="17" t="str">
        <x:v>W0096</x:v>
      </x:c>
      <x:c r="D1524" s="17" t="str">
        <x:v>C002</x:v>
      </x:c>
      <x:c r="E1524" s="17" t="str">
        <x:v>DataFlow</x:v>
      </x:c>
      <x:c r="F1524" s="17" t="str">
        <x:v>Pro</x:v>
      </x:c>
      <x:c r="G1524" s="17" t="n">
        <x:v>25724</x:v>
      </x:c>
      <x:c r="H1524" s="17" t="n">
        <x:v>4289</x:v>
      </x:c>
      <x:c r="I1524" s="17" t="str">
        <x:v>Correction</x:v>
      </x:c>
      <x:c r="J1524" s="27" t="n">
        <x:f>INDEX('Model Pricing'!$B$7:$B$8,MATCH(F1524,'Model Pricing'!$A$7:$A$8,0))</x:f>
        <x:v>40</x:v>
      </x:c>
      <x:c r="K1524" s="27" t="n">
        <x:f>INDEX('Model Pricing'!$C$7:$C$8,MATCH(F1524,'Model Pricing'!$A$7:$A$8,0))</x:f>
        <x:v>100</x:v>
      </x:c>
      <x:c r="L1524" s="17" t="n">
        <x:f>G1524+H1524</x:f>
        <x:v>30013</x:v>
      </x:c>
      <x:c r="M1524" s="28" t="n">
        <x:f>G1524*J1524/1000000</x:f>
        <x:v>1.02896</x:v>
      </x:c>
      <x:c r="N1524" s="28" t="n">
        <x:f>H1524*K1524/1000000</x:f>
        <x:v>0.4289</x:v>
      </x:c>
      <x:c r="O1524" s="28" t="n">
        <x:f>SUM(M1524:N1524)</x:f>
        <x:v>1.4578600000000002</x:v>
      </x:c>
    </x:row>
    <x:row r="1525" ht="23" customHeight="1">
      <x:c r="A1525" s="17" t="str">
        <x:v>U01519</x:v>
      </x:c>
      <x:c r="B1525" s="18" t="n">
        <x:v>46293</x:v>
      </x:c>
      <x:c r="C1525" s="17" t="str">
        <x:v>W0096</x:v>
      </x:c>
      <x:c r="D1525" s="17" t="str">
        <x:v>C002</x:v>
      </x:c>
      <x:c r="E1525" s="17" t="str">
        <x:v>DataFlow</x:v>
      </x:c>
      <x:c r="F1525" s="17" t="str">
        <x:v>Pro</x:v>
      </x:c>
      <x:c r="G1525" s="17" t="n">
        <x:v>14627</x:v>
      </x:c>
      <x:c r="H1525" s="17" t="n">
        <x:v>7131</x:v>
      </x:c>
      <x:c r="I1525" s="17" t="str">
        <x:v>Followup</x:v>
      </x:c>
      <x:c r="J1525" s="27" t="n">
        <x:f>INDEX('Model Pricing'!$B$7:$B$8,MATCH(F1525,'Model Pricing'!$A$7:$A$8,0))</x:f>
        <x:v>40</x:v>
      </x:c>
      <x:c r="K1525" s="27" t="n">
        <x:f>INDEX('Model Pricing'!$C$7:$C$8,MATCH(F1525,'Model Pricing'!$A$7:$A$8,0))</x:f>
        <x:v>100</x:v>
      </x:c>
      <x:c r="L1525" s="17" t="n">
        <x:f>G1525+H1525</x:f>
        <x:v>21758</x:v>
      </x:c>
      <x:c r="M1525" s="28" t="n">
        <x:f>G1525*J1525/1000000</x:f>
        <x:v>0.58508</x:v>
      </x:c>
      <x:c r="N1525" s="28" t="n">
        <x:f>H1525*K1525/1000000</x:f>
        <x:v>0.7131</x:v>
      </x:c>
      <x:c r="O1525" s="28" t="n">
        <x:f>SUM(M1525:N1525)</x:f>
        <x:v>1.29818</x:v>
      </x:c>
    </x:row>
    <x:row r="1526" ht="23" customHeight="1">
      <x:c r="A1526" s="17" t="str">
        <x:v>U01520</x:v>
      </x:c>
      <x:c r="B1526" s="18" t="n">
        <x:v>46293</x:v>
      </x:c>
      <x:c r="C1526" s="17" t="str">
        <x:v>W0096</x:v>
      </x:c>
      <x:c r="D1526" s="17" t="str">
        <x:v>C002</x:v>
      </x:c>
      <x:c r="E1526" s="17" t="str">
        <x:v>DataFlow</x:v>
      </x:c>
      <x:c r="F1526" s="17" t="str">
        <x:v>Pro</x:v>
      </x:c>
      <x:c r="G1526" s="17" t="n">
        <x:v>10699</x:v>
      </x:c>
      <x:c r="H1526" s="17" t="n">
        <x:v>5165</x:v>
      </x:c>
      <x:c r="I1526" s="17" t="str">
        <x:v>Correction</x:v>
      </x:c>
      <x:c r="J1526" s="27" t="n">
        <x:f>INDEX('Model Pricing'!$B$7:$B$8,MATCH(F1526,'Model Pricing'!$A$7:$A$8,0))</x:f>
        <x:v>40</x:v>
      </x:c>
      <x:c r="K1526" s="27" t="n">
        <x:f>INDEX('Model Pricing'!$C$7:$C$8,MATCH(F1526,'Model Pricing'!$A$7:$A$8,0))</x:f>
        <x:v>100</x:v>
      </x:c>
      <x:c r="L1526" s="17" t="n">
        <x:f>G1526+H1526</x:f>
        <x:v>15864</x:v>
      </x:c>
      <x:c r="M1526" s="28" t="n">
        <x:f>G1526*J1526/1000000</x:f>
        <x:v>0.42796</x:v>
      </x:c>
      <x:c r="N1526" s="28" t="n">
        <x:f>H1526*K1526/1000000</x:f>
        <x:v>0.5165</x:v>
      </x:c>
      <x:c r="O1526" s="28" t="n">
        <x:f>SUM(M1526:N1526)</x:f>
        <x:v>0.94446</x:v>
      </x:c>
    </x:row>
    <x:row r="1527" ht="23" customHeight="1">
      <x:c r="A1527" s="17" t="str">
        <x:v>U01521</x:v>
      </x:c>
      <x:c r="B1527" s="18" t="n">
        <x:v>46294</x:v>
      </x:c>
      <x:c r="C1527" s="17" t="str">
        <x:v>W0096</x:v>
      </x:c>
      <x:c r="D1527" s="17" t="str">
        <x:v>C002</x:v>
      </x:c>
      <x:c r="E1527" s="17" t="str">
        <x:v>DataFlow</x:v>
      </x:c>
      <x:c r="F1527" s="17" t="str">
        <x:v>Pro</x:v>
      </x:c>
      <x:c r="G1527" s="17" t="n">
        <x:v>20382</x:v>
      </x:c>
      <x:c r="H1527" s="17" t="n">
        <x:v>7993</x:v>
      </x:c>
      <x:c r="I1527" s="17" t="str">
        <x:v>Followup</x:v>
      </x:c>
      <x:c r="J1527" s="27" t="n">
        <x:f>INDEX('Model Pricing'!$B$7:$B$8,MATCH(F1527,'Model Pricing'!$A$7:$A$8,0))</x:f>
        <x:v>40</x:v>
      </x:c>
      <x:c r="K1527" s="27" t="n">
        <x:f>INDEX('Model Pricing'!$C$7:$C$8,MATCH(F1527,'Model Pricing'!$A$7:$A$8,0))</x:f>
        <x:v>100</x:v>
      </x:c>
      <x:c r="L1527" s="17" t="n">
        <x:f>G1527+H1527</x:f>
        <x:v>28375</x:v>
      </x:c>
      <x:c r="M1527" s="28" t="n">
        <x:f>G1527*J1527/1000000</x:f>
        <x:v>0.81528</x:v>
      </x:c>
      <x:c r="N1527" s="28" t="n">
        <x:f>H1527*K1527/1000000</x:f>
        <x:v>0.7993</x:v>
      </x:c>
      <x:c r="O1527" s="28" t="n">
        <x:f>SUM(M1527:N1527)</x:f>
        <x:v>1.6145800000000001</x:v>
      </x:c>
    </x:row>
    <x:row r="1528" ht="23" customHeight="1">
      <x:c r="A1528" s="17" t="str">
        <x:v>U01522</x:v>
      </x:c>
      <x:c r="B1528" s="18" t="n">
        <x:v>46294</x:v>
      </x:c>
      <x:c r="C1528" s="17" t="str">
        <x:v>W0096</x:v>
      </x:c>
      <x:c r="D1528" s="17" t="str">
        <x:v>C002</x:v>
      </x:c>
      <x:c r="E1528" s="17" t="str">
        <x:v>DataFlow</x:v>
      </x:c>
      <x:c r="F1528" s="17" t="str">
        <x:v>Pro</x:v>
      </x:c>
      <x:c r="G1528" s="17" t="n">
        <x:v>18080</x:v>
      </x:c>
      <x:c r="H1528" s="17" t="n">
        <x:v>4698</x:v>
      </x:c>
      <x:c r="I1528" s="17" t="str">
        <x:v>Followup</x:v>
      </x:c>
      <x:c r="J1528" s="27" t="n">
        <x:f>INDEX('Model Pricing'!$B$7:$B$8,MATCH(F1528,'Model Pricing'!$A$7:$A$8,0))</x:f>
        <x:v>40</x:v>
      </x:c>
      <x:c r="K1528" s="27" t="n">
        <x:f>INDEX('Model Pricing'!$C$7:$C$8,MATCH(F1528,'Model Pricing'!$A$7:$A$8,0))</x:f>
        <x:v>100</x:v>
      </x:c>
      <x:c r="L1528" s="17" t="n">
        <x:f>G1528+H1528</x:f>
        <x:v>22778</x:v>
      </x:c>
      <x:c r="M1528" s="28" t="n">
        <x:f>G1528*J1528/1000000</x:f>
        <x:v>0.7232</x:v>
      </x:c>
      <x:c r="N1528" s="28" t="n">
        <x:f>H1528*K1528/1000000</x:f>
        <x:v>0.4698</x:v>
      </x:c>
      <x:c r="O1528" s="28" t="n">
        <x:f>SUM(M1528:N1528)</x:f>
        <x:v>1.193</x:v>
      </x:c>
    </x:row>
    <x:row r="1529" ht="23" customHeight="1">
      <x:c r="A1529" s="17" t="str">
        <x:v>U01523</x:v>
      </x:c>
      <x:c r="B1529" s="18" t="n">
        <x:v>46294</x:v>
      </x:c>
      <x:c r="C1529" s="17" t="str">
        <x:v>W0096</x:v>
      </x:c>
      <x:c r="D1529" s="17" t="str">
        <x:v>C002</x:v>
      </x:c>
      <x:c r="E1529" s="17" t="str">
        <x:v>DataFlow</x:v>
      </x:c>
      <x:c r="F1529" s="17" t="str">
        <x:v>Pro</x:v>
      </x:c>
      <x:c r="G1529" s="17" t="n">
        <x:v>12891</x:v>
      </x:c>
      <x:c r="H1529" s="17" t="n">
        <x:v>5392</x:v>
      </x:c>
      <x:c r="I1529" s="17" t="str">
        <x:v>Correction</x:v>
      </x:c>
      <x:c r="J1529" s="27" t="n">
        <x:f>INDEX('Model Pricing'!$B$7:$B$8,MATCH(F1529,'Model Pricing'!$A$7:$A$8,0))</x:f>
        <x:v>40</x:v>
      </x:c>
      <x:c r="K1529" s="27" t="n">
        <x:f>INDEX('Model Pricing'!$C$7:$C$8,MATCH(F1529,'Model Pricing'!$A$7:$A$8,0))</x:f>
        <x:v>100</x:v>
      </x:c>
      <x:c r="L1529" s="17" t="n">
        <x:f>G1529+H1529</x:f>
        <x:v>18283</x:v>
      </x:c>
      <x:c r="M1529" s="28" t="n">
        <x:f>G1529*J1529/1000000</x:f>
        <x:v>0.51564</x:v>
      </x:c>
      <x:c r="N1529" s="28" t="n">
        <x:f>H1529*K1529/1000000</x:f>
        <x:v>0.5392</x:v>
      </x:c>
      <x:c r="O1529" s="28" t="n">
        <x:f>SUM(M1529:N1529)</x:f>
        <x:v>1.05484</x:v>
      </x:c>
    </x:row>
    <x:row r="1530" ht="23" customHeight="1">
      <x:c r="A1530" s="17" t="str">
        <x:v>U01524</x:v>
      </x:c>
      <x:c r="B1530" s="18" t="n">
        <x:v>46294</x:v>
      </x:c>
      <x:c r="C1530" s="17" t="str">
        <x:v>W0096</x:v>
      </x:c>
      <x:c r="D1530" s="17" t="str">
        <x:v>C002</x:v>
      </x:c>
      <x:c r="E1530" s="17" t="str">
        <x:v>DataFlow</x:v>
      </x:c>
      <x:c r="F1530" s="17" t="str">
        <x:v>Pro</x:v>
      </x:c>
      <x:c r="G1530" s="17" t="n">
        <x:v>13126</x:v>
      </x:c>
      <x:c r="H1530" s="17" t="n">
        <x:v>3257</x:v>
      </x:c>
      <x:c r="I1530" s="17" t="str">
        <x:v>Correction</x:v>
      </x:c>
      <x:c r="J1530" s="27" t="n">
        <x:f>INDEX('Model Pricing'!$B$7:$B$8,MATCH(F1530,'Model Pricing'!$A$7:$A$8,0))</x:f>
        <x:v>40</x:v>
      </x:c>
      <x:c r="K1530" s="27" t="n">
        <x:f>INDEX('Model Pricing'!$C$7:$C$8,MATCH(F1530,'Model Pricing'!$A$7:$A$8,0))</x:f>
        <x:v>100</x:v>
      </x:c>
      <x:c r="L1530" s="17" t="n">
        <x:f>G1530+H1530</x:f>
        <x:v>16383</x:v>
      </x:c>
      <x:c r="M1530" s="28" t="n">
        <x:f>G1530*J1530/1000000</x:f>
        <x:v>0.52504</x:v>
      </x:c>
      <x:c r="N1530" s="28" t="n">
        <x:f>H1530*K1530/1000000</x:f>
        <x:v>0.3257</x:v>
      </x:c>
      <x:c r="O1530" s="28" t="n">
        <x:f>SUM(M1530:N1530)</x:f>
        <x:v>0.8507399999999999</x:v>
      </x:c>
    </x:row>
    <x:row r="1531" ht="23" customHeight="1">
      <x:c r="A1531" s="17" t="str">
        <x:v>U01525</x:v>
      </x:c>
      <x:c r="B1531" s="18" t="n">
        <x:v>46295</x:v>
      </x:c>
      <x:c r="C1531" s="17" t="str">
        <x:v>W0096</x:v>
      </x:c>
      <x:c r="D1531" s="17" t="str">
        <x:v>C002</x:v>
      </x:c>
      <x:c r="E1531" s="17" t="str">
        <x:v>DataFlow</x:v>
      </x:c>
      <x:c r="F1531" s="17" t="str">
        <x:v>Pro</x:v>
      </x:c>
      <x:c r="G1531" s="17" t="n">
        <x:v>17041</x:v>
      </x:c>
      <x:c r="H1531" s="17" t="n">
        <x:v>3373</x:v>
      </x:c>
      <x:c r="I1531" s="17" t="str">
        <x:v>Correction</x:v>
      </x:c>
      <x:c r="J1531" s="27" t="n">
        <x:f>INDEX('Model Pricing'!$B$7:$B$8,MATCH(F1531,'Model Pricing'!$A$7:$A$8,0))</x:f>
        <x:v>40</x:v>
      </x:c>
      <x:c r="K1531" s="27" t="n">
        <x:f>INDEX('Model Pricing'!$C$7:$C$8,MATCH(F1531,'Model Pricing'!$A$7:$A$8,0))</x:f>
        <x:v>100</x:v>
      </x:c>
      <x:c r="L1531" s="17" t="n">
        <x:f>G1531+H1531</x:f>
        <x:v>20414</x:v>
      </x:c>
      <x:c r="M1531" s="28" t="n">
        <x:f>G1531*J1531/1000000</x:f>
        <x:v>0.68164</x:v>
      </x:c>
      <x:c r="N1531" s="28" t="n">
        <x:f>H1531*K1531/1000000</x:f>
        <x:v>0.3373</x:v>
      </x:c>
      <x:c r="O1531" s="28" t="n">
        <x:f>SUM(M1531:N1531)</x:f>
        <x:v>1.01894</x:v>
      </x:c>
    </x:row>
    <x:row r="1532" ht="23" customHeight="1">
      <x:c r="A1532" s="17" t="str">
        <x:v>U01526</x:v>
      </x:c>
      <x:c r="B1532" s="18" t="n">
        <x:v>46295</x:v>
      </x:c>
      <x:c r="C1532" s="17" t="str">
        <x:v>W0096</x:v>
      </x:c>
      <x:c r="D1532" s="17" t="str">
        <x:v>C002</x:v>
      </x:c>
      <x:c r="E1532" s="17" t="str">
        <x:v>DataFlow</x:v>
      </x:c>
      <x:c r="F1532" s="17" t="str">
        <x:v>Pro</x:v>
      </x:c>
      <x:c r="G1532" s="17" t="n">
        <x:v>12346</x:v>
      </x:c>
      <x:c r="H1532" s="17" t="n">
        <x:v>9406</x:v>
      </x:c>
      <x:c r="I1532" s="17" t="str">
        <x:v>Followup</x:v>
      </x:c>
      <x:c r="J1532" s="27" t="n">
        <x:f>INDEX('Model Pricing'!$B$7:$B$8,MATCH(F1532,'Model Pricing'!$A$7:$A$8,0))</x:f>
        <x:v>40</x:v>
      </x:c>
      <x:c r="K1532" s="27" t="n">
        <x:f>INDEX('Model Pricing'!$C$7:$C$8,MATCH(F1532,'Model Pricing'!$A$7:$A$8,0))</x:f>
        <x:v>100</x:v>
      </x:c>
      <x:c r="L1532" s="17" t="n">
        <x:f>G1532+H1532</x:f>
        <x:v>21752</x:v>
      </x:c>
      <x:c r="M1532" s="28" t="n">
        <x:f>G1532*J1532/1000000</x:f>
        <x:v>0.49384</x:v>
      </x:c>
      <x:c r="N1532" s="28" t="n">
        <x:f>H1532*K1532/1000000</x:f>
        <x:v>0.9406</x:v>
      </x:c>
      <x:c r="O1532" s="28" t="n">
        <x:f>SUM(M1532:N1532)</x:f>
        <x:v>1.43444</x:v>
      </x:c>
    </x:row>
    <x:row r="1533" ht="23" customHeight="1">
      <x:c r="A1533" s="17" t="str">
        <x:v>U01527</x:v>
      </x:c>
      <x:c r="B1533" s="18" t="n">
        <x:v>46295</x:v>
      </x:c>
      <x:c r="C1533" s="17" t="str">
        <x:v>W0096</x:v>
      </x:c>
      <x:c r="D1533" s="17" t="str">
        <x:v>C002</x:v>
      </x:c>
      <x:c r="E1533" s="17" t="str">
        <x:v>DataFlow</x:v>
      </x:c>
      <x:c r="F1533" s="17" t="str">
        <x:v>Pro</x:v>
      </x:c>
      <x:c r="G1533" s="17" t="n">
        <x:v>10684</x:v>
      </x:c>
      <x:c r="H1533" s="17" t="n">
        <x:v>8963</x:v>
      </x:c>
      <x:c r="I1533" s="17" t="str">
        <x:v>Correction</x:v>
      </x:c>
      <x:c r="J1533" s="27" t="n">
        <x:f>INDEX('Model Pricing'!$B$7:$B$8,MATCH(F1533,'Model Pricing'!$A$7:$A$8,0))</x:f>
        <x:v>40</x:v>
      </x:c>
      <x:c r="K1533" s="27" t="n">
        <x:f>INDEX('Model Pricing'!$C$7:$C$8,MATCH(F1533,'Model Pricing'!$A$7:$A$8,0))</x:f>
        <x:v>100</x:v>
      </x:c>
      <x:c r="L1533" s="17" t="n">
        <x:f>G1533+H1533</x:f>
        <x:v>19647</x:v>
      </x:c>
      <x:c r="M1533" s="28" t="n">
        <x:f>G1533*J1533/1000000</x:f>
        <x:v>0.42736</x:v>
      </x:c>
      <x:c r="N1533" s="28" t="n">
        <x:f>H1533*K1533/1000000</x:f>
        <x:v>0.8963</x:v>
      </x:c>
      <x:c r="O1533" s="28" t="n">
        <x:f>SUM(M1533:N1533)</x:f>
        <x:v>1.32366</x:v>
      </x:c>
    </x:row>
    <x:row r="1534" ht="23" customHeight="1">
      <x:c r="A1534" s="17" t="str">
        <x:v>U01528</x:v>
      </x:c>
      <x:c r="B1534" s="18" t="n">
        <x:v>46275</x:v>
      </x:c>
      <x:c r="C1534" s="17" t="str">
        <x:v>W0097</x:v>
      </x:c>
      <x:c r="D1534" s="17" t="str">
        <x:v>C002</x:v>
      </x:c>
      <x:c r="E1534" s="17" t="str">
        <x:v>DataFlow</x:v>
      </x:c>
      <x:c r="F1534" s="17" t="str">
        <x:v>Pro</x:v>
      </x:c>
      <x:c r="G1534" s="17" t="n">
        <x:v>32333</x:v>
      </x:c>
      <x:c r="H1534" s="17" t="n">
        <x:v>6010</x:v>
      </x:c>
      <x:c r="I1534" s="17" t="str">
        <x:v>First attempt</x:v>
      </x:c>
      <x:c r="J1534" s="27" t="n">
        <x:f>INDEX('Model Pricing'!$B$7:$B$8,MATCH(F1534,'Model Pricing'!$A$7:$A$8,0))</x:f>
        <x:v>40</x:v>
      </x:c>
      <x:c r="K1534" s="27" t="n">
        <x:f>INDEX('Model Pricing'!$C$7:$C$8,MATCH(F1534,'Model Pricing'!$A$7:$A$8,0))</x:f>
        <x:v>100</x:v>
      </x:c>
      <x:c r="L1534" s="17" t="n">
        <x:f>G1534+H1534</x:f>
        <x:v>38343</x:v>
      </x:c>
      <x:c r="M1534" s="28" t="n">
        <x:f>G1534*J1534/1000000</x:f>
        <x:v>1.29332</x:v>
      </x:c>
      <x:c r="N1534" s="28" t="n">
        <x:f>H1534*K1534/1000000</x:f>
        <x:v>0.601</x:v>
      </x:c>
      <x:c r="O1534" s="28" t="n">
        <x:f>SUM(M1534:N1534)</x:f>
        <x:v>1.89432</x:v>
      </x:c>
    </x:row>
    <x:row r="1535" ht="23" customHeight="1">
      <x:c r="A1535" s="17" t="str">
        <x:v>U01529</x:v>
      </x:c>
      <x:c r="B1535" s="18" t="n">
        <x:v>46275</x:v>
      </x:c>
      <x:c r="C1535" s="17" t="str">
        <x:v>W0097</x:v>
      </x:c>
      <x:c r="D1535" s="17" t="str">
        <x:v>C002</x:v>
      </x:c>
      <x:c r="E1535" s="17" t="str">
        <x:v>DataFlow</x:v>
      </x:c>
      <x:c r="F1535" s="17" t="str">
        <x:v>Pro</x:v>
      </x:c>
      <x:c r="G1535" s="17" t="n">
        <x:v>16183</x:v>
      </x:c>
      <x:c r="H1535" s="17" t="n">
        <x:v>6404</x:v>
      </x:c>
      <x:c r="I1535" s="17" t="str">
        <x:v>Correction</x:v>
      </x:c>
      <x:c r="J1535" s="27" t="n">
        <x:f>INDEX('Model Pricing'!$B$7:$B$8,MATCH(F1535,'Model Pricing'!$A$7:$A$8,0))</x:f>
        <x:v>40</x:v>
      </x:c>
      <x:c r="K1535" s="27" t="n">
        <x:f>INDEX('Model Pricing'!$C$7:$C$8,MATCH(F1535,'Model Pricing'!$A$7:$A$8,0))</x:f>
        <x:v>100</x:v>
      </x:c>
      <x:c r="L1535" s="17" t="n">
        <x:f>G1535+H1535</x:f>
        <x:v>22587</x:v>
      </x:c>
      <x:c r="M1535" s="28" t="n">
        <x:f>G1535*J1535/1000000</x:f>
        <x:v>0.64732</x:v>
      </x:c>
      <x:c r="N1535" s="28" t="n">
        <x:f>H1535*K1535/1000000</x:f>
        <x:v>0.6404</x:v>
      </x:c>
      <x:c r="O1535" s="28" t="n">
        <x:f>SUM(M1535:N1535)</x:f>
        <x:v>1.28772</x:v>
      </x:c>
    </x:row>
    <x:row r="1536" ht="23" customHeight="1">
      <x:c r="A1536" s="17" t="str">
        <x:v>U01530</x:v>
      </x:c>
      <x:c r="B1536" s="18" t="n">
        <x:v>46275</x:v>
      </x:c>
      <x:c r="C1536" s="17" t="str">
        <x:v>W0097</x:v>
      </x:c>
      <x:c r="D1536" s="17" t="str">
        <x:v>C002</x:v>
      </x:c>
      <x:c r="E1536" s="17" t="str">
        <x:v>DataFlow</x:v>
      </x:c>
      <x:c r="F1536" s="17" t="str">
        <x:v>Pro</x:v>
      </x:c>
      <x:c r="G1536" s="17" t="n">
        <x:v>32828</x:v>
      </x:c>
      <x:c r="H1536" s="17" t="n">
        <x:v>4925</x:v>
      </x:c>
      <x:c r="I1536" s="17" t="str">
        <x:v>Correction</x:v>
      </x:c>
      <x:c r="J1536" s="27" t="n">
        <x:f>INDEX('Model Pricing'!$B$7:$B$8,MATCH(F1536,'Model Pricing'!$A$7:$A$8,0))</x:f>
        <x:v>40</x:v>
      </x:c>
      <x:c r="K1536" s="27" t="n">
        <x:f>INDEX('Model Pricing'!$C$7:$C$8,MATCH(F1536,'Model Pricing'!$A$7:$A$8,0))</x:f>
        <x:v>100</x:v>
      </x:c>
      <x:c r="L1536" s="17" t="n">
        <x:f>G1536+H1536</x:f>
        <x:v>37753</x:v>
      </x:c>
      <x:c r="M1536" s="28" t="n">
        <x:f>G1536*J1536/1000000</x:f>
        <x:v>1.31312</x:v>
      </x:c>
      <x:c r="N1536" s="28" t="n">
        <x:f>H1536*K1536/1000000</x:f>
        <x:v>0.4925</x:v>
      </x:c>
      <x:c r="O1536" s="28" t="n">
        <x:f>SUM(M1536:N1536)</x:f>
        <x:v>1.80562</x:v>
      </x:c>
    </x:row>
    <x:row r="1537" ht="23" customHeight="1">
      <x:c r="A1537" s="17" t="str">
        <x:v>U01531</x:v>
      </x:c>
      <x:c r="B1537" s="18" t="n">
        <x:v>46275</x:v>
      </x:c>
      <x:c r="C1537" s="17" t="str">
        <x:v>W0097</x:v>
      </x:c>
      <x:c r="D1537" s="17" t="str">
        <x:v>C002</x:v>
      </x:c>
      <x:c r="E1537" s="17" t="str">
        <x:v>DataFlow</x:v>
      </x:c>
      <x:c r="F1537" s="17" t="str">
        <x:v>Pro</x:v>
      </x:c>
      <x:c r="G1537" s="17" t="n">
        <x:v>34479</x:v>
      </x:c>
      <x:c r="H1537" s="17" t="n">
        <x:v>3662</x:v>
      </x:c>
      <x:c r="I1537" s="17" t="str">
        <x:v>Followup</x:v>
      </x:c>
      <x:c r="J1537" s="27" t="n">
        <x:f>INDEX('Model Pricing'!$B$7:$B$8,MATCH(F1537,'Model Pricing'!$A$7:$A$8,0))</x:f>
        <x:v>40</x:v>
      </x:c>
      <x:c r="K1537" s="27" t="n">
        <x:f>INDEX('Model Pricing'!$C$7:$C$8,MATCH(F1537,'Model Pricing'!$A$7:$A$8,0))</x:f>
        <x:v>100</x:v>
      </x:c>
      <x:c r="L1537" s="17" t="n">
        <x:f>G1537+H1537</x:f>
        <x:v>38141</x:v>
      </x:c>
      <x:c r="M1537" s="28" t="n">
        <x:f>G1537*J1537/1000000</x:f>
        <x:v>1.37916</x:v>
      </x:c>
      <x:c r="N1537" s="28" t="n">
        <x:f>H1537*K1537/1000000</x:f>
        <x:v>0.3662</x:v>
      </x:c>
      <x:c r="O1537" s="28" t="n">
        <x:f>SUM(M1537:N1537)</x:f>
        <x:v>1.74536</x:v>
      </x:c>
    </x:row>
    <x:row r="1538" ht="23" customHeight="1">
      <x:c r="A1538" s="17" t="str">
        <x:v>U01532</x:v>
      </x:c>
      <x:c r="B1538" s="18" t="n">
        <x:v>46275</x:v>
      </x:c>
      <x:c r="C1538" s="17" t="str">
        <x:v>W0097</x:v>
      </x:c>
      <x:c r="D1538" s="17" t="str">
        <x:v>C002</x:v>
      </x:c>
      <x:c r="E1538" s="17" t="str">
        <x:v>DataFlow</x:v>
      </x:c>
      <x:c r="F1538" s="17" t="str">
        <x:v>Pro</x:v>
      </x:c>
      <x:c r="G1538" s="17" t="n">
        <x:v>27911</x:v>
      </x:c>
      <x:c r="H1538" s="17" t="n">
        <x:v>7907</x:v>
      </x:c>
      <x:c r="I1538" s="17" t="str">
        <x:v>Correction</x:v>
      </x:c>
      <x:c r="J1538" s="27" t="n">
        <x:f>INDEX('Model Pricing'!$B$7:$B$8,MATCH(F1538,'Model Pricing'!$A$7:$A$8,0))</x:f>
        <x:v>40</x:v>
      </x:c>
      <x:c r="K1538" s="27" t="n">
        <x:f>INDEX('Model Pricing'!$C$7:$C$8,MATCH(F1538,'Model Pricing'!$A$7:$A$8,0))</x:f>
        <x:v>100</x:v>
      </x:c>
      <x:c r="L1538" s="17" t="n">
        <x:f>G1538+H1538</x:f>
        <x:v>35818</x:v>
      </x:c>
      <x:c r="M1538" s="28" t="n">
        <x:f>G1538*J1538/1000000</x:f>
        <x:v>1.11644</x:v>
      </x:c>
      <x:c r="N1538" s="28" t="n">
        <x:f>H1538*K1538/1000000</x:f>
        <x:v>0.7907</x:v>
      </x:c>
      <x:c r="O1538" s="28" t="n">
        <x:f>SUM(M1538:N1538)</x:f>
        <x:v>1.90714</x:v>
      </x:c>
    </x:row>
    <x:row r="1539" ht="23" customHeight="1">
      <x:c r="A1539" s="17" t="str">
        <x:v>U01533</x:v>
      </x:c>
      <x:c r="B1539" s="18" t="n">
        <x:v>46275</x:v>
      </x:c>
      <x:c r="C1539" s="17" t="str">
        <x:v>W0097</x:v>
      </x:c>
      <x:c r="D1539" s="17" t="str">
        <x:v>C002</x:v>
      </x:c>
      <x:c r="E1539" s="17" t="str">
        <x:v>DataFlow</x:v>
      </x:c>
      <x:c r="F1539" s="17" t="str">
        <x:v>Pro</x:v>
      </x:c>
      <x:c r="G1539" s="17" t="n">
        <x:v>30164</x:v>
      </x:c>
      <x:c r="H1539" s="17" t="n">
        <x:v>3789</x:v>
      </x:c>
      <x:c r="I1539" s="17" t="str">
        <x:v>Followup</x:v>
      </x:c>
      <x:c r="J1539" s="27" t="n">
        <x:f>INDEX('Model Pricing'!$B$7:$B$8,MATCH(F1539,'Model Pricing'!$A$7:$A$8,0))</x:f>
        <x:v>40</x:v>
      </x:c>
      <x:c r="K1539" s="27" t="n">
        <x:f>INDEX('Model Pricing'!$C$7:$C$8,MATCH(F1539,'Model Pricing'!$A$7:$A$8,0))</x:f>
        <x:v>100</x:v>
      </x:c>
      <x:c r="L1539" s="17" t="n">
        <x:f>G1539+H1539</x:f>
        <x:v>33953</x:v>
      </x:c>
      <x:c r="M1539" s="28" t="n">
        <x:f>G1539*J1539/1000000</x:f>
        <x:v>1.20656</x:v>
      </x:c>
      <x:c r="N1539" s="28" t="n">
        <x:f>H1539*K1539/1000000</x:f>
        <x:v>0.3789</x:v>
      </x:c>
      <x:c r="O1539" s="28" t="n">
        <x:f>SUM(M1539:N1539)</x:f>
        <x:v>1.58546</x:v>
      </x:c>
    </x:row>
    <x:row r="1540" ht="23" customHeight="1">
      <x:c r="A1540" s="17" t="str">
        <x:v>U01534</x:v>
      </x:c>
      <x:c r="B1540" s="18" t="n">
        <x:v>46276</x:v>
      </x:c>
      <x:c r="C1540" s="17" t="str">
        <x:v>W0097</x:v>
      </x:c>
      <x:c r="D1540" s="17" t="str">
        <x:v>C002</x:v>
      </x:c>
      <x:c r="E1540" s="17" t="str">
        <x:v>DataFlow</x:v>
      </x:c>
      <x:c r="F1540" s="17" t="str">
        <x:v>Pro</x:v>
      </x:c>
      <x:c r="G1540" s="17" t="n">
        <x:v>17928</x:v>
      </x:c>
      <x:c r="H1540" s="17" t="n">
        <x:v>12236</x:v>
      </x:c>
      <x:c r="I1540" s="17" t="str">
        <x:v>Followup</x:v>
      </x:c>
      <x:c r="J1540" s="27" t="n">
        <x:f>INDEX('Model Pricing'!$B$7:$B$8,MATCH(F1540,'Model Pricing'!$A$7:$A$8,0))</x:f>
        <x:v>40</x:v>
      </x:c>
      <x:c r="K1540" s="27" t="n">
        <x:f>INDEX('Model Pricing'!$C$7:$C$8,MATCH(F1540,'Model Pricing'!$A$7:$A$8,0))</x:f>
        <x:v>100</x:v>
      </x:c>
      <x:c r="L1540" s="17" t="n">
        <x:f>G1540+H1540</x:f>
        <x:v>30164</x:v>
      </x:c>
      <x:c r="M1540" s="28" t="n">
        <x:f>G1540*J1540/1000000</x:f>
        <x:v>0.71712</x:v>
      </x:c>
      <x:c r="N1540" s="28" t="n">
        <x:f>H1540*K1540/1000000</x:f>
        <x:v>1.2236</x:v>
      </x:c>
      <x:c r="O1540" s="28" t="n">
        <x:f>SUM(M1540:N1540)</x:f>
        <x:v>1.94072</x:v>
      </x:c>
    </x:row>
    <x:row r="1541" ht="23" customHeight="1">
      <x:c r="A1541" s="17" t="str">
        <x:v>U01535</x:v>
      </x:c>
      <x:c r="B1541" s="18" t="n">
        <x:v>46276</x:v>
      </x:c>
      <x:c r="C1541" s="17" t="str">
        <x:v>W0097</x:v>
      </x:c>
      <x:c r="D1541" s="17" t="str">
        <x:v>C002</x:v>
      </x:c>
      <x:c r="E1541" s="17" t="str">
        <x:v>DataFlow</x:v>
      </x:c>
      <x:c r="F1541" s="17" t="str">
        <x:v>Pro</x:v>
      </x:c>
      <x:c r="G1541" s="17" t="n">
        <x:v>31230</x:v>
      </x:c>
      <x:c r="H1541" s="17" t="n">
        <x:v>12114</x:v>
      </x:c>
      <x:c r="I1541" s="17" t="str">
        <x:v>Followup</x:v>
      </x:c>
      <x:c r="J1541" s="27" t="n">
        <x:f>INDEX('Model Pricing'!$B$7:$B$8,MATCH(F1541,'Model Pricing'!$A$7:$A$8,0))</x:f>
        <x:v>40</x:v>
      </x:c>
      <x:c r="K1541" s="27" t="n">
        <x:f>INDEX('Model Pricing'!$C$7:$C$8,MATCH(F1541,'Model Pricing'!$A$7:$A$8,0))</x:f>
        <x:v>100</x:v>
      </x:c>
      <x:c r="L1541" s="17" t="n">
        <x:f>G1541+H1541</x:f>
        <x:v>43344</x:v>
      </x:c>
      <x:c r="M1541" s="28" t="n">
        <x:f>G1541*J1541/1000000</x:f>
        <x:v>1.2492</x:v>
      </x:c>
      <x:c r="N1541" s="28" t="n">
        <x:f>H1541*K1541/1000000</x:f>
        <x:v>1.2114</x:v>
      </x:c>
      <x:c r="O1541" s="28" t="n">
        <x:f>SUM(M1541:N1541)</x:f>
        <x:v>2.4606000000000003</x:v>
      </x:c>
    </x:row>
    <x:row r="1542" ht="23" customHeight="1">
      <x:c r="A1542" s="17" t="str">
        <x:v>U01536</x:v>
      </x:c>
      <x:c r="B1542" s="18" t="n">
        <x:v>46276</x:v>
      </x:c>
      <x:c r="C1542" s="17" t="str">
        <x:v>W0097</x:v>
      </x:c>
      <x:c r="D1542" s="17" t="str">
        <x:v>C002</x:v>
      </x:c>
      <x:c r="E1542" s="17" t="str">
        <x:v>DataFlow</x:v>
      </x:c>
      <x:c r="F1542" s="17" t="str">
        <x:v>Pro</x:v>
      </x:c>
      <x:c r="G1542" s="17" t="n">
        <x:v>27463</x:v>
      </x:c>
      <x:c r="H1542" s="17" t="n">
        <x:v>12808</x:v>
      </x:c>
      <x:c r="I1542" s="17" t="str">
        <x:v>Correction</x:v>
      </x:c>
      <x:c r="J1542" s="27" t="n">
        <x:f>INDEX('Model Pricing'!$B$7:$B$8,MATCH(F1542,'Model Pricing'!$A$7:$A$8,0))</x:f>
        <x:v>40</x:v>
      </x:c>
      <x:c r="K1542" s="27" t="n">
        <x:f>INDEX('Model Pricing'!$C$7:$C$8,MATCH(F1542,'Model Pricing'!$A$7:$A$8,0))</x:f>
        <x:v>100</x:v>
      </x:c>
      <x:c r="L1542" s="17" t="n">
        <x:f>G1542+H1542</x:f>
        <x:v>40271</x:v>
      </x:c>
      <x:c r="M1542" s="28" t="n">
        <x:f>G1542*J1542/1000000</x:f>
        <x:v>1.09852</x:v>
      </x:c>
      <x:c r="N1542" s="28" t="n">
        <x:f>H1542*K1542/1000000</x:f>
        <x:v>1.2808</x:v>
      </x:c>
      <x:c r="O1542" s="28" t="n">
        <x:f>SUM(M1542:N1542)</x:f>
        <x:v>2.37932</x:v>
      </x:c>
    </x:row>
    <x:row r="1543" ht="23" customHeight="1">
      <x:c r="A1543" s="17" t="str">
        <x:v>U01537</x:v>
      </x:c>
      <x:c r="B1543" s="18" t="n">
        <x:v>46276</x:v>
      </x:c>
      <x:c r="C1543" s="17" t="str">
        <x:v>W0097</x:v>
      </x:c>
      <x:c r="D1543" s="17" t="str">
        <x:v>C002</x:v>
      </x:c>
      <x:c r="E1543" s="17" t="str">
        <x:v>DataFlow</x:v>
      </x:c>
      <x:c r="F1543" s="17" t="str">
        <x:v>Pro</x:v>
      </x:c>
      <x:c r="G1543" s="17" t="n">
        <x:v>27210</x:v>
      </x:c>
      <x:c r="H1543" s="17" t="n">
        <x:v>3527</x:v>
      </x:c>
      <x:c r="I1543" s="17" t="str">
        <x:v>Followup</x:v>
      </x:c>
      <x:c r="J1543" s="27" t="n">
        <x:f>INDEX('Model Pricing'!$B$7:$B$8,MATCH(F1543,'Model Pricing'!$A$7:$A$8,0))</x:f>
        <x:v>40</x:v>
      </x:c>
      <x:c r="K1543" s="27" t="n">
        <x:f>INDEX('Model Pricing'!$C$7:$C$8,MATCH(F1543,'Model Pricing'!$A$7:$A$8,0))</x:f>
        <x:v>100</x:v>
      </x:c>
      <x:c r="L1543" s="17" t="n">
        <x:f>G1543+H1543</x:f>
        <x:v>30737</x:v>
      </x:c>
      <x:c r="M1543" s="28" t="n">
        <x:f>G1543*J1543/1000000</x:f>
        <x:v>1.0884</x:v>
      </x:c>
      <x:c r="N1543" s="28" t="n">
        <x:f>H1543*K1543/1000000</x:f>
        <x:v>0.3527</x:v>
      </x:c>
      <x:c r="O1543" s="28" t="n">
        <x:f>SUM(M1543:N1543)</x:f>
        <x:v>1.4411</x:v>
      </x:c>
    </x:row>
    <x:row r="1544" ht="23" customHeight="1">
      <x:c r="A1544" s="17" t="str">
        <x:v>U01538</x:v>
      </x:c>
      <x:c r="B1544" s="18" t="n">
        <x:v>46276</x:v>
      </x:c>
      <x:c r="C1544" s="17" t="str">
        <x:v>W0097</x:v>
      </x:c>
      <x:c r="D1544" s="17" t="str">
        <x:v>C002</x:v>
      </x:c>
      <x:c r="E1544" s="17" t="str">
        <x:v>DataFlow</x:v>
      </x:c>
      <x:c r="F1544" s="17" t="str">
        <x:v>Pro</x:v>
      </x:c>
      <x:c r="G1544" s="17" t="n">
        <x:v>29416</x:v>
      </x:c>
      <x:c r="H1544" s="17" t="n">
        <x:v>9385</x:v>
      </x:c>
      <x:c r="I1544" s="17" t="str">
        <x:v>Followup</x:v>
      </x:c>
      <x:c r="J1544" s="27" t="n">
        <x:f>INDEX('Model Pricing'!$B$7:$B$8,MATCH(F1544,'Model Pricing'!$A$7:$A$8,0))</x:f>
        <x:v>40</x:v>
      </x:c>
      <x:c r="K1544" s="27" t="n">
        <x:f>INDEX('Model Pricing'!$C$7:$C$8,MATCH(F1544,'Model Pricing'!$A$7:$A$8,0))</x:f>
        <x:v>100</x:v>
      </x:c>
      <x:c r="L1544" s="17" t="n">
        <x:f>G1544+H1544</x:f>
        <x:v>38801</x:v>
      </x:c>
      <x:c r="M1544" s="28" t="n">
        <x:f>G1544*J1544/1000000</x:f>
        <x:v>1.17664</x:v>
      </x:c>
      <x:c r="N1544" s="28" t="n">
        <x:f>H1544*K1544/1000000</x:f>
        <x:v>0.9385</x:v>
      </x:c>
      <x:c r="O1544" s="28" t="n">
        <x:f>SUM(M1544:N1544)</x:f>
        <x:v>2.11514</x:v>
      </x:c>
    </x:row>
    <x:row r="1545" ht="23" customHeight="1">
      <x:c r="A1545" s="17" t="str">
        <x:v>U01539</x:v>
      </x:c>
      <x:c r="B1545" s="18" t="n">
        <x:v>46276</x:v>
      </x:c>
      <x:c r="C1545" s="17" t="str">
        <x:v>W0097</x:v>
      </x:c>
      <x:c r="D1545" s="17" t="str">
        <x:v>C002</x:v>
      </x:c>
      <x:c r="E1545" s="17" t="str">
        <x:v>DataFlow</x:v>
      </x:c>
      <x:c r="F1545" s="17" t="str">
        <x:v>Pro</x:v>
      </x:c>
      <x:c r="G1545" s="17" t="n">
        <x:v>17947</x:v>
      </x:c>
      <x:c r="H1545" s="17" t="n">
        <x:v>13100</x:v>
      </x:c>
      <x:c r="I1545" s="17" t="str">
        <x:v>Correction</x:v>
      </x:c>
      <x:c r="J1545" s="27" t="n">
        <x:f>INDEX('Model Pricing'!$B$7:$B$8,MATCH(F1545,'Model Pricing'!$A$7:$A$8,0))</x:f>
        <x:v>40</x:v>
      </x:c>
      <x:c r="K1545" s="27" t="n">
        <x:f>INDEX('Model Pricing'!$C$7:$C$8,MATCH(F1545,'Model Pricing'!$A$7:$A$8,0))</x:f>
        <x:v>100</x:v>
      </x:c>
      <x:c r="L1545" s="17" t="n">
        <x:f>G1545+H1545</x:f>
        <x:v>31047</x:v>
      </x:c>
      <x:c r="M1545" s="28" t="n">
        <x:f>G1545*J1545/1000000</x:f>
        <x:v>0.71788</x:v>
      </x:c>
      <x:c r="N1545" s="28" t="n">
        <x:f>H1545*K1545/1000000</x:f>
        <x:v>1.31</x:v>
      </x:c>
      <x:c r="O1545" s="28" t="n">
        <x:f>SUM(M1545:N1545)</x:f>
        <x:v>2.02788</x:v>
      </x:c>
    </x:row>
    <x:row r="1546" ht="23" customHeight="1">
      <x:c r="A1546" s="17" t="str">
        <x:v>U01540</x:v>
      </x:c>
      <x:c r="B1546" s="18" t="n">
        <x:v>46279</x:v>
      </x:c>
      <x:c r="C1546" s="17" t="str">
        <x:v>W0097</x:v>
      </x:c>
      <x:c r="D1546" s="17" t="str">
        <x:v>C002</x:v>
      </x:c>
      <x:c r="E1546" s="17" t="str">
        <x:v>DataFlow</x:v>
      </x:c>
      <x:c r="F1546" s="17" t="str">
        <x:v>Pro</x:v>
      </x:c>
      <x:c r="G1546" s="17" t="n">
        <x:v>31127</x:v>
      </x:c>
      <x:c r="H1546" s="17" t="n">
        <x:v>5972</x:v>
      </x:c>
      <x:c r="I1546" s="17" t="str">
        <x:v>Correction</x:v>
      </x:c>
      <x:c r="J1546" s="27" t="n">
        <x:f>INDEX('Model Pricing'!$B$7:$B$8,MATCH(F1546,'Model Pricing'!$A$7:$A$8,0))</x:f>
        <x:v>40</x:v>
      </x:c>
      <x:c r="K1546" s="27" t="n">
        <x:f>INDEX('Model Pricing'!$C$7:$C$8,MATCH(F1546,'Model Pricing'!$A$7:$A$8,0))</x:f>
        <x:v>100</x:v>
      </x:c>
      <x:c r="L1546" s="17" t="n">
        <x:f>G1546+H1546</x:f>
        <x:v>37099</x:v>
      </x:c>
      <x:c r="M1546" s="28" t="n">
        <x:f>G1546*J1546/1000000</x:f>
        <x:v>1.24508</x:v>
      </x:c>
      <x:c r="N1546" s="28" t="n">
        <x:f>H1546*K1546/1000000</x:f>
        <x:v>0.5972</x:v>
      </x:c>
      <x:c r="O1546" s="28" t="n">
        <x:f>SUM(M1546:N1546)</x:f>
        <x:v>1.84228</x:v>
      </x:c>
    </x:row>
    <x:row r="1547" ht="23" customHeight="1">
      <x:c r="A1547" s="17" t="str">
        <x:v>U01541</x:v>
      </x:c>
      <x:c r="B1547" s="18" t="n">
        <x:v>46279</x:v>
      </x:c>
      <x:c r="C1547" s="17" t="str">
        <x:v>W0097</x:v>
      </x:c>
      <x:c r="D1547" s="17" t="str">
        <x:v>C002</x:v>
      </x:c>
      <x:c r="E1547" s="17" t="str">
        <x:v>DataFlow</x:v>
      </x:c>
      <x:c r="F1547" s="17" t="str">
        <x:v>Pro</x:v>
      </x:c>
      <x:c r="G1547" s="17" t="n">
        <x:v>37561</x:v>
      </x:c>
      <x:c r="H1547" s="17" t="n">
        <x:v>11189</x:v>
      </x:c>
      <x:c r="I1547" s="17" t="str">
        <x:v>Correction</x:v>
      </x:c>
      <x:c r="J1547" s="27" t="n">
        <x:f>INDEX('Model Pricing'!$B$7:$B$8,MATCH(F1547,'Model Pricing'!$A$7:$A$8,0))</x:f>
        <x:v>40</x:v>
      </x:c>
      <x:c r="K1547" s="27" t="n">
        <x:f>INDEX('Model Pricing'!$C$7:$C$8,MATCH(F1547,'Model Pricing'!$A$7:$A$8,0))</x:f>
        <x:v>100</x:v>
      </x:c>
      <x:c r="L1547" s="17" t="n">
        <x:f>G1547+H1547</x:f>
        <x:v>48750</x:v>
      </x:c>
      <x:c r="M1547" s="28" t="n">
        <x:f>G1547*J1547/1000000</x:f>
        <x:v>1.50244</x:v>
      </x:c>
      <x:c r="N1547" s="28" t="n">
        <x:f>H1547*K1547/1000000</x:f>
        <x:v>1.1189</x:v>
      </x:c>
      <x:c r="O1547" s="28" t="n">
        <x:f>SUM(M1547:N1547)</x:f>
        <x:v>2.62134</x:v>
      </x:c>
    </x:row>
    <x:row r="1548" ht="23" customHeight="1">
      <x:c r="A1548" s="17" t="str">
        <x:v>U01542</x:v>
      </x:c>
      <x:c r="B1548" s="18" t="n">
        <x:v>46279</x:v>
      </x:c>
      <x:c r="C1548" s="17" t="str">
        <x:v>W0097</x:v>
      </x:c>
      <x:c r="D1548" s="17" t="str">
        <x:v>C002</x:v>
      </x:c>
      <x:c r="E1548" s="17" t="str">
        <x:v>DataFlow</x:v>
      </x:c>
      <x:c r="F1548" s="17" t="str">
        <x:v>Pro</x:v>
      </x:c>
      <x:c r="G1548" s="17" t="n">
        <x:v>24955</x:v>
      </x:c>
      <x:c r="H1548" s="17" t="n">
        <x:v>7366</x:v>
      </x:c>
      <x:c r="I1548" s="17" t="str">
        <x:v>Followup</x:v>
      </x:c>
      <x:c r="J1548" s="27" t="n">
        <x:f>INDEX('Model Pricing'!$B$7:$B$8,MATCH(F1548,'Model Pricing'!$A$7:$A$8,0))</x:f>
        <x:v>40</x:v>
      </x:c>
      <x:c r="K1548" s="27" t="n">
        <x:f>INDEX('Model Pricing'!$C$7:$C$8,MATCH(F1548,'Model Pricing'!$A$7:$A$8,0))</x:f>
        <x:v>100</x:v>
      </x:c>
      <x:c r="L1548" s="17" t="n">
        <x:f>G1548+H1548</x:f>
        <x:v>32321</x:v>
      </x:c>
      <x:c r="M1548" s="28" t="n">
        <x:f>G1548*J1548/1000000</x:f>
        <x:v>0.9982</x:v>
      </x:c>
      <x:c r="N1548" s="28" t="n">
        <x:f>H1548*K1548/1000000</x:f>
        <x:v>0.7366</x:v>
      </x:c>
      <x:c r="O1548" s="28" t="n">
        <x:f>SUM(M1548:N1548)</x:f>
        <x:v>1.7348</x:v>
      </x:c>
    </x:row>
    <x:row r="1549" ht="23" customHeight="1">
      <x:c r="A1549" s="17" t="str">
        <x:v>U01543</x:v>
      </x:c>
      <x:c r="B1549" s="18" t="n">
        <x:v>46279</x:v>
      </x:c>
      <x:c r="C1549" s="17" t="str">
        <x:v>W0097</x:v>
      </x:c>
      <x:c r="D1549" s="17" t="str">
        <x:v>C002</x:v>
      </x:c>
      <x:c r="E1549" s="17" t="str">
        <x:v>DataFlow</x:v>
      </x:c>
      <x:c r="F1549" s="17" t="str">
        <x:v>Pro</x:v>
      </x:c>
      <x:c r="G1549" s="17" t="n">
        <x:v>29263</x:v>
      </x:c>
      <x:c r="H1549" s="17" t="n">
        <x:v>4657</x:v>
      </x:c>
      <x:c r="I1549" s="17" t="str">
        <x:v>Followup</x:v>
      </x:c>
      <x:c r="J1549" s="27" t="n">
        <x:f>INDEX('Model Pricing'!$B$7:$B$8,MATCH(F1549,'Model Pricing'!$A$7:$A$8,0))</x:f>
        <x:v>40</x:v>
      </x:c>
      <x:c r="K1549" s="27" t="n">
        <x:f>INDEX('Model Pricing'!$C$7:$C$8,MATCH(F1549,'Model Pricing'!$A$7:$A$8,0))</x:f>
        <x:v>100</x:v>
      </x:c>
      <x:c r="L1549" s="17" t="n">
        <x:f>G1549+H1549</x:f>
        <x:v>33920</x:v>
      </x:c>
      <x:c r="M1549" s="28" t="n">
        <x:f>G1549*J1549/1000000</x:f>
        <x:v>1.17052</x:v>
      </x:c>
      <x:c r="N1549" s="28" t="n">
        <x:f>H1549*K1549/1000000</x:f>
        <x:v>0.4657</x:v>
      </x:c>
      <x:c r="O1549" s="28" t="n">
        <x:f>SUM(M1549:N1549)</x:f>
        <x:v>1.63622</x:v>
      </x:c>
    </x:row>
    <x:row r="1550" ht="23" customHeight="1">
      <x:c r="A1550" s="17" t="str">
        <x:v>U01544</x:v>
      </x:c>
      <x:c r="B1550" s="18" t="n">
        <x:v>46279</x:v>
      </x:c>
      <x:c r="C1550" s="17" t="str">
        <x:v>W0097</x:v>
      </x:c>
      <x:c r="D1550" s="17" t="str">
        <x:v>C002</x:v>
      </x:c>
      <x:c r="E1550" s="17" t="str">
        <x:v>DataFlow</x:v>
      </x:c>
      <x:c r="F1550" s="17" t="str">
        <x:v>Pro</x:v>
      </x:c>
      <x:c r="G1550" s="17" t="n">
        <x:v>23862</x:v>
      </x:c>
      <x:c r="H1550" s="17" t="n">
        <x:v>3878</x:v>
      </x:c>
      <x:c r="I1550" s="17" t="str">
        <x:v>Followup</x:v>
      </x:c>
      <x:c r="J1550" s="27" t="n">
        <x:f>INDEX('Model Pricing'!$B$7:$B$8,MATCH(F1550,'Model Pricing'!$A$7:$A$8,0))</x:f>
        <x:v>40</x:v>
      </x:c>
      <x:c r="K1550" s="27" t="n">
        <x:f>INDEX('Model Pricing'!$C$7:$C$8,MATCH(F1550,'Model Pricing'!$A$7:$A$8,0))</x:f>
        <x:v>100</x:v>
      </x:c>
      <x:c r="L1550" s="17" t="n">
        <x:f>G1550+H1550</x:f>
        <x:v>27740</x:v>
      </x:c>
      <x:c r="M1550" s="28" t="n">
        <x:f>G1550*J1550/1000000</x:f>
        <x:v>0.95448</x:v>
      </x:c>
      <x:c r="N1550" s="28" t="n">
        <x:f>H1550*K1550/1000000</x:f>
        <x:v>0.3878</x:v>
      </x:c>
      <x:c r="O1550" s="28" t="n">
        <x:f>SUM(M1550:N1550)</x:f>
        <x:v>1.34228</x:v>
      </x:c>
    </x:row>
    <x:row r="1551" ht="23" customHeight="1">
      <x:c r="A1551" s="17" t="str">
        <x:v>U01545</x:v>
      </x:c>
      <x:c r="B1551" s="18" t="n">
        <x:v>46279</x:v>
      </x:c>
      <x:c r="C1551" s="17" t="str">
        <x:v>W0097</x:v>
      </x:c>
      <x:c r="D1551" s="17" t="str">
        <x:v>C002</x:v>
      </x:c>
      <x:c r="E1551" s="17" t="str">
        <x:v>DataFlow</x:v>
      </x:c>
      <x:c r="F1551" s="17" t="str">
        <x:v>Pro</x:v>
      </x:c>
      <x:c r="G1551" s="17" t="n">
        <x:v>29305</x:v>
      </x:c>
      <x:c r="H1551" s="17" t="n">
        <x:v>12836</x:v>
      </x:c>
      <x:c r="I1551" s="17" t="str">
        <x:v>Followup</x:v>
      </x:c>
      <x:c r="J1551" s="27" t="n">
        <x:f>INDEX('Model Pricing'!$B$7:$B$8,MATCH(F1551,'Model Pricing'!$A$7:$A$8,0))</x:f>
        <x:v>40</x:v>
      </x:c>
      <x:c r="K1551" s="27" t="n">
        <x:f>INDEX('Model Pricing'!$C$7:$C$8,MATCH(F1551,'Model Pricing'!$A$7:$A$8,0))</x:f>
        <x:v>100</x:v>
      </x:c>
      <x:c r="L1551" s="17" t="n">
        <x:f>G1551+H1551</x:f>
        <x:v>42141</x:v>
      </x:c>
      <x:c r="M1551" s="28" t="n">
        <x:f>G1551*J1551/1000000</x:f>
        <x:v>1.1722</x:v>
      </x:c>
      <x:c r="N1551" s="28" t="n">
        <x:f>H1551*K1551/1000000</x:f>
        <x:v>1.2836</x:v>
      </x:c>
      <x:c r="O1551" s="28" t="n">
        <x:f>SUM(M1551:N1551)</x:f>
        <x:v>2.4558</x:v>
      </x:c>
    </x:row>
    <x:row r="1552" ht="23" customHeight="1">
      <x:c r="A1552" s="17" t="str">
        <x:v>U01546</x:v>
      </x:c>
      <x:c r="B1552" s="18" t="n">
        <x:v>46280</x:v>
      </x:c>
      <x:c r="C1552" s="17" t="str">
        <x:v>W0097</x:v>
      </x:c>
      <x:c r="D1552" s="17" t="str">
        <x:v>C002</x:v>
      </x:c>
      <x:c r="E1552" s="17" t="str">
        <x:v>DataFlow</x:v>
      </x:c>
      <x:c r="F1552" s="17" t="str">
        <x:v>Pro</x:v>
      </x:c>
      <x:c r="G1552" s="17" t="n">
        <x:v>16705</x:v>
      </x:c>
      <x:c r="H1552" s="17" t="n">
        <x:v>11187</x:v>
      </x:c>
      <x:c r="I1552" s="17" t="str">
        <x:v>Correction</x:v>
      </x:c>
      <x:c r="J1552" s="27" t="n">
        <x:f>INDEX('Model Pricing'!$B$7:$B$8,MATCH(F1552,'Model Pricing'!$A$7:$A$8,0))</x:f>
        <x:v>40</x:v>
      </x:c>
      <x:c r="K1552" s="27" t="n">
        <x:f>INDEX('Model Pricing'!$C$7:$C$8,MATCH(F1552,'Model Pricing'!$A$7:$A$8,0))</x:f>
        <x:v>100</x:v>
      </x:c>
      <x:c r="L1552" s="17" t="n">
        <x:f>G1552+H1552</x:f>
        <x:v>27892</x:v>
      </x:c>
      <x:c r="M1552" s="28" t="n">
        <x:f>G1552*J1552/1000000</x:f>
        <x:v>0.6682</x:v>
      </x:c>
      <x:c r="N1552" s="28" t="n">
        <x:f>H1552*K1552/1000000</x:f>
        <x:v>1.1187</x:v>
      </x:c>
      <x:c r="O1552" s="28" t="n">
        <x:f>SUM(M1552:N1552)</x:f>
        <x:v>1.7869000000000002</x:v>
      </x:c>
    </x:row>
    <x:row r="1553" ht="23" customHeight="1">
      <x:c r="A1553" s="17" t="str">
        <x:v>U01547</x:v>
      </x:c>
      <x:c r="B1553" s="18" t="n">
        <x:v>46280</x:v>
      </x:c>
      <x:c r="C1553" s="17" t="str">
        <x:v>W0097</x:v>
      </x:c>
      <x:c r="D1553" s="17" t="str">
        <x:v>C002</x:v>
      </x:c>
      <x:c r="E1553" s="17" t="str">
        <x:v>DataFlow</x:v>
      </x:c>
      <x:c r="F1553" s="17" t="str">
        <x:v>Pro</x:v>
      </x:c>
      <x:c r="G1553" s="17" t="n">
        <x:v>23639</x:v>
      </x:c>
      <x:c r="H1553" s="17" t="n">
        <x:v>10348</x:v>
      </x:c>
      <x:c r="I1553" s="17" t="str">
        <x:v>Followup</x:v>
      </x:c>
      <x:c r="J1553" s="27" t="n">
        <x:f>INDEX('Model Pricing'!$B$7:$B$8,MATCH(F1553,'Model Pricing'!$A$7:$A$8,0))</x:f>
        <x:v>40</x:v>
      </x:c>
      <x:c r="K1553" s="27" t="n">
        <x:f>INDEX('Model Pricing'!$C$7:$C$8,MATCH(F1553,'Model Pricing'!$A$7:$A$8,0))</x:f>
        <x:v>100</x:v>
      </x:c>
      <x:c r="L1553" s="17" t="n">
        <x:f>G1553+H1553</x:f>
        <x:v>33987</x:v>
      </x:c>
      <x:c r="M1553" s="28" t="n">
        <x:f>G1553*J1553/1000000</x:f>
        <x:v>0.94556</x:v>
      </x:c>
      <x:c r="N1553" s="28" t="n">
        <x:f>H1553*K1553/1000000</x:f>
        <x:v>1.0348</x:v>
      </x:c>
      <x:c r="O1553" s="28" t="n">
        <x:f>SUM(M1553:N1553)</x:f>
        <x:v>1.98036</x:v>
      </x:c>
    </x:row>
    <x:row r="1554" ht="23" customHeight="1">
      <x:c r="A1554" s="17" t="str">
        <x:v>U01548</x:v>
      </x:c>
      <x:c r="B1554" s="18" t="n">
        <x:v>46280</x:v>
      </x:c>
      <x:c r="C1554" s="17" t="str">
        <x:v>W0097</x:v>
      </x:c>
      <x:c r="D1554" s="17" t="str">
        <x:v>C002</x:v>
      </x:c>
      <x:c r="E1554" s="17" t="str">
        <x:v>DataFlow</x:v>
      </x:c>
      <x:c r="F1554" s="17" t="str">
        <x:v>Pro</x:v>
      </x:c>
      <x:c r="G1554" s="17" t="n">
        <x:v>16843</x:v>
      </x:c>
      <x:c r="H1554" s="17" t="n">
        <x:v>5774</x:v>
      </x:c>
      <x:c r="I1554" s="17" t="str">
        <x:v>Correction</x:v>
      </x:c>
      <x:c r="J1554" s="27" t="n">
        <x:f>INDEX('Model Pricing'!$B$7:$B$8,MATCH(F1554,'Model Pricing'!$A$7:$A$8,0))</x:f>
        <x:v>40</x:v>
      </x:c>
      <x:c r="K1554" s="27" t="n">
        <x:f>INDEX('Model Pricing'!$C$7:$C$8,MATCH(F1554,'Model Pricing'!$A$7:$A$8,0))</x:f>
        <x:v>100</x:v>
      </x:c>
      <x:c r="L1554" s="17" t="n">
        <x:f>G1554+H1554</x:f>
        <x:v>22617</x:v>
      </x:c>
      <x:c r="M1554" s="28" t="n">
        <x:f>G1554*J1554/1000000</x:f>
        <x:v>0.67372</x:v>
      </x:c>
      <x:c r="N1554" s="28" t="n">
        <x:f>H1554*K1554/1000000</x:f>
        <x:v>0.5774</x:v>
      </x:c>
      <x:c r="O1554" s="28" t="n">
        <x:f>SUM(M1554:N1554)</x:f>
        <x:v>1.25112</x:v>
      </x:c>
    </x:row>
    <x:row r="1555" ht="23" customHeight="1">
      <x:c r="A1555" s="17" t="str">
        <x:v>U01549</x:v>
      </x:c>
      <x:c r="B1555" s="18" t="n">
        <x:v>46280</x:v>
      </x:c>
      <x:c r="C1555" s="17" t="str">
        <x:v>W0097</x:v>
      </x:c>
      <x:c r="D1555" s="17" t="str">
        <x:v>C002</x:v>
      </x:c>
      <x:c r="E1555" s="17" t="str">
        <x:v>DataFlow</x:v>
      </x:c>
      <x:c r="F1555" s="17" t="str">
        <x:v>Pro</x:v>
      </x:c>
      <x:c r="G1555" s="17" t="n">
        <x:v>20074</x:v>
      </x:c>
      <x:c r="H1555" s="17" t="n">
        <x:v>12183</x:v>
      </x:c>
      <x:c r="I1555" s="17" t="str">
        <x:v>Followup</x:v>
      </x:c>
      <x:c r="J1555" s="27" t="n">
        <x:f>INDEX('Model Pricing'!$B$7:$B$8,MATCH(F1555,'Model Pricing'!$A$7:$A$8,0))</x:f>
        <x:v>40</x:v>
      </x:c>
      <x:c r="K1555" s="27" t="n">
        <x:f>INDEX('Model Pricing'!$C$7:$C$8,MATCH(F1555,'Model Pricing'!$A$7:$A$8,0))</x:f>
        <x:v>100</x:v>
      </x:c>
      <x:c r="L1555" s="17" t="n">
        <x:f>G1555+H1555</x:f>
        <x:v>32257</x:v>
      </x:c>
      <x:c r="M1555" s="28" t="n">
        <x:f>G1555*J1555/1000000</x:f>
        <x:v>0.80296</x:v>
      </x:c>
      <x:c r="N1555" s="28" t="n">
        <x:f>H1555*K1555/1000000</x:f>
        <x:v>1.2183</x:v>
      </x:c>
      <x:c r="O1555" s="28" t="n">
        <x:f>SUM(M1555:N1555)</x:f>
        <x:v>2.02126</x:v>
      </x:c>
    </x:row>
    <x:row r="1556" ht="23" customHeight="1">
      <x:c r="A1556" s="17" t="str">
        <x:v>U01550</x:v>
      </x:c>
      <x:c r="B1556" s="18" t="n">
        <x:v>46280</x:v>
      </x:c>
      <x:c r="C1556" s="17" t="str">
        <x:v>W0097</x:v>
      </x:c>
      <x:c r="D1556" s="17" t="str">
        <x:v>C002</x:v>
      </x:c>
      <x:c r="E1556" s="17" t="str">
        <x:v>DataFlow</x:v>
      </x:c>
      <x:c r="F1556" s="17" t="str">
        <x:v>Pro</x:v>
      </x:c>
      <x:c r="G1556" s="17" t="n">
        <x:v>37006</x:v>
      </x:c>
      <x:c r="H1556" s="17" t="n">
        <x:v>7666</x:v>
      </x:c>
      <x:c r="I1556" s="17" t="str">
        <x:v>Followup</x:v>
      </x:c>
      <x:c r="J1556" s="27" t="n">
        <x:f>INDEX('Model Pricing'!$B$7:$B$8,MATCH(F1556,'Model Pricing'!$A$7:$A$8,0))</x:f>
        <x:v>40</x:v>
      </x:c>
      <x:c r="K1556" s="27" t="n">
        <x:f>INDEX('Model Pricing'!$C$7:$C$8,MATCH(F1556,'Model Pricing'!$A$7:$A$8,0))</x:f>
        <x:v>100</x:v>
      </x:c>
      <x:c r="L1556" s="17" t="n">
        <x:f>G1556+H1556</x:f>
        <x:v>44672</x:v>
      </x:c>
      <x:c r="M1556" s="28" t="n">
        <x:f>G1556*J1556/1000000</x:f>
        <x:v>1.48024</x:v>
      </x:c>
      <x:c r="N1556" s="28" t="n">
        <x:f>H1556*K1556/1000000</x:f>
        <x:v>0.7666</x:v>
      </x:c>
      <x:c r="O1556" s="28" t="n">
        <x:f>SUM(M1556:N1556)</x:f>
        <x:v>2.2468399999999997</x:v>
      </x:c>
    </x:row>
    <x:row r="1557" ht="23" customHeight="1">
      <x:c r="A1557" s="17" t="str">
        <x:v>U01551</x:v>
      </x:c>
      <x:c r="B1557" s="18" t="n">
        <x:v>46286</x:v>
      </x:c>
      <x:c r="C1557" s="17" t="str">
        <x:v>W0098</x:v>
      </x:c>
      <x:c r="D1557" s="17" t="str">
        <x:v>C002</x:v>
      </x:c>
      <x:c r="E1557" s="17" t="str">
        <x:v>InsightDesk</x:v>
      </x:c>
      <x:c r="F1557" s="17" t="str">
        <x:v>Pro</x:v>
      </x:c>
      <x:c r="G1557" s="17" t="n">
        <x:v>18757</x:v>
      </x:c>
      <x:c r="H1557" s="17" t="n">
        <x:v>5699</x:v>
      </x:c>
      <x:c r="I1557" s="17" t="str">
        <x:v>First attempt</x:v>
      </x:c>
      <x:c r="J1557" s="27" t="n">
        <x:f>INDEX('Model Pricing'!$B$7:$B$8,MATCH(F1557,'Model Pricing'!$A$7:$A$8,0))</x:f>
        <x:v>40</x:v>
      </x:c>
      <x:c r="K1557" s="27" t="n">
        <x:f>INDEX('Model Pricing'!$C$7:$C$8,MATCH(F1557,'Model Pricing'!$A$7:$A$8,0))</x:f>
        <x:v>100</x:v>
      </x:c>
      <x:c r="L1557" s="17" t="n">
        <x:f>G1557+H1557</x:f>
        <x:v>24456</x:v>
      </x:c>
      <x:c r="M1557" s="28" t="n">
        <x:f>G1557*J1557/1000000</x:f>
        <x:v>0.75028</x:v>
      </x:c>
      <x:c r="N1557" s="28" t="n">
        <x:f>H1557*K1557/1000000</x:f>
        <x:v>0.5699</x:v>
      </x:c>
      <x:c r="O1557" s="28" t="n">
        <x:f>SUM(M1557:N1557)</x:f>
        <x:v>1.32018</x:v>
      </x:c>
    </x:row>
    <x:row r="1558" ht="23" customHeight="1">
      <x:c r="A1558" s="17" t="str">
        <x:v>U01552</x:v>
      </x:c>
      <x:c r="B1558" s="18" t="n">
        <x:v>46286</x:v>
      </x:c>
      <x:c r="C1558" s="17" t="str">
        <x:v>W0098</x:v>
      </x:c>
      <x:c r="D1558" s="17" t="str">
        <x:v>C002</x:v>
      </x:c>
      <x:c r="E1558" s="17" t="str">
        <x:v>InsightDesk</x:v>
      </x:c>
      <x:c r="F1558" s="17" t="str">
        <x:v>Pro</x:v>
      </x:c>
      <x:c r="G1558" s="17" t="n">
        <x:v>30840</x:v>
      </x:c>
      <x:c r="H1558" s="17" t="n">
        <x:v>8752</x:v>
      </x:c>
      <x:c r="I1558" s="17" t="str">
        <x:v>Followup</x:v>
      </x:c>
      <x:c r="J1558" s="27" t="n">
        <x:f>INDEX('Model Pricing'!$B$7:$B$8,MATCH(F1558,'Model Pricing'!$A$7:$A$8,0))</x:f>
        <x:v>40</x:v>
      </x:c>
      <x:c r="K1558" s="27" t="n">
        <x:f>INDEX('Model Pricing'!$C$7:$C$8,MATCH(F1558,'Model Pricing'!$A$7:$A$8,0))</x:f>
        <x:v>100</x:v>
      </x:c>
      <x:c r="L1558" s="17" t="n">
        <x:f>G1558+H1558</x:f>
        <x:v>39592</x:v>
      </x:c>
      <x:c r="M1558" s="28" t="n">
        <x:f>G1558*J1558/1000000</x:f>
        <x:v>1.2336</x:v>
      </x:c>
      <x:c r="N1558" s="28" t="n">
        <x:f>H1558*K1558/1000000</x:f>
        <x:v>0.8752</x:v>
      </x:c>
      <x:c r="O1558" s="28" t="n">
        <x:f>SUM(M1558:N1558)</x:f>
        <x:v>2.1088</x:v>
      </x:c>
    </x:row>
    <x:row r="1559" ht="23" customHeight="1">
      <x:c r="A1559" s="17" t="str">
        <x:v>U01553</x:v>
      </x:c>
      <x:c r="B1559" s="18" t="n">
        <x:v>46286</x:v>
      </x:c>
      <x:c r="C1559" s="17" t="str">
        <x:v>W0098</x:v>
      </x:c>
      <x:c r="D1559" s="17" t="str">
        <x:v>C002</x:v>
      </x:c>
      <x:c r="E1559" s="17" t="str">
        <x:v>InsightDesk</x:v>
      </x:c>
      <x:c r="F1559" s="17" t="str">
        <x:v>Pro</x:v>
      </x:c>
      <x:c r="G1559" s="17" t="n">
        <x:v>31209</x:v>
      </x:c>
      <x:c r="H1559" s="17" t="n">
        <x:v>7989</x:v>
      </x:c>
      <x:c r="I1559" s="17" t="str">
        <x:v>Followup</x:v>
      </x:c>
      <x:c r="J1559" s="27" t="n">
        <x:f>INDEX('Model Pricing'!$B$7:$B$8,MATCH(F1559,'Model Pricing'!$A$7:$A$8,0))</x:f>
        <x:v>40</x:v>
      </x:c>
      <x:c r="K1559" s="27" t="n">
        <x:f>INDEX('Model Pricing'!$C$7:$C$8,MATCH(F1559,'Model Pricing'!$A$7:$A$8,0))</x:f>
        <x:v>100</x:v>
      </x:c>
      <x:c r="L1559" s="17" t="n">
        <x:f>G1559+H1559</x:f>
        <x:v>39198</x:v>
      </x:c>
      <x:c r="M1559" s="28" t="n">
        <x:f>G1559*J1559/1000000</x:f>
        <x:v>1.24836</x:v>
      </x:c>
      <x:c r="N1559" s="28" t="n">
        <x:f>H1559*K1559/1000000</x:f>
        <x:v>0.7989</x:v>
      </x:c>
      <x:c r="O1559" s="28" t="n">
        <x:f>SUM(M1559:N1559)</x:f>
        <x:v>2.04726</x:v>
      </x:c>
    </x:row>
    <x:row r="1560" ht="23" customHeight="1">
      <x:c r="A1560" s="17" t="str">
        <x:v>U01554</x:v>
      </x:c>
      <x:c r="B1560" s="18" t="n">
        <x:v>46286</x:v>
      </x:c>
      <x:c r="C1560" s="17" t="str">
        <x:v>W0098</x:v>
      </x:c>
      <x:c r="D1560" s="17" t="str">
        <x:v>C002</x:v>
      </x:c>
      <x:c r="E1560" s="17" t="str">
        <x:v>InsightDesk</x:v>
      </x:c>
      <x:c r="F1560" s="17" t="str">
        <x:v>Pro</x:v>
      </x:c>
      <x:c r="G1560" s="17" t="n">
        <x:v>22722</x:v>
      </x:c>
      <x:c r="H1560" s="17" t="n">
        <x:v>10483</x:v>
      </x:c>
      <x:c r="I1560" s="17" t="str">
        <x:v>Followup</x:v>
      </x:c>
      <x:c r="J1560" s="27" t="n">
        <x:f>INDEX('Model Pricing'!$B$7:$B$8,MATCH(F1560,'Model Pricing'!$A$7:$A$8,0))</x:f>
        <x:v>40</x:v>
      </x:c>
      <x:c r="K1560" s="27" t="n">
        <x:f>INDEX('Model Pricing'!$C$7:$C$8,MATCH(F1560,'Model Pricing'!$A$7:$A$8,0))</x:f>
        <x:v>100</x:v>
      </x:c>
      <x:c r="L1560" s="17" t="n">
        <x:f>G1560+H1560</x:f>
        <x:v>33205</x:v>
      </x:c>
      <x:c r="M1560" s="28" t="n">
        <x:f>G1560*J1560/1000000</x:f>
        <x:v>0.90888</x:v>
      </x:c>
      <x:c r="N1560" s="28" t="n">
        <x:f>H1560*K1560/1000000</x:f>
        <x:v>1.0483</x:v>
      </x:c>
      <x:c r="O1560" s="28" t="n">
        <x:f>SUM(M1560:N1560)</x:f>
        <x:v>1.9571800000000001</x:v>
      </x:c>
    </x:row>
    <x:row r="1561" ht="23" customHeight="1">
      <x:c r="A1561" s="17" t="str">
        <x:v>U01555</x:v>
      </x:c>
      <x:c r="B1561" s="18" t="n">
        <x:v>46286</x:v>
      </x:c>
      <x:c r="C1561" s="17" t="str">
        <x:v>W0098</x:v>
      </x:c>
      <x:c r="D1561" s="17" t="str">
        <x:v>C002</x:v>
      </x:c>
      <x:c r="E1561" s="17" t="str">
        <x:v>InsightDesk</x:v>
      </x:c>
      <x:c r="F1561" s="17" t="str">
        <x:v>Pro</x:v>
      </x:c>
      <x:c r="G1561" s="17" t="n">
        <x:v>15998</x:v>
      </x:c>
      <x:c r="H1561" s="17" t="n">
        <x:v>3080</x:v>
      </x:c>
      <x:c r="I1561" s="17" t="str">
        <x:v>Correction</x:v>
      </x:c>
      <x:c r="J1561" s="27" t="n">
        <x:f>INDEX('Model Pricing'!$B$7:$B$8,MATCH(F1561,'Model Pricing'!$A$7:$A$8,0))</x:f>
        <x:v>40</x:v>
      </x:c>
      <x:c r="K1561" s="27" t="n">
        <x:f>INDEX('Model Pricing'!$C$7:$C$8,MATCH(F1561,'Model Pricing'!$A$7:$A$8,0))</x:f>
        <x:v>100</x:v>
      </x:c>
      <x:c r="L1561" s="17" t="n">
        <x:f>G1561+H1561</x:f>
        <x:v>19078</x:v>
      </x:c>
      <x:c r="M1561" s="28" t="n">
        <x:f>G1561*J1561/1000000</x:f>
        <x:v>0.63992</x:v>
      </x:c>
      <x:c r="N1561" s="28" t="n">
        <x:f>H1561*K1561/1000000</x:f>
        <x:v>0.308</x:v>
      </x:c>
      <x:c r="O1561" s="28" t="n">
        <x:f>SUM(M1561:N1561)</x:f>
        <x:v>0.9479200000000001</x:v>
      </x:c>
    </x:row>
    <x:row r="1562" ht="23" customHeight="1">
      <x:c r="A1562" s="17" t="str">
        <x:v>U01556</x:v>
      </x:c>
      <x:c r="B1562" s="18" t="n">
        <x:v>46286</x:v>
      </x:c>
      <x:c r="C1562" s="17" t="str">
        <x:v>W0098</x:v>
      </x:c>
      <x:c r="D1562" s="17" t="str">
        <x:v>C002</x:v>
      </x:c>
      <x:c r="E1562" s="17" t="str">
        <x:v>InsightDesk</x:v>
      </x:c>
      <x:c r="F1562" s="17" t="str">
        <x:v>Pro</x:v>
      </x:c>
      <x:c r="G1562" s="17" t="n">
        <x:v>29322</x:v>
      </x:c>
      <x:c r="H1562" s="17" t="n">
        <x:v>5727</x:v>
      </x:c>
      <x:c r="I1562" s="17" t="str">
        <x:v>Followup</x:v>
      </x:c>
      <x:c r="J1562" s="27" t="n">
        <x:f>INDEX('Model Pricing'!$B$7:$B$8,MATCH(F1562,'Model Pricing'!$A$7:$A$8,0))</x:f>
        <x:v>40</x:v>
      </x:c>
      <x:c r="K1562" s="27" t="n">
        <x:f>INDEX('Model Pricing'!$C$7:$C$8,MATCH(F1562,'Model Pricing'!$A$7:$A$8,0))</x:f>
        <x:v>100</x:v>
      </x:c>
      <x:c r="L1562" s="17" t="n">
        <x:f>G1562+H1562</x:f>
        <x:v>35049</x:v>
      </x:c>
      <x:c r="M1562" s="28" t="n">
        <x:f>G1562*J1562/1000000</x:f>
        <x:v>1.17288</x:v>
      </x:c>
      <x:c r="N1562" s="28" t="n">
        <x:f>H1562*K1562/1000000</x:f>
        <x:v>0.5727</x:v>
      </x:c>
      <x:c r="O1562" s="28" t="n">
        <x:f>SUM(M1562:N1562)</x:f>
        <x:v>1.74558</x:v>
      </x:c>
    </x:row>
    <x:row r="1563" ht="23" customHeight="1">
      <x:c r="A1563" s="17" t="str">
        <x:v>U01557</x:v>
      </x:c>
      <x:c r="B1563" s="18" t="n">
        <x:v>46286</x:v>
      </x:c>
      <x:c r="C1563" s="17" t="str">
        <x:v>W0098</x:v>
      </x:c>
      <x:c r="D1563" s="17" t="str">
        <x:v>C002</x:v>
      </x:c>
      <x:c r="E1563" s="17" t="str">
        <x:v>InsightDesk</x:v>
      </x:c>
      <x:c r="F1563" s="17" t="str">
        <x:v>Pro</x:v>
      </x:c>
      <x:c r="G1563" s="17" t="n">
        <x:v>16930</x:v>
      </x:c>
      <x:c r="H1563" s="17" t="n">
        <x:v>9409</x:v>
      </x:c>
      <x:c r="I1563" s="17" t="str">
        <x:v>Followup</x:v>
      </x:c>
      <x:c r="J1563" s="27" t="n">
        <x:f>INDEX('Model Pricing'!$B$7:$B$8,MATCH(F1563,'Model Pricing'!$A$7:$A$8,0))</x:f>
        <x:v>40</x:v>
      </x:c>
      <x:c r="K1563" s="27" t="n">
        <x:f>INDEX('Model Pricing'!$C$7:$C$8,MATCH(F1563,'Model Pricing'!$A$7:$A$8,0))</x:f>
        <x:v>100</x:v>
      </x:c>
      <x:c r="L1563" s="17" t="n">
        <x:f>G1563+H1563</x:f>
        <x:v>26339</x:v>
      </x:c>
      <x:c r="M1563" s="28" t="n">
        <x:f>G1563*J1563/1000000</x:f>
        <x:v>0.6772</x:v>
      </x:c>
      <x:c r="N1563" s="28" t="n">
        <x:f>H1563*K1563/1000000</x:f>
        <x:v>0.9409</x:v>
      </x:c>
      <x:c r="O1563" s="28" t="n">
        <x:f>SUM(M1563:N1563)</x:f>
        <x:v>1.6181</x:v>
      </x:c>
    </x:row>
    <x:row r="1564" ht="23" customHeight="1">
      <x:c r="A1564" s="17" t="str">
        <x:v>U01558</x:v>
      </x:c>
      <x:c r="B1564" s="18" t="n">
        <x:v>46287</x:v>
      </x:c>
      <x:c r="C1564" s="17" t="str">
        <x:v>W0098</x:v>
      </x:c>
      <x:c r="D1564" s="17" t="str">
        <x:v>C002</x:v>
      </x:c>
      <x:c r="E1564" s="17" t="str">
        <x:v>InsightDesk</x:v>
      </x:c>
      <x:c r="F1564" s="17" t="str">
        <x:v>Pro</x:v>
      </x:c>
      <x:c r="G1564" s="17" t="n">
        <x:v>31196</x:v>
      </x:c>
      <x:c r="H1564" s="17" t="n">
        <x:v>5858</x:v>
      </x:c>
      <x:c r="I1564" s="17" t="str">
        <x:v>Correction</x:v>
      </x:c>
      <x:c r="J1564" s="27" t="n">
        <x:f>INDEX('Model Pricing'!$B$7:$B$8,MATCH(F1564,'Model Pricing'!$A$7:$A$8,0))</x:f>
        <x:v>40</x:v>
      </x:c>
      <x:c r="K1564" s="27" t="n">
        <x:f>INDEX('Model Pricing'!$C$7:$C$8,MATCH(F1564,'Model Pricing'!$A$7:$A$8,0))</x:f>
        <x:v>100</x:v>
      </x:c>
      <x:c r="L1564" s="17" t="n">
        <x:f>G1564+H1564</x:f>
        <x:v>37054</x:v>
      </x:c>
      <x:c r="M1564" s="28" t="n">
        <x:f>G1564*J1564/1000000</x:f>
        <x:v>1.24784</x:v>
      </x:c>
      <x:c r="N1564" s="28" t="n">
        <x:f>H1564*K1564/1000000</x:f>
        <x:v>0.5858</x:v>
      </x:c>
      <x:c r="O1564" s="28" t="n">
        <x:f>SUM(M1564:N1564)</x:f>
        <x:v>1.83364</x:v>
      </x:c>
    </x:row>
    <x:row r="1565" ht="23" customHeight="1">
      <x:c r="A1565" s="17" t="str">
        <x:v>U01559</x:v>
      </x:c>
      <x:c r="B1565" s="18" t="n">
        <x:v>46287</x:v>
      </x:c>
      <x:c r="C1565" s="17" t="str">
        <x:v>W0098</x:v>
      </x:c>
      <x:c r="D1565" s="17" t="str">
        <x:v>C002</x:v>
      </x:c>
      <x:c r="E1565" s="17" t="str">
        <x:v>InsightDesk</x:v>
      </x:c>
      <x:c r="F1565" s="17" t="str">
        <x:v>Pro</x:v>
      </x:c>
      <x:c r="G1565" s="17" t="n">
        <x:v>16266</x:v>
      </x:c>
      <x:c r="H1565" s="17" t="n">
        <x:v>3349</x:v>
      </x:c>
      <x:c r="I1565" s="17" t="str">
        <x:v>Followup</x:v>
      </x:c>
      <x:c r="J1565" s="27" t="n">
        <x:f>INDEX('Model Pricing'!$B$7:$B$8,MATCH(F1565,'Model Pricing'!$A$7:$A$8,0))</x:f>
        <x:v>40</x:v>
      </x:c>
      <x:c r="K1565" s="27" t="n">
        <x:f>INDEX('Model Pricing'!$C$7:$C$8,MATCH(F1565,'Model Pricing'!$A$7:$A$8,0))</x:f>
        <x:v>100</x:v>
      </x:c>
      <x:c r="L1565" s="17" t="n">
        <x:f>G1565+H1565</x:f>
        <x:v>19615</x:v>
      </x:c>
      <x:c r="M1565" s="28" t="n">
        <x:f>G1565*J1565/1000000</x:f>
        <x:v>0.65064</x:v>
      </x:c>
      <x:c r="N1565" s="28" t="n">
        <x:f>H1565*K1565/1000000</x:f>
        <x:v>0.3349</x:v>
      </x:c>
      <x:c r="O1565" s="28" t="n">
        <x:f>SUM(M1565:N1565)</x:f>
        <x:v>0.98554</x:v>
      </x:c>
    </x:row>
    <x:row r="1566" ht="23" customHeight="1">
      <x:c r="A1566" s="17" t="str">
        <x:v>U01560</x:v>
      </x:c>
      <x:c r="B1566" s="18" t="n">
        <x:v>46287</x:v>
      </x:c>
      <x:c r="C1566" s="17" t="str">
        <x:v>W0098</x:v>
      </x:c>
      <x:c r="D1566" s="17" t="str">
        <x:v>C002</x:v>
      </x:c>
      <x:c r="E1566" s="17" t="str">
        <x:v>InsightDesk</x:v>
      </x:c>
      <x:c r="F1566" s="17" t="str">
        <x:v>Pro</x:v>
      </x:c>
      <x:c r="G1566" s="17" t="n">
        <x:v>27785</x:v>
      </x:c>
      <x:c r="H1566" s="17" t="n">
        <x:v>8384</x:v>
      </x:c>
      <x:c r="I1566" s="17" t="str">
        <x:v>Followup</x:v>
      </x:c>
      <x:c r="J1566" s="27" t="n">
        <x:f>INDEX('Model Pricing'!$B$7:$B$8,MATCH(F1566,'Model Pricing'!$A$7:$A$8,0))</x:f>
        <x:v>40</x:v>
      </x:c>
      <x:c r="K1566" s="27" t="n">
        <x:f>INDEX('Model Pricing'!$C$7:$C$8,MATCH(F1566,'Model Pricing'!$A$7:$A$8,0))</x:f>
        <x:v>100</x:v>
      </x:c>
      <x:c r="L1566" s="17" t="n">
        <x:f>G1566+H1566</x:f>
        <x:v>36169</x:v>
      </x:c>
      <x:c r="M1566" s="28" t="n">
        <x:f>G1566*J1566/1000000</x:f>
        <x:v>1.1114</x:v>
      </x:c>
      <x:c r="N1566" s="28" t="n">
        <x:f>H1566*K1566/1000000</x:f>
        <x:v>0.8384</x:v>
      </x:c>
      <x:c r="O1566" s="28" t="n">
        <x:f>SUM(M1566:N1566)</x:f>
        <x:v>1.9498</x:v>
      </x:c>
    </x:row>
    <x:row r="1567" ht="23" customHeight="1">
      <x:c r="A1567" s="17" t="str">
        <x:v>U01561</x:v>
      </x:c>
      <x:c r="B1567" s="18" t="n">
        <x:v>46287</x:v>
      </x:c>
      <x:c r="C1567" s="17" t="str">
        <x:v>W0098</x:v>
      </x:c>
      <x:c r="D1567" s="17" t="str">
        <x:v>C002</x:v>
      </x:c>
      <x:c r="E1567" s="17" t="str">
        <x:v>InsightDesk</x:v>
      </x:c>
      <x:c r="F1567" s="17" t="str">
        <x:v>Pro</x:v>
      </x:c>
      <x:c r="G1567" s="17" t="n">
        <x:v>19210</x:v>
      </x:c>
      <x:c r="H1567" s="17" t="n">
        <x:v>7473</x:v>
      </x:c>
      <x:c r="I1567" s="17" t="str">
        <x:v>Followup</x:v>
      </x:c>
      <x:c r="J1567" s="27" t="n">
        <x:f>INDEX('Model Pricing'!$B$7:$B$8,MATCH(F1567,'Model Pricing'!$A$7:$A$8,0))</x:f>
        <x:v>40</x:v>
      </x:c>
      <x:c r="K1567" s="27" t="n">
        <x:f>INDEX('Model Pricing'!$C$7:$C$8,MATCH(F1567,'Model Pricing'!$A$7:$A$8,0))</x:f>
        <x:v>100</x:v>
      </x:c>
      <x:c r="L1567" s="17" t="n">
        <x:f>G1567+H1567</x:f>
        <x:v>26683</x:v>
      </x:c>
      <x:c r="M1567" s="28" t="n">
        <x:f>G1567*J1567/1000000</x:f>
        <x:v>0.7684</x:v>
      </x:c>
      <x:c r="N1567" s="28" t="n">
        <x:f>H1567*K1567/1000000</x:f>
        <x:v>0.7473</x:v>
      </x:c>
      <x:c r="O1567" s="28" t="n">
        <x:f>SUM(M1567:N1567)</x:f>
        <x:v>1.5156999999999998</x:v>
      </x:c>
    </x:row>
    <x:row r="1568" ht="23" customHeight="1">
      <x:c r="A1568" s="17" t="str">
        <x:v>U01562</x:v>
      </x:c>
      <x:c r="B1568" s="18" t="n">
        <x:v>46287</x:v>
      </x:c>
      <x:c r="C1568" s="17" t="str">
        <x:v>W0098</x:v>
      </x:c>
      <x:c r="D1568" s="17" t="str">
        <x:v>C002</x:v>
      </x:c>
      <x:c r="E1568" s="17" t="str">
        <x:v>InsightDesk</x:v>
      </x:c>
      <x:c r="F1568" s="17" t="str">
        <x:v>Pro</x:v>
      </x:c>
      <x:c r="G1568" s="17" t="n">
        <x:v>20057</x:v>
      </x:c>
      <x:c r="H1568" s="17" t="n">
        <x:v>10534</x:v>
      </x:c>
      <x:c r="I1568" s="17" t="str">
        <x:v>Followup</x:v>
      </x:c>
      <x:c r="J1568" s="27" t="n">
        <x:f>INDEX('Model Pricing'!$B$7:$B$8,MATCH(F1568,'Model Pricing'!$A$7:$A$8,0))</x:f>
        <x:v>40</x:v>
      </x:c>
      <x:c r="K1568" s="27" t="n">
        <x:f>INDEX('Model Pricing'!$C$7:$C$8,MATCH(F1568,'Model Pricing'!$A$7:$A$8,0))</x:f>
        <x:v>100</x:v>
      </x:c>
      <x:c r="L1568" s="17" t="n">
        <x:f>G1568+H1568</x:f>
        <x:v>30591</x:v>
      </x:c>
      <x:c r="M1568" s="28" t="n">
        <x:f>G1568*J1568/1000000</x:f>
        <x:v>0.80228</x:v>
      </x:c>
      <x:c r="N1568" s="28" t="n">
        <x:f>H1568*K1568/1000000</x:f>
        <x:v>1.0534</x:v>
      </x:c>
      <x:c r="O1568" s="28" t="n">
        <x:f>SUM(M1568:N1568)</x:f>
        <x:v>1.85568</x:v>
      </x:c>
    </x:row>
    <x:row r="1569" ht="23" customHeight="1">
      <x:c r="A1569" s="17" t="str">
        <x:v>U01563</x:v>
      </x:c>
      <x:c r="B1569" s="18" t="n">
        <x:v>46287</x:v>
      </x:c>
      <x:c r="C1569" s="17" t="str">
        <x:v>W0098</x:v>
      </x:c>
      <x:c r="D1569" s="17" t="str">
        <x:v>C002</x:v>
      </x:c>
      <x:c r="E1569" s="17" t="str">
        <x:v>InsightDesk</x:v>
      </x:c>
      <x:c r="F1569" s="17" t="str">
        <x:v>Pro</x:v>
      </x:c>
      <x:c r="G1569" s="17" t="n">
        <x:v>20434</x:v>
      </x:c>
      <x:c r="H1569" s="17" t="n">
        <x:v>3831</x:v>
      </x:c>
      <x:c r="I1569" s="17" t="str">
        <x:v>Correction</x:v>
      </x:c>
      <x:c r="J1569" s="27" t="n">
        <x:f>INDEX('Model Pricing'!$B$7:$B$8,MATCH(F1569,'Model Pricing'!$A$7:$A$8,0))</x:f>
        <x:v>40</x:v>
      </x:c>
      <x:c r="K1569" s="27" t="n">
        <x:f>INDEX('Model Pricing'!$C$7:$C$8,MATCH(F1569,'Model Pricing'!$A$7:$A$8,0))</x:f>
        <x:v>100</x:v>
      </x:c>
      <x:c r="L1569" s="17" t="n">
        <x:f>G1569+H1569</x:f>
        <x:v>24265</x:v>
      </x:c>
      <x:c r="M1569" s="28" t="n">
        <x:f>G1569*J1569/1000000</x:f>
        <x:v>0.81736</x:v>
      </x:c>
      <x:c r="N1569" s="28" t="n">
        <x:f>H1569*K1569/1000000</x:f>
        <x:v>0.3831</x:v>
      </x:c>
      <x:c r="O1569" s="28" t="n">
        <x:f>SUM(M1569:N1569)</x:f>
        <x:v>1.20046</x:v>
      </x:c>
    </x:row>
    <x:row r="1570" ht="23" customHeight="1">
      <x:c r="A1570" s="17" t="str">
        <x:v>U01564</x:v>
      </x:c>
      <x:c r="B1570" s="18" t="n">
        <x:v>46288</x:v>
      </x:c>
      <x:c r="C1570" s="17" t="str">
        <x:v>W0098</x:v>
      </x:c>
      <x:c r="D1570" s="17" t="str">
        <x:v>C002</x:v>
      </x:c>
      <x:c r="E1570" s="17" t="str">
        <x:v>InsightDesk</x:v>
      </x:c>
      <x:c r="F1570" s="17" t="str">
        <x:v>Pro</x:v>
      </x:c>
      <x:c r="G1570" s="17" t="n">
        <x:v>29613</x:v>
      </x:c>
      <x:c r="H1570" s="17" t="n">
        <x:v>8338</x:v>
      </x:c>
      <x:c r="I1570" s="17" t="str">
        <x:v>Followup</x:v>
      </x:c>
      <x:c r="J1570" s="27" t="n">
        <x:f>INDEX('Model Pricing'!$B$7:$B$8,MATCH(F1570,'Model Pricing'!$A$7:$A$8,0))</x:f>
        <x:v>40</x:v>
      </x:c>
      <x:c r="K1570" s="27" t="n">
        <x:f>INDEX('Model Pricing'!$C$7:$C$8,MATCH(F1570,'Model Pricing'!$A$7:$A$8,0))</x:f>
        <x:v>100</x:v>
      </x:c>
      <x:c r="L1570" s="17" t="n">
        <x:f>G1570+H1570</x:f>
        <x:v>37951</x:v>
      </x:c>
      <x:c r="M1570" s="28" t="n">
        <x:f>G1570*J1570/1000000</x:f>
        <x:v>1.18452</x:v>
      </x:c>
      <x:c r="N1570" s="28" t="n">
        <x:f>H1570*K1570/1000000</x:f>
        <x:v>0.8338</x:v>
      </x:c>
      <x:c r="O1570" s="28" t="n">
        <x:f>SUM(M1570:N1570)</x:f>
        <x:v>2.01832</x:v>
      </x:c>
    </x:row>
    <x:row r="1571" ht="23" customHeight="1">
      <x:c r="A1571" s="17" t="str">
        <x:v>U01565</x:v>
      </x:c>
      <x:c r="B1571" s="18" t="n">
        <x:v>46288</x:v>
      </x:c>
      <x:c r="C1571" s="17" t="str">
        <x:v>W0098</x:v>
      </x:c>
      <x:c r="D1571" s="17" t="str">
        <x:v>C002</x:v>
      </x:c>
      <x:c r="E1571" s="17" t="str">
        <x:v>InsightDesk</x:v>
      </x:c>
      <x:c r="F1571" s="17" t="str">
        <x:v>Pro</x:v>
      </x:c>
      <x:c r="G1571" s="17" t="n">
        <x:v>27741</x:v>
      </x:c>
      <x:c r="H1571" s="17" t="n">
        <x:v>11097</x:v>
      </x:c>
      <x:c r="I1571" s="17" t="str">
        <x:v>Correction</x:v>
      </x:c>
      <x:c r="J1571" s="27" t="n">
        <x:f>INDEX('Model Pricing'!$B$7:$B$8,MATCH(F1571,'Model Pricing'!$A$7:$A$8,0))</x:f>
        <x:v>40</x:v>
      </x:c>
      <x:c r="K1571" s="27" t="n">
        <x:f>INDEX('Model Pricing'!$C$7:$C$8,MATCH(F1571,'Model Pricing'!$A$7:$A$8,0))</x:f>
        <x:v>100</x:v>
      </x:c>
      <x:c r="L1571" s="17" t="n">
        <x:f>G1571+H1571</x:f>
        <x:v>38838</x:v>
      </x:c>
      <x:c r="M1571" s="28" t="n">
        <x:f>G1571*J1571/1000000</x:f>
        <x:v>1.10964</x:v>
      </x:c>
      <x:c r="N1571" s="28" t="n">
        <x:f>H1571*K1571/1000000</x:f>
        <x:v>1.1097</x:v>
      </x:c>
      <x:c r="O1571" s="28" t="n">
        <x:f>SUM(M1571:N1571)</x:f>
        <x:v>2.21934</x:v>
      </x:c>
    </x:row>
    <x:row r="1572" ht="23" customHeight="1">
      <x:c r="A1572" s="17" t="str">
        <x:v>U01566</x:v>
      </x:c>
      <x:c r="B1572" s="18" t="n">
        <x:v>46288</x:v>
      </x:c>
      <x:c r="C1572" s="17" t="str">
        <x:v>W0098</x:v>
      </x:c>
      <x:c r="D1572" s="17" t="str">
        <x:v>C002</x:v>
      </x:c>
      <x:c r="E1572" s="17" t="str">
        <x:v>InsightDesk</x:v>
      </x:c>
      <x:c r="F1572" s="17" t="str">
        <x:v>Pro</x:v>
      </x:c>
      <x:c r="G1572" s="17" t="n">
        <x:v>21137</x:v>
      </x:c>
      <x:c r="H1572" s="17" t="n">
        <x:v>8246</x:v>
      </x:c>
      <x:c r="I1572" s="17" t="str">
        <x:v>Followup</x:v>
      </x:c>
      <x:c r="J1572" s="27" t="n">
        <x:f>INDEX('Model Pricing'!$B$7:$B$8,MATCH(F1572,'Model Pricing'!$A$7:$A$8,0))</x:f>
        <x:v>40</x:v>
      </x:c>
      <x:c r="K1572" s="27" t="n">
        <x:f>INDEX('Model Pricing'!$C$7:$C$8,MATCH(F1572,'Model Pricing'!$A$7:$A$8,0))</x:f>
        <x:v>100</x:v>
      </x:c>
      <x:c r="L1572" s="17" t="n">
        <x:f>G1572+H1572</x:f>
        <x:v>29383</x:v>
      </x:c>
      <x:c r="M1572" s="28" t="n">
        <x:f>G1572*J1572/1000000</x:f>
        <x:v>0.84548</x:v>
      </x:c>
      <x:c r="N1572" s="28" t="n">
        <x:f>H1572*K1572/1000000</x:f>
        <x:v>0.8246</x:v>
      </x:c>
      <x:c r="O1572" s="28" t="n">
        <x:f>SUM(M1572:N1572)</x:f>
        <x:v>1.67008</x:v>
      </x:c>
    </x:row>
    <x:row r="1573" ht="23" customHeight="1">
      <x:c r="A1573" s="17" t="str">
        <x:v>U01567</x:v>
      </x:c>
      <x:c r="B1573" s="18" t="n">
        <x:v>46288</x:v>
      </x:c>
      <x:c r="C1573" s="17" t="str">
        <x:v>W0098</x:v>
      </x:c>
      <x:c r="D1573" s="17" t="str">
        <x:v>C002</x:v>
      </x:c>
      <x:c r="E1573" s="17" t="str">
        <x:v>InsightDesk</x:v>
      </x:c>
      <x:c r="F1573" s="17" t="str">
        <x:v>Pro</x:v>
      </x:c>
      <x:c r="G1573" s="17" t="n">
        <x:v>11074</x:v>
      </x:c>
      <x:c r="H1573" s="17" t="n">
        <x:v>6509</x:v>
      </x:c>
      <x:c r="I1573" s="17" t="str">
        <x:v>Followup</x:v>
      </x:c>
      <x:c r="J1573" s="27" t="n">
        <x:f>INDEX('Model Pricing'!$B$7:$B$8,MATCH(F1573,'Model Pricing'!$A$7:$A$8,0))</x:f>
        <x:v>40</x:v>
      </x:c>
      <x:c r="K1573" s="27" t="n">
        <x:f>INDEX('Model Pricing'!$C$7:$C$8,MATCH(F1573,'Model Pricing'!$A$7:$A$8,0))</x:f>
        <x:v>100</x:v>
      </x:c>
      <x:c r="L1573" s="17" t="n">
        <x:f>G1573+H1573</x:f>
        <x:v>17583</x:v>
      </x:c>
      <x:c r="M1573" s="28" t="n">
        <x:f>G1573*J1573/1000000</x:f>
        <x:v>0.44296</x:v>
      </x:c>
      <x:c r="N1573" s="28" t="n">
        <x:f>H1573*K1573/1000000</x:f>
        <x:v>0.6509</x:v>
      </x:c>
      <x:c r="O1573" s="28" t="n">
        <x:f>SUM(M1573:N1573)</x:f>
        <x:v>1.09386</x:v>
      </x:c>
    </x:row>
    <x:row r="1574" ht="23" customHeight="1">
      <x:c r="A1574" s="17" t="str">
        <x:v>U01568</x:v>
      </x:c>
      <x:c r="B1574" s="18" t="n">
        <x:v>46288</x:v>
      </x:c>
      <x:c r="C1574" s="17" t="str">
        <x:v>W0098</x:v>
      </x:c>
      <x:c r="D1574" s="17" t="str">
        <x:v>C002</x:v>
      </x:c>
      <x:c r="E1574" s="17" t="str">
        <x:v>InsightDesk</x:v>
      </x:c>
      <x:c r="F1574" s="17" t="str">
        <x:v>Pro</x:v>
      </x:c>
      <x:c r="G1574" s="17" t="n">
        <x:v>23717</x:v>
      </x:c>
      <x:c r="H1574" s="17" t="n">
        <x:v>7776</x:v>
      </x:c>
      <x:c r="I1574" s="17" t="str">
        <x:v>Followup</x:v>
      </x:c>
      <x:c r="J1574" s="27" t="n">
        <x:f>INDEX('Model Pricing'!$B$7:$B$8,MATCH(F1574,'Model Pricing'!$A$7:$A$8,0))</x:f>
        <x:v>40</x:v>
      </x:c>
      <x:c r="K1574" s="27" t="n">
        <x:f>INDEX('Model Pricing'!$C$7:$C$8,MATCH(F1574,'Model Pricing'!$A$7:$A$8,0))</x:f>
        <x:v>100</x:v>
      </x:c>
      <x:c r="L1574" s="17" t="n">
        <x:f>G1574+H1574</x:f>
        <x:v>31493</x:v>
      </x:c>
      <x:c r="M1574" s="28" t="n">
        <x:f>G1574*J1574/1000000</x:f>
        <x:v>0.94868</x:v>
      </x:c>
      <x:c r="N1574" s="28" t="n">
        <x:f>H1574*K1574/1000000</x:f>
        <x:v>0.7776</x:v>
      </x:c>
      <x:c r="O1574" s="28" t="n">
        <x:f>SUM(M1574:N1574)</x:f>
        <x:v>1.72628</x:v>
      </x:c>
    </x:row>
    <x:row r="1575" ht="23" customHeight="1">
      <x:c r="A1575" s="17" t="str">
        <x:v>U01569</x:v>
      </x:c>
      <x:c r="B1575" s="18" t="n">
        <x:v>46288</x:v>
      </x:c>
      <x:c r="C1575" s="17" t="str">
        <x:v>W0098</x:v>
      </x:c>
      <x:c r="D1575" s="17" t="str">
        <x:v>C002</x:v>
      </x:c>
      <x:c r="E1575" s="17" t="str">
        <x:v>InsightDesk</x:v>
      </x:c>
      <x:c r="F1575" s="17" t="str">
        <x:v>Pro</x:v>
      </x:c>
      <x:c r="G1575" s="17" t="n">
        <x:v>28689</x:v>
      </x:c>
      <x:c r="H1575" s="17" t="n">
        <x:v>7961</x:v>
      </x:c>
      <x:c r="I1575" s="17" t="str">
        <x:v>Followup</x:v>
      </x:c>
      <x:c r="J1575" s="27" t="n">
        <x:f>INDEX('Model Pricing'!$B$7:$B$8,MATCH(F1575,'Model Pricing'!$A$7:$A$8,0))</x:f>
        <x:v>40</x:v>
      </x:c>
      <x:c r="K1575" s="27" t="n">
        <x:f>INDEX('Model Pricing'!$C$7:$C$8,MATCH(F1575,'Model Pricing'!$A$7:$A$8,0))</x:f>
        <x:v>100</x:v>
      </x:c>
      <x:c r="L1575" s="17" t="n">
        <x:f>G1575+H1575</x:f>
        <x:v>36650</x:v>
      </x:c>
      <x:c r="M1575" s="28" t="n">
        <x:f>G1575*J1575/1000000</x:f>
        <x:v>1.14756</x:v>
      </x:c>
      <x:c r="N1575" s="28" t="n">
        <x:f>H1575*K1575/1000000</x:f>
        <x:v>0.7961</x:v>
      </x:c>
      <x:c r="O1575" s="28" t="n">
        <x:f>SUM(M1575:N1575)</x:f>
        <x:v>1.94366</x:v>
      </x:c>
    </x:row>
    <x:row r="1576" ht="23" customHeight="1">
      <x:c r="A1576" s="17" t="str">
        <x:v>U01570</x:v>
      </x:c>
      <x:c r="B1576" s="18" t="n">
        <x:v>46289</x:v>
      </x:c>
      <x:c r="C1576" s="17" t="str">
        <x:v>W0098</x:v>
      </x:c>
      <x:c r="D1576" s="17" t="str">
        <x:v>C002</x:v>
      </x:c>
      <x:c r="E1576" s="17" t="str">
        <x:v>InsightDesk</x:v>
      </x:c>
      <x:c r="F1576" s="17" t="str">
        <x:v>Pro</x:v>
      </x:c>
      <x:c r="G1576" s="17" t="n">
        <x:v>30685</x:v>
      </x:c>
      <x:c r="H1576" s="17" t="n">
        <x:v>7550</x:v>
      </x:c>
      <x:c r="I1576" s="17" t="str">
        <x:v>Followup</x:v>
      </x:c>
      <x:c r="J1576" s="27" t="n">
        <x:f>INDEX('Model Pricing'!$B$7:$B$8,MATCH(F1576,'Model Pricing'!$A$7:$A$8,0))</x:f>
        <x:v>40</x:v>
      </x:c>
      <x:c r="K1576" s="27" t="n">
        <x:f>INDEX('Model Pricing'!$C$7:$C$8,MATCH(F1576,'Model Pricing'!$A$7:$A$8,0))</x:f>
        <x:v>100</x:v>
      </x:c>
      <x:c r="L1576" s="17" t="n">
        <x:f>G1576+H1576</x:f>
        <x:v>38235</x:v>
      </x:c>
      <x:c r="M1576" s="28" t="n">
        <x:f>G1576*J1576/1000000</x:f>
        <x:v>1.2274</x:v>
      </x:c>
      <x:c r="N1576" s="28" t="n">
        <x:f>H1576*K1576/1000000</x:f>
        <x:v>0.755</x:v>
      </x:c>
      <x:c r="O1576" s="28" t="n">
        <x:f>SUM(M1576:N1576)</x:f>
        <x:v>1.9824000000000002</x:v>
      </x:c>
    </x:row>
    <x:row r="1577" ht="23" customHeight="1">
      <x:c r="A1577" s="17" t="str">
        <x:v>U01571</x:v>
      </x:c>
      <x:c r="B1577" s="18" t="n">
        <x:v>46289</x:v>
      </x:c>
      <x:c r="C1577" s="17" t="str">
        <x:v>W0098</x:v>
      </x:c>
      <x:c r="D1577" s="17" t="str">
        <x:v>C002</x:v>
      </x:c>
      <x:c r="E1577" s="17" t="str">
        <x:v>InsightDesk</x:v>
      </x:c>
      <x:c r="F1577" s="17" t="str">
        <x:v>Pro</x:v>
      </x:c>
      <x:c r="G1577" s="17" t="n">
        <x:v>29588</x:v>
      </x:c>
      <x:c r="H1577" s="17" t="n">
        <x:v>11278</x:v>
      </x:c>
      <x:c r="I1577" s="17" t="str">
        <x:v>Correction</x:v>
      </x:c>
      <x:c r="J1577" s="27" t="n">
        <x:f>INDEX('Model Pricing'!$B$7:$B$8,MATCH(F1577,'Model Pricing'!$A$7:$A$8,0))</x:f>
        <x:v>40</x:v>
      </x:c>
      <x:c r="K1577" s="27" t="n">
        <x:f>INDEX('Model Pricing'!$C$7:$C$8,MATCH(F1577,'Model Pricing'!$A$7:$A$8,0))</x:f>
        <x:v>100</x:v>
      </x:c>
      <x:c r="L1577" s="17" t="n">
        <x:f>G1577+H1577</x:f>
        <x:v>40866</x:v>
      </x:c>
      <x:c r="M1577" s="28" t="n">
        <x:f>G1577*J1577/1000000</x:f>
        <x:v>1.18352</x:v>
      </x:c>
      <x:c r="N1577" s="28" t="n">
        <x:f>H1577*K1577/1000000</x:f>
        <x:v>1.1278</x:v>
      </x:c>
      <x:c r="O1577" s="28" t="n">
        <x:f>SUM(M1577:N1577)</x:f>
        <x:v>2.31132</x:v>
      </x:c>
    </x:row>
    <x:row r="1578" ht="23" customHeight="1">
      <x:c r="A1578" s="17" t="str">
        <x:v>U01572</x:v>
      </x:c>
      <x:c r="B1578" s="18" t="n">
        <x:v>46289</x:v>
      </x:c>
      <x:c r="C1578" s="17" t="str">
        <x:v>W0098</x:v>
      </x:c>
      <x:c r="D1578" s="17" t="str">
        <x:v>C002</x:v>
      </x:c>
      <x:c r="E1578" s="17" t="str">
        <x:v>InsightDesk</x:v>
      </x:c>
      <x:c r="F1578" s="17" t="str">
        <x:v>Pro</x:v>
      </x:c>
      <x:c r="G1578" s="17" t="n">
        <x:v>14186</x:v>
      </x:c>
      <x:c r="H1578" s="17" t="n">
        <x:v>7278</x:v>
      </x:c>
      <x:c r="I1578" s="17" t="str">
        <x:v>Correction</x:v>
      </x:c>
      <x:c r="J1578" s="27" t="n">
        <x:f>INDEX('Model Pricing'!$B$7:$B$8,MATCH(F1578,'Model Pricing'!$A$7:$A$8,0))</x:f>
        <x:v>40</x:v>
      </x:c>
      <x:c r="K1578" s="27" t="n">
        <x:f>INDEX('Model Pricing'!$C$7:$C$8,MATCH(F1578,'Model Pricing'!$A$7:$A$8,0))</x:f>
        <x:v>100</x:v>
      </x:c>
      <x:c r="L1578" s="17" t="n">
        <x:f>G1578+H1578</x:f>
        <x:v>21464</x:v>
      </x:c>
      <x:c r="M1578" s="28" t="n">
        <x:f>G1578*J1578/1000000</x:f>
        <x:v>0.56744</x:v>
      </x:c>
      <x:c r="N1578" s="28" t="n">
        <x:f>H1578*K1578/1000000</x:f>
        <x:v>0.7278</x:v>
      </x:c>
      <x:c r="O1578" s="28" t="n">
        <x:f>SUM(M1578:N1578)</x:f>
        <x:v>1.2952400000000002</x:v>
      </x:c>
    </x:row>
    <x:row r="1579" ht="23" customHeight="1">
      <x:c r="A1579" s="17" t="str">
        <x:v>U01573</x:v>
      </x:c>
      <x:c r="B1579" s="18" t="n">
        <x:v>46289</x:v>
      </x:c>
      <x:c r="C1579" s="17" t="str">
        <x:v>W0098</x:v>
      </x:c>
      <x:c r="D1579" s="17" t="str">
        <x:v>C002</x:v>
      </x:c>
      <x:c r="E1579" s="17" t="str">
        <x:v>InsightDesk</x:v>
      </x:c>
      <x:c r="F1579" s="17" t="str">
        <x:v>Pro</x:v>
      </x:c>
      <x:c r="G1579" s="17" t="n">
        <x:v>25903</x:v>
      </x:c>
      <x:c r="H1579" s="17" t="n">
        <x:v>11469</x:v>
      </x:c>
      <x:c r="I1579" s="17" t="str">
        <x:v>Correction</x:v>
      </x:c>
      <x:c r="J1579" s="27" t="n">
        <x:f>INDEX('Model Pricing'!$B$7:$B$8,MATCH(F1579,'Model Pricing'!$A$7:$A$8,0))</x:f>
        <x:v>40</x:v>
      </x:c>
      <x:c r="K1579" s="27" t="n">
        <x:f>INDEX('Model Pricing'!$C$7:$C$8,MATCH(F1579,'Model Pricing'!$A$7:$A$8,0))</x:f>
        <x:v>100</x:v>
      </x:c>
      <x:c r="L1579" s="17" t="n">
        <x:f>G1579+H1579</x:f>
        <x:v>37372</x:v>
      </x:c>
      <x:c r="M1579" s="28" t="n">
        <x:f>G1579*J1579/1000000</x:f>
        <x:v>1.03612</x:v>
      </x:c>
      <x:c r="N1579" s="28" t="n">
        <x:f>H1579*K1579/1000000</x:f>
        <x:v>1.1469</x:v>
      </x:c>
      <x:c r="O1579" s="28" t="n">
        <x:f>SUM(M1579:N1579)</x:f>
        <x:v>2.18302</x:v>
      </x:c>
    </x:row>
    <x:row r="1580" ht="23" customHeight="1">
      <x:c r="A1580" s="17" t="str">
        <x:v>U01574</x:v>
      </x:c>
      <x:c r="B1580" s="18" t="n">
        <x:v>46289</x:v>
      </x:c>
      <x:c r="C1580" s="17" t="str">
        <x:v>W0098</x:v>
      </x:c>
      <x:c r="D1580" s="17" t="str">
        <x:v>C002</x:v>
      </x:c>
      <x:c r="E1580" s="17" t="str">
        <x:v>InsightDesk</x:v>
      </x:c>
      <x:c r="F1580" s="17" t="str">
        <x:v>Pro</x:v>
      </x:c>
      <x:c r="G1580" s="17" t="n">
        <x:v>30987</x:v>
      </x:c>
      <x:c r="H1580" s="17" t="n">
        <x:v>7418</x:v>
      </x:c>
      <x:c r="I1580" s="17" t="str">
        <x:v>Followup</x:v>
      </x:c>
      <x:c r="J1580" s="27" t="n">
        <x:f>INDEX('Model Pricing'!$B$7:$B$8,MATCH(F1580,'Model Pricing'!$A$7:$A$8,0))</x:f>
        <x:v>40</x:v>
      </x:c>
      <x:c r="K1580" s="27" t="n">
        <x:f>INDEX('Model Pricing'!$C$7:$C$8,MATCH(F1580,'Model Pricing'!$A$7:$A$8,0))</x:f>
        <x:v>100</x:v>
      </x:c>
      <x:c r="L1580" s="17" t="n">
        <x:f>G1580+H1580</x:f>
        <x:v>38405</x:v>
      </x:c>
      <x:c r="M1580" s="28" t="n">
        <x:f>G1580*J1580/1000000</x:f>
        <x:v>1.23948</x:v>
      </x:c>
      <x:c r="N1580" s="28" t="n">
        <x:f>H1580*K1580/1000000</x:f>
        <x:v>0.7418</x:v>
      </x:c>
      <x:c r="O1580" s="28" t="n">
        <x:f>SUM(M1580:N1580)</x:f>
        <x:v>1.98128</x:v>
      </x:c>
    </x:row>
    <x:row r="1581" ht="23" customHeight="1">
      <x:c r="A1581" s="17" t="str">
        <x:v>U01575</x:v>
      </x:c>
      <x:c r="B1581" s="18" t="n">
        <x:v>46289</x:v>
      </x:c>
      <x:c r="C1581" s="17" t="str">
        <x:v>W0098</x:v>
      </x:c>
      <x:c r="D1581" s="17" t="str">
        <x:v>C002</x:v>
      </x:c>
      <x:c r="E1581" s="17" t="str">
        <x:v>InsightDesk</x:v>
      </x:c>
      <x:c r="F1581" s="17" t="str">
        <x:v>Pro</x:v>
      </x:c>
      <x:c r="G1581" s="17" t="n">
        <x:v>22210</x:v>
      </x:c>
      <x:c r="H1581" s="17" t="n">
        <x:v>5064</x:v>
      </x:c>
      <x:c r="I1581" s="17" t="str">
        <x:v>Followup</x:v>
      </x:c>
      <x:c r="J1581" s="27" t="n">
        <x:f>INDEX('Model Pricing'!$B$7:$B$8,MATCH(F1581,'Model Pricing'!$A$7:$A$8,0))</x:f>
        <x:v>40</x:v>
      </x:c>
      <x:c r="K1581" s="27" t="n">
        <x:f>INDEX('Model Pricing'!$C$7:$C$8,MATCH(F1581,'Model Pricing'!$A$7:$A$8,0))</x:f>
        <x:v>100</x:v>
      </x:c>
      <x:c r="L1581" s="17" t="n">
        <x:f>G1581+H1581</x:f>
        <x:v>27274</x:v>
      </x:c>
      <x:c r="M1581" s="28" t="n">
        <x:f>G1581*J1581/1000000</x:f>
        <x:v>0.8884</x:v>
      </x:c>
      <x:c r="N1581" s="28" t="n">
        <x:f>H1581*K1581/1000000</x:f>
        <x:v>0.5064</x:v>
      </x:c>
      <x:c r="O1581" s="28" t="n">
        <x:f>SUM(M1581:N1581)</x:f>
        <x:v>1.3948</x:v>
      </x:c>
    </x:row>
    <x:row r="1582" ht="23" customHeight="1">
      <x:c r="A1582" s="17" t="str">
        <x:v>U01576</x:v>
      </x:c>
      <x:c r="B1582" s="18" t="n">
        <x:v>46280</x:v>
      </x:c>
      <x:c r="C1582" s="17" t="str">
        <x:v>W0100</x:v>
      </x:c>
      <x:c r="D1582" s="17" t="str">
        <x:v>C002</x:v>
      </x:c>
      <x:c r="E1582" s="17" t="str">
        <x:v>CopyStudio</x:v>
      </x:c>
      <x:c r="F1582" s="17" t="str">
        <x:v>Pro</x:v>
      </x:c>
      <x:c r="G1582" s="17" t="n">
        <x:v>25342</x:v>
      </x:c>
      <x:c r="H1582" s="17" t="n">
        <x:v>6603</x:v>
      </x:c>
      <x:c r="I1582" s="17" t="str">
        <x:v>First attempt</x:v>
      </x:c>
      <x:c r="J1582" s="27" t="n">
        <x:f>INDEX('Model Pricing'!$B$7:$B$8,MATCH(F1582,'Model Pricing'!$A$7:$A$8,0))</x:f>
        <x:v>40</x:v>
      </x:c>
      <x:c r="K1582" s="27" t="n">
        <x:f>INDEX('Model Pricing'!$C$7:$C$8,MATCH(F1582,'Model Pricing'!$A$7:$A$8,0))</x:f>
        <x:v>100</x:v>
      </x:c>
      <x:c r="L1582" s="17" t="n">
        <x:f>G1582+H1582</x:f>
        <x:v>31945</x:v>
      </x:c>
      <x:c r="M1582" s="28" t="n">
        <x:f>G1582*J1582/1000000</x:f>
        <x:v>1.01368</x:v>
      </x:c>
      <x:c r="N1582" s="28" t="n">
        <x:f>H1582*K1582/1000000</x:f>
        <x:v>0.6603</x:v>
      </x:c>
      <x:c r="O1582" s="28" t="n">
        <x:f>SUM(M1582:N1582)</x:f>
        <x:v>1.6739799999999998</x:v>
      </x:c>
    </x:row>
    <x:row r="1583" ht="23" customHeight="1">
      <x:c r="A1583" s="17" t="str">
        <x:v>U01577</x:v>
      </x:c>
      <x:c r="B1583" s="18" t="n">
        <x:v>46280</x:v>
      </x:c>
      <x:c r="C1583" s="17" t="str">
        <x:v>W0100</x:v>
      </x:c>
      <x:c r="D1583" s="17" t="str">
        <x:v>C002</x:v>
      </x:c>
      <x:c r="E1583" s="17" t="str">
        <x:v>CopyStudio</x:v>
      </x:c>
      <x:c r="F1583" s="17" t="str">
        <x:v>Pro</x:v>
      </x:c>
      <x:c r="G1583" s="17" t="n">
        <x:v>19847</x:v>
      </x:c>
      <x:c r="H1583" s="17" t="n">
        <x:v>4813</x:v>
      </x:c>
      <x:c r="I1583" s="17" t="str">
        <x:v>Followup</x:v>
      </x:c>
      <x:c r="J1583" s="27" t="n">
        <x:f>INDEX('Model Pricing'!$B$7:$B$8,MATCH(F1583,'Model Pricing'!$A$7:$A$8,0))</x:f>
        <x:v>40</x:v>
      </x:c>
      <x:c r="K1583" s="27" t="n">
        <x:f>INDEX('Model Pricing'!$C$7:$C$8,MATCH(F1583,'Model Pricing'!$A$7:$A$8,0))</x:f>
        <x:v>100</x:v>
      </x:c>
      <x:c r="L1583" s="17" t="n">
        <x:f>G1583+H1583</x:f>
        <x:v>24660</x:v>
      </x:c>
      <x:c r="M1583" s="28" t="n">
        <x:f>G1583*J1583/1000000</x:f>
        <x:v>0.79388</x:v>
      </x:c>
      <x:c r="N1583" s="28" t="n">
        <x:f>H1583*K1583/1000000</x:f>
        <x:v>0.4813</x:v>
      </x:c>
      <x:c r="O1583" s="28" t="n">
        <x:f>SUM(M1583:N1583)</x:f>
        <x:v>1.27518</x:v>
      </x:c>
    </x:row>
    <x:row r="1584" ht="23" customHeight="1">
      <x:c r="A1584" s="17" t="str">
        <x:v>U01578</x:v>
      </x:c>
      <x:c r="B1584" s="18" t="n">
        <x:v>46280</x:v>
      </x:c>
      <x:c r="C1584" s="17" t="str">
        <x:v>W0100</x:v>
      </x:c>
      <x:c r="D1584" s="17" t="str">
        <x:v>C002</x:v>
      </x:c>
      <x:c r="E1584" s="17" t="str">
        <x:v>CopyStudio</x:v>
      </x:c>
      <x:c r="F1584" s="17" t="str">
        <x:v>Pro</x:v>
      </x:c>
      <x:c r="G1584" s="17" t="n">
        <x:v>14129</x:v>
      </x:c>
      <x:c r="H1584" s="17" t="n">
        <x:v>10455</x:v>
      </x:c>
      <x:c r="I1584" s="17" t="str">
        <x:v>Followup</x:v>
      </x:c>
      <x:c r="J1584" s="27" t="n">
        <x:f>INDEX('Model Pricing'!$B$7:$B$8,MATCH(F1584,'Model Pricing'!$A$7:$A$8,0))</x:f>
        <x:v>40</x:v>
      </x:c>
      <x:c r="K1584" s="27" t="n">
        <x:f>INDEX('Model Pricing'!$C$7:$C$8,MATCH(F1584,'Model Pricing'!$A$7:$A$8,0))</x:f>
        <x:v>100</x:v>
      </x:c>
      <x:c r="L1584" s="17" t="n">
        <x:f>G1584+H1584</x:f>
        <x:v>24584</x:v>
      </x:c>
      <x:c r="M1584" s="28" t="n">
        <x:f>G1584*J1584/1000000</x:f>
        <x:v>0.56516</x:v>
      </x:c>
      <x:c r="N1584" s="28" t="n">
        <x:f>H1584*K1584/1000000</x:f>
        <x:v>1.0455</x:v>
      </x:c>
      <x:c r="O1584" s="28" t="n">
        <x:f>SUM(M1584:N1584)</x:f>
        <x:v>1.6106600000000002</x:v>
      </x:c>
    </x:row>
    <x:row r="1585" ht="23" customHeight="1">
      <x:c r="A1585" s="17" t="str">
        <x:v>U01579</x:v>
      </x:c>
      <x:c r="B1585" s="18" t="n">
        <x:v>46280</x:v>
      </x:c>
      <x:c r="C1585" s="17" t="str">
        <x:v>W0100</x:v>
      </x:c>
      <x:c r="D1585" s="17" t="str">
        <x:v>C002</x:v>
      </x:c>
      <x:c r="E1585" s="17" t="str">
        <x:v>CopyStudio</x:v>
      </x:c>
      <x:c r="F1585" s="17" t="str">
        <x:v>Pro</x:v>
      </x:c>
      <x:c r="G1585" s="17" t="n">
        <x:v>22870</x:v>
      </x:c>
      <x:c r="H1585" s="17" t="n">
        <x:v>13671</x:v>
      </x:c>
      <x:c r="I1585" s="17" t="str">
        <x:v>Followup</x:v>
      </x:c>
      <x:c r="J1585" s="27" t="n">
        <x:f>INDEX('Model Pricing'!$B$7:$B$8,MATCH(F1585,'Model Pricing'!$A$7:$A$8,0))</x:f>
        <x:v>40</x:v>
      </x:c>
      <x:c r="K1585" s="27" t="n">
        <x:f>INDEX('Model Pricing'!$C$7:$C$8,MATCH(F1585,'Model Pricing'!$A$7:$A$8,0))</x:f>
        <x:v>100</x:v>
      </x:c>
      <x:c r="L1585" s="17" t="n">
        <x:f>G1585+H1585</x:f>
        <x:v>36541</x:v>
      </x:c>
      <x:c r="M1585" s="28" t="n">
        <x:f>G1585*J1585/1000000</x:f>
        <x:v>0.9148</x:v>
      </x:c>
      <x:c r="N1585" s="28" t="n">
        <x:f>H1585*K1585/1000000</x:f>
        <x:v>1.3671</x:v>
      </x:c>
      <x:c r="O1585" s="28" t="n">
        <x:f>SUM(M1585:N1585)</x:f>
        <x:v>2.2819</x:v>
      </x:c>
    </x:row>
    <x:row r="1586" ht="23" customHeight="1">
      <x:c r="A1586" s="17" t="str">
        <x:v>U01580</x:v>
      </x:c>
      <x:c r="B1586" s="18" t="n">
        <x:v>46280</x:v>
      </x:c>
      <x:c r="C1586" s="17" t="str">
        <x:v>W0100</x:v>
      </x:c>
      <x:c r="D1586" s="17" t="str">
        <x:v>C002</x:v>
      </x:c>
      <x:c r="E1586" s="17" t="str">
        <x:v>CopyStudio</x:v>
      </x:c>
      <x:c r="F1586" s="17" t="str">
        <x:v>Pro</x:v>
      </x:c>
      <x:c r="G1586" s="17" t="n">
        <x:v>22616</x:v>
      </x:c>
      <x:c r="H1586" s="17" t="n">
        <x:v>10892</x:v>
      </x:c>
      <x:c r="I1586" s="17" t="str">
        <x:v>Followup</x:v>
      </x:c>
      <x:c r="J1586" s="27" t="n">
        <x:f>INDEX('Model Pricing'!$B$7:$B$8,MATCH(F1586,'Model Pricing'!$A$7:$A$8,0))</x:f>
        <x:v>40</x:v>
      </x:c>
      <x:c r="K1586" s="27" t="n">
        <x:f>INDEX('Model Pricing'!$C$7:$C$8,MATCH(F1586,'Model Pricing'!$A$7:$A$8,0))</x:f>
        <x:v>100</x:v>
      </x:c>
      <x:c r="L1586" s="17" t="n">
        <x:f>G1586+H1586</x:f>
        <x:v>33508</x:v>
      </x:c>
      <x:c r="M1586" s="28" t="n">
        <x:f>G1586*J1586/1000000</x:f>
        <x:v>0.90464</x:v>
      </x:c>
      <x:c r="N1586" s="28" t="n">
        <x:f>H1586*K1586/1000000</x:f>
        <x:v>1.0892</x:v>
      </x:c>
      <x:c r="O1586" s="28" t="n">
        <x:f>SUM(M1586:N1586)</x:f>
        <x:v>1.99384</x:v>
      </x:c>
    </x:row>
    <x:row r="1587" ht="23" customHeight="1">
      <x:c r="A1587" s="17" t="str">
        <x:v>U01581</x:v>
      </x:c>
      <x:c r="B1587" s="18" t="n">
        <x:v>46280</x:v>
      </x:c>
      <x:c r="C1587" s="17" t="str">
        <x:v>W0100</x:v>
      </x:c>
      <x:c r="D1587" s="17" t="str">
        <x:v>C002</x:v>
      </x:c>
      <x:c r="E1587" s="17" t="str">
        <x:v>CopyStudio</x:v>
      </x:c>
      <x:c r="F1587" s="17" t="str">
        <x:v>Pro</x:v>
      </x:c>
      <x:c r="G1587" s="17" t="n">
        <x:v>14657</x:v>
      </x:c>
      <x:c r="H1587" s="17" t="n">
        <x:v>7093</x:v>
      </x:c>
      <x:c r="I1587" s="17" t="str">
        <x:v>Correction</x:v>
      </x:c>
      <x:c r="J1587" s="27" t="n">
        <x:f>INDEX('Model Pricing'!$B$7:$B$8,MATCH(F1587,'Model Pricing'!$A$7:$A$8,0))</x:f>
        <x:v>40</x:v>
      </x:c>
      <x:c r="K1587" s="27" t="n">
        <x:f>INDEX('Model Pricing'!$C$7:$C$8,MATCH(F1587,'Model Pricing'!$A$7:$A$8,0))</x:f>
        <x:v>100</x:v>
      </x:c>
      <x:c r="L1587" s="17" t="n">
        <x:f>G1587+H1587</x:f>
        <x:v>21750</x:v>
      </x:c>
      <x:c r="M1587" s="28" t="n">
        <x:f>G1587*J1587/1000000</x:f>
        <x:v>0.58628</x:v>
      </x:c>
      <x:c r="N1587" s="28" t="n">
        <x:f>H1587*K1587/1000000</x:f>
        <x:v>0.7093</x:v>
      </x:c>
      <x:c r="O1587" s="28" t="n">
        <x:f>SUM(M1587:N1587)</x:f>
        <x:v>1.2955800000000002</x:v>
      </x:c>
    </x:row>
    <x:row r="1588" ht="23" customHeight="1">
      <x:c r="A1588" s="17" t="str">
        <x:v>U01582</x:v>
      </x:c>
      <x:c r="B1588" s="18" t="n">
        <x:v>46281</x:v>
      </x:c>
      <x:c r="C1588" s="17" t="str">
        <x:v>W0100</x:v>
      </x:c>
      <x:c r="D1588" s="17" t="str">
        <x:v>C002</x:v>
      </x:c>
      <x:c r="E1588" s="17" t="str">
        <x:v>CopyStudio</x:v>
      </x:c>
      <x:c r="F1588" s="17" t="str">
        <x:v>Pro</x:v>
      </x:c>
      <x:c r="G1588" s="17" t="n">
        <x:v>23558</x:v>
      </x:c>
      <x:c r="H1588" s="17" t="n">
        <x:v>11733</x:v>
      </x:c>
      <x:c r="I1588" s="17" t="str">
        <x:v>Followup</x:v>
      </x:c>
      <x:c r="J1588" s="27" t="n">
        <x:f>INDEX('Model Pricing'!$B$7:$B$8,MATCH(F1588,'Model Pricing'!$A$7:$A$8,0))</x:f>
        <x:v>40</x:v>
      </x:c>
      <x:c r="K1588" s="27" t="n">
        <x:f>INDEX('Model Pricing'!$C$7:$C$8,MATCH(F1588,'Model Pricing'!$A$7:$A$8,0))</x:f>
        <x:v>100</x:v>
      </x:c>
      <x:c r="L1588" s="17" t="n">
        <x:f>G1588+H1588</x:f>
        <x:v>35291</x:v>
      </x:c>
      <x:c r="M1588" s="28" t="n">
        <x:f>G1588*J1588/1000000</x:f>
        <x:v>0.94232</x:v>
      </x:c>
      <x:c r="N1588" s="28" t="n">
        <x:f>H1588*K1588/1000000</x:f>
        <x:v>1.1733</x:v>
      </x:c>
      <x:c r="O1588" s="28" t="n">
        <x:f>SUM(M1588:N1588)</x:f>
        <x:v>2.11562</x:v>
      </x:c>
    </x:row>
    <x:row r="1589" ht="23" customHeight="1">
      <x:c r="A1589" s="17" t="str">
        <x:v>U01583</x:v>
      </x:c>
      <x:c r="B1589" s="18" t="n">
        <x:v>46281</x:v>
      </x:c>
      <x:c r="C1589" s="17" t="str">
        <x:v>W0100</x:v>
      </x:c>
      <x:c r="D1589" s="17" t="str">
        <x:v>C002</x:v>
      </x:c>
      <x:c r="E1589" s="17" t="str">
        <x:v>CopyStudio</x:v>
      </x:c>
      <x:c r="F1589" s="17" t="str">
        <x:v>Pro</x:v>
      </x:c>
      <x:c r="G1589" s="17" t="n">
        <x:v>12906</x:v>
      </x:c>
      <x:c r="H1589" s="17" t="n">
        <x:v>12177</x:v>
      </x:c>
      <x:c r="I1589" s="17" t="str">
        <x:v>Followup</x:v>
      </x:c>
      <x:c r="J1589" s="27" t="n">
        <x:f>INDEX('Model Pricing'!$B$7:$B$8,MATCH(F1589,'Model Pricing'!$A$7:$A$8,0))</x:f>
        <x:v>40</x:v>
      </x:c>
      <x:c r="K1589" s="27" t="n">
        <x:f>INDEX('Model Pricing'!$C$7:$C$8,MATCH(F1589,'Model Pricing'!$A$7:$A$8,0))</x:f>
        <x:v>100</x:v>
      </x:c>
      <x:c r="L1589" s="17" t="n">
        <x:f>G1589+H1589</x:f>
        <x:v>25083</x:v>
      </x:c>
      <x:c r="M1589" s="28" t="n">
        <x:f>G1589*J1589/1000000</x:f>
        <x:v>0.51624</x:v>
      </x:c>
      <x:c r="N1589" s="28" t="n">
        <x:f>H1589*K1589/1000000</x:f>
        <x:v>1.2177</x:v>
      </x:c>
      <x:c r="O1589" s="28" t="n">
        <x:f>SUM(M1589:N1589)</x:f>
        <x:v>1.73394</x:v>
      </x:c>
    </x:row>
    <x:row r="1590" ht="23" customHeight="1">
      <x:c r="A1590" s="17" t="str">
        <x:v>U01584</x:v>
      </x:c>
      <x:c r="B1590" s="18" t="n">
        <x:v>46281</x:v>
      </x:c>
      <x:c r="C1590" s="17" t="str">
        <x:v>W0100</x:v>
      </x:c>
      <x:c r="D1590" s="17" t="str">
        <x:v>C002</x:v>
      </x:c>
      <x:c r="E1590" s="17" t="str">
        <x:v>CopyStudio</x:v>
      </x:c>
      <x:c r="F1590" s="17" t="str">
        <x:v>Pro</x:v>
      </x:c>
      <x:c r="G1590" s="17" t="n">
        <x:v>22998</x:v>
      </x:c>
      <x:c r="H1590" s="17" t="n">
        <x:v>6194</x:v>
      </x:c>
      <x:c r="I1590" s="17" t="str">
        <x:v>Followup</x:v>
      </x:c>
      <x:c r="J1590" s="27" t="n">
        <x:f>INDEX('Model Pricing'!$B$7:$B$8,MATCH(F1590,'Model Pricing'!$A$7:$A$8,0))</x:f>
        <x:v>40</x:v>
      </x:c>
      <x:c r="K1590" s="27" t="n">
        <x:f>INDEX('Model Pricing'!$C$7:$C$8,MATCH(F1590,'Model Pricing'!$A$7:$A$8,0))</x:f>
        <x:v>100</x:v>
      </x:c>
      <x:c r="L1590" s="17" t="n">
        <x:f>G1590+H1590</x:f>
        <x:v>29192</x:v>
      </x:c>
      <x:c r="M1590" s="28" t="n">
        <x:f>G1590*J1590/1000000</x:f>
        <x:v>0.91992</x:v>
      </x:c>
      <x:c r="N1590" s="28" t="n">
        <x:f>H1590*K1590/1000000</x:f>
        <x:v>0.6194</x:v>
      </x:c>
      <x:c r="O1590" s="28" t="n">
        <x:f>SUM(M1590:N1590)</x:f>
        <x:v>1.53932</x:v>
      </x:c>
    </x:row>
    <x:row r="1591" ht="23" customHeight="1">
      <x:c r="A1591" s="17" t="str">
        <x:v>U01585</x:v>
      </x:c>
      <x:c r="B1591" s="18" t="n">
        <x:v>46281</x:v>
      </x:c>
      <x:c r="C1591" s="17" t="str">
        <x:v>W0100</x:v>
      </x:c>
      <x:c r="D1591" s="17" t="str">
        <x:v>C002</x:v>
      </x:c>
      <x:c r="E1591" s="17" t="str">
        <x:v>CopyStudio</x:v>
      </x:c>
      <x:c r="F1591" s="17" t="str">
        <x:v>Pro</x:v>
      </x:c>
      <x:c r="G1591" s="17" t="n">
        <x:v>15940</x:v>
      </x:c>
      <x:c r="H1591" s="17" t="n">
        <x:v>12976</x:v>
      </x:c>
      <x:c r="I1591" s="17" t="str">
        <x:v>Followup</x:v>
      </x:c>
      <x:c r="J1591" s="27" t="n">
        <x:f>INDEX('Model Pricing'!$B$7:$B$8,MATCH(F1591,'Model Pricing'!$A$7:$A$8,0))</x:f>
        <x:v>40</x:v>
      </x:c>
      <x:c r="K1591" s="27" t="n">
        <x:f>INDEX('Model Pricing'!$C$7:$C$8,MATCH(F1591,'Model Pricing'!$A$7:$A$8,0))</x:f>
        <x:v>100</x:v>
      </x:c>
      <x:c r="L1591" s="17" t="n">
        <x:f>G1591+H1591</x:f>
        <x:v>28916</x:v>
      </x:c>
      <x:c r="M1591" s="28" t="n">
        <x:f>G1591*J1591/1000000</x:f>
        <x:v>0.6376</x:v>
      </x:c>
      <x:c r="N1591" s="28" t="n">
        <x:f>H1591*K1591/1000000</x:f>
        <x:v>1.2976</x:v>
      </x:c>
      <x:c r="O1591" s="28" t="n">
        <x:f>SUM(M1591:N1591)</x:f>
        <x:v>1.9352</x:v>
      </x:c>
    </x:row>
    <x:row r="1592" ht="23" customHeight="1">
      <x:c r="A1592" s="17" t="str">
        <x:v>U01586</x:v>
      </x:c>
      <x:c r="B1592" s="18" t="n">
        <x:v>46281</x:v>
      </x:c>
      <x:c r="C1592" s="17" t="str">
        <x:v>W0100</x:v>
      </x:c>
      <x:c r="D1592" s="17" t="str">
        <x:v>C002</x:v>
      </x:c>
      <x:c r="E1592" s="17" t="str">
        <x:v>CopyStudio</x:v>
      </x:c>
      <x:c r="F1592" s="17" t="str">
        <x:v>Pro</x:v>
      </x:c>
      <x:c r="G1592" s="17" t="n">
        <x:v>14413</x:v>
      </x:c>
      <x:c r="H1592" s="17" t="n">
        <x:v>10982</x:v>
      </x:c>
      <x:c r="I1592" s="17" t="str">
        <x:v>Followup</x:v>
      </x:c>
      <x:c r="J1592" s="27" t="n">
        <x:f>INDEX('Model Pricing'!$B$7:$B$8,MATCH(F1592,'Model Pricing'!$A$7:$A$8,0))</x:f>
        <x:v>40</x:v>
      </x:c>
      <x:c r="K1592" s="27" t="n">
        <x:f>INDEX('Model Pricing'!$C$7:$C$8,MATCH(F1592,'Model Pricing'!$A$7:$A$8,0))</x:f>
        <x:v>100</x:v>
      </x:c>
      <x:c r="L1592" s="17" t="n">
        <x:f>G1592+H1592</x:f>
        <x:v>25395</x:v>
      </x:c>
      <x:c r="M1592" s="28" t="n">
        <x:f>G1592*J1592/1000000</x:f>
        <x:v>0.57652</x:v>
      </x:c>
      <x:c r="N1592" s="28" t="n">
        <x:f>H1592*K1592/1000000</x:f>
        <x:v>1.0982</x:v>
      </x:c>
      <x:c r="O1592" s="28" t="n">
        <x:f>SUM(M1592:N1592)</x:f>
        <x:v>1.6747200000000002</x:v>
      </x:c>
    </x:row>
    <x:row r="1593" ht="23" customHeight="1">
      <x:c r="A1593" s="17" t="str">
        <x:v>U01587</x:v>
      </x:c>
      <x:c r="B1593" s="18" t="n">
        <x:v>46281</x:v>
      </x:c>
      <x:c r="C1593" s="17" t="str">
        <x:v>W0100</x:v>
      </x:c>
      <x:c r="D1593" s="17" t="str">
        <x:v>C002</x:v>
      </x:c>
      <x:c r="E1593" s="17" t="str">
        <x:v>CopyStudio</x:v>
      </x:c>
      <x:c r="F1593" s="17" t="str">
        <x:v>Pro</x:v>
      </x:c>
      <x:c r="G1593" s="17" t="n">
        <x:v>17444</x:v>
      </x:c>
      <x:c r="H1593" s="17" t="n">
        <x:v>8479</x:v>
      </x:c>
      <x:c r="I1593" s="17" t="str">
        <x:v>Correction</x:v>
      </x:c>
      <x:c r="J1593" s="27" t="n">
        <x:f>INDEX('Model Pricing'!$B$7:$B$8,MATCH(F1593,'Model Pricing'!$A$7:$A$8,0))</x:f>
        <x:v>40</x:v>
      </x:c>
      <x:c r="K1593" s="27" t="n">
        <x:f>INDEX('Model Pricing'!$C$7:$C$8,MATCH(F1593,'Model Pricing'!$A$7:$A$8,0))</x:f>
        <x:v>100</x:v>
      </x:c>
      <x:c r="L1593" s="17" t="n">
        <x:f>G1593+H1593</x:f>
        <x:v>25923</x:v>
      </x:c>
      <x:c r="M1593" s="28" t="n">
        <x:f>G1593*J1593/1000000</x:f>
        <x:v>0.69776</x:v>
      </x:c>
      <x:c r="N1593" s="28" t="n">
        <x:f>H1593*K1593/1000000</x:f>
        <x:v>0.8479</x:v>
      </x:c>
      <x:c r="O1593" s="28" t="n">
        <x:f>SUM(M1593:N1593)</x:f>
        <x:v>1.54566</x:v>
      </x:c>
    </x:row>
    <x:row r="1594" ht="23" customHeight="1">
      <x:c r="A1594" s="17" t="str">
        <x:v>U01588</x:v>
      </x:c>
      <x:c r="B1594" s="18" t="n">
        <x:v>46282</x:v>
      </x:c>
      <x:c r="C1594" s="17" t="str">
        <x:v>W0100</x:v>
      </x:c>
      <x:c r="D1594" s="17" t="str">
        <x:v>C002</x:v>
      </x:c>
      <x:c r="E1594" s="17" t="str">
        <x:v>CopyStudio</x:v>
      </x:c>
      <x:c r="F1594" s="17" t="str">
        <x:v>Pro</x:v>
      </x:c>
      <x:c r="G1594" s="17" t="n">
        <x:v>24739</x:v>
      </x:c>
      <x:c r="H1594" s="17" t="n">
        <x:v>7661</x:v>
      </x:c>
      <x:c r="I1594" s="17" t="str">
        <x:v>Correction</x:v>
      </x:c>
      <x:c r="J1594" s="27" t="n">
        <x:f>INDEX('Model Pricing'!$B$7:$B$8,MATCH(F1594,'Model Pricing'!$A$7:$A$8,0))</x:f>
        <x:v>40</x:v>
      </x:c>
      <x:c r="K1594" s="27" t="n">
        <x:f>INDEX('Model Pricing'!$C$7:$C$8,MATCH(F1594,'Model Pricing'!$A$7:$A$8,0))</x:f>
        <x:v>100</x:v>
      </x:c>
      <x:c r="L1594" s="17" t="n">
        <x:f>G1594+H1594</x:f>
        <x:v>32400</x:v>
      </x:c>
      <x:c r="M1594" s="28" t="n">
        <x:f>G1594*J1594/1000000</x:f>
        <x:v>0.98956</x:v>
      </x:c>
      <x:c r="N1594" s="28" t="n">
        <x:f>H1594*K1594/1000000</x:f>
        <x:v>0.7661</x:v>
      </x:c>
      <x:c r="O1594" s="28" t="n">
        <x:f>SUM(M1594:N1594)</x:f>
        <x:v>1.75566</x:v>
      </x:c>
    </x:row>
    <x:row r="1595" ht="23" customHeight="1">
      <x:c r="A1595" s="17" t="str">
        <x:v>U01589</x:v>
      </x:c>
      <x:c r="B1595" s="18" t="n">
        <x:v>46282</x:v>
      </x:c>
      <x:c r="C1595" s="17" t="str">
        <x:v>W0100</x:v>
      </x:c>
      <x:c r="D1595" s="17" t="str">
        <x:v>C002</x:v>
      </x:c>
      <x:c r="E1595" s="17" t="str">
        <x:v>CopyStudio</x:v>
      </x:c>
      <x:c r="F1595" s="17" t="str">
        <x:v>Pro</x:v>
      </x:c>
      <x:c r="G1595" s="17" t="n">
        <x:v>15861</x:v>
      </x:c>
      <x:c r="H1595" s="17" t="n">
        <x:v>15873</x:v>
      </x:c>
      <x:c r="I1595" s="17" t="str">
        <x:v>Correction</x:v>
      </x:c>
      <x:c r="J1595" s="27" t="n">
        <x:f>INDEX('Model Pricing'!$B$7:$B$8,MATCH(F1595,'Model Pricing'!$A$7:$A$8,0))</x:f>
        <x:v>40</x:v>
      </x:c>
      <x:c r="K1595" s="27" t="n">
        <x:f>INDEX('Model Pricing'!$C$7:$C$8,MATCH(F1595,'Model Pricing'!$A$7:$A$8,0))</x:f>
        <x:v>100</x:v>
      </x:c>
      <x:c r="L1595" s="17" t="n">
        <x:f>G1595+H1595</x:f>
        <x:v>31734</x:v>
      </x:c>
      <x:c r="M1595" s="28" t="n">
        <x:f>G1595*J1595/1000000</x:f>
        <x:v>0.63444</x:v>
      </x:c>
      <x:c r="N1595" s="28" t="n">
        <x:f>H1595*K1595/1000000</x:f>
        <x:v>1.5873</x:v>
      </x:c>
      <x:c r="O1595" s="28" t="n">
        <x:f>SUM(M1595:N1595)</x:f>
        <x:v>2.22174</x:v>
      </x:c>
    </x:row>
    <x:row r="1596" ht="23" customHeight="1">
      <x:c r="A1596" s="17" t="str">
        <x:v>U01590</x:v>
      </x:c>
      <x:c r="B1596" s="18" t="n">
        <x:v>46282</x:v>
      </x:c>
      <x:c r="C1596" s="17" t="str">
        <x:v>W0100</x:v>
      </x:c>
      <x:c r="D1596" s="17" t="str">
        <x:v>C002</x:v>
      </x:c>
      <x:c r="E1596" s="17" t="str">
        <x:v>CopyStudio</x:v>
      </x:c>
      <x:c r="F1596" s="17" t="str">
        <x:v>Pro</x:v>
      </x:c>
      <x:c r="G1596" s="17" t="n">
        <x:v>23276</x:v>
      </x:c>
      <x:c r="H1596" s="17" t="n">
        <x:v>8427</x:v>
      </x:c>
      <x:c r="I1596" s="17" t="str">
        <x:v>Correction</x:v>
      </x:c>
      <x:c r="J1596" s="27" t="n">
        <x:f>INDEX('Model Pricing'!$B$7:$B$8,MATCH(F1596,'Model Pricing'!$A$7:$A$8,0))</x:f>
        <x:v>40</x:v>
      </x:c>
      <x:c r="K1596" s="27" t="n">
        <x:f>INDEX('Model Pricing'!$C$7:$C$8,MATCH(F1596,'Model Pricing'!$A$7:$A$8,0))</x:f>
        <x:v>100</x:v>
      </x:c>
      <x:c r="L1596" s="17" t="n">
        <x:f>G1596+H1596</x:f>
        <x:v>31703</x:v>
      </x:c>
      <x:c r="M1596" s="28" t="n">
        <x:f>G1596*J1596/1000000</x:f>
        <x:v>0.93104</x:v>
      </x:c>
      <x:c r="N1596" s="28" t="n">
        <x:f>H1596*K1596/1000000</x:f>
        <x:v>0.8427</x:v>
      </x:c>
      <x:c r="O1596" s="28" t="n">
        <x:f>SUM(M1596:N1596)</x:f>
        <x:v>1.77374</x:v>
      </x:c>
    </x:row>
    <x:row r="1597" ht="23" customHeight="1">
      <x:c r="A1597" s="17" t="str">
        <x:v>U01591</x:v>
      </x:c>
      <x:c r="B1597" s="18" t="n">
        <x:v>46282</x:v>
      </x:c>
      <x:c r="C1597" s="17" t="str">
        <x:v>W0100</x:v>
      </x:c>
      <x:c r="D1597" s="17" t="str">
        <x:v>C002</x:v>
      </x:c>
      <x:c r="E1597" s="17" t="str">
        <x:v>CopyStudio</x:v>
      </x:c>
      <x:c r="F1597" s="17" t="str">
        <x:v>Pro</x:v>
      </x:c>
      <x:c r="G1597" s="17" t="n">
        <x:v>18342</x:v>
      </x:c>
      <x:c r="H1597" s="17" t="n">
        <x:v>13670</x:v>
      </x:c>
      <x:c r="I1597" s="17" t="str">
        <x:v>Followup</x:v>
      </x:c>
      <x:c r="J1597" s="27" t="n">
        <x:f>INDEX('Model Pricing'!$B$7:$B$8,MATCH(F1597,'Model Pricing'!$A$7:$A$8,0))</x:f>
        <x:v>40</x:v>
      </x:c>
      <x:c r="K1597" s="27" t="n">
        <x:f>INDEX('Model Pricing'!$C$7:$C$8,MATCH(F1597,'Model Pricing'!$A$7:$A$8,0))</x:f>
        <x:v>100</x:v>
      </x:c>
      <x:c r="L1597" s="17" t="n">
        <x:f>G1597+H1597</x:f>
        <x:v>32012</x:v>
      </x:c>
      <x:c r="M1597" s="28" t="n">
        <x:f>G1597*J1597/1000000</x:f>
        <x:v>0.73368</x:v>
      </x:c>
      <x:c r="N1597" s="28" t="n">
        <x:f>H1597*K1597/1000000</x:f>
        <x:v>1.367</x:v>
      </x:c>
      <x:c r="O1597" s="28" t="n">
        <x:f>SUM(M1597:N1597)</x:f>
        <x:v>2.10068</x:v>
      </x:c>
    </x:row>
    <x:row r="1598" ht="23" customHeight="1">
      <x:c r="A1598" s="17" t="str">
        <x:v>U01592</x:v>
      </x:c>
      <x:c r="B1598" s="18" t="n">
        <x:v>46282</x:v>
      </x:c>
      <x:c r="C1598" s="17" t="str">
        <x:v>W0100</x:v>
      </x:c>
      <x:c r="D1598" s="17" t="str">
        <x:v>C002</x:v>
      </x:c>
      <x:c r="E1598" s="17" t="str">
        <x:v>CopyStudio</x:v>
      </x:c>
      <x:c r="F1598" s="17" t="str">
        <x:v>Pro</x:v>
      </x:c>
      <x:c r="G1598" s="17" t="n">
        <x:v>21836</x:v>
      </x:c>
      <x:c r="H1598" s="17" t="n">
        <x:v>14894</x:v>
      </x:c>
      <x:c r="I1598" s="17" t="str">
        <x:v>Correction</x:v>
      </x:c>
      <x:c r="J1598" s="27" t="n">
        <x:f>INDEX('Model Pricing'!$B$7:$B$8,MATCH(F1598,'Model Pricing'!$A$7:$A$8,0))</x:f>
        <x:v>40</x:v>
      </x:c>
      <x:c r="K1598" s="27" t="n">
        <x:f>INDEX('Model Pricing'!$C$7:$C$8,MATCH(F1598,'Model Pricing'!$A$7:$A$8,0))</x:f>
        <x:v>100</x:v>
      </x:c>
      <x:c r="L1598" s="17" t="n">
        <x:f>G1598+H1598</x:f>
        <x:v>36730</x:v>
      </x:c>
      <x:c r="M1598" s="28" t="n">
        <x:f>G1598*J1598/1000000</x:f>
        <x:v>0.87344</x:v>
      </x:c>
      <x:c r="N1598" s="28" t="n">
        <x:f>H1598*K1598/1000000</x:f>
        <x:v>1.4894</x:v>
      </x:c>
      <x:c r="O1598" s="28" t="n">
        <x:f>SUM(M1598:N1598)</x:f>
        <x:v>2.3628400000000003</x:v>
      </x:c>
    </x:row>
    <x:row r="1599" ht="23" customHeight="1">
      <x:c r="A1599" s="17" t="str">
        <x:v>U01593</x:v>
      </x:c>
      <x:c r="B1599" s="18" t="n">
        <x:v>46282</x:v>
      </x:c>
      <x:c r="C1599" s="17" t="str">
        <x:v>W0100</x:v>
      </x:c>
      <x:c r="D1599" s="17" t="str">
        <x:v>C002</x:v>
      </x:c>
      <x:c r="E1599" s="17" t="str">
        <x:v>CopyStudio</x:v>
      </x:c>
      <x:c r="F1599" s="17" t="str">
        <x:v>Pro</x:v>
      </x:c>
      <x:c r="G1599" s="17" t="n">
        <x:v>22966</x:v>
      </x:c>
      <x:c r="H1599" s="17" t="n">
        <x:v>16785</x:v>
      </x:c>
      <x:c r="I1599" s="17" t="str">
        <x:v>Followup</x:v>
      </x:c>
      <x:c r="J1599" s="27" t="n">
        <x:f>INDEX('Model Pricing'!$B$7:$B$8,MATCH(F1599,'Model Pricing'!$A$7:$A$8,0))</x:f>
        <x:v>40</x:v>
      </x:c>
      <x:c r="K1599" s="27" t="n">
        <x:f>INDEX('Model Pricing'!$C$7:$C$8,MATCH(F1599,'Model Pricing'!$A$7:$A$8,0))</x:f>
        <x:v>100</x:v>
      </x:c>
      <x:c r="L1599" s="17" t="n">
        <x:f>G1599+H1599</x:f>
        <x:v>39751</x:v>
      </x:c>
      <x:c r="M1599" s="28" t="n">
        <x:f>G1599*J1599/1000000</x:f>
        <x:v>0.91864</x:v>
      </x:c>
      <x:c r="N1599" s="28" t="n">
        <x:f>H1599*K1599/1000000</x:f>
        <x:v>1.6785</x:v>
      </x:c>
      <x:c r="O1599" s="28" t="n">
        <x:f>SUM(M1599:N1599)</x:f>
        <x:v>2.59714</x:v>
      </x:c>
    </x:row>
    <x:row r="1600" ht="23" customHeight="1">
      <x:c r="A1600" s="17" t="str">
        <x:v>U01594</x:v>
      </x:c>
      <x:c r="B1600" s="18" t="n">
        <x:v>46283</x:v>
      </x:c>
      <x:c r="C1600" s="17" t="str">
        <x:v>W0100</x:v>
      </x:c>
      <x:c r="D1600" s="17" t="str">
        <x:v>C002</x:v>
      </x:c>
      <x:c r="E1600" s="17" t="str">
        <x:v>CopyStudio</x:v>
      </x:c>
      <x:c r="F1600" s="17" t="str">
        <x:v>Pro</x:v>
      </x:c>
      <x:c r="G1600" s="17" t="n">
        <x:v>11933</x:v>
      </x:c>
      <x:c r="H1600" s="17" t="n">
        <x:v>12076</x:v>
      </x:c>
      <x:c r="I1600" s="17" t="str">
        <x:v>Followup</x:v>
      </x:c>
      <x:c r="J1600" s="27" t="n">
        <x:f>INDEX('Model Pricing'!$B$7:$B$8,MATCH(F1600,'Model Pricing'!$A$7:$A$8,0))</x:f>
        <x:v>40</x:v>
      </x:c>
      <x:c r="K1600" s="27" t="n">
        <x:f>INDEX('Model Pricing'!$C$7:$C$8,MATCH(F1600,'Model Pricing'!$A$7:$A$8,0))</x:f>
        <x:v>100</x:v>
      </x:c>
      <x:c r="L1600" s="17" t="n">
        <x:f>G1600+H1600</x:f>
        <x:v>24009</x:v>
      </x:c>
      <x:c r="M1600" s="28" t="n">
        <x:f>G1600*J1600/1000000</x:f>
        <x:v>0.47732</x:v>
      </x:c>
      <x:c r="N1600" s="28" t="n">
        <x:f>H1600*K1600/1000000</x:f>
        <x:v>1.2076</x:v>
      </x:c>
      <x:c r="O1600" s="28" t="n">
        <x:f>SUM(M1600:N1600)</x:f>
        <x:v>1.68492</x:v>
      </x:c>
    </x:row>
    <x:row r="1601" ht="23" customHeight="1">
      <x:c r="A1601" s="17" t="str">
        <x:v>U01595</x:v>
      </x:c>
      <x:c r="B1601" s="18" t="n">
        <x:v>46283</x:v>
      </x:c>
      <x:c r="C1601" s="17" t="str">
        <x:v>W0100</x:v>
      </x:c>
      <x:c r="D1601" s="17" t="str">
        <x:v>C002</x:v>
      </x:c>
      <x:c r="E1601" s="17" t="str">
        <x:v>CopyStudio</x:v>
      </x:c>
      <x:c r="F1601" s="17" t="str">
        <x:v>Pro</x:v>
      </x:c>
      <x:c r="G1601" s="17" t="n">
        <x:v>16832</x:v>
      </x:c>
      <x:c r="H1601" s="17" t="n">
        <x:v>8962</x:v>
      </x:c>
      <x:c r="I1601" s="17" t="str">
        <x:v>Followup</x:v>
      </x:c>
      <x:c r="J1601" s="27" t="n">
        <x:f>INDEX('Model Pricing'!$B$7:$B$8,MATCH(F1601,'Model Pricing'!$A$7:$A$8,0))</x:f>
        <x:v>40</x:v>
      </x:c>
      <x:c r="K1601" s="27" t="n">
        <x:f>INDEX('Model Pricing'!$C$7:$C$8,MATCH(F1601,'Model Pricing'!$A$7:$A$8,0))</x:f>
        <x:v>100</x:v>
      </x:c>
      <x:c r="L1601" s="17" t="n">
        <x:f>G1601+H1601</x:f>
        <x:v>25794</x:v>
      </x:c>
      <x:c r="M1601" s="28" t="n">
        <x:f>G1601*J1601/1000000</x:f>
        <x:v>0.67328</x:v>
      </x:c>
      <x:c r="N1601" s="28" t="n">
        <x:f>H1601*K1601/1000000</x:f>
        <x:v>0.8962</x:v>
      </x:c>
      <x:c r="O1601" s="28" t="n">
        <x:f>SUM(M1601:N1601)</x:f>
        <x:v>1.56948</x:v>
      </x:c>
    </x:row>
    <x:row r="1602" ht="23" customHeight="1">
      <x:c r="A1602" s="17" t="str">
        <x:v>U01596</x:v>
      </x:c>
      <x:c r="B1602" s="18" t="n">
        <x:v>46283</x:v>
      </x:c>
      <x:c r="C1602" s="17" t="str">
        <x:v>W0100</x:v>
      </x:c>
      <x:c r="D1602" s="17" t="str">
        <x:v>C002</x:v>
      </x:c>
      <x:c r="E1602" s="17" t="str">
        <x:v>CopyStudio</x:v>
      </x:c>
      <x:c r="F1602" s="17" t="str">
        <x:v>Pro</x:v>
      </x:c>
      <x:c r="G1602" s="17" t="n">
        <x:v>23583</x:v>
      </x:c>
      <x:c r="H1602" s="17" t="n">
        <x:v>8726</x:v>
      </x:c>
      <x:c r="I1602" s="17" t="str">
        <x:v>Followup</x:v>
      </x:c>
      <x:c r="J1602" s="27" t="n">
        <x:f>INDEX('Model Pricing'!$B$7:$B$8,MATCH(F1602,'Model Pricing'!$A$7:$A$8,0))</x:f>
        <x:v>40</x:v>
      </x:c>
      <x:c r="K1602" s="27" t="n">
        <x:f>INDEX('Model Pricing'!$C$7:$C$8,MATCH(F1602,'Model Pricing'!$A$7:$A$8,0))</x:f>
        <x:v>100</x:v>
      </x:c>
      <x:c r="L1602" s="17" t="n">
        <x:f>G1602+H1602</x:f>
        <x:v>32309</x:v>
      </x:c>
      <x:c r="M1602" s="28" t="n">
        <x:f>G1602*J1602/1000000</x:f>
        <x:v>0.94332</x:v>
      </x:c>
      <x:c r="N1602" s="28" t="n">
        <x:f>H1602*K1602/1000000</x:f>
        <x:v>0.8726</x:v>
      </x:c>
      <x:c r="O1602" s="28" t="n">
        <x:f>SUM(M1602:N1602)</x:f>
        <x:v>1.8159200000000002</x:v>
      </x:c>
    </x:row>
    <x:row r="1603" ht="23" customHeight="1">
      <x:c r="A1603" s="17" t="str">
        <x:v>U01597</x:v>
      </x:c>
      <x:c r="B1603" s="18" t="n">
        <x:v>46283</x:v>
      </x:c>
      <x:c r="C1603" s="17" t="str">
        <x:v>W0100</x:v>
      </x:c>
      <x:c r="D1603" s="17" t="str">
        <x:v>C002</x:v>
      </x:c>
      <x:c r="E1603" s="17" t="str">
        <x:v>CopyStudio</x:v>
      </x:c>
      <x:c r="F1603" s="17" t="str">
        <x:v>Pro</x:v>
      </x:c>
      <x:c r="G1603" s="17" t="n">
        <x:v>12565</x:v>
      </x:c>
      <x:c r="H1603" s="17" t="n">
        <x:v>15607</x:v>
      </x:c>
      <x:c r="I1603" s="17" t="str">
        <x:v>Followup</x:v>
      </x:c>
      <x:c r="J1603" s="27" t="n">
        <x:f>INDEX('Model Pricing'!$B$7:$B$8,MATCH(F1603,'Model Pricing'!$A$7:$A$8,0))</x:f>
        <x:v>40</x:v>
      </x:c>
      <x:c r="K1603" s="27" t="n">
        <x:f>INDEX('Model Pricing'!$C$7:$C$8,MATCH(F1603,'Model Pricing'!$A$7:$A$8,0))</x:f>
        <x:v>100</x:v>
      </x:c>
      <x:c r="L1603" s="17" t="n">
        <x:f>G1603+H1603</x:f>
        <x:v>28172</x:v>
      </x:c>
      <x:c r="M1603" s="28" t="n">
        <x:f>G1603*J1603/1000000</x:f>
        <x:v>0.5026</x:v>
      </x:c>
      <x:c r="N1603" s="28" t="n">
        <x:f>H1603*K1603/1000000</x:f>
        <x:v>1.5607</x:v>
      </x:c>
      <x:c r="O1603" s="28" t="n">
        <x:f>SUM(M1603:N1603)</x:f>
        <x:v>2.0633</x:v>
      </x:c>
    </x:row>
    <x:row r="1604" ht="23" customHeight="1">
      <x:c r="A1604" s="17" t="str">
        <x:v>U01598</x:v>
      </x:c>
      <x:c r="B1604" s="18" t="n">
        <x:v>46283</x:v>
      </x:c>
      <x:c r="C1604" s="17" t="str">
        <x:v>W0100</x:v>
      </x:c>
      <x:c r="D1604" s="17" t="str">
        <x:v>C002</x:v>
      </x:c>
      <x:c r="E1604" s="17" t="str">
        <x:v>CopyStudio</x:v>
      </x:c>
      <x:c r="F1604" s="17" t="str">
        <x:v>Pro</x:v>
      </x:c>
      <x:c r="G1604" s="17" t="n">
        <x:v>25381</x:v>
      </x:c>
      <x:c r="H1604" s="17" t="n">
        <x:v>12527</x:v>
      </x:c>
      <x:c r="I1604" s="17" t="str">
        <x:v>Followup</x:v>
      </x:c>
      <x:c r="J1604" s="27" t="n">
        <x:f>INDEX('Model Pricing'!$B$7:$B$8,MATCH(F1604,'Model Pricing'!$A$7:$A$8,0))</x:f>
        <x:v>40</x:v>
      </x:c>
      <x:c r="K1604" s="27" t="n">
        <x:f>INDEX('Model Pricing'!$C$7:$C$8,MATCH(F1604,'Model Pricing'!$A$7:$A$8,0))</x:f>
        <x:v>100</x:v>
      </x:c>
      <x:c r="L1604" s="17" t="n">
        <x:f>G1604+H1604</x:f>
        <x:v>37908</x:v>
      </x:c>
      <x:c r="M1604" s="28" t="n">
        <x:f>G1604*J1604/1000000</x:f>
        <x:v>1.01524</x:v>
      </x:c>
      <x:c r="N1604" s="28" t="n">
        <x:f>H1604*K1604/1000000</x:f>
        <x:v>1.2527</x:v>
      </x:c>
      <x:c r="O1604" s="28" t="n">
        <x:f>SUM(M1604:N1604)</x:f>
        <x:v>2.26794</x:v>
      </x:c>
    </x:row>
    <x:row r="1605" ht="23" customHeight="1">
      <x:c r="A1605" s="17" t="str">
        <x:v>U01599</x:v>
      </x:c>
      <x:c r="B1605" s="18" t="n">
        <x:v>46289</x:v>
      </x:c>
      <x:c r="C1605" s="17" t="str">
        <x:v>W0101</x:v>
      </x:c>
      <x:c r="D1605" s="17" t="str">
        <x:v>C002</x:v>
      </x:c>
      <x:c r="E1605" s="17" t="str">
        <x:v>CopyStudio</x:v>
      </x:c>
      <x:c r="F1605" s="17" t="str">
        <x:v>Pro</x:v>
      </x:c>
      <x:c r="G1605" s="17" t="n">
        <x:v>25892</x:v>
      </x:c>
      <x:c r="H1605" s="17" t="n">
        <x:v>11959</x:v>
      </x:c>
      <x:c r="I1605" s="17" t="str">
        <x:v>First attempt</x:v>
      </x:c>
      <x:c r="J1605" s="27" t="n">
        <x:f>INDEX('Model Pricing'!$B$7:$B$8,MATCH(F1605,'Model Pricing'!$A$7:$A$8,0))</x:f>
        <x:v>40</x:v>
      </x:c>
      <x:c r="K1605" s="27" t="n">
        <x:f>INDEX('Model Pricing'!$C$7:$C$8,MATCH(F1605,'Model Pricing'!$A$7:$A$8,0))</x:f>
        <x:v>100</x:v>
      </x:c>
      <x:c r="L1605" s="17" t="n">
        <x:f>G1605+H1605</x:f>
        <x:v>37851</x:v>
      </x:c>
      <x:c r="M1605" s="28" t="n">
        <x:f>G1605*J1605/1000000</x:f>
        <x:v>1.03568</x:v>
      </x:c>
      <x:c r="N1605" s="28" t="n">
        <x:f>H1605*K1605/1000000</x:f>
        <x:v>1.1959</x:v>
      </x:c>
      <x:c r="O1605" s="28" t="n">
        <x:f>SUM(M1605:N1605)</x:f>
        <x:v>2.23158</x:v>
      </x:c>
    </x:row>
    <x:row r="1606" ht="23" customHeight="1">
      <x:c r="A1606" s="17" t="str">
        <x:v>U01600</x:v>
      </x:c>
      <x:c r="B1606" s="18" t="n">
        <x:v>46289</x:v>
      </x:c>
      <x:c r="C1606" s="17" t="str">
        <x:v>W0101</x:v>
      </x:c>
      <x:c r="D1606" s="17" t="str">
        <x:v>C002</x:v>
      </x:c>
      <x:c r="E1606" s="17" t="str">
        <x:v>CopyStudio</x:v>
      </x:c>
      <x:c r="F1606" s="17" t="str">
        <x:v>Pro</x:v>
      </x:c>
      <x:c r="G1606" s="17" t="n">
        <x:v>34630</x:v>
      </x:c>
      <x:c r="H1606" s="17" t="n">
        <x:v>17968</x:v>
      </x:c>
      <x:c r="I1606" s="17" t="str">
        <x:v>Followup</x:v>
      </x:c>
      <x:c r="J1606" s="27" t="n">
        <x:f>INDEX('Model Pricing'!$B$7:$B$8,MATCH(F1606,'Model Pricing'!$A$7:$A$8,0))</x:f>
        <x:v>40</x:v>
      </x:c>
      <x:c r="K1606" s="27" t="n">
        <x:f>INDEX('Model Pricing'!$C$7:$C$8,MATCH(F1606,'Model Pricing'!$A$7:$A$8,0))</x:f>
        <x:v>100</x:v>
      </x:c>
      <x:c r="L1606" s="17" t="n">
        <x:f>G1606+H1606</x:f>
        <x:v>52598</x:v>
      </x:c>
      <x:c r="M1606" s="28" t="n">
        <x:f>G1606*J1606/1000000</x:f>
        <x:v>1.3852</x:v>
      </x:c>
      <x:c r="N1606" s="28" t="n">
        <x:f>H1606*K1606/1000000</x:f>
        <x:v>1.7968</x:v>
      </x:c>
      <x:c r="O1606" s="28" t="n">
        <x:f>SUM(M1606:N1606)</x:f>
        <x:v>3.182</x:v>
      </x:c>
    </x:row>
    <x:row r="1607" ht="23" customHeight="1">
      <x:c r="A1607" s="17" t="str">
        <x:v>U01601</x:v>
      </x:c>
      <x:c r="B1607" s="18" t="n">
        <x:v>46289</x:v>
      </x:c>
      <x:c r="C1607" s="17" t="str">
        <x:v>W0101</x:v>
      </x:c>
      <x:c r="D1607" s="17" t="str">
        <x:v>C002</x:v>
      </x:c>
      <x:c r="E1607" s="17" t="str">
        <x:v>CopyStudio</x:v>
      </x:c>
      <x:c r="F1607" s="17" t="str">
        <x:v>Pro</x:v>
      </x:c>
      <x:c r="G1607" s="17" t="n">
        <x:v>39552</x:v>
      </x:c>
      <x:c r="H1607" s="17" t="n">
        <x:v>15669</x:v>
      </x:c>
      <x:c r="I1607" s="17" t="str">
        <x:v>Followup</x:v>
      </x:c>
      <x:c r="J1607" s="27" t="n">
        <x:f>INDEX('Model Pricing'!$B$7:$B$8,MATCH(F1607,'Model Pricing'!$A$7:$A$8,0))</x:f>
        <x:v>40</x:v>
      </x:c>
      <x:c r="K1607" s="27" t="n">
        <x:f>INDEX('Model Pricing'!$C$7:$C$8,MATCH(F1607,'Model Pricing'!$A$7:$A$8,0))</x:f>
        <x:v>100</x:v>
      </x:c>
      <x:c r="L1607" s="17" t="n">
        <x:f>G1607+H1607</x:f>
        <x:v>55221</x:v>
      </x:c>
      <x:c r="M1607" s="28" t="n">
        <x:f>G1607*J1607/1000000</x:f>
        <x:v>1.58208</x:v>
      </x:c>
      <x:c r="N1607" s="28" t="n">
        <x:f>H1607*K1607/1000000</x:f>
        <x:v>1.5669</x:v>
      </x:c>
      <x:c r="O1607" s="28" t="n">
        <x:f>SUM(M1607:N1607)</x:f>
        <x:v>3.14898</x:v>
      </x:c>
    </x:row>
    <x:row r="1608" ht="23" customHeight="1">
      <x:c r="A1608" s="17" t="str">
        <x:v>U01602</x:v>
      </x:c>
      <x:c r="B1608" s="18" t="n">
        <x:v>46289</x:v>
      </x:c>
      <x:c r="C1608" s="17" t="str">
        <x:v>W0101</x:v>
      </x:c>
      <x:c r="D1608" s="17" t="str">
        <x:v>C002</x:v>
      </x:c>
      <x:c r="E1608" s="17" t="str">
        <x:v>CopyStudio</x:v>
      </x:c>
      <x:c r="F1608" s="17" t="str">
        <x:v>Pro</x:v>
      </x:c>
      <x:c r="G1608" s="17" t="n">
        <x:v>38013</x:v>
      </x:c>
      <x:c r="H1608" s="17" t="n">
        <x:v>13900</x:v>
      </x:c>
      <x:c r="I1608" s="17" t="str">
        <x:v>Correction</x:v>
      </x:c>
      <x:c r="J1608" s="27" t="n">
        <x:f>INDEX('Model Pricing'!$B$7:$B$8,MATCH(F1608,'Model Pricing'!$A$7:$A$8,0))</x:f>
        <x:v>40</x:v>
      </x:c>
      <x:c r="K1608" s="27" t="n">
        <x:f>INDEX('Model Pricing'!$C$7:$C$8,MATCH(F1608,'Model Pricing'!$A$7:$A$8,0))</x:f>
        <x:v>100</x:v>
      </x:c>
      <x:c r="L1608" s="17" t="n">
        <x:f>G1608+H1608</x:f>
        <x:v>51913</x:v>
      </x:c>
      <x:c r="M1608" s="28" t="n">
        <x:f>G1608*J1608/1000000</x:f>
        <x:v>1.52052</x:v>
      </x:c>
      <x:c r="N1608" s="28" t="n">
        <x:f>H1608*K1608/1000000</x:f>
        <x:v>1.39</x:v>
      </x:c>
      <x:c r="O1608" s="28" t="n">
        <x:f>SUM(M1608:N1608)</x:f>
        <x:v>2.91052</x:v>
      </x:c>
    </x:row>
    <x:row r="1609" ht="23" customHeight="1">
      <x:c r="A1609" s="17" t="str">
        <x:v>U01603</x:v>
      </x:c>
      <x:c r="B1609" s="18" t="n">
        <x:v>46289</x:v>
      </x:c>
      <x:c r="C1609" s="17" t="str">
        <x:v>W0101</x:v>
      </x:c>
      <x:c r="D1609" s="17" t="str">
        <x:v>C002</x:v>
      </x:c>
      <x:c r="E1609" s="17" t="str">
        <x:v>CopyStudio</x:v>
      </x:c>
      <x:c r="F1609" s="17" t="str">
        <x:v>Pro</x:v>
      </x:c>
      <x:c r="G1609" s="17" t="n">
        <x:v>31742</x:v>
      </x:c>
      <x:c r="H1609" s="17" t="n">
        <x:v>7261</x:v>
      </x:c>
      <x:c r="I1609" s="17" t="str">
        <x:v>Followup</x:v>
      </x:c>
      <x:c r="J1609" s="27" t="n">
        <x:f>INDEX('Model Pricing'!$B$7:$B$8,MATCH(F1609,'Model Pricing'!$A$7:$A$8,0))</x:f>
        <x:v>40</x:v>
      </x:c>
      <x:c r="K1609" s="27" t="n">
        <x:f>INDEX('Model Pricing'!$C$7:$C$8,MATCH(F1609,'Model Pricing'!$A$7:$A$8,0))</x:f>
        <x:v>100</x:v>
      </x:c>
      <x:c r="L1609" s="17" t="n">
        <x:f>G1609+H1609</x:f>
        <x:v>39003</x:v>
      </x:c>
      <x:c r="M1609" s="28" t="n">
        <x:f>G1609*J1609/1000000</x:f>
        <x:v>1.26968</x:v>
      </x:c>
      <x:c r="N1609" s="28" t="n">
        <x:f>H1609*K1609/1000000</x:f>
        <x:v>0.7261</x:v>
      </x:c>
      <x:c r="O1609" s="28" t="n">
        <x:f>SUM(M1609:N1609)</x:f>
        <x:v>1.9957799999999999</x:v>
      </x:c>
    </x:row>
    <x:row r="1610" ht="23" customHeight="1">
      <x:c r="A1610" s="17" t="str">
        <x:v>U01604</x:v>
      </x:c>
      <x:c r="B1610" s="18" t="n">
        <x:v>46289</x:v>
      </x:c>
      <x:c r="C1610" s="17" t="str">
        <x:v>W0101</x:v>
      </x:c>
      <x:c r="D1610" s="17" t="str">
        <x:v>C002</x:v>
      </x:c>
      <x:c r="E1610" s="17" t="str">
        <x:v>CopyStudio</x:v>
      </x:c>
      <x:c r="F1610" s="17" t="str">
        <x:v>Pro</x:v>
      </x:c>
      <x:c r="G1610" s="17" t="n">
        <x:v>13968</x:v>
      </x:c>
      <x:c r="H1610" s="17" t="n">
        <x:v>10105</x:v>
      </x:c>
      <x:c r="I1610" s="17" t="str">
        <x:v>Correction</x:v>
      </x:c>
      <x:c r="J1610" s="27" t="n">
        <x:f>INDEX('Model Pricing'!$B$7:$B$8,MATCH(F1610,'Model Pricing'!$A$7:$A$8,0))</x:f>
        <x:v>40</x:v>
      </x:c>
      <x:c r="K1610" s="27" t="n">
        <x:f>INDEX('Model Pricing'!$C$7:$C$8,MATCH(F1610,'Model Pricing'!$A$7:$A$8,0))</x:f>
        <x:v>100</x:v>
      </x:c>
      <x:c r="L1610" s="17" t="n">
        <x:f>G1610+H1610</x:f>
        <x:v>24073</x:v>
      </x:c>
      <x:c r="M1610" s="28" t="n">
        <x:f>G1610*J1610/1000000</x:f>
        <x:v>0.55872</x:v>
      </x:c>
      <x:c r="N1610" s="28" t="n">
        <x:f>H1610*K1610/1000000</x:f>
        <x:v>1.0105</x:v>
      </x:c>
      <x:c r="O1610" s="28" t="n">
        <x:f>SUM(M1610:N1610)</x:f>
        <x:v>1.56922</x:v>
      </x:c>
    </x:row>
    <x:row r="1611" ht="23" customHeight="1">
      <x:c r="A1611" s="17" t="str">
        <x:v>U01605</x:v>
      </x:c>
      <x:c r="B1611" s="18" t="n">
        <x:v>46290</x:v>
      </x:c>
      <x:c r="C1611" s="17" t="str">
        <x:v>W0101</x:v>
      </x:c>
      <x:c r="D1611" s="17" t="str">
        <x:v>C002</x:v>
      </x:c>
      <x:c r="E1611" s="17" t="str">
        <x:v>CopyStudio</x:v>
      </x:c>
      <x:c r="F1611" s="17" t="str">
        <x:v>Pro</x:v>
      </x:c>
      <x:c r="G1611" s="17" t="n">
        <x:v>16358</x:v>
      </x:c>
      <x:c r="H1611" s="17" t="n">
        <x:v>14556</x:v>
      </x:c>
      <x:c r="I1611" s="17" t="str">
        <x:v>Followup</x:v>
      </x:c>
      <x:c r="J1611" s="27" t="n">
        <x:f>INDEX('Model Pricing'!$B$7:$B$8,MATCH(F1611,'Model Pricing'!$A$7:$A$8,0))</x:f>
        <x:v>40</x:v>
      </x:c>
      <x:c r="K1611" s="27" t="n">
        <x:f>INDEX('Model Pricing'!$C$7:$C$8,MATCH(F1611,'Model Pricing'!$A$7:$A$8,0))</x:f>
        <x:v>100</x:v>
      </x:c>
      <x:c r="L1611" s="17" t="n">
        <x:f>G1611+H1611</x:f>
        <x:v>30914</x:v>
      </x:c>
      <x:c r="M1611" s="28" t="n">
        <x:f>G1611*J1611/1000000</x:f>
        <x:v>0.65432</x:v>
      </x:c>
      <x:c r="N1611" s="28" t="n">
        <x:f>H1611*K1611/1000000</x:f>
        <x:v>1.4556</x:v>
      </x:c>
      <x:c r="O1611" s="28" t="n">
        <x:f>SUM(M1611:N1611)</x:f>
        <x:v>2.10992</x:v>
      </x:c>
    </x:row>
    <x:row r="1612" ht="23" customHeight="1">
      <x:c r="A1612" s="17" t="str">
        <x:v>U01606</x:v>
      </x:c>
      <x:c r="B1612" s="18" t="n">
        <x:v>46290</x:v>
      </x:c>
      <x:c r="C1612" s="17" t="str">
        <x:v>W0101</x:v>
      </x:c>
      <x:c r="D1612" s="17" t="str">
        <x:v>C002</x:v>
      </x:c>
      <x:c r="E1612" s="17" t="str">
        <x:v>CopyStudio</x:v>
      </x:c>
      <x:c r="F1612" s="17" t="str">
        <x:v>Pro</x:v>
      </x:c>
      <x:c r="G1612" s="17" t="n">
        <x:v>18083</x:v>
      </x:c>
      <x:c r="H1612" s="17" t="n">
        <x:v>12190</x:v>
      </x:c>
      <x:c r="I1612" s="17" t="str">
        <x:v>Followup</x:v>
      </x:c>
      <x:c r="J1612" s="27" t="n">
        <x:f>INDEX('Model Pricing'!$B$7:$B$8,MATCH(F1612,'Model Pricing'!$A$7:$A$8,0))</x:f>
        <x:v>40</x:v>
      </x:c>
      <x:c r="K1612" s="27" t="n">
        <x:f>INDEX('Model Pricing'!$C$7:$C$8,MATCH(F1612,'Model Pricing'!$A$7:$A$8,0))</x:f>
        <x:v>100</x:v>
      </x:c>
      <x:c r="L1612" s="17" t="n">
        <x:f>G1612+H1612</x:f>
        <x:v>30273</x:v>
      </x:c>
      <x:c r="M1612" s="28" t="n">
        <x:f>G1612*J1612/1000000</x:f>
        <x:v>0.72332</x:v>
      </x:c>
      <x:c r="N1612" s="28" t="n">
        <x:f>H1612*K1612/1000000</x:f>
        <x:v>1.219</x:v>
      </x:c>
      <x:c r="O1612" s="28" t="n">
        <x:f>SUM(M1612:N1612)</x:f>
        <x:v>1.94232</x:v>
      </x:c>
    </x:row>
    <x:row r="1613" ht="23" customHeight="1">
      <x:c r="A1613" s="17" t="str">
        <x:v>U01607</x:v>
      </x:c>
      <x:c r="B1613" s="18" t="n">
        <x:v>46290</x:v>
      </x:c>
      <x:c r="C1613" s="17" t="str">
        <x:v>W0101</x:v>
      </x:c>
      <x:c r="D1613" s="17" t="str">
        <x:v>C002</x:v>
      </x:c>
      <x:c r="E1613" s="17" t="str">
        <x:v>CopyStudio</x:v>
      </x:c>
      <x:c r="F1613" s="17" t="str">
        <x:v>Pro</x:v>
      </x:c>
      <x:c r="G1613" s="17" t="n">
        <x:v>14492</x:v>
      </x:c>
      <x:c r="H1613" s="17" t="n">
        <x:v>16707</x:v>
      </x:c>
      <x:c r="I1613" s="17" t="str">
        <x:v>Followup</x:v>
      </x:c>
      <x:c r="J1613" s="27" t="n">
        <x:f>INDEX('Model Pricing'!$B$7:$B$8,MATCH(F1613,'Model Pricing'!$A$7:$A$8,0))</x:f>
        <x:v>40</x:v>
      </x:c>
      <x:c r="K1613" s="27" t="n">
        <x:f>INDEX('Model Pricing'!$C$7:$C$8,MATCH(F1613,'Model Pricing'!$A$7:$A$8,0))</x:f>
        <x:v>100</x:v>
      </x:c>
      <x:c r="L1613" s="17" t="n">
        <x:f>G1613+H1613</x:f>
        <x:v>31199</x:v>
      </x:c>
      <x:c r="M1613" s="28" t="n">
        <x:f>G1613*J1613/1000000</x:f>
        <x:v>0.57968</x:v>
      </x:c>
      <x:c r="N1613" s="28" t="n">
        <x:f>H1613*K1613/1000000</x:f>
        <x:v>1.6707</x:v>
      </x:c>
      <x:c r="O1613" s="28" t="n">
        <x:f>SUM(M1613:N1613)</x:f>
        <x:v>2.25038</x:v>
      </x:c>
    </x:row>
    <x:row r="1614" ht="23" customHeight="1">
      <x:c r="A1614" s="17" t="str">
        <x:v>U01608</x:v>
      </x:c>
      <x:c r="B1614" s="18" t="n">
        <x:v>46290</x:v>
      </x:c>
      <x:c r="C1614" s="17" t="str">
        <x:v>W0101</x:v>
      </x:c>
      <x:c r="D1614" s="17" t="str">
        <x:v>C002</x:v>
      </x:c>
      <x:c r="E1614" s="17" t="str">
        <x:v>CopyStudio</x:v>
      </x:c>
      <x:c r="F1614" s="17" t="str">
        <x:v>Pro</x:v>
      </x:c>
      <x:c r="G1614" s="17" t="n">
        <x:v>22493</x:v>
      </x:c>
      <x:c r="H1614" s="17" t="n">
        <x:v>11779</x:v>
      </x:c>
      <x:c r="I1614" s="17" t="str">
        <x:v>Followup</x:v>
      </x:c>
      <x:c r="J1614" s="27" t="n">
        <x:f>INDEX('Model Pricing'!$B$7:$B$8,MATCH(F1614,'Model Pricing'!$A$7:$A$8,0))</x:f>
        <x:v>40</x:v>
      </x:c>
      <x:c r="K1614" s="27" t="n">
        <x:f>INDEX('Model Pricing'!$C$7:$C$8,MATCH(F1614,'Model Pricing'!$A$7:$A$8,0))</x:f>
        <x:v>100</x:v>
      </x:c>
      <x:c r="L1614" s="17" t="n">
        <x:f>G1614+H1614</x:f>
        <x:v>34272</x:v>
      </x:c>
      <x:c r="M1614" s="28" t="n">
        <x:f>G1614*J1614/1000000</x:f>
        <x:v>0.89972</x:v>
      </x:c>
      <x:c r="N1614" s="28" t="n">
        <x:f>H1614*K1614/1000000</x:f>
        <x:v>1.1779</x:v>
      </x:c>
      <x:c r="O1614" s="28" t="n">
        <x:f>SUM(M1614:N1614)</x:f>
        <x:v>2.07762</x:v>
      </x:c>
    </x:row>
    <x:row r="1615" ht="23" customHeight="1">
      <x:c r="A1615" s="17" t="str">
        <x:v>U01609</x:v>
      </x:c>
      <x:c r="B1615" s="18" t="n">
        <x:v>46290</x:v>
      </x:c>
      <x:c r="C1615" s="17" t="str">
        <x:v>W0101</x:v>
      </x:c>
      <x:c r="D1615" s="17" t="str">
        <x:v>C002</x:v>
      </x:c>
      <x:c r="E1615" s="17" t="str">
        <x:v>CopyStudio</x:v>
      </x:c>
      <x:c r="F1615" s="17" t="str">
        <x:v>Pro</x:v>
      </x:c>
      <x:c r="G1615" s="17" t="n">
        <x:v>21069</x:v>
      </x:c>
      <x:c r="H1615" s="17" t="n">
        <x:v>17263</x:v>
      </x:c>
      <x:c r="I1615" s="17" t="str">
        <x:v>Followup</x:v>
      </x:c>
      <x:c r="J1615" s="27" t="n">
        <x:f>INDEX('Model Pricing'!$B$7:$B$8,MATCH(F1615,'Model Pricing'!$A$7:$A$8,0))</x:f>
        <x:v>40</x:v>
      </x:c>
      <x:c r="K1615" s="27" t="n">
        <x:f>INDEX('Model Pricing'!$C$7:$C$8,MATCH(F1615,'Model Pricing'!$A$7:$A$8,0))</x:f>
        <x:v>100</x:v>
      </x:c>
      <x:c r="L1615" s="17" t="n">
        <x:f>G1615+H1615</x:f>
        <x:v>38332</x:v>
      </x:c>
      <x:c r="M1615" s="28" t="n">
        <x:f>G1615*J1615/1000000</x:f>
        <x:v>0.84276</x:v>
      </x:c>
      <x:c r="N1615" s="28" t="n">
        <x:f>H1615*K1615/1000000</x:f>
        <x:v>1.7263</x:v>
      </x:c>
      <x:c r="O1615" s="28" t="n">
        <x:f>SUM(M1615:N1615)</x:f>
        <x:v>2.56906</x:v>
      </x:c>
    </x:row>
    <x:row r="1616" ht="23" customHeight="1">
      <x:c r="A1616" s="17" t="str">
        <x:v>U01610</x:v>
      </x:c>
      <x:c r="B1616" s="18" t="n">
        <x:v>46290</x:v>
      </x:c>
      <x:c r="C1616" s="17" t="str">
        <x:v>W0101</x:v>
      </x:c>
      <x:c r="D1616" s="17" t="str">
        <x:v>C002</x:v>
      </x:c>
      <x:c r="E1616" s="17" t="str">
        <x:v>CopyStudio</x:v>
      </x:c>
      <x:c r="F1616" s="17" t="str">
        <x:v>Pro</x:v>
      </x:c>
      <x:c r="G1616" s="17" t="n">
        <x:v>31166</x:v>
      </x:c>
      <x:c r="H1616" s="17" t="n">
        <x:v>6531</x:v>
      </x:c>
      <x:c r="I1616" s="17" t="str">
        <x:v>Followup</x:v>
      </x:c>
      <x:c r="J1616" s="27" t="n">
        <x:f>INDEX('Model Pricing'!$B$7:$B$8,MATCH(F1616,'Model Pricing'!$A$7:$A$8,0))</x:f>
        <x:v>40</x:v>
      </x:c>
      <x:c r="K1616" s="27" t="n">
        <x:f>INDEX('Model Pricing'!$C$7:$C$8,MATCH(F1616,'Model Pricing'!$A$7:$A$8,0))</x:f>
        <x:v>100</x:v>
      </x:c>
      <x:c r="L1616" s="17" t="n">
        <x:f>G1616+H1616</x:f>
        <x:v>37697</x:v>
      </x:c>
      <x:c r="M1616" s="28" t="n">
        <x:f>G1616*J1616/1000000</x:f>
        <x:v>1.24664</x:v>
      </x:c>
      <x:c r="N1616" s="28" t="n">
        <x:f>H1616*K1616/1000000</x:f>
        <x:v>0.6531</x:v>
      </x:c>
      <x:c r="O1616" s="28" t="n">
        <x:f>SUM(M1616:N1616)</x:f>
        <x:v>1.89974</x:v>
      </x:c>
    </x:row>
    <x:row r="1617" ht="23" customHeight="1">
      <x:c r="A1617" s="17" t="str">
        <x:v>U01611</x:v>
      </x:c>
      <x:c r="B1617" s="18" t="n">
        <x:v>46293</x:v>
      </x:c>
      <x:c r="C1617" s="17" t="str">
        <x:v>W0101</x:v>
      </x:c>
      <x:c r="D1617" s="17" t="str">
        <x:v>C002</x:v>
      </x:c>
      <x:c r="E1617" s="17" t="str">
        <x:v>CopyStudio</x:v>
      </x:c>
      <x:c r="F1617" s="17" t="str">
        <x:v>Pro</x:v>
      </x:c>
      <x:c r="G1617" s="17" t="n">
        <x:v>15460</x:v>
      </x:c>
      <x:c r="H1617" s="17" t="n">
        <x:v>7413</x:v>
      </x:c>
      <x:c r="I1617" s="17" t="str">
        <x:v>Followup</x:v>
      </x:c>
      <x:c r="J1617" s="27" t="n">
        <x:f>INDEX('Model Pricing'!$B$7:$B$8,MATCH(F1617,'Model Pricing'!$A$7:$A$8,0))</x:f>
        <x:v>40</x:v>
      </x:c>
      <x:c r="K1617" s="27" t="n">
        <x:f>INDEX('Model Pricing'!$C$7:$C$8,MATCH(F1617,'Model Pricing'!$A$7:$A$8,0))</x:f>
        <x:v>100</x:v>
      </x:c>
      <x:c r="L1617" s="17" t="n">
        <x:f>G1617+H1617</x:f>
        <x:v>22873</x:v>
      </x:c>
      <x:c r="M1617" s="28" t="n">
        <x:f>G1617*J1617/1000000</x:f>
        <x:v>0.6184</x:v>
      </x:c>
      <x:c r="N1617" s="28" t="n">
        <x:f>H1617*K1617/1000000</x:f>
        <x:v>0.7413</x:v>
      </x:c>
      <x:c r="O1617" s="28" t="n">
        <x:f>SUM(M1617:N1617)</x:f>
        <x:v>1.3597</x:v>
      </x:c>
    </x:row>
    <x:row r="1618" ht="23" customHeight="1">
      <x:c r="A1618" s="17" t="str">
        <x:v>U01612</x:v>
      </x:c>
      <x:c r="B1618" s="18" t="n">
        <x:v>46293</x:v>
      </x:c>
      <x:c r="C1618" s="17" t="str">
        <x:v>W0101</x:v>
      </x:c>
      <x:c r="D1618" s="17" t="str">
        <x:v>C002</x:v>
      </x:c>
      <x:c r="E1618" s="17" t="str">
        <x:v>CopyStudio</x:v>
      </x:c>
      <x:c r="F1618" s="17" t="str">
        <x:v>Pro</x:v>
      </x:c>
      <x:c r="G1618" s="17" t="n">
        <x:v>25365</x:v>
      </x:c>
      <x:c r="H1618" s="17" t="n">
        <x:v>19545</x:v>
      </x:c>
      <x:c r="I1618" s="17" t="str">
        <x:v>Correction</x:v>
      </x:c>
      <x:c r="J1618" s="27" t="n">
        <x:f>INDEX('Model Pricing'!$B$7:$B$8,MATCH(F1618,'Model Pricing'!$A$7:$A$8,0))</x:f>
        <x:v>40</x:v>
      </x:c>
      <x:c r="K1618" s="27" t="n">
        <x:f>INDEX('Model Pricing'!$C$7:$C$8,MATCH(F1618,'Model Pricing'!$A$7:$A$8,0))</x:f>
        <x:v>100</x:v>
      </x:c>
      <x:c r="L1618" s="17" t="n">
        <x:f>G1618+H1618</x:f>
        <x:v>44910</x:v>
      </x:c>
      <x:c r="M1618" s="28" t="n">
        <x:f>G1618*J1618/1000000</x:f>
        <x:v>1.0146</x:v>
      </x:c>
      <x:c r="N1618" s="28" t="n">
        <x:f>H1618*K1618/1000000</x:f>
        <x:v>1.9545</x:v>
      </x:c>
      <x:c r="O1618" s="28" t="n">
        <x:f>SUM(M1618:N1618)</x:f>
        <x:v>2.9691</x:v>
      </x:c>
    </x:row>
    <x:row r="1619" ht="23" customHeight="1">
      <x:c r="A1619" s="17" t="str">
        <x:v>U01613</x:v>
      </x:c>
      <x:c r="B1619" s="18" t="n">
        <x:v>46293</x:v>
      </x:c>
      <x:c r="C1619" s="17" t="str">
        <x:v>W0101</x:v>
      </x:c>
      <x:c r="D1619" s="17" t="str">
        <x:v>C002</x:v>
      </x:c>
      <x:c r="E1619" s="17" t="str">
        <x:v>CopyStudio</x:v>
      </x:c>
      <x:c r="F1619" s="17" t="str">
        <x:v>Pro</x:v>
      </x:c>
      <x:c r="G1619" s="17" t="n">
        <x:v>17055</x:v>
      </x:c>
      <x:c r="H1619" s="17" t="n">
        <x:v>8507</x:v>
      </x:c>
      <x:c r="I1619" s="17" t="str">
        <x:v>Correction</x:v>
      </x:c>
      <x:c r="J1619" s="27" t="n">
        <x:f>INDEX('Model Pricing'!$B$7:$B$8,MATCH(F1619,'Model Pricing'!$A$7:$A$8,0))</x:f>
        <x:v>40</x:v>
      </x:c>
      <x:c r="K1619" s="27" t="n">
        <x:f>INDEX('Model Pricing'!$C$7:$C$8,MATCH(F1619,'Model Pricing'!$A$7:$A$8,0))</x:f>
        <x:v>100</x:v>
      </x:c>
      <x:c r="L1619" s="17" t="n">
        <x:f>G1619+H1619</x:f>
        <x:v>25562</x:v>
      </x:c>
      <x:c r="M1619" s="28" t="n">
        <x:f>G1619*J1619/1000000</x:f>
        <x:v>0.6822</x:v>
      </x:c>
      <x:c r="N1619" s="28" t="n">
        <x:f>H1619*K1619/1000000</x:f>
        <x:v>0.8507</x:v>
      </x:c>
      <x:c r="O1619" s="28" t="n">
        <x:f>SUM(M1619:N1619)</x:f>
        <x:v>1.5329000000000002</x:v>
      </x:c>
    </x:row>
    <x:row r="1620" ht="23" customHeight="1">
      <x:c r="A1620" s="17" t="str">
        <x:v>U01614</x:v>
      </x:c>
      <x:c r="B1620" s="18" t="n">
        <x:v>46293</x:v>
      </x:c>
      <x:c r="C1620" s="17" t="str">
        <x:v>W0101</x:v>
      </x:c>
      <x:c r="D1620" s="17" t="str">
        <x:v>C002</x:v>
      </x:c>
      <x:c r="E1620" s="17" t="str">
        <x:v>CopyStudio</x:v>
      </x:c>
      <x:c r="F1620" s="17" t="str">
        <x:v>Pro</x:v>
      </x:c>
      <x:c r="G1620" s="17" t="n">
        <x:v>29482</x:v>
      </x:c>
      <x:c r="H1620" s="17" t="n">
        <x:v>10587</x:v>
      </x:c>
      <x:c r="I1620" s="17" t="str">
        <x:v>Followup</x:v>
      </x:c>
      <x:c r="J1620" s="27" t="n">
        <x:f>INDEX('Model Pricing'!$B$7:$B$8,MATCH(F1620,'Model Pricing'!$A$7:$A$8,0))</x:f>
        <x:v>40</x:v>
      </x:c>
      <x:c r="K1620" s="27" t="n">
        <x:f>INDEX('Model Pricing'!$C$7:$C$8,MATCH(F1620,'Model Pricing'!$A$7:$A$8,0))</x:f>
        <x:v>100</x:v>
      </x:c>
      <x:c r="L1620" s="17" t="n">
        <x:f>G1620+H1620</x:f>
        <x:v>40069</x:v>
      </x:c>
      <x:c r="M1620" s="28" t="n">
        <x:f>G1620*J1620/1000000</x:f>
        <x:v>1.17928</x:v>
      </x:c>
      <x:c r="N1620" s="28" t="n">
        <x:f>H1620*K1620/1000000</x:f>
        <x:v>1.0587</x:v>
      </x:c>
      <x:c r="O1620" s="28" t="n">
        <x:f>SUM(M1620:N1620)</x:f>
        <x:v>2.2379800000000003</x:v>
      </x:c>
    </x:row>
    <x:row r="1621" ht="23" customHeight="1">
      <x:c r="A1621" s="17" t="str">
        <x:v>U01615</x:v>
      </x:c>
      <x:c r="B1621" s="18" t="n">
        <x:v>46293</x:v>
      </x:c>
      <x:c r="C1621" s="17" t="str">
        <x:v>W0101</x:v>
      </x:c>
      <x:c r="D1621" s="17" t="str">
        <x:v>C002</x:v>
      </x:c>
      <x:c r="E1621" s="17" t="str">
        <x:v>CopyStudio</x:v>
      </x:c>
      <x:c r="F1621" s="17" t="str">
        <x:v>Pro</x:v>
      </x:c>
      <x:c r="G1621" s="17" t="n">
        <x:v>32769</x:v>
      </x:c>
      <x:c r="H1621" s="17" t="n">
        <x:v>14289</x:v>
      </x:c>
      <x:c r="I1621" s="17" t="str">
        <x:v>Followup</x:v>
      </x:c>
      <x:c r="J1621" s="27" t="n">
        <x:f>INDEX('Model Pricing'!$B$7:$B$8,MATCH(F1621,'Model Pricing'!$A$7:$A$8,0))</x:f>
        <x:v>40</x:v>
      </x:c>
      <x:c r="K1621" s="27" t="n">
        <x:f>INDEX('Model Pricing'!$C$7:$C$8,MATCH(F1621,'Model Pricing'!$A$7:$A$8,0))</x:f>
        <x:v>100</x:v>
      </x:c>
      <x:c r="L1621" s="17" t="n">
        <x:f>G1621+H1621</x:f>
        <x:v>47058</x:v>
      </x:c>
      <x:c r="M1621" s="28" t="n">
        <x:f>G1621*J1621/1000000</x:f>
        <x:v>1.31076</x:v>
      </x:c>
      <x:c r="N1621" s="28" t="n">
        <x:f>H1621*K1621/1000000</x:f>
        <x:v>1.4289</x:v>
      </x:c>
      <x:c r="O1621" s="28" t="n">
        <x:f>SUM(M1621:N1621)</x:f>
        <x:v>2.7396599999999998</x:v>
      </x:c>
    </x:row>
    <x:row r="1622" ht="23" customHeight="1">
      <x:c r="A1622" s="17" t="str">
        <x:v>U01616</x:v>
      </x:c>
      <x:c r="B1622" s="18" t="n">
        <x:v>46293</x:v>
      </x:c>
      <x:c r="C1622" s="17" t="str">
        <x:v>W0101</x:v>
      </x:c>
      <x:c r="D1622" s="17" t="str">
        <x:v>C002</x:v>
      </x:c>
      <x:c r="E1622" s="17" t="str">
        <x:v>CopyStudio</x:v>
      </x:c>
      <x:c r="F1622" s="17" t="str">
        <x:v>Pro</x:v>
      </x:c>
      <x:c r="G1622" s="17" t="n">
        <x:v>31223</x:v>
      </x:c>
      <x:c r="H1622" s="17" t="n">
        <x:v>18401</x:v>
      </x:c>
      <x:c r="I1622" s="17" t="str">
        <x:v>Followup</x:v>
      </x:c>
      <x:c r="J1622" s="27" t="n">
        <x:f>INDEX('Model Pricing'!$B$7:$B$8,MATCH(F1622,'Model Pricing'!$A$7:$A$8,0))</x:f>
        <x:v>40</x:v>
      </x:c>
      <x:c r="K1622" s="27" t="n">
        <x:f>INDEX('Model Pricing'!$C$7:$C$8,MATCH(F1622,'Model Pricing'!$A$7:$A$8,0))</x:f>
        <x:v>100</x:v>
      </x:c>
      <x:c r="L1622" s="17" t="n">
        <x:f>G1622+H1622</x:f>
        <x:v>49624</x:v>
      </x:c>
      <x:c r="M1622" s="28" t="n">
        <x:f>G1622*J1622/1000000</x:f>
        <x:v>1.24892</x:v>
      </x:c>
      <x:c r="N1622" s="28" t="n">
        <x:f>H1622*K1622/1000000</x:f>
        <x:v>1.8401</x:v>
      </x:c>
      <x:c r="O1622" s="28" t="n">
        <x:f>SUM(M1622:N1622)</x:f>
        <x:v>3.08902</x:v>
      </x:c>
    </x:row>
    <x:row r="1623" ht="23" customHeight="1">
      <x:c r="A1623" s="17" t="str">
        <x:v>U01617</x:v>
      </x:c>
      <x:c r="B1623" s="18" t="n">
        <x:v>46294</x:v>
      </x:c>
      <x:c r="C1623" s="17" t="str">
        <x:v>W0101</x:v>
      </x:c>
      <x:c r="D1623" s="17" t="str">
        <x:v>C002</x:v>
      </x:c>
      <x:c r="E1623" s="17" t="str">
        <x:v>CopyStudio</x:v>
      </x:c>
      <x:c r="F1623" s="17" t="str">
        <x:v>Pro</x:v>
      </x:c>
      <x:c r="G1623" s="17" t="n">
        <x:v>33645</x:v>
      </x:c>
      <x:c r="H1623" s="17" t="n">
        <x:v>12215</x:v>
      </x:c>
      <x:c r="I1623" s="17" t="str">
        <x:v>Correction</x:v>
      </x:c>
      <x:c r="J1623" s="27" t="n">
        <x:f>INDEX('Model Pricing'!$B$7:$B$8,MATCH(F1623,'Model Pricing'!$A$7:$A$8,0))</x:f>
        <x:v>40</x:v>
      </x:c>
      <x:c r="K1623" s="27" t="n">
        <x:f>INDEX('Model Pricing'!$C$7:$C$8,MATCH(F1623,'Model Pricing'!$A$7:$A$8,0))</x:f>
        <x:v>100</x:v>
      </x:c>
      <x:c r="L1623" s="17" t="n">
        <x:f>G1623+H1623</x:f>
        <x:v>45860</x:v>
      </x:c>
      <x:c r="M1623" s="28" t="n">
        <x:f>G1623*J1623/1000000</x:f>
        <x:v>1.3458</x:v>
      </x:c>
      <x:c r="N1623" s="28" t="n">
        <x:f>H1623*K1623/1000000</x:f>
        <x:v>1.2215</x:v>
      </x:c>
      <x:c r="O1623" s="28" t="n">
        <x:f>SUM(M1623:N1623)</x:f>
        <x:v>2.5673000000000004</x:v>
      </x:c>
    </x:row>
    <x:row r="1624" ht="23" customHeight="1">
      <x:c r="A1624" s="17" t="str">
        <x:v>U01618</x:v>
      </x:c>
      <x:c r="B1624" s="18" t="n">
        <x:v>46294</x:v>
      </x:c>
      <x:c r="C1624" s="17" t="str">
        <x:v>W0101</x:v>
      </x:c>
      <x:c r="D1624" s="17" t="str">
        <x:v>C002</x:v>
      </x:c>
      <x:c r="E1624" s="17" t="str">
        <x:v>CopyStudio</x:v>
      </x:c>
      <x:c r="F1624" s="17" t="str">
        <x:v>Pro</x:v>
      </x:c>
      <x:c r="G1624" s="17" t="n">
        <x:v>35935</x:v>
      </x:c>
      <x:c r="H1624" s="17" t="n">
        <x:v>9492</x:v>
      </x:c>
      <x:c r="I1624" s="17" t="str">
        <x:v>Followup</x:v>
      </x:c>
      <x:c r="J1624" s="27" t="n">
        <x:f>INDEX('Model Pricing'!$B$7:$B$8,MATCH(F1624,'Model Pricing'!$A$7:$A$8,0))</x:f>
        <x:v>40</x:v>
      </x:c>
      <x:c r="K1624" s="27" t="n">
        <x:f>INDEX('Model Pricing'!$C$7:$C$8,MATCH(F1624,'Model Pricing'!$A$7:$A$8,0))</x:f>
        <x:v>100</x:v>
      </x:c>
      <x:c r="L1624" s="17" t="n">
        <x:f>G1624+H1624</x:f>
        <x:v>45427</x:v>
      </x:c>
      <x:c r="M1624" s="28" t="n">
        <x:f>G1624*J1624/1000000</x:f>
        <x:v>1.4374</x:v>
      </x:c>
      <x:c r="N1624" s="28" t="n">
        <x:f>H1624*K1624/1000000</x:f>
        <x:v>0.9492</x:v>
      </x:c>
      <x:c r="O1624" s="28" t="n">
        <x:f>SUM(M1624:N1624)</x:f>
        <x:v>2.3866</x:v>
      </x:c>
    </x:row>
    <x:row r="1625" ht="23" customHeight="1">
      <x:c r="A1625" s="17" t="str">
        <x:v>U01619</x:v>
      </x:c>
      <x:c r="B1625" s="18" t="n">
        <x:v>46294</x:v>
      </x:c>
      <x:c r="C1625" s="17" t="str">
        <x:v>W0101</x:v>
      </x:c>
      <x:c r="D1625" s="17" t="str">
        <x:v>C002</x:v>
      </x:c>
      <x:c r="E1625" s="17" t="str">
        <x:v>CopyStudio</x:v>
      </x:c>
      <x:c r="F1625" s="17" t="str">
        <x:v>Pro</x:v>
      </x:c>
      <x:c r="G1625" s="17" t="n">
        <x:v>31715</x:v>
      </x:c>
      <x:c r="H1625" s="17" t="n">
        <x:v>14917</x:v>
      </x:c>
      <x:c r="I1625" s="17" t="str">
        <x:v>Correction</x:v>
      </x:c>
      <x:c r="J1625" s="27" t="n">
        <x:f>INDEX('Model Pricing'!$B$7:$B$8,MATCH(F1625,'Model Pricing'!$A$7:$A$8,0))</x:f>
        <x:v>40</x:v>
      </x:c>
      <x:c r="K1625" s="27" t="n">
        <x:f>INDEX('Model Pricing'!$C$7:$C$8,MATCH(F1625,'Model Pricing'!$A$7:$A$8,0))</x:f>
        <x:v>100</x:v>
      </x:c>
      <x:c r="L1625" s="17" t="n">
        <x:f>G1625+H1625</x:f>
        <x:v>46632</x:v>
      </x:c>
      <x:c r="M1625" s="28" t="n">
        <x:f>G1625*J1625/1000000</x:f>
        <x:v>1.2686</x:v>
      </x:c>
      <x:c r="N1625" s="28" t="n">
        <x:f>H1625*K1625/1000000</x:f>
        <x:v>1.4917</x:v>
      </x:c>
      <x:c r="O1625" s="28" t="n">
        <x:f>SUM(M1625:N1625)</x:f>
        <x:v>2.7603</x:v>
      </x:c>
    </x:row>
    <x:row r="1626" ht="23" customHeight="1">
      <x:c r="A1626" s="17" t="str">
        <x:v>U01620</x:v>
      </x:c>
      <x:c r="B1626" s="18" t="n">
        <x:v>46294</x:v>
      </x:c>
      <x:c r="C1626" s="17" t="str">
        <x:v>W0101</x:v>
      </x:c>
      <x:c r="D1626" s="17" t="str">
        <x:v>C002</x:v>
      </x:c>
      <x:c r="E1626" s="17" t="str">
        <x:v>CopyStudio</x:v>
      </x:c>
      <x:c r="F1626" s="17" t="str">
        <x:v>Pro</x:v>
      </x:c>
      <x:c r="G1626" s="17" t="n">
        <x:v>28184</x:v>
      </x:c>
      <x:c r="H1626" s="17" t="n">
        <x:v>12070</x:v>
      </x:c>
      <x:c r="I1626" s="17" t="str">
        <x:v>Correction</x:v>
      </x:c>
      <x:c r="J1626" s="27" t="n">
        <x:f>INDEX('Model Pricing'!$B$7:$B$8,MATCH(F1626,'Model Pricing'!$A$7:$A$8,0))</x:f>
        <x:v>40</x:v>
      </x:c>
      <x:c r="K1626" s="27" t="n">
        <x:f>INDEX('Model Pricing'!$C$7:$C$8,MATCH(F1626,'Model Pricing'!$A$7:$A$8,0))</x:f>
        <x:v>100</x:v>
      </x:c>
      <x:c r="L1626" s="17" t="n">
        <x:f>G1626+H1626</x:f>
        <x:v>40254</x:v>
      </x:c>
      <x:c r="M1626" s="28" t="n">
        <x:f>G1626*J1626/1000000</x:f>
        <x:v>1.12736</x:v>
      </x:c>
      <x:c r="N1626" s="28" t="n">
        <x:f>H1626*K1626/1000000</x:f>
        <x:v>1.207</x:v>
      </x:c>
      <x:c r="O1626" s="28" t="n">
        <x:f>SUM(M1626:N1626)</x:f>
        <x:v>2.33436</x:v>
      </x:c>
    </x:row>
    <x:row r="1627" ht="23" customHeight="1">
      <x:c r="A1627" s="17" t="str">
        <x:v>U01621</x:v>
      </x:c>
      <x:c r="B1627" s="18" t="n">
        <x:v>46294</x:v>
      </x:c>
      <x:c r="C1627" s="17" t="str">
        <x:v>W0101</x:v>
      </x:c>
      <x:c r="D1627" s="17" t="str">
        <x:v>C002</x:v>
      </x:c>
      <x:c r="E1627" s="17" t="str">
        <x:v>CopyStudio</x:v>
      </x:c>
      <x:c r="F1627" s="17" t="str">
        <x:v>Pro</x:v>
      </x:c>
      <x:c r="G1627" s="17" t="n">
        <x:v>17960</x:v>
      </x:c>
      <x:c r="H1627" s="17" t="n">
        <x:v>20861</x:v>
      </x:c>
      <x:c r="I1627" s="17" t="str">
        <x:v>Followup</x:v>
      </x:c>
      <x:c r="J1627" s="27" t="n">
        <x:f>INDEX('Model Pricing'!$B$7:$B$8,MATCH(F1627,'Model Pricing'!$A$7:$A$8,0))</x:f>
        <x:v>40</x:v>
      </x:c>
      <x:c r="K1627" s="27" t="n">
        <x:f>INDEX('Model Pricing'!$C$7:$C$8,MATCH(F1627,'Model Pricing'!$A$7:$A$8,0))</x:f>
        <x:v>100</x:v>
      </x:c>
      <x:c r="L1627" s="17" t="n">
        <x:f>G1627+H1627</x:f>
        <x:v>38821</x:v>
      </x:c>
      <x:c r="M1627" s="28" t="n">
        <x:f>G1627*J1627/1000000</x:f>
        <x:v>0.7184</x:v>
      </x:c>
      <x:c r="N1627" s="28" t="n">
        <x:f>H1627*K1627/1000000</x:f>
        <x:v>2.0861</x:v>
      </x:c>
      <x:c r="O1627" s="28" t="n">
        <x:f>SUM(M1627:N1627)</x:f>
        <x:v>2.8045</x:v>
      </x:c>
    </x:row>
    <x:row r="1628" ht="23" customHeight="1">
      <x:c r="A1628" s="17" t="str">
        <x:v>U01622</x:v>
      </x:c>
      <x:c r="B1628" s="18" t="n">
        <x:v>46283</x:v>
      </x:c>
      <x:c r="C1628" s="17" t="str">
        <x:v>W0103</x:v>
      </x:c>
      <x:c r="D1628" s="17" t="str">
        <x:v>C002</x:v>
      </x:c>
      <x:c r="E1628" s="17" t="str">
        <x:v>CampaignChat</x:v>
      </x:c>
      <x:c r="F1628" s="17" t="str">
        <x:v>Pro</x:v>
      </x:c>
      <x:c r="G1628" s="17" t="n">
        <x:v>19174</x:v>
      </x:c>
      <x:c r="H1628" s="17" t="n">
        <x:v>10882</x:v>
      </x:c>
      <x:c r="I1628" s="17" t="str">
        <x:v>First attempt</x:v>
      </x:c>
      <x:c r="J1628" s="27" t="n">
        <x:f>INDEX('Model Pricing'!$B$7:$B$8,MATCH(F1628,'Model Pricing'!$A$7:$A$8,0))</x:f>
        <x:v>40</x:v>
      </x:c>
      <x:c r="K1628" s="27" t="n">
        <x:f>INDEX('Model Pricing'!$C$7:$C$8,MATCH(F1628,'Model Pricing'!$A$7:$A$8,0))</x:f>
        <x:v>100</x:v>
      </x:c>
      <x:c r="L1628" s="17" t="n">
        <x:f>G1628+H1628</x:f>
        <x:v>30056</x:v>
      </x:c>
      <x:c r="M1628" s="28" t="n">
        <x:f>G1628*J1628/1000000</x:f>
        <x:v>0.76696</x:v>
      </x:c>
      <x:c r="N1628" s="28" t="n">
        <x:f>H1628*K1628/1000000</x:f>
        <x:v>1.0882</x:v>
      </x:c>
      <x:c r="O1628" s="28" t="n">
        <x:f>SUM(M1628:N1628)</x:f>
        <x:v>1.8551600000000001</x:v>
      </x:c>
    </x:row>
    <x:row r="1629" ht="23" customHeight="1">
      <x:c r="A1629" s="17" t="str">
        <x:v>U01623</x:v>
      </x:c>
      <x:c r="B1629" s="18" t="n">
        <x:v>46283</x:v>
      </x:c>
      <x:c r="C1629" s="17" t="str">
        <x:v>W0103</x:v>
      </x:c>
      <x:c r="D1629" s="17" t="str">
        <x:v>C002</x:v>
      </x:c>
      <x:c r="E1629" s="17" t="str">
        <x:v>CampaignChat</x:v>
      </x:c>
      <x:c r="F1629" s="17" t="str">
        <x:v>Pro</x:v>
      </x:c>
      <x:c r="G1629" s="17" t="n">
        <x:v>19444</x:v>
      </x:c>
      <x:c r="H1629" s="17" t="n">
        <x:v>10201</x:v>
      </x:c>
      <x:c r="I1629" s="17" t="str">
        <x:v>Followup</x:v>
      </x:c>
      <x:c r="J1629" s="27" t="n">
        <x:f>INDEX('Model Pricing'!$B$7:$B$8,MATCH(F1629,'Model Pricing'!$A$7:$A$8,0))</x:f>
        <x:v>40</x:v>
      </x:c>
      <x:c r="K1629" s="27" t="n">
        <x:f>INDEX('Model Pricing'!$C$7:$C$8,MATCH(F1629,'Model Pricing'!$A$7:$A$8,0))</x:f>
        <x:v>100</x:v>
      </x:c>
      <x:c r="L1629" s="17" t="n">
        <x:f>G1629+H1629</x:f>
        <x:v>29645</x:v>
      </x:c>
      <x:c r="M1629" s="28" t="n">
        <x:f>G1629*J1629/1000000</x:f>
        <x:v>0.77776</x:v>
      </x:c>
      <x:c r="N1629" s="28" t="n">
        <x:f>H1629*K1629/1000000</x:f>
        <x:v>1.0201</x:v>
      </x:c>
      <x:c r="O1629" s="28" t="n">
        <x:f>SUM(M1629:N1629)</x:f>
        <x:v>1.79786</x:v>
      </x:c>
    </x:row>
    <x:row r="1630" ht="23" customHeight="1">
      <x:c r="A1630" s="17" t="str">
        <x:v>U01624</x:v>
      </x:c>
      <x:c r="B1630" s="18" t="n">
        <x:v>46283</x:v>
      </x:c>
      <x:c r="C1630" s="17" t="str">
        <x:v>W0103</x:v>
      </x:c>
      <x:c r="D1630" s="17" t="str">
        <x:v>C002</x:v>
      </x:c>
      <x:c r="E1630" s="17" t="str">
        <x:v>CampaignChat</x:v>
      </x:c>
      <x:c r="F1630" s="17" t="str">
        <x:v>Pro</x:v>
      </x:c>
      <x:c r="G1630" s="17" t="n">
        <x:v>20690</x:v>
      </x:c>
      <x:c r="H1630" s="17" t="n">
        <x:v>15373</x:v>
      </x:c>
      <x:c r="I1630" s="17" t="str">
        <x:v>Followup</x:v>
      </x:c>
      <x:c r="J1630" s="27" t="n">
        <x:f>INDEX('Model Pricing'!$B$7:$B$8,MATCH(F1630,'Model Pricing'!$A$7:$A$8,0))</x:f>
        <x:v>40</x:v>
      </x:c>
      <x:c r="K1630" s="27" t="n">
        <x:f>INDEX('Model Pricing'!$C$7:$C$8,MATCH(F1630,'Model Pricing'!$A$7:$A$8,0))</x:f>
        <x:v>100</x:v>
      </x:c>
      <x:c r="L1630" s="17" t="n">
        <x:f>G1630+H1630</x:f>
        <x:v>36063</x:v>
      </x:c>
      <x:c r="M1630" s="28" t="n">
        <x:f>G1630*J1630/1000000</x:f>
        <x:v>0.8276</x:v>
      </x:c>
      <x:c r="N1630" s="28" t="n">
        <x:f>H1630*K1630/1000000</x:f>
        <x:v>1.5373</x:v>
      </x:c>
      <x:c r="O1630" s="28" t="n">
        <x:f>SUM(M1630:N1630)</x:f>
        <x:v>2.3649</x:v>
      </x:c>
    </x:row>
    <x:row r="1631" ht="23" customHeight="1">
      <x:c r="A1631" s="17" t="str">
        <x:v>U01625</x:v>
      </x:c>
      <x:c r="B1631" s="18" t="n">
        <x:v>46283</x:v>
      </x:c>
      <x:c r="C1631" s="17" t="str">
        <x:v>W0103</x:v>
      </x:c>
      <x:c r="D1631" s="17" t="str">
        <x:v>C002</x:v>
      </x:c>
      <x:c r="E1631" s="17" t="str">
        <x:v>CampaignChat</x:v>
      </x:c>
      <x:c r="F1631" s="17" t="str">
        <x:v>Pro</x:v>
      </x:c>
      <x:c r="G1631" s="17" t="n">
        <x:v>18806</x:v>
      </x:c>
      <x:c r="H1631" s="17" t="n">
        <x:v>7861</x:v>
      </x:c>
      <x:c r="I1631" s="17" t="str">
        <x:v>Followup</x:v>
      </x:c>
      <x:c r="J1631" s="27" t="n">
        <x:f>INDEX('Model Pricing'!$B$7:$B$8,MATCH(F1631,'Model Pricing'!$A$7:$A$8,0))</x:f>
        <x:v>40</x:v>
      </x:c>
      <x:c r="K1631" s="27" t="n">
        <x:f>INDEX('Model Pricing'!$C$7:$C$8,MATCH(F1631,'Model Pricing'!$A$7:$A$8,0))</x:f>
        <x:v>100</x:v>
      </x:c>
      <x:c r="L1631" s="17" t="n">
        <x:f>G1631+H1631</x:f>
        <x:v>26667</x:v>
      </x:c>
      <x:c r="M1631" s="28" t="n">
        <x:f>G1631*J1631/1000000</x:f>
        <x:v>0.75224</x:v>
      </x:c>
      <x:c r="N1631" s="28" t="n">
        <x:f>H1631*K1631/1000000</x:f>
        <x:v>0.7861</x:v>
      </x:c>
      <x:c r="O1631" s="28" t="n">
        <x:f>SUM(M1631:N1631)</x:f>
        <x:v>1.53834</x:v>
      </x:c>
    </x:row>
    <x:row r="1632" ht="23" customHeight="1">
      <x:c r="A1632" s="17" t="str">
        <x:v>U01626</x:v>
      </x:c>
      <x:c r="B1632" s="18" t="n">
        <x:v>46283</x:v>
      </x:c>
      <x:c r="C1632" s="17" t="str">
        <x:v>W0103</x:v>
      </x:c>
      <x:c r="D1632" s="17" t="str">
        <x:v>C002</x:v>
      </x:c>
      <x:c r="E1632" s="17" t="str">
        <x:v>CampaignChat</x:v>
      </x:c>
      <x:c r="F1632" s="17" t="str">
        <x:v>Pro</x:v>
      </x:c>
      <x:c r="G1632" s="17" t="n">
        <x:v>19571</x:v>
      </x:c>
      <x:c r="H1632" s="17" t="n">
        <x:v>15150</x:v>
      </x:c>
      <x:c r="I1632" s="17" t="str">
        <x:v>Followup</x:v>
      </x:c>
      <x:c r="J1632" s="27" t="n">
        <x:f>INDEX('Model Pricing'!$B$7:$B$8,MATCH(F1632,'Model Pricing'!$A$7:$A$8,0))</x:f>
        <x:v>40</x:v>
      </x:c>
      <x:c r="K1632" s="27" t="n">
        <x:f>INDEX('Model Pricing'!$C$7:$C$8,MATCH(F1632,'Model Pricing'!$A$7:$A$8,0))</x:f>
        <x:v>100</x:v>
      </x:c>
      <x:c r="L1632" s="17" t="n">
        <x:f>G1632+H1632</x:f>
        <x:v>34721</x:v>
      </x:c>
      <x:c r="M1632" s="28" t="n">
        <x:f>G1632*J1632/1000000</x:f>
        <x:v>0.78284</x:v>
      </x:c>
      <x:c r="N1632" s="28" t="n">
        <x:f>H1632*K1632/1000000</x:f>
        <x:v>1.515</x:v>
      </x:c>
      <x:c r="O1632" s="28" t="n">
        <x:f>SUM(M1632:N1632)</x:f>
        <x:v>2.29784</x:v>
      </x:c>
    </x:row>
    <x:row r="1633" ht="23" customHeight="1">
      <x:c r="A1633" s="17" t="str">
        <x:v>U01627</x:v>
      </x:c>
      <x:c r="B1633" s="18" t="n">
        <x:v>46283</x:v>
      </x:c>
      <x:c r="C1633" s="17" t="str">
        <x:v>W0103</x:v>
      </x:c>
      <x:c r="D1633" s="17" t="str">
        <x:v>C002</x:v>
      </x:c>
      <x:c r="E1633" s="17" t="str">
        <x:v>CampaignChat</x:v>
      </x:c>
      <x:c r="F1633" s="17" t="str">
        <x:v>Pro</x:v>
      </x:c>
      <x:c r="G1633" s="17" t="n">
        <x:v>16528</x:v>
      </x:c>
      <x:c r="H1633" s="17" t="n">
        <x:v>18000</x:v>
      </x:c>
      <x:c r="I1633" s="17" t="str">
        <x:v>Correction</x:v>
      </x:c>
      <x:c r="J1633" s="27" t="n">
        <x:f>INDEX('Model Pricing'!$B$7:$B$8,MATCH(F1633,'Model Pricing'!$A$7:$A$8,0))</x:f>
        <x:v>40</x:v>
      </x:c>
      <x:c r="K1633" s="27" t="n">
        <x:f>INDEX('Model Pricing'!$C$7:$C$8,MATCH(F1633,'Model Pricing'!$A$7:$A$8,0))</x:f>
        <x:v>100</x:v>
      </x:c>
      <x:c r="L1633" s="17" t="n">
        <x:f>G1633+H1633</x:f>
        <x:v>34528</x:v>
      </x:c>
      <x:c r="M1633" s="28" t="n">
        <x:f>G1633*J1633/1000000</x:f>
        <x:v>0.66112</x:v>
      </x:c>
      <x:c r="N1633" s="28" t="n">
        <x:f>H1633*K1633/1000000</x:f>
        <x:v>1.8</x:v>
      </x:c>
      <x:c r="O1633" s="28" t="n">
        <x:f>SUM(M1633:N1633)</x:f>
        <x:v>2.46112</x:v>
      </x:c>
    </x:row>
    <x:row r="1634" ht="23" customHeight="1">
      <x:c r="A1634" s="17" t="str">
        <x:v>U01628</x:v>
      </x:c>
      <x:c r="B1634" s="18" t="n">
        <x:v>46286</x:v>
      </x:c>
      <x:c r="C1634" s="17" t="str">
        <x:v>W0103</x:v>
      </x:c>
      <x:c r="D1634" s="17" t="str">
        <x:v>C002</x:v>
      </x:c>
      <x:c r="E1634" s="17" t="str">
        <x:v>CampaignChat</x:v>
      </x:c>
      <x:c r="F1634" s="17" t="str">
        <x:v>Pro</x:v>
      </x:c>
      <x:c r="G1634" s="17" t="n">
        <x:v>9372</x:v>
      </x:c>
      <x:c r="H1634" s="17" t="n">
        <x:v>9065</x:v>
      </x:c>
      <x:c r="I1634" s="17" t="str">
        <x:v>Followup</x:v>
      </x:c>
      <x:c r="J1634" s="27" t="n">
        <x:f>INDEX('Model Pricing'!$B$7:$B$8,MATCH(F1634,'Model Pricing'!$A$7:$A$8,0))</x:f>
        <x:v>40</x:v>
      </x:c>
      <x:c r="K1634" s="27" t="n">
        <x:f>INDEX('Model Pricing'!$C$7:$C$8,MATCH(F1634,'Model Pricing'!$A$7:$A$8,0))</x:f>
        <x:v>100</x:v>
      </x:c>
      <x:c r="L1634" s="17" t="n">
        <x:f>G1634+H1634</x:f>
        <x:v>18437</x:v>
      </x:c>
      <x:c r="M1634" s="28" t="n">
        <x:f>G1634*J1634/1000000</x:f>
        <x:v>0.37488</x:v>
      </x:c>
      <x:c r="N1634" s="28" t="n">
        <x:f>H1634*K1634/1000000</x:f>
        <x:v>0.9065</x:v>
      </x:c>
      <x:c r="O1634" s="28" t="n">
        <x:f>SUM(M1634:N1634)</x:f>
        <x:v>1.28138</x:v>
      </x:c>
    </x:row>
    <x:row r="1635" ht="23" customHeight="1">
      <x:c r="A1635" s="17" t="str">
        <x:v>U01629</x:v>
      </x:c>
      <x:c r="B1635" s="18" t="n">
        <x:v>46286</x:v>
      </x:c>
      <x:c r="C1635" s="17" t="str">
        <x:v>W0103</x:v>
      </x:c>
      <x:c r="D1635" s="17" t="str">
        <x:v>C002</x:v>
      </x:c>
      <x:c r="E1635" s="17" t="str">
        <x:v>CampaignChat</x:v>
      </x:c>
      <x:c r="F1635" s="17" t="str">
        <x:v>Pro</x:v>
      </x:c>
      <x:c r="G1635" s="17" t="n">
        <x:v>24640</x:v>
      </x:c>
      <x:c r="H1635" s="17" t="n">
        <x:v>19642</x:v>
      </x:c>
      <x:c r="I1635" s="17" t="str">
        <x:v>Followup</x:v>
      </x:c>
      <x:c r="J1635" s="27" t="n">
        <x:f>INDEX('Model Pricing'!$B$7:$B$8,MATCH(F1635,'Model Pricing'!$A$7:$A$8,0))</x:f>
        <x:v>40</x:v>
      </x:c>
      <x:c r="K1635" s="27" t="n">
        <x:f>INDEX('Model Pricing'!$C$7:$C$8,MATCH(F1635,'Model Pricing'!$A$7:$A$8,0))</x:f>
        <x:v>100</x:v>
      </x:c>
      <x:c r="L1635" s="17" t="n">
        <x:f>G1635+H1635</x:f>
        <x:v>44282</x:v>
      </x:c>
      <x:c r="M1635" s="28" t="n">
        <x:f>G1635*J1635/1000000</x:f>
        <x:v>0.9856</x:v>
      </x:c>
      <x:c r="N1635" s="28" t="n">
        <x:f>H1635*K1635/1000000</x:f>
        <x:v>1.9642</x:v>
      </x:c>
      <x:c r="O1635" s="28" t="n">
        <x:f>SUM(M1635:N1635)</x:f>
        <x:v>2.9497999999999998</x:v>
      </x:c>
    </x:row>
    <x:row r="1636" ht="23" customHeight="1">
      <x:c r="A1636" s="17" t="str">
        <x:v>U01630</x:v>
      </x:c>
      <x:c r="B1636" s="18" t="n">
        <x:v>46286</x:v>
      </x:c>
      <x:c r="C1636" s="17" t="str">
        <x:v>W0103</x:v>
      </x:c>
      <x:c r="D1636" s="17" t="str">
        <x:v>C002</x:v>
      </x:c>
      <x:c r="E1636" s="17" t="str">
        <x:v>CampaignChat</x:v>
      </x:c>
      <x:c r="F1636" s="17" t="str">
        <x:v>Pro</x:v>
      </x:c>
      <x:c r="G1636" s="17" t="n">
        <x:v>12835</x:v>
      </x:c>
      <x:c r="H1636" s="17" t="n">
        <x:v>13816</x:v>
      </x:c>
      <x:c r="I1636" s="17" t="str">
        <x:v>Followup</x:v>
      </x:c>
      <x:c r="J1636" s="27" t="n">
        <x:f>INDEX('Model Pricing'!$B$7:$B$8,MATCH(F1636,'Model Pricing'!$A$7:$A$8,0))</x:f>
        <x:v>40</x:v>
      </x:c>
      <x:c r="K1636" s="27" t="n">
        <x:f>INDEX('Model Pricing'!$C$7:$C$8,MATCH(F1636,'Model Pricing'!$A$7:$A$8,0))</x:f>
        <x:v>100</x:v>
      </x:c>
      <x:c r="L1636" s="17" t="n">
        <x:f>G1636+H1636</x:f>
        <x:v>26651</x:v>
      </x:c>
      <x:c r="M1636" s="28" t="n">
        <x:f>G1636*J1636/1000000</x:f>
        <x:v>0.5134</x:v>
      </x:c>
      <x:c r="N1636" s="28" t="n">
        <x:f>H1636*K1636/1000000</x:f>
        <x:v>1.3816</x:v>
      </x:c>
      <x:c r="O1636" s="28" t="n">
        <x:f>SUM(M1636:N1636)</x:f>
        <x:v>1.895</x:v>
      </x:c>
    </x:row>
    <x:row r="1637" ht="23" customHeight="1">
      <x:c r="A1637" s="17" t="str">
        <x:v>U01631</x:v>
      </x:c>
      <x:c r="B1637" s="18" t="n">
        <x:v>46286</x:v>
      </x:c>
      <x:c r="C1637" s="17" t="str">
        <x:v>W0103</x:v>
      </x:c>
      <x:c r="D1637" s="17" t="str">
        <x:v>C002</x:v>
      </x:c>
      <x:c r="E1637" s="17" t="str">
        <x:v>CampaignChat</x:v>
      </x:c>
      <x:c r="F1637" s="17" t="str">
        <x:v>Pro</x:v>
      </x:c>
      <x:c r="G1637" s="17" t="n">
        <x:v>21899</x:v>
      </x:c>
      <x:c r="H1637" s="17" t="n">
        <x:v>16204</x:v>
      </x:c>
      <x:c r="I1637" s="17" t="str">
        <x:v>Correction</x:v>
      </x:c>
      <x:c r="J1637" s="27" t="n">
        <x:f>INDEX('Model Pricing'!$B$7:$B$8,MATCH(F1637,'Model Pricing'!$A$7:$A$8,0))</x:f>
        <x:v>40</x:v>
      </x:c>
      <x:c r="K1637" s="27" t="n">
        <x:f>INDEX('Model Pricing'!$C$7:$C$8,MATCH(F1637,'Model Pricing'!$A$7:$A$8,0))</x:f>
        <x:v>100</x:v>
      </x:c>
      <x:c r="L1637" s="17" t="n">
        <x:f>G1637+H1637</x:f>
        <x:v>38103</x:v>
      </x:c>
      <x:c r="M1637" s="28" t="n">
        <x:f>G1637*J1637/1000000</x:f>
        <x:v>0.87596</x:v>
      </x:c>
      <x:c r="N1637" s="28" t="n">
        <x:f>H1637*K1637/1000000</x:f>
        <x:v>1.6204</x:v>
      </x:c>
      <x:c r="O1637" s="28" t="n">
        <x:f>SUM(M1637:N1637)</x:f>
        <x:v>2.49636</x:v>
      </x:c>
    </x:row>
    <x:row r="1638" ht="23" customHeight="1">
      <x:c r="A1638" s="17" t="str">
        <x:v>U01632</x:v>
      </x:c>
      <x:c r="B1638" s="18" t="n">
        <x:v>46286</x:v>
      </x:c>
      <x:c r="C1638" s="17" t="str">
        <x:v>W0103</x:v>
      </x:c>
      <x:c r="D1638" s="17" t="str">
        <x:v>C002</x:v>
      </x:c>
      <x:c r="E1638" s="17" t="str">
        <x:v>CampaignChat</x:v>
      </x:c>
      <x:c r="F1638" s="17" t="str">
        <x:v>Pro</x:v>
      </x:c>
      <x:c r="G1638" s="17" t="n">
        <x:v>20107</x:v>
      </x:c>
      <x:c r="H1638" s="17" t="n">
        <x:v>6484</x:v>
      </x:c>
      <x:c r="I1638" s="17" t="str">
        <x:v>Correction</x:v>
      </x:c>
      <x:c r="J1638" s="27" t="n">
        <x:f>INDEX('Model Pricing'!$B$7:$B$8,MATCH(F1638,'Model Pricing'!$A$7:$A$8,0))</x:f>
        <x:v>40</x:v>
      </x:c>
      <x:c r="K1638" s="27" t="n">
        <x:f>INDEX('Model Pricing'!$C$7:$C$8,MATCH(F1638,'Model Pricing'!$A$7:$A$8,0))</x:f>
        <x:v>100</x:v>
      </x:c>
      <x:c r="L1638" s="17" t="n">
        <x:f>G1638+H1638</x:f>
        <x:v>26591</x:v>
      </x:c>
      <x:c r="M1638" s="28" t="n">
        <x:f>G1638*J1638/1000000</x:f>
        <x:v>0.80428</x:v>
      </x:c>
      <x:c r="N1638" s="28" t="n">
        <x:f>H1638*K1638/1000000</x:f>
        <x:v>0.6484</x:v>
      </x:c>
      <x:c r="O1638" s="28" t="n">
        <x:f>SUM(M1638:N1638)</x:f>
        <x:v>1.45268</x:v>
      </x:c>
    </x:row>
    <x:row r="1639" ht="23" customHeight="1">
      <x:c r="A1639" s="17" t="str">
        <x:v>U01633</x:v>
      </x:c>
      <x:c r="B1639" s="18" t="n">
        <x:v>46287</x:v>
      </x:c>
      <x:c r="C1639" s="17" t="str">
        <x:v>W0103</x:v>
      </x:c>
      <x:c r="D1639" s="17" t="str">
        <x:v>C002</x:v>
      </x:c>
      <x:c r="E1639" s="17" t="str">
        <x:v>CampaignChat</x:v>
      </x:c>
      <x:c r="F1639" s="17" t="str">
        <x:v>Pro</x:v>
      </x:c>
      <x:c r="G1639" s="17" t="n">
        <x:v>12449</x:v>
      </x:c>
      <x:c r="H1639" s="17" t="n">
        <x:v>5242</x:v>
      </x:c>
      <x:c r="I1639" s="17" t="str">
        <x:v>Correction</x:v>
      </x:c>
      <x:c r="J1639" s="27" t="n">
        <x:f>INDEX('Model Pricing'!$B$7:$B$8,MATCH(F1639,'Model Pricing'!$A$7:$A$8,0))</x:f>
        <x:v>40</x:v>
      </x:c>
      <x:c r="K1639" s="27" t="n">
        <x:f>INDEX('Model Pricing'!$C$7:$C$8,MATCH(F1639,'Model Pricing'!$A$7:$A$8,0))</x:f>
        <x:v>100</x:v>
      </x:c>
      <x:c r="L1639" s="17" t="n">
        <x:f>G1639+H1639</x:f>
        <x:v>17691</x:v>
      </x:c>
      <x:c r="M1639" s="28" t="n">
        <x:f>G1639*J1639/1000000</x:f>
        <x:v>0.49796</x:v>
      </x:c>
      <x:c r="N1639" s="28" t="n">
        <x:f>H1639*K1639/1000000</x:f>
        <x:v>0.5242</x:v>
      </x:c>
      <x:c r="O1639" s="28" t="n">
        <x:f>SUM(M1639:N1639)</x:f>
        <x:v>1.02216</x:v>
      </x:c>
    </x:row>
    <x:row r="1640" ht="23" customHeight="1">
      <x:c r="A1640" s="17" t="str">
        <x:v>U01634</x:v>
      </x:c>
      <x:c r="B1640" s="18" t="n">
        <x:v>46287</x:v>
      </x:c>
      <x:c r="C1640" s="17" t="str">
        <x:v>W0103</x:v>
      </x:c>
      <x:c r="D1640" s="17" t="str">
        <x:v>C002</x:v>
      </x:c>
      <x:c r="E1640" s="17" t="str">
        <x:v>CampaignChat</x:v>
      </x:c>
      <x:c r="F1640" s="17" t="str">
        <x:v>Pro</x:v>
      </x:c>
      <x:c r="G1640" s="17" t="n">
        <x:v>23383</x:v>
      </x:c>
      <x:c r="H1640" s="17" t="n">
        <x:v>18826</x:v>
      </x:c>
      <x:c r="I1640" s="17" t="str">
        <x:v>Followup</x:v>
      </x:c>
      <x:c r="J1640" s="27" t="n">
        <x:f>INDEX('Model Pricing'!$B$7:$B$8,MATCH(F1640,'Model Pricing'!$A$7:$A$8,0))</x:f>
        <x:v>40</x:v>
      </x:c>
      <x:c r="K1640" s="27" t="n">
        <x:f>INDEX('Model Pricing'!$C$7:$C$8,MATCH(F1640,'Model Pricing'!$A$7:$A$8,0))</x:f>
        <x:v>100</x:v>
      </x:c>
      <x:c r="L1640" s="17" t="n">
        <x:f>G1640+H1640</x:f>
        <x:v>42209</x:v>
      </x:c>
      <x:c r="M1640" s="28" t="n">
        <x:f>G1640*J1640/1000000</x:f>
        <x:v>0.93532</x:v>
      </x:c>
      <x:c r="N1640" s="28" t="n">
        <x:f>H1640*K1640/1000000</x:f>
        <x:v>1.8826</x:v>
      </x:c>
      <x:c r="O1640" s="28" t="n">
        <x:f>SUM(M1640:N1640)</x:f>
        <x:v>2.81792</x:v>
      </x:c>
    </x:row>
    <x:row r="1641" ht="23" customHeight="1">
      <x:c r="A1641" s="17" t="str">
        <x:v>U01635</x:v>
      </x:c>
      <x:c r="B1641" s="18" t="n">
        <x:v>46287</x:v>
      </x:c>
      <x:c r="C1641" s="17" t="str">
        <x:v>W0103</x:v>
      </x:c>
      <x:c r="D1641" s="17" t="str">
        <x:v>C002</x:v>
      </x:c>
      <x:c r="E1641" s="17" t="str">
        <x:v>CampaignChat</x:v>
      </x:c>
      <x:c r="F1641" s="17" t="str">
        <x:v>Pro</x:v>
      </x:c>
      <x:c r="G1641" s="17" t="n">
        <x:v>21145</x:v>
      </x:c>
      <x:c r="H1641" s="17" t="n">
        <x:v>12338</x:v>
      </x:c>
      <x:c r="I1641" s="17" t="str">
        <x:v>Followup</x:v>
      </x:c>
      <x:c r="J1641" s="27" t="n">
        <x:f>INDEX('Model Pricing'!$B$7:$B$8,MATCH(F1641,'Model Pricing'!$A$7:$A$8,0))</x:f>
        <x:v>40</x:v>
      </x:c>
      <x:c r="K1641" s="27" t="n">
        <x:f>INDEX('Model Pricing'!$C$7:$C$8,MATCH(F1641,'Model Pricing'!$A$7:$A$8,0))</x:f>
        <x:v>100</x:v>
      </x:c>
      <x:c r="L1641" s="17" t="n">
        <x:f>G1641+H1641</x:f>
        <x:v>33483</x:v>
      </x:c>
      <x:c r="M1641" s="28" t="n">
        <x:f>G1641*J1641/1000000</x:f>
        <x:v>0.8458</x:v>
      </x:c>
      <x:c r="N1641" s="28" t="n">
        <x:f>H1641*K1641/1000000</x:f>
        <x:v>1.2338</x:v>
      </x:c>
      <x:c r="O1641" s="28" t="n">
        <x:f>SUM(M1641:N1641)</x:f>
        <x:v>2.0796</x:v>
      </x:c>
    </x:row>
    <x:row r="1642" ht="23" customHeight="1">
      <x:c r="A1642" s="17" t="str">
        <x:v>U01636</x:v>
      </x:c>
      <x:c r="B1642" s="18" t="n">
        <x:v>46287</x:v>
      </x:c>
      <x:c r="C1642" s="17" t="str">
        <x:v>W0103</x:v>
      </x:c>
      <x:c r="D1642" s="17" t="str">
        <x:v>C002</x:v>
      </x:c>
      <x:c r="E1642" s="17" t="str">
        <x:v>CampaignChat</x:v>
      </x:c>
      <x:c r="F1642" s="17" t="str">
        <x:v>Pro</x:v>
      </x:c>
      <x:c r="G1642" s="17" t="n">
        <x:v>15796</x:v>
      </x:c>
      <x:c r="H1642" s="17" t="n">
        <x:v>5543</x:v>
      </x:c>
      <x:c r="I1642" s="17" t="str">
        <x:v>Followup</x:v>
      </x:c>
      <x:c r="J1642" s="27" t="n">
        <x:f>INDEX('Model Pricing'!$B$7:$B$8,MATCH(F1642,'Model Pricing'!$A$7:$A$8,0))</x:f>
        <x:v>40</x:v>
      </x:c>
      <x:c r="K1642" s="27" t="n">
        <x:f>INDEX('Model Pricing'!$C$7:$C$8,MATCH(F1642,'Model Pricing'!$A$7:$A$8,0))</x:f>
        <x:v>100</x:v>
      </x:c>
      <x:c r="L1642" s="17" t="n">
        <x:f>G1642+H1642</x:f>
        <x:v>21339</x:v>
      </x:c>
      <x:c r="M1642" s="28" t="n">
        <x:f>G1642*J1642/1000000</x:f>
        <x:v>0.63184</x:v>
      </x:c>
      <x:c r="N1642" s="28" t="n">
        <x:f>H1642*K1642/1000000</x:f>
        <x:v>0.5543</x:v>
      </x:c>
      <x:c r="O1642" s="28" t="n">
        <x:f>SUM(M1642:N1642)</x:f>
        <x:v>1.18614</x:v>
      </x:c>
    </x:row>
    <x:row r="1643" ht="23" customHeight="1">
      <x:c r="A1643" s="17" t="str">
        <x:v>U01637</x:v>
      </x:c>
      <x:c r="B1643" s="18" t="n">
        <x:v>46287</x:v>
      </x:c>
      <x:c r="C1643" s="17" t="str">
        <x:v>W0103</x:v>
      </x:c>
      <x:c r="D1643" s="17" t="str">
        <x:v>C002</x:v>
      </x:c>
      <x:c r="E1643" s="17" t="str">
        <x:v>CampaignChat</x:v>
      </x:c>
      <x:c r="F1643" s="17" t="str">
        <x:v>Pro</x:v>
      </x:c>
      <x:c r="G1643" s="17" t="n">
        <x:v>18297</x:v>
      </x:c>
      <x:c r="H1643" s="17" t="n">
        <x:v>10148</x:v>
      </x:c>
      <x:c r="I1643" s="17" t="str">
        <x:v>Correction</x:v>
      </x:c>
      <x:c r="J1643" s="27" t="n">
        <x:f>INDEX('Model Pricing'!$B$7:$B$8,MATCH(F1643,'Model Pricing'!$A$7:$A$8,0))</x:f>
        <x:v>40</x:v>
      </x:c>
      <x:c r="K1643" s="27" t="n">
        <x:f>INDEX('Model Pricing'!$C$7:$C$8,MATCH(F1643,'Model Pricing'!$A$7:$A$8,0))</x:f>
        <x:v>100</x:v>
      </x:c>
      <x:c r="L1643" s="17" t="n">
        <x:f>G1643+H1643</x:f>
        <x:v>28445</x:v>
      </x:c>
      <x:c r="M1643" s="28" t="n">
        <x:f>G1643*J1643/1000000</x:f>
        <x:v>0.73188</x:v>
      </x:c>
      <x:c r="N1643" s="28" t="n">
        <x:f>H1643*K1643/1000000</x:f>
        <x:v>1.0148</x:v>
      </x:c>
      <x:c r="O1643" s="28" t="n">
        <x:f>SUM(M1643:N1643)</x:f>
        <x:v>1.74668</x:v>
      </x:c>
    </x:row>
    <x:row r="1644" ht="23" customHeight="1">
      <x:c r="A1644" s="17" t="str">
        <x:v>U01638</x:v>
      </x:c>
      <x:c r="B1644" s="18" t="n">
        <x:v>46287</x:v>
      </x:c>
      <x:c r="C1644" s="17" t="str">
        <x:v>W0103</x:v>
      </x:c>
      <x:c r="D1644" s="17" t="str">
        <x:v>C002</x:v>
      </x:c>
      <x:c r="E1644" s="17" t="str">
        <x:v>CampaignChat</x:v>
      </x:c>
      <x:c r="F1644" s="17" t="str">
        <x:v>Pro</x:v>
      </x:c>
      <x:c r="G1644" s="17" t="n">
        <x:v>12746</x:v>
      </x:c>
      <x:c r="H1644" s="17" t="n">
        <x:v>5957</x:v>
      </x:c>
      <x:c r="I1644" s="17" t="str">
        <x:v>Followup</x:v>
      </x:c>
      <x:c r="J1644" s="27" t="n">
        <x:f>INDEX('Model Pricing'!$B$7:$B$8,MATCH(F1644,'Model Pricing'!$A$7:$A$8,0))</x:f>
        <x:v>40</x:v>
      </x:c>
      <x:c r="K1644" s="27" t="n">
        <x:f>INDEX('Model Pricing'!$C$7:$C$8,MATCH(F1644,'Model Pricing'!$A$7:$A$8,0))</x:f>
        <x:v>100</x:v>
      </x:c>
      <x:c r="L1644" s="17" t="n">
        <x:f>G1644+H1644</x:f>
        <x:v>18703</x:v>
      </x:c>
      <x:c r="M1644" s="28" t="n">
        <x:f>G1644*J1644/1000000</x:f>
        <x:v>0.50984</x:v>
      </x:c>
      <x:c r="N1644" s="28" t="n">
        <x:f>H1644*K1644/1000000</x:f>
        <x:v>0.5957</x:v>
      </x:c>
      <x:c r="O1644" s="28" t="n">
        <x:f>SUM(M1644:N1644)</x:f>
        <x:v>1.10554</x:v>
      </x:c>
    </x:row>
    <x:row r="1645" ht="23" customHeight="1">
      <x:c r="A1645" s="17" t="str">
        <x:v>U01639</x:v>
      </x:c>
      <x:c r="B1645" s="18" t="n">
        <x:v>46288</x:v>
      </x:c>
      <x:c r="C1645" s="17" t="str">
        <x:v>W0103</x:v>
      </x:c>
      <x:c r="D1645" s="17" t="str">
        <x:v>C002</x:v>
      </x:c>
      <x:c r="E1645" s="17" t="str">
        <x:v>CampaignChat</x:v>
      </x:c>
      <x:c r="F1645" s="17" t="str">
        <x:v>Pro</x:v>
      </x:c>
      <x:c r="G1645" s="17" t="n">
        <x:v>8493</x:v>
      </x:c>
      <x:c r="H1645" s="17" t="n">
        <x:v>15228</x:v>
      </x:c>
      <x:c r="I1645" s="17" t="str">
        <x:v>Followup</x:v>
      </x:c>
      <x:c r="J1645" s="27" t="n">
        <x:f>INDEX('Model Pricing'!$B$7:$B$8,MATCH(F1645,'Model Pricing'!$A$7:$A$8,0))</x:f>
        <x:v>40</x:v>
      </x:c>
      <x:c r="K1645" s="27" t="n">
        <x:f>INDEX('Model Pricing'!$C$7:$C$8,MATCH(F1645,'Model Pricing'!$A$7:$A$8,0))</x:f>
        <x:v>100</x:v>
      </x:c>
      <x:c r="L1645" s="17" t="n">
        <x:f>G1645+H1645</x:f>
        <x:v>23721</x:v>
      </x:c>
      <x:c r="M1645" s="28" t="n">
        <x:f>G1645*J1645/1000000</x:f>
        <x:v>0.33972</x:v>
      </x:c>
      <x:c r="N1645" s="28" t="n">
        <x:f>H1645*K1645/1000000</x:f>
        <x:v>1.5228</x:v>
      </x:c>
      <x:c r="O1645" s="28" t="n">
        <x:f>SUM(M1645:N1645)</x:f>
        <x:v>1.86252</x:v>
      </x:c>
    </x:row>
    <x:row r="1646" ht="23" customHeight="1">
      <x:c r="A1646" s="17" t="str">
        <x:v>U01640</x:v>
      </x:c>
      <x:c r="B1646" s="18" t="n">
        <x:v>46288</x:v>
      </x:c>
      <x:c r="C1646" s="17" t="str">
        <x:v>W0103</x:v>
      </x:c>
      <x:c r="D1646" s="17" t="str">
        <x:v>C002</x:v>
      </x:c>
      <x:c r="E1646" s="17" t="str">
        <x:v>CampaignChat</x:v>
      </x:c>
      <x:c r="F1646" s="17" t="str">
        <x:v>Pro</x:v>
      </x:c>
      <x:c r="G1646" s="17" t="n">
        <x:v>19610</x:v>
      </x:c>
      <x:c r="H1646" s="17" t="n">
        <x:v>16588</x:v>
      </x:c>
      <x:c r="I1646" s="17" t="str">
        <x:v>Correction</x:v>
      </x:c>
      <x:c r="J1646" s="27" t="n">
        <x:f>INDEX('Model Pricing'!$B$7:$B$8,MATCH(F1646,'Model Pricing'!$A$7:$A$8,0))</x:f>
        <x:v>40</x:v>
      </x:c>
      <x:c r="K1646" s="27" t="n">
        <x:f>INDEX('Model Pricing'!$C$7:$C$8,MATCH(F1646,'Model Pricing'!$A$7:$A$8,0))</x:f>
        <x:v>100</x:v>
      </x:c>
      <x:c r="L1646" s="17" t="n">
        <x:f>G1646+H1646</x:f>
        <x:v>36198</x:v>
      </x:c>
      <x:c r="M1646" s="28" t="n">
        <x:f>G1646*J1646/1000000</x:f>
        <x:v>0.7844</x:v>
      </x:c>
      <x:c r="N1646" s="28" t="n">
        <x:f>H1646*K1646/1000000</x:f>
        <x:v>1.6588</x:v>
      </x:c>
      <x:c r="O1646" s="28" t="n">
        <x:f>SUM(M1646:N1646)</x:f>
        <x:v>2.4432</x:v>
      </x:c>
    </x:row>
    <x:row r="1647" ht="23" customHeight="1">
      <x:c r="A1647" s="17" t="str">
        <x:v>U01641</x:v>
      </x:c>
      <x:c r="B1647" s="18" t="n">
        <x:v>46288</x:v>
      </x:c>
      <x:c r="C1647" s="17" t="str">
        <x:v>W0103</x:v>
      </x:c>
      <x:c r="D1647" s="17" t="str">
        <x:v>C002</x:v>
      </x:c>
      <x:c r="E1647" s="17" t="str">
        <x:v>CampaignChat</x:v>
      </x:c>
      <x:c r="F1647" s="17" t="str">
        <x:v>Pro</x:v>
      </x:c>
      <x:c r="G1647" s="17" t="n">
        <x:v>9048</x:v>
      </x:c>
      <x:c r="H1647" s="17" t="n">
        <x:v>9585</x:v>
      </x:c>
      <x:c r="I1647" s="17" t="str">
        <x:v>Followup</x:v>
      </x:c>
      <x:c r="J1647" s="27" t="n">
        <x:f>INDEX('Model Pricing'!$B$7:$B$8,MATCH(F1647,'Model Pricing'!$A$7:$A$8,0))</x:f>
        <x:v>40</x:v>
      </x:c>
      <x:c r="K1647" s="27" t="n">
        <x:f>INDEX('Model Pricing'!$C$7:$C$8,MATCH(F1647,'Model Pricing'!$A$7:$A$8,0))</x:f>
        <x:v>100</x:v>
      </x:c>
      <x:c r="L1647" s="17" t="n">
        <x:f>G1647+H1647</x:f>
        <x:v>18633</x:v>
      </x:c>
      <x:c r="M1647" s="28" t="n">
        <x:f>G1647*J1647/1000000</x:f>
        <x:v>0.36192</x:v>
      </x:c>
      <x:c r="N1647" s="28" t="n">
        <x:f>H1647*K1647/1000000</x:f>
        <x:v>0.9585</x:v>
      </x:c>
      <x:c r="O1647" s="28" t="n">
        <x:f>SUM(M1647:N1647)</x:f>
        <x:v>1.32042</x:v>
      </x:c>
    </x:row>
    <x:row r="1648" ht="23" customHeight="1">
      <x:c r="A1648" s="17" t="str">
        <x:v>U01642</x:v>
      </x:c>
      <x:c r="B1648" s="18" t="n">
        <x:v>46288</x:v>
      </x:c>
      <x:c r="C1648" s="17" t="str">
        <x:v>W0103</x:v>
      </x:c>
      <x:c r="D1648" s="17" t="str">
        <x:v>C002</x:v>
      </x:c>
      <x:c r="E1648" s="17" t="str">
        <x:v>CampaignChat</x:v>
      </x:c>
      <x:c r="F1648" s="17" t="str">
        <x:v>Pro</x:v>
      </x:c>
      <x:c r="G1648" s="17" t="n">
        <x:v>14191</x:v>
      </x:c>
      <x:c r="H1648" s="17" t="n">
        <x:v>7402</x:v>
      </x:c>
      <x:c r="I1648" s="17" t="str">
        <x:v>Correction</x:v>
      </x:c>
      <x:c r="J1648" s="27" t="n">
        <x:f>INDEX('Model Pricing'!$B$7:$B$8,MATCH(F1648,'Model Pricing'!$A$7:$A$8,0))</x:f>
        <x:v>40</x:v>
      </x:c>
      <x:c r="K1648" s="27" t="n">
        <x:f>INDEX('Model Pricing'!$C$7:$C$8,MATCH(F1648,'Model Pricing'!$A$7:$A$8,0))</x:f>
        <x:v>100</x:v>
      </x:c>
      <x:c r="L1648" s="17" t="n">
        <x:f>G1648+H1648</x:f>
        <x:v>21593</x:v>
      </x:c>
      <x:c r="M1648" s="28" t="n">
        <x:f>G1648*J1648/1000000</x:f>
        <x:v>0.56764</x:v>
      </x:c>
      <x:c r="N1648" s="28" t="n">
        <x:f>H1648*K1648/1000000</x:f>
        <x:v>0.7402</x:v>
      </x:c>
      <x:c r="O1648" s="28" t="n">
        <x:f>SUM(M1648:N1648)</x:f>
        <x:v>1.3078400000000001</x:v>
      </x:c>
    </x:row>
    <x:row r="1649" ht="23" customHeight="1">
      <x:c r="A1649" s="17" t="str">
        <x:v>U01643</x:v>
      </x:c>
      <x:c r="B1649" s="18" t="n">
        <x:v>46288</x:v>
      </x:c>
      <x:c r="C1649" s="17" t="str">
        <x:v>W0103</x:v>
      </x:c>
      <x:c r="D1649" s="17" t="str">
        <x:v>C002</x:v>
      </x:c>
      <x:c r="E1649" s="17" t="str">
        <x:v>CampaignChat</x:v>
      </x:c>
      <x:c r="F1649" s="17" t="str">
        <x:v>Pro</x:v>
      </x:c>
      <x:c r="G1649" s="17" t="n">
        <x:v>15914</x:v>
      </x:c>
      <x:c r="H1649" s="17" t="n">
        <x:v>12633</x:v>
      </x:c>
      <x:c r="I1649" s="17" t="str">
        <x:v>Correction</x:v>
      </x:c>
      <x:c r="J1649" s="27" t="n">
        <x:f>INDEX('Model Pricing'!$B$7:$B$8,MATCH(F1649,'Model Pricing'!$A$7:$A$8,0))</x:f>
        <x:v>40</x:v>
      </x:c>
      <x:c r="K1649" s="27" t="n">
        <x:f>INDEX('Model Pricing'!$C$7:$C$8,MATCH(F1649,'Model Pricing'!$A$7:$A$8,0))</x:f>
        <x:v>100</x:v>
      </x:c>
      <x:c r="L1649" s="17" t="n">
        <x:f>G1649+H1649</x:f>
        <x:v>28547</x:v>
      </x:c>
      <x:c r="M1649" s="28" t="n">
        <x:f>G1649*J1649/1000000</x:f>
        <x:v>0.63656</x:v>
      </x:c>
      <x:c r="N1649" s="28" t="n">
        <x:f>H1649*K1649/1000000</x:f>
        <x:v>1.2633</x:v>
      </x:c>
      <x:c r="O1649" s="28" t="n">
        <x:f>SUM(M1649:N1649)</x:f>
        <x:v>1.89986</x:v>
      </x:c>
    </x:row>
    <x:row r="1650" ht="23" customHeight="1">
      <x:c r="A1650" s="17" t="str">
        <x:v>U01644</x:v>
      </x:c>
      <x:c r="B1650" s="18" t="n">
        <x:v>46266</x:v>
      </x:c>
      <x:c r="C1650" s="17" t="str">
        <x:v>W0109</x:v>
      </x:c>
      <x:c r="D1650" s="17" t="str">
        <x:v>C002</x:v>
      </x:c>
      <x:c r="E1650" s="17" t="str">
        <x:v>CopyStudio</x:v>
      </x:c>
      <x:c r="F1650" s="17" t="str">
        <x:v>Pro</x:v>
      </x:c>
      <x:c r="G1650" s="17" t="n">
        <x:v>39230</x:v>
      </x:c>
      <x:c r="H1650" s="17" t="n">
        <x:v>8276</x:v>
      </x:c>
      <x:c r="I1650" s="17" t="str">
        <x:v>First attempt</x:v>
      </x:c>
      <x:c r="J1650" s="27" t="n">
        <x:f>INDEX('Model Pricing'!$B$7:$B$8,MATCH(F1650,'Model Pricing'!$A$7:$A$8,0))</x:f>
        <x:v>40</x:v>
      </x:c>
      <x:c r="K1650" s="27" t="n">
        <x:f>INDEX('Model Pricing'!$C$7:$C$8,MATCH(F1650,'Model Pricing'!$A$7:$A$8,0))</x:f>
        <x:v>100</x:v>
      </x:c>
      <x:c r="L1650" s="17" t="n">
        <x:f>G1650+H1650</x:f>
        <x:v>47506</x:v>
      </x:c>
      <x:c r="M1650" s="28" t="n">
        <x:f>G1650*J1650/1000000</x:f>
        <x:v>1.5692</x:v>
      </x:c>
      <x:c r="N1650" s="28" t="n">
        <x:f>H1650*K1650/1000000</x:f>
        <x:v>0.8276</x:v>
      </x:c>
      <x:c r="O1650" s="28" t="n">
        <x:f>SUM(M1650:N1650)</x:f>
        <x:v>2.3968</x:v>
      </x:c>
    </x:row>
    <x:row r="1651" ht="23" customHeight="1">
      <x:c r="A1651" s="17" t="str">
        <x:v>U01645</x:v>
      </x:c>
      <x:c r="B1651" s="18" t="n">
        <x:v>46266</x:v>
      </x:c>
      <x:c r="C1651" s="17" t="str">
        <x:v>W0109</x:v>
      </x:c>
      <x:c r="D1651" s="17" t="str">
        <x:v>C002</x:v>
      </x:c>
      <x:c r="E1651" s="17" t="str">
        <x:v>CopyStudio</x:v>
      </x:c>
      <x:c r="F1651" s="17" t="str">
        <x:v>Pro</x:v>
      </x:c>
      <x:c r="G1651" s="17" t="n">
        <x:v>18528</x:v>
      </x:c>
      <x:c r="H1651" s="17" t="n">
        <x:v>8105</x:v>
      </x:c>
      <x:c r="I1651" s="17" t="str">
        <x:v>Correction</x:v>
      </x:c>
      <x:c r="J1651" s="27" t="n">
        <x:f>INDEX('Model Pricing'!$B$7:$B$8,MATCH(F1651,'Model Pricing'!$A$7:$A$8,0))</x:f>
        <x:v>40</x:v>
      </x:c>
      <x:c r="K1651" s="27" t="n">
        <x:f>INDEX('Model Pricing'!$C$7:$C$8,MATCH(F1651,'Model Pricing'!$A$7:$A$8,0))</x:f>
        <x:v>100</x:v>
      </x:c>
      <x:c r="L1651" s="17" t="n">
        <x:f>G1651+H1651</x:f>
        <x:v>26633</x:v>
      </x:c>
      <x:c r="M1651" s="28" t="n">
        <x:f>G1651*J1651/1000000</x:f>
        <x:v>0.74112</x:v>
      </x:c>
      <x:c r="N1651" s="28" t="n">
        <x:f>H1651*K1651/1000000</x:f>
        <x:v>0.8105</x:v>
      </x:c>
      <x:c r="O1651" s="28" t="n">
        <x:f>SUM(M1651:N1651)</x:f>
        <x:v>1.55162</x:v>
      </x:c>
    </x:row>
    <x:row r="1652" ht="23" customHeight="1">
      <x:c r="A1652" s="17" t="str">
        <x:v>U01646</x:v>
      </x:c>
      <x:c r="B1652" s="18" t="n">
        <x:v>46266</x:v>
      </x:c>
      <x:c r="C1652" s="17" t="str">
        <x:v>W0109</x:v>
      </x:c>
      <x:c r="D1652" s="17" t="str">
        <x:v>C002</x:v>
      </x:c>
      <x:c r="E1652" s="17" t="str">
        <x:v>CopyStudio</x:v>
      </x:c>
      <x:c r="F1652" s="17" t="str">
        <x:v>Pro</x:v>
      </x:c>
      <x:c r="G1652" s="17" t="n">
        <x:v>39233</x:v>
      </x:c>
      <x:c r="H1652" s="17" t="n">
        <x:v>11015</x:v>
      </x:c>
      <x:c r="I1652" s="17" t="str">
        <x:v>Correction</x:v>
      </x:c>
      <x:c r="J1652" s="27" t="n">
        <x:f>INDEX('Model Pricing'!$B$7:$B$8,MATCH(F1652,'Model Pricing'!$A$7:$A$8,0))</x:f>
        <x:v>40</x:v>
      </x:c>
      <x:c r="K1652" s="27" t="n">
        <x:f>INDEX('Model Pricing'!$C$7:$C$8,MATCH(F1652,'Model Pricing'!$A$7:$A$8,0))</x:f>
        <x:v>100</x:v>
      </x:c>
      <x:c r="L1652" s="17" t="n">
        <x:f>G1652+H1652</x:f>
        <x:v>50248</x:v>
      </x:c>
      <x:c r="M1652" s="28" t="n">
        <x:f>G1652*J1652/1000000</x:f>
        <x:v>1.56932</x:v>
      </x:c>
      <x:c r="N1652" s="28" t="n">
        <x:f>H1652*K1652/1000000</x:f>
        <x:v>1.1015</x:v>
      </x:c>
      <x:c r="O1652" s="28" t="n">
        <x:f>SUM(M1652:N1652)</x:f>
        <x:v>2.67082</x:v>
      </x:c>
    </x:row>
    <x:row r="1653" ht="23" customHeight="1">
      <x:c r="A1653" s="17" t="str">
        <x:v>U01647</x:v>
      </x:c>
      <x:c r="B1653" s="18" t="n">
        <x:v>46266</x:v>
      </x:c>
      <x:c r="C1653" s="17" t="str">
        <x:v>W0109</x:v>
      </x:c>
      <x:c r="D1653" s="17" t="str">
        <x:v>C002</x:v>
      </x:c>
      <x:c r="E1653" s="17" t="str">
        <x:v>CopyStudio</x:v>
      </x:c>
      <x:c r="F1653" s="17" t="str">
        <x:v>Pro</x:v>
      </x:c>
      <x:c r="G1653" s="17" t="n">
        <x:v>44194</x:v>
      </x:c>
      <x:c r="H1653" s="17" t="n">
        <x:v>7654</x:v>
      </x:c>
      <x:c r="I1653" s="17" t="str">
        <x:v>Followup</x:v>
      </x:c>
      <x:c r="J1653" s="27" t="n">
        <x:f>INDEX('Model Pricing'!$B$7:$B$8,MATCH(F1653,'Model Pricing'!$A$7:$A$8,0))</x:f>
        <x:v>40</x:v>
      </x:c>
      <x:c r="K1653" s="27" t="n">
        <x:f>INDEX('Model Pricing'!$C$7:$C$8,MATCH(F1653,'Model Pricing'!$A$7:$A$8,0))</x:f>
        <x:v>100</x:v>
      </x:c>
      <x:c r="L1653" s="17" t="n">
        <x:f>G1653+H1653</x:f>
        <x:v>51848</x:v>
      </x:c>
      <x:c r="M1653" s="28" t="n">
        <x:f>G1653*J1653/1000000</x:f>
        <x:v>1.76776</x:v>
      </x:c>
      <x:c r="N1653" s="28" t="n">
        <x:f>H1653*K1653/1000000</x:f>
        <x:v>0.7654</x:v>
      </x:c>
      <x:c r="O1653" s="28" t="n">
        <x:f>SUM(M1653:N1653)</x:f>
        <x:v>2.53316</x:v>
      </x:c>
    </x:row>
    <x:row r="1654" ht="23" customHeight="1">
      <x:c r="A1654" s="17" t="str">
        <x:v>U01648</x:v>
      </x:c>
      <x:c r="B1654" s="18" t="n">
        <x:v>46266</x:v>
      </x:c>
      <x:c r="C1654" s="17" t="str">
        <x:v>W0109</x:v>
      </x:c>
      <x:c r="D1654" s="17" t="str">
        <x:v>C002</x:v>
      </x:c>
      <x:c r="E1654" s="17" t="str">
        <x:v>CopyStudio</x:v>
      </x:c>
      <x:c r="F1654" s="17" t="str">
        <x:v>Pro</x:v>
      </x:c>
      <x:c r="G1654" s="17" t="n">
        <x:v>25301</x:v>
      </x:c>
      <x:c r="H1654" s="17" t="n">
        <x:v>7678</x:v>
      </x:c>
      <x:c r="I1654" s="17" t="str">
        <x:v>Correction</x:v>
      </x:c>
      <x:c r="J1654" s="27" t="n">
        <x:f>INDEX('Model Pricing'!$B$7:$B$8,MATCH(F1654,'Model Pricing'!$A$7:$A$8,0))</x:f>
        <x:v>40</x:v>
      </x:c>
      <x:c r="K1654" s="27" t="n">
        <x:f>INDEX('Model Pricing'!$C$7:$C$8,MATCH(F1654,'Model Pricing'!$A$7:$A$8,0))</x:f>
        <x:v>100</x:v>
      </x:c>
      <x:c r="L1654" s="17" t="n">
        <x:f>G1654+H1654</x:f>
        <x:v>32979</x:v>
      </x:c>
      <x:c r="M1654" s="28" t="n">
        <x:f>G1654*J1654/1000000</x:f>
        <x:v>1.01204</x:v>
      </x:c>
      <x:c r="N1654" s="28" t="n">
        <x:f>H1654*K1654/1000000</x:f>
        <x:v>0.7678</x:v>
      </x:c>
      <x:c r="O1654" s="28" t="n">
        <x:f>SUM(M1654:N1654)</x:f>
        <x:v>1.77984</x:v>
      </x:c>
    </x:row>
    <x:row r="1655" ht="23" customHeight="1">
      <x:c r="A1655" s="17" t="str">
        <x:v>U01649</x:v>
      </x:c>
      <x:c r="B1655" s="18" t="n">
        <x:v>46267</x:v>
      </x:c>
      <x:c r="C1655" s="17" t="str">
        <x:v>W0109</x:v>
      </x:c>
      <x:c r="D1655" s="17" t="str">
        <x:v>C002</x:v>
      </x:c>
      <x:c r="E1655" s="17" t="str">
        <x:v>CopyStudio</x:v>
      </x:c>
      <x:c r="F1655" s="17" t="str">
        <x:v>Pro</x:v>
      </x:c>
      <x:c r="G1655" s="17" t="n">
        <x:v>19829</x:v>
      </x:c>
      <x:c r="H1655" s="17" t="n">
        <x:v>10412</x:v>
      </x:c>
      <x:c r="I1655" s="17" t="str">
        <x:v>Correction</x:v>
      </x:c>
      <x:c r="J1655" s="27" t="n">
        <x:f>INDEX('Model Pricing'!$B$7:$B$8,MATCH(F1655,'Model Pricing'!$A$7:$A$8,0))</x:f>
        <x:v>40</x:v>
      </x:c>
      <x:c r="K1655" s="27" t="n">
        <x:f>INDEX('Model Pricing'!$C$7:$C$8,MATCH(F1655,'Model Pricing'!$A$7:$A$8,0))</x:f>
        <x:v>100</x:v>
      </x:c>
      <x:c r="L1655" s="17" t="n">
        <x:f>G1655+H1655</x:f>
        <x:v>30241</x:v>
      </x:c>
      <x:c r="M1655" s="28" t="n">
        <x:f>G1655*J1655/1000000</x:f>
        <x:v>0.79316</x:v>
      </x:c>
      <x:c r="N1655" s="28" t="n">
        <x:f>H1655*K1655/1000000</x:f>
        <x:v>1.0412</x:v>
      </x:c>
      <x:c r="O1655" s="28" t="n">
        <x:f>SUM(M1655:N1655)</x:f>
        <x:v>1.8343599999999998</x:v>
      </x:c>
    </x:row>
    <x:row r="1656" ht="23" customHeight="1">
      <x:c r="A1656" s="17" t="str">
        <x:v>U01650</x:v>
      </x:c>
      <x:c r="B1656" s="18" t="n">
        <x:v>46267</x:v>
      </x:c>
      <x:c r="C1656" s="17" t="str">
        <x:v>W0109</x:v>
      </x:c>
      <x:c r="D1656" s="17" t="str">
        <x:v>C002</x:v>
      </x:c>
      <x:c r="E1656" s="17" t="str">
        <x:v>CopyStudio</x:v>
      </x:c>
      <x:c r="F1656" s="17" t="str">
        <x:v>Pro</x:v>
      </x:c>
      <x:c r="G1656" s="17" t="n">
        <x:v>18281</x:v>
      </x:c>
      <x:c r="H1656" s="17" t="n">
        <x:v>4377</x:v>
      </x:c>
      <x:c r="I1656" s="17" t="str">
        <x:v>Followup</x:v>
      </x:c>
      <x:c r="J1656" s="27" t="n">
        <x:f>INDEX('Model Pricing'!$B$7:$B$8,MATCH(F1656,'Model Pricing'!$A$7:$A$8,0))</x:f>
        <x:v>40</x:v>
      </x:c>
      <x:c r="K1656" s="27" t="n">
        <x:f>INDEX('Model Pricing'!$C$7:$C$8,MATCH(F1656,'Model Pricing'!$A$7:$A$8,0))</x:f>
        <x:v>100</x:v>
      </x:c>
      <x:c r="L1656" s="17" t="n">
        <x:f>G1656+H1656</x:f>
        <x:v>22658</x:v>
      </x:c>
      <x:c r="M1656" s="28" t="n">
        <x:f>G1656*J1656/1000000</x:f>
        <x:v>0.73124</x:v>
      </x:c>
      <x:c r="N1656" s="28" t="n">
        <x:f>H1656*K1656/1000000</x:f>
        <x:v>0.4377</x:v>
      </x:c>
      <x:c r="O1656" s="28" t="n">
        <x:f>SUM(M1656:N1656)</x:f>
        <x:v>1.16894</x:v>
      </x:c>
    </x:row>
    <x:row r="1657" ht="23" customHeight="1">
      <x:c r="A1657" s="17" t="str">
        <x:v>U01651</x:v>
      </x:c>
      <x:c r="B1657" s="18" t="n">
        <x:v>46267</x:v>
      </x:c>
      <x:c r="C1657" s="17" t="str">
        <x:v>W0109</x:v>
      </x:c>
      <x:c r="D1657" s="17" t="str">
        <x:v>C002</x:v>
      </x:c>
      <x:c r="E1657" s="17" t="str">
        <x:v>CopyStudio</x:v>
      </x:c>
      <x:c r="F1657" s="17" t="str">
        <x:v>Pro</x:v>
      </x:c>
      <x:c r="G1657" s="17" t="n">
        <x:v>43111</x:v>
      </x:c>
      <x:c r="H1657" s="17" t="n">
        <x:v>5411</x:v>
      </x:c>
      <x:c r="I1657" s="17" t="str">
        <x:v>Followup</x:v>
      </x:c>
      <x:c r="J1657" s="27" t="n">
        <x:f>INDEX('Model Pricing'!$B$7:$B$8,MATCH(F1657,'Model Pricing'!$A$7:$A$8,0))</x:f>
        <x:v>40</x:v>
      </x:c>
      <x:c r="K1657" s="27" t="n">
        <x:f>INDEX('Model Pricing'!$C$7:$C$8,MATCH(F1657,'Model Pricing'!$A$7:$A$8,0))</x:f>
        <x:v>100</x:v>
      </x:c>
      <x:c r="L1657" s="17" t="n">
        <x:f>G1657+H1657</x:f>
        <x:v>48522</x:v>
      </x:c>
      <x:c r="M1657" s="28" t="n">
        <x:f>G1657*J1657/1000000</x:f>
        <x:v>1.72444</x:v>
      </x:c>
      <x:c r="N1657" s="28" t="n">
        <x:f>H1657*K1657/1000000</x:f>
        <x:v>0.5411</x:v>
      </x:c>
      <x:c r="O1657" s="28" t="n">
        <x:f>SUM(M1657:N1657)</x:f>
        <x:v>2.26554</x:v>
      </x:c>
    </x:row>
    <x:row r="1658" ht="23" customHeight="1">
      <x:c r="A1658" s="17" t="str">
        <x:v>U01652</x:v>
      </x:c>
      <x:c r="B1658" s="18" t="n">
        <x:v>46267</x:v>
      </x:c>
      <x:c r="C1658" s="17" t="str">
        <x:v>W0109</x:v>
      </x:c>
      <x:c r="D1658" s="17" t="str">
        <x:v>C002</x:v>
      </x:c>
      <x:c r="E1658" s="17" t="str">
        <x:v>CopyStudio</x:v>
      </x:c>
      <x:c r="F1658" s="17" t="str">
        <x:v>Pro</x:v>
      </x:c>
      <x:c r="G1658" s="17" t="n">
        <x:v>25099</x:v>
      </x:c>
      <x:c r="H1658" s="17" t="n">
        <x:v>4879</x:v>
      </x:c>
      <x:c r="I1658" s="17" t="str">
        <x:v>Followup</x:v>
      </x:c>
      <x:c r="J1658" s="27" t="n">
        <x:f>INDEX('Model Pricing'!$B$7:$B$8,MATCH(F1658,'Model Pricing'!$A$7:$A$8,0))</x:f>
        <x:v>40</x:v>
      </x:c>
      <x:c r="K1658" s="27" t="n">
        <x:f>INDEX('Model Pricing'!$C$7:$C$8,MATCH(F1658,'Model Pricing'!$A$7:$A$8,0))</x:f>
        <x:v>100</x:v>
      </x:c>
      <x:c r="L1658" s="17" t="n">
        <x:f>G1658+H1658</x:f>
        <x:v>29978</x:v>
      </x:c>
      <x:c r="M1658" s="28" t="n">
        <x:f>G1658*J1658/1000000</x:f>
        <x:v>1.00396</x:v>
      </x:c>
      <x:c r="N1658" s="28" t="n">
        <x:f>H1658*K1658/1000000</x:f>
        <x:v>0.4879</x:v>
      </x:c>
      <x:c r="O1658" s="28" t="n">
        <x:f>SUM(M1658:N1658)</x:f>
        <x:v>1.49186</x:v>
      </x:c>
    </x:row>
    <x:row r="1659" ht="23" customHeight="1">
      <x:c r="A1659" s="17" t="str">
        <x:v>U01653</x:v>
      </x:c>
      <x:c r="B1659" s="18" t="n">
        <x:v>46267</x:v>
      </x:c>
      <x:c r="C1659" s="17" t="str">
        <x:v>W0109</x:v>
      </x:c>
      <x:c r="D1659" s="17" t="str">
        <x:v>C002</x:v>
      </x:c>
      <x:c r="E1659" s="17" t="str">
        <x:v>CopyStudio</x:v>
      </x:c>
      <x:c r="F1659" s="17" t="str">
        <x:v>Pro</x:v>
      </x:c>
      <x:c r="G1659" s="17" t="n">
        <x:v>28428</x:v>
      </x:c>
      <x:c r="H1659" s="17" t="n">
        <x:v>4413</x:v>
      </x:c>
      <x:c r="I1659" s="17" t="str">
        <x:v>Correction</x:v>
      </x:c>
      <x:c r="J1659" s="27" t="n">
        <x:f>INDEX('Model Pricing'!$B$7:$B$8,MATCH(F1659,'Model Pricing'!$A$7:$A$8,0))</x:f>
        <x:v>40</x:v>
      </x:c>
      <x:c r="K1659" s="27" t="n">
        <x:f>INDEX('Model Pricing'!$C$7:$C$8,MATCH(F1659,'Model Pricing'!$A$7:$A$8,0))</x:f>
        <x:v>100</x:v>
      </x:c>
      <x:c r="L1659" s="17" t="n">
        <x:f>G1659+H1659</x:f>
        <x:v>32841</x:v>
      </x:c>
      <x:c r="M1659" s="28" t="n">
        <x:f>G1659*J1659/1000000</x:f>
        <x:v>1.13712</x:v>
      </x:c>
      <x:c r="N1659" s="28" t="n">
        <x:f>H1659*K1659/1000000</x:f>
        <x:v>0.4413</x:v>
      </x:c>
      <x:c r="O1659" s="28" t="n">
        <x:f>SUM(M1659:N1659)</x:f>
        <x:v>1.57842</x:v>
      </x:c>
    </x:row>
    <x:row r="1660" ht="23" customHeight="1">
      <x:c r="A1660" s="17" t="str">
        <x:v>U01654</x:v>
      </x:c>
      <x:c r="B1660" s="18" t="n">
        <x:v>46268</x:v>
      </x:c>
      <x:c r="C1660" s="17" t="str">
        <x:v>W0109</x:v>
      </x:c>
      <x:c r="D1660" s="17" t="str">
        <x:v>C002</x:v>
      </x:c>
      <x:c r="E1660" s="17" t="str">
        <x:v>CopyStudio</x:v>
      </x:c>
      <x:c r="F1660" s="17" t="str">
        <x:v>Pro</x:v>
      </x:c>
      <x:c r="G1660" s="17" t="n">
        <x:v>22856</x:v>
      </x:c>
      <x:c r="H1660" s="17" t="n">
        <x:v>11059</x:v>
      </x:c>
      <x:c r="I1660" s="17" t="str">
        <x:v>Followup</x:v>
      </x:c>
      <x:c r="J1660" s="27" t="n">
        <x:f>INDEX('Model Pricing'!$B$7:$B$8,MATCH(F1660,'Model Pricing'!$A$7:$A$8,0))</x:f>
        <x:v>40</x:v>
      </x:c>
      <x:c r="K1660" s="27" t="n">
        <x:f>INDEX('Model Pricing'!$C$7:$C$8,MATCH(F1660,'Model Pricing'!$A$7:$A$8,0))</x:f>
        <x:v>100</x:v>
      </x:c>
      <x:c r="L1660" s="17" t="n">
        <x:f>G1660+H1660</x:f>
        <x:v>33915</x:v>
      </x:c>
      <x:c r="M1660" s="28" t="n">
        <x:f>G1660*J1660/1000000</x:f>
        <x:v>0.91424</x:v>
      </x:c>
      <x:c r="N1660" s="28" t="n">
        <x:f>H1660*K1660/1000000</x:f>
        <x:v>1.1059</x:v>
      </x:c>
      <x:c r="O1660" s="28" t="n">
        <x:f>SUM(M1660:N1660)</x:f>
        <x:v>2.02014</x:v>
      </x:c>
    </x:row>
    <x:row r="1661" ht="23" customHeight="1">
      <x:c r="A1661" s="17" t="str">
        <x:v>U01655</x:v>
      </x:c>
      <x:c r="B1661" s="18" t="n">
        <x:v>46268</x:v>
      </x:c>
      <x:c r="C1661" s="17" t="str">
        <x:v>W0109</x:v>
      </x:c>
      <x:c r="D1661" s="17" t="str">
        <x:v>C002</x:v>
      </x:c>
      <x:c r="E1661" s="17" t="str">
        <x:v>CopyStudio</x:v>
      </x:c>
      <x:c r="F1661" s="17" t="str">
        <x:v>Pro</x:v>
      </x:c>
      <x:c r="G1661" s="17" t="n">
        <x:v>16756</x:v>
      </x:c>
      <x:c r="H1661" s="17" t="n">
        <x:v>11833</x:v>
      </x:c>
      <x:c r="I1661" s="17" t="str">
        <x:v>Followup</x:v>
      </x:c>
      <x:c r="J1661" s="27" t="n">
        <x:f>INDEX('Model Pricing'!$B$7:$B$8,MATCH(F1661,'Model Pricing'!$A$7:$A$8,0))</x:f>
        <x:v>40</x:v>
      </x:c>
      <x:c r="K1661" s="27" t="n">
        <x:f>INDEX('Model Pricing'!$C$7:$C$8,MATCH(F1661,'Model Pricing'!$A$7:$A$8,0))</x:f>
        <x:v>100</x:v>
      </x:c>
      <x:c r="L1661" s="17" t="n">
        <x:f>G1661+H1661</x:f>
        <x:v>28589</x:v>
      </x:c>
      <x:c r="M1661" s="28" t="n">
        <x:f>G1661*J1661/1000000</x:f>
        <x:v>0.67024</x:v>
      </x:c>
      <x:c r="N1661" s="28" t="n">
        <x:f>H1661*K1661/1000000</x:f>
        <x:v>1.1833</x:v>
      </x:c>
      <x:c r="O1661" s="28" t="n">
        <x:f>SUM(M1661:N1661)</x:f>
        <x:v>1.85354</x:v>
      </x:c>
    </x:row>
    <x:row r="1662" ht="23" customHeight="1">
      <x:c r="A1662" s="17" t="str">
        <x:v>U01656</x:v>
      </x:c>
      <x:c r="B1662" s="18" t="n">
        <x:v>46268</x:v>
      </x:c>
      <x:c r="C1662" s="17" t="str">
        <x:v>W0109</x:v>
      </x:c>
      <x:c r="D1662" s="17" t="str">
        <x:v>C002</x:v>
      </x:c>
      <x:c r="E1662" s="17" t="str">
        <x:v>CopyStudio</x:v>
      </x:c>
      <x:c r="F1662" s="17" t="str">
        <x:v>Pro</x:v>
      </x:c>
      <x:c r="G1662" s="17" t="n">
        <x:v>33063</x:v>
      </x:c>
      <x:c r="H1662" s="17" t="n">
        <x:v>8394</x:v>
      </x:c>
      <x:c r="I1662" s="17" t="str">
        <x:v>Followup</x:v>
      </x:c>
      <x:c r="J1662" s="27" t="n">
        <x:f>INDEX('Model Pricing'!$B$7:$B$8,MATCH(F1662,'Model Pricing'!$A$7:$A$8,0))</x:f>
        <x:v>40</x:v>
      </x:c>
      <x:c r="K1662" s="27" t="n">
        <x:f>INDEX('Model Pricing'!$C$7:$C$8,MATCH(F1662,'Model Pricing'!$A$7:$A$8,0))</x:f>
        <x:v>100</x:v>
      </x:c>
      <x:c r="L1662" s="17" t="n">
        <x:f>G1662+H1662</x:f>
        <x:v>41457</x:v>
      </x:c>
      <x:c r="M1662" s="28" t="n">
        <x:f>G1662*J1662/1000000</x:f>
        <x:v>1.32252</x:v>
      </x:c>
      <x:c r="N1662" s="28" t="n">
        <x:f>H1662*K1662/1000000</x:f>
        <x:v>0.8394</x:v>
      </x:c>
      <x:c r="O1662" s="28" t="n">
        <x:f>SUM(M1662:N1662)</x:f>
        <x:v>2.16192</x:v>
      </x:c>
    </x:row>
    <x:row r="1663" ht="23" customHeight="1">
      <x:c r="A1663" s="17" t="str">
        <x:v>U01657</x:v>
      </x:c>
      <x:c r="B1663" s="18" t="n">
        <x:v>46268</x:v>
      </x:c>
      <x:c r="C1663" s="17" t="str">
        <x:v>W0109</x:v>
      </x:c>
      <x:c r="D1663" s="17" t="str">
        <x:v>C002</x:v>
      </x:c>
      <x:c r="E1663" s="17" t="str">
        <x:v>CopyStudio</x:v>
      </x:c>
      <x:c r="F1663" s="17" t="str">
        <x:v>Pro</x:v>
      </x:c>
      <x:c r="G1663" s="17" t="n">
        <x:v>21704</x:v>
      </x:c>
      <x:c r="H1663" s="17" t="n">
        <x:v>7475</x:v>
      </x:c>
      <x:c r="I1663" s="17" t="str">
        <x:v>Correction</x:v>
      </x:c>
      <x:c r="J1663" s="27" t="n">
        <x:f>INDEX('Model Pricing'!$B$7:$B$8,MATCH(F1663,'Model Pricing'!$A$7:$A$8,0))</x:f>
        <x:v>40</x:v>
      </x:c>
      <x:c r="K1663" s="27" t="n">
        <x:f>INDEX('Model Pricing'!$C$7:$C$8,MATCH(F1663,'Model Pricing'!$A$7:$A$8,0))</x:f>
        <x:v>100</x:v>
      </x:c>
      <x:c r="L1663" s="17" t="n">
        <x:f>G1663+H1663</x:f>
        <x:v>29179</x:v>
      </x:c>
      <x:c r="M1663" s="28" t="n">
        <x:f>G1663*J1663/1000000</x:f>
        <x:v>0.86816</x:v>
      </x:c>
      <x:c r="N1663" s="28" t="n">
        <x:f>H1663*K1663/1000000</x:f>
        <x:v>0.7475</x:v>
      </x:c>
      <x:c r="O1663" s="28" t="n">
        <x:f>SUM(M1663:N1663)</x:f>
        <x:v>1.61566</x:v>
      </x:c>
    </x:row>
    <x:row r="1664" ht="23" customHeight="1">
      <x:c r="A1664" s="17" t="str">
        <x:v>U01658</x:v>
      </x:c>
      <x:c r="B1664" s="18" t="n">
        <x:v>46268</x:v>
      </x:c>
      <x:c r="C1664" s="17" t="str">
        <x:v>W0109</x:v>
      </x:c>
      <x:c r="D1664" s="17" t="str">
        <x:v>C002</x:v>
      </x:c>
      <x:c r="E1664" s="17" t="str">
        <x:v>CopyStudio</x:v>
      </x:c>
      <x:c r="F1664" s="17" t="str">
        <x:v>Pro</x:v>
      </x:c>
      <x:c r="G1664" s="17" t="n">
        <x:v>29635</x:v>
      </x:c>
      <x:c r="H1664" s="17" t="n">
        <x:v>4635</x:v>
      </x:c>
      <x:c r="I1664" s="17" t="str">
        <x:v>Followup</x:v>
      </x:c>
      <x:c r="J1664" s="27" t="n">
        <x:f>INDEX('Model Pricing'!$B$7:$B$8,MATCH(F1664,'Model Pricing'!$A$7:$A$8,0))</x:f>
        <x:v>40</x:v>
      </x:c>
      <x:c r="K1664" s="27" t="n">
        <x:f>INDEX('Model Pricing'!$C$7:$C$8,MATCH(F1664,'Model Pricing'!$A$7:$A$8,0))</x:f>
        <x:v>100</x:v>
      </x:c>
      <x:c r="L1664" s="17" t="n">
        <x:f>G1664+H1664</x:f>
        <x:v>34270</x:v>
      </x:c>
      <x:c r="M1664" s="28" t="n">
        <x:f>G1664*J1664/1000000</x:f>
        <x:v>1.1854</x:v>
      </x:c>
      <x:c r="N1664" s="28" t="n">
        <x:f>H1664*K1664/1000000</x:f>
        <x:v>0.4635</x:v>
      </x:c>
      <x:c r="O1664" s="28" t="n">
        <x:f>SUM(M1664:N1664)</x:f>
        <x:v>1.6489</x:v>
      </x:c>
    </x:row>
    <x:row r="1665" ht="23" customHeight="1">
      <x:c r="A1665" s="17" t="str">
        <x:v>U01659</x:v>
      </x:c>
      <x:c r="B1665" s="18" t="n">
        <x:v>46269</x:v>
      </x:c>
      <x:c r="C1665" s="17" t="str">
        <x:v>W0109</x:v>
      </x:c>
      <x:c r="D1665" s="17" t="str">
        <x:v>C002</x:v>
      </x:c>
      <x:c r="E1665" s="17" t="str">
        <x:v>CopyStudio</x:v>
      </x:c>
      <x:c r="F1665" s="17" t="str">
        <x:v>Pro</x:v>
      </x:c>
      <x:c r="G1665" s="17" t="n">
        <x:v>37625</x:v>
      </x:c>
      <x:c r="H1665" s="17" t="n">
        <x:v>9542</x:v>
      </x:c>
      <x:c r="I1665" s="17" t="str">
        <x:v>Followup</x:v>
      </x:c>
      <x:c r="J1665" s="27" t="n">
        <x:f>INDEX('Model Pricing'!$B$7:$B$8,MATCH(F1665,'Model Pricing'!$A$7:$A$8,0))</x:f>
        <x:v>40</x:v>
      </x:c>
      <x:c r="K1665" s="27" t="n">
        <x:f>INDEX('Model Pricing'!$C$7:$C$8,MATCH(F1665,'Model Pricing'!$A$7:$A$8,0))</x:f>
        <x:v>100</x:v>
      </x:c>
      <x:c r="L1665" s="17" t="n">
        <x:f>G1665+H1665</x:f>
        <x:v>47167</x:v>
      </x:c>
      <x:c r="M1665" s="28" t="n">
        <x:f>G1665*J1665/1000000</x:f>
        <x:v>1.505</x:v>
      </x:c>
      <x:c r="N1665" s="28" t="n">
        <x:f>H1665*K1665/1000000</x:f>
        <x:v>0.9542</x:v>
      </x:c>
      <x:c r="O1665" s="28" t="n">
        <x:f>SUM(M1665:N1665)</x:f>
        <x:v>2.4592</x:v>
      </x:c>
    </x:row>
    <x:row r="1666" ht="23" customHeight="1">
      <x:c r="A1666" s="17" t="str">
        <x:v>U01660</x:v>
      </x:c>
      <x:c r="B1666" s="18" t="n">
        <x:v>46269</x:v>
      </x:c>
      <x:c r="C1666" s="17" t="str">
        <x:v>W0109</x:v>
      </x:c>
      <x:c r="D1666" s="17" t="str">
        <x:v>C002</x:v>
      </x:c>
      <x:c r="E1666" s="17" t="str">
        <x:v>CopyStudio</x:v>
      </x:c>
      <x:c r="F1666" s="17" t="str">
        <x:v>Pro</x:v>
      </x:c>
      <x:c r="G1666" s="17" t="n">
        <x:v>19682</x:v>
      </x:c>
      <x:c r="H1666" s="17" t="n">
        <x:v>5889</x:v>
      </x:c>
      <x:c r="I1666" s="17" t="str">
        <x:v>Followup</x:v>
      </x:c>
      <x:c r="J1666" s="27" t="n">
        <x:f>INDEX('Model Pricing'!$B$7:$B$8,MATCH(F1666,'Model Pricing'!$A$7:$A$8,0))</x:f>
        <x:v>40</x:v>
      </x:c>
      <x:c r="K1666" s="27" t="n">
        <x:f>INDEX('Model Pricing'!$C$7:$C$8,MATCH(F1666,'Model Pricing'!$A$7:$A$8,0))</x:f>
        <x:v>100</x:v>
      </x:c>
      <x:c r="L1666" s="17" t="n">
        <x:f>G1666+H1666</x:f>
        <x:v>25571</x:v>
      </x:c>
      <x:c r="M1666" s="28" t="n">
        <x:f>G1666*J1666/1000000</x:f>
        <x:v>0.78728</x:v>
      </x:c>
      <x:c r="N1666" s="28" t="n">
        <x:f>H1666*K1666/1000000</x:f>
        <x:v>0.5889</x:v>
      </x:c>
      <x:c r="O1666" s="28" t="n">
        <x:f>SUM(M1666:N1666)</x:f>
        <x:v>1.37618</x:v>
      </x:c>
    </x:row>
    <x:row r="1667" ht="23" customHeight="1">
      <x:c r="A1667" s="17" t="str">
        <x:v>U01661</x:v>
      </x:c>
      <x:c r="B1667" s="18" t="n">
        <x:v>46269</x:v>
      </x:c>
      <x:c r="C1667" s="17" t="str">
        <x:v>W0109</x:v>
      </x:c>
      <x:c r="D1667" s="17" t="str">
        <x:v>C002</x:v>
      </x:c>
      <x:c r="E1667" s="17" t="str">
        <x:v>CopyStudio</x:v>
      </x:c>
      <x:c r="F1667" s="17" t="str">
        <x:v>Pro</x:v>
      </x:c>
      <x:c r="G1667" s="17" t="n">
        <x:v>17493</x:v>
      </x:c>
      <x:c r="H1667" s="17" t="n">
        <x:v>7315</x:v>
      </x:c>
      <x:c r="I1667" s="17" t="str">
        <x:v>Correction</x:v>
      </x:c>
      <x:c r="J1667" s="27" t="n">
        <x:f>INDEX('Model Pricing'!$B$7:$B$8,MATCH(F1667,'Model Pricing'!$A$7:$A$8,0))</x:f>
        <x:v>40</x:v>
      </x:c>
      <x:c r="K1667" s="27" t="n">
        <x:f>INDEX('Model Pricing'!$C$7:$C$8,MATCH(F1667,'Model Pricing'!$A$7:$A$8,0))</x:f>
        <x:v>100</x:v>
      </x:c>
      <x:c r="L1667" s="17" t="n">
        <x:f>G1667+H1667</x:f>
        <x:v>24808</x:v>
      </x:c>
      <x:c r="M1667" s="28" t="n">
        <x:f>G1667*J1667/1000000</x:f>
        <x:v>0.69972</x:v>
      </x:c>
      <x:c r="N1667" s="28" t="n">
        <x:f>H1667*K1667/1000000</x:f>
        <x:v>0.7315</x:v>
      </x:c>
      <x:c r="O1667" s="28" t="n">
        <x:f>SUM(M1667:N1667)</x:f>
        <x:v>1.4312200000000002</x:v>
      </x:c>
    </x:row>
    <x:row r="1668" ht="23" customHeight="1">
      <x:c r="A1668" s="17" t="str">
        <x:v>U01662</x:v>
      </x:c>
      <x:c r="B1668" s="18" t="n">
        <x:v>46269</x:v>
      </x:c>
      <x:c r="C1668" s="17" t="str">
        <x:v>W0109</x:v>
      </x:c>
      <x:c r="D1668" s="17" t="str">
        <x:v>C002</x:v>
      </x:c>
      <x:c r="E1668" s="17" t="str">
        <x:v>CopyStudio</x:v>
      </x:c>
      <x:c r="F1668" s="17" t="str">
        <x:v>Pro</x:v>
      </x:c>
      <x:c r="G1668" s="17" t="n">
        <x:v>23687</x:v>
      </x:c>
      <x:c r="H1668" s="17" t="n">
        <x:v>10415</x:v>
      </x:c>
      <x:c r="I1668" s="17" t="str">
        <x:v>Followup</x:v>
      </x:c>
      <x:c r="J1668" s="27" t="n">
        <x:f>INDEX('Model Pricing'!$B$7:$B$8,MATCH(F1668,'Model Pricing'!$A$7:$A$8,0))</x:f>
        <x:v>40</x:v>
      </x:c>
      <x:c r="K1668" s="27" t="n">
        <x:f>INDEX('Model Pricing'!$C$7:$C$8,MATCH(F1668,'Model Pricing'!$A$7:$A$8,0))</x:f>
        <x:v>100</x:v>
      </x:c>
      <x:c r="L1668" s="17" t="n">
        <x:f>G1668+H1668</x:f>
        <x:v>34102</x:v>
      </x:c>
      <x:c r="M1668" s="28" t="n">
        <x:f>G1668*J1668/1000000</x:f>
        <x:v>0.94748</x:v>
      </x:c>
      <x:c r="N1668" s="28" t="n">
        <x:f>H1668*K1668/1000000</x:f>
        <x:v>1.0415</x:v>
      </x:c>
      <x:c r="O1668" s="28" t="n">
        <x:f>SUM(M1668:N1668)</x:f>
        <x:v>1.9889800000000002</x:v>
      </x:c>
    </x:row>
    <x:row r="1669" ht="23" customHeight="1">
      <x:c r="A1669" s="17" t="str">
        <x:v>U01663</x:v>
      </x:c>
      <x:c r="B1669" s="18" t="n">
        <x:v>46281</x:v>
      </x:c>
      <x:c r="C1669" s="17" t="str">
        <x:v>W0113</x:v>
      </x:c>
      <x:c r="D1669" s="17" t="str">
        <x:v>C002</x:v>
      </x:c>
      <x:c r="E1669" s="17" t="str">
        <x:v>DataFlow</x:v>
      </x:c>
      <x:c r="F1669" s="17" t="str">
        <x:v>Pro</x:v>
      </x:c>
      <x:c r="G1669" s="17" t="n">
        <x:v>15367</x:v>
      </x:c>
      <x:c r="H1669" s="17" t="n">
        <x:v>9073</x:v>
      </x:c>
      <x:c r="I1669" s="17" t="str">
        <x:v>First attempt</x:v>
      </x:c>
      <x:c r="J1669" s="27" t="n">
        <x:f>INDEX('Model Pricing'!$B$7:$B$8,MATCH(F1669,'Model Pricing'!$A$7:$A$8,0))</x:f>
        <x:v>40</x:v>
      </x:c>
      <x:c r="K1669" s="27" t="n">
        <x:f>INDEX('Model Pricing'!$C$7:$C$8,MATCH(F1669,'Model Pricing'!$A$7:$A$8,0))</x:f>
        <x:v>100</x:v>
      </x:c>
      <x:c r="L1669" s="17" t="n">
        <x:f>G1669+H1669</x:f>
        <x:v>24440</x:v>
      </x:c>
      <x:c r="M1669" s="28" t="n">
        <x:f>G1669*J1669/1000000</x:f>
        <x:v>0.61468</x:v>
      </x:c>
      <x:c r="N1669" s="28" t="n">
        <x:f>H1669*K1669/1000000</x:f>
        <x:v>0.9073</x:v>
      </x:c>
      <x:c r="O1669" s="28" t="n">
        <x:f>SUM(M1669:N1669)</x:f>
        <x:v>1.52198</x:v>
      </x:c>
    </x:row>
    <x:row r="1670" ht="23" customHeight="1">
      <x:c r="A1670" s="17" t="str">
        <x:v>U01664</x:v>
      </x:c>
      <x:c r="B1670" s="18" t="n">
        <x:v>46281</x:v>
      </x:c>
      <x:c r="C1670" s="17" t="str">
        <x:v>W0113</x:v>
      </x:c>
      <x:c r="D1670" s="17" t="str">
        <x:v>C002</x:v>
      </x:c>
      <x:c r="E1670" s="17" t="str">
        <x:v>DataFlow</x:v>
      </x:c>
      <x:c r="F1670" s="17" t="str">
        <x:v>Pro</x:v>
      </x:c>
      <x:c r="G1670" s="17" t="n">
        <x:v>16860</x:v>
      </x:c>
      <x:c r="H1670" s="17" t="n">
        <x:v>5230</x:v>
      </x:c>
      <x:c r="I1670" s="17" t="str">
        <x:v>Correction</x:v>
      </x:c>
      <x:c r="J1670" s="27" t="n">
        <x:f>INDEX('Model Pricing'!$B$7:$B$8,MATCH(F1670,'Model Pricing'!$A$7:$A$8,0))</x:f>
        <x:v>40</x:v>
      </x:c>
      <x:c r="K1670" s="27" t="n">
        <x:f>INDEX('Model Pricing'!$C$7:$C$8,MATCH(F1670,'Model Pricing'!$A$7:$A$8,0))</x:f>
        <x:v>100</x:v>
      </x:c>
      <x:c r="L1670" s="17" t="n">
        <x:f>G1670+H1670</x:f>
        <x:v>22090</x:v>
      </x:c>
      <x:c r="M1670" s="28" t="n">
        <x:f>G1670*J1670/1000000</x:f>
        <x:v>0.6744</x:v>
      </x:c>
      <x:c r="N1670" s="28" t="n">
        <x:f>H1670*K1670/1000000</x:f>
        <x:v>0.523</x:v>
      </x:c>
      <x:c r="O1670" s="28" t="n">
        <x:f>SUM(M1670:N1670)</x:f>
        <x:v>1.1974</x:v>
      </x:c>
    </x:row>
    <x:row r="1671" ht="23" customHeight="1">
      <x:c r="A1671" s="17" t="str">
        <x:v>U01665</x:v>
      </x:c>
      <x:c r="B1671" s="18" t="n">
        <x:v>46281</x:v>
      </x:c>
      <x:c r="C1671" s="17" t="str">
        <x:v>W0113</x:v>
      </x:c>
      <x:c r="D1671" s="17" t="str">
        <x:v>C002</x:v>
      </x:c>
      <x:c r="E1671" s="17" t="str">
        <x:v>DataFlow</x:v>
      </x:c>
      <x:c r="F1671" s="17" t="str">
        <x:v>Pro</x:v>
      </x:c>
      <x:c r="G1671" s="17" t="n">
        <x:v>11950</x:v>
      </x:c>
      <x:c r="H1671" s="17" t="n">
        <x:v>7003</x:v>
      </x:c>
      <x:c r="I1671" s="17" t="str">
        <x:v>Correction</x:v>
      </x:c>
      <x:c r="J1671" s="27" t="n">
        <x:f>INDEX('Model Pricing'!$B$7:$B$8,MATCH(F1671,'Model Pricing'!$A$7:$A$8,0))</x:f>
        <x:v>40</x:v>
      </x:c>
      <x:c r="K1671" s="27" t="n">
        <x:f>INDEX('Model Pricing'!$C$7:$C$8,MATCH(F1671,'Model Pricing'!$A$7:$A$8,0))</x:f>
        <x:v>100</x:v>
      </x:c>
      <x:c r="L1671" s="17" t="n">
        <x:f>G1671+H1671</x:f>
        <x:v>18953</x:v>
      </x:c>
      <x:c r="M1671" s="28" t="n">
        <x:f>G1671*J1671/1000000</x:f>
        <x:v>0.478</x:v>
      </x:c>
      <x:c r="N1671" s="28" t="n">
        <x:f>H1671*K1671/1000000</x:f>
        <x:v>0.7003</x:v>
      </x:c>
      <x:c r="O1671" s="28" t="n">
        <x:f>SUM(M1671:N1671)</x:f>
        <x:v>1.1783000000000001</x:v>
      </x:c>
    </x:row>
    <x:row r="1672" ht="23" customHeight="1">
      <x:c r="A1672" s="17" t="str">
        <x:v>U01666</x:v>
      </x:c>
      <x:c r="B1672" s="18" t="n">
        <x:v>46281</x:v>
      </x:c>
      <x:c r="C1672" s="17" t="str">
        <x:v>W0113</x:v>
      </x:c>
      <x:c r="D1672" s="17" t="str">
        <x:v>C002</x:v>
      </x:c>
      <x:c r="E1672" s="17" t="str">
        <x:v>DataFlow</x:v>
      </x:c>
      <x:c r="F1672" s="17" t="str">
        <x:v>Pro</x:v>
      </x:c>
      <x:c r="G1672" s="17" t="n">
        <x:v>16240</x:v>
      </x:c>
      <x:c r="H1672" s="17" t="n">
        <x:v>5989</x:v>
      </x:c>
      <x:c r="I1672" s="17" t="str">
        <x:v>Followup</x:v>
      </x:c>
      <x:c r="J1672" s="27" t="n">
        <x:f>INDEX('Model Pricing'!$B$7:$B$8,MATCH(F1672,'Model Pricing'!$A$7:$A$8,0))</x:f>
        <x:v>40</x:v>
      </x:c>
      <x:c r="K1672" s="27" t="n">
        <x:f>INDEX('Model Pricing'!$C$7:$C$8,MATCH(F1672,'Model Pricing'!$A$7:$A$8,0))</x:f>
        <x:v>100</x:v>
      </x:c>
      <x:c r="L1672" s="17" t="n">
        <x:f>G1672+H1672</x:f>
        <x:v>22229</x:v>
      </x:c>
      <x:c r="M1672" s="28" t="n">
        <x:f>G1672*J1672/1000000</x:f>
        <x:v>0.6496</x:v>
      </x:c>
      <x:c r="N1672" s="28" t="n">
        <x:f>H1672*K1672/1000000</x:f>
        <x:v>0.5989</x:v>
      </x:c>
      <x:c r="O1672" s="28" t="n">
        <x:f>SUM(M1672:N1672)</x:f>
        <x:v>1.2485</x:v>
      </x:c>
    </x:row>
    <x:row r="1673" ht="23" customHeight="1">
      <x:c r="A1673" s="17" t="str">
        <x:v>U01667</x:v>
      </x:c>
      <x:c r="B1673" s="18" t="n">
        <x:v>46281</x:v>
      </x:c>
      <x:c r="C1673" s="17" t="str">
        <x:v>W0113</x:v>
      </x:c>
      <x:c r="D1673" s="17" t="str">
        <x:v>C002</x:v>
      </x:c>
      <x:c r="E1673" s="17" t="str">
        <x:v>DataFlow</x:v>
      </x:c>
      <x:c r="F1673" s="17" t="str">
        <x:v>Pro</x:v>
      </x:c>
      <x:c r="G1673" s="17" t="n">
        <x:v>17649</x:v>
      </x:c>
      <x:c r="H1673" s="17" t="n">
        <x:v>11872</x:v>
      </x:c>
      <x:c r="I1673" s="17" t="str">
        <x:v>Followup</x:v>
      </x:c>
      <x:c r="J1673" s="27" t="n">
        <x:f>INDEX('Model Pricing'!$B$7:$B$8,MATCH(F1673,'Model Pricing'!$A$7:$A$8,0))</x:f>
        <x:v>40</x:v>
      </x:c>
      <x:c r="K1673" s="27" t="n">
        <x:f>INDEX('Model Pricing'!$C$7:$C$8,MATCH(F1673,'Model Pricing'!$A$7:$A$8,0))</x:f>
        <x:v>100</x:v>
      </x:c>
      <x:c r="L1673" s="17" t="n">
        <x:f>G1673+H1673</x:f>
        <x:v>29521</x:v>
      </x:c>
      <x:c r="M1673" s="28" t="n">
        <x:f>G1673*J1673/1000000</x:f>
        <x:v>0.70596</x:v>
      </x:c>
      <x:c r="N1673" s="28" t="n">
        <x:f>H1673*K1673/1000000</x:f>
        <x:v>1.1872</x:v>
      </x:c>
      <x:c r="O1673" s="28" t="n">
        <x:f>SUM(M1673:N1673)</x:f>
        <x:v>1.89316</x:v>
      </x:c>
    </x:row>
    <x:row r="1674" ht="23" customHeight="1">
      <x:c r="A1674" s="17" t="str">
        <x:v>U01668</x:v>
      </x:c>
      <x:c r="B1674" s="18" t="n">
        <x:v>46282</x:v>
      </x:c>
      <x:c r="C1674" s="17" t="str">
        <x:v>W0113</x:v>
      </x:c>
      <x:c r="D1674" s="17" t="str">
        <x:v>C002</x:v>
      </x:c>
      <x:c r="E1674" s="17" t="str">
        <x:v>DataFlow</x:v>
      </x:c>
      <x:c r="F1674" s="17" t="str">
        <x:v>Pro</x:v>
      </x:c>
      <x:c r="G1674" s="17" t="n">
        <x:v>26216</x:v>
      </x:c>
      <x:c r="H1674" s="17" t="n">
        <x:v>6770</x:v>
      </x:c>
      <x:c r="I1674" s="17" t="str">
        <x:v>Followup</x:v>
      </x:c>
      <x:c r="J1674" s="27" t="n">
        <x:f>INDEX('Model Pricing'!$B$7:$B$8,MATCH(F1674,'Model Pricing'!$A$7:$A$8,0))</x:f>
        <x:v>40</x:v>
      </x:c>
      <x:c r="K1674" s="27" t="n">
        <x:f>INDEX('Model Pricing'!$C$7:$C$8,MATCH(F1674,'Model Pricing'!$A$7:$A$8,0))</x:f>
        <x:v>100</x:v>
      </x:c>
      <x:c r="L1674" s="17" t="n">
        <x:f>G1674+H1674</x:f>
        <x:v>32986</x:v>
      </x:c>
      <x:c r="M1674" s="28" t="n">
        <x:f>G1674*J1674/1000000</x:f>
        <x:v>1.04864</x:v>
      </x:c>
      <x:c r="N1674" s="28" t="n">
        <x:f>H1674*K1674/1000000</x:f>
        <x:v>0.677</x:v>
      </x:c>
      <x:c r="O1674" s="28" t="n">
        <x:f>SUM(M1674:N1674)</x:f>
        <x:v>1.72564</x:v>
      </x:c>
    </x:row>
    <x:row r="1675" ht="23" customHeight="1">
      <x:c r="A1675" s="17" t="str">
        <x:v>U01669</x:v>
      </x:c>
      <x:c r="B1675" s="18" t="n">
        <x:v>46282</x:v>
      </x:c>
      <x:c r="C1675" s="17" t="str">
        <x:v>W0113</x:v>
      </x:c>
      <x:c r="D1675" s="17" t="str">
        <x:v>C002</x:v>
      </x:c>
      <x:c r="E1675" s="17" t="str">
        <x:v>DataFlow</x:v>
      </x:c>
      <x:c r="F1675" s="17" t="str">
        <x:v>Pro</x:v>
      </x:c>
      <x:c r="G1675" s="17" t="n">
        <x:v>20157</x:v>
      </x:c>
      <x:c r="H1675" s="17" t="n">
        <x:v>9905</x:v>
      </x:c>
      <x:c r="I1675" s="17" t="str">
        <x:v>Correction</x:v>
      </x:c>
      <x:c r="J1675" s="27" t="n">
        <x:f>INDEX('Model Pricing'!$B$7:$B$8,MATCH(F1675,'Model Pricing'!$A$7:$A$8,0))</x:f>
        <x:v>40</x:v>
      </x:c>
      <x:c r="K1675" s="27" t="n">
        <x:f>INDEX('Model Pricing'!$C$7:$C$8,MATCH(F1675,'Model Pricing'!$A$7:$A$8,0))</x:f>
        <x:v>100</x:v>
      </x:c>
      <x:c r="L1675" s="17" t="n">
        <x:f>G1675+H1675</x:f>
        <x:v>30062</x:v>
      </x:c>
      <x:c r="M1675" s="28" t="n">
        <x:f>G1675*J1675/1000000</x:f>
        <x:v>0.80628</x:v>
      </x:c>
      <x:c r="N1675" s="28" t="n">
        <x:f>H1675*K1675/1000000</x:f>
        <x:v>0.9905</x:v>
      </x:c>
      <x:c r="O1675" s="28" t="n">
        <x:f>SUM(M1675:N1675)</x:f>
        <x:v>1.79678</x:v>
      </x:c>
    </x:row>
    <x:row r="1676" ht="23" customHeight="1">
      <x:c r="A1676" s="17" t="str">
        <x:v>U01670</x:v>
      </x:c>
      <x:c r="B1676" s="18" t="n">
        <x:v>46282</x:v>
      </x:c>
      <x:c r="C1676" s="17" t="str">
        <x:v>W0113</x:v>
      </x:c>
      <x:c r="D1676" s="17" t="str">
        <x:v>C002</x:v>
      </x:c>
      <x:c r="E1676" s="17" t="str">
        <x:v>DataFlow</x:v>
      </x:c>
      <x:c r="F1676" s="17" t="str">
        <x:v>Pro</x:v>
      </x:c>
      <x:c r="G1676" s="17" t="n">
        <x:v>25159</x:v>
      </x:c>
      <x:c r="H1676" s="17" t="n">
        <x:v>10966</x:v>
      </x:c>
      <x:c r="I1676" s="17" t="str">
        <x:v>Followup</x:v>
      </x:c>
      <x:c r="J1676" s="27" t="n">
        <x:f>INDEX('Model Pricing'!$B$7:$B$8,MATCH(F1676,'Model Pricing'!$A$7:$A$8,0))</x:f>
        <x:v>40</x:v>
      </x:c>
      <x:c r="K1676" s="27" t="n">
        <x:f>INDEX('Model Pricing'!$C$7:$C$8,MATCH(F1676,'Model Pricing'!$A$7:$A$8,0))</x:f>
        <x:v>100</x:v>
      </x:c>
      <x:c r="L1676" s="17" t="n">
        <x:f>G1676+H1676</x:f>
        <x:v>36125</x:v>
      </x:c>
      <x:c r="M1676" s="28" t="n">
        <x:f>G1676*J1676/1000000</x:f>
        <x:v>1.00636</x:v>
      </x:c>
      <x:c r="N1676" s="28" t="n">
        <x:f>H1676*K1676/1000000</x:f>
        <x:v>1.0966</x:v>
      </x:c>
      <x:c r="O1676" s="28" t="n">
        <x:f>SUM(M1676:N1676)</x:f>
        <x:v>2.10296</x:v>
      </x:c>
    </x:row>
    <x:row r="1677" ht="23" customHeight="1">
      <x:c r="A1677" s="17" t="str">
        <x:v>U01671</x:v>
      </x:c>
      <x:c r="B1677" s="18" t="n">
        <x:v>46282</x:v>
      </x:c>
      <x:c r="C1677" s="17" t="str">
        <x:v>W0113</x:v>
      </x:c>
      <x:c r="D1677" s="17" t="str">
        <x:v>C002</x:v>
      </x:c>
      <x:c r="E1677" s="17" t="str">
        <x:v>DataFlow</x:v>
      </x:c>
      <x:c r="F1677" s="17" t="str">
        <x:v>Pro</x:v>
      </x:c>
      <x:c r="G1677" s="17" t="n">
        <x:v>25892</x:v>
      </x:c>
      <x:c r="H1677" s="17" t="n">
        <x:v>12394</x:v>
      </x:c>
      <x:c r="I1677" s="17" t="str">
        <x:v>Correction</x:v>
      </x:c>
      <x:c r="J1677" s="27" t="n">
        <x:f>INDEX('Model Pricing'!$B$7:$B$8,MATCH(F1677,'Model Pricing'!$A$7:$A$8,0))</x:f>
        <x:v>40</x:v>
      </x:c>
      <x:c r="K1677" s="27" t="n">
        <x:f>INDEX('Model Pricing'!$C$7:$C$8,MATCH(F1677,'Model Pricing'!$A$7:$A$8,0))</x:f>
        <x:v>100</x:v>
      </x:c>
      <x:c r="L1677" s="17" t="n">
        <x:f>G1677+H1677</x:f>
        <x:v>38286</x:v>
      </x:c>
      <x:c r="M1677" s="28" t="n">
        <x:f>G1677*J1677/1000000</x:f>
        <x:v>1.03568</x:v>
      </x:c>
      <x:c r="N1677" s="28" t="n">
        <x:f>H1677*K1677/1000000</x:f>
        <x:v>1.2394</x:v>
      </x:c>
      <x:c r="O1677" s="28" t="n">
        <x:f>SUM(M1677:N1677)</x:f>
        <x:v>2.27508</x:v>
      </x:c>
    </x:row>
    <x:row r="1678" ht="23" customHeight="1">
      <x:c r="A1678" s="17" t="str">
        <x:v>U01672</x:v>
      </x:c>
      <x:c r="B1678" s="18" t="n">
        <x:v>46282</x:v>
      </x:c>
      <x:c r="C1678" s="17" t="str">
        <x:v>W0113</x:v>
      </x:c>
      <x:c r="D1678" s="17" t="str">
        <x:v>C002</x:v>
      </x:c>
      <x:c r="E1678" s="17" t="str">
        <x:v>DataFlow</x:v>
      </x:c>
      <x:c r="F1678" s="17" t="str">
        <x:v>Pro</x:v>
      </x:c>
      <x:c r="G1678" s="17" t="n">
        <x:v>19044</x:v>
      </x:c>
      <x:c r="H1678" s="17" t="n">
        <x:v>5604</x:v>
      </x:c>
      <x:c r="I1678" s="17" t="str">
        <x:v>Followup</x:v>
      </x:c>
      <x:c r="J1678" s="27" t="n">
        <x:f>INDEX('Model Pricing'!$B$7:$B$8,MATCH(F1678,'Model Pricing'!$A$7:$A$8,0))</x:f>
        <x:v>40</x:v>
      </x:c>
      <x:c r="K1678" s="27" t="n">
        <x:f>INDEX('Model Pricing'!$C$7:$C$8,MATCH(F1678,'Model Pricing'!$A$7:$A$8,0))</x:f>
        <x:v>100</x:v>
      </x:c>
      <x:c r="L1678" s="17" t="n">
        <x:f>G1678+H1678</x:f>
        <x:v>24648</x:v>
      </x:c>
      <x:c r="M1678" s="28" t="n">
        <x:f>G1678*J1678/1000000</x:f>
        <x:v>0.76176</x:v>
      </x:c>
      <x:c r="N1678" s="28" t="n">
        <x:f>H1678*K1678/1000000</x:f>
        <x:v>0.5604</x:v>
      </x:c>
      <x:c r="O1678" s="28" t="n">
        <x:f>SUM(M1678:N1678)</x:f>
        <x:v>1.32216</x:v>
      </x:c>
    </x:row>
    <x:row r="1679" ht="23" customHeight="1">
      <x:c r="A1679" s="17" t="str">
        <x:v>U01673</x:v>
      </x:c>
      <x:c r="B1679" s="18" t="n">
        <x:v>46283</x:v>
      </x:c>
      <x:c r="C1679" s="17" t="str">
        <x:v>W0113</x:v>
      </x:c>
      <x:c r="D1679" s="17" t="str">
        <x:v>C002</x:v>
      </x:c>
      <x:c r="E1679" s="17" t="str">
        <x:v>DataFlow</x:v>
      </x:c>
      <x:c r="F1679" s="17" t="str">
        <x:v>Pro</x:v>
      </x:c>
      <x:c r="G1679" s="17" t="n">
        <x:v>11740</x:v>
      </x:c>
      <x:c r="H1679" s="17" t="n">
        <x:v>14252</x:v>
      </x:c>
      <x:c r="I1679" s="17" t="str">
        <x:v>Correction</x:v>
      </x:c>
      <x:c r="J1679" s="27" t="n">
        <x:f>INDEX('Model Pricing'!$B$7:$B$8,MATCH(F1679,'Model Pricing'!$A$7:$A$8,0))</x:f>
        <x:v>40</x:v>
      </x:c>
      <x:c r="K1679" s="27" t="n">
        <x:f>INDEX('Model Pricing'!$C$7:$C$8,MATCH(F1679,'Model Pricing'!$A$7:$A$8,0))</x:f>
        <x:v>100</x:v>
      </x:c>
      <x:c r="L1679" s="17" t="n">
        <x:f>G1679+H1679</x:f>
        <x:v>25992</x:v>
      </x:c>
      <x:c r="M1679" s="28" t="n">
        <x:f>G1679*J1679/1000000</x:f>
        <x:v>0.4696</x:v>
      </x:c>
      <x:c r="N1679" s="28" t="n">
        <x:f>H1679*K1679/1000000</x:f>
        <x:v>1.4252</x:v>
      </x:c>
      <x:c r="O1679" s="28" t="n">
        <x:f>SUM(M1679:N1679)</x:f>
        <x:v>1.8948</x:v>
      </x:c>
    </x:row>
    <x:row r="1680" ht="23" customHeight="1">
      <x:c r="A1680" s="17" t="str">
        <x:v>U01674</x:v>
      </x:c>
      <x:c r="B1680" s="18" t="n">
        <x:v>46283</x:v>
      </x:c>
      <x:c r="C1680" s="17" t="str">
        <x:v>W0113</x:v>
      </x:c>
      <x:c r="D1680" s="17" t="str">
        <x:v>C002</x:v>
      </x:c>
      <x:c r="E1680" s="17" t="str">
        <x:v>DataFlow</x:v>
      </x:c>
      <x:c r="F1680" s="17" t="str">
        <x:v>Pro</x:v>
      </x:c>
      <x:c r="G1680" s="17" t="n">
        <x:v>13754</x:v>
      </x:c>
      <x:c r="H1680" s="17" t="n">
        <x:v>8785</x:v>
      </x:c>
      <x:c r="I1680" s="17" t="str">
        <x:v>Followup</x:v>
      </x:c>
      <x:c r="J1680" s="27" t="n">
        <x:f>INDEX('Model Pricing'!$B$7:$B$8,MATCH(F1680,'Model Pricing'!$A$7:$A$8,0))</x:f>
        <x:v>40</x:v>
      </x:c>
      <x:c r="K1680" s="27" t="n">
        <x:f>INDEX('Model Pricing'!$C$7:$C$8,MATCH(F1680,'Model Pricing'!$A$7:$A$8,0))</x:f>
        <x:v>100</x:v>
      </x:c>
      <x:c r="L1680" s="17" t="n">
        <x:f>G1680+H1680</x:f>
        <x:v>22539</x:v>
      </x:c>
      <x:c r="M1680" s="28" t="n">
        <x:f>G1680*J1680/1000000</x:f>
        <x:v>0.55016</x:v>
      </x:c>
      <x:c r="N1680" s="28" t="n">
        <x:f>H1680*K1680/1000000</x:f>
        <x:v>0.8785</x:v>
      </x:c>
      <x:c r="O1680" s="28" t="n">
        <x:f>SUM(M1680:N1680)</x:f>
        <x:v>1.4286599999999998</x:v>
      </x:c>
    </x:row>
    <x:row r="1681" ht="23" customHeight="1">
      <x:c r="A1681" s="17" t="str">
        <x:v>U01675</x:v>
      </x:c>
      <x:c r="B1681" s="18" t="n">
        <x:v>46283</x:v>
      </x:c>
      <x:c r="C1681" s="17" t="str">
        <x:v>W0113</x:v>
      </x:c>
      <x:c r="D1681" s="17" t="str">
        <x:v>C002</x:v>
      </x:c>
      <x:c r="E1681" s="17" t="str">
        <x:v>DataFlow</x:v>
      </x:c>
      <x:c r="F1681" s="17" t="str">
        <x:v>Pro</x:v>
      </x:c>
      <x:c r="G1681" s="17" t="n">
        <x:v>25932</x:v>
      </x:c>
      <x:c r="H1681" s="17" t="n">
        <x:v>11712</x:v>
      </x:c>
      <x:c r="I1681" s="17" t="str">
        <x:v>Followup</x:v>
      </x:c>
      <x:c r="J1681" s="27" t="n">
        <x:f>INDEX('Model Pricing'!$B$7:$B$8,MATCH(F1681,'Model Pricing'!$A$7:$A$8,0))</x:f>
        <x:v>40</x:v>
      </x:c>
      <x:c r="K1681" s="27" t="n">
        <x:f>INDEX('Model Pricing'!$C$7:$C$8,MATCH(F1681,'Model Pricing'!$A$7:$A$8,0))</x:f>
        <x:v>100</x:v>
      </x:c>
      <x:c r="L1681" s="17" t="n">
        <x:f>G1681+H1681</x:f>
        <x:v>37644</x:v>
      </x:c>
      <x:c r="M1681" s="28" t="n">
        <x:f>G1681*J1681/1000000</x:f>
        <x:v>1.03728</x:v>
      </x:c>
      <x:c r="N1681" s="28" t="n">
        <x:f>H1681*K1681/1000000</x:f>
        <x:v>1.1712</x:v>
      </x:c>
      <x:c r="O1681" s="28" t="n">
        <x:f>SUM(M1681:N1681)</x:f>
        <x:v>2.2084799999999998</x:v>
      </x:c>
    </x:row>
    <x:row r="1682" ht="23" customHeight="1">
      <x:c r="A1682" s="17" t="str">
        <x:v>U01676</x:v>
      </x:c>
      <x:c r="B1682" s="18" t="n">
        <x:v>46283</x:v>
      </x:c>
      <x:c r="C1682" s="17" t="str">
        <x:v>W0113</x:v>
      </x:c>
      <x:c r="D1682" s="17" t="str">
        <x:v>C002</x:v>
      </x:c>
      <x:c r="E1682" s="17" t="str">
        <x:v>DataFlow</x:v>
      </x:c>
      <x:c r="F1682" s="17" t="str">
        <x:v>Pro</x:v>
      </x:c>
      <x:c r="G1682" s="17" t="n">
        <x:v>25792</x:v>
      </x:c>
      <x:c r="H1682" s="17" t="n">
        <x:v>4091</x:v>
      </x:c>
      <x:c r="I1682" s="17" t="str">
        <x:v>Followup</x:v>
      </x:c>
      <x:c r="J1682" s="27" t="n">
        <x:f>INDEX('Model Pricing'!$B$7:$B$8,MATCH(F1682,'Model Pricing'!$A$7:$A$8,0))</x:f>
        <x:v>40</x:v>
      </x:c>
      <x:c r="K1682" s="27" t="n">
        <x:f>INDEX('Model Pricing'!$C$7:$C$8,MATCH(F1682,'Model Pricing'!$A$7:$A$8,0))</x:f>
        <x:v>100</x:v>
      </x:c>
      <x:c r="L1682" s="17" t="n">
        <x:f>G1682+H1682</x:f>
        <x:v>29883</x:v>
      </x:c>
      <x:c r="M1682" s="28" t="n">
        <x:f>G1682*J1682/1000000</x:f>
        <x:v>1.03168</x:v>
      </x:c>
      <x:c r="N1682" s="28" t="n">
        <x:f>H1682*K1682/1000000</x:f>
        <x:v>0.4091</x:v>
      </x:c>
      <x:c r="O1682" s="28" t="n">
        <x:f>SUM(M1682:N1682)</x:f>
        <x:v>1.44078</x:v>
      </x:c>
    </x:row>
    <x:row r="1683" ht="23" customHeight="1">
      <x:c r="A1683" s="17" t="str">
        <x:v>U01677</x:v>
      </x:c>
      <x:c r="B1683" s="18" t="n">
        <x:v>46283</x:v>
      </x:c>
      <x:c r="C1683" s="17" t="str">
        <x:v>W0113</x:v>
      </x:c>
      <x:c r="D1683" s="17" t="str">
        <x:v>C002</x:v>
      </x:c>
      <x:c r="E1683" s="17" t="str">
        <x:v>DataFlow</x:v>
      </x:c>
      <x:c r="F1683" s="17" t="str">
        <x:v>Pro</x:v>
      </x:c>
      <x:c r="G1683" s="17" t="n">
        <x:v>12412</x:v>
      </x:c>
      <x:c r="H1683" s="17" t="n">
        <x:v>13681</x:v>
      </x:c>
      <x:c r="I1683" s="17" t="str">
        <x:v>Correction</x:v>
      </x:c>
      <x:c r="J1683" s="27" t="n">
        <x:f>INDEX('Model Pricing'!$B$7:$B$8,MATCH(F1683,'Model Pricing'!$A$7:$A$8,0))</x:f>
        <x:v>40</x:v>
      </x:c>
      <x:c r="K1683" s="27" t="n">
        <x:f>INDEX('Model Pricing'!$C$7:$C$8,MATCH(F1683,'Model Pricing'!$A$7:$A$8,0))</x:f>
        <x:v>100</x:v>
      </x:c>
      <x:c r="L1683" s="17" t="n">
        <x:f>G1683+H1683</x:f>
        <x:v>26093</x:v>
      </x:c>
      <x:c r="M1683" s="28" t="n">
        <x:f>G1683*J1683/1000000</x:f>
        <x:v>0.49648</x:v>
      </x:c>
      <x:c r="N1683" s="28" t="n">
        <x:f>H1683*K1683/1000000</x:f>
        <x:v>1.3681</x:v>
      </x:c>
      <x:c r="O1683" s="28" t="n">
        <x:f>SUM(M1683:N1683)</x:f>
        <x:v>1.8645800000000001</x:v>
      </x:c>
    </x:row>
    <x:row r="1684" ht="23" customHeight="1">
      <x:c r="A1684" s="17" t="str">
        <x:v>U01678</x:v>
      </x:c>
      <x:c r="B1684" s="18" t="n">
        <x:v>46286</x:v>
      </x:c>
      <x:c r="C1684" s="17" t="str">
        <x:v>W0113</x:v>
      </x:c>
      <x:c r="D1684" s="17" t="str">
        <x:v>C002</x:v>
      </x:c>
      <x:c r="E1684" s="17" t="str">
        <x:v>DataFlow</x:v>
      </x:c>
      <x:c r="F1684" s="17" t="str">
        <x:v>Pro</x:v>
      </x:c>
      <x:c r="G1684" s="17" t="n">
        <x:v>20525</x:v>
      </x:c>
      <x:c r="H1684" s="17" t="n">
        <x:v>14709</x:v>
      </x:c>
      <x:c r="I1684" s="17" t="str">
        <x:v>Followup</x:v>
      </x:c>
      <x:c r="J1684" s="27" t="n">
        <x:f>INDEX('Model Pricing'!$B$7:$B$8,MATCH(F1684,'Model Pricing'!$A$7:$A$8,0))</x:f>
        <x:v>40</x:v>
      </x:c>
      <x:c r="K1684" s="27" t="n">
        <x:f>INDEX('Model Pricing'!$C$7:$C$8,MATCH(F1684,'Model Pricing'!$A$7:$A$8,0))</x:f>
        <x:v>100</x:v>
      </x:c>
      <x:c r="L1684" s="17" t="n">
        <x:f>G1684+H1684</x:f>
        <x:v>35234</x:v>
      </x:c>
      <x:c r="M1684" s="28" t="n">
        <x:f>G1684*J1684/1000000</x:f>
        <x:v>0.821</x:v>
      </x:c>
      <x:c r="N1684" s="28" t="n">
        <x:f>H1684*K1684/1000000</x:f>
        <x:v>1.4709</x:v>
      </x:c>
      <x:c r="O1684" s="28" t="n">
        <x:f>SUM(M1684:N1684)</x:f>
        <x:v>2.2919</x:v>
      </x:c>
    </x:row>
    <x:row r="1685" ht="23" customHeight="1">
      <x:c r="A1685" s="17" t="str">
        <x:v>U01679</x:v>
      </x:c>
      <x:c r="B1685" s="18" t="n">
        <x:v>46286</x:v>
      </x:c>
      <x:c r="C1685" s="17" t="str">
        <x:v>W0113</x:v>
      </x:c>
      <x:c r="D1685" s="17" t="str">
        <x:v>C002</x:v>
      </x:c>
      <x:c r="E1685" s="17" t="str">
        <x:v>DataFlow</x:v>
      </x:c>
      <x:c r="F1685" s="17" t="str">
        <x:v>Pro</x:v>
      </x:c>
      <x:c r="G1685" s="17" t="n">
        <x:v>17038</x:v>
      </x:c>
      <x:c r="H1685" s="17" t="n">
        <x:v>9036</x:v>
      </x:c>
      <x:c r="I1685" s="17" t="str">
        <x:v>Followup</x:v>
      </x:c>
      <x:c r="J1685" s="27" t="n">
        <x:f>INDEX('Model Pricing'!$B$7:$B$8,MATCH(F1685,'Model Pricing'!$A$7:$A$8,0))</x:f>
        <x:v>40</x:v>
      </x:c>
      <x:c r="K1685" s="27" t="n">
        <x:f>INDEX('Model Pricing'!$C$7:$C$8,MATCH(F1685,'Model Pricing'!$A$7:$A$8,0))</x:f>
        <x:v>100</x:v>
      </x:c>
      <x:c r="L1685" s="17" t="n">
        <x:f>G1685+H1685</x:f>
        <x:v>26074</x:v>
      </x:c>
      <x:c r="M1685" s="28" t="n">
        <x:f>G1685*J1685/1000000</x:f>
        <x:v>0.68152</x:v>
      </x:c>
      <x:c r="N1685" s="28" t="n">
        <x:f>H1685*K1685/1000000</x:f>
        <x:v>0.9036</x:v>
      </x:c>
      <x:c r="O1685" s="28" t="n">
        <x:f>SUM(M1685:N1685)</x:f>
        <x:v>1.5851199999999999</x:v>
      </x:c>
    </x:row>
    <x:row r="1686" ht="23" customHeight="1">
      <x:c r="A1686" s="17" t="str">
        <x:v>U01680</x:v>
      </x:c>
      <x:c r="B1686" s="18" t="n">
        <x:v>46286</x:v>
      </x:c>
      <x:c r="C1686" s="17" t="str">
        <x:v>W0113</x:v>
      </x:c>
      <x:c r="D1686" s="17" t="str">
        <x:v>C002</x:v>
      </x:c>
      <x:c r="E1686" s="17" t="str">
        <x:v>DataFlow</x:v>
      </x:c>
      <x:c r="F1686" s="17" t="str">
        <x:v>Pro</x:v>
      </x:c>
      <x:c r="G1686" s="17" t="n">
        <x:v>20056</x:v>
      </x:c>
      <x:c r="H1686" s="17" t="n">
        <x:v>9809</x:v>
      </x:c>
      <x:c r="I1686" s="17" t="str">
        <x:v>Followup</x:v>
      </x:c>
      <x:c r="J1686" s="27" t="n">
        <x:f>INDEX('Model Pricing'!$B$7:$B$8,MATCH(F1686,'Model Pricing'!$A$7:$A$8,0))</x:f>
        <x:v>40</x:v>
      </x:c>
      <x:c r="K1686" s="27" t="n">
        <x:f>INDEX('Model Pricing'!$C$7:$C$8,MATCH(F1686,'Model Pricing'!$A$7:$A$8,0))</x:f>
        <x:v>100</x:v>
      </x:c>
      <x:c r="L1686" s="17" t="n">
        <x:f>G1686+H1686</x:f>
        <x:v>29865</x:v>
      </x:c>
      <x:c r="M1686" s="28" t="n">
        <x:f>G1686*J1686/1000000</x:f>
        <x:v>0.80224</x:v>
      </x:c>
      <x:c r="N1686" s="28" t="n">
        <x:f>H1686*K1686/1000000</x:f>
        <x:v>0.9809</x:v>
      </x:c>
      <x:c r="O1686" s="28" t="n">
        <x:f>SUM(M1686:N1686)</x:f>
        <x:v>1.78314</x:v>
      </x:c>
    </x:row>
    <x:row r="1687" ht="23" customHeight="1">
      <x:c r="A1687" s="17" t="str">
        <x:v>U01681</x:v>
      </x:c>
      <x:c r="B1687" s="18" t="n">
        <x:v>46286</x:v>
      </x:c>
      <x:c r="C1687" s="17" t="str">
        <x:v>W0113</x:v>
      </x:c>
      <x:c r="D1687" s="17" t="str">
        <x:v>C002</x:v>
      </x:c>
      <x:c r="E1687" s="17" t="str">
        <x:v>DataFlow</x:v>
      </x:c>
      <x:c r="F1687" s="17" t="str">
        <x:v>Pro</x:v>
      </x:c>
      <x:c r="G1687" s="17" t="n">
        <x:v>23342</x:v>
      </x:c>
      <x:c r="H1687" s="17" t="n">
        <x:v>8925</x:v>
      </x:c>
      <x:c r="I1687" s="17" t="str">
        <x:v>Followup</x:v>
      </x:c>
      <x:c r="J1687" s="27" t="n">
        <x:f>INDEX('Model Pricing'!$B$7:$B$8,MATCH(F1687,'Model Pricing'!$A$7:$A$8,0))</x:f>
        <x:v>40</x:v>
      </x:c>
      <x:c r="K1687" s="27" t="n">
        <x:f>INDEX('Model Pricing'!$C$7:$C$8,MATCH(F1687,'Model Pricing'!$A$7:$A$8,0))</x:f>
        <x:v>100</x:v>
      </x:c>
      <x:c r="L1687" s="17" t="n">
        <x:f>G1687+H1687</x:f>
        <x:v>32267</x:v>
      </x:c>
      <x:c r="M1687" s="28" t="n">
        <x:f>G1687*J1687/1000000</x:f>
        <x:v>0.93368</x:v>
      </x:c>
      <x:c r="N1687" s="28" t="n">
        <x:f>H1687*K1687/1000000</x:f>
        <x:v>0.8925</x:v>
      </x:c>
      <x:c r="O1687" s="28" t="n">
        <x:f>SUM(M1687:N1687)</x:f>
        <x:v>1.82618</x:v>
      </x:c>
    </x:row>
    <x:row r="1688" ht="23" customHeight="1">
      <x:c r="A1688" s="17" t="str">
        <x:v>U01682</x:v>
      </x:c>
      <x:c r="B1688" s="18" t="n">
        <x:v>46290</x:v>
      </x:c>
      <x:c r="C1688" s="17" t="str">
        <x:v>W0114</x:v>
      </x:c>
      <x:c r="D1688" s="17" t="str">
        <x:v>C002</x:v>
      </x:c>
      <x:c r="E1688" s="17" t="str">
        <x:v>InsightDesk</x:v>
      </x:c>
      <x:c r="F1688" s="17" t="str">
        <x:v>Pro</x:v>
      </x:c>
      <x:c r="G1688" s="17" t="n">
        <x:v>8990</x:v>
      </x:c>
      <x:c r="H1688" s="17" t="n">
        <x:v>5690</x:v>
      </x:c>
      <x:c r="I1688" s="17" t="str">
        <x:v>First attempt</x:v>
      </x:c>
      <x:c r="J1688" s="27" t="n">
        <x:f>INDEX('Model Pricing'!$B$7:$B$8,MATCH(F1688,'Model Pricing'!$A$7:$A$8,0))</x:f>
        <x:v>40</x:v>
      </x:c>
      <x:c r="K1688" s="27" t="n">
        <x:f>INDEX('Model Pricing'!$C$7:$C$8,MATCH(F1688,'Model Pricing'!$A$7:$A$8,0))</x:f>
        <x:v>100</x:v>
      </x:c>
      <x:c r="L1688" s="17" t="n">
        <x:f>G1688+H1688</x:f>
        <x:v>14680</x:v>
      </x:c>
      <x:c r="M1688" s="28" t="n">
        <x:f>G1688*J1688/1000000</x:f>
        <x:v>0.3596</x:v>
      </x:c>
      <x:c r="N1688" s="28" t="n">
        <x:f>H1688*K1688/1000000</x:f>
        <x:v>0.569</x:v>
      </x:c>
      <x:c r="O1688" s="28" t="n">
        <x:f>SUM(M1688:N1688)</x:f>
        <x:v>0.9285999999999999</x:v>
      </x:c>
    </x:row>
    <x:row r="1689" ht="23" customHeight="1">
      <x:c r="A1689" s="17" t="str">
        <x:v>U01683</x:v>
      </x:c>
      <x:c r="B1689" s="18" t="n">
        <x:v>46290</x:v>
      </x:c>
      <x:c r="C1689" s="17" t="str">
        <x:v>W0114</x:v>
      </x:c>
      <x:c r="D1689" s="17" t="str">
        <x:v>C002</x:v>
      </x:c>
      <x:c r="E1689" s="17" t="str">
        <x:v>InsightDesk</x:v>
      </x:c>
      <x:c r="F1689" s="17" t="str">
        <x:v>Pro</x:v>
      </x:c>
      <x:c r="G1689" s="17" t="n">
        <x:v>9878</x:v>
      </x:c>
      <x:c r="H1689" s="17" t="n">
        <x:v>8646</x:v>
      </x:c>
      <x:c r="I1689" s="17" t="str">
        <x:v>Followup</x:v>
      </x:c>
      <x:c r="J1689" s="27" t="n">
        <x:f>INDEX('Model Pricing'!$B$7:$B$8,MATCH(F1689,'Model Pricing'!$A$7:$A$8,0))</x:f>
        <x:v>40</x:v>
      </x:c>
      <x:c r="K1689" s="27" t="n">
        <x:f>INDEX('Model Pricing'!$C$7:$C$8,MATCH(F1689,'Model Pricing'!$A$7:$A$8,0))</x:f>
        <x:v>100</x:v>
      </x:c>
      <x:c r="L1689" s="17" t="n">
        <x:f>G1689+H1689</x:f>
        <x:v>18524</x:v>
      </x:c>
      <x:c r="M1689" s="28" t="n">
        <x:f>G1689*J1689/1000000</x:f>
        <x:v>0.39512</x:v>
      </x:c>
      <x:c r="N1689" s="28" t="n">
        <x:f>H1689*K1689/1000000</x:f>
        <x:v>0.8646</x:v>
      </x:c>
      <x:c r="O1689" s="28" t="n">
        <x:f>SUM(M1689:N1689)</x:f>
        <x:v>1.2597200000000002</x:v>
      </x:c>
    </x:row>
    <x:row r="1690" ht="23" customHeight="1">
      <x:c r="A1690" s="17" t="str">
        <x:v>U01684</x:v>
      </x:c>
      <x:c r="B1690" s="18" t="n">
        <x:v>46290</x:v>
      </x:c>
      <x:c r="C1690" s="17" t="str">
        <x:v>W0114</x:v>
      </x:c>
      <x:c r="D1690" s="17" t="str">
        <x:v>C002</x:v>
      </x:c>
      <x:c r="E1690" s="17" t="str">
        <x:v>InsightDesk</x:v>
      </x:c>
      <x:c r="F1690" s="17" t="str">
        <x:v>Pro</x:v>
      </x:c>
      <x:c r="G1690" s="17" t="n">
        <x:v>11322</x:v>
      </x:c>
      <x:c r="H1690" s="17" t="n">
        <x:v>12388</x:v>
      </x:c>
      <x:c r="I1690" s="17" t="str">
        <x:v>Followup</x:v>
      </x:c>
      <x:c r="J1690" s="27" t="n">
        <x:f>INDEX('Model Pricing'!$B$7:$B$8,MATCH(F1690,'Model Pricing'!$A$7:$A$8,0))</x:f>
        <x:v>40</x:v>
      </x:c>
      <x:c r="K1690" s="27" t="n">
        <x:f>INDEX('Model Pricing'!$C$7:$C$8,MATCH(F1690,'Model Pricing'!$A$7:$A$8,0))</x:f>
        <x:v>100</x:v>
      </x:c>
      <x:c r="L1690" s="17" t="n">
        <x:f>G1690+H1690</x:f>
        <x:v>23710</x:v>
      </x:c>
      <x:c r="M1690" s="28" t="n">
        <x:f>G1690*J1690/1000000</x:f>
        <x:v>0.45288</x:v>
      </x:c>
      <x:c r="N1690" s="28" t="n">
        <x:f>H1690*K1690/1000000</x:f>
        <x:v>1.2388</x:v>
      </x:c>
      <x:c r="O1690" s="28" t="n">
        <x:f>SUM(M1690:N1690)</x:f>
        <x:v>1.6916799999999999</x:v>
      </x:c>
    </x:row>
    <x:row r="1691" ht="23" customHeight="1">
      <x:c r="A1691" s="17" t="str">
        <x:v>U01685</x:v>
      </x:c>
      <x:c r="B1691" s="18" t="n">
        <x:v>46290</x:v>
      </x:c>
      <x:c r="C1691" s="17" t="str">
        <x:v>W0114</x:v>
      </x:c>
      <x:c r="D1691" s="17" t="str">
        <x:v>C002</x:v>
      </x:c>
      <x:c r="E1691" s="17" t="str">
        <x:v>InsightDesk</x:v>
      </x:c>
      <x:c r="F1691" s="17" t="str">
        <x:v>Pro</x:v>
      </x:c>
      <x:c r="G1691" s="17" t="n">
        <x:v>8903</x:v>
      </x:c>
      <x:c r="H1691" s="17" t="n">
        <x:v>11517</x:v>
      </x:c>
      <x:c r="I1691" s="17" t="str">
        <x:v>Followup</x:v>
      </x:c>
      <x:c r="J1691" s="27" t="n">
        <x:f>INDEX('Model Pricing'!$B$7:$B$8,MATCH(F1691,'Model Pricing'!$A$7:$A$8,0))</x:f>
        <x:v>40</x:v>
      </x:c>
      <x:c r="K1691" s="27" t="n">
        <x:f>INDEX('Model Pricing'!$C$7:$C$8,MATCH(F1691,'Model Pricing'!$A$7:$A$8,0))</x:f>
        <x:v>100</x:v>
      </x:c>
      <x:c r="L1691" s="17" t="n">
        <x:f>G1691+H1691</x:f>
        <x:v>20420</x:v>
      </x:c>
      <x:c r="M1691" s="28" t="n">
        <x:f>G1691*J1691/1000000</x:f>
        <x:v>0.35612</x:v>
      </x:c>
      <x:c r="N1691" s="28" t="n">
        <x:f>H1691*K1691/1000000</x:f>
        <x:v>1.1517</x:v>
      </x:c>
      <x:c r="O1691" s="28" t="n">
        <x:f>SUM(M1691:N1691)</x:f>
        <x:v>1.50782</x:v>
      </x:c>
    </x:row>
    <x:row r="1692" ht="23" customHeight="1">
      <x:c r="A1692" s="17" t="str">
        <x:v>U01686</x:v>
      </x:c>
      <x:c r="B1692" s="18" t="n">
        <x:v>46290</x:v>
      </x:c>
      <x:c r="C1692" s="17" t="str">
        <x:v>W0114</x:v>
      </x:c>
      <x:c r="D1692" s="17" t="str">
        <x:v>C002</x:v>
      </x:c>
      <x:c r="E1692" s="17" t="str">
        <x:v>InsightDesk</x:v>
      </x:c>
      <x:c r="F1692" s="17" t="str">
        <x:v>Pro</x:v>
      </x:c>
      <x:c r="G1692" s="17" t="n">
        <x:v>13925</x:v>
      </x:c>
      <x:c r="H1692" s="17" t="n">
        <x:v>10722</x:v>
      </x:c>
      <x:c r="I1692" s="17" t="str">
        <x:v>Followup</x:v>
      </x:c>
      <x:c r="J1692" s="27" t="n">
        <x:f>INDEX('Model Pricing'!$B$7:$B$8,MATCH(F1692,'Model Pricing'!$A$7:$A$8,0))</x:f>
        <x:v>40</x:v>
      </x:c>
      <x:c r="K1692" s="27" t="n">
        <x:f>INDEX('Model Pricing'!$C$7:$C$8,MATCH(F1692,'Model Pricing'!$A$7:$A$8,0))</x:f>
        <x:v>100</x:v>
      </x:c>
      <x:c r="L1692" s="17" t="n">
        <x:f>G1692+H1692</x:f>
        <x:v>24647</x:v>
      </x:c>
      <x:c r="M1692" s="28" t="n">
        <x:f>G1692*J1692/1000000</x:f>
        <x:v>0.557</x:v>
      </x:c>
      <x:c r="N1692" s="28" t="n">
        <x:f>H1692*K1692/1000000</x:f>
        <x:v>1.0722</x:v>
      </x:c>
      <x:c r="O1692" s="28" t="n">
        <x:f>SUM(M1692:N1692)</x:f>
        <x:v>1.6292</x:v>
      </x:c>
    </x:row>
    <x:row r="1693" ht="23" customHeight="1">
      <x:c r="A1693" s="17" t="str">
        <x:v>U01687</x:v>
      </x:c>
      <x:c r="B1693" s="18" t="n">
        <x:v>46290</x:v>
      </x:c>
      <x:c r="C1693" s="17" t="str">
        <x:v>W0114</x:v>
      </x:c>
      <x:c r="D1693" s="17" t="str">
        <x:v>C002</x:v>
      </x:c>
      <x:c r="E1693" s="17" t="str">
        <x:v>InsightDesk</x:v>
      </x:c>
      <x:c r="F1693" s="17" t="str">
        <x:v>Pro</x:v>
      </x:c>
      <x:c r="G1693" s="17" t="n">
        <x:v>9571</x:v>
      </x:c>
      <x:c r="H1693" s="17" t="n">
        <x:v>18676</x:v>
      </x:c>
      <x:c r="I1693" s="17" t="str">
        <x:v>Correction</x:v>
      </x:c>
      <x:c r="J1693" s="27" t="n">
        <x:f>INDEX('Model Pricing'!$B$7:$B$8,MATCH(F1693,'Model Pricing'!$A$7:$A$8,0))</x:f>
        <x:v>40</x:v>
      </x:c>
      <x:c r="K1693" s="27" t="n">
        <x:f>INDEX('Model Pricing'!$C$7:$C$8,MATCH(F1693,'Model Pricing'!$A$7:$A$8,0))</x:f>
        <x:v>100</x:v>
      </x:c>
      <x:c r="L1693" s="17" t="n">
        <x:f>G1693+H1693</x:f>
        <x:v>28247</x:v>
      </x:c>
      <x:c r="M1693" s="28" t="n">
        <x:f>G1693*J1693/1000000</x:f>
        <x:v>0.38284</x:v>
      </x:c>
      <x:c r="N1693" s="28" t="n">
        <x:f>H1693*K1693/1000000</x:f>
        <x:v>1.8676</x:v>
      </x:c>
      <x:c r="O1693" s="28" t="n">
        <x:f>SUM(M1693:N1693)</x:f>
        <x:v>2.2504399999999998</x:v>
      </x:c>
    </x:row>
    <x:row r="1694" ht="23" customHeight="1">
      <x:c r="A1694" s="17" t="str">
        <x:v>U01688</x:v>
      </x:c>
      <x:c r="B1694" s="18" t="n">
        <x:v>46293</x:v>
      </x:c>
      <x:c r="C1694" s="17" t="str">
        <x:v>W0114</x:v>
      </x:c>
      <x:c r="D1694" s="17" t="str">
        <x:v>C002</x:v>
      </x:c>
      <x:c r="E1694" s="17" t="str">
        <x:v>InsightDesk</x:v>
      </x:c>
      <x:c r="F1694" s="17" t="str">
        <x:v>Pro</x:v>
      </x:c>
      <x:c r="G1694" s="17" t="n">
        <x:v>13627</x:v>
      </x:c>
      <x:c r="H1694" s="17" t="n">
        <x:v>15526</x:v>
      </x:c>
      <x:c r="I1694" s="17" t="str">
        <x:v>Correction</x:v>
      </x:c>
      <x:c r="J1694" s="27" t="n">
        <x:f>INDEX('Model Pricing'!$B$7:$B$8,MATCH(F1694,'Model Pricing'!$A$7:$A$8,0))</x:f>
        <x:v>40</x:v>
      </x:c>
      <x:c r="K1694" s="27" t="n">
        <x:f>INDEX('Model Pricing'!$C$7:$C$8,MATCH(F1694,'Model Pricing'!$A$7:$A$8,0))</x:f>
        <x:v>100</x:v>
      </x:c>
      <x:c r="L1694" s="17" t="n">
        <x:f>G1694+H1694</x:f>
        <x:v>29153</x:v>
      </x:c>
      <x:c r="M1694" s="28" t="n">
        <x:f>G1694*J1694/1000000</x:f>
        <x:v>0.54508</x:v>
      </x:c>
      <x:c r="N1694" s="28" t="n">
        <x:f>H1694*K1694/1000000</x:f>
        <x:v>1.5526</x:v>
      </x:c>
      <x:c r="O1694" s="28" t="n">
        <x:f>SUM(M1694:N1694)</x:f>
        <x:v>2.09768</x:v>
      </x:c>
    </x:row>
    <x:row r="1695" ht="23" customHeight="1">
      <x:c r="A1695" s="17" t="str">
        <x:v>U01689</x:v>
      </x:c>
      <x:c r="B1695" s="18" t="n">
        <x:v>46293</x:v>
      </x:c>
      <x:c r="C1695" s="17" t="str">
        <x:v>W0114</x:v>
      </x:c>
      <x:c r="D1695" s="17" t="str">
        <x:v>C002</x:v>
      </x:c>
      <x:c r="E1695" s="17" t="str">
        <x:v>InsightDesk</x:v>
      </x:c>
      <x:c r="F1695" s="17" t="str">
        <x:v>Pro</x:v>
      </x:c>
      <x:c r="G1695" s="17" t="n">
        <x:v>8562</x:v>
      </x:c>
      <x:c r="H1695" s="17" t="n">
        <x:v>7200</x:v>
      </x:c>
      <x:c r="I1695" s="17" t="str">
        <x:v>Correction</x:v>
      </x:c>
      <x:c r="J1695" s="27" t="n">
        <x:f>INDEX('Model Pricing'!$B$7:$B$8,MATCH(F1695,'Model Pricing'!$A$7:$A$8,0))</x:f>
        <x:v>40</x:v>
      </x:c>
      <x:c r="K1695" s="27" t="n">
        <x:f>INDEX('Model Pricing'!$C$7:$C$8,MATCH(F1695,'Model Pricing'!$A$7:$A$8,0))</x:f>
        <x:v>100</x:v>
      </x:c>
      <x:c r="L1695" s="17" t="n">
        <x:f>G1695+H1695</x:f>
        <x:v>15762</x:v>
      </x:c>
      <x:c r="M1695" s="28" t="n">
        <x:f>G1695*J1695/1000000</x:f>
        <x:v>0.34248</x:v>
      </x:c>
      <x:c r="N1695" s="28" t="n">
        <x:f>H1695*K1695/1000000</x:f>
        <x:v>0.72</x:v>
      </x:c>
      <x:c r="O1695" s="28" t="n">
        <x:f>SUM(M1695:N1695)</x:f>
        <x:v>1.0624799999999999</x:v>
      </x:c>
    </x:row>
    <x:row r="1696" ht="23" customHeight="1">
      <x:c r="A1696" s="17" t="str">
        <x:v>U01690</x:v>
      </x:c>
      <x:c r="B1696" s="18" t="n">
        <x:v>46293</x:v>
      </x:c>
      <x:c r="C1696" s="17" t="str">
        <x:v>W0114</x:v>
      </x:c>
      <x:c r="D1696" s="17" t="str">
        <x:v>C002</x:v>
      </x:c>
      <x:c r="E1696" s="17" t="str">
        <x:v>InsightDesk</x:v>
      </x:c>
      <x:c r="F1696" s="17" t="str">
        <x:v>Pro</x:v>
      </x:c>
      <x:c r="G1696" s="17" t="n">
        <x:v>6776</x:v>
      </x:c>
      <x:c r="H1696" s="17" t="n">
        <x:v>7520</x:v>
      </x:c>
      <x:c r="I1696" s="17" t="str">
        <x:v>Correction</x:v>
      </x:c>
      <x:c r="J1696" s="27" t="n">
        <x:f>INDEX('Model Pricing'!$B$7:$B$8,MATCH(F1696,'Model Pricing'!$A$7:$A$8,0))</x:f>
        <x:v>40</x:v>
      </x:c>
      <x:c r="K1696" s="27" t="n">
        <x:f>INDEX('Model Pricing'!$C$7:$C$8,MATCH(F1696,'Model Pricing'!$A$7:$A$8,0))</x:f>
        <x:v>100</x:v>
      </x:c>
      <x:c r="L1696" s="17" t="n">
        <x:f>G1696+H1696</x:f>
        <x:v>14296</x:v>
      </x:c>
      <x:c r="M1696" s="28" t="n">
        <x:f>G1696*J1696/1000000</x:f>
        <x:v>0.27104</x:v>
      </x:c>
      <x:c r="N1696" s="28" t="n">
        <x:f>H1696*K1696/1000000</x:f>
        <x:v>0.752</x:v>
      </x:c>
      <x:c r="O1696" s="28" t="n">
        <x:f>SUM(M1696:N1696)</x:f>
        <x:v>1.02304</x:v>
      </x:c>
    </x:row>
    <x:row r="1697" ht="23" customHeight="1">
      <x:c r="A1697" s="17" t="str">
        <x:v>U01691</x:v>
      </x:c>
      <x:c r="B1697" s="18" t="n">
        <x:v>46293</x:v>
      </x:c>
      <x:c r="C1697" s="17" t="str">
        <x:v>W0114</x:v>
      </x:c>
      <x:c r="D1697" s="17" t="str">
        <x:v>C002</x:v>
      </x:c>
      <x:c r="E1697" s="17" t="str">
        <x:v>InsightDesk</x:v>
      </x:c>
      <x:c r="F1697" s="17" t="str">
        <x:v>Pro</x:v>
      </x:c>
      <x:c r="G1697" s="17" t="n">
        <x:v>6525</x:v>
      </x:c>
      <x:c r="H1697" s="17" t="n">
        <x:v>14286</x:v>
      </x:c>
      <x:c r="I1697" s="17" t="str">
        <x:v>Followup</x:v>
      </x:c>
      <x:c r="J1697" s="27" t="n">
        <x:f>INDEX('Model Pricing'!$B$7:$B$8,MATCH(F1697,'Model Pricing'!$A$7:$A$8,0))</x:f>
        <x:v>40</x:v>
      </x:c>
      <x:c r="K1697" s="27" t="n">
        <x:f>INDEX('Model Pricing'!$C$7:$C$8,MATCH(F1697,'Model Pricing'!$A$7:$A$8,0))</x:f>
        <x:v>100</x:v>
      </x:c>
      <x:c r="L1697" s="17" t="n">
        <x:f>G1697+H1697</x:f>
        <x:v>20811</x:v>
      </x:c>
      <x:c r="M1697" s="28" t="n">
        <x:f>G1697*J1697/1000000</x:f>
        <x:v>0.261</x:v>
      </x:c>
      <x:c r="N1697" s="28" t="n">
        <x:f>H1697*K1697/1000000</x:f>
        <x:v>1.4286</x:v>
      </x:c>
      <x:c r="O1697" s="28" t="n">
        <x:f>SUM(M1697:N1697)</x:f>
        <x:v>1.6896</x:v>
      </x:c>
    </x:row>
    <x:row r="1698" ht="23" customHeight="1">
      <x:c r="A1698" s="17" t="str">
        <x:v>U01692</x:v>
      </x:c>
      <x:c r="B1698" s="18" t="n">
        <x:v>46293</x:v>
      </x:c>
      <x:c r="C1698" s="17" t="str">
        <x:v>W0114</x:v>
      </x:c>
      <x:c r="D1698" s="17" t="str">
        <x:v>C002</x:v>
      </x:c>
      <x:c r="E1698" s="17" t="str">
        <x:v>InsightDesk</x:v>
      </x:c>
      <x:c r="F1698" s="17" t="str">
        <x:v>Pro</x:v>
      </x:c>
      <x:c r="G1698" s="17" t="n">
        <x:v>12748</x:v>
      </x:c>
      <x:c r="H1698" s="17" t="n">
        <x:v>9948</x:v>
      </x:c>
      <x:c r="I1698" s="17" t="str">
        <x:v>Followup</x:v>
      </x:c>
      <x:c r="J1698" s="27" t="n">
        <x:f>INDEX('Model Pricing'!$B$7:$B$8,MATCH(F1698,'Model Pricing'!$A$7:$A$8,0))</x:f>
        <x:v>40</x:v>
      </x:c>
      <x:c r="K1698" s="27" t="n">
        <x:f>INDEX('Model Pricing'!$C$7:$C$8,MATCH(F1698,'Model Pricing'!$A$7:$A$8,0))</x:f>
        <x:v>100</x:v>
      </x:c>
      <x:c r="L1698" s="17" t="n">
        <x:f>G1698+H1698</x:f>
        <x:v>22696</x:v>
      </x:c>
      <x:c r="M1698" s="28" t="n">
        <x:f>G1698*J1698/1000000</x:f>
        <x:v>0.50992</x:v>
      </x:c>
      <x:c r="N1698" s="28" t="n">
        <x:f>H1698*K1698/1000000</x:f>
        <x:v>0.9948</x:v>
      </x:c>
      <x:c r="O1698" s="28" t="n">
        <x:f>SUM(M1698:N1698)</x:f>
        <x:v>1.50472</x:v>
      </x:c>
    </x:row>
    <x:row r="1699" ht="23" customHeight="1">
      <x:c r="A1699" s="17" t="str">
        <x:v>U01693</x:v>
      </x:c>
      <x:c r="B1699" s="18" t="n">
        <x:v>46293</x:v>
      </x:c>
      <x:c r="C1699" s="17" t="str">
        <x:v>W0114</x:v>
      </x:c>
      <x:c r="D1699" s="17" t="str">
        <x:v>C002</x:v>
      </x:c>
      <x:c r="E1699" s="17" t="str">
        <x:v>InsightDesk</x:v>
      </x:c>
      <x:c r="F1699" s="17" t="str">
        <x:v>Pro</x:v>
      </x:c>
      <x:c r="G1699" s="17" t="n">
        <x:v>14032</x:v>
      </x:c>
      <x:c r="H1699" s="17" t="n">
        <x:v>10966</x:v>
      </x:c>
      <x:c r="I1699" s="17" t="str">
        <x:v>Followup</x:v>
      </x:c>
      <x:c r="J1699" s="27" t="n">
        <x:f>INDEX('Model Pricing'!$B$7:$B$8,MATCH(F1699,'Model Pricing'!$A$7:$A$8,0))</x:f>
        <x:v>40</x:v>
      </x:c>
      <x:c r="K1699" s="27" t="n">
        <x:f>INDEX('Model Pricing'!$C$7:$C$8,MATCH(F1699,'Model Pricing'!$A$7:$A$8,0))</x:f>
        <x:v>100</x:v>
      </x:c>
      <x:c r="L1699" s="17" t="n">
        <x:f>G1699+H1699</x:f>
        <x:v>24998</x:v>
      </x:c>
      <x:c r="M1699" s="28" t="n">
        <x:f>G1699*J1699/1000000</x:f>
        <x:v>0.56128</x:v>
      </x:c>
      <x:c r="N1699" s="28" t="n">
        <x:f>H1699*K1699/1000000</x:f>
        <x:v>1.0966</x:v>
      </x:c>
      <x:c r="O1699" s="28" t="n">
        <x:f>SUM(M1699:N1699)</x:f>
        <x:v>1.65788</x:v>
      </x:c>
    </x:row>
    <x:row r="1700" ht="23" customHeight="1">
      <x:c r="A1700" s="17" t="str">
        <x:v>U01694</x:v>
      </x:c>
      <x:c r="B1700" s="18" t="n">
        <x:v>46294</x:v>
      </x:c>
      <x:c r="C1700" s="17" t="str">
        <x:v>W0114</x:v>
      </x:c>
      <x:c r="D1700" s="17" t="str">
        <x:v>C002</x:v>
      </x:c>
      <x:c r="E1700" s="17" t="str">
        <x:v>InsightDesk</x:v>
      </x:c>
      <x:c r="F1700" s="17" t="str">
        <x:v>Pro</x:v>
      </x:c>
      <x:c r="G1700" s="17" t="n">
        <x:v>13007</x:v>
      </x:c>
      <x:c r="H1700" s="17" t="n">
        <x:v>5366</x:v>
      </x:c>
      <x:c r="I1700" s="17" t="str">
        <x:v>Correction</x:v>
      </x:c>
      <x:c r="J1700" s="27" t="n">
        <x:f>INDEX('Model Pricing'!$B$7:$B$8,MATCH(F1700,'Model Pricing'!$A$7:$A$8,0))</x:f>
        <x:v>40</x:v>
      </x:c>
      <x:c r="K1700" s="27" t="n">
        <x:f>INDEX('Model Pricing'!$C$7:$C$8,MATCH(F1700,'Model Pricing'!$A$7:$A$8,0))</x:f>
        <x:v>100</x:v>
      </x:c>
      <x:c r="L1700" s="17" t="n">
        <x:f>G1700+H1700</x:f>
        <x:v>18373</x:v>
      </x:c>
      <x:c r="M1700" s="28" t="n">
        <x:f>G1700*J1700/1000000</x:f>
        <x:v>0.52028</x:v>
      </x:c>
      <x:c r="N1700" s="28" t="n">
        <x:f>H1700*K1700/1000000</x:f>
        <x:v>0.5366</x:v>
      </x:c>
      <x:c r="O1700" s="28" t="n">
        <x:f>SUM(M1700:N1700)</x:f>
        <x:v>1.05688</x:v>
      </x:c>
    </x:row>
    <x:row r="1701" ht="23" customHeight="1">
      <x:c r="A1701" s="17" t="str">
        <x:v>U01695</x:v>
      </x:c>
      <x:c r="B1701" s="18" t="n">
        <x:v>46294</x:v>
      </x:c>
      <x:c r="C1701" s="17" t="str">
        <x:v>W0114</x:v>
      </x:c>
      <x:c r="D1701" s="17" t="str">
        <x:v>C002</x:v>
      </x:c>
      <x:c r="E1701" s="17" t="str">
        <x:v>InsightDesk</x:v>
      </x:c>
      <x:c r="F1701" s="17" t="str">
        <x:v>Pro</x:v>
      </x:c>
      <x:c r="G1701" s="17" t="n">
        <x:v>14266</x:v>
      </x:c>
      <x:c r="H1701" s="17" t="n">
        <x:v>5759</x:v>
      </x:c>
      <x:c r="I1701" s="17" t="str">
        <x:v>Followup</x:v>
      </x:c>
      <x:c r="J1701" s="27" t="n">
        <x:f>INDEX('Model Pricing'!$B$7:$B$8,MATCH(F1701,'Model Pricing'!$A$7:$A$8,0))</x:f>
        <x:v>40</x:v>
      </x:c>
      <x:c r="K1701" s="27" t="n">
        <x:f>INDEX('Model Pricing'!$C$7:$C$8,MATCH(F1701,'Model Pricing'!$A$7:$A$8,0))</x:f>
        <x:v>100</x:v>
      </x:c>
      <x:c r="L1701" s="17" t="n">
        <x:f>G1701+H1701</x:f>
        <x:v>20025</x:v>
      </x:c>
      <x:c r="M1701" s="28" t="n">
        <x:f>G1701*J1701/1000000</x:f>
        <x:v>0.57064</x:v>
      </x:c>
      <x:c r="N1701" s="28" t="n">
        <x:f>H1701*K1701/1000000</x:f>
        <x:v>0.5759</x:v>
      </x:c>
      <x:c r="O1701" s="28" t="n">
        <x:f>SUM(M1701:N1701)</x:f>
        <x:v>1.14654</x:v>
      </x:c>
    </x:row>
    <x:row r="1702" ht="23" customHeight="1">
      <x:c r="A1702" s="17" t="str">
        <x:v>U01696</x:v>
      </x:c>
      <x:c r="B1702" s="18" t="n">
        <x:v>46294</x:v>
      </x:c>
      <x:c r="C1702" s="17" t="str">
        <x:v>W0114</x:v>
      </x:c>
      <x:c r="D1702" s="17" t="str">
        <x:v>C002</x:v>
      </x:c>
      <x:c r="E1702" s="17" t="str">
        <x:v>InsightDesk</x:v>
      </x:c>
      <x:c r="F1702" s="17" t="str">
        <x:v>Pro</x:v>
      </x:c>
      <x:c r="G1702" s="17" t="n">
        <x:v>9786</x:v>
      </x:c>
      <x:c r="H1702" s="17" t="n">
        <x:v>17782</x:v>
      </x:c>
      <x:c r="I1702" s="17" t="str">
        <x:v>Correction</x:v>
      </x:c>
      <x:c r="J1702" s="27" t="n">
        <x:f>INDEX('Model Pricing'!$B$7:$B$8,MATCH(F1702,'Model Pricing'!$A$7:$A$8,0))</x:f>
        <x:v>40</x:v>
      </x:c>
      <x:c r="K1702" s="27" t="n">
        <x:f>INDEX('Model Pricing'!$C$7:$C$8,MATCH(F1702,'Model Pricing'!$A$7:$A$8,0))</x:f>
        <x:v>100</x:v>
      </x:c>
      <x:c r="L1702" s="17" t="n">
        <x:f>G1702+H1702</x:f>
        <x:v>27568</x:v>
      </x:c>
      <x:c r="M1702" s="28" t="n">
        <x:f>G1702*J1702/1000000</x:f>
        <x:v>0.39144</x:v>
      </x:c>
      <x:c r="N1702" s="28" t="n">
        <x:f>H1702*K1702/1000000</x:f>
        <x:v>1.7782</x:v>
      </x:c>
      <x:c r="O1702" s="28" t="n">
        <x:f>SUM(M1702:N1702)</x:f>
        <x:v>2.1696400000000002</x:v>
      </x:c>
    </x:row>
    <x:row r="1703" ht="23" customHeight="1">
      <x:c r="A1703" s="17" t="str">
        <x:v>U01697</x:v>
      </x:c>
      <x:c r="B1703" s="18" t="n">
        <x:v>46294</x:v>
      </x:c>
      <x:c r="C1703" s="17" t="str">
        <x:v>W0114</x:v>
      </x:c>
      <x:c r="D1703" s="17" t="str">
        <x:v>C002</x:v>
      </x:c>
      <x:c r="E1703" s="17" t="str">
        <x:v>InsightDesk</x:v>
      </x:c>
      <x:c r="F1703" s="17" t="str">
        <x:v>Pro</x:v>
      </x:c>
      <x:c r="G1703" s="17" t="n">
        <x:v>17408</x:v>
      </x:c>
      <x:c r="H1703" s="17" t="n">
        <x:v>7983</x:v>
      </x:c>
      <x:c r="I1703" s="17" t="str">
        <x:v>Correction</x:v>
      </x:c>
      <x:c r="J1703" s="27" t="n">
        <x:f>INDEX('Model Pricing'!$B$7:$B$8,MATCH(F1703,'Model Pricing'!$A$7:$A$8,0))</x:f>
        <x:v>40</x:v>
      </x:c>
      <x:c r="K1703" s="27" t="n">
        <x:f>INDEX('Model Pricing'!$C$7:$C$8,MATCH(F1703,'Model Pricing'!$A$7:$A$8,0))</x:f>
        <x:v>100</x:v>
      </x:c>
      <x:c r="L1703" s="17" t="n">
        <x:f>G1703+H1703</x:f>
        <x:v>25391</x:v>
      </x:c>
      <x:c r="M1703" s="28" t="n">
        <x:f>G1703*J1703/1000000</x:f>
        <x:v>0.69632</x:v>
      </x:c>
      <x:c r="N1703" s="28" t="n">
        <x:f>H1703*K1703/1000000</x:f>
        <x:v>0.7983</x:v>
      </x:c>
      <x:c r="O1703" s="28" t="n">
        <x:f>SUM(M1703:N1703)</x:f>
        <x:v>1.49462</x:v>
      </x:c>
    </x:row>
    <x:row r="1704" ht="23" customHeight="1">
      <x:c r="A1704" s="17" t="str">
        <x:v>U01698</x:v>
      </x:c>
      <x:c r="B1704" s="18" t="n">
        <x:v>46294</x:v>
      </x:c>
      <x:c r="C1704" s="17" t="str">
        <x:v>W0114</x:v>
      </x:c>
      <x:c r="D1704" s="17" t="str">
        <x:v>C002</x:v>
      </x:c>
      <x:c r="E1704" s="17" t="str">
        <x:v>InsightDesk</x:v>
      </x:c>
      <x:c r="F1704" s="17" t="str">
        <x:v>Pro</x:v>
      </x:c>
      <x:c r="G1704" s="17" t="n">
        <x:v>12164</x:v>
      </x:c>
      <x:c r="H1704" s="17" t="n">
        <x:v>14978</x:v>
      </x:c>
      <x:c r="I1704" s="17" t="str">
        <x:v>Correction</x:v>
      </x:c>
      <x:c r="J1704" s="27" t="n">
        <x:f>INDEX('Model Pricing'!$B$7:$B$8,MATCH(F1704,'Model Pricing'!$A$7:$A$8,0))</x:f>
        <x:v>40</x:v>
      </x:c>
      <x:c r="K1704" s="27" t="n">
        <x:f>INDEX('Model Pricing'!$C$7:$C$8,MATCH(F1704,'Model Pricing'!$A$7:$A$8,0))</x:f>
        <x:v>100</x:v>
      </x:c>
      <x:c r="L1704" s="17" t="n">
        <x:f>G1704+H1704</x:f>
        <x:v>27142</x:v>
      </x:c>
      <x:c r="M1704" s="28" t="n">
        <x:f>G1704*J1704/1000000</x:f>
        <x:v>0.48656</x:v>
      </x:c>
      <x:c r="N1704" s="28" t="n">
        <x:f>H1704*K1704/1000000</x:f>
        <x:v>1.4978</x:v>
      </x:c>
      <x:c r="O1704" s="28" t="n">
        <x:f>SUM(M1704:N1704)</x:f>
        <x:v>1.9843600000000001</x:v>
      </x:c>
    </x:row>
    <x:row r="1705" ht="23" customHeight="1">
      <x:c r="A1705" s="17" t="str">
        <x:v>U01699</x:v>
      </x:c>
      <x:c r="B1705" s="18" t="n">
        <x:v>46294</x:v>
      </x:c>
      <x:c r="C1705" s="17" t="str">
        <x:v>W0114</x:v>
      </x:c>
      <x:c r="D1705" s="17" t="str">
        <x:v>C002</x:v>
      </x:c>
      <x:c r="E1705" s="17" t="str">
        <x:v>InsightDesk</x:v>
      </x:c>
      <x:c r="F1705" s="17" t="str">
        <x:v>Pro</x:v>
      </x:c>
      <x:c r="G1705" s="17" t="n">
        <x:v>13306</x:v>
      </x:c>
      <x:c r="H1705" s="17" t="n">
        <x:v>7800</x:v>
      </x:c>
      <x:c r="I1705" s="17" t="str">
        <x:v>Correction</x:v>
      </x:c>
      <x:c r="J1705" s="27" t="n">
        <x:f>INDEX('Model Pricing'!$B$7:$B$8,MATCH(F1705,'Model Pricing'!$A$7:$A$8,0))</x:f>
        <x:v>40</x:v>
      </x:c>
      <x:c r="K1705" s="27" t="n">
        <x:f>INDEX('Model Pricing'!$C$7:$C$8,MATCH(F1705,'Model Pricing'!$A$7:$A$8,0))</x:f>
        <x:v>100</x:v>
      </x:c>
      <x:c r="L1705" s="17" t="n">
        <x:f>G1705+H1705</x:f>
        <x:v>21106</x:v>
      </x:c>
      <x:c r="M1705" s="28" t="n">
        <x:f>G1705*J1705/1000000</x:f>
        <x:v>0.53224</x:v>
      </x:c>
      <x:c r="N1705" s="28" t="n">
        <x:f>H1705*K1705/1000000</x:f>
        <x:v>0.78</x:v>
      </x:c>
      <x:c r="O1705" s="28" t="n">
        <x:f>SUM(M1705:N1705)</x:f>
        <x:v>1.31224</x:v>
      </x:c>
    </x:row>
    <x:row r="1706" ht="23" customHeight="1">
      <x:c r="A1706" s="17" t="str">
        <x:v>U01700</x:v>
      </x:c>
      <x:c r="B1706" s="18" t="n">
        <x:v>46295</x:v>
      </x:c>
      <x:c r="C1706" s="17" t="str">
        <x:v>W0114</x:v>
      </x:c>
      <x:c r="D1706" s="17" t="str">
        <x:v>C002</x:v>
      </x:c>
      <x:c r="E1706" s="17" t="str">
        <x:v>InsightDesk</x:v>
      </x:c>
      <x:c r="F1706" s="17" t="str">
        <x:v>Pro</x:v>
      </x:c>
      <x:c r="G1706" s="17" t="n">
        <x:v>17126</x:v>
      </x:c>
      <x:c r="H1706" s="17" t="n">
        <x:v>19361</x:v>
      </x:c>
      <x:c r="I1706" s="17" t="str">
        <x:v>Correction</x:v>
      </x:c>
      <x:c r="J1706" s="27" t="n">
        <x:f>INDEX('Model Pricing'!$B$7:$B$8,MATCH(F1706,'Model Pricing'!$A$7:$A$8,0))</x:f>
        <x:v>40</x:v>
      </x:c>
      <x:c r="K1706" s="27" t="n">
        <x:f>INDEX('Model Pricing'!$C$7:$C$8,MATCH(F1706,'Model Pricing'!$A$7:$A$8,0))</x:f>
        <x:v>100</x:v>
      </x:c>
      <x:c r="L1706" s="17" t="n">
        <x:f>G1706+H1706</x:f>
        <x:v>36487</x:v>
      </x:c>
      <x:c r="M1706" s="28" t="n">
        <x:f>G1706*J1706/1000000</x:f>
        <x:v>0.68504</x:v>
      </x:c>
      <x:c r="N1706" s="28" t="n">
        <x:f>H1706*K1706/1000000</x:f>
        <x:v>1.9361</x:v>
      </x:c>
      <x:c r="O1706" s="28" t="n">
        <x:f>SUM(M1706:N1706)</x:f>
        <x:v>2.62114</x:v>
      </x:c>
    </x:row>
    <x:row r="1707" ht="23" customHeight="1">
      <x:c r="A1707" s="17" t="str">
        <x:v>U01701</x:v>
      </x:c>
      <x:c r="B1707" s="18" t="n">
        <x:v>46295</x:v>
      </x:c>
      <x:c r="C1707" s="17" t="str">
        <x:v>W0114</x:v>
      </x:c>
      <x:c r="D1707" s="17" t="str">
        <x:v>C002</x:v>
      </x:c>
      <x:c r="E1707" s="17" t="str">
        <x:v>InsightDesk</x:v>
      </x:c>
      <x:c r="F1707" s="17" t="str">
        <x:v>Pro</x:v>
      </x:c>
      <x:c r="G1707" s="17" t="n">
        <x:v>15250</x:v>
      </x:c>
      <x:c r="H1707" s="17" t="n">
        <x:v>9523</x:v>
      </x:c>
      <x:c r="I1707" s="17" t="str">
        <x:v>Correction</x:v>
      </x:c>
      <x:c r="J1707" s="27" t="n">
        <x:f>INDEX('Model Pricing'!$B$7:$B$8,MATCH(F1707,'Model Pricing'!$A$7:$A$8,0))</x:f>
        <x:v>40</x:v>
      </x:c>
      <x:c r="K1707" s="27" t="n">
        <x:f>INDEX('Model Pricing'!$C$7:$C$8,MATCH(F1707,'Model Pricing'!$A$7:$A$8,0))</x:f>
        <x:v>100</x:v>
      </x:c>
      <x:c r="L1707" s="17" t="n">
        <x:f>G1707+H1707</x:f>
        <x:v>24773</x:v>
      </x:c>
      <x:c r="M1707" s="28" t="n">
        <x:f>G1707*J1707/1000000</x:f>
        <x:v>0.61</x:v>
      </x:c>
      <x:c r="N1707" s="28" t="n">
        <x:f>H1707*K1707/1000000</x:f>
        <x:v>0.9523</x:v>
      </x:c>
      <x:c r="O1707" s="28" t="n">
        <x:f>SUM(M1707:N1707)</x:f>
        <x:v>1.5623</x:v>
      </x:c>
    </x:row>
    <x:row r="1708" ht="23" customHeight="1">
      <x:c r="A1708" s="17" t="str">
        <x:v>U01702</x:v>
      </x:c>
      <x:c r="B1708" s="18" t="n">
        <x:v>46295</x:v>
      </x:c>
      <x:c r="C1708" s="17" t="str">
        <x:v>W0114</x:v>
      </x:c>
      <x:c r="D1708" s="17" t="str">
        <x:v>C002</x:v>
      </x:c>
      <x:c r="E1708" s="17" t="str">
        <x:v>InsightDesk</x:v>
      </x:c>
      <x:c r="F1708" s="17" t="str">
        <x:v>Pro</x:v>
      </x:c>
      <x:c r="G1708" s="17" t="n">
        <x:v>6349</x:v>
      </x:c>
      <x:c r="H1708" s="17" t="n">
        <x:v>7840</x:v>
      </x:c>
      <x:c r="I1708" s="17" t="str">
        <x:v>Correction</x:v>
      </x:c>
      <x:c r="J1708" s="27" t="n">
        <x:f>INDEX('Model Pricing'!$B$7:$B$8,MATCH(F1708,'Model Pricing'!$A$7:$A$8,0))</x:f>
        <x:v>40</x:v>
      </x:c>
      <x:c r="K1708" s="27" t="n">
        <x:f>INDEX('Model Pricing'!$C$7:$C$8,MATCH(F1708,'Model Pricing'!$A$7:$A$8,0))</x:f>
        <x:v>100</x:v>
      </x:c>
      <x:c r="L1708" s="17" t="n">
        <x:f>G1708+H1708</x:f>
        <x:v>14189</x:v>
      </x:c>
      <x:c r="M1708" s="28" t="n">
        <x:f>G1708*J1708/1000000</x:f>
        <x:v>0.25396</x:v>
      </x:c>
      <x:c r="N1708" s="28" t="n">
        <x:f>H1708*K1708/1000000</x:f>
        <x:v>0.784</x:v>
      </x:c>
      <x:c r="O1708" s="28" t="n">
        <x:f>SUM(M1708:N1708)</x:f>
        <x:v>1.03796</x:v>
      </x:c>
    </x:row>
    <x:row r="1709" ht="23" customHeight="1">
      <x:c r="A1709" s="17" t="str">
        <x:v>U01703</x:v>
      </x:c>
      <x:c r="B1709" s="18" t="n">
        <x:v>46295</x:v>
      </x:c>
      <x:c r="C1709" s="17" t="str">
        <x:v>W0114</x:v>
      </x:c>
      <x:c r="D1709" s="17" t="str">
        <x:v>C002</x:v>
      </x:c>
      <x:c r="E1709" s="17" t="str">
        <x:v>InsightDesk</x:v>
      </x:c>
      <x:c r="F1709" s="17" t="str">
        <x:v>Pro</x:v>
      </x:c>
      <x:c r="G1709" s="17" t="n">
        <x:v>14411</x:v>
      </x:c>
      <x:c r="H1709" s="17" t="n">
        <x:v>10203</x:v>
      </x:c>
      <x:c r="I1709" s="17" t="str">
        <x:v>Correction</x:v>
      </x:c>
      <x:c r="J1709" s="27" t="n">
        <x:f>INDEX('Model Pricing'!$B$7:$B$8,MATCH(F1709,'Model Pricing'!$A$7:$A$8,0))</x:f>
        <x:v>40</x:v>
      </x:c>
      <x:c r="K1709" s="27" t="n">
        <x:f>INDEX('Model Pricing'!$C$7:$C$8,MATCH(F1709,'Model Pricing'!$A$7:$A$8,0))</x:f>
        <x:v>100</x:v>
      </x:c>
      <x:c r="L1709" s="17" t="n">
        <x:f>G1709+H1709</x:f>
        <x:v>24614</x:v>
      </x:c>
      <x:c r="M1709" s="28" t="n">
        <x:f>G1709*J1709/1000000</x:f>
        <x:v>0.57644</x:v>
      </x:c>
      <x:c r="N1709" s="28" t="n">
        <x:f>H1709*K1709/1000000</x:f>
        <x:v>1.0203</x:v>
      </x:c>
      <x:c r="O1709" s="28" t="n">
        <x:f>SUM(M1709:N1709)</x:f>
        <x:v>1.59674</x:v>
      </x:c>
    </x:row>
    <x:row r="1710" ht="23" customHeight="1">
      <x:c r="A1710" s="17" t="str">
        <x:v>U01704</x:v>
      </x:c>
      <x:c r="B1710" s="18" t="n">
        <x:v>46295</x:v>
      </x:c>
      <x:c r="C1710" s="17" t="str">
        <x:v>W0114</x:v>
      </x:c>
      <x:c r="D1710" s="17" t="str">
        <x:v>C002</x:v>
      </x:c>
      <x:c r="E1710" s="17" t="str">
        <x:v>InsightDesk</x:v>
      </x:c>
      <x:c r="F1710" s="17" t="str">
        <x:v>Pro</x:v>
      </x:c>
      <x:c r="G1710" s="17" t="n">
        <x:v>8219</x:v>
      </x:c>
      <x:c r="H1710" s="17" t="n">
        <x:v>13117</x:v>
      </x:c>
      <x:c r="I1710" s="17" t="str">
        <x:v>Followup</x:v>
      </x:c>
      <x:c r="J1710" s="27" t="n">
        <x:f>INDEX('Model Pricing'!$B$7:$B$8,MATCH(F1710,'Model Pricing'!$A$7:$A$8,0))</x:f>
        <x:v>40</x:v>
      </x:c>
      <x:c r="K1710" s="27" t="n">
        <x:f>INDEX('Model Pricing'!$C$7:$C$8,MATCH(F1710,'Model Pricing'!$A$7:$A$8,0))</x:f>
        <x:v>100</x:v>
      </x:c>
      <x:c r="L1710" s="17" t="n">
        <x:f>G1710+H1710</x:f>
        <x:v>21336</x:v>
      </x:c>
      <x:c r="M1710" s="28" t="n">
        <x:f>G1710*J1710/1000000</x:f>
        <x:v>0.32876</x:v>
      </x:c>
      <x:c r="N1710" s="28" t="n">
        <x:f>H1710*K1710/1000000</x:f>
        <x:v>1.3117</x:v>
      </x:c>
      <x:c r="O1710" s="28" t="n">
        <x:f>SUM(M1710:N1710)</x:f>
        <x:v>1.64046</x:v>
      </x:c>
    </x:row>
    <x:row r="1711" ht="23" customHeight="1">
      <x:c r="A1711" s="17" t="str">
        <x:v>U01705</x:v>
      </x:c>
      <x:c r="B1711" s="18" t="n">
        <x:v>46275</x:v>
      </x:c>
      <x:c r="C1711" s="17" t="str">
        <x:v>W0115</x:v>
      </x:c>
      <x:c r="D1711" s="17" t="str">
        <x:v>C002</x:v>
      </x:c>
      <x:c r="E1711" s="17" t="str">
        <x:v>InsightDesk</x:v>
      </x:c>
      <x:c r="F1711" s="17" t="str">
        <x:v>Pro</x:v>
      </x:c>
      <x:c r="G1711" s="17" t="n">
        <x:v>18935</x:v>
      </x:c>
      <x:c r="H1711" s="17" t="n">
        <x:v>8667</x:v>
      </x:c>
      <x:c r="I1711" s="17" t="str">
        <x:v>First attempt</x:v>
      </x:c>
      <x:c r="J1711" s="27" t="n">
        <x:f>INDEX('Model Pricing'!$B$7:$B$8,MATCH(F1711,'Model Pricing'!$A$7:$A$8,0))</x:f>
        <x:v>40</x:v>
      </x:c>
      <x:c r="K1711" s="27" t="n">
        <x:f>INDEX('Model Pricing'!$C$7:$C$8,MATCH(F1711,'Model Pricing'!$A$7:$A$8,0))</x:f>
        <x:v>100</x:v>
      </x:c>
      <x:c r="L1711" s="17" t="n">
        <x:f>G1711+H1711</x:f>
        <x:v>27602</x:v>
      </x:c>
      <x:c r="M1711" s="28" t="n">
        <x:f>G1711*J1711/1000000</x:f>
        <x:v>0.7574</x:v>
      </x:c>
      <x:c r="N1711" s="28" t="n">
        <x:f>H1711*K1711/1000000</x:f>
        <x:v>0.8667</x:v>
      </x:c>
      <x:c r="O1711" s="28" t="n">
        <x:f>SUM(M1711:N1711)</x:f>
        <x:v>1.6240999999999999</x:v>
      </x:c>
    </x:row>
    <x:row r="1712" ht="23" customHeight="1">
      <x:c r="A1712" s="17" t="str">
        <x:v>U01706</x:v>
      </x:c>
      <x:c r="B1712" s="18" t="n">
        <x:v>46275</x:v>
      </x:c>
      <x:c r="C1712" s="17" t="str">
        <x:v>W0115</x:v>
      </x:c>
      <x:c r="D1712" s="17" t="str">
        <x:v>C002</x:v>
      </x:c>
      <x:c r="E1712" s="17" t="str">
        <x:v>InsightDesk</x:v>
      </x:c>
      <x:c r="F1712" s="17" t="str">
        <x:v>Pro</x:v>
      </x:c>
      <x:c r="G1712" s="17" t="n">
        <x:v>18500</x:v>
      </x:c>
      <x:c r="H1712" s="17" t="n">
        <x:v>16619</x:v>
      </x:c>
      <x:c r="I1712" s="17" t="str">
        <x:v>Correction</x:v>
      </x:c>
      <x:c r="J1712" s="27" t="n">
        <x:f>INDEX('Model Pricing'!$B$7:$B$8,MATCH(F1712,'Model Pricing'!$A$7:$A$8,0))</x:f>
        <x:v>40</x:v>
      </x:c>
      <x:c r="K1712" s="27" t="n">
        <x:f>INDEX('Model Pricing'!$C$7:$C$8,MATCH(F1712,'Model Pricing'!$A$7:$A$8,0))</x:f>
        <x:v>100</x:v>
      </x:c>
      <x:c r="L1712" s="17" t="n">
        <x:f>G1712+H1712</x:f>
        <x:v>35119</x:v>
      </x:c>
      <x:c r="M1712" s="28" t="n">
        <x:f>G1712*J1712/1000000</x:f>
        <x:v>0.74</x:v>
      </x:c>
      <x:c r="N1712" s="28" t="n">
        <x:f>H1712*K1712/1000000</x:f>
        <x:v>1.6619</x:v>
      </x:c>
      <x:c r="O1712" s="28" t="n">
        <x:f>SUM(M1712:N1712)</x:f>
        <x:v>2.4019</x:v>
      </x:c>
    </x:row>
    <x:row r="1713" ht="23" customHeight="1">
      <x:c r="A1713" s="17" t="str">
        <x:v>U01707</x:v>
      </x:c>
      <x:c r="B1713" s="18" t="n">
        <x:v>46275</x:v>
      </x:c>
      <x:c r="C1713" s="17" t="str">
        <x:v>W0115</x:v>
      </x:c>
      <x:c r="D1713" s="17" t="str">
        <x:v>C002</x:v>
      </x:c>
      <x:c r="E1713" s="17" t="str">
        <x:v>InsightDesk</x:v>
      </x:c>
      <x:c r="F1713" s="17" t="str">
        <x:v>Pro</x:v>
      </x:c>
      <x:c r="G1713" s="17" t="n">
        <x:v>16635</x:v>
      </x:c>
      <x:c r="H1713" s="17" t="n">
        <x:v>12882</x:v>
      </x:c>
      <x:c r="I1713" s="17" t="str">
        <x:v>Correction</x:v>
      </x:c>
      <x:c r="J1713" s="27" t="n">
        <x:f>INDEX('Model Pricing'!$B$7:$B$8,MATCH(F1713,'Model Pricing'!$A$7:$A$8,0))</x:f>
        <x:v>40</x:v>
      </x:c>
      <x:c r="K1713" s="27" t="n">
        <x:f>INDEX('Model Pricing'!$C$7:$C$8,MATCH(F1713,'Model Pricing'!$A$7:$A$8,0))</x:f>
        <x:v>100</x:v>
      </x:c>
      <x:c r="L1713" s="17" t="n">
        <x:f>G1713+H1713</x:f>
        <x:v>29517</x:v>
      </x:c>
      <x:c r="M1713" s="28" t="n">
        <x:f>G1713*J1713/1000000</x:f>
        <x:v>0.6654</x:v>
      </x:c>
      <x:c r="N1713" s="28" t="n">
        <x:f>H1713*K1713/1000000</x:f>
        <x:v>1.2882</x:v>
      </x:c>
      <x:c r="O1713" s="28" t="n">
        <x:f>SUM(M1713:N1713)</x:f>
        <x:v>1.9536</x:v>
      </x:c>
    </x:row>
    <x:row r="1714" ht="23" customHeight="1">
      <x:c r="A1714" s="17" t="str">
        <x:v>U01708</x:v>
      </x:c>
      <x:c r="B1714" s="18" t="n">
        <x:v>46275</x:v>
      </x:c>
      <x:c r="C1714" s="17" t="str">
        <x:v>W0115</x:v>
      </x:c>
      <x:c r="D1714" s="17" t="str">
        <x:v>C002</x:v>
      </x:c>
      <x:c r="E1714" s="17" t="str">
        <x:v>InsightDesk</x:v>
      </x:c>
      <x:c r="F1714" s="17" t="str">
        <x:v>Pro</x:v>
      </x:c>
      <x:c r="G1714" s="17" t="n">
        <x:v>21474</x:v>
      </x:c>
      <x:c r="H1714" s="17" t="n">
        <x:v>11202</x:v>
      </x:c>
      <x:c r="I1714" s="17" t="str">
        <x:v>Followup</x:v>
      </x:c>
      <x:c r="J1714" s="27" t="n">
        <x:f>INDEX('Model Pricing'!$B$7:$B$8,MATCH(F1714,'Model Pricing'!$A$7:$A$8,0))</x:f>
        <x:v>40</x:v>
      </x:c>
      <x:c r="K1714" s="27" t="n">
        <x:f>INDEX('Model Pricing'!$C$7:$C$8,MATCH(F1714,'Model Pricing'!$A$7:$A$8,0))</x:f>
        <x:v>100</x:v>
      </x:c>
      <x:c r="L1714" s="17" t="n">
        <x:f>G1714+H1714</x:f>
        <x:v>32676</x:v>
      </x:c>
      <x:c r="M1714" s="28" t="n">
        <x:f>G1714*J1714/1000000</x:f>
        <x:v>0.85896</x:v>
      </x:c>
      <x:c r="N1714" s="28" t="n">
        <x:f>H1714*K1714/1000000</x:f>
        <x:v>1.1202</x:v>
      </x:c>
      <x:c r="O1714" s="28" t="n">
        <x:f>SUM(M1714:N1714)</x:f>
        <x:v>1.97916</x:v>
      </x:c>
    </x:row>
    <x:row r="1715" ht="23" customHeight="1">
      <x:c r="A1715" s="17" t="str">
        <x:v>U01709</x:v>
      </x:c>
      <x:c r="B1715" s="18" t="n">
        <x:v>46275</x:v>
      </x:c>
      <x:c r="C1715" s="17" t="str">
        <x:v>W0115</x:v>
      </x:c>
      <x:c r="D1715" s="17" t="str">
        <x:v>C002</x:v>
      </x:c>
      <x:c r="E1715" s="17" t="str">
        <x:v>InsightDesk</x:v>
      </x:c>
      <x:c r="F1715" s="17" t="str">
        <x:v>Pro</x:v>
      </x:c>
      <x:c r="G1715" s="17" t="n">
        <x:v>12474</x:v>
      </x:c>
      <x:c r="H1715" s="17" t="n">
        <x:v>5127</x:v>
      </x:c>
      <x:c r="I1715" s="17" t="str">
        <x:v>Correction</x:v>
      </x:c>
      <x:c r="J1715" s="27" t="n">
        <x:f>INDEX('Model Pricing'!$B$7:$B$8,MATCH(F1715,'Model Pricing'!$A$7:$A$8,0))</x:f>
        <x:v>40</x:v>
      </x:c>
      <x:c r="K1715" s="27" t="n">
        <x:f>INDEX('Model Pricing'!$C$7:$C$8,MATCH(F1715,'Model Pricing'!$A$7:$A$8,0))</x:f>
        <x:v>100</x:v>
      </x:c>
      <x:c r="L1715" s="17" t="n">
        <x:f>G1715+H1715</x:f>
        <x:v>17601</x:v>
      </x:c>
      <x:c r="M1715" s="28" t="n">
        <x:f>G1715*J1715/1000000</x:f>
        <x:v>0.49896</x:v>
      </x:c>
      <x:c r="N1715" s="28" t="n">
        <x:f>H1715*K1715/1000000</x:f>
        <x:v>0.5127</x:v>
      </x:c>
      <x:c r="O1715" s="28" t="n">
        <x:f>SUM(M1715:N1715)</x:f>
        <x:v>1.01166</x:v>
      </x:c>
    </x:row>
    <x:row r="1716" ht="23" customHeight="1">
      <x:c r="A1716" s="17" t="str">
        <x:v>U01710</x:v>
      </x:c>
      <x:c r="B1716" s="18" t="n">
        <x:v>46276</x:v>
      </x:c>
      <x:c r="C1716" s="17" t="str">
        <x:v>W0115</x:v>
      </x:c>
      <x:c r="D1716" s="17" t="str">
        <x:v>C002</x:v>
      </x:c>
      <x:c r="E1716" s="17" t="str">
        <x:v>InsightDesk</x:v>
      </x:c>
      <x:c r="F1716" s="17" t="str">
        <x:v>Pro</x:v>
      </x:c>
      <x:c r="G1716" s="17" t="n">
        <x:v>13010</x:v>
      </x:c>
      <x:c r="H1716" s="17" t="n">
        <x:v>14726</x:v>
      </x:c>
      <x:c r="I1716" s="17" t="str">
        <x:v>Followup</x:v>
      </x:c>
      <x:c r="J1716" s="27" t="n">
        <x:f>INDEX('Model Pricing'!$B$7:$B$8,MATCH(F1716,'Model Pricing'!$A$7:$A$8,0))</x:f>
        <x:v>40</x:v>
      </x:c>
      <x:c r="K1716" s="27" t="n">
        <x:f>INDEX('Model Pricing'!$C$7:$C$8,MATCH(F1716,'Model Pricing'!$A$7:$A$8,0))</x:f>
        <x:v>100</x:v>
      </x:c>
      <x:c r="L1716" s="17" t="n">
        <x:f>G1716+H1716</x:f>
        <x:v>27736</x:v>
      </x:c>
      <x:c r="M1716" s="28" t="n">
        <x:f>G1716*J1716/1000000</x:f>
        <x:v>0.5204</x:v>
      </x:c>
      <x:c r="N1716" s="28" t="n">
        <x:f>H1716*K1716/1000000</x:f>
        <x:v>1.4726</x:v>
      </x:c>
      <x:c r="O1716" s="28" t="n">
        <x:f>SUM(M1716:N1716)</x:f>
        <x:v>1.9929999999999999</x:v>
      </x:c>
    </x:row>
    <x:row r="1717" ht="23" customHeight="1">
      <x:c r="A1717" s="17" t="str">
        <x:v>U01711</x:v>
      </x:c>
      <x:c r="B1717" s="18" t="n">
        <x:v>46276</x:v>
      </x:c>
      <x:c r="C1717" s="17" t="str">
        <x:v>W0115</x:v>
      </x:c>
      <x:c r="D1717" s="17" t="str">
        <x:v>C002</x:v>
      </x:c>
      <x:c r="E1717" s="17" t="str">
        <x:v>InsightDesk</x:v>
      </x:c>
      <x:c r="F1717" s="17" t="str">
        <x:v>Pro</x:v>
      </x:c>
      <x:c r="G1717" s="17" t="n">
        <x:v>13190</x:v>
      </x:c>
      <x:c r="H1717" s="17" t="n">
        <x:v>9961</x:v>
      </x:c>
      <x:c r="I1717" s="17" t="str">
        <x:v>Correction</x:v>
      </x:c>
      <x:c r="J1717" s="27" t="n">
        <x:f>INDEX('Model Pricing'!$B$7:$B$8,MATCH(F1717,'Model Pricing'!$A$7:$A$8,0))</x:f>
        <x:v>40</x:v>
      </x:c>
      <x:c r="K1717" s="27" t="n">
        <x:f>INDEX('Model Pricing'!$C$7:$C$8,MATCH(F1717,'Model Pricing'!$A$7:$A$8,0))</x:f>
        <x:v>100</x:v>
      </x:c>
      <x:c r="L1717" s="17" t="n">
        <x:f>G1717+H1717</x:f>
        <x:v>23151</x:v>
      </x:c>
      <x:c r="M1717" s="28" t="n">
        <x:f>G1717*J1717/1000000</x:f>
        <x:v>0.5276</x:v>
      </x:c>
      <x:c r="N1717" s="28" t="n">
        <x:f>H1717*K1717/1000000</x:f>
        <x:v>0.9961</x:v>
      </x:c>
      <x:c r="O1717" s="28" t="n">
        <x:f>SUM(M1717:N1717)</x:f>
        <x:v>1.5236999999999998</x:v>
      </x:c>
    </x:row>
    <x:row r="1718" ht="23" customHeight="1">
      <x:c r="A1718" s="17" t="str">
        <x:v>U01712</x:v>
      </x:c>
      <x:c r="B1718" s="18" t="n">
        <x:v>46276</x:v>
      </x:c>
      <x:c r="C1718" s="17" t="str">
        <x:v>W0115</x:v>
      </x:c>
      <x:c r="D1718" s="17" t="str">
        <x:v>C002</x:v>
      </x:c>
      <x:c r="E1718" s="17" t="str">
        <x:v>InsightDesk</x:v>
      </x:c>
      <x:c r="F1718" s="17" t="str">
        <x:v>Pro</x:v>
      </x:c>
      <x:c r="G1718" s="17" t="n">
        <x:v>10062</x:v>
      </x:c>
      <x:c r="H1718" s="17" t="n">
        <x:v>9883</x:v>
      </x:c>
      <x:c r="I1718" s="17" t="str">
        <x:v>Correction</x:v>
      </x:c>
      <x:c r="J1718" s="27" t="n">
        <x:f>INDEX('Model Pricing'!$B$7:$B$8,MATCH(F1718,'Model Pricing'!$A$7:$A$8,0))</x:f>
        <x:v>40</x:v>
      </x:c>
      <x:c r="K1718" s="27" t="n">
        <x:f>INDEX('Model Pricing'!$C$7:$C$8,MATCH(F1718,'Model Pricing'!$A$7:$A$8,0))</x:f>
        <x:v>100</x:v>
      </x:c>
      <x:c r="L1718" s="17" t="n">
        <x:f>G1718+H1718</x:f>
        <x:v>19945</x:v>
      </x:c>
      <x:c r="M1718" s="28" t="n">
        <x:f>G1718*J1718/1000000</x:f>
        <x:v>0.40248</x:v>
      </x:c>
      <x:c r="N1718" s="28" t="n">
        <x:f>H1718*K1718/1000000</x:f>
        <x:v>0.9883</x:v>
      </x:c>
      <x:c r="O1718" s="28" t="n">
        <x:f>SUM(M1718:N1718)</x:f>
        <x:v>1.39078</x:v>
      </x:c>
    </x:row>
    <x:row r="1719" ht="23" customHeight="1">
      <x:c r="A1719" s="17" t="str">
        <x:v>U01713</x:v>
      </x:c>
      <x:c r="B1719" s="18" t="n">
        <x:v>46276</x:v>
      </x:c>
      <x:c r="C1719" s="17" t="str">
        <x:v>W0115</x:v>
      </x:c>
      <x:c r="D1719" s="17" t="str">
        <x:v>C002</x:v>
      </x:c>
      <x:c r="E1719" s="17" t="str">
        <x:v>InsightDesk</x:v>
      </x:c>
      <x:c r="F1719" s="17" t="str">
        <x:v>Pro</x:v>
      </x:c>
      <x:c r="G1719" s="17" t="n">
        <x:v>7482</x:v>
      </x:c>
      <x:c r="H1719" s="17" t="n">
        <x:v>5715</x:v>
      </x:c>
      <x:c r="I1719" s="17" t="str">
        <x:v>Correction</x:v>
      </x:c>
      <x:c r="J1719" s="27" t="n">
        <x:f>INDEX('Model Pricing'!$B$7:$B$8,MATCH(F1719,'Model Pricing'!$A$7:$A$8,0))</x:f>
        <x:v>40</x:v>
      </x:c>
      <x:c r="K1719" s="27" t="n">
        <x:f>INDEX('Model Pricing'!$C$7:$C$8,MATCH(F1719,'Model Pricing'!$A$7:$A$8,0))</x:f>
        <x:v>100</x:v>
      </x:c>
      <x:c r="L1719" s="17" t="n">
        <x:f>G1719+H1719</x:f>
        <x:v>13197</x:v>
      </x:c>
      <x:c r="M1719" s="28" t="n">
        <x:f>G1719*J1719/1000000</x:f>
        <x:v>0.29928</x:v>
      </x:c>
      <x:c r="N1719" s="28" t="n">
        <x:f>H1719*K1719/1000000</x:f>
        <x:v>0.5715</x:v>
      </x:c>
      <x:c r="O1719" s="28" t="n">
        <x:f>SUM(M1719:N1719)</x:f>
        <x:v>0.87078</x:v>
      </x:c>
    </x:row>
    <x:row r="1720" ht="23" customHeight="1">
      <x:c r="A1720" s="17" t="str">
        <x:v>U01714</x:v>
      </x:c>
      <x:c r="B1720" s="18" t="n">
        <x:v>46279</x:v>
      </x:c>
      <x:c r="C1720" s="17" t="str">
        <x:v>W0115</x:v>
      </x:c>
      <x:c r="D1720" s="17" t="str">
        <x:v>C002</x:v>
      </x:c>
      <x:c r="E1720" s="17" t="str">
        <x:v>InsightDesk</x:v>
      </x:c>
      <x:c r="F1720" s="17" t="str">
        <x:v>Pro</x:v>
      </x:c>
      <x:c r="G1720" s="17" t="n">
        <x:v>9231</x:v>
      </x:c>
      <x:c r="H1720" s="17" t="n">
        <x:v>9767</x:v>
      </x:c>
      <x:c r="I1720" s="17" t="str">
        <x:v>Followup</x:v>
      </x:c>
      <x:c r="J1720" s="27" t="n">
        <x:f>INDEX('Model Pricing'!$B$7:$B$8,MATCH(F1720,'Model Pricing'!$A$7:$A$8,0))</x:f>
        <x:v>40</x:v>
      </x:c>
      <x:c r="K1720" s="27" t="n">
        <x:f>INDEX('Model Pricing'!$C$7:$C$8,MATCH(F1720,'Model Pricing'!$A$7:$A$8,0))</x:f>
        <x:v>100</x:v>
      </x:c>
      <x:c r="L1720" s="17" t="n">
        <x:f>G1720+H1720</x:f>
        <x:v>18998</x:v>
      </x:c>
      <x:c r="M1720" s="28" t="n">
        <x:f>G1720*J1720/1000000</x:f>
        <x:v>0.36924</x:v>
      </x:c>
      <x:c r="N1720" s="28" t="n">
        <x:f>H1720*K1720/1000000</x:f>
        <x:v>0.9767</x:v>
      </x:c>
      <x:c r="O1720" s="28" t="n">
        <x:f>SUM(M1720:N1720)</x:f>
        <x:v>1.3459400000000001</x:v>
      </x:c>
    </x:row>
    <x:row r="1721" ht="23" customHeight="1">
      <x:c r="A1721" s="17" t="str">
        <x:v>U01715</x:v>
      </x:c>
      <x:c r="B1721" s="18" t="n">
        <x:v>46279</x:v>
      </x:c>
      <x:c r="C1721" s="17" t="str">
        <x:v>W0115</x:v>
      </x:c>
      <x:c r="D1721" s="17" t="str">
        <x:v>C002</x:v>
      </x:c>
      <x:c r="E1721" s="17" t="str">
        <x:v>InsightDesk</x:v>
      </x:c>
      <x:c r="F1721" s="17" t="str">
        <x:v>Pro</x:v>
      </x:c>
      <x:c r="G1721" s="17" t="n">
        <x:v>20018</x:v>
      </x:c>
      <x:c r="H1721" s="17" t="n">
        <x:v>15486</x:v>
      </x:c>
      <x:c r="I1721" s="17" t="str">
        <x:v>Correction</x:v>
      </x:c>
      <x:c r="J1721" s="27" t="n">
        <x:f>INDEX('Model Pricing'!$B$7:$B$8,MATCH(F1721,'Model Pricing'!$A$7:$A$8,0))</x:f>
        <x:v>40</x:v>
      </x:c>
      <x:c r="K1721" s="27" t="n">
        <x:f>INDEX('Model Pricing'!$C$7:$C$8,MATCH(F1721,'Model Pricing'!$A$7:$A$8,0))</x:f>
        <x:v>100</x:v>
      </x:c>
      <x:c r="L1721" s="17" t="n">
        <x:f>G1721+H1721</x:f>
        <x:v>35504</x:v>
      </x:c>
      <x:c r="M1721" s="28" t="n">
        <x:f>G1721*J1721/1000000</x:f>
        <x:v>0.80072</x:v>
      </x:c>
      <x:c r="N1721" s="28" t="n">
        <x:f>H1721*K1721/1000000</x:f>
        <x:v>1.5486</x:v>
      </x:c>
      <x:c r="O1721" s="28" t="n">
        <x:f>SUM(M1721:N1721)</x:f>
        <x:v>2.34932</x:v>
      </x:c>
    </x:row>
    <x:row r="1722" ht="23" customHeight="1">
      <x:c r="A1722" s="17" t="str">
        <x:v>U01716</x:v>
      </x:c>
      <x:c r="B1722" s="18" t="n">
        <x:v>46279</x:v>
      </x:c>
      <x:c r="C1722" s="17" t="str">
        <x:v>W0115</x:v>
      </x:c>
      <x:c r="D1722" s="17" t="str">
        <x:v>C002</x:v>
      </x:c>
      <x:c r="E1722" s="17" t="str">
        <x:v>InsightDesk</x:v>
      </x:c>
      <x:c r="F1722" s="17" t="str">
        <x:v>Pro</x:v>
      </x:c>
      <x:c r="G1722" s="17" t="n">
        <x:v>21581</x:v>
      </x:c>
      <x:c r="H1722" s="17" t="n">
        <x:v>10291</x:v>
      </x:c>
      <x:c r="I1722" s="17" t="str">
        <x:v>Followup</x:v>
      </x:c>
      <x:c r="J1722" s="27" t="n">
        <x:f>INDEX('Model Pricing'!$B$7:$B$8,MATCH(F1722,'Model Pricing'!$A$7:$A$8,0))</x:f>
        <x:v>40</x:v>
      </x:c>
      <x:c r="K1722" s="27" t="n">
        <x:f>INDEX('Model Pricing'!$C$7:$C$8,MATCH(F1722,'Model Pricing'!$A$7:$A$8,0))</x:f>
        <x:v>100</x:v>
      </x:c>
      <x:c r="L1722" s="17" t="n">
        <x:f>G1722+H1722</x:f>
        <x:v>31872</x:v>
      </x:c>
      <x:c r="M1722" s="28" t="n">
        <x:f>G1722*J1722/1000000</x:f>
        <x:v>0.86324</x:v>
      </x:c>
      <x:c r="N1722" s="28" t="n">
        <x:f>H1722*K1722/1000000</x:f>
        <x:v>1.0291</x:v>
      </x:c>
      <x:c r="O1722" s="28" t="n">
        <x:f>SUM(M1722:N1722)</x:f>
        <x:v>1.89234</x:v>
      </x:c>
    </x:row>
    <x:row r="1723" ht="23" customHeight="1">
      <x:c r="A1723" s="17" t="str">
        <x:v>U01717</x:v>
      </x:c>
      <x:c r="B1723" s="18" t="n">
        <x:v>46279</x:v>
      </x:c>
      <x:c r="C1723" s="17" t="str">
        <x:v>W0115</x:v>
      </x:c>
      <x:c r="D1723" s="17" t="str">
        <x:v>C002</x:v>
      </x:c>
      <x:c r="E1723" s="17" t="str">
        <x:v>InsightDesk</x:v>
      </x:c>
      <x:c r="F1723" s="17" t="str">
        <x:v>Pro</x:v>
      </x:c>
      <x:c r="G1723" s="17" t="n">
        <x:v>16505</x:v>
      </x:c>
      <x:c r="H1723" s="17" t="n">
        <x:v>6011</x:v>
      </x:c>
      <x:c r="I1723" s="17" t="str">
        <x:v>Correction</x:v>
      </x:c>
      <x:c r="J1723" s="27" t="n">
        <x:f>INDEX('Model Pricing'!$B$7:$B$8,MATCH(F1723,'Model Pricing'!$A$7:$A$8,0))</x:f>
        <x:v>40</x:v>
      </x:c>
      <x:c r="K1723" s="27" t="n">
        <x:f>INDEX('Model Pricing'!$C$7:$C$8,MATCH(F1723,'Model Pricing'!$A$7:$A$8,0))</x:f>
        <x:v>100</x:v>
      </x:c>
      <x:c r="L1723" s="17" t="n">
        <x:f>G1723+H1723</x:f>
        <x:v>22516</x:v>
      </x:c>
      <x:c r="M1723" s="28" t="n">
        <x:f>G1723*J1723/1000000</x:f>
        <x:v>0.6602</x:v>
      </x:c>
      <x:c r="N1723" s="28" t="n">
        <x:f>H1723*K1723/1000000</x:f>
        <x:v>0.6011</x:v>
      </x:c>
      <x:c r="O1723" s="28" t="n">
        <x:f>SUM(M1723:N1723)</x:f>
        <x:v>1.2612999999999999</x:v>
      </x:c>
    </x:row>
    <x:row r="1724" ht="23" customHeight="1">
      <x:c r="A1724" s="17" t="str">
        <x:v>U01718</x:v>
      </x:c>
      <x:c r="B1724" s="18" t="n">
        <x:v>46279</x:v>
      </x:c>
      <x:c r="C1724" s="17" t="str">
        <x:v>W0115</x:v>
      </x:c>
      <x:c r="D1724" s="17" t="str">
        <x:v>C002</x:v>
      </x:c>
      <x:c r="E1724" s="17" t="str">
        <x:v>InsightDesk</x:v>
      </x:c>
      <x:c r="F1724" s="17" t="str">
        <x:v>Pro</x:v>
      </x:c>
      <x:c r="G1724" s="17" t="n">
        <x:v>18867</x:v>
      </x:c>
      <x:c r="H1724" s="17" t="n">
        <x:v>13343</x:v>
      </x:c>
      <x:c r="I1724" s="17" t="str">
        <x:v>Followup</x:v>
      </x:c>
      <x:c r="J1724" s="27" t="n">
        <x:f>INDEX('Model Pricing'!$B$7:$B$8,MATCH(F1724,'Model Pricing'!$A$7:$A$8,0))</x:f>
        <x:v>40</x:v>
      </x:c>
      <x:c r="K1724" s="27" t="n">
        <x:f>INDEX('Model Pricing'!$C$7:$C$8,MATCH(F1724,'Model Pricing'!$A$7:$A$8,0))</x:f>
        <x:v>100</x:v>
      </x:c>
      <x:c r="L1724" s="17" t="n">
        <x:f>G1724+H1724</x:f>
        <x:v>32210</x:v>
      </x:c>
      <x:c r="M1724" s="28" t="n">
        <x:f>G1724*J1724/1000000</x:f>
        <x:v>0.75468</x:v>
      </x:c>
      <x:c r="N1724" s="28" t="n">
        <x:f>H1724*K1724/1000000</x:f>
        <x:v>1.3343</x:v>
      </x:c>
      <x:c r="O1724" s="28" t="n">
        <x:f>SUM(M1724:N1724)</x:f>
        <x:v>2.0889800000000003</x:v>
      </x:c>
    </x:row>
    <x:row r="1725" ht="23" customHeight="1">
      <x:c r="A1725" s="17" t="str">
        <x:v>U01719</x:v>
      </x:c>
      <x:c r="B1725" s="18" t="n">
        <x:v>46280</x:v>
      </x:c>
      <x:c r="C1725" s="17" t="str">
        <x:v>W0115</x:v>
      </x:c>
      <x:c r="D1725" s="17" t="str">
        <x:v>C002</x:v>
      </x:c>
      <x:c r="E1725" s="17" t="str">
        <x:v>InsightDesk</x:v>
      </x:c>
      <x:c r="F1725" s="17" t="str">
        <x:v>Pro</x:v>
      </x:c>
      <x:c r="G1725" s="17" t="n">
        <x:v>14066</x:v>
      </x:c>
      <x:c r="H1725" s="17" t="n">
        <x:v>5987</x:v>
      </x:c>
      <x:c r="I1725" s="17" t="str">
        <x:v>Followup</x:v>
      </x:c>
      <x:c r="J1725" s="27" t="n">
        <x:f>INDEX('Model Pricing'!$B$7:$B$8,MATCH(F1725,'Model Pricing'!$A$7:$A$8,0))</x:f>
        <x:v>40</x:v>
      </x:c>
      <x:c r="K1725" s="27" t="n">
        <x:f>INDEX('Model Pricing'!$C$7:$C$8,MATCH(F1725,'Model Pricing'!$A$7:$A$8,0))</x:f>
        <x:v>100</x:v>
      </x:c>
      <x:c r="L1725" s="17" t="n">
        <x:f>G1725+H1725</x:f>
        <x:v>20053</x:v>
      </x:c>
      <x:c r="M1725" s="28" t="n">
        <x:f>G1725*J1725/1000000</x:f>
        <x:v>0.56264</x:v>
      </x:c>
      <x:c r="N1725" s="28" t="n">
        <x:f>H1725*K1725/1000000</x:f>
        <x:v>0.5987</x:v>
      </x:c>
      <x:c r="O1725" s="28" t="n">
        <x:f>SUM(M1725:N1725)</x:f>
        <x:v>1.16134</x:v>
      </x:c>
    </x:row>
    <x:row r="1726" ht="23" customHeight="1">
      <x:c r="A1726" s="17" t="str">
        <x:v>U01720</x:v>
      </x:c>
      <x:c r="B1726" s="18" t="n">
        <x:v>46280</x:v>
      </x:c>
      <x:c r="C1726" s="17" t="str">
        <x:v>W0115</x:v>
      </x:c>
      <x:c r="D1726" s="17" t="str">
        <x:v>C002</x:v>
      </x:c>
      <x:c r="E1726" s="17" t="str">
        <x:v>InsightDesk</x:v>
      </x:c>
      <x:c r="F1726" s="17" t="str">
        <x:v>Pro</x:v>
      </x:c>
      <x:c r="G1726" s="17" t="n">
        <x:v>16654</x:v>
      </x:c>
      <x:c r="H1726" s="17" t="n">
        <x:v>15839</x:v>
      </x:c>
      <x:c r="I1726" s="17" t="str">
        <x:v>Followup</x:v>
      </x:c>
      <x:c r="J1726" s="27" t="n">
        <x:f>INDEX('Model Pricing'!$B$7:$B$8,MATCH(F1726,'Model Pricing'!$A$7:$A$8,0))</x:f>
        <x:v>40</x:v>
      </x:c>
      <x:c r="K1726" s="27" t="n">
        <x:f>INDEX('Model Pricing'!$C$7:$C$8,MATCH(F1726,'Model Pricing'!$A$7:$A$8,0))</x:f>
        <x:v>100</x:v>
      </x:c>
      <x:c r="L1726" s="17" t="n">
        <x:f>G1726+H1726</x:f>
        <x:v>32493</x:v>
      </x:c>
      <x:c r="M1726" s="28" t="n">
        <x:f>G1726*J1726/1000000</x:f>
        <x:v>0.66616</x:v>
      </x:c>
      <x:c r="N1726" s="28" t="n">
        <x:f>H1726*K1726/1000000</x:f>
        <x:v>1.5839</x:v>
      </x:c>
      <x:c r="O1726" s="28" t="n">
        <x:f>SUM(M1726:N1726)</x:f>
        <x:v>2.25006</x:v>
      </x:c>
    </x:row>
    <x:row r="1727" ht="23" customHeight="1">
      <x:c r="A1727" s="17" t="str">
        <x:v>U01721</x:v>
      </x:c>
      <x:c r="B1727" s="18" t="n">
        <x:v>46280</x:v>
      </x:c>
      <x:c r="C1727" s="17" t="str">
        <x:v>W0115</x:v>
      </x:c>
      <x:c r="D1727" s="17" t="str">
        <x:v>C002</x:v>
      </x:c>
      <x:c r="E1727" s="17" t="str">
        <x:v>InsightDesk</x:v>
      </x:c>
      <x:c r="F1727" s="17" t="str">
        <x:v>Pro</x:v>
      </x:c>
      <x:c r="G1727" s="17" t="n">
        <x:v>12065</x:v>
      </x:c>
      <x:c r="H1727" s="17" t="n">
        <x:v>9913</x:v>
      </x:c>
      <x:c r="I1727" s="17" t="str">
        <x:v>Followup</x:v>
      </x:c>
      <x:c r="J1727" s="27" t="n">
        <x:f>INDEX('Model Pricing'!$B$7:$B$8,MATCH(F1727,'Model Pricing'!$A$7:$A$8,0))</x:f>
        <x:v>40</x:v>
      </x:c>
      <x:c r="K1727" s="27" t="n">
        <x:f>INDEX('Model Pricing'!$C$7:$C$8,MATCH(F1727,'Model Pricing'!$A$7:$A$8,0))</x:f>
        <x:v>100</x:v>
      </x:c>
      <x:c r="L1727" s="17" t="n">
        <x:f>G1727+H1727</x:f>
        <x:v>21978</x:v>
      </x:c>
      <x:c r="M1727" s="28" t="n">
        <x:f>G1727*J1727/1000000</x:f>
        <x:v>0.4826</x:v>
      </x:c>
      <x:c r="N1727" s="28" t="n">
        <x:f>H1727*K1727/1000000</x:f>
        <x:v>0.9913</x:v>
      </x:c>
      <x:c r="O1727" s="28" t="n">
        <x:f>SUM(M1727:N1727)</x:f>
        <x:v>1.4739</x:v>
      </x:c>
    </x:row>
    <x:row r="1728" ht="23" customHeight="1">
      <x:c r="A1728" s="17" t="str">
        <x:v>U01722</x:v>
      </x:c>
      <x:c r="B1728" s="18" t="n">
        <x:v>46280</x:v>
      </x:c>
      <x:c r="C1728" s="17" t="str">
        <x:v>W0115</x:v>
      </x:c>
      <x:c r="D1728" s="17" t="str">
        <x:v>C002</x:v>
      </x:c>
      <x:c r="E1728" s="17" t="str">
        <x:v>InsightDesk</x:v>
      </x:c>
      <x:c r="F1728" s="17" t="str">
        <x:v>Pro</x:v>
      </x:c>
      <x:c r="G1728" s="17" t="n">
        <x:v>16744</x:v>
      </x:c>
      <x:c r="H1728" s="17" t="n">
        <x:v>4586</x:v>
      </x:c>
      <x:c r="I1728" s="17" t="str">
        <x:v>Correction</x:v>
      </x:c>
      <x:c r="J1728" s="27" t="n">
        <x:f>INDEX('Model Pricing'!$B$7:$B$8,MATCH(F1728,'Model Pricing'!$A$7:$A$8,0))</x:f>
        <x:v>40</x:v>
      </x:c>
      <x:c r="K1728" s="27" t="n">
        <x:f>INDEX('Model Pricing'!$C$7:$C$8,MATCH(F1728,'Model Pricing'!$A$7:$A$8,0))</x:f>
        <x:v>100</x:v>
      </x:c>
      <x:c r="L1728" s="17" t="n">
        <x:f>G1728+H1728</x:f>
        <x:v>21330</x:v>
      </x:c>
      <x:c r="M1728" s="28" t="n">
        <x:f>G1728*J1728/1000000</x:f>
        <x:v>0.66976</x:v>
      </x:c>
      <x:c r="N1728" s="28" t="n">
        <x:f>H1728*K1728/1000000</x:f>
        <x:v>0.4586</x:v>
      </x:c>
      <x:c r="O1728" s="28" t="n">
        <x:f>SUM(M1728:N1728)</x:f>
        <x:v>1.12836</x:v>
      </x:c>
    </x:row>
    <x:row r="1729" ht="23" customHeight="1">
      <x:c r="A1729" s="17" t="str">
        <x:v>U01723</x:v>
      </x:c>
      <x:c r="B1729" s="18" t="n">
        <x:v>46286</x:v>
      </x:c>
      <x:c r="C1729" s="17" t="str">
        <x:v>W0116</x:v>
      </x:c>
      <x:c r="D1729" s="17" t="str">
        <x:v>C002</x:v>
      </x:c>
      <x:c r="E1729" s="17" t="str">
        <x:v>CopyStudio</x:v>
      </x:c>
      <x:c r="F1729" s="17" t="str">
        <x:v>Pro</x:v>
      </x:c>
      <x:c r="G1729" s="17" t="n">
        <x:v>13799</x:v>
      </x:c>
      <x:c r="H1729" s="17" t="n">
        <x:v>16026</x:v>
      </x:c>
      <x:c r="I1729" s="17" t="str">
        <x:v>First attempt</x:v>
      </x:c>
      <x:c r="J1729" s="27" t="n">
        <x:f>INDEX('Model Pricing'!$B$7:$B$8,MATCH(F1729,'Model Pricing'!$A$7:$A$8,0))</x:f>
        <x:v>40</x:v>
      </x:c>
      <x:c r="K1729" s="27" t="n">
        <x:f>INDEX('Model Pricing'!$C$7:$C$8,MATCH(F1729,'Model Pricing'!$A$7:$A$8,0))</x:f>
        <x:v>100</x:v>
      </x:c>
      <x:c r="L1729" s="17" t="n">
        <x:f>G1729+H1729</x:f>
        <x:v>29825</x:v>
      </x:c>
      <x:c r="M1729" s="28" t="n">
        <x:f>G1729*J1729/1000000</x:f>
        <x:v>0.55196</x:v>
      </x:c>
      <x:c r="N1729" s="28" t="n">
        <x:f>H1729*K1729/1000000</x:f>
        <x:v>1.6026</x:v>
      </x:c>
      <x:c r="O1729" s="28" t="n">
        <x:f>SUM(M1729:N1729)</x:f>
        <x:v>2.15456</x:v>
      </x:c>
    </x:row>
    <x:row r="1730" ht="23" customHeight="1">
      <x:c r="A1730" s="17" t="str">
        <x:v>U01724</x:v>
      </x:c>
      <x:c r="B1730" s="18" t="n">
        <x:v>46286</x:v>
      </x:c>
      <x:c r="C1730" s="17" t="str">
        <x:v>W0116</x:v>
      </x:c>
      <x:c r="D1730" s="17" t="str">
        <x:v>C002</x:v>
      </x:c>
      <x:c r="E1730" s="17" t="str">
        <x:v>CopyStudio</x:v>
      </x:c>
      <x:c r="F1730" s="17" t="str">
        <x:v>Pro</x:v>
      </x:c>
      <x:c r="G1730" s="17" t="n">
        <x:v>20473</x:v>
      </x:c>
      <x:c r="H1730" s="17" t="n">
        <x:v>12357</x:v>
      </x:c>
      <x:c r="I1730" s="17" t="str">
        <x:v>Followup</x:v>
      </x:c>
      <x:c r="J1730" s="27" t="n">
        <x:f>INDEX('Model Pricing'!$B$7:$B$8,MATCH(F1730,'Model Pricing'!$A$7:$A$8,0))</x:f>
        <x:v>40</x:v>
      </x:c>
      <x:c r="K1730" s="27" t="n">
        <x:f>INDEX('Model Pricing'!$C$7:$C$8,MATCH(F1730,'Model Pricing'!$A$7:$A$8,0))</x:f>
        <x:v>100</x:v>
      </x:c>
      <x:c r="L1730" s="17" t="n">
        <x:f>G1730+H1730</x:f>
        <x:v>32830</x:v>
      </x:c>
      <x:c r="M1730" s="28" t="n">
        <x:f>G1730*J1730/1000000</x:f>
        <x:v>0.81892</x:v>
      </x:c>
      <x:c r="N1730" s="28" t="n">
        <x:f>H1730*K1730/1000000</x:f>
        <x:v>1.2357</x:v>
      </x:c>
      <x:c r="O1730" s="28" t="n">
        <x:f>SUM(M1730:N1730)</x:f>
        <x:v>2.05462</x:v>
      </x:c>
    </x:row>
    <x:row r="1731" ht="23" customHeight="1">
      <x:c r="A1731" s="17" t="str">
        <x:v>U01725</x:v>
      </x:c>
      <x:c r="B1731" s="18" t="n">
        <x:v>46286</x:v>
      </x:c>
      <x:c r="C1731" s="17" t="str">
        <x:v>W0116</x:v>
      </x:c>
      <x:c r="D1731" s="17" t="str">
        <x:v>C002</x:v>
      </x:c>
      <x:c r="E1731" s="17" t="str">
        <x:v>CopyStudio</x:v>
      </x:c>
      <x:c r="F1731" s="17" t="str">
        <x:v>Pro</x:v>
      </x:c>
      <x:c r="G1731" s="17" t="n">
        <x:v>14784</x:v>
      </x:c>
      <x:c r="H1731" s="17" t="n">
        <x:v>10272</x:v>
      </x:c>
      <x:c r="I1731" s="17" t="str">
        <x:v>Correction</x:v>
      </x:c>
      <x:c r="J1731" s="27" t="n">
        <x:f>INDEX('Model Pricing'!$B$7:$B$8,MATCH(F1731,'Model Pricing'!$A$7:$A$8,0))</x:f>
        <x:v>40</x:v>
      </x:c>
      <x:c r="K1731" s="27" t="n">
        <x:f>INDEX('Model Pricing'!$C$7:$C$8,MATCH(F1731,'Model Pricing'!$A$7:$A$8,0))</x:f>
        <x:v>100</x:v>
      </x:c>
      <x:c r="L1731" s="17" t="n">
        <x:f>G1731+H1731</x:f>
        <x:v>25056</x:v>
      </x:c>
      <x:c r="M1731" s="28" t="n">
        <x:f>G1731*J1731/1000000</x:f>
        <x:v>0.59136</x:v>
      </x:c>
      <x:c r="N1731" s="28" t="n">
        <x:f>H1731*K1731/1000000</x:f>
        <x:v>1.0272</x:v>
      </x:c>
      <x:c r="O1731" s="28" t="n">
        <x:f>SUM(M1731:N1731)</x:f>
        <x:v>1.61856</x:v>
      </x:c>
    </x:row>
    <x:row r="1732" ht="23" customHeight="1">
      <x:c r="A1732" s="17" t="str">
        <x:v>U01726</x:v>
      </x:c>
      <x:c r="B1732" s="18" t="n">
        <x:v>46286</x:v>
      </x:c>
      <x:c r="C1732" s="17" t="str">
        <x:v>W0116</x:v>
      </x:c>
      <x:c r="D1732" s="17" t="str">
        <x:v>C002</x:v>
      </x:c>
      <x:c r="E1732" s="17" t="str">
        <x:v>CopyStudio</x:v>
      </x:c>
      <x:c r="F1732" s="17" t="str">
        <x:v>Pro</x:v>
      </x:c>
      <x:c r="G1732" s="17" t="n">
        <x:v>8793</x:v>
      </x:c>
      <x:c r="H1732" s="17" t="n">
        <x:v>4866</x:v>
      </x:c>
      <x:c r="I1732" s="17" t="str">
        <x:v>Followup</x:v>
      </x:c>
      <x:c r="J1732" s="27" t="n">
        <x:f>INDEX('Model Pricing'!$B$7:$B$8,MATCH(F1732,'Model Pricing'!$A$7:$A$8,0))</x:f>
        <x:v>40</x:v>
      </x:c>
      <x:c r="K1732" s="27" t="n">
        <x:f>INDEX('Model Pricing'!$C$7:$C$8,MATCH(F1732,'Model Pricing'!$A$7:$A$8,0))</x:f>
        <x:v>100</x:v>
      </x:c>
      <x:c r="L1732" s="17" t="n">
        <x:f>G1732+H1732</x:f>
        <x:v>13659</x:v>
      </x:c>
      <x:c r="M1732" s="28" t="n">
        <x:f>G1732*J1732/1000000</x:f>
        <x:v>0.35172</x:v>
      </x:c>
      <x:c r="N1732" s="28" t="n">
        <x:f>H1732*K1732/1000000</x:f>
        <x:v>0.4866</x:v>
      </x:c>
      <x:c r="O1732" s="28" t="n">
        <x:f>SUM(M1732:N1732)</x:f>
        <x:v>0.83832</x:v>
      </x:c>
    </x:row>
    <x:row r="1733" ht="23" customHeight="1">
      <x:c r="A1733" s="17" t="str">
        <x:v>U01727</x:v>
      </x:c>
      <x:c r="B1733" s="18" t="n">
        <x:v>46286</x:v>
      </x:c>
      <x:c r="C1733" s="17" t="str">
        <x:v>W0116</x:v>
      </x:c>
      <x:c r="D1733" s="17" t="str">
        <x:v>C002</x:v>
      </x:c>
      <x:c r="E1733" s="17" t="str">
        <x:v>CopyStudio</x:v>
      </x:c>
      <x:c r="F1733" s="17" t="str">
        <x:v>Pro</x:v>
      </x:c>
      <x:c r="G1733" s="17" t="n">
        <x:v>19165</x:v>
      </x:c>
      <x:c r="H1733" s="17" t="n">
        <x:v>6121</x:v>
      </x:c>
      <x:c r="I1733" s="17" t="str">
        <x:v>Correction</x:v>
      </x:c>
      <x:c r="J1733" s="27" t="n">
        <x:f>INDEX('Model Pricing'!$B$7:$B$8,MATCH(F1733,'Model Pricing'!$A$7:$A$8,0))</x:f>
        <x:v>40</x:v>
      </x:c>
      <x:c r="K1733" s="27" t="n">
        <x:f>INDEX('Model Pricing'!$C$7:$C$8,MATCH(F1733,'Model Pricing'!$A$7:$A$8,0))</x:f>
        <x:v>100</x:v>
      </x:c>
      <x:c r="L1733" s="17" t="n">
        <x:f>G1733+H1733</x:f>
        <x:v>25286</x:v>
      </x:c>
      <x:c r="M1733" s="28" t="n">
        <x:f>G1733*J1733/1000000</x:f>
        <x:v>0.7666</x:v>
      </x:c>
      <x:c r="N1733" s="28" t="n">
        <x:f>H1733*K1733/1000000</x:f>
        <x:v>0.6121</x:v>
      </x:c>
      <x:c r="O1733" s="28" t="n">
        <x:f>SUM(M1733:N1733)</x:f>
        <x:v>1.3786999999999998</x:v>
      </x:c>
    </x:row>
    <x:row r="1734" ht="23" customHeight="1">
      <x:c r="A1734" s="17" t="str">
        <x:v>U01728</x:v>
      </x:c>
      <x:c r="B1734" s="18" t="n">
        <x:v>46286</x:v>
      </x:c>
      <x:c r="C1734" s="17" t="str">
        <x:v>W0116</x:v>
      </x:c>
      <x:c r="D1734" s="17" t="str">
        <x:v>C002</x:v>
      </x:c>
      <x:c r="E1734" s="17" t="str">
        <x:v>CopyStudio</x:v>
      </x:c>
      <x:c r="F1734" s="17" t="str">
        <x:v>Pro</x:v>
      </x:c>
      <x:c r="G1734" s="17" t="n">
        <x:v>21739</x:v>
      </x:c>
      <x:c r="H1734" s="17" t="n">
        <x:v>12421</x:v>
      </x:c>
      <x:c r="I1734" s="17" t="str">
        <x:v>Correction</x:v>
      </x:c>
      <x:c r="J1734" s="27" t="n">
        <x:f>INDEX('Model Pricing'!$B$7:$B$8,MATCH(F1734,'Model Pricing'!$A$7:$A$8,0))</x:f>
        <x:v>40</x:v>
      </x:c>
      <x:c r="K1734" s="27" t="n">
        <x:f>INDEX('Model Pricing'!$C$7:$C$8,MATCH(F1734,'Model Pricing'!$A$7:$A$8,0))</x:f>
        <x:v>100</x:v>
      </x:c>
      <x:c r="L1734" s="17" t="n">
        <x:f>G1734+H1734</x:f>
        <x:v>34160</x:v>
      </x:c>
      <x:c r="M1734" s="28" t="n">
        <x:f>G1734*J1734/1000000</x:f>
        <x:v>0.86956</x:v>
      </x:c>
      <x:c r="N1734" s="28" t="n">
        <x:f>H1734*K1734/1000000</x:f>
        <x:v>1.2421</x:v>
      </x:c>
      <x:c r="O1734" s="28" t="n">
        <x:f>SUM(M1734:N1734)</x:f>
        <x:v>2.11166</x:v>
      </x:c>
    </x:row>
    <x:row r="1735" ht="23" customHeight="1">
      <x:c r="A1735" s="17" t="str">
        <x:v>U01729</x:v>
      </x:c>
      <x:c r="B1735" s="18" t="n">
        <x:v>46286</x:v>
      </x:c>
      <x:c r="C1735" s="17" t="str">
        <x:v>W0116</x:v>
      </x:c>
      <x:c r="D1735" s="17" t="str">
        <x:v>C002</x:v>
      </x:c>
      <x:c r="E1735" s="17" t="str">
        <x:v>CopyStudio</x:v>
      </x:c>
      <x:c r="F1735" s="17" t="str">
        <x:v>Pro</x:v>
      </x:c>
      <x:c r="G1735" s="17" t="n">
        <x:v>7560</x:v>
      </x:c>
      <x:c r="H1735" s="17" t="n">
        <x:v>14476</x:v>
      </x:c>
      <x:c r="I1735" s="17" t="str">
        <x:v>Followup</x:v>
      </x:c>
      <x:c r="J1735" s="27" t="n">
        <x:f>INDEX('Model Pricing'!$B$7:$B$8,MATCH(F1735,'Model Pricing'!$A$7:$A$8,0))</x:f>
        <x:v>40</x:v>
      </x:c>
      <x:c r="K1735" s="27" t="n">
        <x:f>INDEX('Model Pricing'!$C$7:$C$8,MATCH(F1735,'Model Pricing'!$A$7:$A$8,0))</x:f>
        <x:v>100</x:v>
      </x:c>
      <x:c r="L1735" s="17" t="n">
        <x:f>G1735+H1735</x:f>
        <x:v>22036</x:v>
      </x:c>
      <x:c r="M1735" s="28" t="n">
        <x:f>G1735*J1735/1000000</x:f>
        <x:v>0.3024</x:v>
      </x:c>
      <x:c r="N1735" s="28" t="n">
        <x:f>H1735*K1735/1000000</x:f>
        <x:v>1.4476</x:v>
      </x:c>
      <x:c r="O1735" s="28" t="n">
        <x:f>SUM(M1735:N1735)</x:f>
        <x:v>1.75</x:v>
      </x:c>
    </x:row>
    <x:row r="1736" ht="23" customHeight="1">
      <x:c r="A1736" s="17" t="str">
        <x:v>U01730</x:v>
      </x:c>
      <x:c r="B1736" s="18" t="n">
        <x:v>46287</x:v>
      </x:c>
      <x:c r="C1736" s="17" t="str">
        <x:v>W0116</x:v>
      </x:c>
      <x:c r="D1736" s="17" t="str">
        <x:v>C002</x:v>
      </x:c>
      <x:c r="E1736" s="17" t="str">
        <x:v>CopyStudio</x:v>
      </x:c>
      <x:c r="F1736" s="17" t="str">
        <x:v>Pro</x:v>
      </x:c>
      <x:c r="G1736" s="17" t="n">
        <x:v>9774</x:v>
      </x:c>
      <x:c r="H1736" s="17" t="n">
        <x:v>16191</x:v>
      </x:c>
      <x:c r="I1736" s="17" t="str">
        <x:v>Followup</x:v>
      </x:c>
      <x:c r="J1736" s="27" t="n">
        <x:f>INDEX('Model Pricing'!$B$7:$B$8,MATCH(F1736,'Model Pricing'!$A$7:$A$8,0))</x:f>
        <x:v>40</x:v>
      </x:c>
      <x:c r="K1736" s="27" t="n">
        <x:f>INDEX('Model Pricing'!$C$7:$C$8,MATCH(F1736,'Model Pricing'!$A$7:$A$8,0))</x:f>
        <x:v>100</x:v>
      </x:c>
      <x:c r="L1736" s="17" t="n">
        <x:f>G1736+H1736</x:f>
        <x:v>25965</x:v>
      </x:c>
      <x:c r="M1736" s="28" t="n">
        <x:f>G1736*J1736/1000000</x:f>
        <x:v>0.39096</x:v>
      </x:c>
      <x:c r="N1736" s="28" t="n">
        <x:f>H1736*K1736/1000000</x:f>
        <x:v>1.6191</x:v>
      </x:c>
      <x:c r="O1736" s="28" t="n">
        <x:f>SUM(M1736:N1736)</x:f>
        <x:v>2.01006</x:v>
      </x:c>
    </x:row>
    <x:row r="1737" ht="23" customHeight="1">
      <x:c r="A1737" s="17" t="str">
        <x:v>U01731</x:v>
      </x:c>
      <x:c r="B1737" s="18" t="n">
        <x:v>46287</x:v>
      </x:c>
      <x:c r="C1737" s="17" t="str">
        <x:v>W0116</x:v>
      </x:c>
      <x:c r="D1737" s="17" t="str">
        <x:v>C002</x:v>
      </x:c>
      <x:c r="E1737" s="17" t="str">
        <x:v>CopyStudio</x:v>
      </x:c>
      <x:c r="F1737" s="17" t="str">
        <x:v>Pro</x:v>
      </x:c>
      <x:c r="G1737" s="17" t="n">
        <x:v>9977</x:v>
      </x:c>
      <x:c r="H1737" s="17" t="n">
        <x:v>11831</x:v>
      </x:c>
      <x:c r="I1737" s="17" t="str">
        <x:v>Correction</x:v>
      </x:c>
      <x:c r="J1737" s="27" t="n">
        <x:f>INDEX('Model Pricing'!$B$7:$B$8,MATCH(F1737,'Model Pricing'!$A$7:$A$8,0))</x:f>
        <x:v>40</x:v>
      </x:c>
      <x:c r="K1737" s="27" t="n">
        <x:f>INDEX('Model Pricing'!$C$7:$C$8,MATCH(F1737,'Model Pricing'!$A$7:$A$8,0))</x:f>
        <x:v>100</x:v>
      </x:c>
      <x:c r="L1737" s="17" t="n">
        <x:f>G1737+H1737</x:f>
        <x:v>21808</x:v>
      </x:c>
      <x:c r="M1737" s="28" t="n">
        <x:f>G1737*J1737/1000000</x:f>
        <x:v>0.39908</x:v>
      </x:c>
      <x:c r="N1737" s="28" t="n">
        <x:f>H1737*K1737/1000000</x:f>
        <x:v>1.1831</x:v>
      </x:c>
      <x:c r="O1737" s="28" t="n">
        <x:f>SUM(M1737:N1737)</x:f>
        <x:v>1.5821800000000001</x:v>
      </x:c>
    </x:row>
    <x:row r="1738" ht="23" customHeight="1">
      <x:c r="A1738" s="17" t="str">
        <x:v>U01732</x:v>
      </x:c>
      <x:c r="B1738" s="18" t="n">
        <x:v>46287</x:v>
      </x:c>
      <x:c r="C1738" s="17" t="str">
        <x:v>W0116</x:v>
      </x:c>
      <x:c r="D1738" s="17" t="str">
        <x:v>C002</x:v>
      </x:c>
      <x:c r="E1738" s="17" t="str">
        <x:v>CopyStudio</x:v>
      </x:c>
      <x:c r="F1738" s="17" t="str">
        <x:v>Pro</x:v>
      </x:c>
      <x:c r="G1738" s="17" t="n">
        <x:v>17133</x:v>
      </x:c>
      <x:c r="H1738" s="17" t="n">
        <x:v>6461</x:v>
      </x:c>
      <x:c r="I1738" s="17" t="str">
        <x:v>Followup</x:v>
      </x:c>
      <x:c r="J1738" s="27" t="n">
        <x:f>INDEX('Model Pricing'!$B$7:$B$8,MATCH(F1738,'Model Pricing'!$A$7:$A$8,0))</x:f>
        <x:v>40</x:v>
      </x:c>
      <x:c r="K1738" s="27" t="n">
        <x:f>INDEX('Model Pricing'!$C$7:$C$8,MATCH(F1738,'Model Pricing'!$A$7:$A$8,0))</x:f>
        <x:v>100</x:v>
      </x:c>
      <x:c r="L1738" s="17" t="n">
        <x:f>G1738+H1738</x:f>
        <x:v>23594</x:v>
      </x:c>
      <x:c r="M1738" s="28" t="n">
        <x:f>G1738*J1738/1000000</x:f>
        <x:v>0.68532</x:v>
      </x:c>
      <x:c r="N1738" s="28" t="n">
        <x:f>H1738*K1738/1000000</x:f>
        <x:v>0.6461</x:v>
      </x:c>
      <x:c r="O1738" s="28" t="n">
        <x:f>SUM(M1738:N1738)</x:f>
        <x:v>1.33142</x:v>
      </x:c>
    </x:row>
    <x:row r="1739" ht="23" customHeight="1">
      <x:c r="A1739" s="17" t="str">
        <x:v>U01733</x:v>
      </x:c>
      <x:c r="B1739" s="18" t="n">
        <x:v>46287</x:v>
      </x:c>
      <x:c r="C1739" s="17" t="str">
        <x:v>W0116</x:v>
      </x:c>
      <x:c r="D1739" s="17" t="str">
        <x:v>C002</x:v>
      </x:c>
      <x:c r="E1739" s="17" t="str">
        <x:v>CopyStudio</x:v>
      </x:c>
      <x:c r="F1739" s="17" t="str">
        <x:v>Pro</x:v>
      </x:c>
      <x:c r="G1739" s="17" t="n">
        <x:v>13376</x:v>
      </x:c>
      <x:c r="H1739" s="17" t="n">
        <x:v>4910</x:v>
      </x:c>
      <x:c r="I1739" s="17" t="str">
        <x:v>Followup</x:v>
      </x:c>
      <x:c r="J1739" s="27" t="n">
        <x:f>INDEX('Model Pricing'!$B$7:$B$8,MATCH(F1739,'Model Pricing'!$A$7:$A$8,0))</x:f>
        <x:v>40</x:v>
      </x:c>
      <x:c r="K1739" s="27" t="n">
        <x:f>INDEX('Model Pricing'!$C$7:$C$8,MATCH(F1739,'Model Pricing'!$A$7:$A$8,0))</x:f>
        <x:v>100</x:v>
      </x:c>
      <x:c r="L1739" s="17" t="n">
        <x:f>G1739+H1739</x:f>
        <x:v>18286</x:v>
      </x:c>
      <x:c r="M1739" s="28" t="n">
        <x:f>G1739*J1739/1000000</x:f>
        <x:v>0.53504</x:v>
      </x:c>
      <x:c r="N1739" s="28" t="n">
        <x:f>H1739*K1739/1000000</x:f>
        <x:v>0.491</x:v>
      </x:c>
      <x:c r="O1739" s="28" t="n">
        <x:f>SUM(M1739:N1739)</x:f>
        <x:v>1.02604</x:v>
      </x:c>
    </x:row>
    <x:row r="1740" ht="23" customHeight="1">
      <x:c r="A1740" s="17" t="str">
        <x:v>U01734</x:v>
      </x:c>
      <x:c r="B1740" s="18" t="n">
        <x:v>46287</x:v>
      </x:c>
      <x:c r="C1740" s="17" t="str">
        <x:v>W0116</x:v>
      </x:c>
      <x:c r="D1740" s="17" t="str">
        <x:v>C002</x:v>
      </x:c>
      <x:c r="E1740" s="17" t="str">
        <x:v>CopyStudio</x:v>
      </x:c>
      <x:c r="F1740" s="17" t="str">
        <x:v>Pro</x:v>
      </x:c>
      <x:c r="G1740" s="17" t="n">
        <x:v>20595</x:v>
      </x:c>
      <x:c r="H1740" s="17" t="n">
        <x:v>4445</x:v>
      </x:c>
      <x:c r="I1740" s="17" t="str">
        <x:v>Followup</x:v>
      </x:c>
      <x:c r="J1740" s="27" t="n">
        <x:f>INDEX('Model Pricing'!$B$7:$B$8,MATCH(F1740,'Model Pricing'!$A$7:$A$8,0))</x:f>
        <x:v>40</x:v>
      </x:c>
      <x:c r="K1740" s="27" t="n">
        <x:f>INDEX('Model Pricing'!$C$7:$C$8,MATCH(F1740,'Model Pricing'!$A$7:$A$8,0))</x:f>
        <x:v>100</x:v>
      </x:c>
      <x:c r="L1740" s="17" t="n">
        <x:f>G1740+H1740</x:f>
        <x:v>25040</x:v>
      </x:c>
      <x:c r="M1740" s="28" t="n">
        <x:f>G1740*J1740/1000000</x:f>
        <x:v>0.8238</x:v>
      </x:c>
      <x:c r="N1740" s="28" t="n">
        <x:f>H1740*K1740/1000000</x:f>
        <x:v>0.4445</x:v>
      </x:c>
      <x:c r="O1740" s="28" t="n">
        <x:f>SUM(M1740:N1740)</x:f>
        <x:v>1.2683</x:v>
      </x:c>
    </x:row>
    <x:row r="1741" ht="23" customHeight="1">
      <x:c r="A1741" s="17" t="str">
        <x:v>U01735</x:v>
      </x:c>
      <x:c r="B1741" s="18" t="n">
        <x:v>46287</x:v>
      </x:c>
      <x:c r="C1741" s="17" t="str">
        <x:v>W0116</x:v>
      </x:c>
      <x:c r="D1741" s="17" t="str">
        <x:v>C002</x:v>
      </x:c>
      <x:c r="E1741" s="17" t="str">
        <x:v>CopyStudio</x:v>
      </x:c>
      <x:c r="F1741" s="17" t="str">
        <x:v>Pro</x:v>
      </x:c>
      <x:c r="G1741" s="17" t="n">
        <x:v>17780</x:v>
      </x:c>
      <x:c r="H1741" s="17" t="n">
        <x:v>7223</x:v>
      </x:c>
      <x:c r="I1741" s="17" t="str">
        <x:v>Followup</x:v>
      </x:c>
      <x:c r="J1741" s="27" t="n">
        <x:f>INDEX('Model Pricing'!$B$7:$B$8,MATCH(F1741,'Model Pricing'!$A$7:$A$8,0))</x:f>
        <x:v>40</x:v>
      </x:c>
      <x:c r="K1741" s="27" t="n">
        <x:f>INDEX('Model Pricing'!$C$7:$C$8,MATCH(F1741,'Model Pricing'!$A$7:$A$8,0))</x:f>
        <x:v>100</x:v>
      </x:c>
      <x:c r="L1741" s="17" t="n">
        <x:f>G1741+H1741</x:f>
        <x:v>25003</x:v>
      </x:c>
      <x:c r="M1741" s="28" t="n">
        <x:f>G1741*J1741/1000000</x:f>
        <x:v>0.7112</x:v>
      </x:c>
      <x:c r="N1741" s="28" t="n">
        <x:f>H1741*K1741/1000000</x:f>
        <x:v>0.7223</x:v>
      </x:c>
      <x:c r="O1741" s="28" t="n">
        <x:f>SUM(M1741:N1741)</x:f>
        <x:v>1.4335</x:v>
      </x:c>
    </x:row>
    <x:row r="1742" ht="23" customHeight="1">
      <x:c r="A1742" s="17" t="str">
        <x:v>U01736</x:v>
      </x:c>
      <x:c r="B1742" s="18" t="n">
        <x:v>46287</x:v>
      </x:c>
      <x:c r="C1742" s="17" t="str">
        <x:v>W0116</x:v>
      </x:c>
      <x:c r="D1742" s="17" t="str">
        <x:v>C002</x:v>
      </x:c>
      <x:c r="E1742" s="17" t="str">
        <x:v>CopyStudio</x:v>
      </x:c>
      <x:c r="F1742" s="17" t="str">
        <x:v>Pro</x:v>
      </x:c>
      <x:c r="G1742" s="17" t="n">
        <x:v>16179</x:v>
      </x:c>
      <x:c r="H1742" s="17" t="n">
        <x:v>11123</x:v>
      </x:c>
      <x:c r="I1742" s="17" t="str">
        <x:v>Followup</x:v>
      </x:c>
      <x:c r="J1742" s="27" t="n">
        <x:f>INDEX('Model Pricing'!$B$7:$B$8,MATCH(F1742,'Model Pricing'!$A$7:$A$8,0))</x:f>
        <x:v>40</x:v>
      </x:c>
      <x:c r="K1742" s="27" t="n">
        <x:f>INDEX('Model Pricing'!$C$7:$C$8,MATCH(F1742,'Model Pricing'!$A$7:$A$8,0))</x:f>
        <x:v>100</x:v>
      </x:c>
      <x:c r="L1742" s="17" t="n">
        <x:f>G1742+H1742</x:f>
        <x:v>27302</x:v>
      </x:c>
      <x:c r="M1742" s="28" t="n">
        <x:f>G1742*J1742/1000000</x:f>
        <x:v>0.64716</x:v>
      </x:c>
      <x:c r="N1742" s="28" t="n">
        <x:f>H1742*K1742/1000000</x:f>
        <x:v>1.1123</x:v>
      </x:c>
      <x:c r="O1742" s="28" t="n">
        <x:f>SUM(M1742:N1742)</x:f>
        <x:v>1.75946</x:v>
      </x:c>
    </x:row>
    <x:row r="1743" ht="23" customHeight="1">
      <x:c r="A1743" s="17" t="str">
        <x:v>U01737</x:v>
      </x:c>
      <x:c r="B1743" s="18" t="n">
        <x:v>46288</x:v>
      </x:c>
      <x:c r="C1743" s="17" t="str">
        <x:v>W0116</x:v>
      </x:c>
      <x:c r="D1743" s="17" t="str">
        <x:v>C002</x:v>
      </x:c>
      <x:c r="E1743" s="17" t="str">
        <x:v>CopyStudio</x:v>
      </x:c>
      <x:c r="F1743" s="17" t="str">
        <x:v>Pro</x:v>
      </x:c>
      <x:c r="G1743" s="17" t="n">
        <x:v>19620</x:v>
      </x:c>
      <x:c r="H1743" s="17" t="n">
        <x:v>11358</x:v>
      </x:c>
      <x:c r="I1743" s="17" t="str">
        <x:v>Correction</x:v>
      </x:c>
      <x:c r="J1743" s="27" t="n">
        <x:f>INDEX('Model Pricing'!$B$7:$B$8,MATCH(F1743,'Model Pricing'!$A$7:$A$8,0))</x:f>
        <x:v>40</x:v>
      </x:c>
      <x:c r="K1743" s="27" t="n">
        <x:f>INDEX('Model Pricing'!$C$7:$C$8,MATCH(F1743,'Model Pricing'!$A$7:$A$8,0))</x:f>
        <x:v>100</x:v>
      </x:c>
      <x:c r="L1743" s="17" t="n">
        <x:f>G1743+H1743</x:f>
        <x:v>30978</x:v>
      </x:c>
      <x:c r="M1743" s="28" t="n">
        <x:f>G1743*J1743/1000000</x:f>
        <x:v>0.7848</x:v>
      </x:c>
      <x:c r="N1743" s="28" t="n">
        <x:f>H1743*K1743/1000000</x:f>
        <x:v>1.1358</x:v>
      </x:c>
      <x:c r="O1743" s="28" t="n">
        <x:f>SUM(M1743:N1743)</x:f>
        <x:v>1.9205999999999999</x:v>
      </x:c>
    </x:row>
    <x:row r="1744" ht="23" customHeight="1">
      <x:c r="A1744" s="17" t="str">
        <x:v>U01738</x:v>
      </x:c>
      <x:c r="B1744" s="18" t="n">
        <x:v>46288</x:v>
      </x:c>
      <x:c r="C1744" s="17" t="str">
        <x:v>W0116</x:v>
      </x:c>
      <x:c r="D1744" s="17" t="str">
        <x:v>C002</x:v>
      </x:c>
      <x:c r="E1744" s="17" t="str">
        <x:v>CopyStudio</x:v>
      </x:c>
      <x:c r="F1744" s="17" t="str">
        <x:v>Pro</x:v>
      </x:c>
      <x:c r="G1744" s="17" t="n">
        <x:v>17422</x:v>
      </x:c>
      <x:c r="H1744" s="17" t="n">
        <x:v>14980</x:v>
      </x:c>
      <x:c r="I1744" s="17" t="str">
        <x:v>Correction</x:v>
      </x:c>
      <x:c r="J1744" s="27" t="n">
        <x:f>INDEX('Model Pricing'!$B$7:$B$8,MATCH(F1744,'Model Pricing'!$A$7:$A$8,0))</x:f>
        <x:v>40</x:v>
      </x:c>
      <x:c r="K1744" s="27" t="n">
        <x:f>INDEX('Model Pricing'!$C$7:$C$8,MATCH(F1744,'Model Pricing'!$A$7:$A$8,0))</x:f>
        <x:v>100</x:v>
      </x:c>
      <x:c r="L1744" s="17" t="n">
        <x:f>G1744+H1744</x:f>
        <x:v>32402</x:v>
      </x:c>
      <x:c r="M1744" s="28" t="n">
        <x:f>G1744*J1744/1000000</x:f>
        <x:v>0.69688</x:v>
      </x:c>
      <x:c r="N1744" s="28" t="n">
        <x:f>H1744*K1744/1000000</x:f>
        <x:v>1.498</x:v>
      </x:c>
      <x:c r="O1744" s="28" t="n">
        <x:f>SUM(M1744:N1744)</x:f>
        <x:v>2.19488</x:v>
      </x:c>
    </x:row>
    <x:row r="1745" ht="23" customHeight="1">
      <x:c r="A1745" s="17" t="str">
        <x:v>U01739</x:v>
      </x:c>
      <x:c r="B1745" s="18" t="n">
        <x:v>46288</x:v>
      </x:c>
      <x:c r="C1745" s="17" t="str">
        <x:v>W0116</x:v>
      </x:c>
      <x:c r="D1745" s="17" t="str">
        <x:v>C002</x:v>
      </x:c>
      <x:c r="E1745" s="17" t="str">
        <x:v>CopyStudio</x:v>
      </x:c>
      <x:c r="F1745" s="17" t="str">
        <x:v>Pro</x:v>
      </x:c>
      <x:c r="G1745" s="17" t="n">
        <x:v>16150</x:v>
      </x:c>
      <x:c r="H1745" s="17" t="n">
        <x:v>6379</x:v>
      </x:c>
      <x:c r="I1745" s="17" t="str">
        <x:v>Followup</x:v>
      </x:c>
      <x:c r="J1745" s="27" t="n">
        <x:f>INDEX('Model Pricing'!$B$7:$B$8,MATCH(F1745,'Model Pricing'!$A$7:$A$8,0))</x:f>
        <x:v>40</x:v>
      </x:c>
      <x:c r="K1745" s="27" t="n">
        <x:f>INDEX('Model Pricing'!$C$7:$C$8,MATCH(F1745,'Model Pricing'!$A$7:$A$8,0))</x:f>
        <x:v>100</x:v>
      </x:c>
      <x:c r="L1745" s="17" t="n">
        <x:f>G1745+H1745</x:f>
        <x:v>22529</x:v>
      </x:c>
      <x:c r="M1745" s="28" t="n">
        <x:f>G1745*J1745/1000000</x:f>
        <x:v>0.646</x:v>
      </x:c>
      <x:c r="N1745" s="28" t="n">
        <x:f>H1745*K1745/1000000</x:f>
        <x:v>0.6379</x:v>
      </x:c>
      <x:c r="O1745" s="28" t="n">
        <x:f>SUM(M1745:N1745)</x:f>
        <x:v>1.2839</x:v>
      </x:c>
    </x:row>
    <x:row r="1746" ht="23" customHeight="1">
      <x:c r="A1746" s="17" t="str">
        <x:v>U01740</x:v>
      </x:c>
      <x:c r="B1746" s="18" t="n">
        <x:v>46288</x:v>
      </x:c>
      <x:c r="C1746" s="17" t="str">
        <x:v>W0116</x:v>
      </x:c>
      <x:c r="D1746" s="17" t="str">
        <x:v>C002</x:v>
      </x:c>
      <x:c r="E1746" s="17" t="str">
        <x:v>CopyStudio</x:v>
      </x:c>
      <x:c r="F1746" s="17" t="str">
        <x:v>Pro</x:v>
      </x:c>
      <x:c r="G1746" s="17" t="n">
        <x:v>20965</x:v>
      </x:c>
      <x:c r="H1746" s="17" t="n">
        <x:v>6145</x:v>
      </x:c>
      <x:c r="I1746" s="17" t="str">
        <x:v>Followup</x:v>
      </x:c>
      <x:c r="J1746" s="27" t="n">
        <x:f>INDEX('Model Pricing'!$B$7:$B$8,MATCH(F1746,'Model Pricing'!$A$7:$A$8,0))</x:f>
        <x:v>40</x:v>
      </x:c>
      <x:c r="K1746" s="27" t="n">
        <x:f>INDEX('Model Pricing'!$C$7:$C$8,MATCH(F1746,'Model Pricing'!$A$7:$A$8,0))</x:f>
        <x:v>100</x:v>
      </x:c>
      <x:c r="L1746" s="17" t="n">
        <x:f>G1746+H1746</x:f>
        <x:v>27110</x:v>
      </x:c>
      <x:c r="M1746" s="28" t="n">
        <x:f>G1746*J1746/1000000</x:f>
        <x:v>0.8386</x:v>
      </x:c>
      <x:c r="N1746" s="28" t="n">
        <x:f>H1746*K1746/1000000</x:f>
        <x:v>0.6145</x:v>
      </x:c>
      <x:c r="O1746" s="28" t="n">
        <x:f>SUM(M1746:N1746)</x:f>
        <x:v>1.4531</x:v>
      </x:c>
    </x:row>
    <x:row r="1747" ht="23" customHeight="1">
      <x:c r="A1747" s="17" t="str">
        <x:v>U01741</x:v>
      </x:c>
      <x:c r="B1747" s="18" t="n">
        <x:v>46288</x:v>
      </x:c>
      <x:c r="C1747" s="17" t="str">
        <x:v>W0116</x:v>
      </x:c>
      <x:c r="D1747" s="17" t="str">
        <x:v>C002</x:v>
      </x:c>
      <x:c r="E1747" s="17" t="str">
        <x:v>CopyStudio</x:v>
      </x:c>
      <x:c r="F1747" s="17" t="str">
        <x:v>Pro</x:v>
      </x:c>
      <x:c r="G1747" s="17" t="n">
        <x:v>12474</x:v>
      </x:c>
      <x:c r="H1747" s="17" t="n">
        <x:v>4984</x:v>
      </x:c>
      <x:c r="I1747" s="17" t="str">
        <x:v>Correction</x:v>
      </x:c>
      <x:c r="J1747" s="27" t="n">
        <x:f>INDEX('Model Pricing'!$B$7:$B$8,MATCH(F1747,'Model Pricing'!$A$7:$A$8,0))</x:f>
        <x:v>40</x:v>
      </x:c>
      <x:c r="K1747" s="27" t="n">
        <x:f>INDEX('Model Pricing'!$C$7:$C$8,MATCH(F1747,'Model Pricing'!$A$7:$A$8,0))</x:f>
        <x:v>100</x:v>
      </x:c>
      <x:c r="L1747" s="17" t="n">
        <x:f>G1747+H1747</x:f>
        <x:v>17458</x:v>
      </x:c>
      <x:c r="M1747" s="28" t="n">
        <x:f>G1747*J1747/1000000</x:f>
        <x:v>0.49896</x:v>
      </x:c>
      <x:c r="N1747" s="28" t="n">
        <x:f>H1747*K1747/1000000</x:f>
        <x:v>0.4984</x:v>
      </x:c>
      <x:c r="O1747" s="28" t="n">
        <x:f>SUM(M1747:N1747)</x:f>
        <x:v>0.99736</x:v>
      </x:c>
    </x:row>
    <x:row r="1748" ht="23" customHeight="1">
      <x:c r="A1748" s="17" t="str">
        <x:v>U01742</x:v>
      </x:c>
      <x:c r="B1748" s="18" t="n">
        <x:v>46288</x:v>
      </x:c>
      <x:c r="C1748" s="17" t="str">
        <x:v>W0116</x:v>
      </x:c>
      <x:c r="D1748" s="17" t="str">
        <x:v>C002</x:v>
      </x:c>
      <x:c r="E1748" s="17" t="str">
        <x:v>CopyStudio</x:v>
      </x:c>
      <x:c r="F1748" s="17" t="str">
        <x:v>Pro</x:v>
      </x:c>
      <x:c r="G1748" s="17" t="n">
        <x:v>19731</x:v>
      </x:c>
      <x:c r="H1748" s="17" t="n">
        <x:v>11658</x:v>
      </x:c>
      <x:c r="I1748" s="17" t="str">
        <x:v>Correction</x:v>
      </x:c>
      <x:c r="J1748" s="27" t="n">
        <x:f>INDEX('Model Pricing'!$B$7:$B$8,MATCH(F1748,'Model Pricing'!$A$7:$A$8,0))</x:f>
        <x:v>40</x:v>
      </x:c>
      <x:c r="K1748" s="27" t="n">
        <x:f>INDEX('Model Pricing'!$C$7:$C$8,MATCH(F1748,'Model Pricing'!$A$7:$A$8,0))</x:f>
        <x:v>100</x:v>
      </x:c>
      <x:c r="L1748" s="17" t="n">
        <x:f>G1748+H1748</x:f>
        <x:v>31389</x:v>
      </x:c>
      <x:c r="M1748" s="28" t="n">
        <x:f>G1748*J1748/1000000</x:f>
        <x:v>0.78924</x:v>
      </x:c>
      <x:c r="N1748" s="28" t="n">
        <x:f>H1748*K1748/1000000</x:f>
        <x:v>1.1658</x:v>
      </x:c>
      <x:c r="O1748" s="28" t="n">
        <x:f>SUM(M1748:N1748)</x:f>
        <x:v>1.95504</x:v>
      </x:c>
    </x:row>
    <x:row r="1749" ht="23" customHeight="1">
      <x:c r="A1749" s="17" t="str">
        <x:v>U01743</x:v>
      </x:c>
      <x:c r="B1749" s="18" t="n">
        <x:v>46288</x:v>
      </x:c>
      <x:c r="C1749" s="17" t="str">
        <x:v>W0116</x:v>
      </x:c>
      <x:c r="D1749" s="17" t="str">
        <x:v>C002</x:v>
      </x:c>
      <x:c r="E1749" s="17" t="str">
        <x:v>CopyStudio</x:v>
      </x:c>
      <x:c r="F1749" s="17" t="str">
        <x:v>Pro</x:v>
      </x:c>
      <x:c r="G1749" s="17" t="n">
        <x:v>13010</x:v>
      </x:c>
      <x:c r="H1749" s="17" t="n">
        <x:v>12447</x:v>
      </x:c>
      <x:c r="I1749" s="17" t="str">
        <x:v>Correction</x:v>
      </x:c>
      <x:c r="J1749" s="27" t="n">
        <x:f>INDEX('Model Pricing'!$B$7:$B$8,MATCH(F1749,'Model Pricing'!$A$7:$A$8,0))</x:f>
        <x:v>40</x:v>
      </x:c>
      <x:c r="K1749" s="27" t="n">
        <x:f>INDEX('Model Pricing'!$C$7:$C$8,MATCH(F1749,'Model Pricing'!$A$7:$A$8,0))</x:f>
        <x:v>100</x:v>
      </x:c>
      <x:c r="L1749" s="17" t="n">
        <x:f>G1749+H1749</x:f>
        <x:v>25457</x:v>
      </x:c>
      <x:c r="M1749" s="28" t="n">
        <x:f>G1749*J1749/1000000</x:f>
        <x:v>0.5204</x:v>
      </x:c>
      <x:c r="N1749" s="28" t="n">
        <x:f>H1749*K1749/1000000</x:f>
        <x:v>1.2447</x:v>
      </x:c>
      <x:c r="O1749" s="28" t="n">
        <x:f>SUM(M1749:N1749)</x:f>
        <x:v>1.7651</x:v>
      </x:c>
    </x:row>
    <x:row r="1750" ht="23" customHeight="1">
      <x:c r="A1750" s="17" t="str">
        <x:v>U01744</x:v>
      </x:c>
      <x:c r="B1750" s="18" t="n">
        <x:v>46289</x:v>
      </x:c>
      <x:c r="C1750" s="17" t="str">
        <x:v>W0116</x:v>
      </x:c>
      <x:c r="D1750" s="17" t="str">
        <x:v>C002</x:v>
      </x:c>
      <x:c r="E1750" s="17" t="str">
        <x:v>CopyStudio</x:v>
      </x:c>
      <x:c r="F1750" s="17" t="str">
        <x:v>Pro</x:v>
      </x:c>
      <x:c r="G1750" s="17" t="n">
        <x:v>17358</x:v>
      </x:c>
      <x:c r="H1750" s="17" t="n">
        <x:v>5034</x:v>
      </x:c>
      <x:c r="I1750" s="17" t="str">
        <x:v>Correction</x:v>
      </x:c>
      <x:c r="J1750" s="27" t="n">
        <x:f>INDEX('Model Pricing'!$B$7:$B$8,MATCH(F1750,'Model Pricing'!$A$7:$A$8,0))</x:f>
        <x:v>40</x:v>
      </x:c>
      <x:c r="K1750" s="27" t="n">
        <x:f>INDEX('Model Pricing'!$C$7:$C$8,MATCH(F1750,'Model Pricing'!$A$7:$A$8,0))</x:f>
        <x:v>100</x:v>
      </x:c>
      <x:c r="L1750" s="17" t="n">
        <x:f>G1750+H1750</x:f>
        <x:v>22392</x:v>
      </x:c>
      <x:c r="M1750" s="28" t="n">
        <x:f>G1750*J1750/1000000</x:f>
        <x:v>0.69432</x:v>
      </x:c>
      <x:c r="N1750" s="28" t="n">
        <x:f>H1750*K1750/1000000</x:f>
        <x:v>0.5034</x:v>
      </x:c>
      <x:c r="O1750" s="28" t="n">
        <x:f>SUM(M1750:N1750)</x:f>
        <x:v>1.19772</x:v>
      </x:c>
    </x:row>
    <x:row r="1751" ht="23" customHeight="1">
      <x:c r="A1751" s="17" t="str">
        <x:v>U01745</x:v>
      </x:c>
      <x:c r="B1751" s="18" t="n">
        <x:v>46289</x:v>
      </x:c>
      <x:c r="C1751" s="17" t="str">
        <x:v>W0116</x:v>
      </x:c>
      <x:c r="D1751" s="17" t="str">
        <x:v>C002</x:v>
      </x:c>
      <x:c r="E1751" s="17" t="str">
        <x:v>CopyStudio</x:v>
      </x:c>
      <x:c r="F1751" s="17" t="str">
        <x:v>Pro</x:v>
      </x:c>
      <x:c r="G1751" s="17" t="n">
        <x:v>13456</x:v>
      </x:c>
      <x:c r="H1751" s="17" t="n">
        <x:v>8680</x:v>
      </x:c>
      <x:c r="I1751" s="17" t="str">
        <x:v>Correction</x:v>
      </x:c>
      <x:c r="J1751" s="27" t="n">
        <x:f>INDEX('Model Pricing'!$B$7:$B$8,MATCH(F1751,'Model Pricing'!$A$7:$A$8,0))</x:f>
        <x:v>40</x:v>
      </x:c>
      <x:c r="K1751" s="27" t="n">
        <x:f>INDEX('Model Pricing'!$C$7:$C$8,MATCH(F1751,'Model Pricing'!$A$7:$A$8,0))</x:f>
        <x:v>100</x:v>
      </x:c>
      <x:c r="L1751" s="17" t="n">
        <x:f>G1751+H1751</x:f>
        <x:v>22136</x:v>
      </x:c>
      <x:c r="M1751" s="28" t="n">
        <x:f>G1751*J1751/1000000</x:f>
        <x:v>0.53824</x:v>
      </x:c>
      <x:c r="N1751" s="28" t="n">
        <x:f>H1751*K1751/1000000</x:f>
        <x:v>0.868</x:v>
      </x:c>
      <x:c r="O1751" s="28" t="n">
        <x:f>SUM(M1751:N1751)</x:f>
        <x:v>1.40624</x:v>
      </x:c>
    </x:row>
    <x:row r="1752" ht="23" customHeight="1">
      <x:c r="A1752" s="17" t="str">
        <x:v>U01746</x:v>
      </x:c>
      <x:c r="B1752" s="18" t="n">
        <x:v>46289</x:v>
      </x:c>
      <x:c r="C1752" s="17" t="str">
        <x:v>W0116</x:v>
      </x:c>
      <x:c r="D1752" s="17" t="str">
        <x:v>C002</x:v>
      </x:c>
      <x:c r="E1752" s="17" t="str">
        <x:v>CopyStudio</x:v>
      </x:c>
      <x:c r="F1752" s="17" t="str">
        <x:v>Pro</x:v>
      </x:c>
      <x:c r="G1752" s="17" t="n">
        <x:v>10624</x:v>
      </x:c>
      <x:c r="H1752" s="17" t="n">
        <x:v>7717</x:v>
      </x:c>
      <x:c r="I1752" s="17" t="str">
        <x:v>Correction</x:v>
      </x:c>
      <x:c r="J1752" s="27" t="n">
        <x:f>INDEX('Model Pricing'!$B$7:$B$8,MATCH(F1752,'Model Pricing'!$A$7:$A$8,0))</x:f>
        <x:v>40</x:v>
      </x:c>
      <x:c r="K1752" s="27" t="n">
        <x:f>INDEX('Model Pricing'!$C$7:$C$8,MATCH(F1752,'Model Pricing'!$A$7:$A$8,0))</x:f>
        <x:v>100</x:v>
      </x:c>
      <x:c r="L1752" s="17" t="n">
        <x:f>G1752+H1752</x:f>
        <x:v>18341</x:v>
      </x:c>
      <x:c r="M1752" s="28" t="n">
        <x:f>G1752*J1752/1000000</x:f>
        <x:v>0.42496</x:v>
      </x:c>
      <x:c r="N1752" s="28" t="n">
        <x:f>H1752*K1752/1000000</x:f>
        <x:v>0.7717</x:v>
      </x:c>
      <x:c r="O1752" s="28" t="n">
        <x:f>SUM(M1752:N1752)</x:f>
        <x:v>1.19666</x:v>
      </x:c>
    </x:row>
    <x:row r="1753" ht="23" customHeight="1">
      <x:c r="A1753" s="17" t="str">
        <x:v>U01747</x:v>
      </x:c>
      <x:c r="B1753" s="18" t="n">
        <x:v>46289</x:v>
      </x:c>
      <x:c r="C1753" s="17" t="str">
        <x:v>W0116</x:v>
      </x:c>
      <x:c r="D1753" s="17" t="str">
        <x:v>C002</x:v>
      </x:c>
      <x:c r="E1753" s="17" t="str">
        <x:v>CopyStudio</x:v>
      </x:c>
      <x:c r="F1753" s="17" t="str">
        <x:v>Pro</x:v>
      </x:c>
      <x:c r="G1753" s="17" t="n">
        <x:v>14751</x:v>
      </x:c>
      <x:c r="H1753" s="17" t="n">
        <x:v>14505</x:v>
      </x:c>
      <x:c r="I1753" s="17" t="str">
        <x:v>Correction</x:v>
      </x:c>
      <x:c r="J1753" s="27" t="n">
        <x:f>INDEX('Model Pricing'!$B$7:$B$8,MATCH(F1753,'Model Pricing'!$A$7:$A$8,0))</x:f>
        <x:v>40</x:v>
      </x:c>
      <x:c r="K1753" s="27" t="n">
        <x:f>INDEX('Model Pricing'!$C$7:$C$8,MATCH(F1753,'Model Pricing'!$A$7:$A$8,0))</x:f>
        <x:v>100</x:v>
      </x:c>
      <x:c r="L1753" s="17" t="n">
        <x:f>G1753+H1753</x:f>
        <x:v>29256</x:v>
      </x:c>
      <x:c r="M1753" s="28" t="n">
        <x:f>G1753*J1753/1000000</x:f>
        <x:v>0.59004</x:v>
      </x:c>
      <x:c r="N1753" s="28" t="n">
        <x:f>H1753*K1753/1000000</x:f>
        <x:v>1.4505</x:v>
      </x:c>
      <x:c r="O1753" s="28" t="n">
        <x:f>SUM(M1753:N1753)</x:f>
        <x:v>2.04054</x:v>
      </x:c>
    </x:row>
    <x:row r="1754" ht="23" customHeight="1">
      <x:c r="A1754" s="17" t="str">
        <x:v>U01748</x:v>
      </x:c>
      <x:c r="B1754" s="18" t="n">
        <x:v>46289</x:v>
      </x:c>
      <x:c r="C1754" s="17" t="str">
        <x:v>W0116</x:v>
      </x:c>
      <x:c r="D1754" s="17" t="str">
        <x:v>C002</x:v>
      </x:c>
      <x:c r="E1754" s="17" t="str">
        <x:v>CopyStudio</x:v>
      </x:c>
      <x:c r="F1754" s="17" t="str">
        <x:v>Pro</x:v>
      </x:c>
      <x:c r="G1754" s="17" t="n">
        <x:v>19830</x:v>
      </x:c>
      <x:c r="H1754" s="17" t="n">
        <x:v>5092</x:v>
      </x:c>
      <x:c r="I1754" s="17" t="str">
        <x:v>Correction</x:v>
      </x:c>
      <x:c r="J1754" s="27" t="n">
        <x:f>INDEX('Model Pricing'!$B$7:$B$8,MATCH(F1754,'Model Pricing'!$A$7:$A$8,0))</x:f>
        <x:v>40</x:v>
      </x:c>
      <x:c r="K1754" s="27" t="n">
        <x:f>INDEX('Model Pricing'!$C$7:$C$8,MATCH(F1754,'Model Pricing'!$A$7:$A$8,0))</x:f>
        <x:v>100</x:v>
      </x:c>
      <x:c r="L1754" s="17" t="n">
        <x:f>G1754+H1754</x:f>
        <x:v>24922</x:v>
      </x:c>
      <x:c r="M1754" s="28" t="n">
        <x:f>G1754*J1754/1000000</x:f>
        <x:v>0.7932</x:v>
      </x:c>
      <x:c r="N1754" s="28" t="n">
        <x:f>H1754*K1754/1000000</x:f>
        <x:v>0.5092</x:v>
      </x:c>
      <x:c r="O1754" s="28" t="n">
        <x:f>SUM(M1754:N1754)</x:f>
        <x:v>1.3024</x:v>
      </x:c>
    </x:row>
    <x:row r="1755" ht="23" customHeight="1">
      <x:c r="A1755" s="17" t="str">
        <x:v>U01749</x:v>
      </x:c>
      <x:c r="B1755" s="18" t="n">
        <x:v>46289</x:v>
      </x:c>
      <x:c r="C1755" s="17" t="str">
        <x:v>W0116</x:v>
      </x:c>
      <x:c r="D1755" s="17" t="str">
        <x:v>C002</x:v>
      </x:c>
      <x:c r="E1755" s="17" t="str">
        <x:v>CopyStudio</x:v>
      </x:c>
      <x:c r="F1755" s="17" t="str">
        <x:v>Pro</x:v>
      </x:c>
      <x:c r="G1755" s="17" t="n">
        <x:v>16055</x:v>
      </x:c>
      <x:c r="H1755" s="17" t="n">
        <x:v>16122</x:v>
      </x:c>
      <x:c r="I1755" s="17" t="str">
        <x:v>Correction</x:v>
      </x:c>
      <x:c r="J1755" s="27" t="n">
        <x:f>INDEX('Model Pricing'!$B$7:$B$8,MATCH(F1755,'Model Pricing'!$A$7:$A$8,0))</x:f>
        <x:v>40</x:v>
      </x:c>
      <x:c r="K1755" s="27" t="n">
        <x:f>INDEX('Model Pricing'!$C$7:$C$8,MATCH(F1755,'Model Pricing'!$A$7:$A$8,0))</x:f>
        <x:v>100</x:v>
      </x:c>
      <x:c r="L1755" s="17" t="n">
        <x:f>G1755+H1755</x:f>
        <x:v>32177</x:v>
      </x:c>
      <x:c r="M1755" s="28" t="n">
        <x:f>G1755*J1755/1000000</x:f>
        <x:v>0.6422</x:v>
      </x:c>
      <x:c r="N1755" s="28" t="n">
        <x:f>H1755*K1755/1000000</x:f>
        <x:v>1.6122</x:v>
      </x:c>
      <x:c r="O1755" s="28" t="n">
        <x:f>SUM(M1755:N1755)</x:f>
        <x:v>2.2544</x:v>
      </x:c>
    </x:row>
    <x:row r="1756" ht="23" customHeight="1">
      <x:c r="A1756" s="17" t="str">
        <x:v>U01750</x:v>
      </x:c>
      <x:c r="B1756" s="18" t="n">
        <x:v>46289</x:v>
      </x:c>
      <x:c r="C1756" s="17" t="str">
        <x:v>W0119</x:v>
      </x:c>
      <x:c r="D1756" s="17" t="str">
        <x:v>C002</x:v>
      </x:c>
      <x:c r="E1756" s="17" t="str">
        <x:v>CampaignChat</x:v>
      </x:c>
      <x:c r="F1756" s="17" t="str">
        <x:v>Pro</x:v>
      </x:c>
      <x:c r="G1756" s="17" t="n">
        <x:v>30800</x:v>
      </x:c>
      <x:c r="H1756" s="17" t="n">
        <x:v>20563</x:v>
      </x:c>
      <x:c r="I1756" s="17" t="str">
        <x:v>First attempt</x:v>
      </x:c>
      <x:c r="J1756" s="27" t="n">
        <x:f>INDEX('Model Pricing'!$B$7:$B$8,MATCH(F1756,'Model Pricing'!$A$7:$A$8,0))</x:f>
        <x:v>40</x:v>
      </x:c>
      <x:c r="K1756" s="27" t="n">
        <x:f>INDEX('Model Pricing'!$C$7:$C$8,MATCH(F1756,'Model Pricing'!$A$7:$A$8,0))</x:f>
        <x:v>100</x:v>
      </x:c>
      <x:c r="L1756" s="17" t="n">
        <x:f>G1756+H1756</x:f>
        <x:v>51363</x:v>
      </x:c>
      <x:c r="M1756" s="28" t="n">
        <x:f>G1756*J1756/1000000</x:f>
        <x:v>1.232</x:v>
      </x:c>
      <x:c r="N1756" s="28" t="n">
        <x:f>H1756*K1756/1000000</x:f>
        <x:v>2.0563</x:v>
      </x:c>
      <x:c r="O1756" s="28" t="n">
        <x:f>SUM(M1756:N1756)</x:f>
        <x:v>3.2882999999999996</x:v>
      </x:c>
    </x:row>
    <x:row r="1757" ht="23" customHeight="1">
      <x:c r="A1757" s="17" t="str">
        <x:v>U01751</x:v>
      </x:c>
      <x:c r="B1757" s="18" t="n">
        <x:v>46289</x:v>
      </x:c>
      <x:c r="C1757" s="17" t="str">
        <x:v>W0119</x:v>
      </x:c>
      <x:c r="D1757" s="17" t="str">
        <x:v>C002</x:v>
      </x:c>
      <x:c r="E1757" s="17" t="str">
        <x:v>CampaignChat</x:v>
      </x:c>
      <x:c r="F1757" s="17" t="str">
        <x:v>Pro</x:v>
      </x:c>
      <x:c r="G1757" s="17" t="n">
        <x:v>30792</x:v>
      </x:c>
      <x:c r="H1757" s="17" t="n">
        <x:v>13992</x:v>
      </x:c>
      <x:c r="I1757" s="17" t="str">
        <x:v>Correction</x:v>
      </x:c>
      <x:c r="J1757" s="27" t="n">
        <x:f>INDEX('Model Pricing'!$B$7:$B$8,MATCH(F1757,'Model Pricing'!$A$7:$A$8,0))</x:f>
        <x:v>40</x:v>
      </x:c>
      <x:c r="K1757" s="27" t="n">
        <x:f>INDEX('Model Pricing'!$C$7:$C$8,MATCH(F1757,'Model Pricing'!$A$7:$A$8,0))</x:f>
        <x:v>100</x:v>
      </x:c>
      <x:c r="L1757" s="17" t="n">
        <x:f>G1757+H1757</x:f>
        <x:v>44784</x:v>
      </x:c>
      <x:c r="M1757" s="28" t="n">
        <x:f>G1757*J1757/1000000</x:f>
        <x:v>1.23168</x:v>
      </x:c>
      <x:c r="N1757" s="28" t="n">
        <x:f>H1757*K1757/1000000</x:f>
        <x:v>1.3992</x:v>
      </x:c>
      <x:c r="O1757" s="28" t="n">
        <x:f>SUM(M1757:N1757)</x:f>
        <x:v>2.6308800000000003</x:v>
      </x:c>
    </x:row>
    <x:row r="1758" ht="23" customHeight="1">
      <x:c r="A1758" s="17" t="str">
        <x:v>U01752</x:v>
      </x:c>
      <x:c r="B1758" s="18" t="n">
        <x:v>46289</x:v>
      </x:c>
      <x:c r="C1758" s="17" t="str">
        <x:v>W0119</x:v>
      </x:c>
      <x:c r="D1758" s="17" t="str">
        <x:v>C002</x:v>
      </x:c>
      <x:c r="E1758" s="17" t="str">
        <x:v>CampaignChat</x:v>
      </x:c>
      <x:c r="F1758" s="17" t="str">
        <x:v>Pro</x:v>
      </x:c>
      <x:c r="G1758" s="17" t="n">
        <x:v>24675</x:v>
      </x:c>
      <x:c r="H1758" s="17" t="n">
        <x:v>15796</x:v>
      </x:c>
      <x:c r="I1758" s="17" t="str">
        <x:v>Followup</x:v>
      </x:c>
      <x:c r="J1758" s="27" t="n">
        <x:f>INDEX('Model Pricing'!$B$7:$B$8,MATCH(F1758,'Model Pricing'!$A$7:$A$8,0))</x:f>
        <x:v>40</x:v>
      </x:c>
      <x:c r="K1758" s="27" t="n">
        <x:f>INDEX('Model Pricing'!$C$7:$C$8,MATCH(F1758,'Model Pricing'!$A$7:$A$8,0))</x:f>
        <x:v>100</x:v>
      </x:c>
      <x:c r="L1758" s="17" t="n">
        <x:f>G1758+H1758</x:f>
        <x:v>40471</x:v>
      </x:c>
      <x:c r="M1758" s="28" t="n">
        <x:f>G1758*J1758/1000000</x:f>
        <x:v>0.987</x:v>
      </x:c>
      <x:c r="N1758" s="28" t="n">
        <x:f>H1758*K1758/1000000</x:f>
        <x:v>1.5796</x:v>
      </x:c>
      <x:c r="O1758" s="28" t="n">
        <x:f>SUM(M1758:N1758)</x:f>
        <x:v>2.5665999999999998</x:v>
      </x:c>
    </x:row>
    <x:row r="1759" ht="23" customHeight="1">
      <x:c r="A1759" s="17" t="str">
        <x:v>U01753</x:v>
      </x:c>
      <x:c r="B1759" s="18" t="n">
        <x:v>46289</x:v>
      </x:c>
      <x:c r="C1759" s="17" t="str">
        <x:v>W0119</x:v>
      </x:c>
      <x:c r="D1759" s="17" t="str">
        <x:v>C002</x:v>
      </x:c>
      <x:c r="E1759" s="17" t="str">
        <x:v>CampaignChat</x:v>
      </x:c>
      <x:c r="F1759" s="17" t="str">
        <x:v>Pro</x:v>
      </x:c>
      <x:c r="G1759" s="17" t="n">
        <x:v>28786</x:v>
      </x:c>
      <x:c r="H1759" s="17" t="n">
        <x:v>15175</x:v>
      </x:c>
      <x:c r="I1759" s="17" t="str">
        <x:v>Followup</x:v>
      </x:c>
      <x:c r="J1759" s="27" t="n">
        <x:f>INDEX('Model Pricing'!$B$7:$B$8,MATCH(F1759,'Model Pricing'!$A$7:$A$8,0))</x:f>
        <x:v>40</x:v>
      </x:c>
      <x:c r="K1759" s="27" t="n">
        <x:f>INDEX('Model Pricing'!$C$7:$C$8,MATCH(F1759,'Model Pricing'!$A$7:$A$8,0))</x:f>
        <x:v>100</x:v>
      </x:c>
      <x:c r="L1759" s="17" t="n">
        <x:f>G1759+H1759</x:f>
        <x:v>43961</x:v>
      </x:c>
      <x:c r="M1759" s="28" t="n">
        <x:f>G1759*J1759/1000000</x:f>
        <x:v>1.15144</x:v>
      </x:c>
      <x:c r="N1759" s="28" t="n">
        <x:f>H1759*K1759/1000000</x:f>
        <x:v>1.5175</x:v>
      </x:c>
      <x:c r="O1759" s="28" t="n">
        <x:f>SUM(M1759:N1759)</x:f>
        <x:v>2.66894</x:v>
      </x:c>
    </x:row>
    <x:row r="1760" ht="23" customHeight="1">
      <x:c r="A1760" s="17" t="str">
        <x:v>U01754</x:v>
      </x:c>
      <x:c r="B1760" s="18" t="n">
        <x:v>46289</x:v>
      </x:c>
      <x:c r="C1760" s="17" t="str">
        <x:v>W0119</x:v>
      </x:c>
      <x:c r="D1760" s="17" t="str">
        <x:v>C002</x:v>
      </x:c>
      <x:c r="E1760" s="17" t="str">
        <x:v>CampaignChat</x:v>
      </x:c>
      <x:c r="F1760" s="17" t="str">
        <x:v>Pro</x:v>
      </x:c>
      <x:c r="G1760" s="17" t="n">
        <x:v>13564</x:v>
      </x:c>
      <x:c r="H1760" s="17" t="n">
        <x:v>13388</x:v>
      </x:c>
      <x:c r="I1760" s="17" t="str">
        <x:v>Correction</x:v>
      </x:c>
      <x:c r="J1760" s="27" t="n">
        <x:f>INDEX('Model Pricing'!$B$7:$B$8,MATCH(F1760,'Model Pricing'!$A$7:$A$8,0))</x:f>
        <x:v>40</x:v>
      </x:c>
      <x:c r="K1760" s="27" t="n">
        <x:f>INDEX('Model Pricing'!$C$7:$C$8,MATCH(F1760,'Model Pricing'!$A$7:$A$8,0))</x:f>
        <x:v>100</x:v>
      </x:c>
      <x:c r="L1760" s="17" t="n">
        <x:f>G1760+H1760</x:f>
        <x:v>26952</x:v>
      </x:c>
      <x:c r="M1760" s="28" t="n">
        <x:f>G1760*J1760/1000000</x:f>
        <x:v>0.54256</x:v>
      </x:c>
      <x:c r="N1760" s="28" t="n">
        <x:f>H1760*K1760/1000000</x:f>
        <x:v>1.3388</x:v>
      </x:c>
      <x:c r="O1760" s="28" t="n">
        <x:f>SUM(M1760:N1760)</x:f>
        <x:v>1.88136</x:v>
      </x:c>
    </x:row>
    <x:row r="1761" ht="23" customHeight="1">
      <x:c r="A1761" s="17" t="str">
        <x:v>U01755</x:v>
      </x:c>
      <x:c r="B1761" s="18" t="n">
        <x:v>46289</x:v>
      </x:c>
      <x:c r="C1761" s="17" t="str">
        <x:v>W0119</x:v>
      </x:c>
      <x:c r="D1761" s="17" t="str">
        <x:v>C002</x:v>
      </x:c>
      <x:c r="E1761" s="17" t="str">
        <x:v>CampaignChat</x:v>
      </x:c>
      <x:c r="F1761" s="17" t="str">
        <x:v>Pro</x:v>
      </x:c>
      <x:c r="G1761" s="17" t="n">
        <x:v>12045</x:v>
      </x:c>
      <x:c r="H1761" s="17" t="n">
        <x:v>16203</x:v>
      </x:c>
      <x:c r="I1761" s="17" t="str">
        <x:v>Correction</x:v>
      </x:c>
      <x:c r="J1761" s="27" t="n">
        <x:f>INDEX('Model Pricing'!$B$7:$B$8,MATCH(F1761,'Model Pricing'!$A$7:$A$8,0))</x:f>
        <x:v>40</x:v>
      </x:c>
      <x:c r="K1761" s="27" t="n">
        <x:f>INDEX('Model Pricing'!$C$7:$C$8,MATCH(F1761,'Model Pricing'!$A$7:$A$8,0))</x:f>
        <x:v>100</x:v>
      </x:c>
      <x:c r="L1761" s="17" t="n">
        <x:f>G1761+H1761</x:f>
        <x:v>28248</x:v>
      </x:c>
      <x:c r="M1761" s="28" t="n">
        <x:f>G1761*J1761/1000000</x:f>
        <x:v>0.4818</x:v>
      </x:c>
      <x:c r="N1761" s="28" t="n">
        <x:f>H1761*K1761/1000000</x:f>
        <x:v>1.6203</x:v>
      </x:c>
      <x:c r="O1761" s="28" t="n">
        <x:f>SUM(M1761:N1761)</x:f>
        <x:v>2.1021</x:v>
      </x:c>
    </x:row>
    <x:row r="1762" ht="23" customHeight="1">
      <x:c r="A1762" s="17" t="str">
        <x:v>U01756</x:v>
      </x:c>
      <x:c r="B1762" s="18" t="n">
        <x:v>46290</x:v>
      </x:c>
      <x:c r="C1762" s="17" t="str">
        <x:v>W0119</x:v>
      </x:c>
      <x:c r="D1762" s="17" t="str">
        <x:v>C002</x:v>
      </x:c>
      <x:c r="E1762" s="17" t="str">
        <x:v>CampaignChat</x:v>
      </x:c>
      <x:c r="F1762" s="17" t="str">
        <x:v>Pro</x:v>
      </x:c>
      <x:c r="G1762" s="17" t="n">
        <x:v>20772</x:v>
      </x:c>
      <x:c r="H1762" s="17" t="n">
        <x:v>8255</x:v>
      </x:c>
      <x:c r="I1762" s="17" t="str">
        <x:v>Correction</x:v>
      </x:c>
      <x:c r="J1762" s="27" t="n">
        <x:f>INDEX('Model Pricing'!$B$7:$B$8,MATCH(F1762,'Model Pricing'!$A$7:$A$8,0))</x:f>
        <x:v>40</x:v>
      </x:c>
      <x:c r="K1762" s="27" t="n">
        <x:f>INDEX('Model Pricing'!$C$7:$C$8,MATCH(F1762,'Model Pricing'!$A$7:$A$8,0))</x:f>
        <x:v>100</x:v>
      </x:c>
      <x:c r="L1762" s="17" t="n">
        <x:f>G1762+H1762</x:f>
        <x:v>29027</x:v>
      </x:c>
      <x:c r="M1762" s="28" t="n">
        <x:f>G1762*J1762/1000000</x:f>
        <x:v>0.83088</x:v>
      </x:c>
      <x:c r="N1762" s="28" t="n">
        <x:f>H1762*K1762/1000000</x:f>
        <x:v>0.8255</x:v>
      </x:c>
      <x:c r="O1762" s="28" t="n">
        <x:f>SUM(M1762:N1762)</x:f>
        <x:v>1.65638</x:v>
      </x:c>
    </x:row>
    <x:row r="1763" ht="23" customHeight="1">
      <x:c r="A1763" s="17" t="str">
        <x:v>U01757</x:v>
      </x:c>
      <x:c r="B1763" s="18" t="n">
        <x:v>46290</x:v>
      </x:c>
      <x:c r="C1763" s="17" t="str">
        <x:v>W0119</x:v>
      </x:c>
      <x:c r="D1763" s="17" t="str">
        <x:v>C002</x:v>
      </x:c>
      <x:c r="E1763" s="17" t="str">
        <x:v>CampaignChat</x:v>
      </x:c>
      <x:c r="F1763" s="17" t="str">
        <x:v>Pro</x:v>
      </x:c>
      <x:c r="G1763" s="17" t="n">
        <x:v>30377</x:v>
      </x:c>
      <x:c r="H1763" s="17" t="n">
        <x:v>6396</x:v>
      </x:c>
      <x:c r="I1763" s="17" t="str">
        <x:v>Correction</x:v>
      </x:c>
      <x:c r="J1763" s="27" t="n">
        <x:f>INDEX('Model Pricing'!$B$7:$B$8,MATCH(F1763,'Model Pricing'!$A$7:$A$8,0))</x:f>
        <x:v>40</x:v>
      </x:c>
      <x:c r="K1763" s="27" t="n">
        <x:f>INDEX('Model Pricing'!$C$7:$C$8,MATCH(F1763,'Model Pricing'!$A$7:$A$8,0))</x:f>
        <x:v>100</x:v>
      </x:c>
      <x:c r="L1763" s="17" t="n">
        <x:f>G1763+H1763</x:f>
        <x:v>36773</x:v>
      </x:c>
      <x:c r="M1763" s="28" t="n">
        <x:f>G1763*J1763/1000000</x:f>
        <x:v>1.21508</x:v>
      </x:c>
      <x:c r="N1763" s="28" t="n">
        <x:f>H1763*K1763/1000000</x:f>
        <x:v>0.6396</x:v>
      </x:c>
      <x:c r="O1763" s="28" t="n">
        <x:f>SUM(M1763:N1763)</x:f>
        <x:v>1.8546799999999999</x:v>
      </x:c>
    </x:row>
    <x:row r="1764" ht="23" customHeight="1">
      <x:c r="A1764" s="17" t="str">
        <x:v>U01758</x:v>
      </x:c>
      <x:c r="B1764" s="18" t="n">
        <x:v>46290</x:v>
      </x:c>
      <x:c r="C1764" s="17" t="str">
        <x:v>W0119</x:v>
      </x:c>
      <x:c r="D1764" s="17" t="str">
        <x:v>C002</x:v>
      </x:c>
      <x:c r="E1764" s="17" t="str">
        <x:v>CampaignChat</x:v>
      </x:c>
      <x:c r="F1764" s="17" t="str">
        <x:v>Pro</x:v>
      </x:c>
      <x:c r="G1764" s="17" t="n">
        <x:v>11985</x:v>
      </x:c>
      <x:c r="H1764" s="17" t="n">
        <x:v>13047</x:v>
      </x:c>
      <x:c r="I1764" s="17" t="str">
        <x:v>Correction</x:v>
      </x:c>
      <x:c r="J1764" s="27" t="n">
        <x:f>INDEX('Model Pricing'!$B$7:$B$8,MATCH(F1764,'Model Pricing'!$A$7:$A$8,0))</x:f>
        <x:v>40</x:v>
      </x:c>
      <x:c r="K1764" s="27" t="n">
        <x:f>INDEX('Model Pricing'!$C$7:$C$8,MATCH(F1764,'Model Pricing'!$A$7:$A$8,0))</x:f>
        <x:v>100</x:v>
      </x:c>
      <x:c r="L1764" s="17" t="n">
        <x:f>G1764+H1764</x:f>
        <x:v>25032</x:v>
      </x:c>
      <x:c r="M1764" s="28" t="n">
        <x:f>G1764*J1764/1000000</x:f>
        <x:v>0.4794</x:v>
      </x:c>
      <x:c r="N1764" s="28" t="n">
        <x:f>H1764*K1764/1000000</x:f>
        <x:v>1.3047</x:v>
      </x:c>
      <x:c r="O1764" s="28" t="n">
        <x:f>SUM(M1764:N1764)</x:f>
        <x:v>1.7841</x:v>
      </x:c>
    </x:row>
    <x:row r="1765" ht="23" customHeight="1">
      <x:c r="A1765" s="17" t="str">
        <x:v>U01759</x:v>
      </x:c>
      <x:c r="B1765" s="18" t="n">
        <x:v>46290</x:v>
      </x:c>
      <x:c r="C1765" s="17" t="str">
        <x:v>W0119</x:v>
      </x:c>
      <x:c r="D1765" s="17" t="str">
        <x:v>C002</x:v>
      </x:c>
      <x:c r="E1765" s="17" t="str">
        <x:v>CampaignChat</x:v>
      </x:c>
      <x:c r="F1765" s="17" t="str">
        <x:v>Pro</x:v>
      </x:c>
      <x:c r="G1765" s="17" t="n">
        <x:v>21785</x:v>
      </x:c>
      <x:c r="H1765" s="17" t="n">
        <x:v>18845</x:v>
      </x:c>
      <x:c r="I1765" s="17" t="str">
        <x:v>Followup</x:v>
      </x:c>
      <x:c r="J1765" s="27" t="n">
        <x:f>INDEX('Model Pricing'!$B$7:$B$8,MATCH(F1765,'Model Pricing'!$A$7:$A$8,0))</x:f>
        <x:v>40</x:v>
      </x:c>
      <x:c r="K1765" s="27" t="n">
        <x:f>INDEX('Model Pricing'!$C$7:$C$8,MATCH(F1765,'Model Pricing'!$A$7:$A$8,0))</x:f>
        <x:v>100</x:v>
      </x:c>
      <x:c r="L1765" s="17" t="n">
        <x:f>G1765+H1765</x:f>
        <x:v>40630</x:v>
      </x:c>
      <x:c r="M1765" s="28" t="n">
        <x:f>G1765*J1765/1000000</x:f>
        <x:v>0.8714</x:v>
      </x:c>
      <x:c r="N1765" s="28" t="n">
        <x:f>H1765*K1765/1000000</x:f>
        <x:v>1.8845</x:v>
      </x:c>
      <x:c r="O1765" s="28" t="n">
        <x:f>SUM(M1765:N1765)</x:f>
        <x:v>2.7559</x:v>
      </x:c>
    </x:row>
    <x:row r="1766" ht="23" customHeight="1">
      <x:c r="A1766" s="17" t="str">
        <x:v>U01760</x:v>
      </x:c>
      <x:c r="B1766" s="18" t="n">
        <x:v>46290</x:v>
      </x:c>
      <x:c r="C1766" s="17" t="str">
        <x:v>W0119</x:v>
      </x:c>
      <x:c r="D1766" s="17" t="str">
        <x:v>C002</x:v>
      </x:c>
      <x:c r="E1766" s="17" t="str">
        <x:v>CampaignChat</x:v>
      </x:c>
      <x:c r="F1766" s="17" t="str">
        <x:v>Pro</x:v>
      </x:c>
      <x:c r="G1766" s="17" t="n">
        <x:v>16408</x:v>
      </x:c>
      <x:c r="H1766" s="17" t="n">
        <x:v>15538</x:v>
      </x:c>
      <x:c r="I1766" s="17" t="str">
        <x:v>Correction</x:v>
      </x:c>
      <x:c r="J1766" s="27" t="n">
        <x:f>INDEX('Model Pricing'!$B$7:$B$8,MATCH(F1766,'Model Pricing'!$A$7:$A$8,0))</x:f>
        <x:v>40</x:v>
      </x:c>
      <x:c r="K1766" s="27" t="n">
        <x:f>INDEX('Model Pricing'!$C$7:$C$8,MATCH(F1766,'Model Pricing'!$A$7:$A$8,0))</x:f>
        <x:v>100</x:v>
      </x:c>
      <x:c r="L1766" s="17" t="n">
        <x:f>G1766+H1766</x:f>
        <x:v>31946</x:v>
      </x:c>
      <x:c r="M1766" s="28" t="n">
        <x:f>G1766*J1766/1000000</x:f>
        <x:v>0.65632</x:v>
      </x:c>
      <x:c r="N1766" s="28" t="n">
        <x:f>H1766*K1766/1000000</x:f>
        <x:v>1.5538</x:v>
      </x:c>
      <x:c r="O1766" s="28" t="n">
        <x:f>SUM(M1766:N1766)</x:f>
        <x:v>2.21012</x:v>
      </x:c>
    </x:row>
    <x:row r="1767" ht="23" customHeight="1">
      <x:c r="A1767" s="17" t="str">
        <x:v>U01761</x:v>
      </x:c>
      <x:c r="B1767" s="18" t="n">
        <x:v>46290</x:v>
      </x:c>
      <x:c r="C1767" s="17" t="str">
        <x:v>W0119</x:v>
      </x:c>
      <x:c r="D1767" s="17" t="str">
        <x:v>C002</x:v>
      </x:c>
      <x:c r="E1767" s="17" t="str">
        <x:v>CampaignChat</x:v>
      </x:c>
      <x:c r="F1767" s="17" t="str">
        <x:v>Pro</x:v>
      </x:c>
      <x:c r="G1767" s="17" t="n">
        <x:v>22259</x:v>
      </x:c>
      <x:c r="H1767" s="17" t="n">
        <x:v>17640</x:v>
      </x:c>
      <x:c r="I1767" s="17" t="str">
        <x:v>Followup</x:v>
      </x:c>
      <x:c r="J1767" s="27" t="n">
        <x:f>INDEX('Model Pricing'!$B$7:$B$8,MATCH(F1767,'Model Pricing'!$A$7:$A$8,0))</x:f>
        <x:v>40</x:v>
      </x:c>
      <x:c r="K1767" s="27" t="n">
        <x:f>INDEX('Model Pricing'!$C$7:$C$8,MATCH(F1767,'Model Pricing'!$A$7:$A$8,0))</x:f>
        <x:v>100</x:v>
      </x:c>
      <x:c r="L1767" s="17" t="n">
        <x:f>G1767+H1767</x:f>
        <x:v>39899</x:v>
      </x:c>
      <x:c r="M1767" s="28" t="n">
        <x:f>G1767*J1767/1000000</x:f>
        <x:v>0.89036</x:v>
      </x:c>
      <x:c r="N1767" s="28" t="n">
        <x:f>H1767*K1767/1000000</x:f>
        <x:v>1.764</x:v>
      </x:c>
      <x:c r="O1767" s="28" t="n">
        <x:f>SUM(M1767:N1767)</x:f>
        <x:v>2.65436</x:v>
      </x:c>
    </x:row>
    <x:row r="1768" ht="23" customHeight="1">
      <x:c r="A1768" s="17" t="str">
        <x:v>U01762</x:v>
      </x:c>
      <x:c r="B1768" s="18" t="n">
        <x:v>46293</x:v>
      </x:c>
      <x:c r="C1768" s="17" t="str">
        <x:v>W0119</x:v>
      </x:c>
      <x:c r="D1768" s="17" t="str">
        <x:v>C002</x:v>
      </x:c>
      <x:c r="E1768" s="17" t="str">
        <x:v>CampaignChat</x:v>
      </x:c>
      <x:c r="F1768" s="17" t="str">
        <x:v>Pro</x:v>
      </x:c>
      <x:c r="G1768" s="17" t="n">
        <x:v>24345</x:v>
      </x:c>
      <x:c r="H1768" s="17" t="n">
        <x:v>7480</x:v>
      </x:c>
      <x:c r="I1768" s="17" t="str">
        <x:v>Correction</x:v>
      </x:c>
      <x:c r="J1768" s="27" t="n">
        <x:f>INDEX('Model Pricing'!$B$7:$B$8,MATCH(F1768,'Model Pricing'!$A$7:$A$8,0))</x:f>
        <x:v>40</x:v>
      </x:c>
      <x:c r="K1768" s="27" t="n">
        <x:f>INDEX('Model Pricing'!$C$7:$C$8,MATCH(F1768,'Model Pricing'!$A$7:$A$8,0))</x:f>
        <x:v>100</x:v>
      </x:c>
      <x:c r="L1768" s="17" t="n">
        <x:f>G1768+H1768</x:f>
        <x:v>31825</x:v>
      </x:c>
      <x:c r="M1768" s="28" t="n">
        <x:f>G1768*J1768/1000000</x:f>
        <x:v>0.9738</x:v>
      </x:c>
      <x:c r="N1768" s="28" t="n">
        <x:f>H1768*K1768/1000000</x:f>
        <x:v>0.748</x:v>
      </x:c>
      <x:c r="O1768" s="28" t="n">
        <x:f>SUM(M1768:N1768)</x:f>
        <x:v>1.7218</x:v>
      </x:c>
    </x:row>
    <x:row r="1769" ht="23" customHeight="1">
      <x:c r="A1769" s="17" t="str">
        <x:v>U01763</x:v>
      </x:c>
      <x:c r="B1769" s="18" t="n">
        <x:v>46293</x:v>
      </x:c>
      <x:c r="C1769" s="17" t="str">
        <x:v>W0119</x:v>
      </x:c>
      <x:c r="D1769" s="17" t="str">
        <x:v>C002</x:v>
      </x:c>
      <x:c r="E1769" s="17" t="str">
        <x:v>CampaignChat</x:v>
      </x:c>
      <x:c r="F1769" s="17" t="str">
        <x:v>Pro</x:v>
      </x:c>
      <x:c r="G1769" s="17" t="n">
        <x:v>26278</x:v>
      </x:c>
      <x:c r="H1769" s="17" t="n">
        <x:v>15490</x:v>
      </x:c>
      <x:c r="I1769" s="17" t="str">
        <x:v>Followup</x:v>
      </x:c>
      <x:c r="J1769" s="27" t="n">
        <x:f>INDEX('Model Pricing'!$B$7:$B$8,MATCH(F1769,'Model Pricing'!$A$7:$A$8,0))</x:f>
        <x:v>40</x:v>
      </x:c>
      <x:c r="K1769" s="27" t="n">
        <x:f>INDEX('Model Pricing'!$C$7:$C$8,MATCH(F1769,'Model Pricing'!$A$7:$A$8,0))</x:f>
        <x:v>100</x:v>
      </x:c>
      <x:c r="L1769" s="17" t="n">
        <x:f>G1769+H1769</x:f>
        <x:v>41768</x:v>
      </x:c>
      <x:c r="M1769" s="28" t="n">
        <x:f>G1769*J1769/1000000</x:f>
        <x:v>1.05112</x:v>
      </x:c>
      <x:c r="N1769" s="28" t="n">
        <x:f>H1769*K1769/1000000</x:f>
        <x:v>1.549</x:v>
      </x:c>
      <x:c r="O1769" s="28" t="n">
        <x:f>SUM(M1769:N1769)</x:f>
        <x:v>2.60012</x:v>
      </x:c>
    </x:row>
    <x:row r="1770" ht="23" customHeight="1">
      <x:c r="A1770" s="17" t="str">
        <x:v>U01764</x:v>
      </x:c>
      <x:c r="B1770" s="18" t="n">
        <x:v>46293</x:v>
      </x:c>
      <x:c r="C1770" s="17" t="str">
        <x:v>W0119</x:v>
      </x:c>
      <x:c r="D1770" s="17" t="str">
        <x:v>C002</x:v>
      </x:c>
      <x:c r="E1770" s="17" t="str">
        <x:v>CampaignChat</x:v>
      </x:c>
      <x:c r="F1770" s="17" t="str">
        <x:v>Pro</x:v>
      </x:c>
      <x:c r="G1770" s="17" t="n">
        <x:v>28812</x:v>
      </x:c>
      <x:c r="H1770" s="17" t="n">
        <x:v>17054</x:v>
      </x:c>
      <x:c r="I1770" s="17" t="str">
        <x:v>Followup</x:v>
      </x:c>
      <x:c r="J1770" s="27" t="n">
        <x:f>INDEX('Model Pricing'!$B$7:$B$8,MATCH(F1770,'Model Pricing'!$A$7:$A$8,0))</x:f>
        <x:v>40</x:v>
      </x:c>
      <x:c r="K1770" s="27" t="n">
        <x:f>INDEX('Model Pricing'!$C$7:$C$8,MATCH(F1770,'Model Pricing'!$A$7:$A$8,0))</x:f>
        <x:v>100</x:v>
      </x:c>
      <x:c r="L1770" s="17" t="n">
        <x:f>G1770+H1770</x:f>
        <x:v>45866</x:v>
      </x:c>
      <x:c r="M1770" s="28" t="n">
        <x:f>G1770*J1770/1000000</x:f>
        <x:v>1.15248</x:v>
      </x:c>
      <x:c r="N1770" s="28" t="n">
        <x:f>H1770*K1770/1000000</x:f>
        <x:v>1.7054</x:v>
      </x:c>
      <x:c r="O1770" s="28" t="n">
        <x:f>SUM(M1770:N1770)</x:f>
        <x:v>2.8578799999999998</x:v>
      </x:c>
    </x:row>
    <x:row r="1771" ht="23" customHeight="1">
      <x:c r="A1771" s="17" t="str">
        <x:v>U01765</x:v>
      </x:c>
      <x:c r="B1771" s="18" t="n">
        <x:v>46293</x:v>
      </x:c>
      <x:c r="C1771" s="17" t="str">
        <x:v>W0119</x:v>
      </x:c>
      <x:c r="D1771" s="17" t="str">
        <x:v>C002</x:v>
      </x:c>
      <x:c r="E1771" s="17" t="str">
        <x:v>CampaignChat</x:v>
      </x:c>
      <x:c r="F1771" s="17" t="str">
        <x:v>Pro</x:v>
      </x:c>
      <x:c r="G1771" s="17" t="n">
        <x:v>21551</x:v>
      </x:c>
      <x:c r="H1771" s="17" t="n">
        <x:v>10791</x:v>
      </x:c>
      <x:c r="I1771" s="17" t="str">
        <x:v>Followup</x:v>
      </x:c>
      <x:c r="J1771" s="27" t="n">
        <x:f>INDEX('Model Pricing'!$B$7:$B$8,MATCH(F1771,'Model Pricing'!$A$7:$A$8,0))</x:f>
        <x:v>40</x:v>
      </x:c>
      <x:c r="K1771" s="27" t="n">
        <x:f>INDEX('Model Pricing'!$C$7:$C$8,MATCH(F1771,'Model Pricing'!$A$7:$A$8,0))</x:f>
        <x:v>100</x:v>
      </x:c>
      <x:c r="L1771" s="17" t="n">
        <x:f>G1771+H1771</x:f>
        <x:v>32342</x:v>
      </x:c>
      <x:c r="M1771" s="28" t="n">
        <x:f>G1771*J1771/1000000</x:f>
        <x:v>0.86204</x:v>
      </x:c>
      <x:c r="N1771" s="28" t="n">
        <x:f>H1771*K1771/1000000</x:f>
        <x:v>1.0791</x:v>
      </x:c>
      <x:c r="O1771" s="28" t="n">
        <x:f>SUM(M1771:N1771)</x:f>
        <x:v>1.9411399999999999</x:v>
      </x:c>
    </x:row>
    <x:row r="1772" ht="23" customHeight="1">
      <x:c r="A1772" s="17" t="str">
        <x:v>U01766</x:v>
      </x:c>
      <x:c r="B1772" s="18" t="n">
        <x:v>46293</x:v>
      </x:c>
      <x:c r="C1772" s="17" t="str">
        <x:v>W0119</x:v>
      </x:c>
      <x:c r="D1772" s="17" t="str">
        <x:v>C002</x:v>
      </x:c>
      <x:c r="E1772" s="17" t="str">
        <x:v>CampaignChat</x:v>
      </x:c>
      <x:c r="F1772" s="17" t="str">
        <x:v>Pro</x:v>
      </x:c>
      <x:c r="G1772" s="17" t="n">
        <x:v>12046</x:v>
      </x:c>
      <x:c r="H1772" s="17" t="n">
        <x:v>12229</x:v>
      </x:c>
      <x:c r="I1772" s="17" t="str">
        <x:v>Correction</x:v>
      </x:c>
      <x:c r="J1772" s="27" t="n">
        <x:f>INDEX('Model Pricing'!$B$7:$B$8,MATCH(F1772,'Model Pricing'!$A$7:$A$8,0))</x:f>
        <x:v>40</x:v>
      </x:c>
      <x:c r="K1772" s="27" t="n">
        <x:f>INDEX('Model Pricing'!$C$7:$C$8,MATCH(F1772,'Model Pricing'!$A$7:$A$8,0))</x:f>
        <x:v>100</x:v>
      </x:c>
      <x:c r="L1772" s="17" t="n">
        <x:f>G1772+H1772</x:f>
        <x:v>24275</x:v>
      </x:c>
      <x:c r="M1772" s="28" t="n">
        <x:f>G1772*J1772/1000000</x:f>
        <x:v>0.48184</x:v>
      </x:c>
      <x:c r="N1772" s="28" t="n">
        <x:f>H1772*K1772/1000000</x:f>
        <x:v>1.2229</x:v>
      </x:c>
      <x:c r="O1772" s="28" t="n">
        <x:f>SUM(M1772:N1772)</x:f>
        <x:v>1.7047400000000001</x:v>
      </x:c>
    </x:row>
    <x:row r="1773" ht="23" customHeight="1">
      <x:c r="A1773" s="17" t="str">
        <x:v>U01767</x:v>
      </x:c>
      <x:c r="B1773" s="18" t="n">
        <x:v>46293</x:v>
      </x:c>
      <x:c r="C1773" s="17" t="str">
        <x:v>W0119</x:v>
      </x:c>
      <x:c r="D1773" s="17" t="str">
        <x:v>C002</x:v>
      </x:c>
      <x:c r="E1773" s="17" t="str">
        <x:v>CampaignChat</x:v>
      </x:c>
      <x:c r="F1773" s="17" t="str">
        <x:v>Pro</x:v>
      </x:c>
      <x:c r="G1773" s="17" t="n">
        <x:v>16155</x:v>
      </x:c>
      <x:c r="H1773" s="17" t="n">
        <x:v>11266</x:v>
      </x:c>
      <x:c r="I1773" s="17" t="str">
        <x:v>Followup</x:v>
      </x:c>
      <x:c r="J1773" s="27" t="n">
        <x:f>INDEX('Model Pricing'!$B$7:$B$8,MATCH(F1773,'Model Pricing'!$A$7:$A$8,0))</x:f>
        <x:v>40</x:v>
      </x:c>
      <x:c r="K1773" s="27" t="n">
        <x:f>INDEX('Model Pricing'!$C$7:$C$8,MATCH(F1773,'Model Pricing'!$A$7:$A$8,0))</x:f>
        <x:v>100</x:v>
      </x:c>
      <x:c r="L1773" s="17" t="n">
        <x:f>G1773+H1773</x:f>
        <x:v>27421</x:v>
      </x:c>
      <x:c r="M1773" s="28" t="n">
        <x:f>G1773*J1773/1000000</x:f>
        <x:v>0.6462</x:v>
      </x:c>
      <x:c r="N1773" s="28" t="n">
        <x:f>H1773*K1773/1000000</x:f>
        <x:v>1.1266</x:v>
      </x:c>
      <x:c r="O1773" s="28" t="n">
        <x:f>SUM(M1773:N1773)</x:f>
        <x:v>1.7728000000000002</x:v>
      </x:c>
    </x:row>
    <x:row r="1774" ht="23" customHeight="1">
      <x:c r="A1774" s="17" t="str">
        <x:v>U01768</x:v>
      </x:c>
      <x:c r="B1774" s="18" t="n">
        <x:v>46294</x:v>
      </x:c>
      <x:c r="C1774" s="17" t="str">
        <x:v>W0119</x:v>
      </x:c>
      <x:c r="D1774" s="17" t="str">
        <x:v>C002</x:v>
      </x:c>
      <x:c r="E1774" s="17" t="str">
        <x:v>CampaignChat</x:v>
      </x:c>
      <x:c r="F1774" s="17" t="str">
        <x:v>Pro</x:v>
      </x:c>
      <x:c r="G1774" s="17" t="n">
        <x:v>14146</x:v>
      </x:c>
      <x:c r="H1774" s="17" t="n">
        <x:v>19819</x:v>
      </x:c>
      <x:c r="I1774" s="17" t="str">
        <x:v>Correction</x:v>
      </x:c>
      <x:c r="J1774" s="27" t="n">
        <x:f>INDEX('Model Pricing'!$B$7:$B$8,MATCH(F1774,'Model Pricing'!$A$7:$A$8,0))</x:f>
        <x:v>40</x:v>
      </x:c>
      <x:c r="K1774" s="27" t="n">
        <x:f>INDEX('Model Pricing'!$C$7:$C$8,MATCH(F1774,'Model Pricing'!$A$7:$A$8,0))</x:f>
        <x:v>100</x:v>
      </x:c>
      <x:c r="L1774" s="17" t="n">
        <x:f>G1774+H1774</x:f>
        <x:v>33965</x:v>
      </x:c>
      <x:c r="M1774" s="28" t="n">
        <x:f>G1774*J1774/1000000</x:f>
        <x:v>0.56584</x:v>
      </x:c>
      <x:c r="N1774" s="28" t="n">
        <x:f>H1774*K1774/1000000</x:f>
        <x:v>1.9819</x:v>
      </x:c>
      <x:c r="O1774" s="28" t="n">
        <x:f>SUM(M1774:N1774)</x:f>
        <x:v>2.54774</x:v>
      </x:c>
    </x:row>
    <x:row r="1775" ht="23" customHeight="1">
      <x:c r="A1775" s="17" t="str">
        <x:v>U01769</x:v>
      </x:c>
      <x:c r="B1775" s="18" t="n">
        <x:v>46294</x:v>
      </x:c>
      <x:c r="C1775" s="17" t="str">
        <x:v>W0119</x:v>
      </x:c>
      <x:c r="D1775" s="17" t="str">
        <x:v>C002</x:v>
      </x:c>
      <x:c r="E1775" s="17" t="str">
        <x:v>CampaignChat</x:v>
      </x:c>
      <x:c r="F1775" s="17" t="str">
        <x:v>Pro</x:v>
      </x:c>
      <x:c r="G1775" s="17" t="n">
        <x:v>13097</x:v>
      </x:c>
      <x:c r="H1775" s="17" t="n">
        <x:v>20046</x:v>
      </x:c>
      <x:c r="I1775" s="17" t="str">
        <x:v>Followup</x:v>
      </x:c>
      <x:c r="J1775" s="27" t="n">
        <x:f>INDEX('Model Pricing'!$B$7:$B$8,MATCH(F1775,'Model Pricing'!$A$7:$A$8,0))</x:f>
        <x:v>40</x:v>
      </x:c>
      <x:c r="K1775" s="27" t="n">
        <x:f>INDEX('Model Pricing'!$C$7:$C$8,MATCH(F1775,'Model Pricing'!$A$7:$A$8,0))</x:f>
        <x:v>100</x:v>
      </x:c>
      <x:c r="L1775" s="17" t="n">
        <x:f>G1775+H1775</x:f>
        <x:v>33143</x:v>
      </x:c>
      <x:c r="M1775" s="28" t="n">
        <x:f>G1775*J1775/1000000</x:f>
        <x:v>0.52388</x:v>
      </x:c>
      <x:c r="N1775" s="28" t="n">
        <x:f>H1775*K1775/1000000</x:f>
        <x:v>2.0046</x:v>
      </x:c>
      <x:c r="O1775" s="28" t="n">
        <x:f>SUM(M1775:N1775)</x:f>
        <x:v>2.52848</x:v>
      </x:c>
    </x:row>
    <x:row r="1776" ht="23" customHeight="1">
      <x:c r="A1776" s="17" t="str">
        <x:v>U01770</x:v>
      </x:c>
      <x:c r="B1776" s="18" t="n">
        <x:v>46294</x:v>
      </x:c>
      <x:c r="C1776" s="17" t="str">
        <x:v>W0119</x:v>
      </x:c>
      <x:c r="D1776" s="17" t="str">
        <x:v>C002</x:v>
      </x:c>
      <x:c r="E1776" s="17" t="str">
        <x:v>CampaignChat</x:v>
      </x:c>
      <x:c r="F1776" s="17" t="str">
        <x:v>Pro</x:v>
      </x:c>
      <x:c r="G1776" s="17" t="n">
        <x:v>14678</x:v>
      </x:c>
      <x:c r="H1776" s="17" t="n">
        <x:v>11694</x:v>
      </x:c>
      <x:c r="I1776" s="17" t="str">
        <x:v>Correction</x:v>
      </x:c>
      <x:c r="J1776" s="27" t="n">
        <x:f>INDEX('Model Pricing'!$B$7:$B$8,MATCH(F1776,'Model Pricing'!$A$7:$A$8,0))</x:f>
        <x:v>40</x:v>
      </x:c>
      <x:c r="K1776" s="27" t="n">
        <x:f>INDEX('Model Pricing'!$C$7:$C$8,MATCH(F1776,'Model Pricing'!$A$7:$A$8,0))</x:f>
        <x:v>100</x:v>
      </x:c>
      <x:c r="L1776" s="17" t="n">
        <x:f>G1776+H1776</x:f>
        <x:v>26372</x:v>
      </x:c>
      <x:c r="M1776" s="28" t="n">
        <x:f>G1776*J1776/1000000</x:f>
        <x:v>0.58712</x:v>
      </x:c>
      <x:c r="N1776" s="28" t="n">
        <x:f>H1776*K1776/1000000</x:f>
        <x:v>1.1694</x:v>
      </x:c>
      <x:c r="O1776" s="28" t="n">
        <x:f>SUM(M1776:N1776)</x:f>
        <x:v>1.75652</x:v>
      </x:c>
    </x:row>
    <x:row r="1777" ht="23" customHeight="1">
      <x:c r="A1777" s="17" t="str">
        <x:v>U01771</x:v>
      </x:c>
      <x:c r="B1777" s="18" t="n">
        <x:v>46294</x:v>
      </x:c>
      <x:c r="C1777" s="17" t="str">
        <x:v>W0119</x:v>
      </x:c>
      <x:c r="D1777" s="17" t="str">
        <x:v>C002</x:v>
      </x:c>
      <x:c r="E1777" s="17" t="str">
        <x:v>CampaignChat</x:v>
      </x:c>
      <x:c r="F1777" s="17" t="str">
        <x:v>Pro</x:v>
      </x:c>
      <x:c r="G1777" s="17" t="n">
        <x:v>20168</x:v>
      </x:c>
      <x:c r="H1777" s="17" t="n">
        <x:v>16228</x:v>
      </x:c>
      <x:c r="I1777" s="17" t="str">
        <x:v>Correction</x:v>
      </x:c>
      <x:c r="J1777" s="27" t="n">
        <x:f>INDEX('Model Pricing'!$B$7:$B$8,MATCH(F1777,'Model Pricing'!$A$7:$A$8,0))</x:f>
        <x:v>40</x:v>
      </x:c>
      <x:c r="K1777" s="27" t="n">
        <x:f>INDEX('Model Pricing'!$C$7:$C$8,MATCH(F1777,'Model Pricing'!$A$7:$A$8,0))</x:f>
        <x:v>100</x:v>
      </x:c>
      <x:c r="L1777" s="17" t="n">
        <x:f>G1777+H1777</x:f>
        <x:v>36396</x:v>
      </x:c>
      <x:c r="M1777" s="28" t="n">
        <x:f>G1777*J1777/1000000</x:f>
        <x:v>0.80672</x:v>
      </x:c>
      <x:c r="N1777" s="28" t="n">
        <x:f>H1777*K1777/1000000</x:f>
        <x:v>1.6228</x:v>
      </x:c>
      <x:c r="O1777" s="28" t="n">
        <x:f>SUM(M1777:N1777)</x:f>
        <x:v>2.42952</x:v>
      </x:c>
    </x:row>
    <x:row r="1778" ht="23" customHeight="1">
      <x:c r="A1778" s="17" t="str">
        <x:v>U01772</x:v>
      </x:c>
      <x:c r="B1778" s="18" t="n">
        <x:v>46294</x:v>
      </x:c>
      <x:c r="C1778" s="17" t="str">
        <x:v>W0119</x:v>
      </x:c>
      <x:c r="D1778" s="17" t="str">
        <x:v>C002</x:v>
      </x:c>
      <x:c r="E1778" s="17" t="str">
        <x:v>CampaignChat</x:v>
      </x:c>
      <x:c r="F1778" s="17" t="str">
        <x:v>Pro</x:v>
      </x:c>
      <x:c r="G1778" s="17" t="n">
        <x:v>13222</x:v>
      </x:c>
      <x:c r="H1778" s="17" t="n">
        <x:v>9687</x:v>
      </x:c>
      <x:c r="I1778" s="17" t="str">
        <x:v>Followup</x:v>
      </x:c>
      <x:c r="J1778" s="27" t="n">
        <x:f>INDEX('Model Pricing'!$B$7:$B$8,MATCH(F1778,'Model Pricing'!$A$7:$A$8,0))</x:f>
        <x:v>40</x:v>
      </x:c>
      <x:c r="K1778" s="27" t="n">
        <x:f>INDEX('Model Pricing'!$C$7:$C$8,MATCH(F1778,'Model Pricing'!$A$7:$A$8,0))</x:f>
        <x:v>100</x:v>
      </x:c>
      <x:c r="L1778" s="17" t="n">
        <x:f>G1778+H1778</x:f>
        <x:v>22909</x:v>
      </x:c>
      <x:c r="M1778" s="28" t="n">
        <x:f>G1778*J1778/1000000</x:f>
        <x:v>0.52888</x:v>
      </x:c>
      <x:c r="N1778" s="28" t="n">
        <x:f>H1778*K1778/1000000</x:f>
        <x:v>0.9687</x:v>
      </x:c>
      <x:c r="O1778" s="28" t="n">
        <x:f>SUM(M1778:N1778)</x:f>
        <x:v>1.4975800000000001</x:v>
      </x:c>
    </x:row>
    <x:row r="1779" ht="23" customHeight="1">
      <x:c r="A1779" s="17" t="str">
        <x:v>U01773</x:v>
      </x:c>
      <x:c r="B1779" s="18" t="n">
        <x:v>46294</x:v>
      </x:c>
      <x:c r="C1779" s="17" t="str">
        <x:v>W0119</x:v>
      </x:c>
      <x:c r="D1779" s="17" t="str">
        <x:v>C002</x:v>
      </x:c>
      <x:c r="E1779" s="17" t="str">
        <x:v>CampaignChat</x:v>
      </x:c>
      <x:c r="F1779" s="17" t="str">
        <x:v>Pro</x:v>
      </x:c>
      <x:c r="G1779" s="17" t="n">
        <x:v>18876</x:v>
      </x:c>
      <x:c r="H1779" s="17" t="n">
        <x:v>21367</x:v>
      </x:c>
      <x:c r="I1779" s="17" t="str">
        <x:v>Followup</x:v>
      </x:c>
      <x:c r="J1779" s="27" t="n">
        <x:f>INDEX('Model Pricing'!$B$7:$B$8,MATCH(F1779,'Model Pricing'!$A$7:$A$8,0))</x:f>
        <x:v>40</x:v>
      </x:c>
      <x:c r="K1779" s="27" t="n">
        <x:f>INDEX('Model Pricing'!$C$7:$C$8,MATCH(F1779,'Model Pricing'!$A$7:$A$8,0))</x:f>
        <x:v>100</x:v>
      </x:c>
      <x:c r="L1779" s="17" t="n">
        <x:f>G1779+H1779</x:f>
        <x:v>40243</x:v>
      </x:c>
      <x:c r="M1779" s="28" t="n">
        <x:f>G1779*J1779/1000000</x:f>
        <x:v>0.75504</x:v>
      </x:c>
      <x:c r="N1779" s="28" t="n">
        <x:f>H1779*K1779/1000000</x:f>
        <x:v>2.1367</x:v>
      </x:c>
      <x:c r="O1779" s="28" t="n">
        <x:f>SUM(M1779:N1779)</x:f>
        <x:v>2.89174</x:v>
      </x:c>
    </x:row>
    <x:row r="1780" ht="23" customHeight="1">
      <x:c r="A1780" s="17" t="str">
        <x:v>U01774</x:v>
      </x:c>
      <x:c r="B1780" s="18" t="n">
        <x:v>46274</x:v>
      </x:c>
      <x:c r="C1780" s="17" t="str">
        <x:v>W0120</x:v>
      </x:c>
      <x:c r="D1780" s="17" t="str">
        <x:v>C002</x:v>
      </x:c>
      <x:c r="E1780" s="17" t="str">
        <x:v>DataFlow</x:v>
      </x:c>
      <x:c r="F1780" s="17" t="str">
        <x:v>Pro</x:v>
      </x:c>
      <x:c r="G1780" s="17" t="n">
        <x:v>13745</x:v>
      </x:c>
      <x:c r="H1780" s="17" t="n">
        <x:v>17152</x:v>
      </x:c>
      <x:c r="I1780" s="17" t="str">
        <x:v>First attempt</x:v>
      </x:c>
      <x:c r="J1780" s="27" t="n">
        <x:f>INDEX('Model Pricing'!$B$7:$B$8,MATCH(F1780,'Model Pricing'!$A$7:$A$8,0))</x:f>
        <x:v>40</x:v>
      </x:c>
      <x:c r="K1780" s="27" t="n">
        <x:f>INDEX('Model Pricing'!$C$7:$C$8,MATCH(F1780,'Model Pricing'!$A$7:$A$8,0))</x:f>
        <x:v>100</x:v>
      </x:c>
      <x:c r="L1780" s="17" t="n">
        <x:f>G1780+H1780</x:f>
        <x:v>30897</x:v>
      </x:c>
      <x:c r="M1780" s="28" t="n">
        <x:f>G1780*J1780/1000000</x:f>
        <x:v>0.5498</x:v>
      </x:c>
      <x:c r="N1780" s="28" t="n">
        <x:f>H1780*K1780/1000000</x:f>
        <x:v>1.7152</x:v>
      </x:c>
      <x:c r="O1780" s="28" t="n">
        <x:f>SUM(M1780:N1780)</x:f>
        <x:v>2.265</x:v>
      </x:c>
    </x:row>
    <x:row r="1781" ht="23" customHeight="1">
      <x:c r="A1781" s="17" t="str">
        <x:v>U01775</x:v>
      </x:c>
      <x:c r="B1781" s="18" t="n">
        <x:v>46274</x:v>
      </x:c>
      <x:c r="C1781" s="17" t="str">
        <x:v>W0120</x:v>
      </x:c>
      <x:c r="D1781" s="17" t="str">
        <x:v>C002</x:v>
      </x:c>
      <x:c r="E1781" s="17" t="str">
        <x:v>DataFlow</x:v>
      </x:c>
      <x:c r="F1781" s="17" t="str">
        <x:v>Pro</x:v>
      </x:c>
      <x:c r="G1781" s="17" t="n">
        <x:v>23321</x:v>
      </x:c>
      <x:c r="H1781" s="17" t="n">
        <x:v>9584</x:v>
      </x:c>
      <x:c r="I1781" s="17" t="str">
        <x:v>Followup</x:v>
      </x:c>
      <x:c r="J1781" s="27" t="n">
        <x:f>INDEX('Model Pricing'!$B$7:$B$8,MATCH(F1781,'Model Pricing'!$A$7:$A$8,0))</x:f>
        <x:v>40</x:v>
      </x:c>
      <x:c r="K1781" s="27" t="n">
        <x:f>INDEX('Model Pricing'!$C$7:$C$8,MATCH(F1781,'Model Pricing'!$A$7:$A$8,0))</x:f>
        <x:v>100</x:v>
      </x:c>
      <x:c r="L1781" s="17" t="n">
        <x:f>G1781+H1781</x:f>
        <x:v>32905</x:v>
      </x:c>
      <x:c r="M1781" s="28" t="n">
        <x:f>G1781*J1781/1000000</x:f>
        <x:v>0.93284</x:v>
      </x:c>
      <x:c r="N1781" s="28" t="n">
        <x:f>H1781*K1781/1000000</x:f>
        <x:v>0.9584</x:v>
      </x:c>
      <x:c r="O1781" s="28" t="n">
        <x:f>SUM(M1781:N1781)</x:f>
        <x:v>1.89124</x:v>
      </x:c>
    </x:row>
    <x:row r="1782" ht="23" customHeight="1">
      <x:c r="A1782" s="17" t="str">
        <x:v>U01776</x:v>
      </x:c>
      <x:c r="B1782" s="18" t="n">
        <x:v>46274</x:v>
      </x:c>
      <x:c r="C1782" s="17" t="str">
        <x:v>W0120</x:v>
      </x:c>
      <x:c r="D1782" s="17" t="str">
        <x:v>C002</x:v>
      </x:c>
      <x:c r="E1782" s="17" t="str">
        <x:v>DataFlow</x:v>
      </x:c>
      <x:c r="F1782" s="17" t="str">
        <x:v>Pro</x:v>
      </x:c>
      <x:c r="G1782" s="17" t="n">
        <x:v>19099</x:v>
      </x:c>
      <x:c r="H1782" s="17" t="n">
        <x:v>16289</x:v>
      </x:c>
      <x:c r="I1782" s="17" t="str">
        <x:v>Followup</x:v>
      </x:c>
      <x:c r="J1782" s="27" t="n">
        <x:f>INDEX('Model Pricing'!$B$7:$B$8,MATCH(F1782,'Model Pricing'!$A$7:$A$8,0))</x:f>
        <x:v>40</x:v>
      </x:c>
      <x:c r="K1782" s="27" t="n">
        <x:f>INDEX('Model Pricing'!$C$7:$C$8,MATCH(F1782,'Model Pricing'!$A$7:$A$8,0))</x:f>
        <x:v>100</x:v>
      </x:c>
      <x:c r="L1782" s="17" t="n">
        <x:f>G1782+H1782</x:f>
        <x:v>35388</x:v>
      </x:c>
      <x:c r="M1782" s="28" t="n">
        <x:f>G1782*J1782/1000000</x:f>
        <x:v>0.76396</x:v>
      </x:c>
      <x:c r="N1782" s="28" t="n">
        <x:f>H1782*K1782/1000000</x:f>
        <x:v>1.6289</x:v>
      </x:c>
      <x:c r="O1782" s="28" t="n">
        <x:f>SUM(M1782:N1782)</x:f>
        <x:v>2.3928599999999998</x:v>
      </x:c>
    </x:row>
    <x:row r="1783" ht="23" customHeight="1">
      <x:c r="A1783" s="17" t="str">
        <x:v>U01777</x:v>
      </x:c>
      <x:c r="B1783" s="18" t="n">
        <x:v>46274</x:v>
      </x:c>
      <x:c r="C1783" s="17" t="str">
        <x:v>W0120</x:v>
      </x:c>
      <x:c r="D1783" s="17" t="str">
        <x:v>C002</x:v>
      </x:c>
      <x:c r="E1783" s="17" t="str">
        <x:v>DataFlow</x:v>
      </x:c>
      <x:c r="F1783" s="17" t="str">
        <x:v>Pro</x:v>
      </x:c>
      <x:c r="G1783" s="17" t="n">
        <x:v>11214</x:v>
      </x:c>
      <x:c r="H1783" s="17" t="n">
        <x:v>14684</x:v>
      </x:c>
      <x:c r="I1783" s="17" t="str">
        <x:v>Followup</x:v>
      </x:c>
      <x:c r="J1783" s="27" t="n">
        <x:f>INDEX('Model Pricing'!$B$7:$B$8,MATCH(F1783,'Model Pricing'!$A$7:$A$8,0))</x:f>
        <x:v>40</x:v>
      </x:c>
      <x:c r="K1783" s="27" t="n">
        <x:f>INDEX('Model Pricing'!$C$7:$C$8,MATCH(F1783,'Model Pricing'!$A$7:$A$8,0))</x:f>
        <x:v>100</x:v>
      </x:c>
      <x:c r="L1783" s="17" t="n">
        <x:f>G1783+H1783</x:f>
        <x:v>25898</x:v>
      </x:c>
      <x:c r="M1783" s="28" t="n">
        <x:f>G1783*J1783/1000000</x:f>
        <x:v>0.44856</x:v>
      </x:c>
      <x:c r="N1783" s="28" t="n">
        <x:f>H1783*K1783/1000000</x:f>
        <x:v>1.4684</x:v>
      </x:c>
      <x:c r="O1783" s="28" t="n">
        <x:f>SUM(M1783:N1783)</x:f>
        <x:v>1.91696</x:v>
      </x:c>
    </x:row>
    <x:row r="1784" ht="23" customHeight="1">
      <x:c r="A1784" s="17" t="str">
        <x:v>U01778</x:v>
      </x:c>
      <x:c r="B1784" s="18" t="n">
        <x:v>46274</x:v>
      </x:c>
      <x:c r="C1784" s="17" t="str">
        <x:v>W0120</x:v>
      </x:c>
      <x:c r="D1784" s="17" t="str">
        <x:v>C002</x:v>
      </x:c>
      <x:c r="E1784" s="17" t="str">
        <x:v>DataFlow</x:v>
      </x:c>
      <x:c r="F1784" s="17" t="str">
        <x:v>Pro</x:v>
      </x:c>
      <x:c r="G1784" s="17" t="n">
        <x:v>25143</x:v>
      </x:c>
      <x:c r="H1784" s="17" t="n">
        <x:v>12265</x:v>
      </x:c>
      <x:c r="I1784" s="17" t="str">
        <x:v>Followup</x:v>
      </x:c>
      <x:c r="J1784" s="27" t="n">
        <x:f>INDEX('Model Pricing'!$B$7:$B$8,MATCH(F1784,'Model Pricing'!$A$7:$A$8,0))</x:f>
        <x:v>40</x:v>
      </x:c>
      <x:c r="K1784" s="27" t="n">
        <x:f>INDEX('Model Pricing'!$C$7:$C$8,MATCH(F1784,'Model Pricing'!$A$7:$A$8,0))</x:f>
        <x:v>100</x:v>
      </x:c>
      <x:c r="L1784" s="17" t="n">
        <x:f>G1784+H1784</x:f>
        <x:v>37408</x:v>
      </x:c>
      <x:c r="M1784" s="28" t="n">
        <x:f>G1784*J1784/1000000</x:f>
        <x:v>1.00572</x:v>
      </x:c>
      <x:c r="N1784" s="28" t="n">
        <x:f>H1784*K1784/1000000</x:f>
        <x:v>1.2265</x:v>
      </x:c>
      <x:c r="O1784" s="28" t="n">
        <x:f>SUM(M1784:N1784)</x:f>
        <x:v>2.23222</x:v>
      </x:c>
    </x:row>
    <x:row r="1785" ht="23" customHeight="1">
      <x:c r="A1785" s="17" t="str">
        <x:v>U01779</x:v>
      </x:c>
      <x:c r="B1785" s="18" t="n">
        <x:v>46274</x:v>
      </x:c>
      <x:c r="C1785" s="17" t="str">
        <x:v>W0120</x:v>
      </x:c>
      <x:c r="D1785" s="17" t="str">
        <x:v>C002</x:v>
      </x:c>
      <x:c r="E1785" s="17" t="str">
        <x:v>DataFlow</x:v>
      </x:c>
      <x:c r="F1785" s="17" t="str">
        <x:v>Pro</x:v>
      </x:c>
      <x:c r="G1785" s="17" t="n">
        <x:v>16834</x:v>
      </x:c>
      <x:c r="H1785" s="17" t="n">
        <x:v>18609</x:v>
      </x:c>
      <x:c r="I1785" s="17" t="str">
        <x:v>Followup</x:v>
      </x:c>
      <x:c r="J1785" s="27" t="n">
        <x:f>INDEX('Model Pricing'!$B$7:$B$8,MATCH(F1785,'Model Pricing'!$A$7:$A$8,0))</x:f>
        <x:v>40</x:v>
      </x:c>
      <x:c r="K1785" s="27" t="n">
        <x:f>INDEX('Model Pricing'!$C$7:$C$8,MATCH(F1785,'Model Pricing'!$A$7:$A$8,0))</x:f>
        <x:v>100</x:v>
      </x:c>
      <x:c r="L1785" s="17" t="n">
        <x:f>G1785+H1785</x:f>
        <x:v>35443</x:v>
      </x:c>
      <x:c r="M1785" s="28" t="n">
        <x:f>G1785*J1785/1000000</x:f>
        <x:v>0.67336</x:v>
      </x:c>
      <x:c r="N1785" s="28" t="n">
        <x:f>H1785*K1785/1000000</x:f>
        <x:v>1.8609</x:v>
      </x:c>
      <x:c r="O1785" s="28" t="n">
        <x:f>SUM(M1785:N1785)</x:f>
        <x:v>2.5342599999999997</x:v>
      </x:c>
    </x:row>
    <x:row r="1786" ht="23" customHeight="1">
      <x:c r="A1786" s="17" t="str">
        <x:v>U01780</x:v>
      </x:c>
      <x:c r="B1786" s="18" t="n">
        <x:v>46274</x:v>
      </x:c>
      <x:c r="C1786" s="17" t="str">
        <x:v>W0120</x:v>
      </x:c>
      <x:c r="D1786" s="17" t="str">
        <x:v>C002</x:v>
      </x:c>
      <x:c r="E1786" s="17" t="str">
        <x:v>DataFlow</x:v>
      </x:c>
      <x:c r="F1786" s="17" t="str">
        <x:v>Pro</x:v>
      </x:c>
      <x:c r="G1786" s="17" t="n">
        <x:v>14729</x:v>
      </x:c>
      <x:c r="H1786" s="17" t="n">
        <x:v>19305</x:v>
      </x:c>
      <x:c r="I1786" s="17" t="str">
        <x:v>Followup</x:v>
      </x:c>
      <x:c r="J1786" s="27" t="n">
        <x:f>INDEX('Model Pricing'!$B$7:$B$8,MATCH(F1786,'Model Pricing'!$A$7:$A$8,0))</x:f>
        <x:v>40</x:v>
      </x:c>
      <x:c r="K1786" s="27" t="n">
        <x:f>INDEX('Model Pricing'!$C$7:$C$8,MATCH(F1786,'Model Pricing'!$A$7:$A$8,0))</x:f>
        <x:v>100</x:v>
      </x:c>
      <x:c r="L1786" s="17" t="n">
        <x:f>G1786+H1786</x:f>
        <x:v>34034</x:v>
      </x:c>
      <x:c r="M1786" s="28" t="n">
        <x:f>G1786*J1786/1000000</x:f>
        <x:v>0.58916</x:v>
      </x:c>
      <x:c r="N1786" s="28" t="n">
        <x:f>H1786*K1786/1000000</x:f>
        <x:v>1.9305</x:v>
      </x:c>
      <x:c r="O1786" s="28" t="n">
        <x:f>SUM(M1786:N1786)</x:f>
        <x:v>2.51966</x:v>
      </x:c>
    </x:row>
    <x:row r="1787" ht="23" customHeight="1">
      <x:c r="A1787" s="17" t="str">
        <x:v>U01781</x:v>
      </x:c>
      <x:c r="B1787" s="18" t="n">
        <x:v>46275</x:v>
      </x:c>
      <x:c r="C1787" s="17" t="str">
        <x:v>W0120</x:v>
      </x:c>
      <x:c r="D1787" s="17" t="str">
        <x:v>C002</x:v>
      </x:c>
      <x:c r="E1787" s="17" t="str">
        <x:v>DataFlow</x:v>
      </x:c>
      <x:c r="F1787" s="17" t="str">
        <x:v>Pro</x:v>
      </x:c>
      <x:c r="G1787" s="17" t="n">
        <x:v>18377</x:v>
      </x:c>
      <x:c r="H1787" s="17" t="n">
        <x:v>10089</x:v>
      </x:c>
      <x:c r="I1787" s="17" t="str">
        <x:v>Correction</x:v>
      </x:c>
      <x:c r="J1787" s="27" t="n">
        <x:f>INDEX('Model Pricing'!$B$7:$B$8,MATCH(F1787,'Model Pricing'!$A$7:$A$8,0))</x:f>
        <x:v>40</x:v>
      </x:c>
      <x:c r="K1787" s="27" t="n">
        <x:f>INDEX('Model Pricing'!$C$7:$C$8,MATCH(F1787,'Model Pricing'!$A$7:$A$8,0))</x:f>
        <x:v>100</x:v>
      </x:c>
      <x:c r="L1787" s="17" t="n">
        <x:f>G1787+H1787</x:f>
        <x:v>28466</x:v>
      </x:c>
      <x:c r="M1787" s="28" t="n">
        <x:f>G1787*J1787/1000000</x:f>
        <x:v>0.73508</x:v>
      </x:c>
      <x:c r="N1787" s="28" t="n">
        <x:f>H1787*K1787/1000000</x:f>
        <x:v>1.0089</x:v>
      </x:c>
      <x:c r="O1787" s="28" t="n">
        <x:f>SUM(M1787:N1787)</x:f>
        <x:v>1.7439799999999999</x:v>
      </x:c>
    </x:row>
    <x:row r="1788" ht="23" customHeight="1">
      <x:c r="A1788" s="17" t="str">
        <x:v>U01782</x:v>
      </x:c>
      <x:c r="B1788" s="18" t="n">
        <x:v>46275</x:v>
      </x:c>
      <x:c r="C1788" s="17" t="str">
        <x:v>W0120</x:v>
      </x:c>
      <x:c r="D1788" s="17" t="str">
        <x:v>C002</x:v>
      </x:c>
      <x:c r="E1788" s="17" t="str">
        <x:v>DataFlow</x:v>
      </x:c>
      <x:c r="F1788" s="17" t="str">
        <x:v>Pro</x:v>
      </x:c>
      <x:c r="G1788" s="17" t="n">
        <x:v>21424</x:v>
      </x:c>
      <x:c r="H1788" s="17" t="n">
        <x:v>10367</x:v>
      </x:c>
      <x:c r="I1788" s="17" t="str">
        <x:v>Followup</x:v>
      </x:c>
      <x:c r="J1788" s="27" t="n">
        <x:f>INDEX('Model Pricing'!$B$7:$B$8,MATCH(F1788,'Model Pricing'!$A$7:$A$8,0))</x:f>
        <x:v>40</x:v>
      </x:c>
      <x:c r="K1788" s="27" t="n">
        <x:f>INDEX('Model Pricing'!$C$7:$C$8,MATCH(F1788,'Model Pricing'!$A$7:$A$8,0))</x:f>
        <x:v>100</x:v>
      </x:c>
      <x:c r="L1788" s="17" t="n">
        <x:f>G1788+H1788</x:f>
        <x:v>31791</x:v>
      </x:c>
      <x:c r="M1788" s="28" t="n">
        <x:f>G1788*J1788/1000000</x:f>
        <x:v>0.85696</x:v>
      </x:c>
      <x:c r="N1788" s="28" t="n">
        <x:f>H1788*K1788/1000000</x:f>
        <x:v>1.0367</x:v>
      </x:c>
      <x:c r="O1788" s="28" t="n">
        <x:f>SUM(M1788:N1788)</x:f>
        <x:v>1.8936600000000001</x:v>
      </x:c>
    </x:row>
    <x:row r="1789" ht="23" customHeight="1">
      <x:c r="A1789" s="17" t="str">
        <x:v>U01783</x:v>
      </x:c>
      <x:c r="B1789" s="18" t="n">
        <x:v>46275</x:v>
      </x:c>
      <x:c r="C1789" s="17" t="str">
        <x:v>W0120</x:v>
      </x:c>
      <x:c r="D1789" s="17" t="str">
        <x:v>C002</x:v>
      </x:c>
      <x:c r="E1789" s="17" t="str">
        <x:v>DataFlow</x:v>
      </x:c>
      <x:c r="F1789" s="17" t="str">
        <x:v>Pro</x:v>
      </x:c>
      <x:c r="G1789" s="17" t="n">
        <x:v>17878</x:v>
      </x:c>
      <x:c r="H1789" s="17" t="n">
        <x:v>18115</x:v>
      </x:c>
      <x:c r="I1789" s="17" t="str">
        <x:v>Correction</x:v>
      </x:c>
      <x:c r="J1789" s="27" t="n">
        <x:f>INDEX('Model Pricing'!$B$7:$B$8,MATCH(F1789,'Model Pricing'!$A$7:$A$8,0))</x:f>
        <x:v>40</x:v>
      </x:c>
      <x:c r="K1789" s="27" t="n">
        <x:f>INDEX('Model Pricing'!$C$7:$C$8,MATCH(F1789,'Model Pricing'!$A$7:$A$8,0))</x:f>
        <x:v>100</x:v>
      </x:c>
      <x:c r="L1789" s="17" t="n">
        <x:f>G1789+H1789</x:f>
        <x:v>35993</x:v>
      </x:c>
      <x:c r="M1789" s="28" t="n">
        <x:f>G1789*J1789/1000000</x:f>
        <x:v>0.71512</x:v>
      </x:c>
      <x:c r="N1789" s="28" t="n">
        <x:f>H1789*K1789/1000000</x:f>
        <x:v>1.8115</x:v>
      </x:c>
      <x:c r="O1789" s="28" t="n">
        <x:f>SUM(M1789:N1789)</x:f>
        <x:v>2.5266200000000003</x:v>
      </x:c>
    </x:row>
    <x:row r="1790" ht="23" customHeight="1">
      <x:c r="A1790" s="17" t="str">
        <x:v>U01784</x:v>
      </x:c>
      <x:c r="B1790" s="18" t="n">
        <x:v>46275</x:v>
      </x:c>
      <x:c r="C1790" s="17" t="str">
        <x:v>W0120</x:v>
      </x:c>
      <x:c r="D1790" s="17" t="str">
        <x:v>C002</x:v>
      </x:c>
      <x:c r="E1790" s="17" t="str">
        <x:v>DataFlow</x:v>
      </x:c>
      <x:c r="F1790" s="17" t="str">
        <x:v>Pro</x:v>
      </x:c>
      <x:c r="G1790" s="17" t="n">
        <x:v>23505</x:v>
      </x:c>
      <x:c r="H1790" s="17" t="n">
        <x:v>17869</x:v>
      </x:c>
      <x:c r="I1790" s="17" t="str">
        <x:v>Correction</x:v>
      </x:c>
      <x:c r="J1790" s="27" t="n">
        <x:f>INDEX('Model Pricing'!$B$7:$B$8,MATCH(F1790,'Model Pricing'!$A$7:$A$8,0))</x:f>
        <x:v>40</x:v>
      </x:c>
      <x:c r="K1790" s="27" t="n">
        <x:f>INDEX('Model Pricing'!$C$7:$C$8,MATCH(F1790,'Model Pricing'!$A$7:$A$8,0))</x:f>
        <x:v>100</x:v>
      </x:c>
      <x:c r="L1790" s="17" t="n">
        <x:f>G1790+H1790</x:f>
        <x:v>41374</x:v>
      </x:c>
      <x:c r="M1790" s="28" t="n">
        <x:f>G1790*J1790/1000000</x:f>
        <x:v>0.9402</x:v>
      </x:c>
      <x:c r="N1790" s="28" t="n">
        <x:f>H1790*K1790/1000000</x:f>
        <x:v>1.7869</x:v>
      </x:c>
      <x:c r="O1790" s="28" t="n">
        <x:f>SUM(M1790:N1790)</x:f>
        <x:v>2.7271</x:v>
      </x:c>
    </x:row>
    <x:row r="1791" ht="23" customHeight="1">
      <x:c r="A1791" s="17" t="str">
        <x:v>U01785</x:v>
      </x:c>
      <x:c r="B1791" s="18" t="n">
        <x:v>46275</x:v>
      </x:c>
      <x:c r="C1791" s="17" t="str">
        <x:v>W0120</x:v>
      </x:c>
      <x:c r="D1791" s="17" t="str">
        <x:v>C002</x:v>
      </x:c>
      <x:c r="E1791" s="17" t="str">
        <x:v>DataFlow</x:v>
      </x:c>
      <x:c r="F1791" s="17" t="str">
        <x:v>Pro</x:v>
      </x:c>
      <x:c r="G1791" s="17" t="n">
        <x:v>16596</x:v>
      </x:c>
      <x:c r="H1791" s="17" t="n">
        <x:v>9490</x:v>
      </x:c>
      <x:c r="I1791" s="17" t="str">
        <x:v>Followup</x:v>
      </x:c>
      <x:c r="J1791" s="27" t="n">
        <x:f>INDEX('Model Pricing'!$B$7:$B$8,MATCH(F1791,'Model Pricing'!$A$7:$A$8,0))</x:f>
        <x:v>40</x:v>
      </x:c>
      <x:c r="K1791" s="27" t="n">
        <x:f>INDEX('Model Pricing'!$C$7:$C$8,MATCH(F1791,'Model Pricing'!$A$7:$A$8,0))</x:f>
        <x:v>100</x:v>
      </x:c>
      <x:c r="L1791" s="17" t="n">
        <x:f>G1791+H1791</x:f>
        <x:v>26086</x:v>
      </x:c>
      <x:c r="M1791" s="28" t="n">
        <x:f>G1791*J1791/1000000</x:f>
        <x:v>0.66384</x:v>
      </x:c>
      <x:c r="N1791" s="28" t="n">
        <x:f>H1791*K1791/1000000</x:f>
        <x:v>0.949</x:v>
      </x:c>
      <x:c r="O1791" s="28" t="n">
        <x:f>SUM(M1791:N1791)</x:f>
        <x:v>1.6128399999999998</x:v>
      </x:c>
    </x:row>
    <x:row r="1792" ht="23" customHeight="1">
      <x:c r="A1792" s="17" t="str">
        <x:v>U01786</x:v>
      </x:c>
      <x:c r="B1792" s="18" t="n">
        <x:v>46275</x:v>
      </x:c>
      <x:c r="C1792" s="17" t="str">
        <x:v>W0120</x:v>
      </x:c>
      <x:c r="D1792" s="17" t="str">
        <x:v>C002</x:v>
      </x:c>
      <x:c r="E1792" s="17" t="str">
        <x:v>DataFlow</x:v>
      </x:c>
      <x:c r="F1792" s="17" t="str">
        <x:v>Pro</x:v>
      </x:c>
      <x:c r="G1792" s="17" t="n">
        <x:v>9687</x:v>
      </x:c>
      <x:c r="H1792" s="17" t="n">
        <x:v>6071</x:v>
      </x:c>
      <x:c r="I1792" s="17" t="str">
        <x:v>Correction</x:v>
      </x:c>
      <x:c r="J1792" s="27" t="n">
        <x:f>INDEX('Model Pricing'!$B$7:$B$8,MATCH(F1792,'Model Pricing'!$A$7:$A$8,0))</x:f>
        <x:v>40</x:v>
      </x:c>
      <x:c r="K1792" s="27" t="n">
        <x:f>INDEX('Model Pricing'!$C$7:$C$8,MATCH(F1792,'Model Pricing'!$A$7:$A$8,0))</x:f>
        <x:v>100</x:v>
      </x:c>
      <x:c r="L1792" s="17" t="n">
        <x:f>G1792+H1792</x:f>
        <x:v>15758</x:v>
      </x:c>
      <x:c r="M1792" s="28" t="n">
        <x:f>G1792*J1792/1000000</x:f>
        <x:v>0.38748</x:v>
      </x:c>
      <x:c r="N1792" s="28" t="n">
        <x:f>H1792*K1792/1000000</x:f>
        <x:v>0.6071</x:v>
      </x:c>
      <x:c r="O1792" s="28" t="n">
        <x:f>SUM(M1792:N1792)</x:f>
        <x:v>0.99458</x:v>
      </x:c>
    </x:row>
    <x:row r="1793" ht="23" customHeight="1">
      <x:c r="A1793" s="17" t="str">
        <x:v>U01787</x:v>
      </x:c>
      <x:c r="B1793" s="18" t="n">
        <x:v>46275</x:v>
      </x:c>
      <x:c r="C1793" s="17" t="str">
        <x:v>W0120</x:v>
      </x:c>
      <x:c r="D1793" s="17" t="str">
        <x:v>C002</x:v>
      </x:c>
      <x:c r="E1793" s="17" t="str">
        <x:v>DataFlow</x:v>
      </x:c>
      <x:c r="F1793" s="17" t="str">
        <x:v>Pro</x:v>
      </x:c>
      <x:c r="G1793" s="17" t="n">
        <x:v>20770</x:v>
      </x:c>
      <x:c r="H1793" s="17" t="n">
        <x:v>17151</x:v>
      </x:c>
      <x:c r="I1793" s="17" t="str">
        <x:v>Correction</x:v>
      </x:c>
      <x:c r="J1793" s="27" t="n">
        <x:f>INDEX('Model Pricing'!$B$7:$B$8,MATCH(F1793,'Model Pricing'!$A$7:$A$8,0))</x:f>
        <x:v>40</x:v>
      </x:c>
      <x:c r="K1793" s="27" t="n">
        <x:f>INDEX('Model Pricing'!$C$7:$C$8,MATCH(F1793,'Model Pricing'!$A$7:$A$8,0))</x:f>
        <x:v>100</x:v>
      </x:c>
      <x:c r="L1793" s="17" t="n">
        <x:f>G1793+H1793</x:f>
        <x:v>37921</x:v>
      </x:c>
      <x:c r="M1793" s="28" t="n">
        <x:f>G1793*J1793/1000000</x:f>
        <x:v>0.8308</x:v>
      </x:c>
      <x:c r="N1793" s="28" t="n">
        <x:f>H1793*K1793/1000000</x:f>
        <x:v>1.7151</x:v>
      </x:c>
      <x:c r="O1793" s="28" t="n">
        <x:f>SUM(M1793:N1793)</x:f>
        <x:v>2.5459</x:v>
      </x:c>
    </x:row>
    <x:row r="1794" ht="23" customHeight="1">
      <x:c r="A1794" s="17" t="str">
        <x:v>U01788</x:v>
      </x:c>
      <x:c r="B1794" s="18" t="n">
        <x:v>46276</x:v>
      </x:c>
      <x:c r="C1794" s="17" t="str">
        <x:v>W0120</x:v>
      </x:c>
      <x:c r="D1794" s="17" t="str">
        <x:v>C002</x:v>
      </x:c>
      <x:c r="E1794" s="17" t="str">
        <x:v>DataFlow</x:v>
      </x:c>
      <x:c r="F1794" s="17" t="str">
        <x:v>Pro</x:v>
      </x:c>
      <x:c r="G1794" s="17" t="n">
        <x:v>18271</x:v>
      </x:c>
      <x:c r="H1794" s="17" t="n">
        <x:v>9427</x:v>
      </x:c>
      <x:c r="I1794" s="17" t="str">
        <x:v>Followup</x:v>
      </x:c>
      <x:c r="J1794" s="27" t="n">
        <x:f>INDEX('Model Pricing'!$B$7:$B$8,MATCH(F1794,'Model Pricing'!$A$7:$A$8,0))</x:f>
        <x:v>40</x:v>
      </x:c>
      <x:c r="K1794" s="27" t="n">
        <x:f>INDEX('Model Pricing'!$C$7:$C$8,MATCH(F1794,'Model Pricing'!$A$7:$A$8,0))</x:f>
        <x:v>100</x:v>
      </x:c>
      <x:c r="L1794" s="17" t="n">
        <x:f>G1794+H1794</x:f>
        <x:v>27698</x:v>
      </x:c>
      <x:c r="M1794" s="28" t="n">
        <x:f>G1794*J1794/1000000</x:f>
        <x:v>0.73084</x:v>
      </x:c>
      <x:c r="N1794" s="28" t="n">
        <x:f>H1794*K1794/1000000</x:f>
        <x:v>0.9427</x:v>
      </x:c>
      <x:c r="O1794" s="28" t="n">
        <x:f>SUM(M1794:N1794)</x:f>
        <x:v>1.67354</x:v>
      </x:c>
    </x:row>
    <x:row r="1795" ht="23" customHeight="1">
      <x:c r="A1795" s="17" t="str">
        <x:v>U01789</x:v>
      </x:c>
      <x:c r="B1795" s="18" t="n">
        <x:v>46276</x:v>
      </x:c>
      <x:c r="C1795" s="17" t="str">
        <x:v>W0120</x:v>
      </x:c>
      <x:c r="D1795" s="17" t="str">
        <x:v>C002</x:v>
      </x:c>
      <x:c r="E1795" s="17" t="str">
        <x:v>DataFlow</x:v>
      </x:c>
      <x:c r="F1795" s="17" t="str">
        <x:v>Pro</x:v>
      </x:c>
      <x:c r="G1795" s="17" t="n">
        <x:v>23134</x:v>
      </x:c>
      <x:c r="H1795" s="17" t="n">
        <x:v>12218</x:v>
      </x:c>
      <x:c r="I1795" s="17" t="str">
        <x:v>Correction</x:v>
      </x:c>
      <x:c r="J1795" s="27" t="n">
        <x:f>INDEX('Model Pricing'!$B$7:$B$8,MATCH(F1795,'Model Pricing'!$A$7:$A$8,0))</x:f>
        <x:v>40</x:v>
      </x:c>
      <x:c r="K1795" s="27" t="n">
        <x:f>INDEX('Model Pricing'!$C$7:$C$8,MATCH(F1795,'Model Pricing'!$A$7:$A$8,0))</x:f>
        <x:v>100</x:v>
      </x:c>
      <x:c r="L1795" s="17" t="n">
        <x:f>G1795+H1795</x:f>
        <x:v>35352</x:v>
      </x:c>
      <x:c r="M1795" s="28" t="n">
        <x:f>G1795*J1795/1000000</x:f>
        <x:v>0.92536</x:v>
      </x:c>
      <x:c r="N1795" s="28" t="n">
        <x:f>H1795*K1795/1000000</x:f>
        <x:v>1.2218</x:v>
      </x:c>
      <x:c r="O1795" s="28" t="n">
        <x:f>SUM(M1795:N1795)</x:f>
        <x:v>2.14716</x:v>
      </x:c>
    </x:row>
    <x:row r="1796" ht="23" customHeight="1">
      <x:c r="A1796" s="17" t="str">
        <x:v>U01790</x:v>
      </x:c>
      <x:c r="B1796" s="18" t="n">
        <x:v>46276</x:v>
      </x:c>
      <x:c r="C1796" s="17" t="str">
        <x:v>W0120</x:v>
      </x:c>
      <x:c r="D1796" s="17" t="str">
        <x:v>C002</x:v>
      </x:c>
      <x:c r="E1796" s="17" t="str">
        <x:v>DataFlow</x:v>
      </x:c>
      <x:c r="F1796" s="17" t="str">
        <x:v>Pro</x:v>
      </x:c>
      <x:c r="G1796" s="17" t="n">
        <x:v>14572</x:v>
      </x:c>
      <x:c r="H1796" s="17" t="n">
        <x:v>11169</x:v>
      </x:c>
      <x:c r="I1796" s="17" t="str">
        <x:v>Correction</x:v>
      </x:c>
      <x:c r="J1796" s="27" t="n">
        <x:f>INDEX('Model Pricing'!$B$7:$B$8,MATCH(F1796,'Model Pricing'!$A$7:$A$8,0))</x:f>
        <x:v>40</x:v>
      </x:c>
      <x:c r="K1796" s="27" t="n">
        <x:f>INDEX('Model Pricing'!$C$7:$C$8,MATCH(F1796,'Model Pricing'!$A$7:$A$8,0))</x:f>
        <x:v>100</x:v>
      </x:c>
      <x:c r="L1796" s="17" t="n">
        <x:f>G1796+H1796</x:f>
        <x:v>25741</x:v>
      </x:c>
      <x:c r="M1796" s="28" t="n">
        <x:f>G1796*J1796/1000000</x:f>
        <x:v>0.58288</x:v>
      </x:c>
      <x:c r="N1796" s="28" t="n">
        <x:f>H1796*K1796/1000000</x:f>
        <x:v>1.1169</x:v>
      </x:c>
      <x:c r="O1796" s="28" t="n">
        <x:f>SUM(M1796:N1796)</x:f>
        <x:v>1.69978</x:v>
      </x:c>
    </x:row>
    <x:row r="1797" ht="23" customHeight="1">
      <x:c r="A1797" s="17" t="str">
        <x:v>U01791</x:v>
      </x:c>
      <x:c r="B1797" s="18" t="n">
        <x:v>46276</x:v>
      </x:c>
      <x:c r="C1797" s="17" t="str">
        <x:v>W0120</x:v>
      </x:c>
      <x:c r="D1797" s="17" t="str">
        <x:v>C002</x:v>
      </x:c>
      <x:c r="E1797" s="17" t="str">
        <x:v>DataFlow</x:v>
      </x:c>
      <x:c r="F1797" s="17" t="str">
        <x:v>Pro</x:v>
      </x:c>
      <x:c r="G1797" s="17" t="n">
        <x:v>25142</x:v>
      </x:c>
      <x:c r="H1797" s="17" t="n">
        <x:v>11082</x:v>
      </x:c>
      <x:c r="I1797" s="17" t="str">
        <x:v>Followup</x:v>
      </x:c>
      <x:c r="J1797" s="27" t="n">
        <x:f>INDEX('Model Pricing'!$B$7:$B$8,MATCH(F1797,'Model Pricing'!$A$7:$A$8,0))</x:f>
        <x:v>40</x:v>
      </x:c>
      <x:c r="K1797" s="27" t="n">
        <x:f>INDEX('Model Pricing'!$C$7:$C$8,MATCH(F1797,'Model Pricing'!$A$7:$A$8,0))</x:f>
        <x:v>100</x:v>
      </x:c>
      <x:c r="L1797" s="17" t="n">
        <x:f>G1797+H1797</x:f>
        <x:v>36224</x:v>
      </x:c>
      <x:c r="M1797" s="28" t="n">
        <x:f>G1797*J1797/1000000</x:f>
        <x:v>1.00568</x:v>
      </x:c>
      <x:c r="N1797" s="28" t="n">
        <x:f>H1797*K1797/1000000</x:f>
        <x:v>1.1082</x:v>
      </x:c>
      <x:c r="O1797" s="28" t="n">
        <x:f>SUM(M1797:N1797)</x:f>
        <x:v>2.11388</x:v>
      </x:c>
    </x:row>
    <x:row r="1798" ht="23" customHeight="1">
      <x:c r="A1798" s="17" t="str">
        <x:v>U01792</x:v>
      </x:c>
      <x:c r="B1798" s="18" t="n">
        <x:v>46276</x:v>
      </x:c>
      <x:c r="C1798" s="17" t="str">
        <x:v>W0120</x:v>
      </x:c>
      <x:c r="D1798" s="17" t="str">
        <x:v>C002</x:v>
      </x:c>
      <x:c r="E1798" s="17" t="str">
        <x:v>DataFlow</x:v>
      </x:c>
      <x:c r="F1798" s="17" t="str">
        <x:v>Pro</x:v>
      </x:c>
      <x:c r="G1798" s="17" t="n">
        <x:v>18739</x:v>
      </x:c>
      <x:c r="H1798" s="17" t="n">
        <x:v>20567</x:v>
      </x:c>
      <x:c r="I1798" s="17" t="str">
        <x:v>Followup</x:v>
      </x:c>
      <x:c r="J1798" s="27" t="n">
        <x:f>INDEX('Model Pricing'!$B$7:$B$8,MATCH(F1798,'Model Pricing'!$A$7:$A$8,0))</x:f>
        <x:v>40</x:v>
      </x:c>
      <x:c r="K1798" s="27" t="n">
        <x:f>INDEX('Model Pricing'!$C$7:$C$8,MATCH(F1798,'Model Pricing'!$A$7:$A$8,0))</x:f>
        <x:v>100</x:v>
      </x:c>
      <x:c r="L1798" s="17" t="n">
        <x:f>G1798+H1798</x:f>
        <x:v>39306</x:v>
      </x:c>
      <x:c r="M1798" s="28" t="n">
        <x:f>G1798*J1798/1000000</x:f>
        <x:v>0.74956</x:v>
      </x:c>
      <x:c r="N1798" s="28" t="n">
        <x:f>H1798*K1798/1000000</x:f>
        <x:v>2.0567</x:v>
      </x:c>
      <x:c r="O1798" s="28" t="n">
        <x:f>SUM(M1798:N1798)</x:f>
        <x:v>2.80626</x:v>
      </x:c>
    </x:row>
    <x:row r="1799" ht="23" customHeight="1">
      <x:c r="A1799" s="17" t="str">
        <x:v>U01793</x:v>
      </x:c>
      <x:c r="B1799" s="18" t="n">
        <x:v>46276</x:v>
      </x:c>
      <x:c r="C1799" s="17" t="str">
        <x:v>W0120</x:v>
      </x:c>
      <x:c r="D1799" s="17" t="str">
        <x:v>C002</x:v>
      </x:c>
      <x:c r="E1799" s="17" t="str">
        <x:v>DataFlow</x:v>
      </x:c>
      <x:c r="F1799" s="17" t="str">
        <x:v>Pro</x:v>
      </x:c>
      <x:c r="G1799" s="17" t="n">
        <x:v>17506</x:v>
      </x:c>
      <x:c r="H1799" s="17" t="n">
        <x:v>8513</x:v>
      </x:c>
      <x:c r="I1799" s="17" t="str">
        <x:v>Followup</x:v>
      </x:c>
      <x:c r="J1799" s="27" t="n">
        <x:f>INDEX('Model Pricing'!$B$7:$B$8,MATCH(F1799,'Model Pricing'!$A$7:$A$8,0))</x:f>
        <x:v>40</x:v>
      </x:c>
      <x:c r="K1799" s="27" t="n">
        <x:f>INDEX('Model Pricing'!$C$7:$C$8,MATCH(F1799,'Model Pricing'!$A$7:$A$8,0))</x:f>
        <x:v>100</x:v>
      </x:c>
      <x:c r="L1799" s="17" t="n">
        <x:f>G1799+H1799</x:f>
        <x:v>26019</x:v>
      </x:c>
      <x:c r="M1799" s="28" t="n">
        <x:f>G1799*J1799/1000000</x:f>
        <x:v>0.70024</x:v>
      </x:c>
      <x:c r="N1799" s="28" t="n">
        <x:f>H1799*K1799/1000000</x:f>
        <x:v>0.8513</x:v>
      </x:c>
      <x:c r="O1799" s="28" t="n">
        <x:f>SUM(M1799:N1799)</x:f>
        <x:v>1.55154</x:v>
      </x:c>
    </x:row>
    <x:row r="1800" ht="23" customHeight="1">
      <x:c r="A1800" s="17" t="str">
        <x:v>U01794</x:v>
      </x:c>
      <x:c r="B1800" s="18" t="n">
        <x:v>46276</x:v>
      </x:c>
      <x:c r="C1800" s="17" t="str">
        <x:v>W0120</x:v>
      </x:c>
      <x:c r="D1800" s="17" t="str">
        <x:v>C002</x:v>
      </x:c>
      <x:c r="E1800" s="17" t="str">
        <x:v>DataFlow</x:v>
      </x:c>
      <x:c r="F1800" s="17" t="str">
        <x:v>Pro</x:v>
      </x:c>
      <x:c r="G1800" s="17" t="n">
        <x:v>15743</x:v>
      </x:c>
      <x:c r="H1800" s="17" t="n">
        <x:v>12810</x:v>
      </x:c>
      <x:c r="I1800" s="17" t="str">
        <x:v>Followup</x:v>
      </x:c>
      <x:c r="J1800" s="27" t="n">
        <x:f>INDEX('Model Pricing'!$B$7:$B$8,MATCH(F1800,'Model Pricing'!$A$7:$A$8,0))</x:f>
        <x:v>40</x:v>
      </x:c>
      <x:c r="K1800" s="27" t="n">
        <x:f>INDEX('Model Pricing'!$C$7:$C$8,MATCH(F1800,'Model Pricing'!$A$7:$A$8,0))</x:f>
        <x:v>100</x:v>
      </x:c>
      <x:c r="L1800" s="17" t="n">
        <x:f>G1800+H1800</x:f>
        <x:v>28553</x:v>
      </x:c>
      <x:c r="M1800" s="28" t="n">
        <x:f>G1800*J1800/1000000</x:f>
        <x:v>0.62972</x:v>
      </x:c>
      <x:c r="N1800" s="28" t="n">
        <x:f>H1800*K1800/1000000</x:f>
        <x:v>1.281</x:v>
      </x:c>
      <x:c r="O1800" s="28" t="n">
        <x:f>SUM(M1800:N1800)</x:f>
        <x:v>1.91072</x:v>
      </x:c>
    </x:row>
    <x:row r="1801" ht="23" customHeight="1">
      <x:c r="A1801" s="17" t="str">
        <x:v>U01795</x:v>
      </x:c>
      <x:c r="B1801" s="18" t="n">
        <x:v>46279</x:v>
      </x:c>
      <x:c r="C1801" s="17" t="str">
        <x:v>W0120</x:v>
      </x:c>
      <x:c r="D1801" s="17" t="str">
        <x:v>C002</x:v>
      </x:c>
      <x:c r="E1801" s="17" t="str">
        <x:v>DataFlow</x:v>
      </x:c>
      <x:c r="F1801" s="17" t="str">
        <x:v>Pro</x:v>
      </x:c>
      <x:c r="G1801" s="17" t="n">
        <x:v>19030</x:v>
      </x:c>
      <x:c r="H1801" s="17" t="n">
        <x:v>17736</x:v>
      </x:c>
      <x:c r="I1801" s="17" t="str">
        <x:v>Followup</x:v>
      </x:c>
      <x:c r="J1801" s="27" t="n">
        <x:f>INDEX('Model Pricing'!$B$7:$B$8,MATCH(F1801,'Model Pricing'!$A$7:$A$8,0))</x:f>
        <x:v>40</x:v>
      </x:c>
      <x:c r="K1801" s="27" t="n">
        <x:f>INDEX('Model Pricing'!$C$7:$C$8,MATCH(F1801,'Model Pricing'!$A$7:$A$8,0))</x:f>
        <x:v>100</x:v>
      </x:c>
      <x:c r="L1801" s="17" t="n">
        <x:f>G1801+H1801</x:f>
        <x:v>36766</x:v>
      </x:c>
      <x:c r="M1801" s="28" t="n">
        <x:f>G1801*J1801/1000000</x:f>
        <x:v>0.7612</x:v>
      </x:c>
      <x:c r="N1801" s="28" t="n">
        <x:f>H1801*K1801/1000000</x:f>
        <x:v>1.7736</x:v>
      </x:c>
      <x:c r="O1801" s="28" t="n">
        <x:f>SUM(M1801:N1801)</x:f>
        <x:v>2.5348</x:v>
      </x:c>
    </x:row>
    <x:row r="1802" ht="23" customHeight="1">
      <x:c r="A1802" s="17" t="str">
        <x:v>U01796</x:v>
      </x:c>
      <x:c r="B1802" s="18" t="n">
        <x:v>46279</x:v>
      </x:c>
      <x:c r="C1802" s="17" t="str">
        <x:v>W0120</x:v>
      </x:c>
      <x:c r="D1802" s="17" t="str">
        <x:v>C002</x:v>
      </x:c>
      <x:c r="E1802" s="17" t="str">
        <x:v>DataFlow</x:v>
      </x:c>
      <x:c r="F1802" s="17" t="str">
        <x:v>Pro</x:v>
      </x:c>
      <x:c r="G1802" s="17" t="n">
        <x:v>12494</x:v>
      </x:c>
      <x:c r="H1802" s="17" t="n">
        <x:v>19807</x:v>
      </x:c>
      <x:c r="I1802" s="17" t="str">
        <x:v>Correction</x:v>
      </x:c>
      <x:c r="J1802" s="27" t="n">
        <x:f>INDEX('Model Pricing'!$B$7:$B$8,MATCH(F1802,'Model Pricing'!$A$7:$A$8,0))</x:f>
        <x:v>40</x:v>
      </x:c>
      <x:c r="K1802" s="27" t="n">
        <x:f>INDEX('Model Pricing'!$C$7:$C$8,MATCH(F1802,'Model Pricing'!$A$7:$A$8,0))</x:f>
        <x:v>100</x:v>
      </x:c>
      <x:c r="L1802" s="17" t="n">
        <x:f>G1802+H1802</x:f>
        <x:v>32301</x:v>
      </x:c>
      <x:c r="M1802" s="28" t="n">
        <x:f>G1802*J1802/1000000</x:f>
        <x:v>0.49976</x:v>
      </x:c>
      <x:c r="N1802" s="28" t="n">
        <x:f>H1802*K1802/1000000</x:f>
        <x:v>1.9807</x:v>
      </x:c>
      <x:c r="O1802" s="28" t="n">
        <x:f>SUM(M1802:N1802)</x:f>
        <x:v>2.48046</x:v>
      </x:c>
    </x:row>
    <x:row r="1803" ht="23" customHeight="1">
      <x:c r="A1803" s="17" t="str">
        <x:v>U01797</x:v>
      </x:c>
      <x:c r="B1803" s="18" t="n">
        <x:v>46279</x:v>
      </x:c>
      <x:c r="C1803" s="17" t="str">
        <x:v>W0120</x:v>
      </x:c>
      <x:c r="D1803" s="17" t="str">
        <x:v>C002</x:v>
      </x:c>
      <x:c r="E1803" s="17" t="str">
        <x:v>DataFlow</x:v>
      </x:c>
      <x:c r="F1803" s="17" t="str">
        <x:v>Pro</x:v>
      </x:c>
      <x:c r="G1803" s="17" t="n">
        <x:v>22455</x:v>
      </x:c>
      <x:c r="H1803" s="17" t="n">
        <x:v>16624</x:v>
      </x:c>
      <x:c r="I1803" s="17" t="str">
        <x:v>Correction</x:v>
      </x:c>
      <x:c r="J1803" s="27" t="n">
        <x:f>INDEX('Model Pricing'!$B$7:$B$8,MATCH(F1803,'Model Pricing'!$A$7:$A$8,0))</x:f>
        <x:v>40</x:v>
      </x:c>
      <x:c r="K1803" s="27" t="n">
        <x:f>INDEX('Model Pricing'!$C$7:$C$8,MATCH(F1803,'Model Pricing'!$A$7:$A$8,0))</x:f>
        <x:v>100</x:v>
      </x:c>
      <x:c r="L1803" s="17" t="n">
        <x:f>G1803+H1803</x:f>
        <x:v>39079</x:v>
      </x:c>
      <x:c r="M1803" s="28" t="n">
        <x:f>G1803*J1803/1000000</x:f>
        <x:v>0.8982</x:v>
      </x:c>
      <x:c r="N1803" s="28" t="n">
        <x:f>H1803*K1803/1000000</x:f>
        <x:v>1.6624</x:v>
      </x:c>
      <x:c r="O1803" s="28" t="n">
        <x:f>SUM(M1803:N1803)</x:f>
        <x:v>2.5606</x:v>
      </x:c>
    </x:row>
    <x:row r="1804" ht="23" customHeight="1">
      <x:c r="A1804" s="17" t="str">
        <x:v>U01798</x:v>
      </x:c>
      <x:c r="B1804" s="18" t="n">
        <x:v>46279</x:v>
      </x:c>
      <x:c r="C1804" s="17" t="str">
        <x:v>W0120</x:v>
      </x:c>
      <x:c r="D1804" s="17" t="str">
        <x:v>C002</x:v>
      </x:c>
      <x:c r="E1804" s="17" t="str">
        <x:v>DataFlow</x:v>
      </x:c>
      <x:c r="F1804" s="17" t="str">
        <x:v>Pro</x:v>
      </x:c>
      <x:c r="G1804" s="17" t="n">
        <x:v>21175</x:v>
      </x:c>
      <x:c r="H1804" s="17" t="n">
        <x:v>20692</x:v>
      </x:c>
      <x:c r="I1804" s="17" t="str">
        <x:v>Followup</x:v>
      </x:c>
      <x:c r="J1804" s="27" t="n">
        <x:f>INDEX('Model Pricing'!$B$7:$B$8,MATCH(F1804,'Model Pricing'!$A$7:$A$8,0))</x:f>
        <x:v>40</x:v>
      </x:c>
      <x:c r="K1804" s="27" t="n">
        <x:f>INDEX('Model Pricing'!$C$7:$C$8,MATCH(F1804,'Model Pricing'!$A$7:$A$8,0))</x:f>
        <x:v>100</x:v>
      </x:c>
      <x:c r="L1804" s="17" t="n">
        <x:f>G1804+H1804</x:f>
        <x:v>41867</x:v>
      </x:c>
      <x:c r="M1804" s="28" t="n">
        <x:f>G1804*J1804/1000000</x:f>
        <x:v>0.847</x:v>
      </x:c>
      <x:c r="N1804" s="28" t="n">
        <x:f>H1804*K1804/1000000</x:f>
        <x:v>2.0692</x:v>
      </x:c>
      <x:c r="O1804" s="28" t="n">
        <x:f>SUM(M1804:N1804)</x:f>
        <x:v>2.9162</x:v>
      </x:c>
    </x:row>
    <x:row r="1805" ht="23" customHeight="1">
      <x:c r="A1805" s="17" t="str">
        <x:v>U01799</x:v>
      </x:c>
      <x:c r="B1805" s="18" t="n">
        <x:v>46279</x:v>
      </x:c>
      <x:c r="C1805" s="17" t="str">
        <x:v>W0120</x:v>
      </x:c>
      <x:c r="D1805" s="17" t="str">
        <x:v>C002</x:v>
      </x:c>
      <x:c r="E1805" s="17" t="str">
        <x:v>DataFlow</x:v>
      </x:c>
      <x:c r="F1805" s="17" t="str">
        <x:v>Pro</x:v>
      </x:c>
      <x:c r="G1805" s="17" t="n">
        <x:v>11125</x:v>
      </x:c>
      <x:c r="H1805" s="17" t="n">
        <x:v>21584</x:v>
      </x:c>
      <x:c r="I1805" s="17" t="str">
        <x:v>Followup</x:v>
      </x:c>
      <x:c r="J1805" s="27" t="n">
        <x:f>INDEX('Model Pricing'!$B$7:$B$8,MATCH(F1805,'Model Pricing'!$A$7:$A$8,0))</x:f>
        <x:v>40</x:v>
      </x:c>
      <x:c r="K1805" s="27" t="n">
        <x:f>INDEX('Model Pricing'!$C$7:$C$8,MATCH(F1805,'Model Pricing'!$A$7:$A$8,0))</x:f>
        <x:v>100</x:v>
      </x:c>
      <x:c r="L1805" s="17" t="n">
        <x:f>G1805+H1805</x:f>
        <x:v>32709</x:v>
      </x:c>
      <x:c r="M1805" s="28" t="n">
        <x:f>G1805*J1805/1000000</x:f>
        <x:v>0.445</x:v>
      </x:c>
      <x:c r="N1805" s="28" t="n">
        <x:f>H1805*K1805/1000000</x:f>
        <x:v>2.1584</x:v>
      </x:c>
      <x:c r="O1805" s="28" t="n">
        <x:f>SUM(M1805:N1805)</x:f>
        <x:v>2.6033999999999997</x:v>
      </x:c>
    </x:row>
    <x:row r="1806" ht="23" customHeight="1">
      <x:c r="A1806" s="17" t="str">
        <x:v>U01800</x:v>
      </x:c>
      <x:c r="B1806" s="18" t="n">
        <x:v>46279</x:v>
      </x:c>
      <x:c r="C1806" s="17" t="str">
        <x:v>W0120</x:v>
      </x:c>
      <x:c r="D1806" s="17" t="str">
        <x:v>C002</x:v>
      </x:c>
      <x:c r="E1806" s="17" t="str">
        <x:v>DataFlow</x:v>
      </x:c>
      <x:c r="F1806" s="17" t="str">
        <x:v>Pro</x:v>
      </x:c>
      <x:c r="G1806" s="17" t="n">
        <x:v>24661</x:v>
      </x:c>
      <x:c r="H1806" s="17" t="n">
        <x:v>6166</x:v>
      </x:c>
      <x:c r="I1806" s="17" t="str">
        <x:v>Followup</x:v>
      </x:c>
      <x:c r="J1806" s="27" t="n">
        <x:f>INDEX('Model Pricing'!$B$7:$B$8,MATCH(F1806,'Model Pricing'!$A$7:$A$8,0))</x:f>
        <x:v>40</x:v>
      </x:c>
      <x:c r="K1806" s="27" t="n">
        <x:f>INDEX('Model Pricing'!$C$7:$C$8,MATCH(F1806,'Model Pricing'!$A$7:$A$8,0))</x:f>
        <x:v>100</x:v>
      </x:c>
      <x:c r="L1806" s="17" t="n">
        <x:f>G1806+H1806</x:f>
        <x:v>30827</x:v>
      </x:c>
      <x:c r="M1806" s="28" t="n">
        <x:f>G1806*J1806/1000000</x:f>
        <x:v>0.98644</x:v>
      </x:c>
      <x:c r="N1806" s="28" t="n">
        <x:f>H1806*K1806/1000000</x:f>
        <x:v>0.6166</x:v>
      </x:c>
      <x:c r="O1806" s="28" t="n">
        <x:f>SUM(M1806:N1806)</x:f>
        <x:v>1.60304</x:v>
      </x:c>
    </x:row>
    <x:row r="1807" ht="23" customHeight="1">
      <x:c r="A1807" s="17" t="str">
        <x:v>U01801</x:v>
      </x:c>
      <x:c r="B1807" s="18" t="n">
        <x:v>46289</x:v>
      </x:c>
      <x:c r="C1807" s="17" t="str">
        <x:v>W0122</x:v>
      </x:c>
      <x:c r="D1807" s="17" t="str">
        <x:v>C003</x:v>
      </x:c>
      <x:c r="E1807" s="17" t="str">
        <x:v>CampaignChat</x:v>
      </x:c>
      <x:c r="F1807" s="17" t="str">
        <x:v>Lite</x:v>
      </x:c>
      <x:c r="G1807" s="17" t="n">
        <x:v>31167</x:v>
      </x:c>
      <x:c r="H1807" s="17" t="n">
        <x:v>6716</x:v>
      </x:c>
      <x:c r="I1807" s="17" t="str">
        <x:v>First attempt</x:v>
      </x:c>
      <x:c r="J1807" s="27" t="n">
        <x:f>INDEX('Model Pricing'!$B$7:$B$8,MATCH(F1807,'Model Pricing'!$A$7:$A$8,0))</x:f>
        <x:v>10</x:v>
      </x:c>
      <x:c r="K1807" s="27" t="n">
        <x:f>INDEX('Model Pricing'!$C$7:$C$8,MATCH(F1807,'Model Pricing'!$A$7:$A$8,0))</x:f>
        <x:v>30</x:v>
      </x:c>
      <x:c r="L1807" s="17" t="n">
        <x:f>G1807+H1807</x:f>
        <x:v>37883</x:v>
      </x:c>
      <x:c r="M1807" s="28" t="n">
        <x:f>G1807*J1807/1000000</x:f>
        <x:v>0.31167</x:v>
      </x:c>
      <x:c r="N1807" s="28" t="n">
        <x:f>H1807*K1807/1000000</x:f>
        <x:v>0.20148</x:v>
      </x:c>
      <x:c r="O1807" s="28" t="n">
        <x:f>SUM(M1807:N1807)</x:f>
        <x:v>0.51315</x:v>
      </x:c>
    </x:row>
    <x:row r="1808" ht="23" customHeight="1">
      <x:c r="A1808" s="17" t="str">
        <x:v>U01802</x:v>
      </x:c>
      <x:c r="B1808" s="18" t="n">
        <x:v>46289</x:v>
      </x:c>
      <x:c r="C1808" s="17" t="str">
        <x:v>W0122</x:v>
      </x:c>
      <x:c r="D1808" s="17" t="str">
        <x:v>C003</x:v>
      </x:c>
      <x:c r="E1808" s="17" t="str">
        <x:v>CampaignChat</x:v>
      </x:c>
      <x:c r="F1808" s="17" t="str">
        <x:v>Lite</x:v>
      </x:c>
      <x:c r="G1808" s="17" t="n">
        <x:v>11258</x:v>
      </x:c>
      <x:c r="H1808" s="17" t="n">
        <x:v>6714</x:v>
      </x:c>
      <x:c r="I1808" s="17" t="str">
        <x:v>Correction</x:v>
      </x:c>
      <x:c r="J1808" s="27" t="n">
        <x:f>INDEX('Model Pricing'!$B$7:$B$8,MATCH(F1808,'Model Pricing'!$A$7:$A$8,0))</x:f>
        <x:v>10</x:v>
      </x:c>
      <x:c r="K1808" s="27" t="n">
        <x:f>INDEX('Model Pricing'!$C$7:$C$8,MATCH(F1808,'Model Pricing'!$A$7:$A$8,0))</x:f>
        <x:v>30</x:v>
      </x:c>
      <x:c r="L1808" s="17" t="n">
        <x:f>G1808+H1808</x:f>
        <x:v>17972</x:v>
      </x:c>
      <x:c r="M1808" s="28" t="n">
        <x:f>G1808*J1808/1000000</x:f>
        <x:v>0.11258</x:v>
      </x:c>
      <x:c r="N1808" s="28" t="n">
        <x:f>H1808*K1808/1000000</x:f>
        <x:v>0.20142</x:v>
      </x:c>
      <x:c r="O1808" s="28" t="n">
        <x:f>SUM(M1808:N1808)</x:f>
        <x:v>0.314</x:v>
      </x:c>
    </x:row>
    <x:row r="1809" ht="23" customHeight="1">
      <x:c r="A1809" s="17" t="str">
        <x:v>U01803</x:v>
      </x:c>
      <x:c r="B1809" s="18" t="n">
        <x:v>46289</x:v>
      </x:c>
      <x:c r="C1809" s="17" t="str">
        <x:v>W0122</x:v>
      </x:c>
      <x:c r="D1809" s="17" t="str">
        <x:v>C003</x:v>
      </x:c>
      <x:c r="E1809" s="17" t="str">
        <x:v>CampaignChat</x:v>
      </x:c>
      <x:c r="F1809" s="17" t="str">
        <x:v>Lite</x:v>
      </x:c>
      <x:c r="G1809" s="17" t="n">
        <x:v>20900</x:v>
      </x:c>
      <x:c r="H1809" s="17" t="n">
        <x:v>3951</x:v>
      </x:c>
      <x:c r="I1809" s="17" t="str">
        <x:v>Followup</x:v>
      </x:c>
      <x:c r="J1809" s="27" t="n">
        <x:f>INDEX('Model Pricing'!$B$7:$B$8,MATCH(F1809,'Model Pricing'!$A$7:$A$8,0))</x:f>
        <x:v>10</x:v>
      </x:c>
      <x:c r="K1809" s="27" t="n">
        <x:f>INDEX('Model Pricing'!$C$7:$C$8,MATCH(F1809,'Model Pricing'!$A$7:$A$8,0))</x:f>
        <x:v>30</x:v>
      </x:c>
      <x:c r="L1809" s="17" t="n">
        <x:f>G1809+H1809</x:f>
        <x:v>24851</x:v>
      </x:c>
      <x:c r="M1809" s="28" t="n">
        <x:f>G1809*J1809/1000000</x:f>
        <x:v>0.209</x:v>
      </x:c>
      <x:c r="N1809" s="28" t="n">
        <x:f>H1809*K1809/1000000</x:f>
        <x:v>0.11853</x:v>
      </x:c>
      <x:c r="O1809" s="28" t="n">
        <x:f>SUM(M1809:N1809)</x:f>
        <x:v>0.32753</x:v>
      </x:c>
    </x:row>
    <x:row r="1810" ht="23" customHeight="1">
      <x:c r="A1810" s="17" t="str">
        <x:v>U01804</x:v>
      </x:c>
      <x:c r="B1810" s="18" t="n">
        <x:v>46290</x:v>
      </x:c>
      <x:c r="C1810" s="17" t="str">
        <x:v>W0122</x:v>
      </x:c>
      <x:c r="D1810" s="17" t="str">
        <x:v>C003</x:v>
      </x:c>
      <x:c r="E1810" s="17" t="str">
        <x:v>CampaignChat</x:v>
      </x:c>
      <x:c r="F1810" s="17" t="str">
        <x:v>Lite</x:v>
      </x:c>
      <x:c r="G1810" s="17" t="n">
        <x:v>19793</x:v>
      </x:c>
      <x:c r="H1810" s="17" t="n">
        <x:v>3488</x:v>
      </x:c>
      <x:c r="I1810" s="17" t="str">
        <x:v>Followup</x:v>
      </x:c>
      <x:c r="J1810" s="27" t="n">
        <x:f>INDEX('Model Pricing'!$B$7:$B$8,MATCH(F1810,'Model Pricing'!$A$7:$A$8,0))</x:f>
        <x:v>10</x:v>
      </x:c>
      <x:c r="K1810" s="27" t="n">
        <x:f>INDEX('Model Pricing'!$C$7:$C$8,MATCH(F1810,'Model Pricing'!$A$7:$A$8,0))</x:f>
        <x:v>30</x:v>
      </x:c>
      <x:c r="L1810" s="17" t="n">
        <x:f>G1810+H1810</x:f>
        <x:v>23281</x:v>
      </x:c>
      <x:c r="M1810" s="28" t="n">
        <x:f>G1810*J1810/1000000</x:f>
        <x:v>0.19793</x:v>
      </x:c>
      <x:c r="N1810" s="28" t="n">
        <x:f>H1810*K1810/1000000</x:f>
        <x:v>0.10464</x:v>
      </x:c>
      <x:c r="O1810" s="28" t="n">
        <x:f>SUM(M1810:N1810)</x:f>
        <x:v>0.30257</x:v>
      </x:c>
    </x:row>
    <x:row r="1811" ht="23" customHeight="1">
      <x:c r="A1811" s="17" t="str">
        <x:v>U01805</x:v>
      </x:c>
      <x:c r="B1811" s="18" t="n">
        <x:v>46290</x:v>
      </x:c>
      <x:c r="C1811" s="17" t="str">
        <x:v>W0122</x:v>
      </x:c>
      <x:c r="D1811" s="17" t="str">
        <x:v>C003</x:v>
      </x:c>
      <x:c r="E1811" s="17" t="str">
        <x:v>CampaignChat</x:v>
      </x:c>
      <x:c r="F1811" s="17" t="str">
        <x:v>Lite</x:v>
      </x:c>
      <x:c r="G1811" s="17" t="n">
        <x:v>23866</x:v>
      </x:c>
      <x:c r="H1811" s="17" t="n">
        <x:v>2683</x:v>
      </x:c>
      <x:c r="I1811" s="17" t="str">
        <x:v>Correction</x:v>
      </x:c>
      <x:c r="J1811" s="27" t="n">
        <x:f>INDEX('Model Pricing'!$B$7:$B$8,MATCH(F1811,'Model Pricing'!$A$7:$A$8,0))</x:f>
        <x:v>10</x:v>
      </x:c>
      <x:c r="K1811" s="27" t="n">
        <x:f>INDEX('Model Pricing'!$C$7:$C$8,MATCH(F1811,'Model Pricing'!$A$7:$A$8,0))</x:f>
        <x:v>30</x:v>
      </x:c>
      <x:c r="L1811" s="17" t="n">
        <x:f>G1811+H1811</x:f>
        <x:v>26549</x:v>
      </x:c>
      <x:c r="M1811" s="28" t="n">
        <x:f>G1811*J1811/1000000</x:f>
        <x:v>0.23866</x:v>
      </x:c>
      <x:c r="N1811" s="28" t="n">
        <x:f>H1811*K1811/1000000</x:f>
        <x:v>0.08049</x:v>
      </x:c>
      <x:c r="O1811" s="28" t="n">
        <x:f>SUM(M1811:N1811)</x:f>
        <x:v>0.31915000000000004</x:v>
      </x:c>
    </x:row>
    <x:row r="1812" ht="23" customHeight="1">
      <x:c r="A1812" s="17" t="str">
        <x:v>U01806</x:v>
      </x:c>
      <x:c r="B1812" s="18" t="n">
        <x:v>46290</x:v>
      </x:c>
      <x:c r="C1812" s="17" t="str">
        <x:v>W0122</x:v>
      </x:c>
      <x:c r="D1812" s="17" t="str">
        <x:v>C003</x:v>
      </x:c>
      <x:c r="E1812" s="17" t="str">
        <x:v>CampaignChat</x:v>
      </x:c>
      <x:c r="F1812" s="17" t="str">
        <x:v>Lite</x:v>
      </x:c>
      <x:c r="G1812" s="17" t="n">
        <x:v>21916</x:v>
      </x:c>
      <x:c r="H1812" s="17" t="n">
        <x:v>5468</x:v>
      </x:c>
      <x:c r="I1812" s="17" t="str">
        <x:v>Followup</x:v>
      </x:c>
      <x:c r="J1812" s="27" t="n">
        <x:f>INDEX('Model Pricing'!$B$7:$B$8,MATCH(F1812,'Model Pricing'!$A$7:$A$8,0))</x:f>
        <x:v>10</x:v>
      </x:c>
      <x:c r="K1812" s="27" t="n">
        <x:f>INDEX('Model Pricing'!$C$7:$C$8,MATCH(F1812,'Model Pricing'!$A$7:$A$8,0))</x:f>
        <x:v>30</x:v>
      </x:c>
      <x:c r="L1812" s="17" t="n">
        <x:f>G1812+H1812</x:f>
        <x:v>27384</x:v>
      </x:c>
      <x:c r="M1812" s="28" t="n">
        <x:f>G1812*J1812/1000000</x:f>
        <x:v>0.21916</x:v>
      </x:c>
      <x:c r="N1812" s="28" t="n">
        <x:f>H1812*K1812/1000000</x:f>
        <x:v>0.16404</x:v>
      </x:c>
      <x:c r="O1812" s="28" t="n">
        <x:f>SUM(M1812:N1812)</x:f>
        <x:v>0.3832</x:v>
      </x:c>
    </x:row>
    <x:row r="1813" ht="23" customHeight="1">
      <x:c r="A1813" s="17" t="str">
        <x:v>U01807</x:v>
      </x:c>
      <x:c r="B1813" s="18" t="n">
        <x:v>46293</x:v>
      </x:c>
      <x:c r="C1813" s="17" t="str">
        <x:v>W0122</x:v>
      </x:c>
      <x:c r="D1813" s="17" t="str">
        <x:v>C003</x:v>
      </x:c>
      <x:c r="E1813" s="17" t="str">
        <x:v>CampaignChat</x:v>
      </x:c>
      <x:c r="F1813" s="17" t="str">
        <x:v>Lite</x:v>
      </x:c>
      <x:c r="G1813" s="17" t="n">
        <x:v>18424</x:v>
      </x:c>
      <x:c r="H1813" s="17" t="n">
        <x:v>4114</x:v>
      </x:c>
      <x:c r="I1813" s="17" t="str">
        <x:v>Followup</x:v>
      </x:c>
      <x:c r="J1813" s="27" t="n">
        <x:f>INDEX('Model Pricing'!$B$7:$B$8,MATCH(F1813,'Model Pricing'!$A$7:$A$8,0))</x:f>
        <x:v>10</x:v>
      </x:c>
      <x:c r="K1813" s="27" t="n">
        <x:f>INDEX('Model Pricing'!$C$7:$C$8,MATCH(F1813,'Model Pricing'!$A$7:$A$8,0))</x:f>
        <x:v>30</x:v>
      </x:c>
      <x:c r="L1813" s="17" t="n">
        <x:f>G1813+H1813</x:f>
        <x:v>22538</x:v>
      </x:c>
      <x:c r="M1813" s="28" t="n">
        <x:f>G1813*J1813/1000000</x:f>
        <x:v>0.18424</x:v>
      </x:c>
      <x:c r="N1813" s="28" t="n">
        <x:f>H1813*K1813/1000000</x:f>
        <x:v>0.12342</x:v>
      </x:c>
      <x:c r="O1813" s="28" t="n">
        <x:f>SUM(M1813:N1813)</x:f>
        <x:v>0.30766</x:v>
      </x:c>
    </x:row>
    <x:row r="1814" ht="23" customHeight="1">
      <x:c r="A1814" s="17" t="str">
        <x:v>U01808</x:v>
      </x:c>
      <x:c r="B1814" s="18" t="n">
        <x:v>46293</x:v>
      </x:c>
      <x:c r="C1814" s="17" t="str">
        <x:v>W0122</x:v>
      </x:c>
      <x:c r="D1814" s="17" t="str">
        <x:v>C003</x:v>
      </x:c>
      <x:c r="E1814" s="17" t="str">
        <x:v>CampaignChat</x:v>
      </x:c>
      <x:c r="F1814" s="17" t="str">
        <x:v>Lite</x:v>
      </x:c>
      <x:c r="G1814" s="17" t="n">
        <x:v>31532</x:v>
      </x:c>
      <x:c r="H1814" s="17" t="n">
        <x:v>4175</x:v>
      </x:c>
      <x:c r="I1814" s="17" t="str">
        <x:v>Followup</x:v>
      </x:c>
      <x:c r="J1814" s="27" t="n">
        <x:f>INDEX('Model Pricing'!$B$7:$B$8,MATCH(F1814,'Model Pricing'!$A$7:$A$8,0))</x:f>
        <x:v>10</x:v>
      </x:c>
      <x:c r="K1814" s="27" t="n">
        <x:f>INDEX('Model Pricing'!$C$7:$C$8,MATCH(F1814,'Model Pricing'!$A$7:$A$8,0))</x:f>
        <x:v>30</x:v>
      </x:c>
      <x:c r="L1814" s="17" t="n">
        <x:f>G1814+H1814</x:f>
        <x:v>35707</x:v>
      </x:c>
      <x:c r="M1814" s="28" t="n">
        <x:f>G1814*J1814/1000000</x:f>
        <x:v>0.31532</x:v>
      </x:c>
      <x:c r="N1814" s="28" t="n">
        <x:f>H1814*K1814/1000000</x:f>
        <x:v>0.12525</x:v>
      </x:c>
      <x:c r="O1814" s="28" t="n">
        <x:f>SUM(M1814:N1814)</x:f>
        <x:v>0.44057</x:v>
      </x:c>
    </x:row>
    <x:row r="1815" ht="23" customHeight="1">
      <x:c r="A1815" s="17" t="str">
        <x:v>U01809</x:v>
      </x:c>
      <x:c r="B1815" s="18" t="n">
        <x:v>46293</x:v>
      </x:c>
      <x:c r="C1815" s="17" t="str">
        <x:v>W0122</x:v>
      </x:c>
      <x:c r="D1815" s="17" t="str">
        <x:v>C003</x:v>
      </x:c>
      <x:c r="E1815" s="17" t="str">
        <x:v>CampaignChat</x:v>
      </x:c>
      <x:c r="F1815" s="17" t="str">
        <x:v>Lite</x:v>
      </x:c>
      <x:c r="G1815" s="17" t="n">
        <x:v>15969</x:v>
      </x:c>
      <x:c r="H1815" s="17" t="n">
        <x:v>3325</x:v>
      </x:c>
      <x:c r="I1815" s="17" t="str">
        <x:v>Followup</x:v>
      </x:c>
      <x:c r="J1815" s="27" t="n">
        <x:f>INDEX('Model Pricing'!$B$7:$B$8,MATCH(F1815,'Model Pricing'!$A$7:$A$8,0))</x:f>
        <x:v>10</x:v>
      </x:c>
      <x:c r="K1815" s="27" t="n">
        <x:f>INDEX('Model Pricing'!$C$7:$C$8,MATCH(F1815,'Model Pricing'!$A$7:$A$8,0))</x:f>
        <x:v>30</x:v>
      </x:c>
      <x:c r="L1815" s="17" t="n">
        <x:f>G1815+H1815</x:f>
        <x:v>19294</x:v>
      </x:c>
      <x:c r="M1815" s="28" t="n">
        <x:f>G1815*J1815/1000000</x:f>
        <x:v>0.15969</x:v>
      </x:c>
      <x:c r="N1815" s="28" t="n">
        <x:f>H1815*K1815/1000000</x:f>
        <x:v>0.09975</x:v>
      </x:c>
      <x:c r="O1815" s="28" t="n">
        <x:f>SUM(M1815:N1815)</x:f>
        <x:v>0.25944</x:v>
      </x:c>
    </x:row>
    <x:row r="1816" ht="23" customHeight="1">
      <x:c r="A1816" s="17" t="str">
        <x:v>U01810</x:v>
      </x:c>
      <x:c r="B1816" s="18" t="n">
        <x:v>46294</x:v>
      </x:c>
      <x:c r="C1816" s="17" t="str">
        <x:v>W0122</x:v>
      </x:c>
      <x:c r="D1816" s="17" t="str">
        <x:v>C003</x:v>
      </x:c>
      <x:c r="E1816" s="17" t="str">
        <x:v>CampaignChat</x:v>
      </x:c>
      <x:c r="F1816" s="17" t="str">
        <x:v>Lite</x:v>
      </x:c>
      <x:c r="G1816" s="17" t="n">
        <x:v>11299</x:v>
      </x:c>
      <x:c r="H1816" s="17" t="n">
        <x:v>5171</x:v>
      </x:c>
      <x:c r="I1816" s="17" t="str">
        <x:v>Correction</x:v>
      </x:c>
      <x:c r="J1816" s="27" t="n">
        <x:f>INDEX('Model Pricing'!$B$7:$B$8,MATCH(F1816,'Model Pricing'!$A$7:$A$8,0))</x:f>
        <x:v>10</x:v>
      </x:c>
      <x:c r="K1816" s="27" t="n">
        <x:f>INDEX('Model Pricing'!$C$7:$C$8,MATCH(F1816,'Model Pricing'!$A$7:$A$8,0))</x:f>
        <x:v>30</x:v>
      </x:c>
      <x:c r="L1816" s="17" t="n">
        <x:f>G1816+H1816</x:f>
        <x:v>16470</x:v>
      </x:c>
      <x:c r="M1816" s="28" t="n">
        <x:f>G1816*J1816/1000000</x:f>
        <x:v>0.11299</x:v>
      </x:c>
      <x:c r="N1816" s="28" t="n">
        <x:f>H1816*K1816/1000000</x:f>
        <x:v>0.15513</x:v>
      </x:c>
      <x:c r="O1816" s="28" t="n">
        <x:f>SUM(M1816:N1816)</x:f>
        <x:v>0.26811999999999997</x:v>
      </x:c>
    </x:row>
    <x:row r="1817" ht="23" customHeight="1">
      <x:c r="A1817" s="17" t="str">
        <x:v>U01811</x:v>
      </x:c>
      <x:c r="B1817" s="18" t="n">
        <x:v>46294</x:v>
      </x:c>
      <x:c r="C1817" s="17" t="str">
        <x:v>W0122</x:v>
      </x:c>
      <x:c r="D1817" s="17" t="str">
        <x:v>C003</x:v>
      </x:c>
      <x:c r="E1817" s="17" t="str">
        <x:v>CampaignChat</x:v>
      </x:c>
      <x:c r="F1817" s="17" t="str">
        <x:v>Lite</x:v>
      </x:c>
      <x:c r="G1817" s="17" t="n">
        <x:v>13395</x:v>
      </x:c>
      <x:c r="H1817" s="17" t="n">
        <x:v>5881</x:v>
      </x:c>
      <x:c r="I1817" s="17" t="str">
        <x:v>Followup</x:v>
      </x:c>
      <x:c r="J1817" s="27" t="n">
        <x:f>INDEX('Model Pricing'!$B$7:$B$8,MATCH(F1817,'Model Pricing'!$A$7:$A$8,0))</x:f>
        <x:v>10</x:v>
      </x:c>
      <x:c r="K1817" s="27" t="n">
        <x:f>INDEX('Model Pricing'!$C$7:$C$8,MATCH(F1817,'Model Pricing'!$A$7:$A$8,0))</x:f>
        <x:v>30</x:v>
      </x:c>
      <x:c r="L1817" s="17" t="n">
        <x:f>G1817+H1817</x:f>
        <x:v>19276</x:v>
      </x:c>
      <x:c r="M1817" s="28" t="n">
        <x:f>G1817*J1817/1000000</x:f>
        <x:v>0.13395</x:v>
      </x:c>
      <x:c r="N1817" s="28" t="n">
        <x:f>H1817*K1817/1000000</x:f>
        <x:v>0.17643</x:v>
      </x:c>
      <x:c r="O1817" s="28" t="n">
        <x:f>SUM(M1817:N1817)</x:f>
        <x:v>0.31038</x:v>
      </x:c>
    </x:row>
    <x:row r="1818" ht="23" customHeight="1">
      <x:c r="A1818" s="17" t="str">
        <x:v>U01812</x:v>
      </x:c>
      <x:c r="B1818" s="18" t="n">
        <x:v>46294</x:v>
      </x:c>
      <x:c r="C1818" s="17" t="str">
        <x:v>W0122</x:v>
      </x:c>
      <x:c r="D1818" s="17" t="str">
        <x:v>C003</x:v>
      </x:c>
      <x:c r="E1818" s="17" t="str">
        <x:v>CampaignChat</x:v>
      </x:c>
      <x:c r="F1818" s="17" t="str">
        <x:v>Lite</x:v>
      </x:c>
      <x:c r="G1818" s="17" t="n">
        <x:v>29843</x:v>
      </x:c>
      <x:c r="H1818" s="17" t="n">
        <x:v>5791</x:v>
      </x:c>
      <x:c r="I1818" s="17" t="str">
        <x:v>Followup</x:v>
      </x:c>
      <x:c r="J1818" s="27" t="n">
        <x:f>INDEX('Model Pricing'!$B$7:$B$8,MATCH(F1818,'Model Pricing'!$A$7:$A$8,0))</x:f>
        <x:v>10</x:v>
      </x:c>
      <x:c r="K1818" s="27" t="n">
        <x:f>INDEX('Model Pricing'!$C$7:$C$8,MATCH(F1818,'Model Pricing'!$A$7:$A$8,0))</x:f>
        <x:v>30</x:v>
      </x:c>
      <x:c r="L1818" s="17" t="n">
        <x:f>G1818+H1818</x:f>
        <x:v>35634</x:v>
      </x:c>
      <x:c r="M1818" s="28" t="n">
        <x:f>G1818*J1818/1000000</x:f>
        <x:v>0.29843</x:v>
      </x:c>
      <x:c r="N1818" s="28" t="n">
        <x:f>H1818*K1818/1000000</x:f>
        <x:v>0.17373</x:v>
      </x:c>
      <x:c r="O1818" s="28" t="n">
        <x:f>SUM(M1818:N1818)</x:f>
        <x:v>0.47215999999999997</x:v>
      </x:c>
    </x:row>
    <x:row r="1819" ht="23" customHeight="1">
      <x:c r="A1819" s="17" t="str">
        <x:v>U01813</x:v>
      </x:c>
      <x:c r="B1819" s="18" t="n">
        <x:v>46274</x:v>
      </x:c>
      <x:c r="C1819" s="17" t="str">
        <x:v>W0123</x:v>
      </x:c>
      <x:c r="D1819" s="17" t="str">
        <x:v>C003</x:v>
      </x:c>
      <x:c r="E1819" s="17" t="str">
        <x:v>DataFlow</x:v>
      </x:c>
      <x:c r="F1819" s="17" t="str">
        <x:v>Lite</x:v>
      </x:c>
      <x:c r="G1819" s="17" t="n">
        <x:v>24640</x:v>
      </x:c>
      <x:c r="H1819" s="17" t="n">
        <x:v>10080</x:v>
      </x:c>
      <x:c r="I1819" s="17" t="str">
        <x:v>First attempt</x:v>
      </x:c>
      <x:c r="J1819" s="27" t="n">
        <x:f>INDEX('Model Pricing'!$B$7:$B$8,MATCH(F1819,'Model Pricing'!$A$7:$A$8,0))</x:f>
        <x:v>10</x:v>
      </x:c>
      <x:c r="K1819" s="27" t="n">
        <x:f>INDEX('Model Pricing'!$C$7:$C$8,MATCH(F1819,'Model Pricing'!$A$7:$A$8,0))</x:f>
        <x:v>30</x:v>
      </x:c>
      <x:c r="L1819" s="17" t="n">
        <x:f>G1819+H1819</x:f>
        <x:v>34720</x:v>
      </x:c>
      <x:c r="M1819" s="28" t="n">
        <x:f>G1819*J1819/1000000</x:f>
        <x:v>0.2464</x:v>
      </x:c>
      <x:c r="N1819" s="28" t="n">
        <x:f>H1819*K1819/1000000</x:f>
        <x:v>0.3024</x:v>
      </x:c>
      <x:c r="O1819" s="28" t="n">
        <x:f>SUM(M1819:N1819)</x:f>
        <x:v>0.5488</x:v>
      </x:c>
    </x:row>
    <x:row r="1820" ht="23" customHeight="1">
      <x:c r="A1820" s="17" t="str">
        <x:v>U01814</x:v>
      </x:c>
      <x:c r="B1820" s="18" t="n">
        <x:v>46274</x:v>
      </x:c>
      <x:c r="C1820" s="17" t="str">
        <x:v>W0123</x:v>
      </x:c>
      <x:c r="D1820" s="17" t="str">
        <x:v>C003</x:v>
      </x:c>
      <x:c r="E1820" s="17" t="str">
        <x:v>DataFlow</x:v>
      </x:c>
      <x:c r="F1820" s="17" t="str">
        <x:v>Lite</x:v>
      </x:c>
      <x:c r="G1820" s="17" t="n">
        <x:v>17687</x:v>
      </x:c>
      <x:c r="H1820" s="17" t="n">
        <x:v>4359</x:v>
      </x:c>
      <x:c r="I1820" s="17" t="str">
        <x:v>Followup</x:v>
      </x:c>
      <x:c r="J1820" s="27" t="n">
        <x:f>INDEX('Model Pricing'!$B$7:$B$8,MATCH(F1820,'Model Pricing'!$A$7:$A$8,0))</x:f>
        <x:v>10</x:v>
      </x:c>
      <x:c r="K1820" s="27" t="n">
        <x:f>INDEX('Model Pricing'!$C$7:$C$8,MATCH(F1820,'Model Pricing'!$A$7:$A$8,0))</x:f>
        <x:v>30</x:v>
      </x:c>
      <x:c r="L1820" s="17" t="n">
        <x:f>G1820+H1820</x:f>
        <x:v>22046</x:v>
      </x:c>
      <x:c r="M1820" s="28" t="n">
        <x:f>G1820*J1820/1000000</x:f>
        <x:v>0.17687</x:v>
      </x:c>
      <x:c r="N1820" s="28" t="n">
        <x:f>H1820*K1820/1000000</x:f>
        <x:v>0.13077</x:v>
      </x:c>
      <x:c r="O1820" s="28" t="n">
        <x:f>SUM(M1820:N1820)</x:f>
        <x:v>0.30764</x:v>
      </x:c>
    </x:row>
    <x:row r="1821" ht="23" customHeight="1">
      <x:c r="A1821" s="17" t="str">
        <x:v>U01815</x:v>
      </x:c>
      <x:c r="B1821" s="18" t="n">
        <x:v>46274</x:v>
      </x:c>
      <x:c r="C1821" s="17" t="str">
        <x:v>W0123</x:v>
      </x:c>
      <x:c r="D1821" s="17" t="str">
        <x:v>C003</x:v>
      </x:c>
      <x:c r="E1821" s="17" t="str">
        <x:v>DataFlow</x:v>
      </x:c>
      <x:c r="F1821" s="17" t="str">
        <x:v>Lite</x:v>
      </x:c>
      <x:c r="G1821" s="17" t="n">
        <x:v>21866</x:v>
      </x:c>
      <x:c r="H1821" s="17" t="n">
        <x:v>8845</x:v>
      </x:c>
      <x:c r="I1821" s="17" t="str">
        <x:v>Followup</x:v>
      </x:c>
      <x:c r="J1821" s="27" t="n">
        <x:f>INDEX('Model Pricing'!$B$7:$B$8,MATCH(F1821,'Model Pricing'!$A$7:$A$8,0))</x:f>
        <x:v>10</x:v>
      </x:c>
      <x:c r="K1821" s="27" t="n">
        <x:f>INDEX('Model Pricing'!$C$7:$C$8,MATCH(F1821,'Model Pricing'!$A$7:$A$8,0))</x:f>
        <x:v>30</x:v>
      </x:c>
      <x:c r="L1821" s="17" t="n">
        <x:f>G1821+H1821</x:f>
        <x:v>30711</x:v>
      </x:c>
      <x:c r="M1821" s="28" t="n">
        <x:f>G1821*J1821/1000000</x:f>
        <x:v>0.21866</x:v>
      </x:c>
      <x:c r="N1821" s="28" t="n">
        <x:f>H1821*K1821/1000000</x:f>
        <x:v>0.26535</x:v>
      </x:c>
      <x:c r="O1821" s="28" t="n">
        <x:f>SUM(M1821:N1821)</x:f>
        <x:v>0.48400999999999994</x:v>
      </x:c>
    </x:row>
    <x:row r="1822" ht="23" customHeight="1">
      <x:c r="A1822" s="17" t="str">
        <x:v>U01816</x:v>
      </x:c>
      <x:c r="B1822" s="18" t="n">
        <x:v>46275</x:v>
      </x:c>
      <x:c r="C1822" s="17" t="str">
        <x:v>W0123</x:v>
      </x:c>
      <x:c r="D1822" s="17" t="str">
        <x:v>C003</x:v>
      </x:c>
      <x:c r="E1822" s="17" t="str">
        <x:v>DataFlow</x:v>
      </x:c>
      <x:c r="F1822" s="17" t="str">
        <x:v>Lite</x:v>
      </x:c>
      <x:c r="G1822" s="17" t="n">
        <x:v>28448</x:v>
      </x:c>
      <x:c r="H1822" s="17" t="n">
        <x:v>8171</x:v>
      </x:c>
      <x:c r="I1822" s="17" t="str">
        <x:v>Followup</x:v>
      </x:c>
      <x:c r="J1822" s="27" t="n">
        <x:f>INDEX('Model Pricing'!$B$7:$B$8,MATCH(F1822,'Model Pricing'!$A$7:$A$8,0))</x:f>
        <x:v>10</x:v>
      </x:c>
      <x:c r="K1822" s="27" t="n">
        <x:f>INDEX('Model Pricing'!$C$7:$C$8,MATCH(F1822,'Model Pricing'!$A$7:$A$8,0))</x:f>
        <x:v>30</x:v>
      </x:c>
      <x:c r="L1822" s="17" t="n">
        <x:f>G1822+H1822</x:f>
        <x:v>36619</x:v>
      </x:c>
      <x:c r="M1822" s="28" t="n">
        <x:f>G1822*J1822/1000000</x:f>
        <x:v>0.28448</x:v>
      </x:c>
      <x:c r="N1822" s="28" t="n">
        <x:f>H1822*K1822/1000000</x:f>
        <x:v>0.24513</x:v>
      </x:c>
      <x:c r="O1822" s="28" t="n">
        <x:f>SUM(M1822:N1822)</x:f>
        <x:v>0.52961</x:v>
      </x:c>
    </x:row>
    <x:row r="1823" ht="23" customHeight="1">
      <x:c r="A1823" s="17" t="str">
        <x:v>U01817</x:v>
      </x:c>
      <x:c r="B1823" s="18" t="n">
        <x:v>46275</x:v>
      </x:c>
      <x:c r="C1823" s="17" t="str">
        <x:v>W0123</x:v>
      </x:c>
      <x:c r="D1823" s="17" t="str">
        <x:v>C003</x:v>
      </x:c>
      <x:c r="E1823" s="17" t="str">
        <x:v>DataFlow</x:v>
      </x:c>
      <x:c r="F1823" s="17" t="str">
        <x:v>Lite</x:v>
      </x:c>
      <x:c r="G1823" s="17" t="n">
        <x:v>23186</x:v>
      </x:c>
      <x:c r="H1823" s="17" t="n">
        <x:v>9048</x:v>
      </x:c>
      <x:c r="I1823" s="17" t="str">
        <x:v>Followup</x:v>
      </x:c>
      <x:c r="J1823" s="27" t="n">
        <x:f>INDEX('Model Pricing'!$B$7:$B$8,MATCH(F1823,'Model Pricing'!$A$7:$A$8,0))</x:f>
        <x:v>10</x:v>
      </x:c>
      <x:c r="K1823" s="27" t="n">
        <x:f>INDEX('Model Pricing'!$C$7:$C$8,MATCH(F1823,'Model Pricing'!$A$7:$A$8,0))</x:f>
        <x:v>30</x:v>
      </x:c>
      <x:c r="L1823" s="17" t="n">
        <x:f>G1823+H1823</x:f>
        <x:v>32234</x:v>
      </x:c>
      <x:c r="M1823" s="28" t="n">
        <x:f>G1823*J1823/1000000</x:f>
        <x:v>0.23186</x:v>
      </x:c>
      <x:c r="N1823" s="28" t="n">
        <x:f>H1823*K1823/1000000</x:f>
        <x:v>0.27144</x:v>
      </x:c>
      <x:c r="O1823" s="28" t="n">
        <x:f>SUM(M1823:N1823)</x:f>
        <x:v>0.5033000000000001</x:v>
      </x:c>
    </x:row>
    <x:row r="1824" ht="23" customHeight="1">
      <x:c r="A1824" s="17" t="str">
        <x:v>U01818</x:v>
      </x:c>
      <x:c r="B1824" s="18" t="n">
        <x:v>46276</x:v>
      </x:c>
      <x:c r="C1824" s="17" t="str">
        <x:v>W0123</x:v>
      </x:c>
      <x:c r="D1824" s="17" t="str">
        <x:v>C003</x:v>
      </x:c>
      <x:c r="E1824" s="17" t="str">
        <x:v>DataFlow</x:v>
      </x:c>
      <x:c r="F1824" s="17" t="str">
        <x:v>Lite</x:v>
      </x:c>
      <x:c r="G1824" s="17" t="n">
        <x:v>19269</x:v>
      </x:c>
      <x:c r="H1824" s="17" t="n">
        <x:v>4718</x:v>
      </x:c>
      <x:c r="I1824" s="17" t="str">
        <x:v>Correction</x:v>
      </x:c>
      <x:c r="J1824" s="27" t="n">
        <x:f>INDEX('Model Pricing'!$B$7:$B$8,MATCH(F1824,'Model Pricing'!$A$7:$A$8,0))</x:f>
        <x:v>10</x:v>
      </x:c>
      <x:c r="K1824" s="27" t="n">
        <x:f>INDEX('Model Pricing'!$C$7:$C$8,MATCH(F1824,'Model Pricing'!$A$7:$A$8,0))</x:f>
        <x:v>30</x:v>
      </x:c>
      <x:c r="L1824" s="17" t="n">
        <x:f>G1824+H1824</x:f>
        <x:v>23987</x:v>
      </x:c>
      <x:c r="M1824" s="28" t="n">
        <x:f>G1824*J1824/1000000</x:f>
        <x:v>0.19269</x:v>
      </x:c>
      <x:c r="N1824" s="28" t="n">
        <x:f>H1824*K1824/1000000</x:f>
        <x:v>0.14154</x:v>
      </x:c>
      <x:c r="O1824" s="28" t="n">
        <x:f>SUM(M1824:N1824)</x:f>
        <x:v>0.33423</x:v>
      </x:c>
    </x:row>
    <x:row r="1825" ht="23" customHeight="1">
      <x:c r="A1825" s="17" t="str">
        <x:v>U01819</x:v>
      </x:c>
      <x:c r="B1825" s="18" t="n">
        <x:v>46276</x:v>
      </x:c>
      <x:c r="C1825" s="17" t="str">
        <x:v>W0123</x:v>
      </x:c>
      <x:c r="D1825" s="17" t="str">
        <x:v>C003</x:v>
      </x:c>
      <x:c r="E1825" s="17" t="str">
        <x:v>DataFlow</x:v>
      </x:c>
      <x:c r="F1825" s="17" t="str">
        <x:v>Lite</x:v>
      </x:c>
      <x:c r="G1825" s="17" t="n">
        <x:v>14669</x:v>
      </x:c>
      <x:c r="H1825" s="17" t="n">
        <x:v>3427</x:v>
      </x:c>
      <x:c r="I1825" s="17" t="str">
        <x:v>Followup</x:v>
      </x:c>
      <x:c r="J1825" s="27" t="n">
        <x:f>INDEX('Model Pricing'!$B$7:$B$8,MATCH(F1825,'Model Pricing'!$A$7:$A$8,0))</x:f>
        <x:v>10</x:v>
      </x:c>
      <x:c r="K1825" s="27" t="n">
        <x:f>INDEX('Model Pricing'!$C$7:$C$8,MATCH(F1825,'Model Pricing'!$A$7:$A$8,0))</x:f>
        <x:v>30</x:v>
      </x:c>
      <x:c r="L1825" s="17" t="n">
        <x:f>G1825+H1825</x:f>
        <x:v>18096</x:v>
      </x:c>
      <x:c r="M1825" s="28" t="n">
        <x:f>G1825*J1825/1000000</x:f>
        <x:v>0.14669</x:v>
      </x:c>
      <x:c r="N1825" s="28" t="n">
        <x:f>H1825*K1825/1000000</x:f>
        <x:v>0.10281</x:v>
      </x:c>
      <x:c r="O1825" s="28" t="n">
        <x:f>SUM(M1825:N1825)</x:f>
        <x:v>0.2495</x:v>
      </x:c>
    </x:row>
    <x:row r="1826" ht="23" customHeight="1">
      <x:c r="A1826" s="17" t="str">
        <x:v>U01820</x:v>
      </x:c>
      <x:c r="B1826" s="18" t="n">
        <x:v>46279</x:v>
      </x:c>
      <x:c r="C1826" s="17" t="str">
        <x:v>W0123</x:v>
      </x:c>
      <x:c r="D1826" s="17" t="str">
        <x:v>C003</x:v>
      </x:c>
      <x:c r="E1826" s="17" t="str">
        <x:v>DataFlow</x:v>
      </x:c>
      <x:c r="F1826" s="17" t="str">
        <x:v>Lite</x:v>
      </x:c>
      <x:c r="G1826" s="17" t="n">
        <x:v>27648</x:v>
      </x:c>
      <x:c r="H1826" s="17" t="n">
        <x:v>8540</x:v>
      </x:c>
      <x:c r="I1826" s="17" t="str">
        <x:v>Followup</x:v>
      </x:c>
      <x:c r="J1826" s="27" t="n">
        <x:f>INDEX('Model Pricing'!$B$7:$B$8,MATCH(F1826,'Model Pricing'!$A$7:$A$8,0))</x:f>
        <x:v>10</x:v>
      </x:c>
      <x:c r="K1826" s="27" t="n">
        <x:f>INDEX('Model Pricing'!$C$7:$C$8,MATCH(F1826,'Model Pricing'!$A$7:$A$8,0))</x:f>
        <x:v>30</x:v>
      </x:c>
      <x:c r="L1826" s="17" t="n">
        <x:f>G1826+H1826</x:f>
        <x:v>36188</x:v>
      </x:c>
      <x:c r="M1826" s="28" t="n">
        <x:f>G1826*J1826/1000000</x:f>
        <x:v>0.27648</x:v>
      </x:c>
      <x:c r="N1826" s="28" t="n">
        <x:f>H1826*K1826/1000000</x:f>
        <x:v>0.2562</x:v>
      </x:c>
      <x:c r="O1826" s="28" t="n">
        <x:f>SUM(M1826:N1826)</x:f>
        <x:v>0.53268</x:v>
      </x:c>
    </x:row>
    <x:row r="1827" ht="23" customHeight="1">
      <x:c r="A1827" s="17" t="str">
        <x:v>U01821</x:v>
      </x:c>
      <x:c r="B1827" s="18" t="n">
        <x:v>46279</x:v>
      </x:c>
      <x:c r="C1827" s="17" t="str">
        <x:v>W0123</x:v>
      </x:c>
      <x:c r="D1827" s="17" t="str">
        <x:v>C003</x:v>
      </x:c>
      <x:c r="E1827" s="17" t="str">
        <x:v>DataFlow</x:v>
      </x:c>
      <x:c r="F1827" s="17" t="str">
        <x:v>Lite</x:v>
      </x:c>
      <x:c r="G1827" s="17" t="n">
        <x:v>16656</x:v>
      </x:c>
      <x:c r="H1827" s="17" t="n">
        <x:v>5908</x:v>
      </x:c>
      <x:c r="I1827" s="17" t="str">
        <x:v>Followup</x:v>
      </x:c>
      <x:c r="J1827" s="27" t="n">
        <x:f>INDEX('Model Pricing'!$B$7:$B$8,MATCH(F1827,'Model Pricing'!$A$7:$A$8,0))</x:f>
        <x:v>10</x:v>
      </x:c>
      <x:c r="K1827" s="27" t="n">
        <x:f>INDEX('Model Pricing'!$C$7:$C$8,MATCH(F1827,'Model Pricing'!$A$7:$A$8,0))</x:f>
        <x:v>30</x:v>
      </x:c>
      <x:c r="L1827" s="17" t="n">
        <x:f>G1827+H1827</x:f>
        <x:v>22564</x:v>
      </x:c>
      <x:c r="M1827" s="28" t="n">
        <x:f>G1827*J1827/1000000</x:f>
        <x:v>0.16656</x:v>
      </x:c>
      <x:c r="N1827" s="28" t="n">
        <x:f>H1827*K1827/1000000</x:f>
        <x:v>0.17724</x:v>
      </x:c>
      <x:c r="O1827" s="28" t="n">
        <x:f>SUM(M1827:N1827)</x:f>
        <x:v>0.3438</x:v>
      </x:c>
    </x:row>
    <x:row r="1828" ht="23" customHeight="1">
      <x:c r="A1828" s="17" t="str">
        <x:v>U01822</x:v>
      </x:c>
      <x:c r="B1828" s="18" t="n">
        <x:v>46283</x:v>
      </x:c>
      <x:c r="C1828" s="17" t="str">
        <x:v>W0124</x:v>
      </x:c>
      <x:c r="D1828" s="17" t="str">
        <x:v>C003</x:v>
      </x:c>
      <x:c r="E1828" s="17" t="str">
        <x:v>DataFlow</x:v>
      </x:c>
      <x:c r="F1828" s="17" t="str">
        <x:v>Lite</x:v>
      </x:c>
      <x:c r="G1828" s="17" t="n">
        <x:v>19974</x:v>
      </x:c>
      <x:c r="H1828" s="17" t="n">
        <x:v>4851</x:v>
      </x:c>
      <x:c r="I1828" s="17" t="str">
        <x:v>First attempt</x:v>
      </x:c>
      <x:c r="J1828" s="27" t="n">
        <x:f>INDEX('Model Pricing'!$B$7:$B$8,MATCH(F1828,'Model Pricing'!$A$7:$A$8,0))</x:f>
        <x:v>10</x:v>
      </x:c>
      <x:c r="K1828" s="27" t="n">
        <x:f>INDEX('Model Pricing'!$C$7:$C$8,MATCH(F1828,'Model Pricing'!$A$7:$A$8,0))</x:f>
        <x:v>30</x:v>
      </x:c>
      <x:c r="L1828" s="17" t="n">
        <x:f>G1828+H1828</x:f>
        <x:v>24825</x:v>
      </x:c>
      <x:c r="M1828" s="28" t="n">
        <x:f>G1828*J1828/1000000</x:f>
        <x:v>0.19974</x:v>
      </x:c>
      <x:c r="N1828" s="28" t="n">
        <x:f>H1828*K1828/1000000</x:f>
        <x:v>0.14553</x:v>
      </x:c>
      <x:c r="O1828" s="28" t="n">
        <x:f>SUM(M1828:N1828)</x:f>
        <x:v>0.34526999999999997</x:v>
      </x:c>
    </x:row>
    <x:row r="1829" ht="23" customHeight="1">
      <x:c r="A1829" s="17" t="str">
        <x:v>U01823</x:v>
      </x:c>
      <x:c r="B1829" s="18" t="n">
        <x:v>46283</x:v>
      </x:c>
      <x:c r="C1829" s="17" t="str">
        <x:v>W0124</x:v>
      </x:c>
      <x:c r="D1829" s="17" t="str">
        <x:v>C003</x:v>
      </x:c>
      <x:c r="E1829" s="17" t="str">
        <x:v>DataFlow</x:v>
      </x:c>
      <x:c r="F1829" s="17" t="str">
        <x:v>Lite</x:v>
      </x:c>
      <x:c r="G1829" s="17" t="n">
        <x:v>28305</x:v>
      </x:c>
      <x:c r="H1829" s="17" t="n">
        <x:v>1894</x:v>
      </x:c>
      <x:c r="I1829" s="17" t="str">
        <x:v>Followup</x:v>
      </x:c>
      <x:c r="J1829" s="27" t="n">
        <x:f>INDEX('Model Pricing'!$B$7:$B$8,MATCH(F1829,'Model Pricing'!$A$7:$A$8,0))</x:f>
        <x:v>10</x:v>
      </x:c>
      <x:c r="K1829" s="27" t="n">
        <x:f>INDEX('Model Pricing'!$C$7:$C$8,MATCH(F1829,'Model Pricing'!$A$7:$A$8,0))</x:f>
        <x:v>30</x:v>
      </x:c>
      <x:c r="L1829" s="17" t="n">
        <x:f>G1829+H1829</x:f>
        <x:v>30199</x:v>
      </x:c>
      <x:c r="M1829" s="28" t="n">
        <x:f>G1829*J1829/1000000</x:f>
        <x:v>0.28305</x:v>
      </x:c>
      <x:c r="N1829" s="28" t="n">
        <x:f>H1829*K1829/1000000</x:f>
        <x:v>0.05682</x:v>
      </x:c>
      <x:c r="O1829" s="28" t="n">
        <x:f>SUM(M1829:N1829)</x:f>
        <x:v>0.33987</x:v>
      </x:c>
    </x:row>
    <x:row r="1830" ht="23" customHeight="1">
      <x:c r="A1830" s="17" t="str">
        <x:v>U01824</x:v>
      </x:c>
      <x:c r="B1830" s="18" t="n">
        <x:v>46283</x:v>
      </x:c>
      <x:c r="C1830" s="17" t="str">
        <x:v>W0124</x:v>
      </x:c>
      <x:c r="D1830" s="17" t="str">
        <x:v>C003</x:v>
      </x:c>
      <x:c r="E1830" s="17" t="str">
        <x:v>DataFlow</x:v>
      </x:c>
      <x:c r="F1830" s="17" t="str">
        <x:v>Lite</x:v>
      </x:c>
      <x:c r="G1830" s="17" t="n">
        <x:v>35914</x:v>
      </x:c>
      <x:c r="H1830" s="17" t="n">
        <x:v>3133</x:v>
      </x:c>
      <x:c r="I1830" s="17" t="str">
        <x:v>Followup</x:v>
      </x:c>
      <x:c r="J1830" s="27" t="n">
        <x:f>INDEX('Model Pricing'!$B$7:$B$8,MATCH(F1830,'Model Pricing'!$A$7:$A$8,0))</x:f>
        <x:v>10</x:v>
      </x:c>
      <x:c r="K1830" s="27" t="n">
        <x:f>INDEX('Model Pricing'!$C$7:$C$8,MATCH(F1830,'Model Pricing'!$A$7:$A$8,0))</x:f>
        <x:v>30</x:v>
      </x:c>
      <x:c r="L1830" s="17" t="n">
        <x:f>G1830+H1830</x:f>
        <x:v>39047</x:v>
      </x:c>
      <x:c r="M1830" s="28" t="n">
        <x:f>G1830*J1830/1000000</x:f>
        <x:v>0.35914</x:v>
      </x:c>
      <x:c r="N1830" s="28" t="n">
        <x:f>H1830*K1830/1000000</x:f>
        <x:v>0.09399</x:v>
      </x:c>
      <x:c r="O1830" s="28" t="n">
        <x:f>SUM(M1830:N1830)</x:f>
        <x:v>0.45313000000000003</x:v>
      </x:c>
    </x:row>
    <x:row r="1831" ht="23" customHeight="1">
      <x:c r="A1831" s="17" t="str">
        <x:v>U01825</x:v>
      </x:c>
      <x:c r="B1831" s="18" t="n">
        <x:v>46286</x:v>
      </x:c>
      <x:c r="C1831" s="17" t="str">
        <x:v>W0124</x:v>
      </x:c>
      <x:c r="D1831" s="17" t="str">
        <x:v>C003</x:v>
      </x:c>
      <x:c r="E1831" s="17" t="str">
        <x:v>DataFlow</x:v>
      </x:c>
      <x:c r="F1831" s="17" t="str">
        <x:v>Lite</x:v>
      </x:c>
      <x:c r="G1831" s="17" t="n">
        <x:v>24124</x:v>
      </x:c>
      <x:c r="H1831" s="17" t="n">
        <x:v>1988</x:v>
      </x:c>
      <x:c r="I1831" s="17" t="str">
        <x:v>Followup</x:v>
      </x:c>
      <x:c r="J1831" s="27" t="n">
        <x:f>INDEX('Model Pricing'!$B$7:$B$8,MATCH(F1831,'Model Pricing'!$A$7:$A$8,0))</x:f>
        <x:v>10</x:v>
      </x:c>
      <x:c r="K1831" s="27" t="n">
        <x:f>INDEX('Model Pricing'!$C$7:$C$8,MATCH(F1831,'Model Pricing'!$A$7:$A$8,0))</x:f>
        <x:v>30</x:v>
      </x:c>
      <x:c r="L1831" s="17" t="n">
        <x:f>G1831+H1831</x:f>
        <x:v>26112</x:v>
      </x:c>
      <x:c r="M1831" s="28" t="n">
        <x:f>G1831*J1831/1000000</x:f>
        <x:v>0.24124</x:v>
      </x:c>
      <x:c r="N1831" s="28" t="n">
        <x:f>H1831*K1831/1000000</x:f>
        <x:v>0.05964</x:v>
      </x:c>
      <x:c r="O1831" s="28" t="n">
        <x:f>SUM(M1831:N1831)</x:f>
        <x:v>0.30088000000000004</x:v>
      </x:c>
    </x:row>
    <x:row r="1832" ht="23" customHeight="1">
      <x:c r="A1832" s="17" t="str">
        <x:v>U01826</x:v>
      </x:c>
      <x:c r="B1832" s="18" t="n">
        <x:v>46286</x:v>
      </x:c>
      <x:c r="C1832" s="17" t="str">
        <x:v>W0124</x:v>
      </x:c>
      <x:c r="D1832" s="17" t="str">
        <x:v>C003</x:v>
      </x:c>
      <x:c r="E1832" s="17" t="str">
        <x:v>DataFlow</x:v>
      </x:c>
      <x:c r="F1832" s="17" t="str">
        <x:v>Lite</x:v>
      </x:c>
      <x:c r="G1832" s="17" t="n">
        <x:v>38056</x:v>
      </x:c>
      <x:c r="H1832" s="17" t="n">
        <x:v>3595</x:v>
      </x:c>
      <x:c r="I1832" s="17" t="str">
        <x:v>Followup</x:v>
      </x:c>
      <x:c r="J1832" s="27" t="n">
        <x:f>INDEX('Model Pricing'!$B$7:$B$8,MATCH(F1832,'Model Pricing'!$A$7:$A$8,0))</x:f>
        <x:v>10</x:v>
      </x:c>
      <x:c r="K1832" s="27" t="n">
        <x:f>INDEX('Model Pricing'!$C$7:$C$8,MATCH(F1832,'Model Pricing'!$A$7:$A$8,0))</x:f>
        <x:v>30</x:v>
      </x:c>
      <x:c r="L1832" s="17" t="n">
        <x:f>G1832+H1832</x:f>
        <x:v>41651</x:v>
      </x:c>
      <x:c r="M1832" s="28" t="n">
        <x:f>G1832*J1832/1000000</x:f>
        <x:v>0.38056</x:v>
      </x:c>
      <x:c r="N1832" s="28" t="n">
        <x:f>H1832*K1832/1000000</x:f>
        <x:v>0.10785</x:v>
      </x:c>
      <x:c r="O1832" s="28" t="n">
        <x:f>SUM(M1832:N1832)</x:f>
        <x:v>0.48841</x:v>
      </x:c>
    </x:row>
    <x:row r="1833" ht="23" customHeight="1">
      <x:c r="A1833" s="17" t="str">
        <x:v>U01827</x:v>
      </x:c>
      <x:c r="B1833" s="18" t="n">
        <x:v>46287</x:v>
      </x:c>
      <x:c r="C1833" s="17" t="str">
        <x:v>W0124</x:v>
      </x:c>
      <x:c r="D1833" s="17" t="str">
        <x:v>C003</x:v>
      </x:c>
      <x:c r="E1833" s="17" t="str">
        <x:v>DataFlow</x:v>
      </x:c>
      <x:c r="F1833" s="17" t="str">
        <x:v>Lite</x:v>
      </x:c>
      <x:c r="G1833" s="17" t="n">
        <x:v>44270</x:v>
      </x:c>
      <x:c r="H1833" s="17" t="n">
        <x:v>2400</x:v>
      </x:c>
      <x:c r="I1833" s="17" t="str">
        <x:v>Correction</x:v>
      </x:c>
      <x:c r="J1833" s="27" t="n">
        <x:f>INDEX('Model Pricing'!$B$7:$B$8,MATCH(F1833,'Model Pricing'!$A$7:$A$8,0))</x:f>
        <x:v>10</x:v>
      </x:c>
      <x:c r="K1833" s="27" t="n">
        <x:f>INDEX('Model Pricing'!$C$7:$C$8,MATCH(F1833,'Model Pricing'!$A$7:$A$8,0))</x:f>
        <x:v>30</x:v>
      </x:c>
      <x:c r="L1833" s="17" t="n">
        <x:f>G1833+H1833</x:f>
        <x:v>46670</x:v>
      </x:c>
      <x:c r="M1833" s="28" t="n">
        <x:f>G1833*J1833/1000000</x:f>
        <x:v>0.4427</x:v>
      </x:c>
      <x:c r="N1833" s="28" t="n">
        <x:f>H1833*K1833/1000000</x:f>
        <x:v>0.072</x:v>
      </x:c>
      <x:c r="O1833" s="28" t="n">
        <x:f>SUM(M1833:N1833)</x:f>
        <x:v>0.5146999999999999</x:v>
      </x:c>
    </x:row>
    <x:row r="1834" ht="23" customHeight="1">
      <x:c r="A1834" s="17" t="str">
        <x:v>U01828</x:v>
      </x:c>
      <x:c r="B1834" s="18" t="n">
        <x:v>46287</x:v>
      </x:c>
      <x:c r="C1834" s="17" t="str">
        <x:v>W0124</x:v>
      </x:c>
      <x:c r="D1834" s="17" t="str">
        <x:v>C003</x:v>
      </x:c>
      <x:c r="E1834" s="17" t="str">
        <x:v>DataFlow</x:v>
      </x:c>
      <x:c r="F1834" s="17" t="str">
        <x:v>Lite</x:v>
      </x:c>
      <x:c r="G1834" s="17" t="n">
        <x:v>21523</x:v>
      </x:c>
      <x:c r="H1834" s="17" t="n">
        <x:v>4465</x:v>
      </x:c>
      <x:c r="I1834" s="17" t="str">
        <x:v>Followup</x:v>
      </x:c>
      <x:c r="J1834" s="27" t="n">
        <x:f>INDEX('Model Pricing'!$B$7:$B$8,MATCH(F1834,'Model Pricing'!$A$7:$A$8,0))</x:f>
        <x:v>10</x:v>
      </x:c>
      <x:c r="K1834" s="27" t="n">
        <x:f>INDEX('Model Pricing'!$C$7:$C$8,MATCH(F1834,'Model Pricing'!$A$7:$A$8,0))</x:f>
        <x:v>30</x:v>
      </x:c>
      <x:c r="L1834" s="17" t="n">
        <x:f>G1834+H1834</x:f>
        <x:v>25988</x:v>
      </x:c>
      <x:c r="M1834" s="28" t="n">
        <x:f>G1834*J1834/1000000</x:f>
        <x:v>0.21523</x:v>
      </x:c>
      <x:c r="N1834" s="28" t="n">
        <x:f>H1834*K1834/1000000</x:f>
        <x:v>0.13395</x:v>
      </x:c>
      <x:c r="O1834" s="28" t="n">
        <x:f>SUM(M1834:N1834)</x:f>
        <x:v>0.34918000000000005</x:v>
      </x:c>
    </x:row>
    <x:row r="1835" ht="23" customHeight="1">
      <x:c r="A1835" s="17" t="str">
        <x:v>U01829</x:v>
      </x:c>
      <x:c r="B1835" s="18" t="n">
        <x:v>46287</x:v>
      </x:c>
      <x:c r="C1835" s="17" t="str">
        <x:v>W0124</x:v>
      </x:c>
      <x:c r="D1835" s="17" t="str">
        <x:v>C003</x:v>
      </x:c>
      <x:c r="E1835" s="17" t="str">
        <x:v>DataFlow</x:v>
      </x:c>
      <x:c r="F1835" s="17" t="str">
        <x:v>Lite</x:v>
      </x:c>
      <x:c r="G1835" s="17" t="n">
        <x:v>29439</x:v>
      </x:c>
      <x:c r="H1835" s="17" t="n">
        <x:v>3052</x:v>
      </x:c>
      <x:c r="I1835" s="17" t="str">
        <x:v>Followup</x:v>
      </x:c>
      <x:c r="J1835" s="27" t="n">
        <x:f>INDEX('Model Pricing'!$B$7:$B$8,MATCH(F1835,'Model Pricing'!$A$7:$A$8,0))</x:f>
        <x:v>10</x:v>
      </x:c>
      <x:c r="K1835" s="27" t="n">
        <x:f>INDEX('Model Pricing'!$C$7:$C$8,MATCH(F1835,'Model Pricing'!$A$7:$A$8,0))</x:f>
        <x:v>30</x:v>
      </x:c>
      <x:c r="L1835" s="17" t="n">
        <x:f>G1835+H1835</x:f>
        <x:v>32491</x:v>
      </x:c>
      <x:c r="M1835" s="28" t="n">
        <x:f>G1835*J1835/1000000</x:f>
        <x:v>0.29439</x:v>
      </x:c>
      <x:c r="N1835" s="28" t="n">
        <x:f>H1835*K1835/1000000</x:f>
        <x:v>0.09156</x:v>
      </x:c>
      <x:c r="O1835" s="28" t="n">
        <x:f>SUM(M1835:N1835)</x:f>
        <x:v>0.38595</x:v>
      </x:c>
    </x:row>
    <x:row r="1836" ht="23" customHeight="1">
      <x:c r="A1836" s="17" t="str">
        <x:v>U01830</x:v>
      </x:c>
      <x:c r="B1836" s="18" t="n">
        <x:v>46288</x:v>
      </x:c>
      <x:c r="C1836" s="17" t="str">
        <x:v>W0124</x:v>
      </x:c>
      <x:c r="D1836" s="17" t="str">
        <x:v>C003</x:v>
      </x:c>
      <x:c r="E1836" s="17" t="str">
        <x:v>DataFlow</x:v>
      </x:c>
      <x:c r="F1836" s="17" t="str">
        <x:v>Lite</x:v>
      </x:c>
      <x:c r="G1836" s="17" t="n">
        <x:v>19473</x:v>
      </x:c>
      <x:c r="H1836" s="17" t="n">
        <x:v>3339</x:v>
      </x:c>
      <x:c r="I1836" s="17" t="str">
        <x:v>Correction</x:v>
      </x:c>
      <x:c r="J1836" s="27" t="n">
        <x:f>INDEX('Model Pricing'!$B$7:$B$8,MATCH(F1836,'Model Pricing'!$A$7:$A$8,0))</x:f>
        <x:v>10</x:v>
      </x:c>
      <x:c r="K1836" s="27" t="n">
        <x:f>INDEX('Model Pricing'!$C$7:$C$8,MATCH(F1836,'Model Pricing'!$A$7:$A$8,0))</x:f>
        <x:v>30</x:v>
      </x:c>
      <x:c r="L1836" s="17" t="n">
        <x:f>G1836+H1836</x:f>
        <x:v>22812</x:v>
      </x:c>
      <x:c r="M1836" s="28" t="n">
        <x:f>G1836*J1836/1000000</x:f>
        <x:v>0.19473</x:v>
      </x:c>
      <x:c r="N1836" s="28" t="n">
        <x:f>H1836*K1836/1000000</x:f>
        <x:v>0.10017</x:v>
      </x:c>
      <x:c r="O1836" s="28" t="n">
        <x:f>SUM(M1836:N1836)</x:f>
        <x:v>0.2949</x:v>
      </x:c>
    </x:row>
    <x:row r="1837" ht="23" customHeight="1">
      <x:c r="A1837" s="17" t="str">
        <x:v>U01831</x:v>
      </x:c>
      <x:c r="B1837" s="18" t="n">
        <x:v>46288</x:v>
      </x:c>
      <x:c r="C1837" s="17" t="str">
        <x:v>W0124</x:v>
      </x:c>
      <x:c r="D1837" s="17" t="str">
        <x:v>C003</x:v>
      </x:c>
      <x:c r="E1837" s="17" t="str">
        <x:v>DataFlow</x:v>
      </x:c>
      <x:c r="F1837" s="17" t="str">
        <x:v>Lite</x:v>
      </x:c>
      <x:c r="G1837" s="17" t="n">
        <x:v>25164</x:v>
      </x:c>
      <x:c r="H1837" s="17" t="n">
        <x:v>2211</x:v>
      </x:c>
      <x:c r="I1837" s="17" t="str">
        <x:v>Followup</x:v>
      </x:c>
      <x:c r="J1837" s="27" t="n">
        <x:f>INDEX('Model Pricing'!$B$7:$B$8,MATCH(F1837,'Model Pricing'!$A$7:$A$8,0))</x:f>
        <x:v>10</x:v>
      </x:c>
      <x:c r="K1837" s="27" t="n">
        <x:f>INDEX('Model Pricing'!$C$7:$C$8,MATCH(F1837,'Model Pricing'!$A$7:$A$8,0))</x:f>
        <x:v>30</x:v>
      </x:c>
      <x:c r="L1837" s="17" t="n">
        <x:f>G1837+H1837</x:f>
        <x:v>27375</x:v>
      </x:c>
      <x:c r="M1837" s="28" t="n">
        <x:f>G1837*J1837/1000000</x:f>
        <x:v>0.25164</x:v>
      </x:c>
      <x:c r="N1837" s="28" t="n">
        <x:f>H1837*K1837/1000000</x:f>
        <x:v>0.06633</x:v>
      </x:c>
      <x:c r="O1837" s="28" t="n">
        <x:f>SUM(M1837:N1837)</x:f>
        <x:v>0.31797</x:v>
      </x:c>
    </x:row>
    <x:row r="1838" ht="23" customHeight="1">
      <x:c r="A1838" s="17" t="str">
        <x:v>U01832</x:v>
      </x:c>
      <x:c r="B1838" s="18" t="n">
        <x:v>46267</x:v>
      </x:c>
      <x:c r="C1838" s="17" t="str">
        <x:v>W0125</x:v>
      </x:c>
      <x:c r="D1838" s="17" t="str">
        <x:v>C003</x:v>
      </x:c>
      <x:c r="E1838" s="17" t="str">
        <x:v>InsightDesk</x:v>
      </x:c>
      <x:c r="F1838" s="17" t="str">
        <x:v>Lite</x:v>
      </x:c>
      <x:c r="G1838" s="17" t="n">
        <x:v>27888</x:v>
      </x:c>
      <x:c r="H1838" s="17" t="n">
        <x:v>3375</x:v>
      </x:c>
      <x:c r="I1838" s="17" t="str">
        <x:v>First attempt</x:v>
      </x:c>
      <x:c r="J1838" s="27" t="n">
        <x:f>INDEX('Model Pricing'!$B$7:$B$8,MATCH(F1838,'Model Pricing'!$A$7:$A$8,0))</x:f>
        <x:v>10</x:v>
      </x:c>
      <x:c r="K1838" s="27" t="n">
        <x:f>INDEX('Model Pricing'!$C$7:$C$8,MATCH(F1838,'Model Pricing'!$A$7:$A$8,0))</x:f>
        <x:v>30</x:v>
      </x:c>
      <x:c r="L1838" s="17" t="n">
        <x:f>G1838+H1838</x:f>
        <x:v>31263</x:v>
      </x:c>
      <x:c r="M1838" s="28" t="n">
        <x:f>G1838*J1838/1000000</x:f>
        <x:v>0.27888</x:v>
      </x:c>
      <x:c r="N1838" s="28" t="n">
        <x:f>H1838*K1838/1000000</x:f>
        <x:v>0.10125</x:v>
      </x:c>
      <x:c r="O1838" s="28" t="n">
        <x:f>SUM(M1838:N1838)</x:f>
        <x:v>0.38013</x:v>
      </x:c>
    </x:row>
    <x:row r="1839" ht="23" customHeight="1">
      <x:c r="A1839" s="17" t="str">
        <x:v>U01833</x:v>
      </x:c>
      <x:c r="B1839" s="18" t="n">
        <x:v>46267</x:v>
      </x:c>
      <x:c r="C1839" s="17" t="str">
        <x:v>W0125</x:v>
      </x:c>
      <x:c r="D1839" s="17" t="str">
        <x:v>C003</x:v>
      </x:c>
      <x:c r="E1839" s="17" t="str">
        <x:v>InsightDesk</x:v>
      </x:c>
      <x:c r="F1839" s="17" t="str">
        <x:v>Lite</x:v>
      </x:c>
      <x:c r="G1839" s="17" t="n">
        <x:v>11800</x:v>
      </x:c>
      <x:c r="H1839" s="17" t="n">
        <x:v>5412</x:v>
      </x:c>
      <x:c r="I1839" s="17" t="str">
        <x:v>Followup</x:v>
      </x:c>
      <x:c r="J1839" s="27" t="n">
        <x:f>INDEX('Model Pricing'!$B$7:$B$8,MATCH(F1839,'Model Pricing'!$A$7:$A$8,0))</x:f>
        <x:v>10</x:v>
      </x:c>
      <x:c r="K1839" s="27" t="n">
        <x:f>INDEX('Model Pricing'!$C$7:$C$8,MATCH(F1839,'Model Pricing'!$A$7:$A$8,0))</x:f>
        <x:v>30</x:v>
      </x:c>
      <x:c r="L1839" s="17" t="n">
        <x:f>G1839+H1839</x:f>
        <x:v>17212</x:v>
      </x:c>
      <x:c r="M1839" s="28" t="n">
        <x:f>G1839*J1839/1000000</x:f>
        <x:v>0.118</x:v>
      </x:c>
      <x:c r="N1839" s="28" t="n">
        <x:f>H1839*K1839/1000000</x:f>
        <x:v>0.16236</x:v>
      </x:c>
      <x:c r="O1839" s="28" t="n">
        <x:f>SUM(M1839:N1839)</x:f>
        <x:v>0.28036</x:v>
      </x:c>
    </x:row>
    <x:row r="1840" ht="23" customHeight="1">
      <x:c r="A1840" s="17" t="str">
        <x:v>U01834</x:v>
      </x:c>
      <x:c r="B1840" s="18" t="n">
        <x:v>46267</x:v>
      </x:c>
      <x:c r="C1840" s="17" t="str">
        <x:v>W0125</x:v>
      </x:c>
      <x:c r="D1840" s="17" t="str">
        <x:v>C003</x:v>
      </x:c>
      <x:c r="E1840" s="17" t="str">
        <x:v>InsightDesk</x:v>
      </x:c>
      <x:c r="F1840" s="17" t="str">
        <x:v>Lite</x:v>
      </x:c>
      <x:c r="G1840" s="17" t="n">
        <x:v>23023</x:v>
      </x:c>
      <x:c r="H1840" s="17" t="n">
        <x:v>5913</x:v>
      </x:c>
      <x:c r="I1840" s="17" t="str">
        <x:v>Followup</x:v>
      </x:c>
      <x:c r="J1840" s="27" t="n">
        <x:f>INDEX('Model Pricing'!$B$7:$B$8,MATCH(F1840,'Model Pricing'!$A$7:$A$8,0))</x:f>
        <x:v>10</x:v>
      </x:c>
      <x:c r="K1840" s="27" t="n">
        <x:f>INDEX('Model Pricing'!$C$7:$C$8,MATCH(F1840,'Model Pricing'!$A$7:$A$8,0))</x:f>
        <x:v>30</x:v>
      </x:c>
      <x:c r="L1840" s="17" t="n">
        <x:f>G1840+H1840</x:f>
        <x:v>28936</x:v>
      </x:c>
      <x:c r="M1840" s="28" t="n">
        <x:f>G1840*J1840/1000000</x:f>
        <x:v>0.23023</x:v>
      </x:c>
      <x:c r="N1840" s="28" t="n">
        <x:f>H1840*K1840/1000000</x:f>
        <x:v>0.17739</x:v>
      </x:c>
      <x:c r="O1840" s="28" t="n">
        <x:f>SUM(M1840:N1840)</x:f>
        <x:v>0.40762</x:v>
      </x:c>
    </x:row>
    <x:row r="1841" ht="23" customHeight="1">
      <x:c r="A1841" s="17" t="str">
        <x:v>U01835</x:v>
      </x:c>
      <x:c r="B1841" s="18" t="n">
        <x:v>46267</x:v>
      </x:c>
      <x:c r="C1841" s="17" t="str">
        <x:v>W0125</x:v>
      </x:c>
      <x:c r="D1841" s="17" t="str">
        <x:v>C003</x:v>
      </x:c>
      <x:c r="E1841" s="17" t="str">
        <x:v>InsightDesk</x:v>
      </x:c>
      <x:c r="F1841" s="17" t="str">
        <x:v>Lite</x:v>
      </x:c>
      <x:c r="G1841" s="17" t="n">
        <x:v>29147</x:v>
      </x:c>
      <x:c r="H1841" s="17" t="n">
        <x:v>4380</x:v>
      </x:c>
      <x:c r="I1841" s="17" t="str">
        <x:v>Followup</x:v>
      </x:c>
      <x:c r="J1841" s="27" t="n">
        <x:f>INDEX('Model Pricing'!$B$7:$B$8,MATCH(F1841,'Model Pricing'!$A$7:$A$8,0))</x:f>
        <x:v>10</x:v>
      </x:c>
      <x:c r="K1841" s="27" t="n">
        <x:f>INDEX('Model Pricing'!$C$7:$C$8,MATCH(F1841,'Model Pricing'!$A$7:$A$8,0))</x:f>
        <x:v>30</x:v>
      </x:c>
      <x:c r="L1841" s="17" t="n">
        <x:f>G1841+H1841</x:f>
        <x:v>33527</x:v>
      </x:c>
      <x:c r="M1841" s="28" t="n">
        <x:f>G1841*J1841/1000000</x:f>
        <x:v>0.29147</x:v>
      </x:c>
      <x:c r="N1841" s="28" t="n">
        <x:f>H1841*K1841/1000000</x:f>
        <x:v>0.1314</x:v>
      </x:c>
      <x:c r="O1841" s="28" t="n">
        <x:f>SUM(M1841:N1841)</x:f>
        <x:v>0.42286999999999997</x:v>
      </x:c>
    </x:row>
    <x:row r="1842" ht="23" customHeight="1">
      <x:c r="A1842" s="17" t="str">
        <x:v>U01836</x:v>
      </x:c>
      <x:c r="B1842" s="18" t="n">
        <x:v>46268</x:v>
      </x:c>
      <x:c r="C1842" s="17" t="str">
        <x:v>W0125</x:v>
      </x:c>
      <x:c r="D1842" s="17" t="str">
        <x:v>C003</x:v>
      </x:c>
      <x:c r="E1842" s="17" t="str">
        <x:v>InsightDesk</x:v>
      </x:c>
      <x:c r="F1842" s="17" t="str">
        <x:v>Lite</x:v>
      </x:c>
      <x:c r="G1842" s="17" t="n">
        <x:v>25523</x:v>
      </x:c>
      <x:c r="H1842" s="17" t="n">
        <x:v>4135</x:v>
      </x:c>
      <x:c r="I1842" s="17" t="str">
        <x:v>Followup</x:v>
      </x:c>
      <x:c r="J1842" s="27" t="n">
        <x:f>INDEX('Model Pricing'!$B$7:$B$8,MATCH(F1842,'Model Pricing'!$A$7:$A$8,0))</x:f>
        <x:v>10</x:v>
      </x:c>
      <x:c r="K1842" s="27" t="n">
        <x:f>INDEX('Model Pricing'!$C$7:$C$8,MATCH(F1842,'Model Pricing'!$A$7:$A$8,0))</x:f>
        <x:v>30</x:v>
      </x:c>
      <x:c r="L1842" s="17" t="n">
        <x:f>G1842+H1842</x:f>
        <x:v>29658</x:v>
      </x:c>
      <x:c r="M1842" s="28" t="n">
        <x:f>G1842*J1842/1000000</x:f>
        <x:v>0.25523</x:v>
      </x:c>
      <x:c r="N1842" s="28" t="n">
        <x:f>H1842*K1842/1000000</x:f>
        <x:v>0.12405</x:v>
      </x:c>
      <x:c r="O1842" s="28" t="n">
        <x:f>SUM(M1842:N1842)</x:f>
        <x:v>0.37928</x:v>
      </x:c>
    </x:row>
    <x:row r="1843" ht="23" customHeight="1">
      <x:c r="A1843" s="17" t="str">
        <x:v>U01837</x:v>
      </x:c>
      <x:c r="B1843" s="18" t="n">
        <x:v>46268</x:v>
      </x:c>
      <x:c r="C1843" s="17" t="str">
        <x:v>W0125</x:v>
      </x:c>
      <x:c r="D1843" s="17" t="str">
        <x:v>C003</x:v>
      </x:c>
      <x:c r="E1843" s="17" t="str">
        <x:v>InsightDesk</x:v>
      </x:c>
      <x:c r="F1843" s="17" t="str">
        <x:v>Lite</x:v>
      </x:c>
      <x:c r="G1843" s="17" t="n">
        <x:v>24485</x:v>
      </x:c>
      <x:c r="H1843" s="17" t="n">
        <x:v>3212</x:v>
      </x:c>
      <x:c r="I1843" s="17" t="str">
        <x:v>Followup</x:v>
      </x:c>
      <x:c r="J1843" s="27" t="n">
        <x:f>INDEX('Model Pricing'!$B$7:$B$8,MATCH(F1843,'Model Pricing'!$A$7:$A$8,0))</x:f>
        <x:v>10</x:v>
      </x:c>
      <x:c r="K1843" s="27" t="n">
        <x:f>INDEX('Model Pricing'!$C$7:$C$8,MATCH(F1843,'Model Pricing'!$A$7:$A$8,0))</x:f>
        <x:v>30</x:v>
      </x:c>
      <x:c r="L1843" s="17" t="n">
        <x:f>G1843+H1843</x:f>
        <x:v>27697</x:v>
      </x:c>
      <x:c r="M1843" s="28" t="n">
        <x:f>G1843*J1843/1000000</x:f>
        <x:v>0.24485</x:v>
      </x:c>
      <x:c r="N1843" s="28" t="n">
        <x:f>H1843*K1843/1000000</x:f>
        <x:v>0.09636</x:v>
      </x:c>
      <x:c r="O1843" s="28" t="n">
        <x:f>SUM(M1843:N1843)</x:f>
        <x:v>0.34121</x:v>
      </x:c>
    </x:row>
    <x:row r="1844" ht="23" customHeight="1">
      <x:c r="A1844" s="17" t="str">
        <x:v>U01838</x:v>
      </x:c>
      <x:c r="B1844" s="18" t="n">
        <x:v>46268</x:v>
      </x:c>
      <x:c r="C1844" s="17" t="str">
        <x:v>W0125</x:v>
      </x:c>
      <x:c r="D1844" s="17" t="str">
        <x:v>C003</x:v>
      </x:c>
      <x:c r="E1844" s="17" t="str">
        <x:v>InsightDesk</x:v>
      </x:c>
      <x:c r="F1844" s="17" t="str">
        <x:v>Lite</x:v>
      </x:c>
      <x:c r="G1844" s="17" t="n">
        <x:v>25363</x:v>
      </x:c>
      <x:c r="H1844" s="17" t="n">
        <x:v>4535</x:v>
      </x:c>
      <x:c r="I1844" s="17" t="str">
        <x:v>Followup</x:v>
      </x:c>
      <x:c r="J1844" s="27" t="n">
        <x:f>INDEX('Model Pricing'!$B$7:$B$8,MATCH(F1844,'Model Pricing'!$A$7:$A$8,0))</x:f>
        <x:v>10</x:v>
      </x:c>
      <x:c r="K1844" s="27" t="n">
        <x:f>INDEX('Model Pricing'!$C$7:$C$8,MATCH(F1844,'Model Pricing'!$A$7:$A$8,0))</x:f>
        <x:v>30</x:v>
      </x:c>
      <x:c r="L1844" s="17" t="n">
        <x:f>G1844+H1844</x:f>
        <x:v>29898</x:v>
      </x:c>
      <x:c r="M1844" s="28" t="n">
        <x:f>G1844*J1844/1000000</x:f>
        <x:v>0.25363</x:v>
      </x:c>
      <x:c r="N1844" s="28" t="n">
        <x:f>H1844*K1844/1000000</x:f>
        <x:v>0.13605</x:v>
      </x:c>
      <x:c r="O1844" s="28" t="n">
        <x:f>SUM(M1844:N1844)</x:f>
        <x:v>0.38968</x:v>
      </x:c>
    </x:row>
    <x:row r="1845" ht="23" customHeight="1">
      <x:c r="A1845" s="17" t="str">
        <x:v>U01839</x:v>
      </x:c>
      <x:c r="B1845" s="18" t="n">
        <x:v>46269</x:v>
      </x:c>
      <x:c r="C1845" s="17" t="str">
        <x:v>W0125</x:v>
      </x:c>
      <x:c r="D1845" s="17" t="str">
        <x:v>C003</x:v>
      </x:c>
      <x:c r="E1845" s="17" t="str">
        <x:v>InsightDesk</x:v>
      </x:c>
      <x:c r="F1845" s="17" t="str">
        <x:v>Lite</x:v>
      </x:c>
      <x:c r="G1845" s="17" t="n">
        <x:v>19889</x:v>
      </x:c>
      <x:c r="H1845" s="17" t="n">
        <x:v>3090</x:v>
      </x:c>
      <x:c r="I1845" s="17" t="str">
        <x:v>Followup</x:v>
      </x:c>
      <x:c r="J1845" s="27" t="n">
        <x:f>INDEX('Model Pricing'!$B$7:$B$8,MATCH(F1845,'Model Pricing'!$A$7:$A$8,0))</x:f>
        <x:v>10</x:v>
      </x:c>
      <x:c r="K1845" s="27" t="n">
        <x:f>INDEX('Model Pricing'!$C$7:$C$8,MATCH(F1845,'Model Pricing'!$A$7:$A$8,0))</x:f>
        <x:v>30</x:v>
      </x:c>
      <x:c r="L1845" s="17" t="n">
        <x:f>G1845+H1845</x:f>
        <x:v>22979</x:v>
      </x:c>
      <x:c r="M1845" s="28" t="n">
        <x:f>G1845*J1845/1000000</x:f>
        <x:v>0.19889</x:v>
      </x:c>
      <x:c r="N1845" s="28" t="n">
        <x:f>H1845*K1845/1000000</x:f>
        <x:v>0.0927</x:v>
      </x:c>
      <x:c r="O1845" s="28" t="n">
        <x:f>SUM(M1845:N1845)</x:f>
        <x:v>0.29159</x:v>
      </x:c>
    </x:row>
    <x:row r="1846" ht="23" customHeight="1">
      <x:c r="A1846" s="17" t="str">
        <x:v>U01840</x:v>
      </x:c>
      <x:c r="B1846" s="18" t="n">
        <x:v>46269</x:v>
      </x:c>
      <x:c r="C1846" s="17" t="str">
        <x:v>W0125</x:v>
      </x:c>
      <x:c r="D1846" s="17" t="str">
        <x:v>C003</x:v>
      </x:c>
      <x:c r="E1846" s="17" t="str">
        <x:v>InsightDesk</x:v>
      </x:c>
      <x:c r="F1846" s="17" t="str">
        <x:v>Lite</x:v>
      </x:c>
      <x:c r="G1846" s="17" t="n">
        <x:v>12420</x:v>
      </x:c>
      <x:c r="H1846" s="17" t="n">
        <x:v>6432</x:v>
      </x:c>
      <x:c r="I1846" s="17" t="str">
        <x:v>Correction</x:v>
      </x:c>
      <x:c r="J1846" s="27" t="n">
        <x:f>INDEX('Model Pricing'!$B$7:$B$8,MATCH(F1846,'Model Pricing'!$A$7:$A$8,0))</x:f>
        <x:v>10</x:v>
      </x:c>
      <x:c r="K1846" s="27" t="n">
        <x:f>INDEX('Model Pricing'!$C$7:$C$8,MATCH(F1846,'Model Pricing'!$A$7:$A$8,0))</x:f>
        <x:v>30</x:v>
      </x:c>
      <x:c r="L1846" s="17" t="n">
        <x:f>G1846+H1846</x:f>
        <x:v>18852</x:v>
      </x:c>
      <x:c r="M1846" s="28" t="n">
        <x:f>G1846*J1846/1000000</x:f>
        <x:v>0.1242</x:v>
      </x:c>
      <x:c r="N1846" s="28" t="n">
        <x:f>H1846*K1846/1000000</x:f>
        <x:v>0.19296</x:v>
      </x:c>
      <x:c r="O1846" s="28" t="n">
        <x:f>SUM(M1846:N1846)</x:f>
        <x:v>0.31716</x:v>
      </x:c>
    </x:row>
    <x:row r="1847" ht="23" customHeight="1">
      <x:c r="A1847" s="17" t="str">
        <x:v>U01841</x:v>
      </x:c>
      <x:c r="B1847" s="18" t="n">
        <x:v>46269</x:v>
      </x:c>
      <x:c r="C1847" s="17" t="str">
        <x:v>W0125</x:v>
      </x:c>
      <x:c r="D1847" s="17" t="str">
        <x:v>C003</x:v>
      </x:c>
      <x:c r="E1847" s="17" t="str">
        <x:v>InsightDesk</x:v>
      </x:c>
      <x:c r="F1847" s="17" t="str">
        <x:v>Lite</x:v>
      </x:c>
      <x:c r="G1847" s="17" t="n">
        <x:v>12161</x:v>
      </x:c>
      <x:c r="H1847" s="17" t="n">
        <x:v>7840</x:v>
      </x:c>
      <x:c r="I1847" s="17" t="str">
        <x:v>Followup</x:v>
      </x:c>
      <x:c r="J1847" s="27" t="n">
        <x:f>INDEX('Model Pricing'!$B$7:$B$8,MATCH(F1847,'Model Pricing'!$A$7:$A$8,0))</x:f>
        <x:v>10</x:v>
      </x:c>
      <x:c r="K1847" s="27" t="n">
        <x:f>INDEX('Model Pricing'!$C$7:$C$8,MATCH(F1847,'Model Pricing'!$A$7:$A$8,0))</x:f>
        <x:v>30</x:v>
      </x:c>
      <x:c r="L1847" s="17" t="n">
        <x:f>G1847+H1847</x:f>
        <x:v>20001</x:v>
      </x:c>
      <x:c r="M1847" s="28" t="n">
        <x:f>G1847*J1847/1000000</x:f>
        <x:v>0.12161</x:v>
      </x:c>
      <x:c r="N1847" s="28" t="n">
        <x:f>H1847*K1847/1000000</x:f>
        <x:v>0.2352</x:v>
      </x:c>
      <x:c r="O1847" s="28" t="n">
        <x:f>SUM(M1847:N1847)</x:f>
        <x:v>0.35680999999999996</x:v>
      </x:c>
    </x:row>
    <x:row r="1848" ht="23" customHeight="1">
      <x:c r="A1848" s="17" t="str">
        <x:v>U01842</x:v>
      </x:c>
      <x:c r="B1848" s="18" t="n">
        <x:v>46269</x:v>
      </x:c>
      <x:c r="C1848" s="17" t="str">
        <x:v>W0125</x:v>
      </x:c>
      <x:c r="D1848" s="17" t="str">
        <x:v>C003</x:v>
      </x:c>
      <x:c r="E1848" s="17" t="str">
        <x:v>InsightDesk</x:v>
      </x:c>
      <x:c r="F1848" s="17" t="str">
        <x:v>Lite</x:v>
      </x:c>
      <x:c r="G1848" s="17" t="n">
        <x:v>20572</x:v>
      </x:c>
      <x:c r="H1848" s="17" t="n">
        <x:v>4511</x:v>
      </x:c>
      <x:c r="I1848" s="17" t="str">
        <x:v>Followup</x:v>
      </x:c>
      <x:c r="J1848" s="27" t="n">
        <x:f>INDEX('Model Pricing'!$B$7:$B$8,MATCH(F1848,'Model Pricing'!$A$7:$A$8,0))</x:f>
        <x:v>10</x:v>
      </x:c>
      <x:c r="K1848" s="27" t="n">
        <x:f>INDEX('Model Pricing'!$C$7:$C$8,MATCH(F1848,'Model Pricing'!$A$7:$A$8,0))</x:f>
        <x:v>30</x:v>
      </x:c>
      <x:c r="L1848" s="17" t="n">
        <x:f>G1848+H1848</x:f>
        <x:v>25083</x:v>
      </x:c>
      <x:c r="M1848" s="28" t="n">
        <x:f>G1848*J1848/1000000</x:f>
        <x:v>0.20572</x:v>
      </x:c>
      <x:c r="N1848" s="28" t="n">
        <x:f>H1848*K1848/1000000</x:f>
        <x:v>0.13533</x:v>
      </x:c>
      <x:c r="O1848" s="28" t="n">
        <x:f>SUM(M1848:N1848)</x:f>
        <x:v>0.34104999999999996</x:v>
      </x:c>
    </x:row>
    <x:row r="1849" ht="23" customHeight="1">
      <x:c r="A1849" s="17" t="str">
        <x:v>U01843</x:v>
      </x:c>
      <x:c r="B1849" s="18" t="n">
        <x:v>46273</x:v>
      </x:c>
      <x:c r="C1849" s="17" t="str">
        <x:v>W0125</x:v>
      </x:c>
      <x:c r="D1849" s="17" t="str">
        <x:v>C003</x:v>
      </x:c>
      <x:c r="E1849" s="17" t="str">
        <x:v>InsightDesk</x:v>
      </x:c>
      <x:c r="F1849" s="17" t="str">
        <x:v>Lite</x:v>
      </x:c>
      <x:c r="G1849" s="17" t="n">
        <x:v>26121</x:v>
      </x:c>
      <x:c r="H1849" s="17" t="n">
        <x:v>5186</x:v>
      </x:c>
      <x:c r="I1849" s="17" t="str">
        <x:v>Followup</x:v>
      </x:c>
      <x:c r="J1849" s="27" t="n">
        <x:f>INDEX('Model Pricing'!$B$7:$B$8,MATCH(F1849,'Model Pricing'!$A$7:$A$8,0))</x:f>
        <x:v>10</x:v>
      </x:c>
      <x:c r="K1849" s="27" t="n">
        <x:f>INDEX('Model Pricing'!$C$7:$C$8,MATCH(F1849,'Model Pricing'!$A$7:$A$8,0))</x:f>
        <x:v>30</x:v>
      </x:c>
      <x:c r="L1849" s="17" t="n">
        <x:f>G1849+H1849</x:f>
        <x:v>31307</x:v>
      </x:c>
      <x:c r="M1849" s="28" t="n">
        <x:f>G1849*J1849/1000000</x:f>
        <x:v>0.26121</x:v>
      </x:c>
      <x:c r="N1849" s="28" t="n">
        <x:f>H1849*K1849/1000000</x:f>
        <x:v>0.15558</x:v>
      </x:c>
      <x:c r="O1849" s="28" t="n">
        <x:f>SUM(M1849:N1849)</x:f>
        <x:v>0.41679</x:v>
      </x:c>
    </x:row>
    <x:row r="1850" ht="23" customHeight="1">
      <x:c r="A1850" s="17" t="str">
        <x:v>U01844</x:v>
      </x:c>
      <x:c r="B1850" s="18" t="n">
        <x:v>46273</x:v>
      </x:c>
      <x:c r="C1850" s="17" t="str">
        <x:v>W0125</x:v>
      </x:c>
      <x:c r="D1850" s="17" t="str">
        <x:v>C003</x:v>
      </x:c>
      <x:c r="E1850" s="17" t="str">
        <x:v>InsightDesk</x:v>
      </x:c>
      <x:c r="F1850" s="17" t="str">
        <x:v>Lite</x:v>
      </x:c>
      <x:c r="G1850" s="17" t="n">
        <x:v>29449</x:v>
      </x:c>
      <x:c r="H1850" s="17" t="n">
        <x:v>4474</x:v>
      </x:c>
      <x:c r="I1850" s="17" t="str">
        <x:v>Correction</x:v>
      </x:c>
      <x:c r="J1850" s="27" t="n">
        <x:f>INDEX('Model Pricing'!$B$7:$B$8,MATCH(F1850,'Model Pricing'!$A$7:$A$8,0))</x:f>
        <x:v>10</x:v>
      </x:c>
      <x:c r="K1850" s="27" t="n">
        <x:f>INDEX('Model Pricing'!$C$7:$C$8,MATCH(F1850,'Model Pricing'!$A$7:$A$8,0))</x:f>
        <x:v>30</x:v>
      </x:c>
      <x:c r="L1850" s="17" t="n">
        <x:f>G1850+H1850</x:f>
        <x:v>33923</x:v>
      </x:c>
      <x:c r="M1850" s="28" t="n">
        <x:f>G1850*J1850/1000000</x:f>
        <x:v>0.29449</x:v>
      </x:c>
      <x:c r="N1850" s="28" t="n">
        <x:f>H1850*K1850/1000000</x:f>
        <x:v>0.13422</x:v>
      </x:c>
      <x:c r="O1850" s="28" t="n">
        <x:f>SUM(M1850:N1850)</x:f>
        <x:v>0.42871</x:v>
      </x:c>
    </x:row>
    <x:row r="1851" ht="23" customHeight="1">
      <x:c r="A1851" s="17" t="str">
        <x:v>U01845</x:v>
      </x:c>
      <x:c r="B1851" s="18" t="n">
        <x:v>46273</x:v>
      </x:c>
      <x:c r="C1851" s="17" t="str">
        <x:v>W0125</x:v>
      </x:c>
      <x:c r="D1851" s="17" t="str">
        <x:v>C003</x:v>
      </x:c>
      <x:c r="E1851" s="17" t="str">
        <x:v>InsightDesk</x:v>
      </x:c>
      <x:c r="F1851" s="17" t="str">
        <x:v>Lite</x:v>
      </x:c>
      <x:c r="G1851" s="17" t="n">
        <x:v>20013</x:v>
      </x:c>
      <x:c r="H1851" s="17" t="n">
        <x:v>8161</x:v>
      </x:c>
      <x:c r="I1851" s="17" t="str">
        <x:v>Followup</x:v>
      </x:c>
      <x:c r="J1851" s="27" t="n">
        <x:f>INDEX('Model Pricing'!$B$7:$B$8,MATCH(F1851,'Model Pricing'!$A$7:$A$8,0))</x:f>
        <x:v>10</x:v>
      </x:c>
      <x:c r="K1851" s="27" t="n">
        <x:f>INDEX('Model Pricing'!$C$7:$C$8,MATCH(F1851,'Model Pricing'!$A$7:$A$8,0))</x:f>
        <x:v>30</x:v>
      </x:c>
      <x:c r="L1851" s="17" t="n">
        <x:f>G1851+H1851</x:f>
        <x:v>28174</x:v>
      </x:c>
      <x:c r="M1851" s="28" t="n">
        <x:f>G1851*J1851/1000000</x:f>
        <x:v>0.20013</x:v>
      </x:c>
      <x:c r="N1851" s="28" t="n">
        <x:f>H1851*K1851/1000000</x:f>
        <x:v>0.24483</x:v>
      </x:c>
      <x:c r="O1851" s="28" t="n">
        <x:f>SUM(M1851:N1851)</x:f>
        <x:v>0.44496</x:v>
      </x:c>
    </x:row>
    <x:row r="1852" ht="23" customHeight="1">
      <x:c r="A1852" s="17" t="str">
        <x:v>U01846</x:v>
      </x:c>
      <x:c r="B1852" s="18" t="n">
        <x:v>46279</x:v>
      </x:c>
      <x:c r="C1852" s="17" t="str">
        <x:v>W0126</x:v>
      </x:c>
      <x:c r="D1852" s="17" t="str">
        <x:v>C003</x:v>
      </x:c>
      <x:c r="E1852" s="17" t="str">
        <x:v>InsightDesk</x:v>
      </x:c>
      <x:c r="F1852" s="17" t="str">
        <x:v>Lite</x:v>
      </x:c>
      <x:c r="G1852" s="17" t="n">
        <x:v>34552</x:v>
      </x:c>
      <x:c r="H1852" s="17" t="n">
        <x:v>8064</x:v>
      </x:c>
      <x:c r="I1852" s="17" t="str">
        <x:v>First attempt</x:v>
      </x:c>
      <x:c r="J1852" s="27" t="n">
        <x:f>INDEX('Model Pricing'!$B$7:$B$8,MATCH(F1852,'Model Pricing'!$A$7:$A$8,0))</x:f>
        <x:v>10</x:v>
      </x:c>
      <x:c r="K1852" s="27" t="n">
        <x:f>INDEX('Model Pricing'!$C$7:$C$8,MATCH(F1852,'Model Pricing'!$A$7:$A$8,0))</x:f>
        <x:v>30</x:v>
      </x:c>
      <x:c r="L1852" s="17" t="n">
        <x:f>G1852+H1852</x:f>
        <x:v>42616</x:v>
      </x:c>
      <x:c r="M1852" s="28" t="n">
        <x:f>G1852*J1852/1000000</x:f>
        <x:v>0.34552</x:v>
      </x:c>
      <x:c r="N1852" s="28" t="n">
        <x:f>H1852*K1852/1000000</x:f>
        <x:v>0.24192</x:v>
      </x:c>
      <x:c r="O1852" s="28" t="n">
        <x:f>SUM(M1852:N1852)</x:f>
        <x:v>0.58744</x:v>
      </x:c>
    </x:row>
    <x:row r="1853" ht="23" customHeight="1">
      <x:c r="A1853" s="17" t="str">
        <x:v>U01847</x:v>
      </x:c>
      <x:c r="B1853" s="18" t="n">
        <x:v>46279</x:v>
      </x:c>
      <x:c r="C1853" s="17" t="str">
        <x:v>W0126</x:v>
      </x:c>
      <x:c r="D1853" s="17" t="str">
        <x:v>C003</x:v>
      </x:c>
      <x:c r="E1853" s="17" t="str">
        <x:v>InsightDesk</x:v>
      </x:c>
      <x:c r="F1853" s="17" t="str">
        <x:v>Lite</x:v>
      </x:c>
      <x:c r="G1853" s="17" t="n">
        <x:v>47760</x:v>
      </x:c>
      <x:c r="H1853" s="17" t="n">
        <x:v>7283</x:v>
      </x:c>
      <x:c r="I1853" s="17" t="str">
        <x:v>Followup</x:v>
      </x:c>
      <x:c r="J1853" s="27" t="n">
        <x:f>INDEX('Model Pricing'!$B$7:$B$8,MATCH(F1853,'Model Pricing'!$A$7:$A$8,0))</x:f>
        <x:v>10</x:v>
      </x:c>
      <x:c r="K1853" s="27" t="n">
        <x:f>INDEX('Model Pricing'!$C$7:$C$8,MATCH(F1853,'Model Pricing'!$A$7:$A$8,0))</x:f>
        <x:v>30</x:v>
      </x:c>
      <x:c r="L1853" s="17" t="n">
        <x:f>G1853+H1853</x:f>
        <x:v>55043</x:v>
      </x:c>
      <x:c r="M1853" s="28" t="n">
        <x:f>G1853*J1853/1000000</x:f>
        <x:v>0.4776</x:v>
      </x:c>
      <x:c r="N1853" s="28" t="n">
        <x:f>H1853*K1853/1000000</x:f>
        <x:v>0.21849</x:v>
      </x:c>
      <x:c r="O1853" s="28" t="n">
        <x:f>SUM(M1853:N1853)</x:f>
        <x:v>0.69609</x:v>
      </x:c>
    </x:row>
    <x:row r="1854" ht="23" customHeight="1">
      <x:c r="A1854" s="17" t="str">
        <x:v>U01848</x:v>
      </x:c>
      <x:c r="B1854" s="18" t="n">
        <x:v>46279</x:v>
      </x:c>
      <x:c r="C1854" s="17" t="str">
        <x:v>W0126</x:v>
      </x:c>
      <x:c r="D1854" s="17" t="str">
        <x:v>C003</x:v>
      </x:c>
      <x:c r="E1854" s="17" t="str">
        <x:v>InsightDesk</x:v>
      </x:c>
      <x:c r="F1854" s="17" t="str">
        <x:v>Lite</x:v>
      </x:c>
      <x:c r="G1854" s="17" t="n">
        <x:v>25169</x:v>
      </x:c>
      <x:c r="H1854" s="17" t="n">
        <x:v>7113</x:v>
      </x:c>
      <x:c r="I1854" s="17" t="str">
        <x:v>Followup</x:v>
      </x:c>
      <x:c r="J1854" s="27" t="n">
        <x:f>INDEX('Model Pricing'!$B$7:$B$8,MATCH(F1854,'Model Pricing'!$A$7:$A$8,0))</x:f>
        <x:v>10</x:v>
      </x:c>
      <x:c r="K1854" s="27" t="n">
        <x:f>INDEX('Model Pricing'!$C$7:$C$8,MATCH(F1854,'Model Pricing'!$A$7:$A$8,0))</x:f>
        <x:v>30</x:v>
      </x:c>
      <x:c r="L1854" s="17" t="n">
        <x:f>G1854+H1854</x:f>
        <x:v>32282</x:v>
      </x:c>
      <x:c r="M1854" s="28" t="n">
        <x:f>G1854*J1854/1000000</x:f>
        <x:v>0.25169</x:v>
      </x:c>
      <x:c r="N1854" s="28" t="n">
        <x:f>H1854*K1854/1000000</x:f>
        <x:v>0.21339</x:v>
      </x:c>
      <x:c r="O1854" s="28" t="n">
        <x:f>SUM(M1854:N1854)</x:f>
        <x:v>0.46508000000000005</x:v>
      </x:c>
    </x:row>
    <x:row r="1855" ht="23" customHeight="1">
      <x:c r="A1855" s="17" t="str">
        <x:v>U01849</x:v>
      </x:c>
      <x:c r="B1855" s="18" t="n">
        <x:v>46280</x:v>
      </x:c>
      <x:c r="C1855" s="17" t="str">
        <x:v>W0126</x:v>
      </x:c>
      <x:c r="D1855" s="17" t="str">
        <x:v>C003</x:v>
      </x:c>
      <x:c r="E1855" s="17" t="str">
        <x:v>InsightDesk</x:v>
      </x:c>
      <x:c r="F1855" s="17" t="str">
        <x:v>Lite</x:v>
      </x:c>
      <x:c r="G1855" s="17" t="n">
        <x:v>27819</x:v>
      </x:c>
      <x:c r="H1855" s="17" t="n">
        <x:v>7479</x:v>
      </x:c>
      <x:c r="I1855" s="17" t="str">
        <x:v>Correction</x:v>
      </x:c>
      <x:c r="J1855" s="27" t="n">
        <x:f>INDEX('Model Pricing'!$B$7:$B$8,MATCH(F1855,'Model Pricing'!$A$7:$A$8,0))</x:f>
        <x:v>10</x:v>
      </x:c>
      <x:c r="K1855" s="27" t="n">
        <x:f>INDEX('Model Pricing'!$C$7:$C$8,MATCH(F1855,'Model Pricing'!$A$7:$A$8,0))</x:f>
        <x:v>30</x:v>
      </x:c>
      <x:c r="L1855" s="17" t="n">
        <x:f>G1855+H1855</x:f>
        <x:v>35298</x:v>
      </x:c>
      <x:c r="M1855" s="28" t="n">
        <x:f>G1855*J1855/1000000</x:f>
        <x:v>0.27819</x:v>
      </x:c>
      <x:c r="N1855" s="28" t="n">
        <x:f>H1855*K1855/1000000</x:f>
        <x:v>0.22437</x:v>
      </x:c>
      <x:c r="O1855" s="28" t="n">
        <x:f>SUM(M1855:N1855)</x:f>
        <x:v>0.50256</x:v>
      </x:c>
    </x:row>
    <x:row r="1856" ht="23" customHeight="1">
      <x:c r="A1856" s="17" t="str">
        <x:v>U01850</x:v>
      </x:c>
      <x:c r="B1856" s="18" t="n">
        <x:v>46280</x:v>
      </x:c>
      <x:c r="C1856" s="17" t="str">
        <x:v>W0126</x:v>
      </x:c>
      <x:c r="D1856" s="17" t="str">
        <x:v>C003</x:v>
      </x:c>
      <x:c r="E1856" s="17" t="str">
        <x:v>InsightDesk</x:v>
      </x:c>
      <x:c r="F1856" s="17" t="str">
        <x:v>Lite</x:v>
      </x:c>
      <x:c r="G1856" s="17" t="n">
        <x:v>17977</x:v>
      </x:c>
      <x:c r="H1856" s="17" t="n">
        <x:v>4649</x:v>
      </x:c>
      <x:c r="I1856" s="17" t="str">
        <x:v>Correction</x:v>
      </x:c>
      <x:c r="J1856" s="27" t="n">
        <x:f>INDEX('Model Pricing'!$B$7:$B$8,MATCH(F1856,'Model Pricing'!$A$7:$A$8,0))</x:f>
        <x:v>10</x:v>
      </x:c>
      <x:c r="K1856" s="27" t="n">
        <x:f>INDEX('Model Pricing'!$C$7:$C$8,MATCH(F1856,'Model Pricing'!$A$7:$A$8,0))</x:f>
        <x:v>30</x:v>
      </x:c>
      <x:c r="L1856" s="17" t="n">
        <x:f>G1856+H1856</x:f>
        <x:v>22626</x:v>
      </x:c>
      <x:c r="M1856" s="28" t="n">
        <x:f>G1856*J1856/1000000</x:f>
        <x:v>0.17977</x:v>
      </x:c>
      <x:c r="N1856" s="28" t="n">
        <x:f>H1856*K1856/1000000</x:f>
        <x:v>0.13947</x:v>
      </x:c>
      <x:c r="O1856" s="28" t="n">
        <x:f>SUM(M1856:N1856)</x:f>
        <x:v>0.31924</x:v>
      </x:c>
    </x:row>
    <x:row r="1857" ht="23" customHeight="1">
      <x:c r="A1857" s="17" t="str">
        <x:v>U01851</x:v>
      </x:c>
      <x:c r="B1857" s="18" t="n">
        <x:v>46281</x:v>
      </x:c>
      <x:c r="C1857" s="17" t="str">
        <x:v>W0126</x:v>
      </x:c>
      <x:c r="D1857" s="17" t="str">
        <x:v>C003</x:v>
      </x:c>
      <x:c r="E1857" s="17" t="str">
        <x:v>InsightDesk</x:v>
      </x:c>
      <x:c r="F1857" s="17" t="str">
        <x:v>Lite</x:v>
      </x:c>
      <x:c r="G1857" s="17" t="n">
        <x:v>48968</x:v>
      </x:c>
      <x:c r="H1857" s="17" t="n">
        <x:v>3555</x:v>
      </x:c>
      <x:c r="I1857" s="17" t="str">
        <x:v>Followup</x:v>
      </x:c>
      <x:c r="J1857" s="27" t="n">
        <x:f>INDEX('Model Pricing'!$B$7:$B$8,MATCH(F1857,'Model Pricing'!$A$7:$A$8,0))</x:f>
        <x:v>10</x:v>
      </x:c>
      <x:c r="K1857" s="27" t="n">
        <x:f>INDEX('Model Pricing'!$C$7:$C$8,MATCH(F1857,'Model Pricing'!$A$7:$A$8,0))</x:f>
        <x:v>30</x:v>
      </x:c>
      <x:c r="L1857" s="17" t="n">
        <x:f>G1857+H1857</x:f>
        <x:v>52523</x:v>
      </x:c>
      <x:c r="M1857" s="28" t="n">
        <x:f>G1857*J1857/1000000</x:f>
        <x:v>0.48968</x:v>
      </x:c>
      <x:c r="N1857" s="28" t="n">
        <x:f>H1857*K1857/1000000</x:f>
        <x:v>0.10665</x:v>
      </x:c>
      <x:c r="O1857" s="28" t="n">
        <x:f>SUM(M1857:N1857)</x:f>
        <x:v>0.59633</x:v>
      </x:c>
    </x:row>
    <x:row r="1858" ht="23" customHeight="1">
      <x:c r="A1858" s="17" t="str">
        <x:v>U01852</x:v>
      </x:c>
      <x:c r="B1858" s="18" t="n">
        <x:v>46281</x:v>
      </x:c>
      <x:c r="C1858" s="17" t="str">
        <x:v>W0126</x:v>
      </x:c>
      <x:c r="D1858" s="17" t="str">
        <x:v>C003</x:v>
      </x:c>
      <x:c r="E1858" s="17" t="str">
        <x:v>InsightDesk</x:v>
      </x:c>
      <x:c r="F1858" s="17" t="str">
        <x:v>Lite</x:v>
      </x:c>
      <x:c r="G1858" s="17" t="n">
        <x:v>33804</x:v>
      </x:c>
      <x:c r="H1858" s="17" t="n">
        <x:v>6962</x:v>
      </x:c>
      <x:c r="I1858" s="17" t="str">
        <x:v>Followup</x:v>
      </x:c>
      <x:c r="J1858" s="27" t="n">
        <x:f>INDEX('Model Pricing'!$B$7:$B$8,MATCH(F1858,'Model Pricing'!$A$7:$A$8,0))</x:f>
        <x:v>10</x:v>
      </x:c>
      <x:c r="K1858" s="27" t="n">
        <x:f>INDEX('Model Pricing'!$C$7:$C$8,MATCH(F1858,'Model Pricing'!$A$7:$A$8,0))</x:f>
        <x:v>30</x:v>
      </x:c>
      <x:c r="L1858" s="17" t="n">
        <x:f>G1858+H1858</x:f>
        <x:v>40766</x:v>
      </x:c>
      <x:c r="M1858" s="28" t="n">
        <x:f>G1858*J1858/1000000</x:f>
        <x:v>0.33804</x:v>
      </x:c>
      <x:c r="N1858" s="28" t="n">
        <x:f>H1858*K1858/1000000</x:f>
        <x:v>0.20886</x:v>
      </x:c>
      <x:c r="O1858" s="28" t="n">
        <x:f>SUM(M1858:N1858)</x:f>
        <x:v>0.5468999999999999</x:v>
      </x:c>
    </x:row>
    <x:row r="1859" ht="23" customHeight="1">
      <x:c r="A1859" s="17" t="str">
        <x:v>U01853</x:v>
      </x:c>
      <x:c r="B1859" s="18" t="n">
        <x:v>46282</x:v>
      </x:c>
      <x:c r="C1859" s="17" t="str">
        <x:v>W0126</x:v>
      </x:c>
      <x:c r="D1859" s="17" t="str">
        <x:v>C003</x:v>
      </x:c>
      <x:c r="E1859" s="17" t="str">
        <x:v>InsightDesk</x:v>
      </x:c>
      <x:c r="F1859" s="17" t="str">
        <x:v>Lite</x:v>
      </x:c>
      <x:c r="G1859" s="17" t="n">
        <x:v>26563</x:v>
      </x:c>
      <x:c r="H1859" s="17" t="n">
        <x:v>2639</x:v>
      </x:c>
      <x:c r="I1859" s="17" t="str">
        <x:v>Followup</x:v>
      </x:c>
      <x:c r="J1859" s="27" t="n">
        <x:f>INDEX('Model Pricing'!$B$7:$B$8,MATCH(F1859,'Model Pricing'!$A$7:$A$8,0))</x:f>
        <x:v>10</x:v>
      </x:c>
      <x:c r="K1859" s="27" t="n">
        <x:f>INDEX('Model Pricing'!$C$7:$C$8,MATCH(F1859,'Model Pricing'!$A$7:$A$8,0))</x:f>
        <x:v>30</x:v>
      </x:c>
      <x:c r="L1859" s="17" t="n">
        <x:f>G1859+H1859</x:f>
        <x:v>29202</x:v>
      </x:c>
      <x:c r="M1859" s="28" t="n">
        <x:f>G1859*J1859/1000000</x:f>
        <x:v>0.26563</x:v>
      </x:c>
      <x:c r="N1859" s="28" t="n">
        <x:f>H1859*K1859/1000000</x:f>
        <x:v>0.07917</x:v>
      </x:c>
      <x:c r="O1859" s="28" t="n">
        <x:f>SUM(M1859:N1859)</x:f>
        <x:v>0.3448</x:v>
      </x:c>
    </x:row>
    <x:row r="1860" ht="23" customHeight="1">
      <x:c r="A1860" s="17" t="str">
        <x:v>U01854</x:v>
      </x:c>
      <x:c r="B1860" s="18" t="n">
        <x:v>46282</x:v>
      </x:c>
      <x:c r="C1860" s="17" t="str">
        <x:v>W0126</x:v>
      </x:c>
      <x:c r="D1860" s="17" t="str">
        <x:v>C003</x:v>
      </x:c>
      <x:c r="E1860" s="17" t="str">
        <x:v>InsightDesk</x:v>
      </x:c>
      <x:c r="F1860" s="17" t="str">
        <x:v>Lite</x:v>
      </x:c>
      <x:c r="G1860" s="17" t="n">
        <x:v>41190</x:v>
      </x:c>
      <x:c r="H1860" s="17" t="n">
        <x:v>5408</x:v>
      </x:c>
      <x:c r="I1860" s="17" t="str">
        <x:v>Followup</x:v>
      </x:c>
      <x:c r="J1860" s="27" t="n">
        <x:f>INDEX('Model Pricing'!$B$7:$B$8,MATCH(F1860,'Model Pricing'!$A$7:$A$8,0))</x:f>
        <x:v>10</x:v>
      </x:c>
      <x:c r="K1860" s="27" t="n">
        <x:f>INDEX('Model Pricing'!$C$7:$C$8,MATCH(F1860,'Model Pricing'!$A$7:$A$8,0))</x:f>
        <x:v>30</x:v>
      </x:c>
      <x:c r="L1860" s="17" t="n">
        <x:f>G1860+H1860</x:f>
        <x:v>46598</x:v>
      </x:c>
      <x:c r="M1860" s="28" t="n">
        <x:f>G1860*J1860/1000000</x:f>
        <x:v>0.4119</x:v>
      </x:c>
      <x:c r="N1860" s="28" t="n">
        <x:f>H1860*K1860/1000000</x:f>
        <x:v>0.16224</x:v>
      </x:c>
      <x:c r="O1860" s="28" t="n">
        <x:f>SUM(M1860:N1860)</x:f>
        <x:v>0.57414</x:v>
      </x:c>
    </x:row>
    <x:row r="1861" ht="23" customHeight="1">
      <x:c r="A1861" s="17" t="str">
        <x:v>U01855</x:v>
      </x:c>
      <x:c r="B1861" s="18" t="n">
        <x:v>46273</x:v>
      </x:c>
      <x:c r="C1861" s="17" t="str">
        <x:v>W0128</x:v>
      </x:c>
      <x:c r="D1861" s="17" t="str">
        <x:v>C003</x:v>
      </x:c>
      <x:c r="E1861" s="17" t="str">
        <x:v>CopyStudio</x:v>
      </x:c>
      <x:c r="F1861" s="17" t="str">
        <x:v>Lite</x:v>
      </x:c>
      <x:c r="G1861" s="17" t="n">
        <x:v>15875</x:v>
      </x:c>
      <x:c r="H1861" s="17" t="n">
        <x:v>6481</x:v>
      </x:c>
      <x:c r="I1861" s="17" t="str">
        <x:v>First attempt</x:v>
      </x:c>
      <x:c r="J1861" s="27" t="n">
        <x:f>INDEX('Model Pricing'!$B$7:$B$8,MATCH(F1861,'Model Pricing'!$A$7:$A$8,0))</x:f>
        <x:v>10</x:v>
      </x:c>
      <x:c r="K1861" s="27" t="n">
        <x:f>INDEX('Model Pricing'!$C$7:$C$8,MATCH(F1861,'Model Pricing'!$A$7:$A$8,0))</x:f>
        <x:v>30</x:v>
      </x:c>
      <x:c r="L1861" s="17" t="n">
        <x:f>G1861+H1861</x:f>
        <x:v>22356</x:v>
      </x:c>
      <x:c r="M1861" s="28" t="n">
        <x:f>G1861*J1861/1000000</x:f>
        <x:v>0.15875</x:v>
      </x:c>
      <x:c r="N1861" s="28" t="n">
        <x:f>H1861*K1861/1000000</x:f>
        <x:v>0.19443</x:v>
      </x:c>
      <x:c r="O1861" s="28" t="n">
        <x:f>SUM(M1861:N1861)</x:f>
        <x:v>0.35318</x:v>
      </x:c>
    </x:row>
    <x:row r="1862" ht="23" customHeight="1">
      <x:c r="A1862" s="17" t="str">
        <x:v>U01856</x:v>
      </x:c>
      <x:c r="B1862" s="18" t="n">
        <x:v>46273</x:v>
      </x:c>
      <x:c r="C1862" s="17" t="str">
        <x:v>W0128</x:v>
      </x:c>
      <x:c r="D1862" s="17" t="str">
        <x:v>C003</x:v>
      </x:c>
      <x:c r="E1862" s="17" t="str">
        <x:v>CopyStudio</x:v>
      </x:c>
      <x:c r="F1862" s="17" t="str">
        <x:v>Lite</x:v>
      </x:c>
      <x:c r="G1862" s="17" t="n">
        <x:v>41410</x:v>
      </x:c>
      <x:c r="H1862" s="17" t="n">
        <x:v>8752</x:v>
      </x:c>
      <x:c r="I1862" s="17" t="str">
        <x:v>Followup</x:v>
      </x:c>
      <x:c r="J1862" s="27" t="n">
        <x:f>INDEX('Model Pricing'!$B$7:$B$8,MATCH(F1862,'Model Pricing'!$A$7:$A$8,0))</x:f>
        <x:v>10</x:v>
      </x:c>
      <x:c r="K1862" s="27" t="n">
        <x:f>INDEX('Model Pricing'!$C$7:$C$8,MATCH(F1862,'Model Pricing'!$A$7:$A$8,0))</x:f>
        <x:v>30</x:v>
      </x:c>
      <x:c r="L1862" s="17" t="n">
        <x:f>G1862+H1862</x:f>
        <x:v>50162</x:v>
      </x:c>
      <x:c r="M1862" s="28" t="n">
        <x:f>G1862*J1862/1000000</x:f>
        <x:v>0.4141</x:v>
      </x:c>
      <x:c r="N1862" s="28" t="n">
        <x:f>H1862*K1862/1000000</x:f>
        <x:v>0.26256</x:v>
      </x:c>
      <x:c r="O1862" s="28" t="n">
        <x:f>SUM(M1862:N1862)</x:f>
        <x:v>0.67666</x:v>
      </x:c>
    </x:row>
    <x:row r="1863" ht="23" customHeight="1">
      <x:c r="A1863" s="17" t="str">
        <x:v>U01857</x:v>
      </x:c>
      <x:c r="B1863" s="18" t="n">
        <x:v>46273</x:v>
      </x:c>
      <x:c r="C1863" s="17" t="str">
        <x:v>W0128</x:v>
      </x:c>
      <x:c r="D1863" s="17" t="str">
        <x:v>C003</x:v>
      </x:c>
      <x:c r="E1863" s="17" t="str">
        <x:v>CopyStudio</x:v>
      </x:c>
      <x:c r="F1863" s="17" t="str">
        <x:v>Lite</x:v>
      </x:c>
      <x:c r="G1863" s="17" t="n">
        <x:v>32069</x:v>
      </x:c>
      <x:c r="H1863" s="17" t="n">
        <x:v>8390</x:v>
      </x:c>
      <x:c r="I1863" s="17" t="str">
        <x:v>Followup</x:v>
      </x:c>
      <x:c r="J1863" s="27" t="n">
        <x:f>INDEX('Model Pricing'!$B$7:$B$8,MATCH(F1863,'Model Pricing'!$A$7:$A$8,0))</x:f>
        <x:v>10</x:v>
      </x:c>
      <x:c r="K1863" s="27" t="n">
        <x:f>INDEX('Model Pricing'!$C$7:$C$8,MATCH(F1863,'Model Pricing'!$A$7:$A$8,0))</x:f>
        <x:v>30</x:v>
      </x:c>
      <x:c r="L1863" s="17" t="n">
        <x:f>G1863+H1863</x:f>
        <x:v>40459</x:v>
      </x:c>
      <x:c r="M1863" s="28" t="n">
        <x:f>G1863*J1863/1000000</x:f>
        <x:v>0.32069</x:v>
      </x:c>
      <x:c r="N1863" s="28" t="n">
        <x:f>H1863*K1863/1000000</x:f>
        <x:v>0.2517</x:v>
      </x:c>
      <x:c r="O1863" s="28" t="n">
        <x:f>SUM(M1863:N1863)</x:f>
        <x:v>0.57239</x:v>
      </x:c>
    </x:row>
    <x:row r="1864" ht="23" customHeight="1">
      <x:c r="A1864" s="17" t="str">
        <x:v>U01858</x:v>
      </x:c>
      <x:c r="B1864" s="18" t="n">
        <x:v>46274</x:v>
      </x:c>
      <x:c r="C1864" s="17" t="str">
        <x:v>W0128</x:v>
      </x:c>
      <x:c r="D1864" s="17" t="str">
        <x:v>C003</x:v>
      </x:c>
      <x:c r="E1864" s="17" t="str">
        <x:v>CopyStudio</x:v>
      </x:c>
      <x:c r="F1864" s="17" t="str">
        <x:v>Lite</x:v>
      </x:c>
      <x:c r="G1864" s="17" t="n">
        <x:v>37217</x:v>
      </x:c>
      <x:c r="H1864" s="17" t="n">
        <x:v>3443</x:v>
      </x:c>
      <x:c r="I1864" s="17" t="str">
        <x:v>Followup</x:v>
      </x:c>
      <x:c r="J1864" s="27" t="n">
        <x:f>INDEX('Model Pricing'!$B$7:$B$8,MATCH(F1864,'Model Pricing'!$A$7:$A$8,0))</x:f>
        <x:v>10</x:v>
      </x:c>
      <x:c r="K1864" s="27" t="n">
        <x:f>INDEX('Model Pricing'!$C$7:$C$8,MATCH(F1864,'Model Pricing'!$A$7:$A$8,0))</x:f>
        <x:v>30</x:v>
      </x:c>
      <x:c r="L1864" s="17" t="n">
        <x:f>G1864+H1864</x:f>
        <x:v>40660</x:v>
      </x:c>
      <x:c r="M1864" s="28" t="n">
        <x:f>G1864*J1864/1000000</x:f>
        <x:v>0.37217</x:v>
      </x:c>
      <x:c r="N1864" s="28" t="n">
        <x:f>H1864*K1864/1000000</x:f>
        <x:v>0.10329</x:v>
      </x:c>
      <x:c r="O1864" s="28" t="n">
        <x:f>SUM(M1864:N1864)</x:f>
        <x:v>0.47546</x:v>
      </x:c>
    </x:row>
    <x:row r="1865" ht="23" customHeight="1">
      <x:c r="A1865" s="17" t="str">
        <x:v>U01859</x:v>
      </x:c>
      <x:c r="B1865" s="18" t="n">
        <x:v>46274</x:v>
      </x:c>
      <x:c r="C1865" s="17" t="str">
        <x:v>W0128</x:v>
      </x:c>
      <x:c r="D1865" s="17" t="str">
        <x:v>C003</x:v>
      </x:c>
      <x:c r="E1865" s="17" t="str">
        <x:v>CopyStudio</x:v>
      </x:c>
      <x:c r="F1865" s="17" t="str">
        <x:v>Lite</x:v>
      </x:c>
      <x:c r="G1865" s="17" t="n">
        <x:v>31412</x:v>
      </x:c>
      <x:c r="H1865" s="17" t="n">
        <x:v>7112</x:v>
      </x:c>
      <x:c r="I1865" s="17" t="str">
        <x:v>Correction</x:v>
      </x:c>
      <x:c r="J1865" s="27" t="n">
        <x:f>INDEX('Model Pricing'!$B$7:$B$8,MATCH(F1865,'Model Pricing'!$A$7:$A$8,0))</x:f>
        <x:v>10</x:v>
      </x:c>
      <x:c r="K1865" s="27" t="n">
        <x:f>INDEX('Model Pricing'!$C$7:$C$8,MATCH(F1865,'Model Pricing'!$A$7:$A$8,0))</x:f>
        <x:v>30</x:v>
      </x:c>
      <x:c r="L1865" s="17" t="n">
        <x:f>G1865+H1865</x:f>
        <x:v>38524</x:v>
      </x:c>
      <x:c r="M1865" s="28" t="n">
        <x:f>G1865*J1865/1000000</x:f>
        <x:v>0.31412</x:v>
      </x:c>
      <x:c r="N1865" s="28" t="n">
        <x:f>H1865*K1865/1000000</x:f>
        <x:v>0.21336</x:v>
      </x:c>
      <x:c r="O1865" s="28" t="n">
        <x:f>SUM(M1865:N1865)</x:f>
        <x:v>0.52748</x:v>
      </x:c>
    </x:row>
    <x:row r="1866" ht="23" customHeight="1">
      <x:c r="A1866" s="17" t="str">
        <x:v>U01860</x:v>
      </x:c>
      <x:c r="B1866" s="18" t="n">
        <x:v>46274</x:v>
      </x:c>
      <x:c r="C1866" s="17" t="str">
        <x:v>W0128</x:v>
      </x:c>
      <x:c r="D1866" s="17" t="str">
        <x:v>C003</x:v>
      </x:c>
      <x:c r="E1866" s="17" t="str">
        <x:v>CopyStudio</x:v>
      </x:c>
      <x:c r="F1866" s="17" t="str">
        <x:v>Lite</x:v>
      </x:c>
      <x:c r="G1866" s="17" t="n">
        <x:v>40856</x:v>
      </x:c>
      <x:c r="H1866" s="17" t="n">
        <x:v>7105</x:v>
      </x:c>
      <x:c r="I1866" s="17" t="str">
        <x:v>Followup</x:v>
      </x:c>
      <x:c r="J1866" s="27" t="n">
        <x:f>INDEX('Model Pricing'!$B$7:$B$8,MATCH(F1866,'Model Pricing'!$A$7:$A$8,0))</x:f>
        <x:v>10</x:v>
      </x:c>
      <x:c r="K1866" s="27" t="n">
        <x:f>INDEX('Model Pricing'!$C$7:$C$8,MATCH(F1866,'Model Pricing'!$A$7:$A$8,0))</x:f>
        <x:v>30</x:v>
      </x:c>
      <x:c r="L1866" s="17" t="n">
        <x:f>G1866+H1866</x:f>
        <x:v>47961</x:v>
      </x:c>
      <x:c r="M1866" s="28" t="n">
        <x:f>G1866*J1866/1000000</x:f>
        <x:v>0.40856</x:v>
      </x:c>
      <x:c r="N1866" s="28" t="n">
        <x:f>H1866*K1866/1000000</x:f>
        <x:v>0.21315</x:v>
      </x:c>
      <x:c r="O1866" s="28" t="n">
        <x:f>SUM(M1866:N1866)</x:f>
        <x:v>0.62171</x:v>
      </x:c>
    </x:row>
    <x:row r="1867" ht="23" customHeight="1">
      <x:c r="A1867" s="17" t="str">
        <x:v>U01861</x:v>
      </x:c>
      <x:c r="B1867" s="18" t="n">
        <x:v>46275</x:v>
      </x:c>
      <x:c r="C1867" s="17" t="str">
        <x:v>W0128</x:v>
      </x:c>
      <x:c r="D1867" s="17" t="str">
        <x:v>C003</x:v>
      </x:c>
      <x:c r="E1867" s="17" t="str">
        <x:v>CopyStudio</x:v>
      </x:c>
      <x:c r="F1867" s="17" t="str">
        <x:v>Lite</x:v>
      </x:c>
      <x:c r="G1867" s="17" t="n">
        <x:v>42325</x:v>
      </x:c>
      <x:c r="H1867" s="17" t="n">
        <x:v>4120</x:v>
      </x:c>
      <x:c r="I1867" s="17" t="str">
        <x:v>Followup</x:v>
      </x:c>
      <x:c r="J1867" s="27" t="n">
        <x:f>INDEX('Model Pricing'!$B$7:$B$8,MATCH(F1867,'Model Pricing'!$A$7:$A$8,0))</x:f>
        <x:v>10</x:v>
      </x:c>
      <x:c r="K1867" s="27" t="n">
        <x:f>INDEX('Model Pricing'!$C$7:$C$8,MATCH(F1867,'Model Pricing'!$A$7:$A$8,0))</x:f>
        <x:v>30</x:v>
      </x:c>
      <x:c r="L1867" s="17" t="n">
        <x:f>G1867+H1867</x:f>
        <x:v>46445</x:v>
      </x:c>
      <x:c r="M1867" s="28" t="n">
        <x:f>G1867*J1867/1000000</x:f>
        <x:v>0.42325</x:v>
      </x:c>
      <x:c r="N1867" s="28" t="n">
        <x:f>H1867*K1867/1000000</x:f>
        <x:v>0.1236</x:v>
      </x:c>
      <x:c r="O1867" s="28" t="n">
        <x:f>SUM(M1867:N1867)</x:f>
        <x:v>0.5468500000000001</x:v>
      </x:c>
    </x:row>
    <x:row r="1868" ht="23" customHeight="1">
      <x:c r="A1868" s="17" t="str">
        <x:v>U01862</x:v>
      </x:c>
      <x:c r="B1868" s="18" t="n">
        <x:v>46275</x:v>
      </x:c>
      <x:c r="C1868" s="17" t="str">
        <x:v>W0128</x:v>
      </x:c>
      <x:c r="D1868" s="17" t="str">
        <x:v>C003</x:v>
      </x:c>
      <x:c r="E1868" s="17" t="str">
        <x:v>CopyStudio</x:v>
      </x:c>
      <x:c r="F1868" s="17" t="str">
        <x:v>Lite</x:v>
      </x:c>
      <x:c r="G1868" s="17" t="n">
        <x:v>19477</x:v>
      </x:c>
      <x:c r="H1868" s="17" t="n">
        <x:v>7272</x:v>
      </x:c>
      <x:c r="I1868" s="17" t="str">
        <x:v>Followup</x:v>
      </x:c>
      <x:c r="J1868" s="27" t="n">
        <x:f>INDEX('Model Pricing'!$B$7:$B$8,MATCH(F1868,'Model Pricing'!$A$7:$A$8,0))</x:f>
        <x:v>10</x:v>
      </x:c>
      <x:c r="K1868" s="27" t="n">
        <x:f>INDEX('Model Pricing'!$C$7:$C$8,MATCH(F1868,'Model Pricing'!$A$7:$A$8,0))</x:f>
        <x:v>30</x:v>
      </x:c>
      <x:c r="L1868" s="17" t="n">
        <x:f>G1868+H1868</x:f>
        <x:v>26749</x:v>
      </x:c>
      <x:c r="M1868" s="28" t="n">
        <x:f>G1868*J1868/1000000</x:f>
        <x:v>0.19477</x:v>
      </x:c>
      <x:c r="N1868" s="28" t="n">
        <x:f>H1868*K1868/1000000</x:f>
        <x:v>0.21816</x:v>
      </x:c>
      <x:c r="O1868" s="28" t="n">
        <x:f>SUM(M1868:N1868)</x:f>
        <x:v>0.41293</x:v>
      </x:c>
    </x:row>
    <x:row r="1869" ht="23" customHeight="1">
      <x:c r="A1869" s="17" t="str">
        <x:v>U01863</x:v>
      </x:c>
      <x:c r="B1869" s="18" t="n">
        <x:v>46275</x:v>
      </x:c>
      <x:c r="C1869" s="17" t="str">
        <x:v>W0128</x:v>
      </x:c>
      <x:c r="D1869" s="17" t="str">
        <x:v>C003</x:v>
      </x:c>
      <x:c r="E1869" s="17" t="str">
        <x:v>CopyStudio</x:v>
      </x:c>
      <x:c r="F1869" s="17" t="str">
        <x:v>Lite</x:v>
      </x:c>
      <x:c r="G1869" s="17" t="n">
        <x:v>37168</x:v>
      </x:c>
      <x:c r="H1869" s="17" t="n">
        <x:v>5387</x:v>
      </x:c>
      <x:c r="I1869" s="17" t="str">
        <x:v>Followup</x:v>
      </x:c>
      <x:c r="J1869" s="27" t="n">
        <x:f>INDEX('Model Pricing'!$B$7:$B$8,MATCH(F1869,'Model Pricing'!$A$7:$A$8,0))</x:f>
        <x:v>10</x:v>
      </x:c>
      <x:c r="K1869" s="27" t="n">
        <x:f>INDEX('Model Pricing'!$C$7:$C$8,MATCH(F1869,'Model Pricing'!$A$7:$A$8,0))</x:f>
        <x:v>30</x:v>
      </x:c>
      <x:c r="L1869" s="17" t="n">
        <x:f>G1869+H1869</x:f>
        <x:v>42555</x:v>
      </x:c>
      <x:c r="M1869" s="28" t="n">
        <x:f>G1869*J1869/1000000</x:f>
        <x:v>0.37168</x:v>
      </x:c>
      <x:c r="N1869" s="28" t="n">
        <x:f>H1869*K1869/1000000</x:f>
        <x:v>0.16161</x:v>
      </x:c>
      <x:c r="O1869" s="28" t="n">
        <x:f>SUM(M1869:N1869)</x:f>
        <x:v>0.53329</x:v>
      </x:c>
    </x:row>
    <x:row r="1870" ht="23" customHeight="1">
      <x:c r="A1870" s="17" t="str">
        <x:v>U01864</x:v>
      </x:c>
      <x:c r="B1870" s="18" t="n">
        <x:v>46276</x:v>
      </x:c>
      <x:c r="C1870" s="17" t="str">
        <x:v>W0128</x:v>
      </x:c>
      <x:c r="D1870" s="17" t="str">
        <x:v>C003</x:v>
      </x:c>
      <x:c r="E1870" s="17" t="str">
        <x:v>CopyStudio</x:v>
      </x:c>
      <x:c r="F1870" s="17" t="str">
        <x:v>Lite</x:v>
      </x:c>
      <x:c r="G1870" s="17" t="n">
        <x:v>25752</x:v>
      </x:c>
      <x:c r="H1870" s="17" t="n">
        <x:v>2297</x:v>
      </x:c>
      <x:c r="I1870" s="17" t="str">
        <x:v>Followup</x:v>
      </x:c>
      <x:c r="J1870" s="27" t="n">
        <x:f>INDEX('Model Pricing'!$B$7:$B$8,MATCH(F1870,'Model Pricing'!$A$7:$A$8,0))</x:f>
        <x:v>10</x:v>
      </x:c>
      <x:c r="K1870" s="27" t="n">
        <x:f>INDEX('Model Pricing'!$C$7:$C$8,MATCH(F1870,'Model Pricing'!$A$7:$A$8,0))</x:f>
        <x:v>30</x:v>
      </x:c>
      <x:c r="L1870" s="17" t="n">
        <x:f>G1870+H1870</x:f>
        <x:v>28049</x:v>
      </x:c>
      <x:c r="M1870" s="28" t="n">
        <x:f>G1870*J1870/1000000</x:f>
        <x:v>0.25752</x:v>
      </x:c>
      <x:c r="N1870" s="28" t="n">
        <x:f>H1870*K1870/1000000</x:f>
        <x:v>0.06891</x:v>
      </x:c>
      <x:c r="O1870" s="28" t="n">
        <x:f>SUM(M1870:N1870)</x:f>
        <x:v>0.32643</x:v>
      </x:c>
    </x:row>
    <x:row r="1871" ht="23" customHeight="1">
      <x:c r="A1871" s="17" t="str">
        <x:v>U01865</x:v>
      </x:c>
      <x:c r="B1871" s="18" t="n">
        <x:v>46276</x:v>
      </x:c>
      <x:c r="C1871" s="17" t="str">
        <x:v>W0128</x:v>
      </x:c>
      <x:c r="D1871" s="17" t="str">
        <x:v>C003</x:v>
      </x:c>
      <x:c r="E1871" s="17" t="str">
        <x:v>CopyStudio</x:v>
      </x:c>
      <x:c r="F1871" s="17" t="str">
        <x:v>Lite</x:v>
      </x:c>
      <x:c r="G1871" s="17" t="n">
        <x:v>16057</x:v>
      </x:c>
      <x:c r="H1871" s="17" t="n">
        <x:v>4345</x:v>
      </x:c>
      <x:c r="I1871" s="17" t="str">
        <x:v>Correction</x:v>
      </x:c>
      <x:c r="J1871" s="27" t="n">
        <x:f>INDEX('Model Pricing'!$B$7:$B$8,MATCH(F1871,'Model Pricing'!$A$7:$A$8,0))</x:f>
        <x:v>10</x:v>
      </x:c>
      <x:c r="K1871" s="27" t="n">
        <x:f>INDEX('Model Pricing'!$C$7:$C$8,MATCH(F1871,'Model Pricing'!$A$7:$A$8,0))</x:f>
        <x:v>30</x:v>
      </x:c>
      <x:c r="L1871" s="17" t="n">
        <x:f>G1871+H1871</x:f>
        <x:v>20402</x:v>
      </x:c>
      <x:c r="M1871" s="28" t="n">
        <x:f>G1871*J1871/1000000</x:f>
        <x:v>0.16057</x:v>
      </x:c>
      <x:c r="N1871" s="28" t="n">
        <x:f>H1871*K1871/1000000</x:f>
        <x:v>0.13035</x:v>
      </x:c>
      <x:c r="O1871" s="28" t="n">
        <x:f>SUM(M1871:N1871)</x:f>
        <x:v>0.29091999999999996</x:v>
      </x:c>
    </x:row>
    <x:row r="1872" ht="23" customHeight="1">
      <x:c r="A1872" s="17" t="str">
        <x:v>U01866</x:v>
      </x:c>
      <x:c r="B1872" s="18" t="n">
        <x:v>46282</x:v>
      </x:c>
      <x:c r="C1872" s="17" t="str">
        <x:v>W0129</x:v>
      </x:c>
      <x:c r="D1872" s="17" t="str">
        <x:v>C003</x:v>
      </x:c>
      <x:c r="E1872" s="17" t="str">
        <x:v>CampaignChat</x:v>
      </x:c>
      <x:c r="F1872" s="17" t="str">
        <x:v>Lite</x:v>
      </x:c>
      <x:c r="G1872" s="17" t="n">
        <x:v>35588</x:v>
      </x:c>
      <x:c r="H1872" s="17" t="n">
        <x:v>3160</x:v>
      </x:c>
      <x:c r="I1872" s="17" t="str">
        <x:v>First attempt</x:v>
      </x:c>
      <x:c r="J1872" s="27" t="n">
        <x:f>INDEX('Model Pricing'!$B$7:$B$8,MATCH(F1872,'Model Pricing'!$A$7:$A$8,0))</x:f>
        <x:v>10</x:v>
      </x:c>
      <x:c r="K1872" s="27" t="n">
        <x:f>INDEX('Model Pricing'!$C$7:$C$8,MATCH(F1872,'Model Pricing'!$A$7:$A$8,0))</x:f>
        <x:v>30</x:v>
      </x:c>
      <x:c r="L1872" s="17" t="n">
        <x:f>G1872+H1872</x:f>
        <x:v>38748</x:v>
      </x:c>
      <x:c r="M1872" s="28" t="n">
        <x:f>G1872*J1872/1000000</x:f>
        <x:v>0.35588</x:v>
      </x:c>
      <x:c r="N1872" s="28" t="n">
        <x:f>H1872*K1872/1000000</x:f>
        <x:v>0.0948</x:v>
      </x:c>
      <x:c r="O1872" s="28" t="n">
        <x:f>SUM(M1872:N1872)</x:f>
        <x:v>0.45067999999999997</x:v>
      </x:c>
    </x:row>
    <x:row r="1873" ht="23" customHeight="1">
      <x:c r="A1873" s="17" t="str">
        <x:v>U01867</x:v>
      </x:c>
      <x:c r="B1873" s="18" t="n">
        <x:v>46282</x:v>
      </x:c>
      <x:c r="C1873" s="17" t="str">
        <x:v>W0129</x:v>
      </x:c>
      <x:c r="D1873" s="17" t="str">
        <x:v>C003</x:v>
      </x:c>
      <x:c r="E1873" s="17" t="str">
        <x:v>CampaignChat</x:v>
      </x:c>
      <x:c r="F1873" s="17" t="str">
        <x:v>Lite</x:v>
      </x:c>
      <x:c r="G1873" s="17" t="n">
        <x:v>44821</x:v>
      </x:c>
      <x:c r="H1873" s="17" t="n">
        <x:v>3569</x:v>
      </x:c>
      <x:c r="I1873" s="17" t="str">
        <x:v>Followup</x:v>
      </x:c>
      <x:c r="J1873" s="27" t="n">
        <x:f>INDEX('Model Pricing'!$B$7:$B$8,MATCH(F1873,'Model Pricing'!$A$7:$A$8,0))</x:f>
        <x:v>10</x:v>
      </x:c>
      <x:c r="K1873" s="27" t="n">
        <x:f>INDEX('Model Pricing'!$C$7:$C$8,MATCH(F1873,'Model Pricing'!$A$7:$A$8,0))</x:f>
        <x:v>30</x:v>
      </x:c>
      <x:c r="L1873" s="17" t="n">
        <x:f>G1873+H1873</x:f>
        <x:v>48390</x:v>
      </x:c>
      <x:c r="M1873" s="28" t="n">
        <x:f>G1873*J1873/1000000</x:f>
        <x:v>0.44821</x:v>
      </x:c>
      <x:c r="N1873" s="28" t="n">
        <x:f>H1873*K1873/1000000</x:f>
        <x:v>0.10707</x:v>
      </x:c>
      <x:c r="O1873" s="28" t="n">
        <x:f>SUM(M1873:N1873)</x:f>
        <x:v>0.55528</x:v>
      </x:c>
    </x:row>
    <x:row r="1874" ht="23" customHeight="1">
      <x:c r="A1874" s="17" t="str">
        <x:v>U01868</x:v>
      </x:c>
      <x:c r="B1874" s="18" t="n">
        <x:v>46282</x:v>
      </x:c>
      <x:c r="C1874" s="17" t="str">
        <x:v>W0129</x:v>
      </x:c>
      <x:c r="D1874" s="17" t="str">
        <x:v>C003</x:v>
      </x:c>
      <x:c r="E1874" s="17" t="str">
        <x:v>CampaignChat</x:v>
      </x:c>
      <x:c r="F1874" s="17" t="str">
        <x:v>Lite</x:v>
      </x:c>
      <x:c r="G1874" s="17" t="n">
        <x:v>38811</x:v>
      </x:c>
      <x:c r="H1874" s="17" t="n">
        <x:v>2110</x:v>
      </x:c>
      <x:c r="I1874" s="17" t="str">
        <x:v>Followup</x:v>
      </x:c>
      <x:c r="J1874" s="27" t="n">
        <x:f>INDEX('Model Pricing'!$B$7:$B$8,MATCH(F1874,'Model Pricing'!$A$7:$A$8,0))</x:f>
        <x:v>10</x:v>
      </x:c>
      <x:c r="K1874" s="27" t="n">
        <x:f>INDEX('Model Pricing'!$C$7:$C$8,MATCH(F1874,'Model Pricing'!$A$7:$A$8,0))</x:f>
        <x:v>30</x:v>
      </x:c>
      <x:c r="L1874" s="17" t="n">
        <x:f>G1874+H1874</x:f>
        <x:v>40921</x:v>
      </x:c>
      <x:c r="M1874" s="28" t="n">
        <x:f>G1874*J1874/1000000</x:f>
        <x:v>0.38811</x:v>
      </x:c>
      <x:c r="N1874" s="28" t="n">
        <x:f>H1874*K1874/1000000</x:f>
        <x:v>0.0633</x:v>
      </x:c>
      <x:c r="O1874" s="28" t="n">
        <x:f>SUM(M1874:N1874)</x:f>
        <x:v>0.45141</x:v>
      </x:c>
    </x:row>
    <x:row r="1875" ht="23" customHeight="1">
      <x:c r="A1875" s="17" t="str">
        <x:v>U01869</x:v>
      </x:c>
      <x:c r="B1875" s="18" t="n">
        <x:v>46283</x:v>
      </x:c>
      <x:c r="C1875" s="17" t="str">
        <x:v>W0129</x:v>
      </x:c>
      <x:c r="D1875" s="17" t="str">
        <x:v>C003</x:v>
      </x:c>
      <x:c r="E1875" s="17" t="str">
        <x:v>CampaignChat</x:v>
      </x:c>
      <x:c r="F1875" s="17" t="str">
        <x:v>Lite</x:v>
      </x:c>
      <x:c r="G1875" s="17" t="n">
        <x:v>21681</x:v>
      </x:c>
      <x:c r="H1875" s="17" t="n">
        <x:v>4742</x:v>
      </x:c>
      <x:c r="I1875" s="17" t="str">
        <x:v>Correction</x:v>
      </x:c>
      <x:c r="J1875" s="27" t="n">
        <x:f>INDEX('Model Pricing'!$B$7:$B$8,MATCH(F1875,'Model Pricing'!$A$7:$A$8,0))</x:f>
        <x:v>10</x:v>
      </x:c>
      <x:c r="K1875" s="27" t="n">
        <x:f>INDEX('Model Pricing'!$C$7:$C$8,MATCH(F1875,'Model Pricing'!$A$7:$A$8,0))</x:f>
        <x:v>30</x:v>
      </x:c>
      <x:c r="L1875" s="17" t="n">
        <x:f>G1875+H1875</x:f>
        <x:v>26423</x:v>
      </x:c>
      <x:c r="M1875" s="28" t="n">
        <x:f>G1875*J1875/1000000</x:f>
        <x:v>0.21681</x:v>
      </x:c>
      <x:c r="N1875" s="28" t="n">
        <x:f>H1875*K1875/1000000</x:f>
        <x:v>0.14226</x:v>
      </x:c>
      <x:c r="O1875" s="28" t="n">
        <x:f>SUM(M1875:N1875)</x:f>
        <x:v>0.35907</x:v>
      </x:c>
    </x:row>
    <x:row r="1876" ht="23" customHeight="1">
      <x:c r="A1876" s="17" t="str">
        <x:v>U01870</x:v>
      </x:c>
      <x:c r="B1876" s="18" t="n">
        <x:v>46283</x:v>
      </x:c>
      <x:c r="C1876" s="17" t="str">
        <x:v>W0129</x:v>
      </x:c>
      <x:c r="D1876" s="17" t="str">
        <x:v>C003</x:v>
      </x:c>
      <x:c r="E1876" s="17" t="str">
        <x:v>CampaignChat</x:v>
      </x:c>
      <x:c r="F1876" s="17" t="str">
        <x:v>Lite</x:v>
      </x:c>
      <x:c r="G1876" s="17" t="n">
        <x:v>36991</x:v>
      </x:c>
      <x:c r="H1876" s="17" t="n">
        <x:v>6367</x:v>
      </x:c>
      <x:c r="I1876" s="17" t="str">
        <x:v>Correction</x:v>
      </x:c>
      <x:c r="J1876" s="27" t="n">
        <x:f>INDEX('Model Pricing'!$B$7:$B$8,MATCH(F1876,'Model Pricing'!$A$7:$A$8,0))</x:f>
        <x:v>10</x:v>
      </x:c>
      <x:c r="K1876" s="27" t="n">
        <x:f>INDEX('Model Pricing'!$C$7:$C$8,MATCH(F1876,'Model Pricing'!$A$7:$A$8,0))</x:f>
        <x:v>30</x:v>
      </x:c>
      <x:c r="L1876" s="17" t="n">
        <x:f>G1876+H1876</x:f>
        <x:v>43358</x:v>
      </x:c>
      <x:c r="M1876" s="28" t="n">
        <x:f>G1876*J1876/1000000</x:f>
        <x:v>0.36991</x:v>
      </x:c>
      <x:c r="N1876" s="28" t="n">
        <x:f>H1876*K1876/1000000</x:f>
        <x:v>0.19101</x:v>
      </x:c>
      <x:c r="O1876" s="28" t="n">
        <x:f>SUM(M1876:N1876)</x:f>
        <x:v>0.5609200000000001</x:v>
      </x:c>
    </x:row>
    <x:row r="1877" ht="23" customHeight="1">
      <x:c r="A1877" s="17" t="str">
        <x:v>U01871</x:v>
      </x:c>
      <x:c r="B1877" s="18" t="n">
        <x:v>46283</x:v>
      </x:c>
      <x:c r="C1877" s="17" t="str">
        <x:v>W0129</x:v>
      </x:c>
      <x:c r="D1877" s="17" t="str">
        <x:v>C003</x:v>
      </x:c>
      <x:c r="E1877" s="17" t="str">
        <x:v>CampaignChat</x:v>
      </x:c>
      <x:c r="F1877" s="17" t="str">
        <x:v>Lite</x:v>
      </x:c>
      <x:c r="G1877" s="17" t="n">
        <x:v>19868</x:v>
      </x:c>
      <x:c r="H1877" s="17" t="n">
        <x:v>5779</x:v>
      </x:c>
      <x:c r="I1877" s="17" t="str">
        <x:v>Followup</x:v>
      </x:c>
      <x:c r="J1877" s="27" t="n">
        <x:f>INDEX('Model Pricing'!$B$7:$B$8,MATCH(F1877,'Model Pricing'!$A$7:$A$8,0))</x:f>
        <x:v>10</x:v>
      </x:c>
      <x:c r="K1877" s="27" t="n">
        <x:f>INDEX('Model Pricing'!$C$7:$C$8,MATCH(F1877,'Model Pricing'!$A$7:$A$8,0))</x:f>
        <x:v>30</x:v>
      </x:c>
      <x:c r="L1877" s="17" t="n">
        <x:f>G1877+H1877</x:f>
        <x:v>25647</x:v>
      </x:c>
      <x:c r="M1877" s="28" t="n">
        <x:f>G1877*J1877/1000000</x:f>
        <x:v>0.19868</x:v>
      </x:c>
      <x:c r="N1877" s="28" t="n">
        <x:f>H1877*K1877/1000000</x:f>
        <x:v>0.17337</x:v>
      </x:c>
      <x:c r="O1877" s="28" t="n">
        <x:f>SUM(M1877:N1877)</x:f>
        <x:v>0.37205</x:v>
      </x:c>
    </x:row>
    <x:row r="1878" ht="23" customHeight="1">
      <x:c r="A1878" s="17" t="str">
        <x:v>U01872</x:v>
      </x:c>
      <x:c r="B1878" s="18" t="n">
        <x:v>46286</x:v>
      </x:c>
      <x:c r="C1878" s="17" t="str">
        <x:v>W0129</x:v>
      </x:c>
      <x:c r="D1878" s="17" t="str">
        <x:v>C003</x:v>
      </x:c>
      <x:c r="E1878" s="17" t="str">
        <x:v>CampaignChat</x:v>
      </x:c>
      <x:c r="F1878" s="17" t="str">
        <x:v>Lite</x:v>
      </x:c>
      <x:c r="G1878" s="17" t="n">
        <x:v>19538</x:v>
      </x:c>
      <x:c r="H1878" s="17" t="n">
        <x:v>3030</x:v>
      </x:c>
      <x:c r="I1878" s="17" t="str">
        <x:v>Followup</x:v>
      </x:c>
      <x:c r="J1878" s="27" t="n">
        <x:f>INDEX('Model Pricing'!$B$7:$B$8,MATCH(F1878,'Model Pricing'!$A$7:$A$8,0))</x:f>
        <x:v>10</x:v>
      </x:c>
      <x:c r="K1878" s="27" t="n">
        <x:f>INDEX('Model Pricing'!$C$7:$C$8,MATCH(F1878,'Model Pricing'!$A$7:$A$8,0))</x:f>
        <x:v>30</x:v>
      </x:c>
      <x:c r="L1878" s="17" t="n">
        <x:f>G1878+H1878</x:f>
        <x:v>22568</x:v>
      </x:c>
      <x:c r="M1878" s="28" t="n">
        <x:f>G1878*J1878/1000000</x:f>
        <x:v>0.19538</x:v>
      </x:c>
      <x:c r="N1878" s="28" t="n">
        <x:f>H1878*K1878/1000000</x:f>
        <x:v>0.0909</x:v>
      </x:c>
      <x:c r="O1878" s="28" t="n">
        <x:f>SUM(M1878:N1878)</x:f>
        <x:v>0.28628</x:v>
      </x:c>
    </x:row>
    <x:row r="1879" ht="23" customHeight="1">
      <x:c r="A1879" s="17" t="str">
        <x:v>U01873</x:v>
      </x:c>
      <x:c r="B1879" s="18" t="n">
        <x:v>46286</x:v>
      </x:c>
      <x:c r="C1879" s="17" t="str">
        <x:v>W0129</x:v>
      </x:c>
      <x:c r="D1879" s="17" t="str">
        <x:v>C003</x:v>
      </x:c>
      <x:c r="E1879" s="17" t="str">
        <x:v>CampaignChat</x:v>
      </x:c>
      <x:c r="F1879" s="17" t="str">
        <x:v>Lite</x:v>
      </x:c>
      <x:c r="G1879" s="17" t="n">
        <x:v>25444</x:v>
      </x:c>
      <x:c r="H1879" s="17" t="n">
        <x:v>6988</x:v>
      </x:c>
      <x:c r="I1879" s="17" t="str">
        <x:v>Followup</x:v>
      </x:c>
      <x:c r="J1879" s="27" t="n">
        <x:f>INDEX('Model Pricing'!$B$7:$B$8,MATCH(F1879,'Model Pricing'!$A$7:$A$8,0))</x:f>
        <x:v>10</x:v>
      </x:c>
      <x:c r="K1879" s="27" t="n">
        <x:f>INDEX('Model Pricing'!$C$7:$C$8,MATCH(F1879,'Model Pricing'!$A$7:$A$8,0))</x:f>
        <x:v>30</x:v>
      </x:c>
      <x:c r="L1879" s="17" t="n">
        <x:f>G1879+H1879</x:f>
        <x:v>32432</x:v>
      </x:c>
      <x:c r="M1879" s="28" t="n">
        <x:f>G1879*J1879/1000000</x:f>
        <x:v>0.25444</x:v>
      </x:c>
      <x:c r="N1879" s="28" t="n">
        <x:f>H1879*K1879/1000000</x:f>
        <x:v>0.20964</x:v>
      </x:c>
      <x:c r="O1879" s="28" t="n">
        <x:f>SUM(M1879:N1879)</x:f>
        <x:v>0.46408</x:v>
      </x:c>
    </x:row>
    <x:row r="1880" ht="23" customHeight="1">
      <x:c r="A1880" s="17" t="str">
        <x:v>U01874</x:v>
      </x:c>
      <x:c r="B1880" s="18" t="n">
        <x:v>46286</x:v>
      </x:c>
      <x:c r="C1880" s="17" t="str">
        <x:v>W0129</x:v>
      </x:c>
      <x:c r="D1880" s="17" t="str">
        <x:v>C003</x:v>
      </x:c>
      <x:c r="E1880" s="17" t="str">
        <x:v>CampaignChat</x:v>
      </x:c>
      <x:c r="F1880" s="17" t="str">
        <x:v>Lite</x:v>
      </x:c>
      <x:c r="G1880" s="17" t="n">
        <x:v>27541</x:v>
      </x:c>
      <x:c r="H1880" s="17" t="n">
        <x:v>2727</x:v>
      </x:c>
      <x:c r="I1880" s="17" t="str">
        <x:v>Followup</x:v>
      </x:c>
      <x:c r="J1880" s="27" t="n">
        <x:f>INDEX('Model Pricing'!$B$7:$B$8,MATCH(F1880,'Model Pricing'!$A$7:$A$8,0))</x:f>
        <x:v>10</x:v>
      </x:c>
      <x:c r="K1880" s="27" t="n">
        <x:f>INDEX('Model Pricing'!$C$7:$C$8,MATCH(F1880,'Model Pricing'!$A$7:$A$8,0))</x:f>
        <x:v>30</x:v>
      </x:c>
      <x:c r="L1880" s="17" t="n">
        <x:f>G1880+H1880</x:f>
        <x:v>30268</x:v>
      </x:c>
      <x:c r="M1880" s="28" t="n">
        <x:f>G1880*J1880/1000000</x:f>
        <x:v>0.27541</x:v>
      </x:c>
      <x:c r="N1880" s="28" t="n">
        <x:f>H1880*K1880/1000000</x:f>
        <x:v>0.08181</x:v>
      </x:c>
      <x:c r="O1880" s="28" t="n">
        <x:f>SUM(M1880:N1880)</x:f>
        <x:v>0.35722</x:v>
      </x:c>
    </x:row>
    <x:row r="1881" ht="23" customHeight="1">
      <x:c r="A1881" s="17" t="str">
        <x:v>U01875</x:v>
      </x:c>
      <x:c r="B1881" s="18" t="n">
        <x:v>46287</x:v>
      </x:c>
      <x:c r="C1881" s="17" t="str">
        <x:v>W0129</x:v>
      </x:c>
      <x:c r="D1881" s="17" t="str">
        <x:v>C003</x:v>
      </x:c>
      <x:c r="E1881" s="17" t="str">
        <x:v>CampaignChat</x:v>
      </x:c>
      <x:c r="F1881" s="17" t="str">
        <x:v>Lite</x:v>
      </x:c>
      <x:c r="G1881" s="17" t="n">
        <x:v>32902</x:v>
      </x:c>
      <x:c r="H1881" s="17" t="n">
        <x:v>4194</x:v>
      </x:c>
      <x:c r="I1881" s="17" t="str">
        <x:v>Followup</x:v>
      </x:c>
      <x:c r="J1881" s="27" t="n">
        <x:f>INDEX('Model Pricing'!$B$7:$B$8,MATCH(F1881,'Model Pricing'!$A$7:$A$8,0))</x:f>
        <x:v>10</x:v>
      </x:c>
      <x:c r="K1881" s="27" t="n">
        <x:f>INDEX('Model Pricing'!$C$7:$C$8,MATCH(F1881,'Model Pricing'!$A$7:$A$8,0))</x:f>
        <x:v>30</x:v>
      </x:c>
      <x:c r="L1881" s="17" t="n">
        <x:f>G1881+H1881</x:f>
        <x:v>37096</x:v>
      </x:c>
      <x:c r="M1881" s="28" t="n">
        <x:f>G1881*J1881/1000000</x:f>
        <x:v>0.32902</x:v>
      </x:c>
      <x:c r="N1881" s="28" t="n">
        <x:f>H1881*K1881/1000000</x:f>
        <x:v>0.12582</x:v>
      </x:c>
      <x:c r="O1881" s="28" t="n">
        <x:f>SUM(M1881:N1881)</x:f>
        <x:v>0.45483999999999997</x:v>
      </x:c>
    </x:row>
    <x:row r="1882" ht="23" customHeight="1">
      <x:c r="A1882" s="17" t="str">
        <x:v>U01876</x:v>
      </x:c>
      <x:c r="B1882" s="18" t="n">
        <x:v>46287</x:v>
      </x:c>
      <x:c r="C1882" s="17" t="str">
        <x:v>W0129</x:v>
      </x:c>
      <x:c r="D1882" s="17" t="str">
        <x:v>C003</x:v>
      </x:c>
      <x:c r="E1882" s="17" t="str">
        <x:v>CampaignChat</x:v>
      </x:c>
      <x:c r="F1882" s="17" t="str">
        <x:v>Lite</x:v>
      </x:c>
      <x:c r="G1882" s="17" t="n">
        <x:v>27165</x:v>
      </x:c>
      <x:c r="H1882" s="17" t="n">
        <x:v>5875</x:v>
      </x:c>
      <x:c r="I1882" s="17" t="str">
        <x:v>Correction</x:v>
      </x:c>
      <x:c r="J1882" s="27" t="n">
        <x:f>INDEX('Model Pricing'!$B$7:$B$8,MATCH(F1882,'Model Pricing'!$A$7:$A$8,0))</x:f>
        <x:v>10</x:v>
      </x:c>
      <x:c r="K1882" s="27" t="n">
        <x:f>INDEX('Model Pricing'!$C$7:$C$8,MATCH(F1882,'Model Pricing'!$A$7:$A$8,0))</x:f>
        <x:v>30</x:v>
      </x:c>
      <x:c r="L1882" s="17" t="n">
        <x:f>G1882+H1882</x:f>
        <x:v>33040</x:v>
      </x:c>
      <x:c r="M1882" s="28" t="n">
        <x:f>G1882*J1882/1000000</x:f>
        <x:v>0.27165</x:v>
      </x:c>
      <x:c r="N1882" s="28" t="n">
        <x:f>H1882*K1882/1000000</x:f>
        <x:v>0.17625</x:v>
      </x:c>
      <x:c r="O1882" s="28" t="n">
        <x:f>SUM(M1882:N1882)</x:f>
        <x:v>0.44789999999999996</x:v>
      </x:c>
    </x:row>
    <x:row r="1883" ht="23" customHeight="1">
      <x:c r="A1883" s="17" t="str">
        <x:v>U01877</x:v>
      </x:c>
      <x:c r="B1883" s="18" t="n">
        <x:v>46287</x:v>
      </x:c>
      <x:c r="C1883" s="17" t="str">
        <x:v>W0129</x:v>
      </x:c>
      <x:c r="D1883" s="17" t="str">
        <x:v>C003</x:v>
      </x:c>
      <x:c r="E1883" s="17" t="str">
        <x:v>CampaignChat</x:v>
      </x:c>
      <x:c r="F1883" s="17" t="str">
        <x:v>Lite</x:v>
      </x:c>
      <x:c r="G1883" s="17" t="n">
        <x:v>48533</x:v>
      </x:c>
      <x:c r="H1883" s="17" t="n">
        <x:v>2594</x:v>
      </x:c>
      <x:c r="I1883" s="17" t="str">
        <x:v>Followup</x:v>
      </x:c>
      <x:c r="J1883" s="27" t="n">
        <x:f>INDEX('Model Pricing'!$B$7:$B$8,MATCH(F1883,'Model Pricing'!$A$7:$A$8,0))</x:f>
        <x:v>10</x:v>
      </x:c>
      <x:c r="K1883" s="27" t="n">
        <x:f>INDEX('Model Pricing'!$C$7:$C$8,MATCH(F1883,'Model Pricing'!$A$7:$A$8,0))</x:f>
        <x:v>30</x:v>
      </x:c>
      <x:c r="L1883" s="17" t="n">
        <x:f>G1883+H1883</x:f>
        <x:v>51127</x:v>
      </x:c>
      <x:c r="M1883" s="28" t="n">
        <x:f>G1883*J1883/1000000</x:f>
        <x:v>0.48533</x:v>
      </x:c>
      <x:c r="N1883" s="28" t="n">
        <x:f>H1883*K1883/1000000</x:f>
        <x:v>0.07782</x:v>
      </x:c>
      <x:c r="O1883" s="28" t="n">
        <x:f>SUM(M1883:N1883)</x:f>
        <x:v>0.56315</x:v>
      </x:c>
    </x:row>
    <x:row r="1884" ht="23" customHeight="1">
      <x:c r="A1884" s="17" t="str">
        <x:v>U01878</x:v>
      </x:c>
      <x:c r="B1884" s="18" t="n">
        <x:v>46266</x:v>
      </x:c>
      <x:c r="C1884" s="17" t="str">
        <x:v>W0130</x:v>
      </x:c>
      <x:c r="D1884" s="17" t="str">
        <x:v>C003</x:v>
      </x:c>
      <x:c r="E1884" s="17" t="str">
        <x:v>InsightDesk</x:v>
      </x:c>
      <x:c r="F1884" s="17" t="str">
        <x:v>Lite</x:v>
      </x:c>
      <x:c r="G1884" s="17" t="n">
        <x:v>69486</x:v>
      </x:c>
      <x:c r="H1884" s="17" t="n">
        <x:v>3820</x:v>
      </x:c>
      <x:c r="I1884" s="17" t="str">
        <x:v>First attempt</x:v>
      </x:c>
      <x:c r="J1884" s="27" t="n">
        <x:f>INDEX('Model Pricing'!$B$7:$B$8,MATCH(F1884,'Model Pricing'!$A$7:$A$8,0))</x:f>
        <x:v>10</x:v>
      </x:c>
      <x:c r="K1884" s="27" t="n">
        <x:f>INDEX('Model Pricing'!$C$7:$C$8,MATCH(F1884,'Model Pricing'!$A$7:$A$8,0))</x:f>
        <x:v>30</x:v>
      </x:c>
      <x:c r="L1884" s="17" t="n">
        <x:f>G1884+H1884</x:f>
        <x:v>73306</x:v>
      </x:c>
      <x:c r="M1884" s="28" t="n">
        <x:f>G1884*J1884/1000000</x:f>
        <x:v>0.69486</x:v>
      </x:c>
      <x:c r="N1884" s="28" t="n">
        <x:f>H1884*K1884/1000000</x:f>
        <x:v>0.1146</x:v>
      </x:c>
      <x:c r="O1884" s="28" t="n">
        <x:f>SUM(M1884:N1884)</x:f>
        <x:v>0.8094600000000001</x:v>
      </x:c>
    </x:row>
    <x:row r="1885" ht="23" customHeight="1">
      <x:c r="A1885" s="17" t="str">
        <x:v>U01879</x:v>
      </x:c>
      <x:c r="B1885" s="18" t="n">
        <x:v>46266</x:v>
      </x:c>
      <x:c r="C1885" s="17" t="str">
        <x:v>W0130</x:v>
      </x:c>
      <x:c r="D1885" s="17" t="str">
        <x:v>C003</x:v>
      </x:c>
      <x:c r="E1885" s="17" t="str">
        <x:v>InsightDesk</x:v>
      </x:c>
      <x:c r="F1885" s="17" t="str">
        <x:v>Lite</x:v>
      </x:c>
      <x:c r="G1885" s="17" t="n">
        <x:v>28393</x:v>
      </x:c>
      <x:c r="H1885" s="17" t="n">
        <x:v>2786</x:v>
      </x:c>
      <x:c r="I1885" s="17" t="str">
        <x:v>Correction</x:v>
      </x:c>
      <x:c r="J1885" s="27" t="n">
        <x:f>INDEX('Model Pricing'!$B$7:$B$8,MATCH(F1885,'Model Pricing'!$A$7:$A$8,0))</x:f>
        <x:v>10</x:v>
      </x:c>
      <x:c r="K1885" s="27" t="n">
        <x:f>INDEX('Model Pricing'!$C$7:$C$8,MATCH(F1885,'Model Pricing'!$A$7:$A$8,0))</x:f>
        <x:v>30</x:v>
      </x:c>
      <x:c r="L1885" s="17" t="n">
        <x:f>G1885+H1885</x:f>
        <x:v>31179</x:v>
      </x:c>
      <x:c r="M1885" s="28" t="n">
        <x:f>G1885*J1885/1000000</x:f>
        <x:v>0.28393</x:v>
      </x:c>
      <x:c r="N1885" s="28" t="n">
        <x:f>H1885*K1885/1000000</x:f>
        <x:v>0.08358</x:v>
      </x:c>
      <x:c r="O1885" s="28" t="n">
        <x:f>SUM(M1885:N1885)</x:f>
        <x:v>0.36751</x:v>
      </x:c>
    </x:row>
    <x:row r="1886" ht="23" customHeight="1">
      <x:c r="A1886" s="17" t="str">
        <x:v>U01880</x:v>
      </x:c>
      <x:c r="B1886" s="18" t="n">
        <x:v>46266</x:v>
      </x:c>
      <x:c r="C1886" s="17" t="str">
        <x:v>W0130</x:v>
      </x:c>
      <x:c r="D1886" s="17" t="str">
        <x:v>C003</x:v>
      </x:c>
      <x:c r="E1886" s="17" t="str">
        <x:v>InsightDesk</x:v>
      </x:c>
      <x:c r="F1886" s="17" t="str">
        <x:v>Lite</x:v>
      </x:c>
      <x:c r="G1886" s="17" t="n">
        <x:v>30803</x:v>
      </x:c>
      <x:c r="H1886" s="17" t="n">
        <x:v>4624</x:v>
      </x:c>
      <x:c r="I1886" s="17" t="str">
        <x:v>Followup</x:v>
      </x:c>
      <x:c r="J1886" s="27" t="n">
        <x:f>INDEX('Model Pricing'!$B$7:$B$8,MATCH(F1886,'Model Pricing'!$A$7:$A$8,0))</x:f>
        <x:v>10</x:v>
      </x:c>
      <x:c r="K1886" s="27" t="n">
        <x:f>INDEX('Model Pricing'!$C$7:$C$8,MATCH(F1886,'Model Pricing'!$A$7:$A$8,0))</x:f>
        <x:v>30</x:v>
      </x:c>
      <x:c r="L1886" s="17" t="n">
        <x:f>G1886+H1886</x:f>
        <x:v>35427</x:v>
      </x:c>
      <x:c r="M1886" s="28" t="n">
        <x:f>G1886*J1886/1000000</x:f>
        <x:v>0.30803</x:v>
      </x:c>
      <x:c r="N1886" s="28" t="n">
        <x:f>H1886*K1886/1000000</x:f>
        <x:v>0.13872</x:v>
      </x:c>
      <x:c r="O1886" s="28" t="n">
        <x:f>SUM(M1886:N1886)</x:f>
        <x:v>0.44675000000000004</x:v>
      </x:c>
    </x:row>
    <x:row r="1887" ht="23" customHeight="1">
      <x:c r="A1887" s="17" t="str">
        <x:v>U01881</x:v>
      </x:c>
      <x:c r="B1887" s="18" t="n">
        <x:v>46266</x:v>
      </x:c>
      <x:c r="C1887" s="17" t="str">
        <x:v>W0130</x:v>
      </x:c>
      <x:c r="D1887" s="17" t="str">
        <x:v>C003</x:v>
      </x:c>
      <x:c r="E1887" s="17" t="str">
        <x:v>InsightDesk</x:v>
      </x:c>
      <x:c r="F1887" s="17" t="str">
        <x:v>Lite</x:v>
      </x:c>
      <x:c r="G1887" s="17" t="n">
        <x:v>38859</x:v>
      </x:c>
      <x:c r="H1887" s="17" t="n">
        <x:v>5661</x:v>
      </x:c>
      <x:c r="I1887" s="17" t="str">
        <x:v>Followup</x:v>
      </x:c>
      <x:c r="J1887" s="27" t="n">
        <x:f>INDEX('Model Pricing'!$B$7:$B$8,MATCH(F1887,'Model Pricing'!$A$7:$A$8,0))</x:f>
        <x:v>10</x:v>
      </x:c>
      <x:c r="K1887" s="27" t="n">
        <x:f>INDEX('Model Pricing'!$C$7:$C$8,MATCH(F1887,'Model Pricing'!$A$7:$A$8,0))</x:f>
        <x:v>30</x:v>
      </x:c>
      <x:c r="L1887" s="17" t="n">
        <x:f>G1887+H1887</x:f>
        <x:v>44520</x:v>
      </x:c>
      <x:c r="M1887" s="28" t="n">
        <x:f>G1887*J1887/1000000</x:f>
        <x:v>0.38859</x:v>
      </x:c>
      <x:c r="N1887" s="28" t="n">
        <x:f>H1887*K1887/1000000</x:f>
        <x:v>0.16983</x:v>
      </x:c>
      <x:c r="O1887" s="28" t="n">
        <x:f>SUM(M1887:N1887)</x:f>
        <x:v>0.55842</x:v>
      </x:c>
    </x:row>
    <x:row r="1888" ht="23" customHeight="1">
      <x:c r="A1888" s="17" t="str">
        <x:v>U01882</x:v>
      </x:c>
      <x:c r="B1888" s="18" t="n">
        <x:v>46267</x:v>
      </x:c>
      <x:c r="C1888" s="17" t="str">
        <x:v>W0130</x:v>
      </x:c>
      <x:c r="D1888" s="17" t="str">
        <x:v>C003</x:v>
      </x:c>
      <x:c r="E1888" s="17" t="str">
        <x:v>InsightDesk</x:v>
      </x:c>
      <x:c r="F1888" s="17" t="str">
        <x:v>Lite</x:v>
      </x:c>
      <x:c r="G1888" s="17" t="n">
        <x:v>24633</x:v>
      </x:c>
      <x:c r="H1888" s="17" t="n">
        <x:v>3846</x:v>
      </x:c>
      <x:c r="I1888" s="17" t="str">
        <x:v>Followup</x:v>
      </x:c>
      <x:c r="J1888" s="27" t="n">
        <x:f>INDEX('Model Pricing'!$B$7:$B$8,MATCH(F1888,'Model Pricing'!$A$7:$A$8,0))</x:f>
        <x:v>10</x:v>
      </x:c>
      <x:c r="K1888" s="27" t="n">
        <x:f>INDEX('Model Pricing'!$C$7:$C$8,MATCH(F1888,'Model Pricing'!$A$7:$A$8,0))</x:f>
        <x:v>30</x:v>
      </x:c>
      <x:c r="L1888" s="17" t="n">
        <x:f>G1888+H1888</x:f>
        <x:v>28479</x:v>
      </x:c>
      <x:c r="M1888" s="28" t="n">
        <x:f>G1888*J1888/1000000</x:f>
        <x:v>0.24633</x:v>
      </x:c>
      <x:c r="N1888" s="28" t="n">
        <x:f>H1888*K1888/1000000</x:f>
        <x:v>0.11538</x:v>
      </x:c>
      <x:c r="O1888" s="28" t="n">
        <x:f>SUM(M1888:N1888)</x:f>
        <x:v>0.36171</x:v>
      </x:c>
    </x:row>
    <x:row r="1889" ht="23" customHeight="1">
      <x:c r="A1889" s="17" t="str">
        <x:v>U01883</x:v>
      </x:c>
      <x:c r="B1889" s="18" t="n">
        <x:v>46267</x:v>
      </x:c>
      <x:c r="C1889" s="17" t="str">
        <x:v>W0130</x:v>
      </x:c>
      <x:c r="D1889" s="17" t="str">
        <x:v>C003</x:v>
      </x:c>
      <x:c r="E1889" s="17" t="str">
        <x:v>InsightDesk</x:v>
      </x:c>
      <x:c r="F1889" s="17" t="str">
        <x:v>Lite</x:v>
      </x:c>
      <x:c r="G1889" s="17" t="n">
        <x:v>26122</x:v>
      </x:c>
      <x:c r="H1889" s="17" t="n">
        <x:v>2578</x:v>
      </x:c>
      <x:c r="I1889" s="17" t="str">
        <x:v>Followup</x:v>
      </x:c>
      <x:c r="J1889" s="27" t="n">
        <x:f>INDEX('Model Pricing'!$B$7:$B$8,MATCH(F1889,'Model Pricing'!$A$7:$A$8,0))</x:f>
        <x:v>10</x:v>
      </x:c>
      <x:c r="K1889" s="27" t="n">
        <x:f>INDEX('Model Pricing'!$C$7:$C$8,MATCH(F1889,'Model Pricing'!$A$7:$A$8,0))</x:f>
        <x:v>30</x:v>
      </x:c>
      <x:c r="L1889" s="17" t="n">
        <x:f>G1889+H1889</x:f>
        <x:v>28700</x:v>
      </x:c>
      <x:c r="M1889" s="28" t="n">
        <x:f>G1889*J1889/1000000</x:f>
        <x:v>0.26122</x:v>
      </x:c>
      <x:c r="N1889" s="28" t="n">
        <x:f>H1889*K1889/1000000</x:f>
        <x:v>0.07734</x:v>
      </x:c>
      <x:c r="O1889" s="28" t="n">
        <x:f>SUM(M1889:N1889)</x:f>
        <x:v>0.33856</x:v>
      </x:c>
    </x:row>
    <x:row r="1890" ht="23" customHeight="1">
      <x:c r="A1890" s="17" t="str">
        <x:v>U01884</x:v>
      </x:c>
      <x:c r="B1890" s="18" t="n">
        <x:v>46267</x:v>
      </x:c>
      <x:c r="C1890" s="17" t="str">
        <x:v>W0130</x:v>
      </x:c>
      <x:c r="D1890" s="17" t="str">
        <x:v>C003</x:v>
      </x:c>
      <x:c r="E1890" s="17" t="str">
        <x:v>InsightDesk</x:v>
      </x:c>
      <x:c r="F1890" s="17" t="str">
        <x:v>Lite</x:v>
      </x:c>
      <x:c r="G1890" s="17" t="n">
        <x:v>36627</x:v>
      </x:c>
      <x:c r="H1890" s="17" t="n">
        <x:v>6600</x:v>
      </x:c>
      <x:c r="I1890" s="17" t="str">
        <x:v>Followup</x:v>
      </x:c>
      <x:c r="J1890" s="27" t="n">
        <x:f>INDEX('Model Pricing'!$B$7:$B$8,MATCH(F1890,'Model Pricing'!$A$7:$A$8,0))</x:f>
        <x:v>10</x:v>
      </x:c>
      <x:c r="K1890" s="27" t="n">
        <x:f>INDEX('Model Pricing'!$C$7:$C$8,MATCH(F1890,'Model Pricing'!$A$7:$A$8,0))</x:f>
        <x:v>30</x:v>
      </x:c>
      <x:c r="L1890" s="17" t="n">
        <x:f>G1890+H1890</x:f>
        <x:v>43227</x:v>
      </x:c>
      <x:c r="M1890" s="28" t="n">
        <x:f>G1890*J1890/1000000</x:f>
        <x:v>0.36627</x:v>
      </x:c>
      <x:c r="N1890" s="28" t="n">
        <x:f>H1890*K1890/1000000</x:f>
        <x:v>0.198</x:v>
      </x:c>
      <x:c r="O1890" s="28" t="n">
        <x:f>SUM(M1890:N1890)</x:f>
        <x:v>0.56427</x:v>
      </x:c>
    </x:row>
    <x:row r="1891" ht="23" customHeight="1">
      <x:c r="A1891" s="17" t="str">
        <x:v>U01885</x:v>
      </x:c>
      <x:c r="B1891" s="18" t="n">
        <x:v>46268</x:v>
      </x:c>
      <x:c r="C1891" s="17" t="str">
        <x:v>W0130</x:v>
      </x:c>
      <x:c r="D1891" s="17" t="str">
        <x:v>C003</x:v>
      </x:c>
      <x:c r="E1891" s="17" t="str">
        <x:v>InsightDesk</x:v>
      </x:c>
      <x:c r="F1891" s="17" t="str">
        <x:v>Lite</x:v>
      </x:c>
      <x:c r="G1891" s="17" t="n">
        <x:v>31250</x:v>
      </x:c>
      <x:c r="H1891" s="17" t="n">
        <x:v>4828</x:v>
      </x:c>
      <x:c r="I1891" s="17" t="str">
        <x:v>Followup</x:v>
      </x:c>
      <x:c r="J1891" s="27" t="n">
        <x:f>INDEX('Model Pricing'!$B$7:$B$8,MATCH(F1891,'Model Pricing'!$A$7:$A$8,0))</x:f>
        <x:v>10</x:v>
      </x:c>
      <x:c r="K1891" s="27" t="n">
        <x:f>INDEX('Model Pricing'!$C$7:$C$8,MATCH(F1891,'Model Pricing'!$A$7:$A$8,0))</x:f>
        <x:v>30</x:v>
      </x:c>
      <x:c r="L1891" s="17" t="n">
        <x:f>G1891+H1891</x:f>
        <x:v>36078</x:v>
      </x:c>
      <x:c r="M1891" s="28" t="n">
        <x:f>G1891*J1891/1000000</x:f>
        <x:v>0.3125</x:v>
      </x:c>
      <x:c r="N1891" s="28" t="n">
        <x:f>H1891*K1891/1000000</x:f>
        <x:v>0.14484</x:v>
      </x:c>
      <x:c r="O1891" s="28" t="n">
        <x:f>SUM(M1891:N1891)</x:f>
        <x:v>0.45733999999999997</x:v>
      </x:c>
    </x:row>
    <x:row r="1892" ht="23" customHeight="1">
      <x:c r="A1892" s="17" t="str">
        <x:v>U01886</x:v>
      </x:c>
      <x:c r="B1892" s="18" t="n">
        <x:v>46268</x:v>
      </x:c>
      <x:c r="C1892" s="17" t="str">
        <x:v>W0130</x:v>
      </x:c>
      <x:c r="D1892" s="17" t="str">
        <x:v>C003</x:v>
      </x:c>
      <x:c r="E1892" s="17" t="str">
        <x:v>InsightDesk</x:v>
      </x:c>
      <x:c r="F1892" s="17" t="str">
        <x:v>Lite</x:v>
      </x:c>
      <x:c r="G1892" s="17" t="n">
        <x:v>44935</x:v>
      </x:c>
      <x:c r="H1892" s="17" t="n">
        <x:v>6866</x:v>
      </x:c>
      <x:c r="I1892" s="17" t="str">
        <x:v>Followup</x:v>
      </x:c>
      <x:c r="J1892" s="27" t="n">
        <x:f>INDEX('Model Pricing'!$B$7:$B$8,MATCH(F1892,'Model Pricing'!$A$7:$A$8,0))</x:f>
        <x:v>10</x:v>
      </x:c>
      <x:c r="K1892" s="27" t="n">
        <x:f>INDEX('Model Pricing'!$C$7:$C$8,MATCH(F1892,'Model Pricing'!$A$7:$A$8,0))</x:f>
        <x:v>30</x:v>
      </x:c>
      <x:c r="L1892" s="17" t="n">
        <x:f>G1892+H1892</x:f>
        <x:v>51801</x:v>
      </x:c>
      <x:c r="M1892" s="28" t="n">
        <x:f>G1892*J1892/1000000</x:f>
        <x:v>0.44935</x:v>
      </x:c>
      <x:c r="N1892" s="28" t="n">
        <x:f>H1892*K1892/1000000</x:f>
        <x:v>0.20598</x:v>
      </x:c>
      <x:c r="O1892" s="28" t="n">
        <x:f>SUM(M1892:N1892)</x:f>
        <x:v>0.65533</x:v>
      </x:c>
    </x:row>
    <x:row r="1893" ht="23" customHeight="1">
      <x:c r="A1893" s="17" t="str">
        <x:v>U01887</x:v>
      </x:c>
      <x:c r="B1893" s="18" t="n">
        <x:v>46268</x:v>
      </x:c>
      <x:c r="C1893" s="17" t="str">
        <x:v>W0130</x:v>
      </x:c>
      <x:c r="D1893" s="17" t="str">
        <x:v>C003</x:v>
      </x:c>
      <x:c r="E1893" s="17" t="str">
        <x:v>InsightDesk</x:v>
      </x:c>
      <x:c r="F1893" s="17" t="str">
        <x:v>Lite</x:v>
      </x:c>
      <x:c r="G1893" s="17" t="n">
        <x:v>35054</x:v>
      </x:c>
      <x:c r="H1893" s="17" t="n">
        <x:v>2277</x:v>
      </x:c>
      <x:c r="I1893" s="17" t="str">
        <x:v>Correction</x:v>
      </x:c>
      <x:c r="J1893" s="27" t="n">
        <x:f>INDEX('Model Pricing'!$B$7:$B$8,MATCH(F1893,'Model Pricing'!$A$7:$A$8,0))</x:f>
        <x:v>10</x:v>
      </x:c>
      <x:c r="K1893" s="27" t="n">
        <x:f>INDEX('Model Pricing'!$C$7:$C$8,MATCH(F1893,'Model Pricing'!$A$7:$A$8,0))</x:f>
        <x:v>30</x:v>
      </x:c>
      <x:c r="L1893" s="17" t="n">
        <x:f>G1893+H1893</x:f>
        <x:v>37331</x:v>
      </x:c>
      <x:c r="M1893" s="28" t="n">
        <x:f>G1893*J1893/1000000</x:f>
        <x:v>0.35054</x:v>
      </x:c>
      <x:c r="N1893" s="28" t="n">
        <x:f>H1893*K1893/1000000</x:f>
        <x:v>0.06831</x:v>
      </x:c>
      <x:c r="O1893" s="28" t="n">
        <x:f>SUM(M1893:N1893)</x:f>
        <x:v>0.41885</x:v>
      </x:c>
    </x:row>
    <x:row r="1894" ht="23" customHeight="1">
      <x:c r="A1894" s="17" t="str">
        <x:v>U01888</x:v>
      </x:c>
      <x:c r="B1894" s="18" t="n">
        <x:v>46268</x:v>
      </x:c>
      <x:c r="C1894" s="17" t="str">
        <x:v>W0130</x:v>
      </x:c>
      <x:c r="D1894" s="17" t="str">
        <x:v>C003</x:v>
      </x:c>
      <x:c r="E1894" s="17" t="str">
        <x:v>InsightDesk</x:v>
      </x:c>
      <x:c r="F1894" s="17" t="str">
        <x:v>Lite</x:v>
      </x:c>
      <x:c r="G1894" s="17" t="n">
        <x:v>49657</x:v>
      </x:c>
      <x:c r="H1894" s="17" t="n">
        <x:v>7045</x:v>
      </x:c>
      <x:c r="I1894" s="17" t="str">
        <x:v>Followup</x:v>
      </x:c>
      <x:c r="J1894" s="27" t="n">
        <x:f>INDEX('Model Pricing'!$B$7:$B$8,MATCH(F1894,'Model Pricing'!$A$7:$A$8,0))</x:f>
        <x:v>10</x:v>
      </x:c>
      <x:c r="K1894" s="27" t="n">
        <x:f>INDEX('Model Pricing'!$C$7:$C$8,MATCH(F1894,'Model Pricing'!$A$7:$A$8,0))</x:f>
        <x:v>30</x:v>
      </x:c>
      <x:c r="L1894" s="17" t="n">
        <x:f>G1894+H1894</x:f>
        <x:v>56702</x:v>
      </x:c>
      <x:c r="M1894" s="28" t="n">
        <x:f>G1894*J1894/1000000</x:f>
        <x:v>0.49657</x:v>
      </x:c>
      <x:c r="N1894" s="28" t="n">
        <x:f>H1894*K1894/1000000</x:f>
        <x:v>0.21135</x:v>
      </x:c>
      <x:c r="O1894" s="28" t="n">
        <x:f>SUM(M1894:N1894)</x:f>
        <x:v>0.70792</x:v>
      </x:c>
    </x:row>
    <x:row r="1895" ht="23" customHeight="1">
      <x:c r="A1895" s="17" t="str">
        <x:v>U01889</x:v>
      </x:c>
      <x:c r="B1895" s="18" t="n">
        <x:v>46269</x:v>
      </x:c>
      <x:c r="C1895" s="17" t="str">
        <x:v>W0130</x:v>
      </x:c>
      <x:c r="D1895" s="17" t="str">
        <x:v>C003</x:v>
      </x:c>
      <x:c r="E1895" s="17" t="str">
        <x:v>InsightDesk</x:v>
      </x:c>
      <x:c r="F1895" s="17" t="str">
        <x:v>Lite</x:v>
      </x:c>
      <x:c r="G1895" s="17" t="n">
        <x:v>29007</x:v>
      </x:c>
      <x:c r="H1895" s="17" t="n">
        <x:v>1848</x:v>
      </x:c>
      <x:c r="I1895" s="17" t="str">
        <x:v>Followup</x:v>
      </x:c>
      <x:c r="J1895" s="27" t="n">
        <x:f>INDEX('Model Pricing'!$B$7:$B$8,MATCH(F1895,'Model Pricing'!$A$7:$A$8,0))</x:f>
        <x:v>10</x:v>
      </x:c>
      <x:c r="K1895" s="27" t="n">
        <x:f>INDEX('Model Pricing'!$C$7:$C$8,MATCH(F1895,'Model Pricing'!$A$7:$A$8,0))</x:f>
        <x:v>30</x:v>
      </x:c>
      <x:c r="L1895" s="17" t="n">
        <x:f>G1895+H1895</x:f>
        <x:v>30855</x:v>
      </x:c>
      <x:c r="M1895" s="28" t="n">
        <x:f>G1895*J1895/1000000</x:f>
        <x:v>0.29007</x:v>
      </x:c>
      <x:c r="N1895" s="28" t="n">
        <x:f>H1895*K1895/1000000</x:f>
        <x:v>0.05544</x:v>
      </x:c>
      <x:c r="O1895" s="28" t="n">
        <x:f>SUM(M1895:N1895)</x:f>
        <x:v>0.34551</x:v>
      </x:c>
    </x:row>
    <x:row r="1896" ht="23" customHeight="1">
      <x:c r="A1896" s="17" t="str">
        <x:v>U01890</x:v>
      </x:c>
      <x:c r="B1896" s="18" t="n">
        <x:v>46269</x:v>
      </x:c>
      <x:c r="C1896" s="17" t="str">
        <x:v>W0130</x:v>
      </x:c>
      <x:c r="D1896" s="17" t="str">
        <x:v>C003</x:v>
      </x:c>
      <x:c r="E1896" s="17" t="str">
        <x:v>InsightDesk</x:v>
      </x:c>
      <x:c r="F1896" s="17" t="str">
        <x:v>Lite</x:v>
      </x:c>
      <x:c r="G1896" s="17" t="n">
        <x:v>35902</x:v>
      </x:c>
      <x:c r="H1896" s="17" t="n">
        <x:v>6166</x:v>
      </x:c>
      <x:c r="I1896" s="17" t="str">
        <x:v>Followup</x:v>
      </x:c>
      <x:c r="J1896" s="27" t="n">
        <x:f>INDEX('Model Pricing'!$B$7:$B$8,MATCH(F1896,'Model Pricing'!$A$7:$A$8,0))</x:f>
        <x:v>10</x:v>
      </x:c>
      <x:c r="K1896" s="27" t="n">
        <x:f>INDEX('Model Pricing'!$C$7:$C$8,MATCH(F1896,'Model Pricing'!$A$7:$A$8,0))</x:f>
        <x:v>30</x:v>
      </x:c>
      <x:c r="L1896" s="17" t="n">
        <x:f>G1896+H1896</x:f>
        <x:v>42068</x:v>
      </x:c>
      <x:c r="M1896" s="28" t="n">
        <x:f>G1896*J1896/1000000</x:f>
        <x:v>0.35902</x:v>
      </x:c>
      <x:c r="N1896" s="28" t="n">
        <x:f>H1896*K1896/1000000</x:f>
        <x:v>0.18498</x:v>
      </x:c>
      <x:c r="O1896" s="28" t="n">
        <x:f>SUM(M1896:N1896)</x:f>
        <x:v>0.544</x:v>
      </x:c>
    </x:row>
    <x:row r="1897" ht="23" customHeight="1">
      <x:c r="A1897" s="17" t="str">
        <x:v>U01891</x:v>
      </x:c>
      <x:c r="B1897" s="18" t="n">
        <x:v>46269</x:v>
      </x:c>
      <x:c r="C1897" s="17" t="str">
        <x:v>W0130</x:v>
      </x:c>
      <x:c r="D1897" s="17" t="str">
        <x:v>C003</x:v>
      </x:c>
      <x:c r="E1897" s="17" t="str">
        <x:v>InsightDesk</x:v>
      </x:c>
      <x:c r="F1897" s="17" t="str">
        <x:v>Lite</x:v>
      </x:c>
      <x:c r="G1897" s="17" t="n">
        <x:v>36913</x:v>
      </x:c>
      <x:c r="H1897" s="17" t="n">
        <x:v>6003</x:v>
      </x:c>
      <x:c r="I1897" s="17" t="str">
        <x:v>Followup</x:v>
      </x:c>
      <x:c r="J1897" s="27" t="n">
        <x:f>INDEX('Model Pricing'!$B$7:$B$8,MATCH(F1897,'Model Pricing'!$A$7:$A$8,0))</x:f>
        <x:v>10</x:v>
      </x:c>
      <x:c r="K1897" s="27" t="n">
        <x:f>INDEX('Model Pricing'!$C$7:$C$8,MATCH(F1897,'Model Pricing'!$A$7:$A$8,0))</x:f>
        <x:v>30</x:v>
      </x:c>
      <x:c r="L1897" s="17" t="n">
        <x:f>G1897+H1897</x:f>
        <x:v>42916</x:v>
      </x:c>
      <x:c r="M1897" s="28" t="n">
        <x:f>G1897*J1897/1000000</x:f>
        <x:v>0.36913</x:v>
      </x:c>
      <x:c r="N1897" s="28" t="n">
        <x:f>H1897*K1897/1000000</x:f>
        <x:v>0.18009</x:v>
      </x:c>
      <x:c r="O1897" s="28" t="n">
        <x:f>SUM(M1897:N1897)</x:f>
        <x:v>0.54922</x:v>
      </x:c>
    </x:row>
    <x:row r="1898" ht="23" customHeight="1">
      <x:c r="A1898" s="17" t="str">
        <x:v>U01892</x:v>
      </x:c>
      <x:c r="B1898" s="18" t="n">
        <x:v>46269</x:v>
      </x:c>
      <x:c r="C1898" s="17" t="str">
        <x:v>W0133</x:v>
      </x:c>
      <x:c r="D1898" s="17" t="str">
        <x:v>C003</x:v>
      </x:c>
      <x:c r="E1898" s="17" t="str">
        <x:v>InsightDesk</x:v>
      </x:c>
      <x:c r="F1898" s="17" t="str">
        <x:v>Lite</x:v>
      </x:c>
      <x:c r="G1898" s="17" t="n">
        <x:v>25138</x:v>
      </x:c>
      <x:c r="H1898" s="17" t="n">
        <x:v>6933</x:v>
      </x:c>
      <x:c r="I1898" s="17" t="str">
        <x:v>First attempt</x:v>
      </x:c>
      <x:c r="J1898" s="27" t="n">
        <x:f>INDEX('Model Pricing'!$B$7:$B$8,MATCH(F1898,'Model Pricing'!$A$7:$A$8,0))</x:f>
        <x:v>10</x:v>
      </x:c>
      <x:c r="K1898" s="27" t="n">
        <x:f>INDEX('Model Pricing'!$C$7:$C$8,MATCH(F1898,'Model Pricing'!$A$7:$A$8,0))</x:f>
        <x:v>30</x:v>
      </x:c>
      <x:c r="L1898" s="17" t="n">
        <x:f>G1898+H1898</x:f>
        <x:v>32071</x:v>
      </x:c>
      <x:c r="M1898" s="28" t="n">
        <x:f>G1898*J1898/1000000</x:f>
        <x:v>0.25138</x:v>
      </x:c>
      <x:c r="N1898" s="28" t="n">
        <x:f>H1898*K1898/1000000</x:f>
        <x:v>0.20799</x:v>
      </x:c>
      <x:c r="O1898" s="28" t="n">
        <x:f>SUM(M1898:N1898)</x:f>
        <x:v>0.45937</x:v>
      </x:c>
    </x:row>
    <x:row r="1899" ht="23" customHeight="1">
      <x:c r="A1899" s="17" t="str">
        <x:v>U01893</x:v>
      </x:c>
      <x:c r="B1899" s="18" t="n">
        <x:v>46269</x:v>
      </x:c>
      <x:c r="C1899" s="17" t="str">
        <x:v>W0133</x:v>
      </x:c>
      <x:c r="D1899" s="17" t="str">
        <x:v>C003</x:v>
      </x:c>
      <x:c r="E1899" s="17" t="str">
        <x:v>InsightDesk</x:v>
      </x:c>
      <x:c r="F1899" s="17" t="str">
        <x:v>Lite</x:v>
      </x:c>
      <x:c r="G1899" s="17" t="n">
        <x:v>33936</x:v>
      </x:c>
      <x:c r="H1899" s="17" t="n">
        <x:v>5918</x:v>
      </x:c>
      <x:c r="I1899" s="17" t="str">
        <x:v>Correction</x:v>
      </x:c>
      <x:c r="J1899" s="27" t="n">
        <x:f>INDEX('Model Pricing'!$B$7:$B$8,MATCH(F1899,'Model Pricing'!$A$7:$A$8,0))</x:f>
        <x:v>10</x:v>
      </x:c>
      <x:c r="K1899" s="27" t="n">
        <x:f>INDEX('Model Pricing'!$C$7:$C$8,MATCH(F1899,'Model Pricing'!$A$7:$A$8,0))</x:f>
        <x:v>30</x:v>
      </x:c>
      <x:c r="L1899" s="17" t="n">
        <x:f>G1899+H1899</x:f>
        <x:v>39854</x:v>
      </x:c>
      <x:c r="M1899" s="28" t="n">
        <x:f>G1899*J1899/1000000</x:f>
        <x:v>0.33936</x:v>
      </x:c>
      <x:c r="N1899" s="28" t="n">
        <x:f>H1899*K1899/1000000</x:f>
        <x:v>0.17754</x:v>
      </x:c>
      <x:c r="O1899" s="28" t="n">
        <x:f>SUM(M1899:N1899)</x:f>
        <x:v>0.5169</x:v>
      </x:c>
    </x:row>
    <x:row r="1900" ht="23" customHeight="1">
      <x:c r="A1900" s="17" t="str">
        <x:v>U01894</x:v>
      </x:c>
      <x:c r="B1900" s="18" t="n">
        <x:v>46269</x:v>
      </x:c>
      <x:c r="C1900" s="17" t="str">
        <x:v>W0133</x:v>
      </x:c>
      <x:c r="D1900" s="17" t="str">
        <x:v>C003</x:v>
      </x:c>
      <x:c r="E1900" s="17" t="str">
        <x:v>InsightDesk</x:v>
      </x:c>
      <x:c r="F1900" s="17" t="str">
        <x:v>Lite</x:v>
      </x:c>
      <x:c r="G1900" s="17" t="n">
        <x:v>18520</x:v>
      </x:c>
      <x:c r="H1900" s="17" t="n">
        <x:v>7862</x:v>
      </x:c>
      <x:c r="I1900" s="17" t="str">
        <x:v>Followup</x:v>
      </x:c>
      <x:c r="J1900" s="27" t="n">
        <x:f>INDEX('Model Pricing'!$B$7:$B$8,MATCH(F1900,'Model Pricing'!$A$7:$A$8,0))</x:f>
        <x:v>10</x:v>
      </x:c>
      <x:c r="K1900" s="27" t="n">
        <x:f>INDEX('Model Pricing'!$C$7:$C$8,MATCH(F1900,'Model Pricing'!$A$7:$A$8,0))</x:f>
        <x:v>30</x:v>
      </x:c>
      <x:c r="L1900" s="17" t="n">
        <x:f>G1900+H1900</x:f>
        <x:v>26382</x:v>
      </x:c>
      <x:c r="M1900" s="28" t="n">
        <x:f>G1900*J1900/1000000</x:f>
        <x:v>0.1852</x:v>
      </x:c>
      <x:c r="N1900" s="28" t="n">
        <x:f>H1900*K1900/1000000</x:f>
        <x:v>0.23586</x:v>
      </x:c>
      <x:c r="O1900" s="28" t="n">
        <x:f>SUM(M1900:N1900)</x:f>
        <x:v>0.42106</x:v>
      </x:c>
    </x:row>
    <x:row r="1901" ht="23" customHeight="1">
      <x:c r="A1901" s="17" t="str">
        <x:v>U01895</x:v>
      </x:c>
      <x:c r="B1901" s="18" t="n">
        <x:v>46269</x:v>
      </x:c>
      <x:c r="C1901" s="17" t="str">
        <x:v>W0133</x:v>
      </x:c>
      <x:c r="D1901" s="17" t="str">
        <x:v>C003</x:v>
      </x:c>
      <x:c r="E1901" s="17" t="str">
        <x:v>InsightDesk</x:v>
      </x:c>
      <x:c r="F1901" s="17" t="str">
        <x:v>Lite</x:v>
      </x:c>
      <x:c r="G1901" s="17" t="n">
        <x:v>35284</x:v>
      </x:c>
      <x:c r="H1901" s="17" t="n">
        <x:v>2378</x:v>
      </x:c>
      <x:c r="I1901" s="17" t="str">
        <x:v>Correction</x:v>
      </x:c>
      <x:c r="J1901" s="27" t="n">
        <x:f>INDEX('Model Pricing'!$B$7:$B$8,MATCH(F1901,'Model Pricing'!$A$7:$A$8,0))</x:f>
        <x:v>10</x:v>
      </x:c>
      <x:c r="K1901" s="27" t="n">
        <x:f>INDEX('Model Pricing'!$C$7:$C$8,MATCH(F1901,'Model Pricing'!$A$7:$A$8,0))</x:f>
        <x:v>30</x:v>
      </x:c>
      <x:c r="L1901" s="17" t="n">
        <x:f>G1901+H1901</x:f>
        <x:v>37662</x:v>
      </x:c>
      <x:c r="M1901" s="28" t="n">
        <x:f>G1901*J1901/1000000</x:f>
        <x:v>0.35284</x:v>
      </x:c>
      <x:c r="N1901" s="28" t="n">
        <x:f>H1901*K1901/1000000</x:f>
        <x:v>0.07134</x:v>
      </x:c>
      <x:c r="O1901" s="28" t="n">
        <x:f>SUM(M1901:N1901)</x:f>
        <x:v>0.42418</x:v>
      </x:c>
    </x:row>
    <x:row r="1902" ht="23" customHeight="1">
      <x:c r="A1902" s="17" t="str">
        <x:v>U01896</x:v>
      </x:c>
      <x:c r="B1902" s="18" t="n">
        <x:v>46273</x:v>
      </x:c>
      <x:c r="C1902" s="17" t="str">
        <x:v>W0133</x:v>
      </x:c>
      <x:c r="D1902" s="17" t="str">
        <x:v>C003</x:v>
      </x:c>
      <x:c r="E1902" s="17" t="str">
        <x:v>InsightDesk</x:v>
      </x:c>
      <x:c r="F1902" s="17" t="str">
        <x:v>Lite</x:v>
      </x:c>
      <x:c r="G1902" s="17" t="n">
        <x:v>27810</x:v>
      </x:c>
      <x:c r="H1902" s="17" t="n">
        <x:v>4894</x:v>
      </x:c>
      <x:c r="I1902" s="17" t="str">
        <x:v>Followup</x:v>
      </x:c>
      <x:c r="J1902" s="27" t="n">
        <x:f>INDEX('Model Pricing'!$B$7:$B$8,MATCH(F1902,'Model Pricing'!$A$7:$A$8,0))</x:f>
        <x:v>10</x:v>
      </x:c>
      <x:c r="K1902" s="27" t="n">
        <x:f>INDEX('Model Pricing'!$C$7:$C$8,MATCH(F1902,'Model Pricing'!$A$7:$A$8,0))</x:f>
        <x:v>30</x:v>
      </x:c>
      <x:c r="L1902" s="17" t="n">
        <x:f>G1902+H1902</x:f>
        <x:v>32704</x:v>
      </x:c>
      <x:c r="M1902" s="28" t="n">
        <x:f>G1902*J1902/1000000</x:f>
        <x:v>0.2781</x:v>
      </x:c>
      <x:c r="N1902" s="28" t="n">
        <x:f>H1902*K1902/1000000</x:f>
        <x:v>0.14682</x:v>
      </x:c>
      <x:c r="O1902" s="28" t="n">
        <x:f>SUM(M1902:N1902)</x:f>
        <x:v>0.42492</x:v>
      </x:c>
    </x:row>
    <x:row r="1903" ht="23" customHeight="1">
      <x:c r="A1903" s="17" t="str">
        <x:v>U01897</x:v>
      </x:c>
      <x:c r="B1903" s="18" t="n">
        <x:v>46273</x:v>
      </x:c>
      <x:c r="C1903" s="17" t="str">
        <x:v>W0133</x:v>
      </x:c>
      <x:c r="D1903" s="17" t="str">
        <x:v>C003</x:v>
      </x:c>
      <x:c r="E1903" s="17" t="str">
        <x:v>InsightDesk</x:v>
      </x:c>
      <x:c r="F1903" s="17" t="str">
        <x:v>Lite</x:v>
      </x:c>
      <x:c r="G1903" s="17" t="n">
        <x:v>15829</x:v>
      </x:c>
      <x:c r="H1903" s="17" t="n">
        <x:v>3720</x:v>
      </x:c>
      <x:c r="I1903" s="17" t="str">
        <x:v>Followup</x:v>
      </x:c>
      <x:c r="J1903" s="27" t="n">
        <x:f>INDEX('Model Pricing'!$B$7:$B$8,MATCH(F1903,'Model Pricing'!$A$7:$A$8,0))</x:f>
        <x:v>10</x:v>
      </x:c>
      <x:c r="K1903" s="27" t="n">
        <x:f>INDEX('Model Pricing'!$C$7:$C$8,MATCH(F1903,'Model Pricing'!$A$7:$A$8,0))</x:f>
        <x:v>30</x:v>
      </x:c>
      <x:c r="L1903" s="17" t="n">
        <x:f>G1903+H1903</x:f>
        <x:v>19549</x:v>
      </x:c>
      <x:c r="M1903" s="28" t="n">
        <x:f>G1903*J1903/1000000</x:f>
        <x:v>0.15829</x:v>
      </x:c>
      <x:c r="N1903" s="28" t="n">
        <x:f>H1903*K1903/1000000</x:f>
        <x:v>0.1116</x:v>
      </x:c>
      <x:c r="O1903" s="28" t="n">
        <x:f>SUM(M1903:N1903)</x:f>
        <x:v>0.26988999999999996</x:v>
      </x:c>
    </x:row>
    <x:row r="1904" ht="23" customHeight="1">
      <x:c r="A1904" s="17" t="str">
        <x:v>U01898</x:v>
      </x:c>
      <x:c r="B1904" s="18" t="n">
        <x:v>46273</x:v>
      </x:c>
      <x:c r="C1904" s="17" t="str">
        <x:v>W0133</x:v>
      </x:c>
      <x:c r="D1904" s="17" t="str">
        <x:v>C003</x:v>
      </x:c>
      <x:c r="E1904" s="17" t="str">
        <x:v>InsightDesk</x:v>
      </x:c>
      <x:c r="F1904" s="17" t="str">
        <x:v>Lite</x:v>
      </x:c>
      <x:c r="G1904" s="17" t="n">
        <x:v>14425</x:v>
      </x:c>
      <x:c r="H1904" s="17" t="n">
        <x:v>4924</x:v>
      </x:c>
      <x:c r="I1904" s="17" t="str">
        <x:v>Correction</x:v>
      </x:c>
      <x:c r="J1904" s="27" t="n">
        <x:f>INDEX('Model Pricing'!$B$7:$B$8,MATCH(F1904,'Model Pricing'!$A$7:$A$8,0))</x:f>
        <x:v>10</x:v>
      </x:c>
      <x:c r="K1904" s="27" t="n">
        <x:f>INDEX('Model Pricing'!$C$7:$C$8,MATCH(F1904,'Model Pricing'!$A$7:$A$8,0))</x:f>
        <x:v>30</x:v>
      </x:c>
      <x:c r="L1904" s="17" t="n">
        <x:f>G1904+H1904</x:f>
        <x:v>19349</x:v>
      </x:c>
      <x:c r="M1904" s="28" t="n">
        <x:f>G1904*J1904/1000000</x:f>
        <x:v>0.14425</x:v>
      </x:c>
      <x:c r="N1904" s="28" t="n">
        <x:f>H1904*K1904/1000000</x:f>
        <x:v>0.14772</x:v>
      </x:c>
      <x:c r="O1904" s="28" t="n">
        <x:f>SUM(M1904:N1904)</x:f>
        <x:v>0.29196999999999995</x:v>
      </x:c>
    </x:row>
    <x:row r="1905" ht="23" customHeight="1">
      <x:c r="A1905" s="17" t="str">
        <x:v>U01899</x:v>
      </x:c>
      <x:c r="B1905" s="18" t="n">
        <x:v>46274</x:v>
      </x:c>
      <x:c r="C1905" s="17" t="str">
        <x:v>W0133</x:v>
      </x:c>
      <x:c r="D1905" s="17" t="str">
        <x:v>C003</x:v>
      </x:c>
      <x:c r="E1905" s="17" t="str">
        <x:v>InsightDesk</x:v>
      </x:c>
      <x:c r="F1905" s="17" t="str">
        <x:v>Lite</x:v>
      </x:c>
      <x:c r="G1905" s="17" t="n">
        <x:v>28199</x:v>
      </x:c>
      <x:c r="H1905" s="17" t="n">
        <x:v>7031</x:v>
      </x:c>
      <x:c r="I1905" s="17" t="str">
        <x:v>Followup</x:v>
      </x:c>
      <x:c r="J1905" s="27" t="n">
        <x:f>INDEX('Model Pricing'!$B$7:$B$8,MATCH(F1905,'Model Pricing'!$A$7:$A$8,0))</x:f>
        <x:v>10</x:v>
      </x:c>
      <x:c r="K1905" s="27" t="n">
        <x:f>INDEX('Model Pricing'!$C$7:$C$8,MATCH(F1905,'Model Pricing'!$A$7:$A$8,0))</x:f>
        <x:v>30</x:v>
      </x:c>
      <x:c r="L1905" s="17" t="n">
        <x:f>G1905+H1905</x:f>
        <x:v>35230</x:v>
      </x:c>
      <x:c r="M1905" s="28" t="n">
        <x:f>G1905*J1905/1000000</x:f>
        <x:v>0.28199</x:v>
      </x:c>
      <x:c r="N1905" s="28" t="n">
        <x:f>H1905*K1905/1000000</x:f>
        <x:v>0.21093</x:v>
      </x:c>
      <x:c r="O1905" s="28" t="n">
        <x:f>SUM(M1905:N1905)</x:f>
        <x:v>0.49292</x:v>
      </x:c>
    </x:row>
    <x:row r="1906" ht="23" customHeight="1">
      <x:c r="A1906" s="17" t="str">
        <x:v>U01900</x:v>
      </x:c>
      <x:c r="B1906" s="18" t="n">
        <x:v>46274</x:v>
      </x:c>
      <x:c r="C1906" s="17" t="str">
        <x:v>W0133</x:v>
      </x:c>
      <x:c r="D1906" s="17" t="str">
        <x:v>C003</x:v>
      </x:c>
      <x:c r="E1906" s="17" t="str">
        <x:v>InsightDesk</x:v>
      </x:c>
      <x:c r="F1906" s="17" t="str">
        <x:v>Lite</x:v>
      </x:c>
      <x:c r="G1906" s="17" t="n">
        <x:v>41213</x:v>
      </x:c>
      <x:c r="H1906" s="17" t="n">
        <x:v>4698</x:v>
      </x:c>
      <x:c r="I1906" s="17" t="str">
        <x:v>Followup</x:v>
      </x:c>
      <x:c r="J1906" s="27" t="n">
        <x:f>INDEX('Model Pricing'!$B$7:$B$8,MATCH(F1906,'Model Pricing'!$A$7:$A$8,0))</x:f>
        <x:v>10</x:v>
      </x:c>
      <x:c r="K1906" s="27" t="n">
        <x:f>INDEX('Model Pricing'!$C$7:$C$8,MATCH(F1906,'Model Pricing'!$A$7:$A$8,0))</x:f>
        <x:v>30</x:v>
      </x:c>
      <x:c r="L1906" s="17" t="n">
        <x:f>G1906+H1906</x:f>
        <x:v>45911</x:v>
      </x:c>
      <x:c r="M1906" s="28" t="n">
        <x:f>G1906*J1906/1000000</x:f>
        <x:v>0.41213</x:v>
      </x:c>
      <x:c r="N1906" s="28" t="n">
        <x:f>H1906*K1906/1000000</x:f>
        <x:v>0.14094</x:v>
      </x:c>
      <x:c r="O1906" s="28" t="n">
        <x:f>SUM(M1906:N1906)</x:f>
        <x:v>0.55307</x:v>
      </x:c>
    </x:row>
    <x:row r="1907" ht="23" customHeight="1">
      <x:c r="A1907" s="17" t="str">
        <x:v>U01901</x:v>
      </x:c>
      <x:c r="B1907" s="18" t="n">
        <x:v>46274</x:v>
      </x:c>
      <x:c r="C1907" s="17" t="str">
        <x:v>W0133</x:v>
      </x:c>
      <x:c r="D1907" s="17" t="str">
        <x:v>C003</x:v>
      </x:c>
      <x:c r="E1907" s="17" t="str">
        <x:v>InsightDesk</x:v>
      </x:c>
      <x:c r="F1907" s="17" t="str">
        <x:v>Lite</x:v>
      </x:c>
      <x:c r="G1907" s="17" t="n">
        <x:v>38528</x:v>
      </x:c>
      <x:c r="H1907" s="17" t="n">
        <x:v>6026</x:v>
      </x:c>
      <x:c r="I1907" s="17" t="str">
        <x:v>Followup</x:v>
      </x:c>
      <x:c r="J1907" s="27" t="n">
        <x:f>INDEX('Model Pricing'!$B$7:$B$8,MATCH(F1907,'Model Pricing'!$A$7:$A$8,0))</x:f>
        <x:v>10</x:v>
      </x:c>
      <x:c r="K1907" s="27" t="n">
        <x:f>INDEX('Model Pricing'!$C$7:$C$8,MATCH(F1907,'Model Pricing'!$A$7:$A$8,0))</x:f>
        <x:v>30</x:v>
      </x:c>
      <x:c r="L1907" s="17" t="n">
        <x:f>G1907+H1907</x:f>
        <x:v>44554</x:v>
      </x:c>
      <x:c r="M1907" s="28" t="n">
        <x:f>G1907*J1907/1000000</x:f>
        <x:v>0.38528</x:v>
      </x:c>
      <x:c r="N1907" s="28" t="n">
        <x:f>H1907*K1907/1000000</x:f>
        <x:v>0.18078</x:v>
      </x:c>
      <x:c r="O1907" s="28" t="n">
        <x:f>SUM(M1907:N1907)</x:f>
        <x:v>0.56606</x:v>
      </x:c>
    </x:row>
    <x:row r="1908" ht="23" customHeight="1">
      <x:c r="A1908" s="17" t="str">
        <x:v>U01902</x:v>
      </x:c>
      <x:c r="B1908" s="18" t="n">
        <x:v>46275</x:v>
      </x:c>
      <x:c r="C1908" s="17" t="str">
        <x:v>W0133</x:v>
      </x:c>
      <x:c r="D1908" s="17" t="str">
        <x:v>C003</x:v>
      </x:c>
      <x:c r="E1908" s="17" t="str">
        <x:v>InsightDesk</x:v>
      </x:c>
      <x:c r="F1908" s="17" t="str">
        <x:v>Lite</x:v>
      </x:c>
      <x:c r="G1908" s="17" t="n">
        <x:v>33052</x:v>
      </x:c>
      <x:c r="H1908" s="17" t="n">
        <x:v>7571</x:v>
      </x:c>
      <x:c r="I1908" s="17" t="str">
        <x:v>Followup</x:v>
      </x:c>
      <x:c r="J1908" s="27" t="n">
        <x:f>INDEX('Model Pricing'!$B$7:$B$8,MATCH(F1908,'Model Pricing'!$A$7:$A$8,0))</x:f>
        <x:v>10</x:v>
      </x:c>
      <x:c r="K1908" s="27" t="n">
        <x:f>INDEX('Model Pricing'!$C$7:$C$8,MATCH(F1908,'Model Pricing'!$A$7:$A$8,0))</x:f>
        <x:v>30</x:v>
      </x:c>
      <x:c r="L1908" s="17" t="n">
        <x:f>G1908+H1908</x:f>
        <x:v>40623</x:v>
      </x:c>
      <x:c r="M1908" s="28" t="n">
        <x:f>G1908*J1908/1000000</x:f>
        <x:v>0.33052</x:v>
      </x:c>
      <x:c r="N1908" s="28" t="n">
        <x:f>H1908*K1908/1000000</x:f>
        <x:v>0.22713</x:v>
      </x:c>
      <x:c r="O1908" s="28" t="n">
        <x:f>SUM(M1908:N1908)</x:f>
        <x:v>0.55765</x:v>
      </x:c>
    </x:row>
    <x:row r="1909" ht="23" customHeight="1">
      <x:c r="A1909" s="17" t="str">
        <x:v>U01903</x:v>
      </x:c>
      <x:c r="B1909" s="18" t="n">
        <x:v>46275</x:v>
      </x:c>
      <x:c r="C1909" s="17" t="str">
        <x:v>W0133</x:v>
      </x:c>
      <x:c r="D1909" s="17" t="str">
        <x:v>C003</x:v>
      </x:c>
      <x:c r="E1909" s="17" t="str">
        <x:v>InsightDesk</x:v>
      </x:c>
      <x:c r="F1909" s="17" t="str">
        <x:v>Lite</x:v>
      </x:c>
      <x:c r="G1909" s="17" t="n">
        <x:v>32063</x:v>
      </x:c>
      <x:c r="H1909" s="17" t="n">
        <x:v>7181</x:v>
      </x:c>
      <x:c r="I1909" s="17" t="str">
        <x:v>Followup</x:v>
      </x:c>
      <x:c r="J1909" s="27" t="n">
        <x:f>INDEX('Model Pricing'!$B$7:$B$8,MATCH(F1909,'Model Pricing'!$A$7:$A$8,0))</x:f>
        <x:v>10</x:v>
      </x:c>
      <x:c r="K1909" s="27" t="n">
        <x:f>INDEX('Model Pricing'!$C$7:$C$8,MATCH(F1909,'Model Pricing'!$A$7:$A$8,0))</x:f>
        <x:v>30</x:v>
      </x:c>
      <x:c r="L1909" s="17" t="n">
        <x:f>G1909+H1909</x:f>
        <x:v>39244</x:v>
      </x:c>
      <x:c r="M1909" s="28" t="n">
        <x:f>G1909*J1909/1000000</x:f>
        <x:v>0.32063</x:v>
      </x:c>
      <x:c r="N1909" s="28" t="n">
        <x:f>H1909*K1909/1000000</x:f>
        <x:v>0.21543</x:v>
      </x:c>
      <x:c r="O1909" s="28" t="n">
        <x:f>SUM(M1909:N1909)</x:f>
        <x:v>0.53606</x:v>
      </x:c>
    </x:row>
    <x:row r="1910" ht="23" customHeight="1">
      <x:c r="A1910" s="17" t="str">
        <x:v>U01904</x:v>
      </x:c>
      <x:c r="B1910" s="18" t="n">
        <x:v>46275</x:v>
      </x:c>
      <x:c r="C1910" s="17" t="str">
        <x:v>W0133</x:v>
      </x:c>
      <x:c r="D1910" s="17" t="str">
        <x:v>C003</x:v>
      </x:c>
      <x:c r="E1910" s="17" t="str">
        <x:v>InsightDesk</x:v>
      </x:c>
      <x:c r="F1910" s="17" t="str">
        <x:v>Lite</x:v>
      </x:c>
      <x:c r="G1910" s="17" t="n">
        <x:v>17531</x:v>
      </x:c>
      <x:c r="H1910" s="17" t="n">
        <x:v>7703</x:v>
      </x:c>
      <x:c r="I1910" s="17" t="str">
        <x:v>Followup</x:v>
      </x:c>
      <x:c r="J1910" s="27" t="n">
        <x:f>INDEX('Model Pricing'!$B$7:$B$8,MATCH(F1910,'Model Pricing'!$A$7:$A$8,0))</x:f>
        <x:v>10</x:v>
      </x:c>
      <x:c r="K1910" s="27" t="n">
        <x:f>INDEX('Model Pricing'!$C$7:$C$8,MATCH(F1910,'Model Pricing'!$A$7:$A$8,0))</x:f>
        <x:v>30</x:v>
      </x:c>
      <x:c r="L1910" s="17" t="n">
        <x:f>G1910+H1910</x:f>
        <x:v>25234</x:v>
      </x:c>
      <x:c r="M1910" s="28" t="n">
        <x:f>G1910*J1910/1000000</x:f>
        <x:v>0.17531</x:v>
      </x:c>
      <x:c r="N1910" s="28" t="n">
        <x:f>H1910*K1910/1000000</x:f>
        <x:v>0.23109</x:v>
      </x:c>
      <x:c r="O1910" s="28" t="n">
        <x:f>SUM(M1910:N1910)</x:f>
        <x:v>0.4064</x:v>
      </x:c>
    </x:row>
    <x:row r="1911" ht="23" customHeight="1">
      <x:c r="A1911" s="17" t="str">
        <x:v>U01905</x:v>
      </x:c>
      <x:c r="B1911" s="18" t="n">
        <x:v>46281</x:v>
      </x:c>
      <x:c r="C1911" s="17" t="str">
        <x:v>W0134</x:v>
      </x:c>
      <x:c r="D1911" s="17" t="str">
        <x:v>C003</x:v>
      </x:c>
      <x:c r="E1911" s="17" t="str">
        <x:v>CopyStudio</x:v>
      </x:c>
      <x:c r="F1911" s="17" t="str">
        <x:v>Lite</x:v>
      </x:c>
      <x:c r="G1911" s="17" t="n">
        <x:v>24666</x:v>
      </x:c>
      <x:c r="H1911" s="17" t="n">
        <x:v>3958</x:v>
      </x:c>
      <x:c r="I1911" s="17" t="str">
        <x:v>First attempt</x:v>
      </x:c>
      <x:c r="J1911" s="27" t="n">
        <x:f>INDEX('Model Pricing'!$B$7:$B$8,MATCH(F1911,'Model Pricing'!$A$7:$A$8,0))</x:f>
        <x:v>10</x:v>
      </x:c>
      <x:c r="K1911" s="27" t="n">
        <x:f>INDEX('Model Pricing'!$C$7:$C$8,MATCH(F1911,'Model Pricing'!$A$7:$A$8,0))</x:f>
        <x:v>30</x:v>
      </x:c>
      <x:c r="L1911" s="17" t="n">
        <x:f>G1911+H1911</x:f>
        <x:v>28624</x:v>
      </x:c>
      <x:c r="M1911" s="28" t="n">
        <x:f>G1911*J1911/1000000</x:f>
        <x:v>0.24666</x:v>
      </x:c>
      <x:c r="N1911" s="28" t="n">
        <x:f>H1911*K1911/1000000</x:f>
        <x:v>0.11874</x:v>
      </x:c>
      <x:c r="O1911" s="28" t="n">
        <x:f>SUM(M1911:N1911)</x:f>
        <x:v>0.3654</x:v>
      </x:c>
    </x:row>
    <x:row r="1912" ht="23" customHeight="1">
      <x:c r="A1912" s="17" t="str">
        <x:v>U01906</x:v>
      </x:c>
      <x:c r="B1912" s="18" t="n">
        <x:v>46281</x:v>
      </x:c>
      <x:c r="C1912" s="17" t="str">
        <x:v>W0134</x:v>
      </x:c>
      <x:c r="D1912" s="17" t="str">
        <x:v>C003</x:v>
      </x:c>
      <x:c r="E1912" s="17" t="str">
        <x:v>CopyStudio</x:v>
      </x:c>
      <x:c r="F1912" s="17" t="str">
        <x:v>Lite</x:v>
      </x:c>
      <x:c r="G1912" s="17" t="n">
        <x:v>28102</x:v>
      </x:c>
      <x:c r="H1912" s="17" t="n">
        <x:v>2463</x:v>
      </x:c>
      <x:c r="I1912" s="17" t="str">
        <x:v>Followup</x:v>
      </x:c>
      <x:c r="J1912" s="27" t="n">
        <x:f>INDEX('Model Pricing'!$B$7:$B$8,MATCH(F1912,'Model Pricing'!$A$7:$A$8,0))</x:f>
        <x:v>10</x:v>
      </x:c>
      <x:c r="K1912" s="27" t="n">
        <x:f>INDEX('Model Pricing'!$C$7:$C$8,MATCH(F1912,'Model Pricing'!$A$7:$A$8,0))</x:f>
        <x:v>30</x:v>
      </x:c>
      <x:c r="L1912" s="17" t="n">
        <x:f>G1912+H1912</x:f>
        <x:v>30565</x:v>
      </x:c>
      <x:c r="M1912" s="28" t="n">
        <x:f>G1912*J1912/1000000</x:f>
        <x:v>0.28102</x:v>
      </x:c>
      <x:c r="N1912" s="28" t="n">
        <x:f>H1912*K1912/1000000</x:f>
        <x:v>0.07389</x:v>
      </x:c>
      <x:c r="O1912" s="28" t="n">
        <x:f>SUM(M1912:N1912)</x:f>
        <x:v>0.35491</x:v>
      </x:c>
    </x:row>
    <x:row r="1913" ht="23" customHeight="1">
      <x:c r="A1913" s="17" t="str">
        <x:v>U01907</x:v>
      </x:c>
      <x:c r="B1913" s="18" t="n">
        <x:v>46281</x:v>
      </x:c>
      <x:c r="C1913" s="17" t="str">
        <x:v>W0134</x:v>
      </x:c>
      <x:c r="D1913" s="17" t="str">
        <x:v>C003</x:v>
      </x:c>
      <x:c r="E1913" s="17" t="str">
        <x:v>CopyStudio</x:v>
      </x:c>
      <x:c r="F1913" s="17" t="str">
        <x:v>Lite</x:v>
      </x:c>
      <x:c r="G1913" s="17" t="n">
        <x:v>39974</x:v>
      </x:c>
      <x:c r="H1913" s="17" t="n">
        <x:v>7392</x:v>
      </x:c>
      <x:c r="I1913" s="17" t="str">
        <x:v>Followup</x:v>
      </x:c>
      <x:c r="J1913" s="27" t="n">
        <x:f>INDEX('Model Pricing'!$B$7:$B$8,MATCH(F1913,'Model Pricing'!$A$7:$A$8,0))</x:f>
        <x:v>10</x:v>
      </x:c>
      <x:c r="K1913" s="27" t="n">
        <x:f>INDEX('Model Pricing'!$C$7:$C$8,MATCH(F1913,'Model Pricing'!$A$7:$A$8,0))</x:f>
        <x:v>30</x:v>
      </x:c>
      <x:c r="L1913" s="17" t="n">
        <x:f>G1913+H1913</x:f>
        <x:v>47366</x:v>
      </x:c>
      <x:c r="M1913" s="28" t="n">
        <x:f>G1913*J1913/1000000</x:f>
        <x:v>0.39974</x:v>
      </x:c>
      <x:c r="N1913" s="28" t="n">
        <x:f>H1913*K1913/1000000</x:f>
        <x:v>0.22176</x:v>
      </x:c>
      <x:c r="O1913" s="28" t="n">
        <x:f>SUM(M1913:N1913)</x:f>
        <x:v>0.6214999999999999</x:v>
      </x:c>
    </x:row>
    <x:row r="1914" ht="23" customHeight="1">
      <x:c r="A1914" s="17" t="str">
        <x:v>U01908</x:v>
      </x:c>
      <x:c r="B1914" s="18" t="n">
        <x:v>46281</x:v>
      </x:c>
      <x:c r="C1914" s="17" t="str">
        <x:v>W0134</x:v>
      </x:c>
      <x:c r="D1914" s="17" t="str">
        <x:v>C003</x:v>
      </x:c>
      <x:c r="E1914" s="17" t="str">
        <x:v>CopyStudio</x:v>
      </x:c>
      <x:c r="F1914" s="17" t="str">
        <x:v>Lite</x:v>
      </x:c>
      <x:c r="G1914" s="17" t="n">
        <x:v>31270</x:v>
      </x:c>
      <x:c r="H1914" s="17" t="n">
        <x:v>9235</x:v>
      </x:c>
      <x:c r="I1914" s="17" t="str">
        <x:v>Followup</x:v>
      </x:c>
      <x:c r="J1914" s="27" t="n">
        <x:f>INDEX('Model Pricing'!$B$7:$B$8,MATCH(F1914,'Model Pricing'!$A$7:$A$8,0))</x:f>
        <x:v>10</x:v>
      </x:c>
      <x:c r="K1914" s="27" t="n">
        <x:f>INDEX('Model Pricing'!$C$7:$C$8,MATCH(F1914,'Model Pricing'!$A$7:$A$8,0))</x:f>
        <x:v>30</x:v>
      </x:c>
      <x:c r="L1914" s="17" t="n">
        <x:f>G1914+H1914</x:f>
        <x:v>40505</x:v>
      </x:c>
      <x:c r="M1914" s="28" t="n">
        <x:f>G1914*J1914/1000000</x:f>
        <x:v>0.3127</x:v>
      </x:c>
      <x:c r="N1914" s="28" t="n">
        <x:f>H1914*K1914/1000000</x:f>
        <x:v>0.27705</x:v>
      </x:c>
      <x:c r="O1914" s="28" t="n">
        <x:f>SUM(M1914:N1914)</x:f>
        <x:v>0.58975</x:v>
      </x:c>
    </x:row>
    <x:row r="1915" ht="23" customHeight="1">
      <x:c r="A1915" s="17" t="str">
        <x:v>U01909</x:v>
      </x:c>
      <x:c r="B1915" s="18" t="n">
        <x:v>46282</x:v>
      </x:c>
      <x:c r="C1915" s="17" t="str">
        <x:v>W0134</x:v>
      </x:c>
      <x:c r="D1915" s="17" t="str">
        <x:v>C003</x:v>
      </x:c>
      <x:c r="E1915" s="17" t="str">
        <x:v>CopyStudio</x:v>
      </x:c>
      <x:c r="F1915" s="17" t="str">
        <x:v>Lite</x:v>
      </x:c>
      <x:c r="G1915" s="17" t="n">
        <x:v>44432</x:v>
      </x:c>
      <x:c r="H1915" s="17" t="n">
        <x:v>7006</x:v>
      </x:c>
      <x:c r="I1915" s="17" t="str">
        <x:v>Correction</x:v>
      </x:c>
      <x:c r="J1915" s="27" t="n">
        <x:f>INDEX('Model Pricing'!$B$7:$B$8,MATCH(F1915,'Model Pricing'!$A$7:$A$8,0))</x:f>
        <x:v>10</x:v>
      </x:c>
      <x:c r="K1915" s="27" t="n">
        <x:f>INDEX('Model Pricing'!$C$7:$C$8,MATCH(F1915,'Model Pricing'!$A$7:$A$8,0))</x:f>
        <x:v>30</x:v>
      </x:c>
      <x:c r="L1915" s="17" t="n">
        <x:f>G1915+H1915</x:f>
        <x:v>51438</x:v>
      </x:c>
      <x:c r="M1915" s="28" t="n">
        <x:f>G1915*J1915/1000000</x:f>
        <x:v>0.44432</x:v>
      </x:c>
      <x:c r="N1915" s="28" t="n">
        <x:f>H1915*K1915/1000000</x:f>
        <x:v>0.21018</x:v>
      </x:c>
      <x:c r="O1915" s="28" t="n">
        <x:f>SUM(M1915:N1915)</x:f>
        <x:v>0.6545</x:v>
      </x:c>
    </x:row>
    <x:row r="1916" ht="23" customHeight="1">
      <x:c r="A1916" s="17" t="str">
        <x:v>U01910</x:v>
      </x:c>
      <x:c r="B1916" s="18" t="n">
        <x:v>46282</x:v>
      </x:c>
      <x:c r="C1916" s="17" t="str">
        <x:v>W0134</x:v>
      </x:c>
      <x:c r="D1916" s="17" t="str">
        <x:v>C003</x:v>
      </x:c>
      <x:c r="E1916" s="17" t="str">
        <x:v>CopyStudio</x:v>
      </x:c>
      <x:c r="F1916" s="17" t="str">
        <x:v>Lite</x:v>
      </x:c>
      <x:c r="G1916" s="17" t="n">
        <x:v>19740</x:v>
      </x:c>
      <x:c r="H1916" s="17" t="n">
        <x:v>8940</x:v>
      </x:c>
      <x:c r="I1916" s="17" t="str">
        <x:v>Followup</x:v>
      </x:c>
      <x:c r="J1916" s="27" t="n">
        <x:f>INDEX('Model Pricing'!$B$7:$B$8,MATCH(F1916,'Model Pricing'!$A$7:$A$8,0))</x:f>
        <x:v>10</x:v>
      </x:c>
      <x:c r="K1916" s="27" t="n">
        <x:f>INDEX('Model Pricing'!$C$7:$C$8,MATCH(F1916,'Model Pricing'!$A$7:$A$8,0))</x:f>
        <x:v>30</x:v>
      </x:c>
      <x:c r="L1916" s="17" t="n">
        <x:f>G1916+H1916</x:f>
        <x:v>28680</x:v>
      </x:c>
      <x:c r="M1916" s="28" t="n">
        <x:f>G1916*J1916/1000000</x:f>
        <x:v>0.1974</x:v>
      </x:c>
      <x:c r="N1916" s="28" t="n">
        <x:f>H1916*K1916/1000000</x:f>
        <x:v>0.2682</x:v>
      </x:c>
      <x:c r="O1916" s="28" t="n">
        <x:f>SUM(M1916:N1916)</x:f>
        <x:v>0.4656</x:v>
      </x:c>
    </x:row>
    <x:row r="1917" ht="23" customHeight="1">
      <x:c r="A1917" s="17" t="str">
        <x:v>U01911</x:v>
      </x:c>
      <x:c r="B1917" s="18" t="n">
        <x:v>46282</x:v>
      </x:c>
      <x:c r="C1917" s="17" t="str">
        <x:v>W0134</x:v>
      </x:c>
      <x:c r="D1917" s="17" t="str">
        <x:v>C003</x:v>
      </x:c>
      <x:c r="E1917" s="17" t="str">
        <x:v>CopyStudio</x:v>
      </x:c>
      <x:c r="F1917" s="17" t="str">
        <x:v>Lite</x:v>
      </x:c>
      <x:c r="G1917" s="17" t="n">
        <x:v>32119</x:v>
      </x:c>
      <x:c r="H1917" s="17" t="n">
        <x:v>7947</x:v>
      </x:c>
      <x:c r="I1917" s="17" t="str">
        <x:v>Correction</x:v>
      </x:c>
      <x:c r="J1917" s="27" t="n">
        <x:f>INDEX('Model Pricing'!$B$7:$B$8,MATCH(F1917,'Model Pricing'!$A$7:$A$8,0))</x:f>
        <x:v>10</x:v>
      </x:c>
      <x:c r="K1917" s="27" t="n">
        <x:f>INDEX('Model Pricing'!$C$7:$C$8,MATCH(F1917,'Model Pricing'!$A$7:$A$8,0))</x:f>
        <x:v>30</x:v>
      </x:c>
      <x:c r="L1917" s="17" t="n">
        <x:f>G1917+H1917</x:f>
        <x:v>40066</x:v>
      </x:c>
      <x:c r="M1917" s="28" t="n">
        <x:f>G1917*J1917/1000000</x:f>
        <x:v>0.32119</x:v>
      </x:c>
      <x:c r="N1917" s="28" t="n">
        <x:f>H1917*K1917/1000000</x:f>
        <x:v>0.23841</x:v>
      </x:c>
      <x:c r="O1917" s="28" t="n">
        <x:f>SUM(M1917:N1917)</x:f>
        <x:v>0.5596</x:v>
      </x:c>
    </x:row>
    <x:row r="1918" ht="23" customHeight="1">
      <x:c r="A1918" s="17" t="str">
        <x:v>U01912</x:v>
      </x:c>
      <x:c r="B1918" s="18" t="n">
        <x:v>46283</x:v>
      </x:c>
      <x:c r="C1918" s="17" t="str">
        <x:v>W0134</x:v>
      </x:c>
      <x:c r="D1918" s="17" t="str">
        <x:v>C003</x:v>
      </x:c>
      <x:c r="E1918" s="17" t="str">
        <x:v>CopyStudio</x:v>
      </x:c>
      <x:c r="F1918" s="17" t="str">
        <x:v>Lite</x:v>
      </x:c>
      <x:c r="G1918" s="17" t="n">
        <x:v>33655</x:v>
      </x:c>
      <x:c r="H1918" s="17" t="n">
        <x:v>7066</x:v>
      </x:c>
      <x:c r="I1918" s="17" t="str">
        <x:v>Correction</x:v>
      </x:c>
      <x:c r="J1918" s="27" t="n">
        <x:f>INDEX('Model Pricing'!$B$7:$B$8,MATCH(F1918,'Model Pricing'!$A$7:$A$8,0))</x:f>
        <x:v>10</x:v>
      </x:c>
      <x:c r="K1918" s="27" t="n">
        <x:f>INDEX('Model Pricing'!$C$7:$C$8,MATCH(F1918,'Model Pricing'!$A$7:$A$8,0))</x:f>
        <x:v>30</x:v>
      </x:c>
      <x:c r="L1918" s="17" t="n">
        <x:f>G1918+H1918</x:f>
        <x:v>40721</x:v>
      </x:c>
      <x:c r="M1918" s="28" t="n">
        <x:f>G1918*J1918/1000000</x:f>
        <x:v>0.33655</x:v>
      </x:c>
      <x:c r="N1918" s="28" t="n">
        <x:f>H1918*K1918/1000000</x:f>
        <x:v>0.21198</x:v>
      </x:c>
      <x:c r="O1918" s="28" t="n">
        <x:f>SUM(M1918:N1918)</x:f>
        <x:v>0.54853</x:v>
      </x:c>
    </x:row>
    <x:row r="1919" ht="23" customHeight="1">
      <x:c r="A1919" s="17" t="str">
        <x:v>U01913</x:v>
      </x:c>
      <x:c r="B1919" s="18" t="n">
        <x:v>46283</x:v>
      </x:c>
      <x:c r="C1919" s="17" t="str">
        <x:v>W0134</x:v>
      </x:c>
      <x:c r="D1919" s="17" t="str">
        <x:v>C003</x:v>
      </x:c>
      <x:c r="E1919" s="17" t="str">
        <x:v>CopyStudio</x:v>
      </x:c>
      <x:c r="F1919" s="17" t="str">
        <x:v>Lite</x:v>
      </x:c>
      <x:c r="G1919" s="17" t="n">
        <x:v>16423</x:v>
      </x:c>
      <x:c r="H1919" s="17" t="n">
        <x:v>7187</x:v>
      </x:c>
      <x:c r="I1919" s="17" t="str">
        <x:v>Followup</x:v>
      </x:c>
      <x:c r="J1919" s="27" t="n">
        <x:f>INDEX('Model Pricing'!$B$7:$B$8,MATCH(F1919,'Model Pricing'!$A$7:$A$8,0))</x:f>
        <x:v>10</x:v>
      </x:c>
      <x:c r="K1919" s="27" t="n">
        <x:f>INDEX('Model Pricing'!$C$7:$C$8,MATCH(F1919,'Model Pricing'!$A$7:$A$8,0))</x:f>
        <x:v>30</x:v>
      </x:c>
      <x:c r="L1919" s="17" t="n">
        <x:f>G1919+H1919</x:f>
        <x:v>23610</x:v>
      </x:c>
      <x:c r="M1919" s="28" t="n">
        <x:f>G1919*J1919/1000000</x:f>
        <x:v>0.16423</x:v>
      </x:c>
      <x:c r="N1919" s="28" t="n">
        <x:f>H1919*K1919/1000000</x:f>
        <x:v>0.21561</x:v>
      </x:c>
      <x:c r="O1919" s="28" t="n">
        <x:f>SUM(M1919:N1919)</x:f>
        <x:v>0.37983999999999996</x:v>
      </x:c>
    </x:row>
    <x:row r="1920" ht="23" customHeight="1">
      <x:c r="A1920" s="17" t="str">
        <x:v>U01914</x:v>
      </x:c>
      <x:c r="B1920" s="18" t="n">
        <x:v>46283</x:v>
      </x:c>
      <x:c r="C1920" s="17" t="str">
        <x:v>W0134</x:v>
      </x:c>
      <x:c r="D1920" s="17" t="str">
        <x:v>C003</x:v>
      </x:c>
      <x:c r="E1920" s="17" t="str">
        <x:v>CopyStudio</x:v>
      </x:c>
      <x:c r="F1920" s="17" t="str">
        <x:v>Lite</x:v>
      </x:c>
      <x:c r="G1920" s="17" t="n">
        <x:v>30671</x:v>
      </x:c>
      <x:c r="H1920" s="17" t="n">
        <x:v>3309</x:v>
      </x:c>
      <x:c r="I1920" s="17" t="str">
        <x:v>Followup</x:v>
      </x:c>
      <x:c r="J1920" s="27" t="n">
        <x:f>INDEX('Model Pricing'!$B$7:$B$8,MATCH(F1920,'Model Pricing'!$A$7:$A$8,0))</x:f>
        <x:v>10</x:v>
      </x:c>
      <x:c r="K1920" s="27" t="n">
        <x:f>INDEX('Model Pricing'!$C$7:$C$8,MATCH(F1920,'Model Pricing'!$A$7:$A$8,0))</x:f>
        <x:v>30</x:v>
      </x:c>
      <x:c r="L1920" s="17" t="n">
        <x:f>G1920+H1920</x:f>
        <x:v>33980</x:v>
      </x:c>
      <x:c r="M1920" s="28" t="n">
        <x:f>G1920*J1920/1000000</x:f>
        <x:v>0.30671</x:v>
      </x:c>
      <x:c r="N1920" s="28" t="n">
        <x:f>H1920*K1920/1000000</x:f>
        <x:v>0.09927</x:v>
      </x:c>
      <x:c r="O1920" s="28" t="n">
        <x:f>SUM(M1920:N1920)</x:f>
        <x:v>0.40598</x:v>
      </x:c>
    </x:row>
    <x:row r="1921" ht="23" customHeight="1">
      <x:c r="A1921" s="17" t="str">
        <x:v>U01915</x:v>
      </x:c>
      <x:c r="B1921" s="18" t="n">
        <x:v>46283</x:v>
      </x:c>
      <x:c r="C1921" s="17" t="str">
        <x:v>W0134</x:v>
      </x:c>
      <x:c r="D1921" s="17" t="str">
        <x:v>C003</x:v>
      </x:c>
      <x:c r="E1921" s="17" t="str">
        <x:v>CopyStudio</x:v>
      </x:c>
      <x:c r="F1921" s="17" t="str">
        <x:v>Lite</x:v>
      </x:c>
      <x:c r="G1921" s="17" t="n">
        <x:v>16917</x:v>
      </x:c>
      <x:c r="H1921" s="17" t="n">
        <x:v>8833</x:v>
      </x:c>
      <x:c r="I1921" s="17" t="str">
        <x:v>Followup</x:v>
      </x:c>
      <x:c r="J1921" s="27" t="n">
        <x:f>INDEX('Model Pricing'!$B$7:$B$8,MATCH(F1921,'Model Pricing'!$A$7:$A$8,0))</x:f>
        <x:v>10</x:v>
      </x:c>
      <x:c r="K1921" s="27" t="n">
        <x:f>INDEX('Model Pricing'!$C$7:$C$8,MATCH(F1921,'Model Pricing'!$A$7:$A$8,0))</x:f>
        <x:v>30</x:v>
      </x:c>
      <x:c r="L1921" s="17" t="n">
        <x:f>G1921+H1921</x:f>
        <x:v>25750</x:v>
      </x:c>
      <x:c r="M1921" s="28" t="n">
        <x:f>G1921*J1921/1000000</x:f>
        <x:v>0.16917</x:v>
      </x:c>
      <x:c r="N1921" s="28" t="n">
        <x:f>H1921*K1921/1000000</x:f>
        <x:v>0.26499</x:v>
      </x:c>
      <x:c r="O1921" s="28" t="n">
        <x:f>SUM(M1921:N1921)</x:f>
        <x:v>0.43416</x:v>
      </x:c>
    </x:row>
    <x:row r="1922" ht="23" customHeight="1">
      <x:c r="A1922" s="17" t="str">
        <x:v>U01916</x:v>
      </x:c>
      <x:c r="B1922" s="18" t="n">
        <x:v>46286</x:v>
      </x:c>
      <x:c r="C1922" s="17" t="str">
        <x:v>W0134</x:v>
      </x:c>
      <x:c r="D1922" s="17" t="str">
        <x:v>C003</x:v>
      </x:c>
      <x:c r="E1922" s="17" t="str">
        <x:v>CopyStudio</x:v>
      </x:c>
      <x:c r="F1922" s="17" t="str">
        <x:v>Lite</x:v>
      </x:c>
      <x:c r="G1922" s="17" t="n">
        <x:v>28306</x:v>
      </x:c>
      <x:c r="H1922" s="17" t="n">
        <x:v>7039</x:v>
      </x:c>
      <x:c r="I1922" s="17" t="str">
        <x:v>Followup</x:v>
      </x:c>
      <x:c r="J1922" s="27" t="n">
        <x:f>INDEX('Model Pricing'!$B$7:$B$8,MATCH(F1922,'Model Pricing'!$A$7:$A$8,0))</x:f>
        <x:v>10</x:v>
      </x:c>
      <x:c r="K1922" s="27" t="n">
        <x:f>INDEX('Model Pricing'!$C$7:$C$8,MATCH(F1922,'Model Pricing'!$A$7:$A$8,0))</x:f>
        <x:v>30</x:v>
      </x:c>
      <x:c r="L1922" s="17" t="n">
        <x:f>G1922+H1922</x:f>
        <x:v>35345</x:v>
      </x:c>
      <x:c r="M1922" s="28" t="n">
        <x:f>G1922*J1922/1000000</x:f>
        <x:v>0.28306</x:v>
      </x:c>
      <x:c r="N1922" s="28" t="n">
        <x:f>H1922*K1922/1000000</x:f>
        <x:v>0.21117</x:v>
      </x:c>
      <x:c r="O1922" s="28" t="n">
        <x:f>SUM(M1922:N1922)</x:f>
        <x:v>0.49422999999999995</x:v>
      </x:c>
    </x:row>
    <x:row r="1923" ht="23" customHeight="1">
      <x:c r="A1923" s="17" t="str">
        <x:v>U01917</x:v>
      </x:c>
      <x:c r="B1923" s="18" t="n">
        <x:v>46286</x:v>
      </x:c>
      <x:c r="C1923" s="17" t="str">
        <x:v>W0134</x:v>
      </x:c>
      <x:c r="D1923" s="17" t="str">
        <x:v>C003</x:v>
      </x:c>
      <x:c r="E1923" s="17" t="str">
        <x:v>CopyStudio</x:v>
      </x:c>
      <x:c r="F1923" s="17" t="str">
        <x:v>Lite</x:v>
      </x:c>
      <x:c r="G1923" s="17" t="n">
        <x:v>21257</x:v>
      </x:c>
      <x:c r="H1923" s="17" t="n">
        <x:v>4498</x:v>
      </x:c>
      <x:c r="I1923" s="17" t="str">
        <x:v>Followup</x:v>
      </x:c>
      <x:c r="J1923" s="27" t="n">
        <x:f>INDEX('Model Pricing'!$B$7:$B$8,MATCH(F1923,'Model Pricing'!$A$7:$A$8,0))</x:f>
        <x:v>10</x:v>
      </x:c>
      <x:c r="K1923" s="27" t="n">
        <x:f>INDEX('Model Pricing'!$C$7:$C$8,MATCH(F1923,'Model Pricing'!$A$7:$A$8,0))</x:f>
        <x:v>30</x:v>
      </x:c>
      <x:c r="L1923" s="17" t="n">
        <x:f>G1923+H1923</x:f>
        <x:v>25755</x:v>
      </x:c>
      <x:c r="M1923" s="28" t="n">
        <x:f>G1923*J1923/1000000</x:f>
        <x:v>0.21257</x:v>
      </x:c>
      <x:c r="N1923" s="28" t="n">
        <x:f>H1923*K1923/1000000</x:f>
        <x:v>0.13494</x:v>
      </x:c>
      <x:c r="O1923" s="28" t="n">
        <x:f>SUM(M1923:N1923)</x:f>
        <x:v>0.34751</x:v>
      </x:c>
    </x:row>
    <x:row r="1924" ht="23" customHeight="1">
      <x:c r="A1924" s="17" t="str">
        <x:v>U01918</x:v>
      </x:c>
      <x:c r="B1924" s="18" t="n">
        <x:v>46286</x:v>
      </x:c>
      <x:c r="C1924" s="17" t="str">
        <x:v>W0134</x:v>
      </x:c>
      <x:c r="D1924" s="17" t="str">
        <x:v>C003</x:v>
      </x:c>
      <x:c r="E1924" s="17" t="str">
        <x:v>CopyStudio</x:v>
      </x:c>
      <x:c r="F1924" s="17" t="str">
        <x:v>Lite</x:v>
      </x:c>
      <x:c r="G1924" s="17" t="n">
        <x:v>43113</x:v>
      </x:c>
      <x:c r="H1924" s="17" t="n">
        <x:v>3293</x:v>
      </x:c>
      <x:c r="I1924" s="17" t="str">
        <x:v>Followup</x:v>
      </x:c>
      <x:c r="J1924" s="27" t="n">
        <x:f>INDEX('Model Pricing'!$B$7:$B$8,MATCH(F1924,'Model Pricing'!$A$7:$A$8,0))</x:f>
        <x:v>10</x:v>
      </x:c>
      <x:c r="K1924" s="27" t="n">
        <x:f>INDEX('Model Pricing'!$C$7:$C$8,MATCH(F1924,'Model Pricing'!$A$7:$A$8,0))</x:f>
        <x:v>30</x:v>
      </x:c>
      <x:c r="L1924" s="17" t="n">
        <x:f>G1924+H1924</x:f>
        <x:v>46406</x:v>
      </x:c>
      <x:c r="M1924" s="28" t="n">
        <x:f>G1924*J1924/1000000</x:f>
        <x:v>0.43113</x:v>
      </x:c>
      <x:c r="N1924" s="28" t="n">
        <x:f>H1924*K1924/1000000</x:f>
        <x:v>0.09879</x:v>
      </x:c>
      <x:c r="O1924" s="28" t="n">
        <x:f>SUM(M1924:N1924)</x:f>
        <x:v>0.5299200000000001</x:v>
      </x:c>
    </x:row>
    <x:row r="1925" ht="23" customHeight="1">
      <x:c r="A1925" s="17" t="str">
        <x:v>U01919</x:v>
      </x:c>
      <x:c r="B1925" s="18" t="n">
        <x:v>46290</x:v>
      </x:c>
      <x:c r="C1925" s="17" t="str">
        <x:v>W0135</x:v>
      </x:c>
      <x:c r="D1925" s="17" t="str">
        <x:v>C003</x:v>
      </x:c>
      <x:c r="E1925" s="17" t="str">
        <x:v>CopyStudio</x:v>
      </x:c>
      <x:c r="F1925" s="17" t="str">
        <x:v>Lite</x:v>
      </x:c>
      <x:c r="G1925" s="17" t="n">
        <x:v>24453</x:v>
      </x:c>
      <x:c r="H1925" s="17" t="n">
        <x:v>3647</x:v>
      </x:c>
      <x:c r="I1925" s="17" t="str">
        <x:v>First attempt</x:v>
      </x:c>
      <x:c r="J1925" s="27" t="n">
        <x:f>INDEX('Model Pricing'!$B$7:$B$8,MATCH(F1925,'Model Pricing'!$A$7:$A$8,0))</x:f>
        <x:v>10</x:v>
      </x:c>
      <x:c r="K1925" s="27" t="n">
        <x:f>INDEX('Model Pricing'!$C$7:$C$8,MATCH(F1925,'Model Pricing'!$A$7:$A$8,0))</x:f>
        <x:v>30</x:v>
      </x:c>
      <x:c r="L1925" s="17" t="n">
        <x:f>G1925+H1925</x:f>
        <x:v>28100</x:v>
      </x:c>
      <x:c r="M1925" s="28" t="n">
        <x:f>G1925*J1925/1000000</x:f>
        <x:v>0.24453</x:v>
      </x:c>
      <x:c r="N1925" s="28" t="n">
        <x:f>H1925*K1925/1000000</x:f>
        <x:v>0.10941</x:v>
      </x:c>
      <x:c r="O1925" s="28" t="n">
        <x:f>SUM(M1925:N1925)</x:f>
        <x:v>0.35394</x:v>
      </x:c>
    </x:row>
    <x:row r="1926" ht="23" customHeight="1">
      <x:c r="A1926" s="17" t="str">
        <x:v>U01920</x:v>
      </x:c>
      <x:c r="B1926" s="18" t="n">
        <x:v>46290</x:v>
      </x:c>
      <x:c r="C1926" s="17" t="str">
        <x:v>W0135</x:v>
      </x:c>
      <x:c r="D1926" s="17" t="str">
        <x:v>C003</x:v>
      </x:c>
      <x:c r="E1926" s="17" t="str">
        <x:v>CopyStudio</x:v>
      </x:c>
      <x:c r="F1926" s="17" t="str">
        <x:v>Lite</x:v>
      </x:c>
      <x:c r="G1926" s="17" t="n">
        <x:v>27279</x:v>
      </x:c>
      <x:c r="H1926" s="17" t="n">
        <x:v>3038</x:v>
      </x:c>
      <x:c r="I1926" s="17" t="str">
        <x:v>Followup</x:v>
      </x:c>
      <x:c r="J1926" s="27" t="n">
        <x:f>INDEX('Model Pricing'!$B$7:$B$8,MATCH(F1926,'Model Pricing'!$A$7:$A$8,0))</x:f>
        <x:v>10</x:v>
      </x:c>
      <x:c r="K1926" s="27" t="n">
        <x:f>INDEX('Model Pricing'!$C$7:$C$8,MATCH(F1926,'Model Pricing'!$A$7:$A$8,0))</x:f>
        <x:v>30</x:v>
      </x:c>
      <x:c r="L1926" s="17" t="n">
        <x:f>G1926+H1926</x:f>
        <x:v>30317</x:v>
      </x:c>
      <x:c r="M1926" s="28" t="n">
        <x:f>G1926*J1926/1000000</x:f>
        <x:v>0.27279</x:v>
      </x:c>
      <x:c r="N1926" s="28" t="n">
        <x:f>H1926*K1926/1000000</x:f>
        <x:v>0.09114</x:v>
      </x:c>
      <x:c r="O1926" s="28" t="n">
        <x:f>SUM(M1926:N1926)</x:f>
        <x:v>0.36393</x:v>
      </x:c>
    </x:row>
    <x:row r="1927" ht="23" customHeight="1">
      <x:c r="A1927" s="17" t="str">
        <x:v>U01921</x:v>
      </x:c>
      <x:c r="B1927" s="18" t="n">
        <x:v>46290</x:v>
      </x:c>
      <x:c r="C1927" s="17" t="str">
        <x:v>W0135</x:v>
      </x:c>
      <x:c r="D1927" s="17" t="str">
        <x:v>C003</x:v>
      </x:c>
      <x:c r="E1927" s="17" t="str">
        <x:v>CopyStudio</x:v>
      </x:c>
      <x:c r="F1927" s="17" t="str">
        <x:v>Lite</x:v>
      </x:c>
      <x:c r="G1927" s="17" t="n">
        <x:v>21383</x:v>
      </x:c>
      <x:c r="H1927" s="17" t="n">
        <x:v>3329</x:v>
      </x:c>
      <x:c r="I1927" s="17" t="str">
        <x:v>Followup</x:v>
      </x:c>
      <x:c r="J1927" s="27" t="n">
        <x:f>INDEX('Model Pricing'!$B$7:$B$8,MATCH(F1927,'Model Pricing'!$A$7:$A$8,0))</x:f>
        <x:v>10</x:v>
      </x:c>
      <x:c r="K1927" s="27" t="n">
        <x:f>INDEX('Model Pricing'!$C$7:$C$8,MATCH(F1927,'Model Pricing'!$A$7:$A$8,0))</x:f>
        <x:v>30</x:v>
      </x:c>
      <x:c r="L1927" s="17" t="n">
        <x:f>G1927+H1927</x:f>
        <x:v>24712</x:v>
      </x:c>
      <x:c r="M1927" s="28" t="n">
        <x:f>G1927*J1927/1000000</x:f>
        <x:v>0.21383</x:v>
      </x:c>
      <x:c r="N1927" s="28" t="n">
        <x:f>H1927*K1927/1000000</x:f>
        <x:v>0.09987</x:v>
      </x:c>
      <x:c r="O1927" s="28" t="n">
        <x:f>SUM(M1927:N1927)</x:f>
        <x:v>0.3137</x:v>
      </x:c>
    </x:row>
    <x:row r="1928" ht="23" customHeight="1">
      <x:c r="A1928" s="17" t="str">
        <x:v>U01922</x:v>
      </x:c>
      <x:c r="B1928" s="18" t="n">
        <x:v>46290</x:v>
      </x:c>
      <x:c r="C1928" s="17" t="str">
        <x:v>W0135</x:v>
      </x:c>
      <x:c r="D1928" s="17" t="str">
        <x:v>C003</x:v>
      </x:c>
      <x:c r="E1928" s="17" t="str">
        <x:v>CopyStudio</x:v>
      </x:c>
      <x:c r="F1928" s="17" t="str">
        <x:v>Lite</x:v>
      </x:c>
      <x:c r="G1928" s="17" t="n">
        <x:v>30831</x:v>
      </x:c>
      <x:c r="H1928" s="17" t="n">
        <x:v>2595</x:v>
      </x:c>
      <x:c r="I1928" s="17" t="str">
        <x:v>Followup</x:v>
      </x:c>
      <x:c r="J1928" s="27" t="n">
        <x:f>INDEX('Model Pricing'!$B$7:$B$8,MATCH(F1928,'Model Pricing'!$A$7:$A$8,0))</x:f>
        <x:v>10</x:v>
      </x:c>
      <x:c r="K1928" s="27" t="n">
        <x:f>INDEX('Model Pricing'!$C$7:$C$8,MATCH(F1928,'Model Pricing'!$A$7:$A$8,0))</x:f>
        <x:v>30</x:v>
      </x:c>
      <x:c r="L1928" s="17" t="n">
        <x:f>G1928+H1928</x:f>
        <x:v>33426</x:v>
      </x:c>
      <x:c r="M1928" s="28" t="n">
        <x:f>G1928*J1928/1000000</x:f>
        <x:v>0.30831</x:v>
      </x:c>
      <x:c r="N1928" s="28" t="n">
        <x:f>H1928*K1928/1000000</x:f>
        <x:v>0.07785</x:v>
      </x:c>
      <x:c r="O1928" s="28" t="n">
        <x:f>SUM(M1928:N1928)</x:f>
        <x:v>0.38615999999999995</x:v>
      </x:c>
    </x:row>
    <x:row r="1929" ht="23" customHeight="1">
      <x:c r="A1929" s="17" t="str">
        <x:v>U01923</x:v>
      </x:c>
      <x:c r="B1929" s="18" t="n">
        <x:v>46293</x:v>
      </x:c>
      <x:c r="C1929" s="17" t="str">
        <x:v>W0135</x:v>
      </x:c>
      <x:c r="D1929" s="17" t="str">
        <x:v>C003</x:v>
      </x:c>
      <x:c r="E1929" s="17" t="str">
        <x:v>CopyStudio</x:v>
      </x:c>
      <x:c r="F1929" s="17" t="str">
        <x:v>Lite</x:v>
      </x:c>
      <x:c r="G1929" s="17" t="n">
        <x:v>24846</x:v>
      </x:c>
      <x:c r="H1929" s="17" t="n">
        <x:v>1884</x:v>
      </x:c>
      <x:c r="I1929" s="17" t="str">
        <x:v>Followup</x:v>
      </x:c>
      <x:c r="J1929" s="27" t="n">
        <x:f>INDEX('Model Pricing'!$B$7:$B$8,MATCH(F1929,'Model Pricing'!$A$7:$A$8,0))</x:f>
        <x:v>10</x:v>
      </x:c>
      <x:c r="K1929" s="27" t="n">
        <x:f>INDEX('Model Pricing'!$C$7:$C$8,MATCH(F1929,'Model Pricing'!$A$7:$A$8,0))</x:f>
        <x:v>30</x:v>
      </x:c>
      <x:c r="L1929" s="17" t="n">
        <x:f>G1929+H1929</x:f>
        <x:v>26730</x:v>
      </x:c>
      <x:c r="M1929" s="28" t="n">
        <x:f>G1929*J1929/1000000</x:f>
        <x:v>0.24846</x:v>
      </x:c>
      <x:c r="N1929" s="28" t="n">
        <x:f>H1929*K1929/1000000</x:f>
        <x:v>0.05652</x:v>
      </x:c>
      <x:c r="O1929" s="28" t="n">
        <x:f>SUM(M1929:N1929)</x:f>
        <x:v>0.30498</x:v>
      </x:c>
    </x:row>
    <x:row r="1930" ht="23" customHeight="1">
      <x:c r="A1930" s="17" t="str">
        <x:v>U01924</x:v>
      </x:c>
      <x:c r="B1930" s="18" t="n">
        <x:v>46293</x:v>
      </x:c>
      <x:c r="C1930" s="17" t="str">
        <x:v>W0135</x:v>
      </x:c>
      <x:c r="D1930" s="17" t="str">
        <x:v>C003</x:v>
      </x:c>
      <x:c r="E1930" s="17" t="str">
        <x:v>CopyStudio</x:v>
      </x:c>
      <x:c r="F1930" s="17" t="str">
        <x:v>Lite</x:v>
      </x:c>
      <x:c r="G1930" s="17" t="n">
        <x:v>21022</x:v>
      </x:c>
      <x:c r="H1930" s="17" t="n">
        <x:v>4795</x:v>
      </x:c>
      <x:c r="I1930" s="17" t="str">
        <x:v>Correction</x:v>
      </x:c>
      <x:c r="J1930" s="27" t="n">
        <x:f>INDEX('Model Pricing'!$B$7:$B$8,MATCH(F1930,'Model Pricing'!$A$7:$A$8,0))</x:f>
        <x:v>10</x:v>
      </x:c>
      <x:c r="K1930" s="27" t="n">
        <x:f>INDEX('Model Pricing'!$C$7:$C$8,MATCH(F1930,'Model Pricing'!$A$7:$A$8,0))</x:f>
        <x:v>30</x:v>
      </x:c>
      <x:c r="L1930" s="17" t="n">
        <x:f>G1930+H1930</x:f>
        <x:v>25817</x:v>
      </x:c>
      <x:c r="M1930" s="28" t="n">
        <x:f>G1930*J1930/1000000</x:f>
        <x:v>0.21022</x:v>
      </x:c>
      <x:c r="N1930" s="28" t="n">
        <x:f>H1930*K1930/1000000</x:f>
        <x:v>0.14385</x:v>
      </x:c>
      <x:c r="O1930" s="28" t="n">
        <x:f>SUM(M1930:N1930)</x:f>
        <x:v>0.35407</x:v>
      </x:c>
    </x:row>
    <x:row r="1931" ht="23" customHeight="1">
      <x:c r="A1931" s="17" t="str">
        <x:v>U01925</x:v>
      </x:c>
      <x:c r="B1931" s="18" t="n">
        <x:v>46293</x:v>
      </x:c>
      <x:c r="C1931" s="17" t="str">
        <x:v>W0135</x:v>
      </x:c>
      <x:c r="D1931" s="17" t="str">
        <x:v>C003</x:v>
      </x:c>
      <x:c r="E1931" s="17" t="str">
        <x:v>CopyStudio</x:v>
      </x:c>
      <x:c r="F1931" s="17" t="str">
        <x:v>Lite</x:v>
      </x:c>
      <x:c r="G1931" s="17" t="n">
        <x:v>25873</x:v>
      </x:c>
      <x:c r="H1931" s="17" t="n">
        <x:v>2973</x:v>
      </x:c>
      <x:c r="I1931" s="17" t="str">
        <x:v>Followup</x:v>
      </x:c>
      <x:c r="J1931" s="27" t="n">
        <x:f>INDEX('Model Pricing'!$B$7:$B$8,MATCH(F1931,'Model Pricing'!$A$7:$A$8,0))</x:f>
        <x:v>10</x:v>
      </x:c>
      <x:c r="K1931" s="27" t="n">
        <x:f>INDEX('Model Pricing'!$C$7:$C$8,MATCH(F1931,'Model Pricing'!$A$7:$A$8,0))</x:f>
        <x:v>30</x:v>
      </x:c>
      <x:c r="L1931" s="17" t="n">
        <x:f>G1931+H1931</x:f>
        <x:v>28846</x:v>
      </x:c>
      <x:c r="M1931" s="28" t="n">
        <x:f>G1931*J1931/1000000</x:f>
        <x:v>0.25873</x:v>
      </x:c>
      <x:c r="N1931" s="28" t="n">
        <x:f>H1931*K1931/1000000</x:f>
        <x:v>0.08919</x:v>
      </x:c>
      <x:c r="O1931" s="28" t="n">
        <x:f>SUM(M1931:N1931)</x:f>
        <x:v>0.34792</x:v>
      </x:c>
    </x:row>
    <x:row r="1932" ht="23" customHeight="1">
      <x:c r="A1932" s="17" t="str">
        <x:v>U01926</x:v>
      </x:c>
      <x:c r="B1932" s="18" t="n">
        <x:v>46293</x:v>
      </x:c>
      <x:c r="C1932" s="17" t="str">
        <x:v>W0135</x:v>
      </x:c>
      <x:c r="D1932" s="17" t="str">
        <x:v>C003</x:v>
      </x:c>
      <x:c r="E1932" s="17" t="str">
        <x:v>CopyStudio</x:v>
      </x:c>
      <x:c r="F1932" s="17" t="str">
        <x:v>Lite</x:v>
      </x:c>
      <x:c r="G1932" s="17" t="n">
        <x:v>20694</x:v>
      </x:c>
      <x:c r="H1932" s="17" t="n">
        <x:v>7211</x:v>
      </x:c>
      <x:c r="I1932" s="17" t="str">
        <x:v>Correction</x:v>
      </x:c>
      <x:c r="J1932" s="27" t="n">
        <x:f>INDEX('Model Pricing'!$B$7:$B$8,MATCH(F1932,'Model Pricing'!$A$7:$A$8,0))</x:f>
        <x:v>10</x:v>
      </x:c>
      <x:c r="K1932" s="27" t="n">
        <x:f>INDEX('Model Pricing'!$C$7:$C$8,MATCH(F1932,'Model Pricing'!$A$7:$A$8,0))</x:f>
        <x:v>30</x:v>
      </x:c>
      <x:c r="L1932" s="17" t="n">
        <x:f>G1932+H1932</x:f>
        <x:v>27905</x:v>
      </x:c>
      <x:c r="M1932" s="28" t="n">
        <x:f>G1932*J1932/1000000</x:f>
        <x:v>0.20694</x:v>
      </x:c>
      <x:c r="N1932" s="28" t="n">
        <x:f>H1932*K1932/1000000</x:f>
        <x:v>0.21633</x:v>
      </x:c>
      <x:c r="O1932" s="28" t="n">
        <x:f>SUM(M1932:N1932)</x:f>
        <x:v>0.42327000000000004</x:v>
      </x:c>
    </x:row>
    <x:row r="1933" ht="23" customHeight="1">
      <x:c r="A1933" s="17" t="str">
        <x:v>U01927</x:v>
      </x:c>
      <x:c r="B1933" s="18" t="n">
        <x:v>46294</x:v>
      </x:c>
      <x:c r="C1933" s="17" t="str">
        <x:v>W0135</x:v>
      </x:c>
      <x:c r="D1933" s="17" t="str">
        <x:v>C003</x:v>
      </x:c>
      <x:c r="E1933" s="17" t="str">
        <x:v>CopyStudio</x:v>
      </x:c>
      <x:c r="F1933" s="17" t="str">
        <x:v>Lite</x:v>
      </x:c>
      <x:c r="G1933" s="17" t="n">
        <x:v>24531</x:v>
      </x:c>
      <x:c r="H1933" s="17" t="n">
        <x:v>1989</x:v>
      </x:c>
      <x:c r="I1933" s="17" t="str">
        <x:v>Followup</x:v>
      </x:c>
      <x:c r="J1933" s="27" t="n">
        <x:f>INDEX('Model Pricing'!$B$7:$B$8,MATCH(F1933,'Model Pricing'!$A$7:$A$8,0))</x:f>
        <x:v>10</x:v>
      </x:c>
      <x:c r="K1933" s="27" t="n">
        <x:f>INDEX('Model Pricing'!$C$7:$C$8,MATCH(F1933,'Model Pricing'!$A$7:$A$8,0))</x:f>
        <x:v>30</x:v>
      </x:c>
      <x:c r="L1933" s="17" t="n">
        <x:f>G1933+H1933</x:f>
        <x:v>26520</x:v>
      </x:c>
      <x:c r="M1933" s="28" t="n">
        <x:f>G1933*J1933/1000000</x:f>
        <x:v>0.24531</x:v>
      </x:c>
      <x:c r="N1933" s="28" t="n">
        <x:f>H1933*K1933/1000000</x:f>
        <x:v>0.05967</x:v>
      </x:c>
      <x:c r="O1933" s="28" t="n">
        <x:f>SUM(M1933:N1933)</x:f>
        <x:v>0.30498000000000003</x:v>
      </x:c>
    </x:row>
    <x:row r="1934" ht="23" customHeight="1">
      <x:c r="A1934" s="17" t="str">
        <x:v>U01928</x:v>
      </x:c>
      <x:c r="B1934" s="18" t="n">
        <x:v>46294</x:v>
      </x:c>
      <x:c r="C1934" s="17" t="str">
        <x:v>W0135</x:v>
      </x:c>
      <x:c r="D1934" s="17" t="str">
        <x:v>C003</x:v>
      </x:c>
      <x:c r="E1934" s="17" t="str">
        <x:v>CopyStudio</x:v>
      </x:c>
      <x:c r="F1934" s="17" t="str">
        <x:v>Lite</x:v>
      </x:c>
      <x:c r="G1934" s="17" t="n">
        <x:v>30236</x:v>
      </x:c>
      <x:c r="H1934" s="17" t="n">
        <x:v>5910</x:v>
      </x:c>
      <x:c r="I1934" s="17" t="str">
        <x:v>Followup</x:v>
      </x:c>
      <x:c r="J1934" s="27" t="n">
        <x:f>INDEX('Model Pricing'!$B$7:$B$8,MATCH(F1934,'Model Pricing'!$A$7:$A$8,0))</x:f>
        <x:v>10</x:v>
      </x:c>
      <x:c r="K1934" s="27" t="n">
        <x:f>INDEX('Model Pricing'!$C$7:$C$8,MATCH(F1934,'Model Pricing'!$A$7:$A$8,0))</x:f>
        <x:v>30</x:v>
      </x:c>
      <x:c r="L1934" s="17" t="n">
        <x:f>G1934+H1934</x:f>
        <x:v>36146</x:v>
      </x:c>
      <x:c r="M1934" s="28" t="n">
        <x:f>G1934*J1934/1000000</x:f>
        <x:v>0.30236</x:v>
      </x:c>
      <x:c r="N1934" s="28" t="n">
        <x:f>H1934*K1934/1000000</x:f>
        <x:v>0.1773</x:v>
      </x:c>
      <x:c r="O1934" s="28" t="n">
        <x:f>SUM(M1934:N1934)</x:f>
        <x:v>0.47966000000000003</x:v>
      </x:c>
    </x:row>
    <x:row r="1935" ht="23" customHeight="1">
      <x:c r="A1935" s="17" t="str">
        <x:v>U01929</x:v>
      </x:c>
      <x:c r="B1935" s="18" t="n">
        <x:v>46294</x:v>
      </x:c>
      <x:c r="C1935" s="17" t="str">
        <x:v>W0135</x:v>
      </x:c>
      <x:c r="D1935" s="17" t="str">
        <x:v>C003</x:v>
      </x:c>
      <x:c r="E1935" s="17" t="str">
        <x:v>CopyStudio</x:v>
      </x:c>
      <x:c r="F1935" s="17" t="str">
        <x:v>Lite</x:v>
      </x:c>
      <x:c r="G1935" s="17" t="n">
        <x:v>30303</x:v>
      </x:c>
      <x:c r="H1935" s="17" t="n">
        <x:v>6536</x:v>
      </x:c>
      <x:c r="I1935" s="17" t="str">
        <x:v>Followup</x:v>
      </x:c>
      <x:c r="J1935" s="27" t="n">
        <x:f>INDEX('Model Pricing'!$B$7:$B$8,MATCH(F1935,'Model Pricing'!$A$7:$A$8,0))</x:f>
        <x:v>10</x:v>
      </x:c>
      <x:c r="K1935" s="27" t="n">
        <x:f>INDEX('Model Pricing'!$C$7:$C$8,MATCH(F1935,'Model Pricing'!$A$7:$A$8,0))</x:f>
        <x:v>30</x:v>
      </x:c>
      <x:c r="L1935" s="17" t="n">
        <x:f>G1935+H1935</x:f>
        <x:v>36839</x:v>
      </x:c>
      <x:c r="M1935" s="28" t="n">
        <x:f>G1935*J1935/1000000</x:f>
        <x:v>0.30303</x:v>
      </x:c>
      <x:c r="N1935" s="28" t="n">
        <x:f>H1935*K1935/1000000</x:f>
        <x:v>0.19608</x:v>
      </x:c>
      <x:c r="O1935" s="28" t="n">
        <x:f>SUM(M1935:N1935)</x:f>
        <x:v>0.49911000000000005</x:v>
      </x:c>
    </x:row>
    <x:row r="1936" ht="23" customHeight="1">
      <x:c r="A1936" s="17" t="str">
        <x:v>U01930</x:v>
      </x:c>
      <x:c r="B1936" s="18" t="n">
        <x:v>46294</x:v>
      </x:c>
      <x:c r="C1936" s="17" t="str">
        <x:v>W0135</x:v>
      </x:c>
      <x:c r="D1936" s="17" t="str">
        <x:v>C003</x:v>
      </x:c>
      <x:c r="E1936" s="17" t="str">
        <x:v>CopyStudio</x:v>
      </x:c>
      <x:c r="F1936" s="17" t="str">
        <x:v>Lite</x:v>
      </x:c>
      <x:c r="G1936" s="17" t="n">
        <x:v>28114</x:v>
      </x:c>
      <x:c r="H1936" s="17" t="n">
        <x:v>5583</x:v>
      </x:c>
      <x:c r="I1936" s="17" t="str">
        <x:v>Followup</x:v>
      </x:c>
      <x:c r="J1936" s="27" t="n">
        <x:f>INDEX('Model Pricing'!$B$7:$B$8,MATCH(F1936,'Model Pricing'!$A$7:$A$8,0))</x:f>
        <x:v>10</x:v>
      </x:c>
      <x:c r="K1936" s="27" t="n">
        <x:f>INDEX('Model Pricing'!$C$7:$C$8,MATCH(F1936,'Model Pricing'!$A$7:$A$8,0))</x:f>
        <x:v>30</x:v>
      </x:c>
      <x:c r="L1936" s="17" t="n">
        <x:f>G1936+H1936</x:f>
        <x:v>33697</x:v>
      </x:c>
      <x:c r="M1936" s="28" t="n">
        <x:f>G1936*J1936/1000000</x:f>
        <x:v>0.28114</x:v>
      </x:c>
      <x:c r="N1936" s="28" t="n">
        <x:f>H1936*K1936/1000000</x:f>
        <x:v>0.16749</x:v>
      </x:c>
      <x:c r="O1936" s="28" t="n">
        <x:f>SUM(M1936:N1936)</x:f>
        <x:v>0.44863</x:v>
      </x:c>
    </x:row>
    <x:row r="1937" ht="23" customHeight="1">
      <x:c r="A1937" s="17" t="str">
        <x:v>U01931</x:v>
      </x:c>
      <x:c r="B1937" s="18" t="n">
        <x:v>46295</x:v>
      </x:c>
      <x:c r="C1937" s="17" t="str">
        <x:v>W0135</x:v>
      </x:c>
      <x:c r="D1937" s="17" t="str">
        <x:v>C003</x:v>
      </x:c>
      <x:c r="E1937" s="17" t="str">
        <x:v>CopyStudio</x:v>
      </x:c>
      <x:c r="F1937" s="17" t="str">
        <x:v>Lite</x:v>
      </x:c>
      <x:c r="G1937" s="17" t="n">
        <x:v>33935</x:v>
      </x:c>
      <x:c r="H1937" s="17" t="n">
        <x:v>6296</x:v>
      </x:c>
      <x:c r="I1937" s="17" t="str">
        <x:v>Correction</x:v>
      </x:c>
      <x:c r="J1937" s="27" t="n">
        <x:f>INDEX('Model Pricing'!$B$7:$B$8,MATCH(F1937,'Model Pricing'!$A$7:$A$8,0))</x:f>
        <x:v>10</x:v>
      </x:c>
      <x:c r="K1937" s="27" t="n">
        <x:f>INDEX('Model Pricing'!$C$7:$C$8,MATCH(F1937,'Model Pricing'!$A$7:$A$8,0))</x:f>
        <x:v>30</x:v>
      </x:c>
      <x:c r="L1937" s="17" t="n">
        <x:f>G1937+H1937</x:f>
        <x:v>40231</x:v>
      </x:c>
      <x:c r="M1937" s="28" t="n">
        <x:f>G1937*J1937/1000000</x:f>
        <x:v>0.33935</x:v>
      </x:c>
      <x:c r="N1937" s="28" t="n">
        <x:f>H1937*K1937/1000000</x:f>
        <x:v>0.18888</x:v>
      </x:c>
      <x:c r="O1937" s="28" t="n">
        <x:f>SUM(M1937:N1937)</x:f>
        <x:v>0.52823</x:v>
      </x:c>
    </x:row>
    <x:row r="1938" ht="23" customHeight="1">
      <x:c r="A1938" s="17" t="str">
        <x:v>U01932</x:v>
      </x:c>
      <x:c r="B1938" s="18" t="n">
        <x:v>46295</x:v>
      </x:c>
      <x:c r="C1938" s="17" t="str">
        <x:v>W0135</x:v>
      </x:c>
      <x:c r="D1938" s="17" t="str">
        <x:v>C003</x:v>
      </x:c>
      <x:c r="E1938" s="17" t="str">
        <x:v>CopyStudio</x:v>
      </x:c>
      <x:c r="F1938" s="17" t="str">
        <x:v>Lite</x:v>
      </x:c>
      <x:c r="G1938" s="17" t="n">
        <x:v>18099</x:v>
      </x:c>
      <x:c r="H1938" s="17" t="n">
        <x:v>7171</x:v>
      </x:c>
      <x:c r="I1938" s="17" t="str">
        <x:v>Followup</x:v>
      </x:c>
      <x:c r="J1938" s="27" t="n">
        <x:f>INDEX('Model Pricing'!$B$7:$B$8,MATCH(F1938,'Model Pricing'!$A$7:$A$8,0))</x:f>
        <x:v>10</x:v>
      </x:c>
      <x:c r="K1938" s="27" t="n">
        <x:f>INDEX('Model Pricing'!$C$7:$C$8,MATCH(F1938,'Model Pricing'!$A$7:$A$8,0))</x:f>
        <x:v>30</x:v>
      </x:c>
      <x:c r="L1938" s="17" t="n">
        <x:f>G1938+H1938</x:f>
        <x:v>25270</x:v>
      </x:c>
      <x:c r="M1938" s="28" t="n">
        <x:f>G1938*J1938/1000000</x:f>
        <x:v>0.18099</x:v>
      </x:c>
      <x:c r="N1938" s="28" t="n">
        <x:f>H1938*K1938/1000000</x:f>
        <x:v>0.21513</x:v>
      </x:c>
      <x:c r="O1938" s="28" t="n">
        <x:f>SUM(M1938:N1938)</x:f>
        <x:v>0.39612</x:v>
      </x:c>
    </x:row>
    <x:row r="1939" ht="23" customHeight="1">
      <x:c r="A1939" s="17" t="str">
        <x:v>U01933</x:v>
      </x:c>
      <x:c r="B1939" s="18" t="n">
        <x:v>46295</x:v>
      </x:c>
      <x:c r="C1939" s="17" t="str">
        <x:v>W0135</x:v>
      </x:c>
      <x:c r="D1939" s="17" t="str">
        <x:v>C003</x:v>
      </x:c>
      <x:c r="E1939" s="17" t="str">
        <x:v>CopyStudio</x:v>
      </x:c>
      <x:c r="F1939" s="17" t="str">
        <x:v>Lite</x:v>
      </x:c>
      <x:c r="G1939" s="17" t="n">
        <x:v>23976</x:v>
      </x:c>
      <x:c r="H1939" s="17" t="n">
        <x:v>5019</x:v>
      </x:c>
      <x:c r="I1939" s="17" t="str">
        <x:v>Correction</x:v>
      </x:c>
      <x:c r="J1939" s="27" t="n">
        <x:f>INDEX('Model Pricing'!$B$7:$B$8,MATCH(F1939,'Model Pricing'!$A$7:$A$8,0))</x:f>
        <x:v>10</x:v>
      </x:c>
      <x:c r="K1939" s="27" t="n">
        <x:f>INDEX('Model Pricing'!$C$7:$C$8,MATCH(F1939,'Model Pricing'!$A$7:$A$8,0))</x:f>
        <x:v>30</x:v>
      </x:c>
      <x:c r="L1939" s="17" t="n">
        <x:f>G1939+H1939</x:f>
        <x:v>28995</x:v>
      </x:c>
      <x:c r="M1939" s="28" t="n">
        <x:f>G1939*J1939/1000000</x:f>
        <x:v>0.23976</x:v>
      </x:c>
      <x:c r="N1939" s="28" t="n">
        <x:f>H1939*K1939/1000000</x:f>
        <x:v>0.15057</x:v>
      </x:c>
      <x:c r="O1939" s="28" t="n">
        <x:f>SUM(M1939:N1939)</x:f>
        <x:v>0.39033</x:v>
      </x:c>
    </x:row>
    <x:row r="1940" ht="23" customHeight="1">
      <x:c r="A1940" s="17" t="str">
        <x:v>U01934</x:v>
      </x:c>
      <x:c r="B1940" s="18" t="n">
        <x:v>46275</x:v>
      </x:c>
      <x:c r="C1940" s="17" t="str">
        <x:v>W0136</x:v>
      </x:c>
      <x:c r="D1940" s="17" t="str">
        <x:v>C003</x:v>
      </x:c>
      <x:c r="E1940" s="17" t="str">
        <x:v>CopyStudio</x:v>
      </x:c>
      <x:c r="F1940" s="17" t="str">
        <x:v>Lite</x:v>
      </x:c>
      <x:c r="G1940" s="17" t="n">
        <x:v>24615</x:v>
      </x:c>
      <x:c r="H1940" s="17" t="n">
        <x:v>10049</x:v>
      </x:c>
      <x:c r="I1940" s="17" t="str">
        <x:v>First attempt</x:v>
      </x:c>
      <x:c r="J1940" s="27" t="n">
        <x:f>INDEX('Model Pricing'!$B$7:$B$8,MATCH(F1940,'Model Pricing'!$A$7:$A$8,0))</x:f>
        <x:v>10</x:v>
      </x:c>
      <x:c r="K1940" s="27" t="n">
        <x:f>INDEX('Model Pricing'!$C$7:$C$8,MATCH(F1940,'Model Pricing'!$A$7:$A$8,0))</x:f>
        <x:v>30</x:v>
      </x:c>
      <x:c r="L1940" s="17" t="n">
        <x:f>G1940+H1940</x:f>
        <x:v>34664</x:v>
      </x:c>
      <x:c r="M1940" s="28" t="n">
        <x:f>G1940*J1940/1000000</x:f>
        <x:v>0.24615</x:v>
      </x:c>
      <x:c r="N1940" s="28" t="n">
        <x:f>H1940*K1940/1000000</x:f>
        <x:v>0.30147</x:v>
      </x:c>
      <x:c r="O1940" s="28" t="n">
        <x:f>SUM(M1940:N1940)</x:f>
        <x:v>0.54762</x:v>
      </x:c>
    </x:row>
    <x:row r="1941" ht="23" customHeight="1">
      <x:c r="A1941" s="17" t="str">
        <x:v>U01935</x:v>
      </x:c>
      <x:c r="B1941" s="18" t="n">
        <x:v>46275</x:v>
      </x:c>
      <x:c r="C1941" s="17" t="str">
        <x:v>W0136</x:v>
      </x:c>
      <x:c r="D1941" s="17" t="str">
        <x:v>C003</x:v>
      </x:c>
      <x:c r="E1941" s="17" t="str">
        <x:v>CopyStudio</x:v>
      </x:c>
      <x:c r="F1941" s="17" t="str">
        <x:v>Lite</x:v>
      </x:c>
      <x:c r="G1941" s="17" t="n">
        <x:v>24450</x:v>
      </x:c>
      <x:c r="H1941" s="17" t="n">
        <x:v>9213</x:v>
      </x:c>
      <x:c r="I1941" s="17" t="str">
        <x:v>Correction</x:v>
      </x:c>
      <x:c r="J1941" s="27" t="n">
        <x:f>INDEX('Model Pricing'!$B$7:$B$8,MATCH(F1941,'Model Pricing'!$A$7:$A$8,0))</x:f>
        <x:v>10</x:v>
      </x:c>
      <x:c r="K1941" s="27" t="n">
        <x:f>INDEX('Model Pricing'!$C$7:$C$8,MATCH(F1941,'Model Pricing'!$A$7:$A$8,0))</x:f>
        <x:v>30</x:v>
      </x:c>
      <x:c r="L1941" s="17" t="n">
        <x:f>G1941+H1941</x:f>
        <x:v>33663</x:v>
      </x:c>
      <x:c r="M1941" s="28" t="n">
        <x:f>G1941*J1941/1000000</x:f>
        <x:v>0.2445</x:v>
      </x:c>
      <x:c r="N1941" s="28" t="n">
        <x:f>H1941*K1941/1000000</x:f>
        <x:v>0.27639</x:v>
      </x:c>
      <x:c r="O1941" s="28" t="n">
        <x:f>SUM(M1941:N1941)</x:f>
        <x:v>0.5208900000000001</x:v>
      </x:c>
    </x:row>
    <x:row r="1942" ht="23" customHeight="1">
      <x:c r="A1942" s="17" t="str">
        <x:v>U01936</x:v>
      </x:c>
      <x:c r="B1942" s="18" t="n">
        <x:v>46275</x:v>
      </x:c>
      <x:c r="C1942" s="17" t="str">
        <x:v>W0136</x:v>
      </x:c>
      <x:c r="D1942" s="17" t="str">
        <x:v>C003</x:v>
      </x:c>
      <x:c r="E1942" s="17" t="str">
        <x:v>CopyStudio</x:v>
      </x:c>
      <x:c r="F1942" s="17" t="str">
        <x:v>Lite</x:v>
      </x:c>
      <x:c r="G1942" s="17" t="n">
        <x:v>27494</x:v>
      </x:c>
      <x:c r="H1942" s="17" t="n">
        <x:v>4177</x:v>
      </x:c>
      <x:c r="I1942" s="17" t="str">
        <x:v>Followup</x:v>
      </x:c>
      <x:c r="J1942" s="27" t="n">
        <x:f>INDEX('Model Pricing'!$B$7:$B$8,MATCH(F1942,'Model Pricing'!$A$7:$A$8,0))</x:f>
        <x:v>10</x:v>
      </x:c>
      <x:c r="K1942" s="27" t="n">
        <x:f>INDEX('Model Pricing'!$C$7:$C$8,MATCH(F1942,'Model Pricing'!$A$7:$A$8,0))</x:f>
        <x:v>30</x:v>
      </x:c>
      <x:c r="L1942" s="17" t="n">
        <x:f>G1942+H1942</x:f>
        <x:v>31671</x:v>
      </x:c>
      <x:c r="M1942" s="28" t="n">
        <x:f>G1942*J1942/1000000</x:f>
        <x:v>0.27494</x:v>
      </x:c>
      <x:c r="N1942" s="28" t="n">
        <x:f>H1942*K1942/1000000</x:f>
        <x:v>0.12531</x:v>
      </x:c>
      <x:c r="O1942" s="28" t="n">
        <x:f>SUM(M1942:N1942)</x:f>
        <x:v>0.40025</x:v>
      </x:c>
    </x:row>
    <x:row r="1943" ht="23" customHeight="1">
      <x:c r="A1943" s="17" t="str">
        <x:v>U01937</x:v>
      </x:c>
      <x:c r="B1943" s="18" t="n">
        <x:v>46276</x:v>
      </x:c>
      <x:c r="C1943" s="17" t="str">
        <x:v>W0136</x:v>
      </x:c>
      <x:c r="D1943" s="17" t="str">
        <x:v>C003</x:v>
      </x:c>
      <x:c r="E1943" s="17" t="str">
        <x:v>CopyStudio</x:v>
      </x:c>
      <x:c r="F1943" s="17" t="str">
        <x:v>Lite</x:v>
      </x:c>
      <x:c r="G1943" s="17" t="n">
        <x:v>29842</x:v>
      </x:c>
      <x:c r="H1943" s="17" t="n">
        <x:v>5609</x:v>
      </x:c>
      <x:c r="I1943" s="17" t="str">
        <x:v>Followup</x:v>
      </x:c>
      <x:c r="J1943" s="27" t="n">
        <x:f>INDEX('Model Pricing'!$B$7:$B$8,MATCH(F1943,'Model Pricing'!$A$7:$A$8,0))</x:f>
        <x:v>10</x:v>
      </x:c>
      <x:c r="K1943" s="27" t="n">
        <x:f>INDEX('Model Pricing'!$C$7:$C$8,MATCH(F1943,'Model Pricing'!$A$7:$A$8,0))</x:f>
        <x:v>30</x:v>
      </x:c>
      <x:c r="L1943" s="17" t="n">
        <x:f>G1943+H1943</x:f>
        <x:v>35451</x:v>
      </x:c>
      <x:c r="M1943" s="28" t="n">
        <x:f>G1943*J1943/1000000</x:f>
        <x:v>0.29842</x:v>
      </x:c>
      <x:c r="N1943" s="28" t="n">
        <x:f>H1943*K1943/1000000</x:f>
        <x:v>0.16827</x:v>
      </x:c>
      <x:c r="O1943" s="28" t="n">
        <x:f>SUM(M1943:N1943)</x:f>
        <x:v>0.46669000000000005</x:v>
      </x:c>
    </x:row>
    <x:row r="1944" ht="23" customHeight="1">
      <x:c r="A1944" s="17" t="str">
        <x:v>U01938</x:v>
      </x:c>
      <x:c r="B1944" s="18" t="n">
        <x:v>46276</x:v>
      </x:c>
      <x:c r="C1944" s="17" t="str">
        <x:v>W0136</x:v>
      </x:c>
      <x:c r="D1944" s="17" t="str">
        <x:v>C003</x:v>
      </x:c>
      <x:c r="E1944" s="17" t="str">
        <x:v>CopyStudio</x:v>
      </x:c>
      <x:c r="F1944" s="17" t="str">
        <x:v>Lite</x:v>
      </x:c>
      <x:c r="G1944" s="17" t="n">
        <x:v>18009</x:v>
      </x:c>
      <x:c r="H1944" s="17" t="n">
        <x:v>8231</x:v>
      </x:c>
      <x:c r="I1944" s="17" t="str">
        <x:v>Followup</x:v>
      </x:c>
      <x:c r="J1944" s="27" t="n">
        <x:f>INDEX('Model Pricing'!$B$7:$B$8,MATCH(F1944,'Model Pricing'!$A$7:$A$8,0))</x:f>
        <x:v>10</x:v>
      </x:c>
      <x:c r="K1944" s="27" t="n">
        <x:f>INDEX('Model Pricing'!$C$7:$C$8,MATCH(F1944,'Model Pricing'!$A$7:$A$8,0))</x:f>
        <x:v>30</x:v>
      </x:c>
      <x:c r="L1944" s="17" t="n">
        <x:f>G1944+H1944</x:f>
        <x:v>26240</x:v>
      </x:c>
      <x:c r="M1944" s="28" t="n">
        <x:f>G1944*J1944/1000000</x:f>
        <x:v>0.18009</x:v>
      </x:c>
      <x:c r="N1944" s="28" t="n">
        <x:f>H1944*K1944/1000000</x:f>
        <x:v>0.24693</x:v>
      </x:c>
      <x:c r="O1944" s="28" t="n">
        <x:f>SUM(M1944:N1944)</x:f>
        <x:v>0.42702</x:v>
      </x:c>
    </x:row>
    <x:row r="1945" ht="23" customHeight="1">
      <x:c r="A1945" s="17" t="str">
        <x:v>U01939</x:v>
      </x:c>
      <x:c r="B1945" s="18" t="n">
        <x:v>46276</x:v>
      </x:c>
      <x:c r="C1945" s="17" t="str">
        <x:v>W0136</x:v>
      </x:c>
      <x:c r="D1945" s="17" t="str">
        <x:v>C003</x:v>
      </x:c>
      <x:c r="E1945" s="17" t="str">
        <x:v>CopyStudio</x:v>
      </x:c>
      <x:c r="F1945" s="17" t="str">
        <x:v>Lite</x:v>
      </x:c>
      <x:c r="G1945" s="17" t="n">
        <x:v>20279</x:v>
      </x:c>
      <x:c r="H1945" s="17" t="n">
        <x:v>4290</x:v>
      </x:c>
      <x:c r="I1945" s="17" t="str">
        <x:v>Followup</x:v>
      </x:c>
      <x:c r="J1945" s="27" t="n">
        <x:f>INDEX('Model Pricing'!$B$7:$B$8,MATCH(F1945,'Model Pricing'!$A$7:$A$8,0))</x:f>
        <x:v>10</x:v>
      </x:c>
      <x:c r="K1945" s="27" t="n">
        <x:f>INDEX('Model Pricing'!$C$7:$C$8,MATCH(F1945,'Model Pricing'!$A$7:$A$8,0))</x:f>
        <x:v>30</x:v>
      </x:c>
      <x:c r="L1945" s="17" t="n">
        <x:f>G1945+H1945</x:f>
        <x:v>24569</x:v>
      </x:c>
      <x:c r="M1945" s="28" t="n">
        <x:f>G1945*J1945/1000000</x:f>
        <x:v>0.20279</x:v>
      </x:c>
      <x:c r="N1945" s="28" t="n">
        <x:f>H1945*K1945/1000000</x:f>
        <x:v>0.1287</x:v>
      </x:c>
      <x:c r="O1945" s="28" t="n">
        <x:f>SUM(M1945:N1945)</x:f>
        <x:v>0.33149</x:v>
      </x:c>
    </x:row>
    <x:row r="1946" ht="23" customHeight="1">
      <x:c r="A1946" s="17" t="str">
        <x:v>U01940</x:v>
      </x:c>
      <x:c r="B1946" s="18" t="n">
        <x:v>46279</x:v>
      </x:c>
      <x:c r="C1946" s="17" t="str">
        <x:v>W0136</x:v>
      </x:c>
      <x:c r="D1946" s="17" t="str">
        <x:v>C003</x:v>
      </x:c>
      <x:c r="E1946" s="17" t="str">
        <x:v>CopyStudio</x:v>
      </x:c>
      <x:c r="F1946" s="17" t="str">
        <x:v>Lite</x:v>
      </x:c>
      <x:c r="G1946" s="17" t="n">
        <x:v>12831</x:v>
      </x:c>
      <x:c r="H1946" s="17" t="n">
        <x:v>6285</x:v>
      </x:c>
      <x:c r="I1946" s="17" t="str">
        <x:v>Followup</x:v>
      </x:c>
      <x:c r="J1946" s="27" t="n">
        <x:f>INDEX('Model Pricing'!$B$7:$B$8,MATCH(F1946,'Model Pricing'!$A$7:$A$8,0))</x:f>
        <x:v>10</x:v>
      </x:c>
      <x:c r="K1946" s="27" t="n">
        <x:f>INDEX('Model Pricing'!$C$7:$C$8,MATCH(F1946,'Model Pricing'!$A$7:$A$8,0))</x:f>
        <x:v>30</x:v>
      </x:c>
      <x:c r="L1946" s="17" t="n">
        <x:f>G1946+H1946</x:f>
        <x:v>19116</x:v>
      </x:c>
      <x:c r="M1946" s="28" t="n">
        <x:f>G1946*J1946/1000000</x:f>
        <x:v>0.12831</x:v>
      </x:c>
      <x:c r="N1946" s="28" t="n">
        <x:f>H1946*K1946/1000000</x:f>
        <x:v>0.18855</x:v>
      </x:c>
      <x:c r="O1946" s="28" t="n">
        <x:f>SUM(M1946:N1946)</x:f>
        <x:v>0.31686000000000003</x:v>
      </x:c>
    </x:row>
    <x:row r="1947" ht="23" customHeight="1">
      <x:c r="A1947" s="17" t="str">
        <x:v>U01941</x:v>
      </x:c>
      <x:c r="B1947" s="18" t="n">
        <x:v>46279</x:v>
      </x:c>
      <x:c r="C1947" s="17" t="str">
        <x:v>W0136</x:v>
      </x:c>
      <x:c r="D1947" s="17" t="str">
        <x:v>C003</x:v>
      </x:c>
      <x:c r="E1947" s="17" t="str">
        <x:v>CopyStudio</x:v>
      </x:c>
      <x:c r="F1947" s="17" t="str">
        <x:v>Lite</x:v>
      </x:c>
      <x:c r="G1947" s="17" t="n">
        <x:v>28023</x:v>
      </x:c>
      <x:c r="H1947" s="17" t="n">
        <x:v>8691</x:v>
      </x:c>
      <x:c r="I1947" s="17" t="str">
        <x:v>Correction</x:v>
      </x:c>
      <x:c r="J1947" s="27" t="n">
        <x:f>INDEX('Model Pricing'!$B$7:$B$8,MATCH(F1947,'Model Pricing'!$A$7:$A$8,0))</x:f>
        <x:v>10</x:v>
      </x:c>
      <x:c r="K1947" s="27" t="n">
        <x:f>INDEX('Model Pricing'!$C$7:$C$8,MATCH(F1947,'Model Pricing'!$A$7:$A$8,0))</x:f>
        <x:v>30</x:v>
      </x:c>
      <x:c r="L1947" s="17" t="n">
        <x:f>G1947+H1947</x:f>
        <x:v>36714</x:v>
      </x:c>
      <x:c r="M1947" s="28" t="n">
        <x:f>G1947*J1947/1000000</x:f>
        <x:v>0.28023</x:v>
      </x:c>
      <x:c r="N1947" s="28" t="n">
        <x:f>H1947*K1947/1000000</x:f>
        <x:v>0.26073</x:v>
      </x:c>
      <x:c r="O1947" s="28" t="n">
        <x:f>SUM(M1947:N1947)</x:f>
        <x:v>0.54096</x:v>
      </x:c>
    </x:row>
    <x:row r="1948" ht="23" customHeight="1">
      <x:c r="A1948" s="17" t="str">
        <x:v>U01942</x:v>
      </x:c>
      <x:c r="B1948" s="18" t="n">
        <x:v>46279</x:v>
      </x:c>
      <x:c r="C1948" s="17" t="str">
        <x:v>W0136</x:v>
      </x:c>
      <x:c r="D1948" s="17" t="str">
        <x:v>C003</x:v>
      </x:c>
      <x:c r="E1948" s="17" t="str">
        <x:v>CopyStudio</x:v>
      </x:c>
      <x:c r="F1948" s="17" t="str">
        <x:v>Lite</x:v>
      </x:c>
      <x:c r="G1948" s="17" t="n">
        <x:v>17152</x:v>
      </x:c>
      <x:c r="H1948" s="17" t="n">
        <x:v>4126</x:v>
      </x:c>
      <x:c r="I1948" s="17" t="str">
        <x:v>Followup</x:v>
      </x:c>
      <x:c r="J1948" s="27" t="n">
        <x:f>INDEX('Model Pricing'!$B$7:$B$8,MATCH(F1948,'Model Pricing'!$A$7:$A$8,0))</x:f>
        <x:v>10</x:v>
      </x:c>
      <x:c r="K1948" s="27" t="n">
        <x:f>INDEX('Model Pricing'!$C$7:$C$8,MATCH(F1948,'Model Pricing'!$A$7:$A$8,0))</x:f>
        <x:v>30</x:v>
      </x:c>
      <x:c r="L1948" s="17" t="n">
        <x:f>G1948+H1948</x:f>
        <x:v>21278</x:v>
      </x:c>
      <x:c r="M1948" s="28" t="n">
        <x:f>G1948*J1948/1000000</x:f>
        <x:v>0.17152</x:v>
      </x:c>
      <x:c r="N1948" s="28" t="n">
        <x:f>H1948*K1948/1000000</x:f>
        <x:v>0.12378</x:v>
      </x:c>
      <x:c r="O1948" s="28" t="n">
        <x:f>SUM(M1948:N1948)</x:f>
        <x:v>0.2953</x:v>
      </x:c>
    </x:row>
    <x:row r="1949" ht="23" customHeight="1">
      <x:c r="A1949" s="17" t="str">
        <x:v>U01943</x:v>
      </x:c>
      <x:c r="B1949" s="18" t="n">
        <x:v>46280</x:v>
      </x:c>
      <x:c r="C1949" s="17" t="str">
        <x:v>W0136</x:v>
      </x:c>
      <x:c r="D1949" s="17" t="str">
        <x:v>C003</x:v>
      </x:c>
      <x:c r="E1949" s="17" t="str">
        <x:v>CopyStudio</x:v>
      </x:c>
      <x:c r="F1949" s="17" t="str">
        <x:v>Lite</x:v>
      </x:c>
      <x:c r="G1949" s="17" t="n">
        <x:v>19318</x:v>
      </x:c>
      <x:c r="H1949" s="17" t="n">
        <x:v>8752</x:v>
      </x:c>
      <x:c r="I1949" s="17" t="str">
        <x:v>Followup</x:v>
      </x:c>
      <x:c r="J1949" s="27" t="n">
        <x:f>INDEX('Model Pricing'!$B$7:$B$8,MATCH(F1949,'Model Pricing'!$A$7:$A$8,0))</x:f>
        <x:v>10</x:v>
      </x:c>
      <x:c r="K1949" s="27" t="n">
        <x:f>INDEX('Model Pricing'!$C$7:$C$8,MATCH(F1949,'Model Pricing'!$A$7:$A$8,0))</x:f>
        <x:v>30</x:v>
      </x:c>
      <x:c r="L1949" s="17" t="n">
        <x:f>G1949+H1949</x:f>
        <x:v>28070</x:v>
      </x:c>
      <x:c r="M1949" s="28" t="n">
        <x:f>G1949*J1949/1000000</x:f>
        <x:v>0.19318</x:v>
      </x:c>
      <x:c r="N1949" s="28" t="n">
        <x:f>H1949*K1949/1000000</x:f>
        <x:v>0.26256</x:v>
      </x:c>
      <x:c r="O1949" s="28" t="n">
        <x:f>SUM(M1949:N1949)</x:f>
        <x:v>0.45574000000000003</x:v>
      </x:c>
    </x:row>
    <x:row r="1950" ht="23" customHeight="1">
      <x:c r="A1950" s="17" t="str">
        <x:v>U01944</x:v>
      </x:c>
      <x:c r="B1950" s="18" t="n">
        <x:v>46280</x:v>
      </x:c>
      <x:c r="C1950" s="17" t="str">
        <x:v>W0136</x:v>
      </x:c>
      <x:c r="D1950" s="17" t="str">
        <x:v>C003</x:v>
      </x:c>
      <x:c r="E1950" s="17" t="str">
        <x:v>CopyStudio</x:v>
      </x:c>
      <x:c r="F1950" s="17" t="str">
        <x:v>Lite</x:v>
      </x:c>
      <x:c r="G1950" s="17" t="n">
        <x:v>23595</x:v>
      </x:c>
      <x:c r="H1950" s="17" t="n">
        <x:v>5736</x:v>
      </x:c>
      <x:c r="I1950" s="17" t="str">
        <x:v>Correction</x:v>
      </x:c>
      <x:c r="J1950" s="27" t="n">
        <x:f>INDEX('Model Pricing'!$B$7:$B$8,MATCH(F1950,'Model Pricing'!$A$7:$A$8,0))</x:f>
        <x:v>10</x:v>
      </x:c>
      <x:c r="K1950" s="27" t="n">
        <x:f>INDEX('Model Pricing'!$C$7:$C$8,MATCH(F1950,'Model Pricing'!$A$7:$A$8,0))</x:f>
        <x:v>30</x:v>
      </x:c>
      <x:c r="L1950" s="17" t="n">
        <x:f>G1950+H1950</x:f>
        <x:v>29331</x:v>
      </x:c>
      <x:c r="M1950" s="28" t="n">
        <x:f>G1950*J1950/1000000</x:f>
        <x:v>0.23595</x:v>
      </x:c>
      <x:c r="N1950" s="28" t="n">
        <x:f>H1950*K1950/1000000</x:f>
        <x:v>0.17208</x:v>
      </x:c>
      <x:c r="O1950" s="28" t="n">
        <x:f>SUM(M1950:N1950)</x:f>
        <x:v>0.40803</x:v>
      </x:c>
    </x:row>
    <x:row r="1951" ht="23" customHeight="1">
      <x:c r="A1951" s="17" t="str">
        <x:v>U01945</x:v>
      </x:c>
      <x:c r="B1951" s="18" t="n">
        <x:v>46280</x:v>
      </x:c>
      <x:c r="C1951" s="17" t="str">
        <x:v>W0136</x:v>
      </x:c>
      <x:c r="D1951" s="17" t="str">
        <x:v>C003</x:v>
      </x:c>
      <x:c r="E1951" s="17" t="str">
        <x:v>CopyStudio</x:v>
      </x:c>
      <x:c r="F1951" s="17" t="str">
        <x:v>Lite</x:v>
      </x:c>
      <x:c r="G1951" s="17" t="n">
        <x:v>14016</x:v>
      </x:c>
      <x:c r="H1951" s="17" t="n">
        <x:v>7158</x:v>
      </x:c>
      <x:c r="I1951" s="17" t="str">
        <x:v>Followup</x:v>
      </x:c>
      <x:c r="J1951" s="27" t="n">
        <x:f>INDEX('Model Pricing'!$B$7:$B$8,MATCH(F1951,'Model Pricing'!$A$7:$A$8,0))</x:f>
        <x:v>10</x:v>
      </x:c>
      <x:c r="K1951" s="27" t="n">
        <x:f>INDEX('Model Pricing'!$C$7:$C$8,MATCH(F1951,'Model Pricing'!$A$7:$A$8,0))</x:f>
        <x:v>30</x:v>
      </x:c>
      <x:c r="L1951" s="17" t="n">
        <x:f>G1951+H1951</x:f>
        <x:v>21174</x:v>
      </x:c>
      <x:c r="M1951" s="28" t="n">
        <x:f>G1951*J1951/1000000</x:f>
        <x:v>0.14016</x:v>
      </x:c>
      <x:c r="N1951" s="28" t="n">
        <x:f>H1951*K1951/1000000</x:f>
        <x:v>0.21474</x:v>
      </x:c>
      <x:c r="O1951" s="28" t="n">
        <x:f>SUM(M1951:N1951)</x:f>
        <x:v>0.3549</x:v>
      </x:c>
    </x:row>
    <x:row r="1952" ht="23" customHeight="1">
      <x:c r="A1952" s="17" t="str">
        <x:v>U01946</x:v>
      </x:c>
      <x:c r="B1952" s="18" t="n">
        <x:v>46286</x:v>
      </x:c>
      <x:c r="C1952" s="17" t="str">
        <x:v>W0137</x:v>
      </x:c>
      <x:c r="D1952" s="17" t="str">
        <x:v>C003</x:v>
      </x:c>
      <x:c r="E1952" s="17" t="str">
        <x:v>CampaignChat</x:v>
      </x:c>
      <x:c r="F1952" s="17" t="str">
        <x:v>Lite</x:v>
      </x:c>
      <x:c r="G1952" s="17" t="n">
        <x:v>22221</x:v>
      </x:c>
      <x:c r="H1952" s="17" t="n">
        <x:v>6230</x:v>
      </x:c>
      <x:c r="I1952" s="17" t="str">
        <x:v>First attempt</x:v>
      </x:c>
      <x:c r="J1952" s="27" t="n">
        <x:f>INDEX('Model Pricing'!$B$7:$B$8,MATCH(F1952,'Model Pricing'!$A$7:$A$8,0))</x:f>
        <x:v>10</x:v>
      </x:c>
      <x:c r="K1952" s="27" t="n">
        <x:f>INDEX('Model Pricing'!$C$7:$C$8,MATCH(F1952,'Model Pricing'!$A$7:$A$8,0))</x:f>
        <x:v>30</x:v>
      </x:c>
      <x:c r="L1952" s="17" t="n">
        <x:f>G1952+H1952</x:f>
        <x:v>28451</x:v>
      </x:c>
      <x:c r="M1952" s="28" t="n">
        <x:f>G1952*J1952/1000000</x:f>
        <x:v>0.22221</x:v>
      </x:c>
      <x:c r="N1952" s="28" t="n">
        <x:f>H1952*K1952/1000000</x:f>
        <x:v>0.1869</x:v>
      </x:c>
      <x:c r="O1952" s="28" t="n">
        <x:f>SUM(M1952:N1952)</x:f>
        <x:v>0.40911</x:v>
      </x:c>
    </x:row>
    <x:row r="1953" ht="23" customHeight="1">
      <x:c r="A1953" s="17" t="str">
        <x:v>U01947</x:v>
      </x:c>
      <x:c r="B1953" s="18" t="n">
        <x:v>46286</x:v>
      </x:c>
      <x:c r="C1953" s="17" t="str">
        <x:v>W0137</x:v>
      </x:c>
      <x:c r="D1953" s="17" t="str">
        <x:v>C003</x:v>
      </x:c>
      <x:c r="E1953" s="17" t="str">
        <x:v>CampaignChat</x:v>
      </x:c>
      <x:c r="F1953" s="17" t="str">
        <x:v>Lite</x:v>
      </x:c>
      <x:c r="G1953" s="17" t="n">
        <x:v>24648</x:v>
      </x:c>
      <x:c r="H1953" s="17" t="n">
        <x:v>6395</x:v>
      </x:c>
      <x:c r="I1953" s="17" t="str">
        <x:v>Correction</x:v>
      </x:c>
      <x:c r="J1953" s="27" t="n">
        <x:f>INDEX('Model Pricing'!$B$7:$B$8,MATCH(F1953,'Model Pricing'!$A$7:$A$8,0))</x:f>
        <x:v>10</x:v>
      </x:c>
      <x:c r="K1953" s="27" t="n">
        <x:f>INDEX('Model Pricing'!$C$7:$C$8,MATCH(F1953,'Model Pricing'!$A$7:$A$8,0))</x:f>
        <x:v>30</x:v>
      </x:c>
      <x:c r="L1953" s="17" t="n">
        <x:f>G1953+H1953</x:f>
        <x:v>31043</x:v>
      </x:c>
      <x:c r="M1953" s="28" t="n">
        <x:f>G1953*J1953/1000000</x:f>
        <x:v>0.24648</x:v>
      </x:c>
      <x:c r="N1953" s="28" t="n">
        <x:f>H1953*K1953/1000000</x:f>
        <x:v>0.19185</x:v>
      </x:c>
      <x:c r="O1953" s="28" t="n">
        <x:f>SUM(M1953:N1953)</x:f>
        <x:v>0.43833</x:v>
      </x:c>
    </x:row>
    <x:row r="1954" ht="23" customHeight="1">
      <x:c r="A1954" s="17" t="str">
        <x:v>U01948</x:v>
      </x:c>
      <x:c r="B1954" s="18" t="n">
        <x:v>46286</x:v>
      </x:c>
      <x:c r="C1954" s="17" t="str">
        <x:v>W0137</x:v>
      </x:c>
      <x:c r="D1954" s="17" t="str">
        <x:v>C003</x:v>
      </x:c>
      <x:c r="E1954" s="17" t="str">
        <x:v>CampaignChat</x:v>
      </x:c>
      <x:c r="F1954" s="17" t="str">
        <x:v>Lite</x:v>
      </x:c>
      <x:c r="G1954" s="17" t="n">
        <x:v>14200</x:v>
      </x:c>
      <x:c r="H1954" s="17" t="n">
        <x:v>2064</x:v>
      </x:c>
      <x:c r="I1954" s="17" t="str">
        <x:v>Followup</x:v>
      </x:c>
      <x:c r="J1954" s="27" t="n">
        <x:f>INDEX('Model Pricing'!$B$7:$B$8,MATCH(F1954,'Model Pricing'!$A$7:$A$8,0))</x:f>
        <x:v>10</x:v>
      </x:c>
      <x:c r="K1954" s="27" t="n">
        <x:f>INDEX('Model Pricing'!$C$7:$C$8,MATCH(F1954,'Model Pricing'!$A$7:$A$8,0))</x:f>
        <x:v>30</x:v>
      </x:c>
      <x:c r="L1954" s="17" t="n">
        <x:f>G1954+H1954</x:f>
        <x:v>16264</x:v>
      </x:c>
      <x:c r="M1954" s="28" t="n">
        <x:f>G1954*J1954/1000000</x:f>
        <x:v>0.142</x:v>
      </x:c>
      <x:c r="N1954" s="28" t="n">
        <x:f>H1954*K1954/1000000</x:f>
        <x:v>0.06192</x:v>
      </x:c>
      <x:c r="O1954" s="28" t="n">
        <x:f>SUM(M1954:N1954)</x:f>
        <x:v>0.20392</x:v>
      </x:c>
    </x:row>
    <x:row r="1955" ht="23" customHeight="1">
      <x:c r="A1955" s="17" t="str">
        <x:v>U01949</x:v>
      </x:c>
      <x:c r="B1955" s="18" t="n">
        <x:v>46287</x:v>
      </x:c>
      <x:c r="C1955" s="17" t="str">
        <x:v>W0137</x:v>
      </x:c>
      <x:c r="D1955" s="17" t="str">
        <x:v>C003</x:v>
      </x:c>
      <x:c r="E1955" s="17" t="str">
        <x:v>CampaignChat</x:v>
      </x:c>
      <x:c r="F1955" s="17" t="str">
        <x:v>Lite</x:v>
      </x:c>
      <x:c r="G1955" s="17" t="n">
        <x:v>11359</x:v>
      </x:c>
      <x:c r="H1955" s="17" t="n">
        <x:v>1819</x:v>
      </x:c>
      <x:c r="I1955" s="17" t="str">
        <x:v>Followup</x:v>
      </x:c>
      <x:c r="J1955" s="27" t="n">
        <x:f>INDEX('Model Pricing'!$B$7:$B$8,MATCH(F1955,'Model Pricing'!$A$7:$A$8,0))</x:f>
        <x:v>10</x:v>
      </x:c>
      <x:c r="K1955" s="27" t="n">
        <x:f>INDEX('Model Pricing'!$C$7:$C$8,MATCH(F1955,'Model Pricing'!$A$7:$A$8,0))</x:f>
        <x:v>30</x:v>
      </x:c>
      <x:c r="L1955" s="17" t="n">
        <x:f>G1955+H1955</x:f>
        <x:v>13178</x:v>
      </x:c>
      <x:c r="M1955" s="28" t="n">
        <x:f>G1955*J1955/1000000</x:f>
        <x:v>0.11359</x:v>
      </x:c>
      <x:c r="N1955" s="28" t="n">
        <x:f>H1955*K1955/1000000</x:f>
        <x:v>0.05457</x:v>
      </x:c>
      <x:c r="O1955" s="28" t="n">
        <x:f>SUM(M1955:N1955)</x:f>
        <x:v>0.16816</x:v>
      </x:c>
    </x:row>
    <x:row r="1956" ht="23" customHeight="1">
      <x:c r="A1956" s="17" t="str">
        <x:v>U01950</x:v>
      </x:c>
      <x:c r="B1956" s="18" t="n">
        <x:v>46287</x:v>
      </x:c>
      <x:c r="C1956" s="17" t="str">
        <x:v>W0137</x:v>
      </x:c>
      <x:c r="D1956" s="17" t="str">
        <x:v>C003</x:v>
      </x:c>
      <x:c r="E1956" s="17" t="str">
        <x:v>CampaignChat</x:v>
      </x:c>
      <x:c r="F1956" s="17" t="str">
        <x:v>Lite</x:v>
      </x:c>
      <x:c r="G1956" s="17" t="n">
        <x:v>26979</x:v>
      </x:c>
      <x:c r="H1956" s="17" t="n">
        <x:v>5709</x:v>
      </x:c>
      <x:c r="I1956" s="17" t="str">
        <x:v>Correction</x:v>
      </x:c>
      <x:c r="J1956" s="27" t="n">
        <x:f>INDEX('Model Pricing'!$B$7:$B$8,MATCH(F1956,'Model Pricing'!$A$7:$A$8,0))</x:f>
        <x:v>10</x:v>
      </x:c>
      <x:c r="K1956" s="27" t="n">
        <x:f>INDEX('Model Pricing'!$C$7:$C$8,MATCH(F1956,'Model Pricing'!$A$7:$A$8,0))</x:f>
        <x:v>30</x:v>
      </x:c>
      <x:c r="L1956" s="17" t="n">
        <x:f>G1956+H1956</x:f>
        <x:v>32688</x:v>
      </x:c>
      <x:c r="M1956" s="28" t="n">
        <x:f>G1956*J1956/1000000</x:f>
        <x:v>0.26979</x:v>
      </x:c>
      <x:c r="N1956" s="28" t="n">
        <x:f>H1956*K1956/1000000</x:f>
        <x:v>0.17127</x:v>
      </x:c>
      <x:c r="O1956" s="28" t="n">
        <x:f>SUM(M1956:N1956)</x:f>
        <x:v>0.44106</x:v>
      </x:c>
    </x:row>
    <x:row r="1957" ht="23" customHeight="1">
      <x:c r="A1957" s="17" t="str">
        <x:v>U01951</x:v>
      </x:c>
      <x:c r="B1957" s="18" t="n">
        <x:v>46288</x:v>
      </x:c>
      <x:c r="C1957" s="17" t="str">
        <x:v>W0137</x:v>
      </x:c>
      <x:c r="D1957" s="17" t="str">
        <x:v>C003</x:v>
      </x:c>
      <x:c r="E1957" s="17" t="str">
        <x:v>CampaignChat</x:v>
      </x:c>
      <x:c r="F1957" s="17" t="str">
        <x:v>Lite</x:v>
      </x:c>
      <x:c r="G1957" s="17" t="n">
        <x:v>14830</x:v>
      </x:c>
      <x:c r="H1957" s="17" t="n">
        <x:v>2933</x:v>
      </x:c>
      <x:c r="I1957" s="17" t="str">
        <x:v>Followup</x:v>
      </x:c>
      <x:c r="J1957" s="27" t="n">
        <x:f>INDEX('Model Pricing'!$B$7:$B$8,MATCH(F1957,'Model Pricing'!$A$7:$A$8,0))</x:f>
        <x:v>10</x:v>
      </x:c>
      <x:c r="K1957" s="27" t="n">
        <x:f>INDEX('Model Pricing'!$C$7:$C$8,MATCH(F1957,'Model Pricing'!$A$7:$A$8,0))</x:f>
        <x:v>30</x:v>
      </x:c>
      <x:c r="L1957" s="17" t="n">
        <x:f>G1957+H1957</x:f>
        <x:v>17763</x:v>
      </x:c>
      <x:c r="M1957" s="28" t="n">
        <x:f>G1957*J1957/1000000</x:f>
        <x:v>0.1483</x:v>
      </x:c>
      <x:c r="N1957" s="28" t="n">
        <x:f>H1957*K1957/1000000</x:f>
        <x:v>0.08799</x:v>
      </x:c>
      <x:c r="O1957" s="28" t="n">
        <x:f>SUM(M1957:N1957)</x:f>
        <x:v>0.23629</x:v>
      </x:c>
    </x:row>
    <x:row r="1958" ht="23" customHeight="1">
      <x:c r="A1958" s="17" t="str">
        <x:v>U01952</x:v>
      </x:c>
      <x:c r="B1958" s="18" t="n">
        <x:v>46288</x:v>
      </x:c>
      <x:c r="C1958" s="17" t="str">
        <x:v>W0137</x:v>
      </x:c>
      <x:c r="D1958" s="17" t="str">
        <x:v>C003</x:v>
      </x:c>
      <x:c r="E1958" s="17" t="str">
        <x:v>CampaignChat</x:v>
      </x:c>
      <x:c r="F1958" s="17" t="str">
        <x:v>Lite</x:v>
      </x:c>
      <x:c r="G1958" s="17" t="n">
        <x:v>27496</x:v>
      </x:c>
      <x:c r="H1958" s="17" t="n">
        <x:v>4166</x:v>
      </x:c>
      <x:c r="I1958" s="17" t="str">
        <x:v>Followup</x:v>
      </x:c>
      <x:c r="J1958" s="27" t="n">
        <x:f>INDEX('Model Pricing'!$B$7:$B$8,MATCH(F1958,'Model Pricing'!$A$7:$A$8,0))</x:f>
        <x:v>10</x:v>
      </x:c>
      <x:c r="K1958" s="27" t="n">
        <x:f>INDEX('Model Pricing'!$C$7:$C$8,MATCH(F1958,'Model Pricing'!$A$7:$A$8,0))</x:f>
        <x:v>30</x:v>
      </x:c>
      <x:c r="L1958" s="17" t="n">
        <x:f>G1958+H1958</x:f>
        <x:v>31662</x:v>
      </x:c>
      <x:c r="M1958" s="28" t="n">
        <x:f>G1958*J1958/1000000</x:f>
        <x:v>0.27496</x:v>
      </x:c>
      <x:c r="N1958" s="28" t="n">
        <x:f>H1958*K1958/1000000</x:f>
        <x:v>0.12498</x:v>
      </x:c>
      <x:c r="O1958" s="28" t="n">
        <x:f>SUM(M1958:N1958)</x:f>
        <x:v>0.39993999999999996</x:v>
      </x:c>
    </x:row>
    <x:row r="1959" ht="23" customHeight="1">
      <x:c r="A1959" s="17" t="str">
        <x:v>U01953</x:v>
      </x:c>
      <x:c r="B1959" s="18" t="n">
        <x:v>46289</x:v>
      </x:c>
      <x:c r="C1959" s="17" t="str">
        <x:v>W0137</x:v>
      </x:c>
      <x:c r="D1959" s="17" t="str">
        <x:v>C003</x:v>
      </x:c>
      <x:c r="E1959" s="17" t="str">
        <x:v>CampaignChat</x:v>
      </x:c>
      <x:c r="F1959" s="17" t="str">
        <x:v>Lite</x:v>
      </x:c>
      <x:c r="G1959" s="17" t="n">
        <x:v>12883</x:v>
      </x:c>
      <x:c r="H1959" s="17" t="n">
        <x:v>4810</x:v>
      </x:c>
      <x:c r="I1959" s="17" t="str">
        <x:v>Followup</x:v>
      </x:c>
      <x:c r="J1959" s="27" t="n">
        <x:f>INDEX('Model Pricing'!$B$7:$B$8,MATCH(F1959,'Model Pricing'!$A$7:$A$8,0))</x:f>
        <x:v>10</x:v>
      </x:c>
      <x:c r="K1959" s="27" t="n">
        <x:f>INDEX('Model Pricing'!$C$7:$C$8,MATCH(F1959,'Model Pricing'!$A$7:$A$8,0))</x:f>
        <x:v>30</x:v>
      </x:c>
      <x:c r="L1959" s="17" t="n">
        <x:f>G1959+H1959</x:f>
        <x:v>17693</x:v>
      </x:c>
      <x:c r="M1959" s="28" t="n">
        <x:f>G1959*J1959/1000000</x:f>
        <x:v>0.12883</x:v>
      </x:c>
      <x:c r="N1959" s="28" t="n">
        <x:f>H1959*K1959/1000000</x:f>
        <x:v>0.1443</x:v>
      </x:c>
      <x:c r="O1959" s="28" t="n">
        <x:f>SUM(M1959:N1959)</x:f>
        <x:v>0.27313</x:v>
      </x:c>
    </x:row>
    <x:row r="1960" ht="23" customHeight="1">
      <x:c r="A1960" s="17" t="str">
        <x:v>U01954</x:v>
      </x:c>
      <x:c r="B1960" s="18" t="n">
        <x:v>46289</x:v>
      </x:c>
      <x:c r="C1960" s="17" t="str">
        <x:v>W0137</x:v>
      </x:c>
      <x:c r="D1960" s="17" t="str">
        <x:v>C003</x:v>
      </x:c>
      <x:c r="E1960" s="17" t="str">
        <x:v>CampaignChat</x:v>
      </x:c>
      <x:c r="F1960" s="17" t="str">
        <x:v>Lite</x:v>
      </x:c>
      <x:c r="G1960" s="17" t="n">
        <x:v>16314</x:v>
      </x:c>
      <x:c r="H1960" s="17" t="n">
        <x:v>3588</x:v>
      </x:c>
      <x:c r="I1960" s="17" t="str">
        <x:v>Followup</x:v>
      </x:c>
      <x:c r="J1960" s="27" t="n">
        <x:f>INDEX('Model Pricing'!$B$7:$B$8,MATCH(F1960,'Model Pricing'!$A$7:$A$8,0))</x:f>
        <x:v>10</x:v>
      </x:c>
      <x:c r="K1960" s="27" t="n">
        <x:f>INDEX('Model Pricing'!$C$7:$C$8,MATCH(F1960,'Model Pricing'!$A$7:$A$8,0))</x:f>
        <x:v>30</x:v>
      </x:c>
      <x:c r="L1960" s="17" t="n">
        <x:f>G1960+H1960</x:f>
        <x:v>19902</x:v>
      </x:c>
      <x:c r="M1960" s="28" t="n">
        <x:f>G1960*J1960/1000000</x:f>
        <x:v>0.16314</x:v>
      </x:c>
      <x:c r="N1960" s="28" t="n">
        <x:f>H1960*K1960/1000000</x:f>
        <x:v>0.10764</x:v>
      </x:c>
      <x:c r="O1960" s="28" t="n">
        <x:f>SUM(M1960:N1960)</x:f>
        <x:v>0.27078</x:v>
      </x:c>
    </x:row>
    <x:row r="1961" ht="23" customHeight="1">
      <x:c r="A1961" s="17" t="str">
        <x:v>U01955</x:v>
      </x:c>
      <x:c r="B1961" s="18" t="n">
        <x:v>46289</x:v>
      </x:c>
      <x:c r="C1961" s="17" t="str">
        <x:v>W0140</x:v>
      </x:c>
      <x:c r="D1961" s="17" t="str">
        <x:v>C003</x:v>
      </x:c>
      <x:c r="E1961" s="17" t="str">
        <x:v>DataFlow</x:v>
      </x:c>
      <x:c r="F1961" s="17" t="str">
        <x:v>Lite</x:v>
      </x:c>
      <x:c r="G1961" s="17" t="n">
        <x:v>18742</x:v>
      </x:c>
      <x:c r="H1961" s="17" t="n">
        <x:v>4469</x:v>
      </x:c>
      <x:c r="I1961" s="17" t="str">
        <x:v>First attempt</x:v>
      </x:c>
      <x:c r="J1961" s="27" t="n">
        <x:f>INDEX('Model Pricing'!$B$7:$B$8,MATCH(F1961,'Model Pricing'!$A$7:$A$8,0))</x:f>
        <x:v>10</x:v>
      </x:c>
      <x:c r="K1961" s="27" t="n">
        <x:f>INDEX('Model Pricing'!$C$7:$C$8,MATCH(F1961,'Model Pricing'!$A$7:$A$8,0))</x:f>
        <x:v>30</x:v>
      </x:c>
      <x:c r="L1961" s="17" t="n">
        <x:f>G1961+H1961</x:f>
        <x:v>23211</x:v>
      </x:c>
      <x:c r="M1961" s="28" t="n">
        <x:f>G1961*J1961/1000000</x:f>
        <x:v>0.18742</x:v>
      </x:c>
      <x:c r="N1961" s="28" t="n">
        <x:f>H1961*K1961/1000000</x:f>
        <x:v>0.13407</x:v>
      </x:c>
      <x:c r="O1961" s="28" t="n">
        <x:f>SUM(M1961:N1961)</x:f>
        <x:v>0.32149</x:v>
      </x:c>
    </x:row>
    <x:row r="1962" ht="23" customHeight="1">
      <x:c r="A1962" s="17" t="str">
        <x:v>U01956</x:v>
      </x:c>
      <x:c r="B1962" s="18" t="n">
        <x:v>46289</x:v>
      </x:c>
      <x:c r="C1962" s="17" t="str">
        <x:v>W0140</x:v>
      </x:c>
      <x:c r="D1962" s="17" t="str">
        <x:v>C003</x:v>
      </x:c>
      <x:c r="E1962" s="17" t="str">
        <x:v>DataFlow</x:v>
      </x:c>
      <x:c r="F1962" s="17" t="str">
        <x:v>Lite</x:v>
      </x:c>
      <x:c r="G1962" s="17" t="n">
        <x:v>33454</x:v>
      </x:c>
      <x:c r="H1962" s="17" t="n">
        <x:v>5803</x:v>
      </x:c>
      <x:c r="I1962" s="17" t="str">
        <x:v>Followup</x:v>
      </x:c>
      <x:c r="J1962" s="27" t="n">
        <x:f>INDEX('Model Pricing'!$B$7:$B$8,MATCH(F1962,'Model Pricing'!$A$7:$A$8,0))</x:f>
        <x:v>10</x:v>
      </x:c>
      <x:c r="K1962" s="27" t="n">
        <x:f>INDEX('Model Pricing'!$C$7:$C$8,MATCH(F1962,'Model Pricing'!$A$7:$A$8,0))</x:f>
        <x:v>30</x:v>
      </x:c>
      <x:c r="L1962" s="17" t="n">
        <x:f>G1962+H1962</x:f>
        <x:v>39257</x:v>
      </x:c>
      <x:c r="M1962" s="28" t="n">
        <x:f>G1962*J1962/1000000</x:f>
        <x:v>0.33454</x:v>
      </x:c>
      <x:c r="N1962" s="28" t="n">
        <x:f>H1962*K1962/1000000</x:f>
        <x:v>0.17409</x:v>
      </x:c>
      <x:c r="O1962" s="28" t="n">
        <x:f>SUM(M1962:N1962)</x:f>
        <x:v>0.50863</x:v>
      </x:c>
    </x:row>
    <x:row r="1963" ht="23" customHeight="1">
      <x:c r="A1963" s="17" t="str">
        <x:v>U01957</x:v>
      </x:c>
      <x:c r="B1963" s="18" t="n">
        <x:v>46289</x:v>
      </x:c>
      <x:c r="C1963" s="17" t="str">
        <x:v>W0140</x:v>
      </x:c>
      <x:c r="D1963" s="17" t="str">
        <x:v>C003</x:v>
      </x:c>
      <x:c r="E1963" s="17" t="str">
        <x:v>DataFlow</x:v>
      </x:c>
      <x:c r="F1963" s="17" t="str">
        <x:v>Lite</x:v>
      </x:c>
      <x:c r="G1963" s="17" t="n">
        <x:v>21868</x:v>
      </x:c>
      <x:c r="H1963" s="17" t="n">
        <x:v>5848</x:v>
      </x:c>
      <x:c r="I1963" s="17" t="str">
        <x:v>Followup</x:v>
      </x:c>
      <x:c r="J1963" s="27" t="n">
        <x:f>INDEX('Model Pricing'!$B$7:$B$8,MATCH(F1963,'Model Pricing'!$A$7:$A$8,0))</x:f>
        <x:v>10</x:v>
      </x:c>
      <x:c r="K1963" s="27" t="n">
        <x:f>INDEX('Model Pricing'!$C$7:$C$8,MATCH(F1963,'Model Pricing'!$A$7:$A$8,0))</x:f>
        <x:v>30</x:v>
      </x:c>
      <x:c r="L1963" s="17" t="n">
        <x:f>G1963+H1963</x:f>
        <x:v>27716</x:v>
      </x:c>
      <x:c r="M1963" s="28" t="n">
        <x:f>G1963*J1963/1000000</x:f>
        <x:v>0.21868</x:v>
      </x:c>
      <x:c r="N1963" s="28" t="n">
        <x:f>H1963*K1963/1000000</x:f>
        <x:v>0.17544</x:v>
      </x:c>
      <x:c r="O1963" s="28" t="n">
        <x:f>SUM(M1963:N1963)</x:f>
        <x:v>0.39412</x:v>
      </x:c>
    </x:row>
    <x:row r="1964" ht="23" customHeight="1">
      <x:c r="A1964" s="17" t="str">
        <x:v>U01958</x:v>
      </x:c>
      <x:c r="B1964" s="18" t="n">
        <x:v>46289</x:v>
      </x:c>
      <x:c r="C1964" s="17" t="str">
        <x:v>W0140</x:v>
      </x:c>
      <x:c r="D1964" s="17" t="str">
        <x:v>C003</x:v>
      </x:c>
      <x:c r="E1964" s="17" t="str">
        <x:v>DataFlow</x:v>
      </x:c>
      <x:c r="F1964" s="17" t="str">
        <x:v>Lite</x:v>
      </x:c>
      <x:c r="G1964" s="17" t="n">
        <x:v>32336</x:v>
      </x:c>
      <x:c r="H1964" s="17" t="n">
        <x:v>9489</x:v>
      </x:c>
      <x:c r="I1964" s="17" t="str">
        <x:v>Followup</x:v>
      </x:c>
      <x:c r="J1964" s="27" t="n">
        <x:f>INDEX('Model Pricing'!$B$7:$B$8,MATCH(F1964,'Model Pricing'!$A$7:$A$8,0))</x:f>
        <x:v>10</x:v>
      </x:c>
      <x:c r="K1964" s="27" t="n">
        <x:f>INDEX('Model Pricing'!$C$7:$C$8,MATCH(F1964,'Model Pricing'!$A$7:$A$8,0))</x:f>
        <x:v>30</x:v>
      </x:c>
      <x:c r="L1964" s="17" t="n">
        <x:f>G1964+H1964</x:f>
        <x:v>41825</x:v>
      </x:c>
      <x:c r="M1964" s="28" t="n">
        <x:f>G1964*J1964/1000000</x:f>
        <x:v>0.32336</x:v>
      </x:c>
      <x:c r="N1964" s="28" t="n">
        <x:f>H1964*K1964/1000000</x:f>
        <x:v>0.28467</x:v>
      </x:c>
      <x:c r="O1964" s="28" t="n">
        <x:f>SUM(M1964:N1964)</x:f>
        <x:v>0.60803</x:v>
      </x:c>
    </x:row>
    <x:row r="1965" ht="23" customHeight="1">
      <x:c r="A1965" s="17" t="str">
        <x:v>U01959</x:v>
      </x:c>
      <x:c r="B1965" s="18" t="n">
        <x:v>46289</x:v>
      </x:c>
      <x:c r="C1965" s="17" t="str">
        <x:v>W0140</x:v>
      </x:c>
      <x:c r="D1965" s="17" t="str">
        <x:v>C003</x:v>
      </x:c>
      <x:c r="E1965" s="17" t="str">
        <x:v>DataFlow</x:v>
      </x:c>
      <x:c r="F1965" s="17" t="str">
        <x:v>Lite</x:v>
      </x:c>
      <x:c r="G1965" s="17" t="n">
        <x:v>24111</x:v>
      </x:c>
      <x:c r="H1965" s="17" t="n">
        <x:v>5993</x:v>
      </x:c>
      <x:c r="I1965" s="17" t="str">
        <x:v>Correction</x:v>
      </x:c>
      <x:c r="J1965" s="27" t="n">
        <x:f>INDEX('Model Pricing'!$B$7:$B$8,MATCH(F1965,'Model Pricing'!$A$7:$A$8,0))</x:f>
        <x:v>10</x:v>
      </x:c>
      <x:c r="K1965" s="27" t="n">
        <x:f>INDEX('Model Pricing'!$C$7:$C$8,MATCH(F1965,'Model Pricing'!$A$7:$A$8,0))</x:f>
        <x:v>30</x:v>
      </x:c>
      <x:c r="L1965" s="17" t="n">
        <x:f>G1965+H1965</x:f>
        <x:v>30104</x:v>
      </x:c>
      <x:c r="M1965" s="28" t="n">
        <x:f>G1965*J1965/1000000</x:f>
        <x:v>0.24111</x:v>
      </x:c>
      <x:c r="N1965" s="28" t="n">
        <x:f>H1965*K1965/1000000</x:f>
        <x:v>0.17979</x:v>
      </x:c>
      <x:c r="O1965" s="28" t="n">
        <x:f>SUM(M1965:N1965)</x:f>
        <x:v>0.4209</x:v>
      </x:c>
    </x:row>
    <x:row r="1966" ht="23" customHeight="1">
      <x:c r="A1966" s="17" t="str">
        <x:v>U01960</x:v>
      </x:c>
      <x:c r="B1966" s="18" t="n">
        <x:v>46290</x:v>
      </x:c>
      <x:c r="C1966" s="17" t="str">
        <x:v>W0140</x:v>
      </x:c>
      <x:c r="D1966" s="17" t="str">
        <x:v>C003</x:v>
      </x:c>
      <x:c r="E1966" s="17" t="str">
        <x:v>DataFlow</x:v>
      </x:c>
      <x:c r="F1966" s="17" t="str">
        <x:v>Lite</x:v>
      </x:c>
      <x:c r="G1966" s="17" t="n">
        <x:v>32474</x:v>
      </x:c>
      <x:c r="H1966" s="17" t="n">
        <x:v>10623</x:v>
      </x:c>
      <x:c r="I1966" s="17" t="str">
        <x:v>Followup</x:v>
      </x:c>
      <x:c r="J1966" s="27" t="n">
        <x:f>INDEX('Model Pricing'!$B$7:$B$8,MATCH(F1966,'Model Pricing'!$A$7:$A$8,0))</x:f>
        <x:v>10</x:v>
      </x:c>
      <x:c r="K1966" s="27" t="n">
        <x:f>INDEX('Model Pricing'!$C$7:$C$8,MATCH(F1966,'Model Pricing'!$A$7:$A$8,0))</x:f>
        <x:v>30</x:v>
      </x:c>
      <x:c r="L1966" s="17" t="n">
        <x:f>G1966+H1966</x:f>
        <x:v>43097</x:v>
      </x:c>
      <x:c r="M1966" s="28" t="n">
        <x:f>G1966*J1966/1000000</x:f>
        <x:v>0.32474</x:v>
      </x:c>
      <x:c r="N1966" s="28" t="n">
        <x:f>H1966*K1966/1000000</x:f>
        <x:v>0.31869</x:v>
      </x:c>
      <x:c r="O1966" s="28" t="n">
        <x:f>SUM(M1966:N1966)</x:f>
        <x:v>0.64343</x:v>
      </x:c>
    </x:row>
    <x:row r="1967" ht="23" customHeight="1">
      <x:c r="A1967" s="17" t="str">
        <x:v>U01961</x:v>
      </x:c>
      <x:c r="B1967" s="18" t="n">
        <x:v>46290</x:v>
      </x:c>
      <x:c r="C1967" s="17" t="str">
        <x:v>W0140</x:v>
      </x:c>
      <x:c r="D1967" s="17" t="str">
        <x:v>C003</x:v>
      </x:c>
      <x:c r="E1967" s="17" t="str">
        <x:v>DataFlow</x:v>
      </x:c>
      <x:c r="F1967" s="17" t="str">
        <x:v>Lite</x:v>
      </x:c>
      <x:c r="G1967" s="17" t="n">
        <x:v>32782</x:v>
      </x:c>
      <x:c r="H1967" s="17" t="n">
        <x:v>6141</x:v>
      </x:c>
      <x:c r="I1967" s="17" t="str">
        <x:v>Followup</x:v>
      </x:c>
      <x:c r="J1967" s="27" t="n">
        <x:f>INDEX('Model Pricing'!$B$7:$B$8,MATCH(F1967,'Model Pricing'!$A$7:$A$8,0))</x:f>
        <x:v>10</x:v>
      </x:c>
      <x:c r="K1967" s="27" t="n">
        <x:f>INDEX('Model Pricing'!$C$7:$C$8,MATCH(F1967,'Model Pricing'!$A$7:$A$8,0))</x:f>
        <x:v>30</x:v>
      </x:c>
      <x:c r="L1967" s="17" t="n">
        <x:f>G1967+H1967</x:f>
        <x:v>38923</x:v>
      </x:c>
      <x:c r="M1967" s="28" t="n">
        <x:f>G1967*J1967/1000000</x:f>
        <x:v>0.32782</x:v>
      </x:c>
      <x:c r="N1967" s="28" t="n">
        <x:f>H1967*K1967/1000000</x:f>
        <x:v>0.18423</x:v>
      </x:c>
      <x:c r="O1967" s="28" t="n">
        <x:f>SUM(M1967:N1967)</x:f>
        <x:v>0.51205</x:v>
      </x:c>
    </x:row>
    <x:row r="1968" ht="23" customHeight="1">
      <x:c r="A1968" s="17" t="str">
        <x:v>U01962</x:v>
      </x:c>
      <x:c r="B1968" s="18" t="n">
        <x:v>46290</x:v>
      </x:c>
      <x:c r="C1968" s="17" t="str">
        <x:v>W0140</x:v>
      </x:c>
      <x:c r="D1968" s="17" t="str">
        <x:v>C003</x:v>
      </x:c>
      <x:c r="E1968" s="17" t="str">
        <x:v>DataFlow</x:v>
      </x:c>
      <x:c r="F1968" s="17" t="str">
        <x:v>Lite</x:v>
      </x:c>
      <x:c r="G1968" s="17" t="n">
        <x:v>15684</x:v>
      </x:c>
      <x:c r="H1968" s="17" t="n">
        <x:v>4244</x:v>
      </x:c>
      <x:c r="I1968" s="17" t="str">
        <x:v>Correction</x:v>
      </x:c>
      <x:c r="J1968" s="27" t="n">
        <x:f>INDEX('Model Pricing'!$B$7:$B$8,MATCH(F1968,'Model Pricing'!$A$7:$A$8,0))</x:f>
        <x:v>10</x:v>
      </x:c>
      <x:c r="K1968" s="27" t="n">
        <x:f>INDEX('Model Pricing'!$C$7:$C$8,MATCH(F1968,'Model Pricing'!$A$7:$A$8,0))</x:f>
        <x:v>30</x:v>
      </x:c>
      <x:c r="L1968" s="17" t="n">
        <x:f>G1968+H1968</x:f>
        <x:v>19928</x:v>
      </x:c>
      <x:c r="M1968" s="28" t="n">
        <x:f>G1968*J1968/1000000</x:f>
        <x:v>0.15684</x:v>
      </x:c>
      <x:c r="N1968" s="28" t="n">
        <x:f>H1968*K1968/1000000</x:f>
        <x:v>0.12732</x:v>
      </x:c>
      <x:c r="O1968" s="28" t="n">
        <x:f>SUM(M1968:N1968)</x:f>
        <x:v>0.28415999999999997</x:v>
      </x:c>
    </x:row>
    <x:row r="1969" ht="23" customHeight="1">
      <x:c r="A1969" s="17" t="str">
        <x:v>U01963</x:v>
      </x:c>
      <x:c r="B1969" s="18" t="n">
        <x:v>46290</x:v>
      </x:c>
      <x:c r="C1969" s="17" t="str">
        <x:v>W0140</x:v>
      </x:c>
      <x:c r="D1969" s="17" t="str">
        <x:v>C003</x:v>
      </x:c>
      <x:c r="E1969" s="17" t="str">
        <x:v>DataFlow</x:v>
      </x:c>
      <x:c r="F1969" s="17" t="str">
        <x:v>Lite</x:v>
      </x:c>
      <x:c r="G1969" s="17" t="n">
        <x:v>14990</x:v>
      </x:c>
      <x:c r="H1969" s="17" t="n">
        <x:v>3829</x:v>
      </x:c>
      <x:c r="I1969" s="17" t="str">
        <x:v>Correction</x:v>
      </x:c>
      <x:c r="J1969" s="27" t="n">
        <x:f>INDEX('Model Pricing'!$B$7:$B$8,MATCH(F1969,'Model Pricing'!$A$7:$A$8,0))</x:f>
        <x:v>10</x:v>
      </x:c>
      <x:c r="K1969" s="27" t="n">
        <x:f>INDEX('Model Pricing'!$C$7:$C$8,MATCH(F1969,'Model Pricing'!$A$7:$A$8,0))</x:f>
        <x:v>30</x:v>
      </x:c>
      <x:c r="L1969" s="17" t="n">
        <x:f>G1969+H1969</x:f>
        <x:v>18819</x:v>
      </x:c>
      <x:c r="M1969" s="28" t="n">
        <x:f>G1969*J1969/1000000</x:f>
        <x:v>0.1499</x:v>
      </x:c>
      <x:c r="N1969" s="28" t="n">
        <x:f>H1969*K1969/1000000</x:f>
        <x:v>0.11487</x:v>
      </x:c>
      <x:c r="O1969" s="28" t="n">
        <x:f>SUM(M1969:N1969)</x:f>
        <x:v>0.26477</x:v>
      </x:c>
    </x:row>
    <x:row r="1970" ht="23" customHeight="1">
      <x:c r="A1970" s="17" t="str">
        <x:v>U01964</x:v>
      </x:c>
      <x:c r="B1970" s="18" t="n">
        <x:v>46290</x:v>
      </x:c>
      <x:c r="C1970" s="17" t="str">
        <x:v>W0140</x:v>
      </x:c>
      <x:c r="D1970" s="17" t="str">
        <x:v>C003</x:v>
      </x:c>
      <x:c r="E1970" s="17" t="str">
        <x:v>DataFlow</x:v>
      </x:c>
      <x:c r="F1970" s="17" t="str">
        <x:v>Lite</x:v>
      </x:c>
      <x:c r="G1970" s="17" t="n">
        <x:v>36080</x:v>
      </x:c>
      <x:c r="H1970" s="17" t="n">
        <x:v>3957</x:v>
      </x:c>
      <x:c r="I1970" s="17" t="str">
        <x:v>Followup</x:v>
      </x:c>
      <x:c r="J1970" s="27" t="n">
        <x:f>INDEX('Model Pricing'!$B$7:$B$8,MATCH(F1970,'Model Pricing'!$A$7:$A$8,0))</x:f>
        <x:v>10</x:v>
      </x:c>
      <x:c r="K1970" s="27" t="n">
        <x:f>INDEX('Model Pricing'!$C$7:$C$8,MATCH(F1970,'Model Pricing'!$A$7:$A$8,0))</x:f>
        <x:v>30</x:v>
      </x:c>
      <x:c r="L1970" s="17" t="n">
        <x:f>G1970+H1970</x:f>
        <x:v>40037</x:v>
      </x:c>
      <x:c r="M1970" s="28" t="n">
        <x:f>G1970*J1970/1000000</x:f>
        <x:v>0.3608</x:v>
      </x:c>
      <x:c r="N1970" s="28" t="n">
        <x:f>H1970*K1970/1000000</x:f>
        <x:v>0.11871</x:v>
      </x:c>
      <x:c r="O1970" s="28" t="n">
        <x:f>SUM(M1970:N1970)</x:f>
        <x:v>0.47951</x:v>
      </x:c>
    </x:row>
    <x:row r="1971" ht="23" customHeight="1">
      <x:c r="A1971" s="17" t="str">
        <x:v>U01965</x:v>
      </x:c>
      <x:c r="B1971" s="18" t="n">
        <x:v>46293</x:v>
      </x:c>
      <x:c r="C1971" s="17" t="str">
        <x:v>W0140</x:v>
      </x:c>
      <x:c r="D1971" s="17" t="str">
        <x:v>C003</x:v>
      </x:c>
      <x:c r="E1971" s="17" t="str">
        <x:v>DataFlow</x:v>
      </x:c>
      <x:c r="F1971" s="17" t="str">
        <x:v>Lite</x:v>
      </x:c>
      <x:c r="G1971" s="17" t="n">
        <x:v>35048</x:v>
      </x:c>
      <x:c r="H1971" s="17" t="n">
        <x:v>4359</x:v>
      </x:c>
      <x:c r="I1971" s="17" t="str">
        <x:v>Followup</x:v>
      </x:c>
      <x:c r="J1971" s="27" t="n">
        <x:f>INDEX('Model Pricing'!$B$7:$B$8,MATCH(F1971,'Model Pricing'!$A$7:$A$8,0))</x:f>
        <x:v>10</x:v>
      </x:c>
      <x:c r="K1971" s="27" t="n">
        <x:f>INDEX('Model Pricing'!$C$7:$C$8,MATCH(F1971,'Model Pricing'!$A$7:$A$8,0))</x:f>
        <x:v>30</x:v>
      </x:c>
      <x:c r="L1971" s="17" t="n">
        <x:f>G1971+H1971</x:f>
        <x:v>39407</x:v>
      </x:c>
      <x:c r="M1971" s="28" t="n">
        <x:f>G1971*J1971/1000000</x:f>
        <x:v>0.35048</x:v>
      </x:c>
      <x:c r="N1971" s="28" t="n">
        <x:f>H1971*K1971/1000000</x:f>
        <x:v>0.13077</x:v>
      </x:c>
      <x:c r="O1971" s="28" t="n">
        <x:f>SUM(M1971:N1971)</x:f>
        <x:v>0.48125</x:v>
      </x:c>
    </x:row>
    <x:row r="1972" ht="23" customHeight="1">
      <x:c r="A1972" s="17" t="str">
        <x:v>U01966</x:v>
      </x:c>
      <x:c r="B1972" s="18" t="n">
        <x:v>46293</x:v>
      </x:c>
      <x:c r="C1972" s="17" t="str">
        <x:v>W0140</x:v>
      </x:c>
      <x:c r="D1972" s="17" t="str">
        <x:v>C003</x:v>
      </x:c>
      <x:c r="E1972" s="17" t="str">
        <x:v>DataFlow</x:v>
      </x:c>
      <x:c r="F1972" s="17" t="str">
        <x:v>Lite</x:v>
      </x:c>
      <x:c r="G1972" s="17" t="n">
        <x:v>40772</x:v>
      </x:c>
      <x:c r="H1972" s="17" t="n">
        <x:v>8452</x:v>
      </x:c>
      <x:c r="I1972" s="17" t="str">
        <x:v>Correction</x:v>
      </x:c>
      <x:c r="J1972" s="27" t="n">
        <x:f>INDEX('Model Pricing'!$B$7:$B$8,MATCH(F1972,'Model Pricing'!$A$7:$A$8,0))</x:f>
        <x:v>10</x:v>
      </x:c>
      <x:c r="K1972" s="27" t="n">
        <x:f>INDEX('Model Pricing'!$C$7:$C$8,MATCH(F1972,'Model Pricing'!$A$7:$A$8,0))</x:f>
        <x:v>30</x:v>
      </x:c>
      <x:c r="L1972" s="17" t="n">
        <x:f>G1972+H1972</x:f>
        <x:v>49224</x:v>
      </x:c>
      <x:c r="M1972" s="28" t="n">
        <x:f>G1972*J1972/1000000</x:f>
        <x:v>0.40772</x:v>
      </x:c>
      <x:c r="N1972" s="28" t="n">
        <x:f>H1972*K1972/1000000</x:f>
        <x:v>0.25356</x:v>
      </x:c>
      <x:c r="O1972" s="28" t="n">
        <x:f>SUM(M1972:N1972)</x:f>
        <x:v>0.6612800000000001</x:v>
      </x:c>
    </x:row>
    <x:row r="1973" ht="23" customHeight="1">
      <x:c r="A1973" s="17" t="str">
        <x:v>U01967</x:v>
      </x:c>
      <x:c r="B1973" s="18" t="n">
        <x:v>46293</x:v>
      </x:c>
      <x:c r="C1973" s="17" t="str">
        <x:v>W0140</x:v>
      </x:c>
      <x:c r="D1973" s="17" t="str">
        <x:v>C003</x:v>
      </x:c>
      <x:c r="E1973" s="17" t="str">
        <x:v>DataFlow</x:v>
      </x:c>
      <x:c r="F1973" s="17" t="str">
        <x:v>Lite</x:v>
      </x:c>
      <x:c r="G1973" s="17" t="n">
        <x:v>17411</x:v>
      </x:c>
      <x:c r="H1973" s="17" t="n">
        <x:v>7345</x:v>
      </x:c>
      <x:c r="I1973" s="17" t="str">
        <x:v>Correction</x:v>
      </x:c>
      <x:c r="J1973" s="27" t="n">
        <x:f>INDEX('Model Pricing'!$B$7:$B$8,MATCH(F1973,'Model Pricing'!$A$7:$A$8,0))</x:f>
        <x:v>10</x:v>
      </x:c>
      <x:c r="K1973" s="27" t="n">
        <x:f>INDEX('Model Pricing'!$C$7:$C$8,MATCH(F1973,'Model Pricing'!$A$7:$A$8,0))</x:f>
        <x:v>30</x:v>
      </x:c>
      <x:c r="L1973" s="17" t="n">
        <x:f>G1973+H1973</x:f>
        <x:v>24756</x:v>
      </x:c>
      <x:c r="M1973" s="28" t="n">
        <x:f>G1973*J1973/1000000</x:f>
        <x:v>0.17411</x:v>
      </x:c>
      <x:c r="N1973" s="28" t="n">
        <x:f>H1973*K1973/1000000</x:f>
        <x:v>0.22035</x:v>
      </x:c>
      <x:c r="O1973" s="28" t="n">
        <x:f>SUM(M1973:N1973)</x:f>
        <x:v>0.39446</x:v>
      </x:c>
    </x:row>
    <x:row r="1974" ht="23" customHeight="1">
      <x:c r="A1974" s="17" t="str">
        <x:v>U01968</x:v>
      </x:c>
      <x:c r="B1974" s="18" t="n">
        <x:v>46293</x:v>
      </x:c>
      <x:c r="C1974" s="17" t="str">
        <x:v>W0140</x:v>
      </x:c>
      <x:c r="D1974" s="17" t="str">
        <x:v>C003</x:v>
      </x:c>
      <x:c r="E1974" s="17" t="str">
        <x:v>DataFlow</x:v>
      </x:c>
      <x:c r="F1974" s="17" t="str">
        <x:v>Lite</x:v>
      </x:c>
      <x:c r="G1974" s="17" t="n">
        <x:v>30709</x:v>
      </x:c>
      <x:c r="H1974" s="17" t="n">
        <x:v>10279</x:v>
      </x:c>
      <x:c r="I1974" s="17" t="str">
        <x:v>Followup</x:v>
      </x:c>
      <x:c r="J1974" s="27" t="n">
        <x:f>INDEX('Model Pricing'!$B$7:$B$8,MATCH(F1974,'Model Pricing'!$A$7:$A$8,0))</x:f>
        <x:v>10</x:v>
      </x:c>
      <x:c r="K1974" s="27" t="n">
        <x:f>INDEX('Model Pricing'!$C$7:$C$8,MATCH(F1974,'Model Pricing'!$A$7:$A$8,0))</x:f>
        <x:v>30</x:v>
      </x:c>
      <x:c r="L1974" s="17" t="n">
        <x:f>G1974+H1974</x:f>
        <x:v>40988</x:v>
      </x:c>
      <x:c r="M1974" s="28" t="n">
        <x:f>G1974*J1974/1000000</x:f>
        <x:v>0.30709</x:v>
      </x:c>
      <x:c r="N1974" s="28" t="n">
        <x:f>H1974*K1974/1000000</x:f>
        <x:v>0.30837</x:v>
      </x:c>
      <x:c r="O1974" s="28" t="n">
        <x:f>SUM(M1974:N1974)</x:f>
        <x:v>0.6154599999999999</x:v>
      </x:c>
    </x:row>
    <x:row r="1975" ht="23" customHeight="1">
      <x:c r="A1975" s="17" t="str">
        <x:v>U01969</x:v>
      </x:c>
      <x:c r="B1975" s="18" t="n">
        <x:v>46293</x:v>
      </x:c>
      <x:c r="C1975" s="17" t="str">
        <x:v>W0140</x:v>
      </x:c>
      <x:c r="D1975" s="17" t="str">
        <x:v>C003</x:v>
      </x:c>
      <x:c r="E1975" s="17" t="str">
        <x:v>DataFlow</x:v>
      </x:c>
      <x:c r="F1975" s="17" t="str">
        <x:v>Lite</x:v>
      </x:c>
      <x:c r="G1975" s="17" t="n">
        <x:v>17648</x:v>
      </x:c>
      <x:c r="H1975" s="17" t="n">
        <x:v>2785</x:v>
      </x:c>
      <x:c r="I1975" s="17" t="str">
        <x:v>Followup</x:v>
      </x:c>
      <x:c r="J1975" s="27" t="n">
        <x:f>INDEX('Model Pricing'!$B$7:$B$8,MATCH(F1975,'Model Pricing'!$A$7:$A$8,0))</x:f>
        <x:v>10</x:v>
      </x:c>
      <x:c r="K1975" s="27" t="n">
        <x:f>INDEX('Model Pricing'!$C$7:$C$8,MATCH(F1975,'Model Pricing'!$A$7:$A$8,0))</x:f>
        <x:v>30</x:v>
      </x:c>
      <x:c r="L1975" s="17" t="n">
        <x:f>G1975+H1975</x:f>
        <x:v>20433</x:v>
      </x:c>
      <x:c r="M1975" s="28" t="n">
        <x:f>G1975*J1975/1000000</x:f>
        <x:v>0.17648</x:v>
      </x:c>
      <x:c r="N1975" s="28" t="n">
        <x:f>H1975*K1975/1000000</x:f>
        <x:v>0.08355</x:v>
      </x:c>
      <x:c r="O1975" s="28" t="n">
        <x:f>SUM(M1975:N1975)</x:f>
        <x:v>0.26003</x:v>
      </x:c>
    </x:row>
    <x:row r="1976" ht="23" customHeight="1">
      <x:c r="A1976" s="17" t="str">
        <x:v>U01970</x:v>
      </x:c>
      <x:c r="B1976" s="18" t="n">
        <x:v>46294</x:v>
      </x:c>
      <x:c r="C1976" s="17" t="str">
        <x:v>W0140</x:v>
      </x:c>
      <x:c r="D1976" s="17" t="str">
        <x:v>C003</x:v>
      </x:c>
      <x:c r="E1976" s="17" t="str">
        <x:v>DataFlow</x:v>
      </x:c>
      <x:c r="F1976" s="17" t="str">
        <x:v>Lite</x:v>
      </x:c>
      <x:c r="G1976" s="17" t="n">
        <x:v>41973</x:v>
      </x:c>
      <x:c r="H1976" s="17" t="n">
        <x:v>5302</x:v>
      </x:c>
      <x:c r="I1976" s="17" t="str">
        <x:v>Followup</x:v>
      </x:c>
      <x:c r="J1976" s="27" t="n">
        <x:f>INDEX('Model Pricing'!$B$7:$B$8,MATCH(F1976,'Model Pricing'!$A$7:$A$8,0))</x:f>
        <x:v>10</x:v>
      </x:c>
      <x:c r="K1976" s="27" t="n">
        <x:f>INDEX('Model Pricing'!$C$7:$C$8,MATCH(F1976,'Model Pricing'!$A$7:$A$8,0))</x:f>
        <x:v>30</x:v>
      </x:c>
      <x:c r="L1976" s="17" t="n">
        <x:f>G1976+H1976</x:f>
        <x:v>47275</x:v>
      </x:c>
      <x:c r="M1976" s="28" t="n">
        <x:f>G1976*J1976/1000000</x:f>
        <x:v>0.41973</x:v>
      </x:c>
      <x:c r="N1976" s="28" t="n">
        <x:f>H1976*K1976/1000000</x:f>
        <x:v>0.15906</x:v>
      </x:c>
      <x:c r="O1976" s="28" t="n">
        <x:f>SUM(M1976:N1976)</x:f>
        <x:v>0.57879</x:v>
      </x:c>
    </x:row>
    <x:row r="1977" ht="23" customHeight="1">
      <x:c r="A1977" s="17" t="str">
        <x:v>U01971</x:v>
      </x:c>
      <x:c r="B1977" s="18" t="n">
        <x:v>46294</x:v>
      </x:c>
      <x:c r="C1977" s="17" t="str">
        <x:v>W0140</x:v>
      </x:c>
      <x:c r="D1977" s="17" t="str">
        <x:v>C003</x:v>
      </x:c>
      <x:c r="E1977" s="17" t="str">
        <x:v>DataFlow</x:v>
      </x:c>
      <x:c r="F1977" s="17" t="str">
        <x:v>Lite</x:v>
      </x:c>
      <x:c r="G1977" s="17" t="n">
        <x:v>24044</x:v>
      </x:c>
      <x:c r="H1977" s="17" t="n">
        <x:v>4853</x:v>
      </x:c>
      <x:c r="I1977" s="17" t="str">
        <x:v>Followup</x:v>
      </x:c>
      <x:c r="J1977" s="27" t="n">
        <x:f>INDEX('Model Pricing'!$B$7:$B$8,MATCH(F1977,'Model Pricing'!$A$7:$A$8,0))</x:f>
        <x:v>10</x:v>
      </x:c>
      <x:c r="K1977" s="27" t="n">
        <x:f>INDEX('Model Pricing'!$C$7:$C$8,MATCH(F1977,'Model Pricing'!$A$7:$A$8,0))</x:f>
        <x:v>30</x:v>
      </x:c>
      <x:c r="L1977" s="17" t="n">
        <x:f>G1977+H1977</x:f>
        <x:v>28897</x:v>
      </x:c>
      <x:c r="M1977" s="28" t="n">
        <x:f>G1977*J1977/1000000</x:f>
        <x:v>0.24044</x:v>
      </x:c>
      <x:c r="N1977" s="28" t="n">
        <x:f>H1977*K1977/1000000</x:f>
        <x:v>0.14559</x:v>
      </x:c>
      <x:c r="O1977" s="28" t="n">
        <x:f>SUM(M1977:N1977)</x:f>
        <x:v>0.38603</x:v>
      </x:c>
    </x:row>
    <x:row r="1978" ht="23" customHeight="1">
      <x:c r="A1978" s="17" t="str">
        <x:v>U01972</x:v>
      </x:c>
      <x:c r="B1978" s="18" t="n">
        <x:v>46294</x:v>
      </x:c>
      <x:c r="C1978" s="17" t="str">
        <x:v>W0140</x:v>
      </x:c>
      <x:c r="D1978" s="17" t="str">
        <x:v>C003</x:v>
      </x:c>
      <x:c r="E1978" s="17" t="str">
        <x:v>DataFlow</x:v>
      </x:c>
      <x:c r="F1978" s="17" t="str">
        <x:v>Lite</x:v>
      </x:c>
      <x:c r="G1978" s="17" t="n">
        <x:v>35342</x:v>
      </x:c>
      <x:c r="H1978" s="17" t="n">
        <x:v>10014</x:v>
      </x:c>
      <x:c r="I1978" s="17" t="str">
        <x:v>Followup</x:v>
      </x:c>
      <x:c r="J1978" s="27" t="n">
        <x:f>INDEX('Model Pricing'!$B$7:$B$8,MATCH(F1978,'Model Pricing'!$A$7:$A$8,0))</x:f>
        <x:v>10</x:v>
      </x:c>
      <x:c r="K1978" s="27" t="n">
        <x:f>INDEX('Model Pricing'!$C$7:$C$8,MATCH(F1978,'Model Pricing'!$A$7:$A$8,0))</x:f>
        <x:v>30</x:v>
      </x:c>
      <x:c r="L1978" s="17" t="n">
        <x:f>G1978+H1978</x:f>
        <x:v>45356</x:v>
      </x:c>
      <x:c r="M1978" s="28" t="n">
        <x:f>G1978*J1978/1000000</x:f>
        <x:v>0.35342</x:v>
      </x:c>
      <x:c r="N1978" s="28" t="n">
        <x:f>H1978*K1978/1000000</x:f>
        <x:v>0.30042</x:v>
      </x:c>
      <x:c r="O1978" s="28" t="n">
        <x:f>SUM(M1978:N1978)</x:f>
        <x:v>0.65384</x:v>
      </x:c>
    </x:row>
    <x:row r="1979" ht="23" customHeight="1">
      <x:c r="A1979" s="17" t="str">
        <x:v>U01973</x:v>
      </x:c>
      <x:c r="B1979" s="18" t="n">
        <x:v>46294</x:v>
      </x:c>
      <x:c r="C1979" s="17" t="str">
        <x:v>W0140</x:v>
      </x:c>
      <x:c r="D1979" s="17" t="str">
        <x:v>C003</x:v>
      </x:c>
      <x:c r="E1979" s="17" t="str">
        <x:v>DataFlow</x:v>
      </x:c>
      <x:c r="F1979" s="17" t="str">
        <x:v>Lite</x:v>
      </x:c>
      <x:c r="G1979" s="17" t="n">
        <x:v>41898</x:v>
      </x:c>
      <x:c r="H1979" s="17" t="n">
        <x:v>10691</x:v>
      </x:c>
      <x:c r="I1979" s="17" t="str">
        <x:v>Correction</x:v>
      </x:c>
      <x:c r="J1979" s="27" t="n">
        <x:f>INDEX('Model Pricing'!$B$7:$B$8,MATCH(F1979,'Model Pricing'!$A$7:$A$8,0))</x:f>
        <x:v>10</x:v>
      </x:c>
      <x:c r="K1979" s="27" t="n">
        <x:f>INDEX('Model Pricing'!$C$7:$C$8,MATCH(F1979,'Model Pricing'!$A$7:$A$8,0))</x:f>
        <x:v>30</x:v>
      </x:c>
      <x:c r="L1979" s="17" t="n">
        <x:f>G1979+H1979</x:f>
        <x:v>52589</x:v>
      </x:c>
      <x:c r="M1979" s="28" t="n">
        <x:f>G1979*J1979/1000000</x:f>
        <x:v>0.41898</x:v>
      </x:c>
      <x:c r="N1979" s="28" t="n">
        <x:f>H1979*K1979/1000000</x:f>
        <x:v>0.32073</x:v>
      </x:c>
      <x:c r="O1979" s="28" t="n">
        <x:f>SUM(M1979:N1979)</x:f>
        <x:v>0.7397100000000001</x:v>
      </x:c>
    </x:row>
    <x:row r="1980" ht="23" customHeight="1">
      <x:c r="A1980" s="17" t="str">
        <x:v>U01974</x:v>
      </x:c>
      <x:c r="B1980" s="18" t="n">
        <x:v>46283</x:v>
      </x:c>
      <x:c r="C1980" s="17" t="str">
        <x:v>W0142</x:v>
      </x:c>
      <x:c r="D1980" s="17" t="str">
        <x:v>C003</x:v>
      </x:c>
      <x:c r="E1980" s="17" t="str">
        <x:v>InsightDesk</x:v>
      </x:c>
      <x:c r="F1980" s="17" t="str">
        <x:v>Lite</x:v>
      </x:c>
      <x:c r="G1980" s="17" t="n">
        <x:v>26748</x:v>
      </x:c>
      <x:c r="H1980" s="17" t="n">
        <x:v>4729</x:v>
      </x:c>
      <x:c r="I1980" s="17" t="str">
        <x:v>First attempt</x:v>
      </x:c>
      <x:c r="J1980" s="27" t="n">
        <x:f>INDEX('Model Pricing'!$B$7:$B$8,MATCH(F1980,'Model Pricing'!$A$7:$A$8,0))</x:f>
        <x:v>10</x:v>
      </x:c>
      <x:c r="K1980" s="27" t="n">
        <x:f>INDEX('Model Pricing'!$C$7:$C$8,MATCH(F1980,'Model Pricing'!$A$7:$A$8,0))</x:f>
        <x:v>30</x:v>
      </x:c>
      <x:c r="L1980" s="17" t="n">
        <x:f>G1980+H1980</x:f>
        <x:v>31477</x:v>
      </x:c>
      <x:c r="M1980" s="28" t="n">
        <x:f>G1980*J1980/1000000</x:f>
        <x:v>0.26748</x:v>
      </x:c>
      <x:c r="N1980" s="28" t="n">
        <x:f>H1980*K1980/1000000</x:f>
        <x:v>0.14187</x:v>
      </x:c>
      <x:c r="O1980" s="28" t="n">
        <x:f>SUM(M1980:N1980)</x:f>
        <x:v>0.40935</x:v>
      </x:c>
    </x:row>
    <x:row r="1981" ht="23" customHeight="1">
      <x:c r="A1981" s="17" t="str">
        <x:v>U01975</x:v>
      </x:c>
      <x:c r="B1981" s="18" t="n">
        <x:v>46283</x:v>
      </x:c>
      <x:c r="C1981" s="17" t="str">
        <x:v>W0142</x:v>
      </x:c>
      <x:c r="D1981" s="17" t="str">
        <x:v>C003</x:v>
      </x:c>
      <x:c r="E1981" s="17" t="str">
        <x:v>InsightDesk</x:v>
      </x:c>
      <x:c r="F1981" s="17" t="str">
        <x:v>Lite</x:v>
      </x:c>
      <x:c r="G1981" s="17" t="n">
        <x:v>12979</x:v>
      </x:c>
      <x:c r="H1981" s="17" t="n">
        <x:v>4935</x:v>
      </x:c>
      <x:c r="I1981" s="17" t="str">
        <x:v>Followup</x:v>
      </x:c>
      <x:c r="J1981" s="27" t="n">
        <x:f>INDEX('Model Pricing'!$B$7:$B$8,MATCH(F1981,'Model Pricing'!$A$7:$A$8,0))</x:f>
        <x:v>10</x:v>
      </x:c>
      <x:c r="K1981" s="27" t="n">
        <x:f>INDEX('Model Pricing'!$C$7:$C$8,MATCH(F1981,'Model Pricing'!$A$7:$A$8,0))</x:f>
        <x:v>30</x:v>
      </x:c>
      <x:c r="L1981" s="17" t="n">
        <x:f>G1981+H1981</x:f>
        <x:v>17914</x:v>
      </x:c>
      <x:c r="M1981" s="28" t="n">
        <x:f>G1981*J1981/1000000</x:f>
        <x:v>0.12979</x:v>
      </x:c>
      <x:c r="N1981" s="28" t="n">
        <x:f>H1981*K1981/1000000</x:f>
        <x:v>0.14805</x:v>
      </x:c>
      <x:c r="O1981" s="28" t="n">
        <x:f>SUM(M1981:N1981)</x:f>
        <x:v>0.27784</x:v>
      </x:c>
    </x:row>
    <x:row r="1982" ht="23" customHeight="1">
      <x:c r="A1982" s="17" t="str">
        <x:v>U01976</x:v>
      </x:c>
      <x:c r="B1982" s="18" t="n">
        <x:v>46283</x:v>
      </x:c>
      <x:c r="C1982" s="17" t="str">
        <x:v>W0142</x:v>
      </x:c>
      <x:c r="D1982" s="17" t="str">
        <x:v>C003</x:v>
      </x:c>
      <x:c r="E1982" s="17" t="str">
        <x:v>InsightDesk</x:v>
      </x:c>
      <x:c r="F1982" s="17" t="str">
        <x:v>Lite</x:v>
      </x:c>
      <x:c r="G1982" s="17" t="n">
        <x:v>16489</x:v>
      </x:c>
      <x:c r="H1982" s="17" t="n">
        <x:v>4249</x:v>
      </x:c>
      <x:c r="I1982" s="17" t="str">
        <x:v>Followup</x:v>
      </x:c>
      <x:c r="J1982" s="27" t="n">
        <x:f>INDEX('Model Pricing'!$B$7:$B$8,MATCH(F1982,'Model Pricing'!$A$7:$A$8,0))</x:f>
        <x:v>10</x:v>
      </x:c>
      <x:c r="K1982" s="27" t="n">
        <x:f>INDEX('Model Pricing'!$C$7:$C$8,MATCH(F1982,'Model Pricing'!$A$7:$A$8,0))</x:f>
        <x:v>30</x:v>
      </x:c>
      <x:c r="L1982" s="17" t="n">
        <x:f>G1982+H1982</x:f>
        <x:v>20738</x:v>
      </x:c>
      <x:c r="M1982" s="28" t="n">
        <x:f>G1982*J1982/1000000</x:f>
        <x:v>0.16489</x:v>
      </x:c>
      <x:c r="N1982" s="28" t="n">
        <x:f>H1982*K1982/1000000</x:f>
        <x:v>0.12747</x:v>
      </x:c>
      <x:c r="O1982" s="28" t="n">
        <x:f>SUM(M1982:N1982)</x:f>
        <x:v>0.29236</x:v>
      </x:c>
    </x:row>
    <x:row r="1983" ht="23" customHeight="1">
      <x:c r="A1983" s="17" t="str">
        <x:v>U01977</x:v>
      </x:c>
      <x:c r="B1983" s="18" t="n">
        <x:v>46286</x:v>
      </x:c>
      <x:c r="C1983" s="17" t="str">
        <x:v>W0142</x:v>
      </x:c>
      <x:c r="D1983" s="17" t="str">
        <x:v>C003</x:v>
      </x:c>
      <x:c r="E1983" s="17" t="str">
        <x:v>InsightDesk</x:v>
      </x:c>
      <x:c r="F1983" s="17" t="str">
        <x:v>Lite</x:v>
      </x:c>
      <x:c r="G1983" s="17" t="n">
        <x:v>30368</x:v>
      </x:c>
      <x:c r="H1983" s="17" t="n">
        <x:v>10707</x:v>
      </x:c>
      <x:c r="I1983" s="17" t="str">
        <x:v>Followup</x:v>
      </x:c>
      <x:c r="J1983" s="27" t="n">
        <x:f>INDEX('Model Pricing'!$B$7:$B$8,MATCH(F1983,'Model Pricing'!$A$7:$A$8,0))</x:f>
        <x:v>10</x:v>
      </x:c>
      <x:c r="K1983" s="27" t="n">
        <x:f>INDEX('Model Pricing'!$C$7:$C$8,MATCH(F1983,'Model Pricing'!$A$7:$A$8,0))</x:f>
        <x:v>30</x:v>
      </x:c>
      <x:c r="L1983" s="17" t="n">
        <x:f>G1983+H1983</x:f>
        <x:v>41075</x:v>
      </x:c>
      <x:c r="M1983" s="28" t="n">
        <x:f>G1983*J1983/1000000</x:f>
        <x:v>0.30368</x:v>
      </x:c>
      <x:c r="N1983" s="28" t="n">
        <x:f>H1983*K1983/1000000</x:f>
        <x:v>0.32121</x:v>
      </x:c>
      <x:c r="O1983" s="28" t="n">
        <x:f>SUM(M1983:N1983)</x:f>
        <x:v>0.62489</x:v>
      </x:c>
    </x:row>
    <x:row r="1984" ht="23" customHeight="1">
      <x:c r="A1984" s="17" t="str">
        <x:v>U01978</x:v>
      </x:c>
      <x:c r="B1984" s="18" t="n">
        <x:v>46286</x:v>
      </x:c>
      <x:c r="C1984" s="17" t="str">
        <x:v>W0142</x:v>
      </x:c>
      <x:c r="D1984" s="17" t="str">
        <x:v>C003</x:v>
      </x:c>
      <x:c r="E1984" s="17" t="str">
        <x:v>InsightDesk</x:v>
      </x:c>
      <x:c r="F1984" s="17" t="str">
        <x:v>Lite</x:v>
      </x:c>
      <x:c r="G1984" s="17" t="n">
        <x:v>22624</x:v>
      </x:c>
      <x:c r="H1984" s="17" t="n">
        <x:v>10447</x:v>
      </x:c>
      <x:c r="I1984" s="17" t="str">
        <x:v>Followup</x:v>
      </x:c>
      <x:c r="J1984" s="27" t="n">
        <x:f>INDEX('Model Pricing'!$B$7:$B$8,MATCH(F1984,'Model Pricing'!$A$7:$A$8,0))</x:f>
        <x:v>10</x:v>
      </x:c>
      <x:c r="K1984" s="27" t="n">
        <x:f>INDEX('Model Pricing'!$C$7:$C$8,MATCH(F1984,'Model Pricing'!$A$7:$A$8,0))</x:f>
        <x:v>30</x:v>
      </x:c>
      <x:c r="L1984" s="17" t="n">
        <x:f>G1984+H1984</x:f>
        <x:v>33071</x:v>
      </x:c>
      <x:c r="M1984" s="28" t="n">
        <x:f>G1984*J1984/1000000</x:f>
        <x:v>0.22624</x:v>
      </x:c>
      <x:c r="N1984" s="28" t="n">
        <x:f>H1984*K1984/1000000</x:f>
        <x:v>0.31341</x:v>
      </x:c>
      <x:c r="O1984" s="28" t="n">
        <x:f>SUM(M1984:N1984)</x:f>
        <x:v>0.53965</x:v>
      </x:c>
    </x:row>
    <x:row r="1985" ht="23" customHeight="1">
      <x:c r="A1985" s="17" t="str">
        <x:v>U01979</x:v>
      </x:c>
      <x:c r="B1985" s="18" t="n">
        <x:v>46287</x:v>
      </x:c>
      <x:c r="C1985" s="17" t="str">
        <x:v>W0142</x:v>
      </x:c>
      <x:c r="D1985" s="17" t="str">
        <x:v>C003</x:v>
      </x:c>
      <x:c r="E1985" s="17" t="str">
        <x:v>InsightDesk</x:v>
      </x:c>
      <x:c r="F1985" s="17" t="str">
        <x:v>Lite</x:v>
      </x:c>
      <x:c r="G1985" s="17" t="n">
        <x:v>20451</x:v>
      </x:c>
      <x:c r="H1985" s="17" t="n">
        <x:v>10538</x:v>
      </x:c>
      <x:c r="I1985" s="17" t="str">
        <x:v>Followup</x:v>
      </x:c>
      <x:c r="J1985" s="27" t="n">
        <x:f>INDEX('Model Pricing'!$B$7:$B$8,MATCH(F1985,'Model Pricing'!$A$7:$A$8,0))</x:f>
        <x:v>10</x:v>
      </x:c>
      <x:c r="K1985" s="27" t="n">
        <x:f>INDEX('Model Pricing'!$C$7:$C$8,MATCH(F1985,'Model Pricing'!$A$7:$A$8,0))</x:f>
        <x:v>30</x:v>
      </x:c>
      <x:c r="L1985" s="17" t="n">
        <x:f>G1985+H1985</x:f>
        <x:v>30989</x:v>
      </x:c>
      <x:c r="M1985" s="28" t="n">
        <x:f>G1985*J1985/1000000</x:f>
        <x:v>0.20451</x:v>
      </x:c>
      <x:c r="N1985" s="28" t="n">
        <x:f>H1985*K1985/1000000</x:f>
        <x:v>0.31614</x:v>
      </x:c>
      <x:c r="O1985" s="28" t="n">
        <x:f>SUM(M1985:N1985)</x:f>
        <x:v>0.52065</x:v>
      </x:c>
    </x:row>
    <x:row r="1986" ht="23" customHeight="1">
      <x:c r="A1986" s="17" t="str">
        <x:v>U01980</x:v>
      </x:c>
      <x:c r="B1986" s="18" t="n">
        <x:v>46287</x:v>
      </x:c>
      <x:c r="C1986" s="17" t="str">
        <x:v>W0142</x:v>
      </x:c>
      <x:c r="D1986" s="17" t="str">
        <x:v>C003</x:v>
      </x:c>
      <x:c r="E1986" s="17" t="str">
        <x:v>InsightDesk</x:v>
      </x:c>
      <x:c r="F1986" s="17" t="str">
        <x:v>Lite</x:v>
      </x:c>
      <x:c r="G1986" s="17" t="n">
        <x:v>19739</x:v>
      </x:c>
      <x:c r="H1986" s="17" t="n">
        <x:v>11449</x:v>
      </x:c>
      <x:c r="I1986" s="17" t="str">
        <x:v>Followup</x:v>
      </x:c>
      <x:c r="J1986" s="27" t="n">
        <x:f>INDEX('Model Pricing'!$B$7:$B$8,MATCH(F1986,'Model Pricing'!$A$7:$A$8,0))</x:f>
        <x:v>10</x:v>
      </x:c>
      <x:c r="K1986" s="27" t="n">
        <x:f>INDEX('Model Pricing'!$C$7:$C$8,MATCH(F1986,'Model Pricing'!$A$7:$A$8,0))</x:f>
        <x:v>30</x:v>
      </x:c>
      <x:c r="L1986" s="17" t="n">
        <x:f>G1986+H1986</x:f>
        <x:v>31188</x:v>
      </x:c>
      <x:c r="M1986" s="28" t="n">
        <x:f>G1986*J1986/1000000</x:f>
        <x:v>0.19739</x:v>
      </x:c>
      <x:c r="N1986" s="28" t="n">
        <x:f>H1986*K1986/1000000</x:f>
        <x:v>0.34347</x:v>
      </x:c>
      <x:c r="O1986" s="28" t="n">
        <x:f>SUM(M1986:N1986)</x:f>
        <x:v>0.54086</x:v>
      </x:c>
    </x:row>
    <x:row r="1987" ht="23" customHeight="1">
      <x:c r="A1987" s="17" t="str">
        <x:v>U01981</x:v>
      </x:c>
      <x:c r="B1987" s="18" t="n">
        <x:v>46287</x:v>
      </x:c>
      <x:c r="C1987" s="17" t="str">
        <x:v>W0142</x:v>
      </x:c>
      <x:c r="D1987" s="17" t="str">
        <x:v>C003</x:v>
      </x:c>
      <x:c r="E1987" s="17" t="str">
        <x:v>InsightDesk</x:v>
      </x:c>
      <x:c r="F1987" s="17" t="str">
        <x:v>Lite</x:v>
      </x:c>
      <x:c r="G1987" s="17" t="n">
        <x:v>14288</x:v>
      </x:c>
      <x:c r="H1987" s="17" t="n">
        <x:v>5153</x:v>
      </x:c>
      <x:c r="I1987" s="17" t="str">
        <x:v>Followup</x:v>
      </x:c>
      <x:c r="J1987" s="27" t="n">
        <x:f>INDEX('Model Pricing'!$B$7:$B$8,MATCH(F1987,'Model Pricing'!$A$7:$A$8,0))</x:f>
        <x:v>10</x:v>
      </x:c>
      <x:c r="K1987" s="27" t="n">
        <x:f>INDEX('Model Pricing'!$C$7:$C$8,MATCH(F1987,'Model Pricing'!$A$7:$A$8,0))</x:f>
        <x:v>30</x:v>
      </x:c>
      <x:c r="L1987" s="17" t="n">
        <x:f>G1987+H1987</x:f>
        <x:v>19441</x:v>
      </x:c>
      <x:c r="M1987" s="28" t="n">
        <x:f>G1987*J1987/1000000</x:f>
        <x:v>0.14288</x:v>
      </x:c>
      <x:c r="N1987" s="28" t="n">
        <x:f>H1987*K1987/1000000</x:f>
        <x:v>0.15459</x:v>
      </x:c>
      <x:c r="O1987" s="28" t="n">
        <x:f>SUM(M1987:N1987)</x:f>
        <x:v>0.29747</x:v>
      </x:c>
    </x:row>
    <x:row r="1988" ht="23" customHeight="1">
      <x:c r="A1988" s="17" t="str">
        <x:v>U01982</x:v>
      </x:c>
      <x:c r="B1988" s="18" t="n">
        <x:v>46288</x:v>
      </x:c>
      <x:c r="C1988" s="17" t="str">
        <x:v>W0142</x:v>
      </x:c>
      <x:c r="D1988" s="17" t="str">
        <x:v>C003</x:v>
      </x:c>
      <x:c r="E1988" s="17" t="str">
        <x:v>InsightDesk</x:v>
      </x:c>
      <x:c r="F1988" s="17" t="str">
        <x:v>Lite</x:v>
      </x:c>
      <x:c r="G1988" s="17" t="n">
        <x:v>16990</x:v>
      </x:c>
      <x:c r="H1988" s="17" t="n">
        <x:v>4814</x:v>
      </x:c>
      <x:c r="I1988" s="17" t="str">
        <x:v>Correction</x:v>
      </x:c>
      <x:c r="J1988" s="27" t="n">
        <x:f>INDEX('Model Pricing'!$B$7:$B$8,MATCH(F1988,'Model Pricing'!$A$7:$A$8,0))</x:f>
        <x:v>10</x:v>
      </x:c>
      <x:c r="K1988" s="27" t="n">
        <x:f>INDEX('Model Pricing'!$C$7:$C$8,MATCH(F1988,'Model Pricing'!$A$7:$A$8,0))</x:f>
        <x:v>30</x:v>
      </x:c>
      <x:c r="L1988" s="17" t="n">
        <x:f>G1988+H1988</x:f>
        <x:v>21804</x:v>
      </x:c>
      <x:c r="M1988" s="28" t="n">
        <x:f>G1988*J1988/1000000</x:f>
        <x:v>0.1699</x:v>
      </x:c>
      <x:c r="N1988" s="28" t="n">
        <x:f>H1988*K1988/1000000</x:f>
        <x:v>0.14442</x:v>
      </x:c>
      <x:c r="O1988" s="28" t="n">
        <x:f>SUM(M1988:N1988)</x:f>
        <x:v>0.31432</x:v>
      </x:c>
    </x:row>
    <x:row r="1989" ht="23" customHeight="1">
      <x:c r="A1989" s="17" t="str">
        <x:v>U01983</x:v>
      </x:c>
      <x:c r="B1989" s="18" t="n">
        <x:v>46288</x:v>
      </x:c>
      <x:c r="C1989" s="17" t="str">
        <x:v>W0142</x:v>
      </x:c>
      <x:c r="D1989" s="17" t="str">
        <x:v>C003</x:v>
      </x:c>
      <x:c r="E1989" s="17" t="str">
        <x:v>InsightDesk</x:v>
      </x:c>
      <x:c r="F1989" s="17" t="str">
        <x:v>Lite</x:v>
      </x:c>
      <x:c r="G1989" s="17" t="n">
        <x:v>26961</x:v>
      </x:c>
      <x:c r="H1989" s="17" t="n">
        <x:v>10467</x:v>
      </x:c>
      <x:c r="I1989" s="17" t="str">
        <x:v>Correction</x:v>
      </x:c>
      <x:c r="J1989" s="27" t="n">
        <x:f>INDEX('Model Pricing'!$B$7:$B$8,MATCH(F1989,'Model Pricing'!$A$7:$A$8,0))</x:f>
        <x:v>10</x:v>
      </x:c>
      <x:c r="K1989" s="27" t="n">
        <x:f>INDEX('Model Pricing'!$C$7:$C$8,MATCH(F1989,'Model Pricing'!$A$7:$A$8,0))</x:f>
        <x:v>30</x:v>
      </x:c>
      <x:c r="L1989" s="17" t="n">
        <x:f>G1989+H1989</x:f>
        <x:v>37428</x:v>
      </x:c>
      <x:c r="M1989" s="28" t="n">
        <x:f>G1989*J1989/1000000</x:f>
        <x:v>0.26961</x:v>
      </x:c>
      <x:c r="N1989" s="28" t="n">
        <x:f>H1989*K1989/1000000</x:f>
        <x:v>0.31401</x:v>
      </x:c>
      <x:c r="O1989" s="28" t="n">
        <x:f>SUM(M1989:N1989)</x:f>
        <x:v>0.58362</x:v>
      </x:c>
    </x:row>
    <x:row r="1990" ht="23" customHeight="1">
      <x:c r="A1990" s="17" t="str">
        <x:v>U01984</x:v>
      </x:c>
      <x:c r="B1990" s="18" t="n">
        <x:v>46267</x:v>
      </x:c>
      <x:c r="C1990" s="17" t="str">
        <x:v>W0143</x:v>
      </x:c>
      <x:c r="D1990" s="17" t="str">
        <x:v>C003</x:v>
      </x:c>
      <x:c r="E1990" s="17" t="str">
        <x:v>CopyStudio</x:v>
      </x:c>
      <x:c r="F1990" s="17" t="str">
        <x:v>Lite</x:v>
      </x:c>
      <x:c r="G1990" s="17" t="n">
        <x:v>42411</x:v>
      </x:c>
      <x:c r="H1990" s="17" t="n">
        <x:v>4421</x:v>
      </x:c>
      <x:c r="I1990" s="17" t="str">
        <x:v>First attempt</x:v>
      </x:c>
      <x:c r="J1990" s="27" t="n">
        <x:f>INDEX('Model Pricing'!$B$7:$B$8,MATCH(F1990,'Model Pricing'!$A$7:$A$8,0))</x:f>
        <x:v>10</x:v>
      </x:c>
      <x:c r="K1990" s="27" t="n">
        <x:f>INDEX('Model Pricing'!$C$7:$C$8,MATCH(F1990,'Model Pricing'!$A$7:$A$8,0))</x:f>
        <x:v>30</x:v>
      </x:c>
      <x:c r="L1990" s="17" t="n">
        <x:f>G1990+H1990</x:f>
        <x:v>46832</x:v>
      </x:c>
      <x:c r="M1990" s="28" t="n">
        <x:f>G1990*J1990/1000000</x:f>
        <x:v>0.42411</x:v>
      </x:c>
      <x:c r="N1990" s="28" t="n">
        <x:f>H1990*K1990/1000000</x:f>
        <x:v>0.13263</x:v>
      </x:c>
      <x:c r="O1990" s="28" t="n">
        <x:f>SUM(M1990:N1990)</x:f>
        <x:v>0.55674</x:v>
      </x:c>
    </x:row>
    <x:row r="1991" ht="23" customHeight="1">
      <x:c r="A1991" s="17" t="str">
        <x:v>U01985</x:v>
      </x:c>
      <x:c r="B1991" s="18" t="n">
        <x:v>46267</x:v>
      </x:c>
      <x:c r="C1991" s="17" t="str">
        <x:v>W0143</x:v>
      </x:c>
      <x:c r="D1991" s="17" t="str">
        <x:v>C003</x:v>
      </x:c>
      <x:c r="E1991" s="17" t="str">
        <x:v>CopyStudio</x:v>
      </x:c>
      <x:c r="F1991" s="17" t="str">
        <x:v>Lite</x:v>
      </x:c>
      <x:c r="G1991" s="17" t="n">
        <x:v>21937</x:v>
      </x:c>
      <x:c r="H1991" s="17" t="n">
        <x:v>5713</x:v>
      </x:c>
      <x:c r="I1991" s="17" t="str">
        <x:v>Followup</x:v>
      </x:c>
      <x:c r="J1991" s="27" t="n">
        <x:f>INDEX('Model Pricing'!$B$7:$B$8,MATCH(F1991,'Model Pricing'!$A$7:$A$8,0))</x:f>
        <x:v>10</x:v>
      </x:c>
      <x:c r="K1991" s="27" t="n">
        <x:f>INDEX('Model Pricing'!$C$7:$C$8,MATCH(F1991,'Model Pricing'!$A$7:$A$8,0))</x:f>
        <x:v>30</x:v>
      </x:c>
      <x:c r="L1991" s="17" t="n">
        <x:f>G1991+H1991</x:f>
        <x:v>27650</x:v>
      </x:c>
      <x:c r="M1991" s="28" t="n">
        <x:f>G1991*J1991/1000000</x:f>
        <x:v>0.21937</x:v>
      </x:c>
      <x:c r="N1991" s="28" t="n">
        <x:f>H1991*K1991/1000000</x:f>
        <x:v>0.17139</x:v>
      </x:c>
      <x:c r="O1991" s="28" t="n">
        <x:f>SUM(M1991:N1991)</x:f>
        <x:v>0.39076</x:v>
      </x:c>
    </x:row>
    <x:row r="1992" ht="23" customHeight="1">
      <x:c r="A1992" s="17" t="str">
        <x:v>U01986</x:v>
      </x:c>
      <x:c r="B1992" s="18" t="n">
        <x:v>46267</x:v>
      </x:c>
      <x:c r="C1992" s="17" t="str">
        <x:v>W0143</x:v>
      </x:c>
      <x:c r="D1992" s="17" t="str">
        <x:v>C003</x:v>
      </x:c>
      <x:c r="E1992" s="17" t="str">
        <x:v>CopyStudio</x:v>
      </x:c>
      <x:c r="F1992" s="17" t="str">
        <x:v>Lite</x:v>
      </x:c>
      <x:c r="G1992" s="17" t="n">
        <x:v>18744</x:v>
      </x:c>
      <x:c r="H1992" s="17" t="n">
        <x:v>7244</x:v>
      </x:c>
      <x:c r="I1992" s="17" t="str">
        <x:v>Followup</x:v>
      </x:c>
      <x:c r="J1992" s="27" t="n">
        <x:f>INDEX('Model Pricing'!$B$7:$B$8,MATCH(F1992,'Model Pricing'!$A$7:$A$8,0))</x:f>
        <x:v>10</x:v>
      </x:c>
      <x:c r="K1992" s="27" t="n">
        <x:f>INDEX('Model Pricing'!$C$7:$C$8,MATCH(F1992,'Model Pricing'!$A$7:$A$8,0))</x:f>
        <x:v>30</x:v>
      </x:c>
      <x:c r="L1992" s="17" t="n">
        <x:f>G1992+H1992</x:f>
        <x:v>25988</x:v>
      </x:c>
      <x:c r="M1992" s="28" t="n">
        <x:f>G1992*J1992/1000000</x:f>
        <x:v>0.18744</x:v>
      </x:c>
      <x:c r="N1992" s="28" t="n">
        <x:f>H1992*K1992/1000000</x:f>
        <x:v>0.21732</x:v>
      </x:c>
      <x:c r="O1992" s="28" t="n">
        <x:f>SUM(M1992:N1992)</x:f>
        <x:v>0.40476</x:v>
      </x:c>
    </x:row>
    <x:row r="1993" ht="23" customHeight="1">
      <x:c r="A1993" s="17" t="str">
        <x:v>U01987</x:v>
      </x:c>
      <x:c r="B1993" s="18" t="n">
        <x:v>46268</x:v>
      </x:c>
      <x:c r="C1993" s="17" t="str">
        <x:v>W0143</x:v>
      </x:c>
      <x:c r="D1993" s="17" t="str">
        <x:v>C003</x:v>
      </x:c>
      <x:c r="E1993" s="17" t="str">
        <x:v>CopyStudio</x:v>
      </x:c>
      <x:c r="F1993" s="17" t="str">
        <x:v>Lite</x:v>
      </x:c>
      <x:c r="G1993" s="17" t="n">
        <x:v>54389</x:v>
      </x:c>
      <x:c r="H1993" s="17" t="n">
        <x:v>6892</x:v>
      </x:c>
      <x:c r="I1993" s="17" t="str">
        <x:v>Correction</x:v>
      </x:c>
      <x:c r="J1993" s="27" t="n">
        <x:f>INDEX('Model Pricing'!$B$7:$B$8,MATCH(F1993,'Model Pricing'!$A$7:$A$8,0))</x:f>
        <x:v>10</x:v>
      </x:c>
      <x:c r="K1993" s="27" t="n">
        <x:f>INDEX('Model Pricing'!$C$7:$C$8,MATCH(F1993,'Model Pricing'!$A$7:$A$8,0))</x:f>
        <x:v>30</x:v>
      </x:c>
      <x:c r="L1993" s="17" t="n">
        <x:f>G1993+H1993</x:f>
        <x:v>61281</x:v>
      </x:c>
      <x:c r="M1993" s="28" t="n">
        <x:f>G1993*J1993/1000000</x:f>
        <x:v>0.54389</x:v>
      </x:c>
      <x:c r="N1993" s="28" t="n">
        <x:f>H1993*K1993/1000000</x:f>
        <x:v>0.20676</x:v>
      </x:c>
      <x:c r="O1993" s="28" t="n">
        <x:f>SUM(M1993:N1993)</x:f>
        <x:v>0.75065</x:v>
      </x:c>
    </x:row>
    <x:row r="1994" ht="23" customHeight="1">
      <x:c r="A1994" s="17" t="str">
        <x:v>U01988</x:v>
      </x:c>
      <x:c r="B1994" s="18" t="n">
        <x:v>46268</x:v>
      </x:c>
      <x:c r="C1994" s="17" t="str">
        <x:v>W0143</x:v>
      </x:c>
      <x:c r="D1994" s="17" t="str">
        <x:v>C003</x:v>
      </x:c>
      <x:c r="E1994" s="17" t="str">
        <x:v>CopyStudio</x:v>
      </x:c>
      <x:c r="F1994" s="17" t="str">
        <x:v>Lite</x:v>
      </x:c>
      <x:c r="G1994" s="17" t="n">
        <x:v>52912</x:v>
      </x:c>
      <x:c r="H1994" s="17" t="n">
        <x:v>6632</x:v>
      </x:c>
      <x:c r="I1994" s="17" t="str">
        <x:v>Followup</x:v>
      </x:c>
      <x:c r="J1994" s="27" t="n">
        <x:f>INDEX('Model Pricing'!$B$7:$B$8,MATCH(F1994,'Model Pricing'!$A$7:$A$8,0))</x:f>
        <x:v>10</x:v>
      </x:c>
      <x:c r="K1994" s="27" t="n">
        <x:f>INDEX('Model Pricing'!$C$7:$C$8,MATCH(F1994,'Model Pricing'!$A$7:$A$8,0))</x:f>
        <x:v>30</x:v>
      </x:c>
      <x:c r="L1994" s="17" t="n">
        <x:f>G1994+H1994</x:f>
        <x:v>59544</x:v>
      </x:c>
      <x:c r="M1994" s="28" t="n">
        <x:f>G1994*J1994/1000000</x:f>
        <x:v>0.52912</x:v>
      </x:c>
      <x:c r="N1994" s="28" t="n">
        <x:f>H1994*K1994/1000000</x:f>
        <x:v>0.19896</x:v>
      </x:c>
      <x:c r="O1994" s="28" t="n">
        <x:f>SUM(M1994:N1994)</x:f>
        <x:v>0.7280800000000001</x:v>
      </x:c>
    </x:row>
    <x:row r="1995" ht="23" customHeight="1">
      <x:c r="A1995" s="17" t="str">
        <x:v>U01989</x:v>
      </x:c>
      <x:c r="B1995" s="18" t="n">
        <x:v>46268</x:v>
      </x:c>
      <x:c r="C1995" s="17" t="str">
        <x:v>W0143</x:v>
      </x:c>
      <x:c r="D1995" s="17" t="str">
        <x:v>C003</x:v>
      </x:c>
      <x:c r="E1995" s="17" t="str">
        <x:v>CopyStudio</x:v>
      </x:c>
      <x:c r="F1995" s="17" t="str">
        <x:v>Lite</x:v>
      </x:c>
      <x:c r="G1995" s="17" t="n">
        <x:v>48061</x:v>
      </x:c>
      <x:c r="H1995" s="17" t="n">
        <x:v>4205</x:v>
      </x:c>
      <x:c r="I1995" s="17" t="str">
        <x:v>Correction</x:v>
      </x:c>
      <x:c r="J1995" s="27" t="n">
        <x:f>INDEX('Model Pricing'!$B$7:$B$8,MATCH(F1995,'Model Pricing'!$A$7:$A$8,0))</x:f>
        <x:v>10</x:v>
      </x:c>
      <x:c r="K1995" s="27" t="n">
        <x:f>INDEX('Model Pricing'!$C$7:$C$8,MATCH(F1995,'Model Pricing'!$A$7:$A$8,0))</x:f>
        <x:v>30</x:v>
      </x:c>
      <x:c r="L1995" s="17" t="n">
        <x:f>G1995+H1995</x:f>
        <x:v>52266</x:v>
      </x:c>
      <x:c r="M1995" s="28" t="n">
        <x:f>G1995*J1995/1000000</x:f>
        <x:v>0.48061</x:v>
      </x:c>
      <x:c r="N1995" s="28" t="n">
        <x:f>H1995*K1995/1000000</x:f>
        <x:v>0.12615</x:v>
      </x:c>
      <x:c r="O1995" s="28" t="n">
        <x:f>SUM(M1995:N1995)</x:f>
        <x:v>0.60676</x:v>
      </x:c>
    </x:row>
    <x:row r="1996" ht="23" customHeight="1">
      <x:c r="A1996" s="17" t="str">
        <x:v>U01990</x:v>
      </x:c>
      <x:c r="B1996" s="18" t="n">
        <x:v>46269</x:v>
      </x:c>
      <x:c r="C1996" s="17" t="str">
        <x:v>W0143</x:v>
      </x:c>
      <x:c r="D1996" s="17" t="str">
        <x:v>C003</x:v>
      </x:c>
      <x:c r="E1996" s="17" t="str">
        <x:v>CopyStudio</x:v>
      </x:c>
      <x:c r="F1996" s="17" t="str">
        <x:v>Lite</x:v>
      </x:c>
      <x:c r="G1996" s="17" t="n">
        <x:v>43525</x:v>
      </x:c>
      <x:c r="H1996" s="17" t="n">
        <x:v>3262</x:v>
      </x:c>
      <x:c r="I1996" s="17" t="str">
        <x:v>Followup</x:v>
      </x:c>
      <x:c r="J1996" s="27" t="n">
        <x:f>INDEX('Model Pricing'!$B$7:$B$8,MATCH(F1996,'Model Pricing'!$A$7:$A$8,0))</x:f>
        <x:v>10</x:v>
      </x:c>
      <x:c r="K1996" s="27" t="n">
        <x:f>INDEX('Model Pricing'!$C$7:$C$8,MATCH(F1996,'Model Pricing'!$A$7:$A$8,0))</x:f>
        <x:v>30</x:v>
      </x:c>
      <x:c r="L1996" s="17" t="n">
        <x:f>G1996+H1996</x:f>
        <x:v>46787</x:v>
      </x:c>
      <x:c r="M1996" s="28" t="n">
        <x:f>G1996*J1996/1000000</x:f>
        <x:v>0.43525</x:v>
      </x:c>
      <x:c r="N1996" s="28" t="n">
        <x:f>H1996*K1996/1000000</x:f>
        <x:v>0.09786</x:v>
      </x:c>
      <x:c r="O1996" s="28" t="n">
        <x:f>SUM(M1996:N1996)</x:f>
        <x:v>0.53311</x:v>
      </x:c>
    </x:row>
    <x:row r="1997" ht="23" customHeight="1">
      <x:c r="A1997" s="17" t="str">
        <x:v>U01991</x:v>
      </x:c>
      <x:c r="B1997" s="18" t="n">
        <x:v>46269</x:v>
      </x:c>
      <x:c r="C1997" s="17" t="str">
        <x:v>W0143</x:v>
      </x:c>
      <x:c r="D1997" s="17" t="str">
        <x:v>C003</x:v>
      </x:c>
      <x:c r="E1997" s="17" t="str">
        <x:v>CopyStudio</x:v>
      </x:c>
      <x:c r="F1997" s="17" t="str">
        <x:v>Lite</x:v>
      </x:c>
      <x:c r="G1997" s="17" t="n">
        <x:v>32159</x:v>
      </x:c>
      <x:c r="H1997" s="17" t="n">
        <x:v>7405</x:v>
      </x:c>
      <x:c r="I1997" s="17" t="str">
        <x:v>Followup</x:v>
      </x:c>
      <x:c r="J1997" s="27" t="n">
        <x:f>INDEX('Model Pricing'!$B$7:$B$8,MATCH(F1997,'Model Pricing'!$A$7:$A$8,0))</x:f>
        <x:v>10</x:v>
      </x:c>
      <x:c r="K1997" s="27" t="n">
        <x:f>INDEX('Model Pricing'!$C$7:$C$8,MATCH(F1997,'Model Pricing'!$A$7:$A$8,0))</x:f>
        <x:v>30</x:v>
      </x:c>
      <x:c r="L1997" s="17" t="n">
        <x:f>G1997+H1997</x:f>
        <x:v>39564</x:v>
      </x:c>
      <x:c r="M1997" s="28" t="n">
        <x:f>G1997*J1997/1000000</x:f>
        <x:v>0.32159</x:v>
      </x:c>
      <x:c r="N1997" s="28" t="n">
        <x:f>H1997*K1997/1000000</x:f>
        <x:v>0.22215</x:v>
      </x:c>
      <x:c r="O1997" s="28" t="n">
        <x:f>SUM(M1997:N1997)</x:f>
        <x:v>0.54374</x:v>
      </x:c>
    </x:row>
    <x:row r="1998" ht="23" customHeight="1">
      <x:c r="A1998" s="17" t="str">
        <x:v>U01992</x:v>
      </x:c>
      <x:c r="B1998" s="18" t="n">
        <x:v>46269</x:v>
      </x:c>
      <x:c r="C1998" s="17" t="str">
        <x:v>W0143</x:v>
      </x:c>
      <x:c r="D1998" s="17" t="str">
        <x:v>C003</x:v>
      </x:c>
      <x:c r="E1998" s="17" t="str">
        <x:v>CopyStudio</x:v>
      </x:c>
      <x:c r="F1998" s="17" t="str">
        <x:v>Lite</x:v>
      </x:c>
      <x:c r="G1998" s="17" t="n">
        <x:v>21165</x:v>
      </x:c>
      <x:c r="H1998" s="17" t="n">
        <x:v>7034</x:v>
      </x:c>
      <x:c r="I1998" s="17" t="str">
        <x:v>Followup</x:v>
      </x:c>
      <x:c r="J1998" s="27" t="n">
        <x:f>INDEX('Model Pricing'!$B$7:$B$8,MATCH(F1998,'Model Pricing'!$A$7:$A$8,0))</x:f>
        <x:v>10</x:v>
      </x:c>
      <x:c r="K1998" s="27" t="n">
        <x:f>INDEX('Model Pricing'!$C$7:$C$8,MATCH(F1998,'Model Pricing'!$A$7:$A$8,0))</x:f>
        <x:v>30</x:v>
      </x:c>
      <x:c r="L1998" s="17" t="n">
        <x:f>G1998+H1998</x:f>
        <x:v>28199</x:v>
      </x:c>
      <x:c r="M1998" s="28" t="n">
        <x:f>G1998*J1998/1000000</x:f>
        <x:v>0.21165</x:v>
      </x:c>
      <x:c r="N1998" s="28" t="n">
        <x:f>H1998*K1998/1000000</x:f>
        <x:v>0.21102</x:v>
      </x:c>
      <x:c r="O1998" s="28" t="n">
        <x:f>SUM(M1998:N1998)</x:f>
        <x:v>0.42267</x:v>
      </x:c>
    </x:row>
    <x:row r="1999" ht="23" customHeight="1">
      <x:c r="A1999" s="17" t="str">
        <x:v>U01993</x:v>
      </x:c>
      <x:c r="B1999" s="18" t="n">
        <x:v>46273</x:v>
      </x:c>
      <x:c r="C1999" s="17" t="str">
        <x:v>W0143</x:v>
      </x:c>
      <x:c r="D1999" s="17" t="str">
        <x:v>C003</x:v>
      </x:c>
      <x:c r="E1999" s="17" t="str">
        <x:v>CopyStudio</x:v>
      </x:c>
      <x:c r="F1999" s="17" t="str">
        <x:v>Lite</x:v>
      </x:c>
      <x:c r="G1999" s="17" t="n">
        <x:v>30329</x:v>
      </x:c>
      <x:c r="H1999" s="17" t="n">
        <x:v>5890</x:v>
      </x:c>
      <x:c r="I1999" s="17" t="str">
        <x:v>Correction</x:v>
      </x:c>
      <x:c r="J1999" s="27" t="n">
        <x:f>INDEX('Model Pricing'!$B$7:$B$8,MATCH(F1999,'Model Pricing'!$A$7:$A$8,0))</x:f>
        <x:v>10</x:v>
      </x:c>
      <x:c r="K1999" s="27" t="n">
        <x:f>INDEX('Model Pricing'!$C$7:$C$8,MATCH(F1999,'Model Pricing'!$A$7:$A$8,0))</x:f>
        <x:v>30</x:v>
      </x:c>
      <x:c r="L1999" s="17" t="n">
        <x:f>G1999+H1999</x:f>
        <x:v>36219</x:v>
      </x:c>
      <x:c r="M1999" s="28" t="n">
        <x:f>G1999*J1999/1000000</x:f>
        <x:v>0.30329</x:v>
      </x:c>
      <x:c r="N1999" s="28" t="n">
        <x:f>H1999*K1999/1000000</x:f>
        <x:v>0.1767</x:v>
      </x:c>
      <x:c r="O1999" s="28" t="n">
        <x:f>SUM(M1999:N1999)</x:f>
        <x:v>0.47999</x:v>
      </x:c>
    </x:row>
    <x:row r="2000" ht="23" customHeight="1">
      <x:c r="A2000" s="17" t="str">
        <x:v>U01994</x:v>
      </x:c>
      <x:c r="B2000" s="18" t="n">
        <x:v>46273</x:v>
      </x:c>
      <x:c r="C2000" s="17" t="str">
        <x:v>W0143</x:v>
      </x:c>
      <x:c r="D2000" s="17" t="str">
        <x:v>C003</x:v>
      </x:c>
      <x:c r="E2000" s="17" t="str">
        <x:v>CopyStudio</x:v>
      </x:c>
      <x:c r="F2000" s="17" t="str">
        <x:v>Lite</x:v>
      </x:c>
      <x:c r="G2000" s="17" t="n">
        <x:v>24540</x:v>
      </x:c>
      <x:c r="H2000" s="17" t="n">
        <x:v>6976</x:v>
      </x:c>
      <x:c r="I2000" s="17" t="str">
        <x:v>Followup</x:v>
      </x:c>
      <x:c r="J2000" s="27" t="n">
        <x:f>INDEX('Model Pricing'!$B$7:$B$8,MATCH(F2000,'Model Pricing'!$A$7:$A$8,0))</x:f>
        <x:v>10</x:v>
      </x:c>
      <x:c r="K2000" s="27" t="n">
        <x:f>INDEX('Model Pricing'!$C$7:$C$8,MATCH(F2000,'Model Pricing'!$A$7:$A$8,0))</x:f>
        <x:v>30</x:v>
      </x:c>
      <x:c r="L2000" s="17" t="n">
        <x:f>G2000+H2000</x:f>
        <x:v>31516</x:v>
      </x:c>
      <x:c r="M2000" s="28" t="n">
        <x:f>G2000*J2000/1000000</x:f>
        <x:v>0.2454</x:v>
      </x:c>
      <x:c r="N2000" s="28" t="n">
        <x:f>H2000*K2000/1000000</x:f>
        <x:v>0.20928</x:v>
      </x:c>
      <x:c r="O2000" s="28" t="n">
        <x:f>SUM(M2000:N2000)</x:f>
        <x:v>0.45468</x:v>
      </x:c>
    </x:row>
    <x:row r="2001" ht="23" customHeight="1">
      <x:c r="A2001" s="17" t="str">
        <x:v>U01995</x:v>
      </x:c>
      <x:c r="B2001" s="18" t="n">
        <x:v>46273</x:v>
      </x:c>
      <x:c r="C2001" s="17" t="str">
        <x:v>W0143</x:v>
      </x:c>
      <x:c r="D2001" s="17" t="str">
        <x:v>C003</x:v>
      </x:c>
      <x:c r="E2001" s="17" t="str">
        <x:v>CopyStudio</x:v>
      </x:c>
      <x:c r="F2001" s="17" t="str">
        <x:v>Lite</x:v>
      </x:c>
      <x:c r="G2001" s="17" t="n">
        <x:v>44297</x:v>
      </x:c>
      <x:c r="H2001" s="17" t="n">
        <x:v>6534</x:v>
      </x:c>
      <x:c r="I2001" s="17" t="str">
        <x:v>Followup</x:v>
      </x:c>
      <x:c r="J2001" s="27" t="n">
        <x:f>INDEX('Model Pricing'!$B$7:$B$8,MATCH(F2001,'Model Pricing'!$A$7:$A$8,0))</x:f>
        <x:v>10</x:v>
      </x:c>
      <x:c r="K2001" s="27" t="n">
        <x:f>INDEX('Model Pricing'!$C$7:$C$8,MATCH(F2001,'Model Pricing'!$A$7:$A$8,0))</x:f>
        <x:v>30</x:v>
      </x:c>
      <x:c r="L2001" s="17" t="n">
        <x:f>G2001+H2001</x:f>
        <x:v>50831</x:v>
      </x:c>
      <x:c r="M2001" s="28" t="n">
        <x:f>G2001*J2001/1000000</x:f>
        <x:v>0.44297</x:v>
      </x:c>
      <x:c r="N2001" s="28" t="n">
        <x:f>H2001*K2001/1000000</x:f>
        <x:v>0.19602</x:v>
      </x:c>
      <x:c r="O2001" s="28" t="n">
        <x:f>SUM(M2001:N2001)</x:f>
        <x:v>0.63899</x:v>
      </x:c>
    </x:row>
    <x:row r="2002" ht="23" customHeight="1">
      <x:c r="A2002" s="17" t="str">
        <x:v>U01996</x:v>
      </x:c>
      <x:c r="B2002" s="18" t="n">
        <x:v>46279</x:v>
      </x:c>
      <x:c r="C2002" s="17" t="str">
        <x:v>W0144</x:v>
      </x:c>
      <x:c r="D2002" s="17" t="str">
        <x:v>C003</x:v>
      </x:c>
      <x:c r="E2002" s="17" t="str">
        <x:v>CopyStudio</x:v>
      </x:c>
      <x:c r="F2002" s="17" t="str">
        <x:v>Lite</x:v>
      </x:c>
      <x:c r="G2002" s="17" t="n">
        <x:v>25662</x:v>
      </x:c>
      <x:c r="H2002" s="17" t="n">
        <x:v>7487</x:v>
      </x:c>
      <x:c r="I2002" s="17" t="str">
        <x:v>First attempt</x:v>
      </x:c>
      <x:c r="J2002" s="27" t="n">
        <x:f>INDEX('Model Pricing'!$B$7:$B$8,MATCH(F2002,'Model Pricing'!$A$7:$A$8,0))</x:f>
        <x:v>10</x:v>
      </x:c>
      <x:c r="K2002" s="27" t="n">
        <x:f>INDEX('Model Pricing'!$C$7:$C$8,MATCH(F2002,'Model Pricing'!$A$7:$A$8,0))</x:f>
        <x:v>30</x:v>
      </x:c>
      <x:c r="L2002" s="17" t="n">
        <x:f>G2002+H2002</x:f>
        <x:v>33149</x:v>
      </x:c>
      <x:c r="M2002" s="28" t="n">
        <x:f>G2002*J2002/1000000</x:f>
        <x:v>0.25662</x:v>
      </x:c>
      <x:c r="N2002" s="28" t="n">
        <x:f>H2002*K2002/1000000</x:f>
        <x:v>0.22461</x:v>
      </x:c>
      <x:c r="O2002" s="28" t="n">
        <x:f>SUM(M2002:N2002)</x:f>
        <x:v>0.48123000000000005</x:v>
      </x:c>
    </x:row>
    <x:row r="2003" ht="23" customHeight="1">
      <x:c r="A2003" s="17" t="str">
        <x:v>U01997</x:v>
      </x:c>
      <x:c r="B2003" s="18" t="n">
        <x:v>46279</x:v>
      </x:c>
      <x:c r="C2003" s="17" t="str">
        <x:v>W0144</x:v>
      </x:c>
      <x:c r="D2003" s="17" t="str">
        <x:v>C003</x:v>
      </x:c>
      <x:c r="E2003" s="17" t="str">
        <x:v>CopyStudio</x:v>
      </x:c>
      <x:c r="F2003" s="17" t="str">
        <x:v>Lite</x:v>
      </x:c>
      <x:c r="G2003" s="17" t="n">
        <x:v>31870</x:v>
      </x:c>
      <x:c r="H2003" s="17" t="n">
        <x:v>5015</x:v>
      </x:c>
      <x:c r="I2003" s="17" t="str">
        <x:v>Correction</x:v>
      </x:c>
      <x:c r="J2003" s="27" t="n">
        <x:f>INDEX('Model Pricing'!$B$7:$B$8,MATCH(F2003,'Model Pricing'!$A$7:$A$8,0))</x:f>
        <x:v>10</x:v>
      </x:c>
      <x:c r="K2003" s="27" t="n">
        <x:f>INDEX('Model Pricing'!$C$7:$C$8,MATCH(F2003,'Model Pricing'!$A$7:$A$8,0))</x:f>
        <x:v>30</x:v>
      </x:c>
      <x:c r="L2003" s="17" t="n">
        <x:f>G2003+H2003</x:f>
        <x:v>36885</x:v>
      </x:c>
      <x:c r="M2003" s="28" t="n">
        <x:f>G2003*J2003/1000000</x:f>
        <x:v>0.3187</x:v>
      </x:c>
      <x:c r="N2003" s="28" t="n">
        <x:f>H2003*K2003/1000000</x:f>
        <x:v>0.15045</x:v>
      </x:c>
      <x:c r="O2003" s="28" t="n">
        <x:f>SUM(M2003:N2003)</x:f>
        <x:v>0.46914999999999996</x:v>
      </x:c>
    </x:row>
    <x:row r="2004" ht="23" customHeight="1">
      <x:c r="A2004" s="17" t="str">
        <x:v>U01998</x:v>
      </x:c>
      <x:c r="B2004" s="18" t="n">
        <x:v>46279</x:v>
      </x:c>
      <x:c r="C2004" s="17" t="str">
        <x:v>W0144</x:v>
      </x:c>
      <x:c r="D2004" s="17" t="str">
        <x:v>C003</x:v>
      </x:c>
      <x:c r="E2004" s="17" t="str">
        <x:v>CopyStudio</x:v>
      </x:c>
      <x:c r="F2004" s="17" t="str">
        <x:v>Lite</x:v>
      </x:c>
      <x:c r="G2004" s="17" t="n">
        <x:v>30003</x:v>
      </x:c>
      <x:c r="H2004" s="17" t="n">
        <x:v>4383</x:v>
      </x:c>
      <x:c r="I2004" s="17" t="str">
        <x:v>Correction</x:v>
      </x:c>
      <x:c r="J2004" s="27" t="n">
        <x:f>INDEX('Model Pricing'!$B$7:$B$8,MATCH(F2004,'Model Pricing'!$A$7:$A$8,0))</x:f>
        <x:v>10</x:v>
      </x:c>
      <x:c r="K2004" s="27" t="n">
        <x:f>INDEX('Model Pricing'!$C$7:$C$8,MATCH(F2004,'Model Pricing'!$A$7:$A$8,0))</x:f>
        <x:v>30</x:v>
      </x:c>
      <x:c r="L2004" s="17" t="n">
        <x:f>G2004+H2004</x:f>
        <x:v>34386</x:v>
      </x:c>
      <x:c r="M2004" s="28" t="n">
        <x:f>G2004*J2004/1000000</x:f>
        <x:v>0.30003</x:v>
      </x:c>
      <x:c r="N2004" s="28" t="n">
        <x:f>H2004*K2004/1000000</x:f>
        <x:v>0.13149</x:v>
      </x:c>
      <x:c r="O2004" s="28" t="n">
        <x:f>SUM(M2004:N2004)</x:f>
        <x:v>0.43152</x:v>
      </x:c>
    </x:row>
    <x:row r="2005" ht="23" customHeight="1">
      <x:c r="A2005" s="17" t="str">
        <x:v>U01999</x:v>
      </x:c>
      <x:c r="B2005" s="18" t="n">
        <x:v>46280</x:v>
      </x:c>
      <x:c r="C2005" s="17" t="str">
        <x:v>W0144</x:v>
      </x:c>
      <x:c r="D2005" s="17" t="str">
        <x:v>C003</x:v>
      </x:c>
      <x:c r="E2005" s="17" t="str">
        <x:v>CopyStudio</x:v>
      </x:c>
      <x:c r="F2005" s="17" t="str">
        <x:v>Lite</x:v>
      </x:c>
      <x:c r="G2005" s="17" t="n">
        <x:v>12417</x:v>
      </x:c>
      <x:c r="H2005" s="17" t="n">
        <x:v>10841</x:v>
      </x:c>
      <x:c r="I2005" s="17" t="str">
        <x:v>Followup</x:v>
      </x:c>
      <x:c r="J2005" s="27" t="n">
        <x:f>INDEX('Model Pricing'!$B$7:$B$8,MATCH(F2005,'Model Pricing'!$A$7:$A$8,0))</x:f>
        <x:v>10</x:v>
      </x:c>
      <x:c r="K2005" s="27" t="n">
        <x:f>INDEX('Model Pricing'!$C$7:$C$8,MATCH(F2005,'Model Pricing'!$A$7:$A$8,0))</x:f>
        <x:v>30</x:v>
      </x:c>
      <x:c r="L2005" s="17" t="n">
        <x:f>G2005+H2005</x:f>
        <x:v>23258</x:v>
      </x:c>
      <x:c r="M2005" s="28" t="n">
        <x:f>G2005*J2005/1000000</x:f>
        <x:v>0.12417</x:v>
      </x:c>
      <x:c r="N2005" s="28" t="n">
        <x:f>H2005*K2005/1000000</x:f>
        <x:v>0.32523</x:v>
      </x:c>
      <x:c r="O2005" s="28" t="n">
        <x:f>SUM(M2005:N2005)</x:f>
        <x:v>0.4494</x:v>
      </x:c>
    </x:row>
    <x:row r="2006" ht="23" customHeight="1">
      <x:c r="A2006" s="17" t="str">
        <x:v>U02000</x:v>
      </x:c>
      <x:c r="B2006" s="18" t="n">
        <x:v>46280</x:v>
      </x:c>
      <x:c r="C2006" s="17" t="str">
        <x:v>W0144</x:v>
      </x:c>
      <x:c r="D2006" s="17" t="str">
        <x:v>C003</x:v>
      </x:c>
      <x:c r="E2006" s="17" t="str">
        <x:v>CopyStudio</x:v>
      </x:c>
      <x:c r="F2006" s="17" t="str">
        <x:v>Lite</x:v>
      </x:c>
      <x:c r="G2006" s="17" t="n">
        <x:v>30310</x:v>
      </x:c>
      <x:c r="H2006" s="17" t="n">
        <x:v>11222</x:v>
      </x:c>
      <x:c r="I2006" s="17" t="str">
        <x:v>Followup</x:v>
      </x:c>
      <x:c r="J2006" s="27" t="n">
        <x:f>INDEX('Model Pricing'!$B$7:$B$8,MATCH(F2006,'Model Pricing'!$A$7:$A$8,0))</x:f>
        <x:v>10</x:v>
      </x:c>
      <x:c r="K2006" s="27" t="n">
        <x:f>INDEX('Model Pricing'!$C$7:$C$8,MATCH(F2006,'Model Pricing'!$A$7:$A$8,0))</x:f>
        <x:v>30</x:v>
      </x:c>
      <x:c r="L2006" s="17" t="n">
        <x:f>G2006+H2006</x:f>
        <x:v>41532</x:v>
      </x:c>
      <x:c r="M2006" s="28" t="n">
        <x:f>G2006*J2006/1000000</x:f>
        <x:v>0.3031</x:v>
      </x:c>
      <x:c r="N2006" s="28" t="n">
        <x:f>H2006*K2006/1000000</x:f>
        <x:v>0.33666</x:v>
      </x:c>
      <x:c r="O2006" s="28" t="n">
        <x:f>SUM(M2006:N2006)</x:f>
        <x:v>0.63976</x:v>
      </x:c>
    </x:row>
    <x:row r="2007" ht="23" customHeight="1">
      <x:c r="A2007" s="17" t="str">
        <x:v>U02001</x:v>
      </x:c>
      <x:c r="B2007" s="18" t="n">
        <x:v>46280</x:v>
      </x:c>
      <x:c r="C2007" s="17" t="str">
        <x:v>W0144</x:v>
      </x:c>
      <x:c r="D2007" s="17" t="str">
        <x:v>C003</x:v>
      </x:c>
      <x:c r="E2007" s="17" t="str">
        <x:v>CopyStudio</x:v>
      </x:c>
      <x:c r="F2007" s="17" t="str">
        <x:v>Lite</x:v>
      </x:c>
      <x:c r="G2007" s="17" t="n">
        <x:v>14454</x:v>
      </x:c>
      <x:c r="H2007" s="17" t="n">
        <x:v>8481</x:v>
      </x:c>
      <x:c r="I2007" s="17" t="str">
        <x:v>Followup</x:v>
      </x:c>
      <x:c r="J2007" s="27" t="n">
        <x:f>INDEX('Model Pricing'!$B$7:$B$8,MATCH(F2007,'Model Pricing'!$A$7:$A$8,0))</x:f>
        <x:v>10</x:v>
      </x:c>
      <x:c r="K2007" s="27" t="n">
        <x:f>INDEX('Model Pricing'!$C$7:$C$8,MATCH(F2007,'Model Pricing'!$A$7:$A$8,0))</x:f>
        <x:v>30</x:v>
      </x:c>
      <x:c r="L2007" s="17" t="n">
        <x:f>G2007+H2007</x:f>
        <x:v>22935</x:v>
      </x:c>
      <x:c r="M2007" s="28" t="n">
        <x:f>G2007*J2007/1000000</x:f>
        <x:v>0.14454</x:v>
      </x:c>
      <x:c r="N2007" s="28" t="n">
        <x:f>H2007*K2007/1000000</x:f>
        <x:v>0.25443</x:v>
      </x:c>
      <x:c r="O2007" s="28" t="n">
        <x:f>SUM(M2007:N2007)</x:f>
        <x:v>0.39897</x:v>
      </x:c>
    </x:row>
    <x:row r="2008" ht="23" customHeight="1">
      <x:c r="A2008" s="17" t="str">
        <x:v>U02002</x:v>
      </x:c>
      <x:c r="B2008" s="18" t="n">
        <x:v>46281</x:v>
      </x:c>
      <x:c r="C2008" s="17" t="str">
        <x:v>W0144</x:v>
      </x:c>
      <x:c r="D2008" s="17" t="str">
        <x:v>C003</x:v>
      </x:c>
      <x:c r="E2008" s="17" t="str">
        <x:v>CopyStudio</x:v>
      </x:c>
      <x:c r="F2008" s="17" t="str">
        <x:v>Lite</x:v>
      </x:c>
      <x:c r="G2008" s="17" t="n">
        <x:v>31846</x:v>
      </x:c>
      <x:c r="H2008" s="17" t="n">
        <x:v>10960</x:v>
      </x:c>
      <x:c r="I2008" s="17" t="str">
        <x:v>Followup</x:v>
      </x:c>
      <x:c r="J2008" s="27" t="n">
        <x:f>INDEX('Model Pricing'!$B$7:$B$8,MATCH(F2008,'Model Pricing'!$A$7:$A$8,0))</x:f>
        <x:v>10</x:v>
      </x:c>
      <x:c r="K2008" s="27" t="n">
        <x:f>INDEX('Model Pricing'!$C$7:$C$8,MATCH(F2008,'Model Pricing'!$A$7:$A$8,0))</x:f>
        <x:v>30</x:v>
      </x:c>
      <x:c r="L2008" s="17" t="n">
        <x:f>G2008+H2008</x:f>
        <x:v>42806</x:v>
      </x:c>
      <x:c r="M2008" s="28" t="n">
        <x:f>G2008*J2008/1000000</x:f>
        <x:v>0.31846</x:v>
      </x:c>
      <x:c r="N2008" s="28" t="n">
        <x:f>H2008*K2008/1000000</x:f>
        <x:v>0.3288</x:v>
      </x:c>
      <x:c r="O2008" s="28" t="n">
        <x:f>SUM(M2008:N2008)</x:f>
        <x:v>0.64726</x:v>
      </x:c>
    </x:row>
    <x:row r="2009" ht="23" customHeight="1">
      <x:c r="A2009" s="17" t="str">
        <x:v>U02003</x:v>
      </x:c>
      <x:c r="B2009" s="18" t="n">
        <x:v>46281</x:v>
      </x:c>
      <x:c r="C2009" s="17" t="str">
        <x:v>W0144</x:v>
      </x:c>
      <x:c r="D2009" s="17" t="str">
        <x:v>C003</x:v>
      </x:c>
      <x:c r="E2009" s="17" t="str">
        <x:v>CopyStudio</x:v>
      </x:c>
      <x:c r="F2009" s="17" t="str">
        <x:v>Lite</x:v>
      </x:c>
      <x:c r="G2009" s="17" t="n">
        <x:v>14287</x:v>
      </x:c>
      <x:c r="H2009" s="17" t="n">
        <x:v>4274</x:v>
      </x:c>
      <x:c r="I2009" s="17" t="str">
        <x:v>Followup</x:v>
      </x:c>
      <x:c r="J2009" s="27" t="n">
        <x:f>INDEX('Model Pricing'!$B$7:$B$8,MATCH(F2009,'Model Pricing'!$A$7:$A$8,0))</x:f>
        <x:v>10</x:v>
      </x:c>
      <x:c r="K2009" s="27" t="n">
        <x:f>INDEX('Model Pricing'!$C$7:$C$8,MATCH(F2009,'Model Pricing'!$A$7:$A$8,0))</x:f>
        <x:v>30</x:v>
      </x:c>
      <x:c r="L2009" s="17" t="n">
        <x:f>G2009+H2009</x:f>
        <x:v>18561</x:v>
      </x:c>
      <x:c r="M2009" s="28" t="n">
        <x:f>G2009*J2009/1000000</x:f>
        <x:v>0.14287</x:v>
      </x:c>
      <x:c r="N2009" s="28" t="n">
        <x:f>H2009*K2009/1000000</x:f>
        <x:v>0.12822</x:v>
      </x:c>
      <x:c r="O2009" s="28" t="n">
        <x:f>SUM(M2009:N2009)</x:f>
        <x:v>0.27109</x:v>
      </x:c>
    </x:row>
    <x:row r="2010" ht="23" customHeight="1">
      <x:c r="A2010" s="17" t="str">
        <x:v>U02004</x:v>
      </x:c>
      <x:c r="B2010" s="18" t="n">
        <x:v>46281</x:v>
      </x:c>
      <x:c r="C2010" s="17" t="str">
        <x:v>W0144</x:v>
      </x:c>
      <x:c r="D2010" s="17" t="str">
        <x:v>C003</x:v>
      </x:c>
      <x:c r="E2010" s="17" t="str">
        <x:v>CopyStudio</x:v>
      </x:c>
      <x:c r="F2010" s="17" t="str">
        <x:v>Lite</x:v>
      </x:c>
      <x:c r="G2010" s="17" t="n">
        <x:v>31412</x:v>
      </x:c>
      <x:c r="H2010" s="17" t="n">
        <x:v>8430</x:v>
      </x:c>
      <x:c r="I2010" s="17" t="str">
        <x:v>Followup</x:v>
      </x:c>
      <x:c r="J2010" s="27" t="n">
        <x:f>INDEX('Model Pricing'!$B$7:$B$8,MATCH(F2010,'Model Pricing'!$A$7:$A$8,0))</x:f>
        <x:v>10</x:v>
      </x:c>
      <x:c r="K2010" s="27" t="n">
        <x:f>INDEX('Model Pricing'!$C$7:$C$8,MATCH(F2010,'Model Pricing'!$A$7:$A$8,0))</x:f>
        <x:v>30</x:v>
      </x:c>
      <x:c r="L2010" s="17" t="n">
        <x:f>G2010+H2010</x:f>
        <x:v>39842</x:v>
      </x:c>
      <x:c r="M2010" s="28" t="n">
        <x:f>G2010*J2010/1000000</x:f>
        <x:v>0.31412</x:v>
      </x:c>
      <x:c r="N2010" s="28" t="n">
        <x:f>H2010*K2010/1000000</x:f>
        <x:v>0.2529</x:v>
      </x:c>
      <x:c r="O2010" s="28" t="n">
        <x:f>SUM(M2010:N2010)</x:f>
        <x:v>0.5670200000000001</x:v>
      </x:c>
    </x:row>
    <x:row r="2011" ht="23" customHeight="1">
      <x:c r="A2011" s="17" t="str">
        <x:v>U02005</x:v>
      </x:c>
      <x:c r="B2011" s="18" t="n">
        <x:v>46282</x:v>
      </x:c>
      <x:c r="C2011" s="17" t="str">
        <x:v>W0144</x:v>
      </x:c>
      <x:c r="D2011" s="17" t="str">
        <x:v>C003</x:v>
      </x:c>
      <x:c r="E2011" s="17" t="str">
        <x:v>CopyStudio</x:v>
      </x:c>
      <x:c r="F2011" s="17" t="str">
        <x:v>Lite</x:v>
      </x:c>
      <x:c r="G2011" s="17" t="n">
        <x:v>25682</x:v>
      </x:c>
      <x:c r="H2011" s="17" t="n">
        <x:v>4112</x:v>
      </x:c>
      <x:c r="I2011" s="17" t="str">
        <x:v>Followup</x:v>
      </x:c>
      <x:c r="J2011" s="27" t="n">
        <x:f>INDEX('Model Pricing'!$B$7:$B$8,MATCH(F2011,'Model Pricing'!$A$7:$A$8,0))</x:f>
        <x:v>10</x:v>
      </x:c>
      <x:c r="K2011" s="27" t="n">
        <x:f>INDEX('Model Pricing'!$C$7:$C$8,MATCH(F2011,'Model Pricing'!$A$7:$A$8,0))</x:f>
        <x:v>30</x:v>
      </x:c>
      <x:c r="L2011" s="17" t="n">
        <x:f>G2011+H2011</x:f>
        <x:v>29794</x:v>
      </x:c>
      <x:c r="M2011" s="28" t="n">
        <x:f>G2011*J2011/1000000</x:f>
        <x:v>0.25682</x:v>
      </x:c>
      <x:c r="N2011" s="28" t="n">
        <x:f>H2011*K2011/1000000</x:f>
        <x:v>0.12336</x:v>
      </x:c>
      <x:c r="O2011" s="28" t="n">
        <x:f>SUM(M2011:N2011)</x:f>
        <x:v>0.38017999999999996</x:v>
      </x:c>
    </x:row>
    <x:row r="2012" ht="23" customHeight="1">
      <x:c r="A2012" s="17" t="str">
        <x:v>U02006</x:v>
      </x:c>
      <x:c r="B2012" s="18" t="n">
        <x:v>46282</x:v>
      </x:c>
      <x:c r="C2012" s="17" t="str">
        <x:v>W0144</x:v>
      </x:c>
      <x:c r="D2012" s="17" t="str">
        <x:v>C003</x:v>
      </x:c>
      <x:c r="E2012" s="17" t="str">
        <x:v>CopyStudio</x:v>
      </x:c>
      <x:c r="F2012" s="17" t="str">
        <x:v>Lite</x:v>
      </x:c>
      <x:c r="G2012" s="17" t="n">
        <x:v>26177</x:v>
      </x:c>
      <x:c r="H2012" s="17" t="n">
        <x:v>3998</x:v>
      </x:c>
      <x:c r="I2012" s="17" t="str">
        <x:v>Followup</x:v>
      </x:c>
      <x:c r="J2012" s="27" t="n">
        <x:f>INDEX('Model Pricing'!$B$7:$B$8,MATCH(F2012,'Model Pricing'!$A$7:$A$8,0))</x:f>
        <x:v>10</x:v>
      </x:c>
      <x:c r="K2012" s="27" t="n">
        <x:f>INDEX('Model Pricing'!$C$7:$C$8,MATCH(F2012,'Model Pricing'!$A$7:$A$8,0))</x:f>
        <x:v>30</x:v>
      </x:c>
      <x:c r="L2012" s="17" t="n">
        <x:f>G2012+H2012</x:f>
        <x:v>30175</x:v>
      </x:c>
      <x:c r="M2012" s="28" t="n">
        <x:f>G2012*J2012/1000000</x:f>
        <x:v>0.26177</x:v>
      </x:c>
      <x:c r="N2012" s="28" t="n">
        <x:f>H2012*K2012/1000000</x:f>
        <x:v>0.11994</x:v>
      </x:c>
      <x:c r="O2012" s="28" t="n">
        <x:f>SUM(M2012:N2012)</x:f>
        <x:v>0.38171</x:v>
      </x:c>
    </x:row>
    <x:row r="2013" ht="23" customHeight="1">
      <x:c r="A2013" s="17" t="str">
        <x:v>U02007</x:v>
      </x:c>
      <x:c r="B2013" s="18" t="n">
        <x:v>46282</x:v>
      </x:c>
      <x:c r="C2013" s="17" t="str">
        <x:v>W0147</x:v>
      </x:c>
      <x:c r="D2013" s="17" t="str">
        <x:v>C003</x:v>
      </x:c>
      <x:c r="E2013" s="17" t="str">
        <x:v>DataFlow</x:v>
      </x:c>
      <x:c r="F2013" s="17" t="str">
        <x:v>Lite</x:v>
      </x:c>
      <x:c r="G2013" s="17" t="n">
        <x:v>30352</x:v>
      </x:c>
      <x:c r="H2013" s="17" t="n">
        <x:v>3315</x:v>
      </x:c>
      <x:c r="I2013" s="17" t="str">
        <x:v>First attempt</x:v>
      </x:c>
      <x:c r="J2013" s="27" t="n">
        <x:f>INDEX('Model Pricing'!$B$7:$B$8,MATCH(F2013,'Model Pricing'!$A$7:$A$8,0))</x:f>
        <x:v>10</x:v>
      </x:c>
      <x:c r="K2013" s="27" t="n">
        <x:f>INDEX('Model Pricing'!$C$7:$C$8,MATCH(F2013,'Model Pricing'!$A$7:$A$8,0))</x:f>
        <x:v>30</x:v>
      </x:c>
      <x:c r="L2013" s="17" t="n">
        <x:f>G2013+H2013</x:f>
        <x:v>33667</x:v>
      </x:c>
      <x:c r="M2013" s="28" t="n">
        <x:f>G2013*J2013/1000000</x:f>
        <x:v>0.30352</x:v>
      </x:c>
      <x:c r="N2013" s="28" t="n">
        <x:f>H2013*K2013/1000000</x:f>
        <x:v>0.09945</x:v>
      </x:c>
      <x:c r="O2013" s="28" t="n">
        <x:f>SUM(M2013:N2013)</x:f>
        <x:v>0.40297</x:v>
      </x:c>
    </x:row>
    <x:row r="2014" ht="23" customHeight="1">
      <x:c r="A2014" s="17" t="str">
        <x:v>U02008</x:v>
      </x:c>
      <x:c r="B2014" s="18" t="n">
        <x:v>46282</x:v>
      </x:c>
      <x:c r="C2014" s="17" t="str">
        <x:v>W0147</x:v>
      </x:c>
      <x:c r="D2014" s="17" t="str">
        <x:v>C003</x:v>
      </x:c>
      <x:c r="E2014" s="17" t="str">
        <x:v>DataFlow</x:v>
      </x:c>
      <x:c r="F2014" s="17" t="str">
        <x:v>Lite</x:v>
      </x:c>
      <x:c r="G2014" s="17" t="n">
        <x:v>45604</x:v>
      </x:c>
      <x:c r="H2014" s="17" t="n">
        <x:v>2607</x:v>
      </x:c>
      <x:c r="I2014" s="17" t="str">
        <x:v>Followup</x:v>
      </x:c>
      <x:c r="J2014" s="27" t="n">
        <x:f>INDEX('Model Pricing'!$B$7:$B$8,MATCH(F2014,'Model Pricing'!$A$7:$A$8,0))</x:f>
        <x:v>10</x:v>
      </x:c>
      <x:c r="K2014" s="27" t="n">
        <x:f>INDEX('Model Pricing'!$C$7:$C$8,MATCH(F2014,'Model Pricing'!$A$7:$A$8,0))</x:f>
        <x:v>30</x:v>
      </x:c>
      <x:c r="L2014" s="17" t="n">
        <x:f>G2014+H2014</x:f>
        <x:v>48211</x:v>
      </x:c>
      <x:c r="M2014" s="28" t="n">
        <x:f>G2014*J2014/1000000</x:f>
        <x:v>0.45604</x:v>
      </x:c>
      <x:c r="N2014" s="28" t="n">
        <x:f>H2014*K2014/1000000</x:f>
        <x:v>0.07821</x:v>
      </x:c>
      <x:c r="O2014" s="28" t="n">
        <x:f>SUM(M2014:N2014)</x:f>
        <x:v>0.53425</x:v>
      </x:c>
    </x:row>
    <x:row r="2015" ht="23" customHeight="1">
      <x:c r="A2015" s="17" t="str">
        <x:v>U02009</x:v>
      </x:c>
      <x:c r="B2015" s="18" t="n">
        <x:v>46283</x:v>
      </x:c>
      <x:c r="C2015" s="17" t="str">
        <x:v>W0147</x:v>
      </x:c>
      <x:c r="D2015" s="17" t="str">
        <x:v>C003</x:v>
      </x:c>
      <x:c r="E2015" s="17" t="str">
        <x:v>DataFlow</x:v>
      </x:c>
      <x:c r="F2015" s="17" t="str">
        <x:v>Lite</x:v>
      </x:c>
      <x:c r="G2015" s="17" t="n">
        <x:v>34070</x:v>
      </x:c>
      <x:c r="H2015" s="17" t="n">
        <x:v>6202</x:v>
      </x:c>
      <x:c r="I2015" s="17" t="str">
        <x:v>Followup</x:v>
      </x:c>
      <x:c r="J2015" s="27" t="n">
        <x:f>INDEX('Model Pricing'!$B$7:$B$8,MATCH(F2015,'Model Pricing'!$A$7:$A$8,0))</x:f>
        <x:v>10</x:v>
      </x:c>
      <x:c r="K2015" s="27" t="n">
        <x:f>INDEX('Model Pricing'!$C$7:$C$8,MATCH(F2015,'Model Pricing'!$A$7:$A$8,0))</x:f>
        <x:v>30</x:v>
      </x:c>
      <x:c r="L2015" s="17" t="n">
        <x:f>G2015+H2015</x:f>
        <x:v>40272</x:v>
      </x:c>
      <x:c r="M2015" s="28" t="n">
        <x:f>G2015*J2015/1000000</x:f>
        <x:v>0.3407</x:v>
      </x:c>
      <x:c r="N2015" s="28" t="n">
        <x:f>H2015*K2015/1000000</x:f>
        <x:v>0.18606</x:v>
      </x:c>
      <x:c r="O2015" s="28" t="n">
        <x:f>SUM(M2015:N2015)</x:f>
        <x:v>0.52676</x:v>
      </x:c>
    </x:row>
    <x:row r="2016" ht="23" customHeight="1">
      <x:c r="A2016" s="17" t="str">
        <x:v>U02010</x:v>
      </x:c>
      <x:c r="B2016" s="18" t="n">
        <x:v>46283</x:v>
      </x:c>
      <x:c r="C2016" s="17" t="str">
        <x:v>W0147</x:v>
      </x:c>
      <x:c r="D2016" s="17" t="str">
        <x:v>C003</x:v>
      </x:c>
      <x:c r="E2016" s="17" t="str">
        <x:v>DataFlow</x:v>
      </x:c>
      <x:c r="F2016" s="17" t="str">
        <x:v>Lite</x:v>
      </x:c>
      <x:c r="G2016" s="17" t="n">
        <x:v>27611</x:v>
      </x:c>
      <x:c r="H2016" s="17" t="n">
        <x:v>4366</x:v>
      </x:c>
      <x:c r="I2016" s="17" t="str">
        <x:v>Correction</x:v>
      </x:c>
      <x:c r="J2016" s="27" t="n">
        <x:f>INDEX('Model Pricing'!$B$7:$B$8,MATCH(F2016,'Model Pricing'!$A$7:$A$8,0))</x:f>
        <x:v>10</x:v>
      </x:c>
      <x:c r="K2016" s="27" t="n">
        <x:f>INDEX('Model Pricing'!$C$7:$C$8,MATCH(F2016,'Model Pricing'!$A$7:$A$8,0))</x:f>
        <x:v>30</x:v>
      </x:c>
      <x:c r="L2016" s="17" t="n">
        <x:f>G2016+H2016</x:f>
        <x:v>31977</x:v>
      </x:c>
      <x:c r="M2016" s="28" t="n">
        <x:f>G2016*J2016/1000000</x:f>
        <x:v>0.27611</x:v>
      </x:c>
      <x:c r="N2016" s="28" t="n">
        <x:f>H2016*K2016/1000000</x:f>
        <x:v>0.13098</x:v>
      </x:c>
      <x:c r="O2016" s="28" t="n">
        <x:f>SUM(M2016:N2016)</x:f>
        <x:v>0.40709000000000006</x:v>
      </x:c>
    </x:row>
    <x:row r="2017" ht="23" customHeight="1">
      <x:c r="A2017" s="17" t="str">
        <x:v>U02011</x:v>
      </x:c>
      <x:c r="B2017" s="18" t="n">
        <x:v>46286</x:v>
      </x:c>
      <x:c r="C2017" s="17" t="str">
        <x:v>W0147</x:v>
      </x:c>
      <x:c r="D2017" s="17" t="str">
        <x:v>C003</x:v>
      </x:c>
      <x:c r="E2017" s="17" t="str">
        <x:v>DataFlow</x:v>
      </x:c>
      <x:c r="F2017" s="17" t="str">
        <x:v>Lite</x:v>
      </x:c>
      <x:c r="G2017" s="17" t="n">
        <x:v>33443</x:v>
      </x:c>
      <x:c r="H2017" s="17" t="n">
        <x:v>4051</x:v>
      </x:c>
      <x:c r="I2017" s="17" t="str">
        <x:v>Followup</x:v>
      </x:c>
      <x:c r="J2017" s="27" t="n">
        <x:f>INDEX('Model Pricing'!$B$7:$B$8,MATCH(F2017,'Model Pricing'!$A$7:$A$8,0))</x:f>
        <x:v>10</x:v>
      </x:c>
      <x:c r="K2017" s="27" t="n">
        <x:f>INDEX('Model Pricing'!$C$7:$C$8,MATCH(F2017,'Model Pricing'!$A$7:$A$8,0))</x:f>
        <x:v>30</x:v>
      </x:c>
      <x:c r="L2017" s="17" t="n">
        <x:f>G2017+H2017</x:f>
        <x:v>37494</x:v>
      </x:c>
      <x:c r="M2017" s="28" t="n">
        <x:f>G2017*J2017/1000000</x:f>
        <x:v>0.33443</x:v>
      </x:c>
      <x:c r="N2017" s="28" t="n">
        <x:f>H2017*K2017/1000000</x:f>
        <x:v>0.12153</x:v>
      </x:c>
      <x:c r="O2017" s="28" t="n">
        <x:f>SUM(M2017:N2017)</x:f>
        <x:v>0.45596000000000003</x:v>
      </x:c>
    </x:row>
    <x:row r="2018" ht="23" customHeight="1">
      <x:c r="A2018" s="17" t="str">
        <x:v>U02012</x:v>
      </x:c>
      <x:c r="B2018" s="18" t="n">
        <x:v>46286</x:v>
      </x:c>
      <x:c r="C2018" s="17" t="str">
        <x:v>W0147</x:v>
      </x:c>
      <x:c r="D2018" s="17" t="str">
        <x:v>C003</x:v>
      </x:c>
      <x:c r="E2018" s="17" t="str">
        <x:v>DataFlow</x:v>
      </x:c>
      <x:c r="F2018" s="17" t="str">
        <x:v>Lite</x:v>
      </x:c>
      <x:c r="G2018" s="17" t="n">
        <x:v>18709</x:v>
      </x:c>
      <x:c r="H2018" s="17" t="n">
        <x:v>6173</x:v>
      </x:c>
      <x:c r="I2018" s="17" t="str">
        <x:v>Followup</x:v>
      </x:c>
      <x:c r="J2018" s="27" t="n">
        <x:f>INDEX('Model Pricing'!$B$7:$B$8,MATCH(F2018,'Model Pricing'!$A$7:$A$8,0))</x:f>
        <x:v>10</x:v>
      </x:c>
      <x:c r="K2018" s="27" t="n">
        <x:f>INDEX('Model Pricing'!$C$7:$C$8,MATCH(F2018,'Model Pricing'!$A$7:$A$8,0))</x:f>
        <x:v>30</x:v>
      </x:c>
      <x:c r="L2018" s="17" t="n">
        <x:f>G2018+H2018</x:f>
        <x:v>24882</x:v>
      </x:c>
      <x:c r="M2018" s="28" t="n">
        <x:f>G2018*J2018/1000000</x:f>
        <x:v>0.18709</x:v>
      </x:c>
      <x:c r="N2018" s="28" t="n">
        <x:f>H2018*K2018/1000000</x:f>
        <x:v>0.18519</x:v>
      </x:c>
      <x:c r="O2018" s="28" t="n">
        <x:f>SUM(M2018:N2018)</x:f>
        <x:v>0.37228</x:v>
      </x:c>
    </x:row>
    <x:row r="2019" ht="23" customHeight="1">
      <x:c r="A2019" s="17" t="str">
        <x:v>U02013</x:v>
      </x:c>
      <x:c r="B2019" s="18" t="n">
        <x:v>46287</x:v>
      </x:c>
      <x:c r="C2019" s="17" t="str">
        <x:v>W0147</x:v>
      </x:c>
      <x:c r="D2019" s="17" t="str">
        <x:v>C003</x:v>
      </x:c>
      <x:c r="E2019" s="17" t="str">
        <x:v>DataFlow</x:v>
      </x:c>
      <x:c r="F2019" s="17" t="str">
        <x:v>Lite</x:v>
      </x:c>
      <x:c r="G2019" s="17" t="n">
        <x:v>41912</x:v>
      </x:c>
      <x:c r="H2019" s="17" t="n">
        <x:v>5954</x:v>
      </x:c>
      <x:c r="I2019" s="17" t="str">
        <x:v>Followup</x:v>
      </x:c>
      <x:c r="J2019" s="27" t="n">
        <x:f>INDEX('Model Pricing'!$B$7:$B$8,MATCH(F2019,'Model Pricing'!$A$7:$A$8,0))</x:f>
        <x:v>10</x:v>
      </x:c>
      <x:c r="K2019" s="27" t="n">
        <x:f>INDEX('Model Pricing'!$C$7:$C$8,MATCH(F2019,'Model Pricing'!$A$7:$A$8,0))</x:f>
        <x:v>30</x:v>
      </x:c>
      <x:c r="L2019" s="17" t="n">
        <x:f>G2019+H2019</x:f>
        <x:v>47866</x:v>
      </x:c>
      <x:c r="M2019" s="28" t="n">
        <x:f>G2019*J2019/1000000</x:f>
        <x:v>0.41912</x:v>
      </x:c>
      <x:c r="N2019" s="28" t="n">
        <x:f>H2019*K2019/1000000</x:f>
        <x:v>0.17862</x:v>
      </x:c>
      <x:c r="O2019" s="28" t="n">
        <x:f>SUM(M2019:N2019)</x:f>
        <x:v>0.5977399999999999</x:v>
      </x:c>
    </x:row>
    <x:row r="2020" ht="23" customHeight="1">
      <x:c r="A2020" s="17" t="str">
        <x:v>U02014</x:v>
      </x:c>
      <x:c r="B2020" s="18" t="n">
        <x:v>46287</x:v>
      </x:c>
      <x:c r="C2020" s="17" t="str">
        <x:v>W0147</x:v>
      </x:c>
      <x:c r="D2020" s="17" t="str">
        <x:v>C003</x:v>
      </x:c>
      <x:c r="E2020" s="17" t="str">
        <x:v>DataFlow</x:v>
      </x:c>
      <x:c r="F2020" s="17" t="str">
        <x:v>Lite</x:v>
      </x:c>
      <x:c r="G2020" s="17" t="n">
        <x:v>36683</x:v>
      </x:c>
      <x:c r="H2020" s="17" t="n">
        <x:v>3121</x:v>
      </x:c>
      <x:c r="I2020" s="17" t="str">
        <x:v>Followup</x:v>
      </x:c>
      <x:c r="J2020" s="27" t="n">
        <x:f>INDEX('Model Pricing'!$B$7:$B$8,MATCH(F2020,'Model Pricing'!$A$7:$A$8,0))</x:f>
        <x:v>10</x:v>
      </x:c>
      <x:c r="K2020" s="27" t="n">
        <x:f>INDEX('Model Pricing'!$C$7:$C$8,MATCH(F2020,'Model Pricing'!$A$7:$A$8,0))</x:f>
        <x:v>30</x:v>
      </x:c>
      <x:c r="L2020" s="17" t="n">
        <x:f>G2020+H2020</x:f>
        <x:v>39804</x:v>
      </x:c>
      <x:c r="M2020" s="28" t="n">
        <x:f>G2020*J2020/1000000</x:f>
        <x:v>0.36683</x:v>
      </x:c>
      <x:c r="N2020" s="28" t="n">
        <x:f>H2020*K2020/1000000</x:f>
        <x:v>0.09363</x:v>
      </x:c>
      <x:c r="O2020" s="28" t="n">
        <x:f>SUM(M2020:N2020)</x:f>
        <x:v>0.46046</x:v>
      </x:c>
    </x:row>
    <x:row r="2021" ht="23" customHeight="1">
      <x:c r="A2021" s="17" t="str">
        <x:v>U02015</x:v>
      </x:c>
      <x:c r="B2021" s="18" t="n">
        <x:v>46266</x:v>
      </x:c>
      <x:c r="C2021" s="17" t="str">
        <x:v>W0148</x:v>
      </x:c>
      <x:c r="D2021" s="17" t="str">
        <x:v>C003</x:v>
      </x:c>
      <x:c r="E2021" s="17" t="str">
        <x:v>DataFlow</x:v>
      </x:c>
      <x:c r="F2021" s="17" t="str">
        <x:v>Lite</x:v>
      </x:c>
      <x:c r="G2021" s="17" t="n">
        <x:v>42868</x:v>
      </x:c>
      <x:c r="H2021" s="17" t="n">
        <x:v>3305</x:v>
      </x:c>
      <x:c r="I2021" s="17" t="str">
        <x:v>First attempt</x:v>
      </x:c>
      <x:c r="J2021" s="27" t="n">
        <x:f>INDEX('Model Pricing'!$B$7:$B$8,MATCH(F2021,'Model Pricing'!$A$7:$A$8,0))</x:f>
        <x:v>10</x:v>
      </x:c>
      <x:c r="K2021" s="27" t="n">
        <x:f>INDEX('Model Pricing'!$C$7:$C$8,MATCH(F2021,'Model Pricing'!$A$7:$A$8,0))</x:f>
        <x:v>30</x:v>
      </x:c>
      <x:c r="L2021" s="17" t="n">
        <x:f>G2021+H2021</x:f>
        <x:v>46173</x:v>
      </x:c>
      <x:c r="M2021" s="28" t="n">
        <x:f>G2021*J2021/1000000</x:f>
        <x:v>0.42868</x:v>
      </x:c>
      <x:c r="N2021" s="28" t="n">
        <x:f>H2021*K2021/1000000</x:f>
        <x:v>0.09915</x:v>
      </x:c>
      <x:c r="O2021" s="28" t="n">
        <x:f>SUM(M2021:N2021)</x:f>
        <x:v>0.52783</x:v>
      </x:c>
    </x:row>
    <x:row r="2022" ht="23" customHeight="1">
      <x:c r="A2022" s="17" t="str">
        <x:v>U02016</x:v>
      </x:c>
      <x:c r="B2022" s="18" t="n">
        <x:v>46266</x:v>
      </x:c>
      <x:c r="C2022" s="17" t="str">
        <x:v>W0148</x:v>
      </x:c>
      <x:c r="D2022" s="17" t="str">
        <x:v>C003</x:v>
      </x:c>
      <x:c r="E2022" s="17" t="str">
        <x:v>DataFlow</x:v>
      </x:c>
      <x:c r="F2022" s="17" t="str">
        <x:v>Lite</x:v>
      </x:c>
      <x:c r="G2022" s="17" t="n">
        <x:v>19337</x:v>
      </x:c>
      <x:c r="H2022" s="17" t="n">
        <x:v>3676</x:v>
      </x:c>
      <x:c r="I2022" s="17" t="str">
        <x:v>Followup</x:v>
      </x:c>
      <x:c r="J2022" s="27" t="n">
        <x:f>INDEX('Model Pricing'!$B$7:$B$8,MATCH(F2022,'Model Pricing'!$A$7:$A$8,0))</x:f>
        <x:v>10</x:v>
      </x:c>
      <x:c r="K2022" s="27" t="n">
        <x:f>INDEX('Model Pricing'!$C$7:$C$8,MATCH(F2022,'Model Pricing'!$A$7:$A$8,0))</x:f>
        <x:v>30</x:v>
      </x:c>
      <x:c r="L2022" s="17" t="n">
        <x:f>G2022+H2022</x:f>
        <x:v>23013</x:v>
      </x:c>
      <x:c r="M2022" s="28" t="n">
        <x:f>G2022*J2022/1000000</x:f>
        <x:v>0.19337</x:v>
      </x:c>
      <x:c r="N2022" s="28" t="n">
        <x:f>H2022*K2022/1000000</x:f>
        <x:v>0.11028</x:v>
      </x:c>
      <x:c r="O2022" s="28" t="n">
        <x:f>SUM(M2022:N2022)</x:f>
        <x:v>0.30365</x:v>
      </x:c>
    </x:row>
    <x:row r="2023" ht="23" customHeight="1">
      <x:c r="A2023" s="17" t="str">
        <x:v>U02017</x:v>
      </x:c>
      <x:c r="B2023" s="18" t="n">
        <x:v>46266</x:v>
      </x:c>
      <x:c r="C2023" s="17" t="str">
        <x:v>W0148</x:v>
      </x:c>
      <x:c r="D2023" s="17" t="str">
        <x:v>C003</x:v>
      </x:c>
      <x:c r="E2023" s="17" t="str">
        <x:v>DataFlow</x:v>
      </x:c>
      <x:c r="F2023" s="17" t="str">
        <x:v>Lite</x:v>
      </x:c>
      <x:c r="G2023" s="17" t="n">
        <x:v>21622</x:v>
      </x:c>
      <x:c r="H2023" s="17" t="n">
        <x:v>2343</x:v>
      </x:c>
      <x:c r="I2023" s="17" t="str">
        <x:v>Correction</x:v>
      </x:c>
      <x:c r="J2023" s="27" t="n">
        <x:f>INDEX('Model Pricing'!$B$7:$B$8,MATCH(F2023,'Model Pricing'!$A$7:$A$8,0))</x:f>
        <x:v>10</x:v>
      </x:c>
      <x:c r="K2023" s="27" t="n">
        <x:f>INDEX('Model Pricing'!$C$7:$C$8,MATCH(F2023,'Model Pricing'!$A$7:$A$8,0))</x:f>
        <x:v>30</x:v>
      </x:c>
      <x:c r="L2023" s="17" t="n">
        <x:f>G2023+H2023</x:f>
        <x:v>23965</x:v>
      </x:c>
      <x:c r="M2023" s="28" t="n">
        <x:f>G2023*J2023/1000000</x:f>
        <x:v>0.21622</x:v>
      </x:c>
      <x:c r="N2023" s="28" t="n">
        <x:f>H2023*K2023/1000000</x:f>
        <x:v>0.07029</x:v>
      </x:c>
      <x:c r="O2023" s="28" t="n">
        <x:f>SUM(M2023:N2023)</x:f>
        <x:v>0.28651</x:v>
      </x:c>
    </x:row>
    <x:row r="2024" ht="23" customHeight="1">
      <x:c r="A2024" s="17" t="str">
        <x:v>U02018</x:v>
      </x:c>
      <x:c r="B2024" s="18" t="n">
        <x:v>46267</x:v>
      </x:c>
      <x:c r="C2024" s="17" t="str">
        <x:v>W0148</x:v>
      </x:c>
      <x:c r="D2024" s="17" t="str">
        <x:v>C003</x:v>
      </x:c>
      <x:c r="E2024" s="17" t="str">
        <x:v>DataFlow</x:v>
      </x:c>
      <x:c r="F2024" s="17" t="str">
        <x:v>Lite</x:v>
      </x:c>
      <x:c r="G2024" s="17" t="n">
        <x:v>39249</x:v>
      </x:c>
      <x:c r="H2024" s="17" t="n">
        <x:v>1799</x:v>
      </x:c>
      <x:c r="I2024" s="17" t="str">
        <x:v>Followup</x:v>
      </x:c>
      <x:c r="J2024" s="27" t="n">
        <x:f>INDEX('Model Pricing'!$B$7:$B$8,MATCH(F2024,'Model Pricing'!$A$7:$A$8,0))</x:f>
        <x:v>10</x:v>
      </x:c>
      <x:c r="K2024" s="27" t="n">
        <x:f>INDEX('Model Pricing'!$C$7:$C$8,MATCH(F2024,'Model Pricing'!$A$7:$A$8,0))</x:f>
        <x:v>30</x:v>
      </x:c>
      <x:c r="L2024" s="17" t="n">
        <x:f>G2024+H2024</x:f>
        <x:v>41048</x:v>
      </x:c>
      <x:c r="M2024" s="28" t="n">
        <x:f>G2024*J2024/1000000</x:f>
        <x:v>0.39249</x:v>
      </x:c>
      <x:c r="N2024" s="28" t="n">
        <x:f>H2024*K2024/1000000</x:f>
        <x:v>0.05397</x:v>
      </x:c>
      <x:c r="O2024" s="28" t="n">
        <x:f>SUM(M2024:N2024)</x:f>
        <x:v>0.44646</x:v>
      </x:c>
    </x:row>
    <x:row r="2025" ht="23" customHeight="1">
      <x:c r="A2025" s="17" t="str">
        <x:v>U02019</x:v>
      </x:c>
      <x:c r="B2025" s="18" t="n">
        <x:v>46267</x:v>
      </x:c>
      <x:c r="C2025" s="17" t="str">
        <x:v>W0148</x:v>
      </x:c>
      <x:c r="D2025" s="17" t="str">
        <x:v>C003</x:v>
      </x:c>
      <x:c r="E2025" s="17" t="str">
        <x:v>DataFlow</x:v>
      </x:c>
      <x:c r="F2025" s="17" t="str">
        <x:v>Lite</x:v>
      </x:c>
      <x:c r="G2025" s="17" t="n">
        <x:v>32966</x:v>
      </x:c>
      <x:c r="H2025" s="17" t="n">
        <x:v>2556</x:v>
      </x:c>
      <x:c r="I2025" s="17" t="str">
        <x:v>Followup</x:v>
      </x:c>
      <x:c r="J2025" s="27" t="n">
        <x:f>INDEX('Model Pricing'!$B$7:$B$8,MATCH(F2025,'Model Pricing'!$A$7:$A$8,0))</x:f>
        <x:v>10</x:v>
      </x:c>
      <x:c r="K2025" s="27" t="n">
        <x:f>INDEX('Model Pricing'!$C$7:$C$8,MATCH(F2025,'Model Pricing'!$A$7:$A$8,0))</x:f>
        <x:v>30</x:v>
      </x:c>
      <x:c r="L2025" s="17" t="n">
        <x:f>G2025+H2025</x:f>
        <x:v>35522</x:v>
      </x:c>
      <x:c r="M2025" s="28" t="n">
        <x:f>G2025*J2025/1000000</x:f>
        <x:v>0.32966</x:v>
      </x:c>
      <x:c r="N2025" s="28" t="n">
        <x:f>H2025*K2025/1000000</x:f>
        <x:v>0.07668</x:v>
      </x:c>
      <x:c r="O2025" s="28" t="n">
        <x:f>SUM(M2025:N2025)</x:f>
        <x:v>0.40634000000000003</x:v>
      </x:c>
    </x:row>
    <x:row r="2026" ht="23" customHeight="1">
      <x:c r="A2026" s="17" t="str">
        <x:v>U02020</x:v>
      </x:c>
      <x:c r="B2026" s="18" t="n">
        <x:v>46267</x:v>
      </x:c>
      <x:c r="C2026" s="17" t="str">
        <x:v>W0148</x:v>
      </x:c>
      <x:c r="D2026" s="17" t="str">
        <x:v>C003</x:v>
      </x:c>
      <x:c r="E2026" s="17" t="str">
        <x:v>DataFlow</x:v>
      </x:c>
      <x:c r="F2026" s="17" t="str">
        <x:v>Lite</x:v>
      </x:c>
      <x:c r="G2026" s="17" t="n">
        <x:v>20596</x:v>
      </x:c>
      <x:c r="H2026" s="17" t="n">
        <x:v>2638</x:v>
      </x:c>
      <x:c r="I2026" s="17" t="str">
        <x:v>Correction</x:v>
      </x:c>
      <x:c r="J2026" s="27" t="n">
        <x:f>INDEX('Model Pricing'!$B$7:$B$8,MATCH(F2026,'Model Pricing'!$A$7:$A$8,0))</x:f>
        <x:v>10</x:v>
      </x:c>
      <x:c r="K2026" s="27" t="n">
        <x:f>INDEX('Model Pricing'!$C$7:$C$8,MATCH(F2026,'Model Pricing'!$A$7:$A$8,0))</x:f>
        <x:v>30</x:v>
      </x:c>
      <x:c r="L2026" s="17" t="n">
        <x:f>G2026+H2026</x:f>
        <x:v>23234</x:v>
      </x:c>
      <x:c r="M2026" s="28" t="n">
        <x:f>G2026*J2026/1000000</x:f>
        <x:v>0.20596</x:v>
      </x:c>
      <x:c r="N2026" s="28" t="n">
        <x:f>H2026*K2026/1000000</x:f>
        <x:v>0.07914</x:v>
      </x:c>
      <x:c r="O2026" s="28" t="n">
        <x:f>SUM(M2026:N2026)</x:f>
        <x:v>0.2851</x:v>
      </x:c>
    </x:row>
    <x:row r="2027" ht="23" customHeight="1">
      <x:c r="A2027" s="17" t="str">
        <x:v>U02021</x:v>
      </x:c>
      <x:c r="B2027" s="18" t="n">
        <x:v>46268</x:v>
      </x:c>
      <x:c r="C2027" s="17" t="str">
        <x:v>W0148</x:v>
      </x:c>
      <x:c r="D2027" s="17" t="str">
        <x:v>C003</x:v>
      </x:c>
      <x:c r="E2027" s="17" t="str">
        <x:v>DataFlow</x:v>
      </x:c>
      <x:c r="F2027" s="17" t="str">
        <x:v>Lite</x:v>
      </x:c>
      <x:c r="G2027" s="17" t="n">
        <x:v>25606</x:v>
      </x:c>
      <x:c r="H2027" s="17" t="n">
        <x:v>3628</x:v>
      </x:c>
      <x:c r="I2027" s="17" t="str">
        <x:v>Correction</x:v>
      </x:c>
      <x:c r="J2027" s="27" t="n">
        <x:f>INDEX('Model Pricing'!$B$7:$B$8,MATCH(F2027,'Model Pricing'!$A$7:$A$8,0))</x:f>
        <x:v>10</x:v>
      </x:c>
      <x:c r="K2027" s="27" t="n">
        <x:f>INDEX('Model Pricing'!$C$7:$C$8,MATCH(F2027,'Model Pricing'!$A$7:$A$8,0))</x:f>
        <x:v>30</x:v>
      </x:c>
      <x:c r="L2027" s="17" t="n">
        <x:f>G2027+H2027</x:f>
        <x:v>29234</x:v>
      </x:c>
      <x:c r="M2027" s="28" t="n">
        <x:f>G2027*J2027/1000000</x:f>
        <x:v>0.25606</x:v>
      </x:c>
      <x:c r="N2027" s="28" t="n">
        <x:f>H2027*K2027/1000000</x:f>
        <x:v>0.10884</x:v>
      </x:c>
      <x:c r="O2027" s="28" t="n">
        <x:f>SUM(M2027:N2027)</x:f>
        <x:v>0.3649</x:v>
      </x:c>
    </x:row>
    <x:row r="2028" ht="23" customHeight="1">
      <x:c r="A2028" s="17" t="str">
        <x:v>U02022</x:v>
      </x:c>
      <x:c r="B2028" s="18" t="n">
        <x:v>46268</x:v>
      </x:c>
      <x:c r="C2028" s="17" t="str">
        <x:v>W0148</x:v>
      </x:c>
      <x:c r="D2028" s="17" t="str">
        <x:v>C003</x:v>
      </x:c>
      <x:c r="E2028" s="17" t="str">
        <x:v>DataFlow</x:v>
      </x:c>
      <x:c r="F2028" s="17" t="str">
        <x:v>Lite</x:v>
      </x:c>
      <x:c r="G2028" s="17" t="n">
        <x:v>33428</x:v>
      </x:c>
      <x:c r="H2028" s="17" t="n">
        <x:v>4144</x:v>
      </x:c>
      <x:c r="I2028" s="17" t="str">
        <x:v>Followup</x:v>
      </x:c>
      <x:c r="J2028" s="27" t="n">
        <x:f>INDEX('Model Pricing'!$B$7:$B$8,MATCH(F2028,'Model Pricing'!$A$7:$A$8,0))</x:f>
        <x:v>10</x:v>
      </x:c>
      <x:c r="K2028" s="27" t="n">
        <x:f>INDEX('Model Pricing'!$C$7:$C$8,MATCH(F2028,'Model Pricing'!$A$7:$A$8,0))</x:f>
        <x:v>30</x:v>
      </x:c>
      <x:c r="L2028" s="17" t="n">
        <x:f>G2028+H2028</x:f>
        <x:v>37572</x:v>
      </x:c>
      <x:c r="M2028" s="28" t="n">
        <x:f>G2028*J2028/1000000</x:f>
        <x:v>0.33428</x:v>
      </x:c>
      <x:c r="N2028" s="28" t="n">
        <x:f>H2028*K2028/1000000</x:f>
        <x:v>0.12432</x:v>
      </x:c>
      <x:c r="O2028" s="28" t="n">
        <x:f>SUM(M2028:N2028)</x:f>
        <x:v>0.4586</x:v>
      </x:c>
    </x:row>
    <x:row r="2029" ht="23" customHeight="1">
      <x:c r="A2029" s="17" t="str">
        <x:v>U02023</x:v>
      </x:c>
      <x:c r="B2029" s="18" t="n">
        <x:v>46268</x:v>
      </x:c>
      <x:c r="C2029" s="17" t="str">
        <x:v>W0148</x:v>
      </x:c>
      <x:c r="D2029" s="17" t="str">
        <x:v>C003</x:v>
      </x:c>
      <x:c r="E2029" s="17" t="str">
        <x:v>DataFlow</x:v>
      </x:c>
      <x:c r="F2029" s="17" t="str">
        <x:v>Lite</x:v>
      </x:c>
      <x:c r="G2029" s="17" t="n">
        <x:v>30231</x:v>
      </x:c>
      <x:c r="H2029" s="17" t="n">
        <x:v>4112</x:v>
      </x:c>
      <x:c r="I2029" s="17" t="str">
        <x:v>Followup</x:v>
      </x:c>
      <x:c r="J2029" s="27" t="n">
        <x:f>INDEX('Model Pricing'!$B$7:$B$8,MATCH(F2029,'Model Pricing'!$A$7:$A$8,0))</x:f>
        <x:v>10</x:v>
      </x:c>
      <x:c r="K2029" s="27" t="n">
        <x:f>INDEX('Model Pricing'!$C$7:$C$8,MATCH(F2029,'Model Pricing'!$A$7:$A$8,0))</x:f>
        <x:v>30</x:v>
      </x:c>
      <x:c r="L2029" s="17" t="n">
        <x:f>G2029+H2029</x:f>
        <x:v>34343</x:v>
      </x:c>
      <x:c r="M2029" s="28" t="n">
        <x:f>G2029*J2029/1000000</x:f>
        <x:v>0.30231</x:v>
      </x:c>
      <x:c r="N2029" s="28" t="n">
        <x:f>H2029*K2029/1000000</x:f>
        <x:v>0.12336</x:v>
      </x:c>
      <x:c r="O2029" s="28" t="n">
        <x:f>SUM(M2029:N2029)</x:f>
        <x:v>0.42567</x:v>
      </x:c>
    </x:row>
    <x:row r="2030" ht="23" customHeight="1">
      <x:c r="A2030" s="17" t="str">
        <x:v>U02024</x:v>
      </x:c>
      <x:c r="B2030" s="18" t="n">
        <x:v>46269</x:v>
      </x:c>
      <x:c r="C2030" s="17" t="str">
        <x:v>W0148</x:v>
      </x:c>
      <x:c r="D2030" s="17" t="str">
        <x:v>C003</x:v>
      </x:c>
      <x:c r="E2030" s="17" t="str">
        <x:v>DataFlow</x:v>
      </x:c>
      <x:c r="F2030" s="17" t="str">
        <x:v>Lite</x:v>
      </x:c>
      <x:c r="G2030" s="17" t="n">
        <x:v>25740</x:v>
      </x:c>
      <x:c r="H2030" s="17" t="n">
        <x:v>3759</x:v>
      </x:c>
      <x:c r="I2030" s="17" t="str">
        <x:v>Followup</x:v>
      </x:c>
      <x:c r="J2030" s="27" t="n">
        <x:f>INDEX('Model Pricing'!$B$7:$B$8,MATCH(F2030,'Model Pricing'!$A$7:$A$8,0))</x:f>
        <x:v>10</x:v>
      </x:c>
      <x:c r="K2030" s="27" t="n">
        <x:f>INDEX('Model Pricing'!$C$7:$C$8,MATCH(F2030,'Model Pricing'!$A$7:$A$8,0))</x:f>
        <x:v>30</x:v>
      </x:c>
      <x:c r="L2030" s="17" t="n">
        <x:f>G2030+H2030</x:f>
        <x:v>29499</x:v>
      </x:c>
      <x:c r="M2030" s="28" t="n">
        <x:f>G2030*J2030/1000000</x:f>
        <x:v>0.2574</x:v>
      </x:c>
      <x:c r="N2030" s="28" t="n">
        <x:f>H2030*K2030/1000000</x:f>
        <x:v>0.11277</x:v>
      </x:c>
      <x:c r="O2030" s="28" t="n">
        <x:f>SUM(M2030:N2030)</x:f>
        <x:v>0.37017</x:v>
      </x:c>
    </x:row>
    <x:row r="2031" ht="23" customHeight="1">
      <x:c r="A2031" s="17" t="str">
        <x:v>U02025</x:v>
      </x:c>
      <x:c r="B2031" s="18" t="n">
        <x:v>46269</x:v>
      </x:c>
      <x:c r="C2031" s="17" t="str">
        <x:v>W0148</x:v>
      </x:c>
      <x:c r="D2031" s="17" t="str">
        <x:v>C003</x:v>
      </x:c>
      <x:c r="E2031" s="17" t="str">
        <x:v>DataFlow</x:v>
      </x:c>
      <x:c r="F2031" s="17" t="str">
        <x:v>Lite</x:v>
      </x:c>
      <x:c r="G2031" s="17" t="n">
        <x:v>29987</x:v>
      </x:c>
      <x:c r="H2031" s="17" t="n">
        <x:v>2337</x:v>
      </x:c>
      <x:c r="I2031" s="17" t="str">
        <x:v>Followup</x:v>
      </x:c>
      <x:c r="J2031" s="27" t="n">
        <x:f>INDEX('Model Pricing'!$B$7:$B$8,MATCH(F2031,'Model Pricing'!$A$7:$A$8,0))</x:f>
        <x:v>10</x:v>
      </x:c>
      <x:c r="K2031" s="27" t="n">
        <x:f>INDEX('Model Pricing'!$C$7:$C$8,MATCH(F2031,'Model Pricing'!$A$7:$A$8,0))</x:f>
        <x:v>30</x:v>
      </x:c>
      <x:c r="L2031" s="17" t="n">
        <x:f>G2031+H2031</x:f>
        <x:v>32324</x:v>
      </x:c>
      <x:c r="M2031" s="28" t="n">
        <x:f>G2031*J2031/1000000</x:f>
        <x:v>0.29987</x:v>
      </x:c>
      <x:c r="N2031" s="28" t="n">
        <x:f>H2031*K2031/1000000</x:f>
        <x:v>0.07011</x:v>
      </x:c>
      <x:c r="O2031" s="28" t="n">
        <x:f>SUM(M2031:N2031)</x:f>
        <x:v>0.36998000000000003</x:v>
      </x:c>
    </x:row>
    <x:row r="2032" ht="23" customHeight="1">
      <x:c r="A2032" s="17" t="str">
        <x:v>U02026</x:v>
      </x:c>
      <x:c r="B2032" s="18" t="n">
        <x:v>46269</x:v>
      </x:c>
      <x:c r="C2032" s="17" t="str">
        <x:v>W0148</x:v>
      </x:c>
      <x:c r="D2032" s="17" t="str">
        <x:v>C003</x:v>
      </x:c>
      <x:c r="E2032" s="17" t="str">
        <x:v>DataFlow</x:v>
      </x:c>
      <x:c r="F2032" s="17" t="str">
        <x:v>Lite</x:v>
      </x:c>
      <x:c r="G2032" s="17" t="n">
        <x:v>35033</x:v>
      </x:c>
      <x:c r="H2032" s="17" t="n">
        <x:v>2913</x:v>
      </x:c>
      <x:c r="I2032" s="17" t="str">
        <x:v>Followup</x:v>
      </x:c>
      <x:c r="J2032" s="27" t="n">
        <x:f>INDEX('Model Pricing'!$B$7:$B$8,MATCH(F2032,'Model Pricing'!$A$7:$A$8,0))</x:f>
        <x:v>10</x:v>
      </x:c>
      <x:c r="K2032" s="27" t="n">
        <x:f>INDEX('Model Pricing'!$C$7:$C$8,MATCH(F2032,'Model Pricing'!$A$7:$A$8,0))</x:f>
        <x:v>30</x:v>
      </x:c>
      <x:c r="L2032" s="17" t="n">
        <x:f>G2032+H2032</x:f>
        <x:v>37946</x:v>
      </x:c>
      <x:c r="M2032" s="28" t="n">
        <x:f>G2032*J2032/1000000</x:f>
        <x:v>0.35033</x:v>
      </x:c>
      <x:c r="N2032" s="28" t="n">
        <x:f>H2032*K2032/1000000</x:f>
        <x:v>0.08739</x:v>
      </x:c>
      <x:c r="O2032" s="28" t="n">
        <x:f>SUM(M2032:N2032)</x:f>
        <x:v>0.43772</x:v>
      </x:c>
    </x:row>
    <x:row r="2033" ht="23" customHeight="1">
      <x:c r="A2033" s="17" t="str">
        <x:v>U02027</x:v>
      </x:c>
      <x:c r="B2033" s="18" t="n">
        <x:v>46276</x:v>
      </x:c>
      <x:c r="C2033" s="17" t="str">
        <x:v>W0149</x:v>
      </x:c>
      <x:c r="D2033" s="17" t="str">
        <x:v>C003</x:v>
      </x:c>
      <x:c r="E2033" s="17" t="str">
        <x:v>CopyStudio</x:v>
      </x:c>
      <x:c r="F2033" s="17" t="str">
        <x:v>Lite</x:v>
      </x:c>
      <x:c r="G2033" s="17" t="n">
        <x:v>23554</x:v>
      </x:c>
      <x:c r="H2033" s="17" t="n">
        <x:v>5715</x:v>
      </x:c>
      <x:c r="I2033" s="17" t="str">
        <x:v>First attempt</x:v>
      </x:c>
      <x:c r="J2033" s="27" t="n">
        <x:f>INDEX('Model Pricing'!$B$7:$B$8,MATCH(F2033,'Model Pricing'!$A$7:$A$8,0))</x:f>
        <x:v>10</x:v>
      </x:c>
      <x:c r="K2033" s="27" t="n">
        <x:f>INDEX('Model Pricing'!$C$7:$C$8,MATCH(F2033,'Model Pricing'!$A$7:$A$8,0))</x:f>
        <x:v>30</x:v>
      </x:c>
      <x:c r="L2033" s="17" t="n">
        <x:f>G2033+H2033</x:f>
        <x:v>29269</x:v>
      </x:c>
      <x:c r="M2033" s="28" t="n">
        <x:f>G2033*J2033/1000000</x:f>
        <x:v>0.23554</x:v>
      </x:c>
      <x:c r="N2033" s="28" t="n">
        <x:f>H2033*K2033/1000000</x:f>
        <x:v>0.17145</x:v>
      </x:c>
      <x:c r="O2033" s="28" t="n">
        <x:f>SUM(M2033:N2033)</x:f>
        <x:v>0.40698999999999996</x:v>
      </x:c>
    </x:row>
    <x:row r="2034" ht="23" customHeight="1">
      <x:c r="A2034" s="17" t="str">
        <x:v>U02028</x:v>
      </x:c>
      <x:c r="B2034" s="18" t="n">
        <x:v>46276</x:v>
      </x:c>
      <x:c r="C2034" s="17" t="str">
        <x:v>W0149</x:v>
      </x:c>
      <x:c r="D2034" s="17" t="str">
        <x:v>C003</x:v>
      </x:c>
      <x:c r="E2034" s="17" t="str">
        <x:v>CopyStudio</x:v>
      </x:c>
      <x:c r="F2034" s="17" t="str">
        <x:v>Lite</x:v>
      </x:c>
      <x:c r="G2034" s="17" t="n">
        <x:v>49902</x:v>
      </x:c>
      <x:c r="H2034" s="17" t="n">
        <x:v>6275</x:v>
      </x:c>
      <x:c r="I2034" s="17" t="str">
        <x:v>Followup</x:v>
      </x:c>
      <x:c r="J2034" s="27" t="n">
        <x:f>INDEX('Model Pricing'!$B$7:$B$8,MATCH(F2034,'Model Pricing'!$A$7:$A$8,0))</x:f>
        <x:v>10</x:v>
      </x:c>
      <x:c r="K2034" s="27" t="n">
        <x:f>INDEX('Model Pricing'!$C$7:$C$8,MATCH(F2034,'Model Pricing'!$A$7:$A$8,0))</x:f>
        <x:v>30</x:v>
      </x:c>
      <x:c r="L2034" s="17" t="n">
        <x:f>G2034+H2034</x:f>
        <x:v>56177</x:v>
      </x:c>
      <x:c r="M2034" s="28" t="n">
        <x:f>G2034*J2034/1000000</x:f>
        <x:v>0.49902</x:v>
      </x:c>
      <x:c r="N2034" s="28" t="n">
        <x:f>H2034*K2034/1000000</x:f>
        <x:v>0.18825</x:v>
      </x:c>
      <x:c r="O2034" s="28" t="n">
        <x:f>SUM(M2034:N2034)</x:f>
        <x:v>0.68727</x:v>
      </x:c>
    </x:row>
    <x:row r="2035" ht="23" customHeight="1">
      <x:c r="A2035" s="17" t="str">
        <x:v>U02029</x:v>
      </x:c>
      <x:c r="B2035" s="18" t="n">
        <x:v>46276</x:v>
      </x:c>
      <x:c r="C2035" s="17" t="str">
        <x:v>W0149</x:v>
      </x:c>
      <x:c r="D2035" s="17" t="str">
        <x:v>C003</x:v>
      </x:c>
      <x:c r="E2035" s="17" t="str">
        <x:v>CopyStudio</x:v>
      </x:c>
      <x:c r="F2035" s="17" t="str">
        <x:v>Lite</x:v>
      </x:c>
      <x:c r="G2035" s="17" t="n">
        <x:v>31712</x:v>
      </x:c>
      <x:c r="H2035" s="17" t="n">
        <x:v>6170</x:v>
      </x:c>
      <x:c r="I2035" s="17" t="str">
        <x:v>Followup</x:v>
      </x:c>
      <x:c r="J2035" s="27" t="n">
        <x:f>INDEX('Model Pricing'!$B$7:$B$8,MATCH(F2035,'Model Pricing'!$A$7:$A$8,0))</x:f>
        <x:v>10</x:v>
      </x:c>
      <x:c r="K2035" s="27" t="n">
        <x:f>INDEX('Model Pricing'!$C$7:$C$8,MATCH(F2035,'Model Pricing'!$A$7:$A$8,0))</x:f>
        <x:v>30</x:v>
      </x:c>
      <x:c r="L2035" s="17" t="n">
        <x:f>G2035+H2035</x:f>
        <x:v>37882</x:v>
      </x:c>
      <x:c r="M2035" s="28" t="n">
        <x:f>G2035*J2035/1000000</x:f>
        <x:v>0.31712</x:v>
      </x:c>
      <x:c r="N2035" s="28" t="n">
        <x:f>H2035*K2035/1000000</x:f>
        <x:v>0.1851</x:v>
      </x:c>
      <x:c r="O2035" s="28" t="n">
        <x:f>SUM(M2035:N2035)</x:f>
        <x:v>0.50222</x:v>
      </x:c>
    </x:row>
    <x:row r="2036" ht="23" customHeight="1">
      <x:c r="A2036" s="17" t="str">
        <x:v>U02030</x:v>
      </x:c>
      <x:c r="B2036" s="18" t="n">
        <x:v>46276</x:v>
      </x:c>
      <x:c r="C2036" s="17" t="str">
        <x:v>W0149</x:v>
      </x:c>
      <x:c r="D2036" s="17" t="str">
        <x:v>C003</x:v>
      </x:c>
      <x:c r="E2036" s="17" t="str">
        <x:v>CopyStudio</x:v>
      </x:c>
      <x:c r="F2036" s="17" t="str">
        <x:v>Lite</x:v>
      </x:c>
      <x:c r="G2036" s="17" t="n">
        <x:v>45527</x:v>
      </x:c>
      <x:c r="H2036" s="17" t="n">
        <x:v>4552</x:v>
      </x:c>
      <x:c r="I2036" s="17" t="str">
        <x:v>Correction</x:v>
      </x:c>
      <x:c r="J2036" s="27" t="n">
        <x:f>INDEX('Model Pricing'!$B$7:$B$8,MATCH(F2036,'Model Pricing'!$A$7:$A$8,0))</x:f>
        <x:v>10</x:v>
      </x:c>
      <x:c r="K2036" s="27" t="n">
        <x:f>INDEX('Model Pricing'!$C$7:$C$8,MATCH(F2036,'Model Pricing'!$A$7:$A$8,0))</x:f>
        <x:v>30</x:v>
      </x:c>
      <x:c r="L2036" s="17" t="n">
        <x:f>G2036+H2036</x:f>
        <x:v>50079</x:v>
      </x:c>
      <x:c r="M2036" s="28" t="n">
        <x:f>G2036*J2036/1000000</x:f>
        <x:v>0.45527</x:v>
      </x:c>
      <x:c r="N2036" s="28" t="n">
        <x:f>H2036*K2036/1000000</x:f>
        <x:v>0.13656</x:v>
      </x:c>
      <x:c r="O2036" s="28" t="n">
        <x:f>SUM(M2036:N2036)</x:f>
        <x:v>0.59183</x:v>
      </x:c>
    </x:row>
    <x:row r="2037" ht="23" customHeight="1">
      <x:c r="A2037" s="17" t="str">
        <x:v>U02031</x:v>
      </x:c>
      <x:c r="B2037" s="18" t="n">
        <x:v>46279</x:v>
      </x:c>
      <x:c r="C2037" s="17" t="str">
        <x:v>W0149</x:v>
      </x:c>
      <x:c r="D2037" s="17" t="str">
        <x:v>C003</x:v>
      </x:c>
      <x:c r="E2037" s="17" t="str">
        <x:v>CopyStudio</x:v>
      </x:c>
      <x:c r="F2037" s="17" t="str">
        <x:v>Lite</x:v>
      </x:c>
      <x:c r="G2037" s="17" t="n">
        <x:v>53297</x:v>
      </x:c>
      <x:c r="H2037" s="17" t="n">
        <x:v>6293</x:v>
      </x:c>
      <x:c r="I2037" s="17" t="str">
        <x:v>Followup</x:v>
      </x:c>
      <x:c r="J2037" s="27" t="n">
        <x:f>INDEX('Model Pricing'!$B$7:$B$8,MATCH(F2037,'Model Pricing'!$A$7:$A$8,0))</x:f>
        <x:v>10</x:v>
      </x:c>
      <x:c r="K2037" s="27" t="n">
        <x:f>INDEX('Model Pricing'!$C$7:$C$8,MATCH(F2037,'Model Pricing'!$A$7:$A$8,0))</x:f>
        <x:v>30</x:v>
      </x:c>
      <x:c r="L2037" s="17" t="n">
        <x:f>G2037+H2037</x:f>
        <x:v>59590</x:v>
      </x:c>
      <x:c r="M2037" s="28" t="n">
        <x:f>G2037*J2037/1000000</x:f>
        <x:v>0.53297</x:v>
      </x:c>
      <x:c r="N2037" s="28" t="n">
        <x:f>H2037*K2037/1000000</x:f>
        <x:v>0.18879</x:v>
      </x:c>
      <x:c r="O2037" s="28" t="n">
        <x:f>SUM(M2037:N2037)</x:f>
        <x:v>0.7217600000000001</x:v>
      </x:c>
    </x:row>
    <x:row r="2038" ht="23" customHeight="1">
      <x:c r="A2038" s="17" t="str">
        <x:v>U02032</x:v>
      </x:c>
      <x:c r="B2038" s="18" t="n">
        <x:v>46279</x:v>
      </x:c>
      <x:c r="C2038" s="17" t="str">
        <x:v>W0149</x:v>
      </x:c>
      <x:c r="D2038" s="17" t="str">
        <x:v>C003</x:v>
      </x:c>
      <x:c r="E2038" s="17" t="str">
        <x:v>CopyStudio</x:v>
      </x:c>
      <x:c r="F2038" s="17" t="str">
        <x:v>Lite</x:v>
      </x:c>
      <x:c r="G2038" s="17" t="n">
        <x:v>33618</x:v>
      </x:c>
      <x:c r="H2038" s="17" t="n">
        <x:v>2590</x:v>
      </x:c>
      <x:c r="I2038" s="17" t="str">
        <x:v>Followup</x:v>
      </x:c>
      <x:c r="J2038" s="27" t="n">
        <x:f>INDEX('Model Pricing'!$B$7:$B$8,MATCH(F2038,'Model Pricing'!$A$7:$A$8,0))</x:f>
        <x:v>10</x:v>
      </x:c>
      <x:c r="K2038" s="27" t="n">
        <x:f>INDEX('Model Pricing'!$C$7:$C$8,MATCH(F2038,'Model Pricing'!$A$7:$A$8,0))</x:f>
        <x:v>30</x:v>
      </x:c>
      <x:c r="L2038" s="17" t="n">
        <x:f>G2038+H2038</x:f>
        <x:v>36208</x:v>
      </x:c>
      <x:c r="M2038" s="28" t="n">
        <x:f>G2038*J2038/1000000</x:f>
        <x:v>0.33618</x:v>
      </x:c>
      <x:c r="N2038" s="28" t="n">
        <x:f>H2038*K2038/1000000</x:f>
        <x:v>0.0777</x:v>
      </x:c>
      <x:c r="O2038" s="28" t="n">
        <x:f>SUM(M2038:N2038)</x:f>
        <x:v>0.41387999999999997</x:v>
      </x:c>
    </x:row>
    <x:row r="2039" ht="23" customHeight="1">
      <x:c r="A2039" s="17" t="str">
        <x:v>U02033</x:v>
      </x:c>
      <x:c r="B2039" s="18" t="n">
        <x:v>46279</x:v>
      </x:c>
      <x:c r="C2039" s="17" t="str">
        <x:v>W0149</x:v>
      </x:c>
      <x:c r="D2039" s="17" t="str">
        <x:v>C003</x:v>
      </x:c>
      <x:c r="E2039" s="17" t="str">
        <x:v>CopyStudio</x:v>
      </x:c>
      <x:c r="F2039" s="17" t="str">
        <x:v>Lite</x:v>
      </x:c>
      <x:c r="G2039" s="17" t="n">
        <x:v>22780</x:v>
      </x:c>
      <x:c r="H2039" s="17" t="n">
        <x:v>6351</x:v>
      </x:c>
      <x:c r="I2039" s="17" t="str">
        <x:v>Followup</x:v>
      </x:c>
      <x:c r="J2039" s="27" t="n">
        <x:f>INDEX('Model Pricing'!$B$7:$B$8,MATCH(F2039,'Model Pricing'!$A$7:$A$8,0))</x:f>
        <x:v>10</x:v>
      </x:c>
      <x:c r="K2039" s="27" t="n">
        <x:f>INDEX('Model Pricing'!$C$7:$C$8,MATCH(F2039,'Model Pricing'!$A$7:$A$8,0))</x:f>
        <x:v>30</x:v>
      </x:c>
      <x:c r="L2039" s="17" t="n">
        <x:f>G2039+H2039</x:f>
        <x:v>29131</x:v>
      </x:c>
      <x:c r="M2039" s="28" t="n">
        <x:f>G2039*J2039/1000000</x:f>
        <x:v>0.2278</x:v>
      </x:c>
      <x:c r="N2039" s="28" t="n">
        <x:f>H2039*K2039/1000000</x:f>
        <x:v>0.19053</x:v>
      </x:c>
      <x:c r="O2039" s="28" t="n">
        <x:f>SUM(M2039:N2039)</x:f>
        <x:v>0.41833</x:v>
      </x:c>
    </x:row>
    <x:row r="2040" ht="23" customHeight="1">
      <x:c r="A2040" s="17" t="str">
        <x:v>U02034</x:v>
      </x:c>
      <x:c r="B2040" s="18" t="n">
        <x:v>46280</x:v>
      </x:c>
      <x:c r="C2040" s="17" t="str">
        <x:v>W0149</x:v>
      </x:c>
      <x:c r="D2040" s="17" t="str">
        <x:v>C003</x:v>
      </x:c>
      <x:c r="E2040" s="17" t="str">
        <x:v>CopyStudio</x:v>
      </x:c>
      <x:c r="F2040" s="17" t="str">
        <x:v>Lite</x:v>
      </x:c>
      <x:c r="G2040" s="17" t="n">
        <x:v>52220</x:v>
      </x:c>
      <x:c r="H2040" s="17" t="n">
        <x:v>5112</x:v>
      </x:c>
      <x:c r="I2040" s="17" t="str">
        <x:v>Followup</x:v>
      </x:c>
      <x:c r="J2040" s="27" t="n">
        <x:f>INDEX('Model Pricing'!$B$7:$B$8,MATCH(F2040,'Model Pricing'!$A$7:$A$8,0))</x:f>
        <x:v>10</x:v>
      </x:c>
      <x:c r="K2040" s="27" t="n">
        <x:f>INDEX('Model Pricing'!$C$7:$C$8,MATCH(F2040,'Model Pricing'!$A$7:$A$8,0))</x:f>
        <x:v>30</x:v>
      </x:c>
      <x:c r="L2040" s="17" t="n">
        <x:f>G2040+H2040</x:f>
        <x:v>57332</x:v>
      </x:c>
      <x:c r="M2040" s="28" t="n">
        <x:f>G2040*J2040/1000000</x:f>
        <x:v>0.5222</x:v>
      </x:c>
      <x:c r="N2040" s="28" t="n">
        <x:f>H2040*K2040/1000000</x:f>
        <x:v>0.15336</x:v>
      </x:c>
      <x:c r="O2040" s="28" t="n">
        <x:f>SUM(M2040:N2040)</x:f>
        <x:v>0.6755599999999999</x:v>
      </x:c>
    </x:row>
    <x:row r="2041" ht="23" customHeight="1">
      <x:c r="A2041" s="17" t="str">
        <x:v>U02035</x:v>
      </x:c>
      <x:c r="B2041" s="18" t="n">
        <x:v>46280</x:v>
      </x:c>
      <x:c r="C2041" s="17" t="str">
        <x:v>W0149</x:v>
      </x:c>
      <x:c r="D2041" s="17" t="str">
        <x:v>C003</x:v>
      </x:c>
      <x:c r="E2041" s="17" t="str">
        <x:v>CopyStudio</x:v>
      </x:c>
      <x:c r="F2041" s="17" t="str">
        <x:v>Lite</x:v>
      </x:c>
      <x:c r="G2041" s="17" t="n">
        <x:v>37119</x:v>
      </x:c>
      <x:c r="H2041" s="17" t="n">
        <x:v>5616</x:v>
      </x:c>
      <x:c r="I2041" s="17" t="str">
        <x:v>Followup</x:v>
      </x:c>
      <x:c r="J2041" s="27" t="n">
        <x:f>INDEX('Model Pricing'!$B$7:$B$8,MATCH(F2041,'Model Pricing'!$A$7:$A$8,0))</x:f>
        <x:v>10</x:v>
      </x:c>
      <x:c r="K2041" s="27" t="n">
        <x:f>INDEX('Model Pricing'!$C$7:$C$8,MATCH(F2041,'Model Pricing'!$A$7:$A$8,0))</x:f>
        <x:v>30</x:v>
      </x:c>
      <x:c r="L2041" s="17" t="n">
        <x:f>G2041+H2041</x:f>
        <x:v>42735</x:v>
      </x:c>
      <x:c r="M2041" s="28" t="n">
        <x:f>G2041*J2041/1000000</x:f>
        <x:v>0.37119</x:v>
      </x:c>
      <x:c r="N2041" s="28" t="n">
        <x:f>H2041*K2041/1000000</x:f>
        <x:v>0.16848</x:v>
      </x:c>
      <x:c r="O2041" s="28" t="n">
        <x:f>SUM(M2041:N2041)</x:f>
        <x:v>0.53967</x:v>
      </x:c>
    </x:row>
    <x:row r="2042" ht="23" customHeight="1">
      <x:c r="A2042" s="17" t="str">
        <x:v>U02036</x:v>
      </x:c>
      <x:c r="B2042" s="18" t="n">
        <x:v>46280</x:v>
      </x:c>
      <x:c r="C2042" s="17" t="str">
        <x:v>W0149</x:v>
      </x:c>
      <x:c r="D2042" s="17" t="str">
        <x:v>C003</x:v>
      </x:c>
      <x:c r="E2042" s="17" t="str">
        <x:v>CopyStudio</x:v>
      </x:c>
      <x:c r="F2042" s="17" t="str">
        <x:v>Lite</x:v>
      </x:c>
      <x:c r="G2042" s="17" t="n">
        <x:v>32094</x:v>
      </x:c>
      <x:c r="H2042" s="17" t="n">
        <x:v>6297</x:v>
      </x:c>
      <x:c r="I2042" s="17" t="str">
        <x:v>Correction</x:v>
      </x:c>
      <x:c r="J2042" s="27" t="n">
        <x:f>INDEX('Model Pricing'!$B$7:$B$8,MATCH(F2042,'Model Pricing'!$A$7:$A$8,0))</x:f>
        <x:v>10</x:v>
      </x:c>
      <x:c r="K2042" s="27" t="n">
        <x:f>INDEX('Model Pricing'!$C$7:$C$8,MATCH(F2042,'Model Pricing'!$A$7:$A$8,0))</x:f>
        <x:v>30</x:v>
      </x:c>
      <x:c r="L2042" s="17" t="n">
        <x:f>G2042+H2042</x:f>
        <x:v>38391</x:v>
      </x:c>
      <x:c r="M2042" s="28" t="n">
        <x:f>G2042*J2042/1000000</x:f>
        <x:v>0.32094</x:v>
      </x:c>
      <x:c r="N2042" s="28" t="n">
        <x:f>H2042*K2042/1000000</x:f>
        <x:v>0.18891</x:v>
      </x:c>
      <x:c r="O2042" s="28" t="n">
        <x:f>SUM(M2042:N2042)</x:f>
        <x:v>0.50985</x:v>
      </x:c>
    </x:row>
    <x:row r="2043" ht="23" customHeight="1">
      <x:c r="A2043" s="17" t="str">
        <x:v>U02037</x:v>
      </x:c>
      <x:c r="B2043" s="18" t="n">
        <x:v>46281</x:v>
      </x:c>
      <x:c r="C2043" s="17" t="str">
        <x:v>W0149</x:v>
      </x:c>
      <x:c r="D2043" s="17" t="str">
        <x:v>C003</x:v>
      </x:c>
      <x:c r="E2043" s="17" t="str">
        <x:v>CopyStudio</x:v>
      </x:c>
      <x:c r="F2043" s="17" t="str">
        <x:v>Lite</x:v>
      </x:c>
      <x:c r="G2043" s="17" t="n">
        <x:v>36654</x:v>
      </x:c>
      <x:c r="H2043" s="17" t="n">
        <x:v>5323</x:v>
      </x:c>
      <x:c r="I2043" s="17" t="str">
        <x:v>Followup</x:v>
      </x:c>
      <x:c r="J2043" s="27" t="n">
        <x:f>INDEX('Model Pricing'!$B$7:$B$8,MATCH(F2043,'Model Pricing'!$A$7:$A$8,0))</x:f>
        <x:v>10</x:v>
      </x:c>
      <x:c r="K2043" s="27" t="n">
        <x:f>INDEX('Model Pricing'!$C$7:$C$8,MATCH(F2043,'Model Pricing'!$A$7:$A$8,0))</x:f>
        <x:v>30</x:v>
      </x:c>
      <x:c r="L2043" s="17" t="n">
        <x:f>G2043+H2043</x:f>
        <x:v>41977</x:v>
      </x:c>
      <x:c r="M2043" s="28" t="n">
        <x:f>G2043*J2043/1000000</x:f>
        <x:v>0.36654</x:v>
      </x:c>
      <x:c r="N2043" s="28" t="n">
        <x:f>H2043*K2043/1000000</x:f>
        <x:v>0.15969</x:v>
      </x:c>
      <x:c r="O2043" s="28" t="n">
        <x:f>SUM(M2043:N2043)</x:f>
        <x:v>0.52623</x:v>
      </x:c>
    </x:row>
    <x:row r="2044" ht="23" customHeight="1">
      <x:c r="A2044" s="17" t="str">
        <x:v>U02038</x:v>
      </x:c>
      <x:c r="B2044" s="18" t="n">
        <x:v>46281</x:v>
      </x:c>
      <x:c r="C2044" s="17" t="str">
        <x:v>W0149</x:v>
      </x:c>
      <x:c r="D2044" s="17" t="str">
        <x:v>C003</x:v>
      </x:c>
      <x:c r="E2044" s="17" t="str">
        <x:v>CopyStudio</x:v>
      </x:c>
      <x:c r="F2044" s="17" t="str">
        <x:v>Lite</x:v>
      </x:c>
      <x:c r="G2044" s="17" t="n">
        <x:v>25645</x:v>
      </x:c>
      <x:c r="H2044" s="17" t="n">
        <x:v>3539</x:v>
      </x:c>
      <x:c r="I2044" s="17" t="str">
        <x:v>Followup</x:v>
      </x:c>
      <x:c r="J2044" s="27" t="n">
        <x:f>INDEX('Model Pricing'!$B$7:$B$8,MATCH(F2044,'Model Pricing'!$A$7:$A$8,0))</x:f>
        <x:v>10</x:v>
      </x:c>
      <x:c r="K2044" s="27" t="n">
        <x:f>INDEX('Model Pricing'!$C$7:$C$8,MATCH(F2044,'Model Pricing'!$A$7:$A$8,0))</x:f>
        <x:v>30</x:v>
      </x:c>
      <x:c r="L2044" s="17" t="n">
        <x:f>G2044+H2044</x:f>
        <x:v>29184</x:v>
      </x:c>
      <x:c r="M2044" s="28" t="n">
        <x:f>G2044*J2044/1000000</x:f>
        <x:v>0.25645</x:v>
      </x:c>
      <x:c r="N2044" s="28" t="n">
        <x:f>H2044*K2044/1000000</x:f>
        <x:v>0.10617</x:v>
      </x:c>
      <x:c r="O2044" s="28" t="n">
        <x:f>SUM(M2044:N2044)</x:f>
        <x:v>0.36262</x:v>
      </x:c>
    </x:row>
    <x:row r="2045" ht="23" customHeight="1">
      <x:c r="A2045" s="17" t="str">
        <x:v>U02039</x:v>
      </x:c>
      <x:c r="B2045" s="18" t="n">
        <x:v>46281</x:v>
      </x:c>
      <x:c r="C2045" s="17" t="str">
        <x:v>W0149</x:v>
      </x:c>
      <x:c r="D2045" s="17" t="str">
        <x:v>C003</x:v>
      </x:c>
      <x:c r="E2045" s="17" t="str">
        <x:v>CopyStudio</x:v>
      </x:c>
      <x:c r="F2045" s="17" t="str">
        <x:v>Lite</x:v>
      </x:c>
      <x:c r="G2045" s="17" t="n">
        <x:v>30578</x:v>
      </x:c>
      <x:c r="H2045" s="17" t="n">
        <x:v>4220</x:v>
      </x:c>
      <x:c r="I2045" s="17" t="str">
        <x:v>Correction</x:v>
      </x:c>
      <x:c r="J2045" s="27" t="n">
        <x:f>INDEX('Model Pricing'!$B$7:$B$8,MATCH(F2045,'Model Pricing'!$A$7:$A$8,0))</x:f>
        <x:v>10</x:v>
      </x:c>
      <x:c r="K2045" s="27" t="n">
        <x:f>INDEX('Model Pricing'!$C$7:$C$8,MATCH(F2045,'Model Pricing'!$A$7:$A$8,0))</x:f>
        <x:v>30</x:v>
      </x:c>
      <x:c r="L2045" s="17" t="n">
        <x:f>G2045+H2045</x:f>
        <x:v>34798</x:v>
      </x:c>
      <x:c r="M2045" s="28" t="n">
        <x:f>G2045*J2045/1000000</x:f>
        <x:v>0.30578</x:v>
      </x:c>
      <x:c r="N2045" s="28" t="n">
        <x:f>H2045*K2045/1000000</x:f>
        <x:v>0.1266</x:v>
      </x:c>
      <x:c r="O2045" s="28" t="n">
        <x:f>SUM(M2045:N2045)</x:f>
        <x:v>0.43238</x:v>
      </x:c>
    </x:row>
    <x:row r="2046" ht="23" customHeight="1">
      <x:c r="A2046" s="17" t="str">
        <x:v>U02040</x:v>
      </x:c>
      <x:c r="B2046" s="18" t="n">
        <x:v>46287</x:v>
      </x:c>
      <x:c r="C2046" s="17" t="str">
        <x:v>W0150</x:v>
      </x:c>
      <x:c r="D2046" s="17" t="str">
        <x:v>C003</x:v>
      </x:c>
      <x:c r="E2046" s="17" t="str">
        <x:v>InsightDesk</x:v>
      </x:c>
      <x:c r="F2046" s="17" t="str">
        <x:v>Lite</x:v>
      </x:c>
      <x:c r="G2046" s="17" t="n">
        <x:v>41004</x:v>
      </x:c>
      <x:c r="H2046" s="17" t="n">
        <x:v>12172</x:v>
      </x:c>
      <x:c r="I2046" s="17" t="str">
        <x:v>First attempt</x:v>
      </x:c>
      <x:c r="J2046" s="27" t="n">
        <x:f>INDEX('Model Pricing'!$B$7:$B$8,MATCH(F2046,'Model Pricing'!$A$7:$A$8,0))</x:f>
        <x:v>10</x:v>
      </x:c>
      <x:c r="K2046" s="27" t="n">
        <x:f>INDEX('Model Pricing'!$C$7:$C$8,MATCH(F2046,'Model Pricing'!$A$7:$A$8,0))</x:f>
        <x:v>30</x:v>
      </x:c>
      <x:c r="L2046" s="17" t="n">
        <x:f>G2046+H2046</x:f>
        <x:v>53176</x:v>
      </x:c>
      <x:c r="M2046" s="28" t="n">
        <x:f>G2046*J2046/1000000</x:f>
        <x:v>0.41004</x:v>
      </x:c>
      <x:c r="N2046" s="28" t="n">
        <x:f>H2046*K2046/1000000</x:f>
        <x:v>0.36516</x:v>
      </x:c>
      <x:c r="O2046" s="28" t="n">
        <x:f>SUM(M2046:N2046)</x:f>
        <x:v>0.7752</x:v>
      </x:c>
    </x:row>
    <x:row r="2047" ht="23" customHeight="1">
      <x:c r="A2047" s="17" t="str">
        <x:v>U02041</x:v>
      </x:c>
      <x:c r="B2047" s="18" t="n">
        <x:v>46287</x:v>
      </x:c>
      <x:c r="C2047" s="17" t="str">
        <x:v>W0150</x:v>
      </x:c>
      <x:c r="D2047" s="17" t="str">
        <x:v>C003</x:v>
      </x:c>
      <x:c r="E2047" s="17" t="str">
        <x:v>InsightDesk</x:v>
      </x:c>
      <x:c r="F2047" s="17" t="str">
        <x:v>Lite</x:v>
      </x:c>
      <x:c r="G2047" s="17" t="n">
        <x:v>26810</x:v>
      </x:c>
      <x:c r="H2047" s="17" t="n">
        <x:v>6880</x:v>
      </x:c>
      <x:c r="I2047" s="17" t="str">
        <x:v>Followup</x:v>
      </x:c>
      <x:c r="J2047" s="27" t="n">
        <x:f>INDEX('Model Pricing'!$B$7:$B$8,MATCH(F2047,'Model Pricing'!$A$7:$A$8,0))</x:f>
        <x:v>10</x:v>
      </x:c>
      <x:c r="K2047" s="27" t="n">
        <x:f>INDEX('Model Pricing'!$C$7:$C$8,MATCH(F2047,'Model Pricing'!$A$7:$A$8,0))</x:f>
        <x:v>30</x:v>
      </x:c>
      <x:c r="L2047" s="17" t="n">
        <x:f>G2047+H2047</x:f>
        <x:v>33690</x:v>
      </x:c>
      <x:c r="M2047" s="28" t="n">
        <x:f>G2047*J2047/1000000</x:f>
        <x:v>0.2681</x:v>
      </x:c>
      <x:c r="N2047" s="28" t="n">
        <x:f>H2047*K2047/1000000</x:f>
        <x:v>0.2064</x:v>
      </x:c>
      <x:c r="O2047" s="28" t="n">
        <x:f>SUM(M2047:N2047)</x:f>
        <x:v>0.47450000000000003</x:v>
      </x:c>
    </x:row>
    <x:row r="2048" ht="23" customHeight="1">
      <x:c r="A2048" s="17" t="str">
        <x:v>U02042</x:v>
      </x:c>
      <x:c r="B2048" s="18" t="n">
        <x:v>46287</x:v>
      </x:c>
      <x:c r="C2048" s="17" t="str">
        <x:v>W0150</x:v>
      </x:c>
      <x:c r="D2048" s="17" t="str">
        <x:v>C003</x:v>
      </x:c>
      <x:c r="E2048" s="17" t="str">
        <x:v>InsightDesk</x:v>
      </x:c>
      <x:c r="F2048" s="17" t="str">
        <x:v>Lite</x:v>
      </x:c>
      <x:c r="G2048" s="17" t="n">
        <x:v>31157</x:v>
      </x:c>
      <x:c r="H2048" s="17" t="n">
        <x:v>9989</x:v>
      </x:c>
      <x:c r="I2048" s="17" t="str">
        <x:v>Followup</x:v>
      </x:c>
      <x:c r="J2048" s="27" t="n">
        <x:f>INDEX('Model Pricing'!$B$7:$B$8,MATCH(F2048,'Model Pricing'!$A$7:$A$8,0))</x:f>
        <x:v>10</x:v>
      </x:c>
      <x:c r="K2048" s="27" t="n">
        <x:f>INDEX('Model Pricing'!$C$7:$C$8,MATCH(F2048,'Model Pricing'!$A$7:$A$8,0))</x:f>
        <x:v>30</x:v>
      </x:c>
      <x:c r="L2048" s="17" t="n">
        <x:f>G2048+H2048</x:f>
        <x:v>41146</x:v>
      </x:c>
      <x:c r="M2048" s="28" t="n">
        <x:f>G2048*J2048/1000000</x:f>
        <x:v>0.31157</x:v>
      </x:c>
      <x:c r="N2048" s="28" t="n">
        <x:f>H2048*K2048/1000000</x:f>
        <x:v>0.29967</x:v>
      </x:c>
      <x:c r="O2048" s="28" t="n">
        <x:f>SUM(M2048:N2048)</x:f>
        <x:v>0.61124</x:v>
      </x:c>
    </x:row>
    <x:row r="2049" ht="23" customHeight="1">
      <x:c r="A2049" s="17" t="str">
        <x:v>U02043</x:v>
      </x:c>
      <x:c r="B2049" s="18" t="n">
        <x:v>46288</x:v>
      </x:c>
      <x:c r="C2049" s="17" t="str">
        <x:v>W0150</x:v>
      </x:c>
      <x:c r="D2049" s="17" t="str">
        <x:v>C003</x:v>
      </x:c>
      <x:c r="E2049" s="17" t="str">
        <x:v>InsightDesk</x:v>
      </x:c>
      <x:c r="F2049" s="17" t="str">
        <x:v>Lite</x:v>
      </x:c>
      <x:c r="G2049" s="17" t="n">
        <x:v>33836</x:v>
      </x:c>
      <x:c r="H2049" s="17" t="n">
        <x:v>4094</x:v>
      </x:c>
      <x:c r="I2049" s="17" t="str">
        <x:v>Correction</x:v>
      </x:c>
      <x:c r="J2049" s="27" t="n">
        <x:f>INDEX('Model Pricing'!$B$7:$B$8,MATCH(F2049,'Model Pricing'!$A$7:$A$8,0))</x:f>
        <x:v>10</x:v>
      </x:c>
      <x:c r="K2049" s="27" t="n">
        <x:f>INDEX('Model Pricing'!$C$7:$C$8,MATCH(F2049,'Model Pricing'!$A$7:$A$8,0))</x:f>
        <x:v>30</x:v>
      </x:c>
      <x:c r="L2049" s="17" t="n">
        <x:f>G2049+H2049</x:f>
        <x:v>37930</x:v>
      </x:c>
      <x:c r="M2049" s="28" t="n">
        <x:f>G2049*J2049/1000000</x:f>
        <x:v>0.33836</x:v>
      </x:c>
      <x:c r="N2049" s="28" t="n">
        <x:f>H2049*K2049/1000000</x:f>
        <x:v>0.12282</x:v>
      </x:c>
      <x:c r="O2049" s="28" t="n">
        <x:f>SUM(M2049:N2049)</x:f>
        <x:v>0.46118</x:v>
      </x:c>
    </x:row>
    <x:row r="2050" ht="23" customHeight="1">
      <x:c r="A2050" s="17" t="str">
        <x:v>U02044</x:v>
      </x:c>
      <x:c r="B2050" s="18" t="n">
        <x:v>46288</x:v>
      </x:c>
      <x:c r="C2050" s="17" t="str">
        <x:v>W0150</x:v>
      </x:c>
      <x:c r="D2050" s="17" t="str">
        <x:v>C003</x:v>
      </x:c>
      <x:c r="E2050" s="17" t="str">
        <x:v>InsightDesk</x:v>
      </x:c>
      <x:c r="F2050" s="17" t="str">
        <x:v>Lite</x:v>
      </x:c>
      <x:c r="G2050" s="17" t="n">
        <x:v>24957</x:v>
      </x:c>
      <x:c r="H2050" s="17" t="n">
        <x:v>6518</x:v>
      </x:c>
      <x:c r="I2050" s="17" t="str">
        <x:v>Followup</x:v>
      </x:c>
      <x:c r="J2050" s="27" t="n">
        <x:f>INDEX('Model Pricing'!$B$7:$B$8,MATCH(F2050,'Model Pricing'!$A$7:$A$8,0))</x:f>
        <x:v>10</x:v>
      </x:c>
      <x:c r="K2050" s="27" t="n">
        <x:f>INDEX('Model Pricing'!$C$7:$C$8,MATCH(F2050,'Model Pricing'!$A$7:$A$8,0))</x:f>
        <x:v>30</x:v>
      </x:c>
      <x:c r="L2050" s="17" t="n">
        <x:f>G2050+H2050</x:f>
        <x:v>31475</x:v>
      </x:c>
      <x:c r="M2050" s="28" t="n">
        <x:f>G2050*J2050/1000000</x:f>
        <x:v>0.24957</x:v>
      </x:c>
      <x:c r="N2050" s="28" t="n">
        <x:f>H2050*K2050/1000000</x:f>
        <x:v>0.19554</x:v>
      </x:c>
      <x:c r="O2050" s="28" t="n">
        <x:f>SUM(M2050:N2050)</x:f>
        <x:v>0.44511</x:v>
      </x:c>
    </x:row>
    <x:row r="2051" ht="23" customHeight="1">
      <x:c r="A2051" s="17" t="str">
        <x:v>U02045</x:v>
      </x:c>
      <x:c r="B2051" s="18" t="n">
        <x:v>46288</x:v>
      </x:c>
      <x:c r="C2051" s="17" t="str">
        <x:v>W0150</x:v>
      </x:c>
      <x:c r="D2051" s="17" t="str">
        <x:v>C003</x:v>
      </x:c>
      <x:c r="E2051" s="17" t="str">
        <x:v>InsightDesk</x:v>
      </x:c>
      <x:c r="F2051" s="17" t="str">
        <x:v>Lite</x:v>
      </x:c>
      <x:c r="G2051" s="17" t="n">
        <x:v>33860</x:v>
      </x:c>
      <x:c r="H2051" s="17" t="n">
        <x:v>4047</x:v>
      </x:c>
      <x:c r="I2051" s="17" t="str">
        <x:v>Correction</x:v>
      </x:c>
      <x:c r="J2051" s="27" t="n">
        <x:f>INDEX('Model Pricing'!$B$7:$B$8,MATCH(F2051,'Model Pricing'!$A$7:$A$8,0))</x:f>
        <x:v>10</x:v>
      </x:c>
      <x:c r="K2051" s="27" t="n">
        <x:f>INDEX('Model Pricing'!$C$7:$C$8,MATCH(F2051,'Model Pricing'!$A$7:$A$8,0))</x:f>
        <x:v>30</x:v>
      </x:c>
      <x:c r="L2051" s="17" t="n">
        <x:f>G2051+H2051</x:f>
        <x:v>37907</x:v>
      </x:c>
      <x:c r="M2051" s="28" t="n">
        <x:f>G2051*J2051/1000000</x:f>
        <x:v>0.3386</x:v>
      </x:c>
      <x:c r="N2051" s="28" t="n">
        <x:f>H2051*K2051/1000000</x:f>
        <x:v>0.12141</x:v>
      </x:c>
      <x:c r="O2051" s="28" t="n">
        <x:f>SUM(M2051:N2051)</x:f>
        <x:v>0.46001000000000003</x:v>
      </x:c>
    </x:row>
    <x:row r="2052" ht="23" customHeight="1">
      <x:c r="A2052" s="17" t="str">
        <x:v>U02046</x:v>
      </x:c>
      <x:c r="B2052" s="18" t="n">
        <x:v>46289</x:v>
      </x:c>
      <x:c r="C2052" s="17" t="str">
        <x:v>W0150</x:v>
      </x:c>
      <x:c r="D2052" s="17" t="str">
        <x:v>C003</x:v>
      </x:c>
      <x:c r="E2052" s="17" t="str">
        <x:v>InsightDesk</x:v>
      </x:c>
      <x:c r="F2052" s="17" t="str">
        <x:v>Lite</x:v>
      </x:c>
      <x:c r="G2052" s="17" t="n">
        <x:v>18706</x:v>
      </x:c>
      <x:c r="H2052" s="17" t="n">
        <x:v>7174</x:v>
      </x:c>
      <x:c r="I2052" s="17" t="str">
        <x:v>Followup</x:v>
      </x:c>
      <x:c r="J2052" s="27" t="n">
        <x:f>INDEX('Model Pricing'!$B$7:$B$8,MATCH(F2052,'Model Pricing'!$A$7:$A$8,0))</x:f>
        <x:v>10</x:v>
      </x:c>
      <x:c r="K2052" s="27" t="n">
        <x:f>INDEX('Model Pricing'!$C$7:$C$8,MATCH(F2052,'Model Pricing'!$A$7:$A$8,0))</x:f>
        <x:v>30</x:v>
      </x:c>
      <x:c r="L2052" s="17" t="n">
        <x:f>G2052+H2052</x:f>
        <x:v>25880</x:v>
      </x:c>
      <x:c r="M2052" s="28" t="n">
        <x:f>G2052*J2052/1000000</x:f>
        <x:v>0.18706</x:v>
      </x:c>
      <x:c r="N2052" s="28" t="n">
        <x:f>H2052*K2052/1000000</x:f>
        <x:v>0.21522</x:v>
      </x:c>
      <x:c r="O2052" s="28" t="n">
        <x:f>SUM(M2052:N2052)</x:f>
        <x:v>0.40227999999999997</x:v>
      </x:c>
    </x:row>
    <x:row r="2053" ht="23" customHeight="1">
      <x:c r="A2053" s="17" t="str">
        <x:v>U02047</x:v>
      </x:c>
      <x:c r="B2053" s="18" t="n">
        <x:v>46289</x:v>
      </x:c>
      <x:c r="C2053" s="17" t="str">
        <x:v>W0150</x:v>
      </x:c>
      <x:c r="D2053" s="17" t="str">
        <x:v>C003</x:v>
      </x:c>
      <x:c r="E2053" s="17" t="str">
        <x:v>InsightDesk</x:v>
      </x:c>
      <x:c r="F2053" s="17" t="str">
        <x:v>Lite</x:v>
      </x:c>
      <x:c r="G2053" s="17" t="n">
        <x:v>35457</x:v>
      </x:c>
      <x:c r="H2053" s="17" t="n">
        <x:v>5603</x:v>
      </x:c>
      <x:c r="I2053" s="17" t="str">
        <x:v>Correction</x:v>
      </x:c>
      <x:c r="J2053" s="27" t="n">
        <x:f>INDEX('Model Pricing'!$B$7:$B$8,MATCH(F2053,'Model Pricing'!$A$7:$A$8,0))</x:f>
        <x:v>10</x:v>
      </x:c>
      <x:c r="K2053" s="27" t="n">
        <x:f>INDEX('Model Pricing'!$C$7:$C$8,MATCH(F2053,'Model Pricing'!$A$7:$A$8,0))</x:f>
        <x:v>30</x:v>
      </x:c>
      <x:c r="L2053" s="17" t="n">
        <x:f>G2053+H2053</x:f>
        <x:v>41060</x:v>
      </x:c>
      <x:c r="M2053" s="28" t="n">
        <x:f>G2053*J2053/1000000</x:f>
        <x:v>0.35457</x:v>
      </x:c>
      <x:c r="N2053" s="28" t="n">
        <x:f>H2053*K2053/1000000</x:f>
        <x:v>0.16809</x:v>
      </x:c>
      <x:c r="O2053" s="28" t="n">
        <x:f>SUM(M2053:N2053)</x:f>
        <x:v>0.52266</x:v>
      </x:c>
    </x:row>
    <x:row r="2054" ht="23" customHeight="1">
      <x:c r="A2054" s="17" t="str">
        <x:v>U02048</x:v>
      </x:c>
      <x:c r="B2054" s="18" t="n">
        <x:v>46289</x:v>
      </x:c>
      <x:c r="C2054" s="17" t="str">
        <x:v>W0150</x:v>
      </x:c>
      <x:c r="D2054" s="17" t="str">
        <x:v>C003</x:v>
      </x:c>
      <x:c r="E2054" s="17" t="str">
        <x:v>InsightDesk</x:v>
      </x:c>
      <x:c r="F2054" s="17" t="str">
        <x:v>Lite</x:v>
      </x:c>
      <x:c r="G2054" s="17" t="n">
        <x:v>48433</x:v>
      </x:c>
      <x:c r="H2054" s="17" t="n">
        <x:v>12094</x:v>
      </x:c>
      <x:c r="I2054" s="17" t="str">
        <x:v>Followup</x:v>
      </x:c>
      <x:c r="J2054" s="27" t="n">
        <x:f>INDEX('Model Pricing'!$B$7:$B$8,MATCH(F2054,'Model Pricing'!$A$7:$A$8,0))</x:f>
        <x:v>10</x:v>
      </x:c>
      <x:c r="K2054" s="27" t="n">
        <x:f>INDEX('Model Pricing'!$C$7:$C$8,MATCH(F2054,'Model Pricing'!$A$7:$A$8,0))</x:f>
        <x:v>30</x:v>
      </x:c>
      <x:c r="L2054" s="17" t="n">
        <x:f>G2054+H2054</x:f>
        <x:v>60527</x:v>
      </x:c>
      <x:c r="M2054" s="28" t="n">
        <x:f>G2054*J2054/1000000</x:f>
        <x:v>0.48433</x:v>
      </x:c>
      <x:c r="N2054" s="28" t="n">
        <x:f>H2054*K2054/1000000</x:f>
        <x:v>0.36282</x:v>
      </x:c>
      <x:c r="O2054" s="28" t="n">
        <x:f>SUM(M2054:N2054)</x:f>
        <x:v>0.84715</x:v>
      </x:c>
    </x:row>
    <x:row r="2055" ht="23" customHeight="1">
      <x:c r="A2055" s="17" t="str">
        <x:v>U02049</x:v>
      </x:c>
      <x:c r="B2055" s="18" t="n">
        <x:v>46290</x:v>
      </x:c>
      <x:c r="C2055" s="17" t="str">
        <x:v>W0150</x:v>
      </x:c>
      <x:c r="D2055" s="17" t="str">
        <x:v>C003</x:v>
      </x:c>
      <x:c r="E2055" s="17" t="str">
        <x:v>InsightDesk</x:v>
      </x:c>
      <x:c r="F2055" s="17" t="str">
        <x:v>Lite</x:v>
      </x:c>
      <x:c r="G2055" s="17" t="n">
        <x:v>48753</x:v>
      </x:c>
      <x:c r="H2055" s="17" t="n">
        <x:v>7647</x:v>
      </x:c>
      <x:c r="I2055" s="17" t="str">
        <x:v>Followup</x:v>
      </x:c>
      <x:c r="J2055" s="27" t="n">
        <x:f>INDEX('Model Pricing'!$B$7:$B$8,MATCH(F2055,'Model Pricing'!$A$7:$A$8,0))</x:f>
        <x:v>10</x:v>
      </x:c>
      <x:c r="K2055" s="27" t="n">
        <x:f>INDEX('Model Pricing'!$C$7:$C$8,MATCH(F2055,'Model Pricing'!$A$7:$A$8,0))</x:f>
        <x:v>30</x:v>
      </x:c>
      <x:c r="L2055" s="17" t="n">
        <x:f>G2055+H2055</x:f>
        <x:v>56400</x:v>
      </x:c>
      <x:c r="M2055" s="28" t="n">
        <x:f>G2055*J2055/1000000</x:f>
        <x:v>0.48753</x:v>
      </x:c>
      <x:c r="N2055" s="28" t="n">
        <x:f>H2055*K2055/1000000</x:f>
        <x:v>0.22941</x:v>
      </x:c>
      <x:c r="O2055" s="28" t="n">
        <x:f>SUM(M2055:N2055)</x:f>
        <x:v>0.71694</x:v>
      </x:c>
    </x:row>
    <x:row r="2056" ht="23" customHeight="1">
      <x:c r="A2056" s="17" t="str">
        <x:v>U02050</x:v>
      </x:c>
      <x:c r="B2056" s="18" t="n">
        <x:v>46290</x:v>
      </x:c>
      <x:c r="C2056" s="17" t="str">
        <x:v>W0150</x:v>
      </x:c>
      <x:c r="D2056" s="17" t="str">
        <x:v>C003</x:v>
      </x:c>
      <x:c r="E2056" s="17" t="str">
        <x:v>InsightDesk</x:v>
      </x:c>
      <x:c r="F2056" s="17" t="str">
        <x:v>Lite</x:v>
      </x:c>
      <x:c r="G2056" s="17" t="n">
        <x:v>39562</x:v>
      </x:c>
      <x:c r="H2056" s="17" t="n">
        <x:v>3818</x:v>
      </x:c>
      <x:c r="I2056" s="17" t="str">
        <x:v>Followup</x:v>
      </x:c>
      <x:c r="J2056" s="27" t="n">
        <x:f>INDEX('Model Pricing'!$B$7:$B$8,MATCH(F2056,'Model Pricing'!$A$7:$A$8,0))</x:f>
        <x:v>10</x:v>
      </x:c>
      <x:c r="K2056" s="27" t="n">
        <x:f>INDEX('Model Pricing'!$C$7:$C$8,MATCH(F2056,'Model Pricing'!$A$7:$A$8,0))</x:f>
        <x:v>30</x:v>
      </x:c>
      <x:c r="L2056" s="17" t="n">
        <x:f>G2056+H2056</x:f>
        <x:v>43380</x:v>
      </x:c>
      <x:c r="M2056" s="28" t="n">
        <x:f>G2056*J2056/1000000</x:f>
        <x:v>0.39562</x:v>
      </x:c>
      <x:c r="N2056" s="28" t="n">
        <x:f>H2056*K2056/1000000</x:f>
        <x:v>0.11454</x:v>
      </x:c>
      <x:c r="O2056" s="28" t="n">
        <x:f>SUM(M2056:N2056)</x:f>
        <x:v>0.5101600000000001</x:v>
      </x:c>
    </x:row>
    <x:row r="2057" ht="23" customHeight="1">
      <x:c r="A2057" s="17" t="str">
        <x:v>U02051</x:v>
      </x:c>
      <x:c r="B2057" s="18" t="n">
        <x:v>46290</x:v>
      </x:c>
      <x:c r="C2057" s="17" t="str">
        <x:v>W0150</x:v>
      </x:c>
      <x:c r="D2057" s="17" t="str">
        <x:v>C003</x:v>
      </x:c>
      <x:c r="E2057" s="17" t="str">
        <x:v>InsightDesk</x:v>
      </x:c>
      <x:c r="F2057" s="17" t="str">
        <x:v>Lite</x:v>
      </x:c>
      <x:c r="G2057" s="17" t="n">
        <x:v>47298</x:v>
      </x:c>
      <x:c r="H2057" s="17" t="n">
        <x:v>6025</x:v>
      </x:c>
      <x:c r="I2057" s="17" t="str">
        <x:v>Followup</x:v>
      </x:c>
      <x:c r="J2057" s="27" t="n">
        <x:f>INDEX('Model Pricing'!$B$7:$B$8,MATCH(F2057,'Model Pricing'!$A$7:$A$8,0))</x:f>
        <x:v>10</x:v>
      </x:c>
      <x:c r="K2057" s="27" t="n">
        <x:f>INDEX('Model Pricing'!$C$7:$C$8,MATCH(F2057,'Model Pricing'!$A$7:$A$8,0))</x:f>
        <x:v>30</x:v>
      </x:c>
      <x:c r="L2057" s="17" t="n">
        <x:f>G2057+H2057</x:f>
        <x:v>53323</x:v>
      </x:c>
      <x:c r="M2057" s="28" t="n">
        <x:f>G2057*J2057/1000000</x:f>
        <x:v>0.47298</x:v>
      </x:c>
      <x:c r="N2057" s="28" t="n">
        <x:f>H2057*K2057/1000000</x:f>
        <x:v>0.18075</x:v>
      </x:c>
      <x:c r="O2057" s="28" t="n">
        <x:f>SUM(M2057:N2057)</x:f>
        <x:v>0.65373</x:v>
      </x:c>
    </x:row>
    <x:row r="2058" ht="23" customHeight="1">
      <x:c r="A2058" s="17" t="str">
        <x:v>U02052</x:v>
      </x:c>
      <x:c r="B2058" s="18" t="n">
        <x:v>46269</x:v>
      </x:c>
      <x:c r="C2058" s="17" t="str">
        <x:v>W0151</x:v>
      </x:c>
      <x:c r="D2058" s="17" t="str">
        <x:v>C003</x:v>
      </x:c>
      <x:c r="E2058" s="17" t="str">
        <x:v>CopyStudio</x:v>
      </x:c>
      <x:c r="F2058" s="17" t="str">
        <x:v>Lite</x:v>
      </x:c>
      <x:c r="G2058" s="17" t="n">
        <x:v>37927</x:v>
      </x:c>
      <x:c r="H2058" s="17" t="n">
        <x:v>5212</x:v>
      </x:c>
      <x:c r="I2058" s="17" t="str">
        <x:v>First attempt</x:v>
      </x:c>
      <x:c r="J2058" s="27" t="n">
        <x:f>INDEX('Model Pricing'!$B$7:$B$8,MATCH(F2058,'Model Pricing'!$A$7:$A$8,0))</x:f>
        <x:v>10</x:v>
      </x:c>
      <x:c r="K2058" s="27" t="n">
        <x:f>INDEX('Model Pricing'!$C$7:$C$8,MATCH(F2058,'Model Pricing'!$A$7:$A$8,0))</x:f>
        <x:v>30</x:v>
      </x:c>
      <x:c r="L2058" s="17" t="n">
        <x:f>G2058+H2058</x:f>
        <x:v>43139</x:v>
      </x:c>
      <x:c r="M2058" s="28" t="n">
        <x:f>G2058*J2058/1000000</x:f>
        <x:v>0.37927</x:v>
      </x:c>
      <x:c r="N2058" s="28" t="n">
        <x:f>H2058*K2058/1000000</x:f>
        <x:v>0.15636</x:v>
      </x:c>
      <x:c r="O2058" s="28" t="n">
        <x:f>SUM(M2058:N2058)</x:f>
        <x:v>0.53563</x:v>
      </x:c>
    </x:row>
    <x:row r="2059" ht="23" customHeight="1">
      <x:c r="A2059" s="17" t="str">
        <x:v>U02053</x:v>
      </x:c>
      <x:c r="B2059" s="18" t="n">
        <x:v>46269</x:v>
      </x:c>
      <x:c r="C2059" s="17" t="str">
        <x:v>W0151</x:v>
      </x:c>
      <x:c r="D2059" s="17" t="str">
        <x:v>C003</x:v>
      </x:c>
      <x:c r="E2059" s="17" t="str">
        <x:v>CopyStudio</x:v>
      </x:c>
      <x:c r="F2059" s="17" t="str">
        <x:v>Lite</x:v>
      </x:c>
      <x:c r="G2059" s="17" t="n">
        <x:v>25478</x:v>
      </x:c>
      <x:c r="H2059" s="17" t="n">
        <x:v>5206</x:v>
      </x:c>
      <x:c r="I2059" s="17" t="str">
        <x:v>Correction</x:v>
      </x:c>
      <x:c r="J2059" s="27" t="n">
        <x:f>INDEX('Model Pricing'!$B$7:$B$8,MATCH(F2059,'Model Pricing'!$A$7:$A$8,0))</x:f>
        <x:v>10</x:v>
      </x:c>
      <x:c r="K2059" s="27" t="n">
        <x:f>INDEX('Model Pricing'!$C$7:$C$8,MATCH(F2059,'Model Pricing'!$A$7:$A$8,0))</x:f>
        <x:v>30</x:v>
      </x:c>
      <x:c r="L2059" s="17" t="n">
        <x:f>G2059+H2059</x:f>
        <x:v>30684</x:v>
      </x:c>
      <x:c r="M2059" s="28" t="n">
        <x:f>G2059*J2059/1000000</x:f>
        <x:v>0.25478</x:v>
      </x:c>
      <x:c r="N2059" s="28" t="n">
        <x:f>H2059*K2059/1000000</x:f>
        <x:v>0.15618</x:v>
      </x:c>
      <x:c r="O2059" s="28" t="n">
        <x:f>SUM(M2059:N2059)</x:f>
        <x:v>0.41096</x:v>
      </x:c>
    </x:row>
    <x:row r="2060" ht="23" customHeight="1">
      <x:c r="A2060" s="17" t="str">
        <x:v>U02054</x:v>
      </x:c>
      <x:c r="B2060" s="18" t="n">
        <x:v>46269</x:v>
      </x:c>
      <x:c r="C2060" s="17" t="str">
        <x:v>W0151</x:v>
      </x:c>
      <x:c r="D2060" s="17" t="str">
        <x:v>C003</x:v>
      </x:c>
      <x:c r="E2060" s="17" t="str">
        <x:v>CopyStudio</x:v>
      </x:c>
      <x:c r="F2060" s="17" t="str">
        <x:v>Lite</x:v>
      </x:c>
      <x:c r="G2060" s="17" t="n">
        <x:v>31228</x:v>
      </x:c>
      <x:c r="H2060" s="17" t="n">
        <x:v>2725</x:v>
      </x:c>
      <x:c r="I2060" s="17" t="str">
        <x:v>Followup</x:v>
      </x:c>
      <x:c r="J2060" s="27" t="n">
        <x:f>INDEX('Model Pricing'!$B$7:$B$8,MATCH(F2060,'Model Pricing'!$A$7:$A$8,0))</x:f>
        <x:v>10</x:v>
      </x:c>
      <x:c r="K2060" s="27" t="n">
        <x:f>INDEX('Model Pricing'!$C$7:$C$8,MATCH(F2060,'Model Pricing'!$A$7:$A$8,0))</x:f>
        <x:v>30</x:v>
      </x:c>
      <x:c r="L2060" s="17" t="n">
        <x:f>G2060+H2060</x:f>
        <x:v>33953</x:v>
      </x:c>
      <x:c r="M2060" s="28" t="n">
        <x:f>G2060*J2060/1000000</x:f>
        <x:v>0.31228</x:v>
      </x:c>
      <x:c r="N2060" s="28" t="n">
        <x:f>H2060*K2060/1000000</x:f>
        <x:v>0.08175</x:v>
      </x:c>
      <x:c r="O2060" s="28" t="n">
        <x:f>SUM(M2060:N2060)</x:f>
        <x:v>0.39403</x:v>
      </x:c>
    </x:row>
    <x:row r="2061" ht="23" customHeight="1">
      <x:c r="A2061" s="17" t="str">
        <x:v>U02055</x:v>
      </x:c>
      <x:c r="B2061" s="18" t="n">
        <x:v>46269</x:v>
      </x:c>
      <x:c r="C2061" s="17" t="str">
        <x:v>W0151</x:v>
      </x:c>
      <x:c r="D2061" s="17" t="str">
        <x:v>C003</x:v>
      </x:c>
      <x:c r="E2061" s="17" t="str">
        <x:v>CopyStudio</x:v>
      </x:c>
      <x:c r="F2061" s="17" t="str">
        <x:v>Lite</x:v>
      </x:c>
      <x:c r="G2061" s="17" t="n">
        <x:v>24006</x:v>
      </x:c>
      <x:c r="H2061" s="17" t="n">
        <x:v>2625</x:v>
      </x:c>
      <x:c r="I2061" s="17" t="str">
        <x:v>Followup</x:v>
      </x:c>
      <x:c r="J2061" s="27" t="n">
        <x:f>INDEX('Model Pricing'!$B$7:$B$8,MATCH(F2061,'Model Pricing'!$A$7:$A$8,0))</x:f>
        <x:v>10</x:v>
      </x:c>
      <x:c r="K2061" s="27" t="n">
        <x:f>INDEX('Model Pricing'!$C$7:$C$8,MATCH(F2061,'Model Pricing'!$A$7:$A$8,0))</x:f>
        <x:v>30</x:v>
      </x:c>
      <x:c r="L2061" s="17" t="n">
        <x:f>G2061+H2061</x:f>
        <x:v>26631</x:v>
      </x:c>
      <x:c r="M2061" s="28" t="n">
        <x:f>G2061*J2061/1000000</x:f>
        <x:v>0.24006</x:v>
      </x:c>
      <x:c r="N2061" s="28" t="n">
        <x:f>H2061*K2061/1000000</x:f>
        <x:v>0.07875</x:v>
      </x:c>
      <x:c r="O2061" s="28" t="n">
        <x:f>SUM(M2061:N2061)</x:f>
        <x:v>0.31881</x:v>
      </x:c>
    </x:row>
    <x:row r="2062" ht="23" customHeight="1">
      <x:c r="A2062" s="17" t="str">
        <x:v>U02056</x:v>
      </x:c>
      <x:c r="B2062" s="18" t="n">
        <x:v>46269</x:v>
      </x:c>
      <x:c r="C2062" s="17" t="str">
        <x:v>W0151</x:v>
      </x:c>
      <x:c r="D2062" s="17" t="str">
        <x:v>C003</x:v>
      </x:c>
      <x:c r="E2062" s="17" t="str">
        <x:v>CopyStudio</x:v>
      </x:c>
      <x:c r="F2062" s="17" t="str">
        <x:v>Lite</x:v>
      </x:c>
      <x:c r="G2062" s="17" t="n">
        <x:v>20496</x:v>
      </x:c>
      <x:c r="H2062" s="17" t="n">
        <x:v>4820</x:v>
      </x:c>
      <x:c r="I2062" s="17" t="str">
        <x:v>Correction</x:v>
      </x:c>
      <x:c r="J2062" s="27" t="n">
        <x:f>INDEX('Model Pricing'!$B$7:$B$8,MATCH(F2062,'Model Pricing'!$A$7:$A$8,0))</x:f>
        <x:v>10</x:v>
      </x:c>
      <x:c r="K2062" s="27" t="n">
        <x:f>INDEX('Model Pricing'!$C$7:$C$8,MATCH(F2062,'Model Pricing'!$A$7:$A$8,0))</x:f>
        <x:v>30</x:v>
      </x:c>
      <x:c r="L2062" s="17" t="n">
        <x:f>G2062+H2062</x:f>
        <x:v>25316</x:v>
      </x:c>
      <x:c r="M2062" s="28" t="n">
        <x:f>G2062*J2062/1000000</x:f>
        <x:v>0.20496</x:v>
      </x:c>
      <x:c r="N2062" s="28" t="n">
        <x:f>H2062*K2062/1000000</x:f>
        <x:v>0.1446</x:v>
      </x:c>
      <x:c r="O2062" s="28" t="n">
        <x:f>SUM(M2062:N2062)</x:f>
        <x:v>0.34956</x:v>
      </x:c>
    </x:row>
    <x:row r="2063" ht="23" customHeight="1">
      <x:c r="A2063" s="17" t="str">
        <x:v>U02057</x:v>
      </x:c>
      <x:c r="B2063" s="18" t="n">
        <x:v>46273</x:v>
      </x:c>
      <x:c r="C2063" s="17" t="str">
        <x:v>W0151</x:v>
      </x:c>
      <x:c r="D2063" s="17" t="str">
        <x:v>C003</x:v>
      </x:c>
      <x:c r="E2063" s="17" t="str">
        <x:v>CopyStudio</x:v>
      </x:c>
      <x:c r="F2063" s="17" t="str">
        <x:v>Lite</x:v>
      </x:c>
      <x:c r="G2063" s="17" t="n">
        <x:v>38833</x:v>
      </x:c>
      <x:c r="H2063" s="17" t="n">
        <x:v>6331</x:v>
      </x:c>
      <x:c r="I2063" s="17" t="str">
        <x:v>Correction</x:v>
      </x:c>
      <x:c r="J2063" s="27" t="n">
        <x:f>INDEX('Model Pricing'!$B$7:$B$8,MATCH(F2063,'Model Pricing'!$A$7:$A$8,0))</x:f>
        <x:v>10</x:v>
      </x:c>
      <x:c r="K2063" s="27" t="n">
        <x:f>INDEX('Model Pricing'!$C$7:$C$8,MATCH(F2063,'Model Pricing'!$A$7:$A$8,0))</x:f>
        <x:v>30</x:v>
      </x:c>
      <x:c r="L2063" s="17" t="n">
        <x:f>G2063+H2063</x:f>
        <x:v>45164</x:v>
      </x:c>
      <x:c r="M2063" s="28" t="n">
        <x:f>G2063*J2063/1000000</x:f>
        <x:v>0.38833</x:v>
      </x:c>
      <x:c r="N2063" s="28" t="n">
        <x:f>H2063*K2063/1000000</x:f>
        <x:v>0.18993</x:v>
      </x:c>
      <x:c r="O2063" s="28" t="n">
        <x:f>SUM(M2063:N2063)</x:f>
        <x:v>0.57826</x:v>
      </x:c>
    </x:row>
    <x:row r="2064" ht="23" customHeight="1">
      <x:c r="A2064" s="17" t="str">
        <x:v>U02058</x:v>
      </x:c>
      <x:c r="B2064" s="18" t="n">
        <x:v>46273</x:v>
      </x:c>
      <x:c r="C2064" s="17" t="str">
        <x:v>W0151</x:v>
      </x:c>
      <x:c r="D2064" s="17" t="str">
        <x:v>C003</x:v>
      </x:c>
      <x:c r="E2064" s="17" t="str">
        <x:v>CopyStudio</x:v>
      </x:c>
      <x:c r="F2064" s="17" t="str">
        <x:v>Lite</x:v>
      </x:c>
      <x:c r="G2064" s="17" t="n">
        <x:v>40897</x:v>
      </x:c>
      <x:c r="H2064" s="17" t="n">
        <x:v>5590</x:v>
      </x:c>
      <x:c r="I2064" s="17" t="str">
        <x:v>Followup</x:v>
      </x:c>
      <x:c r="J2064" s="27" t="n">
        <x:f>INDEX('Model Pricing'!$B$7:$B$8,MATCH(F2064,'Model Pricing'!$A$7:$A$8,0))</x:f>
        <x:v>10</x:v>
      </x:c>
      <x:c r="K2064" s="27" t="n">
        <x:f>INDEX('Model Pricing'!$C$7:$C$8,MATCH(F2064,'Model Pricing'!$A$7:$A$8,0))</x:f>
        <x:v>30</x:v>
      </x:c>
      <x:c r="L2064" s="17" t="n">
        <x:f>G2064+H2064</x:f>
        <x:v>46487</x:v>
      </x:c>
      <x:c r="M2064" s="28" t="n">
        <x:f>G2064*J2064/1000000</x:f>
        <x:v>0.40897</x:v>
      </x:c>
      <x:c r="N2064" s="28" t="n">
        <x:f>H2064*K2064/1000000</x:f>
        <x:v>0.1677</x:v>
      </x:c>
      <x:c r="O2064" s="28" t="n">
        <x:f>SUM(M2064:N2064)</x:f>
        <x:v>0.57667</x:v>
      </x:c>
    </x:row>
    <x:row r="2065" ht="23" customHeight="1">
      <x:c r="A2065" s="17" t="str">
        <x:v>U02059</x:v>
      </x:c>
      <x:c r="B2065" s="18" t="n">
        <x:v>46273</x:v>
      </x:c>
      <x:c r="C2065" s="17" t="str">
        <x:v>W0151</x:v>
      </x:c>
      <x:c r="D2065" s="17" t="str">
        <x:v>C003</x:v>
      </x:c>
      <x:c r="E2065" s="17" t="str">
        <x:v>CopyStudio</x:v>
      </x:c>
      <x:c r="F2065" s="17" t="str">
        <x:v>Lite</x:v>
      </x:c>
      <x:c r="G2065" s="17" t="n">
        <x:v>24482</x:v>
      </x:c>
      <x:c r="H2065" s="17" t="n">
        <x:v>5668</x:v>
      </x:c>
      <x:c r="I2065" s="17" t="str">
        <x:v>Followup</x:v>
      </x:c>
      <x:c r="J2065" s="27" t="n">
        <x:f>INDEX('Model Pricing'!$B$7:$B$8,MATCH(F2065,'Model Pricing'!$A$7:$A$8,0))</x:f>
        <x:v>10</x:v>
      </x:c>
      <x:c r="K2065" s="27" t="n">
        <x:f>INDEX('Model Pricing'!$C$7:$C$8,MATCH(F2065,'Model Pricing'!$A$7:$A$8,0))</x:f>
        <x:v>30</x:v>
      </x:c>
      <x:c r="L2065" s="17" t="n">
        <x:f>G2065+H2065</x:f>
        <x:v>30150</x:v>
      </x:c>
      <x:c r="M2065" s="28" t="n">
        <x:f>G2065*J2065/1000000</x:f>
        <x:v>0.24482</x:v>
      </x:c>
      <x:c r="N2065" s="28" t="n">
        <x:f>H2065*K2065/1000000</x:f>
        <x:v>0.17004</x:v>
      </x:c>
      <x:c r="O2065" s="28" t="n">
        <x:f>SUM(M2065:N2065)</x:f>
        <x:v>0.41486</x:v>
      </x:c>
    </x:row>
    <x:row r="2066" ht="23" customHeight="1">
      <x:c r="A2066" s="17" t="str">
        <x:v>U02060</x:v>
      </x:c>
      <x:c r="B2066" s="18" t="n">
        <x:v>46273</x:v>
      </x:c>
      <x:c r="C2066" s="17" t="str">
        <x:v>W0151</x:v>
      </x:c>
      <x:c r="D2066" s="17" t="str">
        <x:v>C003</x:v>
      </x:c>
      <x:c r="E2066" s="17" t="str">
        <x:v>CopyStudio</x:v>
      </x:c>
      <x:c r="F2066" s="17" t="str">
        <x:v>Lite</x:v>
      </x:c>
      <x:c r="G2066" s="17" t="n">
        <x:v>29433</x:v>
      </x:c>
      <x:c r="H2066" s="17" t="n">
        <x:v>3870</x:v>
      </x:c>
      <x:c r="I2066" s="17" t="str">
        <x:v>Followup</x:v>
      </x:c>
      <x:c r="J2066" s="27" t="n">
        <x:f>INDEX('Model Pricing'!$B$7:$B$8,MATCH(F2066,'Model Pricing'!$A$7:$A$8,0))</x:f>
        <x:v>10</x:v>
      </x:c>
      <x:c r="K2066" s="27" t="n">
        <x:f>INDEX('Model Pricing'!$C$7:$C$8,MATCH(F2066,'Model Pricing'!$A$7:$A$8,0))</x:f>
        <x:v>30</x:v>
      </x:c>
      <x:c r="L2066" s="17" t="n">
        <x:f>G2066+H2066</x:f>
        <x:v>33303</x:v>
      </x:c>
      <x:c r="M2066" s="28" t="n">
        <x:f>G2066*J2066/1000000</x:f>
        <x:v>0.29433</x:v>
      </x:c>
      <x:c r="N2066" s="28" t="n">
        <x:f>H2066*K2066/1000000</x:f>
        <x:v>0.1161</x:v>
      </x:c>
      <x:c r="O2066" s="28" t="n">
        <x:f>SUM(M2066:N2066)</x:f>
        <x:v>0.41042999999999996</x:v>
      </x:c>
    </x:row>
    <x:row r="2067" ht="23" customHeight="1">
      <x:c r="A2067" s="17" t="str">
        <x:v>U02061</x:v>
      </x:c>
      <x:c r="B2067" s="18" t="n">
        <x:v>46274</x:v>
      </x:c>
      <x:c r="C2067" s="17" t="str">
        <x:v>W0151</x:v>
      </x:c>
      <x:c r="D2067" s="17" t="str">
        <x:v>C003</x:v>
      </x:c>
      <x:c r="E2067" s="17" t="str">
        <x:v>CopyStudio</x:v>
      </x:c>
      <x:c r="F2067" s="17" t="str">
        <x:v>Lite</x:v>
      </x:c>
      <x:c r="G2067" s="17" t="n">
        <x:v>26574</x:v>
      </x:c>
      <x:c r="H2067" s="17" t="n">
        <x:v>2430</x:v>
      </x:c>
      <x:c r="I2067" s="17" t="str">
        <x:v>Followup</x:v>
      </x:c>
      <x:c r="J2067" s="27" t="n">
        <x:f>INDEX('Model Pricing'!$B$7:$B$8,MATCH(F2067,'Model Pricing'!$A$7:$A$8,0))</x:f>
        <x:v>10</x:v>
      </x:c>
      <x:c r="K2067" s="27" t="n">
        <x:f>INDEX('Model Pricing'!$C$7:$C$8,MATCH(F2067,'Model Pricing'!$A$7:$A$8,0))</x:f>
        <x:v>30</x:v>
      </x:c>
      <x:c r="L2067" s="17" t="n">
        <x:f>G2067+H2067</x:f>
        <x:v>29004</x:v>
      </x:c>
      <x:c r="M2067" s="28" t="n">
        <x:f>G2067*J2067/1000000</x:f>
        <x:v>0.26574</x:v>
      </x:c>
      <x:c r="N2067" s="28" t="n">
        <x:f>H2067*K2067/1000000</x:f>
        <x:v>0.0729</x:v>
      </x:c>
      <x:c r="O2067" s="28" t="n">
        <x:f>SUM(M2067:N2067)</x:f>
        <x:v>0.33864</x:v>
      </x:c>
    </x:row>
    <x:row r="2068" ht="23" customHeight="1">
      <x:c r="A2068" s="17" t="str">
        <x:v>U02062</x:v>
      </x:c>
      <x:c r="B2068" s="18" t="n">
        <x:v>46274</x:v>
      </x:c>
      <x:c r="C2068" s="17" t="str">
        <x:v>W0151</x:v>
      </x:c>
      <x:c r="D2068" s="17" t="str">
        <x:v>C003</x:v>
      </x:c>
      <x:c r="E2068" s="17" t="str">
        <x:v>CopyStudio</x:v>
      </x:c>
      <x:c r="F2068" s="17" t="str">
        <x:v>Lite</x:v>
      </x:c>
      <x:c r="G2068" s="17" t="n">
        <x:v>46781</x:v>
      </x:c>
      <x:c r="H2068" s="17" t="n">
        <x:v>2007</x:v>
      </x:c>
      <x:c r="I2068" s="17" t="str">
        <x:v>Followup</x:v>
      </x:c>
      <x:c r="J2068" s="27" t="n">
        <x:f>INDEX('Model Pricing'!$B$7:$B$8,MATCH(F2068,'Model Pricing'!$A$7:$A$8,0))</x:f>
        <x:v>10</x:v>
      </x:c>
      <x:c r="K2068" s="27" t="n">
        <x:f>INDEX('Model Pricing'!$C$7:$C$8,MATCH(F2068,'Model Pricing'!$A$7:$A$8,0))</x:f>
        <x:v>30</x:v>
      </x:c>
      <x:c r="L2068" s="17" t="n">
        <x:f>G2068+H2068</x:f>
        <x:v>48788</x:v>
      </x:c>
      <x:c r="M2068" s="28" t="n">
        <x:f>G2068*J2068/1000000</x:f>
        <x:v>0.46781</x:v>
      </x:c>
      <x:c r="N2068" s="28" t="n">
        <x:f>H2068*K2068/1000000</x:f>
        <x:v>0.06021</x:v>
      </x:c>
      <x:c r="O2068" s="28" t="n">
        <x:f>SUM(M2068:N2068)</x:f>
        <x:v>0.52802</x:v>
      </x:c>
    </x:row>
    <x:row r="2069" ht="23" customHeight="1">
      <x:c r="A2069" s="17" t="str">
        <x:v>U02063</x:v>
      </x:c>
      <x:c r="B2069" s="18" t="n">
        <x:v>46274</x:v>
      </x:c>
      <x:c r="C2069" s="17" t="str">
        <x:v>W0151</x:v>
      </x:c>
      <x:c r="D2069" s="17" t="str">
        <x:v>C003</x:v>
      </x:c>
      <x:c r="E2069" s="17" t="str">
        <x:v>CopyStudio</x:v>
      </x:c>
      <x:c r="F2069" s="17" t="str">
        <x:v>Lite</x:v>
      </x:c>
      <x:c r="G2069" s="17" t="n">
        <x:v>40704</x:v>
      </x:c>
      <x:c r="H2069" s="17" t="n">
        <x:v>6424</x:v>
      </x:c>
      <x:c r="I2069" s="17" t="str">
        <x:v>Followup</x:v>
      </x:c>
      <x:c r="J2069" s="27" t="n">
        <x:f>INDEX('Model Pricing'!$B$7:$B$8,MATCH(F2069,'Model Pricing'!$A$7:$A$8,0))</x:f>
        <x:v>10</x:v>
      </x:c>
      <x:c r="K2069" s="27" t="n">
        <x:f>INDEX('Model Pricing'!$C$7:$C$8,MATCH(F2069,'Model Pricing'!$A$7:$A$8,0))</x:f>
        <x:v>30</x:v>
      </x:c>
      <x:c r="L2069" s="17" t="n">
        <x:f>G2069+H2069</x:f>
        <x:v>47128</x:v>
      </x:c>
      <x:c r="M2069" s="28" t="n">
        <x:f>G2069*J2069/1000000</x:f>
        <x:v>0.40704</x:v>
      </x:c>
      <x:c r="N2069" s="28" t="n">
        <x:f>H2069*K2069/1000000</x:f>
        <x:v>0.19272</x:v>
      </x:c>
      <x:c r="O2069" s="28" t="n">
        <x:f>SUM(M2069:N2069)</x:f>
        <x:v>0.5997600000000001</x:v>
      </x:c>
    </x:row>
    <x:row r="2070" ht="23" customHeight="1">
      <x:c r="A2070" s="17" t="str">
        <x:v>U02064</x:v>
      </x:c>
      <x:c r="B2070" s="18" t="n">
        <x:v>46274</x:v>
      </x:c>
      <x:c r="C2070" s="17" t="str">
        <x:v>W0151</x:v>
      </x:c>
      <x:c r="D2070" s="17" t="str">
        <x:v>C003</x:v>
      </x:c>
      <x:c r="E2070" s="17" t="str">
        <x:v>CopyStudio</x:v>
      </x:c>
      <x:c r="F2070" s="17" t="str">
        <x:v>Lite</x:v>
      </x:c>
      <x:c r="G2070" s="17" t="n">
        <x:v>35566</x:v>
      </x:c>
      <x:c r="H2070" s="17" t="n">
        <x:v>4239</x:v>
      </x:c>
      <x:c r="I2070" s="17" t="str">
        <x:v>Followup</x:v>
      </x:c>
      <x:c r="J2070" s="27" t="n">
        <x:f>INDEX('Model Pricing'!$B$7:$B$8,MATCH(F2070,'Model Pricing'!$A$7:$A$8,0))</x:f>
        <x:v>10</x:v>
      </x:c>
      <x:c r="K2070" s="27" t="n">
        <x:f>INDEX('Model Pricing'!$C$7:$C$8,MATCH(F2070,'Model Pricing'!$A$7:$A$8,0))</x:f>
        <x:v>30</x:v>
      </x:c>
      <x:c r="L2070" s="17" t="n">
        <x:f>G2070+H2070</x:f>
        <x:v>39805</x:v>
      </x:c>
      <x:c r="M2070" s="28" t="n">
        <x:f>G2070*J2070/1000000</x:f>
        <x:v>0.35566</x:v>
      </x:c>
      <x:c r="N2070" s="28" t="n">
        <x:f>H2070*K2070/1000000</x:f>
        <x:v>0.12717</x:v>
      </x:c>
      <x:c r="O2070" s="28" t="n">
        <x:f>SUM(M2070:N2070)</x:f>
        <x:v>0.48283</x:v>
      </x:c>
    </x:row>
    <x:row r="2071" ht="23" customHeight="1">
      <x:c r="A2071" s="17" t="str">
        <x:v>U02065</x:v>
      </x:c>
      <x:c r="B2071" s="18" t="n">
        <x:v>46274</x:v>
      </x:c>
      <x:c r="C2071" s="17" t="str">
        <x:v>W0151</x:v>
      </x:c>
      <x:c r="D2071" s="17" t="str">
        <x:v>C003</x:v>
      </x:c>
      <x:c r="E2071" s="17" t="str">
        <x:v>CopyStudio</x:v>
      </x:c>
      <x:c r="F2071" s="17" t="str">
        <x:v>Lite</x:v>
      </x:c>
      <x:c r="G2071" s="17" t="n">
        <x:v>44195</x:v>
      </x:c>
      <x:c r="H2071" s="17" t="n">
        <x:v>3713</x:v>
      </x:c>
      <x:c r="I2071" s="17" t="str">
        <x:v>Followup</x:v>
      </x:c>
      <x:c r="J2071" s="27" t="n">
        <x:f>INDEX('Model Pricing'!$B$7:$B$8,MATCH(F2071,'Model Pricing'!$A$7:$A$8,0))</x:f>
        <x:v>10</x:v>
      </x:c>
      <x:c r="K2071" s="27" t="n">
        <x:f>INDEX('Model Pricing'!$C$7:$C$8,MATCH(F2071,'Model Pricing'!$A$7:$A$8,0))</x:f>
        <x:v>30</x:v>
      </x:c>
      <x:c r="L2071" s="17" t="n">
        <x:f>G2071+H2071</x:f>
        <x:v>47908</x:v>
      </x:c>
      <x:c r="M2071" s="28" t="n">
        <x:f>G2071*J2071/1000000</x:f>
        <x:v>0.44195</x:v>
      </x:c>
      <x:c r="N2071" s="28" t="n">
        <x:f>H2071*K2071/1000000</x:f>
        <x:v>0.11139</x:v>
      </x:c>
      <x:c r="O2071" s="28" t="n">
        <x:f>SUM(M2071:N2071)</x:f>
        <x:v>0.55334</x:v>
      </x:c>
    </x:row>
    <x:row r="2072" ht="23" customHeight="1">
      <x:c r="A2072" s="17" t="str">
        <x:v>U02066</x:v>
      </x:c>
      <x:c r="B2072" s="18" t="n">
        <x:v>46275</x:v>
      </x:c>
      <x:c r="C2072" s="17" t="str">
        <x:v>W0151</x:v>
      </x:c>
      <x:c r="D2072" s="17" t="str">
        <x:v>C003</x:v>
      </x:c>
      <x:c r="E2072" s="17" t="str">
        <x:v>CopyStudio</x:v>
      </x:c>
      <x:c r="F2072" s="17" t="str">
        <x:v>Lite</x:v>
      </x:c>
      <x:c r="G2072" s="17" t="n">
        <x:v>38162</x:v>
      </x:c>
      <x:c r="H2072" s="17" t="n">
        <x:v>3747</x:v>
      </x:c>
      <x:c r="I2072" s="17" t="str">
        <x:v>Followup</x:v>
      </x:c>
      <x:c r="J2072" s="27" t="n">
        <x:f>INDEX('Model Pricing'!$B$7:$B$8,MATCH(F2072,'Model Pricing'!$A$7:$A$8,0))</x:f>
        <x:v>10</x:v>
      </x:c>
      <x:c r="K2072" s="27" t="n">
        <x:f>INDEX('Model Pricing'!$C$7:$C$8,MATCH(F2072,'Model Pricing'!$A$7:$A$8,0))</x:f>
        <x:v>30</x:v>
      </x:c>
      <x:c r="L2072" s="17" t="n">
        <x:f>G2072+H2072</x:f>
        <x:v>41909</x:v>
      </x:c>
      <x:c r="M2072" s="28" t="n">
        <x:f>G2072*J2072/1000000</x:f>
        <x:v>0.38162</x:v>
      </x:c>
      <x:c r="N2072" s="28" t="n">
        <x:f>H2072*K2072/1000000</x:f>
        <x:v>0.11241</x:v>
      </x:c>
      <x:c r="O2072" s="28" t="n">
        <x:f>SUM(M2072:N2072)</x:f>
        <x:v>0.49403</x:v>
      </x:c>
    </x:row>
    <x:row r="2073" ht="23" customHeight="1">
      <x:c r="A2073" s="17" t="str">
        <x:v>U02067</x:v>
      </x:c>
      <x:c r="B2073" s="18" t="n">
        <x:v>46275</x:v>
      </x:c>
      <x:c r="C2073" s="17" t="str">
        <x:v>W0151</x:v>
      </x:c>
      <x:c r="D2073" s="17" t="str">
        <x:v>C003</x:v>
      </x:c>
      <x:c r="E2073" s="17" t="str">
        <x:v>CopyStudio</x:v>
      </x:c>
      <x:c r="F2073" s="17" t="str">
        <x:v>Lite</x:v>
      </x:c>
      <x:c r="G2073" s="17" t="n">
        <x:v>34188</x:v>
      </x:c>
      <x:c r="H2073" s="17" t="n">
        <x:v>2237</x:v>
      </x:c>
      <x:c r="I2073" s="17" t="str">
        <x:v>Followup</x:v>
      </x:c>
      <x:c r="J2073" s="27" t="n">
        <x:f>INDEX('Model Pricing'!$B$7:$B$8,MATCH(F2073,'Model Pricing'!$A$7:$A$8,0))</x:f>
        <x:v>10</x:v>
      </x:c>
      <x:c r="K2073" s="27" t="n">
        <x:f>INDEX('Model Pricing'!$C$7:$C$8,MATCH(F2073,'Model Pricing'!$A$7:$A$8,0))</x:f>
        <x:v>30</x:v>
      </x:c>
      <x:c r="L2073" s="17" t="n">
        <x:f>G2073+H2073</x:f>
        <x:v>36425</x:v>
      </x:c>
      <x:c r="M2073" s="28" t="n">
        <x:f>G2073*J2073/1000000</x:f>
        <x:v>0.34188</x:v>
      </x:c>
      <x:c r="N2073" s="28" t="n">
        <x:f>H2073*K2073/1000000</x:f>
        <x:v>0.06711</x:v>
      </x:c>
      <x:c r="O2073" s="28" t="n">
        <x:f>SUM(M2073:N2073)</x:f>
        <x:v>0.40899</x:v>
      </x:c>
    </x:row>
    <x:row r="2074" ht="23" customHeight="1">
      <x:c r="A2074" s="17" t="str">
        <x:v>U02068</x:v>
      </x:c>
      <x:c r="B2074" s="18" t="n">
        <x:v>46275</x:v>
      </x:c>
      <x:c r="C2074" s="17" t="str">
        <x:v>W0151</x:v>
      </x:c>
      <x:c r="D2074" s="17" t="str">
        <x:v>C003</x:v>
      </x:c>
      <x:c r="E2074" s="17" t="str">
        <x:v>CopyStudio</x:v>
      </x:c>
      <x:c r="F2074" s="17" t="str">
        <x:v>Lite</x:v>
      </x:c>
      <x:c r="G2074" s="17" t="n">
        <x:v>46477</x:v>
      </x:c>
      <x:c r="H2074" s="17" t="n">
        <x:v>4918</x:v>
      </x:c>
      <x:c r="I2074" s="17" t="str">
        <x:v>Followup</x:v>
      </x:c>
      <x:c r="J2074" s="27" t="n">
        <x:f>INDEX('Model Pricing'!$B$7:$B$8,MATCH(F2074,'Model Pricing'!$A$7:$A$8,0))</x:f>
        <x:v>10</x:v>
      </x:c>
      <x:c r="K2074" s="27" t="n">
        <x:f>INDEX('Model Pricing'!$C$7:$C$8,MATCH(F2074,'Model Pricing'!$A$7:$A$8,0))</x:f>
        <x:v>30</x:v>
      </x:c>
      <x:c r="L2074" s="17" t="n">
        <x:f>G2074+H2074</x:f>
        <x:v>51395</x:v>
      </x:c>
      <x:c r="M2074" s="28" t="n">
        <x:f>G2074*J2074/1000000</x:f>
        <x:v>0.46477</x:v>
      </x:c>
      <x:c r="N2074" s="28" t="n">
        <x:f>H2074*K2074/1000000</x:f>
        <x:v>0.14754</x:v>
      </x:c>
      <x:c r="O2074" s="28" t="n">
        <x:f>SUM(M2074:N2074)</x:f>
        <x:v>0.61231</x:v>
      </x:c>
    </x:row>
    <x:row r="2075" ht="23" customHeight="1">
      <x:c r="A2075" s="17" t="str">
        <x:v>U02069</x:v>
      </x:c>
      <x:c r="B2075" s="18" t="n">
        <x:v>46275</x:v>
      </x:c>
      <x:c r="C2075" s="17" t="str">
        <x:v>W0151</x:v>
      </x:c>
      <x:c r="D2075" s="17" t="str">
        <x:v>C003</x:v>
      </x:c>
      <x:c r="E2075" s="17" t="str">
        <x:v>CopyStudio</x:v>
      </x:c>
      <x:c r="F2075" s="17" t="str">
        <x:v>Lite</x:v>
      </x:c>
      <x:c r="G2075" s="17" t="n">
        <x:v>25069</x:v>
      </x:c>
      <x:c r="H2075" s="17" t="n">
        <x:v>2493</x:v>
      </x:c>
      <x:c r="I2075" s="17" t="str">
        <x:v>Followup</x:v>
      </x:c>
      <x:c r="J2075" s="27" t="n">
        <x:f>INDEX('Model Pricing'!$B$7:$B$8,MATCH(F2075,'Model Pricing'!$A$7:$A$8,0))</x:f>
        <x:v>10</x:v>
      </x:c>
      <x:c r="K2075" s="27" t="n">
        <x:f>INDEX('Model Pricing'!$C$7:$C$8,MATCH(F2075,'Model Pricing'!$A$7:$A$8,0))</x:f>
        <x:v>30</x:v>
      </x:c>
      <x:c r="L2075" s="17" t="n">
        <x:f>G2075+H2075</x:f>
        <x:v>27562</x:v>
      </x:c>
      <x:c r="M2075" s="28" t="n">
        <x:f>G2075*J2075/1000000</x:f>
        <x:v>0.25069</x:v>
      </x:c>
      <x:c r="N2075" s="28" t="n">
        <x:f>H2075*K2075/1000000</x:f>
        <x:v>0.07479</x:v>
      </x:c>
      <x:c r="O2075" s="28" t="n">
        <x:f>SUM(M2075:N2075)</x:f>
        <x:v>0.32548</x:v>
      </x:c>
    </x:row>
    <x:row r="2076" ht="23" customHeight="1">
      <x:c r="A2076" s="17" t="str">
        <x:v>U02070</x:v>
      </x:c>
      <x:c r="B2076" s="18" t="n">
        <x:v>46290</x:v>
      </x:c>
      <x:c r="C2076" s="17" t="str">
        <x:v>W0153</x:v>
      </x:c>
      <x:c r="D2076" s="17" t="str">
        <x:v>C003</x:v>
      </x:c>
      <x:c r="E2076" s="17" t="str">
        <x:v>CopyStudio</x:v>
      </x:c>
      <x:c r="F2076" s="17" t="str">
        <x:v>Lite</x:v>
      </x:c>
      <x:c r="G2076" s="17" t="n">
        <x:v>24858</x:v>
      </x:c>
      <x:c r="H2076" s="17" t="n">
        <x:v>5196</x:v>
      </x:c>
      <x:c r="I2076" s="17" t="str">
        <x:v>First attempt</x:v>
      </x:c>
      <x:c r="J2076" s="27" t="n">
        <x:f>INDEX('Model Pricing'!$B$7:$B$8,MATCH(F2076,'Model Pricing'!$A$7:$A$8,0))</x:f>
        <x:v>10</x:v>
      </x:c>
      <x:c r="K2076" s="27" t="n">
        <x:f>INDEX('Model Pricing'!$C$7:$C$8,MATCH(F2076,'Model Pricing'!$A$7:$A$8,0))</x:f>
        <x:v>30</x:v>
      </x:c>
      <x:c r="L2076" s="17" t="n">
        <x:f>G2076+H2076</x:f>
        <x:v>30054</x:v>
      </x:c>
      <x:c r="M2076" s="28" t="n">
        <x:f>G2076*J2076/1000000</x:f>
        <x:v>0.24858</x:v>
      </x:c>
      <x:c r="N2076" s="28" t="n">
        <x:f>H2076*K2076/1000000</x:f>
        <x:v>0.15588</x:v>
      </x:c>
      <x:c r="O2076" s="28" t="n">
        <x:f>SUM(M2076:N2076)</x:f>
        <x:v>0.40446</x:v>
      </x:c>
    </x:row>
    <x:row r="2077" ht="23" customHeight="1">
      <x:c r="A2077" s="17" t="str">
        <x:v>U02071</x:v>
      </x:c>
      <x:c r="B2077" s="18" t="n">
        <x:v>46290</x:v>
      </x:c>
      <x:c r="C2077" s="17" t="str">
        <x:v>W0153</x:v>
      </x:c>
      <x:c r="D2077" s="17" t="str">
        <x:v>C003</x:v>
      </x:c>
      <x:c r="E2077" s="17" t="str">
        <x:v>CopyStudio</x:v>
      </x:c>
      <x:c r="F2077" s="17" t="str">
        <x:v>Lite</x:v>
      </x:c>
      <x:c r="G2077" s="17" t="n">
        <x:v>19006</x:v>
      </x:c>
      <x:c r="H2077" s="17" t="n">
        <x:v>6084</x:v>
      </x:c>
      <x:c r="I2077" s="17" t="str">
        <x:v>Correction</x:v>
      </x:c>
      <x:c r="J2077" s="27" t="n">
        <x:f>INDEX('Model Pricing'!$B$7:$B$8,MATCH(F2077,'Model Pricing'!$A$7:$A$8,0))</x:f>
        <x:v>10</x:v>
      </x:c>
      <x:c r="K2077" s="27" t="n">
        <x:f>INDEX('Model Pricing'!$C$7:$C$8,MATCH(F2077,'Model Pricing'!$A$7:$A$8,0))</x:f>
        <x:v>30</x:v>
      </x:c>
      <x:c r="L2077" s="17" t="n">
        <x:f>G2077+H2077</x:f>
        <x:v>25090</x:v>
      </x:c>
      <x:c r="M2077" s="28" t="n">
        <x:f>G2077*J2077/1000000</x:f>
        <x:v>0.19006</x:v>
      </x:c>
      <x:c r="N2077" s="28" t="n">
        <x:f>H2077*K2077/1000000</x:f>
        <x:v>0.18252</x:v>
      </x:c>
      <x:c r="O2077" s="28" t="n">
        <x:f>SUM(M2077:N2077)</x:f>
        <x:v>0.37258</x:v>
      </x:c>
    </x:row>
    <x:row r="2078" ht="23" customHeight="1">
      <x:c r="A2078" s="17" t="str">
        <x:v>U02072</x:v>
      </x:c>
      <x:c r="B2078" s="18" t="n">
        <x:v>46290</x:v>
      </x:c>
      <x:c r="C2078" s="17" t="str">
        <x:v>W0153</x:v>
      </x:c>
      <x:c r="D2078" s="17" t="str">
        <x:v>C003</x:v>
      </x:c>
      <x:c r="E2078" s="17" t="str">
        <x:v>CopyStudio</x:v>
      </x:c>
      <x:c r="F2078" s="17" t="str">
        <x:v>Lite</x:v>
      </x:c>
      <x:c r="G2078" s="17" t="n">
        <x:v>40171</x:v>
      </x:c>
      <x:c r="H2078" s="17" t="n">
        <x:v>10174</x:v>
      </x:c>
      <x:c r="I2078" s="17" t="str">
        <x:v>Followup</x:v>
      </x:c>
      <x:c r="J2078" s="27" t="n">
        <x:f>INDEX('Model Pricing'!$B$7:$B$8,MATCH(F2078,'Model Pricing'!$A$7:$A$8,0))</x:f>
        <x:v>10</x:v>
      </x:c>
      <x:c r="K2078" s="27" t="n">
        <x:f>INDEX('Model Pricing'!$C$7:$C$8,MATCH(F2078,'Model Pricing'!$A$7:$A$8,0))</x:f>
        <x:v>30</x:v>
      </x:c>
      <x:c r="L2078" s="17" t="n">
        <x:f>G2078+H2078</x:f>
        <x:v>50345</x:v>
      </x:c>
      <x:c r="M2078" s="28" t="n">
        <x:f>G2078*J2078/1000000</x:f>
        <x:v>0.40171</x:v>
      </x:c>
      <x:c r="N2078" s="28" t="n">
        <x:f>H2078*K2078/1000000</x:f>
        <x:v>0.30522</x:v>
      </x:c>
      <x:c r="O2078" s="28" t="n">
        <x:f>SUM(M2078:N2078)</x:f>
        <x:v>0.7069300000000001</x:v>
      </x:c>
    </x:row>
    <x:row r="2079" ht="23" customHeight="1">
      <x:c r="A2079" s="17" t="str">
        <x:v>U02073</x:v>
      </x:c>
      <x:c r="B2079" s="18" t="n">
        <x:v>46293</x:v>
      </x:c>
      <x:c r="C2079" s="17" t="str">
        <x:v>W0153</x:v>
      </x:c>
      <x:c r="D2079" s="17" t="str">
        <x:v>C003</x:v>
      </x:c>
      <x:c r="E2079" s="17" t="str">
        <x:v>CopyStudio</x:v>
      </x:c>
      <x:c r="F2079" s="17" t="str">
        <x:v>Lite</x:v>
      </x:c>
      <x:c r="G2079" s="17" t="n">
        <x:v>34796</x:v>
      </x:c>
      <x:c r="H2079" s="17" t="n">
        <x:v>9274</x:v>
      </x:c>
      <x:c r="I2079" s="17" t="str">
        <x:v>Followup</x:v>
      </x:c>
      <x:c r="J2079" s="27" t="n">
        <x:f>INDEX('Model Pricing'!$B$7:$B$8,MATCH(F2079,'Model Pricing'!$A$7:$A$8,0))</x:f>
        <x:v>10</x:v>
      </x:c>
      <x:c r="K2079" s="27" t="n">
        <x:f>INDEX('Model Pricing'!$C$7:$C$8,MATCH(F2079,'Model Pricing'!$A$7:$A$8,0))</x:f>
        <x:v>30</x:v>
      </x:c>
      <x:c r="L2079" s="17" t="n">
        <x:f>G2079+H2079</x:f>
        <x:v>44070</x:v>
      </x:c>
      <x:c r="M2079" s="28" t="n">
        <x:f>G2079*J2079/1000000</x:f>
        <x:v>0.34796</x:v>
      </x:c>
      <x:c r="N2079" s="28" t="n">
        <x:f>H2079*K2079/1000000</x:f>
        <x:v>0.27822</x:v>
      </x:c>
      <x:c r="O2079" s="28" t="n">
        <x:f>SUM(M2079:N2079)</x:f>
        <x:v>0.62618</x:v>
      </x:c>
    </x:row>
    <x:row r="2080" ht="23" customHeight="1">
      <x:c r="A2080" s="17" t="str">
        <x:v>U02074</x:v>
      </x:c>
      <x:c r="B2080" s="18" t="n">
        <x:v>46293</x:v>
      </x:c>
      <x:c r="C2080" s="17" t="str">
        <x:v>W0153</x:v>
      </x:c>
      <x:c r="D2080" s="17" t="str">
        <x:v>C003</x:v>
      </x:c>
      <x:c r="E2080" s="17" t="str">
        <x:v>CopyStudio</x:v>
      </x:c>
      <x:c r="F2080" s="17" t="str">
        <x:v>Lite</x:v>
      </x:c>
      <x:c r="G2080" s="17" t="n">
        <x:v>22306</x:v>
      </x:c>
      <x:c r="H2080" s="17" t="n">
        <x:v>5310</x:v>
      </x:c>
      <x:c r="I2080" s="17" t="str">
        <x:v>Followup</x:v>
      </x:c>
      <x:c r="J2080" s="27" t="n">
        <x:f>INDEX('Model Pricing'!$B$7:$B$8,MATCH(F2080,'Model Pricing'!$A$7:$A$8,0))</x:f>
        <x:v>10</x:v>
      </x:c>
      <x:c r="K2080" s="27" t="n">
        <x:f>INDEX('Model Pricing'!$C$7:$C$8,MATCH(F2080,'Model Pricing'!$A$7:$A$8,0))</x:f>
        <x:v>30</x:v>
      </x:c>
      <x:c r="L2080" s="17" t="n">
        <x:f>G2080+H2080</x:f>
        <x:v>27616</x:v>
      </x:c>
      <x:c r="M2080" s="28" t="n">
        <x:f>G2080*J2080/1000000</x:f>
        <x:v>0.22306</x:v>
      </x:c>
      <x:c r="N2080" s="28" t="n">
        <x:f>H2080*K2080/1000000</x:f>
        <x:v>0.1593</x:v>
      </x:c>
      <x:c r="O2080" s="28" t="n">
        <x:f>SUM(M2080:N2080)</x:f>
        <x:v>0.38236000000000003</x:v>
      </x:c>
    </x:row>
    <x:row r="2081" ht="23" customHeight="1">
      <x:c r="A2081" s="17" t="str">
        <x:v>U02075</x:v>
      </x:c>
      <x:c r="B2081" s="18" t="n">
        <x:v>46293</x:v>
      </x:c>
      <x:c r="C2081" s="17" t="str">
        <x:v>W0153</x:v>
      </x:c>
      <x:c r="D2081" s="17" t="str">
        <x:v>C003</x:v>
      </x:c>
      <x:c r="E2081" s="17" t="str">
        <x:v>CopyStudio</x:v>
      </x:c>
      <x:c r="F2081" s="17" t="str">
        <x:v>Lite</x:v>
      </x:c>
      <x:c r="G2081" s="17" t="n">
        <x:v>20658</x:v>
      </x:c>
      <x:c r="H2081" s="17" t="n">
        <x:v>8199</x:v>
      </x:c>
      <x:c r="I2081" s="17" t="str">
        <x:v>Followup</x:v>
      </x:c>
      <x:c r="J2081" s="27" t="n">
        <x:f>INDEX('Model Pricing'!$B$7:$B$8,MATCH(F2081,'Model Pricing'!$A$7:$A$8,0))</x:f>
        <x:v>10</x:v>
      </x:c>
      <x:c r="K2081" s="27" t="n">
        <x:f>INDEX('Model Pricing'!$C$7:$C$8,MATCH(F2081,'Model Pricing'!$A$7:$A$8,0))</x:f>
        <x:v>30</x:v>
      </x:c>
      <x:c r="L2081" s="17" t="n">
        <x:f>G2081+H2081</x:f>
        <x:v>28857</x:v>
      </x:c>
      <x:c r="M2081" s="28" t="n">
        <x:f>G2081*J2081/1000000</x:f>
        <x:v>0.20658</x:v>
      </x:c>
      <x:c r="N2081" s="28" t="n">
        <x:f>H2081*K2081/1000000</x:f>
        <x:v>0.24597</x:v>
      </x:c>
      <x:c r="O2081" s="28" t="n">
        <x:f>SUM(M2081:N2081)</x:f>
        <x:v>0.45255</x:v>
      </x:c>
    </x:row>
    <x:row r="2082" ht="23" customHeight="1">
      <x:c r="A2082" s="17" t="str">
        <x:v>U02076</x:v>
      </x:c>
      <x:c r="B2082" s="18" t="n">
        <x:v>46294</x:v>
      </x:c>
      <x:c r="C2082" s="17" t="str">
        <x:v>W0153</x:v>
      </x:c>
      <x:c r="D2082" s="17" t="str">
        <x:v>C003</x:v>
      </x:c>
      <x:c r="E2082" s="17" t="str">
        <x:v>CopyStudio</x:v>
      </x:c>
      <x:c r="F2082" s="17" t="str">
        <x:v>Lite</x:v>
      </x:c>
      <x:c r="G2082" s="17" t="n">
        <x:v>34141</x:v>
      </x:c>
      <x:c r="H2082" s="17" t="n">
        <x:v>4025</x:v>
      </x:c>
      <x:c r="I2082" s="17" t="str">
        <x:v>Followup</x:v>
      </x:c>
      <x:c r="J2082" s="27" t="n">
        <x:f>INDEX('Model Pricing'!$B$7:$B$8,MATCH(F2082,'Model Pricing'!$A$7:$A$8,0))</x:f>
        <x:v>10</x:v>
      </x:c>
      <x:c r="K2082" s="27" t="n">
        <x:f>INDEX('Model Pricing'!$C$7:$C$8,MATCH(F2082,'Model Pricing'!$A$7:$A$8,0))</x:f>
        <x:v>30</x:v>
      </x:c>
      <x:c r="L2082" s="17" t="n">
        <x:f>G2082+H2082</x:f>
        <x:v>38166</x:v>
      </x:c>
      <x:c r="M2082" s="28" t="n">
        <x:f>G2082*J2082/1000000</x:f>
        <x:v>0.34141</x:v>
      </x:c>
      <x:c r="N2082" s="28" t="n">
        <x:f>H2082*K2082/1000000</x:f>
        <x:v>0.12075</x:v>
      </x:c>
      <x:c r="O2082" s="28" t="n">
        <x:f>SUM(M2082:N2082)</x:f>
        <x:v>0.46216</x:v>
      </x:c>
    </x:row>
    <x:row r="2083" ht="23" customHeight="1">
      <x:c r="A2083" s="17" t="str">
        <x:v>U02077</x:v>
      </x:c>
      <x:c r="B2083" s="18" t="n">
        <x:v>46294</x:v>
      </x:c>
      <x:c r="C2083" s="17" t="str">
        <x:v>W0153</x:v>
      </x:c>
      <x:c r="D2083" s="17" t="str">
        <x:v>C003</x:v>
      </x:c>
      <x:c r="E2083" s="17" t="str">
        <x:v>CopyStudio</x:v>
      </x:c>
      <x:c r="F2083" s="17" t="str">
        <x:v>Lite</x:v>
      </x:c>
      <x:c r="G2083" s="17" t="n">
        <x:v>30359</x:v>
      </x:c>
      <x:c r="H2083" s="17" t="n">
        <x:v>4872</x:v>
      </x:c>
      <x:c r="I2083" s="17" t="str">
        <x:v>Followup</x:v>
      </x:c>
      <x:c r="J2083" s="27" t="n">
        <x:f>INDEX('Model Pricing'!$B$7:$B$8,MATCH(F2083,'Model Pricing'!$A$7:$A$8,0))</x:f>
        <x:v>10</x:v>
      </x:c>
      <x:c r="K2083" s="27" t="n">
        <x:f>INDEX('Model Pricing'!$C$7:$C$8,MATCH(F2083,'Model Pricing'!$A$7:$A$8,0))</x:f>
        <x:v>30</x:v>
      </x:c>
      <x:c r="L2083" s="17" t="n">
        <x:f>G2083+H2083</x:f>
        <x:v>35231</x:v>
      </x:c>
      <x:c r="M2083" s="28" t="n">
        <x:f>G2083*J2083/1000000</x:f>
        <x:v>0.30359</x:v>
      </x:c>
      <x:c r="N2083" s="28" t="n">
        <x:f>H2083*K2083/1000000</x:f>
        <x:v>0.14616</x:v>
      </x:c>
      <x:c r="O2083" s="28" t="n">
        <x:f>SUM(M2083:N2083)</x:f>
        <x:v>0.44975000000000004</x:v>
      </x:c>
    </x:row>
    <x:row r="2084" ht="23" customHeight="1">
      <x:c r="A2084" s="17" t="str">
        <x:v>U02078</x:v>
      </x:c>
      <x:c r="B2084" s="18" t="n">
        <x:v>46294</x:v>
      </x:c>
      <x:c r="C2084" s="17" t="str">
        <x:v>W0153</x:v>
      </x:c>
      <x:c r="D2084" s="17" t="str">
        <x:v>C003</x:v>
      </x:c>
      <x:c r="E2084" s="17" t="str">
        <x:v>CopyStudio</x:v>
      </x:c>
      <x:c r="F2084" s="17" t="str">
        <x:v>Lite</x:v>
      </x:c>
      <x:c r="G2084" s="17" t="n">
        <x:v>33680</x:v>
      </x:c>
      <x:c r="H2084" s="17" t="n">
        <x:v>4738</x:v>
      </x:c>
      <x:c r="I2084" s="17" t="str">
        <x:v>Followup</x:v>
      </x:c>
      <x:c r="J2084" s="27" t="n">
        <x:f>INDEX('Model Pricing'!$B$7:$B$8,MATCH(F2084,'Model Pricing'!$A$7:$A$8,0))</x:f>
        <x:v>10</x:v>
      </x:c>
      <x:c r="K2084" s="27" t="n">
        <x:f>INDEX('Model Pricing'!$C$7:$C$8,MATCH(F2084,'Model Pricing'!$A$7:$A$8,0))</x:f>
        <x:v>30</x:v>
      </x:c>
      <x:c r="L2084" s="17" t="n">
        <x:f>G2084+H2084</x:f>
        <x:v>38418</x:v>
      </x:c>
      <x:c r="M2084" s="28" t="n">
        <x:f>G2084*J2084/1000000</x:f>
        <x:v>0.3368</x:v>
      </x:c>
      <x:c r="N2084" s="28" t="n">
        <x:f>H2084*K2084/1000000</x:f>
        <x:v>0.14214</x:v>
      </x:c>
      <x:c r="O2084" s="28" t="n">
        <x:f>SUM(M2084:N2084)</x:f>
        <x:v>0.47894</x:v>
      </x:c>
    </x:row>
    <x:row r="2085" ht="23" customHeight="1">
      <x:c r="A2085" s="17" t="str">
        <x:v>U02079</x:v>
      </x:c>
      <x:c r="B2085" s="18" t="n">
        <x:v>46295</x:v>
      </x:c>
      <x:c r="C2085" s="17" t="str">
        <x:v>W0153</x:v>
      </x:c>
      <x:c r="D2085" s="17" t="str">
        <x:v>C003</x:v>
      </x:c>
      <x:c r="E2085" s="17" t="str">
        <x:v>CopyStudio</x:v>
      </x:c>
      <x:c r="F2085" s="17" t="str">
        <x:v>Lite</x:v>
      </x:c>
      <x:c r="G2085" s="17" t="n">
        <x:v>31924</x:v>
      </x:c>
      <x:c r="H2085" s="17" t="n">
        <x:v>4015</x:v>
      </x:c>
      <x:c r="I2085" s="17" t="str">
        <x:v>Followup</x:v>
      </x:c>
      <x:c r="J2085" s="27" t="n">
        <x:f>INDEX('Model Pricing'!$B$7:$B$8,MATCH(F2085,'Model Pricing'!$A$7:$A$8,0))</x:f>
        <x:v>10</x:v>
      </x:c>
      <x:c r="K2085" s="27" t="n">
        <x:f>INDEX('Model Pricing'!$C$7:$C$8,MATCH(F2085,'Model Pricing'!$A$7:$A$8,0))</x:f>
        <x:v>30</x:v>
      </x:c>
      <x:c r="L2085" s="17" t="n">
        <x:f>G2085+H2085</x:f>
        <x:v>35939</x:v>
      </x:c>
      <x:c r="M2085" s="28" t="n">
        <x:f>G2085*J2085/1000000</x:f>
        <x:v>0.31924</x:v>
      </x:c>
      <x:c r="N2085" s="28" t="n">
        <x:f>H2085*K2085/1000000</x:f>
        <x:v>0.12045</x:v>
      </x:c>
      <x:c r="O2085" s="28" t="n">
        <x:f>SUM(M2085:N2085)</x:f>
        <x:v>0.43969</x:v>
      </x:c>
    </x:row>
    <x:row r="2086" ht="23" customHeight="1">
      <x:c r="A2086" s="17" t="str">
        <x:v>U02080</x:v>
      </x:c>
      <x:c r="B2086" s="18" t="n">
        <x:v>46295</x:v>
      </x:c>
      <x:c r="C2086" s="17" t="str">
        <x:v>W0153</x:v>
      </x:c>
      <x:c r="D2086" s="17" t="str">
        <x:v>C003</x:v>
      </x:c>
      <x:c r="E2086" s="17" t="str">
        <x:v>CopyStudio</x:v>
      </x:c>
      <x:c r="F2086" s="17" t="str">
        <x:v>Lite</x:v>
      </x:c>
      <x:c r="G2086" s="17" t="n">
        <x:v>32922</x:v>
      </x:c>
      <x:c r="H2086" s="17" t="n">
        <x:v>4656</x:v>
      </x:c>
      <x:c r="I2086" s="17" t="str">
        <x:v>Correction</x:v>
      </x:c>
      <x:c r="J2086" s="27" t="n">
        <x:f>INDEX('Model Pricing'!$B$7:$B$8,MATCH(F2086,'Model Pricing'!$A$7:$A$8,0))</x:f>
        <x:v>10</x:v>
      </x:c>
      <x:c r="K2086" s="27" t="n">
        <x:f>INDEX('Model Pricing'!$C$7:$C$8,MATCH(F2086,'Model Pricing'!$A$7:$A$8,0))</x:f>
        <x:v>30</x:v>
      </x:c>
      <x:c r="L2086" s="17" t="n">
        <x:f>G2086+H2086</x:f>
        <x:v>37578</x:v>
      </x:c>
      <x:c r="M2086" s="28" t="n">
        <x:f>G2086*J2086/1000000</x:f>
        <x:v>0.32922</x:v>
      </x:c>
      <x:c r="N2086" s="28" t="n">
        <x:f>H2086*K2086/1000000</x:f>
        <x:v>0.13968</x:v>
      </x:c>
      <x:c r="O2086" s="28" t="n">
        <x:f>SUM(M2086:N2086)</x:f>
        <x:v>0.4689</x:v>
      </x:c>
    </x:row>
    <x:row r="2087" ht="23" customHeight="1">
      <x:c r="A2087" s="17" t="str">
        <x:v>U02081</x:v>
      </x:c>
      <x:c r="B2087" s="18" t="n">
        <x:v>46275</x:v>
      </x:c>
      <x:c r="C2087" s="17" t="str">
        <x:v>W0154</x:v>
      </x:c>
      <x:c r="D2087" s="17" t="str">
        <x:v>C003</x:v>
      </x:c>
      <x:c r="E2087" s="17" t="str">
        <x:v>CampaignChat</x:v>
      </x:c>
      <x:c r="F2087" s="17" t="str">
        <x:v>Lite</x:v>
      </x:c>
      <x:c r="G2087" s="17" t="n">
        <x:v>20063</x:v>
      </x:c>
      <x:c r="H2087" s="17" t="n">
        <x:v>3435</x:v>
      </x:c>
      <x:c r="I2087" s="17" t="str">
        <x:v>First attempt</x:v>
      </x:c>
      <x:c r="J2087" s="27" t="n">
        <x:f>INDEX('Model Pricing'!$B$7:$B$8,MATCH(F2087,'Model Pricing'!$A$7:$A$8,0))</x:f>
        <x:v>10</x:v>
      </x:c>
      <x:c r="K2087" s="27" t="n">
        <x:f>INDEX('Model Pricing'!$C$7:$C$8,MATCH(F2087,'Model Pricing'!$A$7:$A$8,0))</x:f>
        <x:v>30</x:v>
      </x:c>
      <x:c r="L2087" s="17" t="n">
        <x:f>G2087+H2087</x:f>
        <x:v>23498</x:v>
      </x:c>
      <x:c r="M2087" s="28" t="n">
        <x:f>G2087*J2087/1000000</x:f>
        <x:v>0.20063</x:v>
      </x:c>
      <x:c r="N2087" s="28" t="n">
        <x:f>H2087*K2087/1000000</x:f>
        <x:v>0.10305</x:v>
      </x:c>
      <x:c r="O2087" s="28" t="n">
        <x:f>SUM(M2087:N2087)</x:f>
        <x:v>0.30368</x:v>
      </x:c>
    </x:row>
    <x:row r="2088" ht="23" customHeight="1">
      <x:c r="A2088" s="17" t="str">
        <x:v>U02082</x:v>
      </x:c>
      <x:c r="B2088" s="18" t="n">
        <x:v>46275</x:v>
      </x:c>
      <x:c r="C2088" s="17" t="str">
        <x:v>W0154</x:v>
      </x:c>
      <x:c r="D2088" s="17" t="str">
        <x:v>C003</x:v>
      </x:c>
      <x:c r="E2088" s="17" t="str">
        <x:v>CampaignChat</x:v>
      </x:c>
      <x:c r="F2088" s="17" t="str">
        <x:v>Lite</x:v>
      </x:c>
      <x:c r="G2088" s="17" t="n">
        <x:v>27828</x:v>
      </x:c>
      <x:c r="H2088" s="17" t="n">
        <x:v>3740</x:v>
      </x:c>
      <x:c r="I2088" s="17" t="str">
        <x:v>Followup</x:v>
      </x:c>
      <x:c r="J2088" s="27" t="n">
        <x:f>INDEX('Model Pricing'!$B$7:$B$8,MATCH(F2088,'Model Pricing'!$A$7:$A$8,0))</x:f>
        <x:v>10</x:v>
      </x:c>
      <x:c r="K2088" s="27" t="n">
        <x:f>INDEX('Model Pricing'!$C$7:$C$8,MATCH(F2088,'Model Pricing'!$A$7:$A$8,0))</x:f>
        <x:v>30</x:v>
      </x:c>
      <x:c r="L2088" s="17" t="n">
        <x:f>G2088+H2088</x:f>
        <x:v>31568</x:v>
      </x:c>
      <x:c r="M2088" s="28" t="n">
        <x:f>G2088*J2088/1000000</x:f>
        <x:v>0.27828</x:v>
      </x:c>
      <x:c r="N2088" s="28" t="n">
        <x:f>H2088*K2088/1000000</x:f>
        <x:v>0.1122</x:v>
      </x:c>
      <x:c r="O2088" s="28" t="n">
        <x:f>SUM(M2088:N2088)</x:f>
        <x:v>0.39048000000000005</x:v>
      </x:c>
    </x:row>
    <x:row r="2089" ht="23" customHeight="1">
      <x:c r="A2089" s="17" t="str">
        <x:v>U02083</x:v>
      </x:c>
      <x:c r="B2089" s="18" t="n">
        <x:v>46275</x:v>
      </x:c>
      <x:c r="C2089" s="17" t="str">
        <x:v>W0154</x:v>
      </x:c>
      <x:c r="D2089" s="17" t="str">
        <x:v>C003</x:v>
      </x:c>
      <x:c r="E2089" s="17" t="str">
        <x:v>CampaignChat</x:v>
      </x:c>
      <x:c r="F2089" s="17" t="str">
        <x:v>Lite</x:v>
      </x:c>
      <x:c r="G2089" s="17" t="n">
        <x:v>25871</x:v>
      </x:c>
      <x:c r="H2089" s="17" t="n">
        <x:v>5870</x:v>
      </x:c>
      <x:c r="I2089" s="17" t="str">
        <x:v>Followup</x:v>
      </x:c>
      <x:c r="J2089" s="27" t="n">
        <x:f>INDEX('Model Pricing'!$B$7:$B$8,MATCH(F2089,'Model Pricing'!$A$7:$A$8,0))</x:f>
        <x:v>10</x:v>
      </x:c>
      <x:c r="K2089" s="27" t="n">
        <x:f>INDEX('Model Pricing'!$C$7:$C$8,MATCH(F2089,'Model Pricing'!$A$7:$A$8,0))</x:f>
        <x:v>30</x:v>
      </x:c>
      <x:c r="L2089" s="17" t="n">
        <x:f>G2089+H2089</x:f>
        <x:v>31741</x:v>
      </x:c>
      <x:c r="M2089" s="28" t="n">
        <x:f>G2089*J2089/1000000</x:f>
        <x:v>0.25871</x:v>
      </x:c>
      <x:c r="N2089" s="28" t="n">
        <x:f>H2089*K2089/1000000</x:f>
        <x:v>0.1761</x:v>
      </x:c>
      <x:c r="O2089" s="28" t="n">
        <x:f>SUM(M2089:N2089)</x:f>
        <x:v>0.43481000000000003</x:v>
      </x:c>
    </x:row>
    <x:row r="2090" ht="23" customHeight="1">
      <x:c r="A2090" s="17" t="str">
        <x:v>U02084</x:v>
      </x:c>
      <x:c r="B2090" s="18" t="n">
        <x:v>46275</x:v>
      </x:c>
      <x:c r="C2090" s="17" t="str">
        <x:v>W0154</x:v>
      </x:c>
      <x:c r="D2090" s="17" t="str">
        <x:v>C003</x:v>
      </x:c>
      <x:c r="E2090" s="17" t="str">
        <x:v>CampaignChat</x:v>
      </x:c>
      <x:c r="F2090" s="17" t="str">
        <x:v>Lite</x:v>
      </x:c>
      <x:c r="G2090" s="17" t="n">
        <x:v>18089</x:v>
      </x:c>
      <x:c r="H2090" s="17" t="n">
        <x:v>6486</x:v>
      </x:c>
      <x:c r="I2090" s="17" t="str">
        <x:v>Followup</x:v>
      </x:c>
      <x:c r="J2090" s="27" t="n">
        <x:f>INDEX('Model Pricing'!$B$7:$B$8,MATCH(F2090,'Model Pricing'!$A$7:$A$8,0))</x:f>
        <x:v>10</x:v>
      </x:c>
      <x:c r="K2090" s="27" t="n">
        <x:f>INDEX('Model Pricing'!$C$7:$C$8,MATCH(F2090,'Model Pricing'!$A$7:$A$8,0))</x:f>
        <x:v>30</x:v>
      </x:c>
      <x:c r="L2090" s="17" t="n">
        <x:f>G2090+H2090</x:f>
        <x:v>24575</x:v>
      </x:c>
      <x:c r="M2090" s="28" t="n">
        <x:f>G2090*J2090/1000000</x:f>
        <x:v>0.18089</x:v>
      </x:c>
      <x:c r="N2090" s="28" t="n">
        <x:f>H2090*K2090/1000000</x:f>
        <x:v>0.19458</x:v>
      </x:c>
      <x:c r="O2090" s="28" t="n">
        <x:f>SUM(M2090:N2090)</x:f>
        <x:v>0.37546999999999997</x:v>
      </x:c>
    </x:row>
    <x:row r="2091" ht="23" customHeight="1">
      <x:c r="A2091" s="17" t="str">
        <x:v>U02085</x:v>
      </x:c>
      <x:c r="B2091" s="18" t="n">
        <x:v>46276</x:v>
      </x:c>
      <x:c r="C2091" s="17" t="str">
        <x:v>W0154</x:v>
      </x:c>
      <x:c r="D2091" s="17" t="str">
        <x:v>C003</x:v>
      </x:c>
      <x:c r="E2091" s="17" t="str">
        <x:v>CampaignChat</x:v>
      </x:c>
      <x:c r="F2091" s="17" t="str">
        <x:v>Lite</x:v>
      </x:c>
      <x:c r="G2091" s="17" t="n">
        <x:v>23507</x:v>
      </x:c>
      <x:c r="H2091" s="17" t="n">
        <x:v>6066</x:v>
      </x:c>
      <x:c r="I2091" s="17" t="str">
        <x:v>Followup</x:v>
      </x:c>
      <x:c r="J2091" s="27" t="n">
        <x:f>INDEX('Model Pricing'!$B$7:$B$8,MATCH(F2091,'Model Pricing'!$A$7:$A$8,0))</x:f>
        <x:v>10</x:v>
      </x:c>
      <x:c r="K2091" s="27" t="n">
        <x:f>INDEX('Model Pricing'!$C$7:$C$8,MATCH(F2091,'Model Pricing'!$A$7:$A$8,0))</x:f>
        <x:v>30</x:v>
      </x:c>
      <x:c r="L2091" s="17" t="n">
        <x:f>G2091+H2091</x:f>
        <x:v>29573</x:v>
      </x:c>
      <x:c r="M2091" s="28" t="n">
        <x:f>G2091*J2091/1000000</x:f>
        <x:v>0.23507</x:v>
      </x:c>
      <x:c r="N2091" s="28" t="n">
        <x:f>H2091*K2091/1000000</x:f>
        <x:v>0.18198</x:v>
      </x:c>
      <x:c r="O2091" s="28" t="n">
        <x:f>SUM(M2091:N2091)</x:f>
        <x:v>0.41705000000000003</x:v>
      </x:c>
    </x:row>
    <x:row r="2092" ht="23" customHeight="1">
      <x:c r="A2092" s="17" t="str">
        <x:v>U02086</x:v>
      </x:c>
      <x:c r="B2092" s="18" t="n">
        <x:v>46276</x:v>
      </x:c>
      <x:c r="C2092" s="17" t="str">
        <x:v>W0154</x:v>
      </x:c>
      <x:c r="D2092" s="17" t="str">
        <x:v>C003</x:v>
      </x:c>
      <x:c r="E2092" s="17" t="str">
        <x:v>CampaignChat</x:v>
      </x:c>
      <x:c r="F2092" s="17" t="str">
        <x:v>Lite</x:v>
      </x:c>
      <x:c r="G2092" s="17" t="n">
        <x:v>29936</x:v>
      </x:c>
      <x:c r="H2092" s="17" t="n">
        <x:v>9376</x:v>
      </x:c>
      <x:c r="I2092" s="17" t="str">
        <x:v>Followup</x:v>
      </x:c>
      <x:c r="J2092" s="27" t="n">
        <x:f>INDEX('Model Pricing'!$B$7:$B$8,MATCH(F2092,'Model Pricing'!$A$7:$A$8,0))</x:f>
        <x:v>10</x:v>
      </x:c>
      <x:c r="K2092" s="27" t="n">
        <x:f>INDEX('Model Pricing'!$C$7:$C$8,MATCH(F2092,'Model Pricing'!$A$7:$A$8,0))</x:f>
        <x:v>30</x:v>
      </x:c>
      <x:c r="L2092" s="17" t="n">
        <x:f>G2092+H2092</x:f>
        <x:v>39312</x:v>
      </x:c>
      <x:c r="M2092" s="28" t="n">
        <x:f>G2092*J2092/1000000</x:f>
        <x:v>0.29936</x:v>
      </x:c>
      <x:c r="N2092" s="28" t="n">
        <x:f>H2092*K2092/1000000</x:f>
        <x:v>0.28128</x:v>
      </x:c>
      <x:c r="O2092" s="28" t="n">
        <x:f>SUM(M2092:N2092)</x:f>
        <x:v>0.58064</x:v>
      </x:c>
    </x:row>
    <x:row r="2093" ht="23" customHeight="1">
      <x:c r="A2093" s="17" t="str">
        <x:v>U02087</x:v>
      </x:c>
      <x:c r="B2093" s="18" t="n">
        <x:v>46276</x:v>
      </x:c>
      <x:c r="C2093" s="17" t="str">
        <x:v>W0154</x:v>
      </x:c>
      <x:c r="D2093" s="17" t="str">
        <x:v>C003</x:v>
      </x:c>
      <x:c r="E2093" s="17" t="str">
        <x:v>CampaignChat</x:v>
      </x:c>
      <x:c r="F2093" s="17" t="str">
        <x:v>Lite</x:v>
      </x:c>
      <x:c r="G2093" s="17" t="n">
        <x:v>22213</x:v>
      </x:c>
      <x:c r="H2093" s="17" t="n">
        <x:v>2719</x:v>
      </x:c>
      <x:c r="I2093" s="17" t="str">
        <x:v>Followup</x:v>
      </x:c>
      <x:c r="J2093" s="27" t="n">
        <x:f>INDEX('Model Pricing'!$B$7:$B$8,MATCH(F2093,'Model Pricing'!$A$7:$A$8,0))</x:f>
        <x:v>10</x:v>
      </x:c>
      <x:c r="K2093" s="27" t="n">
        <x:f>INDEX('Model Pricing'!$C$7:$C$8,MATCH(F2093,'Model Pricing'!$A$7:$A$8,0))</x:f>
        <x:v>30</x:v>
      </x:c>
      <x:c r="L2093" s="17" t="n">
        <x:f>G2093+H2093</x:f>
        <x:v>24932</x:v>
      </x:c>
      <x:c r="M2093" s="28" t="n">
        <x:f>G2093*J2093/1000000</x:f>
        <x:v>0.22213</x:v>
      </x:c>
      <x:c r="N2093" s="28" t="n">
        <x:f>H2093*K2093/1000000</x:f>
        <x:v>0.08157</x:v>
      </x:c>
      <x:c r="O2093" s="28" t="n">
        <x:f>SUM(M2093:N2093)</x:f>
        <x:v>0.30369999999999997</x:v>
      </x:c>
    </x:row>
    <x:row r="2094" ht="23" customHeight="1">
      <x:c r="A2094" s="17" t="str">
        <x:v>U02088</x:v>
      </x:c>
      <x:c r="B2094" s="18" t="n">
        <x:v>46279</x:v>
      </x:c>
      <x:c r="C2094" s="17" t="str">
        <x:v>W0154</x:v>
      </x:c>
      <x:c r="D2094" s="17" t="str">
        <x:v>C003</x:v>
      </x:c>
      <x:c r="E2094" s="17" t="str">
        <x:v>CampaignChat</x:v>
      </x:c>
      <x:c r="F2094" s="17" t="str">
        <x:v>Lite</x:v>
      </x:c>
      <x:c r="G2094" s="17" t="n">
        <x:v>15031</x:v>
      </x:c>
      <x:c r="H2094" s="17" t="n">
        <x:v>9540</x:v>
      </x:c>
      <x:c r="I2094" s="17" t="str">
        <x:v>Followup</x:v>
      </x:c>
      <x:c r="J2094" s="27" t="n">
        <x:f>INDEX('Model Pricing'!$B$7:$B$8,MATCH(F2094,'Model Pricing'!$A$7:$A$8,0))</x:f>
        <x:v>10</x:v>
      </x:c>
      <x:c r="K2094" s="27" t="n">
        <x:f>INDEX('Model Pricing'!$C$7:$C$8,MATCH(F2094,'Model Pricing'!$A$7:$A$8,0))</x:f>
        <x:v>30</x:v>
      </x:c>
      <x:c r="L2094" s="17" t="n">
        <x:f>G2094+H2094</x:f>
        <x:v>24571</x:v>
      </x:c>
      <x:c r="M2094" s="28" t="n">
        <x:f>G2094*J2094/1000000</x:f>
        <x:v>0.15031</x:v>
      </x:c>
      <x:c r="N2094" s="28" t="n">
        <x:f>H2094*K2094/1000000</x:f>
        <x:v>0.2862</x:v>
      </x:c>
      <x:c r="O2094" s="28" t="n">
        <x:f>SUM(M2094:N2094)</x:f>
        <x:v>0.43651</x:v>
      </x:c>
    </x:row>
    <x:row r="2095" ht="23" customHeight="1">
      <x:c r="A2095" s="17" t="str">
        <x:v>U02089</x:v>
      </x:c>
      <x:c r="B2095" s="18" t="n">
        <x:v>46279</x:v>
      </x:c>
      <x:c r="C2095" s="17" t="str">
        <x:v>W0154</x:v>
      </x:c>
      <x:c r="D2095" s="17" t="str">
        <x:v>C003</x:v>
      </x:c>
      <x:c r="E2095" s="17" t="str">
        <x:v>CampaignChat</x:v>
      </x:c>
      <x:c r="F2095" s="17" t="str">
        <x:v>Lite</x:v>
      </x:c>
      <x:c r="G2095" s="17" t="n">
        <x:v>10541</x:v>
      </x:c>
      <x:c r="H2095" s="17" t="n">
        <x:v>4063</x:v>
      </x:c>
      <x:c r="I2095" s="17" t="str">
        <x:v>Followup</x:v>
      </x:c>
      <x:c r="J2095" s="27" t="n">
        <x:f>INDEX('Model Pricing'!$B$7:$B$8,MATCH(F2095,'Model Pricing'!$A$7:$A$8,0))</x:f>
        <x:v>10</x:v>
      </x:c>
      <x:c r="K2095" s="27" t="n">
        <x:f>INDEX('Model Pricing'!$C$7:$C$8,MATCH(F2095,'Model Pricing'!$A$7:$A$8,0))</x:f>
        <x:v>30</x:v>
      </x:c>
      <x:c r="L2095" s="17" t="n">
        <x:f>G2095+H2095</x:f>
        <x:v>14604</x:v>
      </x:c>
      <x:c r="M2095" s="28" t="n">
        <x:f>G2095*J2095/1000000</x:f>
        <x:v>0.10541</x:v>
      </x:c>
      <x:c r="N2095" s="28" t="n">
        <x:f>H2095*K2095/1000000</x:f>
        <x:v>0.12189</x:v>
      </x:c>
      <x:c r="O2095" s="28" t="n">
        <x:f>SUM(M2095:N2095)</x:f>
        <x:v>0.2273</x:v>
      </x:c>
    </x:row>
    <x:row r="2096" ht="23" customHeight="1">
      <x:c r="A2096" s="17" t="str">
        <x:v>U02090</x:v>
      </x:c>
      <x:c r="B2096" s="18" t="n">
        <x:v>46279</x:v>
      </x:c>
      <x:c r="C2096" s="17" t="str">
        <x:v>W0154</x:v>
      </x:c>
      <x:c r="D2096" s="17" t="str">
        <x:v>C003</x:v>
      </x:c>
      <x:c r="E2096" s="17" t="str">
        <x:v>CampaignChat</x:v>
      </x:c>
      <x:c r="F2096" s="17" t="str">
        <x:v>Lite</x:v>
      </x:c>
      <x:c r="G2096" s="17" t="n">
        <x:v>27490</x:v>
      </x:c>
      <x:c r="H2096" s="17" t="n">
        <x:v>5513</x:v>
      </x:c>
      <x:c r="I2096" s="17" t="str">
        <x:v>Followup</x:v>
      </x:c>
      <x:c r="J2096" s="27" t="n">
        <x:f>INDEX('Model Pricing'!$B$7:$B$8,MATCH(F2096,'Model Pricing'!$A$7:$A$8,0))</x:f>
        <x:v>10</x:v>
      </x:c>
      <x:c r="K2096" s="27" t="n">
        <x:f>INDEX('Model Pricing'!$C$7:$C$8,MATCH(F2096,'Model Pricing'!$A$7:$A$8,0))</x:f>
        <x:v>30</x:v>
      </x:c>
      <x:c r="L2096" s="17" t="n">
        <x:f>G2096+H2096</x:f>
        <x:v>33003</x:v>
      </x:c>
      <x:c r="M2096" s="28" t="n">
        <x:f>G2096*J2096/1000000</x:f>
        <x:v>0.2749</x:v>
      </x:c>
      <x:c r="N2096" s="28" t="n">
        <x:f>H2096*K2096/1000000</x:f>
        <x:v>0.16539</x:v>
      </x:c>
      <x:c r="O2096" s="28" t="n">
        <x:f>SUM(M2096:N2096)</x:f>
        <x:v>0.44028999999999996</x:v>
      </x:c>
    </x:row>
    <x:row r="2097" ht="23" customHeight="1">
      <x:c r="A2097" s="17" t="str">
        <x:v>U02091</x:v>
      </x:c>
      <x:c r="B2097" s="18" t="n">
        <x:v>46279</x:v>
      </x:c>
      <x:c r="C2097" s="17" t="str">
        <x:v>W0154</x:v>
      </x:c>
      <x:c r="D2097" s="17" t="str">
        <x:v>C003</x:v>
      </x:c>
      <x:c r="E2097" s="17" t="str">
        <x:v>CampaignChat</x:v>
      </x:c>
      <x:c r="F2097" s="17" t="str">
        <x:v>Lite</x:v>
      </x:c>
      <x:c r="G2097" s="17" t="n">
        <x:v>23146</x:v>
      </x:c>
      <x:c r="H2097" s="17" t="n">
        <x:v>7361</x:v>
      </x:c>
      <x:c r="I2097" s="17" t="str">
        <x:v>Correction</x:v>
      </x:c>
      <x:c r="J2097" s="27" t="n">
        <x:f>INDEX('Model Pricing'!$B$7:$B$8,MATCH(F2097,'Model Pricing'!$A$7:$A$8,0))</x:f>
        <x:v>10</x:v>
      </x:c>
      <x:c r="K2097" s="27" t="n">
        <x:f>INDEX('Model Pricing'!$C$7:$C$8,MATCH(F2097,'Model Pricing'!$A$7:$A$8,0))</x:f>
        <x:v>30</x:v>
      </x:c>
      <x:c r="L2097" s="17" t="n">
        <x:f>G2097+H2097</x:f>
        <x:v>30507</x:v>
      </x:c>
      <x:c r="M2097" s="28" t="n">
        <x:f>G2097*J2097/1000000</x:f>
        <x:v>0.23146</x:v>
      </x:c>
      <x:c r="N2097" s="28" t="n">
        <x:f>H2097*K2097/1000000</x:f>
        <x:v>0.22083</x:v>
      </x:c>
      <x:c r="O2097" s="28" t="n">
        <x:f>SUM(M2097:N2097)</x:f>
        <x:v>0.45228999999999997</x:v>
      </x:c>
    </x:row>
    <x:row r="2098" ht="23" customHeight="1">
      <x:c r="A2098" s="17" t="str">
        <x:v>U02092</x:v>
      </x:c>
      <x:c r="B2098" s="18" t="n">
        <x:v>46280</x:v>
      </x:c>
      <x:c r="C2098" s="17" t="str">
        <x:v>W0154</x:v>
      </x:c>
      <x:c r="D2098" s="17" t="str">
        <x:v>C003</x:v>
      </x:c>
      <x:c r="E2098" s="17" t="str">
        <x:v>CampaignChat</x:v>
      </x:c>
      <x:c r="F2098" s="17" t="str">
        <x:v>Lite</x:v>
      </x:c>
      <x:c r="G2098" s="17" t="n">
        <x:v>23689</x:v>
      </x:c>
      <x:c r="H2098" s="17" t="n">
        <x:v>9520</x:v>
      </x:c>
      <x:c r="I2098" s="17" t="str">
        <x:v>Correction</x:v>
      </x:c>
      <x:c r="J2098" s="27" t="n">
        <x:f>INDEX('Model Pricing'!$B$7:$B$8,MATCH(F2098,'Model Pricing'!$A$7:$A$8,0))</x:f>
        <x:v>10</x:v>
      </x:c>
      <x:c r="K2098" s="27" t="n">
        <x:f>INDEX('Model Pricing'!$C$7:$C$8,MATCH(F2098,'Model Pricing'!$A$7:$A$8,0))</x:f>
        <x:v>30</x:v>
      </x:c>
      <x:c r="L2098" s="17" t="n">
        <x:f>G2098+H2098</x:f>
        <x:v>33209</x:v>
      </x:c>
      <x:c r="M2098" s="28" t="n">
        <x:f>G2098*J2098/1000000</x:f>
        <x:v>0.23689</x:v>
      </x:c>
      <x:c r="N2098" s="28" t="n">
        <x:f>H2098*K2098/1000000</x:f>
        <x:v>0.2856</x:v>
      </x:c>
      <x:c r="O2098" s="28" t="n">
        <x:f>SUM(M2098:N2098)</x:f>
        <x:v>0.52249</x:v>
      </x:c>
    </x:row>
    <x:row r="2099" ht="23" customHeight="1">
      <x:c r="A2099" s="17" t="str">
        <x:v>U02093</x:v>
      </x:c>
      <x:c r="B2099" s="18" t="n">
        <x:v>46280</x:v>
      </x:c>
      <x:c r="C2099" s="17" t="str">
        <x:v>W0154</x:v>
      </x:c>
      <x:c r="D2099" s="17" t="str">
        <x:v>C003</x:v>
      </x:c>
      <x:c r="E2099" s="17" t="str">
        <x:v>CampaignChat</x:v>
      </x:c>
      <x:c r="F2099" s="17" t="str">
        <x:v>Lite</x:v>
      </x:c>
      <x:c r="G2099" s="17" t="n">
        <x:v>12898</x:v>
      </x:c>
      <x:c r="H2099" s="17" t="n">
        <x:v>3055</x:v>
      </x:c>
      <x:c r="I2099" s="17" t="str">
        <x:v>Correction</x:v>
      </x:c>
      <x:c r="J2099" s="27" t="n">
        <x:f>INDEX('Model Pricing'!$B$7:$B$8,MATCH(F2099,'Model Pricing'!$A$7:$A$8,0))</x:f>
        <x:v>10</x:v>
      </x:c>
      <x:c r="K2099" s="27" t="n">
        <x:f>INDEX('Model Pricing'!$C$7:$C$8,MATCH(F2099,'Model Pricing'!$A$7:$A$8,0))</x:f>
        <x:v>30</x:v>
      </x:c>
      <x:c r="L2099" s="17" t="n">
        <x:f>G2099+H2099</x:f>
        <x:v>15953</x:v>
      </x:c>
      <x:c r="M2099" s="28" t="n">
        <x:f>G2099*J2099/1000000</x:f>
        <x:v>0.12898</x:v>
      </x:c>
      <x:c r="N2099" s="28" t="n">
        <x:f>H2099*K2099/1000000</x:f>
        <x:v>0.09165</x:v>
      </x:c>
      <x:c r="O2099" s="28" t="n">
        <x:f>SUM(M2099:N2099)</x:f>
        <x:v>0.22063</x:v>
      </x:c>
    </x:row>
    <x:row r="2100" ht="23" customHeight="1">
      <x:c r="A2100" s="17" t="str">
        <x:v>U02094</x:v>
      </x:c>
      <x:c r="B2100" s="18" t="n">
        <x:v>46280</x:v>
      </x:c>
      <x:c r="C2100" s="17" t="str">
        <x:v>W0154</x:v>
      </x:c>
      <x:c r="D2100" s="17" t="str">
        <x:v>C003</x:v>
      </x:c>
      <x:c r="E2100" s="17" t="str">
        <x:v>CampaignChat</x:v>
      </x:c>
      <x:c r="F2100" s="17" t="str">
        <x:v>Lite</x:v>
      </x:c>
      <x:c r="G2100" s="17" t="n">
        <x:v>25813</x:v>
      </x:c>
      <x:c r="H2100" s="17" t="n">
        <x:v>4224</x:v>
      </x:c>
      <x:c r="I2100" s="17" t="str">
        <x:v>Correction</x:v>
      </x:c>
      <x:c r="J2100" s="27" t="n">
        <x:f>INDEX('Model Pricing'!$B$7:$B$8,MATCH(F2100,'Model Pricing'!$A$7:$A$8,0))</x:f>
        <x:v>10</x:v>
      </x:c>
      <x:c r="K2100" s="27" t="n">
        <x:f>INDEX('Model Pricing'!$C$7:$C$8,MATCH(F2100,'Model Pricing'!$A$7:$A$8,0))</x:f>
        <x:v>30</x:v>
      </x:c>
      <x:c r="L2100" s="17" t="n">
        <x:f>G2100+H2100</x:f>
        <x:v>30037</x:v>
      </x:c>
      <x:c r="M2100" s="28" t="n">
        <x:f>G2100*J2100/1000000</x:f>
        <x:v>0.25813</x:v>
      </x:c>
      <x:c r="N2100" s="28" t="n">
        <x:f>H2100*K2100/1000000</x:f>
        <x:v>0.12672</x:v>
      </x:c>
      <x:c r="O2100" s="28" t="n">
        <x:f>SUM(M2100:N2100)</x:f>
        <x:v>0.38485</x:v>
      </x:c>
    </x:row>
    <x:row r="2101" ht="23" customHeight="1">
      <x:c r="A2101" s="17" t="str">
        <x:v>U02095</x:v>
      </x:c>
      <x:c r="B2101" s="18" t="n">
        <x:v>46286</x:v>
      </x:c>
      <x:c r="C2101" s="17" t="str">
        <x:v>W0155</x:v>
      </x:c>
      <x:c r="D2101" s="17" t="str">
        <x:v>C003</x:v>
      </x:c>
      <x:c r="E2101" s="17" t="str">
        <x:v>DataFlow</x:v>
      </x:c>
      <x:c r="F2101" s="17" t="str">
        <x:v>Lite</x:v>
      </x:c>
      <x:c r="G2101" s="17" t="n">
        <x:v>32003</x:v>
      </x:c>
      <x:c r="H2101" s="17" t="n">
        <x:v>7297</x:v>
      </x:c>
      <x:c r="I2101" s="17" t="str">
        <x:v>First attempt</x:v>
      </x:c>
      <x:c r="J2101" s="27" t="n">
        <x:f>INDEX('Model Pricing'!$B$7:$B$8,MATCH(F2101,'Model Pricing'!$A$7:$A$8,0))</x:f>
        <x:v>10</x:v>
      </x:c>
      <x:c r="K2101" s="27" t="n">
        <x:f>INDEX('Model Pricing'!$C$7:$C$8,MATCH(F2101,'Model Pricing'!$A$7:$A$8,0))</x:f>
        <x:v>30</x:v>
      </x:c>
      <x:c r="L2101" s="17" t="n">
        <x:f>G2101+H2101</x:f>
        <x:v>39300</x:v>
      </x:c>
      <x:c r="M2101" s="28" t="n">
        <x:f>G2101*J2101/1000000</x:f>
        <x:v>0.32003</x:v>
      </x:c>
      <x:c r="N2101" s="28" t="n">
        <x:f>H2101*K2101/1000000</x:f>
        <x:v>0.21891</x:v>
      </x:c>
      <x:c r="O2101" s="28" t="n">
        <x:f>SUM(M2101:N2101)</x:f>
        <x:v>0.53894</x:v>
      </x:c>
    </x:row>
    <x:row r="2102" ht="23" customHeight="1">
      <x:c r="A2102" s="17" t="str">
        <x:v>U02096</x:v>
      </x:c>
      <x:c r="B2102" s="18" t="n">
        <x:v>46286</x:v>
      </x:c>
      <x:c r="C2102" s="17" t="str">
        <x:v>W0155</x:v>
      </x:c>
      <x:c r="D2102" s="17" t="str">
        <x:v>C003</x:v>
      </x:c>
      <x:c r="E2102" s="17" t="str">
        <x:v>DataFlow</x:v>
      </x:c>
      <x:c r="F2102" s="17" t="str">
        <x:v>Lite</x:v>
      </x:c>
      <x:c r="G2102" s="17" t="n">
        <x:v>39805</x:v>
      </x:c>
      <x:c r="H2102" s="17" t="n">
        <x:v>6268</x:v>
      </x:c>
      <x:c r="I2102" s="17" t="str">
        <x:v>Followup</x:v>
      </x:c>
      <x:c r="J2102" s="27" t="n">
        <x:f>INDEX('Model Pricing'!$B$7:$B$8,MATCH(F2102,'Model Pricing'!$A$7:$A$8,0))</x:f>
        <x:v>10</x:v>
      </x:c>
      <x:c r="K2102" s="27" t="n">
        <x:f>INDEX('Model Pricing'!$C$7:$C$8,MATCH(F2102,'Model Pricing'!$A$7:$A$8,0))</x:f>
        <x:v>30</x:v>
      </x:c>
      <x:c r="L2102" s="17" t="n">
        <x:f>G2102+H2102</x:f>
        <x:v>46073</x:v>
      </x:c>
      <x:c r="M2102" s="28" t="n">
        <x:f>G2102*J2102/1000000</x:f>
        <x:v>0.39805</x:v>
      </x:c>
      <x:c r="N2102" s="28" t="n">
        <x:f>H2102*K2102/1000000</x:f>
        <x:v>0.18804</x:v>
      </x:c>
      <x:c r="O2102" s="28" t="n">
        <x:f>SUM(M2102:N2102)</x:f>
        <x:v>0.58609</x:v>
      </x:c>
    </x:row>
    <x:row r="2103" ht="23" customHeight="1">
      <x:c r="A2103" s="17" t="str">
        <x:v>U02097</x:v>
      </x:c>
      <x:c r="B2103" s="18" t="n">
        <x:v>46286</x:v>
      </x:c>
      <x:c r="C2103" s="17" t="str">
        <x:v>W0155</x:v>
      </x:c>
      <x:c r="D2103" s="17" t="str">
        <x:v>C003</x:v>
      </x:c>
      <x:c r="E2103" s="17" t="str">
        <x:v>DataFlow</x:v>
      </x:c>
      <x:c r="F2103" s="17" t="str">
        <x:v>Lite</x:v>
      </x:c>
      <x:c r="G2103" s="17" t="n">
        <x:v>34936</x:v>
      </x:c>
      <x:c r="H2103" s="17" t="n">
        <x:v>5606</x:v>
      </x:c>
      <x:c r="I2103" s="17" t="str">
        <x:v>Correction</x:v>
      </x:c>
      <x:c r="J2103" s="27" t="n">
        <x:f>INDEX('Model Pricing'!$B$7:$B$8,MATCH(F2103,'Model Pricing'!$A$7:$A$8,0))</x:f>
        <x:v>10</x:v>
      </x:c>
      <x:c r="K2103" s="27" t="n">
        <x:f>INDEX('Model Pricing'!$C$7:$C$8,MATCH(F2103,'Model Pricing'!$A$7:$A$8,0))</x:f>
        <x:v>30</x:v>
      </x:c>
      <x:c r="L2103" s="17" t="n">
        <x:f>G2103+H2103</x:f>
        <x:v>40542</x:v>
      </x:c>
      <x:c r="M2103" s="28" t="n">
        <x:f>G2103*J2103/1000000</x:f>
        <x:v>0.34936</x:v>
      </x:c>
      <x:c r="N2103" s="28" t="n">
        <x:f>H2103*K2103/1000000</x:f>
        <x:v>0.16818</x:v>
      </x:c>
      <x:c r="O2103" s="28" t="n">
        <x:f>SUM(M2103:N2103)</x:f>
        <x:v>0.51754</x:v>
      </x:c>
    </x:row>
    <x:row r="2104" ht="23" customHeight="1">
      <x:c r="A2104" s="17" t="str">
        <x:v>U02098</x:v>
      </x:c>
      <x:c r="B2104" s="18" t="n">
        <x:v>46287</x:v>
      </x:c>
      <x:c r="C2104" s="17" t="str">
        <x:v>W0155</x:v>
      </x:c>
      <x:c r="D2104" s="17" t="str">
        <x:v>C003</x:v>
      </x:c>
      <x:c r="E2104" s="17" t="str">
        <x:v>DataFlow</x:v>
      </x:c>
      <x:c r="F2104" s="17" t="str">
        <x:v>Lite</x:v>
      </x:c>
      <x:c r="G2104" s="17" t="n">
        <x:v>46481</x:v>
      </x:c>
      <x:c r="H2104" s="17" t="n">
        <x:v>4599</x:v>
      </x:c>
      <x:c r="I2104" s="17" t="str">
        <x:v>Followup</x:v>
      </x:c>
      <x:c r="J2104" s="27" t="n">
        <x:f>INDEX('Model Pricing'!$B$7:$B$8,MATCH(F2104,'Model Pricing'!$A$7:$A$8,0))</x:f>
        <x:v>10</x:v>
      </x:c>
      <x:c r="K2104" s="27" t="n">
        <x:f>INDEX('Model Pricing'!$C$7:$C$8,MATCH(F2104,'Model Pricing'!$A$7:$A$8,0))</x:f>
        <x:v>30</x:v>
      </x:c>
      <x:c r="L2104" s="17" t="n">
        <x:f>G2104+H2104</x:f>
        <x:v>51080</x:v>
      </x:c>
      <x:c r="M2104" s="28" t="n">
        <x:f>G2104*J2104/1000000</x:f>
        <x:v>0.46481</x:v>
      </x:c>
      <x:c r="N2104" s="28" t="n">
        <x:f>H2104*K2104/1000000</x:f>
        <x:v>0.13797</x:v>
      </x:c>
      <x:c r="O2104" s="28" t="n">
        <x:f>SUM(M2104:N2104)</x:f>
        <x:v>0.60278</x:v>
      </x:c>
    </x:row>
    <x:row r="2105" ht="23" customHeight="1">
      <x:c r="A2105" s="17" t="str">
        <x:v>U02099</x:v>
      </x:c>
      <x:c r="B2105" s="18" t="n">
        <x:v>46287</x:v>
      </x:c>
      <x:c r="C2105" s="17" t="str">
        <x:v>W0155</x:v>
      </x:c>
      <x:c r="D2105" s="17" t="str">
        <x:v>C003</x:v>
      </x:c>
      <x:c r="E2105" s="17" t="str">
        <x:v>DataFlow</x:v>
      </x:c>
      <x:c r="F2105" s="17" t="str">
        <x:v>Lite</x:v>
      </x:c>
      <x:c r="G2105" s="17" t="n">
        <x:v>36248</x:v>
      </x:c>
      <x:c r="H2105" s="17" t="n">
        <x:v>5823</x:v>
      </x:c>
      <x:c r="I2105" s="17" t="str">
        <x:v>Followup</x:v>
      </x:c>
      <x:c r="J2105" s="27" t="n">
        <x:f>INDEX('Model Pricing'!$B$7:$B$8,MATCH(F2105,'Model Pricing'!$A$7:$A$8,0))</x:f>
        <x:v>10</x:v>
      </x:c>
      <x:c r="K2105" s="27" t="n">
        <x:f>INDEX('Model Pricing'!$C$7:$C$8,MATCH(F2105,'Model Pricing'!$A$7:$A$8,0))</x:f>
        <x:v>30</x:v>
      </x:c>
      <x:c r="L2105" s="17" t="n">
        <x:f>G2105+H2105</x:f>
        <x:v>42071</x:v>
      </x:c>
      <x:c r="M2105" s="28" t="n">
        <x:f>G2105*J2105/1000000</x:f>
        <x:v>0.36248</x:v>
      </x:c>
      <x:c r="N2105" s="28" t="n">
        <x:f>H2105*K2105/1000000</x:f>
        <x:v>0.17469</x:v>
      </x:c>
      <x:c r="O2105" s="28" t="n">
        <x:f>SUM(M2105:N2105)</x:f>
        <x:v>0.53717</x:v>
      </x:c>
    </x:row>
    <x:row r="2106" ht="23" customHeight="1">
      <x:c r="A2106" s="17" t="str">
        <x:v>U02100</x:v>
      </x:c>
      <x:c r="B2106" s="18" t="n">
        <x:v>46287</x:v>
      </x:c>
      <x:c r="C2106" s="17" t="str">
        <x:v>W0155</x:v>
      </x:c>
      <x:c r="D2106" s="17" t="str">
        <x:v>C003</x:v>
      </x:c>
      <x:c r="E2106" s="17" t="str">
        <x:v>DataFlow</x:v>
      </x:c>
      <x:c r="F2106" s="17" t="str">
        <x:v>Lite</x:v>
      </x:c>
      <x:c r="G2106" s="17" t="n">
        <x:v>33848</x:v>
      </x:c>
      <x:c r="H2106" s="17" t="n">
        <x:v>2939</x:v>
      </x:c>
      <x:c r="I2106" s="17" t="str">
        <x:v>Followup</x:v>
      </x:c>
      <x:c r="J2106" s="27" t="n">
        <x:f>INDEX('Model Pricing'!$B$7:$B$8,MATCH(F2106,'Model Pricing'!$A$7:$A$8,0))</x:f>
        <x:v>10</x:v>
      </x:c>
      <x:c r="K2106" s="27" t="n">
        <x:f>INDEX('Model Pricing'!$C$7:$C$8,MATCH(F2106,'Model Pricing'!$A$7:$A$8,0))</x:f>
        <x:v>30</x:v>
      </x:c>
      <x:c r="L2106" s="17" t="n">
        <x:f>G2106+H2106</x:f>
        <x:v>36787</x:v>
      </x:c>
      <x:c r="M2106" s="28" t="n">
        <x:f>G2106*J2106/1000000</x:f>
        <x:v>0.33848</x:v>
      </x:c>
      <x:c r="N2106" s="28" t="n">
        <x:f>H2106*K2106/1000000</x:f>
        <x:v>0.08817</x:v>
      </x:c>
      <x:c r="O2106" s="28" t="n">
        <x:f>SUM(M2106:N2106)</x:f>
        <x:v>0.42665</x:v>
      </x:c>
    </x:row>
    <x:row r="2107" ht="23" customHeight="1">
      <x:c r="A2107" s="17" t="str">
        <x:v>U02101</x:v>
      </x:c>
      <x:c r="B2107" s="18" t="n">
        <x:v>46288</x:v>
      </x:c>
      <x:c r="C2107" s="17" t="str">
        <x:v>W0155</x:v>
      </x:c>
      <x:c r="D2107" s="17" t="str">
        <x:v>C003</x:v>
      </x:c>
      <x:c r="E2107" s="17" t="str">
        <x:v>DataFlow</x:v>
      </x:c>
      <x:c r="F2107" s="17" t="str">
        <x:v>Lite</x:v>
      </x:c>
      <x:c r="G2107" s="17" t="n">
        <x:v>18649</x:v>
      </x:c>
      <x:c r="H2107" s="17" t="n">
        <x:v>5644</x:v>
      </x:c>
      <x:c r="I2107" s="17" t="str">
        <x:v>Correction</x:v>
      </x:c>
      <x:c r="J2107" s="27" t="n">
        <x:f>INDEX('Model Pricing'!$B$7:$B$8,MATCH(F2107,'Model Pricing'!$A$7:$A$8,0))</x:f>
        <x:v>10</x:v>
      </x:c>
      <x:c r="K2107" s="27" t="n">
        <x:f>INDEX('Model Pricing'!$C$7:$C$8,MATCH(F2107,'Model Pricing'!$A$7:$A$8,0))</x:f>
        <x:v>30</x:v>
      </x:c>
      <x:c r="L2107" s="17" t="n">
        <x:f>G2107+H2107</x:f>
        <x:v>24293</x:v>
      </x:c>
      <x:c r="M2107" s="28" t="n">
        <x:f>G2107*J2107/1000000</x:f>
        <x:v>0.18649</x:v>
      </x:c>
      <x:c r="N2107" s="28" t="n">
        <x:f>H2107*K2107/1000000</x:f>
        <x:v>0.16932</x:v>
      </x:c>
      <x:c r="O2107" s="28" t="n">
        <x:f>SUM(M2107:N2107)</x:f>
        <x:v>0.35580999999999996</x:v>
      </x:c>
    </x:row>
    <x:row r="2108" ht="23" customHeight="1">
      <x:c r="A2108" s="17" t="str">
        <x:v>U02102</x:v>
      </x:c>
      <x:c r="B2108" s="18" t="n">
        <x:v>46288</x:v>
      </x:c>
      <x:c r="C2108" s="17" t="str">
        <x:v>W0155</x:v>
      </x:c>
      <x:c r="D2108" s="17" t="str">
        <x:v>C003</x:v>
      </x:c>
      <x:c r="E2108" s="17" t="str">
        <x:v>DataFlow</x:v>
      </x:c>
      <x:c r="F2108" s="17" t="str">
        <x:v>Lite</x:v>
      </x:c>
      <x:c r="G2108" s="17" t="n">
        <x:v>22324</x:v>
      </x:c>
      <x:c r="H2108" s="17" t="n">
        <x:v>7132</x:v>
      </x:c>
      <x:c r="I2108" s="17" t="str">
        <x:v>Followup</x:v>
      </x:c>
      <x:c r="J2108" s="27" t="n">
        <x:f>INDEX('Model Pricing'!$B$7:$B$8,MATCH(F2108,'Model Pricing'!$A$7:$A$8,0))</x:f>
        <x:v>10</x:v>
      </x:c>
      <x:c r="K2108" s="27" t="n">
        <x:f>INDEX('Model Pricing'!$C$7:$C$8,MATCH(F2108,'Model Pricing'!$A$7:$A$8,0))</x:f>
        <x:v>30</x:v>
      </x:c>
      <x:c r="L2108" s="17" t="n">
        <x:f>G2108+H2108</x:f>
        <x:v>29456</x:v>
      </x:c>
      <x:c r="M2108" s="28" t="n">
        <x:f>G2108*J2108/1000000</x:f>
        <x:v>0.22324</x:v>
      </x:c>
      <x:c r="N2108" s="28" t="n">
        <x:f>H2108*K2108/1000000</x:f>
        <x:v>0.21396</x:v>
      </x:c>
      <x:c r="O2108" s="28" t="n">
        <x:f>SUM(M2108:N2108)</x:f>
        <x:v>0.43720000000000003</x:v>
      </x:c>
    </x:row>
    <x:row r="2109" ht="23" customHeight="1">
      <x:c r="A2109" s="17" t="str">
        <x:v>U02103</x:v>
      </x:c>
      <x:c r="B2109" s="18" t="n">
        <x:v>46288</x:v>
      </x:c>
      <x:c r="C2109" s="17" t="str">
        <x:v>W0155</x:v>
      </x:c>
      <x:c r="D2109" s="17" t="str">
        <x:v>C003</x:v>
      </x:c>
      <x:c r="E2109" s="17" t="str">
        <x:v>DataFlow</x:v>
      </x:c>
      <x:c r="F2109" s="17" t="str">
        <x:v>Lite</x:v>
      </x:c>
      <x:c r="G2109" s="17" t="n">
        <x:v>19090</x:v>
      </x:c>
      <x:c r="H2109" s="17" t="n">
        <x:v>4834</x:v>
      </x:c>
      <x:c r="I2109" s="17" t="str">
        <x:v>Followup</x:v>
      </x:c>
      <x:c r="J2109" s="27" t="n">
        <x:f>INDEX('Model Pricing'!$B$7:$B$8,MATCH(F2109,'Model Pricing'!$A$7:$A$8,0))</x:f>
        <x:v>10</x:v>
      </x:c>
      <x:c r="K2109" s="27" t="n">
        <x:f>INDEX('Model Pricing'!$C$7:$C$8,MATCH(F2109,'Model Pricing'!$A$7:$A$8,0))</x:f>
        <x:v>30</x:v>
      </x:c>
      <x:c r="L2109" s="17" t="n">
        <x:f>G2109+H2109</x:f>
        <x:v>23924</x:v>
      </x:c>
      <x:c r="M2109" s="28" t="n">
        <x:f>G2109*J2109/1000000</x:f>
        <x:v>0.1909</x:v>
      </x:c>
      <x:c r="N2109" s="28" t="n">
        <x:f>H2109*K2109/1000000</x:f>
        <x:v>0.14502</x:v>
      </x:c>
      <x:c r="O2109" s="28" t="n">
        <x:f>SUM(M2109:N2109)</x:f>
        <x:v>0.33592</x:v>
      </x:c>
    </x:row>
    <x:row r="2110" ht="23" customHeight="1">
      <x:c r="A2110" s="17" t="str">
        <x:v>U02104</x:v>
      </x:c>
      <x:c r="B2110" s="18" t="n">
        <x:v>46289</x:v>
      </x:c>
      <x:c r="C2110" s="17" t="str">
        <x:v>W0155</x:v>
      </x:c>
      <x:c r="D2110" s="17" t="str">
        <x:v>C003</x:v>
      </x:c>
      <x:c r="E2110" s="17" t="str">
        <x:v>DataFlow</x:v>
      </x:c>
      <x:c r="F2110" s="17" t="str">
        <x:v>Lite</x:v>
      </x:c>
      <x:c r="G2110" s="17" t="n">
        <x:v>36841</x:v>
      </x:c>
      <x:c r="H2110" s="17" t="n">
        <x:v>10422</x:v>
      </x:c>
      <x:c r="I2110" s="17" t="str">
        <x:v>Followup</x:v>
      </x:c>
      <x:c r="J2110" s="27" t="n">
        <x:f>INDEX('Model Pricing'!$B$7:$B$8,MATCH(F2110,'Model Pricing'!$A$7:$A$8,0))</x:f>
        <x:v>10</x:v>
      </x:c>
      <x:c r="K2110" s="27" t="n">
        <x:f>INDEX('Model Pricing'!$C$7:$C$8,MATCH(F2110,'Model Pricing'!$A$7:$A$8,0))</x:f>
        <x:v>30</x:v>
      </x:c>
      <x:c r="L2110" s="17" t="n">
        <x:f>G2110+H2110</x:f>
        <x:v>47263</x:v>
      </x:c>
      <x:c r="M2110" s="28" t="n">
        <x:f>G2110*J2110/1000000</x:f>
        <x:v>0.36841</x:v>
      </x:c>
      <x:c r="N2110" s="28" t="n">
        <x:f>H2110*K2110/1000000</x:f>
        <x:v>0.31266</x:v>
      </x:c>
      <x:c r="O2110" s="28" t="n">
        <x:f>SUM(M2110:N2110)</x:f>
        <x:v>0.6810700000000001</x:v>
      </x:c>
    </x:row>
    <x:row r="2111" ht="23" customHeight="1">
      <x:c r="A2111" s="17" t="str">
        <x:v>U02105</x:v>
      </x:c>
      <x:c r="B2111" s="18" t="n">
        <x:v>46289</x:v>
      </x:c>
      <x:c r="C2111" s="17" t="str">
        <x:v>W0155</x:v>
      </x:c>
      <x:c r="D2111" s="17" t="str">
        <x:v>C003</x:v>
      </x:c>
      <x:c r="E2111" s="17" t="str">
        <x:v>DataFlow</x:v>
      </x:c>
      <x:c r="F2111" s="17" t="str">
        <x:v>Lite</x:v>
      </x:c>
      <x:c r="G2111" s="17" t="n">
        <x:v>25966</x:v>
      </x:c>
      <x:c r="H2111" s="17" t="n">
        <x:v>7738</x:v>
      </x:c>
      <x:c r="I2111" s="17" t="str">
        <x:v>Followup</x:v>
      </x:c>
      <x:c r="J2111" s="27" t="n">
        <x:f>INDEX('Model Pricing'!$B$7:$B$8,MATCH(F2111,'Model Pricing'!$A$7:$A$8,0))</x:f>
        <x:v>10</x:v>
      </x:c>
      <x:c r="K2111" s="27" t="n">
        <x:f>INDEX('Model Pricing'!$C$7:$C$8,MATCH(F2111,'Model Pricing'!$A$7:$A$8,0))</x:f>
        <x:v>30</x:v>
      </x:c>
      <x:c r="L2111" s="17" t="n">
        <x:f>G2111+H2111</x:f>
        <x:v>33704</x:v>
      </x:c>
      <x:c r="M2111" s="28" t="n">
        <x:f>G2111*J2111/1000000</x:f>
        <x:v>0.25966</x:v>
      </x:c>
      <x:c r="N2111" s="28" t="n">
        <x:f>H2111*K2111/1000000</x:f>
        <x:v>0.23214</x:v>
      </x:c>
      <x:c r="O2111" s="28" t="n">
        <x:f>SUM(M2111:N2111)</x:f>
        <x:v>0.4918</x:v>
      </x:c>
    </x:row>
    <x:row r="2112" ht="23" customHeight="1">
      <x:c r="A2112" s="17" t="str">
        <x:v>U02106</x:v>
      </x:c>
      <x:c r="B2112" s="18" t="n">
        <x:v>46289</x:v>
      </x:c>
      <x:c r="C2112" s="17" t="str">
        <x:v>W0155</x:v>
      </x:c>
      <x:c r="D2112" s="17" t="str">
        <x:v>C003</x:v>
      </x:c>
      <x:c r="E2112" s="17" t="str">
        <x:v>DataFlow</x:v>
      </x:c>
      <x:c r="F2112" s="17" t="str">
        <x:v>Lite</x:v>
      </x:c>
      <x:c r="G2112" s="17" t="n">
        <x:v>41813</x:v>
      </x:c>
      <x:c r="H2112" s="17" t="n">
        <x:v>5363</x:v>
      </x:c>
      <x:c r="I2112" s="17" t="str">
        <x:v>Followup</x:v>
      </x:c>
      <x:c r="J2112" s="27" t="n">
        <x:f>INDEX('Model Pricing'!$B$7:$B$8,MATCH(F2112,'Model Pricing'!$A$7:$A$8,0))</x:f>
        <x:v>10</x:v>
      </x:c>
      <x:c r="K2112" s="27" t="n">
        <x:f>INDEX('Model Pricing'!$C$7:$C$8,MATCH(F2112,'Model Pricing'!$A$7:$A$8,0))</x:f>
        <x:v>30</x:v>
      </x:c>
      <x:c r="L2112" s="17" t="n">
        <x:f>G2112+H2112</x:f>
        <x:v>47176</x:v>
      </x:c>
      <x:c r="M2112" s="28" t="n">
        <x:f>G2112*J2112/1000000</x:f>
        <x:v>0.41813</x:v>
      </x:c>
      <x:c r="N2112" s="28" t="n">
        <x:f>H2112*K2112/1000000</x:f>
        <x:v>0.16089</x:v>
      </x:c>
      <x:c r="O2112" s="28" t="n">
        <x:f>SUM(M2112:N2112)</x:f>
        <x:v>0.57902</x:v>
      </x:c>
    </x:row>
    <x:row r="2113" ht="23" customHeight="1">
      <x:c r="A2113" s="17" t="str">
        <x:v>U02107</x:v>
      </x:c>
      <x:c r="B2113" s="18" t="n">
        <x:v>46268</x:v>
      </x:c>
      <x:c r="C2113" s="17" t="str">
        <x:v>W0156</x:v>
      </x:c>
      <x:c r="D2113" s="17" t="str">
        <x:v>C003</x:v>
      </x:c>
      <x:c r="E2113" s="17" t="str">
        <x:v>DataFlow</x:v>
      </x:c>
      <x:c r="F2113" s="17" t="str">
        <x:v>Lite</x:v>
      </x:c>
      <x:c r="G2113" s="17" t="n">
        <x:v>18295</x:v>
      </x:c>
      <x:c r="H2113" s="17" t="n">
        <x:v>5610</x:v>
      </x:c>
      <x:c r="I2113" s="17" t="str">
        <x:v>First attempt</x:v>
      </x:c>
      <x:c r="J2113" s="27" t="n">
        <x:f>INDEX('Model Pricing'!$B$7:$B$8,MATCH(F2113,'Model Pricing'!$A$7:$A$8,0))</x:f>
        <x:v>10</x:v>
      </x:c>
      <x:c r="K2113" s="27" t="n">
        <x:f>INDEX('Model Pricing'!$C$7:$C$8,MATCH(F2113,'Model Pricing'!$A$7:$A$8,0))</x:f>
        <x:v>30</x:v>
      </x:c>
      <x:c r="L2113" s="17" t="n">
        <x:f>G2113+H2113</x:f>
        <x:v>23905</x:v>
      </x:c>
      <x:c r="M2113" s="28" t="n">
        <x:f>G2113*J2113/1000000</x:f>
        <x:v>0.18295</x:v>
      </x:c>
      <x:c r="N2113" s="28" t="n">
        <x:f>H2113*K2113/1000000</x:f>
        <x:v>0.1683</x:v>
      </x:c>
      <x:c r="O2113" s="28" t="n">
        <x:f>SUM(M2113:N2113)</x:f>
        <x:v>0.35125</x:v>
      </x:c>
    </x:row>
    <x:row r="2114" ht="23" customHeight="1">
      <x:c r="A2114" s="17" t="str">
        <x:v>U02108</x:v>
      </x:c>
      <x:c r="B2114" s="18" t="n">
        <x:v>46268</x:v>
      </x:c>
      <x:c r="C2114" s="17" t="str">
        <x:v>W0156</x:v>
      </x:c>
      <x:c r="D2114" s="17" t="str">
        <x:v>C003</x:v>
      </x:c>
      <x:c r="E2114" s="17" t="str">
        <x:v>DataFlow</x:v>
      </x:c>
      <x:c r="F2114" s="17" t="str">
        <x:v>Lite</x:v>
      </x:c>
      <x:c r="G2114" s="17" t="n">
        <x:v>8193</x:v>
      </x:c>
      <x:c r="H2114" s="17" t="n">
        <x:v>5419</x:v>
      </x:c>
      <x:c r="I2114" s="17" t="str">
        <x:v>Followup</x:v>
      </x:c>
      <x:c r="J2114" s="27" t="n">
        <x:f>INDEX('Model Pricing'!$B$7:$B$8,MATCH(F2114,'Model Pricing'!$A$7:$A$8,0))</x:f>
        <x:v>10</x:v>
      </x:c>
      <x:c r="K2114" s="27" t="n">
        <x:f>INDEX('Model Pricing'!$C$7:$C$8,MATCH(F2114,'Model Pricing'!$A$7:$A$8,0))</x:f>
        <x:v>30</x:v>
      </x:c>
      <x:c r="L2114" s="17" t="n">
        <x:f>G2114+H2114</x:f>
        <x:v>13612</x:v>
      </x:c>
      <x:c r="M2114" s="28" t="n">
        <x:f>G2114*J2114/1000000</x:f>
        <x:v>0.08193</x:v>
      </x:c>
      <x:c r="N2114" s="28" t="n">
        <x:f>H2114*K2114/1000000</x:f>
        <x:v>0.16257</x:v>
      </x:c>
      <x:c r="O2114" s="28" t="n">
        <x:f>SUM(M2114:N2114)</x:f>
        <x:v>0.2445</x:v>
      </x:c>
    </x:row>
    <x:row r="2115" ht="23" customHeight="1">
      <x:c r="A2115" s="17" t="str">
        <x:v>U02109</x:v>
      </x:c>
      <x:c r="B2115" s="18" t="n">
        <x:v>46268</x:v>
      </x:c>
      <x:c r="C2115" s="17" t="str">
        <x:v>W0156</x:v>
      </x:c>
      <x:c r="D2115" s="17" t="str">
        <x:v>C003</x:v>
      </x:c>
      <x:c r="E2115" s="17" t="str">
        <x:v>DataFlow</x:v>
      </x:c>
      <x:c r="F2115" s="17" t="str">
        <x:v>Lite</x:v>
      </x:c>
      <x:c r="G2115" s="17" t="n">
        <x:v>11733</x:v>
      </x:c>
      <x:c r="H2115" s="17" t="n">
        <x:v>3246</x:v>
      </x:c>
      <x:c r="I2115" s="17" t="str">
        <x:v>Correction</x:v>
      </x:c>
      <x:c r="J2115" s="27" t="n">
        <x:f>INDEX('Model Pricing'!$B$7:$B$8,MATCH(F2115,'Model Pricing'!$A$7:$A$8,0))</x:f>
        <x:v>10</x:v>
      </x:c>
      <x:c r="K2115" s="27" t="n">
        <x:f>INDEX('Model Pricing'!$C$7:$C$8,MATCH(F2115,'Model Pricing'!$A$7:$A$8,0))</x:f>
        <x:v>30</x:v>
      </x:c>
      <x:c r="L2115" s="17" t="n">
        <x:f>G2115+H2115</x:f>
        <x:v>14979</x:v>
      </x:c>
      <x:c r="M2115" s="28" t="n">
        <x:f>G2115*J2115/1000000</x:f>
        <x:v>0.11733</x:v>
      </x:c>
      <x:c r="N2115" s="28" t="n">
        <x:f>H2115*K2115/1000000</x:f>
        <x:v>0.09738</x:v>
      </x:c>
      <x:c r="O2115" s="28" t="n">
        <x:f>SUM(M2115:N2115)</x:f>
        <x:v>0.21471</x:v>
      </x:c>
    </x:row>
    <x:row r="2116" ht="23" customHeight="1">
      <x:c r="A2116" s="17" t="str">
        <x:v>U02110</x:v>
      </x:c>
      <x:c r="B2116" s="18" t="n">
        <x:v>46268</x:v>
      </x:c>
      <x:c r="C2116" s="17" t="str">
        <x:v>W0156</x:v>
      </x:c>
      <x:c r="D2116" s="17" t="str">
        <x:v>C003</x:v>
      </x:c>
      <x:c r="E2116" s="17" t="str">
        <x:v>DataFlow</x:v>
      </x:c>
      <x:c r="F2116" s="17" t="str">
        <x:v>Lite</x:v>
      </x:c>
      <x:c r="G2116" s="17" t="n">
        <x:v>14087</x:v>
      </x:c>
      <x:c r="H2116" s="17" t="n">
        <x:v>4870</x:v>
      </x:c>
      <x:c r="I2116" s="17" t="str">
        <x:v>Followup</x:v>
      </x:c>
      <x:c r="J2116" s="27" t="n">
        <x:f>INDEX('Model Pricing'!$B$7:$B$8,MATCH(F2116,'Model Pricing'!$A$7:$A$8,0))</x:f>
        <x:v>10</x:v>
      </x:c>
      <x:c r="K2116" s="27" t="n">
        <x:f>INDEX('Model Pricing'!$C$7:$C$8,MATCH(F2116,'Model Pricing'!$A$7:$A$8,0))</x:f>
        <x:v>30</x:v>
      </x:c>
      <x:c r="L2116" s="17" t="n">
        <x:f>G2116+H2116</x:f>
        <x:v>18957</x:v>
      </x:c>
      <x:c r="M2116" s="28" t="n">
        <x:f>G2116*J2116/1000000</x:f>
        <x:v>0.14087</x:v>
      </x:c>
      <x:c r="N2116" s="28" t="n">
        <x:f>H2116*K2116/1000000</x:f>
        <x:v>0.1461</x:v>
      </x:c>
      <x:c r="O2116" s="28" t="n">
        <x:f>SUM(M2116:N2116)</x:f>
        <x:v>0.28697</x:v>
      </x:c>
    </x:row>
    <x:row r="2117" ht="23" customHeight="1">
      <x:c r="A2117" s="17" t="str">
        <x:v>U02111</x:v>
      </x:c>
      <x:c r="B2117" s="18" t="n">
        <x:v>46269</x:v>
      </x:c>
      <x:c r="C2117" s="17" t="str">
        <x:v>W0156</x:v>
      </x:c>
      <x:c r="D2117" s="17" t="str">
        <x:v>C003</x:v>
      </x:c>
      <x:c r="E2117" s="17" t="str">
        <x:v>DataFlow</x:v>
      </x:c>
      <x:c r="F2117" s="17" t="str">
        <x:v>Lite</x:v>
      </x:c>
      <x:c r="G2117" s="17" t="n">
        <x:v>13789</x:v>
      </x:c>
      <x:c r="H2117" s="17" t="n">
        <x:v>3135</x:v>
      </x:c>
      <x:c r="I2117" s="17" t="str">
        <x:v>Correction</x:v>
      </x:c>
      <x:c r="J2117" s="27" t="n">
        <x:f>INDEX('Model Pricing'!$B$7:$B$8,MATCH(F2117,'Model Pricing'!$A$7:$A$8,0))</x:f>
        <x:v>10</x:v>
      </x:c>
      <x:c r="K2117" s="27" t="n">
        <x:f>INDEX('Model Pricing'!$C$7:$C$8,MATCH(F2117,'Model Pricing'!$A$7:$A$8,0))</x:f>
        <x:v>30</x:v>
      </x:c>
      <x:c r="L2117" s="17" t="n">
        <x:f>G2117+H2117</x:f>
        <x:v>16924</x:v>
      </x:c>
      <x:c r="M2117" s="28" t="n">
        <x:f>G2117*J2117/1000000</x:f>
        <x:v>0.13789</x:v>
      </x:c>
      <x:c r="N2117" s="28" t="n">
        <x:f>H2117*K2117/1000000</x:f>
        <x:v>0.09405</x:v>
      </x:c>
      <x:c r="O2117" s="28" t="n">
        <x:f>SUM(M2117:N2117)</x:f>
        <x:v>0.23194</x:v>
      </x:c>
    </x:row>
    <x:row r="2118" ht="23" customHeight="1">
      <x:c r="A2118" s="17" t="str">
        <x:v>U02112</x:v>
      </x:c>
      <x:c r="B2118" s="18" t="n">
        <x:v>46269</x:v>
      </x:c>
      <x:c r="C2118" s="17" t="str">
        <x:v>W0156</x:v>
      </x:c>
      <x:c r="D2118" s="17" t="str">
        <x:v>C003</x:v>
      </x:c>
      <x:c r="E2118" s="17" t="str">
        <x:v>DataFlow</x:v>
      </x:c>
      <x:c r="F2118" s="17" t="str">
        <x:v>Lite</x:v>
      </x:c>
      <x:c r="G2118" s="17" t="n">
        <x:v>18875</x:v>
      </x:c>
      <x:c r="H2118" s="17" t="n">
        <x:v>5707</x:v>
      </x:c>
      <x:c r="I2118" s="17" t="str">
        <x:v>Followup</x:v>
      </x:c>
      <x:c r="J2118" s="27" t="n">
        <x:f>INDEX('Model Pricing'!$B$7:$B$8,MATCH(F2118,'Model Pricing'!$A$7:$A$8,0))</x:f>
        <x:v>10</x:v>
      </x:c>
      <x:c r="K2118" s="27" t="n">
        <x:f>INDEX('Model Pricing'!$C$7:$C$8,MATCH(F2118,'Model Pricing'!$A$7:$A$8,0))</x:f>
        <x:v>30</x:v>
      </x:c>
      <x:c r="L2118" s="17" t="n">
        <x:f>G2118+H2118</x:f>
        <x:v>24582</x:v>
      </x:c>
      <x:c r="M2118" s="28" t="n">
        <x:f>G2118*J2118/1000000</x:f>
        <x:v>0.18875</x:v>
      </x:c>
      <x:c r="N2118" s="28" t="n">
        <x:f>H2118*K2118/1000000</x:f>
        <x:v>0.17121</x:v>
      </x:c>
      <x:c r="O2118" s="28" t="n">
        <x:f>SUM(M2118:N2118)</x:f>
        <x:v>0.35996</x:v>
      </x:c>
    </x:row>
    <x:row r="2119" ht="23" customHeight="1">
      <x:c r="A2119" s="17" t="str">
        <x:v>U02113</x:v>
      </x:c>
      <x:c r="B2119" s="18" t="n">
        <x:v>46269</x:v>
      </x:c>
      <x:c r="C2119" s="17" t="str">
        <x:v>W0156</x:v>
      </x:c>
      <x:c r="D2119" s="17" t="str">
        <x:v>C003</x:v>
      </x:c>
      <x:c r="E2119" s="17" t="str">
        <x:v>DataFlow</x:v>
      </x:c>
      <x:c r="F2119" s="17" t="str">
        <x:v>Lite</x:v>
      </x:c>
      <x:c r="G2119" s="17" t="n">
        <x:v>12222</x:v>
      </x:c>
      <x:c r="H2119" s="17" t="n">
        <x:v>5276</x:v>
      </x:c>
      <x:c r="I2119" s="17" t="str">
        <x:v>Correction</x:v>
      </x:c>
      <x:c r="J2119" s="27" t="n">
        <x:f>INDEX('Model Pricing'!$B$7:$B$8,MATCH(F2119,'Model Pricing'!$A$7:$A$8,0))</x:f>
        <x:v>10</x:v>
      </x:c>
      <x:c r="K2119" s="27" t="n">
        <x:f>INDEX('Model Pricing'!$C$7:$C$8,MATCH(F2119,'Model Pricing'!$A$7:$A$8,0))</x:f>
        <x:v>30</x:v>
      </x:c>
      <x:c r="L2119" s="17" t="n">
        <x:f>G2119+H2119</x:f>
        <x:v>17498</x:v>
      </x:c>
      <x:c r="M2119" s="28" t="n">
        <x:f>G2119*J2119/1000000</x:f>
        <x:v>0.12222</x:v>
      </x:c>
      <x:c r="N2119" s="28" t="n">
        <x:f>H2119*K2119/1000000</x:f>
        <x:v>0.15828</x:v>
      </x:c>
      <x:c r="O2119" s="28" t="n">
        <x:f>SUM(M2119:N2119)</x:f>
        <x:v>0.28049999999999997</x:v>
      </x:c>
    </x:row>
    <x:row r="2120" ht="23" customHeight="1">
      <x:c r="A2120" s="17" t="str">
        <x:v>U02114</x:v>
      </x:c>
      <x:c r="B2120" s="18" t="n">
        <x:v>46273</x:v>
      </x:c>
      <x:c r="C2120" s="17" t="str">
        <x:v>W0156</x:v>
      </x:c>
      <x:c r="D2120" s="17" t="str">
        <x:v>C003</x:v>
      </x:c>
      <x:c r="E2120" s="17" t="str">
        <x:v>DataFlow</x:v>
      </x:c>
      <x:c r="F2120" s="17" t="str">
        <x:v>Lite</x:v>
      </x:c>
      <x:c r="G2120" s="17" t="n">
        <x:v>21101</x:v>
      </x:c>
      <x:c r="H2120" s="17" t="n">
        <x:v>3688</x:v>
      </x:c>
      <x:c r="I2120" s="17" t="str">
        <x:v>Followup</x:v>
      </x:c>
      <x:c r="J2120" s="27" t="n">
        <x:f>INDEX('Model Pricing'!$B$7:$B$8,MATCH(F2120,'Model Pricing'!$A$7:$A$8,0))</x:f>
        <x:v>10</x:v>
      </x:c>
      <x:c r="K2120" s="27" t="n">
        <x:f>INDEX('Model Pricing'!$C$7:$C$8,MATCH(F2120,'Model Pricing'!$A$7:$A$8,0))</x:f>
        <x:v>30</x:v>
      </x:c>
      <x:c r="L2120" s="17" t="n">
        <x:f>G2120+H2120</x:f>
        <x:v>24789</x:v>
      </x:c>
      <x:c r="M2120" s="28" t="n">
        <x:f>G2120*J2120/1000000</x:f>
        <x:v>0.21101</x:v>
      </x:c>
      <x:c r="N2120" s="28" t="n">
        <x:f>H2120*K2120/1000000</x:f>
        <x:v>0.11064</x:v>
      </x:c>
      <x:c r="O2120" s="28" t="n">
        <x:f>SUM(M2120:N2120)</x:f>
        <x:v>0.32165</x:v>
      </x:c>
    </x:row>
    <x:row r="2121" ht="23" customHeight="1">
      <x:c r="A2121" s="17" t="str">
        <x:v>U02115</x:v>
      </x:c>
      <x:c r="B2121" s="18" t="n">
        <x:v>46273</x:v>
      </x:c>
      <x:c r="C2121" s="17" t="str">
        <x:v>W0156</x:v>
      </x:c>
      <x:c r="D2121" s="17" t="str">
        <x:v>C003</x:v>
      </x:c>
      <x:c r="E2121" s="17" t="str">
        <x:v>DataFlow</x:v>
      </x:c>
      <x:c r="F2121" s="17" t="str">
        <x:v>Lite</x:v>
      </x:c>
      <x:c r="G2121" s="17" t="n">
        <x:v>15878</x:v>
      </x:c>
      <x:c r="H2121" s="17" t="n">
        <x:v>4208</x:v>
      </x:c>
      <x:c r="I2121" s="17" t="str">
        <x:v>Followup</x:v>
      </x:c>
      <x:c r="J2121" s="27" t="n">
        <x:f>INDEX('Model Pricing'!$B$7:$B$8,MATCH(F2121,'Model Pricing'!$A$7:$A$8,0))</x:f>
        <x:v>10</x:v>
      </x:c>
      <x:c r="K2121" s="27" t="n">
        <x:f>INDEX('Model Pricing'!$C$7:$C$8,MATCH(F2121,'Model Pricing'!$A$7:$A$8,0))</x:f>
        <x:v>30</x:v>
      </x:c>
      <x:c r="L2121" s="17" t="n">
        <x:f>G2121+H2121</x:f>
        <x:v>20086</x:v>
      </x:c>
      <x:c r="M2121" s="28" t="n">
        <x:f>G2121*J2121/1000000</x:f>
        <x:v>0.15878</x:v>
      </x:c>
      <x:c r="N2121" s="28" t="n">
        <x:f>H2121*K2121/1000000</x:f>
        <x:v>0.12624</x:v>
      </x:c>
      <x:c r="O2121" s="28" t="n">
        <x:f>SUM(M2121:N2121)</x:f>
        <x:v>0.28502</x:v>
      </x:c>
    </x:row>
    <x:row r="2122" ht="23" customHeight="1">
      <x:c r="A2122" s="17" t="str">
        <x:v>U02116</x:v>
      </x:c>
      <x:c r="B2122" s="18" t="n">
        <x:v>46273</x:v>
      </x:c>
      <x:c r="C2122" s="17" t="str">
        <x:v>W0156</x:v>
      </x:c>
      <x:c r="D2122" s="17" t="str">
        <x:v>C003</x:v>
      </x:c>
      <x:c r="E2122" s="17" t="str">
        <x:v>DataFlow</x:v>
      </x:c>
      <x:c r="F2122" s="17" t="str">
        <x:v>Lite</x:v>
      </x:c>
      <x:c r="G2122" s="17" t="n">
        <x:v>12526</x:v>
      </x:c>
      <x:c r="H2122" s="17" t="n">
        <x:v>6091</x:v>
      </x:c>
      <x:c r="I2122" s="17" t="str">
        <x:v>Followup</x:v>
      </x:c>
      <x:c r="J2122" s="27" t="n">
        <x:f>INDEX('Model Pricing'!$B$7:$B$8,MATCH(F2122,'Model Pricing'!$A$7:$A$8,0))</x:f>
        <x:v>10</x:v>
      </x:c>
      <x:c r="K2122" s="27" t="n">
        <x:f>INDEX('Model Pricing'!$C$7:$C$8,MATCH(F2122,'Model Pricing'!$A$7:$A$8,0))</x:f>
        <x:v>30</x:v>
      </x:c>
      <x:c r="L2122" s="17" t="n">
        <x:f>G2122+H2122</x:f>
        <x:v>18617</x:v>
      </x:c>
      <x:c r="M2122" s="28" t="n">
        <x:f>G2122*J2122/1000000</x:f>
        <x:v>0.12526</x:v>
      </x:c>
      <x:c r="N2122" s="28" t="n">
        <x:f>H2122*K2122/1000000</x:f>
        <x:v>0.18273</x:v>
      </x:c>
      <x:c r="O2122" s="28" t="n">
        <x:f>SUM(M2122:N2122)</x:f>
        <x:v>0.30799</x:v>
      </x:c>
    </x:row>
    <x:row r="2123" ht="23" customHeight="1">
      <x:c r="A2123" s="17" t="str">
        <x:v>U02117</x:v>
      </x:c>
      <x:c r="B2123" s="18" t="n">
        <x:v>46274</x:v>
      </x:c>
      <x:c r="C2123" s="17" t="str">
        <x:v>W0156</x:v>
      </x:c>
      <x:c r="D2123" s="17" t="str">
        <x:v>C003</x:v>
      </x:c>
      <x:c r="E2123" s="17" t="str">
        <x:v>DataFlow</x:v>
      </x:c>
      <x:c r="F2123" s="17" t="str">
        <x:v>Lite</x:v>
      </x:c>
      <x:c r="G2123" s="17" t="n">
        <x:v>16082</x:v>
      </x:c>
      <x:c r="H2123" s="17" t="n">
        <x:v>3823</x:v>
      </x:c>
      <x:c r="I2123" s="17" t="str">
        <x:v>Followup</x:v>
      </x:c>
      <x:c r="J2123" s="27" t="n">
        <x:f>INDEX('Model Pricing'!$B$7:$B$8,MATCH(F2123,'Model Pricing'!$A$7:$A$8,0))</x:f>
        <x:v>10</x:v>
      </x:c>
      <x:c r="K2123" s="27" t="n">
        <x:f>INDEX('Model Pricing'!$C$7:$C$8,MATCH(F2123,'Model Pricing'!$A$7:$A$8,0))</x:f>
        <x:v>30</x:v>
      </x:c>
      <x:c r="L2123" s="17" t="n">
        <x:f>G2123+H2123</x:f>
        <x:v>19905</x:v>
      </x:c>
      <x:c r="M2123" s="28" t="n">
        <x:f>G2123*J2123/1000000</x:f>
        <x:v>0.16082</x:v>
      </x:c>
      <x:c r="N2123" s="28" t="n">
        <x:f>H2123*K2123/1000000</x:f>
        <x:v>0.11469</x:v>
      </x:c>
      <x:c r="O2123" s="28" t="n">
        <x:f>SUM(M2123:N2123)</x:f>
        <x:v>0.27551</x:v>
      </x:c>
    </x:row>
    <x:row r="2124" ht="23" customHeight="1">
      <x:c r="A2124" s="17" t="str">
        <x:v>U02118</x:v>
      </x:c>
      <x:c r="B2124" s="18" t="n">
        <x:v>46274</x:v>
      </x:c>
      <x:c r="C2124" s="17" t="str">
        <x:v>W0156</x:v>
      </x:c>
      <x:c r="D2124" s="17" t="str">
        <x:v>C003</x:v>
      </x:c>
      <x:c r="E2124" s="17" t="str">
        <x:v>DataFlow</x:v>
      </x:c>
      <x:c r="F2124" s="17" t="str">
        <x:v>Lite</x:v>
      </x:c>
      <x:c r="G2124" s="17" t="n">
        <x:v>16470</x:v>
      </x:c>
      <x:c r="H2124" s="17" t="n">
        <x:v>5477</x:v>
      </x:c>
      <x:c r="I2124" s="17" t="str">
        <x:v>Correction</x:v>
      </x:c>
      <x:c r="J2124" s="27" t="n">
        <x:f>INDEX('Model Pricing'!$B$7:$B$8,MATCH(F2124,'Model Pricing'!$A$7:$A$8,0))</x:f>
        <x:v>10</x:v>
      </x:c>
      <x:c r="K2124" s="27" t="n">
        <x:f>INDEX('Model Pricing'!$C$7:$C$8,MATCH(F2124,'Model Pricing'!$A$7:$A$8,0))</x:f>
        <x:v>30</x:v>
      </x:c>
      <x:c r="L2124" s="17" t="n">
        <x:f>G2124+H2124</x:f>
        <x:v>21947</x:v>
      </x:c>
      <x:c r="M2124" s="28" t="n">
        <x:f>G2124*J2124/1000000</x:f>
        <x:v>0.1647</x:v>
      </x:c>
      <x:c r="N2124" s="28" t="n">
        <x:f>H2124*K2124/1000000</x:f>
        <x:v>0.16431</x:v>
      </x:c>
      <x:c r="O2124" s="28" t="n">
        <x:f>SUM(M2124:N2124)</x:f>
        <x:v>0.32901</x:v>
      </x:c>
    </x:row>
    <x:row r="2125" ht="23" customHeight="1">
      <x:c r="A2125" s="17" t="str">
        <x:v>U02119</x:v>
      </x:c>
      <x:c r="B2125" s="18" t="n">
        <x:v>46274</x:v>
      </x:c>
      <x:c r="C2125" s="17" t="str">
        <x:v>W0156</x:v>
      </x:c>
      <x:c r="D2125" s="17" t="str">
        <x:v>C003</x:v>
      </x:c>
      <x:c r="E2125" s="17" t="str">
        <x:v>DataFlow</x:v>
      </x:c>
      <x:c r="F2125" s="17" t="str">
        <x:v>Lite</x:v>
      </x:c>
      <x:c r="G2125" s="17" t="n">
        <x:v>10007</x:v>
      </x:c>
      <x:c r="H2125" s="17" t="n">
        <x:v>4391</x:v>
      </x:c>
      <x:c r="I2125" s="17" t="str">
        <x:v>Followup</x:v>
      </x:c>
      <x:c r="J2125" s="27" t="n">
        <x:f>INDEX('Model Pricing'!$B$7:$B$8,MATCH(F2125,'Model Pricing'!$A$7:$A$8,0))</x:f>
        <x:v>10</x:v>
      </x:c>
      <x:c r="K2125" s="27" t="n">
        <x:f>INDEX('Model Pricing'!$C$7:$C$8,MATCH(F2125,'Model Pricing'!$A$7:$A$8,0))</x:f>
        <x:v>30</x:v>
      </x:c>
      <x:c r="L2125" s="17" t="n">
        <x:f>G2125+H2125</x:f>
        <x:v>14398</x:v>
      </x:c>
      <x:c r="M2125" s="28" t="n">
        <x:f>G2125*J2125/1000000</x:f>
        <x:v>0.10007</x:v>
      </x:c>
      <x:c r="N2125" s="28" t="n">
        <x:f>H2125*K2125/1000000</x:f>
        <x:v>0.13173</x:v>
      </x:c>
      <x:c r="O2125" s="28" t="n">
        <x:f>SUM(M2125:N2125)</x:f>
        <x:v>0.2318</x:v>
      </x:c>
    </x:row>
    <x:row r="2126" ht="23" customHeight="1">
      <x:c r="A2126" s="17" t="str">
        <x:v>U02120</x:v>
      </x:c>
      <x:c r="B2126" s="18" t="n">
        <x:v>46280</x:v>
      </x:c>
      <x:c r="C2126" s="17" t="str">
        <x:v>W0157</x:v>
      </x:c>
      <x:c r="D2126" s="17" t="str">
        <x:v>C003</x:v>
      </x:c>
      <x:c r="E2126" s="17" t="str">
        <x:v>InsightDesk</x:v>
      </x:c>
      <x:c r="F2126" s="17" t="str">
        <x:v>Lite</x:v>
      </x:c>
      <x:c r="G2126" s="17" t="n">
        <x:v>25968</x:v>
      </x:c>
      <x:c r="H2126" s="17" t="n">
        <x:v>3463</x:v>
      </x:c>
      <x:c r="I2126" s="17" t="str">
        <x:v>First attempt</x:v>
      </x:c>
      <x:c r="J2126" s="27" t="n">
        <x:f>INDEX('Model Pricing'!$B$7:$B$8,MATCH(F2126,'Model Pricing'!$A$7:$A$8,0))</x:f>
        <x:v>10</x:v>
      </x:c>
      <x:c r="K2126" s="27" t="n">
        <x:f>INDEX('Model Pricing'!$C$7:$C$8,MATCH(F2126,'Model Pricing'!$A$7:$A$8,0))</x:f>
        <x:v>30</x:v>
      </x:c>
      <x:c r="L2126" s="17" t="n">
        <x:f>G2126+H2126</x:f>
        <x:v>29431</x:v>
      </x:c>
      <x:c r="M2126" s="28" t="n">
        <x:f>G2126*J2126/1000000</x:f>
        <x:v>0.25968</x:v>
      </x:c>
      <x:c r="N2126" s="28" t="n">
        <x:f>H2126*K2126/1000000</x:f>
        <x:v>0.10389</x:v>
      </x:c>
      <x:c r="O2126" s="28" t="n">
        <x:f>SUM(M2126:N2126)</x:f>
        <x:v>0.36357</x:v>
      </x:c>
    </x:row>
    <x:row r="2127" ht="23" customHeight="1">
      <x:c r="A2127" s="17" t="str">
        <x:v>U02121</x:v>
      </x:c>
      <x:c r="B2127" s="18" t="n">
        <x:v>46280</x:v>
      </x:c>
      <x:c r="C2127" s="17" t="str">
        <x:v>W0157</x:v>
      </x:c>
      <x:c r="D2127" s="17" t="str">
        <x:v>C003</x:v>
      </x:c>
      <x:c r="E2127" s="17" t="str">
        <x:v>InsightDesk</x:v>
      </x:c>
      <x:c r="F2127" s="17" t="str">
        <x:v>Lite</x:v>
      </x:c>
      <x:c r="G2127" s="17" t="n">
        <x:v>14947</x:v>
      </x:c>
      <x:c r="H2127" s="17" t="n">
        <x:v>4334</x:v>
      </x:c>
      <x:c r="I2127" s="17" t="str">
        <x:v>Followup</x:v>
      </x:c>
      <x:c r="J2127" s="27" t="n">
        <x:f>INDEX('Model Pricing'!$B$7:$B$8,MATCH(F2127,'Model Pricing'!$A$7:$A$8,0))</x:f>
        <x:v>10</x:v>
      </x:c>
      <x:c r="K2127" s="27" t="n">
        <x:f>INDEX('Model Pricing'!$C$7:$C$8,MATCH(F2127,'Model Pricing'!$A$7:$A$8,0))</x:f>
        <x:v>30</x:v>
      </x:c>
      <x:c r="L2127" s="17" t="n">
        <x:f>G2127+H2127</x:f>
        <x:v>19281</x:v>
      </x:c>
      <x:c r="M2127" s="28" t="n">
        <x:f>G2127*J2127/1000000</x:f>
        <x:v>0.14947</x:v>
      </x:c>
      <x:c r="N2127" s="28" t="n">
        <x:f>H2127*K2127/1000000</x:f>
        <x:v>0.13002</x:v>
      </x:c>
      <x:c r="O2127" s="28" t="n">
        <x:f>SUM(M2127:N2127)</x:f>
        <x:v>0.27949</x:v>
      </x:c>
    </x:row>
    <x:row r="2128" ht="23" customHeight="1">
      <x:c r="A2128" s="17" t="str">
        <x:v>U02122</x:v>
      </x:c>
      <x:c r="B2128" s="18" t="n">
        <x:v>46280</x:v>
      </x:c>
      <x:c r="C2128" s="17" t="str">
        <x:v>W0157</x:v>
      </x:c>
      <x:c r="D2128" s="17" t="str">
        <x:v>C003</x:v>
      </x:c>
      <x:c r="E2128" s="17" t="str">
        <x:v>InsightDesk</x:v>
      </x:c>
      <x:c r="F2128" s="17" t="str">
        <x:v>Lite</x:v>
      </x:c>
      <x:c r="G2128" s="17" t="n">
        <x:v>13925</x:v>
      </x:c>
      <x:c r="H2128" s="17" t="n">
        <x:v>3468</x:v>
      </x:c>
      <x:c r="I2128" s="17" t="str">
        <x:v>Correction</x:v>
      </x:c>
      <x:c r="J2128" s="27" t="n">
        <x:f>INDEX('Model Pricing'!$B$7:$B$8,MATCH(F2128,'Model Pricing'!$A$7:$A$8,0))</x:f>
        <x:v>10</x:v>
      </x:c>
      <x:c r="K2128" s="27" t="n">
        <x:f>INDEX('Model Pricing'!$C$7:$C$8,MATCH(F2128,'Model Pricing'!$A$7:$A$8,0))</x:f>
        <x:v>30</x:v>
      </x:c>
      <x:c r="L2128" s="17" t="n">
        <x:f>G2128+H2128</x:f>
        <x:v>17393</x:v>
      </x:c>
      <x:c r="M2128" s="28" t="n">
        <x:f>G2128*J2128/1000000</x:f>
        <x:v>0.13925</x:v>
      </x:c>
      <x:c r="N2128" s="28" t="n">
        <x:f>H2128*K2128/1000000</x:f>
        <x:v>0.10404</x:v>
      </x:c>
      <x:c r="O2128" s="28" t="n">
        <x:f>SUM(M2128:N2128)</x:f>
        <x:v>0.24329</x:v>
      </x:c>
    </x:row>
    <x:row r="2129" ht="23" customHeight="1">
      <x:c r="A2129" s="17" t="str">
        <x:v>U02123</x:v>
      </x:c>
      <x:c r="B2129" s="18" t="n">
        <x:v>46281</x:v>
      </x:c>
      <x:c r="C2129" s="17" t="str">
        <x:v>W0157</x:v>
      </x:c>
      <x:c r="D2129" s="17" t="str">
        <x:v>C003</x:v>
      </x:c>
      <x:c r="E2129" s="17" t="str">
        <x:v>InsightDesk</x:v>
      </x:c>
      <x:c r="F2129" s="17" t="str">
        <x:v>Lite</x:v>
      </x:c>
      <x:c r="G2129" s="17" t="n">
        <x:v>27361</x:v>
      </x:c>
      <x:c r="H2129" s="17" t="n">
        <x:v>5301</x:v>
      </x:c>
      <x:c r="I2129" s="17" t="str">
        <x:v>Followup</x:v>
      </x:c>
      <x:c r="J2129" s="27" t="n">
        <x:f>INDEX('Model Pricing'!$B$7:$B$8,MATCH(F2129,'Model Pricing'!$A$7:$A$8,0))</x:f>
        <x:v>10</x:v>
      </x:c>
      <x:c r="K2129" s="27" t="n">
        <x:f>INDEX('Model Pricing'!$C$7:$C$8,MATCH(F2129,'Model Pricing'!$A$7:$A$8,0))</x:f>
        <x:v>30</x:v>
      </x:c>
      <x:c r="L2129" s="17" t="n">
        <x:f>G2129+H2129</x:f>
        <x:v>32662</x:v>
      </x:c>
      <x:c r="M2129" s="28" t="n">
        <x:f>G2129*J2129/1000000</x:f>
        <x:v>0.27361</x:v>
      </x:c>
      <x:c r="N2129" s="28" t="n">
        <x:f>H2129*K2129/1000000</x:f>
        <x:v>0.15903</x:v>
      </x:c>
      <x:c r="O2129" s="28" t="n">
        <x:f>SUM(M2129:N2129)</x:f>
        <x:v>0.43264</x:v>
      </x:c>
    </x:row>
    <x:row r="2130" ht="23" customHeight="1">
      <x:c r="A2130" s="17" t="str">
        <x:v>U02124</x:v>
      </x:c>
      <x:c r="B2130" s="18" t="n">
        <x:v>46281</x:v>
      </x:c>
      <x:c r="C2130" s="17" t="str">
        <x:v>W0157</x:v>
      </x:c>
      <x:c r="D2130" s="17" t="str">
        <x:v>C003</x:v>
      </x:c>
      <x:c r="E2130" s="17" t="str">
        <x:v>InsightDesk</x:v>
      </x:c>
      <x:c r="F2130" s="17" t="str">
        <x:v>Lite</x:v>
      </x:c>
      <x:c r="G2130" s="17" t="n">
        <x:v>20521</x:v>
      </x:c>
      <x:c r="H2130" s="17" t="n">
        <x:v>6108</x:v>
      </x:c>
      <x:c r="I2130" s="17" t="str">
        <x:v>Followup</x:v>
      </x:c>
      <x:c r="J2130" s="27" t="n">
        <x:f>INDEX('Model Pricing'!$B$7:$B$8,MATCH(F2130,'Model Pricing'!$A$7:$A$8,0))</x:f>
        <x:v>10</x:v>
      </x:c>
      <x:c r="K2130" s="27" t="n">
        <x:f>INDEX('Model Pricing'!$C$7:$C$8,MATCH(F2130,'Model Pricing'!$A$7:$A$8,0))</x:f>
        <x:v>30</x:v>
      </x:c>
      <x:c r="L2130" s="17" t="n">
        <x:f>G2130+H2130</x:f>
        <x:v>26629</x:v>
      </x:c>
      <x:c r="M2130" s="28" t="n">
        <x:f>G2130*J2130/1000000</x:f>
        <x:v>0.20521</x:v>
      </x:c>
      <x:c r="N2130" s="28" t="n">
        <x:f>H2130*K2130/1000000</x:f>
        <x:v>0.18324</x:v>
      </x:c>
      <x:c r="O2130" s="28" t="n">
        <x:f>SUM(M2130:N2130)</x:f>
        <x:v>0.38844999999999996</x:v>
      </x:c>
    </x:row>
    <x:row r="2131" ht="23" customHeight="1">
      <x:c r="A2131" s="17" t="str">
        <x:v>U02125</x:v>
      </x:c>
      <x:c r="B2131" s="18" t="n">
        <x:v>46281</x:v>
      </x:c>
      <x:c r="C2131" s="17" t="str">
        <x:v>W0157</x:v>
      </x:c>
      <x:c r="D2131" s="17" t="str">
        <x:v>C003</x:v>
      </x:c>
      <x:c r="E2131" s="17" t="str">
        <x:v>InsightDesk</x:v>
      </x:c>
      <x:c r="F2131" s="17" t="str">
        <x:v>Lite</x:v>
      </x:c>
      <x:c r="G2131" s="17" t="n">
        <x:v>13043</x:v>
      </x:c>
      <x:c r="H2131" s="17" t="n">
        <x:v>5779</x:v>
      </x:c>
      <x:c r="I2131" s="17" t="str">
        <x:v>Correction</x:v>
      </x:c>
      <x:c r="J2131" s="27" t="n">
        <x:f>INDEX('Model Pricing'!$B$7:$B$8,MATCH(F2131,'Model Pricing'!$A$7:$A$8,0))</x:f>
        <x:v>10</x:v>
      </x:c>
      <x:c r="K2131" s="27" t="n">
        <x:f>INDEX('Model Pricing'!$C$7:$C$8,MATCH(F2131,'Model Pricing'!$A$7:$A$8,0))</x:f>
        <x:v>30</x:v>
      </x:c>
      <x:c r="L2131" s="17" t="n">
        <x:f>G2131+H2131</x:f>
        <x:v>18822</x:v>
      </x:c>
      <x:c r="M2131" s="28" t="n">
        <x:f>G2131*J2131/1000000</x:f>
        <x:v>0.13043</x:v>
      </x:c>
      <x:c r="N2131" s="28" t="n">
        <x:f>H2131*K2131/1000000</x:f>
        <x:v>0.17337</x:v>
      </x:c>
      <x:c r="O2131" s="28" t="n">
        <x:f>SUM(M2131:N2131)</x:f>
        <x:v>0.30379999999999996</x:v>
      </x:c>
    </x:row>
    <x:row r="2132" ht="23" customHeight="1">
      <x:c r="A2132" s="17" t="str">
        <x:v>U02126</x:v>
      </x:c>
      <x:c r="B2132" s="18" t="n">
        <x:v>46282</x:v>
      </x:c>
      <x:c r="C2132" s="17" t="str">
        <x:v>W0157</x:v>
      </x:c>
      <x:c r="D2132" s="17" t="str">
        <x:v>C003</x:v>
      </x:c>
      <x:c r="E2132" s="17" t="str">
        <x:v>InsightDesk</x:v>
      </x:c>
      <x:c r="F2132" s="17" t="str">
        <x:v>Lite</x:v>
      </x:c>
      <x:c r="G2132" s="17" t="n">
        <x:v>28456</x:v>
      </x:c>
      <x:c r="H2132" s="17" t="n">
        <x:v>6929</x:v>
      </x:c>
      <x:c r="I2132" s="17" t="str">
        <x:v>Followup</x:v>
      </x:c>
      <x:c r="J2132" s="27" t="n">
        <x:f>INDEX('Model Pricing'!$B$7:$B$8,MATCH(F2132,'Model Pricing'!$A$7:$A$8,0))</x:f>
        <x:v>10</x:v>
      </x:c>
      <x:c r="K2132" s="27" t="n">
        <x:f>INDEX('Model Pricing'!$C$7:$C$8,MATCH(F2132,'Model Pricing'!$A$7:$A$8,0))</x:f>
        <x:v>30</x:v>
      </x:c>
      <x:c r="L2132" s="17" t="n">
        <x:f>G2132+H2132</x:f>
        <x:v>35385</x:v>
      </x:c>
      <x:c r="M2132" s="28" t="n">
        <x:f>G2132*J2132/1000000</x:f>
        <x:v>0.28456</x:v>
      </x:c>
      <x:c r="N2132" s="28" t="n">
        <x:f>H2132*K2132/1000000</x:f>
        <x:v>0.20787</x:v>
      </x:c>
      <x:c r="O2132" s="28" t="n">
        <x:f>SUM(M2132:N2132)</x:f>
        <x:v>0.49243</x:v>
      </x:c>
    </x:row>
    <x:row r="2133" ht="23" customHeight="1">
      <x:c r="A2133" s="17" t="str">
        <x:v>U02127</x:v>
      </x:c>
      <x:c r="B2133" s="18" t="n">
        <x:v>46282</x:v>
      </x:c>
      <x:c r="C2133" s="17" t="str">
        <x:v>W0157</x:v>
      </x:c>
      <x:c r="D2133" s="17" t="str">
        <x:v>C003</x:v>
      </x:c>
      <x:c r="E2133" s="17" t="str">
        <x:v>InsightDesk</x:v>
      </x:c>
      <x:c r="F2133" s="17" t="str">
        <x:v>Lite</x:v>
      </x:c>
      <x:c r="G2133" s="17" t="n">
        <x:v>18375</x:v>
      </x:c>
      <x:c r="H2133" s="17" t="n">
        <x:v>5592</x:v>
      </x:c>
      <x:c r="I2133" s="17" t="str">
        <x:v>Followup</x:v>
      </x:c>
      <x:c r="J2133" s="27" t="n">
        <x:f>INDEX('Model Pricing'!$B$7:$B$8,MATCH(F2133,'Model Pricing'!$A$7:$A$8,0))</x:f>
        <x:v>10</x:v>
      </x:c>
      <x:c r="K2133" s="27" t="n">
        <x:f>INDEX('Model Pricing'!$C$7:$C$8,MATCH(F2133,'Model Pricing'!$A$7:$A$8,0))</x:f>
        <x:v>30</x:v>
      </x:c>
      <x:c r="L2133" s="17" t="n">
        <x:f>G2133+H2133</x:f>
        <x:v>23967</x:v>
      </x:c>
      <x:c r="M2133" s="28" t="n">
        <x:f>G2133*J2133/1000000</x:f>
        <x:v>0.18375</x:v>
      </x:c>
      <x:c r="N2133" s="28" t="n">
        <x:f>H2133*K2133/1000000</x:f>
        <x:v>0.16776</x:v>
      </x:c>
      <x:c r="O2133" s="28" t="n">
        <x:f>SUM(M2133:N2133)</x:f>
        <x:v>0.35151</x:v>
      </x:c>
    </x:row>
    <x:row r="2134" ht="23" customHeight="1">
      <x:c r="A2134" s="17" t="str">
        <x:v>U02128</x:v>
      </x:c>
      <x:c r="B2134" s="18" t="n">
        <x:v>46282</x:v>
      </x:c>
      <x:c r="C2134" s="17" t="str">
        <x:v>W0157</x:v>
      </x:c>
      <x:c r="D2134" s="17" t="str">
        <x:v>C003</x:v>
      </x:c>
      <x:c r="E2134" s="17" t="str">
        <x:v>InsightDesk</x:v>
      </x:c>
      <x:c r="F2134" s="17" t="str">
        <x:v>Lite</x:v>
      </x:c>
      <x:c r="G2134" s="17" t="n">
        <x:v>13750</x:v>
      </x:c>
      <x:c r="H2134" s="17" t="n">
        <x:v>4028</x:v>
      </x:c>
      <x:c r="I2134" s="17" t="str">
        <x:v>Followup</x:v>
      </x:c>
      <x:c r="J2134" s="27" t="n">
        <x:f>INDEX('Model Pricing'!$B$7:$B$8,MATCH(F2134,'Model Pricing'!$A$7:$A$8,0))</x:f>
        <x:v>10</x:v>
      </x:c>
      <x:c r="K2134" s="27" t="n">
        <x:f>INDEX('Model Pricing'!$C$7:$C$8,MATCH(F2134,'Model Pricing'!$A$7:$A$8,0))</x:f>
        <x:v>30</x:v>
      </x:c>
      <x:c r="L2134" s="17" t="n">
        <x:f>G2134+H2134</x:f>
        <x:v>17778</x:v>
      </x:c>
      <x:c r="M2134" s="28" t="n">
        <x:f>G2134*J2134/1000000</x:f>
        <x:v>0.1375</x:v>
      </x:c>
      <x:c r="N2134" s="28" t="n">
        <x:f>H2134*K2134/1000000</x:f>
        <x:v>0.12084</x:v>
      </x:c>
      <x:c r="O2134" s="28" t="n">
        <x:f>SUM(M2134:N2134)</x:f>
        <x:v>0.25834</x:v>
      </x:c>
    </x:row>
    <x:row r="2135" ht="23" customHeight="1">
      <x:c r="A2135" s="17" t="str">
        <x:v>U02129</x:v>
      </x:c>
      <x:c r="B2135" s="18" t="n">
        <x:v>46283</x:v>
      </x:c>
      <x:c r="C2135" s="17" t="str">
        <x:v>W0157</x:v>
      </x:c>
      <x:c r="D2135" s="17" t="str">
        <x:v>C003</x:v>
      </x:c>
      <x:c r="E2135" s="17" t="str">
        <x:v>InsightDesk</x:v>
      </x:c>
      <x:c r="F2135" s="17" t="str">
        <x:v>Lite</x:v>
      </x:c>
      <x:c r="G2135" s="17" t="n">
        <x:v>18960</x:v>
      </x:c>
      <x:c r="H2135" s="17" t="n">
        <x:v>6702</x:v>
      </x:c>
      <x:c r="I2135" s="17" t="str">
        <x:v>Followup</x:v>
      </x:c>
      <x:c r="J2135" s="27" t="n">
        <x:f>INDEX('Model Pricing'!$B$7:$B$8,MATCH(F2135,'Model Pricing'!$A$7:$A$8,0))</x:f>
        <x:v>10</x:v>
      </x:c>
      <x:c r="K2135" s="27" t="n">
        <x:f>INDEX('Model Pricing'!$C$7:$C$8,MATCH(F2135,'Model Pricing'!$A$7:$A$8,0))</x:f>
        <x:v>30</x:v>
      </x:c>
      <x:c r="L2135" s="17" t="n">
        <x:f>G2135+H2135</x:f>
        <x:v>25662</x:v>
      </x:c>
      <x:c r="M2135" s="28" t="n">
        <x:f>G2135*J2135/1000000</x:f>
        <x:v>0.1896</x:v>
      </x:c>
      <x:c r="N2135" s="28" t="n">
        <x:f>H2135*K2135/1000000</x:f>
        <x:v>0.20106</x:v>
      </x:c>
      <x:c r="O2135" s="28" t="n">
        <x:f>SUM(M2135:N2135)</x:f>
        <x:v>0.39066</x:v>
      </x:c>
    </x:row>
    <x:row r="2136" ht="23" customHeight="1">
      <x:c r="A2136" s="17" t="str">
        <x:v>U02130</x:v>
      </x:c>
      <x:c r="B2136" s="18" t="n">
        <x:v>46283</x:v>
      </x:c>
      <x:c r="C2136" s="17" t="str">
        <x:v>W0157</x:v>
      </x:c>
      <x:c r="D2136" s="17" t="str">
        <x:v>C003</x:v>
      </x:c>
      <x:c r="E2136" s="17" t="str">
        <x:v>InsightDesk</x:v>
      </x:c>
      <x:c r="F2136" s="17" t="str">
        <x:v>Lite</x:v>
      </x:c>
      <x:c r="G2136" s="17" t="n">
        <x:v>27374</x:v>
      </x:c>
      <x:c r="H2136" s="17" t="n">
        <x:v>5560</x:v>
      </x:c>
      <x:c r="I2136" s="17" t="str">
        <x:v>Correction</x:v>
      </x:c>
      <x:c r="J2136" s="27" t="n">
        <x:f>INDEX('Model Pricing'!$B$7:$B$8,MATCH(F2136,'Model Pricing'!$A$7:$A$8,0))</x:f>
        <x:v>10</x:v>
      </x:c>
      <x:c r="K2136" s="27" t="n">
        <x:f>INDEX('Model Pricing'!$C$7:$C$8,MATCH(F2136,'Model Pricing'!$A$7:$A$8,0))</x:f>
        <x:v>30</x:v>
      </x:c>
      <x:c r="L2136" s="17" t="n">
        <x:f>G2136+H2136</x:f>
        <x:v>32934</x:v>
      </x:c>
      <x:c r="M2136" s="28" t="n">
        <x:f>G2136*J2136/1000000</x:f>
        <x:v>0.27374</x:v>
      </x:c>
      <x:c r="N2136" s="28" t="n">
        <x:f>H2136*K2136/1000000</x:f>
        <x:v>0.1668</x:v>
      </x:c>
      <x:c r="O2136" s="28" t="n">
        <x:f>SUM(M2136:N2136)</x:f>
        <x:v>0.44054</x:v>
      </x:c>
    </x:row>
    <x:row r="2137" ht="23" customHeight="1">
      <x:c r="A2137" s="17" t="str">
        <x:v>U02131</x:v>
      </x:c>
      <x:c r="B2137" s="18" t="n">
        <x:v>46283</x:v>
      </x:c>
      <x:c r="C2137" s="17" t="str">
        <x:v>W0157</x:v>
      </x:c>
      <x:c r="D2137" s="17" t="str">
        <x:v>C003</x:v>
      </x:c>
      <x:c r="E2137" s="17" t="str">
        <x:v>InsightDesk</x:v>
      </x:c>
      <x:c r="F2137" s="17" t="str">
        <x:v>Lite</x:v>
      </x:c>
      <x:c r="G2137" s="17" t="n">
        <x:v>17698</x:v>
      </x:c>
      <x:c r="H2137" s="17" t="n">
        <x:v>5966</x:v>
      </x:c>
      <x:c r="I2137" s="17" t="str">
        <x:v>Followup</x:v>
      </x:c>
      <x:c r="J2137" s="27" t="n">
        <x:f>INDEX('Model Pricing'!$B$7:$B$8,MATCH(F2137,'Model Pricing'!$A$7:$A$8,0))</x:f>
        <x:v>10</x:v>
      </x:c>
      <x:c r="K2137" s="27" t="n">
        <x:f>INDEX('Model Pricing'!$C$7:$C$8,MATCH(F2137,'Model Pricing'!$A$7:$A$8,0))</x:f>
        <x:v>30</x:v>
      </x:c>
      <x:c r="L2137" s="17" t="n">
        <x:f>G2137+H2137</x:f>
        <x:v>23664</x:v>
      </x:c>
      <x:c r="M2137" s="28" t="n">
        <x:f>G2137*J2137/1000000</x:f>
        <x:v>0.17698</x:v>
      </x:c>
      <x:c r="N2137" s="28" t="n">
        <x:f>H2137*K2137/1000000</x:f>
        <x:v>0.17898</x:v>
      </x:c>
      <x:c r="O2137" s="28" t="n">
        <x:f>SUM(M2137:N2137)</x:f>
        <x:v>0.35596</x:v>
      </x:c>
    </x:row>
    <x:row r="2138" ht="23" customHeight="1">
      <x:c r="A2138" s="17" t="str">
        <x:v>U02132</x:v>
      </x:c>
      <x:c r="B2138" s="18" t="n">
        <x:v>46289</x:v>
      </x:c>
      <x:c r="C2138" s="17" t="str">
        <x:v>W0158</x:v>
      </x:c>
      <x:c r="D2138" s="17" t="str">
        <x:v>C003</x:v>
      </x:c>
      <x:c r="E2138" s="17" t="str">
        <x:v>InsightDesk</x:v>
      </x:c>
      <x:c r="F2138" s="17" t="str">
        <x:v>Lite</x:v>
      </x:c>
      <x:c r="G2138" s="17" t="n">
        <x:v>15060</x:v>
      </x:c>
      <x:c r="H2138" s="17" t="n">
        <x:v>5010</x:v>
      </x:c>
      <x:c r="I2138" s="17" t="str">
        <x:v>First attempt</x:v>
      </x:c>
      <x:c r="J2138" s="27" t="n">
        <x:f>INDEX('Model Pricing'!$B$7:$B$8,MATCH(F2138,'Model Pricing'!$A$7:$A$8,0))</x:f>
        <x:v>10</x:v>
      </x:c>
      <x:c r="K2138" s="27" t="n">
        <x:f>INDEX('Model Pricing'!$C$7:$C$8,MATCH(F2138,'Model Pricing'!$A$7:$A$8,0))</x:f>
        <x:v>30</x:v>
      </x:c>
      <x:c r="L2138" s="17" t="n">
        <x:f>G2138+H2138</x:f>
        <x:v>20070</x:v>
      </x:c>
      <x:c r="M2138" s="28" t="n">
        <x:f>G2138*J2138/1000000</x:f>
        <x:v>0.1506</x:v>
      </x:c>
      <x:c r="N2138" s="28" t="n">
        <x:f>H2138*K2138/1000000</x:f>
        <x:v>0.1503</x:v>
      </x:c>
      <x:c r="O2138" s="28" t="n">
        <x:f>SUM(M2138:N2138)</x:f>
        <x:v>0.3009</x:v>
      </x:c>
    </x:row>
    <x:row r="2139" ht="23" customHeight="1">
      <x:c r="A2139" s="17" t="str">
        <x:v>U02133</x:v>
      </x:c>
      <x:c r="B2139" s="18" t="n">
        <x:v>46289</x:v>
      </x:c>
      <x:c r="C2139" s="17" t="str">
        <x:v>W0158</x:v>
      </x:c>
      <x:c r="D2139" s="17" t="str">
        <x:v>C003</x:v>
      </x:c>
      <x:c r="E2139" s="17" t="str">
        <x:v>InsightDesk</x:v>
      </x:c>
      <x:c r="F2139" s="17" t="str">
        <x:v>Lite</x:v>
      </x:c>
      <x:c r="G2139" s="17" t="n">
        <x:v>18981</x:v>
      </x:c>
      <x:c r="H2139" s="17" t="n">
        <x:v>6953</x:v>
      </x:c>
      <x:c r="I2139" s="17" t="str">
        <x:v>Followup</x:v>
      </x:c>
      <x:c r="J2139" s="27" t="n">
        <x:f>INDEX('Model Pricing'!$B$7:$B$8,MATCH(F2139,'Model Pricing'!$A$7:$A$8,0))</x:f>
        <x:v>10</x:v>
      </x:c>
      <x:c r="K2139" s="27" t="n">
        <x:f>INDEX('Model Pricing'!$C$7:$C$8,MATCH(F2139,'Model Pricing'!$A$7:$A$8,0))</x:f>
        <x:v>30</x:v>
      </x:c>
      <x:c r="L2139" s="17" t="n">
        <x:f>G2139+H2139</x:f>
        <x:v>25934</x:v>
      </x:c>
      <x:c r="M2139" s="28" t="n">
        <x:f>G2139*J2139/1000000</x:f>
        <x:v>0.18981</x:v>
      </x:c>
      <x:c r="N2139" s="28" t="n">
        <x:f>H2139*K2139/1000000</x:f>
        <x:v>0.20859</x:v>
      </x:c>
      <x:c r="O2139" s="28" t="n">
        <x:f>SUM(M2139:N2139)</x:f>
        <x:v>0.3984</x:v>
      </x:c>
    </x:row>
    <x:row r="2140" ht="23" customHeight="1">
      <x:c r="A2140" s="17" t="str">
        <x:v>U02134</x:v>
      </x:c>
      <x:c r="B2140" s="18" t="n">
        <x:v>46289</x:v>
      </x:c>
      <x:c r="C2140" s="17" t="str">
        <x:v>W0158</x:v>
      </x:c>
      <x:c r="D2140" s="17" t="str">
        <x:v>C003</x:v>
      </x:c>
      <x:c r="E2140" s="17" t="str">
        <x:v>InsightDesk</x:v>
      </x:c>
      <x:c r="F2140" s="17" t="str">
        <x:v>Lite</x:v>
      </x:c>
      <x:c r="G2140" s="17" t="n">
        <x:v>12061</x:v>
      </x:c>
      <x:c r="H2140" s="17" t="n">
        <x:v>7320</x:v>
      </x:c>
      <x:c r="I2140" s="17" t="str">
        <x:v>Correction</x:v>
      </x:c>
      <x:c r="J2140" s="27" t="n">
        <x:f>INDEX('Model Pricing'!$B$7:$B$8,MATCH(F2140,'Model Pricing'!$A$7:$A$8,0))</x:f>
        <x:v>10</x:v>
      </x:c>
      <x:c r="K2140" s="27" t="n">
        <x:f>INDEX('Model Pricing'!$C$7:$C$8,MATCH(F2140,'Model Pricing'!$A$7:$A$8,0))</x:f>
        <x:v>30</x:v>
      </x:c>
      <x:c r="L2140" s="17" t="n">
        <x:f>G2140+H2140</x:f>
        <x:v>19381</x:v>
      </x:c>
      <x:c r="M2140" s="28" t="n">
        <x:f>G2140*J2140/1000000</x:f>
        <x:v>0.12061</x:v>
      </x:c>
      <x:c r="N2140" s="28" t="n">
        <x:f>H2140*K2140/1000000</x:f>
        <x:v>0.2196</x:v>
      </x:c>
      <x:c r="O2140" s="28" t="n">
        <x:f>SUM(M2140:N2140)</x:f>
        <x:v>0.34021</x:v>
      </x:c>
    </x:row>
    <x:row r="2141" ht="23" customHeight="1">
      <x:c r="A2141" s="17" t="str">
        <x:v>U02135</x:v>
      </x:c>
      <x:c r="B2141" s="18" t="n">
        <x:v>46289</x:v>
      </x:c>
      <x:c r="C2141" s="17" t="str">
        <x:v>W0158</x:v>
      </x:c>
      <x:c r="D2141" s="17" t="str">
        <x:v>C003</x:v>
      </x:c>
      <x:c r="E2141" s="17" t="str">
        <x:v>InsightDesk</x:v>
      </x:c>
      <x:c r="F2141" s="17" t="str">
        <x:v>Lite</x:v>
      </x:c>
      <x:c r="G2141" s="17" t="n">
        <x:v>16187</x:v>
      </x:c>
      <x:c r="H2141" s="17" t="n">
        <x:v>5774</x:v>
      </x:c>
      <x:c r="I2141" s="17" t="str">
        <x:v>Followup</x:v>
      </x:c>
      <x:c r="J2141" s="27" t="n">
        <x:f>INDEX('Model Pricing'!$B$7:$B$8,MATCH(F2141,'Model Pricing'!$A$7:$A$8,0))</x:f>
        <x:v>10</x:v>
      </x:c>
      <x:c r="K2141" s="27" t="n">
        <x:f>INDEX('Model Pricing'!$C$7:$C$8,MATCH(F2141,'Model Pricing'!$A$7:$A$8,0))</x:f>
        <x:v>30</x:v>
      </x:c>
      <x:c r="L2141" s="17" t="n">
        <x:f>G2141+H2141</x:f>
        <x:v>21961</x:v>
      </x:c>
      <x:c r="M2141" s="28" t="n">
        <x:f>G2141*J2141/1000000</x:f>
        <x:v>0.16187</x:v>
      </x:c>
      <x:c r="N2141" s="28" t="n">
        <x:f>H2141*K2141/1000000</x:f>
        <x:v>0.17322</x:v>
      </x:c>
      <x:c r="O2141" s="28" t="n">
        <x:f>SUM(M2141:N2141)</x:f>
        <x:v>0.33509</x:v>
      </x:c>
    </x:row>
    <x:row r="2142" ht="23" customHeight="1">
      <x:c r="A2142" s="17" t="str">
        <x:v>U02136</x:v>
      </x:c>
      <x:c r="B2142" s="18" t="n">
        <x:v>46290</x:v>
      </x:c>
      <x:c r="C2142" s="17" t="str">
        <x:v>W0158</x:v>
      </x:c>
      <x:c r="D2142" s="17" t="str">
        <x:v>C003</x:v>
      </x:c>
      <x:c r="E2142" s="17" t="str">
        <x:v>InsightDesk</x:v>
      </x:c>
      <x:c r="F2142" s="17" t="str">
        <x:v>Lite</x:v>
      </x:c>
      <x:c r="G2142" s="17" t="n">
        <x:v>22611</x:v>
      </x:c>
      <x:c r="H2142" s="17" t="n">
        <x:v>3236</x:v>
      </x:c>
      <x:c r="I2142" s="17" t="str">
        <x:v>Correction</x:v>
      </x:c>
      <x:c r="J2142" s="27" t="n">
        <x:f>INDEX('Model Pricing'!$B$7:$B$8,MATCH(F2142,'Model Pricing'!$A$7:$A$8,0))</x:f>
        <x:v>10</x:v>
      </x:c>
      <x:c r="K2142" s="27" t="n">
        <x:f>INDEX('Model Pricing'!$C$7:$C$8,MATCH(F2142,'Model Pricing'!$A$7:$A$8,0))</x:f>
        <x:v>30</x:v>
      </x:c>
      <x:c r="L2142" s="17" t="n">
        <x:f>G2142+H2142</x:f>
        <x:v>25847</x:v>
      </x:c>
      <x:c r="M2142" s="28" t="n">
        <x:f>G2142*J2142/1000000</x:f>
        <x:v>0.22611</x:v>
      </x:c>
      <x:c r="N2142" s="28" t="n">
        <x:f>H2142*K2142/1000000</x:f>
        <x:v>0.09708</x:v>
      </x:c>
      <x:c r="O2142" s="28" t="n">
        <x:f>SUM(M2142:N2142)</x:f>
        <x:v>0.32319</x:v>
      </x:c>
    </x:row>
    <x:row r="2143" ht="23" customHeight="1">
      <x:c r="A2143" s="17" t="str">
        <x:v>U02137</x:v>
      </x:c>
      <x:c r="B2143" s="18" t="n">
        <x:v>46290</x:v>
      </x:c>
      <x:c r="C2143" s="17" t="str">
        <x:v>W0158</x:v>
      </x:c>
      <x:c r="D2143" s="17" t="str">
        <x:v>C003</x:v>
      </x:c>
      <x:c r="E2143" s="17" t="str">
        <x:v>InsightDesk</x:v>
      </x:c>
      <x:c r="F2143" s="17" t="str">
        <x:v>Lite</x:v>
      </x:c>
      <x:c r="G2143" s="17" t="n">
        <x:v>26117</x:v>
      </x:c>
      <x:c r="H2143" s="17" t="n">
        <x:v>7150</x:v>
      </x:c>
      <x:c r="I2143" s="17" t="str">
        <x:v>Followup</x:v>
      </x:c>
      <x:c r="J2143" s="27" t="n">
        <x:f>INDEX('Model Pricing'!$B$7:$B$8,MATCH(F2143,'Model Pricing'!$A$7:$A$8,0))</x:f>
        <x:v>10</x:v>
      </x:c>
      <x:c r="K2143" s="27" t="n">
        <x:f>INDEX('Model Pricing'!$C$7:$C$8,MATCH(F2143,'Model Pricing'!$A$7:$A$8,0))</x:f>
        <x:v>30</x:v>
      </x:c>
      <x:c r="L2143" s="17" t="n">
        <x:f>G2143+H2143</x:f>
        <x:v>33267</x:v>
      </x:c>
      <x:c r="M2143" s="28" t="n">
        <x:f>G2143*J2143/1000000</x:f>
        <x:v>0.26117</x:v>
      </x:c>
      <x:c r="N2143" s="28" t="n">
        <x:f>H2143*K2143/1000000</x:f>
        <x:v>0.2145</x:v>
      </x:c>
      <x:c r="O2143" s="28" t="n">
        <x:f>SUM(M2143:N2143)</x:f>
        <x:v>0.47567000000000004</x:v>
      </x:c>
    </x:row>
    <x:row r="2144" ht="23" customHeight="1">
      <x:c r="A2144" s="17" t="str">
        <x:v>U02138</x:v>
      </x:c>
      <x:c r="B2144" s="18" t="n">
        <x:v>46290</x:v>
      </x:c>
      <x:c r="C2144" s="17" t="str">
        <x:v>W0158</x:v>
      </x:c>
      <x:c r="D2144" s="17" t="str">
        <x:v>C003</x:v>
      </x:c>
      <x:c r="E2144" s="17" t="str">
        <x:v>InsightDesk</x:v>
      </x:c>
      <x:c r="F2144" s="17" t="str">
        <x:v>Lite</x:v>
      </x:c>
      <x:c r="G2144" s="17" t="n">
        <x:v>22459</x:v>
      </x:c>
      <x:c r="H2144" s="17" t="n">
        <x:v>3909</x:v>
      </x:c>
      <x:c r="I2144" s="17" t="str">
        <x:v>Followup</x:v>
      </x:c>
      <x:c r="J2144" s="27" t="n">
        <x:f>INDEX('Model Pricing'!$B$7:$B$8,MATCH(F2144,'Model Pricing'!$A$7:$A$8,0))</x:f>
        <x:v>10</x:v>
      </x:c>
      <x:c r="K2144" s="27" t="n">
        <x:f>INDEX('Model Pricing'!$C$7:$C$8,MATCH(F2144,'Model Pricing'!$A$7:$A$8,0))</x:f>
        <x:v>30</x:v>
      </x:c>
      <x:c r="L2144" s="17" t="n">
        <x:f>G2144+H2144</x:f>
        <x:v>26368</x:v>
      </x:c>
      <x:c r="M2144" s="28" t="n">
        <x:f>G2144*J2144/1000000</x:f>
        <x:v>0.22459</x:v>
      </x:c>
      <x:c r="N2144" s="28" t="n">
        <x:f>H2144*K2144/1000000</x:f>
        <x:v>0.11727</x:v>
      </x:c>
      <x:c r="O2144" s="28" t="n">
        <x:f>SUM(M2144:N2144)</x:f>
        <x:v>0.34186</x:v>
      </x:c>
    </x:row>
    <x:row r="2145" ht="23" customHeight="1">
      <x:c r="A2145" s="17" t="str">
        <x:v>U02139</x:v>
      </x:c>
      <x:c r="B2145" s="18" t="n">
        <x:v>46293</x:v>
      </x:c>
      <x:c r="C2145" s="17" t="str">
        <x:v>W0158</x:v>
      </x:c>
      <x:c r="D2145" s="17" t="str">
        <x:v>C003</x:v>
      </x:c>
      <x:c r="E2145" s="17" t="str">
        <x:v>InsightDesk</x:v>
      </x:c>
      <x:c r="F2145" s="17" t="str">
        <x:v>Lite</x:v>
      </x:c>
      <x:c r="G2145" s="17" t="n">
        <x:v>12412</x:v>
      </x:c>
      <x:c r="H2145" s="17" t="n">
        <x:v>7442</x:v>
      </x:c>
      <x:c r="I2145" s="17" t="str">
        <x:v>Followup</x:v>
      </x:c>
      <x:c r="J2145" s="27" t="n">
        <x:f>INDEX('Model Pricing'!$B$7:$B$8,MATCH(F2145,'Model Pricing'!$A$7:$A$8,0))</x:f>
        <x:v>10</x:v>
      </x:c>
      <x:c r="K2145" s="27" t="n">
        <x:f>INDEX('Model Pricing'!$C$7:$C$8,MATCH(F2145,'Model Pricing'!$A$7:$A$8,0))</x:f>
        <x:v>30</x:v>
      </x:c>
      <x:c r="L2145" s="17" t="n">
        <x:f>G2145+H2145</x:f>
        <x:v>19854</x:v>
      </x:c>
      <x:c r="M2145" s="28" t="n">
        <x:f>G2145*J2145/1000000</x:f>
        <x:v>0.12412</x:v>
      </x:c>
      <x:c r="N2145" s="28" t="n">
        <x:f>H2145*K2145/1000000</x:f>
        <x:v>0.22326</x:v>
      </x:c>
      <x:c r="O2145" s="28" t="n">
        <x:f>SUM(M2145:N2145)</x:f>
        <x:v>0.34737999999999997</x:v>
      </x:c>
    </x:row>
    <x:row r="2146" ht="23" customHeight="1">
      <x:c r="A2146" s="17" t="str">
        <x:v>U02140</x:v>
      </x:c>
      <x:c r="B2146" s="18" t="n">
        <x:v>46293</x:v>
      </x:c>
      <x:c r="C2146" s="17" t="str">
        <x:v>W0158</x:v>
      </x:c>
      <x:c r="D2146" s="17" t="str">
        <x:v>C003</x:v>
      </x:c>
      <x:c r="E2146" s="17" t="str">
        <x:v>InsightDesk</x:v>
      </x:c>
      <x:c r="F2146" s="17" t="str">
        <x:v>Lite</x:v>
      </x:c>
      <x:c r="G2146" s="17" t="n">
        <x:v>25707</x:v>
      </x:c>
      <x:c r="H2146" s="17" t="n">
        <x:v>3208</x:v>
      </x:c>
      <x:c r="I2146" s="17" t="str">
        <x:v>Followup</x:v>
      </x:c>
      <x:c r="J2146" s="27" t="n">
        <x:f>INDEX('Model Pricing'!$B$7:$B$8,MATCH(F2146,'Model Pricing'!$A$7:$A$8,0))</x:f>
        <x:v>10</x:v>
      </x:c>
      <x:c r="K2146" s="27" t="n">
        <x:f>INDEX('Model Pricing'!$C$7:$C$8,MATCH(F2146,'Model Pricing'!$A$7:$A$8,0))</x:f>
        <x:v>30</x:v>
      </x:c>
      <x:c r="L2146" s="17" t="n">
        <x:f>G2146+H2146</x:f>
        <x:v>28915</x:v>
      </x:c>
      <x:c r="M2146" s="28" t="n">
        <x:f>G2146*J2146/1000000</x:f>
        <x:v>0.25707</x:v>
      </x:c>
      <x:c r="N2146" s="28" t="n">
        <x:f>H2146*K2146/1000000</x:f>
        <x:v>0.09624</x:v>
      </x:c>
      <x:c r="O2146" s="28" t="n">
        <x:f>SUM(M2146:N2146)</x:f>
        <x:v>0.35331</x:v>
      </x:c>
    </x:row>
    <x:row r="2147" ht="23" customHeight="1">
      <x:c r="A2147" s="17" t="str">
        <x:v>U02141</x:v>
      </x:c>
      <x:c r="B2147" s="18" t="n">
        <x:v>46293</x:v>
      </x:c>
      <x:c r="C2147" s="17" t="str">
        <x:v>W0158</x:v>
      </x:c>
      <x:c r="D2147" s="17" t="str">
        <x:v>C003</x:v>
      </x:c>
      <x:c r="E2147" s="17" t="str">
        <x:v>InsightDesk</x:v>
      </x:c>
      <x:c r="F2147" s="17" t="str">
        <x:v>Lite</x:v>
      </x:c>
      <x:c r="G2147" s="17" t="n">
        <x:v>14996</x:v>
      </x:c>
      <x:c r="H2147" s="17" t="n">
        <x:v>6165</x:v>
      </x:c>
      <x:c r="I2147" s="17" t="str">
        <x:v>Followup</x:v>
      </x:c>
      <x:c r="J2147" s="27" t="n">
        <x:f>INDEX('Model Pricing'!$B$7:$B$8,MATCH(F2147,'Model Pricing'!$A$7:$A$8,0))</x:f>
        <x:v>10</x:v>
      </x:c>
      <x:c r="K2147" s="27" t="n">
        <x:f>INDEX('Model Pricing'!$C$7:$C$8,MATCH(F2147,'Model Pricing'!$A$7:$A$8,0))</x:f>
        <x:v>30</x:v>
      </x:c>
      <x:c r="L2147" s="17" t="n">
        <x:f>G2147+H2147</x:f>
        <x:v>21161</x:v>
      </x:c>
      <x:c r="M2147" s="28" t="n">
        <x:f>G2147*J2147/1000000</x:f>
        <x:v>0.14996</x:v>
      </x:c>
      <x:c r="N2147" s="28" t="n">
        <x:f>H2147*K2147/1000000</x:f>
        <x:v>0.18495</x:v>
      </x:c>
      <x:c r="O2147" s="28" t="n">
        <x:f>SUM(M2147:N2147)</x:f>
        <x:v>0.33491000000000004</x:v>
      </x:c>
    </x:row>
    <x:row r="2148" ht="23" customHeight="1">
      <x:c r="A2148" s="17" t="str">
        <x:v>U02142</x:v>
      </x:c>
      <x:c r="B2148" s="18" t="n">
        <x:v>46294</x:v>
      </x:c>
      <x:c r="C2148" s="17" t="str">
        <x:v>W0158</x:v>
      </x:c>
      <x:c r="D2148" s="17" t="str">
        <x:v>C003</x:v>
      </x:c>
      <x:c r="E2148" s="17" t="str">
        <x:v>InsightDesk</x:v>
      </x:c>
      <x:c r="F2148" s="17" t="str">
        <x:v>Lite</x:v>
      </x:c>
      <x:c r="G2148" s="17" t="n">
        <x:v>14418</x:v>
      </x:c>
      <x:c r="H2148" s="17" t="n">
        <x:v>6488</x:v>
      </x:c>
      <x:c r="I2148" s="17" t="str">
        <x:v>Correction</x:v>
      </x:c>
      <x:c r="J2148" s="27" t="n">
        <x:f>INDEX('Model Pricing'!$B$7:$B$8,MATCH(F2148,'Model Pricing'!$A$7:$A$8,0))</x:f>
        <x:v>10</x:v>
      </x:c>
      <x:c r="K2148" s="27" t="n">
        <x:f>INDEX('Model Pricing'!$C$7:$C$8,MATCH(F2148,'Model Pricing'!$A$7:$A$8,0))</x:f>
        <x:v>30</x:v>
      </x:c>
      <x:c r="L2148" s="17" t="n">
        <x:f>G2148+H2148</x:f>
        <x:v>20906</x:v>
      </x:c>
      <x:c r="M2148" s="28" t="n">
        <x:f>G2148*J2148/1000000</x:f>
        <x:v>0.14418</x:v>
      </x:c>
      <x:c r="N2148" s="28" t="n">
        <x:f>H2148*K2148/1000000</x:f>
        <x:v>0.19464</x:v>
      </x:c>
      <x:c r="O2148" s="28" t="n">
        <x:f>SUM(M2148:N2148)</x:f>
        <x:v>0.33882</x:v>
      </x:c>
    </x:row>
    <x:row r="2149" ht="23" customHeight="1">
      <x:c r="A2149" s="17" t="str">
        <x:v>U02143</x:v>
      </x:c>
      <x:c r="B2149" s="18" t="n">
        <x:v>46294</x:v>
      </x:c>
      <x:c r="C2149" s="17" t="str">
        <x:v>W0158</x:v>
      </x:c>
      <x:c r="D2149" s="17" t="str">
        <x:v>C003</x:v>
      </x:c>
      <x:c r="E2149" s="17" t="str">
        <x:v>InsightDesk</x:v>
      </x:c>
      <x:c r="F2149" s="17" t="str">
        <x:v>Lite</x:v>
      </x:c>
      <x:c r="G2149" s="17" t="n">
        <x:v>23275</x:v>
      </x:c>
      <x:c r="H2149" s="17" t="n">
        <x:v>2415</x:v>
      </x:c>
      <x:c r="I2149" s="17" t="str">
        <x:v>Followup</x:v>
      </x:c>
      <x:c r="J2149" s="27" t="n">
        <x:f>INDEX('Model Pricing'!$B$7:$B$8,MATCH(F2149,'Model Pricing'!$A$7:$A$8,0))</x:f>
        <x:v>10</x:v>
      </x:c>
      <x:c r="K2149" s="27" t="n">
        <x:f>INDEX('Model Pricing'!$C$7:$C$8,MATCH(F2149,'Model Pricing'!$A$7:$A$8,0))</x:f>
        <x:v>30</x:v>
      </x:c>
      <x:c r="L2149" s="17" t="n">
        <x:f>G2149+H2149</x:f>
        <x:v>25690</x:v>
      </x:c>
      <x:c r="M2149" s="28" t="n">
        <x:f>G2149*J2149/1000000</x:f>
        <x:v>0.23275</x:v>
      </x:c>
      <x:c r="N2149" s="28" t="n">
        <x:f>H2149*K2149/1000000</x:f>
        <x:v>0.07245</x:v>
      </x:c>
      <x:c r="O2149" s="28" t="n">
        <x:f>SUM(M2149:N2149)</x:f>
        <x:v>0.3052</x:v>
      </x:c>
    </x:row>
    <x:row r="2150" ht="23" customHeight="1">
      <x:c r="A2150" s="17" t="str">
        <x:v>U02144</x:v>
      </x:c>
      <x:c r="B2150" s="18" t="n">
        <x:v>46294</x:v>
      </x:c>
      <x:c r="C2150" s="17" t="str">
        <x:v>W0158</x:v>
      </x:c>
      <x:c r="D2150" s="17" t="str">
        <x:v>C003</x:v>
      </x:c>
      <x:c r="E2150" s="17" t="str">
        <x:v>InsightDesk</x:v>
      </x:c>
      <x:c r="F2150" s="17" t="str">
        <x:v>Lite</x:v>
      </x:c>
      <x:c r="G2150" s="17" t="n">
        <x:v>14711</x:v>
      </x:c>
      <x:c r="H2150" s="17" t="n">
        <x:v>2658</x:v>
      </x:c>
      <x:c r="I2150" s="17" t="str">
        <x:v>Followup</x:v>
      </x:c>
      <x:c r="J2150" s="27" t="n">
        <x:f>INDEX('Model Pricing'!$B$7:$B$8,MATCH(F2150,'Model Pricing'!$A$7:$A$8,0))</x:f>
        <x:v>10</x:v>
      </x:c>
      <x:c r="K2150" s="27" t="n">
        <x:f>INDEX('Model Pricing'!$C$7:$C$8,MATCH(F2150,'Model Pricing'!$A$7:$A$8,0))</x:f>
        <x:v>30</x:v>
      </x:c>
      <x:c r="L2150" s="17" t="n">
        <x:f>G2150+H2150</x:f>
        <x:v>17369</x:v>
      </x:c>
      <x:c r="M2150" s="28" t="n">
        <x:f>G2150*J2150/1000000</x:f>
        <x:v>0.14711</x:v>
      </x:c>
      <x:c r="N2150" s="28" t="n">
        <x:f>H2150*K2150/1000000</x:f>
        <x:v>0.07974</x:v>
      </x:c>
      <x:c r="O2150" s="28" t="n">
        <x:f>SUM(M2150:N2150)</x:f>
        <x:v>0.22685</x:v>
      </x:c>
    </x:row>
    <x:row r="2151" ht="23" customHeight="1">
      <x:c r="A2151" s="17" t="str">
        <x:v>U02145</x:v>
      </x:c>
      <x:c r="B2151" s="18" t="n">
        <x:v>46274</x:v>
      </x:c>
      <x:c r="C2151" s="17" t="str">
        <x:v>W0159</x:v>
      </x:c>
      <x:c r="D2151" s="17" t="str">
        <x:v>C003</x:v>
      </x:c>
      <x:c r="E2151" s="17" t="str">
        <x:v>CopyStudio</x:v>
      </x:c>
      <x:c r="F2151" s="17" t="str">
        <x:v>Lite</x:v>
      </x:c>
      <x:c r="G2151" s="17" t="n">
        <x:v>18700</x:v>
      </x:c>
      <x:c r="H2151" s="17" t="n">
        <x:v>7994</x:v>
      </x:c>
      <x:c r="I2151" s="17" t="str">
        <x:v>First attempt</x:v>
      </x:c>
      <x:c r="J2151" s="27" t="n">
        <x:f>INDEX('Model Pricing'!$B$7:$B$8,MATCH(F2151,'Model Pricing'!$A$7:$A$8,0))</x:f>
        <x:v>10</x:v>
      </x:c>
      <x:c r="K2151" s="27" t="n">
        <x:f>INDEX('Model Pricing'!$C$7:$C$8,MATCH(F2151,'Model Pricing'!$A$7:$A$8,0))</x:f>
        <x:v>30</x:v>
      </x:c>
      <x:c r="L2151" s="17" t="n">
        <x:f>G2151+H2151</x:f>
        <x:v>26694</x:v>
      </x:c>
      <x:c r="M2151" s="28" t="n">
        <x:f>G2151*J2151/1000000</x:f>
        <x:v>0.187</x:v>
      </x:c>
      <x:c r="N2151" s="28" t="n">
        <x:f>H2151*K2151/1000000</x:f>
        <x:v>0.23982</x:v>
      </x:c>
      <x:c r="O2151" s="28" t="n">
        <x:f>SUM(M2151:N2151)</x:f>
        <x:v>0.42682</x:v>
      </x:c>
    </x:row>
    <x:row r="2152" ht="23" customHeight="1">
      <x:c r="A2152" s="17" t="str">
        <x:v>U02146</x:v>
      </x:c>
      <x:c r="B2152" s="18" t="n">
        <x:v>46274</x:v>
      </x:c>
      <x:c r="C2152" s="17" t="str">
        <x:v>W0159</x:v>
      </x:c>
      <x:c r="D2152" s="17" t="str">
        <x:v>C003</x:v>
      </x:c>
      <x:c r="E2152" s="17" t="str">
        <x:v>CopyStudio</x:v>
      </x:c>
      <x:c r="F2152" s="17" t="str">
        <x:v>Lite</x:v>
      </x:c>
      <x:c r="G2152" s="17" t="n">
        <x:v>14513</x:v>
      </x:c>
      <x:c r="H2152" s="17" t="n">
        <x:v>9080</x:v>
      </x:c>
      <x:c r="I2152" s="17" t="str">
        <x:v>Followup</x:v>
      </x:c>
      <x:c r="J2152" s="27" t="n">
        <x:f>INDEX('Model Pricing'!$B$7:$B$8,MATCH(F2152,'Model Pricing'!$A$7:$A$8,0))</x:f>
        <x:v>10</x:v>
      </x:c>
      <x:c r="K2152" s="27" t="n">
        <x:f>INDEX('Model Pricing'!$C$7:$C$8,MATCH(F2152,'Model Pricing'!$A$7:$A$8,0))</x:f>
        <x:v>30</x:v>
      </x:c>
      <x:c r="L2152" s="17" t="n">
        <x:f>G2152+H2152</x:f>
        <x:v>23593</x:v>
      </x:c>
      <x:c r="M2152" s="28" t="n">
        <x:f>G2152*J2152/1000000</x:f>
        <x:v>0.14513</x:v>
      </x:c>
      <x:c r="N2152" s="28" t="n">
        <x:f>H2152*K2152/1000000</x:f>
        <x:v>0.2724</x:v>
      </x:c>
      <x:c r="O2152" s="28" t="n">
        <x:f>SUM(M2152:N2152)</x:f>
        <x:v>0.41752999999999996</x:v>
      </x:c>
    </x:row>
    <x:row r="2153" ht="23" customHeight="1">
      <x:c r="A2153" s="17" t="str">
        <x:v>U02147</x:v>
      </x:c>
      <x:c r="B2153" s="18" t="n">
        <x:v>46274</x:v>
      </x:c>
      <x:c r="C2153" s="17" t="str">
        <x:v>W0159</x:v>
      </x:c>
      <x:c r="D2153" s="17" t="str">
        <x:v>C003</x:v>
      </x:c>
      <x:c r="E2153" s="17" t="str">
        <x:v>CopyStudio</x:v>
      </x:c>
      <x:c r="F2153" s="17" t="str">
        <x:v>Lite</x:v>
      </x:c>
      <x:c r="G2153" s="17" t="n">
        <x:v>28741</x:v>
      </x:c>
      <x:c r="H2153" s="17" t="n">
        <x:v>6300</x:v>
      </x:c>
      <x:c r="I2153" s="17" t="str">
        <x:v>Correction</x:v>
      </x:c>
      <x:c r="J2153" s="27" t="n">
        <x:f>INDEX('Model Pricing'!$B$7:$B$8,MATCH(F2153,'Model Pricing'!$A$7:$A$8,0))</x:f>
        <x:v>10</x:v>
      </x:c>
      <x:c r="K2153" s="27" t="n">
        <x:f>INDEX('Model Pricing'!$C$7:$C$8,MATCH(F2153,'Model Pricing'!$A$7:$A$8,0))</x:f>
        <x:v>30</x:v>
      </x:c>
      <x:c r="L2153" s="17" t="n">
        <x:f>G2153+H2153</x:f>
        <x:v>35041</x:v>
      </x:c>
      <x:c r="M2153" s="28" t="n">
        <x:f>G2153*J2153/1000000</x:f>
        <x:v>0.28741</x:v>
      </x:c>
      <x:c r="N2153" s="28" t="n">
        <x:f>H2153*K2153/1000000</x:f>
        <x:v>0.189</x:v>
      </x:c>
      <x:c r="O2153" s="28" t="n">
        <x:f>SUM(M2153:N2153)</x:f>
        <x:v>0.47641</x:v>
      </x:c>
    </x:row>
    <x:row r="2154" ht="23" customHeight="1">
      <x:c r="A2154" s="17" t="str">
        <x:v>U02148</x:v>
      </x:c>
      <x:c r="B2154" s="18" t="n">
        <x:v>46275</x:v>
      </x:c>
      <x:c r="C2154" s="17" t="str">
        <x:v>W0159</x:v>
      </x:c>
      <x:c r="D2154" s="17" t="str">
        <x:v>C003</x:v>
      </x:c>
      <x:c r="E2154" s="17" t="str">
        <x:v>CopyStudio</x:v>
      </x:c>
      <x:c r="F2154" s="17" t="str">
        <x:v>Lite</x:v>
      </x:c>
      <x:c r="G2154" s="17" t="n">
        <x:v>15763</x:v>
      </x:c>
      <x:c r="H2154" s="17" t="n">
        <x:v>6050</x:v>
      </x:c>
      <x:c r="I2154" s="17" t="str">
        <x:v>Followup</x:v>
      </x:c>
      <x:c r="J2154" s="27" t="n">
        <x:f>INDEX('Model Pricing'!$B$7:$B$8,MATCH(F2154,'Model Pricing'!$A$7:$A$8,0))</x:f>
        <x:v>10</x:v>
      </x:c>
      <x:c r="K2154" s="27" t="n">
        <x:f>INDEX('Model Pricing'!$C$7:$C$8,MATCH(F2154,'Model Pricing'!$A$7:$A$8,0))</x:f>
        <x:v>30</x:v>
      </x:c>
      <x:c r="L2154" s="17" t="n">
        <x:f>G2154+H2154</x:f>
        <x:v>21813</x:v>
      </x:c>
      <x:c r="M2154" s="28" t="n">
        <x:f>G2154*J2154/1000000</x:f>
        <x:v>0.15763</x:v>
      </x:c>
      <x:c r="N2154" s="28" t="n">
        <x:f>H2154*K2154/1000000</x:f>
        <x:v>0.1815</x:v>
      </x:c>
      <x:c r="O2154" s="28" t="n">
        <x:f>SUM(M2154:N2154)</x:f>
        <x:v>0.33913</x:v>
      </x:c>
    </x:row>
    <x:row r="2155" ht="23" customHeight="1">
      <x:c r="A2155" s="17" t="str">
        <x:v>U02149</x:v>
      </x:c>
      <x:c r="B2155" s="18" t="n">
        <x:v>46275</x:v>
      </x:c>
      <x:c r="C2155" s="17" t="str">
        <x:v>W0159</x:v>
      </x:c>
      <x:c r="D2155" s="17" t="str">
        <x:v>C003</x:v>
      </x:c>
      <x:c r="E2155" s="17" t="str">
        <x:v>CopyStudio</x:v>
      </x:c>
      <x:c r="F2155" s="17" t="str">
        <x:v>Lite</x:v>
      </x:c>
      <x:c r="G2155" s="17" t="n">
        <x:v>15542</x:v>
      </x:c>
      <x:c r="H2155" s="17" t="n">
        <x:v>4840</x:v>
      </x:c>
      <x:c r="I2155" s="17" t="str">
        <x:v>Followup</x:v>
      </x:c>
      <x:c r="J2155" s="27" t="n">
        <x:f>INDEX('Model Pricing'!$B$7:$B$8,MATCH(F2155,'Model Pricing'!$A$7:$A$8,0))</x:f>
        <x:v>10</x:v>
      </x:c>
      <x:c r="K2155" s="27" t="n">
        <x:f>INDEX('Model Pricing'!$C$7:$C$8,MATCH(F2155,'Model Pricing'!$A$7:$A$8,0))</x:f>
        <x:v>30</x:v>
      </x:c>
      <x:c r="L2155" s="17" t="n">
        <x:f>G2155+H2155</x:f>
        <x:v>20382</x:v>
      </x:c>
      <x:c r="M2155" s="28" t="n">
        <x:f>G2155*J2155/1000000</x:f>
        <x:v>0.15542</x:v>
      </x:c>
      <x:c r="N2155" s="28" t="n">
        <x:f>H2155*K2155/1000000</x:f>
        <x:v>0.1452</x:v>
      </x:c>
      <x:c r="O2155" s="28" t="n">
        <x:f>SUM(M2155:N2155)</x:f>
        <x:v>0.30062</x:v>
      </x:c>
    </x:row>
    <x:row r="2156" ht="23" customHeight="1">
      <x:c r="A2156" s="17" t="str">
        <x:v>U02150</x:v>
      </x:c>
      <x:c r="B2156" s="18" t="n">
        <x:v>46276</x:v>
      </x:c>
      <x:c r="C2156" s="17" t="str">
        <x:v>W0159</x:v>
      </x:c>
      <x:c r="D2156" s="17" t="str">
        <x:v>C003</x:v>
      </x:c>
      <x:c r="E2156" s="17" t="str">
        <x:v>CopyStudio</x:v>
      </x:c>
      <x:c r="F2156" s="17" t="str">
        <x:v>Lite</x:v>
      </x:c>
      <x:c r="G2156" s="17" t="n">
        <x:v>27237</x:v>
      </x:c>
      <x:c r="H2156" s="17" t="n">
        <x:v>6255</x:v>
      </x:c>
      <x:c r="I2156" s="17" t="str">
        <x:v>Followup</x:v>
      </x:c>
      <x:c r="J2156" s="27" t="n">
        <x:f>INDEX('Model Pricing'!$B$7:$B$8,MATCH(F2156,'Model Pricing'!$A$7:$A$8,0))</x:f>
        <x:v>10</x:v>
      </x:c>
      <x:c r="K2156" s="27" t="n">
        <x:f>INDEX('Model Pricing'!$C$7:$C$8,MATCH(F2156,'Model Pricing'!$A$7:$A$8,0))</x:f>
        <x:v>30</x:v>
      </x:c>
      <x:c r="L2156" s="17" t="n">
        <x:f>G2156+H2156</x:f>
        <x:v>33492</x:v>
      </x:c>
      <x:c r="M2156" s="28" t="n">
        <x:f>G2156*J2156/1000000</x:f>
        <x:v>0.27237</x:v>
      </x:c>
      <x:c r="N2156" s="28" t="n">
        <x:f>H2156*K2156/1000000</x:f>
        <x:v>0.18765</x:v>
      </x:c>
      <x:c r="O2156" s="28" t="n">
        <x:f>SUM(M2156:N2156)</x:f>
        <x:v>0.46002</x:v>
      </x:c>
    </x:row>
    <x:row r="2157" ht="23" customHeight="1">
      <x:c r="A2157" s="17" t="str">
        <x:v>U02151</x:v>
      </x:c>
      <x:c r="B2157" s="18" t="n">
        <x:v>46276</x:v>
      </x:c>
      <x:c r="C2157" s="17" t="str">
        <x:v>W0159</x:v>
      </x:c>
      <x:c r="D2157" s="17" t="str">
        <x:v>C003</x:v>
      </x:c>
      <x:c r="E2157" s="17" t="str">
        <x:v>CopyStudio</x:v>
      </x:c>
      <x:c r="F2157" s="17" t="str">
        <x:v>Lite</x:v>
      </x:c>
      <x:c r="G2157" s="17" t="n">
        <x:v>12338</x:v>
      </x:c>
      <x:c r="H2157" s="17" t="n">
        <x:v>5269</x:v>
      </x:c>
      <x:c r="I2157" s="17" t="str">
        <x:v>Followup</x:v>
      </x:c>
      <x:c r="J2157" s="27" t="n">
        <x:f>INDEX('Model Pricing'!$B$7:$B$8,MATCH(F2157,'Model Pricing'!$A$7:$A$8,0))</x:f>
        <x:v>10</x:v>
      </x:c>
      <x:c r="K2157" s="27" t="n">
        <x:f>INDEX('Model Pricing'!$C$7:$C$8,MATCH(F2157,'Model Pricing'!$A$7:$A$8,0))</x:f>
        <x:v>30</x:v>
      </x:c>
      <x:c r="L2157" s="17" t="n">
        <x:f>G2157+H2157</x:f>
        <x:v>17607</x:v>
      </x:c>
      <x:c r="M2157" s="28" t="n">
        <x:f>G2157*J2157/1000000</x:f>
        <x:v>0.12338</x:v>
      </x:c>
      <x:c r="N2157" s="28" t="n">
        <x:f>H2157*K2157/1000000</x:f>
        <x:v>0.15807</x:v>
      </x:c>
      <x:c r="O2157" s="28" t="n">
        <x:f>SUM(M2157:N2157)</x:f>
        <x:v>0.28145</x:v>
      </x:c>
    </x:row>
    <x:row r="2158" ht="23" customHeight="1">
      <x:c r="A2158" s="17" t="str">
        <x:v>U02152</x:v>
      </x:c>
      <x:c r="B2158" s="18" t="n">
        <x:v>46276</x:v>
      </x:c>
      <x:c r="C2158" s="17" t="str">
        <x:v>W0159</x:v>
      </x:c>
      <x:c r="D2158" s="17" t="str">
        <x:v>C003</x:v>
      </x:c>
      <x:c r="E2158" s="17" t="str">
        <x:v>CopyStudio</x:v>
      </x:c>
      <x:c r="F2158" s="17" t="str">
        <x:v>Lite</x:v>
      </x:c>
      <x:c r="G2158" s="17" t="n">
        <x:v>19385</x:v>
      </x:c>
      <x:c r="H2158" s="17" t="n">
        <x:v>8078</x:v>
      </x:c>
      <x:c r="I2158" s="17" t="str">
        <x:v>Followup</x:v>
      </x:c>
      <x:c r="J2158" s="27" t="n">
        <x:f>INDEX('Model Pricing'!$B$7:$B$8,MATCH(F2158,'Model Pricing'!$A$7:$A$8,0))</x:f>
        <x:v>10</x:v>
      </x:c>
      <x:c r="K2158" s="27" t="n">
        <x:f>INDEX('Model Pricing'!$C$7:$C$8,MATCH(F2158,'Model Pricing'!$A$7:$A$8,0))</x:f>
        <x:v>30</x:v>
      </x:c>
      <x:c r="L2158" s="17" t="n">
        <x:f>G2158+H2158</x:f>
        <x:v>27463</x:v>
      </x:c>
      <x:c r="M2158" s="28" t="n">
        <x:f>G2158*J2158/1000000</x:f>
        <x:v>0.19385</x:v>
      </x:c>
      <x:c r="N2158" s="28" t="n">
        <x:f>H2158*K2158/1000000</x:f>
        <x:v>0.24234</x:v>
      </x:c>
      <x:c r="O2158" s="28" t="n">
        <x:f>SUM(M2158:N2158)</x:f>
        <x:v>0.43618999999999997</x:v>
      </x:c>
    </x:row>
    <x:row r="2159" ht="23" customHeight="1">
      <x:c r="A2159" s="17" t="str">
        <x:v>U02153</x:v>
      </x:c>
      <x:c r="B2159" s="18" t="n">
        <x:v>46279</x:v>
      </x:c>
      <x:c r="C2159" s="17" t="str">
        <x:v>W0159</x:v>
      </x:c>
      <x:c r="D2159" s="17" t="str">
        <x:v>C003</x:v>
      </x:c>
      <x:c r="E2159" s="17" t="str">
        <x:v>CopyStudio</x:v>
      </x:c>
      <x:c r="F2159" s="17" t="str">
        <x:v>Lite</x:v>
      </x:c>
      <x:c r="G2159" s="17" t="n">
        <x:v>14452</x:v>
      </x:c>
      <x:c r="H2159" s="17" t="n">
        <x:v>9492</x:v>
      </x:c>
      <x:c r="I2159" s="17" t="str">
        <x:v>Followup</x:v>
      </x:c>
      <x:c r="J2159" s="27" t="n">
        <x:f>INDEX('Model Pricing'!$B$7:$B$8,MATCH(F2159,'Model Pricing'!$A$7:$A$8,0))</x:f>
        <x:v>10</x:v>
      </x:c>
      <x:c r="K2159" s="27" t="n">
        <x:f>INDEX('Model Pricing'!$C$7:$C$8,MATCH(F2159,'Model Pricing'!$A$7:$A$8,0))</x:f>
        <x:v>30</x:v>
      </x:c>
      <x:c r="L2159" s="17" t="n">
        <x:f>G2159+H2159</x:f>
        <x:v>23944</x:v>
      </x:c>
      <x:c r="M2159" s="28" t="n">
        <x:f>G2159*J2159/1000000</x:f>
        <x:v>0.14452</x:v>
      </x:c>
      <x:c r="N2159" s="28" t="n">
        <x:f>H2159*K2159/1000000</x:f>
        <x:v>0.28476</x:v>
      </x:c>
      <x:c r="O2159" s="28" t="n">
        <x:f>SUM(M2159:N2159)</x:f>
        <x:v>0.42928</x:v>
      </x:c>
    </x:row>
    <x:row r="2160" ht="23" customHeight="1">
      <x:c r="A2160" s="17" t="str">
        <x:v>U02154</x:v>
      </x:c>
      <x:c r="B2160" s="18" t="n">
        <x:v>46279</x:v>
      </x:c>
      <x:c r="C2160" s="17" t="str">
        <x:v>W0159</x:v>
      </x:c>
      <x:c r="D2160" s="17" t="str">
        <x:v>C003</x:v>
      </x:c>
      <x:c r="E2160" s="17" t="str">
        <x:v>CopyStudio</x:v>
      </x:c>
      <x:c r="F2160" s="17" t="str">
        <x:v>Lite</x:v>
      </x:c>
      <x:c r="G2160" s="17" t="n">
        <x:v>14338</x:v>
      </x:c>
      <x:c r="H2160" s="17" t="n">
        <x:v>3775</x:v>
      </x:c>
      <x:c r="I2160" s="17" t="str">
        <x:v>Followup</x:v>
      </x:c>
      <x:c r="J2160" s="27" t="n">
        <x:f>INDEX('Model Pricing'!$B$7:$B$8,MATCH(F2160,'Model Pricing'!$A$7:$A$8,0))</x:f>
        <x:v>10</x:v>
      </x:c>
      <x:c r="K2160" s="27" t="n">
        <x:f>INDEX('Model Pricing'!$C$7:$C$8,MATCH(F2160,'Model Pricing'!$A$7:$A$8,0))</x:f>
        <x:v>30</x:v>
      </x:c>
      <x:c r="L2160" s="17" t="n">
        <x:f>G2160+H2160</x:f>
        <x:v>18113</x:v>
      </x:c>
      <x:c r="M2160" s="28" t="n">
        <x:f>G2160*J2160/1000000</x:f>
        <x:v>0.14338</x:v>
      </x:c>
      <x:c r="N2160" s="28" t="n">
        <x:f>H2160*K2160/1000000</x:f>
        <x:v>0.11325</x:v>
      </x:c>
      <x:c r="O2160" s="28" t="n">
        <x:f>SUM(M2160:N2160)</x:f>
        <x:v>0.25663</x:v>
      </x:c>
    </x:row>
    <x:row r="2161" ht="23" customHeight="1">
      <x:c r="A2161" s="17" t="str">
        <x:v>U02155</x:v>
      </x:c>
      <x:c r="B2161" s="18" t="n">
        <x:v>46279</x:v>
      </x:c>
      <x:c r="C2161" s="17" t="str">
        <x:v>W0162</x:v>
      </x:c>
      <x:c r="D2161" s="17" t="str">
        <x:v>C003</x:v>
      </x:c>
      <x:c r="E2161" s="17" t="str">
        <x:v>CopyStudio</x:v>
      </x:c>
      <x:c r="F2161" s="17" t="str">
        <x:v>Lite</x:v>
      </x:c>
      <x:c r="G2161" s="17" t="n">
        <x:v>19509</x:v>
      </x:c>
      <x:c r="H2161" s="17" t="n">
        <x:v>8037</x:v>
      </x:c>
      <x:c r="I2161" s="17" t="str">
        <x:v>First attempt</x:v>
      </x:c>
      <x:c r="J2161" s="27" t="n">
        <x:f>INDEX('Model Pricing'!$B$7:$B$8,MATCH(F2161,'Model Pricing'!$A$7:$A$8,0))</x:f>
        <x:v>10</x:v>
      </x:c>
      <x:c r="K2161" s="27" t="n">
        <x:f>INDEX('Model Pricing'!$C$7:$C$8,MATCH(F2161,'Model Pricing'!$A$7:$A$8,0))</x:f>
        <x:v>30</x:v>
      </x:c>
      <x:c r="L2161" s="17" t="n">
        <x:f>G2161+H2161</x:f>
        <x:v>27546</x:v>
      </x:c>
      <x:c r="M2161" s="28" t="n">
        <x:f>G2161*J2161/1000000</x:f>
        <x:v>0.19509</x:v>
      </x:c>
      <x:c r="N2161" s="28" t="n">
        <x:f>H2161*K2161/1000000</x:f>
        <x:v>0.24111</x:v>
      </x:c>
      <x:c r="O2161" s="28" t="n">
        <x:f>SUM(M2161:N2161)</x:f>
        <x:v>0.43620000000000003</x:v>
      </x:c>
    </x:row>
    <x:row r="2162" ht="23" customHeight="1">
      <x:c r="A2162" s="17" t="str">
        <x:v>U02156</x:v>
      </x:c>
      <x:c r="B2162" s="18" t="n">
        <x:v>46279</x:v>
      </x:c>
      <x:c r="C2162" s="17" t="str">
        <x:v>W0162</x:v>
      </x:c>
      <x:c r="D2162" s="17" t="str">
        <x:v>C003</x:v>
      </x:c>
      <x:c r="E2162" s="17" t="str">
        <x:v>CopyStudio</x:v>
      </x:c>
      <x:c r="F2162" s="17" t="str">
        <x:v>Lite</x:v>
      </x:c>
      <x:c r="G2162" s="17" t="n">
        <x:v>20129</x:v>
      </x:c>
      <x:c r="H2162" s="17" t="n">
        <x:v>9400</x:v>
      </x:c>
      <x:c r="I2162" s="17" t="str">
        <x:v>Followup</x:v>
      </x:c>
      <x:c r="J2162" s="27" t="n">
        <x:f>INDEX('Model Pricing'!$B$7:$B$8,MATCH(F2162,'Model Pricing'!$A$7:$A$8,0))</x:f>
        <x:v>10</x:v>
      </x:c>
      <x:c r="K2162" s="27" t="n">
        <x:f>INDEX('Model Pricing'!$C$7:$C$8,MATCH(F2162,'Model Pricing'!$A$7:$A$8,0))</x:f>
        <x:v>30</x:v>
      </x:c>
      <x:c r="L2162" s="17" t="n">
        <x:f>G2162+H2162</x:f>
        <x:v>29529</x:v>
      </x:c>
      <x:c r="M2162" s="28" t="n">
        <x:f>G2162*J2162/1000000</x:f>
        <x:v>0.20129</x:v>
      </x:c>
      <x:c r="N2162" s="28" t="n">
        <x:f>H2162*K2162/1000000</x:f>
        <x:v>0.282</x:v>
      </x:c>
      <x:c r="O2162" s="28" t="n">
        <x:f>SUM(M2162:N2162)</x:f>
        <x:v>0.48329</x:v>
      </x:c>
    </x:row>
    <x:row r="2163" ht="23" customHeight="1">
      <x:c r="A2163" s="17" t="str">
        <x:v>U02157</x:v>
      </x:c>
      <x:c r="B2163" s="18" t="n">
        <x:v>46279</x:v>
      </x:c>
      <x:c r="C2163" s="17" t="str">
        <x:v>W0162</x:v>
      </x:c>
      <x:c r="D2163" s="17" t="str">
        <x:v>C003</x:v>
      </x:c>
      <x:c r="E2163" s="17" t="str">
        <x:v>CopyStudio</x:v>
      </x:c>
      <x:c r="F2163" s="17" t="str">
        <x:v>Lite</x:v>
      </x:c>
      <x:c r="G2163" s="17" t="n">
        <x:v>14831</x:v>
      </x:c>
      <x:c r="H2163" s="17" t="n">
        <x:v>3341</x:v>
      </x:c>
      <x:c r="I2163" s="17" t="str">
        <x:v>Followup</x:v>
      </x:c>
      <x:c r="J2163" s="27" t="n">
        <x:f>INDEX('Model Pricing'!$B$7:$B$8,MATCH(F2163,'Model Pricing'!$A$7:$A$8,0))</x:f>
        <x:v>10</x:v>
      </x:c>
      <x:c r="K2163" s="27" t="n">
        <x:f>INDEX('Model Pricing'!$C$7:$C$8,MATCH(F2163,'Model Pricing'!$A$7:$A$8,0))</x:f>
        <x:v>30</x:v>
      </x:c>
      <x:c r="L2163" s="17" t="n">
        <x:f>G2163+H2163</x:f>
        <x:v>18172</x:v>
      </x:c>
      <x:c r="M2163" s="28" t="n">
        <x:f>G2163*J2163/1000000</x:f>
        <x:v>0.14831</x:v>
      </x:c>
      <x:c r="N2163" s="28" t="n">
        <x:f>H2163*K2163/1000000</x:f>
        <x:v>0.10023</x:v>
      </x:c>
      <x:c r="O2163" s="28" t="n">
        <x:f>SUM(M2163:N2163)</x:f>
        <x:v>0.24853999999999998</x:v>
      </x:c>
    </x:row>
    <x:row r="2164" ht="23" customHeight="1">
      <x:c r="A2164" s="17" t="str">
        <x:v>U02158</x:v>
      </x:c>
      <x:c r="B2164" s="18" t="n">
        <x:v>46279</x:v>
      </x:c>
      <x:c r="C2164" s="17" t="str">
        <x:v>W0162</x:v>
      </x:c>
      <x:c r="D2164" s="17" t="str">
        <x:v>C003</x:v>
      </x:c>
      <x:c r="E2164" s="17" t="str">
        <x:v>CopyStudio</x:v>
      </x:c>
      <x:c r="F2164" s="17" t="str">
        <x:v>Lite</x:v>
      </x:c>
      <x:c r="G2164" s="17" t="n">
        <x:v>27296</x:v>
      </x:c>
      <x:c r="H2164" s="17" t="n">
        <x:v>7198</x:v>
      </x:c>
      <x:c r="I2164" s="17" t="str">
        <x:v>Followup</x:v>
      </x:c>
      <x:c r="J2164" s="27" t="n">
        <x:f>INDEX('Model Pricing'!$B$7:$B$8,MATCH(F2164,'Model Pricing'!$A$7:$A$8,0))</x:f>
        <x:v>10</x:v>
      </x:c>
      <x:c r="K2164" s="27" t="n">
        <x:f>INDEX('Model Pricing'!$C$7:$C$8,MATCH(F2164,'Model Pricing'!$A$7:$A$8,0))</x:f>
        <x:v>30</x:v>
      </x:c>
      <x:c r="L2164" s="17" t="n">
        <x:f>G2164+H2164</x:f>
        <x:v>34494</x:v>
      </x:c>
      <x:c r="M2164" s="28" t="n">
        <x:f>G2164*J2164/1000000</x:f>
        <x:v>0.27296</x:v>
      </x:c>
      <x:c r="N2164" s="28" t="n">
        <x:f>H2164*K2164/1000000</x:f>
        <x:v>0.21594</x:v>
      </x:c>
      <x:c r="O2164" s="28" t="n">
        <x:f>SUM(M2164:N2164)</x:f>
        <x:v>0.4889</x:v>
      </x:c>
    </x:row>
    <x:row r="2165" ht="23" customHeight="1">
      <x:c r="A2165" s="17" t="str">
        <x:v>U02159</x:v>
      </x:c>
      <x:c r="B2165" s="18" t="n">
        <x:v>46280</x:v>
      </x:c>
      <x:c r="C2165" s="17" t="str">
        <x:v>W0162</x:v>
      </x:c>
      <x:c r="D2165" s="17" t="str">
        <x:v>C003</x:v>
      </x:c>
      <x:c r="E2165" s="17" t="str">
        <x:v>CopyStudio</x:v>
      </x:c>
      <x:c r="F2165" s="17" t="str">
        <x:v>Lite</x:v>
      </x:c>
      <x:c r="G2165" s="17" t="n">
        <x:v>14258</x:v>
      </x:c>
      <x:c r="H2165" s="17" t="n">
        <x:v>6948</x:v>
      </x:c>
      <x:c r="I2165" s="17" t="str">
        <x:v>Followup</x:v>
      </x:c>
      <x:c r="J2165" s="27" t="n">
        <x:f>INDEX('Model Pricing'!$B$7:$B$8,MATCH(F2165,'Model Pricing'!$A$7:$A$8,0))</x:f>
        <x:v>10</x:v>
      </x:c>
      <x:c r="K2165" s="27" t="n">
        <x:f>INDEX('Model Pricing'!$C$7:$C$8,MATCH(F2165,'Model Pricing'!$A$7:$A$8,0))</x:f>
        <x:v>30</x:v>
      </x:c>
      <x:c r="L2165" s="17" t="n">
        <x:f>G2165+H2165</x:f>
        <x:v>21206</x:v>
      </x:c>
      <x:c r="M2165" s="28" t="n">
        <x:f>G2165*J2165/1000000</x:f>
        <x:v>0.14258</x:v>
      </x:c>
      <x:c r="N2165" s="28" t="n">
        <x:f>H2165*K2165/1000000</x:f>
        <x:v>0.20844</x:v>
      </x:c>
      <x:c r="O2165" s="28" t="n">
        <x:f>SUM(M2165:N2165)</x:f>
        <x:v>0.35102</x:v>
      </x:c>
    </x:row>
    <x:row r="2166" ht="23" customHeight="1">
      <x:c r="A2166" s="17" t="str">
        <x:v>U02160</x:v>
      </x:c>
      <x:c r="B2166" s="18" t="n">
        <x:v>46280</x:v>
      </x:c>
      <x:c r="C2166" s="17" t="str">
        <x:v>W0162</x:v>
      </x:c>
      <x:c r="D2166" s="17" t="str">
        <x:v>C003</x:v>
      </x:c>
      <x:c r="E2166" s="17" t="str">
        <x:v>CopyStudio</x:v>
      </x:c>
      <x:c r="F2166" s="17" t="str">
        <x:v>Lite</x:v>
      </x:c>
      <x:c r="G2166" s="17" t="n">
        <x:v>27614</x:v>
      </x:c>
      <x:c r="H2166" s="17" t="n">
        <x:v>9839</x:v>
      </x:c>
      <x:c r="I2166" s="17" t="str">
        <x:v>Correction</x:v>
      </x:c>
      <x:c r="J2166" s="27" t="n">
        <x:f>INDEX('Model Pricing'!$B$7:$B$8,MATCH(F2166,'Model Pricing'!$A$7:$A$8,0))</x:f>
        <x:v>10</x:v>
      </x:c>
      <x:c r="K2166" s="27" t="n">
        <x:f>INDEX('Model Pricing'!$C$7:$C$8,MATCH(F2166,'Model Pricing'!$A$7:$A$8,0))</x:f>
        <x:v>30</x:v>
      </x:c>
      <x:c r="L2166" s="17" t="n">
        <x:f>G2166+H2166</x:f>
        <x:v>37453</x:v>
      </x:c>
      <x:c r="M2166" s="28" t="n">
        <x:f>G2166*J2166/1000000</x:f>
        <x:v>0.27614</x:v>
      </x:c>
      <x:c r="N2166" s="28" t="n">
        <x:f>H2166*K2166/1000000</x:f>
        <x:v>0.29517</x:v>
      </x:c>
      <x:c r="O2166" s="28" t="n">
        <x:f>SUM(M2166:N2166)</x:f>
        <x:v>0.57131</x:v>
      </x:c>
    </x:row>
    <x:row r="2167" ht="23" customHeight="1">
      <x:c r="A2167" s="17" t="str">
        <x:v>U02161</x:v>
      </x:c>
      <x:c r="B2167" s="18" t="n">
        <x:v>46280</x:v>
      </x:c>
      <x:c r="C2167" s="17" t="str">
        <x:v>W0162</x:v>
      </x:c>
      <x:c r="D2167" s="17" t="str">
        <x:v>C003</x:v>
      </x:c>
      <x:c r="E2167" s="17" t="str">
        <x:v>CopyStudio</x:v>
      </x:c>
      <x:c r="F2167" s="17" t="str">
        <x:v>Lite</x:v>
      </x:c>
      <x:c r="G2167" s="17" t="n">
        <x:v>31699</x:v>
      </x:c>
      <x:c r="H2167" s="17" t="n">
        <x:v>10418</x:v>
      </x:c>
      <x:c r="I2167" s="17" t="str">
        <x:v>Correction</x:v>
      </x:c>
      <x:c r="J2167" s="27" t="n">
        <x:f>INDEX('Model Pricing'!$B$7:$B$8,MATCH(F2167,'Model Pricing'!$A$7:$A$8,0))</x:f>
        <x:v>10</x:v>
      </x:c>
      <x:c r="K2167" s="27" t="n">
        <x:f>INDEX('Model Pricing'!$C$7:$C$8,MATCH(F2167,'Model Pricing'!$A$7:$A$8,0))</x:f>
        <x:v>30</x:v>
      </x:c>
      <x:c r="L2167" s="17" t="n">
        <x:f>G2167+H2167</x:f>
        <x:v>42117</x:v>
      </x:c>
      <x:c r="M2167" s="28" t="n">
        <x:f>G2167*J2167/1000000</x:f>
        <x:v>0.31699</x:v>
      </x:c>
      <x:c r="N2167" s="28" t="n">
        <x:f>H2167*K2167/1000000</x:f>
        <x:v>0.31254</x:v>
      </x:c>
      <x:c r="O2167" s="28" t="n">
        <x:f>SUM(M2167:N2167)</x:f>
        <x:v>0.6295299999999999</x:v>
      </x:c>
    </x:row>
    <x:row r="2168" ht="23" customHeight="1">
      <x:c r="A2168" s="17" t="str">
        <x:v>U02162</x:v>
      </x:c>
      <x:c r="B2168" s="18" t="n">
        <x:v>46281</x:v>
      </x:c>
      <x:c r="C2168" s="17" t="str">
        <x:v>W0162</x:v>
      </x:c>
      <x:c r="D2168" s="17" t="str">
        <x:v>C003</x:v>
      </x:c>
      <x:c r="E2168" s="17" t="str">
        <x:v>CopyStudio</x:v>
      </x:c>
      <x:c r="F2168" s="17" t="str">
        <x:v>Lite</x:v>
      </x:c>
      <x:c r="G2168" s="17" t="n">
        <x:v>16233</x:v>
      </x:c>
      <x:c r="H2168" s="17" t="n">
        <x:v>5114</x:v>
      </x:c>
      <x:c r="I2168" s="17" t="str">
        <x:v>Followup</x:v>
      </x:c>
      <x:c r="J2168" s="27" t="n">
        <x:f>INDEX('Model Pricing'!$B$7:$B$8,MATCH(F2168,'Model Pricing'!$A$7:$A$8,0))</x:f>
        <x:v>10</x:v>
      </x:c>
      <x:c r="K2168" s="27" t="n">
        <x:f>INDEX('Model Pricing'!$C$7:$C$8,MATCH(F2168,'Model Pricing'!$A$7:$A$8,0))</x:f>
        <x:v>30</x:v>
      </x:c>
      <x:c r="L2168" s="17" t="n">
        <x:f>G2168+H2168</x:f>
        <x:v>21347</x:v>
      </x:c>
      <x:c r="M2168" s="28" t="n">
        <x:f>G2168*J2168/1000000</x:f>
        <x:v>0.16233</x:v>
      </x:c>
      <x:c r="N2168" s="28" t="n">
        <x:f>H2168*K2168/1000000</x:f>
        <x:v>0.15342</x:v>
      </x:c>
      <x:c r="O2168" s="28" t="n">
        <x:f>SUM(M2168:N2168)</x:f>
        <x:v>0.31575</x:v>
      </x:c>
    </x:row>
    <x:row r="2169" ht="23" customHeight="1">
      <x:c r="A2169" s="17" t="str">
        <x:v>U02163</x:v>
      </x:c>
      <x:c r="B2169" s="18" t="n">
        <x:v>46281</x:v>
      </x:c>
      <x:c r="C2169" s="17" t="str">
        <x:v>W0162</x:v>
      </x:c>
      <x:c r="D2169" s="17" t="str">
        <x:v>C003</x:v>
      </x:c>
      <x:c r="E2169" s="17" t="str">
        <x:v>CopyStudio</x:v>
      </x:c>
      <x:c r="F2169" s="17" t="str">
        <x:v>Lite</x:v>
      </x:c>
      <x:c r="G2169" s="17" t="n">
        <x:v>20325</x:v>
      </x:c>
      <x:c r="H2169" s="17" t="n">
        <x:v>4652</x:v>
      </x:c>
      <x:c r="I2169" s="17" t="str">
        <x:v>Correction</x:v>
      </x:c>
      <x:c r="J2169" s="27" t="n">
        <x:f>INDEX('Model Pricing'!$B$7:$B$8,MATCH(F2169,'Model Pricing'!$A$7:$A$8,0))</x:f>
        <x:v>10</x:v>
      </x:c>
      <x:c r="K2169" s="27" t="n">
        <x:f>INDEX('Model Pricing'!$C$7:$C$8,MATCH(F2169,'Model Pricing'!$A$7:$A$8,0))</x:f>
        <x:v>30</x:v>
      </x:c>
      <x:c r="L2169" s="17" t="n">
        <x:f>G2169+H2169</x:f>
        <x:v>24977</x:v>
      </x:c>
      <x:c r="M2169" s="28" t="n">
        <x:f>G2169*J2169/1000000</x:f>
        <x:v>0.20325</x:v>
      </x:c>
      <x:c r="N2169" s="28" t="n">
        <x:f>H2169*K2169/1000000</x:f>
        <x:v>0.13956</x:v>
      </x:c>
      <x:c r="O2169" s="28" t="n">
        <x:f>SUM(M2169:N2169)</x:f>
        <x:v>0.34280999999999995</x:v>
      </x:c>
    </x:row>
    <x:row r="2170" ht="23" customHeight="1">
      <x:c r="A2170" s="17" t="str">
        <x:v>U02164</x:v>
      </x:c>
      <x:c r="B2170" s="18" t="n">
        <x:v>46281</x:v>
      </x:c>
      <x:c r="C2170" s="17" t="str">
        <x:v>W0162</x:v>
      </x:c>
      <x:c r="D2170" s="17" t="str">
        <x:v>C003</x:v>
      </x:c>
      <x:c r="E2170" s="17" t="str">
        <x:v>CopyStudio</x:v>
      </x:c>
      <x:c r="F2170" s="17" t="str">
        <x:v>Lite</x:v>
      </x:c>
      <x:c r="G2170" s="17" t="n">
        <x:v>16071</x:v>
      </x:c>
      <x:c r="H2170" s="17" t="n">
        <x:v>5311</x:v>
      </x:c>
      <x:c r="I2170" s="17" t="str">
        <x:v>Followup</x:v>
      </x:c>
      <x:c r="J2170" s="27" t="n">
        <x:f>INDEX('Model Pricing'!$B$7:$B$8,MATCH(F2170,'Model Pricing'!$A$7:$A$8,0))</x:f>
        <x:v>10</x:v>
      </x:c>
      <x:c r="K2170" s="27" t="n">
        <x:f>INDEX('Model Pricing'!$C$7:$C$8,MATCH(F2170,'Model Pricing'!$A$7:$A$8,0))</x:f>
        <x:v>30</x:v>
      </x:c>
      <x:c r="L2170" s="17" t="n">
        <x:f>G2170+H2170</x:f>
        <x:v>21382</x:v>
      </x:c>
      <x:c r="M2170" s="28" t="n">
        <x:f>G2170*J2170/1000000</x:f>
        <x:v>0.16071</x:v>
      </x:c>
      <x:c r="N2170" s="28" t="n">
        <x:f>H2170*K2170/1000000</x:f>
        <x:v>0.15933</x:v>
      </x:c>
      <x:c r="O2170" s="28" t="n">
        <x:f>SUM(M2170:N2170)</x:f>
        <x:v>0.32004</x:v>
      </x:c>
    </x:row>
    <x:row r="2171" ht="23" customHeight="1">
      <x:c r="A2171" s="17" t="str">
        <x:v>U02165</x:v>
      </x:c>
      <x:c r="B2171" s="18" t="n">
        <x:v>46282</x:v>
      </x:c>
      <x:c r="C2171" s="17" t="str">
        <x:v>W0162</x:v>
      </x:c>
      <x:c r="D2171" s="17" t="str">
        <x:v>C003</x:v>
      </x:c>
      <x:c r="E2171" s="17" t="str">
        <x:v>CopyStudio</x:v>
      </x:c>
      <x:c r="F2171" s="17" t="str">
        <x:v>Lite</x:v>
      </x:c>
      <x:c r="G2171" s="17" t="n">
        <x:v>26499</x:v>
      </x:c>
      <x:c r="H2171" s="17" t="n">
        <x:v>5768</x:v>
      </x:c>
      <x:c r="I2171" s="17" t="str">
        <x:v>Followup</x:v>
      </x:c>
      <x:c r="J2171" s="27" t="n">
        <x:f>INDEX('Model Pricing'!$B$7:$B$8,MATCH(F2171,'Model Pricing'!$A$7:$A$8,0))</x:f>
        <x:v>10</x:v>
      </x:c>
      <x:c r="K2171" s="27" t="n">
        <x:f>INDEX('Model Pricing'!$C$7:$C$8,MATCH(F2171,'Model Pricing'!$A$7:$A$8,0))</x:f>
        <x:v>30</x:v>
      </x:c>
      <x:c r="L2171" s="17" t="n">
        <x:f>G2171+H2171</x:f>
        <x:v>32267</x:v>
      </x:c>
      <x:c r="M2171" s="28" t="n">
        <x:f>G2171*J2171/1000000</x:f>
        <x:v>0.26499</x:v>
      </x:c>
      <x:c r="N2171" s="28" t="n">
        <x:f>H2171*K2171/1000000</x:f>
        <x:v>0.17304</x:v>
      </x:c>
      <x:c r="O2171" s="28" t="n">
        <x:f>SUM(M2171:N2171)</x:f>
        <x:v>0.43803000000000003</x:v>
      </x:c>
    </x:row>
    <x:row r="2172" ht="23" customHeight="1">
      <x:c r="A2172" s="17" t="str">
        <x:v>U02166</x:v>
      </x:c>
      <x:c r="B2172" s="18" t="n">
        <x:v>46282</x:v>
      </x:c>
      <x:c r="C2172" s="17" t="str">
        <x:v>W0162</x:v>
      </x:c>
      <x:c r="D2172" s="17" t="str">
        <x:v>C003</x:v>
      </x:c>
      <x:c r="E2172" s="17" t="str">
        <x:v>CopyStudio</x:v>
      </x:c>
      <x:c r="F2172" s="17" t="str">
        <x:v>Lite</x:v>
      </x:c>
      <x:c r="G2172" s="17" t="n">
        <x:v>28123</x:v>
      </x:c>
      <x:c r="H2172" s="17" t="n">
        <x:v>9980</x:v>
      </x:c>
      <x:c r="I2172" s="17" t="str">
        <x:v>Followup</x:v>
      </x:c>
      <x:c r="J2172" s="27" t="n">
        <x:f>INDEX('Model Pricing'!$B$7:$B$8,MATCH(F2172,'Model Pricing'!$A$7:$A$8,0))</x:f>
        <x:v>10</x:v>
      </x:c>
      <x:c r="K2172" s="27" t="n">
        <x:f>INDEX('Model Pricing'!$C$7:$C$8,MATCH(F2172,'Model Pricing'!$A$7:$A$8,0))</x:f>
        <x:v>30</x:v>
      </x:c>
      <x:c r="L2172" s="17" t="n">
        <x:f>G2172+H2172</x:f>
        <x:v>38103</x:v>
      </x:c>
      <x:c r="M2172" s="28" t="n">
        <x:f>G2172*J2172/1000000</x:f>
        <x:v>0.28123</x:v>
      </x:c>
      <x:c r="N2172" s="28" t="n">
        <x:f>H2172*K2172/1000000</x:f>
        <x:v>0.2994</x:v>
      </x:c>
      <x:c r="O2172" s="28" t="n">
        <x:f>SUM(M2172:N2172)</x:f>
        <x:v>0.58063</x:v>
      </x:c>
    </x:row>
    <x:row r="2173" ht="23" customHeight="1">
      <x:c r="A2173" s="17" t="str">
        <x:v>U02167</x:v>
      </x:c>
      <x:c r="B2173" s="18" t="n">
        <x:v>46282</x:v>
      </x:c>
      <x:c r="C2173" s="17" t="str">
        <x:v>W0162</x:v>
      </x:c>
      <x:c r="D2173" s="17" t="str">
        <x:v>C003</x:v>
      </x:c>
      <x:c r="E2173" s="17" t="str">
        <x:v>CopyStudio</x:v>
      </x:c>
      <x:c r="F2173" s="17" t="str">
        <x:v>Lite</x:v>
      </x:c>
      <x:c r="G2173" s="17" t="n">
        <x:v>30660</x:v>
      </x:c>
      <x:c r="H2173" s="17" t="n">
        <x:v>10436</x:v>
      </x:c>
      <x:c r="I2173" s="17" t="str">
        <x:v>Followup</x:v>
      </x:c>
      <x:c r="J2173" s="27" t="n">
        <x:f>INDEX('Model Pricing'!$B$7:$B$8,MATCH(F2173,'Model Pricing'!$A$7:$A$8,0))</x:f>
        <x:v>10</x:v>
      </x:c>
      <x:c r="K2173" s="27" t="n">
        <x:f>INDEX('Model Pricing'!$C$7:$C$8,MATCH(F2173,'Model Pricing'!$A$7:$A$8,0))</x:f>
        <x:v>30</x:v>
      </x:c>
      <x:c r="L2173" s="17" t="n">
        <x:f>G2173+H2173</x:f>
        <x:v>41096</x:v>
      </x:c>
      <x:c r="M2173" s="28" t="n">
        <x:f>G2173*J2173/1000000</x:f>
        <x:v>0.3066</x:v>
      </x:c>
      <x:c r="N2173" s="28" t="n">
        <x:f>H2173*K2173/1000000</x:f>
        <x:v>0.31308</x:v>
      </x:c>
      <x:c r="O2173" s="28" t="n">
        <x:f>SUM(M2173:N2173)</x:f>
        <x:v>0.61968</x:v>
      </x:c>
    </x:row>
    <x:row r="2174" ht="23" customHeight="1">
      <x:c r="A2174" s="17" t="str">
        <x:v>U02168</x:v>
      </x:c>
      <x:c r="B2174" s="18" t="n">
        <x:v>46273</x:v>
      </x:c>
      <x:c r="C2174" s="17" t="str">
        <x:v>W0164</x:v>
      </x:c>
      <x:c r="D2174" s="17" t="str">
        <x:v>C003</x:v>
      </x:c>
      <x:c r="E2174" s="17" t="str">
        <x:v>DataFlow</x:v>
      </x:c>
      <x:c r="F2174" s="17" t="str">
        <x:v>Lite</x:v>
      </x:c>
      <x:c r="G2174" s="17" t="n">
        <x:v>19886</x:v>
      </x:c>
      <x:c r="H2174" s="17" t="n">
        <x:v>4672</x:v>
      </x:c>
      <x:c r="I2174" s="17" t="str">
        <x:v>First attempt</x:v>
      </x:c>
      <x:c r="J2174" s="27" t="n">
        <x:f>INDEX('Model Pricing'!$B$7:$B$8,MATCH(F2174,'Model Pricing'!$A$7:$A$8,0))</x:f>
        <x:v>10</x:v>
      </x:c>
      <x:c r="K2174" s="27" t="n">
        <x:f>INDEX('Model Pricing'!$C$7:$C$8,MATCH(F2174,'Model Pricing'!$A$7:$A$8,0))</x:f>
        <x:v>30</x:v>
      </x:c>
      <x:c r="L2174" s="17" t="n">
        <x:f>G2174+H2174</x:f>
        <x:v>24558</x:v>
      </x:c>
      <x:c r="M2174" s="28" t="n">
        <x:f>G2174*J2174/1000000</x:f>
        <x:v>0.19886</x:v>
      </x:c>
      <x:c r="N2174" s="28" t="n">
        <x:f>H2174*K2174/1000000</x:f>
        <x:v>0.14016</x:v>
      </x:c>
      <x:c r="O2174" s="28" t="n">
        <x:f>SUM(M2174:N2174)</x:f>
        <x:v>0.33902</x:v>
      </x:c>
    </x:row>
    <x:row r="2175" ht="23" customHeight="1">
      <x:c r="A2175" s="17" t="str">
        <x:v>U02169</x:v>
      </x:c>
      <x:c r="B2175" s="18" t="n">
        <x:v>46273</x:v>
      </x:c>
      <x:c r="C2175" s="17" t="str">
        <x:v>W0164</x:v>
      </x:c>
      <x:c r="D2175" s="17" t="str">
        <x:v>C003</x:v>
      </x:c>
      <x:c r="E2175" s="17" t="str">
        <x:v>DataFlow</x:v>
      </x:c>
      <x:c r="F2175" s="17" t="str">
        <x:v>Lite</x:v>
      </x:c>
      <x:c r="G2175" s="17" t="n">
        <x:v>25949</x:v>
      </x:c>
      <x:c r="H2175" s="17" t="n">
        <x:v>7931</x:v>
      </x:c>
      <x:c r="I2175" s="17" t="str">
        <x:v>Followup</x:v>
      </x:c>
      <x:c r="J2175" s="27" t="n">
        <x:f>INDEX('Model Pricing'!$B$7:$B$8,MATCH(F2175,'Model Pricing'!$A$7:$A$8,0))</x:f>
        <x:v>10</x:v>
      </x:c>
      <x:c r="K2175" s="27" t="n">
        <x:f>INDEX('Model Pricing'!$C$7:$C$8,MATCH(F2175,'Model Pricing'!$A$7:$A$8,0))</x:f>
        <x:v>30</x:v>
      </x:c>
      <x:c r="L2175" s="17" t="n">
        <x:f>G2175+H2175</x:f>
        <x:v>33880</x:v>
      </x:c>
      <x:c r="M2175" s="28" t="n">
        <x:f>G2175*J2175/1000000</x:f>
        <x:v>0.25949</x:v>
      </x:c>
      <x:c r="N2175" s="28" t="n">
        <x:f>H2175*K2175/1000000</x:f>
        <x:v>0.23793</x:v>
      </x:c>
      <x:c r="O2175" s="28" t="n">
        <x:f>SUM(M2175:N2175)</x:f>
        <x:v>0.49742</x:v>
      </x:c>
    </x:row>
    <x:row r="2176" ht="23" customHeight="1">
      <x:c r="A2176" s="17" t="str">
        <x:v>U02170</x:v>
      </x:c>
      <x:c r="B2176" s="18" t="n">
        <x:v>46274</x:v>
      </x:c>
      <x:c r="C2176" s="17" t="str">
        <x:v>W0164</x:v>
      </x:c>
      <x:c r="D2176" s="17" t="str">
        <x:v>C003</x:v>
      </x:c>
      <x:c r="E2176" s="17" t="str">
        <x:v>DataFlow</x:v>
      </x:c>
      <x:c r="F2176" s="17" t="str">
        <x:v>Lite</x:v>
      </x:c>
      <x:c r="G2176" s="17" t="n">
        <x:v>49759</x:v>
      </x:c>
      <x:c r="H2176" s="17" t="n">
        <x:v>6379</x:v>
      </x:c>
      <x:c r="I2176" s="17" t="str">
        <x:v>Followup</x:v>
      </x:c>
      <x:c r="J2176" s="27" t="n">
        <x:f>INDEX('Model Pricing'!$B$7:$B$8,MATCH(F2176,'Model Pricing'!$A$7:$A$8,0))</x:f>
        <x:v>10</x:v>
      </x:c>
      <x:c r="K2176" s="27" t="n">
        <x:f>INDEX('Model Pricing'!$C$7:$C$8,MATCH(F2176,'Model Pricing'!$A$7:$A$8,0))</x:f>
        <x:v>30</x:v>
      </x:c>
      <x:c r="L2176" s="17" t="n">
        <x:f>G2176+H2176</x:f>
        <x:v>56138</x:v>
      </x:c>
      <x:c r="M2176" s="28" t="n">
        <x:f>G2176*J2176/1000000</x:f>
        <x:v>0.49759</x:v>
      </x:c>
      <x:c r="N2176" s="28" t="n">
        <x:f>H2176*K2176/1000000</x:f>
        <x:v>0.19137</x:v>
      </x:c>
      <x:c r="O2176" s="28" t="n">
        <x:f>SUM(M2176:N2176)</x:f>
        <x:v>0.68896</x:v>
      </x:c>
    </x:row>
    <x:row r="2177" ht="23" customHeight="1">
      <x:c r="A2177" s="17" t="str">
        <x:v>U02171</x:v>
      </x:c>
      <x:c r="B2177" s="18" t="n">
        <x:v>46274</x:v>
      </x:c>
      <x:c r="C2177" s="17" t="str">
        <x:v>W0164</x:v>
      </x:c>
      <x:c r="D2177" s="17" t="str">
        <x:v>C003</x:v>
      </x:c>
      <x:c r="E2177" s="17" t="str">
        <x:v>DataFlow</x:v>
      </x:c>
      <x:c r="F2177" s="17" t="str">
        <x:v>Lite</x:v>
      </x:c>
      <x:c r="G2177" s="17" t="n">
        <x:v>46619</x:v>
      </x:c>
      <x:c r="H2177" s="17" t="n">
        <x:v>7858</x:v>
      </x:c>
      <x:c r="I2177" s="17" t="str">
        <x:v>Followup</x:v>
      </x:c>
      <x:c r="J2177" s="27" t="n">
        <x:f>INDEX('Model Pricing'!$B$7:$B$8,MATCH(F2177,'Model Pricing'!$A$7:$A$8,0))</x:f>
        <x:v>10</x:v>
      </x:c>
      <x:c r="K2177" s="27" t="n">
        <x:f>INDEX('Model Pricing'!$C$7:$C$8,MATCH(F2177,'Model Pricing'!$A$7:$A$8,0))</x:f>
        <x:v>30</x:v>
      </x:c>
      <x:c r="L2177" s="17" t="n">
        <x:f>G2177+H2177</x:f>
        <x:v>54477</x:v>
      </x:c>
      <x:c r="M2177" s="28" t="n">
        <x:f>G2177*J2177/1000000</x:f>
        <x:v>0.46619</x:v>
      </x:c>
      <x:c r="N2177" s="28" t="n">
        <x:f>H2177*K2177/1000000</x:f>
        <x:v>0.23574</x:v>
      </x:c>
      <x:c r="O2177" s="28" t="n">
        <x:f>SUM(M2177:N2177)</x:f>
        <x:v>0.7019299999999999</x:v>
      </x:c>
    </x:row>
    <x:row r="2178" ht="23" customHeight="1">
      <x:c r="A2178" s="17" t="str">
        <x:v>U02172</x:v>
      </x:c>
      <x:c r="B2178" s="18" t="n">
        <x:v>46275</x:v>
      </x:c>
      <x:c r="C2178" s="17" t="str">
        <x:v>W0164</x:v>
      </x:c>
      <x:c r="D2178" s="17" t="str">
        <x:v>C003</x:v>
      </x:c>
      <x:c r="E2178" s="17" t="str">
        <x:v>DataFlow</x:v>
      </x:c>
      <x:c r="F2178" s="17" t="str">
        <x:v>Lite</x:v>
      </x:c>
      <x:c r="G2178" s="17" t="n">
        <x:v>30513</x:v>
      </x:c>
      <x:c r="H2178" s="17" t="n">
        <x:v>2482</x:v>
      </x:c>
      <x:c r="I2178" s="17" t="str">
        <x:v>Followup</x:v>
      </x:c>
      <x:c r="J2178" s="27" t="n">
        <x:f>INDEX('Model Pricing'!$B$7:$B$8,MATCH(F2178,'Model Pricing'!$A$7:$A$8,0))</x:f>
        <x:v>10</x:v>
      </x:c>
      <x:c r="K2178" s="27" t="n">
        <x:f>INDEX('Model Pricing'!$C$7:$C$8,MATCH(F2178,'Model Pricing'!$A$7:$A$8,0))</x:f>
        <x:v>30</x:v>
      </x:c>
      <x:c r="L2178" s="17" t="n">
        <x:f>G2178+H2178</x:f>
        <x:v>32995</x:v>
      </x:c>
      <x:c r="M2178" s="28" t="n">
        <x:f>G2178*J2178/1000000</x:f>
        <x:v>0.30513</x:v>
      </x:c>
      <x:c r="N2178" s="28" t="n">
        <x:f>H2178*K2178/1000000</x:f>
        <x:v>0.07446</x:v>
      </x:c>
      <x:c r="O2178" s="28" t="n">
        <x:f>SUM(M2178:N2178)</x:f>
        <x:v>0.37959</x:v>
      </x:c>
    </x:row>
    <x:row r="2179" ht="23" customHeight="1">
      <x:c r="A2179" s="17" t="str">
        <x:v>U02173</x:v>
      </x:c>
      <x:c r="B2179" s="18" t="n">
        <x:v>46275</x:v>
      </x:c>
      <x:c r="C2179" s="17" t="str">
        <x:v>W0164</x:v>
      </x:c>
      <x:c r="D2179" s="17" t="str">
        <x:v>C003</x:v>
      </x:c>
      <x:c r="E2179" s="17" t="str">
        <x:v>DataFlow</x:v>
      </x:c>
      <x:c r="F2179" s="17" t="str">
        <x:v>Lite</x:v>
      </x:c>
      <x:c r="G2179" s="17" t="n">
        <x:v>29637</x:v>
      </x:c>
      <x:c r="H2179" s="17" t="n">
        <x:v>4734</x:v>
      </x:c>
      <x:c r="I2179" s="17" t="str">
        <x:v>Followup</x:v>
      </x:c>
      <x:c r="J2179" s="27" t="n">
        <x:f>INDEX('Model Pricing'!$B$7:$B$8,MATCH(F2179,'Model Pricing'!$A$7:$A$8,0))</x:f>
        <x:v>10</x:v>
      </x:c>
      <x:c r="K2179" s="27" t="n">
        <x:f>INDEX('Model Pricing'!$C$7:$C$8,MATCH(F2179,'Model Pricing'!$A$7:$A$8,0))</x:f>
        <x:v>30</x:v>
      </x:c>
      <x:c r="L2179" s="17" t="n">
        <x:f>G2179+H2179</x:f>
        <x:v>34371</x:v>
      </x:c>
      <x:c r="M2179" s="28" t="n">
        <x:f>G2179*J2179/1000000</x:f>
        <x:v>0.29637</x:v>
      </x:c>
      <x:c r="N2179" s="28" t="n">
        <x:f>H2179*K2179/1000000</x:f>
        <x:v>0.14202</x:v>
      </x:c>
      <x:c r="O2179" s="28" t="n">
        <x:f>SUM(M2179:N2179)</x:f>
        <x:v>0.43839000000000006</x:v>
      </x:c>
    </x:row>
    <x:row r="2180" ht="23" customHeight="1">
      <x:c r="A2180" s="17" t="str">
        <x:v>U02174</x:v>
      </x:c>
      <x:c r="B2180" s="18" t="n">
        <x:v>46276</x:v>
      </x:c>
      <x:c r="C2180" s="17" t="str">
        <x:v>W0164</x:v>
      </x:c>
      <x:c r="D2180" s="17" t="str">
        <x:v>C003</x:v>
      </x:c>
      <x:c r="E2180" s="17" t="str">
        <x:v>DataFlow</x:v>
      </x:c>
      <x:c r="F2180" s="17" t="str">
        <x:v>Lite</x:v>
      </x:c>
      <x:c r="G2180" s="17" t="n">
        <x:v>35411</x:v>
      </x:c>
      <x:c r="H2180" s="17" t="n">
        <x:v>7006</x:v>
      </x:c>
      <x:c r="I2180" s="17" t="str">
        <x:v>Followup</x:v>
      </x:c>
      <x:c r="J2180" s="27" t="n">
        <x:f>INDEX('Model Pricing'!$B$7:$B$8,MATCH(F2180,'Model Pricing'!$A$7:$A$8,0))</x:f>
        <x:v>10</x:v>
      </x:c>
      <x:c r="K2180" s="27" t="n">
        <x:f>INDEX('Model Pricing'!$C$7:$C$8,MATCH(F2180,'Model Pricing'!$A$7:$A$8,0))</x:f>
        <x:v>30</x:v>
      </x:c>
      <x:c r="L2180" s="17" t="n">
        <x:f>G2180+H2180</x:f>
        <x:v>42417</x:v>
      </x:c>
      <x:c r="M2180" s="28" t="n">
        <x:f>G2180*J2180/1000000</x:f>
        <x:v>0.35411</x:v>
      </x:c>
      <x:c r="N2180" s="28" t="n">
        <x:f>H2180*K2180/1000000</x:f>
        <x:v>0.21018</x:v>
      </x:c>
      <x:c r="O2180" s="28" t="n">
        <x:f>SUM(M2180:N2180)</x:f>
        <x:v>0.56429</x:v>
      </x:c>
    </x:row>
    <x:row r="2181" ht="23" customHeight="1">
      <x:c r="A2181" s="17" t="str">
        <x:v>U02175</x:v>
      </x:c>
      <x:c r="B2181" s="18" t="n">
        <x:v>46276</x:v>
      </x:c>
      <x:c r="C2181" s="17" t="str">
        <x:v>W0164</x:v>
      </x:c>
      <x:c r="D2181" s="17" t="str">
        <x:v>C003</x:v>
      </x:c>
      <x:c r="E2181" s="17" t="str">
        <x:v>DataFlow</x:v>
      </x:c>
      <x:c r="F2181" s="17" t="str">
        <x:v>Lite</x:v>
      </x:c>
      <x:c r="G2181" s="17" t="n">
        <x:v>22794</x:v>
      </x:c>
      <x:c r="H2181" s="17" t="n">
        <x:v>3759</x:v>
      </x:c>
      <x:c r="I2181" s="17" t="str">
        <x:v>Correction</x:v>
      </x:c>
      <x:c r="J2181" s="27" t="n">
        <x:f>INDEX('Model Pricing'!$B$7:$B$8,MATCH(F2181,'Model Pricing'!$A$7:$A$8,0))</x:f>
        <x:v>10</x:v>
      </x:c>
      <x:c r="K2181" s="27" t="n">
        <x:f>INDEX('Model Pricing'!$C$7:$C$8,MATCH(F2181,'Model Pricing'!$A$7:$A$8,0))</x:f>
        <x:v>30</x:v>
      </x:c>
      <x:c r="L2181" s="17" t="n">
        <x:f>G2181+H2181</x:f>
        <x:v>26553</x:v>
      </x:c>
      <x:c r="M2181" s="28" t="n">
        <x:f>G2181*J2181/1000000</x:f>
        <x:v>0.22794</x:v>
      </x:c>
      <x:c r="N2181" s="28" t="n">
        <x:f>H2181*K2181/1000000</x:f>
        <x:v>0.11277</x:v>
      </x:c>
      <x:c r="O2181" s="28" t="n">
        <x:f>SUM(M2181:N2181)</x:f>
        <x:v>0.34071</x:v>
      </x:c>
    </x:row>
    <x:row r="2182" ht="23" customHeight="1">
      <x:c r="A2182" s="17" t="str">
        <x:v>U02176</x:v>
      </x:c>
      <x:c r="B2182" s="18" t="n">
        <x:v>46282</x:v>
      </x:c>
      <x:c r="C2182" s="17" t="str">
        <x:v>W0165</x:v>
      </x:c>
      <x:c r="D2182" s="17" t="str">
        <x:v>C003</x:v>
      </x:c>
      <x:c r="E2182" s="17" t="str">
        <x:v>InsightDesk</x:v>
      </x:c>
      <x:c r="F2182" s="17" t="str">
        <x:v>Lite</x:v>
      </x:c>
      <x:c r="G2182" s="17" t="n">
        <x:v>24314</x:v>
      </x:c>
      <x:c r="H2182" s="17" t="n">
        <x:v>5459</x:v>
      </x:c>
      <x:c r="I2182" s="17" t="str">
        <x:v>First attempt</x:v>
      </x:c>
      <x:c r="J2182" s="27" t="n">
        <x:f>INDEX('Model Pricing'!$B$7:$B$8,MATCH(F2182,'Model Pricing'!$A$7:$A$8,0))</x:f>
        <x:v>10</x:v>
      </x:c>
      <x:c r="K2182" s="27" t="n">
        <x:f>INDEX('Model Pricing'!$C$7:$C$8,MATCH(F2182,'Model Pricing'!$A$7:$A$8,0))</x:f>
        <x:v>30</x:v>
      </x:c>
      <x:c r="L2182" s="17" t="n">
        <x:f>G2182+H2182</x:f>
        <x:v>29773</x:v>
      </x:c>
      <x:c r="M2182" s="28" t="n">
        <x:f>G2182*J2182/1000000</x:f>
        <x:v>0.24314</x:v>
      </x:c>
      <x:c r="N2182" s="28" t="n">
        <x:f>H2182*K2182/1000000</x:f>
        <x:v>0.16377</x:v>
      </x:c>
      <x:c r="O2182" s="28" t="n">
        <x:f>SUM(M2182:N2182)</x:f>
        <x:v>0.40691</x:v>
      </x:c>
    </x:row>
    <x:row r="2183" ht="23" customHeight="1">
      <x:c r="A2183" s="17" t="str">
        <x:v>U02177</x:v>
      </x:c>
      <x:c r="B2183" s="18" t="n">
        <x:v>46282</x:v>
      </x:c>
      <x:c r="C2183" s="17" t="str">
        <x:v>W0165</x:v>
      </x:c>
      <x:c r="D2183" s="17" t="str">
        <x:v>C003</x:v>
      </x:c>
      <x:c r="E2183" s="17" t="str">
        <x:v>InsightDesk</x:v>
      </x:c>
      <x:c r="F2183" s="17" t="str">
        <x:v>Lite</x:v>
      </x:c>
      <x:c r="G2183" s="17" t="n">
        <x:v>20380</x:v>
      </x:c>
      <x:c r="H2183" s="17" t="n">
        <x:v>4455</x:v>
      </x:c>
      <x:c r="I2183" s="17" t="str">
        <x:v>Followup</x:v>
      </x:c>
      <x:c r="J2183" s="27" t="n">
        <x:f>INDEX('Model Pricing'!$B$7:$B$8,MATCH(F2183,'Model Pricing'!$A$7:$A$8,0))</x:f>
        <x:v>10</x:v>
      </x:c>
      <x:c r="K2183" s="27" t="n">
        <x:f>INDEX('Model Pricing'!$C$7:$C$8,MATCH(F2183,'Model Pricing'!$A$7:$A$8,0))</x:f>
        <x:v>30</x:v>
      </x:c>
      <x:c r="L2183" s="17" t="n">
        <x:f>G2183+H2183</x:f>
        <x:v>24835</x:v>
      </x:c>
      <x:c r="M2183" s="28" t="n">
        <x:f>G2183*J2183/1000000</x:f>
        <x:v>0.2038</x:v>
      </x:c>
      <x:c r="N2183" s="28" t="n">
        <x:f>H2183*K2183/1000000</x:f>
        <x:v>0.13365</x:v>
      </x:c>
      <x:c r="O2183" s="28" t="n">
        <x:f>SUM(M2183:N2183)</x:f>
        <x:v>0.33745</x:v>
      </x:c>
    </x:row>
    <x:row r="2184" ht="23" customHeight="1">
      <x:c r="A2184" s="17" t="str">
        <x:v>U02178</x:v>
      </x:c>
      <x:c r="B2184" s="18" t="n">
        <x:v>46282</x:v>
      </x:c>
      <x:c r="C2184" s="17" t="str">
        <x:v>W0165</x:v>
      </x:c>
      <x:c r="D2184" s="17" t="str">
        <x:v>C003</x:v>
      </x:c>
      <x:c r="E2184" s="17" t="str">
        <x:v>InsightDesk</x:v>
      </x:c>
      <x:c r="F2184" s="17" t="str">
        <x:v>Lite</x:v>
      </x:c>
      <x:c r="G2184" s="17" t="n">
        <x:v>26864</x:v>
      </x:c>
      <x:c r="H2184" s="17" t="n">
        <x:v>3724</x:v>
      </x:c>
      <x:c r="I2184" s="17" t="str">
        <x:v>Followup</x:v>
      </x:c>
      <x:c r="J2184" s="27" t="n">
        <x:f>INDEX('Model Pricing'!$B$7:$B$8,MATCH(F2184,'Model Pricing'!$A$7:$A$8,0))</x:f>
        <x:v>10</x:v>
      </x:c>
      <x:c r="K2184" s="27" t="n">
        <x:f>INDEX('Model Pricing'!$C$7:$C$8,MATCH(F2184,'Model Pricing'!$A$7:$A$8,0))</x:f>
        <x:v>30</x:v>
      </x:c>
      <x:c r="L2184" s="17" t="n">
        <x:f>G2184+H2184</x:f>
        <x:v>30588</x:v>
      </x:c>
      <x:c r="M2184" s="28" t="n">
        <x:f>G2184*J2184/1000000</x:f>
        <x:v>0.26864</x:v>
      </x:c>
      <x:c r="N2184" s="28" t="n">
        <x:f>H2184*K2184/1000000</x:f>
        <x:v>0.11172</x:v>
      </x:c>
      <x:c r="O2184" s="28" t="n">
        <x:f>SUM(M2184:N2184)</x:f>
        <x:v>0.38036</x:v>
      </x:c>
    </x:row>
    <x:row r="2185" ht="23" customHeight="1">
      <x:c r="A2185" s="17" t="str">
        <x:v>U02179</x:v>
      </x:c>
      <x:c r="B2185" s="18" t="n">
        <x:v>46283</x:v>
      </x:c>
      <x:c r="C2185" s="17" t="str">
        <x:v>W0165</x:v>
      </x:c>
      <x:c r="D2185" s="17" t="str">
        <x:v>C003</x:v>
      </x:c>
      <x:c r="E2185" s="17" t="str">
        <x:v>InsightDesk</x:v>
      </x:c>
      <x:c r="F2185" s="17" t="str">
        <x:v>Lite</x:v>
      </x:c>
      <x:c r="G2185" s="17" t="n">
        <x:v>13735</x:v>
      </x:c>
      <x:c r="H2185" s="17" t="n">
        <x:v>3360</x:v>
      </x:c>
      <x:c r="I2185" s="17" t="str">
        <x:v>Correction</x:v>
      </x:c>
      <x:c r="J2185" s="27" t="n">
        <x:f>INDEX('Model Pricing'!$B$7:$B$8,MATCH(F2185,'Model Pricing'!$A$7:$A$8,0))</x:f>
        <x:v>10</x:v>
      </x:c>
      <x:c r="K2185" s="27" t="n">
        <x:f>INDEX('Model Pricing'!$C$7:$C$8,MATCH(F2185,'Model Pricing'!$A$7:$A$8,0))</x:f>
        <x:v>30</x:v>
      </x:c>
      <x:c r="L2185" s="17" t="n">
        <x:f>G2185+H2185</x:f>
        <x:v>17095</x:v>
      </x:c>
      <x:c r="M2185" s="28" t="n">
        <x:f>G2185*J2185/1000000</x:f>
        <x:v>0.13735</x:v>
      </x:c>
      <x:c r="N2185" s="28" t="n">
        <x:f>H2185*K2185/1000000</x:f>
        <x:v>0.1008</x:v>
      </x:c>
      <x:c r="O2185" s="28" t="n">
        <x:f>SUM(M2185:N2185)</x:f>
        <x:v>0.23815</x:v>
      </x:c>
    </x:row>
    <x:row r="2186" ht="23" customHeight="1">
      <x:c r="A2186" s="17" t="str">
        <x:v>U02180</x:v>
      </x:c>
      <x:c r="B2186" s="18" t="n">
        <x:v>46283</x:v>
      </x:c>
      <x:c r="C2186" s="17" t="str">
        <x:v>W0165</x:v>
      </x:c>
      <x:c r="D2186" s="17" t="str">
        <x:v>C003</x:v>
      </x:c>
      <x:c r="E2186" s="17" t="str">
        <x:v>InsightDesk</x:v>
      </x:c>
      <x:c r="F2186" s="17" t="str">
        <x:v>Lite</x:v>
      </x:c>
      <x:c r="G2186" s="17" t="n">
        <x:v>14103</x:v>
      </x:c>
      <x:c r="H2186" s="17" t="n">
        <x:v>3513</x:v>
      </x:c>
      <x:c r="I2186" s="17" t="str">
        <x:v>Followup</x:v>
      </x:c>
      <x:c r="J2186" s="27" t="n">
        <x:f>INDEX('Model Pricing'!$B$7:$B$8,MATCH(F2186,'Model Pricing'!$A$7:$A$8,0))</x:f>
        <x:v>10</x:v>
      </x:c>
      <x:c r="K2186" s="27" t="n">
        <x:f>INDEX('Model Pricing'!$C$7:$C$8,MATCH(F2186,'Model Pricing'!$A$7:$A$8,0))</x:f>
        <x:v>30</x:v>
      </x:c>
      <x:c r="L2186" s="17" t="n">
        <x:f>G2186+H2186</x:f>
        <x:v>17616</x:v>
      </x:c>
      <x:c r="M2186" s="28" t="n">
        <x:f>G2186*J2186/1000000</x:f>
        <x:v>0.14103</x:v>
      </x:c>
      <x:c r="N2186" s="28" t="n">
        <x:f>H2186*K2186/1000000</x:f>
        <x:v>0.10539</x:v>
      </x:c>
      <x:c r="O2186" s="28" t="n">
        <x:f>SUM(M2186:N2186)</x:f>
        <x:v>0.24641999999999997</x:v>
      </x:c>
    </x:row>
    <x:row r="2187" ht="23" customHeight="1">
      <x:c r="A2187" s="17" t="str">
        <x:v>U02181</x:v>
      </x:c>
      <x:c r="B2187" s="18" t="n">
        <x:v>46283</x:v>
      </x:c>
      <x:c r="C2187" s="17" t="str">
        <x:v>W0165</x:v>
      </x:c>
      <x:c r="D2187" s="17" t="str">
        <x:v>C003</x:v>
      </x:c>
      <x:c r="E2187" s="17" t="str">
        <x:v>InsightDesk</x:v>
      </x:c>
      <x:c r="F2187" s="17" t="str">
        <x:v>Lite</x:v>
      </x:c>
      <x:c r="G2187" s="17" t="n">
        <x:v>34166</x:v>
      </x:c>
      <x:c r="H2187" s="17" t="n">
        <x:v>6243</x:v>
      </x:c>
      <x:c r="I2187" s="17" t="str">
        <x:v>Followup</x:v>
      </x:c>
      <x:c r="J2187" s="27" t="n">
        <x:f>INDEX('Model Pricing'!$B$7:$B$8,MATCH(F2187,'Model Pricing'!$A$7:$A$8,0))</x:f>
        <x:v>10</x:v>
      </x:c>
      <x:c r="K2187" s="27" t="n">
        <x:f>INDEX('Model Pricing'!$C$7:$C$8,MATCH(F2187,'Model Pricing'!$A$7:$A$8,0))</x:f>
        <x:v>30</x:v>
      </x:c>
      <x:c r="L2187" s="17" t="n">
        <x:f>G2187+H2187</x:f>
        <x:v>40409</x:v>
      </x:c>
      <x:c r="M2187" s="28" t="n">
        <x:f>G2187*J2187/1000000</x:f>
        <x:v>0.34166</x:v>
      </x:c>
      <x:c r="N2187" s="28" t="n">
        <x:f>H2187*K2187/1000000</x:f>
        <x:v>0.18729</x:v>
      </x:c>
      <x:c r="O2187" s="28" t="n">
        <x:f>SUM(M2187:N2187)</x:f>
        <x:v>0.52895</x:v>
      </x:c>
    </x:row>
    <x:row r="2188" ht="23" customHeight="1">
      <x:c r="A2188" s="17" t="str">
        <x:v>U02182</x:v>
      </x:c>
      <x:c r="B2188" s="18" t="n">
        <x:v>46286</x:v>
      </x:c>
      <x:c r="C2188" s="17" t="str">
        <x:v>W0165</x:v>
      </x:c>
      <x:c r="D2188" s="17" t="str">
        <x:v>C003</x:v>
      </x:c>
      <x:c r="E2188" s="17" t="str">
        <x:v>InsightDesk</x:v>
      </x:c>
      <x:c r="F2188" s="17" t="str">
        <x:v>Lite</x:v>
      </x:c>
      <x:c r="G2188" s="17" t="n">
        <x:v>23483</x:v>
      </x:c>
      <x:c r="H2188" s="17" t="n">
        <x:v>4036</x:v>
      </x:c>
      <x:c r="I2188" s="17" t="str">
        <x:v>Followup</x:v>
      </x:c>
      <x:c r="J2188" s="27" t="n">
        <x:f>INDEX('Model Pricing'!$B$7:$B$8,MATCH(F2188,'Model Pricing'!$A$7:$A$8,0))</x:f>
        <x:v>10</x:v>
      </x:c>
      <x:c r="K2188" s="27" t="n">
        <x:f>INDEX('Model Pricing'!$C$7:$C$8,MATCH(F2188,'Model Pricing'!$A$7:$A$8,0))</x:f>
        <x:v>30</x:v>
      </x:c>
      <x:c r="L2188" s="17" t="n">
        <x:f>G2188+H2188</x:f>
        <x:v>27519</x:v>
      </x:c>
      <x:c r="M2188" s="28" t="n">
        <x:f>G2188*J2188/1000000</x:f>
        <x:v>0.23483</x:v>
      </x:c>
      <x:c r="N2188" s="28" t="n">
        <x:f>H2188*K2188/1000000</x:f>
        <x:v>0.12108</x:v>
      </x:c>
      <x:c r="O2188" s="28" t="n">
        <x:f>SUM(M2188:N2188)</x:f>
        <x:v>0.35591</x:v>
      </x:c>
    </x:row>
    <x:row r="2189" ht="23" customHeight="1">
      <x:c r="A2189" s="17" t="str">
        <x:v>U02183</x:v>
      </x:c>
      <x:c r="B2189" s="18" t="n">
        <x:v>46286</x:v>
      </x:c>
      <x:c r="C2189" s="17" t="str">
        <x:v>W0165</x:v>
      </x:c>
      <x:c r="D2189" s="17" t="str">
        <x:v>C003</x:v>
      </x:c>
      <x:c r="E2189" s="17" t="str">
        <x:v>InsightDesk</x:v>
      </x:c>
      <x:c r="F2189" s="17" t="str">
        <x:v>Lite</x:v>
      </x:c>
      <x:c r="G2189" s="17" t="n">
        <x:v>17760</x:v>
      </x:c>
      <x:c r="H2189" s="17" t="n">
        <x:v>4925</x:v>
      </x:c>
      <x:c r="I2189" s="17" t="str">
        <x:v>Followup</x:v>
      </x:c>
      <x:c r="J2189" s="27" t="n">
        <x:f>INDEX('Model Pricing'!$B$7:$B$8,MATCH(F2189,'Model Pricing'!$A$7:$A$8,0))</x:f>
        <x:v>10</x:v>
      </x:c>
      <x:c r="K2189" s="27" t="n">
        <x:f>INDEX('Model Pricing'!$C$7:$C$8,MATCH(F2189,'Model Pricing'!$A$7:$A$8,0))</x:f>
        <x:v>30</x:v>
      </x:c>
      <x:c r="L2189" s="17" t="n">
        <x:f>G2189+H2189</x:f>
        <x:v>22685</x:v>
      </x:c>
      <x:c r="M2189" s="28" t="n">
        <x:f>G2189*J2189/1000000</x:f>
        <x:v>0.1776</x:v>
      </x:c>
      <x:c r="N2189" s="28" t="n">
        <x:f>H2189*K2189/1000000</x:f>
        <x:v>0.14775</x:v>
      </x:c>
      <x:c r="O2189" s="28" t="n">
        <x:f>SUM(M2189:N2189)</x:f>
        <x:v>0.32535000000000003</x:v>
      </x:c>
    </x:row>
    <x:row r="2190" ht="23" customHeight="1">
      <x:c r="A2190" s="17" t="str">
        <x:v>U02184</x:v>
      </x:c>
      <x:c r="B2190" s="18" t="n">
        <x:v>46286</x:v>
      </x:c>
      <x:c r="C2190" s="17" t="str">
        <x:v>W0165</x:v>
      </x:c>
      <x:c r="D2190" s="17" t="str">
        <x:v>C003</x:v>
      </x:c>
      <x:c r="E2190" s="17" t="str">
        <x:v>InsightDesk</x:v>
      </x:c>
      <x:c r="F2190" s="17" t="str">
        <x:v>Lite</x:v>
      </x:c>
      <x:c r="G2190" s="17" t="n">
        <x:v>22097</x:v>
      </x:c>
      <x:c r="H2190" s="17" t="n">
        <x:v>1822</x:v>
      </x:c>
      <x:c r="I2190" s="17" t="str">
        <x:v>Followup</x:v>
      </x:c>
      <x:c r="J2190" s="27" t="n">
        <x:f>INDEX('Model Pricing'!$B$7:$B$8,MATCH(F2190,'Model Pricing'!$A$7:$A$8,0))</x:f>
        <x:v>10</x:v>
      </x:c>
      <x:c r="K2190" s="27" t="n">
        <x:f>INDEX('Model Pricing'!$C$7:$C$8,MATCH(F2190,'Model Pricing'!$A$7:$A$8,0))</x:f>
        <x:v>30</x:v>
      </x:c>
      <x:c r="L2190" s="17" t="n">
        <x:f>G2190+H2190</x:f>
        <x:v>23919</x:v>
      </x:c>
      <x:c r="M2190" s="28" t="n">
        <x:f>G2190*J2190/1000000</x:f>
        <x:v>0.22097</x:v>
      </x:c>
      <x:c r="N2190" s="28" t="n">
        <x:f>H2190*K2190/1000000</x:f>
        <x:v>0.05466</x:v>
      </x:c>
      <x:c r="O2190" s="28" t="n">
        <x:f>SUM(M2190:N2190)</x:f>
        <x:v>0.27563</x:v>
      </x:c>
    </x:row>
    <x:row r="2191" ht="23" customHeight="1">
      <x:c r="A2191" s="17" t="str">
        <x:v>U02185</x:v>
      </x:c>
      <x:c r="B2191" s="18" t="n">
        <x:v>46287</x:v>
      </x:c>
      <x:c r="C2191" s="17" t="str">
        <x:v>W0165</x:v>
      </x:c>
      <x:c r="D2191" s="17" t="str">
        <x:v>C003</x:v>
      </x:c>
      <x:c r="E2191" s="17" t="str">
        <x:v>InsightDesk</x:v>
      </x:c>
      <x:c r="F2191" s="17" t="str">
        <x:v>Lite</x:v>
      </x:c>
      <x:c r="G2191" s="17" t="n">
        <x:v>19128</x:v>
      </x:c>
      <x:c r="H2191" s="17" t="n">
        <x:v>1763</x:v>
      </x:c>
      <x:c r="I2191" s="17" t="str">
        <x:v>Followup</x:v>
      </x:c>
      <x:c r="J2191" s="27" t="n">
        <x:f>INDEX('Model Pricing'!$B$7:$B$8,MATCH(F2191,'Model Pricing'!$A$7:$A$8,0))</x:f>
        <x:v>10</x:v>
      </x:c>
      <x:c r="K2191" s="27" t="n">
        <x:f>INDEX('Model Pricing'!$C$7:$C$8,MATCH(F2191,'Model Pricing'!$A$7:$A$8,0))</x:f>
        <x:v>30</x:v>
      </x:c>
      <x:c r="L2191" s="17" t="n">
        <x:f>G2191+H2191</x:f>
        <x:v>20891</x:v>
      </x:c>
      <x:c r="M2191" s="28" t="n">
        <x:f>G2191*J2191/1000000</x:f>
        <x:v>0.19128</x:v>
      </x:c>
      <x:c r="N2191" s="28" t="n">
        <x:f>H2191*K2191/1000000</x:f>
        <x:v>0.05289</x:v>
      </x:c>
      <x:c r="O2191" s="28" t="n">
        <x:f>SUM(M2191:N2191)</x:f>
        <x:v>0.24417</x:v>
      </x:c>
    </x:row>
    <x:row r="2192" ht="23" customHeight="1">
      <x:c r="A2192" s="17" t="str">
        <x:v>U02186</x:v>
      </x:c>
      <x:c r="B2192" s="18" t="n">
        <x:v>46287</x:v>
      </x:c>
      <x:c r="C2192" s="17" t="str">
        <x:v>W0165</x:v>
      </x:c>
      <x:c r="D2192" s="17" t="str">
        <x:v>C003</x:v>
      </x:c>
      <x:c r="E2192" s="17" t="str">
        <x:v>InsightDesk</x:v>
      </x:c>
      <x:c r="F2192" s="17" t="str">
        <x:v>Lite</x:v>
      </x:c>
      <x:c r="G2192" s="17" t="n">
        <x:v>27433</x:v>
      </x:c>
      <x:c r="H2192" s="17" t="n">
        <x:v>1693</x:v>
      </x:c>
      <x:c r="I2192" s="17" t="str">
        <x:v>Correction</x:v>
      </x:c>
      <x:c r="J2192" s="27" t="n">
        <x:f>INDEX('Model Pricing'!$B$7:$B$8,MATCH(F2192,'Model Pricing'!$A$7:$A$8,0))</x:f>
        <x:v>10</x:v>
      </x:c>
      <x:c r="K2192" s="27" t="n">
        <x:f>INDEX('Model Pricing'!$C$7:$C$8,MATCH(F2192,'Model Pricing'!$A$7:$A$8,0))</x:f>
        <x:v>30</x:v>
      </x:c>
      <x:c r="L2192" s="17" t="n">
        <x:f>G2192+H2192</x:f>
        <x:v>29126</x:v>
      </x:c>
      <x:c r="M2192" s="28" t="n">
        <x:f>G2192*J2192/1000000</x:f>
        <x:v>0.27433</x:v>
      </x:c>
      <x:c r="N2192" s="28" t="n">
        <x:f>H2192*K2192/1000000</x:f>
        <x:v>0.05079</x:v>
      </x:c>
      <x:c r="O2192" s="28" t="n">
        <x:f>SUM(M2192:N2192)</x:f>
        <x:v>0.32512</x:v>
      </x:c>
    </x:row>
    <x:row r="2193" ht="23" customHeight="1">
      <x:c r="A2193" s="17" t="str">
        <x:v>U02187</x:v>
      </x:c>
      <x:c r="B2193" s="18" t="n">
        <x:v>46287</x:v>
      </x:c>
      <x:c r="C2193" s="17" t="str">
        <x:v>W0165</x:v>
      </x:c>
      <x:c r="D2193" s="17" t="str">
        <x:v>C003</x:v>
      </x:c>
      <x:c r="E2193" s="17" t="str">
        <x:v>InsightDesk</x:v>
      </x:c>
      <x:c r="F2193" s="17" t="str">
        <x:v>Lite</x:v>
      </x:c>
      <x:c r="G2193" s="17" t="n">
        <x:v>21774</x:v>
      </x:c>
      <x:c r="H2193" s="17" t="n">
        <x:v>4350</x:v>
      </x:c>
      <x:c r="I2193" s="17" t="str">
        <x:v>Followup</x:v>
      </x:c>
      <x:c r="J2193" s="27" t="n">
        <x:f>INDEX('Model Pricing'!$B$7:$B$8,MATCH(F2193,'Model Pricing'!$A$7:$A$8,0))</x:f>
        <x:v>10</x:v>
      </x:c>
      <x:c r="K2193" s="27" t="n">
        <x:f>INDEX('Model Pricing'!$C$7:$C$8,MATCH(F2193,'Model Pricing'!$A$7:$A$8,0))</x:f>
        <x:v>30</x:v>
      </x:c>
      <x:c r="L2193" s="17" t="n">
        <x:f>G2193+H2193</x:f>
        <x:v>26124</x:v>
      </x:c>
      <x:c r="M2193" s="28" t="n">
        <x:f>G2193*J2193/1000000</x:f>
        <x:v>0.21774</x:v>
      </x:c>
      <x:c r="N2193" s="28" t="n">
        <x:f>H2193*K2193/1000000</x:f>
        <x:v>0.1305</x:v>
      </x:c>
      <x:c r="O2193" s="28" t="n">
        <x:f>SUM(M2193:N2193)</x:f>
        <x:v>0.34824</x:v>
      </x:c>
    </x:row>
    <x:row r="2194" ht="23" customHeight="1">
      <x:c r="A2194" s="17" t="str">
        <x:v>U02188</x:v>
      </x:c>
      <x:c r="B2194" s="18" t="n">
        <x:v>46266</x:v>
      </x:c>
      <x:c r="C2194" s="17" t="str">
        <x:v>W0166</x:v>
      </x:c>
      <x:c r="D2194" s="17" t="str">
        <x:v>C003</x:v>
      </x:c>
      <x:c r="E2194" s="17" t="str">
        <x:v>DataFlow</x:v>
      </x:c>
      <x:c r="F2194" s="17" t="str">
        <x:v>Lite</x:v>
      </x:c>
      <x:c r="G2194" s="17" t="n">
        <x:v>15839</x:v>
      </x:c>
      <x:c r="H2194" s="17" t="n">
        <x:v>2277</x:v>
      </x:c>
      <x:c r="I2194" s="17" t="str">
        <x:v>First attempt</x:v>
      </x:c>
      <x:c r="J2194" s="27" t="n">
        <x:f>INDEX('Model Pricing'!$B$7:$B$8,MATCH(F2194,'Model Pricing'!$A$7:$A$8,0))</x:f>
        <x:v>10</x:v>
      </x:c>
      <x:c r="K2194" s="27" t="n">
        <x:f>INDEX('Model Pricing'!$C$7:$C$8,MATCH(F2194,'Model Pricing'!$A$7:$A$8,0))</x:f>
        <x:v>30</x:v>
      </x:c>
      <x:c r="L2194" s="17" t="n">
        <x:f>G2194+H2194</x:f>
        <x:v>18116</x:v>
      </x:c>
      <x:c r="M2194" s="28" t="n">
        <x:f>G2194*J2194/1000000</x:f>
        <x:v>0.15839</x:v>
      </x:c>
      <x:c r="N2194" s="28" t="n">
        <x:f>H2194*K2194/1000000</x:f>
        <x:v>0.06831</x:v>
      </x:c>
      <x:c r="O2194" s="28" t="n">
        <x:f>SUM(M2194:N2194)</x:f>
        <x:v>0.2267</x:v>
      </x:c>
    </x:row>
    <x:row r="2195" ht="23" customHeight="1">
      <x:c r="A2195" s="17" t="str">
        <x:v>U02189</x:v>
      </x:c>
      <x:c r="B2195" s="18" t="n">
        <x:v>46266</x:v>
      </x:c>
      <x:c r="C2195" s="17" t="str">
        <x:v>W0166</x:v>
      </x:c>
      <x:c r="D2195" s="17" t="str">
        <x:v>C003</x:v>
      </x:c>
      <x:c r="E2195" s="17" t="str">
        <x:v>DataFlow</x:v>
      </x:c>
      <x:c r="F2195" s="17" t="str">
        <x:v>Lite</x:v>
      </x:c>
      <x:c r="G2195" s="17" t="n">
        <x:v>26357</x:v>
      </x:c>
      <x:c r="H2195" s="17" t="n">
        <x:v>6061</x:v>
      </x:c>
      <x:c r="I2195" s="17" t="str">
        <x:v>Followup</x:v>
      </x:c>
      <x:c r="J2195" s="27" t="n">
        <x:f>INDEX('Model Pricing'!$B$7:$B$8,MATCH(F2195,'Model Pricing'!$A$7:$A$8,0))</x:f>
        <x:v>10</x:v>
      </x:c>
      <x:c r="K2195" s="27" t="n">
        <x:f>INDEX('Model Pricing'!$C$7:$C$8,MATCH(F2195,'Model Pricing'!$A$7:$A$8,0))</x:f>
        <x:v>30</x:v>
      </x:c>
      <x:c r="L2195" s="17" t="n">
        <x:f>G2195+H2195</x:f>
        <x:v>32418</x:v>
      </x:c>
      <x:c r="M2195" s="28" t="n">
        <x:f>G2195*J2195/1000000</x:f>
        <x:v>0.26357</x:v>
      </x:c>
      <x:c r="N2195" s="28" t="n">
        <x:f>H2195*K2195/1000000</x:f>
        <x:v>0.18183</x:v>
      </x:c>
      <x:c r="O2195" s="28" t="n">
        <x:f>SUM(M2195:N2195)</x:f>
        <x:v>0.4454</x:v>
      </x:c>
    </x:row>
    <x:row r="2196" ht="23" customHeight="1">
      <x:c r="A2196" s="17" t="str">
        <x:v>U02190</x:v>
      </x:c>
      <x:c r="B2196" s="18" t="n">
        <x:v>46266</x:v>
      </x:c>
      <x:c r="C2196" s="17" t="str">
        <x:v>W0166</x:v>
      </x:c>
      <x:c r="D2196" s="17" t="str">
        <x:v>C003</x:v>
      </x:c>
      <x:c r="E2196" s="17" t="str">
        <x:v>DataFlow</x:v>
      </x:c>
      <x:c r="F2196" s="17" t="str">
        <x:v>Lite</x:v>
      </x:c>
      <x:c r="G2196" s="17" t="n">
        <x:v>15832</x:v>
      </x:c>
      <x:c r="H2196" s="17" t="n">
        <x:v>3803</x:v>
      </x:c>
      <x:c r="I2196" s="17" t="str">
        <x:v>Followup</x:v>
      </x:c>
      <x:c r="J2196" s="27" t="n">
        <x:f>INDEX('Model Pricing'!$B$7:$B$8,MATCH(F2196,'Model Pricing'!$A$7:$A$8,0))</x:f>
        <x:v>10</x:v>
      </x:c>
      <x:c r="K2196" s="27" t="n">
        <x:f>INDEX('Model Pricing'!$C$7:$C$8,MATCH(F2196,'Model Pricing'!$A$7:$A$8,0))</x:f>
        <x:v>30</x:v>
      </x:c>
      <x:c r="L2196" s="17" t="n">
        <x:f>G2196+H2196</x:f>
        <x:v>19635</x:v>
      </x:c>
      <x:c r="M2196" s="28" t="n">
        <x:f>G2196*J2196/1000000</x:f>
        <x:v>0.15832</x:v>
      </x:c>
      <x:c r="N2196" s="28" t="n">
        <x:f>H2196*K2196/1000000</x:f>
        <x:v>0.11409</x:v>
      </x:c>
      <x:c r="O2196" s="28" t="n">
        <x:f>SUM(M2196:N2196)</x:f>
        <x:v>0.27241</x:v>
      </x:c>
    </x:row>
    <x:row r="2197" ht="23" customHeight="1">
      <x:c r="A2197" s="17" t="str">
        <x:v>U02191</x:v>
      </x:c>
      <x:c r="B2197" s="18" t="n">
        <x:v>46266</x:v>
      </x:c>
      <x:c r="C2197" s="17" t="str">
        <x:v>W0166</x:v>
      </x:c>
      <x:c r="D2197" s="17" t="str">
        <x:v>C003</x:v>
      </x:c>
      <x:c r="E2197" s="17" t="str">
        <x:v>DataFlow</x:v>
      </x:c>
      <x:c r="F2197" s="17" t="str">
        <x:v>Lite</x:v>
      </x:c>
      <x:c r="G2197" s="17" t="n">
        <x:v>32788</x:v>
      </x:c>
      <x:c r="H2197" s="17" t="n">
        <x:v>6387</x:v>
      </x:c>
      <x:c r="I2197" s="17" t="str">
        <x:v>Followup</x:v>
      </x:c>
      <x:c r="J2197" s="27" t="n">
        <x:f>INDEX('Model Pricing'!$B$7:$B$8,MATCH(F2197,'Model Pricing'!$A$7:$A$8,0))</x:f>
        <x:v>10</x:v>
      </x:c>
      <x:c r="K2197" s="27" t="n">
        <x:f>INDEX('Model Pricing'!$C$7:$C$8,MATCH(F2197,'Model Pricing'!$A$7:$A$8,0))</x:f>
        <x:v>30</x:v>
      </x:c>
      <x:c r="L2197" s="17" t="n">
        <x:f>G2197+H2197</x:f>
        <x:v>39175</x:v>
      </x:c>
      <x:c r="M2197" s="28" t="n">
        <x:f>G2197*J2197/1000000</x:f>
        <x:v>0.32788</x:v>
      </x:c>
      <x:c r="N2197" s="28" t="n">
        <x:f>H2197*K2197/1000000</x:f>
        <x:v>0.19161</x:v>
      </x:c>
      <x:c r="O2197" s="28" t="n">
        <x:f>SUM(M2197:N2197)</x:f>
        <x:v>0.51949</x:v>
      </x:c>
    </x:row>
    <x:row r="2198" ht="23" customHeight="1">
      <x:c r="A2198" s="17" t="str">
        <x:v>U02192</x:v>
      </x:c>
      <x:c r="B2198" s="18" t="n">
        <x:v>46266</x:v>
      </x:c>
      <x:c r="C2198" s="17" t="str">
        <x:v>W0166</x:v>
      </x:c>
      <x:c r="D2198" s="17" t="str">
        <x:v>C003</x:v>
      </x:c>
      <x:c r="E2198" s="17" t="str">
        <x:v>DataFlow</x:v>
      </x:c>
      <x:c r="F2198" s="17" t="str">
        <x:v>Lite</x:v>
      </x:c>
      <x:c r="G2198" s="17" t="n">
        <x:v>14500</x:v>
      </x:c>
      <x:c r="H2198" s="17" t="n">
        <x:v>5681</x:v>
      </x:c>
      <x:c r="I2198" s="17" t="str">
        <x:v>Followup</x:v>
      </x:c>
      <x:c r="J2198" s="27" t="n">
        <x:f>INDEX('Model Pricing'!$B$7:$B$8,MATCH(F2198,'Model Pricing'!$A$7:$A$8,0))</x:f>
        <x:v>10</x:v>
      </x:c>
      <x:c r="K2198" s="27" t="n">
        <x:f>INDEX('Model Pricing'!$C$7:$C$8,MATCH(F2198,'Model Pricing'!$A$7:$A$8,0))</x:f>
        <x:v>30</x:v>
      </x:c>
      <x:c r="L2198" s="17" t="n">
        <x:f>G2198+H2198</x:f>
        <x:v>20181</x:v>
      </x:c>
      <x:c r="M2198" s="28" t="n">
        <x:f>G2198*J2198/1000000</x:f>
        <x:v>0.145</x:v>
      </x:c>
      <x:c r="N2198" s="28" t="n">
        <x:f>H2198*K2198/1000000</x:f>
        <x:v>0.17043</x:v>
      </x:c>
      <x:c r="O2198" s="28" t="n">
        <x:f>SUM(M2198:N2198)</x:f>
        <x:v>0.31543</x:v>
      </x:c>
    </x:row>
    <x:row r="2199" ht="23" customHeight="1">
      <x:c r="A2199" s="17" t="str">
        <x:v>U02193</x:v>
      </x:c>
      <x:c r="B2199" s="18" t="n">
        <x:v>46267</x:v>
      </x:c>
      <x:c r="C2199" s="17" t="str">
        <x:v>W0166</x:v>
      </x:c>
      <x:c r="D2199" s="17" t="str">
        <x:v>C003</x:v>
      </x:c>
      <x:c r="E2199" s="17" t="str">
        <x:v>DataFlow</x:v>
      </x:c>
      <x:c r="F2199" s="17" t="str">
        <x:v>Lite</x:v>
      </x:c>
      <x:c r="G2199" s="17" t="n">
        <x:v>25480</x:v>
      </x:c>
      <x:c r="H2199" s="17" t="n">
        <x:v>6849</x:v>
      </x:c>
      <x:c r="I2199" s="17" t="str">
        <x:v>Followup</x:v>
      </x:c>
      <x:c r="J2199" s="27" t="n">
        <x:f>INDEX('Model Pricing'!$B$7:$B$8,MATCH(F2199,'Model Pricing'!$A$7:$A$8,0))</x:f>
        <x:v>10</x:v>
      </x:c>
      <x:c r="K2199" s="27" t="n">
        <x:f>INDEX('Model Pricing'!$C$7:$C$8,MATCH(F2199,'Model Pricing'!$A$7:$A$8,0))</x:f>
        <x:v>30</x:v>
      </x:c>
      <x:c r="L2199" s="17" t="n">
        <x:f>G2199+H2199</x:f>
        <x:v>32329</x:v>
      </x:c>
      <x:c r="M2199" s="28" t="n">
        <x:f>G2199*J2199/1000000</x:f>
        <x:v>0.2548</x:v>
      </x:c>
      <x:c r="N2199" s="28" t="n">
        <x:f>H2199*K2199/1000000</x:f>
        <x:v>0.20547</x:v>
      </x:c>
      <x:c r="O2199" s="28" t="n">
        <x:f>SUM(M2199:N2199)</x:f>
        <x:v>0.46027000000000007</x:v>
      </x:c>
    </x:row>
    <x:row r="2200" ht="23" customHeight="1">
      <x:c r="A2200" s="17" t="str">
        <x:v>U02194</x:v>
      </x:c>
      <x:c r="B2200" s="18" t="n">
        <x:v>46267</x:v>
      </x:c>
      <x:c r="C2200" s="17" t="str">
        <x:v>W0166</x:v>
      </x:c>
      <x:c r="D2200" s="17" t="str">
        <x:v>C003</x:v>
      </x:c>
      <x:c r="E2200" s="17" t="str">
        <x:v>DataFlow</x:v>
      </x:c>
      <x:c r="F2200" s="17" t="str">
        <x:v>Lite</x:v>
      </x:c>
      <x:c r="G2200" s="17" t="n">
        <x:v>21244</x:v>
      </x:c>
      <x:c r="H2200" s="17" t="n">
        <x:v>3404</x:v>
      </x:c>
      <x:c r="I2200" s="17" t="str">
        <x:v>Followup</x:v>
      </x:c>
      <x:c r="J2200" s="27" t="n">
        <x:f>INDEX('Model Pricing'!$B$7:$B$8,MATCH(F2200,'Model Pricing'!$A$7:$A$8,0))</x:f>
        <x:v>10</x:v>
      </x:c>
      <x:c r="K2200" s="27" t="n">
        <x:f>INDEX('Model Pricing'!$C$7:$C$8,MATCH(F2200,'Model Pricing'!$A$7:$A$8,0))</x:f>
        <x:v>30</x:v>
      </x:c>
      <x:c r="L2200" s="17" t="n">
        <x:f>G2200+H2200</x:f>
        <x:v>24648</x:v>
      </x:c>
      <x:c r="M2200" s="28" t="n">
        <x:f>G2200*J2200/1000000</x:f>
        <x:v>0.21244</x:v>
      </x:c>
      <x:c r="N2200" s="28" t="n">
        <x:f>H2200*K2200/1000000</x:f>
        <x:v>0.10212</x:v>
      </x:c>
      <x:c r="O2200" s="28" t="n">
        <x:f>SUM(M2200:N2200)</x:f>
        <x:v>0.31456</x:v>
      </x:c>
    </x:row>
    <x:row r="2201" ht="23" customHeight="1">
      <x:c r="A2201" s="17" t="str">
        <x:v>U02195</x:v>
      </x:c>
      <x:c r="B2201" s="18" t="n">
        <x:v>46267</x:v>
      </x:c>
      <x:c r="C2201" s="17" t="str">
        <x:v>W0166</x:v>
      </x:c>
      <x:c r="D2201" s="17" t="str">
        <x:v>C003</x:v>
      </x:c>
      <x:c r="E2201" s="17" t="str">
        <x:v>DataFlow</x:v>
      </x:c>
      <x:c r="F2201" s="17" t="str">
        <x:v>Lite</x:v>
      </x:c>
      <x:c r="G2201" s="17" t="n">
        <x:v>26037</x:v>
      </x:c>
      <x:c r="H2201" s="17" t="n">
        <x:v>5385</x:v>
      </x:c>
      <x:c r="I2201" s="17" t="str">
        <x:v>Followup</x:v>
      </x:c>
      <x:c r="J2201" s="27" t="n">
        <x:f>INDEX('Model Pricing'!$B$7:$B$8,MATCH(F2201,'Model Pricing'!$A$7:$A$8,0))</x:f>
        <x:v>10</x:v>
      </x:c>
      <x:c r="K2201" s="27" t="n">
        <x:f>INDEX('Model Pricing'!$C$7:$C$8,MATCH(F2201,'Model Pricing'!$A$7:$A$8,0))</x:f>
        <x:v>30</x:v>
      </x:c>
      <x:c r="L2201" s="17" t="n">
        <x:f>G2201+H2201</x:f>
        <x:v>31422</x:v>
      </x:c>
      <x:c r="M2201" s="28" t="n">
        <x:f>G2201*J2201/1000000</x:f>
        <x:v>0.26037</x:v>
      </x:c>
      <x:c r="N2201" s="28" t="n">
        <x:f>H2201*K2201/1000000</x:f>
        <x:v>0.16155</x:v>
      </x:c>
      <x:c r="O2201" s="28" t="n">
        <x:f>SUM(M2201:N2201)</x:f>
        <x:v>0.42191999999999996</x:v>
      </x:c>
    </x:row>
    <x:row r="2202" ht="23" customHeight="1">
      <x:c r="A2202" s="17" t="str">
        <x:v>U02196</x:v>
      </x:c>
      <x:c r="B2202" s="18" t="n">
        <x:v>46267</x:v>
      </x:c>
      <x:c r="C2202" s="17" t="str">
        <x:v>W0166</x:v>
      </x:c>
      <x:c r="D2202" s="17" t="str">
        <x:v>C003</x:v>
      </x:c>
      <x:c r="E2202" s="17" t="str">
        <x:v>DataFlow</x:v>
      </x:c>
      <x:c r="F2202" s="17" t="str">
        <x:v>Lite</x:v>
      </x:c>
      <x:c r="G2202" s="17" t="n">
        <x:v>29097</x:v>
      </x:c>
      <x:c r="H2202" s="17" t="n">
        <x:v>7382</x:v>
      </x:c>
      <x:c r="I2202" s="17" t="str">
        <x:v>Followup</x:v>
      </x:c>
      <x:c r="J2202" s="27" t="n">
        <x:f>INDEX('Model Pricing'!$B$7:$B$8,MATCH(F2202,'Model Pricing'!$A$7:$A$8,0))</x:f>
        <x:v>10</x:v>
      </x:c>
      <x:c r="K2202" s="27" t="n">
        <x:f>INDEX('Model Pricing'!$C$7:$C$8,MATCH(F2202,'Model Pricing'!$A$7:$A$8,0))</x:f>
        <x:v>30</x:v>
      </x:c>
      <x:c r="L2202" s="17" t="n">
        <x:f>G2202+H2202</x:f>
        <x:v>36479</x:v>
      </x:c>
      <x:c r="M2202" s="28" t="n">
        <x:f>G2202*J2202/1000000</x:f>
        <x:v>0.29097</x:v>
      </x:c>
      <x:c r="N2202" s="28" t="n">
        <x:f>H2202*K2202/1000000</x:f>
        <x:v>0.22146</x:v>
      </x:c>
      <x:c r="O2202" s="28" t="n">
        <x:f>SUM(M2202:N2202)</x:f>
        <x:v>0.5124299999999999</x:v>
      </x:c>
    </x:row>
    <x:row r="2203" ht="23" customHeight="1">
      <x:c r="A2203" s="17" t="str">
        <x:v>U02197</x:v>
      </x:c>
      <x:c r="B2203" s="18" t="n">
        <x:v>46267</x:v>
      </x:c>
      <x:c r="C2203" s="17" t="str">
        <x:v>W0166</x:v>
      </x:c>
      <x:c r="D2203" s="17" t="str">
        <x:v>C003</x:v>
      </x:c>
      <x:c r="E2203" s="17" t="str">
        <x:v>DataFlow</x:v>
      </x:c>
      <x:c r="F2203" s="17" t="str">
        <x:v>Lite</x:v>
      </x:c>
      <x:c r="G2203" s="17" t="n">
        <x:v>35194</x:v>
      </x:c>
      <x:c r="H2203" s="17" t="n">
        <x:v>3335</x:v>
      </x:c>
      <x:c r="I2203" s="17" t="str">
        <x:v>Followup</x:v>
      </x:c>
      <x:c r="J2203" s="27" t="n">
        <x:f>INDEX('Model Pricing'!$B$7:$B$8,MATCH(F2203,'Model Pricing'!$A$7:$A$8,0))</x:f>
        <x:v>10</x:v>
      </x:c>
      <x:c r="K2203" s="27" t="n">
        <x:f>INDEX('Model Pricing'!$C$7:$C$8,MATCH(F2203,'Model Pricing'!$A$7:$A$8,0))</x:f>
        <x:v>30</x:v>
      </x:c>
      <x:c r="L2203" s="17" t="n">
        <x:f>G2203+H2203</x:f>
        <x:v>38529</x:v>
      </x:c>
      <x:c r="M2203" s="28" t="n">
        <x:f>G2203*J2203/1000000</x:f>
        <x:v>0.35194</x:v>
      </x:c>
      <x:c r="N2203" s="28" t="n">
        <x:f>H2203*K2203/1000000</x:f>
        <x:v>0.10005</x:v>
      </x:c>
      <x:c r="O2203" s="28" t="n">
        <x:f>SUM(M2203:N2203)</x:f>
        <x:v>0.45199</x:v>
      </x:c>
    </x:row>
    <x:row r="2204" ht="23" customHeight="1">
      <x:c r="A2204" s="17" t="str">
        <x:v>U02198</x:v>
      </x:c>
      <x:c r="B2204" s="18" t="n">
        <x:v>46268</x:v>
      </x:c>
      <x:c r="C2204" s="17" t="str">
        <x:v>W0166</x:v>
      </x:c>
      <x:c r="D2204" s="17" t="str">
        <x:v>C003</x:v>
      </x:c>
      <x:c r="E2204" s="17" t="str">
        <x:v>DataFlow</x:v>
      </x:c>
      <x:c r="F2204" s="17" t="str">
        <x:v>Lite</x:v>
      </x:c>
      <x:c r="G2204" s="17" t="n">
        <x:v>21348</x:v>
      </x:c>
      <x:c r="H2204" s="17" t="n">
        <x:v>6500</x:v>
      </x:c>
      <x:c r="I2204" s="17" t="str">
        <x:v>Followup</x:v>
      </x:c>
      <x:c r="J2204" s="27" t="n">
        <x:f>INDEX('Model Pricing'!$B$7:$B$8,MATCH(F2204,'Model Pricing'!$A$7:$A$8,0))</x:f>
        <x:v>10</x:v>
      </x:c>
      <x:c r="K2204" s="27" t="n">
        <x:f>INDEX('Model Pricing'!$C$7:$C$8,MATCH(F2204,'Model Pricing'!$A$7:$A$8,0))</x:f>
        <x:v>30</x:v>
      </x:c>
      <x:c r="L2204" s="17" t="n">
        <x:f>G2204+H2204</x:f>
        <x:v>27848</x:v>
      </x:c>
      <x:c r="M2204" s="28" t="n">
        <x:f>G2204*J2204/1000000</x:f>
        <x:v>0.21348</x:v>
      </x:c>
      <x:c r="N2204" s="28" t="n">
        <x:f>H2204*K2204/1000000</x:f>
        <x:v>0.195</x:v>
      </x:c>
      <x:c r="O2204" s="28" t="n">
        <x:f>SUM(M2204:N2204)</x:f>
        <x:v>0.40848</x:v>
      </x:c>
    </x:row>
    <x:row r="2205" ht="23" customHeight="1">
      <x:c r="A2205" s="17" t="str">
        <x:v>U02199</x:v>
      </x:c>
      <x:c r="B2205" s="18" t="n">
        <x:v>46268</x:v>
      </x:c>
      <x:c r="C2205" s="17" t="str">
        <x:v>W0166</x:v>
      </x:c>
      <x:c r="D2205" s="17" t="str">
        <x:v>C003</x:v>
      </x:c>
      <x:c r="E2205" s="17" t="str">
        <x:v>DataFlow</x:v>
      </x:c>
      <x:c r="F2205" s="17" t="str">
        <x:v>Lite</x:v>
      </x:c>
      <x:c r="G2205" s="17" t="n">
        <x:v>13070</x:v>
      </x:c>
      <x:c r="H2205" s="17" t="n">
        <x:v>2861</x:v>
      </x:c>
      <x:c r="I2205" s="17" t="str">
        <x:v>Followup</x:v>
      </x:c>
      <x:c r="J2205" s="27" t="n">
        <x:f>INDEX('Model Pricing'!$B$7:$B$8,MATCH(F2205,'Model Pricing'!$A$7:$A$8,0))</x:f>
        <x:v>10</x:v>
      </x:c>
      <x:c r="K2205" s="27" t="n">
        <x:f>INDEX('Model Pricing'!$C$7:$C$8,MATCH(F2205,'Model Pricing'!$A$7:$A$8,0))</x:f>
        <x:v>30</x:v>
      </x:c>
      <x:c r="L2205" s="17" t="n">
        <x:f>G2205+H2205</x:f>
        <x:v>15931</x:v>
      </x:c>
      <x:c r="M2205" s="28" t="n">
        <x:f>G2205*J2205/1000000</x:f>
        <x:v>0.1307</x:v>
      </x:c>
      <x:c r="N2205" s="28" t="n">
        <x:f>H2205*K2205/1000000</x:f>
        <x:v>0.08583</x:v>
      </x:c>
      <x:c r="O2205" s="28" t="n">
        <x:f>SUM(M2205:N2205)</x:f>
        <x:v>0.21653</x:v>
      </x:c>
    </x:row>
    <x:row r="2206" ht="23" customHeight="1">
      <x:c r="A2206" s="17" t="str">
        <x:v>U02200</x:v>
      </x:c>
      <x:c r="B2206" s="18" t="n">
        <x:v>46268</x:v>
      </x:c>
      <x:c r="C2206" s="17" t="str">
        <x:v>W0166</x:v>
      </x:c>
      <x:c r="D2206" s="17" t="str">
        <x:v>C003</x:v>
      </x:c>
      <x:c r="E2206" s="17" t="str">
        <x:v>DataFlow</x:v>
      </x:c>
      <x:c r="F2206" s="17" t="str">
        <x:v>Lite</x:v>
      </x:c>
      <x:c r="G2206" s="17" t="n">
        <x:v>15332</x:v>
      </x:c>
      <x:c r="H2206" s="17" t="n">
        <x:v>2152</x:v>
      </x:c>
      <x:c r="I2206" s="17" t="str">
        <x:v>Correction</x:v>
      </x:c>
      <x:c r="J2206" s="27" t="n">
        <x:f>INDEX('Model Pricing'!$B$7:$B$8,MATCH(F2206,'Model Pricing'!$A$7:$A$8,0))</x:f>
        <x:v>10</x:v>
      </x:c>
      <x:c r="K2206" s="27" t="n">
        <x:f>INDEX('Model Pricing'!$C$7:$C$8,MATCH(F2206,'Model Pricing'!$A$7:$A$8,0))</x:f>
        <x:v>30</x:v>
      </x:c>
      <x:c r="L2206" s="17" t="n">
        <x:f>G2206+H2206</x:f>
        <x:v>17484</x:v>
      </x:c>
      <x:c r="M2206" s="28" t="n">
        <x:f>G2206*J2206/1000000</x:f>
        <x:v>0.15332</x:v>
      </x:c>
      <x:c r="N2206" s="28" t="n">
        <x:f>H2206*K2206/1000000</x:f>
        <x:v>0.06456</x:v>
      </x:c>
      <x:c r="O2206" s="28" t="n">
        <x:f>SUM(M2206:N2206)</x:f>
        <x:v>0.21788000000000002</x:v>
      </x:c>
    </x:row>
    <x:row r="2207" ht="23" customHeight="1">
      <x:c r="A2207" s="17" t="str">
        <x:v>U02201</x:v>
      </x:c>
      <x:c r="B2207" s="18" t="n">
        <x:v>46268</x:v>
      </x:c>
      <x:c r="C2207" s="17" t="str">
        <x:v>W0166</x:v>
      </x:c>
      <x:c r="D2207" s="17" t="str">
        <x:v>C003</x:v>
      </x:c>
      <x:c r="E2207" s="17" t="str">
        <x:v>DataFlow</x:v>
      </x:c>
      <x:c r="F2207" s="17" t="str">
        <x:v>Lite</x:v>
      </x:c>
      <x:c r="G2207" s="17" t="n">
        <x:v>33121</x:v>
      </x:c>
      <x:c r="H2207" s="17" t="n">
        <x:v>5816</x:v>
      </x:c>
      <x:c r="I2207" s="17" t="str">
        <x:v>Followup</x:v>
      </x:c>
      <x:c r="J2207" s="27" t="n">
        <x:f>INDEX('Model Pricing'!$B$7:$B$8,MATCH(F2207,'Model Pricing'!$A$7:$A$8,0))</x:f>
        <x:v>10</x:v>
      </x:c>
      <x:c r="K2207" s="27" t="n">
        <x:f>INDEX('Model Pricing'!$C$7:$C$8,MATCH(F2207,'Model Pricing'!$A$7:$A$8,0))</x:f>
        <x:v>30</x:v>
      </x:c>
      <x:c r="L2207" s="17" t="n">
        <x:f>G2207+H2207</x:f>
        <x:v>38937</x:v>
      </x:c>
      <x:c r="M2207" s="28" t="n">
        <x:f>G2207*J2207/1000000</x:f>
        <x:v>0.33121</x:v>
      </x:c>
      <x:c r="N2207" s="28" t="n">
        <x:f>H2207*K2207/1000000</x:f>
        <x:v>0.17448</x:v>
      </x:c>
      <x:c r="O2207" s="28" t="n">
        <x:f>SUM(M2207:N2207)</x:f>
        <x:v>0.50569</x:v>
      </x:c>
    </x:row>
    <x:row r="2208" ht="23" customHeight="1">
      <x:c r="A2208" s="17" t="str">
        <x:v>U02202</x:v>
      </x:c>
      <x:c r="B2208" s="18" t="n">
        <x:v>46268</x:v>
      </x:c>
      <x:c r="C2208" s="17" t="str">
        <x:v>W0166</x:v>
      </x:c>
      <x:c r="D2208" s="17" t="str">
        <x:v>C003</x:v>
      </x:c>
      <x:c r="E2208" s="17" t="str">
        <x:v>DataFlow</x:v>
      </x:c>
      <x:c r="F2208" s="17" t="str">
        <x:v>Lite</x:v>
      </x:c>
      <x:c r="G2208" s="17" t="n">
        <x:v>30741</x:v>
      </x:c>
      <x:c r="H2208" s="17" t="n">
        <x:v>3696</x:v>
      </x:c>
      <x:c r="I2208" s="17" t="str">
        <x:v>Followup</x:v>
      </x:c>
      <x:c r="J2208" s="27" t="n">
        <x:f>INDEX('Model Pricing'!$B$7:$B$8,MATCH(F2208,'Model Pricing'!$A$7:$A$8,0))</x:f>
        <x:v>10</x:v>
      </x:c>
      <x:c r="K2208" s="27" t="n">
        <x:f>INDEX('Model Pricing'!$C$7:$C$8,MATCH(F2208,'Model Pricing'!$A$7:$A$8,0))</x:f>
        <x:v>30</x:v>
      </x:c>
      <x:c r="L2208" s="17" t="n">
        <x:f>G2208+H2208</x:f>
        <x:v>34437</x:v>
      </x:c>
      <x:c r="M2208" s="28" t="n">
        <x:f>G2208*J2208/1000000</x:f>
        <x:v>0.30741</x:v>
      </x:c>
      <x:c r="N2208" s="28" t="n">
        <x:f>H2208*K2208/1000000</x:f>
        <x:v>0.11088</x:v>
      </x:c>
      <x:c r="O2208" s="28" t="n">
        <x:f>SUM(M2208:N2208)</x:f>
        <x:v>0.41829000000000005</x:v>
      </x:c>
    </x:row>
    <x:row r="2209" ht="23" customHeight="1">
      <x:c r="A2209" s="17" t="str">
        <x:v>U02203</x:v>
      </x:c>
      <x:c r="B2209" s="18" t="n">
        <x:v>46269</x:v>
      </x:c>
      <x:c r="C2209" s="17" t="str">
        <x:v>W0166</x:v>
      </x:c>
      <x:c r="D2209" s="17" t="str">
        <x:v>C003</x:v>
      </x:c>
      <x:c r="E2209" s="17" t="str">
        <x:v>DataFlow</x:v>
      </x:c>
      <x:c r="F2209" s="17" t="str">
        <x:v>Lite</x:v>
      </x:c>
      <x:c r="G2209" s="17" t="n">
        <x:v>28006</x:v>
      </x:c>
      <x:c r="H2209" s="17" t="n">
        <x:v>4663</x:v>
      </x:c>
      <x:c r="I2209" s="17" t="str">
        <x:v>Correction</x:v>
      </x:c>
      <x:c r="J2209" s="27" t="n">
        <x:f>INDEX('Model Pricing'!$B$7:$B$8,MATCH(F2209,'Model Pricing'!$A$7:$A$8,0))</x:f>
        <x:v>10</x:v>
      </x:c>
      <x:c r="K2209" s="27" t="n">
        <x:f>INDEX('Model Pricing'!$C$7:$C$8,MATCH(F2209,'Model Pricing'!$A$7:$A$8,0))</x:f>
        <x:v>30</x:v>
      </x:c>
      <x:c r="L2209" s="17" t="n">
        <x:f>G2209+H2209</x:f>
        <x:v>32669</x:v>
      </x:c>
      <x:c r="M2209" s="28" t="n">
        <x:f>G2209*J2209/1000000</x:f>
        <x:v>0.28006</x:v>
      </x:c>
      <x:c r="N2209" s="28" t="n">
        <x:f>H2209*K2209/1000000</x:f>
        <x:v>0.13989</x:v>
      </x:c>
      <x:c r="O2209" s="28" t="n">
        <x:f>SUM(M2209:N2209)</x:f>
        <x:v>0.41994999999999993</x:v>
      </x:c>
    </x:row>
    <x:row r="2210" ht="23" customHeight="1">
      <x:c r="A2210" s="17" t="str">
        <x:v>U02204</x:v>
      </x:c>
      <x:c r="B2210" s="18" t="n">
        <x:v>46269</x:v>
      </x:c>
      <x:c r="C2210" s="17" t="str">
        <x:v>W0166</x:v>
      </x:c>
      <x:c r="D2210" s="17" t="str">
        <x:v>C003</x:v>
      </x:c>
      <x:c r="E2210" s="17" t="str">
        <x:v>DataFlow</x:v>
      </x:c>
      <x:c r="F2210" s="17" t="str">
        <x:v>Lite</x:v>
      </x:c>
      <x:c r="G2210" s="17" t="n">
        <x:v>18256</x:v>
      </x:c>
      <x:c r="H2210" s="17" t="n">
        <x:v>6421</x:v>
      </x:c>
      <x:c r="I2210" s="17" t="str">
        <x:v>Followup</x:v>
      </x:c>
      <x:c r="J2210" s="27" t="n">
        <x:f>INDEX('Model Pricing'!$B$7:$B$8,MATCH(F2210,'Model Pricing'!$A$7:$A$8,0))</x:f>
        <x:v>10</x:v>
      </x:c>
      <x:c r="K2210" s="27" t="n">
        <x:f>INDEX('Model Pricing'!$C$7:$C$8,MATCH(F2210,'Model Pricing'!$A$7:$A$8,0))</x:f>
        <x:v>30</x:v>
      </x:c>
      <x:c r="L2210" s="17" t="n">
        <x:f>G2210+H2210</x:f>
        <x:v>24677</x:v>
      </x:c>
      <x:c r="M2210" s="28" t="n">
        <x:f>G2210*J2210/1000000</x:f>
        <x:v>0.18256</x:v>
      </x:c>
      <x:c r="N2210" s="28" t="n">
        <x:f>H2210*K2210/1000000</x:f>
        <x:v>0.19263</x:v>
      </x:c>
      <x:c r="O2210" s="28" t="n">
        <x:f>SUM(M2210:N2210)</x:f>
        <x:v>0.37519</x:v>
      </x:c>
    </x:row>
    <x:row r="2211" ht="23" customHeight="1">
      <x:c r="A2211" s="17" t="str">
        <x:v>U02205</x:v>
      </x:c>
      <x:c r="B2211" s="18" t="n">
        <x:v>46269</x:v>
      </x:c>
      <x:c r="C2211" s="17" t="str">
        <x:v>W0166</x:v>
      </x:c>
      <x:c r="D2211" s="17" t="str">
        <x:v>C003</x:v>
      </x:c>
      <x:c r="E2211" s="17" t="str">
        <x:v>DataFlow</x:v>
      </x:c>
      <x:c r="F2211" s="17" t="str">
        <x:v>Lite</x:v>
      </x:c>
      <x:c r="G2211" s="17" t="n">
        <x:v>22531</x:v>
      </x:c>
      <x:c r="H2211" s="17" t="n">
        <x:v>3732</x:v>
      </x:c>
      <x:c r="I2211" s="17" t="str">
        <x:v>Correction</x:v>
      </x:c>
      <x:c r="J2211" s="27" t="n">
        <x:f>INDEX('Model Pricing'!$B$7:$B$8,MATCH(F2211,'Model Pricing'!$A$7:$A$8,0))</x:f>
        <x:v>10</x:v>
      </x:c>
      <x:c r="K2211" s="27" t="n">
        <x:f>INDEX('Model Pricing'!$C$7:$C$8,MATCH(F2211,'Model Pricing'!$A$7:$A$8,0))</x:f>
        <x:v>30</x:v>
      </x:c>
      <x:c r="L2211" s="17" t="n">
        <x:f>G2211+H2211</x:f>
        <x:v>26263</x:v>
      </x:c>
      <x:c r="M2211" s="28" t="n">
        <x:f>G2211*J2211/1000000</x:f>
        <x:v>0.22531</x:v>
      </x:c>
      <x:c r="N2211" s="28" t="n">
        <x:f>H2211*K2211/1000000</x:f>
        <x:v>0.11196</x:v>
      </x:c>
      <x:c r="O2211" s="28" t="n">
        <x:f>SUM(M2211:N2211)</x:f>
        <x:v>0.33727</x:v>
      </x:c>
    </x:row>
    <x:row r="2212" ht="23" customHeight="1">
      <x:c r="A2212" s="17" t="str">
        <x:v>U02206</x:v>
      </x:c>
      <x:c r="B2212" s="18" t="n">
        <x:v>46269</x:v>
      </x:c>
      <x:c r="C2212" s="17" t="str">
        <x:v>W0166</x:v>
      </x:c>
      <x:c r="D2212" s="17" t="str">
        <x:v>C003</x:v>
      </x:c>
      <x:c r="E2212" s="17" t="str">
        <x:v>DataFlow</x:v>
      </x:c>
      <x:c r="F2212" s="17" t="str">
        <x:v>Lite</x:v>
      </x:c>
      <x:c r="G2212" s="17" t="n">
        <x:v>19402</x:v>
      </x:c>
      <x:c r="H2212" s="17" t="n">
        <x:v>5178</x:v>
      </x:c>
      <x:c r="I2212" s="17" t="str">
        <x:v>Followup</x:v>
      </x:c>
      <x:c r="J2212" s="27" t="n">
        <x:f>INDEX('Model Pricing'!$B$7:$B$8,MATCH(F2212,'Model Pricing'!$A$7:$A$8,0))</x:f>
        <x:v>10</x:v>
      </x:c>
      <x:c r="K2212" s="27" t="n">
        <x:f>INDEX('Model Pricing'!$C$7:$C$8,MATCH(F2212,'Model Pricing'!$A$7:$A$8,0))</x:f>
        <x:v>30</x:v>
      </x:c>
      <x:c r="L2212" s="17" t="n">
        <x:f>G2212+H2212</x:f>
        <x:v>24580</x:v>
      </x:c>
      <x:c r="M2212" s="28" t="n">
        <x:f>G2212*J2212/1000000</x:f>
        <x:v>0.19402</x:v>
      </x:c>
      <x:c r="N2212" s="28" t="n">
        <x:f>H2212*K2212/1000000</x:f>
        <x:v>0.15534</x:v>
      </x:c>
      <x:c r="O2212" s="28" t="n">
        <x:f>SUM(M2212:N2212)</x:f>
        <x:v>0.34936</x:v>
      </x:c>
    </x:row>
    <x:row r="2213" ht="23" customHeight="1">
      <x:c r="A2213" s="17" t="str">
        <x:v>U02207</x:v>
      </x:c>
      <x:c r="B2213" s="18" t="n">
        <x:v>46269</x:v>
      </x:c>
      <x:c r="C2213" s="17" t="str">
        <x:v>W0166</x:v>
      </x:c>
      <x:c r="D2213" s="17" t="str">
        <x:v>C003</x:v>
      </x:c>
      <x:c r="E2213" s="17" t="str">
        <x:v>DataFlow</x:v>
      </x:c>
      <x:c r="F2213" s="17" t="str">
        <x:v>Lite</x:v>
      </x:c>
      <x:c r="G2213" s="17" t="n">
        <x:v>19344</x:v>
      </x:c>
      <x:c r="H2213" s="17" t="n">
        <x:v>3750</x:v>
      </x:c>
      <x:c r="I2213" s="17" t="str">
        <x:v>Followup</x:v>
      </x:c>
      <x:c r="J2213" s="27" t="n">
        <x:f>INDEX('Model Pricing'!$B$7:$B$8,MATCH(F2213,'Model Pricing'!$A$7:$A$8,0))</x:f>
        <x:v>10</x:v>
      </x:c>
      <x:c r="K2213" s="27" t="n">
        <x:f>INDEX('Model Pricing'!$C$7:$C$8,MATCH(F2213,'Model Pricing'!$A$7:$A$8,0))</x:f>
        <x:v>30</x:v>
      </x:c>
      <x:c r="L2213" s="17" t="n">
        <x:f>G2213+H2213</x:f>
        <x:v>23094</x:v>
      </x:c>
      <x:c r="M2213" s="28" t="n">
        <x:f>G2213*J2213/1000000</x:f>
        <x:v>0.19344</x:v>
      </x:c>
      <x:c r="N2213" s="28" t="n">
        <x:f>H2213*K2213/1000000</x:f>
        <x:v>0.1125</x:v>
      </x:c>
      <x:c r="O2213" s="28" t="n">
        <x:f>SUM(M2213:N2213)</x:f>
        <x:v>0.30594</x:v>
      </x:c>
    </x:row>
    <x:row r="2214" ht="23" customHeight="1">
      <x:c r="A2214" s="17" t="str">
        <x:v>U02208</x:v>
      </x:c>
      <x:c r="B2214" s="18" t="n">
        <x:v>46269</x:v>
      </x:c>
      <x:c r="C2214" s="17" t="str">
        <x:v>W0169</x:v>
      </x:c>
      <x:c r="D2214" s="17" t="str">
        <x:v>C003</x:v>
      </x:c>
      <x:c r="E2214" s="17" t="str">
        <x:v>CampaignChat</x:v>
      </x:c>
      <x:c r="F2214" s="17" t="str">
        <x:v>Lite</x:v>
      </x:c>
      <x:c r="G2214" s="17" t="n">
        <x:v>25587</x:v>
      </x:c>
      <x:c r="H2214" s="17" t="n">
        <x:v>9452</x:v>
      </x:c>
      <x:c r="I2214" s="17" t="str">
        <x:v>First attempt</x:v>
      </x:c>
      <x:c r="J2214" s="27" t="n">
        <x:f>INDEX('Model Pricing'!$B$7:$B$8,MATCH(F2214,'Model Pricing'!$A$7:$A$8,0))</x:f>
        <x:v>10</x:v>
      </x:c>
      <x:c r="K2214" s="27" t="n">
        <x:f>INDEX('Model Pricing'!$C$7:$C$8,MATCH(F2214,'Model Pricing'!$A$7:$A$8,0))</x:f>
        <x:v>30</x:v>
      </x:c>
      <x:c r="L2214" s="17" t="n">
        <x:f>G2214+H2214</x:f>
        <x:v>35039</x:v>
      </x:c>
      <x:c r="M2214" s="28" t="n">
        <x:f>G2214*J2214/1000000</x:f>
        <x:v>0.25587</x:v>
      </x:c>
      <x:c r="N2214" s="28" t="n">
        <x:f>H2214*K2214/1000000</x:f>
        <x:v>0.28356</x:v>
      </x:c>
      <x:c r="O2214" s="28" t="n">
        <x:f>SUM(M2214:N2214)</x:f>
        <x:v>0.53943</x:v>
      </x:c>
    </x:row>
    <x:row r="2215" ht="23" customHeight="1">
      <x:c r="A2215" s="17" t="str">
        <x:v>U02209</x:v>
      </x:c>
      <x:c r="B2215" s="18" t="n">
        <x:v>46269</x:v>
      </x:c>
      <x:c r="C2215" s="17" t="str">
        <x:v>W0169</x:v>
      </x:c>
      <x:c r="D2215" s="17" t="str">
        <x:v>C003</x:v>
      </x:c>
      <x:c r="E2215" s="17" t="str">
        <x:v>CampaignChat</x:v>
      </x:c>
      <x:c r="F2215" s="17" t="str">
        <x:v>Lite</x:v>
      </x:c>
      <x:c r="G2215" s="17" t="n">
        <x:v>19694</x:v>
      </x:c>
      <x:c r="H2215" s="17" t="n">
        <x:v>9738</x:v>
      </x:c>
      <x:c r="I2215" s="17" t="str">
        <x:v>Followup</x:v>
      </x:c>
      <x:c r="J2215" s="27" t="n">
        <x:f>INDEX('Model Pricing'!$B$7:$B$8,MATCH(F2215,'Model Pricing'!$A$7:$A$8,0))</x:f>
        <x:v>10</x:v>
      </x:c>
      <x:c r="K2215" s="27" t="n">
        <x:f>INDEX('Model Pricing'!$C$7:$C$8,MATCH(F2215,'Model Pricing'!$A$7:$A$8,0))</x:f>
        <x:v>30</x:v>
      </x:c>
      <x:c r="L2215" s="17" t="n">
        <x:f>G2215+H2215</x:f>
        <x:v>29432</x:v>
      </x:c>
      <x:c r="M2215" s="28" t="n">
        <x:f>G2215*J2215/1000000</x:f>
        <x:v>0.19694</x:v>
      </x:c>
      <x:c r="N2215" s="28" t="n">
        <x:f>H2215*K2215/1000000</x:f>
        <x:v>0.29214</x:v>
      </x:c>
      <x:c r="O2215" s="28" t="n">
        <x:f>SUM(M2215:N2215)</x:f>
        <x:v>0.48908</x:v>
      </x:c>
    </x:row>
    <x:row r="2216" ht="23" customHeight="1">
      <x:c r="A2216" s="17" t="str">
        <x:v>U02210</x:v>
      </x:c>
      <x:c r="B2216" s="18" t="n">
        <x:v>46269</x:v>
      </x:c>
      <x:c r="C2216" s="17" t="str">
        <x:v>W0169</x:v>
      </x:c>
      <x:c r="D2216" s="17" t="str">
        <x:v>C003</x:v>
      </x:c>
      <x:c r="E2216" s="17" t="str">
        <x:v>CampaignChat</x:v>
      </x:c>
      <x:c r="F2216" s="17" t="str">
        <x:v>Lite</x:v>
      </x:c>
      <x:c r="G2216" s="17" t="n">
        <x:v>32632</x:v>
      </x:c>
      <x:c r="H2216" s="17" t="n">
        <x:v>8579</x:v>
      </x:c>
      <x:c r="I2216" s="17" t="str">
        <x:v>Correction</x:v>
      </x:c>
      <x:c r="J2216" s="27" t="n">
        <x:f>INDEX('Model Pricing'!$B$7:$B$8,MATCH(F2216,'Model Pricing'!$A$7:$A$8,0))</x:f>
        <x:v>10</x:v>
      </x:c>
      <x:c r="K2216" s="27" t="n">
        <x:f>INDEX('Model Pricing'!$C$7:$C$8,MATCH(F2216,'Model Pricing'!$A$7:$A$8,0))</x:f>
        <x:v>30</x:v>
      </x:c>
      <x:c r="L2216" s="17" t="n">
        <x:f>G2216+H2216</x:f>
        <x:v>41211</x:v>
      </x:c>
      <x:c r="M2216" s="28" t="n">
        <x:f>G2216*J2216/1000000</x:f>
        <x:v>0.32632</x:v>
      </x:c>
      <x:c r="N2216" s="28" t="n">
        <x:f>H2216*K2216/1000000</x:f>
        <x:v>0.25737</x:v>
      </x:c>
      <x:c r="O2216" s="28" t="n">
        <x:f>SUM(M2216:N2216)</x:f>
        <x:v>0.58369</x:v>
      </x:c>
    </x:row>
    <x:row r="2217" ht="23" customHeight="1">
      <x:c r="A2217" s="17" t="str">
        <x:v>U02211</x:v>
      </x:c>
      <x:c r="B2217" s="18" t="n">
        <x:v>46269</x:v>
      </x:c>
      <x:c r="C2217" s="17" t="str">
        <x:v>W0169</x:v>
      </x:c>
      <x:c r="D2217" s="17" t="str">
        <x:v>C003</x:v>
      </x:c>
      <x:c r="E2217" s="17" t="str">
        <x:v>CampaignChat</x:v>
      </x:c>
      <x:c r="F2217" s="17" t="str">
        <x:v>Lite</x:v>
      </x:c>
      <x:c r="G2217" s="17" t="n">
        <x:v>24015</x:v>
      </x:c>
      <x:c r="H2217" s="17" t="n">
        <x:v>9555</x:v>
      </x:c>
      <x:c r="I2217" s="17" t="str">
        <x:v>Followup</x:v>
      </x:c>
      <x:c r="J2217" s="27" t="n">
        <x:f>INDEX('Model Pricing'!$B$7:$B$8,MATCH(F2217,'Model Pricing'!$A$7:$A$8,0))</x:f>
        <x:v>10</x:v>
      </x:c>
      <x:c r="K2217" s="27" t="n">
        <x:f>INDEX('Model Pricing'!$C$7:$C$8,MATCH(F2217,'Model Pricing'!$A$7:$A$8,0))</x:f>
        <x:v>30</x:v>
      </x:c>
      <x:c r="L2217" s="17" t="n">
        <x:f>G2217+H2217</x:f>
        <x:v>33570</x:v>
      </x:c>
      <x:c r="M2217" s="28" t="n">
        <x:f>G2217*J2217/1000000</x:f>
        <x:v>0.24015</x:v>
      </x:c>
      <x:c r="N2217" s="28" t="n">
        <x:f>H2217*K2217/1000000</x:f>
        <x:v>0.28665</x:v>
      </x:c>
      <x:c r="O2217" s="28" t="n">
        <x:f>SUM(M2217:N2217)</x:f>
        <x:v>0.5268</x:v>
      </x:c>
    </x:row>
    <x:row r="2218" ht="23" customHeight="1">
      <x:c r="A2218" s="17" t="str">
        <x:v>U02212</x:v>
      </x:c>
      <x:c r="B2218" s="18" t="n">
        <x:v>46269</x:v>
      </x:c>
      <x:c r="C2218" s="17" t="str">
        <x:v>W0169</x:v>
      </x:c>
      <x:c r="D2218" s="17" t="str">
        <x:v>C003</x:v>
      </x:c>
      <x:c r="E2218" s="17" t="str">
        <x:v>CampaignChat</x:v>
      </x:c>
      <x:c r="F2218" s="17" t="str">
        <x:v>Lite</x:v>
      </x:c>
      <x:c r="G2218" s="17" t="n">
        <x:v>15449</x:v>
      </x:c>
      <x:c r="H2218" s="17" t="n">
        <x:v>9524</x:v>
      </x:c>
      <x:c r="I2218" s="17" t="str">
        <x:v>Followup</x:v>
      </x:c>
      <x:c r="J2218" s="27" t="n">
        <x:f>INDEX('Model Pricing'!$B$7:$B$8,MATCH(F2218,'Model Pricing'!$A$7:$A$8,0))</x:f>
        <x:v>10</x:v>
      </x:c>
      <x:c r="K2218" s="27" t="n">
        <x:f>INDEX('Model Pricing'!$C$7:$C$8,MATCH(F2218,'Model Pricing'!$A$7:$A$8,0))</x:f>
        <x:v>30</x:v>
      </x:c>
      <x:c r="L2218" s="17" t="n">
        <x:f>G2218+H2218</x:f>
        <x:v>24973</x:v>
      </x:c>
      <x:c r="M2218" s="28" t="n">
        <x:f>G2218*J2218/1000000</x:f>
        <x:v>0.15449</x:v>
      </x:c>
      <x:c r="N2218" s="28" t="n">
        <x:f>H2218*K2218/1000000</x:f>
        <x:v>0.28572</x:v>
      </x:c>
      <x:c r="O2218" s="28" t="n">
        <x:f>SUM(M2218:N2218)</x:f>
        <x:v>0.44021</x:v>
      </x:c>
    </x:row>
    <x:row r="2219" ht="23" customHeight="1">
      <x:c r="A2219" s="17" t="str">
        <x:v>U02213</x:v>
      </x:c>
      <x:c r="B2219" s="18" t="n">
        <x:v>46273</x:v>
      </x:c>
      <x:c r="C2219" s="17" t="str">
        <x:v>W0169</x:v>
      </x:c>
      <x:c r="D2219" s="17" t="str">
        <x:v>C003</x:v>
      </x:c>
      <x:c r="E2219" s="17" t="str">
        <x:v>CampaignChat</x:v>
      </x:c>
      <x:c r="F2219" s="17" t="str">
        <x:v>Lite</x:v>
      </x:c>
      <x:c r="G2219" s="17" t="n">
        <x:v>33856</x:v>
      </x:c>
      <x:c r="H2219" s="17" t="n">
        <x:v>8748</x:v>
      </x:c>
      <x:c r="I2219" s="17" t="str">
        <x:v>Followup</x:v>
      </x:c>
      <x:c r="J2219" s="27" t="n">
        <x:f>INDEX('Model Pricing'!$B$7:$B$8,MATCH(F2219,'Model Pricing'!$A$7:$A$8,0))</x:f>
        <x:v>10</x:v>
      </x:c>
      <x:c r="K2219" s="27" t="n">
        <x:f>INDEX('Model Pricing'!$C$7:$C$8,MATCH(F2219,'Model Pricing'!$A$7:$A$8,0))</x:f>
        <x:v>30</x:v>
      </x:c>
      <x:c r="L2219" s="17" t="n">
        <x:f>G2219+H2219</x:f>
        <x:v>42604</x:v>
      </x:c>
      <x:c r="M2219" s="28" t="n">
        <x:f>G2219*J2219/1000000</x:f>
        <x:v>0.33856</x:v>
      </x:c>
      <x:c r="N2219" s="28" t="n">
        <x:f>H2219*K2219/1000000</x:f>
        <x:v>0.26244</x:v>
      </x:c>
      <x:c r="O2219" s="28" t="n">
        <x:f>SUM(M2219:N2219)</x:f>
        <x:v>0.601</x:v>
      </x:c>
    </x:row>
    <x:row r="2220" ht="23" customHeight="1">
      <x:c r="A2220" s="17" t="str">
        <x:v>U02214</x:v>
      </x:c>
      <x:c r="B2220" s="18" t="n">
        <x:v>46273</x:v>
      </x:c>
      <x:c r="C2220" s="17" t="str">
        <x:v>W0169</x:v>
      </x:c>
      <x:c r="D2220" s="17" t="str">
        <x:v>C003</x:v>
      </x:c>
      <x:c r="E2220" s="17" t="str">
        <x:v>CampaignChat</x:v>
      </x:c>
      <x:c r="F2220" s="17" t="str">
        <x:v>Lite</x:v>
      </x:c>
      <x:c r="G2220" s="17" t="n">
        <x:v>26884</x:v>
      </x:c>
      <x:c r="H2220" s="17" t="n">
        <x:v>9174</x:v>
      </x:c>
      <x:c r="I2220" s="17" t="str">
        <x:v>Correction</x:v>
      </x:c>
      <x:c r="J2220" s="27" t="n">
        <x:f>INDEX('Model Pricing'!$B$7:$B$8,MATCH(F2220,'Model Pricing'!$A$7:$A$8,0))</x:f>
        <x:v>10</x:v>
      </x:c>
      <x:c r="K2220" s="27" t="n">
        <x:f>INDEX('Model Pricing'!$C$7:$C$8,MATCH(F2220,'Model Pricing'!$A$7:$A$8,0))</x:f>
        <x:v>30</x:v>
      </x:c>
      <x:c r="L2220" s="17" t="n">
        <x:f>G2220+H2220</x:f>
        <x:v>36058</x:v>
      </x:c>
      <x:c r="M2220" s="28" t="n">
        <x:f>G2220*J2220/1000000</x:f>
        <x:v>0.26884</x:v>
      </x:c>
      <x:c r="N2220" s="28" t="n">
        <x:f>H2220*K2220/1000000</x:f>
        <x:v>0.27522</x:v>
      </x:c>
      <x:c r="O2220" s="28" t="n">
        <x:f>SUM(M2220:N2220)</x:f>
        <x:v>0.54406</x:v>
      </x:c>
    </x:row>
    <x:row r="2221" ht="23" customHeight="1">
      <x:c r="A2221" s="17" t="str">
        <x:v>U02215</x:v>
      </x:c>
      <x:c r="B2221" s="18" t="n">
        <x:v>46273</x:v>
      </x:c>
      <x:c r="C2221" s="17" t="str">
        <x:v>W0169</x:v>
      </x:c>
      <x:c r="D2221" s="17" t="str">
        <x:v>C003</x:v>
      </x:c>
      <x:c r="E2221" s="17" t="str">
        <x:v>CampaignChat</x:v>
      </x:c>
      <x:c r="F2221" s="17" t="str">
        <x:v>Lite</x:v>
      </x:c>
      <x:c r="G2221" s="17" t="n">
        <x:v>38716</x:v>
      </x:c>
      <x:c r="H2221" s="17" t="n">
        <x:v>3237</x:v>
      </x:c>
      <x:c r="I2221" s="17" t="str">
        <x:v>Correction</x:v>
      </x:c>
      <x:c r="J2221" s="27" t="n">
        <x:f>INDEX('Model Pricing'!$B$7:$B$8,MATCH(F2221,'Model Pricing'!$A$7:$A$8,0))</x:f>
        <x:v>10</x:v>
      </x:c>
      <x:c r="K2221" s="27" t="n">
        <x:f>INDEX('Model Pricing'!$C$7:$C$8,MATCH(F2221,'Model Pricing'!$A$7:$A$8,0))</x:f>
        <x:v>30</x:v>
      </x:c>
      <x:c r="L2221" s="17" t="n">
        <x:f>G2221+H2221</x:f>
        <x:v>41953</x:v>
      </x:c>
      <x:c r="M2221" s="28" t="n">
        <x:f>G2221*J2221/1000000</x:f>
        <x:v>0.38716</x:v>
      </x:c>
      <x:c r="N2221" s="28" t="n">
        <x:f>H2221*K2221/1000000</x:f>
        <x:v>0.09711</x:v>
      </x:c>
      <x:c r="O2221" s="28" t="n">
        <x:f>SUM(M2221:N2221)</x:f>
        <x:v>0.48427</x:v>
      </x:c>
    </x:row>
    <x:row r="2222" ht="23" customHeight="1">
      <x:c r="A2222" s="17" t="str">
        <x:v>U02216</x:v>
      </x:c>
      <x:c r="B2222" s="18" t="n">
        <x:v>46273</x:v>
      </x:c>
      <x:c r="C2222" s="17" t="str">
        <x:v>W0169</x:v>
      </x:c>
      <x:c r="D2222" s="17" t="str">
        <x:v>C003</x:v>
      </x:c>
      <x:c r="E2222" s="17" t="str">
        <x:v>CampaignChat</x:v>
      </x:c>
      <x:c r="F2222" s="17" t="str">
        <x:v>Lite</x:v>
      </x:c>
      <x:c r="G2222" s="17" t="n">
        <x:v>29849</x:v>
      </x:c>
      <x:c r="H2222" s="17" t="n">
        <x:v>4146</x:v>
      </x:c>
      <x:c r="I2222" s="17" t="str">
        <x:v>Correction</x:v>
      </x:c>
      <x:c r="J2222" s="27" t="n">
        <x:f>INDEX('Model Pricing'!$B$7:$B$8,MATCH(F2222,'Model Pricing'!$A$7:$A$8,0))</x:f>
        <x:v>10</x:v>
      </x:c>
      <x:c r="K2222" s="27" t="n">
        <x:f>INDEX('Model Pricing'!$C$7:$C$8,MATCH(F2222,'Model Pricing'!$A$7:$A$8,0))</x:f>
        <x:v>30</x:v>
      </x:c>
      <x:c r="L2222" s="17" t="n">
        <x:f>G2222+H2222</x:f>
        <x:v>33995</x:v>
      </x:c>
      <x:c r="M2222" s="28" t="n">
        <x:f>G2222*J2222/1000000</x:f>
        <x:v>0.29849</x:v>
      </x:c>
      <x:c r="N2222" s="28" t="n">
        <x:f>H2222*K2222/1000000</x:f>
        <x:v>0.12438</x:v>
      </x:c>
      <x:c r="O2222" s="28" t="n">
        <x:f>SUM(M2222:N2222)</x:f>
        <x:v>0.42286999999999997</x:v>
      </x:c>
    </x:row>
    <x:row r="2223" ht="23" customHeight="1">
      <x:c r="A2223" s="17" t="str">
        <x:v>U02217</x:v>
      </x:c>
      <x:c r="B2223" s="18" t="n">
        <x:v>46274</x:v>
      </x:c>
      <x:c r="C2223" s="17" t="str">
        <x:v>W0169</x:v>
      </x:c>
      <x:c r="D2223" s="17" t="str">
        <x:v>C003</x:v>
      </x:c>
      <x:c r="E2223" s="17" t="str">
        <x:v>CampaignChat</x:v>
      </x:c>
      <x:c r="F2223" s="17" t="str">
        <x:v>Lite</x:v>
      </x:c>
      <x:c r="G2223" s="17" t="n">
        <x:v>16259</x:v>
      </x:c>
      <x:c r="H2223" s="17" t="n">
        <x:v>9198</x:v>
      </x:c>
      <x:c r="I2223" s="17" t="str">
        <x:v>Followup</x:v>
      </x:c>
      <x:c r="J2223" s="27" t="n">
        <x:f>INDEX('Model Pricing'!$B$7:$B$8,MATCH(F2223,'Model Pricing'!$A$7:$A$8,0))</x:f>
        <x:v>10</x:v>
      </x:c>
      <x:c r="K2223" s="27" t="n">
        <x:f>INDEX('Model Pricing'!$C$7:$C$8,MATCH(F2223,'Model Pricing'!$A$7:$A$8,0))</x:f>
        <x:v>30</x:v>
      </x:c>
      <x:c r="L2223" s="17" t="n">
        <x:f>G2223+H2223</x:f>
        <x:v>25457</x:v>
      </x:c>
      <x:c r="M2223" s="28" t="n">
        <x:f>G2223*J2223/1000000</x:f>
        <x:v>0.16259</x:v>
      </x:c>
      <x:c r="N2223" s="28" t="n">
        <x:f>H2223*K2223/1000000</x:f>
        <x:v>0.27594</x:v>
      </x:c>
      <x:c r="O2223" s="28" t="n">
        <x:f>SUM(M2223:N2223)</x:f>
        <x:v>0.43853000000000003</x:v>
      </x:c>
    </x:row>
    <x:row r="2224" ht="23" customHeight="1">
      <x:c r="A2224" s="17" t="str">
        <x:v>U02218</x:v>
      </x:c>
      <x:c r="B2224" s="18" t="n">
        <x:v>46274</x:v>
      </x:c>
      <x:c r="C2224" s="17" t="str">
        <x:v>W0169</x:v>
      </x:c>
      <x:c r="D2224" s="17" t="str">
        <x:v>C003</x:v>
      </x:c>
      <x:c r="E2224" s="17" t="str">
        <x:v>CampaignChat</x:v>
      </x:c>
      <x:c r="F2224" s="17" t="str">
        <x:v>Lite</x:v>
      </x:c>
      <x:c r="G2224" s="17" t="n">
        <x:v>22722</x:v>
      </x:c>
      <x:c r="H2224" s="17" t="n">
        <x:v>4980</x:v>
      </x:c>
      <x:c r="I2224" s="17" t="str">
        <x:v>Followup</x:v>
      </x:c>
      <x:c r="J2224" s="27" t="n">
        <x:f>INDEX('Model Pricing'!$B$7:$B$8,MATCH(F2224,'Model Pricing'!$A$7:$A$8,0))</x:f>
        <x:v>10</x:v>
      </x:c>
      <x:c r="K2224" s="27" t="n">
        <x:f>INDEX('Model Pricing'!$C$7:$C$8,MATCH(F2224,'Model Pricing'!$A$7:$A$8,0))</x:f>
        <x:v>30</x:v>
      </x:c>
      <x:c r="L2224" s="17" t="n">
        <x:f>G2224+H2224</x:f>
        <x:v>27702</x:v>
      </x:c>
      <x:c r="M2224" s="28" t="n">
        <x:f>G2224*J2224/1000000</x:f>
        <x:v>0.22722</x:v>
      </x:c>
      <x:c r="N2224" s="28" t="n">
        <x:f>H2224*K2224/1000000</x:f>
        <x:v>0.1494</x:v>
      </x:c>
      <x:c r="O2224" s="28" t="n">
        <x:f>SUM(M2224:N2224)</x:f>
        <x:v>0.37662</x:v>
      </x:c>
    </x:row>
    <x:row r="2225" ht="23" customHeight="1">
      <x:c r="A2225" s="17" t="str">
        <x:v>U02219</x:v>
      </x:c>
      <x:c r="B2225" s="18" t="n">
        <x:v>46274</x:v>
      </x:c>
      <x:c r="C2225" s="17" t="str">
        <x:v>W0169</x:v>
      </x:c>
      <x:c r="D2225" s="17" t="str">
        <x:v>C003</x:v>
      </x:c>
      <x:c r="E2225" s="17" t="str">
        <x:v>CampaignChat</x:v>
      </x:c>
      <x:c r="F2225" s="17" t="str">
        <x:v>Lite</x:v>
      </x:c>
      <x:c r="G2225" s="17" t="n">
        <x:v>23285</x:v>
      </x:c>
      <x:c r="H2225" s="17" t="n">
        <x:v>8871</x:v>
      </x:c>
      <x:c r="I2225" s="17" t="str">
        <x:v>Followup</x:v>
      </x:c>
      <x:c r="J2225" s="27" t="n">
        <x:f>INDEX('Model Pricing'!$B$7:$B$8,MATCH(F2225,'Model Pricing'!$A$7:$A$8,0))</x:f>
        <x:v>10</x:v>
      </x:c>
      <x:c r="K2225" s="27" t="n">
        <x:f>INDEX('Model Pricing'!$C$7:$C$8,MATCH(F2225,'Model Pricing'!$A$7:$A$8,0))</x:f>
        <x:v>30</x:v>
      </x:c>
      <x:c r="L2225" s="17" t="n">
        <x:f>G2225+H2225</x:f>
        <x:v>32156</x:v>
      </x:c>
      <x:c r="M2225" s="28" t="n">
        <x:f>G2225*J2225/1000000</x:f>
        <x:v>0.23285</x:v>
      </x:c>
      <x:c r="N2225" s="28" t="n">
        <x:f>H2225*K2225/1000000</x:f>
        <x:v>0.26613</x:v>
      </x:c>
      <x:c r="O2225" s="28" t="n">
        <x:f>SUM(M2225:N2225)</x:f>
        <x:v>0.49898</x:v>
      </x:c>
    </x:row>
    <x:row r="2226" ht="23" customHeight="1">
      <x:c r="A2226" s="17" t="str">
        <x:v>U02220</x:v>
      </x:c>
      <x:c r="B2226" s="18" t="n">
        <x:v>46274</x:v>
      </x:c>
      <x:c r="C2226" s="17" t="str">
        <x:v>W0169</x:v>
      </x:c>
      <x:c r="D2226" s="17" t="str">
        <x:v>C003</x:v>
      </x:c>
      <x:c r="E2226" s="17" t="str">
        <x:v>CampaignChat</x:v>
      </x:c>
      <x:c r="F2226" s="17" t="str">
        <x:v>Lite</x:v>
      </x:c>
      <x:c r="G2226" s="17" t="n">
        <x:v>23559</x:v>
      </x:c>
      <x:c r="H2226" s="17" t="n">
        <x:v>6554</x:v>
      </x:c>
      <x:c r="I2226" s="17" t="str">
        <x:v>Followup</x:v>
      </x:c>
      <x:c r="J2226" s="27" t="n">
        <x:f>INDEX('Model Pricing'!$B$7:$B$8,MATCH(F2226,'Model Pricing'!$A$7:$A$8,0))</x:f>
        <x:v>10</x:v>
      </x:c>
      <x:c r="K2226" s="27" t="n">
        <x:f>INDEX('Model Pricing'!$C$7:$C$8,MATCH(F2226,'Model Pricing'!$A$7:$A$8,0))</x:f>
        <x:v>30</x:v>
      </x:c>
      <x:c r="L2226" s="17" t="n">
        <x:f>G2226+H2226</x:f>
        <x:v>30113</x:v>
      </x:c>
      <x:c r="M2226" s="28" t="n">
        <x:f>G2226*J2226/1000000</x:f>
        <x:v>0.23559</x:v>
      </x:c>
      <x:c r="N2226" s="28" t="n">
        <x:f>H2226*K2226/1000000</x:f>
        <x:v>0.19662</x:v>
      </x:c>
      <x:c r="O2226" s="28" t="n">
        <x:f>SUM(M2226:N2226)</x:f>
        <x:v>0.43221</x:v>
      </x:c>
    </x:row>
    <x:row r="2227" ht="23" customHeight="1">
      <x:c r="A2227" s="17" t="str">
        <x:v>U02221</x:v>
      </x:c>
      <x:c r="B2227" s="18" t="n">
        <x:v>46274</x:v>
      </x:c>
      <x:c r="C2227" s="17" t="str">
        <x:v>W0169</x:v>
      </x:c>
      <x:c r="D2227" s="17" t="str">
        <x:v>C003</x:v>
      </x:c>
      <x:c r="E2227" s="17" t="str">
        <x:v>CampaignChat</x:v>
      </x:c>
      <x:c r="F2227" s="17" t="str">
        <x:v>Lite</x:v>
      </x:c>
      <x:c r="G2227" s="17" t="n">
        <x:v>21588</x:v>
      </x:c>
      <x:c r="H2227" s="17" t="n">
        <x:v>4388</x:v>
      </x:c>
      <x:c r="I2227" s="17" t="str">
        <x:v>Followup</x:v>
      </x:c>
      <x:c r="J2227" s="27" t="n">
        <x:f>INDEX('Model Pricing'!$B$7:$B$8,MATCH(F2227,'Model Pricing'!$A$7:$A$8,0))</x:f>
        <x:v>10</x:v>
      </x:c>
      <x:c r="K2227" s="27" t="n">
        <x:f>INDEX('Model Pricing'!$C$7:$C$8,MATCH(F2227,'Model Pricing'!$A$7:$A$8,0))</x:f>
        <x:v>30</x:v>
      </x:c>
      <x:c r="L2227" s="17" t="n">
        <x:f>G2227+H2227</x:f>
        <x:v>25976</x:v>
      </x:c>
      <x:c r="M2227" s="28" t="n">
        <x:f>G2227*J2227/1000000</x:f>
        <x:v>0.21588</x:v>
      </x:c>
      <x:c r="N2227" s="28" t="n">
        <x:f>H2227*K2227/1000000</x:f>
        <x:v>0.13164</x:v>
      </x:c>
      <x:c r="O2227" s="28" t="n">
        <x:f>SUM(M2227:N2227)</x:f>
        <x:v>0.34752</x:v>
      </x:c>
    </x:row>
    <x:row r="2228" ht="23" customHeight="1">
      <x:c r="A2228" s="17" t="str">
        <x:v>U02222</x:v>
      </x:c>
      <x:c r="B2228" s="18" t="n">
        <x:v>46275</x:v>
      </x:c>
      <x:c r="C2228" s="17" t="str">
        <x:v>W0169</x:v>
      </x:c>
      <x:c r="D2228" s="17" t="str">
        <x:v>C003</x:v>
      </x:c>
      <x:c r="E2228" s="17" t="str">
        <x:v>CampaignChat</x:v>
      </x:c>
      <x:c r="F2228" s="17" t="str">
        <x:v>Lite</x:v>
      </x:c>
      <x:c r="G2228" s="17" t="n">
        <x:v>18637</x:v>
      </x:c>
      <x:c r="H2228" s="17" t="n">
        <x:v>3788</x:v>
      </x:c>
      <x:c r="I2228" s="17" t="str">
        <x:v>Followup</x:v>
      </x:c>
      <x:c r="J2228" s="27" t="n">
        <x:f>INDEX('Model Pricing'!$B$7:$B$8,MATCH(F2228,'Model Pricing'!$A$7:$A$8,0))</x:f>
        <x:v>10</x:v>
      </x:c>
      <x:c r="K2228" s="27" t="n">
        <x:f>INDEX('Model Pricing'!$C$7:$C$8,MATCH(F2228,'Model Pricing'!$A$7:$A$8,0))</x:f>
        <x:v>30</x:v>
      </x:c>
      <x:c r="L2228" s="17" t="n">
        <x:f>G2228+H2228</x:f>
        <x:v>22425</x:v>
      </x:c>
      <x:c r="M2228" s="28" t="n">
        <x:f>G2228*J2228/1000000</x:f>
        <x:v>0.18637</x:v>
      </x:c>
      <x:c r="N2228" s="28" t="n">
        <x:f>H2228*K2228/1000000</x:f>
        <x:v>0.11364</x:v>
      </x:c>
      <x:c r="O2228" s="28" t="n">
        <x:f>SUM(M2228:N2228)</x:f>
        <x:v>0.30001</x:v>
      </x:c>
    </x:row>
    <x:row r="2229" ht="23" customHeight="1">
      <x:c r="A2229" s="17" t="str">
        <x:v>U02223</x:v>
      </x:c>
      <x:c r="B2229" s="18" t="n">
        <x:v>46275</x:v>
      </x:c>
      <x:c r="C2229" s="17" t="str">
        <x:v>W0169</x:v>
      </x:c>
      <x:c r="D2229" s="17" t="str">
        <x:v>C003</x:v>
      </x:c>
      <x:c r="E2229" s="17" t="str">
        <x:v>CampaignChat</x:v>
      </x:c>
      <x:c r="F2229" s="17" t="str">
        <x:v>Lite</x:v>
      </x:c>
      <x:c r="G2229" s="17" t="n">
        <x:v>33400</x:v>
      </x:c>
      <x:c r="H2229" s="17" t="n">
        <x:v>4095</x:v>
      </x:c>
      <x:c r="I2229" s="17" t="str">
        <x:v>Followup</x:v>
      </x:c>
      <x:c r="J2229" s="27" t="n">
        <x:f>INDEX('Model Pricing'!$B$7:$B$8,MATCH(F2229,'Model Pricing'!$A$7:$A$8,0))</x:f>
        <x:v>10</x:v>
      </x:c>
      <x:c r="K2229" s="27" t="n">
        <x:f>INDEX('Model Pricing'!$C$7:$C$8,MATCH(F2229,'Model Pricing'!$A$7:$A$8,0))</x:f>
        <x:v>30</x:v>
      </x:c>
      <x:c r="L2229" s="17" t="n">
        <x:f>G2229+H2229</x:f>
        <x:v>37495</x:v>
      </x:c>
      <x:c r="M2229" s="28" t="n">
        <x:f>G2229*J2229/1000000</x:f>
        <x:v>0.334</x:v>
      </x:c>
      <x:c r="N2229" s="28" t="n">
        <x:f>H2229*K2229/1000000</x:f>
        <x:v>0.12285</x:v>
      </x:c>
      <x:c r="O2229" s="28" t="n">
        <x:f>SUM(M2229:N2229)</x:f>
        <x:v>0.45685000000000003</x:v>
      </x:c>
    </x:row>
    <x:row r="2230" ht="23" customHeight="1">
      <x:c r="A2230" s="17" t="str">
        <x:v>U02224</x:v>
      </x:c>
      <x:c r="B2230" s="18" t="n">
        <x:v>46275</x:v>
      </x:c>
      <x:c r="C2230" s="17" t="str">
        <x:v>W0169</x:v>
      </x:c>
      <x:c r="D2230" s="17" t="str">
        <x:v>C003</x:v>
      </x:c>
      <x:c r="E2230" s="17" t="str">
        <x:v>CampaignChat</x:v>
      </x:c>
      <x:c r="F2230" s="17" t="str">
        <x:v>Lite</x:v>
      </x:c>
      <x:c r="G2230" s="17" t="n">
        <x:v>22570</x:v>
      </x:c>
      <x:c r="H2230" s="17" t="n">
        <x:v>3600</x:v>
      </x:c>
      <x:c r="I2230" s="17" t="str">
        <x:v>Followup</x:v>
      </x:c>
      <x:c r="J2230" s="27" t="n">
        <x:f>INDEX('Model Pricing'!$B$7:$B$8,MATCH(F2230,'Model Pricing'!$A$7:$A$8,0))</x:f>
        <x:v>10</x:v>
      </x:c>
      <x:c r="K2230" s="27" t="n">
        <x:f>INDEX('Model Pricing'!$C$7:$C$8,MATCH(F2230,'Model Pricing'!$A$7:$A$8,0))</x:f>
        <x:v>30</x:v>
      </x:c>
      <x:c r="L2230" s="17" t="n">
        <x:f>G2230+H2230</x:f>
        <x:v>26170</x:v>
      </x:c>
      <x:c r="M2230" s="28" t="n">
        <x:f>G2230*J2230/1000000</x:f>
        <x:v>0.2257</x:v>
      </x:c>
      <x:c r="N2230" s="28" t="n">
        <x:f>H2230*K2230/1000000</x:f>
        <x:v>0.108</x:v>
      </x:c>
      <x:c r="O2230" s="28" t="n">
        <x:f>SUM(M2230:N2230)</x:f>
        <x:v>0.3337</x:v>
      </x:c>
    </x:row>
    <x:row r="2231" ht="23" customHeight="1">
      <x:c r="A2231" s="17" t="str">
        <x:v>U02225</x:v>
      </x:c>
      <x:c r="B2231" s="18" t="n">
        <x:v>46275</x:v>
      </x:c>
      <x:c r="C2231" s="17" t="str">
        <x:v>W0169</x:v>
      </x:c>
      <x:c r="D2231" s="17" t="str">
        <x:v>C003</x:v>
      </x:c>
      <x:c r="E2231" s="17" t="str">
        <x:v>CampaignChat</x:v>
      </x:c>
      <x:c r="F2231" s="17" t="str">
        <x:v>Lite</x:v>
      </x:c>
      <x:c r="G2231" s="17" t="n">
        <x:v>32679</x:v>
      </x:c>
      <x:c r="H2231" s="17" t="n">
        <x:v>9813</x:v>
      </x:c>
      <x:c r="I2231" s="17" t="str">
        <x:v>Followup</x:v>
      </x:c>
      <x:c r="J2231" s="27" t="n">
        <x:f>INDEX('Model Pricing'!$B$7:$B$8,MATCH(F2231,'Model Pricing'!$A$7:$A$8,0))</x:f>
        <x:v>10</x:v>
      </x:c>
      <x:c r="K2231" s="27" t="n">
        <x:f>INDEX('Model Pricing'!$C$7:$C$8,MATCH(F2231,'Model Pricing'!$A$7:$A$8,0))</x:f>
        <x:v>30</x:v>
      </x:c>
      <x:c r="L2231" s="17" t="n">
        <x:f>G2231+H2231</x:f>
        <x:v>42492</x:v>
      </x:c>
      <x:c r="M2231" s="28" t="n">
        <x:f>G2231*J2231/1000000</x:f>
        <x:v>0.32679</x:v>
      </x:c>
      <x:c r="N2231" s="28" t="n">
        <x:f>H2231*K2231/1000000</x:f>
        <x:v>0.29439</x:v>
      </x:c>
      <x:c r="O2231" s="28" t="n">
        <x:f>SUM(M2231:N2231)</x:f>
        <x:v>0.6211800000000001</x:v>
      </x:c>
    </x:row>
    <x:row r="2232" ht="23" customHeight="1">
      <x:c r="A2232" s="17" t="str">
        <x:v>U02226</x:v>
      </x:c>
      <x:c r="B2232" s="18" t="n">
        <x:v>46290</x:v>
      </x:c>
      <x:c r="C2232" s="17" t="str">
        <x:v>W0171</x:v>
      </x:c>
      <x:c r="D2232" s="17" t="str">
        <x:v>C003</x:v>
      </x:c>
      <x:c r="E2232" s="17" t="str">
        <x:v>DataFlow</x:v>
      </x:c>
      <x:c r="F2232" s="17" t="str">
        <x:v>Lite</x:v>
      </x:c>
      <x:c r="G2232" s="17" t="n">
        <x:v>20452</x:v>
      </x:c>
      <x:c r="H2232" s="17" t="n">
        <x:v>6366</x:v>
      </x:c>
      <x:c r="I2232" s="17" t="str">
        <x:v>First attempt</x:v>
      </x:c>
      <x:c r="J2232" s="27" t="n">
        <x:f>INDEX('Model Pricing'!$B$7:$B$8,MATCH(F2232,'Model Pricing'!$A$7:$A$8,0))</x:f>
        <x:v>10</x:v>
      </x:c>
      <x:c r="K2232" s="27" t="n">
        <x:f>INDEX('Model Pricing'!$C$7:$C$8,MATCH(F2232,'Model Pricing'!$A$7:$A$8,0))</x:f>
        <x:v>30</x:v>
      </x:c>
      <x:c r="L2232" s="17" t="n">
        <x:f>G2232+H2232</x:f>
        <x:v>26818</x:v>
      </x:c>
      <x:c r="M2232" s="28" t="n">
        <x:f>G2232*J2232/1000000</x:f>
        <x:v>0.20452</x:v>
      </x:c>
      <x:c r="N2232" s="28" t="n">
        <x:f>H2232*K2232/1000000</x:f>
        <x:v>0.19098</x:v>
      </x:c>
      <x:c r="O2232" s="28" t="n">
        <x:f>SUM(M2232:N2232)</x:f>
        <x:v>0.3955</x:v>
      </x:c>
    </x:row>
    <x:row r="2233" ht="23" customHeight="1">
      <x:c r="A2233" s="17" t="str">
        <x:v>U02227</x:v>
      </x:c>
      <x:c r="B2233" s="18" t="n">
        <x:v>46290</x:v>
      </x:c>
      <x:c r="C2233" s="17" t="str">
        <x:v>W0171</x:v>
      </x:c>
      <x:c r="D2233" s="17" t="str">
        <x:v>C003</x:v>
      </x:c>
      <x:c r="E2233" s="17" t="str">
        <x:v>DataFlow</x:v>
      </x:c>
      <x:c r="F2233" s="17" t="str">
        <x:v>Lite</x:v>
      </x:c>
      <x:c r="G2233" s="17" t="n">
        <x:v>13431</x:v>
      </x:c>
      <x:c r="H2233" s="17" t="n">
        <x:v>5428</x:v>
      </x:c>
      <x:c r="I2233" s="17" t="str">
        <x:v>Followup</x:v>
      </x:c>
      <x:c r="J2233" s="27" t="n">
        <x:f>INDEX('Model Pricing'!$B$7:$B$8,MATCH(F2233,'Model Pricing'!$A$7:$A$8,0))</x:f>
        <x:v>10</x:v>
      </x:c>
      <x:c r="K2233" s="27" t="n">
        <x:f>INDEX('Model Pricing'!$C$7:$C$8,MATCH(F2233,'Model Pricing'!$A$7:$A$8,0))</x:f>
        <x:v>30</x:v>
      </x:c>
      <x:c r="L2233" s="17" t="n">
        <x:f>G2233+H2233</x:f>
        <x:v>18859</x:v>
      </x:c>
      <x:c r="M2233" s="28" t="n">
        <x:f>G2233*J2233/1000000</x:f>
        <x:v>0.13431</x:v>
      </x:c>
      <x:c r="N2233" s="28" t="n">
        <x:f>H2233*K2233/1000000</x:f>
        <x:v>0.16284</x:v>
      </x:c>
      <x:c r="O2233" s="28" t="n">
        <x:f>SUM(M2233:N2233)</x:f>
        <x:v>0.29715</x:v>
      </x:c>
    </x:row>
    <x:row r="2234" ht="23" customHeight="1">
      <x:c r="A2234" s="17" t="str">
        <x:v>U02228</x:v>
      </x:c>
      <x:c r="B2234" s="18" t="n">
        <x:v>46290</x:v>
      </x:c>
      <x:c r="C2234" s="17" t="str">
        <x:v>W0171</x:v>
      </x:c>
      <x:c r="D2234" s="17" t="str">
        <x:v>C003</x:v>
      </x:c>
      <x:c r="E2234" s="17" t="str">
        <x:v>DataFlow</x:v>
      </x:c>
      <x:c r="F2234" s="17" t="str">
        <x:v>Lite</x:v>
      </x:c>
      <x:c r="G2234" s="17" t="n">
        <x:v>17883</x:v>
      </x:c>
      <x:c r="H2234" s="17" t="n">
        <x:v>5449</x:v>
      </x:c>
      <x:c r="I2234" s="17" t="str">
        <x:v>Followup</x:v>
      </x:c>
      <x:c r="J2234" s="27" t="n">
        <x:f>INDEX('Model Pricing'!$B$7:$B$8,MATCH(F2234,'Model Pricing'!$A$7:$A$8,0))</x:f>
        <x:v>10</x:v>
      </x:c>
      <x:c r="K2234" s="27" t="n">
        <x:f>INDEX('Model Pricing'!$C$7:$C$8,MATCH(F2234,'Model Pricing'!$A$7:$A$8,0))</x:f>
        <x:v>30</x:v>
      </x:c>
      <x:c r="L2234" s="17" t="n">
        <x:f>G2234+H2234</x:f>
        <x:v>23332</x:v>
      </x:c>
      <x:c r="M2234" s="28" t="n">
        <x:f>G2234*J2234/1000000</x:f>
        <x:v>0.17883</x:v>
      </x:c>
      <x:c r="N2234" s="28" t="n">
        <x:f>H2234*K2234/1000000</x:f>
        <x:v>0.16347</x:v>
      </x:c>
      <x:c r="O2234" s="28" t="n">
        <x:f>SUM(M2234:N2234)</x:f>
        <x:v>0.3423</x:v>
      </x:c>
    </x:row>
    <x:row r="2235" ht="23" customHeight="1">
      <x:c r="A2235" s="17" t="str">
        <x:v>U02229</x:v>
      </x:c>
      <x:c r="B2235" s="18" t="n">
        <x:v>46293</x:v>
      </x:c>
      <x:c r="C2235" s="17" t="str">
        <x:v>W0171</x:v>
      </x:c>
      <x:c r="D2235" s="17" t="str">
        <x:v>C003</x:v>
      </x:c>
      <x:c r="E2235" s="17" t="str">
        <x:v>DataFlow</x:v>
      </x:c>
      <x:c r="F2235" s="17" t="str">
        <x:v>Lite</x:v>
      </x:c>
      <x:c r="G2235" s="17" t="n">
        <x:v>14245</x:v>
      </x:c>
      <x:c r="H2235" s="17" t="n">
        <x:v>5579</x:v>
      </x:c>
      <x:c r="I2235" s="17" t="str">
        <x:v>Correction</x:v>
      </x:c>
      <x:c r="J2235" s="27" t="n">
        <x:f>INDEX('Model Pricing'!$B$7:$B$8,MATCH(F2235,'Model Pricing'!$A$7:$A$8,0))</x:f>
        <x:v>10</x:v>
      </x:c>
      <x:c r="K2235" s="27" t="n">
        <x:f>INDEX('Model Pricing'!$C$7:$C$8,MATCH(F2235,'Model Pricing'!$A$7:$A$8,0))</x:f>
        <x:v>30</x:v>
      </x:c>
      <x:c r="L2235" s="17" t="n">
        <x:f>G2235+H2235</x:f>
        <x:v>19824</x:v>
      </x:c>
      <x:c r="M2235" s="28" t="n">
        <x:f>G2235*J2235/1000000</x:f>
        <x:v>0.14245</x:v>
      </x:c>
      <x:c r="N2235" s="28" t="n">
        <x:f>H2235*K2235/1000000</x:f>
        <x:v>0.16737</x:v>
      </x:c>
      <x:c r="O2235" s="28" t="n">
        <x:f>SUM(M2235:N2235)</x:f>
        <x:v>0.30982</x:v>
      </x:c>
    </x:row>
    <x:row r="2236" ht="23" customHeight="1">
      <x:c r="A2236" s="17" t="str">
        <x:v>U02230</x:v>
      </x:c>
      <x:c r="B2236" s="18" t="n">
        <x:v>46293</x:v>
      </x:c>
      <x:c r="C2236" s="17" t="str">
        <x:v>W0171</x:v>
      </x:c>
      <x:c r="D2236" s="17" t="str">
        <x:v>C003</x:v>
      </x:c>
      <x:c r="E2236" s="17" t="str">
        <x:v>DataFlow</x:v>
      </x:c>
      <x:c r="F2236" s="17" t="str">
        <x:v>Lite</x:v>
      </x:c>
      <x:c r="G2236" s="17" t="n">
        <x:v>12323</x:v>
      </x:c>
      <x:c r="H2236" s="17" t="n">
        <x:v>10362</x:v>
      </x:c>
      <x:c r="I2236" s="17" t="str">
        <x:v>Followup</x:v>
      </x:c>
      <x:c r="J2236" s="27" t="n">
        <x:f>INDEX('Model Pricing'!$B$7:$B$8,MATCH(F2236,'Model Pricing'!$A$7:$A$8,0))</x:f>
        <x:v>10</x:v>
      </x:c>
      <x:c r="K2236" s="27" t="n">
        <x:f>INDEX('Model Pricing'!$C$7:$C$8,MATCH(F2236,'Model Pricing'!$A$7:$A$8,0))</x:f>
        <x:v>30</x:v>
      </x:c>
      <x:c r="L2236" s="17" t="n">
        <x:f>G2236+H2236</x:f>
        <x:v>22685</x:v>
      </x:c>
      <x:c r="M2236" s="28" t="n">
        <x:f>G2236*J2236/1000000</x:f>
        <x:v>0.12323</x:v>
      </x:c>
      <x:c r="N2236" s="28" t="n">
        <x:f>H2236*K2236/1000000</x:f>
        <x:v>0.31086</x:v>
      </x:c>
      <x:c r="O2236" s="28" t="n">
        <x:f>SUM(M2236:N2236)</x:f>
        <x:v>0.43409000000000003</x:v>
      </x:c>
    </x:row>
    <x:row r="2237" ht="23" customHeight="1">
      <x:c r="A2237" s="17" t="str">
        <x:v>U02231</x:v>
      </x:c>
      <x:c r="B2237" s="18" t="n">
        <x:v>46293</x:v>
      </x:c>
      <x:c r="C2237" s="17" t="str">
        <x:v>W0171</x:v>
      </x:c>
      <x:c r="D2237" s="17" t="str">
        <x:v>C003</x:v>
      </x:c>
      <x:c r="E2237" s="17" t="str">
        <x:v>DataFlow</x:v>
      </x:c>
      <x:c r="F2237" s="17" t="str">
        <x:v>Lite</x:v>
      </x:c>
      <x:c r="G2237" s="17" t="n">
        <x:v>14003</x:v>
      </x:c>
      <x:c r="H2237" s="17" t="n">
        <x:v>8717</x:v>
      </x:c>
      <x:c r="I2237" s="17" t="str">
        <x:v>Followup</x:v>
      </x:c>
      <x:c r="J2237" s="27" t="n">
        <x:f>INDEX('Model Pricing'!$B$7:$B$8,MATCH(F2237,'Model Pricing'!$A$7:$A$8,0))</x:f>
        <x:v>10</x:v>
      </x:c>
      <x:c r="K2237" s="27" t="n">
        <x:f>INDEX('Model Pricing'!$C$7:$C$8,MATCH(F2237,'Model Pricing'!$A$7:$A$8,0))</x:f>
        <x:v>30</x:v>
      </x:c>
      <x:c r="L2237" s="17" t="n">
        <x:f>G2237+H2237</x:f>
        <x:v>22720</x:v>
      </x:c>
      <x:c r="M2237" s="28" t="n">
        <x:f>G2237*J2237/1000000</x:f>
        <x:v>0.14003</x:v>
      </x:c>
      <x:c r="N2237" s="28" t="n">
        <x:f>H2237*K2237/1000000</x:f>
        <x:v>0.26151</x:v>
      </x:c>
      <x:c r="O2237" s="28" t="n">
        <x:f>SUM(M2237:N2237)</x:f>
        <x:v>0.40154</x:v>
      </x:c>
    </x:row>
    <x:row r="2238" ht="23" customHeight="1">
      <x:c r="A2238" s="17" t="str">
        <x:v>U02232</x:v>
      </x:c>
      <x:c r="B2238" s="18" t="n">
        <x:v>46294</x:v>
      </x:c>
      <x:c r="C2238" s="17" t="str">
        <x:v>W0171</x:v>
      </x:c>
      <x:c r="D2238" s="17" t="str">
        <x:v>C003</x:v>
      </x:c>
      <x:c r="E2238" s="17" t="str">
        <x:v>DataFlow</x:v>
      </x:c>
      <x:c r="F2238" s="17" t="str">
        <x:v>Lite</x:v>
      </x:c>
      <x:c r="G2238" s="17" t="n">
        <x:v>15557</x:v>
      </x:c>
      <x:c r="H2238" s="17" t="n">
        <x:v>4500</x:v>
      </x:c>
      <x:c r="I2238" s="17" t="str">
        <x:v>Correction</x:v>
      </x:c>
      <x:c r="J2238" s="27" t="n">
        <x:f>INDEX('Model Pricing'!$B$7:$B$8,MATCH(F2238,'Model Pricing'!$A$7:$A$8,0))</x:f>
        <x:v>10</x:v>
      </x:c>
      <x:c r="K2238" s="27" t="n">
        <x:f>INDEX('Model Pricing'!$C$7:$C$8,MATCH(F2238,'Model Pricing'!$A$7:$A$8,0))</x:f>
        <x:v>30</x:v>
      </x:c>
      <x:c r="L2238" s="17" t="n">
        <x:f>G2238+H2238</x:f>
        <x:v>20057</x:v>
      </x:c>
      <x:c r="M2238" s="28" t="n">
        <x:f>G2238*J2238/1000000</x:f>
        <x:v>0.15557</x:v>
      </x:c>
      <x:c r="N2238" s="28" t="n">
        <x:f>H2238*K2238/1000000</x:f>
        <x:v>0.135</x:v>
      </x:c>
      <x:c r="O2238" s="28" t="n">
        <x:f>SUM(M2238:N2238)</x:f>
        <x:v>0.29057</x:v>
      </x:c>
    </x:row>
    <x:row r="2239" ht="23" customHeight="1">
      <x:c r="A2239" s="17" t="str">
        <x:v>U02233</x:v>
      </x:c>
      <x:c r="B2239" s="18" t="n">
        <x:v>46294</x:v>
      </x:c>
      <x:c r="C2239" s="17" t="str">
        <x:v>W0171</x:v>
      </x:c>
      <x:c r="D2239" s="17" t="str">
        <x:v>C003</x:v>
      </x:c>
      <x:c r="E2239" s="17" t="str">
        <x:v>DataFlow</x:v>
      </x:c>
      <x:c r="F2239" s="17" t="str">
        <x:v>Lite</x:v>
      </x:c>
      <x:c r="G2239" s="17" t="n">
        <x:v>9324</x:v>
      </x:c>
      <x:c r="H2239" s="17" t="n">
        <x:v>9647</x:v>
      </x:c>
      <x:c r="I2239" s="17" t="str">
        <x:v>Correction</x:v>
      </x:c>
      <x:c r="J2239" s="27" t="n">
        <x:f>INDEX('Model Pricing'!$B$7:$B$8,MATCH(F2239,'Model Pricing'!$A$7:$A$8,0))</x:f>
        <x:v>10</x:v>
      </x:c>
      <x:c r="K2239" s="27" t="n">
        <x:f>INDEX('Model Pricing'!$C$7:$C$8,MATCH(F2239,'Model Pricing'!$A$7:$A$8,0))</x:f>
        <x:v>30</x:v>
      </x:c>
      <x:c r="L2239" s="17" t="n">
        <x:f>G2239+H2239</x:f>
        <x:v>18971</x:v>
      </x:c>
      <x:c r="M2239" s="28" t="n">
        <x:f>G2239*J2239/1000000</x:f>
        <x:v>0.09324</x:v>
      </x:c>
      <x:c r="N2239" s="28" t="n">
        <x:f>H2239*K2239/1000000</x:f>
        <x:v>0.28941</x:v>
      </x:c>
      <x:c r="O2239" s="28" t="n">
        <x:f>SUM(M2239:N2239)</x:f>
        <x:v>0.38265</x:v>
      </x:c>
    </x:row>
    <x:row r="2240" ht="23" customHeight="1">
      <x:c r="A2240" s="17" t="str">
        <x:v>U02234</x:v>
      </x:c>
      <x:c r="B2240" s="18" t="n">
        <x:v>46294</x:v>
      </x:c>
      <x:c r="C2240" s="17" t="str">
        <x:v>W0171</x:v>
      </x:c>
      <x:c r="D2240" s="17" t="str">
        <x:v>C003</x:v>
      </x:c>
      <x:c r="E2240" s="17" t="str">
        <x:v>DataFlow</x:v>
      </x:c>
      <x:c r="F2240" s="17" t="str">
        <x:v>Lite</x:v>
      </x:c>
      <x:c r="G2240" s="17" t="n">
        <x:v>11076</x:v>
      </x:c>
      <x:c r="H2240" s="17" t="n">
        <x:v>3107</x:v>
      </x:c>
      <x:c r="I2240" s="17" t="str">
        <x:v>Followup</x:v>
      </x:c>
      <x:c r="J2240" s="27" t="n">
        <x:f>INDEX('Model Pricing'!$B$7:$B$8,MATCH(F2240,'Model Pricing'!$A$7:$A$8,0))</x:f>
        <x:v>10</x:v>
      </x:c>
      <x:c r="K2240" s="27" t="n">
        <x:f>INDEX('Model Pricing'!$C$7:$C$8,MATCH(F2240,'Model Pricing'!$A$7:$A$8,0))</x:f>
        <x:v>30</x:v>
      </x:c>
      <x:c r="L2240" s="17" t="n">
        <x:f>G2240+H2240</x:f>
        <x:v>14183</x:v>
      </x:c>
      <x:c r="M2240" s="28" t="n">
        <x:f>G2240*J2240/1000000</x:f>
        <x:v>0.11076</x:v>
      </x:c>
      <x:c r="N2240" s="28" t="n">
        <x:f>H2240*K2240/1000000</x:f>
        <x:v>0.09321</x:v>
      </x:c>
      <x:c r="O2240" s="28" t="n">
        <x:f>SUM(M2240:N2240)</x:f>
        <x:v>0.20396999999999998</x:v>
      </x:c>
    </x:row>
    <x:row r="2241" ht="23" customHeight="1">
      <x:c r="A2241" s="17" t="str">
        <x:v>U02235</x:v>
      </x:c>
      <x:c r="B2241" s="18" t="n">
        <x:v>46295</x:v>
      </x:c>
      <x:c r="C2241" s="17" t="str">
        <x:v>W0171</x:v>
      </x:c>
      <x:c r="D2241" s="17" t="str">
        <x:v>C003</x:v>
      </x:c>
      <x:c r="E2241" s="17" t="str">
        <x:v>DataFlow</x:v>
      </x:c>
      <x:c r="F2241" s="17" t="str">
        <x:v>Lite</x:v>
      </x:c>
      <x:c r="G2241" s="17" t="n">
        <x:v>16796</x:v>
      </x:c>
      <x:c r="H2241" s="17" t="n">
        <x:v>6239</x:v>
      </x:c>
      <x:c r="I2241" s="17" t="str">
        <x:v>Followup</x:v>
      </x:c>
      <x:c r="J2241" s="27" t="n">
        <x:f>INDEX('Model Pricing'!$B$7:$B$8,MATCH(F2241,'Model Pricing'!$A$7:$A$8,0))</x:f>
        <x:v>10</x:v>
      </x:c>
      <x:c r="K2241" s="27" t="n">
        <x:f>INDEX('Model Pricing'!$C$7:$C$8,MATCH(F2241,'Model Pricing'!$A$7:$A$8,0))</x:f>
        <x:v>30</x:v>
      </x:c>
      <x:c r="L2241" s="17" t="n">
        <x:f>G2241+H2241</x:f>
        <x:v>23035</x:v>
      </x:c>
      <x:c r="M2241" s="28" t="n">
        <x:f>G2241*J2241/1000000</x:f>
        <x:v>0.16796</x:v>
      </x:c>
      <x:c r="N2241" s="28" t="n">
        <x:f>H2241*K2241/1000000</x:f>
        <x:v>0.18717</x:v>
      </x:c>
      <x:c r="O2241" s="28" t="n">
        <x:f>SUM(M2241:N2241)</x:f>
        <x:v>0.35513</x:v>
      </x:c>
    </x:row>
    <x:row r="2242" ht="23" customHeight="1">
      <x:c r="A2242" s="17" t="str">
        <x:v>U02236</x:v>
      </x:c>
      <x:c r="B2242" s="18" t="n">
        <x:v>46295</x:v>
      </x:c>
      <x:c r="C2242" s="17" t="str">
        <x:v>W0171</x:v>
      </x:c>
      <x:c r="D2242" s="17" t="str">
        <x:v>C003</x:v>
      </x:c>
      <x:c r="E2242" s="17" t="str">
        <x:v>DataFlow</x:v>
      </x:c>
      <x:c r="F2242" s="17" t="str">
        <x:v>Lite</x:v>
      </x:c>
      <x:c r="G2242" s="17" t="n">
        <x:v>16416</x:v>
      </x:c>
      <x:c r="H2242" s="17" t="n">
        <x:v>3229</x:v>
      </x:c>
      <x:c r="I2242" s="17" t="str">
        <x:v>Followup</x:v>
      </x:c>
      <x:c r="J2242" s="27" t="n">
        <x:f>INDEX('Model Pricing'!$B$7:$B$8,MATCH(F2242,'Model Pricing'!$A$7:$A$8,0))</x:f>
        <x:v>10</x:v>
      </x:c>
      <x:c r="K2242" s="27" t="n">
        <x:f>INDEX('Model Pricing'!$C$7:$C$8,MATCH(F2242,'Model Pricing'!$A$7:$A$8,0))</x:f>
        <x:v>30</x:v>
      </x:c>
      <x:c r="L2242" s="17" t="n">
        <x:f>G2242+H2242</x:f>
        <x:v>19645</x:v>
      </x:c>
      <x:c r="M2242" s="28" t="n">
        <x:f>G2242*J2242/1000000</x:f>
        <x:v>0.16416</x:v>
      </x:c>
      <x:c r="N2242" s="28" t="n">
        <x:f>H2242*K2242/1000000</x:f>
        <x:v>0.09687</x:v>
      </x:c>
      <x:c r="O2242" s="28" t="n">
        <x:f>SUM(M2242:N2242)</x:f>
        <x:v>0.26103</x:v>
      </x:c>
    </x:row>
    <x:row r="2243" ht="23" customHeight="1">
      <x:c r="A2243" s="17" t="str">
        <x:v>U02237</x:v>
      </x:c>
      <x:c r="B2243" s="18" t="n">
        <x:v>46275</x:v>
      </x:c>
      <x:c r="C2243" s="17" t="str">
        <x:v>W0172</x:v>
      </x:c>
      <x:c r="D2243" s="17" t="str">
        <x:v>C003</x:v>
      </x:c>
      <x:c r="E2243" s="17" t="str">
        <x:v>DataFlow</x:v>
      </x:c>
      <x:c r="F2243" s="17" t="str">
        <x:v>Lite</x:v>
      </x:c>
      <x:c r="G2243" s="17" t="n">
        <x:v>16883</x:v>
      </x:c>
      <x:c r="H2243" s="17" t="n">
        <x:v>6381</x:v>
      </x:c>
      <x:c r="I2243" s="17" t="str">
        <x:v>First attempt</x:v>
      </x:c>
      <x:c r="J2243" s="27" t="n">
        <x:f>INDEX('Model Pricing'!$B$7:$B$8,MATCH(F2243,'Model Pricing'!$A$7:$A$8,0))</x:f>
        <x:v>10</x:v>
      </x:c>
      <x:c r="K2243" s="27" t="n">
        <x:f>INDEX('Model Pricing'!$C$7:$C$8,MATCH(F2243,'Model Pricing'!$A$7:$A$8,0))</x:f>
        <x:v>30</x:v>
      </x:c>
      <x:c r="L2243" s="17" t="n">
        <x:f>G2243+H2243</x:f>
        <x:v>23264</x:v>
      </x:c>
      <x:c r="M2243" s="28" t="n">
        <x:f>G2243*J2243/1000000</x:f>
        <x:v>0.16883</x:v>
      </x:c>
      <x:c r="N2243" s="28" t="n">
        <x:f>H2243*K2243/1000000</x:f>
        <x:v>0.19143</x:v>
      </x:c>
      <x:c r="O2243" s="28" t="n">
        <x:f>SUM(M2243:N2243)</x:f>
        <x:v>0.36026</x:v>
      </x:c>
    </x:row>
    <x:row r="2244" ht="23" customHeight="1">
      <x:c r="A2244" s="17" t="str">
        <x:v>U02238</x:v>
      </x:c>
      <x:c r="B2244" s="18" t="n">
        <x:v>46275</x:v>
      </x:c>
      <x:c r="C2244" s="17" t="str">
        <x:v>W0172</x:v>
      </x:c>
      <x:c r="D2244" s="17" t="str">
        <x:v>C003</x:v>
      </x:c>
      <x:c r="E2244" s="17" t="str">
        <x:v>DataFlow</x:v>
      </x:c>
      <x:c r="F2244" s="17" t="str">
        <x:v>Lite</x:v>
      </x:c>
      <x:c r="G2244" s="17" t="n">
        <x:v>14042</x:v>
      </x:c>
      <x:c r="H2244" s="17" t="n">
        <x:v>6605</x:v>
      </x:c>
      <x:c r="I2244" s="17" t="str">
        <x:v>Correction</x:v>
      </x:c>
      <x:c r="J2244" s="27" t="n">
        <x:f>INDEX('Model Pricing'!$B$7:$B$8,MATCH(F2244,'Model Pricing'!$A$7:$A$8,0))</x:f>
        <x:v>10</x:v>
      </x:c>
      <x:c r="K2244" s="27" t="n">
        <x:f>INDEX('Model Pricing'!$C$7:$C$8,MATCH(F2244,'Model Pricing'!$A$7:$A$8,0))</x:f>
        <x:v>30</x:v>
      </x:c>
      <x:c r="L2244" s="17" t="n">
        <x:f>G2244+H2244</x:f>
        <x:v>20647</x:v>
      </x:c>
      <x:c r="M2244" s="28" t="n">
        <x:f>G2244*J2244/1000000</x:f>
        <x:v>0.14042</x:v>
      </x:c>
      <x:c r="N2244" s="28" t="n">
        <x:f>H2244*K2244/1000000</x:f>
        <x:v>0.19815</x:v>
      </x:c>
      <x:c r="O2244" s="28" t="n">
        <x:f>SUM(M2244:N2244)</x:f>
        <x:v>0.33857</x:v>
      </x:c>
    </x:row>
    <x:row r="2245" ht="23" customHeight="1">
      <x:c r="A2245" s="17" t="str">
        <x:v>U02239</x:v>
      </x:c>
      <x:c r="B2245" s="18" t="n">
        <x:v>46275</x:v>
      </x:c>
      <x:c r="C2245" s="17" t="str">
        <x:v>W0172</x:v>
      </x:c>
      <x:c r="D2245" s="17" t="str">
        <x:v>C003</x:v>
      </x:c>
      <x:c r="E2245" s="17" t="str">
        <x:v>DataFlow</x:v>
      </x:c>
      <x:c r="F2245" s="17" t="str">
        <x:v>Lite</x:v>
      </x:c>
      <x:c r="G2245" s="17" t="n">
        <x:v>11835</x:v>
      </x:c>
      <x:c r="H2245" s="17" t="n">
        <x:v>4044</x:v>
      </x:c>
      <x:c r="I2245" s="17" t="str">
        <x:v>Followup</x:v>
      </x:c>
      <x:c r="J2245" s="27" t="n">
        <x:f>INDEX('Model Pricing'!$B$7:$B$8,MATCH(F2245,'Model Pricing'!$A$7:$A$8,0))</x:f>
        <x:v>10</x:v>
      </x:c>
      <x:c r="K2245" s="27" t="n">
        <x:f>INDEX('Model Pricing'!$C$7:$C$8,MATCH(F2245,'Model Pricing'!$A$7:$A$8,0))</x:f>
        <x:v>30</x:v>
      </x:c>
      <x:c r="L2245" s="17" t="n">
        <x:f>G2245+H2245</x:f>
        <x:v>15879</x:v>
      </x:c>
      <x:c r="M2245" s="28" t="n">
        <x:f>G2245*J2245/1000000</x:f>
        <x:v>0.11835</x:v>
      </x:c>
      <x:c r="N2245" s="28" t="n">
        <x:f>H2245*K2245/1000000</x:f>
        <x:v>0.12132</x:v>
      </x:c>
      <x:c r="O2245" s="28" t="n">
        <x:f>SUM(M2245:N2245)</x:f>
        <x:v>0.23967</x:v>
      </x:c>
    </x:row>
    <x:row r="2246" ht="23" customHeight="1">
      <x:c r="A2246" s="17" t="str">
        <x:v>U02240</x:v>
      </x:c>
      <x:c r="B2246" s="18" t="n">
        <x:v>46275</x:v>
      </x:c>
      <x:c r="C2246" s="17" t="str">
        <x:v>W0172</x:v>
      </x:c>
      <x:c r="D2246" s="17" t="str">
        <x:v>C003</x:v>
      </x:c>
      <x:c r="E2246" s="17" t="str">
        <x:v>DataFlow</x:v>
      </x:c>
      <x:c r="F2246" s="17" t="str">
        <x:v>Lite</x:v>
      </x:c>
      <x:c r="G2246" s="17" t="n">
        <x:v>10314</x:v>
      </x:c>
      <x:c r="H2246" s="17" t="n">
        <x:v>8503</x:v>
      </x:c>
      <x:c r="I2246" s="17" t="str">
        <x:v>Followup</x:v>
      </x:c>
      <x:c r="J2246" s="27" t="n">
        <x:f>INDEX('Model Pricing'!$B$7:$B$8,MATCH(F2246,'Model Pricing'!$A$7:$A$8,0))</x:f>
        <x:v>10</x:v>
      </x:c>
      <x:c r="K2246" s="27" t="n">
        <x:f>INDEX('Model Pricing'!$C$7:$C$8,MATCH(F2246,'Model Pricing'!$A$7:$A$8,0))</x:f>
        <x:v>30</x:v>
      </x:c>
      <x:c r="L2246" s="17" t="n">
        <x:f>G2246+H2246</x:f>
        <x:v>18817</x:v>
      </x:c>
      <x:c r="M2246" s="28" t="n">
        <x:f>G2246*J2246/1000000</x:f>
        <x:v>0.10314</x:v>
      </x:c>
      <x:c r="N2246" s="28" t="n">
        <x:f>H2246*K2246/1000000</x:f>
        <x:v>0.25509</x:v>
      </x:c>
      <x:c r="O2246" s="28" t="n">
        <x:f>SUM(M2246:N2246)</x:f>
        <x:v>0.35823</x:v>
      </x:c>
    </x:row>
    <x:row r="2247" ht="23" customHeight="1">
      <x:c r="A2247" s="17" t="str">
        <x:v>U02241</x:v>
      </x:c>
      <x:c r="B2247" s="18" t="n">
        <x:v>46276</x:v>
      </x:c>
      <x:c r="C2247" s="17" t="str">
        <x:v>W0172</x:v>
      </x:c>
      <x:c r="D2247" s="17" t="str">
        <x:v>C003</x:v>
      </x:c>
      <x:c r="E2247" s="17" t="str">
        <x:v>DataFlow</x:v>
      </x:c>
      <x:c r="F2247" s="17" t="str">
        <x:v>Lite</x:v>
      </x:c>
      <x:c r="G2247" s="17" t="n">
        <x:v>12051</x:v>
      </x:c>
      <x:c r="H2247" s="17" t="n">
        <x:v>7478</x:v>
      </x:c>
      <x:c r="I2247" s="17" t="str">
        <x:v>Followup</x:v>
      </x:c>
      <x:c r="J2247" s="27" t="n">
        <x:f>INDEX('Model Pricing'!$B$7:$B$8,MATCH(F2247,'Model Pricing'!$A$7:$A$8,0))</x:f>
        <x:v>10</x:v>
      </x:c>
      <x:c r="K2247" s="27" t="n">
        <x:f>INDEX('Model Pricing'!$C$7:$C$8,MATCH(F2247,'Model Pricing'!$A$7:$A$8,0))</x:f>
        <x:v>30</x:v>
      </x:c>
      <x:c r="L2247" s="17" t="n">
        <x:f>G2247+H2247</x:f>
        <x:v>19529</x:v>
      </x:c>
      <x:c r="M2247" s="28" t="n">
        <x:f>G2247*J2247/1000000</x:f>
        <x:v>0.12051</x:v>
      </x:c>
      <x:c r="N2247" s="28" t="n">
        <x:f>H2247*K2247/1000000</x:f>
        <x:v>0.22434</x:v>
      </x:c>
      <x:c r="O2247" s="28" t="n">
        <x:f>SUM(M2247:N2247)</x:f>
        <x:v>0.34485</x:v>
      </x:c>
    </x:row>
    <x:row r="2248" ht="23" customHeight="1">
      <x:c r="A2248" s="17" t="str">
        <x:v>U02242</x:v>
      </x:c>
      <x:c r="B2248" s="18" t="n">
        <x:v>46276</x:v>
      </x:c>
      <x:c r="C2248" s="17" t="str">
        <x:v>W0172</x:v>
      </x:c>
      <x:c r="D2248" s="17" t="str">
        <x:v>C003</x:v>
      </x:c>
      <x:c r="E2248" s="17" t="str">
        <x:v>DataFlow</x:v>
      </x:c>
      <x:c r="F2248" s="17" t="str">
        <x:v>Lite</x:v>
      </x:c>
      <x:c r="G2248" s="17" t="n">
        <x:v>17952</x:v>
      </x:c>
      <x:c r="H2248" s="17" t="n">
        <x:v>4479</x:v>
      </x:c>
      <x:c r="I2248" s="17" t="str">
        <x:v>Followup</x:v>
      </x:c>
      <x:c r="J2248" s="27" t="n">
        <x:f>INDEX('Model Pricing'!$B$7:$B$8,MATCH(F2248,'Model Pricing'!$A$7:$A$8,0))</x:f>
        <x:v>10</x:v>
      </x:c>
      <x:c r="K2248" s="27" t="n">
        <x:f>INDEX('Model Pricing'!$C$7:$C$8,MATCH(F2248,'Model Pricing'!$A$7:$A$8,0))</x:f>
        <x:v>30</x:v>
      </x:c>
      <x:c r="L2248" s="17" t="n">
        <x:f>G2248+H2248</x:f>
        <x:v>22431</x:v>
      </x:c>
      <x:c r="M2248" s="28" t="n">
        <x:f>G2248*J2248/1000000</x:f>
        <x:v>0.17952</x:v>
      </x:c>
      <x:c r="N2248" s="28" t="n">
        <x:f>H2248*K2248/1000000</x:f>
        <x:v>0.13437</x:v>
      </x:c>
      <x:c r="O2248" s="28" t="n">
        <x:f>SUM(M2248:N2248)</x:f>
        <x:v>0.31389</x:v>
      </x:c>
    </x:row>
    <x:row r="2249" ht="23" customHeight="1">
      <x:c r="A2249" s="17" t="str">
        <x:v>U02243</x:v>
      </x:c>
      <x:c r="B2249" s="18" t="n">
        <x:v>46276</x:v>
      </x:c>
      <x:c r="C2249" s="17" t="str">
        <x:v>W0172</x:v>
      </x:c>
      <x:c r="D2249" s="17" t="str">
        <x:v>C003</x:v>
      </x:c>
      <x:c r="E2249" s="17" t="str">
        <x:v>DataFlow</x:v>
      </x:c>
      <x:c r="F2249" s="17" t="str">
        <x:v>Lite</x:v>
      </x:c>
      <x:c r="G2249" s="17" t="n">
        <x:v>19720</x:v>
      </x:c>
      <x:c r="H2249" s="17" t="n">
        <x:v>4868</x:v>
      </x:c>
      <x:c r="I2249" s="17" t="str">
        <x:v>Followup</x:v>
      </x:c>
      <x:c r="J2249" s="27" t="n">
        <x:f>INDEX('Model Pricing'!$B$7:$B$8,MATCH(F2249,'Model Pricing'!$A$7:$A$8,0))</x:f>
        <x:v>10</x:v>
      </x:c>
      <x:c r="K2249" s="27" t="n">
        <x:f>INDEX('Model Pricing'!$C$7:$C$8,MATCH(F2249,'Model Pricing'!$A$7:$A$8,0))</x:f>
        <x:v>30</x:v>
      </x:c>
      <x:c r="L2249" s="17" t="n">
        <x:f>G2249+H2249</x:f>
        <x:v>24588</x:v>
      </x:c>
      <x:c r="M2249" s="28" t="n">
        <x:f>G2249*J2249/1000000</x:f>
        <x:v>0.1972</x:v>
      </x:c>
      <x:c r="N2249" s="28" t="n">
        <x:f>H2249*K2249/1000000</x:f>
        <x:v>0.14604</x:v>
      </x:c>
      <x:c r="O2249" s="28" t="n">
        <x:f>SUM(M2249:N2249)</x:f>
        <x:v>0.34324</x:v>
      </x:c>
    </x:row>
    <x:row r="2250" ht="23" customHeight="1">
      <x:c r="A2250" s="17" t="str">
        <x:v>U02244</x:v>
      </x:c>
      <x:c r="B2250" s="18" t="n">
        <x:v>46276</x:v>
      </x:c>
      <x:c r="C2250" s="17" t="str">
        <x:v>W0172</x:v>
      </x:c>
      <x:c r="D2250" s="17" t="str">
        <x:v>C003</x:v>
      </x:c>
      <x:c r="E2250" s="17" t="str">
        <x:v>DataFlow</x:v>
      </x:c>
      <x:c r="F2250" s="17" t="str">
        <x:v>Lite</x:v>
      </x:c>
      <x:c r="G2250" s="17" t="n">
        <x:v>17679</x:v>
      </x:c>
      <x:c r="H2250" s="17" t="n">
        <x:v>5262</x:v>
      </x:c>
      <x:c r="I2250" s="17" t="str">
        <x:v>Correction</x:v>
      </x:c>
      <x:c r="J2250" s="27" t="n">
        <x:f>INDEX('Model Pricing'!$B$7:$B$8,MATCH(F2250,'Model Pricing'!$A$7:$A$8,0))</x:f>
        <x:v>10</x:v>
      </x:c>
      <x:c r="K2250" s="27" t="n">
        <x:f>INDEX('Model Pricing'!$C$7:$C$8,MATCH(F2250,'Model Pricing'!$A$7:$A$8,0))</x:f>
        <x:v>30</x:v>
      </x:c>
      <x:c r="L2250" s="17" t="n">
        <x:f>G2250+H2250</x:f>
        <x:v>22941</x:v>
      </x:c>
      <x:c r="M2250" s="28" t="n">
        <x:f>G2250*J2250/1000000</x:f>
        <x:v>0.17679</x:v>
      </x:c>
      <x:c r="N2250" s="28" t="n">
        <x:f>H2250*K2250/1000000</x:f>
        <x:v>0.15786</x:v>
      </x:c>
      <x:c r="O2250" s="28" t="n">
        <x:f>SUM(M2250:N2250)</x:f>
        <x:v>0.33465</x:v>
      </x:c>
    </x:row>
    <x:row r="2251" ht="23" customHeight="1">
      <x:c r="A2251" s="17" t="str">
        <x:v>U02245</x:v>
      </x:c>
      <x:c r="B2251" s="18" t="n">
        <x:v>46279</x:v>
      </x:c>
      <x:c r="C2251" s="17" t="str">
        <x:v>W0172</x:v>
      </x:c>
      <x:c r="D2251" s="17" t="str">
        <x:v>C003</x:v>
      </x:c>
      <x:c r="E2251" s="17" t="str">
        <x:v>DataFlow</x:v>
      </x:c>
      <x:c r="F2251" s="17" t="str">
        <x:v>Lite</x:v>
      </x:c>
      <x:c r="G2251" s="17" t="n">
        <x:v>10954</x:v>
      </x:c>
      <x:c r="H2251" s="17" t="n">
        <x:v>6787</x:v>
      </x:c>
      <x:c r="I2251" s="17" t="str">
        <x:v>Followup</x:v>
      </x:c>
      <x:c r="J2251" s="27" t="n">
        <x:f>INDEX('Model Pricing'!$B$7:$B$8,MATCH(F2251,'Model Pricing'!$A$7:$A$8,0))</x:f>
        <x:v>10</x:v>
      </x:c>
      <x:c r="K2251" s="27" t="n">
        <x:f>INDEX('Model Pricing'!$C$7:$C$8,MATCH(F2251,'Model Pricing'!$A$7:$A$8,0))</x:f>
        <x:v>30</x:v>
      </x:c>
      <x:c r="L2251" s="17" t="n">
        <x:f>G2251+H2251</x:f>
        <x:v>17741</x:v>
      </x:c>
      <x:c r="M2251" s="28" t="n">
        <x:f>G2251*J2251/1000000</x:f>
        <x:v>0.10954</x:v>
      </x:c>
      <x:c r="N2251" s="28" t="n">
        <x:f>H2251*K2251/1000000</x:f>
        <x:v>0.20361</x:v>
      </x:c>
      <x:c r="O2251" s="28" t="n">
        <x:f>SUM(M2251:N2251)</x:f>
        <x:v>0.31315000000000004</x:v>
      </x:c>
    </x:row>
    <x:row r="2252" ht="23" customHeight="1">
      <x:c r="A2252" s="17" t="str">
        <x:v>U02246</x:v>
      </x:c>
      <x:c r="B2252" s="18" t="n">
        <x:v>46279</x:v>
      </x:c>
      <x:c r="C2252" s="17" t="str">
        <x:v>W0172</x:v>
      </x:c>
      <x:c r="D2252" s="17" t="str">
        <x:v>C003</x:v>
      </x:c>
      <x:c r="E2252" s="17" t="str">
        <x:v>DataFlow</x:v>
      </x:c>
      <x:c r="F2252" s="17" t="str">
        <x:v>Lite</x:v>
      </x:c>
      <x:c r="G2252" s="17" t="n">
        <x:v>12240</x:v>
      </x:c>
      <x:c r="H2252" s="17" t="n">
        <x:v>7617</x:v>
      </x:c>
      <x:c r="I2252" s="17" t="str">
        <x:v>Followup</x:v>
      </x:c>
      <x:c r="J2252" s="27" t="n">
        <x:f>INDEX('Model Pricing'!$B$7:$B$8,MATCH(F2252,'Model Pricing'!$A$7:$A$8,0))</x:f>
        <x:v>10</x:v>
      </x:c>
      <x:c r="K2252" s="27" t="n">
        <x:f>INDEX('Model Pricing'!$C$7:$C$8,MATCH(F2252,'Model Pricing'!$A$7:$A$8,0))</x:f>
        <x:v>30</x:v>
      </x:c>
      <x:c r="L2252" s="17" t="n">
        <x:f>G2252+H2252</x:f>
        <x:v>19857</x:v>
      </x:c>
      <x:c r="M2252" s="28" t="n">
        <x:f>G2252*J2252/1000000</x:f>
        <x:v>0.1224</x:v>
      </x:c>
      <x:c r="N2252" s="28" t="n">
        <x:f>H2252*K2252/1000000</x:f>
        <x:v>0.22851</x:v>
      </x:c>
      <x:c r="O2252" s="28" t="n">
        <x:f>SUM(M2252:N2252)</x:f>
        <x:v>0.35091</x:v>
      </x:c>
    </x:row>
    <x:row r="2253" ht="23" customHeight="1">
      <x:c r="A2253" s="17" t="str">
        <x:v>U02247</x:v>
      </x:c>
      <x:c r="B2253" s="18" t="n">
        <x:v>46279</x:v>
      </x:c>
      <x:c r="C2253" s="17" t="str">
        <x:v>W0172</x:v>
      </x:c>
      <x:c r="D2253" s="17" t="str">
        <x:v>C003</x:v>
      </x:c>
      <x:c r="E2253" s="17" t="str">
        <x:v>DataFlow</x:v>
      </x:c>
      <x:c r="F2253" s="17" t="str">
        <x:v>Lite</x:v>
      </x:c>
      <x:c r="G2253" s="17" t="n">
        <x:v>18157</x:v>
      </x:c>
      <x:c r="H2253" s="17" t="n">
        <x:v>8186</x:v>
      </x:c>
      <x:c r="I2253" s="17" t="str">
        <x:v>Followup</x:v>
      </x:c>
      <x:c r="J2253" s="27" t="n">
        <x:f>INDEX('Model Pricing'!$B$7:$B$8,MATCH(F2253,'Model Pricing'!$A$7:$A$8,0))</x:f>
        <x:v>10</x:v>
      </x:c>
      <x:c r="K2253" s="27" t="n">
        <x:f>INDEX('Model Pricing'!$C$7:$C$8,MATCH(F2253,'Model Pricing'!$A$7:$A$8,0))</x:f>
        <x:v>30</x:v>
      </x:c>
      <x:c r="L2253" s="17" t="n">
        <x:f>G2253+H2253</x:f>
        <x:v>26343</x:v>
      </x:c>
      <x:c r="M2253" s="28" t="n">
        <x:f>G2253*J2253/1000000</x:f>
        <x:v>0.18157</x:v>
      </x:c>
      <x:c r="N2253" s="28" t="n">
        <x:f>H2253*K2253/1000000</x:f>
        <x:v>0.24558</x:v>
      </x:c>
      <x:c r="O2253" s="28" t="n">
        <x:f>SUM(M2253:N2253)</x:f>
        <x:v>0.42715000000000003</x:v>
      </x:c>
    </x:row>
    <x:row r="2254" ht="23" customHeight="1">
      <x:c r="A2254" s="17" t="str">
        <x:v>U02248</x:v>
      </x:c>
      <x:c r="B2254" s="18" t="n">
        <x:v>46279</x:v>
      </x:c>
      <x:c r="C2254" s="17" t="str">
        <x:v>W0172</x:v>
      </x:c>
      <x:c r="D2254" s="17" t="str">
        <x:v>C003</x:v>
      </x:c>
      <x:c r="E2254" s="17" t="str">
        <x:v>DataFlow</x:v>
      </x:c>
      <x:c r="F2254" s="17" t="str">
        <x:v>Lite</x:v>
      </x:c>
      <x:c r="G2254" s="17" t="n">
        <x:v>20508</x:v>
      </x:c>
      <x:c r="H2254" s="17" t="n">
        <x:v>3300</x:v>
      </x:c>
      <x:c r="I2254" s="17" t="str">
        <x:v>Followup</x:v>
      </x:c>
      <x:c r="J2254" s="27" t="n">
        <x:f>INDEX('Model Pricing'!$B$7:$B$8,MATCH(F2254,'Model Pricing'!$A$7:$A$8,0))</x:f>
        <x:v>10</x:v>
      </x:c>
      <x:c r="K2254" s="27" t="n">
        <x:f>INDEX('Model Pricing'!$C$7:$C$8,MATCH(F2254,'Model Pricing'!$A$7:$A$8,0))</x:f>
        <x:v>30</x:v>
      </x:c>
      <x:c r="L2254" s="17" t="n">
        <x:f>G2254+H2254</x:f>
        <x:v>23808</x:v>
      </x:c>
      <x:c r="M2254" s="28" t="n">
        <x:f>G2254*J2254/1000000</x:f>
        <x:v>0.20508</x:v>
      </x:c>
      <x:c r="N2254" s="28" t="n">
        <x:f>H2254*K2254/1000000</x:f>
        <x:v>0.099</x:v>
      </x:c>
      <x:c r="O2254" s="28" t="n">
        <x:f>SUM(M2254:N2254)</x:f>
        <x:v>0.30408</x:v>
      </x:c>
    </x:row>
    <x:row r="2255" ht="23" customHeight="1">
      <x:c r="A2255" s="17" t="str">
        <x:v>U02249</x:v>
      </x:c>
      <x:c r="B2255" s="18" t="n">
        <x:v>46280</x:v>
      </x:c>
      <x:c r="C2255" s="17" t="str">
        <x:v>W0172</x:v>
      </x:c>
      <x:c r="D2255" s="17" t="str">
        <x:v>C003</x:v>
      </x:c>
      <x:c r="E2255" s="17" t="str">
        <x:v>DataFlow</x:v>
      </x:c>
      <x:c r="F2255" s="17" t="str">
        <x:v>Lite</x:v>
      </x:c>
      <x:c r="G2255" s="17" t="n">
        <x:v>14929</x:v>
      </x:c>
      <x:c r="H2255" s="17" t="n">
        <x:v>2763</x:v>
      </x:c>
      <x:c r="I2255" s="17" t="str">
        <x:v>Followup</x:v>
      </x:c>
      <x:c r="J2255" s="27" t="n">
        <x:f>INDEX('Model Pricing'!$B$7:$B$8,MATCH(F2255,'Model Pricing'!$A$7:$A$8,0))</x:f>
        <x:v>10</x:v>
      </x:c>
      <x:c r="K2255" s="27" t="n">
        <x:f>INDEX('Model Pricing'!$C$7:$C$8,MATCH(F2255,'Model Pricing'!$A$7:$A$8,0))</x:f>
        <x:v>30</x:v>
      </x:c>
      <x:c r="L2255" s="17" t="n">
        <x:f>G2255+H2255</x:f>
        <x:v>17692</x:v>
      </x:c>
      <x:c r="M2255" s="28" t="n">
        <x:f>G2255*J2255/1000000</x:f>
        <x:v>0.14929</x:v>
      </x:c>
      <x:c r="N2255" s="28" t="n">
        <x:f>H2255*K2255/1000000</x:f>
        <x:v>0.08289</x:v>
      </x:c>
      <x:c r="O2255" s="28" t="n">
        <x:f>SUM(M2255:N2255)</x:f>
        <x:v>0.23218</x:v>
      </x:c>
    </x:row>
    <x:row r="2256" ht="23" customHeight="1">
      <x:c r="A2256" s="17" t="str">
        <x:v>U02250</x:v>
      </x:c>
      <x:c r="B2256" s="18" t="n">
        <x:v>46280</x:v>
      </x:c>
      <x:c r="C2256" s="17" t="str">
        <x:v>W0172</x:v>
      </x:c>
      <x:c r="D2256" s="17" t="str">
        <x:v>C003</x:v>
      </x:c>
      <x:c r="E2256" s="17" t="str">
        <x:v>DataFlow</x:v>
      </x:c>
      <x:c r="F2256" s="17" t="str">
        <x:v>Lite</x:v>
      </x:c>
      <x:c r="G2256" s="17" t="n">
        <x:v>12758</x:v>
      </x:c>
      <x:c r="H2256" s="17" t="n">
        <x:v>5898</x:v>
      </x:c>
      <x:c r="I2256" s="17" t="str">
        <x:v>Followup</x:v>
      </x:c>
      <x:c r="J2256" s="27" t="n">
        <x:f>INDEX('Model Pricing'!$B$7:$B$8,MATCH(F2256,'Model Pricing'!$A$7:$A$8,0))</x:f>
        <x:v>10</x:v>
      </x:c>
      <x:c r="K2256" s="27" t="n">
        <x:f>INDEX('Model Pricing'!$C$7:$C$8,MATCH(F2256,'Model Pricing'!$A$7:$A$8,0))</x:f>
        <x:v>30</x:v>
      </x:c>
      <x:c r="L2256" s="17" t="n">
        <x:f>G2256+H2256</x:f>
        <x:v>18656</x:v>
      </x:c>
      <x:c r="M2256" s="28" t="n">
        <x:f>G2256*J2256/1000000</x:f>
        <x:v>0.12758</x:v>
      </x:c>
      <x:c r="N2256" s="28" t="n">
        <x:f>H2256*K2256/1000000</x:f>
        <x:v>0.17694</x:v>
      </x:c>
      <x:c r="O2256" s="28" t="n">
        <x:f>SUM(M2256:N2256)</x:f>
        <x:v>0.30452</x:v>
      </x:c>
    </x:row>
    <x:row r="2257" ht="23" customHeight="1">
      <x:c r="A2257" s="17" t="str">
        <x:v>U02251</x:v>
      </x:c>
      <x:c r="B2257" s="18" t="n">
        <x:v>46280</x:v>
      </x:c>
      <x:c r="C2257" s="17" t="str">
        <x:v>W0172</x:v>
      </x:c>
      <x:c r="D2257" s="17" t="str">
        <x:v>C003</x:v>
      </x:c>
      <x:c r="E2257" s="17" t="str">
        <x:v>DataFlow</x:v>
      </x:c>
      <x:c r="F2257" s="17" t="str">
        <x:v>Lite</x:v>
      </x:c>
      <x:c r="G2257" s="17" t="n">
        <x:v>14187</x:v>
      </x:c>
      <x:c r="H2257" s="17" t="n">
        <x:v>7295</x:v>
      </x:c>
      <x:c r="I2257" s="17" t="str">
        <x:v>Followup</x:v>
      </x:c>
      <x:c r="J2257" s="27" t="n">
        <x:f>INDEX('Model Pricing'!$B$7:$B$8,MATCH(F2257,'Model Pricing'!$A$7:$A$8,0))</x:f>
        <x:v>10</x:v>
      </x:c>
      <x:c r="K2257" s="27" t="n">
        <x:f>INDEX('Model Pricing'!$C$7:$C$8,MATCH(F2257,'Model Pricing'!$A$7:$A$8,0))</x:f>
        <x:v>30</x:v>
      </x:c>
      <x:c r="L2257" s="17" t="n">
        <x:f>G2257+H2257</x:f>
        <x:v>21482</x:v>
      </x:c>
      <x:c r="M2257" s="28" t="n">
        <x:f>G2257*J2257/1000000</x:f>
        <x:v>0.14187</x:v>
      </x:c>
      <x:c r="N2257" s="28" t="n">
        <x:f>H2257*K2257/1000000</x:f>
        <x:v>0.21885</x:v>
      </x:c>
      <x:c r="O2257" s="28" t="n">
        <x:f>SUM(M2257:N2257)</x:f>
        <x:v>0.36072</x:v>
      </x:c>
    </x:row>
    <x:row r="2258" ht="23" customHeight="1">
      <x:c r="A2258" s="17" t="str">
        <x:v>U02252</x:v>
      </x:c>
      <x:c r="B2258" s="18" t="n">
        <x:v>46280</x:v>
      </x:c>
      <x:c r="C2258" s="17" t="str">
        <x:v>W0172</x:v>
      </x:c>
      <x:c r="D2258" s="17" t="str">
        <x:v>C003</x:v>
      </x:c>
      <x:c r="E2258" s="17" t="str">
        <x:v>DataFlow</x:v>
      </x:c>
      <x:c r="F2258" s="17" t="str">
        <x:v>Lite</x:v>
      </x:c>
      <x:c r="G2258" s="17" t="n">
        <x:v>15997</x:v>
      </x:c>
      <x:c r="H2258" s="17" t="n">
        <x:v>5498</x:v>
      </x:c>
      <x:c r="I2258" s="17" t="str">
        <x:v>Correction</x:v>
      </x:c>
      <x:c r="J2258" s="27" t="n">
        <x:f>INDEX('Model Pricing'!$B$7:$B$8,MATCH(F2258,'Model Pricing'!$A$7:$A$8,0))</x:f>
        <x:v>10</x:v>
      </x:c>
      <x:c r="K2258" s="27" t="n">
        <x:f>INDEX('Model Pricing'!$C$7:$C$8,MATCH(F2258,'Model Pricing'!$A$7:$A$8,0))</x:f>
        <x:v>30</x:v>
      </x:c>
      <x:c r="L2258" s="17" t="n">
        <x:f>G2258+H2258</x:f>
        <x:v>21495</x:v>
      </x:c>
      <x:c r="M2258" s="28" t="n">
        <x:f>G2258*J2258/1000000</x:f>
        <x:v>0.15997</x:v>
      </x:c>
      <x:c r="N2258" s="28" t="n">
        <x:f>H2258*K2258/1000000</x:f>
        <x:v>0.16494</x:v>
      </x:c>
      <x:c r="O2258" s="28" t="n">
        <x:f>SUM(M2258:N2258)</x:f>
        <x:v>0.32491000000000003</x:v>
      </x:c>
    </x:row>
    <x:row r="2259" ht="23" customHeight="1">
      <x:c r="A2259" s="17" t="str">
        <x:v>U02253</x:v>
      </x:c>
      <x:c r="B2259" s="18" t="n">
        <x:v>46268</x:v>
      </x:c>
      <x:c r="C2259" s="17" t="str">
        <x:v>W0174</x:v>
      </x:c>
      <x:c r="D2259" s="17" t="str">
        <x:v>C003</x:v>
      </x:c>
      <x:c r="E2259" s="17" t="str">
        <x:v>InsightDesk</x:v>
      </x:c>
      <x:c r="F2259" s="17" t="str">
        <x:v>Lite</x:v>
      </x:c>
      <x:c r="G2259" s="17" t="n">
        <x:v>19707</x:v>
      </x:c>
      <x:c r="H2259" s="17" t="n">
        <x:v>7257</x:v>
      </x:c>
      <x:c r="I2259" s="17" t="str">
        <x:v>First attempt</x:v>
      </x:c>
      <x:c r="J2259" s="27" t="n">
        <x:f>INDEX('Model Pricing'!$B$7:$B$8,MATCH(F2259,'Model Pricing'!$A$7:$A$8,0))</x:f>
        <x:v>10</x:v>
      </x:c>
      <x:c r="K2259" s="27" t="n">
        <x:f>INDEX('Model Pricing'!$C$7:$C$8,MATCH(F2259,'Model Pricing'!$A$7:$A$8,0))</x:f>
        <x:v>30</x:v>
      </x:c>
      <x:c r="L2259" s="17" t="n">
        <x:f>G2259+H2259</x:f>
        <x:v>26964</x:v>
      </x:c>
      <x:c r="M2259" s="28" t="n">
        <x:f>G2259*J2259/1000000</x:f>
        <x:v>0.19707</x:v>
      </x:c>
      <x:c r="N2259" s="28" t="n">
        <x:f>H2259*K2259/1000000</x:f>
        <x:v>0.21771</x:v>
      </x:c>
      <x:c r="O2259" s="28" t="n">
        <x:f>SUM(M2259:N2259)</x:f>
        <x:v>0.41478</x:v>
      </x:c>
    </x:row>
    <x:row r="2260" ht="23" customHeight="1">
      <x:c r="A2260" s="17" t="str">
        <x:v>U02254</x:v>
      </x:c>
      <x:c r="B2260" s="18" t="n">
        <x:v>46268</x:v>
      </x:c>
      <x:c r="C2260" s="17" t="str">
        <x:v>W0174</x:v>
      </x:c>
      <x:c r="D2260" s="17" t="str">
        <x:v>C003</x:v>
      </x:c>
      <x:c r="E2260" s="17" t="str">
        <x:v>InsightDesk</x:v>
      </x:c>
      <x:c r="F2260" s="17" t="str">
        <x:v>Lite</x:v>
      </x:c>
      <x:c r="G2260" s="17" t="n">
        <x:v>32013</x:v>
      </x:c>
      <x:c r="H2260" s="17" t="n">
        <x:v>4034</x:v>
      </x:c>
      <x:c r="I2260" s="17" t="str">
        <x:v>Followup</x:v>
      </x:c>
      <x:c r="J2260" s="27" t="n">
        <x:f>INDEX('Model Pricing'!$B$7:$B$8,MATCH(F2260,'Model Pricing'!$A$7:$A$8,0))</x:f>
        <x:v>10</x:v>
      </x:c>
      <x:c r="K2260" s="27" t="n">
        <x:f>INDEX('Model Pricing'!$C$7:$C$8,MATCH(F2260,'Model Pricing'!$A$7:$A$8,0))</x:f>
        <x:v>30</x:v>
      </x:c>
      <x:c r="L2260" s="17" t="n">
        <x:f>G2260+H2260</x:f>
        <x:v>36047</x:v>
      </x:c>
      <x:c r="M2260" s="28" t="n">
        <x:f>G2260*J2260/1000000</x:f>
        <x:v>0.32013</x:v>
      </x:c>
      <x:c r="N2260" s="28" t="n">
        <x:f>H2260*K2260/1000000</x:f>
        <x:v>0.12102</x:v>
      </x:c>
      <x:c r="O2260" s="28" t="n">
        <x:f>SUM(M2260:N2260)</x:f>
        <x:v>0.44115000000000004</x:v>
      </x:c>
    </x:row>
    <x:row r="2261" ht="23" customHeight="1">
      <x:c r="A2261" s="17" t="str">
        <x:v>U02255</x:v>
      </x:c>
      <x:c r="B2261" s="18" t="n">
        <x:v>46268</x:v>
      </x:c>
      <x:c r="C2261" s="17" t="str">
        <x:v>W0174</x:v>
      </x:c>
      <x:c r="D2261" s="17" t="str">
        <x:v>C003</x:v>
      </x:c>
      <x:c r="E2261" s="17" t="str">
        <x:v>InsightDesk</x:v>
      </x:c>
      <x:c r="F2261" s="17" t="str">
        <x:v>Lite</x:v>
      </x:c>
      <x:c r="G2261" s="17" t="n">
        <x:v>20960</x:v>
      </x:c>
      <x:c r="H2261" s="17" t="n">
        <x:v>9019</x:v>
      </x:c>
      <x:c r="I2261" s="17" t="str">
        <x:v>Followup</x:v>
      </x:c>
      <x:c r="J2261" s="27" t="n">
        <x:f>INDEX('Model Pricing'!$B$7:$B$8,MATCH(F2261,'Model Pricing'!$A$7:$A$8,0))</x:f>
        <x:v>10</x:v>
      </x:c>
      <x:c r="K2261" s="27" t="n">
        <x:f>INDEX('Model Pricing'!$C$7:$C$8,MATCH(F2261,'Model Pricing'!$A$7:$A$8,0))</x:f>
        <x:v>30</x:v>
      </x:c>
      <x:c r="L2261" s="17" t="n">
        <x:f>G2261+H2261</x:f>
        <x:v>29979</x:v>
      </x:c>
      <x:c r="M2261" s="28" t="n">
        <x:f>G2261*J2261/1000000</x:f>
        <x:v>0.2096</x:v>
      </x:c>
      <x:c r="N2261" s="28" t="n">
        <x:f>H2261*K2261/1000000</x:f>
        <x:v>0.27057</x:v>
      </x:c>
      <x:c r="O2261" s="28" t="n">
        <x:f>SUM(M2261:N2261)</x:f>
        <x:v>0.48017</x:v>
      </x:c>
    </x:row>
    <x:row r="2262" ht="23" customHeight="1">
      <x:c r="A2262" s="17" t="str">
        <x:v>U02256</x:v>
      </x:c>
      <x:c r="B2262" s="18" t="n">
        <x:v>46269</x:v>
      </x:c>
      <x:c r="C2262" s="17" t="str">
        <x:v>W0174</x:v>
      </x:c>
      <x:c r="D2262" s="17" t="str">
        <x:v>C003</x:v>
      </x:c>
      <x:c r="E2262" s="17" t="str">
        <x:v>InsightDesk</x:v>
      </x:c>
      <x:c r="F2262" s="17" t="str">
        <x:v>Lite</x:v>
      </x:c>
      <x:c r="G2262" s="17" t="n">
        <x:v>33103</x:v>
      </x:c>
      <x:c r="H2262" s="17" t="n">
        <x:v>6739</x:v>
      </x:c>
      <x:c r="I2262" s="17" t="str">
        <x:v>Followup</x:v>
      </x:c>
      <x:c r="J2262" s="27" t="n">
        <x:f>INDEX('Model Pricing'!$B$7:$B$8,MATCH(F2262,'Model Pricing'!$A$7:$A$8,0))</x:f>
        <x:v>10</x:v>
      </x:c>
      <x:c r="K2262" s="27" t="n">
        <x:f>INDEX('Model Pricing'!$C$7:$C$8,MATCH(F2262,'Model Pricing'!$A$7:$A$8,0))</x:f>
        <x:v>30</x:v>
      </x:c>
      <x:c r="L2262" s="17" t="n">
        <x:f>G2262+H2262</x:f>
        <x:v>39842</x:v>
      </x:c>
      <x:c r="M2262" s="28" t="n">
        <x:f>G2262*J2262/1000000</x:f>
        <x:v>0.33103</x:v>
      </x:c>
      <x:c r="N2262" s="28" t="n">
        <x:f>H2262*K2262/1000000</x:f>
        <x:v>0.20217</x:v>
      </x:c>
      <x:c r="O2262" s="28" t="n">
        <x:f>SUM(M2262:N2262)</x:f>
        <x:v>0.5332</x:v>
      </x:c>
    </x:row>
    <x:row r="2263" ht="23" customHeight="1">
      <x:c r="A2263" s="17" t="str">
        <x:v>U02257</x:v>
      </x:c>
      <x:c r="B2263" s="18" t="n">
        <x:v>46269</x:v>
      </x:c>
      <x:c r="C2263" s="17" t="str">
        <x:v>W0174</x:v>
      </x:c>
      <x:c r="D2263" s="17" t="str">
        <x:v>C003</x:v>
      </x:c>
      <x:c r="E2263" s="17" t="str">
        <x:v>InsightDesk</x:v>
      </x:c>
      <x:c r="F2263" s="17" t="str">
        <x:v>Lite</x:v>
      </x:c>
      <x:c r="G2263" s="17" t="n">
        <x:v>21831</x:v>
      </x:c>
      <x:c r="H2263" s="17" t="n">
        <x:v>6756</x:v>
      </x:c>
      <x:c r="I2263" s="17" t="str">
        <x:v>Correction</x:v>
      </x:c>
      <x:c r="J2263" s="27" t="n">
        <x:f>INDEX('Model Pricing'!$B$7:$B$8,MATCH(F2263,'Model Pricing'!$A$7:$A$8,0))</x:f>
        <x:v>10</x:v>
      </x:c>
      <x:c r="K2263" s="27" t="n">
        <x:f>INDEX('Model Pricing'!$C$7:$C$8,MATCH(F2263,'Model Pricing'!$A$7:$A$8,0))</x:f>
        <x:v>30</x:v>
      </x:c>
      <x:c r="L2263" s="17" t="n">
        <x:f>G2263+H2263</x:f>
        <x:v>28587</x:v>
      </x:c>
      <x:c r="M2263" s="28" t="n">
        <x:f>G2263*J2263/1000000</x:f>
        <x:v>0.21831</x:v>
      </x:c>
      <x:c r="N2263" s="28" t="n">
        <x:f>H2263*K2263/1000000</x:f>
        <x:v>0.20268</x:v>
      </x:c>
      <x:c r="O2263" s="28" t="n">
        <x:f>SUM(M2263:N2263)</x:f>
        <x:v>0.42099</x:v>
      </x:c>
    </x:row>
    <x:row r="2264" ht="23" customHeight="1">
      <x:c r="A2264" s="17" t="str">
        <x:v>U02258</x:v>
      </x:c>
      <x:c r="B2264" s="18" t="n">
        <x:v>46273</x:v>
      </x:c>
      <x:c r="C2264" s="17" t="str">
        <x:v>W0174</x:v>
      </x:c>
      <x:c r="D2264" s="17" t="str">
        <x:v>C003</x:v>
      </x:c>
      <x:c r="E2264" s="17" t="str">
        <x:v>InsightDesk</x:v>
      </x:c>
      <x:c r="F2264" s="17" t="str">
        <x:v>Lite</x:v>
      </x:c>
      <x:c r="G2264" s="17" t="n">
        <x:v>15328</x:v>
      </x:c>
      <x:c r="H2264" s="17" t="n">
        <x:v>5352</x:v>
      </x:c>
      <x:c r="I2264" s="17" t="str">
        <x:v>Correction</x:v>
      </x:c>
      <x:c r="J2264" s="27" t="n">
        <x:f>INDEX('Model Pricing'!$B$7:$B$8,MATCH(F2264,'Model Pricing'!$A$7:$A$8,0))</x:f>
        <x:v>10</x:v>
      </x:c>
      <x:c r="K2264" s="27" t="n">
        <x:f>INDEX('Model Pricing'!$C$7:$C$8,MATCH(F2264,'Model Pricing'!$A$7:$A$8,0))</x:f>
        <x:v>30</x:v>
      </x:c>
      <x:c r="L2264" s="17" t="n">
        <x:f>G2264+H2264</x:f>
        <x:v>20680</x:v>
      </x:c>
      <x:c r="M2264" s="28" t="n">
        <x:f>G2264*J2264/1000000</x:f>
        <x:v>0.15328</x:v>
      </x:c>
      <x:c r="N2264" s="28" t="n">
        <x:f>H2264*K2264/1000000</x:f>
        <x:v>0.16056</x:v>
      </x:c>
      <x:c r="O2264" s="28" t="n">
        <x:f>SUM(M2264:N2264)</x:f>
        <x:v>0.31384</x:v>
      </x:c>
    </x:row>
    <x:row r="2265" ht="23" customHeight="1">
      <x:c r="A2265" s="17" t="str">
        <x:v>U02259</x:v>
      </x:c>
      <x:c r="B2265" s="18" t="n">
        <x:v>46273</x:v>
      </x:c>
      <x:c r="C2265" s="17" t="str">
        <x:v>W0174</x:v>
      </x:c>
      <x:c r="D2265" s="17" t="str">
        <x:v>C003</x:v>
      </x:c>
      <x:c r="E2265" s="17" t="str">
        <x:v>InsightDesk</x:v>
      </x:c>
      <x:c r="F2265" s="17" t="str">
        <x:v>Lite</x:v>
      </x:c>
      <x:c r="G2265" s="17" t="n">
        <x:v>14005</x:v>
      </x:c>
      <x:c r="H2265" s="17" t="n">
        <x:v>6990</x:v>
      </x:c>
      <x:c r="I2265" s="17" t="str">
        <x:v>Followup</x:v>
      </x:c>
      <x:c r="J2265" s="27" t="n">
        <x:f>INDEX('Model Pricing'!$B$7:$B$8,MATCH(F2265,'Model Pricing'!$A$7:$A$8,0))</x:f>
        <x:v>10</x:v>
      </x:c>
      <x:c r="K2265" s="27" t="n">
        <x:f>INDEX('Model Pricing'!$C$7:$C$8,MATCH(F2265,'Model Pricing'!$A$7:$A$8,0))</x:f>
        <x:v>30</x:v>
      </x:c>
      <x:c r="L2265" s="17" t="n">
        <x:f>G2265+H2265</x:f>
        <x:v>20995</x:v>
      </x:c>
      <x:c r="M2265" s="28" t="n">
        <x:f>G2265*J2265/1000000</x:f>
        <x:v>0.14005</x:v>
      </x:c>
      <x:c r="N2265" s="28" t="n">
        <x:f>H2265*K2265/1000000</x:f>
        <x:v>0.2097</x:v>
      </x:c>
      <x:c r="O2265" s="28" t="n">
        <x:f>SUM(M2265:N2265)</x:f>
        <x:v>0.34975</x:v>
      </x:c>
    </x:row>
    <x:row r="2266" ht="23" customHeight="1">
      <x:c r="A2266" s="17" t="str">
        <x:v>U02260</x:v>
      </x:c>
      <x:c r="B2266" s="18" t="n">
        <x:v>46273</x:v>
      </x:c>
      <x:c r="C2266" s="17" t="str">
        <x:v>W0174</x:v>
      </x:c>
      <x:c r="D2266" s="17" t="str">
        <x:v>C003</x:v>
      </x:c>
      <x:c r="E2266" s="17" t="str">
        <x:v>InsightDesk</x:v>
      </x:c>
      <x:c r="F2266" s="17" t="str">
        <x:v>Lite</x:v>
      </x:c>
      <x:c r="G2266" s="17" t="n">
        <x:v>28474</x:v>
      </x:c>
      <x:c r="H2266" s="17" t="n">
        <x:v>5341</x:v>
      </x:c>
      <x:c r="I2266" s="17" t="str">
        <x:v>Followup</x:v>
      </x:c>
      <x:c r="J2266" s="27" t="n">
        <x:f>INDEX('Model Pricing'!$B$7:$B$8,MATCH(F2266,'Model Pricing'!$A$7:$A$8,0))</x:f>
        <x:v>10</x:v>
      </x:c>
      <x:c r="K2266" s="27" t="n">
        <x:f>INDEX('Model Pricing'!$C$7:$C$8,MATCH(F2266,'Model Pricing'!$A$7:$A$8,0))</x:f>
        <x:v>30</x:v>
      </x:c>
      <x:c r="L2266" s="17" t="n">
        <x:f>G2266+H2266</x:f>
        <x:v>33815</x:v>
      </x:c>
      <x:c r="M2266" s="28" t="n">
        <x:f>G2266*J2266/1000000</x:f>
        <x:v>0.28474</x:v>
      </x:c>
      <x:c r="N2266" s="28" t="n">
        <x:f>H2266*K2266/1000000</x:f>
        <x:v>0.16023</x:v>
      </x:c>
      <x:c r="O2266" s="28" t="n">
        <x:f>SUM(M2266:N2266)</x:f>
        <x:v>0.44497</x:v>
      </x:c>
    </x:row>
    <x:row r="2267" ht="23" customHeight="1">
      <x:c r="A2267" s="17" t="str">
        <x:v>U02261</x:v>
      </x:c>
      <x:c r="B2267" s="18" t="n">
        <x:v>46274</x:v>
      </x:c>
      <x:c r="C2267" s="17" t="str">
        <x:v>W0174</x:v>
      </x:c>
      <x:c r="D2267" s="17" t="str">
        <x:v>C003</x:v>
      </x:c>
      <x:c r="E2267" s="17" t="str">
        <x:v>InsightDesk</x:v>
      </x:c>
      <x:c r="F2267" s="17" t="str">
        <x:v>Lite</x:v>
      </x:c>
      <x:c r="G2267" s="17" t="n">
        <x:v>25332</x:v>
      </x:c>
      <x:c r="H2267" s="17" t="n">
        <x:v>8194</x:v>
      </x:c>
      <x:c r="I2267" s="17" t="str">
        <x:v>Followup</x:v>
      </x:c>
      <x:c r="J2267" s="27" t="n">
        <x:f>INDEX('Model Pricing'!$B$7:$B$8,MATCH(F2267,'Model Pricing'!$A$7:$A$8,0))</x:f>
        <x:v>10</x:v>
      </x:c>
      <x:c r="K2267" s="27" t="n">
        <x:f>INDEX('Model Pricing'!$C$7:$C$8,MATCH(F2267,'Model Pricing'!$A$7:$A$8,0))</x:f>
        <x:v>30</x:v>
      </x:c>
      <x:c r="L2267" s="17" t="n">
        <x:f>G2267+H2267</x:f>
        <x:v>33526</x:v>
      </x:c>
      <x:c r="M2267" s="28" t="n">
        <x:f>G2267*J2267/1000000</x:f>
        <x:v>0.25332</x:v>
      </x:c>
      <x:c r="N2267" s="28" t="n">
        <x:f>H2267*K2267/1000000</x:f>
        <x:v>0.24582</x:v>
      </x:c>
      <x:c r="O2267" s="28" t="n">
        <x:f>SUM(M2267:N2267)</x:f>
        <x:v>0.49914000000000003</x:v>
      </x:c>
    </x:row>
    <x:row r="2268" ht="23" customHeight="1">
      <x:c r="A2268" s="17" t="str">
        <x:v>U02262</x:v>
      </x:c>
      <x:c r="B2268" s="18" t="n">
        <x:v>46274</x:v>
      </x:c>
      <x:c r="C2268" s="17" t="str">
        <x:v>W0174</x:v>
      </x:c>
      <x:c r="D2268" s="17" t="str">
        <x:v>C003</x:v>
      </x:c>
      <x:c r="E2268" s="17" t="str">
        <x:v>InsightDesk</x:v>
      </x:c>
      <x:c r="F2268" s="17" t="str">
        <x:v>Lite</x:v>
      </x:c>
      <x:c r="G2268" s="17" t="n">
        <x:v>33270</x:v>
      </x:c>
      <x:c r="H2268" s="17" t="n">
        <x:v>8422</x:v>
      </x:c>
      <x:c r="I2268" s="17" t="str">
        <x:v>Followup</x:v>
      </x:c>
      <x:c r="J2268" s="27" t="n">
        <x:f>INDEX('Model Pricing'!$B$7:$B$8,MATCH(F2268,'Model Pricing'!$A$7:$A$8,0))</x:f>
        <x:v>10</x:v>
      </x:c>
      <x:c r="K2268" s="27" t="n">
        <x:f>INDEX('Model Pricing'!$C$7:$C$8,MATCH(F2268,'Model Pricing'!$A$7:$A$8,0))</x:f>
        <x:v>30</x:v>
      </x:c>
      <x:c r="L2268" s="17" t="n">
        <x:f>G2268+H2268</x:f>
        <x:v>41692</x:v>
      </x:c>
      <x:c r="M2268" s="28" t="n">
        <x:f>G2268*J2268/1000000</x:f>
        <x:v>0.3327</x:v>
      </x:c>
      <x:c r="N2268" s="28" t="n">
        <x:f>H2268*K2268/1000000</x:f>
        <x:v>0.25266</x:v>
      </x:c>
      <x:c r="O2268" s="28" t="n">
        <x:f>SUM(M2268:N2268)</x:f>
        <x:v>0.58536</x:v>
      </x:c>
    </x:row>
    <x:row r="2269" ht="23" customHeight="1">
      <x:c r="A2269" s="17" t="str">
        <x:v>U02263</x:v>
      </x:c>
      <x:c r="B2269" s="18" t="n">
        <x:v>46280</x:v>
      </x:c>
      <x:c r="C2269" s="17" t="str">
        <x:v>W0175</x:v>
      </x:c>
      <x:c r="D2269" s="17" t="str">
        <x:v>C003</x:v>
      </x:c>
      <x:c r="E2269" s="17" t="str">
        <x:v>CopyStudio</x:v>
      </x:c>
      <x:c r="F2269" s="17" t="str">
        <x:v>Lite</x:v>
      </x:c>
      <x:c r="G2269" s="17" t="n">
        <x:v>37674</x:v>
      </x:c>
      <x:c r="H2269" s="17" t="n">
        <x:v>9957</x:v>
      </x:c>
      <x:c r="I2269" s="17" t="str">
        <x:v>First attempt</x:v>
      </x:c>
      <x:c r="J2269" s="27" t="n">
        <x:f>INDEX('Model Pricing'!$B$7:$B$8,MATCH(F2269,'Model Pricing'!$A$7:$A$8,0))</x:f>
        <x:v>10</x:v>
      </x:c>
      <x:c r="K2269" s="27" t="n">
        <x:f>INDEX('Model Pricing'!$C$7:$C$8,MATCH(F2269,'Model Pricing'!$A$7:$A$8,0))</x:f>
        <x:v>30</x:v>
      </x:c>
      <x:c r="L2269" s="17" t="n">
        <x:f>G2269+H2269</x:f>
        <x:v>47631</x:v>
      </x:c>
      <x:c r="M2269" s="28" t="n">
        <x:f>G2269*J2269/1000000</x:f>
        <x:v>0.37674</x:v>
      </x:c>
      <x:c r="N2269" s="28" t="n">
        <x:f>H2269*K2269/1000000</x:f>
        <x:v>0.29871</x:v>
      </x:c>
      <x:c r="O2269" s="28" t="n">
        <x:f>SUM(M2269:N2269)</x:f>
        <x:v>0.67545</x:v>
      </x:c>
    </x:row>
    <x:row r="2270" ht="23" customHeight="1">
      <x:c r="A2270" s="17" t="str">
        <x:v>U02264</x:v>
      </x:c>
      <x:c r="B2270" s="18" t="n">
        <x:v>46280</x:v>
      </x:c>
      <x:c r="C2270" s="17" t="str">
        <x:v>W0175</x:v>
      </x:c>
      <x:c r="D2270" s="17" t="str">
        <x:v>C003</x:v>
      </x:c>
      <x:c r="E2270" s="17" t="str">
        <x:v>CopyStudio</x:v>
      </x:c>
      <x:c r="F2270" s="17" t="str">
        <x:v>Lite</x:v>
      </x:c>
      <x:c r="G2270" s="17" t="n">
        <x:v>20502</x:v>
      </x:c>
      <x:c r="H2270" s="17" t="n">
        <x:v>9820</x:v>
      </x:c>
      <x:c r="I2270" s="17" t="str">
        <x:v>Followup</x:v>
      </x:c>
      <x:c r="J2270" s="27" t="n">
        <x:f>INDEX('Model Pricing'!$B$7:$B$8,MATCH(F2270,'Model Pricing'!$A$7:$A$8,0))</x:f>
        <x:v>10</x:v>
      </x:c>
      <x:c r="K2270" s="27" t="n">
        <x:f>INDEX('Model Pricing'!$C$7:$C$8,MATCH(F2270,'Model Pricing'!$A$7:$A$8,0))</x:f>
        <x:v>30</x:v>
      </x:c>
      <x:c r="L2270" s="17" t="n">
        <x:f>G2270+H2270</x:f>
        <x:v>30322</x:v>
      </x:c>
      <x:c r="M2270" s="28" t="n">
        <x:f>G2270*J2270/1000000</x:f>
        <x:v>0.20502</x:v>
      </x:c>
      <x:c r="N2270" s="28" t="n">
        <x:f>H2270*K2270/1000000</x:f>
        <x:v>0.2946</x:v>
      </x:c>
      <x:c r="O2270" s="28" t="n">
        <x:f>SUM(M2270:N2270)</x:f>
        <x:v>0.49961999999999995</x:v>
      </x:c>
    </x:row>
    <x:row r="2271" ht="23" customHeight="1">
      <x:c r="A2271" s="17" t="str">
        <x:v>U02265</x:v>
      </x:c>
      <x:c r="B2271" s="18" t="n">
        <x:v>46280</x:v>
      </x:c>
      <x:c r="C2271" s="17" t="str">
        <x:v>W0175</x:v>
      </x:c>
      <x:c r="D2271" s="17" t="str">
        <x:v>C003</x:v>
      </x:c>
      <x:c r="E2271" s="17" t="str">
        <x:v>CopyStudio</x:v>
      </x:c>
      <x:c r="F2271" s="17" t="str">
        <x:v>Lite</x:v>
      </x:c>
      <x:c r="G2271" s="17" t="n">
        <x:v>33737</x:v>
      </x:c>
      <x:c r="H2271" s="17" t="n">
        <x:v>6201</x:v>
      </x:c>
      <x:c r="I2271" s="17" t="str">
        <x:v>Followup</x:v>
      </x:c>
      <x:c r="J2271" s="27" t="n">
        <x:f>INDEX('Model Pricing'!$B$7:$B$8,MATCH(F2271,'Model Pricing'!$A$7:$A$8,0))</x:f>
        <x:v>10</x:v>
      </x:c>
      <x:c r="K2271" s="27" t="n">
        <x:f>INDEX('Model Pricing'!$C$7:$C$8,MATCH(F2271,'Model Pricing'!$A$7:$A$8,0))</x:f>
        <x:v>30</x:v>
      </x:c>
      <x:c r="L2271" s="17" t="n">
        <x:f>G2271+H2271</x:f>
        <x:v>39938</x:v>
      </x:c>
      <x:c r="M2271" s="28" t="n">
        <x:f>G2271*J2271/1000000</x:f>
        <x:v>0.33737</x:v>
      </x:c>
      <x:c r="N2271" s="28" t="n">
        <x:f>H2271*K2271/1000000</x:f>
        <x:v>0.18603</x:v>
      </x:c>
      <x:c r="O2271" s="28" t="n">
        <x:f>SUM(M2271:N2271)</x:f>
        <x:v>0.5234</x:v>
      </x:c>
    </x:row>
    <x:row r="2272" ht="23" customHeight="1">
      <x:c r="A2272" s="17" t="str">
        <x:v>U02266</x:v>
      </x:c>
      <x:c r="B2272" s="18" t="n">
        <x:v>46280</x:v>
      </x:c>
      <x:c r="C2272" s="17" t="str">
        <x:v>W0175</x:v>
      </x:c>
      <x:c r="D2272" s="17" t="str">
        <x:v>C003</x:v>
      </x:c>
      <x:c r="E2272" s="17" t="str">
        <x:v>CopyStudio</x:v>
      </x:c>
      <x:c r="F2272" s="17" t="str">
        <x:v>Lite</x:v>
      </x:c>
      <x:c r="G2272" s="17" t="n">
        <x:v>19890</x:v>
      </x:c>
      <x:c r="H2272" s="17" t="n">
        <x:v>5678</x:v>
      </x:c>
      <x:c r="I2272" s="17" t="str">
        <x:v>Followup</x:v>
      </x:c>
      <x:c r="J2272" s="27" t="n">
        <x:f>INDEX('Model Pricing'!$B$7:$B$8,MATCH(F2272,'Model Pricing'!$A$7:$A$8,0))</x:f>
        <x:v>10</x:v>
      </x:c>
      <x:c r="K2272" s="27" t="n">
        <x:f>INDEX('Model Pricing'!$C$7:$C$8,MATCH(F2272,'Model Pricing'!$A$7:$A$8,0))</x:f>
        <x:v>30</x:v>
      </x:c>
      <x:c r="L2272" s="17" t="n">
        <x:f>G2272+H2272</x:f>
        <x:v>25568</x:v>
      </x:c>
      <x:c r="M2272" s="28" t="n">
        <x:f>G2272*J2272/1000000</x:f>
        <x:v>0.1989</x:v>
      </x:c>
      <x:c r="N2272" s="28" t="n">
        <x:f>H2272*K2272/1000000</x:f>
        <x:v>0.17034</x:v>
      </x:c>
      <x:c r="O2272" s="28" t="n">
        <x:f>SUM(M2272:N2272)</x:f>
        <x:v>0.36924</x:v>
      </x:c>
    </x:row>
    <x:row r="2273" ht="23" customHeight="1">
      <x:c r="A2273" s="17" t="str">
        <x:v>U02267</x:v>
      </x:c>
      <x:c r="B2273" s="18" t="n">
        <x:v>46280</x:v>
      </x:c>
      <x:c r="C2273" s="17" t="str">
        <x:v>W0175</x:v>
      </x:c>
      <x:c r="D2273" s="17" t="str">
        <x:v>C003</x:v>
      </x:c>
      <x:c r="E2273" s="17" t="str">
        <x:v>CopyStudio</x:v>
      </x:c>
      <x:c r="F2273" s="17" t="str">
        <x:v>Lite</x:v>
      </x:c>
      <x:c r="G2273" s="17" t="n">
        <x:v>20867</x:v>
      </x:c>
      <x:c r="H2273" s="17" t="n">
        <x:v>4297</x:v>
      </x:c>
      <x:c r="I2273" s="17" t="str">
        <x:v>Followup</x:v>
      </x:c>
      <x:c r="J2273" s="27" t="n">
        <x:f>INDEX('Model Pricing'!$B$7:$B$8,MATCH(F2273,'Model Pricing'!$A$7:$A$8,0))</x:f>
        <x:v>10</x:v>
      </x:c>
      <x:c r="K2273" s="27" t="n">
        <x:f>INDEX('Model Pricing'!$C$7:$C$8,MATCH(F2273,'Model Pricing'!$A$7:$A$8,0))</x:f>
        <x:v>30</x:v>
      </x:c>
      <x:c r="L2273" s="17" t="n">
        <x:f>G2273+H2273</x:f>
        <x:v>25164</x:v>
      </x:c>
      <x:c r="M2273" s="28" t="n">
        <x:f>G2273*J2273/1000000</x:f>
        <x:v>0.20867</x:v>
      </x:c>
      <x:c r="N2273" s="28" t="n">
        <x:f>H2273*K2273/1000000</x:f>
        <x:v>0.12891</x:v>
      </x:c>
      <x:c r="O2273" s="28" t="n">
        <x:f>SUM(M2273:N2273)</x:f>
        <x:v>0.33758</x:v>
      </x:c>
    </x:row>
    <x:row r="2274" ht="23" customHeight="1">
      <x:c r="A2274" s="17" t="str">
        <x:v>U02268</x:v>
      </x:c>
      <x:c r="B2274" s="18" t="n">
        <x:v>46281</x:v>
      </x:c>
      <x:c r="C2274" s="17" t="str">
        <x:v>W0175</x:v>
      </x:c>
      <x:c r="D2274" s="17" t="str">
        <x:v>C003</x:v>
      </x:c>
      <x:c r="E2274" s="17" t="str">
        <x:v>CopyStudio</x:v>
      </x:c>
      <x:c r="F2274" s="17" t="str">
        <x:v>Lite</x:v>
      </x:c>
      <x:c r="G2274" s="17" t="n">
        <x:v>39251</x:v>
      </x:c>
      <x:c r="H2274" s="17" t="n">
        <x:v>5581</x:v>
      </x:c>
      <x:c r="I2274" s="17" t="str">
        <x:v>Followup</x:v>
      </x:c>
      <x:c r="J2274" s="27" t="n">
        <x:f>INDEX('Model Pricing'!$B$7:$B$8,MATCH(F2274,'Model Pricing'!$A$7:$A$8,0))</x:f>
        <x:v>10</x:v>
      </x:c>
      <x:c r="K2274" s="27" t="n">
        <x:f>INDEX('Model Pricing'!$C$7:$C$8,MATCH(F2274,'Model Pricing'!$A$7:$A$8,0))</x:f>
        <x:v>30</x:v>
      </x:c>
      <x:c r="L2274" s="17" t="n">
        <x:f>G2274+H2274</x:f>
        <x:v>44832</x:v>
      </x:c>
      <x:c r="M2274" s="28" t="n">
        <x:f>G2274*J2274/1000000</x:f>
        <x:v>0.39251</x:v>
      </x:c>
      <x:c r="N2274" s="28" t="n">
        <x:f>H2274*K2274/1000000</x:f>
        <x:v>0.16743</x:v>
      </x:c>
      <x:c r="O2274" s="28" t="n">
        <x:f>SUM(M2274:N2274)</x:f>
        <x:v>0.55994</x:v>
      </x:c>
    </x:row>
    <x:row r="2275" ht="23" customHeight="1">
      <x:c r="A2275" s="17" t="str">
        <x:v>U02269</x:v>
      </x:c>
      <x:c r="B2275" s="18" t="n">
        <x:v>46281</x:v>
      </x:c>
      <x:c r="C2275" s="17" t="str">
        <x:v>W0175</x:v>
      </x:c>
      <x:c r="D2275" s="17" t="str">
        <x:v>C003</x:v>
      </x:c>
      <x:c r="E2275" s="17" t="str">
        <x:v>CopyStudio</x:v>
      </x:c>
      <x:c r="F2275" s="17" t="str">
        <x:v>Lite</x:v>
      </x:c>
      <x:c r="G2275" s="17" t="n">
        <x:v>15680</x:v>
      </x:c>
      <x:c r="H2275" s="17" t="n">
        <x:v>6929</x:v>
      </x:c>
      <x:c r="I2275" s="17" t="str">
        <x:v>Followup</x:v>
      </x:c>
      <x:c r="J2275" s="27" t="n">
        <x:f>INDEX('Model Pricing'!$B$7:$B$8,MATCH(F2275,'Model Pricing'!$A$7:$A$8,0))</x:f>
        <x:v>10</x:v>
      </x:c>
      <x:c r="K2275" s="27" t="n">
        <x:f>INDEX('Model Pricing'!$C$7:$C$8,MATCH(F2275,'Model Pricing'!$A$7:$A$8,0))</x:f>
        <x:v>30</x:v>
      </x:c>
      <x:c r="L2275" s="17" t="n">
        <x:f>G2275+H2275</x:f>
        <x:v>22609</x:v>
      </x:c>
      <x:c r="M2275" s="28" t="n">
        <x:f>G2275*J2275/1000000</x:f>
        <x:v>0.1568</x:v>
      </x:c>
      <x:c r="N2275" s="28" t="n">
        <x:f>H2275*K2275/1000000</x:f>
        <x:v>0.20787</x:v>
      </x:c>
      <x:c r="O2275" s="28" t="n">
        <x:f>SUM(M2275:N2275)</x:f>
        <x:v>0.36467</x:v>
      </x:c>
    </x:row>
    <x:row r="2276" ht="23" customHeight="1">
      <x:c r="A2276" s="17" t="str">
        <x:v>U02270</x:v>
      </x:c>
      <x:c r="B2276" s="18" t="n">
        <x:v>46281</x:v>
      </x:c>
      <x:c r="C2276" s="17" t="str">
        <x:v>W0175</x:v>
      </x:c>
      <x:c r="D2276" s="17" t="str">
        <x:v>C003</x:v>
      </x:c>
      <x:c r="E2276" s="17" t="str">
        <x:v>CopyStudio</x:v>
      </x:c>
      <x:c r="F2276" s="17" t="str">
        <x:v>Lite</x:v>
      </x:c>
      <x:c r="G2276" s="17" t="n">
        <x:v>28623</x:v>
      </x:c>
      <x:c r="H2276" s="17" t="n">
        <x:v>10407</x:v>
      </x:c>
      <x:c r="I2276" s="17" t="str">
        <x:v>Followup</x:v>
      </x:c>
      <x:c r="J2276" s="27" t="n">
        <x:f>INDEX('Model Pricing'!$B$7:$B$8,MATCH(F2276,'Model Pricing'!$A$7:$A$8,0))</x:f>
        <x:v>10</x:v>
      </x:c>
      <x:c r="K2276" s="27" t="n">
        <x:f>INDEX('Model Pricing'!$C$7:$C$8,MATCH(F2276,'Model Pricing'!$A$7:$A$8,0))</x:f>
        <x:v>30</x:v>
      </x:c>
      <x:c r="L2276" s="17" t="n">
        <x:f>G2276+H2276</x:f>
        <x:v>39030</x:v>
      </x:c>
      <x:c r="M2276" s="28" t="n">
        <x:f>G2276*J2276/1000000</x:f>
        <x:v>0.28623</x:v>
      </x:c>
      <x:c r="N2276" s="28" t="n">
        <x:f>H2276*K2276/1000000</x:f>
        <x:v>0.31221</x:v>
      </x:c>
      <x:c r="O2276" s="28" t="n">
        <x:f>SUM(M2276:N2276)</x:f>
        <x:v>0.59844</x:v>
      </x:c>
    </x:row>
    <x:row r="2277" ht="23" customHeight="1">
      <x:c r="A2277" s="17" t="str">
        <x:v>U02271</x:v>
      </x:c>
      <x:c r="B2277" s="18" t="n">
        <x:v>46281</x:v>
      </x:c>
      <x:c r="C2277" s="17" t="str">
        <x:v>W0175</x:v>
      </x:c>
      <x:c r="D2277" s="17" t="str">
        <x:v>C003</x:v>
      </x:c>
      <x:c r="E2277" s="17" t="str">
        <x:v>CopyStudio</x:v>
      </x:c>
      <x:c r="F2277" s="17" t="str">
        <x:v>Lite</x:v>
      </x:c>
      <x:c r="G2277" s="17" t="n">
        <x:v>19466</x:v>
      </x:c>
      <x:c r="H2277" s="17" t="n">
        <x:v>5680</x:v>
      </x:c>
      <x:c r="I2277" s="17" t="str">
        <x:v>Followup</x:v>
      </x:c>
      <x:c r="J2277" s="27" t="n">
        <x:f>INDEX('Model Pricing'!$B$7:$B$8,MATCH(F2277,'Model Pricing'!$A$7:$A$8,0))</x:f>
        <x:v>10</x:v>
      </x:c>
      <x:c r="K2277" s="27" t="n">
        <x:f>INDEX('Model Pricing'!$C$7:$C$8,MATCH(F2277,'Model Pricing'!$A$7:$A$8,0))</x:f>
        <x:v>30</x:v>
      </x:c>
      <x:c r="L2277" s="17" t="n">
        <x:f>G2277+H2277</x:f>
        <x:v>25146</x:v>
      </x:c>
      <x:c r="M2277" s="28" t="n">
        <x:f>G2277*J2277/1000000</x:f>
        <x:v>0.19466</x:v>
      </x:c>
      <x:c r="N2277" s="28" t="n">
        <x:f>H2277*K2277/1000000</x:f>
        <x:v>0.1704</x:v>
      </x:c>
      <x:c r="O2277" s="28" t="n">
        <x:f>SUM(M2277:N2277)</x:f>
        <x:v>0.36506</x:v>
      </x:c>
    </x:row>
    <x:row r="2278" ht="23" customHeight="1">
      <x:c r="A2278" s="17" t="str">
        <x:v>U02272</x:v>
      </x:c>
      <x:c r="B2278" s="18" t="n">
        <x:v>46281</x:v>
      </x:c>
      <x:c r="C2278" s="17" t="str">
        <x:v>W0175</x:v>
      </x:c>
      <x:c r="D2278" s="17" t="str">
        <x:v>C003</x:v>
      </x:c>
      <x:c r="E2278" s="17" t="str">
        <x:v>CopyStudio</x:v>
      </x:c>
      <x:c r="F2278" s="17" t="str">
        <x:v>Lite</x:v>
      </x:c>
      <x:c r="G2278" s="17" t="n">
        <x:v>16066</x:v>
      </x:c>
      <x:c r="H2278" s="17" t="n">
        <x:v>5934</x:v>
      </x:c>
      <x:c r="I2278" s="17" t="str">
        <x:v>Followup</x:v>
      </x:c>
      <x:c r="J2278" s="27" t="n">
        <x:f>INDEX('Model Pricing'!$B$7:$B$8,MATCH(F2278,'Model Pricing'!$A$7:$A$8,0))</x:f>
        <x:v>10</x:v>
      </x:c>
      <x:c r="K2278" s="27" t="n">
        <x:f>INDEX('Model Pricing'!$C$7:$C$8,MATCH(F2278,'Model Pricing'!$A$7:$A$8,0))</x:f>
        <x:v>30</x:v>
      </x:c>
      <x:c r="L2278" s="17" t="n">
        <x:f>G2278+H2278</x:f>
        <x:v>22000</x:v>
      </x:c>
      <x:c r="M2278" s="28" t="n">
        <x:f>G2278*J2278/1000000</x:f>
        <x:v>0.16066</x:v>
      </x:c>
      <x:c r="N2278" s="28" t="n">
        <x:f>H2278*K2278/1000000</x:f>
        <x:v>0.17802</x:v>
      </x:c>
      <x:c r="O2278" s="28" t="n">
        <x:f>SUM(M2278:N2278)</x:f>
        <x:v>0.33868</x:v>
      </x:c>
    </x:row>
    <x:row r="2279" ht="23" customHeight="1">
      <x:c r="A2279" s="17" t="str">
        <x:v>U02273</x:v>
      </x:c>
      <x:c r="B2279" s="18" t="n">
        <x:v>46282</x:v>
      </x:c>
      <x:c r="C2279" s="17" t="str">
        <x:v>W0175</x:v>
      </x:c>
      <x:c r="D2279" s="17" t="str">
        <x:v>C003</x:v>
      </x:c>
      <x:c r="E2279" s="17" t="str">
        <x:v>CopyStudio</x:v>
      </x:c>
      <x:c r="F2279" s="17" t="str">
        <x:v>Lite</x:v>
      </x:c>
      <x:c r="G2279" s="17" t="n">
        <x:v>27799</x:v>
      </x:c>
      <x:c r="H2279" s="17" t="n">
        <x:v>12633</x:v>
      </x:c>
      <x:c r="I2279" s="17" t="str">
        <x:v>Correction</x:v>
      </x:c>
      <x:c r="J2279" s="27" t="n">
        <x:f>INDEX('Model Pricing'!$B$7:$B$8,MATCH(F2279,'Model Pricing'!$A$7:$A$8,0))</x:f>
        <x:v>10</x:v>
      </x:c>
      <x:c r="K2279" s="27" t="n">
        <x:f>INDEX('Model Pricing'!$C$7:$C$8,MATCH(F2279,'Model Pricing'!$A$7:$A$8,0))</x:f>
        <x:v>30</x:v>
      </x:c>
      <x:c r="L2279" s="17" t="n">
        <x:f>G2279+H2279</x:f>
        <x:v>40432</x:v>
      </x:c>
      <x:c r="M2279" s="28" t="n">
        <x:f>G2279*J2279/1000000</x:f>
        <x:v>0.27799</x:v>
      </x:c>
      <x:c r="N2279" s="28" t="n">
        <x:f>H2279*K2279/1000000</x:f>
        <x:v>0.37899</x:v>
      </x:c>
      <x:c r="O2279" s="28" t="n">
        <x:f>SUM(M2279:N2279)</x:f>
        <x:v>0.65698</x:v>
      </x:c>
    </x:row>
    <x:row r="2280" ht="23" customHeight="1">
      <x:c r="A2280" s="17" t="str">
        <x:v>U02274</x:v>
      </x:c>
      <x:c r="B2280" s="18" t="n">
        <x:v>46282</x:v>
      </x:c>
      <x:c r="C2280" s="17" t="str">
        <x:v>W0175</x:v>
      </x:c>
      <x:c r="D2280" s="17" t="str">
        <x:v>C003</x:v>
      </x:c>
      <x:c r="E2280" s="17" t="str">
        <x:v>CopyStudio</x:v>
      </x:c>
      <x:c r="F2280" s="17" t="str">
        <x:v>Lite</x:v>
      </x:c>
      <x:c r="G2280" s="17" t="n">
        <x:v>17009</x:v>
      </x:c>
      <x:c r="H2280" s="17" t="n">
        <x:v>4062</x:v>
      </x:c>
      <x:c r="I2280" s="17" t="str">
        <x:v>Followup</x:v>
      </x:c>
      <x:c r="J2280" s="27" t="n">
        <x:f>INDEX('Model Pricing'!$B$7:$B$8,MATCH(F2280,'Model Pricing'!$A$7:$A$8,0))</x:f>
        <x:v>10</x:v>
      </x:c>
      <x:c r="K2280" s="27" t="n">
        <x:f>INDEX('Model Pricing'!$C$7:$C$8,MATCH(F2280,'Model Pricing'!$A$7:$A$8,0))</x:f>
        <x:v>30</x:v>
      </x:c>
      <x:c r="L2280" s="17" t="n">
        <x:f>G2280+H2280</x:f>
        <x:v>21071</x:v>
      </x:c>
      <x:c r="M2280" s="28" t="n">
        <x:f>G2280*J2280/1000000</x:f>
        <x:v>0.17009</x:v>
      </x:c>
      <x:c r="N2280" s="28" t="n">
        <x:f>H2280*K2280/1000000</x:f>
        <x:v>0.12186</x:v>
      </x:c>
      <x:c r="O2280" s="28" t="n">
        <x:f>SUM(M2280:N2280)</x:f>
        <x:v>0.29195</x:v>
      </x:c>
    </x:row>
    <x:row r="2281" ht="23" customHeight="1">
      <x:c r="A2281" s="17" t="str">
        <x:v>U02275</x:v>
      </x:c>
      <x:c r="B2281" s="18" t="n">
        <x:v>46282</x:v>
      </x:c>
      <x:c r="C2281" s="17" t="str">
        <x:v>W0175</x:v>
      </x:c>
      <x:c r="D2281" s="17" t="str">
        <x:v>C003</x:v>
      </x:c>
      <x:c r="E2281" s="17" t="str">
        <x:v>CopyStudio</x:v>
      </x:c>
      <x:c r="F2281" s="17" t="str">
        <x:v>Lite</x:v>
      </x:c>
      <x:c r="G2281" s="17" t="n">
        <x:v>42100</x:v>
      </x:c>
      <x:c r="H2281" s="17" t="n">
        <x:v>7796</x:v>
      </x:c>
      <x:c r="I2281" s="17" t="str">
        <x:v>Correction</x:v>
      </x:c>
      <x:c r="J2281" s="27" t="n">
        <x:f>INDEX('Model Pricing'!$B$7:$B$8,MATCH(F2281,'Model Pricing'!$A$7:$A$8,0))</x:f>
        <x:v>10</x:v>
      </x:c>
      <x:c r="K2281" s="27" t="n">
        <x:f>INDEX('Model Pricing'!$C$7:$C$8,MATCH(F2281,'Model Pricing'!$A$7:$A$8,0))</x:f>
        <x:v>30</x:v>
      </x:c>
      <x:c r="L2281" s="17" t="n">
        <x:f>G2281+H2281</x:f>
        <x:v>49896</x:v>
      </x:c>
      <x:c r="M2281" s="28" t="n">
        <x:f>G2281*J2281/1000000</x:f>
        <x:v>0.421</x:v>
      </x:c>
      <x:c r="N2281" s="28" t="n">
        <x:f>H2281*K2281/1000000</x:f>
        <x:v>0.23388</x:v>
      </x:c>
      <x:c r="O2281" s="28" t="n">
        <x:f>SUM(M2281:N2281)</x:f>
        <x:v>0.65488</x:v>
      </x:c>
    </x:row>
    <x:row r="2282" ht="23" customHeight="1">
      <x:c r="A2282" s="17" t="str">
        <x:v>U02276</x:v>
      </x:c>
      <x:c r="B2282" s="18" t="n">
        <x:v>46282</x:v>
      </x:c>
      <x:c r="C2282" s="17" t="str">
        <x:v>W0175</x:v>
      </x:c>
      <x:c r="D2282" s="17" t="str">
        <x:v>C003</x:v>
      </x:c>
      <x:c r="E2282" s="17" t="str">
        <x:v>CopyStudio</x:v>
      </x:c>
      <x:c r="F2282" s="17" t="str">
        <x:v>Lite</x:v>
      </x:c>
      <x:c r="G2282" s="17" t="n">
        <x:v>31344</x:v>
      </x:c>
      <x:c r="H2282" s="17" t="n">
        <x:v>3476</x:v>
      </x:c>
      <x:c r="I2282" s="17" t="str">
        <x:v>Followup</x:v>
      </x:c>
      <x:c r="J2282" s="27" t="n">
        <x:f>INDEX('Model Pricing'!$B$7:$B$8,MATCH(F2282,'Model Pricing'!$A$7:$A$8,0))</x:f>
        <x:v>10</x:v>
      </x:c>
      <x:c r="K2282" s="27" t="n">
        <x:f>INDEX('Model Pricing'!$C$7:$C$8,MATCH(F2282,'Model Pricing'!$A$7:$A$8,0))</x:f>
        <x:v>30</x:v>
      </x:c>
      <x:c r="L2282" s="17" t="n">
        <x:f>G2282+H2282</x:f>
        <x:v>34820</x:v>
      </x:c>
      <x:c r="M2282" s="28" t="n">
        <x:f>G2282*J2282/1000000</x:f>
        <x:v>0.31344</x:v>
      </x:c>
      <x:c r="N2282" s="28" t="n">
        <x:f>H2282*K2282/1000000</x:f>
        <x:v>0.10428</x:v>
      </x:c>
      <x:c r="O2282" s="28" t="n">
        <x:f>SUM(M2282:N2282)</x:f>
        <x:v>0.41772</x:v>
      </x:c>
    </x:row>
    <x:row r="2283" ht="23" customHeight="1">
      <x:c r="A2283" s="17" t="str">
        <x:v>U02277</x:v>
      </x:c>
      <x:c r="B2283" s="18" t="n">
        <x:v>46282</x:v>
      </x:c>
      <x:c r="C2283" s="17" t="str">
        <x:v>W0175</x:v>
      </x:c>
      <x:c r="D2283" s="17" t="str">
        <x:v>C003</x:v>
      </x:c>
      <x:c r="E2283" s="17" t="str">
        <x:v>CopyStudio</x:v>
      </x:c>
      <x:c r="F2283" s="17" t="str">
        <x:v>Lite</x:v>
      </x:c>
      <x:c r="G2283" s="17" t="n">
        <x:v>24704</x:v>
      </x:c>
      <x:c r="H2283" s="17" t="n">
        <x:v>6521</x:v>
      </x:c>
      <x:c r="I2283" s="17" t="str">
        <x:v>Followup</x:v>
      </x:c>
      <x:c r="J2283" s="27" t="n">
        <x:f>INDEX('Model Pricing'!$B$7:$B$8,MATCH(F2283,'Model Pricing'!$A$7:$A$8,0))</x:f>
        <x:v>10</x:v>
      </x:c>
      <x:c r="K2283" s="27" t="n">
        <x:f>INDEX('Model Pricing'!$C$7:$C$8,MATCH(F2283,'Model Pricing'!$A$7:$A$8,0))</x:f>
        <x:v>30</x:v>
      </x:c>
      <x:c r="L2283" s="17" t="n">
        <x:f>G2283+H2283</x:f>
        <x:v>31225</x:v>
      </x:c>
      <x:c r="M2283" s="28" t="n">
        <x:f>G2283*J2283/1000000</x:f>
        <x:v>0.24704</x:v>
      </x:c>
      <x:c r="N2283" s="28" t="n">
        <x:f>H2283*K2283/1000000</x:f>
        <x:v>0.19563</x:v>
      </x:c>
      <x:c r="O2283" s="28" t="n">
        <x:f>SUM(M2283:N2283)</x:f>
        <x:v>0.44267</x:v>
      </x:c>
    </x:row>
    <x:row r="2284" ht="23" customHeight="1">
      <x:c r="A2284" s="17" t="str">
        <x:v>U02278</x:v>
      </x:c>
      <x:c r="B2284" s="18" t="n">
        <x:v>46283</x:v>
      </x:c>
      <x:c r="C2284" s="17" t="str">
        <x:v>W0175</x:v>
      </x:c>
      <x:c r="D2284" s="17" t="str">
        <x:v>C003</x:v>
      </x:c>
      <x:c r="E2284" s="17" t="str">
        <x:v>CopyStudio</x:v>
      </x:c>
      <x:c r="F2284" s="17" t="str">
        <x:v>Lite</x:v>
      </x:c>
      <x:c r="G2284" s="17" t="n">
        <x:v>38188</x:v>
      </x:c>
      <x:c r="H2284" s="17" t="n">
        <x:v>7163</x:v>
      </x:c>
      <x:c r="I2284" s="17" t="str">
        <x:v>Followup</x:v>
      </x:c>
      <x:c r="J2284" s="27" t="n">
        <x:f>INDEX('Model Pricing'!$B$7:$B$8,MATCH(F2284,'Model Pricing'!$A$7:$A$8,0))</x:f>
        <x:v>10</x:v>
      </x:c>
      <x:c r="K2284" s="27" t="n">
        <x:f>INDEX('Model Pricing'!$C$7:$C$8,MATCH(F2284,'Model Pricing'!$A$7:$A$8,0))</x:f>
        <x:v>30</x:v>
      </x:c>
      <x:c r="L2284" s="17" t="n">
        <x:f>G2284+H2284</x:f>
        <x:v>45351</x:v>
      </x:c>
      <x:c r="M2284" s="28" t="n">
        <x:f>G2284*J2284/1000000</x:f>
        <x:v>0.38188</x:v>
      </x:c>
      <x:c r="N2284" s="28" t="n">
        <x:f>H2284*K2284/1000000</x:f>
        <x:v>0.21489</x:v>
      </x:c>
      <x:c r="O2284" s="28" t="n">
        <x:f>SUM(M2284:N2284)</x:f>
        <x:v>0.59677</x:v>
      </x:c>
    </x:row>
    <x:row r="2285" ht="23" customHeight="1">
      <x:c r="A2285" s="17" t="str">
        <x:v>U02279</x:v>
      </x:c>
      <x:c r="B2285" s="18" t="n">
        <x:v>46283</x:v>
      </x:c>
      <x:c r="C2285" s="17" t="str">
        <x:v>W0175</x:v>
      </x:c>
      <x:c r="D2285" s="17" t="str">
        <x:v>C003</x:v>
      </x:c>
      <x:c r="E2285" s="17" t="str">
        <x:v>CopyStudio</x:v>
      </x:c>
      <x:c r="F2285" s="17" t="str">
        <x:v>Lite</x:v>
      </x:c>
      <x:c r="G2285" s="17" t="n">
        <x:v>14538</x:v>
      </x:c>
      <x:c r="H2285" s="17" t="n">
        <x:v>7392</x:v>
      </x:c>
      <x:c r="I2285" s="17" t="str">
        <x:v>Followup</x:v>
      </x:c>
      <x:c r="J2285" s="27" t="n">
        <x:f>INDEX('Model Pricing'!$B$7:$B$8,MATCH(F2285,'Model Pricing'!$A$7:$A$8,0))</x:f>
        <x:v>10</x:v>
      </x:c>
      <x:c r="K2285" s="27" t="n">
        <x:f>INDEX('Model Pricing'!$C$7:$C$8,MATCH(F2285,'Model Pricing'!$A$7:$A$8,0))</x:f>
        <x:v>30</x:v>
      </x:c>
      <x:c r="L2285" s="17" t="n">
        <x:f>G2285+H2285</x:f>
        <x:v>21930</x:v>
      </x:c>
      <x:c r="M2285" s="28" t="n">
        <x:f>G2285*J2285/1000000</x:f>
        <x:v>0.14538</x:v>
      </x:c>
      <x:c r="N2285" s="28" t="n">
        <x:f>H2285*K2285/1000000</x:f>
        <x:v>0.22176</x:v>
      </x:c>
      <x:c r="O2285" s="28" t="n">
        <x:f>SUM(M2285:N2285)</x:f>
        <x:v>0.36714</x:v>
      </x:c>
    </x:row>
    <x:row r="2286" ht="23" customHeight="1">
      <x:c r="A2286" s="17" t="str">
        <x:v>U02280</x:v>
      </x:c>
      <x:c r="B2286" s="18" t="n">
        <x:v>46283</x:v>
      </x:c>
      <x:c r="C2286" s="17" t="str">
        <x:v>W0175</x:v>
      </x:c>
      <x:c r="D2286" s="17" t="str">
        <x:v>C003</x:v>
      </x:c>
      <x:c r="E2286" s="17" t="str">
        <x:v>CopyStudio</x:v>
      </x:c>
      <x:c r="F2286" s="17" t="str">
        <x:v>Lite</x:v>
      </x:c>
      <x:c r="G2286" s="17" t="n">
        <x:v>31277</x:v>
      </x:c>
      <x:c r="H2286" s="17" t="n">
        <x:v>11336</x:v>
      </x:c>
      <x:c r="I2286" s="17" t="str">
        <x:v>Followup</x:v>
      </x:c>
      <x:c r="J2286" s="27" t="n">
        <x:f>INDEX('Model Pricing'!$B$7:$B$8,MATCH(F2286,'Model Pricing'!$A$7:$A$8,0))</x:f>
        <x:v>10</x:v>
      </x:c>
      <x:c r="K2286" s="27" t="n">
        <x:f>INDEX('Model Pricing'!$C$7:$C$8,MATCH(F2286,'Model Pricing'!$A$7:$A$8,0))</x:f>
        <x:v>30</x:v>
      </x:c>
      <x:c r="L2286" s="17" t="n">
        <x:f>G2286+H2286</x:f>
        <x:v>42613</x:v>
      </x:c>
      <x:c r="M2286" s="28" t="n">
        <x:f>G2286*J2286/1000000</x:f>
        <x:v>0.31277</x:v>
      </x:c>
      <x:c r="N2286" s="28" t="n">
        <x:f>H2286*K2286/1000000</x:f>
        <x:v>0.34008</x:v>
      </x:c>
      <x:c r="O2286" s="28" t="n">
        <x:f>SUM(M2286:N2286)</x:f>
        <x:v>0.6528499999999999</x:v>
      </x:c>
    </x:row>
    <x:row r="2287" ht="23" customHeight="1">
      <x:c r="A2287" s="17" t="str">
        <x:v>U02281</x:v>
      </x:c>
      <x:c r="B2287" s="18" t="n">
        <x:v>46283</x:v>
      </x:c>
      <x:c r="C2287" s="17" t="str">
        <x:v>W0175</x:v>
      </x:c>
      <x:c r="D2287" s="17" t="str">
        <x:v>C003</x:v>
      </x:c>
      <x:c r="E2287" s="17" t="str">
        <x:v>CopyStudio</x:v>
      </x:c>
      <x:c r="F2287" s="17" t="str">
        <x:v>Lite</x:v>
      </x:c>
      <x:c r="G2287" s="17" t="n">
        <x:v>15660</x:v>
      </x:c>
      <x:c r="H2287" s="17" t="n">
        <x:v>9752</x:v>
      </x:c>
      <x:c r="I2287" s="17" t="str">
        <x:v>Correction</x:v>
      </x:c>
      <x:c r="J2287" s="27" t="n">
        <x:f>INDEX('Model Pricing'!$B$7:$B$8,MATCH(F2287,'Model Pricing'!$A$7:$A$8,0))</x:f>
        <x:v>10</x:v>
      </x:c>
      <x:c r="K2287" s="27" t="n">
        <x:f>INDEX('Model Pricing'!$C$7:$C$8,MATCH(F2287,'Model Pricing'!$A$7:$A$8,0))</x:f>
        <x:v>30</x:v>
      </x:c>
      <x:c r="L2287" s="17" t="n">
        <x:f>G2287+H2287</x:f>
        <x:v>25412</x:v>
      </x:c>
      <x:c r="M2287" s="28" t="n">
        <x:f>G2287*J2287/1000000</x:f>
        <x:v>0.1566</x:v>
      </x:c>
      <x:c r="N2287" s="28" t="n">
        <x:f>H2287*K2287/1000000</x:f>
        <x:v>0.29256</x:v>
      </x:c>
      <x:c r="O2287" s="28" t="n">
        <x:f>SUM(M2287:N2287)</x:f>
        <x:v>0.44916</x:v>
      </x:c>
    </x:row>
    <x:row r="2288" ht="23" customHeight="1">
      <x:c r="A2288" s="17" t="str">
        <x:v>U02282</x:v>
      </x:c>
      <x:c r="B2288" s="18" t="n">
        <x:v>46274</x:v>
      </x:c>
      <x:c r="C2288" s="17" t="str">
        <x:v>W0177</x:v>
      </x:c>
      <x:c r="D2288" s="17" t="str">
        <x:v>C003</x:v>
      </x:c>
      <x:c r="E2288" s="17" t="str">
        <x:v>CampaignChat</x:v>
      </x:c>
      <x:c r="F2288" s="17" t="str">
        <x:v>Lite</x:v>
      </x:c>
      <x:c r="G2288" s="17" t="n">
        <x:v>45021</x:v>
      </x:c>
      <x:c r="H2288" s="17" t="n">
        <x:v>2080</x:v>
      </x:c>
      <x:c r="I2288" s="17" t="str">
        <x:v>First attempt</x:v>
      </x:c>
      <x:c r="J2288" s="27" t="n">
        <x:f>INDEX('Model Pricing'!$B$7:$B$8,MATCH(F2288,'Model Pricing'!$A$7:$A$8,0))</x:f>
        <x:v>10</x:v>
      </x:c>
      <x:c r="K2288" s="27" t="n">
        <x:f>INDEX('Model Pricing'!$C$7:$C$8,MATCH(F2288,'Model Pricing'!$A$7:$A$8,0))</x:f>
        <x:v>30</x:v>
      </x:c>
      <x:c r="L2288" s="17" t="n">
        <x:f>G2288+H2288</x:f>
        <x:v>47101</x:v>
      </x:c>
      <x:c r="M2288" s="28" t="n">
        <x:f>G2288*J2288/1000000</x:f>
        <x:v>0.45021</x:v>
      </x:c>
      <x:c r="N2288" s="28" t="n">
        <x:f>H2288*K2288/1000000</x:f>
        <x:v>0.0624</x:v>
      </x:c>
      <x:c r="O2288" s="28" t="n">
        <x:f>SUM(M2288:N2288)</x:f>
        <x:v>0.51261</x:v>
      </x:c>
    </x:row>
    <x:row r="2289" ht="23" customHeight="1">
      <x:c r="A2289" s="17" t="str">
        <x:v>U02283</x:v>
      </x:c>
      <x:c r="B2289" s="18" t="n">
        <x:v>46274</x:v>
      </x:c>
      <x:c r="C2289" s="17" t="str">
        <x:v>W0177</x:v>
      </x:c>
      <x:c r="D2289" s="17" t="str">
        <x:v>C003</x:v>
      </x:c>
      <x:c r="E2289" s="17" t="str">
        <x:v>CampaignChat</x:v>
      </x:c>
      <x:c r="F2289" s="17" t="str">
        <x:v>Lite</x:v>
      </x:c>
      <x:c r="G2289" s="17" t="n">
        <x:v>21593</x:v>
      </x:c>
      <x:c r="H2289" s="17" t="n">
        <x:v>2557</x:v>
      </x:c>
      <x:c r="I2289" s="17" t="str">
        <x:v>Followup</x:v>
      </x:c>
      <x:c r="J2289" s="27" t="n">
        <x:f>INDEX('Model Pricing'!$B$7:$B$8,MATCH(F2289,'Model Pricing'!$A$7:$A$8,0))</x:f>
        <x:v>10</x:v>
      </x:c>
      <x:c r="K2289" s="27" t="n">
        <x:f>INDEX('Model Pricing'!$C$7:$C$8,MATCH(F2289,'Model Pricing'!$A$7:$A$8,0))</x:f>
        <x:v>30</x:v>
      </x:c>
      <x:c r="L2289" s="17" t="n">
        <x:f>G2289+H2289</x:f>
        <x:v>24150</x:v>
      </x:c>
      <x:c r="M2289" s="28" t="n">
        <x:f>G2289*J2289/1000000</x:f>
        <x:v>0.21593</x:v>
      </x:c>
      <x:c r="N2289" s="28" t="n">
        <x:f>H2289*K2289/1000000</x:f>
        <x:v>0.07671</x:v>
      </x:c>
      <x:c r="O2289" s="28" t="n">
        <x:f>SUM(M2289:N2289)</x:f>
        <x:v>0.29264</x:v>
      </x:c>
    </x:row>
    <x:row r="2290" ht="23" customHeight="1">
      <x:c r="A2290" s="17" t="str">
        <x:v>U02284</x:v>
      </x:c>
      <x:c r="B2290" s="18" t="n">
        <x:v>46274</x:v>
      </x:c>
      <x:c r="C2290" s="17" t="str">
        <x:v>W0177</x:v>
      </x:c>
      <x:c r="D2290" s="17" t="str">
        <x:v>C003</x:v>
      </x:c>
      <x:c r="E2290" s="17" t="str">
        <x:v>CampaignChat</x:v>
      </x:c>
      <x:c r="F2290" s="17" t="str">
        <x:v>Lite</x:v>
      </x:c>
      <x:c r="G2290" s="17" t="n">
        <x:v>36788</x:v>
      </x:c>
      <x:c r="H2290" s="17" t="n">
        <x:v>4499</x:v>
      </x:c>
      <x:c r="I2290" s="17" t="str">
        <x:v>Followup</x:v>
      </x:c>
      <x:c r="J2290" s="27" t="n">
        <x:f>INDEX('Model Pricing'!$B$7:$B$8,MATCH(F2290,'Model Pricing'!$A$7:$A$8,0))</x:f>
        <x:v>10</x:v>
      </x:c>
      <x:c r="K2290" s="27" t="n">
        <x:f>INDEX('Model Pricing'!$C$7:$C$8,MATCH(F2290,'Model Pricing'!$A$7:$A$8,0))</x:f>
        <x:v>30</x:v>
      </x:c>
      <x:c r="L2290" s="17" t="n">
        <x:f>G2290+H2290</x:f>
        <x:v>41287</x:v>
      </x:c>
      <x:c r="M2290" s="28" t="n">
        <x:f>G2290*J2290/1000000</x:f>
        <x:v>0.36788</x:v>
      </x:c>
      <x:c r="N2290" s="28" t="n">
        <x:f>H2290*K2290/1000000</x:f>
        <x:v>0.13497</x:v>
      </x:c>
      <x:c r="O2290" s="28" t="n">
        <x:f>SUM(M2290:N2290)</x:f>
        <x:v>0.50285</x:v>
      </x:c>
    </x:row>
    <x:row r="2291" ht="23" customHeight="1">
      <x:c r="A2291" s="17" t="str">
        <x:v>U02285</x:v>
      </x:c>
      <x:c r="B2291" s="18" t="n">
        <x:v>46275</x:v>
      </x:c>
      <x:c r="C2291" s="17" t="str">
        <x:v>W0177</x:v>
      </x:c>
      <x:c r="D2291" s="17" t="str">
        <x:v>C003</x:v>
      </x:c>
      <x:c r="E2291" s="17" t="str">
        <x:v>CampaignChat</x:v>
      </x:c>
      <x:c r="F2291" s="17" t="str">
        <x:v>Lite</x:v>
      </x:c>
      <x:c r="G2291" s="17" t="n">
        <x:v>37721</x:v>
      </x:c>
      <x:c r="H2291" s="17" t="n">
        <x:v>1958</x:v>
      </x:c>
      <x:c r="I2291" s="17" t="str">
        <x:v>Followup</x:v>
      </x:c>
      <x:c r="J2291" s="27" t="n">
        <x:f>INDEX('Model Pricing'!$B$7:$B$8,MATCH(F2291,'Model Pricing'!$A$7:$A$8,0))</x:f>
        <x:v>10</x:v>
      </x:c>
      <x:c r="K2291" s="27" t="n">
        <x:f>INDEX('Model Pricing'!$C$7:$C$8,MATCH(F2291,'Model Pricing'!$A$7:$A$8,0))</x:f>
        <x:v>30</x:v>
      </x:c>
      <x:c r="L2291" s="17" t="n">
        <x:f>G2291+H2291</x:f>
        <x:v>39679</x:v>
      </x:c>
      <x:c r="M2291" s="28" t="n">
        <x:f>G2291*J2291/1000000</x:f>
        <x:v>0.37721</x:v>
      </x:c>
      <x:c r="N2291" s="28" t="n">
        <x:f>H2291*K2291/1000000</x:f>
        <x:v>0.05874</x:v>
      </x:c>
      <x:c r="O2291" s="28" t="n">
        <x:f>SUM(M2291:N2291)</x:f>
        <x:v>0.43595</x:v>
      </x:c>
    </x:row>
    <x:row r="2292" ht="23" customHeight="1">
      <x:c r="A2292" s="17" t="str">
        <x:v>U02286</x:v>
      </x:c>
      <x:c r="B2292" s="18" t="n">
        <x:v>46275</x:v>
      </x:c>
      <x:c r="C2292" s="17" t="str">
        <x:v>W0177</x:v>
      </x:c>
      <x:c r="D2292" s="17" t="str">
        <x:v>C003</x:v>
      </x:c>
      <x:c r="E2292" s="17" t="str">
        <x:v>CampaignChat</x:v>
      </x:c>
      <x:c r="F2292" s="17" t="str">
        <x:v>Lite</x:v>
      </x:c>
      <x:c r="G2292" s="17" t="n">
        <x:v>27949</x:v>
      </x:c>
      <x:c r="H2292" s="17" t="n">
        <x:v>3406</x:v>
      </x:c>
      <x:c r="I2292" s="17" t="str">
        <x:v>Followup</x:v>
      </x:c>
      <x:c r="J2292" s="27" t="n">
        <x:f>INDEX('Model Pricing'!$B$7:$B$8,MATCH(F2292,'Model Pricing'!$A$7:$A$8,0))</x:f>
        <x:v>10</x:v>
      </x:c>
      <x:c r="K2292" s="27" t="n">
        <x:f>INDEX('Model Pricing'!$C$7:$C$8,MATCH(F2292,'Model Pricing'!$A$7:$A$8,0))</x:f>
        <x:v>30</x:v>
      </x:c>
      <x:c r="L2292" s="17" t="n">
        <x:f>G2292+H2292</x:f>
        <x:v>31355</x:v>
      </x:c>
      <x:c r="M2292" s="28" t="n">
        <x:f>G2292*J2292/1000000</x:f>
        <x:v>0.27949</x:v>
      </x:c>
      <x:c r="N2292" s="28" t="n">
        <x:f>H2292*K2292/1000000</x:f>
        <x:v>0.10218</x:v>
      </x:c>
      <x:c r="O2292" s="28" t="n">
        <x:f>SUM(M2292:N2292)</x:f>
        <x:v>0.38167</x:v>
      </x:c>
    </x:row>
    <x:row r="2293" ht="23" customHeight="1">
      <x:c r="A2293" s="17" t="str">
        <x:v>U02287</x:v>
      </x:c>
      <x:c r="B2293" s="18" t="n">
        <x:v>46275</x:v>
      </x:c>
      <x:c r="C2293" s="17" t="str">
        <x:v>W0177</x:v>
      </x:c>
      <x:c r="D2293" s="17" t="str">
        <x:v>C003</x:v>
      </x:c>
      <x:c r="E2293" s="17" t="str">
        <x:v>CampaignChat</x:v>
      </x:c>
      <x:c r="F2293" s="17" t="str">
        <x:v>Lite</x:v>
      </x:c>
      <x:c r="G2293" s="17" t="n">
        <x:v>36159</x:v>
      </x:c>
      <x:c r="H2293" s="17" t="n">
        <x:v>3227</x:v>
      </x:c>
      <x:c r="I2293" s="17" t="str">
        <x:v>Followup</x:v>
      </x:c>
      <x:c r="J2293" s="27" t="n">
        <x:f>INDEX('Model Pricing'!$B$7:$B$8,MATCH(F2293,'Model Pricing'!$A$7:$A$8,0))</x:f>
        <x:v>10</x:v>
      </x:c>
      <x:c r="K2293" s="27" t="n">
        <x:f>INDEX('Model Pricing'!$C$7:$C$8,MATCH(F2293,'Model Pricing'!$A$7:$A$8,0))</x:f>
        <x:v>30</x:v>
      </x:c>
      <x:c r="L2293" s="17" t="n">
        <x:f>G2293+H2293</x:f>
        <x:v>39386</x:v>
      </x:c>
      <x:c r="M2293" s="28" t="n">
        <x:f>G2293*J2293/1000000</x:f>
        <x:v>0.36159</x:v>
      </x:c>
      <x:c r="N2293" s="28" t="n">
        <x:f>H2293*K2293/1000000</x:f>
        <x:v>0.09681</x:v>
      </x:c>
      <x:c r="O2293" s="28" t="n">
        <x:f>SUM(M2293:N2293)</x:f>
        <x:v>0.45840000000000003</x:v>
      </x:c>
    </x:row>
    <x:row r="2294" ht="23" customHeight="1">
      <x:c r="A2294" s="17" t="str">
        <x:v>U02288</x:v>
      </x:c>
      <x:c r="B2294" s="18" t="n">
        <x:v>46276</x:v>
      </x:c>
      <x:c r="C2294" s="17" t="str">
        <x:v>W0177</x:v>
      </x:c>
      <x:c r="D2294" s="17" t="str">
        <x:v>C003</x:v>
      </x:c>
      <x:c r="E2294" s="17" t="str">
        <x:v>CampaignChat</x:v>
      </x:c>
      <x:c r="F2294" s="17" t="str">
        <x:v>Lite</x:v>
      </x:c>
      <x:c r="G2294" s="17" t="n">
        <x:v>39913</x:v>
      </x:c>
      <x:c r="H2294" s="17" t="n">
        <x:v>3700</x:v>
      </x:c>
      <x:c r="I2294" s="17" t="str">
        <x:v>Correction</x:v>
      </x:c>
      <x:c r="J2294" s="27" t="n">
        <x:f>INDEX('Model Pricing'!$B$7:$B$8,MATCH(F2294,'Model Pricing'!$A$7:$A$8,0))</x:f>
        <x:v>10</x:v>
      </x:c>
      <x:c r="K2294" s="27" t="n">
        <x:f>INDEX('Model Pricing'!$C$7:$C$8,MATCH(F2294,'Model Pricing'!$A$7:$A$8,0))</x:f>
        <x:v>30</x:v>
      </x:c>
      <x:c r="L2294" s="17" t="n">
        <x:f>G2294+H2294</x:f>
        <x:v>43613</x:v>
      </x:c>
      <x:c r="M2294" s="28" t="n">
        <x:f>G2294*J2294/1000000</x:f>
        <x:v>0.39913</x:v>
      </x:c>
      <x:c r="N2294" s="28" t="n">
        <x:f>H2294*K2294/1000000</x:f>
        <x:v>0.111</x:v>
      </x:c>
      <x:c r="O2294" s="28" t="n">
        <x:f>SUM(M2294:N2294)</x:f>
        <x:v>0.51013</x:v>
      </x:c>
    </x:row>
    <x:row r="2295" ht="23" customHeight="1">
      <x:c r="A2295" s="17" t="str">
        <x:v>U02289</x:v>
      </x:c>
      <x:c r="B2295" s="18" t="n">
        <x:v>46276</x:v>
      </x:c>
      <x:c r="C2295" s="17" t="str">
        <x:v>W0177</x:v>
      </x:c>
      <x:c r="D2295" s="17" t="str">
        <x:v>C003</x:v>
      </x:c>
      <x:c r="E2295" s="17" t="str">
        <x:v>CampaignChat</x:v>
      </x:c>
      <x:c r="F2295" s="17" t="str">
        <x:v>Lite</x:v>
      </x:c>
      <x:c r="G2295" s="17" t="n">
        <x:v>29820</x:v>
      </x:c>
      <x:c r="H2295" s="17" t="n">
        <x:v>3533</x:v>
      </x:c>
      <x:c r="I2295" s="17" t="str">
        <x:v>Correction</x:v>
      </x:c>
      <x:c r="J2295" s="27" t="n">
        <x:f>INDEX('Model Pricing'!$B$7:$B$8,MATCH(F2295,'Model Pricing'!$A$7:$A$8,0))</x:f>
        <x:v>10</x:v>
      </x:c>
      <x:c r="K2295" s="27" t="n">
        <x:f>INDEX('Model Pricing'!$C$7:$C$8,MATCH(F2295,'Model Pricing'!$A$7:$A$8,0))</x:f>
        <x:v>30</x:v>
      </x:c>
      <x:c r="L2295" s="17" t="n">
        <x:f>G2295+H2295</x:f>
        <x:v>33353</x:v>
      </x:c>
      <x:c r="M2295" s="28" t="n">
        <x:f>G2295*J2295/1000000</x:f>
        <x:v>0.2982</x:v>
      </x:c>
      <x:c r="N2295" s="28" t="n">
        <x:f>H2295*K2295/1000000</x:f>
        <x:v>0.10599</x:v>
      </x:c>
      <x:c r="O2295" s="28" t="n">
        <x:f>SUM(M2295:N2295)</x:f>
        <x:v>0.40419000000000005</x:v>
      </x:c>
    </x:row>
    <x:row r="2296" ht="23" customHeight="1">
      <x:c r="A2296" s="17" t="str">
        <x:v>U02290</x:v>
      </x:c>
      <x:c r="B2296" s="18" t="n">
        <x:v>46276</x:v>
      </x:c>
      <x:c r="C2296" s="17" t="str">
        <x:v>W0177</x:v>
      </x:c>
      <x:c r="D2296" s="17" t="str">
        <x:v>C003</x:v>
      </x:c>
      <x:c r="E2296" s="17" t="str">
        <x:v>CampaignChat</x:v>
      </x:c>
      <x:c r="F2296" s="17" t="str">
        <x:v>Lite</x:v>
      </x:c>
      <x:c r="G2296" s="17" t="n">
        <x:v>44781</x:v>
      </x:c>
      <x:c r="H2296" s="17" t="n">
        <x:v>1886</x:v>
      </x:c>
      <x:c r="I2296" s="17" t="str">
        <x:v>Correction</x:v>
      </x:c>
      <x:c r="J2296" s="27" t="n">
        <x:f>INDEX('Model Pricing'!$B$7:$B$8,MATCH(F2296,'Model Pricing'!$A$7:$A$8,0))</x:f>
        <x:v>10</x:v>
      </x:c>
      <x:c r="K2296" s="27" t="n">
        <x:f>INDEX('Model Pricing'!$C$7:$C$8,MATCH(F2296,'Model Pricing'!$A$7:$A$8,0))</x:f>
        <x:v>30</x:v>
      </x:c>
      <x:c r="L2296" s="17" t="n">
        <x:f>G2296+H2296</x:f>
        <x:v>46667</x:v>
      </x:c>
      <x:c r="M2296" s="28" t="n">
        <x:f>G2296*J2296/1000000</x:f>
        <x:v>0.44781</x:v>
      </x:c>
      <x:c r="N2296" s="28" t="n">
        <x:f>H2296*K2296/1000000</x:f>
        <x:v>0.05658</x:v>
      </x:c>
      <x:c r="O2296" s="28" t="n">
        <x:f>SUM(M2296:N2296)</x:f>
        <x:v>0.50439</x:v>
      </x:c>
    </x:row>
    <x:row r="2297" ht="23" customHeight="1">
      <x:c r="A2297" s="17" t="str">
        <x:v>U02291</x:v>
      </x:c>
      <x:c r="B2297" s="18" t="n">
        <x:v>46279</x:v>
      </x:c>
      <x:c r="C2297" s="17" t="str">
        <x:v>W0177</x:v>
      </x:c>
      <x:c r="D2297" s="17" t="str">
        <x:v>C003</x:v>
      </x:c>
      <x:c r="E2297" s="17" t="str">
        <x:v>CampaignChat</x:v>
      </x:c>
      <x:c r="F2297" s="17" t="str">
        <x:v>Lite</x:v>
      </x:c>
      <x:c r="G2297" s="17" t="n">
        <x:v>25400</x:v>
      </x:c>
      <x:c r="H2297" s="17" t="n">
        <x:v>3547</x:v>
      </x:c>
      <x:c r="I2297" s="17" t="str">
        <x:v>Followup</x:v>
      </x:c>
      <x:c r="J2297" s="27" t="n">
        <x:f>INDEX('Model Pricing'!$B$7:$B$8,MATCH(F2297,'Model Pricing'!$A$7:$A$8,0))</x:f>
        <x:v>10</x:v>
      </x:c>
      <x:c r="K2297" s="27" t="n">
        <x:f>INDEX('Model Pricing'!$C$7:$C$8,MATCH(F2297,'Model Pricing'!$A$7:$A$8,0))</x:f>
        <x:v>30</x:v>
      </x:c>
      <x:c r="L2297" s="17" t="n">
        <x:f>G2297+H2297</x:f>
        <x:v>28947</x:v>
      </x:c>
      <x:c r="M2297" s="28" t="n">
        <x:f>G2297*J2297/1000000</x:f>
        <x:v>0.254</x:v>
      </x:c>
      <x:c r="N2297" s="28" t="n">
        <x:f>H2297*K2297/1000000</x:f>
        <x:v>0.10641</x:v>
      </x:c>
      <x:c r="O2297" s="28" t="n">
        <x:f>SUM(M2297:N2297)</x:f>
        <x:v>0.36041</x:v>
      </x:c>
    </x:row>
    <x:row r="2298" ht="23" customHeight="1">
      <x:c r="A2298" s="17" t="str">
        <x:v>U02292</x:v>
      </x:c>
      <x:c r="B2298" s="18" t="n">
        <x:v>46279</x:v>
      </x:c>
      <x:c r="C2298" s="17" t="str">
        <x:v>W0177</x:v>
      </x:c>
      <x:c r="D2298" s="17" t="str">
        <x:v>C003</x:v>
      </x:c>
      <x:c r="E2298" s="17" t="str">
        <x:v>CampaignChat</x:v>
      </x:c>
      <x:c r="F2298" s="17" t="str">
        <x:v>Lite</x:v>
      </x:c>
      <x:c r="G2298" s="17" t="n">
        <x:v>42844</x:v>
      </x:c>
      <x:c r="H2298" s="17" t="n">
        <x:v>4277</x:v>
      </x:c>
      <x:c r="I2298" s="17" t="str">
        <x:v>Followup</x:v>
      </x:c>
      <x:c r="J2298" s="27" t="n">
        <x:f>INDEX('Model Pricing'!$B$7:$B$8,MATCH(F2298,'Model Pricing'!$A$7:$A$8,0))</x:f>
        <x:v>10</x:v>
      </x:c>
      <x:c r="K2298" s="27" t="n">
        <x:f>INDEX('Model Pricing'!$C$7:$C$8,MATCH(F2298,'Model Pricing'!$A$7:$A$8,0))</x:f>
        <x:v>30</x:v>
      </x:c>
      <x:c r="L2298" s="17" t="n">
        <x:f>G2298+H2298</x:f>
        <x:v>47121</x:v>
      </x:c>
      <x:c r="M2298" s="28" t="n">
        <x:f>G2298*J2298/1000000</x:f>
        <x:v>0.42844</x:v>
      </x:c>
      <x:c r="N2298" s="28" t="n">
        <x:f>H2298*K2298/1000000</x:f>
        <x:v>0.12831</x:v>
      </x:c>
      <x:c r="O2298" s="28" t="n">
        <x:f>SUM(M2298:N2298)</x:f>
        <x:v>0.55675</x:v>
      </x:c>
    </x:row>
    <x:row r="2299" ht="23" customHeight="1">
      <x:c r="A2299" s="17" t="str">
        <x:v>U02293</x:v>
      </x:c>
      <x:c r="B2299" s="18" t="n">
        <x:v>46283</x:v>
      </x:c>
      <x:c r="C2299" s="17" t="str">
        <x:v>W0178</x:v>
      </x:c>
      <x:c r="D2299" s="17" t="str">
        <x:v>C003</x:v>
      </x:c>
      <x:c r="E2299" s="17" t="str">
        <x:v>CampaignChat</x:v>
      </x:c>
      <x:c r="F2299" s="17" t="str">
        <x:v>Lite</x:v>
      </x:c>
      <x:c r="G2299" s="17" t="n">
        <x:v>35807</x:v>
      </x:c>
      <x:c r="H2299" s="17" t="n">
        <x:v>6941</x:v>
      </x:c>
      <x:c r="I2299" s="17" t="str">
        <x:v>First attempt</x:v>
      </x:c>
      <x:c r="J2299" s="27" t="n">
        <x:f>INDEX('Model Pricing'!$B$7:$B$8,MATCH(F2299,'Model Pricing'!$A$7:$A$8,0))</x:f>
        <x:v>10</x:v>
      </x:c>
      <x:c r="K2299" s="27" t="n">
        <x:f>INDEX('Model Pricing'!$C$7:$C$8,MATCH(F2299,'Model Pricing'!$A$7:$A$8,0))</x:f>
        <x:v>30</x:v>
      </x:c>
      <x:c r="L2299" s="17" t="n">
        <x:f>G2299+H2299</x:f>
        <x:v>42748</x:v>
      </x:c>
      <x:c r="M2299" s="28" t="n">
        <x:f>G2299*J2299/1000000</x:f>
        <x:v>0.35807</x:v>
      </x:c>
      <x:c r="N2299" s="28" t="n">
        <x:f>H2299*K2299/1000000</x:f>
        <x:v>0.20823</x:v>
      </x:c>
      <x:c r="O2299" s="28" t="n">
        <x:f>SUM(M2299:N2299)</x:f>
        <x:v>0.5663</x:v>
      </x:c>
    </x:row>
    <x:row r="2300" ht="23" customHeight="1">
      <x:c r="A2300" s="17" t="str">
        <x:v>U02294</x:v>
      </x:c>
      <x:c r="B2300" s="18" t="n">
        <x:v>46283</x:v>
      </x:c>
      <x:c r="C2300" s="17" t="str">
        <x:v>W0178</x:v>
      </x:c>
      <x:c r="D2300" s="17" t="str">
        <x:v>C003</x:v>
      </x:c>
      <x:c r="E2300" s="17" t="str">
        <x:v>CampaignChat</x:v>
      </x:c>
      <x:c r="F2300" s="17" t="str">
        <x:v>Lite</x:v>
      </x:c>
      <x:c r="G2300" s="17" t="n">
        <x:v>23147</x:v>
      </x:c>
      <x:c r="H2300" s="17" t="n">
        <x:v>8016</x:v>
      </x:c>
      <x:c r="I2300" s="17" t="str">
        <x:v>Followup</x:v>
      </x:c>
      <x:c r="J2300" s="27" t="n">
        <x:f>INDEX('Model Pricing'!$B$7:$B$8,MATCH(F2300,'Model Pricing'!$A$7:$A$8,0))</x:f>
        <x:v>10</x:v>
      </x:c>
      <x:c r="K2300" s="27" t="n">
        <x:f>INDEX('Model Pricing'!$C$7:$C$8,MATCH(F2300,'Model Pricing'!$A$7:$A$8,0))</x:f>
        <x:v>30</x:v>
      </x:c>
      <x:c r="L2300" s="17" t="n">
        <x:f>G2300+H2300</x:f>
        <x:v>31163</x:v>
      </x:c>
      <x:c r="M2300" s="28" t="n">
        <x:f>G2300*J2300/1000000</x:f>
        <x:v>0.23147</x:v>
      </x:c>
      <x:c r="N2300" s="28" t="n">
        <x:f>H2300*K2300/1000000</x:f>
        <x:v>0.24048</x:v>
      </x:c>
      <x:c r="O2300" s="28" t="n">
        <x:f>SUM(M2300:N2300)</x:f>
        <x:v>0.47195</x:v>
      </x:c>
    </x:row>
    <x:row r="2301" ht="23" customHeight="1">
      <x:c r="A2301" s="17" t="str">
        <x:v>U02295</x:v>
      </x:c>
      <x:c r="B2301" s="18" t="n">
        <x:v>46283</x:v>
      </x:c>
      <x:c r="C2301" s="17" t="str">
        <x:v>W0178</x:v>
      </x:c>
      <x:c r="D2301" s="17" t="str">
        <x:v>C003</x:v>
      </x:c>
      <x:c r="E2301" s="17" t="str">
        <x:v>CampaignChat</x:v>
      </x:c>
      <x:c r="F2301" s="17" t="str">
        <x:v>Lite</x:v>
      </x:c>
      <x:c r="G2301" s="17" t="n">
        <x:v>18309</x:v>
      </x:c>
      <x:c r="H2301" s="17" t="n">
        <x:v>2987</x:v>
      </x:c>
      <x:c r="I2301" s="17" t="str">
        <x:v>Followup</x:v>
      </x:c>
      <x:c r="J2301" s="27" t="n">
        <x:f>INDEX('Model Pricing'!$B$7:$B$8,MATCH(F2301,'Model Pricing'!$A$7:$A$8,0))</x:f>
        <x:v>10</x:v>
      </x:c>
      <x:c r="K2301" s="27" t="n">
        <x:f>INDEX('Model Pricing'!$C$7:$C$8,MATCH(F2301,'Model Pricing'!$A$7:$A$8,0))</x:f>
        <x:v>30</x:v>
      </x:c>
      <x:c r="L2301" s="17" t="n">
        <x:f>G2301+H2301</x:f>
        <x:v>21296</x:v>
      </x:c>
      <x:c r="M2301" s="28" t="n">
        <x:f>G2301*J2301/1000000</x:f>
        <x:v>0.18309</x:v>
      </x:c>
      <x:c r="N2301" s="28" t="n">
        <x:f>H2301*K2301/1000000</x:f>
        <x:v>0.08961</x:v>
      </x:c>
      <x:c r="O2301" s="28" t="n">
        <x:f>SUM(M2301:N2301)</x:f>
        <x:v>0.2727</x:v>
      </x:c>
    </x:row>
    <x:row r="2302" ht="23" customHeight="1">
      <x:c r="A2302" s="17" t="str">
        <x:v>U02296</x:v>
      </x:c>
      <x:c r="B2302" s="18" t="n">
        <x:v>46283</x:v>
      </x:c>
      <x:c r="C2302" s="17" t="str">
        <x:v>W0178</x:v>
      </x:c>
      <x:c r="D2302" s="17" t="str">
        <x:v>C003</x:v>
      </x:c>
      <x:c r="E2302" s="17" t="str">
        <x:v>CampaignChat</x:v>
      </x:c>
      <x:c r="F2302" s="17" t="str">
        <x:v>Lite</x:v>
      </x:c>
      <x:c r="G2302" s="17" t="n">
        <x:v>20666</x:v>
      </x:c>
      <x:c r="H2302" s="17" t="n">
        <x:v>5513</x:v>
      </x:c>
      <x:c r="I2302" s="17" t="str">
        <x:v>Followup</x:v>
      </x:c>
      <x:c r="J2302" s="27" t="n">
        <x:f>INDEX('Model Pricing'!$B$7:$B$8,MATCH(F2302,'Model Pricing'!$A$7:$A$8,0))</x:f>
        <x:v>10</x:v>
      </x:c>
      <x:c r="K2302" s="27" t="n">
        <x:f>INDEX('Model Pricing'!$C$7:$C$8,MATCH(F2302,'Model Pricing'!$A$7:$A$8,0))</x:f>
        <x:v>30</x:v>
      </x:c>
      <x:c r="L2302" s="17" t="n">
        <x:f>G2302+H2302</x:f>
        <x:v>26179</x:v>
      </x:c>
      <x:c r="M2302" s="28" t="n">
        <x:f>G2302*J2302/1000000</x:f>
        <x:v>0.20666</x:v>
      </x:c>
      <x:c r="N2302" s="28" t="n">
        <x:f>H2302*K2302/1000000</x:f>
        <x:v>0.16539</x:v>
      </x:c>
      <x:c r="O2302" s="28" t="n">
        <x:f>SUM(M2302:N2302)</x:f>
        <x:v>0.37205</x:v>
      </x:c>
    </x:row>
    <x:row r="2303" ht="23" customHeight="1">
      <x:c r="A2303" s="17" t="str">
        <x:v>U02297</x:v>
      </x:c>
      <x:c r="B2303" s="18" t="n">
        <x:v>46286</x:v>
      </x:c>
      <x:c r="C2303" s="17" t="str">
        <x:v>W0178</x:v>
      </x:c>
      <x:c r="D2303" s="17" t="str">
        <x:v>C003</x:v>
      </x:c>
      <x:c r="E2303" s="17" t="str">
        <x:v>CampaignChat</x:v>
      </x:c>
      <x:c r="F2303" s="17" t="str">
        <x:v>Lite</x:v>
      </x:c>
      <x:c r="G2303" s="17" t="n">
        <x:v>28946</x:v>
      </x:c>
      <x:c r="H2303" s="17" t="n">
        <x:v>7832</x:v>
      </x:c>
      <x:c r="I2303" s="17" t="str">
        <x:v>Correction</x:v>
      </x:c>
      <x:c r="J2303" s="27" t="n">
        <x:f>INDEX('Model Pricing'!$B$7:$B$8,MATCH(F2303,'Model Pricing'!$A$7:$A$8,0))</x:f>
        <x:v>10</x:v>
      </x:c>
      <x:c r="K2303" s="27" t="n">
        <x:f>INDEX('Model Pricing'!$C$7:$C$8,MATCH(F2303,'Model Pricing'!$A$7:$A$8,0))</x:f>
        <x:v>30</x:v>
      </x:c>
      <x:c r="L2303" s="17" t="n">
        <x:f>G2303+H2303</x:f>
        <x:v>36778</x:v>
      </x:c>
      <x:c r="M2303" s="28" t="n">
        <x:f>G2303*J2303/1000000</x:f>
        <x:v>0.28946</x:v>
      </x:c>
      <x:c r="N2303" s="28" t="n">
        <x:f>H2303*K2303/1000000</x:f>
        <x:v>0.23496</x:v>
      </x:c>
      <x:c r="O2303" s="28" t="n">
        <x:f>SUM(M2303:N2303)</x:f>
        <x:v>0.52442</x:v>
      </x:c>
    </x:row>
    <x:row r="2304" ht="23" customHeight="1">
      <x:c r="A2304" s="17" t="str">
        <x:v>U02298</x:v>
      </x:c>
      <x:c r="B2304" s="18" t="n">
        <x:v>46286</x:v>
      </x:c>
      <x:c r="C2304" s="17" t="str">
        <x:v>W0178</x:v>
      </x:c>
      <x:c r="D2304" s="17" t="str">
        <x:v>C003</x:v>
      </x:c>
      <x:c r="E2304" s="17" t="str">
        <x:v>CampaignChat</x:v>
      </x:c>
      <x:c r="F2304" s="17" t="str">
        <x:v>Lite</x:v>
      </x:c>
      <x:c r="G2304" s="17" t="n">
        <x:v>15790</x:v>
      </x:c>
      <x:c r="H2304" s="17" t="n">
        <x:v>7379</x:v>
      </x:c>
      <x:c r="I2304" s="17" t="str">
        <x:v>Followup</x:v>
      </x:c>
      <x:c r="J2304" s="27" t="n">
        <x:f>INDEX('Model Pricing'!$B$7:$B$8,MATCH(F2304,'Model Pricing'!$A$7:$A$8,0))</x:f>
        <x:v>10</x:v>
      </x:c>
      <x:c r="K2304" s="27" t="n">
        <x:f>INDEX('Model Pricing'!$C$7:$C$8,MATCH(F2304,'Model Pricing'!$A$7:$A$8,0))</x:f>
        <x:v>30</x:v>
      </x:c>
      <x:c r="L2304" s="17" t="n">
        <x:f>G2304+H2304</x:f>
        <x:v>23169</x:v>
      </x:c>
      <x:c r="M2304" s="28" t="n">
        <x:f>G2304*J2304/1000000</x:f>
        <x:v>0.1579</x:v>
      </x:c>
      <x:c r="N2304" s="28" t="n">
        <x:f>H2304*K2304/1000000</x:f>
        <x:v>0.22137</x:v>
      </x:c>
      <x:c r="O2304" s="28" t="n">
        <x:f>SUM(M2304:N2304)</x:f>
        <x:v>0.37927</x:v>
      </x:c>
    </x:row>
    <x:row r="2305" ht="23" customHeight="1">
      <x:c r="A2305" s="17" t="str">
        <x:v>U02299</x:v>
      </x:c>
      <x:c r="B2305" s="18" t="n">
        <x:v>46286</x:v>
      </x:c>
      <x:c r="C2305" s="17" t="str">
        <x:v>W0178</x:v>
      </x:c>
      <x:c r="D2305" s="17" t="str">
        <x:v>C003</x:v>
      </x:c>
      <x:c r="E2305" s="17" t="str">
        <x:v>CampaignChat</x:v>
      </x:c>
      <x:c r="F2305" s="17" t="str">
        <x:v>Lite</x:v>
      </x:c>
      <x:c r="G2305" s="17" t="n">
        <x:v>29071</x:v>
      </x:c>
      <x:c r="H2305" s="17" t="n">
        <x:v>8038</x:v>
      </x:c>
      <x:c r="I2305" s="17" t="str">
        <x:v>Correction</x:v>
      </x:c>
      <x:c r="J2305" s="27" t="n">
        <x:f>INDEX('Model Pricing'!$B$7:$B$8,MATCH(F2305,'Model Pricing'!$A$7:$A$8,0))</x:f>
        <x:v>10</x:v>
      </x:c>
      <x:c r="K2305" s="27" t="n">
        <x:f>INDEX('Model Pricing'!$C$7:$C$8,MATCH(F2305,'Model Pricing'!$A$7:$A$8,0))</x:f>
        <x:v>30</x:v>
      </x:c>
      <x:c r="L2305" s="17" t="n">
        <x:f>G2305+H2305</x:f>
        <x:v>37109</x:v>
      </x:c>
      <x:c r="M2305" s="28" t="n">
        <x:f>G2305*J2305/1000000</x:f>
        <x:v>0.29071</x:v>
      </x:c>
      <x:c r="N2305" s="28" t="n">
        <x:f>H2305*K2305/1000000</x:f>
        <x:v>0.24114</x:v>
      </x:c>
      <x:c r="O2305" s="28" t="n">
        <x:f>SUM(M2305:N2305)</x:f>
        <x:v>0.53185</x:v>
      </x:c>
    </x:row>
    <x:row r="2306" ht="23" customHeight="1">
      <x:c r="A2306" s="17" t="str">
        <x:v>U02300</x:v>
      </x:c>
      <x:c r="B2306" s="18" t="n">
        <x:v>46287</x:v>
      </x:c>
      <x:c r="C2306" s="17" t="str">
        <x:v>W0178</x:v>
      </x:c>
      <x:c r="D2306" s="17" t="str">
        <x:v>C003</x:v>
      </x:c>
      <x:c r="E2306" s="17" t="str">
        <x:v>CampaignChat</x:v>
      </x:c>
      <x:c r="F2306" s="17" t="str">
        <x:v>Lite</x:v>
      </x:c>
      <x:c r="G2306" s="17" t="n">
        <x:v>17965</x:v>
      </x:c>
      <x:c r="H2306" s="17" t="n">
        <x:v>7902</x:v>
      </x:c>
      <x:c r="I2306" s="17" t="str">
        <x:v>Correction</x:v>
      </x:c>
      <x:c r="J2306" s="27" t="n">
        <x:f>INDEX('Model Pricing'!$B$7:$B$8,MATCH(F2306,'Model Pricing'!$A$7:$A$8,0))</x:f>
        <x:v>10</x:v>
      </x:c>
      <x:c r="K2306" s="27" t="n">
        <x:f>INDEX('Model Pricing'!$C$7:$C$8,MATCH(F2306,'Model Pricing'!$A$7:$A$8,0))</x:f>
        <x:v>30</x:v>
      </x:c>
      <x:c r="L2306" s="17" t="n">
        <x:f>G2306+H2306</x:f>
        <x:v>25867</x:v>
      </x:c>
      <x:c r="M2306" s="28" t="n">
        <x:f>G2306*J2306/1000000</x:f>
        <x:v>0.17965</x:v>
      </x:c>
      <x:c r="N2306" s="28" t="n">
        <x:f>H2306*K2306/1000000</x:f>
        <x:v>0.23706</x:v>
      </x:c>
      <x:c r="O2306" s="28" t="n">
        <x:f>SUM(M2306:N2306)</x:f>
        <x:v>0.41671</x:v>
      </x:c>
    </x:row>
    <x:row r="2307" ht="23" customHeight="1">
      <x:c r="A2307" s="17" t="str">
        <x:v>U02301</x:v>
      </x:c>
      <x:c r="B2307" s="18" t="n">
        <x:v>46287</x:v>
      </x:c>
      <x:c r="C2307" s="17" t="str">
        <x:v>W0178</x:v>
      </x:c>
      <x:c r="D2307" s="17" t="str">
        <x:v>C003</x:v>
      </x:c>
      <x:c r="E2307" s="17" t="str">
        <x:v>CampaignChat</x:v>
      </x:c>
      <x:c r="F2307" s="17" t="str">
        <x:v>Lite</x:v>
      </x:c>
      <x:c r="G2307" s="17" t="n">
        <x:v>17980</x:v>
      </x:c>
      <x:c r="H2307" s="17" t="n">
        <x:v>5293</x:v>
      </x:c>
      <x:c r="I2307" s="17" t="str">
        <x:v>Followup</x:v>
      </x:c>
      <x:c r="J2307" s="27" t="n">
        <x:f>INDEX('Model Pricing'!$B$7:$B$8,MATCH(F2307,'Model Pricing'!$A$7:$A$8,0))</x:f>
        <x:v>10</x:v>
      </x:c>
      <x:c r="K2307" s="27" t="n">
        <x:f>INDEX('Model Pricing'!$C$7:$C$8,MATCH(F2307,'Model Pricing'!$A$7:$A$8,0))</x:f>
        <x:v>30</x:v>
      </x:c>
      <x:c r="L2307" s="17" t="n">
        <x:f>G2307+H2307</x:f>
        <x:v>23273</x:v>
      </x:c>
      <x:c r="M2307" s="28" t="n">
        <x:f>G2307*J2307/1000000</x:f>
        <x:v>0.1798</x:v>
      </x:c>
      <x:c r="N2307" s="28" t="n">
        <x:f>H2307*K2307/1000000</x:f>
        <x:v>0.15879</x:v>
      </x:c>
      <x:c r="O2307" s="28" t="n">
        <x:f>SUM(M2307:N2307)</x:f>
        <x:v>0.33858999999999995</x:v>
      </x:c>
    </x:row>
    <x:row r="2308" ht="23" customHeight="1">
      <x:c r="A2308" s="17" t="str">
        <x:v>U02302</x:v>
      </x:c>
      <x:c r="B2308" s="18" t="n">
        <x:v>46287</x:v>
      </x:c>
      <x:c r="C2308" s="17" t="str">
        <x:v>W0178</x:v>
      </x:c>
      <x:c r="D2308" s="17" t="str">
        <x:v>C003</x:v>
      </x:c>
      <x:c r="E2308" s="17" t="str">
        <x:v>CampaignChat</x:v>
      </x:c>
      <x:c r="F2308" s="17" t="str">
        <x:v>Lite</x:v>
      </x:c>
      <x:c r="G2308" s="17" t="n">
        <x:v>15066</x:v>
      </x:c>
      <x:c r="H2308" s="17" t="n">
        <x:v>7748</x:v>
      </x:c>
      <x:c r="I2308" s="17" t="str">
        <x:v>Followup</x:v>
      </x:c>
      <x:c r="J2308" s="27" t="n">
        <x:f>INDEX('Model Pricing'!$B$7:$B$8,MATCH(F2308,'Model Pricing'!$A$7:$A$8,0))</x:f>
        <x:v>10</x:v>
      </x:c>
      <x:c r="K2308" s="27" t="n">
        <x:f>INDEX('Model Pricing'!$C$7:$C$8,MATCH(F2308,'Model Pricing'!$A$7:$A$8,0))</x:f>
        <x:v>30</x:v>
      </x:c>
      <x:c r="L2308" s="17" t="n">
        <x:f>G2308+H2308</x:f>
        <x:v>22814</x:v>
      </x:c>
      <x:c r="M2308" s="28" t="n">
        <x:f>G2308*J2308/1000000</x:f>
        <x:v>0.15066</x:v>
      </x:c>
      <x:c r="N2308" s="28" t="n">
        <x:f>H2308*K2308/1000000</x:f>
        <x:v>0.23244</x:v>
      </x:c>
      <x:c r="O2308" s="28" t="n">
        <x:f>SUM(M2308:N2308)</x:f>
        <x:v>0.3831</x:v>
      </x:c>
    </x:row>
    <x:row r="2309" ht="23" customHeight="1">
      <x:c r="A2309" s="17" t="str">
        <x:v>U02303</x:v>
      </x:c>
      <x:c r="B2309" s="18" t="n">
        <x:v>46288</x:v>
      </x:c>
      <x:c r="C2309" s="17" t="str">
        <x:v>W0178</x:v>
      </x:c>
      <x:c r="D2309" s="17" t="str">
        <x:v>C003</x:v>
      </x:c>
      <x:c r="E2309" s="17" t="str">
        <x:v>CampaignChat</x:v>
      </x:c>
      <x:c r="F2309" s="17" t="str">
        <x:v>Lite</x:v>
      </x:c>
      <x:c r="G2309" s="17" t="n">
        <x:v>16504</x:v>
      </x:c>
      <x:c r="H2309" s="17" t="n">
        <x:v>7168</x:v>
      </x:c>
      <x:c r="I2309" s="17" t="str">
        <x:v>Followup</x:v>
      </x:c>
      <x:c r="J2309" s="27" t="n">
        <x:f>INDEX('Model Pricing'!$B$7:$B$8,MATCH(F2309,'Model Pricing'!$A$7:$A$8,0))</x:f>
        <x:v>10</x:v>
      </x:c>
      <x:c r="K2309" s="27" t="n">
        <x:f>INDEX('Model Pricing'!$C$7:$C$8,MATCH(F2309,'Model Pricing'!$A$7:$A$8,0))</x:f>
        <x:v>30</x:v>
      </x:c>
      <x:c r="L2309" s="17" t="n">
        <x:f>G2309+H2309</x:f>
        <x:v>23672</x:v>
      </x:c>
      <x:c r="M2309" s="28" t="n">
        <x:f>G2309*J2309/1000000</x:f>
        <x:v>0.16504</x:v>
      </x:c>
      <x:c r="N2309" s="28" t="n">
        <x:f>H2309*K2309/1000000</x:f>
        <x:v>0.21504</x:v>
      </x:c>
      <x:c r="O2309" s="28" t="n">
        <x:f>SUM(M2309:N2309)</x:f>
        <x:v>0.38008</x:v>
      </x:c>
    </x:row>
    <x:row r="2310" ht="23" customHeight="1">
      <x:c r="A2310" s="17" t="str">
        <x:v>U02304</x:v>
      </x:c>
      <x:c r="B2310" s="18" t="n">
        <x:v>46288</x:v>
      </x:c>
      <x:c r="C2310" s="17" t="str">
        <x:v>W0178</x:v>
      </x:c>
      <x:c r="D2310" s="17" t="str">
        <x:v>C003</x:v>
      </x:c>
      <x:c r="E2310" s="17" t="str">
        <x:v>CampaignChat</x:v>
      </x:c>
      <x:c r="F2310" s="17" t="str">
        <x:v>Lite</x:v>
      </x:c>
      <x:c r="G2310" s="17" t="n">
        <x:v>17344</x:v>
      </x:c>
      <x:c r="H2310" s="17" t="n">
        <x:v>7682</x:v>
      </x:c>
      <x:c r="I2310" s="17" t="str">
        <x:v>Followup</x:v>
      </x:c>
      <x:c r="J2310" s="27" t="n">
        <x:f>INDEX('Model Pricing'!$B$7:$B$8,MATCH(F2310,'Model Pricing'!$A$7:$A$8,0))</x:f>
        <x:v>10</x:v>
      </x:c>
      <x:c r="K2310" s="27" t="n">
        <x:f>INDEX('Model Pricing'!$C$7:$C$8,MATCH(F2310,'Model Pricing'!$A$7:$A$8,0))</x:f>
        <x:v>30</x:v>
      </x:c>
      <x:c r="L2310" s="17" t="n">
        <x:f>G2310+H2310</x:f>
        <x:v>25026</x:v>
      </x:c>
      <x:c r="M2310" s="28" t="n">
        <x:f>G2310*J2310/1000000</x:f>
        <x:v>0.17344</x:v>
      </x:c>
      <x:c r="N2310" s="28" t="n">
        <x:f>H2310*K2310/1000000</x:f>
        <x:v>0.23046</x:v>
      </x:c>
      <x:c r="O2310" s="28" t="n">
        <x:f>SUM(M2310:N2310)</x:f>
        <x:v>0.40390000000000004</x:v>
      </x:c>
    </x:row>
    <x:row r="2311" ht="23" customHeight="1">
      <x:c r="A2311" s="17" t="str">
        <x:v>U02305</x:v>
      </x:c>
      <x:c r="B2311" s="18" t="n">
        <x:v>46288</x:v>
      </x:c>
      <x:c r="C2311" s="17" t="str">
        <x:v>W0178</x:v>
      </x:c>
      <x:c r="D2311" s="17" t="str">
        <x:v>C003</x:v>
      </x:c>
      <x:c r="E2311" s="17" t="str">
        <x:v>CampaignChat</x:v>
      </x:c>
      <x:c r="F2311" s="17" t="str">
        <x:v>Lite</x:v>
      </x:c>
      <x:c r="G2311" s="17" t="n">
        <x:v>35910</x:v>
      </x:c>
      <x:c r="H2311" s="17" t="n">
        <x:v>5430</x:v>
      </x:c>
      <x:c r="I2311" s="17" t="str">
        <x:v>Followup</x:v>
      </x:c>
      <x:c r="J2311" s="27" t="n">
        <x:f>INDEX('Model Pricing'!$B$7:$B$8,MATCH(F2311,'Model Pricing'!$A$7:$A$8,0))</x:f>
        <x:v>10</x:v>
      </x:c>
      <x:c r="K2311" s="27" t="n">
        <x:f>INDEX('Model Pricing'!$C$7:$C$8,MATCH(F2311,'Model Pricing'!$A$7:$A$8,0))</x:f>
        <x:v>30</x:v>
      </x:c>
      <x:c r="L2311" s="17" t="n">
        <x:f>G2311+H2311</x:f>
        <x:v>41340</x:v>
      </x:c>
      <x:c r="M2311" s="28" t="n">
        <x:f>G2311*J2311/1000000</x:f>
        <x:v>0.3591</x:v>
      </x:c>
      <x:c r="N2311" s="28" t="n">
        <x:f>H2311*K2311/1000000</x:f>
        <x:v>0.1629</x:v>
      </x:c>
      <x:c r="O2311" s="28" t="n">
        <x:f>SUM(M2311:N2311)</x:f>
        <x:v>0.522</x:v>
      </x:c>
    </x:row>
    <x:row r="2312" ht="23" customHeight="1">
      <x:c r="A2312" s="17" t="str">
        <x:v>U02306</x:v>
      </x:c>
      <x:c r="B2312" s="18" t="n">
        <x:v>46267</x:v>
      </x:c>
      <x:c r="C2312" s="17" t="str">
        <x:v>W0179</x:v>
      </x:c>
      <x:c r="D2312" s="17" t="str">
        <x:v>C003</x:v>
      </x:c>
      <x:c r="E2312" s="17" t="str">
        <x:v>DataFlow</x:v>
      </x:c>
      <x:c r="F2312" s="17" t="str">
        <x:v>Lite</x:v>
      </x:c>
      <x:c r="G2312" s="17" t="n">
        <x:v>33855</x:v>
      </x:c>
      <x:c r="H2312" s="17" t="n">
        <x:v>4010</x:v>
      </x:c>
      <x:c r="I2312" s="17" t="str">
        <x:v>First attempt</x:v>
      </x:c>
      <x:c r="J2312" s="27" t="n">
        <x:f>INDEX('Model Pricing'!$B$7:$B$8,MATCH(F2312,'Model Pricing'!$A$7:$A$8,0))</x:f>
        <x:v>10</x:v>
      </x:c>
      <x:c r="K2312" s="27" t="n">
        <x:f>INDEX('Model Pricing'!$C$7:$C$8,MATCH(F2312,'Model Pricing'!$A$7:$A$8,0))</x:f>
        <x:v>30</x:v>
      </x:c>
      <x:c r="L2312" s="17" t="n">
        <x:f>G2312+H2312</x:f>
        <x:v>37865</x:v>
      </x:c>
      <x:c r="M2312" s="28" t="n">
        <x:f>G2312*J2312/1000000</x:f>
        <x:v>0.33855</x:v>
      </x:c>
      <x:c r="N2312" s="28" t="n">
        <x:f>H2312*K2312/1000000</x:f>
        <x:v>0.1203</x:v>
      </x:c>
      <x:c r="O2312" s="28" t="n">
        <x:f>SUM(M2312:N2312)</x:f>
        <x:v>0.45885000000000004</x:v>
      </x:c>
    </x:row>
    <x:row r="2313" ht="23" customHeight="1">
      <x:c r="A2313" s="17" t="str">
        <x:v>U02307</x:v>
      </x:c>
      <x:c r="B2313" s="18" t="n">
        <x:v>46267</x:v>
      </x:c>
      <x:c r="C2313" s="17" t="str">
        <x:v>W0179</x:v>
      </x:c>
      <x:c r="D2313" s="17" t="str">
        <x:v>C003</x:v>
      </x:c>
      <x:c r="E2313" s="17" t="str">
        <x:v>DataFlow</x:v>
      </x:c>
      <x:c r="F2313" s="17" t="str">
        <x:v>Lite</x:v>
      </x:c>
      <x:c r="G2313" s="17" t="n">
        <x:v>28078</x:v>
      </x:c>
      <x:c r="H2313" s="17" t="n">
        <x:v>3757</x:v>
      </x:c>
      <x:c r="I2313" s="17" t="str">
        <x:v>Followup</x:v>
      </x:c>
      <x:c r="J2313" s="27" t="n">
        <x:f>INDEX('Model Pricing'!$B$7:$B$8,MATCH(F2313,'Model Pricing'!$A$7:$A$8,0))</x:f>
        <x:v>10</x:v>
      </x:c>
      <x:c r="K2313" s="27" t="n">
        <x:f>INDEX('Model Pricing'!$C$7:$C$8,MATCH(F2313,'Model Pricing'!$A$7:$A$8,0))</x:f>
        <x:v>30</x:v>
      </x:c>
      <x:c r="L2313" s="17" t="n">
        <x:f>G2313+H2313</x:f>
        <x:v>31835</x:v>
      </x:c>
      <x:c r="M2313" s="28" t="n">
        <x:f>G2313*J2313/1000000</x:f>
        <x:v>0.28078</x:v>
      </x:c>
      <x:c r="N2313" s="28" t="n">
        <x:f>H2313*K2313/1000000</x:f>
        <x:v>0.11271</x:v>
      </x:c>
      <x:c r="O2313" s="28" t="n">
        <x:f>SUM(M2313:N2313)</x:f>
        <x:v>0.39349</x:v>
      </x:c>
    </x:row>
    <x:row r="2314" ht="23" customHeight="1">
      <x:c r="A2314" s="17" t="str">
        <x:v>U02308</x:v>
      </x:c>
      <x:c r="B2314" s="18" t="n">
        <x:v>46267</x:v>
      </x:c>
      <x:c r="C2314" s="17" t="str">
        <x:v>W0179</x:v>
      </x:c>
      <x:c r="D2314" s="17" t="str">
        <x:v>C003</x:v>
      </x:c>
      <x:c r="E2314" s="17" t="str">
        <x:v>DataFlow</x:v>
      </x:c>
      <x:c r="F2314" s="17" t="str">
        <x:v>Lite</x:v>
      </x:c>
      <x:c r="G2314" s="17" t="n">
        <x:v>18290</x:v>
      </x:c>
      <x:c r="H2314" s="17" t="n">
        <x:v>4531</x:v>
      </x:c>
      <x:c r="I2314" s="17" t="str">
        <x:v>Followup</x:v>
      </x:c>
      <x:c r="J2314" s="27" t="n">
        <x:f>INDEX('Model Pricing'!$B$7:$B$8,MATCH(F2314,'Model Pricing'!$A$7:$A$8,0))</x:f>
        <x:v>10</x:v>
      </x:c>
      <x:c r="K2314" s="27" t="n">
        <x:f>INDEX('Model Pricing'!$C$7:$C$8,MATCH(F2314,'Model Pricing'!$A$7:$A$8,0))</x:f>
        <x:v>30</x:v>
      </x:c>
      <x:c r="L2314" s="17" t="n">
        <x:f>G2314+H2314</x:f>
        <x:v>22821</x:v>
      </x:c>
      <x:c r="M2314" s="28" t="n">
        <x:f>G2314*J2314/1000000</x:f>
        <x:v>0.1829</x:v>
      </x:c>
      <x:c r="N2314" s="28" t="n">
        <x:f>H2314*K2314/1000000</x:f>
        <x:v>0.13593</x:v>
      </x:c>
      <x:c r="O2314" s="28" t="n">
        <x:f>SUM(M2314:N2314)</x:f>
        <x:v>0.31883</x:v>
      </x:c>
    </x:row>
    <x:row r="2315" ht="23" customHeight="1">
      <x:c r="A2315" s="17" t="str">
        <x:v>U02309</x:v>
      </x:c>
      <x:c r="B2315" s="18" t="n">
        <x:v>46268</x:v>
      </x:c>
      <x:c r="C2315" s="17" t="str">
        <x:v>W0179</x:v>
      </x:c>
      <x:c r="D2315" s="17" t="str">
        <x:v>C003</x:v>
      </x:c>
      <x:c r="E2315" s="17" t="str">
        <x:v>DataFlow</x:v>
      </x:c>
      <x:c r="F2315" s="17" t="str">
        <x:v>Lite</x:v>
      </x:c>
      <x:c r="G2315" s="17" t="n">
        <x:v>32367</x:v>
      </x:c>
      <x:c r="H2315" s="17" t="n">
        <x:v>4640</x:v>
      </x:c>
      <x:c r="I2315" s="17" t="str">
        <x:v>Followup</x:v>
      </x:c>
      <x:c r="J2315" s="27" t="n">
        <x:f>INDEX('Model Pricing'!$B$7:$B$8,MATCH(F2315,'Model Pricing'!$A$7:$A$8,0))</x:f>
        <x:v>10</x:v>
      </x:c>
      <x:c r="K2315" s="27" t="n">
        <x:f>INDEX('Model Pricing'!$C$7:$C$8,MATCH(F2315,'Model Pricing'!$A$7:$A$8,0))</x:f>
        <x:v>30</x:v>
      </x:c>
      <x:c r="L2315" s="17" t="n">
        <x:f>G2315+H2315</x:f>
        <x:v>37007</x:v>
      </x:c>
      <x:c r="M2315" s="28" t="n">
        <x:f>G2315*J2315/1000000</x:f>
        <x:v>0.32367</x:v>
      </x:c>
      <x:c r="N2315" s="28" t="n">
        <x:f>H2315*K2315/1000000</x:f>
        <x:v>0.1392</x:v>
      </x:c>
      <x:c r="O2315" s="28" t="n">
        <x:f>SUM(M2315:N2315)</x:f>
        <x:v>0.46287</x:v>
      </x:c>
    </x:row>
    <x:row r="2316" ht="23" customHeight="1">
      <x:c r="A2316" s="17" t="str">
        <x:v>U02310</x:v>
      </x:c>
      <x:c r="B2316" s="18" t="n">
        <x:v>46268</x:v>
      </x:c>
      <x:c r="C2316" s="17" t="str">
        <x:v>W0179</x:v>
      </x:c>
      <x:c r="D2316" s="17" t="str">
        <x:v>C003</x:v>
      </x:c>
      <x:c r="E2316" s="17" t="str">
        <x:v>DataFlow</x:v>
      </x:c>
      <x:c r="F2316" s="17" t="str">
        <x:v>Lite</x:v>
      </x:c>
      <x:c r="G2316" s="17" t="n">
        <x:v>38389</x:v>
      </x:c>
      <x:c r="H2316" s="17" t="n">
        <x:v>2388</x:v>
      </x:c>
      <x:c r="I2316" s="17" t="str">
        <x:v>Followup</x:v>
      </x:c>
      <x:c r="J2316" s="27" t="n">
        <x:f>INDEX('Model Pricing'!$B$7:$B$8,MATCH(F2316,'Model Pricing'!$A$7:$A$8,0))</x:f>
        <x:v>10</x:v>
      </x:c>
      <x:c r="K2316" s="27" t="n">
        <x:f>INDEX('Model Pricing'!$C$7:$C$8,MATCH(F2316,'Model Pricing'!$A$7:$A$8,0))</x:f>
        <x:v>30</x:v>
      </x:c>
      <x:c r="L2316" s="17" t="n">
        <x:f>G2316+H2316</x:f>
        <x:v>40777</x:v>
      </x:c>
      <x:c r="M2316" s="28" t="n">
        <x:f>G2316*J2316/1000000</x:f>
        <x:v>0.38389</x:v>
      </x:c>
      <x:c r="N2316" s="28" t="n">
        <x:f>H2316*K2316/1000000</x:f>
        <x:v>0.07164</x:v>
      </x:c>
      <x:c r="O2316" s="28" t="n">
        <x:f>SUM(M2316:N2316)</x:f>
        <x:v>0.45553</x:v>
      </x:c>
    </x:row>
    <x:row r="2317" ht="23" customHeight="1">
      <x:c r="A2317" s="17" t="str">
        <x:v>U02311</x:v>
      </x:c>
      <x:c r="B2317" s="18" t="n">
        <x:v>46268</x:v>
      </x:c>
      <x:c r="C2317" s="17" t="str">
        <x:v>W0179</x:v>
      </x:c>
      <x:c r="D2317" s="17" t="str">
        <x:v>C003</x:v>
      </x:c>
      <x:c r="E2317" s="17" t="str">
        <x:v>DataFlow</x:v>
      </x:c>
      <x:c r="F2317" s="17" t="str">
        <x:v>Lite</x:v>
      </x:c>
      <x:c r="G2317" s="17" t="n">
        <x:v>20135</x:v>
      </x:c>
      <x:c r="H2317" s="17" t="n">
        <x:v>4787</x:v>
      </x:c>
      <x:c r="I2317" s="17" t="str">
        <x:v>Correction</x:v>
      </x:c>
      <x:c r="J2317" s="27" t="n">
        <x:f>INDEX('Model Pricing'!$B$7:$B$8,MATCH(F2317,'Model Pricing'!$A$7:$A$8,0))</x:f>
        <x:v>10</x:v>
      </x:c>
      <x:c r="K2317" s="27" t="n">
        <x:f>INDEX('Model Pricing'!$C$7:$C$8,MATCH(F2317,'Model Pricing'!$A$7:$A$8,0))</x:f>
        <x:v>30</x:v>
      </x:c>
      <x:c r="L2317" s="17" t="n">
        <x:f>G2317+H2317</x:f>
        <x:v>24922</x:v>
      </x:c>
      <x:c r="M2317" s="28" t="n">
        <x:f>G2317*J2317/1000000</x:f>
        <x:v>0.20135</x:v>
      </x:c>
      <x:c r="N2317" s="28" t="n">
        <x:f>H2317*K2317/1000000</x:f>
        <x:v>0.14361</x:v>
      </x:c>
      <x:c r="O2317" s="28" t="n">
        <x:f>SUM(M2317:N2317)</x:f>
        <x:v>0.34496</x:v>
      </x:c>
    </x:row>
    <x:row r="2318" ht="23" customHeight="1">
      <x:c r="A2318" s="17" t="str">
        <x:v>U02312</x:v>
      </x:c>
      <x:c r="B2318" s="18" t="n">
        <x:v>46269</x:v>
      </x:c>
      <x:c r="C2318" s="17" t="str">
        <x:v>W0179</x:v>
      </x:c>
      <x:c r="D2318" s="17" t="str">
        <x:v>C003</x:v>
      </x:c>
      <x:c r="E2318" s="17" t="str">
        <x:v>DataFlow</x:v>
      </x:c>
      <x:c r="F2318" s="17" t="str">
        <x:v>Lite</x:v>
      </x:c>
      <x:c r="G2318" s="17" t="n">
        <x:v>15093</x:v>
      </x:c>
      <x:c r="H2318" s="17" t="n">
        <x:v>2037</x:v>
      </x:c>
      <x:c r="I2318" s="17" t="str">
        <x:v>Followup</x:v>
      </x:c>
      <x:c r="J2318" s="27" t="n">
        <x:f>INDEX('Model Pricing'!$B$7:$B$8,MATCH(F2318,'Model Pricing'!$A$7:$A$8,0))</x:f>
        <x:v>10</x:v>
      </x:c>
      <x:c r="K2318" s="27" t="n">
        <x:f>INDEX('Model Pricing'!$C$7:$C$8,MATCH(F2318,'Model Pricing'!$A$7:$A$8,0))</x:f>
        <x:v>30</x:v>
      </x:c>
      <x:c r="L2318" s="17" t="n">
        <x:f>G2318+H2318</x:f>
        <x:v>17130</x:v>
      </x:c>
      <x:c r="M2318" s="28" t="n">
        <x:f>G2318*J2318/1000000</x:f>
        <x:v>0.15093</x:v>
      </x:c>
      <x:c r="N2318" s="28" t="n">
        <x:f>H2318*K2318/1000000</x:f>
        <x:v>0.06111</x:v>
      </x:c>
      <x:c r="O2318" s="28" t="n">
        <x:f>SUM(M2318:N2318)</x:f>
        <x:v>0.21204</x:v>
      </x:c>
    </x:row>
    <x:row r="2319" ht="23" customHeight="1">
      <x:c r="A2319" s="17" t="str">
        <x:v>U02313</x:v>
      </x:c>
      <x:c r="B2319" s="18" t="n">
        <x:v>46269</x:v>
      </x:c>
      <x:c r="C2319" s="17" t="str">
        <x:v>W0179</x:v>
      </x:c>
      <x:c r="D2319" s="17" t="str">
        <x:v>C003</x:v>
      </x:c>
      <x:c r="E2319" s="17" t="str">
        <x:v>DataFlow</x:v>
      </x:c>
      <x:c r="F2319" s="17" t="str">
        <x:v>Lite</x:v>
      </x:c>
      <x:c r="G2319" s="17" t="n">
        <x:v>30880</x:v>
      </x:c>
      <x:c r="H2319" s="17" t="n">
        <x:v>4835</x:v>
      </x:c>
      <x:c r="I2319" s="17" t="str">
        <x:v>Followup</x:v>
      </x:c>
      <x:c r="J2319" s="27" t="n">
        <x:f>INDEX('Model Pricing'!$B$7:$B$8,MATCH(F2319,'Model Pricing'!$A$7:$A$8,0))</x:f>
        <x:v>10</x:v>
      </x:c>
      <x:c r="K2319" s="27" t="n">
        <x:f>INDEX('Model Pricing'!$C$7:$C$8,MATCH(F2319,'Model Pricing'!$A$7:$A$8,0))</x:f>
        <x:v>30</x:v>
      </x:c>
      <x:c r="L2319" s="17" t="n">
        <x:f>G2319+H2319</x:f>
        <x:v>35715</x:v>
      </x:c>
      <x:c r="M2319" s="28" t="n">
        <x:f>G2319*J2319/1000000</x:f>
        <x:v>0.3088</x:v>
      </x:c>
      <x:c r="N2319" s="28" t="n">
        <x:f>H2319*K2319/1000000</x:f>
        <x:v>0.14505</x:v>
      </x:c>
      <x:c r="O2319" s="28" t="n">
        <x:f>SUM(M2319:N2319)</x:f>
        <x:v>0.45385000000000003</x:v>
      </x:c>
    </x:row>
    <x:row r="2320" ht="23" customHeight="1">
      <x:c r="A2320" s="17" t="str">
        <x:v>U02314</x:v>
      </x:c>
      <x:c r="B2320" s="18" t="n">
        <x:v>46269</x:v>
      </x:c>
      <x:c r="C2320" s="17" t="str">
        <x:v>W0179</x:v>
      </x:c>
      <x:c r="D2320" s="17" t="str">
        <x:v>C003</x:v>
      </x:c>
      <x:c r="E2320" s="17" t="str">
        <x:v>DataFlow</x:v>
      </x:c>
      <x:c r="F2320" s="17" t="str">
        <x:v>Lite</x:v>
      </x:c>
      <x:c r="G2320" s="17" t="n">
        <x:v>16564</x:v>
      </x:c>
      <x:c r="H2320" s="17" t="n">
        <x:v>3883</x:v>
      </x:c>
      <x:c r="I2320" s="17" t="str">
        <x:v>Followup</x:v>
      </x:c>
      <x:c r="J2320" s="27" t="n">
        <x:f>INDEX('Model Pricing'!$B$7:$B$8,MATCH(F2320,'Model Pricing'!$A$7:$A$8,0))</x:f>
        <x:v>10</x:v>
      </x:c>
      <x:c r="K2320" s="27" t="n">
        <x:f>INDEX('Model Pricing'!$C$7:$C$8,MATCH(F2320,'Model Pricing'!$A$7:$A$8,0))</x:f>
        <x:v>30</x:v>
      </x:c>
      <x:c r="L2320" s="17" t="n">
        <x:f>G2320+H2320</x:f>
        <x:v>20447</x:v>
      </x:c>
      <x:c r="M2320" s="28" t="n">
        <x:f>G2320*J2320/1000000</x:f>
        <x:v>0.16564</x:v>
      </x:c>
      <x:c r="N2320" s="28" t="n">
        <x:f>H2320*K2320/1000000</x:f>
        <x:v>0.11649</x:v>
      </x:c>
      <x:c r="O2320" s="28" t="n">
        <x:f>SUM(M2320:N2320)</x:f>
        <x:v>0.28213</x:v>
      </x:c>
    </x:row>
    <x:row r="2321" ht="23" customHeight="1">
      <x:c r="A2321" s="17" t="str">
        <x:v>U02315</x:v>
      </x:c>
      <x:c r="B2321" s="18" t="n">
        <x:v>46273</x:v>
      </x:c>
      <x:c r="C2321" s="17" t="str">
        <x:v>W0179</x:v>
      </x:c>
      <x:c r="D2321" s="17" t="str">
        <x:v>C003</x:v>
      </x:c>
      <x:c r="E2321" s="17" t="str">
        <x:v>DataFlow</x:v>
      </x:c>
      <x:c r="F2321" s="17" t="str">
        <x:v>Lite</x:v>
      </x:c>
      <x:c r="G2321" s="17" t="n">
        <x:v>22109</x:v>
      </x:c>
      <x:c r="H2321" s="17" t="n">
        <x:v>5357</x:v>
      </x:c>
      <x:c r="I2321" s="17" t="str">
        <x:v>Followup</x:v>
      </x:c>
      <x:c r="J2321" s="27" t="n">
        <x:f>INDEX('Model Pricing'!$B$7:$B$8,MATCH(F2321,'Model Pricing'!$A$7:$A$8,0))</x:f>
        <x:v>10</x:v>
      </x:c>
      <x:c r="K2321" s="27" t="n">
        <x:f>INDEX('Model Pricing'!$C$7:$C$8,MATCH(F2321,'Model Pricing'!$A$7:$A$8,0))</x:f>
        <x:v>30</x:v>
      </x:c>
      <x:c r="L2321" s="17" t="n">
        <x:f>G2321+H2321</x:f>
        <x:v>27466</x:v>
      </x:c>
      <x:c r="M2321" s="28" t="n">
        <x:f>G2321*J2321/1000000</x:f>
        <x:v>0.22109</x:v>
      </x:c>
      <x:c r="N2321" s="28" t="n">
        <x:f>H2321*K2321/1000000</x:f>
        <x:v>0.16071</x:v>
      </x:c>
      <x:c r="O2321" s="28" t="n">
        <x:f>SUM(M2321:N2321)</x:f>
        <x:v>0.38180000000000003</x:v>
      </x:c>
    </x:row>
    <x:row r="2322" ht="23" customHeight="1">
      <x:c r="A2322" s="17" t="str">
        <x:v>U02316</x:v>
      </x:c>
      <x:c r="B2322" s="18" t="n">
        <x:v>46273</x:v>
      </x:c>
      <x:c r="C2322" s="17" t="str">
        <x:v>W0179</x:v>
      </x:c>
      <x:c r="D2322" s="17" t="str">
        <x:v>C003</x:v>
      </x:c>
      <x:c r="E2322" s="17" t="str">
        <x:v>DataFlow</x:v>
      </x:c>
      <x:c r="F2322" s="17" t="str">
        <x:v>Lite</x:v>
      </x:c>
      <x:c r="G2322" s="17" t="n">
        <x:v>33713</x:v>
      </x:c>
      <x:c r="H2322" s="17" t="n">
        <x:v>3785</x:v>
      </x:c>
      <x:c r="I2322" s="17" t="str">
        <x:v>Correction</x:v>
      </x:c>
      <x:c r="J2322" s="27" t="n">
        <x:f>INDEX('Model Pricing'!$B$7:$B$8,MATCH(F2322,'Model Pricing'!$A$7:$A$8,0))</x:f>
        <x:v>10</x:v>
      </x:c>
      <x:c r="K2322" s="27" t="n">
        <x:f>INDEX('Model Pricing'!$C$7:$C$8,MATCH(F2322,'Model Pricing'!$A$7:$A$8,0))</x:f>
        <x:v>30</x:v>
      </x:c>
      <x:c r="L2322" s="17" t="n">
        <x:f>G2322+H2322</x:f>
        <x:v>37498</x:v>
      </x:c>
      <x:c r="M2322" s="28" t="n">
        <x:f>G2322*J2322/1000000</x:f>
        <x:v>0.33713</x:v>
      </x:c>
      <x:c r="N2322" s="28" t="n">
        <x:f>H2322*K2322/1000000</x:f>
        <x:v>0.11355</x:v>
      </x:c>
      <x:c r="O2322" s="28" t="n">
        <x:f>SUM(M2322:N2322)</x:f>
        <x:v>0.45067999999999997</x:v>
      </x:c>
    </x:row>
    <x:row r="2323" ht="23" customHeight="1">
      <x:c r="A2323" s="17" t="str">
        <x:v>U02317</x:v>
      </x:c>
      <x:c r="B2323" s="18" t="n">
        <x:v>46273</x:v>
      </x:c>
      <x:c r="C2323" s="17" t="str">
        <x:v>W0179</x:v>
      </x:c>
      <x:c r="D2323" s="17" t="str">
        <x:v>C003</x:v>
      </x:c>
      <x:c r="E2323" s="17" t="str">
        <x:v>DataFlow</x:v>
      </x:c>
      <x:c r="F2323" s="17" t="str">
        <x:v>Lite</x:v>
      </x:c>
      <x:c r="G2323" s="17" t="n">
        <x:v>29958</x:v>
      </x:c>
      <x:c r="H2323" s="17" t="n">
        <x:v>4317</x:v>
      </x:c>
      <x:c r="I2323" s="17" t="str">
        <x:v>Followup</x:v>
      </x:c>
      <x:c r="J2323" s="27" t="n">
        <x:f>INDEX('Model Pricing'!$B$7:$B$8,MATCH(F2323,'Model Pricing'!$A$7:$A$8,0))</x:f>
        <x:v>10</x:v>
      </x:c>
      <x:c r="K2323" s="27" t="n">
        <x:f>INDEX('Model Pricing'!$C$7:$C$8,MATCH(F2323,'Model Pricing'!$A$7:$A$8,0))</x:f>
        <x:v>30</x:v>
      </x:c>
      <x:c r="L2323" s="17" t="n">
        <x:f>G2323+H2323</x:f>
        <x:v>34275</x:v>
      </x:c>
      <x:c r="M2323" s="28" t="n">
        <x:f>G2323*J2323/1000000</x:f>
        <x:v>0.29958</x:v>
      </x:c>
      <x:c r="N2323" s="28" t="n">
        <x:f>H2323*K2323/1000000</x:f>
        <x:v>0.12951</x:v>
      </x:c>
      <x:c r="O2323" s="28" t="n">
        <x:f>SUM(M2323:N2323)</x:f>
        <x:v>0.42908999999999997</x:v>
      </x:c>
    </x:row>
    <x:row r="2324" ht="23" customHeight="1">
      <x:c r="A2324" s="17" t="str">
        <x:v>U02318</x:v>
      </x:c>
      <x:c r="B2324" s="18" t="n">
        <x:v>46279</x:v>
      </x:c>
      <x:c r="C2324" s="17" t="str">
        <x:v>W0180</x:v>
      </x:c>
      <x:c r="D2324" s="17" t="str">
        <x:v>C003</x:v>
      </x:c>
      <x:c r="E2324" s="17" t="str">
        <x:v>InsightDesk</x:v>
      </x:c>
      <x:c r="F2324" s="17" t="str">
        <x:v>Lite</x:v>
      </x:c>
      <x:c r="G2324" s="17" t="n">
        <x:v>44700</x:v>
      </x:c>
      <x:c r="H2324" s="17" t="n">
        <x:v>7879</x:v>
      </x:c>
      <x:c r="I2324" s="17" t="str">
        <x:v>First attempt</x:v>
      </x:c>
      <x:c r="J2324" s="27" t="n">
        <x:f>INDEX('Model Pricing'!$B$7:$B$8,MATCH(F2324,'Model Pricing'!$A$7:$A$8,0))</x:f>
        <x:v>10</x:v>
      </x:c>
      <x:c r="K2324" s="27" t="n">
        <x:f>INDEX('Model Pricing'!$C$7:$C$8,MATCH(F2324,'Model Pricing'!$A$7:$A$8,0))</x:f>
        <x:v>30</x:v>
      </x:c>
      <x:c r="L2324" s="17" t="n">
        <x:f>G2324+H2324</x:f>
        <x:v>52579</x:v>
      </x:c>
      <x:c r="M2324" s="28" t="n">
        <x:f>G2324*J2324/1000000</x:f>
        <x:v>0.447</x:v>
      </x:c>
      <x:c r="N2324" s="28" t="n">
        <x:f>H2324*K2324/1000000</x:f>
        <x:v>0.23637</x:v>
      </x:c>
      <x:c r="O2324" s="28" t="n">
        <x:f>SUM(M2324:N2324)</x:f>
        <x:v>0.68337</x:v>
      </x:c>
    </x:row>
    <x:row r="2325" ht="23" customHeight="1">
      <x:c r="A2325" s="17" t="str">
        <x:v>U02319</x:v>
      </x:c>
      <x:c r="B2325" s="18" t="n">
        <x:v>46279</x:v>
      </x:c>
      <x:c r="C2325" s="17" t="str">
        <x:v>W0180</x:v>
      </x:c>
      <x:c r="D2325" s="17" t="str">
        <x:v>C003</x:v>
      </x:c>
      <x:c r="E2325" s="17" t="str">
        <x:v>InsightDesk</x:v>
      </x:c>
      <x:c r="F2325" s="17" t="str">
        <x:v>Lite</x:v>
      </x:c>
      <x:c r="G2325" s="17" t="n">
        <x:v>26656</x:v>
      </x:c>
      <x:c r="H2325" s="17" t="n">
        <x:v>8533</x:v>
      </x:c>
      <x:c r="I2325" s="17" t="str">
        <x:v>Followup</x:v>
      </x:c>
      <x:c r="J2325" s="27" t="n">
        <x:f>INDEX('Model Pricing'!$B$7:$B$8,MATCH(F2325,'Model Pricing'!$A$7:$A$8,0))</x:f>
        <x:v>10</x:v>
      </x:c>
      <x:c r="K2325" s="27" t="n">
        <x:f>INDEX('Model Pricing'!$C$7:$C$8,MATCH(F2325,'Model Pricing'!$A$7:$A$8,0))</x:f>
        <x:v>30</x:v>
      </x:c>
      <x:c r="L2325" s="17" t="n">
        <x:f>G2325+H2325</x:f>
        <x:v>35189</x:v>
      </x:c>
      <x:c r="M2325" s="28" t="n">
        <x:f>G2325*J2325/1000000</x:f>
        <x:v>0.26656</x:v>
      </x:c>
      <x:c r="N2325" s="28" t="n">
        <x:f>H2325*K2325/1000000</x:f>
        <x:v>0.25599</x:v>
      </x:c>
      <x:c r="O2325" s="28" t="n">
        <x:f>SUM(M2325:N2325)</x:f>
        <x:v>0.5225500000000001</x:v>
      </x:c>
    </x:row>
    <x:row r="2326" ht="23" customHeight="1">
      <x:c r="A2326" s="17" t="str">
        <x:v>U02320</x:v>
      </x:c>
      <x:c r="B2326" s="18" t="n">
        <x:v>46279</x:v>
      </x:c>
      <x:c r="C2326" s="17" t="str">
        <x:v>W0180</x:v>
      </x:c>
      <x:c r="D2326" s="17" t="str">
        <x:v>C003</x:v>
      </x:c>
      <x:c r="E2326" s="17" t="str">
        <x:v>InsightDesk</x:v>
      </x:c>
      <x:c r="F2326" s="17" t="str">
        <x:v>Lite</x:v>
      </x:c>
      <x:c r="G2326" s="17" t="n">
        <x:v>23527</x:v>
      </x:c>
      <x:c r="H2326" s="17" t="n">
        <x:v>7662</x:v>
      </x:c>
      <x:c r="I2326" s="17" t="str">
        <x:v>Correction</x:v>
      </x:c>
      <x:c r="J2326" s="27" t="n">
        <x:f>INDEX('Model Pricing'!$B$7:$B$8,MATCH(F2326,'Model Pricing'!$A$7:$A$8,0))</x:f>
        <x:v>10</x:v>
      </x:c>
      <x:c r="K2326" s="27" t="n">
        <x:f>INDEX('Model Pricing'!$C$7:$C$8,MATCH(F2326,'Model Pricing'!$A$7:$A$8,0))</x:f>
        <x:v>30</x:v>
      </x:c>
      <x:c r="L2326" s="17" t="n">
        <x:f>G2326+H2326</x:f>
        <x:v>31189</x:v>
      </x:c>
      <x:c r="M2326" s="28" t="n">
        <x:f>G2326*J2326/1000000</x:f>
        <x:v>0.23527</x:v>
      </x:c>
      <x:c r="N2326" s="28" t="n">
        <x:f>H2326*K2326/1000000</x:f>
        <x:v>0.22986</x:v>
      </x:c>
      <x:c r="O2326" s="28" t="n">
        <x:f>SUM(M2326:N2326)</x:f>
        <x:v>0.46513000000000004</x:v>
      </x:c>
    </x:row>
    <x:row r="2327" ht="23" customHeight="1">
      <x:c r="A2327" s="17" t="str">
        <x:v>U02321</x:v>
      </x:c>
      <x:c r="B2327" s="18" t="n">
        <x:v>46279</x:v>
      </x:c>
      <x:c r="C2327" s="17" t="str">
        <x:v>W0180</x:v>
      </x:c>
      <x:c r="D2327" s="17" t="str">
        <x:v>C003</x:v>
      </x:c>
      <x:c r="E2327" s="17" t="str">
        <x:v>InsightDesk</x:v>
      </x:c>
      <x:c r="F2327" s="17" t="str">
        <x:v>Lite</x:v>
      </x:c>
      <x:c r="G2327" s="17" t="n">
        <x:v>39830</x:v>
      </x:c>
      <x:c r="H2327" s="17" t="n">
        <x:v>3854</x:v>
      </x:c>
      <x:c r="I2327" s="17" t="str">
        <x:v>Correction</x:v>
      </x:c>
      <x:c r="J2327" s="27" t="n">
        <x:f>INDEX('Model Pricing'!$B$7:$B$8,MATCH(F2327,'Model Pricing'!$A$7:$A$8,0))</x:f>
        <x:v>10</x:v>
      </x:c>
      <x:c r="K2327" s="27" t="n">
        <x:f>INDEX('Model Pricing'!$C$7:$C$8,MATCH(F2327,'Model Pricing'!$A$7:$A$8,0))</x:f>
        <x:v>30</x:v>
      </x:c>
      <x:c r="L2327" s="17" t="n">
        <x:f>G2327+H2327</x:f>
        <x:v>43684</x:v>
      </x:c>
      <x:c r="M2327" s="28" t="n">
        <x:f>G2327*J2327/1000000</x:f>
        <x:v>0.3983</x:v>
      </x:c>
      <x:c r="N2327" s="28" t="n">
        <x:f>H2327*K2327/1000000</x:f>
        <x:v>0.11562</x:v>
      </x:c>
      <x:c r="O2327" s="28" t="n">
        <x:f>SUM(M2327:N2327)</x:f>
        <x:v>0.5139199999999999</x:v>
      </x:c>
    </x:row>
    <x:row r="2328" ht="23" customHeight="1">
      <x:c r="A2328" s="17" t="str">
        <x:v>U02322</x:v>
      </x:c>
      <x:c r="B2328" s="18" t="n">
        <x:v>46280</x:v>
      </x:c>
      <x:c r="C2328" s="17" t="str">
        <x:v>W0180</x:v>
      </x:c>
      <x:c r="D2328" s="17" t="str">
        <x:v>C003</x:v>
      </x:c>
      <x:c r="E2328" s="17" t="str">
        <x:v>InsightDesk</x:v>
      </x:c>
      <x:c r="F2328" s="17" t="str">
        <x:v>Lite</x:v>
      </x:c>
      <x:c r="G2328" s="17" t="n">
        <x:v>29238</x:v>
      </x:c>
      <x:c r="H2328" s="17" t="n">
        <x:v>9067</x:v>
      </x:c>
      <x:c r="I2328" s="17" t="str">
        <x:v>Followup</x:v>
      </x:c>
      <x:c r="J2328" s="27" t="n">
        <x:f>INDEX('Model Pricing'!$B$7:$B$8,MATCH(F2328,'Model Pricing'!$A$7:$A$8,0))</x:f>
        <x:v>10</x:v>
      </x:c>
      <x:c r="K2328" s="27" t="n">
        <x:f>INDEX('Model Pricing'!$C$7:$C$8,MATCH(F2328,'Model Pricing'!$A$7:$A$8,0))</x:f>
        <x:v>30</x:v>
      </x:c>
      <x:c r="L2328" s="17" t="n">
        <x:f>G2328+H2328</x:f>
        <x:v>38305</x:v>
      </x:c>
      <x:c r="M2328" s="28" t="n">
        <x:f>G2328*J2328/1000000</x:f>
        <x:v>0.29238</x:v>
      </x:c>
      <x:c r="N2328" s="28" t="n">
        <x:f>H2328*K2328/1000000</x:f>
        <x:v>0.27201</x:v>
      </x:c>
      <x:c r="O2328" s="28" t="n">
        <x:f>SUM(M2328:N2328)</x:f>
        <x:v>0.56439</x:v>
      </x:c>
    </x:row>
    <x:row r="2329" ht="23" customHeight="1">
      <x:c r="A2329" s="17" t="str">
        <x:v>U02323</x:v>
      </x:c>
      <x:c r="B2329" s="18" t="n">
        <x:v>46280</x:v>
      </x:c>
      <x:c r="C2329" s="17" t="str">
        <x:v>W0180</x:v>
      </x:c>
      <x:c r="D2329" s="17" t="str">
        <x:v>C003</x:v>
      </x:c>
      <x:c r="E2329" s="17" t="str">
        <x:v>InsightDesk</x:v>
      </x:c>
      <x:c r="F2329" s="17" t="str">
        <x:v>Lite</x:v>
      </x:c>
      <x:c r="G2329" s="17" t="n">
        <x:v>42723</x:v>
      </x:c>
      <x:c r="H2329" s="17" t="n">
        <x:v>8954</x:v>
      </x:c>
      <x:c r="I2329" s="17" t="str">
        <x:v>Followup</x:v>
      </x:c>
      <x:c r="J2329" s="27" t="n">
        <x:f>INDEX('Model Pricing'!$B$7:$B$8,MATCH(F2329,'Model Pricing'!$A$7:$A$8,0))</x:f>
        <x:v>10</x:v>
      </x:c>
      <x:c r="K2329" s="27" t="n">
        <x:f>INDEX('Model Pricing'!$C$7:$C$8,MATCH(F2329,'Model Pricing'!$A$7:$A$8,0))</x:f>
        <x:v>30</x:v>
      </x:c>
      <x:c r="L2329" s="17" t="n">
        <x:f>G2329+H2329</x:f>
        <x:v>51677</x:v>
      </x:c>
      <x:c r="M2329" s="28" t="n">
        <x:f>G2329*J2329/1000000</x:f>
        <x:v>0.42723</x:v>
      </x:c>
      <x:c r="N2329" s="28" t="n">
        <x:f>H2329*K2329/1000000</x:f>
        <x:v>0.26862</x:v>
      </x:c>
      <x:c r="O2329" s="28" t="n">
        <x:f>SUM(M2329:N2329)</x:f>
        <x:v>0.6958500000000001</x:v>
      </x:c>
    </x:row>
    <x:row r="2330" ht="23" customHeight="1">
      <x:c r="A2330" s="17" t="str">
        <x:v>U02324</x:v>
      </x:c>
      <x:c r="B2330" s="18" t="n">
        <x:v>46280</x:v>
      </x:c>
      <x:c r="C2330" s="17" t="str">
        <x:v>W0180</x:v>
      </x:c>
      <x:c r="D2330" s="17" t="str">
        <x:v>C003</x:v>
      </x:c>
      <x:c r="E2330" s="17" t="str">
        <x:v>InsightDesk</x:v>
      </x:c>
      <x:c r="F2330" s="17" t="str">
        <x:v>Lite</x:v>
      </x:c>
      <x:c r="G2330" s="17" t="n">
        <x:v>35233</x:v>
      </x:c>
      <x:c r="H2330" s="17" t="n">
        <x:v>8810</x:v>
      </x:c>
      <x:c r="I2330" s="17" t="str">
        <x:v>Followup</x:v>
      </x:c>
      <x:c r="J2330" s="27" t="n">
        <x:f>INDEX('Model Pricing'!$B$7:$B$8,MATCH(F2330,'Model Pricing'!$A$7:$A$8,0))</x:f>
        <x:v>10</x:v>
      </x:c>
      <x:c r="K2330" s="27" t="n">
        <x:f>INDEX('Model Pricing'!$C$7:$C$8,MATCH(F2330,'Model Pricing'!$A$7:$A$8,0))</x:f>
        <x:v>30</x:v>
      </x:c>
      <x:c r="L2330" s="17" t="n">
        <x:f>G2330+H2330</x:f>
        <x:v>44043</x:v>
      </x:c>
      <x:c r="M2330" s="28" t="n">
        <x:f>G2330*J2330/1000000</x:f>
        <x:v>0.35233</x:v>
      </x:c>
      <x:c r="N2330" s="28" t="n">
        <x:f>H2330*K2330/1000000</x:f>
        <x:v>0.2643</x:v>
      </x:c>
      <x:c r="O2330" s="28" t="n">
        <x:f>SUM(M2330:N2330)</x:f>
        <x:v>0.61663</x:v>
      </x:c>
    </x:row>
    <x:row r="2331" ht="23" customHeight="1">
      <x:c r="A2331" s="17" t="str">
        <x:v>U02325</x:v>
      </x:c>
      <x:c r="B2331" s="18" t="n">
        <x:v>46281</x:v>
      </x:c>
      <x:c r="C2331" s="17" t="str">
        <x:v>W0180</x:v>
      </x:c>
      <x:c r="D2331" s="17" t="str">
        <x:v>C003</x:v>
      </x:c>
      <x:c r="E2331" s="17" t="str">
        <x:v>InsightDesk</x:v>
      </x:c>
      <x:c r="F2331" s="17" t="str">
        <x:v>Lite</x:v>
      </x:c>
      <x:c r="G2331" s="17" t="n">
        <x:v>35227</x:v>
      </x:c>
      <x:c r="H2331" s="17" t="n">
        <x:v>6556</x:v>
      </x:c>
      <x:c r="I2331" s="17" t="str">
        <x:v>Followup</x:v>
      </x:c>
      <x:c r="J2331" s="27" t="n">
        <x:f>INDEX('Model Pricing'!$B$7:$B$8,MATCH(F2331,'Model Pricing'!$A$7:$A$8,0))</x:f>
        <x:v>10</x:v>
      </x:c>
      <x:c r="K2331" s="27" t="n">
        <x:f>INDEX('Model Pricing'!$C$7:$C$8,MATCH(F2331,'Model Pricing'!$A$7:$A$8,0))</x:f>
        <x:v>30</x:v>
      </x:c>
      <x:c r="L2331" s="17" t="n">
        <x:f>G2331+H2331</x:f>
        <x:v>41783</x:v>
      </x:c>
      <x:c r="M2331" s="28" t="n">
        <x:f>G2331*J2331/1000000</x:f>
        <x:v>0.35227</x:v>
      </x:c>
      <x:c r="N2331" s="28" t="n">
        <x:f>H2331*K2331/1000000</x:f>
        <x:v>0.19668</x:v>
      </x:c>
      <x:c r="O2331" s="28" t="n">
        <x:f>SUM(M2331:N2331)</x:f>
        <x:v>0.54895</x:v>
      </x:c>
    </x:row>
    <x:row r="2332" ht="23" customHeight="1">
      <x:c r="A2332" s="17" t="str">
        <x:v>U02326</x:v>
      </x:c>
      <x:c r="B2332" s="18" t="n">
        <x:v>46281</x:v>
      </x:c>
      <x:c r="C2332" s="17" t="str">
        <x:v>W0180</x:v>
      </x:c>
      <x:c r="D2332" s="17" t="str">
        <x:v>C003</x:v>
      </x:c>
      <x:c r="E2332" s="17" t="str">
        <x:v>InsightDesk</x:v>
      </x:c>
      <x:c r="F2332" s="17" t="str">
        <x:v>Lite</x:v>
      </x:c>
      <x:c r="G2332" s="17" t="n">
        <x:v>28195</x:v>
      </x:c>
      <x:c r="H2332" s="17" t="n">
        <x:v>3626</x:v>
      </x:c>
      <x:c r="I2332" s="17" t="str">
        <x:v>Followup</x:v>
      </x:c>
      <x:c r="J2332" s="27" t="n">
        <x:f>INDEX('Model Pricing'!$B$7:$B$8,MATCH(F2332,'Model Pricing'!$A$7:$A$8,0))</x:f>
        <x:v>10</x:v>
      </x:c>
      <x:c r="K2332" s="27" t="n">
        <x:f>INDEX('Model Pricing'!$C$7:$C$8,MATCH(F2332,'Model Pricing'!$A$7:$A$8,0))</x:f>
        <x:v>30</x:v>
      </x:c>
      <x:c r="L2332" s="17" t="n">
        <x:f>G2332+H2332</x:f>
        <x:v>31821</x:v>
      </x:c>
      <x:c r="M2332" s="28" t="n">
        <x:f>G2332*J2332/1000000</x:f>
        <x:v>0.28195</x:v>
      </x:c>
      <x:c r="N2332" s="28" t="n">
        <x:f>H2332*K2332/1000000</x:f>
        <x:v>0.10878</x:v>
      </x:c>
      <x:c r="O2332" s="28" t="n">
        <x:f>SUM(M2332:N2332)</x:f>
        <x:v>0.39072999999999997</x:v>
      </x:c>
    </x:row>
    <x:row r="2333" ht="23" customHeight="1">
      <x:c r="A2333" s="17" t="str">
        <x:v>U02327</x:v>
      </x:c>
      <x:c r="B2333" s="18" t="n">
        <x:v>46281</x:v>
      </x:c>
      <x:c r="C2333" s="17" t="str">
        <x:v>W0180</x:v>
      </x:c>
      <x:c r="D2333" s="17" t="str">
        <x:v>C003</x:v>
      </x:c>
      <x:c r="E2333" s="17" t="str">
        <x:v>InsightDesk</x:v>
      </x:c>
      <x:c r="F2333" s="17" t="str">
        <x:v>Lite</x:v>
      </x:c>
      <x:c r="G2333" s="17" t="n">
        <x:v>32767</x:v>
      </x:c>
      <x:c r="H2333" s="17" t="n">
        <x:v>10489</x:v>
      </x:c>
      <x:c r="I2333" s="17" t="str">
        <x:v>Followup</x:v>
      </x:c>
      <x:c r="J2333" s="27" t="n">
        <x:f>INDEX('Model Pricing'!$B$7:$B$8,MATCH(F2333,'Model Pricing'!$A$7:$A$8,0))</x:f>
        <x:v>10</x:v>
      </x:c>
      <x:c r="K2333" s="27" t="n">
        <x:f>INDEX('Model Pricing'!$C$7:$C$8,MATCH(F2333,'Model Pricing'!$A$7:$A$8,0))</x:f>
        <x:v>30</x:v>
      </x:c>
      <x:c r="L2333" s="17" t="n">
        <x:f>G2333+H2333</x:f>
        <x:v>43256</x:v>
      </x:c>
      <x:c r="M2333" s="28" t="n">
        <x:f>G2333*J2333/1000000</x:f>
        <x:v>0.32767</x:v>
      </x:c>
      <x:c r="N2333" s="28" t="n">
        <x:f>H2333*K2333/1000000</x:f>
        <x:v>0.31467</x:v>
      </x:c>
      <x:c r="O2333" s="28" t="n">
        <x:f>SUM(M2333:N2333)</x:f>
        <x:v>0.64234</x:v>
      </x:c>
    </x:row>
    <x:row r="2334" ht="23" customHeight="1">
      <x:c r="A2334" s="17" t="str">
        <x:v>U02328</x:v>
      </x:c>
      <x:c r="B2334" s="18" t="n">
        <x:v>46281</x:v>
      </x:c>
      <x:c r="C2334" s="17" t="str">
        <x:v>W0180</x:v>
      </x:c>
      <x:c r="D2334" s="17" t="str">
        <x:v>C003</x:v>
      </x:c>
      <x:c r="E2334" s="17" t="str">
        <x:v>InsightDesk</x:v>
      </x:c>
      <x:c r="F2334" s="17" t="str">
        <x:v>Lite</x:v>
      </x:c>
      <x:c r="G2334" s="17" t="n">
        <x:v>32740</x:v>
      </x:c>
      <x:c r="H2334" s="17" t="n">
        <x:v>9619</x:v>
      </x:c>
      <x:c r="I2334" s="17" t="str">
        <x:v>Followup</x:v>
      </x:c>
      <x:c r="J2334" s="27" t="n">
        <x:f>INDEX('Model Pricing'!$B$7:$B$8,MATCH(F2334,'Model Pricing'!$A$7:$A$8,0))</x:f>
        <x:v>10</x:v>
      </x:c>
      <x:c r="K2334" s="27" t="n">
        <x:f>INDEX('Model Pricing'!$C$7:$C$8,MATCH(F2334,'Model Pricing'!$A$7:$A$8,0))</x:f>
        <x:v>30</x:v>
      </x:c>
      <x:c r="L2334" s="17" t="n">
        <x:f>G2334+H2334</x:f>
        <x:v>42359</x:v>
      </x:c>
      <x:c r="M2334" s="28" t="n">
        <x:f>G2334*J2334/1000000</x:f>
        <x:v>0.3274</x:v>
      </x:c>
      <x:c r="N2334" s="28" t="n">
        <x:f>H2334*K2334/1000000</x:f>
        <x:v>0.28857</x:v>
      </x:c>
      <x:c r="O2334" s="28" t="n">
        <x:f>SUM(M2334:N2334)</x:f>
        <x:v>0.61597</x:v>
      </x:c>
    </x:row>
    <x:row r="2335" ht="23" customHeight="1">
      <x:c r="A2335" s="17" t="str">
        <x:v>U02329</x:v>
      </x:c>
      <x:c r="B2335" s="18" t="n">
        <x:v>46282</x:v>
      </x:c>
      <x:c r="C2335" s="17" t="str">
        <x:v>W0180</x:v>
      </x:c>
      <x:c r="D2335" s="17" t="str">
        <x:v>C003</x:v>
      </x:c>
      <x:c r="E2335" s="17" t="str">
        <x:v>InsightDesk</x:v>
      </x:c>
      <x:c r="F2335" s="17" t="str">
        <x:v>Lite</x:v>
      </x:c>
      <x:c r="G2335" s="17" t="n">
        <x:v>29419</x:v>
      </x:c>
      <x:c r="H2335" s="17" t="n">
        <x:v>8000</x:v>
      </x:c>
      <x:c r="I2335" s="17" t="str">
        <x:v>Followup</x:v>
      </x:c>
      <x:c r="J2335" s="27" t="n">
        <x:f>INDEX('Model Pricing'!$B$7:$B$8,MATCH(F2335,'Model Pricing'!$A$7:$A$8,0))</x:f>
        <x:v>10</x:v>
      </x:c>
      <x:c r="K2335" s="27" t="n">
        <x:f>INDEX('Model Pricing'!$C$7:$C$8,MATCH(F2335,'Model Pricing'!$A$7:$A$8,0))</x:f>
        <x:v>30</x:v>
      </x:c>
      <x:c r="L2335" s="17" t="n">
        <x:f>G2335+H2335</x:f>
        <x:v>37419</x:v>
      </x:c>
      <x:c r="M2335" s="28" t="n">
        <x:f>G2335*J2335/1000000</x:f>
        <x:v>0.29419</x:v>
      </x:c>
      <x:c r="N2335" s="28" t="n">
        <x:f>H2335*K2335/1000000</x:f>
        <x:v>0.24</x:v>
      </x:c>
      <x:c r="O2335" s="28" t="n">
        <x:f>SUM(M2335:N2335)</x:f>
        <x:v>0.5341899999999999</x:v>
      </x:c>
    </x:row>
    <x:row r="2336" ht="23" customHeight="1">
      <x:c r="A2336" s="17" t="str">
        <x:v>U02330</x:v>
      </x:c>
      <x:c r="B2336" s="18" t="n">
        <x:v>46282</x:v>
      </x:c>
      <x:c r="C2336" s="17" t="str">
        <x:v>W0180</x:v>
      </x:c>
      <x:c r="D2336" s="17" t="str">
        <x:v>C003</x:v>
      </x:c>
      <x:c r="E2336" s="17" t="str">
        <x:v>InsightDesk</x:v>
      </x:c>
      <x:c r="F2336" s="17" t="str">
        <x:v>Lite</x:v>
      </x:c>
      <x:c r="G2336" s="17" t="n">
        <x:v>39227</x:v>
      </x:c>
      <x:c r="H2336" s="17" t="n">
        <x:v>4543</x:v>
      </x:c>
      <x:c r="I2336" s="17" t="str">
        <x:v>Followup</x:v>
      </x:c>
      <x:c r="J2336" s="27" t="n">
        <x:f>INDEX('Model Pricing'!$B$7:$B$8,MATCH(F2336,'Model Pricing'!$A$7:$A$8,0))</x:f>
        <x:v>10</x:v>
      </x:c>
      <x:c r="K2336" s="27" t="n">
        <x:f>INDEX('Model Pricing'!$C$7:$C$8,MATCH(F2336,'Model Pricing'!$A$7:$A$8,0))</x:f>
        <x:v>30</x:v>
      </x:c>
      <x:c r="L2336" s="17" t="n">
        <x:f>G2336+H2336</x:f>
        <x:v>43770</x:v>
      </x:c>
      <x:c r="M2336" s="28" t="n">
        <x:f>G2336*J2336/1000000</x:f>
        <x:v>0.39227</x:v>
      </x:c>
      <x:c r="N2336" s="28" t="n">
        <x:f>H2336*K2336/1000000</x:f>
        <x:v>0.13629</x:v>
      </x:c>
      <x:c r="O2336" s="28" t="n">
        <x:f>SUM(M2336:N2336)</x:f>
        <x:v>0.52856</x:v>
      </x:c>
    </x:row>
    <x:row r="2337" ht="23" customHeight="1">
      <x:c r="A2337" s="17" t="str">
        <x:v>U02331</x:v>
      </x:c>
      <x:c r="B2337" s="18" t="n">
        <x:v>46282</x:v>
      </x:c>
      <x:c r="C2337" s="17" t="str">
        <x:v>W0180</x:v>
      </x:c>
      <x:c r="D2337" s="17" t="str">
        <x:v>C003</x:v>
      </x:c>
      <x:c r="E2337" s="17" t="str">
        <x:v>InsightDesk</x:v>
      </x:c>
      <x:c r="F2337" s="17" t="str">
        <x:v>Lite</x:v>
      </x:c>
      <x:c r="G2337" s="17" t="n">
        <x:v>38510</x:v>
      </x:c>
      <x:c r="H2337" s="17" t="n">
        <x:v>5738</x:v>
      </x:c>
      <x:c r="I2337" s="17" t="str">
        <x:v>Followup</x:v>
      </x:c>
      <x:c r="J2337" s="27" t="n">
        <x:f>INDEX('Model Pricing'!$B$7:$B$8,MATCH(F2337,'Model Pricing'!$A$7:$A$8,0))</x:f>
        <x:v>10</x:v>
      </x:c>
      <x:c r="K2337" s="27" t="n">
        <x:f>INDEX('Model Pricing'!$C$7:$C$8,MATCH(F2337,'Model Pricing'!$A$7:$A$8,0))</x:f>
        <x:v>30</x:v>
      </x:c>
      <x:c r="L2337" s="17" t="n">
        <x:f>G2337+H2337</x:f>
        <x:v>44248</x:v>
      </x:c>
      <x:c r="M2337" s="28" t="n">
        <x:f>G2337*J2337/1000000</x:f>
        <x:v>0.3851</x:v>
      </x:c>
      <x:c r="N2337" s="28" t="n">
        <x:f>H2337*K2337/1000000</x:f>
        <x:v>0.17214</x:v>
      </x:c>
      <x:c r="O2337" s="28" t="n">
        <x:f>SUM(M2337:N2337)</x:f>
        <x:v>0.55724</x:v>
      </x:c>
    </x:row>
    <x:row r="2338" ht="23" customHeight="1">
      <x:c r="A2338" s="17" t="str">
        <x:v>U02332</x:v>
      </x:c>
      <x:c r="B2338" s="18" t="n">
        <x:v>46280</x:v>
      </x:c>
      <x:c r="C2338" s="17" t="str">
        <x:v>W0121</x:v>
      </x:c>
      <x:c r="D2338" s="17" t="str">
        <x:v>C003</x:v>
      </x:c>
      <x:c r="E2338" s="17" t="str">
        <x:v>CampaignChat</x:v>
      </x:c>
      <x:c r="F2338" s="17" t="str">
        <x:v>Pro</x:v>
      </x:c>
      <x:c r="G2338" s="17" t="n">
        <x:v>23090</x:v>
      </x:c>
      <x:c r="H2338" s="17" t="n">
        <x:v>13354</x:v>
      </x:c>
      <x:c r="I2338" s="17" t="str">
        <x:v>First attempt</x:v>
      </x:c>
      <x:c r="J2338" s="27" t="n">
        <x:f>INDEX('Model Pricing'!$B$7:$B$8,MATCH(F2338,'Model Pricing'!$A$7:$A$8,0))</x:f>
        <x:v>40</x:v>
      </x:c>
      <x:c r="K2338" s="27" t="n">
        <x:f>INDEX('Model Pricing'!$C$7:$C$8,MATCH(F2338,'Model Pricing'!$A$7:$A$8,0))</x:f>
        <x:v>100</x:v>
      </x:c>
      <x:c r="L2338" s="17" t="n">
        <x:f>G2338+H2338</x:f>
        <x:v>36444</x:v>
      </x:c>
      <x:c r="M2338" s="28" t="n">
        <x:f>G2338*J2338/1000000</x:f>
        <x:v>0.9236</x:v>
      </x:c>
      <x:c r="N2338" s="28" t="n">
        <x:f>H2338*K2338/1000000</x:f>
        <x:v>1.3354</x:v>
      </x:c>
      <x:c r="O2338" s="28" t="n">
        <x:f>SUM(M2338:N2338)</x:f>
        <x:v>2.259</x:v>
      </x:c>
    </x:row>
    <x:row r="2339" ht="23" customHeight="1">
      <x:c r="A2339" s="17" t="str">
        <x:v>U02333</x:v>
      </x:c>
      <x:c r="B2339" s="18" t="n">
        <x:v>46280</x:v>
      </x:c>
      <x:c r="C2339" s="17" t="str">
        <x:v>W0121</x:v>
      </x:c>
      <x:c r="D2339" s="17" t="str">
        <x:v>C003</x:v>
      </x:c>
      <x:c r="E2339" s="17" t="str">
        <x:v>CampaignChat</x:v>
      </x:c>
      <x:c r="F2339" s="17" t="str">
        <x:v>Pro</x:v>
      </x:c>
      <x:c r="G2339" s="17" t="n">
        <x:v>24737</x:v>
      </x:c>
      <x:c r="H2339" s="17" t="n">
        <x:v>8648</x:v>
      </x:c>
      <x:c r="I2339" s="17" t="str">
        <x:v>Correction</x:v>
      </x:c>
      <x:c r="J2339" s="27" t="n">
        <x:f>INDEX('Model Pricing'!$B$7:$B$8,MATCH(F2339,'Model Pricing'!$A$7:$A$8,0))</x:f>
        <x:v>40</x:v>
      </x:c>
      <x:c r="K2339" s="27" t="n">
        <x:f>INDEX('Model Pricing'!$C$7:$C$8,MATCH(F2339,'Model Pricing'!$A$7:$A$8,0))</x:f>
        <x:v>100</x:v>
      </x:c>
      <x:c r="L2339" s="17" t="n">
        <x:f>G2339+H2339</x:f>
        <x:v>33385</x:v>
      </x:c>
      <x:c r="M2339" s="28" t="n">
        <x:f>G2339*J2339/1000000</x:f>
        <x:v>0.98948</x:v>
      </x:c>
      <x:c r="N2339" s="28" t="n">
        <x:f>H2339*K2339/1000000</x:f>
        <x:v>0.8648</x:v>
      </x:c>
      <x:c r="O2339" s="28" t="n">
        <x:f>SUM(M2339:N2339)</x:f>
        <x:v>1.8542800000000002</x:v>
      </x:c>
    </x:row>
    <x:row r="2340" ht="23" customHeight="1">
      <x:c r="A2340" s="17" t="str">
        <x:v>U02334</x:v>
      </x:c>
      <x:c r="B2340" s="18" t="n">
        <x:v>46280</x:v>
      </x:c>
      <x:c r="C2340" s="17" t="str">
        <x:v>W0121</x:v>
      </x:c>
      <x:c r="D2340" s="17" t="str">
        <x:v>C003</x:v>
      </x:c>
      <x:c r="E2340" s="17" t="str">
        <x:v>CampaignChat</x:v>
      </x:c>
      <x:c r="F2340" s="17" t="str">
        <x:v>Pro</x:v>
      </x:c>
      <x:c r="G2340" s="17" t="n">
        <x:v>29810</x:v>
      </x:c>
      <x:c r="H2340" s="17" t="n">
        <x:v>6343</x:v>
      </x:c>
      <x:c r="I2340" s="17" t="str">
        <x:v>Followup</x:v>
      </x:c>
      <x:c r="J2340" s="27" t="n">
        <x:f>INDEX('Model Pricing'!$B$7:$B$8,MATCH(F2340,'Model Pricing'!$A$7:$A$8,0))</x:f>
        <x:v>40</x:v>
      </x:c>
      <x:c r="K2340" s="27" t="n">
        <x:f>INDEX('Model Pricing'!$C$7:$C$8,MATCH(F2340,'Model Pricing'!$A$7:$A$8,0))</x:f>
        <x:v>100</x:v>
      </x:c>
      <x:c r="L2340" s="17" t="n">
        <x:f>G2340+H2340</x:f>
        <x:v>36153</x:v>
      </x:c>
      <x:c r="M2340" s="28" t="n">
        <x:f>G2340*J2340/1000000</x:f>
        <x:v>1.1924</x:v>
      </x:c>
      <x:c r="N2340" s="28" t="n">
        <x:f>H2340*K2340/1000000</x:f>
        <x:v>0.6343</x:v>
      </x:c>
      <x:c r="O2340" s="28" t="n">
        <x:f>SUM(M2340:N2340)</x:f>
        <x:v>1.8266999999999998</x:v>
      </x:c>
    </x:row>
    <x:row r="2341" ht="23" customHeight="1">
      <x:c r="A2341" s="17" t="str">
        <x:v>U02335</x:v>
      </x:c>
      <x:c r="B2341" s="18" t="n">
        <x:v>46280</x:v>
      </x:c>
      <x:c r="C2341" s="17" t="str">
        <x:v>W0121</x:v>
      </x:c>
      <x:c r="D2341" s="17" t="str">
        <x:v>C003</x:v>
      </x:c>
      <x:c r="E2341" s="17" t="str">
        <x:v>CampaignChat</x:v>
      </x:c>
      <x:c r="F2341" s="17" t="str">
        <x:v>Pro</x:v>
      </x:c>
      <x:c r="G2341" s="17" t="n">
        <x:v>24359</x:v>
      </x:c>
      <x:c r="H2341" s="17" t="n">
        <x:v>3832</x:v>
      </x:c>
      <x:c r="I2341" s="17" t="str">
        <x:v>Followup</x:v>
      </x:c>
      <x:c r="J2341" s="27" t="n">
        <x:f>INDEX('Model Pricing'!$B$7:$B$8,MATCH(F2341,'Model Pricing'!$A$7:$A$8,0))</x:f>
        <x:v>40</x:v>
      </x:c>
      <x:c r="K2341" s="27" t="n">
        <x:f>INDEX('Model Pricing'!$C$7:$C$8,MATCH(F2341,'Model Pricing'!$A$7:$A$8,0))</x:f>
        <x:v>100</x:v>
      </x:c>
      <x:c r="L2341" s="17" t="n">
        <x:f>G2341+H2341</x:f>
        <x:v>28191</x:v>
      </x:c>
      <x:c r="M2341" s="28" t="n">
        <x:f>G2341*J2341/1000000</x:f>
        <x:v>0.97436</x:v>
      </x:c>
      <x:c r="N2341" s="28" t="n">
        <x:f>H2341*K2341/1000000</x:f>
        <x:v>0.3832</x:v>
      </x:c>
      <x:c r="O2341" s="28" t="n">
        <x:f>SUM(M2341:N2341)</x:f>
        <x:v>1.3575599999999999</x:v>
      </x:c>
    </x:row>
    <x:row r="2342" ht="23" customHeight="1">
      <x:c r="A2342" s="17" t="str">
        <x:v>U02336</x:v>
      </x:c>
      <x:c r="B2342" s="18" t="n">
        <x:v>46281</x:v>
      </x:c>
      <x:c r="C2342" s="17" t="str">
        <x:v>W0121</x:v>
      </x:c>
      <x:c r="D2342" s="17" t="str">
        <x:v>C003</x:v>
      </x:c>
      <x:c r="E2342" s="17" t="str">
        <x:v>CampaignChat</x:v>
      </x:c>
      <x:c r="F2342" s="17" t="str">
        <x:v>Pro</x:v>
      </x:c>
      <x:c r="G2342" s="17" t="n">
        <x:v>16674</x:v>
      </x:c>
      <x:c r="H2342" s="17" t="n">
        <x:v>9308</x:v>
      </x:c>
      <x:c r="I2342" s="17" t="str">
        <x:v>Followup</x:v>
      </x:c>
      <x:c r="J2342" s="27" t="n">
        <x:f>INDEX('Model Pricing'!$B$7:$B$8,MATCH(F2342,'Model Pricing'!$A$7:$A$8,0))</x:f>
        <x:v>40</x:v>
      </x:c>
      <x:c r="K2342" s="27" t="n">
        <x:f>INDEX('Model Pricing'!$C$7:$C$8,MATCH(F2342,'Model Pricing'!$A$7:$A$8,0))</x:f>
        <x:v>100</x:v>
      </x:c>
      <x:c r="L2342" s="17" t="n">
        <x:f>G2342+H2342</x:f>
        <x:v>25982</x:v>
      </x:c>
      <x:c r="M2342" s="28" t="n">
        <x:f>G2342*J2342/1000000</x:f>
        <x:v>0.66696</x:v>
      </x:c>
      <x:c r="N2342" s="28" t="n">
        <x:f>H2342*K2342/1000000</x:f>
        <x:v>0.9308</x:v>
      </x:c>
      <x:c r="O2342" s="28" t="n">
        <x:f>SUM(M2342:N2342)</x:f>
        <x:v>1.59776</x:v>
      </x:c>
    </x:row>
    <x:row r="2343" ht="23" customHeight="1">
      <x:c r="A2343" s="17" t="str">
        <x:v>U02337</x:v>
      </x:c>
      <x:c r="B2343" s="18" t="n">
        <x:v>46281</x:v>
      </x:c>
      <x:c r="C2343" s="17" t="str">
        <x:v>W0121</x:v>
      </x:c>
      <x:c r="D2343" s="17" t="str">
        <x:v>C003</x:v>
      </x:c>
      <x:c r="E2343" s="17" t="str">
        <x:v>CampaignChat</x:v>
      </x:c>
      <x:c r="F2343" s="17" t="str">
        <x:v>Pro</x:v>
      </x:c>
      <x:c r="G2343" s="17" t="n">
        <x:v>17866</x:v>
      </x:c>
      <x:c r="H2343" s="17" t="n">
        <x:v>9408</x:v>
      </x:c>
      <x:c r="I2343" s="17" t="str">
        <x:v>Correction</x:v>
      </x:c>
      <x:c r="J2343" s="27" t="n">
        <x:f>INDEX('Model Pricing'!$B$7:$B$8,MATCH(F2343,'Model Pricing'!$A$7:$A$8,0))</x:f>
        <x:v>40</x:v>
      </x:c>
      <x:c r="K2343" s="27" t="n">
        <x:f>INDEX('Model Pricing'!$C$7:$C$8,MATCH(F2343,'Model Pricing'!$A$7:$A$8,0))</x:f>
        <x:v>100</x:v>
      </x:c>
      <x:c r="L2343" s="17" t="n">
        <x:f>G2343+H2343</x:f>
        <x:v>27274</x:v>
      </x:c>
      <x:c r="M2343" s="28" t="n">
        <x:f>G2343*J2343/1000000</x:f>
        <x:v>0.71464</x:v>
      </x:c>
      <x:c r="N2343" s="28" t="n">
        <x:f>H2343*K2343/1000000</x:f>
        <x:v>0.9408</x:v>
      </x:c>
      <x:c r="O2343" s="28" t="n">
        <x:f>SUM(M2343:N2343)</x:f>
        <x:v>1.65544</x:v>
      </x:c>
    </x:row>
    <x:row r="2344" ht="23" customHeight="1">
      <x:c r="A2344" s="17" t="str">
        <x:v>U02338</x:v>
      </x:c>
      <x:c r="B2344" s="18" t="n">
        <x:v>46281</x:v>
      </x:c>
      <x:c r="C2344" s="17" t="str">
        <x:v>W0121</x:v>
      </x:c>
      <x:c r="D2344" s="17" t="str">
        <x:v>C003</x:v>
      </x:c>
      <x:c r="E2344" s="17" t="str">
        <x:v>CampaignChat</x:v>
      </x:c>
      <x:c r="F2344" s="17" t="str">
        <x:v>Pro</x:v>
      </x:c>
      <x:c r="G2344" s="17" t="n">
        <x:v>25730</x:v>
      </x:c>
      <x:c r="H2344" s="17" t="n">
        <x:v>12542</x:v>
      </x:c>
      <x:c r="I2344" s="17" t="str">
        <x:v>Followup</x:v>
      </x:c>
      <x:c r="J2344" s="27" t="n">
        <x:f>INDEX('Model Pricing'!$B$7:$B$8,MATCH(F2344,'Model Pricing'!$A$7:$A$8,0))</x:f>
        <x:v>40</x:v>
      </x:c>
      <x:c r="K2344" s="27" t="n">
        <x:f>INDEX('Model Pricing'!$C$7:$C$8,MATCH(F2344,'Model Pricing'!$A$7:$A$8,0))</x:f>
        <x:v>100</x:v>
      </x:c>
      <x:c r="L2344" s="17" t="n">
        <x:f>G2344+H2344</x:f>
        <x:v>38272</x:v>
      </x:c>
      <x:c r="M2344" s="28" t="n">
        <x:f>G2344*J2344/1000000</x:f>
        <x:v>1.0292</x:v>
      </x:c>
      <x:c r="N2344" s="28" t="n">
        <x:f>H2344*K2344/1000000</x:f>
        <x:v>1.2542</x:v>
      </x:c>
      <x:c r="O2344" s="28" t="n">
        <x:f>SUM(M2344:N2344)</x:f>
        <x:v>2.2834</x:v>
      </x:c>
    </x:row>
    <x:row r="2345" ht="23" customHeight="1">
      <x:c r="A2345" s="17" t="str">
        <x:v>U02339</x:v>
      </x:c>
      <x:c r="B2345" s="18" t="n">
        <x:v>46282</x:v>
      </x:c>
      <x:c r="C2345" s="17" t="str">
        <x:v>W0121</x:v>
      </x:c>
      <x:c r="D2345" s="17" t="str">
        <x:v>C003</x:v>
      </x:c>
      <x:c r="E2345" s="17" t="str">
        <x:v>CampaignChat</x:v>
      </x:c>
      <x:c r="F2345" s="17" t="str">
        <x:v>Pro</x:v>
      </x:c>
      <x:c r="G2345" s="17" t="n">
        <x:v>35382</x:v>
      </x:c>
      <x:c r="H2345" s="17" t="n">
        <x:v>10214</x:v>
      </x:c>
      <x:c r="I2345" s="17" t="str">
        <x:v>Followup</x:v>
      </x:c>
      <x:c r="J2345" s="27" t="n">
        <x:f>INDEX('Model Pricing'!$B$7:$B$8,MATCH(F2345,'Model Pricing'!$A$7:$A$8,0))</x:f>
        <x:v>40</x:v>
      </x:c>
      <x:c r="K2345" s="27" t="n">
        <x:f>INDEX('Model Pricing'!$C$7:$C$8,MATCH(F2345,'Model Pricing'!$A$7:$A$8,0))</x:f>
        <x:v>100</x:v>
      </x:c>
      <x:c r="L2345" s="17" t="n">
        <x:f>G2345+H2345</x:f>
        <x:v>45596</x:v>
      </x:c>
      <x:c r="M2345" s="28" t="n">
        <x:f>G2345*J2345/1000000</x:f>
        <x:v>1.41528</x:v>
      </x:c>
      <x:c r="N2345" s="28" t="n">
        <x:f>H2345*K2345/1000000</x:f>
        <x:v>1.0214</x:v>
      </x:c>
      <x:c r="O2345" s="28" t="n">
        <x:f>SUM(M2345:N2345)</x:f>
        <x:v>2.43668</x:v>
      </x:c>
    </x:row>
    <x:row r="2346" ht="23" customHeight="1">
      <x:c r="A2346" s="17" t="str">
        <x:v>U02340</x:v>
      </x:c>
      <x:c r="B2346" s="18" t="n">
        <x:v>46282</x:v>
      </x:c>
      <x:c r="C2346" s="17" t="str">
        <x:v>W0121</x:v>
      </x:c>
      <x:c r="D2346" s="17" t="str">
        <x:v>C003</x:v>
      </x:c>
      <x:c r="E2346" s="17" t="str">
        <x:v>CampaignChat</x:v>
      </x:c>
      <x:c r="F2346" s="17" t="str">
        <x:v>Pro</x:v>
      </x:c>
      <x:c r="G2346" s="17" t="n">
        <x:v>23983</x:v>
      </x:c>
      <x:c r="H2346" s="17" t="n">
        <x:v>13488</x:v>
      </x:c>
      <x:c r="I2346" s="17" t="str">
        <x:v>Followup</x:v>
      </x:c>
      <x:c r="J2346" s="27" t="n">
        <x:f>INDEX('Model Pricing'!$B$7:$B$8,MATCH(F2346,'Model Pricing'!$A$7:$A$8,0))</x:f>
        <x:v>40</x:v>
      </x:c>
      <x:c r="K2346" s="27" t="n">
        <x:f>INDEX('Model Pricing'!$C$7:$C$8,MATCH(F2346,'Model Pricing'!$A$7:$A$8,0))</x:f>
        <x:v>100</x:v>
      </x:c>
      <x:c r="L2346" s="17" t="n">
        <x:f>G2346+H2346</x:f>
        <x:v>37471</x:v>
      </x:c>
      <x:c r="M2346" s="28" t="n">
        <x:f>G2346*J2346/1000000</x:f>
        <x:v>0.95932</x:v>
      </x:c>
      <x:c r="N2346" s="28" t="n">
        <x:f>H2346*K2346/1000000</x:f>
        <x:v>1.3488</x:v>
      </x:c>
      <x:c r="O2346" s="28" t="n">
        <x:f>SUM(M2346:N2346)</x:f>
        <x:v>2.3081199999999997</x:v>
      </x:c>
    </x:row>
    <x:row r="2347" ht="23" customHeight="1">
      <x:c r="A2347" s="17" t="str">
        <x:v>U02341</x:v>
      </x:c>
      <x:c r="B2347" s="18" t="n">
        <x:v>46282</x:v>
      </x:c>
      <x:c r="C2347" s="17" t="str">
        <x:v>W0121</x:v>
      </x:c>
      <x:c r="D2347" s="17" t="str">
        <x:v>C003</x:v>
      </x:c>
      <x:c r="E2347" s="17" t="str">
        <x:v>CampaignChat</x:v>
      </x:c>
      <x:c r="F2347" s="17" t="str">
        <x:v>Pro</x:v>
      </x:c>
      <x:c r="G2347" s="17" t="n">
        <x:v>21904</x:v>
      </x:c>
      <x:c r="H2347" s="17" t="n">
        <x:v>3915</x:v>
      </x:c>
      <x:c r="I2347" s="17" t="str">
        <x:v>Followup</x:v>
      </x:c>
      <x:c r="J2347" s="27" t="n">
        <x:f>INDEX('Model Pricing'!$B$7:$B$8,MATCH(F2347,'Model Pricing'!$A$7:$A$8,0))</x:f>
        <x:v>40</x:v>
      </x:c>
      <x:c r="K2347" s="27" t="n">
        <x:f>INDEX('Model Pricing'!$C$7:$C$8,MATCH(F2347,'Model Pricing'!$A$7:$A$8,0))</x:f>
        <x:v>100</x:v>
      </x:c>
      <x:c r="L2347" s="17" t="n">
        <x:f>G2347+H2347</x:f>
        <x:v>25819</x:v>
      </x:c>
      <x:c r="M2347" s="28" t="n">
        <x:f>G2347*J2347/1000000</x:f>
        <x:v>0.87616</x:v>
      </x:c>
      <x:c r="N2347" s="28" t="n">
        <x:f>H2347*K2347/1000000</x:f>
        <x:v>0.3915</x:v>
      </x:c>
      <x:c r="O2347" s="28" t="n">
        <x:f>SUM(M2347:N2347)</x:f>
        <x:v>1.26766</x:v>
      </x:c>
    </x:row>
    <x:row r="2348" ht="23" customHeight="1">
      <x:c r="A2348" s="17" t="str">
        <x:v>U02342</x:v>
      </x:c>
      <x:c r="B2348" s="18" t="n">
        <x:v>46283</x:v>
      </x:c>
      <x:c r="C2348" s="17" t="str">
        <x:v>W0121</x:v>
      </x:c>
      <x:c r="D2348" s="17" t="str">
        <x:v>C003</x:v>
      </x:c>
      <x:c r="E2348" s="17" t="str">
        <x:v>CampaignChat</x:v>
      </x:c>
      <x:c r="F2348" s="17" t="str">
        <x:v>Pro</x:v>
      </x:c>
      <x:c r="G2348" s="17" t="n">
        <x:v>34482</x:v>
      </x:c>
      <x:c r="H2348" s="17" t="n">
        <x:v>10914</x:v>
      </x:c>
      <x:c r="I2348" s="17" t="str">
        <x:v>Followup</x:v>
      </x:c>
      <x:c r="J2348" s="27" t="n">
        <x:f>INDEX('Model Pricing'!$B$7:$B$8,MATCH(F2348,'Model Pricing'!$A$7:$A$8,0))</x:f>
        <x:v>40</x:v>
      </x:c>
      <x:c r="K2348" s="27" t="n">
        <x:f>INDEX('Model Pricing'!$C$7:$C$8,MATCH(F2348,'Model Pricing'!$A$7:$A$8,0))</x:f>
        <x:v>100</x:v>
      </x:c>
      <x:c r="L2348" s="17" t="n">
        <x:f>G2348+H2348</x:f>
        <x:v>45396</x:v>
      </x:c>
      <x:c r="M2348" s="28" t="n">
        <x:f>G2348*J2348/1000000</x:f>
        <x:v>1.37928</x:v>
      </x:c>
      <x:c r="N2348" s="28" t="n">
        <x:f>H2348*K2348/1000000</x:f>
        <x:v>1.0914</x:v>
      </x:c>
      <x:c r="O2348" s="28" t="n">
        <x:f>SUM(M2348:N2348)</x:f>
        <x:v>2.4706799999999998</x:v>
      </x:c>
    </x:row>
    <x:row r="2349" ht="23" customHeight="1">
      <x:c r="A2349" s="17" t="str">
        <x:v>U02343</x:v>
      </x:c>
      <x:c r="B2349" s="18" t="n">
        <x:v>46283</x:v>
      </x:c>
      <x:c r="C2349" s="17" t="str">
        <x:v>W0121</x:v>
      </x:c>
      <x:c r="D2349" s="17" t="str">
        <x:v>C003</x:v>
      </x:c>
      <x:c r="E2349" s="17" t="str">
        <x:v>CampaignChat</x:v>
      </x:c>
      <x:c r="F2349" s="17" t="str">
        <x:v>Pro</x:v>
      </x:c>
      <x:c r="G2349" s="17" t="n">
        <x:v>40846</x:v>
      </x:c>
      <x:c r="H2349" s="17" t="n">
        <x:v>8065</x:v>
      </x:c>
      <x:c r="I2349" s="17" t="str">
        <x:v>Correction</x:v>
      </x:c>
      <x:c r="J2349" s="27" t="n">
        <x:f>INDEX('Model Pricing'!$B$7:$B$8,MATCH(F2349,'Model Pricing'!$A$7:$A$8,0))</x:f>
        <x:v>40</x:v>
      </x:c>
      <x:c r="K2349" s="27" t="n">
        <x:f>INDEX('Model Pricing'!$C$7:$C$8,MATCH(F2349,'Model Pricing'!$A$7:$A$8,0))</x:f>
        <x:v>100</x:v>
      </x:c>
      <x:c r="L2349" s="17" t="n">
        <x:f>G2349+H2349</x:f>
        <x:v>48911</x:v>
      </x:c>
      <x:c r="M2349" s="28" t="n">
        <x:f>G2349*J2349/1000000</x:f>
        <x:v>1.63384</x:v>
      </x:c>
      <x:c r="N2349" s="28" t="n">
        <x:f>H2349*K2349/1000000</x:f>
        <x:v>0.8065</x:v>
      </x:c>
      <x:c r="O2349" s="28" t="n">
        <x:f>SUM(M2349:N2349)</x:f>
        <x:v>2.44034</x:v>
      </x:c>
    </x:row>
    <x:row r="2350" ht="23" customHeight="1">
      <x:c r="A2350" s="17" t="str">
        <x:v>U02344</x:v>
      </x:c>
      <x:c r="B2350" s="18" t="n">
        <x:v>46283</x:v>
      </x:c>
      <x:c r="C2350" s="17" t="str">
        <x:v>W0121</x:v>
      </x:c>
      <x:c r="D2350" s="17" t="str">
        <x:v>C003</x:v>
      </x:c>
      <x:c r="E2350" s="17" t="str">
        <x:v>CampaignChat</x:v>
      </x:c>
      <x:c r="F2350" s="17" t="str">
        <x:v>Pro</x:v>
      </x:c>
      <x:c r="G2350" s="17" t="n">
        <x:v>29851</x:v>
      </x:c>
      <x:c r="H2350" s="17" t="n">
        <x:v>11650</x:v>
      </x:c>
      <x:c r="I2350" s="17" t="str">
        <x:v>Followup</x:v>
      </x:c>
      <x:c r="J2350" s="27" t="n">
        <x:f>INDEX('Model Pricing'!$B$7:$B$8,MATCH(F2350,'Model Pricing'!$A$7:$A$8,0))</x:f>
        <x:v>40</x:v>
      </x:c>
      <x:c r="K2350" s="27" t="n">
        <x:f>INDEX('Model Pricing'!$C$7:$C$8,MATCH(F2350,'Model Pricing'!$A$7:$A$8,0))</x:f>
        <x:v>100</x:v>
      </x:c>
      <x:c r="L2350" s="17" t="n">
        <x:f>G2350+H2350</x:f>
        <x:v>41501</x:v>
      </x:c>
      <x:c r="M2350" s="28" t="n">
        <x:f>G2350*J2350/1000000</x:f>
        <x:v>1.19404</x:v>
      </x:c>
      <x:c r="N2350" s="28" t="n">
        <x:f>H2350*K2350/1000000</x:f>
        <x:v>1.165</x:v>
      </x:c>
      <x:c r="O2350" s="28" t="n">
        <x:f>SUM(M2350:N2350)</x:f>
        <x:v>2.3590400000000002</x:v>
      </x:c>
    </x:row>
    <x:row r="2351" ht="23" customHeight="1">
      <x:c r="A2351" s="17" t="str">
        <x:v>U02345</x:v>
      </x:c>
      <x:c r="B2351" s="18" t="n">
        <x:v>46288</x:v>
      </x:c>
      <x:c r="C2351" s="17" t="str">
        <x:v>W0127</x:v>
      </x:c>
      <x:c r="D2351" s="17" t="str">
        <x:v>C003</x:v>
      </x:c>
      <x:c r="E2351" s="17" t="str">
        <x:v>CopyStudio</x:v>
      </x:c>
      <x:c r="F2351" s="17" t="str">
        <x:v>Pro</x:v>
      </x:c>
      <x:c r="G2351" s="17" t="n">
        <x:v>11504</x:v>
      </x:c>
      <x:c r="H2351" s="17" t="n">
        <x:v>3760</x:v>
      </x:c>
      <x:c r="I2351" s="17" t="str">
        <x:v>First attempt</x:v>
      </x:c>
      <x:c r="J2351" s="27" t="n">
        <x:f>INDEX('Model Pricing'!$B$7:$B$8,MATCH(F2351,'Model Pricing'!$A$7:$A$8,0))</x:f>
        <x:v>40</x:v>
      </x:c>
      <x:c r="K2351" s="27" t="n">
        <x:f>INDEX('Model Pricing'!$C$7:$C$8,MATCH(F2351,'Model Pricing'!$A$7:$A$8,0))</x:f>
        <x:v>100</x:v>
      </x:c>
      <x:c r="L2351" s="17" t="n">
        <x:f>G2351+H2351</x:f>
        <x:v>15264</x:v>
      </x:c>
      <x:c r="M2351" s="28" t="n">
        <x:f>G2351*J2351/1000000</x:f>
        <x:v>0.46016</x:v>
      </x:c>
      <x:c r="N2351" s="28" t="n">
        <x:f>H2351*K2351/1000000</x:f>
        <x:v>0.376</x:v>
      </x:c>
      <x:c r="O2351" s="28" t="n">
        <x:f>SUM(M2351:N2351)</x:f>
        <x:v>0.83616</x:v>
      </x:c>
    </x:row>
    <x:row r="2352" ht="23" customHeight="1">
      <x:c r="A2352" s="17" t="str">
        <x:v>U02346</x:v>
      </x:c>
      <x:c r="B2352" s="18" t="n">
        <x:v>46288</x:v>
      </x:c>
      <x:c r="C2352" s="17" t="str">
        <x:v>W0127</x:v>
      </x:c>
      <x:c r="D2352" s="17" t="str">
        <x:v>C003</x:v>
      </x:c>
      <x:c r="E2352" s="17" t="str">
        <x:v>CopyStudio</x:v>
      </x:c>
      <x:c r="F2352" s="17" t="str">
        <x:v>Pro</x:v>
      </x:c>
      <x:c r="G2352" s="17" t="n">
        <x:v>11340</x:v>
      </x:c>
      <x:c r="H2352" s="17" t="n">
        <x:v>6737</x:v>
      </x:c>
      <x:c r="I2352" s="17" t="str">
        <x:v>Correction</x:v>
      </x:c>
      <x:c r="J2352" s="27" t="n">
        <x:f>INDEX('Model Pricing'!$B$7:$B$8,MATCH(F2352,'Model Pricing'!$A$7:$A$8,0))</x:f>
        <x:v>40</x:v>
      </x:c>
      <x:c r="K2352" s="27" t="n">
        <x:f>INDEX('Model Pricing'!$C$7:$C$8,MATCH(F2352,'Model Pricing'!$A$7:$A$8,0))</x:f>
        <x:v>100</x:v>
      </x:c>
      <x:c r="L2352" s="17" t="n">
        <x:f>G2352+H2352</x:f>
        <x:v>18077</x:v>
      </x:c>
      <x:c r="M2352" s="28" t="n">
        <x:f>G2352*J2352/1000000</x:f>
        <x:v>0.4536</x:v>
      </x:c>
      <x:c r="N2352" s="28" t="n">
        <x:f>H2352*K2352/1000000</x:f>
        <x:v>0.6737</x:v>
      </x:c>
      <x:c r="O2352" s="28" t="n">
        <x:f>SUM(M2352:N2352)</x:f>
        <x:v>1.1273</x:v>
      </x:c>
    </x:row>
    <x:row r="2353" ht="23" customHeight="1">
      <x:c r="A2353" s="17" t="str">
        <x:v>U02347</x:v>
      </x:c>
      <x:c r="B2353" s="18" t="n">
        <x:v>46288</x:v>
      </x:c>
      <x:c r="C2353" s="17" t="str">
        <x:v>W0127</x:v>
      </x:c>
      <x:c r="D2353" s="17" t="str">
        <x:v>C003</x:v>
      </x:c>
      <x:c r="E2353" s="17" t="str">
        <x:v>CopyStudio</x:v>
      </x:c>
      <x:c r="F2353" s="17" t="str">
        <x:v>Pro</x:v>
      </x:c>
      <x:c r="G2353" s="17" t="n">
        <x:v>27224</x:v>
      </x:c>
      <x:c r="H2353" s="17" t="n">
        <x:v>6841</x:v>
      </x:c>
      <x:c r="I2353" s="17" t="str">
        <x:v>Followup</x:v>
      </x:c>
      <x:c r="J2353" s="27" t="n">
        <x:f>INDEX('Model Pricing'!$B$7:$B$8,MATCH(F2353,'Model Pricing'!$A$7:$A$8,0))</x:f>
        <x:v>40</x:v>
      </x:c>
      <x:c r="K2353" s="27" t="n">
        <x:f>INDEX('Model Pricing'!$C$7:$C$8,MATCH(F2353,'Model Pricing'!$A$7:$A$8,0))</x:f>
        <x:v>100</x:v>
      </x:c>
      <x:c r="L2353" s="17" t="n">
        <x:f>G2353+H2353</x:f>
        <x:v>34065</x:v>
      </x:c>
      <x:c r="M2353" s="28" t="n">
        <x:f>G2353*J2353/1000000</x:f>
        <x:v>1.08896</x:v>
      </x:c>
      <x:c r="N2353" s="28" t="n">
        <x:f>H2353*K2353/1000000</x:f>
        <x:v>0.6841</x:v>
      </x:c>
      <x:c r="O2353" s="28" t="n">
        <x:f>SUM(M2353:N2353)</x:f>
        <x:v>1.77306</x:v>
      </x:c>
    </x:row>
    <x:row r="2354" ht="23" customHeight="1">
      <x:c r="A2354" s="17" t="str">
        <x:v>U02348</x:v>
      </x:c>
      <x:c r="B2354" s="18" t="n">
        <x:v>46289</x:v>
      </x:c>
      <x:c r="C2354" s="17" t="str">
        <x:v>W0127</x:v>
      </x:c>
      <x:c r="D2354" s="17" t="str">
        <x:v>C003</x:v>
      </x:c>
      <x:c r="E2354" s="17" t="str">
        <x:v>CopyStudio</x:v>
      </x:c>
      <x:c r="F2354" s="17" t="str">
        <x:v>Pro</x:v>
      </x:c>
      <x:c r="G2354" s="17" t="n">
        <x:v>22538</x:v>
      </x:c>
      <x:c r="H2354" s="17" t="n">
        <x:v>2805</x:v>
      </x:c>
      <x:c r="I2354" s="17" t="str">
        <x:v>Followup</x:v>
      </x:c>
      <x:c r="J2354" s="27" t="n">
        <x:f>INDEX('Model Pricing'!$B$7:$B$8,MATCH(F2354,'Model Pricing'!$A$7:$A$8,0))</x:f>
        <x:v>40</x:v>
      </x:c>
      <x:c r="K2354" s="27" t="n">
        <x:f>INDEX('Model Pricing'!$C$7:$C$8,MATCH(F2354,'Model Pricing'!$A$7:$A$8,0))</x:f>
        <x:v>100</x:v>
      </x:c>
      <x:c r="L2354" s="17" t="n">
        <x:f>G2354+H2354</x:f>
        <x:v>25343</x:v>
      </x:c>
      <x:c r="M2354" s="28" t="n">
        <x:f>G2354*J2354/1000000</x:f>
        <x:v>0.90152</x:v>
      </x:c>
      <x:c r="N2354" s="28" t="n">
        <x:f>H2354*K2354/1000000</x:f>
        <x:v>0.2805</x:v>
      </x:c>
      <x:c r="O2354" s="28" t="n">
        <x:f>SUM(M2354:N2354)</x:f>
        <x:v>1.18202</x:v>
      </x:c>
    </x:row>
    <x:row r="2355" ht="23" customHeight="1">
      <x:c r="A2355" s="17" t="str">
        <x:v>U02349</x:v>
      </x:c>
      <x:c r="B2355" s="18" t="n">
        <x:v>46289</x:v>
      </x:c>
      <x:c r="C2355" s="17" t="str">
        <x:v>W0127</x:v>
      </x:c>
      <x:c r="D2355" s="17" t="str">
        <x:v>C003</x:v>
      </x:c>
      <x:c r="E2355" s="17" t="str">
        <x:v>CopyStudio</x:v>
      </x:c>
      <x:c r="F2355" s="17" t="str">
        <x:v>Pro</x:v>
      </x:c>
      <x:c r="G2355" s="17" t="n">
        <x:v>24552</x:v>
      </x:c>
      <x:c r="H2355" s="17" t="n">
        <x:v>4679</x:v>
      </x:c>
      <x:c r="I2355" s="17" t="str">
        <x:v>Followup</x:v>
      </x:c>
      <x:c r="J2355" s="27" t="n">
        <x:f>INDEX('Model Pricing'!$B$7:$B$8,MATCH(F2355,'Model Pricing'!$A$7:$A$8,0))</x:f>
        <x:v>40</x:v>
      </x:c>
      <x:c r="K2355" s="27" t="n">
        <x:f>INDEX('Model Pricing'!$C$7:$C$8,MATCH(F2355,'Model Pricing'!$A$7:$A$8,0))</x:f>
        <x:v>100</x:v>
      </x:c>
      <x:c r="L2355" s="17" t="n">
        <x:f>G2355+H2355</x:f>
        <x:v>29231</x:v>
      </x:c>
      <x:c r="M2355" s="28" t="n">
        <x:f>G2355*J2355/1000000</x:f>
        <x:v>0.98208</x:v>
      </x:c>
      <x:c r="N2355" s="28" t="n">
        <x:f>H2355*K2355/1000000</x:f>
        <x:v>0.4679</x:v>
      </x:c>
      <x:c r="O2355" s="28" t="n">
        <x:f>SUM(M2355:N2355)</x:f>
        <x:v>1.44998</x:v>
      </x:c>
    </x:row>
    <x:row r="2356" ht="23" customHeight="1">
      <x:c r="A2356" s="17" t="str">
        <x:v>U02350</x:v>
      </x:c>
      <x:c r="B2356" s="18" t="n">
        <x:v>46289</x:v>
      </x:c>
      <x:c r="C2356" s="17" t="str">
        <x:v>W0127</x:v>
      </x:c>
      <x:c r="D2356" s="17" t="str">
        <x:v>C003</x:v>
      </x:c>
      <x:c r="E2356" s="17" t="str">
        <x:v>CopyStudio</x:v>
      </x:c>
      <x:c r="F2356" s="17" t="str">
        <x:v>Pro</x:v>
      </x:c>
      <x:c r="G2356" s="17" t="n">
        <x:v>17617</x:v>
      </x:c>
      <x:c r="H2356" s="17" t="n">
        <x:v>6994</x:v>
      </x:c>
      <x:c r="I2356" s="17" t="str">
        <x:v>Followup</x:v>
      </x:c>
      <x:c r="J2356" s="27" t="n">
        <x:f>INDEX('Model Pricing'!$B$7:$B$8,MATCH(F2356,'Model Pricing'!$A$7:$A$8,0))</x:f>
        <x:v>40</x:v>
      </x:c>
      <x:c r="K2356" s="27" t="n">
        <x:f>INDEX('Model Pricing'!$C$7:$C$8,MATCH(F2356,'Model Pricing'!$A$7:$A$8,0))</x:f>
        <x:v>100</x:v>
      </x:c>
      <x:c r="L2356" s="17" t="n">
        <x:f>G2356+H2356</x:f>
        <x:v>24611</x:v>
      </x:c>
      <x:c r="M2356" s="28" t="n">
        <x:f>G2356*J2356/1000000</x:f>
        <x:v>0.70468</x:v>
      </x:c>
      <x:c r="N2356" s="28" t="n">
        <x:f>H2356*K2356/1000000</x:f>
        <x:v>0.6994</x:v>
      </x:c>
      <x:c r="O2356" s="28" t="n">
        <x:f>SUM(M2356:N2356)</x:f>
        <x:v>1.40408</x:v>
      </x:c>
    </x:row>
    <x:row r="2357" ht="23" customHeight="1">
      <x:c r="A2357" s="17" t="str">
        <x:v>U02351</x:v>
      </x:c>
      <x:c r="B2357" s="18" t="n">
        <x:v>46290</x:v>
      </x:c>
      <x:c r="C2357" s="17" t="str">
        <x:v>W0127</x:v>
      </x:c>
      <x:c r="D2357" s="17" t="str">
        <x:v>C003</x:v>
      </x:c>
      <x:c r="E2357" s="17" t="str">
        <x:v>CopyStudio</x:v>
      </x:c>
      <x:c r="F2357" s="17" t="str">
        <x:v>Pro</x:v>
      </x:c>
      <x:c r="G2357" s="17" t="n">
        <x:v>20183</x:v>
      </x:c>
      <x:c r="H2357" s="17" t="n">
        <x:v>3669</x:v>
      </x:c>
      <x:c r="I2357" s="17" t="str">
        <x:v>Followup</x:v>
      </x:c>
      <x:c r="J2357" s="27" t="n">
        <x:f>INDEX('Model Pricing'!$B$7:$B$8,MATCH(F2357,'Model Pricing'!$A$7:$A$8,0))</x:f>
        <x:v>40</x:v>
      </x:c>
      <x:c r="K2357" s="27" t="n">
        <x:f>INDEX('Model Pricing'!$C$7:$C$8,MATCH(F2357,'Model Pricing'!$A$7:$A$8,0))</x:f>
        <x:v>100</x:v>
      </x:c>
      <x:c r="L2357" s="17" t="n">
        <x:f>G2357+H2357</x:f>
        <x:v>23852</x:v>
      </x:c>
      <x:c r="M2357" s="28" t="n">
        <x:f>G2357*J2357/1000000</x:f>
        <x:v>0.80732</x:v>
      </x:c>
      <x:c r="N2357" s="28" t="n">
        <x:f>H2357*K2357/1000000</x:f>
        <x:v>0.3669</x:v>
      </x:c>
      <x:c r="O2357" s="28" t="n">
        <x:f>SUM(M2357:N2357)</x:f>
        <x:v>1.17422</x:v>
      </x:c>
    </x:row>
    <x:row r="2358" ht="23" customHeight="1">
      <x:c r="A2358" s="17" t="str">
        <x:v>U02352</x:v>
      </x:c>
      <x:c r="B2358" s="18" t="n">
        <x:v>46290</x:v>
      </x:c>
      <x:c r="C2358" s="17" t="str">
        <x:v>W0127</x:v>
      </x:c>
      <x:c r="D2358" s="17" t="str">
        <x:v>C003</x:v>
      </x:c>
      <x:c r="E2358" s="17" t="str">
        <x:v>CopyStudio</x:v>
      </x:c>
      <x:c r="F2358" s="17" t="str">
        <x:v>Pro</x:v>
      </x:c>
      <x:c r="G2358" s="17" t="n">
        <x:v>22246</x:v>
      </x:c>
      <x:c r="H2358" s="17" t="n">
        <x:v>5015</x:v>
      </x:c>
      <x:c r="I2358" s="17" t="str">
        <x:v>Followup</x:v>
      </x:c>
      <x:c r="J2358" s="27" t="n">
        <x:f>INDEX('Model Pricing'!$B$7:$B$8,MATCH(F2358,'Model Pricing'!$A$7:$A$8,0))</x:f>
        <x:v>40</x:v>
      </x:c>
      <x:c r="K2358" s="27" t="n">
        <x:f>INDEX('Model Pricing'!$C$7:$C$8,MATCH(F2358,'Model Pricing'!$A$7:$A$8,0))</x:f>
        <x:v>100</x:v>
      </x:c>
      <x:c r="L2358" s="17" t="n">
        <x:f>G2358+H2358</x:f>
        <x:v>27261</x:v>
      </x:c>
      <x:c r="M2358" s="28" t="n">
        <x:f>G2358*J2358/1000000</x:f>
        <x:v>0.88984</x:v>
      </x:c>
      <x:c r="N2358" s="28" t="n">
        <x:f>H2358*K2358/1000000</x:f>
        <x:v>0.5015</x:v>
      </x:c>
      <x:c r="O2358" s="28" t="n">
        <x:f>SUM(M2358:N2358)</x:f>
        <x:v>1.39134</x:v>
      </x:c>
    </x:row>
    <x:row r="2359" ht="23" customHeight="1">
      <x:c r="A2359" s="17" t="str">
        <x:v>U02353</x:v>
      </x:c>
      <x:c r="B2359" s="18" t="n">
        <x:v>46290</x:v>
      </x:c>
      <x:c r="C2359" s="17" t="str">
        <x:v>W0127</x:v>
      </x:c>
      <x:c r="D2359" s="17" t="str">
        <x:v>C003</x:v>
      </x:c>
      <x:c r="E2359" s="17" t="str">
        <x:v>CopyStudio</x:v>
      </x:c>
      <x:c r="F2359" s="17" t="str">
        <x:v>Pro</x:v>
      </x:c>
      <x:c r="G2359" s="17" t="n">
        <x:v>26949</x:v>
      </x:c>
      <x:c r="H2359" s="17" t="n">
        <x:v>6111</x:v>
      </x:c>
      <x:c r="I2359" s="17" t="str">
        <x:v>Correction</x:v>
      </x:c>
      <x:c r="J2359" s="27" t="n">
        <x:f>INDEX('Model Pricing'!$B$7:$B$8,MATCH(F2359,'Model Pricing'!$A$7:$A$8,0))</x:f>
        <x:v>40</x:v>
      </x:c>
      <x:c r="K2359" s="27" t="n">
        <x:f>INDEX('Model Pricing'!$C$7:$C$8,MATCH(F2359,'Model Pricing'!$A$7:$A$8,0))</x:f>
        <x:v>100</x:v>
      </x:c>
      <x:c r="L2359" s="17" t="n">
        <x:f>G2359+H2359</x:f>
        <x:v>33060</x:v>
      </x:c>
      <x:c r="M2359" s="28" t="n">
        <x:f>G2359*J2359/1000000</x:f>
        <x:v>1.07796</x:v>
      </x:c>
      <x:c r="N2359" s="28" t="n">
        <x:f>H2359*K2359/1000000</x:f>
        <x:v>0.6111</x:v>
      </x:c>
      <x:c r="O2359" s="28" t="n">
        <x:f>SUM(M2359:N2359)</x:f>
        <x:v>1.68906</x:v>
      </x:c>
    </x:row>
    <x:row r="2360" ht="23" customHeight="1">
      <x:c r="A2360" s="17" t="str">
        <x:v>U02354</x:v>
      </x:c>
      <x:c r="B2360" s="18" t="n">
        <x:v>46293</x:v>
      </x:c>
      <x:c r="C2360" s="17" t="str">
        <x:v>W0127</x:v>
      </x:c>
      <x:c r="D2360" s="17" t="str">
        <x:v>C003</x:v>
      </x:c>
      <x:c r="E2360" s="17" t="str">
        <x:v>CopyStudio</x:v>
      </x:c>
      <x:c r="F2360" s="17" t="str">
        <x:v>Pro</x:v>
      </x:c>
      <x:c r="G2360" s="17" t="n">
        <x:v>20345</x:v>
      </x:c>
      <x:c r="H2360" s="17" t="n">
        <x:v>7110</x:v>
      </x:c>
      <x:c r="I2360" s="17" t="str">
        <x:v>Followup</x:v>
      </x:c>
      <x:c r="J2360" s="27" t="n">
        <x:f>INDEX('Model Pricing'!$B$7:$B$8,MATCH(F2360,'Model Pricing'!$A$7:$A$8,0))</x:f>
        <x:v>40</x:v>
      </x:c>
      <x:c r="K2360" s="27" t="n">
        <x:f>INDEX('Model Pricing'!$C$7:$C$8,MATCH(F2360,'Model Pricing'!$A$7:$A$8,0))</x:f>
        <x:v>100</x:v>
      </x:c>
      <x:c r="L2360" s="17" t="n">
        <x:f>G2360+H2360</x:f>
        <x:v>27455</x:v>
      </x:c>
      <x:c r="M2360" s="28" t="n">
        <x:f>G2360*J2360/1000000</x:f>
        <x:v>0.8138</x:v>
      </x:c>
      <x:c r="N2360" s="28" t="n">
        <x:f>H2360*K2360/1000000</x:f>
        <x:v>0.711</x:v>
      </x:c>
      <x:c r="O2360" s="28" t="n">
        <x:f>SUM(M2360:N2360)</x:f>
        <x:v>1.5248</x:v>
      </x:c>
    </x:row>
    <x:row r="2361" ht="23" customHeight="1">
      <x:c r="A2361" s="17" t="str">
        <x:v>U02355</x:v>
      </x:c>
      <x:c r="B2361" s="18" t="n">
        <x:v>46293</x:v>
      </x:c>
      <x:c r="C2361" s="17" t="str">
        <x:v>W0127</x:v>
      </x:c>
      <x:c r="D2361" s="17" t="str">
        <x:v>C003</x:v>
      </x:c>
      <x:c r="E2361" s="17" t="str">
        <x:v>CopyStudio</x:v>
      </x:c>
      <x:c r="F2361" s="17" t="str">
        <x:v>Pro</x:v>
      </x:c>
      <x:c r="G2361" s="17" t="n">
        <x:v>27327</x:v>
      </x:c>
      <x:c r="H2361" s="17" t="n">
        <x:v>9801</x:v>
      </x:c>
      <x:c r="I2361" s="17" t="str">
        <x:v>Followup</x:v>
      </x:c>
      <x:c r="J2361" s="27" t="n">
        <x:f>INDEX('Model Pricing'!$B$7:$B$8,MATCH(F2361,'Model Pricing'!$A$7:$A$8,0))</x:f>
        <x:v>40</x:v>
      </x:c>
      <x:c r="K2361" s="27" t="n">
        <x:f>INDEX('Model Pricing'!$C$7:$C$8,MATCH(F2361,'Model Pricing'!$A$7:$A$8,0))</x:f>
        <x:v>100</x:v>
      </x:c>
      <x:c r="L2361" s="17" t="n">
        <x:f>G2361+H2361</x:f>
        <x:v>37128</x:v>
      </x:c>
      <x:c r="M2361" s="28" t="n">
        <x:f>G2361*J2361/1000000</x:f>
        <x:v>1.09308</x:v>
      </x:c>
      <x:c r="N2361" s="28" t="n">
        <x:f>H2361*K2361/1000000</x:f>
        <x:v>0.9801</x:v>
      </x:c>
      <x:c r="O2361" s="28" t="n">
        <x:f>SUM(M2361:N2361)</x:f>
        <x:v>2.07318</x:v>
      </x:c>
    </x:row>
    <x:row r="2362" ht="23" customHeight="1">
      <x:c r="A2362" s="17" t="str">
        <x:v>U02356</x:v>
      </x:c>
      <x:c r="B2362" s="18" t="n">
        <x:v>46276</x:v>
      </x:c>
      <x:c r="C2362" s="17" t="str">
        <x:v>W0131</x:v>
      </x:c>
      <x:c r="D2362" s="17" t="str">
        <x:v>C003</x:v>
      </x:c>
      <x:c r="E2362" s="17" t="str">
        <x:v>DataFlow</x:v>
      </x:c>
      <x:c r="F2362" s="17" t="str">
        <x:v>Pro</x:v>
      </x:c>
      <x:c r="G2362" s="17" t="n">
        <x:v>30796</x:v>
      </x:c>
      <x:c r="H2362" s="17" t="n">
        <x:v>5270</x:v>
      </x:c>
      <x:c r="I2362" s="17" t="str">
        <x:v>First attempt</x:v>
      </x:c>
      <x:c r="J2362" s="27" t="n">
        <x:f>INDEX('Model Pricing'!$B$7:$B$8,MATCH(F2362,'Model Pricing'!$A$7:$A$8,0))</x:f>
        <x:v>40</x:v>
      </x:c>
      <x:c r="K2362" s="27" t="n">
        <x:f>INDEX('Model Pricing'!$C$7:$C$8,MATCH(F2362,'Model Pricing'!$A$7:$A$8,0))</x:f>
        <x:v>100</x:v>
      </x:c>
      <x:c r="L2362" s="17" t="n">
        <x:f>G2362+H2362</x:f>
        <x:v>36066</x:v>
      </x:c>
      <x:c r="M2362" s="28" t="n">
        <x:f>G2362*J2362/1000000</x:f>
        <x:v>1.23184</x:v>
      </x:c>
      <x:c r="N2362" s="28" t="n">
        <x:f>H2362*K2362/1000000</x:f>
        <x:v>0.527</x:v>
      </x:c>
      <x:c r="O2362" s="28" t="n">
        <x:f>SUM(M2362:N2362)</x:f>
        <x:v>1.7588400000000002</x:v>
      </x:c>
    </x:row>
    <x:row r="2363" ht="23" customHeight="1">
      <x:c r="A2363" s="17" t="str">
        <x:v>U02357</x:v>
      </x:c>
      <x:c r="B2363" s="18" t="n">
        <x:v>46276</x:v>
      </x:c>
      <x:c r="C2363" s="17" t="str">
        <x:v>W0131</x:v>
      </x:c>
      <x:c r="D2363" s="17" t="str">
        <x:v>C003</x:v>
      </x:c>
      <x:c r="E2363" s="17" t="str">
        <x:v>DataFlow</x:v>
      </x:c>
      <x:c r="F2363" s="17" t="str">
        <x:v>Pro</x:v>
      </x:c>
      <x:c r="G2363" s="17" t="n">
        <x:v>27138</x:v>
      </x:c>
      <x:c r="H2363" s="17" t="n">
        <x:v>6919</x:v>
      </x:c>
      <x:c r="I2363" s="17" t="str">
        <x:v>Correction</x:v>
      </x:c>
      <x:c r="J2363" s="27" t="n">
        <x:f>INDEX('Model Pricing'!$B$7:$B$8,MATCH(F2363,'Model Pricing'!$A$7:$A$8,0))</x:f>
        <x:v>40</x:v>
      </x:c>
      <x:c r="K2363" s="27" t="n">
        <x:f>INDEX('Model Pricing'!$C$7:$C$8,MATCH(F2363,'Model Pricing'!$A$7:$A$8,0))</x:f>
        <x:v>100</x:v>
      </x:c>
      <x:c r="L2363" s="17" t="n">
        <x:f>G2363+H2363</x:f>
        <x:v>34057</x:v>
      </x:c>
      <x:c r="M2363" s="28" t="n">
        <x:f>G2363*J2363/1000000</x:f>
        <x:v>1.08552</x:v>
      </x:c>
      <x:c r="N2363" s="28" t="n">
        <x:f>H2363*K2363/1000000</x:f>
        <x:v>0.6919</x:v>
      </x:c>
      <x:c r="O2363" s="28" t="n">
        <x:f>SUM(M2363:N2363)</x:f>
        <x:v>1.77742</x:v>
      </x:c>
    </x:row>
    <x:row r="2364" ht="23" customHeight="1">
      <x:c r="A2364" s="17" t="str">
        <x:v>U02358</x:v>
      </x:c>
      <x:c r="B2364" s="18" t="n">
        <x:v>46276</x:v>
      </x:c>
      <x:c r="C2364" s="17" t="str">
        <x:v>W0131</x:v>
      </x:c>
      <x:c r="D2364" s="17" t="str">
        <x:v>C003</x:v>
      </x:c>
      <x:c r="E2364" s="17" t="str">
        <x:v>DataFlow</x:v>
      </x:c>
      <x:c r="F2364" s="17" t="str">
        <x:v>Pro</x:v>
      </x:c>
      <x:c r="G2364" s="17" t="n">
        <x:v>12884</x:v>
      </x:c>
      <x:c r="H2364" s="17" t="n">
        <x:v>10033</x:v>
      </x:c>
      <x:c r="I2364" s="17" t="str">
        <x:v>Followup</x:v>
      </x:c>
      <x:c r="J2364" s="27" t="n">
        <x:f>INDEX('Model Pricing'!$B$7:$B$8,MATCH(F2364,'Model Pricing'!$A$7:$A$8,0))</x:f>
        <x:v>40</x:v>
      </x:c>
      <x:c r="K2364" s="27" t="n">
        <x:f>INDEX('Model Pricing'!$C$7:$C$8,MATCH(F2364,'Model Pricing'!$A$7:$A$8,0))</x:f>
        <x:v>100</x:v>
      </x:c>
      <x:c r="L2364" s="17" t="n">
        <x:f>G2364+H2364</x:f>
        <x:v>22917</x:v>
      </x:c>
      <x:c r="M2364" s="28" t="n">
        <x:f>G2364*J2364/1000000</x:f>
        <x:v>0.51536</x:v>
      </x:c>
      <x:c r="N2364" s="28" t="n">
        <x:f>H2364*K2364/1000000</x:f>
        <x:v>1.0033</x:v>
      </x:c>
      <x:c r="O2364" s="28" t="n">
        <x:f>SUM(M2364:N2364)</x:f>
        <x:v>1.5186600000000001</x:v>
      </x:c>
    </x:row>
    <x:row r="2365" ht="23" customHeight="1">
      <x:c r="A2365" s="17" t="str">
        <x:v>U02359</x:v>
      </x:c>
      <x:c r="B2365" s="18" t="n">
        <x:v>46279</x:v>
      </x:c>
      <x:c r="C2365" s="17" t="str">
        <x:v>W0131</x:v>
      </x:c>
      <x:c r="D2365" s="17" t="str">
        <x:v>C003</x:v>
      </x:c>
      <x:c r="E2365" s="17" t="str">
        <x:v>DataFlow</x:v>
      </x:c>
      <x:c r="F2365" s="17" t="str">
        <x:v>Pro</x:v>
      </x:c>
      <x:c r="G2365" s="17" t="n">
        <x:v>16061</x:v>
      </x:c>
      <x:c r="H2365" s="17" t="n">
        <x:v>4404</x:v>
      </x:c>
      <x:c r="I2365" s="17" t="str">
        <x:v>Correction</x:v>
      </x:c>
      <x:c r="J2365" s="27" t="n">
        <x:f>INDEX('Model Pricing'!$B$7:$B$8,MATCH(F2365,'Model Pricing'!$A$7:$A$8,0))</x:f>
        <x:v>40</x:v>
      </x:c>
      <x:c r="K2365" s="27" t="n">
        <x:f>INDEX('Model Pricing'!$C$7:$C$8,MATCH(F2365,'Model Pricing'!$A$7:$A$8,0))</x:f>
        <x:v>100</x:v>
      </x:c>
      <x:c r="L2365" s="17" t="n">
        <x:f>G2365+H2365</x:f>
        <x:v>20465</x:v>
      </x:c>
      <x:c r="M2365" s="28" t="n">
        <x:f>G2365*J2365/1000000</x:f>
        <x:v>0.64244</x:v>
      </x:c>
      <x:c r="N2365" s="28" t="n">
        <x:f>H2365*K2365/1000000</x:f>
        <x:v>0.4404</x:v>
      </x:c>
      <x:c r="O2365" s="28" t="n">
        <x:f>SUM(M2365:N2365)</x:f>
        <x:v>1.08284</x:v>
      </x:c>
    </x:row>
    <x:row r="2366" ht="23" customHeight="1">
      <x:c r="A2366" s="17" t="str">
        <x:v>U02360</x:v>
      </x:c>
      <x:c r="B2366" s="18" t="n">
        <x:v>46279</x:v>
      </x:c>
      <x:c r="C2366" s="17" t="str">
        <x:v>W0131</x:v>
      </x:c>
      <x:c r="D2366" s="17" t="str">
        <x:v>C003</x:v>
      </x:c>
      <x:c r="E2366" s="17" t="str">
        <x:v>DataFlow</x:v>
      </x:c>
      <x:c r="F2366" s="17" t="str">
        <x:v>Pro</x:v>
      </x:c>
      <x:c r="G2366" s="17" t="n">
        <x:v>28038</x:v>
      </x:c>
      <x:c r="H2366" s="17" t="n">
        <x:v>7107</x:v>
      </x:c>
      <x:c r="I2366" s="17" t="str">
        <x:v>Correction</x:v>
      </x:c>
      <x:c r="J2366" s="27" t="n">
        <x:f>INDEX('Model Pricing'!$B$7:$B$8,MATCH(F2366,'Model Pricing'!$A$7:$A$8,0))</x:f>
        <x:v>40</x:v>
      </x:c>
      <x:c r="K2366" s="27" t="n">
        <x:f>INDEX('Model Pricing'!$C$7:$C$8,MATCH(F2366,'Model Pricing'!$A$7:$A$8,0))</x:f>
        <x:v>100</x:v>
      </x:c>
      <x:c r="L2366" s="17" t="n">
        <x:f>G2366+H2366</x:f>
        <x:v>35145</x:v>
      </x:c>
      <x:c r="M2366" s="28" t="n">
        <x:f>G2366*J2366/1000000</x:f>
        <x:v>1.12152</x:v>
      </x:c>
      <x:c r="N2366" s="28" t="n">
        <x:f>H2366*K2366/1000000</x:f>
        <x:v>0.7107</x:v>
      </x:c>
      <x:c r="O2366" s="28" t="n">
        <x:f>SUM(M2366:N2366)</x:f>
        <x:v>1.83222</x:v>
      </x:c>
    </x:row>
    <x:row r="2367" ht="23" customHeight="1">
      <x:c r="A2367" s="17" t="str">
        <x:v>U02361</x:v>
      </x:c>
      <x:c r="B2367" s="18" t="n">
        <x:v>46280</x:v>
      </x:c>
      <x:c r="C2367" s="17" t="str">
        <x:v>W0131</x:v>
      </x:c>
      <x:c r="D2367" s="17" t="str">
        <x:v>C003</x:v>
      </x:c>
      <x:c r="E2367" s="17" t="str">
        <x:v>DataFlow</x:v>
      </x:c>
      <x:c r="F2367" s="17" t="str">
        <x:v>Pro</x:v>
      </x:c>
      <x:c r="G2367" s="17" t="n">
        <x:v>26072</x:v>
      </x:c>
      <x:c r="H2367" s="17" t="n">
        <x:v>3335</x:v>
      </x:c>
      <x:c r="I2367" s="17" t="str">
        <x:v>Followup</x:v>
      </x:c>
      <x:c r="J2367" s="27" t="n">
        <x:f>INDEX('Model Pricing'!$B$7:$B$8,MATCH(F2367,'Model Pricing'!$A$7:$A$8,0))</x:f>
        <x:v>40</x:v>
      </x:c>
      <x:c r="K2367" s="27" t="n">
        <x:f>INDEX('Model Pricing'!$C$7:$C$8,MATCH(F2367,'Model Pricing'!$A$7:$A$8,0))</x:f>
        <x:v>100</x:v>
      </x:c>
      <x:c r="L2367" s="17" t="n">
        <x:f>G2367+H2367</x:f>
        <x:v>29407</x:v>
      </x:c>
      <x:c r="M2367" s="28" t="n">
        <x:f>G2367*J2367/1000000</x:f>
        <x:v>1.04288</x:v>
      </x:c>
      <x:c r="N2367" s="28" t="n">
        <x:f>H2367*K2367/1000000</x:f>
        <x:v>0.3335</x:v>
      </x:c>
      <x:c r="O2367" s="28" t="n">
        <x:f>SUM(M2367:N2367)</x:f>
        <x:v>1.3763800000000002</x:v>
      </x:c>
    </x:row>
    <x:row r="2368" ht="23" customHeight="1">
      <x:c r="A2368" s="17" t="str">
        <x:v>U02362</x:v>
      </x:c>
      <x:c r="B2368" s="18" t="n">
        <x:v>46280</x:v>
      </x:c>
      <x:c r="C2368" s="17" t="str">
        <x:v>W0131</x:v>
      </x:c>
      <x:c r="D2368" s="17" t="str">
        <x:v>C003</x:v>
      </x:c>
      <x:c r="E2368" s="17" t="str">
        <x:v>DataFlow</x:v>
      </x:c>
      <x:c r="F2368" s="17" t="str">
        <x:v>Pro</x:v>
      </x:c>
      <x:c r="G2368" s="17" t="n">
        <x:v>10995</x:v>
      </x:c>
      <x:c r="H2368" s="17" t="n">
        <x:v>8808</x:v>
      </x:c>
      <x:c r="I2368" s="17" t="str">
        <x:v>Followup</x:v>
      </x:c>
      <x:c r="J2368" s="27" t="n">
        <x:f>INDEX('Model Pricing'!$B$7:$B$8,MATCH(F2368,'Model Pricing'!$A$7:$A$8,0))</x:f>
        <x:v>40</x:v>
      </x:c>
      <x:c r="K2368" s="27" t="n">
        <x:f>INDEX('Model Pricing'!$C$7:$C$8,MATCH(F2368,'Model Pricing'!$A$7:$A$8,0))</x:f>
        <x:v>100</x:v>
      </x:c>
      <x:c r="L2368" s="17" t="n">
        <x:f>G2368+H2368</x:f>
        <x:v>19803</x:v>
      </x:c>
      <x:c r="M2368" s="28" t="n">
        <x:f>G2368*J2368/1000000</x:f>
        <x:v>0.4398</x:v>
      </x:c>
      <x:c r="N2368" s="28" t="n">
        <x:f>H2368*K2368/1000000</x:f>
        <x:v>0.8808</x:v>
      </x:c>
      <x:c r="O2368" s="28" t="n">
        <x:f>SUM(M2368:N2368)</x:f>
        <x:v>1.3206</x:v>
      </x:c>
    </x:row>
    <x:row r="2369" ht="23" customHeight="1">
      <x:c r="A2369" s="17" t="str">
        <x:v>U02363</x:v>
      </x:c>
      <x:c r="B2369" s="18" t="n">
        <x:v>46281</x:v>
      </x:c>
      <x:c r="C2369" s="17" t="str">
        <x:v>W0131</x:v>
      </x:c>
      <x:c r="D2369" s="17" t="str">
        <x:v>C003</x:v>
      </x:c>
      <x:c r="E2369" s="17" t="str">
        <x:v>DataFlow</x:v>
      </x:c>
      <x:c r="F2369" s="17" t="str">
        <x:v>Pro</x:v>
      </x:c>
      <x:c r="G2369" s="17" t="n">
        <x:v>21435</x:v>
      </x:c>
      <x:c r="H2369" s="17" t="n">
        <x:v>7949</x:v>
      </x:c>
      <x:c r="I2369" s="17" t="str">
        <x:v>Followup</x:v>
      </x:c>
      <x:c r="J2369" s="27" t="n">
        <x:f>INDEX('Model Pricing'!$B$7:$B$8,MATCH(F2369,'Model Pricing'!$A$7:$A$8,0))</x:f>
        <x:v>40</x:v>
      </x:c>
      <x:c r="K2369" s="27" t="n">
        <x:f>INDEX('Model Pricing'!$C$7:$C$8,MATCH(F2369,'Model Pricing'!$A$7:$A$8,0))</x:f>
        <x:v>100</x:v>
      </x:c>
      <x:c r="L2369" s="17" t="n">
        <x:f>G2369+H2369</x:f>
        <x:v>29384</x:v>
      </x:c>
      <x:c r="M2369" s="28" t="n">
        <x:f>G2369*J2369/1000000</x:f>
        <x:v>0.8574</x:v>
      </x:c>
      <x:c r="N2369" s="28" t="n">
        <x:f>H2369*K2369/1000000</x:f>
        <x:v>0.7949</x:v>
      </x:c>
      <x:c r="O2369" s="28" t="n">
        <x:f>SUM(M2369:N2369)</x:f>
        <x:v>1.6523</x:v>
      </x:c>
    </x:row>
    <x:row r="2370" ht="23" customHeight="1">
      <x:c r="A2370" s="17" t="str">
        <x:v>U02364</x:v>
      </x:c>
      <x:c r="B2370" s="18" t="n">
        <x:v>46281</x:v>
      </x:c>
      <x:c r="C2370" s="17" t="str">
        <x:v>W0131</x:v>
      </x:c>
      <x:c r="D2370" s="17" t="str">
        <x:v>C003</x:v>
      </x:c>
      <x:c r="E2370" s="17" t="str">
        <x:v>DataFlow</x:v>
      </x:c>
      <x:c r="F2370" s="17" t="str">
        <x:v>Pro</x:v>
      </x:c>
      <x:c r="G2370" s="17" t="n">
        <x:v>11432</x:v>
      </x:c>
      <x:c r="H2370" s="17" t="n">
        <x:v>9841</x:v>
      </x:c>
      <x:c r="I2370" s="17" t="str">
        <x:v>Followup</x:v>
      </x:c>
      <x:c r="J2370" s="27" t="n">
        <x:f>INDEX('Model Pricing'!$B$7:$B$8,MATCH(F2370,'Model Pricing'!$A$7:$A$8,0))</x:f>
        <x:v>40</x:v>
      </x:c>
      <x:c r="K2370" s="27" t="n">
        <x:f>INDEX('Model Pricing'!$C$7:$C$8,MATCH(F2370,'Model Pricing'!$A$7:$A$8,0))</x:f>
        <x:v>100</x:v>
      </x:c>
      <x:c r="L2370" s="17" t="n">
        <x:f>G2370+H2370</x:f>
        <x:v>21273</x:v>
      </x:c>
      <x:c r="M2370" s="28" t="n">
        <x:f>G2370*J2370/1000000</x:f>
        <x:v>0.45728</x:v>
      </x:c>
      <x:c r="N2370" s="28" t="n">
        <x:f>H2370*K2370/1000000</x:f>
        <x:v>0.9841</x:v>
      </x:c>
      <x:c r="O2370" s="28" t="n">
        <x:f>SUM(M2370:N2370)</x:f>
        <x:v>1.44138</x:v>
      </x:c>
    </x:row>
    <x:row r="2371" ht="23" customHeight="1">
      <x:c r="A2371" s="17" t="str">
        <x:v>U02365</x:v>
      </x:c>
      <x:c r="B2371" s="18" t="n">
        <x:v>46287</x:v>
      </x:c>
      <x:c r="C2371" s="17" t="str">
        <x:v>W0132</x:v>
      </x:c>
      <x:c r="D2371" s="17" t="str">
        <x:v>C003</x:v>
      </x:c>
      <x:c r="E2371" s="17" t="str">
        <x:v>DataFlow</x:v>
      </x:c>
      <x:c r="F2371" s="17" t="str">
        <x:v>Pro</x:v>
      </x:c>
      <x:c r="G2371" s="17" t="n">
        <x:v>32440</x:v>
      </x:c>
      <x:c r="H2371" s="17" t="n">
        <x:v>9454</x:v>
      </x:c>
      <x:c r="I2371" s="17" t="str">
        <x:v>First attempt</x:v>
      </x:c>
      <x:c r="J2371" s="27" t="n">
        <x:f>INDEX('Model Pricing'!$B$7:$B$8,MATCH(F2371,'Model Pricing'!$A$7:$A$8,0))</x:f>
        <x:v>40</x:v>
      </x:c>
      <x:c r="K2371" s="27" t="n">
        <x:f>INDEX('Model Pricing'!$C$7:$C$8,MATCH(F2371,'Model Pricing'!$A$7:$A$8,0))</x:f>
        <x:v>100</x:v>
      </x:c>
      <x:c r="L2371" s="17" t="n">
        <x:f>G2371+H2371</x:f>
        <x:v>41894</x:v>
      </x:c>
      <x:c r="M2371" s="28" t="n">
        <x:f>G2371*J2371/1000000</x:f>
        <x:v>1.2976</x:v>
      </x:c>
      <x:c r="N2371" s="28" t="n">
        <x:f>H2371*K2371/1000000</x:f>
        <x:v>0.9454</x:v>
      </x:c>
      <x:c r="O2371" s="28" t="n">
        <x:f>SUM(M2371:N2371)</x:f>
        <x:v>2.2430000000000003</x:v>
      </x:c>
    </x:row>
    <x:row r="2372" ht="23" customHeight="1">
      <x:c r="A2372" s="17" t="str">
        <x:v>U02366</x:v>
      </x:c>
      <x:c r="B2372" s="18" t="n">
        <x:v>46287</x:v>
      </x:c>
      <x:c r="C2372" s="17" t="str">
        <x:v>W0132</x:v>
      </x:c>
      <x:c r="D2372" s="17" t="str">
        <x:v>C003</x:v>
      </x:c>
      <x:c r="E2372" s="17" t="str">
        <x:v>DataFlow</x:v>
      </x:c>
      <x:c r="F2372" s="17" t="str">
        <x:v>Pro</x:v>
      </x:c>
      <x:c r="G2372" s="17" t="n">
        <x:v>11960</x:v>
      </x:c>
      <x:c r="H2372" s="17" t="n">
        <x:v>4113</x:v>
      </x:c>
      <x:c r="I2372" s="17" t="str">
        <x:v>Followup</x:v>
      </x:c>
      <x:c r="J2372" s="27" t="n">
        <x:f>INDEX('Model Pricing'!$B$7:$B$8,MATCH(F2372,'Model Pricing'!$A$7:$A$8,0))</x:f>
        <x:v>40</x:v>
      </x:c>
      <x:c r="K2372" s="27" t="n">
        <x:f>INDEX('Model Pricing'!$C$7:$C$8,MATCH(F2372,'Model Pricing'!$A$7:$A$8,0))</x:f>
        <x:v>100</x:v>
      </x:c>
      <x:c r="L2372" s="17" t="n">
        <x:f>G2372+H2372</x:f>
        <x:v>16073</x:v>
      </x:c>
      <x:c r="M2372" s="28" t="n">
        <x:f>G2372*J2372/1000000</x:f>
        <x:v>0.4784</x:v>
      </x:c>
      <x:c r="N2372" s="28" t="n">
        <x:f>H2372*K2372/1000000</x:f>
        <x:v>0.4113</x:v>
      </x:c>
      <x:c r="O2372" s="28" t="n">
        <x:f>SUM(M2372:N2372)</x:f>
        <x:v>0.8896999999999999</x:v>
      </x:c>
    </x:row>
    <x:row r="2373" ht="23" customHeight="1">
      <x:c r="A2373" s="17" t="str">
        <x:v>U02367</x:v>
      </x:c>
      <x:c r="B2373" s="18" t="n">
        <x:v>46287</x:v>
      </x:c>
      <x:c r="C2373" s="17" t="str">
        <x:v>W0132</x:v>
      </x:c>
      <x:c r="D2373" s="17" t="str">
        <x:v>C003</x:v>
      </x:c>
      <x:c r="E2373" s="17" t="str">
        <x:v>DataFlow</x:v>
      </x:c>
      <x:c r="F2373" s="17" t="str">
        <x:v>Pro</x:v>
      </x:c>
      <x:c r="G2373" s="17" t="n">
        <x:v>33590</x:v>
      </x:c>
      <x:c r="H2373" s="17" t="n">
        <x:v>7493</x:v>
      </x:c>
      <x:c r="I2373" s="17" t="str">
        <x:v>Followup</x:v>
      </x:c>
      <x:c r="J2373" s="27" t="n">
        <x:f>INDEX('Model Pricing'!$B$7:$B$8,MATCH(F2373,'Model Pricing'!$A$7:$A$8,0))</x:f>
        <x:v>40</x:v>
      </x:c>
      <x:c r="K2373" s="27" t="n">
        <x:f>INDEX('Model Pricing'!$C$7:$C$8,MATCH(F2373,'Model Pricing'!$A$7:$A$8,0))</x:f>
        <x:v>100</x:v>
      </x:c>
      <x:c r="L2373" s="17" t="n">
        <x:f>G2373+H2373</x:f>
        <x:v>41083</x:v>
      </x:c>
      <x:c r="M2373" s="28" t="n">
        <x:f>G2373*J2373/1000000</x:f>
        <x:v>1.3436</x:v>
      </x:c>
      <x:c r="N2373" s="28" t="n">
        <x:f>H2373*K2373/1000000</x:f>
        <x:v>0.7493</x:v>
      </x:c>
      <x:c r="O2373" s="28" t="n">
        <x:f>SUM(M2373:N2373)</x:f>
        <x:v>2.0928999999999998</x:v>
      </x:c>
    </x:row>
    <x:row r="2374" ht="23" customHeight="1">
      <x:c r="A2374" s="17" t="str">
        <x:v>U02368</x:v>
      </x:c>
      <x:c r="B2374" s="18" t="n">
        <x:v>46288</x:v>
      </x:c>
      <x:c r="C2374" s="17" t="str">
        <x:v>W0132</x:v>
      </x:c>
      <x:c r="D2374" s="17" t="str">
        <x:v>C003</x:v>
      </x:c>
      <x:c r="E2374" s="17" t="str">
        <x:v>DataFlow</x:v>
      </x:c>
      <x:c r="F2374" s="17" t="str">
        <x:v>Pro</x:v>
      </x:c>
      <x:c r="G2374" s="17" t="n">
        <x:v>14258</x:v>
      </x:c>
      <x:c r="H2374" s="17" t="n">
        <x:v>5307</x:v>
      </x:c>
      <x:c r="I2374" s="17" t="str">
        <x:v>Followup</x:v>
      </x:c>
      <x:c r="J2374" s="27" t="n">
        <x:f>INDEX('Model Pricing'!$B$7:$B$8,MATCH(F2374,'Model Pricing'!$A$7:$A$8,0))</x:f>
        <x:v>40</x:v>
      </x:c>
      <x:c r="K2374" s="27" t="n">
        <x:f>INDEX('Model Pricing'!$C$7:$C$8,MATCH(F2374,'Model Pricing'!$A$7:$A$8,0))</x:f>
        <x:v>100</x:v>
      </x:c>
      <x:c r="L2374" s="17" t="n">
        <x:f>G2374+H2374</x:f>
        <x:v>19565</x:v>
      </x:c>
      <x:c r="M2374" s="28" t="n">
        <x:f>G2374*J2374/1000000</x:f>
        <x:v>0.57032</x:v>
      </x:c>
      <x:c r="N2374" s="28" t="n">
        <x:f>H2374*K2374/1000000</x:f>
        <x:v>0.5307</x:v>
      </x:c>
      <x:c r="O2374" s="28" t="n">
        <x:f>SUM(M2374:N2374)</x:f>
        <x:v>1.10102</x:v>
      </x:c>
    </x:row>
    <x:row r="2375" ht="23" customHeight="1">
      <x:c r="A2375" s="17" t="str">
        <x:v>U02369</x:v>
      </x:c>
      <x:c r="B2375" s="18" t="n">
        <x:v>46288</x:v>
      </x:c>
      <x:c r="C2375" s="17" t="str">
        <x:v>W0132</x:v>
      </x:c>
      <x:c r="D2375" s="17" t="str">
        <x:v>C003</x:v>
      </x:c>
      <x:c r="E2375" s="17" t="str">
        <x:v>DataFlow</x:v>
      </x:c>
      <x:c r="F2375" s="17" t="str">
        <x:v>Pro</x:v>
      </x:c>
      <x:c r="G2375" s="17" t="n">
        <x:v>33759</x:v>
      </x:c>
      <x:c r="H2375" s="17" t="n">
        <x:v>12158</x:v>
      </x:c>
      <x:c r="I2375" s="17" t="str">
        <x:v>Followup</x:v>
      </x:c>
      <x:c r="J2375" s="27" t="n">
        <x:f>INDEX('Model Pricing'!$B$7:$B$8,MATCH(F2375,'Model Pricing'!$A$7:$A$8,0))</x:f>
        <x:v>40</x:v>
      </x:c>
      <x:c r="K2375" s="27" t="n">
        <x:f>INDEX('Model Pricing'!$C$7:$C$8,MATCH(F2375,'Model Pricing'!$A$7:$A$8,0))</x:f>
        <x:v>100</x:v>
      </x:c>
      <x:c r="L2375" s="17" t="n">
        <x:f>G2375+H2375</x:f>
        <x:v>45917</x:v>
      </x:c>
      <x:c r="M2375" s="28" t="n">
        <x:f>G2375*J2375/1000000</x:f>
        <x:v>1.35036</x:v>
      </x:c>
      <x:c r="N2375" s="28" t="n">
        <x:f>H2375*K2375/1000000</x:f>
        <x:v>1.2158</x:v>
      </x:c>
      <x:c r="O2375" s="28" t="n">
        <x:f>SUM(M2375:N2375)</x:f>
        <x:v>2.56616</x:v>
      </x:c>
    </x:row>
    <x:row r="2376" ht="23" customHeight="1">
      <x:c r="A2376" s="17" t="str">
        <x:v>U02370</x:v>
      </x:c>
      <x:c r="B2376" s="18" t="n">
        <x:v>46288</x:v>
      </x:c>
      <x:c r="C2376" s="17" t="str">
        <x:v>W0132</x:v>
      </x:c>
      <x:c r="D2376" s="17" t="str">
        <x:v>C003</x:v>
      </x:c>
      <x:c r="E2376" s="17" t="str">
        <x:v>DataFlow</x:v>
      </x:c>
      <x:c r="F2376" s="17" t="str">
        <x:v>Pro</x:v>
      </x:c>
      <x:c r="G2376" s="17" t="n">
        <x:v>19270</x:v>
      </x:c>
      <x:c r="H2376" s="17" t="n">
        <x:v>12771</x:v>
      </x:c>
      <x:c r="I2376" s="17" t="str">
        <x:v>Followup</x:v>
      </x:c>
      <x:c r="J2376" s="27" t="n">
        <x:f>INDEX('Model Pricing'!$B$7:$B$8,MATCH(F2376,'Model Pricing'!$A$7:$A$8,0))</x:f>
        <x:v>40</x:v>
      </x:c>
      <x:c r="K2376" s="27" t="n">
        <x:f>INDEX('Model Pricing'!$C$7:$C$8,MATCH(F2376,'Model Pricing'!$A$7:$A$8,0))</x:f>
        <x:v>100</x:v>
      </x:c>
      <x:c r="L2376" s="17" t="n">
        <x:f>G2376+H2376</x:f>
        <x:v>32041</x:v>
      </x:c>
      <x:c r="M2376" s="28" t="n">
        <x:f>G2376*J2376/1000000</x:f>
        <x:v>0.7708</x:v>
      </x:c>
      <x:c r="N2376" s="28" t="n">
        <x:f>H2376*K2376/1000000</x:f>
        <x:v>1.2771</x:v>
      </x:c>
      <x:c r="O2376" s="28" t="n">
        <x:f>SUM(M2376:N2376)</x:f>
        <x:v>2.0479</x:v>
      </x:c>
    </x:row>
    <x:row r="2377" ht="23" customHeight="1">
      <x:c r="A2377" s="17" t="str">
        <x:v>U02371</x:v>
      </x:c>
      <x:c r="B2377" s="18" t="n">
        <x:v>46289</x:v>
      </x:c>
      <x:c r="C2377" s="17" t="str">
        <x:v>W0132</x:v>
      </x:c>
      <x:c r="D2377" s="17" t="str">
        <x:v>C003</x:v>
      </x:c>
      <x:c r="E2377" s="17" t="str">
        <x:v>DataFlow</x:v>
      </x:c>
      <x:c r="F2377" s="17" t="str">
        <x:v>Pro</x:v>
      </x:c>
      <x:c r="G2377" s="17" t="n">
        <x:v>26633</x:v>
      </x:c>
      <x:c r="H2377" s="17" t="n">
        <x:v>10405</x:v>
      </x:c>
      <x:c r="I2377" s="17" t="str">
        <x:v>Followup</x:v>
      </x:c>
      <x:c r="J2377" s="27" t="n">
        <x:f>INDEX('Model Pricing'!$B$7:$B$8,MATCH(F2377,'Model Pricing'!$A$7:$A$8,0))</x:f>
        <x:v>40</x:v>
      </x:c>
      <x:c r="K2377" s="27" t="n">
        <x:f>INDEX('Model Pricing'!$C$7:$C$8,MATCH(F2377,'Model Pricing'!$A$7:$A$8,0))</x:f>
        <x:v>100</x:v>
      </x:c>
      <x:c r="L2377" s="17" t="n">
        <x:f>G2377+H2377</x:f>
        <x:v>37038</x:v>
      </x:c>
      <x:c r="M2377" s="28" t="n">
        <x:f>G2377*J2377/1000000</x:f>
        <x:v>1.06532</x:v>
      </x:c>
      <x:c r="N2377" s="28" t="n">
        <x:f>H2377*K2377/1000000</x:f>
        <x:v>1.0405</x:v>
      </x:c>
      <x:c r="O2377" s="28" t="n">
        <x:f>SUM(M2377:N2377)</x:f>
        <x:v>2.10582</x:v>
      </x:c>
    </x:row>
    <x:row r="2378" ht="23" customHeight="1">
      <x:c r="A2378" s="17" t="str">
        <x:v>U02372</x:v>
      </x:c>
      <x:c r="B2378" s="18" t="n">
        <x:v>46289</x:v>
      </x:c>
      <x:c r="C2378" s="17" t="str">
        <x:v>W0132</x:v>
      </x:c>
      <x:c r="D2378" s="17" t="str">
        <x:v>C003</x:v>
      </x:c>
      <x:c r="E2378" s="17" t="str">
        <x:v>DataFlow</x:v>
      </x:c>
      <x:c r="F2378" s="17" t="str">
        <x:v>Pro</x:v>
      </x:c>
      <x:c r="G2378" s="17" t="n">
        <x:v>21481</x:v>
      </x:c>
      <x:c r="H2378" s="17" t="n">
        <x:v>6668</x:v>
      </x:c>
      <x:c r="I2378" s="17" t="str">
        <x:v>Correction</x:v>
      </x:c>
      <x:c r="J2378" s="27" t="n">
        <x:f>INDEX('Model Pricing'!$B$7:$B$8,MATCH(F2378,'Model Pricing'!$A$7:$A$8,0))</x:f>
        <x:v>40</x:v>
      </x:c>
      <x:c r="K2378" s="27" t="n">
        <x:f>INDEX('Model Pricing'!$C$7:$C$8,MATCH(F2378,'Model Pricing'!$A$7:$A$8,0))</x:f>
        <x:v>100</x:v>
      </x:c>
      <x:c r="L2378" s="17" t="n">
        <x:f>G2378+H2378</x:f>
        <x:v>28149</x:v>
      </x:c>
      <x:c r="M2378" s="28" t="n">
        <x:f>G2378*J2378/1000000</x:f>
        <x:v>0.85924</x:v>
      </x:c>
      <x:c r="N2378" s="28" t="n">
        <x:f>H2378*K2378/1000000</x:f>
        <x:v>0.6668</x:v>
      </x:c>
      <x:c r="O2378" s="28" t="n">
        <x:f>SUM(M2378:N2378)</x:f>
        <x:v>1.52604</x:v>
      </x:c>
    </x:row>
    <x:row r="2379" ht="23" customHeight="1">
      <x:c r="A2379" s="17" t="str">
        <x:v>U02373</x:v>
      </x:c>
      <x:c r="B2379" s="18" t="n">
        <x:v>46289</x:v>
      </x:c>
      <x:c r="C2379" s="17" t="str">
        <x:v>W0132</x:v>
      </x:c>
      <x:c r="D2379" s="17" t="str">
        <x:v>C003</x:v>
      </x:c>
      <x:c r="E2379" s="17" t="str">
        <x:v>DataFlow</x:v>
      </x:c>
      <x:c r="F2379" s="17" t="str">
        <x:v>Pro</x:v>
      </x:c>
      <x:c r="G2379" s="17" t="n">
        <x:v>27245</x:v>
      </x:c>
      <x:c r="H2379" s="17" t="n">
        <x:v>14922</x:v>
      </x:c>
      <x:c r="I2379" s="17" t="str">
        <x:v>Followup</x:v>
      </x:c>
      <x:c r="J2379" s="27" t="n">
        <x:f>INDEX('Model Pricing'!$B$7:$B$8,MATCH(F2379,'Model Pricing'!$A$7:$A$8,0))</x:f>
        <x:v>40</x:v>
      </x:c>
      <x:c r="K2379" s="27" t="n">
        <x:f>INDEX('Model Pricing'!$C$7:$C$8,MATCH(F2379,'Model Pricing'!$A$7:$A$8,0))</x:f>
        <x:v>100</x:v>
      </x:c>
      <x:c r="L2379" s="17" t="n">
        <x:f>G2379+H2379</x:f>
        <x:v>42167</x:v>
      </x:c>
      <x:c r="M2379" s="28" t="n">
        <x:f>G2379*J2379/1000000</x:f>
        <x:v>1.0898</x:v>
      </x:c>
      <x:c r="N2379" s="28" t="n">
        <x:f>H2379*K2379/1000000</x:f>
        <x:v>1.4922</x:v>
      </x:c>
      <x:c r="O2379" s="28" t="n">
        <x:f>SUM(M2379:N2379)</x:f>
        <x:v>2.582</x:v>
      </x:c>
    </x:row>
    <x:row r="2380" ht="23" customHeight="1">
      <x:c r="A2380" s="17" t="str">
        <x:v>U02374</x:v>
      </x:c>
      <x:c r="B2380" s="18" t="n">
        <x:v>46290</x:v>
      </x:c>
      <x:c r="C2380" s="17" t="str">
        <x:v>W0132</x:v>
      </x:c>
      <x:c r="D2380" s="17" t="str">
        <x:v>C003</x:v>
      </x:c>
      <x:c r="E2380" s="17" t="str">
        <x:v>DataFlow</x:v>
      </x:c>
      <x:c r="F2380" s="17" t="str">
        <x:v>Pro</x:v>
      </x:c>
      <x:c r="G2380" s="17" t="n">
        <x:v>24102</x:v>
      </x:c>
      <x:c r="H2380" s="17" t="n">
        <x:v>9902</x:v>
      </x:c>
      <x:c r="I2380" s="17" t="str">
        <x:v>Followup</x:v>
      </x:c>
      <x:c r="J2380" s="27" t="n">
        <x:f>INDEX('Model Pricing'!$B$7:$B$8,MATCH(F2380,'Model Pricing'!$A$7:$A$8,0))</x:f>
        <x:v>40</x:v>
      </x:c>
      <x:c r="K2380" s="27" t="n">
        <x:f>INDEX('Model Pricing'!$C$7:$C$8,MATCH(F2380,'Model Pricing'!$A$7:$A$8,0))</x:f>
        <x:v>100</x:v>
      </x:c>
      <x:c r="L2380" s="17" t="n">
        <x:f>G2380+H2380</x:f>
        <x:v>34004</x:v>
      </x:c>
      <x:c r="M2380" s="28" t="n">
        <x:f>G2380*J2380/1000000</x:f>
        <x:v>0.96408</x:v>
      </x:c>
      <x:c r="N2380" s="28" t="n">
        <x:f>H2380*K2380/1000000</x:f>
        <x:v>0.9902</x:v>
      </x:c>
      <x:c r="O2380" s="28" t="n">
        <x:f>SUM(M2380:N2380)</x:f>
        <x:v>1.95428</x:v>
      </x:c>
    </x:row>
    <x:row r="2381" ht="23" customHeight="1">
      <x:c r="A2381" s="17" t="str">
        <x:v>U02375</x:v>
      </x:c>
      <x:c r="B2381" s="18" t="n">
        <x:v>46290</x:v>
      </x:c>
      <x:c r="C2381" s="17" t="str">
        <x:v>W0132</x:v>
      </x:c>
      <x:c r="D2381" s="17" t="str">
        <x:v>C003</x:v>
      </x:c>
      <x:c r="E2381" s="17" t="str">
        <x:v>DataFlow</x:v>
      </x:c>
      <x:c r="F2381" s="17" t="str">
        <x:v>Pro</x:v>
      </x:c>
      <x:c r="G2381" s="17" t="n">
        <x:v>12034</x:v>
      </x:c>
      <x:c r="H2381" s="17" t="n">
        <x:v>8329</x:v>
      </x:c>
      <x:c r="I2381" s="17" t="str">
        <x:v>Correction</x:v>
      </x:c>
      <x:c r="J2381" s="27" t="n">
        <x:f>INDEX('Model Pricing'!$B$7:$B$8,MATCH(F2381,'Model Pricing'!$A$7:$A$8,0))</x:f>
        <x:v>40</x:v>
      </x:c>
      <x:c r="K2381" s="27" t="n">
        <x:f>INDEX('Model Pricing'!$C$7:$C$8,MATCH(F2381,'Model Pricing'!$A$7:$A$8,0))</x:f>
        <x:v>100</x:v>
      </x:c>
      <x:c r="L2381" s="17" t="n">
        <x:f>G2381+H2381</x:f>
        <x:v>20363</x:v>
      </x:c>
      <x:c r="M2381" s="28" t="n">
        <x:f>G2381*J2381/1000000</x:f>
        <x:v>0.48136</x:v>
      </x:c>
      <x:c r="N2381" s="28" t="n">
        <x:f>H2381*K2381/1000000</x:f>
        <x:v>0.8329</x:v>
      </x:c>
      <x:c r="O2381" s="28" t="n">
        <x:f>SUM(M2381:N2381)</x:f>
        <x:v>1.31426</x:v>
      </x:c>
    </x:row>
    <x:row r="2382" ht="23" customHeight="1">
      <x:c r="A2382" s="17" t="str">
        <x:v>U02376</x:v>
      </x:c>
      <x:c r="B2382" s="18" t="n">
        <x:v>46290</x:v>
      </x:c>
      <x:c r="C2382" s="17" t="str">
        <x:v>W0132</x:v>
      </x:c>
      <x:c r="D2382" s="17" t="str">
        <x:v>C003</x:v>
      </x:c>
      <x:c r="E2382" s="17" t="str">
        <x:v>DataFlow</x:v>
      </x:c>
      <x:c r="F2382" s="17" t="str">
        <x:v>Pro</x:v>
      </x:c>
      <x:c r="G2382" s="17" t="n">
        <x:v>27578</x:v>
      </x:c>
      <x:c r="H2382" s="17" t="n">
        <x:v>10557</x:v>
      </x:c>
      <x:c r="I2382" s="17" t="str">
        <x:v>Followup</x:v>
      </x:c>
      <x:c r="J2382" s="27" t="n">
        <x:f>INDEX('Model Pricing'!$B$7:$B$8,MATCH(F2382,'Model Pricing'!$A$7:$A$8,0))</x:f>
        <x:v>40</x:v>
      </x:c>
      <x:c r="K2382" s="27" t="n">
        <x:f>INDEX('Model Pricing'!$C$7:$C$8,MATCH(F2382,'Model Pricing'!$A$7:$A$8,0))</x:f>
        <x:v>100</x:v>
      </x:c>
      <x:c r="L2382" s="17" t="n">
        <x:f>G2382+H2382</x:f>
        <x:v>38135</x:v>
      </x:c>
      <x:c r="M2382" s="28" t="n">
        <x:f>G2382*J2382/1000000</x:f>
        <x:v>1.10312</x:v>
      </x:c>
      <x:c r="N2382" s="28" t="n">
        <x:f>H2382*K2382/1000000</x:f>
        <x:v>1.0557</x:v>
      </x:c>
      <x:c r="O2382" s="28" t="n">
        <x:f>SUM(M2382:N2382)</x:f>
        <x:v>2.1588200000000004</x:v>
      </x:c>
    </x:row>
    <x:row r="2383" ht="23" customHeight="1">
      <x:c r="A2383" s="17" t="str">
        <x:v>U02377</x:v>
      </x:c>
      <x:c r="B2383" s="18" t="n">
        <x:v>46268</x:v>
      </x:c>
      <x:c r="C2383" s="17" t="str">
        <x:v>W0138</x:v>
      </x:c>
      <x:c r="D2383" s="17" t="str">
        <x:v>C003</x:v>
      </x:c>
      <x:c r="E2383" s="17" t="str">
        <x:v>CampaignChat</x:v>
      </x:c>
      <x:c r="F2383" s="17" t="str">
        <x:v>Pro</x:v>
      </x:c>
      <x:c r="G2383" s="17" t="n">
        <x:v>17514</x:v>
      </x:c>
      <x:c r="H2383" s="17" t="n">
        <x:v>5114</x:v>
      </x:c>
      <x:c r="I2383" s="17" t="str">
        <x:v>First attempt</x:v>
      </x:c>
      <x:c r="J2383" s="27" t="n">
        <x:f>INDEX('Model Pricing'!$B$7:$B$8,MATCH(F2383,'Model Pricing'!$A$7:$A$8,0))</x:f>
        <x:v>40</x:v>
      </x:c>
      <x:c r="K2383" s="27" t="n">
        <x:f>INDEX('Model Pricing'!$C$7:$C$8,MATCH(F2383,'Model Pricing'!$A$7:$A$8,0))</x:f>
        <x:v>100</x:v>
      </x:c>
      <x:c r="L2383" s="17" t="n">
        <x:f>G2383+H2383</x:f>
        <x:v>22628</x:v>
      </x:c>
      <x:c r="M2383" s="28" t="n">
        <x:f>G2383*J2383/1000000</x:f>
        <x:v>0.70056</x:v>
      </x:c>
      <x:c r="N2383" s="28" t="n">
        <x:f>H2383*K2383/1000000</x:f>
        <x:v>0.5114</x:v>
      </x:c>
      <x:c r="O2383" s="28" t="n">
        <x:f>SUM(M2383:N2383)</x:f>
        <x:v>1.21196</x:v>
      </x:c>
    </x:row>
    <x:row r="2384" ht="23" customHeight="1">
      <x:c r="A2384" s="17" t="str">
        <x:v>U02378</x:v>
      </x:c>
      <x:c r="B2384" s="18" t="n">
        <x:v>46268</x:v>
      </x:c>
      <x:c r="C2384" s="17" t="str">
        <x:v>W0138</x:v>
      </x:c>
      <x:c r="D2384" s="17" t="str">
        <x:v>C003</x:v>
      </x:c>
      <x:c r="E2384" s="17" t="str">
        <x:v>CampaignChat</x:v>
      </x:c>
      <x:c r="F2384" s="17" t="str">
        <x:v>Pro</x:v>
      </x:c>
      <x:c r="G2384" s="17" t="n">
        <x:v>7395</x:v>
      </x:c>
      <x:c r="H2384" s="17" t="n">
        <x:v>8147</x:v>
      </x:c>
      <x:c r="I2384" s="17" t="str">
        <x:v>Followup</x:v>
      </x:c>
      <x:c r="J2384" s="27" t="n">
        <x:f>INDEX('Model Pricing'!$B$7:$B$8,MATCH(F2384,'Model Pricing'!$A$7:$A$8,0))</x:f>
        <x:v>40</x:v>
      </x:c>
      <x:c r="K2384" s="27" t="n">
        <x:f>INDEX('Model Pricing'!$C$7:$C$8,MATCH(F2384,'Model Pricing'!$A$7:$A$8,0))</x:f>
        <x:v>100</x:v>
      </x:c>
      <x:c r="L2384" s="17" t="n">
        <x:f>G2384+H2384</x:f>
        <x:v>15542</x:v>
      </x:c>
      <x:c r="M2384" s="28" t="n">
        <x:f>G2384*J2384/1000000</x:f>
        <x:v>0.2958</x:v>
      </x:c>
      <x:c r="N2384" s="28" t="n">
        <x:f>H2384*K2384/1000000</x:f>
        <x:v>0.8147</x:v>
      </x:c>
      <x:c r="O2384" s="28" t="n">
        <x:f>SUM(M2384:N2384)</x:f>
        <x:v>1.1105</x:v>
      </x:c>
    </x:row>
    <x:row r="2385" ht="23" customHeight="1">
      <x:c r="A2385" s="17" t="str">
        <x:v>U02379</x:v>
      </x:c>
      <x:c r="B2385" s="18" t="n">
        <x:v>46268</x:v>
      </x:c>
      <x:c r="C2385" s="17" t="str">
        <x:v>W0138</x:v>
      </x:c>
      <x:c r="D2385" s="17" t="str">
        <x:v>C003</x:v>
      </x:c>
      <x:c r="E2385" s="17" t="str">
        <x:v>CampaignChat</x:v>
      </x:c>
      <x:c r="F2385" s="17" t="str">
        <x:v>Pro</x:v>
      </x:c>
      <x:c r="G2385" s="17" t="n">
        <x:v>17012</x:v>
      </x:c>
      <x:c r="H2385" s="17" t="n">
        <x:v>12961</x:v>
      </x:c>
      <x:c r="I2385" s="17" t="str">
        <x:v>Followup</x:v>
      </x:c>
      <x:c r="J2385" s="27" t="n">
        <x:f>INDEX('Model Pricing'!$B$7:$B$8,MATCH(F2385,'Model Pricing'!$A$7:$A$8,0))</x:f>
        <x:v>40</x:v>
      </x:c>
      <x:c r="K2385" s="27" t="n">
        <x:f>INDEX('Model Pricing'!$C$7:$C$8,MATCH(F2385,'Model Pricing'!$A$7:$A$8,0))</x:f>
        <x:v>100</x:v>
      </x:c>
      <x:c r="L2385" s="17" t="n">
        <x:f>G2385+H2385</x:f>
        <x:v>29973</x:v>
      </x:c>
      <x:c r="M2385" s="28" t="n">
        <x:f>G2385*J2385/1000000</x:f>
        <x:v>0.68048</x:v>
      </x:c>
      <x:c r="N2385" s="28" t="n">
        <x:f>H2385*K2385/1000000</x:f>
        <x:v>1.2961</x:v>
      </x:c>
      <x:c r="O2385" s="28" t="n">
        <x:f>SUM(M2385:N2385)</x:f>
        <x:v>1.97658</x:v>
      </x:c>
    </x:row>
    <x:row r="2386" ht="23" customHeight="1">
      <x:c r="A2386" s="17" t="str">
        <x:v>U02380</x:v>
      </x:c>
      <x:c r="B2386" s="18" t="n">
        <x:v>46268</x:v>
      </x:c>
      <x:c r="C2386" s="17" t="str">
        <x:v>W0138</x:v>
      </x:c>
      <x:c r="D2386" s="17" t="str">
        <x:v>C003</x:v>
      </x:c>
      <x:c r="E2386" s="17" t="str">
        <x:v>CampaignChat</x:v>
      </x:c>
      <x:c r="F2386" s="17" t="str">
        <x:v>Pro</x:v>
      </x:c>
      <x:c r="G2386" s="17" t="n">
        <x:v>17307</x:v>
      </x:c>
      <x:c r="H2386" s="17" t="n">
        <x:v>12226</x:v>
      </x:c>
      <x:c r="I2386" s="17" t="str">
        <x:v>Correction</x:v>
      </x:c>
      <x:c r="J2386" s="27" t="n">
        <x:f>INDEX('Model Pricing'!$B$7:$B$8,MATCH(F2386,'Model Pricing'!$A$7:$A$8,0))</x:f>
        <x:v>40</x:v>
      </x:c>
      <x:c r="K2386" s="27" t="n">
        <x:f>INDEX('Model Pricing'!$C$7:$C$8,MATCH(F2386,'Model Pricing'!$A$7:$A$8,0))</x:f>
        <x:v>100</x:v>
      </x:c>
      <x:c r="L2386" s="17" t="n">
        <x:f>G2386+H2386</x:f>
        <x:v>29533</x:v>
      </x:c>
      <x:c r="M2386" s="28" t="n">
        <x:f>G2386*J2386/1000000</x:f>
        <x:v>0.69228</x:v>
      </x:c>
      <x:c r="N2386" s="28" t="n">
        <x:f>H2386*K2386/1000000</x:f>
        <x:v>1.2226</x:v>
      </x:c>
      <x:c r="O2386" s="28" t="n">
        <x:f>SUM(M2386:N2386)</x:f>
        <x:v>1.91488</x:v>
      </x:c>
    </x:row>
    <x:row r="2387" ht="23" customHeight="1">
      <x:c r="A2387" s="17" t="str">
        <x:v>U02381</x:v>
      </x:c>
      <x:c r="B2387" s="18" t="n">
        <x:v>46269</x:v>
      </x:c>
      <x:c r="C2387" s="17" t="str">
        <x:v>W0138</x:v>
      </x:c>
      <x:c r="D2387" s="17" t="str">
        <x:v>C003</x:v>
      </x:c>
      <x:c r="E2387" s="17" t="str">
        <x:v>CampaignChat</x:v>
      </x:c>
      <x:c r="F2387" s="17" t="str">
        <x:v>Pro</x:v>
      </x:c>
      <x:c r="G2387" s="17" t="n">
        <x:v>12764</x:v>
      </x:c>
      <x:c r="H2387" s="17" t="n">
        <x:v>12383</x:v>
      </x:c>
      <x:c r="I2387" s="17" t="str">
        <x:v>Followup</x:v>
      </x:c>
      <x:c r="J2387" s="27" t="n">
        <x:f>INDEX('Model Pricing'!$B$7:$B$8,MATCH(F2387,'Model Pricing'!$A$7:$A$8,0))</x:f>
        <x:v>40</x:v>
      </x:c>
      <x:c r="K2387" s="27" t="n">
        <x:f>INDEX('Model Pricing'!$C$7:$C$8,MATCH(F2387,'Model Pricing'!$A$7:$A$8,0))</x:f>
        <x:v>100</x:v>
      </x:c>
      <x:c r="L2387" s="17" t="n">
        <x:f>G2387+H2387</x:f>
        <x:v>25147</x:v>
      </x:c>
      <x:c r="M2387" s="28" t="n">
        <x:f>G2387*J2387/1000000</x:f>
        <x:v>0.51056</x:v>
      </x:c>
      <x:c r="N2387" s="28" t="n">
        <x:f>H2387*K2387/1000000</x:f>
        <x:v>1.2383</x:v>
      </x:c>
      <x:c r="O2387" s="28" t="n">
        <x:f>SUM(M2387:N2387)</x:f>
        <x:v>1.74886</x:v>
      </x:c>
    </x:row>
    <x:row r="2388" ht="23" customHeight="1">
      <x:c r="A2388" s="17" t="str">
        <x:v>U02382</x:v>
      </x:c>
      <x:c r="B2388" s="18" t="n">
        <x:v>46269</x:v>
      </x:c>
      <x:c r="C2388" s="17" t="str">
        <x:v>W0138</x:v>
      </x:c>
      <x:c r="D2388" s="17" t="str">
        <x:v>C003</x:v>
      </x:c>
      <x:c r="E2388" s="17" t="str">
        <x:v>CampaignChat</x:v>
      </x:c>
      <x:c r="F2388" s="17" t="str">
        <x:v>Pro</x:v>
      </x:c>
      <x:c r="G2388" s="17" t="n">
        <x:v>17184</x:v>
      </x:c>
      <x:c r="H2388" s="17" t="n">
        <x:v>16186</x:v>
      </x:c>
      <x:c r="I2388" s="17" t="str">
        <x:v>Followup</x:v>
      </x:c>
      <x:c r="J2388" s="27" t="n">
        <x:f>INDEX('Model Pricing'!$B$7:$B$8,MATCH(F2388,'Model Pricing'!$A$7:$A$8,0))</x:f>
        <x:v>40</x:v>
      </x:c>
      <x:c r="K2388" s="27" t="n">
        <x:f>INDEX('Model Pricing'!$C$7:$C$8,MATCH(F2388,'Model Pricing'!$A$7:$A$8,0))</x:f>
        <x:v>100</x:v>
      </x:c>
      <x:c r="L2388" s="17" t="n">
        <x:f>G2388+H2388</x:f>
        <x:v>33370</x:v>
      </x:c>
      <x:c r="M2388" s="28" t="n">
        <x:f>G2388*J2388/1000000</x:f>
        <x:v>0.68736</x:v>
      </x:c>
      <x:c r="N2388" s="28" t="n">
        <x:f>H2388*K2388/1000000</x:f>
        <x:v>1.6186</x:v>
      </x:c>
      <x:c r="O2388" s="28" t="n">
        <x:f>SUM(M2388:N2388)</x:f>
        <x:v>2.30596</x:v>
      </x:c>
    </x:row>
    <x:row r="2389" ht="23" customHeight="1">
      <x:c r="A2389" s="17" t="str">
        <x:v>U02383</x:v>
      </x:c>
      <x:c r="B2389" s="18" t="n">
        <x:v>46269</x:v>
      </x:c>
      <x:c r="C2389" s="17" t="str">
        <x:v>W0138</x:v>
      </x:c>
      <x:c r="D2389" s="17" t="str">
        <x:v>C003</x:v>
      </x:c>
      <x:c r="E2389" s="17" t="str">
        <x:v>CampaignChat</x:v>
      </x:c>
      <x:c r="F2389" s="17" t="str">
        <x:v>Pro</x:v>
      </x:c>
      <x:c r="G2389" s="17" t="n">
        <x:v>13368</x:v>
      </x:c>
      <x:c r="H2389" s="17" t="n">
        <x:v>4872</x:v>
      </x:c>
      <x:c r="I2389" s="17" t="str">
        <x:v>Followup</x:v>
      </x:c>
      <x:c r="J2389" s="27" t="n">
        <x:f>INDEX('Model Pricing'!$B$7:$B$8,MATCH(F2389,'Model Pricing'!$A$7:$A$8,0))</x:f>
        <x:v>40</x:v>
      </x:c>
      <x:c r="K2389" s="27" t="n">
        <x:f>INDEX('Model Pricing'!$C$7:$C$8,MATCH(F2389,'Model Pricing'!$A$7:$A$8,0))</x:f>
        <x:v>100</x:v>
      </x:c>
      <x:c r="L2389" s="17" t="n">
        <x:f>G2389+H2389</x:f>
        <x:v>18240</x:v>
      </x:c>
      <x:c r="M2389" s="28" t="n">
        <x:f>G2389*J2389/1000000</x:f>
        <x:v>0.53472</x:v>
      </x:c>
      <x:c r="N2389" s="28" t="n">
        <x:f>H2389*K2389/1000000</x:f>
        <x:v>0.4872</x:v>
      </x:c>
      <x:c r="O2389" s="28" t="n">
        <x:f>SUM(M2389:N2389)</x:f>
        <x:v>1.02192</x:v>
      </x:c>
    </x:row>
    <x:row r="2390" ht="23" customHeight="1">
      <x:c r="A2390" s="17" t="str">
        <x:v>U02384</x:v>
      </x:c>
      <x:c r="B2390" s="18" t="n">
        <x:v>46273</x:v>
      </x:c>
      <x:c r="C2390" s="17" t="str">
        <x:v>W0138</x:v>
      </x:c>
      <x:c r="D2390" s="17" t="str">
        <x:v>C003</x:v>
      </x:c>
      <x:c r="E2390" s="17" t="str">
        <x:v>CampaignChat</x:v>
      </x:c>
      <x:c r="F2390" s="17" t="str">
        <x:v>Pro</x:v>
      </x:c>
      <x:c r="G2390" s="17" t="n">
        <x:v>15145</x:v>
      </x:c>
      <x:c r="H2390" s="17" t="n">
        <x:v>15648</x:v>
      </x:c>
      <x:c r="I2390" s="17" t="str">
        <x:v>Followup</x:v>
      </x:c>
      <x:c r="J2390" s="27" t="n">
        <x:f>INDEX('Model Pricing'!$B$7:$B$8,MATCH(F2390,'Model Pricing'!$A$7:$A$8,0))</x:f>
        <x:v>40</x:v>
      </x:c>
      <x:c r="K2390" s="27" t="n">
        <x:f>INDEX('Model Pricing'!$C$7:$C$8,MATCH(F2390,'Model Pricing'!$A$7:$A$8,0))</x:f>
        <x:v>100</x:v>
      </x:c>
      <x:c r="L2390" s="17" t="n">
        <x:f>G2390+H2390</x:f>
        <x:v>30793</x:v>
      </x:c>
      <x:c r="M2390" s="28" t="n">
        <x:f>G2390*J2390/1000000</x:f>
        <x:v>0.6058</x:v>
      </x:c>
      <x:c r="N2390" s="28" t="n">
        <x:f>H2390*K2390/1000000</x:f>
        <x:v>1.5648</x:v>
      </x:c>
      <x:c r="O2390" s="28" t="n">
        <x:f>SUM(M2390:N2390)</x:f>
        <x:v>2.1706</x:v>
      </x:c>
    </x:row>
    <x:row r="2391" ht="23" customHeight="1">
      <x:c r="A2391" s="17" t="str">
        <x:v>U02385</x:v>
      </x:c>
      <x:c r="B2391" s="18" t="n">
        <x:v>46273</x:v>
      </x:c>
      <x:c r="C2391" s="17" t="str">
        <x:v>W0138</x:v>
      </x:c>
      <x:c r="D2391" s="17" t="str">
        <x:v>C003</x:v>
      </x:c>
      <x:c r="E2391" s="17" t="str">
        <x:v>CampaignChat</x:v>
      </x:c>
      <x:c r="F2391" s="17" t="str">
        <x:v>Pro</x:v>
      </x:c>
      <x:c r="G2391" s="17" t="n">
        <x:v>15245</x:v>
      </x:c>
      <x:c r="H2391" s="17" t="n">
        <x:v>5564</x:v>
      </x:c>
      <x:c r="I2391" s="17" t="str">
        <x:v>Correction</x:v>
      </x:c>
      <x:c r="J2391" s="27" t="n">
        <x:f>INDEX('Model Pricing'!$B$7:$B$8,MATCH(F2391,'Model Pricing'!$A$7:$A$8,0))</x:f>
        <x:v>40</x:v>
      </x:c>
      <x:c r="K2391" s="27" t="n">
        <x:f>INDEX('Model Pricing'!$C$7:$C$8,MATCH(F2391,'Model Pricing'!$A$7:$A$8,0))</x:f>
        <x:v>100</x:v>
      </x:c>
      <x:c r="L2391" s="17" t="n">
        <x:f>G2391+H2391</x:f>
        <x:v>20809</x:v>
      </x:c>
      <x:c r="M2391" s="28" t="n">
        <x:f>G2391*J2391/1000000</x:f>
        <x:v>0.6098</x:v>
      </x:c>
      <x:c r="N2391" s="28" t="n">
        <x:f>H2391*K2391/1000000</x:f>
        <x:v>0.5564</x:v>
      </x:c>
      <x:c r="O2391" s="28" t="n">
        <x:f>SUM(M2391:N2391)</x:f>
        <x:v>1.1662</x:v>
      </x:c>
    </x:row>
    <x:row r="2392" ht="23" customHeight="1">
      <x:c r="A2392" s="17" t="str">
        <x:v>U02386</x:v>
      </x:c>
      <x:c r="B2392" s="18" t="n">
        <x:v>46273</x:v>
      </x:c>
      <x:c r="C2392" s="17" t="str">
        <x:v>W0138</x:v>
      </x:c>
      <x:c r="D2392" s="17" t="str">
        <x:v>C003</x:v>
      </x:c>
      <x:c r="E2392" s="17" t="str">
        <x:v>CampaignChat</x:v>
      </x:c>
      <x:c r="F2392" s="17" t="str">
        <x:v>Pro</x:v>
      </x:c>
      <x:c r="G2392" s="17" t="n">
        <x:v>12798</x:v>
      </x:c>
      <x:c r="H2392" s="17" t="n">
        <x:v>11287</x:v>
      </x:c>
      <x:c r="I2392" s="17" t="str">
        <x:v>Followup</x:v>
      </x:c>
      <x:c r="J2392" s="27" t="n">
        <x:f>INDEX('Model Pricing'!$B$7:$B$8,MATCH(F2392,'Model Pricing'!$A$7:$A$8,0))</x:f>
        <x:v>40</x:v>
      </x:c>
      <x:c r="K2392" s="27" t="n">
        <x:f>INDEX('Model Pricing'!$C$7:$C$8,MATCH(F2392,'Model Pricing'!$A$7:$A$8,0))</x:f>
        <x:v>100</x:v>
      </x:c>
      <x:c r="L2392" s="17" t="n">
        <x:f>G2392+H2392</x:f>
        <x:v>24085</x:v>
      </x:c>
      <x:c r="M2392" s="28" t="n">
        <x:f>G2392*J2392/1000000</x:f>
        <x:v>0.51192</x:v>
      </x:c>
      <x:c r="N2392" s="28" t="n">
        <x:f>H2392*K2392/1000000</x:f>
        <x:v>1.1287</x:v>
      </x:c>
      <x:c r="O2392" s="28" t="n">
        <x:f>SUM(M2392:N2392)</x:f>
        <x:v>1.6406200000000002</x:v>
      </x:c>
    </x:row>
    <x:row r="2393" ht="23" customHeight="1">
      <x:c r="A2393" s="17" t="str">
        <x:v>U02387</x:v>
      </x:c>
      <x:c r="B2393" s="18" t="n">
        <x:v>46274</x:v>
      </x:c>
      <x:c r="C2393" s="17" t="str">
        <x:v>W0138</x:v>
      </x:c>
      <x:c r="D2393" s="17" t="str">
        <x:v>C003</x:v>
      </x:c>
      <x:c r="E2393" s="17" t="str">
        <x:v>CampaignChat</x:v>
      </x:c>
      <x:c r="F2393" s="17" t="str">
        <x:v>Pro</x:v>
      </x:c>
      <x:c r="G2393" s="17" t="n">
        <x:v>18220</x:v>
      </x:c>
      <x:c r="H2393" s="17" t="n">
        <x:v>11392</x:v>
      </x:c>
      <x:c r="I2393" s="17" t="str">
        <x:v>Correction</x:v>
      </x:c>
      <x:c r="J2393" s="27" t="n">
        <x:f>INDEX('Model Pricing'!$B$7:$B$8,MATCH(F2393,'Model Pricing'!$A$7:$A$8,0))</x:f>
        <x:v>40</x:v>
      </x:c>
      <x:c r="K2393" s="27" t="n">
        <x:f>INDEX('Model Pricing'!$C$7:$C$8,MATCH(F2393,'Model Pricing'!$A$7:$A$8,0))</x:f>
        <x:v>100</x:v>
      </x:c>
      <x:c r="L2393" s="17" t="n">
        <x:f>G2393+H2393</x:f>
        <x:v>29612</x:v>
      </x:c>
      <x:c r="M2393" s="28" t="n">
        <x:f>G2393*J2393/1000000</x:f>
        <x:v>0.7288</x:v>
      </x:c>
      <x:c r="N2393" s="28" t="n">
        <x:f>H2393*K2393/1000000</x:f>
        <x:v>1.1392</x:v>
      </x:c>
      <x:c r="O2393" s="28" t="n">
        <x:f>SUM(M2393:N2393)</x:f>
        <x:v>1.8679999999999999</x:v>
      </x:c>
    </x:row>
    <x:row r="2394" ht="23" customHeight="1">
      <x:c r="A2394" s="17" t="str">
        <x:v>U02388</x:v>
      </x:c>
      <x:c r="B2394" s="18" t="n">
        <x:v>46274</x:v>
      </x:c>
      <x:c r="C2394" s="17" t="str">
        <x:v>W0138</x:v>
      </x:c>
      <x:c r="D2394" s="17" t="str">
        <x:v>C003</x:v>
      </x:c>
      <x:c r="E2394" s="17" t="str">
        <x:v>CampaignChat</x:v>
      </x:c>
      <x:c r="F2394" s="17" t="str">
        <x:v>Pro</x:v>
      </x:c>
      <x:c r="G2394" s="17" t="n">
        <x:v>13410</x:v>
      </x:c>
      <x:c r="H2394" s="17" t="n">
        <x:v>8014</x:v>
      </x:c>
      <x:c r="I2394" s="17" t="str">
        <x:v>Followup</x:v>
      </x:c>
      <x:c r="J2394" s="27" t="n">
        <x:f>INDEX('Model Pricing'!$B$7:$B$8,MATCH(F2394,'Model Pricing'!$A$7:$A$8,0))</x:f>
        <x:v>40</x:v>
      </x:c>
      <x:c r="K2394" s="27" t="n">
        <x:f>INDEX('Model Pricing'!$C$7:$C$8,MATCH(F2394,'Model Pricing'!$A$7:$A$8,0))</x:f>
        <x:v>100</x:v>
      </x:c>
      <x:c r="L2394" s="17" t="n">
        <x:f>G2394+H2394</x:f>
        <x:v>21424</x:v>
      </x:c>
      <x:c r="M2394" s="28" t="n">
        <x:f>G2394*J2394/1000000</x:f>
        <x:v>0.5364</x:v>
      </x:c>
      <x:c r="N2394" s="28" t="n">
        <x:f>H2394*K2394/1000000</x:f>
        <x:v>0.8014</x:v>
      </x:c>
      <x:c r="O2394" s="28" t="n">
        <x:f>SUM(M2394:N2394)</x:f>
        <x:v>1.3378</x:v>
      </x:c>
    </x:row>
    <x:row r="2395" ht="23" customHeight="1">
      <x:c r="A2395" s="17" t="str">
        <x:v>U02389</x:v>
      </x:c>
      <x:c r="B2395" s="18" t="n">
        <x:v>46274</x:v>
      </x:c>
      <x:c r="C2395" s="17" t="str">
        <x:v>W0138</x:v>
      </x:c>
      <x:c r="D2395" s="17" t="str">
        <x:v>C003</x:v>
      </x:c>
      <x:c r="E2395" s="17" t="str">
        <x:v>CampaignChat</x:v>
      </x:c>
      <x:c r="F2395" s="17" t="str">
        <x:v>Pro</x:v>
      </x:c>
      <x:c r="G2395" s="17" t="n">
        <x:v>11795</x:v>
      </x:c>
      <x:c r="H2395" s="17" t="n">
        <x:v>14162</x:v>
      </x:c>
      <x:c r="I2395" s="17" t="str">
        <x:v>Followup</x:v>
      </x:c>
      <x:c r="J2395" s="27" t="n">
        <x:f>INDEX('Model Pricing'!$B$7:$B$8,MATCH(F2395,'Model Pricing'!$A$7:$A$8,0))</x:f>
        <x:v>40</x:v>
      </x:c>
      <x:c r="K2395" s="27" t="n">
        <x:f>INDEX('Model Pricing'!$C$7:$C$8,MATCH(F2395,'Model Pricing'!$A$7:$A$8,0))</x:f>
        <x:v>100</x:v>
      </x:c>
      <x:c r="L2395" s="17" t="n">
        <x:f>G2395+H2395</x:f>
        <x:v>25957</x:v>
      </x:c>
      <x:c r="M2395" s="28" t="n">
        <x:f>G2395*J2395/1000000</x:f>
        <x:v>0.4718</x:v>
      </x:c>
      <x:c r="N2395" s="28" t="n">
        <x:f>H2395*K2395/1000000</x:f>
        <x:v>1.4162</x:v>
      </x:c>
      <x:c r="O2395" s="28" t="n">
        <x:f>SUM(M2395:N2395)</x:f>
        <x:v>1.888</x:v>
      </x:c>
    </x:row>
    <x:row r="2396" ht="23" customHeight="1">
      <x:c r="A2396" s="17" t="str">
        <x:v>U02390</x:v>
      </x:c>
      <x:c r="B2396" s="18" t="n">
        <x:v>46280</x:v>
      </x:c>
      <x:c r="C2396" s="17" t="str">
        <x:v>W0139</x:v>
      </x:c>
      <x:c r="D2396" s="17" t="str">
        <x:v>C003</x:v>
      </x:c>
      <x:c r="E2396" s="17" t="str">
        <x:v>DataFlow</x:v>
      </x:c>
      <x:c r="F2396" s="17" t="str">
        <x:v>Pro</x:v>
      </x:c>
      <x:c r="G2396" s="17" t="n">
        <x:v>22666</x:v>
      </x:c>
      <x:c r="H2396" s="17" t="n">
        <x:v>12147</x:v>
      </x:c>
      <x:c r="I2396" s="17" t="str">
        <x:v>First attempt</x:v>
      </x:c>
      <x:c r="J2396" s="27" t="n">
        <x:f>INDEX('Model Pricing'!$B$7:$B$8,MATCH(F2396,'Model Pricing'!$A$7:$A$8,0))</x:f>
        <x:v>40</x:v>
      </x:c>
      <x:c r="K2396" s="27" t="n">
        <x:f>INDEX('Model Pricing'!$C$7:$C$8,MATCH(F2396,'Model Pricing'!$A$7:$A$8,0))</x:f>
        <x:v>100</x:v>
      </x:c>
      <x:c r="L2396" s="17" t="n">
        <x:f>G2396+H2396</x:f>
        <x:v>34813</x:v>
      </x:c>
      <x:c r="M2396" s="28" t="n">
        <x:f>G2396*J2396/1000000</x:f>
        <x:v>0.90664</x:v>
      </x:c>
      <x:c r="N2396" s="28" t="n">
        <x:f>H2396*K2396/1000000</x:f>
        <x:v>1.2147</x:v>
      </x:c>
      <x:c r="O2396" s="28" t="n">
        <x:f>SUM(M2396:N2396)</x:f>
        <x:v>2.12134</x:v>
      </x:c>
    </x:row>
    <x:row r="2397" ht="23" customHeight="1">
      <x:c r="A2397" s="17" t="str">
        <x:v>U02391</x:v>
      </x:c>
      <x:c r="B2397" s="18" t="n">
        <x:v>46280</x:v>
      </x:c>
      <x:c r="C2397" s="17" t="str">
        <x:v>W0139</x:v>
      </x:c>
      <x:c r="D2397" s="17" t="str">
        <x:v>C003</x:v>
      </x:c>
      <x:c r="E2397" s="17" t="str">
        <x:v>DataFlow</x:v>
      </x:c>
      <x:c r="F2397" s="17" t="str">
        <x:v>Pro</x:v>
      </x:c>
      <x:c r="G2397" s="17" t="n">
        <x:v>15483</x:v>
      </x:c>
      <x:c r="H2397" s="17" t="n">
        <x:v>9333</x:v>
      </x:c>
      <x:c r="I2397" s="17" t="str">
        <x:v>Correction</x:v>
      </x:c>
      <x:c r="J2397" s="27" t="n">
        <x:f>INDEX('Model Pricing'!$B$7:$B$8,MATCH(F2397,'Model Pricing'!$A$7:$A$8,0))</x:f>
        <x:v>40</x:v>
      </x:c>
      <x:c r="K2397" s="27" t="n">
        <x:f>INDEX('Model Pricing'!$C$7:$C$8,MATCH(F2397,'Model Pricing'!$A$7:$A$8,0))</x:f>
        <x:v>100</x:v>
      </x:c>
      <x:c r="L2397" s="17" t="n">
        <x:f>G2397+H2397</x:f>
        <x:v>24816</x:v>
      </x:c>
      <x:c r="M2397" s="28" t="n">
        <x:f>G2397*J2397/1000000</x:f>
        <x:v>0.61932</x:v>
      </x:c>
      <x:c r="N2397" s="28" t="n">
        <x:f>H2397*K2397/1000000</x:f>
        <x:v>0.9333</x:v>
      </x:c>
      <x:c r="O2397" s="28" t="n">
        <x:f>SUM(M2397:N2397)</x:f>
        <x:v>1.5526200000000001</x:v>
      </x:c>
    </x:row>
    <x:row r="2398" ht="23" customHeight="1">
      <x:c r="A2398" s="17" t="str">
        <x:v>U02392</x:v>
      </x:c>
      <x:c r="B2398" s="18" t="n">
        <x:v>46281</x:v>
      </x:c>
      <x:c r="C2398" s="17" t="str">
        <x:v>W0139</x:v>
      </x:c>
      <x:c r="D2398" s="17" t="str">
        <x:v>C003</x:v>
      </x:c>
      <x:c r="E2398" s="17" t="str">
        <x:v>DataFlow</x:v>
      </x:c>
      <x:c r="F2398" s="17" t="str">
        <x:v>Pro</x:v>
      </x:c>
      <x:c r="G2398" s="17" t="n">
        <x:v>9486</x:v>
      </x:c>
      <x:c r="H2398" s="17" t="n">
        <x:v>12374</x:v>
      </x:c>
      <x:c r="I2398" s="17" t="str">
        <x:v>Followup</x:v>
      </x:c>
      <x:c r="J2398" s="27" t="n">
        <x:f>INDEX('Model Pricing'!$B$7:$B$8,MATCH(F2398,'Model Pricing'!$A$7:$A$8,0))</x:f>
        <x:v>40</x:v>
      </x:c>
      <x:c r="K2398" s="27" t="n">
        <x:f>INDEX('Model Pricing'!$C$7:$C$8,MATCH(F2398,'Model Pricing'!$A$7:$A$8,0))</x:f>
        <x:v>100</x:v>
      </x:c>
      <x:c r="L2398" s="17" t="n">
        <x:f>G2398+H2398</x:f>
        <x:v>21860</x:v>
      </x:c>
      <x:c r="M2398" s="28" t="n">
        <x:f>G2398*J2398/1000000</x:f>
        <x:v>0.37944</x:v>
      </x:c>
      <x:c r="N2398" s="28" t="n">
        <x:f>H2398*K2398/1000000</x:f>
        <x:v>1.2374</x:v>
      </x:c>
      <x:c r="O2398" s="28" t="n">
        <x:f>SUM(M2398:N2398)</x:f>
        <x:v>1.61684</x:v>
      </x:c>
    </x:row>
    <x:row r="2399" ht="23" customHeight="1">
      <x:c r="A2399" s="17" t="str">
        <x:v>U02393</x:v>
      </x:c>
      <x:c r="B2399" s="18" t="n">
        <x:v>46281</x:v>
      </x:c>
      <x:c r="C2399" s="17" t="str">
        <x:v>W0139</x:v>
      </x:c>
      <x:c r="D2399" s="17" t="str">
        <x:v>C003</x:v>
      </x:c>
      <x:c r="E2399" s="17" t="str">
        <x:v>DataFlow</x:v>
      </x:c>
      <x:c r="F2399" s="17" t="str">
        <x:v>Pro</x:v>
      </x:c>
      <x:c r="G2399" s="17" t="n">
        <x:v>18054</x:v>
      </x:c>
      <x:c r="H2399" s="17" t="n">
        <x:v>10967</x:v>
      </x:c>
      <x:c r="I2399" s="17" t="str">
        <x:v>Followup</x:v>
      </x:c>
      <x:c r="J2399" s="27" t="n">
        <x:f>INDEX('Model Pricing'!$B$7:$B$8,MATCH(F2399,'Model Pricing'!$A$7:$A$8,0))</x:f>
        <x:v>40</x:v>
      </x:c>
      <x:c r="K2399" s="27" t="n">
        <x:f>INDEX('Model Pricing'!$C$7:$C$8,MATCH(F2399,'Model Pricing'!$A$7:$A$8,0))</x:f>
        <x:v>100</x:v>
      </x:c>
      <x:c r="L2399" s="17" t="n">
        <x:f>G2399+H2399</x:f>
        <x:v>29021</x:v>
      </x:c>
      <x:c r="M2399" s="28" t="n">
        <x:f>G2399*J2399/1000000</x:f>
        <x:v>0.72216</x:v>
      </x:c>
      <x:c r="N2399" s="28" t="n">
        <x:f>H2399*K2399/1000000</x:f>
        <x:v>1.0967</x:v>
      </x:c>
      <x:c r="O2399" s="28" t="n">
        <x:f>SUM(M2399:N2399)</x:f>
        <x:v>1.81886</x:v>
      </x:c>
    </x:row>
    <x:row r="2400" ht="23" customHeight="1">
      <x:c r="A2400" s="17" t="str">
        <x:v>U02394</x:v>
      </x:c>
      <x:c r="B2400" s="18" t="n">
        <x:v>46282</x:v>
      </x:c>
      <x:c r="C2400" s="17" t="str">
        <x:v>W0139</x:v>
      </x:c>
      <x:c r="D2400" s="17" t="str">
        <x:v>C003</x:v>
      </x:c>
      <x:c r="E2400" s="17" t="str">
        <x:v>DataFlow</x:v>
      </x:c>
      <x:c r="F2400" s="17" t="str">
        <x:v>Pro</x:v>
      </x:c>
      <x:c r="G2400" s="17" t="n">
        <x:v>15483</x:v>
      </x:c>
      <x:c r="H2400" s="17" t="n">
        <x:v>6863</x:v>
      </x:c>
      <x:c r="I2400" s="17" t="str">
        <x:v>Followup</x:v>
      </x:c>
      <x:c r="J2400" s="27" t="n">
        <x:f>INDEX('Model Pricing'!$B$7:$B$8,MATCH(F2400,'Model Pricing'!$A$7:$A$8,0))</x:f>
        <x:v>40</x:v>
      </x:c>
      <x:c r="K2400" s="27" t="n">
        <x:f>INDEX('Model Pricing'!$C$7:$C$8,MATCH(F2400,'Model Pricing'!$A$7:$A$8,0))</x:f>
        <x:v>100</x:v>
      </x:c>
      <x:c r="L2400" s="17" t="n">
        <x:f>G2400+H2400</x:f>
        <x:v>22346</x:v>
      </x:c>
      <x:c r="M2400" s="28" t="n">
        <x:f>G2400*J2400/1000000</x:f>
        <x:v>0.61932</x:v>
      </x:c>
      <x:c r="N2400" s="28" t="n">
        <x:f>H2400*K2400/1000000</x:f>
        <x:v>0.6863</x:v>
      </x:c>
      <x:c r="O2400" s="28" t="n">
        <x:f>SUM(M2400:N2400)</x:f>
        <x:v>1.30562</x:v>
      </x:c>
    </x:row>
    <x:row r="2401" ht="23" customHeight="1">
      <x:c r="A2401" s="17" t="str">
        <x:v>U02395</x:v>
      </x:c>
      <x:c r="B2401" s="18" t="n">
        <x:v>46282</x:v>
      </x:c>
      <x:c r="C2401" s="17" t="str">
        <x:v>W0139</x:v>
      </x:c>
      <x:c r="D2401" s="17" t="str">
        <x:v>C003</x:v>
      </x:c>
      <x:c r="E2401" s="17" t="str">
        <x:v>DataFlow</x:v>
      </x:c>
      <x:c r="F2401" s="17" t="str">
        <x:v>Pro</x:v>
      </x:c>
      <x:c r="G2401" s="17" t="n">
        <x:v>14479</x:v>
      </x:c>
      <x:c r="H2401" s="17" t="n">
        <x:v>4334</x:v>
      </x:c>
      <x:c r="I2401" s="17" t="str">
        <x:v>Followup</x:v>
      </x:c>
      <x:c r="J2401" s="27" t="n">
        <x:f>INDEX('Model Pricing'!$B$7:$B$8,MATCH(F2401,'Model Pricing'!$A$7:$A$8,0))</x:f>
        <x:v>40</x:v>
      </x:c>
      <x:c r="K2401" s="27" t="n">
        <x:f>INDEX('Model Pricing'!$C$7:$C$8,MATCH(F2401,'Model Pricing'!$A$7:$A$8,0))</x:f>
        <x:v>100</x:v>
      </x:c>
      <x:c r="L2401" s="17" t="n">
        <x:f>G2401+H2401</x:f>
        <x:v>18813</x:v>
      </x:c>
      <x:c r="M2401" s="28" t="n">
        <x:f>G2401*J2401/1000000</x:f>
        <x:v>0.57916</x:v>
      </x:c>
      <x:c r="N2401" s="28" t="n">
        <x:f>H2401*K2401/1000000</x:f>
        <x:v>0.4334</x:v>
      </x:c>
      <x:c r="O2401" s="28" t="n">
        <x:f>SUM(M2401:N2401)</x:f>
        <x:v>1.0125600000000001</x:v>
      </x:c>
    </x:row>
    <x:row r="2402" ht="23" customHeight="1">
      <x:c r="A2402" s="17" t="str">
        <x:v>U02396</x:v>
      </x:c>
      <x:c r="B2402" s="18" t="n">
        <x:v>46283</x:v>
      </x:c>
      <x:c r="C2402" s="17" t="str">
        <x:v>W0139</x:v>
      </x:c>
      <x:c r="D2402" s="17" t="str">
        <x:v>C003</x:v>
      </x:c>
      <x:c r="E2402" s="17" t="str">
        <x:v>DataFlow</x:v>
      </x:c>
      <x:c r="F2402" s="17" t="str">
        <x:v>Pro</x:v>
      </x:c>
      <x:c r="G2402" s="17" t="n">
        <x:v>16856</x:v>
      </x:c>
      <x:c r="H2402" s="17" t="n">
        <x:v>10490</x:v>
      </x:c>
      <x:c r="I2402" s="17" t="str">
        <x:v>Correction</x:v>
      </x:c>
      <x:c r="J2402" s="27" t="n">
        <x:f>INDEX('Model Pricing'!$B$7:$B$8,MATCH(F2402,'Model Pricing'!$A$7:$A$8,0))</x:f>
        <x:v>40</x:v>
      </x:c>
      <x:c r="K2402" s="27" t="n">
        <x:f>INDEX('Model Pricing'!$C$7:$C$8,MATCH(F2402,'Model Pricing'!$A$7:$A$8,0))</x:f>
        <x:v>100</x:v>
      </x:c>
      <x:c r="L2402" s="17" t="n">
        <x:f>G2402+H2402</x:f>
        <x:v>27346</x:v>
      </x:c>
      <x:c r="M2402" s="28" t="n">
        <x:f>G2402*J2402/1000000</x:f>
        <x:v>0.67424</x:v>
      </x:c>
      <x:c r="N2402" s="28" t="n">
        <x:f>H2402*K2402/1000000</x:f>
        <x:v>1.049</x:v>
      </x:c>
      <x:c r="O2402" s="28" t="n">
        <x:f>SUM(M2402:N2402)</x:f>
        <x:v>1.7232399999999999</x:v>
      </x:c>
    </x:row>
    <x:row r="2403" ht="23" customHeight="1">
      <x:c r="A2403" s="17" t="str">
        <x:v>U02397</x:v>
      </x:c>
      <x:c r="B2403" s="18" t="n">
        <x:v>46283</x:v>
      </x:c>
      <x:c r="C2403" s="17" t="str">
        <x:v>W0139</x:v>
      </x:c>
      <x:c r="D2403" s="17" t="str">
        <x:v>C003</x:v>
      </x:c>
      <x:c r="E2403" s="17" t="str">
        <x:v>DataFlow</x:v>
      </x:c>
      <x:c r="F2403" s="17" t="str">
        <x:v>Pro</x:v>
      </x:c>
      <x:c r="G2403" s="17" t="n">
        <x:v>13684</x:v>
      </x:c>
      <x:c r="H2403" s="17" t="n">
        <x:v>4727</x:v>
      </x:c>
      <x:c r="I2403" s="17" t="str">
        <x:v>Followup</x:v>
      </x:c>
      <x:c r="J2403" s="27" t="n">
        <x:f>INDEX('Model Pricing'!$B$7:$B$8,MATCH(F2403,'Model Pricing'!$A$7:$A$8,0))</x:f>
        <x:v>40</x:v>
      </x:c>
      <x:c r="K2403" s="27" t="n">
        <x:f>INDEX('Model Pricing'!$C$7:$C$8,MATCH(F2403,'Model Pricing'!$A$7:$A$8,0))</x:f>
        <x:v>100</x:v>
      </x:c>
      <x:c r="L2403" s="17" t="n">
        <x:f>G2403+H2403</x:f>
        <x:v>18411</x:v>
      </x:c>
      <x:c r="M2403" s="28" t="n">
        <x:f>G2403*J2403/1000000</x:f>
        <x:v>0.54736</x:v>
      </x:c>
      <x:c r="N2403" s="28" t="n">
        <x:f>H2403*K2403/1000000</x:f>
        <x:v>0.4727</x:v>
      </x:c>
      <x:c r="O2403" s="28" t="n">
        <x:f>SUM(M2403:N2403)</x:f>
        <x:v>1.02006</x:v>
      </x:c>
    </x:row>
    <x:row r="2404" ht="23" customHeight="1">
      <x:c r="A2404" s="17" t="str">
        <x:v>U02398</x:v>
      </x:c>
      <x:c r="B2404" s="18" t="n">
        <x:v>46274</x:v>
      </x:c>
      <x:c r="C2404" s="17" t="str">
        <x:v>W0141</x:v>
      </x:c>
      <x:c r="D2404" s="17" t="str">
        <x:v>C003</x:v>
      </x:c>
      <x:c r="E2404" s="17" t="str">
        <x:v>DataFlow</x:v>
      </x:c>
      <x:c r="F2404" s="17" t="str">
        <x:v>Pro</x:v>
      </x:c>
      <x:c r="G2404" s="17" t="n">
        <x:v>16552</x:v>
      </x:c>
      <x:c r="H2404" s="17" t="n">
        <x:v>5416</x:v>
      </x:c>
      <x:c r="I2404" s="17" t="str">
        <x:v>First attempt</x:v>
      </x:c>
      <x:c r="J2404" s="27" t="n">
        <x:f>INDEX('Model Pricing'!$B$7:$B$8,MATCH(F2404,'Model Pricing'!$A$7:$A$8,0))</x:f>
        <x:v>40</x:v>
      </x:c>
      <x:c r="K2404" s="27" t="n">
        <x:f>INDEX('Model Pricing'!$C$7:$C$8,MATCH(F2404,'Model Pricing'!$A$7:$A$8,0))</x:f>
        <x:v>100</x:v>
      </x:c>
      <x:c r="L2404" s="17" t="n">
        <x:f>G2404+H2404</x:f>
        <x:v>21968</x:v>
      </x:c>
      <x:c r="M2404" s="28" t="n">
        <x:f>G2404*J2404/1000000</x:f>
        <x:v>0.66208</x:v>
      </x:c>
      <x:c r="N2404" s="28" t="n">
        <x:f>H2404*K2404/1000000</x:f>
        <x:v>0.5416</x:v>
      </x:c>
      <x:c r="O2404" s="28" t="n">
        <x:f>SUM(M2404:N2404)</x:f>
        <x:v>1.2036799999999999</x:v>
      </x:c>
    </x:row>
    <x:row r="2405" ht="23" customHeight="1">
      <x:c r="A2405" s="17" t="str">
        <x:v>U02399</x:v>
      </x:c>
      <x:c r="B2405" s="18" t="n">
        <x:v>46274</x:v>
      </x:c>
      <x:c r="C2405" s="17" t="str">
        <x:v>W0141</x:v>
      </x:c>
      <x:c r="D2405" s="17" t="str">
        <x:v>C003</x:v>
      </x:c>
      <x:c r="E2405" s="17" t="str">
        <x:v>DataFlow</x:v>
      </x:c>
      <x:c r="F2405" s="17" t="str">
        <x:v>Pro</x:v>
      </x:c>
      <x:c r="G2405" s="17" t="n">
        <x:v>24094</x:v>
      </x:c>
      <x:c r="H2405" s="17" t="n">
        <x:v>11886</x:v>
      </x:c>
      <x:c r="I2405" s="17" t="str">
        <x:v>Correction</x:v>
      </x:c>
      <x:c r="J2405" s="27" t="n">
        <x:f>INDEX('Model Pricing'!$B$7:$B$8,MATCH(F2405,'Model Pricing'!$A$7:$A$8,0))</x:f>
        <x:v>40</x:v>
      </x:c>
      <x:c r="K2405" s="27" t="n">
        <x:f>INDEX('Model Pricing'!$C$7:$C$8,MATCH(F2405,'Model Pricing'!$A$7:$A$8,0))</x:f>
        <x:v>100</x:v>
      </x:c>
      <x:c r="L2405" s="17" t="n">
        <x:f>G2405+H2405</x:f>
        <x:v>35980</x:v>
      </x:c>
      <x:c r="M2405" s="28" t="n">
        <x:f>G2405*J2405/1000000</x:f>
        <x:v>0.96376</x:v>
      </x:c>
      <x:c r="N2405" s="28" t="n">
        <x:f>H2405*K2405/1000000</x:f>
        <x:v>1.1886</x:v>
      </x:c>
      <x:c r="O2405" s="28" t="n">
        <x:f>SUM(M2405:N2405)</x:f>
        <x:v>2.15236</x:v>
      </x:c>
    </x:row>
    <x:row r="2406" ht="23" customHeight="1">
      <x:c r="A2406" s="17" t="str">
        <x:v>U02400</x:v>
      </x:c>
      <x:c r="B2406" s="18" t="n">
        <x:v>46274</x:v>
      </x:c>
      <x:c r="C2406" s="17" t="str">
        <x:v>W0141</x:v>
      </x:c>
      <x:c r="D2406" s="17" t="str">
        <x:v>C003</x:v>
      </x:c>
      <x:c r="E2406" s="17" t="str">
        <x:v>DataFlow</x:v>
      </x:c>
      <x:c r="F2406" s="17" t="str">
        <x:v>Pro</x:v>
      </x:c>
      <x:c r="G2406" s="17" t="n">
        <x:v>26642</x:v>
      </x:c>
      <x:c r="H2406" s="17" t="n">
        <x:v>10061</x:v>
      </x:c>
      <x:c r="I2406" s="17" t="str">
        <x:v>Followup</x:v>
      </x:c>
      <x:c r="J2406" s="27" t="n">
        <x:f>INDEX('Model Pricing'!$B$7:$B$8,MATCH(F2406,'Model Pricing'!$A$7:$A$8,0))</x:f>
        <x:v>40</x:v>
      </x:c>
      <x:c r="K2406" s="27" t="n">
        <x:f>INDEX('Model Pricing'!$C$7:$C$8,MATCH(F2406,'Model Pricing'!$A$7:$A$8,0))</x:f>
        <x:v>100</x:v>
      </x:c>
      <x:c r="L2406" s="17" t="n">
        <x:f>G2406+H2406</x:f>
        <x:v>36703</x:v>
      </x:c>
      <x:c r="M2406" s="28" t="n">
        <x:f>G2406*J2406/1000000</x:f>
        <x:v>1.06568</x:v>
      </x:c>
      <x:c r="N2406" s="28" t="n">
        <x:f>H2406*K2406/1000000</x:f>
        <x:v>1.0061</x:v>
      </x:c>
      <x:c r="O2406" s="28" t="n">
        <x:f>SUM(M2406:N2406)</x:f>
        <x:v>2.07178</x:v>
      </x:c>
    </x:row>
    <x:row r="2407" ht="23" customHeight="1">
      <x:c r="A2407" s="17" t="str">
        <x:v>U02401</x:v>
      </x:c>
      <x:c r="B2407" s="18" t="n">
        <x:v>46275</x:v>
      </x:c>
      <x:c r="C2407" s="17" t="str">
        <x:v>W0141</x:v>
      </x:c>
      <x:c r="D2407" s="17" t="str">
        <x:v>C003</x:v>
      </x:c>
      <x:c r="E2407" s="17" t="str">
        <x:v>DataFlow</x:v>
      </x:c>
      <x:c r="F2407" s="17" t="str">
        <x:v>Pro</x:v>
      </x:c>
      <x:c r="G2407" s="17" t="n">
        <x:v>22335</x:v>
      </x:c>
      <x:c r="H2407" s="17" t="n">
        <x:v>3803</x:v>
      </x:c>
      <x:c r="I2407" s="17" t="str">
        <x:v>Followup</x:v>
      </x:c>
      <x:c r="J2407" s="27" t="n">
        <x:f>INDEX('Model Pricing'!$B$7:$B$8,MATCH(F2407,'Model Pricing'!$A$7:$A$8,0))</x:f>
        <x:v>40</x:v>
      </x:c>
      <x:c r="K2407" s="27" t="n">
        <x:f>INDEX('Model Pricing'!$C$7:$C$8,MATCH(F2407,'Model Pricing'!$A$7:$A$8,0))</x:f>
        <x:v>100</x:v>
      </x:c>
      <x:c r="L2407" s="17" t="n">
        <x:f>G2407+H2407</x:f>
        <x:v>26138</x:v>
      </x:c>
      <x:c r="M2407" s="28" t="n">
        <x:f>G2407*J2407/1000000</x:f>
        <x:v>0.8934</x:v>
      </x:c>
      <x:c r="N2407" s="28" t="n">
        <x:f>H2407*K2407/1000000</x:f>
        <x:v>0.3803</x:v>
      </x:c>
      <x:c r="O2407" s="28" t="n">
        <x:f>SUM(M2407:N2407)</x:f>
        <x:v>1.2737</x:v>
      </x:c>
    </x:row>
    <x:row r="2408" ht="23" customHeight="1">
      <x:c r="A2408" s="17" t="str">
        <x:v>U02402</x:v>
      </x:c>
      <x:c r="B2408" s="18" t="n">
        <x:v>46275</x:v>
      </x:c>
      <x:c r="C2408" s="17" t="str">
        <x:v>W0141</x:v>
      </x:c>
      <x:c r="D2408" s="17" t="str">
        <x:v>C003</x:v>
      </x:c>
      <x:c r="E2408" s="17" t="str">
        <x:v>DataFlow</x:v>
      </x:c>
      <x:c r="F2408" s="17" t="str">
        <x:v>Pro</x:v>
      </x:c>
      <x:c r="G2408" s="17" t="n">
        <x:v>25981</x:v>
      </x:c>
      <x:c r="H2408" s="17" t="n">
        <x:v>12823</x:v>
      </x:c>
      <x:c r="I2408" s="17" t="str">
        <x:v>Followup</x:v>
      </x:c>
      <x:c r="J2408" s="27" t="n">
        <x:f>INDEX('Model Pricing'!$B$7:$B$8,MATCH(F2408,'Model Pricing'!$A$7:$A$8,0))</x:f>
        <x:v>40</x:v>
      </x:c>
      <x:c r="K2408" s="27" t="n">
        <x:f>INDEX('Model Pricing'!$C$7:$C$8,MATCH(F2408,'Model Pricing'!$A$7:$A$8,0))</x:f>
        <x:v>100</x:v>
      </x:c>
      <x:c r="L2408" s="17" t="n">
        <x:f>G2408+H2408</x:f>
        <x:v>38804</x:v>
      </x:c>
      <x:c r="M2408" s="28" t="n">
        <x:f>G2408*J2408/1000000</x:f>
        <x:v>1.03924</x:v>
      </x:c>
      <x:c r="N2408" s="28" t="n">
        <x:f>H2408*K2408/1000000</x:f>
        <x:v>1.2823</x:v>
      </x:c>
      <x:c r="O2408" s="28" t="n">
        <x:f>SUM(M2408:N2408)</x:f>
        <x:v>2.3215399999999997</x:v>
      </x:c>
    </x:row>
    <x:row r="2409" ht="23" customHeight="1">
      <x:c r="A2409" s="17" t="str">
        <x:v>U02403</x:v>
      </x:c>
      <x:c r="B2409" s="18" t="n">
        <x:v>46276</x:v>
      </x:c>
      <x:c r="C2409" s="17" t="str">
        <x:v>W0141</x:v>
      </x:c>
      <x:c r="D2409" s="17" t="str">
        <x:v>C003</x:v>
      </x:c>
      <x:c r="E2409" s="17" t="str">
        <x:v>DataFlow</x:v>
      </x:c>
      <x:c r="F2409" s="17" t="str">
        <x:v>Pro</x:v>
      </x:c>
      <x:c r="G2409" s="17" t="n">
        <x:v>27219</x:v>
      </x:c>
      <x:c r="H2409" s="17" t="n">
        <x:v>6491</x:v>
      </x:c>
      <x:c r="I2409" s="17" t="str">
        <x:v>Followup</x:v>
      </x:c>
      <x:c r="J2409" s="27" t="n">
        <x:f>INDEX('Model Pricing'!$B$7:$B$8,MATCH(F2409,'Model Pricing'!$A$7:$A$8,0))</x:f>
        <x:v>40</x:v>
      </x:c>
      <x:c r="K2409" s="27" t="n">
        <x:f>INDEX('Model Pricing'!$C$7:$C$8,MATCH(F2409,'Model Pricing'!$A$7:$A$8,0))</x:f>
        <x:v>100</x:v>
      </x:c>
      <x:c r="L2409" s="17" t="n">
        <x:f>G2409+H2409</x:f>
        <x:v>33710</x:v>
      </x:c>
      <x:c r="M2409" s="28" t="n">
        <x:f>G2409*J2409/1000000</x:f>
        <x:v>1.08876</x:v>
      </x:c>
      <x:c r="N2409" s="28" t="n">
        <x:f>H2409*K2409/1000000</x:f>
        <x:v>0.6491</x:v>
      </x:c>
      <x:c r="O2409" s="28" t="n">
        <x:f>SUM(M2409:N2409)</x:f>
        <x:v>1.73786</x:v>
      </x:c>
    </x:row>
    <x:row r="2410" ht="23" customHeight="1">
      <x:c r="A2410" s="17" t="str">
        <x:v>U02404</x:v>
      </x:c>
      <x:c r="B2410" s="18" t="n">
        <x:v>46276</x:v>
      </x:c>
      <x:c r="C2410" s="17" t="str">
        <x:v>W0141</x:v>
      </x:c>
      <x:c r="D2410" s="17" t="str">
        <x:v>C003</x:v>
      </x:c>
      <x:c r="E2410" s="17" t="str">
        <x:v>DataFlow</x:v>
      </x:c>
      <x:c r="F2410" s="17" t="str">
        <x:v>Pro</x:v>
      </x:c>
      <x:c r="G2410" s="17" t="n">
        <x:v>26621</x:v>
      </x:c>
      <x:c r="H2410" s="17" t="n">
        <x:v>4001</x:v>
      </x:c>
      <x:c r="I2410" s="17" t="str">
        <x:v>Followup</x:v>
      </x:c>
      <x:c r="J2410" s="27" t="n">
        <x:f>INDEX('Model Pricing'!$B$7:$B$8,MATCH(F2410,'Model Pricing'!$A$7:$A$8,0))</x:f>
        <x:v>40</x:v>
      </x:c>
      <x:c r="K2410" s="27" t="n">
        <x:f>INDEX('Model Pricing'!$C$7:$C$8,MATCH(F2410,'Model Pricing'!$A$7:$A$8,0))</x:f>
        <x:v>100</x:v>
      </x:c>
      <x:c r="L2410" s="17" t="n">
        <x:f>G2410+H2410</x:f>
        <x:v>30622</x:v>
      </x:c>
      <x:c r="M2410" s="28" t="n">
        <x:f>G2410*J2410/1000000</x:f>
        <x:v>1.06484</x:v>
      </x:c>
      <x:c r="N2410" s="28" t="n">
        <x:f>H2410*K2410/1000000</x:f>
        <x:v>0.4001</x:v>
      </x:c>
      <x:c r="O2410" s="28" t="n">
        <x:f>SUM(M2410:N2410)</x:f>
        <x:v>1.46494</x:v>
      </x:c>
    </x:row>
    <x:row r="2411" ht="23" customHeight="1">
      <x:c r="A2411" s="17" t="str">
        <x:v>U02405</x:v>
      </x:c>
      <x:c r="B2411" s="18" t="n">
        <x:v>46279</x:v>
      </x:c>
      <x:c r="C2411" s="17" t="str">
        <x:v>W0141</x:v>
      </x:c>
      <x:c r="D2411" s="17" t="str">
        <x:v>C003</x:v>
      </x:c>
      <x:c r="E2411" s="17" t="str">
        <x:v>DataFlow</x:v>
      </x:c>
      <x:c r="F2411" s="17" t="str">
        <x:v>Pro</x:v>
      </x:c>
      <x:c r="G2411" s="17" t="n">
        <x:v>11890</x:v>
      </x:c>
      <x:c r="H2411" s="17" t="n">
        <x:v>9344</x:v>
      </x:c>
      <x:c r="I2411" s="17" t="str">
        <x:v>Correction</x:v>
      </x:c>
      <x:c r="J2411" s="27" t="n">
        <x:f>INDEX('Model Pricing'!$B$7:$B$8,MATCH(F2411,'Model Pricing'!$A$7:$A$8,0))</x:f>
        <x:v>40</x:v>
      </x:c>
      <x:c r="K2411" s="27" t="n">
        <x:f>INDEX('Model Pricing'!$C$7:$C$8,MATCH(F2411,'Model Pricing'!$A$7:$A$8,0))</x:f>
        <x:v>100</x:v>
      </x:c>
      <x:c r="L2411" s="17" t="n">
        <x:f>G2411+H2411</x:f>
        <x:v>21234</x:v>
      </x:c>
      <x:c r="M2411" s="28" t="n">
        <x:f>G2411*J2411/1000000</x:f>
        <x:v>0.4756</x:v>
      </x:c>
      <x:c r="N2411" s="28" t="n">
        <x:f>H2411*K2411/1000000</x:f>
        <x:v>0.9344</x:v>
      </x:c>
      <x:c r="O2411" s="28" t="n">
        <x:f>SUM(M2411:N2411)</x:f>
        <x:v>1.4100000000000001</x:v>
      </x:c>
    </x:row>
    <x:row r="2412" ht="23" customHeight="1">
      <x:c r="A2412" s="17" t="str">
        <x:v>U02406</x:v>
      </x:c>
      <x:c r="B2412" s="18" t="n">
        <x:v>46279</x:v>
      </x:c>
      <x:c r="C2412" s="17" t="str">
        <x:v>W0141</x:v>
      </x:c>
      <x:c r="D2412" s="17" t="str">
        <x:v>C003</x:v>
      </x:c>
      <x:c r="E2412" s="17" t="str">
        <x:v>DataFlow</x:v>
      </x:c>
      <x:c r="F2412" s="17" t="str">
        <x:v>Pro</x:v>
      </x:c>
      <x:c r="G2412" s="17" t="n">
        <x:v>25669</x:v>
      </x:c>
      <x:c r="H2412" s="17" t="n">
        <x:v>9010</x:v>
      </x:c>
      <x:c r="I2412" s="17" t="str">
        <x:v>Followup</x:v>
      </x:c>
      <x:c r="J2412" s="27" t="n">
        <x:f>INDEX('Model Pricing'!$B$7:$B$8,MATCH(F2412,'Model Pricing'!$A$7:$A$8,0))</x:f>
        <x:v>40</x:v>
      </x:c>
      <x:c r="K2412" s="27" t="n">
        <x:f>INDEX('Model Pricing'!$C$7:$C$8,MATCH(F2412,'Model Pricing'!$A$7:$A$8,0))</x:f>
        <x:v>100</x:v>
      </x:c>
      <x:c r="L2412" s="17" t="n">
        <x:f>G2412+H2412</x:f>
        <x:v>34679</x:v>
      </x:c>
      <x:c r="M2412" s="28" t="n">
        <x:f>G2412*J2412/1000000</x:f>
        <x:v>1.02676</x:v>
      </x:c>
      <x:c r="N2412" s="28" t="n">
        <x:f>H2412*K2412/1000000</x:f>
        <x:v>0.901</x:v>
      </x:c>
      <x:c r="O2412" s="28" t="n">
        <x:f>SUM(M2412:N2412)</x:f>
        <x:v>1.92776</x:v>
      </x:c>
    </x:row>
    <x:row r="2413" ht="23" customHeight="1">
      <x:c r="A2413" s="17" t="str">
        <x:v>U02407</x:v>
      </x:c>
      <x:c r="B2413" s="18" t="n">
        <x:v>46288</x:v>
      </x:c>
      <x:c r="C2413" s="17" t="str">
        <x:v>W0145</x:v>
      </x:c>
      <x:c r="D2413" s="17" t="str">
        <x:v>C003</x:v>
      </x:c>
      <x:c r="E2413" s="17" t="str">
        <x:v>CampaignChat</x:v>
      </x:c>
      <x:c r="F2413" s="17" t="str">
        <x:v>Pro</x:v>
      </x:c>
      <x:c r="G2413" s="17" t="n">
        <x:v>8972</x:v>
      </x:c>
      <x:c r="H2413" s="17" t="n">
        <x:v>10711</x:v>
      </x:c>
      <x:c r="I2413" s="17" t="str">
        <x:v>First attempt</x:v>
      </x:c>
      <x:c r="J2413" s="27" t="n">
        <x:f>INDEX('Model Pricing'!$B$7:$B$8,MATCH(F2413,'Model Pricing'!$A$7:$A$8,0))</x:f>
        <x:v>40</x:v>
      </x:c>
      <x:c r="K2413" s="27" t="n">
        <x:f>INDEX('Model Pricing'!$C$7:$C$8,MATCH(F2413,'Model Pricing'!$A$7:$A$8,0))</x:f>
        <x:v>100</x:v>
      </x:c>
      <x:c r="L2413" s="17" t="n">
        <x:f>G2413+H2413</x:f>
        <x:v>19683</x:v>
      </x:c>
      <x:c r="M2413" s="28" t="n">
        <x:f>G2413*J2413/1000000</x:f>
        <x:v>0.35888</x:v>
      </x:c>
      <x:c r="N2413" s="28" t="n">
        <x:f>H2413*K2413/1000000</x:f>
        <x:v>1.0711</x:v>
      </x:c>
      <x:c r="O2413" s="28" t="n">
        <x:f>SUM(M2413:N2413)</x:f>
        <x:v>1.42998</x:v>
      </x:c>
    </x:row>
    <x:row r="2414" ht="23" customHeight="1">
      <x:c r="A2414" s="17" t="str">
        <x:v>U02408</x:v>
      </x:c>
      <x:c r="B2414" s="18" t="n">
        <x:v>46288</x:v>
      </x:c>
      <x:c r="C2414" s="17" t="str">
        <x:v>W0145</x:v>
      </x:c>
      <x:c r="D2414" s="17" t="str">
        <x:v>C003</x:v>
      </x:c>
      <x:c r="E2414" s="17" t="str">
        <x:v>CampaignChat</x:v>
      </x:c>
      <x:c r="F2414" s="17" t="str">
        <x:v>Pro</x:v>
      </x:c>
      <x:c r="G2414" s="17" t="n">
        <x:v>21442</x:v>
      </x:c>
      <x:c r="H2414" s="17" t="n">
        <x:v>5471</x:v>
      </x:c>
      <x:c r="I2414" s="17" t="str">
        <x:v>Followup</x:v>
      </x:c>
      <x:c r="J2414" s="27" t="n">
        <x:f>INDEX('Model Pricing'!$B$7:$B$8,MATCH(F2414,'Model Pricing'!$A$7:$A$8,0))</x:f>
        <x:v>40</x:v>
      </x:c>
      <x:c r="K2414" s="27" t="n">
        <x:f>INDEX('Model Pricing'!$C$7:$C$8,MATCH(F2414,'Model Pricing'!$A$7:$A$8,0))</x:f>
        <x:v>100</x:v>
      </x:c>
      <x:c r="L2414" s="17" t="n">
        <x:f>G2414+H2414</x:f>
        <x:v>26913</x:v>
      </x:c>
      <x:c r="M2414" s="28" t="n">
        <x:f>G2414*J2414/1000000</x:f>
        <x:v>0.85768</x:v>
      </x:c>
      <x:c r="N2414" s="28" t="n">
        <x:f>H2414*K2414/1000000</x:f>
        <x:v>0.5471</x:v>
      </x:c>
      <x:c r="O2414" s="28" t="n">
        <x:f>SUM(M2414:N2414)</x:f>
        <x:v>1.4047800000000001</x:v>
      </x:c>
    </x:row>
    <x:row r="2415" ht="23" customHeight="1">
      <x:c r="A2415" s="17" t="str">
        <x:v>U02409</x:v>
      </x:c>
      <x:c r="B2415" s="18" t="n">
        <x:v>46289</x:v>
      </x:c>
      <x:c r="C2415" s="17" t="str">
        <x:v>W0145</x:v>
      </x:c>
      <x:c r="D2415" s="17" t="str">
        <x:v>C003</x:v>
      </x:c>
      <x:c r="E2415" s="17" t="str">
        <x:v>CampaignChat</x:v>
      </x:c>
      <x:c r="F2415" s="17" t="str">
        <x:v>Pro</x:v>
      </x:c>
      <x:c r="G2415" s="17" t="n">
        <x:v>12045</x:v>
      </x:c>
      <x:c r="H2415" s="17" t="n">
        <x:v>15962</x:v>
      </x:c>
      <x:c r="I2415" s="17" t="str">
        <x:v>Followup</x:v>
      </x:c>
      <x:c r="J2415" s="27" t="n">
        <x:f>INDEX('Model Pricing'!$B$7:$B$8,MATCH(F2415,'Model Pricing'!$A$7:$A$8,0))</x:f>
        <x:v>40</x:v>
      </x:c>
      <x:c r="K2415" s="27" t="n">
        <x:f>INDEX('Model Pricing'!$C$7:$C$8,MATCH(F2415,'Model Pricing'!$A$7:$A$8,0))</x:f>
        <x:v>100</x:v>
      </x:c>
      <x:c r="L2415" s="17" t="n">
        <x:f>G2415+H2415</x:f>
        <x:v>28007</x:v>
      </x:c>
      <x:c r="M2415" s="28" t="n">
        <x:f>G2415*J2415/1000000</x:f>
        <x:v>0.4818</x:v>
      </x:c>
      <x:c r="N2415" s="28" t="n">
        <x:f>H2415*K2415/1000000</x:f>
        <x:v>1.5962</x:v>
      </x:c>
      <x:c r="O2415" s="28" t="n">
        <x:f>SUM(M2415:N2415)</x:f>
        <x:v>2.0780000000000003</x:v>
      </x:c>
    </x:row>
    <x:row r="2416" ht="23" customHeight="1">
      <x:c r="A2416" s="17" t="str">
        <x:v>U02410</x:v>
      </x:c>
      <x:c r="B2416" s="18" t="n">
        <x:v>46289</x:v>
      </x:c>
      <x:c r="C2416" s="17" t="str">
        <x:v>W0145</x:v>
      </x:c>
      <x:c r="D2416" s="17" t="str">
        <x:v>C003</x:v>
      </x:c>
      <x:c r="E2416" s="17" t="str">
        <x:v>CampaignChat</x:v>
      </x:c>
      <x:c r="F2416" s="17" t="str">
        <x:v>Pro</x:v>
      </x:c>
      <x:c r="G2416" s="17" t="n">
        <x:v>17818</x:v>
      </x:c>
      <x:c r="H2416" s="17" t="n">
        <x:v>10315</x:v>
      </x:c>
      <x:c r="I2416" s="17" t="str">
        <x:v>Correction</x:v>
      </x:c>
      <x:c r="J2416" s="27" t="n">
        <x:f>INDEX('Model Pricing'!$B$7:$B$8,MATCH(F2416,'Model Pricing'!$A$7:$A$8,0))</x:f>
        <x:v>40</x:v>
      </x:c>
      <x:c r="K2416" s="27" t="n">
        <x:f>INDEX('Model Pricing'!$C$7:$C$8,MATCH(F2416,'Model Pricing'!$A$7:$A$8,0))</x:f>
        <x:v>100</x:v>
      </x:c>
      <x:c r="L2416" s="17" t="n">
        <x:f>G2416+H2416</x:f>
        <x:v>28133</x:v>
      </x:c>
      <x:c r="M2416" s="28" t="n">
        <x:f>G2416*J2416/1000000</x:f>
        <x:v>0.71272</x:v>
      </x:c>
      <x:c r="N2416" s="28" t="n">
        <x:f>H2416*K2416/1000000</x:f>
        <x:v>1.0315</x:v>
      </x:c>
      <x:c r="O2416" s="28" t="n">
        <x:f>SUM(M2416:N2416)</x:f>
        <x:v>1.74422</x:v>
      </x:c>
    </x:row>
    <x:row r="2417" ht="23" customHeight="1">
      <x:c r="A2417" s="17" t="str">
        <x:v>U02411</x:v>
      </x:c>
      <x:c r="B2417" s="18" t="n">
        <x:v>46290</x:v>
      </x:c>
      <x:c r="C2417" s="17" t="str">
        <x:v>W0145</x:v>
      </x:c>
      <x:c r="D2417" s="17" t="str">
        <x:v>C003</x:v>
      </x:c>
      <x:c r="E2417" s="17" t="str">
        <x:v>CampaignChat</x:v>
      </x:c>
      <x:c r="F2417" s="17" t="str">
        <x:v>Pro</x:v>
      </x:c>
      <x:c r="G2417" s="17" t="n">
        <x:v>15194</x:v>
      </x:c>
      <x:c r="H2417" s="17" t="n">
        <x:v>13761</x:v>
      </x:c>
      <x:c r="I2417" s="17" t="str">
        <x:v>Followup</x:v>
      </x:c>
      <x:c r="J2417" s="27" t="n">
        <x:f>INDEX('Model Pricing'!$B$7:$B$8,MATCH(F2417,'Model Pricing'!$A$7:$A$8,0))</x:f>
        <x:v>40</x:v>
      </x:c>
      <x:c r="K2417" s="27" t="n">
        <x:f>INDEX('Model Pricing'!$C$7:$C$8,MATCH(F2417,'Model Pricing'!$A$7:$A$8,0))</x:f>
        <x:v>100</x:v>
      </x:c>
      <x:c r="L2417" s="17" t="n">
        <x:f>G2417+H2417</x:f>
        <x:v>28955</x:v>
      </x:c>
      <x:c r="M2417" s="28" t="n">
        <x:f>G2417*J2417/1000000</x:f>
        <x:v>0.60776</x:v>
      </x:c>
      <x:c r="N2417" s="28" t="n">
        <x:f>H2417*K2417/1000000</x:f>
        <x:v>1.3761</x:v>
      </x:c>
      <x:c r="O2417" s="28" t="n">
        <x:f>SUM(M2417:N2417)</x:f>
        <x:v>1.98386</x:v>
      </x:c>
    </x:row>
    <x:row r="2418" ht="23" customHeight="1">
      <x:c r="A2418" s="17" t="str">
        <x:v>U02412</x:v>
      </x:c>
      <x:c r="B2418" s="18" t="n">
        <x:v>46290</x:v>
      </x:c>
      <x:c r="C2418" s="17" t="str">
        <x:v>W0145</x:v>
      </x:c>
      <x:c r="D2418" s="17" t="str">
        <x:v>C003</x:v>
      </x:c>
      <x:c r="E2418" s="17" t="str">
        <x:v>CampaignChat</x:v>
      </x:c>
      <x:c r="F2418" s="17" t="str">
        <x:v>Pro</x:v>
      </x:c>
      <x:c r="G2418" s="17" t="n">
        <x:v>11177</x:v>
      </x:c>
      <x:c r="H2418" s="17" t="n">
        <x:v>9299</x:v>
      </x:c>
      <x:c r="I2418" s="17" t="str">
        <x:v>Followup</x:v>
      </x:c>
      <x:c r="J2418" s="27" t="n">
        <x:f>INDEX('Model Pricing'!$B$7:$B$8,MATCH(F2418,'Model Pricing'!$A$7:$A$8,0))</x:f>
        <x:v>40</x:v>
      </x:c>
      <x:c r="K2418" s="27" t="n">
        <x:f>INDEX('Model Pricing'!$C$7:$C$8,MATCH(F2418,'Model Pricing'!$A$7:$A$8,0))</x:f>
        <x:v>100</x:v>
      </x:c>
      <x:c r="L2418" s="17" t="n">
        <x:f>G2418+H2418</x:f>
        <x:v>20476</x:v>
      </x:c>
      <x:c r="M2418" s="28" t="n">
        <x:f>G2418*J2418/1000000</x:f>
        <x:v>0.44708</x:v>
      </x:c>
      <x:c r="N2418" s="28" t="n">
        <x:f>H2418*K2418/1000000</x:f>
        <x:v>0.9299</x:v>
      </x:c>
      <x:c r="O2418" s="28" t="n">
        <x:f>SUM(M2418:N2418)</x:f>
        <x:v>1.3769799999999999</x:v>
      </x:c>
    </x:row>
    <x:row r="2419" ht="23" customHeight="1">
      <x:c r="A2419" s="17" t="str">
        <x:v>U02413</x:v>
      </x:c>
      <x:c r="B2419" s="18" t="n">
        <x:v>46293</x:v>
      </x:c>
      <x:c r="C2419" s="17" t="str">
        <x:v>W0145</x:v>
      </x:c>
      <x:c r="D2419" s="17" t="str">
        <x:v>C003</x:v>
      </x:c>
      <x:c r="E2419" s="17" t="str">
        <x:v>CampaignChat</x:v>
      </x:c>
      <x:c r="F2419" s="17" t="str">
        <x:v>Pro</x:v>
      </x:c>
      <x:c r="G2419" s="17" t="n">
        <x:v>22054</x:v>
      </x:c>
      <x:c r="H2419" s="17" t="n">
        <x:v>9210</x:v>
      </x:c>
      <x:c r="I2419" s="17" t="str">
        <x:v>Followup</x:v>
      </x:c>
      <x:c r="J2419" s="27" t="n">
        <x:f>INDEX('Model Pricing'!$B$7:$B$8,MATCH(F2419,'Model Pricing'!$A$7:$A$8,0))</x:f>
        <x:v>40</x:v>
      </x:c>
      <x:c r="K2419" s="27" t="n">
        <x:f>INDEX('Model Pricing'!$C$7:$C$8,MATCH(F2419,'Model Pricing'!$A$7:$A$8,0))</x:f>
        <x:v>100</x:v>
      </x:c>
      <x:c r="L2419" s="17" t="n">
        <x:f>G2419+H2419</x:f>
        <x:v>31264</x:v>
      </x:c>
      <x:c r="M2419" s="28" t="n">
        <x:f>G2419*J2419/1000000</x:f>
        <x:v>0.88216</x:v>
      </x:c>
      <x:c r="N2419" s="28" t="n">
        <x:f>H2419*K2419/1000000</x:f>
        <x:v>0.921</x:v>
      </x:c>
      <x:c r="O2419" s="28" t="n">
        <x:f>SUM(M2419:N2419)</x:f>
        <x:v>1.80316</x:v>
      </x:c>
    </x:row>
    <x:row r="2420" ht="23" customHeight="1">
      <x:c r="A2420" s="17" t="str">
        <x:v>U02414</x:v>
      </x:c>
      <x:c r="B2420" s="18" t="n">
        <x:v>46293</x:v>
      </x:c>
      <x:c r="C2420" s="17" t="str">
        <x:v>W0145</x:v>
      </x:c>
      <x:c r="D2420" s="17" t="str">
        <x:v>C003</x:v>
      </x:c>
      <x:c r="E2420" s="17" t="str">
        <x:v>CampaignChat</x:v>
      </x:c>
      <x:c r="F2420" s="17" t="str">
        <x:v>Pro</x:v>
      </x:c>
      <x:c r="G2420" s="17" t="n">
        <x:v>21362</x:v>
      </x:c>
      <x:c r="H2420" s="17" t="n">
        <x:v>10580</x:v>
      </x:c>
      <x:c r="I2420" s="17" t="str">
        <x:v>Correction</x:v>
      </x:c>
      <x:c r="J2420" s="27" t="n">
        <x:f>INDEX('Model Pricing'!$B$7:$B$8,MATCH(F2420,'Model Pricing'!$A$7:$A$8,0))</x:f>
        <x:v>40</x:v>
      </x:c>
      <x:c r="K2420" s="27" t="n">
        <x:f>INDEX('Model Pricing'!$C$7:$C$8,MATCH(F2420,'Model Pricing'!$A$7:$A$8,0))</x:f>
        <x:v>100</x:v>
      </x:c>
      <x:c r="L2420" s="17" t="n">
        <x:f>G2420+H2420</x:f>
        <x:v>31942</x:v>
      </x:c>
      <x:c r="M2420" s="28" t="n">
        <x:f>G2420*J2420/1000000</x:f>
        <x:v>0.85448</x:v>
      </x:c>
      <x:c r="N2420" s="28" t="n">
        <x:f>H2420*K2420/1000000</x:f>
        <x:v>1.058</x:v>
      </x:c>
      <x:c r="O2420" s="28" t="n">
        <x:f>SUM(M2420:N2420)</x:f>
        <x:v>1.91248</x:v>
      </x:c>
    </x:row>
    <x:row r="2421" ht="23" customHeight="1">
      <x:c r="A2421" s="17" t="str">
        <x:v>U02415</x:v>
      </x:c>
      <x:c r="B2421" s="18" t="n">
        <x:v>46273</x:v>
      </x:c>
      <x:c r="C2421" s="17" t="str">
        <x:v>W0146</x:v>
      </x:c>
      <x:c r="D2421" s="17" t="str">
        <x:v>C003</x:v>
      </x:c>
      <x:c r="E2421" s="17" t="str">
        <x:v>CampaignChat</x:v>
      </x:c>
      <x:c r="F2421" s="17" t="str">
        <x:v>Pro</x:v>
      </x:c>
      <x:c r="G2421" s="17" t="n">
        <x:v>26356</x:v>
      </x:c>
      <x:c r="H2421" s="17" t="n">
        <x:v>5704</x:v>
      </x:c>
      <x:c r="I2421" s="17" t="str">
        <x:v>First attempt</x:v>
      </x:c>
      <x:c r="J2421" s="27" t="n">
        <x:f>INDEX('Model Pricing'!$B$7:$B$8,MATCH(F2421,'Model Pricing'!$A$7:$A$8,0))</x:f>
        <x:v>40</x:v>
      </x:c>
      <x:c r="K2421" s="27" t="n">
        <x:f>INDEX('Model Pricing'!$C$7:$C$8,MATCH(F2421,'Model Pricing'!$A$7:$A$8,0))</x:f>
        <x:v>100</x:v>
      </x:c>
      <x:c r="L2421" s="17" t="n">
        <x:f>G2421+H2421</x:f>
        <x:v>32060</x:v>
      </x:c>
      <x:c r="M2421" s="28" t="n">
        <x:f>G2421*J2421/1000000</x:f>
        <x:v>1.05424</x:v>
      </x:c>
      <x:c r="N2421" s="28" t="n">
        <x:f>H2421*K2421/1000000</x:f>
        <x:v>0.5704</x:v>
      </x:c>
      <x:c r="O2421" s="28" t="n">
        <x:f>SUM(M2421:N2421)</x:f>
        <x:v>1.62464</x:v>
      </x:c>
    </x:row>
    <x:row r="2422" ht="23" customHeight="1">
      <x:c r="A2422" s="17" t="str">
        <x:v>U02416</x:v>
      </x:c>
      <x:c r="B2422" s="18" t="n">
        <x:v>46273</x:v>
      </x:c>
      <x:c r="C2422" s="17" t="str">
        <x:v>W0146</x:v>
      </x:c>
      <x:c r="D2422" s="17" t="str">
        <x:v>C003</x:v>
      </x:c>
      <x:c r="E2422" s="17" t="str">
        <x:v>CampaignChat</x:v>
      </x:c>
      <x:c r="F2422" s="17" t="str">
        <x:v>Pro</x:v>
      </x:c>
      <x:c r="G2422" s="17" t="n">
        <x:v>34141</x:v>
      </x:c>
      <x:c r="H2422" s="17" t="n">
        <x:v>6393</x:v>
      </x:c>
      <x:c r="I2422" s="17" t="str">
        <x:v>Followup</x:v>
      </x:c>
      <x:c r="J2422" s="27" t="n">
        <x:f>INDEX('Model Pricing'!$B$7:$B$8,MATCH(F2422,'Model Pricing'!$A$7:$A$8,0))</x:f>
        <x:v>40</x:v>
      </x:c>
      <x:c r="K2422" s="27" t="n">
        <x:f>INDEX('Model Pricing'!$C$7:$C$8,MATCH(F2422,'Model Pricing'!$A$7:$A$8,0))</x:f>
        <x:v>100</x:v>
      </x:c>
      <x:c r="L2422" s="17" t="n">
        <x:f>G2422+H2422</x:f>
        <x:v>40534</x:v>
      </x:c>
      <x:c r="M2422" s="28" t="n">
        <x:f>G2422*J2422/1000000</x:f>
        <x:v>1.36564</x:v>
      </x:c>
      <x:c r="N2422" s="28" t="n">
        <x:f>H2422*K2422/1000000</x:f>
        <x:v>0.6393</x:v>
      </x:c>
      <x:c r="O2422" s="28" t="n">
        <x:f>SUM(M2422:N2422)</x:f>
        <x:v>2.00494</x:v>
      </x:c>
    </x:row>
    <x:row r="2423" ht="23" customHeight="1">
      <x:c r="A2423" s="17" t="str">
        <x:v>U02417</x:v>
      </x:c>
      <x:c r="B2423" s="18" t="n">
        <x:v>46273</x:v>
      </x:c>
      <x:c r="C2423" s="17" t="str">
        <x:v>W0146</x:v>
      </x:c>
      <x:c r="D2423" s="17" t="str">
        <x:v>C003</x:v>
      </x:c>
      <x:c r="E2423" s="17" t="str">
        <x:v>CampaignChat</x:v>
      </x:c>
      <x:c r="F2423" s="17" t="str">
        <x:v>Pro</x:v>
      </x:c>
      <x:c r="G2423" s="17" t="n">
        <x:v>17206</x:v>
      </x:c>
      <x:c r="H2423" s="17" t="n">
        <x:v>7861</x:v>
      </x:c>
      <x:c r="I2423" s="17" t="str">
        <x:v>Followup</x:v>
      </x:c>
      <x:c r="J2423" s="27" t="n">
        <x:f>INDEX('Model Pricing'!$B$7:$B$8,MATCH(F2423,'Model Pricing'!$A$7:$A$8,0))</x:f>
        <x:v>40</x:v>
      </x:c>
      <x:c r="K2423" s="27" t="n">
        <x:f>INDEX('Model Pricing'!$C$7:$C$8,MATCH(F2423,'Model Pricing'!$A$7:$A$8,0))</x:f>
        <x:v>100</x:v>
      </x:c>
      <x:c r="L2423" s="17" t="n">
        <x:f>G2423+H2423</x:f>
        <x:v>25067</x:v>
      </x:c>
      <x:c r="M2423" s="28" t="n">
        <x:f>G2423*J2423/1000000</x:f>
        <x:v>0.68824</x:v>
      </x:c>
      <x:c r="N2423" s="28" t="n">
        <x:f>H2423*K2423/1000000</x:f>
        <x:v>0.7861</x:v>
      </x:c>
      <x:c r="O2423" s="28" t="n">
        <x:f>SUM(M2423:N2423)</x:f>
        <x:v>1.47434</x:v>
      </x:c>
    </x:row>
    <x:row r="2424" ht="23" customHeight="1">
      <x:c r="A2424" s="17" t="str">
        <x:v>U02418</x:v>
      </x:c>
      <x:c r="B2424" s="18" t="n">
        <x:v>46274</x:v>
      </x:c>
      <x:c r="C2424" s="17" t="str">
        <x:v>W0146</x:v>
      </x:c>
      <x:c r="D2424" s="17" t="str">
        <x:v>C003</x:v>
      </x:c>
      <x:c r="E2424" s="17" t="str">
        <x:v>CampaignChat</x:v>
      </x:c>
      <x:c r="F2424" s="17" t="str">
        <x:v>Pro</x:v>
      </x:c>
      <x:c r="G2424" s="17" t="n">
        <x:v>29955</x:v>
      </x:c>
      <x:c r="H2424" s="17" t="n">
        <x:v>8599</x:v>
      </x:c>
      <x:c r="I2424" s="17" t="str">
        <x:v>Followup</x:v>
      </x:c>
      <x:c r="J2424" s="27" t="n">
        <x:f>INDEX('Model Pricing'!$B$7:$B$8,MATCH(F2424,'Model Pricing'!$A$7:$A$8,0))</x:f>
        <x:v>40</x:v>
      </x:c>
      <x:c r="K2424" s="27" t="n">
        <x:f>INDEX('Model Pricing'!$C$7:$C$8,MATCH(F2424,'Model Pricing'!$A$7:$A$8,0))</x:f>
        <x:v>100</x:v>
      </x:c>
      <x:c r="L2424" s="17" t="n">
        <x:f>G2424+H2424</x:f>
        <x:v>38554</x:v>
      </x:c>
      <x:c r="M2424" s="28" t="n">
        <x:f>G2424*J2424/1000000</x:f>
        <x:v>1.1982</x:v>
      </x:c>
      <x:c r="N2424" s="28" t="n">
        <x:f>H2424*K2424/1000000</x:f>
        <x:v>0.8599</x:v>
      </x:c>
      <x:c r="O2424" s="28" t="n">
        <x:f>SUM(M2424:N2424)</x:f>
        <x:v>2.0581</x:v>
      </x:c>
    </x:row>
    <x:row r="2425" ht="23" customHeight="1">
      <x:c r="A2425" s="17" t="str">
        <x:v>U02419</x:v>
      </x:c>
      <x:c r="B2425" s="18" t="n">
        <x:v>46274</x:v>
      </x:c>
      <x:c r="C2425" s="17" t="str">
        <x:v>W0146</x:v>
      </x:c>
      <x:c r="D2425" s="17" t="str">
        <x:v>C003</x:v>
      </x:c>
      <x:c r="E2425" s="17" t="str">
        <x:v>CampaignChat</x:v>
      </x:c>
      <x:c r="F2425" s="17" t="str">
        <x:v>Pro</x:v>
      </x:c>
      <x:c r="G2425" s="17" t="n">
        <x:v>22144</x:v>
      </x:c>
      <x:c r="H2425" s="17" t="n">
        <x:v>7956</x:v>
      </x:c>
      <x:c r="I2425" s="17" t="str">
        <x:v>Correction</x:v>
      </x:c>
      <x:c r="J2425" s="27" t="n">
        <x:f>INDEX('Model Pricing'!$B$7:$B$8,MATCH(F2425,'Model Pricing'!$A$7:$A$8,0))</x:f>
        <x:v>40</x:v>
      </x:c>
      <x:c r="K2425" s="27" t="n">
        <x:f>INDEX('Model Pricing'!$C$7:$C$8,MATCH(F2425,'Model Pricing'!$A$7:$A$8,0))</x:f>
        <x:v>100</x:v>
      </x:c>
      <x:c r="L2425" s="17" t="n">
        <x:f>G2425+H2425</x:f>
        <x:v>30100</x:v>
      </x:c>
      <x:c r="M2425" s="28" t="n">
        <x:f>G2425*J2425/1000000</x:f>
        <x:v>0.88576</x:v>
      </x:c>
      <x:c r="N2425" s="28" t="n">
        <x:f>H2425*K2425/1000000</x:f>
        <x:v>0.7956</x:v>
      </x:c>
      <x:c r="O2425" s="28" t="n">
        <x:f>SUM(M2425:N2425)</x:f>
        <x:v>1.68136</x:v>
      </x:c>
    </x:row>
    <x:row r="2426" ht="23" customHeight="1">
      <x:c r="A2426" s="17" t="str">
        <x:v>U02420</x:v>
      </x:c>
      <x:c r="B2426" s="18" t="n">
        <x:v>46275</x:v>
      </x:c>
      <x:c r="C2426" s="17" t="str">
        <x:v>W0146</x:v>
      </x:c>
      <x:c r="D2426" s="17" t="str">
        <x:v>C003</x:v>
      </x:c>
      <x:c r="E2426" s="17" t="str">
        <x:v>CampaignChat</x:v>
      </x:c>
      <x:c r="F2426" s="17" t="str">
        <x:v>Pro</x:v>
      </x:c>
      <x:c r="G2426" s="17" t="n">
        <x:v>22167</x:v>
      </x:c>
      <x:c r="H2426" s="17" t="n">
        <x:v>5022</x:v>
      </x:c>
      <x:c r="I2426" s="17" t="str">
        <x:v>Followup</x:v>
      </x:c>
      <x:c r="J2426" s="27" t="n">
        <x:f>INDEX('Model Pricing'!$B$7:$B$8,MATCH(F2426,'Model Pricing'!$A$7:$A$8,0))</x:f>
        <x:v>40</x:v>
      </x:c>
      <x:c r="K2426" s="27" t="n">
        <x:f>INDEX('Model Pricing'!$C$7:$C$8,MATCH(F2426,'Model Pricing'!$A$7:$A$8,0))</x:f>
        <x:v>100</x:v>
      </x:c>
      <x:c r="L2426" s="17" t="n">
        <x:f>G2426+H2426</x:f>
        <x:v>27189</x:v>
      </x:c>
      <x:c r="M2426" s="28" t="n">
        <x:f>G2426*J2426/1000000</x:f>
        <x:v>0.88668</x:v>
      </x:c>
      <x:c r="N2426" s="28" t="n">
        <x:f>H2426*K2426/1000000</x:f>
        <x:v>0.5022</x:v>
      </x:c>
      <x:c r="O2426" s="28" t="n">
        <x:f>SUM(M2426:N2426)</x:f>
        <x:v>1.38888</x:v>
      </x:c>
    </x:row>
    <x:row r="2427" ht="23" customHeight="1">
      <x:c r="A2427" s="17" t="str">
        <x:v>U02421</x:v>
      </x:c>
      <x:c r="B2427" s="18" t="n">
        <x:v>46275</x:v>
      </x:c>
      <x:c r="C2427" s="17" t="str">
        <x:v>W0146</x:v>
      </x:c>
      <x:c r="D2427" s="17" t="str">
        <x:v>C003</x:v>
      </x:c>
      <x:c r="E2427" s="17" t="str">
        <x:v>CampaignChat</x:v>
      </x:c>
      <x:c r="F2427" s="17" t="str">
        <x:v>Pro</x:v>
      </x:c>
      <x:c r="G2427" s="17" t="n">
        <x:v>36425</x:v>
      </x:c>
      <x:c r="H2427" s="17" t="n">
        <x:v>7770</x:v>
      </x:c>
      <x:c r="I2427" s="17" t="str">
        <x:v>Followup</x:v>
      </x:c>
      <x:c r="J2427" s="27" t="n">
        <x:f>INDEX('Model Pricing'!$B$7:$B$8,MATCH(F2427,'Model Pricing'!$A$7:$A$8,0))</x:f>
        <x:v>40</x:v>
      </x:c>
      <x:c r="K2427" s="27" t="n">
        <x:f>INDEX('Model Pricing'!$C$7:$C$8,MATCH(F2427,'Model Pricing'!$A$7:$A$8,0))</x:f>
        <x:v>100</x:v>
      </x:c>
      <x:c r="L2427" s="17" t="n">
        <x:f>G2427+H2427</x:f>
        <x:v>44195</x:v>
      </x:c>
      <x:c r="M2427" s="28" t="n">
        <x:f>G2427*J2427/1000000</x:f>
        <x:v>1.457</x:v>
      </x:c>
      <x:c r="N2427" s="28" t="n">
        <x:f>H2427*K2427/1000000</x:f>
        <x:v>0.777</x:v>
      </x:c>
      <x:c r="O2427" s="28" t="n">
        <x:f>SUM(M2427:N2427)</x:f>
        <x:v>2.234</x:v>
      </x:c>
    </x:row>
    <x:row r="2428" ht="23" customHeight="1">
      <x:c r="A2428" s="17" t="str">
        <x:v>U02422</x:v>
      </x:c>
      <x:c r="B2428" s="18" t="n">
        <x:v>46276</x:v>
      </x:c>
      <x:c r="C2428" s="17" t="str">
        <x:v>W0146</x:v>
      </x:c>
      <x:c r="D2428" s="17" t="str">
        <x:v>C003</x:v>
      </x:c>
      <x:c r="E2428" s="17" t="str">
        <x:v>CampaignChat</x:v>
      </x:c>
      <x:c r="F2428" s="17" t="str">
        <x:v>Pro</x:v>
      </x:c>
      <x:c r="G2428" s="17" t="n">
        <x:v>18313</x:v>
      </x:c>
      <x:c r="H2428" s="17" t="n">
        <x:v>4260</x:v>
      </x:c>
      <x:c r="I2428" s="17" t="str">
        <x:v>Followup</x:v>
      </x:c>
      <x:c r="J2428" s="27" t="n">
        <x:f>INDEX('Model Pricing'!$B$7:$B$8,MATCH(F2428,'Model Pricing'!$A$7:$A$8,0))</x:f>
        <x:v>40</x:v>
      </x:c>
      <x:c r="K2428" s="27" t="n">
        <x:f>INDEX('Model Pricing'!$C$7:$C$8,MATCH(F2428,'Model Pricing'!$A$7:$A$8,0))</x:f>
        <x:v>100</x:v>
      </x:c>
      <x:c r="L2428" s="17" t="n">
        <x:f>G2428+H2428</x:f>
        <x:v>22573</x:v>
      </x:c>
      <x:c r="M2428" s="28" t="n">
        <x:f>G2428*J2428/1000000</x:f>
        <x:v>0.73252</x:v>
      </x:c>
      <x:c r="N2428" s="28" t="n">
        <x:f>H2428*K2428/1000000</x:f>
        <x:v>0.426</x:v>
      </x:c>
      <x:c r="O2428" s="28" t="n">
        <x:f>SUM(M2428:N2428)</x:f>
        <x:v>1.15852</x:v>
      </x:c>
    </x:row>
    <x:row r="2429" ht="23" customHeight="1">
      <x:c r="A2429" s="17" t="str">
        <x:v>U02423</x:v>
      </x:c>
      <x:c r="B2429" s="18" t="n">
        <x:v>46276</x:v>
      </x:c>
      <x:c r="C2429" s="17" t="str">
        <x:v>W0146</x:v>
      </x:c>
      <x:c r="D2429" s="17" t="str">
        <x:v>C003</x:v>
      </x:c>
      <x:c r="E2429" s="17" t="str">
        <x:v>CampaignChat</x:v>
      </x:c>
      <x:c r="F2429" s="17" t="str">
        <x:v>Pro</x:v>
      </x:c>
      <x:c r="G2429" s="17" t="n">
        <x:v>27487</x:v>
      </x:c>
      <x:c r="H2429" s="17" t="n">
        <x:v>8015</x:v>
      </x:c>
      <x:c r="I2429" s="17" t="str">
        <x:v>Followup</x:v>
      </x:c>
      <x:c r="J2429" s="27" t="n">
        <x:f>INDEX('Model Pricing'!$B$7:$B$8,MATCH(F2429,'Model Pricing'!$A$7:$A$8,0))</x:f>
        <x:v>40</x:v>
      </x:c>
      <x:c r="K2429" s="27" t="n">
        <x:f>INDEX('Model Pricing'!$C$7:$C$8,MATCH(F2429,'Model Pricing'!$A$7:$A$8,0))</x:f>
        <x:v>100</x:v>
      </x:c>
      <x:c r="L2429" s="17" t="n">
        <x:f>G2429+H2429</x:f>
        <x:v>35502</x:v>
      </x:c>
      <x:c r="M2429" s="28" t="n">
        <x:f>G2429*J2429/1000000</x:f>
        <x:v>1.09948</x:v>
      </x:c>
      <x:c r="N2429" s="28" t="n">
        <x:f>H2429*K2429/1000000</x:f>
        <x:v>0.8015</x:v>
      </x:c>
      <x:c r="O2429" s="28" t="n">
        <x:f>SUM(M2429:N2429)</x:f>
        <x:v>1.9009800000000001</x:v>
      </x:c>
    </x:row>
    <x:row r="2430" ht="23" customHeight="1">
      <x:c r="A2430" s="17" t="str">
        <x:v>U02424</x:v>
      </x:c>
      <x:c r="B2430" s="18" t="n">
        <x:v>46281</x:v>
      </x:c>
      <x:c r="C2430" s="17" t="str">
        <x:v>W0152</x:v>
      </x:c>
      <x:c r="D2430" s="17" t="str">
        <x:v>C003</x:v>
      </x:c>
      <x:c r="E2430" s="17" t="str">
        <x:v>CopyStudio</x:v>
      </x:c>
      <x:c r="F2430" s="17" t="str">
        <x:v>Pro</x:v>
      </x:c>
      <x:c r="G2430" s="17" t="n">
        <x:v>20534</x:v>
      </x:c>
      <x:c r="H2430" s="17" t="n">
        <x:v>8762</x:v>
      </x:c>
      <x:c r="I2430" s="17" t="str">
        <x:v>First attempt</x:v>
      </x:c>
      <x:c r="J2430" s="27" t="n">
        <x:f>INDEX('Model Pricing'!$B$7:$B$8,MATCH(F2430,'Model Pricing'!$A$7:$A$8,0))</x:f>
        <x:v>40</x:v>
      </x:c>
      <x:c r="K2430" s="27" t="n">
        <x:f>INDEX('Model Pricing'!$C$7:$C$8,MATCH(F2430,'Model Pricing'!$A$7:$A$8,0))</x:f>
        <x:v>100</x:v>
      </x:c>
      <x:c r="L2430" s="17" t="n">
        <x:f>G2430+H2430</x:f>
        <x:v>29296</x:v>
      </x:c>
      <x:c r="M2430" s="28" t="n">
        <x:f>G2430*J2430/1000000</x:f>
        <x:v>0.82136</x:v>
      </x:c>
      <x:c r="N2430" s="28" t="n">
        <x:f>H2430*K2430/1000000</x:f>
        <x:v>0.8762</x:v>
      </x:c>
      <x:c r="O2430" s="28" t="n">
        <x:f>SUM(M2430:N2430)</x:f>
        <x:v>1.69756</x:v>
      </x:c>
    </x:row>
    <x:row r="2431" ht="23" customHeight="1">
      <x:c r="A2431" s="17" t="str">
        <x:v>U02425</x:v>
      </x:c>
      <x:c r="B2431" s="18" t="n">
        <x:v>46281</x:v>
      </x:c>
      <x:c r="C2431" s="17" t="str">
        <x:v>W0152</x:v>
      </x:c>
      <x:c r="D2431" s="17" t="str">
        <x:v>C003</x:v>
      </x:c>
      <x:c r="E2431" s="17" t="str">
        <x:v>CopyStudio</x:v>
      </x:c>
      <x:c r="F2431" s="17" t="str">
        <x:v>Pro</x:v>
      </x:c>
      <x:c r="G2431" s="17" t="n">
        <x:v>38763</x:v>
      </x:c>
      <x:c r="H2431" s="17" t="n">
        <x:v>4683</x:v>
      </x:c>
      <x:c r="I2431" s="17" t="str">
        <x:v>Followup</x:v>
      </x:c>
      <x:c r="J2431" s="27" t="n">
        <x:f>INDEX('Model Pricing'!$B$7:$B$8,MATCH(F2431,'Model Pricing'!$A$7:$A$8,0))</x:f>
        <x:v>40</x:v>
      </x:c>
      <x:c r="K2431" s="27" t="n">
        <x:f>INDEX('Model Pricing'!$C$7:$C$8,MATCH(F2431,'Model Pricing'!$A$7:$A$8,0))</x:f>
        <x:v>100</x:v>
      </x:c>
      <x:c r="L2431" s="17" t="n">
        <x:f>G2431+H2431</x:f>
        <x:v>43446</x:v>
      </x:c>
      <x:c r="M2431" s="28" t="n">
        <x:f>G2431*J2431/1000000</x:f>
        <x:v>1.55052</x:v>
      </x:c>
      <x:c r="N2431" s="28" t="n">
        <x:f>H2431*K2431/1000000</x:f>
        <x:v>0.4683</x:v>
      </x:c>
      <x:c r="O2431" s="28" t="n">
        <x:f>SUM(M2431:N2431)</x:f>
        <x:v>2.01882</x:v>
      </x:c>
    </x:row>
    <x:row r="2432" ht="23" customHeight="1">
      <x:c r="A2432" s="17" t="str">
        <x:v>U02426</x:v>
      </x:c>
      <x:c r="B2432" s="18" t="n">
        <x:v>46281</x:v>
      </x:c>
      <x:c r="C2432" s="17" t="str">
        <x:v>W0152</x:v>
      </x:c>
      <x:c r="D2432" s="17" t="str">
        <x:v>C003</x:v>
      </x:c>
      <x:c r="E2432" s="17" t="str">
        <x:v>CopyStudio</x:v>
      </x:c>
      <x:c r="F2432" s="17" t="str">
        <x:v>Pro</x:v>
      </x:c>
      <x:c r="G2432" s="17" t="n">
        <x:v>23686</x:v>
      </x:c>
      <x:c r="H2432" s="17" t="n">
        <x:v>3831</x:v>
      </x:c>
      <x:c r="I2432" s="17" t="str">
        <x:v>Followup</x:v>
      </x:c>
      <x:c r="J2432" s="27" t="n">
        <x:f>INDEX('Model Pricing'!$B$7:$B$8,MATCH(F2432,'Model Pricing'!$A$7:$A$8,0))</x:f>
        <x:v>40</x:v>
      </x:c>
      <x:c r="K2432" s="27" t="n">
        <x:f>INDEX('Model Pricing'!$C$7:$C$8,MATCH(F2432,'Model Pricing'!$A$7:$A$8,0))</x:f>
        <x:v>100</x:v>
      </x:c>
      <x:c r="L2432" s="17" t="n">
        <x:f>G2432+H2432</x:f>
        <x:v>27517</x:v>
      </x:c>
      <x:c r="M2432" s="28" t="n">
        <x:f>G2432*J2432/1000000</x:f>
        <x:v>0.94744</x:v>
      </x:c>
      <x:c r="N2432" s="28" t="n">
        <x:f>H2432*K2432/1000000</x:f>
        <x:v>0.3831</x:v>
      </x:c>
      <x:c r="O2432" s="28" t="n">
        <x:f>SUM(M2432:N2432)</x:f>
        <x:v>1.33054</x:v>
      </x:c>
    </x:row>
    <x:row r="2433" ht="23" customHeight="1">
      <x:c r="A2433" s="17" t="str">
        <x:v>U02427</x:v>
      </x:c>
      <x:c r="B2433" s="18" t="n">
        <x:v>46282</x:v>
      </x:c>
      <x:c r="C2433" s="17" t="str">
        <x:v>W0152</x:v>
      </x:c>
      <x:c r="D2433" s="17" t="str">
        <x:v>C003</x:v>
      </x:c>
      <x:c r="E2433" s="17" t="str">
        <x:v>CopyStudio</x:v>
      </x:c>
      <x:c r="F2433" s="17" t="str">
        <x:v>Pro</x:v>
      </x:c>
      <x:c r="G2433" s="17" t="n">
        <x:v>25520</x:v>
      </x:c>
      <x:c r="H2433" s="17" t="n">
        <x:v>9208</x:v>
      </x:c>
      <x:c r="I2433" s="17" t="str">
        <x:v>Followup</x:v>
      </x:c>
      <x:c r="J2433" s="27" t="n">
        <x:f>INDEX('Model Pricing'!$B$7:$B$8,MATCH(F2433,'Model Pricing'!$A$7:$A$8,0))</x:f>
        <x:v>40</x:v>
      </x:c>
      <x:c r="K2433" s="27" t="n">
        <x:f>INDEX('Model Pricing'!$C$7:$C$8,MATCH(F2433,'Model Pricing'!$A$7:$A$8,0))</x:f>
        <x:v>100</x:v>
      </x:c>
      <x:c r="L2433" s="17" t="n">
        <x:f>G2433+H2433</x:f>
        <x:v>34728</x:v>
      </x:c>
      <x:c r="M2433" s="28" t="n">
        <x:f>G2433*J2433/1000000</x:f>
        <x:v>1.0208</x:v>
      </x:c>
      <x:c r="N2433" s="28" t="n">
        <x:f>H2433*K2433/1000000</x:f>
        <x:v>0.9208</x:v>
      </x:c>
      <x:c r="O2433" s="28" t="n">
        <x:f>SUM(M2433:N2433)</x:f>
        <x:v>1.9415999999999998</x:v>
      </x:c>
    </x:row>
    <x:row r="2434" ht="23" customHeight="1">
      <x:c r="A2434" s="17" t="str">
        <x:v>U02428</x:v>
      </x:c>
      <x:c r="B2434" s="18" t="n">
        <x:v>46282</x:v>
      </x:c>
      <x:c r="C2434" s="17" t="str">
        <x:v>W0152</x:v>
      </x:c>
      <x:c r="D2434" s="17" t="str">
        <x:v>C003</x:v>
      </x:c>
      <x:c r="E2434" s="17" t="str">
        <x:v>CopyStudio</x:v>
      </x:c>
      <x:c r="F2434" s="17" t="str">
        <x:v>Pro</x:v>
      </x:c>
      <x:c r="G2434" s="17" t="n">
        <x:v>14915</x:v>
      </x:c>
      <x:c r="H2434" s="17" t="n">
        <x:v>3752</x:v>
      </x:c>
      <x:c r="I2434" s="17" t="str">
        <x:v>Correction</x:v>
      </x:c>
      <x:c r="J2434" s="27" t="n">
        <x:f>INDEX('Model Pricing'!$B$7:$B$8,MATCH(F2434,'Model Pricing'!$A$7:$A$8,0))</x:f>
        <x:v>40</x:v>
      </x:c>
      <x:c r="K2434" s="27" t="n">
        <x:f>INDEX('Model Pricing'!$C$7:$C$8,MATCH(F2434,'Model Pricing'!$A$7:$A$8,0))</x:f>
        <x:v>100</x:v>
      </x:c>
      <x:c r="L2434" s="17" t="n">
        <x:f>G2434+H2434</x:f>
        <x:v>18667</x:v>
      </x:c>
      <x:c r="M2434" s="28" t="n">
        <x:f>G2434*J2434/1000000</x:f>
        <x:v>0.5966</x:v>
      </x:c>
      <x:c r="N2434" s="28" t="n">
        <x:f>H2434*K2434/1000000</x:f>
        <x:v>0.3752</x:v>
      </x:c>
      <x:c r="O2434" s="28" t="n">
        <x:f>SUM(M2434:N2434)</x:f>
        <x:v>0.9718</x:v>
      </x:c>
    </x:row>
    <x:row r="2435" ht="23" customHeight="1">
      <x:c r="A2435" s="17" t="str">
        <x:v>U02429</x:v>
      </x:c>
      <x:c r="B2435" s="18" t="n">
        <x:v>46283</x:v>
      </x:c>
      <x:c r="C2435" s="17" t="str">
        <x:v>W0152</x:v>
      </x:c>
      <x:c r="D2435" s="17" t="str">
        <x:v>C003</x:v>
      </x:c>
      <x:c r="E2435" s="17" t="str">
        <x:v>CopyStudio</x:v>
      </x:c>
      <x:c r="F2435" s="17" t="str">
        <x:v>Pro</x:v>
      </x:c>
      <x:c r="G2435" s="17" t="n">
        <x:v>28011</x:v>
      </x:c>
      <x:c r="H2435" s="17" t="n">
        <x:v>9012</x:v>
      </x:c>
      <x:c r="I2435" s="17" t="str">
        <x:v>Followup</x:v>
      </x:c>
      <x:c r="J2435" s="27" t="n">
        <x:f>INDEX('Model Pricing'!$B$7:$B$8,MATCH(F2435,'Model Pricing'!$A$7:$A$8,0))</x:f>
        <x:v>40</x:v>
      </x:c>
      <x:c r="K2435" s="27" t="n">
        <x:f>INDEX('Model Pricing'!$C$7:$C$8,MATCH(F2435,'Model Pricing'!$A$7:$A$8,0))</x:f>
        <x:v>100</x:v>
      </x:c>
      <x:c r="L2435" s="17" t="n">
        <x:f>G2435+H2435</x:f>
        <x:v>37023</x:v>
      </x:c>
      <x:c r="M2435" s="28" t="n">
        <x:f>G2435*J2435/1000000</x:f>
        <x:v>1.12044</x:v>
      </x:c>
      <x:c r="N2435" s="28" t="n">
        <x:f>H2435*K2435/1000000</x:f>
        <x:v>0.9012</x:v>
      </x:c>
      <x:c r="O2435" s="28" t="n">
        <x:f>SUM(M2435:N2435)</x:f>
        <x:v>2.02164</x:v>
      </x:c>
    </x:row>
    <x:row r="2436" ht="23" customHeight="1">
      <x:c r="A2436" s="17" t="str">
        <x:v>U02430</x:v>
      </x:c>
      <x:c r="B2436" s="18" t="n">
        <x:v>46283</x:v>
      </x:c>
      <x:c r="C2436" s="17" t="str">
        <x:v>W0152</x:v>
      </x:c>
      <x:c r="D2436" s="17" t="str">
        <x:v>C003</x:v>
      </x:c>
      <x:c r="E2436" s="17" t="str">
        <x:v>CopyStudio</x:v>
      </x:c>
      <x:c r="F2436" s="17" t="str">
        <x:v>Pro</x:v>
      </x:c>
      <x:c r="G2436" s="17" t="n">
        <x:v>24572</x:v>
      </x:c>
      <x:c r="H2436" s="17" t="n">
        <x:v>7394</x:v>
      </x:c>
      <x:c r="I2436" s="17" t="str">
        <x:v>Followup</x:v>
      </x:c>
      <x:c r="J2436" s="27" t="n">
        <x:f>INDEX('Model Pricing'!$B$7:$B$8,MATCH(F2436,'Model Pricing'!$A$7:$A$8,0))</x:f>
        <x:v>40</x:v>
      </x:c>
      <x:c r="K2436" s="27" t="n">
        <x:f>INDEX('Model Pricing'!$C$7:$C$8,MATCH(F2436,'Model Pricing'!$A$7:$A$8,0))</x:f>
        <x:v>100</x:v>
      </x:c>
      <x:c r="L2436" s="17" t="n">
        <x:f>G2436+H2436</x:f>
        <x:v>31966</x:v>
      </x:c>
      <x:c r="M2436" s="28" t="n">
        <x:f>G2436*J2436/1000000</x:f>
        <x:v>0.98288</x:v>
      </x:c>
      <x:c r="N2436" s="28" t="n">
        <x:f>H2436*K2436/1000000</x:f>
        <x:v>0.7394</x:v>
      </x:c>
      <x:c r="O2436" s="28" t="n">
        <x:f>SUM(M2436:N2436)</x:f>
        <x:v>1.72228</x:v>
      </x:c>
    </x:row>
    <x:row r="2437" ht="23" customHeight="1">
      <x:c r="A2437" s="17" t="str">
        <x:v>U02431</x:v>
      </x:c>
      <x:c r="B2437" s="18" t="n">
        <x:v>46283</x:v>
      </x:c>
      <x:c r="C2437" s="17" t="str">
        <x:v>W0152</x:v>
      </x:c>
      <x:c r="D2437" s="17" t="str">
        <x:v>C003</x:v>
      </x:c>
      <x:c r="E2437" s="17" t="str">
        <x:v>CopyStudio</x:v>
      </x:c>
      <x:c r="F2437" s="17" t="str">
        <x:v>Pro</x:v>
      </x:c>
      <x:c r="G2437" s="17" t="n">
        <x:v>16704</x:v>
      </x:c>
      <x:c r="H2437" s="17" t="n">
        <x:v>5970</x:v>
      </x:c>
      <x:c r="I2437" s="17" t="str">
        <x:v>Followup</x:v>
      </x:c>
      <x:c r="J2437" s="27" t="n">
        <x:f>INDEX('Model Pricing'!$B$7:$B$8,MATCH(F2437,'Model Pricing'!$A$7:$A$8,0))</x:f>
        <x:v>40</x:v>
      </x:c>
      <x:c r="K2437" s="27" t="n">
        <x:f>INDEX('Model Pricing'!$C$7:$C$8,MATCH(F2437,'Model Pricing'!$A$7:$A$8,0))</x:f>
        <x:v>100</x:v>
      </x:c>
      <x:c r="L2437" s="17" t="n">
        <x:f>G2437+H2437</x:f>
        <x:v>22674</x:v>
      </x:c>
      <x:c r="M2437" s="28" t="n">
        <x:f>G2437*J2437/1000000</x:f>
        <x:v>0.66816</x:v>
      </x:c>
      <x:c r="N2437" s="28" t="n">
        <x:f>H2437*K2437/1000000</x:f>
        <x:v>0.597</x:v>
      </x:c>
      <x:c r="O2437" s="28" t="n">
        <x:f>SUM(M2437:N2437)</x:f>
        <x:v>1.2651599999999998</x:v>
      </x:c>
    </x:row>
    <x:row r="2438" ht="23" customHeight="1">
      <x:c r="A2438" s="17" t="str">
        <x:v>U02432</x:v>
      </x:c>
      <x:c r="B2438" s="18" t="n">
        <x:v>46286</x:v>
      </x:c>
      <x:c r="C2438" s="17" t="str">
        <x:v>W0152</x:v>
      </x:c>
      <x:c r="D2438" s="17" t="str">
        <x:v>C003</x:v>
      </x:c>
      <x:c r="E2438" s="17" t="str">
        <x:v>CopyStudio</x:v>
      </x:c>
      <x:c r="F2438" s="17" t="str">
        <x:v>Pro</x:v>
      </x:c>
      <x:c r="G2438" s="17" t="n">
        <x:v>16137</x:v>
      </x:c>
      <x:c r="H2438" s="17" t="n">
        <x:v>8308</x:v>
      </x:c>
      <x:c r="I2438" s="17" t="str">
        <x:v>Correction</x:v>
      </x:c>
      <x:c r="J2438" s="27" t="n">
        <x:f>INDEX('Model Pricing'!$B$7:$B$8,MATCH(F2438,'Model Pricing'!$A$7:$A$8,0))</x:f>
        <x:v>40</x:v>
      </x:c>
      <x:c r="K2438" s="27" t="n">
        <x:f>INDEX('Model Pricing'!$C$7:$C$8,MATCH(F2438,'Model Pricing'!$A$7:$A$8,0))</x:f>
        <x:v>100</x:v>
      </x:c>
      <x:c r="L2438" s="17" t="n">
        <x:f>G2438+H2438</x:f>
        <x:v>24445</x:v>
      </x:c>
      <x:c r="M2438" s="28" t="n">
        <x:f>G2438*J2438/1000000</x:f>
        <x:v>0.64548</x:v>
      </x:c>
      <x:c r="N2438" s="28" t="n">
        <x:f>H2438*K2438/1000000</x:f>
        <x:v>0.8308</x:v>
      </x:c>
      <x:c r="O2438" s="28" t="n">
        <x:f>SUM(M2438:N2438)</x:f>
        <x:v>1.47628</x:v>
      </x:c>
    </x:row>
    <x:row r="2439" ht="23" customHeight="1">
      <x:c r="A2439" s="17" t="str">
        <x:v>U02433</x:v>
      </x:c>
      <x:c r="B2439" s="18" t="n">
        <x:v>46286</x:v>
      </x:c>
      <x:c r="C2439" s="17" t="str">
        <x:v>W0152</x:v>
      </x:c>
      <x:c r="D2439" s="17" t="str">
        <x:v>C003</x:v>
      </x:c>
      <x:c r="E2439" s="17" t="str">
        <x:v>CopyStudio</x:v>
      </x:c>
      <x:c r="F2439" s="17" t="str">
        <x:v>Pro</x:v>
      </x:c>
      <x:c r="G2439" s="17" t="n">
        <x:v>19937</x:v>
      </x:c>
      <x:c r="H2439" s="17" t="n">
        <x:v>7797</x:v>
      </x:c>
      <x:c r="I2439" s="17" t="str">
        <x:v>Followup</x:v>
      </x:c>
      <x:c r="J2439" s="27" t="n">
        <x:f>INDEX('Model Pricing'!$B$7:$B$8,MATCH(F2439,'Model Pricing'!$A$7:$A$8,0))</x:f>
        <x:v>40</x:v>
      </x:c>
      <x:c r="K2439" s="27" t="n">
        <x:f>INDEX('Model Pricing'!$C$7:$C$8,MATCH(F2439,'Model Pricing'!$A$7:$A$8,0))</x:f>
        <x:v>100</x:v>
      </x:c>
      <x:c r="L2439" s="17" t="n">
        <x:f>G2439+H2439</x:f>
        <x:v>27734</x:v>
      </x:c>
      <x:c r="M2439" s="28" t="n">
        <x:f>G2439*J2439/1000000</x:f>
        <x:v>0.79748</x:v>
      </x:c>
      <x:c r="N2439" s="28" t="n">
        <x:f>H2439*K2439/1000000</x:f>
        <x:v>0.7797</x:v>
      </x:c>
      <x:c r="O2439" s="28" t="n">
        <x:f>SUM(M2439:N2439)</x:f>
        <x:v>1.5771799999999998</x:v>
      </x:c>
    </x:row>
    <x:row r="2440" ht="23" customHeight="1">
      <x:c r="A2440" s="17" t="str">
        <x:v>U02434</x:v>
      </x:c>
      <x:c r="B2440" s="18" t="n">
        <x:v>46283</x:v>
      </x:c>
      <x:c r="C2440" s="17" t="str">
        <x:v>W0160</x:v>
      </x:c>
      <x:c r="D2440" s="17" t="str">
        <x:v>C003</x:v>
      </x:c>
      <x:c r="E2440" s="17" t="str">
        <x:v>CopyStudio</x:v>
      </x:c>
      <x:c r="F2440" s="17" t="str">
        <x:v>Pro</x:v>
      </x:c>
      <x:c r="G2440" s="17" t="n">
        <x:v>17253</x:v>
      </x:c>
      <x:c r="H2440" s="17" t="n">
        <x:v>9028</x:v>
      </x:c>
      <x:c r="I2440" s="17" t="str">
        <x:v>First attempt</x:v>
      </x:c>
      <x:c r="J2440" s="27" t="n">
        <x:f>INDEX('Model Pricing'!$B$7:$B$8,MATCH(F2440,'Model Pricing'!$A$7:$A$8,0))</x:f>
        <x:v>40</x:v>
      </x:c>
      <x:c r="K2440" s="27" t="n">
        <x:f>INDEX('Model Pricing'!$C$7:$C$8,MATCH(F2440,'Model Pricing'!$A$7:$A$8,0))</x:f>
        <x:v>100</x:v>
      </x:c>
      <x:c r="L2440" s="17" t="n">
        <x:f>G2440+H2440</x:f>
        <x:v>26281</x:v>
      </x:c>
      <x:c r="M2440" s="28" t="n">
        <x:f>G2440*J2440/1000000</x:f>
        <x:v>0.69012</x:v>
      </x:c>
      <x:c r="N2440" s="28" t="n">
        <x:f>H2440*K2440/1000000</x:f>
        <x:v>0.9028</x:v>
      </x:c>
      <x:c r="O2440" s="28" t="n">
        <x:f>SUM(M2440:N2440)</x:f>
        <x:v>1.59292</x:v>
      </x:c>
    </x:row>
    <x:row r="2441" ht="23" customHeight="1">
      <x:c r="A2441" s="17" t="str">
        <x:v>U02435</x:v>
      </x:c>
      <x:c r="B2441" s="18" t="n">
        <x:v>46283</x:v>
      </x:c>
      <x:c r="C2441" s="17" t="str">
        <x:v>W0160</x:v>
      </x:c>
      <x:c r="D2441" s="17" t="str">
        <x:v>C003</x:v>
      </x:c>
      <x:c r="E2441" s="17" t="str">
        <x:v>CopyStudio</x:v>
      </x:c>
      <x:c r="F2441" s="17" t="str">
        <x:v>Pro</x:v>
      </x:c>
      <x:c r="G2441" s="17" t="n">
        <x:v>16595</x:v>
      </x:c>
      <x:c r="H2441" s="17" t="n">
        <x:v>5086</x:v>
      </x:c>
      <x:c r="I2441" s="17" t="str">
        <x:v>Followup</x:v>
      </x:c>
      <x:c r="J2441" s="27" t="n">
        <x:f>INDEX('Model Pricing'!$B$7:$B$8,MATCH(F2441,'Model Pricing'!$A$7:$A$8,0))</x:f>
        <x:v>40</x:v>
      </x:c>
      <x:c r="K2441" s="27" t="n">
        <x:f>INDEX('Model Pricing'!$C$7:$C$8,MATCH(F2441,'Model Pricing'!$A$7:$A$8,0))</x:f>
        <x:v>100</x:v>
      </x:c>
      <x:c r="L2441" s="17" t="n">
        <x:f>G2441+H2441</x:f>
        <x:v>21681</x:v>
      </x:c>
      <x:c r="M2441" s="28" t="n">
        <x:f>G2441*J2441/1000000</x:f>
        <x:v>0.6638</x:v>
      </x:c>
      <x:c r="N2441" s="28" t="n">
        <x:f>H2441*K2441/1000000</x:f>
        <x:v>0.5086</x:v>
      </x:c>
      <x:c r="O2441" s="28" t="n">
        <x:f>SUM(M2441:N2441)</x:f>
        <x:v>1.1724</x:v>
      </x:c>
    </x:row>
    <x:row r="2442" ht="23" customHeight="1">
      <x:c r="A2442" s="17" t="str">
        <x:v>U02436</x:v>
      </x:c>
      <x:c r="B2442" s="18" t="n">
        <x:v>46283</x:v>
      </x:c>
      <x:c r="C2442" s="17" t="str">
        <x:v>W0160</x:v>
      </x:c>
      <x:c r="D2442" s="17" t="str">
        <x:v>C003</x:v>
      </x:c>
      <x:c r="E2442" s="17" t="str">
        <x:v>CopyStudio</x:v>
      </x:c>
      <x:c r="F2442" s="17" t="str">
        <x:v>Pro</x:v>
      </x:c>
      <x:c r="G2442" s="17" t="n">
        <x:v>7964</x:v>
      </x:c>
      <x:c r="H2442" s="17" t="n">
        <x:v>3628</x:v>
      </x:c>
      <x:c r="I2442" s="17" t="str">
        <x:v>Followup</x:v>
      </x:c>
      <x:c r="J2442" s="27" t="n">
        <x:f>INDEX('Model Pricing'!$B$7:$B$8,MATCH(F2442,'Model Pricing'!$A$7:$A$8,0))</x:f>
        <x:v>40</x:v>
      </x:c>
      <x:c r="K2442" s="27" t="n">
        <x:f>INDEX('Model Pricing'!$C$7:$C$8,MATCH(F2442,'Model Pricing'!$A$7:$A$8,0))</x:f>
        <x:v>100</x:v>
      </x:c>
      <x:c r="L2442" s="17" t="n">
        <x:f>G2442+H2442</x:f>
        <x:v>11592</x:v>
      </x:c>
      <x:c r="M2442" s="28" t="n">
        <x:f>G2442*J2442/1000000</x:f>
        <x:v>0.31856</x:v>
      </x:c>
      <x:c r="N2442" s="28" t="n">
        <x:f>H2442*K2442/1000000</x:f>
        <x:v>0.3628</x:v>
      </x:c>
      <x:c r="O2442" s="28" t="n">
        <x:f>SUM(M2442:N2442)</x:f>
        <x:v>0.68136</x:v>
      </x:c>
    </x:row>
    <x:row r="2443" ht="23" customHeight="1">
      <x:c r="A2443" s="17" t="str">
        <x:v>U02437</x:v>
      </x:c>
      <x:c r="B2443" s="18" t="n">
        <x:v>46286</x:v>
      </x:c>
      <x:c r="C2443" s="17" t="str">
        <x:v>W0160</x:v>
      </x:c>
      <x:c r="D2443" s="17" t="str">
        <x:v>C003</x:v>
      </x:c>
      <x:c r="E2443" s="17" t="str">
        <x:v>CopyStudio</x:v>
      </x:c>
      <x:c r="F2443" s="17" t="str">
        <x:v>Pro</x:v>
      </x:c>
      <x:c r="G2443" s="17" t="n">
        <x:v>12069</x:v>
      </x:c>
      <x:c r="H2443" s="17" t="n">
        <x:v>3350</x:v>
      </x:c>
      <x:c r="I2443" s="17" t="str">
        <x:v>Followup</x:v>
      </x:c>
      <x:c r="J2443" s="27" t="n">
        <x:f>INDEX('Model Pricing'!$B$7:$B$8,MATCH(F2443,'Model Pricing'!$A$7:$A$8,0))</x:f>
        <x:v>40</x:v>
      </x:c>
      <x:c r="K2443" s="27" t="n">
        <x:f>INDEX('Model Pricing'!$C$7:$C$8,MATCH(F2443,'Model Pricing'!$A$7:$A$8,0))</x:f>
        <x:v>100</x:v>
      </x:c>
      <x:c r="L2443" s="17" t="n">
        <x:f>G2443+H2443</x:f>
        <x:v>15419</x:v>
      </x:c>
      <x:c r="M2443" s="28" t="n">
        <x:f>G2443*J2443/1000000</x:f>
        <x:v>0.48276</x:v>
      </x:c>
      <x:c r="N2443" s="28" t="n">
        <x:f>H2443*K2443/1000000</x:f>
        <x:v>0.335</x:v>
      </x:c>
      <x:c r="O2443" s="28" t="n">
        <x:f>SUM(M2443:N2443)</x:f>
        <x:v>0.81776</x:v>
      </x:c>
    </x:row>
    <x:row r="2444" ht="23" customHeight="1">
      <x:c r="A2444" s="17" t="str">
        <x:v>U02438</x:v>
      </x:c>
      <x:c r="B2444" s="18" t="n">
        <x:v>46286</x:v>
      </x:c>
      <x:c r="C2444" s="17" t="str">
        <x:v>W0160</x:v>
      </x:c>
      <x:c r="D2444" s="17" t="str">
        <x:v>C003</x:v>
      </x:c>
      <x:c r="E2444" s="17" t="str">
        <x:v>CopyStudio</x:v>
      </x:c>
      <x:c r="F2444" s="17" t="str">
        <x:v>Pro</x:v>
      </x:c>
      <x:c r="G2444" s="17" t="n">
        <x:v>10107</x:v>
      </x:c>
      <x:c r="H2444" s="17" t="n">
        <x:v>5667</x:v>
      </x:c>
      <x:c r="I2444" s="17" t="str">
        <x:v>Followup</x:v>
      </x:c>
      <x:c r="J2444" s="27" t="n">
        <x:f>INDEX('Model Pricing'!$B$7:$B$8,MATCH(F2444,'Model Pricing'!$A$7:$A$8,0))</x:f>
        <x:v>40</x:v>
      </x:c>
      <x:c r="K2444" s="27" t="n">
        <x:f>INDEX('Model Pricing'!$C$7:$C$8,MATCH(F2444,'Model Pricing'!$A$7:$A$8,0))</x:f>
        <x:v>100</x:v>
      </x:c>
      <x:c r="L2444" s="17" t="n">
        <x:f>G2444+H2444</x:f>
        <x:v>15774</x:v>
      </x:c>
      <x:c r="M2444" s="28" t="n">
        <x:f>G2444*J2444/1000000</x:f>
        <x:v>0.40428</x:v>
      </x:c>
      <x:c r="N2444" s="28" t="n">
        <x:f>H2444*K2444/1000000</x:f>
        <x:v>0.5667</x:v>
      </x:c>
      <x:c r="O2444" s="28" t="n">
        <x:f>SUM(M2444:N2444)</x:f>
        <x:v>0.97098</x:v>
      </x:c>
    </x:row>
    <x:row r="2445" ht="23" customHeight="1">
      <x:c r="A2445" s="17" t="str">
        <x:v>U02439</x:v>
      </x:c>
      <x:c r="B2445" s="18" t="n">
        <x:v>46287</x:v>
      </x:c>
      <x:c r="C2445" s="17" t="str">
        <x:v>W0160</x:v>
      </x:c>
      <x:c r="D2445" s="17" t="str">
        <x:v>C003</x:v>
      </x:c>
      <x:c r="E2445" s="17" t="str">
        <x:v>CopyStudio</x:v>
      </x:c>
      <x:c r="F2445" s="17" t="str">
        <x:v>Pro</x:v>
      </x:c>
      <x:c r="G2445" s="17" t="n">
        <x:v>14382</x:v>
      </x:c>
      <x:c r="H2445" s="17" t="n">
        <x:v>2681</x:v>
      </x:c>
      <x:c r="I2445" s="17" t="str">
        <x:v>Correction</x:v>
      </x:c>
      <x:c r="J2445" s="27" t="n">
        <x:f>INDEX('Model Pricing'!$B$7:$B$8,MATCH(F2445,'Model Pricing'!$A$7:$A$8,0))</x:f>
        <x:v>40</x:v>
      </x:c>
      <x:c r="K2445" s="27" t="n">
        <x:f>INDEX('Model Pricing'!$C$7:$C$8,MATCH(F2445,'Model Pricing'!$A$7:$A$8,0))</x:f>
        <x:v>100</x:v>
      </x:c>
      <x:c r="L2445" s="17" t="n">
        <x:f>G2445+H2445</x:f>
        <x:v>17063</x:v>
      </x:c>
      <x:c r="M2445" s="28" t="n">
        <x:f>G2445*J2445/1000000</x:f>
        <x:v>0.57528</x:v>
      </x:c>
      <x:c r="N2445" s="28" t="n">
        <x:f>H2445*K2445/1000000</x:f>
        <x:v>0.2681</x:v>
      </x:c>
      <x:c r="O2445" s="28" t="n">
        <x:f>SUM(M2445:N2445)</x:f>
        <x:v>0.84338</x:v>
      </x:c>
    </x:row>
    <x:row r="2446" ht="23" customHeight="1">
      <x:c r="A2446" s="17" t="str">
        <x:v>U02440</x:v>
      </x:c>
      <x:c r="B2446" s="18" t="n">
        <x:v>46287</x:v>
      </x:c>
      <x:c r="C2446" s="17" t="str">
        <x:v>W0160</x:v>
      </x:c>
      <x:c r="D2446" s="17" t="str">
        <x:v>C003</x:v>
      </x:c>
      <x:c r="E2446" s="17" t="str">
        <x:v>CopyStudio</x:v>
      </x:c>
      <x:c r="F2446" s="17" t="str">
        <x:v>Pro</x:v>
      </x:c>
      <x:c r="G2446" s="17" t="n">
        <x:v>11356</x:v>
      </x:c>
      <x:c r="H2446" s="17" t="n">
        <x:v>9427</x:v>
      </x:c>
      <x:c r="I2446" s="17" t="str">
        <x:v>Followup</x:v>
      </x:c>
      <x:c r="J2446" s="27" t="n">
        <x:f>INDEX('Model Pricing'!$B$7:$B$8,MATCH(F2446,'Model Pricing'!$A$7:$A$8,0))</x:f>
        <x:v>40</x:v>
      </x:c>
      <x:c r="K2446" s="27" t="n">
        <x:f>INDEX('Model Pricing'!$C$7:$C$8,MATCH(F2446,'Model Pricing'!$A$7:$A$8,0))</x:f>
        <x:v>100</x:v>
      </x:c>
      <x:c r="L2446" s="17" t="n">
        <x:f>G2446+H2446</x:f>
        <x:v>20783</x:v>
      </x:c>
      <x:c r="M2446" s="28" t="n">
        <x:f>G2446*J2446/1000000</x:f>
        <x:v>0.45424</x:v>
      </x:c>
      <x:c r="N2446" s="28" t="n">
        <x:f>H2446*K2446/1000000</x:f>
        <x:v>0.9427</x:v>
      </x:c>
      <x:c r="O2446" s="28" t="n">
        <x:f>SUM(M2446:N2446)</x:f>
        <x:v>1.3969399999999998</x:v>
      </x:c>
    </x:row>
    <x:row r="2447" ht="23" customHeight="1">
      <x:c r="A2447" s="17" t="str">
        <x:v>U02441</x:v>
      </x:c>
      <x:c r="B2447" s="18" t="n">
        <x:v>46288</x:v>
      </x:c>
      <x:c r="C2447" s="17" t="str">
        <x:v>W0160</x:v>
      </x:c>
      <x:c r="D2447" s="17" t="str">
        <x:v>C003</x:v>
      </x:c>
      <x:c r="E2447" s="17" t="str">
        <x:v>CopyStudio</x:v>
      </x:c>
      <x:c r="F2447" s="17" t="str">
        <x:v>Pro</x:v>
      </x:c>
      <x:c r="G2447" s="17" t="n">
        <x:v>9024</x:v>
      </x:c>
      <x:c r="H2447" s="17" t="n">
        <x:v>4085</x:v>
      </x:c>
      <x:c r="I2447" s="17" t="str">
        <x:v>Correction</x:v>
      </x:c>
      <x:c r="J2447" s="27" t="n">
        <x:f>INDEX('Model Pricing'!$B$7:$B$8,MATCH(F2447,'Model Pricing'!$A$7:$A$8,0))</x:f>
        <x:v>40</x:v>
      </x:c>
      <x:c r="K2447" s="27" t="n">
        <x:f>INDEX('Model Pricing'!$C$7:$C$8,MATCH(F2447,'Model Pricing'!$A$7:$A$8,0))</x:f>
        <x:v>100</x:v>
      </x:c>
      <x:c r="L2447" s="17" t="n">
        <x:f>G2447+H2447</x:f>
        <x:v>13109</x:v>
      </x:c>
      <x:c r="M2447" s="28" t="n">
        <x:f>G2447*J2447/1000000</x:f>
        <x:v>0.36096</x:v>
      </x:c>
      <x:c r="N2447" s="28" t="n">
        <x:f>H2447*K2447/1000000</x:f>
        <x:v>0.4085</x:v>
      </x:c>
      <x:c r="O2447" s="28" t="n">
        <x:f>SUM(M2447:N2447)</x:f>
        <x:v>0.76946</x:v>
      </x:c>
    </x:row>
    <x:row r="2448" ht="23" customHeight="1">
      <x:c r="A2448" s="17" t="str">
        <x:v>U02442</x:v>
      </x:c>
      <x:c r="B2448" s="18" t="n">
        <x:v>46288</x:v>
      </x:c>
      <x:c r="C2448" s="17" t="str">
        <x:v>W0160</x:v>
      </x:c>
      <x:c r="D2448" s="17" t="str">
        <x:v>C003</x:v>
      </x:c>
      <x:c r="E2448" s="17" t="str">
        <x:v>CopyStudio</x:v>
      </x:c>
      <x:c r="F2448" s="17" t="str">
        <x:v>Pro</x:v>
      </x:c>
      <x:c r="G2448" s="17" t="n">
        <x:v>8656</x:v>
      </x:c>
      <x:c r="H2448" s="17" t="n">
        <x:v>5441</x:v>
      </x:c>
      <x:c r="I2448" s="17" t="str">
        <x:v>Followup</x:v>
      </x:c>
      <x:c r="J2448" s="27" t="n">
        <x:f>INDEX('Model Pricing'!$B$7:$B$8,MATCH(F2448,'Model Pricing'!$A$7:$A$8,0))</x:f>
        <x:v>40</x:v>
      </x:c>
      <x:c r="K2448" s="27" t="n">
        <x:f>INDEX('Model Pricing'!$C$7:$C$8,MATCH(F2448,'Model Pricing'!$A$7:$A$8,0))</x:f>
        <x:v>100</x:v>
      </x:c>
      <x:c r="L2448" s="17" t="n">
        <x:f>G2448+H2448</x:f>
        <x:v>14097</x:v>
      </x:c>
      <x:c r="M2448" s="28" t="n">
        <x:f>G2448*J2448/1000000</x:f>
        <x:v>0.34624</x:v>
      </x:c>
      <x:c r="N2448" s="28" t="n">
        <x:f>H2448*K2448/1000000</x:f>
        <x:v>0.5441</x:v>
      </x:c>
      <x:c r="O2448" s="28" t="n">
        <x:f>SUM(M2448:N2448)</x:f>
        <x:v>0.89034</x:v>
      </x:c>
    </x:row>
    <x:row r="2449" ht="23" customHeight="1">
      <x:c r="A2449" s="17" t="str">
        <x:v>U02443</x:v>
      </x:c>
      <x:c r="B2449" s="18" t="n">
        <x:v>46267</x:v>
      </x:c>
      <x:c r="C2449" s="17" t="str">
        <x:v>W0161</x:v>
      </x:c>
      <x:c r="D2449" s="17" t="str">
        <x:v>C003</x:v>
      </x:c>
      <x:c r="E2449" s="17" t="str">
        <x:v>CampaignChat</x:v>
      </x:c>
      <x:c r="F2449" s="17" t="str">
        <x:v>Pro</x:v>
      </x:c>
      <x:c r="G2449" s="17" t="n">
        <x:v>14956</x:v>
      </x:c>
      <x:c r="H2449" s="17" t="n">
        <x:v>8573</x:v>
      </x:c>
      <x:c r="I2449" s="17" t="str">
        <x:v>First attempt</x:v>
      </x:c>
      <x:c r="J2449" s="27" t="n">
        <x:f>INDEX('Model Pricing'!$B$7:$B$8,MATCH(F2449,'Model Pricing'!$A$7:$A$8,0))</x:f>
        <x:v>40</x:v>
      </x:c>
      <x:c r="K2449" s="27" t="n">
        <x:f>INDEX('Model Pricing'!$C$7:$C$8,MATCH(F2449,'Model Pricing'!$A$7:$A$8,0))</x:f>
        <x:v>100</x:v>
      </x:c>
      <x:c r="L2449" s="17" t="n">
        <x:f>G2449+H2449</x:f>
        <x:v>23529</x:v>
      </x:c>
      <x:c r="M2449" s="28" t="n">
        <x:f>G2449*J2449/1000000</x:f>
        <x:v>0.59824</x:v>
      </x:c>
      <x:c r="N2449" s="28" t="n">
        <x:f>H2449*K2449/1000000</x:f>
        <x:v>0.8573</x:v>
      </x:c>
      <x:c r="O2449" s="28" t="n">
        <x:f>SUM(M2449:N2449)</x:f>
        <x:v>1.45554</x:v>
      </x:c>
    </x:row>
    <x:row r="2450" ht="23" customHeight="1">
      <x:c r="A2450" s="17" t="str">
        <x:v>U02444</x:v>
      </x:c>
      <x:c r="B2450" s="18" t="n">
        <x:v>46267</x:v>
      </x:c>
      <x:c r="C2450" s="17" t="str">
        <x:v>W0161</x:v>
      </x:c>
      <x:c r="D2450" s="17" t="str">
        <x:v>C003</x:v>
      </x:c>
      <x:c r="E2450" s="17" t="str">
        <x:v>CampaignChat</x:v>
      </x:c>
      <x:c r="F2450" s="17" t="str">
        <x:v>Pro</x:v>
      </x:c>
      <x:c r="G2450" s="17" t="n">
        <x:v>22193</x:v>
      </x:c>
      <x:c r="H2450" s="17" t="n">
        <x:v>5818</x:v>
      </x:c>
      <x:c r="I2450" s="17" t="str">
        <x:v>Followup</x:v>
      </x:c>
      <x:c r="J2450" s="27" t="n">
        <x:f>INDEX('Model Pricing'!$B$7:$B$8,MATCH(F2450,'Model Pricing'!$A$7:$A$8,0))</x:f>
        <x:v>40</x:v>
      </x:c>
      <x:c r="K2450" s="27" t="n">
        <x:f>INDEX('Model Pricing'!$C$7:$C$8,MATCH(F2450,'Model Pricing'!$A$7:$A$8,0))</x:f>
        <x:v>100</x:v>
      </x:c>
      <x:c r="L2450" s="17" t="n">
        <x:f>G2450+H2450</x:f>
        <x:v>28011</x:v>
      </x:c>
      <x:c r="M2450" s="28" t="n">
        <x:f>G2450*J2450/1000000</x:f>
        <x:v>0.88772</x:v>
      </x:c>
      <x:c r="N2450" s="28" t="n">
        <x:f>H2450*K2450/1000000</x:f>
        <x:v>0.5818</x:v>
      </x:c>
      <x:c r="O2450" s="28" t="n">
        <x:f>SUM(M2450:N2450)</x:f>
        <x:v>1.46952</x:v>
      </x:c>
    </x:row>
    <x:row r="2451" ht="23" customHeight="1">
      <x:c r="A2451" s="17" t="str">
        <x:v>U02445</x:v>
      </x:c>
      <x:c r="B2451" s="18" t="n">
        <x:v>46267</x:v>
      </x:c>
      <x:c r="C2451" s="17" t="str">
        <x:v>W0161</x:v>
      </x:c>
      <x:c r="D2451" s="17" t="str">
        <x:v>C003</x:v>
      </x:c>
      <x:c r="E2451" s="17" t="str">
        <x:v>CampaignChat</x:v>
      </x:c>
      <x:c r="F2451" s="17" t="str">
        <x:v>Pro</x:v>
      </x:c>
      <x:c r="G2451" s="17" t="n">
        <x:v>19769</x:v>
      </x:c>
      <x:c r="H2451" s="17" t="n">
        <x:v>12080</x:v>
      </x:c>
      <x:c r="I2451" s="17" t="str">
        <x:v>Correction</x:v>
      </x:c>
      <x:c r="J2451" s="27" t="n">
        <x:f>INDEX('Model Pricing'!$B$7:$B$8,MATCH(F2451,'Model Pricing'!$A$7:$A$8,0))</x:f>
        <x:v>40</x:v>
      </x:c>
      <x:c r="K2451" s="27" t="n">
        <x:f>INDEX('Model Pricing'!$C$7:$C$8,MATCH(F2451,'Model Pricing'!$A$7:$A$8,0))</x:f>
        <x:v>100</x:v>
      </x:c>
      <x:c r="L2451" s="17" t="n">
        <x:f>G2451+H2451</x:f>
        <x:v>31849</x:v>
      </x:c>
      <x:c r="M2451" s="28" t="n">
        <x:f>G2451*J2451/1000000</x:f>
        <x:v>0.79076</x:v>
      </x:c>
      <x:c r="N2451" s="28" t="n">
        <x:f>H2451*K2451/1000000</x:f>
        <x:v>1.208</x:v>
      </x:c>
      <x:c r="O2451" s="28" t="n">
        <x:f>SUM(M2451:N2451)</x:f>
        <x:v>1.9987599999999999</x:v>
      </x:c>
    </x:row>
    <x:row r="2452" ht="23" customHeight="1">
      <x:c r="A2452" s="17" t="str">
        <x:v>U02446</x:v>
      </x:c>
      <x:c r="B2452" s="18" t="n">
        <x:v>46268</x:v>
      </x:c>
      <x:c r="C2452" s="17" t="str">
        <x:v>W0161</x:v>
      </x:c>
      <x:c r="D2452" s="17" t="str">
        <x:v>C003</x:v>
      </x:c>
      <x:c r="E2452" s="17" t="str">
        <x:v>CampaignChat</x:v>
      </x:c>
      <x:c r="F2452" s="17" t="str">
        <x:v>Pro</x:v>
      </x:c>
      <x:c r="G2452" s="17" t="n">
        <x:v>21840</x:v>
      </x:c>
      <x:c r="H2452" s="17" t="n">
        <x:v>12025</x:v>
      </x:c>
      <x:c r="I2452" s="17" t="str">
        <x:v>Followup</x:v>
      </x:c>
      <x:c r="J2452" s="27" t="n">
        <x:f>INDEX('Model Pricing'!$B$7:$B$8,MATCH(F2452,'Model Pricing'!$A$7:$A$8,0))</x:f>
        <x:v>40</x:v>
      </x:c>
      <x:c r="K2452" s="27" t="n">
        <x:f>INDEX('Model Pricing'!$C$7:$C$8,MATCH(F2452,'Model Pricing'!$A$7:$A$8,0))</x:f>
        <x:v>100</x:v>
      </x:c>
      <x:c r="L2452" s="17" t="n">
        <x:f>G2452+H2452</x:f>
        <x:v>33865</x:v>
      </x:c>
      <x:c r="M2452" s="28" t="n">
        <x:f>G2452*J2452/1000000</x:f>
        <x:v>0.8736</x:v>
      </x:c>
      <x:c r="N2452" s="28" t="n">
        <x:f>H2452*K2452/1000000</x:f>
        <x:v>1.2025</x:v>
      </x:c>
      <x:c r="O2452" s="28" t="n">
        <x:f>SUM(M2452:N2452)</x:f>
        <x:v>2.0761</x:v>
      </x:c>
    </x:row>
    <x:row r="2453" ht="23" customHeight="1">
      <x:c r="A2453" s="17" t="str">
        <x:v>U02447</x:v>
      </x:c>
      <x:c r="B2453" s="18" t="n">
        <x:v>46268</x:v>
      </x:c>
      <x:c r="C2453" s="17" t="str">
        <x:v>W0161</x:v>
      </x:c>
      <x:c r="D2453" s="17" t="str">
        <x:v>C003</x:v>
      </x:c>
      <x:c r="E2453" s="17" t="str">
        <x:v>CampaignChat</x:v>
      </x:c>
      <x:c r="F2453" s="17" t="str">
        <x:v>Pro</x:v>
      </x:c>
      <x:c r="G2453" s="17" t="n">
        <x:v>19590</x:v>
      </x:c>
      <x:c r="H2453" s="17" t="n">
        <x:v>5366</x:v>
      </x:c>
      <x:c r="I2453" s="17" t="str">
        <x:v>Followup</x:v>
      </x:c>
      <x:c r="J2453" s="27" t="n">
        <x:f>INDEX('Model Pricing'!$B$7:$B$8,MATCH(F2453,'Model Pricing'!$A$7:$A$8,0))</x:f>
        <x:v>40</x:v>
      </x:c>
      <x:c r="K2453" s="27" t="n">
        <x:f>INDEX('Model Pricing'!$C$7:$C$8,MATCH(F2453,'Model Pricing'!$A$7:$A$8,0))</x:f>
        <x:v>100</x:v>
      </x:c>
      <x:c r="L2453" s="17" t="n">
        <x:f>G2453+H2453</x:f>
        <x:v>24956</x:v>
      </x:c>
      <x:c r="M2453" s="28" t="n">
        <x:f>G2453*J2453/1000000</x:f>
        <x:v>0.7836</x:v>
      </x:c>
      <x:c r="N2453" s="28" t="n">
        <x:f>H2453*K2453/1000000</x:f>
        <x:v>0.5366</x:v>
      </x:c>
      <x:c r="O2453" s="28" t="n">
        <x:f>SUM(M2453:N2453)</x:f>
        <x:v>1.3201999999999998</x:v>
      </x:c>
    </x:row>
    <x:row r="2454" ht="23" customHeight="1">
      <x:c r="A2454" s="17" t="str">
        <x:v>U02448</x:v>
      </x:c>
      <x:c r="B2454" s="18" t="n">
        <x:v>46269</x:v>
      </x:c>
      <x:c r="C2454" s="17" t="str">
        <x:v>W0161</x:v>
      </x:c>
      <x:c r="D2454" s="17" t="str">
        <x:v>C003</x:v>
      </x:c>
      <x:c r="E2454" s="17" t="str">
        <x:v>CampaignChat</x:v>
      </x:c>
      <x:c r="F2454" s="17" t="str">
        <x:v>Pro</x:v>
      </x:c>
      <x:c r="G2454" s="17" t="n">
        <x:v>20120</x:v>
      </x:c>
      <x:c r="H2454" s="17" t="n">
        <x:v>11920</x:v>
      </x:c>
      <x:c r="I2454" s="17" t="str">
        <x:v>Followup</x:v>
      </x:c>
      <x:c r="J2454" s="27" t="n">
        <x:f>INDEX('Model Pricing'!$B$7:$B$8,MATCH(F2454,'Model Pricing'!$A$7:$A$8,0))</x:f>
        <x:v>40</x:v>
      </x:c>
      <x:c r="K2454" s="27" t="n">
        <x:f>INDEX('Model Pricing'!$C$7:$C$8,MATCH(F2454,'Model Pricing'!$A$7:$A$8,0))</x:f>
        <x:v>100</x:v>
      </x:c>
      <x:c r="L2454" s="17" t="n">
        <x:f>G2454+H2454</x:f>
        <x:v>32040</x:v>
      </x:c>
      <x:c r="M2454" s="28" t="n">
        <x:f>G2454*J2454/1000000</x:f>
        <x:v>0.8048</x:v>
      </x:c>
      <x:c r="N2454" s="28" t="n">
        <x:f>H2454*K2454/1000000</x:f>
        <x:v>1.192</x:v>
      </x:c>
      <x:c r="O2454" s="28" t="n">
        <x:f>SUM(M2454:N2454)</x:f>
        <x:v>1.9968</x:v>
      </x:c>
    </x:row>
    <x:row r="2455" ht="23" customHeight="1">
      <x:c r="A2455" s="17" t="str">
        <x:v>U02449</x:v>
      </x:c>
      <x:c r="B2455" s="18" t="n">
        <x:v>46269</x:v>
      </x:c>
      <x:c r="C2455" s="17" t="str">
        <x:v>W0161</x:v>
      </x:c>
      <x:c r="D2455" s="17" t="str">
        <x:v>C003</x:v>
      </x:c>
      <x:c r="E2455" s="17" t="str">
        <x:v>CampaignChat</x:v>
      </x:c>
      <x:c r="F2455" s="17" t="str">
        <x:v>Pro</x:v>
      </x:c>
      <x:c r="G2455" s="17" t="n">
        <x:v>19539</x:v>
      </x:c>
      <x:c r="H2455" s="17" t="n">
        <x:v>9567</x:v>
      </x:c>
      <x:c r="I2455" s="17" t="str">
        <x:v>Followup</x:v>
      </x:c>
      <x:c r="J2455" s="27" t="n">
        <x:f>INDEX('Model Pricing'!$B$7:$B$8,MATCH(F2455,'Model Pricing'!$A$7:$A$8,0))</x:f>
        <x:v>40</x:v>
      </x:c>
      <x:c r="K2455" s="27" t="n">
        <x:f>INDEX('Model Pricing'!$C$7:$C$8,MATCH(F2455,'Model Pricing'!$A$7:$A$8,0))</x:f>
        <x:v>100</x:v>
      </x:c>
      <x:c r="L2455" s="17" t="n">
        <x:f>G2455+H2455</x:f>
        <x:v>29106</x:v>
      </x:c>
      <x:c r="M2455" s="28" t="n">
        <x:f>G2455*J2455/1000000</x:f>
        <x:v>0.78156</x:v>
      </x:c>
      <x:c r="N2455" s="28" t="n">
        <x:f>H2455*K2455/1000000</x:f>
        <x:v>0.9567</x:v>
      </x:c>
      <x:c r="O2455" s="28" t="n">
        <x:f>SUM(M2455:N2455)</x:f>
        <x:v>1.73826</x:v>
      </x:c>
    </x:row>
    <x:row r="2456" ht="23" customHeight="1">
      <x:c r="A2456" s="17" t="str">
        <x:v>U02450</x:v>
      </x:c>
      <x:c r="B2456" s="18" t="n">
        <x:v>46269</x:v>
      </x:c>
      <x:c r="C2456" s="17" t="str">
        <x:v>W0161</x:v>
      </x:c>
      <x:c r="D2456" s="17" t="str">
        <x:v>C003</x:v>
      </x:c>
      <x:c r="E2456" s="17" t="str">
        <x:v>CampaignChat</x:v>
      </x:c>
      <x:c r="F2456" s="17" t="str">
        <x:v>Pro</x:v>
      </x:c>
      <x:c r="G2456" s="17" t="n">
        <x:v>33566</x:v>
      </x:c>
      <x:c r="H2456" s="17" t="n">
        <x:v>11675</x:v>
      </x:c>
      <x:c r="I2456" s="17" t="str">
        <x:v>Followup</x:v>
      </x:c>
      <x:c r="J2456" s="27" t="n">
        <x:f>INDEX('Model Pricing'!$B$7:$B$8,MATCH(F2456,'Model Pricing'!$A$7:$A$8,0))</x:f>
        <x:v>40</x:v>
      </x:c>
      <x:c r="K2456" s="27" t="n">
        <x:f>INDEX('Model Pricing'!$C$7:$C$8,MATCH(F2456,'Model Pricing'!$A$7:$A$8,0))</x:f>
        <x:v>100</x:v>
      </x:c>
      <x:c r="L2456" s="17" t="n">
        <x:f>G2456+H2456</x:f>
        <x:v>45241</x:v>
      </x:c>
      <x:c r="M2456" s="28" t="n">
        <x:f>G2456*J2456/1000000</x:f>
        <x:v>1.34264</x:v>
      </x:c>
      <x:c r="N2456" s="28" t="n">
        <x:f>H2456*K2456/1000000</x:f>
        <x:v>1.1675</x:v>
      </x:c>
      <x:c r="O2456" s="28" t="n">
        <x:f>SUM(M2456:N2456)</x:f>
        <x:v>2.51014</x:v>
      </x:c>
    </x:row>
    <x:row r="2457" ht="23" customHeight="1">
      <x:c r="A2457" s="17" t="str">
        <x:v>U02451</x:v>
      </x:c>
      <x:c r="B2457" s="18" t="n">
        <x:v>46273</x:v>
      </x:c>
      <x:c r="C2457" s="17" t="str">
        <x:v>W0161</x:v>
      </x:c>
      <x:c r="D2457" s="17" t="str">
        <x:v>C003</x:v>
      </x:c>
      <x:c r="E2457" s="17" t="str">
        <x:v>CampaignChat</x:v>
      </x:c>
      <x:c r="F2457" s="17" t="str">
        <x:v>Pro</x:v>
      </x:c>
      <x:c r="G2457" s="17" t="n">
        <x:v>32952</x:v>
      </x:c>
      <x:c r="H2457" s="17" t="n">
        <x:v>9790</x:v>
      </x:c>
      <x:c r="I2457" s="17" t="str">
        <x:v>Followup</x:v>
      </x:c>
      <x:c r="J2457" s="27" t="n">
        <x:f>INDEX('Model Pricing'!$B$7:$B$8,MATCH(F2457,'Model Pricing'!$A$7:$A$8,0))</x:f>
        <x:v>40</x:v>
      </x:c>
      <x:c r="K2457" s="27" t="n">
        <x:f>INDEX('Model Pricing'!$C$7:$C$8,MATCH(F2457,'Model Pricing'!$A$7:$A$8,0))</x:f>
        <x:v>100</x:v>
      </x:c>
      <x:c r="L2457" s="17" t="n">
        <x:f>G2457+H2457</x:f>
        <x:v>42742</x:v>
      </x:c>
      <x:c r="M2457" s="28" t="n">
        <x:f>G2457*J2457/1000000</x:f>
        <x:v>1.31808</x:v>
      </x:c>
      <x:c r="N2457" s="28" t="n">
        <x:f>H2457*K2457/1000000</x:f>
        <x:v>0.979</x:v>
      </x:c>
      <x:c r="O2457" s="28" t="n">
        <x:f>SUM(M2457:N2457)</x:f>
        <x:v>2.29708</x:v>
      </x:c>
    </x:row>
    <x:row r="2458" ht="23" customHeight="1">
      <x:c r="A2458" s="17" t="str">
        <x:v>U02452</x:v>
      </x:c>
      <x:c r="B2458" s="18" t="n">
        <x:v>46273</x:v>
      </x:c>
      <x:c r="C2458" s="17" t="str">
        <x:v>W0161</x:v>
      </x:c>
      <x:c r="D2458" s="17" t="str">
        <x:v>C003</x:v>
      </x:c>
      <x:c r="E2458" s="17" t="str">
        <x:v>CampaignChat</x:v>
      </x:c>
      <x:c r="F2458" s="17" t="str">
        <x:v>Pro</x:v>
      </x:c>
      <x:c r="G2458" s="17" t="n">
        <x:v>35660</x:v>
      </x:c>
      <x:c r="H2458" s="17" t="n">
        <x:v>8531</x:v>
      </x:c>
      <x:c r="I2458" s="17" t="str">
        <x:v>Correction</x:v>
      </x:c>
      <x:c r="J2458" s="27" t="n">
        <x:f>INDEX('Model Pricing'!$B$7:$B$8,MATCH(F2458,'Model Pricing'!$A$7:$A$8,0))</x:f>
        <x:v>40</x:v>
      </x:c>
      <x:c r="K2458" s="27" t="n">
        <x:f>INDEX('Model Pricing'!$C$7:$C$8,MATCH(F2458,'Model Pricing'!$A$7:$A$8,0))</x:f>
        <x:v>100</x:v>
      </x:c>
      <x:c r="L2458" s="17" t="n">
        <x:f>G2458+H2458</x:f>
        <x:v>44191</x:v>
      </x:c>
      <x:c r="M2458" s="28" t="n">
        <x:f>G2458*J2458/1000000</x:f>
        <x:v>1.4264</x:v>
      </x:c>
      <x:c r="N2458" s="28" t="n">
        <x:f>H2458*K2458/1000000</x:f>
        <x:v>0.8531</x:v>
      </x:c>
      <x:c r="O2458" s="28" t="n">
        <x:f>SUM(M2458:N2458)</x:f>
        <x:v>2.2794999999999996</x:v>
      </x:c>
    </x:row>
    <x:row r="2459" ht="23" customHeight="1">
      <x:c r="A2459" s="17" t="str">
        <x:v>U02453</x:v>
      </x:c>
      <x:c r="B2459" s="18" t="n">
        <x:v>46288</x:v>
      </x:c>
      <x:c r="C2459" s="17" t="str">
        <x:v>W0163</x:v>
      </x:c>
      <x:c r="D2459" s="17" t="str">
        <x:v>C003</x:v>
      </x:c>
      <x:c r="E2459" s="17" t="str">
        <x:v>InsightDesk</x:v>
      </x:c>
      <x:c r="F2459" s="17" t="str">
        <x:v>Pro</x:v>
      </x:c>
      <x:c r="G2459" s="17" t="n">
        <x:v>42019</x:v>
      </x:c>
      <x:c r="H2459" s="17" t="n">
        <x:v>13218</x:v>
      </x:c>
      <x:c r="I2459" s="17" t="str">
        <x:v>First attempt</x:v>
      </x:c>
      <x:c r="J2459" s="27" t="n">
        <x:f>INDEX('Model Pricing'!$B$7:$B$8,MATCH(F2459,'Model Pricing'!$A$7:$A$8,0))</x:f>
        <x:v>40</x:v>
      </x:c>
      <x:c r="K2459" s="27" t="n">
        <x:f>INDEX('Model Pricing'!$C$7:$C$8,MATCH(F2459,'Model Pricing'!$A$7:$A$8,0))</x:f>
        <x:v>100</x:v>
      </x:c>
      <x:c r="L2459" s="17" t="n">
        <x:f>G2459+H2459</x:f>
        <x:v>55237</x:v>
      </x:c>
      <x:c r="M2459" s="28" t="n">
        <x:f>G2459*J2459/1000000</x:f>
        <x:v>1.68076</x:v>
      </x:c>
      <x:c r="N2459" s="28" t="n">
        <x:f>H2459*K2459/1000000</x:f>
        <x:v>1.3218</x:v>
      </x:c>
      <x:c r="O2459" s="28" t="n">
        <x:f>SUM(M2459:N2459)</x:f>
        <x:v>3.00256</x:v>
      </x:c>
    </x:row>
    <x:row r="2460" ht="23" customHeight="1">
      <x:c r="A2460" s="17" t="str">
        <x:v>U02454</x:v>
      </x:c>
      <x:c r="B2460" s="18" t="n">
        <x:v>46288</x:v>
      </x:c>
      <x:c r="C2460" s="17" t="str">
        <x:v>W0163</x:v>
      </x:c>
      <x:c r="D2460" s="17" t="str">
        <x:v>C003</x:v>
      </x:c>
      <x:c r="E2460" s="17" t="str">
        <x:v>InsightDesk</x:v>
      </x:c>
      <x:c r="F2460" s="17" t="str">
        <x:v>Pro</x:v>
      </x:c>
      <x:c r="G2460" s="17" t="n">
        <x:v>37576</x:v>
      </x:c>
      <x:c r="H2460" s="17" t="n">
        <x:v>7872</x:v>
      </x:c>
      <x:c r="I2460" s="17" t="str">
        <x:v>Followup</x:v>
      </x:c>
      <x:c r="J2460" s="27" t="n">
        <x:f>INDEX('Model Pricing'!$B$7:$B$8,MATCH(F2460,'Model Pricing'!$A$7:$A$8,0))</x:f>
        <x:v>40</x:v>
      </x:c>
      <x:c r="K2460" s="27" t="n">
        <x:f>INDEX('Model Pricing'!$C$7:$C$8,MATCH(F2460,'Model Pricing'!$A$7:$A$8,0))</x:f>
        <x:v>100</x:v>
      </x:c>
      <x:c r="L2460" s="17" t="n">
        <x:f>G2460+H2460</x:f>
        <x:v>45448</x:v>
      </x:c>
      <x:c r="M2460" s="28" t="n">
        <x:f>G2460*J2460/1000000</x:f>
        <x:v>1.50304</x:v>
      </x:c>
      <x:c r="N2460" s="28" t="n">
        <x:f>H2460*K2460/1000000</x:f>
        <x:v>0.7872</x:v>
      </x:c>
      <x:c r="O2460" s="28" t="n">
        <x:f>SUM(M2460:N2460)</x:f>
        <x:v>2.29024</x:v>
      </x:c>
    </x:row>
    <x:row r="2461" ht="23" customHeight="1">
      <x:c r="A2461" s="17" t="str">
        <x:v>U02455</x:v>
      </x:c>
      <x:c r="B2461" s="18" t="n">
        <x:v>46288</x:v>
      </x:c>
      <x:c r="C2461" s="17" t="str">
        <x:v>W0163</x:v>
      </x:c>
      <x:c r="D2461" s="17" t="str">
        <x:v>C003</x:v>
      </x:c>
      <x:c r="E2461" s="17" t="str">
        <x:v>InsightDesk</x:v>
      </x:c>
      <x:c r="F2461" s="17" t="str">
        <x:v>Pro</x:v>
      </x:c>
      <x:c r="G2461" s="17" t="n">
        <x:v>17597</x:v>
      </x:c>
      <x:c r="H2461" s="17" t="n">
        <x:v>6860</x:v>
      </x:c>
      <x:c r="I2461" s="17" t="str">
        <x:v>Followup</x:v>
      </x:c>
      <x:c r="J2461" s="27" t="n">
        <x:f>INDEX('Model Pricing'!$B$7:$B$8,MATCH(F2461,'Model Pricing'!$A$7:$A$8,0))</x:f>
        <x:v>40</x:v>
      </x:c>
      <x:c r="K2461" s="27" t="n">
        <x:f>INDEX('Model Pricing'!$C$7:$C$8,MATCH(F2461,'Model Pricing'!$A$7:$A$8,0))</x:f>
        <x:v>100</x:v>
      </x:c>
      <x:c r="L2461" s="17" t="n">
        <x:f>G2461+H2461</x:f>
        <x:v>24457</x:v>
      </x:c>
      <x:c r="M2461" s="28" t="n">
        <x:f>G2461*J2461/1000000</x:f>
        <x:v>0.70388</x:v>
      </x:c>
      <x:c r="N2461" s="28" t="n">
        <x:f>H2461*K2461/1000000</x:f>
        <x:v>0.686</x:v>
      </x:c>
      <x:c r="O2461" s="28" t="n">
        <x:f>SUM(M2461:N2461)</x:f>
        <x:v>1.38988</x:v>
      </x:c>
    </x:row>
    <x:row r="2462" ht="23" customHeight="1">
      <x:c r="A2462" s="17" t="str">
        <x:v>U02456</x:v>
      </x:c>
      <x:c r="B2462" s="18" t="n">
        <x:v>46289</x:v>
      </x:c>
      <x:c r="C2462" s="17" t="str">
        <x:v>W0163</x:v>
      </x:c>
      <x:c r="D2462" s="17" t="str">
        <x:v>C003</x:v>
      </x:c>
      <x:c r="E2462" s="17" t="str">
        <x:v>InsightDesk</x:v>
      </x:c>
      <x:c r="F2462" s="17" t="str">
        <x:v>Pro</x:v>
      </x:c>
      <x:c r="G2462" s="17" t="n">
        <x:v>20822</x:v>
      </x:c>
      <x:c r="H2462" s="17" t="n">
        <x:v>9636</x:v>
      </x:c>
      <x:c r="I2462" s="17" t="str">
        <x:v>Followup</x:v>
      </x:c>
      <x:c r="J2462" s="27" t="n">
        <x:f>INDEX('Model Pricing'!$B$7:$B$8,MATCH(F2462,'Model Pricing'!$A$7:$A$8,0))</x:f>
        <x:v>40</x:v>
      </x:c>
      <x:c r="K2462" s="27" t="n">
        <x:f>INDEX('Model Pricing'!$C$7:$C$8,MATCH(F2462,'Model Pricing'!$A$7:$A$8,0))</x:f>
        <x:v>100</x:v>
      </x:c>
      <x:c r="L2462" s="17" t="n">
        <x:f>G2462+H2462</x:f>
        <x:v>30458</x:v>
      </x:c>
      <x:c r="M2462" s="28" t="n">
        <x:f>G2462*J2462/1000000</x:f>
        <x:v>0.83288</x:v>
      </x:c>
      <x:c r="N2462" s="28" t="n">
        <x:f>H2462*K2462/1000000</x:f>
        <x:v>0.9636</x:v>
      </x:c>
      <x:c r="O2462" s="28" t="n">
        <x:f>SUM(M2462:N2462)</x:f>
        <x:v>1.7964799999999999</x:v>
      </x:c>
    </x:row>
    <x:row r="2463" ht="23" customHeight="1">
      <x:c r="A2463" s="17" t="str">
        <x:v>U02457</x:v>
      </x:c>
      <x:c r="B2463" s="18" t="n">
        <x:v>46289</x:v>
      </x:c>
      <x:c r="C2463" s="17" t="str">
        <x:v>W0163</x:v>
      </x:c>
      <x:c r="D2463" s="17" t="str">
        <x:v>C003</x:v>
      </x:c>
      <x:c r="E2463" s="17" t="str">
        <x:v>InsightDesk</x:v>
      </x:c>
      <x:c r="F2463" s="17" t="str">
        <x:v>Pro</x:v>
      </x:c>
      <x:c r="G2463" s="17" t="n">
        <x:v>38244</x:v>
      </x:c>
      <x:c r="H2463" s="17" t="n">
        <x:v>10509</x:v>
      </x:c>
      <x:c r="I2463" s="17" t="str">
        <x:v>Correction</x:v>
      </x:c>
      <x:c r="J2463" s="27" t="n">
        <x:f>INDEX('Model Pricing'!$B$7:$B$8,MATCH(F2463,'Model Pricing'!$A$7:$A$8,0))</x:f>
        <x:v>40</x:v>
      </x:c>
      <x:c r="K2463" s="27" t="n">
        <x:f>INDEX('Model Pricing'!$C$7:$C$8,MATCH(F2463,'Model Pricing'!$A$7:$A$8,0))</x:f>
        <x:v>100</x:v>
      </x:c>
      <x:c r="L2463" s="17" t="n">
        <x:f>G2463+H2463</x:f>
        <x:v>48753</x:v>
      </x:c>
      <x:c r="M2463" s="28" t="n">
        <x:f>G2463*J2463/1000000</x:f>
        <x:v>1.52976</x:v>
      </x:c>
      <x:c r="N2463" s="28" t="n">
        <x:f>H2463*K2463/1000000</x:f>
        <x:v>1.0509</x:v>
      </x:c>
      <x:c r="O2463" s="28" t="n">
        <x:f>SUM(M2463:N2463)</x:f>
        <x:v>2.58066</x:v>
      </x:c>
    </x:row>
    <x:row r="2464" ht="23" customHeight="1">
      <x:c r="A2464" s="17" t="str">
        <x:v>U02458</x:v>
      </x:c>
      <x:c r="B2464" s="18" t="n">
        <x:v>46289</x:v>
      </x:c>
      <x:c r="C2464" s="17" t="str">
        <x:v>W0163</x:v>
      </x:c>
      <x:c r="D2464" s="17" t="str">
        <x:v>C003</x:v>
      </x:c>
      <x:c r="E2464" s="17" t="str">
        <x:v>InsightDesk</x:v>
      </x:c>
      <x:c r="F2464" s="17" t="str">
        <x:v>Pro</x:v>
      </x:c>
      <x:c r="G2464" s="17" t="n">
        <x:v>30446</x:v>
      </x:c>
      <x:c r="H2464" s="17" t="n">
        <x:v>11944</x:v>
      </x:c>
      <x:c r="I2464" s="17" t="str">
        <x:v>Followup</x:v>
      </x:c>
      <x:c r="J2464" s="27" t="n">
        <x:f>INDEX('Model Pricing'!$B$7:$B$8,MATCH(F2464,'Model Pricing'!$A$7:$A$8,0))</x:f>
        <x:v>40</x:v>
      </x:c>
      <x:c r="K2464" s="27" t="n">
        <x:f>INDEX('Model Pricing'!$C$7:$C$8,MATCH(F2464,'Model Pricing'!$A$7:$A$8,0))</x:f>
        <x:v>100</x:v>
      </x:c>
      <x:c r="L2464" s="17" t="n">
        <x:f>G2464+H2464</x:f>
        <x:v>42390</x:v>
      </x:c>
      <x:c r="M2464" s="28" t="n">
        <x:f>G2464*J2464/1000000</x:f>
        <x:v>1.21784</x:v>
      </x:c>
      <x:c r="N2464" s="28" t="n">
        <x:f>H2464*K2464/1000000</x:f>
        <x:v>1.1944</x:v>
      </x:c>
      <x:c r="O2464" s="28" t="n">
        <x:f>SUM(M2464:N2464)</x:f>
        <x:v>2.4122399999999997</x:v>
      </x:c>
    </x:row>
    <x:row r="2465" ht="23" customHeight="1">
      <x:c r="A2465" s="17" t="str">
        <x:v>U02459</x:v>
      </x:c>
      <x:c r="B2465" s="18" t="n">
        <x:v>46290</x:v>
      </x:c>
      <x:c r="C2465" s="17" t="str">
        <x:v>W0163</x:v>
      </x:c>
      <x:c r="D2465" s="17" t="str">
        <x:v>C003</x:v>
      </x:c>
      <x:c r="E2465" s="17" t="str">
        <x:v>InsightDesk</x:v>
      </x:c>
      <x:c r="F2465" s="17" t="str">
        <x:v>Pro</x:v>
      </x:c>
      <x:c r="G2465" s="17" t="n">
        <x:v>20764</x:v>
      </x:c>
      <x:c r="H2465" s="17" t="n">
        <x:v>9104</x:v>
      </x:c>
      <x:c r="I2465" s="17" t="str">
        <x:v>Correction</x:v>
      </x:c>
      <x:c r="J2465" s="27" t="n">
        <x:f>INDEX('Model Pricing'!$B$7:$B$8,MATCH(F2465,'Model Pricing'!$A$7:$A$8,0))</x:f>
        <x:v>40</x:v>
      </x:c>
      <x:c r="K2465" s="27" t="n">
        <x:f>INDEX('Model Pricing'!$C$7:$C$8,MATCH(F2465,'Model Pricing'!$A$7:$A$8,0))</x:f>
        <x:v>100</x:v>
      </x:c>
      <x:c r="L2465" s="17" t="n">
        <x:f>G2465+H2465</x:f>
        <x:v>29868</x:v>
      </x:c>
      <x:c r="M2465" s="28" t="n">
        <x:f>G2465*J2465/1000000</x:f>
        <x:v>0.83056</x:v>
      </x:c>
      <x:c r="N2465" s="28" t="n">
        <x:f>H2465*K2465/1000000</x:f>
        <x:v>0.9104</x:v>
      </x:c>
      <x:c r="O2465" s="28" t="n">
        <x:f>SUM(M2465:N2465)</x:f>
        <x:v>1.7409599999999998</x:v>
      </x:c>
    </x:row>
    <x:row r="2466" ht="23" customHeight="1">
      <x:c r="A2466" s="17" t="str">
        <x:v>U02460</x:v>
      </x:c>
      <x:c r="B2466" s="18" t="n">
        <x:v>46290</x:v>
      </x:c>
      <x:c r="C2466" s="17" t="str">
        <x:v>W0163</x:v>
      </x:c>
      <x:c r="D2466" s="17" t="str">
        <x:v>C003</x:v>
      </x:c>
      <x:c r="E2466" s="17" t="str">
        <x:v>InsightDesk</x:v>
      </x:c>
      <x:c r="F2466" s="17" t="str">
        <x:v>Pro</x:v>
      </x:c>
      <x:c r="G2466" s="17" t="n">
        <x:v>16146</x:v>
      </x:c>
      <x:c r="H2466" s="17" t="n">
        <x:v>8738</x:v>
      </x:c>
      <x:c r="I2466" s="17" t="str">
        <x:v>Followup</x:v>
      </x:c>
      <x:c r="J2466" s="27" t="n">
        <x:f>INDEX('Model Pricing'!$B$7:$B$8,MATCH(F2466,'Model Pricing'!$A$7:$A$8,0))</x:f>
        <x:v>40</x:v>
      </x:c>
      <x:c r="K2466" s="27" t="n">
        <x:f>INDEX('Model Pricing'!$C$7:$C$8,MATCH(F2466,'Model Pricing'!$A$7:$A$8,0))</x:f>
        <x:v>100</x:v>
      </x:c>
      <x:c r="L2466" s="17" t="n">
        <x:f>G2466+H2466</x:f>
        <x:v>24884</x:v>
      </x:c>
      <x:c r="M2466" s="28" t="n">
        <x:f>G2466*J2466/1000000</x:f>
        <x:v>0.64584</x:v>
      </x:c>
      <x:c r="N2466" s="28" t="n">
        <x:f>H2466*K2466/1000000</x:f>
        <x:v>0.8738</x:v>
      </x:c>
      <x:c r="O2466" s="28" t="n">
        <x:f>SUM(M2466:N2466)</x:f>
        <x:v>1.5196399999999999</x:v>
      </x:c>
    </x:row>
    <x:row r="2467" ht="23" customHeight="1">
      <x:c r="A2467" s="17" t="str">
        <x:v>U02461</x:v>
      </x:c>
      <x:c r="B2467" s="18" t="n">
        <x:v>46290</x:v>
      </x:c>
      <x:c r="C2467" s="17" t="str">
        <x:v>W0163</x:v>
      </x:c>
      <x:c r="D2467" s="17" t="str">
        <x:v>C003</x:v>
      </x:c>
      <x:c r="E2467" s="17" t="str">
        <x:v>InsightDesk</x:v>
      </x:c>
      <x:c r="F2467" s="17" t="str">
        <x:v>Pro</x:v>
      </x:c>
      <x:c r="G2467" s="17" t="n">
        <x:v>15974</x:v>
      </x:c>
      <x:c r="H2467" s="17" t="n">
        <x:v>4282</x:v>
      </x:c>
      <x:c r="I2467" s="17" t="str">
        <x:v>Followup</x:v>
      </x:c>
      <x:c r="J2467" s="27" t="n">
        <x:f>INDEX('Model Pricing'!$B$7:$B$8,MATCH(F2467,'Model Pricing'!$A$7:$A$8,0))</x:f>
        <x:v>40</x:v>
      </x:c>
      <x:c r="K2467" s="27" t="n">
        <x:f>INDEX('Model Pricing'!$C$7:$C$8,MATCH(F2467,'Model Pricing'!$A$7:$A$8,0))</x:f>
        <x:v>100</x:v>
      </x:c>
      <x:c r="L2467" s="17" t="n">
        <x:f>G2467+H2467</x:f>
        <x:v>20256</x:v>
      </x:c>
      <x:c r="M2467" s="28" t="n">
        <x:f>G2467*J2467/1000000</x:f>
        <x:v>0.63896</x:v>
      </x:c>
      <x:c r="N2467" s="28" t="n">
        <x:f>H2467*K2467/1000000</x:f>
        <x:v>0.4282</x:v>
      </x:c>
      <x:c r="O2467" s="28" t="n">
        <x:f>SUM(M2467:N2467)</x:f>
        <x:v>1.0671599999999999</x:v>
      </x:c>
    </x:row>
    <x:row r="2468" ht="23" customHeight="1">
      <x:c r="A2468" s="17" t="str">
        <x:v>U02462</x:v>
      </x:c>
      <x:c r="B2468" s="18" t="n">
        <x:v>46293</x:v>
      </x:c>
      <x:c r="C2468" s="17" t="str">
        <x:v>W0163</x:v>
      </x:c>
      <x:c r="D2468" s="17" t="str">
        <x:v>C003</x:v>
      </x:c>
      <x:c r="E2468" s="17" t="str">
        <x:v>InsightDesk</x:v>
      </x:c>
      <x:c r="F2468" s="17" t="str">
        <x:v>Pro</x:v>
      </x:c>
      <x:c r="G2468" s="17" t="n">
        <x:v>40865</x:v>
      </x:c>
      <x:c r="H2468" s="17" t="n">
        <x:v>5424</x:v>
      </x:c>
      <x:c r="I2468" s="17" t="str">
        <x:v>Followup</x:v>
      </x:c>
      <x:c r="J2468" s="27" t="n">
        <x:f>INDEX('Model Pricing'!$B$7:$B$8,MATCH(F2468,'Model Pricing'!$A$7:$A$8,0))</x:f>
        <x:v>40</x:v>
      </x:c>
      <x:c r="K2468" s="27" t="n">
        <x:f>INDEX('Model Pricing'!$C$7:$C$8,MATCH(F2468,'Model Pricing'!$A$7:$A$8,0))</x:f>
        <x:v>100</x:v>
      </x:c>
      <x:c r="L2468" s="17" t="n">
        <x:f>G2468+H2468</x:f>
        <x:v>46289</x:v>
      </x:c>
      <x:c r="M2468" s="28" t="n">
        <x:f>G2468*J2468/1000000</x:f>
        <x:v>1.6346</x:v>
      </x:c>
      <x:c r="N2468" s="28" t="n">
        <x:f>H2468*K2468/1000000</x:f>
        <x:v>0.5424</x:v>
      </x:c>
      <x:c r="O2468" s="28" t="n">
        <x:f>SUM(M2468:N2468)</x:f>
        <x:v>2.177</x:v>
      </x:c>
    </x:row>
    <x:row r="2469" ht="23" customHeight="1">
      <x:c r="A2469" s="17" t="str">
        <x:v>U02463</x:v>
      </x:c>
      <x:c r="B2469" s="18" t="n">
        <x:v>46293</x:v>
      </x:c>
      <x:c r="C2469" s="17" t="str">
        <x:v>W0163</x:v>
      </x:c>
      <x:c r="D2469" s="17" t="str">
        <x:v>C003</x:v>
      </x:c>
      <x:c r="E2469" s="17" t="str">
        <x:v>InsightDesk</x:v>
      </x:c>
      <x:c r="F2469" s="17" t="str">
        <x:v>Pro</x:v>
      </x:c>
      <x:c r="G2469" s="17" t="n">
        <x:v>33725</x:v>
      </x:c>
      <x:c r="H2469" s="17" t="n">
        <x:v>8823</x:v>
      </x:c>
      <x:c r="I2469" s="17" t="str">
        <x:v>Followup</x:v>
      </x:c>
      <x:c r="J2469" s="27" t="n">
        <x:f>INDEX('Model Pricing'!$B$7:$B$8,MATCH(F2469,'Model Pricing'!$A$7:$A$8,0))</x:f>
        <x:v>40</x:v>
      </x:c>
      <x:c r="K2469" s="27" t="n">
        <x:f>INDEX('Model Pricing'!$C$7:$C$8,MATCH(F2469,'Model Pricing'!$A$7:$A$8,0))</x:f>
        <x:v>100</x:v>
      </x:c>
      <x:c r="L2469" s="17" t="n">
        <x:f>G2469+H2469</x:f>
        <x:v>42548</x:v>
      </x:c>
      <x:c r="M2469" s="28" t="n">
        <x:f>G2469*J2469/1000000</x:f>
        <x:v>1.349</x:v>
      </x:c>
      <x:c r="N2469" s="28" t="n">
        <x:f>H2469*K2469/1000000</x:f>
        <x:v>0.8823</x:v>
      </x:c>
      <x:c r="O2469" s="28" t="n">
        <x:f>SUM(M2469:N2469)</x:f>
        <x:v>2.2313</x:v>
      </x:c>
    </x:row>
    <x:row r="2470" ht="23" customHeight="1">
      <x:c r="A2470" s="17" t="str">
        <x:v>U02464</x:v>
      </x:c>
      <x:c r="B2470" s="18" t="n">
        <x:v>46276</x:v>
      </x:c>
      <x:c r="C2470" s="17" t="str">
        <x:v>W0167</x:v>
      </x:c>
      <x:c r="D2470" s="17" t="str">
        <x:v>C003</x:v>
      </x:c>
      <x:c r="E2470" s="17" t="str">
        <x:v>InsightDesk</x:v>
      </x:c>
      <x:c r="F2470" s="17" t="str">
        <x:v>Pro</x:v>
      </x:c>
      <x:c r="G2470" s="17" t="n">
        <x:v>20740</x:v>
      </x:c>
      <x:c r="H2470" s="17" t="n">
        <x:v>6546</x:v>
      </x:c>
      <x:c r="I2470" s="17" t="str">
        <x:v>First attempt</x:v>
      </x:c>
      <x:c r="J2470" s="27" t="n">
        <x:f>INDEX('Model Pricing'!$B$7:$B$8,MATCH(F2470,'Model Pricing'!$A$7:$A$8,0))</x:f>
        <x:v>40</x:v>
      </x:c>
      <x:c r="K2470" s="27" t="n">
        <x:f>INDEX('Model Pricing'!$C$7:$C$8,MATCH(F2470,'Model Pricing'!$A$7:$A$8,0))</x:f>
        <x:v>100</x:v>
      </x:c>
      <x:c r="L2470" s="17" t="n">
        <x:f>G2470+H2470</x:f>
        <x:v>27286</x:v>
      </x:c>
      <x:c r="M2470" s="28" t="n">
        <x:f>G2470*J2470/1000000</x:f>
        <x:v>0.8296</x:v>
      </x:c>
      <x:c r="N2470" s="28" t="n">
        <x:f>H2470*K2470/1000000</x:f>
        <x:v>0.6546</x:v>
      </x:c>
      <x:c r="O2470" s="28" t="n">
        <x:f>SUM(M2470:N2470)</x:f>
        <x:v>1.4842</x:v>
      </x:c>
    </x:row>
    <x:row r="2471" ht="23" customHeight="1">
      <x:c r="A2471" s="17" t="str">
        <x:v>U02465</x:v>
      </x:c>
      <x:c r="B2471" s="18" t="n">
        <x:v>46276</x:v>
      </x:c>
      <x:c r="C2471" s="17" t="str">
        <x:v>W0167</x:v>
      </x:c>
      <x:c r="D2471" s="17" t="str">
        <x:v>C003</x:v>
      </x:c>
      <x:c r="E2471" s="17" t="str">
        <x:v>InsightDesk</x:v>
      </x:c>
      <x:c r="F2471" s="17" t="str">
        <x:v>Pro</x:v>
      </x:c>
      <x:c r="G2471" s="17" t="n">
        <x:v>13551</x:v>
      </x:c>
      <x:c r="H2471" s="17" t="n">
        <x:v>10664</x:v>
      </x:c>
      <x:c r="I2471" s="17" t="str">
        <x:v>Followup</x:v>
      </x:c>
      <x:c r="J2471" s="27" t="n">
        <x:f>INDEX('Model Pricing'!$B$7:$B$8,MATCH(F2471,'Model Pricing'!$A$7:$A$8,0))</x:f>
        <x:v>40</x:v>
      </x:c>
      <x:c r="K2471" s="27" t="n">
        <x:f>INDEX('Model Pricing'!$C$7:$C$8,MATCH(F2471,'Model Pricing'!$A$7:$A$8,0))</x:f>
        <x:v>100</x:v>
      </x:c>
      <x:c r="L2471" s="17" t="n">
        <x:f>G2471+H2471</x:f>
        <x:v>24215</x:v>
      </x:c>
      <x:c r="M2471" s="28" t="n">
        <x:f>G2471*J2471/1000000</x:f>
        <x:v>0.54204</x:v>
      </x:c>
      <x:c r="N2471" s="28" t="n">
        <x:f>H2471*K2471/1000000</x:f>
        <x:v>1.0664</x:v>
      </x:c>
      <x:c r="O2471" s="28" t="n">
        <x:f>SUM(M2471:N2471)</x:f>
        <x:v>1.6084399999999999</x:v>
      </x:c>
    </x:row>
    <x:row r="2472" ht="23" customHeight="1">
      <x:c r="A2472" s="17" t="str">
        <x:v>U02466</x:v>
      </x:c>
      <x:c r="B2472" s="18" t="n">
        <x:v>46276</x:v>
      </x:c>
      <x:c r="C2472" s="17" t="str">
        <x:v>W0167</x:v>
      </x:c>
      <x:c r="D2472" s="17" t="str">
        <x:v>C003</x:v>
      </x:c>
      <x:c r="E2472" s="17" t="str">
        <x:v>InsightDesk</x:v>
      </x:c>
      <x:c r="F2472" s="17" t="str">
        <x:v>Pro</x:v>
      </x:c>
      <x:c r="G2472" s="17" t="n">
        <x:v>15568</x:v>
      </x:c>
      <x:c r="H2472" s="17" t="n">
        <x:v>18349</x:v>
      </x:c>
      <x:c r="I2472" s="17" t="str">
        <x:v>Followup</x:v>
      </x:c>
      <x:c r="J2472" s="27" t="n">
        <x:f>INDEX('Model Pricing'!$B$7:$B$8,MATCH(F2472,'Model Pricing'!$A$7:$A$8,0))</x:f>
        <x:v>40</x:v>
      </x:c>
      <x:c r="K2472" s="27" t="n">
        <x:f>INDEX('Model Pricing'!$C$7:$C$8,MATCH(F2472,'Model Pricing'!$A$7:$A$8,0))</x:f>
        <x:v>100</x:v>
      </x:c>
      <x:c r="L2472" s="17" t="n">
        <x:f>G2472+H2472</x:f>
        <x:v>33917</x:v>
      </x:c>
      <x:c r="M2472" s="28" t="n">
        <x:f>G2472*J2472/1000000</x:f>
        <x:v>0.62272</x:v>
      </x:c>
      <x:c r="N2472" s="28" t="n">
        <x:f>H2472*K2472/1000000</x:f>
        <x:v>1.8349</x:v>
      </x:c>
      <x:c r="O2472" s="28" t="n">
        <x:f>SUM(M2472:N2472)</x:f>
        <x:v>2.45762</x:v>
      </x:c>
    </x:row>
    <x:row r="2473" ht="23" customHeight="1">
      <x:c r="A2473" s="17" t="str">
        <x:v>U02467</x:v>
      </x:c>
      <x:c r="B2473" s="18" t="n">
        <x:v>46279</x:v>
      </x:c>
      <x:c r="C2473" s="17" t="str">
        <x:v>W0167</x:v>
      </x:c>
      <x:c r="D2473" s="17" t="str">
        <x:v>C003</x:v>
      </x:c>
      <x:c r="E2473" s="17" t="str">
        <x:v>InsightDesk</x:v>
      </x:c>
      <x:c r="F2473" s="17" t="str">
        <x:v>Pro</x:v>
      </x:c>
      <x:c r="G2473" s="17" t="n">
        <x:v>26049</x:v>
      </x:c>
      <x:c r="H2473" s="17" t="n">
        <x:v>14827</x:v>
      </x:c>
      <x:c r="I2473" s="17" t="str">
        <x:v>Followup</x:v>
      </x:c>
      <x:c r="J2473" s="27" t="n">
        <x:f>INDEX('Model Pricing'!$B$7:$B$8,MATCH(F2473,'Model Pricing'!$A$7:$A$8,0))</x:f>
        <x:v>40</x:v>
      </x:c>
      <x:c r="K2473" s="27" t="n">
        <x:f>INDEX('Model Pricing'!$C$7:$C$8,MATCH(F2473,'Model Pricing'!$A$7:$A$8,0))</x:f>
        <x:v>100</x:v>
      </x:c>
      <x:c r="L2473" s="17" t="n">
        <x:f>G2473+H2473</x:f>
        <x:v>40876</x:v>
      </x:c>
      <x:c r="M2473" s="28" t="n">
        <x:f>G2473*J2473/1000000</x:f>
        <x:v>1.04196</x:v>
      </x:c>
      <x:c r="N2473" s="28" t="n">
        <x:f>H2473*K2473/1000000</x:f>
        <x:v>1.4827</x:v>
      </x:c>
      <x:c r="O2473" s="28" t="n">
        <x:f>SUM(M2473:N2473)</x:f>
        <x:v>2.52466</x:v>
      </x:c>
    </x:row>
    <x:row r="2474" ht="23" customHeight="1">
      <x:c r="A2474" s="17" t="str">
        <x:v>U02468</x:v>
      </x:c>
      <x:c r="B2474" s="18" t="n">
        <x:v>46279</x:v>
      </x:c>
      <x:c r="C2474" s="17" t="str">
        <x:v>W0167</x:v>
      </x:c>
      <x:c r="D2474" s="17" t="str">
        <x:v>C003</x:v>
      </x:c>
      <x:c r="E2474" s="17" t="str">
        <x:v>InsightDesk</x:v>
      </x:c>
      <x:c r="F2474" s="17" t="str">
        <x:v>Pro</x:v>
      </x:c>
      <x:c r="G2474" s="17" t="n">
        <x:v>12442</x:v>
      </x:c>
      <x:c r="H2474" s="17" t="n">
        <x:v>9061</x:v>
      </x:c>
      <x:c r="I2474" s="17" t="str">
        <x:v>Followup</x:v>
      </x:c>
      <x:c r="J2474" s="27" t="n">
        <x:f>INDEX('Model Pricing'!$B$7:$B$8,MATCH(F2474,'Model Pricing'!$A$7:$A$8,0))</x:f>
        <x:v>40</x:v>
      </x:c>
      <x:c r="K2474" s="27" t="n">
        <x:f>INDEX('Model Pricing'!$C$7:$C$8,MATCH(F2474,'Model Pricing'!$A$7:$A$8,0))</x:f>
        <x:v>100</x:v>
      </x:c>
      <x:c r="L2474" s="17" t="n">
        <x:f>G2474+H2474</x:f>
        <x:v>21503</x:v>
      </x:c>
      <x:c r="M2474" s="28" t="n">
        <x:f>G2474*J2474/1000000</x:f>
        <x:v>0.49768</x:v>
      </x:c>
      <x:c r="N2474" s="28" t="n">
        <x:f>H2474*K2474/1000000</x:f>
        <x:v>0.9061</x:v>
      </x:c>
      <x:c r="O2474" s="28" t="n">
        <x:f>SUM(M2474:N2474)</x:f>
        <x:v>1.40378</x:v>
      </x:c>
    </x:row>
    <x:row r="2475" ht="23" customHeight="1">
      <x:c r="A2475" s="17" t="str">
        <x:v>U02469</x:v>
      </x:c>
      <x:c r="B2475" s="18" t="n">
        <x:v>46280</x:v>
      </x:c>
      <x:c r="C2475" s="17" t="str">
        <x:v>W0167</x:v>
      </x:c>
      <x:c r="D2475" s="17" t="str">
        <x:v>C003</x:v>
      </x:c>
      <x:c r="E2475" s="17" t="str">
        <x:v>InsightDesk</x:v>
      </x:c>
      <x:c r="F2475" s="17" t="str">
        <x:v>Pro</x:v>
      </x:c>
      <x:c r="G2475" s="17" t="n">
        <x:v>31556</x:v>
      </x:c>
      <x:c r="H2475" s="17" t="n">
        <x:v>6326</x:v>
      </x:c>
      <x:c r="I2475" s="17" t="str">
        <x:v>Followup</x:v>
      </x:c>
      <x:c r="J2475" s="27" t="n">
        <x:f>INDEX('Model Pricing'!$B$7:$B$8,MATCH(F2475,'Model Pricing'!$A$7:$A$8,0))</x:f>
        <x:v>40</x:v>
      </x:c>
      <x:c r="K2475" s="27" t="n">
        <x:f>INDEX('Model Pricing'!$C$7:$C$8,MATCH(F2475,'Model Pricing'!$A$7:$A$8,0))</x:f>
        <x:v>100</x:v>
      </x:c>
      <x:c r="L2475" s="17" t="n">
        <x:f>G2475+H2475</x:f>
        <x:v>37882</x:v>
      </x:c>
      <x:c r="M2475" s="28" t="n">
        <x:f>G2475*J2475/1000000</x:f>
        <x:v>1.26224</x:v>
      </x:c>
      <x:c r="N2475" s="28" t="n">
        <x:f>H2475*K2475/1000000</x:f>
        <x:v>0.6326</x:v>
      </x:c>
      <x:c r="O2475" s="28" t="n">
        <x:f>SUM(M2475:N2475)</x:f>
        <x:v>1.89484</x:v>
      </x:c>
    </x:row>
    <x:row r="2476" ht="23" customHeight="1">
      <x:c r="A2476" s="17" t="str">
        <x:v>U02470</x:v>
      </x:c>
      <x:c r="B2476" s="18" t="n">
        <x:v>46280</x:v>
      </x:c>
      <x:c r="C2476" s="17" t="str">
        <x:v>W0167</x:v>
      </x:c>
      <x:c r="D2476" s="17" t="str">
        <x:v>C003</x:v>
      </x:c>
      <x:c r="E2476" s="17" t="str">
        <x:v>InsightDesk</x:v>
      </x:c>
      <x:c r="F2476" s="17" t="str">
        <x:v>Pro</x:v>
      </x:c>
      <x:c r="G2476" s="17" t="n">
        <x:v>21245</x:v>
      </x:c>
      <x:c r="H2476" s="17" t="n">
        <x:v>14455</x:v>
      </x:c>
      <x:c r="I2476" s="17" t="str">
        <x:v>Followup</x:v>
      </x:c>
      <x:c r="J2476" s="27" t="n">
        <x:f>INDEX('Model Pricing'!$B$7:$B$8,MATCH(F2476,'Model Pricing'!$A$7:$A$8,0))</x:f>
        <x:v>40</x:v>
      </x:c>
      <x:c r="K2476" s="27" t="n">
        <x:f>INDEX('Model Pricing'!$C$7:$C$8,MATCH(F2476,'Model Pricing'!$A$7:$A$8,0))</x:f>
        <x:v>100</x:v>
      </x:c>
      <x:c r="L2476" s="17" t="n">
        <x:f>G2476+H2476</x:f>
        <x:v>35700</x:v>
      </x:c>
      <x:c r="M2476" s="28" t="n">
        <x:f>G2476*J2476/1000000</x:f>
        <x:v>0.8498</x:v>
      </x:c>
      <x:c r="N2476" s="28" t="n">
        <x:f>H2476*K2476/1000000</x:f>
        <x:v>1.4455</x:v>
      </x:c>
      <x:c r="O2476" s="28" t="n">
        <x:f>SUM(M2476:N2476)</x:f>
        <x:v>2.2953</x:v>
      </x:c>
    </x:row>
    <x:row r="2477" ht="23" customHeight="1">
      <x:c r="A2477" s="17" t="str">
        <x:v>U02471</x:v>
      </x:c>
      <x:c r="B2477" s="18" t="n">
        <x:v>46281</x:v>
      </x:c>
      <x:c r="C2477" s="17" t="str">
        <x:v>W0167</x:v>
      </x:c>
      <x:c r="D2477" s="17" t="str">
        <x:v>C003</x:v>
      </x:c>
      <x:c r="E2477" s="17" t="str">
        <x:v>InsightDesk</x:v>
      </x:c>
      <x:c r="F2477" s="17" t="str">
        <x:v>Pro</x:v>
      </x:c>
      <x:c r="G2477" s="17" t="n">
        <x:v>12526</x:v>
      </x:c>
      <x:c r="H2477" s="17" t="n">
        <x:v>7377</x:v>
      </x:c>
      <x:c r="I2477" s="17" t="str">
        <x:v>Correction</x:v>
      </x:c>
      <x:c r="J2477" s="27" t="n">
        <x:f>INDEX('Model Pricing'!$B$7:$B$8,MATCH(F2477,'Model Pricing'!$A$7:$A$8,0))</x:f>
        <x:v>40</x:v>
      </x:c>
      <x:c r="K2477" s="27" t="n">
        <x:f>INDEX('Model Pricing'!$C$7:$C$8,MATCH(F2477,'Model Pricing'!$A$7:$A$8,0))</x:f>
        <x:v>100</x:v>
      </x:c>
      <x:c r="L2477" s="17" t="n">
        <x:f>G2477+H2477</x:f>
        <x:v>19903</x:v>
      </x:c>
      <x:c r="M2477" s="28" t="n">
        <x:f>G2477*J2477/1000000</x:f>
        <x:v>0.50104</x:v>
      </x:c>
      <x:c r="N2477" s="28" t="n">
        <x:f>H2477*K2477/1000000</x:f>
        <x:v>0.7377</x:v>
      </x:c>
      <x:c r="O2477" s="28" t="n">
        <x:f>SUM(M2477:N2477)</x:f>
        <x:v>1.23874</x:v>
      </x:c>
    </x:row>
    <x:row r="2478" ht="23" customHeight="1">
      <x:c r="A2478" s="17" t="str">
        <x:v>U02472</x:v>
      </x:c>
      <x:c r="B2478" s="18" t="n">
        <x:v>46281</x:v>
      </x:c>
      <x:c r="C2478" s="17" t="str">
        <x:v>W0167</x:v>
      </x:c>
      <x:c r="D2478" s="17" t="str">
        <x:v>C003</x:v>
      </x:c>
      <x:c r="E2478" s="17" t="str">
        <x:v>InsightDesk</x:v>
      </x:c>
      <x:c r="F2478" s="17" t="str">
        <x:v>Pro</x:v>
      </x:c>
      <x:c r="G2478" s="17" t="n">
        <x:v>22937</x:v>
      </x:c>
      <x:c r="H2478" s="17" t="n">
        <x:v>6710</x:v>
      </x:c>
      <x:c r="I2478" s="17" t="str">
        <x:v>Correction</x:v>
      </x:c>
      <x:c r="J2478" s="27" t="n">
        <x:f>INDEX('Model Pricing'!$B$7:$B$8,MATCH(F2478,'Model Pricing'!$A$7:$A$8,0))</x:f>
        <x:v>40</x:v>
      </x:c>
      <x:c r="K2478" s="27" t="n">
        <x:f>INDEX('Model Pricing'!$C$7:$C$8,MATCH(F2478,'Model Pricing'!$A$7:$A$8,0))</x:f>
        <x:v>100</x:v>
      </x:c>
      <x:c r="L2478" s="17" t="n">
        <x:f>G2478+H2478</x:f>
        <x:v>29647</x:v>
      </x:c>
      <x:c r="M2478" s="28" t="n">
        <x:f>G2478*J2478/1000000</x:f>
        <x:v>0.91748</x:v>
      </x:c>
      <x:c r="N2478" s="28" t="n">
        <x:f>H2478*K2478/1000000</x:f>
        <x:v>0.671</x:v>
      </x:c>
      <x:c r="O2478" s="28" t="n">
        <x:f>SUM(M2478:N2478)</x:f>
        <x:v>1.5884800000000001</x:v>
      </x:c>
    </x:row>
    <x:row r="2479" ht="23" customHeight="1">
      <x:c r="A2479" s="17" t="str">
        <x:v>U02473</x:v>
      </x:c>
      <x:c r="B2479" s="18" t="n">
        <x:v>46287</x:v>
      </x:c>
      <x:c r="C2479" s="17" t="str">
        <x:v>W0168</x:v>
      </x:c>
      <x:c r="D2479" s="17" t="str">
        <x:v>C003</x:v>
      </x:c>
      <x:c r="E2479" s="17" t="str">
        <x:v>CopyStudio</x:v>
      </x:c>
      <x:c r="F2479" s="17" t="str">
        <x:v>Pro</x:v>
      </x:c>
      <x:c r="G2479" s="17" t="n">
        <x:v>21686</x:v>
      </x:c>
      <x:c r="H2479" s="17" t="n">
        <x:v>6209</x:v>
      </x:c>
      <x:c r="I2479" s="17" t="str">
        <x:v>First attempt</x:v>
      </x:c>
      <x:c r="J2479" s="27" t="n">
        <x:f>INDEX('Model Pricing'!$B$7:$B$8,MATCH(F2479,'Model Pricing'!$A$7:$A$8,0))</x:f>
        <x:v>40</x:v>
      </x:c>
      <x:c r="K2479" s="27" t="n">
        <x:f>INDEX('Model Pricing'!$C$7:$C$8,MATCH(F2479,'Model Pricing'!$A$7:$A$8,0))</x:f>
        <x:v>100</x:v>
      </x:c>
      <x:c r="L2479" s="17" t="n">
        <x:f>G2479+H2479</x:f>
        <x:v>27895</x:v>
      </x:c>
      <x:c r="M2479" s="28" t="n">
        <x:f>G2479*J2479/1000000</x:f>
        <x:v>0.86744</x:v>
      </x:c>
      <x:c r="N2479" s="28" t="n">
        <x:f>H2479*K2479/1000000</x:f>
        <x:v>0.6209</x:v>
      </x:c>
      <x:c r="O2479" s="28" t="n">
        <x:f>SUM(M2479:N2479)</x:f>
        <x:v>1.48834</x:v>
      </x:c>
    </x:row>
    <x:row r="2480" ht="23" customHeight="1">
      <x:c r="A2480" s="17" t="str">
        <x:v>U02474</x:v>
      </x:c>
      <x:c r="B2480" s="18" t="n">
        <x:v>46287</x:v>
      </x:c>
      <x:c r="C2480" s="17" t="str">
        <x:v>W0168</x:v>
      </x:c>
      <x:c r="D2480" s="17" t="str">
        <x:v>C003</x:v>
      </x:c>
      <x:c r="E2480" s="17" t="str">
        <x:v>CopyStudio</x:v>
      </x:c>
      <x:c r="F2480" s="17" t="str">
        <x:v>Pro</x:v>
      </x:c>
      <x:c r="G2480" s="17" t="n">
        <x:v>19361</x:v>
      </x:c>
      <x:c r="H2480" s="17" t="n">
        <x:v>9008</x:v>
      </x:c>
      <x:c r="I2480" s="17" t="str">
        <x:v>Correction</x:v>
      </x:c>
      <x:c r="J2480" s="27" t="n">
        <x:f>INDEX('Model Pricing'!$B$7:$B$8,MATCH(F2480,'Model Pricing'!$A$7:$A$8,0))</x:f>
        <x:v>40</x:v>
      </x:c>
      <x:c r="K2480" s="27" t="n">
        <x:f>INDEX('Model Pricing'!$C$7:$C$8,MATCH(F2480,'Model Pricing'!$A$7:$A$8,0))</x:f>
        <x:v>100</x:v>
      </x:c>
      <x:c r="L2480" s="17" t="n">
        <x:f>G2480+H2480</x:f>
        <x:v>28369</x:v>
      </x:c>
      <x:c r="M2480" s="28" t="n">
        <x:f>G2480*J2480/1000000</x:f>
        <x:v>0.77444</x:v>
      </x:c>
      <x:c r="N2480" s="28" t="n">
        <x:f>H2480*K2480/1000000</x:f>
        <x:v>0.9008</x:v>
      </x:c>
      <x:c r="O2480" s="28" t="n">
        <x:f>SUM(M2480:N2480)</x:f>
        <x:v>1.67524</x:v>
      </x:c>
    </x:row>
    <x:row r="2481" ht="23" customHeight="1">
      <x:c r="A2481" s="17" t="str">
        <x:v>U02475</x:v>
      </x:c>
      <x:c r="B2481" s="18" t="n">
        <x:v>46287</x:v>
      </x:c>
      <x:c r="C2481" s="17" t="str">
        <x:v>W0168</x:v>
      </x:c>
      <x:c r="D2481" s="17" t="str">
        <x:v>C003</x:v>
      </x:c>
      <x:c r="E2481" s="17" t="str">
        <x:v>CopyStudio</x:v>
      </x:c>
      <x:c r="F2481" s="17" t="str">
        <x:v>Pro</x:v>
      </x:c>
      <x:c r="G2481" s="17" t="n">
        <x:v>18134</x:v>
      </x:c>
      <x:c r="H2481" s="17" t="n">
        <x:v>12232</x:v>
      </x:c>
      <x:c r="I2481" s="17" t="str">
        <x:v>Followup</x:v>
      </x:c>
      <x:c r="J2481" s="27" t="n">
        <x:f>INDEX('Model Pricing'!$B$7:$B$8,MATCH(F2481,'Model Pricing'!$A$7:$A$8,0))</x:f>
        <x:v>40</x:v>
      </x:c>
      <x:c r="K2481" s="27" t="n">
        <x:f>INDEX('Model Pricing'!$C$7:$C$8,MATCH(F2481,'Model Pricing'!$A$7:$A$8,0))</x:f>
        <x:v>100</x:v>
      </x:c>
      <x:c r="L2481" s="17" t="n">
        <x:f>G2481+H2481</x:f>
        <x:v>30366</x:v>
      </x:c>
      <x:c r="M2481" s="28" t="n">
        <x:f>G2481*J2481/1000000</x:f>
        <x:v>0.72536</x:v>
      </x:c>
      <x:c r="N2481" s="28" t="n">
        <x:f>H2481*K2481/1000000</x:f>
        <x:v>1.2232</x:v>
      </x:c>
      <x:c r="O2481" s="28" t="n">
        <x:f>SUM(M2481:N2481)</x:f>
        <x:v>1.94856</x:v>
      </x:c>
    </x:row>
    <x:row r="2482" ht="23" customHeight="1">
      <x:c r="A2482" s="17" t="str">
        <x:v>U02476</x:v>
      </x:c>
      <x:c r="B2482" s="18" t="n">
        <x:v>46288</x:v>
      </x:c>
      <x:c r="C2482" s="17" t="str">
        <x:v>W0168</x:v>
      </x:c>
      <x:c r="D2482" s="17" t="str">
        <x:v>C003</x:v>
      </x:c>
      <x:c r="E2482" s="17" t="str">
        <x:v>CopyStudio</x:v>
      </x:c>
      <x:c r="F2482" s="17" t="str">
        <x:v>Pro</x:v>
      </x:c>
      <x:c r="G2482" s="17" t="n">
        <x:v>22113</x:v>
      </x:c>
      <x:c r="H2482" s="17" t="n">
        <x:v>4416</x:v>
      </x:c>
      <x:c r="I2482" s="17" t="str">
        <x:v>Followup</x:v>
      </x:c>
      <x:c r="J2482" s="27" t="n">
        <x:f>INDEX('Model Pricing'!$B$7:$B$8,MATCH(F2482,'Model Pricing'!$A$7:$A$8,0))</x:f>
        <x:v>40</x:v>
      </x:c>
      <x:c r="K2482" s="27" t="n">
        <x:f>INDEX('Model Pricing'!$C$7:$C$8,MATCH(F2482,'Model Pricing'!$A$7:$A$8,0))</x:f>
        <x:v>100</x:v>
      </x:c>
      <x:c r="L2482" s="17" t="n">
        <x:f>G2482+H2482</x:f>
        <x:v>26529</x:v>
      </x:c>
      <x:c r="M2482" s="28" t="n">
        <x:f>G2482*J2482/1000000</x:f>
        <x:v>0.88452</x:v>
      </x:c>
      <x:c r="N2482" s="28" t="n">
        <x:f>H2482*K2482/1000000</x:f>
        <x:v>0.4416</x:v>
      </x:c>
      <x:c r="O2482" s="28" t="n">
        <x:f>SUM(M2482:N2482)</x:f>
        <x:v>1.32612</x:v>
      </x:c>
    </x:row>
    <x:row r="2483" ht="23" customHeight="1">
      <x:c r="A2483" s="17" t="str">
        <x:v>U02477</x:v>
      </x:c>
      <x:c r="B2483" s="18" t="n">
        <x:v>46288</x:v>
      </x:c>
      <x:c r="C2483" s="17" t="str">
        <x:v>W0168</x:v>
      </x:c>
      <x:c r="D2483" s="17" t="str">
        <x:v>C003</x:v>
      </x:c>
      <x:c r="E2483" s="17" t="str">
        <x:v>CopyStudio</x:v>
      </x:c>
      <x:c r="F2483" s="17" t="str">
        <x:v>Pro</x:v>
      </x:c>
      <x:c r="G2483" s="17" t="n">
        <x:v>20249</x:v>
      </x:c>
      <x:c r="H2483" s="17" t="n">
        <x:v>5781</x:v>
      </x:c>
      <x:c r="I2483" s="17" t="str">
        <x:v>Followup</x:v>
      </x:c>
      <x:c r="J2483" s="27" t="n">
        <x:f>INDEX('Model Pricing'!$B$7:$B$8,MATCH(F2483,'Model Pricing'!$A$7:$A$8,0))</x:f>
        <x:v>40</x:v>
      </x:c>
      <x:c r="K2483" s="27" t="n">
        <x:f>INDEX('Model Pricing'!$C$7:$C$8,MATCH(F2483,'Model Pricing'!$A$7:$A$8,0))</x:f>
        <x:v>100</x:v>
      </x:c>
      <x:c r="L2483" s="17" t="n">
        <x:f>G2483+H2483</x:f>
        <x:v>26030</x:v>
      </x:c>
      <x:c r="M2483" s="28" t="n">
        <x:f>G2483*J2483/1000000</x:f>
        <x:v>0.80996</x:v>
      </x:c>
      <x:c r="N2483" s="28" t="n">
        <x:f>H2483*K2483/1000000</x:f>
        <x:v>0.5781</x:v>
      </x:c>
      <x:c r="O2483" s="28" t="n">
        <x:f>SUM(M2483:N2483)</x:f>
        <x:v>1.3880599999999998</x:v>
      </x:c>
    </x:row>
    <x:row r="2484" ht="23" customHeight="1">
      <x:c r="A2484" s="17" t="str">
        <x:v>U02478</x:v>
      </x:c>
      <x:c r="B2484" s="18" t="n">
        <x:v>46289</x:v>
      </x:c>
      <x:c r="C2484" s="17" t="str">
        <x:v>W0168</x:v>
      </x:c>
      <x:c r="D2484" s="17" t="str">
        <x:v>C003</x:v>
      </x:c>
      <x:c r="E2484" s="17" t="str">
        <x:v>CopyStudio</x:v>
      </x:c>
      <x:c r="F2484" s="17" t="str">
        <x:v>Pro</x:v>
      </x:c>
      <x:c r="G2484" s="17" t="n">
        <x:v>14861</x:v>
      </x:c>
      <x:c r="H2484" s="17" t="n">
        <x:v>10793</x:v>
      </x:c>
      <x:c r="I2484" s="17" t="str">
        <x:v>Followup</x:v>
      </x:c>
      <x:c r="J2484" s="27" t="n">
        <x:f>INDEX('Model Pricing'!$B$7:$B$8,MATCH(F2484,'Model Pricing'!$A$7:$A$8,0))</x:f>
        <x:v>40</x:v>
      </x:c>
      <x:c r="K2484" s="27" t="n">
        <x:f>INDEX('Model Pricing'!$C$7:$C$8,MATCH(F2484,'Model Pricing'!$A$7:$A$8,0))</x:f>
        <x:v>100</x:v>
      </x:c>
      <x:c r="L2484" s="17" t="n">
        <x:f>G2484+H2484</x:f>
        <x:v>25654</x:v>
      </x:c>
      <x:c r="M2484" s="28" t="n">
        <x:f>G2484*J2484/1000000</x:f>
        <x:v>0.59444</x:v>
      </x:c>
      <x:c r="N2484" s="28" t="n">
        <x:f>H2484*K2484/1000000</x:f>
        <x:v>1.0793</x:v>
      </x:c>
      <x:c r="O2484" s="28" t="n">
        <x:f>SUM(M2484:N2484)</x:f>
        <x:v>1.67374</x:v>
      </x:c>
    </x:row>
    <x:row r="2485" ht="23" customHeight="1">
      <x:c r="A2485" s="17" t="str">
        <x:v>U02479</x:v>
      </x:c>
      <x:c r="B2485" s="18" t="n">
        <x:v>46289</x:v>
      </x:c>
      <x:c r="C2485" s="17" t="str">
        <x:v>W0168</x:v>
      </x:c>
      <x:c r="D2485" s="17" t="str">
        <x:v>C003</x:v>
      </x:c>
      <x:c r="E2485" s="17" t="str">
        <x:v>CopyStudio</x:v>
      </x:c>
      <x:c r="F2485" s="17" t="str">
        <x:v>Pro</x:v>
      </x:c>
      <x:c r="G2485" s="17" t="n">
        <x:v>16855</x:v>
      </x:c>
      <x:c r="H2485" s="17" t="n">
        <x:v>6753</x:v>
      </x:c>
      <x:c r="I2485" s="17" t="str">
        <x:v>Followup</x:v>
      </x:c>
      <x:c r="J2485" s="27" t="n">
        <x:f>INDEX('Model Pricing'!$B$7:$B$8,MATCH(F2485,'Model Pricing'!$A$7:$A$8,0))</x:f>
        <x:v>40</x:v>
      </x:c>
      <x:c r="K2485" s="27" t="n">
        <x:f>INDEX('Model Pricing'!$C$7:$C$8,MATCH(F2485,'Model Pricing'!$A$7:$A$8,0))</x:f>
        <x:v>100</x:v>
      </x:c>
      <x:c r="L2485" s="17" t="n">
        <x:f>G2485+H2485</x:f>
        <x:v>23608</x:v>
      </x:c>
      <x:c r="M2485" s="28" t="n">
        <x:f>G2485*J2485/1000000</x:f>
        <x:v>0.6742</x:v>
      </x:c>
      <x:c r="N2485" s="28" t="n">
        <x:f>H2485*K2485/1000000</x:f>
        <x:v>0.6753</x:v>
      </x:c>
      <x:c r="O2485" s="28" t="n">
        <x:f>SUM(M2485:N2485)</x:f>
        <x:v>1.3495</x:v>
      </x:c>
    </x:row>
    <x:row r="2486" ht="23" customHeight="1">
      <x:c r="A2486" s="17" t="str">
        <x:v>U02480</x:v>
      </x:c>
      <x:c r="B2486" s="18" t="n">
        <x:v>46290</x:v>
      </x:c>
      <x:c r="C2486" s="17" t="str">
        <x:v>W0168</x:v>
      </x:c>
      <x:c r="D2486" s="17" t="str">
        <x:v>C003</x:v>
      </x:c>
      <x:c r="E2486" s="17" t="str">
        <x:v>CopyStudio</x:v>
      </x:c>
      <x:c r="F2486" s="17" t="str">
        <x:v>Pro</x:v>
      </x:c>
      <x:c r="G2486" s="17" t="n">
        <x:v>7997</x:v>
      </x:c>
      <x:c r="H2486" s="17" t="n">
        <x:v>4568</x:v>
      </x:c>
      <x:c r="I2486" s="17" t="str">
        <x:v>Correction</x:v>
      </x:c>
      <x:c r="J2486" s="27" t="n">
        <x:f>INDEX('Model Pricing'!$B$7:$B$8,MATCH(F2486,'Model Pricing'!$A$7:$A$8,0))</x:f>
        <x:v>40</x:v>
      </x:c>
      <x:c r="K2486" s="27" t="n">
        <x:f>INDEX('Model Pricing'!$C$7:$C$8,MATCH(F2486,'Model Pricing'!$A$7:$A$8,0))</x:f>
        <x:v>100</x:v>
      </x:c>
      <x:c r="L2486" s="17" t="n">
        <x:f>G2486+H2486</x:f>
        <x:v>12565</x:v>
      </x:c>
      <x:c r="M2486" s="28" t="n">
        <x:f>G2486*J2486/1000000</x:f>
        <x:v>0.31988</x:v>
      </x:c>
      <x:c r="N2486" s="28" t="n">
        <x:f>H2486*K2486/1000000</x:f>
        <x:v>0.4568</x:v>
      </x:c>
      <x:c r="O2486" s="28" t="n">
        <x:f>SUM(M2486:N2486)</x:f>
        <x:v>0.77668</x:v>
      </x:c>
    </x:row>
    <x:row r="2487" ht="23" customHeight="1">
      <x:c r="A2487" s="17" t="str">
        <x:v>U02481</x:v>
      </x:c>
      <x:c r="B2487" s="18" t="n">
        <x:v>46290</x:v>
      </x:c>
      <x:c r="C2487" s="17" t="str">
        <x:v>W0168</x:v>
      </x:c>
      <x:c r="D2487" s="17" t="str">
        <x:v>C003</x:v>
      </x:c>
      <x:c r="E2487" s="17" t="str">
        <x:v>CopyStudio</x:v>
      </x:c>
      <x:c r="F2487" s="17" t="str">
        <x:v>Pro</x:v>
      </x:c>
      <x:c r="G2487" s="17" t="n">
        <x:v>9359</x:v>
      </x:c>
      <x:c r="H2487" s="17" t="n">
        <x:v>5860</x:v>
      </x:c>
      <x:c r="I2487" s="17" t="str">
        <x:v>Followup</x:v>
      </x:c>
      <x:c r="J2487" s="27" t="n">
        <x:f>INDEX('Model Pricing'!$B$7:$B$8,MATCH(F2487,'Model Pricing'!$A$7:$A$8,0))</x:f>
        <x:v>40</x:v>
      </x:c>
      <x:c r="K2487" s="27" t="n">
        <x:f>INDEX('Model Pricing'!$C$7:$C$8,MATCH(F2487,'Model Pricing'!$A$7:$A$8,0))</x:f>
        <x:v>100</x:v>
      </x:c>
      <x:c r="L2487" s="17" t="n">
        <x:f>G2487+H2487</x:f>
        <x:v>15219</x:v>
      </x:c>
      <x:c r="M2487" s="28" t="n">
        <x:f>G2487*J2487/1000000</x:f>
        <x:v>0.37436</x:v>
      </x:c>
      <x:c r="N2487" s="28" t="n">
        <x:f>H2487*K2487/1000000</x:f>
        <x:v>0.586</x:v>
      </x:c>
      <x:c r="O2487" s="28" t="n">
        <x:f>SUM(M2487:N2487)</x:f>
        <x:v>0.96036</x:v>
      </x:c>
    </x:row>
    <x:row r="2488" ht="23" customHeight="1">
      <x:c r="A2488" s="17" t="str">
        <x:v>U02482</x:v>
      </x:c>
      <x:c r="B2488" s="18" t="n">
        <x:v>46281</x:v>
      </x:c>
      <x:c r="C2488" s="17" t="str">
        <x:v>W0170</x:v>
      </x:c>
      <x:c r="D2488" s="17" t="str">
        <x:v>C003</x:v>
      </x:c>
      <x:c r="E2488" s="17" t="str">
        <x:v>CampaignChat</x:v>
      </x:c>
      <x:c r="F2488" s="17" t="str">
        <x:v>Pro</x:v>
      </x:c>
      <x:c r="G2488" s="17" t="n">
        <x:v>23401</x:v>
      </x:c>
      <x:c r="H2488" s="17" t="n">
        <x:v>2543</x:v>
      </x:c>
      <x:c r="I2488" s="17" t="str">
        <x:v>First attempt</x:v>
      </x:c>
      <x:c r="J2488" s="27" t="n">
        <x:f>INDEX('Model Pricing'!$B$7:$B$8,MATCH(F2488,'Model Pricing'!$A$7:$A$8,0))</x:f>
        <x:v>40</x:v>
      </x:c>
      <x:c r="K2488" s="27" t="n">
        <x:f>INDEX('Model Pricing'!$C$7:$C$8,MATCH(F2488,'Model Pricing'!$A$7:$A$8,0))</x:f>
        <x:v>100</x:v>
      </x:c>
      <x:c r="L2488" s="17" t="n">
        <x:f>G2488+H2488</x:f>
        <x:v>25944</x:v>
      </x:c>
      <x:c r="M2488" s="28" t="n">
        <x:f>G2488*J2488/1000000</x:f>
        <x:v>0.93604</x:v>
      </x:c>
      <x:c r="N2488" s="28" t="n">
        <x:f>H2488*K2488/1000000</x:f>
        <x:v>0.2543</x:v>
      </x:c>
      <x:c r="O2488" s="28" t="n">
        <x:f>SUM(M2488:N2488)</x:f>
        <x:v>1.19034</x:v>
      </x:c>
    </x:row>
    <x:row r="2489" ht="23" customHeight="1">
      <x:c r="A2489" s="17" t="str">
        <x:v>U02483</x:v>
      </x:c>
      <x:c r="B2489" s="18" t="n">
        <x:v>46281</x:v>
      </x:c>
      <x:c r="C2489" s="17" t="str">
        <x:v>W0170</x:v>
      </x:c>
      <x:c r="D2489" s="17" t="str">
        <x:v>C003</x:v>
      </x:c>
      <x:c r="E2489" s="17" t="str">
        <x:v>CampaignChat</x:v>
      </x:c>
      <x:c r="F2489" s="17" t="str">
        <x:v>Pro</x:v>
      </x:c>
      <x:c r="G2489" s="17" t="n">
        <x:v>10939</x:v>
      </x:c>
      <x:c r="H2489" s="17" t="n">
        <x:v>2878</x:v>
      </x:c>
      <x:c r="I2489" s="17" t="str">
        <x:v>Correction</x:v>
      </x:c>
      <x:c r="J2489" s="27" t="n">
        <x:f>INDEX('Model Pricing'!$B$7:$B$8,MATCH(F2489,'Model Pricing'!$A$7:$A$8,0))</x:f>
        <x:v>40</x:v>
      </x:c>
      <x:c r="K2489" s="27" t="n">
        <x:f>INDEX('Model Pricing'!$C$7:$C$8,MATCH(F2489,'Model Pricing'!$A$7:$A$8,0))</x:f>
        <x:v>100</x:v>
      </x:c>
      <x:c r="L2489" s="17" t="n">
        <x:f>G2489+H2489</x:f>
        <x:v>13817</x:v>
      </x:c>
      <x:c r="M2489" s="28" t="n">
        <x:f>G2489*J2489/1000000</x:f>
        <x:v>0.43756</x:v>
      </x:c>
      <x:c r="N2489" s="28" t="n">
        <x:f>H2489*K2489/1000000</x:f>
        <x:v>0.2878</x:v>
      </x:c>
      <x:c r="O2489" s="28" t="n">
        <x:f>SUM(M2489:N2489)</x:f>
        <x:v>0.72536</x:v>
      </x:c>
    </x:row>
    <x:row r="2490" ht="23" customHeight="1">
      <x:c r="A2490" s="17" t="str">
        <x:v>U02484</x:v>
      </x:c>
      <x:c r="B2490" s="18" t="n">
        <x:v>46281</x:v>
      </x:c>
      <x:c r="C2490" s="17" t="str">
        <x:v>W0170</x:v>
      </x:c>
      <x:c r="D2490" s="17" t="str">
        <x:v>C003</x:v>
      </x:c>
      <x:c r="E2490" s="17" t="str">
        <x:v>CampaignChat</x:v>
      </x:c>
      <x:c r="F2490" s="17" t="str">
        <x:v>Pro</x:v>
      </x:c>
      <x:c r="G2490" s="17" t="n">
        <x:v>22513</x:v>
      </x:c>
      <x:c r="H2490" s="17" t="n">
        <x:v>3931</x:v>
      </x:c>
      <x:c r="I2490" s="17" t="str">
        <x:v>Followup</x:v>
      </x:c>
      <x:c r="J2490" s="27" t="n">
        <x:f>INDEX('Model Pricing'!$B$7:$B$8,MATCH(F2490,'Model Pricing'!$A$7:$A$8,0))</x:f>
        <x:v>40</x:v>
      </x:c>
      <x:c r="K2490" s="27" t="n">
        <x:f>INDEX('Model Pricing'!$C$7:$C$8,MATCH(F2490,'Model Pricing'!$A$7:$A$8,0))</x:f>
        <x:v>100</x:v>
      </x:c>
      <x:c r="L2490" s="17" t="n">
        <x:f>G2490+H2490</x:f>
        <x:v>26444</x:v>
      </x:c>
      <x:c r="M2490" s="28" t="n">
        <x:f>G2490*J2490/1000000</x:f>
        <x:v>0.90052</x:v>
      </x:c>
      <x:c r="N2490" s="28" t="n">
        <x:f>H2490*K2490/1000000</x:f>
        <x:v>0.3931</x:v>
      </x:c>
      <x:c r="O2490" s="28" t="n">
        <x:f>SUM(M2490:N2490)</x:f>
        <x:v>1.29362</x:v>
      </x:c>
    </x:row>
    <x:row r="2491" ht="23" customHeight="1">
      <x:c r="A2491" s="17" t="str">
        <x:v>U02485</x:v>
      </x:c>
      <x:c r="B2491" s="18" t="n">
        <x:v>46282</x:v>
      </x:c>
      <x:c r="C2491" s="17" t="str">
        <x:v>W0170</x:v>
      </x:c>
      <x:c r="D2491" s="17" t="str">
        <x:v>C003</x:v>
      </x:c>
      <x:c r="E2491" s="17" t="str">
        <x:v>CampaignChat</x:v>
      </x:c>
      <x:c r="F2491" s="17" t="str">
        <x:v>Pro</x:v>
      </x:c>
      <x:c r="G2491" s="17" t="n">
        <x:v>23764</x:v>
      </x:c>
      <x:c r="H2491" s="17" t="n">
        <x:v>7373</x:v>
      </x:c>
      <x:c r="I2491" s="17" t="str">
        <x:v>Followup</x:v>
      </x:c>
      <x:c r="J2491" s="27" t="n">
        <x:f>INDEX('Model Pricing'!$B$7:$B$8,MATCH(F2491,'Model Pricing'!$A$7:$A$8,0))</x:f>
        <x:v>40</x:v>
      </x:c>
      <x:c r="K2491" s="27" t="n">
        <x:f>INDEX('Model Pricing'!$C$7:$C$8,MATCH(F2491,'Model Pricing'!$A$7:$A$8,0))</x:f>
        <x:v>100</x:v>
      </x:c>
      <x:c r="L2491" s="17" t="n">
        <x:f>G2491+H2491</x:f>
        <x:v>31137</x:v>
      </x:c>
      <x:c r="M2491" s="28" t="n">
        <x:f>G2491*J2491/1000000</x:f>
        <x:v>0.95056</x:v>
      </x:c>
      <x:c r="N2491" s="28" t="n">
        <x:f>H2491*K2491/1000000</x:f>
        <x:v>0.7373</x:v>
      </x:c>
      <x:c r="O2491" s="28" t="n">
        <x:f>SUM(M2491:N2491)</x:f>
        <x:v>1.68786</x:v>
      </x:c>
    </x:row>
    <x:row r="2492" ht="23" customHeight="1">
      <x:c r="A2492" s="17" t="str">
        <x:v>U02486</x:v>
      </x:c>
      <x:c r="B2492" s="18" t="n">
        <x:v>46282</x:v>
      </x:c>
      <x:c r="C2492" s="17" t="str">
        <x:v>W0170</x:v>
      </x:c>
      <x:c r="D2492" s="17" t="str">
        <x:v>C003</x:v>
      </x:c>
      <x:c r="E2492" s="17" t="str">
        <x:v>CampaignChat</x:v>
      </x:c>
      <x:c r="F2492" s="17" t="str">
        <x:v>Pro</x:v>
      </x:c>
      <x:c r="G2492" s="17" t="n">
        <x:v>30166</x:v>
      </x:c>
      <x:c r="H2492" s="17" t="n">
        <x:v>6266</x:v>
      </x:c>
      <x:c r="I2492" s="17" t="str">
        <x:v>Correction</x:v>
      </x:c>
      <x:c r="J2492" s="27" t="n">
        <x:f>INDEX('Model Pricing'!$B$7:$B$8,MATCH(F2492,'Model Pricing'!$A$7:$A$8,0))</x:f>
        <x:v>40</x:v>
      </x:c>
      <x:c r="K2492" s="27" t="n">
        <x:f>INDEX('Model Pricing'!$C$7:$C$8,MATCH(F2492,'Model Pricing'!$A$7:$A$8,0))</x:f>
        <x:v>100</x:v>
      </x:c>
      <x:c r="L2492" s="17" t="n">
        <x:f>G2492+H2492</x:f>
        <x:v>36432</x:v>
      </x:c>
      <x:c r="M2492" s="28" t="n">
        <x:f>G2492*J2492/1000000</x:f>
        <x:v>1.20664</x:v>
      </x:c>
      <x:c r="N2492" s="28" t="n">
        <x:f>H2492*K2492/1000000</x:f>
        <x:v>0.6266</x:v>
      </x:c>
      <x:c r="O2492" s="28" t="n">
        <x:f>SUM(M2492:N2492)</x:f>
        <x:v>1.83324</x:v>
      </x:c>
    </x:row>
    <x:row r="2493" ht="23" customHeight="1">
      <x:c r="A2493" s="17" t="str">
        <x:v>U02487</x:v>
      </x:c>
      <x:c r="B2493" s="18" t="n">
        <x:v>46282</x:v>
      </x:c>
      <x:c r="C2493" s="17" t="str">
        <x:v>W0170</x:v>
      </x:c>
      <x:c r="D2493" s="17" t="str">
        <x:v>C003</x:v>
      </x:c>
      <x:c r="E2493" s="17" t="str">
        <x:v>CampaignChat</x:v>
      </x:c>
      <x:c r="F2493" s="17" t="str">
        <x:v>Pro</x:v>
      </x:c>
      <x:c r="G2493" s="17" t="n">
        <x:v>15151</x:v>
      </x:c>
      <x:c r="H2493" s="17" t="n">
        <x:v>4155</x:v>
      </x:c>
      <x:c r="I2493" s="17" t="str">
        <x:v>Followup</x:v>
      </x:c>
      <x:c r="J2493" s="27" t="n">
        <x:f>INDEX('Model Pricing'!$B$7:$B$8,MATCH(F2493,'Model Pricing'!$A$7:$A$8,0))</x:f>
        <x:v>40</x:v>
      </x:c>
      <x:c r="K2493" s="27" t="n">
        <x:f>INDEX('Model Pricing'!$C$7:$C$8,MATCH(F2493,'Model Pricing'!$A$7:$A$8,0))</x:f>
        <x:v>100</x:v>
      </x:c>
      <x:c r="L2493" s="17" t="n">
        <x:f>G2493+H2493</x:f>
        <x:v>19306</x:v>
      </x:c>
      <x:c r="M2493" s="28" t="n">
        <x:f>G2493*J2493/1000000</x:f>
        <x:v>0.60604</x:v>
      </x:c>
      <x:c r="N2493" s="28" t="n">
        <x:f>H2493*K2493/1000000</x:f>
        <x:v>0.4155</x:v>
      </x:c>
      <x:c r="O2493" s="28" t="n">
        <x:f>SUM(M2493:N2493)</x:f>
        <x:v>1.02154</x:v>
      </x:c>
    </x:row>
    <x:row r="2494" ht="23" customHeight="1">
      <x:c r="A2494" s="17" t="str">
        <x:v>U02488</x:v>
      </x:c>
      <x:c r="B2494" s="18" t="n">
        <x:v>46283</x:v>
      </x:c>
      <x:c r="C2494" s="17" t="str">
        <x:v>W0170</x:v>
      </x:c>
      <x:c r="D2494" s="17" t="str">
        <x:v>C003</x:v>
      </x:c>
      <x:c r="E2494" s="17" t="str">
        <x:v>CampaignChat</x:v>
      </x:c>
      <x:c r="F2494" s="17" t="str">
        <x:v>Pro</x:v>
      </x:c>
      <x:c r="G2494" s="17" t="n">
        <x:v>11538</x:v>
      </x:c>
      <x:c r="H2494" s="17" t="n">
        <x:v>4850</x:v>
      </x:c>
      <x:c r="I2494" s="17" t="str">
        <x:v>Followup</x:v>
      </x:c>
      <x:c r="J2494" s="27" t="n">
        <x:f>INDEX('Model Pricing'!$B$7:$B$8,MATCH(F2494,'Model Pricing'!$A$7:$A$8,0))</x:f>
        <x:v>40</x:v>
      </x:c>
      <x:c r="K2494" s="27" t="n">
        <x:f>INDEX('Model Pricing'!$C$7:$C$8,MATCH(F2494,'Model Pricing'!$A$7:$A$8,0))</x:f>
        <x:v>100</x:v>
      </x:c>
      <x:c r="L2494" s="17" t="n">
        <x:f>G2494+H2494</x:f>
        <x:v>16388</x:v>
      </x:c>
      <x:c r="M2494" s="28" t="n">
        <x:f>G2494*J2494/1000000</x:f>
        <x:v>0.46152</x:v>
      </x:c>
      <x:c r="N2494" s="28" t="n">
        <x:f>H2494*K2494/1000000</x:f>
        <x:v>0.485</x:v>
      </x:c>
      <x:c r="O2494" s="28" t="n">
        <x:f>SUM(M2494:N2494)</x:f>
        <x:v>0.94652</x:v>
      </x:c>
    </x:row>
    <x:row r="2495" ht="23" customHeight="1">
      <x:c r="A2495" s="17" t="str">
        <x:v>U02489</x:v>
      </x:c>
      <x:c r="B2495" s="18" t="n">
        <x:v>46283</x:v>
      </x:c>
      <x:c r="C2495" s="17" t="str">
        <x:v>W0170</x:v>
      </x:c>
      <x:c r="D2495" s="17" t="str">
        <x:v>C003</x:v>
      </x:c>
      <x:c r="E2495" s="17" t="str">
        <x:v>CampaignChat</x:v>
      </x:c>
      <x:c r="F2495" s="17" t="str">
        <x:v>Pro</x:v>
      </x:c>
      <x:c r="G2495" s="17" t="n">
        <x:v>29907</x:v>
      </x:c>
      <x:c r="H2495" s="17" t="n">
        <x:v>3320</x:v>
      </x:c>
      <x:c r="I2495" s="17" t="str">
        <x:v>Followup</x:v>
      </x:c>
      <x:c r="J2495" s="27" t="n">
        <x:f>INDEX('Model Pricing'!$B$7:$B$8,MATCH(F2495,'Model Pricing'!$A$7:$A$8,0))</x:f>
        <x:v>40</x:v>
      </x:c>
      <x:c r="K2495" s="27" t="n">
        <x:f>INDEX('Model Pricing'!$C$7:$C$8,MATCH(F2495,'Model Pricing'!$A$7:$A$8,0))</x:f>
        <x:v>100</x:v>
      </x:c>
      <x:c r="L2495" s="17" t="n">
        <x:f>G2495+H2495</x:f>
        <x:v>33227</x:v>
      </x:c>
      <x:c r="M2495" s="28" t="n">
        <x:f>G2495*J2495/1000000</x:f>
        <x:v>1.19628</x:v>
      </x:c>
      <x:c r="N2495" s="28" t="n">
        <x:f>H2495*K2495/1000000</x:f>
        <x:v>0.332</x:v>
      </x:c>
      <x:c r="O2495" s="28" t="n">
        <x:f>SUM(M2495:N2495)</x:f>
        <x:v>1.52828</x:v>
      </x:c>
    </x:row>
    <x:row r="2496" ht="23" customHeight="1">
      <x:c r="A2496" s="17" t="str">
        <x:v>U02490</x:v>
      </x:c>
      <x:c r="B2496" s="18" t="n">
        <x:v>46283</x:v>
      </x:c>
      <x:c r="C2496" s="17" t="str">
        <x:v>W0170</x:v>
      </x:c>
      <x:c r="D2496" s="17" t="str">
        <x:v>C003</x:v>
      </x:c>
      <x:c r="E2496" s="17" t="str">
        <x:v>CampaignChat</x:v>
      </x:c>
      <x:c r="F2496" s="17" t="str">
        <x:v>Pro</x:v>
      </x:c>
      <x:c r="G2496" s="17" t="n">
        <x:v>10546</x:v>
      </x:c>
      <x:c r="H2496" s="17" t="n">
        <x:v>7795</x:v>
      </x:c>
      <x:c r="I2496" s="17" t="str">
        <x:v>Followup</x:v>
      </x:c>
      <x:c r="J2496" s="27" t="n">
        <x:f>INDEX('Model Pricing'!$B$7:$B$8,MATCH(F2496,'Model Pricing'!$A$7:$A$8,0))</x:f>
        <x:v>40</x:v>
      </x:c>
      <x:c r="K2496" s="27" t="n">
        <x:f>INDEX('Model Pricing'!$C$7:$C$8,MATCH(F2496,'Model Pricing'!$A$7:$A$8,0))</x:f>
        <x:v>100</x:v>
      </x:c>
      <x:c r="L2496" s="17" t="n">
        <x:f>G2496+H2496</x:f>
        <x:v>18341</x:v>
      </x:c>
      <x:c r="M2496" s="28" t="n">
        <x:f>G2496*J2496/1000000</x:f>
        <x:v>0.42184</x:v>
      </x:c>
      <x:c r="N2496" s="28" t="n">
        <x:f>H2496*K2496/1000000</x:f>
        <x:v>0.7795</x:v>
      </x:c>
      <x:c r="O2496" s="28" t="n">
        <x:f>SUM(M2496:N2496)</x:f>
        <x:v>1.20134</x:v>
      </x:c>
    </x:row>
    <x:row r="2497" ht="23" customHeight="1">
      <x:c r="A2497" s="17" t="str">
        <x:v>U02491</x:v>
      </x:c>
      <x:c r="B2497" s="18" t="n">
        <x:v>46286</x:v>
      </x:c>
      <x:c r="C2497" s="17" t="str">
        <x:v>W0170</x:v>
      </x:c>
      <x:c r="D2497" s="17" t="str">
        <x:v>C003</x:v>
      </x:c>
      <x:c r="E2497" s="17" t="str">
        <x:v>CampaignChat</x:v>
      </x:c>
      <x:c r="F2497" s="17" t="str">
        <x:v>Pro</x:v>
      </x:c>
      <x:c r="G2497" s="17" t="n">
        <x:v>23788</x:v>
      </x:c>
      <x:c r="H2497" s="17" t="n">
        <x:v>4151</x:v>
      </x:c>
      <x:c r="I2497" s="17" t="str">
        <x:v>Followup</x:v>
      </x:c>
      <x:c r="J2497" s="27" t="n">
        <x:f>INDEX('Model Pricing'!$B$7:$B$8,MATCH(F2497,'Model Pricing'!$A$7:$A$8,0))</x:f>
        <x:v>40</x:v>
      </x:c>
      <x:c r="K2497" s="27" t="n">
        <x:f>INDEX('Model Pricing'!$C$7:$C$8,MATCH(F2497,'Model Pricing'!$A$7:$A$8,0))</x:f>
        <x:v>100</x:v>
      </x:c>
      <x:c r="L2497" s="17" t="n">
        <x:f>G2497+H2497</x:f>
        <x:v>27939</x:v>
      </x:c>
      <x:c r="M2497" s="28" t="n">
        <x:f>G2497*J2497/1000000</x:f>
        <x:v>0.95152</x:v>
      </x:c>
      <x:c r="N2497" s="28" t="n">
        <x:f>H2497*K2497/1000000</x:f>
        <x:v>0.4151</x:v>
      </x:c>
      <x:c r="O2497" s="28" t="n">
        <x:f>SUM(M2497:N2497)</x:f>
        <x:v>1.3666200000000002</x:v>
      </x:c>
    </x:row>
    <x:row r="2498" ht="23" customHeight="1">
      <x:c r="A2498" s="17" t="str">
        <x:v>U02492</x:v>
      </x:c>
      <x:c r="B2498" s="18" t="n">
        <x:v>46286</x:v>
      </x:c>
      <x:c r="C2498" s="17" t="str">
        <x:v>W0170</x:v>
      </x:c>
      <x:c r="D2498" s="17" t="str">
        <x:v>C003</x:v>
      </x:c>
      <x:c r="E2498" s="17" t="str">
        <x:v>CampaignChat</x:v>
      </x:c>
      <x:c r="F2498" s="17" t="str">
        <x:v>Pro</x:v>
      </x:c>
      <x:c r="G2498" s="17" t="n">
        <x:v>22872</x:v>
      </x:c>
      <x:c r="H2498" s="17" t="n">
        <x:v>5522</x:v>
      </x:c>
      <x:c r="I2498" s="17" t="str">
        <x:v>Followup</x:v>
      </x:c>
      <x:c r="J2498" s="27" t="n">
        <x:f>INDEX('Model Pricing'!$B$7:$B$8,MATCH(F2498,'Model Pricing'!$A$7:$A$8,0))</x:f>
        <x:v>40</x:v>
      </x:c>
      <x:c r="K2498" s="27" t="n">
        <x:f>INDEX('Model Pricing'!$C$7:$C$8,MATCH(F2498,'Model Pricing'!$A$7:$A$8,0))</x:f>
        <x:v>100</x:v>
      </x:c>
      <x:c r="L2498" s="17" t="n">
        <x:f>G2498+H2498</x:f>
        <x:v>28394</x:v>
      </x:c>
      <x:c r="M2498" s="28" t="n">
        <x:f>G2498*J2498/1000000</x:f>
        <x:v>0.91488</x:v>
      </x:c>
      <x:c r="N2498" s="28" t="n">
        <x:f>H2498*K2498/1000000</x:f>
        <x:v>0.5522</x:v>
      </x:c>
      <x:c r="O2498" s="28" t="n">
        <x:f>SUM(M2498:N2498)</x:f>
        <x:v>1.4670800000000002</x:v>
      </x:c>
    </x:row>
    <x:row r="2499" ht="23" customHeight="1">
      <x:c r="A2499" s="17" t="str">
        <x:v>U02493</x:v>
      </x:c>
      <x:c r="B2499" s="18" t="n">
        <x:v>46286</x:v>
      </x:c>
      <x:c r="C2499" s="17" t="str">
        <x:v>W0170</x:v>
      </x:c>
      <x:c r="D2499" s="17" t="str">
        <x:v>C003</x:v>
      </x:c>
      <x:c r="E2499" s="17" t="str">
        <x:v>CampaignChat</x:v>
      </x:c>
      <x:c r="F2499" s="17" t="str">
        <x:v>Pro</x:v>
      </x:c>
      <x:c r="G2499" s="17" t="n">
        <x:v>18069</x:v>
      </x:c>
      <x:c r="H2499" s="17" t="n">
        <x:v>5437</x:v>
      </x:c>
      <x:c r="I2499" s="17" t="str">
        <x:v>Followup</x:v>
      </x:c>
      <x:c r="J2499" s="27" t="n">
        <x:f>INDEX('Model Pricing'!$B$7:$B$8,MATCH(F2499,'Model Pricing'!$A$7:$A$8,0))</x:f>
        <x:v>40</x:v>
      </x:c>
      <x:c r="K2499" s="27" t="n">
        <x:f>INDEX('Model Pricing'!$C$7:$C$8,MATCH(F2499,'Model Pricing'!$A$7:$A$8,0))</x:f>
        <x:v>100</x:v>
      </x:c>
      <x:c r="L2499" s="17" t="n">
        <x:f>G2499+H2499</x:f>
        <x:v>23506</x:v>
      </x:c>
      <x:c r="M2499" s="28" t="n">
        <x:f>G2499*J2499/1000000</x:f>
        <x:v>0.72276</x:v>
      </x:c>
      <x:c r="N2499" s="28" t="n">
        <x:f>H2499*K2499/1000000</x:f>
        <x:v>0.5437</x:v>
      </x:c>
      <x:c r="O2499" s="28" t="n">
        <x:f>SUM(M2499:N2499)</x:f>
        <x:v>1.26646</x:v>
      </x:c>
    </x:row>
    <x:row r="2500" ht="23" customHeight="1">
      <x:c r="A2500" s="17" t="str">
        <x:v>U02494</x:v>
      </x:c>
      <x:c r="B2500" s="18" t="n">
        <x:v>46286</x:v>
      </x:c>
      <x:c r="C2500" s="17" t="str">
        <x:v>W0173</x:v>
      </x:c>
      <x:c r="D2500" s="17" t="str">
        <x:v>C003</x:v>
      </x:c>
      <x:c r="E2500" s="17" t="str">
        <x:v>InsightDesk</x:v>
      </x:c>
      <x:c r="F2500" s="17" t="str">
        <x:v>Pro</x:v>
      </x:c>
      <x:c r="G2500" s="17" t="n">
        <x:v>20545</x:v>
      </x:c>
      <x:c r="H2500" s="17" t="n">
        <x:v>5527</x:v>
      </x:c>
      <x:c r="I2500" s="17" t="str">
        <x:v>First attempt</x:v>
      </x:c>
      <x:c r="J2500" s="27" t="n">
        <x:f>INDEX('Model Pricing'!$B$7:$B$8,MATCH(F2500,'Model Pricing'!$A$7:$A$8,0))</x:f>
        <x:v>40</x:v>
      </x:c>
      <x:c r="K2500" s="27" t="n">
        <x:f>INDEX('Model Pricing'!$C$7:$C$8,MATCH(F2500,'Model Pricing'!$A$7:$A$8,0))</x:f>
        <x:v>100</x:v>
      </x:c>
      <x:c r="L2500" s="17" t="n">
        <x:f>G2500+H2500</x:f>
        <x:v>26072</x:v>
      </x:c>
      <x:c r="M2500" s="28" t="n">
        <x:f>G2500*J2500/1000000</x:f>
        <x:v>0.8218</x:v>
      </x:c>
      <x:c r="N2500" s="28" t="n">
        <x:f>H2500*K2500/1000000</x:f>
        <x:v>0.5527</x:v>
      </x:c>
      <x:c r="O2500" s="28" t="n">
        <x:f>SUM(M2500:N2500)</x:f>
        <x:v>1.3744999999999998</x:v>
      </x:c>
    </x:row>
    <x:row r="2501" ht="23" customHeight="1">
      <x:c r="A2501" s="17" t="str">
        <x:v>U02495</x:v>
      </x:c>
      <x:c r="B2501" s="18" t="n">
        <x:v>46286</x:v>
      </x:c>
      <x:c r="C2501" s="17" t="str">
        <x:v>W0173</x:v>
      </x:c>
      <x:c r="D2501" s="17" t="str">
        <x:v>C003</x:v>
      </x:c>
      <x:c r="E2501" s="17" t="str">
        <x:v>InsightDesk</x:v>
      </x:c>
      <x:c r="F2501" s="17" t="str">
        <x:v>Pro</x:v>
      </x:c>
      <x:c r="G2501" s="17" t="n">
        <x:v>20574</x:v>
      </x:c>
      <x:c r="H2501" s="17" t="n">
        <x:v>8672</x:v>
      </x:c>
      <x:c r="I2501" s="17" t="str">
        <x:v>Followup</x:v>
      </x:c>
      <x:c r="J2501" s="27" t="n">
        <x:f>INDEX('Model Pricing'!$B$7:$B$8,MATCH(F2501,'Model Pricing'!$A$7:$A$8,0))</x:f>
        <x:v>40</x:v>
      </x:c>
      <x:c r="K2501" s="27" t="n">
        <x:f>INDEX('Model Pricing'!$C$7:$C$8,MATCH(F2501,'Model Pricing'!$A$7:$A$8,0))</x:f>
        <x:v>100</x:v>
      </x:c>
      <x:c r="L2501" s="17" t="n">
        <x:f>G2501+H2501</x:f>
        <x:v>29246</x:v>
      </x:c>
      <x:c r="M2501" s="28" t="n">
        <x:f>G2501*J2501/1000000</x:f>
        <x:v>0.82296</x:v>
      </x:c>
      <x:c r="N2501" s="28" t="n">
        <x:f>H2501*K2501/1000000</x:f>
        <x:v>0.8672</x:v>
      </x:c>
      <x:c r="O2501" s="28" t="n">
        <x:f>SUM(M2501:N2501)</x:f>
        <x:v>1.69016</x:v>
      </x:c>
    </x:row>
    <x:row r="2502" ht="23" customHeight="1">
      <x:c r="A2502" s="17" t="str">
        <x:v>U02496</x:v>
      </x:c>
      <x:c r="B2502" s="18" t="n">
        <x:v>46286</x:v>
      </x:c>
      <x:c r="C2502" s="17" t="str">
        <x:v>W0173</x:v>
      </x:c>
      <x:c r="D2502" s="17" t="str">
        <x:v>C003</x:v>
      </x:c>
      <x:c r="E2502" s="17" t="str">
        <x:v>InsightDesk</x:v>
      </x:c>
      <x:c r="F2502" s="17" t="str">
        <x:v>Pro</x:v>
      </x:c>
      <x:c r="G2502" s="17" t="n">
        <x:v>12725</x:v>
      </x:c>
      <x:c r="H2502" s="17" t="n">
        <x:v>5894</x:v>
      </x:c>
      <x:c r="I2502" s="17" t="str">
        <x:v>Followup</x:v>
      </x:c>
      <x:c r="J2502" s="27" t="n">
        <x:f>INDEX('Model Pricing'!$B$7:$B$8,MATCH(F2502,'Model Pricing'!$A$7:$A$8,0))</x:f>
        <x:v>40</x:v>
      </x:c>
      <x:c r="K2502" s="27" t="n">
        <x:f>INDEX('Model Pricing'!$C$7:$C$8,MATCH(F2502,'Model Pricing'!$A$7:$A$8,0))</x:f>
        <x:v>100</x:v>
      </x:c>
      <x:c r="L2502" s="17" t="n">
        <x:f>G2502+H2502</x:f>
        <x:v>18619</x:v>
      </x:c>
      <x:c r="M2502" s="28" t="n">
        <x:f>G2502*J2502/1000000</x:f>
        <x:v>0.509</x:v>
      </x:c>
      <x:c r="N2502" s="28" t="n">
        <x:f>H2502*K2502/1000000</x:f>
        <x:v>0.5894</x:v>
      </x:c>
      <x:c r="O2502" s="28" t="n">
        <x:f>SUM(M2502:N2502)</x:f>
        <x:v>1.0984</x:v>
      </x:c>
    </x:row>
    <x:row r="2503" ht="23" customHeight="1">
      <x:c r="A2503" s="17" t="str">
        <x:v>U02497</x:v>
      </x:c>
      <x:c r="B2503" s="18" t="n">
        <x:v>46286</x:v>
      </x:c>
      <x:c r="C2503" s="17" t="str">
        <x:v>W0173</x:v>
      </x:c>
      <x:c r="D2503" s="17" t="str">
        <x:v>C003</x:v>
      </x:c>
      <x:c r="E2503" s="17" t="str">
        <x:v>InsightDesk</x:v>
      </x:c>
      <x:c r="F2503" s="17" t="str">
        <x:v>Pro</x:v>
      </x:c>
      <x:c r="G2503" s="17" t="n">
        <x:v>16075</x:v>
      </x:c>
      <x:c r="H2503" s="17" t="n">
        <x:v>8727</x:v>
      </x:c>
      <x:c r="I2503" s="17" t="str">
        <x:v>Correction</x:v>
      </x:c>
      <x:c r="J2503" s="27" t="n">
        <x:f>INDEX('Model Pricing'!$B$7:$B$8,MATCH(F2503,'Model Pricing'!$A$7:$A$8,0))</x:f>
        <x:v>40</x:v>
      </x:c>
      <x:c r="K2503" s="27" t="n">
        <x:f>INDEX('Model Pricing'!$C$7:$C$8,MATCH(F2503,'Model Pricing'!$A$7:$A$8,0))</x:f>
        <x:v>100</x:v>
      </x:c>
      <x:c r="L2503" s="17" t="n">
        <x:f>G2503+H2503</x:f>
        <x:v>24802</x:v>
      </x:c>
      <x:c r="M2503" s="28" t="n">
        <x:f>G2503*J2503/1000000</x:f>
        <x:v>0.643</x:v>
      </x:c>
      <x:c r="N2503" s="28" t="n">
        <x:f>H2503*K2503/1000000</x:f>
        <x:v>0.8727</x:v>
      </x:c>
      <x:c r="O2503" s="28" t="n">
        <x:f>SUM(M2503:N2503)</x:f>
        <x:v>1.5157</x:v>
      </x:c>
    </x:row>
    <x:row r="2504" ht="23" customHeight="1">
      <x:c r="A2504" s="17" t="str">
        <x:v>U02498</x:v>
      </x:c>
      <x:c r="B2504" s="18" t="n">
        <x:v>46287</x:v>
      </x:c>
      <x:c r="C2504" s="17" t="str">
        <x:v>W0173</x:v>
      </x:c>
      <x:c r="D2504" s="17" t="str">
        <x:v>C003</x:v>
      </x:c>
      <x:c r="E2504" s="17" t="str">
        <x:v>InsightDesk</x:v>
      </x:c>
      <x:c r="F2504" s="17" t="str">
        <x:v>Pro</x:v>
      </x:c>
      <x:c r="G2504" s="17" t="n">
        <x:v>18533</x:v>
      </x:c>
      <x:c r="H2504" s="17" t="n">
        <x:v>3558</x:v>
      </x:c>
      <x:c r="I2504" s="17" t="str">
        <x:v>Followup</x:v>
      </x:c>
      <x:c r="J2504" s="27" t="n">
        <x:f>INDEX('Model Pricing'!$B$7:$B$8,MATCH(F2504,'Model Pricing'!$A$7:$A$8,0))</x:f>
        <x:v>40</x:v>
      </x:c>
      <x:c r="K2504" s="27" t="n">
        <x:f>INDEX('Model Pricing'!$C$7:$C$8,MATCH(F2504,'Model Pricing'!$A$7:$A$8,0))</x:f>
        <x:v>100</x:v>
      </x:c>
      <x:c r="L2504" s="17" t="n">
        <x:f>G2504+H2504</x:f>
        <x:v>22091</x:v>
      </x:c>
      <x:c r="M2504" s="28" t="n">
        <x:f>G2504*J2504/1000000</x:f>
        <x:v>0.74132</x:v>
      </x:c>
      <x:c r="N2504" s="28" t="n">
        <x:f>H2504*K2504/1000000</x:f>
        <x:v>0.3558</x:v>
      </x:c>
      <x:c r="O2504" s="28" t="n">
        <x:f>SUM(M2504:N2504)</x:f>
        <x:v>1.0971199999999999</x:v>
      </x:c>
    </x:row>
    <x:row r="2505" ht="23" customHeight="1">
      <x:c r="A2505" s="17" t="str">
        <x:v>U02499</x:v>
      </x:c>
      <x:c r="B2505" s="18" t="n">
        <x:v>46287</x:v>
      </x:c>
      <x:c r="C2505" s="17" t="str">
        <x:v>W0173</x:v>
      </x:c>
      <x:c r="D2505" s="17" t="str">
        <x:v>C003</x:v>
      </x:c>
      <x:c r="E2505" s="17" t="str">
        <x:v>InsightDesk</x:v>
      </x:c>
      <x:c r="F2505" s="17" t="str">
        <x:v>Pro</x:v>
      </x:c>
      <x:c r="G2505" s="17" t="n">
        <x:v>14792</x:v>
      </x:c>
      <x:c r="H2505" s="17" t="n">
        <x:v>10886</x:v>
      </x:c>
      <x:c r="I2505" s="17" t="str">
        <x:v>Followup</x:v>
      </x:c>
      <x:c r="J2505" s="27" t="n">
        <x:f>INDEX('Model Pricing'!$B$7:$B$8,MATCH(F2505,'Model Pricing'!$A$7:$A$8,0))</x:f>
        <x:v>40</x:v>
      </x:c>
      <x:c r="K2505" s="27" t="n">
        <x:f>INDEX('Model Pricing'!$C$7:$C$8,MATCH(F2505,'Model Pricing'!$A$7:$A$8,0))</x:f>
        <x:v>100</x:v>
      </x:c>
      <x:c r="L2505" s="17" t="n">
        <x:f>G2505+H2505</x:f>
        <x:v>25678</x:v>
      </x:c>
      <x:c r="M2505" s="28" t="n">
        <x:f>G2505*J2505/1000000</x:f>
        <x:v>0.59168</x:v>
      </x:c>
      <x:c r="N2505" s="28" t="n">
        <x:f>H2505*K2505/1000000</x:f>
        <x:v>1.0886</x:v>
      </x:c>
      <x:c r="O2505" s="28" t="n">
        <x:f>SUM(M2505:N2505)</x:f>
        <x:v>1.68028</x:v>
      </x:c>
    </x:row>
    <x:row r="2506" ht="23" customHeight="1">
      <x:c r="A2506" s="17" t="str">
        <x:v>U02500</x:v>
      </x:c>
      <x:c r="B2506" s="18" t="n">
        <x:v>46287</x:v>
      </x:c>
      <x:c r="C2506" s="17" t="str">
        <x:v>W0173</x:v>
      </x:c>
      <x:c r="D2506" s="17" t="str">
        <x:v>C003</x:v>
      </x:c>
      <x:c r="E2506" s="17" t="str">
        <x:v>InsightDesk</x:v>
      </x:c>
      <x:c r="F2506" s="17" t="str">
        <x:v>Pro</x:v>
      </x:c>
      <x:c r="G2506" s="17" t="n">
        <x:v>12941</x:v>
      </x:c>
      <x:c r="H2506" s="17" t="n">
        <x:v>4580</x:v>
      </x:c>
      <x:c r="I2506" s="17" t="str">
        <x:v>Correction</x:v>
      </x:c>
      <x:c r="J2506" s="27" t="n">
        <x:f>INDEX('Model Pricing'!$B$7:$B$8,MATCH(F2506,'Model Pricing'!$A$7:$A$8,0))</x:f>
        <x:v>40</x:v>
      </x:c>
      <x:c r="K2506" s="27" t="n">
        <x:f>INDEX('Model Pricing'!$C$7:$C$8,MATCH(F2506,'Model Pricing'!$A$7:$A$8,0))</x:f>
        <x:v>100</x:v>
      </x:c>
      <x:c r="L2506" s="17" t="n">
        <x:f>G2506+H2506</x:f>
        <x:v>17521</x:v>
      </x:c>
      <x:c r="M2506" s="28" t="n">
        <x:f>G2506*J2506/1000000</x:f>
        <x:v>0.51764</x:v>
      </x:c>
      <x:c r="N2506" s="28" t="n">
        <x:f>H2506*K2506/1000000</x:f>
        <x:v>0.458</x:v>
      </x:c>
      <x:c r="O2506" s="28" t="n">
        <x:f>SUM(M2506:N2506)</x:f>
        <x:v>0.9756400000000001</x:v>
      </x:c>
    </x:row>
    <x:row r="2507" ht="23" customHeight="1">
      <x:c r="A2507" s="17" t="str">
        <x:v>U02501</x:v>
      </x:c>
      <x:c r="B2507" s="18" t="n">
        <x:v>46288</x:v>
      </x:c>
      <x:c r="C2507" s="17" t="str">
        <x:v>W0173</x:v>
      </x:c>
      <x:c r="D2507" s="17" t="str">
        <x:v>C003</x:v>
      </x:c>
      <x:c r="E2507" s="17" t="str">
        <x:v>InsightDesk</x:v>
      </x:c>
      <x:c r="F2507" s="17" t="str">
        <x:v>Pro</x:v>
      </x:c>
      <x:c r="G2507" s="17" t="n">
        <x:v>11701</x:v>
      </x:c>
      <x:c r="H2507" s="17" t="n">
        <x:v>6213</x:v>
      </x:c>
      <x:c r="I2507" s="17" t="str">
        <x:v>Followup</x:v>
      </x:c>
      <x:c r="J2507" s="27" t="n">
        <x:f>INDEX('Model Pricing'!$B$7:$B$8,MATCH(F2507,'Model Pricing'!$A$7:$A$8,0))</x:f>
        <x:v>40</x:v>
      </x:c>
      <x:c r="K2507" s="27" t="n">
        <x:f>INDEX('Model Pricing'!$C$7:$C$8,MATCH(F2507,'Model Pricing'!$A$7:$A$8,0))</x:f>
        <x:v>100</x:v>
      </x:c>
      <x:c r="L2507" s="17" t="n">
        <x:f>G2507+H2507</x:f>
        <x:v>17914</x:v>
      </x:c>
      <x:c r="M2507" s="28" t="n">
        <x:f>G2507*J2507/1000000</x:f>
        <x:v>0.46804</x:v>
      </x:c>
      <x:c r="N2507" s="28" t="n">
        <x:f>H2507*K2507/1000000</x:f>
        <x:v>0.6213</x:v>
      </x:c>
      <x:c r="O2507" s="28" t="n">
        <x:f>SUM(M2507:N2507)</x:f>
        <x:v>1.08934</x:v>
      </x:c>
    </x:row>
    <x:row r="2508" ht="23" customHeight="1">
      <x:c r="A2508" s="17" t="str">
        <x:v>U02502</x:v>
      </x:c>
      <x:c r="B2508" s="18" t="n">
        <x:v>46288</x:v>
      </x:c>
      <x:c r="C2508" s="17" t="str">
        <x:v>W0173</x:v>
      </x:c>
      <x:c r="D2508" s="17" t="str">
        <x:v>C003</x:v>
      </x:c>
      <x:c r="E2508" s="17" t="str">
        <x:v>InsightDesk</x:v>
      </x:c>
      <x:c r="F2508" s="17" t="str">
        <x:v>Pro</x:v>
      </x:c>
      <x:c r="G2508" s="17" t="n">
        <x:v>7391</x:v>
      </x:c>
      <x:c r="H2508" s="17" t="n">
        <x:v>5189</x:v>
      </x:c>
      <x:c r="I2508" s="17" t="str">
        <x:v>Followup</x:v>
      </x:c>
      <x:c r="J2508" s="27" t="n">
        <x:f>INDEX('Model Pricing'!$B$7:$B$8,MATCH(F2508,'Model Pricing'!$A$7:$A$8,0))</x:f>
        <x:v>40</x:v>
      </x:c>
      <x:c r="K2508" s="27" t="n">
        <x:f>INDEX('Model Pricing'!$C$7:$C$8,MATCH(F2508,'Model Pricing'!$A$7:$A$8,0))</x:f>
        <x:v>100</x:v>
      </x:c>
      <x:c r="L2508" s="17" t="n">
        <x:f>G2508+H2508</x:f>
        <x:v>12580</x:v>
      </x:c>
      <x:c r="M2508" s="28" t="n">
        <x:f>G2508*J2508/1000000</x:f>
        <x:v>0.29564</x:v>
      </x:c>
      <x:c r="N2508" s="28" t="n">
        <x:f>H2508*K2508/1000000</x:f>
        <x:v>0.5189</x:v>
      </x:c>
      <x:c r="O2508" s="28" t="n">
        <x:f>SUM(M2508:N2508)</x:f>
        <x:v>0.81454</x:v>
      </x:c>
    </x:row>
    <x:row r="2509" ht="23" customHeight="1">
      <x:c r="A2509" s="17" t="str">
        <x:v>U02503</x:v>
      </x:c>
      <x:c r="B2509" s="18" t="n">
        <x:v>46288</x:v>
      </x:c>
      <x:c r="C2509" s="17" t="str">
        <x:v>W0173</x:v>
      </x:c>
      <x:c r="D2509" s="17" t="str">
        <x:v>C003</x:v>
      </x:c>
      <x:c r="E2509" s="17" t="str">
        <x:v>InsightDesk</x:v>
      </x:c>
      <x:c r="F2509" s="17" t="str">
        <x:v>Pro</x:v>
      </x:c>
      <x:c r="G2509" s="17" t="n">
        <x:v>17715</x:v>
      </x:c>
      <x:c r="H2509" s="17" t="n">
        <x:v>10419</x:v>
      </x:c>
      <x:c r="I2509" s="17" t="str">
        <x:v>Correction</x:v>
      </x:c>
      <x:c r="J2509" s="27" t="n">
        <x:f>INDEX('Model Pricing'!$B$7:$B$8,MATCH(F2509,'Model Pricing'!$A$7:$A$8,0))</x:f>
        <x:v>40</x:v>
      </x:c>
      <x:c r="K2509" s="27" t="n">
        <x:f>INDEX('Model Pricing'!$C$7:$C$8,MATCH(F2509,'Model Pricing'!$A$7:$A$8,0))</x:f>
        <x:v>100</x:v>
      </x:c>
      <x:c r="L2509" s="17" t="n">
        <x:f>G2509+H2509</x:f>
        <x:v>28134</x:v>
      </x:c>
      <x:c r="M2509" s="28" t="n">
        <x:f>G2509*J2509/1000000</x:f>
        <x:v>0.7086</x:v>
      </x:c>
      <x:c r="N2509" s="28" t="n">
        <x:f>H2509*K2509/1000000</x:f>
        <x:v>1.0419</x:v>
      </x:c>
      <x:c r="O2509" s="28" t="n">
        <x:f>SUM(M2509:N2509)</x:f>
        <x:v>1.7505000000000002</x:v>
      </x:c>
    </x:row>
    <x:row r="2510" ht="23" customHeight="1">
      <x:c r="A2510" s="17" t="str">
        <x:v>U02504</x:v>
      </x:c>
      <x:c r="B2510" s="18" t="n">
        <x:v>46289</x:v>
      </x:c>
      <x:c r="C2510" s="17" t="str">
        <x:v>W0173</x:v>
      </x:c>
      <x:c r="D2510" s="17" t="str">
        <x:v>C003</x:v>
      </x:c>
      <x:c r="E2510" s="17" t="str">
        <x:v>InsightDesk</x:v>
      </x:c>
      <x:c r="F2510" s="17" t="str">
        <x:v>Pro</x:v>
      </x:c>
      <x:c r="G2510" s="17" t="n">
        <x:v>16941</x:v>
      </x:c>
      <x:c r="H2510" s="17" t="n">
        <x:v>6035</x:v>
      </x:c>
      <x:c r="I2510" s="17" t="str">
        <x:v>Followup</x:v>
      </x:c>
      <x:c r="J2510" s="27" t="n">
        <x:f>INDEX('Model Pricing'!$B$7:$B$8,MATCH(F2510,'Model Pricing'!$A$7:$A$8,0))</x:f>
        <x:v>40</x:v>
      </x:c>
      <x:c r="K2510" s="27" t="n">
        <x:f>INDEX('Model Pricing'!$C$7:$C$8,MATCH(F2510,'Model Pricing'!$A$7:$A$8,0))</x:f>
        <x:v>100</x:v>
      </x:c>
      <x:c r="L2510" s="17" t="n">
        <x:f>G2510+H2510</x:f>
        <x:v>22976</x:v>
      </x:c>
      <x:c r="M2510" s="28" t="n">
        <x:f>G2510*J2510/1000000</x:f>
        <x:v>0.67764</x:v>
      </x:c>
      <x:c r="N2510" s="28" t="n">
        <x:f>H2510*K2510/1000000</x:f>
        <x:v>0.6035</x:v>
      </x:c>
      <x:c r="O2510" s="28" t="n">
        <x:f>SUM(M2510:N2510)</x:f>
        <x:v>1.2811400000000002</x:v>
      </x:c>
    </x:row>
    <x:row r="2511" ht="23" customHeight="1">
      <x:c r="A2511" s="17" t="str">
        <x:v>U02505</x:v>
      </x:c>
      <x:c r="B2511" s="18" t="n">
        <x:v>46289</x:v>
      </x:c>
      <x:c r="C2511" s="17" t="str">
        <x:v>W0173</x:v>
      </x:c>
      <x:c r="D2511" s="17" t="str">
        <x:v>C003</x:v>
      </x:c>
      <x:c r="E2511" s="17" t="str">
        <x:v>InsightDesk</x:v>
      </x:c>
      <x:c r="F2511" s="17" t="str">
        <x:v>Pro</x:v>
      </x:c>
      <x:c r="G2511" s="17" t="n">
        <x:v>16197</x:v>
      </x:c>
      <x:c r="H2511" s="17" t="n">
        <x:v>9806</x:v>
      </x:c>
      <x:c r="I2511" s="17" t="str">
        <x:v>Followup</x:v>
      </x:c>
      <x:c r="J2511" s="27" t="n">
        <x:f>INDEX('Model Pricing'!$B$7:$B$8,MATCH(F2511,'Model Pricing'!$A$7:$A$8,0))</x:f>
        <x:v>40</x:v>
      </x:c>
      <x:c r="K2511" s="27" t="n">
        <x:f>INDEX('Model Pricing'!$C$7:$C$8,MATCH(F2511,'Model Pricing'!$A$7:$A$8,0))</x:f>
        <x:v>100</x:v>
      </x:c>
      <x:c r="L2511" s="17" t="n">
        <x:f>G2511+H2511</x:f>
        <x:v>26003</x:v>
      </x:c>
      <x:c r="M2511" s="28" t="n">
        <x:f>G2511*J2511/1000000</x:f>
        <x:v>0.64788</x:v>
      </x:c>
      <x:c r="N2511" s="28" t="n">
        <x:f>H2511*K2511/1000000</x:f>
        <x:v>0.9806</x:v>
      </x:c>
      <x:c r="O2511" s="28" t="n">
        <x:f>SUM(M2511:N2511)</x:f>
        <x:v>1.6284800000000001</x:v>
      </x:c>
    </x:row>
    <x:row r="2512" ht="23" customHeight="1">
      <x:c r="A2512" s="17" t="str">
        <x:v>U02506</x:v>
      </x:c>
      <x:c r="B2512" s="18" t="n">
        <x:v>46289</x:v>
      </x:c>
      <x:c r="C2512" s="17" t="str">
        <x:v>W0173</x:v>
      </x:c>
      <x:c r="D2512" s="17" t="str">
        <x:v>C003</x:v>
      </x:c>
      <x:c r="E2512" s="17" t="str">
        <x:v>InsightDesk</x:v>
      </x:c>
      <x:c r="F2512" s="17" t="str">
        <x:v>Pro</x:v>
      </x:c>
      <x:c r="G2512" s="17" t="n">
        <x:v>20289</x:v>
      </x:c>
      <x:c r="H2512" s="17" t="n">
        <x:v>9356</x:v>
      </x:c>
      <x:c r="I2512" s="17" t="str">
        <x:v>Followup</x:v>
      </x:c>
      <x:c r="J2512" s="27" t="n">
        <x:f>INDEX('Model Pricing'!$B$7:$B$8,MATCH(F2512,'Model Pricing'!$A$7:$A$8,0))</x:f>
        <x:v>40</x:v>
      </x:c>
      <x:c r="K2512" s="27" t="n">
        <x:f>INDEX('Model Pricing'!$C$7:$C$8,MATCH(F2512,'Model Pricing'!$A$7:$A$8,0))</x:f>
        <x:v>100</x:v>
      </x:c>
      <x:c r="L2512" s="17" t="n">
        <x:f>G2512+H2512</x:f>
        <x:v>29645</x:v>
      </x:c>
      <x:c r="M2512" s="28" t="n">
        <x:f>G2512*J2512/1000000</x:f>
        <x:v>0.81156</x:v>
      </x:c>
      <x:c r="N2512" s="28" t="n">
        <x:f>H2512*K2512/1000000</x:f>
        <x:v>0.9356</x:v>
      </x:c>
      <x:c r="O2512" s="28" t="n">
        <x:f>SUM(M2512:N2512)</x:f>
        <x:v>1.74716</x:v>
      </x:c>
    </x:row>
    <x:row r="2513" ht="23" customHeight="1">
      <x:c r="A2513" s="17" t="str">
        <x:v>U02507</x:v>
      </x:c>
      <x:c r="B2513" s="18" t="n">
        <x:v>46289</x:v>
      </x:c>
      <x:c r="C2513" s="17" t="str">
        <x:v>W0176</x:v>
      </x:c>
      <x:c r="D2513" s="17" t="str">
        <x:v>C003</x:v>
      </x:c>
      <x:c r="E2513" s="17" t="str">
        <x:v>CopyStudio</x:v>
      </x:c>
      <x:c r="F2513" s="17" t="str">
        <x:v>Pro</x:v>
      </x:c>
      <x:c r="G2513" s="17" t="n">
        <x:v>31104</x:v>
      </x:c>
      <x:c r="H2513" s="17" t="n">
        <x:v>3408</x:v>
      </x:c>
      <x:c r="I2513" s="17" t="str">
        <x:v>First attempt</x:v>
      </x:c>
      <x:c r="J2513" s="27" t="n">
        <x:f>INDEX('Model Pricing'!$B$7:$B$8,MATCH(F2513,'Model Pricing'!$A$7:$A$8,0))</x:f>
        <x:v>40</x:v>
      </x:c>
      <x:c r="K2513" s="27" t="n">
        <x:f>INDEX('Model Pricing'!$C$7:$C$8,MATCH(F2513,'Model Pricing'!$A$7:$A$8,0))</x:f>
        <x:v>100</x:v>
      </x:c>
      <x:c r="L2513" s="17" t="n">
        <x:f>G2513+H2513</x:f>
        <x:v>34512</x:v>
      </x:c>
      <x:c r="M2513" s="28" t="n">
        <x:f>G2513*J2513/1000000</x:f>
        <x:v>1.24416</x:v>
      </x:c>
      <x:c r="N2513" s="28" t="n">
        <x:f>H2513*K2513/1000000</x:f>
        <x:v>0.3408</x:v>
      </x:c>
      <x:c r="O2513" s="28" t="n">
        <x:f>SUM(M2513:N2513)</x:f>
        <x:v>1.58496</x:v>
      </x:c>
    </x:row>
    <x:row r="2514" ht="23" customHeight="1">
      <x:c r="A2514" s="17" t="str">
        <x:v>U02508</x:v>
      </x:c>
      <x:c r="B2514" s="18" t="n">
        <x:v>46289</x:v>
      </x:c>
      <x:c r="C2514" s="17" t="str">
        <x:v>W0176</x:v>
      </x:c>
      <x:c r="D2514" s="17" t="str">
        <x:v>C003</x:v>
      </x:c>
      <x:c r="E2514" s="17" t="str">
        <x:v>CopyStudio</x:v>
      </x:c>
      <x:c r="F2514" s="17" t="str">
        <x:v>Pro</x:v>
      </x:c>
      <x:c r="G2514" s="17" t="n">
        <x:v>28246</x:v>
      </x:c>
      <x:c r="H2514" s="17" t="n">
        <x:v>3026</x:v>
      </x:c>
      <x:c r="I2514" s="17" t="str">
        <x:v>Followup</x:v>
      </x:c>
      <x:c r="J2514" s="27" t="n">
        <x:f>INDEX('Model Pricing'!$B$7:$B$8,MATCH(F2514,'Model Pricing'!$A$7:$A$8,0))</x:f>
        <x:v>40</x:v>
      </x:c>
      <x:c r="K2514" s="27" t="n">
        <x:f>INDEX('Model Pricing'!$C$7:$C$8,MATCH(F2514,'Model Pricing'!$A$7:$A$8,0))</x:f>
        <x:v>100</x:v>
      </x:c>
      <x:c r="L2514" s="17" t="n">
        <x:f>G2514+H2514</x:f>
        <x:v>31272</x:v>
      </x:c>
      <x:c r="M2514" s="28" t="n">
        <x:f>G2514*J2514/1000000</x:f>
        <x:v>1.12984</x:v>
      </x:c>
      <x:c r="N2514" s="28" t="n">
        <x:f>H2514*K2514/1000000</x:f>
        <x:v>0.3026</x:v>
      </x:c>
      <x:c r="O2514" s="28" t="n">
        <x:f>SUM(M2514:N2514)</x:f>
        <x:v>1.43244</x:v>
      </x:c>
    </x:row>
    <x:row r="2515" ht="23" customHeight="1">
      <x:c r="A2515" s="17" t="str">
        <x:v>U02509</x:v>
      </x:c>
      <x:c r="B2515" s="18" t="n">
        <x:v>46289</x:v>
      </x:c>
      <x:c r="C2515" s="17" t="str">
        <x:v>W0176</x:v>
      </x:c>
      <x:c r="D2515" s="17" t="str">
        <x:v>C003</x:v>
      </x:c>
      <x:c r="E2515" s="17" t="str">
        <x:v>CopyStudio</x:v>
      </x:c>
      <x:c r="F2515" s="17" t="str">
        <x:v>Pro</x:v>
      </x:c>
      <x:c r="G2515" s="17" t="n">
        <x:v>21811</x:v>
      </x:c>
      <x:c r="H2515" s="17" t="n">
        <x:v>11020</x:v>
      </x:c>
      <x:c r="I2515" s="17" t="str">
        <x:v>Correction</x:v>
      </x:c>
      <x:c r="J2515" s="27" t="n">
        <x:f>INDEX('Model Pricing'!$B$7:$B$8,MATCH(F2515,'Model Pricing'!$A$7:$A$8,0))</x:f>
        <x:v>40</x:v>
      </x:c>
      <x:c r="K2515" s="27" t="n">
        <x:f>INDEX('Model Pricing'!$C$7:$C$8,MATCH(F2515,'Model Pricing'!$A$7:$A$8,0))</x:f>
        <x:v>100</x:v>
      </x:c>
      <x:c r="L2515" s="17" t="n">
        <x:f>G2515+H2515</x:f>
        <x:v>32831</x:v>
      </x:c>
      <x:c r="M2515" s="28" t="n">
        <x:f>G2515*J2515/1000000</x:f>
        <x:v>0.87244</x:v>
      </x:c>
      <x:c r="N2515" s="28" t="n">
        <x:f>H2515*K2515/1000000</x:f>
        <x:v>1.102</x:v>
      </x:c>
      <x:c r="O2515" s="28" t="n">
        <x:f>SUM(M2515:N2515)</x:f>
        <x:v>1.97444</x:v>
      </x:c>
    </x:row>
    <x:row r="2516" ht="23" customHeight="1">
      <x:c r="A2516" s="17" t="str">
        <x:v>U02510</x:v>
      </x:c>
      <x:c r="B2516" s="18" t="n">
        <x:v>46289</x:v>
      </x:c>
      <x:c r="C2516" s="17" t="str">
        <x:v>W0176</x:v>
      </x:c>
      <x:c r="D2516" s="17" t="str">
        <x:v>C003</x:v>
      </x:c>
      <x:c r="E2516" s="17" t="str">
        <x:v>CopyStudio</x:v>
      </x:c>
      <x:c r="F2516" s="17" t="str">
        <x:v>Pro</x:v>
      </x:c>
      <x:c r="G2516" s="17" t="n">
        <x:v>32380</x:v>
      </x:c>
      <x:c r="H2516" s="17" t="n">
        <x:v>3959</x:v>
      </x:c>
      <x:c r="I2516" s="17" t="str">
        <x:v>Followup</x:v>
      </x:c>
      <x:c r="J2516" s="27" t="n">
        <x:f>INDEX('Model Pricing'!$B$7:$B$8,MATCH(F2516,'Model Pricing'!$A$7:$A$8,0))</x:f>
        <x:v>40</x:v>
      </x:c>
      <x:c r="K2516" s="27" t="n">
        <x:f>INDEX('Model Pricing'!$C$7:$C$8,MATCH(F2516,'Model Pricing'!$A$7:$A$8,0))</x:f>
        <x:v>100</x:v>
      </x:c>
      <x:c r="L2516" s="17" t="n">
        <x:f>G2516+H2516</x:f>
        <x:v>36339</x:v>
      </x:c>
      <x:c r="M2516" s="28" t="n">
        <x:f>G2516*J2516/1000000</x:f>
        <x:v>1.2952</x:v>
      </x:c>
      <x:c r="N2516" s="28" t="n">
        <x:f>H2516*K2516/1000000</x:f>
        <x:v>0.3959</x:v>
      </x:c>
      <x:c r="O2516" s="28" t="n">
        <x:f>SUM(M2516:N2516)</x:f>
        <x:v>1.6910999999999998</x:v>
      </x:c>
    </x:row>
    <x:row r="2517" ht="23" customHeight="1">
      <x:c r="A2517" s="17" t="str">
        <x:v>U02511</x:v>
      </x:c>
      <x:c r="B2517" s="18" t="n">
        <x:v>46290</x:v>
      </x:c>
      <x:c r="C2517" s="17" t="str">
        <x:v>W0176</x:v>
      </x:c>
      <x:c r="D2517" s="17" t="str">
        <x:v>C003</x:v>
      </x:c>
      <x:c r="E2517" s="17" t="str">
        <x:v>CopyStudio</x:v>
      </x:c>
      <x:c r="F2517" s="17" t="str">
        <x:v>Pro</x:v>
      </x:c>
      <x:c r="G2517" s="17" t="n">
        <x:v>22938</x:v>
      </x:c>
      <x:c r="H2517" s="17" t="n">
        <x:v>4053</x:v>
      </x:c>
      <x:c r="I2517" s="17" t="str">
        <x:v>Correction</x:v>
      </x:c>
      <x:c r="J2517" s="27" t="n">
        <x:f>INDEX('Model Pricing'!$B$7:$B$8,MATCH(F2517,'Model Pricing'!$A$7:$A$8,0))</x:f>
        <x:v>40</x:v>
      </x:c>
      <x:c r="K2517" s="27" t="n">
        <x:f>INDEX('Model Pricing'!$C$7:$C$8,MATCH(F2517,'Model Pricing'!$A$7:$A$8,0))</x:f>
        <x:v>100</x:v>
      </x:c>
      <x:c r="L2517" s="17" t="n">
        <x:f>G2517+H2517</x:f>
        <x:v>26991</x:v>
      </x:c>
      <x:c r="M2517" s="28" t="n">
        <x:f>G2517*J2517/1000000</x:f>
        <x:v>0.91752</x:v>
      </x:c>
      <x:c r="N2517" s="28" t="n">
        <x:f>H2517*K2517/1000000</x:f>
        <x:v>0.4053</x:v>
      </x:c>
      <x:c r="O2517" s="28" t="n">
        <x:f>SUM(M2517:N2517)</x:f>
        <x:v>1.32282</x:v>
      </x:c>
    </x:row>
    <x:row r="2518" ht="23" customHeight="1">
      <x:c r="A2518" s="17" t="str">
        <x:v>U02512</x:v>
      </x:c>
      <x:c r="B2518" s="18" t="n">
        <x:v>46290</x:v>
      </x:c>
      <x:c r="C2518" s="17" t="str">
        <x:v>W0176</x:v>
      </x:c>
      <x:c r="D2518" s="17" t="str">
        <x:v>C003</x:v>
      </x:c>
      <x:c r="E2518" s="17" t="str">
        <x:v>CopyStudio</x:v>
      </x:c>
      <x:c r="F2518" s="17" t="str">
        <x:v>Pro</x:v>
      </x:c>
      <x:c r="G2518" s="17" t="n">
        <x:v>19543</x:v>
      </x:c>
      <x:c r="H2518" s="17" t="n">
        <x:v>5912</x:v>
      </x:c>
      <x:c r="I2518" s="17" t="str">
        <x:v>Followup</x:v>
      </x:c>
      <x:c r="J2518" s="27" t="n">
        <x:f>INDEX('Model Pricing'!$B$7:$B$8,MATCH(F2518,'Model Pricing'!$A$7:$A$8,0))</x:f>
        <x:v>40</x:v>
      </x:c>
      <x:c r="K2518" s="27" t="n">
        <x:f>INDEX('Model Pricing'!$C$7:$C$8,MATCH(F2518,'Model Pricing'!$A$7:$A$8,0))</x:f>
        <x:v>100</x:v>
      </x:c>
      <x:c r="L2518" s="17" t="n">
        <x:f>G2518+H2518</x:f>
        <x:v>25455</x:v>
      </x:c>
      <x:c r="M2518" s="28" t="n">
        <x:f>G2518*J2518/1000000</x:f>
        <x:v>0.78172</x:v>
      </x:c>
      <x:c r="N2518" s="28" t="n">
        <x:f>H2518*K2518/1000000</x:f>
        <x:v>0.5912</x:v>
      </x:c>
      <x:c r="O2518" s="28" t="n">
        <x:f>SUM(M2518:N2518)</x:f>
        <x:v>1.37292</x:v>
      </x:c>
    </x:row>
    <x:row r="2519" ht="23" customHeight="1">
      <x:c r="A2519" s="17" t="str">
        <x:v>U02513</x:v>
      </x:c>
      <x:c r="B2519" s="18" t="n">
        <x:v>46290</x:v>
      </x:c>
      <x:c r="C2519" s="17" t="str">
        <x:v>W0176</x:v>
      </x:c>
      <x:c r="D2519" s="17" t="str">
        <x:v>C003</x:v>
      </x:c>
      <x:c r="E2519" s="17" t="str">
        <x:v>CopyStudio</x:v>
      </x:c>
      <x:c r="F2519" s="17" t="str">
        <x:v>Pro</x:v>
      </x:c>
      <x:c r="G2519" s="17" t="n">
        <x:v>38674</x:v>
      </x:c>
      <x:c r="H2519" s="17" t="n">
        <x:v>4124</x:v>
      </x:c>
      <x:c r="I2519" s="17" t="str">
        <x:v>Followup</x:v>
      </x:c>
      <x:c r="J2519" s="27" t="n">
        <x:f>INDEX('Model Pricing'!$B$7:$B$8,MATCH(F2519,'Model Pricing'!$A$7:$A$8,0))</x:f>
        <x:v>40</x:v>
      </x:c>
      <x:c r="K2519" s="27" t="n">
        <x:f>INDEX('Model Pricing'!$C$7:$C$8,MATCH(F2519,'Model Pricing'!$A$7:$A$8,0))</x:f>
        <x:v>100</x:v>
      </x:c>
      <x:c r="L2519" s="17" t="n">
        <x:f>G2519+H2519</x:f>
        <x:v>42798</x:v>
      </x:c>
      <x:c r="M2519" s="28" t="n">
        <x:f>G2519*J2519/1000000</x:f>
        <x:v>1.54696</x:v>
      </x:c>
      <x:c r="N2519" s="28" t="n">
        <x:f>H2519*K2519/1000000</x:f>
        <x:v>0.4124</x:v>
      </x:c>
      <x:c r="O2519" s="28" t="n">
        <x:f>SUM(M2519:N2519)</x:f>
        <x:v>1.9593599999999998</x:v>
      </x:c>
    </x:row>
    <x:row r="2520" ht="23" customHeight="1">
      <x:c r="A2520" s="17" t="str">
        <x:v>U02514</x:v>
      </x:c>
      <x:c r="B2520" s="18" t="n">
        <x:v>46293</x:v>
      </x:c>
      <x:c r="C2520" s="17" t="str">
        <x:v>W0176</x:v>
      </x:c>
      <x:c r="D2520" s="17" t="str">
        <x:v>C003</x:v>
      </x:c>
      <x:c r="E2520" s="17" t="str">
        <x:v>CopyStudio</x:v>
      </x:c>
      <x:c r="F2520" s="17" t="str">
        <x:v>Pro</x:v>
      </x:c>
      <x:c r="G2520" s="17" t="n">
        <x:v>18774</x:v>
      </x:c>
      <x:c r="H2520" s="17" t="n">
        <x:v>4396</x:v>
      </x:c>
      <x:c r="I2520" s="17" t="str">
        <x:v>Correction</x:v>
      </x:c>
      <x:c r="J2520" s="27" t="n">
        <x:f>INDEX('Model Pricing'!$B$7:$B$8,MATCH(F2520,'Model Pricing'!$A$7:$A$8,0))</x:f>
        <x:v>40</x:v>
      </x:c>
      <x:c r="K2520" s="27" t="n">
        <x:f>INDEX('Model Pricing'!$C$7:$C$8,MATCH(F2520,'Model Pricing'!$A$7:$A$8,0))</x:f>
        <x:v>100</x:v>
      </x:c>
      <x:c r="L2520" s="17" t="n">
        <x:f>G2520+H2520</x:f>
        <x:v>23170</x:v>
      </x:c>
      <x:c r="M2520" s="28" t="n">
        <x:f>G2520*J2520/1000000</x:f>
        <x:v>0.75096</x:v>
      </x:c>
      <x:c r="N2520" s="28" t="n">
        <x:f>H2520*K2520/1000000</x:f>
        <x:v>0.4396</x:v>
      </x:c>
      <x:c r="O2520" s="28" t="n">
        <x:f>SUM(M2520:N2520)</x:f>
        <x:v>1.19056</x:v>
      </x:c>
    </x:row>
    <x:row r="2521" ht="23" customHeight="1">
      <x:c r="A2521" s="17" t="str">
        <x:v>U02515</x:v>
      </x:c>
      <x:c r="B2521" s="18" t="n">
        <x:v>46293</x:v>
      </x:c>
      <x:c r="C2521" s="17" t="str">
        <x:v>W0176</x:v>
      </x:c>
      <x:c r="D2521" s="17" t="str">
        <x:v>C003</x:v>
      </x:c>
      <x:c r="E2521" s="17" t="str">
        <x:v>CopyStudio</x:v>
      </x:c>
      <x:c r="F2521" s="17" t="str">
        <x:v>Pro</x:v>
      </x:c>
      <x:c r="G2521" s="17" t="n">
        <x:v>39884</x:v>
      </x:c>
      <x:c r="H2521" s="17" t="n">
        <x:v>11337</x:v>
      </x:c>
      <x:c r="I2521" s="17" t="str">
        <x:v>Followup</x:v>
      </x:c>
      <x:c r="J2521" s="27" t="n">
        <x:f>INDEX('Model Pricing'!$B$7:$B$8,MATCH(F2521,'Model Pricing'!$A$7:$A$8,0))</x:f>
        <x:v>40</x:v>
      </x:c>
      <x:c r="K2521" s="27" t="n">
        <x:f>INDEX('Model Pricing'!$C$7:$C$8,MATCH(F2521,'Model Pricing'!$A$7:$A$8,0))</x:f>
        <x:v>100</x:v>
      </x:c>
      <x:c r="L2521" s="17" t="n">
        <x:f>G2521+H2521</x:f>
        <x:v>51221</x:v>
      </x:c>
      <x:c r="M2521" s="28" t="n">
        <x:f>G2521*J2521/1000000</x:f>
        <x:v>1.59536</x:v>
      </x:c>
      <x:c r="N2521" s="28" t="n">
        <x:f>H2521*K2521/1000000</x:f>
        <x:v>1.1337</x:v>
      </x:c>
      <x:c r="O2521" s="28" t="n">
        <x:f>SUM(M2521:N2521)</x:f>
        <x:v>2.7290599999999996</x:v>
      </x:c>
    </x:row>
    <x:row r="2522" ht="23" customHeight="1">
      <x:c r="A2522" s="17" t="str">
        <x:v>U02516</x:v>
      </x:c>
      <x:c r="B2522" s="18" t="n">
        <x:v>46293</x:v>
      </x:c>
      <x:c r="C2522" s="17" t="str">
        <x:v>W0176</x:v>
      </x:c>
      <x:c r="D2522" s="17" t="str">
        <x:v>C003</x:v>
      </x:c>
      <x:c r="E2522" s="17" t="str">
        <x:v>CopyStudio</x:v>
      </x:c>
      <x:c r="F2522" s="17" t="str">
        <x:v>Pro</x:v>
      </x:c>
      <x:c r="G2522" s="17" t="n">
        <x:v>38710</x:v>
      </x:c>
      <x:c r="H2522" s="17" t="n">
        <x:v>7403</x:v>
      </x:c>
      <x:c r="I2522" s="17" t="str">
        <x:v>Followup</x:v>
      </x:c>
      <x:c r="J2522" s="27" t="n">
        <x:f>INDEX('Model Pricing'!$B$7:$B$8,MATCH(F2522,'Model Pricing'!$A$7:$A$8,0))</x:f>
        <x:v>40</x:v>
      </x:c>
      <x:c r="K2522" s="27" t="n">
        <x:f>INDEX('Model Pricing'!$C$7:$C$8,MATCH(F2522,'Model Pricing'!$A$7:$A$8,0))</x:f>
        <x:v>100</x:v>
      </x:c>
      <x:c r="L2522" s="17" t="n">
        <x:f>G2522+H2522</x:f>
        <x:v>46113</x:v>
      </x:c>
      <x:c r="M2522" s="28" t="n">
        <x:f>G2522*J2522/1000000</x:f>
        <x:v>1.5484</x:v>
      </x:c>
      <x:c r="N2522" s="28" t="n">
        <x:f>H2522*K2522/1000000</x:f>
        <x:v>0.7403</x:v>
      </x:c>
      <x:c r="O2522" s="28" t="n">
        <x:f>SUM(M2522:N2522)</x:f>
        <x:v>2.2887</x:v>
      </x:c>
    </x:row>
    <x:row r="2523" ht="23" customHeight="1">
      <x:c r="A2523" s="17" t="str">
        <x:v>U02517</x:v>
      </x:c>
      <x:c r="B2523" s="18" t="n">
        <x:v>46293</x:v>
      </x:c>
      <x:c r="C2523" s="17" t="str">
        <x:v>W0176</x:v>
      </x:c>
      <x:c r="D2523" s="17" t="str">
        <x:v>C003</x:v>
      </x:c>
      <x:c r="E2523" s="17" t="str">
        <x:v>CopyStudio</x:v>
      </x:c>
      <x:c r="F2523" s="17" t="str">
        <x:v>Pro</x:v>
      </x:c>
      <x:c r="G2523" s="17" t="n">
        <x:v>31602</x:v>
      </x:c>
      <x:c r="H2523" s="17" t="n">
        <x:v>4036</x:v>
      </x:c>
      <x:c r="I2523" s="17" t="str">
        <x:v>Correction</x:v>
      </x:c>
      <x:c r="J2523" s="27" t="n">
        <x:f>INDEX('Model Pricing'!$B$7:$B$8,MATCH(F2523,'Model Pricing'!$A$7:$A$8,0))</x:f>
        <x:v>40</x:v>
      </x:c>
      <x:c r="K2523" s="27" t="n">
        <x:f>INDEX('Model Pricing'!$C$7:$C$8,MATCH(F2523,'Model Pricing'!$A$7:$A$8,0))</x:f>
        <x:v>100</x:v>
      </x:c>
      <x:c r="L2523" s="17" t="n">
        <x:f>G2523+H2523</x:f>
        <x:v>35638</x:v>
      </x:c>
      <x:c r="M2523" s="28" t="n">
        <x:f>G2523*J2523/1000000</x:f>
        <x:v>1.26408</x:v>
      </x:c>
      <x:c r="N2523" s="28" t="n">
        <x:f>H2523*K2523/1000000</x:f>
        <x:v>0.4036</x:v>
      </x:c>
      <x:c r="O2523" s="28" t="n">
        <x:f>SUM(M2523:N2523)</x:f>
        <x:v>1.66768</x:v>
      </x:c>
    </x:row>
    <x:row r="2524" ht="23" customHeight="1">
      <x:c r="A2524" s="17" t="str">
        <x:v>U02518</x:v>
      </x:c>
      <x:c r="B2524" s="18" t="n">
        <x:v>46294</x:v>
      </x:c>
      <x:c r="C2524" s="17" t="str">
        <x:v>W0176</x:v>
      </x:c>
      <x:c r="D2524" s="17" t="str">
        <x:v>C003</x:v>
      </x:c>
      <x:c r="E2524" s="17" t="str">
        <x:v>CopyStudio</x:v>
      </x:c>
      <x:c r="F2524" s="17" t="str">
        <x:v>Pro</x:v>
      </x:c>
      <x:c r="G2524" s="17" t="n">
        <x:v>24520</x:v>
      </x:c>
      <x:c r="H2524" s="17" t="n">
        <x:v>9991</x:v>
      </x:c>
      <x:c r="I2524" s="17" t="str">
        <x:v>Followup</x:v>
      </x:c>
      <x:c r="J2524" s="27" t="n">
        <x:f>INDEX('Model Pricing'!$B$7:$B$8,MATCH(F2524,'Model Pricing'!$A$7:$A$8,0))</x:f>
        <x:v>40</x:v>
      </x:c>
      <x:c r="K2524" s="27" t="n">
        <x:f>INDEX('Model Pricing'!$C$7:$C$8,MATCH(F2524,'Model Pricing'!$A$7:$A$8,0))</x:f>
        <x:v>100</x:v>
      </x:c>
      <x:c r="L2524" s="17" t="n">
        <x:f>G2524+H2524</x:f>
        <x:v>34511</x:v>
      </x:c>
      <x:c r="M2524" s="28" t="n">
        <x:f>G2524*J2524/1000000</x:f>
        <x:v>0.9808</x:v>
      </x:c>
      <x:c r="N2524" s="28" t="n">
        <x:f>H2524*K2524/1000000</x:f>
        <x:v>0.9991</x:v>
      </x:c>
      <x:c r="O2524" s="28" t="n">
        <x:f>SUM(M2524:N2524)</x:f>
        <x:v>1.9799</x:v>
      </x:c>
    </x:row>
    <x:row r="2525" ht="23" customHeight="1">
      <x:c r="A2525" s="17" t="str">
        <x:v>U02519</x:v>
      </x:c>
      <x:c r="B2525" s="18" t="n">
        <x:v>46294</x:v>
      </x:c>
      <x:c r="C2525" s="17" t="str">
        <x:v>W0176</x:v>
      </x:c>
      <x:c r="D2525" s="17" t="str">
        <x:v>C003</x:v>
      </x:c>
      <x:c r="E2525" s="17" t="str">
        <x:v>CopyStudio</x:v>
      </x:c>
      <x:c r="F2525" s="17" t="str">
        <x:v>Pro</x:v>
      </x:c>
      <x:c r="G2525" s="17" t="n">
        <x:v>27698</x:v>
      </x:c>
      <x:c r="H2525" s="17" t="n">
        <x:v>8486</x:v>
      </x:c>
      <x:c r="I2525" s="17" t="str">
        <x:v>Followup</x:v>
      </x:c>
      <x:c r="J2525" s="27" t="n">
        <x:f>INDEX('Model Pricing'!$B$7:$B$8,MATCH(F2525,'Model Pricing'!$A$7:$A$8,0))</x:f>
        <x:v>40</x:v>
      </x:c>
      <x:c r="K2525" s="27" t="n">
        <x:f>INDEX('Model Pricing'!$C$7:$C$8,MATCH(F2525,'Model Pricing'!$A$7:$A$8,0))</x:f>
        <x:v>100</x:v>
      </x:c>
      <x:c r="L2525" s="17" t="n">
        <x:f>G2525+H2525</x:f>
        <x:v>36184</x:v>
      </x:c>
      <x:c r="M2525" s="28" t="n">
        <x:f>G2525*J2525/1000000</x:f>
        <x:v>1.10792</x:v>
      </x:c>
      <x:c r="N2525" s="28" t="n">
        <x:f>H2525*K2525/1000000</x:f>
        <x:v>0.8486</x:v>
      </x:c>
      <x:c r="O2525" s="28" t="n">
        <x:f>SUM(M2525:N2525)</x:f>
        <x:v>1.95652</x:v>
      </x:c>
    </x:row>
    <x:row r="2526" ht="23" customHeight="1">
      <x:c r="A2526" s="17" t="str">
        <x:v>U02520</x:v>
      </x:c>
      <x:c r="B2526" s="18" t="n">
        <x:v>46294</x:v>
      </x:c>
      <x:c r="C2526" s="17" t="str">
        <x:v>W0176</x:v>
      </x:c>
      <x:c r="D2526" s="17" t="str">
        <x:v>C003</x:v>
      </x:c>
      <x:c r="E2526" s="17" t="str">
        <x:v>CopyStudio</x:v>
      </x:c>
      <x:c r="F2526" s="17" t="str">
        <x:v>Pro</x:v>
      </x:c>
      <x:c r="G2526" s="17" t="n">
        <x:v>20917</x:v>
      </x:c>
      <x:c r="H2526" s="17" t="n">
        <x:v>7103</x:v>
      </x:c>
      <x:c r="I2526" s="17" t="str">
        <x:v>Followup</x:v>
      </x:c>
      <x:c r="J2526" s="27" t="n">
        <x:f>INDEX('Model Pricing'!$B$7:$B$8,MATCH(F2526,'Model Pricing'!$A$7:$A$8,0))</x:f>
        <x:v>40</x:v>
      </x:c>
      <x:c r="K2526" s="27" t="n">
        <x:f>INDEX('Model Pricing'!$C$7:$C$8,MATCH(F2526,'Model Pricing'!$A$7:$A$8,0))</x:f>
        <x:v>100</x:v>
      </x:c>
      <x:c r="L2526" s="17" t="n">
        <x:f>G2526+H2526</x:f>
        <x:v>28020</x:v>
      </x:c>
      <x:c r="M2526" s="28" t="n">
        <x:f>G2526*J2526/1000000</x:f>
        <x:v>0.83668</x:v>
      </x:c>
      <x:c r="N2526" s="28" t="n">
        <x:f>H2526*K2526/1000000</x:f>
        <x:v>0.7103</x:v>
      </x:c>
      <x:c r="O2526" s="28" t="n">
        <x:f>SUM(M2526:N2526)</x:f>
        <x:v>1.54698</x:v>
      </x:c>
    </x:row>
    <x:row r="2527" ht="23" customHeight="1">
      <x:c r="A2527" s="17" t="str">
        <x:v>U02521</x:v>
      </x:c>
      <x:c r="B2527" s="18" t="n">
        <x:v>46267</x:v>
      </x:c>
      <x:c r="C2527" s="17" t="str">
        <x:v>W0182</x:v>
      </x:c>
      <x:c r="D2527" s="17" t="str">
        <x:v>C004</x:v>
      </x:c>
      <x:c r="E2527" s="17" t="str">
        <x:v>CampaignChat</x:v>
      </x:c>
      <x:c r="F2527" s="17" t="str">
        <x:v>Lite</x:v>
      </x:c>
      <x:c r="G2527" s="17" t="n">
        <x:v>17085</x:v>
      </x:c>
      <x:c r="H2527" s="17" t="n">
        <x:v>5274</x:v>
      </x:c>
      <x:c r="I2527" s="17" t="str">
        <x:v>First attempt</x:v>
      </x:c>
      <x:c r="J2527" s="27" t="n">
        <x:f>INDEX('Model Pricing'!$B$7:$B$8,MATCH(F2527,'Model Pricing'!$A$7:$A$8,0))</x:f>
        <x:v>10</x:v>
      </x:c>
      <x:c r="K2527" s="27" t="n">
        <x:f>INDEX('Model Pricing'!$C$7:$C$8,MATCH(F2527,'Model Pricing'!$A$7:$A$8,0))</x:f>
        <x:v>30</x:v>
      </x:c>
      <x:c r="L2527" s="17" t="n">
        <x:f>G2527+H2527</x:f>
        <x:v>22359</x:v>
      </x:c>
      <x:c r="M2527" s="28" t="n">
        <x:f>G2527*J2527/1000000</x:f>
        <x:v>0.17085</x:v>
      </x:c>
      <x:c r="N2527" s="28" t="n">
        <x:f>H2527*K2527/1000000</x:f>
        <x:v>0.15822</x:v>
      </x:c>
      <x:c r="O2527" s="28" t="n">
        <x:f>SUM(M2527:N2527)</x:f>
        <x:v>0.32907</x:v>
      </x:c>
    </x:row>
    <x:row r="2528" ht="23" customHeight="1">
      <x:c r="A2528" s="17" t="str">
        <x:v>U02522</x:v>
      </x:c>
      <x:c r="B2528" s="18" t="n">
        <x:v>46267</x:v>
      </x:c>
      <x:c r="C2528" s="17" t="str">
        <x:v>W0182</x:v>
      </x:c>
      <x:c r="D2528" s="17" t="str">
        <x:v>C004</x:v>
      </x:c>
      <x:c r="E2528" s="17" t="str">
        <x:v>CampaignChat</x:v>
      </x:c>
      <x:c r="F2528" s="17" t="str">
        <x:v>Lite</x:v>
      </x:c>
      <x:c r="G2528" s="17" t="n">
        <x:v>21678</x:v>
      </x:c>
      <x:c r="H2528" s="17" t="n">
        <x:v>7088</x:v>
      </x:c>
      <x:c r="I2528" s="17" t="str">
        <x:v>Followup</x:v>
      </x:c>
      <x:c r="J2528" s="27" t="n">
        <x:f>INDEX('Model Pricing'!$B$7:$B$8,MATCH(F2528,'Model Pricing'!$A$7:$A$8,0))</x:f>
        <x:v>10</x:v>
      </x:c>
      <x:c r="K2528" s="27" t="n">
        <x:f>INDEX('Model Pricing'!$C$7:$C$8,MATCH(F2528,'Model Pricing'!$A$7:$A$8,0))</x:f>
        <x:v>30</x:v>
      </x:c>
      <x:c r="L2528" s="17" t="n">
        <x:f>G2528+H2528</x:f>
        <x:v>28766</x:v>
      </x:c>
      <x:c r="M2528" s="28" t="n">
        <x:f>G2528*J2528/1000000</x:f>
        <x:v>0.21678</x:v>
      </x:c>
      <x:c r="N2528" s="28" t="n">
        <x:f>H2528*K2528/1000000</x:f>
        <x:v>0.21264</x:v>
      </x:c>
      <x:c r="O2528" s="28" t="n">
        <x:f>SUM(M2528:N2528)</x:f>
        <x:v>0.42942</x:v>
      </x:c>
    </x:row>
    <x:row r="2529" ht="23" customHeight="1">
      <x:c r="A2529" s="17" t="str">
        <x:v>U02523</x:v>
      </x:c>
      <x:c r="B2529" s="18" t="n">
        <x:v>46267</x:v>
      </x:c>
      <x:c r="C2529" s="17" t="str">
        <x:v>W0182</x:v>
      </x:c>
      <x:c r="D2529" s="17" t="str">
        <x:v>C004</x:v>
      </x:c>
      <x:c r="E2529" s="17" t="str">
        <x:v>CampaignChat</x:v>
      </x:c>
      <x:c r="F2529" s="17" t="str">
        <x:v>Lite</x:v>
      </x:c>
      <x:c r="G2529" s="17" t="n">
        <x:v>10462</x:v>
      </x:c>
      <x:c r="H2529" s="17" t="n">
        <x:v>4924</x:v>
      </x:c>
      <x:c r="I2529" s="17" t="str">
        <x:v>Correction</x:v>
      </x:c>
      <x:c r="J2529" s="27" t="n">
        <x:f>INDEX('Model Pricing'!$B$7:$B$8,MATCH(F2529,'Model Pricing'!$A$7:$A$8,0))</x:f>
        <x:v>10</x:v>
      </x:c>
      <x:c r="K2529" s="27" t="n">
        <x:f>INDEX('Model Pricing'!$C$7:$C$8,MATCH(F2529,'Model Pricing'!$A$7:$A$8,0))</x:f>
        <x:v>30</x:v>
      </x:c>
      <x:c r="L2529" s="17" t="n">
        <x:f>G2529+H2529</x:f>
        <x:v>15386</x:v>
      </x:c>
      <x:c r="M2529" s="28" t="n">
        <x:f>G2529*J2529/1000000</x:f>
        <x:v>0.10462</x:v>
      </x:c>
      <x:c r="N2529" s="28" t="n">
        <x:f>H2529*K2529/1000000</x:f>
        <x:v>0.14772</x:v>
      </x:c>
      <x:c r="O2529" s="28" t="n">
        <x:f>SUM(M2529:N2529)</x:f>
        <x:v>0.25234</x:v>
      </x:c>
    </x:row>
    <x:row r="2530" ht="23" customHeight="1">
      <x:c r="A2530" s="17" t="str">
        <x:v>U02524</x:v>
      </x:c>
      <x:c r="B2530" s="18" t="n">
        <x:v>46267</x:v>
      </x:c>
      <x:c r="C2530" s="17" t="str">
        <x:v>W0182</x:v>
      </x:c>
      <x:c r="D2530" s="17" t="str">
        <x:v>C004</x:v>
      </x:c>
      <x:c r="E2530" s="17" t="str">
        <x:v>CampaignChat</x:v>
      </x:c>
      <x:c r="F2530" s="17" t="str">
        <x:v>Lite</x:v>
      </x:c>
      <x:c r="G2530" s="17" t="n">
        <x:v>16029</x:v>
      </x:c>
      <x:c r="H2530" s="17" t="n">
        <x:v>2542</x:v>
      </x:c>
      <x:c r="I2530" s="17" t="str">
        <x:v>Followup</x:v>
      </x:c>
      <x:c r="J2530" s="27" t="n">
        <x:f>INDEX('Model Pricing'!$B$7:$B$8,MATCH(F2530,'Model Pricing'!$A$7:$A$8,0))</x:f>
        <x:v>10</x:v>
      </x:c>
      <x:c r="K2530" s="27" t="n">
        <x:f>INDEX('Model Pricing'!$C$7:$C$8,MATCH(F2530,'Model Pricing'!$A$7:$A$8,0))</x:f>
        <x:v>30</x:v>
      </x:c>
      <x:c r="L2530" s="17" t="n">
        <x:f>G2530+H2530</x:f>
        <x:v>18571</x:v>
      </x:c>
      <x:c r="M2530" s="28" t="n">
        <x:f>G2530*J2530/1000000</x:f>
        <x:v>0.16029</x:v>
      </x:c>
      <x:c r="N2530" s="28" t="n">
        <x:f>H2530*K2530/1000000</x:f>
        <x:v>0.07626</x:v>
      </x:c>
      <x:c r="O2530" s="28" t="n">
        <x:f>SUM(M2530:N2530)</x:f>
        <x:v>0.23654999999999998</x:v>
      </x:c>
    </x:row>
    <x:row r="2531" ht="23" customHeight="1">
      <x:c r="A2531" s="17" t="str">
        <x:v>U02525</x:v>
      </x:c>
      <x:c r="B2531" s="18" t="n">
        <x:v>46267</x:v>
      </x:c>
      <x:c r="C2531" s="17" t="str">
        <x:v>W0182</x:v>
      </x:c>
      <x:c r="D2531" s="17" t="str">
        <x:v>C004</x:v>
      </x:c>
      <x:c r="E2531" s="17" t="str">
        <x:v>CampaignChat</x:v>
      </x:c>
      <x:c r="F2531" s="17" t="str">
        <x:v>Lite</x:v>
      </x:c>
      <x:c r="G2531" s="17" t="n">
        <x:v>14664</x:v>
      </x:c>
      <x:c r="H2531" s="17" t="n">
        <x:v>8646</x:v>
      </x:c>
      <x:c r="I2531" s="17" t="str">
        <x:v>Followup</x:v>
      </x:c>
      <x:c r="J2531" s="27" t="n">
        <x:f>INDEX('Model Pricing'!$B$7:$B$8,MATCH(F2531,'Model Pricing'!$A$7:$A$8,0))</x:f>
        <x:v>10</x:v>
      </x:c>
      <x:c r="K2531" s="27" t="n">
        <x:f>INDEX('Model Pricing'!$C$7:$C$8,MATCH(F2531,'Model Pricing'!$A$7:$A$8,0))</x:f>
        <x:v>30</x:v>
      </x:c>
      <x:c r="L2531" s="17" t="n">
        <x:f>G2531+H2531</x:f>
        <x:v>23310</x:v>
      </x:c>
      <x:c r="M2531" s="28" t="n">
        <x:f>G2531*J2531/1000000</x:f>
        <x:v>0.14664</x:v>
      </x:c>
      <x:c r="N2531" s="28" t="n">
        <x:f>H2531*K2531/1000000</x:f>
        <x:v>0.25938</x:v>
      </x:c>
      <x:c r="O2531" s="28" t="n">
        <x:f>SUM(M2531:N2531)</x:f>
        <x:v>0.40602</x:v>
      </x:c>
    </x:row>
    <x:row r="2532" ht="23" customHeight="1">
      <x:c r="A2532" s="17" t="str">
        <x:v>U02526</x:v>
      </x:c>
      <x:c r="B2532" s="18" t="n">
        <x:v>46268</x:v>
      </x:c>
      <x:c r="C2532" s="17" t="str">
        <x:v>W0182</x:v>
      </x:c>
      <x:c r="D2532" s="17" t="str">
        <x:v>C004</x:v>
      </x:c>
      <x:c r="E2532" s="17" t="str">
        <x:v>CampaignChat</x:v>
      </x:c>
      <x:c r="F2532" s="17" t="str">
        <x:v>Lite</x:v>
      </x:c>
      <x:c r="G2532" s="17" t="n">
        <x:v>24176</x:v>
      </x:c>
      <x:c r="H2532" s="17" t="n">
        <x:v>4744</x:v>
      </x:c>
      <x:c r="I2532" s="17" t="str">
        <x:v>Followup</x:v>
      </x:c>
      <x:c r="J2532" s="27" t="n">
        <x:f>INDEX('Model Pricing'!$B$7:$B$8,MATCH(F2532,'Model Pricing'!$A$7:$A$8,0))</x:f>
        <x:v>10</x:v>
      </x:c>
      <x:c r="K2532" s="27" t="n">
        <x:f>INDEX('Model Pricing'!$C$7:$C$8,MATCH(F2532,'Model Pricing'!$A$7:$A$8,0))</x:f>
        <x:v>30</x:v>
      </x:c>
      <x:c r="L2532" s="17" t="n">
        <x:f>G2532+H2532</x:f>
        <x:v>28920</x:v>
      </x:c>
      <x:c r="M2532" s="28" t="n">
        <x:f>G2532*J2532/1000000</x:f>
        <x:v>0.24176</x:v>
      </x:c>
      <x:c r="N2532" s="28" t="n">
        <x:f>H2532*K2532/1000000</x:f>
        <x:v>0.14232</x:v>
      </x:c>
      <x:c r="O2532" s="28" t="n">
        <x:f>SUM(M2532:N2532)</x:f>
        <x:v>0.38408</x:v>
      </x:c>
    </x:row>
    <x:row r="2533" ht="23" customHeight="1">
      <x:c r="A2533" s="17" t="str">
        <x:v>U02527</x:v>
      </x:c>
      <x:c r="B2533" s="18" t="n">
        <x:v>46268</x:v>
      </x:c>
      <x:c r="C2533" s="17" t="str">
        <x:v>W0182</x:v>
      </x:c>
      <x:c r="D2533" s="17" t="str">
        <x:v>C004</x:v>
      </x:c>
      <x:c r="E2533" s="17" t="str">
        <x:v>CampaignChat</x:v>
      </x:c>
      <x:c r="F2533" s="17" t="str">
        <x:v>Lite</x:v>
      </x:c>
      <x:c r="G2533" s="17" t="n">
        <x:v>10586</x:v>
      </x:c>
      <x:c r="H2533" s="17" t="n">
        <x:v>7379</x:v>
      </x:c>
      <x:c r="I2533" s="17" t="str">
        <x:v>Followup</x:v>
      </x:c>
      <x:c r="J2533" s="27" t="n">
        <x:f>INDEX('Model Pricing'!$B$7:$B$8,MATCH(F2533,'Model Pricing'!$A$7:$A$8,0))</x:f>
        <x:v>10</x:v>
      </x:c>
      <x:c r="K2533" s="27" t="n">
        <x:f>INDEX('Model Pricing'!$C$7:$C$8,MATCH(F2533,'Model Pricing'!$A$7:$A$8,0))</x:f>
        <x:v>30</x:v>
      </x:c>
      <x:c r="L2533" s="17" t="n">
        <x:f>G2533+H2533</x:f>
        <x:v>17965</x:v>
      </x:c>
      <x:c r="M2533" s="28" t="n">
        <x:f>G2533*J2533/1000000</x:f>
        <x:v>0.10586</x:v>
      </x:c>
      <x:c r="N2533" s="28" t="n">
        <x:f>H2533*K2533/1000000</x:f>
        <x:v>0.22137</x:v>
      </x:c>
      <x:c r="O2533" s="28" t="n">
        <x:f>SUM(M2533:N2533)</x:f>
        <x:v>0.32723</x:v>
      </x:c>
    </x:row>
    <x:row r="2534" ht="23" customHeight="1">
      <x:c r="A2534" s="17" t="str">
        <x:v>U02528</x:v>
      </x:c>
      <x:c r="B2534" s="18" t="n">
        <x:v>46268</x:v>
      </x:c>
      <x:c r="C2534" s="17" t="str">
        <x:v>W0182</x:v>
      </x:c>
      <x:c r="D2534" s="17" t="str">
        <x:v>C004</x:v>
      </x:c>
      <x:c r="E2534" s="17" t="str">
        <x:v>CampaignChat</x:v>
      </x:c>
      <x:c r="F2534" s="17" t="str">
        <x:v>Lite</x:v>
      </x:c>
      <x:c r="G2534" s="17" t="n">
        <x:v>24540</x:v>
      </x:c>
      <x:c r="H2534" s="17" t="n">
        <x:v>4566</x:v>
      </x:c>
      <x:c r="I2534" s="17" t="str">
        <x:v>Followup</x:v>
      </x:c>
      <x:c r="J2534" s="27" t="n">
        <x:f>INDEX('Model Pricing'!$B$7:$B$8,MATCH(F2534,'Model Pricing'!$A$7:$A$8,0))</x:f>
        <x:v>10</x:v>
      </x:c>
      <x:c r="K2534" s="27" t="n">
        <x:f>INDEX('Model Pricing'!$C$7:$C$8,MATCH(F2534,'Model Pricing'!$A$7:$A$8,0))</x:f>
        <x:v>30</x:v>
      </x:c>
      <x:c r="L2534" s="17" t="n">
        <x:f>G2534+H2534</x:f>
        <x:v>29106</x:v>
      </x:c>
      <x:c r="M2534" s="28" t="n">
        <x:f>G2534*J2534/1000000</x:f>
        <x:v>0.2454</x:v>
      </x:c>
      <x:c r="N2534" s="28" t="n">
        <x:f>H2534*K2534/1000000</x:f>
        <x:v>0.13698</x:v>
      </x:c>
      <x:c r="O2534" s="28" t="n">
        <x:f>SUM(M2534:N2534)</x:f>
        <x:v>0.38238</x:v>
      </x:c>
    </x:row>
    <x:row r="2535" ht="23" customHeight="1">
      <x:c r="A2535" s="17" t="str">
        <x:v>U02529</x:v>
      </x:c>
      <x:c r="B2535" s="18" t="n">
        <x:v>46268</x:v>
      </x:c>
      <x:c r="C2535" s="17" t="str">
        <x:v>W0182</x:v>
      </x:c>
      <x:c r="D2535" s="17" t="str">
        <x:v>C004</x:v>
      </x:c>
      <x:c r="E2535" s="17" t="str">
        <x:v>CampaignChat</x:v>
      </x:c>
      <x:c r="F2535" s="17" t="str">
        <x:v>Lite</x:v>
      </x:c>
      <x:c r="G2535" s="17" t="n">
        <x:v>15534</x:v>
      </x:c>
      <x:c r="H2535" s="17" t="n">
        <x:v>4684</x:v>
      </x:c>
      <x:c r="I2535" s="17" t="str">
        <x:v>Correction</x:v>
      </x:c>
      <x:c r="J2535" s="27" t="n">
        <x:f>INDEX('Model Pricing'!$B$7:$B$8,MATCH(F2535,'Model Pricing'!$A$7:$A$8,0))</x:f>
        <x:v>10</x:v>
      </x:c>
      <x:c r="K2535" s="27" t="n">
        <x:f>INDEX('Model Pricing'!$C$7:$C$8,MATCH(F2535,'Model Pricing'!$A$7:$A$8,0))</x:f>
        <x:v>30</x:v>
      </x:c>
      <x:c r="L2535" s="17" t="n">
        <x:f>G2535+H2535</x:f>
        <x:v>20218</x:v>
      </x:c>
      <x:c r="M2535" s="28" t="n">
        <x:f>G2535*J2535/1000000</x:f>
        <x:v>0.15534</x:v>
      </x:c>
      <x:c r="N2535" s="28" t="n">
        <x:f>H2535*K2535/1000000</x:f>
        <x:v>0.14052</x:v>
      </x:c>
      <x:c r="O2535" s="28" t="n">
        <x:f>SUM(M2535:N2535)</x:f>
        <x:v>0.29586</x:v>
      </x:c>
    </x:row>
    <x:row r="2536" ht="23" customHeight="1">
      <x:c r="A2536" s="17" t="str">
        <x:v>U02530</x:v>
      </x:c>
      <x:c r="B2536" s="18" t="n">
        <x:v>46269</x:v>
      </x:c>
      <x:c r="C2536" s="17" t="str">
        <x:v>W0182</x:v>
      </x:c>
      <x:c r="D2536" s="17" t="str">
        <x:v>C004</x:v>
      </x:c>
      <x:c r="E2536" s="17" t="str">
        <x:v>CampaignChat</x:v>
      </x:c>
      <x:c r="F2536" s="17" t="str">
        <x:v>Lite</x:v>
      </x:c>
      <x:c r="G2536" s="17" t="n">
        <x:v>14262</x:v>
      </x:c>
      <x:c r="H2536" s="17" t="n">
        <x:v>8148</x:v>
      </x:c>
      <x:c r="I2536" s="17" t="str">
        <x:v>Followup</x:v>
      </x:c>
      <x:c r="J2536" s="27" t="n">
        <x:f>INDEX('Model Pricing'!$B$7:$B$8,MATCH(F2536,'Model Pricing'!$A$7:$A$8,0))</x:f>
        <x:v>10</x:v>
      </x:c>
      <x:c r="K2536" s="27" t="n">
        <x:f>INDEX('Model Pricing'!$C$7:$C$8,MATCH(F2536,'Model Pricing'!$A$7:$A$8,0))</x:f>
        <x:v>30</x:v>
      </x:c>
      <x:c r="L2536" s="17" t="n">
        <x:f>G2536+H2536</x:f>
        <x:v>22410</x:v>
      </x:c>
      <x:c r="M2536" s="28" t="n">
        <x:f>G2536*J2536/1000000</x:f>
        <x:v>0.14262</x:v>
      </x:c>
      <x:c r="N2536" s="28" t="n">
        <x:f>H2536*K2536/1000000</x:f>
        <x:v>0.24444</x:v>
      </x:c>
      <x:c r="O2536" s="28" t="n">
        <x:f>SUM(M2536:N2536)</x:f>
        <x:v>0.38705999999999996</x:v>
      </x:c>
    </x:row>
    <x:row r="2537" ht="23" customHeight="1">
      <x:c r="A2537" s="17" t="str">
        <x:v>U02531</x:v>
      </x:c>
      <x:c r="B2537" s="18" t="n">
        <x:v>46269</x:v>
      </x:c>
      <x:c r="C2537" s="17" t="str">
        <x:v>W0182</x:v>
      </x:c>
      <x:c r="D2537" s="17" t="str">
        <x:v>C004</x:v>
      </x:c>
      <x:c r="E2537" s="17" t="str">
        <x:v>CampaignChat</x:v>
      </x:c>
      <x:c r="F2537" s="17" t="str">
        <x:v>Lite</x:v>
      </x:c>
      <x:c r="G2537" s="17" t="n">
        <x:v>18879</x:v>
      </x:c>
      <x:c r="H2537" s="17" t="n">
        <x:v>8385</x:v>
      </x:c>
      <x:c r="I2537" s="17" t="str">
        <x:v>Correction</x:v>
      </x:c>
      <x:c r="J2537" s="27" t="n">
        <x:f>INDEX('Model Pricing'!$B$7:$B$8,MATCH(F2537,'Model Pricing'!$A$7:$A$8,0))</x:f>
        <x:v>10</x:v>
      </x:c>
      <x:c r="K2537" s="27" t="n">
        <x:f>INDEX('Model Pricing'!$C$7:$C$8,MATCH(F2537,'Model Pricing'!$A$7:$A$8,0))</x:f>
        <x:v>30</x:v>
      </x:c>
      <x:c r="L2537" s="17" t="n">
        <x:f>G2537+H2537</x:f>
        <x:v>27264</x:v>
      </x:c>
      <x:c r="M2537" s="28" t="n">
        <x:f>G2537*J2537/1000000</x:f>
        <x:v>0.18879</x:v>
      </x:c>
      <x:c r="N2537" s="28" t="n">
        <x:f>H2537*K2537/1000000</x:f>
        <x:v>0.25155</x:v>
      </x:c>
      <x:c r="O2537" s="28" t="n">
        <x:f>SUM(M2537:N2537)</x:f>
        <x:v>0.44034</x:v>
      </x:c>
    </x:row>
    <x:row r="2538" ht="23" customHeight="1">
      <x:c r="A2538" s="17" t="str">
        <x:v>U02532</x:v>
      </x:c>
      <x:c r="B2538" s="18" t="n">
        <x:v>46269</x:v>
      </x:c>
      <x:c r="C2538" s="17" t="str">
        <x:v>W0182</x:v>
      </x:c>
      <x:c r="D2538" s="17" t="str">
        <x:v>C004</x:v>
      </x:c>
      <x:c r="E2538" s="17" t="str">
        <x:v>CampaignChat</x:v>
      </x:c>
      <x:c r="F2538" s="17" t="str">
        <x:v>Lite</x:v>
      </x:c>
      <x:c r="G2538" s="17" t="n">
        <x:v>9750</x:v>
      </x:c>
      <x:c r="H2538" s="17" t="n">
        <x:v>5116</x:v>
      </x:c>
      <x:c r="I2538" s="17" t="str">
        <x:v>Followup</x:v>
      </x:c>
      <x:c r="J2538" s="27" t="n">
        <x:f>INDEX('Model Pricing'!$B$7:$B$8,MATCH(F2538,'Model Pricing'!$A$7:$A$8,0))</x:f>
        <x:v>10</x:v>
      </x:c>
      <x:c r="K2538" s="27" t="n">
        <x:f>INDEX('Model Pricing'!$C$7:$C$8,MATCH(F2538,'Model Pricing'!$A$7:$A$8,0))</x:f>
        <x:v>30</x:v>
      </x:c>
      <x:c r="L2538" s="17" t="n">
        <x:f>G2538+H2538</x:f>
        <x:v>14866</x:v>
      </x:c>
      <x:c r="M2538" s="28" t="n">
        <x:f>G2538*J2538/1000000</x:f>
        <x:v>0.0975</x:v>
      </x:c>
      <x:c r="N2538" s="28" t="n">
        <x:f>H2538*K2538/1000000</x:f>
        <x:v>0.15348</x:v>
      </x:c>
      <x:c r="O2538" s="28" t="n">
        <x:f>SUM(M2538:N2538)</x:f>
        <x:v>0.25098</x:v>
      </x:c>
    </x:row>
    <x:row r="2539" ht="23" customHeight="1">
      <x:c r="A2539" s="17" t="str">
        <x:v>U02533</x:v>
      </x:c>
      <x:c r="B2539" s="18" t="n">
        <x:v>46269</x:v>
      </x:c>
      <x:c r="C2539" s="17" t="str">
        <x:v>W0182</x:v>
      </x:c>
      <x:c r="D2539" s="17" t="str">
        <x:v>C004</x:v>
      </x:c>
      <x:c r="E2539" s="17" t="str">
        <x:v>CampaignChat</x:v>
      </x:c>
      <x:c r="F2539" s="17" t="str">
        <x:v>Lite</x:v>
      </x:c>
      <x:c r="G2539" s="17" t="n">
        <x:v>9179</x:v>
      </x:c>
      <x:c r="H2539" s="17" t="n">
        <x:v>4902</x:v>
      </x:c>
      <x:c r="I2539" s="17" t="str">
        <x:v>Followup</x:v>
      </x:c>
      <x:c r="J2539" s="27" t="n">
        <x:f>INDEX('Model Pricing'!$B$7:$B$8,MATCH(F2539,'Model Pricing'!$A$7:$A$8,0))</x:f>
        <x:v>10</x:v>
      </x:c>
      <x:c r="K2539" s="27" t="n">
        <x:f>INDEX('Model Pricing'!$C$7:$C$8,MATCH(F2539,'Model Pricing'!$A$7:$A$8,0))</x:f>
        <x:v>30</x:v>
      </x:c>
      <x:c r="L2539" s="17" t="n">
        <x:f>G2539+H2539</x:f>
        <x:v>14081</x:v>
      </x:c>
      <x:c r="M2539" s="28" t="n">
        <x:f>G2539*J2539/1000000</x:f>
        <x:v>0.09179</x:v>
      </x:c>
      <x:c r="N2539" s="28" t="n">
        <x:f>H2539*K2539/1000000</x:f>
        <x:v>0.14706</x:v>
      </x:c>
      <x:c r="O2539" s="28" t="n">
        <x:f>SUM(M2539:N2539)</x:f>
        <x:v>0.23885</x:v>
      </x:c>
    </x:row>
    <x:row r="2540" ht="23" customHeight="1">
      <x:c r="A2540" s="17" t="str">
        <x:v>U02534</x:v>
      </x:c>
      <x:c r="B2540" s="18" t="n">
        <x:v>46273</x:v>
      </x:c>
      <x:c r="C2540" s="17" t="str">
        <x:v>W0182</x:v>
      </x:c>
      <x:c r="D2540" s="17" t="str">
        <x:v>C004</x:v>
      </x:c>
      <x:c r="E2540" s="17" t="str">
        <x:v>CampaignChat</x:v>
      </x:c>
      <x:c r="F2540" s="17" t="str">
        <x:v>Lite</x:v>
      </x:c>
      <x:c r="G2540" s="17" t="n">
        <x:v>20322</x:v>
      </x:c>
      <x:c r="H2540" s="17" t="n">
        <x:v>4627</x:v>
      </x:c>
      <x:c r="I2540" s="17" t="str">
        <x:v>Correction</x:v>
      </x:c>
      <x:c r="J2540" s="27" t="n">
        <x:f>INDEX('Model Pricing'!$B$7:$B$8,MATCH(F2540,'Model Pricing'!$A$7:$A$8,0))</x:f>
        <x:v>10</x:v>
      </x:c>
      <x:c r="K2540" s="27" t="n">
        <x:f>INDEX('Model Pricing'!$C$7:$C$8,MATCH(F2540,'Model Pricing'!$A$7:$A$8,0))</x:f>
        <x:v>30</x:v>
      </x:c>
      <x:c r="L2540" s="17" t="n">
        <x:f>G2540+H2540</x:f>
        <x:v>24949</x:v>
      </x:c>
      <x:c r="M2540" s="28" t="n">
        <x:f>G2540*J2540/1000000</x:f>
        <x:v>0.20322</x:v>
      </x:c>
      <x:c r="N2540" s="28" t="n">
        <x:f>H2540*K2540/1000000</x:f>
        <x:v>0.13881</x:v>
      </x:c>
      <x:c r="O2540" s="28" t="n">
        <x:f>SUM(M2540:N2540)</x:f>
        <x:v>0.34203</x:v>
      </x:c>
    </x:row>
    <x:row r="2541" ht="23" customHeight="1">
      <x:c r="A2541" s="17" t="str">
        <x:v>U02535</x:v>
      </x:c>
      <x:c r="B2541" s="18" t="n">
        <x:v>46273</x:v>
      </x:c>
      <x:c r="C2541" s="17" t="str">
        <x:v>W0182</x:v>
      </x:c>
      <x:c r="D2541" s="17" t="str">
        <x:v>C004</x:v>
      </x:c>
      <x:c r="E2541" s="17" t="str">
        <x:v>CampaignChat</x:v>
      </x:c>
      <x:c r="F2541" s="17" t="str">
        <x:v>Lite</x:v>
      </x:c>
      <x:c r="G2541" s="17" t="n">
        <x:v>11094</x:v>
      </x:c>
      <x:c r="H2541" s="17" t="n">
        <x:v>6621</x:v>
      </x:c>
      <x:c r="I2541" s="17" t="str">
        <x:v>Followup</x:v>
      </x:c>
      <x:c r="J2541" s="27" t="n">
        <x:f>INDEX('Model Pricing'!$B$7:$B$8,MATCH(F2541,'Model Pricing'!$A$7:$A$8,0))</x:f>
        <x:v>10</x:v>
      </x:c>
      <x:c r="K2541" s="27" t="n">
        <x:f>INDEX('Model Pricing'!$C$7:$C$8,MATCH(F2541,'Model Pricing'!$A$7:$A$8,0))</x:f>
        <x:v>30</x:v>
      </x:c>
      <x:c r="L2541" s="17" t="n">
        <x:f>G2541+H2541</x:f>
        <x:v>17715</x:v>
      </x:c>
      <x:c r="M2541" s="28" t="n">
        <x:f>G2541*J2541/1000000</x:f>
        <x:v>0.11094</x:v>
      </x:c>
      <x:c r="N2541" s="28" t="n">
        <x:f>H2541*K2541/1000000</x:f>
        <x:v>0.19863</x:v>
      </x:c>
      <x:c r="O2541" s="28" t="n">
        <x:f>SUM(M2541:N2541)</x:f>
        <x:v>0.30957</x:v>
      </x:c>
    </x:row>
    <x:row r="2542" ht="23" customHeight="1">
      <x:c r="A2542" s="17" t="str">
        <x:v>U02536</x:v>
      </x:c>
      <x:c r="B2542" s="18" t="n">
        <x:v>46273</x:v>
      </x:c>
      <x:c r="C2542" s="17" t="str">
        <x:v>W0182</x:v>
      </x:c>
      <x:c r="D2542" s="17" t="str">
        <x:v>C004</x:v>
      </x:c>
      <x:c r="E2542" s="17" t="str">
        <x:v>CampaignChat</x:v>
      </x:c>
      <x:c r="F2542" s="17" t="str">
        <x:v>Lite</x:v>
      </x:c>
      <x:c r="G2542" s="17" t="n">
        <x:v>10469</x:v>
      </x:c>
      <x:c r="H2542" s="17" t="n">
        <x:v>6736</x:v>
      </x:c>
      <x:c r="I2542" s="17" t="str">
        <x:v>Followup</x:v>
      </x:c>
      <x:c r="J2542" s="27" t="n">
        <x:f>INDEX('Model Pricing'!$B$7:$B$8,MATCH(F2542,'Model Pricing'!$A$7:$A$8,0))</x:f>
        <x:v>10</x:v>
      </x:c>
      <x:c r="K2542" s="27" t="n">
        <x:f>INDEX('Model Pricing'!$C$7:$C$8,MATCH(F2542,'Model Pricing'!$A$7:$A$8,0))</x:f>
        <x:v>30</x:v>
      </x:c>
      <x:c r="L2542" s="17" t="n">
        <x:f>G2542+H2542</x:f>
        <x:v>17205</x:v>
      </x:c>
      <x:c r="M2542" s="28" t="n">
        <x:f>G2542*J2542/1000000</x:f>
        <x:v>0.10469</x:v>
      </x:c>
      <x:c r="N2542" s="28" t="n">
        <x:f>H2542*K2542/1000000</x:f>
        <x:v>0.20208</x:v>
      </x:c>
      <x:c r="O2542" s="28" t="n">
        <x:f>SUM(M2542:N2542)</x:f>
        <x:v>0.30677</x:v>
      </x:c>
    </x:row>
    <x:row r="2543" ht="23" customHeight="1">
      <x:c r="A2543" s="17" t="str">
        <x:v>U02537</x:v>
      </x:c>
      <x:c r="B2543" s="18" t="n">
        <x:v>46273</x:v>
      </x:c>
      <x:c r="C2543" s="17" t="str">
        <x:v>W0182</x:v>
      </x:c>
      <x:c r="D2543" s="17" t="str">
        <x:v>C004</x:v>
      </x:c>
      <x:c r="E2543" s="17" t="str">
        <x:v>CampaignChat</x:v>
      </x:c>
      <x:c r="F2543" s="17" t="str">
        <x:v>Lite</x:v>
      </x:c>
      <x:c r="G2543" s="17" t="n">
        <x:v>24208</x:v>
      </x:c>
      <x:c r="H2543" s="17" t="n">
        <x:v>4734</x:v>
      </x:c>
      <x:c r="I2543" s="17" t="str">
        <x:v>Followup</x:v>
      </x:c>
      <x:c r="J2543" s="27" t="n">
        <x:f>INDEX('Model Pricing'!$B$7:$B$8,MATCH(F2543,'Model Pricing'!$A$7:$A$8,0))</x:f>
        <x:v>10</x:v>
      </x:c>
      <x:c r="K2543" s="27" t="n">
        <x:f>INDEX('Model Pricing'!$C$7:$C$8,MATCH(F2543,'Model Pricing'!$A$7:$A$8,0))</x:f>
        <x:v>30</x:v>
      </x:c>
      <x:c r="L2543" s="17" t="n">
        <x:f>G2543+H2543</x:f>
        <x:v>28942</x:v>
      </x:c>
      <x:c r="M2543" s="28" t="n">
        <x:f>G2543*J2543/1000000</x:f>
        <x:v>0.24208</x:v>
      </x:c>
      <x:c r="N2543" s="28" t="n">
        <x:f>H2543*K2543/1000000</x:f>
        <x:v>0.14202</x:v>
      </x:c>
      <x:c r="O2543" s="28" t="n">
        <x:f>SUM(M2543:N2543)</x:f>
        <x:v>0.3841</x:v>
      </x:c>
    </x:row>
    <x:row r="2544" ht="23" customHeight="1">
      <x:c r="A2544" s="17" t="str">
        <x:v>U02538</x:v>
      </x:c>
      <x:c r="B2544" s="18" t="n">
        <x:v>46279</x:v>
      </x:c>
      <x:c r="C2544" s="17" t="str">
        <x:v>W0183</x:v>
      </x:c>
      <x:c r="D2544" s="17" t="str">
        <x:v>C004</x:v>
      </x:c>
      <x:c r="E2544" s="17" t="str">
        <x:v>CopyStudio</x:v>
      </x:c>
      <x:c r="F2544" s="17" t="str">
        <x:v>Lite</x:v>
      </x:c>
      <x:c r="G2544" s="17" t="n">
        <x:v>31087</x:v>
      </x:c>
      <x:c r="H2544" s="17" t="n">
        <x:v>4207</x:v>
      </x:c>
      <x:c r="I2544" s="17" t="str">
        <x:v>First attempt</x:v>
      </x:c>
      <x:c r="J2544" s="27" t="n">
        <x:f>INDEX('Model Pricing'!$B$7:$B$8,MATCH(F2544,'Model Pricing'!$A$7:$A$8,0))</x:f>
        <x:v>10</x:v>
      </x:c>
      <x:c r="K2544" s="27" t="n">
        <x:f>INDEX('Model Pricing'!$C$7:$C$8,MATCH(F2544,'Model Pricing'!$A$7:$A$8,0))</x:f>
        <x:v>30</x:v>
      </x:c>
      <x:c r="L2544" s="17" t="n">
        <x:f>G2544+H2544</x:f>
        <x:v>35294</x:v>
      </x:c>
      <x:c r="M2544" s="28" t="n">
        <x:f>G2544*J2544/1000000</x:f>
        <x:v>0.31087</x:v>
      </x:c>
      <x:c r="N2544" s="28" t="n">
        <x:f>H2544*K2544/1000000</x:f>
        <x:v>0.12621</x:v>
      </x:c>
      <x:c r="O2544" s="28" t="n">
        <x:f>SUM(M2544:N2544)</x:f>
        <x:v>0.43707999999999997</x:v>
      </x:c>
    </x:row>
    <x:row r="2545" ht="23" customHeight="1">
      <x:c r="A2545" s="17" t="str">
        <x:v>U02539</x:v>
      </x:c>
      <x:c r="B2545" s="18" t="n">
        <x:v>46279</x:v>
      </x:c>
      <x:c r="C2545" s="17" t="str">
        <x:v>W0183</x:v>
      </x:c>
      <x:c r="D2545" s="17" t="str">
        <x:v>C004</x:v>
      </x:c>
      <x:c r="E2545" s="17" t="str">
        <x:v>CopyStudio</x:v>
      </x:c>
      <x:c r="F2545" s="17" t="str">
        <x:v>Lite</x:v>
      </x:c>
      <x:c r="G2545" s="17" t="n">
        <x:v>30757</x:v>
      </x:c>
      <x:c r="H2545" s="17" t="n">
        <x:v>5265</x:v>
      </x:c>
      <x:c r="I2545" s="17" t="str">
        <x:v>Correction</x:v>
      </x:c>
      <x:c r="J2545" s="27" t="n">
        <x:f>INDEX('Model Pricing'!$B$7:$B$8,MATCH(F2545,'Model Pricing'!$A$7:$A$8,0))</x:f>
        <x:v>10</x:v>
      </x:c>
      <x:c r="K2545" s="27" t="n">
        <x:f>INDEX('Model Pricing'!$C$7:$C$8,MATCH(F2545,'Model Pricing'!$A$7:$A$8,0))</x:f>
        <x:v>30</x:v>
      </x:c>
      <x:c r="L2545" s="17" t="n">
        <x:f>G2545+H2545</x:f>
        <x:v>36022</x:v>
      </x:c>
      <x:c r="M2545" s="28" t="n">
        <x:f>G2545*J2545/1000000</x:f>
        <x:v>0.30757</x:v>
      </x:c>
      <x:c r="N2545" s="28" t="n">
        <x:f>H2545*K2545/1000000</x:f>
        <x:v>0.15795</x:v>
      </x:c>
      <x:c r="O2545" s="28" t="n">
        <x:f>SUM(M2545:N2545)</x:f>
        <x:v>0.46552000000000004</x:v>
      </x:c>
    </x:row>
    <x:row r="2546" ht="23" customHeight="1">
      <x:c r="A2546" s="17" t="str">
        <x:v>U02540</x:v>
      </x:c>
      <x:c r="B2546" s="18" t="n">
        <x:v>46279</x:v>
      </x:c>
      <x:c r="C2546" s="17" t="str">
        <x:v>W0183</x:v>
      </x:c>
      <x:c r="D2546" s="17" t="str">
        <x:v>C004</x:v>
      </x:c>
      <x:c r="E2546" s="17" t="str">
        <x:v>CopyStudio</x:v>
      </x:c>
      <x:c r="F2546" s="17" t="str">
        <x:v>Lite</x:v>
      </x:c>
      <x:c r="G2546" s="17" t="n">
        <x:v>29721</x:v>
      </x:c>
      <x:c r="H2546" s="17" t="n">
        <x:v>4128</x:v>
      </x:c>
      <x:c r="I2546" s="17" t="str">
        <x:v>Followup</x:v>
      </x:c>
      <x:c r="J2546" s="27" t="n">
        <x:f>INDEX('Model Pricing'!$B$7:$B$8,MATCH(F2546,'Model Pricing'!$A$7:$A$8,0))</x:f>
        <x:v>10</x:v>
      </x:c>
      <x:c r="K2546" s="27" t="n">
        <x:f>INDEX('Model Pricing'!$C$7:$C$8,MATCH(F2546,'Model Pricing'!$A$7:$A$8,0))</x:f>
        <x:v>30</x:v>
      </x:c>
      <x:c r="L2546" s="17" t="n">
        <x:f>G2546+H2546</x:f>
        <x:v>33849</x:v>
      </x:c>
      <x:c r="M2546" s="28" t="n">
        <x:f>G2546*J2546/1000000</x:f>
        <x:v>0.29721</x:v>
      </x:c>
      <x:c r="N2546" s="28" t="n">
        <x:f>H2546*K2546/1000000</x:f>
        <x:v>0.12384</x:v>
      </x:c>
      <x:c r="O2546" s="28" t="n">
        <x:f>SUM(M2546:N2546)</x:f>
        <x:v>0.42105</x:v>
      </x:c>
    </x:row>
    <x:row r="2547" ht="23" customHeight="1">
      <x:c r="A2547" s="17" t="str">
        <x:v>U02541</x:v>
      </x:c>
      <x:c r="B2547" s="18" t="n">
        <x:v>46280</x:v>
      </x:c>
      <x:c r="C2547" s="17" t="str">
        <x:v>W0183</x:v>
      </x:c>
      <x:c r="D2547" s="17" t="str">
        <x:v>C004</x:v>
      </x:c>
      <x:c r="E2547" s="17" t="str">
        <x:v>CopyStudio</x:v>
      </x:c>
      <x:c r="F2547" s="17" t="str">
        <x:v>Lite</x:v>
      </x:c>
      <x:c r="G2547" s="17" t="n">
        <x:v>24592</x:v>
      </x:c>
      <x:c r="H2547" s="17" t="n">
        <x:v>3626</x:v>
      </x:c>
      <x:c r="I2547" s="17" t="str">
        <x:v>Followup</x:v>
      </x:c>
      <x:c r="J2547" s="27" t="n">
        <x:f>INDEX('Model Pricing'!$B$7:$B$8,MATCH(F2547,'Model Pricing'!$A$7:$A$8,0))</x:f>
        <x:v>10</x:v>
      </x:c>
      <x:c r="K2547" s="27" t="n">
        <x:f>INDEX('Model Pricing'!$C$7:$C$8,MATCH(F2547,'Model Pricing'!$A$7:$A$8,0))</x:f>
        <x:v>30</x:v>
      </x:c>
      <x:c r="L2547" s="17" t="n">
        <x:f>G2547+H2547</x:f>
        <x:v>28218</x:v>
      </x:c>
      <x:c r="M2547" s="28" t="n">
        <x:f>G2547*J2547/1000000</x:f>
        <x:v>0.24592</x:v>
      </x:c>
      <x:c r="N2547" s="28" t="n">
        <x:f>H2547*K2547/1000000</x:f>
        <x:v>0.10878</x:v>
      </x:c>
      <x:c r="O2547" s="28" t="n">
        <x:f>SUM(M2547:N2547)</x:f>
        <x:v>0.3547</x:v>
      </x:c>
    </x:row>
    <x:row r="2548" ht="23" customHeight="1">
      <x:c r="A2548" s="17" t="str">
        <x:v>U02542</x:v>
      </x:c>
      <x:c r="B2548" s="18" t="n">
        <x:v>46280</x:v>
      </x:c>
      <x:c r="C2548" s="17" t="str">
        <x:v>W0183</x:v>
      </x:c>
      <x:c r="D2548" s="17" t="str">
        <x:v>C004</x:v>
      </x:c>
      <x:c r="E2548" s="17" t="str">
        <x:v>CopyStudio</x:v>
      </x:c>
      <x:c r="F2548" s="17" t="str">
        <x:v>Lite</x:v>
      </x:c>
      <x:c r="G2548" s="17" t="n">
        <x:v>24762</x:v>
      </x:c>
      <x:c r="H2548" s="17" t="n">
        <x:v>4669</x:v>
      </x:c>
      <x:c r="I2548" s="17" t="str">
        <x:v>Followup</x:v>
      </x:c>
      <x:c r="J2548" s="27" t="n">
        <x:f>INDEX('Model Pricing'!$B$7:$B$8,MATCH(F2548,'Model Pricing'!$A$7:$A$8,0))</x:f>
        <x:v>10</x:v>
      </x:c>
      <x:c r="K2548" s="27" t="n">
        <x:f>INDEX('Model Pricing'!$C$7:$C$8,MATCH(F2548,'Model Pricing'!$A$7:$A$8,0))</x:f>
        <x:v>30</x:v>
      </x:c>
      <x:c r="L2548" s="17" t="n">
        <x:f>G2548+H2548</x:f>
        <x:v>29431</x:v>
      </x:c>
      <x:c r="M2548" s="28" t="n">
        <x:f>G2548*J2548/1000000</x:f>
        <x:v>0.24762</x:v>
      </x:c>
      <x:c r="N2548" s="28" t="n">
        <x:f>H2548*K2548/1000000</x:f>
        <x:v>0.14007</x:v>
      </x:c>
      <x:c r="O2548" s="28" t="n">
        <x:f>SUM(M2548:N2548)</x:f>
        <x:v>0.38769</x:v>
      </x:c>
    </x:row>
    <x:row r="2549" ht="23" customHeight="1">
      <x:c r="A2549" s="17" t="str">
        <x:v>U02543</x:v>
      </x:c>
      <x:c r="B2549" s="18" t="n">
        <x:v>46280</x:v>
      </x:c>
      <x:c r="C2549" s="17" t="str">
        <x:v>W0183</x:v>
      </x:c>
      <x:c r="D2549" s="17" t="str">
        <x:v>C004</x:v>
      </x:c>
      <x:c r="E2549" s="17" t="str">
        <x:v>CopyStudio</x:v>
      </x:c>
      <x:c r="F2549" s="17" t="str">
        <x:v>Lite</x:v>
      </x:c>
      <x:c r="G2549" s="17" t="n">
        <x:v>32120</x:v>
      </x:c>
      <x:c r="H2549" s="17" t="n">
        <x:v>4726</x:v>
      </x:c>
      <x:c r="I2549" s="17" t="str">
        <x:v>Followup</x:v>
      </x:c>
      <x:c r="J2549" s="27" t="n">
        <x:f>INDEX('Model Pricing'!$B$7:$B$8,MATCH(F2549,'Model Pricing'!$A$7:$A$8,0))</x:f>
        <x:v>10</x:v>
      </x:c>
      <x:c r="K2549" s="27" t="n">
        <x:f>INDEX('Model Pricing'!$C$7:$C$8,MATCH(F2549,'Model Pricing'!$A$7:$A$8,0))</x:f>
        <x:v>30</x:v>
      </x:c>
      <x:c r="L2549" s="17" t="n">
        <x:f>G2549+H2549</x:f>
        <x:v>36846</x:v>
      </x:c>
      <x:c r="M2549" s="28" t="n">
        <x:f>G2549*J2549/1000000</x:f>
        <x:v>0.3212</x:v>
      </x:c>
      <x:c r="N2549" s="28" t="n">
        <x:f>H2549*K2549/1000000</x:f>
        <x:v>0.14178</x:v>
      </x:c>
      <x:c r="O2549" s="28" t="n">
        <x:f>SUM(M2549:N2549)</x:f>
        <x:v>0.46297999999999995</x:v>
      </x:c>
    </x:row>
    <x:row r="2550" ht="23" customHeight="1">
      <x:c r="A2550" s="17" t="str">
        <x:v>U02544</x:v>
      </x:c>
      <x:c r="B2550" s="18" t="n">
        <x:v>46281</x:v>
      </x:c>
      <x:c r="C2550" s="17" t="str">
        <x:v>W0183</x:v>
      </x:c>
      <x:c r="D2550" s="17" t="str">
        <x:v>C004</x:v>
      </x:c>
      <x:c r="E2550" s="17" t="str">
        <x:v>CopyStudio</x:v>
      </x:c>
      <x:c r="F2550" s="17" t="str">
        <x:v>Lite</x:v>
      </x:c>
      <x:c r="G2550" s="17" t="n">
        <x:v>24648</x:v>
      </x:c>
      <x:c r="H2550" s="17" t="n">
        <x:v>5620</x:v>
      </x:c>
      <x:c r="I2550" s="17" t="str">
        <x:v>Correction</x:v>
      </x:c>
      <x:c r="J2550" s="27" t="n">
        <x:f>INDEX('Model Pricing'!$B$7:$B$8,MATCH(F2550,'Model Pricing'!$A$7:$A$8,0))</x:f>
        <x:v>10</x:v>
      </x:c>
      <x:c r="K2550" s="27" t="n">
        <x:f>INDEX('Model Pricing'!$C$7:$C$8,MATCH(F2550,'Model Pricing'!$A$7:$A$8,0))</x:f>
        <x:v>30</x:v>
      </x:c>
      <x:c r="L2550" s="17" t="n">
        <x:f>G2550+H2550</x:f>
        <x:v>30268</x:v>
      </x:c>
      <x:c r="M2550" s="28" t="n">
        <x:f>G2550*J2550/1000000</x:f>
        <x:v>0.24648</x:v>
      </x:c>
      <x:c r="N2550" s="28" t="n">
        <x:f>H2550*K2550/1000000</x:f>
        <x:v>0.1686</x:v>
      </x:c>
      <x:c r="O2550" s="28" t="n">
        <x:f>SUM(M2550:N2550)</x:f>
        <x:v>0.41508</x:v>
      </x:c>
    </x:row>
    <x:row r="2551" ht="23" customHeight="1">
      <x:c r="A2551" s="17" t="str">
        <x:v>U02545</x:v>
      </x:c>
      <x:c r="B2551" s="18" t="n">
        <x:v>46281</x:v>
      </x:c>
      <x:c r="C2551" s="17" t="str">
        <x:v>W0183</x:v>
      </x:c>
      <x:c r="D2551" s="17" t="str">
        <x:v>C004</x:v>
      </x:c>
      <x:c r="E2551" s="17" t="str">
        <x:v>CopyStudio</x:v>
      </x:c>
      <x:c r="F2551" s="17" t="str">
        <x:v>Lite</x:v>
      </x:c>
      <x:c r="G2551" s="17" t="n">
        <x:v>28842</x:v>
      </x:c>
      <x:c r="H2551" s="17" t="n">
        <x:v>2864</x:v>
      </x:c>
      <x:c r="I2551" s="17" t="str">
        <x:v>Followup</x:v>
      </x:c>
      <x:c r="J2551" s="27" t="n">
        <x:f>INDEX('Model Pricing'!$B$7:$B$8,MATCH(F2551,'Model Pricing'!$A$7:$A$8,0))</x:f>
        <x:v>10</x:v>
      </x:c>
      <x:c r="K2551" s="27" t="n">
        <x:f>INDEX('Model Pricing'!$C$7:$C$8,MATCH(F2551,'Model Pricing'!$A$7:$A$8,0))</x:f>
        <x:v>30</x:v>
      </x:c>
      <x:c r="L2551" s="17" t="n">
        <x:f>G2551+H2551</x:f>
        <x:v>31706</x:v>
      </x:c>
      <x:c r="M2551" s="28" t="n">
        <x:f>G2551*J2551/1000000</x:f>
        <x:v>0.28842</x:v>
      </x:c>
      <x:c r="N2551" s="28" t="n">
        <x:f>H2551*K2551/1000000</x:f>
        <x:v>0.08592</x:v>
      </x:c>
      <x:c r="O2551" s="28" t="n">
        <x:f>SUM(M2551:N2551)</x:f>
        <x:v>0.37434</x:v>
      </x:c>
    </x:row>
    <x:row r="2552" ht="23" customHeight="1">
      <x:c r="A2552" s="17" t="str">
        <x:v>U02546</x:v>
      </x:c>
      <x:c r="B2552" s="18" t="n">
        <x:v>46281</x:v>
      </x:c>
      <x:c r="C2552" s="17" t="str">
        <x:v>W0183</x:v>
      </x:c>
      <x:c r="D2552" s="17" t="str">
        <x:v>C004</x:v>
      </x:c>
      <x:c r="E2552" s="17" t="str">
        <x:v>CopyStudio</x:v>
      </x:c>
      <x:c r="F2552" s="17" t="str">
        <x:v>Lite</x:v>
      </x:c>
      <x:c r="G2552" s="17" t="n">
        <x:v>16783</x:v>
      </x:c>
      <x:c r="H2552" s="17" t="n">
        <x:v>7644</x:v>
      </x:c>
      <x:c r="I2552" s="17" t="str">
        <x:v>Followup</x:v>
      </x:c>
      <x:c r="J2552" s="27" t="n">
        <x:f>INDEX('Model Pricing'!$B$7:$B$8,MATCH(F2552,'Model Pricing'!$A$7:$A$8,0))</x:f>
        <x:v>10</x:v>
      </x:c>
      <x:c r="K2552" s="27" t="n">
        <x:f>INDEX('Model Pricing'!$C$7:$C$8,MATCH(F2552,'Model Pricing'!$A$7:$A$8,0))</x:f>
        <x:v>30</x:v>
      </x:c>
      <x:c r="L2552" s="17" t="n">
        <x:f>G2552+H2552</x:f>
        <x:v>24427</x:v>
      </x:c>
      <x:c r="M2552" s="28" t="n">
        <x:f>G2552*J2552/1000000</x:f>
        <x:v>0.16783</x:v>
      </x:c>
      <x:c r="N2552" s="28" t="n">
        <x:f>H2552*K2552/1000000</x:f>
        <x:v>0.22932</x:v>
      </x:c>
      <x:c r="O2552" s="28" t="n">
        <x:f>SUM(M2552:N2552)</x:f>
        <x:v>0.39715</x:v>
      </x:c>
    </x:row>
    <x:row r="2553" ht="23" customHeight="1">
      <x:c r="A2553" s="17" t="str">
        <x:v>U02547</x:v>
      </x:c>
      <x:c r="B2553" s="18" t="n">
        <x:v>46282</x:v>
      </x:c>
      <x:c r="C2553" s="17" t="str">
        <x:v>W0183</x:v>
      </x:c>
      <x:c r="D2553" s="17" t="str">
        <x:v>C004</x:v>
      </x:c>
      <x:c r="E2553" s="17" t="str">
        <x:v>CopyStudio</x:v>
      </x:c>
      <x:c r="F2553" s="17" t="str">
        <x:v>Lite</x:v>
      </x:c>
      <x:c r="G2553" s="17" t="n">
        <x:v>27115</x:v>
      </x:c>
      <x:c r="H2553" s="17" t="n">
        <x:v>4802</x:v>
      </x:c>
      <x:c r="I2553" s="17" t="str">
        <x:v>Followup</x:v>
      </x:c>
      <x:c r="J2553" s="27" t="n">
        <x:f>INDEX('Model Pricing'!$B$7:$B$8,MATCH(F2553,'Model Pricing'!$A$7:$A$8,0))</x:f>
        <x:v>10</x:v>
      </x:c>
      <x:c r="K2553" s="27" t="n">
        <x:f>INDEX('Model Pricing'!$C$7:$C$8,MATCH(F2553,'Model Pricing'!$A$7:$A$8,0))</x:f>
        <x:v>30</x:v>
      </x:c>
      <x:c r="L2553" s="17" t="n">
        <x:f>G2553+H2553</x:f>
        <x:v>31917</x:v>
      </x:c>
      <x:c r="M2553" s="28" t="n">
        <x:f>G2553*J2553/1000000</x:f>
        <x:v>0.27115</x:v>
      </x:c>
      <x:c r="N2553" s="28" t="n">
        <x:f>H2553*K2553/1000000</x:f>
        <x:v>0.14406</x:v>
      </x:c>
      <x:c r="O2553" s="28" t="n">
        <x:f>SUM(M2553:N2553)</x:f>
        <x:v>0.41520999999999997</x:v>
      </x:c>
    </x:row>
    <x:row r="2554" ht="23" customHeight="1">
      <x:c r="A2554" s="17" t="str">
        <x:v>U02548</x:v>
      </x:c>
      <x:c r="B2554" s="18" t="n">
        <x:v>46282</x:v>
      </x:c>
      <x:c r="C2554" s="17" t="str">
        <x:v>W0183</x:v>
      </x:c>
      <x:c r="D2554" s="17" t="str">
        <x:v>C004</x:v>
      </x:c>
      <x:c r="E2554" s="17" t="str">
        <x:v>CopyStudio</x:v>
      </x:c>
      <x:c r="F2554" s="17" t="str">
        <x:v>Lite</x:v>
      </x:c>
      <x:c r="G2554" s="17" t="n">
        <x:v>11498</x:v>
      </x:c>
      <x:c r="H2554" s="17" t="n">
        <x:v>3947</x:v>
      </x:c>
      <x:c r="I2554" s="17" t="str">
        <x:v>Followup</x:v>
      </x:c>
      <x:c r="J2554" s="27" t="n">
        <x:f>INDEX('Model Pricing'!$B$7:$B$8,MATCH(F2554,'Model Pricing'!$A$7:$A$8,0))</x:f>
        <x:v>10</x:v>
      </x:c>
      <x:c r="K2554" s="27" t="n">
        <x:f>INDEX('Model Pricing'!$C$7:$C$8,MATCH(F2554,'Model Pricing'!$A$7:$A$8,0))</x:f>
        <x:v>30</x:v>
      </x:c>
      <x:c r="L2554" s="17" t="n">
        <x:f>G2554+H2554</x:f>
        <x:v>15445</x:v>
      </x:c>
      <x:c r="M2554" s="28" t="n">
        <x:f>G2554*J2554/1000000</x:f>
        <x:v>0.11498</x:v>
      </x:c>
      <x:c r="N2554" s="28" t="n">
        <x:f>H2554*K2554/1000000</x:f>
        <x:v>0.11841</x:v>
      </x:c>
      <x:c r="O2554" s="28" t="n">
        <x:f>SUM(M2554:N2554)</x:f>
        <x:v>0.23339</x:v>
      </x:c>
    </x:row>
    <x:row r="2555" ht="23" customHeight="1">
      <x:c r="A2555" s="17" t="str">
        <x:v>U02549</x:v>
      </x:c>
      <x:c r="B2555" s="18" t="n">
        <x:v>46282</x:v>
      </x:c>
      <x:c r="C2555" s="17" t="str">
        <x:v>W0183</x:v>
      </x:c>
      <x:c r="D2555" s="17" t="str">
        <x:v>C004</x:v>
      </x:c>
      <x:c r="E2555" s="17" t="str">
        <x:v>CopyStudio</x:v>
      </x:c>
      <x:c r="F2555" s="17" t="str">
        <x:v>Lite</x:v>
      </x:c>
      <x:c r="G2555" s="17" t="n">
        <x:v>25984</x:v>
      </x:c>
      <x:c r="H2555" s="17" t="n">
        <x:v>9764</x:v>
      </x:c>
      <x:c r="I2555" s="17" t="str">
        <x:v>Correction</x:v>
      </x:c>
      <x:c r="J2555" s="27" t="n">
        <x:f>INDEX('Model Pricing'!$B$7:$B$8,MATCH(F2555,'Model Pricing'!$A$7:$A$8,0))</x:f>
        <x:v>10</x:v>
      </x:c>
      <x:c r="K2555" s="27" t="n">
        <x:f>INDEX('Model Pricing'!$C$7:$C$8,MATCH(F2555,'Model Pricing'!$A$7:$A$8,0))</x:f>
        <x:v>30</x:v>
      </x:c>
      <x:c r="L2555" s="17" t="n">
        <x:f>G2555+H2555</x:f>
        <x:v>35748</x:v>
      </x:c>
      <x:c r="M2555" s="28" t="n">
        <x:f>G2555*J2555/1000000</x:f>
        <x:v>0.25984</x:v>
      </x:c>
      <x:c r="N2555" s="28" t="n">
        <x:f>H2555*K2555/1000000</x:f>
        <x:v>0.29292</x:v>
      </x:c>
      <x:c r="O2555" s="28" t="n">
        <x:f>SUM(M2555:N2555)</x:f>
        <x:v>0.55276</x:v>
      </x:c>
    </x:row>
    <x:row r="2556" ht="23" customHeight="1">
      <x:c r="A2556" s="17" t="str">
        <x:v>U02550</x:v>
      </x:c>
      <x:c r="B2556" s="18" t="n">
        <x:v>46273</x:v>
      </x:c>
      <x:c r="C2556" s="17" t="str">
        <x:v>W0185</x:v>
      </x:c>
      <x:c r="D2556" s="17" t="str">
        <x:v>C004</x:v>
      </x:c>
      <x:c r="E2556" s="17" t="str">
        <x:v>InsightDesk</x:v>
      </x:c>
      <x:c r="F2556" s="17" t="str">
        <x:v>Lite</x:v>
      </x:c>
      <x:c r="G2556" s="17" t="n">
        <x:v>25786</x:v>
      </x:c>
      <x:c r="H2556" s="17" t="n">
        <x:v>1545</x:v>
      </x:c>
      <x:c r="I2556" s="17" t="str">
        <x:v>First attempt</x:v>
      </x:c>
      <x:c r="J2556" s="27" t="n">
        <x:f>INDEX('Model Pricing'!$B$7:$B$8,MATCH(F2556,'Model Pricing'!$A$7:$A$8,0))</x:f>
        <x:v>10</x:v>
      </x:c>
      <x:c r="K2556" s="27" t="n">
        <x:f>INDEX('Model Pricing'!$C$7:$C$8,MATCH(F2556,'Model Pricing'!$A$7:$A$8,0))</x:f>
        <x:v>30</x:v>
      </x:c>
      <x:c r="L2556" s="17" t="n">
        <x:f>G2556+H2556</x:f>
        <x:v>27331</x:v>
      </x:c>
      <x:c r="M2556" s="28" t="n">
        <x:f>G2556*J2556/1000000</x:f>
        <x:v>0.25786</x:v>
      </x:c>
      <x:c r="N2556" s="28" t="n">
        <x:f>H2556*K2556/1000000</x:f>
        <x:v>0.04635</x:v>
      </x:c>
      <x:c r="O2556" s="28" t="n">
        <x:f>SUM(M2556:N2556)</x:f>
        <x:v>0.30421</x:v>
      </x:c>
    </x:row>
    <x:row r="2557" ht="23" customHeight="1">
      <x:c r="A2557" s="17" t="str">
        <x:v>U02551</x:v>
      </x:c>
      <x:c r="B2557" s="18" t="n">
        <x:v>46273</x:v>
      </x:c>
      <x:c r="C2557" s="17" t="str">
        <x:v>W0185</x:v>
      </x:c>
      <x:c r="D2557" s="17" t="str">
        <x:v>C004</x:v>
      </x:c>
      <x:c r="E2557" s="17" t="str">
        <x:v>InsightDesk</x:v>
      </x:c>
      <x:c r="F2557" s="17" t="str">
        <x:v>Lite</x:v>
      </x:c>
      <x:c r="G2557" s="17" t="n">
        <x:v>13906</x:v>
      </x:c>
      <x:c r="H2557" s="17" t="n">
        <x:v>2925</x:v>
      </x:c>
      <x:c r="I2557" s="17" t="str">
        <x:v>Followup</x:v>
      </x:c>
      <x:c r="J2557" s="27" t="n">
        <x:f>INDEX('Model Pricing'!$B$7:$B$8,MATCH(F2557,'Model Pricing'!$A$7:$A$8,0))</x:f>
        <x:v>10</x:v>
      </x:c>
      <x:c r="K2557" s="27" t="n">
        <x:f>INDEX('Model Pricing'!$C$7:$C$8,MATCH(F2557,'Model Pricing'!$A$7:$A$8,0))</x:f>
        <x:v>30</x:v>
      </x:c>
      <x:c r="L2557" s="17" t="n">
        <x:f>G2557+H2557</x:f>
        <x:v>16831</x:v>
      </x:c>
      <x:c r="M2557" s="28" t="n">
        <x:f>G2557*J2557/1000000</x:f>
        <x:v>0.13906</x:v>
      </x:c>
      <x:c r="N2557" s="28" t="n">
        <x:f>H2557*K2557/1000000</x:f>
        <x:v>0.08775</x:v>
      </x:c>
      <x:c r="O2557" s="28" t="n">
        <x:f>SUM(M2557:N2557)</x:f>
        <x:v>0.22680999999999998</x:v>
      </x:c>
    </x:row>
    <x:row r="2558" ht="23" customHeight="1">
      <x:c r="A2558" s="17" t="str">
        <x:v>U02552</x:v>
      </x:c>
      <x:c r="B2558" s="18" t="n">
        <x:v>46273</x:v>
      </x:c>
      <x:c r="C2558" s="17" t="str">
        <x:v>W0185</x:v>
      </x:c>
      <x:c r="D2558" s="17" t="str">
        <x:v>C004</x:v>
      </x:c>
      <x:c r="E2558" s="17" t="str">
        <x:v>InsightDesk</x:v>
      </x:c>
      <x:c r="F2558" s="17" t="str">
        <x:v>Lite</x:v>
      </x:c>
      <x:c r="G2558" s="17" t="n">
        <x:v>11161</x:v>
      </x:c>
      <x:c r="H2558" s="17" t="n">
        <x:v>4162</x:v>
      </x:c>
      <x:c r="I2558" s="17" t="str">
        <x:v>Followup</x:v>
      </x:c>
      <x:c r="J2558" s="27" t="n">
        <x:f>INDEX('Model Pricing'!$B$7:$B$8,MATCH(F2558,'Model Pricing'!$A$7:$A$8,0))</x:f>
        <x:v>10</x:v>
      </x:c>
      <x:c r="K2558" s="27" t="n">
        <x:f>INDEX('Model Pricing'!$C$7:$C$8,MATCH(F2558,'Model Pricing'!$A$7:$A$8,0))</x:f>
        <x:v>30</x:v>
      </x:c>
      <x:c r="L2558" s="17" t="n">
        <x:f>G2558+H2558</x:f>
        <x:v>15323</x:v>
      </x:c>
      <x:c r="M2558" s="28" t="n">
        <x:f>G2558*J2558/1000000</x:f>
        <x:v>0.11161</x:v>
      </x:c>
      <x:c r="N2558" s="28" t="n">
        <x:f>H2558*K2558/1000000</x:f>
        <x:v>0.12486</x:v>
      </x:c>
      <x:c r="O2558" s="28" t="n">
        <x:f>SUM(M2558:N2558)</x:f>
        <x:v>0.23647</x:v>
      </x:c>
    </x:row>
    <x:row r="2559" ht="23" customHeight="1">
      <x:c r="A2559" s="17" t="str">
        <x:v>U02553</x:v>
      </x:c>
      <x:c r="B2559" s="18" t="n">
        <x:v>46273</x:v>
      </x:c>
      <x:c r="C2559" s="17" t="str">
        <x:v>W0185</x:v>
      </x:c>
      <x:c r="D2559" s="17" t="str">
        <x:v>C004</x:v>
      </x:c>
      <x:c r="E2559" s="17" t="str">
        <x:v>InsightDesk</x:v>
      </x:c>
      <x:c r="F2559" s="17" t="str">
        <x:v>Lite</x:v>
      </x:c>
      <x:c r="G2559" s="17" t="n">
        <x:v>13084</x:v>
      </x:c>
      <x:c r="H2559" s="17" t="n">
        <x:v>3366</x:v>
      </x:c>
      <x:c r="I2559" s="17" t="str">
        <x:v>Followup</x:v>
      </x:c>
      <x:c r="J2559" s="27" t="n">
        <x:f>INDEX('Model Pricing'!$B$7:$B$8,MATCH(F2559,'Model Pricing'!$A$7:$A$8,0))</x:f>
        <x:v>10</x:v>
      </x:c>
      <x:c r="K2559" s="27" t="n">
        <x:f>INDEX('Model Pricing'!$C$7:$C$8,MATCH(F2559,'Model Pricing'!$A$7:$A$8,0))</x:f>
        <x:v>30</x:v>
      </x:c>
      <x:c r="L2559" s="17" t="n">
        <x:f>G2559+H2559</x:f>
        <x:v>16450</x:v>
      </x:c>
      <x:c r="M2559" s="28" t="n">
        <x:f>G2559*J2559/1000000</x:f>
        <x:v>0.13084</x:v>
      </x:c>
      <x:c r="N2559" s="28" t="n">
        <x:f>H2559*K2559/1000000</x:f>
        <x:v>0.10098</x:v>
      </x:c>
      <x:c r="O2559" s="28" t="n">
        <x:f>SUM(M2559:N2559)</x:f>
        <x:v>0.23182000000000003</x:v>
      </x:c>
    </x:row>
    <x:row r="2560" ht="23" customHeight="1">
      <x:c r="A2560" s="17" t="str">
        <x:v>U02554</x:v>
      </x:c>
      <x:c r="B2560" s="18" t="n">
        <x:v>46274</x:v>
      </x:c>
      <x:c r="C2560" s="17" t="str">
        <x:v>W0185</x:v>
      </x:c>
      <x:c r="D2560" s="17" t="str">
        <x:v>C004</x:v>
      </x:c>
      <x:c r="E2560" s="17" t="str">
        <x:v>InsightDesk</x:v>
      </x:c>
      <x:c r="F2560" s="17" t="str">
        <x:v>Lite</x:v>
      </x:c>
      <x:c r="G2560" s="17" t="n">
        <x:v>14591</x:v>
      </x:c>
      <x:c r="H2560" s="17" t="n">
        <x:v>2529</x:v>
      </x:c>
      <x:c r="I2560" s="17" t="str">
        <x:v>Followup</x:v>
      </x:c>
      <x:c r="J2560" s="27" t="n">
        <x:f>INDEX('Model Pricing'!$B$7:$B$8,MATCH(F2560,'Model Pricing'!$A$7:$A$8,0))</x:f>
        <x:v>10</x:v>
      </x:c>
      <x:c r="K2560" s="27" t="n">
        <x:f>INDEX('Model Pricing'!$C$7:$C$8,MATCH(F2560,'Model Pricing'!$A$7:$A$8,0))</x:f>
        <x:v>30</x:v>
      </x:c>
      <x:c r="L2560" s="17" t="n">
        <x:f>G2560+H2560</x:f>
        <x:v>17120</x:v>
      </x:c>
      <x:c r="M2560" s="28" t="n">
        <x:f>G2560*J2560/1000000</x:f>
        <x:v>0.14591</x:v>
      </x:c>
      <x:c r="N2560" s="28" t="n">
        <x:f>H2560*K2560/1000000</x:f>
        <x:v>0.07587</x:v>
      </x:c>
      <x:c r="O2560" s="28" t="n">
        <x:f>SUM(M2560:N2560)</x:f>
        <x:v>0.22178000000000003</x:v>
      </x:c>
    </x:row>
    <x:row r="2561" ht="23" customHeight="1">
      <x:c r="A2561" s="17" t="str">
        <x:v>U02555</x:v>
      </x:c>
      <x:c r="B2561" s="18" t="n">
        <x:v>46274</x:v>
      </x:c>
      <x:c r="C2561" s="17" t="str">
        <x:v>W0185</x:v>
      </x:c>
      <x:c r="D2561" s="17" t="str">
        <x:v>C004</x:v>
      </x:c>
      <x:c r="E2561" s="17" t="str">
        <x:v>InsightDesk</x:v>
      </x:c>
      <x:c r="F2561" s="17" t="str">
        <x:v>Lite</x:v>
      </x:c>
      <x:c r="G2561" s="17" t="n">
        <x:v>9953</x:v>
      </x:c>
      <x:c r="H2561" s="17" t="n">
        <x:v>3231</x:v>
      </x:c>
      <x:c r="I2561" s="17" t="str">
        <x:v>Correction</x:v>
      </x:c>
      <x:c r="J2561" s="27" t="n">
        <x:f>INDEX('Model Pricing'!$B$7:$B$8,MATCH(F2561,'Model Pricing'!$A$7:$A$8,0))</x:f>
        <x:v>10</x:v>
      </x:c>
      <x:c r="K2561" s="27" t="n">
        <x:f>INDEX('Model Pricing'!$C$7:$C$8,MATCH(F2561,'Model Pricing'!$A$7:$A$8,0))</x:f>
        <x:v>30</x:v>
      </x:c>
      <x:c r="L2561" s="17" t="n">
        <x:f>G2561+H2561</x:f>
        <x:v>13184</x:v>
      </x:c>
      <x:c r="M2561" s="28" t="n">
        <x:f>G2561*J2561/1000000</x:f>
        <x:v>0.09953</x:v>
      </x:c>
      <x:c r="N2561" s="28" t="n">
        <x:f>H2561*K2561/1000000</x:f>
        <x:v>0.09693</x:v>
      </x:c>
      <x:c r="O2561" s="28" t="n">
        <x:f>SUM(M2561:N2561)</x:f>
        <x:v>0.19646</x:v>
      </x:c>
    </x:row>
    <x:row r="2562" ht="23" customHeight="1">
      <x:c r="A2562" s="17" t="str">
        <x:v>U02556</x:v>
      </x:c>
      <x:c r="B2562" s="18" t="n">
        <x:v>46274</x:v>
      </x:c>
      <x:c r="C2562" s="17" t="str">
        <x:v>W0185</x:v>
      </x:c>
      <x:c r="D2562" s="17" t="str">
        <x:v>C004</x:v>
      </x:c>
      <x:c r="E2562" s="17" t="str">
        <x:v>InsightDesk</x:v>
      </x:c>
      <x:c r="F2562" s="17" t="str">
        <x:v>Lite</x:v>
      </x:c>
      <x:c r="G2562" s="17" t="n">
        <x:v>21883</x:v>
      </x:c>
      <x:c r="H2562" s="17" t="n">
        <x:v>2885</x:v>
      </x:c>
      <x:c r="I2562" s="17" t="str">
        <x:v>Correction</x:v>
      </x:c>
      <x:c r="J2562" s="27" t="n">
        <x:f>INDEX('Model Pricing'!$B$7:$B$8,MATCH(F2562,'Model Pricing'!$A$7:$A$8,0))</x:f>
        <x:v>10</x:v>
      </x:c>
      <x:c r="K2562" s="27" t="n">
        <x:f>INDEX('Model Pricing'!$C$7:$C$8,MATCH(F2562,'Model Pricing'!$A$7:$A$8,0))</x:f>
        <x:v>30</x:v>
      </x:c>
      <x:c r="L2562" s="17" t="n">
        <x:f>G2562+H2562</x:f>
        <x:v>24768</x:v>
      </x:c>
      <x:c r="M2562" s="28" t="n">
        <x:f>G2562*J2562/1000000</x:f>
        <x:v>0.21883</x:v>
      </x:c>
      <x:c r="N2562" s="28" t="n">
        <x:f>H2562*K2562/1000000</x:f>
        <x:v>0.08655</x:v>
      </x:c>
      <x:c r="O2562" s="28" t="n">
        <x:f>SUM(M2562:N2562)</x:f>
        <x:v>0.30538</x:v>
      </x:c>
    </x:row>
    <x:row r="2563" ht="23" customHeight="1">
      <x:c r="A2563" s="17" t="str">
        <x:v>U02557</x:v>
      </x:c>
      <x:c r="B2563" s="18" t="n">
        <x:v>46275</x:v>
      </x:c>
      <x:c r="C2563" s="17" t="str">
        <x:v>W0185</x:v>
      </x:c>
      <x:c r="D2563" s="17" t="str">
        <x:v>C004</x:v>
      </x:c>
      <x:c r="E2563" s="17" t="str">
        <x:v>InsightDesk</x:v>
      </x:c>
      <x:c r="F2563" s="17" t="str">
        <x:v>Lite</x:v>
      </x:c>
      <x:c r="G2563" s="17" t="n">
        <x:v>17643</x:v>
      </x:c>
      <x:c r="H2563" s="17" t="n">
        <x:v>2449</x:v>
      </x:c>
      <x:c r="I2563" s="17" t="str">
        <x:v>Followup</x:v>
      </x:c>
      <x:c r="J2563" s="27" t="n">
        <x:f>INDEX('Model Pricing'!$B$7:$B$8,MATCH(F2563,'Model Pricing'!$A$7:$A$8,0))</x:f>
        <x:v>10</x:v>
      </x:c>
      <x:c r="K2563" s="27" t="n">
        <x:f>INDEX('Model Pricing'!$C$7:$C$8,MATCH(F2563,'Model Pricing'!$A$7:$A$8,0))</x:f>
        <x:v>30</x:v>
      </x:c>
      <x:c r="L2563" s="17" t="n">
        <x:f>G2563+H2563</x:f>
        <x:v>20092</x:v>
      </x:c>
      <x:c r="M2563" s="28" t="n">
        <x:f>G2563*J2563/1000000</x:f>
        <x:v>0.17643</x:v>
      </x:c>
      <x:c r="N2563" s="28" t="n">
        <x:f>H2563*K2563/1000000</x:f>
        <x:v>0.07347</x:v>
      </x:c>
      <x:c r="O2563" s="28" t="n">
        <x:f>SUM(M2563:N2563)</x:f>
        <x:v>0.2499</x:v>
      </x:c>
    </x:row>
    <x:row r="2564" ht="23" customHeight="1">
      <x:c r="A2564" s="17" t="str">
        <x:v>U02558</x:v>
      </x:c>
      <x:c r="B2564" s="18" t="n">
        <x:v>46275</x:v>
      </x:c>
      <x:c r="C2564" s="17" t="str">
        <x:v>W0185</x:v>
      </x:c>
      <x:c r="D2564" s="17" t="str">
        <x:v>C004</x:v>
      </x:c>
      <x:c r="E2564" s="17" t="str">
        <x:v>InsightDesk</x:v>
      </x:c>
      <x:c r="F2564" s="17" t="str">
        <x:v>Lite</x:v>
      </x:c>
      <x:c r="G2564" s="17" t="n">
        <x:v>13647</x:v>
      </x:c>
      <x:c r="H2564" s="17" t="n">
        <x:v>2332</x:v>
      </x:c>
      <x:c r="I2564" s="17" t="str">
        <x:v>Followup</x:v>
      </x:c>
      <x:c r="J2564" s="27" t="n">
        <x:f>INDEX('Model Pricing'!$B$7:$B$8,MATCH(F2564,'Model Pricing'!$A$7:$A$8,0))</x:f>
        <x:v>10</x:v>
      </x:c>
      <x:c r="K2564" s="27" t="n">
        <x:f>INDEX('Model Pricing'!$C$7:$C$8,MATCH(F2564,'Model Pricing'!$A$7:$A$8,0))</x:f>
        <x:v>30</x:v>
      </x:c>
      <x:c r="L2564" s="17" t="n">
        <x:f>G2564+H2564</x:f>
        <x:v>15979</x:v>
      </x:c>
      <x:c r="M2564" s="28" t="n">
        <x:f>G2564*J2564/1000000</x:f>
        <x:v>0.13647</x:v>
      </x:c>
      <x:c r="N2564" s="28" t="n">
        <x:f>H2564*K2564/1000000</x:f>
        <x:v>0.06996</x:v>
      </x:c>
      <x:c r="O2564" s="28" t="n">
        <x:f>SUM(M2564:N2564)</x:f>
        <x:v>0.20643</x:v>
      </x:c>
    </x:row>
    <x:row r="2565" ht="23" customHeight="1">
      <x:c r="A2565" s="17" t="str">
        <x:v>U02559</x:v>
      </x:c>
      <x:c r="B2565" s="18" t="n">
        <x:v>46275</x:v>
      </x:c>
      <x:c r="C2565" s="17" t="str">
        <x:v>W0185</x:v>
      </x:c>
      <x:c r="D2565" s="17" t="str">
        <x:v>C004</x:v>
      </x:c>
      <x:c r="E2565" s="17" t="str">
        <x:v>InsightDesk</x:v>
      </x:c>
      <x:c r="F2565" s="17" t="str">
        <x:v>Lite</x:v>
      </x:c>
      <x:c r="G2565" s="17" t="n">
        <x:v>27019</x:v>
      </x:c>
      <x:c r="H2565" s="17" t="n">
        <x:v>1730</x:v>
      </x:c>
      <x:c r="I2565" s="17" t="str">
        <x:v>Followup</x:v>
      </x:c>
      <x:c r="J2565" s="27" t="n">
        <x:f>INDEX('Model Pricing'!$B$7:$B$8,MATCH(F2565,'Model Pricing'!$A$7:$A$8,0))</x:f>
        <x:v>10</x:v>
      </x:c>
      <x:c r="K2565" s="27" t="n">
        <x:f>INDEX('Model Pricing'!$C$7:$C$8,MATCH(F2565,'Model Pricing'!$A$7:$A$8,0))</x:f>
        <x:v>30</x:v>
      </x:c>
      <x:c r="L2565" s="17" t="n">
        <x:f>G2565+H2565</x:f>
        <x:v>28749</x:v>
      </x:c>
      <x:c r="M2565" s="28" t="n">
        <x:f>G2565*J2565/1000000</x:f>
        <x:v>0.27019</x:v>
      </x:c>
      <x:c r="N2565" s="28" t="n">
        <x:f>H2565*K2565/1000000</x:f>
        <x:v>0.0519</x:v>
      </x:c>
      <x:c r="O2565" s="28" t="n">
        <x:f>SUM(M2565:N2565)</x:f>
        <x:v>0.32209</x:v>
      </x:c>
    </x:row>
    <x:row r="2566" ht="23" customHeight="1">
      <x:c r="A2566" s="17" t="str">
        <x:v>U02560</x:v>
      </x:c>
      <x:c r="B2566" s="18" t="n">
        <x:v>46275</x:v>
      </x:c>
      <x:c r="C2566" s="17" t="str">
        <x:v>W0185</x:v>
      </x:c>
      <x:c r="D2566" s="17" t="str">
        <x:v>C004</x:v>
      </x:c>
      <x:c r="E2566" s="17" t="str">
        <x:v>InsightDesk</x:v>
      </x:c>
      <x:c r="F2566" s="17" t="str">
        <x:v>Lite</x:v>
      </x:c>
      <x:c r="G2566" s="17" t="n">
        <x:v>10831</x:v>
      </x:c>
      <x:c r="H2566" s="17" t="n">
        <x:v>2297</x:v>
      </x:c>
      <x:c r="I2566" s="17" t="str">
        <x:v>Followup</x:v>
      </x:c>
      <x:c r="J2566" s="27" t="n">
        <x:f>INDEX('Model Pricing'!$B$7:$B$8,MATCH(F2566,'Model Pricing'!$A$7:$A$8,0))</x:f>
        <x:v>10</x:v>
      </x:c>
      <x:c r="K2566" s="27" t="n">
        <x:f>INDEX('Model Pricing'!$C$7:$C$8,MATCH(F2566,'Model Pricing'!$A$7:$A$8,0))</x:f>
        <x:v>30</x:v>
      </x:c>
      <x:c r="L2566" s="17" t="n">
        <x:f>G2566+H2566</x:f>
        <x:v>13128</x:v>
      </x:c>
      <x:c r="M2566" s="28" t="n">
        <x:f>G2566*J2566/1000000</x:f>
        <x:v>0.10831</x:v>
      </x:c>
      <x:c r="N2566" s="28" t="n">
        <x:f>H2566*K2566/1000000</x:f>
        <x:v>0.06891</x:v>
      </x:c>
      <x:c r="O2566" s="28" t="n">
        <x:f>SUM(M2566:N2566)</x:f>
        <x:v>0.17722</x:v>
      </x:c>
    </x:row>
    <x:row r="2567" ht="23" customHeight="1">
      <x:c r="A2567" s="17" t="str">
        <x:v>U02561</x:v>
      </x:c>
      <x:c r="B2567" s="18" t="n">
        <x:v>46276</x:v>
      </x:c>
      <x:c r="C2567" s="17" t="str">
        <x:v>W0185</x:v>
      </x:c>
      <x:c r="D2567" s="17" t="str">
        <x:v>C004</x:v>
      </x:c>
      <x:c r="E2567" s="17" t="str">
        <x:v>InsightDesk</x:v>
      </x:c>
      <x:c r="F2567" s="17" t="str">
        <x:v>Lite</x:v>
      </x:c>
      <x:c r="G2567" s="17" t="n">
        <x:v>10717</x:v>
      </x:c>
      <x:c r="H2567" s="17" t="n">
        <x:v>3203</x:v>
      </x:c>
      <x:c r="I2567" s="17" t="str">
        <x:v>Followup</x:v>
      </x:c>
      <x:c r="J2567" s="27" t="n">
        <x:f>INDEX('Model Pricing'!$B$7:$B$8,MATCH(F2567,'Model Pricing'!$A$7:$A$8,0))</x:f>
        <x:v>10</x:v>
      </x:c>
      <x:c r="K2567" s="27" t="n">
        <x:f>INDEX('Model Pricing'!$C$7:$C$8,MATCH(F2567,'Model Pricing'!$A$7:$A$8,0))</x:f>
        <x:v>30</x:v>
      </x:c>
      <x:c r="L2567" s="17" t="n">
        <x:f>G2567+H2567</x:f>
        <x:v>13920</x:v>
      </x:c>
      <x:c r="M2567" s="28" t="n">
        <x:f>G2567*J2567/1000000</x:f>
        <x:v>0.10717</x:v>
      </x:c>
      <x:c r="N2567" s="28" t="n">
        <x:f>H2567*K2567/1000000</x:f>
        <x:v>0.09609</x:v>
      </x:c>
      <x:c r="O2567" s="28" t="n">
        <x:f>SUM(M2567:N2567)</x:f>
        <x:v>0.20326</x:v>
      </x:c>
    </x:row>
    <x:row r="2568" ht="23" customHeight="1">
      <x:c r="A2568" s="17" t="str">
        <x:v>U02562</x:v>
      </x:c>
      <x:c r="B2568" s="18" t="n">
        <x:v>46276</x:v>
      </x:c>
      <x:c r="C2568" s="17" t="str">
        <x:v>W0185</x:v>
      </x:c>
      <x:c r="D2568" s="17" t="str">
        <x:v>C004</x:v>
      </x:c>
      <x:c r="E2568" s="17" t="str">
        <x:v>InsightDesk</x:v>
      </x:c>
      <x:c r="F2568" s="17" t="str">
        <x:v>Lite</x:v>
      </x:c>
      <x:c r="G2568" s="17" t="n">
        <x:v>15526</x:v>
      </x:c>
      <x:c r="H2568" s="17" t="n">
        <x:v>1360</x:v>
      </x:c>
      <x:c r="I2568" s="17" t="str">
        <x:v>Followup</x:v>
      </x:c>
      <x:c r="J2568" s="27" t="n">
        <x:f>INDEX('Model Pricing'!$B$7:$B$8,MATCH(F2568,'Model Pricing'!$A$7:$A$8,0))</x:f>
        <x:v>10</x:v>
      </x:c>
      <x:c r="K2568" s="27" t="n">
        <x:f>INDEX('Model Pricing'!$C$7:$C$8,MATCH(F2568,'Model Pricing'!$A$7:$A$8,0))</x:f>
        <x:v>30</x:v>
      </x:c>
      <x:c r="L2568" s="17" t="n">
        <x:f>G2568+H2568</x:f>
        <x:v>16886</x:v>
      </x:c>
      <x:c r="M2568" s="28" t="n">
        <x:f>G2568*J2568/1000000</x:f>
        <x:v>0.15526</x:v>
      </x:c>
      <x:c r="N2568" s="28" t="n">
        <x:f>H2568*K2568/1000000</x:f>
        <x:v>0.0408</x:v>
      </x:c>
      <x:c r="O2568" s="28" t="n">
        <x:f>SUM(M2568:N2568)</x:f>
        <x:v>0.19606</x:v>
      </x:c>
    </x:row>
    <x:row r="2569" ht="23" customHeight="1">
      <x:c r="A2569" s="17" t="str">
        <x:v>U02563</x:v>
      </x:c>
      <x:c r="B2569" s="18" t="n">
        <x:v>46276</x:v>
      </x:c>
      <x:c r="C2569" s="17" t="str">
        <x:v>W0185</x:v>
      </x:c>
      <x:c r="D2569" s="17" t="str">
        <x:v>C004</x:v>
      </x:c>
      <x:c r="E2569" s="17" t="str">
        <x:v>InsightDesk</x:v>
      </x:c>
      <x:c r="F2569" s="17" t="str">
        <x:v>Lite</x:v>
      </x:c>
      <x:c r="G2569" s="17" t="n">
        <x:v>23868</x:v>
      </x:c>
      <x:c r="H2569" s="17" t="n">
        <x:v>1369</x:v>
      </x:c>
      <x:c r="I2569" s="17" t="str">
        <x:v>Followup</x:v>
      </x:c>
      <x:c r="J2569" s="27" t="n">
        <x:f>INDEX('Model Pricing'!$B$7:$B$8,MATCH(F2569,'Model Pricing'!$A$7:$A$8,0))</x:f>
        <x:v>10</x:v>
      </x:c>
      <x:c r="K2569" s="27" t="n">
        <x:f>INDEX('Model Pricing'!$C$7:$C$8,MATCH(F2569,'Model Pricing'!$A$7:$A$8,0))</x:f>
        <x:v>30</x:v>
      </x:c>
      <x:c r="L2569" s="17" t="n">
        <x:f>G2569+H2569</x:f>
        <x:v>25237</x:v>
      </x:c>
      <x:c r="M2569" s="28" t="n">
        <x:f>G2569*J2569/1000000</x:f>
        <x:v>0.23868</x:v>
      </x:c>
      <x:c r="N2569" s="28" t="n">
        <x:f>H2569*K2569/1000000</x:f>
        <x:v>0.04107</x:v>
      </x:c>
      <x:c r="O2569" s="28" t="n">
        <x:f>SUM(M2569:N2569)</x:f>
        <x:v>0.27975</x:v>
      </x:c>
    </x:row>
    <x:row r="2570" ht="23" customHeight="1">
      <x:c r="A2570" s="17" t="str">
        <x:v>U02564</x:v>
      </x:c>
      <x:c r="B2570" s="18" t="n">
        <x:v>46266</x:v>
      </x:c>
      <x:c r="C2570" s="17" t="str">
        <x:v>W0187</x:v>
      </x:c>
      <x:c r="D2570" s="17" t="str">
        <x:v>C004</x:v>
      </x:c>
      <x:c r="E2570" s="17" t="str">
        <x:v>InsightDesk</x:v>
      </x:c>
      <x:c r="F2570" s="17" t="str">
        <x:v>Lite</x:v>
      </x:c>
      <x:c r="G2570" s="17" t="n">
        <x:v>33043</x:v>
      </x:c>
      <x:c r="H2570" s="17" t="n">
        <x:v>2913</x:v>
      </x:c>
      <x:c r="I2570" s="17" t="str">
        <x:v>First attempt</x:v>
      </x:c>
      <x:c r="J2570" s="27" t="n">
        <x:f>INDEX('Model Pricing'!$B$7:$B$8,MATCH(F2570,'Model Pricing'!$A$7:$A$8,0))</x:f>
        <x:v>10</x:v>
      </x:c>
      <x:c r="K2570" s="27" t="n">
        <x:f>INDEX('Model Pricing'!$C$7:$C$8,MATCH(F2570,'Model Pricing'!$A$7:$A$8,0))</x:f>
        <x:v>30</x:v>
      </x:c>
      <x:c r="L2570" s="17" t="n">
        <x:f>G2570+H2570</x:f>
        <x:v>35956</x:v>
      </x:c>
      <x:c r="M2570" s="28" t="n">
        <x:f>G2570*J2570/1000000</x:f>
        <x:v>0.33043</x:v>
      </x:c>
      <x:c r="N2570" s="28" t="n">
        <x:f>H2570*K2570/1000000</x:f>
        <x:v>0.08739</x:v>
      </x:c>
      <x:c r="O2570" s="28" t="n">
        <x:f>SUM(M2570:N2570)</x:f>
        <x:v>0.41781999999999997</x:v>
      </x:c>
    </x:row>
    <x:row r="2571" ht="23" customHeight="1">
      <x:c r="A2571" s="17" t="str">
        <x:v>U02565</x:v>
      </x:c>
      <x:c r="B2571" s="18" t="n">
        <x:v>46266</x:v>
      </x:c>
      <x:c r="C2571" s="17" t="str">
        <x:v>W0187</x:v>
      </x:c>
      <x:c r="D2571" s="17" t="str">
        <x:v>C004</x:v>
      </x:c>
      <x:c r="E2571" s="17" t="str">
        <x:v>InsightDesk</x:v>
      </x:c>
      <x:c r="F2571" s="17" t="str">
        <x:v>Lite</x:v>
      </x:c>
      <x:c r="G2571" s="17" t="n">
        <x:v>33125</x:v>
      </x:c>
      <x:c r="H2571" s="17" t="n">
        <x:v>2034</x:v>
      </x:c>
      <x:c r="I2571" s="17" t="str">
        <x:v>Followup</x:v>
      </x:c>
      <x:c r="J2571" s="27" t="n">
        <x:f>INDEX('Model Pricing'!$B$7:$B$8,MATCH(F2571,'Model Pricing'!$A$7:$A$8,0))</x:f>
        <x:v>10</x:v>
      </x:c>
      <x:c r="K2571" s="27" t="n">
        <x:f>INDEX('Model Pricing'!$C$7:$C$8,MATCH(F2571,'Model Pricing'!$A$7:$A$8,0))</x:f>
        <x:v>30</x:v>
      </x:c>
      <x:c r="L2571" s="17" t="n">
        <x:f>G2571+H2571</x:f>
        <x:v>35159</x:v>
      </x:c>
      <x:c r="M2571" s="28" t="n">
        <x:f>G2571*J2571/1000000</x:f>
        <x:v>0.33125</x:v>
      </x:c>
      <x:c r="N2571" s="28" t="n">
        <x:f>H2571*K2571/1000000</x:f>
        <x:v>0.06102</x:v>
      </x:c>
      <x:c r="O2571" s="28" t="n">
        <x:f>SUM(M2571:N2571)</x:f>
        <x:v>0.39227</x:v>
      </x:c>
    </x:row>
    <x:row r="2572" ht="23" customHeight="1">
      <x:c r="A2572" s="17" t="str">
        <x:v>U02566</x:v>
      </x:c>
      <x:c r="B2572" s="18" t="n">
        <x:v>46266</x:v>
      </x:c>
      <x:c r="C2572" s="17" t="str">
        <x:v>W0187</x:v>
      </x:c>
      <x:c r="D2572" s="17" t="str">
        <x:v>C004</x:v>
      </x:c>
      <x:c r="E2572" s="17" t="str">
        <x:v>InsightDesk</x:v>
      </x:c>
      <x:c r="F2572" s="17" t="str">
        <x:v>Lite</x:v>
      </x:c>
      <x:c r="G2572" s="17" t="n">
        <x:v>20492</x:v>
      </x:c>
      <x:c r="H2572" s="17" t="n">
        <x:v>3836</x:v>
      </x:c>
      <x:c r="I2572" s="17" t="str">
        <x:v>Followup</x:v>
      </x:c>
      <x:c r="J2572" s="27" t="n">
        <x:f>INDEX('Model Pricing'!$B$7:$B$8,MATCH(F2572,'Model Pricing'!$A$7:$A$8,0))</x:f>
        <x:v>10</x:v>
      </x:c>
      <x:c r="K2572" s="27" t="n">
        <x:f>INDEX('Model Pricing'!$C$7:$C$8,MATCH(F2572,'Model Pricing'!$A$7:$A$8,0))</x:f>
        <x:v>30</x:v>
      </x:c>
      <x:c r="L2572" s="17" t="n">
        <x:f>G2572+H2572</x:f>
        <x:v>24328</x:v>
      </x:c>
      <x:c r="M2572" s="28" t="n">
        <x:f>G2572*J2572/1000000</x:f>
        <x:v>0.20492</x:v>
      </x:c>
      <x:c r="N2572" s="28" t="n">
        <x:f>H2572*K2572/1000000</x:f>
        <x:v>0.11508</x:v>
      </x:c>
      <x:c r="O2572" s="28" t="n">
        <x:f>SUM(M2572:N2572)</x:f>
        <x:v>0.32</x:v>
      </x:c>
    </x:row>
    <x:row r="2573" ht="23" customHeight="1">
      <x:c r="A2573" s="17" t="str">
        <x:v>U02567</x:v>
      </x:c>
      <x:c r="B2573" s="18" t="n">
        <x:v>46266</x:v>
      </x:c>
      <x:c r="C2573" s="17" t="str">
        <x:v>W0187</x:v>
      </x:c>
      <x:c r="D2573" s="17" t="str">
        <x:v>C004</x:v>
      </x:c>
      <x:c r="E2573" s="17" t="str">
        <x:v>InsightDesk</x:v>
      </x:c>
      <x:c r="F2573" s="17" t="str">
        <x:v>Lite</x:v>
      </x:c>
      <x:c r="G2573" s="17" t="n">
        <x:v>28994</x:v>
      </x:c>
      <x:c r="H2573" s="17" t="n">
        <x:v>2984</x:v>
      </x:c>
      <x:c r="I2573" s="17" t="str">
        <x:v>Followup</x:v>
      </x:c>
      <x:c r="J2573" s="27" t="n">
        <x:f>INDEX('Model Pricing'!$B$7:$B$8,MATCH(F2573,'Model Pricing'!$A$7:$A$8,0))</x:f>
        <x:v>10</x:v>
      </x:c>
      <x:c r="K2573" s="27" t="n">
        <x:f>INDEX('Model Pricing'!$C$7:$C$8,MATCH(F2573,'Model Pricing'!$A$7:$A$8,0))</x:f>
        <x:v>30</x:v>
      </x:c>
      <x:c r="L2573" s="17" t="n">
        <x:f>G2573+H2573</x:f>
        <x:v>31978</x:v>
      </x:c>
      <x:c r="M2573" s="28" t="n">
        <x:f>G2573*J2573/1000000</x:f>
        <x:v>0.28994</x:v>
      </x:c>
      <x:c r="N2573" s="28" t="n">
        <x:f>H2573*K2573/1000000</x:f>
        <x:v>0.08952</x:v>
      </x:c>
      <x:c r="O2573" s="28" t="n">
        <x:f>SUM(M2573:N2573)</x:f>
        <x:v>0.37945999999999996</x:v>
      </x:c>
    </x:row>
    <x:row r="2574" ht="23" customHeight="1">
      <x:c r="A2574" s="17" t="str">
        <x:v>U02568</x:v>
      </x:c>
      <x:c r="B2574" s="18" t="n">
        <x:v>46267</x:v>
      </x:c>
      <x:c r="C2574" s="17" t="str">
        <x:v>W0187</x:v>
      </x:c>
      <x:c r="D2574" s="17" t="str">
        <x:v>C004</x:v>
      </x:c>
      <x:c r="E2574" s="17" t="str">
        <x:v>InsightDesk</x:v>
      </x:c>
      <x:c r="F2574" s="17" t="str">
        <x:v>Lite</x:v>
      </x:c>
      <x:c r="G2574" s="17" t="n">
        <x:v>27278</x:v>
      </x:c>
      <x:c r="H2574" s="17" t="n">
        <x:v>2134</x:v>
      </x:c>
      <x:c r="I2574" s="17" t="str">
        <x:v>Followup</x:v>
      </x:c>
      <x:c r="J2574" s="27" t="n">
        <x:f>INDEX('Model Pricing'!$B$7:$B$8,MATCH(F2574,'Model Pricing'!$A$7:$A$8,0))</x:f>
        <x:v>10</x:v>
      </x:c>
      <x:c r="K2574" s="27" t="n">
        <x:f>INDEX('Model Pricing'!$C$7:$C$8,MATCH(F2574,'Model Pricing'!$A$7:$A$8,0))</x:f>
        <x:v>30</x:v>
      </x:c>
      <x:c r="L2574" s="17" t="n">
        <x:f>G2574+H2574</x:f>
        <x:v>29412</x:v>
      </x:c>
      <x:c r="M2574" s="28" t="n">
        <x:f>G2574*J2574/1000000</x:f>
        <x:v>0.27278</x:v>
      </x:c>
      <x:c r="N2574" s="28" t="n">
        <x:f>H2574*K2574/1000000</x:f>
        <x:v>0.06402</x:v>
      </x:c>
      <x:c r="O2574" s="28" t="n">
        <x:f>SUM(M2574:N2574)</x:f>
        <x:v>0.3368</x:v>
      </x:c>
    </x:row>
    <x:row r="2575" ht="23" customHeight="1">
      <x:c r="A2575" s="17" t="str">
        <x:v>U02569</x:v>
      </x:c>
      <x:c r="B2575" s="18" t="n">
        <x:v>46267</x:v>
      </x:c>
      <x:c r="C2575" s="17" t="str">
        <x:v>W0187</x:v>
      </x:c>
      <x:c r="D2575" s="17" t="str">
        <x:v>C004</x:v>
      </x:c>
      <x:c r="E2575" s="17" t="str">
        <x:v>InsightDesk</x:v>
      </x:c>
      <x:c r="F2575" s="17" t="str">
        <x:v>Lite</x:v>
      </x:c>
      <x:c r="G2575" s="17" t="n">
        <x:v>12958</x:v>
      </x:c>
      <x:c r="H2575" s="17" t="n">
        <x:v>5006</x:v>
      </x:c>
      <x:c r="I2575" s="17" t="str">
        <x:v>Followup</x:v>
      </x:c>
      <x:c r="J2575" s="27" t="n">
        <x:f>INDEX('Model Pricing'!$B$7:$B$8,MATCH(F2575,'Model Pricing'!$A$7:$A$8,0))</x:f>
        <x:v>10</x:v>
      </x:c>
      <x:c r="K2575" s="27" t="n">
        <x:f>INDEX('Model Pricing'!$C$7:$C$8,MATCH(F2575,'Model Pricing'!$A$7:$A$8,0))</x:f>
        <x:v>30</x:v>
      </x:c>
      <x:c r="L2575" s="17" t="n">
        <x:f>G2575+H2575</x:f>
        <x:v>17964</x:v>
      </x:c>
      <x:c r="M2575" s="28" t="n">
        <x:f>G2575*J2575/1000000</x:f>
        <x:v>0.12958</x:v>
      </x:c>
      <x:c r="N2575" s="28" t="n">
        <x:f>H2575*K2575/1000000</x:f>
        <x:v>0.15018</x:v>
      </x:c>
      <x:c r="O2575" s="28" t="n">
        <x:f>SUM(M2575:N2575)</x:f>
        <x:v>0.27976</x:v>
      </x:c>
    </x:row>
    <x:row r="2576" ht="23" customHeight="1">
      <x:c r="A2576" s="17" t="str">
        <x:v>U02570</x:v>
      </x:c>
      <x:c r="B2576" s="18" t="n">
        <x:v>46267</x:v>
      </x:c>
      <x:c r="C2576" s="17" t="str">
        <x:v>W0187</x:v>
      </x:c>
      <x:c r="D2576" s="17" t="str">
        <x:v>C004</x:v>
      </x:c>
      <x:c r="E2576" s="17" t="str">
        <x:v>InsightDesk</x:v>
      </x:c>
      <x:c r="F2576" s="17" t="str">
        <x:v>Lite</x:v>
      </x:c>
      <x:c r="G2576" s="17" t="n">
        <x:v>34514</x:v>
      </x:c>
      <x:c r="H2576" s="17" t="n">
        <x:v>3984</x:v>
      </x:c>
      <x:c r="I2576" s="17" t="str">
        <x:v>Followup</x:v>
      </x:c>
      <x:c r="J2576" s="27" t="n">
        <x:f>INDEX('Model Pricing'!$B$7:$B$8,MATCH(F2576,'Model Pricing'!$A$7:$A$8,0))</x:f>
        <x:v>10</x:v>
      </x:c>
      <x:c r="K2576" s="27" t="n">
        <x:f>INDEX('Model Pricing'!$C$7:$C$8,MATCH(F2576,'Model Pricing'!$A$7:$A$8,0))</x:f>
        <x:v>30</x:v>
      </x:c>
      <x:c r="L2576" s="17" t="n">
        <x:f>G2576+H2576</x:f>
        <x:v>38498</x:v>
      </x:c>
      <x:c r="M2576" s="28" t="n">
        <x:f>G2576*J2576/1000000</x:f>
        <x:v>0.34514</x:v>
      </x:c>
      <x:c r="N2576" s="28" t="n">
        <x:f>H2576*K2576/1000000</x:f>
        <x:v>0.11952</x:v>
      </x:c>
      <x:c r="O2576" s="28" t="n">
        <x:f>SUM(M2576:N2576)</x:f>
        <x:v>0.46466</x:v>
      </x:c>
    </x:row>
    <x:row r="2577" ht="23" customHeight="1">
      <x:c r="A2577" s="17" t="str">
        <x:v>U02571</x:v>
      </x:c>
      <x:c r="B2577" s="18" t="n">
        <x:v>46267</x:v>
      </x:c>
      <x:c r="C2577" s="17" t="str">
        <x:v>W0187</x:v>
      </x:c>
      <x:c r="D2577" s="17" t="str">
        <x:v>C004</x:v>
      </x:c>
      <x:c r="E2577" s="17" t="str">
        <x:v>InsightDesk</x:v>
      </x:c>
      <x:c r="F2577" s="17" t="str">
        <x:v>Lite</x:v>
      </x:c>
      <x:c r="G2577" s="17" t="n">
        <x:v>20127</x:v>
      </x:c>
      <x:c r="H2577" s="17" t="n">
        <x:v>4848</x:v>
      </x:c>
      <x:c r="I2577" s="17" t="str">
        <x:v>Followup</x:v>
      </x:c>
      <x:c r="J2577" s="27" t="n">
        <x:f>INDEX('Model Pricing'!$B$7:$B$8,MATCH(F2577,'Model Pricing'!$A$7:$A$8,0))</x:f>
        <x:v>10</x:v>
      </x:c>
      <x:c r="K2577" s="27" t="n">
        <x:f>INDEX('Model Pricing'!$C$7:$C$8,MATCH(F2577,'Model Pricing'!$A$7:$A$8,0))</x:f>
        <x:v>30</x:v>
      </x:c>
      <x:c r="L2577" s="17" t="n">
        <x:f>G2577+H2577</x:f>
        <x:v>24975</x:v>
      </x:c>
      <x:c r="M2577" s="28" t="n">
        <x:f>G2577*J2577/1000000</x:f>
        <x:v>0.20127</x:v>
      </x:c>
      <x:c r="N2577" s="28" t="n">
        <x:f>H2577*K2577/1000000</x:f>
        <x:v>0.14544</x:v>
      </x:c>
      <x:c r="O2577" s="28" t="n">
        <x:f>SUM(M2577:N2577)</x:f>
        <x:v>0.34671</x:v>
      </x:c>
    </x:row>
    <x:row r="2578" ht="23" customHeight="1">
      <x:c r="A2578" s="17" t="str">
        <x:v>U02572</x:v>
      </x:c>
      <x:c r="B2578" s="18" t="n">
        <x:v>46268</x:v>
      </x:c>
      <x:c r="C2578" s="17" t="str">
        <x:v>W0187</x:v>
      </x:c>
      <x:c r="D2578" s="17" t="str">
        <x:v>C004</x:v>
      </x:c>
      <x:c r="E2578" s="17" t="str">
        <x:v>InsightDesk</x:v>
      </x:c>
      <x:c r="F2578" s="17" t="str">
        <x:v>Lite</x:v>
      </x:c>
      <x:c r="G2578" s="17" t="n">
        <x:v>22471</x:v>
      </x:c>
      <x:c r="H2578" s="17" t="n">
        <x:v>3930</x:v>
      </x:c>
      <x:c r="I2578" s="17" t="str">
        <x:v>Followup</x:v>
      </x:c>
      <x:c r="J2578" s="27" t="n">
        <x:f>INDEX('Model Pricing'!$B$7:$B$8,MATCH(F2578,'Model Pricing'!$A$7:$A$8,0))</x:f>
        <x:v>10</x:v>
      </x:c>
      <x:c r="K2578" s="27" t="n">
        <x:f>INDEX('Model Pricing'!$C$7:$C$8,MATCH(F2578,'Model Pricing'!$A$7:$A$8,0))</x:f>
        <x:v>30</x:v>
      </x:c>
      <x:c r="L2578" s="17" t="n">
        <x:f>G2578+H2578</x:f>
        <x:v>26401</x:v>
      </x:c>
      <x:c r="M2578" s="28" t="n">
        <x:f>G2578*J2578/1000000</x:f>
        <x:v>0.22471</x:v>
      </x:c>
      <x:c r="N2578" s="28" t="n">
        <x:f>H2578*K2578/1000000</x:f>
        <x:v>0.1179</x:v>
      </x:c>
      <x:c r="O2578" s="28" t="n">
        <x:f>SUM(M2578:N2578)</x:f>
        <x:v>0.34260999999999997</x:v>
      </x:c>
    </x:row>
    <x:row r="2579" ht="23" customHeight="1">
      <x:c r="A2579" s="17" t="str">
        <x:v>U02573</x:v>
      </x:c>
      <x:c r="B2579" s="18" t="n">
        <x:v>46268</x:v>
      </x:c>
      <x:c r="C2579" s="17" t="str">
        <x:v>W0187</x:v>
      </x:c>
      <x:c r="D2579" s="17" t="str">
        <x:v>C004</x:v>
      </x:c>
      <x:c r="E2579" s="17" t="str">
        <x:v>InsightDesk</x:v>
      </x:c>
      <x:c r="F2579" s="17" t="str">
        <x:v>Lite</x:v>
      </x:c>
      <x:c r="G2579" s="17" t="n">
        <x:v>27023</x:v>
      </x:c>
      <x:c r="H2579" s="17" t="n">
        <x:v>2281</x:v>
      </x:c>
      <x:c r="I2579" s="17" t="str">
        <x:v>Followup</x:v>
      </x:c>
      <x:c r="J2579" s="27" t="n">
        <x:f>INDEX('Model Pricing'!$B$7:$B$8,MATCH(F2579,'Model Pricing'!$A$7:$A$8,0))</x:f>
        <x:v>10</x:v>
      </x:c>
      <x:c r="K2579" s="27" t="n">
        <x:f>INDEX('Model Pricing'!$C$7:$C$8,MATCH(F2579,'Model Pricing'!$A$7:$A$8,0))</x:f>
        <x:v>30</x:v>
      </x:c>
      <x:c r="L2579" s="17" t="n">
        <x:f>G2579+H2579</x:f>
        <x:v>29304</x:v>
      </x:c>
      <x:c r="M2579" s="28" t="n">
        <x:f>G2579*J2579/1000000</x:f>
        <x:v>0.27023</x:v>
      </x:c>
      <x:c r="N2579" s="28" t="n">
        <x:f>H2579*K2579/1000000</x:f>
        <x:v>0.06843</x:v>
      </x:c>
      <x:c r="O2579" s="28" t="n">
        <x:f>SUM(M2579:N2579)</x:f>
        <x:v>0.33866</x:v>
      </x:c>
    </x:row>
    <x:row r="2580" ht="23" customHeight="1">
      <x:c r="A2580" s="17" t="str">
        <x:v>U02574</x:v>
      </x:c>
      <x:c r="B2580" s="18" t="n">
        <x:v>46268</x:v>
      </x:c>
      <x:c r="C2580" s="17" t="str">
        <x:v>W0187</x:v>
      </x:c>
      <x:c r="D2580" s="17" t="str">
        <x:v>C004</x:v>
      </x:c>
      <x:c r="E2580" s="17" t="str">
        <x:v>InsightDesk</x:v>
      </x:c>
      <x:c r="F2580" s="17" t="str">
        <x:v>Lite</x:v>
      </x:c>
      <x:c r="G2580" s="17" t="n">
        <x:v>13667</x:v>
      </x:c>
      <x:c r="H2580" s="17" t="n">
        <x:v>2608</x:v>
      </x:c>
      <x:c r="I2580" s="17" t="str">
        <x:v>Correction</x:v>
      </x:c>
      <x:c r="J2580" s="27" t="n">
        <x:f>INDEX('Model Pricing'!$B$7:$B$8,MATCH(F2580,'Model Pricing'!$A$7:$A$8,0))</x:f>
        <x:v>10</x:v>
      </x:c>
      <x:c r="K2580" s="27" t="n">
        <x:f>INDEX('Model Pricing'!$C$7:$C$8,MATCH(F2580,'Model Pricing'!$A$7:$A$8,0))</x:f>
        <x:v>30</x:v>
      </x:c>
      <x:c r="L2580" s="17" t="n">
        <x:f>G2580+H2580</x:f>
        <x:v>16275</x:v>
      </x:c>
      <x:c r="M2580" s="28" t="n">
        <x:f>G2580*J2580/1000000</x:f>
        <x:v>0.13667</x:v>
      </x:c>
      <x:c r="N2580" s="28" t="n">
        <x:f>H2580*K2580/1000000</x:f>
        <x:v>0.07824</x:v>
      </x:c>
      <x:c r="O2580" s="28" t="n">
        <x:f>SUM(M2580:N2580)</x:f>
        <x:v>0.21491000000000002</x:v>
      </x:c>
    </x:row>
    <x:row r="2581" ht="23" customHeight="1">
      <x:c r="A2581" s="17" t="str">
        <x:v>U02575</x:v>
      </x:c>
      <x:c r="B2581" s="18" t="n">
        <x:v>46268</x:v>
      </x:c>
      <x:c r="C2581" s="17" t="str">
        <x:v>W0187</x:v>
      </x:c>
      <x:c r="D2581" s="17" t="str">
        <x:v>C004</x:v>
      </x:c>
      <x:c r="E2581" s="17" t="str">
        <x:v>InsightDesk</x:v>
      </x:c>
      <x:c r="F2581" s="17" t="str">
        <x:v>Lite</x:v>
      </x:c>
      <x:c r="G2581" s="17" t="n">
        <x:v>30642</x:v>
      </x:c>
      <x:c r="H2581" s="17" t="n">
        <x:v>5244</x:v>
      </x:c>
      <x:c r="I2581" s="17" t="str">
        <x:v>Followup</x:v>
      </x:c>
      <x:c r="J2581" s="27" t="n">
        <x:f>INDEX('Model Pricing'!$B$7:$B$8,MATCH(F2581,'Model Pricing'!$A$7:$A$8,0))</x:f>
        <x:v>10</x:v>
      </x:c>
      <x:c r="K2581" s="27" t="n">
        <x:f>INDEX('Model Pricing'!$C$7:$C$8,MATCH(F2581,'Model Pricing'!$A$7:$A$8,0))</x:f>
        <x:v>30</x:v>
      </x:c>
      <x:c r="L2581" s="17" t="n">
        <x:f>G2581+H2581</x:f>
        <x:v>35886</x:v>
      </x:c>
      <x:c r="M2581" s="28" t="n">
        <x:f>G2581*J2581/1000000</x:f>
        <x:v>0.30642</x:v>
      </x:c>
      <x:c r="N2581" s="28" t="n">
        <x:f>H2581*K2581/1000000</x:f>
        <x:v>0.15732</x:v>
      </x:c>
      <x:c r="O2581" s="28" t="n">
        <x:f>SUM(M2581:N2581)</x:f>
        <x:v>0.46374000000000004</x:v>
      </x:c>
    </x:row>
    <x:row r="2582" ht="23" customHeight="1">
      <x:c r="A2582" s="17" t="str">
        <x:v>U02576</x:v>
      </x:c>
      <x:c r="B2582" s="18" t="n">
        <x:v>46269</x:v>
      </x:c>
      <x:c r="C2582" s="17" t="str">
        <x:v>W0187</x:v>
      </x:c>
      <x:c r="D2582" s="17" t="str">
        <x:v>C004</x:v>
      </x:c>
      <x:c r="E2582" s="17" t="str">
        <x:v>InsightDesk</x:v>
      </x:c>
      <x:c r="F2582" s="17" t="str">
        <x:v>Lite</x:v>
      </x:c>
      <x:c r="G2582" s="17" t="n">
        <x:v>25595</x:v>
      </x:c>
      <x:c r="H2582" s="17" t="n">
        <x:v>3771</x:v>
      </x:c>
      <x:c r="I2582" s="17" t="str">
        <x:v>Followup</x:v>
      </x:c>
      <x:c r="J2582" s="27" t="n">
        <x:f>INDEX('Model Pricing'!$B$7:$B$8,MATCH(F2582,'Model Pricing'!$A$7:$A$8,0))</x:f>
        <x:v>10</x:v>
      </x:c>
      <x:c r="K2582" s="27" t="n">
        <x:f>INDEX('Model Pricing'!$C$7:$C$8,MATCH(F2582,'Model Pricing'!$A$7:$A$8,0))</x:f>
        <x:v>30</x:v>
      </x:c>
      <x:c r="L2582" s="17" t="n">
        <x:f>G2582+H2582</x:f>
        <x:v>29366</x:v>
      </x:c>
      <x:c r="M2582" s="28" t="n">
        <x:f>G2582*J2582/1000000</x:f>
        <x:v>0.25595</x:v>
      </x:c>
      <x:c r="N2582" s="28" t="n">
        <x:f>H2582*K2582/1000000</x:f>
        <x:v>0.11313</x:v>
      </x:c>
      <x:c r="O2582" s="28" t="n">
        <x:f>SUM(M2582:N2582)</x:f>
        <x:v>0.36908</x:v>
      </x:c>
    </x:row>
    <x:row r="2583" ht="23" customHeight="1">
      <x:c r="A2583" s="17" t="str">
        <x:v>U02577</x:v>
      </x:c>
      <x:c r="B2583" s="18" t="n">
        <x:v>46269</x:v>
      </x:c>
      <x:c r="C2583" s="17" t="str">
        <x:v>W0187</x:v>
      </x:c>
      <x:c r="D2583" s="17" t="str">
        <x:v>C004</x:v>
      </x:c>
      <x:c r="E2583" s="17" t="str">
        <x:v>InsightDesk</x:v>
      </x:c>
      <x:c r="F2583" s="17" t="str">
        <x:v>Lite</x:v>
      </x:c>
      <x:c r="G2583" s="17" t="n">
        <x:v>29068</x:v>
      </x:c>
      <x:c r="H2583" s="17" t="n">
        <x:v>2278</x:v>
      </x:c>
      <x:c r="I2583" s="17" t="str">
        <x:v>Followup</x:v>
      </x:c>
      <x:c r="J2583" s="27" t="n">
        <x:f>INDEX('Model Pricing'!$B$7:$B$8,MATCH(F2583,'Model Pricing'!$A$7:$A$8,0))</x:f>
        <x:v>10</x:v>
      </x:c>
      <x:c r="K2583" s="27" t="n">
        <x:f>INDEX('Model Pricing'!$C$7:$C$8,MATCH(F2583,'Model Pricing'!$A$7:$A$8,0))</x:f>
        <x:v>30</x:v>
      </x:c>
      <x:c r="L2583" s="17" t="n">
        <x:f>G2583+H2583</x:f>
        <x:v>31346</x:v>
      </x:c>
      <x:c r="M2583" s="28" t="n">
        <x:f>G2583*J2583/1000000</x:f>
        <x:v>0.29068</x:v>
      </x:c>
      <x:c r="N2583" s="28" t="n">
        <x:f>H2583*K2583/1000000</x:f>
        <x:v>0.06834</x:v>
      </x:c>
      <x:c r="O2583" s="28" t="n">
        <x:f>SUM(M2583:N2583)</x:f>
        <x:v>0.35902</x:v>
      </x:c>
    </x:row>
    <x:row r="2584" ht="23" customHeight="1">
      <x:c r="A2584" s="17" t="str">
        <x:v>U02578</x:v>
      </x:c>
      <x:c r="B2584" s="18" t="n">
        <x:v>46269</x:v>
      </x:c>
      <x:c r="C2584" s="17" t="str">
        <x:v>W0187</x:v>
      </x:c>
      <x:c r="D2584" s="17" t="str">
        <x:v>C004</x:v>
      </x:c>
      <x:c r="E2584" s="17" t="str">
        <x:v>InsightDesk</x:v>
      </x:c>
      <x:c r="F2584" s="17" t="str">
        <x:v>Lite</x:v>
      </x:c>
      <x:c r="G2584" s="17" t="n">
        <x:v>17285</x:v>
      </x:c>
      <x:c r="H2584" s="17" t="n">
        <x:v>1899</x:v>
      </x:c>
      <x:c r="I2584" s="17" t="str">
        <x:v>Correction</x:v>
      </x:c>
      <x:c r="J2584" s="27" t="n">
        <x:f>INDEX('Model Pricing'!$B$7:$B$8,MATCH(F2584,'Model Pricing'!$A$7:$A$8,0))</x:f>
        <x:v>10</x:v>
      </x:c>
      <x:c r="K2584" s="27" t="n">
        <x:f>INDEX('Model Pricing'!$C$7:$C$8,MATCH(F2584,'Model Pricing'!$A$7:$A$8,0))</x:f>
        <x:v>30</x:v>
      </x:c>
      <x:c r="L2584" s="17" t="n">
        <x:f>G2584+H2584</x:f>
        <x:v>19184</x:v>
      </x:c>
      <x:c r="M2584" s="28" t="n">
        <x:f>G2584*J2584/1000000</x:f>
        <x:v>0.17285</x:v>
      </x:c>
      <x:c r="N2584" s="28" t="n">
        <x:f>H2584*K2584/1000000</x:f>
        <x:v>0.05697</x:v>
      </x:c>
      <x:c r="O2584" s="28" t="n">
        <x:f>SUM(M2584:N2584)</x:f>
        <x:v>0.22982</x:v>
      </x:c>
    </x:row>
    <x:row r="2585" ht="23" customHeight="1">
      <x:c r="A2585" s="17" t="str">
        <x:v>U02579</x:v>
      </x:c>
      <x:c r="B2585" s="18" t="n">
        <x:v>46276</x:v>
      </x:c>
      <x:c r="C2585" s="17" t="str">
        <x:v>W0188</x:v>
      </x:c>
      <x:c r="D2585" s="17" t="str">
        <x:v>C004</x:v>
      </x:c>
      <x:c r="E2585" s="17" t="str">
        <x:v>CampaignChat</x:v>
      </x:c>
      <x:c r="F2585" s="17" t="str">
        <x:v>Lite</x:v>
      </x:c>
      <x:c r="G2585" s="17" t="n">
        <x:v>15696</x:v>
      </x:c>
      <x:c r="H2585" s="17" t="n">
        <x:v>3669</x:v>
      </x:c>
      <x:c r="I2585" s="17" t="str">
        <x:v>First attempt</x:v>
      </x:c>
      <x:c r="J2585" s="27" t="n">
        <x:f>INDEX('Model Pricing'!$B$7:$B$8,MATCH(F2585,'Model Pricing'!$A$7:$A$8,0))</x:f>
        <x:v>10</x:v>
      </x:c>
      <x:c r="K2585" s="27" t="n">
        <x:f>INDEX('Model Pricing'!$C$7:$C$8,MATCH(F2585,'Model Pricing'!$A$7:$A$8,0))</x:f>
        <x:v>30</x:v>
      </x:c>
      <x:c r="L2585" s="17" t="n">
        <x:f>G2585+H2585</x:f>
        <x:v>19365</x:v>
      </x:c>
      <x:c r="M2585" s="28" t="n">
        <x:f>G2585*J2585/1000000</x:f>
        <x:v>0.15696</x:v>
      </x:c>
      <x:c r="N2585" s="28" t="n">
        <x:f>H2585*K2585/1000000</x:f>
        <x:v>0.11007</x:v>
      </x:c>
      <x:c r="O2585" s="28" t="n">
        <x:f>SUM(M2585:N2585)</x:f>
        <x:v>0.26703</x:v>
      </x:c>
    </x:row>
    <x:row r="2586" ht="23" customHeight="1">
      <x:c r="A2586" s="17" t="str">
        <x:v>U02580</x:v>
      </x:c>
      <x:c r="B2586" s="18" t="n">
        <x:v>46276</x:v>
      </x:c>
      <x:c r="C2586" s="17" t="str">
        <x:v>W0188</x:v>
      </x:c>
      <x:c r="D2586" s="17" t="str">
        <x:v>C004</x:v>
      </x:c>
      <x:c r="E2586" s="17" t="str">
        <x:v>CampaignChat</x:v>
      </x:c>
      <x:c r="F2586" s="17" t="str">
        <x:v>Lite</x:v>
      </x:c>
      <x:c r="G2586" s="17" t="n">
        <x:v>19369</x:v>
      </x:c>
      <x:c r="H2586" s="17" t="n">
        <x:v>4198</x:v>
      </x:c>
      <x:c r="I2586" s="17" t="str">
        <x:v>Followup</x:v>
      </x:c>
      <x:c r="J2586" s="27" t="n">
        <x:f>INDEX('Model Pricing'!$B$7:$B$8,MATCH(F2586,'Model Pricing'!$A$7:$A$8,0))</x:f>
        <x:v>10</x:v>
      </x:c>
      <x:c r="K2586" s="27" t="n">
        <x:f>INDEX('Model Pricing'!$C$7:$C$8,MATCH(F2586,'Model Pricing'!$A$7:$A$8,0))</x:f>
        <x:v>30</x:v>
      </x:c>
      <x:c r="L2586" s="17" t="n">
        <x:f>G2586+H2586</x:f>
        <x:v>23567</x:v>
      </x:c>
      <x:c r="M2586" s="28" t="n">
        <x:f>G2586*J2586/1000000</x:f>
        <x:v>0.19369</x:v>
      </x:c>
      <x:c r="N2586" s="28" t="n">
        <x:f>H2586*K2586/1000000</x:f>
        <x:v>0.12594</x:v>
      </x:c>
      <x:c r="O2586" s="28" t="n">
        <x:f>SUM(M2586:N2586)</x:f>
        <x:v>0.31962999999999997</x:v>
      </x:c>
    </x:row>
    <x:row r="2587" ht="23" customHeight="1">
      <x:c r="A2587" s="17" t="str">
        <x:v>U02581</x:v>
      </x:c>
      <x:c r="B2587" s="18" t="n">
        <x:v>46276</x:v>
      </x:c>
      <x:c r="C2587" s="17" t="str">
        <x:v>W0188</x:v>
      </x:c>
      <x:c r="D2587" s="17" t="str">
        <x:v>C004</x:v>
      </x:c>
      <x:c r="E2587" s="17" t="str">
        <x:v>CampaignChat</x:v>
      </x:c>
      <x:c r="F2587" s="17" t="str">
        <x:v>Lite</x:v>
      </x:c>
      <x:c r="G2587" s="17" t="n">
        <x:v>19240</x:v>
      </x:c>
      <x:c r="H2587" s="17" t="n">
        <x:v>5351</x:v>
      </x:c>
      <x:c r="I2587" s="17" t="str">
        <x:v>Followup</x:v>
      </x:c>
      <x:c r="J2587" s="27" t="n">
        <x:f>INDEX('Model Pricing'!$B$7:$B$8,MATCH(F2587,'Model Pricing'!$A$7:$A$8,0))</x:f>
        <x:v>10</x:v>
      </x:c>
      <x:c r="K2587" s="27" t="n">
        <x:f>INDEX('Model Pricing'!$C$7:$C$8,MATCH(F2587,'Model Pricing'!$A$7:$A$8,0))</x:f>
        <x:v>30</x:v>
      </x:c>
      <x:c r="L2587" s="17" t="n">
        <x:f>G2587+H2587</x:f>
        <x:v>24591</x:v>
      </x:c>
      <x:c r="M2587" s="28" t="n">
        <x:f>G2587*J2587/1000000</x:f>
        <x:v>0.1924</x:v>
      </x:c>
      <x:c r="N2587" s="28" t="n">
        <x:f>H2587*K2587/1000000</x:f>
        <x:v>0.16053</x:v>
      </x:c>
      <x:c r="O2587" s="28" t="n">
        <x:f>SUM(M2587:N2587)</x:f>
        <x:v>0.35292999999999997</x:v>
      </x:c>
    </x:row>
    <x:row r="2588" ht="23" customHeight="1">
      <x:c r="A2588" s="17" t="str">
        <x:v>U02582</x:v>
      </x:c>
      <x:c r="B2588" s="18" t="n">
        <x:v>46276</x:v>
      </x:c>
      <x:c r="C2588" s="17" t="str">
        <x:v>W0188</x:v>
      </x:c>
      <x:c r="D2588" s="17" t="str">
        <x:v>C004</x:v>
      </x:c>
      <x:c r="E2588" s="17" t="str">
        <x:v>CampaignChat</x:v>
      </x:c>
      <x:c r="F2588" s="17" t="str">
        <x:v>Lite</x:v>
      </x:c>
      <x:c r="G2588" s="17" t="n">
        <x:v>7970</x:v>
      </x:c>
      <x:c r="H2588" s="17" t="n">
        <x:v>4055</x:v>
      </x:c>
      <x:c r="I2588" s="17" t="str">
        <x:v>Followup</x:v>
      </x:c>
      <x:c r="J2588" s="27" t="n">
        <x:f>INDEX('Model Pricing'!$B$7:$B$8,MATCH(F2588,'Model Pricing'!$A$7:$A$8,0))</x:f>
        <x:v>10</x:v>
      </x:c>
      <x:c r="K2588" s="27" t="n">
        <x:f>INDEX('Model Pricing'!$C$7:$C$8,MATCH(F2588,'Model Pricing'!$A$7:$A$8,0))</x:f>
        <x:v>30</x:v>
      </x:c>
      <x:c r="L2588" s="17" t="n">
        <x:f>G2588+H2588</x:f>
        <x:v>12025</x:v>
      </x:c>
      <x:c r="M2588" s="28" t="n">
        <x:f>G2588*J2588/1000000</x:f>
        <x:v>0.0797</x:v>
      </x:c>
      <x:c r="N2588" s="28" t="n">
        <x:f>H2588*K2588/1000000</x:f>
        <x:v>0.12165</x:v>
      </x:c>
      <x:c r="O2588" s="28" t="n">
        <x:f>SUM(M2588:N2588)</x:f>
        <x:v>0.20134999999999997</x:v>
      </x:c>
    </x:row>
    <x:row r="2589" ht="23" customHeight="1">
      <x:c r="A2589" s="17" t="str">
        <x:v>U02583</x:v>
      </x:c>
      <x:c r="B2589" s="18" t="n">
        <x:v>46279</x:v>
      </x:c>
      <x:c r="C2589" s="17" t="str">
        <x:v>W0188</x:v>
      </x:c>
      <x:c r="D2589" s="17" t="str">
        <x:v>C004</x:v>
      </x:c>
      <x:c r="E2589" s="17" t="str">
        <x:v>CampaignChat</x:v>
      </x:c>
      <x:c r="F2589" s="17" t="str">
        <x:v>Lite</x:v>
      </x:c>
      <x:c r="G2589" s="17" t="n">
        <x:v>11321</x:v>
      </x:c>
      <x:c r="H2589" s="17" t="n">
        <x:v>4624</x:v>
      </x:c>
      <x:c r="I2589" s="17" t="str">
        <x:v>Correction</x:v>
      </x:c>
      <x:c r="J2589" s="27" t="n">
        <x:f>INDEX('Model Pricing'!$B$7:$B$8,MATCH(F2589,'Model Pricing'!$A$7:$A$8,0))</x:f>
        <x:v>10</x:v>
      </x:c>
      <x:c r="K2589" s="27" t="n">
        <x:f>INDEX('Model Pricing'!$C$7:$C$8,MATCH(F2589,'Model Pricing'!$A$7:$A$8,0))</x:f>
        <x:v>30</x:v>
      </x:c>
      <x:c r="L2589" s="17" t="n">
        <x:f>G2589+H2589</x:f>
        <x:v>15945</x:v>
      </x:c>
      <x:c r="M2589" s="28" t="n">
        <x:f>G2589*J2589/1000000</x:f>
        <x:v>0.11321</x:v>
      </x:c>
      <x:c r="N2589" s="28" t="n">
        <x:f>H2589*K2589/1000000</x:f>
        <x:v>0.13872</x:v>
      </x:c>
      <x:c r="O2589" s="28" t="n">
        <x:f>SUM(M2589:N2589)</x:f>
        <x:v>0.25193</x:v>
      </x:c>
    </x:row>
    <x:row r="2590" ht="23" customHeight="1">
      <x:c r="A2590" s="17" t="str">
        <x:v>U02584</x:v>
      </x:c>
      <x:c r="B2590" s="18" t="n">
        <x:v>46279</x:v>
      </x:c>
      <x:c r="C2590" s="17" t="str">
        <x:v>W0188</x:v>
      </x:c>
      <x:c r="D2590" s="17" t="str">
        <x:v>C004</x:v>
      </x:c>
      <x:c r="E2590" s="17" t="str">
        <x:v>CampaignChat</x:v>
      </x:c>
      <x:c r="F2590" s="17" t="str">
        <x:v>Lite</x:v>
      </x:c>
      <x:c r="G2590" s="17" t="n">
        <x:v>15837</x:v>
      </x:c>
      <x:c r="H2590" s="17" t="n">
        <x:v>5249</x:v>
      </x:c>
      <x:c r="I2590" s="17" t="str">
        <x:v>Followup</x:v>
      </x:c>
      <x:c r="J2590" s="27" t="n">
        <x:f>INDEX('Model Pricing'!$B$7:$B$8,MATCH(F2590,'Model Pricing'!$A$7:$A$8,0))</x:f>
        <x:v>10</x:v>
      </x:c>
      <x:c r="K2590" s="27" t="n">
        <x:f>INDEX('Model Pricing'!$C$7:$C$8,MATCH(F2590,'Model Pricing'!$A$7:$A$8,0))</x:f>
        <x:v>30</x:v>
      </x:c>
      <x:c r="L2590" s="17" t="n">
        <x:f>G2590+H2590</x:f>
        <x:v>21086</x:v>
      </x:c>
      <x:c r="M2590" s="28" t="n">
        <x:f>G2590*J2590/1000000</x:f>
        <x:v>0.15837</x:v>
      </x:c>
      <x:c r="N2590" s="28" t="n">
        <x:f>H2590*K2590/1000000</x:f>
        <x:v>0.15747</x:v>
      </x:c>
      <x:c r="O2590" s="28" t="n">
        <x:f>SUM(M2590:N2590)</x:f>
        <x:v>0.31584</x:v>
      </x:c>
    </x:row>
    <x:row r="2591" ht="23" customHeight="1">
      <x:c r="A2591" s="17" t="str">
        <x:v>U02585</x:v>
      </x:c>
      <x:c r="B2591" s="18" t="n">
        <x:v>46279</x:v>
      </x:c>
      <x:c r="C2591" s="17" t="str">
        <x:v>W0188</x:v>
      </x:c>
      <x:c r="D2591" s="17" t="str">
        <x:v>C004</x:v>
      </x:c>
      <x:c r="E2591" s="17" t="str">
        <x:v>CampaignChat</x:v>
      </x:c>
      <x:c r="F2591" s="17" t="str">
        <x:v>Lite</x:v>
      </x:c>
      <x:c r="G2591" s="17" t="n">
        <x:v>19618</x:v>
      </x:c>
      <x:c r="H2591" s="17" t="n">
        <x:v>2286</x:v>
      </x:c>
      <x:c r="I2591" s="17" t="str">
        <x:v>Followup</x:v>
      </x:c>
      <x:c r="J2591" s="27" t="n">
        <x:f>INDEX('Model Pricing'!$B$7:$B$8,MATCH(F2591,'Model Pricing'!$A$7:$A$8,0))</x:f>
        <x:v>10</x:v>
      </x:c>
      <x:c r="K2591" s="27" t="n">
        <x:f>INDEX('Model Pricing'!$C$7:$C$8,MATCH(F2591,'Model Pricing'!$A$7:$A$8,0))</x:f>
        <x:v>30</x:v>
      </x:c>
      <x:c r="L2591" s="17" t="n">
        <x:f>G2591+H2591</x:f>
        <x:v>21904</x:v>
      </x:c>
      <x:c r="M2591" s="28" t="n">
        <x:f>G2591*J2591/1000000</x:f>
        <x:v>0.19618</x:v>
      </x:c>
      <x:c r="N2591" s="28" t="n">
        <x:f>H2591*K2591/1000000</x:f>
        <x:v>0.06858</x:v>
      </x:c>
      <x:c r="O2591" s="28" t="n">
        <x:f>SUM(M2591:N2591)</x:f>
        <x:v>0.26476</x:v>
      </x:c>
    </x:row>
    <x:row r="2592" ht="23" customHeight="1">
      <x:c r="A2592" s="17" t="str">
        <x:v>U02586</x:v>
      </x:c>
      <x:c r="B2592" s="18" t="n">
        <x:v>46280</x:v>
      </x:c>
      <x:c r="C2592" s="17" t="str">
        <x:v>W0188</x:v>
      </x:c>
      <x:c r="D2592" s="17" t="str">
        <x:v>C004</x:v>
      </x:c>
      <x:c r="E2592" s="17" t="str">
        <x:v>CampaignChat</x:v>
      </x:c>
      <x:c r="F2592" s="17" t="str">
        <x:v>Lite</x:v>
      </x:c>
      <x:c r="G2592" s="17" t="n">
        <x:v>9490</x:v>
      </x:c>
      <x:c r="H2592" s="17" t="n">
        <x:v>2520</x:v>
      </x:c>
      <x:c r="I2592" s="17" t="str">
        <x:v>Followup</x:v>
      </x:c>
      <x:c r="J2592" s="27" t="n">
        <x:f>INDEX('Model Pricing'!$B$7:$B$8,MATCH(F2592,'Model Pricing'!$A$7:$A$8,0))</x:f>
        <x:v>10</x:v>
      </x:c>
      <x:c r="K2592" s="27" t="n">
        <x:f>INDEX('Model Pricing'!$C$7:$C$8,MATCH(F2592,'Model Pricing'!$A$7:$A$8,0))</x:f>
        <x:v>30</x:v>
      </x:c>
      <x:c r="L2592" s="17" t="n">
        <x:f>G2592+H2592</x:f>
        <x:v>12010</x:v>
      </x:c>
      <x:c r="M2592" s="28" t="n">
        <x:f>G2592*J2592/1000000</x:f>
        <x:v>0.0949</x:v>
      </x:c>
      <x:c r="N2592" s="28" t="n">
        <x:f>H2592*K2592/1000000</x:f>
        <x:v>0.0756</x:v>
      </x:c>
      <x:c r="O2592" s="28" t="n">
        <x:f>SUM(M2592:N2592)</x:f>
        <x:v>0.17049999999999998</x:v>
      </x:c>
    </x:row>
    <x:row r="2593" ht="23" customHeight="1">
      <x:c r="A2593" s="17" t="str">
        <x:v>U02587</x:v>
      </x:c>
      <x:c r="B2593" s="18" t="n">
        <x:v>46280</x:v>
      </x:c>
      <x:c r="C2593" s="17" t="str">
        <x:v>W0188</x:v>
      </x:c>
      <x:c r="D2593" s="17" t="str">
        <x:v>C004</x:v>
      </x:c>
      <x:c r="E2593" s="17" t="str">
        <x:v>CampaignChat</x:v>
      </x:c>
      <x:c r="F2593" s="17" t="str">
        <x:v>Lite</x:v>
      </x:c>
      <x:c r="G2593" s="17" t="n">
        <x:v>17660</x:v>
      </x:c>
      <x:c r="H2593" s="17" t="n">
        <x:v>4123</x:v>
      </x:c>
      <x:c r="I2593" s="17" t="str">
        <x:v>Followup</x:v>
      </x:c>
      <x:c r="J2593" s="27" t="n">
        <x:f>INDEX('Model Pricing'!$B$7:$B$8,MATCH(F2593,'Model Pricing'!$A$7:$A$8,0))</x:f>
        <x:v>10</x:v>
      </x:c>
      <x:c r="K2593" s="27" t="n">
        <x:f>INDEX('Model Pricing'!$C$7:$C$8,MATCH(F2593,'Model Pricing'!$A$7:$A$8,0))</x:f>
        <x:v>30</x:v>
      </x:c>
      <x:c r="L2593" s="17" t="n">
        <x:f>G2593+H2593</x:f>
        <x:v>21783</x:v>
      </x:c>
      <x:c r="M2593" s="28" t="n">
        <x:f>G2593*J2593/1000000</x:f>
        <x:v>0.1766</x:v>
      </x:c>
      <x:c r="N2593" s="28" t="n">
        <x:f>H2593*K2593/1000000</x:f>
        <x:v>0.12369</x:v>
      </x:c>
      <x:c r="O2593" s="28" t="n">
        <x:f>SUM(M2593:N2593)</x:f>
        <x:v>0.30029</x:v>
      </x:c>
    </x:row>
    <x:row r="2594" ht="23" customHeight="1">
      <x:c r="A2594" s="17" t="str">
        <x:v>U02588</x:v>
      </x:c>
      <x:c r="B2594" s="18" t="n">
        <x:v>46280</x:v>
      </x:c>
      <x:c r="C2594" s="17" t="str">
        <x:v>W0188</x:v>
      </x:c>
      <x:c r="D2594" s="17" t="str">
        <x:v>C004</x:v>
      </x:c>
      <x:c r="E2594" s="17" t="str">
        <x:v>CampaignChat</x:v>
      </x:c>
      <x:c r="F2594" s="17" t="str">
        <x:v>Lite</x:v>
      </x:c>
      <x:c r="G2594" s="17" t="n">
        <x:v>16814</x:v>
      </x:c>
      <x:c r="H2594" s="17" t="n">
        <x:v>4805</x:v>
      </x:c>
      <x:c r="I2594" s="17" t="str">
        <x:v>Correction</x:v>
      </x:c>
      <x:c r="J2594" s="27" t="n">
        <x:f>INDEX('Model Pricing'!$B$7:$B$8,MATCH(F2594,'Model Pricing'!$A$7:$A$8,0))</x:f>
        <x:v>10</x:v>
      </x:c>
      <x:c r="K2594" s="27" t="n">
        <x:f>INDEX('Model Pricing'!$C$7:$C$8,MATCH(F2594,'Model Pricing'!$A$7:$A$8,0))</x:f>
        <x:v>30</x:v>
      </x:c>
      <x:c r="L2594" s="17" t="n">
        <x:f>G2594+H2594</x:f>
        <x:v>21619</x:v>
      </x:c>
      <x:c r="M2594" s="28" t="n">
        <x:f>G2594*J2594/1000000</x:f>
        <x:v>0.16814</x:v>
      </x:c>
      <x:c r="N2594" s="28" t="n">
        <x:f>H2594*K2594/1000000</x:f>
        <x:v>0.14415</x:v>
      </x:c>
      <x:c r="O2594" s="28" t="n">
        <x:f>SUM(M2594:N2594)</x:f>
        <x:v>0.31229</x:v>
      </x:c>
    </x:row>
    <x:row r="2595" ht="23" customHeight="1">
      <x:c r="A2595" s="17" t="str">
        <x:v>U02589</x:v>
      </x:c>
      <x:c r="B2595" s="18" t="n">
        <x:v>46281</x:v>
      </x:c>
      <x:c r="C2595" s="17" t="str">
        <x:v>W0188</x:v>
      </x:c>
      <x:c r="D2595" s="17" t="str">
        <x:v>C004</x:v>
      </x:c>
      <x:c r="E2595" s="17" t="str">
        <x:v>CampaignChat</x:v>
      </x:c>
      <x:c r="F2595" s="17" t="str">
        <x:v>Lite</x:v>
      </x:c>
      <x:c r="G2595" s="17" t="n">
        <x:v>12980</x:v>
      </x:c>
      <x:c r="H2595" s="17" t="n">
        <x:v>5094</x:v>
      </x:c>
      <x:c r="I2595" s="17" t="str">
        <x:v>Followup</x:v>
      </x:c>
      <x:c r="J2595" s="27" t="n">
        <x:f>INDEX('Model Pricing'!$B$7:$B$8,MATCH(F2595,'Model Pricing'!$A$7:$A$8,0))</x:f>
        <x:v>10</x:v>
      </x:c>
      <x:c r="K2595" s="27" t="n">
        <x:f>INDEX('Model Pricing'!$C$7:$C$8,MATCH(F2595,'Model Pricing'!$A$7:$A$8,0))</x:f>
        <x:v>30</x:v>
      </x:c>
      <x:c r="L2595" s="17" t="n">
        <x:f>G2595+H2595</x:f>
        <x:v>18074</x:v>
      </x:c>
      <x:c r="M2595" s="28" t="n">
        <x:f>G2595*J2595/1000000</x:f>
        <x:v>0.1298</x:v>
      </x:c>
      <x:c r="N2595" s="28" t="n">
        <x:f>H2595*K2595/1000000</x:f>
        <x:v>0.15282</x:v>
      </x:c>
      <x:c r="O2595" s="28" t="n">
        <x:f>SUM(M2595:N2595)</x:f>
        <x:v>0.28262</x:v>
      </x:c>
    </x:row>
    <x:row r="2596" ht="23" customHeight="1">
      <x:c r="A2596" s="17" t="str">
        <x:v>U02590</x:v>
      </x:c>
      <x:c r="B2596" s="18" t="n">
        <x:v>46281</x:v>
      </x:c>
      <x:c r="C2596" s="17" t="str">
        <x:v>W0188</x:v>
      </x:c>
      <x:c r="D2596" s="17" t="str">
        <x:v>C004</x:v>
      </x:c>
      <x:c r="E2596" s="17" t="str">
        <x:v>CampaignChat</x:v>
      </x:c>
      <x:c r="F2596" s="17" t="str">
        <x:v>Lite</x:v>
      </x:c>
      <x:c r="G2596" s="17" t="n">
        <x:v>11521</x:v>
      </x:c>
      <x:c r="H2596" s="17" t="n">
        <x:v>3681</x:v>
      </x:c>
      <x:c r="I2596" s="17" t="str">
        <x:v>Correction</x:v>
      </x:c>
      <x:c r="J2596" s="27" t="n">
        <x:f>INDEX('Model Pricing'!$B$7:$B$8,MATCH(F2596,'Model Pricing'!$A$7:$A$8,0))</x:f>
        <x:v>10</x:v>
      </x:c>
      <x:c r="K2596" s="27" t="n">
        <x:f>INDEX('Model Pricing'!$C$7:$C$8,MATCH(F2596,'Model Pricing'!$A$7:$A$8,0))</x:f>
        <x:v>30</x:v>
      </x:c>
      <x:c r="L2596" s="17" t="n">
        <x:f>G2596+H2596</x:f>
        <x:v>15202</x:v>
      </x:c>
      <x:c r="M2596" s="28" t="n">
        <x:f>G2596*J2596/1000000</x:f>
        <x:v>0.11521</x:v>
      </x:c>
      <x:c r="N2596" s="28" t="n">
        <x:f>H2596*K2596/1000000</x:f>
        <x:v>0.11043</x:v>
      </x:c>
      <x:c r="O2596" s="28" t="n">
        <x:f>SUM(M2596:N2596)</x:f>
        <x:v>0.22564</x:v>
      </x:c>
    </x:row>
    <x:row r="2597" ht="23" customHeight="1">
      <x:c r="A2597" s="17" t="str">
        <x:v>U02591</x:v>
      </x:c>
      <x:c r="B2597" s="18" t="n">
        <x:v>46281</x:v>
      </x:c>
      <x:c r="C2597" s="17" t="str">
        <x:v>W0188</x:v>
      </x:c>
      <x:c r="D2597" s="17" t="str">
        <x:v>C004</x:v>
      </x:c>
      <x:c r="E2597" s="17" t="str">
        <x:v>CampaignChat</x:v>
      </x:c>
      <x:c r="F2597" s="17" t="str">
        <x:v>Lite</x:v>
      </x:c>
      <x:c r="G2597" s="17" t="n">
        <x:v>13548</x:v>
      </x:c>
      <x:c r="H2597" s="17" t="n">
        <x:v>5070</x:v>
      </x:c>
      <x:c r="I2597" s="17" t="str">
        <x:v>Followup</x:v>
      </x:c>
      <x:c r="J2597" s="27" t="n">
        <x:f>INDEX('Model Pricing'!$B$7:$B$8,MATCH(F2597,'Model Pricing'!$A$7:$A$8,0))</x:f>
        <x:v>10</x:v>
      </x:c>
      <x:c r="K2597" s="27" t="n">
        <x:f>INDEX('Model Pricing'!$C$7:$C$8,MATCH(F2597,'Model Pricing'!$A$7:$A$8,0))</x:f>
        <x:v>30</x:v>
      </x:c>
      <x:c r="L2597" s="17" t="n">
        <x:f>G2597+H2597</x:f>
        <x:v>18618</x:v>
      </x:c>
      <x:c r="M2597" s="28" t="n">
        <x:f>G2597*J2597/1000000</x:f>
        <x:v>0.13548</x:v>
      </x:c>
      <x:c r="N2597" s="28" t="n">
        <x:f>H2597*K2597/1000000</x:f>
        <x:v>0.1521</x:v>
      </x:c>
      <x:c r="O2597" s="28" t="n">
        <x:f>SUM(M2597:N2597)</x:f>
        <x:v>0.28758</x:v>
      </x:c>
    </x:row>
    <x:row r="2598" ht="23" customHeight="1">
      <x:c r="A2598" s="17" t="str">
        <x:v>U02592</x:v>
      </x:c>
      <x:c r="B2598" s="18" t="n">
        <x:v>46287</x:v>
      </x:c>
      <x:c r="C2598" s="17" t="str">
        <x:v>W0189</x:v>
      </x:c>
      <x:c r="D2598" s="17" t="str">
        <x:v>C004</x:v>
      </x:c>
      <x:c r="E2598" s="17" t="str">
        <x:v>InsightDesk</x:v>
      </x:c>
      <x:c r="F2598" s="17" t="str">
        <x:v>Lite</x:v>
      </x:c>
      <x:c r="G2598" s="17" t="n">
        <x:v>14221</x:v>
      </x:c>
      <x:c r="H2598" s="17" t="n">
        <x:v>2792</x:v>
      </x:c>
      <x:c r="I2598" s="17" t="str">
        <x:v>First attempt</x:v>
      </x:c>
      <x:c r="J2598" s="27" t="n">
        <x:f>INDEX('Model Pricing'!$B$7:$B$8,MATCH(F2598,'Model Pricing'!$A$7:$A$8,0))</x:f>
        <x:v>10</x:v>
      </x:c>
      <x:c r="K2598" s="27" t="n">
        <x:f>INDEX('Model Pricing'!$C$7:$C$8,MATCH(F2598,'Model Pricing'!$A$7:$A$8,0))</x:f>
        <x:v>30</x:v>
      </x:c>
      <x:c r="L2598" s="17" t="n">
        <x:f>G2598+H2598</x:f>
        <x:v>17013</x:v>
      </x:c>
      <x:c r="M2598" s="28" t="n">
        <x:f>G2598*J2598/1000000</x:f>
        <x:v>0.14221</x:v>
      </x:c>
      <x:c r="N2598" s="28" t="n">
        <x:f>H2598*K2598/1000000</x:f>
        <x:v>0.08376</x:v>
      </x:c>
      <x:c r="O2598" s="28" t="n">
        <x:f>SUM(M2598:N2598)</x:f>
        <x:v>0.22597</x:v>
      </x:c>
    </x:row>
    <x:row r="2599" ht="23" customHeight="1">
      <x:c r="A2599" s="17" t="str">
        <x:v>U02593</x:v>
      </x:c>
      <x:c r="B2599" s="18" t="n">
        <x:v>46287</x:v>
      </x:c>
      <x:c r="C2599" s="17" t="str">
        <x:v>W0189</x:v>
      </x:c>
      <x:c r="D2599" s="17" t="str">
        <x:v>C004</x:v>
      </x:c>
      <x:c r="E2599" s="17" t="str">
        <x:v>InsightDesk</x:v>
      </x:c>
      <x:c r="F2599" s="17" t="str">
        <x:v>Lite</x:v>
      </x:c>
      <x:c r="G2599" s="17" t="n">
        <x:v>12455</x:v>
      </x:c>
      <x:c r="H2599" s="17" t="n">
        <x:v>2325</x:v>
      </x:c>
      <x:c r="I2599" s="17" t="str">
        <x:v>Followup</x:v>
      </x:c>
      <x:c r="J2599" s="27" t="n">
        <x:f>INDEX('Model Pricing'!$B$7:$B$8,MATCH(F2599,'Model Pricing'!$A$7:$A$8,0))</x:f>
        <x:v>10</x:v>
      </x:c>
      <x:c r="K2599" s="27" t="n">
        <x:f>INDEX('Model Pricing'!$C$7:$C$8,MATCH(F2599,'Model Pricing'!$A$7:$A$8,0))</x:f>
        <x:v>30</x:v>
      </x:c>
      <x:c r="L2599" s="17" t="n">
        <x:f>G2599+H2599</x:f>
        <x:v>14780</x:v>
      </x:c>
      <x:c r="M2599" s="28" t="n">
        <x:f>G2599*J2599/1000000</x:f>
        <x:v>0.12455</x:v>
      </x:c>
      <x:c r="N2599" s="28" t="n">
        <x:f>H2599*K2599/1000000</x:f>
        <x:v>0.06975</x:v>
      </x:c>
      <x:c r="O2599" s="28" t="n">
        <x:f>SUM(M2599:N2599)</x:f>
        <x:v>0.1943</x:v>
      </x:c>
    </x:row>
    <x:row r="2600" ht="23" customHeight="1">
      <x:c r="A2600" s="17" t="str">
        <x:v>U02594</x:v>
      </x:c>
      <x:c r="B2600" s="18" t="n">
        <x:v>46287</x:v>
      </x:c>
      <x:c r="C2600" s="17" t="str">
        <x:v>W0189</x:v>
      </x:c>
      <x:c r="D2600" s="17" t="str">
        <x:v>C004</x:v>
      </x:c>
      <x:c r="E2600" s="17" t="str">
        <x:v>InsightDesk</x:v>
      </x:c>
      <x:c r="F2600" s="17" t="str">
        <x:v>Lite</x:v>
      </x:c>
      <x:c r="G2600" s="17" t="n">
        <x:v>9455</x:v>
      </x:c>
      <x:c r="H2600" s="17" t="n">
        <x:v>3582</x:v>
      </x:c>
      <x:c r="I2600" s="17" t="str">
        <x:v>Correction</x:v>
      </x:c>
      <x:c r="J2600" s="27" t="n">
        <x:f>INDEX('Model Pricing'!$B$7:$B$8,MATCH(F2600,'Model Pricing'!$A$7:$A$8,0))</x:f>
        <x:v>10</x:v>
      </x:c>
      <x:c r="K2600" s="27" t="n">
        <x:f>INDEX('Model Pricing'!$C$7:$C$8,MATCH(F2600,'Model Pricing'!$A$7:$A$8,0))</x:f>
        <x:v>30</x:v>
      </x:c>
      <x:c r="L2600" s="17" t="n">
        <x:f>G2600+H2600</x:f>
        <x:v>13037</x:v>
      </x:c>
      <x:c r="M2600" s="28" t="n">
        <x:f>G2600*J2600/1000000</x:f>
        <x:v>0.09455</x:v>
      </x:c>
      <x:c r="N2600" s="28" t="n">
        <x:f>H2600*K2600/1000000</x:f>
        <x:v>0.10746</x:v>
      </x:c>
      <x:c r="O2600" s="28" t="n">
        <x:f>SUM(M2600:N2600)</x:f>
        <x:v>0.20201</x:v>
      </x:c>
    </x:row>
    <x:row r="2601" ht="23" customHeight="1">
      <x:c r="A2601" s="17" t="str">
        <x:v>U02595</x:v>
      </x:c>
      <x:c r="B2601" s="18" t="n">
        <x:v>46287</x:v>
      </x:c>
      <x:c r="C2601" s="17" t="str">
        <x:v>W0189</x:v>
      </x:c>
      <x:c r="D2601" s="17" t="str">
        <x:v>C004</x:v>
      </x:c>
      <x:c r="E2601" s="17" t="str">
        <x:v>InsightDesk</x:v>
      </x:c>
      <x:c r="F2601" s="17" t="str">
        <x:v>Lite</x:v>
      </x:c>
      <x:c r="G2601" s="17" t="n">
        <x:v>16486</x:v>
      </x:c>
      <x:c r="H2601" s="17" t="n">
        <x:v>4519</x:v>
      </x:c>
      <x:c r="I2601" s="17" t="str">
        <x:v>Followup</x:v>
      </x:c>
      <x:c r="J2601" s="27" t="n">
        <x:f>INDEX('Model Pricing'!$B$7:$B$8,MATCH(F2601,'Model Pricing'!$A$7:$A$8,0))</x:f>
        <x:v>10</x:v>
      </x:c>
      <x:c r="K2601" s="27" t="n">
        <x:f>INDEX('Model Pricing'!$C$7:$C$8,MATCH(F2601,'Model Pricing'!$A$7:$A$8,0))</x:f>
        <x:v>30</x:v>
      </x:c>
      <x:c r="L2601" s="17" t="n">
        <x:f>G2601+H2601</x:f>
        <x:v>21005</x:v>
      </x:c>
      <x:c r="M2601" s="28" t="n">
        <x:f>G2601*J2601/1000000</x:f>
        <x:v>0.16486</x:v>
      </x:c>
      <x:c r="N2601" s="28" t="n">
        <x:f>H2601*K2601/1000000</x:f>
        <x:v>0.13557</x:v>
      </x:c>
      <x:c r="O2601" s="28" t="n">
        <x:f>SUM(M2601:N2601)</x:f>
        <x:v>0.30043</x:v>
      </x:c>
    </x:row>
    <x:row r="2602" ht="23" customHeight="1">
      <x:c r="A2602" s="17" t="str">
        <x:v>U02596</x:v>
      </x:c>
      <x:c r="B2602" s="18" t="n">
        <x:v>46288</x:v>
      </x:c>
      <x:c r="C2602" s="17" t="str">
        <x:v>W0189</x:v>
      </x:c>
      <x:c r="D2602" s="17" t="str">
        <x:v>C004</x:v>
      </x:c>
      <x:c r="E2602" s="17" t="str">
        <x:v>InsightDesk</x:v>
      </x:c>
      <x:c r="F2602" s="17" t="str">
        <x:v>Lite</x:v>
      </x:c>
      <x:c r="G2602" s="17" t="n">
        <x:v>13002</x:v>
      </x:c>
      <x:c r="H2602" s="17" t="n">
        <x:v>2468</x:v>
      </x:c>
      <x:c r="I2602" s="17" t="str">
        <x:v>Followup</x:v>
      </x:c>
      <x:c r="J2602" s="27" t="n">
        <x:f>INDEX('Model Pricing'!$B$7:$B$8,MATCH(F2602,'Model Pricing'!$A$7:$A$8,0))</x:f>
        <x:v>10</x:v>
      </x:c>
      <x:c r="K2602" s="27" t="n">
        <x:f>INDEX('Model Pricing'!$C$7:$C$8,MATCH(F2602,'Model Pricing'!$A$7:$A$8,0))</x:f>
        <x:v>30</x:v>
      </x:c>
      <x:c r="L2602" s="17" t="n">
        <x:f>G2602+H2602</x:f>
        <x:v>15470</x:v>
      </x:c>
      <x:c r="M2602" s="28" t="n">
        <x:f>G2602*J2602/1000000</x:f>
        <x:v>0.13002</x:v>
      </x:c>
      <x:c r="N2602" s="28" t="n">
        <x:f>H2602*K2602/1000000</x:f>
        <x:v>0.07404</x:v>
      </x:c>
      <x:c r="O2602" s="28" t="n">
        <x:f>SUM(M2602:N2602)</x:f>
        <x:v>0.20406</x:v>
      </x:c>
    </x:row>
    <x:row r="2603" ht="23" customHeight="1">
      <x:c r="A2603" s="17" t="str">
        <x:v>U02597</x:v>
      </x:c>
      <x:c r="B2603" s="18" t="n">
        <x:v>46288</x:v>
      </x:c>
      <x:c r="C2603" s="17" t="str">
        <x:v>W0189</x:v>
      </x:c>
      <x:c r="D2603" s="17" t="str">
        <x:v>C004</x:v>
      </x:c>
      <x:c r="E2603" s="17" t="str">
        <x:v>InsightDesk</x:v>
      </x:c>
      <x:c r="F2603" s="17" t="str">
        <x:v>Lite</x:v>
      </x:c>
      <x:c r="G2603" s="17" t="n">
        <x:v>20162</x:v>
      </x:c>
      <x:c r="H2603" s="17" t="n">
        <x:v>6836</x:v>
      </x:c>
      <x:c r="I2603" s="17" t="str">
        <x:v>Followup</x:v>
      </x:c>
      <x:c r="J2603" s="27" t="n">
        <x:f>INDEX('Model Pricing'!$B$7:$B$8,MATCH(F2603,'Model Pricing'!$A$7:$A$8,0))</x:f>
        <x:v>10</x:v>
      </x:c>
      <x:c r="K2603" s="27" t="n">
        <x:f>INDEX('Model Pricing'!$C$7:$C$8,MATCH(F2603,'Model Pricing'!$A$7:$A$8,0))</x:f>
        <x:v>30</x:v>
      </x:c>
      <x:c r="L2603" s="17" t="n">
        <x:f>G2603+H2603</x:f>
        <x:v>26998</x:v>
      </x:c>
      <x:c r="M2603" s="28" t="n">
        <x:f>G2603*J2603/1000000</x:f>
        <x:v>0.20162</x:v>
      </x:c>
      <x:c r="N2603" s="28" t="n">
        <x:f>H2603*K2603/1000000</x:f>
        <x:v>0.20508</x:v>
      </x:c>
      <x:c r="O2603" s="28" t="n">
        <x:f>SUM(M2603:N2603)</x:f>
        <x:v>0.4067</x:v>
      </x:c>
    </x:row>
    <x:row r="2604" ht="23" customHeight="1">
      <x:c r="A2604" s="17" t="str">
        <x:v>U02598</x:v>
      </x:c>
      <x:c r="B2604" s="18" t="n">
        <x:v>46288</x:v>
      </x:c>
      <x:c r="C2604" s="17" t="str">
        <x:v>W0189</x:v>
      </x:c>
      <x:c r="D2604" s="17" t="str">
        <x:v>C004</x:v>
      </x:c>
      <x:c r="E2604" s="17" t="str">
        <x:v>InsightDesk</x:v>
      </x:c>
      <x:c r="F2604" s="17" t="str">
        <x:v>Lite</x:v>
      </x:c>
      <x:c r="G2604" s="17" t="n">
        <x:v>25292</x:v>
      </x:c>
      <x:c r="H2604" s="17" t="n">
        <x:v>4864</x:v>
      </x:c>
      <x:c r="I2604" s="17" t="str">
        <x:v>Followup</x:v>
      </x:c>
      <x:c r="J2604" s="27" t="n">
        <x:f>INDEX('Model Pricing'!$B$7:$B$8,MATCH(F2604,'Model Pricing'!$A$7:$A$8,0))</x:f>
        <x:v>10</x:v>
      </x:c>
      <x:c r="K2604" s="27" t="n">
        <x:f>INDEX('Model Pricing'!$C$7:$C$8,MATCH(F2604,'Model Pricing'!$A$7:$A$8,0))</x:f>
        <x:v>30</x:v>
      </x:c>
      <x:c r="L2604" s="17" t="n">
        <x:f>G2604+H2604</x:f>
        <x:v>30156</x:v>
      </x:c>
      <x:c r="M2604" s="28" t="n">
        <x:f>G2604*J2604/1000000</x:f>
        <x:v>0.25292</x:v>
      </x:c>
      <x:c r="N2604" s="28" t="n">
        <x:f>H2604*K2604/1000000</x:f>
        <x:v>0.14592</x:v>
      </x:c>
      <x:c r="O2604" s="28" t="n">
        <x:f>SUM(M2604:N2604)</x:f>
        <x:v>0.39884</x:v>
      </x:c>
    </x:row>
    <x:row r="2605" ht="23" customHeight="1">
      <x:c r="A2605" s="17" t="str">
        <x:v>U02599</x:v>
      </x:c>
      <x:c r="B2605" s="18" t="n">
        <x:v>46288</x:v>
      </x:c>
      <x:c r="C2605" s="17" t="str">
        <x:v>W0189</x:v>
      </x:c>
      <x:c r="D2605" s="17" t="str">
        <x:v>C004</x:v>
      </x:c>
      <x:c r="E2605" s="17" t="str">
        <x:v>InsightDesk</x:v>
      </x:c>
      <x:c r="F2605" s="17" t="str">
        <x:v>Lite</x:v>
      </x:c>
      <x:c r="G2605" s="17" t="n">
        <x:v>19304</x:v>
      </x:c>
      <x:c r="H2605" s="17" t="n">
        <x:v>6713</x:v>
      </x:c>
      <x:c r="I2605" s="17" t="str">
        <x:v>Followup</x:v>
      </x:c>
      <x:c r="J2605" s="27" t="n">
        <x:f>INDEX('Model Pricing'!$B$7:$B$8,MATCH(F2605,'Model Pricing'!$A$7:$A$8,0))</x:f>
        <x:v>10</x:v>
      </x:c>
      <x:c r="K2605" s="27" t="n">
        <x:f>INDEX('Model Pricing'!$C$7:$C$8,MATCH(F2605,'Model Pricing'!$A$7:$A$8,0))</x:f>
        <x:v>30</x:v>
      </x:c>
      <x:c r="L2605" s="17" t="n">
        <x:f>G2605+H2605</x:f>
        <x:v>26017</x:v>
      </x:c>
      <x:c r="M2605" s="28" t="n">
        <x:f>G2605*J2605/1000000</x:f>
        <x:v>0.19304</x:v>
      </x:c>
      <x:c r="N2605" s="28" t="n">
        <x:f>H2605*K2605/1000000</x:f>
        <x:v>0.20139</x:v>
      </x:c>
      <x:c r="O2605" s="28" t="n">
        <x:f>SUM(M2605:N2605)</x:f>
        <x:v>0.39443</x:v>
      </x:c>
    </x:row>
    <x:row r="2606" ht="23" customHeight="1">
      <x:c r="A2606" s="17" t="str">
        <x:v>U02600</x:v>
      </x:c>
      <x:c r="B2606" s="18" t="n">
        <x:v>46289</x:v>
      </x:c>
      <x:c r="C2606" s="17" t="str">
        <x:v>W0189</x:v>
      </x:c>
      <x:c r="D2606" s="17" t="str">
        <x:v>C004</x:v>
      </x:c>
      <x:c r="E2606" s="17" t="str">
        <x:v>InsightDesk</x:v>
      </x:c>
      <x:c r="F2606" s="17" t="str">
        <x:v>Lite</x:v>
      </x:c>
      <x:c r="G2606" s="17" t="n">
        <x:v>11148</x:v>
      </x:c>
      <x:c r="H2606" s="17" t="n">
        <x:v>4841</x:v>
      </x:c>
      <x:c r="I2606" s="17" t="str">
        <x:v>Followup</x:v>
      </x:c>
      <x:c r="J2606" s="27" t="n">
        <x:f>INDEX('Model Pricing'!$B$7:$B$8,MATCH(F2606,'Model Pricing'!$A$7:$A$8,0))</x:f>
        <x:v>10</x:v>
      </x:c>
      <x:c r="K2606" s="27" t="n">
        <x:f>INDEX('Model Pricing'!$C$7:$C$8,MATCH(F2606,'Model Pricing'!$A$7:$A$8,0))</x:f>
        <x:v>30</x:v>
      </x:c>
      <x:c r="L2606" s="17" t="n">
        <x:f>G2606+H2606</x:f>
        <x:v>15989</x:v>
      </x:c>
      <x:c r="M2606" s="28" t="n">
        <x:f>G2606*J2606/1000000</x:f>
        <x:v>0.11148</x:v>
      </x:c>
      <x:c r="N2606" s="28" t="n">
        <x:f>H2606*K2606/1000000</x:f>
        <x:v>0.14523</x:v>
      </x:c>
      <x:c r="O2606" s="28" t="n">
        <x:f>SUM(M2606:N2606)</x:f>
        <x:v>0.25671</x:v>
      </x:c>
    </x:row>
    <x:row r="2607" ht="23" customHeight="1">
      <x:c r="A2607" s="17" t="str">
        <x:v>U02601</x:v>
      </x:c>
      <x:c r="B2607" s="18" t="n">
        <x:v>46289</x:v>
      </x:c>
      <x:c r="C2607" s="17" t="str">
        <x:v>W0189</x:v>
      </x:c>
      <x:c r="D2607" s="17" t="str">
        <x:v>C004</x:v>
      </x:c>
      <x:c r="E2607" s="17" t="str">
        <x:v>InsightDesk</x:v>
      </x:c>
      <x:c r="F2607" s="17" t="str">
        <x:v>Lite</x:v>
      </x:c>
      <x:c r="G2607" s="17" t="n">
        <x:v>11264</x:v>
      </x:c>
      <x:c r="H2607" s="17" t="n">
        <x:v>7378</x:v>
      </x:c>
      <x:c r="I2607" s="17" t="str">
        <x:v>Correction</x:v>
      </x:c>
      <x:c r="J2607" s="27" t="n">
        <x:f>INDEX('Model Pricing'!$B$7:$B$8,MATCH(F2607,'Model Pricing'!$A$7:$A$8,0))</x:f>
        <x:v>10</x:v>
      </x:c>
      <x:c r="K2607" s="27" t="n">
        <x:f>INDEX('Model Pricing'!$C$7:$C$8,MATCH(F2607,'Model Pricing'!$A$7:$A$8,0))</x:f>
        <x:v>30</x:v>
      </x:c>
      <x:c r="L2607" s="17" t="n">
        <x:f>G2607+H2607</x:f>
        <x:v>18642</x:v>
      </x:c>
      <x:c r="M2607" s="28" t="n">
        <x:f>G2607*J2607/1000000</x:f>
        <x:v>0.11264</x:v>
      </x:c>
      <x:c r="N2607" s="28" t="n">
        <x:f>H2607*K2607/1000000</x:f>
        <x:v>0.22134</x:v>
      </x:c>
      <x:c r="O2607" s="28" t="n">
        <x:f>SUM(M2607:N2607)</x:f>
        <x:v>0.33398</x:v>
      </x:c>
    </x:row>
    <x:row r="2608" ht="23" customHeight="1">
      <x:c r="A2608" s="17" t="str">
        <x:v>U02602</x:v>
      </x:c>
      <x:c r="B2608" s="18" t="n">
        <x:v>46289</x:v>
      </x:c>
      <x:c r="C2608" s="17" t="str">
        <x:v>W0189</x:v>
      </x:c>
      <x:c r="D2608" s="17" t="str">
        <x:v>C004</x:v>
      </x:c>
      <x:c r="E2608" s="17" t="str">
        <x:v>InsightDesk</x:v>
      </x:c>
      <x:c r="F2608" s="17" t="str">
        <x:v>Lite</x:v>
      </x:c>
      <x:c r="G2608" s="17" t="n">
        <x:v>23226</x:v>
      </x:c>
      <x:c r="H2608" s="17" t="n">
        <x:v>3998</x:v>
      </x:c>
      <x:c r="I2608" s="17" t="str">
        <x:v>Followup</x:v>
      </x:c>
      <x:c r="J2608" s="27" t="n">
        <x:f>INDEX('Model Pricing'!$B$7:$B$8,MATCH(F2608,'Model Pricing'!$A$7:$A$8,0))</x:f>
        <x:v>10</x:v>
      </x:c>
      <x:c r="K2608" s="27" t="n">
        <x:f>INDEX('Model Pricing'!$C$7:$C$8,MATCH(F2608,'Model Pricing'!$A$7:$A$8,0))</x:f>
        <x:v>30</x:v>
      </x:c>
      <x:c r="L2608" s="17" t="n">
        <x:f>G2608+H2608</x:f>
        <x:v>27224</x:v>
      </x:c>
      <x:c r="M2608" s="28" t="n">
        <x:f>G2608*J2608/1000000</x:f>
        <x:v>0.23226</x:v>
      </x:c>
      <x:c r="N2608" s="28" t="n">
        <x:f>H2608*K2608/1000000</x:f>
        <x:v>0.11994</x:v>
      </x:c>
      <x:c r="O2608" s="28" t="n">
        <x:f>SUM(M2608:N2608)</x:f>
        <x:v>0.3522</x:v>
      </x:c>
    </x:row>
    <x:row r="2609" ht="23" customHeight="1">
      <x:c r="A2609" s="17" t="str">
        <x:v>U02603</x:v>
      </x:c>
      <x:c r="B2609" s="18" t="n">
        <x:v>46289</x:v>
      </x:c>
      <x:c r="C2609" s="17" t="str">
        <x:v>W0189</x:v>
      </x:c>
      <x:c r="D2609" s="17" t="str">
        <x:v>C004</x:v>
      </x:c>
      <x:c r="E2609" s="17" t="str">
        <x:v>InsightDesk</x:v>
      </x:c>
      <x:c r="F2609" s="17" t="str">
        <x:v>Lite</x:v>
      </x:c>
      <x:c r="G2609" s="17" t="n">
        <x:v>18609</x:v>
      </x:c>
      <x:c r="H2609" s="17" t="n">
        <x:v>8167</x:v>
      </x:c>
      <x:c r="I2609" s="17" t="str">
        <x:v>Followup</x:v>
      </x:c>
      <x:c r="J2609" s="27" t="n">
        <x:f>INDEX('Model Pricing'!$B$7:$B$8,MATCH(F2609,'Model Pricing'!$A$7:$A$8,0))</x:f>
        <x:v>10</x:v>
      </x:c>
      <x:c r="K2609" s="27" t="n">
        <x:f>INDEX('Model Pricing'!$C$7:$C$8,MATCH(F2609,'Model Pricing'!$A$7:$A$8,0))</x:f>
        <x:v>30</x:v>
      </x:c>
      <x:c r="L2609" s="17" t="n">
        <x:f>G2609+H2609</x:f>
        <x:v>26776</x:v>
      </x:c>
      <x:c r="M2609" s="28" t="n">
        <x:f>G2609*J2609/1000000</x:f>
        <x:v>0.18609</x:v>
      </x:c>
      <x:c r="N2609" s="28" t="n">
        <x:f>H2609*K2609/1000000</x:f>
        <x:v>0.24501</x:v>
      </x:c>
      <x:c r="O2609" s="28" t="n">
        <x:f>SUM(M2609:N2609)</x:f>
        <x:v>0.43110000000000004</x:v>
      </x:c>
    </x:row>
    <x:row r="2610" ht="23" customHeight="1">
      <x:c r="A2610" s="17" t="str">
        <x:v>U02604</x:v>
      </x:c>
      <x:c r="B2610" s="18" t="n">
        <x:v>46290</x:v>
      </x:c>
      <x:c r="C2610" s="17" t="str">
        <x:v>W0189</x:v>
      </x:c>
      <x:c r="D2610" s="17" t="str">
        <x:v>C004</x:v>
      </x:c>
      <x:c r="E2610" s="17" t="str">
        <x:v>InsightDesk</x:v>
      </x:c>
      <x:c r="F2610" s="17" t="str">
        <x:v>Lite</x:v>
      </x:c>
      <x:c r="G2610" s="17" t="n">
        <x:v>23833</x:v>
      </x:c>
      <x:c r="H2610" s="17" t="n">
        <x:v>5357</x:v>
      </x:c>
      <x:c r="I2610" s="17" t="str">
        <x:v>Followup</x:v>
      </x:c>
      <x:c r="J2610" s="27" t="n">
        <x:f>INDEX('Model Pricing'!$B$7:$B$8,MATCH(F2610,'Model Pricing'!$A$7:$A$8,0))</x:f>
        <x:v>10</x:v>
      </x:c>
      <x:c r="K2610" s="27" t="n">
        <x:f>INDEX('Model Pricing'!$C$7:$C$8,MATCH(F2610,'Model Pricing'!$A$7:$A$8,0))</x:f>
        <x:v>30</x:v>
      </x:c>
      <x:c r="L2610" s="17" t="n">
        <x:f>G2610+H2610</x:f>
        <x:v>29190</x:v>
      </x:c>
      <x:c r="M2610" s="28" t="n">
        <x:f>G2610*J2610/1000000</x:f>
        <x:v>0.23833</x:v>
      </x:c>
      <x:c r="N2610" s="28" t="n">
        <x:f>H2610*K2610/1000000</x:f>
        <x:v>0.16071</x:v>
      </x:c>
      <x:c r="O2610" s="28" t="n">
        <x:f>SUM(M2610:N2610)</x:f>
        <x:v>0.39903999999999995</x:v>
      </x:c>
    </x:row>
    <x:row r="2611" ht="23" customHeight="1">
      <x:c r="A2611" s="17" t="str">
        <x:v>U02605</x:v>
      </x:c>
      <x:c r="B2611" s="18" t="n">
        <x:v>46290</x:v>
      </x:c>
      <x:c r="C2611" s="17" t="str">
        <x:v>W0189</x:v>
      </x:c>
      <x:c r="D2611" s="17" t="str">
        <x:v>C004</x:v>
      </x:c>
      <x:c r="E2611" s="17" t="str">
        <x:v>InsightDesk</x:v>
      </x:c>
      <x:c r="F2611" s="17" t="str">
        <x:v>Lite</x:v>
      </x:c>
      <x:c r="G2611" s="17" t="n">
        <x:v>22549</x:v>
      </x:c>
      <x:c r="H2611" s="17" t="n">
        <x:v>4163</x:v>
      </x:c>
      <x:c r="I2611" s="17" t="str">
        <x:v>Correction</x:v>
      </x:c>
      <x:c r="J2611" s="27" t="n">
        <x:f>INDEX('Model Pricing'!$B$7:$B$8,MATCH(F2611,'Model Pricing'!$A$7:$A$8,0))</x:f>
        <x:v>10</x:v>
      </x:c>
      <x:c r="K2611" s="27" t="n">
        <x:f>INDEX('Model Pricing'!$C$7:$C$8,MATCH(F2611,'Model Pricing'!$A$7:$A$8,0))</x:f>
        <x:v>30</x:v>
      </x:c>
      <x:c r="L2611" s="17" t="n">
        <x:f>G2611+H2611</x:f>
        <x:v>26712</x:v>
      </x:c>
      <x:c r="M2611" s="28" t="n">
        <x:f>G2611*J2611/1000000</x:f>
        <x:v>0.22549</x:v>
      </x:c>
      <x:c r="N2611" s="28" t="n">
        <x:f>H2611*K2611/1000000</x:f>
        <x:v>0.12489</x:v>
      </x:c>
      <x:c r="O2611" s="28" t="n">
        <x:f>SUM(M2611:N2611)</x:f>
        <x:v>0.35038</x:v>
      </x:c>
    </x:row>
    <x:row r="2612" ht="23" customHeight="1">
      <x:c r="A2612" s="17" t="str">
        <x:v>U02606</x:v>
      </x:c>
      <x:c r="B2612" s="18" t="n">
        <x:v>46290</x:v>
      </x:c>
      <x:c r="C2612" s="17" t="str">
        <x:v>W0189</x:v>
      </x:c>
      <x:c r="D2612" s="17" t="str">
        <x:v>C004</x:v>
      </x:c>
      <x:c r="E2612" s="17" t="str">
        <x:v>InsightDesk</x:v>
      </x:c>
      <x:c r="F2612" s="17" t="str">
        <x:v>Lite</x:v>
      </x:c>
      <x:c r="G2612" s="17" t="n">
        <x:v>12906</x:v>
      </x:c>
      <x:c r="H2612" s="17" t="n">
        <x:v>4803</x:v>
      </x:c>
      <x:c r="I2612" s="17" t="str">
        <x:v>Followup</x:v>
      </x:c>
      <x:c r="J2612" s="27" t="n">
        <x:f>INDEX('Model Pricing'!$B$7:$B$8,MATCH(F2612,'Model Pricing'!$A$7:$A$8,0))</x:f>
        <x:v>10</x:v>
      </x:c>
      <x:c r="K2612" s="27" t="n">
        <x:f>INDEX('Model Pricing'!$C$7:$C$8,MATCH(F2612,'Model Pricing'!$A$7:$A$8,0))</x:f>
        <x:v>30</x:v>
      </x:c>
      <x:c r="L2612" s="17" t="n">
        <x:f>G2612+H2612</x:f>
        <x:v>17709</x:v>
      </x:c>
      <x:c r="M2612" s="28" t="n">
        <x:f>G2612*J2612/1000000</x:f>
        <x:v>0.12906</x:v>
      </x:c>
      <x:c r="N2612" s="28" t="n">
        <x:f>H2612*K2612/1000000</x:f>
        <x:v>0.14409</x:v>
      </x:c>
      <x:c r="O2612" s="28" t="n">
        <x:f>SUM(M2612:N2612)</x:f>
        <x:v>0.27315</x:v>
      </x:c>
    </x:row>
    <x:row r="2613" ht="23" customHeight="1">
      <x:c r="A2613" s="17" t="str">
        <x:v>U02607</x:v>
      </x:c>
      <x:c r="B2613" s="18" t="n">
        <x:v>46269</x:v>
      </x:c>
      <x:c r="C2613" s="17" t="str">
        <x:v>W0190</x:v>
      </x:c>
      <x:c r="D2613" s="17" t="str">
        <x:v>C004</x:v>
      </x:c>
      <x:c r="E2613" s="17" t="str">
        <x:v>CampaignChat</x:v>
      </x:c>
      <x:c r="F2613" s="17" t="str">
        <x:v>Lite</x:v>
      </x:c>
      <x:c r="G2613" s="17" t="n">
        <x:v>24788</x:v>
      </x:c>
      <x:c r="H2613" s="17" t="n">
        <x:v>3974</x:v>
      </x:c>
      <x:c r="I2613" s="17" t="str">
        <x:v>First attempt</x:v>
      </x:c>
      <x:c r="J2613" s="27" t="n">
        <x:f>INDEX('Model Pricing'!$B$7:$B$8,MATCH(F2613,'Model Pricing'!$A$7:$A$8,0))</x:f>
        <x:v>10</x:v>
      </x:c>
      <x:c r="K2613" s="27" t="n">
        <x:f>INDEX('Model Pricing'!$C$7:$C$8,MATCH(F2613,'Model Pricing'!$A$7:$A$8,0))</x:f>
        <x:v>30</x:v>
      </x:c>
      <x:c r="L2613" s="17" t="n">
        <x:f>G2613+H2613</x:f>
        <x:v>28762</x:v>
      </x:c>
      <x:c r="M2613" s="28" t="n">
        <x:f>G2613*J2613/1000000</x:f>
        <x:v>0.24788</x:v>
      </x:c>
      <x:c r="N2613" s="28" t="n">
        <x:f>H2613*K2613/1000000</x:f>
        <x:v>0.11922</x:v>
      </x:c>
      <x:c r="O2613" s="28" t="n">
        <x:f>SUM(M2613:N2613)</x:f>
        <x:v>0.3671</x:v>
      </x:c>
    </x:row>
    <x:row r="2614" ht="23" customHeight="1">
      <x:c r="A2614" s="17" t="str">
        <x:v>U02608</x:v>
      </x:c>
      <x:c r="B2614" s="18" t="n">
        <x:v>46269</x:v>
      </x:c>
      <x:c r="C2614" s="17" t="str">
        <x:v>W0190</x:v>
      </x:c>
      <x:c r="D2614" s="17" t="str">
        <x:v>C004</x:v>
      </x:c>
      <x:c r="E2614" s="17" t="str">
        <x:v>CampaignChat</x:v>
      </x:c>
      <x:c r="F2614" s="17" t="str">
        <x:v>Lite</x:v>
      </x:c>
      <x:c r="G2614" s="17" t="n">
        <x:v>14930</x:v>
      </x:c>
      <x:c r="H2614" s="17" t="n">
        <x:v>5530</x:v>
      </x:c>
      <x:c r="I2614" s="17" t="str">
        <x:v>Followup</x:v>
      </x:c>
      <x:c r="J2614" s="27" t="n">
        <x:f>INDEX('Model Pricing'!$B$7:$B$8,MATCH(F2614,'Model Pricing'!$A$7:$A$8,0))</x:f>
        <x:v>10</x:v>
      </x:c>
      <x:c r="K2614" s="27" t="n">
        <x:f>INDEX('Model Pricing'!$C$7:$C$8,MATCH(F2614,'Model Pricing'!$A$7:$A$8,0))</x:f>
        <x:v>30</x:v>
      </x:c>
      <x:c r="L2614" s="17" t="n">
        <x:f>G2614+H2614</x:f>
        <x:v>20460</x:v>
      </x:c>
      <x:c r="M2614" s="28" t="n">
        <x:f>G2614*J2614/1000000</x:f>
        <x:v>0.1493</x:v>
      </x:c>
      <x:c r="N2614" s="28" t="n">
        <x:f>H2614*K2614/1000000</x:f>
        <x:v>0.1659</x:v>
      </x:c>
      <x:c r="O2614" s="28" t="n">
        <x:f>SUM(M2614:N2614)</x:f>
        <x:v>0.3152</x:v>
      </x:c>
    </x:row>
    <x:row r="2615" ht="23" customHeight="1">
      <x:c r="A2615" s="17" t="str">
        <x:v>U02609</x:v>
      </x:c>
      <x:c r="B2615" s="18" t="n">
        <x:v>46269</x:v>
      </x:c>
      <x:c r="C2615" s="17" t="str">
        <x:v>W0190</x:v>
      </x:c>
      <x:c r="D2615" s="17" t="str">
        <x:v>C004</x:v>
      </x:c>
      <x:c r="E2615" s="17" t="str">
        <x:v>CampaignChat</x:v>
      </x:c>
      <x:c r="F2615" s="17" t="str">
        <x:v>Lite</x:v>
      </x:c>
      <x:c r="G2615" s="17" t="n">
        <x:v>18862</x:v>
      </x:c>
      <x:c r="H2615" s="17" t="n">
        <x:v>5151</x:v>
      </x:c>
      <x:c r="I2615" s="17" t="str">
        <x:v>Followup</x:v>
      </x:c>
      <x:c r="J2615" s="27" t="n">
        <x:f>INDEX('Model Pricing'!$B$7:$B$8,MATCH(F2615,'Model Pricing'!$A$7:$A$8,0))</x:f>
        <x:v>10</x:v>
      </x:c>
      <x:c r="K2615" s="27" t="n">
        <x:f>INDEX('Model Pricing'!$C$7:$C$8,MATCH(F2615,'Model Pricing'!$A$7:$A$8,0))</x:f>
        <x:v>30</x:v>
      </x:c>
      <x:c r="L2615" s="17" t="n">
        <x:f>G2615+H2615</x:f>
        <x:v>24013</x:v>
      </x:c>
      <x:c r="M2615" s="28" t="n">
        <x:f>G2615*J2615/1000000</x:f>
        <x:v>0.18862</x:v>
      </x:c>
      <x:c r="N2615" s="28" t="n">
        <x:f>H2615*K2615/1000000</x:f>
        <x:v>0.15453</x:v>
      </x:c>
      <x:c r="O2615" s="28" t="n">
        <x:f>SUM(M2615:N2615)</x:f>
        <x:v>0.34315</x:v>
      </x:c>
    </x:row>
    <x:row r="2616" ht="23" customHeight="1">
      <x:c r="A2616" s="17" t="str">
        <x:v>U02610</x:v>
      </x:c>
      <x:c r="B2616" s="18" t="n">
        <x:v>46273</x:v>
      </x:c>
      <x:c r="C2616" s="17" t="str">
        <x:v>W0190</x:v>
      </x:c>
      <x:c r="D2616" s="17" t="str">
        <x:v>C004</x:v>
      </x:c>
      <x:c r="E2616" s="17" t="str">
        <x:v>CampaignChat</x:v>
      </x:c>
      <x:c r="F2616" s="17" t="str">
        <x:v>Lite</x:v>
      </x:c>
      <x:c r="G2616" s="17" t="n">
        <x:v>29623</x:v>
      </x:c>
      <x:c r="H2616" s="17" t="n">
        <x:v>4610</x:v>
      </x:c>
      <x:c r="I2616" s="17" t="str">
        <x:v>Followup</x:v>
      </x:c>
      <x:c r="J2616" s="27" t="n">
        <x:f>INDEX('Model Pricing'!$B$7:$B$8,MATCH(F2616,'Model Pricing'!$A$7:$A$8,0))</x:f>
        <x:v>10</x:v>
      </x:c>
      <x:c r="K2616" s="27" t="n">
        <x:f>INDEX('Model Pricing'!$C$7:$C$8,MATCH(F2616,'Model Pricing'!$A$7:$A$8,0))</x:f>
        <x:v>30</x:v>
      </x:c>
      <x:c r="L2616" s="17" t="n">
        <x:f>G2616+H2616</x:f>
        <x:v>34233</x:v>
      </x:c>
      <x:c r="M2616" s="28" t="n">
        <x:f>G2616*J2616/1000000</x:f>
        <x:v>0.29623</x:v>
      </x:c>
      <x:c r="N2616" s="28" t="n">
        <x:f>H2616*K2616/1000000</x:f>
        <x:v>0.1383</x:v>
      </x:c>
      <x:c r="O2616" s="28" t="n">
        <x:f>SUM(M2616:N2616)</x:f>
        <x:v>0.43452999999999997</x:v>
      </x:c>
    </x:row>
    <x:row r="2617" ht="23" customHeight="1">
      <x:c r="A2617" s="17" t="str">
        <x:v>U02611</x:v>
      </x:c>
      <x:c r="B2617" s="18" t="n">
        <x:v>46273</x:v>
      </x:c>
      <x:c r="C2617" s="17" t="str">
        <x:v>W0190</x:v>
      </x:c>
      <x:c r="D2617" s="17" t="str">
        <x:v>C004</x:v>
      </x:c>
      <x:c r="E2617" s="17" t="str">
        <x:v>CampaignChat</x:v>
      </x:c>
      <x:c r="F2617" s="17" t="str">
        <x:v>Lite</x:v>
      </x:c>
      <x:c r="G2617" s="17" t="n">
        <x:v>16535</x:v>
      </x:c>
      <x:c r="H2617" s="17" t="n">
        <x:v>5422</x:v>
      </x:c>
      <x:c r="I2617" s="17" t="str">
        <x:v>Correction</x:v>
      </x:c>
      <x:c r="J2617" s="27" t="n">
        <x:f>INDEX('Model Pricing'!$B$7:$B$8,MATCH(F2617,'Model Pricing'!$A$7:$A$8,0))</x:f>
        <x:v>10</x:v>
      </x:c>
      <x:c r="K2617" s="27" t="n">
        <x:f>INDEX('Model Pricing'!$C$7:$C$8,MATCH(F2617,'Model Pricing'!$A$7:$A$8,0))</x:f>
        <x:v>30</x:v>
      </x:c>
      <x:c r="L2617" s="17" t="n">
        <x:f>G2617+H2617</x:f>
        <x:v>21957</x:v>
      </x:c>
      <x:c r="M2617" s="28" t="n">
        <x:f>G2617*J2617/1000000</x:f>
        <x:v>0.16535</x:v>
      </x:c>
      <x:c r="N2617" s="28" t="n">
        <x:f>H2617*K2617/1000000</x:f>
        <x:v>0.16266</x:v>
      </x:c>
      <x:c r="O2617" s="28" t="n">
        <x:f>SUM(M2617:N2617)</x:f>
        <x:v>0.32801</x:v>
      </x:c>
    </x:row>
    <x:row r="2618" ht="23" customHeight="1">
      <x:c r="A2618" s="17" t="str">
        <x:v>U02612</x:v>
      </x:c>
      <x:c r="B2618" s="18" t="n">
        <x:v>46273</x:v>
      </x:c>
      <x:c r="C2618" s="17" t="str">
        <x:v>W0190</x:v>
      </x:c>
      <x:c r="D2618" s="17" t="str">
        <x:v>C004</x:v>
      </x:c>
      <x:c r="E2618" s="17" t="str">
        <x:v>CampaignChat</x:v>
      </x:c>
      <x:c r="F2618" s="17" t="str">
        <x:v>Lite</x:v>
      </x:c>
      <x:c r="G2618" s="17" t="n">
        <x:v>19561</x:v>
      </x:c>
      <x:c r="H2618" s="17" t="n">
        <x:v>3694</x:v>
      </x:c>
      <x:c r="I2618" s="17" t="str">
        <x:v>Followup</x:v>
      </x:c>
      <x:c r="J2618" s="27" t="n">
        <x:f>INDEX('Model Pricing'!$B$7:$B$8,MATCH(F2618,'Model Pricing'!$A$7:$A$8,0))</x:f>
        <x:v>10</x:v>
      </x:c>
      <x:c r="K2618" s="27" t="n">
        <x:f>INDEX('Model Pricing'!$C$7:$C$8,MATCH(F2618,'Model Pricing'!$A$7:$A$8,0))</x:f>
        <x:v>30</x:v>
      </x:c>
      <x:c r="L2618" s="17" t="n">
        <x:f>G2618+H2618</x:f>
        <x:v>23255</x:v>
      </x:c>
      <x:c r="M2618" s="28" t="n">
        <x:f>G2618*J2618/1000000</x:f>
        <x:v>0.19561</x:v>
      </x:c>
      <x:c r="N2618" s="28" t="n">
        <x:f>H2618*K2618/1000000</x:f>
        <x:v>0.11082</x:v>
      </x:c>
      <x:c r="O2618" s="28" t="n">
        <x:f>SUM(M2618:N2618)</x:f>
        <x:v>0.30643</x:v>
      </x:c>
    </x:row>
    <x:row r="2619" ht="23" customHeight="1">
      <x:c r="A2619" s="17" t="str">
        <x:v>U02613</x:v>
      </x:c>
      <x:c r="B2619" s="18" t="n">
        <x:v>46274</x:v>
      </x:c>
      <x:c r="C2619" s="17" t="str">
        <x:v>W0190</x:v>
      </x:c>
      <x:c r="D2619" s="17" t="str">
        <x:v>C004</x:v>
      </x:c>
      <x:c r="E2619" s="17" t="str">
        <x:v>CampaignChat</x:v>
      </x:c>
      <x:c r="F2619" s="17" t="str">
        <x:v>Lite</x:v>
      </x:c>
      <x:c r="G2619" s="17" t="n">
        <x:v>29947</x:v>
      </x:c>
      <x:c r="H2619" s="17" t="n">
        <x:v>3226</x:v>
      </x:c>
      <x:c r="I2619" s="17" t="str">
        <x:v>Followup</x:v>
      </x:c>
      <x:c r="J2619" s="27" t="n">
        <x:f>INDEX('Model Pricing'!$B$7:$B$8,MATCH(F2619,'Model Pricing'!$A$7:$A$8,0))</x:f>
        <x:v>10</x:v>
      </x:c>
      <x:c r="K2619" s="27" t="n">
        <x:f>INDEX('Model Pricing'!$C$7:$C$8,MATCH(F2619,'Model Pricing'!$A$7:$A$8,0))</x:f>
        <x:v>30</x:v>
      </x:c>
      <x:c r="L2619" s="17" t="n">
        <x:f>G2619+H2619</x:f>
        <x:v>33173</x:v>
      </x:c>
      <x:c r="M2619" s="28" t="n">
        <x:f>G2619*J2619/1000000</x:f>
        <x:v>0.29947</x:v>
      </x:c>
      <x:c r="N2619" s="28" t="n">
        <x:f>H2619*K2619/1000000</x:f>
        <x:v>0.09678</x:v>
      </x:c>
      <x:c r="O2619" s="28" t="n">
        <x:f>SUM(M2619:N2619)</x:f>
        <x:v>0.39625</x:v>
      </x:c>
    </x:row>
    <x:row r="2620" ht="23" customHeight="1">
      <x:c r="A2620" s="17" t="str">
        <x:v>U02614</x:v>
      </x:c>
      <x:c r="B2620" s="18" t="n">
        <x:v>46274</x:v>
      </x:c>
      <x:c r="C2620" s="17" t="str">
        <x:v>W0190</x:v>
      </x:c>
      <x:c r="D2620" s="17" t="str">
        <x:v>C004</x:v>
      </x:c>
      <x:c r="E2620" s="17" t="str">
        <x:v>CampaignChat</x:v>
      </x:c>
      <x:c r="F2620" s="17" t="str">
        <x:v>Lite</x:v>
      </x:c>
      <x:c r="G2620" s="17" t="n">
        <x:v>26990</x:v>
      </x:c>
      <x:c r="H2620" s="17" t="n">
        <x:v>2646</x:v>
      </x:c>
      <x:c r="I2620" s="17" t="str">
        <x:v>Correction</x:v>
      </x:c>
      <x:c r="J2620" s="27" t="n">
        <x:f>INDEX('Model Pricing'!$B$7:$B$8,MATCH(F2620,'Model Pricing'!$A$7:$A$8,0))</x:f>
        <x:v>10</x:v>
      </x:c>
      <x:c r="K2620" s="27" t="n">
        <x:f>INDEX('Model Pricing'!$C$7:$C$8,MATCH(F2620,'Model Pricing'!$A$7:$A$8,0))</x:f>
        <x:v>30</x:v>
      </x:c>
      <x:c r="L2620" s="17" t="n">
        <x:f>G2620+H2620</x:f>
        <x:v>29636</x:v>
      </x:c>
      <x:c r="M2620" s="28" t="n">
        <x:f>G2620*J2620/1000000</x:f>
        <x:v>0.2699</x:v>
      </x:c>
      <x:c r="N2620" s="28" t="n">
        <x:f>H2620*K2620/1000000</x:f>
        <x:v>0.07938</x:v>
      </x:c>
      <x:c r="O2620" s="28" t="n">
        <x:f>SUM(M2620:N2620)</x:f>
        <x:v>0.34928</x:v>
      </x:c>
    </x:row>
    <x:row r="2621" ht="23" customHeight="1">
      <x:c r="A2621" s="17" t="str">
        <x:v>U02615</x:v>
      </x:c>
      <x:c r="B2621" s="18" t="n">
        <x:v>46274</x:v>
      </x:c>
      <x:c r="C2621" s="17" t="str">
        <x:v>W0190</x:v>
      </x:c>
      <x:c r="D2621" s="17" t="str">
        <x:v>C004</x:v>
      </x:c>
      <x:c r="E2621" s="17" t="str">
        <x:v>CampaignChat</x:v>
      </x:c>
      <x:c r="F2621" s="17" t="str">
        <x:v>Lite</x:v>
      </x:c>
      <x:c r="G2621" s="17" t="n">
        <x:v>18513</x:v>
      </x:c>
      <x:c r="H2621" s="17" t="n">
        <x:v>4214</x:v>
      </x:c>
      <x:c r="I2621" s="17" t="str">
        <x:v>Followup</x:v>
      </x:c>
      <x:c r="J2621" s="27" t="n">
        <x:f>INDEX('Model Pricing'!$B$7:$B$8,MATCH(F2621,'Model Pricing'!$A$7:$A$8,0))</x:f>
        <x:v>10</x:v>
      </x:c>
      <x:c r="K2621" s="27" t="n">
        <x:f>INDEX('Model Pricing'!$C$7:$C$8,MATCH(F2621,'Model Pricing'!$A$7:$A$8,0))</x:f>
        <x:v>30</x:v>
      </x:c>
      <x:c r="L2621" s="17" t="n">
        <x:f>G2621+H2621</x:f>
        <x:v>22727</x:v>
      </x:c>
      <x:c r="M2621" s="28" t="n">
        <x:f>G2621*J2621/1000000</x:f>
        <x:v>0.18513</x:v>
      </x:c>
      <x:c r="N2621" s="28" t="n">
        <x:f>H2621*K2621/1000000</x:f>
        <x:v>0.12642</x:v>
      </x:c>
      <x:c r="O2621" s="28" t="n">
        <x:f>SUM(M2621:N2621)</x:f>
        <x:v>0.31155</x:v>
      </x:c>
    </x:row>
    <x:row r="2622" ht="23" customHeight="1">
      <x:c r="A2622" s="17" t="str">
        <x:v>U02616</x:v>
      </x:c>
      <x:c r="B2622" s="18" t="n">
        <x:v>46275</x:v>
      </x:c>
      <x:c r="C2622" s="17" t="str">
        <x:v>W0190</x:v>
      </x:c>
      <x:c r="D2622" s="17" t="str">
        <x:v>C004</x:v>
      </x:c>
      <x:c r="E2622" s="17" t="str">
        <x:v>CampaignChat</x:v>
      </x:c>
      <x:c r="F2622" s="17" t="str">
        <x:v>Lite</x:v>
      </x:c>
      <x:c r="G2622" s="17" t="n">
        <x:v>34894</x:v>
      </x:c>
      <x:c r="H2622" s="17" t="n">
        <x:v>5464</x:v>
      </x:c>
      <x:c r="I2622" s="17" t="str">
        <x:v>Followup</x:v>
      </x:c>
      <x:c r="J2622" s="27" t="n">
        <x:f>INDEX('Model Pricing'!$B$7:$B$8,MATCH(F2622,'Model Pricing'!$A$7:$A$8,0))</x:f>
        <x:v>10</x:v>
      </x:c>
      <x:c r="K2622" s="27" t="n">
        <x:f>INDEX('Model Pricing'!$C$7:$C$8,MATCH(F2622,'Model Pricing'!$A$7:$A$8,0))</x:f>
        <x:v>30</x:v>
      </x:c>
      <x:c r="L2622" s="17" t="n">
        <x:f>G2622+H2622</x:f>
        <x:v>40358</x:v>
      </x:c>
      <x:c r="M2622" s="28" t="n">
        <x:f>G2622*J2622/1000000</x:f>
        <x:v>0.34894</x:v>
      </x:c>
      <x:c r="N2622" s="28" t="n">
        <x:f>H2622*K2622/1000000</x:f>
        <x:v>0.16392</x:v>
      </x:c>
      <x:c r="O2622" s="28" t="n">
        <x:f>SUM(M2622:N2622)</x:f>
        <x:v>0.51286</x:v>
      </x:c>
    </x:row>
    <x:row r="2623" ht="23" customHeight="1">
      <x:c r="A2623" s="17" t="str">
        <x:v>U02617</x:v>
      </x:c>
      <x:c r="B2623" s="18" t="n">
        <x:v>46275</x:v>
      </x:c>
      <x:c r="C2623" s="17" t="str">
        <x:v>W0190</x:v>
      </x:c>
      <x:c r="D2623" s="17" t="str">
        <x:v>C004</x:v>
      </x:c>
      <x:c r="E2623" s="17" t="str">
        <x:v>CampaignChat</x:v>
      </x:c>
      <x:c r="F2623" s="17" t="str">
        <x:v>Lite</x:v>
      </x:c>
      <x:c r="G2623" s="17" t="n">
        <x:v>14770</x:v>
      </x:c>
      <x:c r="H2623" s="17" t="n">
        <x:v>4602</x:v>
      </x:c>
      <x:c r="I2623" s="17" t="str">
        <x:v>Correction</x:v>
      </x:c>
      <x:c r="J2623" s="27" t="n">
        <x:f>INDEX('Model Pricing'!$B$7:$B$8,MATCH(F2623,'Model Pricing'!$A$7:$A$8,0))</x:f>
        <x:v>10</x:v>
      </x:c>
      <x:c r="K2623" s="27" t="n">
        <x:f>INDEX('Model Pricing'!$C$7:$C$8,MATCH(F2623,'Model Pricing'!$A$7:$A$8,0))</x:f>
        <x:v>30</x:v>
      </x:c>
      <x:c r="L2623" s="17" t="n">
        <x:f>G2623+H2623</x:f>
        <x:v>19372</x:v>
      </x:c>
      <x:c r="M2623" s="28" t="n">
        <x:f>G2623*J2623/1000000</x:f>
        <x:v>0.1477</x:v>
      </x:c>
      <x:c r="N2623" s="28" t="n">
        <x:f>H2623*K2623/1000000</x:f>
        <x:v>0.13806</x:v>
      </x:c>
      <x:c r="O2623" s="28" t="n">
        <x:f>SUM(M2623:N2623)</x:f>
        <x:v>0.28576</x:v>
      </x:c>
    </x:row>
    <x:row r="2624" ht="23" customHeight="1">
      <x:c r="A2624" s="17" t="str">
        <x:v>U02618</x:v>
      </x:c>
      <x:c r="B2624" s="18" t="n">
        <x:v>46289</x:v>
      </x:c>
      <x:c r="C2624" s="17" t="str">
        <x:v>W0197</x:v>
      </x:c>
      <x:c r="D2624" s="17" t="str">
        <x:v>C004</x:v>
      </x:c>
      <x:c r="E2624" s="17" t="str">
        <x:v>InsightDesk</x:v>
      </x:c>
      <x:c r="F2624" s="17" t="str">
        <x:v>Lite</x:v>
      </x:c>
      <x:c r="G2624" s="17" t="n">
        <x:v>20400</x:v>
      </x:c>
      <x:c r="H2624" s="17" t="n">
        <x:v>4497</x:v>
      </x:c>
      <x:c r="I2624" s="17" t="str">
        <x:v>First attempt</x:v>
      </x:c>
      <x:c r="J2624" s="27" t="n">
        <x:f>INDEX('Model Pricing'!$B$7:$B$8,MATCH(F2624,'Model Pricing'!$A$7:$A$8,0))</x:f>
        <x:v>10</x:v>
      </x:c>
      <x:c r="K2624" s="27" t="n">
        <x:f>INDEX('Model Pricing'!$C$7:$C$8,MATCH(F2624,'Model Pricing'!$A$7:$A$8,0))</x:f>
        <x:v>30</x:v>
      </x:c>
      <x:c r="L2624" s="17" t="n">
        <x:f>G2624+H2624</x:f>
        <x:v>24897</x:v>
      </x:c>
      <x:c r="M2624" s="28" t="n">
        <x:f>G2624*J2624/1000000</x:f>
        <x:v>0.204</x:v>
      </x:c>
      <x:c r="N2624" s="28" t="n">
        <x:f>H2624*K2624/1000000</x:f>
        <x:v>0.13491</x:v>
      </x:c>
      <x:c r="O2624" s="28" t="n">
        <x:f>SUM(M2624:N2624)</x:f>
        <x:v>0.33891</x:v>
      </x:c>
    </x:row>
    <x:row r="2625" ht="23" customHeight="1">
      <x:c r="A2625" s="17" t="str">
        <x:v>U02619</x:v>
      </x:c>
      <x:c r="B2625" s="18" t="n">
        <x:v>46289</x:v>
      </x:c>
      <x:c r="C2625" s="17" t="str">
        <x:v>W0197</x:v>
      </x:c>
      <x:c r="D2625" s="17" t="str">
        <x:v>C004</x:v>
      </x:c>
      <x:c r="E2625" s="17" t="str">
        <x:v>InsightDesk</x:v>
      </x:c>
      <x:c r="F2625" s="17" t="str">
        <x:v>Lite</x:v>
      </x:c>
      <x:c r="G2625" s="17" t="n">
        <x:v>25970</x:v>
      </x:c>
      <x:c r="H2625" s="17" t="n">
        <x:v>2636</x:v>
      </x:c>
      <x:c r="I2625" s="17" t="str">
        <x:v>Followup</x:v>
      </x:c>
      <x:c r="J2625" s="27" t="n">
        <x:f>INDEX('Model Pricing'!$B$7:$B$8,MATCH(F2625,'Model Pricing'!$A$7:$A$8,0))</x:f>
        <x:v>10</x:v>
      </x:c>
      <x:c r="K2625" s="27" t="n">
        <x:f>INDEX('Model Pricing'!$C$7:$C$8,MATCH(F2625,'Model Pricing'!$A$7:$A$8,0))</x:f>
        <x:v>30</x:v>
      </x:c>
      <x:c r="L2625" s="17" t="n">
        <x:f>G2625+H2625</x:f>
        <x:v>28606</x:v>
      </x:c>
      <x:c r="M2625" s="28" t="n">
        <x:f>G2625*J2625/1000000</x:f>
        <x:v>0.2597</x:v>
      </x:c>
      <x:c r="N2625" s="28" t="n">
        <x:f>H2625*K2625/1000000</x:f>
        <x:v>0.07908</x:v>
      </x:c>
      <x:c r="O2625" s="28" t="n">
        <x:f>SUM(M2625:N2625)</x:f>
        <x:v>0.33877999999999997</x:v>
      </x:c>
    </x:row>
    <x:row r="2626" ht="23" customHeight="1">
      <x:c r="A2626" s="17" t="str">
        <x:v>U02620</x:v>
      </x:c>
      <x:c r="B2626" s="18" t="n">
        <x:v>46289</x:v>
      </x:c>
      <x:c r="C2626" s="17" t="str">
        <x:v>W0197</x:v>
      </x:c>
      <x:c r="D2626" s="17" t="str">
        <x:v>C004</x:v>
      </x:c>
      <x:c r="E2626" s="17" t="str">
        <x:v>InsightDesk</x:v>
      </x:c>
      <x:c r="F2626" s="17" t="str">
        <x:v>Lite</x:v>
      </x:c>
      <x:c r="G2626" s="17" t="n">
        <x:v>10609</x:v>
      </x:c>
      <x:c r="H2626" s="17" t="n">
        <x:v>2955</x:v>
      </x:c>
      <x:c r="I2626" s="17" t="str">
        <x:v>Followup</x:v>
      </x:c>
      <x:c r="J2626" s="27" t="n">
        <x:f>INDEX('Model Pricing'!$B$7:$B$8,MATCH(F2626,'Model Pricing'!$A$7:$A$8,0))</x:f>
        <x:v>10</x:v>
      </x:c>
      <x:c r="K2626" s="27" t="n">
        <x:f>INDEX('Model Pricing'!$C$7:$C$8,MATCH(F2626,'Model Pricing'!$A$7:$A$8,0))</x:f>
        <x:v>30</x:v>
      </x:c>
      <x:c r="L2626" s="17" t="n">
        <x:f>G2626+H2626</x:f>
        <x:v>13564</x:v>
      </x:c>
      <x:c r="M2626" s="28" t="n">
        <x:f>G2626*J2626/1000000</x:f>
        <x:v>0.10609</x:v>
      </x:c>
      <x:c r="N2626" s="28" t="n">
        <x:f>H2626*K2626/1000000</x:f>
        <x:v>0.08865</x:v>
      </x:c>
      <x:c r="O2626" s="28" t="n">
        <x:f>SUM(M2626:N2626)</x:f>
        <x:v>0.19474000000000002</x:v>
      </x:c>
    </x:row>
    <x:row r="2627" ht="23" customHeight="1">
      <x:c r="A2627" s="17" t="str">
        <x:v>U02621</x:v>
      </x:c>
      <x:c r="B2627" s="18" t="n">
        <x:v>46290</x:v>
      </x:c>
      <x:c r="C2627" s="17" t="str">
        <x:v>W0197</x:v>
      </x:c>
      <x:c r="D2627" s="17" t="str">
        <x:v>C004</x:v>
      </x:c>
      <x:c r="E2627" s="17" t="str">
        <x:v>InsightDesk</x:v>
      </x:c>
      <x:c r="F2627" s="17" t="str">
        <x:v>Lite</x:v>
      </x:c>
      <x:c r="G2627" s="17" t="n">
        <x:v>28221</x:v>
      </x:c>
      <x:c r="H2627" s="17" t="n">
        <x:v>5707</x:v>
      </x:c>
      <x:c r="I2627" s="17" t="str">
        <x:v>Followup</x:v>
      </x:c>
      <x:c r="J2627" s="27" t="n">
        <x:f>INDEX('Model Pricing'!$B$7:$B$8,MATCH(F2627,'Model Pricing'!$A$7:$A$8,0))</x:f>
        <x:v>10</x:v>
      </x:c>
      <x:c r="K2627" s="27" t="n">
        <x:f>INDEX('Model Pricing'!$C$7:$C$8,MATCH(F2627,'Model Pricing'!$A$7:$A$8,0))</x:f>
        <x:v>30</x:v>
      </x:c>
      <x:c r="L2627" s="17" t="n">
        <x:f>G2627+H2627</x:f>
        <x:v>33928</x:v>
      </x:c>
      <x:c r="M2627" s="28" t="n">
        <x:f>G2627*J2627/1000000</x:f>
        <x:v>0.28221</x:v>
      </x:c>
      <x:c r="N2627" s="28" t="n">
        <x:f>H2627*K2627/1000000</x:f>
        <x:v>0.17121</x:v>
      </x:c>
      <x:c r="O2627" s="28" t="n">
        <x:f>SUM(M2627:N2627)</x:f>
        <x:v>0.45342000000000005</x:v>
      </x:c>
    </x:row>
    <x:row r="2628" ht="23" customHeight="1">
      <x:c r="A2628" s="17" t="str">
        <x:v>U02622</x:v>
      </x:c>
      <x:c r="B2628" s="18" t="n">
        <x:v>46290</x:v>
      </x:c>
      <x:c r="C2628" s="17" t="str">
        <x:v>W0197</x:v>
      </x:c>
      <x:c r="D2628" s="17" t="str">
        <x:v>C004</x:v>
      </x:c>
      <x:c r="E2628" s="17" t="str">
        <x:v>InsightDesk</x:v>
      </x:c>
      <x:c r="F2628" s="17" t="str">
        <x:v>Lite</x:v>
      </x:c>
      <x:c r="G2628" s="17" t="n">
        <x:v>16518</x:v>
      </x:c>
      <x:c r="H2628" s="17" t="n">
        <x:v>2206</x:v>
      </x:c>
      <x:c r="I2628" s="17" t="str">
        <x:v>Followup</x:v>
      </x:c>
      <x:c r="J2628" s="27" t="n">
        <x:f>INDEX('Model Pricing'!$B$7:$B$8,MATCH(F2628,'Model Pricing'!$A$7:$A$8,0))</x:f>
        <x:v>10</x:v>
      </x:c>
      <x:c r="K2628" s="27" t="n">
        <x:f>INDEX('Model Pricing'!$C$7:$C$8,MATCH(F2628,'Model Pricing'!$A$7:$A$8,0))</x:f>
        <x:v>30</x:v>
      </x:c>
      <x:c r="L2628" s="17" t="n">
        <x:f>G2628+H2628</x:f>
        <x:v>18724</x:v>
      </x:c>
      <x:c r="M2628" s="28" t="n">
        <x:f>G2628*J2628/1000000</x:f>
        <x:v>0.16518</x:v>
      </x:c>
      <x:c r="N2628" s="28" t="n">
        <x:f>H2628*K2628/1000000</x:f>
        <x:v>0.06618</x:v>
      </x:c>
      <x:c r="O2628" s="28" t="n">
        <x:f>SUM(M2628:N2628)</x:f>
        <x:v>0.23136</x:v>
      </x:c>
    </x:row>
    <x:row r="2629" ht="23" customHeight="1">
      <x:c r="A2629" s="17" t="str">
        <x:v>U02623</x:v>
      </x:c>
      <x:c r="B2629" s="18" t="n">
        <x:v>46293</x:v>
      </x:c>
      <x:c r="C2629" s="17" t="str">
        <x:v>W0197</x:v>
      </x:c>
      <x:c r="D2629" s="17" t="str">
        <x:v>C004</x:v>
      </x:c>
      <x:c r="E2629" s="17" t="str">
        <x:v>InsightDesk</x:v>
      </x:c>
      <x:c r="F2629" s="17" t="str">
        <x:v>Lite</x:v>
      </x:c>
      <x:c r="G2629" s="17" t="n">
        <x:v>12300</x:v>
      </x:c>
      <x:c r="H2629" s="17" t="n">
        <x:v>5320</x:v>
      </x:c>
      <x:c r="I2629" s="17" t="str">
        <x:v>Followup</x:v>
      </x:c>
      <x:c r="J2629" s="27" t="n">
        <x:f>INDEX('Model Pricing'!$B$7:$B$8,MATCH(F2629,'Model Pricing'!$A$7:$A$8,0))</x:f>
        <x:v>10</x:v>
      </x:c>
      <x:c r="K2629" s="27" t="n">
        <x:f>INDEX('Model Pricing'!$C$7:$C$8,MATCH(F2629,'Model Pricing'!$A$7:$A$8,0))</x:f>
        <x:v>30</x:v>
      </x:c>
      <x:c r="L2629" s="17" t="n">
        <x:f>G2629+H2629</x:f>
        <x:v>17620</x:v>
      </x:c>
      <x:c r="M2629" s="28" t="n">
        <x:f>G2629*J2629/1000000</x:f>
        <x:v>0.123</x:v>
      </x:c>
      <x:c r="N2629" s="28" t="n">
        <x:f>H2629*K2629/1000000</x:f>
        <x:v>0.1596</x:v>
      </x:c>
      <x:c r="O2629" s="28" t="n">
        <x:f>SUM(M2629:N2629)</x:f>
        <x:v>0.28259999999999996</x:v>
      </x:c>
    </x:row>
    <x:row r="2630" ht="23" customHeight="1">
      <x:c r="A2630" s="17" t="str">
        <x:v>U02624</x:v>
      </x:c>
      <x:c r="B2630" s="18" t="n">
        <x:v>46293</x:v>
      </x:c>
      <x:c r="C2630" s="17" t="str">
        <x:v>W0197</x:v>
      </x:c>
      <x:c r="D2630" s="17" t="str">
        <x:v>C004</x:v>
      </x:c>
      <x:c r="E2630" s="17" t="str">
        <x:v>InsightDesk</x:v>
      </x:c>
      <x:c r="F2630" s="17" t="str">
        <x:v>Lite</x:v>
      </x:c>
      <x:c r="G2630" s="17" t="n">
        <x:v>11608</x:v>
      </x:c>
      <x:c r="H2630" s="17" t="n">
        <x:v>6637</x:v>
      </x:c>
      <x:c r="I2630" s="17" t="str">
        <x:v>Followup</x:v>
      </x:c>
      <x:c r="J2630" s="27" t="n">
        <x:f>INDEX('Model Pricing'!$B$7:$B$8,MATCH(F2630,'Model Pricing'!$A$7:$A$8,0))</x:f>
        <x:v>10</x:v>
      </x:c>
      <x:c r="K2630" s="27" t="n">
        <x:f>INDEX('Model Pricing'!$C$7:$C$8,MATCH(F2630,'Model Pricing'!$A$7:$A$8,0))</x:f>
        <x:v>30</x:v>
      </x:c>
      <x:c r="L2630" s="17" t="n">
        <x:f>G2630+H2630</x:f>
        <x:v>18245</x:v>
      </x:c>
      <x:c r="M2630" s="28" t="n">
        <x:f>G2630*J2630/1000000</x:f>
        <x:v>0.11608</x:v>
      </x:c>
      <x:c r="N2630" s="28" t="n">
        <x:f>H2630*K2630/1000000</x:f>
        <x:v>0.19911</x:v>
      </x:c>
      <x:c r="O2630" s="28" t="n">
        <x:f>SUM(M2630:N2630)</x:f>
        <x:v>0.31519</x:v>
      </x:c>
    </x:row>
    <x:row r="2631" ht="23" customHeight="1">
      <x:c r="A2631" s="17" t="str">
        <x:v>U02625</x:v>
      </x:c>
      <x:c r="B2631" s="18" t="n">
        <x:v>46293</x:v>
      </x:c>
      <x:c r="C2631" s="17" t="str">
        <x:v>W0197</x:v>
      </x:c>
      <x:c r="D2631" s="17" t="str">
        <x:v>C004</x:v>
      </x:c>
      <x:c r="E2631" s="17" t="str">
        <x:v>InsightDesk</x:v>
      </x:c>
      <x:c r="F2631" s="17" t="str">
        <x:v>Lite</x:v>
      </x:c>
      <x:c r="G2631" s="17" t="n">
        <x:v>19144</x:v>
      </x:c>
      <x:c r="H2631" s="17" t="n">
        <x:v>3322</x:v>
      </x:c>
      <x:c r="I2631" s="17" t="str">
        <x:v>Correction</x:v>
      </x:c>
      <x:c r="J2631" s="27" t="n">
        <x:f>INDEX('Model Pricing'!$B$7:$B$8,MATCH(F2631,'Model Pricing'!$A$7:$A$8,0))</x:f>
        <x:v>10</x:v>
      </x:c>
      <x:c r="K2631" s="27" t="n">
        <x:f>INDEX('Model Pricing'!$C$7:$C$8,MATCH(F2631,'Model Pricing'!$A$7:$A$8,0))</x:f>
        <x:v>30</x:v>
      </x:c>
      <x:c r="L2631" s="17" t="n">
        <x:f>G2631+H2631</x:f>
        <x:v>22466</x:v>
      </x:c>
      <x:c r="M2631" s="28" t="n">
        <x:f>G2631*J2631/1000000</x:f>
        <x:v>0.19144</x:v>
      </x:c>
      <x:c r="N2631" s="28" t="n">
        <x:f>H2631*K2631/1000000</x:f>
        <x:v>0.09966</x:v>
      </x:c>
      <x:c r="O2631" s="28" t="n">
        <x:f>SUM(M2631:N2631)</x:f>
        <x:v>0.2911</x:v>
      </x:c>
    </x:row>
    <x:row r="2632" ht="23" customHeight="1">
      <x:c r="A2632" s="17" t="str">
        <x:v>U02626</x:v>
      </x:c>
      <x:c r="B2632" s="18" t="n">
        <x:v>46294</x:v>
      </x:c>
      <x:c r="C2632" s="17" t="str">
        <x:v>W0197</x:v>
      </x:c>
      <x:c r="D2632" s="17" t="str">
        <x:v>C004</x:v>
      </x:c>
      <x:c r="E2632" s="17" t="str">
        <x:v>InsightDesk</x:v>
      </x:c>
      <x:c r="F2632" s="17" t="str">
        <x:v>Lite</x:v>
      </x:c>
      <x:c r="G2632" s="17" t="n">
        <x:v>27297</x:v>
      </x:c>
      <x:c r="H2632" s="17" t="n">
        <x:v>3043</x:v>
      </x:c>
      <x:c r="I2632" s="17" t="str">
        <x:v>Followup</x:v>
      </x:c>
      <x:c r="J2632" s="27" t="n">
        <x:f>INDEX('Model Pricing'!$B$7:$B$8,MATCH(F2632,'Model Pricing'!$A$7:$A$8,0))</x:f>
        <x:v>10</x:v>
      </x:c>
      <x:c r="K2632" s="27" t="n">
        <x:f>INDEX('Model Pricing'!$C$7:$C$8,MATCH(F2632,'Model Pricing'!$A$7:$A$8,0))</x:f>
        <x:v>30</x:v>
      </x:c>
      <x:c r="L2632" s="17" t="n">
        <x:f>G2632+H2632</x:f>
        <x:v>30340</x:v>
      </x:c>
      <x:c r="M2632" s="28" t="n">
        <x:f>G2632*J2632/1000000</x:f>
        <x:v>0.27297</x:v>
      </x:c>
      <x:c r="N2632" s="28" t="n">
        <x:f>H2632*K2632/1000000</x:f>
        <x:v>0.09129</x:v>
      </x:c>
      <x:c r="O2632" s="28" t="n">
        <x:f>SUM(M2632:N2632)</x:f>
        <x:v>0.36426</x:v>
      </x:c>
    </x:row>
    <x:row r="2633" ht="23" customHeight="1">
      <x:c r="A2633" s="17" t="str">
        <x:v>U02627</x:v>
      </x:c>
      <x:c r="B2633" s="18" t="n">
        <x:v>46294</x:v>
      </x:c>
      <x:c r="C2633" s="17" t="str">
        <x:v>W0197</x:v>
      </x:c>
      <x:c r="D2633" s="17" t="str">
        <x:v>C004</x:v>
      </x:c>
      <x:c r="E2633" s="17" t="str">
        <x:v>InsightDesk</x:v>
      </x:c>
      <x:c r="F2633" s="17" t="str">
        <x:v>Lite</x:v>
      </x:c>
      <x:c r="G2633" s="17" t="n">
        <x:v>24023</x:v>
      </x:c>
      <x:c r="H2633" s="17" t="n">
        <x:v>7099</x:v>
      </x:c>
      <x:c r="I2633" s="17" t="str">
        <x:v>Followup</x:v>
      </x:c>
      <x:c r="J2633" s="27" t="n">
        <x:f>INDEX('Model Pricing'!$B$7:$B$8,MATCH(F2633,'Model Pricing'!$A$7:$A$8,0))</x:f>
        <x:v>10</x:v>
      </x:c>
      <x:c r="K2633" s="27" t="n">
        <x:f>INDEX('Model Pricing'!$C$7:$C$8,MATCH(F2633,'Model Pricing'!$A$7:$A$8,0))</x:f>
        <x:v>30</x:v>
      </x:c>
      <x:c r="L2633" s="17" t="n">
        <x:f>G2633+H2633</x:f>
        <x:v>31122</x:v>
      </x:c>
      <x:c r="M2633" s="28" t="n">
        <x:f>G2633*J2633/1000000</x:f>
        <x:v>0.24023</x:v>
      </x:c>
      <x:c r="N2633" s="28" t="n">
        <x:f>H2633*K2633/1000000</x:f>
        <x:v>0.21297</x:v>
      </x:c>
      <x:c r="O2633" s="28" t="n">
        <x:f>SUM(M2633:N2633)</x:f>
        <x:v>0.4532</x:v>
      </x:c>
    </x:row>
    <x:row r="2634" ht="23" customHeight="1">
      <x:c r="A2634" s="17" t="str">
        <x:v>U02628</x:v>
      </x:c>
      <x:c r="B2634" s="18" t="n">
        <x:v>46274</x:v>
      </x:c>
      <x:c r="C2634" s="17" t="str">
        <x:v>W0198</x:v>
      </x:c>
      <x:c r="D2634" s="17" t="str">
        <x:v>C004</x:v>
      </x:c>
      <x:c r="E2634" s="17" t="str">
        <x:v>DataFlow</x:v>
      </x:c>
      <x:c r="F2634" s="17" t="str">
        <x:v>Lite</x:v>
      </x:c>
      <x:c r="G2634" s="17" t="n">
        <x:v>15161</x:v>
      </x:c>
      <x:c r="H2634" s="17" t="n">
        <x:v>4749</x:v>
      </x:c>
      <x:c r="I2634" s="17" t="str">
        <x:v>First attempt</x:v>
      </x:c>
      <x:c r="J2634" s="27" t="n">
        <x:f>INDEX('Model Pricing'!$B$7:$B$8,MATCH(F2634,'Model Pricing'!$A$7:$A$8,0))</x:f>
        <x:v>10</x:v>
      </x:c>
      <x:c r="K2634" s="27" t="n">
        <x:f>INDEX('Model Pricing'!$C$7:$C$8,MATCH(F2634,'Model Pricing'!$A$7:$A$8,0))</x:f>
        <x:v>30</x:v>
      </x:c>
      <x:c r="L2634" s="17" t="n">
        <x:f>G2634+H2634</x:f>
        <x:v>19910</x:v>
      </x:c>
      <x:c r="M2634" s="28" t="n">
        <x:f>G2634*J2634/1000000</x:f>
        <x:v>0.15161</x:v>
      </x:c>
      <x:c r="N2634" s="28" t="n">
        <x:f>H2634*K2634/1000000</x:f>
        <x:v>0.14247</x:v>
      </x:c>
      <x:c r="O2634" s="28" t="n">
        <x:f>SUM(M2634:N2634)</x:f>
        <x:v>0.29408</x:v>
      </x:c>
    </x:row>
    <x:row r="2635" ht="23" customHeight="1">
      <x:c r="A2635" s="17" t="str">
        <x:v>U02629</x:v>
      </x:c>
      <x:c r="B2635" s="18" t="n">
        <x:v>46274</x:v>
      </x:c>
      <x:c r="C2635" s="17" t="str">
        <x:v>W0198</x:v>
      </x:c>
      <x:c r="D2635" s="17" t="str">
        <x:v>C004</x:v>
      </x:c>
      <x:c r="E2635" s="17" t="str">
        <x:v>DataFlow</x:v>
      </x:c>
      <x:c r="F2635" s="17" t="str">
        <x:v>Lite</x:v>
      </x:c>
      <x:c r="G2635" s="17" t="n">
        <x:v>25793</x:v>
      </x:c>
      <x:c r="H2635" s="17" t="n">
        <x:v>3154</x:v>
      </x:c>
      <x:c r="I2635" s="17" t="str">
        <x:v>Followup</x:v>
      </x:c>
      <x:c r="J2635" s="27" t="n">
        <x:f>INDEX('Model Pricing'!$B$7:$B$8,MATCH(F2635,'Model Pricing'!$A$7:$A$8,0))</x:f>
        <x:v>10</x:v>
      </x:c>
      <x:c r="K2635" s="27" t="n">
        <x:f>INDEX('Model Pricing'!$C$7:$C$8,MATCH(F2635,'Model Pricing'!$A$7:$A$8,0))</x:f>
        <x:v>30</x:v>
      </x:c>
      <x:c r="L2635" s="17" t="n">
        <x:f>G2635+H2635</x:f>
        <x:v>28947</x:v>
      </x:c>
      <x:c r="M2635" s="28" t="n">
        <x:f>G2635*J2635/1000000</x:f>
        <x:v>0.25793</x:v>
      </x:c>
      <x:c r="N2635" s="28" t="n">
        <x:f>H2635*K2635/1000000</x:f>
        <x:v>0.09462</x:v>
      </x:c>
      <x:c r="O2635" s="28" t="n">
        <x:f>SUM(M2635:N2635)</x:f>
        <x:v>0.35255</x:v>
      </x:c>
    </x:row>
    <x:row r="2636" ht="23" customHeight="1">
      <x:c r="A2636" s="17" t="str">
        <x:v>U02630</x:v>
      </x:c>
      <x:c r="B2636" s="18" t="n">
        <x:v>46274</x:v>
      </x:c>
      <x:c r="C2636" s="17" t="str">
        <x:v>W0198</x:v>
      </x:c>
      <x:c r="D2636" s="17" t="str">
        <x:v>C004</x:v>
      </x:c>
      <x:c r="E2636" s="17" t="str">
        <x:v>DataFlow</x:v>
      </x:c>
      <x:c r="F2636" s="17" t="str">
        <x:v>Lite</x:v>
      </x:c>
      <x:c r="G2636" s="17" t="n">
        <x:v>28859</x:v>
      </x:c>
      <x:c r="H2636" s="17" t="n">
        <x:v>6646</x:v>
      </x:c>
      <x:c r="I2636" s="17" t="str">
        <x:v>Followup</x:v>
      </x:c>
      <x:c r="J2636" s="27" t="n">
        <x:f>INDEX('Model Pricing'!$B$7:$B$8,MATCH(F2636,'Model Pricing'!$A$7:$A$8,0))</x:f>
        <x:v>10</x:v>
      </x:c>
      <x:c r="K2636" s="27" t="n">
        <x:f>INDEX('Model Pricing'!$C$7:$C$8,MATCH(F2636,'Model Pricing'!$A$7:$A$8,0))</x:f>
        <x:v>30</x:v>
      </x:c>
      <x:c r="L2636" s="17" t="n">
        <x:f>G2636+H2636</x:f>
        <x:v>35505</x:v>
      </x:c>
      <x:c r="M2636" s="28" t="n">
        <x:f>G2636*J2636/1000000</x:f>
        <x:v>0.28859</x:v>
      </x:c>
      <x:c r="N2636" s="28" t="n">
        <x:f>H2636*K2636/1000000</x:f>
        <x:v>0.19938</x:v>
      </x:c>
      <x:c r="O2636" s="28" t="n">
        <x:f>SUM(M2636:N2636)</x:f>
        <x:v>0.48797</x:v>
      </x:c>
    </x:row>
    <x:row r="2637" ht="23" customHeight="1">
      <x:c r="A2637" s="17" t="str">
        <x:v>U02631</x:v>
      </x:c>
      <x:c r="B2637" s="18" t="n">
        <x:v>46275</x:v>
      </x:c>
      <x:c r="C2637" s="17" t="str">
        <x:v>W0198</x:v>
      </x:c>
      <x:c r="D2637" s="17" t="str">
        <x:v>C004</x:v>
      </x:c>
      <x:c r="E2637" s="17" t="str">
        <x:v>DataFlow</x:v>
      </x:c>
      <x:c r="F2637" s="17" t="str">
        <x:v>Lite</x:v>
      </x:c>
      <x:c r="G2637" s="17" t="n">
        <x:v>15722</x:v>
      </x:c>
      <x:c r="H2637" s="17" t="n">
        <x:v>5573</x:v>
      </x:c>
      <x:c r="I2637" s="17" t="str">
        <x:v>Followup</x:v>
      </x:c>
      <x:c r="J2637" s="27" t="n">
        <x:f>INDEX('Model Pricing'!$B$7:$B$8,MATCH(F2637,'Model Pricing'!$A$7:$A$8,0))</x:f>
        <x:v>10</x:v>
      </x:c>
      <x:c r="K2637" s="27" t="n">
        <x:f>INDEX('Model Pricing'!$C$7:$C$8,MATCH(F2637,'Model Pricing'!$A$7:$A$8,0))</x:f>
        <x:v>30</x:v>
      </x:c>
      <x:c r="L2637" s="17" t="n">
        <x:f>G2637+H2637</x:f>
        <x:v>21295</x:v>
      </x:c>
      <x:c r="M2637" s="28" t="n">
        <x:f>G2637*J2637/1000000</x:f>
        <x:v>0.15722</x:v>
      </x:c>
      <x:c r="N2637" s="28" t="n">
        <x:f>H2637*K2637/1000000</x:f>
        <x:v>0.16719</x:v>
      </x:c>
      <x:c r="O2637" s="28" t="n">
        <x:f>SUM(M2637:N2637)</x:f>
        <x:v>0.32441</x:v>
      </x:c>
    </x:row>
    <x:row r="2638" ht="23" customHeight="1">
      <x:c r="A2638" s="17" t="str">
        <x:v>U02632</x:v>
      </x:c>
      <x:c r="B2638" s="18" t="n">
        <x:v>46275</x:v>
      </x:c>
      <x:c r="C2638" s="17" t="str">
        <x:v>W0198</x:v>
      </x:c>
      <x:c r="D2638" s="17" t="str">
        <x:v>C004</x:v>
      </x:c>
      <x:c r="E2638" s="17" t="str">
        <x:v>DataFlow</x:v>
      </x:c>
      <x:c r="F2638" s="17" t="str">
        <x:v>Lite</x:v>
      </x:c>
      <x:c r="G2638" s="17" t="n">
        <x:v>29228</x:v>
      </x:c>
      <x:c r="H2638" s="17" t="n">
        <x:v>7726</x:v>
      </x:c>
      <x:c r="I2638" s="17" t="str">
        <x:v>Followup</x:v>
      </x:c>
      <x:c r="J2638" s="27" t="n">
        <x:f>INDEX('Model Pricing'!$B$7:$B$8,MATCH(F2638,'Model Pricing'!$A$7:$A$8,0))</x:f>
        <x:v>10</x:v>
      </x:c>
      <x:c r="K2638" s="27" t="n">
        <x:f>INDEX('Model Pricing'!$C$7:$C$8,MATCH(F2638,'Model Pricing'!$A$7:$A$8,0))</x:f>
        <x:v>30</x:v>
      </x:c>
      <x:c r="L2638" s="17" t="n">
        <x:f>G2638+H2638</x:f>
        <x:v>36954</x:v>
      </x:c>
      <x:c r="M2638" s="28" t="n">
        <x:f>G2638*J2638/1000000</x:f>
        <x:v>0.29228</x:v>
      </x:c>
      <x:c r="N2638" s="28" t="n">
        <x:f>H2638*K2638/1000000</x:f>
        <x:v>0.23178</x:v>
      </x:c>
      <x:c r="O2638" s="28" t="n">
        <x:f>SUM(M2638:N2638)</x:f>
        <x:v>0.52406</x:v>
      </x:c>
    </x:row>
    <x:row r="2639" ht="23" customHeight="1">
      <x:c r="A2639" s="17" t="str">
        <x:v>U02633</x:v>
      </x:c>
      <x:c r="B2639" s="18" t="n">
        <x:v>46275</x:v>
      </x:c>
      <x:c r="C2639" s="17" t="str">
        <x:v>W0198</x:v>
      </x:c>
      <x:c r="D2639" s="17" t="str">
        <x:v>C004</x:v>
      </x:c>
      <x:c r="E2639" s="17" t="str">
        <x:v>DataFlow</x:v>
      </x:c>
      <x:c r="F2639" s="17" t="str">
        <x:v>Lite</x:v>
      </x:c>
      <x:c r="G2639" s="17" t="n">
        <x:v>24960</x:v>
      </x:c>
      <x:c r="H2639" s="17" t="n">
        <x:v>6656</x:v>
      </x:c>
      <x:c r="I2639" s="17" t="str">
        <x:v>Correction</x:v>
      </x:c>
      <x:c r="J2639" s="27" t="n">
        <x:f>INDEX('Model Pricing'!$B$7:$B$8,MATCH(F2639,'Model Pricing'!$A$7:$A$8,0))</x:f>
        <x:v>10</x:v>
      </x:c>
      <x:c r="K2639" s="27" t="n">
        <x:f>INDEX('Model Pricing'!$C$7:$C$8,MATCH(F2639,'Model Pricing'!$A$7:$A$8,0))</x:f>
        <x:v>30</x:v>
      </x:c>
      <x:c r="L2639" s="17" t="n">
        <x:f>G2639+H2639</x:f>
        <x:v>31616</x:v>
      </x:c>
      <x:c r="M2639" s="28" t="n">
        <x:f>G2639*J2639/1000000</x:f>
        <x:v>0.2496</x:v>
      </x:c>
      <x:c r="N2639" s="28" t="n">
        <x:f>H2639*K2639/1000000</x:f>
        <x:v>0.19968</x:v>
      </x:c>
      <x:c r="O2639" s="28" t="n">
        <x:f>SUM(M2639:N2639)</x:f>
        <x:v>0.44928</x:v>
      </x:c>
    </x:row>
    <x:row r="2640" ht="23" customHeight="1">
      <x:c r="A2640" s="17" t="str">
        <x:v>U02634</x:v>
      </x:c>
      <x:c r="B2640" s="18" t="n">
        <x:v>46276</x:v>
      </x:c>
      <x:c r="C2640" s="17" t="str">
        <x:v>W0198</x:v>
      </x:c>
      <x:c r="D2640" s="17" t="str">
        <x:v>C004</x:v>
      </x:c>
      <x:c r="E2640" s="17" t="str">
        <x:v>DataFlow</x:v>
      </x:c>
      <x:c r="F2640" s="17" t="str">
        <x:v>Lite</x:v>
      </x:c>
      <x:c r="G2640" s="17" t="n">
        <x:v>21650</x:v>
      </x:c>
      <x:c r="H2640" s="17" t="n">
        <x:v>2527</x:v>
      </x:c>
      <x:c r="I2640" s="17" t="str">
        <x:v>Correction</x:v>
      </x:c>
      <x:c r="J2640" s="27" t="n">
        <x:f>INDEX('Model Pricing'!$B$7:$B$8,MATCH(F2640,'Model Pricing'!$A$7:$A$8,0))</x:f>
        <x:v>10</x:v>
      </x:c>
      <x:c r="K2640" s="27" t="n">
        <x:f>INDEX('Model Pricing'!$C$7:$C$8,MATCH(F2640,'Model Pricing'!$A$7:$A$8,0))</x:f>
        <x:v>30</x:v>
      </x:c>
      <x:c r="L2640" s="17" t="n">
        <x:f>G2640+H2640</x:f>
        <x:v>24177</x:v>
      </x:c>
      <x:c r="M2640" s="28" t="n">
        <x:f>G2640*J2640/1000000</x:f>
        <x:v>0.2165</x:v>
      </x:c>
      <x:c r="N2640" s="28" t="n">
        <x:f>H2640*K2640/1000000</x:f>
        <x:v>0.07581</x:v>
      </x:c>
      <x:c r="O2640" s="28" t="n">
        <x:f>SUM(M2640:N2640)</x:f>
        <x:v>0.29231</x:v>
      </x:c>
    </x:row>
    <x:row r="2641" ht="23" customHeight="1">
      <x:c r="A2641" s="17" t="str">
        <x:v>U02635</x:v>
      </x:c>
      <x:c r="B2641" s="18" t="n">
        <x:v>46276</x:v>
      </x:c>
      <x:c r="C2641" s="17" t="str">
        <x:v>W0198</x:v>
      </x:c>
      <x:c r="D2641" s="17" t="str">
        <x:v>C004</x:v>
      </x:c>
      <x:c r="E2641" s="17" t="str">
        <x:v>DataFlow</x:v>
      </x:c>
      <x:c r="F2641" s="17" t="str">
        <x:v>Lite</x:v>
      </x:c>
      <x:c r="G2641" s="17" t="n">
        <x:v>19247</x:v>
      </x:c>
      <x:c r="H2641" s="17" t="n">
        <x:v>6856</x:v>
      </x:c>
      <x:c r="I2641" s="17" t="str">
        <x:v>Followup</x:v>
      </x:c>
      <x:c r="J2641" s="27" t="n">
        <x:f>INDEX('Model Pricing'!$B$7:$B$8,MATCH(F2641,'Model Pricing'!$A$7:$A$8,0))</x:f>
        <x:v>10</x:v>
      </x:c>
      <x:c r="K2641" s="27" t="n">
        <x:f>INDEX('Model Pricing'!$C$7:$C$8,MATCH(F2641,'Model Pricing'!$A$7:$A$8,0))</x:f>
        <x:v>30</x:v>
      </x:c>
      <x:c r="L2641" s="17" t="n">
        <x:f>G2641+H2641</x:f>
        <x:v>26103</x:v>
      </x:c>
      <x:c r="M2641" s="28" t="n">
        <x:f>G2641*J2641/1000000</x:f>
        <x:v>0.19247</x:v>
      </x:c>
      <x:c r="N2641" s="28" t="n">
        <x:f>H2641*K2641/1000000</x:f>
        <x:v>0.20568</x:v>
      </x:c>
      <x:c r="O2641" s="28" t="n">
        <x:f>SUM(M2641:N2641)</x:f>
        <x:v>0.39815</x:v>
      </x:c>
    </x:row>
    <x:row r="2642" ht="23" customHeight="1">
      <x:c r="A2642" s="17" t="str">
        <x:v>U02636</x:v>
      </x:c>
      <x:c r="B2642" s="18" t="n">
        <x:v>46276</x:v>
      </x:c>
      <x:c r="C2642" s="17" t="str">
        <x:v>W0198</x:v>
      </x:c>
      <x:c r="D2642" s="17" t="str">
        <x:v>C004</x:v>
      </x:c>
      <x:c r="E2642" s="17" t="str">
        <x:v>DataFlow</x:v>
      </x:c>
      <x:c r="F2642" s="17" t="str">
        <x:v>Lite</x:v>
      </x:c>
      <x:c r="G2642" s="17" t="n">
        <x:v>18482</x:v>
      </x:c>
      <x:c r="H2642" s="17" t="n">
        <x:v>4774</x:v>
      </x:c>
      <x:c r="I2642" s="17" t="str">
        <x:v>Followup</x:v>
      </x:c>
      <x:c r="J2642" s="27" t="n">
        <x:f>INDEX('Model Pricing'!$B$7:$B$8,MATCH(F2642,'Model Pricing'!$A$7:$A$8,0))</x:f>
        <x:v>10</x:v>
      </x:c>
      <x:c r="K2642" s="27" t="n">
        <x:f>INDEX('Model Pricing'!$C$7:$C$8,MATCH(F2642,'Model Pricing'!$A$7:$A$8,0))</x:f>
        <x:v>30</x:v>
      </x:c>
      <x:c r="L2642" s="17" t="n">
        <x:f>G2642+H2642</x:f>
        <x:v>23256</x:v>
      </x:c>
      <x:c r="M2642" s="28" t="n">
        <x:f>G2642*J2642/1000000</x:f>
        <x:v>0.18482</x:v>
      </x:c>
      <x:c r="N2642" s="28" t="n">
        <x:f>H2642*K2642/1000000</x:f>
        <x:v>0.14322</x:v>
      </x:c>
      <x:c r="O2642" s="28" t="n">
        <x:f>SUM(M2642:N2642)</x:f>
        <x:v>0.32804</x:v>
      </x:c>
    </x:row>
    <x:row r="2643" ht="23" customHeight="1">
      <x:c r="A2643" s="17" t="str">
        <x:v>U02637</x:v>
      </x:c>
      <x:c r="B2643" s="18" t="n">
        <x:v>46279</x:v>
      </x:c>
      <x:c r="C2643" s="17" t="str">
        <x:v>W0198</x:v>
      </x:c>
      <x:c r="D2643" s="17" t="str">
        <x:v>C004</x:v>
      </x:c>
      <x:c r="E2643" s="17" t="str">
        <x:v>DataFlow</x:v>
      </x:c>
      <x:c r="F2643" s="17" t="str">
        <x:v>Lite</x:v>
      </x:c>
      <x:c r="G2643" s="17" t="n">
        <x:v>11191</x:v>
      </x:c>
      <x:c r="H2643" s="17" t="n">
        <x:v>3329</x:v>
      </x:c>
      <x:c r="I2643" s="17" t="str">
        <x:v>Followup</x:v>
      </x:c>
      <x:c r="J2643" s="27" t="n">
        <x:f>INDEX('Model Pricing'!$B$7:$B$8,MATCH(F2643,'Model Pricing'!$A$7:$A$8,0))</x:f>
        <x:v>10</x:v>
      </x:c>
      <x:c r="K2643" s="27" t="n">
        <x:f>INDEX('Model Pricing'!$C$7:$C$8,MATCH(F2643,'Model Pricing'!$A$7:$A$8,0))</x:f>
        <x:v>30</x:v>
      </x:c>
      <x:c r="L2643" s="17" t="n">
        <x:f>G2643+H2643</x:f>
        <x:v>14520</x:v>
      </x:c>
      <x:c r="M2643" s="28" t="n">
        <x:f>G2643*J2643/1000000</x:f>
        <x:v>0.11191</x:v>
      </x:c>
      <x:c r="N2643" s="28" t="n">
        <x:f>H2643*K2643/1000000</x:f>
        <x:v>0.09987</x:v>
      </x:c>
      <x:c r="O2643" s="28" t="n">
        <x:f>SUM(M2643:N2643)</x:f>
        <x:v>0.21178</x:v>
      </x:c>
    </x:row>
    <x:row r="2644" ht="23" customHeight="1">
      <x:c r="A2644" s="17" t="str">
        <x:v>U02638</x:v>
      </x:c>
      <x:c r="B2644" s="18" t="n">
        <x:v>46279</x:v>
      </x:c>
      <x:c r="C2644" s="17" t="str">
        <x:v>W0198</x:v>
      </x:c>
      <x:c r="D2644" s="17" t="str">
        <x:v>C004</x:v>
      </x:c>
      <x:c r="E2644" s="17" t="str">
        <x:v>DataFlow</x:v>
      </x:c>
      <x:c r="F2644" s="17" t="str">
        <x:v>Lite</x:v>
      </x:c>
      <x:c r="G2644" s="17" t="n">
        <x:v>28345</x:v>
      </x:c>
      <x:c r="H2644" s="17" t="n">
        <x:v>3121</x:v>
      </x:c>
      <x:c r="I2644" s="17" t="str">
        <x:v>Followup</x:v>
      </x:c>
      <x:c r="J2644" s="27" t="n">
        <x:f>INDEX('Model Pricing'!$B$7:$B$8,MATCH(F2644,'Model Pricing'!$A$7:$A$8,0))</x:f>
        <x:v>10</x:v>
      </x:c>
      <x:c r="K2644" s="27" t="n">
        <x:f>INDEX('Model Pricing'!$C$7:$C$8,MATCH(F2644,'Model Pricing'!$A$7:$A$8,0))</x:f>
        <x:v>30</x:v>
      </x:c>
      <x:c r="L2644" s="17" t="n">
        <x:f>G2644+H2644</x:f>
        <x:v>31466</x:v>
      </x:c>
      <x:c r="M2644" s="28" t="n">
        <x:f>G2644*J2644/1000000</x:f>
        <x:v>0.28345</x:v>
      </x:c>
      <x:c r="N2644" s="28" t="n">
        <x:f>H2644*K2644/1000000</x:f>
        <x:v>0.09363</x:v>
      </x:c>
      <x:c r="O2644" s="28" t="n">
        <x:f>SUM(M2644:N2644)</x:f>
        <x:v>0.37707999999999997</x:v>
      </x:c>
    </x:row>
    <x:row r="2645" ht="23" customHeight="1">
      <x:c r="A2645" s="17" t="str">
        <x:v>U02639</x:v>
      </x:c>
      <x:c r="B2645" s="18" t="n">
        <x:v>46267</x:v>
      </x:c>
      <x:c r="C2645" s="17" t="str">
        <x:v>W0200</x:v>
      </x:c>
      <x:c r="D2645" s="17" t="str">
        <x:v>C004</x:v>
      </x:c>
      <x:c r="E2645" s="17" t="str">
        <x:v>InsightDesk</x:v>
      </x:c>
      <x:c r="F2645" s="17" t="str">
        <x:v>Lite</x:v>
      </x:c>
      <x:c r="G2645" s="17" t="n">
        <x:v>10218</x:v>
      </x:c>
      <x:c r="H2645" s="17" t="n">
        <x:v>4837</x:v>
      </x:c>
      <x:c r="I2645" s="17" t="str">
        <x:v>First attempt</x:v>
      </x:c>
      <x:c r="J2645" s="27" t="n">
        <x:f>INDEX('Model Pricing'!$B$7:$B$8,MATCH(F2645,'Model Pricing'!$A$7:$A$8,0))</x:f>
        <x:v>10</x:v>
      </x:c>
      <x:c r="K2645" s="27" t="n">
        <x:f>INDEX('Model Pricing'!$C$7:$C$8,MATCH(F2645,'Model Pricing'!$A$7:$A$8,0))</x:f>
        <x:v>30</x:v>
      </x:c>
      <x:c r="L2645" s="17" t="n">
        <x:f>G2645+H2645</x:f>
        <x:v>15055</x:v>
      </x:c>
      <x:c r="M2645" s="28" t="n">
        <x:f>G2645*J2645/1000000</x:f>
        <x:v>0.10218</x:v>
      </x:c>
      <x:c r="N2645" s="28" t="n">
        <x:f>H2645*K2645/1000000</x:f>
        <x:v>0.14511</x:v>
      </x:c>
      <x:c r="O2645" s="28" t="n">
        <x:f>SUM(M2645:N2645)</x:f>
        <x:v>0.24729</x:v>
      </x:c>
    </x:row>
    <x:row r="2646" ht="23" customHeight="1">
      <x:c r="A2646" s="17" t="str">
        <x:v>U02640</x:v>
      </x:c>
      <x:c r="B2646" s="18" t="n">
        <x:v>46267</x:v>
      </x:c>
      <x:c r="C2646" s="17" t="str">
        <x:v>W0200</x:v>
      </x:c>
      <x:c r="D2646" s="17" t="str">
        <x:v>C004</x:v>
      </x:c>
      <x:c r="E2646" s="17" t="str">
        <x:v>InsightDesk</x:v>
      </x:c>
      <x:c r="F2646" s="17" t="str">
        <x:v>Lite</x:v>
      </x:c>
      <x:c r="G2646" s="17" t="n">
        <x:v>22890</x:v>
      </x:c>
      <x:c r="H2646" s="17" t="n">
        <x:v>3089</x:v>
      </x:c>
      <x:c r="I2646" s="17" t="str">
        <x:v>Followup</x:v>
      </x:c>
      <x:c r="J2646" s="27" t="n">
        <x:f>INDEX('Model Pricing'!$B$7:$B$8,MATCH(F2646,'Model Pricing'!$A$7:$A$8,0))</x:f>
        <x:v>10</x:v>
      </x:c>
      <x:c r="K2646" s="27" t="n">
        <x:f>INDEX('Model Pricing'!$C$7:$C$8,MATCH(F2646,'Model Pricing'!$A$7:$A$8,0))</x:f>
        <x:v>30</x:v>
      </x:c>
      <x:c r="L2646" s="17" t="n">
        <x:f>G2646+H2646</x:f>
        <x:v>25979</x:v>
      </x:c>
      <x:c r="M2646" s="28" t="n">
        <x:f>G2646*J2646/1000000</x:f>
        <x:v>0.2289</x:v>
      </x:c>
      <x:c r="N2646" s="28" t="n">
        <x:f>H2646*K2646/1000000</x:f>
        <x:v>0.09267</x:v>
      </x:c>
      <x:c r="O2646" s="28" t="n">
        <x:f>SUM(M2646:N2646)</x:f>
        <x:v>0.32157</x:v>
      </x:c>
    </x:row>
    <x:row r="2647" ht="23" customHeight="1">
      <x:c r="A2647" s="17" t="str">
        <x:v>U02641</x:v>
      </x:c>
      <x:c r="B2647" s="18" t="n">
        <x:v>46267</x:v>
      </x:c>
      <x:c r="C2647" s="17" t="str">
        <x:v>W0200</x:v>
      </x:c>
      <x:c r="D2647" s="17" t="str">
        <x:v>C004</x:v>
      </x:c>
      <x:c r="E2647" s="17" t="str">
        <x:v>InsightDesk</x:v>
      </x:c>
      <x:c r="F2647" s="17" t="str">
        <x:v>Lite</x:v>
      </x:c>
      <x:c r="G2647" s="17" t="n">
        <x:v>17639</x:v>
      </x:c>
      <x:c r="H2647" s="17" t="n">
        <x:v>4771</x:v>
      </x:c>
      <x:c r="I2647" s="17" t="str">
        <x:v>Followup</x:v>
      </x:c>
      <x:c r="J2647" s="27" t="n">
        <x:f>INDEX('Model Pricing'!$B$7:$B$8,MATCH(F2647,'Model Pricing'!$A$7:$A$8,0))</x:f>
        <x:v>10</x:v>
      </x:c>
      <x:c r="K2647" s="27" t="n">
        <x:f>INDEX('Model Pricing'!$C$7:$C$8,MATCH(F2647,'Model Pricing'!$A$7:$A$8,0))</x:f>
        <x:v>30</x:v>
      </x:c>
      <x:c r="L2647" s="17" t="n">
        <x:f>G2647+H2647</x:f>
        <x:v>22410</x:v>
      </x:c>
      <x:c r="M2647" s="28" t="n">
        <x:f>G2647*J2647/1000000</x:f>
        <x:v>0.17639</x:v>
      </x:c>
      <x:c r="N2647" s="28" t="n">
        <x:f>H2647*K2647/1000000</x:f>
        <x:v>0.14313</x:v>
      </x:c>
      <x:c r="O2647" s="28" t="n">
        <x:f>SUM(M2647:N2647)</x:f>
        <x:v>0.31952</x:v>
      </x:c>
    </x:row>
    <x:row r="2648" ht="23" customHeight="1">
      <x:c r="A2648" s="17" t="str">
        <x:v>U02642</x:v>
      </x:c>
      <x:c r="B2648" s="18" t="n">
        <x:v>46267</x:v>
      </x:c>
      <x:c r="C2648" s="17" t="str">
        <x:v>W0200</x:v>
      </x:c>
      <x:c r="D2648" s="17" t="str">
        <x:v>C004</x:v>
      </x:c>
      <x:c r="E2648" s="17" t="str">
        <x:v>InsightDesk</x:v>
      </x:c>
      <x:c r="F2648" s="17" t="str">
        <x:v>Lite</x:v>
      </x:c>
      <x:c r="G2648" s="17" t="n">
        <x:v>11165</x:v>
      </x:c>
      <x:c r="H2648" s="17" t="n">
        <x:v>4802</x:v>
      </x:c>
      <x:c r="I2648" s="17" t="str">
        <x:v>Followup</x:v>
      </x:c>
      <x:c r="J2648" s="27" t="n">
        <x:f>INDEX('Model Pricing'!$B$7:$B$8,MATCH(F2648,'Model Pricing'!$A$7:$A$8,0))</x:f>
        <x:v>10</x:v>
      </x:c>
      <x:c r="K2648" s="27" t="n">
        <x:f>INDEX('Model Pricing'!$C$7:$C$8,MATCH(F2648,'Model Pricing'!$A$7:$A$8,0))</x:f>
        <x:v>30</x:v>
      </x:c>
      <x:c r="L2648" s="17" t="n">
        <x:f>G2648+H2648</x:f>
        <x:v>15967</x:v>
      </x:c>
      <x:c r="M2648" s="28" t="n">
        <x:f>G2648*J2648/1000000</x:f>
        <x:v>0.11165</x:v>
      </x:c>
      <x:c r="N2648" s="28" t="n">
        <x:f>H2648*K2648/1000000</x:f>
        <x:v>0.14406</x:v>
      </x:c>
      <x:c r="O2648" s="28" t="n">
        <x:f>SUM(M2648:N2648)</x:f>
        <x:v>0.25571</x:v>
      </x:c>
    </x:row>
    <x:row r="2649" ht="23" customHeight="1">
      <x:c r="A2649" s="17" t="str">
        <x:v>U02643</x:v>
      </x:c>
      <x:c r="B2649" s="18" t="n">
        <x:v>46268</x:v>
      </x:c>
      <x:c r="C2649" s="17" t="str">
        <x:v>W0200</x:v>
      </x:c>
      <x:c r="D2649" s="17" t="str">
        <x:v>C004</x:v>
      </x:c>
      <x:c r="E2649" s="17" t="str">
        <x:v>InsightDesk</x:v>
      </x:c>
      <x:c r="F2649" s="17" t="str">
        <x:v>Lite</x:v>
      </x:c>
      <x:c r="G2649" s="17" t="n">
        <x:v>16318</x:v>
      </x:c>
      <x:c r="H2649" s="17" t="n">
        <x:v>4370</x:v>
      </x:c>
      <x:c r="I2649" s="17" t="str">
        <x:v>Followup</x:v>
      </x:c>
      <x:c r="J2649" s="27" t="n">
        <x:f>INDEX('Model Pricing'!$B$7:$B$8,MATCH(F2649,'Model Pricing'!$A$7:$A$8,0))</x:f>
        <x:v>10</x:v>
      </x:c>
      <x:c r="K2649" s="27" t="n">
        <x:f>INDEX('Model Pricing'!$C$7:$C$8,MATCH(F2649,'Model Pricing'!$A$7:$A$8,0))</x:f>
        <x:v>30</x:v>
      </x:c>
      <x:c r="L2649" s="17" t="n">
        <x:f>G2649+H2649</x:f>
        <x:v>20688</x:v>
      </x:c>
      <x:c r="M2649" s="28" t="n">
        <x:f>G2649*J2649/1000000</x:f>
        <x:v>0.16318</x:v>
      </x:c>
      <x:c r="N2649" s="28" t="n">
        <x:f>H2649*K2649/1000000</x:f>
        <x:v>0.1311</x:v>
      </x:c>
      <x:c r="O2649" s="28" t="n">
        <x:f>SUM(M2649:N2649)</x:f>
        <x:v>0.29428</x:v>
      </x:c>
    </x:row>
    <x:row r="2650" ht="23" customHeight="1">
      <x:c r="A2650" s="17" t="str">
        <x:v>U02644</x:v>
      </x:c>
      <x:c r="B2650" s="18" t="n">
        <x:v>46268</x:v>
      </x:c>
      <x:c r="C2650" s="17" t="str">
        <x:v>W0200</x:v>
      </x:c>
      <x:c r="D2650" s="17" t="str">
        <x:v>C004</x:v>
      </x:c>
      <x:c r="E2650" s="17" t="str">
        <x:v>InsightDesk</x:v>
      </x:c>
      <x:c r="F2650" s="17" t="str">
        <x:v>Lite</x:v>
      </x:c>
      <x:c r="G2650" s="17" t="n">
        <x:v>13053</x:v>
      </x:c>
      <x:c r="H2650" s="17" t="n">
        <x:v>4340</x:v>
      </x:c>
      <x:c r="I2650" s="17" t="str">
        <x:v>Followup</x:v>
      </x:c>
      <x:c r="J2650" s="27" t="n">
        <x:f>INDEX('Model Pricing'!$B$7:$B$8,MATCH(F2650,'Model Pricing'!$A$7:$A$8,0))</x:f>
        <x:v>10</x:v>
      </x:c>
      <x:c r="K2650" s="27" t="n">
        <x:f>INDEX('Model Pricing'!$C$7:$C$8,MATCH(F2650,'Model Pricing'!$A$7:$A$8,0))</x:f>
        <x:v>30</x:v>
      </x:c>
      <x:c r="L2650" s="17" t="n">
        <x:f>G2650+H2650</x:f>
        <x:v>17393</x:v>
      </x:c>
      <x:c r="M2650" s="28" t="n">
        <x:f>G2650*J2650/1000000</x:f>
        <x:v>0.13053</x:v>
      </x:c>
      <x:c r="N2650" s="28" t="n">
        <x:f>H2650*K2650/1000000</x:f>
        <x:v>0.1302</x:v>
      </x:c>
      <x:c r="O2650" s="28" t="n">
        <x:f>SUM(M2650:N2650)</x:f>
        <x:v>0.26073</x:v>
      </x:c>
    </x:row>
    <x:row r="2651" ht="23" customHeight="1">
      <x:c r="A2651" s="17" t="str">
        <x:v>U02645</x:v>
      </x:c>
      <x:c r="B2651" s="18" t="n">
        <x:v>46268</x:v>
      </x:c>
      <x:c r="C2651" s="17" t="str">
        <x:v>W0200</x:v>
      </x:c>
      <x:c r="D2651" s="17" t="str">
        <x:v>C004</x:v>
      </x:c>
      <x:c r="E2651" s="17" t="str">
        <x:v>InsightDesk</x:v>
      </x:c>
      <x:c r="F2651" s="17" t="str">
        <x:v>Lite</x:v>
      </x:c>
      <x:c r="G2651" s="17" t="n">
        <x:v>14367</x:v>
      </x:c>
      <x:c r="H2651" s="17" t="n">
        <x:v>3284</x:v>
      </x:c>
      <x:c r="I2651" s="17" t="str">
        <x:v>Correction</x:v>
      </x:c>
      <x:c r="J2651" s="27" t="n">
        <x:f>INDEX('Model Pricing'!$B$7:$B$8,MATCH(F2651,'Model Pricing'!$A$7:$A$8,0))</x:f>
        <x:v>10</x:v>
      </x:c>
      <x:c r="K2651" s="27" t="n">
        <x:f>INDEX('Model Pricing'!$C$7:$C$8,MATCH(F2651,'Model Pricing'!$A$7:$A$8,0))</x:f>
        <x:v>30</x:v>
      </x:c>
      <x:c r="L2651" s="17" t="n">
        <x:f>G2651+H2651</x:f>
        <x:v>17651</x:v>
      </x:c>
      <x:c r="M2651" s="28" t="n">
        <x:f>G2651*J2651/1000000</x:f>
        <x:v>0.14367</x:v>
      </x:c>
      <x:c r="N2651" s="28" t="n">
        <x:f>H2651*K2651/1000000</x:f>
        <x:v>0.09852</x:v>
      </x:c>
      <x:c r="O2651" s="28" t="n">
        <x:f>SUM(M2651:N2651)</x:f>
        <x:v>0.24219</x:v>
      </x:c>
    </x:row>
    <x:row r="2652" ht="23" customHeight="1">
      <x:c r="A2652" s="17" t="str">
        <x:v>U02646</x:v>
      </x:c>
      <x:c r="B2652" s="18" t="n">
        <x:v>46269</x:v>
      </x:c>
      <x:c r="C2652" s="17" t="str">
        <x:v>W0200</x:v>
      </x:c>
      <x:c r="D2652" s="17" t="str">
        <x:v>C004</x:v>
      </x:c>
      <x:c r="E2652" s="17" t="str">
        <x:v>InsightDesk</x:v>
      </x:c>
      <x:c r="F2652" s="17" t="str">
        <x:v>Lite</x:v>
      </x:c>
      <x:c r="G2652" s="17" t="n">
        <x:v>11274</x:v>
      </x:c>
      <x:c r="H2652" s="17" t="n">
        <x:v>2948</x:v>
      </x:c>
      <x:c r="I2652" s="17" t="str">
        <x:v>Followup</x:v>
      </x:c>
      <x:c r="J2652" s="27" t="n">
        <x:f>INDEX('Model Pricing'!$B$7:$B$8,MATCH(F2652,'Model Pricing'!$A$7:$A$8,0))</x:f>
        <x:v>10</x:v>
      </x:c>
      <x:c r="K2652" s="27" t="n">
        <x:f>INDEX('Model Pricing'!$C$7:$C$8,MATCH(F2652,'Model Pricing'!$A$7:$A$8,0))</x:f>
        <x:v>30</x:v>
      </x:c>
      <x:c r="L2652" s="17" t="n">
        <x:f>G2652+H2652</x:f>
        <x:v>14222</x:v>
      </x:c>
      <x:c r="M2652" s="28" t="n">
        <x:f>G2652*J2652/1000000</x:f>
        <x:v>0.11274</x:v>
      </x:c>
      <x:c r="N2652" s="28" t="n">
        <x:f>H2652*K2652/1000000</x:f>
        <x:v>0.08844</x:v>
      </x:c>
      <x:c r="O2652" s="28" t="n">
        <x:f>SUM(M2652:N2652)</x:f>
        <x:v>0.20118000000000003</x:v>
      </x:c>
    </x:row>
    <x:row r="2653" ht="23" customHeight="1">
      <x:c r="A2653" s="17" t="str">
        <x:v>U02647</x:v>
      </x:c>
      <x:c r="B2653" s="18" t="n">
        <x:v>46269</x:v>
      </x:c>
      <x:c r="C2653" s="17" t="str">
        <x:v>W0200</x:v>
      </x:c>
      <x:c r="D2653" s="17" t="str">
        <x:v>C004</x:v>
      </x:c>
      <x:c r="E2653" s="17" t="str">
        <x:v>InsightDesk</x:v>
      </x:c>
      <x:c r="F2653" s="17" t="str">
        <x:v>Lite</x:v>
      </x:c>
      <x:c r="G2653" s="17" t="n">
        <x:v>22476</x:v>
      </x:c>
      <x:c r="H2653" s="17" t="n">
        <x:v>3908</x:v>
      </x:c>
      <x:c r="I2653" s="17" t="str">
        <x:v>Correction</x:v>
      </x:c>
      <x:c r="J2653" s="27" t="n">
        <x:f>INDEX('Model Pricing'!$B$7:$B$8,MATCH(F2653,'Model Pricing'!$A$7:$A$8,0))</x:f>
        <x:v>10</x:v>
      </x:c>
      <x:c r="K2653" s="27" t="n">
        <x:f>INDEX('Model Pricing'!$C$7:$C$8,MATCH(F2653,'Model Pricing'!$A$7:$A$8,0))</x:f>
        <x:v>30</x:v>
      </x:c>
      <x:c r="L2653" s="17" t="n">
        <x:f>G2653+H2653</x:f>
        <x:v>26384</x:v>
      </x:c>
      <x:c r="M2653" s="28" t="n">
        <x:f>G2653*J2653/1000000</x:f>
        <x:v>0.22476</x:v>
      </x:c>
      <x:c r="N2653" s="28" t="n">
        <x:f>H2653*K2653/1000000</x:f>
        <x:v>0.11724</x:v>
      </x:c>
      <x:c r="O2653" s="28" t="n">
        <x:f>SUM(M2653:N2653)</x:f>
        <x:v>0.34199999999999997</x:v>
      </x:c>
    </x:row>
    <x:row r="2654" ht="23" customHeight="1">
      <x:c r="A2654" s="17" t="str">
        <x:v>U02648</x:v>
      </x:c>
      <x:c r="B2654" s="18" t="n">
        <x:v>46269</x:v>
      </x:c>
      <x:c r="C2654" s="17" t="str">
        <x:v>W0200</x:v>
      </x:c>
      <x:c r="D2654" s="17" t="str">
        <x:v>C004</x:v>
      </x:c>
      <x:c r="E2654" s="17" t="str">
        <x:v>InsightDesk</x:v>
      </x:c>
      <x:c r="F2654" s="17" t="str">
        <x:v>Lite</x:v>
      </x:c>
      <x:c r="G2654" s="17" t="n">
        <x:v>14373</x:v>
      </x:c>
      <x:c r="H2654" s="17" t="n">
        <x:v>4568</x:v>
      </x:c>
      <x:c r="I2654" s="17" t="str">
        <x:v>Correction</x:v>
      </x:c>
      <x:c r="J2654" s="27" t="n">
        <x:f>INDEX('Model Pricing'!$B$7:$B$8,MATCH(F2654,'Model Pricing'!$A$7:$A$8,0))</x:f>
        <x:v>10</x:v>
      </x:c>
      <x:c r="K2654" s="27" t="n">
        <x:f>INDEX('Model Pricing'!$C$7:$C$8,MATCH(F2654,'Model Pricing'!$A$7:$A$8,0))</x:f>
        <x:v>30</x:v>
      </x:c>
      <x:c r="L2654" s="17" t="n">
        <x:f>G2654+H2654</x:f>
        <x:v>18941</x:v>
      </x:c>
      <x:c r="M2654" s="28" t="n">
        <x:f>G2654*J2654/1000000</x:f>
        <x:v>0.14373</x:v>
      </x:c>
      <x:c r="N2654" s="28" t="n">
        <x:f>H2654*K2654/1000000</x:f>
        <x:v>0.13704</x:v>
      </x:c>
      <x:c r="O2654" s="28" t="n">
        <x:f>SUM(M2654:N2654)</x:f>
        <x:v>0.28076999999999996</x:v>
      </x:c>
    </x:row>
    <x:row r="2655" ht="23" customHeight="1">
      <x:c r="A2655" s="17" t="str">
        <x:v>U02649</x:v>
      </x:c>
      <x:c r="B2655" s="18" t="n">
        <x:v>46273</x:v>
      </x:c>
      <x:c r="C2655" s="17" t="str">
        <x:v>W0200</x:v>
      </x:c>
      <x:c r="D2655" s="17" t="str">
        <x:v>C004</x:v>
      </x:c>
      <x:c r="E2655" s="17" t="str">
        <x:v>InsightDesk</x:v>
      </x:c>
      <x:c r="F2655" s="17" t="str">
        <x:v>Lite</x:v>
      </x:c>
      <x:c r="G2655" s="17" t="n">
        <x:v>21394</x:v>
      </x:c>
      <x:c r="H2655" s="17" t="n">
        <x:v>3329</x:v>
      </x:c>
      <x:c r="I2655" s="17" t="str">
        <x:v>Followup</x:v>
      </x:c>
      <x:c r="J2655" s="27" t="n">
        <x:f>INDEX('Model Pricing'!$B$7:$B$8,MATCH(F2655,'Model Pricing'!$A$7:$A$8,0))</x:f>
        <x:v>10</x:v>
      </x:c>
      <x:c r="K2655" s="27" t="n">
        <x:f>INDEX('Model Pricing'!$C$7:$C$8,MATCH(F2655,'Model Pricing'!$A$7:$A$8,0))</x:f>
        <x:v>30</x:v>
      </x:c>
      <x:c r="L2655" s="17" t="n">
        <x:f>G2655+H2655</x:f>
        <x:v>24723</x:v>
      </x:c>
      <x:c r="M2655" s="28" t="n">
        <x:f>G2655*J2655/1000000</x:f>
        <x:v>0.21394</x:v>
      </x:c>
      <x:c r="N2655" s="28" t="n">
        <x:f>H2655*K2655/1000000</x:f>
        <x:v>0.09987</x:v>
      </x:c>
      <x:c r="O2655" s="28" t="n">
        <x:f>SUM(M2655:N2655)</x:f>
        <x:v>0.31381</x:v>
      </x:c>
    </x:row>
    <x:row r="2656" ht="23" customHeight="1">
      <x:c r="A2656" s="17" t="str">
        <x:v>U02650</x:v>
      </x:c>
      <x:c r="B2656" s="18" t="n">
        <x:v>46273</x:v>
      </x:c>
      <x:c r="C2656" s="17" t="str">
        <x:v>W0200</x:v>
      </x:c>
      <x:c r="D2656" s="17" t="str">
        <x:v>C004</x:v>
      </x:c>
      <x:c r="E2656" s="17" t="str">
        <x:v>InsightDesk</x:v>
      </x:c>
      <x:c r="F2656" s="17" t="str">
        <x:v>Lite</x:v>
      </x:c>
      <x:c r="G2656" s="17" t="n">
        <x:v>17331</x:v>
      </x:c>
      <x:c r="H2656" s="17" t="n">
        <x:v>1779</x:v>
      </x:c>
      <x:c r="I2656" s="17" t="str">
        <x:v>Correction</x:v>
      </x:c>
      <x:c r="J2656" s="27" t="n">
        <x:f>INDEX('Model Pricing'!$B$7:$B$8,MATCH(F2656,'Model Pricing'!$A$7:$A$8,0))</x:f>
        <x:v>10</x:v>
      </x:c>
      <x:c r="K2656" s="27" t="n">
        <x:f>INDEX('Model Pricing'!$C$7:$C$8,MATCH(F2656,'Model Pricing'!$A$7:$A$8,0))</x:f>
        <x:v>30</x:v>
      </x:c>
      <x:c r="L2656" s="17" t="n">
        <x:f>G2656+H2656</x:f>
        <x:v>19110</x:v>
      </x:c>
      <x:c r="M2656" s="28" t="n">
        <x:f>G2656*J2656/1000000</x:f>
        <x:v>0.17331</x:v>
      </x:c>
      <x:c r="N2656" s="28" t="n">
        <x:f>H2656*K2656/1000000</x:f>
        <x:v>0.05337</x:v>
      </x:c>
      <x:c r="O2656" s="28" t="n">
        <x:f>SUM(M2656:N2656)</x:f>
        <x:v>0.22668</x:v>
      </x:c>
    </x:row>
    <x:row r="2657" ht="23" customHeight="1">
      <x:c r="A2657" s="17" t="str">
        <x:v>U02651</x:v>
      </x:c>
      <x:c r="B2657" s="18" t="n">
        <x:v>46273</x:v>
      </x:c>
      <x:c r="C2657" s="17" t="str">
        <x:v>W0200</x:v>
      </x:c>
      <x:c r="D2657" s="17" t="str">
        <x:v>C004</x:v>
      </x:c>
      <x:c r="E2657" s="17" t="str">
        <x:v>InsightDesk</x:v>
      </x:c>
      <x:c r="F2657" s="17" t="str">
        <x:v>Lite</x:v>
      </x:c>
      <x:c r="G2657" s="17" t="n">
        <x:v>16643</x:v>
      </x:c>
      <x:c r="H2657" s="17" t="n">
        <x:v>4678</x:v>
      </x:c>
      <x:c r="I2657" s="17" t="str">
        <x:v>Followup</x:v>
      </x:c>
      <x:c r="J2657" s="27" t="n">
        <x:f>INDEX('Model Pricing'!$B$7:$B$8,MATCH(F2657,'Model Pricing'!$A$7:$A$8,0))</x:f>
        <x:v>10</x:v>
      </x:c>
      <x:c r="K2657" s="27" t="n">
        <x:f>INDEX('Model Pricing'!$C$7:$C$8,MATCH(F2657,'Model Pricing'!$A$7:$A$8,0))</x:f>
        <x:v>30</x:v>
      </x:c>
      <x:c r="L2657" s="17" t="n">
        <x:f>G2657+H2657</x:f>
        <x:v>21321</x:v>
      </x:c>
      <x:c r="M2657" s="28" t="n">
        <x:f>G2657*J2657/1000000</x:f>
        <x:v>0.16643</x:v>
      </x:c>
      <x:c r="N2657" s="28" t="n">
        <x:f>H2657*K2657/1000000</x:f>
        <x:v>0.14034</x:v>
      </x:c>
      <x:c r="O2657" s="28" t="n">
        <x:f>SUM(M2657:N2657)</x:f>
        <x:v>0.30677</x:v>
      </x:c>
    </x:row>
    <x:row r="2658" ht="23" customHeight="1">
      <x:c r="A2658" s="17" t="str">
        <x:v>U02652</x:v>
      </x:c>
      <x:c r="B2658" s="18" t="n">
        <x:v>46279</x:v>
      </x:c>
      <x:c r="C2658" s="17" t="str">
        <x:v>W0201</x:v>
      </x:c>
      <x:c r="D2658" s="17" t="str">
        <x:v>C004</x:v>
      </x:c>
      <x:c r="E2658" s="17" t="str">
        <x:v>InsightDesk</x:v>
      </x:c>
      <x:c r="F2658" s="17" t="str">
        <x:v>Lite</x:v>
      </x:c>
      <x:c r="G2658" s="17" t="n">
        <x:v>13477</x:v>
      </x:c>
      <x:c r="H2658" s="17" t="n">
        <x:v>4098</x:v>
      </x:c>
      <x:c r="I2658" s="17" t="str">
        <x:v>First attempt</x:v>
      </x:c>
      <x:c r="J2658" s="27" t="n">
        <x:f>INDEX('Model Pricing'!$B$7:$B$8,MATCH(F2658,'Model Pricing'!$A$7:$A$8,0))</x:f>
        <x:v>10</x:v>
      </x:c>
      <x:c r="K2658" s="27" t="n">
        <x:f>INDEX('Model Pricing'!$C$7:$C$8,MATCH(F2658,'Model Pricing'!$A$7:$A$8,0))</x:f>
        <x:v>30</x:v>
      </x:c>
      <x:c r="L2658" s="17" t="n">
        <x:f>G2658+H2658</x:f>
        <x:v>17575</x:v>
      </x:c>
      <x:c r="M2658" s="28" t="n">
        <x:f>G2658*J2658/1000000</x:f>
        <x:v>0.13477</x:v>
      </x:c>
      <x:c r="N2658" s="28" t="n">
        <x:f>H2658*K2658/1000000</x:f>
        <x:v>0.12294</x:v>
      </x:c>
      <x:c r="O2658" s="28" t="n">
        <x:f>SUM(M2658:N2658)</x:f>
        <x:v>0.25771</x:v>
      </x:c>
    </x:row>
    <x:row r="2659" ht="23" customHeight="1">
      <x:c r="A2659" s="17" t="str">
        <x:v>U02653</x:v>
      </x:c>
      <x:c r="B2659" s="18" t="n">
        <x:v>46279</x:v>
      </x:c>
      <x:c r="C2659" s="17" t="str">
        <x:v>W0201</x:v>
      </x:c>
      <x:c r="D2659" s="17" t="str">
        <x:v>C004</x:v>
      </x:c>
      <x:c r="E2659" s="17" t="str">
        <x:v>InsightDesk</x:v>
      </x:c>
      <x:c r="F2659" s="17" t="str">
        <x:v>Lite</x:v>
      </x:c>
      <x:c r="G2659" s="17" t="n">
        <x:v>18958</x:v>
      </x:c>
      <x:c r="H2659" s="17" t="n">
        <x:v>5142</x:v>
      </x:c>
      <x:c r="I2659" s="17" t="str">
        <x:v>Correction</x:v>
      </x:c>
      <x:c r="J2659" s="27" t="n">
        <x:f>INDEX('Model Pricing'!$B$7:$B$8,MATCH(F2659,'Model Pricing'!$A$7:$A$8,0))</x:f>
        <x:v>10</x:v>
      </x:c>
      <x:c r="K2659" s="27" t="n">
        <x:f>INDEX('Model Pricing'!$C$7:$C$8,MATCH(F2659,'Model Pricing'!$A$7:$A$8,0))</x:f>
        <x:v>30</x:v>
      </x:c>
      <x:c r="L2659" s="17" t="n">
        <x:f>G2659+H2659</x:f>
        <x:v>24100</x:v>
      </x:c>
      <x:c r="M2659" s="28" t="n">
        <x:f>G2659*J2659/1000000</x:f>
        <x:v>0.18958</x:v>
      </x:c>
      <x:c r="N2659" s="28" t="n">
        <x:f>H2659*K2659/1000000</x:f>
        <x:v>0.15426</x:v>
      </x:c>
      <x:c r="O2659" s="28" t="n">
        <x:f>SUM(M2659:N2659)</x:f>
        <x:v>0.34384000000000003</x:v>
      </x:c>
    </x:row>
    <x:row r="2660" ht="23" customHeight="1">
      <x:c r="A2660" s="17" t="str">
        <x:v>U02654</x:v>
      </x:c>
      <x:c r="B2660" s="18" t="n">
        <x:v>46279</x:v>
      </x:c>
      <x:c r="C2660" s="17" t="str">
        <x:v>W0201</x:v>
      </x:c>
      <x:c r="D2660" s="17" t="str">
        <x:v>C004</x:v>
      </x:c>
      <x:c r="E2660" s="17" t="str">
        <x:v>InsightDesk</x:v>
      </x:c>
      <x:c r="F2660" s="17" t="str">
        <x:v>Lite</x:v>
      </x:c>
      <x:c r="G2660" s="17" t="n">
        <x:v>16439</x:v>
      </x:c>
      <x:c r="H2660" s="17" t="n">
        <x:v>2378</x:v>
      </x:c>
      <x:c r="I2660" s="17" t="str">
        <x:v>Followup</x:v>
      </x:c>
      <x:c r="J2660" s="27" t="n">
        <x:f>INDEX('Model Pricing'!$B$7:$B$8,MATCH(F2660,'Model Pricing'!$A$7:$A$8,0))</x:f>
        <x:v>10</x:v>
      </x:c>
      <x:c r="K2660" s="27" t="n">
        <x:f>INDEX('Model Pricing'!$C$7:$C$8,MATCH(F2660,'Model Pricing'!$A$7:$A$8,0))</x:f>
        <x:v>30</x:v>
      </x:c>
      <x:c r="L2660" s="17" t="n">
        <x:f>G2660+H2660</x:f>
        <x:v>18817</x:v>
      </x:c>
      <x:c r="M2660" s="28" t="n">
        <x:f>G2660*J2660/1000000</x:f>
        <x:v>0.16439</x:v>
      </x:c>
      <x:c r="N2660" s="28" t="n">
        <x:f>H2660*K2660/1000000</x:f>
        <x:v>0.07134</x:v>
      </x:c>
      <x:c r="O2660" s="28" t="n">
        <x:f>SUM(M2660:N2660)</x:f>
        <x:v>0.23573</x:v>
      </x:c>
    </x:row>
    <x:row r="2661" ht="23" customHeight="1">
      <x:c r="A2661" s="17" t="str">
        <x:v>U02655</x:v>
      </x:c>
      <x:c r="B2661" s="18" t="n">
        <x:v>46280</x:v>
      </x:c>
      <x:c r="C2661" s="17" t="str">
        <x:v>W0201</x:v>
      </x:c>
      <x:c r="D2661" s="17" t="str">
        <x:v>C004</x:v>
      </x:c>
      <x:c r="E2661" s="17" t="str">
        <x:v>InsightDesk</x:v>
      </x:c>
      <x:c r="F2661" s="17" t="str">
        <x:v>Lite</x:v>
      </x:c>
      <x:c r="G2661" s="17" t="n">
        <x:v>18533</x:v>
      </x:c>
      <x:c r="H2661" s="17" t="n">
        <x:v>3828</x:v>
      </x:c>
      <x:c r="I2661" s="17" t="str">
        <x:v>Correction</x:v>
      </x:c>
      <x:c r="J2661" s="27" t="n">
        <x:f>INDEX('Model Pricing'!$B$7:$B$8,MATCH(F2661,'Model Pricing'!$A$7:$A$8,0))</x:f>
        <x:v>10</x:v>
      </x:c>
      <x:c r="K2661" s="27" t="n">
        <x:f>INDEX('Model Pricing'!$C$7:$C$8,MATCH(F2661,'Model Pricing'!$A$7:$A$8,0))</x:f>
        <x:v>30</x:v>
      </x:c>
      <x:c r="L2661" s="17" t="n">
        <x:f>G2661+H2661</x:f>
        <x:v>22361</x:v>
      </x:c>
      <x:c r="M2661" s="28" t="n">
        <x:f>G2661*J2661/1000000</x:f>
        <x:v>0.18533</x:v>
      </x:c>
      <x:c r="N2661" s="28" t="n">
        <x:f>H2661*K2661/1000000</x:f>
        <x:v>0.11484</x:v>
      </x:c>
      <x:c r="O2661" s="28" t="n">
        <x:f>SUM(M2661:N2661)</x:f>
        <x:v>0.30017</x:v>
      </x:c>
    </x:row>
    <x:row r="2662" ht="23" customHeight="1">
      <x:c r="A2662" s="17" t="str">
        <x:v>U02656</x:v>
      </x:c>
      <x:c r="B2662" s="18" t="n">
        <x:v>46280</x:v>
      </x:c>
      <x:c r="C2662" s="17" t="str">
        <x:v>W0201</x:v>
      </x:c>
      <x:c r="D2662" s="17" t="str">
        <x:v>C004</x:v>
      </x:c>
      <x:c r="E2662" s="17" t="str">
        <x:v>InsightDesk</x:v>
      </x:c>
      <x:c r="F2662" s="17" t="str">
        <x:v>Lite</x:v>
      </x:c>
      <x:c r="G2662" s="17" t="n">
        <x:v>14552</x:v>
      </x:c>
      <x:c r="H2662" s="17" t="n">
        <x:v>2847</x:v>
      </x:c>
      <x:c r="I2662" s="17" t="str">
        <x:v>Followup</x:v>
      </x:c>
      <x:c r="J2662" s="27" t="n">
        <x:f>INDEX('Model Pricing'!$B$7:$B$8,MATCH(F2662,'Model Pricing'!$A$7:$A$8,0))</x:f>
        <x:v>10</x:v>
      </x:c>
      <x:c r="K2662" s="27" t="n">
        <x:f>INDEX('Model Pricing'!$C$7:$C$8,MATCH(F2662,'Model Pricing'!$A$7:$A$8,0))</x:f>
        <x:v>30</x:v>
      </x:c>
      <x:c r="L2662" s="17" t="n">
        <x:f>G2662+H2662</x:f>
        <x:v>17399</x:v>
      </x:c>
      <x:c r="M2662" s="28" t="n">
        <x:f>G2662*J2662/1000000</x:f>
        <x:v>0.14552</x:v>
      </x:c>
      <x:c r="N2662" s="28" t="n">
        <x:f>H2662*K2662/1000000</x:f>
        <x:v>0.08541</x:v>
      </x:c>
      <x:c r="O2662" s="28" t="n">
        <x:f>SUM(M2662:N2662)</x:f>
        <x:v>0.23093000000000002</x:v>
      </x:c>
    </x:row>
    <x:row r="2663" ht="23" customHeight="1">
      <x:c r="A2663" s="17" t="str">
        <x:v>U02657</x:v>
      </x:c>
      <x:c r="B2663" s="18" t="n">
        <x:v>46280</x:v>
      </x:c>
      <x:c r="C2663" s="17" t="str">
        <x:v>W0201</x:v>
      </x:c>
      <x:c r="D2663" s="17" t="str">
        <x:v>C004</x:v>
      </x:c>
      <x:c r="E2663" s="17" t="str">
        <x:v>InsightDesk</x:v>
      </x:c>
      <x:c r="F2663" s="17" t="str">
        <x:v>Lite</x:v>
      </x:c>
      <x:c r="G2663" s="17" t="n">
        <x:v>17634</x:v>
      </x:c>
      <x:c r="H2663" s="17" t="n">
        <x:v>3607</x:v>
      </x:c>
      <x:c r="I2663" s="17" t="str">
        <x:v>Followup</x:v>
      </x:c>
      <x:c r="J2663" s="27" t="n">
        <x:f>INDEX('Model Pricing'!$B$7:$B$8,MATCH(F2663,'Model Pricing'!$A$7:$A$8,0))</x:f>
        <x:v>10</x:v>
      </x:c>
      <x:c r="K2663" s="27" t="n">
        <x:f>INDEX('Model Pricing'!$C$7:$C$8,MATCH(F2663,'Model Pricing'!$A$7:$A$8,0))</x:f>
        <x:v>30</x:v>
      </x:c>
      <x:c r="L2663" s="17" t="n">
        <x:f>G2663+H2663</x:f>
        <x:v>21241</x:v>
      </x:c>
      <x:c r="M2663" s="28" t="n">
        <x:f>G2663*J2663/1000000</x:f>
        <x:v>0.17634</x:v>
      </x:c>
      <x:c r="N2663" s="28" t="n">
        <x:f>H2663*K2663/1000000</x:f>
        <x:v>0.10821</x:v>
      </x:c>
      <x:c r="O2663" s="28" t="n">
        <x:f>SUM(M2663:N2663)</x:f>
        <x:v>0.28454999999999997</x:v>
      </x:c>
    </x:row>
    <x:row r="2664" ht="23" customHeight="1">
      <x:c r="A2664" s="17" t="str">
        <x:v>U02658</x:v>
      </x:c>
      <x:c r="B2664" s="18" t="n">
        <x:v>46281</x:v>
      </x:c>
      <x:c r="C2664" s="17" t="str">
        <x:v>W0201</x:v>
      </x:c>
      <x:c r="D2664" s="17" t="str">
        <x:v>C004</x:v>
      </x:c>
      <x:c r="E2664" s="17" t="str">
        <x:v>InsightDesk</x:v>
      </x:c>
      <x:c r="F2664" s="17" t="str">
        <x:v>Lite</x:v>
      </x:c>
      <x:c r="G2664" s="17" t="n">
        <x:v>12529</x:v>
      </x:c>
      <x:c r="H2664" s="17" t="n">
        <x:v>3194</x:v>
      </x:c>
      <x:c r="I2664" s="17" t="str">
        <x:v>Followup</x:v>
      </x:c>
      <x:c r="J2664" s="27" t="n">
        <x:f>INDEX('Model Pricing'!$B$7:$B$8,MATCH(F2664,'Model Pricing'!$A$7:$A$8,0))</x:f>
        <x:v>10</x:v>
      </x:c>
      <x:c r="K2664" s="27" t="n">
        <x:f>INDEX('Model Pricing'!$C$7:$C$8,MATCH(F2664,'Model Pricing'!$A$7:$A$8,0))</x:f>
        <x:v>30</x:v>
      </x:c>
      <x:c r="L2664" s="17" t="n">
        <x:f>G2664+H2664</x:f>
        <x:v>15723</x:v>
      </x:c>
      <x:c r="M2664" s="28" t="n">
        <x:f>G2664*J2664/1000000</x:f>
        <x:v>0.12529</x:v>
      </x:c>
      <x:c r="N2664" s="28" t="n">
        <x:f>H2664*K2664/1000000</x:f>
        <x:v>0.09582</x:v>
      </x:c>
      <x:c r="O2664" s="28" t="n">
        <x:f>SUM(M2664:N2664)</x:f>
        <x:v>0.22111000000000003</x:v>
      </x:c>
    </x:row>
    <x:row r="2665" ht="23" customHeight="1">
      <x:c r="A2665" s="17" t="str">
        <x:v>U02659</x:v>
      </x:c>
      <x:c r="B2665" s="18" t="n">
        <x:v>46281</x:v>
      </x:c>
      <x:c r="C2665" s="17" t="str">
        <x:v>W0201</x:v>
      </x:c>
      <x:c r="D2665" s="17" t="str">
        <x:v>C004</x:v>
      </x:c>
      <x:c r="E2665" s="17" t="str">
        <x:v>InsightDesk</x:v>
      </x:c>
      <x:c r="F2665" s="17" t="str">
        <x:v>Lite</x:v>
      </x:c>
      <x:c r="G2665" s="17" t="n">
        <x:v>11831</x:v>
      </x:c>
      <x:c r="H2665" s="17" t="n">
        <x:v>2555</x:v>
      </x:c>
      <x:c r="I2665" s="17" t="str">
        <x:v>Followup</x:v>
      </x:c>
      <x:c r="J2665" s="27" t="n">
        <x:f>INDEX('Model Pricing'!$B$7:$B$8,MATCH(F2665,'Model Pricing'!$A$7:$A$8,0))</x:f>
        <x:v>10</x:v>
      </x:c>
      <x:c r="K2665" s="27" t="n">
        <x:f>INDEX('Model Pricing'!$C$7:$C$8,MATCH(F2665,'Model Pricing'!$A$7:$A$8,0))</x:f>
        <x:v>30</x:v>
      </x:c>
      <x:c r="L2665" s="17" t="n">
        <x:f>G2665+H2665</x:f>
        <x:v>14386</x:v>
      </x:c>
      <x:c r="M2665" s="28" t="n">
        <x:f>G2665*J2665/1000000</x:f>
        <x:v>0.11831</x:v>
      </x:c>
      <x:c r="N2665" s="28" t="n">
        <x:f>H2665*K2665/1000000</x:f>
        <x:v>0.07665</x:v>
      </x:c>
      <x:c r="O2665" s="28" t="n">
        <x:f>SUM(M2665:N2665)</x:f>
        <x:v>0.19496</x:v>
      </x:c>
    </x:row>
    <x:row r="2666" ht="23" customHeight="1">
      <x:c r="A2666" s="17" t="str">
        <x:v>U02660</x:v>
      </x:c>
      <x:c r="B2666" s="18" t="n">
        <x:v>46281</x:v>
      </x:c>
      <x:c r="C2666" s="17" t="str">
        <x:v>W0201</x:v>
      </x:c>
      <x:c r="D2666" s="17" t="str">
        <x:v>C004</x:v>
      </x:c>
      <x:c r="E2666" s="17" t="str">
        <x:v>InsightDesk</x:v>
      </x:c>
      <x:c r="F2666" s="17" t="str">
        <x:v>Lite</x:v>
      </x:c>
      <x:c r="G2666" s="17" t="n">
        <x:v>23521</x:v>
      </x:c>
      <x:c r="H2666" s="17" t="n">
        <x:v>4713</x:v>
      </x:c>
      <x:c r="I2666" s="17" t="str">
        <x:v>Correction</x:v>
      </x:c>
      <x:c r="J2666" s="27" t="n">
        <x:f>INDEX('Model Pricing'!$B$7:$B$8,MATCH(F2666,'Model Pricing'!$A$7:$A$8,0))</x:f>
        <x:v>10</x:v>
      </x:c>
      <x:c r="K2666" s="27" t="n">
        <x:f>INDEX('Model Pricing'!$C$7:$C$8,MATCH(F2666,'Model Pricing'!$A$7:$A$8,0))</x:f>
        <x:v>30</x:v>
      </x:c>
      <x:c r="L2666" s="17" t="n">
        <x:f>G2666+H2666</x:f>
        <x:v>28234</x:v>
      </x:c>
      <x:c r="M2666" s="28" t="n">
        <x:f>G2666*J2666/1000000</x:f>
        <x:v>0.23521</x:v>
      </x:c>
      <x:c r="N2666" s="28" t="n">
        <x:f>H2666*K2666/1000000</x:f>
        <x:v>0.14139</x:v>
      </x:c>
      <x:c r="O2666" s="28" t="n">
        <x:f>SUM(M2666:N2666)</x:f>
        <x:v>0.3766</x:v>
      </x:c>
    </x:row>
    <x:row r="2667" ht="23" customHeight="1">
      <x:c r="A2667" s="17" t="str">
        <x:v>U02661</x:v>
      </x:c>
      <x:c r="B2667" s="18" t="n">
        <x:v>46282</x:v>
      </x:c>
      <x:c r="C2667" s="17" t="str">
        <x:v>W0201</x:v>
      </x:c>
      <x:c r="D2667" s="17" t="str">
        <x:v>C004</x:v>
      </x:c>
      <x:c r="E2667" s="17" t="str">
        <x:v>InsightDesk</x:v>
      </x:c>
      <x:c r="F2667" s="17" t="str">
        <x:v>Lite</x:v>
      </x:c>
      <x:c r="G2667" s="17" t="n">
        <x:v>22100</x:v>
      </x:c>
      <x:c r="H2667" s="17" t="n">
        <x:v>5916</x:v>
      </x:c>
      <x:c r="I2667" s="17" t="str">
        <x:v>Followup</x:v>
      </x:c>
      <x:c r="J2667" s="27" t="n">
        <x:f>INDEX('Model Pricing'!$B$7:$B$8,MATCH(F2667,'Model Pricing'!$A$7:$A$8,0))</x:f>
        <x:v>10</x:v>
      </x:c>
      <x:c r="K2667" s="27" t="n">
        <x:f>INDEX('Model Pricing'!$C$7:$C$8,MATCH(F2667,'Model Pricing'!$A$7:$A$8,0))</x:f>
        <x:v>30</x:v>
      </x:c>
      <x:c r="L2667" s="17" t="n">
        <x:f>G2667+H2667</x:f>
        <x:v>28016</x:v>
      </x:c>
      <x:c r="M2667" s="28" t="n">
        <x:f>G2667*J2667/1000000</x:f>
        <x:v>0.221</x:v>
      </x:c>
      <x:c r="N2667" s="28" t="n">
        <x:f>H2667*K2667/1000000</x:f>
        <x:v>0.17748</x:v>
      </x:c>
      <x:c r="O2667" s="28" t="n">
        <x:f>SUM(M2667:N2667)</x:f>
        <x:v>0.39848</x:v>
      </x:c>
    </x:row>
    <x:row r="2668" ht="23" customHeight="1">
      <x:c r="A2668" s="17" t="str">
        <x:v>U02662</x:v>
      </x:c>
      <x:c r="B2668" s="18" t="n">
        <x:v>46282</x:v>
      </x:c>
      <x:c r="C2668" s="17" t="str">
        <x:v>W0201</x:v>
      </x:c>
      <x:c r="D2668" s="17" t="str">
        <x:v>C004</x:v>
      </x:c>
      <x:c r="E2668" s="17" t="str">
        <x:v>InsightDesk</x:v>
      </x:c>
      <x:c r="F2668" s="17" t="str">
        <x:v>Lite</x:v>
      </x:c>
      <x:c r="G2668" s="17" t="n">
        <x:v>11115</x:v>
      </x:c>
      <x:c r="H2668" s="17" t="n">
        <x:v>4322</x:v>
      </x:c>
      <x:c r="I2668" s="17" t="str">
        <x:v>Followup</x:v>
      </x:c>
      <x:c r="J2668" s="27" t="n">
        <x:f>INDEX('Model Pricing'!$B$7:$B$8,MATCH(F2668,'Model Pricing'!$A$7:$A$8,0))</x:f>
        <x:v>10</x:v>
      </x:c>
      <x:c r="K2668" s="27" t="n">
        <x:f>INDEX('Model Pricing'!$C$7:$C$8,MATCH(F2668,'Model Pricing'!$A$7:$A$8,0))</x:f>
        <x:v>30</x:v>
      </x:c>
      <x:c r="L2668" s="17" t="n">
        <x:f>G2668+H2668</x:f>
        <x:v>15437</x:v>
      </x:c>
      <x:c r="M2668" s="28" t="n">
        <x:f>G2668*J2668/1000000</x:f>
        <x:v>0.11115</x:v>
      </x:c>
      <x:c r="N2668" s="28" t="n">
        <x:f>H2668*K2668/1000000</x:f>
        <x:v>0.12966</x:v>
      </x:c>
      <x:c r="O2668" s="28" t="n">
        <x:f>SUM(M2668:N2668)</x:f>
        <x:v>0.24081</x:v>
      </x:c>
    </x:row>
    <x:row r="2669" ht="23" customHeight="1">
      <x:c r="A2669" s="17" t="str">
        <x:v>U02663</x:v>
      </x:c>
      <x:c r="B2669" s="18" t="n">
        <x:v>46273</x:v>
      </x:c>
      <x:c r="C2669" s="17" t="str">
        <x:v>W0203</x:v>
      </x:c>
      <x:c r="D2669" s="17" t="str">
        <x:v>C004</x:v>
      </x:c>
      <x:c r="E2669" s="17" t="str">
        <x:v>CopyStudio</x:v>
      </x:c>
      <x:c r="F2669" s="17" t="str">
        <x:v>Lite</x:v>
      </x:c>
      <x:c r="G2669" s="17" t="n">
        <x:v>28310</x:v>
      </x:c>
      <x:c r="H2669" s="17" t="n">
        <x:v>5807</x:v>
      </x:c>
      <x:c r="I2669" s="17" t="str">
        <x:v>First attempt</x:v>
      </x:c>
      <x:c r="J2669" s="27" t="n">
        <x:f>INDEX('Model Pricing'!$B$7:$B$8,MATCH(F2669,'Model Pricing'!$A$7:$A$8,0))</x:f>
        <x:v>10</x:v>
      </x:c>
      <x:c r="K2669" s="27" t="n">
        <x:f>INDEX('Model Pricing'!$C$7:$C$8,MATCH(F2669,'Model Pricing'!$A$7:$A$8,0))</x:f>
        <x:v>30</x:v>
      </x:c>
      <x:c r="L2669" s="17" t="n">
        <x:f>G2669+H2669</x:f>
        <x:v>34117</x:v>
      </x:c>
      <x:c r="M2669" s="28" t="n">
        <x:f>G2669*J2669/1000000</x:f>
        <x:v>0.2831</x:v>
      </x:c>
      <x:c r="N2669" s="28" t="n">
        <x:f>H2669*K2669/1000000</x:f>
        <x:v>0.17421</x:v>
      </x:c>
      <x:c r="O2669" s="28" t="n">
        <x:f>SUM(M2669:N2669)</x:f>
        <x:v>0.45731</x:v>
      </x:c>
    </x:row>
    <x:row r="2670" ht="23" customHeight="1">
      <x:c r="A2670" s="17" t="str">
        <x:v>U02664</x:v>
      </x:c>
      <x:c r="B2670" s="18" t="n">
        <x:v>46273</x:v>
      </x:c>
      <x:c r="C2670" s="17" t="str">
        <x:v>W0203</x:v>
      </x:c>
      <x:c r="D2670" s="17" t="str">
        <x:v>C004</x:v>
      </x:c>
      <x:c r="E2670" s="17" t="str">
        <x:v>CopyStudio</x:v>
      </x:c>
      <x:c r="F2670" s="17" t="str">
        <x:v>Lite</x:v>
      </x:c>
      <x:c r="G2670" s="17" t="n">
        <x:v>17742</x:v>
      </x:c>
      <x:c r="H2670" s="17" t="n">
        <x:v>3519</x:v>
      </x:c>
      <x:c r="I2670" s="17" t="str">
        <x:v>Correction</x:v>
      </x:c>
      <x:c r="J2670" s="27" t="n">
        <x:f>INDEX('Model Pricing'!$B$7:$B$8,MATCH(F2670,'Model Pricing'!$A$7:$A$8,0))</x:f>
        <x:v>10</x:v>
      </x:c>
      <x:c r="K2670" s="27" t="n">
        <x:f>INDEX('Model Pricing'!$C$7:$C$8,MATCH(F2670,'Model Pricing'!$A$7:$A$8,0))</x:f>
        <x:v>30</x:v>
      </x:c>
      <x:c r="L2670" s="17" t="n">
        <x:f>G2670+H2670</x:f>
        <x:v>21261</x:v>
      </x:c>
      <x:c r="M2670" s="28" t="n">
        <x:f>G2670*J2670/1000000</x:f>
        <x:v>0.17742</x:v>
      </x:c>
      <x:c r="N2670" s="28" t="n">
        <x:f>H2670*K2670/1000000</x:f>
        <x:v>0.10557</x:v>
      </x:c>
      <x:c r="O2670" s="28" t="n">
        <x:f>SUM(M2670:N2670)</x:f>
        <x:v>0.28298999999999996</x:v>
      </x:c>
    </x:row>
    <x:row r="2671" ht="23" customHeight="1">
      <x:c r="A2671" s="17" t="str">
        <x:v>U02665</x:v>
      </x:c>
      <x:c r="B2671" s="18" t="n">
        <x:v>46273</x:v>
      </x:c>
      <x:c r="C2671" s="17" t="str">
        <x:v>W0203</x:v>
      </x:c>
      <x:c r="D2671" s="17" t="str">
        <x:v>C004</x:v>
      </x:c>
      <x:c r="E2671" s="17" t="str">
        <x:v>CopyStudio</x:v>
      </x:c>
      <x:c r="F2671" s="17" t="str">
        <x:v>Lite</x:v>
      </x:c>
      <x:c r="G2671" s="17" t="n">
        <x:v>17999</x:v>
      </x:c>
      <x:c r="H2671" s="17" t="n">
        <x:v>4941</x:v>
      </x:c>
      <x:c r="I2671" s="17" t="str">
        <x:v>Followup</x:v>
      </x:c>
      <x:c r="J2671" s="27" t="n">
        <x:f>INDEX('Model Pricing'!$B$7:$B$8,MATCH(F2671,'Model Pricing'!$A$7:$A$8,0))</x:f>
        <x:v>10</x:v>
      </x:c>
      <x:c r="K2671" s="27" t="n">
        <x:f>INDEX('Model Pricing'!$C$7:$C$8,MATCH(F2671,'Model Pricing'!$A$7:$A$8,0))</x:f>
        <x:v>30</x:v>
      </x:c>
      <x:c r="L2671" s="17" t="n">
        <x:f>G2671+H2671</x:f>
        <x:v>22940</x:v>
      </x:c>
      <x:c r="M2671" s="28" t="n">
        <x:f>G2671*J2671/1000000</x:f>
        <x:v>0.17999</x:v>
      </x:c>
      <x:c r="N2671" s="28" t="n">
        <x:f>H2671*K2671/1000000</x:f>
        <x:v>0.14823</x:v>
      </x:c>
      <x:c r="O2671" s="28" t="n">
        <x:f>SUM(M2671:N2671)</x:f>
        <x:v>0.32822</x:v>
      </x:c>
    </x:row>
    <x:row r="2672" ht="23" customHeight="1">
      <x:c r="A2672" s="17" t="str">
        <x:v>U02666</x:v>
      </x:c>
      <x:c r="B2672" s="18" t="n">
        <x:v>46274</x:v>
      </x:c>
      <x:c r="C2672" s="17" t="str">
        <x:v>W0203</x:v>
      </x:c>
      <x:c r="D2672" s="17" t="str">
        <x:v>C004</x:v>
      </x:c>
      <x:c r="E2672" s="17" t="str">
        <x:v>CopyStudio</x:v>
      </x:c>
      <x:c r="F2672" s="17" t="str">
        <x:v>Lite</x:v>
      </x:c>
      <x:c r="G2672" s="17" t="n">
        <x:v>27631</x:v>
      </x:c>
      <x:c r="H2672" s="17" t="n">
        <x:v>3755</x:v>
      </x:c>
      <x:c r="I2672" s="17" t="str">
        <x:v>Followup</x:v>
      </x:c>
      <x:c r="J2672" s="27" t="n">
        <x:f>INDEX('Model Pricing'!$B$7:$B$8,MATCH(F2672,'Model Pricing'!$A$7:$A$8,0))</x:f>
        <x:v>10</x:v>
      </x:c>
      <x:c r="K2672" s="27" t="n">
        <x:f>INDEX('Model Pricing'!$C$7:$C$8,MATCH(F2672,'Model Pricing'!$A$7:$A$8,0))</x:f>
        <x:v>30</x:v>
      </x:c>
      <x:c r="L2672" s="17" t="n">
        <x:f>G2672+H2672</x:f>
        <x:v>31386</x:v>
      </x:c>
      <x:c r="M2672" s="28" t="n">
        <x:f>G2672*J2672/1000000</x:f>
        <x:v>0.27631</x:v>
      </x:c>
      <x:c r="N2672" s="28" t="n">
        <x:f>H2672*K2672/1000000</x:f>
        <x:v>0.11265</x:v>
      </x:c>
      <x:c r="O2672" s="28" t="n">
        <x:f>SUM(M2672:N2672)</x:f>
        <x:v>0.38896</x:v>
      </x:c>
    </x:row>
    <x:row r="2673" ht="23" customHeight="1">
      <x:c r="A2673" s="17" t="str">
        <x:v>U02667</x:v>
      </x:c>
      <x:c r="B2673" s="18" t="n">
        <x:v>46274</x:v>
      </x:c>
      <x:c r="C2673" s="17" t="str">
        <x:v>W0203</x:v>
      </x:c>
      <x:c r="D2673" s="17" t="str">
        <x:v>C004</x:v>
      </x:c>
      <x:c r="E2673" s="17" t="str">
        <x:v>CopyStudio</x:v>
      </x:c>
      <x:c r="F2673" s="17" t="str">
        <x:v>Lite</x:v>
      </x:c>
      <x:c r="G2673" s="17" t="n">
        <x:v>13301</x:v>
      </x:c>
      <x:c r="H2673" s="17" t="n">
        <x:v>4475</x:v>
      </x:c>
      <x:c r="I2673" s="17" t="str">
        <x:v>Followup</x:v>
      </x:c>
      <x:c r="J2673" s="27" t="n">
        <x:f>INDEX('Model Pricing'!$B$7:$B$8,MATCH(F2673,'Model Pricing'!$A$7:$A$8,0))</x:f>
        <x:v>10</x:v>
      </x:c>
      <x:c r="K2673" s="27" t="n">
        <x:f>INDEX('Model Pricing'!$C$7:$C$8,MATCH(F2673,'Model Pricing'!$A$7:$A$8,0))</x:f>
        <x:v>30</x:v>
      </x:c>
      <x:c r="L2673" s="17" t="n">
        <x:f>G2673+H2673</x:f>
        <x:v>17776</x:v>
      </x:c>
      <x:c r="M2673" s="28" t="n">
        <x:f>G2673*J2673/1000000</x:f>
        <x:v>0.13301</x:v>
      </x:c>
      <x:c r="N2673" s="28" t="n">
        <x:f>H2673*K2673/1000000</x:f>
        <x:v>0.13425</x:v>
      </x:c>
      <x:c r="O2673" s="28" t="n">
        <x:f>SUM(M2673:N2673)</x:f>
        <x:v>0.26726</x:v>
      </x:c>
    </x:row>
    <x:row r="2674" ht="23" customHeight="1">
      <x:c r="A2674" s="17" t="str">
        <x:v>U02668</x:v>
      </x:c>
      <x:c r="B2674" s="18" t="n">
        <x:v>46274</x:v>
      </x:c>
      <x:c r="C2674" s="17" t="str">
        <x:v>W0203</x:v>
      </x:c>
      <x:c r="D2674" s="17" t="str">
        <x:v>C004</x:v>
      </x:c>
      <x:c r="E2674" s="17" t="str">
        <x:v>CopyStudio</x:v>
      </x:c>
      <x:c r="F2674" s="17" t="str">
        <x:v>Lite</x:v>
      </x:c>
      <x:c r="G2674" s="17" t="n">
        <x:v>28531</x:v>
      </x:c>
      <x:c r="H2674" s="17" t="n">
        <x:v>5649</x:v>
      </x:c>
      <x:c r="I2674" s="17" t="str">
        <x:v>Followup</x:v>
      </x:c>
      <x:c r="J2674" s="27" t="n">
        <x:f>INDEX('Model Pricing'!$B$7:$B$8,MATCH(F2674,'Model Pricing'!$A$7:$A$8,0))</x:f>
        <x:v>10</x:v>
      </x:c>
      <x:c r="K2674" s="27" t="n">
        <x:f>INDEX('Model Pricing'!$C$7:$C$8,MATCH(F2674,'Model Pricing'!$A$7:$A$8,0))</x:f>
        <x:v>30</x:v>
      </x:c>
      <x:c r="L2674" s="17" t="n">
        <x:f>G2674+H2674</x:f>
        <x:v>34180</x:v>
      </x:c>
      <x:c r="M2674" s="28" t="n">
        <x:f>G2674*J2674/1000000</x:f>
        <x:v>0.28531</x:v>
      </x:c>
      <x:c r="N2674" s="28" t="n">
        <x:f>H2674*K2674/1000000</x:f>
        <x:v>0.16947</x:v>
      </x:c>
      <x:c r="O2674" s="28" t="n">
        <x:f>SUM(M2674:N2674)</x:f>
        <x:v>0.45478</x:v>
      </x:c>
    </x:row>
    <x:row r="2675" ht="23" customHeight="1">
      <x:c r="A2675" s="17" t="str">
        <x:v>U02669</x:v>
      </x:c>
      <x:c r="B2675" s="18" t="n">
        <x:v>46275</x:v>
      </x:c>
      <x:c r="C2675" s="17" t="str">
        <x:v>W0203</x:v>
      </x:c>
      <x:c r="D2675" s="17" t="str">
        <x:v>C004</x:v>
      </x:c>
      <x:c r="E2675" s="17" t="str">
        <x:v>CopyStudio</x:v>
      </x:c>
      <x:c r="F2675" s="17" t="str">
        <x:v>Lite</x:v>
      </x:c>
      <x:c r="G2675" s="17" t="n">
        <x:v>28809</x:v>
      </x:c>
      <x:c r="H2675" s="17" t="n">
        <x:v>2396</x:v>
      </x:c>
      <x:c r="I2675" s="17" t="str">
        <x:v>Followup</x:v>
      </x:c>
      <x:c r="J2675" s="27" t="n">
        <x:f>INDEX('Model Pricing'!$B$7:$B$8,MATCH(F2675,'Model Pricing'!$A$7:$A$8,0))</x:f>
        <x:v>10</x:v>
      </x:c>
      <x:c r="K2675" s="27" t="n">
        <x:f>INDEX('Model Pricing'!$C$7:$C$8,MATCH(F2675,'Model Pricing'!$A$7:$A$8,0))</x:f>
        <x:v>30</x:v>
      </x:c>
      <x:c r="L2675" s="17" t="n">
        <x:f>G2675+H2675</x:f>
        <x:v>31205</x:v>
      </x:c>
      <x:c r="M2675" s="28" t="n">
        <x:f>G2675*J2675/1000000</x:f>
        <x:v>0.28809</x:v>
      </x:c>
      <x:c r="N2675" s="28" t="n">
        <x:f>H2675*K2675/1000000</x:f>
        <x:v>0.07188</x:v>
      </x:c>
      <x:c r="O2675" s="28" t="n">
        <x:f>SUM(M2675:N2675)</x:f>
        <x:v>0.35997</x:v>
      </x:c>
    </x:row>
    <x:row r="2676" ht="23" customHeight="1">
      <x:c r="A2676" s="17" t="str">
        <x:v>U02670</x:v>
      </x:c>
      <x:c r="B2676" s="18" t="n">
        <x:v>46275</x:v>
      </x:c>
      <x:c r="C2676" s="17" t="str">
        <x:v>W0203</x:v>
      </x:c>
      <x:c r="D2676" s="17" t="str">
        <x:v>C004</x:v>
      </x:c>
      <x:c r="E2676" s="17" t="str">
        <x:v>CopyStudio</x:v>
      </x:c>
      <x:c r="F2676" s="17" t="str">
        <x:v>Lite</x:v>
      </x:c>
      <x:c r="G2676" s="17" t="n">
        <x:v>16461</x:v>
      </x:c>
      <x:c r="H2676" s="17" t="n">
        <x:v>6097</x:v>
      </x:c>
      <x:c r="I2676" s="17" t="str">
        <x:v>Followup</x:v>
      </x:c>
      <x:c r="J2676" s="27" t="n">
        <x:f>INDEX('Model Pricing'!$B$7:$B$8,MATCH(F2676,'Model Pricing'!$A$7:$A$8,0))</x:f>
        <x:v>10</x:v>
      </x:c>
      <x:c r="K2676" s="27" t="n">
        <x:f>INDEX('Model Pricing'!$C$7:$C$8,MATCH(F2676,'Model Pricing'!$A$7:$A$8,0))</x:f>
        <x:v>30</x:v>
      </x:c>
      <x:c r="L2676" s="17" t="n">
        <x:f>G2676+H2676</x:f>
        <x:v>22558</x:v>
      </x:c>
      <x:c r="M2676" s="28" t="n">
        <x:f>G2676*J2676/1000000</x:f>
        <x:v>0.16461</x:v>
      </x:c>
      <x:c r="N2676" s="28" t="n">
        <x:f>H2676*K2676/1000000</x:f>
        <x:v>0.18291</x:v>
      </x:c>
      <x:c r="O2676" s="28" t="n">
        <x:f>SUM(M2676:N2676)</x:f>
        <x:v>0.34752</x:v>
      </x:c>
    </x:row>
    <x:row r="2677" ht="23" customHeight="1">
      <x:c r="A2677" s="17" t="str">
        <x:v>U02671</x:v>
      </x:c>
      <x:c r="B2677" s="18" t="n">
        <x:v>46275</x:v>
      </x:c>
      <x:c r="C2677" s="17" t="str">
        <x:v>W0203</x:v>
      </x:c>
      <x:c r="D2677" s="17" t="str">
        <x:v>C004</x:v>
      </x:c>
      <x:c r="E2677" s="17" t="str">
        <x:v>CopyStudio</x:v>
      </x:c>
      <x:c r="F2677" s="17" t="str">
        <x:v>Lite</x:v>
      </x:c>
      <x:c r="G2677" s="17" t="n">
        <x:v>29417</x:v>
      </x:c>
      <x:c r="H2677" s="17" t="n">
        <x:v>2841</x:v>
      </x:c>
      <x:c r="I2677" s="17" t="str">
        <x:v>Followup</x:v>
      </x:c>
      <x:c r="J2677" s="27" t="n">
        <x:f>INDEX('Model Pricing'!$B$7:$B$8,MATCH(F2677,'Model Pricing'!$A$7:$A$8,0))</x:f>
        <x:v>10</x:v>
      </x:c>
      <x:c r="K2677" s="27" t="n">
        <x:f>INDEX('Model Pricing'!$C$7:$C$8,MATCH(F2677,'Model Pricing'!$A$7:$A$8,0))</x:f>
        <x:v>30</x:v>
      </x:c>
      <x:c r="L2677" s="17" t="n">
        <x:f>G2677+H2677</x:f>
        <x:v>32258</x:v>
      </x:c>
      <x:c r="M2677" s="28" t="n">
        <x:f>G2677*J2677/1000000</x:f>
        <x:v>0.29417</x:v>
      </x:c>
      <x:c r="N2677" s="28" t="n">
        <x:f>H2677*K2677/1000000</x:f>
        <x:v>0.08523</x:v>
      </x:c>
      <x:c r="O2677" s="28" t="n">
        <x:f>SUM(M2677:N2677)</x:f>
        <x:v>0.37939999999999996</x:v>
      </x:c>
    </x:row>
    <x:row r="2678" ht="23" customHeight="1">
      <x:c r="A2678" s="17" t="str">
        <x:v>U02672</x:v>
      </x:c>
      <x:c r="B2678" s="18" t="n">
        <x:v>46276</x:v>
      </x:c>
      <x:c r="C2678" s="17" t="str">
        <x:v>W0203</x:v>
      </x:c>
      <x:c r="D2678" s="17" t="str">
        <x:v>C004</x:v>
      </x:c>
      <x:c r="E2678" s="17" t="str">
        <x:v>CopyStudio</x:v>
      </x:c>
      <x:c r="F2678" s="17" t="str">
        <x:v>Lite</x:v>
      </x:c>
      <x:c r="G2678" s="17" t="n">
        <x:v>17892</x:v>
      </x:c>
      <x:c r="H2678" s="17" t="n">
        <x:v>5550</x:v>
      </x:c>
      <x:c r="I2678" s="17" t="str">
        <x:v>Correction</x:v>
      </x:c>
      <x:c r="J2678" s="27" t="n">
        <x:f>INDEX('Model Pricing'!$B$7:$B$8,MATCH(F2678,'Model Pricing'!$A$7:$A$8,0))</x:f>
        <x:v>10</x:v>
      </x:c>
      <x:c r="K2678" s="27" t="n">
        <x:f>INDEX('Model Pricing'!$C$7:$C$8,MATCH(F2678,'Model Pricing'!$A$7:$A$8,0))</x:f>
        <x:v>30</x:v>
      </x:c>
      <x:c r="L2678" s="17" t="n">
        <x:f>G2678+H2678</x:f>
        <x:v>23442</x:v>
      </x:c>
      <x:c r="M2678" s="28" t="n">
        <x:f>G2678*J2678/1000000</x:f>
        <x:v>0.17892</x:v>
      </x:c>
      <x:c r="N2678" s="28" t="n">
        <x:f>H2678*K2678/1000000</x:f>
        <x:v>0.1665</x:v>
      </x:c>
      <x:c r="O2678" s="28" t="n">
        <x:f>SUM(M2678:N2678)</x:f>
        <x:v>0.34542</x:v>
      </x:c>
    </x:row>
    <x:row r="2679" ht="23" customHeight="1">
      <x:c r="A2679" s="17" t="str">
        <x:v>U02673</x:v>
      </x:c>
      <x:c r="B2679" s="18" t="n">
        <x:v>46276</x:v>
      </x:c>
      <x:c r="C2679" s="17" t="str">
        <x:v>W0203</x:v>
      </x:c>
      <x:c r="D2679" s="17" t="str">
        <x:v>C004</x:v>
      </x:c>
      <x:c r="E2679" s="17" t="str">
        <x:v>CopyStudio</x:v>
      </x:c>
      <x:c r="F2679" s="17" t="str">
        <x:v>Lite</x:v>
      </x:c>
      <x:c r="G2679" s="17" t="n">
        <x:v>21233</x:v>
      </x:c>
      <x:c r="H2679" s="17" t="n">
        <x:v>3348</x:v>
      </x:c>
      <x:c r="I2679" s="17" t="str">
        <x:v>Followup</x:v>
      </x:c>
      <x:c r="J2679" s="27" t="n">
        <x:f>INDEX('Model Pricing'!$B$7:$B$8,MATCH(F2679,'Model Pricing'!$A$7:$A$8,0))</x:f>
        <x:v>10</x:v>
      </x:c>
      <x:c r="K2679" s="27" t="n">
        <x:f>INDEX('Model Pricing'!$C$7:$C$8,MATCH(F2679,'Model Pricing'!$A$7:$A$8,0))</x:f>
        <x:v>30</x:v>
      </x:c>
      <x:c r="L2679" s="17" t="n">
        <x:f>G2679+H2679</x:f>
        <x:v>24581</x:v>
      </x:c>
      <x:c r="M2679" s="28" t="n">
        <x:f>G2679*J2679/1000000</x:f>
        <x:v>0.21233</x:v>
      </x:c>
      <x:c r="N2679" s="28" t="n">
        <x:f>H2679*K2679/1000000</x:f>
        <x:v>0.10044</x:v>
      </x:c>
      <x:c r="O2679" s="28" t="n">
        <x:f>SUM(M2679:N2679)</x:f>
        <x:v>0.31277</x:v>
      </x:c>
    </x:row>
    <x:row r="2680" ht="23" customHeight="1">
      <x:c r="A2680" s="17" t="str">
        <x:v>U02674</x:v>
      </x:c>
      <x:c r="B2680" s="18" t="n">
        <x:v>46276</x:v>
      </x:c>
      <x:c r="C2680" s="17" t="str">
        <x:v>W0203</x:v>
      </x:c>
      <x:c r="D2680" s="17" t="str">
        <x:v>C004</x:v>
      </x:c>
      <x:c r="E2680" s="17" t="str">
        <x:v>CopyStudio</x:v>
      </x:c>
      <x:c r="F2680" s="17" t="str">
        <x:v>Lite</x:v>
      </x:c>
      <x:c r="G2680" s="17" t="n">
        <x:v>12844</x:v>
      </x:c>
      <x:c r="H2680" s="17" t="n">
        <x:v>3996</x:v>
      </x:c>
      <x:c r="I2680" s="17" t="str">
        <x:v>Followup</x:v>
      </x:c>
      <x:c r="J2680" s="27" t="n">
        <x:f>INDEX('Model Pricing'!$B$7:$B$8,MATCH(F2680,'Model Pricing'!$A$7:$A$8,0))</x:f>
        <x:v>10</x:v>
      </x:c>
      <x:c r="K2680" s="27" t="n">
        <x:f>INDEX('Model Pricing'!$C$7:$C$8,MATCH(F2680,'Model Pricing'!$A$7:$A$8,0))</x:f>
        <x:v>30</x:v>
      </x:c>
      <x:c r="L2680" s="17" t="n">
        <x:f>G2680+H2680</x:f>
        <x:v>16840</x:v>
      </x:c>
      <x:c r="M2680" s="28" t="n">
        <x:f>G2680*J2680/1000000</x:f>
        <x:v>0.12844</x:v>
      </x:c>
      <x:c r="N2680" s="28" t="n">
        <x:f>H2680*K2680/1000000</x:f>
        <x:v>0.11988</x:v>
      </x:c>
      <x:c r="O2680" s="28" t="n">
        <x:f>SUM(M2680:N2680)</x:f>
        <x:v>0.24831999999999999</x:v>
      </x:c>
    </x:row>
    <x:row r="2681" ht="23" customHeight="1">
      <x:c r="A2681" s="17" t="str">
        <x:v>U02675</x:v>
      </x:c>
      <x:c r="B2681" s="18" t="n">
        <x:v>46282</x:v>
      </x:c>
      <x:c r="C2681" s="17" t="str">
        <x:v>W0204</x:v>
      </x:c>
      <x:c r="D2681" s="17" t="str">
        <x:v>C004</x:v>
      </x:c>
      <x:c r="E2681" s="17" t="str">
        <x:v>CampaignChat</x:v>
      </x:c>
      <x:c r="F2681" s="17" t="str">
        <x:v>Lite</x:v>
      </x:c>
      <x:c r="G2681" s="17" t="n">
        <x:v>8938</x:v>
      </x:c>
      <x:c r="H2681" s="17" t="n">
        <x:v>5669</x:v>
      </x:c>
      <x:c r="I2681" s="17" t="str">
        <x:v>First attempt</x:v>
      </x:c>
      <x:c r="J2681" s="27" t="n">
        <x:f>INDEX('Model Pricing'!$B$7:$B$8,MATCH(F2681,'Model Pricing'!$A$7:$A$8,0))</x:f>
        <x:v>10</x:v>
      </x:c>
      <x:c r="K2681" s="27" t="n">
        <x:f>INDEX('Model Pricing'!$C$7:$C$8,MATCH(F2681,'Model Pricing'!$A$7:$A$8,0))</x:f>
        <x:v>30</x:v>
      </x:c>
      <x:c r="L2681" s="17" t="n">
        <x:f>G2681+H2681</x:f>
        <x:v>14607</x:v>
      </x:c>
      <x:c r="M2681" s="28" t="n">
        <x:f>G2681*J2681/1000000</x:f>
        <x:v>0.08938</x:v>
      </x:c>
      <x:c r="N2681" s="28" t="n">
        <x:f>H2681*K2681/1000000</x:f>
        <x:v>0.17007</x:v>
      </x:c>
      <x:c r="O2681" s="28" t="n">
        <x:f>SUM(M2681:N2681)</x:f>
        <x:v>0.25945</x:v>
      </x:c>
    </x:row>
    <x:row r="2682" ht="23" customHeight="1">
      <x:c r="A2682" s="17" t="str">
        <x:v>U02676</x:v>
      </x:c>
      <x:c r="B2682" s="18" t="n">
        <x:v>46282</x:v>
      </x:c>
      <x:c r="C2682" s="17" t="str">
        <x:v>W0204</x:v>
      </x:c>
      <x:c r="D2682" s="17" t="str">
        <x:v>C004</x:v>
      </x:c>
      <x:c r="E2682" s="17" t="str">
        <x:v>CampaignChat</x:v>
      </x:c>
      <x:c r="F2682" s="17" t="str">
        <x:v>Lite</x:v>
      </x:c>
      <x:c r="G2682" s="17" t="n">
        <x:v>15069</x:v>
      </x:c>
      <x:c r="H2682" s="17" t="n">
        <x:v>6830</x:v>
      </x:c>
      <x:c r="I2682" s="17" t="str">
        <x:v>Followup</x:v>
      </x:c>
      <x:c r="J2682" s="27" t="n">
        <x:f>INDEX('Model Pricing'!$B$7:$B$8,MATCH(F2682,'Model Pricing'!$A$7:$A$8,0))</x:f>
        <x:v>10</x:v>
      </x:c>
      <x:c r="K2682" s="27" t="n">
        <x:f>INDEX('Model Pricing'!$C$7:$C$8,MATCH(F2682,'Model Pricing'!$A$7:$A$8,0))</x:f>
        <x:v>30</x:v>
      </x:c>
      <x:c r="L2682" s="17" t="n">
        <x:f>G2682+H2682</x:f>
        <x:v>21899</x:v>
      </x:c>
      <x:c r="M2682" s="28" t="n">
        <x:f>G2682*J2682/1000000</x:f>
        <x:v>0.15069</x:v>
      </x:c>
      <x:c r="N2682" s="28" t="n">
        <x:f>H2682*K2682/1000000</x:f>
        <x:v>0.2049</x:v>
      </x:c>
      <x:c r="O2682" s="28" t="n">
        <x:f>SUM(M2682:N2682)</x:f>
        <x:v>0.35558999999999996</x:v>
      </x:c>
    </x:row>
    <x:row r="2683" ht="23" customHeight="1">
      <x:c r="A2683" s="17" t="str">
        <x:v>U02677</x:v>
      </x:c>
      <x:c r="B2683" s="18" t="n">
        <x:v>46282</x:v>
      </x:c>
      <x:c r="C2683" s="17" t="str">
        <x:v>W0204</x:v>
      </x:c>
      <x:c r="D2683" s="17" t="str">
        <x:v>C004</x:v>
      </x:c>
      <x:c r="E2683" s="17" t="str">
        <x:v>CampaignChat</x:v>
      </x:c>
      <x:c r="F2683" s="17" t="str">
        <x:v>Lite</x:v>
      </x:c>
      <x:c r="G2683" s="17" t="n">
        <x:v>20143</x:v>
      </x:c>
      <x:c r="H2683" s="17" t="n">
        <x:v>3866</x:v>
      </x:c>
      <x:c r="I2683" s="17" t="str">
        <x:v>Followup</x:v>
      </x:c>
      <x:c r="J2683" s="27" t="n">
        <x:f>INDEX('Model Pricing'!$B$7:$B$8,MATCH(F2683,'Model Pricing'!$A$7:$A$8,0))</x:f>
        <x:v>10</x:v>
      </x:c>
      <x:c r="K2683" s="27" t="n">
        <x:f>INDEX('Model Pricing'!$C$7:$C$8,MATCH(F2683,'Model Pricing'!$A$7:$A$8,0))</x:f>
        <x:v>30</x:v>
      </x:c>
      <x:c r="L2683" s="17" t="n">
        <x:f>G2683+H2683</x:f>
        <x:v>24009</x:v>
      </x:c>
      <x:c r="M2683" s="28" t="n">
        <x:f>G2683*J2683/1000000</x:f>
        <x:v>0.20143</x:v>
      </x:c>
      <x:c r="N2683" s="28" t="n">
        <x:f>H2683*K2683/1000000</x:f>
        <x:v>0.11598</x:v>
      </x:c>
      <x:c r="O2683" s="28" t="n">
        <x:f>SUM(M2683:N2683)</x:f>
        <x:v>0.31740999999999997</x:v>
      </x:c>
    </x:row>
    <x:row r="2684" ht="23" customHeight="1">
      <x:c r="A2684" s="17" t="str">
        <x:v>U02678</x:v>
      </x:c>
      <x:c r="B2684" s="18" t="n">
        <x:v>46282</x:v>
      </x:c>
      <x:c r="C2684" s="17" t="str">
        <x:v>W0204</x:v>
      </x:c>
      <x:c r="D2684" s="17" t="str">
        <x:v>C004</x:v>
      </x:c>
      <x:c r="E2684" s="17" t="str">
        <x:v>CampaignChat</x:v>
      </x:c>
      <x:c r="F2684" s="17" t="str">
        <x:v>Lite</x:v>
      </x:c>
      <x:c r="G2684" s="17" t="n">
        <x:v>16826</x:v>
      </x:c>
      <x:c r="H2684" s="17" t="n">
        <x:v>6766</x:v>
      </x:c>
      <x:c r="I2684" s="17" t="str">
        <x:v>Followup</x:v>
      </x:c>
      <x:c r="J2684" s="27" t="n">
        <x:f>INDEX('Model Pricing'!$B$7:$B$8,MATCH(F2684,'Model Pricing'!$A$7:$A$8,0))</x:f>
        <x:v>10</x:v>
      </x:c>
      <x:c r="K2684" s="27" t="n">
        <x:f>INDEX('Model Pricing'!$C$7:$C$8,MATCH(F2684,'Model Pricing'!$A$7:$A$8,0))</x:f>
        <x:v>30</x:v>
      </x:c>
      <x:c r="L2684" s="17" t="n">
        <x:f>G2684+H2684</x:f>
        <x:v>23592</x:v>
      </x:c>
      <x:c r="M2684" s="28" t="n">
        <x:f>G2684*J2684/1000000</x:f>
        <x:v>0.16826</x:v>
      </x:c>
      <x:c r="N2684" s="28" t="n">
        <x:f>H2684*K2684/1000000</x:f>
        <x:v>0.20298</x:v>
      </x:c>
      <x:c r="O2684" s="28" t="n">
        <x:f>SUM(M2684:N2684)</x:f>
        <x:v>0.37124</x:v>
      </x:c>
    </x:row>
    <x:row r="2685" ht="23" customHeight="1">
      <x:c r="A2685" s="17" t="str">
        <x:v>U02679</x:v>
      </x:c>
      <x:c r="B2685" s="18" t="n">
        <x:v>46282</x:v>
      </x:c>
      <x:c r="C2685" s="17" t="str">
        <x:v>W0204</x:v>
      </x:c>
      <x:c r="D2685" s="17" t="str">
        <x:v>C004</x:v>
      </x:c>
      <x:c r="E2685" s="17" t="str">
        <x:v>CampaignChat</x:v>
      </x:c>
      <x:c r="F2685" s="17" t="str">
        <x:v>Lite</x:v>
      </x:c>
      <x:c r="G2685" s="17" t="n">
        <x:v>19419</x:v>
      </x:c>
      <x:c r="H2685" s="17" t="n">
        <x:v>2999</x:v>
      </x:c>
      <x:c r="I2685" s="17" t="str">
        <x:v>Correction</x:v>
      </x:c>
      <x:c r="J2685" s="27" t="n">
        <x:f>INDEX('Model Pricing'!$B$7:$B$8,MATCH(F2685,'Model Pricing'!$A$7:$A$8,0))</x:f>
        <x:v>10</x:v>
      </x:c>
      <x:c r="K2685" s="27" t="n">
        <x:f>INDEX('Model Pricing'!$C$7:$C$8,MATCH(F2685,'Model Pricing'!$A$7:$A$8,0))</x:f>
        <x:v>30</x:v>
      </x:c>
      <x:c r="L2685" s="17" t="n">
        <x:f>G2685+H2685</x:f>
        <x:v>22418</x:v>
      </x:c>
      <x:c r="M2685" s="28" t="n">
        <x:f>G2685*J2685/1000000</x:f>
        <x:v>0.19419</x:v>
      </x:c>
      <x:c r="N2685" s="28" t="n">
        <x:f>H2685*K2685/1000000</x:f>
        <x:v>0.08997</x:v>
      </x:c>
      <x:c r="O2685" s="28" t="n">
        <x:f>SUM(M2685:N2685)</x:f>
        <x:v>0.28415999999999997</x:v>
      </x:c>
    </x:row>
    <x:row r="2686" ht="23" customHeight="1">
      <x:c r="A2686" s="17" t="str">
        <x:v>U02680</x:v>
      </x:c>
      <x:c r="B2686" s="18" t="n">
        <x:v>46283</x:v>
      </x:c>
      <x:c r="C2686" s="17" t="str">
        <x:v>W0204</x:v>
      </x:c>
      <x:c r="D2686" s="17" t="str">
        <x:v>C004</x:v>
      </x:c>
      <x:c r="E2686" s="17" t="str">
        <x:v>CampaignChat</x:v>
      </x:c>
      <x:c r="F2686" s="17" t="str">
        <x:v>Lite</x:v>
      </x:c>
      <x:c r="G2686" s="17" t="n">
        <x:v>14779</x:v>
      </x:c>
      <x:c r="H2686" s="17" t="n">
        <x:v>5038</x:v>
      </x:c>
      <x:c r="I2686" s="17" t="str">
        <x:v>Followup</x:v>
      </x:c>
      <x:c r="J2686" s="27" t="n">
        <x:f>INDEX('Model Pricing'!$B$7:$B$8,MATCH(F2686,'Model Pricing'!$A$7:$A$8,0))</x:f>
        <x:v>10</x:v>
      </x:c>
      <x:c r="K2686" s="27" t="n">
        <x:f>INDEX('Model Pricing'!$C$7:$C$8,MATCH(F2686,'Model Pricing'!$A$7:$A$8,0))</x:f>
        <x:v>30</x:v>
      </x:c>
      <x:c r="L2686" s="17" t="n">
        <x:f>G2686+H2686</x:f>
        <x:v>19817</x:v>
      </x:c>
      <x:c r="M2686" s="28" t="n">
        <x:f>G2686*J2686/1000000</x:f>
        <x:v>0.14779</x:v>
      </x:c>
      <x:c r="N2686" s="28" t="n">
        <x:f>H2686*K2686/1000000</x:f>
        <x:v>0.15114</x:v>
      </x:c>
      <x:c r="O2686" s="28" t="n">
        <x:f>SUM(M2686:N2686)</x:f>
        <x:v>0.29893000000000003</x:v>
      </x:c>
    </x:row>
    <x:row r="2687" ht="23" customHeight="1">
      <x:c r="A2687" s="17" t="str">
        <x:v>U02681</x:v>
      </x:c>
      <x:c r="B2687" s="18" t="n">
        <x:v>46283</x:v>
      </x:c>
      <x:c r="C2687" s="17" t="str">
        <x:v>W0204</x:v>
      </x:c>
      <x:c r="D2687" s="17" t="str">
        <x:v>C004</x:v>
      </x:c>
      <x:c r="E2687" s="17" t="str">
        <x:v>CampaignChat</x:v>
      </x:c>
      <x:c r="F2687" s="17" t="str">
        <x:v>Lite</x:v>
      </x:c>
      <x:c r="G2687" s="17" t="n">
        <x:v>14082</x:v>
      </x:c>
      <x:c r="H2687" s="17" t="n">
        <x:v>2117</x:v>
      </x:c>
      <x:c r="I2687" s="17" t="str">
        <x:v>Followup</x:v>
      </x:c>
      <x:c r="J2687" s="27" t="n">
        <x:f>INDEX('Model Pricing'!$B$7:$B$8,MATCH(F2687,'Model Pricing'!$A$7:$A$8,0))</x:f>
        <x:v>10</x:v>
      </x:c>
      <x:c r="K2687" s="27" t="n">
        <x:f>INDEX('Model Pricing'!$C$7:$C$8,MATCH(F2687,'Model Pricing'!$A$7:$A$8,0))</x:f>
        <x:v>30</x:v>
      </x:c>
      <x:c r="L2687" s="17" t="n">
        <x:f>G2687+H2687</x:f>
        <x:v>16199</x:v>
      </x:c>
      <x:c r="M2687" s="28" t="n">
        <x:f>G2687*J2687/1000000</x:f>
        <x:v>0.14082</x:v>
      </x:c>
      <x:c r="N2687" s="28" t="n">
        <x:f>H2687*K2687/1000000</x:f>
        <x:v>0.06351</x:v>
      </x:c>
      <x:c r="O2687" s="28" t="n">
        <x:f>SUM(M2687:N2687)</x:f>
        <x:v>0.20433</x:v>
      </x:c>
    </x:row>
    <x:row r="2688" ht="23" customHeight="1">
      <x:c r="A2688" s="17" t="str">
        <x:v>U02682</x:v>
      </x:c>
      <x:c r="B2688" s="18" t="n">
        <x:v>46283</x:v>
      </x:c>
      <x:c r="C2688" s="17" t="str">
        <x:v>W0204</x:v>
      </x:c>
      <x:c r="D2688" s="17" t="str">
        <x:v>C004</x:v>
      </x:c>
      <x:c r="E2688" s="17" t="str">
        <x:v>CampaignChat</x:v>
      </x:c>
      <x:c r="F2688" s="17" t="str">
        <x:v>Lite</x:v>
      </x:c>
      <x:c r="G2688" s="17" t="n">
        <x:v>13255</x:v>
      </x:c>
      <x:c r="H2688" s="17" t="n">
        <x:v>8056</x:v>
      </x:c>
      <x:c r="I2688" s="17" t="str">
        <x:v>Correction</x:v>
      </x:c>
      <x:c r="J2688" s="27" t="n">
        <x:f>INDEX('Model Pricing'!$B$7:$B$8,MATCH(F2688,'Model Pricing'!$A$7:$A$8,0))</x:f>
        <x:v>10</x:v>
      </x:c>
      <x:c r="K2688" s="27" t="n">
        <x:f>INDEX('Model Pricing'!$C$7:$C$8,MATCH(F2688,'Model Pricing'!$A$7:$A$8,0))</x:f>
        <x:v>30</x:v>
      </x:c>
      <x:c r="L2688" s="17" t="n">
        <x:f>G2688+H2688</x:f>
        <x:v>21311</x:v>
      </x:c>
      <x:c r="M2688" s="28" t="n">
        <x:f>G2688*J2688/1000000</x:f>
        <x:v>0.13255</x:v>
      </x:c>
      <x:c r="N2688" s="28" t="n">
        <x:f>H2688*K2688/1000000</x:f>
        <x:v>0.24168</x:v>
      </x:c>
      <x:c r="O2688" s="28" t="n">
        <x:f>SUM(M2688:N2688)</x:f>
        <x:v>0.37423</x:v>
      </x:c>
    </x:row>
    <x:row r="2689" ht="23" customHeight="1">
      <x:c r="A2689" s="17" t="str">
        <x:v>U02683</x:v>
      </x:c>
      <x:c r="B2689" s="18" t="n">
        <x:v>46283</x:v>
      </x:c>
      <x:c r="C2689" s="17" t="str">
        <x:v>W0204</x:v>
      </x:c>
      <x:c r="D2689" s="17" t="str">
        <x:v>C004</x:v>
      </x:c>
      <x:c r="E2689" s="17" t="str">
        <x:v>CampaignChat</x:v>
      </x:c>
      <x:c r="F2689" s="17" t="str">
        <x:v>Lite</x:v>
      </x:c>
      <x:c r="G2689" s="17" t="n">
        <x:v>17508</x:v>
      </x:c>
      <x:c r="H2689" s="17" t="n">
        <x:v>2419</x:v>
      </x:c>
      <x:c r="I2689" s="17" t="str">
        <x:v>Correction</x:v>
      </x:c>
      <x:c r="J2689" s="27" t="n">
        <x:f>INDEX('Model Pricing'!$B$7:$B$8,MATCH(F2689,'Model Pricing'!$A$7:$A$8,0))</x:f>
        <x:v>10</x:v>
      </x:c>
      <x:c r="K2689" s="27" t="n">
        <x:f>INDEX('Model Pricing'!$C$7:$C$8,MATCH(F2689,'Model Pricing'!$A$7:$A$8,0))</x:f>
        <x:v>30</x:v>
      </x:c>
      <x:c r="L2689" s="17" t="n">
        <x:f>G2689+H2689</x:f>
        <x:v>19927</x:v>
      </x:c>
      <x:c r="M2689" s="28" t="n">
        <x:f>G2689*J2689/1000000</x:f>
        <x:v>0.17508</x:v>
      </x:c>
      <x:c r="N2689" s="28" t="n">
        <x:f>H2689*K2689/1000000</x:f>
        <x:v>0.07257</x:v>
      </x:c>
      <x:c r="O2689" s="28" t="n">
        <x:f>SUM(M2689:N2689)</x:f>
        <x:v>0.24765</x:v>
      </x:c>
    </x:row>
    <x:row r="2690" ht="23" customHeight="1">
      <x:c r="A2690" s="17" t="str">
        <x:v>U02684</x:v>
      </x:c>
      <x:c r="B2690" s="18" t="n">
        <x:v>46283</x:v>
      </x:c>
      <x:c r="C2690" s="17" t="str">
        <x:v>W0204</x:v>
      </x:c>
      <x:c r="D2690" s="17" t="str">
        <x:v>C004</x:v>
      </x:c>
      <x:c r="E2690" s="17" t="str">
        <x:v>CampaignChat</x:v>
      </x:c>
      <x:c r="F2690" s="17" t="str">
        <x:v>Lite</x:v>
      </x:c>
      <x:c r="G2690" s="17" t="n">
        <x:v>15501</x:v>
      </x:c>
      <x:c r="H2690" s="17" t="n">
        <x:v>7965</x:v>
      </x:c>
      <x:c r="I2690" s="17" t="str">
        <x:v>Followup</x:v>
      </x:c>
      <x:c r="J2690" s="27" t="n">
        <x:f>INDEX('Model Pricing'!$B$7:$B$8,MATCH(F2690,'Model Pricing'!$A$7:$A$8,0))</x:f>
        <x:v>10</x:v>
      </x:c>
      <x:c r="K2690" s="27" t="n">
        <x:f>INDEX('Model Pricing'!$C$7:$C$8,MATCH(F2690,'Model Pricing'!$A$7:$A$8,0))</x:f>
        <x:v>30</x:v>
      </x:c>
      <x:c r="L2690" s="17" t="n">
        <x:f>G2690+H2690</x:f>
        <x:v>23466</x:v>
      </x:c>
      <x:c r="M2690" s="28" t="n">
        <x:f>G2690*J2690/1000000</x:f>
        <x:v>0.15501</x:v>
      </x:c>
      <x:c r="N2690" s="28" t="n">
        <x:f>H2690*K2690/1000000</x:f>
        <x:v>0.23895</x:v>
      </x:c>
      <x:c r="O2690" s="28" t="n">
        <x:f>SUM(M2690:N2690)</x:f>
        <x:v>0.39396</x:v>
      </x:c>
    </x:row>
    <x:row r="2691" ht="23" customHeight="1">
      <x:c r="A2691" s="17" t="str">
        <x:v>U02685</x:v>
      </x:c>
      <x:c r="B2691" s="18" t="n">
        <x:v>46286</x:v>
      </x:c>
      <x:c r="C2691" s="17" t="str">
        <x:v>W0204</x:v>
      </x:c>
      <x:c r="D2691" s="17" t="str">
        <x:v>C004</x:v>
      </x:c>
      <x:c r="E2691" s="17" t="str">
        <x:v>CampaignChat</x:v>
      </x:c>
      <x:c r="F2691" s="17" t="str">
        <x:v>Lite</x:v>
      </x:c>
      <x:c r="G2691" s="17" t="n">
        <x:v>22671</x:v>
      </x:c>
      <x:c r="H2691" s="17" t="n">
        <x:v>6406</x:v>
      </x:c>
      <x:c r="I2691" s="17" t="str">
        <x:v>Followup</x:v>
      </x:c>
      <x:c r="J2691" s="27" t="n">
        <x:f>INDEX('Model Pricing'!$B$7:$B$8,MATCH(F2691,'Model Pricing'!$A$7:$A$8,0))</x:f>
        <x:v>10</x:v>
      </x:c>
      <x:c r="K2691" s="27" t="n">
        <x:f>INDEX('Model Pricing'!$C$7:$C$8,MATCH(F2691,'Model Pricing'!$A$7:$A$8,0))</x:f>
        <x:v>30</x:v>
      </x:c>
      <x:c r="L2691" s="17" t="n">
        <x:f>G2691+H2691</x:f>
        <x:v>29077</x:v>
      </x:c>
      <x:c r="M2691" s="28" t="n">
        <x:f>G2691*J2691/1000000</x:f>
        <x:v>0.22671</x:v>
      </x:c>
      <x:c r="N2691" s="28" t="n">
        <x:f>H2691*K2691/1000000</x:f>
        <x:v>0.19218</x:v>
      </x:c>
      <x:c r="O2691" s="28" t="n">
        <x:f>SUM(M2691:N2691)</x:f>
        <x:v>0.41889</x:v>
      </x:c>
    </x:row>
    <x:row r="2692" ht="23" customHeight="1">
      <x:c r="A2692" s="17" t="str">
        <x:v>U02686</x:v>
      </x:c>
      <x:c r="B2692" s="18" t="n">
        <x:v>46286</x:v>
      </x:c>
      <x:c r="C2692" s="17" t="str">
        <x:v>W0204</x:v>
      </x:c>
      <x:c r="D2692" s="17" t="str">
        <x:v>C004</x:v>
      </x:c>
      <x:c r="E2692" s="17" t="str">
        <x:v>CampaignChat</x:v>
      </x:c>
      <x:c r="F2692" s="17" t="str">
        <x:v>Lite</x:v>
      </x:c>
      <x:c r="G2692" s="17" t="n">
        <x:v>12848</x:v>
      </x:c>
      <x:c r="H2692" s="17" t="n">
        <x:v>6998</x:v>
      </x:c>
      <x:c r="I2692" s="17" t="str">
        <x:v>Followup</x:v>
      </x:c>
      <x:c r="J2692" s="27" t="n">
        <x:f>INDEX('Model Pricing'!$B$7:$B$8,MATCH(F2692,'Model Pricing'!$A$7:$A$8,0))</x:f>
        <x:v>10</x:v>
      </x:c>
      <x:c r="K2692" s="27" t="n">
        <x:f>INDEX('Model Pricing'!$C$7:$C$8,MATCH(F2692,'Model Pricing'!$A$7:$A$8,0))</x:f>
        <x:v>30</x:v>
      </x:c>
      <x:c r="L2692" s="17" t="n">
        <x:f>G2692+H2692</x:f>
        <x:v>19846</x:v>
      </x:c>
      <x:c r="M2692" s="28" t="n">
        <x:f>G2692*J2692/1000000</x:f>
        <x:v>0.12848</x:v>
      </x:c>
      <x:c r="N2692" s="28" t="n">
        <x:f>H2692*K2692/1000000</x:f>
        <x:v>0.20994</x:v>
      </x:c>
      <x:c r="O2692" s="28" t="n">
        <x:f>SUM(M2692:N2692)</x:f>
        <x:v>0.33842</x:v>
      </x:c>
    </x:row>
    <x:row r="2693" ht="23" customHeight="1">
      <x:c r="A2693" s="17" t="str">
        <x:v>U02687</x:v>
      </x:c>
      <x:c r="B2693" s="18" t="n">
        <x:v>46286</x:v>
      </x:c>
      <x:c r="C2693" s="17" t="str">
        <x:v>W0204</x:v>
      </x:c>
      <x:c r="D2693" s="17" t="str">
        <x:v>C004</x:v>
      </x:c>
      <x:c r="E2693" s="17" t="str">
        <x:v>CampaignChat</x:v>
      </x:c>
      <x:c r="F2693" s="17" t="str">
        <x:v>Lite</x:v>
      </x:c>
      <x:c r="G2693" s="17" t="n">
        <x:v>20539</x:v>
      </x:c>
      <x:c r="H2693" s="17" t="n">
        <x:v>4388</x:v>
      </x:c>
      <x:c r="I2693" s="17" t="str">
        <x:v>Correction</x:v>
      </x:c>
      <x:c r="J2693" s="27" t="n">
        <x:f>INDEX('Model Pricing'!$B$7:$B$8,MATCH(F2693,'Model Pricing'!$A$7:$A$8,0))</x:f>
        <x:v>10</x:v>
      </x:c>
      <x:c r="K2693" s="27" t="n">
        <x:f>INDEX('Model Pricing'!$C$7:$C$8,MATCH(F2693,'Model Pricing'!$A$7:$A$8,0))</x:f>
        <x:v>30</x:v>
      </x:c>
      <x:c r="L2693" s="17" t="n">
        <x:f>G2693+H2693</x:f>
        <x:v>24927</x:v>
      </x:c>
      <x:c r="M2693" s="28" t="n">
        <x:f>G2693*J2693/1000000</x:f>
        <x:v>0.20539</x:v>
      </x:c>
      <x:c r="N2693" s="28" t="n">
        <x:f>H2693*K2693/1000000</x:f>
        <x:v>0.13164</x:v>
      </x:c>
      <x:c r="O2693" s="28" t="n">
        <x:f>SUM(M2693:N2693)</x:f>
        <x:v>0.33703</x:v>
      </x:c>
    </x:row>
    <x:row r="2694" ht="23" customHeight="1">
      <x:c r="A2694" s="17" t="str">
        <x:v>U02688</x:v>
      </x:c>
      <x:c r="B2694" s="18" t="n">
        <x:v>46286</x:v>
      </x:c>
      <x:c r="C2694" s="17" t="str">
        <x:v>W0204</x:v>
      </x:c>
      <x:c r="D2694" s="17" t="str">
        <x:v>C004</x:v>
      </x:c>
      <x:c r="E2694" s="17" t="str">
        <x:v>CampaignChat</x:v>
      </x:c>
      <x:c r="F2694" s="17" t="str">
        <x:v>Lite</x:v>
      </x:c>
      <x:c r="G2694" s="17" t="n">
        <x:v>11547</x:v>
      </x:c>
      <x:c r="H2694" s="17" t="n">
        <x:v>6638</x:v>
      </x:c>
      <x:c r="I2694" s="17" t="str">
        <x:v>Followup</x:v>
      </x:c>
      <x:c r="J2694" s="27" t="n">
        <x:f>INDEX('Model Pricing'!$B$7:$B$8,MATCH(F2694,'Model Pricing'!$A$7:$A$8,0))</x:f>
        <x:v>10</x:v>
      </x:c>
      <x:c r="K2694" s="27" t="n">
        <x:f>INDEX('Model Pricing'!$C$7:$C$8,MATCH(F2694,'Model Pricing'!$A$7:$A$8,0))</x:f>
        <x:v>30</x:v>
      </x:c>
      <x:c r="L2694" s="17" t="n">
        <x:f>G2694+H2694</x:f>
        <x:v>18185</x:v>
      </x:c>
      <x:c r="M2694" s="28" t="n">
        <x:f>G2694*J2694/1000000</x:f>
        <x:v>0.11547</x:v>
      </x:c>
      <x:c r="N2694" s="28" t="n">
        <x:f>H2694*K2694/1000000</x:f>
        <x:v>0.19914</x:v>
      </x:c>
      <x:c r="O2694" s="28" t="n">
        <x:f>SUM(M2694:N2694)</x:f>
        <x:v>0.31461</x:v>
      </x:c>
    </x:row>
    <x:row r="2695" ht="23" customHeight="1">
      <x:c r="A2695" s="17" t="str">
        <x:v>U02689</x:v>
      </x:c>
      <x:c r="B2695" s="18" t="n">
        <x:v>46286</x:v>
      </x:c>
      <x:c r="C2695" s="17" t="str">
        <x:v>W0204</x:v>
      </x:c>
      <x:c r="D2695" s="17" t="str">
        <x:v>C004</x:v>
      </x:c>
      <x:c r="E2695" s="17" t="str">
        <x:v>CampaignChat</x:v>
      </x:c>
      <x:c r="F2695" s="17" t="str">
        <x:v>Lite</x:v>
      </x:c>
      <x:c r="G2695" s="17" t="n">
        <x:v>16892</x:v>
      </x:c>
      <x:c r="H2695" s="17" t="n">
        <x:v>8193</x:v>
      </x:c>
      <x:c r="I2695" s="17" t="str">
        <x:v>Correction</x:v>
      </x:c>
      <x:c r="J2695" s="27" t="n">
        <x:f>INDEX('Model Pricing'!$B$7:$B$8,MATCH(F2695,'Model Pricing'!$A$7:$A$8,0))</x:f>
        <x:v>10</x:v>
      </x:c>
      <x:c r="K2695" s="27" t="n">
        <x:f>INDEX('Model Pricing'!$C$7:$C$8,MATCH(F2695,'Model Pricing'!$A$7:$A$8,0))</x:f>
        <x:v>30</x:v>
      </x:c>
      <x:c r="L2695" s="17" t="n">
        <x:f>G2695+H2695</x:f>
        <x:v>25085</x:v>
      </x:c>
      <x:c r="M2695" s="28" t="n">
        <x:f>G2695*J2695/1000000</x:f>
        <x:v>0.16892</x:v>
      </x:c>
      <x:c r="N2695" s="28" t="n">
        <x:f>H2695*K2695/1000000</x:f>
        <x:v>0.24579</x:v>
      </x:c>
      <x:c r="O2695" s="28" t="n">
        <x:f>SUM(M2695:N2695)</x:f>
        <x:v>0.41471</x:v>
      </x:c>
    </x:row>
    <x:row r="2696" ht="23" customHeight="1">
      <x:c r="A2696" s="17" t="str">
        <x:v>U02690</x:v>
      </x:c>
      <x:c r="B2696" s="18" t="n">
        <x:v>46287</x:v>
      </x:c>
      <x:c r="C2696" s="17" t="str">
        <x:v>W0204</x:v>
      </x:c>
      <x:c r="D2696" s="17" t="str">
        <x:v>C004</x:v>
      </x:c>
      <x:c r="E2696" s="17" t="str">
        <x:v>CampaignChat</x:v>
      </x:c>
      <x:c r="F2696" s="17" t="str">
        <x:v>Lite</x:v>
      </x:c>
      <x:c r="G2696" s="17" t="n">
        <x:v>17724</x:v>
      </x:c>
      <x:c r="H2696" s="17" t="n">
        <x:v>5371</x:v>
      </x:c>
      <x:c r="I2696" s="17" t="str">
        <x:v>Followup</x:v>
      </x:c>
      <x:c r="J2696" s="27" t="n">
        <x:f>INDEX('Model Pricing'!$B$7:$B$8,MATCH(F2696,'Model Pricing'!$A$7:$A$8,0))</x:f>
        <x:v>10</x:v>
      </x:c>
      <x:c r="K2696" s="27" t="n">
        <x:f>INDEX('Model Pricing'!$C$7:$C$8,MATCH(F2696,'Model Pricing'!$A$7:$A$8,0))</x:f>
        <x:v>30</x:v>
      </x:c>
      <x:c r="L2696" s="17" t="n">
        <x:f>G2696+H2696</x:f>
        <x:v>23095</x:v>
      </x:c>
      <x:c r="M2696" s="28" t="n">
        <x:f>G2696*J2696/1000000</x:f>
        <x:v>0.17724</x:v>
      </x:c>
      <x:c r="N2696" s="28" t="n">
        <x:f>H2696*K2696/1000000</x:f>
        <x:v>0.16113</x:v>
      </x:c>
      <x:c r="O2696" s="28" t="n">
        <x:f>SUM(M2696:N2696)</x:f>
        <x:v>0.33837</x:v>
      </x:c>
    </x:row>
    <x:row r="2697" ht="23" customHeight="1">
      <x:c r="A2697" s="17" t="str">
        <x:v>U02691</x:v>
      </x:c>
      <x:c r="B2697" s="18" t="n">
        <x:v>46287</x:v>
      </x:c>
      <x:c r="C2697" s="17" t="str">
        <x:v>W0204</x:v>
      </x:c>
      <x:c r="D2697" s="17" t="str">
        <x:v>C004</x:v>
      </x:c>
      <x:c r="E2697" s="17" t="str">
        <x:v>CampaignChat</x:v>
      </x:c>
      <x:c r="F2697" s="17" t="str">
        <x:v>Lite</x:v>
      </x:c>
      <x:c r="G2697" s="17" t="n">
        <x:v>18903</x:v>
      </x:c>
      <x:c r="H2697" s="17" t="n">
        <x:v>6720</x:v>
      </x:c>
      <x:c r="I2697" s="17" t="str">
        <x:v>Followup</x:v>
      </x:c>
      <x:c r="J2697" s="27" t="n">
        <x:f>INDEX('Model Pricing'!$B$7:$B$8,MATCH(F2697,'Model Pricing'!$A$7:$A$8,0))</x:f>
        <x:v>10</x:v>
      </x:c>
      <x:c r="K2697" s="27" t="n">
        <x:f>INDEX('Model Pricing'!$C$7:$C$8,MATCH(F2697,'Model Pricing'!$A$7:$A$8,0))</x:f>
        <x:v>30</x:v>
      </x:c>
      <x:c r="L2697" s="17" t="n">
        <x:f>G2697+H2697</x:f>
        <x:v>25623</x:v>
      </x:c>
      <x:c r="M2697" s="28" t="n">
        <x:f>G2697*J2697/1000000</x:f>
        <x:v>0.18903</x:v>
      </x:c>
      <x:c r="N2697" s="28" t="n">
        <x:f>H2697*K2697/1000000</x:f>
        <x:v>0.2016</x:v>
      </x:c>
      <x:c r="O2697" s="28" t="n">
        <x:f>SUM(M2697:N2697)</x:f>
        <x:v>0.39063000000000003</x:v>
      </x:c>
    </x:row>
    <x:row r="2698" ht="23" customHeight="1">
      <x:c r="A2698" s="17" t="str">
        <x:v>U02692</x:v>
      </x:c>
      <x:c r="B2698" s="18" t="n">
        <x:v>46287</x:v>
      </x:c>
      <x:c r="C2698" s="17" t="str">
        <x:v>W0204</x:v>
      </x:c>
      <x:c r="D2698" s="17" t="str">
        <x:v>C004</x:v>
      </x:c>
      <x:c r="E2698" s="17" t="str">
        <x:v>CampaignChat</x:v>
      </x:c>
      <x:c r="F2698" s="17" t="str">
        <x:v>Lite</x:v>
      </x:c>
      <x:c r="G2698" s="17" t="n">
        <x:v>9325</x:v>
      </x:c>
      <x:c r="H2698" s="17" t="n">
        <x:v>7987</x:v>
      </x:c>
      <x:c r="I2698" s="17" t="str">
        <x:v>Followup</x:v>
      </x:c>
      <x:c r="J2698" s="27" t="n">
        <x:f>INDEX('Model Pricing'!$B$7:$B$8,MATCH(F2698,'Model Pricing'!$A$7:$A$8,0))</x:f>
        <x:v>10</x:v>
      </x:c>
      <x:c r="K2698" s="27" t="n">
        <x:f>INDEX('Model Pricing'!$C$7:$C$8,MATCH(F2698,'Model Pricing'!$A$7:$A$8,0))</x:f>
        <x:v>30</x:v>
      </x:c>
      <x:c r="L2698" s="17" t="n">
        <x:f>G2698+H2698</x:f>
        <x:v>17312</x:v>
      </x:c>
      <x:c r="M2698" s="28" t="n">
        <x:f>G2698*J2698/1000000</x:f>
        <x:v>0.09325</x:v>
      </x:c>
      <x:c r="N2698" s="28" t="n">
        <x:f>H2698*K2698/1000000</x:f>
        <x:v>0.23961</x:v>
      </x:c>
      <x:c r="O2698" s="28" t="n">
        <x:f>SUM(M2698:N2698)</x:f>
        <x:v>0.33286</x:v>
      </x:c>
    </x:row>
    <x:row r="2699" ht="23" customHeight="1">
      <x:c r="A2699" s="17" t="str">
        <x:v>U02693</x:v>
      </x:c>
      <x:c r="B2699" s="18" t="n">
        <x:v>46287</x:v>
      </x:c>
      <x:c r="C2699" s="17" t="str">
        <x:v>W0204</x:v>
      </x:c>
      <x:c r="D2699" s="17" t="str">
        <x:v>C004</x:v>
      </x:c>
      <x:c r="E2699" s="17" t="str">
        <x:v>CampaignChat</x:v>
      </x:c>
      <x:c r="F2699" s="17" t="str">
        <x:v>Lite</x:v>
      </x:c>
      <x:c r="G2699" s="17" t="n">
        <x:v>20144</x:v>
      </x:c>
      <x:c r="H2699" s="17" t="n">
        <x:v>5470</x:v>
      </x:c>
      <x:c r="I2699" s="17" t="str">
        <x:v>Followup</x:v>
      </x:c>
      <x:c r="J2699" s="27" t="n">
        <x:f>INDEX('Model Pricing'!$B$7:$B$8,MATCH(F2699,'Model Pricing'!$A$7:$A$8,0))</x:f>
        <x:v>10</x:v>
      </x:c>
      <x:c r="K2699" s="27" t="n">
        <x:f>INDEX('Model Pricing'!$C$7:$C$8,MATCH(F2699,'Model Pricing'!$A$7:$A$8,0))</x:f>
        <x:v>30</x:v>
      </x:c>
      <x:c r="L2699" s="17" t="n">
        <x:f>G2699+H2699</x:f>
        <x:v>25614</x:v>
      </x:c>
      <x:c r="M2699" s="28" t="n">
        <x:f>G2699*J2699/1000000</x:f>
        <x:v>0.20144</x:v>
      </x:c>
      <x:c r="N2699" s="28" t="n">
        <x:f>H2699*K2699/1000000</x:f>
        <x:v>0.1641</x:v>
      </x:c>
      <x:c r="O2699" s="28" t="n">
        <x:f>SUM(M2699:N2699)</x:f>
        <x:v>0.36554</x:v>
      </x:c>
    </x:row>
    <x:row r="2700" ht="23" customHeight="1">
      <x:c r="A2700" s="17" t="str">
        <x:v>U02694</x:v>
      </x:c>
      <x:c r="B2700" s="18" t="n">
        <x:v>46266</x:v>
      </x:c>
      <x:c r="C2700" s="17" t="str">
        <x:v>W0205</x:v>
      </x:c>
      <x:c r="D2700" s="17" t="str">
        <x:v>C004</x:v>
      </x:c>
      <x:c r="E2700" s="17" t="str">
        <x:v>CampaignChat</x:v>
      </x:c>
      <x:c r="F2700" s="17" t="str">
        <x:v>Lite</x:v>
      </x:c>
      <x:c r="G2700" s="17" t="n">
        <x:v>23489</x:v>
      </x:c>
      <x:c r="H2700" s="17" t="n">
        <x:v>6001</x:v>
      </x:c>
      <x:c r="I2700" s="17" t="str">
        <x:v>First attempt</x:v>
      </x:c>
      <x:c r="J2700" s="27" t="n">
        <x:f>INDEX('Model Pricing'!$B$7:$B$8,MATCH(F2700,'Model Pricing'!$A$7:$A$8,0))</x:f>
        <x:v>10</x:v>
      </x:c>
      <x:c r="K2700" s="27" t="n">
        <x:f>INDEX('Model Pricing'!$C$7:$C$8,MATCH(F2700,'Model Pricing'!$A$7:$A$8,0))</x:f>
        <x:v>30</x:v>
      </x:c>
      <x:c r="L2700" s="17" t="n">
        <x:f>G2700+H2700</x:f>
        <x:v>29490</x:v>
      </x:c>
      <x:c r="M2700" s="28" t="n">
        <x:f>G2700*J2700/1000000</x:f>
        <x:v>0.23489</x:v>
      </x:c>
      <x:c r="N2700" s="28" t="n">
        <x:f>H2700*K2700/1000000</x:f>
        <x:v>0.18003</x:v>
      </x:c>
      <x:c r="O2700" s="28" t="n">
        <x:f>SUM(M2700:N2700)</x:f>
        <x:v>0.41491999999999996</x:v>
      </x:c>
    </x:row>
    <x:row r="2701" ht="23" customHeight="1">
      <x:c r="A2701" s="17" t="str">
        <x:v>U02695</x:v>
      </x:c>
      <x:c r="B2701" s="18" t="n">
        <x:v>46266</x:v>
      </x:c>
      <x:c r="C2701" s="17" t="str">
        <x:v>W0205</x:v>
      </x:c>
      <x:c r="D2701" s="17" t="str">
        <x:v>C004</x:v>
      </x:c>
      <x:c r="E2701" s="17" t="str">
        <x:v>CampaignChat</x:v>
      </x:c>
      <x:c r="F2701" s="17" t="str">
        <x:v>Lite</x:v>
      </x:c>
      <x:c r="G2701" s="17" t="n">
        <x:v>41060</x:v>
      </x:c>
      <x:c r="H2701" s="17" t="n">
        <x:v>6982</x:v>
      </x:c>
      <x:c r="I2701" s="17" t="str">
        <x:v>Followup</x:v>
      </x:c>
      <x:c r="J2701" s="27" t="n">
        <x:f>INDEX('Model Pricing'!$B$7:$B$8,MATCH(F2701,'Model Pricing'!$A$7:$A$8,0))</x:f>
        <x:v>10</x:v>
      </x:c>
      <x:c r="K2701" s="27" t="n">
        <x:f>INDEX('Model Pricing'!$C$7:$C$8,MATCH(F2701,'Model Pricing'!$A$7:$A$8,0))</x:f>
        <x:v>30</x:v>
      </x:c>
      <x:c r="L2701" s="17" t="n">
        <x:f>G2701+H2701</x:f>
        <x:v>48042</x:v>
      </x:c>
      <x:c r="M2701" s="28" t="n">
        <x:f>G2701*J2701/1000000</x:f>
        <x:v>0.4106</x:v>
      </x:c>
      <x:c r="N2701" s="28" t="n">
        <x:f>H2701*K2701/1000000</x:f>
        <x:v>0.20946</x:v>
      </x:c>
      <x:c r="O2701" s="28" t="n">
        <x:f>SUM(M2701:N2701)</x:f>
        <x:v>0.6200600000000001</x:v>
      </x:c>
    </x:row>
    <x:row r="2702" ht="23" customHeight="1">
      <x:c r="A2702" s="17" t="str">
        <x:v>U02696</x:v>
      </x:c>
      <x:c r="B2702" s="18" t="n">
        <x:v>46266</x:v>
      </x:c>
      <x:c r="C2702" s="17" t="str">
        <x:v>W0205</x:v>
      </x:c>
      <x:c r="D2702" s="17" t="str">
        <x:v>C004</x:v>
      </x:c>
      <x:c r="E2702" s="17" t="str">
        <x:v>CampaignChat</x:v>
      </x:c>
      <x:c r="F2702" s="17" t="str">
        <x:v>Lite</x:v>
      </x:c>
      <x:c r="G2702" s="17" t="n">
        <x:v>32617</x:v>
      </x:c>
      <x:c r="H2702" s="17" t="n">
        <x:v>4419</x:v>
      </x:c>
      <x:c r="I2702" s="17" t="str">
        <x:v>Followup</x:v>
      </x:c>
      <x:c r="J2702" s="27" t="n">
        <x:f>INDEX('Model Pricing'!$B$7:$B$8,MATCH(F2702,'Model Pricing'!$A$7:$A$8,0))</x:f>
        <x:v>10</x:v>
      </x:c>
      <x:c r="K2702" s="27" t="n">
        <x:f>INDEX('Model Pricing'!$C$7:$C$8,MATCH(F2702,'Model Pricing'!$A$7:$A$8,0))</x:f>
        <x:v>30</x:v>
      </x:c>
      <x:c r="L2702" s="17" t="n">
        <x:f>G2702+H2702</x:f>
        <x:v>37036</x:v>
      </x:c>
      <x:c r="M2702" s="28" t="n">
        <x:f>G2702*J2702/1000000</x:f>
        <x:v>0.32617</x:v>
      </x:c>
      <x:c r="N2702" s="28" t="n">
        <x:f>H2702*K2702/1000000</x:f>
        <x:v>0.13257</x:v>
      </x:c>
      <x:c r="O2702" s="28" t="n">
        <x:f>SUM(M2702:N2702)</x:f>
        <x:v>0.45874000000000004</x:v>
      </x:c>
    </x:row>
    <x:row r="2703" ht="23" customHeight="1">
      <x:c r="A2703" s="17" t="str">
        <x:v>U02697</x:v>
      </x:c>
      <x:c r="B2703" s="18" t="n">
        <x:v>46266</x:v>
      </x:c>
      <x:c r="C2703" s="17" t="str">
        <x:v>W0205</x:v>
      </x:c>
      <x:c r="D2703" s="17" t="str">
        <x:v>C004</x:v>
      </x:c>
      <x:c r="E2703" s="17" t="str">
        <x:v>CampaignChat</x:v>
      </x:c>
      <x:c r="F2703" s="17" t="str">
        <x:v>Lite</x:v>
      </x:c>
      <x:c r="G2703" s="17" t="n">
        <x:v>20723</x:v>
      </x:c>
      <x:c r="H2703" s="17" t="n">
        <x:v>2542</x:v>
      </x:c>
      <x:c r="I2703" s="17" t="str">
        <x:v>Followup</x:v>
      </x:c>
      <x:c r="J2703" s="27" t="n">
        <x:f>INDEX('Model Pricing'!$B$7:$B$8,MATCH(F2703,'Model Pricing'!$A$7:$A$8,0))</x:f>
        <x:v>10</x:v>
      </x:c>
      <x:c r="K2703" s="27" t="n">
        <x:f>INDEX('Model Pricing'!$C$7:$C$8,MATCH(F2703,'Model Pricing'!$A$7:$A$8,0))</x:f>
        <x:v>30</x:v>
      </x:c>
      <x:c r="L2703" s="17" t="n">
        <x:f>G2703+H2703</x:f>
        <x:v>23265</x:v>
      </x:c>
      <x:c r="M2703" s="28" t="n">
        <x:f>G2703*J2703/1000000</x:f>
        <x:v>0.20723</x:v>
      </x:c>
      <x:c r="N2703" s="28" t="n">
        <x:f>H2703*K2703/1000000</x:f>
        <x:v>0.07626</x:v>
      </x:c>
      <x:c r="O2703" s="28" t="n">
        <x:f>SUM(M2703:N2703)</x:f>
        <x:v>0.28349</x:v>
      </x:c>
    </x:row>
    <x:row r="2704" ht="23" customHeight="1">
      <x:c r="A2704" s="17" t="str">
        <x:v>U02698</x:v>
      </x:c>
      <x:c r="B2704" s="18" t="n">
        <x:v>46266</x:v>
      </x:c>
      <x:c r="C2704" s="17" t="str">
        <x:v>W0205</x:v>
      </x:c>
      <x:c r="D2704" s="17" t="str">
        <x:v>C004</x:v>
      </x:c>
      <x:c r="E2704" s="17" t="str">
        <x:v>CampaignChat</x:v>
      </x:c>
      <x:c r="F2704" s="17" t="str">
        <x:v>Lite</x:v>
      </x:c>
      <x:c r="G2704" s="17" t="n">
        <x:v>32514</x:v>
      </x:c>
      <x:c r="H2704" s="17" t="n">
        <x:v>3481</x:v>
      </x:c>
      <x:c r="I2704" s="17" t="str">
        <x:v>Correction</x:v>
      </x:c>
      <x:c r="J2704" s="27" t="n">
        <x:f>INDEX('Model Pricing'!$B$7:$B$8,MATCH(F2704,'Model Pricing'!$A$7:$A$8,0))</x:f>
        <x:v>10</x:v>
      </x:c>
      <x:c r="K2704" s="27" t="n">
        <x:f>INDEX('Model Pricing'!$C$7:$C$8,MATCH(F2704,'Model Pricing'!$A$7:$A$8,0))</x:f>
        <x:v>30</x:v>
      </x:c>
      <x:c r="L2704" s="17" t="n">
        <x:f>G2704+H2704</x:f>
        <x:v>35995</x:v>
      </x:c>
      <x:c r="M2704" s="28" t="n">
        <x:f>G2704*J2704/1000000</x:f>
        <x:v>0.32514</x:v>
      </x:c>
      <x:c r="N2704" s="28" t="n">
        <x:f>H2704*K2704/1000000</x:f>
        <x:v>0.10443</x:v>
      </x:c>
      <x:c r="O2704" s="28" t="n">
        <x:f>SUM(M2704:N2704)</x:f>
        <x:v>0.42957</x:v>
      </x:c>
    </x:row>
    <x:row r="2705" ht="23" customHeight="1">
      <x:c r="A2705" s="17" t="str">
        <x:v>U02699</x:v>
      </x:c>
      <x:c r="B2705" s="18" t="n">
        <x:v>46267</x:v>
      </x:c>
      <x:c r="C2705" s="17" t="str">
        <x:v>W0205</x:v>
      </x:c>
      <x:c r="D2705" s="17" t="str">
        <x:v>C004</x:v>
      </x:c>
      <x:c r="E2705" s="17" t="str">
        <x:v>CampaignChat</x:v>
      </x:c>
      <x:c r="F2705" s="17" t="str">
        <x:v>Lite</x:v>
      </x:c>
      <x:c r="G2705" s="17" t="n">
        <x:v>27455</x:v>
      </x:c>
      <x:c r="H2705" s="17" t="n">
        <x:v>4899</x:v>
      </x:c>
      <x:c r="I2705" s="17" t="str">
        <x:v>Followup</x:v>
      </x:c>
      <x:c r="J2705" s="27" t="n">
        <x:f>INDEX('Model Pricing'!$B$7:$B$8,MATCH(F2705,'Model Pricing'!$A$7:$A$8,0))</x:f>
        <x:v>10</x:v>
      </x:c>
      <x:c r="K2705" s="27" t="n">
        <x:f>INDEX('Model Pricing'!$C$7:$C$8,MATCH(F2705,'Model Pricing'!$A$7:$A$8,0))</x:f>
        <x:v>30</x:v>
      </x:c>
      <x:c r="L2705" s="17" t="n">
        <x:f>G2705+H2705</x:f>
        <x:v>32354</x:v>
      </x:c>
      <x:c r="M2705" s="28" t="n">
        <x:f>G2705*J2705/1000000</x:f>
        <x:v>0.27455</x:v>
      </x:c>
      <x:c r="N2705" s="28" t="n">
        <x:f>H2705*K2705/1000000</x:f>
        <x:v>0.14697</x:v>
      </x:c>
      <x:c r="O2705" s="28" t="n">
        <x:f>SUM(M2705:N2705)</x:f>
        <x:v>0.42152</x:v>
      </x:c>
    </x:row>
    <x:row r="2706" ht="23" customHeight="1">
      <x:c r="A2706" s="17" t="str">
        <x:v>U02700</x:v>
      </x:c>
      <x:c r="B2706" s="18" t="n">
        <x:v>46267</x:v>
      </x:c>
      <x:c r="C2706" s="17" t="str">
        <x:v>W0205</x:v>
      </x:c>
      <x:c r="D2706" s="17" t="str">
        <x:v>C004</x:v>
      </x:c>
      <x:c r="E2706" s="17" t="str">
        <x:v>CampaignChat</x:v>
      </x:c>
      <x:c r="F2706" s="17" t="str">
        <x:v>Lite</x:v>
      </x:c>
      <x:c r="G2706" s="17" t="n">
        <x:v>25596</x:v>
      </x:c>
      <x:c r="H2706" s="17" t="n">
        <x:v>3532</x:v>
      </x:c>
      <x:c r="I2706" s="17" t="str">
        <x:v>Correction</x:v>
      </x:c>
      <x:c r="J2706" s="27" t="n">
        <x:f>INDEX('Model Pricing'!$B$7:$B$8,MATCH(F2706,'Model Pricing'!$A$7:$A$8,0))</x:f>
        <x:v>10</x:v>
      </x:c>
      <x:c r="K2706" s="27" t="n">
        <x:f>INDEX('Model Pricing'!$C$7:$C$8,MATCH(F2706,'Model Pricing'!$A$7:$A$8,0))</x:f>
        <x:v>30</x:v>
      </x:c>
      <x:c r="L2706" s="17" t="n">
        <x:f>G2706+H2706</x:f>
        <x:v>29128</x:v>
      </x:c>
      <x:c r="M2706" s="28" t="n">
        <x:f>G2706*J2706/1000000</x:f>
        <x:v>0.25596</x:v>
      </x:c>
      <x:c r="N2706" s="28" t="n">
        <x:f>H2706*K2706/1000000</x:f>
        <x:v>0.10596</x:v>
      </x:c>
      <x:c r="O2706" s="28" t="n">
        <x:f>SUM(M2706:N2706)</x:f>
        <x:v>0.36192</x:v>
      </x:c>
    </x:row>
    <x:row r="2707" ht="23" customHeight="1">
      <x:c r="A2707" s="17" t="str">
        <x:v>U02701</x:v>
      </x:c>
      <x:c r="B2707" s="18" t="n">
        <x:v>46267</x:v>
      </x:c>
      <x:c r="C2707" s="17" t="str">
        <x:v>W0205</x:v>
      </x:c>
      <x:c r="D2707" s="17" t="str">
        <x:v>C004</x:v>
      </x:c>
      <x:c r="E2707" s="17" t="str">
        <x:v>CampaignChat</x:v>
      </x:c>
      <x:c r="F2707" s="17" t="str">
        <x:v>Lite</x:v>
      </x:c>
      <x:c r="G2707" s="17" t="n">
        <x:v>37431</x:v>
      </x:c>
      <x:c r="H2707" s="17" t="n">
        <x:v>4849</x:v>
      </x:c>
      <x:c r="I2707" s="17" t="str">
        <x:v>Followup</x:v>
      </x:c>
      <x:c r="J2707" s="27" t="n">
        <x:f>INDEX('Model Pricing'!$B$7:$B$8,MATCH(F2707,'Model Pricing'!$A$7:$A$8,0))</x:f>
        <x:v>10</x:v>
      </x:c>
      <x:c r="K2707" s="27" t="n">
        <x:f>INDEX('Model Pricing'!$C$7:$C$8,MATCH(F2707,'Model Pricing'!$A$7:$A$8,0))</x:f>
        <x:v>30</x:v>
      </x:c>
      <x:c r="L2707" s="17" t="n">
        <x:f>G2707+H2707</x:f>
        <x:v>42280</x:v>
      </x:c>
      <x:c r="M2707" s="28" t="n">
        <x:f>G2707*J2707/1000000</x:f>
        <x:v>0.37431</x:v>
      </x:c>
      <x:c r="N2707" s="28" t="n">
        <x:f>H2707*K2707/1000000</x:f>
        <x:v>0.14547</x:v>
      </x:c>
      <x:c r="O2707" s="28" t="n">
        <x:f>SUM(M2707:N2707)</x:f>
        <x:v>0.5197799999999999</x:v>
      </x:c>
    </x:row>
    <x:row r="2708" ht="23" customHeight="1">
      <x:c r="A2708" s="17" t="str">
        <x:v>U02702</x:v>
      </x:c>
      <x:c r="B2708" s="18" t="n">
        <x:v>46267</x:v>
      </x:c>
      <x:c r="C2708" s="17" t="str">
        <x:v>W0205</x:v>
      </x:c>
      <x:c r="D2708" s="17" t="str">
        <x:v>C004</x:v>
      </x:c>
      <x:c r="E2708" s="17" t="str">
        <x:v>CampaignChat</x:v>
      </x:c>
      <x:c r="F2708" s="17" t="str">
        <x:v>Lite</x:v>
      </x:c>
      <x:c r="G2708" s="17" t="n">
        <x:v>28387</x:v>
      </x:c>
      <x:c r="H2708" s="17" t="n">
        <x:v>7621</x:v>
      </x:c>
      <x:c r="I2708" s="17" t="str">
        <x:v>Followup</x:v>
      </x:c>
      <x:c r="J2708" s="27" t="n">
        <x:f>INDEX('Model Pricing'!$B$7:$B$8,MATCH(F2708,'Model Pricing'!$A$7:$A$8,0))</x:f>
        <x:v>10</x:v>
      </x:c>
      <x:c r="K2708" s="27" t="n">
        <x:f>INDEX('Model Pricing'!$C$7:$C$8,MATCH(F2708,'Model Pricing'!$A$7:$A$8,0))</x:f>
        <x:v>30</x:v>
      </x:c>
      <x:c r="L2708" s="17" t="n">
        <x:f>G2708+H2708</x:f>
        <x:v>36008</x:v>
      </x:c>
      <x:c r="M2708" s="28" t="n">
        <x:f>G2708*J2708/1000000</x:f>
        <x:v>0.28387</x:v>
      </x:c>
      <x:c r="N2708" s="28" t="n">
        <x:f>H2708*K2708/1000000</x:f>
        <x:v>0.22863</x:v>
      </x:c>
      <x:c r="O2708" s="28" t="n">
        <x:f>SUM(M2708:N2708)</x:f>
        <x:v>0.5125</x:v>
      </x:c>
    </x:row>
    <x:row r="2709" ht="23" customHeight="1">
      <x:c r="A2709" s="17" t="str">
        <x:v>U02703</x:v>
      </x:c>
      <x:c r="B2709" s="18" t="n">
        <x:v>46267</x:v>
      </x:c>
      <x:c r="C2709" s="17" t="str">
        <x:v>W0205</x:v>
      </x:c>
      <x:c r="D2709" s="17" t="str">
        <x:v>C004</x:v>
      </x:c>
      <x:c r="E2709" s="17" t="str">
        <x:v>CampaignChat</x:v>
      </x:c>
      <x:c r="F2709" s="17" t="str">
        <x:v>Lite</x:v>
      </x:c>
      <x:c r="G2709" s="17" t="n">
        <x:v>15840</x:v>
      </x:c>
      <x:c r="H2709" s="17" t="n">
        <x:v>3689</x:v>
      </x:c>
      <x:c r="I2709" s="17" t="str">
        <x:v>Followup</x:v>
      </x:c>
      <x:c r="J2709" s="27" t="n">
        <x:f>INDEX('Model Pricing'!$B$7:$B$8,MATCH(F2709,'Model Pricing'!$A$7:$A$8,0))</x:f>
        <x:v>10</x:v>
      </x:c>
      <x:c r="K2709" s="27" t="n">
        <x:f>INDEX('Model Pricing'!$C$7:$C$8,MATCH(F2709,'Model Pricing'!$A$7:$A$8,0))</x:f>
        <x:v>30</x:v>
      </x:c>
      <x:c r="L2709" s="17" t="n">
        <x:f>G2709+H2709</x:f>
        <x:v>19529</x:v>
      </x:c>
      <x:c r="M2709" s="28" t="n">
        <x:f>G2709*J2709/1000000</x:f>
        <x:v>0.1584</x:v>
      </x:c>
      <x:c r="N2709" s="28" t="n">
        <x:f>H2709*K2709/1000000</x:f>
        <x:v>0.11067</x:v>
      </x:c>
      <x:c r="O2709" s="28" t="n">
        <x:f>SUM(M2709:N2709)</x:f>
        <x:v>0.26907000000000003</x:v>
      </x:c>
    </x:row>
    <x:row r="2710" ht="23" customHeight="1">
      <x:c r="A2710" s="17" t="str">
        <x:v>U02704</x:v>
      </x:c>
      <x:c r="B2710" s="18" t="n">
        <x:v>46268</x:v>
      </x:c>
      <x:c r="C2710" s="17" t="str">
        <x:v>W0205</x:v>
      </x:c>
      <x:c r="D2710" s="17" t="str">
        <x:v>C004</x:v>
      </x:c>
      <x:c r="E2710" s="17" t="str">
        <x:v>CampaignChat</x:v>
      </x:c>
      <x:c r="F2710" s="17" t="str">
        <x:v>Lite</x:v>
      </x:c>
      <x:c r="G2710" s="17" t="n">
        <x:v>26632</x:v>
      </x:c>
      <x:c r="H2710" s="17" t="n">
        <x:v>4852</x:v>
      </x:c>
      <x:c r="I2710" s="17" t="str">
        <x:v>Followup</x:v>
      </x:c>
      <x:c r="J2710" s="27" t="n">
        <x:f>INDEX('Model Pricing'!$B$7:$B$8,MATCH(F2710,'Model Pricing'!$A$7:$A$8,0))</x:f>
        <x:v>10</x:v>
      </x:c>
      <x:c r="K2710" s="27" t="n">
        <x:f>INDEX('Model Pricing'!$C$7:$C$8,MATCH(F2710,'Model Pricing'!$A$7:$A$8,0))</x:f>
        <x:v>30</x:v>
      </x:c>
      <x:c r="L2710" s="17" t="n">
        <x:f>G2710+H2710</x:f>
        <x:v>31484</x:v>
      </x:c>
      <x:c r="M2710" s="28" t="n">
        <x:f>G2710*J2710/1000000</x:f>
        <x:v>0.26632</x:v>
      </x:c>
      <x:c r="N2710" s="28" t="n">
        <x:f>H2710*K2710/1000000</x:f>
        <x:v>0.14556</x:v>
      </x:c>
      <x:c r="O2710" s="28" t="n">
        <x:f>SUM(M2710:N2710)</x:f>
        <x:v>0.41188</x:v>
      </x:c>
    </x:row>
    <x:row r="2711" ht="23" customHeight="1">
      <x:c r="A2711" s="17" t="str">
        <x:v>U02705</x:v>
      </x:c>
      <x:c r="B2711" s="18" t="n">
        <x:v>46268</x:v>
      </x:c>
      <x:c r="C2711" s="17" t="str">
        <x:v>W0205</x:v>
      </x:c>
      <x:c r="D2711" s="17" t="str">
        <x:v>C004</x:v>
      </x:c>
      <x:c r="E2711" s="17" t="str">
        <x:v>CampaignChat</x:v>
      </x:c>
      <x:c r="F2711" s="17" t="str">
        <x:v>Lite</x:v>
      </x:c>
      <x:c r="G2711" s="17" t="n">
        <x:v>40086</x:v>
      </x:c>
      <x:c r="H2711" s="17" t="n">
        <x:v>7581</x:v>
      </x:c>
      <x:c r="I2711" s="17" t="str">
        <x:v>Followup</x:v>
      </x:c>
      <x:c r="J2711" s="27" t="n">
        <x:f>INDEX('Model Pricing'!$B$7:$B$8,MATCH(F2711,'Model Pricing'!$A$7:$A$8,0))</x:f>
        <x:v>10</x:v>
      </x:c>
      <x:c r="K2711" s="27" t="n">
        <x:f>INDEX('Model Pricing'!$C$7:$C$8,MATCH(F2711,'Model Pricing'!$A$7:$A$8,0))</x:f>
        <x:v>30</x:v>
      </x:c>
      <x:c r="L2711" s="17" t="n">
        <x:f>G2711+H2711</x:f>
        <x:v>47667</x:v>
      </x:c>
      <x:c r="M2711" s="28" t="n">
        <x:f>G2711*J2711/1000000</x:f>
        <x:v>0.40086</x:v>
      </x:c>
      <x:c r="N2711" s="28" t="n">
        <x:f>H2711*K2711/1000000</x:f>
        <x:v>0.22743</x:v>
      </x:c>
      <x:c r="O2711" s="28" t="n">
        <x:f>SUM(M2711:N2711)</x:f>
        <x:v>0.62829</x:v>
      </x:c>
    </x:row>
    <x:row r="2712" ht="23" customHeight="1">
      <x:c r="A2712" s="17" t="str">
        <x:v>U02706</x:v>
      </x:c>
      <x:c r="B2712" s="18" t="n">
        <x:v>46268</x:v>
      </x:c>
      <x:c r="C2712" s="17" t="str">
        <x:v>W0205</x:v>
      </x:c>
      <x:c r="D2712" s="17" t="str">
        <x:v>C004</x:v>
      </x:c>
      <x:c r="E2712" s="17" t="str">
        <x:v>CampaignChat</x:v>
      </x:c>
      <x:c r="F2712" s="17" t="str">
        <x:v>Lite</x:v>
      </x:c>
      <x:c r="G2712" s="17" t="n">
        <x:v>21209</x:v>
      </x:c>
      <x:c r="H2712" s="17" t="n">
        <x:v>4017</x:v>
      </x:c>
      <x:c r="I2712" s="17" t="str">
        <x:v>Correction</x:v>
      </x:c>
      <x:c r="J2712" s="27" t="n">
        <x:f>INDEX('Model Pricing'!$B$7:$B$8,MATCH(F2712,'Model Pricing'!$A$7:$A$8,0))</x:f>
        <x:v>10</x:v>
      </x:c>
      <x:c r="K2712" s="27" t="n">
        <x:f>INDEX('Model Pricing'!$C$7:$C$8,MATCH(F2712,'Model Pricing'!$A$7:$A$8,0))</x:f>
        <x:v>30</x:v>
      </x:c>
      <x:c r="L2712" s="17" t="n">
        <x:f>G2712+H2712</x:f>
        <x:v>25226</x:v>
      </x:c>
      <x:c r="M2712" s="28" t="n">
        <x:f>G2712*J2712/1000000</x:f>
        <x:v>0.21209</x:v>
      </x:c>
      <x:c r="N2712" s="28" t="n">
        <x:f>H2712*K2712/1000000</x:f>
        <x:v>0.12051</x:v>
      </x:c>
      <x:c r="O2712" s="28" t="n">
        <x:f>SUM(M2712:N2712)</x:f>
        <x:v>0.3326</x:v>
      </x:c>
    </x:row>
    <x:row r="2713" ht="23" customHeight="1">
      <x:c r="A2713" s="17" t="str">
        <x:v>U02707</x:v>
      </x:c>
      <x:c r="B2713" s="18" t="n">
        <x:v>46268</x:v>
      </x:c>
      <x:c r="C2713" s="17" t="str">
        <x:v>W0205</x:v>
      </x:c>
      <x:c r="D2713" s="17" t="str">
        <x:v>C004</x:v>
      </x:c>
      <x:c r="E2713" s="17" t="str">
        <x:v>CampaignChat</x:v>
      </x:c>
      <x:c r="F2713" s="17" t="str">
        <x:v>Lite</x:v>
      </x:c>
      <x:c r="G2713" s="17" t="n">
        <x:v>24205</x:v>
      </x:c>
      <x:c r="H2713" s="17" t="n">
        <x:v>7145</x:v>
      </x:c>
      <x:c r="I2713" s="17" t="str">
        <x:v>Followup</x:v>
      </x:c>
      <x:c r="J2713" s="27" t="n">
        <x:f>INDEX('Model Pricing'!$B$7:$B$8,MATCH(F2713,'Model Pricing'!$A$7:$A$8,0))</x:f>
        <x:v>10</x:v>
      </x:c>
      <x:c r="K2713" s="27" t="n">
        <x:f>INDEX('Model Pricing'!$C$7:$C$8,MATCH(F2713,'Model Pricing'!$A$7:$A$8,0))</x:f>
        <x:v>30</x:v>
      </x:c>
      <x:c r="L2713" s="17" t="n">
        <x:f>G2713+H2713</x:f>
        <x:v>31350</x:v>
      </x:c>
      <x:c r="M2713" s="28" t="n">
        <x:f>G2713*J2713/1000000</x:f>
        <x:v>0.24205</x:v>
      </x:c>
      <x:c r="N2713" s="28" t="n">
        <x:f>H2713*K2713/1000000</x:f>
        <x:v>0.21435</x:v>
      </x:c>
      <x:c r="O2713" s="28" t="n">
        <x:f>SUM(M2713:N2713)</x:f>
        <x:v>0.45640000000000003</x:v>
      </x:c>
    </x:row>
    <x:row r="2714" ht="23" customHeight="1">
      <x:c r="A2714" s="17" t="str">
        <x:v>U02708</x:v>
      </x:c>
      <x:c r="B2714" s="18" t="n">
        <x:v>46268</x:v>
      </x:c>
      <x:c r="C2714" s="17" t="str">
        <x:v>W0205</x:v>
      </x:c>
      <x:c r="D2714" s="17" t="str">
        <x:v>C004</x:v>
      </x:c>
      <x:c r="E2714" s="17" t="str">
        <x:v>CampaignChat</x:v>
      </x:c>
      <x:c r="F2714" s="17" t="str">
        <x:v>Lite</x:v>
      </x:c>
      <x:c r="G2714" s="17" t="n">
        <x:v>24505</x:v>
      </x:c>
      <x:c r="H2714" s="17" t="n">
        <x:v>5679</x:v>
      </x:c>
      <x:c r="I2714" s="17" t="str">
        <x:v>Followup</x:v>
      </x:c>
      <x:c r="J2714" s="27" t="n">
        <x:f>INDEX('Model Pricing'!$B$7:$B$8,MATCH(F2714,'Model Pricing'!$A$7:$A$8,0))</x:f>
        <x:v>10</x:v>
      </x:c>
      <x:c r="K2714" s="27" t="n">
        <x:f>INDEX('Model Pricing'!$C$7:$C$8,MATCH(F2714,'Model Pricing'!$A$7:$A$8,0))</x:f>
        <x:v>30</x:v>
      </x:c>
      <x:c r="L2714" s="17" t="n">
        <x:f>G2714+H2714</x:f>
        <x:v>30184</x:v>
      </x:c>
      <x:c r="M2714" s="28" t="n">
        <x:f>G2714*J2714/1000000</x:f>
        <x:v>0.24505</x:v>
      </x:c>
      <x:c r="N2714" s="28" t="n">
        <x:f>H2714*K2714/1000000</x:f>
        <x:v>0.17037</x:v>
      </x:c>
      <x:c r="O2714" s="28" t="n">
        <x:f>SUM(M2714:N2714)</x:f>
        <x:v>0.41542</x:v>
      </x:c>
    </x:row>
    <x:row r="2715" ht="23" customHeight="1">
      <x:c r="A2715" s="17" t="str">
        <x:v>U02709</x:v>
      </x:c>
      <x:c r="B2715" s="18" t="n">
        <x:v>46269</x:v>
      </x:c>
      <x:c r="C2715" s="17" t="str">
        <x:v>W0205</x:v>
      </x:c>
      <x:c r="D2715" s="17" t="str">
        <x:v>C004</x:v>
      </x:c>
      <x:c r="E2715" s="17" t="str">
        <x:v>CampaignChat</x:v>
      </x:c>
      <x:c r="F2715" s="17" t="str">
        <x:v>Lite</x:v>
      </x:c>
      <x:c r="G2715" s="17" t="n">
        <x:v>18870</x:v>
      </x:c>
      <x:c r="H2715" s="17" t="n">
        <x:v>5372</x:v>
      </x:c>
      <x:c r="I2715" s="17" t="str">
        <x:v>Followup</x:v>
      </x:c>
      <x:c r="J2715" s="27" t="n">
        <x:f>INDEX('Model Pricing'!$B$7:$B$8,MATCH(F2715,'Model Pricing'!$A$7:$A$8,0))</x:f>
        <x:v>10</x:v>
      </x:c>
      <x:c r="K2715" s="27" t="n">
        <x:f>INDEX('Model Pricing'!$C$7:$C$8,MATCH(F2715,'Model Pricing'!$A$7:$A$8,0))</x:f>
        <x:v>30</x:v>
      </x:c>
      <x:c r="L2715" s="17" t="n">
        <x:f>G2715+H2715</x:f>
        <x:v>24242</x:v>
      </x:c>
      <x:c r="M2715" s="28" t="n">
        <x:f>G2715*J2715/1000000</x:f>
        <x:v>0.1887</x:v>
      </x:c>
      <x:c r="N2715" s="28" t="n">
        <x:f>H2715*K2715/1000000</x:f>
        <x:v>0.16116</x:v>
      </x:c>
      <x:c r="O2715" s="28" t="n">
        <x:f>SUM(M2715:N2715)</x:f>
        <x:v>0.34986</x:v>
      </x:c>
    </x:row>
    <x:row r="2716" ht="23" customHeight="1">
      <x:c r="A2716" s="17" t="str">
        <x:v>U02710</x:v>
      </x:c>
      <x:c r="B2716" s="18" t="n">
        <x:v>46269</x:v>
      </x:c>
      <x:c r="C2716" s="17" t="str">
        <x:v>W0205</x:v>
      </x:c>
      <x:c r="D2716" s="17" t="str">
        <x:v>C004</x:v>
      </x:c>
      <x:c r="E2716" s="17" t="str">
        <x:v>CampaignChat</x:v>
      </x:c>
      <x:c r="F2716" s="17" t="str">
        <x:v>Lite</x:v>
      </x:c>
      <x:c r="G2716" s="17" t="n">
        <x:v>21800</x:v>
      </x:c>
      <x:c r="H2716" s="17" t="n">
        <x:v>8198</x:v>
      </x:c>
      <x:c r="I2716" s="17" t="str">
        <x:v>Followup</x:v>
      </x:c>
      <x:c r="J2716" s="27" t="n">
        <x:f>INDEX('Model Pricing'!$B$7:$B$8,MATCH(F2716,'Model Pricing'!$A$7:$A$8,0))</x:f>
        <x:v>10</x:v>
      </x:c>
      <x:c r="K2716" s="27" t="n">
        <x:f>INDEX('Model Pricing'!$C$7:$C$8,MATCH(F2716,'Model Pricing'!$A$7:$A$8,0))</x:f>
        <x:v>30</x:v>
      </x:c>
      <x:c r="L2716" s="17" t="n">
        <x:f>G2716+H2716</x:f>
        <x:v>29998</x:v>
      </x:c>
      <x:c r="M2716" s="28" t="n">
        <x:f>G2716*J2716/1000000</x:f>
        <x:v>0.218</x:v>
      </x:c>
      <x:c r="N2716" s="28" t="n">
        <x:f>H2716*K2716/1000000</x:f>
        <x:v>0.24594</x:v>
      </x:c>
      <x:c r="O2716" s="28" t="n">
        <x:f>SUM(M2716:N2716)</x:f>
        <x:v>0.46394</x:v>
      </x:c>
    </x:row>
    <x:row r="2717" ht="23" customHeight="1">
      <x:c r="A2717" s="17" t="str">
        <x:v>U02711</x:v>
      </x:c>
      <x:c r="B2717" s="18" t="n">
        <x:v>46269</x:v>
      </x:c>
      <x:c r="C2717" s="17" t="str">
        <x:v>W0205</x:v>
      </x:c>
      <x:c r="D2717" s="17" t="str">
        <x:v>C004</x:v>
      </x:c>
      <x:c r="E2717" s="17" t="str">
        <x:v>CampaignChat</x:v>
      </x:c>
      <x:c r="F2717" s="17" t="str">
        <x:v>Lite</x:v>
      </x:c>
      <x:c r="G2717" s="17" t="n">
        <x:v>19680</x:v>
      </x:c>
      <x:c r="H2717" s="17" t="n">
        <x:v>4773</x:v>
      </x:c>
      <x:c r="I2717" s="17" t="str">
        <x:v>Followup</x:v>
      </x:c>
      <x:c r="J2717" s="27" t="n">
        <x:f>INDEX('Model Pricing'!$B$7:$B$8,MATCH(F2717,'Model Pricing'!$A$7:$A$8,0))</x:f>
        <x:v>10</x:v>
      </x:c>
      <x:c r="K2717" s="27" t="n">
        <x:f>INDEX('Model Pricing'!$C$7:$C$8,MATCH(F2717,'Model Pricing'!$A$7:$A$8,0))</x:f>
        <x:v>30</x:v>
      </x:c>
      <x:c r="L2717" s="17" t="n">
        <x:f>G2717+H2717</x:f>
        <x:v>24453</x:v>
      </x:c>
      <x:c r="M2717" s="28" t="n">
        <x:f>G2717*J2717/1000000</x:f>
        <x:v>0.1968</x:v>
      </x:c>
      <x:c r="N2717" s="28" t="n">
        <x:f>H2717*K2717/1000000</x:f>
        <x:v>0.14319</x:v>
      </x:c>
      <x:c r="O2717" s="28" t="n">
        <x:f>SUM(M2717:N2717)</x:f>
        <x:v>0.33999</x:v>
      </x:c>
    </x:row>
    <x:row r="2718" ht="23" customHeight="1">
      <x:c r="A2718" s="17" t="str">
        <x:v>U02712</x:v>
      </x:c>
      <x:c r="B2718" s="18" t="n">
        <x:v>46269</x:v>
      </x:c>
      <x:c r="C2718" s="17" t="str">
        <x:v>W0205</x:v>
      </x:c>
      <x:c r="D2718" s="17" t="str">
        <x:v>C004</x:v>
      </x:c>
      <x:c r="E2718" s="17" t="str">
        <x:v>CampaignChat</x:v>
      </x:c>
      <x:c r="F2718" s="17" t="str">
        <x:v>Lite</x:v>
      </x:c>
      <x:c r="G2718" s="17" t="n">
        <x:v>25878</x:v>
      </x:c>
      <x:c r="H2718" s="17" t="n">
        <x:v>3805</x:v>
      </x:c>
      <x:c r="I2718" s="17" t="str">
        <x:v>Followup</x:v>
      </x:c>
      <x:c r="J2718" s="27" t="n">
        <x:f>INDEX('Model Pricing'!$B$7:$B$8,MATCH(F2718,'Model Pricing'!$A$7:$A$8,0))</x:f>
        <x:v>10</x:v>
      </x:c>
      <x:c r="K2718" s="27" t="n">
        <x:f>INDEX('Model Pricing'!$C$7:$C$8,MATCH(F2718,'Model Pricing'!$A$7:$A$8,0))</x:f>
        <x:v>30</x:v>
      </x:c>
      <x:c r="L2718" s="17" t="n">
        <x:f>G2718+H2718</x:f>
        <x:v>29683</x:v>
      </x:c>
      <x:c r="M2718" s="28" t="n">
        <x:f>G2718*J2718/1000000</x:f>
        <x:v>0.25878</x:v>
      </x:c>
      <x:c r="N2718" s="28" t="n">
        <x:f>H2718*K2718/1000000</x:f>
        <x:v>0.11415</x:v>
      </x:c>
      <x:c r="O2718" s="28" t="n">
        <x:f>SUM(M2718:N2718)</x:f>
        <x:v>0.37293</x:v>
      </x:c>
    </x:row>
    <x:row r="2719" ht="23" customHeight="1">
      <x:c r="A2719" s="17" t="str">
        <x:v>U02713</x:v>
      </x:c>
      <x:c r="B2719" s="18" t="n">
        <x:v>46281</x:v>
      </x:c>
      <x:c r="C2719" s="17" t="str">
        <x:v>W0209</x:v>
      </x:c>
      <x:c r="D2719" s="17" t="str">
        <x:v>C004</x:v>
      </x:c>
      <x:c r="E2719" s="17" t="str">
        <x:v>DataFlow</x:v>
      </x:c>
      <x:c r="F2719" s="17" t="str">
        <x:v>Lite</x:v>
      </x:c>
      <x:c r="G2719" s="17" t="n">
        <x:v>31854</x:v>
      </x:c>
      <x:c r="H2719" s="17" t="n">
        <x:v>3548</x:v>
      </x:c>
      <x:c r="I2719" s="17" t="str">
        <x:v>First attempt</x:v>
      </x:c>
      <x:c r="J2719" s="27" t="n">
        <x:f>INDEX('Model Pricing'!$B$7:$B$8,MATCH(F2719,'Model Pricing'!$A$7:$A$8,0))</x:f>
        <x:v>10</x:v>
      </x:c>
      <x:c r="K2719" s="27" t="n">
        <x:f>INDEX('Model Pricing'!$C$7:$C$8,MATCH(F2719,'Model Pricing'!$A$7:$A$8,0))</x:f>
        <x:v>30</x:v>
      </x:c>
      <x:c r="L2719" s="17" t="n">
        <x:f>G2719+H2719</x:f>
        <x:v>35402</x:v>
      </x:c>
      <x:c r="M2719" s="28" t="n">
        <x:f>G2719*J2719/1000000</x:f>
        <x:v>0.31854</x:v>
      </x:c>
      <x:c r="N2719" s="28" t="n">
        <x:f>H2719*K2719/1000000</x:f>
        <x:v>0.10644</x:v>
      </x:c>
      <x:c r="O2719" s="28" t="n">
        <x:f>SUM(M2719:N2719)</x:f>
        <x:v>0.42498</x:v>
      </x:c>
    </x:row>
    <x:row r="2720" ht="23" customHeight="1">
      <x:c r="A2720" s="17" t="str">
        <x:v>U02714</x:v>
      </x:c>
      <x:c r="B2720" s="18" t="n">
        <x:v>46281</x:v>
      </x:c>
      <x:c r="C2720" s="17" t="str">
        <x:v>W0209</x:v>
      </x:c>
      <x:c r="D2720" s="17" t="str">
        <x:v>C004</x:v>
      </x:c>
      <x:c r="E2720" s="17" t="str">
        <x:v>DataFlow</x:v>
      </x:c>
      <x:c r="F2720" s="17" t="str">
        <x:v>Lite</x:v>
      </x:c>
      <x:c r="G2720" s="17" t="n">
        <x:v>14909</x:v>
      </x:c>
      <x:c r="H2720" s="17" t="n">
        <x:v>2595</x:v>
      </x:c>
      <x:c r="I2720" s="17" t="str">
        <x:v>Followup</x:v>
      </x:c>
      <x:c r="J2720" s="27" t="n">
        <x:f>INDEX('Model Pricing'!$B$7:$B$8,MATCH(F2720,'Model Pricing'!$A$7:$A$8,0))</x:f>
        <x:v>10</x:v>
      </x:c>
      <x:c r="K2720" s="27" t="n">
        <x:f>INDEX('Model Pricing'!$C$7:$C$8,MATCH(F2720,'Model Pricing'!$A$7:$A$8,0))</x:f>
        <x:v>30</x:v>
      </x:c>
      <x:c r="L2720" s="17" t="n">
        <x:f>G2720+H2720</x:f>
        <x:v>17504</x:v>
      </x:c>
      <x:c r="M2720" s="28" t="n">
        <x:f>G2720*J2720/1000000</x:f>
        <x:v>0.14909</x:v>
      </x:c>
      <x:c r="N2720" s="28" t="n">
        <x:f>H2720*K2720/1000000</x:f>
        <x:v>0.07785</x:v>
      </x:c>
      <x:c r="O2720" s="28" t="n">
        <x:f>SUM(M2720:N2720)</x:f>
        <x:v>0.22694</x:v>
      </x:c>
    </x:row>
    <x:row r="2721" ht="23" customHeight="1">
      <x:c r="A2721" s="17" t="str">
        <x:v>U02715</x:v>
      </x:c>
      <x:c r="B2721" s="18" t="n">
        <x:v>46281</x:v>
      </x:c>
      <x:c r="C2721" s="17" t="str">
        <x:v>W0209</x:v>
      </x:c>
      <x:c r="D2721" s="17" t="str">
        <x:v>C004</x:v>
      </x:c>
      <x:c r="E2721" s="17" t="str">
        <x:v>DataFlow</x:v>
      </x:c>
      <x:c r="F2721" s="17" t="str">
        <x:v>Lite</x:v>
      </x:c>
      <x:c r="G2721" s="17" t="n">
        <x:v>30011</x:v>
      </x:c>
      <x:c r="H2721" s="17" t="n">
        <x:v>4522</x:v>
      </x:c>
      <x:c r="I2721" s="17" t="str">
        <x:v>Correction</x:v>
      </x:c>
      <x:c r="J2721" s="27" t="n">
        <x:f>INDEX('Model Pricing'!$B$7:$B$8,MATCH(F2721,'Model Pricing'!$A$7:$A$8,0))</x:f>
        <x:v>10</x:v>
      </x:c>
      <x:c r="K2721" s="27" t="n">
        <x:f>INDEX('Model Pricing'!$C$7:$C$8,MATCH(F2721,'Model Pricing'!$A$7:$A$8,0))</x:f>
        <x:v>30</x:v>
      </x:c>
      <x:c r="L2721" s="17" t="n">
        <x:f>G2721+H2721</x:f>
        <x:v>34533</x:v>
      </x:c>
      <x:c r="M2721" s="28" t="n">
        <x:f>G2721*J2721/1000000</x:f>
        <x:v>0.30011</x:v>
      </x:c>
      <x:c r="N2721" s="28" t="n">
        <x:f>H2721*K2721/1000000</x:f>
        <x:v>0.13566</x:v>
      </x:c>
      <x:c r="O2721" s="28" t="n">
        <x:f>SUM(M2721:N2721)</x:f>
        <x:v>0.43577</x:v>
      </x:c>
    </x:row>
    <x:row r="2722" ht="23" customHeight="1">
      <x:c r="A2722" s="17" t="str">
        <x:v>U02716</x:v>
      </x:c>
      <x:c r="B2722" s="18" t="n">
        <x:v>46281</x:v>
      </x:c>
      <x:c r="C2722" s="17" t="str">
        <x:v>W0209</x:v>
      </x:c>
      <x:c r="D2722" s="17" t="str">
        <x:v>C004</x:v>
      </x:c>
      <x:c r="E2722" s="17" t="str">
        <x:v>DataFlow</x:v>
      </x:c>
      <x:c r="F2722" s="17" t="str">
        <x:v>Lite</x:v>
      </x:c>
      <x:c r="G2722" s="17" t="n">
        <x:v>14626</x:v>
      </x:c>
      <x:c r="H2722" s="17" t="n">
        <x:v>2781</x:v>
      </x:c>
      <x:c r="I2722" s="17" t="str">
        <x:v>Followup</x:v>
      </x:c>
      <x:c r="J2722" s="27" t="n">
        <x:f>INDEX('Model Pricing'!$B$7:$B$8,MATCH(F2722,'Model Pricing'!$A$7:$A$8,0))</x:f>
        <x:v>10</x:v>
      </x:c>
      <x:c r="K2722" s="27" t="n">
        <x:f>INDEX('Model Pricing'!$C$7:$C$8,MATCH(F2722,'Model Pricing'!$A$7:$A$8,0))</x:f>
        <x:v>30</x:v>
      </x:c>
      <x:c r="L2722" s="17" t="n">
        <x:f>G2722+H2722</x:f>
        <x:v>17407</x:v>
      </x:c>
      <x:c r="M2722" s="28" t="n">
        <x:f>G2722*J2722/1000000</x:f>
        <x:v>0.14626</x:v>
      </x:c>
      <x:c r="N2722" s="28" t="n">
        <x:f>H2722*K2722/1000000</x:f>
        <x:v>0.08343</x:v>
      </x:c>
      <x:c r="O2722" s="28" t="n">
        <x:f>SUM(M2722:N2722)</x:f>
        <x:v>0.22969</x:v>
      </x:c>
    </x:row>
    <x:row r="2723" ht="23" customHeight="1">
      <x:c r="A2723" s="17" t="str">
        <x:v>U02717</x:v>
      </x:c>
      <x:c r="B2723" s="18" t="n">
        <x:v>46282</x:v>
      </x:c>
      <x:c r="C2723" s="17" t="str">
        <x:v>W0209</x:v>
      </x:c>
      <x:c r="D2723" s="17" t="str">
        <x:v>C004</x:v>
      </x:c>
      <x:c r="E2723" s="17" t="str">
        <x:v>DataFlow</x:v>
      </x:c>
      <x:c r="F2723" s="17" t="str">
        <x:v>Lite</x:v>
      </x:c>
      <x:c r="G2723" s="17" t="n">
        <x:v>21987</x:v>
      </x:c>
      <x:c r="H2723" s="17" t="n">
        <x:v>2628</x:v>
      </x:c>
      <x:c r="I2723" s="17" t="str">
        <x:v>Followup</x:v>
      </x:c>
      <x:c r="J2723" s="27" t="n">
        <x:f>INDEX('Model Pricing'!$B$7:$B$8,MATCH(F2723,'Model Pricing'!$A$7:$A$8,0))</x:f>
        <x:v>10</x:v>
      </x:c>
      <x:c r="K2723" s="27" t="n">
        <x:f>INDEX('Model Pricing'!$C$7:$C$8,MATCH(F2723,'Model Pricing'!$A$7:$A$8,0))</x:f>
        <x:v>30</x:v>
      </x:c>
      <x:c r="L2723" s="17" t="n">
        <x:f>G2723+H2723</x:f>
        <x:v>24615</x:v>
      </x:c>
      <x:c r="M2723" s="28" t="n">
        <x:f>G2723*J2723/1000000</x:f>
        <x:v>0.21987</x:v>
      </x:c>
      <x:c r="N2723" s="28" t="n">
        <x:f>H2723*K2723/1000000</x:f>
        <x:v>0.07884</x:v>
      </x:c>
      <x:c r="O2723" s="28" t="n">
        <x:f>SUM(M2723:N2723)</x:f>
        <x:v>0.29871000000000003</x:v>
      </x:c>
    </x:row>
    <x:row r="2724" ht="23" customHeight="1">
      <x:c r="A2724" s="17" t="str">
        <x:v>U02718</x:v>
      </x:c>
      <x:c r="B2724" s="18" t="n">
        <x:v>46282</x:v>
      </x:c>
      <x:c r="C2724" s="17" t="str">
        <x:v>W0209</x:v>
      </x:c>
      <x:c r="D2724" s="17" t="str">
        <x:v>C004</x:v>
      </x:c>
      <x:c r="E2724" s="17" t="str">
        <x:v>DataFlow</x:v>
      </x:c>
      <x:c r="F2724" s="17" t="str">
        <x:v>Lite</x:v>
      </x:c>
      <x:c r="G2724" s="17" t="n">
        <x:v>20731</x:v>
      </x:c>
      <x:c r="H2724" s="17" t="n">
        <x:v>2644</x:v>
      </x:c>
      <x:c r="I2724" s="17" t="str">
        <x:v>Followup</x:v>
      </x:c>
      <x:c r="J2724" s="27" t="n">
        <x:f>INDEX('Model Pricing'!$B$7:$B$8,MATCH(F2724,'Model Pricing'!$A$7:$A$8,0))</x:f>
        <x:v>10</x:v>
      </x:c>
      <x:c r="K2724" s="27" t="n">
        <x:f>INDEX('Model Pricing'!$C$7:$C$8,MATCH(F2724,'Model Pricing'!$A$7:$A$8,0))</x:f>
        <x:v>30</x:v>
      </x:c>
      <x:c r="L2724" s="17" t="n">
        <x:f>G2724+H2724</x:f>
        <x:v>23375</x:v>
      </x:c>
      <x:c r="M2724" s="28" t="n">
        <x:f>G2724*J2724/1000000</x:f>
        <x:v>0.20731</x:v>
      </x:c>
      <x:c r="N2724" s="28" t="n">
        <x:f>H2724*K2724/1000000</x:f>
        <x:v>0.07932</x:v>
      </x:c>
      <x:c r="O2724" s="28" t="n">
        <x:f>SUM(M2724:N2724)</x:f>
        <x:v>0.28663</x:v>
      </x:c>
    </x:row>
    <x:row r="2725" ht="23" customHeight="1">
      <x:c r="A2725" s="17" t="str">
        <x:v>U02719</x:v>
      </x:c>
      <x:c r="B2725" s="18" t="n">
        <x:v>46282</x:v>
      </x:c>
      <x:c r="C2725" s="17" t="str">
        <x:v>W0209</x:v>
      </x:c>
      <x:c r="D2725" s="17" t="str">
        <x:v>C004</x:v>
      </x:c>
      <x:c r="E2725" s="17" t="str">
        <x:v>DataFlow</x:v>
      </x:c>
      <x:c r="F2725" s="17" t="str">
        <x:v>Lite</x:v>
      </x:c>
      <x:c r="G2725" s="17" t="n">
        <x:v>13834</x:v>
      </x:c>
      <x:c r="H2725" s="17" t="n">
        <x:v>2151</x:v>
      </x:c>
      <x:c r="I2725" s="17" t="str">
        <x:v>Followup</x:v>
      </x:c>
      <x:c r="J2725" s="27" t="n">
        <x:f>INDEX('Model Pricing'!$B$7:$B$8,MATCH(F2725,'Model Pricing'!$A$7:$A$8,0))</x:f>
        <x:v>10</x:v>
      </x:c>
      <x:c r="K2725" s="27" t="n">
        <x:f>INDEX('Model Pricing'!$C$7:$C$8,MATCH(F2725,'Model Pricing'!$A$7:$A$8,0))</x:f>
        <x:v>30</x:v>
      </x:c>
      <x:c r="L2725" s="17" t="n">
        <x:f>G2725+H2725</x:f>
        <x:v>15985</x:v>
      </x:c>
      <x:c r="M2725" s="28" t="n">
        <x:f>G2725*J2725/1000000</x:f>
        <x:v>0.13834</x:v>
      </x:c>
      <x:c r="N2725" s="28" t="n">
        <x:f>H2725*K2725/1000000</x:f>
        <x:v>0.06453</x:v>
      </x:c>
      <x:c r="O2725" s="28" t="n">
        <x:f>SUM(M2725:N2725)</x:f>
        <x:v>0.20287</x:v>
      </x:c>
    </x:row>
    <x:row r="2726" ht="23" customHeight="1">
      <x:c r="A2726" s="17" t="str">
        <x:v>U02720</x:v>
      </x:c>
      <x:c r="B2726" s="18" t="n">
        <x:v>46282</x:v>
      </x:c>
      <x:c r="C2726" s="17" t="str">
        <x:v>W0209</x:v>
      </x:c>
      <x:c r="D2726" s="17" t="str">
        <x:v>C004</x:v>
      </x:c>
      <x:c r="E2726" s="17" t="str">
        <x:v>DataFlow</x:v>
      </x:c>
      <x:c r="F2726" s="17" t="str">
        <x:v>Lite</x:v>
      </x:c>
      <x:c r="G2726" s="17" t="n">
        <x:v>21629</x:v>
      </x:c>
      <x:c r="H2726" s="17" t="n">
        <x:v>1387</x:v>
      </x:c>
      <x:c r="I2726" s="17" t="str">
        <x:v>Followup</x:v>
      </x:c>
      <x:c r="J2726" s="27" t="n">
        <x:f>INDEX('Model Pricing'!$B$7:$B$8,MATCH(F2726,'Model Pricing'!$A$7:$A$8,0))</x:f>
        <x:v>10</x:v>
      </x:c>
      <x:c r="K2726" s="27" t="n">
        <x:f>INDEX('Model Pricing'!$C$7:$C$8,MATCH(F2726,'Model Pricing'!$A$7:$A$8,0))</x:f>
        <x:v>30</x:v>
      </x:c>
      <x:c r="L2726" s="17" t="n">
        <x:f>G2726+H2726</x:f>
        <x:v>23016</x:v>
      </x:c>
      <x:c r="M2726" s="28" t="n">
        <x:f>G2726*J2726/1000000</x:f>
        <x:v>0.21629</x:v>
      </x:c>
      <x:c r="N2726" s="28" t="n">
        <x:f>H2726*K2726/1000000</x:f>
        <x:v>0.04161</x:v>
      </x:c>
      <x:c r="O2726" s="28" t="n">
        <x:f>SUM(M2726:N2726)</x:f>
        <x:v>0.2579</x:v>
      </x:c>
    </x:row>
    <x:row r="2727" ht="23" customHeight="1">
      <x:c r="A2727" s="17" t="str">
        <x:v>U02721</x:v>
      </x:c>
      <x:c r="B2727" s="18" t="n">
        <x:v>46283</x:v>
      </x:c>
      <x:c r="C2727" s="17" t="str">
        <x:v>W0209</x:v>
      </x:c>
      <x:c r="D2727" s="17" t="str">
        <x:v>C004</x:v>
      </x:c>
      <x:c r="E2727" s="17" t="str">
        <x:v>DataFlow</x:v>
      </x:c>
      <x:c r="F2727" s="17" t="str">
        <x:v>Lite</x:v>
      </x:c>
      <x:c r="G2727" s="17" t="n">
        <x:v>14056</x:v>
      </x:c>
      <x:c r="H2727" s="17" t="n">
        <x:v>3136</x:v>
      </x:c>
      <x:c r="I2727" s="17" t="str">
        <x:v>Followup</x:v>
      </x:c>
      <x:c r="J2727" s="27" t="n">
        <x:f>INDEX('Model Pricing'!$B$7:$B$8,MATCH(F2727,'Model Pricing'!$A$7:$A$8,0))</x:f>
        <x:v>10</x:v>
      </x:c>
      <x:c r="K2727" s="27" t="n">
        <x:f>INDEX('Model Pricing'!$C$7:$C$8,MATCH(F2727,'Model Pricing'!$A$7:$A$8,0))</x:f>
        <x:v>30</x:v>
      </x:c>
      <x:c r="L2727" s="17" t="n">
        <x:f>G2727+H2727</x:f>
        <x:v>17192</x:v>
      </x:c>
      <x:c r="M2727" s="28" t="n">
        <x:f>G2727*J2727/1000000</x:f>
        <x:v>0.14056</x:v>
      </x:c>
      <x:c r="N2727" s="28" t="n">
        <x:f>H2727*K2727/1000000</x:f>
        <x:v>0.09408</x:v>
      </x:c>
      <x:c r="O2727" s="28" t="n">
        <x:f>SUM(M2727:N2727)</x:f>
        <x:v>0.23464</x:v>
      </x:c>
    </x:row>
    <x:row r="2728" ht="23" customHeight="1">
      <x:c r="A2728" s="17" t="str">
        <x:v>U02722</x:v>
      </x:c>
      <x:c r="B2728" s="18" t="n">
        <x:v>46283</x:v>
      </x:c>
      <x:c r="C2728" s="17" t="str">
        <x:v>W0209</x:v>
      </x:c>
      <x:c r="D2728" s="17" t="str">
        <x:v>C004</x:v>
      </x:c>
      <x:c r="E2728" s="17" t="str">
        <x:v>DataFlow</x:v>
      </x:c>
      <x:c r="F2728" s="17" t="str">
        <x:v>Lite</x:v>
      </x:c>
      <x:c r="G2728" s="17" t="n">
        <x:v>24281</x:v>
      </x:c>
      <x:c r="H2728" s="17" t="n">
        <x:v>1868</x:v>
      </x:c>
      <x:c r="I2728" s="17" t="str">
        <x:v>Followup</x:v>
      </x:c>
      <x:c r="J2728" s="27" t="n">
        <x:f>INDEX('Model Pricing'!$B$7:$B$8,MATCH(F2728,'Model Pricing'!$A$7:$A$8,0))</x:f>
        <x:v>10</x:v>
      </x:c>
      <x:c r="K2728" s="27" t="n">
        <x:f>INDEX('Model Pricing'!$C$7:$C$8,MATCH(F2728,'Model Pricing'!$A$7:$A$8,0))</x:f>
        <x:v>30</x:v>
      </x:c>
      <x:c r="L2728" s="17" t="n">
        <x:f>G2728+H2728</x:f>
        <x:v>26149</x:v>
      </x:c>
      <x:c r="M2728" s="28" t="n">
        <x:f>G2728*J2728/1000000</x:f>
        <x:v>0.24281</x:v>
      </x:c>
      <x:c r="N2728" s="28" t="n">
        <x:f>H2728*K2728/1000000</x:f>
        <x:v>0.05604</x:v>
      </x:c>
      <x:c r="O2728" s="28" t="n">
        <x:f>SUM(M2728:N2728)</x:f>
        <x:v>0.29885</x:v>
      </x:c>
    </x:row>
    <x:row r="2729" ht="23" customHeight="1">
      <x:c r="A2729" s="17" t="str">
        <x:v>U02723</x:v>
      </x:c>
      <x:c r="B2729" s="18" t="n">
        <x:v>46283</x:v>
      </x:c>
      <x:c r="C2729" s="17" t="str">
        <x:v>W0209</x:v>
      </x:c>
      <x:c r="D2729" s="17" t="str">
        <x:v>C004</x:v>
      </x:c>
      <x:c r="E2729" s="17" t="str">
        <x:v>DataFlow</x:v>
      </x:c>
      <x:c r="F2729" s="17" t="str">
        <x:v>Lite</x:v>
      </x:c>
      <x:c r="G2729" s="17" t="n">
        <x:v>31842</x:v>
      </x:c>
      <x:c r="H2729" s="17" t="n">
        <x:v>2181</x:v>
      </x:c>
      <x:c r="I2729" s="17" t="str">
        <x:v>Correction</x:v>
      </x:c>
      <x:c r="J2729" s="27" t="n">
        <x:f>INDEX('Model Pricing'!$B$7:$B$8,MATCH(F2729,'Model Pricing'!$A$7:$A$8,0))</x:f>
        <x:v>10</x:v>
      </x:c>
      <x:c r="K2729" s="27" t="n">
        <x:f>INDEX('Model Pricing'!$C$7:$C$8,MATCH(F2729,'Model Pricing'!$A$7:$A$8,0))</x:f>
        <x:v>30</x:v>
      </x:c>
      <x:c r="L2729" s="17" t="n">
        <x:f>G2729+H2729</x:f>
        <x:v>34023</x:v>
      </x:c>
      <x:c r="M2729" s="28" t="n">
        <x:f>G2729*J2729/1000000</x:f>
        <x:v>0.31842</x:v>
      </x:c>
      <x:c r="N2729" s="28" t="n">
        <x:f>H2729*K2729/1000000</x:f>
        <x:v>0.06543</x:v>
      </x:c>
      <x:c r="O2729" s="28" t="n">
        <x:f>SUM(M2729:N2729)</x:f>
        <x:v>0.38384999999999997</x:v>
      </x:c>
    </x:row>
    <x:row r="2730" ht="23" customHeight="1">
      <x:c r="A2730" s="17" t="str">
        <x:v>U02724</x:v>
      </x:c>
      <x:c r="B2730" s="18" t="n">
        <x:v>46283</x:v>
      </x:c>
      <x:c r="C2730" s="17" t="str">
        <x:v>W0209</x:v>
      </x:c>
      <x:c r="D2730" s="17" t="str">
        <x:v>C004</x:v>
      </x:c>
      <x:c r="E2730" s="17" t="str">
        <x:v>DataFlow</x:v>
      </x:c>
      <x:c r="F2730" s="17" t="str">
        <x:v>Lite</x:v>
      </x:c>
      <x:c r="G2730" s="17" t="n">
        <x:v>12919</x:v>
      </x:c>
      <x:c r="H2730" s="17" t="n">
        <x:v>2910</x:v>
      </x:c>
      <x:c r="I2730" s="17" t="str">
        <x:v>Correction</x:v>
      </x:c>
      <x:c r="J2730" s="27" t="n">
        <x:f>INDEX('Model Pricing'!$B$7:$B$8,MATCH(F2730,'Model Pricing'!$A$7:$A$8,0))</x:f>
        <x:v>10</x:v>
      </x:c>
      <x:c r="K2730" s="27" t="n">
        <x:f>INDEX('Model Pricing'!$C$7:$C$8,MATCH(F2730,'Model Pricing'!$A$7:$A$8,0))</x:f>
        <x:v>30</x:v>
      </x:c>
      <x:c r="L2730" s="17" t="n">
        <x:f>G2730+H2730</x:f>
        <x:v>15829</x:v>
      </x:c>
      <x:c r="M2730" s="28" t="n">
        <x:f>G2730*J2730/1000000</x:f>
        <x:v>0.12919</x:v>
      </x:c>
      <x:c r="N2730" s="28" t="n">
        <x:f>H2730*K2730/1000000</x:f>
        <x:v>0.0873</x:v>
      </x:c>
      <x:c r="O2730" s="28" t="n">
        <x:f>SUM(M2730:N2730)</x:f>
        <x:v>0.21649000000000002</x:v>
      </x:c>
    </x:row>
    <x:row r="2731" ht="23" customHeight="1">
      <x:c r="A2731" s="17" t="str">
        <x:v>U02725</x:v>
      </x:c>
      <x:c r="B2731" s="18" t="n">
        <x:v>46286</x:v>
      </x:c>
      <x:c r="C2731" s="17" t="str">
        <x:v>W0209</x:v>
      </x:c>
      <x:c r="D2731" s="17" t="str">
        <x:v>C004</x:v>
      </x:c>
      <x:c r="E2731" s="17" t="str">
        <x:v>DataFlow</x:v>
      </x:c>
      <x:c r="F2731" s="17" t="str">
        <x:v>Lite</x:v>
      </x:c>
      <x:c r="G2731" s="17" t="n">
        <x:v>17018</x:v>
      </x:c>
      <x:c r="H2731" s="17" t="n">
        <x:v>2299</x:v>
      </x:c>
      <x:c r="I2731" s="17" t="str">
        <x:v>Correction</x:v>
      </x:c>
      <x:c r="J2731" s="27" t="n">
        <x:f>INDEX('Model Pricing'!$B$7:$B$8,MATCH(F2731,'Model Pricing'!$A$7:$A$8,0))</x:f>
        <x:v>10</x:v>
      </x:c>
      <x:c r="K2731" s="27" t="n">
        <x:f>INDEX('Model Pricing'!$C$7:$C$8,MATCH(F2731,'Model Pricing'!$A$7:$A$8,0))</x:f>
        <x:v>30</x:v>
      </x:c>
      <x:c r="L2731" s="17" t="n">
        <x:f>G2731+H2731</x:f>
        <x:v>19317</x:v>
      </x:c>
      <x:c r="M2731" s="28" t="n">
        <x:f>G2731*J2731/1000000</x:f>
        <x:v>0.17018</x:v>
      </x:c>
      <x:c r="N2731" s="28" t="n">
        <x:f>H2731*K2731/1000000</x:f>
        <x:v>0.06897</x:v>
      </x:c>
      <x:c r="O2731" s="28" t="n">
        <x:f>SUM(M2731:N2731)</x:f>
        <x:v>0.23915</x:v>
      </x:c>
    </x:row>
    <x:row r="2732" ht="23" customHeight="1">
      <x:c r="A2732" s="17" t="str">
        <x:v>U02726</x:v>
      </x:c>
      <x:c r="B2732" s="18" t="n">
        <x:v>46286</x:v>
      </x:c>
      <x:c r="C2732" s="17" t="str">
        <x:v>W0209</x:v>
      </x:c>
      <x:c r="D2732" s="17" t="str">
        <x:v>C004</x:v>
      </x:c>
      <x:c r="E2732" s="17" t="str">
        <x:v>DataFlow</x:v>
      </x:c>
      <x:c r="F2732" s="17" t="str">
        <x:v>Lite</x:v>
      </x:c>
      <x:c r="G2732" s="17" t="n">
        <x:v>29577</x:v>
      </x:c>
      <x:c r="H2732" s="17" t="n">
        <x:v>2790</x:v>
      </x:c>
      <x:c r="I2732" s="17" t="str">
        <x:v>Followup</x:v>
      </x:c>
      <x:c r="J2732" s="27" t="n">
        <x:f>INDEX('Model Pricing'!$B$7:$B$8,MATCH(F2732,'Model Pricing'!$A$7:$A$8,0))</x:f>
        <x:v>10</x:v>
      </x:c>
      <x:c r="K2732" s="27" t="n">
        <x:f>INDEX('Model Pricing'!$C$7:$C$8,MATCH(F2732,'Model Pricing'!$A$7:$A$8,0))</x:f>
        <x:v>30</x:v>
      </x:c>
      <x:c r="L2732" s="17" t="n">
        <x:f>G2732+H2732</x:f>
        <x:v>32367</x:v>
      </x:c>
      <x:c r="M2732" s="28" t="n">
        <x:f>G2732*J2732/1000000</x:f>
        <x:v>0.29577</x:v>
      </x:c>
      <x:c r="N2732" s="28" t="n">
        <x:f>H2732*K2732/1000000</x:f>
        <x:v>0.0837</x:v>
      </x:c>
      <x:c r="O2732" s="28" t="n">
        <x:f>SUM(M2732:N2732)</x:f>
        <x:v>0.37947</x:v>
      </x:c>
    </x:row>
    <x:row r="2733" ht="23" customHeight="1">
      <x:c r="A2733" s="17" t="str">
        <x:v>U02727</x:v>
      </x:c>
      <x:c r="B2733" s="18" t="n">
        <x:v>46286</x:v>
      </x:c>
      <x:c r="C2733" s="17" t="str">
        <x:v>W0209</x:v>
      </x:c>
      <x:c r="D2733" s="17" t="str">
        <x:v>C004</x:v>
      </x:c>
      <x:c r="E2733" s="17" t="str">
        <x:v>DataFlow</x:v>
      </x:c>
      <x:c r="F2733" s="17" t="str">
        <x:v>Lite</x:v>
      </x:c>
      <x:c r="G2733" s="17" t="n">
        <x:v>28172</x:v>
      </x:c>
      <x:c r="H2733" s="17" t="n">
        <x:v>2270</x:v>
      </x:c>
      <x:c r="I2733" s="17" t="str">
        <x:v>Followup</x:v>
      </x:c>
      <x:c r="J2733" s="27" t="n">
        <x:f>INDEX('Model Pricing'!$B$7:$B$8,MATCH(F2733,'Model Pricing'!$A$7:$A$8,0))</x:f>
        <x:v>10</x:v>
      </x:c>
      <x:c r="K2733" s="27" t="n">
        <x:f>INDEX('Model Pricing'!$C$7:$C$8,MATCH(F2733,'Model Pricing'!$A$7:$A$8,0))</x:f>
        <x:v>30</x:v>
      </x:c>
      <x:c r="L2733" s="17" t="n">
        <x:f>G2733+H2733</x:f>
        <x:v>30442</x:v>
      </x:c>
      <x:c r="M2733" s="28" t="n">
        <x:f>G2733*J2733/1000000</x:f>
        <x:v>0.28172</x:v>
      </x:c>
      <x:c r="N2733" s="28" t="n">
        <x:f>H2733*K2733/1000000</x:f>
        <x:v>0.0681</x:v>
      </x:c>
      <x:c r="O2733" s="28" t="n">
        <x:f>SUM(M2733:N2733)</x:f>
        <x:v>0.34982</x:v>
      </x:c>
    </x:row>
    <x:row r="2734" ht="23" customHeight="1">
      <x:c r="A2734" s="17" t="str">
        <x:v>U02728</x:v>
      </x:c>
      <x:c r="B2734" s="18" t="n">
        <x:v>46286</x:v>
      </x:c>
      <x:c r="C2734" s="17" t="str">
        <x:v>W0209</x:v>
      </x:c>
      <x:c r="D2734" s="17" t="str">
        <x:v>C004</x:v>
      </x:c>
      <x:c r="E2734" s="17" t="str">
        <x:v>DataFlow</x:v>
      </x:c>
      <x:c r="F2734" s="17" t="str">
        <x:v>Lite</x:v>
      </x:c>
      <x:c r="G2734" s="17" t="n">
        <x:v>11608</x:v>
      </x:c>
      <x:c r="H2734" s="17" t="n">
        <x:v>3122</x:v>
      </x:c>
      <x:c r="I2734" s="17" t="str">
        <x:v>Correction</x:v>
      </x:c>
      <x:c r="J2734" s="27" t="n">
        <x:f>INDEX('Model Pricing'!$B$7:$B$8,MATCH(F2734,'Model Pricing'!$A$7:$A$8,0))</x:f>
        <x:v>10</x:v>
      </x:c>
      <x:c r="K2734" s="27" t="n">
        <x:f>INDEX('Model Pricing'!$C$7:$C$8,MATCH(F2734,'Model Pricing'!$A$7:$A$8,0))</x:f>
        <x:v>30</x:v>
      </x:c>
      <x:c r="L2734" s="17" t="n">
        <x:f>G2734+H2734</x:f>
        <x:v>14730</x:v>
      </x:c>
      <x:c r="M2734" s="28" t="n">
        <x:f>G2734*J2734/1000000</x:f>
        <x:v>0.11608</x:v>
      </x:c>
      <x:c r="N2734" s="28" t="n">
        <x:f>H2734*K2734/1000000</x:f>
        <x:v>0.09366</x:v>
      </x:c>
      <x:c r="O2734" s="28" t="n">
        <x:f>SUM(M2734:N2734)</x:f>
        <x:v>0.20973999999999998</x:v>
      </x:c>
    </x:row>
    <x:row r="2735" ht="23" customHeight="1">
      <x:c r="A2735" s="17" t="str">
        <x:v>U02729</x:v>
      </x:c>
      <x:c r="B2735" s="18" t="n">
        <x:v>46290</x:v>
      </x:c>
      <x:c r="C2735" s="17" t="str">
        <x:v>W0210</x:v>
      </x:c>
      <x:c r="D2735" s="17" t="str">
        <x:v>C004</x:v>
      </x:c>
      <x:c r="E2735" s="17" t="str">
        <x:v>InsightDesk</x:v>
      </x:c>
      <x:c r="F2735" s="17" t="str">
        <x:v>Lite</x:v>
      </x:c>
      <x:c r="G2735" s="17" t="n">
        <x:v>23905</x:v>
      </x:c>
      <x:c r="H2735" s="17" t="n">
        <x:v>3760</x:v>
      </x:c>
      <x:c r="I2735" s="17" t="str">
        <x:v>First attempt</x:v>
      </x:c>
      <x:c r="J2735" s="27" t="n">
        <x:f>INDEX('Model Pricing'!$B$7:$B$8,MATCH(F2735,'Model Pricing'!$A$7:$A$8,0))</x:f>
        <x:v>10</x:v>
      </x:c>
      <x:c r="K2735" s="27" t="n">
        <x:f>INDEX('Model Pricing'!$C$7:$C$8,MATCH(F2735,'Model Pricing'!$A$7:$A$8,0))</x:f>
        <x:v>30</x:v>
      </x:c>
      <x:c r="L2735" s="17" t="n">
        <x:f>G2735+H2735</x:f>
        <x:v>27665</x:v>
      </x:c>
      <x:c r="M2735" s="28" t="n">
        <x:f>G2735*J2735/1000000</x:f>
        <x:v>0.23905</x:v>
      </x:c>
      <x:c r="N2735" s="28" t="n">
        <x:f>H2735*K2735/1000000</x:f>
        <x:v>0.1128</x:v>
      </x:c>
      <x:c r="O2735" s="28" t="n">
        <x:f>SUM(M2735:N2735)</x:f>
        <x:v>0.35185</x:v>
      </x:c>
    </x:row>
    <x:row r="2736" ht="23" customHeight="1">
      <x:c r="A2736" s="17" t="str">
        <x:v>U02730</x:v>
      </x:c>
      <x:c r="B2736" s="18" t="n">
        <x:v>46290</x:v>
      </x:c>
      <x:c r="C2736" s="17" t="str">
        <x:v>W0210</x:v>
      </x:c>
      <x:c r="D2736" s="17" t="str">
        <x:v>C004</x:v>
      </x:c>
      <x:c r="E2736" s="17" t="str">
        <x:v>InsightDesk</x:v>
      </x:c>
      <x:c r="F2736" s="17" t="str">
        <x:v>Lite</x:v>
      </x:c>
      <x:c r="G2736" s="17" t="n">
        <x:v>16984</x:v>
      </x:c>
      <x:c r="H2736" s="17" t="n">
        <x:v>5399</x:v>
      </x:c>
      <x:c r="I2736" s="17" t="str">
        <x:v>Followup</x:v>
      </x:c>
      <x:c r="J2736" s="27" t="n">
        <x:f>INDEX('Model Pricing'!$B$7:$B$8,MATCH(F2736,'Model Pricing'!$A$7:$A$8,0))</x:f>
        <x:v>10</x:v>
      </x:c>
      <x:c r="K2736" s="27" t="n">
        <x:f>INDEX('Model Pricing'!$C$7:$C$8,MATCH(F2736,'Model Pricing'!$A$7:$A$8,0))</x:f>
        <x:v>30</x:v>
      </x:c>
      <x:c r="L2736" s="17" t="n">
        <x:f>G2736+H2736</x:f>
        <x:v>22383</x:v>
      </x:c>
      <x:c r="M2736" s="28" t="n">
        <x:f>G2736*J2736/1000000</x:f>
        <x:v>0.16984</x:v>
      </x:c>
      <x:c r="N2736" s="28" t="n">
        <x:f>H2736*K2736/1000000</x:f>
        <x:v>0.16197</x:v>
      </x:c>
      <x:c r="O2736" s="28" t="n">
        <x:f>SUM(M2736:N2736)</x:f>
        <x:v>0.33181</x:v>
      </x:c>
    </x:row>
    <x:row r="2737" ht="23" customHeight="1">
      <x:c r="A2737" s="17" t="str">
        <x:v>U02731</x:v>
      </x:c>
      <x:c r="B2737" s="18" t="n">
        <x:v>46290</x:v>
      </x:c>
      <x:c r="C2737" s="17" t="str">
        <x:v>W0210</x:v>
      </x:c>
      <x:c r="D2737" s="17" t="str">
        <x:v>C004</x:v>
      </x:c>
      <x:c r="E2737" s="17" t="str">
        <x:v>InsightDesk</x:v>
      </x:c>
      <x:c r="F2737" s="17" t="str">
        <x:v>Lite</x:v>
      </x:c>
      <x:c r="G2737" s="17" t="n">
        <x:v>32795</x:v>
      </x:c>
      <x:c r="H2737" s="17" t="n">
        <x:v>5180</x:v>
      </x:c>
      <x:c r="I2737" s="17" t="str">
        <x:v>Followup</x:v>
      </x:c>
      <x:c r="J2737" s="27" t="n">
        <x:f>INDEX('Model Pricing'!$B$7:$B$8,MATCH(F2737,'Model Pricing'!$A$7:$A$8,0))</x:f>
        <x:v>10</x:v>
      </x:c>
      <x:c r="K2737" s="27" t="n">
        <x:f>INDEX('Model Pricing'!$C$7:$C$8,MATCH(F2737,'Model Pricing'!$A$7:$A$8,0))</x:f>
        <x:v>30</x:v>
      </x:c>
      <x:c r="L2737" s="17" t="n">
        <x:f>G2737+H2737</x:f>
        <x:v>37975</x:v>
      </x:c>
      <x:c r="M2737" s="28" t="n">
        <x:f>G2737*J2737/1000000</x:f>
        <x:v>0.32795</x:v>
      </x:c>
      <x:c r="N2737" s="28" t="n">
        <x:f>H2737*K2737/1000000</x:f>
        <x:v>0.1554</x:v>
      </x:c>
      <x:c r="O2737" s="28" t="n">
        <x:f>SUM(M2737:N2737)</x:f>
        <x:v>0.48335000000000006</x:v>
      </x:c>
    </x:row>
    <x:row r="2738" ht="23" customHeight="1">
      <x:c r="A2738" s="17" t="str">
        <x:v>U02732</x:v>
      </x:c>
      <x:c r="B2738" s="18" t="n">
        <x:v>46290</x:v>
      </x:c>
      <x:c r="C2738" s="17" t="str">
        <x:v>W0210</x:v>
      </x:c>
      <x:c r="D2738" s="17" t="str">
        <x:v>C004</x:v>
      </x:c>
      <x:c r="E2738" s="17" t="str">
        <x:v>InsightDesk</x:v>
      </x:c>
      <x:c r="F2738" s="17" t="str">
        <x:v>Lite</x:v>
      </x:c>
      <x:c r="G2738" s="17" t="n">
        <x:v>27334</x:v>
      </x:c>
      <x:c r="H2738" s="17" t="n">
        <x:v>3701</x:v>
      </x:c>
      <x:c r="I2738" s="17" t="str">
        <x:v>Followup</x:v>
      </x:c>
      <x:c r="J2738" s="27" t="n">
        <x:f>INDEX('Model Pricing'!$B$7:$B$8,MATCH(F2738,'Model Pricing'!$A$7:$A$8,0))</x:f>
        <x:v>10</x:v>
      </x:c>
      <x:c r="K2738" s="27" t="n">
        <x:f>INDEX('Model Pricing'!$C$7:$C$8,MATCH(F2738,'Model Pricing'!$A$7:$A$8,0))</x:f>
        <x:v>30</x:v>
      </x:c>
      <x:c r="L2738" s="17" t="n">
        <x:f>G2738+H2738</x:f>
        <x:v>31035</x:v>
      </x:c>
      <x:c r="M2738" s="28" t="n">
        <x:f>G2738*J2738/1000000</x:f>
        <x:v>0.27334</x:v>
      </x:c>
      <x:c r="N2738" s="28" t="n">
        <x:f>H2738*K2738/1000000</x:f>
        <x:v>0.11103</x:v>
      </x:c>
      <x:c r="O2738" s="28" t="n">
        <x:f>SUM(M2738:N2738)</x:f>
        <x:v>0.38437000000000004</x:v>
      </x:c>
    </x:row>
    <x:row r="2739" ht="23" customHeight="1">
      <x:c r="A2739" s="17" t="str">
        <x:v>U02733</x:v>
      </x:c>
      <x:c r="B2739" s="18" t="n">
        <x:v>46293</x:v>
      </x:c>
      <x:c r="C2739" s="17" t="str">
        <x:v>W0210</x:v>
      </x:c>
      <x:c r="D2739" s="17" t="str">
        <x:v>C004</x:v>
      </x:c>
      <x:c r="E2739" s="17" t="str">
        <x:v>InsightDesk</x:v>
      </x:c>
      <x:c r="F2739" s="17" t="str">
        <x:v>Lite</x:v>
      </x:c>
      <x:c r="G2739" s="17" t="n">
        <x:v>18876</x:v>
      </x:c>
      <x:c r="H2739" s="17" t="n">
        <x:v>9006</x:v>
      </x:c>
      <x:c r="I2739" s="17" t="str">
        <x:v>Correction</x:v>
      </x:c>
      <x:c r="J2739" s="27" t="n">
        <x:f>INDEX('Model Pricing'!$B$7:$B$8,MATCH(F2739,'Model Pricing'!$A$7:$A$8,0))</x:f>
        <x:v>10</x:v>
      </x:c>
      <x:c r="K2739" s="27" t="n">
        <x:f>INDEX('Model Pricing'!$C$7:$C$8,MATCH(F2739,'Model Pricing'!$A$7:$A$8,0))</x:f>
        <x:v>30</x:v>
      </x:c>
      <x:c r="L2739" s="17" t="n">
        <x:f>G2739+H2739</x:f>
        <x:v>27882</x:v>
      </x:c>
      <x:c r="M2739" s="28" t="n">
        <x:f>G2739*J2739/1000000</x:f>
        <x:v>0.18876</x:v>
      </x:c>
      <x:c r="N2739" s="28" t="n">
        <x:f>H2739*K2739/1000000</x:f>
        <x:v>0.27018</x:v>
      </x:c>
      <x:c r="O2739" s="28" t="n">
        <x:f>SUM(M2739:N2739)</x:f>
        <x:v>0.45894</x:v>
      </x:c>
    </x:row>
    <x:row r="2740" ht="23" customHeight="1">
      <x:c r="A2740" s="17" t="str">
        <x:v>U02734</x:v>
      </x:c>
      <x:c r="B2740" s="18" t="n">
        <x:v>46293</x:v>
      </x:c>
      <x:c r="C2740" s="17" t="str">
        <x:v>W0210</x:v>
      </x:c>
      <x:c r="D2740" s="17" t="str">
        <x:v>C004</x:v>
      </x:c>
      <x:c r="E2740" s="17" t="str">
        <x:v>InsightDesk</x:v>
      </x:c>
      <x:c r="F2740" s="17" t="str">
        <x:v>Lite</x:v>
      </x:c>
      <x:c r="G2740" s="17" t="n">
        <x:v>26179</x:v>
      </x:c>
      <x:c r="H2740" s="17" t="n">
        <x:v>6089</x:v>
      </x:c>
      <x:c r="I2740" s="17" t="str">
        <x:v>Followup</x:v>
      </x:c>
      <x:c r="J2740" s="27" t="n">
        <x:f>INDEX('Model Pricing'!$B$7:$B$8,MATCH(F2740,'Model Pricing'!$A$7:$A$8,0))</x:f>
        <x:v>10</x:v>
      </x:c>
      <x:c r="K2740" s="27" t="n">
        <x:f>INDEX('Model Pricing'!$C$7:$C$8,MATCH(F2740,'Model Pricing'!$A$7:$A$8,0))</x:f>
        <x:v>30</x:v>
      </x:c>
      <x:c r="L2740" s="17" t="n">
        <x:f>G2740+H2740</x:f>
        <x:v>32268</x:v>
      </x:c>
      <x:c r="M2740" s="28" t="n">
        <x:f>G2740*J2740/1000000</x:f>
        <x:v>0.26179</x:v>
      </x:c>
      <x:c r="N2740" s="28" t="n">
        <x:f>H2740*K2740/1000000</x:f>
        <x:v>0.18267</x:v>
      </x:c>
      <x:c r="O2740" s="28" t="n">
        <x:f>SUM(M2740:N2740)</x:f>
        <x:v>0.44446</x:v>
      </x:c>
    </x:row>
    <x:row r="2741" ht="23" customHeight="1">
      <x:c r="A2741" s="17" t="str">
        <x:v>U02735</x:v>
      </x:c>
      <x:c r="B2741" s="18" t="n">
        <x:v>46293</x:v>
      </x:c>
      <x:c r="C2741" s="17" t="str">
        <x:v>W0210</x:v>
      </x:c>
      <x:c r="D2741" s="17" t="str">
        <x:v>C004</x:v>
      </x:c>
      <x:c r="E2741" s="17" t="str">
        <x:v>InsightDesk</x:v>
      </x:c>
      <x:c r="F2741" s="17" t="str">
        <x:v>Lite</x:v>
      </x:c>
      <x:c r="G2741" s="17" t="n">
        <x:v>12972</x:v>
      </x:c>
      <x:c r="H2741" s="17" t="n">
        <x:v>5336</x:v>
      </x:c>
      <x:c r="I2741" s="17" t="str">
        <x:v>Followup</x:v>
      </x:c>
      <x:c r="J2741" s="27" t="n">
        <x:f>INDEX('Model Pricing'!$B$7:$B$8,MATCH(F2741,'Model Pricing'!$A$7:$A$8,0))</x:f>
        <x:v>10</x:v>
      </x:c>
      <x:c r="K2741" s="27" t="n">
        <x:f>INDEX('Model Pricing'!$C$7:$C$8,MATCH(F2741,'Model Pricing'!$A$7:$A$8,0))</x:f>
        <x:v>30</x:v>
      </x:c>
      <x:c r="L2741" s="17" t="n">
        <x:f>G2741+H2741</x:f>
        <x:v>18308</x:v>
      </x:c>
      <x:c r="M2741" s="28" t="n">
        <x:f>G2741*J2741/1000000</x:f>
        <x:v>0.12972</x:v>
      </x:c>
      <x:c r="N2741" s="28" t="n">
        <x:f>H2741*K2741/1000000</x:f>
        <x:v>0.16008</x:v>
      </x:c>
      <x:c r="O2741" s="28" t="n">
        <x:f>SUM(M2741:N2741)</x:f>
        <x:v>0.2898</x:v>
      </x:c>
    </x:row>
    <x:row r="2742" ht="23" customHeight="1">
      <x:c r="A2742" s="17" t="str">
        <x:v>U02736</x:v>
      </x:c>
      <x:c r="B2742" s="18" t="n">
        <x:v>46293</x:v>
      </x:c>
      <x:c r="C2742" s="17" t="str">
        <x:v>W0210</x:v>
      </x:c>
      <x:c r="D2742" s="17" t="str">
        <x:v>C004</x:v>
      </x:c>
      <x:c r="E2742" s="17" t="str">
        <x:v>InsightDesk</x:v>
      </x:c>
      <x:c r="F2742" s="17" t="str">
        <x:v>Lite</x:v>
      </x:c>
      <x:c r="G2742" s="17" t="n">
        <x:v>20155</x:v>
      </x:c>
      <x:c r="H2742" s="17" t="n">
        <x:v>3940</x:v>
      </x:c>
      <x:c r="I2742" s="17" t="str">
        <x:v>Followup</x:v>
      </x:c>
      <x:c r="J2742" s="27" t="n">
        <x:f>INDEX('Model Pricing'!$B$7:$B$8,MATCH(F2742,'Model Pricing'!$A$7:$A$8,0))</x:f>
        <x:v>10</x:v>
      </x:c>
      <x:c r="K2742" s="27" t="n">
        <x:f>INDEX('Model Pricing'!$C$7:$C$8,MATCH(F2742,'Model Pricing'!$A$7:$A$8,0))</x:f>
        <x:v>30</x:v>
      </x:c>
      <x:c r="L2742" s="17" t="n">
        <x:f>G2742+H2742</x:f>
        <x:v>24095</x:v>
      </x:c>
      <x:c r="M2742" s="28" t="n">
        <x:f>G2742*J2742/1000000</x:f>
        <x:v>0.20155</x:v>
      </x:c>
      <x:c r="N2742" s="28" t="n">
        <x:f>H2742*K2742/1000000</x:f>
        <x:v>0.1182</x:v>
      </x:c>
      <x:c r="O2742" s="28" t="n">
        <x:f>SUM(M2742:N2742)</x:f>
        <x:v>0.31975</x:v>
      </x:c>
    </x:row>
    <x:row r="2743" ht="23" customHeight="1">
      <x:c r="A2743" s="17" t="str">
        <x:v>U02737</x:v>
      </x:c>
      <x:c r="B2743" s="18" t="n">
        <x:v>46294</x:v>
      </x:c>
      <x:c r="C2743" s="17" t="str">
        <x:v>W0210</x:v>
      </x:c>
      <x:c r="D2743" s="17" t="str">
        <x:v>C004</x:v>
      </x:c>
      <x:c r="E2743" s="17" t="str">
        <x:v>InsightDesk</x:v>
      </x:c>
      <x:c r="F2743" s="17" t="str">
        <x:v>Lite</x:v>
      </x:c>
      <x:c r="G2743" s="17" t="n">
        <x:v>34466</x:v>
      </x:c>
      <x:c r="H2743" s="17" t="n">
        <x:v>3407</x:v>
      </x:c>
      <x:c r="I2743" s="17" t="str">
        <x:v>Correction</x:v>
      </x:c>
      <x:c r="J2743" s="27" t="n">
        <x:f>INDEX('Model Pricing'!$B$7:$B$8,MATCH(F2743,'Model Pricing'!$A$7:$A$8,0))</x:f>
        <x:v>10</x:v>
      </x:c>
      <x:c r="K2743" s="27" t="n">
        <x:f>INDEX('Model Pricing'!$C$7:$C$8,MATCH(F2743,'Model Pricing'!$A$7:$A$8,0))</x:f>
        <x:v>30</x:v>
      </x:c>
      <x:c r="L2743" s="17" t="n">
        <x:f>G2743+H2743</x:f>
        <x:v>37873</x:v>
      </x:c>
      <x:c r="M2743" s="28" t="n">
        <x:f>G2743*J2743/1000000</x:f>
        <x:v>0.34466</x:v>
      </x:c>
      <x:c r="N2743" s="28" t="n">
        <x:f>H2743*K2743/1000000</x:f>
        <x:v>0.10221</x:v>
      </x:c>
      <x:c r="O2743" s="28" t="n">
        <x:f>SUM(M2743:N2743)</x:f>
        <x:v>0.44687</x:v>
      </x:c>
    </x:row>
    <x:row r="2744" ht="23" customHeight="1">
      <x:c r="A2744" s="17" t="str">
        <x:v>U02738</x:v>
      </x:c>
      <x:c r="B2744" s="18" t="n">
        <x:v>46294</x:v>
      </x:c>
      <x:c r="C2744" s="17" t="str">
        <x:v>W0210</x:v>
      </x:c>
      <x:c r="D2744" s="17" t="str">
        <x:v>C004</x:v>
      </x:c>
      <x:c r="E2744" s="17" t="str">
        <x:v>InsightDesk</x:v>
      </x:c>
      <x:c r="F2744" s="17" t="str">
        <x:v>Lite</x:v>
      </x:c>
      <x:c r="G2744" s="17" t="n">
        <x:v>21881</x:v>
      </x:c>
      <x:c r="H2744" s="17" t="n">
        <x:v>8760</x:v>
      </x:c>
      <x:c r="I2744" s="17" t="str">
        <x:v>Followup</x:v>
      </x:c>
      <x:c r="J2744" s="27" t="n">
        <x:f>INDEX('Model Pricing'!$B$7:$B$8,MATCH(F2744,'Model Pricing'!$A$7:$A$8,0))</x:f>
        <x:v>10</x:v>
      </x:c>
      <x:c r="K2744" s="27" t="n">
        <x:f>INDEX('Model Pricing'!$C$7:$C$8,MATCH(F2744,'Model Pricing'!$A$7:$A$8,0))</x:f>
        <x:v>30</x:v>
      </x:c>
      <x:c r="L2744" s="17" t="n">
        <x:f>G2744+H2744</x:f>
        <x:v>30641</x:v>
      </x:c>
      <x:c r="M2744" s="28" t="n">
        <x:f>G2744*J2744/1000000</x:f>
        <x:v>0.21881</x:v>
      </x:c>
      <x:c r="N2744" s="28" t="n">
        <x:f>H2744*K2744/1000000</x:f>
        <x:v>0.2628</x:v>
      </x:c>
      <x:c r="O2744" s="28" t="n">
        <x:f>SUM(M2744:N2744)</x:f>
        <x:v>0.48161</x:v>
      </x:c>
    </x:row>
    <x:row r="2745" ht="23" customHeight="1">
      <x:c r="A2745" s="17" t="str">
        <x:v>U02739</x:v>
      </x:c>
      <x:c r="B2745" s="18" t="n">
        <x:v>46294</x:v>
      </x:c>
      <x:c r="C2745" s="17" t="str">
        <x:v>W0210</x:v>
      </x:c>
      <x:c r="D2745" s="17" t="str">
        <x:v>C004</x:v>
      </x:c>
      <x:c r="E2745" s="17" t="str">
        <x:v>InsightDesk</x:v>
      </x:c>
      <x:c r="F2745" s="17" t="str">
        <x:v>Lite</x:v>
      </x:c>
      <x:c r="G2745" s="17" t="n">
        <x:v>29272</x:v>
      </x:c>
      <x:c r="H2745" s="17" t="n">
        <x:v>2820</x:v>
      </x:c>
      <x:c r="I2745" s="17" t="str">
        <x:v>Followup</x:v>
      </x:c>
      <x:c r="J2745" s="27" t="n">
        <x:f>INDEX('Model Pricing'!$B$7:$B$8,MATCH(F2745,'Model Pricing'!$A$7:$A$8,0))</x:f>
        <x:v>10</x:v>
      </x:c>
      <x:c r="K2745" s="27" t="n">
        <x:f>INDEX('Model Pricing'!$C$7:$C$8,MATCH(F2745,'Model Pricing'!$A$7:$A$8,0))</x:f>
        <x:v>30</x:v>
      </x:c>
      <x:c r="L2745" s="17" t="n">
        <x:f>G2745+H2745</x:f>
        <x:v>32092</x:v>
      </x:c>
      <x:c r="M2745" s="28" t="n">
        <x:f>G2745*J2745/1000000</x:f>
        <x:v>0.29272</x:v>
      </x:c>
      <x:c r="N2745" s="28" t="n">
        <x:f>H2745*K2745/1000000</x:f>
        <x:v>0.0846</x:v>
      </x:c>
      <x:c r="O2745" s="28" t="n">
        <x:f>SUM(M2745:N2745)</x:f>
        <x:v>0.37732</x:v>
      </x:c>
    </x:row>
    <x:row r="2746" ht="23" customHeight="1">
      <x:c r="A2746" s="17" t="str">
        <x:v>U02740</x:v>
      </x:c>
      <x:c r="B2746" s="18" t="n">
        <x:v>46294</x:v>
      </x:c>
      <x:c r="C2746" s="17" t="str">
        <x:v>W0210</x:v>
      </x:c>
      <x:c r="D2746" s="17" t="str">
        <x:v>C004</x:v>
      </x:c>
      <x:c r="E2746" s="17" t="str">
        <x:v>InsightDesk</x:v>
      </x:c>
      <x:c r="F2746" s="17" t="str">
        <x:v>Lite</x:v>
      </x:c>
      <x:c r="G2746" s="17" t="n">
        <x:v>24510</x:v>
      </x:c>
      <x:c r="H2746" s="17" t="n">
        <x:v>6659</x:v>
      </x:c>
      <x:c r="I2746" s="17" t="str">
        <x:v>Followup</x:v>
      </x:c>
      <x:c r="J2746" s="27" t="n">
        <x:f>INDEX('Model Pricing'!$B$7:$B$8,MATCH(F2746,'Model Pricing'!$A$7:$A$8,0))</x:f>
        <x:v>10</x:v>
      </x:c>
      <x:c r="K2746" s="27" t="n">
        <x:f>INDEX('Model Pricing'!$C$7:$C$8,MATCH(F2746,'Model Pricing'!$A$7:$A$8,0))</x:f>
        <x:v>30</x:v>
      </x:c>
      <x:c r="L2746" s="17" t="n">
        <x:f>G2746+H2746</x:f>
        <x:v>31169</x:v>
      </x:c>
      <x:c r="M2746" s="28" t="n">
        <x:f>G2746*J2746/1000000</x:f>
        <x:v>0.2451</x:v>
      </x:c>
      <x:c r="N2746" s="28" t="n">
        <x:f>H2746*K2746/1000000</x:f>
        <x:v>0.19977</x:v>
      </x:c>
      <x:c r="O2746" s="28" t="n">
        <x:f>SUM(M2746:N2746)</x:f>
        <x:v>0.44487</x:v>
      </x:c>
    </x:row>
    <x:row r="2747" ht="23" customHeight="1">
      <x:c r="A2747" s="17" t="str">
        <x:v>U02741</x:v>
      </x:c>
      <x:c r="B2747" s="18" t="n">
        <x:v>46295</x:v>
      </x:c>
      <x:c r="C2747" s="17" t="str">
        <x:v>W0210</x:v>
      </x:c>
      <x:c r="D2747" s="17" t="str">
        <x:v>C004</x:v>
      </x:c>
      <x:c r="E2747" s="17" t="str">
        <x:v>InsightDesk</x:v>
      </x:c>
      <x:c r="F2747" s="17" t="str">
        <x:v>Lite</x:v>
      </x:c>
      <x:c r="G2747" s="17" t="n">
        <x:v>31940</x:v>
      </x:c>
      <x:c r="H2747" s="17" t="n">
        <x:v>9558</x:v>
      </x:c>
      <x:c r="I2747" s="17" t="str">
        <x:v>Correction</x:v>
      </x:c>
      <x:c r="J2747" s="27" t="n">
        <x:f>INDEX('Model Pricing'!$B$7:$B$8,MATCH(F2747,'Model Pricing'!$A$7:$A$8,0))</x:f>
        <x:v>10</x:v>
      </x:c>
      <x:c r="K2747" s="27" t="n">
        <x:f>INDEX('Model Pricing'!$C$7:$C$8,MATCH(F2747,'Model Pricing'!$A$7:$A$8,0))</x:f>
        <x:v>30</x:v>
      </x:c>
      <x:c r="L2747" s="17" t="n">
        <x:f>G2747+H2747</x:f>
        <x:v>41498</x:v>
      </x:c>
      <x:c r="M2747" s="28" t="n">
        <x:f>G2747*J2747/1000000</x:f>
        <x:v>0.3194</x:v>
      </x:c>
      <x:c r="N2747" s="28" t="n">
        <x:f>H2747*K2747/1000000</x:f>
        <x:v>0.28674</x:v>
      </x:c>
      <x:c r="O2747" s="28" t="n">
        <x:f>SUM(M2747:N2747)</x:f>
        <x:v>0.60614</x:v>
      </x:c>
    </x:row>
    <x:row r="2748" ht="23" customHeight="1">
      <x:c r="A2748" s="17" t="str">
        <x:v>U02742</x:v>
      </x:c>
      <x:c r="B2748" s="18" t="n">
        <x:v>46295</x:v>
      </x:c>
      <x:c r="C2748" s="17" t="str">
        <x:v>W0210</x:v>
      </x:c>
      <x:c r="D2748" s="17" t="str">
        <x:v>C004</x:v>
      </x:c>
      <x:c r="E2748" s="17" t="str">
        <x:v>InsightDesk</x:v>
      </x:c>
      <x:c r="F2748" s="17" t="str">
        <x:v>Lite</x:v>
      </x:c>
      <x:c r="G2748" s="17" t="n">
        <x:v>24531</x:v>
      </x:c>
      <x:c r="H2748" s="17" t="n">
        <x:v>4668</x:v>
      </x:c>
      <x:c r="I2748" s="17" t="str">
        <x:v>Followup</x:v>
      </x:c>
      <x:c r="J2748" s="27" t="n">
        <x:f>INDEX('Model Pricing'!$B$7:$B$8,MATCH(F2748,'Model Pricing'!$A$7:$A$8,0))</x:f>
        <x:v>10</x:v>
      </x:c>
      <x:c r="K2748" s="27" t="n">
        <x:f>INDEX('Model Pricing'!$C$7:$C$8,MATCH(F2748,'Model Pricing'!$A$7:$A$8,0))</x:f>
        <x:v>30</x:v>
      </x:c>
      <x:c r="L2748" s="17" t="n">
        <x:f>G2748+H2748</x:f>
        <x:v>29199</x:v>
      </x:c>
      <x:c r="M2748" s="28" t="n">
        <x:f>G2748*J2748/1000000</x:f>
        <x:v>0.24531</x:v>
      </x:c>
      <x:c r="N2748" s="28" t="n">
        <x:f>H2748*K2748/1000000</x:f>
        <x:v>0.14004</x:v>
      </x:c>
      <x:c r="O2748" s="28" t="n">
        <x:f>SUM(M2748:N2748)</x:f>
        <x:v>0.38534999999999997</x:v>
      </x:c>
    </x:row>
    <x:row r="2749" ht="23" customHeight="1">
      <x:c r="A2749" s="17" t="str">
        <x:v>U02743</x:v>
      </x:c>
      <x:c r="B2749" s="18" t="n">
        <x:v>46295</x:v>
      </x:c>
      <x:c r="C2749" s="17" t="str">
        <x:v>W0210</x:v>
      </x:c>
      <x:c r="D2749" s="17" t="str">
        <x:v>C004</x:v>
      </x:c>
      <x:c r="E2749" s="17" t="str">
        <x:v>InsightDesk</x:v>
      </x:c>
      <x:c r="F2749" s="17" t="str">
        <x:v>Lite</x:v>
      </x:c>
      <x:c r="G2749" s="17" t="n">
        <x:v>28989</x:v>
      </x:c>
      <x:c r="H2749" s="17" t="n">
        <x:v>3052</x:v>
      </x:c>
      <x:c r="I2749" s="17" t="str">
        <x:v>Followup</x:v>
      </x:c>
      <x:c r="J2749" s="27" t="n">
        <x:f>INDEX('Model Pricing'!$B$7:$B$8,MATCH(F2749,'Model Pricing'!$A$7:$A$8,0))</x:f>
        <x:v>10</x:v>
      </x:c>
      <x:c r="K2749" s="27" t="n">
        <x:f>INDEX('Model Pricing'!$C$7:$C$8,MATCH(F2749,'Model Pricing'!$A$7:$A$8,0))</x:f>
        <x:v>30</x:v>
      </x:c>
      <x:c r="L2749" s="17" t="n">
        <x:f>G2749+H2749</x:f>
        <x:v>32041</x:v>
      </x:c>
      <x:c r="M2749" s="28" t="n">
        <x:f>G2749*J2749/1000000</x:f>
        <x:v>0.28989</x:v>
      </x:c>
      <x:c r="N2749" s="28" t="n">
        <x:f>H2749*K2749/1000000</x:f>
        <x:v>0.09156</x:v>
      </x:c>
      <x:c r="O2749" s="28" t="n">
        <x:f>SUM(M2749:N2749)</x:f>
        <x:v>0.38144999999999996</x:v>
      </x:c>
    </x:row>
    <x:row r="2750" ht="23" customHeight="1">
      <x:c r="A2750" s="17" t="str">
        <x:v>U02744</x:v>
      </x:c>
      <x:c r="B2750" s="18" t="n">
        <x:v>46295</x:v>
      </x:c>
      <x:c r="C2750" s="17" t="str">
        <x:v>W0210</x:v>
      </x:c>
      <x:c r="D2750" s="17" t="str">
        <x:v>C004</x:v>
      </x:c>
      <x:c r="E2750" s="17" t="str">
        <x:v>InsightDesk</x:v>
      </x:c>
      <x:c r="F2750" s="17" t="str">
        <x:v>Lite</x:v>
      </x:c>
      <x:c r="G2750" s="17" t="n">
        <x:v>31306</x:v>
      </x:c>
      <x:c r="H2750" s="17" t="n">
        <x:v>8554</x:v>
      </x:c>
      <x:c r="I2750" s="17" t="str">
        <x:v>Followup</x:v>
      </x:c>
      <x:c r="J2750" s="27" t="n">
        <x:f>INDEX('Model Pricing'!$B$7:$B$8,MATCH(F2750,'Model Pricing'!$A$7:$A$8,0))</x:f>
        <x:v>10</x:v>
      </x:c>
      <x:c r="K2750" s="27" t="n">
        <x:f>INDEX('Model Pricing'!$C$7:$C$8,MATCH(F2750,'Model Pricing'!$A$7:$A$8,0))</x:f>
        <x:v>30</x:v>
      </x:c>
      <x:c r="L2750" s="17" t="n">
        <x:f>G2750+H2750</x:f>
        <x:v>39860</x:v>
      </x:c>
      <x:c r="M2750" s="28" t="n">
        <x:f>G2750*J2750/1000000</x:f>
        <x:v>0.31306</x:v>
      </x:c>
      <x:c r="N2750" s="28" t="n">
        <x:f>H2750*K2750/1000000</x:f>
        <x:v>0.25662</x:v>
      </x:c>
      <x:c r="O2750" s="28" t="n">
        <x:f>SUM(M2750:N2750)</x:f>
        <x:v>0.56968</x:v>
      </x:c>
    </x:row>
    <x:row r="2751" ht="23" customHeight="1">
      <x:c r="A2751" s="17" t="str">
        <x:v>U02745</x:v>
      </x:c>
      <x:c r="B2751" s="18" t="n">
        <x:v>46286</x:v>
      </x:c>
      <x:c r="C2751" s="17" t="str">
        <x:v>W0212</x:v>
      </x:c>
      <x:c r="D2751" s="17" t="str">
        <x:v>C004</x:v>
      </x:c>
      <x:c r="E2751" s="17" t="str">
        <x:v>CampaignChat</x:v>
      </x:c>
      <x:c r="F2751" s="17" t="str">
        <x:v>Lite</x:v>
      </x:c>
      <x:c r="G2751" s="17" t="n">
        <x:v>19793</x:v>
      </x:c>
      <x:c r="H2751" s="17" t="n">
        <x:v>3663</x:v>
      </x:c>
      <x:c r="I2751" s="17" t="str">
        <x:v>First attempt</x:v>
      </x:c>
      <x:c r="J2751" s="27" t="n">
        <x:f>INDEX('Model Pricing'!$B$7:$B$8,MATCH(F2751,'Model Pricing'!$A$7:$A$8,0))</x:f>
        <x:v>10</x:v>
      </x:c>
      <x:c r="K2751" s="27" t="n">
        <x:f>INDEX('Model Pricing'!$C$7:$C$8,MATCH(F2751,'Model Pricing'!$A$7:$A$8,0))</x:f>
        <x:v>30</x:v>
      </x:c>
      <x:c r="L2751" s="17" t="n">
        <x:f>G2751+H2751</x:f>
        <x:v>23456</x:v>
      </x:c>
      <x:c r="M2751" s="28" t="n">
        <x:f>G2751*J2751/1000000</x:f>
        <x:v>0.19793</x:v>
      </x:c>
      <x:c r="N2751" s="28" t="n">
        <x:f>H2751*K2751/1000000</x:f>
        <x:v>0.10989</x:v>
      </x:c>
      <x:c r="O2751" s="28" t="n">
        <x:f>SUM(M2751:N2751)</x:f>
        <x:v>0.30782</x:v>
      </x:c>
    </x:row>
    <x:row r="2752" ht="23" customHeight="1">
      <x:c r="A2752" s="17" t="str">
        <x:v>U02746</x:v>
      </x:c>
      <x:c r="B2752" s="18" t="n">
        <x:v>46286</x:v>
      </x:c>
      <x:c r="C2752" s="17" t="str">
        <x:v>W0212</x:v>
      </x:c>
      <x:c r="D2752" s="17" t="str">
        <x:v>C004</x:v>
      </x:c>
      <x:c r="E2752" s="17" t="str">
        <x:v>CampaignChat</x:v>
      </x:c>
      <x:c r="F2752" s="17" t="str">
        <x:v>Lite</x:v>
      </x:c>
      <x:c r="G2752" s="17" t="n">
        <x:v>29170</x:v>
      </x:c>
      <x:c r="H2752" s="17" t="n">
        <x:v>2948</x:v>
      </x:c>
      <x:c r="I2752" s="17" t="str">
        <x:v>Followup</x:v>
      </x:c>
      <x:c r="J2752" s="27" t="n">
        <x:f>INDEX('Model Pricing'!$B$7:$B$8,MATCH(F2752,'Model Pricing'!$A$7:$A$8,0))</x:f>
        <x:v>10</x:v>
      </x:c>
      <x:c r="K2752" s="27" t="n">
        <x:f>INDEX('Model Pricing'!$C$7:$C$8,MATCH(F2752,'Model Pricing'!$A$7:$A$8,0))</x:f>
        <x:v>30</x:v>
      </x:c>
      <x:c r="L2752" s="17" t="n">
        <x:f>G2752+H2752</x:f>
        <x:v>32118</x:v>
      </x:c>
      <x:c r="M2752" s="28" t="n">
        <x:f>G2752*J2752/1000000</x:f>
        <x:v>0.2917</x:v>
      </x:c>
      <x:c r="N2752" s="28" t="n">
        <x:f>H2752*K2752/1000000</x:f>
        <x:v>0.08844</x:v>
      </x:c>
      <x:c r="O2752" s="28" t="n">
        <x:f>SUM(M2752:N2752)</x:f>
        <x:v>0.38014000000000003</x:v>
      </x:c>
    </x:row>
    <x:row r="2753" ht="23" customHeight="1">
      <x:c r="A2753" s="17" t="str">
        <x:v>U02747</x:v>
      </x:c>
      <x:c r="B2753" s="18" t="n">
        <x:v>46286</x:v>
      </x:c>
      <x:c r="C2753" s="17" t="str">
        <x:v>W0212</x:v>
      </x:c>
      <x:c r="D2753" s="17" t="str">
        <x:v>C004</x:v>
      </x:c>
      <x:c r="E2753" s="17" t="str">
        <x:v>CampaignChat</x:v>
      </x:c>
      <x:c r="F2753" s="17" t="str">
        <x:v>Lite</x:v>
      </x:c>
      <x:c r="G2753" s="17" t="n">
        <x:v>24972</x:v>
      </x:c>
      <x:c r="H2753" s="17" t="n">
        <x:v>2627</x:v>
      </x:c>
      <x:c r="I2753" s="17" t="str">
        <x:v>Followup</x:v>
      </x:c>
      <x:c r="J2753" s="27" t="n">
        <x:f>INDEX('Model Pricing'!$B$7:$B$8,MATCH(F2753,'Model Pricing'!$A$7:$A$8,0))</x:f>
        <x:v>10</x:v>
      </x:c>
      <x:c r="K2753" s="27" t="n">
        <x:f>INDEX('Model Pricing'!$C$7:$C$8,MATCH(F2753,'Model Pricing'!$A$7:$A$8,0))</x:f>
        <x:v>30</x:v>
      </x:c>
      <x:c r="L2753" s="17" t="n">
        <x:f>G2753+H2753</x:f>
        <x:v>27599</x:v>
      </x:c>
      <x:c r="M2753" s="28" t="n">
        <x:f>G2753*J2753/1000000</x:f>
        <x:v>0.24972</x:v>
      </x:c>
      <x:c r="N2753" s="28" t="n">
        <x:f>H2753*K2753/1000000</x:f>
        <x:v>0.07881</x:v>
      </x:c>
      <x:c r="O2753" s="28" t="n">
        <x:f>SUM(M2753:N2753)</x:f>
        <x:v>0.32853</x:v>
      </x:c>
    </x:row>
    <x:row r="2754" ht="23" customHeight="1">
      <x:c r="A2754" s="17" t="str">
        <x:v>U02748</x:v>
      </x:c>
      <x:c r="B2754" s="18" t="n">
        <x:v>46286</x:v>
      </x:c>
      <x:c r="C2754" s="17" t="str">
        <x:v>W0212</x:v>
      </x:c>
      <x:c r="D2754" s="17" t="str">
        <x:v>C004</x:v>
      </x:c>
      <x:c r="E2754" s="17" t="str">
        <x:v>CampaignChat</x:v>
      </x:c>
      <x:c r="F2754" s="17" t="str">
        <x:v>Lite</x:v>
      </x:c>
      <x:c r="G2754" s="17" t="n">
        <x:v>36804</x:v>
      </x:c>
      <x:c r="H2754" s="17" t="n">
        <x:v>1090</x:v>
      </x:c>
      <x:c r="I2754" s="17" t="str">
        <x:v>Followup</x:v>
      </x:c>
      <x:c r="J2754" s="27" t="n">
        <x:f>INDEX('Model Pricing'!$B$7:$B$8,MATCH(F2754,'Model Pricing'!$A$7:$A$8,0))</x:f>
        <x:v>10</x:v>
      </x:c>
      <x:c r="K2754" s="27" t="n">
        <x:f>INDEX('Model Pricing'!$C$7:$C$8,MATCH(F2754,'Model Pricing'!$A$7:$A$8,0))</x:f>
        <x:v>30</x:v>
      </x:c>
      <x:c r="L2754" s="17" t="n">
        <x:f>G2754+H2754</x:f>
        <x:v>37894</x:v>
      </x:c>
      <x:c r="M2754" s="28" t="n">
        <x:f>G2754*J2754/1000000</x:f>
        <x:v>0.36804</x:v>
      </x:c>
      <x:c r="N2754" s="28" t="n">
        <x:f>H2754*K2754/1000000</x:f>
        <x:v>0.0327</x:v>
      </x:c>
      <x:c r="O2754" s="28" t="n">
        <x:f>SUM(M2754:N2754)</x:f>
        <x:v>0.40074</x:v>
      </x:c>
    </x:row>
    <x:row r="2755" ht="23" customHeight="1">
      <x:c r="A2755" s="17" t="str">
        <x:v>U02749</x:v>
      </x:c>
      <x:c r="B2755" s="18" t="n">
        <x:v>46286</x:v>
      </x:c>
      <x:c r="C2755" s="17" t="str">
        <x:v>W0212</x:v>
      </x:c>
      <x:c r="D2755" s="17" t="str">
        <x:v>C004</x:v>
      </x:c>
      <x:c r="E2755" s="17" t="str">
        <x:v>CampaignChat</x:v>
      </x:c>
      <x:c r="F2755" s="17" t="str">
        <x:v>Lite</x:v>
      </x:c>
      <x:c r="G2755" s="17" t="n">
        <x:v>34950</x:v>
      </x:c>
      <x:c r="H2755" s="17" t="n">
        <x:v>2498</x:v>
      </x:c>
      <x:c r="I2755" s="17" t="str">
        <x:v>Followup</x:v>
      </x:c>
      <x:c r="J2755" s="27" t="n">
        <x:f>INDEX('Model Pricing'!$B$7:$B$8,MATCH(F2755,'Model Pricing'!$A$7:$A$8,0))</x:f>
        <x:v>10</x:v>
      </x:c>
      <x:c r="K2755" s="27" t="n">
        <x:f>INDEX('Model Pricing'!$C$7:$C$8,MATCH(F2755,'Model Pricing'!$A$7:$A$8,0))</x:f>
        <x:v>30</x:v>
      </x:c>
      <x:c r="L2755" s="17" t="n">
        <x:f>G2755+H2755</x:f>
        <x:v>37448</x:v>
      </x:c>
      <x:c r="M2755" s="28" t="n">
        <x:f>G2755*J2755/1000000</x:f>
        <x:v>0.3495</x:v>
      </x:c>
      <x:c r="N2755" s="28" t="n">
        <x:f>H2755*K2755/1000000</x:f>
        <x:v>0.07494</x:v>
      </x:c>
      <x:c r="O2755" s="28" t="n">
        <x:f>SUM(M2755:N2755)</x:f>
        <x:v>0.42444</x:v>
      </x:c>
    </x:row>
    <x:row r="2756" ht="23" customHeight="1">
      <x:c r="A2756" s="17" t="str">
        <x:v>U02750</x:v>
      </x:c>
      <x:c r="B2756" s="18" t="n">
        <x:v>46287</x:v>
      </x:c>
      <x:c r="C2756" s="17" t="str">
        <x:v>W0212</x:v>
      </x:c>
      <x:c r="D2756" s="17" t="str">
        <x:v>C004</x:v>
      </x:c>
      <x:c r="E2756" s="17" t="str">
        <x:v>CampaignChat</x:v>
      </x:c>
      <x:c r="F2756" s="17" t="str">
        <x:v>Lite</x:v>
      </x:c>
      <x:c r="G2756" s="17" t="n">
        <x:v>15303</x:v>
      </x:c>
      <x:c r="H2756" s="17" t="n">
        <x:v>2143</x:v>
      </x:c>
      <x:c r="I2756" s="17" t="str">
        <x:v>Followup</x:v>
      </x:c>
      <x:c r="J2756" s="27" t="n">
        <x:f>INDEX('Model Pricing'!$B$7:$B$8,MATCH(F2756,'Model Pricing'!$A$7:$A$8,0))</x:f>
        <x:v>10</x:v>
      </x:c>
      <x:c r="K2756" s="27" t="n">
        <x:f>INDEX('Model Pricing'!$C$7:$C$8,MATCH(F2756,'Model Pricing'!$A$7:$A$8,0))</x:f>
        <x:v>30</x:v>
      </x:c>
      <x:c r="L2756" s="17" t="n">
        <x:f>G2756+H2756</x:f>
        <x:v>17446</x:v>
      </x:c>
      <x:c r="M2756" s="28" t="n">
        <x:f>G2756*J2756/1000000</x:f>
        <x:v>0.15303</x:v>
      </x:c>
      <x:c r="N2756" s="28" t="n">
        <x:f>H2756*K2756/1000000</x:f>
        <x:v>0.06429</x:v>
      </x:c>
      <x:c r="O2756" s="28" t="n">
        <x:f>SUM(M2756:N2756)</x:f>
        <x:v>0.21732</x:v>
      </x:c>
    </x:row>
    <x:row r="2757" ht="23" customHeight="1">
      <x:c r="A2757" s="17" t="str">
        <x:v>U02751</x:v>
      </x:c>
      <x:c r="B2757" s="18" t="n">
        <x:v>46287</x:v>
      </x:c>
      <x:c r="C2757" s="17" t="str">
        <x:v>W0212</x:v>
      </x:c>
      <x:c r="D2757" s="17" t="str">
        <x:v>C004</x:v>
      </x:c>
      <x:c r="E2757" s="17" t="str">
        <x:v>CampaignChat</x:v>
      </x:c>
      <x:c r="F2757" s="17" t="str">
        <x:v>Lite</x:v>
      </x:c>
      <x:c r="G2757" s="17" t="n">
        <x:v>41591</x:v>
      </x:c>
      <x:c r="H2757" s="17" t="n">
        <x:v>2996</x:v>
      </x:c>
      <x:c r="I2757" s="17" t="str">
        <x:v>Followup</x:v>
      </x:c>
      <x:c r="J2757" s="27" t="n">
        <x:f>INDEX('Model Pricing'!$B$7:$B$8,MATCH(F2757,'Model Pricing'!$A$7:$A$8,0))</x:f>
        <x:v>10</x:v>
      </x:c>
      <x:c r="K2757" s="27" t="n">
        <x:f>INDEX('Model Pricing'!$C$7:$C$8,MATCH(F2757,'Model Pricing'!$A$7:$A$8,0))</x:f>
        <x:v>30</x:v>
      </x:c>
      <x:c r="L2757" s="17" t="n">
        <x:f>G2757+H2757</x:f>
        <x:v>44587</x:v>
      </x:c>
      <x:c r="M2757" s="28" t="n">
        <x:f>G2757*J2757/1000000</x:f>
        <x:v>0.41591</x:v>
      </x:c>
      <x:c r="N2757" s="28" t="n">
        <x:f>H2757*K2757/1000000</x:f>
        <x:v>0.08988</x:v>
      </x:c>
      <x:c r="O2757" s="28" t="n">
        <x:f>SUM(M2757:N2757)</x:f>
        <x:v>0.50579</x:v>
      </x:c>
    </x:row>
    <x:row r="2758" ht="23" customHeight="1">
      <x:c r="A2758" s="17" t="str">
        <x:v>U02752</x:v>
      </x:c>
      <x:c r="B2758" s="18" t="n">
        <x:v>46287</x:v>
      </x:c>
      <x:c r="C2758" s="17" t="str">
        <x:v>W0212</x:v>
      </x:c>
      <x:c r="D2758" s="17" t="str">
        <x:v>C004</x:v>
      </x:c>
      <x:c r="E2758" s="17" t="str">
        <x:v>CampaignChat</x:v>
      </x:c>
      <x:c r="F2758" s="17" t="str">
        <x:v>Lite</x:v>
      </x:c>
      <x:c r="G2758" s="17" t="n">
        <x:v>40284</x:v>
      </x:c>
      <x:c r="H2758" s="17" t="n">
        <x:v>2378</x:v>
      </x:c>
      <x:c r="I2758" s="17" t="str">
        <x:v>Correction</x:v>
      </x:c>
      <x:c r="J2758" s="27" t="n">
        <x:f>INDEX('Model Pricing'!$B$7:$B$8,MATCH(F2758,'Model Pricing'!$A$7:$A$8,0))</x:f>
        <x:v>10</x:v>
      </x:c>
      <x:c r="K2758" s="27" t="n">
        <x:f>INDEX('Model Pricing'!$C$7:$C$8,MATCH(F2758,'Model Pricing'!$A$7:$A$8,0))</x:f>
        <x:v>30</x:v>
      </x:c>
      <x:c r="L2758" s="17" t="n">
        <x:f>G2758+H2758</x:f>
        <x:v>42662</x:v>
      </x:c>
      <x:c r="M2758" s="28" t="n">
        <x:f>G2758*J2758/1000000</x:f>
        <x:v>0.40284</x:v>
      </x:c>
      <x:c r="N2758" s="28" t="n">
        <x:f>H2758*K2758/1000000</x:f>
        <x:v>0.07134</x:v>
      </x:c>
      <x:c r="O2758" s="28" t="n">
        <x:f>SUM(M2758:N2758)</x:f>
        <x:v>0.47418</x:v>
      </x:c>
    </x:row>
    <x:row r="2759" ht="23" customHeight="1">
      <x:c r="A2759" s="17" t="str">
        <x:v>U02753</x:v>
      </x:c>
      <x:c r="B2759" s="18" t="n">
        <x:v>46287</x:v>
      </x:c>
      <x:c r="C2759" s="17" t="str">
        <x:v>W0212</x:v>
      </x:c>
      <x:c r="D2759" s="17" t="str">
        <x:v>C004</x:v>
      </x:c>
      <x:c r="E2759" s="17" t="str">
        <x:v>CampaignChat</x:v>
      </x:c>
      <x:c r="F2759" s="17" t="str">
        <x:v>Lite</x:v>
      </x:c>
      <x:c r="G2759" s="17" t="n">
        <x:v>41902</x:v>
      </x:c>
      <x:c r="H2759" s="17" t="n">
        <x:v>3615</x:v>
      </x:c>
      <x:c r="I2759" s="17" t="str">
        <x:v>Correction</x:v>
      </x:c>
      <x:c r="J2759" s="27" t="n">
        <x:f>INDEX('Model Pricing'!$B$7:$B$8,MATCH(F2759,'Model Pricing'!$A$7:$A$8,0))</x:f>
        <x:v>10</x:v>
      </x:c>
      <x:c r="K2759" s="27" t="n">
        <x:f>INDEX('Model Pricing'!$C$7:$C$8,MATCH(F2759,'Model Pricing'!$A$7:$A$8,0))</x:f>
        <x:v>30</x:v>
      </x:c>
      <x:c r="L2759" s="17" t="n">
        <x:f>G2759+H2759</x:f>
        <x:v>45517</x:v>
      </x:c>
      <x:c r="M2759" s="28" t="n">
        <x:f>G2759*J2759/1000000</x:f>
        <x:v>0.41902</x:v>
      </x:c>
      <x:c r="N2759" s="28" t="n">
        <x:f>H2759*K2759/1000000</x:f>
        <x:v>0.10845</x:v>
      </x:c>
      <x:c r="O2759" s="28" t="n">
        <x:f>SUM(M2759:N2759)</x:f>
        <x:v>0.52747</x:v>
      </x:c>
    </x:row>
    <x:row r="2760" ht="23" customHeight="1">
      <x:c r="A2760" s="17" t="str">
        <x:v>U02754</x:v>
      </x:c>
      <x:c r="B2760" s="18" t="n">
        <x:v>46288</x:v>
      </x:c>
      <x:c r="C2760" s="17" t="str">
        <x:v>W0212</x:v>
      </x:c>
      <x:c r="D2760" s="17" t="str">
        <x:v>C004</x:v>
      </x:c>
      <x:c r="E2760" s="17" t="str">
        <x:v>CampaignChat</x:v>
      </x:c>
      <x:c r="F2760" s="17" t="str">
        <x:v>Lite</x:v>
      </x:c>
      <x:c r="G2760" s="17" t="n">
        <x:v>30933</x:v>
      </x:c>
      <x:c r="H2760" s="17" t="n">
        <x:v>1254</x:v>
      </x:c>
      <x:c r="I2760" s="17" t="str">
        <x:v>Followup</x:v>
      </x:c>
      <x:c r="J2760" s="27" t="n">
        <x:f>INDEX('Model Pricing'!$B$7:$B$8,MATCH(F2760,'Model Pricing'!$A$7:$A$8,0))</x:f>
        <x:v>10</x:v>
      </x:c>
      <x:c r="K2760" s="27" t="n">
        <x:f>INDEX('Model Pricing'!$C$7:$C$8,MATCH(F2760,'Model Pricing'!$A$7:$A$8,0))</x:f>
        <x:v>30</x:v>
      </x:c>
      <x:c r="L2760" s="17" t="n">
        <x:f>G2760+H2760</x:f>
        <x:v>32187</x:v>
      </x:c>
      <x:c r="M2760" s="28" t="n">
        <x:f>G2760*J2760/1000000</x:f>
        <x:v>0.30933</x:v>
      </x:c>
      <x:c r="N2760" s="28" t="n">
        <x:f>H2760*K2760/1000000</x:f>
        <x:v>0.03762</x:v>
      </x:c>
      <x:c r="O2760" s="28" t="n">
        <x:f>SUM(M2760:N2760)</x:f>
        <x:v>0.34695</x:v>
      </x:c>
    </x:row>
    <x:row r="2761" ht="23" customHeight="1">
      <x:c r="A2761" s="17" t="str">
        <x:v>U02755</x:v>
      </x:c>
      <x:c r="B2761" s="18" t="n">
        <x:v>46288</x:v>
      </x:c>
      <x:c r="C2761" s="17" t="str">
        <x:v>W0212</x:v>
      </x:c>
      <x:c r="D2761" s="17" t="str">
        <x:v>C004</x:v>
      </x:c>
      <x:c r="E2761" s="17" t="str">
        <x:v>CampaignChat</x:v>
      </x:c>
      <x:c r="F2761" s="17" t="str">
        <x:v>Lite</x:v>
      </x:c>
      <x:c r="G2761" s="17" t="n">
        <x:v>27287</x:v>
      </x:c>
      <x:c r="H2761" s="17" t="n">
        <x:v>3703</x:v>
      </x:c>
      <x:c r="I2761" s="17" t="str">
        <x:v>Followup</x:v>
      </x:c>
      <x:c r="J2761" s="27" t="n">
        <x:f>INDEX('Model Pricing'!$B$7:$B$8,MATCH(F2761,'Model Pricing'!$A$7:$A$8,0))</x:f>
        <x:v>10</x:v>
      </x:c>
      <x:c r="K2761" s="27" t="n">
        <x:f>INDEX('Model Pricing'!$C$7:$C$8,MATCH(F2761,'Model Pricing'!$A$7:$A$8,0))</x:f>
        <x:v>30</x:v>
      </x:c>
      <x:c r="L2761" s="17" t="n">
        <x:f>G2761+H2761</x:f>
        <x:v>30990</x:v>
      </x:c>
      <x:c r="M2761" s="28" t="n">
        <x:f>G2761*J2761/1000000</x:f>
        <x:v>0.27287</x:v>
      </x:c>
      <x:c r="N2761" s="28" t="n">
        <x:f>H2761*K2761/1000000</x:f>
        <x:v>0.11109</x:v>
      </x:c>
      <x:c r="O2761" s="28" t="n">
        <x:f>SUM(M2761:N2761)</x:f>
        <x:v>0.38395999999999997</x:v>
      </x:c>
    </x:row>
    <x:row r="2762" ht="23" customHeight="1">
      <x:c r="A2762" s="17" t="str">
        <x:v>U02756</x:v>
      </x:c>
      <x:c r="B2762" s="18" t="n">
        <x:v>46288</x:v>
      </x:c>
      <x:c r="C2762" s="17" t="str">
        <x:v>W0212</x:v>
      </x:c>
      <x:c r="D2762" s="17" t="str">
        <x:v>C004</x:v>
      </x:c>
      <x:c r="E2762" s="17" t="str">
        <x:v>CampaignChat</x:v>
      </x:c>
      <x:c r="F2762" s="17" t="str">
        <x:v>Lite</x:v>
      </x:c>
      <x:c r="G2762" s="17" t="n">
        <x:v>17183</x:v>
      </x:c>
      <x:c r="H2762" s="17" t="n">
        <x:v>3836</x:v>
      </x:c>
      <x:c r="I2762" s="17" t="str">
        <x:v>Followup</x:v>
      </x:c>
      <x:c r="J2762" s="27" t="n">
        <x:f>INDEX('Model Pricing'!$B$7:$B$8,MATCH(F2762,'Model Pricing'!$A$7:$A$8,0))</x:f>
        <x:v>10</x:v>
      </x:c>
      <x:c r="K2762" s="27" t="n">
        <x:f>INDEX('Model Pricing'!$C$7:$C$8,MATCH(F2762,'Model Pricing'!$A$7:$A$8,0))</x:f>
        <x:v>30</x:v>
      </x:c>
      <x:c r="L2762" s="17" t="n">
        <x:f>G2762+H2762</x:f>
        <x:v>21019</x:v>
      </x:c>
      <x:c r="M2762" s="28" t="n">
        <x:f>G2762*J2762/1000000</x:f>
        <x:v>0.17183</x:v>
      </x:c>
      <x:c r="N2762" s="28" t="n">
        <x:f>H2762*K2762/1000000</x:f>
        <x:v>0.11508</x:v>
      </x:c>
      <x:c r="O2762" s="28" t="n">
        <x:f>SUM(M2762:N2762)</x:f>
        <x:v>0.28691</x:v>
      </x:c>
    </x:row>
    <x:row r="2763" ht="23" customHeight="1">
      <x:c r="A2763" s="17" t="str">
        <x:v>U02757</x:v>
      </x:c>
      <x:c r="B2763" s="18" t="n">
        <x:v>46288</x:v>
      </x:c>
      <x:c r="C2763" s="17" t="str">
        <x:v>W0212</x:v>
      </x:c>
      <x:c r="D2763" s="17" t="str">
        <x:v>C004</x:v>
      </x:c>
      <x:c r="E2763" s="17" t="str">
        <x:v>CampaignChat</x:v>
      </x:c>
      <x:c r="F2763" s="17" t="str">
        <x:v>Lite</x:v>
      </x:c>
      <x:c r="G2763" s="17" t="n">
        <x:v>37082</x:v>
      </x:c>
      <x:c r="H2763" s="17" t="n">
        <x:v>2672</x:v>
      </x:c>
      <x:c r="I2763" s="17" t="str">
        <x:v>Followup</x:v>
      </x:c>
      <x:c r="J2763" s="27" t="n">
        <x:f>INDEX('Model Pricing'!$B$7:$B$8,MATCH(F2763,'Model Pricing'!$A$7:$A$8,0))</x:f>
        <x:v>10</x:v>
      </x:c>
      <x:c r="K2763" s="27" t="n">
        <x:f>INDEX('Model Pricing'!$C$7:$C$8,MATCH(F2763,'Model Pricing'!$A$7:$A$8,0))</x:f>
        <x:v>30</x:v>
      </x:c>
      <x:c r="L2763" s="17" t="n">
        <x:f>G2763+H2763</x:f>
        <x:v>39754</x:v>
      </x:c>
      <x:c r="M2763" s="28" t="n">
        <x:f>G2763*J2763/1000000</x:f>
        <x:v>0.37082</x:v>
      </x:c>
      <x:c r="N2763" s="28" t="n">
        <x:f>H2763*K2763/1000000</x:f>
        <x:v>0.08016</x:v>
      </x:c>
      <x:c r="O2763" s="28" t="n">
        <x:f>SUM(M2763:N2763)</x:f>
        <x:v>0.45098</x:v>
      </x:c>
    </x:row>
    <x:row r="2764" ht="23" customHeight="1">
      <x:c r="A2764" s="17" t="str">
        <x:v>U02758</x:v>
      </x:c>
      <x:c r="B2764" s="18" t="n">
        <x:v>46288</x:v>
      </x:c>
      <x:c r="C2764" s="17" t="str">
        <x:v>W0212</x:v>
      </x:c>
      <x:c r="D2764" s="17" t="str">
        <x:v>C004</x:v>
      </x:c>
      <x:c r="E2764" s="17" t="str">
        <x:v>CampaignChat</x:v>
      </x:c>
      <x:c r="F2764" s="17" t="str">
        <x:v>Lite</x:v>
      </x:c>
      <x:c r="G2764" s="17" t="n">
        <x:v>28993</x:v>
      </x:c>
      <x:c r="H2764" s="17" t="n">
        <x:v>1078</x:v>
      </x:c>
      <x:c r="I2764" s="17" t="str">
        <x:v>Followup</x:v>
      </x:c>
      <x:c r="J2764" s="27" t="n">
        <x:f>INDEX('Model Pricing'!$B$7:$B$8,MATCH(F2764,'Model Pricing'!$A$7:$A$8,0))</x:f>
        <x:v>10</x:v>
      </x:c>
      <x:c r="K2764" s="27" t="n">
        <x:f>INDEX('Model Pricing'!$C$7:$C$8,MATCH(F2764,'Model Pricing'!$A$7:$A$8,0))</x:f>
        <x:v>30</x:v>
      </x:c>
      <x:c r="L2764" s="17" t="n">
        <x:f>G2764+H2764</x:f>
        <x:v>30071</x:v>
      </x:c>
      <x:c r="M2764" s="28" t="n">
        <x:f>G2764*J2764/1000000</x:f>
        <x:v>0.28993</x:v>
      </x:c>
      <x:c r="N2764" s="28" t="n">
        <x:f>H2764*K2764/1000000</x:f>
        <x:v>0.03234</x:v>
      </x:c>
      <x:c r="O2764" s="28" t="n">
        <x:f>SUM(M2764:N2764)</x:f>
        <x:v>0.32227</x:v>
      </x:c>
    </x:row>
    <x:row r="2765" ht="23" customHeight="1">
      <x:c r="A2765" s="17" t="str">
        <x:v>U02759</x:v>
      </x:c>
      <x:c r="B2765" s="18" t="n">
        <x:v>46289</x:v>
      </x:c>
      <x:c r="C2765" s="17" t="str">
        <x:v>W0212</x:v>
      </x:c>
      <x:c r="D2765" s="17" t="str">
        <x:v>C004</x:v>
      </x:c>
      <x:c r="E2765" s="17" t="str">
        <x:v>CampaignChat</x:v>
      </x:c>
      <x:c r="F2765" s="17" t="str">
        <x:v>Lite</x:v>
      </x:c>
      <x:c r="G2765" s="17" t="n">
        <x:v>36122</x:v>
      </x:c>
      <x:c r="H2765" s="17" t="n">
        <x:v>2537</x:v>
      </x:c>
      <x:c r="I2765" s="17" t="str">
        <x:v>Correction</x:v>
      </x:c>
      <x:c r="J2765" s="27" t="n">
        <x:f>INDEX('Model Pricing'!$B$7:$B$8,MATCH(F2765,'Model Pricing'!$A$7:$A$8,0))</x:f>
        <x:v>10</x:v>
      </x:c>
      <x:c r="K2765" s="27" t="n">
        <x:f>INDEX('Model Pricing'!$C$7:$C$8,MATCH(F2765,'Model Pricing'!$A$7:$A$8,0))</x:f>
        <x:v>30</x:v>
      </x:c>
      <x:c r="L2765" s="17" t="n">
        <x:f>G2765+H2765</x:f>
        <x:v>38659</x:v>
      </x:c>
      <x:c r="M2765" s="28" t="n">
        <x:f>G2765*J2765/1000000</x:f>
        <x:v>0.36122</x:v>
      </x:c>
      <x:c r="N2765" s="28" t="n">
        <x:f>H2765*K2765/1000000</x:f>
        <x:v>0.07611</x:v>
      </x:c>
      <x:c r="O2765" s="28" t="n">
        <x:f>SUM(M2765:N2765)</x:f>
        <x:v>0.43733</x:v>
      </x:c>
    </x:row>
    <x:row r="2766" ht="23" customHeight="1">
      <x:c r="A2766" s="17" t="str">
        <x:v>U02760</x:v>
      </x:c>
      <x:c r="B2766" s="18" t="n">
        <x:v>46289</x:v>
      </x:c>
      <x:c r="C2766" s="17" t="str">
        <x:v>W0212</x:v>
      </x:c>
      <x:c r="D2766" s="17" t="str">
        <x:v>C004</x:v>
      </x:c>
      <x:c r="E2766" s="17" t="str">
        <x:v>CampaignChat</x:v>
      </x:c>
      <x:c r="F2766" s="17" t="str">
        <x:v>Lite</x:v>
      </x:c>
      <x:c r="G2766" s="17" t="n">
        <x:v>17425</x:v>
      </x:c>
      <x:c r="H2766" s="17" t="n">
        <x:v>3662</x:v>
      </x:c>
      <x:c r="I2766" s="17" t="str">
        <x:v>Followup</x:v>
      </x:c>
      <x:c r="J2766" s="27" t="n">
        <x:f>INDEX('Model Pricing'!$B$7:$B$8,MATCH(F2766,'Model Pricing'!$A$7:$A$8,0))</x:f>
        <x:v>10</x:v>
      </x:c>
      <x:c r="K2766" s="27" t="n">
        <x:f>INDEX('Model Pricing'!$C$7:$C$8,MATCH(F2766,'Model Pricing'!$A$7:$A$8,0))</x:f>
        <x:v>30</x:v>
      </x:c>
      <x:c r="L2766" s="17" t="n">
        <x:f>G2766+H2766</x:f>
        <x:v>21087</x:v>
      </x:c>
      <x:c r="M2766" s="28" t="n">
        <x:f>G2766*J2766/1000000</x:f>
        <x:v>0.17425</x:v>
      </x:c>
      <x:c r="N2766" s="28" t="n">
        <x:f>H2766*K2766/1000000</x:f>
        <x:v>0.10986</x:v>
      </x:c>
      <x:c r="O2766" s="28" t="n">
        <x:f>SUM(M2766:N2766)</x:f>
        <x:v>0.28411</x:v>
      </x:c>
    </x:row>
    <x:row r="2767" ht="23" customHeight="1">
      <x:c r="A2767" s="17" t="str">
        <x:v>U02761</x:v>
      </x:c>
      <x:c r="B2767" s="18" t="n">
        <x:v>46289</x:v>
      </x:c>
      <x:c r="C2767" s="17" t="str">
        <x:v>W0212</x:v>
      </x:c>
      <x:c r="D2767" s="17" t="str">
        <x:v>C004</x:v>
      </x:c>
      <x:c r="E2767" s="17" t="str">
        <x:v>CampaignChat</x:v>
      </x:c>
      <x:c r="F2767" s="17" t="str">
        <x:v>Lite</x:v>
      </x:c>
      <x:c r="G2767" s="17" t="n">
        <x:v>29042</x:v>
      </x:c>
      <x:c r="H2767" s="17" t="n">
        <x:v>4088</x:v>
      </x:c>
      <x:c r="I2767" s="17" t="str">
        <x:v>Correction</x:v>
      </x:c>
      <x:c r="J2767" s="27" t="n">
        <x:f>INDEX('Model Pricing'!$B$7:$B$8,MATCH(F2767,'Model Pricing'!$A$7:$A$8,0))</x:f>
        <x:v>10</x:v>
      </x:c>
      <x:c r="K2767" s="27" t="n">
        <x:f>INDEX('Model Pricing'!$C$7:$C$8,MATCH(F2767,'Model Pricing'!$A$7:$A$8,0))</x:f>
        <x:v>30</x:v>
      </x:c>
      <x:c r="L2767" s="17" t="n">
        <x:f>G2767+H2767</x:f>
        <x:v>33130</x:v>
      </x:c>
      <x:c r="M2767" s="28" t="n">
        <x:f>G2767*J2767/1000000</x:f>
        <x:v>0.29042</x:v>
      </x:c>
      <x:c r="N2767" s="28" t="n">
        <x:f>H2767*K2767/1000000</x:f>
        <x:v>0.12264</x:v>
      </x:c>
      <x:c r="O2767" s="28" t="n">
        <x:f>SUM(M2767:N2767)</x:f>
        <x:v>0.41306</x:v>
      </x:c>
    </x:row>
    <x:row r="2768" ht="23" customHeight="1">
      <x:c r="A2768" s="17" t="str">
        <x:v>U02762</x:v>
      </x:c>
      <x:c r="B2768" s="18" t="n">
        <x:v>46289</x:v>
      </x:c>
      <x:c r="C2768" s="17" t="str">
        <x:v>W0212</x:v>
      </x:c>
      <x:c r="D2768" s="17" t="str">
        <x:v>C004</x:v>
      </x:c>
      <x:c r="E2768" s="17" t="str">
        <x:v>CampaignChat</x:v>
      </x:c>
      <x:c r="F2768" s="17" t="str">
        <x:v>Lite</x:v>
      </x:c>
      <x:c r="G2768" s="17" t="n">
        <x:v>15491</x:v>
      </x:c>
      <x:c r="H2768" s="17" t="n">
        <x:v>1742</x:v>
      </x:c>
      <x:c r="I2768" s="17" t="str">
        <x:v>Followup</x:v>
      </x:c>
      <x:c r="J2768" s="27" t="n">
        <x:f>INDEX('Model Pricing'!$B$7:$B$8,MATCH(F2768,'Model Pricing'!$A$7:$A$8,0))</x:f>
        <x:v>10</x:v>
      </x:c>
      <x:c r="K2768" s="27" t="n">
        <x:f>INDEX('Model Pricing'!$C$7:$C$8,MATCH(F2768,'Model Pricing'!$A$7:$A$8,0))</x:f>
        <x:v>30</x:v>
      </x:c>
      <x:c r="L2768" s="17" t="n">
        <x:f>G2768+H2768</x:f>
        <x:v>17233</x:v>
      </x:c>
      <x:c r="M2768" s="28" t="n">
        <x:f>G2768*J2768/1000000</x:f>
        <x:v>0.15491</x:v>
      </x:c>
      <x:c r="N2768" s="28" t="n">
        <x:f>H2768*K2768/1000000</x:f>
        <x:v>0.05226</x:v>
      </x:c>
      <x:c r="O2768" s="28" t="n">
        <x:f>SUM(M2768:N2768)</x:f>
        <x:v>0.20717</x:v>
      </x:c>
    </x:row>
    <x:row r="2769" ht="23" customHeight="1">
      <x:c r="A2769" s="17" t="str">
        <x:v>U02763</x:v>
      </x:c>
      <x:c r="B2769" s="18" t="n">
        <x:v>46268</x:v>
      </x:c>
      <x:c r="C2769" s="17" t="str">
        <x:v>W0213</x:v>
      </x:c>
      <x:c r="D2769" s="17" t="str">
        <x:v>C004</x:v>
      </x:c>
      <x:c r="E2769" s="17" t="str">
        <x:v>CampaignChat</x:v>
      </x:c>
      <x:c r="F2769" s="17" t="str">
        <x:v>Lite</x:v>
      </x:c>
      <x:c r="G2769" s="17" t="n">
        <x:v>14843</x:v>
      </x:c>
      <x:c r="H2769" s="17" t="n">
        <x:v>2882</x:v>
      </x:c>
      <x:c r="I2769" s="17" t="str">
        <x:v>First attempt</x:v>
      </x:c>
      <x:c r="J2769" s="27" t="n">
        <x:f>INDEX('Model Pricing'!$B$7:$B$8,MATCH(F2769,'Model Pricing'!$A$7:$A$8,0))</x:f>
        <x:v>10</x:v>
      </x:c>
      <x:c r="K2769" s="27" t="n">
        <x:f>INDEX('Model Pricing'!$C$7:$C$8,MATCH(F2769,'Model Pricing'!$A$7:$A$8,0))</x:f>
        <x:v>30</x:v>
      </x:c>
      <x:c r="L2769" s="17" t="n">
        <x:f>G2769+H2769</x:f>
        <x:v>17725</x:v>
      </x:c>
      <x:c r="M2769" s="28" t="n">
        <x:f>G2769*J2769/1000000</x:f>
        <x:v>0.14843</x:v>
      </x:c>
      <x:c r="N2769" s="28" t="n">
        <x:f>H2769*K2769/1000000</x:f>
        <x:v>0.08646</x:v>
      </x:c>
      <x:c r="O2769" s="28" t="n">
        <x:f>SUM(M2769:N2769)</x:f>
        <x:v>0.23489</x:v>
      </x:c>
    </x:row>
    <x:row r="2770" ht="23" customHeight="1">
      <x:c r="A2770" s="17" t="str">
        <x:v>U02764</x:v>
      </x:c>
      <x:c r="B2770" s="18" t="n">
        <x:v>46268</x:v>
      </x:c>
      <x:c r="C2770" s="17" t="str">
        <x:v>W0213</x:v>
      </x:c>
      <x:c r="D2770" s="17" t="str">
        <x:v>C004</x:v>
      </x:c>
      <x:c r="E2770" s="17" t="str">
        <x:v>CampaignChat</x:v>
      </x:c>
      <x:c r="F2770" s="17" t="str">
        <x:v>Lite</x:v>
      </x:c>
      <x:c r="G2770" s="17" t="n">
        <x:v>8137</x:v>
      </x:c>
      <x:c r="H2770" s="17" t="n">
        <x:v>6285</x:v>
      </x:c>
      <x:c r="I2770" s="17" t="str">
        <x:v>Followup</x:v>
      </x:c>
      <x:c r="J2770" s="27" t="n">
        <x:f>INDEX('Model Pricing'!$B$7:$B$8,MATCH(F2770,'Model Pricing'!$A$7:$A$8,0))</x:f>
        <x:v>10</x:v>
      </x:c>
      <x:c r="K2770" s="27" t="n">
        <x:f>INDEX('Model Pricing'!$C$7:$C$8,MATCH(F2770,'Model Pricing'!$A$7:$A$8,0))</x:f>
        <x:v>30</x:v>
      </x:c>
      <x:c r="L2770" s="17" t="n">
        <x:f>G2770+H2770</x:f>
        <x:v>14422</x:v>
      </x:c>
      <x:c r="M2770" s="28" t="n">
        <x:f>G2770*J2770/1000000</x:f>
        <x:v>0.08137</x:v>
      </x:c>
      <x:c r="N2770" s="28" t="n">
        <x:f>H2770*K2770/1000000</x:f>
        <x:v>0.18855</x:v>
      </x:c>
      <x:c r="O2770" s="28" t="n">
        <x:f>SUM(M2770:N2770)</x:f>
        <x:v>0.26992</x:v>
      </x:c>
    </x:row>
    <x:row r="2771" ht="23" customHeight="1">
      <x:c r="A2771" s="17" t="str">
        <x:v>U02765</x:v>
      </x:c>
      <x:c r="B2771" s="18" t="n">
        <x:v>46268</x:v>
      </x:c>
      <x:c r="C2771" s="17" t="str">
        <x:v>W0213</x:v>
      </x:c>
      <x:c r="D2771" s="17" t="str">
        <x:v>C004</x:v>
      </x:c>
      <x:c r="E2771" s="17" t="str">
        <x:v>CampaignChat</x:v>
      </x:c>
      <x:c r="F2771" s="17" t="str">
        <x:v>Lite</x:v>
      </x:c>
      <x:c r="G2771" s="17" t="n">
        <x:v>10268</x:v>
      </x:c>
      <x:c r="H2771" s="17" t="n">
        <x:v>5716</x:v>
      </x:c>
      <x:c r="I2771" s="17" t="str">
        <x:v>Followup</x:v>
      </x:c>
      <x:c r="J2771" s="27" t="n">
        <x:f>INDEX('Model Pricing'!$B$7:$B$8,MATCH(F2771,'Model Pricing'!$A$7:$A$8,0))</x:f>
        <x:v>10</x:v>
      </x:c>
      <x:c r="K2771" s="27" t="n">
        <x:f>INDEX('Model Pricing'!$C$7:$C$8,MATCH(F2771,'Model Pricing'!$A$7:$A$8,0))</x:f>
        <x:v>30</x:v>
      </x:c>
      <x:c r="L2771" s="17" t="n">
        <x:f>G2771+H2771</x:f>
        <x:v>15984</x:v>
      </x:c>
      <x:c r="M2771" s="28" t="n">
        <x:f>G2771*J2771/1000000</x:f>
        <x:v>0.10268</x:v>
      </x:c>
      <x:c r="N2771" s="28" t="n">
        <x:f>H2771*K2771/1000000</x:f>
        <x:v>0.17148</x:v>
      </x:c>
      <x:c r="O2771" s="28" t="n">
        <x:f>SUM(M2771:N2771)</x:f>
        <x:v>0.27415999999999996</x:v>
      </x:c>
    </x:row>
    <x:row r="2772" ht="23" customHeight="1">
      <x:c r="A2772" s="17" t="str">
        <x:v>U02766</x:v>
      </x:c>
      <x:c r="B2772" s="18" t="n">
        <x:v>46269</x:v>
      </x:c>
      <x:c r="C2772" s="17" t="str">
        <x:v>W0213</x:v>
      </x:c>
      <x:c r="D2772" s="17" t="str">
        <x:v>C004</x:v>
      </x:c>
      <x:c r="E2772" s="17" t="str">
        <x:v>CampaignChat</x:v>
      </x:c>
      <x:c r="F2772" s="17" t="str">
        <x:v>Lite</x:v>
      </x:c>
      <x:c r="G2772" s="17" t="n">
        <x:v>9807</x:v>
      </x:c>
      <x:c r="H2772" s="17" t="n">
        <x:v>3234</x:v>
      </x:c>
      <x:c r="I2772" s="17" t="str">
        <x:v>Followup</x:v>
      </x:c>
      <x:c r="J2772" s="27" t="n">
        <x:f>INDEX('Model Pricing'!$B$7:$B$8,MATCH(F2772,'Model Pricing'!$A$7:$A$8,0))</x:f>
        <x:v>10</x:v>
      </x:c>
      <x:c r="K2772" s="27" t="n">
        <x:f>INDEX('Model Pricing'!$C$7:$C$8,MATCH(F2772,'Model Pricing'!$A$7:$A$8,0))</x:f>
        <x:v>30</x:v>
      </x:c>
      <x:c r="L2772" s="17" t="n">
        <x:f>G2772+H2772</x:f>
        <x:v>13041</x:v>
      </x:c>
      <x:c r="M2772" s="28" t="n">
        <x:f>G2772*J2772/1000000</x:f>
        <x:v>0.09807</x:v>
      </x:c>
      <x:c r="N2772" s="28" t="n">
        <x:f>H2772*K2772/1000000</x:f>
        <x:v>0.09702</x:v>
      </x:c>
      <x:c r="O2772" s="28" t="n">
        <x:f>SUM(M2772:N2772)</x:f>
        <x:v>0.19508999999999999</x:v>
      </x:c>
    </x:row>
    <x:row r="2773" ht="23" customHeight="1">
      <x:c r="A2773" s="17" t="str">
        <x:v>U02767</x:v>
      </x:c>
      <x:c r="B2773" s="18" t="n">
        <x:v>46269</x:v>
      </x:c>
      <x:c r="C2773" s="17" t="str">
        <x:v>W0213</x:v>
      </x:c>
      <x:c r="D2773" s="17" t="str">
        <x:v>C004</x:v>
      </x:c>
      <x:c r="E2773" s="17" t="str">
        <x:v>CampaignChat</x:v>
      </x:c>
      <x:c r="F2773" s="17" t="str">
        <x:v>Lite</x:v>
      </x:c>
      <x:c r="G2773" s="17" t="n">
        <x:v>17866</x:v>
      </x:c>
      <x:c r="H2773" s="17" t="n">
        <x:v>3206</x:v>
      </x:c>
      <x:c r="I2773" s="17" t="str">
        <x:v>Followup</x:v>
      </x:c>
      <x:c r="J2773" s="27" t="n">
        <x:f>INDEX('Model Pricing'!$B$7:$B$8,MATCH(F2773,'Model Pricing'!$A$7:$A$8,0))</x:f>
        <x:v>10</x:v>
      </x:c>
      <x:c r="K2773" s="27" t="n">
        <x:f>INDEX('Model Pricing'!$C$7:$C$8,MATCH(F2773,'Model Pricing'!$A$7:$A$8,0))</x:f>
        <x:v>30</x:v>
      </x:c>
      <x:c r="L2773" s="17" t="n">
        <x:f>G2773+H2773</x:f>
        <x:v>21072</x:v>
      </x:c>
      <x:c r="M2773" s="28" t="n">
        <x:f>G2773*J2773/1000000</x:f>
        <x:v>0.17866</x:v>
      </x:c>
      <x:c r="N2773" s="28" t="n">
        <x:f>H2773*K2773/1000000</x:f>
        <x:v>0.09618</x:v>
      </x:c>
      <x:c r="O2773" s="28" t="n">
        <x:f>SUM(M2773:N2773)</x:f>
        <x:v>0.27484000000000003</x:v>
      </x:c>
    </x:row>
    <x:row r="2774" ht="23" customHeight="1">
      <x:c r="A2774" s="17" t="str">
        <x:v>U02768</x:v>
      </x:c>
      <x:c r="B2774" s="18" t="n">
        <x:v>46269</x:v>
      </x:c>
      <x:c r="C2774" s="17" t="str">
        <x:v>W0213</x:v>
      </x:c>
      <x:c r="D2774" s="17" t="str">
        <x:v>C004</x:v>
      </x:c>
      <x:c r="E2774" s="17" t="str">
        <x:v>CampaignChat</x:v>
      </x:c>
      <x:c r="F2774" s="17" t="str">
        <x:v>Lite</x:v>
      </x:c>
      <x:c r="G2774" s="17" t="n">
        <x:v>11031</x:v>
      </x:c>
      <x:c r="H2774" s="17" t="n">
        <x:v>4134</x:v>
      </x:c>
      <x:c r="I2774" s="17" t="str">
        <x:v>Correction</x:v>
      </x:c>
      <x:c r="J2774" s="27" t="n">
        <x:f>INDEX('Model Pricing'!$B$7:$B$8,MATCH(F2774,'Model Pricing'!$A$7:$A$8,0))</x:f>
        <x:v>10</x:v>
      </x:c>
      <x:c r="K2774" s="27" t="n">
        <x:f>INDEX('Model Pricing'!$C$7:$C$8,MATCH(F2774,'Model Pricing'!$A$7:$A$8,0))</x:f>
        <x:v>30</x:v>
      </x:c>
      <x:c r="L2774" s="17" t="n">
        <x:f>G2774+H2774</x:f>
        <x:v>15165</x:v>
      </x:c>
      <x:c r="M2774" s="28" t="n">
        <x:f>G2774*J2774/1000000</x:f>
        <x:v>0.11031</x:v>
      </x:c>
      <x:c r="N2774" s="28" t="n">
        <x:f>H2774*K2774/1000000</x:f>
        <x:v>0.12402</x:v>
      </x:c>
      <x:c r="O2774" s="28" t="n">
        <x:f>SUM(M2774:N2774)</x:f>
        <x:v>0.23433</x:v>
      </x:c>
    </x:row>
    <x:row r="2775" ht="23" customHeight="1">
      <x:c r="A2775" s="17" t="str">
        <x:v>U02769</x:v>
      </x:c>
      <x:c r="B2775" s="18" t="n">
        <x:v>46273</x:v>
      </x:c>
      <x:c r="C2775" s="17" t="str">
        <x:v>W0213</x:v>
      </x:c>
      <x:c r="D2775" s="17" t="str">
        <x:v>C004</x:v>
      </x:c>
      <x:c r="E2775" s="17" t="str">
        <x:v>CampaignChat</x:v>
      </x:c>
      <x:c r="F2775" s="17" t="str">
        <x:v>Lite</x:v>
      </x:c>
      <x:c r="G2775" s="17" t="n">
        <x:v>8228</x:v>
      </x:c>
      <x:c r="H2775" s="17" t="n">
        <x:v>6639</x:v>
      </x:c>
      <x:c r="I2775" s="17" t="str">
        <x:v>Followup</x:v>
      </x:c>
      <x:c r="J2775" s="27" t="n">
        <x:f>INDEX('Model Pricing'!$B$7:$B$8,MATCH(F2775,'Model Pricing'!$A$7:$A$8,0))</x:f>
        <x:v>10</x:v>
      </x:c>
      <x:c r="K2775" s="27" t="n">
        <x:f>INDEX('Model Pricing'!$C$7:$C$8,MATCH(F2775,'Model Pricing'!$A$7:$A$8,0))</x:f>
        <x:v>30</x:v>
      </x:c>
      <x:c r="L2775" s="17" t="n">
        <x:f>G2775+H2775</x:f>
        <x:v>14867</x:v>
      </x:c>
      <x:c r="M2775" s="28" t="n">
        <x:f>G2775*J2775/1000000</x:f>
        <x:v>0.08228</x:v>
      </x:c>
      <x:c r="N2775" s="28" t="n">
        <x:f>H2775*K2775/1000000</x:f>
        <x:v>0.19917</x:v>
      </x:c>
      <x:c r="O2775" s="28" t="n">
        <x:f>SUM(M2775:N2775)</x:f>
        <x:v>0.28145000000000003</x:v>
      </x:c>
    </x:row>
    <x:row r="2776" ht="23" customHeight="1">
      <x:c r="A2776" s="17" t="str">
        <x:v>U02770</x:v>
      </x:c>
      <x:c r="B2776" s="18" t="n">
        <x:v>46273</x:v>
      </x:c>
      <x:c r="C2776" s="17" t="str">
        <x:v>W0213</x:v>
      </x:c>
      <x:c r="D2776" s="17" t="str">
        <x:v>C004</x:v>
      </x:c>
      <x:c r="E2776" s="17" t="str">
        <x:v>CampaignChat</x:v>
      </x:c>
      <x:c r="F2776" s="17" t="str">
        <x:v>Lite</x:v>
      </x:c>
      <x:c r="G2776" s="17" t="n">
        <x:v>14762</x:v>
      </x:c>
      <x:c r="H2776" s="17" t="n">
        <x:v>4864</x:v>
      </x:c>
      <x:c r="I2776" s="17" t="str">
        <x:v>Followup</x:v>
      </x:c>
      <x:c r="J2776" s="27" t="n">
        <x:f>INDEX('Model Pricing'!$B$7:$B$8,MATCH(F2776,'Model Pricing'!$A$7:$A$8,0))</x:f>
        <x:v>10</x:v>
      </x:c>
      <x:c r="K2776" s="27" t="n">
        <x:f>INDEX('Model Pricing'!$C$7:$C$8,MATCH(F2776,'Model Pricing'!$A$7:$A$8,0))</x:f>
        <x:v>30</x:v>
      </x:c>
      <x:c r="L2776" s="17" t="n">
        <x:f>G2776+H2776</x:f>
        <x:v>19626</x:v>
      </x:c>
      <x:c r="M2776" s="28" t="n">
        <x:f>G2776*J2776/1000000</x:f>
        <x:v>0.14762</x:v>
      </x:c>
      <x:c r="N2776" s="28" t="n">
        <x:f>H2776*K2776/1000000</x:f>
        <x:v>0.14592</x:v>
      </x:c>
      <x:c r="O2776" s="28" t="n">
        <x:f>SUM(M2776:N2776)</x:f>
        <x:v>0.29354</x:v>
      </x:c>
    </x:row>
    <x:row r="2777" ht="23" customHeight="1">
      <x:c r="A2777" s="17" t="str">
        <x:v>U02771</x:v>
      </x:c>
      <x:c r="B2777" s="18" t="n">
        <x:v>46273</x:v>
      </x:c>
      <x:c r="C2777" s="17" t="str">
        <x:v>W0213</x:v>
      </x:c>
      <x:c r="D2777" s="17" t="str">
        <x:v>C004</x:v>
      </x:c>
      <x:c r="E2777" s="17" t="str">
        <x:v>CampaignChat</x:v>
      </x:c>
      <x:c r="F2777" s="17" t="str">
        <x:v>Lite</x:v>
      </x:c>
      <x:c r="G2777" s="17" t="n">
        <x:v>19367</x:v>
      </x:c>
      <x:c r="H2777" s="17" t="n">
        <x:v>3732</x:v>
      </x:c>
      <x:c r="I2777" s="17" t="str">
        <x:v>Followup</x:v>
      </x:c>
      <x:c r="J2777" s="27" t="n">
        <x:f>INDEX('Model Pricing'!$B$7:$B$8,MATCH(F2777,'Model Pricing'!$A$7:$A$8,0))</x:f>
        <x:v>10</x:v>
      </x:c>
      <x:c r="K2777" s="27" t="n">
        <x:f>INDEX('Model Pricing'!$C$7:$C$8,MATCH(F2777,'Model Pricing'!$A$7:$A$8,0))</x:f>
        <x:v>30</x:v>
      </x:c>
      <x:c r="L2777" s="17" t="n">
        <x:f>G2777+H2777</x:f>
        <x:v>23099</x:v>
      </x:c>
      <x:c r="M2777" s="28" t="n">
        <x:f>G2777*J2777/1000000</x:f>
        <x:v>0.19367</x:v>
      </x:c>
      <x:c r="N2777" s="28" t="n">
        <x:f>H2777*K2777/1000000</x:f>
        <x:v>0.11196</x:v>
      </x:c>
      <x:c r="O2777" s="28" t="n">
        <x:f>SUM(M2777:N2777)</x:f>
        <x:v>0.30563</x:v>
      </x:c>
    </x:row>
    <x:row r="2778" ht="23" customHeight="1">
      <x:c r="A2778" s="17" t="str">
        <x:v>U02772</x:v>
      </x:c>
      <x:c r="B2778" s="18" t="n">
        <x:v>46274</x:v>
      </x:c>
      <x:c r="C2778" s="17" t="str">
        <x:v>W0213</x:v>
      </x:c>
      <x:c r="D2778" s="17" t="str">
        <x:v>C004</x:v>
      </x:c>
      <x:c r="E2778" s="17" t="str">
        <x:v>CampaignChat</x:v>
      </x:c>
      <x:c r="F2778" s="17" t="str">
        <x:v>Lite</x:v>
      </x:c>
      <x:c r="G2778" s="17" t="n">
        <x:v>13679</x:v>
      </x:c>
      <x:c r="H2778" s="17" t="n">
        <x:v>6284</x:v>
      </x:c>
      <x:c r="I2778" s="17" t="str">
        <x:v>Correction</x:v>
      </x:c>
      <x:c r="J2778" s="27" t="n">
        <x:f>INDEX('Model Pricing'!$B$7:$B$8,MATCH(F2778,'Model Pricing'!$A$7:$A$8,0))</x:f>
        <x:v>10</x:v>
      </x:c>
      <x:c r="K2778" s="27" t="n">
        <x:f>INDEX('Model Pricing'!$C$7:$C$8,MATCH(F2778,'Model Pricing'!$A$7:$A$8,0))</x:f>
        <x:v>30</x:v>
      </x:c>
      <x:c r="L2778" s="17" t="n">
        <x:f>G2778+H2778</x:f>
        <x:v>19963</x:v>
      </x:c>
      <x:c r="M2778" s="28" t="n">
        <x:f>G2778*J2778/1000000</x:f>
        <x:v>0.13679</x:v>
      </x:c>
      <x:c r="N2778" s="28" t="n">
        <x:f>H2778*K2778/1000000</x:f>
        <x:v>0.18852</x:v>
      </x:c>
      <x:c r="O2778" s="28" t="n">
        <x:f>SUM(M2778:N2778)</x:f>
        <x:v>0.32531</x:v>
      </x:c>
    </x:row>
    <x:row r="2779" ht="23" customHeight="1">
      <x:c r="A2779" s="17" t="str">
        <x:v>U02773</x:v>
      </x:c>
      <x:c r="B2779" s="18" t="n">
        <x:v>46274</x:v>
      </x:c>
      <x:c r="C2779" s="17" t="str">
        <x:v>W0213</x:v>
      </x:c>
      <x:c r="D2779" s="17" t="str">
        <x:v>C004</x:v>
      </x:c>
      <x:c r="E2779" s="17" t="str">
        <x:v>CampaignChat</x:v>
      </x:c>
      <x:c r="F2779" s="17" t="str">
        <x:v>Lite</x:v>
      </x:c>
      <x:c r="G2779" s="17" t="n">
        <x:v>22345</x:v>
      </x:c>
      <x:c r="H2779" s="17" t="n">
        <x:v>5096</x:v>
      </x:c>
      <x:c r="I2779" s="17" t="str">
        <x:v>Correction</x:v>
      </x:c>
      <x:c r="J2779" s="27" t="n">
        <x:f>INDEX('Model Pricing'!$B$7:$B$8,MATCH(F2779,'Model Pricing'!$A$7:$A$8,0))</x:f>
        <x:v>10</x:v>
      </x:c>
      <x:c r="K2779" s="27" t="n">
        <x:f>INDEX('Model Pricing'!$C$7:$C$8,MATCH(F2779,'Model Pricing'!$A$7:$A$8,0))</x:f>
        <x:v>30</x:v>
      </x:c>
      <x:c r="L2779" s="17" t="n">
        <x:f>G2779+H2779</x:f>
        <x:v>27441</x:v>
      </x:c>
      <x:c r="M2779" s="28" t="n">
        <x:f>G2779*J2779/1000000</x:f>
        <x:v>0.22345</x:v>
      </x:c>
      <x:c r="N2779" s="28" t="n">
        <x:f>H2779*K2779/1000000</x:f>
        <x:v>0.15288</x:v>
      </x:c>
      <x:c r="O2779" s="28" t="n">
        <x:f>SUM(M2779:N2779)</x:f>
        <x:v>0.37633</x:v>
      </x:c>
    </x:row>
    <x:row r="2780" ht="23" customHeight="1">
      <x:c r="A2780" s="17" t="str">
        <x:v>U02774</x:v>
      </x:c>
      <x:c r="B2780" s="18" t="n">
        <x:v>46280</x:v>
      </x:c>
      <x:c r="C2780" s="17" t="str">
        <x:v>W0214</x:v>
      </x:c>
      <x:c r="D2780" s="17" t="str">
        <x:v>C004</x:v>
      </x:c>
      <x:c r="E2780" s="17" t="str">
        <x:v>DataFlow</x:v>
      </x:c>
      <x:c r="F2780" s="17" t="str">
        <x:v>Lite</x:v>
      </x:c>
      <x:c r="G2780" s="17" t="n">
        <x:v>28100</x:v>
      </x:c>
      <x:c r="H2780" s="17" t="n">
        <x:v>1852</x:v>
      </x:c>
      <x:c r="I2780" s="17" t="str">
        <x:v>First attempt</x:v>
      </x:c>
      <x:c r="J2780" s="27" t="n">
        <x:f>INDEX('Model Pricing'!$B$7:$B$8,MATCH(F2780,'Model Pricing'!$A$7:$A$8,0))</x:f>
        <x:v>10</x:v>
      </x:c>
      <x:c r="K2780" s="27" t="n">
        <x:f>INDEX('Model Pricing'!$C$7:$C$8,MATCH(F2780,'Model Pricing'!$A$7:$A$8,0))</x:f>
        <x:v>30</x:v>
      </x:c>
      <x:c r="L2780" s="17" t="n">
        <x:f>G2780+H2780</x:f>
        <x:v>29952</x:v>
      </x:c>
      <x:c r="M2780" s="28" t="n">
        <x:f>G2780*J2780/1000000</x:f>
        <x:v>0.281</x:v>
      </x:c>
      <x:c r="N2780" s="28" t="n">
        <x:f>H2780*K2780/1000000</x:f>
        <x:v>0.05556</x:v>
      </x:c>
      <x:c r="O2780" s="28" t="n">
        <x:f>SUM(M2780:N2780)</x:f>
        <x:v>0.33656</x:v>
      </x:c>
    </x:row>
    <x:row r="2781" ht="23" customHeight="1">
      <x:c r="A2781" s="17" t="str">
        <x:v>U02775</x:v>
      </x:c>
      <x:c r="B2781" s="18" t="n">
        <x:v>46280</x:v>
      </x:c>
      <x:c r="C2781" s="17" t="str">
        <x:v>W0214</x:v>
      </x:c>
      <x:c r="D2781" s="17" t="str">
        <x:v>C004</x:v>
      </x:c>
      <x:c r="E2781" s="17" t="str">
        <x:v>DataFlow</x:v>
      </x:c>
      <x:c r="F2781" s="17" t="str">
        <x:v>Lite</x:v>
      </x:c>
      <x:c r="G2781" s="17" t="n">
        <x:v>21304</x:v>
      </x:c>
      <x:c r="H2781" s="17" t="n">
        <x:v>3272</x:v>
      </x:c>
      <x:c r="I2781" s="17" t="str">
        <x:v>Followup</x:v>
      </x:c>
      <x:c r="J2781" s="27" t="n">
        <x:f>INDEX('Model Pricing'!$B$7:$B$8,MATCH(F2781,'Model Pricing'!$A$7:$A$8,0))</x:f>
        <x:v>10</x:v>
      </x:c>
      <x:c r="K2781" s="27" t="n">
        <x:f>INDEX('Model Pricing'!$C$7:$C$8,MATCH(F2781,'Model Pricing'!$A$7:$A$8,0))</x:f>
        <x:v>30</x:v>
      </x:c>
      <x:c r="L2781" s="17" t="n">
        <x:f>G2781+H2781</x:f>
        <x:v>24576</x:v>
      </x:c>
      <x:c r="M2781" s="28" t="n">
        <x:f>G2781*J2781/1000000</x:f>
        <x:v>0.21304</x:v>
      </x:c>
      <x:c r="N2781" s="28" t="n">
        <x:f>H2781*K2781/1000000</x:f>
        <x:v>0.09816</x:v>
      </x:c>
      <x:c r="O2781" s="28" t="n">
        <x:f>SUM(M2781:N2781)</x:f>
        <x:v>0.31120000000000003</x:v>
      </x:c>
    </x:row>
    <x:row r="2782" ht="23" customHeight="1">
      <x:c r="A2782" s="17" t="str">
        <x:v>U02776</x:v>
      </x:c>
      <x:c r="B2782" s="18" t="n">
        <x:v>46280</x:v>
      </x:c>
      <x:c r="C2782" s="17" t="str">
        <x:v>W0214</x:v>
      </x:c>
      <x:c r="D2782" s="17" t="str">
        <x:v>C004</x:v>
      </x:c>
      <x:c r="E2782" s="17" t="str">
        <x:v>DataFlow</x:v>
      </x:c>
      <x:c r="F2782" s="17" t="str">
        <x:v>Lite</x:v>
      </x:c>
      <x:c r="G2782" s="17" t="n">
        <x:v>26052</x:v>
      </x:c>
      <x:c r="H2782" s="17" t="n">
        <x:v>3816</x:v>
      </x:c>
      <x:c r="I2782" s="17" t="str">
        <x:v>Followup</x:v>
      </x:c>
      <x:c r="J2782" s="27" t="n">
        <x:f>INDEX('Model Pricing'!$B$7:$B$8,MATCH(F2782,'Model Pricing'!$A$7:$A$8,0))</x:f>
        <x:v>10</x:v>
      </x:c>
      <x:c r="K2782" s="27" t="n">
        <x:f>INDEX('Model Pricing'!$C$7:$C$8,MATCH(F2782,'Model Pricing'!$A$7:$A$8,0))</x:f>
        <x:v>30</x:v>
      </x:c>
      <x:c r="L2782" s="17" t="n">
        <x:f>G2782+H2782</x:f>
        <x:v>29868</x:v>
      </x:c>
      <x:c r="M2782" s="28" t="n">
        <x:f>G2782*J2782/1000000</x:f>
        <x:v>0.26052</x:v>
      </x:c>
      <x:c r="N2782" s="28" t="n">
        <x:f>H2782*K2782/1000000</x:f>
        <x:v>0.11448</x:v>
      </x:c>
      <x:c r="O2782" s="28" t="n">
        <x:f>SUM(M2782:N2782)</x:f>
        <x:v>0.375</x:v>
      </x:c>
    </x:row>
    <x:row r="2783" ht="23" customHeight="1">
      <x:c r="A2783" s="17" t="str">
        <x:v>U02777</x:v>
      </x:c>
      <x:c r="B2783" s="18" t="n">
        <x:v>46280</x:v>
      </x:c>
      <x:c r="C2783" s="17" t="str">
        <x:v>W0214</x:v>
      </x:c>
      <x:c r="D2783" s="17" t="str">
        <x:v>C004</x:v>
      </x:c>
      <x:c r="E2783" s="17" t="str">
        <x:v>DataFlow</x:v>
      </x:c>
      <x:c r="F2783" s="17" t="str">
        <x:v>Lite</x:v>
      </x:c>
      <x:c r="G2783" s="17" t="n">
        <x:v>15310</x:v>
      </x:c>
      <x:c r="H2783" s="17" t="n">
        <x:v>4259</x:v>
      </x:c>
      <x:c r="I2783" s="17" t="str">
        <x:v>Followup</x:v>
      </x:c>
      <x:c r="J2783" s="27" t="n">
        <x:f>INDEX('Model Pricing'!$B$7:$B$8,MATCH(F2783,'Model Pricing'!$A$7:$A$8,0))</x:f>
        <x:v>10</x:v>
      </x:c>
      <x:c r="K2783" s="27" t="n">
        <x:f>INDEX('Model Pricing'!$C$7:$C$8,MATCH(F2783,'Model Pricing'!$A$7:$A$8,0))</x:f>
        <x:v>30</x:v>
      </x:c>
      <x:c r="L2783" s="17" t="n">
        <x:f>G2783+H2783</x:f>
        <x:v>19569</x:v>
      </x:c>
      <x:c r="M2783" s="28" t="n">
        <x:f>G2783*J2783/1000000</x:f>
        <x:v>0.1531</x:v>
      </x:c>
      <x:c r="N2783" s="28" t="n">
        <x:f>H2783*K2783/1000000</x:f>
        <x:v>0.12777</x:v>
      </x:c>
      <x:c r="O2783" s="28" t="n">
        <x:f>SUM(M2783:N2783)</x:f>
        <x:v>0.28087</x:v>
      </x:c>
    </x:row>
    <x:row r="2784" ht="23" customHeight="1">
      <x:c r="A2784" s="17" t="str">
        <x:v>U02778</x:v>
      </x:c>
      <x:c r="B2784" s="18" t="n">
        <x:v>46281</x:v>
      </x:c>
      <x:c r="C2784" s="17" t="str">
        <x:v>W0214</x:v>
      </x:c>
      <x:c r="D2784" s="17" t="str">
        <x:v>C004</x:v>
      </x:c>
      <x:c r="E2784" s="17" t="str">
        <x:v>DataFlow</x:v>
      </x:c>
      <x:c r="F2784" s="17" t="str">
        <x:v>Lite</x:v>
      </x:c>
      <x:c r="G2784" s="17" t="n">
        <x:v>28914</x:v>
      </x:c>
      <x:c r="H2784" s="17" t="n">
        <x:v>3504</x:v>
      </x:c>
      <x:c r="I2784" s="17" t="str">
        <x:v>Correction</x:v>
      </x:c>
      <x:c r="J2784" s="27" t="n">
        <x:f>INDEX('Model Pricing'!$B$7:$B$8,MATCH(F2784,'Model Pricing'!$A$7:$A$8,0))</x:f>
        <x:v>10</x:v>
      </x:c>
      <x:c r="K2784" s="27" t="n">
        <x:f>INDEX('Model Pricing'!$C$7:$C$8,MATCH(F2784,'Model Pricing'!$A$7:$A$8,0))</x:f>
        <x:v>30</x:v>
      </x:c>
      <x:c r="L2784" s="17" t="n">
        <x:f>G2784+H2784</x:f>
        <x:v>32418</x:v>
      </x:c>
      <x:c r="M2784" s="28" t="n">
        <x:f>G2784*J2784/1000000</x:f>
        <x:v>0.28914</x:v>
      </x:c>
      <x:c r="N2784" s="28" t="n">
        <x:f>H2784*K2784/1000000</x:f>
        <x:v>0.10512</x:v>
      </x:c>
      <x:c r="O2784" s="28" t="n">
        <x:f>SUM(M2784:N2784)</x:f>
        <x:v>0.39426</x:v>
      </x:c>
    </x:row>
    <x:row r="2785" ht="23" customHeight="1">
      <x:c r="A2785" s="17" t="str">
        <x:v>U02779</x:v>
      </x:c>
      <x:c r="B2785" s="18" t="n">
        <x:v>46281</x:v>
      </x:c>
      <x:c r="C2785" s="17" t="str">
        <x:v>W0214</x:v>
      </x:c>
      <x:c r="D2785" s="17" t="str">
        <x:v>C004</x:v>
      </x:c>
      <x:c r="E2785" s="17" t="str">
        <x:v>DataFlow</x:v>
      </x:c>
      <x:c r="F2785" s="17" t="str">
        <x:v>Lite</x:v>
      </x:c>
      <x:c r="G2785" s="17" t="n">
        <x:v>20455</x:v>
      </x:c>
      <x:c r="H2785" s="17" t="n">
        <x:v>2100</x:v>
      </x:c>
      <x:c r="I2785" s="17" t="str">
        <x:v>Followup</x:v>
      </x:c>
      <x:c r="J2785" s="27" t="n">
        <x:f>INDEX('Model Pricing'!$B$7:$B$8,MATCH(F2785,'Model Pricing'!$A$7:$A$8,0))</x:f>
        <x:v>10</x:v>
      </x:c>
      <x:c r="K2785" s="27" t="n">
        <x:f>INDEX('Model Pricing'!$C$7:$C$8,MATCH(F2785,'Model Pricing'!$A$7:$A$8,0))</x:f>
        <x:v>30</x:v>
      </x:c>
      <x:c r="L2785" s="17" t="n">
        <x:f>G2785+H2785</x:f>
        <x:v>22555</x:v>
      </x:c>
      <x:c r="M2785" s="28" t="n">
        <x:f>G2785*J2785/1000000</x:f>
        <x:v>0.20455</x:v>
      </x:c>
      <x:c r="N2785" s="28" t="n">
        <x:f>H2785*K2785/1000000</x:f>
        <x:v>0.063</x:v>
      </x:c>
      <x:c r="O2785" s="28" t="n">
        <x:f>SUM(M2785:N2785)</x:f>
        <x:v>0.26755</x:v>
      </x:c>
    </x:row>
    <x:row r="2786" ht="23" customHeight="1">
      <x:c r="A2786" s="17" t="str">
        <x:v>U02780</x:v>
      </x:c>
      <x:c r="B2786" s="18" t="n">
        <x:v>46281</x:v>
      </x:c>
      <x:c r="C2786" s="17" t="str">
        <x:v>W0214</x:v>
      </x:c>
      <x:c r="D2786" s="17" t="str">
        <x:v>C004</x:v>
      </x:c>
      <x:c r="E2786" s="17" t="str">
        <x:v>DataFlow</x:v>
      </x:c>
      <x:c r="F2786" s="17" t="str">
        <x:v>Lite</x:v>
      </x:c>
      <x:c r="G2786" s="17" t="n">
        <x:v>24173</x:v>
      </x:c>
      <x:c r="H2786" s="17" t="n">
        <x:v>2665</x:v>
      </x:c>
      <x:c r="I2786" s="17" t="str">
        <x:v>Followup</x:v>
      </x:c>
      <x:c r="J2786" s="27" t="n">
        <x:f>INDEX('Model Pricing'!$B$7:$B$8,MATCH(F2786,'Model Pricing'!$A$7:$A$8,0))</x:f>
        <x:v>10</x:v>
      </x:c>
      <x:c r="K2786" s="27" t="n">
        <x:f>INDEX('Model Pricing'!$C$7:$C$8,MATCH(F2786,'Model Pricing'!$A$7:$A$8,0))</x:f>
        <x:v>30</x:v>
      </x:c>
      <x:c r="L2786" s="17" t="n">
        <x:f>G2786+H2786</x:f>
        <x:v>26838</x:v>
      </x:c>
      <x:c r="M2786" s="28" t="n">
        <x:f>G2786*J2786/1000000</x:f>
        <x:v>0.24173</x:v>
      </x:c>
      <x:c r="N2786" s="28" t="n">
        <x:f>H2786*K2786/1000000</x:f>
        <x:v>0.07995</x:v>
      </x:c>
      <x:c r="O2786" s="28" t="n">
        <x:f>SUM(M2786:N2786)</x:f>
        <x:v>0.32167999999999997</x:v>
      </x:c>
    </x:row>
    <x:row r="2787" ht="23" customHeight="1">
      <x:c r="A2787" s="17" t="str">
        <x:v>U02781</x:v>
      </x:c>
      <x:c r="B2787" s="18" t="n">
        <x:v>46281</x:v>
      </x:c>
      <x:c r="C2787" s="17" t="str">
        <x:v>W0214</x:v>
      </x:c>
      <x:c r="D2787" s="17" t="str">
        <x:v>C004</x:v>
      </x:c>
      <x:c r="E2787" s="17" t="str">
        <x:v>DataFlow</x:v>
      </x:c>
      <x:c r="F2787" s="17" t="str">
        <x:v>Lite</x:v>
      </x:c>
      <x:c r="G2787" s="17" t="n">
        <x:v>11753</x:v>
      </x:c>
      <x:c r="H2787" s="17" t="n">
        <x:v>3152</x:v>
      </x:c>
      <x:c r="I2787" s="17" t="str">
        <x:v>Followup</x:v>
      </x:c>
      <x:c r="J2787" s="27" t="n">
        <x:f>INDEX('Model Pricing'!$B$7:$B$8,MATCH(F2787,'Model Pricing'!$A$7:$A$8,0))</x:f>
        <x:v>10</x:v>
      </x:c>
      <x:c r="K2787" s="27" t="n">
        <x:f>INDEX('Model Pricing'!$C$7:$C$8,MATCH(F2787,'Model Pricing'!$A$7:$A$8,0))</x:f>
        <x:v>30</x:v>
      </x:c>
      <x:c r="L2787" s="17" t="n">
        <x:f>G2787+H2787</x:f>
        <x:v>14905</x:v>
      </x:c>
      <x:c r="M2787" s="28" t="n">
        <x:f>G2787*J2787/1000000</x:f>
        <x:v>0.11753</x:v>
      </x:c>
      <x:c r="N2787" s="28" t="n">
        <x:f>H2787*K2787/1000000</x:f>
        <x:v>0.09456</x:v>
      </x:c>
      <x:c r="O2787" s="28" t="n">
        <x:f>SUM(M2787:N2787)</x:f>
        <x:v>0.21209</x:v>
      </x:c>
    </x:row>
    <x:row r="2788" ht="23" customHeight="1">
      <x:c r="A2788" s="17" t="str">
        <x:v>U02782</x:v>
      </x:c>
      <x:c r="B2788" s="18" t="n">
        <x:v>46282</x:v>
      </x:c>
      <x:c r="C2788" s="17" t="str">
        <x:v>W0214</x:v>
      </x:c>
      <x:c r="D2788" s="17" t="str">
        <x:v>C004</x:v>
      </x:c>
      <x:c r="E2788" s="17" t="str">
        <x:v>DataFlow</x:v>
      </x:c>
      <x:c r="F2788" s="17" t="str">
        <x:v>Lite</x:v>
      </x:c>
      <x:c r="G2788" s="17" t="n">
        <x:v>16762</x:v>
      </x:c>
      <x:c r="H2788" s="17" t="n">
        <x:v>2439</x:v>
      </x:c>
      <x:c r="I2788" s="17" t="str">
        <x:v>Followup</x:v>
      </x:c>
      <x:c r="J2788" s="27" t="n">
        <x:f>INDEX('Model Pricing'!$B$7:$B$8,MATCH(F2788,'Model Pricing'!$A$7:$A$8,0))</x:f>
        <x:v>10</x:v>
      </x:c>
      <x:c r="K2788" s="27" t="n">
        <x:f>INDEX('Model Pricing'!$C$7:$C$8,MATCH(F2788,'Model Pricing'!$A$7:$A$8,0))</x:f>
        <x:v>30</x:v>
      </x:c>
      <x:c r="L2788" s="17" t="n">
        <x:f>G2788+H2788</x:f>
        <x:v>19201</x:v>
      </x:c>
      <x:c r="M2788" s="28" t="n">
        <x:f>G2788*J2788/1000000</x:f>
        <x:v>0.16762</x:v>
      </x:c>
      <x:c r="N2788" s="28" t="n">
        <x:f>H2788*K2788/1000000</x:f>
        <x:v>0.07317</x:v>
      </x:c>
      <x:c r="O2788" s="28" t="n">
        <x:f>SUM(M2788:N2788)</x:f>
        <x:v>0.24079</x:v>
      </x:c>
    </x:row>
    <x:row r="2789" ht="23" customHeight="1">
      <x:c r="A2789" s="17" t="str">
        <x:v>U02783</x:v>
      </x:c>
      <x:c r="B2789" s="18" t="n">
        <x:v>46282</x:v>
      </x:c>
      <x:c r="C2789" s="17" t="str">
        <x:v>W0214</x:v>
      </x:c>
      <x:c r="D2789" s="17" t="str">
        <x:v>C004</x:v>
      </x:c>
      <x:c r="E2789" s="17" t="str">
        <x:v>DataFlow</x:v>
      </x:c>
      <x:c r="F2789" s="17" t="str">
        <x:v>Lite</x:v>
      </x:c>
      <x:c r="G2789" s="17" t="n">
        <x:v>18733</x:v>
      </x:c>
      <x:c r="H2789" s="17" t="n">
        <x:v>3359</x:v>
      </x:c>
      <x:c r="I2789" s="17" t="str">
        <x:v>Correction</x:v>
      </x:c>
      <x:c r="J2789" s="27" t="n">
        <x:f>INDEX('Model Pricing'!$B$7:$B$8,MATCH(F2789,'Model Pricing'!$A$7:$A$8,0))</x:f>
        <x:v>10</x:v>
      </x:c>
      <x:c r="K2789" s="27" t="n">
        <x:f>INDEX('Model Pricing'!$C$7:$C$8,MATCH(F2789,'Model Pricing'!$A$7:$A$8,0))</x:f>
        <x:v>30</x:v>
      </x:c>
      <x:c r="L2789" s="17" t="n">
        <x:f>G2789+H2789</x:f>
        <x:v>22092</x:v>
      </x:c>
      <x:c r="M2789" s="28" t="n">
        <x:f>G2789*J2789/1000000</x:f>
        <x:v>0.18733</x:v>
      </x:c>
      <x:c r="N2789" s="28" t="n">
        <x:f>H2789*K2789/1000000</x:f>
        <x:v>0.10077</x:v>
      </x:c>
      <x:c r="O2789" s="28" t="n">
        <x:f>SUM(M2789:N2789)</x:f>
        <x:v>0.2881</x:v>
      </x:c>
    </x:row>
    <x:row r="2790" ht="23" customHeight="1">
      <x:c r="A2790" s="17" t="str">
        <x:v>U02784</x:v>
      </x:c>
      <x:c r="B2790" s="18" t="n">
        <x:v>46282</x:v>
      </x:c>
      <x:c r="C2790" s="17" t="str">
        <x:v>W0214</x:v>
      </x:c>
      <x:c r="D2790" s="17" t="str">
        <x:v>C004</x:v>
      </x:c>
      <x:c r="E2790" s="17" t="str">
        <x:v>DataFlow</x:v>
      </x:c>
      <x:c r="F2790" s="17" t="str">
        <x:v>Lite</x:v>
      </x:c>
      <x:c r="G2790" s="17" t="n">
        <x:v>19816</x:v>
      </x:c>
      <x:c r="H2790" s="17" t="n">
        <x:v>2229</x:v>
      </x:c>
      <x:c r="I2790" s="17" t="str">
        <x:v>Correction</x:v>
      </x:c>
      <x:c r="J2790" s="27" t="n">
        <x:f>INDEX('Model Pricing'!$B$7:$B$8,MATCH(F2790,'Model Pricing'!$A$7:$A$8,0))</x:f>
        <x:v>10</x:v>
      </x:c>
      <x:c r="K2790" s="27" t="n">
        <x:f>INDEX('Model Pricing'!$C$7:$C$8,MATCH(F2790,'Model Pricing'!$A$7:$A$8,0))</x:f>
        <x:v>30</x:v>
      </x:c>
      <x:c r="L2790" s="17" t="n">
        <x:f>G2790+H2790</x:f>
        <x:v>22045</x:v>
      </x:c>
      <x:c r="M2790" s="28" t="n">
        <x:f>G2790*J2790/1000000</x:f>
        <x:v>0.19816</x:v>
      </x:c>
      <x:c r="N2790" s="28" t="n">
        <x:f>H2790*K2790/1000000</x:f>
        <x:v>0.06687</x:v>
      </x:c>
      <x:c r="O2790" s="28" t="n">
        <x:f>SUM(M2790:N2790)</x:f>
        <x:v>0.26503</x:v>
      </x:c>
    </x:row>
    <x:row r="2791" ht="23" customHeight="1">
      <x:c r="A2791" s="17" t="str">
        <x:v>U02785</x:v>
      </x:c>
      <x:c r="B2791" s="18" t="n">
        <x:v>46282</x:v>
      </x:c>
      <x:c r="C2791" s="17" t="str">
        <x:v>W0214</x:v>
      </x:c>
      <x:c r="D2791" s="17" t="str">
        <x:v>C004</x:v>
      </x:c>
      <x:c r="E2791" s="17" t="str">
        <x:v>DataFlow</x:v>
      </x:c>
      <x:c r="F2791" s="17" t="str">
        <x:v>Lite</x:v>
      </x:c>
      <x:c r="G2791" s="17" t="n">
        <x:v>15224</x:v>
      </x:c>
      <x:c r="H2791" s="17" t="n">
        <x:v>2988</x:v>
      </x:c>
      <x:c r="I2791" s="17" t="str">
        <x:v>Followup</x:v>
      </x:c>
      <x:c r="J2791" s="27" t="n">
        <x:f>INDEX('Model Pricing'!$B$7:$B$8,MATCH(F2791,'Model Pricing'!$A$7:$A$8,0))</x:f>
        <x:v>10</x:v>
      </x:c>
      <x:c r="K2791" s="27" t="n">
        <x:f>INDEX('Model Pricing'!$C$7:$C$8,MATCH(F2791,'Model Pricing'!$A$7:$A$8,0))</x:f>
        <x:v>30</x:v>
      </x:c>
      <x:c r="L2791" s="17" t="n">
        <x:f>G2791+H2791</x:f>
        <x:v>18212</x:v>
      </x:c>
      <x:c r="M2791" s="28" t="n">
        <x:f>G2791*J2791/1000000</x:f>
        <x:v>0.15224</x:v>
      </x:c>
      <x:c r="N2791" s="28" t="n">
        <x:f>H2791*K2791/1000000</x:f>
        <x:v>0.08964</x:v>
      </x:c>
      <x:c r="O2791" s="28" t="n">
        <x:f>SUM(M2791:N2791)</x:f>
        <x:v>0.24187999999999998</x:v>
      </x:c>
    </x:row>
    <x:row r="2792" ht="23" customHeight="1">
      <x:c r="A2792" s="17" t="str">
        <x:v>U02786</x:v>
      </x:c>
      <x:c r="B2792" s="18" t="n">
        <x:v>46283</x:v>
      </x:c>
      <x:c r="C2792" s="17" t="str">
        <x:v>W0214</x:v>
      </x:c>
      <x:c r="D2792" s="17" t="str">
        <x:v>C004</x:v>
      </x:c>
      <x:c r="E2792" s="17" t="str">
        <x:v>DataFlow</x:v>
      </x:c>
      <x:c r="F2792" s="17" t="str">
        <x:v>Lite</x:v>
      </x:c>
      <x:c r="G2792" s="17" t="n">
        <x:v>24122</x:v>
      </x:c>
      <x:c r="H2792" s="17" t="n">
        <x:v>1396</x:v>
      </x:c>
      <x:c r="I2792" s="17" t="str">
        <x:v>Followup</x:v>
      </x:c>
      <x:c r="J2792" s="27" t="n">
        <x:f>INDEX('Model Pricing'!$B$7:$B$8,MATCH(F2792,'Model Pricing'!$A$7:$A$8,0))</x:f>
        <x:v>10</x:v>
      </x:c>
      <x:c r="K2792" s="27" t="n">
        <x:f>INDEX('Model Pricing'!$C$7:$C$8,MATCH(F2792,'Model Pricing'!$A$7:$A$8,0))</x:f>
        <x:v>30</x:v>
      </x:c>
      <x:c r="L2792" s="17" t="n">
        <x:f>G2792+H2792</x:f>
        <x:v>25518</x:v>
      </x:c>
      <x:c r="M2792" s="28" t="n">
        <x:f>G2792*J2792/1000000</x:f>
        <x:v>0.24122</x:v>
      </x:c>
      <x:c r="N2792" s="28" t="n">
        <x:f>H2792*K2792/1000000</x:f>
        <x:v>0.04188</x:v>
      </x:c>
      <x:c r="O2792" s="28" t="n">
        <x:f>SUM(M2792:N2792)</x:f>
        <x:v>0.2831</x:v>
      </x:c>
    </x:row>
    <x:row r="2793" ht="23" customHeight="1">
      <x:c r="A2793" s="17" t="str">
        <x:v>U02787</x:v>
      </x:c>
      <x:c r="B2793" s="18" t="n">
        <x:v>46283</x:v>
      </x:c>
      <x:c r="C2793" s="17" t="str">
        <x:v>W0214</x:v>
      </x:c>
      <x:c r="D2793" s="17" t="str">
        <x:v>C004</x:v>
      </x:c>
      <x:c r="E2793" s="17" t="str">
        <x:v>DataFlow</x:v>
      </x:c>
      <x:c r="F2793" s="17" t="str">
        <x:v>Lite</x:v>
      </x:c>
      <x:c r="G2793" s="17" t="n">
        <x:v>18683</x:v>
      </x:c>
      <x:c r="H2793" s="17" t="n">
        <x:v>2322</x:v>
      </x:c>
      <x:c r="I2793" s="17" t="str">
        <x:v>Followup</x:v>
      </x:c>
      <x:c r="J2793" s="27" t="n">
        <x:f>INDEX('Model Pricing'!$B$7:$B$8,MATCH(F2793,'Model Pricing'!$A$7:$A$8,0))</x:f>
        <x:v>10</x:v>
      </x:c>
      <x:c r="K2793" s="27" t="n">
        <x:f>INDEX('Model Pricing'!$C$7:$C$8,MATCH(F2793,'Model Pricing'!$A$7:$A$8,0))</x:f>
        <x:v>30</x:v>
      </x:c>
      <x:c r="L2793" s="17" t="n">
        <x:f>G2793+H2793</x:f>
        <x:v>21005</x:v>
      </x:c>
      <x:c r="M2793" s="28" t="n">
        <x:f>G2793*J2793/1000000</x:f>
        <x:v>0.18683</x:v>
      </x:c>
      <x:c r="N2793" s="28" t="n">
        <x:f>H2793*K2793/1000000</x:f>
        <x:v>0.06966</x:v>
      </x:c>
      <x:c r="O2793" s="28" t="n">
        <x:f>SUM(M2793:N2793)</x:f>
        <x:v>0.25649</x:v>
      </x:c>
    </x:row>
    <x:row r="2794" ht="23" customHeight="1">
      <x:c r="A2794" s="17" t="str">
        <x:v>U02788</x:v>
      </x:c>
      <x:c r="B2794" s="18" t="n">
        <x:v>46283</x:v>
      </x:c>
      <x:c r="C2794" s="17" t="str">
        <x:v>W0214</x:v>
      </x:c>
      <x:c r="D2794" s="17" t="str">
        <x:v>C004</x:v>
      </x:c>
      <x:c r="E2794" s="17" t="str">
        <x:v>DataFlow</x:v>
      </x:c>
      <x:c r="F2794" s="17" t="str">
        <x:v>Lite</x:v>
      </x:c>
      <x:c r="G2794" s="17" t="n">
        <x:v>21672</x:v>
      </x:c>
      <x:c r="H2794" s="17" t="n">
        <x:v>2877</x:v>
      </x:c>
      <x:c r="I2794" s="17" t="str">
        <x:v>Correction</x:v>
      </x:c>
      <x:c r="J2794" s="27" t="n">
        <x:f>INDEX('Model Pricing'!$B$7:$B$8,MATCH(F2794,'Model Pricing'!$A$7:$A$8,0))</x:f>
        <x:v>10</x:v>
      </x:c>
      <x:c r="K2794" s="27" t="n">
        <x:f>INDEX('Model Pricing'!$C$7:$C$8,MATCH(F2794,'Model Pricing'!$A$7:$A$8,0))</x:f>
        <x:v>30</x:v>
      </x:c>
      <x:c r="L2794" s="17" t="n">
        <x:f>G2794+H2794</x:f>
        <x:v>24549</x:v>
      </x:c>
      <x:c r="M2794" s="28" t="n">
        <x:f>G2794*J2794/1000000</x:f>
        <x:v>0.21672</x:v>
      </x:c>
      <x:c r="N2794" s="28" t="n">
        <x:f>H2794*K2794/1000000</x:f>
        <x:v>0.08631</x:v>
      </x:c>
      <x:c r="O2794" s="28" t="n">
        <x:f>SUM(M2794:N2794)</x:f>
        <x:v>0.30303</x:v>
      </x:c>
    </x:row>
    <x:row r="2795" ht="23" customHeight="1">
      <x:c r="A2795" s="17" t="str">
        <x:v>U02789</x:v>
      </x:c>
      <x:c r="B2795" s="18" t="n">
        <x:v>46289</x:v>
      </x:c>
      <x:c r="C2795" s="17" t="str">
        <x:v>W0215</x:v>
      </x:c>
      <x:c r="D2795" s="17" t="str">
        <x:v>C004</x:v>
      </x:c>
      <x:c r="E2795" s="17" t="str">
        <x:v>CampaignChat</x:v>
      </x:c>
      <x:c r="F2795" s="17" t="str">
        <x:v>Lite</x:v>
      </x:c>
      <x:c r="G2795" s="17" t="n">
        <x:v>13512</x:v>
      </x:c>
      <x:c r="H2795" s="17" t="n">
        <x:v>4709</x:v>
      </x:c>
      <x:c r="I2795" s="17" t="str">
        <x:v>First attempt</x:v>
      </x:c>
      <x:c r="J2795" s="27" t="n">
        <x:f>INDEX('Model Pricing'!$B$7:$B$8,MATCH(F2795,'Model Pricing'!$A$7:$A$8,0))</x:f>
        <x:v>10</x:v>
      </x:c>
      <x:c r="K2795" s="27" t="n">
        <x:f>INDEX('Model Pricing'!$C$7:$C$8,MATCH(F2795,'Model Pricing'!$A$7:$A$8,0))</x:f>
        <x:v>30</x:v>
      </x:c>
      <x:c r="L2795" s="17" t="n">
        <x:f>G2795+H2795</x:f>
        <x:v>18221</x:v>
      </x:c>
      <x:c r="M2795" s="28" t="n">
        <x:f>G2795*J2795/1000000</x:f>
        <x:v>0.13512</x:v>
      </x:c>
      <x:c r="N2795" s="28" t="n">
        <x:f>H2795*K2795/1000000</x:f>
        <x:v>0.14127</x:v>
      </x:c>
      <x:c r="O2795" s="28" t="n">
        <x:f>SUM(M2795:N2795)</x:f>
        <x:v>0.27639</x:v>
      </x:c>
    </x:row>
    <x:row r="2796" ht="23" customHeight="1">
      <x:c r="A2796" s="17" t="str">
        <x:v>U02790</x:v>
      </x:c>
      <x:c r="B2796" s="18" t="n">
        <x:v>46289</x:v>
      </x:c>
      <x:c r="C2796" s="17" t="str">
        <x:v>W0215</x:v>
      </x:c>
      <x:c r="D2796" s="17" t="str">
        <x:v>C004</x:v>
      </x:c>
      <x:c r="E2796" s="17" t="str">
        <x:v>CampaignChat</x:v>
      </x:c>
      <x:c r="F2796" s="17" t="str">
        <x:v>Lite</x:v>
      </x:c>
      <x:c r="G2796" s="17" t="n">
        <x:v>12869</x:v>
      </x:c>
      <x:c r="H2796" s="17" t="n">
        <x:v>3837</x:v>
      </x:c>
      <x:c r="I2796" s="17" t="str">
        <x:v>Followup</x:v>
      </x:c>
      <x:c r="J2796" s="27" t="n">
        <x:f>INDEX('Model Pricing'!$B$7:$B$8,MATCH(F2796,'Model Pricing'!$A$7:$A$8,0))</x:f>
        <x:v>10</x:v>
      </x:c>
      <x:c r="K2796" s="27" t="n">
        <x:f>INDEX('Model Pricing'!$C$7:$C$8,MATCH(F2796,'Model Pricing'!$A$7:$A$8,0))</x:f>
        <x:v>30</x:v>
      </x:c>
      <x:c r="L2796" s="17" t="n">
        <x:f>G2796+H2796</x:f>
        <x:v>16706</x:v>
      </x:c>
      <x:c r="M2796" s="28" t="n">
        <x:f>G2796*J2796/1000000</x:f>
        <x:v>0.12869</x:v>
      </x:c>
      <x:c r="N2796" s="28" t="n">
        <x:f>H2796*K2796/1000000</x:f>
        <x:v>0.11511</x:v>
      </x:c>
      <x:c r="O2796" s="28" t="n">
        <x:f>SUM(M2796:N2796)</x:f>
        <x:v>0.24380000000000002</x:v>
      </x:c>
    </x:row>
    <x:row r="2797" ht="23" customHeight="1">
      <x:c r="A2797" s="17" t="str">
        <x:v>U02791</x:v>
      </x:c>
      <x:c r="B2797" s="18" t="n">
        <x:v>46289</x:v>
      </x:c>
      <x:c r="C2797" s="17" t="str">
        <x:v>W0215</x:v>
      </x:c>
      <x:c r="D2797" s="17" t="str">
        <x:v>C004</x:v>
      </x:c>
      <x:c r="E2797" s="17" t="str">
        <x:v>CampaignChat</x:v>
      </x:c>
      <x:c r="F2797" s="17" t="str">
        <x:v>Lite</x:v>
      </x:c>
      <x:c r="G2797" s="17" t="n">
        <x:v>14036</x:v>
      </x:c>
      <x:c r="H2797" s="17" t="n">
        <x:v>4446</x:v>
      </x:c>
      <x:c r="I2797" s="17" t="str">
        <x:v>Followup</x:v>
      </x:c>
      <x:c r="J2797" s="27" t="n">
        <x:f>INDEX('Model Pricing'!$B$7:$B$8,MATCH(F2797,'Model Pricing'!$A$7:$A$8,0))</x:f>
        <x:v>10</x:v>
      </x:c>
      <x:c r="K2797" s="27" t="n">
        <x:f>INDEX('Model Pricing'!$C$7:$C$8,MATCH(F2797,'Model Pricing'!$A$7:$A$8,0))</x:f>
        <x:v>30</x:v>
      </x:c>
      <x:c r="L2797" s="17" t="n">
        <x:f>G2797+H2797</x:f>
        <x:v>18482</x:v>
      </x:c>
      <x:c r="M2797" s="28" t="n">
        <x:f>G2797*J2797/1000000</x:f>
        <x:v>0.14036</x:v>
      </x:c>
      <x:c r="N2797" s="28" t="n">
        <x:f>H2797*K2797/1000000</x:f>
        <x:v>0.13338</x:v>
      </x:c>
      <x:c r="O2797" s="28" t="n">
        <x:f>SUM(M2797:N2797)</x:f>
        <x:v>0.27374</x:v>
      </x:c>
    </x:row>
    <x:row r="2798" ht="23" customHeight="1">
      <x:c r="A2798" s="17" t="str">
        <x:v>U02792</x:v>
      </x:c>
      <x:c r="B2798" s="18" t="n">
        <x:v>46290</x:v>
      </x:c>
      <x:c r="C2798" s="17" t="str">
        <x:v>W0215</x:v>
      </x:c>
      <x:c r="D2798" s="17" t="str">
        <x:v>C004</x:v>
      </x:c>
      <x:c r="E2798" s="17" t="str">
        <x:v>CampaignChat</x:v>
      </x:c>
      <x:c r="F2798" s="17" t="str">
        <x:v>Lite</x:v>
      </x:c>
      <x:c r="G2798" s="17" t="n">
        <x:v>14698</x:v>
      </x:c>
      <x:c r="H2798" s="17" t="n">
        <x:v>4123</x:v>
      </x:c>
      <x:c r="I2798" s="17" t="str">
        <x:v>Followup</x:v>
      </x:c>
      <x:c r="J2798" s="27" t="n">
        <x:f>INDEX('Model Pricing'!$B$7:$B$8,MATCH(F2798,'Model Pricing'!$A$7:$A$8,0))</x:f>
        <x:v>10</x:v>
      </x:c>
      <x:c r="K2798" s="27" t="n">
        <x:f>INDEX('Model Pricing'!$C$7:$C$8,MATCH(F2798,'Model Pricing'!$A$7:$A$8,0))</x:f>
        <x:v>30</x:v>
      </x:c>
      <x:c r="L2798" s="17" t="n">
        <x:f>G2798+H2798</x:f>
        <x:v>18821</x:v>
      </x:c>
      <x:c r="M2798" s="28" t="n">
        <x:f>G2798*J2798/1000000</x:f>
        <x:v>0.14698</x:v>
      </x:c>
      <x:c r="N2798" s="28" t="n">
        <x:f>H2798*K2798/1000000</x:f>
        <x:v>0.12369</x:v>
      </x:c>
      <x:c r="O2798" s="28" t="n">
        <x:f>SUM(M2798:N2798)</x:f>
        <x:v>0.27066999999999997</x:v>
      </x:c>
    </x:row>
    <x:row r="2799" ht="23" customHeight="1">
      <x:c r="A2799" s="17" t="str">
        <x:v>U02793</x:v>
      </x:c>
      <x:c r="B2799" s="18" t="n">
        <x:v>46290</x:v>
      </x:c>
      <x:c r="C2799" s="17" t="str">
        <x:v>W0215</x:v>
      </x:c>
      <x:c r="D2799" s="17" t="str">
        <x:v>C004</x:v>
      </x:c>
      <x:c r="E2799" s="17" t="str">
        <x:v>CampaignChat</x:v>
      </x:c>
      <x:c r="F2799" s="17" t="str">
        <x:v>Lite</x:v>
      </x:c>
      <x:c r="G2799" s="17" t="n">
        <x:v>13456</x:v>
      </x:c>
      <x:c r="H2799" s="17" t="n">
        <x:v>4361</x:v>
      </x:c>
      <x:c r="I2799" s="17" t="str">
        <x:v>Correction</x:v>
      </x:c>
      <x:c r="J2799" s="27" t="n">
        <x:f>INDEX('Model Pricing'!$B$7:$B$8,MATCH(F2799,'Model Pricing'!$A$7:$A$8,0))</x:f>
        <x:v>10</x:v>
      </x:c>
      <x:c r="K2799" s="27" t="n">
        <x:f>INDEX('Model Pricing'!$C$7:$C$8,MATCH(F2799,'Model Pricing'!$A$7:$A$8,0))</x:f>
        <x:v>30</x:v>
      </x:c>
      <x:c r="L2799" s="17" t="n">
        <x:f>G2799+H2799</x:f>
        <x:v>17817</x:v>
      </x:c>
      <x:c r="M2799" s="28" t="n">
        <x:f>G2799*J2799/1000000</x:f>
        <x:v>0.13456</x:v>
      </x:c>
      <x:c r="N2799" s="28" t="n">
        <x:f>H2799*K2799/1000000</x:f>
        <x:v>0.13083</x:v>
      </x:c>
      <x:c r="O2799" s="28" t="n">
        <x:f>SUM(M2799:N2799)</x:f>
        <x:v>0.26539</x:v>
      </x:c>
    </x:row>
    <x:row r="2800" ht="23" customHeight="1">
      <x:c r="A2800" s="17" t="str">
        <x:v>U02794</x:v>
      </x:c>
      <x:c r="B2800" s="18" t="n">
        <x:v>46290</x:v>
      </x:c>
      <x:c r="C2800" s="17" t="str">
        <x:v>W0215</x:v>
      </x:c>
      <x:c r="D2800" s="17" t="str">
        <x:v>C004</x:v>
      </x:c>
      <x:c r="E2800" s="17" t="str">
        <x:v>CampaignChat</x:v>
      </x:c>
      <x:c r="F2800" s="17" t="str">
        <x:v>Lite</x:v>
      </x:c>
      <x:c r="G2800" s="17" t="n">
        <x:v>19900</x:v>
      </x:c>
      <x:c r="H2800" s="17" t="n">
        <x:v>5583</x:v>
      </x:c>
      <x:c r="I2800" s="17" t="str">
        <x:v>Followup</x:v>
      </x:c>
      <x:c r="J2800" s="27" t="n">
        <x:f>INDEX('Model Pricing'!$B$7:$B$8,MATCH(F2800,'Model Pricing'!$A$7:$A$8,0))</x:f>
        <x:v>10</x:v>
      </x:c>
      <x:c r="K2800" s="27" t="n">
        <x:f>INDEX('Model Pricing'!$C$7:$C$8,MATCH(F2800,'Model Pricing'!$A$7:$A$8,0))</x:f>
        <x:v>30</x:v>
      </x:c>
      <x:c r="L2800" s="17" t="n">
        <x:f>G2800+H2800</x:f>
        <x:v>25483</x:v>
      </x:c>
      <x:c r="M2800" s="28" t="n">
        <x:f>G2800*J2800/1000000</x:f>
        <x:v>0.199</x:v>
      </x:c>
      <x:c r="N2800" s="28" t="n">
        <x:f>H2800*K2800/1000000</x:f>
        <x:v>0.16749</x:v>
      </x:c>
      <x:c r="O2800" s="28" t="n">
        <x:f>SUM(M2800:N2800)</x:f>
        <x:v>0.36649</x:v>
      </x:c>
    </x:row>
    <x:row r="2801" ht="23" customHeight="1">
      <x:c r="A2801" s="17" t="str">
        <x:v>U02795</x:v>
      </x:c>
      <x:c r="B2801" s="18" t="n">
        <x:v>46293</x:v>
      </x:c>
      <x:c r="C2801" s="17" t="str">
        <x:v>W0215</x:v>
      </x:c>
      <x:c r="D2801" s="17" t="str">
        <x:v>C004</x:v>
      </x:c>
      <x:c r="E2801" s="17" t="str">
        <x:v>CampaignChat</x:v>
      </x:c>
      <x:c r="F2801" s="17" t="str">
        <x:v>Lite</x:v>
      </x:c>
      <x:c r="G2801" s="17" t="n">
        <x:v>10151</x:v>
      </x:c>
      <x:c r="H2801" s="17" t="n">
        <x:v>4928</x:v>
      </x:c>
      <x:c r="I2801" s="17" t="str">
        <x:v>Correction</x:v>
      </x:c>
      <x:c r="J2801" s="27" t="n">
        <x:f>INDEX('Model Pricing'!$B$7:$B$8,MATCH(F2801,'Model Pricing'!$A$7:$A$8,0))</x:f>
        <x:v>10</x:v>
      </x:c>
      <x:c r="K2801" s="27" t="n">
        <x:f>INDEX('Model Pricing'!$C$7:$C$8,MATCH(F2801,'Model Pricing'!$A$7:$A$8,0))</x:f>
        <x:v>30</x:v>
      </x:c>
      <x:c r="L2801" s="17" t="n">
        <x:f>G2801+H2801</x:f>
        <x:v>15079</x:v>
      </x:c>
      <x:c r="M2801" s="28" t="n">
        <x:f>G2801*J2801/1000000</x:f>
        <x:v>0.10151</x:v>
      </x:c>
      <x:c r="N2801" s="28" t="n">
        <x:f>H2801*K2801/1000000</x:f>
        <x:v>0.14784</x:v>
      </x:c>
      <x:c r="O2801" s="28" t="n">
        <x:f>SUM(M2801:N2801)</x:f>
        <x:v>0.24935000000000002</x:v>
      </x:c>
    </x:row>
    <x:row r="2802" ht="23" customHeight="1">
      <x:c r="A2802" s="17" t="str">
        <x:v>U02796</x:v>
      </x:c>
      <x:c r="B2802" s="18" t="n">
        <x:v>46293</x:v>
      </x:c>
      <x:c r="C2802" s="17" t="str">
        <x:v>W0215</x:v>
      </x:c>
      <x:c r="D2802" s="17" t="str">
        <x:v>C004</x:v>
      </x:c>
      <x:c r="E2802" s="17" t="str">
        <x:v>CampaignChat</x:v>
      </x:c>
      <x:c r="F2802" s="17" t="str">
        <x:v>Lite</x:v>
      </x:c>
      <x:c r="G2802" s="17" t="n">
        <x:v>13911</x:v>
      </x:c>
      <x:c r="H2802" s="17" t="n">
        <x:v>4417</x:v>
      </x:c>
      <x:c r="I2802" s="17" t="str">
        <x:v>Correction</x:v>
      </x:c>
      <x:c r="J2802" s="27" t="n">
        <x:f>INDEX('Model Pricing'!$B$7:$B$8,MATCH(F2802,'Model Pricing'!$A$7:$A$8,0))</x:f>
        <x:v>10</x:v>
      </x:c>
      <x:c r="K2802" s="27" t="n">
        <x:f>INDEX('Model Pricing'!$C$7:$C$8,MATCH(F2802,'Model Pricing'!$A$7:$A$8,0))</x:f>
        <x:v>30</x:v>
      </x:c>
      <x:c r="L2802" s="17" t="n">
        <x:f>G2802+H2802</x:f>
        <x:v>18328</x:v>
      </x:c>
      <x:c r="M2802" s="28" t="n">
        <x:f>G2802*J2802/1000000</x:f>
        <x:v>0.13911</x:v>
      </x:c>
      <x:c r="N2802" s="28" t="n">
        <x:f>H2802*K2802/1000000</x:f>
        <x:v>0.13251</x:v>
      </x:c>
      <x:c r="O2802" s="28" t="n">
        <x:f>SUM(M2802:N2802)</x:f>
        <x:v>0.27162</x:v>
      </x:c>
    </x:row>
    <x:row r="2803" ht="23" customHeight="1">
      <x:c r="A2803" s="17" t="str">
        <x:v>U02797</x:v>
      </x:c>
      <x:c r="B2803" s="18" t="n">
        <x:v>46293</x:v>
      </x:c>
      <x:c r="C2803" s="17" t="str">
        <x:v>W0215</x:v>
      </x:c>
      <x:c r="D2803" s="17" t="str">
        <x:v>C004</x:v>
      </x:c>
      <x:c r="E2803" s="17" t="str">
        <x:v>CampaignChat</x:v>
      </x:c>
      <x:c r="F2803" s="17" t="str">
        <x:v>Lite</x:v>
      </x:c>
      <x:c r="G2803" s="17" t="n">
        <x:v>13353</x:v>
      </x:c>
      <x:c r="H2803" s="17" t="n">
        <x:v>3543</x:v>
      </x:c>
      <x:c r="I2803" s="17" t="str">
        <x:v>Followup</x:v>
      </x:c>
      <x:c r="J2803" s="27" t="n">
        <x:f>INDEX('Model Pricing'!$B$7:$B$8,MATCH(F2803,'Model Pricing'!$A$7:$A$8,0))</x:f>
        <x:v>10</x:v>
      </x:c>
      <x:c r="K2803" s="27" t="n">
        <x:f>INDEX('Model Pricing'!$C$7:$C$8,MATCH(F2803,'Model Pricing'!$A$7:$A$8,0))</x:f>
        <x:v>30</x:v>
      </x:c>
      <x:c r="L2803" s="17" t="n">
        <x:f>G2803+H2803</x:f>
        <x:v>16896</x:v>
      </x:c>
      <x:c r="M2803" s="28" t="n">
        <x:f>G2803*J2803/1000000</x:f>
        <x:v>0.13353</x:v>
      </x:c>
      <x:c r="N2803" s="28" t="n">
        <x:f>H2803*K2803/1000000</x:f>
        <x:v>0.10629</x:v>
      </x:c>
      <x:c r="O2803" s="28" t="n">
        <x:f>SUM(M2803:N2803)</x:f>
        <x:v>0.23982</x:v>
      </x:c>
    </x:row>
    <x:row r="2804" ht="23" customHeight="1">
      <x:c r="A2804" s="17" t="str">
        <x:v>U02798</x:v>
      </x:c>
      <x:c r="B2804" s="18" t="n">
        <x:v>46294</x:v>
      </x:c>
      <x:c r="C2804" s="17" t="str">
        <x:v>W0215</x:v>
      </x:c>
      <x:c r="D2804" s="17" t="str">
        <x:v>C004</x:v>
      </x:c>
      <x:c r="E2804" s="17" t="str">
        <x:v>CampaignChat</x:v>
      </x:c>
      <x:c r="F2804" s="17" t="str">
        <x:v>Lite</x:v>
      </x:c>
      <x:c r="G2804" s="17" t="n">
        <x:v>8729</x:v>
      </x:c>
      <x:c r="H2804" s="17" t="n">
        <x:v>4422</x:v>
      </x:c>
      <x:c r="I2804" s="17" t="str">
        <x:v>Followup</x:v>
      </x:c>
      <x:c r="J2804" s="27" t="n">
        <x:f>INDEX('Model Pricing'!$B$7:$B$8,MATCH(F2804,'Model Pricing'!$A$7:$A$8,0))</x:f>
        <x:v>10</x:v>
      </x:c>
      <x:c r="K2804" s="27" t="n">
        <x:f>INDEX('Model Pricing'!$C$7:$C$8,MATCH(F2804,'Model Pricing'!$A$7:$A$8,0))</x:f>
        <x:v>30</x:v>
      </x:c>
      <x:c r="L2804" s="17" t="n">
        <x:f>G2804+H2804</x:f>
        <x:v>13151</x:v>
      </x:c>
      <x:c r="M2804" s="28" t="n">
        <x:f>G2804*J2804/1000000</x:f>
        <x:v>0.08729</x:v>
      </x:c>
      <x:c r="N2804" s="28" t="n">
        <x:f>H2804*K2804/1000000</x:f>
        <x:v>0.13266</x:v>
      </x:c>
      <x:c r="O2804" s="28" t="n">
        <x:f>SUM(M2804:N2804)</x:f>
        <x:v>0.21995</x:v>
      </x:c>
    </x:row>
    <x:row r="2805" ht="23" customHeight="1">
      <x:c r="A2805" s="17" t="str">
        <x:v>U02799</x:v>
      </x:c>
      <x:c r="B2805" s="18" t="n">
        <x:v>46294</x:v>
      </x:c>
      <x:c r="C2805" s="17" t="str">
        <x:v>W0215</x:v>
      </x:c>
      <x:c r="D2805" s="17" t="str">
        <x:v>C004</x:v>
      </x:c>
      <x:c r="E2805" s="17" t="str">
        <x:v>CampaignChat</x:v>
      </x:c>
      <x:c r="F2805" s="17" t="str">
        <x:v>Lite</x:v>
      </x:c>
      <x:c r="G2805" s="17" t="n">
        <x:v>9399</x:v>
      </x:c>
      <x:c r="H2805" s="17" t="n">
        <x:v>1898</x:v>
      </x:c>
      <x:c r="I2805" s="17" t="str">
        <x:v>Followup</x:v>
      </x:c>
      <x:c r="J2805" s="27" t="n">
        <x:f>INDEX('Model Pricing'!$B$7:$B$8,MATCH(F2805,'Model Pricing'!$A$7:$A$8,0))</x:f>
        <x:v>10</x:v>
      </x:c>
      <x:c r="K2805" s="27" t="n">
        <x:f>INDEX('Model Pricing'!$C$7:$C$8,MATCH(F2805,'Model Pricing'!$A$7:$A$8,0))</x:f>
        <x:v>30</x:v>
      </x:c>
      <x:c r="L2805" s="17" t="n">
        <x:f>G2805+H2805</x:f>
        <x:v>11297</x:v>
      </x:c>
      <x:c r="M2805" s="28" t="n">
        <x:f>G2805*J2805/1000000</x:f>
        <x:v>0.09399</x:v>
      </x:c>
      <x:c r="N2805" s="28" t="n">
        <x:f>H2805*K2805/1000000</x:f>
        <x:v>0.05694</x:v>
      </x:c>
      <x:c r="O2805" s="28" t="n">
        <x:f>SUM(M2805:N2805)</x:f>
        <x:v>0.15093</x:v>
      </x:c>
    </x:row>
    <x:row r="2806" ht="23" customHeight="1">
      <x:c r="A2806" s="17" t="str">
        <x:v>U02800</x:v>
      </x:c>
      <x:c r="B2806" s="18" t="n">
        <x:v>46294</x:v>
      </x:c>
      <x:c r="C2806" s="17" t="str">
        <x:v>W0215</x:v>
      </x:c>
      <x:c r="D2806" s="17" t="str">
        <x:v>C004</x:v>
      </x:c>
      <x:c r="E2806" s="17" t="str">
        <x:v>CampaignChat</x:v>
      </x:c>
      <x:c r="F2806" s="17" t="str">
        <x:v>Lite</x:v>
      </x:c>
      <x:c r="G2806" s="17" t="n">
        <x:v>8299</x:v>
      </x:c>
      <x:c r="H2806" s="17" t="n">
        <x:v>3264</x:v>
      </x:c>
      <x:c r="I2806" s="17" t="str">
        <x:v>Followup</x:v>
      </x:c>
      <x:c r="J2806" s="27" t="n">
        <x:f>INDEX('Model Pricing'!$B$7:$B$8,MATCH(F2806,'Model Pricing'!$A$7:$A$8,0))</x:f>
        <x:v>10</x:v>
      </x:c>
      <x:c r="K2806" s="27" t="n">
        <x:f>INDEX('Model Pricing'!$C$7:$C$8,MATCH(F2806,'Model Pricing'!$A$7:$A$8,0))</x:f>
        <x:v>30</x:v>
      </x:c>
      <x:c r="L2806" s="17" t="n">
        <x:f>G2806+H2806</x:f>
        <x:v>11563</x:v>
      </x:c>
      <x:c r="M2806" s="28" t="n">
        <x:f>G2806*J2806/1000000</x:f>
        <x:v>0.08299</x:v>
      </x:c>
      <x:c r="N2806" s="28" t="n">
        <x:f>H2806*K2806/1000000</x:f>
        <x:v>0.09792</x:v>
      </x:c>
      <x:c r="O2806" s="28" t="n">
        <x:f>SUM(M2806:N2806)</x:f>
        <x:v>0.18091</x:v>
      </x:c>
    </x:row>
    <x:row r="2807" ht="23" customHeight="1">
      <x:c r="A2807" s="17" t="str">
        <x:v>U02801</x:v>
      </x:c>
      <x:c r="B2807" s="18" t="n">
        <x:v>46274</x:v>
      </x:c>
      <x:c r="C2807" s="17" t="str">
        <x:v>W0216</x:v>
      </x:c>
      <x:c r="D2807" s="17" t="str">
        <x:v>C004</x:v>
      </x:c>
      <x:c r="E2807" s="17" t="str">
        <x:v>DataFlow</x:v>
      </x:c>
      <x:c r="F2807" s="17" t="str">
        <x:v>Lite</x:v>
      </x:c>
      <x:c r="G2807" s="17" t="n">
        <x:v>17956</x:v>
      </x:c>
      <x:c r="H2807" s="17" t="n">
        <x:v>1115</x:v>
      </x:c>
      <x:c r="I2807" s="17" t="str">
        <x:v>First attempt</x:v>
      </x:c>
      <x:c r="J2807" s="27" t="n">
        <x:f>INDEX('Model Pricing'!$B$7:$B$8,MATCH(F2807,'Model Pricing'!$A$7:$A$8,0))</x:f>
        <x:v>10</x:v>
      </x:c>
      <x:c r="K2807" s="27" t="n">
        <x:f>INDEX('Model Pricing'!$C$7:$C$8,MATCH(F2807,'Model Pricing'!$A$7:$A$8,0))</x:f>
        <x:v>30</x:v>
      </x:c>
      <x:c r="L2807" s="17" t="n">
        <x:f>G2807+H2807</x:f>
        <x:v>19071</x:v>
      </x:c>
      <x:c r="M2807" s="28" t="n">
        <x:f>G2807*J2807/1000000</x:f>
        <x:v>0.17956</x:v>
      </x:c>
      <x:c r="N2807" s="28" t="n">
        <x:f>H2807*K2807/1000000</x:f>
        <x:v>0.03345</x:v>
      </x:c>
      <x:c r="O2807" s="28" t="n">
        <x:f>SUM(M2807:N2807)</x:f>
        <x:v>0.21301</x:v>
      </x:c>
    </x:row>
    <x:row r="2808" ht="23" customHeight="1">
      <x:c r="A2808" s="17" t="str">
        <x:v>U02802</x:v>
      </x:c>
      <x:c r="B2808" s="18" t="n">
        <x:v>46274</x:v>
      </x:c>
      <x:c r="C2808" s="17" t="str">
        <x:v>W0216</x:v>
      </x:c>
      <x:c r="D2808" s="17" t="str">
        <x:v>C004</x:v>
      </x:c>
      <x:c r="E2808" s="17" t="str">
        <x:v>DataFlow</x:v>
      </x:c>
      <x:c r="F2808" s="17" t="str">
        <x:v>Lite</x:v>
      </x:c>
      <x:c r="G2808" s="17" t="n">
        <x:v>12231</x:v>
      </x:c>
      <x:c r="H2808" s="17" t="n">
        <x:v>1717</x:v>
      </x:c>
      <x:c r="I2808" s="17" t="str">
        <x:v>Followup</x:v>
      </x:c>
      <x:c r="J2808" s="27" t="n">
        <x:f>INDEX('Model Pricing'!$B$7:$B$8,MATCH(F2808,'Model Pricing'!$A$7:$A$8,0))</x:f>
        <x:v>10</x:v>
      </x:c>
      <x:c r="K2808" s="27" t="n">
        <x:f>INDEX('Model Pricing'!$C$7:$C$8,MATCH(F2808,'Model Pricing'!$A$7:$A$8,0))</x:f>
        <x:v>30</x:v>
      </x:c>
      <x:c r="L2808" s="17" t="n">
        <x:f>G2808+H2808</x:f>
        <x:v>13948</x:v>
      </x:c>
      <x:c r="M2808" s="28" t="n">
        <x:f>G2808*J2808/1000000</x:f>
        <x:v>0.12231</x:v>
      </x:c>
      <x:c r="N2808" s="28" t="n">
        <x:f>H2808*K2808/1000000</x:f>
        <x:v>0.05151</x:v>
      </x:c>
      <x:c r="O2808" s="28" t="n">
        <x:f>SUM(M2808:N2808)</x:f>
        <x:v>0.17382</x:v>
      </x:c>
    </x:row>
    <x:row r="2809" ht="23" customHeight="1">
      <x:c r="A2809" s="17" t="str">
        <x:v>U02803</x:v>
      </x:c>
      <x:c r="B2809" s="18" t="n">
        <x:v>46274</x:v>
      </x:c>
      <x:c r="C2809" s="17" t="str">
        <x:v>W0216</x:v>
      </x:c>
      <x:c r="D2809" s="17" t="str">
        <x:v>C004</x:v>
      </x:c>
      <x:c r="E2809" s="17" t="str">
        <x:v>DataFlow</x:v>
      </x:c>
      <x:c r="F2809" s="17" t="str">
        <x:v>Lite</x:v>
      </x:c>
      <x:c r="G2809" s="17" t="n">
        <x:v>19594</x:v>
      </x:c>
      <x:c r="H2809" s="17" t="n">
        <x:v>1341</x:v>
      </x:c>
      <x:c r="I2809" s="17" t="str">
        <x:v>Followup</x:v>
      </x:c>
      <x:c r="J2809" s="27" t="n">
        <x:f>INDEX('Model Pricing'!$B$7:$B$8,MATCH(F2809,'Model Pricing'!$A$7:$A$8,0))</x:f>
        <x:v>10</x:v>
      </x:c>
      <x:c r="K2809" s="27" t="n">
        <x:f>INDEX('Model Pricing'!$C$7:$C$8,MATCH(F2809,'Model Pricing'!$A$7:$A$8,0))</x:f>
        <x:v>30</x:v>
      </x:c>
      <x:c r="L2809" s="17" t="n">
        <x:f>G2809+H2809</x:f>
        <x:v>20935</x:v>
      </x:c>
      <x:c r="M2809" s="28" t="n">
        <x:f>G2809*J2809/1000000</x:f>
        <x:v>0.19594</x:v>
      </x:c>
      <x:c r="N2809" s="28" t="n">
        <x:f>H2809*K2809/1000000</x:f>
        <x:v>0.04023</x:v>
      </x:c>
      <x:c r="O2809" s="28" t="n">
        <x:f>SUM(M2809:N2809)</x:f>
        <x:v>0.23617</x:v>
      </x:c>
    </x:row>
    <x:row r="2810" ht="23" customHeight="1">
      <x:c r="A2810" s="17" t="str">
        <x:v>U02804</x:v>
      </x:c>
      <x:c r="B2810" s="18" t="n">
        <x:v>46274</x:v>
      </x:c>
      <x:c r="C2810" s="17" t="str">
        <x:v>W0216</x:v>
      </x:c>
      <x:c r="D2810" s="17" t="str">
        <x:v>C004</x:v>
      </x:c>
      <x:c r="E2810" s="17" t="str">
        <x:v>DataFlow</x:v>
      </x:c>
      <x:c r="F2810" s="17" t="str">
        <x:v>Lite</x:v>
      </x:c>
      <x:c r="G2810" s="17" t="n">
        <x:v>8299</x:v>
      </x:c>
      <x:c r="H2810" s="17" t="n">
        <x:v>3910</x:v>
      </x:c>
      <x:c r="I2810" s="17" t="str">
        <x:v>Followup</x:v>
      </x:c>
      <x:c r="J2810" s="27" t="n">
        <x:f>INDEX('Model Pricing'!$B$7:$B$8,MATCH(F2810,'Model Pricing'!$A$7:$A$8,0))</x:f>
        <x:v>10</x:v>
      </x:c>
      <x:c r="K2810" s="27" t="n">
        <x:f>INDEX('Model Pricing'!$C$7:$C$8,MATCH(F2810,'Model Pricing'!$A$7:$A$8,0))</x:f>
        <x:v>30</x:v>
      </x:c>
      <x:c r="L2810" s="17" t="n">
        <x:f>G2810+H2810</x:f>
        <x:v>12209</x:v>
      </x:c>
      <x:c r="M2810" s="28" t="n">
        <x:f>G2810*J2810/1000000</x:f>
        <x:v>0.08299</x:v>
      </x:c>
      <x:c r="N2810" s="28" t="n">
        <x:f>H2810*K2810/1000000</x:f>
        <x:v>0.1173</x:v>
      </x:c>
      <x:c r="O2810" s="28" t="n">
        <x:f>SUM(M2810:N2810)</x:f>
        <x:v>0.20029</x:v>
      </x:c>
    </x:row>
    <x:row r="2811" ht="23" customHeight="1">
      <x:c r="A2811" s="17" t="str">
        <x:v>U02805</x:v>
      </x:c>
      <x:c r="B2811" s="18" t="n">
        <x:v>46274</x:v>
      </x:c>
      <x:c r="C2811" s="17" t="str">
        <x:v>W0216</x:v>
      </x:c>
      <x:c r="D2811" s="17" t="str">
        <x:v>C004</x:v>
      </x:c>
      <x:c r="E2811" s="17" t="str">
        <x:v>DataFlow</x:v>
      </x:c>
      <x:c r="F2811" s="17" t="str">
        <x:v>Lite</x:v>
      </x:c>
      <x:c r="G2811" s="17" t="n">
        <x:v>18279</x:v>
      </x:c>
      <x:c r="H2811" s="17" t="n">
        <x:v>2133</x:v>
      </x:c>
      <x:c r="I2811" s="17" t="str">
        <x:v>Correction</x:v>
      </x:c>
      <x:c r="J2811" s="27" t="n">
        <x:f>INDEX('Model Pricing'!$B$7:$B$8,MATCH(F2811,'Model Pricing'!$A$7:$A$8,0))</x:f>
        <x:v>10</x:v>
      </x:c>
      <x:c r="K2811" s="27" t="n">
        <x:f>INDEX('Model Pricing'!$C$7:$C$8,MATCH(F2811,'Model Pricing'!$A$7:$A$8,0))</x:f>
        <x:v>30</x:v>
      </x:c>
      <x:c r="L2811" s="17" t="n">
        <x:f>G2811+H2811</x:f>
        <x:v>20412</x:v>
      </x:c>
      <x:c r="M2811" s="28" t="n">
        <x:f>G2811*J2811/1000000</x:f>
        <x:v>0.18279</x:v>
      </x:c>
      <x:c r="N2811" s="28" t="n">
        <x:f>H2811*K2811/1000000</x:f>
        <x:v>0.06399</x:v>
      </x:c>
      <x:c r="O2811" s="28" t="n">
        <x:f>SUM(M2811:N2811)</x:f>
        <x:v>0.24678</x:v>
      </x:c>
    </x:row>
    <x:row r="2812" ht="23" customHeight="1">
      <x:c r="A2812" s="17" t="str">
        <x:v>U02806</x:v>
      </x:c>
      <x:c r="B2812" s="18" t="n">
        <x:v>46275</x:v>
      </x:c>
      <x:c r="C2812" s="17" t="str">
        <x:v>W0216</x:v>
      </x:c>
      <x:c r="D2812" s="17" t="str">
        <x:v>C004</x:v>
      </x:c>
      <x:c r="E2812" s="17" t="str">
        <x:v>DataFlow</x:v>
      </x:c>
      <x:c r="F2812" s="17" t="str">
        <x:v>Lite</x:v>
      </x:c>
      <x:c r="G2812" s="17" t="n">
        <x:v>8538</x:v>
      </x:c>
      <x:c r="H2812" s="17" t="n">
        <x:v>2454</x:v>
      </x:c>
      <x:c r="I2812" s="17" t="str">
        <x:v>Followup</x:v>
      </x:c>
      <x:c r="J2812" s="27" t="n">
        <x:f>INDEX('Model Pricing'!$B$7:$B$8,MATCH(F2812,'Model Pricing'!$A$7:$A$8,0))</x:f>
        <x:v>10</x:v>
      </x:c>
      <x:c r="K2812" s="27" t="n">
        <x:f>INDEX('Model Pricing'!$C$7:$C$8,MATCH(F2812,'Model Pricing'!$A$7:$A$8,0))</x:f>
        <x:v>30</x:v>
      </x:c>
      <x:c r="L2812" s="17" t="n">
        <x:f>G2812+H2812</x:f>
        <x:v>10992</x:v>
      </x:c>
      <x:c r="M2812" s="28" t="n">
        <x:f>G2812*J2812/1000000</x:f>
        <x:v>0.08538</x:v>
      </x:c>
      <x:c r="N2812" s="28" t="n">
        <x:f>H2812*K2812/1000000</x:f>
        <x:v>0.07362</x:v>
      </x:c>
      <x:c r="O2812" s="28" t="n">
        <x:f>SUM(M2812:N2812)</x:f>
        <x:v>0.159</x:v>
      </x:c>
    </x:row>
    <x:row r="2813" ht="23" customHeight="1">
      <x:c r="A2813" s="17" t="str">
        <x:v>U02807</x:v>
      </x:c>
      <x:c r="B2813" s="18" t="n">
        <x:v>46275</x:v>
      </x:c>
      <x:c r="C2813" s="17" t="str">
        <x:v>W0216</x:v>
      </x:c>
      <x:c r="D2813" s="17" t="str">
        <x:v>C004</x:v>
      </x:c>
      <x:c r="E2813" s="17" t="str">
        <x:v>DataFlow</x:v>
      </x:c>
      <x:c r="F2813" s="17" t="str">
        <x:v>Lite</x:v>
      </x:c>
      <x:c r="G2813" s="17" t="n">
        <x:v>17683</x:v>
      </x:c>
      <x:c r="H2813" s="17" t="n">
        <x:v>4097</x:v>
      </x:c>
      <x:c r="I2813" s="17" t="str">
        <x:v>Followup</x:v>
      </x:c>
      <x:c r="J2813" s="27" t="n">
        <x:f>INDEX('Model Pricing'!$B$7:$B$8,MATCH(F2813,'Model Pricing'!$A$7:$A$8,0))</x:f>
        <x:v>10</x:v>
      </x:c>
      <x:c r="K2813" s="27" t="n">
        <x:f>INDEX('Model Pricing'!$C$7:$C$8,MATCH(F2813,'Model Pricing'!$A$7:$A$8,0))</x:f>
        <x:v>30</x:v>
      </x:c>
      <x:c r="L2813" s="17" t="n">
        <x:f>G2813+H2813</x:f>
        <x:v>21780</x:v>
      </x:c>
      <x:c r="M2813" s="28" t="n">
        <x:f>G2813*J2813/1000000</x:f>
        <x:v>0.17683</x:v>
      </x:c>
      <x:c r="N2813" s="28" t="n">
        <x:f>H2813*K2813/1000000</x:f>
        <x:v>0.12291</x:v>
      </x:c>
      <x:c r="O2813" s="28" t="n">
        <x:f>SUM(M2813:N2813)</x:f>
        <x:v>0.29974</x:v>
      </x:c>
    </x:row>
    <x:row r="2814" ht="23" customHeight="1">
      <x:c r="A2814" s="17" t="str">
        <x:v>U02808</x:v>
      </x:c>
      <x:c r="B2814" s="18" t="n">
        <x:v>46275</x:v>
      </x:c>
      <x:c r="C2814" s="17" t="str">
        <x:v>W0216</x:v>
      </x:c>
      <x:c r="D2814" s="17" t="str">
        <x:v>C004</x:v>
      </x:c>
      <x:c r="E2814" s="17" t="str">
        <x:v>DataFlow</x:v>
      </x:c>
      <x:c r="F2814" s="17" t="str">
        <x:v>Lite</x:v>
      </x:c>
      <x:c r="G2814" s="17" t="n">
        <x:v>12179</x:v>
      </x:c>
      <x:c r="H2814" s="17" t="n">
        <x:v>2856</x:v>
      </x:c>
      <x:c r="I2814" s="17" t="str">
        <x:v>Followup</x:v>
      </x:c>
      <x:c r="J2814" s="27" t="n">
        <x:f>INDEX('Model Pricing'!$B$7:$B$8,MATCH(F2814,'Model Pricing'!$A$7:$A$8,0))</x:f>
        <x:v>10</x:v>
      </x:c>
      <x:c r="K2814" s="27" t="n">
        <x:f>INDEX('Model Pricing'!$C$7:$C$8,MATCH(F2814,'Model Pricing'!$A$7:$A$8,0))</x:f>
        <x:v>30</x:v>
      </x:c>
      <x:c r="L2814" s="17" t="n">
        <x:f>G2814+H2814</x:f>
        <x:v>15035</x:v>
      </x:c>
      <x:c r="M2814" s="28" t="n">
        <x:f>G2814*J2814/1000000</x:f>
        <x:v>0.12179</x:v>
      </x:c>
      <x:c r="N2814" s="28" t="n">
        <x:f>H2814*K2814/1000000</x:f>
        <x:v>0.08568</x:v>
      </x:c>
      <x:c r="O2814" s="28" t="n">
        <x:f>SUM(M2814:N2814)</x:f>
        <x:v>0.20747</x:v>
      </x:c>
    </x:row>
    <x:row r="2815" ht="23" customHeight="1">
      <x:c r="A2815" s="17" t="str">
        <x:v>U02809</x:v>
      </x:c>
      <x:c r="B2815" s="18" t="n">
        <x:v>46275</x:v>
      </x:c>
      <x:c r="C2815" s="17" t="str">
        <x:v>W0216</x:v>
      </x:c>
      <x:c r="D2815" s="17" t="str">
        <x:v>C004</x:v>
      </x:c>
      <x:c r="E2815" s="17" t="str">
        <x:v>DataFlow</x:v>
      </x:c>
      <x:c r="F2815" s="17" t="str">
        <x:v>Lite</x:v>
      </x:c>
      <x:c r="G2815" s="17" t="n">
        <x:v>12042</x:v>
      </x:c>
      <x:c r="H2815" s="17" t="n">
        <x:v>2817</x:v>
      </x:c>
      <x:c r="I2815" s="17" t="str">
        <x:v>Followup</x:v>
      </x:c>
      <x:c r="J2815" s="27" t="n">
        <x:f>INDEX('Model Pricing'!$B$7:$B$8,MATCH(F2815,'Model Pricing'!$A$7:$A$8,0))</x:f>
        <x:v>10</x:v>
      </x:c>
      <x:c r="K2815" s="27" t="n">
        <x:f>INDEX('Model Pricing'!$C$7:$C$8,MATCH(F2815,'Model Pricing'!$A$7:$A$8,0))</x:f>
        <x:v>30</x:v>
      </x:c>
      <x:c r="L2815" s="17" t="n">
        <x:f>G2815+H2815</x:f>
        <x:v>14859</x:v>
      </x:c>
      <x:c r="M2815" s="28" t="n">
        <x:f>G2815*J2815/1000000</x:f>
        <x:v>0.12042</x:v>
      </x:c>
      <x:c r="N2815" s="28" t="n">
        <x:f>H2815*K2815/1000000</x:f>
        <x:v>0.08451</x:v>
      </x:c>
      <x:c r="O2815" s="28" t="n">
        <x:f>SUM(M2815:N2815)</x:f>
        <x:v>0.20493</x:v>
      </x:c>
    </x:row>
    <x:row r="2816" ht="23" customHeight="1">
      <x:c r="A2816" s="17" t="str">
        <x:v>U02810</x:v>
      </x:c>
      <x:c r="B2816" s="18" t="n">
        <x:v>46276</x:v>
      </x:c>
      <x:c r="C2816" s="17" t="str">
        <x:v>W0216</x:v>
      </x:c>
      <x:c r="D2816" s="17" t="str">
        <x:v>C004</x:v>
      </x:c>
      <x:c r="E2816" s="17" t="str">
        <x:v>DataFlow</x:v>
      </x:c>
      <x:c r="F2816" s="17" t="str">
        <x:v>Lite</x:v>
      </x:c>
      <x:c r="G2816" s="17" t="n">
        <x:v>10829</x:v>
      </x:c>
      <x:c r="H2816" s="17" t="n">
        <x:v>2098</x:v>
      </x:c>
      <x:c r="I2816" s="17" t="str">
        <x:v>Followup</x:v>
      </x:c>
      <x:c r="J2816" s="27" t="n">
        <x:f>INDEX('Model Pricing'!$B$7:$B$8,MATCH(F2816,'Model Pricing'!$A$7:$A$8,0))</x:f>
        <x:v>10</x:v>
      </x:c>
      <x:c r="K2816" s="27" t="n">
        <x:f>INDEX('Model Pricing'!$C$7:$C$8,MATCH(F2816,'Model Pricing'!$A$7:$A$8,0))</x:f>
        <x:v>30</x:v>
      </x:c>
      <x:c r="L2816" s="17" t="n">
        <x:f>G2816+H2816</x:f>
        <x:v>12927</x:v>
      </x:c>
      <x:c r="M2816" s="28" t="n">
        <x:f>G2816*J2816/1000000</x:f>
        <x:v>0.10829</x:v>
      </x:c>
      <x:c r="N2816" s="28" t="n">
        <x:f>H2816*K2816/1000000</x:f>
        <x:v>0.06294</x:v>
      </x:c>
      <x:c r="O2816" s="28" t="n">
        <x:f>SUM(M2816:N2816)</x:f>
        <x:v>0.17123</x:v>
      </x:c>
    </x:row>
    <x:row r="2817" ht="23" customHeight="1">
      <x:c r="A2817" s="17" t="str">
        <x:v>U02811</x:v>
      </x:c>
      <x:c r="B2817" s="18" t="n">
        <x:v>46276</x:v>
      </x:c>
      <x:c r="C2817" s="17" t="str">
        <x:v>W0216</x:v>
      </x:c>
      <x:c r="D2817" s="17" t="str">
        <x:v>C004</x:v>
      </x:c>
      <x:c r="E2817" s="17" t="str">
        <x:v>DataFlow</x:v>
      </x:c>
      <x:c r="F2817" s="17" t="str">
        <x:v>Lite</x:v>
      </x:c>
      <x:c r="G2817" s="17" t="n">
        <x:v>16010</x:v>
      </x:c>
      <x:c r="H2817" s="17" t="n">
        <x:v>3534</x:v>
      </x:c>
      <x:c r="I2817" s="17" t="str">
        <x:v>Followup</x:v>
      </x:c>
      <x:c r="J2817" s="27" t="n">
        <x:f>INDEX('Model Pricing'!$B$7:$B$8,MATCH(F2817,'Model Pricing'!$A$7:$A$8,0))</x:f>
        <x:v>10</x:v>
      </x:c>
      <x:c r="K2817" s="27" t="n">
        <x:f>INDEX('Model Pricing'!$C$7:$C$8,MATCH(F2817,'Model Pricing'!$A$7:$A$8,0))</x:f>
        <x:v>30</x:v>
      </x:c>
      <x:c r="L2817" s="17" t="n">
        <x:f>G2817+H2817</x:f>
        <x:v>19544</x:v>
      </x:c>
      <x:c r="M2817" s="28" t="n">
        <x:f>G2817*J2817/1000000</x:f>
        <x:v>0.1601</x:v>
      </x:c>
      <x:c r="N2817" s="28" t="n">
        <x:f>H2817*K2817/1000000</x:f>
        <x:v>0.10602</x:v>
      </x:c>
      <x:c r="O2817" s="28" t="n">
        <x:f>SUM(M2817:N2817)</x:f>
        <x:v>0.26612</x:v>
      </x:c>
    </x:row>
    <x:row r="2818" ht="23" customHeight="1">
      <x:c r="A2818" s="17" t="str">
        <x:v>U02812</x:v>
      </x:c>
      <x:c r="B2818" s="18" t="n">
        <x:v>46276</x:v>
      </x:c>
      <x:c r="C2818" s="17" t="str">
        <x:v>W0216</x:v>
      </x:c>
      <x:c r="D2818" s="17" t="str">
        <x:v>C004</x:v>
      </x:c>
      <x:c r="E2818" s="17" t="str">
        <x:v>DataFlow</x:v>
      </x:c>
      <x:c r="F2818" s="17" t="str">
        <x:v>Lite</x:v>
      </x:c>
      <x:c r="G2818" s="17" t="n">
        <x:v>7645</x:v>
      </x:c>
      <x:c r="H2818" s="17" t="n">
        <x:v>1622</x:v>
      </x:c>
      <x:c r="I2818" s="17" t="str">
        <x:v>Followup</x:v>
      </x:c>
      <x:c r="J2818" s="27" t="n">
        <x:f>INDEX('Model Pricing'!$B$7:$B$8,MATCH(F2818,'Model Pricing'!$A$7:$A$8,0))</x:f>
        <x:v>10</x:v>
      </x:c>
      <x:c r="K2818" s="27" t="n">
        <x:f>INDEX('Model Pricing'!$C$7:$C$8,MATCH(F2818,'Model Pricing'!$A$7:$A$8,0))</x:f>
        <x:v>30</x:v>
      </x:c>
      <x:c r="L2818" s="17" t="n">
        <x:f>G2818+H2818</x:f>
        <x:v>9267</x:v>
      </x:c>
      <x:c r="M2818" s="28" t="n">
        <x:f>G2818*J2818/1000000</x:f>
        <x:v>0.07645</x:v>
      </x:c>
      <x:c r="N2818" s="28" t="n">
        <x:f>H2818*K2818/1000000</x:f>
        <x:v>0.04866</x:v>
      </x:c>
      <x:c r="O2818" s="28" t="n">
        <x:f>SUM(M2818:N2818)</x:f>
        <x:v>0.12511</x:v>
      </x:c>
    </x:row>
    <x:row r="2819" ht="23" customHeight="1">
      <x:c r="A2819" s="17" t="str">
        <x:v>U02813</x:v>
      </x:c>
      <x:c r="B2819" s="18" t="n">
        <x:v>46276</x:v>
      </x:c>
      <x:c r="C2819" s="17" t="str">
        <x:v>W0216</x:v>
      </x:c>
      <x:c r="D2819" s="17" t="str">
        <x:v>C004</x:v>
      </x:c>
      <x:c r="E2819" s="17" t="str">
        <x:v>DataFlow</x:v>
      </x:c>
      <x:c r="F2819" s="17" t="str">
        <x:v>Lite</x:v>
      </x:c>
      <x:c r="G2819" s="17" t="n">
        <x:v>18655</x:v>
      </x:c>
      <x:c r="H2819" s="17" t="n">
        <x:v>1612</x:v>
      </x:c>
      <x:c r="I2819" s="17" t="str">
        <x:v>Correction</x:v>
      </x:c>
      <x:c r="J2819" s="27" t="n">
        <x:f>INDEX('Model Pricing'!$B$7:$B$8,MATCH(F2819,'Model Pricing'!$A$7:$A$8,0))</x:f>
        <x:v>10</x:v>
      </x:c>
      <x:c r="K2819" s="27" t="n">
        <x:f>INDEX('Model Pricing'!$C$7:$C$8,MATCH(F2819,'Model Pricing'!$A$7:$A$8,0))</x:f>
        <x:v>30</x:v>
      </x:c>
      <x:c r="L2819" s="17" t="n">
        <x:f>G2819+H2819</x:f>
        <x:v>20267</x:v>
      </x:c>
      <x:c r="M2819" s="28" t="n">
        <x:f>G2819*J2819/1000000</x:f>
        <x:v>0.18655</x:v>
      </x:c>
      <x:c r="N2819" s="28" t="n">
        <x:f>H2819*K2819/1000000</x:f>
        <x:v>0.04836</x:v>
      </x:c>
      <x:c r="O2819" s="28" t="n">
        <x:f>SUM(M2819:N2819)</x:f>
        <x:v>0.23491</x:v>
      </x:c>
    </x:row>
    <x:row r="2820" ht="23" customHeight="1">
      <x:c r="A2820" s="17" t="str">
        <x:v>U02814</x:v>
      </x:c>
      <x:c r="B2820" s="18" t="n">
        <x:v>46276</x:v>
      </x:c>
      <x:c r="C2820" s="17" t="str">
        <x:v>W0216</x:v>
      </x:c>
      <x:c r="D2820" s="17" t="str">
        <x:v>C004</x:v>
      </x:c>
      <x:c r="E2820" s="17" t="str">
        <x:v>DataFlow</x:v>
      </x:c>
      <x:c r="F2820" s="17" t="str">
        <x:v>Lite</x:v>
      </x:c>
      <x:c r="G2820" s="17" t="n">
        <x:v>14539</x:v>
      </x:c>
      <x:c r="H2820" s="17" t="n">
        <x:v>3163</x:v>
      </x:c>
      <x:c r="I2820" s="17" t="str">
        <x:v>Correction</x:v>
      </x:c>
      <x:c r="J2820" s="27" t="n">
        <x:f>INDEX('Model Pricing'!$B$7:$B$8,MATCH(F2820,'Model Pricing'!$A$7:$A$8,0))</x:f>
        <x:v>10</x:v>
      </x:c>
      <x:c r="K2820" s="27" t="n">
        <x:f>INDEX('Model Pricing'!$C$7:$C$8,MATCH(F2820,'Model Pricing'!$A$7:$A$8,0))</x:f>
        <x:v>30</x:v>
      </x:c>
      <x:c r="L2820" s="17" t="n">
        <x:f>G2820+H2820</x:f>
        <x:v>17702</x:v>
      </x:c>
      <x:c r="M2820" s="28" t="n">
        <x:f>G2820*J2820/1000000</x:f>
        <x:v>0.14539</x:v>
      </x:c>
      <x:c r="N2820" s="28" t="n">
        <x:f>H2820*K2820/1000000</x:f>
        <x:v>0.09489</x:v>
      </x:c>
      <x:c r="O2820" s="28" t="n">
        <x:f>SUM(M2820:N2820)</x:f>
        <x:v>0.24028</x:v>
      </x:c>
    </x:row>
    <x:row r="2821" ht="23" customHeight="1">
      <x:c r="A2821" s="17" t="str">
        <x:v>U02815</x:v>
      </x:c>
      <x:c r="B2821" s="18" t="n">
        <x:v>46279</x:v>
      </x:c>
      <x:c r="C2821" s="17" t="str">
        <x:v>W0216</x:v>
      </x:c>
      <x:c r="D2821" s="17" t="str">
        <x:v>C004</x:v>
      </x:c>
      <x:c r="E2821" s="17" t="str">
        <x:v>DataFlow</x:v>
      </x:c>
      <x:c r="F2821" s="17" t="str">
        <x:v>Lite</x:v>
      </x:c>
      <x:c r="G2821" s="17" t="n">
        <x:v>13610</x:v>
      </x:c>
      <x:c r="H2821" s="17" t="n">
        <x:v>2576</x:v>
      </x:c>
      <x:c r="I2821" s="17" t="str">
        <x:v>Followup</x:v>
      </x:c>
      <x:c r="J2821" s="27" t="n">
        <x:f>INDEX('Model Pricing'!$B$7:$B$8,MATCH(F2821,'Model Pricing'!$A$7:$A$8,0))</x:f>
        <x:v>10</x:v>
      </x:c>
      <x:c r="K2821" s="27" t="n">
        <x:f>INDEX('Model Pricing'!$C$7:$C$8,MATCH(F2821,'Model Pricing'!$A$7:$A$8,0))</x:f>
        <x:v>30</x:v>
      </x:c>
      <x:c r="L2821" s="17" t="n">
        <x:f>G2821+H2821</x:f>
        <x:v>16186</x:v>
      </x:c>
      <x:c r="M2821" s="28" t="n">
        <x:f>G2821*J2821/1000000</x:f>
        <x:v>0.1361</x:v>
      </x:c>
      <x:c r="N2821" s="28" t="n">
        <x:f>H2821*K2821/1000000</x:f>
        <x:v>0.07728</x:v>
      </x:c>
      <x:c r="O2821" s="28" t="n">
        <x:f>SUM(M2821:N2821)</x:f>
        <x:v>0.21338000000000001</x:v>
      </x:c>
    </x:row>
    <x:row r="2822" ht="23" customHeight="1">
      <x:c r="A2822" s="17" t="str">
        <x:v>U02816</x:v>
      </x:c>
      <x:c r="B2822" s="18" t="n">
        <x:v>46279</x:v>
      </x:c>
      <x:c r="C2822" s="17" t="str">
        <x:v>W0216</x:v>
      </x:c>
      <x:c r="D2822" s="17" t="str">
        <x:v>C004</x:v>
      </x:c>
      <x:c r="E2822" s="17" t="str">
        <x:v>DataFlow</x:v>
      </x:c>
      <x:c r="F2822" s="17" t="str">
        <x:v>Lite</x:v>
      </x:c>
      <x:c r="G2822" s="17" t="n">
        <x:v>13693</x:v>
      </x:c>
      <x:c r="H2822" s="17" t="n">
        <x:v>3371</x:v>
      </x:c>
      <x:c r="I2822" s="17" t="str">
        <x:v>Followup</x:v>
      </x:c>
      <x:c r="J2822" s="27" t="n">
        <x:f>INDEX('Model Pricing'!$B$7:$B$8,MATCH(F2822,'Model Pricing'!$A$7:$A$8,0))</x:f>
        <x:v>10</x:v>
      </x:c>
      <x:c r="K2822" s="27" t="n">
        <x:f>INDEX('Model Pricing'!$C$7:$C$8,MATCH(F2822,'Model Pricing'!$A$7:$A$8,0))</x:f>
        <x:v>30</x:v>
      </x:c>
      <x:c r="L2822" s="17" t="n">
        <x:f>G2822+H2822</x:f>
        <x:v>17064</x:v>
      </x:c>
      <x:c r="M2822" s="28" t="n">
        <x:f>G2822*J2822/1000000</x:f>
        <x:v>0.13693</x:v>
      </x:c>
      <x:c r="N2822" s="28" t="n">
        <x:f>H2822*K2822/1000000</x:f>
        <x:v>0.10113</x:v>
      </x:c>
      <x:c r="O2822" s="28" t="n">
        <x:f>SUM(M2822:N2822)</x:f>
        <x:v>0.23806</x:v>
      </x:c>
    </x:row>
    <x:row r="2823" ht="23" customHeight="1">
      <x:c r="A2823" s="17" t="str">
        <x:v>U02817</x:v>
      </x:c>
      <x:c r="B2823" s="18" t="n">
        <x:v>46279</x:v>
      </x:c>
      <x:c r="C2823" s="17" t="str">
        <x:v>W0216</x:v>
      </x:c>
      <x:c r="D2823" s="17" t="str">
        <x:v>C004</x:v>
      </x:c>
      <x:c r="E2823" s="17" t="str">
        <x:v>DataFlow</x:v>
      </x:c>
      <x:c r="F2823" s="17" t="str">
        <x:v>Lite</x:v>
      </x:c>
      <x:c r="G2823" s="17" t="n">
        <x:v>12685</x:v>
      </x:c>
      <x:c r="H2823" s="17" t="n">
        <x:v>3744</x:v>
      </x:c>
      <x:c r="I2823" s="17" t="str">
        <x:v>Followup</x:v>
      </x:c>
      <x:c r="J2823" s="27" t="n">
        <x:f>INDEX('Model Pricing'!$B$7:$B$8,MATCH(F2823,'Model Pricing'!$A$7:$A$8,0))</x:f>
        <x:v>10</x:v>
      </x:c>
      <x:c r="K2823" s="27" t="n">
        <x:f>INDEX('Model Pricing'!$C$7:$C$8,MATCH(F2823,'Model Pricing'!$A$7:$A$8,0))</x:f>
        <x:v>30</x:v>
      </x:c>
      <x:c r="L2823" s="17" t="n">
        <x:f>G2823+H2823</x:f>
        <x:v>16429</x:v>
      </x:c>
      <x:c r="M2823" s="28" t="n">
        <x:f>G2823*J2823/1000000</x:f>
        <x:v>0.12685</x:v>
      </x:c>
      <x:c r="N2823" s="28" t="n">
        <x:f>H2823*K2823/1000000</x:f>
        <x:v>0.11232</x:v>
      </x:c>
      <x:c r="O2823" s="28" t="n">
        <x:f>SUM(M2823:N2823)</x:f>
        <x:v>0.23917</x:v>
      </x:c>
    </x:row>
    <x:row r="2824" ht="23" customHeight="1">
      <x:c r="A2824" s="17" t="str">
        <x:v>U02818</x:v>
      </x:c>
      <x:c r="B2824" s="18" t="n">
        <x:v>46279</x:v>
      </x:c>
      <x:c r="C2824" s="17" t="str">
        <x:v>W0216</x:v>
      </x:c>
      <x:c r="D2824" s="17" t="str">
        <x:v>C004</x:v>
      </x:c>
      <x:c r="E2824" s="17" t="str">
        <x:v>DataFlow</x:v>
      </x:c>
      <x:c r="F2824" s="17" t="str">
        <x:v>Lite</x:v>
      </x:c>
      <x:c r="G2824" s="17" t="n">
        <x:v>14956</x:v>
      </x:c>
      <x:c r="H2824" s="17" t="n">
        <x:v>1424</x:v>
      </x:c>
      <x:c r="I2824" s="17" t="str">
        <x:v>Followup</x:v>
      </x:c>
      <x:c r="J2824" s="27" t="n">
        <x:f>INDEX('Model Pricing'!$B$7:$B$8,MATCH(F2824,'Model Pricing'!$A$7:$A$8,0))</x:f>
        <x:v>10</x:v>
      </x:c>
      <x:c r="K2824" s="27" t="n">
        <x:f>INDEX('Model Pricing'!$C$7:$C$8,MATCH(F2824,'Model Pricing'!$A$7:$A$8,0))</x:f>
        <x:v>30</x:v>
      </x:c>
      <x:c r="L2824" s="17" t="n">
        <x:f>G2824+H2824</x:f>
        <x:v>16380</x:v>
      </x:c>
      <x:c r="M2824" s="28" t="n">
        <x:f>G2824*J2824/1000000</x:f>
        <x:v>0.14956</x:v>
      </x:c>
      <x:c r="N2824" s="28" t="n">
        <x:f>H2824*K2824/1000000</x:f>
        <x:v>0.04272</x:v>
      </x:c>
      <x:c r="O2824" s="28" t="n">
        <x:f>SUM(M2824:N2824)</x:f>
        <x:v>0.19228</x:v>
      </x:c>
    </x:row>
    <x:row r="2825" ht="23" customHeight="1">
      <x:c r="A2825" s="17" t="str">
        <x:v>U02819</x:v>
      </x:c>
      <x:c r="B2825" s="18" t="n">
        <x:v>46267</x:v>
      </x:c>
      <x:c r="C2825" s="17" t="str">
        <x:v>W0218</x:v>
      </x:c>
      <x:c r="D2825" s="17" t="str">
        <x:v>C004</x:v>
      </x:c>
      <x:c r="E2825" s="17" t="str">
        <x:v>CopyStudio</x:v>
      </x:c>
      <x:c r="F2825" s="17" t="str">
        <x:v>Lite</x:v>
      </x:c>
      <x:c r="G2825" s="17" t="n">
        <x:v>24749</x:v>
      </x:c>
      <x:c r="H2825" s="17" t="n">
        <x:v>4017</x:v>
      </x:c>
      <x:c r="I2825" s="17" t="str">
        <x:v>First attempt</x:v>
      </x:c>
      <x:c r="J2825" s="27" t="n">
        <x:f>INDEX('Model Pricing'!$B$7:$B$8,MATCH(F2825,'Model Pricing'!$A$7:$A$8,0))</x:f>
        <x:v>10</x:v>
      </x:c>
      <x:c r="K2825" s="27" t="n">
        <x:f>INDEX('Model Pricing'!$C$7:$C$8,MATCH(F2825,'Model Pricing'!$A$7:$A$8,0))</x:f>
        <x:v>30</x:v>
      </x:c>
      <x:c r="L2825" s="17" t="n">
        <x:f>G2825+H2825</x:f>
        <x:v>28766</x:v>
      </x:c>
      <x:c r="M2825" s="28" t="n">
        <x:f>G2825*J2825/1000000</x:f>
        <x:v>0.24749</x:v>
      </x:c>
      <x:c r="N2825" s="28" t="n">
        <x:f>H2825*K2825/1000000</x:f>
        <x:v>0.12051</x:v>
      </x:c>
      <x:c r="O2825" s="28" t="n">
        <x:f>SUM(M2825:N2825)</x:f>
        <x:v>0.368</x:v>
      </x:c>
    </x:row>
    <x:row r="2826" ht="23" customHeight="1">
      <x:c r="A2826" s="17" t="str">
        <x:v>U02820</x:v>
      </x:c>
      <x:c r="B2826" s="18" t="n">
        <x:v>46267</x:v>
      </x:c>
      <x:c r="C2826" s="17" t="str">
        <x:v>W0218</x:v>
      </x:c>
      <x:c r="D2826" s="17" t="str">
        <x:v>C004</x:v>
      </x:c>
      <x:c r="E2826" s="17" t="str">
        <x:v>CopyStudio</x:v>
      </x:c>
      <x:c r="F2826" s="17" t="str">
        <x:v>Lite</x:v>
      </x:c>
      <x:c r="G2826" s="17" t="n">
        <x:v>34654</x:v>
      </x:c>
      <x:c r="H2826" s="17" t="n">
        <x:v>9132</x:v>
      </x:c>
      <x:c r="I2826" s="17" t="str">
        <x:v>Followup</x:v>
      </x:c>
      <x:c r="J2826" s="27" t="n">
        <x:f>INDEX('Model Pricing'!$B$7:$B$8,MATCH(F2826,'Model Pricing'!$A$7:$A$8,0))</x:f>
        <x:v>10</x:v>
      </x:c>
      <x:c r="K2826" s="27" t="n">
        <x:f>INDEX('Model Pricing'!$C$7:$C$8,MATCH(F2826,'Model Pricing'!$A$7:$A$8,0))</x:f>
        <x:v>30</x:v>
      </x:c>
      <x:c r="L2826" s="17" t="n">
        <x:f>G2826+H2826</x:f>
        <x:v>43786</x:v>
      </x:c>
      <x:c r="M2826" s="28" t="n">
        <x:f>G2826*J2826/1000000</x:f>
        <x:v>0.34654</x:v>
      </x:c>
      <x:c r="N2826" s="28" t="n">
        <x:f>H2826*K2826/1000000</x:f>
        <x:v>0.27396</x:v>
      </x:c>
      <x:c r="O2826" s="28" t="n">
        <x:f>SUM(M2826:N2826)</x:f>
        <x:v>0.6205</x:v>
      </x:c>
    </x:row>
    <x:row r="2827" ht="23" customHeight="1">
      <x:c r="A2827" s="17" t="str">
        <x:v>U02821</x:v>
      </x:c>
      <x:c r="B2827" s="18" t="n">
        <x:v>46267</x:v>
      </x:c>
      <x:c r="C2827" s="17" t="str">
        <x:v>W0218</x:v>
      </x:c>
      <x:c r="D2827" s="17" t="str">
        <x:v>C004</x:v>
      </x:c>
      <x:c r="E2827" s="17" t="str">
        <x:v>CopyStudio</x:v>
      </x:c>
      <x:c r="F2827" s="17" t="str">
        <x:v>Lite</x:v>
      </x:c>
      <x:c r="G2827" s="17" t="n">
        <x:v>43569</x:v>
      </x:c>
      <x:c r="H2827" s="17" t="n">
        <x:v>8112</x:v>
      </x:c>
      <x:c r="I2827" s="17" t="str">
        <x:v>Followup</x:v>
      </x:c>
      <x:c r="J2827" s="27" t="n">
        <x:f>INDEX('Model Pricing'!$B$7:$B$8,MATCH(F2827,'Model Pricing'!$A$7:$A$8,0))</x:f>
        <x:v>10</x:v>
      </x:c>
      <x:c r="K2827" s="27" t="n">
        <x:f>INDEX('Model Pricing'!$C$7:$C$8,MATCH(F2827,'Model Pricing'!$A$7:$A$8,0))</x:f>
        <x:v>30</x:v>
      </x:c>
      <x:c r="L2827" s="17" t="n">
        <x:f>G2827+H2827</x:f>
        <x:v>51681</x:v>
      </x:c>
      <x:c r="M2827" s="28" t="n">
        <x:f>G2827*J2827/1000000</x:f>
        <x:v>0.43569</x:v>
      </x:c>
      <x:c r="N2827" s="28" t="n">
        <x:f>H2827*K2827/1000000</x:f>
        <x:v>0.24336</x:v>
      </x:c>
      <x:c r="O2827" s="28" t="n">
        <x:f>SUM(M2827:N2827)</x:f>
        <x:v>0.67905</x:v>
      </x:c>
    </x:row>
    <x:row r="2828" ht="23" customHeight="1">
      <x:c r="A2828" s="17" t="str">
        <x:v>U02822</x:v>
      </x:c>
      <x:c r="B2828" s="18" t="n">
        <x:v>46268</x:v>
      </x:c>
      <x:c r="C2828" s="17" t="str">
        <x:v>W0218</x:v>
      </x:c>
      <x:c r="D2828" s="17" t="str">
        <x:v>C004</x:v>
      </x:c>
      <x:c r="E2828" s="17" t="str">
        <x:v>CopyStudio</x:v>
      </x:c>
      <x:c r="F2828" s="17" t="str">
        <x:v>Lite</x:v>
      </x:c>
      <x:c r="G2828" s="17" t="n">
        <x:v>37112</x:v>
      </x:c>
      <x:c r="H2828" s="17" t="n">
        <x:v>5978</x:v>
      </x:c>
      <x:c r="I2828" s="17" t="str">
        <x:v>Followup</x:v>
      </x:c>
      <x:c r="J2828" s="27" t="n">
        <x:f>INDEX('Model Pricing'!$B$7:$B$8,MATCH(F2828,'Model Pricing'!$A$7:$A$8,0))</x:f>
        <x:v>10</x:v>
      </x:c>
      <x:c r="K2828" s="27" t="n">
        <x:f>INDEX('Model Pricing'!$C$7:$C$8,MATCH(F2828,'Model Pricing'!$A$7:$A$8,0))</x:f>
        <x:v>30</x:v>
      </x:c>
      <x:c r="L2828" s="17" t="n">
        <x:f>G2828+H2828</x:f>
        <x:v>43090</x:v>
      </x:c>
      <x:c r="M2828" s="28" t="n">
        <x:f>G2828*J2828/1000000</x:f>
        <x:v>0.37112</x:v>
      </x:c>
      <x:c r="N2828" s="28" t="n">
        <x:f>H2828*K2828/1000000</x:f>
        <x:v>0.17934</x:v>
      </x:c>
      <x:c r="O2828" s="28" t="n">
        <x:f>SUM(M2828:N2828)</x:f>
        <x:v>0.55046</x:v>
      </x:c>
    </x:row>
    <x:row r="2829" ht="23" customHeight="1">
      <x:c r="A2829" s="17" t="str">
        <x:v>U02823</x:v>
      </x:c>
      <x:c r="B2829" s="18" t="n">
        <x:v>46268</x:v>
      </x:c>
      <x:c r="C2829" s="17" t="str">
        <x:v>W0218</x:v>
      </x:c>
      <x:c r="D2829" s="17" t="str">
        <x:v>C004</x:v>
      </x:c>
      <x:c r="E2829" s="17" t="str">
        <x:v>CopyStudio</x:v>
      </x:c>
      <x:c r="F2829" s="17" t="str">
        <x:v>Lite</x:v>
      </x:c>
      <x:c r="G2829" s="17" t="n">
        <x:v>23801</x:v>
      </x:c>
      <x:c r="H2829" s="17" t="n">
        <x:v>2865</x:v>
      </x:c>
      <x:c r="I2829" s="17" t="str">
        <x:v>Correction</x:v>
      </x:c>
      <x:c r="J2829" s="27" t="n">
        <x:f>INDEX('Model Pricing'!$B$7:$B$8,MATCH(F2829,'Model Pricing'!$A$7:$A$8,0))</x:f>
        <x:v>10</x:v>
      </x:c>
      <x:c r="K2829" s="27" t="n">
        <x:f>INDEX('Model Pricing'!$C$7:$C$8,MATCH(F2829,'Model Pricing'!$A$7:$A$8,0))</x:f>
        <x:v>30</x:v>
      </x:c>
      <x:c r="L2829" s="17" t="n">
        <x:f>G2829+H2829</x:f>
        <x:v>26666</x:v>
      </x:c>
      <x:c r="M2829" s="28" t="n">
        <x:f>G2829*J2829/1000000</x:f>
        <x:v>0.23801</x:v>
      </x:c>
      <x:c r="N2829" s="28" t="n">
        <x:f>H2829*K2829/1000000</x:f>
        <x:v>0.08595</x:v>
      </x:c>
      <x:c r="O2829" s="28" t="n">
        <x:f>SUM(M2829:N2829)</x:f>
        <x:v>0.32396</x:v>
      </x:c>
    </x:row>
    <x:row r="2830" ht="23" customHeight="1">
      <x:c r="A2830" s="17" t="str">
        <x:v>U02824</x:v>
      </x:c>
      <x:c r="B2830" s="18" t="n">
        <x:v>46269</x:v>
      </x:c>
      <x:c r="C2830" s="17" t="str">
        <x:v>W0218</x:v>
      </x:c>
      <x:c r="D2830" s="17" t="str">
        <x:v>C004</x:v>
      </x:c>
      <x:c r="E2830" s="17" t="str">
        <x:v>CopyStudio</x:v>
      </x:c>
      <x:c r="F2830" s="17" t="str">
        <x:v>Lite</x:v>
      </x:c>
      <x:c r="G2830" s="17" t="n">
        <x:v>33736</x:v>
      </x:c>
      <x:c r="H2830" s="17" t="n">
        <x:v>3794</x:v>
      </x:c>
      <x:c r="I2830" s="17" t="str">
        <x:v>Followup</x:v>
      </x:c>
      <x:c r="J2830" s="27" t="n">
        <x:f>INDEX('Model Pricing'!$B$7:$B$8,MATCH(F2830,'Model Pricing'!$A$7:$A$8,0))</x:f>
        <x:v>10</x:v>
      </x:c>
      <x:c r="K2830" s="27" t="n">
        <x:f>INDEX('Model Pricing'!$C$7:$C$8,MATCH(F2830,'Model Pricing'!$A$7:$A$8,0))</x:f>
        <x:v>30</x:v>
      </x:c>
      <x:c r="L2830" s="17" t="n">
        <x:f>G2830+H2830</x:f>
        <x:v>37530</x:v>
      </x:c>
      <x:c r="M2830" s="28" t="n">
        <x:f>G2830*J2830/1000000</x:f>
        <x:v>0.33736</x:v>
      </x:c>
      <x:c r="N2830" s="28" t="n">
        <x:f>H2830*K2830/1000000</x:f>
        <x:v>0.11382</x:v>
      </x:c>
      <x:c r="O2830" s="28" t="n">
        <x:f>SUM(M2830:N2830)</x:f>
        <x:v>0.45118</x:v>
      </x:c>
    </x:row>
    <x:row r="2831" ht="23" customHeight="1">
      <x:c r="A2831" s="17" t="str">
        <x:v>U02825</x:v>
      </x:c>
      <x:c r="B2831" s="18" t="n">
        <x:v>46269</x:v>
      </x:c>
      <x:c r="C2831" s="17" t="str">
        <x:v>W0218</x:v>
      </x:c>
      <x:c r="D2831" s="17" t="str">
        <x:v>C004</x:v>
      </x:c>
      <x:c r="E2831" s="17" t="str">
        <x:v>CopyStudio</x:v>
      </x:c>
      <x:c r="F2831" s="17" t="str">
        <x:v>Lite</x:v>
      </x:c>
      <x:c r="G2831" s="17" t="n">
        <x:v>23420</x:v>
      </x:c>
      <x:c r="H2831" s="17" t="n">
        <x:v>2892</x:v>
      </x:c>
      <x:c r="I2831" s="17" t="str">
        <x:v>Followup</x:v>
      </x:c>
      <x:c r="J2831" s="27" t="n">
        <x:f>INDEX('Model Pricing'!$B$7:$B$8,MATCH(F2831,'Model Pricing'!$A$7:$A$8,0))</x:f>
        <x:v>10</x:v>
      </x:c>
      <x:c r="K2831" s="27" t="n">
        <x:f>INDEX('Model Pricing'!$C$7:$C$8,MATCH(F2831,'Model Pricing'!$A$7:$A$8,0))</x:f>
        <x:v>30</x:v>
      </x:c>
      <x:c r="L2831" s="17" t="n">
        <x:f>G2831+H2831</x:f>
        <x:v>26312</x:v>
      </x:c>
      <x:c r="M2831" s="28" t="n">
        <x:f>G2831*J2831/1000000</x:f>
        <x:v>0.2342</x:v>
      </x:c>
      <x:c r="N2831" s="28" t="n">
        <x:f>H2831*K2831/1000000</x:f>
        <x:v>0.08676</x:v>
      </x:c>
      <x:c r="O2831" s="28" t="n">
        <x:f>SUM(M2831:N2831)</x:f>
        <x:v>0.32096</x:v>
      </x:c>
    </x:row>
    <x:row r="2832" ht="23" customHeight="1">
      <x:c r="A2832" s="17" t="str">
        <x:v>U02826</x:v>
      </x:c>
      <x:c r="B2832" s="18" t="n">
        <x:v>46273</x:v>
      </x:c>
      <x:c r="C2832" s="17" t="str">
        <x:v>W0218</x:v>
      </x:c>
      <x:c r="D2832" s="17" t="str">
        <x:v>C004</x:v>
      </x:c>
      <x:c r="E2832" s="17" t="str">
        <x:v>CopyStudio</x:v>
      </x:c>
      <x:c r="F2832" s="17" t="str">
        <x:v>Lite</x:v>
      </x:c>
      <x:c r="G2832" s="17" t="n">
        <x:v>26411</x:v>
      </x:c>
      <x:c r="H2832" s="17" t="n">
        <x:v>3227</x:v>
      </x:c>
      <x:c r="I2832" s="17" t="str">
        <x:v>Correction</x:v>
      </x:c>
      <x:c r="J2832" s="27" t="n">
        <x:f>INDEX('Model Pricing'!$B$7:$B$8,MATCH(F2832,'Model Pricing'!$A$7:$A$8,0))</x:f>
        <x:v>10</x:v>
      </x:c>
      <x:c r="K2832" s="27" t="n">
        <x:f>INDEX('Model Pricing'!$C$7:$C$8,MATCH(F2832,'Model Pricing'!$A$7:$A$8,0))</x:f>
        <x:v>30</x:v>
      </x:c>
      <x:c r="L2832" s="17" t="n">
        <x:f>G2832+H2832</x:f>
        <x:v>29638</x:v>
      </x:c>
      <x:c r="M2832" s="28" t="n">
        <x:f>G2832*J2832/1000000</x:f>
        <x:v>0.26411</x:v>
      </x:c>
      <x:c r="N2832" s="28" t="n">
        <x:f>H2832*K2832/1000000</x:f>
        <x:v>0.09681</x:v>
      </x:c>
      <x:c r="O2832" s="28" t="n">
        <x:f>SUM(M2832:N2832)</x:f>
        <x:v>0.36092</x:v>
      </x:c>
    </x:row>
    <x:row r="2833" ht="23" customHeight="1">
      <x:c r="A2833" s="17" t="str">
        <x:v>U02827</x:v>
      </x:c>
      <x:c r="B2833" s="18" t="n">
        <x:v>46273</x:v>
      </x:c>
      <x:c r="C2833" s="17" t="str">
        <x:v>W0218</x:v>
      </x:c>
      <x:c r="D2833" s="17" t="str">
        <x:v>C004</x:v>
      </x:c>
      <x:c r="E2833" s="17" t="str">
        <x:v>CopyStudio</x:v>
      </x:c>
      <x:c r="F2833" s="17" t="str">
        <x:v>Lite</x:v>
      </x:c>
      <x:c r="G2833" s="17" t="n">
        <x:v>20573</x:v>
      </x:c>
      <x:c r="H2833" s="17" t="n">
        <x:v>9017</x:v>
      </x:c>
      <x:c r="I2833" s="17" t="str">
        <x:v>Followup</x:v>
      </x:c>
      <x:c r="J2833" s="27" t="n">
        <x:f>INDEX('Model Pricing'!$B$7:$B$8,MATCH(F2833,'Model Pricing'!$A$7:$A$8,0))</x:f>
        <x:v>10</x:v>
      </x:c>
      <x:c r="K2833" s="27" t="n">
        <x:f>INDEX('Model Pricing'!$C$7:$C$8,MATCH(F2833,'Model Pricing'!$A$7:$A$8,0))</x:f>
        <x:v>30</x:v>
      </x:c>
      <x:c r="L2833" s="17" t="n">
        <x:f>G2833+H2833</x:f>
        <x:v>29590</x:v>
      </x:c>
      <x:c r="M2833" s="28" t="n">
        <x:f>G2833*J2833/1000000</x:f>
        <x:v>0.20573</x:v>
      </x:c>
      <x:c r="N2833" s="28" t="n">
        <x:f>H2833*K2833/1000000</x:f>
        <x:v>0.27051</x:v>
      </x:c>
      <x:c r="O2833" s="28" t="n">
        <x:f>SUM(M2833:N2833)</x:f>
        <x:v>0.47624</x:v>
      </x:c>
    </x:row>
    <x:row r="2834" ht="23" customHeight="1">
      <x:c r="A2834" s="17" t="str">
        <x:v>U02828</x:v>
      </x:c>
      <x:c r="B2834" s="18" t="n">
        <x:v>46279</x:v>
      </x:c>
      <x:c r="C2834" s="17" t="str">
        <x:v>W0219</x:v>
      </x:c>
      <x:c r="D2834" s="17" t="str">
        <x:v>C004</x:v>
      </x:c>
      <x:c r="E2834" s="17" t="str">
        <x:v>CopyStudio</x:v>
      </x:c>
      <x:c r="F2834" s="17" t="str">
        <x:v>Lite</x:v>
      </x:c>
      <x:c r="G2834" s="17" t="n">
        <x:v>20411</x:v>
      </x:c>
      <x:c r="H2834" s="17" t="n">
        <x:v>3341</x:v>
      </x:c>
      <x:c r="I2834" s="17" t="str">
        <x:v>First attempt</x:v>
      </x:c>
      <x:c r="J2834" s="27" t="n">
        <x:f>INDEX('Model Pricing'!$B$7:$B$8,MATCH(F2834,'Model Pricing'!$A$7:$A$8,0))</x:f>
        <x:v>10</x:v>
      </x:c>
      <x:c r="K2834" s="27" t="n">
        <x:f>INDEX('Model Pricing'!$C$7:$C$8,MATCH(F2834,'Model Pricing'!$A$7:$A$8,0))</x:f>
        <x:v>30</x:v>
      </x:c>
      <x:c r="L2834" s="17" t="n">
        <x:f>G2834+H2834</x:f>
        <x:v>23752</x:v>
      </x:c>
      <x:c r="M2834" s="28" t="n">
        <x:f>G2834*J2834/1000000</x:f>
        <x:v>0.20411</x:v>
      </x:c>
      <x:c r="N2834" s="28" t="n">
        <x:f>H2834*K2834/1000000</x:f>
        <x:v>0.10023</x:v>
      </x:c>
      <x:c r="O2834" s="28" t="n">
        <x:f>SUM(M2834:N2834)</x:f>
        <x:v>0.30434</x:v>
      </x:c>
    </x:row>
    <x:row r="2835" ht="23" customHeight="1">
      <x:c r="A2835" s="17" t="str">
        <x:v>U02829</x:v>
      </x:c>
      <x:c r="B2835" s="18" t="n">
        <x:v>46279</x:v>
      </x:c>
      <x:c r="C2835" s="17" t="str">
        <x:v>W0219</x:v>
      </x:c>
      <x:c r="D2835" s="17" t="str">
        <x:v>C004</x:v>
      </x:c>
      <x:c r="E2835" s="17" t="str">
        <x:v>CopyStudio</x:v>
      </x:c>
      <x:c r="F2835" s="17" t="str">
        <x:v>Lite</x:v>
      </x:c>
      <x:c r="G2835" s="17" t="n">
        <x:v>18509</x:v>
      </x:c>
      <x:c r="H2835" s="17" t="n">
        <x:v>2290</x:v>
      </x:c>
      <x:c r="I2835" s="17" t="str">
        <x:v>Followup</x:v>
      </x:c>
      <x:c r="J2835" s="27" t="n">
        <x:f>INDEX('Model Pricing'!$B$7:$B$8,MATCH(F2835,'Model Pricing'!$A$7:$A$8,0))</x:f>
        <x:v>10</x:v>
      </x:c>
      <x:c r="K2835" s="27" t="n">
        <x:f>INDEX('Model Pricing'!$C$7:$C$8,MATCH(F2835,'Model Pricing'!$A$7:$A$8,0))</x:f>
        <x:v>30</x:v>
      </x:c>
      <x:c r="L2835" s="17" t="n">
        <x:f>G2835+H2835</x:f>
        <x:v>20799</x:v>
      </x:c>
      <x:c r="M2835" s="28" t="n">
        <x:f>G2835*J2835/1000000</x:f>
        <x:v>0.18509</x:v>
      </x:c>
      <x:c r="N2835" s="28" t="n">
        <x:f>H2835*K2835/1000000</x:f>
        <x:v>0.0687</x:v>
      </x:c>
      <x:c r="O2835" s="28" t="n">
        <x:f>SUM(M2835:N2835)</x:f>
        <x:v>0.25379</x:v>
      </x:c>
    </x:row>
    <x:row r="2836" ht="23" customHeight="1">
      <x:c r="A2836" s="17" t="str">
        <x:v>U02830</x:v>
      </x:c>
      <x:c r="B2836" s="18" t="n">
        <x:v>46279</x:v>
      </x:c>
      <x:c r="C2836" s="17" t="str">
        <x:v>W0219</x:v>
      </x:c>
      <x:c r="D2836" s="17" t="str">
        <x:v>C004</x:v>
      </x:c>
      <x:c r="E2836" s="17" t="str">
        <x:v>CopyStudio</x:v>
      </x:c>
      <x:c r="F2836" s="17" t="str">
        <x:v>Lite</x:v>
      </x:c>
      <x:c r="G2836" s="17" t="n">
        <x:v>20996</x:v>
      </x:c>
      <x:c r="H2836" s="17" t="n">
        <x:v>6057</x:v>
      </x:c>
      <x:c r="I2836" s="17" t="str">
        <x:v>Correction</x:v>
      </x:c>
      <x:c r="J2836" s="27" t="n">
        <x:f>INDEX('Model Pricing'!$B$7:$B$8,MATCH(F2836,'Model Pricing'!$A$7:$A$8,0))</x:f>
        <x:v>10</x:v>
      </x:c>
      <x:c r="K2836" s="27" t="n">
        <x:f>INDEX('Model Pricing'!$C$7:$C$8,MATCH(F2836,'Model Pricing'!$A$7:$A$8,0))</x:f>
        <x:v>30</x:v>
      </x:c>
      <x:c r="L2836" s="17" t="n">
        <x:f>G2836+H2836</x:f>
        <x:v>27053</x:v>
      </x:c>
      <x:c r="M2836" s="28" t="n">
        <x:f>G2836*J2836/1000000</x:f>
        <x:v>0.20996</x:v>
      </x:c>
      <x:c r="N2836" s="28" t="n">
        <x:f>H2836*K2836/1000000</x:f>
        <x:v>0.18171</x:v>
      </x:c>
      <x:c r="O2836" s="28" t="n">
        <x:f>SUM(M2836:N2836)</x:f>
        <x:v>0.39167</x:v>
      </x:c>
    </x:row>
    <x:row r="2837" ht="23" customHeight="1">
      <x:c r="A2837" s="17" t="str">
        <x:v>U02831</x:v>
      </x:c>
      <x:c r="B2837" s="18" t="n">
        <x:v>46279</x:v>
      </x:c>
      <x:c r="C2837" s="17" t="str">
        <x:v>W0219</x:v>
      </x:c>
      <x:c r="D2837" s="17" t="str">
        <x:v>C004</x:v>
      </x:c>
      <x:c r="E2837" s="17" t="str">
        <x:v>CopyStudio</x:v>
      </x:c>
      <x:c r="F2837" s="17" t="str">
        <x:v>Lite</x:v>
      </x:c>
      <x:c r="G2837" s="17" t="n">
        <x:v>12967</x:v>
      </x:c>
      <x:c r="H2837" s="17" t="n">
        <x:v>2356</x:v>
      </x:c>
      <x:c r="I2837" s="17" t="str">
        <x:v>Followup</x:v>
      </x:c>
      <x:c r="J2837" s="27" t="n">
        <x:f>INDEX('Model Pricing'!$B$7:$B$8,MATCH(F2837,'Model Pricing'!$A$7:$A$8,0))</x:f>
        <x:v>10</x:v>
      </x:c>
      <x:c r="K2837" s="27" t="n">
        <x:f>INDEX('Model Pricing'!$C$7:$C$8,MATCH(F2837,'Model Pricing'!$A$7:$A$8,0))</x:f>
        <x:v>30</x:v>
      </x:c>
      <x:c r="L2837" s="17" t="n">
        <x:f>G2837+H2837</x:f>
        <x:v>15323</x:v>
      </x:c>
      <x:c r="M2837" s="28" t="n">
        <x:f>G2837*J2837/1000000</x:f>
        <x:v>0.12967</x:v>
      </x:c>
      <x:c r="N2837" s="28" t="n">
        <x:f>H2837*K2837/1000000</x:f>
        <x:v>0.07068</x:v>
      </x:c>
      <x:c r="O2837" s="28" t="n">
        <x:f>SUM(M2837:N2837)</x:f>
        <x:v>0.20035000000000003</x:v>
      </x:c>
    </x:row>
    <x:row r="2838" ht="23" customHeight="1">
      <x:c r="A2838" s="17" t="str">
        <x:v>U02832</x:v>
      </x:c>
      <x:c r="B2838" s="18" t="n">
        <x:v>46280</x:v>
      </x:c>
      <x:c r="C2838" s="17" t="str">
        <x:v>W0219</x:v>
      </x:c>
      <x:c r="D2838" s="17" t="str">
        <x:v>C004</x:v>
      </x:c>
      <x:c r="E2838" s="17" t="str">
        <x:v>CopyStudio</x:v>
      </x:c>
      <x:c r="F2838" s="17" t="str">
        <x:v>Lite</x:v>
      </x:c>
      <x:c r="G2838" s="17" t="n">
        <x:v>12677</x:v>
      </x:c>
      <x:c r="H2838" s="17" t="n">
        <x:v>5811</x:v>
      </x:c>
      <x:c r="I2838" s="17" t="str">
        <x:v>Followup</x:v>
      </x:c>
      <x:c r="J2838" s="27" t="n">
        <x:f>INDEX('Model Pricing'!$B$7:$B$8,MATCH(F2838,'Model Pricing'!$A$7:$A$8,0))</x:f>
        <x:v>10</x:v>
      </x:c>
      <x:c r="K2838" s="27" t="n">
        <x:f>INDEX('Model Pricing'!$C$7:$C$8,MATCH(F2838,'Model Pricing'!$A$7:$A$8,0))</x:f>
        <x:v>30</x:v>
      </x:c>
      <x:c r="L2838" s="17" t="n">
        <x:f>G2838+H2838</x:f>
        <x:v>18488</x:v>
      </x:c>
      <x:c r="M2838" s="28" t="n">
        <x:f>G2838*J2838/1000000</x:f>
        <x:v>0.12677</x:v>
      </x:c>
      <x:c r="N2838" s="28" t="n">
        <x:f>H2838*K2838/1000000</x:f>
        <x:v>0.17433</x:v>
      </x:c>
      <x:c r="O2838" s="28" t="n">
        <x:f>SUM(M2838:N2838)</x:f>
        <x:v>0.30110000000000003</x:v>
      </x:c>
    </x:row>
    <x:row r="2839" ht="23" customHeight="1">
      <x:c r="A2839" s="17" t="str">
        <x:v>U02833</x:v>
      </x:c>
      <x:c r="B2839" s="18" t="n">
        <x:v>46280</x:v>
      </x:c>
      <x:c r="C2839" s="17" t="str">
        <x:v>W0219</x:v>
      </x:c>
      <x:c r="D2839" s="17" t="str">
        <x:v>C004</x:v>
      </x:c>
      <x:c r="E2839" s="17" t="str">
        <x:v>CopyStudio</x:v>
      </x:c>
      <x:c r="F2839" s="17" t="str">
        <x:v>Lite</x:v>
      </x:c>
      <x:c r="G2839" s="17" t="n">
        <x:v>18840</x:v>
      </x:c>
      <x:c r="H2839" s="17" t="n">
        <x:v>2958</x:v>
      </x:c>
      <x:c r="I2839" s="17" t="str">
        <x:v>Followup</x:v>
      </x:c>
      <x:c r="J2839" s="27" t="n">
        <x:f>INDEX('Model Pricing'!$B$7:$B$8,MATCH(F2839,'Model Pricing'!$A$7:$A$8,0))</x:f>
        <x:v>10</x:v>
      </x:c>
      <x:c r="K2839" s="27" t="n">
        <x:f>INDEX('Model Pricing'!$C$7:$C$8,MATCH(F2839,'Model Pricing'!$A$7:$A$8,0))</x:f>
        <x:v>30</x:v>
      </x:c>
      <x:c r="L2839" s="17" t="n">
        <x:f>G2839+H2839</x:f>
        <x:v>21798</x:v>
      </x:c>
      <x:c r="M2839" s="28" t="n">
        <x:f>G2839*J2839/1000000</x:f>
        <x:v>0.1884</x:v>
      </x:c>
      <x:c r="N2839" s="28" t="n">
        <x:f>H2839*K2839/1000000</x:f>
        <x:v>0.08874</x:v>
      </x:c>
      <x:c r="O2839" s="28" t="n">
        <x:f>SUM(M2839:N2839)</x:f>
        <x:v>0.27714</x:v>
      </x:c>
    </x:row>
    <x:row r="2840" ht="23" customHeight="1">
      <x:c r="A2840" s="17" t="str">
        <x:v>U02834</x:v>
      </x:c>
      <x:c r="B2840" s="18" t="n">
        <x:v>46280</x:v>
      </x:c>
      <x:c r="C2840" s="17" t="str">
        <x:v>W0219</x:v>
      </x:c>
      <x:c r="D2840" s="17" t="str">
        <x:v>C004</x:v>
      </x:c>
      <x:c r="E2840" s="17" t="str">
        <x:v>CopyStudio</x:v>
      </x:c>
      <x:c r="F2840" s="17" t="str">
        <x:v>Lite</x:v>
      </x:c>
      <x:c r="G2840" s="17" t="n">
        <x:v>13131</x:v>
      </x:c>
      <x:c r="H2840" s="17" t="n">
        <x:v>3504</x:v>
      </x:c>
      <x:c r="I2840" s="17" t="str">
        <x:v>Followup</x:v>
      </x:c>
      <x:c r="J2840" s="27" t="n">
        <x:f>INDEX('Model Pricing'!$B$7:$B$8,MATCH(F2840,'Model Pricing'!$A$7:$A$8,0))</x:f>
        <x:v>10</x:v>
      </x:c>
      <x:c r="K2840" s="27" t="n">
        <x:f>INDEX('Model Pricing'!$C$7:$C$8,MATCH(F2840,'Model Pricing'!$A$7:$A$8,0))</x:f>
        <x:v>30</x:v>
      </x:c>
      <x:c r="L2840" s="17" t="n">
        <x:f>G2840+H2840</x:f>
        <x:v>16635</x:v>
      </x:c>
      <x:c r="M2840" s="28" t="n">
        <x:f>G2840*J2840/1000000</x:f>
        <x:v>0.13131</x:v>
      </x:c>
      <x:c r="N2840" s="28" t="n">
        <x:f>H2840*K2840/1000000</x:f>
        <x:v>0.10512</x:v>
      </x:c>
      <x:c r="O2840" s="28" t="n">
        <x:f>SUM(M2840:N2840)</x:f>
        <x:v>0.23643000000000003</x:v>
      </x:c>
    </x:row>
    <x:row r="2841" ht="23" customHeight="1">
      <x:c r="A2841" s="17" t="str">
        <x:v>U02835</x:v>
      </x:c>
      <x:c r="B2841" s="18" t="n">
        <x:v>46281</x:v>
      </x:c>
      <x:c r="C2841" s="17" t="str">
        <x:v>W0219</x:v>
      </x:c>
      <x:c r="D2841" s="17" t="str">
        <x:v>C004</x:v>
      </x:c>
      <x:c r="E2841" s="17" t="str">
        <x:v>CopyStudio</x:v>
      </x:c>
      <x:c r="F2841" s="17" t="str">
        <x:v>Lite</x:v>
      </x:c>
      <x:c r="G2841" s="17" t="n">
        <x:v>13384</x:v>
      </x:c>
      <x:c r="H2841" s="17" t="n">
        <x:v>5052</x:v>
      </x:c>
      <x:c r="I2841" s="17" t="str">
        <x:v>Followup</x:v>
      </x:c>
      <x:c r="J2841" s="27" t="n">
        <x:f>INDEX('Model Pricing'!$B$7:$B$8,MATCH(F2841,'Model Pricing'!$A$7:$A$8,0))</x:f>
        <x:v>10</x:v>
      </x:c>
      <x:c r="K2841" s="27" t="n">
        <x:f>INDEX('Model Pricing'!$C$7:$C$8,MATCH(F2841,'Model Pricing'!$A$7:$A$8,0))</x:f>
        <x:v>30</x:v>
      </x:c>
      <x:c r="L2841" s="17" t="n">
        <x:f>G2841+H2841</x:f>
        <x:v>18436</x:v>
      </x:c>
      <x:c r="M2841" s="28" t="n">
        <x:f>G2841*J2841/1000000</x:f>
        <x:v>0.13384</x:v>
      </x:c>
      <x:c r="N2841" s="28" t="n">
        <x:f>H2841*K2841/1000000</x:f>
        <x:v>0.15156</x:v>
      </x:c>
      <x:c r="O2841" s="28" t="n">
        <x:f>SUM(M2841:N2841)</x:f>
        <x:v>0.2854</x:v>
      </x:c>
    </x:row>
    <x:row r="2842" ht="23" customHeight="1">
      <x:c r="A2842" s="17" t="str">
        <x:v>U02836</x:v>
      </x:c>
      <x:c r="B2842" s="18" t="n">
        <x:v>46281</x:v>
      </x:c>
      <x:c r="C2842" s="17" t="str">
        <x:v>W0219</x:v>
      </x:c>
      <x:c r="D2842" s="17" t="str">
        <x:v>C004</x:v>
      </x:c>
      <x:c r="E2842" s="17" t="str">
        <x:v>CopyStudio</x:v>
      </x:c>
      <x:c r="F2842" s="17" t="str">
        <x:v>Lite</x:v>
      </x:c>
      <x:c r="G2842" s="17" t="n">
        <x:v>12137</x:v>
      </x:c>
      <x:c r="H2842" s="17" t="n">
        <x:v>3339</x:v>
      </x:c>
      <x:c r="I2842" s="17" t="str">
        <x:v>Correction</x:v>
      </x:c>
      <x:c r="J2842" s="27" t="n">
        <x:f>INDEX('Model Pricing'!$B$7:$B$8,MATCH(F2842,'Model Pricing'!$A$7:$A$8,0))</x:f>
        <x:v>10</x:v>
      </x:c>
      <x:c r="K2842" s="27" t="n">
        <x:f>INDEX('Model Pricing'!$C$7:$C$8,MATCH(F2842,'Model Pricing'!$A$7:$A$8,0))</x:f>
        <x:v>30</x:v>
      </x:c>
      <x:c r="L2842" s="17" t="n">
        <x:f>G2842+H2842</x:f>
        <x:v>15476</x:v>
      </x:c>
      <x:c r="M2842" s="28" t="n">
        <x:f>G2842*J2842/1000000</x:f>
        <x:v>0.12137</x:v>
      </x:c>
      <x:c r="N2842" s="28" t="n">
        <x:f>H2842*K2842/1000000</x:f>
        <x:v>0.10017</x:v>
      </x:c>
      <x:c r="O2842" s="28" t="n">
        <x:f>SUM(M2842:N2842)</x:f>
        <x:v>0.22154000000000001</x:v>
      </x:c>
    </x:row>
    <x:row r="2843" ht="23" customHeight="1">
      <x:c r="A2843" s="17" t="str">
        <x:v>U02837</x:v>
      </x:c>
      <x:c r="B2843" s="18" t="n">
        <x:v>46281</x:v>
      </x:c>
      <x:c r="C2843" s="17" t="str">
        <x:v>W0219</x:v>
      </x:c>
      <x:c r="D2843" s="17" t="str">
        <x:v>C004</x:v>
      </x:c>
      <x:c r="E2843" s="17" t="str">
        <x:v>CopyStudio</x:v>
      </x:c>
      <x:c r="F2843" s="17" t="str">
        <x:v>Lite</x:v>
      </x:c>
      <x:c r="G2843" s="17" t="n">
        <x:v>28890</x:v>
      </x:c>
      <x:c r="H2843" s="17" t="n">
        <x:v>3704</x:v>
      </x:c>
      <x:c r="I2843" s="17" t="str">
        <x:v>Followup</x:v>
      </x:c>
      <x:c r="J2843" s="27" t="n">
        <x:f>INDEX('Model Pricing'!$B$7:$B$8,MATCH(F2843,'Model Pricing'!$A$7:$A$8,0))</x:f>
        <x:v>10</x:v>
      </x:c>
      <x:c r="K2843" s="27" t="n">
        <x:f>INDEX('Model Pricing'!$C$7:$C$8,MATCH(F2843,'Model Pricing'!$A$7:$A$8,0))</x:f>
        <x:v>30</x:v>
      </x:c>
      <x:c r="L2843" s="17" t="n">
        <x:f>G2843+H2843</x:f>
        <x:v>32594</x:v>
      </x:c>
      <x:c r="M2843" s="28" t="n">
        <x:f>G2843*J2843/1000000</x:f>
        <x:v>0.2889</x:v>
      </x:c>
      <x:c r="N2843" s="28" t="n">
        <x:f>H2843*K2843/1000000</x:f>
        <x:v>0.11112</x:v>
      </x:c>
      <x:c r="O2843" s="28" t="n">
        <x:f>SUM(M2843:N2843)</x:f>
        <x:v>0.40002</x:v>
      </x:c>
    </x:row>
    <x:row r="2844" ht="23" customHeight="1">
      <x:c r="A2844" s="17" t="str">
        <x:v>U02838</x:v>
      </x:c>
      <x:c r="B2844" s="18" t="n">
        <x:v>46281</x:v>
      </x:c>
      <x:c r="C2844" s="17" t="str">
        <x:v>W0219</x:v>
      </x:c>
      <x:c r="D2844" s="17" t="str">
        <x:v>C004</x:v>
      </x:c>
      <x:c r="E2844" s="17" t="str">
        <x:v>CopyStudio</x:v>
      </x:c>
      <x:c r="F2844" s="17" t="str">
        <x:v>Lite</x:v>
      </x:c>
      <x:c r="G2844" s="17" t="n">
        <x:v>14788</x:v>
      </x:c>
      <x:c r="H2844" s="17" t="n">
        <x:v>2510</x:v>
      </x:c>
      <x:c r="I2844" s="17" t="str">
        <x:v>Followup</x:v>
      </x:c>
      <x:c r="J2844" s="27" t="n">
        <x:f>INDEX('Model Pricing'!$B$7:$B$8,MATCH(F2844,'Model Pricing'!$A$7:$A$8,0))</x:f>
        <x:v>10</x:v>
      </x:c>
      <x:c r="K2844" s="27" t="n">
        <x:f>INDEX('Model Pricing'!$C$7:$C$8,MATCH(F2844,'Model Pricing'!$A$7:$A$8,0))</x:f>
        <x:v>30</x:v>
      </x:c>
      <x:c r="L2844" s="17" t="n">
        <x:f>G2844+H2844</x:f>
        <x:v>17298</x:v>
      </x:c>
      <x:c r="M2844" s="28" t="n">
        <x:f>G2844*J2844/1000000</x:f>
        <x:v>0.14788</x:v>
      </x:c>
      <x:c r="N2844" s="28" t="n">
        <x:f>H2844*K2844/1000000</x:f>
        <x:v>0.0753</x:v>
      </x:c>
      <x:c r="O2844" s="28" t="n">
        <x:f>SUM(M2844:N2844)</x:f>
        <x:v>0.22318000000000002</x:v>
      </x:c>
    </x:row>
    <x:row r="2845" ht="23" customHeight="1">
      <x:c r="A2845" s="17" t="str">
        <x:v>U02839</x:v>
      </x:c>
      <x:c r="B2845" s="18" t="n">
        <x:v>46282</x:v>
      </x:c>
      <x:c r="C2845" s="17" t="str">
        <x:v>W0219</x:v>
      </x:c>
      <x:c r="D2845" s="17" t="str">
        <x:v>C004</x:v>
      </x:c>
      <x:c r="E2845" s="17" t="str">
        <x:v>CopyStudio</x:v>
      </x:c>
      <x:c r="F2845" s="17" t="str">
        <x:v>Lite</x:v>
      </x:c>
      <x:c r="G2845" s="17" t="n">
        <x:v>17128</x:v>
      </x:c>
      <x:c r="H2845" s="17" t="n">
        <x:v>1818</x:v>
      </x:c>
      <x:c r="I2845" s="17" t="str">
        <x:v>Followup</x:v>
      </x:c>
      <x:c r="J2845" s="27" t="n">
        <x:f>INDEX('Model Pricing'!$B$7:$B$8,MATCH(F2845,'Model Pricing'!$A$7:$A$8,0))</x:f>
        <x:v>10</x:v>
      </x:c>
      <x:c r="K2845" s="27" t="n">
        <x:f>INDEX('Model Pricing'!$C$7:$C$8,MATCH(F2845,'Model Pricing'!$A$7:$A$8,0))</x:f>
        <x:v>30</x:v>
      </x:c>
      <x:c r="L2845" s="17" t="n">
        <x:f>G2845+H2845</x:f>
        <x:v>18946</x:v>
      </x:c>
      <x:c r="M2845" s="28" t="n">
        <x:f>G2845*J2845/1000000</x:f>
        <x:v>0.17128</x:v>
      </x:c>
      <x:c r="N2845" s="28" t="n">
        <x:f>H2845*K2845/1000000</x:f>
        <x:v>0.05454</x:v>
      </x:c>
      <x:c r="O2845" s="28" t="n">
        <x:f>SUM(M2845:N2845)</x:f>
        <x:v>0.22582</x:v>
      </x:c>
    </x:row>
    <x:row r="2846" ht="23" customHeight="1">
      <x:c r="A2846" s="17" t="str">
        <x:v>U02840</x:v>
      </x:c>
      <x:c r="B2846" s="18" t="n">
        <x:v>46282</x:v>
      </x:c>
      <x:c r="C2846" s="17" t="str">
        <x:v>W0219</x:v>
      </x:c>
      <x:c r="D2846" s="17" t="str">
        <x:v>C004</x:v>
      </x:c>
      <x:c r="E2846" s="17" t="str">
        <x:v>CopyStudio</x:v>
      </x:c>
      <x:c r="F2846" s="17" t="str">
        <x:v>Lite</x:v>
      </x:c>
      <x:c r="G2846" s="17" t="n">
        <x:v>24574</x:v>
      </x:c>
      <x:c r="H2846" s="17" t="n">
        <x:v>5830</x:v>
      </x:c>
      <x:c r="I2846" s="17" t="str">
        <x:v>Followup</x:v>
      </x:c>
      <x:c r="J2846" s="27" t="n">
        <x:f>INDEX('Model Pricing'!$B$7:$B$8,MATCH(F2846,'Model Pricing'!$A$7:$A$8,0))</x:f>
        <x:v>10</x:v>
      </x:c>
      <x:c r="K2846" s="27" t="n">
        <x:f>INDEX('Model Pricing'!$C$7:$C$8,MATCH(F2846,'Model Pricing'!$A$7:$A$8,0))</x:f>
        <x:v>30</x:v>
      </x:c>
      <x:c r="L2846" s="17" t="n">
        <x:f>G2846+H2846</x:f>
        <x:v>30404</x:v>
      </x:c>
      <x:c r="M2846" s="28" t="n">
        <x:f>G2846*J2846/1000000</x:f>
        <x:v>0.24574</x:v>
      </x:c>
      <x:c r="N2846" s="28" t="n">
        <x:f>H2846*K2846/1000000</x:f>
        <x:v>0.1749</x:v>
      </x:c>
      <x:c r="O2846" s="28" t="n">
        <x:f>SUM(M2846:N2846)</x:f>
        <x:v>0.42064</x:v>
      </x:c>
    </x:row>
    <x:row r="2847" ht="23" customHeight="1">
      <x:c r="A2847" s="17" t="str">
        <x:v>U02841</x:v>
      </x:c>
      <x:c r="B2847" s="18" t="n">
        <x:v>46282</x:v>
      </x:c>
      <x:c r="C2847" s="17" t="str">
        <x:v>W0219</x:v>
      </x:c>
      <x:c r="D2847" s="17" t="str">
        <x:v>C004</x:v>
      </x:c>
      <x:c r="E2847" s="17" t="str">
        <x:v>CopyStudio</x:v>
      </x:c>
      <x:c r="F2847" s="17" t="str">
        <x:v>Lite</x:v>
      </x:c>
      <x:c r="G2847" s="17" t="n">
        <x:v>24067</x:v>
      </x:c>
      <x:c r="H2847" s="17" t="n">
        <x:v>1980</x:v>
      </x:c>
      <x:c r="I2847" s="17" t="str">
        <x:v>Correction</x:v>
      </x:c>
      <x:c r="J2847" s="27" t="n">
        <x:f>INDEX('Model Pricing'!$B$7:$B$8,MATCH(F2847,'Model Pricing'!$A$7:$A$8,0))</x:f>
        <x:v>10</x:v>
      </x:c>
      <x:c r="K2847" s="27" t="n">
        <x:f>INDEX('Model Pricing'!$C$7:$C$8,MATCH(F2847,'Model Pricing'!$A$7:$A$8,0))</x:f>
        <x:v>30</x:v>
      </x:c>
      <x:c r="L2847" s="17" t="n">
        <x:f>G2847+H2847</x:f>
        <x:v>26047</x:v>
      </x:c>
      <x:c r="M2847" s="28" t="n">
        <x:f>G2847*J2847/1000000</x:f>
        <x:v>0.24067</x:v>
      </x:c>
      <x:c r="N2847" s="28" t="n">
        <x:f>H2847*K2847/1000000</x:f>
        <x:v>0.0594</x:v>
      </x:c>
      <x:c r="O2847" s="28" t="n">
        <x:f>SUM(M2847:N2847)</x:f>
        <x:v>0.30007</x:v>
      </x:c>
    </x:row>
    <x:row r="2848" ht="23" customHeight="1">
      <x:c r="A2848" s="17" t="str">
        <x:v>U02842</x:v>
      </x:c>
      <x:c r="B2848" s="18" t="n">
        <x:v>46288</x:v>
      </x:c>
      <x:c r="C2848" s="17" t="str">
        <x:v>W0220</x:v>
      </x:c>
      <x:c r="D2848" s="17" t="str">
        <x:v>C004</x:v>
      </x:c>
      <x:c r="E2848" s="17" t="str">
        <x:v>CampaignChat</x:v>
      </x:c>
      <x:c r="F2848" s="17" t="str">
        <x:v>Lite</x:v>
      </x:c>
      <x:c r="G2848" s="17" t="n">
        <x:v>17973</x:v>
      </x:c>
      <x:c r="H2848" s="17" t="n">
        <x:v>3621</x:v>
      </x:c>
      <x:c r="I2848" s="17" t="str">
        <x:v>First attempt</x:v>
      </x:c>
      <x:c r="J2848" s="27" t="n">
        <x:f>INDEX('Model Pricing'!$B$7:$B$8,MATCH(F2848,'Model Pricing'!$A$7:$A$8,0))</x:f>
        <x:v>10</x:v>
      </x:c>
      <x:c r="K2848" s="27" t="n">
        <x:f>INDEX('Model Pricing'!$C$7:$C$8,MATCH(F2848,'Model Pricing'!$A$7:$A$8,0))</x:f>
        <x:v>30</x:v>
      </x:c>
      <x:c r="L2848" s="17" t="n">
        <x:f>G2848+H2848</x:f>
        <x:v>21594</x:v>
      </x:c>
      <x:c r="M2848" s="28" t="n">
        <x:f>G2848*J2848/1000000</x:f>
        <x:v>0.17973</x:v>
      </x:c>
      <x:c r="N2848" s="28" t="n">
        <x:f>H2848*K2848/1000000</x:f>
        <x:v>0.10863</x:v>
      </x:c>
      <x:c r="O2848" s="28" t="n">
        <x:f>SUM(M2848:N2848)</x:f>
        <x:v>0.28836</x:v>
      </x:c>
    </x:row>
    <x:row r="2849" ht="23" customHeight="1">
      <x:c r="A2849" s="17" t="str">
        <x:v>U02843</x:v>
      </x:c>
      <x:c r="B2849" s="18" t="n">
        <x:v>46288</x:v>
      </x:c>
      <x:c r="C2849" s="17" t="str">
        <x:v>W0220</x:v>
      </x:c>
      <x:c r="D2849" s="17" t="str">
        <x:v>C004</x:v>
      </x:c>
      <x:c r="E2849" s="17" t="str">
        <x:v>CampaignChat</x:v>
      </x:c>
      <x:c r="F2849" s="17" t="str">
        <x:v>Lite</x:v>
      </x:c>
      <x:c r="G2849" s="17" t="n">
        <x:v>28296</x:v>
      </x:c>
      <x:c r="H2849" s="17" t="n">
        <x:v>4877</x:v>
      </x:c>
      <x:c r="I2849" s="17" t="str">
        <x:v>Correction</x:v>
      </x:c>
      <x:c r="J2849" s="27" t="n">
        <x:f>INDEX('Model Pricing'!$B$7:$B$8,MATCH(F2849,'Model Pricing'!$A$7:$A$8,0))</x:f>
        <x:v>10</x:v>
      </x:c>
      <x:c r="K2849" s="27" t="n">
        <x:f>INDEX('Model Pricing'!$C$7:$C$8,MATCH(F2849,'Model Pricing'!$A$7:$A$8,0))</x:f>
        <x:v>30</x:v>
      </x:c>
      <x:c r="L2849" s="17" t="n">
        <x:f>G2849+H2849</x:f>
        <x:v>33173</x:v>
      </x:c>
      <x:c r="M2849" s="28" t="n">
        <x:f>G2849*J2849/1000000</x:f>
        <x:v>0.28296</x:v>
      </x:c>
      <x:c r="N2849" s="28" t="n">
        <x:f>H2849*K2849/1000000</x:f>
        <x:v>0.14631</x:v>
      </x:c>
      <x:c r="O2849" s="28" t="n">
        <x:f>SUM(M2849:N2849)</x:f>
        <x:v>0.42927</x:v>
      </x:c>
    </x:row>
    <x:row r="2850" ht="23" customHeight="1">
      <x:c r="A2850" s="17" t="str">
        <x:v>U02844</x:v>
      </x:c>
      <x:c r="B2850" s="18" t="n">
        <x:v>46288</x:v>
      </x:c>
      <x:c r="C2850" s="17" t="str">
        <x:v>W0220</x:v>
      </x:c>
      <x:c r="D2850" s="17" t="str">
        <x:v>C004</x:v>
      </x:c>
      <x:c r="E2850" s="17" t="str">
        <x:v>CampaignChat</x:v>
      </x:c>
      <x:c r="F2850" s="17" t="str">
        <x:v>Lite</x:v>
      </x:c>
      <x:c r="G2850" s="17" t="n">
        <x:v>30114</x:v>
      </x:c>
      <x:c r="H2850" s="17" t="n">
        <x:v>5401</x:v>
      </x:c>
      <x:c r="I2850" s="17" t="str">
        <x:v>Followup</x:v>
      </x:c>
      <x:c r="J2850" s="27" t="n">
        <x:f>INDEX('Model Pricing'!$B$7:$B$8,MATCH(F2850,'Model Pricing'!$A$7:$A$8,0))</x:f>
        <x:v>10</x:v>
      </x:c>
      <x:c r="K2850" s="27" t="n">
        <x:f>INDEX('Model Pricing'!$C$7:$C$8,MATCH(F2850,'Model Pricing'!$A$7:$A$8,0))</x:f>
        <x:v>30</x:v>
      </x:c>
      <x:c r="L2850" s="17" t="n">
        <x:f>G2850+H2850</x:f>
        <x:v>35515</x:v>
      </x:c>
      <x:c r="M2850" s="28" t="n">
        <x:f>G2850*J2850/1000000</x:f>
        <x:v>0.30114</x:v>
      </x:c>
      <x:c r="N2850" s="28" t="n">
        <x:f>H2850*K2850/1000000</x:f>
        <x:v>0.16203</x:v>
      </x:c>
      <x:c r="O2850" s="28" t="n">
        <x:f>SUM(M2850:N2850)</x:f>
        <x:v>0.46317</x:v>
      </x:c>
    </x:row>
    <x:row r="2851" ht="23" customHeight="1">
      <x:c r="A2851" s="17" t="str">
        <x:v>U02845</x:v>
      </x:c>
      <x:c r="B2851" s="18" t="n">
        <x:v>46289</x:v>
      </x:c>
      <x:c r="C2851" s="17" t="str">
        <x:v>W0220</x:v>
      </x:c>
      <x:c r="D2851" s="17" t="str">
        <x:v>C004</x:v>
      </x:c>
      <x:c r="E2851" s="17" t="str">
        <x:v>CampaignChat</x:v>
      </x:c>
      <x:c r="F2851" s="17" t="str">
        <x:v>Lite</x:v>
      </x:c>
      <x:c r="G2851" s="17" t="n">
        <x:v>24956</x:v>
      </x:c>
      <x:c r="H2851" s="17" t="n">
        <x:v>5374</x:v>
      </x:c>
      <x:c r="I2851" s="17" t="str">
        <x:v>Correction</x:v>
      </x:c>
      <x:c r="J2851" s="27" t="n">
        <x:f>INDEX('Model Pricing'!$B$7:$B$8,MATCH(F2851,'Model Pricing'!$A$7:$A$8,0))</x:f>
        <x:v>10</x:v>
      </x:c>
      <x:c r="K2851" s="27" t="n">
        <x:f>INDEX('Model Pricing'!$C$7:$C$8,MATCH(F2851,'Model Pricing'!$A$7:$A$8,0))</x:f>
        <x:v>30</x:v>
      </x:c>
      <x:c r="L2851" s="17" t="n">
        <x:f>G2851+H2851</x:f>
        <x:v>30330</x:v>
      </x:c>
      <x:c r="M2851" s="28" t="n">
        <x:f>G2851*J2851/1000000</x:f>
        <x:v>0.24956</x:v>
      </x:c>
      <x:c r="N2851" s="28" t="n">
        <x:f>H2851*K2851/1000000</x:f>
        <x:v>0.16122</x:v>
      </x:c>
      <x:c r="O2851" s="28" t="n">
        <x:f>SUM(M2851:N2851)</x:f>
        <x:v>0.41078000000000003</x:v>
      </x:c>
    </x:row>
    <x:row r="2852" ht="23" customHeight="1">
      <x:c r="A2852" s="17" t="str">
        <x:v>U02846</x:v>
      </x:c>
      <x:c r="B2852" s="18" t="n">
        <x:v>46289</x:v>
      </x:c>
      <x:c r="C2852" s="17" t="str">
        <x:v>W0220</x:v>
      </x:c>
      <x:c r="D2852" s="17" t="str">
        <x:v>C004</x:v>
      </x:c>
      <x:c r="E2852" s="17" t="str">
        <x:v>CampaignChat</x:v>
      </x:c>
      <x:c r="F2852" s="17" t="str">
        <x:v>Lite</x:v>
      </x:c>
      <x:c r="G2852" s="17" t="n">
        <x:v>22421</x:v>
      </x:c>
      <x:c r="H2852" s="17" t="n">
        <x:v>3191</x:v>
      </x:c>
      <x:c r="I2852" s="17" t="str">
        <x:v>Correction</x:v>
      </x:c>
      <x:c r="J2852" s="27" t="n">
        <x:f>INDEX('Model Pricing'!$B$7:$B$8,MATCH(F2852,'Model Pricing'!$A$7:$A$8,0))</x:f>
        <x:v>10</x:v>
      </x:c>
      <x:c r="K2852" s="27" t="n">
        <x:f>INDEX('Model Pricing'!$C$7:$C$8,MATCH(F2852,'Model Pricing'!$A$7:$A$8,0))</x:f>
        <x:v>30</x:v>
      </x:c>
      <x:c r="L2852" s="17" t="n">
        <x:f>G2852+H2852</x:f>
        <x:v>25612</x:v>
      </x:c>
      <x:c r="M2852" s="28" t="n">
        <x:f>G2852*J2852/1000000</x:f>
        <x:v>0.22421</x:v>
      </x:c>
      <x:c r="N2852" s="28" t="n">
        <x:f>H2852*K2852/1000000</x:f>
        <x:v>0.09573</x:v>
      </x:c>
      <x:c r="O2852" s="28" t="n">
        <x:f>SUM(M2852:N2852)</x:f>
        <x:v>0.31994</x:v>
      </x:c>
    </x:row>
    <x:row r="2853" ht="23" customHeight="1">
      <x:c r="A2853" s="17" t="str">
        <x:v>U02847</x:v>
      </x:c>
      <x:c r="B2853" s="18" t="n">
        <x:v>46290</x:v>
      </x:c>
      <x:c r="C2853" s="17" t="str">
        <x:v>W0220</x:v>
      </x:c>
      <x:c r="D2853" s="17" t="str">
        <x:v>C004</x:v>
      </x:c>
      <x:c r="E2853" s="17" t="str">
        <x:v>CampaignChat</x:v>
      </x:c>
      <x:c r="F2853" s="17" t="str">
        <x:v>Lite</x:v>
      </x:c>
      <x:c r="G2853" s="17" t="n">
        <x:v>20397</x:v>
      </x:c>
      <x:c r="H2853" s="17" t="n">
        <x:v>4568</x:v>
      </x:c>
      <x:c r="I2853" s="17" t="str">
        <x:v>Followup</x:v>
      </x:c>
      <x:c r="J2853" s="27" t="n">
        <x:f>INDEX('Model Pricing'!$B$7:$B$8,MATCH(F2853,'Model Pricing'!$A$7:$A$8,0))</x:f>
        <x:v>10</x:v>
      </x:c>
      <x:c r="K2853" s="27" t="n">
        <x:f>INDEX('Model Pricing'!$C$7:$C$8,MATCH(F2853,'Model Pricing'!$A$7:$A$8,0))</x:f>
        <x:v>30</x:v>
      </x:c>
      <x:c r="L2853" s="17" t="n">
        <x:f>G2853+H2853</x:f>
        <x:v>24965</x:v>
      </x:c>
      <x:c r="M2853" s="28" t="n">
        <x:f>G2853*J2853/1000000</x:f>
        <x:v>0.20397</x:v>
      </x:c>
      <x:c r="N2853" s="28" t="n">
        <x:f>H2853*K2853/1000000</x:f>
        <x:v>0.13704</x:v>
      </x:c>
      <x:c r="O2853" s="28" t="n">
        <x:f>SUM(M2853:N2853)</x:f>
        <x:v>0.34101000000000004</x:v>
      </x:c>
    </x:row>
    <x:row r="2854" ht="23" customHeight="1">
      <x:c r="A2854" s="17" t="str">
        <x:v>U02848</x:v>
      </x:c>
      <x:c r="B2854" s="18" t="n">
        <x:v>46290</x:v>
      </x:c>
      <x:c r="C2854" s="17" t="str">
        <x:v>W0220</x:v>
      </x:c>
      <x:c r="D2854" s="17" t="str">
        <x:v>C004</x:v>
      </x:c>
      <x:c r="E2854" s="17" t="str">
        <x:v>CampaignChat</x:v>
      </x:c>
      <x:c r="F2854" s="17" t="str">
        <x:v>Lite</x:v>
      </x:c>
      <x:c r="G2854" s="17" t="n">
        <x:v>18041</x:v>
      </x:c>
      <x:c r="H2854" s="17" t="n">
        <x:v>2447</x:v>
      </x:c>
      <x:c r="I2854" s="17" t="str">
        <x:v>Followup</x:v>
      </x:c>
      <x:c r="J2854" s="27" t="n">
        <x:f>INDEX('Model Pricing'!$B$7:$B$8,MATCH(F2854,'Model Pricing'!$A$7:$A$8,0))</x:f>
        <x:v>10</x:v>
      </x:c>
      <x:c r="K2854" s="27" t="n">
        <x:f>INDEX('Model Pricing'!$C$7:$C$8,MATCH(F2854,'Model Pricing'!$A$7:$A$8,0))</x:f>
        <x:v>30</x:v>
      </x:c>
      <x:c r="L2854" s="17" t="n">
        <x:f>G2854+H2854</x:f>
        <x:v>20488</x:v>
      </x:c>
      <x:c r="M2854" s="28" t="n">
        <x:f>G2854*J2854/1000000</x:f>
        <x:v>0.18041</x:v>
      </x:c>
      <x:c r="N2854" s="28" t="n">
        <x:f>H2854*K2854/1000000</x:f>
        <x:v>0.07341</x:v>
      </x:c>
      <x:c r="O2854" s="28" t="n">
        <x:f>SUM(M2854:N2854)</x:f>
        <x:v>0.25382</x:v>
      </x:c>
    </x:row>
    <x:row r="2855" ht="23" customHeight="1">
      <x:c r="A2855" s="17" t="str">
        <x:v>U02849</x:v>
      </x:c>
      <x:c r="B2855" s="18" t="n">
        <x:v>46290</x:v>
      </x:c>
      <x:c r="C2855" s="17" t="str">
        <x:v>W0220</x:v>
      </x:c>
      <x:c r="D2855" s="17" t="str">
        <x:v>C004</x:v>
      </x:c>
      <x:c r="E2855" s="17" t="str">
        <x:v>CampaignChat</x:v>
      </x:c>
      <x:c r="F2855" s="17" t="str">
        <x:v>Lite</x:v>
      </x:c>
      <x:c r="G2855" s="17" t="n">
        <x:v>16663</x:v>
      </x:c>
      <x:c r="H2855" s="17" t="n">
        <x:v>6445</x:v>
      </x:c>
      <x:c r="I2855" s="17" t="str">
        <x:v>Followup</x:v>
      </x:c>
      <x:c r="J2855" s="27" t="n">
        <x:f>INDEX('Model Pricing'!$B$7:$B$8,MATCH(F2855,'Model Pricing'!$A$7:$A$8,0))</x:f>
        <x:v>10</x:v>
      </x:c>
      <x:c r="K2855" s="27" t="n">
        <x:f>INDEX('Model Pricing'!$C$7:$C$8,MATCH(F2855,'Model Pricing'!$A$7:$A$8,0))</x:f>
        <x:v>30</x:v>
      </x:c>
      <x:c r="L2855" s="17" t="n">
        <x:f>G2855+H2855</x:f>
        <x:v>23108</x:v>
      </x:c>
      <x:c r="M2855" s="28" t="n">
        <x:f>G2855*J2855/1000000</x:f>
        <x:v>0.16663</x:v>
      </x:c>
      <x:c r="N2855" s="28" t="n">
        <x:f>H2855*K2855/1000000</x:f>
        <x:v>0.19335</x:v>
      </x:c>
      <x:c r="O2855" s="28" t="n">
        <x:f>SUM(M2855:N2855)</x:f>
        <x:v>0.35997999999999997</x:v>
      </x:c>
    </x:row>
    <x:row r="2856" ht="23" customHeight="1">
      <x:c r="A2856" s="17" t="str">
        <x:v>U02850</x:v>
      </x:c>
      <x:c r="B2856" s="18" t="n">
        <x:v>46293</x:v>
      </x:c>
      <x:c r="C2856" s="17" t="str">
        <x:v>W0220</x:v>
      </x:c>
      <x:c r="D2856" s="17" t="str">
        <x:v>C004</x:v>
      </x:c>
      <x:c r="E2856" s="17" t="str">
        <x:v>CampaignChat</x:v>
      </x:c>
      <x:c r="F2856" s="17" t="str">
        <x:v>Lite</x:v>
      </x:c>
      <x:c r="G2856" s="17" t="n">
        <x:v>13006</x:v>
      </x:c>
      <x:c r="H2856" s="17" t="n">
        <x:v>5490</x:v>
      </x:c>
      <x:c r="I2856" s="17" t="str">
        <x:v>Followup</x:v>
      </x:c>
      <x:c r="J2856" s="27" t="n">
        <x:f>INDEX('Model Pricing'!$B$7:$B$8,MATCH(F2856,'Model Pricing'!$A$7:$A$8,0))</x:f>
        <x:v>10</x:v>
      </x:c>
      <x:c r="K2856" s="27" t="n">
        <x:f>INDEX('Model Pricing'!$C$7:$C$8,MATCH(F2856,'Model Pricing'!$A$7:$A$8,0))</x:f>
        <x:v>30</x:v>
      </x:c>
      <x:c r="L2856" s="17" t="n">
        <x:f>G2856+H2856</x:f>
        <x:v>18496</x:v>
      </x:c>
      <x:c r="M2856" s="28" t="n">
        <x:f>G2856*J2856/1000000</x:f>
        <x:v>0.13006</x:v>
      </x:c>
      <x:c r="N2856" s="28" t="n">
        <x:f>H2856*K2856/1000000</x:f>
        <x:v>0.1647</x:v>
      </x:c>
      <x:c r="O2856" s="28" t="n">
        <x:f>SUM(M2856:N2856)</x:f>
        <x:v>0.29476</x:v>
      </x:c>
    </x:row>
    <x:row r="2857" ht="23" customHeight="1">
      <x:c r="A2857" s="17" t="str">
        <x:v>U02851</x:v>
      </x:c>
      <x:c r="B2857" s="18" t="n">
        <x:v>46293</x:v>
      </x:c>
      <x:c r="C2857" s="17" t="str">
        <x:v>W0220</x:v>
      </x:c>
      <x:c r="D2857" s="17" t="str">
        <x:v>C004</x:v>
      </x:c>
      <x:c r="E2857" s="17" t="str">
        <x:v>CampaignChat</x:v>
      </x:c>
      <x:c r="F2857" s="17" t="str">
        <x:v>Lite</x:v>
      </x:c>
      <x:c r="G2857" s="17" t="n">
        <x:v>19593</x:v>
      </x:c>
      <x:c r="H2857" s="17" t="n">
        <x:v>6345</x:v>
      </x:c>
      <x:c r="I2857" s="17" t="str">
        <x:v>Followup</x:v>
      </x:c>
      <x:c r="J2857" s="27" t="n">
        <x:f>INDEX('Model Pricing'!$B$7:$B$8,MATCH(F2857,'Model Pricing'!$A$7:$A$8,0))</x:f>
        <x:v>10</x:v>
      </x:c>
      <x:c r="K2857" s="27" t="n">
        <x:f>INDEX('Model Pricing'!$C$7:$C$8,MATCH(F2857,'Model Pricing'!$A$7:$A$8,0))</x:f>
        <x:v>30</x:v>
      </x:c>
      <x:c r="L2857" s="17" t="n">
        <x:f>G2857+H2857</x:f>
        <x:v>25938</x:v>
      </x:c>
      <x:c r="M2857" s="28" t="n">
        <x:f>G2857*J2857/1000000</x:f>
        <x:v>0.19593</x:v>
      </x:c>
      <x:c r="N2857" s="28" t="n">
        <x:f>H2857*K2857/1000000</x:f>
        <x:v>0.19035</x:v>
      </x:c>
      <x:c r="O2857" s="28" t="n">
        <x:f>SUM(M2857:N2857)</x:f>
        <x:v>0.38627999999999996</x:v>
      </x:c>
    </x:row>
    <x:row r="2858" ht="23" customHeight="1">
      <x:c r="A2858" s="17" t="str">
        <x:v>U02852</x:v>
      </x:c>
      <x:c r="B2858" s="18" t="n">
        <x:v>46266</x:v>
      </x:c>
      <x:c r="C2858" s="17" t="str">
        <x:v>W0223</x:v>
      </x:c>
      <x:c r="D2858" s="17" t="str">
        <x:v>C004</x:v>
      </x:c>
      <x:c r="E2858" s="17" t="str">
        <x:v>DataFlow</x:v>
      </x:c>
      <x:c r="F2858" s="17" t="str">
        <x:v>Lite</x:v>
      </x:c>
      <x:c r="G2858" s="17" t="n">
        <x:v>8962</x:v>
      </x:c>
      <x:c r="H2858" s="17" t="n">
        <x:v>4949</x:v>
      </x:c>
      <x:c r="I2858" s="17" t="str">
        <x:v>First attempt</x:v>
      </x:c>
      <x:c r="J2858" s="27" t="n">
        <x:f>INDEX('Model Pricing'!$B$7:$B$8,MATCH(F2858,'Model Pricing'!$A$7:$A$8,0))</x:f>
        <x:v>10</x:v>
      </x:c>
      <x:c r="K2858" s="27" t="n">
        <x:f>INDEX('Model Pricing'!$C$7:$C$8,MATCH(F2858,'Model Pricing'!$A$7:$A$8,0))</x:f>
        <x:v>30</x:v>
      </x:c>
      <x:c r="L2858" s="17" t="n">
        <x:f>G2858+H2858</x:f>
        <x:v>13911</x:v>
      </x:c>
      <x:c r="M2858" s="28" t="n">
        <x:f>G2858*J2858/1000000</x:f>
        <x:v>0.08962</x:v>
      </x:c>
      <x:c r="N2858" s="28" t="n">
        <x:f>H2858*K2858/1000000</x:f>
        <x:v>0.14847</x:v>
      </x:c>
      <x:c r="O2858" s="28" t="n">
        <x:f>SUM(M2858:N2858)</x:f>
        <x:v>0.23809</x:v>
      </x:c>
    </x:row>
    <x:row r="2859" ht="23" customHeight="1">
      <x:c r="A2859" s="17" t="str">
        <x:v>U02853</x:v>
      </x:c>
      <x:c r="B2859" s="18" t="n">
        <x:v>46266</x:v>
      </x:c>
      <x:c r="C2859" s="17" t="str">
        <x:v>W0223</x:v>
      </x:c>
      <x:c r="D2859" s="17" t="str">
        <x:v>C004</x:v>
      </x:c>
      <x:c r="E2859" s="17" t="str">
        <x:v>DataFlow</x:v>
      </x:c>
      <x:c r="F2859" s="17" t="str">
        <x:v>Lite</x:v>
      </x:c>
      <x:c r="G2859" s="17" t="n">
        <x:v>18399</x:v>
      </x:c>
      <x:c r="H2859" s="17" t="n">
        <x:v>1775</x:v>
      </x:c>
      <x:c r="I2859" s="17" t="str">
        <x:v>Followup</x:v>
      </x:c>
      <x:c r="J2859" s="27" t="n">
        <x:f>INDEX('Model Pricing'!$B$7:$B$8,MATCH(F2859,'Model Pricing'!$A$7:$A$8,0))</x:f>
        <x:v>10</x:v>
      </x:c>
      <x:c r="K2859" s="27" t="n">
        <x:f>INDEX('Model Pricing'!$C$7:$C$8,MATCH(F2859,'Model Pricing'!$A$7:$A$8,0))</x:f>
        <x:v>30</x:v>
      </x:c>
      <x:c r="L2859" s="17" t="n">
        <x:f>G2859+H2859</x:f>
        <x:v>20174</x:v>
      </x:c>
      <x:c r="M2859" s="28" t="n">
        <x:f>G2859*J2859/1000000</x:f>
        <x:v>0.18399</x:v>
      </x:c>
      <x:c r="N2859" s="28" t="n">
        <x:f>H2859*K2859/1000000</x:f>
        <x:v>0.05325</x:v>
      </x:c>
      <x:c r="O2859" s="28" t="n">
        <x:f>SUM(M2859:N2859)</x:f>
        <x:v>0.23723999999999998</x:v>
      </x:c>
    </x:row>
    <x:row r="2860" ht="23" customHeight="1">
      <x:c r="A2860" s="17" t="str">
        <x:v>U02854</x:v>
      </x:c>
      <x:c r="B2860" s="18" t="n">
        <x:v>46266</x:v>
      </x:c>
      <x:c r="C2860" s="17" t="str">
        <x:v>W0223</x:v>
      </x:c>
      <x:c r="D2860" s="17" t="str">
        <x:v>C004</x:v>
      </x:c>
      <x:c r="E2860" s="17" t="str">
        <x:v>DataFlow</x:v>
      </x:c>
      <x:c r="F2860" s="17" t="str">
        <x:v>Lite</x:v>
      </x:c>
      <x:c r="G2860" s="17" t="n">
        <x:v>21601</x:v>
      </x:c>
      <x:c r="H2860" s="17" t="n">
        <x:v>4606</x:v>
      </x:c>
      <x:c r="I2860" s="17" t="str">
        <x:v>Followup</x:v>
      </x:c>
      <x:c r="J2860" s="27" t="n">
        <x:f>INDEX('Model Pricing'!$B$7:$B$8,MATCH(F2860,'Model Pricing'!$A$7:$A$8,0))</x:f>
        <x:v>10</x:v>
      </x:c>
      <x:c r="K2860" s="27" t="n">
        <x:f>INDEX('Model Pricing'!$C$7:$C$8,MATCH(F2860,'Model Pricing'!$A$7:$A$8,0))</x:f>
        <x:v>30</x:v>
      </x:c>
      <x:c r="L2860" s="17" t="n">
        <x:f>G2860+H2860</x:f>
        <x:v>26207</x:v>
      </x:c>
      <x:c r="M2860" s="28" t="n">
        <x:f>G2860*J2860/1000000</x:f>
        <x:v>0.21601</x:v>
      </x:c>
      <x:c r="N2860" s="28" t="n">
        <x:f>H2860*K2860/1000000</x:f>
        <x:v>0.13818</x:v>
      </x:c>
      <x:c r="O2860" s="28" t="n">
        <x:f>SUM(M2860:N2860)</x:f>
        <x:v>0.35419</x:v>
      </x:c>
    </x:row>
    <x:row r="2861" ht="23" customHeight="1">
      <x:c r="A2861" s="17" t="str">
        <x:v>U02855</x:v>
      </x:c>
      <x:c r="B2861" s="18" t="n">
        <x:v>46267</x:v>
      </x:c>
      <x:c r="C2861" s="17" t="str">
        <x:v>W0223</x:v>
      </x:c>
      <x:c r="D2861" s="17" t="str">
        <x:v>C004</x:v>
      </x:c>
      <x:c r="E2861" s="17" t="str">
        <x:v>DataFlow</x:v>
      </x:c>
      <x:c r="F2861" s="17" t="str">
        <x:v>Lite</x:v>
      </x:c>
      <x:c r="G2861" s="17" t="n">
        <x:v>20918</x:v>
      </x:c>
      <x:c r="H2861" s="17" t="n">
        <x:v>2652</x:v>
      </x:c>
      <x:c r="I2861" s="17" t="str">
        <x:v>Followup</x:v>
      </x:c>
      <x:c r="J2861" s="27" t="n">
        <x:f>INDEX('Model Pricing'!$B$7:$B$8,MATCH(F2861,'Model Pricing'!$A$7:$A$8,0))</x:f>
        <x:v>10</x:v>
      </x:c>
      <x:c r="K2861" s="27" t="n">
        <x:f>INDEX('Model Pricing'!$C$7:$C$8,MATCH(F2861,'Model Pricing'!$A$7:$A$8,0))</x:f>
        <x:v>30</x:v>
      </x:c>
      <x:c r="L2861" s="17" t="n">
        <x:f>G2861+H2861</x:f>
        <x:v>23570</x:v>
      </x:c>
      <x:c r="M2861" s="28" t="n">
        <x:f>G2861*J2861/1000000</x:f>
        <x:v>0.20918</x:v>
      </x:c>
      <x:c r="N2861" s="28" t="n">
        <x:f>H2861*K2861/1000000</x:f>
        <x:v>0.07956</x:v>
      </x:c>
      <x:c r="O2861" s="28" t="n">
        <x:f>SUM(M2861:N2861)</x:f>
        <x:v>0.28874</x:v>
      </x:c>
    </x:row>
    <x:row r="2862" ht="23" customHeight="1">
      <x:c r="A2862" s="17" t="str">
        <x:v>U02856</x:v>
      </x:c>
      <x:c r="B2862" s="18" t="n">
        <x:v>46267</x:v>
      </x:c>
      <x:c r="C2862" s="17" t="str">
        <x:v>W0223</x:v>
      </x:c>
      <x:c r="D2862" s="17" t="str">
        <x:v>C004</x:v>
      </x:c>
      <x:c r="E2862" s="17" t="str">
        <x:v>DataFlow</x:v>
      </x:c>
      <x:c r="F2862" s="17" t="str">
        <x:v>Lite</x:v>
      </x:c>
      <x:c r="G2862" s="17" t="n">
        <x:v>21529</x:v>
      </x:c>
      <x:c r="H2862" s="17" t="n">
        <x:v>4591</x:v>
      </x:c>
      <x:c r="I2862" s="17" t="str">
        <x:v>Followup</x:v>
      </x:c>
      <x:c r="J2862" s="27" t="n">
        <x:f>INDEX('Model Pricing'!$B$7:$B$8,MATCH(F2862,'Model Pricing'!$A$7:$A$8,0))</x:f>
        <x:v>10</x:v>
      </x:c>
      <x:c r="K2862" s="27" t="n">
        <x:f>INDEX('Model Pricing'!$C$7:$C$8,MATCH(F2862,'Model Pricing'!$A$7:$A$8,0))</x:f>
        <x:v>30</x:v>
      </x:c>
      <x:c r="L2862" s="17" t="n">
        <x:f>G2862+H2862</x:f>
        <x:v>26120</x:v>
      </x:c>
      <x:c r="M2862" s="28" t="n">
        <x:f>G2862*J2862/1000000</x:f>
        <x:v>0.21529</x:v>
      </x:c>
      <x:c r="N2862" s="28" t="n">
        <x:f>H2862*K2862/1000000</x:f>
        <x:v>0.13773</x:v>
      </x:c>
      <x:c r="O2862" s="28" t="n">
        <x:f>SUM(M2862:N2862)</x:f>
        <x:v>0.35302</x:v>
      </x:c>
    </x:row>
    <x:row r="2863" ht="23" customHeight="1">
      <x:c r="A2863" s="17" t="str">
        <x:v>U02857</x:v>
      </x:c>
      <x:c r="B2863" s="18" t="n">
        <x:v>46267</x:v>
      </x:c>
      <x:c r="C2863" s="17" t="str">
        <x:v>W0223</x:v>
      </x:c>
      <x:c r="D2863" s="17" t="str">
        <x:v>C004</x:v>
      </x:c>
      <x:c r="E2863" s="17" t="str">
        <x:v>DataFlow</x:v>
      </x:c>
      <x:c r="F2863" s="17" t="str">
        <x:v>Lite</x:v>
      </x:c>
      <x:c r="G2863" s="17" t="n">
        <x:v>13165</x:v>
      </x:c>
      <x:c r="H2863" s="17" t="n">
        <x:v>4757</x:v>
      </x:c>
      <x:c r="I2863" s="17" t="str">
        <x:v>Followup</x:v>
      </x:c>
      <x:c r="J2863" s="27" t="n">
        <x:f>INDEX('Model Pricing'!$B$7:$B$8,MATCH(F2863,'Model Pricing'!$A$7:$A$8,0))</x:f>
        <x:v>10</x:v>
      </x:c>
      <x:c r="K2863" s="27" t="n">
        <x:f>INDEX('Model Pricing'!$C$7:$C$8,MATCH(F2863,'Model Pricing'!$A$7:$A$8,0))</x:f>
        <x:v>30</x:v>
      </x:c>
      <x:c r="L2863" s="17" t="n">
        <x:f>G2863+H2863</x:f>
        <x:v>17922</x:v>
      </x:c>
      <x:c r="M2863" s="28" t="n">
        <x:f>G2863*J2863/1000000</x:f>
        <x:v>0.13165</x:v>
      </x:c>
      <x:c r="N2863" s="28" t="n">
        <x:f>H2863*K2863/1000000</x:f>
        <x:v>0.14271</x:v>
      </x:c>
      <x:c r="O2863" s="28" t="n">
        <x:f>SUM(M2863:N2863)</x:f>
        <x:v>0.27436</x:v>
      </x:c>
    </x:row>
    <x:row r="2864" ht="23" customHeight="1">
      <x:c r="A2864" s="17" t="str">
        <x:v>U02858</x:v>
      </x:c>
      <x:c r="B2864" s="18" t="n">
        <x:v>46268</x:v>
      </x:c>
      <x:c r="C2864" s="17" t="str">
        <x:v>W0223</x:v>
      </x:c>
      <x:c r="D2864" s="17" t="str">
        <x:v>C004</x:v>
      </x:c>
      <x:c r="E2864" s="17" t="str">
        <x:v>DataFlow</x:v>
      </x:c>
      <x:c r="F2864" s="17" t="str">
        <x:v>Lite</x:v>
      </x:c>
      <x:c r="G2864" s="17" t="n">
        <x:v>21708</x:v>
      </x:c>
      <x:c r="H2864" s="17" t="n">
        <x:v>4851</x:v>
      </x:c>
      <x:c r="I2864" s="17" t="str">
        <x:v>Correction</x:v>
      </x:c>
      <x:c r="J2864" s="27" t="n">
        <x:f>INDEX('Model Pricing'!$B$7:$B$8,MATCH(F2864,'Model Pricing'!$A$7:$A$8,0))</x:f>
        <x:v>10</x:v>
      </x:c>
      <x:c r="K2864" s="27" t="n">
        <x:f>INDEX('Model Pricing'!$C$7:$C$8,MATCH(F2864,'Model Pricing'!$A$7:$A$8,0))</x:f>
        <x:v>30</x:v>
      </x:c>
      <x:c r="L2864" s="17" t="n">
        <x:f>G2864+H2864</x:f>
        <x:v>26559</x:v>
      </x:c>
      <x:c r="M2864" s="28" t="n">
        <x:f>G2864*J2864/1000000</x:f>
        <x:v>0.21708</x:v>
      </x:c>
      <x:c r="N2864" s="28" t="n">
        <x:f>H2864*K2864/1000000</x:f>
        <x:v>0.14553</x:v>
      </x:c>
      <x:c r="O2864" s="28" t="n">
        <x:f>SUM(M2864:N2864)</x:f>
        <x:v>0.36261</x:v>
      </x:c>
    </x:row>
    <x:row r="2865" ht="23" customHeight="1">
      <x:c r="A2865" s="17" t="str">
        <x:v>U02859</x:v>
      </x:c>
      <x:c r="B2865" s="18" t="n">
        <x:v>46268</x:v>
      </x:c>
      <x:c r="C2865" s="17" t="str">
        <x:v>W0223</x:v>
      </x:c>
      <x:c r="D2865" s="17" t="str">
        <x:v>C004</x:v>
      </x:c>
      <x:c r="E2865" s="17" t="str">
        <x:v>DataFlow</x:v>
      </x:c>
      <x:c r="F2865" s="17" t="str">
        <x:v>Lite</x:v>
      </x:c>
      <x:c r="G2865" s="17" t="n">
        <x:v>17945</x:v>
      </x:c>
      <x:c r="H2865" s="17" t="n">
        <x:v>4416</x:v>
      </x:c>
      <x:c r="I2865" s="17" t="str">
        <x:v>Followup</x:v>
      </x:c>
      <x:c r="J2865" s="27" t="n">
        <x:f>INDEX('Model Pricing'!$B$7:$B$8,MATCH(F2865,'Model Pricing'!$A$7:$A$8,0))</x:f>
        <x:v>10</x:v>
      </x:c>
      <x:c r="K2865" s="27" t="n">
        <x:f>INDEX('Model Pricing'!$C$7:$C$8,MATCH(F2865,'Model Pricing'!$A$7:$A$8,0))</x:f>
        <x:v>30</x:v>
      </x:c>
      <x:c r="L2865" s="17" t="n">
        <x:f>G2865+H2865</x:f>
        <x:v>22361</x:v>
      </x:c>
      <x:c r="M2865" s="28" t="n">
        <x:f>G2865*J2865/1000000</x:f>
        <x:v>0.17945</x:v>
      </x:c>
      <x:c r="N2865" s="28" t="n">
        <x:f>H2865*K2865/1000000</x:f>
        <x:v>0.13248</x:v>
      </x:c>
      <x:c r="O2865" s="28" t="n">
        <x:f>SUM(M2865:N2865)</x:f>
        <x:v>0.31193</x:v>
      </x:c>
    </x:row>
    <x:row r="2866" ht="23" customHeight="1">
      <x:c r="A2866" s="17" t="str">
        <x:v>U02860</x:v>
      </x:c>
      <x:c r="B2866" s="18" t="n">
        <x:v>46268</x:v>
      </x:c>
      <x:c r="C2866" s="17" t="str">
        <x:v>W0223</x:v>
      </x:c>
      <x:c r="D2866" s="17" t="str">
        <x:v>C004</x:v>
      </x:c>
      <x:c r="E2866" s="17" t="str">
        <x:v>DataFlow</x:v>
      </x:c>
      <x:c r="F2866" s="17" t="str">
        <x:v>Lite</x:v>
      </x:c>
      <x:c r="G2866" s="17" t="n">
        <x:v>22913</x:v>
      </x:c>
      <x:c r="H2866" s="17" t="n">
        <x:v>3715</x:v>
      </x:c>
      <x:c r="I2866" s="17" t="str">
        <x:v>Correction</x:v>
      </x:c>
      <x:c r="J2866" s="27" t="n">
        <x:f>INDEX('Model Pricing'!$B$7:$B$8,MATCH(F2866,'Model Pricing'!$A$7:$A$8,0))</x:f>
        <x:v>10</x:v>
      </x:c>
      <x:c r="K2866" s="27" t="n">
        <x:f>INDEX('Model Pricing'!$C$7:$C$8,MATCH(F2866,'Model Pricing'!$A$7:$A$8,0))</x:f>
        <x:v>30</x:v>
      </x:c>
      <x:c r="L2866" s="17" t="n">
        <x:f>G2866+H2866</x:f>
        <x:v>26628</x:v>
      </x:c>
      <x:c r="M2866" s="28" t="n">
        <x:f>G2866*J2866/1000000</x:f>
        <x:v>0.22913</x:v>
      </x:c>
      <x:c r="N2866" s="28" t="n">
        <x:f>H2866*K2866/1000000</x:f>
        <x:v>0.11145</x:v>
      </x:c>
      <x:c r="O2866" s="28" t="n">
        <x:f>SUM(M2866:N2866)</x:f>
        <x:v>0.34058</x:v>
      </x:c>
    </x:row>
    <x:row r="2867" ht="23" customHeight="1">
      <x:c r="A2867" s="17" t="str">
        <x:v>U02861</x:v>
      </x:c>
      <x:c r="B2867" s="18" t="n">
        <x:v>46269</x:v>
      </x:c>
      <x:c r="C2867" s="17" t="str">
        <x:v>W0223</x:v>
      </x:c>
      <x:c r="D2867" s="17" t="str">
        <x:v>C004</x:v>
      </x:c>
      <x:c r="E2867" s="17" t="str">
        <x:v>DataFlow</x:v>
      </x:c>
      <x:c r="F2867" s="17" t="str">
        <x:v>Lite</x:v>
      </x:c>
      <x:c r="G2867" s="17" t="n">
        <x:v>21482</x:v>
      </x:c>
      <x:c r="H2867" s="17" t="n">
        <x:v>1457</x:v>
      </x:c>
      <x:c r="I2867" s="17" t="str">
        <x:v>Followup</x:v>
      </x:c>
      <x:c r="J2867" s="27" t="n">
        <x:f>INDEX('Model Pricing'!$B$7:$B$8,MATCH(F2867,'Model Pricing'!$A$7:$A$8,0))</x:f>
        <x:v>10</x:v>
      </x:c>
      <x:c r="K2867" s="27" t="n">
        <x:f>INDEX('Model Pricing'!$C$7:$C$8,MATCH(F2867,'Model Pricing'!$A$7:$A$8,0))</x:f>
        <x:v>30</x:v>
      </x:c>
      <x:c r="L2867" s="17" t="n">
        <x:f>G2867+H2867</x:f>
        <x:v>22939</x:v>
      </x:c>
      <x:c r="M2867" s="28" t="n">
        <x:f>G2867*J2867/1000000</x:f>
        <x:v>0.21482</x:v>
      </x:c>
      <x:c r="N2867" s="28" t="n">
        <x:f>H2867*K2867/1000000</x:f>
        <x:v>0.04371</x:v>
      </x:c>
      <x:c r="O2867" s="28" t="n">
        <x:f>SUM(M2867:N2867)</x:f>
        <x:v>0.25853000000000004</x:v>
      </x:c>
    </x:row>
    <x:row r="2868" ht="23" customHeight="1">
      <x:c r="A2868" s="17" t="str">
        <x:v>U02862</x:v>
      </x:c>
      <x:c r="B2868" s="18" t="n">
        <x:v>46269</x:v>
      </x:c>
      <x:c r="C2868" s="17" t="str">
        <x:v>W0223</x:v>
      </x:c>
      <x:c r="D2868" s="17" t="str">
        <x:v>C004</x:v>
      </x:c>
      <x:c r="E2868" s="17" t="str">
        <x:v>DataFlow</x:v>
      </x:c>
      <x:c r="F2868" s="17" t="str">
        <x:v>Lite</x:v>
      </x:c>
      <x:c r="G2868" s="17" t="n">
        <x:v>15178</x:v>
      </x:c>
      <x:c r="H2868" s="17" t="n">
        <x:v>2185</x:v>
      </x:c>
      <x:c r="I2868" s="17" t="str">
        <x:v>Correction</x:v>
      </x:c>
      <x:c r="J2868" s="27" t="n">
        <x:f>INDEX('Model Pricing'!$B$7:$B$8,MATCH(F2868,'Model Pricing'!$A$7:$A$8,0))</x:f>
        <x:v>10</x:v>
      </x:c>
      <x:c r="K2868" s="27" t="n">
        <x:f>INDEX('Model Pricing'!$C$7:$C$8,MATCH(F2868,'Model Pricing'!$A$7:$A$8,0))</x:f>
        <x:v>30</x:v>
      </x:c>
      <x:c r="L2868" s="17" t="n">
        <x:f>G2868+H2868</x:f>
        <x:v>17363</x:v>
      </x:c>
      <x:c r="M2868" s="28" t="n">
        <x:f>G2868*J2868/1000000</x:f>
        <x:v>0.15178</x:v>
      </x:c>
      <x:c r="N2868" s="28" t="n">
        <x:f>H2868*K2868/1000000</x:f>
        <x:v>0.06555</x:v>
      </x:c>
      <x:c r="O2868" s="28" t="n">
        <x:f>SUM(M2868:N2868)</x:f>
        <x:v>0.21733</x:v>
      </x:c>
    </x:row>
    <x:row r="2869" ht="23" customHeight="1">
      <x:c r="A2869" s="17" t="str">
        <x:v>U02863</x:v>
      </x:c>
      <x:c r="B2869" s="18" t="n">
        <x:v>46287</x:v>
      </x:c>
      <x:c r="C2869" s="17" t="str">
        <x:v>W0225</x:v>
      </x:c>
      <x:c r="D2869" s="17" t="str">
        <x:v>C004</x:v>
      </x:c>
      <x:c r="E2869" s="17" t="str">
        <x:v>InsightDesk</x:v>
      </x:c>
      <x:c r="F2869" s="17" t="str">
        <x:v>Lite</x:v>
      </x:c>
      <x:c r="G2869" s="17" t="n">
        <x:v>9636</x:v>
      </x:c>
      <x:c r="H2869" s="17" t="n">
        <x:v>5731</x:v>
      </x:c>
      <x:c r="I2869" s="17" t="str">
        <x:v>First attempt</x:v>
      </x:c>
      <x:c r="J2869" s="27" t="n">
        <x:f>INDEX('Model Pricing'!$B$7:$B$8,MATCH(F2869,'Model Pricing'!$A$7:$A$8,0))</x:f>
        <x:v>10</x:v>
      </x:c>
      <x:c r="K2869" s="27" t="n">
        <x:f>INDEX('Model Pricing'!$C$7:$C$8,MATCH(F2869,'Model Pricing'!$A$7:$A$8,0))</x:f>
        <x:v>30</x:v>
      </x:c>
      <x:c r="L2869" s="17" t="n">
        <x:f>G2869+H2869</x:f>
        <x:v>15367</x:v>
      </x:c>
      <x:c r="M2869" s="28" t="n">
        <x:f>G2869*J2869/1000000</x:f>
        <x:v>0.09636</x:v>
      </x:c>
      <x:c r="N2869" s="28" t="n">
        <x:f>H2869*K2869/1000000</x:f>
        <x:v>0.17193</x:v>
      </x:c>
      <x:c r="O2869" s="28" t="n">
        <x:f>SUM(M2869:N2869)</x:f>
        <x:v>0.26829000000000003</x:v>
      </x:c>
    </x:row>
    <x:row r="2870" ht="23" customHeight="1">
      <x:c r="A2870" s="17" t="str">
        <x:v>U02864</x:v>
      </x:c>
      <x:c r="B2870" s="18" t="n">
        <x:v>46287</x:v>
      </x:c>
      <x:c r="C2870" s="17" t="str">
        <x:v>W0225</x:v>
      </x:c>
      <x:c r="D2870" s="17" t="str">
        <x:v>C004</x:v>
      </x:c>
      <x:c r="E2870" s="17" t="str">
        <x:v>InsightDesk</x:v>
      </x:c>
      <x:c r="F2870" s="17" t="str">
        <x:v>Lite</x:v>
      </x:c>
      <x:c r="G2870" s="17" t="n">
        <x:v>21182</x:v>
      </x:c>
      <x:c r="H2870" s="17" t="n">
        <x:v>1663</x:v>
      </x:c>
      <x:c r="I2870" s="17" t="str">
        <x:v>Correction</x:v>
      </x:c>
      <x:c r="J2870" s="27" t="n">
        <x:f>INDEX('Model Pricing'!$B$7:$B$8,MATCH(F2870,'Model Pricing'!$A$7:$A$8,0))</x:f>
        <x:v>10</x:v>
      </x:c>
      <x:c r="K2870" s="27" t="n">
        <x:f>INDEX('Model Pricing'!$C$7:$C$8,MATCH(F2870,'Model Pricing'!$A$7:$A$8,0))</x:f>
        <x:v>30</x:v>
      </x:c>
      <x:c r="L2870" s="17" t="n">
        <x:f>G2870+H2870</x:f>
        <x:v>22845</x:v>
      </x:c>
      <x:c r="M2870" s="28" t="n">
        <x:f>G2870*J2870/1000000</x:f>
        <x:v>0.21182</x:v>
      </x:c>
      <x:c r="N2870" s="28" t="n">
        <x:f>H2870*K2870/1000000</x:f>
        <x:v>0.04989</x:v>
      </x:c>
      <x:c r="O2870" s="28" t="n">
        <x:f>SUM(M2870:N2870)</x:f>
        <x:v>0.26171</x:v>
      </x:c>
    </x:row>
    <x:row r="2871" ht="23" customHeight="1">
      <x:c r="A2871" s="17" t="str">
        <x:v>U02865</x:v>
      </x:c>
      <x:c r="B2871" s="18" t="n">
        <x:v>46287</x:v>
      </x:c>
      <x:c r="C2871" s="17" t="str">
        <x:v>W0225</x:v>
      </x:c>
      <x:c r="D2871" s="17" t="str">
        <x:v>C004</x:v>
      </x:c>
      <x:c r="E2871" s="17" t="str">
        <x:v>InsightDesk</x:v>
      </x:c>
      <x:c r="F2871" s="17" t="str">
        <x:v>Lite</x:v>
      </x:c>
      <x:c r="G2871" s="17" t="n">
        <x:v>23558</x:v>
      </x:c>
      <x:c r="H2871" s="17" t="n">
        <x:v>4011</x:v>
      </x:c>
      <x:c r="I2871" s="17" t="str">
        <x:v>Correction</x:v>
      </x:c>
      <x:c r="J2871" s="27" t="n">
        <x:f>INDEX('Model Pricing'!$B$7:$B$8,MATCH(F2871,'Model Pricing'!$A$7:$A$8,0))</x:f>
        <x:v>10</x:v>
      </x:c>
      <x:c r="K2871" s="27" t="n">
        <x:f>INDEX('Model Pricing'!$C$7:$C$8,MATCH(F2871,'Model Pricing'!$A$7:$A$8,0))</x:f>
        <x:v>30</x:v>
      </x:c>
      <x:c r="L2871" s="17" t="n">
        <x:f>G2871+H2871</x:f>
        <x:v>27569</x:v>
      </x:c>
      <x:c r="M2871" s="28" t="n">
        <x:f>G2871*J2871/1000000</x:f>
        <x:v>0.23558</x:v>
      </x:c>
      <x:c r="N2871" s="28" t="n">
        <x:f>H2871*K2871/1000000</x:f>
        <x:v>0.12033</x:v>
      </x:c>
      <x:c r="O2871" s="28" t="n">
        <x:f>SUM(M2871:N2871)</x:f>
        <x:v>0.35591</x:v>
      </x:c>
    </x:row>
    <x:row r="2872" ht="23" customHeight="1">
      <x:c r="A2872" s="17" t="str">
        <x:v>U02866</x:v>
      </x:c>
      <x:c r="B2872" s="18" t="n">
        <x:v>46287</x:v>
      </x:c>
      <x:c r="C2872" s="17" t="str">
        <x:v>W0225</x:v>
      </x:c>
      <x:c r="D2872" s="17" t="str">
        <x:v>C004</x:v>
      </x:c>
      <x:c r="E2872" s="17" t="str">
        <x:v>InsightDesk</x:v>
      </x:c>
      <x:c r="F2872" s="17" t="str">
        <x:v>Lite</x:v>
      </x:c>
      <x:c r="G2872" s="17" t="n">
        <x:v>9983</x:v>
      </x:c>
      <x:c r="H2872" s="17" t="n">
        <x:v>3900</x:v>
      </x:c>
      <x:c r="I2872" s="17" t="str">
        <x:v>Followup</x:v>
      </x:c>
      <x:c r="J2872" s="27" t="n">
        <x:f>INDEX('Model Pricing'!$B$7:$B$8,MATCH(F2872,'Model Pricing'!$A$7:$A$8,0))</x:f>
        <x:v>10</x:v>
      </x:c>
      <x:c r="K2872" s="27" t="n">
        <x:f>INDEX('Model Pricing'!$C$7:$C$8,MATCH(F2872,'Model Pricing'!$A$7:$A$8,0))</x:f>
        <x:v>30</x:v>
      </x:c>
      <x:c r="L2872" s="17" t="n">
        <x:f>G2872+H2872</x:f>
        <x:v>13883</x:v>
      </x:c>
      <x:c r="M2872" s="28" t="n">
        <x:f>G2872*J2872/1000000</x:f>
        <x:v>0.09983</x:v>
      </x:c>
      <x:c r="N2872" s="28" t="n">
        <x:f>H2872*K2872/1000000</x:f>
        <x:v>0.117</x:v>
      </x:c>
      <x:c r="O2872" s="28" t="n">
        <x:f>SUM(M2872:N2872)</x:f>
        <x:v>0.21683000000000002</x:v>
      </x:c>
    </x:row>
    <x:row r="2873" ht="23" customHeight="1">
      <x:c r="A2873" s="17" t="str">
        <x:v>U02867</x:v>
      </x:c>
      <x:c r="B2873" s="18" t="n">
        <x:v>46288</x:v>
      </x:c>
      <x:c r="C2873" s="17" t="str">
        <x:v>W0225</x:v>
      </x:c>
      <x:c r="D2873" s="17" t="str">
        <x:v>C004</x:v>
      </x:c>
      <x:c r="E2873" s="17" t="str">
        <x:v>InsightDesk</x:v>
      </x:c>
      <x:c r="F2873" s="17" t="str">
        <x:v>Lite</x:v>
      </x:c>
      <x:c r="G2873" s="17" t="n">
        <x:v>18126</x:v>
      </x:c>
      <x:c r="H2873" s="17" t="n">
        <x:v>3785</x:v>
      </x:c>
      <x:c r="I2873" s="17" t="str">
        <x:v>Followup</x:v>
      </x:c>
      <x:c r="J2873" s="27" t="n">
        <x:f>INDEX('Model Pricing'!$B$7:$B$8,MATCH(F2873,'Model Pricing'!$A$7:$A$8,0))</x:f>
        <x:v>10</x:v>
      </x:c>
      <x:c r="K2873" s="27" t="n">
        <x:f>INDEX('Model Pricing'!$C$7:$C$8,MATCH(F2873,'Model Pricing'!$A$7:$A$8,0))</x:f>
        <x:v>30</x:v>
      </x:c>
      <x:c r="L2873" s="17" t="n">
        <x:f>G2873+H2873</x:f>
        <x:v>21911</x:v>
      </x:c>
      <x:c r="M2873" s="28" t="n">
        <x:f>G2873*J2873/1000000</x:f>
        <x:v>0.18126</x:v>
      </x:c>
      <x:c r="N2873" s="28" t="n">
        <x:f>H2873*K2873/1000000</x:f>
        <x:v>0.11355</x:v>
      </x:c>
      <x:c r="O2873" s="28" t="n">
        <x:f>SUM(M2873:N2873)</x:f>
        <x:v>0.29481</x:v>
      </x:c>
    </x:row>
    <x:row r="2874" ht="23" customHeight="1">
      <x:c r="A2874" s="17" t="str">
        <x:v>U02868</x:v>
      </x:c>
      <x:c r="B2874" s="18" t="n">
        <x:v>46288</x:v>
      </x:c>
      <x:c r="C2874" s="17" t="str">
        <x:v>W0225</x:v>
      </x:c>
      <x:c r="D2874" s="17" t="str">
        <x:v>C004</x:v>
      </x:c>
      <x:c r="E2874" s="17" t="str">
        <x:v>InsightDesk</x:v>
      </x:c>
      <x:c r="F2874" s="17" t="str">
        <x:v>Lite</x:v>
      </x:c>
      <x:c r="G2874" s="17" t="n">
        <x:v>15173</x:v>
      </x:c>
      <x:c r="H2874" s="17" t="n">
        <x:v>5240</x:v>
      </x:c>
      <x:c r="I2874" s="17" t="str">
        <x:v>Followup</x:v>
      </x:c>
      <x:c r="J2874" s="27" t="n">
        <x:f>INDEX('Model Pricing'!$B$7:$B$8,MATCH(F2874,'Model Pricing'!$A$7:$A$8,0))</x:f>
        <x:v>10</x:v>
      </x:c>
      <x:c r="K2874" s="27" t="n">
        <x:f>INDEX('Model Pricing'!$C$7:$C$8,MATCH(F2874,'Model Pricing'!$A$7:$A$8,0))</x:f>
        <x:v>30</x:v>
      </x:c>
      <x:c r="L2874" s="17" t="n">
        <x:f>G2874+H2874</x:f>
        <x:v>20413</x:v>
      </x:c>
      <x:c r="M2874" s="28" t="n">
        <x:f>G2874*J2874/1000000</x:f>
        <x:v>0.15173</x:v>
      </x:c>
      <x:c r="N2874" s="28" t="n">
        <x:f>H2874*K2874/1000000</x:f>
        <x:v>0.1572</x:v>
      </x:c>
      <x:c r="O2874" s="28" t="n">
        <x:f>SUM(M2874:N2874)</x:f>
        <x:v>0.30893000000000004</x:v>
      </x:c>
    </x:row>
    <x:row r="2875" ht="23" customHeight="1">
      <x:c r="A2875" s="17" t="str">
        <x:v>U02869</x:v>
      </x:c>
      <x:c r="B2875" s="18" t="n">
        <x:v>46288</x:v>
      </x:c>
      <x:c r="C2875" s="17" t="str">
        <x:v>W0225</x:v>
      </x:c>
      <x:c r="D2875" s="17" t="str">
        <x:v>C004</x:v>
      </x:c>
      <x:c r="E2875" s="17" t="str">
        <x:v>InsightDesk</x:v>
      </x:c>
      <x:c r="F2875" s="17" t="str">
        <x:v>Lite</x:v>
      </x:c>
      <x:c r="G2875" s="17" t="n">
        <x:v>13273</x:v>
      </x:c>
      <x:c r="H2875" s="17" t="n">
        <x:v>4718</x:v>
      </x:c>
      <x:c r="I2875" s="17" t="str">
        <x:v>Followup</x:v>
      </x:c>
      <x:c r="J2875" s="27" t="n">
        <x:f>INDEX('Model Pricing'!$B$7:$B$8,MATCH(F2875,'Model Pricing'!$A$7:$A$8,0))</x:f>
        <x:v>10</x:v>
      </x:c>
      <x:c r="K2875" s="27" t="n">
        <x:f>INDEX('Model Pricing'!$C$7:$C$8,MATCH(F2875,'Model Pricing'!$A$7:$A$8,0))</x:f>
        <x:v>30</x:v>
      </x:c>
      <x:c r="L2875" s="17" t="n">
        <x:f>G2875+H2875</x:f>
        <x:v>17991</x:v>
      </x:c>
      <x:c r="M2875" s="28" t="n">
        <x:f>G2875*J2875/1000000</x:f>
        <x:v>0.13273</x:v>
      </x:c>
      <x:c r="N2875" s="28" t="n">
        <x:f>H2875*K2875/1000000</x:f>
        <x:v>0.14154</x:v>
      </x:c>
      <x:c r="O2875" s="28" t="n">
        <x:f>SUM(M2875:N2875)</x:f>
        <x:v>0.27427</x:v>
      </x:c>
    </x:row>
    <x:row r="2876" ht="23" customHeight="1">
      <x:c r="A2876" s="17" t="str">
        <x:v>U02870</x:v>
      </x:c>
      <x:c r="B2876" s="18" t="n">
        <x:v>46289</x:v>
      </x:c>
      <x:c r="C2876" s="17" t="str">
        <x:v>W0225</x:v>
      </x:c>
      <x:c r="D2876" s="17" t="str">
        <x:v>C004</x:v>
      </x:c>
      <x:c r="E2876" s="17" t="str">
        <x:v>InsightDesk</x:v>
      </x:c>
      <x:c r="F2876" s="17" t="str">
        <x:v>Lite</x:v>
      </x:c>
      <x:c r="G2876" s="17" t="n">
        <x:v>20033</x:v>
      </x:c>
      <x:c r="H2876" s="17" t="n">
        <x:v>4037</x:v>
      </x:c>
      <x:c r="I2876" s="17" t="str">
        <x:v>Followup</x:v>
      </x:c>
      <x:c r="J2876" s="27" t="n">
        <x:f>INDEX('Model Pricing'!$B$7:$B$8,MATCH(F2876,'Model Pricing'!$A$7:$A$8,0))</x:f>
        <x:v>10</x:v>
      </x:c>
      <x:c r="K2876" s="27" t="n">
        <x:f>INDEX('Model Pricing'!$C$7:$C$8,MATCH(F2876,'Model Pricing'!$A$7:$A$8,0))</x:f>
        <x:v>30</x:v>
      </x:c>
      <x:c r="L2876" s="17" t="n">
        <x:f>G2876+H2876</x:f>
        <x:v>24070</x:v>
      </x:c>
      <x:c r="M2876" s="28" t="n">
        <x:f>G2876*J2876/1000000</x:f>
        <x:v>0.20033</x:v>
      </x:c>
      <x:c r="N2876" s="28" t="n">
        <x:f>H2876*K2876/1000000</x:f>
        <x:v>0.12111</x:v>
      </x:c>
      <x:c r="O2876" s="28" t="n">
        <x:f>SUM(M2876:N2876)</x:f>
        <x:v>0.32144</x:v>
      </x:c>
    </x:row>
    <x:row r="2877" ht="23" customHeight="1">
      <x:c r="A2877" s="17" t="str">
        <x:v>U02871</x:v>
      </x:c>
      <x:c r="B2877" s="18" t="n">
        <x:v>46289</x:v>
      </x:c>
      <x:c r="C2877" s="17" t="str">
        <x:v>W0225</x:v>
      </x:c>
      <x:c r="D2877" s="17" t="str">
        <x:v>C004</x:v>
      </x:c>
      <x:c r="E2877" s="17" t="str">
        <x:v>InsightDesk</x:v>
      </x:c>
      <x:c r="F2877" s="17" t="str">
        <x:v>Lite</x:v>
      </x:c>
      <x:c r="G2877" s="17" t="n">
        <x:v>21267</x:v>
      </x:c>
      <x:c r="H2877" s="17" t="n">
        <x:v>5917</x:v>
      </x:c>
      <x:c r="I2877" s="17" t="str">
        <x:v>Followup</x:v>
      </x:c>
      <x:c r="J2877" s="27" t="n">
        <x:f>INDEX('Model Pricing'!$B$7:$B$8,MATCH(F2877,'Model Pricing'!$A$7:$A$8,0))</x:f>
        <x:v>10</x:v>
      </x:c>
      <x:c r="K2877" s="27" t="n">
        <x:f>INDEX('Model Pricing'!$C$7:$C$8,MATCH(F2877,'Model Pricing'!$A$7:$A$8,0))</x:f>
        <x:v>30</x:v>
      </x:c>
      <x:c r="L2877" s="17" t="n">
        <x:f>G2877+H2877</x:f>
        <x:v>27184</x:v>
      </x:c>
      <x:c r="M2877" s="28" t="n">
        <x:f>G2877*J2877/1000000</x:f>
        <x:v>0.21267</x:v>
      </x:c>
      <x:c r="N2877" s="28" t="n">
        <x:f>H2877*K2877/1000000</x:f>
        <x:v>0.17751</x:v>
      </x:c>
      <x:c r="O2877" s="28" t="n">
        <x:f>SUM(M2877:N2877)</x:f>
        <x:v>0.39017999999999997</x:v>
      </x:c>
    </x:row>
    <x:row r="2878" ht="23" customHeight="1">
      <x:c r="A2878" s="17" t="str">
        <x:v>U02872</x:v>
      </x:c>
      <x:c r="B2878" s="18" t="n">
        <x:v>46289</x:v>
      </x:c>
      <x:c r="C2878" s="17" t="str">
        <x:v>W0225</x:v>
      </x:c>
      <x:c r="D2878" s="17" t="str">
        <x:v>C004</x:v>
      </x:c>
      <x:c r="E2878" s="17" t="str">
        <x:v>InsightDesk</x:v>
      </x:c>
      <x:c r="F2878" s="17" t="str">
        <x:v>Lite</x:v>
      </x:c>
      <x:c r="G2878" s="17" t="n">
        <x:v>15523</x:v>
      </x:c>
      <x:c r="H2878" s="17" t="n">
        <x:v>3322</x:v>
      </x:c>
      <x:c r="I2878" s="17" t="str">
        <x:v>Followup</x:v>
      </x:c>
      <x:c r="J2878" s="27" t="n">
        <x:f>INDEX('Model Pricing'!$B$7:$B$8,MATCH(F2878,'Model Pricing'!$A$7:$A$8,0))</x:f>
        <x:v>10</x:v>
      </x:c>
      <x:c r="K2878" s="27" t="n">
        <x:f>INDEX('Model Pricing'!$C$7:$C$8,MATCH(F2878,'Model Pricing'!$A$7:$A$8,0))</x:f>
        <x:v>30</x:v>
      </x:c>
      <x:c r="L2878" s="17" t="n">
        <x:f>G2878+H2878</x:f>
        <x:v>18845</x:v>
      </x:c>
      <x:c r="M2878" s="28" t="n">
        <x:f>G2878*J2878/1000000</x:f>
        <x:v>0.15523</x:v>
      </x:c>
      <x:c r="N2878" s="28" t="n">
        <x:f>H2878*K2878/1000000</x:f>
        <x:v>0.09966</x:v>
      </x:c>
      <x:c r="O2878" s="28" t="n">
        <x:f>SUM(M2878:N2878)</x:f>
        <x:v>0.25489</x:v>
      </x:c>
    </x:row>
    <x:row r="2879" ht="23" customHeight="1">
      <x:c r="A2879" s="17" t="str">
        <x:v>U02873</x:v>
      </x:c>
      <x:c r="B2879" s="18" t="n">
        <x:v>46290</x:v>
      </x:c>
      <x:c r="C2879" s="17" t="str">
        <x:v>W0225</x:v>
      </x:c>
      <x:c r="D2879" s="17" t="str">
        <x:v>C004</x:v>
      </x:c>
      <x:c r="E2879" s="17" t="str">
        <x:v>InsightDesk</x:v>
      </x:c>
      <x:c r="F2879" s="17" t="str">
        <x:v>Lite</x:v>
      </x:c>
      <x:c r="G2879" s="17" t="n">
        <x:v>18566</x:v>
      </x:c>
      <x:c r="H2879" s="17" t="n">
        <x:v>4061</x:v>
      </x:c>
      <x:c r="I2879" s="17" t="str">
        <x:v>Followup</x:v>
      </x:c>
      <x:c r="J2879" s="27" t="n">
        <x:f>INDEX('Model Pricing'!$B$7:$B$8,MATCH(F2879,'Model Pricing'!$A$7:$A$8,0))</x:f>
        <x:v>10</x:v>
      </x:c>
      <x:c r="K2879" s="27" t="n">
        <x:f>INDEX('Model Pricing'!$C$7:$C$8,MATCH(F2879,'Model Pricing'!$A$7:$A$8,0))</x:f>
        <x:v>30</x:v>
      </x:c>
      <x:c r="L2879" s="17" t="n">
        <x:f>G2879+H2879</x:f>
        <x:v>22627</x:v>
      </x:c>
      <x:c r="M2879" s="28" t="n">
        <x:f>G2879*J2879/1000000</x:f>
        <x:v>0.18566</x:v>
      </x:c>
      <x:c r="N2879" s="28" t="n">
        <x:f>H2879*K2879/1000000</x:f>
        <x:v>0.12183</x:v>
      </x:c>
      <x:c r="O2879" s="28" t="n">
        <x:f>SUM(M2879:N2879)</x:f>
        <x:v>0.30749</x:v>
      </x:c>
    </x:row>
    <x:row r="2880" ht="23" customHeight="1">
      <x:c r="A2880" s="17" t="str">
        <x:v>U02874</x:v>
      </x:c>
      <x:c r="B2880" s="18" t="n">
        <x:v>46290</x:v>
      </x:c>
      <x:c r="C2880" s="17" t="str">
        <x:v>W0225</x:v>
      </x:c>
      <x:c r="D2880" s="17" t="str">
        <x:v>C004</x:v>
      </x:c>
      <x:c r="E2880" s="17" t="str">
        <x:v>InsightDesk</x:v>
      </x:c>
      <x:c r="F2880" s="17" t="str">
        <x:v>Lite</x:v>
      </x:c>
      <x:c r="G2880" s="17" t="n">
        <x:v>14063</x:v>
      </x:c>
      <x:c r="H2880" s="17" t="n">
        <x:v>5243</x:v>
      </x:c>
      <x:c r="I2880" s="17" t="str">
        <x:v>Followup</x:v>
      </x:c>
      <x:c r="J2880" s="27" t="n">
        <x:f>INDEX('Model Pricing'!$B$7:$B$8,MATCH(F2880,'Model Pricing'!$A$7:$A$8,0))</x:f>
        <x:v>10</x:v>
      </x:c>
      <x:c r="K2880" s="27" t="n">
        <x:f>INDEX('Model Pricing'!$C$7:$C$8,MATCH(F2880,'Model Pricing'!$A$7:$A$8,0))</x:f>
        <x:v>30</x:v>
      </x:c>
      <x:c r="L2880" s="17" t="n">
        <x:f>G2880+H2880</x:f>
        <x:v>19306</x:v>
      </x:c>
      <x:c r="M2880" s="28" t="n">
        <x:f>G2880*J2880/1000000</x:f>
        <x:v>0.14063</x:v>
      </x:c>
      <x:c r="N2880" s="28" t="n">
        <x:f>H2880*K2880/1000000</x:f>
        <x:v>0.15729</x:v>
      </x:c>
      <x:c r="O2880" s="28" t="n">
        <x:f>SUM(M2880:N2880)</x:f>
        <x:v>0.29792</x:v>
      </x:c>
    </x:row>
    <x:row r="2881" ht="23" customHeight="1">
      <x:c r="A2881" s="17" t="str">
        <x:v>U02875</x:v>
      </x:c>
      <x:c r="B2881" s="18" t="n">
        <x:v>46290</x:v>
      </x:c>
      <x:c r="C2881" s="17" t="str">
        <x:v>W0225</x:v>
      </x:c>
      <x:c r="D2881" s="17" t="str">
        <x:v>C004</x:v>
      </x:c>
      <x:c r="E2881" s="17" t="str">
        <x:v>InsightDesk</x:v>
      </x:c>
      <x:c r="F2881" s="17" t="str">
        <x:v>Lite</x:v>
      </x:c>
      <x:c r="G2881" s="17" t="n">
        <x:v>13413</x:v>
      </x:c>
      <x:c r="H2881" s="17" t="n">
        <x:v>5649</x:v>
      </x:c>
      <x:c r="I2881" s="17" t="str">
        <x:v>Followup</x:v>
      </x:c>
      <x:c r="J2881" s="27" t="n">
        <x:f>INDEX('Model Pricing'!$B$7:$B$8,MATCH(F2881,'Model Pricing'!$A$7:$A$8,0))</x:f>
        <x:v>10</x:v>
      </x:c>
      <x:c r="K2881" s="27" t="n">
        <x:f>INDEX('Model Pricing'!$C$7:$C$8,MATCH(F2881,'Model Pricing'!$A$7:$A$8,0))</x:f>
        <x:v>30</x:v>
      </x:c>
      <x:c r="L2881" s="17" t="n">
        <x:f>G2881+H2881</x:f>
        <x:v>19062</x:v>
      </x:c>
      <x:c r="M2881" s="28" t="n">
        <x:f>G2881*J2881/1000000</x:f>
        <x:v>0.13413</x:v>
      </x:c>
      <x:c r="N2881" s="28" t="n">
        <x:f>H2881*K2881/1000000</x:f>
        <x:v>0.16947</x:v>
      </x:c>
      <x:c r="O2881" s="28" t="n">
        <x:f>SUM(M2881:N2881)</x:f>
        <x:v>0.3036</x:v>
      </x:c>
    </x:row>
    <x:row r="2882" ht="23" customHeight="1">
      <x:c r="A2882" s="17" t="str">
        <x:v>U02876</x:v>
      </x:c>
      <x:c r="B2882" s="18" t="n">
        <x:v>46269</x:v>
      </x:c>
      <x:c r="C2882" s="17" t="str">
        <x:v>W0226</x:v>
      </x:c>
      <x:c r="D2882" s="17" t="str">
        <x:v>C004</x:v>
      </x:c>
      <x:c r="E2882" s="17" t="str">
        <x:v>CopyStudio</x:v>
      </x:c>
      <x:c r="F2882" s="17" t="str">
        <x:v>Lite</x:v>
      </x:c>
      <x:c r="G2882" s="17" t="n">
        <x:v>25452</x:v>
      </x:c>
      <x:c r="H2882" s="17" t="n">
        <x:v>3110</x:v>
      </x:c>
      <x:c r="I2882" s="17" t="str">
        <x:v>First attempt</x:v>
      </x:c>
      <x:c r="J2882" s="27" t="n">
        <x:f>INDEX('Model Pricing'!$B$7:$B$8,MATCH(F2882,'Model Pricing'!$A$7:$A$8,0))</x:f>
        <x:v>10</x:v>
      </x:c>
      <x:c r="K2882" s="27" t="n">
        <x:f>INDEX('Model Pricing'!$C$7:$C$8,MATCH(F2882,'Model Pricing'!$A$7:$A$8,0))</x:f>
        <x:v>30</x:v>
      </x:c>
      <x:c r="L2882" s="17" t="n">
        <x:f>G2882+H2882</x:f>
        <x:v>28562</x:v>
      </x:c>
      <x:c r="M2882" s="28" t="n">
        <x:f>G2882*J2882/1000000</x:f>
        <x:v>0.25452</x:v>
      </x:c>
      <x:c r="N2882" s="28" t="n">
        <x:f>H2882*K2882/1000000</x:f>
        <x:v>0.0933</x:v>
      </x:c>
      <x:c r="O2882" s="28" t="n">
        <x:f>SUM(M2882:N2882)</x:f>
        <x:v>0.34782</x:v>
      </x:c>
    </x:row>
    <x:row r="2883" ht="23" customHeight="1">
      <x:c r="A2883" s="17" t="str">
        <x:v>U02877</x:v>
      </x:c>
      <x:c r="B2883" s="18" t="n">
        <x:v>46269</x:v>
      </x:c>
      <x:c r="C2883" s="17" t="str">
        <x:v>W0226</x:v>
      </x:c>
      <x:c r="D2883" s="17" t="str">
        <x:v>C004</x:v>
      </x:c>
      <x:c r="E2883" s="17" t="str">
        <x:v>CopyStudio</x:v>
      </x:c>
      <x:c r="F2883" s="17" t="str">
        <x:v>Lite</x:v>
      </x:c>
      <x:c r="G2883" s="17" t="n">
        <x:v>21028</x:v>
      </x:c>
      <x:c r="H2883" s="17" t="n">
        <x:v>3452</x:v>
      </x:c>
      <x:c r="I2883" s="17" t="str">
        <x:v>Followup</x:v>
      </x:c>
      <x:c r="J2883" s="27" t="n">
        <x:f>INDEX('Model Pricing'!$B$7:$B$8,MATCH(F2883,'Model Pricing'!$A$7:$A$8,0))</x:f>
        <x:v>10</x:v>
      </x:c>
      <x:c r="K2883" s="27" t="n">
        <x:f>INDEX('Model Pricing'!$C$7:$C$8,MATCH(F2883,'Model Pricing'!$A$7:$A$8,0))</x:f>
        <x:v>30</x:v>
      </x:c>
      <x:c r="L2883" s="17" t="n">
        <x:f>G2883+H2883</x:f>
        <x:v>24480</x:v>
      </x:c>
      <x:c r="M2883" s="28" t="n">
        <x:f>G2883*J2883/1000000</x:f>
        <x:v>0.21028</x:v>
      </x:c>
      <x:c r="N2883" s="28" t="n">
        <x:f>H2883*K2883/1000000</x:f>
        <x:v>0.10356</x:v>
      </x:c>
      <x:c r="O2883" s="28" t="n">
        <x:f>SUM(M2883:N2883)</x:f>
        <x:v>0.31384</x:v>
      </x:c>
    </x:row>
    <x:row r="2884" ht="23" customHeight="1">
      <x:c r="A2884" s="17" t="str">
        <x:v>U02878</x:v>
      </x:c>
      <x:c r="B2884" s="18" t="n">
        <x:v>46269</x:v>
      </x:c>
      <x:c r="C2884" s="17" t="str">
        <x:v>W0226</x:v>
      </x:c>
      <x:c r="D2884" s="17" t="str">
        <x:v>C004</x:v>
      </x:c>
      <x:c r="E2884" s="17" t="str">
        <x:v>CopyStudio</x:v>
      </x:c>
      <x:c r="F2884" s="17" t="str">
        <x:v>Lite</x:v>
      </x:c>
      <x:c r="G2884" s="17" t="n">
        <x:v>15527</x:v>
      </x:c>
      <x:c r="H2884" s="17" t="n">
        <x:v>2508</x:v>
      </x:c>
      <x:c r="I2884" s="17" t="str">
        <x:v>Followup</x:v>
      </x:c>
      <x:c r="J2884" s="27" t="n">
        <x:f>INDEX('Model Pricing'!$B$7:$B$8,MATCH(F2884,'Model Pricing'!$A$7:$A$8,0))</x:f>
        <x:v>10</x:v>
      </x:c>
      <x:c r="K2884" s="27" t="n">
        <x:f>INDEX('Model Pricing'!$C$7:$C$8,MATCH(F2884,'Model Pricing'!$A$7:$A$8,0))</x:f>
        <x:v>30</x:v>
      </x:c>
      <x:c r="L2884" s="17" t="n">
        <x:f>G2884+H2884</x:f>
        <x:v>18035</x:v>
      </x:c>
      <x:c r="M2884" s="28" t="n">
        <x:f>G2884*J2884/1000000</x:f>
        <x:v>0.15527</x:v>
      </x:c>
      <x:c r="N2884" s="28" t="n">
        <x:f>H2884*K2884/1000000</x:f>
        <x:v>0.07524</x:v>
      </x:c>
      <x:c r="O2884" s="28" t="n">
        <x:f>SUM(M2884:N2884)</x:f>
        <x:v>0.23051</x:v>
      </x:c>
    </x:row>
    <x:row r="2885" ht="23" customHeight="1">
      <x:c r="A2885" s="17" t="str">
        <x:v>U02879</x:v>
      </x:c>
      <x:c r="B2885" s="18" t="n">
        <x:v>46269</x:v>
      </x:c>
      <x:c r="C2885" s="17" t="str">
        <x:v>W0226</x:v>
      </x:c>
      <x:c r="D2885" s="17" t="str">
        <x:v>C004</x:v>
      </x:c>
      <x:c r="E2885" s="17" t="str">
        <x:v>CopyStudio</x:v>
      </x:c>
      <x:c r="F2885" s="17" t="str">
        <x:v>Lite</x:v>
      </x:c>
      <x:c r="G2885" s="17" t="n">
        <x:v>14206</x:v>
      </x:c>
      <x:c r="H2885" s="17" t="n">
        <x:v>1359</x:v>
      </x:c>
      <x:c r="I2885" s="17" t="str">
        <x:v>Followup</x:v>
      </x:c>
      <x:c r="J2885" s="27" t="n">
        <x:f>INDEX('Model Pricing'!$B$7:$B$8,MATCH(F2885,'Model Pricing'!$A$7:$A$8,0))</x:f>
        <x:v>10</x:v>
      </x:c>
      <x:c r="K2885" s="27" t="n">
        <x:f>INDEX('Model Pricing'!$C$7:$C$8,MATCH(F2885,'Model Pricing'!$A$7:$A$8,0))</x:f>
        <x:v>30</x:v>
      </x:c>
      <x:c r="L2885" s="17" t="n">
        <x:f>G2885+H2885</x:f>
        <x:v>15565</x:v>
      </x:c>
      <x:c r="M2885" s="28" t="n">
        <x:f>G2885*J2885/1000000</x:f>
        <x:v>0.14206</x:v>
      </x:c>
      <x:c r="N2885" s="28" t="n">
        <x:f>H2885*K2885/1000000</x:f>
        <x:v>0.04077</x:v>
      </x:c>
      <x:c r="O2885" s="28" t="n">
        <x:f>SUM(M2885:N2885)</x:f>
        <x:v>0.18283</x:v>
      </x:c>
    </x:row>
    <x:row r="2886" ht="23" customHeight="1">
      <x:c r="A2886" s="17" t="str">
        <x:v>U02880</x:v>
      </x:c>
      <x:c r="B2886" s="18" t="n">
        <x:v>46273</x:v>
      </x:c>
      <x:c r="C2886" s="17" t="str">
        <x:v>W0226</x:v>
      </x:c>
      <x:c r="D2886" s="17" t="str">
        <x:v>C004</x:v>
      </x:c>
      <x:c r="E2886" s="17" t="str">
        <x:v>CopyStudio</x:v>
      </x:c>
      <x:c r="F2886" s="17" t="str">
        <x:v>Lite</x:v>
      </x:c>
      <x:c r="G2886" s="17" t="n">
        <x:v>27237</x:v>
      </x:c>
      <x:c r="H2886" s="17" t="n">
        <x:v>3702</x:v>
      </x:c>
      <x:c r="I2886" s="17" t="str">
        <x:v>Correction</x:v>
      </x:c>
      <x:c r="J2886" s="27" t="n">
        <x:f>INDEX('Model Pricing'!$B$7:$B$8,MATCH(F2886,'Model Pricing'!$A$7:$A$8,0))</x:f>
        <x:v>10</x:v>
      </x:c>
      <x:c r="K2886" s="27" t="n">
        <x:f>INDEX('Model Pricing'!$C$7:$C$8,MATCH(F2886,'Model Pricing'!$A$7:$A$8,0))</x:f>
        <x:v>30</x:v>
      </x:c>
      <x:c r="L2886" s="17" t="n">
        <x:f>G2886+H2886</x:f>
        <x:v>30939</x:v>
      </x:c>
      <x:c r="M2886" s="28" t="n">
        <x:f>G2886*J2886/1000000</x:f>
        <x:v>0.27237</x:v>
      </x:c>
      <x:c r="N2886" s="28" t="n">
        <x:f>H2886*K2886/1000000</x:f>
        <x:v>0.11106</x:v>
      </x:c>
      <x:c r="O2886" s="28" t="n">
        <x:f>SUM(M2886:N2886)</x:f>
        <x:v>0.38343</x:v>
      </x:c>
    </x:row>
    <x:row r="2887" ht="23" customHeight="1">
      <x:c r="A2887" s="17" t="str">
        <x:v>U02881</x:v>
      </x:c>
      <x:c r="B2887" s="18" t="n">
        <x:v>46273</x:v>
      </x:c>
      <x:c r="C2887" s="17" t="str">
        <x:v>W0226</x:v>
      </x:c>
      <x:c r="D2887" s="17" t="str">
        <x:v>C004</x:v>
      </x:c>
      <x:c r="E2887" s="17" t="str">
        <x:v>CopyStudio</x:v>
      </x:c>
      <x:c r="F2887" s="17" t="str">
        <x:v>Lite</x:v>
      </x:c>
      <x:c r="G2887" s="17" t="n">
        <x:v>27894</x:v>
      </x:c>
      <x:c r="H2887" s="17" t="n">
        <x:v>2972</x:v>
      </x:c>
      <x:c r="I2887" s="17" t="str">
        <x:v>Followup</x:v>
      </x:c>
      <x:c r="J2887" s="27" t="n">
        <x:f>INDEX('Model Pricing'!$B$7:$B$8,MATCH(F2887,'Model Pricing'!$A$7:$A$8,0))</x:f>
        <x:v>10</x:v>
      </x:c>
      <x:c r="K2887" s="27" t="n">
        <x:f>INDEX('Model Pricing'!$C$7:$C$8,MATCH(F2887,'Model Pricing'!$A$7:$A$8,0))</x:f>
        <x:v>30</x:v>
      </x:c>
      <x:c r="L2887" s="17" t="n">
        <x:f>G2887+H2887</x:f>
        <x:v>30866</x:v>
      </x:c>
      <x:c r="M2887" s="28" t="n">
        <x:f>G2887*J2887/1000000</x:f>
        <x:v>0.27894</x:v>
      </x:c>
      <x:c r="N2887" s="28" t="n">
        <x:f>H2887*K2887/1000000</x:f>
        <x:v>0.08916</x:v>
      </x:c>
      <x:c r="O2887" s="28" t="n">
        <x:f>SUM(M2887:N2887)</x:f>
        <x:v>0.36810000000000004</x:v>
      </x:c>
    </x:row>
    <x:row r="2888" ht="23" customHeight="1">
      <x:c r="A2888" s="17" t="str">
        <x:v>U02882</x:v>
      </x:c>
      <x:c r="B2888" s="18" t="n">
        <x:v>46273</x:v>
      </x:c>
      <x:c r="C2888" s="17" t="str">
        <x:v>W0226</x:v>
      </x:c>
      <x:c r="D2888" s="17" t="str">
        <x:v>C004</x:v>
      </x:c>
      <x:c r="E2888" s="17" t="str">
        <x:v>CopyStudio</x:v>
      </x:c>
      <x:c r="F2888" s="17" t="str">
        <x:v>Lite</x:v>
      </x:c>
      <x:c r="G2888" s="17" t="n">
        <x:v>17258</x:v>
      </x:c>
      <x:c r="H2888" s="17" t="n">
        <x:v>2357</x:v>
      </x:c>
      <x:c r="I2888" s="17" t="str">
        <x:v>Correction</x:v>
      </x:c>
      <x:c r="J2888" s="27" t="n">
        <x:f>INDEX('Model Pricing'!$B$7:$B$8,MATCH(F2888,'Model Pricing'!$A$7:$A$8,0))</x:f>
        <x:v>10</x:v>
      </x:c>
      <x:c r="K2888" s="27" t="n">
        <x:f>INDEX('Model Pricing'!$C$7:$C$8,MATCH(F2888,'Model Pricing'!$A$7:$A$8,0))</x:f>
        <x:v>30</x:v>
      </x:c>
      <x:c r="L2888" s="17" t="n">
        <x:f>G2888+H2888</x:f>
        <x:v>19615</x:v>
      </x:c>
      <x:c r="M2888" s="28" t="n">
        <x:f>G2888*J2888/1000000</x:f>
        <x:v>0.17258</x:v>
      </x:c>
      <x:c r="N2888" s="28" t="n">
        <x:f>H2888*K2888/1000000</x:f>
        <x:v>0.07071</x:v>
      </x:c>
      <x:c r="O2888" s="28" t="n">
        <x:f>SUM(M2888:N2888)</x:f>
        <x:v>0.24329</x:v>
      </x:c>
    </x:row>
    <x:row r="2889" ht="23" customHeight="1">
      <x:c r="A2889" s="17" t="str">
        <x:v>U02883</x:v>
      </x:c>
      <x:c r="B2889" s="18" t="n">
        <x:v>46273</x:v>
      </x:c>
      <x:c r="C2889" s="17" t="str">
        <x:v>W0226</x:v>
      </x:c>
      <x:c r="D2889" s="17" t="str">
        <x:v>C004</x:v>
      </x:c>
      <x:c r="E2889" s="17" t="str">
        <x:v>CopyStudio</x:v>
      </x:c>
      <x:c r="F2889" s="17" t="str">
        <x:v>Lite</x:v>
      </x:c>
      <x:c r="G2889" s="17" t="n">
        <x:v>33365</x:v>
      </x:c>
      <x:c r="H2889" s="17" t="n">
        <x:v>3310</x:v>
      </x:c>
      <x:c r="I2889" s="17" t="str">
        <x:v>Followup</x:v>
      </x:c>
      <x:c r="J2889" s="27" t="n">
        <x:f>INDEX('Model Pricing'!$B$7:$B$8,MATCH(F2889,'Model Pricing'!$A$7:$A$8,0))</x:f>
        <x:v>10</x:v>
      </x:c>
      <x:c r="K2889" s="27" t="n">
        <x:f>INDEX('Model Pricing'!$C$7:$C$8,MATCH(F2889,'Model Pricing'!$A$7:$A$8,0))</x:f>
        <x:v>30</x:v>
      </x:c>
      <x:c r="L2889" s="17" t="n">
        <x:f>G2889+H2889</x:f>
        <x:v>36675</x:v>
      </x:c>
      <x:c r="M2889" s="28" t="n">
        <x:f>G2889*J2889/1000000</x:f>
        <x:v>0.33365</x:v>
      </x:c>
      <x:c r="N2889" s="28" t="n">
        <x:f>H2889*K2889/1000000</x:f>
        <x:v>0.0993</x:v>
      </x:c>
      <x:c r="O2889" s="28" t="n">
        <x:f>SUM(M2889:N2889)</x:f>
        <x:v>0.43295</x:v>
      </x:c>
    </x:row>
    <x:row r="2890" ht="23" customHeight="1">
      <x:c r="A2890" s="17" t="str">
        <x:v>U02884</x:v>
      </x:c>
      <x:c r="B2890" s="18" t="n">
        <x:v>46274</x:v>
      </x:c>
      <x:c r="C2890" s="17" t="str">
        <x:v>W0226</x:v>
      </x:c>
      <x:c r="D2890" s="17" t="str">
        <x:v>C004</x:v>
      </x:c>
      <x:c r="E2890" s="17" t="str">
        <x:v>CopyStudio</x:v>
      </x:c>
      <x:c r="F2890" s="17" t="str">
        <x:v>Lite</x:v>
      </x:c>
      <x:c r="G2890" s="17" t="n">
        <x:v>32938</x:v>
      </x:c>
      <x:c r="H2890" s="17" t="n">
        <x:v>3684</x:v>
      </x:c>
      <x:c r="I2890" s="17" t="str">
        <x:v>Followup</x:v>
      </x:c>
      <x:c r="J2890" s="27" t="n">
        <x:f>INDEX('Model Pricing'!$B$7:$B$8,MATCH(F2890,'Model Pricing'!$A$7:$A$8,0))</x:f>
        <x:v>10</x:v>
      </x:c>
      <x:c r="K2890" s="27" t="n">
        <x:f>INDEX('Model Pricing'!$C$7:$C$8,MATCH(F2890,'Model Pricing'!$A$7:$A$8,0))</x:f>
        <x:v>30</x:v>
      </x:c>
      <x:c r="L2890" s="17" t="n">
        <x:f>G2890+H2890</x:f>
        <x:v>36622</x:v>
      </x:c>
      <x:c r="M2890" s="28" t="n">
        <x:f>G2890*J2890/1000000</x:f>
        <x:v>0.32938</x:v>
      </x:c>
      <x:c r="N2890" s="28" t="n">
        <x:f>H2890*K2890/1000000</x:f>
        <x:v>0.11052</x:v>
      </x:c>
      <x:c r="O2890" s="28" t="n">
        <x:f>SUM(M2890:N2890)</x:f>
        <x:v>0.4399</x:v>
      </x:c>
    </x:row>
    <x:row r="2891" ht="23" customHeight="1">
      <x:c r="A2891" s="17" t="str">
        <x:v>U02885</x:v>
      </x:c>
      <x:c r="B2891" s="18" t="n">
        <x:v>46274</x:v>
      </x:c>
      <x:c r="C2891" s="17" t="str">
        <x:v>W0226</x:v>
      </x:c>
      <x:c r="D2891" s="17" t="str">
        <x:v>C004</x:v>
      </x:c>
      <x:c r="E2891" s="17" t="str">
        <x:v>CopyStudio</x:v>
      </x:c>
      <x:c r="F2891" s="17" t="str">
        <x:v>Lite</x:v>
      </x:c>
      <x:c r="G2891" s="17" t="n">
        <x:v>19090</x:v>
      </x:c>
      <x:c r="H2891" s="17" t="n">
        <x:v>1844</x:v>
      </x:c>
      <x:c r="I2891" s="17" t="str">
        <x:v>Followup</x:v>
      </x:c>
      <x:c r="J2891" s="27" t="n">
        <x:f>INDEX('Model Pricing'!$B$7:$B$8,MATCH(F2891,'Model Pricing'!$A$7:$A$8,0))</x:f>
        <x:v>10</x:v>
      </x:c>
      <x:c r="K2891" s="27" t="n">
        <x:f>INDEX('Model Pricing'!$C$7:$C$8,MATCH(F2891,'Model Pricing'!$A$7:$A$8,0))</x:f>
        <x:v>30</x:v>
      </x:c>
      <x:c r="L2891" s="17" t="n">
        <x:f>G2891+H2891</x:f>
        <x:v>20934</x:v>
      </x:c>
      <x:c r="M2891" s="28" t="n">
        <x:f>G2891*J2891/1000000</x:f>
        <x:v>0.1909</x:v>
      </x:c>
      <x:c r="N2891" s="28" t="n">
        <x:f>H2891*K2891/1000000</x:f>
        <x:v>0.05532</x:v>
      </x:c>
      <x:c r="O2891" s="28" t="n">
        <x:f>SUM(M2891:N2891)</x:f>
        <x:v>0.24622</x:v>
      </x:c>
    </x:row>
    <x:row r="2892" ht="23" customHeight="1">
      <x:c r="A2892" s="17" t="str">
        <x:v>U02886</x:v>
      </x:c>
      <x:c r="B2892" s="18" t="n">
        <x:v>46274</x:v>
      </x:c>
      <x:c r="C2892" s="17" t="str">
        <x:v>W0226</x:v>
      </x:c>
      <x:c r="D2892" s="17" t="str">
        <x:v>C004</x:v>
      </x:c>
      <x:c r="E2892" s="17" t="str">
        <x:v>CopyStudio</x:v>
      </x:c>
      <x:c r="F2892" s="17" t="str">
        <x:v>Lite</x:v>
      </x:c>
      <x:c r="G2892" s="17" t="n">
        <x:v>17495</x:v>
      </x:c>
      <x:c r="H2892" s="17" t="n">
        <x:v>1596</x:v>
      </x:c>
      <x:c r="I2892" s="17" t="str">
        <x:v>Followup</x:v>
      </x:c>
      <x:c r="J2892" s="27" t="n">
        <x:f>INDEX('Model Pricing'!$B$7:$B$8,MATCH(F2892,'Model Pricing'!$A$7:$A$8,0))</x:f>
        <x:v>10</x:v>
      </x:c>
      <x:c r="K2892" s="27" t="n">
        <x:f>INDEX('Model Pricing'!$C$7:$C$8,MATCH(F2892,'Model Pricing'!$A$7:$A$8,0))</x:f>
        <x:v>30</x:v>
      </x:c>
      <x:c r="L2892" s="17" t="n">
        <x:f>G2892+H2892</x:f>
        <x:v>19091</x:v>
      </x:c>
      <x:c r="M2892" s="28" t="n">
        <x:f>G2892*J2892/1000000</x:f>
        <x:v>0.17495</x:v>
      </x:c>
      <x:c r="N2892" s="28" t="n">
        <x:f>H2892*K2892/1000000</x:f>
        <x:v>0.04788</x:v>
      </x:c>
      <x:c r="O2892" s="28" t="n">
        <x:f>SUM(M2892:N2892)</x:f>
        <x:v>0.22283</x:v>
      </x:c>
    </x:row>
    <x:row r="2893" ht="23" customHeight="1">
      <x:c r="A2893" s="17" t="str">
        <x:v>U02887</x:v>
      </x:c>
      <x:c r="B2893" s="18" t="n">
        <x:v>46274</x:v>
      </x:c>
      <x:c r="C2893" s="17" t="str">
        <x:v>W0226</x:v>
      </x:c>
      <x:c r="D2893" s="17" t="str">
        <x:v>C004</x:v>
      </x:c>
      <x:c r="E2893" s="17" t="str">
        <x:v>CopyStudio</x:v>
      </x:c>
      <x:c r="F2893" s="17" t="str">
        <x:v>Lite</x:v>
      </x:c>
      <x:c r="G2893" s="17" t="n">
        <x:v>30218</x:v>
      </x:c>
      <x:c r="H2893" s="17" t="n">
        <x:v>1076</x:v>
      </x:c>
      <x:c r="I2893" s="17" t="str">
        <x:v>Followup</x:v>
      </x:c>
      <x:c r="J2893" s="27" t="n">
        <x:f>INDEX('Model Pricing'!$B$7:$B$8,MATCH(F2893,'Model Pricing'!$A$7:$A$8,0))</x:f>
        <x:v>10</x:v>
      </x:c>
      <x:c r="K2893" s="27" t="n">
        <x:f>INDEX('Model Pricing'!$C$7:$C$8,MATCH(F2893,'Model Pricing'!$A$7:$A$8,0))</x:f>
        <x:v>30</x:v>
      </x:c>
      <x:c r="L2893" s="17" t="n">
        <x:f>G2893+H2893</x:f>
        <x:v>31294</x:v>
      </x:c>
      <x:c r="M2893" s="28" t="n">
        <x:f>G2893*J2893/1000000</x:f>
        <x:v>0.30218</x:v>
      </x:c>
      <x:c r="N2893" s="28" t="n">
        <x:f>H2893*K2893/1000000</x:f>
        <x:v>0.03228</x:v>
      </x:c>
      <x:c r="O2893" s="28" t="n">
        <x:f>SUM(M2893:N2893)</x:f>
        <x:v>0.33446</x:v>
      </x:c>
    </x:row>
    <x:row r="2894" ht="23" customHeight="1">
      <x:c r="A2894" s="17" t="str">
        <x:v>U02888</x:v>
      </x:c>
      <x:c r="B2894" s="18" t="n">
        <x:v>46275</x:v>
      </x:c>
      <x:c r="C2894" s="17" t="str">
        <x:v>W0226</x:v>
      </x:c>
      <x:c r="D2894" s="17" t="str">
        <x:v>C004</x:v>
      </x:c>
      <x:c r="E2894" s="17" t="str">
        <x:v>CopyStudio</x:v>
      </x:c>
      <x:c r="F2894" s="17" t="str">
        <x:v>Lite</x:v>
      </x:c>
      <x:c r="G2894" s="17" t="n">
        <x:v>32092</x:v>
      </x:c>
      <x:c r="H2894" s="17" t="n">
        <x:v>3556</x:v>
      </x:c>
      <x:c r="I2894" s="17" t="str">
        <x:v>Followup</x:v>
      </x:c>
      <x:c r="J2894" s="27" t="n">
        <x:f>INDEX('Model Pricing'!$B$7:$B$8,MATCH(F2894,'Model Pricing'!$A$7:$A$8,0))</x:f>
        <x:v>10</x:v>
      </x:c>
      <x:c r="K2894" s="27" t="n">
        <x:f>INDEX('Model Pricing'!$C$7:$C$8,MATCH(F2894,'Model Pricing'!$A$7:$A$8,0))</x:f>
        <x:v>30</x:v>
      </x:c>
      <x:c r="L2894" s="17" t="n">
        <x:f>G2894+H2894</x:f>
        <x:v>35648</x:v>
      </x:c>
      <x:c r="M2894" s="28" t="n">
        <x:f>G2894*J2894/1000000</x:f>
        <x:v>0.32092</x:v>
      </x:c>
      <x:c r="N2894" s="28" t="n">
        <x:f>H2894*K2894/1000000</x:f>
        <x:v>0.10668</x:v>
      </x:c>
      <x:c r="O2894" s="28" t="n">
        <x:f>SUM(M2894:N2894)</x:f>
        <x:v>0.4276</x:v>
      </x:c>
    </x:row>
    <x:row r="2895" ht="23" customHeight="1">
      <x:c r="A2895" s="17" t="str">
        <x:v>U02889</x:v>
      </x:c>
      <x:c r="B2895" s="18" t="n">
        <x:v>46275</x:v>
      </x:c>
      <x:c r="C2895" s="17" t="str">
        <x:v>W0226</x:v>
      </x:c>
      <x:c r="D2895" s="17" t="str">
        <x:v>C004</x:v>
      </x:c>
      <x:c r="E2895" s="17" t="str">
        <x:v>CopyStudio</x:v>
      </x:c>
      <x:c r="F2895" s="17" t="str">
        <x:v>Lite</x:v>
      </x:c>
      <x:c r="G2895" s="17" t="n">
        <x:v>35055</x:v>
      </x:c>
      <x:c r="H2895" s="17" t="n">
        <x:v>3628</x:v>
      </x:c>
      <x:c r="I2895" s="17" t="str">
        <x:v>Followup</x:v>
      </x:c>
      <x:c r="J2895" s="27" t="n">
        <x:f>INDEX('Model Pricing'!$B$7:$B$8,MATCH(F2895,'Model Pricing'!$A$7:$A$8,0))</x:f>
        <x:v>10</x:v>
      </x:c>
      <x:c r="K2895" s="27" t="n">
        <x:f>INDEX('Model Pricing'!$C$7:$C$8,MATCH(F2895,'Model Pricing'!$A$7:$A$8,0))</x:f>
        <x:v>30</x:v>
      </x:c>
      <x:c r="L2895" s="17" t="n">
        <x:f>G2895+H2895</x:f>
        <x:v>38683</x:v>
      </x:c>
      <x:c r="M2895" s="28" t="n">
        <x:f>G2895*J2895/1000000</x:f>
        <x:v>0.35055</x:v>
      </x:c>
      <x:c r="N2895" s="28" t="n">
        <x:f>H2895*K2895/1000000</x:f>
        <x:v>0.10884</x:v>
      </x:c>
      <x:c r="O2895" s="28" t="n">
        <x:f>SUM(M2895:N2895)</x:f>
        <x:v>0.45938999999999997</x:v>
      </x:c>
    </x:row>
    <x:row r="2896" ht="23" customHeight="1">
      <x:c r="A2896" s="17" t="str">
        <x:v>U02890</x:v>
      </x:c>
      <x:c r="B2896" s="18" t="n">
        <x:v>46275</x:v>
      </x:c>
      <x:c r="C2896" s="17" t="str">
        <x:v>W0226</x:v>
      </x:c>
      <x:c r="D2896" s="17" t="str">
        <x:v>C004</x:v>
      </x:c>
      <x:c r="E2896" s="17" t="str">
        <x:v>CopyStudio</x:v>
      </x:c>
      <x:c r="F2896" s="17" t="str">
        <x:v>Lite</x:v>
      </x:c>
      <x:c r="G2896" s="17" t="n">
        <x:v>27500</x:v>
      </x:c>
      <x:c r="H2896" s="17" t="n">
        <x:v>1145</x:v>
      </x:c>
      <x:c r="I2896" s="17" t="str">
        <x:v>Followup</x:v>
      </x:c>
      <x:c r="J2896" s="27" t="n">
        <x:f>INDEX('Model Pricing'!$B$7:$B$8,MATCH(F2896,'Model Pricing'!$A$7:$A$8,0))</x:f>
        <x:v>10</x:v>
      </x:c>
      <x:c r="K2896" s="27" t="n">
        <x:f>INDEX('Model Pricing'!$C$7:$C$8,MATCH(F2896,'Model Pricing'!$A$7:$A$8,0))</x:f>
        <x:v>30</x:v>
      </x:c>
      <x:c r="L2896" s="17" t="n">
        <x:f>G2896+H2896</x:f>
        <x:v>28645</x:v>
      </x:c>
      <x:c r="M2896" s="28" t="n">
        <x:f>G2896*J2896/1000000</x:f>
        <x:v>0.275</x:v>
      </x:c>
      <x:c r="N2896" s="28" t="n">
        <x:f>H2896*K2896/1000000</x:f>
        <x:v>0.03435</x:v>
      </x:c>
      <x:c r="O2896" s="28" t="n">
        <x:f>SUM(M2896:N2896)</x:f>
        <x:v>0.30935</x:v>
      </x:c>
    </x:row>
    <x:row r="2897" ht="23" customHeight="1">
      <x:c r="A2897" s="17" t="str">
        <x:v>U02891</x:v>
      </x:c>
      <x:c r="B2897" s="18" t="n">
        <x:v>46275</x:v>
      </x:c>
      <x:c r="C2897" s="17" t="str">
        <x:v>W0226</x:v>
      </x:c>
      <x:c r="D2897" s="17" t="str">
        <x:v>C004</x:v>
      </x:c>
      <x:c r="E2897" s="17" t="str">
        <x:v>CopyStudio</x:v>
      </x:c>
      <x:c r="F2897" s="17" t="str">
        <x:v>Lite</x:v>
      </x:c>
      <x:c r="G2897" s="17" t="n">
        <x:v>20603</x:v>
      </x:c>
      <x:c r="H2897" s="17" t="n">
        <x:v>2594</x:v>
      </x:c>
      <x:c r="I2897" s="17" t="str">
        <x:v>Followup</x:v>
      </x:c>
      <x:c r="J2897" s="27" t="n">
        <x:f>INDEX('Model Pricing'!$B$7:$B$8,MATCH(F2897,'Model Pricing'!$A$7:$A$8,0))</x:f>
        <x:v>10</x:v>
      </x:c>
      <x:c r="K2897" s="27" t="n">
        <x:f>INDEX('Model Pricing'!$C$7:$C$8,MATCH(F2897,'Model Pricing'!$A$7:$A$8,0))</x:f>
        <x:v>30</x:v>
      </x:c>
      <x:c r="L2897" s="17" t="n">
        <x:f>G2897+H2897</x:f>
        <x:v>23197</x:v>
      </x:c>
      <x:c r="M2897" s="28" t="n">
        <x:f>G2897*J2897/1000000</x:f>
        <x:v>0.20603</x:v>
      </x:c>
      <x:c r="N2897" s="28" t="n">
        <x:f>H2897*K2897/1000000</x:f>
        <x:v>0.07782</x:v>
      </x:c>
      <x:c r="O2897" s="28" t="n">
        <x:f>SUM(M2897:N2897)</x:f>
        <x:v>0.28385</x:v>
      </x:c>
    </x:row>
    <x:row r="2898" ht="23" customHeight="1">
      <x:c r="A2898" s="17" t="str">
        <x:v>U02892</x:v>
      </x:c>
      <x:c r="B2898" s="18" t="n">
        <x:v>46290</x:v>
      </x:c>
      <x:c r="C2898" s="17" t="str">
        <x:v>W0228</x:v>
      </x:c>
      <x:c r="D2898" s="17" t="str">
        <x:v>C004</x:v>
      </x:c>
      <x:c r="E2898" s="17" t="str">
        <x:v>CampaignChat</x:v>
      </x:c>
      <x:c r="F2898" s="17" t="str">
        <x:v>Lite</x:v>
      </x:c>
      <x:c r="G2898" s="17" t="n">
        <x:v>20379</x:v>
      </x:c>
      <x:c r="H2898" s="17" t="n">
        <x:v>3989</x:v>
      </x:c>
      <x:c r="I2898" s="17" t="str">
        <x:v>First attempt</x:v>
      </x:c>
      <x:c r="J2898" s="27" t="n">
        <x:f>INDEX('Model Pricing'!$B$7:$B$8,MATCH(F2898,'Model Pricing'!$A$7:$A$8,0))</x:f>
        <x:v>10</x:v>
      </x:c>
      <x:c r="K2898" s="27" t="n">
        <x:f>INDEX('Model Pricing'!$C$7:$C$8,MATCH(F2898,'Model Pricing'!$A$7:$A$8,0))</x:f>
        <x:v>30</x:v>
      </x:c>
      <x:c r="L2898" s="17" t="n">
        <x:f>G2898+H2898</x:f>
        <x:v>24368</x:v>
      </x:c>
      <x:c r="M2898" s="28" t="n">
        <x:f>G2898*J2898/1000000</x:f>
        <x:v>0.20379</x:v>
      </x:c>
      <x:c r="N2898" s="28" t="n">
        <x:f>H2898*K2898/1000000</x:f>
        <x:v>0.11967</x:v>
      </x:c>
      <x:c r="O2898" s="28" t="n">
        <x:f>SUM(M2898:N2898)</x:f>
        <x:v>0.32345999999999997</x:v>
      </x:c>
    </x:row>
    <x:row r="2899" ht="23" customHeight="1">
      <x:c r="A2899" s="17" t="str">
        <x:v>U02893</x:v>
      </x:c>
      <x:c r="B2899" s="18" t="n">
        <x:v>46290</x:v>
      </x:c>
      <x:c r="C2899" s="17" t="str">
        <x:v>W0228</x:v>
      </x:c>
      <x:c r="D2899" s="17" t="str">
        <x:v>C004</x:v>
      </x:c>
      <x:c r="E2899" s="17" t="str">
        <x:v>CampaignChat</x:v>
      </x:c>
      <x:c r="F2899" s="17" t="str">
        <x:v>Lite</x:v>
      </x:c>
      <x:c r="G2899" s="17" t="n">
        <x:v>26302</x:v>
      </x:c>
      <x:c r="H2899" s="17" t="n">
        <x:v>3014</x:v>
      </x:c>
      <x:c r="I2899" s="17" t="str">
        <x:v>Followup</x:v>
      </x:c>
      <x:c r="J2899" s="27" t="n">
        <x:f>INDEX('Model Pricing'!$B$7:$B$8,MATCH(F2899,'Model Pricing'!$A$7:$A$8,0))</x:f>
        <x:v>10</x:v>
      </x:c>
      <x:c r="K2899" s="27" t="n">
        <x:f>INDEX('Model Pricing'!$C$7:$C$8,MATCH(F2899,'Model Pricing'!$A$7:$A$8,0))</x:f>
        <x:v>30</x:v>
      </x:c>
      <x:c r="L2899" s="17" t="n">
        <x:f>G2899+H2899</x:f>
        <x:v>29316</x:v>
      </x:c>
      <x:c r="M2899" s="28" t="n">
        <x:f>G2899*J2899/1000000</x:f>
        <x:v>0.26302</x:v>
      </x:c>
      <x:c r="N2899" s="28" t="n">
        <x:f>H2899*K2899/1000000</x:f>
        <x:v>0.09042</x:v>
      </x:c>
      <x:c r="O2899" s="28" t="n">
        <x:f>SUM(M2899:N2899)</x:f>
        <x:v>0.35344</x:v>
      </x:c>
    </x:row>
    <x:row r="2900" ht="23" customHeight="1">
      <x:c r="A2900" s="17" t="str">
        <x:v>U02894</x:v>
      </x:c>
      <x:c r="B2900" s="18" t="n">
        <x:v>46290</x:v>
      </x:c>
      <x:c r="C2900" s="17" t="str">
        <x:v>W0228</x:v>
      </x:c>
      <x:c r="D2900" s="17" t="str">
        <x:v>C004</x:v>
      </x:c>
      <x:c r="E2900" s="17" t="str">
        <x:v>CampaignChat</x:v>
      </x:c>
      <x:c r="F2900" s="17" t="str">
        <x:v>Lite</x:v>
      </x:c>
      <x:c r="G2900" s="17" t="n">
        <x:v>16585</x:v>
      </x:c>
      <x:c r="H2900" s="17" t="n">
        <x:v>4158</x:v>
      </x:c>
      <x:c r="I2900" s="17" t="str">
        <x:v>Correction</x:v>
      </x:c>
      <x:c r="J2900" s="27" t="n">
        <x:f>INDEX('Model Pricing'!$B$7:$B$8,MATCH(F2900,'Model Pricing'!$A$7:$A$8,0))</x:f>
        <x:v>10</x:v>
      </x:c>
      <x:c r="K2900" s="27" t="n">
        <x:f>INDEX('Model Pricing'!$C$7:$C$8,MATCH(F2900,'Model Pricing'!$A$7:$A$8,0))</x:f>
        <x:v>30</x:v>
      </x:c>
      <x:c r="L2900" s="17" t="n">
        <x:f>G2900+H2900</x:f>
        <x:v>20743</x:v>
      </x:c>
      <x:c r="M2900" s="28" t="n">
        <x:f>G2900*J2900/1000000</x:f>
        <x:v>0.16585</x:v>
      </x:c>
      <x:c r="N2900" s="28" t="n">
        <x:f>H2900*K2900/1000000</x:f>
        <x:v>0.12474</x:v>
      </x:c>
      <x:c r="O2900" s="28" t="n">
        <x:f>SUM(M2900:N2900)</x:f>
        <x:v>0.29059</x:v>
      </x:c>
    </x:row>
    <x:row r="2901" ht="23" customHeight="1">
      <x:c r="A2901" s="17" t="str">
        <x:v>U02895</x:v>
      </x:c>
      <x:c r="B2901" s="18" t="n">
        <x:v>46290</x:v>
      </x:c>
      <x:c r="C2901" s="17" t="str">
        <x:v>W0228</x:v>
      </x:c>
      <x:c r="D2901" s="17" t="str">
        <x:v>C004</x:v>
      </x:c>
      <x:c r="E2901" s="17" t="str">
        <x:v>CampaignChat</x:v>
      </x:c>
      <x:c r="F2901" s="17" t="str">
        <x:v>Lite</x:v>
      </x:c>
      <x:c r="G2901" s="17" t="n">
        <x:v>23515</x:v>
      </x:c>
      <x:c r="H2901" s="17" t="n">
        <x:v>1879</x:v>
      </x:c>
      <x:c r="I2901" s="17" t="str">
        <x:v>Followup</x:v>
      </x:c>
      <x:c r="J2901" s="27" t="n">
        <x:f>INDEX('Model Pricing'!$B$7:$B$8,MATCH(F2901,'Model Pricing'!$A$7:$A$8,0))</x:f>
        <x:v>10</x:v>
      </x:c>
      <x:c r="K2901" s="27" t="n">
        <x:f>INDEX('Model Pricing'!$C$7:$C$8,MATCH(F2901,'Model Pricing'!$A$7:$A$8,0))</x:f>
        <x:v>30</x:v>
      </x:c>
      <x:c r="L2901" s="17" t="n">
        <x:f>G2901+H2901</x:f>
        <x:v>25394</x:v>
      </x:c>
      <x:c r="M2901" s="28" t="n">
        <x:f>G2901*J2901/1000000</x:f>
        <x:v>0.23515</x:v>
      </x:c>
      <x:c r="N2901" s="28" t="n">
        <x:f>H2901*K2901/1000000</x:f>
        <x:v>0.05637</x:v>
      </x:c>
      <x:c r="O2901" s="28" t="n">
        <x:f>SUM(M2901:N2901)</x:f>
        <x:v>0.29152</x:v>
      </x:c>
    </x:row>
    <x:row r="2902" ht="23" customHeight="1">
      <x:c r="A2902" s="17" t="str">
        <x:v>U02896</x:v>
      </x:c>
      <x:c r="B2902" s="18" t="n">
        <x:v>46293</x:v>
      </x:c>
      <x:c r="C2902" s="17" t="str">
        <x:v>W0228</x:v>
      </x:c>
      <x:c r="D2902" s="17" t="str">
        <x:v>C004</x:v>
      </x:c>
      <x:c r="E2902" s="17" t="str">
        <x:v>CampaignChat</x:v>
      </x:c>
      <x:c r="F2902" s="17" t="str">
        <x:v>Lite</x:v>
      </x:c>
      <x:c r="G2902" s="17" t="n">
        <x:v>25455</x:v>
      </x:c>
      <x:c r="H2902" s="17" t="n">
        <x:v>1200</x:v>
      </x:c>
      <x:c r="I2902" s="17" t="str">
        <x:v>Followup</x:v>
      </x:c>
      <x:c r="J2902" s="27" t="n">
        <x:f>INDEX('Model Pricing'!$B$7:$B$8,MATCH(F2902,'Model Pricing'!$A$7:$A$8,0))</x:f>
        <x:v>10</x:v>
      </x:c>
      <x:c r="K2902" s="27" t="n">
        <x:f>INDEX('Model Pricing'!$C$7:$C$8,MATCH(F2902,'Model Pricing'!$A$7:$A$8,0))</x:f>
        <x:v>30</x:v>
      </x:c>
      <x:c r="L2902" s="17" t="n">
        <x:f>G2902+H2902</x:f>
        <x:v>26655</x:v>
      </x:c>
      <x:c r="M2902" s="28" t="n">
        <x:f>G2902*J2902/1000000</x:f>
        <x:v>0.25455</x:v>
      </x:c>
      <x:c r="N2902" s="28" t="n">
        <x:f>H2902*K2902/1000000</x:f>
        <x:v>0.036</x:v>
      </x:c>
      <x:c r="O2902" s="28" t="n">
        <x:f>SUM(M2902:N2902)</x:f>
        <x:v>0.29055</x:v>
      </x:c>
    </x:row>
    <x:row r="2903" ht="23" customHeight="1">
      <x:c r="A2903" s="17" t="str">
        <x:v>U02897</x:v>
      </x:c>
      <x:c r="B2903" s="18" t="n">
        <x:v>46293</x:v>
      </x:c>
      <x:c r="C2903" s="17" t="str">
        <x:v>W0228</x:v>
      </x:c>
      <x:c r="D2903" s="17" t="str">
        <x:v>C004</x:v>
      </x:c>
      <x:c r="E2903" s="17" t="str">
        <x:v>CampaignChat</x:v>
      </x:c>
      <x:c r="F2903" s="17" t="str">
        <x:v>Lite</x:v>
      </x:c>
      <x:c r="G2903" s="17" t="n">
        <x:v>27487</x:v>
      </x:c>
      <x:c r="H2903" s="17" t="n">
        <x:v>3189</x:v>
      </x:c>
      <x:c r="I2903" s="17" t="str">
        <x:v>Followup</x:v>
      </x:c>
      <x:c r="J2903" s="27" t="n">
        <x:f>INDEX('Model Pricing'!$B$7:$B$8,MATCH(F2903,'Model Pricing'!$A$7:$A$8,0))</x:f>
        <x:v>10</x:v>
      </x:c>
      <x:c r="K2903" s="27" t="n">
        <x:f>INDEX('Model Pricing'!$C$7:$C$8,MATCH(F2903,'Model Pricing'!$A$7:$A$8,0))</x:f>
        <x:v>30</x:v>
      </x:c>
      <x:c r="L2903" s="17" t="n">
        <x:f>G2903+H2903</x:f>
        <x:v>30676</x:v>
      </x:c>
      <x:c r="M2903" s="28" t="n">
        <x:f>G2903*J2903/1000000</x:f>
        <x:v>0.27487</x:v>
      </x:c>
      <x:c r="N2903" s="28" t="n">
        <x:f>H2903*K2903/1000000</x:f>
        <x:v>0.09567</x:v>
      </x:c>
      <x:c r="O2903" s="28" t="n">
        <x:f>SUM(M2903:N2903)</x:f>
        <x:v>0.37054</x:v>
      </x:c>
    </x:row>
    <x:row r="2904" ht="23" customHeight="1">
      <x:c r="A2904" s="17" t="str">
        <x:v>U02898</x:v>
      </x:c>
      <x:c r="B2904" s="18" t="n">
        <x:v>46293</x:v>
      </x:c>
      <x:c r="C2904" s="17" t="str">
        <x:v>W0228</x:v>
      </x:c>
      <x:c r="D2904" s="17" t="str">
        <x:v>C004</x:v>
      </x:c>
      <x:c r="E2904" s="17" t="str">
        <x:v>CampaignChat</x:v>
      </x:c>
      <x:c r="F2904" s="17" t="str">
        <x:v>Lite</x:v>
      </x:c>
      <x:c r="G2904" s="17" t="n">
        <x:v>28003</x:v>
      </x:c>
      <x:c r="H2904" s="17" t="n">
        <x:v>4336</x:v>
      </x:c>
      <x:c r="I2904" s="17" t="str">
        <x:v>Followup</x:v>
      </x:c>
      <x:c r="J2904" s="27" t="n">
        <x:f>INDEX('Model Pricing'!$B$7:$B$8,MATCH(F2904,'Model Pricing'!$A$7:$A$8,0))</x:f>
        <x:v>10</x:v>
      </x:c>
      <x:c r="K2904" s="27" t="n">
        <x:f>INDEX('Model Pricing'!$C$7:$C$8,MATCH(F2904,'Model Pricing'!$A$7:$A$8,0))</x:f>
        <x:v>30</x:v>
      </x:c>
      <x:c r="L2904" s="17" t="n">
        <x:f>G2904+H2904</x:f>
        <x:v>32339</x:v>
      </x:c>
      <x:c r="M2904" s="28" t="n">
        <x:f>G2904*J2904/1000000</x:f>
        <x:v>0.28003</x:v>
      </x:c>
      <x:c r="N2904" s="28" t="n">
        <x:f>H2904*K2904/1000000</x:f>
        <x:v>0.13008</x:v>
      </x:c>
      <x:c r="O2904" s="28" t="n">
        <x:f>SUM(M2904:N2904)</x:f>
        <x:v>0.41011</x:v>
      </x:c>
    </x:row>
    <x:row r="2905" ht="23" customHeight="1">
      <x:c r="A2905" s="17" t="str">
        <x:v>U02899</x:v>
      </x:c>
      <x:c r="B2905" s="18" t="n">
        <x:v>46294</x:v>
      </x:c>
      <x:c r="C2905" s="17" t="str">
        <x:v>W0228</x:v>
      </x:c>
      <x:c r="D2905" s="17" t="str">
        <x:v>C004</x:v>
      </x:c>
      <x:c r="E2905" s="17" t="str">
        <x:v>CampaignChat</x:v>
      </x:c>
      <x:c r="F2905" s="17" t="str">
        <x:v>Lite</x:v>
      </x:c>
      <x:c r="G2905" s="17" t="n">
        <x:v>26052</x:v>
      </x:c>
      <x:c r="H2905" s="17" t="n">
        <x:v>3023</x:v>
      </x:c>
      <x:c r="I2905" s="17" t="str">
        <x:v>Correction</x:v>
      </x:c>
      <x:c r="J2905" s="27" t="n">
        <x:f>INDEX('Model Pricing'!$B$7:$B$8,MATCH(F2905,'Model Pricing'!$A$7:$A$8,0))</x:f>
        <x:v>10</x:v>
      </x:c>
      <x:c r="K2905" s="27" t="n">
        <x:f>INDEX('Model Pricing'!$C$7:$C$8,MATCH(F2905,'Model Pricing'!$A$7:$A$8,0))</x:f>
        <x:v>30</x:v>
      </x:c>
      <x:c r="L2905" s="17" t="n">
        <x:f>G2905+H2905</x:f>
        <x:v>29075</x:v>
      </x:c>
      <x:c r="M2905" s="28" t="n">
        <x:f>G2905*J2905/1000000</x:f>
        <x:v>0.26052</x:v>
      </x:c>
      <x:c r="N2905" s="28" t="n">
        <x:f>H2905*K2905/1000000</x:f>
        <x:v>0.09069</x:v>
      </x:c>
      <x:c r="O2905" s="28" t="n">
        <x:f>SUM(M2905:N2905)</x:f>
        <x:v>0.35120999999999997</x:v>
      </x:c>
    </x:row>
    <x:row r="2906" ht="23" customHeight="1">
      <x:c r="A2906" s="17" t="str">
        <x:v>U02900</x:v>
      </x:c>
      <x:c r="B2906" s="18" t="n">
        <x:v>46294</x:v>
      </x:c>
      <x:c r="C2906" s="17" t="str">
        <x:v>W0228</x:v>
      </x:c>
      <x:c r="D2906" s="17" t="str">
        <x:v>C004</x:v>
      </x:c>
      <x:c r="E2906" s="17" t="str">
        <x:v>CampaignChat</x:v>
      </x:c>
      <x:c r="F2906" s="17" t="str">
        <x:v>Lite</x:v>
      </x:c>
      <x:c r="G2906" s="17" t="n">
        <x:v>21112</x:v>
      </x:c>
      <x:c r="H2906" s="17" t="n">
        <x:v>2414</x:v>
      </x:c>
      <x:c r="I2906" s="17" t="str">
        <x:v>Correction</x:v>
      </x:c>
      <x:c r="J2906" s="27" t="n">
        <x:f>INDEX('Model Pricing'!$B$7:$B$8,MATCH(F2906,'Model Pricing'!$A$7:$A$8,0))</x:f>
        <x:v>10</x:v>
      </x:c>
      <x:c r="K2906" s="27" t="n">
        <x:f>INDEX('Model Pricing'!$C$7:$C$8,MATCH(F2906,'Model Pricing'!$A$7:$A$8,0))</x:f>
        <x:v>30</x:v>
      </x:c>
      <x:c r="L2906" s="17" t="n">
        <x:f>G2906+H2906</x:f>
        <x:v>23526</x:v>
      </x:c>
      <x:c r="M2906" s="28" t="n">
        <x:f>G2906*J2906/1000000</x:f>
        <x:v>0.21112</x:v>
      </x:c>
      <x:c r="N2906" s="28" t="n">
        <x:f>H2906*K2906/1000000</x:f>
        <x:v>0.07242</x:v>
      </x:c>
      <x:c r="O2906" s="28" t="n">
        <x:f>SUM(M2906:N2906)</x:f>
        <x:v>0.28354</x:v>
      </x:c>
    </x:row>
    <x:row r="2907" ht="23" customHeight="1">
      <x:c r="A2907" s="17" t="str">
        <x:v>U02901</x:v>
      </x:c>
      <x:c r="B2907" s="18" t="n">
        <x:v>46294</x:v>
      </x:c>
      <x:c r="C2907" s="17" t="str">
        <x:v>W0228</x:v>
      </x:c>
      <x:c r="D2907" s="17" t="str">
        <x:v>C004</x:v>
      </x:c>
      <x:c r="E2907" s="17" t="str">
        <x:v>CampaignChat</x:v>
      </x:c>
      <x:c r="F2907" s="17" t="str">
        <x:v>Lite</x:v>
      </x:c>
      <x:c r="G2907" s="17" t="n">
        <x:v>31627</x:v>
      </x:c>
      <x:c r="H2907" s="17" t="n">
        <x:v>2810</x:v>
      </x:c>
      <x:c r="I2907" s="17" t="str">
        <x:v>Followup</x:v>
      </x:c>
      <x:c r="J2907" s="27" t="n">
        <x:f>INDEX('Model Pricing'!$B$7:$B$8,MATCH(F2907,'Model Pricing'!$A$7:$A$8,0))</x:f>
        <x:v>10</x:v>
      </x:c>
      <x:c r="K2907" s="27" t="n">
        <x:f>INDEX('Model Pricing'!$C$7:$C$8,MATCH(F2907,'Model Pricing'!$A$7:$A$8,0))</x:f>
        <x:v>30</x:v>
      </x:c>
      <x:c r="L2907" s="17" t="n">
        <x:f>G2907+H2907</x:f>
        <x:v>34437</x:v>
      </x:c>
      <x:c r="M2907" s="28" t="n">
        <x:f>G2907*J2907/1000000</x:f>
        <x:v>0.31627</x:v>
      </x:c>
      <x:c r="N2907" s="28" t="n">
        <x:f>H2907*K2907/1000000</x:f>
        <x:v>0.0843</x:v>
      </x:c>
      <x:c r="O2907" s="28" t="n">
        <x:f>SUM(M2907:N2907)</x:f>
        <x:v>0.40057</x:v>
      </x:c>
    </x:row>
    <x:row r="2908" ht="23" customHeight="1">
      <x:c r="A2908" s="17" t="str">
        <x:v>U02902</x:v>
      </x:c>
      <x:c r="B2908" s="18" t="n">
        <x:v>46294</x:v>
      </x:c>
      <x:c r="C2908" s="17" t="str">
        <x:v>W0228</x:v>
      </x:c>
      <x:c r="D2908" s="17" t="str">
        <x:v>C004</x:v>
      </x:c>
      <x:c r="E2908" s="17" t="str">
        <x:v>CampaignChat</x:v>
      </x:c>
      <x:c r="F2908" s="17" t="str">
        <x:v>Lite</x:v>
      </x:c>
      <x:c r="G2908" s="17" t="n">
        <x:v>21694</x:v>
      </x:c>
      <x:c r="H2908" s="17" t="n">
        <x:v>4095</x:v>
      </x:c>
      <x:c r="I2908" s="17" t="str">
        <x:v>Followup</x:v>
      </x:c>
      <x:c r="J2908" s="27" t="n">
        <x:f>INDEX('Model Pricing'!$B$7:$B$8,MATCH(F2908,'Model Pricing'!$A$7:$A$8,0))</x:f>
        <x:v>10</x:v>
      </x:c>
      <x:c r="K2908" s="27" t="n">
        <x:f>INDEX('Model Pricing'!$C$7:$C$8,MATCH(F2908,'Model Pricing'!$A$7:$A$8,0))</x:f>
        <x:v>30</x:v>
      </x:c>
      <x:c r="L2908" s="17" t="n">
        <x:f>G2908+H2908</x:f>
        <x:v>25789</x:v>
      </x:c>
      <x:c r="M2908" s="28" t="n">
        <x:f>G2908*J2908/1000000</x:f>
        <x:v>0.21694</x:v>
      </x:c>
      <x:c r="N2908" s="28" t="n">
        <x:f>H2908*K2908/1000000</x:f>
        <x:v>0.12285</x:v>
      </x:c>
      <x:c r="O2908" s="28" t="n">
        <x:f>SUM(M2908:N2908)</x:f>
        <x:v>0.33979</x:v>
      </x:c>
    </x:row>
    <x:row r="2909" ht="23" customHeight="1">
      <x:c r="A2909" s="17" t="str">
        <x:v>U02903</x:v>
      </x:c>
      <x:c r="B2909" s="18" t="n">
        <x:v>46295</x:v>
      </x:c>
      <x:c r="C2909" s="17" t="str">
        <x:v>W0228</x:v>
      </x:c>
      <x:c r="D2909" s="17" t="str">
        <x:v>C004</x:v>
      </x:c>
      <x:c r="E2909" s="17" t="str">
        <x:v>CampaignChat</x:v>
      </x:c>
      <x:c r="F2909" s="17" t="str">
        <x:v>Lite</x:v>
      </x:c>
      <x:c r="G2909" s="17" t="n">
        <x:v>19002</x:v>
      </x:c>
      <x:c r="H2909" s="17" t="n">
        <x:v>4006</x:v>
      </x:c>
      <x:c r="I2909" s="17" t="str">
        <x:v>Followup</x:v>
      </x:c>
      <x:c r="J2909" s="27" t="n">
        <x:f>INDEX('Model Pricing'!$B$7:$B$8,MATCH(F2909,'Model Pricing'!$A$7:$A$8,0))</x:f>
        <x:v>10</x:v>
      </x:c>
      <x:c r="K2909" s="27" t="n">
        <x:f>INDEX('Model Pricing'!$C$7:$C$8,MATCH(F2909,'Model Pricing'!$A$7:$A$8,0))</x:f>
        <x:v>30</x:v>
      </x:c>
      <x:c r="L2909" s="17" t="n">
        <x:f>G2909+H2909</x:f>
        <x:v>23008</x:v>
      </x:c>
      <x:c r="M2909" s="28" t="n">
        <x:f>G2909*J2909/1000000</x:f>
        <x:v>0.19002</x:v>
      </x:c>
      <x:c r="N2909" s="28" t="n">
        <x:f>H2909*K2909/1000000</x:f>
        <x:v>0.12018</x:v>
      </x:c>
      <x:c r="O2909" s="28" t="n">
        <x:f>SUM(M2909:N2909)</x:f>
        <x:v>0.3102</x:v>
      </x:c>
    </x:row>
    <x:row r="2910" ht="23" customHeight="1">
      <x:c r="A2910" s="17" t="str">
        <x:v>U02904</x:v>
      </x:c>
      <x:c r="B2910" s="18" t="n">
        <x:v>46295</x:v>
      </x:c>
      <x:c r="C2910" s="17" t="str">
        <x:v>W0228</x:v>
      </x:c>
      <x:c r="D2910" s="17" t="str">
        <x:v>C004</x:v>
      </x:c>
      <x:c r="E2910" s="17" t="str">
        <x:v>CampaignChat</x:v>
      </x:c>
      <x:c r="F2910" s="17" t="str">
        <x:v>Lite</x:v>
      </x:c>
      <x:c r="G2910" s="17" t="n">
        <x:v>23027</x:v>
      </x:c>
      <x:c r="H2910" s="17" t="n">
        <x:v>2175</x:v>
      </x:c>
      <x:c r="I2910" s="17" t="str">
        <x:v>Correction</x:v>
      </x:c>
      <x:c r="J2910" s="27" t="n">
        <x:f>INDEX('Model Pricing'!$B$7:$B$8,MATCH(F2910,'Model Pricing'!$A$7:$A$8,0))</x:f>
        <x:v>10</x:v>
      </x:c>
      <x:c r="K2910" s="27" t="n">
        <x:f>INDEX('Model Pricing'!$C$7:$C$8,MATCH(F2910,'Model Pricing'!$A$7:$A$8,0))</x:f>
        <x:v>30</x:v>
      </x:c>
      <x:c r="L2910" s="17" t="n">
        <x:f>G2910+H2910</x:f>
        <x:v>25202</x:v>
      </x:c>
      <x:c r="M2910" s="28" t="n">
        <x:f>G2910*J2910/1000000</x:f>
        <x:v>0.23027</x:v>
      </x:c>
      <x:c r="N2910" s="28" t="n">
        <x:f>H2910*K2910/1000000</x:f>
        <x:v>0.06525</x:v>
      </x:c>
      <x:c r="O2910" s="28" t="n">
        <x:f>SUM(M2910:N2910)</x:f>
        <x:v>0.29552</x:v>
      </x:c>
    </x:row>
    <x:row r="2911" ht="23" customHeight="1">
      <x:c r="A2911" s="17" t="str">
        <x:v>U02905</x:v>
      </x:c>
      <x:c r="B2911" s="18" t="n">
        <x:v>46295</x:v>
      </x:c>
      <x:c r="C2911" s="17" t="str">
        <x:v>W0228</x:v>
      </x:c>
      <x:c r="D2911" s="17" t="str">
        <x:v>C004</x:v>
      </x:c>
      <x:c r="E2911" s="17" t="str">
        <x:v>CampaignChat</x:v>
      </x:c>
      <x:c r="F2911" s="17" t="str">
        <x:v>Lite</x:v>
      </x:c>
      <x:c r="G2911" s="17" t="n">
        <x:v>13823</x:v>
      </x:c>
      <x:c r="H2911" s="17" t="n">
        <x:v>3290</x:v>
      </x:c>
      <x:c r="I2911" s="17" t="str">
        <x:v>Followup</x:v>
      </x:c>
      <x:c r="J2911" s="27" t="n">
        <x:f>INDEX('Model Pricing'!$B$7:$B$8,MATCH(F2911,'Model Pricing'!$A$7:$A$8,0))</x:f>
        <x:v>10</x:v>
      </x:c>
      <x:c r="K2911" s="27" t="n">
        <x:f>INDEX('Model Pricing'!$C$7:$C$8,MATCH(F2911,'Model Pricing'!$A$7:$A$8,0))</x:f>
        <x:v>30</x:v>
      </x:c>
      <x:c r="L2911" s="17" t="n">
        <x:f>G2911+H2911</x:f>
        <x:v>17113</x:v>
      </x:c>
      <x:c r="M2911" s="28" t="n">
        <x:f>G2911*J2911/1000000</x:f>
        <x:v>0.13823</x:v>
      </x:c>
      <x:c r="N2911" s="28" t="n">
        <x:f>H2911*K2911/1000000</x:f>
        <x:v>0.0987</x:v>
      </x:c>
      <x:c r="O2911" s="28" t="n">
        <x:f>SUM(M2911:N2911)</x:f>
        <x:v>0.23692999999999997</x:v>
      </x:c>
    </x:row>
    <x:row r="2912" ht="23" customHeight="1">
      <x:c r="A2912" s="17" t="str">
        <x:v>U02906</x:v>
      </x:c>
      <x:c r="B2912" s="18" t="n">
        <x:v>46275</x:v>
      </x:c>
      <x:c r="C2912" s="17" t="str">
        <x:v>W0229</x:v>
      </x:c>
      <x:c r="D2912" s="17" t="str">
        <x:v>C004</x:v>
      </x:c>
      <x:c r="E2912" s="17" t="str">
        <x:v>CampaignChat</x:v>
      </x:c>
      <x:c r="F2912" s="17" t="str">
        <x:v>Lite</x:v>
      </x:c>
      <x:c r="G2912" s="17" t="n">
        <x:v>16893</x:v>
      </x:c>
      <x:c r="H2912" s="17" t="n">
        <x:v>6009</x:v>
      </x:c>
      <x:c r="I2912" s="17" t="str">
        <x:v>First attempt</x:v>
      </x:c>
      <x:c r="J2912" s="27" t="n">
        <x:f>INDEX('Model Pricing'!$B$7:$B$8,MATCH(F2912,'Model Pricing'!$A$7:$A$8,0))</x:f>
        <x:v>10</x:v>
      </x:c>
      <x:c r="K2912" s="27" t="n">
        <x:f>INDEX('Model Pricing'!$C$7:$C$8,MATCH(F2912,'Model Pricing'!$A$7:$A$8,0))</x:f>
        <x:v>30</x:v>
      </x:c>
      <x:c r="L2912" s="17" t="n">
        <x:f>G2912+H2912</x:f>
        <x:v>22902</x:v>
      </x:c>
      <x:c r="M2912" s="28" t="n">
        <x:f>G2912*J2912/1000000</x:f>
        <x:v>0.16893</x:v>
      </x:c>
      <x:c r="N2912" s="28" t="n">
        <x:f>H2912*K2912/1000000</x:f>
        <x:v>0.18027</x:v>
      </x:c>
      <x:c r="O2912" s="28" t="n">
        <x:f>SUM(M2912:N2912)</x:f>
        <x:v>0.3492</x:v>
      </x:c>
    </x:row>
    <x:row r="2913" ht="23" customHeight="1">
      <x:c r="A2913" s="17" t="str">
        <x:v>U02907</x:v>
      </x:c>
      <x:c r="B2913" s="18" t="n">
        <x:v>46275</x:v>
      </x:c>
      <x:c r="C2913" s="17" t="str">
        <x:v>W0229</x:v>
      </x:c>
      <x:c r="D2913" s="17" t="str">
        <x:v>C004</x:v>
      </x:c>
      <x:c r="E2913" s="17" t="str">
        <x:v>CampaignChat</x:v>
      </x:c>
      <x:c r="F2913" s="17" t="str">
        <x:v>Lite</x:v>
      </x:c>
      <x:c r="G2913" s="17" t="n">
        <x:v>14236</x:v>
      </x:c>
      <x:c r="H2913" s="17" t="n">
        <x:v>3581</x:v>
      </x:c>
      <x:c r="I2913" s="17" t="str">
        <x:v>Followup</x:v>
      </x:c>
      <x:c r="J2913" s="27" t="n">
        <x:f>INDEX('Model Pricing'!$B$7:$B$8,MATCH(F2913,'Model Pricing'!$A$7:$A$8,0))</x:f>
        <x:v>10</x:v>
      </x:c>
      <x:c r="K2913" s="27" t="n">
        <x:f>INDEX('Model Pricing'!$C$7:$C$8,MATCH(F2913,'Model Pricing'!$A$7:$A$8,0))</x:f>
        <x:v>30</x:v>
      </x:c>
      <x:c r="L2913" s="17" t="n">
        <x:f>G2913+H2913</x:f>
        <x:v>17817</x:v>
      </x:c>
      <x:c r="M2913" s="28" t="n">
        <x:f>G2913*J2913/1000000</x:f>
        <x:v>0.14236</x:v>
      </x:c>
      <x:c r="N2913" s="28" t="n">
        <x:f>H2913*K2913/1000000</x:f>
        <x:v>0.10743</x:v>
      </x:c>
      <x:c r="O2913" s="28" t="n">
        <x:f>SUM(M2913:N2913)</x:f>
        <x:v>0.24978999999999998</x:v>
      </x:c>
    </x:row>
    <x:row r="2914" ht="23" customHeight="1">
      <x:c r="A2914" s="17" t="str">
        <x:v>U02908</x:v>
      </x:c>
      <x:c r="B2914" s="18" t="n">
        <x:v>46275</x:v>
      </x:c>
      <x:c r="C2914" s="17" t="str">
        <x:v>W0229</x:v>
      </x:c>
      <x:c r="D2914" s="17" t="str">
        <x:v>C004</x:v>
      </x:c>
      <x:c r="E2914" s="17" t="str">
        <x:v>CampaignChat</x:v>
      </x:c>
      <x:c r="F2914" s="17" t="str">
        <x:v>Lite</x:v>
      </x:c>
      <x:c r="G2914" s="17" t="n">
        <x:v>14420</x:v>
      </x:c>
      <x:c r="H2914" s="17" t="n">
        <x:v>5875</x:v>
      </x:c>
      <x:c r="I2914" s="17" t="str">
        <x:v>Followup</x:v>
      </x:c>
      <x:c r="J2914" s="27" t="n">
        <x:f>INDEX('Model Pricing'!$B$7:$B$8,MATCH(F2914,'Model Pricing'!$A$7:$A$8,0))</x:f>
        <x:v>10</x:v>
      </x:c>
      <x:c r="K2914" s="27" t="n">
        <x:f>INDEX('Model Pricing'!$C$7:$C$8,MATCH(F2914,'Model Pricing'!$A$7:$A$8,0))</x:f>
        <x:v>30</x:v>
      </x:c>
      <x:c r="L2914" s="17" t="n">
        <x:f>G2914+H2914</x:f>
        <x:v>20295</x:v>
      </x:c>
      <x:c r="M2914" s="28" t="n">
        <x:f>G2914*J2914/1000000</x:f>
        <x:v>0.1442</x:v>
      </x:c>
      <x:c r="N2914" s="28" t="n">
        <x:f>H2914*K2914/1000000</x:f>
        <x:v>0.17625</x:v>
      </x:c>
      <x:c r="O2914" s="28" t="n">
        <x:f>SUM(M2914:N2914)</x:f>
        <x:v>0.32045</x:v>
      </x:c>
    </x:row>
    <x:row r="2915" ht="23" customHeight="1">
      <x:c r="A2915" s="17" t="str">
        <x:v>U02909</x:v>
      </x:c>
      <x:c r="B2915" s="18" t="n">
        <x:v>46275</x:v>
      </x:c>
      <x:c r="C2915" s="17" t="str">
        <x:v>W0229</x:v>
      </x:c>
      <x:c r="D2915" s="17" t="str">
        <x:v>C004</x:v>
      </x:c>
      <x:c r="E2915" s="17" t="str">
        <x:v>CampaignChat</x:v>
      </x:c>
      <x:c r="F2915" s="17" t="str">
        <x:v>Lite</x:v>
      </x:c>
      <x:c r="G2915" s="17" t="n">
        <x:v>14158</x:v>
      </x:c>
      <x:c r="H2915" s="17" t="n">
        <x:v>5001</x:v>
      </x:c>
      <x:c r="I2915" s="17" t="str">
        <x:v>Followup</x:v>
      </x:c>
      <x:c r="J2915" s="27" t="n">
        <x:f>INDEX('Model Pricing'!$B$7:$B$8,MATCH(F2915,'Model Pricing'!$A$7:$A$8,0))</x:f>
        <x:v>10</x:v>
      </x:c>
      <x:c r="K2915" s="27" t="n">
        <x:f>INDEX('Model Pricing'!$C$7:$C$8,MATCH(F2915,'Model Pricing'!$A$7:$A$8,0))</x:f>
        <x:v>30</x:v>
      </x:c>
      <x:c r="L2915" s="17" t="n">
        <x:f>G2915+H2915</x:f>
        <x:v>19159</x:v>
      </x:c>
      <x:c r="M2915" s="28" t="n">
        <x:f>G2915*J2915/1000000</x:f>
        <x:v>0.14158</x:v>
      </x:c>
      <x:c r="N2915" s="28" t="n">
        <x:f>H2915*K2915/1000000</x:f>
        <x:v>0.15003</x:v>
      </x:c>
      <x:c r="O2915" s="28" t="n">
        <x:f>SUM(M2915:N2915)</x:f>
        <x:v>0.29161000000000004</x:v>
      </x:c>
    </x:row>
    <x:row r="2916" ht="23" customHeight="1">
      <x:c r="A2916" s="17" t="str">
        <x:v>U02910</x:v>
      </x:c>
      <x:c r="B2916" s="18" t="n">
        <x:v>46276</x:v>
      </x:c>
      <x:c r="C2916" s="17" t="str">
        <x:v>W0229</x:v>
      </x:c>
      <x:c r="D2916" s="17" t="str">
        <x:v>C004</x:v>
      </x:c>
      <x:c r="E2916" s="17" t="str">
        <x:v>CampaignChat</x:v>
      </x:c>
      <x:c r="F2916" s="17" t="str">
        <x:v>Lite</x:v>
      </x:c>
      <x:c r="G2916" s="17" t="n">
        <x:v>15314</x:v>
      </x:c>
      <x:c r="H2916" s="17" t="n">
        <x:v>4993</x:v>
      </x:c>
      <x:c r="I2916" s="17" t="str">
        <x:v>Correction</x:v>
      </x:c>
      <x:c r="J2916" s="27" t="n">
        <x:f>INDEX('Model Pricing'!$B$7:$B$8,MATCH(F2916,'Model Pricing'!$A$7:$A$8,0))</x:f>
        <x:v>10</x:v>
      </x:c>
      <x:c r="K2916" s="27" t="n">
        <x:f>INDEX('Model Pricing'!$C$7:$C$8,MATCH(F2916,'Model Pricing'!$A$7:$A$8,0))</x:f>
        <x:v>30</x:v>
      </x:c>
      <x:c r="L2916" s="17" t="n">
        <x:f>G2916+H2916</x:f>
        <x:v>20307</x:v>
      </x:c>
      <x:c r="M2916" s="28" t="n">
        <x:f>G2916*J2916/1000000</x:f>
        <x:v>0.15314</x:v>
      </x:c>
      <x:c r="N2916" s="28" t="n">
        <x:f>H2916*K2916/1000000</x:f>
        <x:v>0.14979</x:v>
      </x:c>
      <x:c r="O2916" s="28" t="n">
        <x:f>SUM(M2916:N2916)</x:f>
        <x:v>0.30293000000000003</x:v>
      </x:c>
    </x:row>
    <x:row r="2917" ht="23" customHeight="1">
      <x:c r="A2917" s="17" t="str">
        <x:v>U02911</x:v>
      </x:c>
      <x:c r="B2917" s="18" t="n">
        <x:v>46276</x:v>
      </x:c>
      <x:c r="C2917" s="17" t="str">
        <x:v>W0229</x:v>
      </x:c>
      <x:c r="D2917" s="17" t="str">
        <x:v>C004</x:v>
      </x:c>
      <x:c r="E2917" s="17" t="str">
        <x:v>CampaignChat</x:v>
      </x:c>
      <x:c r="F2917" s="17" t="str">
        <x:v>Lite</x:v>
      </x:c>
      <x:c r="G2917" s="17" t="n">
        <x:v>10726</x:v>
      </x:c>
      <x:c r="H2917" s="17" t="n">
        <x:v>4629</x:v>
      </x:c>
      <x:c r="I2917" s="17" t="str">
        <x:v>Correction</x:v>
      </x:c>
      <x:c r="J2917" s="27" t="n">
        <x:f>INDEX('Model Pricing'!$B$7:$B$8,MATCH(F2917,'Model Pricing'!$A$7:$A$8,0))</x:f>
        <x:v>10</x:v>
      </x:c>
      <x:c r="K2917" s="27" t="n">
        <x:f>INDEX('Model Pricing'!$C$7:$C$8,MATCH(F2917,'Model Pricing'!$A$7:$A$8,0))</x:f>
        <x:v>30</x:v>
      </x:c>
      <x:c r="L2917" s="17" t="n">
        <x:f>G2917+H2917</x:f>
        <x:v>15355</x:v>
      </x:c>
      <x:c r="M2917" s="28" t="n">
        <x:f>G2917*J2917/1000000</x:f>
        <x:v>0.10726</x:v>
      </x:c>
      <x:c r="N2917" s="28" t="n">
        <x:f>H2917*K2917/1000000</x:f>
        <x:v>0.13887</x:v>
      </x:c>
      <x:c r="O2917" s="28" t="n">
        <x:f>SUM(M2917:N2917)</x:f>
        <x:v>0.24613</x:v>
      </x:c>
    </x:row>
    <x:row r="2918" ht="23" customHeight="1">
      <x:c r="A2918" s="17" t="str">
        <x:v>U02912</x:v>
      </x:c>
      <x:c r="B2918" s="18" t="n">
        <x:v>46276</x:v>
      </x:c>
      <x:c r="C2918" s="17" t="str">
        <x:v>W0229</x:v>
      </x:c>
      <x:c r="D2918" s="17" t="str">
        <x:v>C004</x:v>
      </x:c>
      <x:c r="E2918" s="17" t="str">
        <x:v>CampaignChat</x:v>
      </x:c>
      <x:c r="F2918" s="17" t="str">
        <x:v>Lite</x:v>
      </x:c>
      <x:c r="G2918" s="17" t="n">
        <x:v>10200</x:v>
      </x:c>
      <x:c r="H2918" s="17" t="n">
        <x:v>5029</x:v>
      </x:c>
      <x:c r="I2918" s="17" t="str">
        <x:v>Followup</x:v>
      </x:c>
      <x:c r="J2918" s="27" t="n">
        <x:f>INDEX('Model Pricing'!$B$7:$B$8,MATCH(F2918,'Model Pricing'!$A$7:$A$8,0))</x:f>
        <x:v>10</x:v>
      </x:c>
      <x:c r="K2918" s="27" t="n">
        <x:f>INDEX('Model Pricing'!$C$7:$C$8,MATCH(F2918,'Model Pricing'!$A$7:$A$8,0))</x:f>
        <x:v>30</x:v>
      </x:c>
      <x:c r="L2918" s="17" t="n">
        <x:f>G2918+H2918</x:f>
        <x:v>15229</x:v>
      </x:c>
      <x:c r="M2918" s="28" t="n">
        <x:f>G2918*J2918/1000000</x:f>
        <x:v>0.102</x:v>
      </x:c>
      <x:c r="N2918" s="28" t="n">
        <x:f>H2918*K2918/1000000</x:f>
        <x:v>0.15087</x:v>
      </x:c>
      <x:c r="O2918" s="28" t="n">
        <x:f>SUM(M2918:N2918)</x:f>
        <x:v>0.25287</x:v>
      </x:c>
    </x:row>
    <x:row r="2919" ht="23" customHeight="1">
      <x:c r="A2919" s="17" t="str">
        <x:v>U02913</x:v>
      </x:c>
      <x:c r="B2919" s="18" t="n">
        <x:v>46279</x:v>
      </x:c>
      <x:c r="C2919" s="17" t="str">
        <x:v>W0229</x:v>
      </x:c>
      <x:c r="D2919" s="17" t="str">
        <x:v>C004</x:v>
      </x:c>
      <x:c r="E2919" s="17" t="str">
        <x:v>CampaignChat</x:v>
      </x:c>
      <x:c r="F2919" s="17" t="str">
        <x:v>Lite</x:v>
      </x:c>
      <x:c r="G2919" s="17" t="n">
        <x:v>6560</x:v>
      </x:c>
      <x:c r="H2919" s="17" t="n">
        <x:v>6023</x:v>
      </x:c>
      <x:c r="I2919" s="17" t="str">
        <x:v>Followup</x:v>
      </x:c>
      <x:c r="J2919" s="27" t="n">
        <x:f>INDEX('Model Pricing'!$B$7:$B$8,MATCH(F2919,'Model Pricing'!$A$7:$A$8,0))</x:f>
        <x:v>10</x:v>
      </x:c>
      <x:c r="K2919" s="27" t="n">
        <x:f>INDEX('Model Pricing'!$C$7:$C$8,MATCH(F2919,'Model Pricing'!$A$7:$A$8,0))</x:f>
        <x:v>30</x:v>
      </x:c>
      <x:c r="L2919" s="17" t="n">
        <x:f>G2919+H2919</x:f>
        <x:v>12583</x:v>
      </x:c>
      <x:c r="M2919" s="28" t="n">
        <x:f>G2919*J2919/1000000</x:f>
        <x:v>0.0656</x:v>
      </x:c>
      <x:c r="N2919" s="28" t="n">
        <x:f>H2919*K2919/1000000</x:f>
        <x:v>0.18069</x:v>
      </x:c>
      <x:c r="O2919" s="28" t="n">
        <x:f>SUM(M2919:N2919)</x:f>
        <x:v>0.24629</x:v>
      </x:c>
    </x:row>
    <x:row r="2920" ht="23" customHeight="1">
      <x:c r="A2920" s="17" t="str">
        <x:v>U02914</x:v>
      </x:c>
      <x:c r="B2920" s="18" t="n">
        <x:v>46279</x:v>
      </x:c>
      <x:c r="C2920" s="17" t="str">
        <x:v>W0229</x:v>
      </x:c>
      <x:c r="D2920" s="17" t="str">
        <x:v>C004</x:v>
      </x:c>
      <x:c r="E2920" s="17" t="str">
        <x:v>CampaignChat</x:v>
      </x:c>
      <x:c r="F2920" s="17" t="str">
        <x:v>Lite</x:v>
      </x:c>
      <x:c r="G2920" s="17" t="n">
        <x:v>17589</x:v>
      </x:c>
      <x:c r="H2920" s="17" t="n">
        <x:v>4158</x:v>
      </x:c>
      <x:c r="I2920" s="17" t="str">
        <x:v>Followup</x:v>
      </x:c>
      <x:c r="J2920" s="27" t="n">
        <x:f>INDEX('Model Pricing'!$B$7:$B$8,MATCH(F2920,'Model Pricing'!$A$7:$A$8,0))</x:f>
        <x:v>10</x:v>
      </x:c>
      <x:c r="K2920" s="27" t="n">
        <x:f>INDEX('Model Pricing'!$C$7:$C$8,MATCH(F2920,'Model Pricing'!$A$7:$A$8,0))</x:f>
        <x:v>30</x:v>
      </x:c>
      <x:c r="L2920" s="17" t="n">
        <x:f>G2920+H2920</x:f>
        <x:v>21747</x:v>
      </x:c>
      <x:c r="M2920" s="28" t="n">
        <x:f>G2920*J2920/1000000</x:f>
        <x:v>0.17589</x:v>
      </x:c>
      <x:c r="N2920" s="28" t="n">
        <x:f>H2920*K2920/1000000</x:f>
        <x:v>0.12474</x:v>
      </x:c>
      <x:c r="O2920" s="28" t="n">
        <x:f>SUM(M2920:N2920)</x:f>
        <x:v>0.30063</x:v>
      </x:c>
    </x:row>
    <x:row r="2921" ht="23" customHeight="1">
      <x:c r="A2921" s="17" t="str">
        <x:v>U02915</x:v>
      </x:c>
      <x:c r="B2921" s="18" t="n">
        <x:v>46279</x:v>
      </x:c>
      <x:c r="C2921" s="17" t="str">
        <x:v>W0229</x:v>
      </x:c>
      <x:c r="D2921" s="17" t="str">
        <x:v>C004</x:v>
      </x:c>
      <x:c r="E2921" s="17" t="str">
        <x:v>CampaignChat</x:v>
      </x:c>
      <x:c r="F2921" s="17" t="str">
        <x:v>Lite</x:v>
      </x:c>
      <x:c r="G2921" s="17" t="n">
        <x:v>15387</x:v>
      </x:c>
      <x:c r="H2921" s="17" t="n">
        <x:v>3602</x:v>
      </x:c>
      <x:c r="I2921" s="17" t="str">
        <x:v>Followup</x:v>
      </x:c>
      <x:c r="J2921" s="27" t="n">
        <x:f>INDEX('Model Pricing'!$B$7:$B$8,MATCH(F2921,'Model Pricing'!$A$7:$A$8,0))</x:f>
        <x:v>10</x:v>
      </x:c>
      <x:c r="K2921" s="27" t="n">
        <x:f>INDEX('Model Pricing'!$C$7:$C$8,MATCH(F2921,'Model Pricing'!$A$7:$A$8,0))</x:f>
        <x:v>30</x:v>
      </x:c>
      <x:c r="L2921" s="17" t="n">
        <x:f>G2921+H2921</x:f>
        <x:v>18989</x:v>
      </x:c>
      <x:c r="M2921" s="28" t="n">
        <x:f>G2921*J2921/1000000</x:f>
        <x:v>0.15387</x:v>
      </x:c>
      <x:c r="N2921" s="28" t="n">
        <x:f>H2921*K2921/1000000</x:f>
        <x:v>0.10806</x:v>
      </x:c>
      <x:c r="O2921" s="28" t="n">
        <x:f>SUM(M2921:N2921)</x:f>
        <x:v>0.26193</x:v>
      </x:c>
    </x:row>
    <x:row r="2922" ht="23" customHeight="1">
      <x:c r="A2922" s="17" t="str">
        <x:v>U02916</x:v>
      </x:c>
      <x:c r="B2922" s="18" t="n">
        <x:v>46280</x:v>
      </x:c>
      <x:c r="C2922" s="17" t="str">
        <x:v>W0229</x:v>
      </x:c>
      <x:c r="D2922" s="17" t="str">
        <x:v>C004</x:v>
      </x:c>
      <x:c r="E2922" s="17" t="str">
        <x:v>CampaignChat</x:v>
      </x:c>
      <x:c r="F2922" s="17" t="str">
        <x:v>Lite</x:v>
      </x:c>
      <x:c r="G2922" s="17" t="n">
        <x:v>6500</x:v>
      </x:c>
      <x:c r="H2922" s="17" t="n">
        <x:v>4324</x:v>
      </x:c>
      <x:c r="I2922" s="17" t="str">
        <x:v>Followup</x:v>
      </x:c>
      <x:c r="J2922" s="27" t="n">
        <x:f>INDEX('Model Pricing'!$B$7:$B$8,MATCH(F2922,'Model Pricing'!$A$7:$A$8,0))</x:f>
        <x:v>10</x:v>
      </x:c>
      <x:c r="K2922" s="27" t="n">
        <x:f>INDEX('Model Pricing'!$C$7:$C$8,MATCH(F2922,'Model Pricing'!$A$7:$A$8,0))</x:f>
        <x:v>30</x:v>
      </x:c>
      <x:c r="L2922" s="17" t="n">
        <x:f>G2922+H2922</x:f>
        <x:v>10824</x:v>
      </x:c>
      <x:c r="M2922" s="28" t="n">
        <x:f>G2922*J2922/1000000</x:f>
        <x:v>0.065</x:v>
      </x:c>
      <x:c r="N2922" s="28" t="n">
        <x:f>H2922*K2922/1000000</x:f>
        <x:v>0.12972</x:v>
      </x:c>
      <x:c r="O2922" s="28" t="n">
        <x:f>SUM(M2922:N2922)</x:f>
        <x:v>0.19472</x:v>
      </x:c>
    </x:row>
    <x:row r="2923" ht="23" customHeight="1">
      <x:c r="A2923" s="17" t="str">
        <x:v>U02917</x:v>
      </x:c>
      <x:c r="B2923" s="18" t="n">
        <x:v>46280</x:v>
      </x:c>
      <x:c r="C2923" s="17" t="str">
        <x:v>W0229</x:v>
      </x:c>
      <x:c r="D2923" s="17" t="str">
        <x:v>C004</x:v>
      </x:c>
      <x:c r="E2923" s="17" t="str">
        <x:v>CampaignChat</x:v>
      </x:c>
      <x:c r="F2923" s="17" t="str">
        <x:v>Lite</x:v>
      </x:c>
      <x:c r="G2923" s="17" t="n">
        <x:v>13405</x:v>
      </x:c>
      <x:c r="H2923" s="17" t="n">
        <x:v>6125</x:v>
      </x:c>
      <x:c r="I2923" s="17" t="str">
        <x:v>Followup</x:v>
      </x:c>
      <x:c r="J2923" s="27" t="n">
        <x:f>INDEX('Model Pricing'!$B$7:$B$8,MATCH(F2923,'Model Pricing'!$A$7:$A$8,0))</x:f>
        <x:v>10</x:v>
      </x:c>
      <x:c r="K2923" s="27" t="n">
        <x:f>INDEX('Model Pricing'!$C$7:$C$8,MATCH(F2923,'Model Pricing'!$A$7:$A$8,0))</x:f>
        <x:v>30</x:v>
      </x:c>
      <x:c r="L2923" s="17" t="n">
        <x:f>G2923+H2923</x:f>
        <x:v>19530</x:v>
      </x:c>
      <x:c r="M2923" s="28" t="n">
        <x:f>G2923*J2923/1000000</x:f>
        <x:v>0.13405</x:v>
      </x:c>
      <x:c r="N2923" s="28" t="n">
        <x:f>H2923*K2923/1000000</x:f>
        <x:v>0.18375</x:v>
      </x:c>
      <x:c r="O2923" s="28" t="n">
        <x:f>SUM(M2923:N2923)</x:f>
        <x:v>0.31779999999999997</x:v>
      </x:c>
    </x:row>
    <x:row r="2924" ht="23" customHeight="1">
      <x:c r="A2924" s="17" t="str">
        <x:v>U02918</x:v>
      </x:c>
      <x:c r="B2924" s="18" t="n">
        <x:v>46280</x:v>
      </x:c>
      <x:c r="C2924" s="17" t="str">
        <x:v>W0229</x:v>
      </x:c>
      <x:c r="D2924" s="17" t="str">
        <x:v>C004</x:v>
      </x:c>
      <x:c r="E2924" s="17" t="str">
        <x:v>CampaignChat</x:v>
      </x:c>
      <x:c r="F2924" s="17" t="str">
        <x:v>Lite</x:v>
      </x:c>
      <x:c r="G2924" s="17" t="n">
        <x:v>17442</x:v>
      </x:c>
      <x:c r="H2924" s="17" t="n">
        <x:v>2920</x:v>
      </x:c>
      <x:c r="I2924" s="17" t="str">
        <x:v>Correction</x:v>
      </x:c>
      <x:c r="J2924" s="27" t="n">
        <x:f>INDEX('Model Pricing'!$B$7:$B$8,MATCH(F2924,'Model Pricing'!$A$7:$A$8,0))</x:f>
        <x:v>10</x:v>
      </x:c>
      <x:c r="K2924" s="27" t="n">
        <x:f>INDEX('Model Pricing'!$C$7:$C$8,MATCH(F2924,'Model Pricing'!$A$7:$A$8,0))</x:f>
        <x:v>30</x:v>
      </x:c>
      <x:c r="L2924" s="17" t="n">
        <x:f>G2924+H2924</x:f>
        <x:v>20362</x:v>
      </x:c>
      <x:c r="M2924" s="28" t="n">
        <x:f>G2924*J2924/1000000</x:f>
        <x:v>0.17442</x:v>
      </x:c>
      <x:c r="N2924" s="28" t="n">
        <x:f>H2924*K2924/1000000</x:f>
        <x:v>0.0876</x:v>
      </x:c>
      <x:c r="O2924" s="28" t="n">
        <x:f>SUM(M2924:N2924)</x:f>
        <x:v>0.26202</x:v>
      </x:c>
    </x:row>
    <x:row r="2925" ht="23" customHeight="1">
      <x:c r="A2925" s="17" t="str">
        <x:v>U02919</x:v>
      </x:c>
      <x:c r="B2925" s="18" t="n">
        <x:v>46286</x:v>
      </x:c>
      <x:c r="C2925" s="17" t="str">
        <x:v>W0230</x:v>
      </x:c>
      <x:c r="D2925" s="17" t="str">
        <x:v>C004</x:v>
      </x:c>
      <x:c r="E2925" s="17" t="str">
        <x:v>DataFlow</x:v>
      </x:c>
      <x:c r="F2925" s="17" t="str">
        <x:v>Lite</x:v>
      </x:c>
      <x:c r="G2925" s="17" t="n">
        <x:v>7034</x:v>
      </x:c>
      <x:c r="H2925" s="17" t="n">
        <x:v>1664</x:v>
      </x:c>
      <x:c r="I2925" s="17" t="str">
        <x:v>First attempt</x:v>
      </x:c>
      <x:c r="J2925" s="27" t="n">
        <x:f>INDEX('Model Pricing'!$B$7:$B$8,MATCH(F2925,'Model Pricing'!$A$7:$A$8,0))</x:f>
        <x:v>10</x:v>
      </x:c>
      <x:c r="K2925" s="27" t="n">
        <x:f>INDEX('Model Pricing'!$C$7:$C$8,MATCH(F2925,'Model Pricing'!$A$7:$A$8,0))</x:f>
        <x:v>30</x:v>
      </x:c>
      <x:c r="L2925" s="17" t="n">
        <x:f>G2925+H2925</x:f>
        <x:v>8698</x:v>
      </x:c>
      <x:c r="M2925" s="28" t="n">
        <x:f>G2925*J2925/1000000</x:f>
        <x:v>0.07034</x:v>
      </x:c>
      <x:c r="N2925" s="28" t="n">
        <x:f>H2925*K2925/1000000</x:f>
        <x:v>0.04992</x:v>
      </x:c>
      <x:c r="O2925" s="28" t="n">
        <x:f>SUM(M2925:N2925)</x:f>
        <x:v>0.12026</x:v>
      </x:c>
    </x:row>
    <x:row r="2926" ht="23" customHeight="1">
      <x:c r="A2926" s="17" t="str">
        <x:v>U02920</x:v>
      </x:c>
      <x:c r="B2926" s="18" t="n">
        <x:v>46286</x:v>
      </x:c>
      <x:c r="C2926" s="17" t="str">
        <x:v>W0230</x:v>
      </x:c>
      <x:c r="D2926" s="17" t="str">
        <x:v>C004</x:v>
      </x:c>
      <x:c r="E2926" s="17" t="str">
        <x:v>DataFlow</x:v>
      </x:c>
      <x:c r="F2926" s="17" t="str">
        <x:v>Lite</x:v>
      </x:c>
      <x:c r="G2926" s="17" t="n">
        <x:v>18595</x:v>
      </x:c>
      <x:c r="H2926" s="17" t="n">
        <x:v>1382</x:v>
      </x:c>
      <x:c r="I2926" s="17" t="str">
        <x:v>Followup</x:v>
      </x:c>
      <x:c r="J2926" s="27" t="n">
        <x:f>INDEX('Model Pricing'!$B$7:$B$8,MATCH(F2926,'Model Pricing'!$A$7:$A$8,0))</x:f>
        <x:v>10</x:v>
      </x:c>
      <x:c r="K2926" s="27" t="n">
        <x:f>INDEX('Model Pricing'!$C$7:$C$8,MATCH(F2926,'Model Pricing'!$A$7:$A$8,0))</x:f>
        <x:v>30</x:v>
      </x:c>
      <x:c r="L2926" s="17" t="n">
        <x:f>G2926+H2926</x:f>
        <x:v>19977</x:v>
      </x:c>
      <x:c r="M2926" s="28" t="n">
        <x:f>G2926*J2926/1000000</x:f>
        <x:v>0.18595</x:v>
      </x:c>
      <x:c r="N2926" s="28" t="n">
        <x:f>H2926*K2926/1000000</x:f>
        <x:v>0.04146</x:v>
      </x:c>
      <x:c r="O2926" s="28" t="n">
        <x:f>SUM(M2926:N2926)</x:f>
        <x:v>0.22741</x:v>
      </x:c>
    </x:row>
    <x:row r="2927" ht="23" customHeight="1">
      <x:c r="A2927" s="17" t="str">
        <x:v>U02921</x:v>
      </x:c>
      <x:c r="B2927" s="18" t="n">
        <x:v>46286</x:v>
      </x:c>
      <x:c r="C2927" s="17" t="str">
        <x:v>W0230</x:v>
      </x:c>
      <x:c r="D2927" s="17" t="str">
        <x:v>C004</x:v>
      </x:c>
      <x:c r="E2927" s="17" t="str">
        <x:v>DataFlow</x:v>
      </x:c>
      <x:c r="F2927" s="17" t="str">
        <x:v>Lite</x:v>
      </x:c>
      <x:c r="G2927" s="17" t="n">
        <x:v>18137</x:v>
      </x:c>
      <x:c r="H2927" s="17" t="n">
        <x:v>4530</x:v>
      </x:c>
      <x:c r="I2927" s="17" t="str">
        <x:v>Followup</x:v>
      </x:c>
      <x:c r="J2927" s="27" t="n">
        <x:f>INDEX('Model Pricing'!$B$7:$B$8,MATCH(F2927,'Model Pricing'!$A$7:$A$8,0))</x:f>
        <x:v>10</x:v>
      </x:c>
      <x:c r="K2927" s="27" t="n">
        <x:f>INDEX('Model Pricing'!$C$7:$C$8,MATCH(F2927,'Model Pricing'!$A$7:$A$8,0))</x:f>
        <x:v>30</x:v>
      </x:c>
      <x:c r="L2927" s="17" t="n">
        <x:f>G2927+H2927</x:f>
        <x:v>22667</x:v>
      </x:c>
      <x:c r="M2927" s="28" t="n">
        <x:f>G2927*J2927/1000000</x:f>
        <x:v>0.18137</x:v>
      </x:c>
      <x:c r="N2927" s="28" t="n">
        <x:f>H2927*K2927/1000000</x:f>
        <x:v>0.1359</x:v>
      </x:c>
      <x:c r="O2927" s="28" t="n">
        <x:f>SUM(M2927:N2927)</x:f>
        <x:v>0.31727</x:v>
      </x:c>
    </x:row>
    <x:row r="2928" ht="23" customHeight="1">
      <x:c r="A2928" s="17" t="str">
        <x:v>U02922</x:v>
      </x:c>
      <x:c r="B2928" s="18" t="n">
        <x:v>46287</x:v>
      </x:c>
      <x:c r="C2928" s="17" t="str">
        <x:v>W0230</x:v>
      </x:c>
      <x:c r="D2928" s="17" t="str">
        <x:v>C004</x:v>
      </x:c>
      <x:c r="E2928" s="17" t="str">
        <x:v>DataFlow</x:v>
      </x:c>
      <x:c r="F2928" s="17" t="str">
        <x:v>Lite</x:v>
      </x:c>
      <x:c r="G2928" s="17" t="n">
        <x:v>18092</x:v>
      </x:c>
      <x:c r="H2928" s="17" t="n">
        <x:v>4102</x:v>
      </x:c>
      <x:c r="I2928" s="17" t="str">
        <x:v>Followup</x:v>
      </x:c>
      <x:c r="J2928" s="27" t="n">
        <x:f>INDEX('Model Pricing'!$B$7:$B$8,MATCH(F2928,'Model Pricing'!$A$7:$A$8,0))</x:f>
        <x:v>10</x:v>
      </x:c>
      <x:c r="K2928" s="27" t="n">
        <x:f>INDEX('Model Pricing'!$C$7:$C$8,MATCH(F2928,'Model Pricing'!$A$7:$A$8,0))</x:f>
        <x:v>30</x:v>
      </x:c>
      <x:c r="L2928" s="17" t="n">
        <x:f>G2928+H2928</x:f>
        <x:v>22194</x:v>
      </x:c>
      <x:c r="M2928" s="28" t="n">
        <x:f>G2928*J2928/1000000</x:f>
        <x:v>0.18092</x:v>
      </x:c>
      <x:c r="N2928" s="28" t="n">
        <x:f>H2928*K2928/1000000</x:f>
        <x:v>0.12306</x:v>
      </x:c>
      <x:c r="O2928" s="28" t="n">
        <x:f>SUM(M2928:N2928)</x:f>
        <x:v>0.30398000000000003</x:v>
      </x:c>
    </x:row>
    <x:row r="2929" ht="23" customHeight="1">
      <x:c r="A2929" s="17" t="str">
        <x:v>U02923</x:v>
      </x:c>
      <x:c r="B2929" s="18" t="n">
        <x:v>46287</x:v>
      </x:c>
      <x:c r="C2929" s="17" t="str">
        <x:v>W0230</x:v>
      </x:c>
      <x:c r="D2929" s="17" t="str">
        <x:v>C004</x:v>
      </x:c>
      <x:c r="E2929" s="17" t="str">
        <x:v>DataFlow</x:v>
      </x:c>
      <x:c r="F2929" s="17" t="str">
        <x:v>Lite</x:v>
      </x:c>
      <x:c r="G2929" s="17" t="n">
        <x:v>18119</x:v>
      </x:c>
      <x:c r="H2929" s="17" t="n">
        <x:v>4891</x:v>
      </x:c>
      <x:c r="I2929" s="17" t="str">
        <x:v>Followup</x:v>
      </x:c>
      <x:c r="J2929" s="27" t="n">
        <x:f>INDEX('Model Pricing'!$B$7:$B$8,MATCH(F2929,'Model Pricing'!$A$7:$A$8,0))</x:f>
        <x:v>10</x:v>
      </x:c>
      <x:c r="K2929" s="27" t="n">
        <x:f>INDEX('Model Pricing'!$C$7:$C$8,MATCH(F2929,'Model Pricing'!$A$7:$A$8,0))</x:f>
        <x:v>30</x:v>
      </x:c>
      <x:c r="L2929" s="17" t="n">
        <x:f>G2929+H2929</x:f>
        <x:v>23010</x:v>
      </x:c>
      <x:c r="M2929" s="28" t="n">
        <x:f>G2929*J2929/1000000</x:f>
        <x:v>0.18119</x:v>
      </x:c>
      <x:c r="N2929" s="28" t="n">
        <x:f>H2929*K2929/1000000</x:f>
        <x:v>0.14673</x:v>
      </x:c>
      <x:c r="O2929" s="28" t="n">
        <x:f>SUM(M2929:N2929)</x:f>
        <x:v>0.32792</x:v>
      </x:c>
    </x:row>
    <x:row r="2930" ht="23" customHeight="1">
      <x:c r="A2930" s="17" t="str">
        <x:v>U02924</x:v>
      </x:c>
      <x:c r="B2930" s="18" t="n">
        <x:v>46287</x:v>
      </x:c>
      <x:c r="C2930" s="17" t="str">
        <x:v>W0230</x:v>
      </x:c>
      <x:c r="D2930" s="17" t="str">
        <x:v>C004</x:v>
      </x:c>
      <x:c r="E2930" s="17" t="str">
        <x:v>DataFlow</x:v>
      </x:c>
      <x:c r="F2930" s="17" t="str">
        <x:v>Lite</x:v>
      </x:c>
      <x:c r="G2930" s="17" t="n">
        <x:v>14112</x:v>
      </x:c>
      <x:c r="H2930" s="17" t="n">
        <x:v>1823</x:v>
      </x:c>
      <x:c r="I2930" s="17" t="str">
        <x:v>Correction</x:v>
      </x:c>
      <x:c r="J2930" s="27" t="n">
        <x:f>INDEX('Model Pricing'!$B$7:$B$8,MATCH(F2930,'Model Pricing'!$A$7:$A$8,0))</x:f>
        <x:v>10</x:v>
      </x:c>
      <x:c r="K2930" s="27" t="n">
        <x:f>INDEX('Model Pricing'!$C$7:$C$8,MATCH(F2930,'Model Pricing'!$A$7:$A$8,0))</x:f>
        <x:v>30</x:v>
      </x:c>
      <x:c r="L2930" s="17" t="n">
        <x:f>G2930+H2930</x:f>
        <x:v>15935</x:v>
      </x:c>
      <x:c r="M2930" s="28" t="n">
        <x:f>G2930*J2930/1000000</x:f>
        <x:v>0.14112</x:v>
      </x:c>
      <x:c r="N2930" s="28" t="n">
        <x:f>H2930*K2930/1000000</x:f>
        <x:v>0.05469</x:v>
      </x:c>
      <x:c r="O2930" s="28" t="n">
        <x:f>SUM(M2930:N2930)</x:f>
        <x:v>0.19580999999999998</x:v>
      </x:c>
    </x:row>
    <x:row r="2931" ht="23" customHeight="1">
      <x:c r="A2931" s="17" t="str">
        <x:v>U02925</x:v>
      </x:c>
      <x:c r="B2931" s="18" t="n">
        <x:v>46288</x:v>
      </x:c>
      <x:c r="C2931" s="17" t="str">
        <x:v>W0230</x:v>
      </x:c>
      <x:c r="D2931" s="17" t="str">
        <x:v>C004</x:v>
      </x:c>
      <x:c r="E2931" s="17" t="str">
        <x:v>DataFlow</x:v>
      </x:c>
      <x:c r="F2931" s="17" t="str">
        <x:v>Lite</x:v>
      </x:c>
      <x:c r="G2931" s="17" t="n">
        <x:v>15145</x:v>
      </x:c>
      <x:c r="H2931" s="17" t="n">
        <x:v>3996</x:v>
      </x:c>
      <x:c r="I2931" s="17" t="str">
        <x:v>Followup</x:v>
      </x:c>
      <x:c r="J2931" s="27" t="n">
        <x:f>INDEX('Model Pricing'!$B$7:$B$8,MATCH(F2931,'Model Pricing'!$A$7:$A$8,0))</x:f>
        <x:v>10</x:v>
      </x:c>
      <x:c r="K2931" s="27" t="n">
        <x:f>INDEX('Model Pricing'!$C$7:$C$8,MATCH(F2931,'Model Pricing'!$A$7:$A$8,0))</x:f>
        <x:v>30</x:v>
      </x:c>
      <x:c r="L2931" s="17" t="n">
        <x:f>G2931+H2931</x:f>
        <x:v>19141</x:v>
      </x:c>
      <x:c r="M2931" s="28" t="n">
        <x:f>G2931*J2931/1000000</x:f>
        <x:v>0.15145</x:v>
      </x:c>
      <x:c r="N2931" s="28" t="n">
        <x:f>H2931*K2931/1000000</x:f>
        <x:v>0.11988</x:v>
      </x:c>
      <x:c r="O2931" s="28" t="n">
        <x:f>SUM(M2931:N2931)</x:f>
        <x:v>0.27133</x:v>
      </x:c>
    </x:row>
    <x:row r="2932" ht="23" customHeight="1">
      <x:c r="A2932" s="17" t="str">
        <x:v>U02926</x:v>
      </x:c>
      <x:c r="B2932" s="18" t="n">
        <x:v>46288</x:v>
      </x:c>
      <x:c r="C2932" s="17" t="str">
        <x:v>W0230</x:v>
      </x:c>
      <x:c r="D2932" s="17" t="str">
        <x:v>C004</x:v>
      </x:c>
      <x:c r="E2932" s="17" t="str">
        <x:v>DataFlow</x:v>
      </x:c>
      <x:c r="F2932" s="17" t="str">
        <x:v>Lite</x:v>
      </x:c>
      <x:c r="G2932" s="17" t="n">
        <x:v>11717</x:v>
      </x:c>
      <x:c r="H2932" s="17" t="n">
        <x:v>3052</x:v>
      </x:c>
      <x:c r="I2932" s="17" t="str">
        <x:v>Followup</x:v>
      </x:c>
      <x:c r="J2932" s="27" t="n">
        <x:f>INDEX('Model Pricing'!$B$7:$B$8,MATCH(F2932,'Model Pricing'!$A$7:$A$8,0))</x:f>
        <x:v>10</x:v>
      </x:c>
      <x:c r="K2932" s="27" t="n">
        <x:f>INDEX('Model Pricing'!$C$7:$C$8,MATCH(F2932,'Model Pricing'!$A$7:$A$8,0))</x:f>
        <x:v>30</x:v>
      </x:c>
      <x:c r="L2932" s="17" t="n">
        <x:f>G2932+H2932</x:f>
        <x:v>14769</x:v>
      </x:c>
      <x:c r="M2932" s="28" t="n">
        <x:f>G2932*J2932/1000000</x:f>
        <x:v>0.11717</x:v>
      </x:c>
      <x:c r="N2932" s="28" t="n">
        <x:f>H2932*K2932/1000000</x:f>
        <x:v>0.09156</x:v>
      </x:c>
      <x:c r="O2932" s="28" t="n">
        <x:f>SUM(M2932:N2932)</x:f>
        <x:v>0.20873</x:v>
      </x:c>
    </x:row>
    <x:row r="2933" ht="23" customHeight="1">
      <x:c r="A2933" s="17" t="str">
        <x:v>U02927</x:v>
      </x:c>
      <x:c r="B2933" s="18" t="n">
        <x:v>46288</x:v>
      </x:c>
      <x:c r="C2933" s="17" t="str">
        <x:v>W0230</x:v>
      </x:c>
      <x:c r="D2933" s="17" t="str">
        <x:v>C004</x:v>
      </x:c>
      <x:c r="E2933" s="17" t="str">
        <x:v>DataFlow</x:v>
      </x:c>
      <x:c r="F2933" s="17" t="str">
        <x:v>Lite</x:v>
      </x:c>
      <x:c r="G2933" s="17" t="n">
        <x:v>14036</x:v>
      </x:c>
      <x:c r="H2933" s="17" t="n">
        <x:v>3988</x:v>
      </x:c>
      <x:c r="I2933" s="17" t="str">
        <x:v>Followup</x:v>
      </x:c>
      <x:c r="J2933" s="27" t="n">
        <x:f>INDEX('Model Pricing'!$B$7:$B$8,MATCH(F2933,'Model Pricing'!$A$7:$A$8,0))</x:f>
        <x:v>10</x:v>
      </x:c>
      <x:c r="K2933" s="27" t="n">
        <x:f>INDEX('Model Pricing'!$C$7:$C$8,MATCH(F2933,'Model Pricing'!$A$7:$A$8,0))</x:f>
        <x:v>30</x:v>
      </x:c>
      <x:c r="L2933" s="17" t="n">
        <x:f>G2933+H2933</x:f>
        <x:v>18024</x:v>
      </x:c>
      <x:c r="M2933" s="28" t="n">
        <x:f>G2933*J2933/1000000</x:f>
        <x:v>0.14036</x:v>
      </x:c>
      <x:c r="N2933" s="28" t="n">
        <x:f>H2933*K2933/1000000</x:f>
        <x:v>0.11964</x:v>
      </x:c>
      <x:c r="O2933" s="28" t="n">
        <x:f>SUM(M2933:N2933)</x:f>
        <x:v>0.26</x:v>
      </x:c>
    </x:row>
    <x:row r="2934" ht="23" customHeight="1">
      <x:c r="A2934" s="17" t="str">
        <x:v>U02928</x:v>
      </x:c>
      <x:c r="B2934" s="18" t="n">
        <x:v>46289</x:v>
      </x:c>
      <x:c r="C2934" s="17" t="str">
        <x:v>W0230</x:v>
      </x:c>
      <x:c r="D2934" s="17" t="str">
        <x:v>C004</x:v>
      </x:c>
      <x:c r="E2934" s="17" t="str">
        <x:v>DataFlow</x:v>
      </x:c>
      <x:c r="F2934" s="17" t="str">
        <x:v>Lite</x:v>
      </x:c>
      <x:c r="G2934" s="17" t="n">
        <x:v>7917</x:v>
      </x:c>
      <x:c r="H2934" s="17" t="n">
        <x:v>5057</x:v>
      </x:c>
      <x:c r="I2934" s="17" t="str">
        <x:v>Correction</x:v>
      </x:c>
      <x:c r="J2934" s="27" t="n">
        <x:f>INDEX('Model Pricing'!$B$7:$B$8,MATCH(F2934,'Model Pricing'!$A$7:$A$8,0))</x:f>
        <x:v>10</x:v>
      </x:c>
      <x:c r="K2934" s="27" t="n">
        <x:f>INDEX('Model Pricing'!$C$7:$C$8,MATCH(F2934,'Model Pricing'!$A$7:$A$8,0))</x:f>
        <x:v>30</x:v>
      </x:c>
      <x:c r="L2934" s="17" t="n">
        <x:f>G2934+H2934</x:f>
        <x:v>12974</x:v>
      </x:c>
      <x:c r="M2934" s="28" t="n">
        <x:f>G2934*J2934/1000000</x:f>
        <x:v>0.07917</x:v>
      </x:c>
      <x:c r="N2934" s="28" t="n">
        <x:f>H2934*K2934/1000000</x:f>
        <x:v>0.15171</x:v>
      </x:c>
      <x:c r="O2934" s="28" t="n">
        <x:f>SUM(M2934:N2934)</x:f>
        <x:v>0.23088000000000003</x:v>
      </x:c>
    </x:row>
    <x:row r="2935" ht="23" customHeight="1">
      <x:c r="A2935" s="17" t="str">
        <x:v>U02929</x:v>
      </x:c>
      <x:c r="B2935" s="18" t="n">
        <x:v>46289</x:v>
      </x:c>
      <x:c r="C2935" s="17" t="str">
        <x:v>W0230</x:v>
      </x:c>
      <x:c r="D2935" s="17" t="str">
        <x:v>C004</x:v>
      </x:c>
      <x:c r="E2935" s="17" t="str">
        <x:v>DataFlow</x:v>
      </x:c>
      <x:c r="F2935" s="17" t="str">
        <x:v>Lite</x:v>
      </x:c>
      <x:c r="G2935" s="17" t="n">
        <x:v>6758</x:v>
      </x:c>
      <x:c r="H2935" s="17" t="n">
        <x:v>2020</x:v>
      </x:c>
      <x:c r="I2935" s="17" t="str">
        <x:v>Followup</x:v>
      </x:c>
      <x:c r="J2935" s="27" t="n">
        <x:f>INDEX('Model Pricing'!$B$7:$B$8,MATCH(F2935,'Model Pricing'!$A$7:$A$8,0))</x:f>
        <x:v>10</x:v>
      </x:c>
      <x:c r="K2935" s="27" t="n">
        <x:f>INDEX('Model Pricing'!$C$7:$C$8,MATCH(F2935,'Model Pricing'!$A$7:$A$8,0))</x:f>
        <x:v>30</x:v>
      </x:c>
      <x:c r="L2935" s="17" t="n">
        <x:f>G2935+H2935</x:f>
        <x:v>8778</x:v>
      </x:c>
      <x:c r="M2935" s="28" t="n">
        <x:f>G2935*J2935/1000000</x:f>
        <x:v>0.06758</x:v>
      </x:c>
      <x:c r="N2935" s="28" t="n">
        <x:f>H2935*K2935/1000000</x:f>
        <x:v>0.0606</x:v>
      </x:c>
      <x:c r="O2935" s="28" t="n">
        <x:f>SUM(M2935:N2935)</x:f>
        <x:v>0.12818000000000002</x:v>
      </x:c>
    </x:row>
    <x:row r="2936" ht="23" customHeight="1">
      <x:c r="A2936" s="17" t="str">
        <x:v>U02930</x:v>
      </x:c>
      <x:c r="B2936" s="18" t="n">
        <x:v>46289</x:v>
      </x:c>
      <x:c r="C2936" s="17" t="str">
        <x:v>W0230</x:v>
      </x:c>
      <x:c r="D2936" s="17" t="str">
        <x:v>C004</x:v>
      </x:c>
      <x:c r="E2936" s="17" t="str">
        <x:v>DataFlow</x:v>
      </x:c>
      <x:c r="F2936" s="17" t="str">
        <x:v>Lite</x:v>
      </x:c>
      <x:c r="G2936" s="17" t="n">
        <x:v>16912</x:v>
      </x:c>
      <x:c r="H2936" s="17" t="n">
        <x:v>2491</x:v>
      </x:c>
      <x:c r="I2936" s="17" t="str">
        <x:v>Followup</x:v>
      </x:c>
      <x:c r="J2936" s="27" t="n">
        <x:f>INDEX('Model Pricing'!$B$7:$B$8,MATCH(F2936,'Model Pricing'!$A$7:$A$8,0))</x:f>
        <x:v>10</x:v>
      </x:c>
      <x:c r="K2936" s="27" t="n">
        <x:f>INDEX('Model Pricing'!$C$7:$C$8,MATCH(F2936,'Model Pricing'!$A$7:$A$8,0))</x:f>
        <x:v>30</x:v>
      </x:c>
      <x:c r="L2936" s="17" t="n">
        <x:f>G2936+H2936</x:f>
        <x:v>19403</x:v>
      </x:c>
      <x:c r="M2936" s="28" t="n">
        <x:f>G2936*J2936/1000000</x:f>
        <x:v>0.16912</x:v>
      </x:c>
      <x:c r="N2936" s="28" t="n">
        <x:f>H2936*K2936/1000000</x:f>
        <x:v>0.07473</x:v>
      </x:c>
      <x:c r="O2936" s="28" t="n">
        <x:f>SUM(M2936:N2936)</x:f>
        <x:v>0.24385</x:v>
      </x:c>
    </x:row>
    <x:row r="2937" ht="23" customHeight="1">
      <x:c r="A2937" s="17" t="str">
        <x:v>U02931</x:v>
      </x:c>
      <x:c r="B2937" s="18" t="n">
        <x:v>46280</x:v>
      </x:c>
      <x:c r="C2937" s="17" t="str">
        <x:v>W0232</x:v>
      </x:c>
      <x:c r="D2937" s="17" t="str">
        <x:v>C004</x:v>
      </x:c>
      <x:c r="E2937" s="17" t="str">
        <x:v>InsightDesk</x:v>
      </x:c>
      <x:c r="F2937" s="17" t="str">
        <x:v>Lite</x:v>
      </x:c>
      <x:c r="G2937" s="17" t="n">
        <x:v>24807</x:v>
      </x:c>
      <x:c r="H2937" s="17" t="n">
        <x:v>2459</x:v>
      </x:c>
      <x:c r="I2937" s="17" t="str">
        <x:v>First attempt</x:v>
      </x:c>
      <x:c r="J2937" s="27" t="n">
        <x:f>INDEX('Model Pricing'!$B$7:$B$8,MATCH(F2937,'Model Pricing'!$A$7:$A$8,0))</x:f>
        <x:v>10</x:v>
      </x:c>
      <x:c r="K2937" s="27" t="n">
        <x:f>INDEX('Model Pricing'!$C$7:$C$8,MATCH(F2937,'Model Pricing'!$A$7:$A$8,0))</x:f>
        <x:v>30</x:v>
      </x:c>
      <x:c r="L2937" s="17" t="n">
        <x:f>G2937+H2937</x:f>
        <x:v>27266</x:v>
      </x:c>
      <x:c r="M2937" s="28" t="n">
        <x:f>G2937*J2937/1000000</x:f>
        <x:v>0.24807</x:v>
      </x:c>
      <x:c r="N2937" s="28" t="n">
        <x:f>H2937*K2937/1000000</x:f>
        <x:v>0.07377</x:v>
      </x:c>
      <x:c r="O2937" s="28" t="n">
        <x:f>SUM(M2937:N2937)</x:f>
        <x:v>0.32184</x:v>
      </x:c>
    </x:row>
    <x:row r="2938" ht="23" customHeight="1">
      <x:c r="A2938" s="17" t="str">
        <x:v>U02932</x:v>
      </x:c>
      <x:c r="B2938" s="18" t="n">
        <x:v>46280</x:v>
      </x:c>
      <x:c r="C2938" s="17" t="str">
        <x:v>W0232</x:v>
      </x:c>
      <x:c r="D2938" s="17" t="str">
        <x:v>C004</x:v>
      </x:c>
      <x:c r="E2938" s="17" t="str">
        <x:v>InsightDesk</x:v>
      </x:c>
      <x:c r="F2938" s="17" t="str">
        <x:v>Lite</x:v>
      </x:c>
      <x:c r="G2938" s="17" t="n">
        <x:v>19823</x:v>
      </x:c>
      <x:c r="H2938" s="17" t="n">
        <x:v>4392</x:v>
      </x:c>
      <x:c r="I2938" s="17" t="str">
        <x:v>Correction</x:v>
      </x:c>
      <x:c r="J2938" s="27" t="n">
        <x:f>INDEX('Model Pricing'!$B$7:$B$8,MATCH(F2938,'Model Pricing'!$A$7:$A$8,0))</x:f>
        <x:v>10</x:v>
      </x:c>
      <x:c r="K2938" s="27" t="n">
        <x:f>INDEX('Model Pricing'!$C$7:$C$8,MATCH(F2938,'Model Pricing'!$A$7:$A$8,0))</x:f>
        <x:v>30</x:v>
      </x:c>
      <x:c r="L2938" s="17" t="n">
        <x:f>G2938+H2938</x:f>
        <x:v>24215</x:v>
      </x:c>
      <x:c r="M2938" s="28" t="n">
        <x:f>G2938*J2938/1000000</x:f>
        <x:v>0.19823</x:v>
      </x:c>
      <x:c r="N2938" s="28" t="n">
        <x:f>H2938*K2938/1000000</x:f>
        <x:v>0.13176</x:v>
      </x:c>
      <x:c r="O2938" s="28" t="n">
        <x:f>SUM(M2938:N2938)</x:f>
        <x:v>0.32999</x:v>
      </x:c>
    </x:row>
    <x:row r="2939" ht="23" customHeight="1">
      <x:c r="A2939" s="17" t="str">
        <x:v>U02933</x:v>
      </x:c>
      <x:c r="B2939" s="18" t="n">
        <x:v>46280</x:v>
      </x:c>
      <x:c r="C2939" s="17" t="str">
        <x:v>W0232</x:v>
      </x:c>
      <x:c r="D2939" s="17" t="str">
        <x:v>C004</x:v>
      </x:c>
      <x:c r="E2939" s="17" t="str">
        <x:v>InsightDesk</x:v>
      </x:c>
      <x:c r="F2939" s="17" t="str">
        <x:v>Lite</x:v>
      </x:c>
      <x:c r="G2939" s="17" t="n">
        <x:v>23738</x:v>
      </x:c>
      <x:c r="H2939" s="17" t="n">
        <x:v>3185</x:v>
      </x:c>
      <x:c r="I2939" s="17" t="str">
        <x:v>Followup</x:v>
      </x:c>
      <x:c r="J2939" s="27" t="n">
        <x:f>INDEX('Model Pricing'!$B$7:$B$8,MATCH(F2939,'Model Pricing'!$A$7:$A$8,0))</x:f>
        <x:v>10</x:v>
      </x:c>
      <x:c r="K2939" s="27" t="n">
        <x:f>INDEX('Model Pricing'!$C$7:$C$8,MATCH(F2939,'Model Pricing'!$A$7:$A$8,0))</x:f>
        <x:v>30</x:v>
      </x:c>
      <x:c r="L2939" s="17" t="n">
        <x:f>G2939+H2939</x:f>
        <x:v>26923</x:v>
      </x:c>
      <x:c r="M2939" s="28" t="n">
        <x:f>G2939*J2939/1000000</x:f>
        <x:v>0.23738</x:v>
      </x:c>
      <x:c r="N2939" s="28" t="n">
        <x:f>H2939*K2939/1000000</x:f>
        <x:v>0.09555</x:v>
      </x:c>
      <x:c r="O2939" s="28" t="n">
        <x:f>SUM(M2939:N2939)</x:f>
        <x:v>0.33293</x:v>
      </x:c>
    </x:row>
    <x:row r="2940" ht="23" customHeight="1">
      <x:c r="A2940" s="17" t="str">
        <x:v>U02934</x:v>
      </x:c>
      <x:c r="B2940" s="18" t="n">
        <x:v>46281</x:v>
      </x:c>
      <x:c r="C2940" s="17" t="str">
        <x:v>W0232</x:v>
      </x:c>
      <x:c r="D2940" s="17" t="str">
        <x:v>C004</x:v>
      </x:c>
      <x:c r="E2940" s="17" t="str">
        <x:v>InsightDesk</x:v>
      </x:c>
      <x:c r="F2940" s="17" t="str">
        <x:v>Lite</x:v>
      </x:c>
      <x:c r="G2940" s="17" t="n">
        <x:v>28535</x:v>
      </x:c>
      <x:c r="H2940" s="17" t="n">
        <x:v>3517</x:v>
      </x:c>
      <x:c r="I2940" s="17" t="str">
        <x:v>Followup</x:v>
      </x:c>
      <x:c r="J2940" s="27" t="n">
        <x:f>INDEX('Model Pricing'!$B$7:$B$8,MATCH(F2940,'Model Pricing'!$A$7:$A$8,0))</x:f>
        <x:v>10</x:v>
      </x:c>
      <x:c r="K2940" s="27" t="n">
        <x:f>INDEX('Model Pricing'!$C$7:$C$8,MATCH(F2940,'Model Pricing'!$A$7:$A$8,0))</x:f>
        <x:v>30</x:v>
      </x:c>
      <x:c r="L2940" s="17" t="n">
        <x:f>G2940+H2940</x:f>
        <x:v>32052</x:v>
      </x:c>
      <x:c r="M2940" s="28" t="n">
        <x:f>G2940*J2940/1000000</x:f>
        <x:v>0.28535</x:v>
      </x:c>
      <x:c r="N2940" s="28" t="n">
        <x:f>H2940*K2940/1000000</x:f>
        <x:v>0.10551</x:v>
      </x:c>
      <x:c r="O2940" s="28" t="n">
        <x:f>SUM(M2940:N2940)</x:f>
        <x:v>0.39086</x:v>
      </x:c>
    </x:row>
    <x:row r="2941" ht="23" customHeight="1">
      <x:c r="A2941" s="17" t="str">
        <x:v>U02935</x:v>
      </x:c>
      <x:c r="B2941" s="18" t="n">
        <x:v>46281</x:v>
      </x:c>
      <x:c r="C2941" s="17" t="str">
        <x:v>W0232</x:v>
      </x:c>
      <x:c r="D2941" s="17" t="str">
        <x:v>C004</x:v>
      </x:c>
      <x:c r="E2941" s="17" t="str">
        <x:v>InsightDesk</x:v>
      </x:c>
      <x:c r="F2941" s="17" t="str">
        <x:v>Lite</x:v>
      </x:c>
      <x:c r="G2941" s="17" t="n">
        <x:v>23880</x:v>
      </x:c>
      <x:c r="H2941" s="17" t="n">
        <x:v>3563</x:v>
      </x:c>
      <x:c r="I2941" s="17" t="str">
        <x:v>Followup</x:v>
      </x:c>
      <x:c r="J2941" s="27" t="n">
        <x:f>INDEX('Model Pricing'!$B$7:$B$8,MATCH(F2941,'Model Pricing'!$A$7:$A$8,0))</x:f>
        <x:v>10</x:v>
      </x:c>
      <x:c r="K2941" s="27" t="n">
        <x:f>INDEX('Model Pricing'!$C$7:$C$8,MATCH(F2941,'Model Pricing'!$A$7:$A$8,0))</x:f>
        <x:v>30</x:v>
      </x:c>
      <x:c r="L2941" s="17" t="n">
        <x:f>G2941+H2941</x:f>
        <x:v>27443</x:v>
      </x:c>
      <x:c r="M2941" s="28" t="n">
        <x:f>G2941*J2941/1000000</x:f>
        <x:v>0.2388</x:v>
      </x:c>
      <x:c r="N2941" s="28" t="n">
        <x:f>H2941*K2941/1000000</x:f>
        <x:v>0.10689</x:v>
      </x:c>
      <x:c r="O2941" s="28" t="n">
        <x:f>SUM(M2941:N2941)</x:f>
        <x:v>0.34569</x:v>
      </x:c>
    </x:row>
    <x:row r="2942" ht="23" customHeight="1">
      <x:c r="A2942" s="17" t="str">
        <x:v>U02936</x:v>
      </x:c>
      <x:c r="B2942" s="18" t="n">
        <x:v>46282</x:v>
      </x:c>
      <x:c r="C2942" s="17" t="str">
        <x:v>W0232</x:v>
      </x:c>
      <x:c r="D2942" s="17" t="str">
        <x:v>C004</x:v>
      </x:c>
      <x:c r="E2942" s="17" t="str">
        <x:v>InsightDesk</x:v>
      </x:c>
      <x:c r="F2942" s="17" t="str">
        <x:v>Lite</x:v>
      </x:c>
      <x:c r="G2942" s="17" t="n">
        <x:v>19953</x:v>
      </x:c>
      <x:c r="H2942" s="17" t="n">
        <x:v>4860</x:v>
      </x:c>
      <x:c r="I2942" s="17" t="str">
        <x:v>Followup</x:v>
      </x:c>
      <x:c r="J2942" s="27" t="n">
        <x:f>INDEX('Model Pricing'!$B$7:$B$8,MATCH(F2942,'Model Pricing'!$A$7:$A$8,0))</x:f>
        <x:v>10</x:v>
      </x:c>
      <x:c r="K2942" s="27" t="n">
        <x:f>INDEX('Model Pricing'!$C$7:$C$8,MATCH(F2942,'Model Pricing'!$A$7:$A$8,0))</x:f>
        <x:v>30</x:v>
      </x:c>
      <x:c r="L2942" s="17" t="n">
        <x:f>G2942+H2942</x:f>
        <x:v>24813</x:v>
      </x:c>
      <x:c r="M2942" s="28" t="n">
        <x:f>G2942*J2942/1000000</x:f>
        <x:v>0.19953</x:v>
      </x:c>
      <x:c r="N2942" s="28" t="n">
        <x:f>H2942*K2942/1000000</x:f>
        <x:v>0.1458</x:v>
      </x:c>
      <x:c r="O2942" s="28" t="n">
        <x:f>SUM(M2942:N2942)</x:f>
        <x:v>0.34533</x:v>
      </x:c>
    </x:row>
    <x:row r="2943" ht="23" customHeight="1">
      <x:c r="A2943" s="17" t="str">
        <x:v>U02937</x:v>
      </x:c>
      <x:c r="B2943" s="18" t="n">
        <x:v>46282</x:v>
      </x:c>
      <x:c r="C2943" s="17" t="str">
        <x:v>W0232</x:v>
      </x:c>
      <x:c r="D2943" s="17" t="str">
        <x:v>C004</x:v>
      </x:c>
      <x:c r="E2943" s="17" t="str">
        <x:v>InsightDesk</x:v>
      </x:c>
      <x:c r="F2943" s="17" t="str">
        <x:v>Lite</x:v>
      </x:c>
      <x:c r="G2943" s="17" t="n">
        <x:v>33613</x:v>
      </x:c>
      <x:c r="H2943" s="17" t="n">
        <x:v>2440</x:v>
      </x:c>
      <x:c r="I2943" s="17" t="str">
        <x:v>Followup</x:v>
      </x:c>
      <x:c r="J2943" s="27" t="n">
        <x:f>INDEX('Model Pricing'!$B$7:$B$8,MATCH(F2943,'Model Pricing'!$A$7:$A$8,0))</x:f>
        <x:v>10</x:v>
      </x:c>
      <x:c r="K2943" s="27" t="n">
        <x:f>INDEX('Model Pricing'!$C$7:$C$8,MATCH(F2943,'Model Pricing'!$A$7:$A$8,0))</x:f>
        <x:v>30</x:v>
      </x:c>
      <x:c r="L2943" s="17" t="n">
        <x:f>G2943+H2943</x:f>
        <x:v>36053</x:v>
      </x:c>
      <x:c r="M2943" s="28" t="n">
        <x:f>G2943*J2943/1000000</x:f>
        <x:v>0.33613</x:v>
      </x:c>
      <x:c r="N2943" s="28" t="n">
        <x:f>H2943*K2943/1000000</x:f>
        <x:v>0.0732</x:v>
      </x:c>
      <x:c r="O2943" s="28" t="n">
        <x:f>SUM(M2943:N2943)</x:f>
        <x:v>0.40932999999999997</x:v>
      </x:c>
    </x:row>
    <x:row r="2944" ht="23" customHeight="1">
      <x:c r="A2944" s="17" t="str">
        <x:v>U02938</x:v>
      </x:c>
      <x:c r="B2944" s="18" t="n">
        <x:v>46283</x:v>
      </x:c>
      <x:c r="C2944" s="17" t="str">
        <x:v>W0232</x:v>
      </x:c>
      <x:c r="D2944" s="17" t="str">
        <x:v>C004</x:v>
      </x:c>
      <x:c r="E2944" s="17" t="str">
        <x:v>InsightDesk</x:v>
      </x:c>
      <x:c r="F2944" s="17" t="str">
        <x:v>Lite</x:v>
      </x:c>
      <x:c r="G2944" s="17" t="n">
        <x:v>21532</x:v>
      </x:c>
      <x:c r="H2944" s="17" t="n">
        <x:v>3884</x:v>
      </x:c>
      <x:c r="I2944" s="17" t="str">
        <x:v>Followup</x:v>
      </x:c>
      <x:c r="J2944" s="27" t="n">
        <x:f>INDEX('Model Pricing'!$B$7:$B$8,MATCH(F2944,'Model Pricing'!$A$7:$A$8,0))</x:f>
        <x:v>10</x:v>
      </x:c>
      <x:c r="K2944" s="27" t="n">
        <x:f>INDEX('Model Pricing'!$C$7:$C$8,MATCH(F2944,'Model Pricing'!$A$7:$A$8,0))</x:f>
        <x:v>30</x:v>
      </x:c>
      <x:c r="L2944" s="17" t="n">
        <x:f>G2944+H2944</x:f>
        <x:v>25416</x:v>
      </x:c>
      <x:c r="M2944" s="28" t="n">
        <x:f>G2944*J2944/1000000</x:f>
        <x:v>0.21532</x:v>
      </x:c>
      <x:c r="N2944" s="28" t="n">
        <x:f>H2944*K2944/1000000</x:f>
        <x:v>0.11652</x:v>
      </x:c>
      <x:c r="O2944" s="28" t="n">
        <x:f>SUM(M2944:N2944)</x:f>
        <x:v>0.33184</x:v>
      </x:c>
    </x:row>
    <x:row r="2945" ht="23" customHeight="1">
      <x:c r="A2945" s="17" t="str">
        <x:v>U02939</x:v>
      </x:c>
      <x:c r="B2945" s="18" t="n">
        <x:v>46283</x:v>
      </x:c>
      <x:c r="C2945" s="17" t="str">
        <x:v>W0232</x:v>
      </x:c>
      <x:c r="D2945" s="17" t="str">
        <x:v>C004</x:v>
      </x:c>
      <x:c r="E2945" s="17" t="str">
        <x:v>InsightDesk</x:v>
      </x:c>
      <x:c r="F2945" s="17" t="str">
        <x:v>Lite</x:v>
      </x:c>
      <x:c r="G2945" s="17" t="n">
        <x:v>17761</x:v>
      </x:c>
      <x:c r="H2945" s="17" t="n">
        <x:v>3855</x:v>
      </x:c>
      <x:c r="I2945" s="17" t="str">
        <x:v>Followup</x:v>
      </x:c>
      <x:c r="J2945" s="27" t="n">
        <x:f>INDEX('Model Pricing'!$B$7:$B$8,MATCH(F2945,'Model Pricing'!$A$7:$A$8,0))</x:f>
        <x:v>10</x:v>
      </x:c>
      <x:c r="K2945" s="27" t="n">
        <x:f>INDEX('Model Pricing'!$C$7:$C$8,MATCH(F2945,'Model Pricing'!$A$7:$A$8,0))</x:f>
        <x:v>30</x:v>
      </x:c>
      <x:c r="L2945" s="17" t="n">
        <x:f>G2945+H2945</x:f>
        <x:v>21616</x:v>
      </x:c>
      <x:c r="M2945" s="28" t="n">
        <x:f>G2945*J2945/1000000</x:f>
        <x:v>0.17761</x:v>
      </x:c>
      <x:c r="N2945" s="28" t="n">
        <x:f>H2945*K2945/1000000</x:f>
        <x:v>0.11565</x:v>
      </x:c>
      <x:c r="O2945" s="28" t="n">
        <x:f>SUM(M2945:N2945)</x:f>
        <x:v>0.29325999999999997</x:v>
      </x:c>
    </x:row>
    <x:row r="2946" ht="23" customHeight="1">
      <x:c r="A2946" s="17" t="str">
        <x:v>U02940</x:v>
      </x:c>
      <x:c r="B2946" s="18" t="n">
        <x:v>46274</x:v>
      </x:c>
      <x:c r="C2946" s="17" t="str">
        <x:v>W0234</x:v>
      </x:c>
      <x:c r="D2946" s="17" t="str">
        <x:v>C004</x:v>
      </x:c>
      <x:c r="E2946" s="17" t="str">
        <x:v>CopyStudio</x:v>
      </x:c>
      <x:c r="F2946" s="17" t="str">
        <x:v>Lite</x:v>
      </x:c>
      <x:c r="G2946" s="17" t="n">
        <x:v>17806</x:v>
      </x:c>
      <x:c r="H2946" s="17" t="n">
        <x:v>5621</x:v>
      </x:c>
      <x:c r="I2946" s="17" t="str">
        <x:v>First attempt</x:v>
      </x:c>
      <x:c r="J2946" s="27" t="n">
        <x:f>INDEX('Model Pricing'!$B$7:$B$8,MATCH(F2946,'Model Pricing'!$A$7:$A$8,0))</x:f>
        <x:v>10</x:v>
      </x:c>
      <x:c r="K2946" s="27" t="n">
        <x:f>INDEX('Model Pricing'!$C$7:$C$8,MATCH(F2946,'Model Pricing'!$A$7:$A$8,0))</x:f>
        <x:v>30</x:v>
      </x:c>
      <x:c r="L2946" s="17" t="n">
        <x:f>G2946+H2946</x:f>
        <x:v>23427</x:v>
      </x:c>
      <x:c r="M2946" s="28" t="n">
        <x:f>G2946*J2946/1000000</x:f>
        <x:v>0.17806</x:v>
      </x:c>
      <x:c r="N2946" s="28" t="n">
        <x:f>H2946*K2946/1000000</x:f>
        <x:v>0.16863</x:v>
      </x:c>
      <x:c r="O2946" s="28" t="n">
        <x:f>SUM(M2946:N2946)</x:f>
        <x:v>0.34669</x:v>
      </x:c>
    </x:row>
    <x:row r="2947" ht="23" customHeight="1">
      <x:c r="A2947" s="17" t="str">
        <x:v>U02941</x:v>
      </x:c>
      <x:c r="B2947" s="18" t="n">
        <x:v>46274</x:v>
      </x:c>
      <x:c r="C2947" s="17" t="str">
        <x:v>W0234</x:v>
      </x:c>
      <x:c r="D2947" s="17" t="str">
        <x:v>C004</x:v>
      </x:c>
      <x:c r="E2947" s="17" t="str">
        <x:v>CopyStudio</x:v>
      </x:c>
      <x:c r="F2947" s="17" t="str">
        <x:v>Lite</x:v>
      </x:c>
      <x:c r="G2947" s="17" t="n">
        <x:v>17140</x:v>
      </x:c>
      <x:c r="H2947" s="17" t="n">
        <x:v>7764</x:v>
      </x:c>
      <x:c r="I2947" s="17" t="str">
        <x:v>Correction</x:v>
      </x:c>
      <x:c r="J2947" s="27" t="n">
        <x:f>INDEX('Model Pricing'!$B$7:$B$8,MATCH(F2947,'Model Pricing'!$A$7:$A$8,0))</x:f>
        <x:v>10</x:v>
      </x:c>
      <x:c r="K2947" s="27" t="n">
        <x:f>INDEX('Model Pricing'!$C$7:$C$8,MATCH(F2947,'Model Pricing'!$A$7:$A$8,0))</x:f>
        <x:v>30</x:v>
      </x:c>
      <x:c r="L2947" s="17" t="n">
        <x:f>G2947+H2947</x:f>
        <x:v>24904</x:v>
      </x:c>
      <x:c r="M2947" s="28" t="n">
        <x:f>G2947*J2947/1000000</x:f>
        <x:v>0.1714</x:v>
      </x:c>
      <x:c r="N2947" s="28" t="n">
        <x:f>H2947*K2947/1000000</x:f>
        <x:v>0.23292</x:v>
      </x:c>
      <x:c r="O2947" s="28" t="n">
        <x:f>SUM(M2947:N2947)</x:f>
        <x:v>0.40432</x:v>
      </x:c>
    </x:row>
    <x:row r="2948" ht="23" customHeight="1">
      <x:c r="A2948" s="17" t="str">
        <x:v>U02942</x:v>
      </x:c>
      <x:c r="B2948" s="18" t="n">
        <x:v>46274</x:v>
      </x:c>
      <x:c r="C2948" s="17" t="str">
        <x:v>W0234</x:v>
      </x:c>
      <x:c r="D2948" s="17" t="str">
        <x:v>C004</x:v>
      </x:c>
      <x:c r="E2948" s="17" t="str">
        <x:v>CopyStudio</x:v>
      </x:c>
      <x:c r="F2948" s="17" t="str">
        <x:v>Lite</x:v>
      </x:c>
      <x:c r="G2948" s="17" t="n">
        <x:v>12570</x:v>
      </x:c>
      <x:c r="H2948" s="17" t="n">
        <x:v>5779</x:v>
      </x:c>
      <x:c r="I2948" s="17" t="str">
        <x:v>Followup</x:v>
      </x:c>
      <x:c r="J2948" s="27" t="n">
        <x:f>INDEX('Model Pricing'!$B$7:$B$8,MATCH(F2948,'Model Pricing'!$A$7:$A$8,0))</x:f>
        <x:v>10</x:v>
      </x:c>
      <x:c r="K2948" s="27" t="n">
        <x:f>INDEX('Model Pricing'!$C$7:$C$8,MATCH(F2948,'Model Pricing'!$A$7:$A$8,0))</x:f>
        <x:v>30</x:v>
      </x:c>
      <x:c r="L2948" s="17" t="n">
        <x:f>G2948+H2948</x:f>
        <x:v>18349</x:v>
      </x:c>
      <x:c r="M2948" s="28" t="n">
        <x:f>G2948*J2948/1000000</x:f>
        <x:v>0.1257</x:v>
      </x:c>
      <x:c r="N2948" s="28" t="n">
        <x:f>H2948*K2948/1000000</x:f>
        <x:v>0.17337</x:v>
      </x:c>
      <x:c r="O2948" s="28" t="n">
        <x:f>SUM(M2948:N2948)</x:f>
        <x:v>0.29907</x:v>
      </x:c>
    </x:row>
    <x:row r="2949" ht="23" customHeight="1">
      <x:c r="A2949" s="17" t="str">
        <x:v>U02943</x:v>
      </x:c>
      <x:c r="B2949" s="18" t="n">
        <x:v>46274</x:v>
      </x:c>
      <x:c r="C2949" s="17" t="str">
        <x:v>W0234</x:v>
      </x:c>
      <x:c r="D2949" s="17" t="str">
        <x:v>C004</x:v>
      </x:c>
      <x:c r="E2949" s="17" t="str">
        <x:v>CopyStudio</x:v>
      </x:c>
      <x:c r="F2949" s="17" t="str">
        <x:v>Lite</x:v>
      </x:c>
      <x:c r="G2949" s="17" t="n">
        <x:v>12751</x:v>
      </x:c>
      <x:c r="H2949" s="17" t="n">
        <x:v>5222</x:v>
      </x:c>
      <x:c r="I2949" s="17" t="str">
        <x:v>Correction</x:v>
      </x:c>
      <x:c r="J2949" s="27" t="n">
        <x:f>INDEX('Model Pricing'!$B$7:$B$8,MATCH(F2949,'Model Pricing'!$A$7:$A$8,0))</x:f>
        <x:v>10</x:v>
      </x:c>
      <x:c r="K2949" s="27" t="n">
        <x:f>INDEX('Model Pricing'!$C$7:$C$8,MATCH(F2949,'Model Pricing'!$A$7:$A$8,0))</x:f>
        <x:v>30</x:v>
      </x:c>
      <x:c r="L2949" s="17" t="n">
        <x:f>G2949+H2949</x:f>
        <x:v>17973</x:v>
      </x:c>
      <x:c r="M2949" s="28" t="n">
        <x:f>G2949*J2949/1000000</x:f>
        <x:v>0.12751</x:v>
      </x:c>
      <x:c r="N2949" s="28" t="n">
        <x:f>H2949*K2949/1000000</x:f>
        <x:v>0.15666</x:v>
      </x:c>
      <x:c r="O2949" s="28" t="n">
        <x:f>SUM(M2949:N2949)</x:f>
        <x:v>0.28417000000000003</x:v>
      </x:c>
    </x:row>
    <x:row r="2950" ht="23" customHeight="1">
      <x:c r="A2950" s="17" t="str">
        <x:v>U02944</x:v>
      </x:c>
      <x:c r="B2950" s="18" t="n">
        <x:v>46274</x:v>
      </x:c>
      <x:c r="C2950" s="17" t="str">
        <x:v>W0234</x:v>
      </x:c>
      <x:c r="D2950" s="17" t="str">
        <x:v>C004</x:v>
      </x:c>
      <x:c r="E2950" s="17" t="str">
        <x:v>CopyStudio</x:v>
      </x:c>
      <x:c r="F2950" s="17" t="str">
        <x:v>Lite</x:v>
      </x:c>
      <x:c r="G2950" s="17" t="n">
        <x:v>14770</x:v>
      </x:c>
      <x:c r="H2950" s="17" t="n">
        <x:v>2378</x:v>
      </x:c>
      <x:c r="I2950" s="17" t="str">
        <x:v>Followup</x:v>
      </x:c>
      <x:c r="J2950" s="27" t="n">
        <x:f>INDEX('Model Pricing'!$B$7:$B$8,MATCH(F2950,'Model Pricing'!$A$7:$A$8,0))</x:f>
        <x:v>10</x:v>
      </x:c>
      <x:c r="K2950" s="27" t="n">
        <x:f>INDEX('Model Pricing'!$C$7:$C$8,MATCH(F2950,'Model Pricing'!$A$7:$A$8,0))</x:f>
        <x:v>30</x:v>
      </x:c>
      <x:c r="L2950" s="17" t="n">
        <x:f>G2950+H2950</x:f>
        <x:v>17148</x:v>
      </x:c>
      <x:c r="M2950" s="28" t="n">
        <x:f>G2950*J2950/1000000</x:f>
        <x:v>0.1477</x:v>
      </x:c>
      <x:c r="N2950" s="28" t="n">
        <x:f>H2950*K2950/1000000</x:f>
        <x:v>0.07134</x:v>
      </x:c>
      <x:c r="O2950" s="28" t="n">
        <x:f>SUM(M2950:N2950)</x:f>
        <x:v>0.21904</x:v>
      </x:c>
    </x:row>
    <x:row r="2951" ht="23" customHeight="1">
      <x:c r="A2951" s="17" t="str">
        <x:v>U02945</x:v>
      </x:c>
      <x:c r="B2951" s="18" t="n">
        <x:v>46275</x:v>
      </x:c>
      <x:c r="C2951" s="17" t="str">
        <x:v>W0234</x:v>
      </x:c>
      <x:c r="D2951" s="17" t="str">
        <x:v>C004</x:v>
      </x:c>
      <x:c r="E2951" s="17" t="str">
        <x:v>CopyStudio</x:v>
      </x:c>
      <x:c r="F2951" s="17" t="str">
        <x:v>Lite</x:v>
      </x:c>
      <x:c r="G2951" s="17" t="n">
        <x:v>12237</x:v>
      </x:c>
      <x:c r="H2951" s="17" t="n">
        <x:v>5128</x:v>
      </x:c>
      <x:c r="I2951" s="17" t="str">
        <x:v>Followup</x:v>
      </x:c>
      <x:c r="J2951" s="27" t="n">
        <x:f>INDEX('Model Pricing'!$B$7:$B$8,MATCH(F2951,'Model Pricing'!$A$7:$A$8,0))</x:f>
        <x:v>10</x:v>
      </x:c>
      <x:c r="K2951" s="27" t="n">
        <x:f>INDEX('Model Pricing'!$C$7:$C$8,MATCH(F2951,'Model Pricing'!$A$7:$A$8,0))</x:f>
        <x:v>30</x:v>
      </x:c>
      <x:c r="L2951" s="17" t="n">
        <x:f>G2951+H2951</x:f>
        <x:v>17365</x:v>
      </x:c>
      <x:c r="M2951" s="28" t="n">
        <x:f>G2951*J2951/1000000</x:f>
        <x:v>0.12237</x:v>
      </x:c>
      <x:c r="N2951" s="28" t="n">
        <x:f>H2951*K2951/1000000</x:f>
        <x:v>0.15384</x:v>
      </x:c>
      <x:c r="O2951" s="28" t="n">
        <x:f>SUM(M2951:N2951)</x:f>
        <x:v>0.27621</x:v>
      </x:c>
    </x:row>
    <x:row r="2952" ht="23" customHeight="1">
      <x:c r="A2952" s="17" t="str">
        <x:v>U02946</x:v>
      </x:c>
      <x:c r="B2952" s="18" t="n">
        <x:v>46275</x:v>
      </x:c>
      <x:c r="C2952" s="17" t="str">
        <x:v>W0234</x:v>
      </x:c>
      <x:c r="D2952" s="17" t="str">
        <x:v>C004</x:v>
      </x:c>
      <x:c r="E2952" s="17" t="str">
        <x:v>CopyStudio</x:v>
      </x:c>
      <x:c r="F2952" s="17" t="str">
        <x:v>Lite</x:v>
      </x:c>
      <x:c r="G2952" s="17" t="n">
        <x:v>18206</x:v>
      </x:c>
      <x:c r="H2952" s="17" t="n">
        <x:v>2571</x:v>
      </x:c>
      <x:c r="I2952" s="17" t="str">
        <x:v>Followup</x:v>
      </x:c>
      <x:c r="J2952" s="27" t="n">
        <x:f>INDEX('Model Pricing'!$B$7:$B$8,MATCH(F2952,'Model Pricing'!$A$7:$A$8,0))</x:f>
        <x:v>10</x:v>
      </x:c>
      <x:c r="K2952" s="27" t="n">
        <x:f>INDEX('Model Pricing'!$C$7:$C$8,MATCH(F2952,'Model Pricing'!$A$7:$A$8,0))</x:f>
        <x:v>30</x:v>
      </x:c>
      <x:c r="L2952" s="17" t="n">
        <x:f>G2952+H2952</x:f>
        <x:v>20777</x:v>
      </x:c>
      <x:c r="M2952" s="28" t="n">
        <x:f>G2952*J2952/1000000</x:f>
        <x:v>0.18206</x:v>
      </x:c>
      <x:c r="N2952" s="28" t="n">
        <x:f>H2952*K2952/1000000</x:f>
        <x:v>0.07713</x:v>
      </x:c>
      <x:c r="O2952" s="28" t="n">
        <x:f>SUM(M2952:N2952)</x:f>
        <x:v>0.25919000000000003</x:v>
      </x:c>
    </x:row>
    <x:row r="2953" ht="23" customHeight="1">
      <x:c r="A2953" s="17" t="str">
        <x:v>U02947</x:v>
      </x:c>
      <x:c r="B2953" s="18" t="n">
        <x:v>46275</x:v>
      </x:c>
      <x:c r="C2953" s="17" t="str">
        <x:v>W0234</x:v>
      </x:c>
      <x:c r="D2953" s="17" t="str">
        <x:v>C004</x:v>
      </x:c>
      <x:c r="E2953" s="17" t="str">
        <x:v>CopyStudio</x:v>
      </x:c>
      <x:c r="F2953" s="17" t="str">
        <x:v>Lite</x:v>
      </x:c>
      <x:c r="G2953" s="17" t="n">
        <x:v>10599</x:v>
      </x:c>
      <x:c r="H2953" s="17" t="n">
        <x:v>4208</x:v>
      </x:c>
      <x:c r="I2953" s="17" t="str">
        <x:v>Correction</x:v>
      </x:c>
      <x:c r="J2953" s="27" t="n">
        <x:f>INDEX('Model Pricing'!$B$7:$B$8,MATCH(F2953,'Model Pricing'!$A$7:$A$8,0))</x:f>
        <x:v>10</x:v>
      </x:c>
      <x:c r="K2953" s="27" t="n">
        <x:f>INDEX('Model Pricing'!$C$7:$C$8,MATCH(F2953,'Model Pricing'!$A$7:$A$8,0))</x:f>
        <x:v>30</x:v>
      </x:c>
      <x:c r="L2953" s="17" t="n">
        <x:f>G2953+H2953</x:f>
        <x:v>14807</x:v>
      </x:c>
      <x:c r="M2953" s="28" t="n">
        <x:f>G2953*J2953/1000000</x:f>
        <x:v>0.10599</x:v>
      </x:c>
      <x:c r="N2953" s="28" t="n">
        <x:f>H2953*K2953/1000000</x:f>
        <x:v>0.12624</x:v>
      </x:c>
      <x:c r="O2953" s="28" t="n">
        <x:f>SUM(M2953:N2953)</x:f>
        <x:v>0.23223</x:v>
      </x:c>
    </x:row>
    <x:row r="2954" ht="23" customHeight="1">
      <x:c r="A2954" s="17" t="str">
        <x:v>U02948</x:v>
      </x:c>
      <x:c r="B2954" s="18" t="n">
        <x:v>46275</x:v>
      </x:c>
      <x:c r="C2954" s="17" t="str">
        <x:v>W0234</x:v>
      </x:c>
      <x:c r="D2954" s="17" t="str">
        <x:v>C004</x:v>
      </x:c>
      <x:c r="E2954" s="17" t="str">
        <x:v>CopyStudio</x:v>
      </x:c>
      <x:c r="F2954" s="17" t="str">
        <x:v>Lite</x:v>
      </x:c>
      <x:c r="G2954" s="17" t="n">
        <x:v>14779</x:v>
      </x:c>
      <x:c r="H2954" s="17" t="n">
        <x:v>5986</x:v>
      </x:c>
      <x:c r="I2954" s="17" t="str">
        <x:v>Followup</x:v>
      </x:c>
      <x:c r="J2954" s="27" t="n">
        <x:f>INDEX('Model Pricing'!$B$7:$B$8,MATCH(F2954,'Model Pricing'!$A$7:$A$8,0))</x:f>
        <x:v>10</x:v>
      </x:c>
      <x:c r="K2954" s="27" t="n">
        <x:f>INDEX('Model Pricing'!$C$7:$C$8,MATCH(F2954,'Model Pricing'!$A$7:$A$8,0))</x:f>
        <x:v>30</x:v>
      </x:c>
      <x:c r="L2954" s="17" t="n">
        <x:f>G2954+H2954</x:f>
        <x:v>20765</x:v>
      </x:c>
      <x:c r="M2954" s="28" t="n">
        <x:f>G2954*J2954/1000000</x:f>
        <x:v>0.14779</x:v>
      </x:c>
      <x:c r="N2954" s="28" t="n">
        <x:f>H2954*K2954/1000000</x:f>
        <x:v>0.17958</x:v>
      </x:c>
      <x:c r="O2954" s="28" t="n">
        <x:f>SUM(M2954:N2954)</x:f>
        <x:v>0.32737</x:v>
      </x:c>
    </x:row>
    <x:row r="2955" ht="23" customHeight="1">
      <x:c r="A2955" s="17" t="str">
        <x:v>U02949</x:v>
      </x:c>
      <x:c r="B2955" s="18" t="n">
        <x:v>46275</x:v>
      </x:c>
      <x:c r="C2955" s="17" t="str">
        <x:v>W0234</x:v>
      </x:c>
      <x:c r="D2955" s="17" t="str">
        <x:v>C004</x:v>
      </x:c>
      <x:c r="E2955" s="17" t="str">
        <x:v>CopyStudio</x:v>
      </x:c>
      <x:c r="F2955" s="17" t="str">
        <x:v>Lite</x:v>
      </x:c>
      <x:c r="G2955" s="17" t="n">
        <x:v>16607</x:v>
      </x:c>
      <x:c r="H2955" s="17" t="n">
        <x:v>2481</x:v>
      </x:c>
      <x:c r="I2955" s="17" t="str">
        <x:v>Followup</x:v>
      </x:c>
      <x:c r="J2955" s="27" t="n">
        <x:f>INDEX('Model Pricing'!$B$7:$B$8,MATCH(F2955,'Model Pricing'!$A$7:$A$8,0))</x:f>
        <x:v>10</x:v>
      </x:c>
      <x:c r="K2955" s="27" t="n">
        <x:f>INDEX('Model Pricing'!$C$7:$C$8,MATCH(F2955,'Model Pricing'!$A$7:$A$8,0))</x:f>
        <x:v>30</x:v>
      </x:c>
      <x:c r="L2955" s="17" t="n">
        <x:f>G2955+H2955</x:f>
        <x:v>19088</x:v>
      </x:c>
      <x:c r="M2955" s="28" t="n">
        <x:f>G2955*J2955/1000000</x:f>
        <x:v>0.16607</x:v>
      </x:c>
      <x:c r="N2955" s="28" t="n">
        <x:f>H2955*K2955/1000000</x:f>
        <x:v>0.07443</x:v>
      </x:c>
      <x:c r="O2955" s="28" t="n">
        <x:f>SUM(M2955:N2955)</x:f>
        <x:v>0.2405</x:v>
      </x:c>
    </x:row>
    <x:row r="2956" ht="23" customHeight="1">
      <x:c r="A2956" s="17" t="str">
        <x:v>U02950</x:v>
      </x:c>
      <x:c r="B2956" s="18" t="n">
        <x:v>46276</x:v>
      </x:c>
      <x:c r="C2956" s="17" t="str">
        <x:v>W0234</x:v>
      </x:c>
      <x:c r="D2956" s="17" t="str">
        <x:v>C004</x:v>
      </x:c>
      <x:c r="E2956" s="17" t="str">
        <x:v>CopyStudio</x:v>
      </x:c>
      <x:c r="F2956" s="17" t="str">
        <x:v>Lite</x:v>
      </x:c>
      <x:c r="G2956" s="17" t="n">
        <x:v>11276</x:v>
      </x:c>
      <x:c r="H2956" s="17" t="n">
        <x:v>2817</x:v>
      </x:c>
      <x:c r="I2956" s="17" t="str">
        <x:v>Followup</x:v>
      </x:c>
      <x:c r="J2956" s="27" t="n">
        <x:f>INDEX('Model Pricing'!$B$7:$B$8,MATCH(F2956,'Model Pricing'!$A$7:$A$8,0))</x:f>
        <x:v>10</x:v>
      </x:c>
      <x:c r="K2956" s="27" t="n">
        <x:f>INDEX('Model Pricing'!$C$7:$C$8,MATCH(F2956,'Model Pricing'!$A$7:$A$8,0))</x:f>
        <x:v>30</x:v>
      </x:c>
      <x:c r="L2956" s="17" t="n">
        <x:f>G2956+H2956</x:f>
        <x:v>14093</x:v>
      </x:c>
      <x:c r="M2956" s="28" t="n">
        <x:f>G2956*J2956/1000000</x:f>
        <x:v>0.11276</x:v>
      </x:c>
      <x:c r="N2956" s="28" t="n">
        <x:f>H2956*K2956/1000000</x:f>
        <x:v>0.08451</x:v>
      </x:c>
      <x:c r="O2956" s="28" t="n">
        <x:f>SUM(M2956:N2956)</x:f>
        <x:v>0.19727</x:v>
      </x:c>
    </x:row>
    <x:row r="2957" ht="23" customHeight="1">
      <x:c r="A2957" s="17" t="str">
        <x:v>U02951</x:v>
      </x:c>
      <x:c r="B2957" s="18" t="n">
        <x:v>46276</x:v>
      </x:c>
      <x:c r="C2957" s="17" t="str">
        <x:v>W0234</x:v>
      </x:c>
      <x:c r="D2957" s="17" t="str">
        <x:v>C004</x:v>
      </x:c>
      <x:c r="E2957" s="17" t="str">
        <x:v>CopyStudio</x:v>
      </x:c>
      <x:c r="F2957" s="17" t="str">
        <x:v>Lite</x:v>
      </x:c>
      <x:c r="G2957" s="17" t="n">
        <x:v>18326</x:v>
      </x:c>
      <x:c r="H2957" s="17" t="n">
        <x:v>2368</x:v>
      </x:c>
      <x:c r="I2957" s="17" t="str">
        <x:v>Followup</x:v>
      </x:c>
      <x:c r="J2957" s="27" t="n">
        <x:f>INDEX('Model Pricing'!$B$7:$B$8,MATCH(F2957,'Model Pricing'!$A$7:$A$8,0))</x:f>
        <x:v>10</x:v>
      </x:c>
      <x:c r="K2957" s="27" t="n">
        <x:f>INDEX('Model Pricing'!$C$7:$C$8,MATCH(F2957,'Model Pricing'!$A$7:$A$8,0))</x:f>
        <x:v>30</x:v>
      </x:c>
      <x:c r="L2957" s="17" t="n">
        <x:f>G2957+H2957</x:f>
        <x:v>20694</x:v>
      </x:c>
      <x:c r="M2957" s="28" t="n">
        <x:f>G2957*J2957/1000000</x:f>
        <x:v>0.18326</x:v>
      </x:c>
      <x:c r="N2957" s="28" t="n">
        <x:f>H2957*K2957/1000000</x:f>
        <x:v>0.07104</x:v>
      </x:c>
      <x:c r="O2957" s="28" t="n">
        <x:f>SUM(M2957:N2957)</x:f>
        <x:v>0.2543</x:v>
      </x:c>
    </x:row>
    <x:row r="2958" ht="23" customHeight="1">
      <x:c r="A2958" s="17" t="str">
        <x:v>U02952</x:v>
      </x:c>
      <x:c r="B2958" s="18" t="n">
        <x:v>46276</x:v>
      </x:c>
      <x:c r="C2958" s="17" t="str">
        <x:v>W0234</x:v>
      </x:c>
      <x:c r="D2958" s="17" t="str">
        <x:v>C004</x:v>
      </x:c>
      <x:c r="E2958" s="17" t="str">
        <x:v>CopyStudio</x:v>
      </x:c>
      <x:c r="F2958" s="17" t="str">
        <x:v>Lite</x:v>
      </x:c>
      <x:c r="G2958" s="17" t="n">
        <x:v>15627</x:v>
      </x:c>
      <x:c r="H2958" s="17" t="n">
        <x:v>4545</x:v>
      </x:c>
      <x:c r="I2958" s="17" t="str">
        <x:v>Followup</x:v>
      </x:c>
      <x:c r="J2958" s="27" t="n">
        <x:f>INDEX('Model Pricing'!$B$7:$B$8,MATCH(F2958,'Model Pricing'!$A$7:$A$8,0))</x:f>
        <x:v>10</x:v>
      </x:c>
      <x:c r="K2958" s="27" t="n">
        <x:f>INDEX('Model Pricing'!$C$7:$C$8,MATCH(F2958,'Model Pricing'!$A$7:$A$8,0))</x:f>
        <x:v>30</x:v>
      </x:c>
      <x:c r="L2958" s="17" t="n">
        <x:f>G2958+H2958</x:f>
        <x:v>20172</x:v>
      </x:c>
      <x:c r="M2958" s="28" t="n">
        <x:f>G2958*J2958/1000000</x:f>
        <x:v>0.15627</x:v>
      </x:c>
      <x:c r="N2958" s="28" t="n">
        <x:f>H2958*K2958/1000000</x:f>
        <x:v>0.13635</x:v>
      </x:c>
      <x:c r="O2958" s="28" t="n">
        <x:f>SUM(M2958:N2958)</x:f>
        <x:v>0.29262</x:v>
      </x:c>
    </x:row>
    <x:row r="2959" ht="23" customHeight="1">
      <x:c r="A2959" s="17" t="str">
        <x:v>U02953</x:v>
      </x:c>
      <x:c r="B2959" s="18" t="n">
        <x:v>46276</x:v>
      </x:c>
      <x:c r="C2959" s="17" t="str">
        <x:v>W0234</x:v>
      </x:c>
      <x:c r="D2959" s="17" t="str">
        <x:v>C004</x:v>
      </x:c>
      <x:c r="E2959" s="17" t="str">
        <x:v>CopyStudio</x:v>
      </x:c>
      <x:c r="F2959" s="17" t="str">
        <x:v>Lite</x:v>
      </x:c>
      <x:c r="G2959" s="17" t="n">
        <x:v>9177</x:v>
      </x:c>
      <x:c r="H2959" s="17" t="n">
        <x:v>7482</x:v>
      </x:c>
      <x:c r="I2959" s="17" t="str">
        <x:v>Followup</x:v>
      </x:c>
      <x:c r="J2959" s="27" t="n">
        <x:f>INDEX('Model Pricing'!$B$7:$B$8,MATCH(F2959,'Model Pricing'!$A$7:$A$8,0))</x:f>
        <x:v>10</x:v>
      </x:c>
      <x:c r="K2959" s="27" t="n">
        <x:f>INDEX('Model Pricing'!$C$7:$C$8,MATCH(F2959,'Model Pricing'!$A$7:$A$8,0))</x:f>
        <x:v>30</x:v>
      </x:c>
      <x:c r="L2959" s="17" t="n">
        <x:f>G2959+H2959</x:f>
        <x:v>16659</x:v>
      </x:c>
      <x:c r="M2959" s="28" t="n">
        <x:f>G2959*J2959/1000000</x:f>
        <x:v>0.09177</x:v>
      </x:c>
      <x:c r="N2959" s="28" t="n">
        <x:f>H2959*K2959/1000000</x:f>
        <x:v>0.22446</x:v>
      </x:c>
      <x:c r="O2959" s="28" t="n">
        <x:f>SUM(M2959:N2959)</x:f>
        <x:v>0.31623</x:v>
      </x:c>
    </x:row>
    <x:row r="2960" ht="23" customHeight="1">
      <x:c r="A2960" s="17" t="str">
        <x:v>U02954</x:v>
      </x:c>
      <x:c r="B2960" s="18" t="n">
        <x:v>46276</x:v>
      </x:c>
      <x:c r="C2960" s="17" t="str">
        <x:v>W0234</x:v>
      </x:c>
      <x:c r="D2960" s="17" t="str">
        <x:v>C004</x:v>
      </x:c>
      <x:c r="E2960" s="17" t="str">
        <x:v>CopyStudio</x:v>
      </x:c>
      <x:c r="F2960" s="17" t="str">
        <x:v>Lite</x:v>
      </x:c>
      <x:c r="G2960" s="17" t="n">
        <x:v>25025</x:v>
      </x:c>
      <x:c r="H2960" s="17" t="n">
        <x:v>5857</x:v>
      </x:c>
      <x:c r="I2960" s="17" t="str">
        <x:v>Followup</x:v>
      </x:c>
      <x:c r="J2960" s="27" t="n">
        <x:f>INDEX('Model Pricing'!$B$7:$B$8,MATCH(F2960,'Model Pricing'!$A$7:$A$8,0))</x:f>
        <x:v>10</x:v>
      </x:c>
      <x:c r="K2960" s="27" t="n">
        <x:f>INDEX('Model Pricing'!$C$7:$C$8,MATCH(F2960,'Model Pricing'!$A$7:$A$8,0))</x:f>
        <x:v>30</x:v>
      </x:c>
      <x:c r="L2960" s="17" t="n">
        <x:f>G2960+H2960</x:f>
        <x:v>30882</x:v>
      </x:c>
      <x:c r="M2960" s="28" t="n">
        <x:f>G2960*J2960/1000000</x:f>
        <x:v>0.25025</x:v>
      </x:c>
      <x:c r="N2960" s="28" t="n">
        <x:f>H2960*K2960/1000000</x:f>
        <x:v>0.17571</x:v>
      </x:c>
      <x:c r="O2960" s="28" t="n">
        <x:f>SUM(M2960:N2960)</x:f>
        <x:v>0.42596</x:v>
      </x:c>
    </x:row>
    <x:row r="2961" ht="23" customHeight="1">
      <x:c r="A2961" s="17" t="str">
        <x:v>U02955</x:v>
      </x:c>
      <x:c r="B2961" s="18" t="n">
        <x:v>46279</x:v>
      </x:c>
      <x:c r="C2961" s="17" t="str">
        <x:v>W0234</x:v>
      </x:c>
      <x:c r="D2961" s="17" t="str">
        <x:v>C004</x:v>
      </x:c>
      <x:c r="E2961" s="17" t="str">
        <x:v>CopyStudio</x:v>
      </x:c>
      <x:c r="F2961" s="17" t="str">
        <x:v>Lite</x:v>
      </x:c>
      <x:c r="G2961" s="17" t="n">
        <x:v>13907</x:v>
      </x:c>
      <x:c r="H2961" s="17" t="n">
        <x:v>6575</x:v>
      </x:c>
      <x:c r="I2961" s="17" t="str">
        <x:v>Correction</x:v>
      </x:c>
      <x:c r="J2961" s="27" t="n">
        <x:f>INDEX('Model Pricing'!$B$7:$B$8,MATCH(F2961,'Model Pricing'!$A$7:$A$8,0))</x:f>
        <x:v>10</x:v>
      </x:c>
      <x:c r="K2961" s="27" t="n">
        <x:f>INDEX('Model Pricing'!$C$7:$C$8,MATCH(F2961,'Model Pricing'!$A$7:$A$8,0))</x:f>
        <x:v>30</x:v>
      </x:c>
      <x:c r="L2961" s="17" t="n">
        <x:f>G2961+H2961</x:f>
        <x:v>20482</x:v>
      </x:c>
      <x:c r="M2961" s="28" t="n">
        <x:f>G2961*J2961/1000000</x:f>
        <x:v>0.13907</x:v>
      </x:c>
      <x:c r="N2961" s="28" t="n">
        <x:f>H2961*K2961/1000000</x:f>
        <x:v>0.19725</x:v>
      </x:c>
      <x:c r="O2961" s="28" t="n">
        <x:f>SUM(M2961:N2961)</x:f>
        <x:v>0.33632</x:v>
      </x:c>
    </x:row>
    <x:row r="2962" ht="23" customHeight="1">
      <x:c r="A2962" s="17" t="str">
        <x:v>U02956</x:v>
      </x:c>
      <x:c r="B2962" s="18" t="n">
        <x:v>46279</x:v>
      </x:c>
      <x:c r="C2962" s="17" t="str">
        <x:v>W0234</x:v>
      </x:c>
      <x:c r="D2962" s="17" t="str">
        <x:v>C004</x:v>
      </x:c>
      <x:c r="E2962" s="17" t="str">
        <x:v>CopyStudio</x:v>
      </x:c>
      <x:c r="F2962" s="17" t="str">
        <x:v>Lite</x:v>
      </x:c>
      <x:c r="G2962" s="17" t="n">
        <x:v>11097</x:v>
      </x:c>
      <x:c r="H2962" s="17" t="n">
        <x:v>7624</x:v>
      </x:c>
      <x:c r="I2962" s="17" t="str">
        <x:v>Followup</x:v>
      </x:c>
      <x:c r="J2962" s="27" t="n">
        <x:f>INDEX('Model Pricing'!$B$7:$B$8,MATCH(F2962,'Model Pricing'!$A$7:$A$8,0))</x:f>
        <x:v>10</x:v>
      </x:c>
      <x:c r="K2962" s="27" t="n">
        <x:f>INDEX('Model Pricing'!$C$7:$C$8,MATCH(F2962,'Model Pricing'!$A$7:$A$8,0))</x:f>
        <x:v>30</x:v>
      </x:c>
      <x:c r="L2962" s="17" t="n">
        <x:f>G2962+H2962</x:f>
        <x:v>18721</x:v>
      </x:c>
      <x:c r="M2962" s="28" t="n">
        <x:f>G2962*J2962/1000000</x:f>
        <x:v>0.11097</x:v>
      </x:c>
      <x:c r="N2962" s="28" t="n">
        <x:f>H2962*K2962/1000000</x:f>
        <x:v>0.22872</x:v>
      </x:c>
      <x:c r="O2962" s="28" t="n">
        <x:f>SUM(M2962:N2962)</x:f>
        <x:v>0.33969</x:v>
      </x:c>
    </x:row>
    <x:row r="2963" ht="23" customHeight="1">
      <x:c r="A2963" s="17" t="str">
        <x:v>U02957</x:v>
      </x:c>
      <x:c r="B2963" s="18" t="n">
        <x:v>46279</x:v>
      </x:c>
      <x:c r="C2963" s="17" t="str">
        <x:v>W0234</x:v>
      </x:c>
      <x:c r="D2963" s="17" t="str">
        <x:v>C004</x:v>
      </x:c>
      <x:c r="E2963" s="17" t="str">
        <x:v>CopyStudio</x:v>
      </x:c>
      <x:c r="F2963" s="17" t="str">
        <x:v>Lite</x:v>
      </x:c>
      <x:c r="G2963" s="17" t="n">
        <x:v>10447</x:v>
      </x:c>
      <x:c r="H2963" s="17" t="n">
        <x:v>4321</x:v>
      </x:c>
      <x:c r="I2963" s="17" t="str">
        <x:v>Followup</x:v>
      </x:c>
      <x:c r="J2963" s="27" t="n">
        <x:f>INDEX('Model Pricing'!$B$7:$B$8,MATCH(F2963,'Model Pricing'!$A$7:$A$8,0))</x:f>
        <x:v>10</x:v>
      </x:c>
      <x:c r="K2963" s="27" t="n">
        <x:f>INDEX('Model Pricing'!$C$7:$C$8,MATCH(F2963,'Model Pricing'!$A$7:$A$8,0))</x:f>
        <x:v>30</x:v>
      </x:c>
      <x:c r="L2963" s="17" t="n">
        <x:f>G2963+H2963</x:f>
        <x:v>14768</x:v>
      </x:c>
      <x:c r="M2963" s="28" t="n">
        <x:f>G2963*J2963/1000000</x:f>
        <x:v>0.10447</x:v>
      </x:c>
      <x:c r="N2963" s="28" t="n">
        <x:f>H2963*K2963/1000000</x:f>
        <x:v>0.12963</x:v>
      </x:c>
      <x:c r="O2963" s="28" t="n">
        <x:f>SUM(M2963:N2963)</x:f>
        <x:v>0.23409999999999997</x:v>
      </x:c>
    </x:row>
    <x:row r="2964" ht="23" customHeight="1">
      <x:c r="A2964" s="17" t="str">
        <x:v>U02958</x:v>
      </x:c>
      <x:c r="B2964" s="18" t="n">
        <x:v>46279</x:v>
      </x:c>
      <x:c r="C2964" s="17" t="str">
        <x:v>W0234</x:v>
      </x:c>
      <x:c r="D2964" s="17" t="str">
        <x:v>C004</x:v>
      </x:c>
      <x:c r="E2964" s="17" t="str">
        <x:v>CopyStudio</x:v>
      </x:c>
      <x:c r="F2964" s="17" t="str">
        <x:v>Lite</x:v>
      </x:c>
      <x:c r="G2964" s="17" t="n">
        <x:v>17205</x:v>
      </x:c>
      <x:c r="H2964" s="17" t="n">
        <x:v>5476</x:v>
      </x:c>
      <x:c r="I2964" s="17" t="str">
        <x:v>Followup</x:v>
      </x:c>
      <x:c r="J2964" s="27" t="n">
        <x:f>INDEX('Model Pricing'!$B$7:$B$8,MATCH(F2964,'Model Pricing'!$A$7:$A$8,0))</x:f>
        <x:v>10</x:v>
      </x:c>
      <x:c r="K2964" s="27" t="n">
        <x:f>INDEX('Model Pricing'!$C$7:$C$8,MATCH(F2964,'Model Pricing'!$A$7:$A$8,0))</x:f>
        <x:v>30</x:v>
      </x:c>
      <x:c r="L2964" s="17" t="n">
        <x:f>G2964+H2964</x:f>
        <x:v>22681</x:v>
      </x:c>
      <x:c r="M2964" s="28" t="n">
        <x:f>G2964*J2964/1000000</x:f>
        <x:v>0.17205</x:v>
      </x:c>
      <x:c r="N2964" s="28" t="n">
        <x:f>H2964*K2964/1000000</x:f>
        <x:v>0.16428</x:v>
      </x:c>
      <x:c r="O2964" s="28" t="n">
        <x:f>SUM(M2964:N2964)</x:f>
        <x:v>0.33633</x:v>
      </x:c>
    </x:row>
    <x:row r="2965" ht="23" customHeight="1">
      <x:c r="A2965" s="17" t="str">
        <x:v>U02959</x:v>
      </x:c>
      <x:c r="B2965" s="18" t="n">
        <x:v>46279</x:v>
      </x:c>
      <x:c r="C2965" s="17" t="str">
        <x:v>W0234</x:v>
      </x:c>
      <x:c r="D2965" s="17" t="str">
        <x:v>C004</x:v>
      </x:c>
      <x:c r="E2965" s="17" t="str">
        <x:v>CopyStudio</x:v>
      </x:c>
      <x:c r="F2965" s="17" t="str">
        <x:v>Lite</x:v>
      </x:c>
      <x:c r="G2965" s="17" t="n">
        <x:v>19872</x:v>
      </x:c>
      <x:c r="H2965" s="17" t="n">
        <x:v>7170</x:v>
      </x:c>
      <x:c r="I2965" s="17" t="str">
        <x:v>Followup</x:v>
      </x:c>
      <x:c r="J2965" s="27" t="n">
        <x:f>INDEX('Model Pricing'!$B$7:$B$8,MATCH(F2965,'Model Pricing'!$A$7:$A$8,0))</x:f>
        <x:v>10</x:v>
      </x:c>
      <x:c r="K2965" s="27" t="n">
        <x:f>INDEX('Model Pricing'!$C$7:$C$8,MATCH(F2965,'Model Pricing'!$A$7:$A$8,0))</x:f>
        <x:v>30</x:v>
      </x:c>
      <x:c r="L2965" s="17" t="n">
        <x:f>G2965+H2965</x:f>
        <x:v>27042</x:v>
      </x:c>
      <x:c r="M2965" s="28" t="n">
        <x:f>G2965*J2965/1000000</x:f>
        <x:v>0.19872</x:v>
      </x:c>
      <x:c r="N2965" s="28" t="n">
        <x:f>H2965*K2965/1000000</x:f>
        <x:v>0.2151</x:v>
      </x:c>
      <x:c r="O2965" s="28" t="n">
        <x:f>SUM(M2965:N2965)</x:f>
        <x:v>0.41382</x:v>
      </x:c>
    </x:row>
    <x:row r="2966" ht="23" customHeight="1">
      <x:c r="A2966" s="17" t="str">
        <x:v>U02960</x:v>
      </x:c>
      <x:c r="B2966" s="18" t="n">
        <x:v>46283</x:v>
      </x:c>
      <x:c r="C2966" s="17" t="str">
        <x:v>W0235</x:v>
      </x:c>
      <x:c r="D2966" s="17" t="str">
        <x:v>C004</x:v>
      </x:c>
      <x:c r="E2966" s="17" t="str">
        <x:v>CopyStudio</x:v>
      </x:c>
      <x:c r="F2966" s="17" t="str">
        <x:v>Lite</x:v>
      </x:c>
      <x:c r="G2966" s="17" t="n">
        <x:v>20098</x:v>
      </x:c>
      <x:c r="H2966" s="17" t="n">
        <x:v>3839</x:v>
      </x:c>
      <x:c r="I2966" s="17" t="str">
        <x:v>First attempt</x:v>
      </x:c>
      <x:c r="J2966" s="27" t="n">
        <x:f>INDEX('Model Pricing'!$B$7:$B$8,MATCH(F2966,'Model Pricing'!$A$7:$A$8,0))</x:f>
        <x:v>10</x:v>
      </x:c>
      <x:c r="K2966" s="27" t="n">
        <x:f>INDEX('Model Pricing'!$C$7:$C$8,MATCH(F2966,'Model Pricing'!$A$7:$A$8,0))</x:f>
        <x:v>30</x:v>
      </x:c>
      <x:c r="L2966" s="17" t="n">
        <x:f>G2966+H2966</x:f>
        <x:v>23937</x:v>
      </x:c>
      <x:c r="M2966" s="28" t="n">
        <x:f>G2966*J2966/1000000</x:f>
        <x:v>0.20098</x:v>
      </x:c>
      <x:c r="N2966" s="28" t="n">
        <x:f>H2966*K2966/1000000</x:f>
        <x:v>0.11517</x:v>
      </x:c>
      <x:c r="O2966" s="28" t="n">
        <x:f>SUM(M2966:N2966)</x:f>
        <x:v>0.31615</x:v>
      </x:c>
    </x:row>
    <x:row r="2967" ht="23" customHeight="1">
      <x:c r="A2967" s="17" t="str">
        <x:v>U02961</x:v>
      </x:c>
      <x:c r="B2967" s="18" t="n">
        <x:v>46283</x:v>
      </x:c>
      <x:c r="C2967" s="17" t="str">
        <x:v>W0235</x:v>
      </x:c>
      <x:c r="D2967" s="17" t="str">
        <x:v>C004</x:v>
      </x:c>
      <x:c r="E2967" s="17" t="str">
        <x:v>CopyStudio</x:v>
      </x:c>
      <x:c r="F2967" s="17" t="str">
        <x:v>Lite</x:v>
      </x:c>
      <x:c r="G2967" s="17" t="n">
        <x:v>18918</x:v>
      </x:c>
      <x:c r="H2967" s="17" t="n">
        <x:v>2039</x:v>
      </x:c>
      <x:c r="I2967" s="17" t="str">
        <x:v>Followup</x:v>
      </x:c>
      <x:c r="J2967" s="27" t="n">
        <x:f>INDEX('Model Pricing'!$B$7:$B$8,MATCH(F2967,'Model Pricing'!$A$7:$A$8,0))</x:f>
        <x:v>10</x:v>
      </x:c>
      <x:c r="K2967" s="27" t="n">
        <x:f>INDEX('Model Pricing'!$C$7:$C$8,MATCH(F2967,'Model Pricing'!$A$7:$A$8,0))</x:f>
        <x:v>30</x:v>
      </x:c>
      <x:c r="L2967" s="17" t="n">
        <x:f>G2967+H2967</x:f>
        <x:v>20957</x:v>
      </x:c>
      <x:c r="M2967" s="28" t="n">
        <x:f>G2967*J2967/1000000</x:f>
        <x:v>0.18918</x:v>
      </x:c>
      <x:c r="N2967" s="28" t="n">
        <x:f>H2967*K2967/1000000</x:f>
        <x:v>0.06117</x:v>
      </x:c>
      <x:c r="O2967" s="28" t="n">
        <x:f>SUM(M2967:N2967)</x:f>
        <x:v>0.25034999999999996</x:v>
      </x:c>
    </x:row>
    <x:row r="2968" ht="23" customHeight="1">
      <x:c r="A2968" s="17" t="str">
        <x:v>U02962</x:v>
      </x:c>
      <x:c r="B2968" s="18" t="n">
        <x:v>46283</x:v>
      </x:c>
      <x:c r="C2968" s="17" t="str">
        <x:v>W0235</x:v>
      </x:c>
      <x:c r="D2968" s="17" t="str">
        <x:v>C004</x:v>
      </x:c>
      <x:c r="E2968" s="17" t="str">
        <x:v>CopyStudio</x:v>
      </x:c>
      <x:c r="F2968" s="17" t="str">
        <x:v>Lite</x:v>
      </x:c>
      <x:c r="G2968" s="17" t="n">
        <x:v>9863</x:v>
      </x:c>
      <x:c r="H2968" s="17" t="n">
        <x:v>3644</x:v>
      </x:c>
      <x:c r="I2968" s="17" t="str">
        <x:v>Correction</x:v>
      </x:c>
      <x:c r="J2968" s="27" t="n">
        <x:f>INDEX('Model Pricing'!$B$7:$B$8,MATCH(F2968,'Model Pricing'!$A$7:$A$8,0))</x:f>
        <x:v>10</x:v>
      </x:c>
      <x:c r="K2968" s="27" t="n">
        <x:f>INDEX('Model Pricing'!$C$7:$C$8,MATCH(F2968,'Model Pricing'!$A$7:$A$8,0))</x:f>
        <x:v>30</x:v>
      </x:c>
      <x:c r="L2968" s="17" t="n">
        <x:f>G2968+H2968</x:f>
        <x:v>13507</x:v>
      </x:c>
      <x:c r="M2968" s="28" t="n">
        <x:f>G2968*J2968/1000000</x:f>
        <x:v>0.09863</x:v>
      </x:c>
      <x:c r="N2968" s="28" t="n">
        <x:f>H2968*K2968/1000000</x:f>
        <x:v>0.10932</x:v>
      </x:c>
      <x:c r="O2968" s="28" t="n">
        <x:f>SUM(M2968:N2968)</x:f>
        <x:v>0.20795</x:v>
      </x:c>
    </x:row>
    <x:row r="2969" ht="23" customHeight="1">
      <x:c r="A2969" s="17" t="str">
        <x:v>U02963</x:v>
      </x:c>
      <x:c r="B2969" s="18" t="n">
        <x:v>46286</x:v>
      </x:c>
      <x:c r="C2969" s="17" t="str">
        <x:v>W0235</x:v>
      </x:c>
      <x:c r="D2969" s="17" t="str">
        <x:v>C004</x:v>
      </x:c>
      <x:c r="E2969" s="17" t="str">
        <x:v>CopyStudio</x:v>
      </x:c>
      <x:c r="F2969" s="17" t="str">
        <x:v>Lite</x:v>
      </x:c>
      <x:c r="G2969" s="17" t="n">
        <x:v>16727</x:v>
      </x:c>
      <x:c r="H2969" s="17" t="n">
        <x:v>1606</x:v>
      </x:c>
      <x:c r="I2969" s="17" t="str">
        <x:v>Followup</x:v>
      </x:c>
      <x:c r="J2969" s="27" t="n">
        <x:f>INDEX('Model Pricing'!$B$7:$B$8,MATCH(F2969,'Model Pricing'!$A$7:$A$8,0))</x:f>
        <x:v>10</x:v>
      </x:c>
      <x:c r="K2969" s="27" t="n">
        <x:f>INDEX('Model Pricing'!$C$7:$C$8,MATCH(F2969,'Model Pricing'!$A$7:$A$8,0))</x:f>
        <x:v>30</x:v>
      </x:c>
      <x:c r="L2969" s="17" t="n">
        <x:f>G2969+H2969</x:f>
        <x:v>18333</x:v>
      </x:c>
      <x:c r="M2969" s="28" t="n">
        <x:f>G2969*J2969/1000000</x:f>
        <x:v>0.16727</x:v>
      </x:c>
      <x:c r="N2969" s="28" t="n">
        <x:f>H2969*K2969/1000000</x:f>
        <x:v>0.04818</x:v>
      </x:c>
      <x:c r="O2969" s="28" t="n">
        <x:f>SUM(M2969:N2969)</x:f>
        <x:v>0.21545</x:v>
      </x:c>
    </x:row>
    <x:row r="2970" ht="23" customHeight="1">
      <x:c r="A2970" s="17" t="str">
        <x:v>U02964</x:v>
      </x:c>
      <x:c r="B2970" s="18" t="n">
        <x:v>46286</x:v>
      </x:c>
      <x:c r="C2970" s="17" t="str">
        <x:v>W0235</x:v>
      </x:c>
      <x:c r="D2970" s="17" t="str">
        <x:v>C004</x:v>
      </x:c>
      <x:c r="E2970" s="17" t="str">
        <x:v>CopyStudio</x:v>
      </x:c>
      <x:c r="F2970" s="17" t="str">
        <x:v>Lite</x:v>
      </x:c>
      <x:c r="G2970" s="17" t="n">
        <x:v>19509</x:v>
      </x:c>
      <x:c r="H2970" s="17" t="n">
        <x:v>3699</x:v>
      </x:c>
      <x:c r="I2970" s="17" t="str">
        <x:v>Followup</x:v>
      </x:c>
      <x:c r="J2970" s="27" t="n">
        <x:f>INDEX('Model Pricing'!$B$7:$B$8,MATCH(F2970,'Model Pricing'!$A$7:$A$8,0))</x:f>
        <x:v>10</x:v>
      </x:c>
      <x:c r="K2970" s="27" t="n">
        <x:f>INDEX('Model Pricing'!$C$7:$C$8,MATCH(F2970,'Model Pricing'!$A$7:$A$8,0))</x:f>
        <x:v>30</x:v>
      </x:c>
      <x:c r="L2970" s="17" t="n">
        <x:f>G2970+H2970</x:f>
        <x:v>23208</x:v>
      </x:c>
      <x:c r="M2970" s="28" t="n">
        <x:f>G2970*J2970/1000000</x:f>
        <x:v>0.19509</x:v>
      </x:c>
      <x:c r="N2970" s="28" t="n">
        <x:f>H2970*K2970/1000000</x:f>
        <x:v>0.11097</x:v>
      </x:c>
      <x:c r="O2970" s="28" t="n">
        <x:f>SUM(M2970:N2970)</x:f>
        <x:v>0.30606</x:v>
      </x:c>
    </x:row>
    <x:row r="2971" ht="23" customHeight="1">
      <x:c r="A2971" s="17" t="str">
        <x:v>U02965</x:v>
      </x:c>
      <x:c r="B2971" s="18" t="n">
        <x:v>46286</x:v>
      </x:c>
      <x:c r="C2971" s="17" t="str">
        <x:v>W0235</x:v>
      </x:c>
      <x:c r="D2971" s="17" t="str">
        <x:v>C004</x:v>
      </x:c>
      <x:c r="E2971" s="17" t="str">
        <x:v>CopyStudio</x:v>
      </x:c>
      <x:c r="F2971" s="17" t="str">
        <x:v>Lite</x:v>
      </x:c>
      <x:c r="G2971" s="17" t="n">
        <x:v>19492</x:v>
      </x:c>
      <x:c r="H2971" s="17" t="n">
        <x:v>1646</x:v>
      </x:c>
      <x:c r="I2971" s="17" t="str">
        <x:v>Correction</x:v>
      </x:c>
      <x:c r="J2971" s="27" t="n">
        <x:f>INDEX('Model Pricing'!$B$7:$B$8,MATCH(F2971,'Model Pricing'!$A$7:$A$8,0))</x:f>
        <x:v>10</x:v>
      </x:c>
      <x:c r="K2971" s="27" t="n">
        <x:f>INDEX('Model Pricing'!$C$7:$C$8,MATCH(F2971,'Model Pricing'!$A$7:$A$8,0))</x:f>
        <x:v>30</x:v>
      </x:c>
      <x:c r="L2971" s="17" t="n">
        <x:f>G2971+H2971</x:f>
        <x:v>21138</x:v>
      </x:c>
      <x:c r="M2971" s="28" t="n">
        <x:f>G2971*J2971/1000000</x:f>
        <x:v>0.19492</x:v>
      </x:c>
      <x:c r="N2971" s="28" t="n">
        <x:f>H2971*K2971/1000000</x:f>
        <x:v>0.04938</x:v>
      </x:c>
      <x:c r="O2971" s="28" t="n">
        <x:f>SUM(M2971:N2971)</x:f>
        <x:v>0.24430000000000002</x:v>
      </x:c>
    </x:row>
    <x:row r="2972" ht="23" customHeight="1">
      <x:c r="A2972" s="17" t="str">
        <x:v>U02966</x:v>
      </x:c>
      <x:c r="B2972" s="18" t="n">
        <x:v>46287</x:v>
      </x:c>
      <x:c r="C2972" s="17" t="str">
        <x:v>W0235</x:v>
      </x:c>
      <x:c r="D2972" s="17" t="str">
        <x:v>C004</x:v>
      </x:c>
      <x:c r="E2972" s="17" t="str">
        <x:v>CopyStudio</x:v>
      </x:c>
      <x:c r="F2972" s="17" t="str">
        <x:v>Lite</x:v>
      </x:c>
      <x:c r="G2972" s="17" t="n">
        <x:v>17536</x:v>
      </x:c>
      <x:c r="H2972" s="17" t="n">
        <x:v>1556</x:v>
      </x:c>
      <x:c r="I2972" s="17" t="str">
        <x:v>Followup</x:v>
      </x:c>
      <x:c r="J2972" s="27" t="n">
        <x:f>INDEX('Model Pricing'!$B$7:$B$8,MATCH(F2972,'Model Pricing'!$A$7:$A$8,0))</x:f>
        <x:v>10</x:v>
      </x:c>
      <x:c r="K2972" s="27" t="n">
        <x:f>INDEX('Model Pricing'!$C$7:$C$8,MATCH(F2972,'Model Pricing'!$A$7:$A$8,0))</x:f>
        <x:v>30</x:v>
      </x:c>
      <x:c r="L2972" s="17" t="n">
        <x:f>G2972+H2972</x:f>
        <x:v>19092</x:v>
      </x:c>
      <x:c r="M2972" s="28" t="n">
        <x:f>G2972*J2972/1000000</x:f>
        <x:v>0.17536</x:v>
      </x:c>
      <x:c r="N2972" s="28" t="n">
        <x:f>H2972*K2972/1000000</x:f>
        <x:v>0.04668</x:v>
      </x:c>
      <x:c r="O2972" s="28" t="n">
        <x:f>SUM(M2972:N2972)</x:f>
        <x:v>0.22204</x:v>
      </x:c>
    </x:row>
    <x:row r="2973" ht="23" customHeight="1">
      <x:c r="A2973" s="17" t="str">
        <x:v>U02967</x:v>
      </x:c>
      <x:c r="B2973" s="18" t="n">
        <x:v>46287</x:v>
      </x:c>
      <x:c r="C2973" s="17" t="str">
        <x:v>W0235</x:v>
      </x:c>
      <x:c r="D2973" s="17" t="str">
        <x:v>C004</x:v>
      </x:c>
      <x:c r="E2973" s="17" t="str">
        <x:v>CopyStudio</x:v>
      </x:c>
      <x:c r="F2973" s="17" t="str">
        <x:v>Lite</x:v>
      </x:c>
      <x:c r="G2973" s="17" t="n">
        <x:v>14628</x:v>
      </x:c>
      <x:c r="H2973" s="17" t="n">
        <x:v>2307</x:v>
      </x:c>
      <x:c r="I2973" s="17" t="str">
        <x:v>Followup</x:v>
      </x:c>
      <x:c r="J2973" s="27" t="n">
        <x:f>INDEX('Model Pricing'!$B$7:$B$8,MATCH(F2973,'Model Pricing'!$A$7:$A$8,0))</x:f>
        <x:v>10</x:v>
      </x:c>
      <x:c r="K2973" s="27" t="n">
        <x:f>INDEX('Model Pricing'!$C$7:$C$8,MATCH(F2973,'Model Pricing'!$A$7:$A$8,0))</x:f>
        <x:v>30</x:v>
      </x:c>
      <x:c r="L2973" s="17" t="n">
        <x:f>G2973+H2973</x:f>
        <x:v>16935</x:v>
      </x:c>
      <x:c r="M2973" s="28" t="n">
        <x:f>G2973*J2973/1000000</x:f>
        <x:v>0.14628</x:v>
      </x:c>
      <x:c r="N2973" s="28" t="n">
        <x:f>H2973*K2973/1000000</x:f>
        <x:v>0.06921</x:v>
      </x:c>
      <x:c r="O2973" s="28" t="n">
        <x:f>SUM(M2973:N2973)</x:f>
        <x:v>0.21549</x:v>
      </x:c>
    </x:row>
    <x:row r="2974" ht="23" customHeight="1">
      <x:c r="A2974" s="17" t="str">
        <x:v>U02968</x:v>
      </x:c>
      <x:c r="B2974" s="18" t="n">
        <x:v>46287</x:v>
      </x:c>
      <x:c r="C2974" s="17" t="str">
        <x:v>W0235</x:v>
      </x:c>
      <x:c r="D2974" s="17" t="str">
        <x:v>C004</x:v>
      </x:c>
      <x:c r="E2974" s="17" t="str">
        <x:v>CopyStudio</x:v>
      </x:c>
      <x:c r="F2974" s="17" t="str">
        <x:v>Lite</x:v>
      </x:c>
      <x:c r="G2974" s="17" t="n">
        <x:v>23794</x:v>
      </x:c>
      <x:c r="H2974" s="17" t="n">
        <x:v>3858</x:v>
      </x:c>
      <x:c r="I2974" s="17" t="str">
        <x:v>Followup</x:v>
      </x:c>
      <x:c r="J2974" s="27" t="n">
        <x:f>INDEX('Model Pricing'!$B$7:$B$8,MATCH(F2974,'Model Pricing'!$A$7:$A$8,0))</x:f>
        <x:v>10</x:v>
      </x:c>
      <x:c r="K2974" s="27" t="n">
        <x:f>INDEX('Model Pricing'!$C$7:$C$8,MATCH(F2974,'Model Pricing'!$A$7:$A$8,0))</x:f>
        <x:v>30</x:v>
      </x:c>
      <x:c r="L2974" s="17" t="n">
        <x:f>G2974+H2974</x:f>
        <x:v>27652</x:v>
      </x:c>
      <x:c r="M2974" s="28" t="n">
        <x:f>G2974*J2974/1000000</x:f>
        <x:v>0.23794</x:v>
      </x:c>
      <x:c r="N2974" s="28" t="n">
        <x:f>H2974*K2974/1000000</x:f>
        <x:v>0.11574</x:v>
      </x:c>
      <x:c r="O2974" s="28" t="n">
        <x:f>SUM(M2974:N2974)</x:f>
        <x:v>0.35368</x:v>
      </x:c>
    </x:row>
    <x:row r="2975" ht="23" customHeight="1">
      <x:c r="A2975" s="17" t="str">
        <x:v>U02969</x:v>
      </x:c>
      <x:c r="B2975" s="18" t="n">
        <x:v>46288</x:v>
      </x:c>
      <x:c r="C2975" s="17" t="str">
        <x:v>W0235</x:v>
      </x:c>
      <x:c r="D2975" s="17" t="str">
        <x:v>C004</x:v>
      </x:c>
      <x:c r="E2975" s="17" t="str">
        <x:v>CopyStudio</x:v>
      </x:c>
      <x:c r="F2975" s="17" t="str">
        <x:v>Lite</x:v>
      </x:c>
      <x:c r="G2975" s="17" t="n">
        <x:v>16026</x:v>
      </x:c>
      <x:c r="H2975" s="17" t="n">
        <x:v>2843</x:v>
      </x:c>
      <x:c r="I2975" s="17" t="str">
        <x:v>Followup</x:v>
      </x:c>
      <x:c r="J2975" s="27" t="n">
        <x:f>INDEX('Model Pricing'!$B$7:$B$8,MATCH(F2975,'Model Pricing'!$A$7:$A$8,0))</x:f>
        <x:v>10</x:v>
      </x:c>
      <x:c r="K2975" s="27" t="n">
        <x:f>INDEX('Model Pricing'!$C$7:$C$8,MATCH(F2975,'Model Pricing'!$A$7:$A$8,0))</x:f>
        <x:v>30</x:v>
      </x:c>
      <x:c r="L2975" s="17" t="n">
        <x:f>G2975+H2975</x:f>
        <x:v>18869</x:v>
      </x:c>
      <x:c r="M2975" s="28" t="n">
        <x:f>G2975*J2975/1000000</x:f>
        <x:v>0.16026</x:v>
      </x:c>
      <x:c r="N2975" s="28" t="n">
        <x:f>H2975*K2975/1000000</x:f>
        <x:v>0.08529</x:v>
      </x:c>
      <x:c r="O2975" s="28" t="n">
        <x:f>SUM(M2975:N2975)</x:f>
        <x:v>0.24555000000000002</x:v>
      </x:c>
    </x:row>
    <x:row r="2976" ht="23" customHeight="1">
      <x:c r="A2976" s="17" t="str">
        <x:v>U02970</x:v>
      </x:c>
      <x:c r="B2976" s="18" t="n">
        <x:v>46288</x:v>
      </x:c>
      <x:c r="C2976" s="17" t="str">
        <x:v>W0235</x:v>
      </x:c>
      <x:c r="D2976" s="17" t="str">
        <x:v>C004</x:v>
      </x:c>
      <x:c r="E2976" s="17" t="str">
        <x:v>CopyStudio</x:v>
      </x:c>
      <x:c r="F2976" s="17" t="str">
        <x:v>Lite</x:v>
      </x:c>
      <x:c r="G2976" s="17" t="n">
        <x:v>20365</x:v>
      </x:c>
      <x:c r="H2976" s="17" t="n">
        <x:v>3106</x:v>
      </x:c>
      <x:c r="I2976" s="17" t="str">
        <x:v>Correction</x:v>
      </x:c>
      <x:c r="J2976" s="27" t="n">
        <x:f>INDEX('Model Pricing'!$B$7:$B$8,MATCH(F2976,'Model Pricing'!$A$7:$A$8,0))</x:f>
        <x:v>10</x:v>
      </x:c>
      <x:c r="K2976" s="27" t="n">
        <x:f>INDEX('Model Pricing'!$C$7:$C$8,MATCH(F2976,'Model Pricing'!$A$7:$A$8,0))</x:f>
        <x:v>30</x:v>
      </x:c>
      <x:c r="L2976" s="17" t="n">
        <x:f>G2976+H2976</x:f>
        <x:v>23471</x:v>
      </x:c>
      <x:c r="M2976" s="28" t="n">
        <x:f>G2976*J2976/1000000</x:f>
        <x:v>0.20365</x:v>
      </x:c>
      <x:c r="N2976" s="28" t="n">
        <x:f>H2976*K2976/1000000</x:f>
        <x:v>0.09318</x:v>
      </x:c>
      <x:c r="O2976" s="28" t="n">
        <x:f>SUM(M2976:N2976)</x:f>
        <x:v>0.29683</x:v>
      </x:c>
    </x:row>
    <x:row r="2977" ht="23" customHeight="1">
      <x:c r="A2977" s="17" t="str">
        <x:v>U02971</x:v>
      </x:c>
      <x:c r="B2977" s="18" t="n">
        <x:v>46288</x:v>
      </x:c>
      <x:c r="C2977" s="17" t="str">
        <x:v>W0235</x:v>
      </x:c>
      <x:c r="D2977" s="17" t="str">
        <x:v>C004</x:v>
      </x:c>
      <x:c r="E2977" s="17" t="str">
        <x:v>CopyStudio</x:v>
      </x:c>
      <x:c r="F2977" s="17" t="str">
        <x:v>Lite</x:v>
      </x:c>
      <x:c r="G2977" s="17" t="n">
        <x:v>17984</x:v>
      </x:c>
      <x:c r="H2977" s="17" t="n">
        <x:v>2720</x:v>
      </x:c>
      <x:c r="I2977" s="17" t="str">
        <x:v>Correction</x:v>
      </x:c>
      <x:c r="J2977" s="27" t="n">
        <x:f>INDEX('Model Pricing'!$B$7:$B$8,MATCH(F2977,'Model Pricing'!$A$7:$A$8,0))</x:f>
        <x:v>10</x:v>
      </x:c>
      <x:c r="K2977" s="27" t="n">
        <x:f>INDEX('Model Pricing'!$C$7:$C$8,MATCH(F2977,'Model Pricing'!$A$7:$A$8,0))</x:f>
        <x:v>30</x:v>
      </x:c>
      <x:c r="L2977" s="17" t="n">
        <x:f>G2977+H2977</x:f>
        <x:v>20704</x:v>
      </x:c>
      <x:c r="M2977" s="28" t="n">
        <x:f>G2977*J2977/1000000</x:f>
        <x:v>0.17984</x:v>
      </x:c>
      <x:c r="N2977" s="28" t="n">
        <x:f>H2977*K2977/1000000</x:f>
        <x:v>0.0816</x:v>
      </x:c>
      <x:c r="O2977" s="28" t="n">
        <x:f>SUM(M2977:N2977)</x:f>
        <x:v>0.26144</x:v>
      </x:c>
    </x:row>
    <x:row r="2978" ht="23" customHeight="1">
      <x:c r="A2978" s="17" t="str">
        <x:v>U02972</x:v>
      </x:c>
      <x:c r="B2978" s="18" t="n">
        <x:v>46267</x:v>
      </x:c>
      <x:c r="C2978" s="17" t="str">
        <x:v>W0236</x:v>
      </x:c>
      <x:c r="D2978" s="17" t="str">
        <x:v>C004</x:v>
      </x:c>
      <x:c r="E2978" s="17" t="str">
        <x:v>CampaignChat</x:v>
      </x:c>
      <x:c r="F2978" s="17" t="str">
        <x:v>Lite</x:v>
      </x:c>
      <x:c r="G2978" s="17" t="n">
        <x:v>23511</x:v>
      </x:c>
      <x:c r="H2978" s="17" t="n">
        <x:v>2284</x:v>
      </x:c>
      <x:c r="I2978" s="17" t="str">
        <x:v>First attempt</x:v>
      </x:c>
      <x:c r="J2978" s="27" t="n">
        <x:f>INDEX('Model Pricing'!$B$7:$B$8,MATCH(F2978,'Model Pricing'!$A$7:$A$8,0))</x:f>
        <x:v>10</x:v>
      </x:c>
      <x:c r="K2978" s="27" t="n">
        <x:f>INDEX('Model Pricing'!$C$7:$C$8,MATCH(F2978,'Model Pricing'!$A$7:$A$8,0))</x:f>
        <x:v>30</x:v>
      </x:c>
      <x:c r="L2978" s="17" t="n">
        <x:f>G2978+H2978</x:f>
        <x:v>25795</x:v>
      </x:c>
      <x:c r="M2978" s="28" t="n">
        <x:f>G2978*J2978/1000000</x:f>
        <x:v>0.23511</x:v>
      </x:c>
      <x:c r="N2978" s="28" t="n">
        <x:f>H2978*K2978/1000000</x:f>
        <x:v>0.06852</x:v>
      </x:c>
      <x:c r="O2978" s="28" t="n">
        <x:f>SUM(M2978:N2978)</x:f>
        <x:v>0.30363</x:v>
      </x:c>
    </x:row>
    <x:row r="2979" ht="23" customHeight="1">
      <x:c r="A2979" s="17" t="str">
        <x:v>U02973</x:v>
      </x:c>
      <x:c r="B2979" s="18" t="n">
        <x:v>46267</x:v>
      </x:c>
      <x:c r="C2979" s="17" t="str">
        <x:v>W0236</x:v>
      </x:c>
      <x:c r="D2979" s="17" t="str">
        <x:v>C004</x:v>
      </x:c>
      <x:c r="E2979" s="17" t="str">
        <x:v>CampaignChat</x:v>
      </x:c>
      <x:c r="F2979" s="17" t="str">
        <x:v>Lite</x:v>
      </x:c>
      <x:c r="G2979" s="17" t="n">
        <x:v>38939</x:v>
      </x:c>
      <x:c r="H2979" s="17" t="n">
        <x:v>3299</x:v>
      </x:c>
      <x:c r="I2979" s="17" t="str">
        <x:v>Followup</x:v>
      </x:c>
      <x:c r="J2979" s="27" t="n">
        <x:f>INDEX('Model Pricing'!$B$7:$B$8,MATCH(F2979,'Model Pricing'!$A$7:$A$8,0))</x:f>
        <x:v>10</x:v>
      </x:c>
      <x:c r="K2979" s="27" t="n">
        <x:f>INDEX('Model Pricing'!$C$7:$C$8,MATCH(F2979,'Model Pricing'!$A$7:$A$8,0))</x:f>
        <x:v>30</x:v>
      </x:c>
      <x:c r="L2979" s="17" t="n">
        <x:f>G2979+H2979</x:f>
        <x:v>42238</x:v>
      </x:c>
      <x:c r="M2979" s="28" t="n">
        <x:f>G2979*J2979/1000000</x:f>
        <x:v>0.38939</x:v>
      </x:c>
      <x:c r="N2979" s="28" t="n">
        <x:f>H2979*K2979/1000000</x:f>
        <x:v>0.09897</x:v>
      </x:c>
      <x:c r="O2979" s="28" t="n">
        <x:f>SUM(M2979:N2979)</x:f>
        <x:v>0.48836</x:v>
      </x:c>
    </x:row>
    <x:row r="2980" ht="23" customHeight="1">
      <x:c r="A2980" s="17" t="str">
        <x:v>U02974</x:v>
      </x:c>
      <x:c r="B2980" s="18" t="n">
        <x:v>46267</x:v>
      </x:c>
      <x:c r="C2980" s="17" t="str">
        <x:v>W0236</x:v>
      </x:c>
      <x:c r="D2980" s="17" t="str">
        <x:v>C004</x:v>
      </x:c>
      <x:c r="E2980" s="17" t="str">
        <x:v>CampaignChat</x:v>
      </x:c>
      <x:c r="F2980" s="17" t="str">
        <x:v>Lite</x:v>
      </x:c>
      <x:c r="G2980" s="17" t="n">
        <x:v>48958</x:v>
      </x:c>
      <x:c r="H2980" s="17" t="n">
        <x:v>1700</x:v>
      </x:c>
      <x:c r="I2980" s="17" t="str">
        <x:v>Followup</x:v>
      </x:c>
      <x:c r="J2980" s="27" t="n">
        <x:f>INDEX('Model Pricing'!$B$7:$B$8,MATCH(F2980,'Model Pricing'!$A$7:$A$8,0))</x:f>
        <x:v>10</x:v>
      </x:c>
      <x:c r="K2980" s="27" t="n">
        <x:f>INDEX('Model Pricing'!$C$7:$C$8,MATCH(F2980,'Model Pricing'!$A$7:$A$8,0))</x:f>
        <x:v>30</x:v>
      </x:c>
      <x:c r="L2980" s="17" t="n">
        <x:f>G2980+H2980</x:f>
        <x:v>50658</x:v>
      </x:c>
      <x:c r="M2980" s="28" t="n">
        <x:f>G2980*J2980/1000000</x:f>
        <x:v>0.48958</x:v>
      </x:c>
      <x:c r="N2980" s="28" t="n">
        <x:f>H2980*K2980/1000000</x:f>
        <x:v>0.051</x:v>
      </x:c>
      <x:c r="O2980" s="28" t="n">
        <x:f>SUM(M2980:N2980)</x:f>
        <x:v>0.5405800000000001</x:v>
      </x:c>
    </x:row>
    <x:row r="2981" ht="23" customHeight="1">
      <x:c r="A2981" s="17" t="str">
        <x:v>U02975</x:v>
      </x:c>
      <x:c r="B2981" s="18" t="n">
        <x:v>46267</x:v>
      </x:c>
      <x:c r="C2981" s="17" t="str">
        <x:v>W0236</x:v>
      </x:c>
      <x:c r="D2981" s="17" t="str">
        <x:v>C004</x:v>
      </x:c>
      <x:c r="E2981" s="17" t="str">
        <x:v>CampaignChat</x:v>
      </x:c>
      <x:c r="F2981" s="17" t="str">
        <x:v>Lite</x:v>
      </x:c>
      <x:c r="G2981" s="17" t="n">
        <x:v>23221</x:v>
      </x:c>
      <x:c r="H2981" s="17" t="n">
        <x:v>2467</x:v>
      </x:c>
      <x:c r="I2981" s="17" t="str">
        <x:v>Correction</x:v>
      </x:c>
      <x:c r="J2981" s="27" t="n">
        <x:f>INDEX('Model Pricing'!$B$7:$B$8,MATCH(F2981,'Model Pricing'!$A$7:$A$8,0))</x:f>
        <x:v>10</x:v>
      </x:c>
      <x:c r="K2981" s="27" t="n">
        <x:f>INDEX('Model Pricing'!$C$7:$C$8,MATCH(F2981,'Model Pricing'!$A$7:$A$8,0))</x:f>
        <x:v>30</x:v>
      </x:c>
      <x:c r="L2981" s="17" t="n">
        <x:f>G2981+H2981</x:f>
        <x:v>25688</x:v>
      </x:c>
      <x:c r="M2981" s="28" t="n">
        <x:f>G2981*J2981/1000000</x:f>
        <x:v>0.23221</x:v>
      </x:c>
      <x:c r="N2981" s="28" t="n">
        <x:f>H2981*K2981/1000000</x:f>
        <x:v>0.07401</x:v>
      </x:c>
      <x:c r="O2981" s="28" t="n">
        <x:f>SUM(M2981:N2981)</x:f>
        <x:v>0.30622</x:v>
      </x:c>
    </x:row>
    <x:row r="2982" ht="23" customHeight="1">
      <x:c r="A2982" s="17" t="str">
        <x:v>U02976</x:v>
      </x:c>
      <x:c r="B2982" s="18" t="n">
        <x:v>46267</x:v>
      </x:c>
      <x:c r="C2982" s="17" t="str">
        <x:v>W0236</x:v>
      </x:c>
      <x:c r="D2982" s="17" t="str">
        <x:v>C004</x:v>
      </x:c>
      <x:c r="E2982" s="17" t="str">
        <x:v>CampaignChat</x:v>
      </x:c>
      <x:c r="F2982" s="17" t="str">
        <x:v>Lite</x:v>
      </x:c>
      <x:c r="G2982" s="17" t="n">
        <x:v>47112</x:v>
      </x:c>
      <x:c r="H2982" s="17" t="n">
        <x:v>3204</x:v>
      </x:c>
      <x:c r="I2982" s="17" t="str">
        <x:v>Followup</x:v>
      </x:c>
      <x:c r="J2982" s="27" t="n">
        <x:f>INDEX('Model Pricing'!$B$7:$B$8,MATCH(F2982,'Model Pricing'!$A$7:$A$8,0))</x:f>
        <x:v>10</x:v>
      </x:c>
      <x:c r="K2982" s="27" t="n">
        <x:f>INDEX('Model Pricing'!$C$7:$C$8,MATCH(F2982,'Model Pricing'!$A$7:$A$8,0))</x:f>
        <x:v>30</x:v>
      </x:c>
      <x:c r="L2982" s="17" t="n">
        <x:f>G2982+H2982</x:f>
        <x:v>50316</x:v>
      </x:c>
      <x:c r="M2982" s="28" t="n">
        <x:f>G2982*J2982/1000000</x:f>
        <x:v>0.47112</x:v>
      </x:c>
      <x:c r="N2982" s="28" t="n">
        <x:f>H2982*K2982/1000000</x:f>
        <x:v>0.09612</x:v>
      </x:c>
      <x:c r="O2982" s="28" t="n">
        <x:f>SUM(M2982:N2982)</x:f>
        <x:v>0.56724</x:v>
      </x:c>
    </x:row>
    <x:row r="2983" ht="23" customHeight="1">
      <x:c r="A2983" s="17" t="str">
        <x:v>U02977</x:v>
      </x:c>
      <x:c r="B2983" s="18" t="n">
        <x:v>46268</x:v>
      </x:c>
      <x:c r="C2983" s="17" t="str">
        <x:v>W0236</x:v>
      </x:c>
      <x:c r="D2983" s="17" t="str">
        <x:v>C004</x:v>
      </x:c>
      <x:c r="E2983" s="17" t="str">
        <x:v>CampaignChat</x:v>
      </x:c>
      <x:c r="F2983" s="17" t="str">
        <x:v>Lite</x:v>
      </x:c>
      <x:c r="G2983" s="17" t="n">
        <x:v>27680</x:v>
      </x:c>
      <x:c r="H2983" s="17" t="n">
        <x:v>2068</x:v>
      </x:c>
      <x:c r="I2983" s="17" t="str">
        <x:v>Followup</x:v>
      </x:c>
      <x:c r="J2983" s="27" t="n">
        <x:f>INDEX('Model Pricing'!$B$7:$B$8,MATCH(F2983,'Model Pricing'!$A$7:$A$8,0))</x:f>
        <x:v>10</x:v>
      </x:c>
      <x:c r="K2983" s="27" t="n">
        <x:f>INDEX('Model Pricing'!$C$7:$C$8,MATCH(F2983,'Model Pricing'!$A$7:$A$8,0))</x:f>
        <x:v>30</x:v>
      </x:c>
      <x:c r="L2983" s="17" t="n">
        <x:f>G2983+H2983</x:f>
        <x:v>29748</x:v>
      </x:c>
      <x:c r="M2983" s="28" t="n">
        <x:f>G2983*J2983/1000000</x:f>
        <x:v>0.2768</x:v>
      </x:c>
      <x:c r="N2983" s="28" t="n">
        <x:f>H2983*K2983/1000000</x:f>
        <x:v>0.06204</x:v>
      </x:c>
      <x:c r="O2983" s="28" t="n">
        <x:f>SUM(M2983:N2983)</x:f>
        <x:v>0.33884</x:v>
      </x:c>
    </x:row>
    <x:row r="2984" ht="23" customHeight="1">
      <x:c r="A2984" s="17" t="str">
        <x:v>U02978</x:v>
      </x:c>
      <x:c r="B2984" s="18" t="n">
        <x:v>46268</x:v>
      </x:c>
      <x:c r="C2984" s="17" t="str">
        <x:v>W0236</x:v>
      </x:c>
      <x:c r="D2984" s="17" t="str">
        <x:v>C004</x:v>
      </x:c>
      <x:c r="E2984" s="17" t="str">
        <x:v>CampaignChat</x:v>
      </x:c>
      <x:c r="F2984" s="17" t="str">
        <x:v>Lite</x:v>
      </x:c>
      <x:c r="G2984" s="17" t="n">
        <x:v>28709</x:v>
      </x:c>
      <x:c r="H2984" s="17" t="n">
        <x:v>2533</x:v>
      </x:c>
      <x:c r="I2984" s="17" t="str">
        <x:v>Followup</x:v>
      </x:c>
      <x:c r="J2984" s="27" t="n">
        <x:f>INDEX('Model Pricing'!$B$7:$B$8,MATCH(F2984,'Model Pricing'!$A$7:$A$8,0))</x:f>
        <x:v>10</x:v>
      </x:c>
      <x:c r="K2984" s="27" t="n">
        <x:f>INDEX('Model Pricing'!$C$7:$C$8,MATCH(F2984,'Model Pricing'!$A$7:$A$8,0))</x:f>
        <x:v>30</x:v>
      </x:c>
      <x:c r="L2984" s="17" t="n">
        <x:f>G2984+H2984</x:f>
        <x:v>31242</x:v>
      </x:c>
      <x:c r="M2984" s="28" t="n">
        <x:f>G2984*J2984/1000000</x:f>
        <x:v>0.28709</x:v>
      </x:c>
      <x:c r="N2984" s="28" t="n">
        <x:f>H2984*K2984/1000000</x:f>
        <x:v>0.07599</x:v>
      </x:c>
      <x:c r="O2984" s="28" t="n">
        <x:f>SUM(M2984:N2984)</x:f>
        <x:v>0.36308</x:v>
      </x:c>
    </x:row>
    <x:row r="2985" ht="23" customHeight="1">
      <x:c r="A2985" s="17" t="str">
        <x:v>U02979</x:v>
      </x:c>
      <x:c r="B2985" s="18" t="n">
        <x:v>46268</x:v>
      </x:c>
      <x:c r="C2985" s="17" t="str">
        <x:v>W0236</x:v>
      </x:c>
      <x:c r="D2985" s="17" t="str">
        <x:v>C004</x:v>
      </x:c>
      <x:c r="E2985" s="17" t="str">
        <x:v>CampaignChat</x:v>
      </x:c>
      <x:c r="F2985" s="17" t="str">
        <x:v>Lite</x:v>
      </x:c>
      <x:c r="G2985" s="17" t="n">
        <x:v>35776</x:v>
      </x:c>
      <x:c r="H2985" s="17" t="n">
        <x:v>2621</x:v>
      </x:c>
      <x:c r="I2985" s="17" t="str">
        <x:v>Followup</x:v>
      </x:c>
      <x:c r="J2985" s="27" t="n">
        <x:f>INDEX('Model Pricing'!$B$7:$B$8,MATCH(F2985,'Model Pricing'!$A$7:$A$8,0))</x:f>
        <x:v>10</x:v>
      </x:c>
      <x:c r="K2985" s="27" t="n">
        <x:f>INDEX('Model Pricing'!$C$7:$C$8,MATCH(F2985,'Model Pricing'!$A$7:$A$8,0))</x:f>
        <x:v>30</x:v>
      </x:c>
      <x:c r="L2985" s="17" t="n">
        <x:f>G2985+H2985</x:f>
        <x:v>38397</x:v>
      </x:c>
      <x:c r="M2985" s="28" t="n">
        <x:f>G2985*J2985/1000000</x:f>
        <x:v>0.35776</x:v>
      </x:c>
      <x:c r="N2985" s="28" t="n">
        <x:f>H2985*K2985/1000000</x:f>
        <x:v>0.07863</x:v>
      </x:c>
      <x:c r="O2985" s="28" t="n">
        <x:f>SUM(M2985:N2985)</x:f>
        <x:v>0.43639000000000006</x:v>
      </x:c>
    </x:row>
    <x:row r="2986" ht="23" customHeight="1">
      <x:c r="A2986" s="17" t="str">
        <x:v>U02980</x:v>
      </x:c>
      <x:c r="B2986" s="18" t="n">
        <x:v>46268</x:v>
      </x:c>
      <x:c r="C2986" s="17" t="str">
        <x:v>W0236</x:v>
      </x:c>
      <x:c r="D2986" s="17" t="str">
        <x:v>C004</x:v>
      </x:c>
      <x:c r="E2986" s="17" t="str">
        <x:v>CampaignChat</x:v>
      </x:c>
      <x:c r="F2986" s="17" t="str">
        <x:v>Lite</x:v>
      </x:c>
      <x:c r="G2986" s="17" t="n">
        <x:v>22726</x:v>
      </x:c>
      <x:c r="H2986" s="17" t="n">
        <x:v>1812</x:v>
      </x:c>
      <x:c r="I2986" s="17" t="str">
        <x:v>Followup</x:v>
      </x:c>
      <x:c r="J2986" s="27" t="n">
        <x:f>INDEX('Model Pricing'!$B$7:$B$8,MATCH(F2986,'Model Pricing'!$A$7:$A$8,0))</x:f>
        <x:v>10</x:v>
      </x:c>
      <x:c r="K2986" s="27" t="n">
        <x:f>INDEX('Model Pricing'!$C$7:$C$8,MATCH(F2986,'Model Pricing'!$A$7:$A$8,0))</x:f>
        <x:v>30</x:v>
      </x:c>
      <x:c r="L2986" s="17" t="n">
        <x:f>G2986+H2986</x:f>
        <x:v>24538</x:v>
      </x:c>
      <x:c r="M2986" s="28" t="n">
        <x:f>G2986*J2986/1000000</x:f>
        <x:v>0.22726</x:v>
      </x:c>
      <x:c r="N2986" s="28" t="n">
        <x:f>H2986*K2986/1000000</x:f>
        <x:v>0.05436</x:v>
      </x:c>
      <x:c r="O2986" s="28" t="n">
        <x:f>SUM(M2986:N2986)</x:f>
        <x:v>0.28162</x:v>
      </x:c>
    </x:row>
    <x:row r="2987" ht="23" customHeight="1">
      <x:c r="A2987" s="17" t="str">
        <x:v>U02981</x:v>
      </x:c>
      <x:c r="B2987" s="18" t="n">
        <x:v>46269</x:v>
      </x:c>
      <x:c r="C2987" s="17" t="str">
        <x:v>W0236</x:v>
      </x:c>
      <x:c r="D2987" s="17" t="str">
        <x:v>C004</x:v>
      </x:c>
      <x:c r="E2987" s="17" t="str">
        <x:v>CampaignChat</x:v>
      </x:c>
      <x:c r="F2987" s="17" t="str">
        <x:v>Lite</x:v>
      </x:c>
      <x:c r="G2987" s="17" t="n">
        <x:v>31046</x:v>
      </x:c>
      <x:c r="H2987" s="17" t="n">
        <x:v>3595</x:v>
      </x:c>
      <x:c r="I2987" s="17" t="str">
        <x:v>Correction</x:v>
      </x:c>
      <x:c r="J2987" s="27" t="n">
        <x:f>INDEX('Model Pricing'!$B$7:$B$8,MATCH(F2987,'Model Pricing'!$A$7:$A$8,0))</x:f>
        <x:v>10</x:v>
      </x:c>
      <x:c r="K2987" s="27" t="n">
        <x:f>INDEX('Model Pricing'!$C$7:$C$8,MATCH(F2987,'Model Pricing'!$A$7:$A$8,0))</x:f>
        <x:v>30</x:v>
      </x:c>
      <x:c r="L2987" s="17" t="n">
        <x:f>G2987+H2987</x:f>
        <x:v>34641</x:v>
      </x:c>
      <x:c r="M2987" s="28" t="n">
        <x:f>G2987*J2987/1000000</x:f>
        <x:v>0.31046</x:v>
      </x:c>
      <x:c r="N2987" s="28" t="n">
        <x:f>H2987*K2987/1000000</x:f>
        <x:v>0.10785</x:v>
      </x:c>
      <x:c r="O2987" s="28" t="n">
        <x:f>SUM(M2987:N2987)</x:f>
        <x:v>0.41831</x:v>
      </x:c>
    </x:row>
    <x:row r="2988" ht="23" customHeight="1">
      <x:c r="A2988" s="17" t="str">
        <x:v>U02982</x:v>
      </x:c>
      <x:c r="B2988" s="18" t="n">
        <x:v>46269</x:v>
      </x:c>
      <x:c r="C2988" s="17" t="str">
        <x:v>W0236</x:v>
      </x:c>
      <x:c r="D2988" s="17" t="str">
        <x:v>C004</x:v>
      </x:c>
      <x:c r="E2988" s="17" t="str">
        <x:v>CampaignChat</x:v>
      </x:c>
      <x:c r="F2988" s="17" t="str">
        <x:v>Lite</x:v>
      </x:c>
      <x:c r="G2988" s="17" t="n">
        <x:v>16550</x:v>
      </x:c>
      <x:c r="H2988" s="17" t="n">
        <x:v>3608</x:v>
      </x:c>
      <x:c r="I2988" s="17" t="str">
        <x:v>Correction</x:v>
      </x:c>
      <x:c r="J2988" s="27" t="n">
        <x:f>INDEX('Model Pricing'!$B$7:$B$8,MATCH(F2988,'Model Pricing'!$A$7:$A$8,0))</x:f>
        <x:v>10</x:v>
      </x:c>
      <x:c r="K2988" s="27" t="n">
        <x:f>INDEX('Model Pricing'!$C$7:$C$8,MATCH(F2988,'Model Pricing'!$A$7:$A$8,0))</x:f>
        <x:v>30</x:v>
      </x:c>
      <x:c r="L2988" s="17" t="n">
        <x:f>G2988+H2988</x:f>
        <x:v>20158</x:v>
      </x:c>
      <x:c r="M2988" s="28" t="n">
        <x:f>G2988*J2988/1000000</x:f>
        <x:v>0.1655</x:v>
      </x:c>
      <x:c r="N2988" s="28" t="n">
        <x:f>H2988*K2988/1000000</x:f>
        <x:v>0.10824</x:v>
      </x:c>
      <x:c r="O2988" s="28" t="n">
        <x:f>SUM(M2988:N2988)</x:f>
        <x:v>0.27374</x:v>
      </x:c>
    </x:row>
    <x:row r="2989" ht="23" customHeight="1">
      <x:c r="A2989" s="17" t="str">
        <x:v>U02983</x:v>
      </x:c>
      <x:c r="B2989" s="18" t="n">
        <x:v>46269</x:v>
      </x:c>
      <x:c r="C2989" s="17" t="str">
        <x:v>W0236</x:v>
      </x:c>
      <x:c r="D2989" s="17" t="str">
        <x:v>C004</x:v>
      </x:c>
      <x:c r="E2989" s="17" t="str">
        <x:v>CampaignChat</x:v>
      </x:c>
      <x:c r="F2989" s="17" t="str">
        <x:v>Lite</x:v>
      </x:c>
      <x:c r="G2989" s="17" t="n">
        <x:v>21900</x:v>
      </x:c>
      <x:c r="H2989" s="17" t="n">
        <x:v>2934</x:v>
      </x:c>
      <x:c r="I2989" s="17" t="str">
        <x:v>Followup</x:v>
      </x:c>
      <x:c r="J2989" s="27" t="n">
        <x:f>INDEX('Model Pricing'!$B$7:$B$8,MATCH(F2989,'Model Pricing'!$A$7:$A$8,0))</x:f>
        <x:v>10</x:v>
      </x:c>
      <x:c r="K2989" s="27" t="n">
        <x:f>INDEX('Model Pricing'!$C$7:$C$8,MATCH(F2989,'Model Pricing'!$A$7:$A$8,0))</x:f>
        <x:v>30</x:v>
      </x:c>
      <x:c r="L2989" s="17" t="n">
        <x:f>G2989+H2989</x:f>
        <x:v>24834</x:v>
      </x:c>
      <x:c r="M2989" s="28" t="n">
        <x:f>G2989*J2989/1000000</x:f>
        <x:v>0.219</x:v>
      </x:c>
      <x:c r="N2989" s="28" t="n">
        <x:f>H2989*K2989/1000000</x:f>
        <x:v>0.08802</x:v>
      </x:c>
      <x:c r="O2989" s="28" t="n">
        <x:f>SUM(M2989:N2989)</x:f>
        <x:v>0.30702</x:v>
      </x:c>
    </x:row>
    <x:row r="2990" ht="23" customHeight="1">
      <x:c r="A2990" s="17" t="str">
        <x:v>U02984</x:v>
      </x:c>
      <x:c r="B2990" s="18" t="n">
        <x:v>46269</x:v>
      </x:c>
      <x:c r="C2990" s="17" t="str">
        <x:v>W0236</x:v>
      </x:c>
      <x:c r="D2990" s="17" t="str">
        <x:v>C004</x:v>
      </x:c>
      <x:c r="E2990" s="17" t="str">
        <x:v>CampaignChat</x:v>
      </x:c>
      <x:c r="F2990" s="17" t="str">
        <x:v>Lite</x:v>
      </x:c>
      <x:c r="G2990" s="17" t="n">
        <x:v>38329</x:v>
      </x:c>
      <x:c r="H2990" s="17" t="n">
        <x:v>3619</x:v>
      </x:c>
      <x:c r="I2990" s="17" t="str">
        <x:v>Followup</x:v>
      </x:c>
      <x:c r="J2990" s="27" t="n">
        <x:f>INDEX('Model Pricing'!$B$7:$B$8,MATCH(F2990,'Model Pricing'!$A$7:$A$8,0))</x:f>
        <x:v>10</x:v>
      </x:c>
      <x:c r="K2990" s="27" t="n">
        <x:f>INDEX('Model Pricing'!$C$7:$C$8,MATCH(F2990,'Model Pricing'!$A$7:$A$8,0))</x:f>
        <x:v>30</x:v>
      </x:c>
      <x:c r="L2990" s="17" t="n">
        <x:f>G2990+H2990</x:f>
        <x:v>41948</x:v>
      </x:c>
      <x:c r="M2990" s="28" t="n">
        <x:f>G2990*J2990/1000000</x:f>
        <x:v>0.38329</x:v>
      </x:c>
      <x:c r="N2990" s="28" t="n">
        <x:f>H2990*K2990/1000000</x:f>
        <x:v>0.10857</x:v>
      </x:c>
      <x:c r="O2990" s="28" t="n">
        <x:f>SUM(M2990:N2990)</x:f>
        <x:v>0.49186</x:v>
      </x:c>
    </x:row>
    <x:row r="2991" ht="23" customHeight="1">
      <x:c r="A2991" s="17" t="str">
        <x:v>U02985</x:v>
      </x:c>
      <x:c r="B2991" s="18" t="n">
        <x:v>46273</x:v>
      </x:c>
      <x:c r="C2991" s="17" t="str">
        <x:v>W0236</x:v>
      </x:c>
      <x:c r="D2991" s="17" t="str">
        <x:v>C004</x:v>
      </x:c>
      <x:c r="E2991" s="17" t="str">
        <x:v>CampaignChat</x:v>
      </x:c>
      <x:c r="F2991" s="17" t="str">
        <x:v>Lite</x:v>
      </x:c>
      <x:c r="G2991" s="17" t="n">
        <x:v>20101</x:v>
      </x:c>
      <x:c r="H2991" s="17" t="n">
        <x:v>2695</x:v>
      </x:c>
      <x:c r="I2991" s="17" t="str">
        <x:v>Correction</x:v>
      </x:c>
      <x:c r="J2991" s="27" t="n">
        <x:f>INDEX('Model Pricing'!$B$7:$B$8,MATCH(F2991,'Model Pricing'!$A$7:$A$8,0))</x:f>
        <x:v>10</x:v>
      </x:c>
      <x:c r="K2991" s="27" t="n">
        <x:f>INDEX('Model Pricing'!$C$7:$C$8,MATCH(F2991,'Model Pricing'!$A$7:$A$8,0))</x:f>
        <x:v>30</x:v>
      </x:c>
      <x:c r="L2991" s="17" t="n">
        <x:f>G2991+H2991</x:f>
        <x:v>22796</x:v>
      </x:c>
      <x:c r="M2991" s="28" t="n">
        <x:f>G2991*J2991/1000000</x:f>
        <x:v>0.20101</x:v>
      </x:c>
      <x:c r="N2991" s="28" t="n">
        <x:f>H2991*K2991/1000000</x:f>
        <x:v>0.08085</x:v>
      </x:c>
      <x:c r="O2991" s="28" t="n">
        <x:f>SUM(M2991:N2991)</x:f>
        <x:v>0.28186</x:v>
      </x:c>
    </x:row>
    <x:row r="2992" ht="23" customHeight="1">
      <x:c r="A2992" s="17" t="str">
        <x:v>U02986</x:v>
      </x:c>
      <x:c r="B2992" s="18" t="n">
        <x:v>46273</x:v>
      </x:c>
      <x:c r="C2992" s="17" t="str">
        <x:v>W0236</x:v>
      </x:c>
      <x:c r="D2992" s="17" t="str">
        <x:v>C004</x:v>
      </x:c>
      <x:c r="E2992" s="17" t="str">
        <x:v>CampaignChat</x:v>
      </x:c>
      <x:c r="F2992" s="17" t="str">
        <x:v>Lite</x:v>
      </x:c>
      <x:c r="G2992" s="17" t="n">
        <x:v>34864</x:v>
      </x:c>
      <x:c r="H2992" s="17" t="n">
        <x:v>1130</x:v>
      </x:c>
      <x:c r="I2992" s="17" t="str">
        <x:v>Followup</x:v>
      </x:c>
      <x:c r="J2992" s="27" t="n">
        <x:f>INDEX('Model Pricing'!$B$7:$B$8,MATCH(F2992,'Model Pricing'!$A$7:$A$8,0))</x:f>
        <x:v>10</x:v>
      </x:c>
      <x:c r="K2992" s="27" t="n">
        <x:f>INDEX('Model Pricing'!$C$7:$C$8,MATCH(F2992,'Model Pricing'!$A$7:$A$8,0))</x:f>
        <x:v>30</x:v>
      </x:c>
      <x:c r="L2992" s="17" t="n">
        <x:f>G2992+H2992</x:f>
        <x:v>35994</x:v>
      </x:c>
      <x:c r="M2992" s="28" t="n">
        <x:f>G2992*J2992/1000000</x:f>
        <x:v>0.34864</x:v>
      </x:c>
      <x:c r="N2992" s="28" t="n">
        <x:f>H2992*K2992/1000000</x:f>
        <x:v>0.0339</x:v>
      </x:c>
      <x:c r="O2992" s="28" t="n">
        <x:f>SUM(M2992:N2992)</x:f>
        <x:v>0.38254</x:v>
      </x:c>
    </x:row>
    <x:row r="2993" ht="23" customHeight="1">
      <x:c r="A2993" s="17" t="str">
        <x:v>U02987</x:v>
      </x:c>
      <x:c r="B2993" s="18" t="n">
        <x:v>46273</x:v>
      </x:c>
      <x:c r="C2993" s="17" t="str">
        <x:v>W0236</x:v>
      </x:c>
      <x:c r="D2993" s="17" t="str">
        <x:v>C004</x:v>
      </x:c>
      <x:c r="E2993" s="17" t="str">
        <x:v>CampaignChat</x:v>
      </x:c>
      <x:c r="F2993" s="17" t="str">
        <x:v>Lite</x:v>
      </x:c>
      <x:c r="G2993" s="17" t="n">
        <x:v>19374</x:v>
      </x:c>
      <x:c r="H2993" s="17" t="n">
        <x:v>3033</x:v>
      </x:c>
      <x:c r="I2993" s="17" t="str">
        <x:v>Followup</x:v>
      </x:c>
      <x:c r="J2993" s="27" t="n">
        <x:f>INDEX('Model Pricing'!$B$7:$B$8,MATCH(F2993,'Model Pricing'!$A$7:$A$8,0))</x:f>
        <x:v>10</x:v>
      </x:c>
      <x:c r="K2993" s="27" t="n">
        <x:f>INDEX('Model Pricing'!$C$7:$C$8,MATCH(F2993,'Model Pricing'!$A$7:$A$8,0))</x:f>
        <x:v>30</x:v>
      </x:c>
      <x:c r="L2993" s="17" t="n">
        <x:f>G2993+H2993</x:f>
        <x:v>22407</x:v>
      </x:c>
      <x:c r="M2993" s="28" t="n">
        <x:f>G2993*J2993/1000000</x:f>
        <x:v>0.19374</x:v>
      </x:c>
      <x:c r="N2993" s="28" t="n">
        <x:f>H2993*K2993/1000000</x:f>
        <x:v>0.09099</x:v>
      </x:c>
      <x:c r="O2993" s="28" t="n">
        <x:f>SUM(M2993:N2993)</x:f>
        <x:v>0.28473</x:v>
      </x:c>
    </x:row>
    <x:row r="2994" ht="23" customHeight="1">
      <x:c r="A2994" s="17" t="str">
        <x:v>U02988</x:v>
      </x:c>
      <x:c r="B2994" s="18" t="n">
        <x:v>46273</x:v>
      </x:c>
      <x:c r="C2994" s="17" t="str">
        <x:v>W0236</x:v>
      </x:c>
      <x:c r="D2994" s="17" t="str">
        <x:v>C004</x:v>
      </x:c>
      <x:c r="E2994" s="17" t="str">
        <x:v>CampaignChat</x:v>
      </x:c>
      <x:c r="F2994" s="17" t="str">
        <x:v>Lite</x:v>
      </x:c>
      <x:c r="G2994" s="17" t="n">
        <x:v>31262</x:v>
      </x:c>
      <x:c r="H2994" s="17" t="n">
        <x:v>2519</x:v>
      </x:c>
      <x:c r="I2994" s="17" t="str">
        <x:v>Followup</x:v>
      </x:c>
      <x:c r="J2994" s="27" t="n">
        <x:f>INDEX('Model Pricing'!$B$7:$B$8,MATCH(F2994,'Model Pricing'!$A$7:$A$8,0))</x:f>
        <x:v>10</x:v>
      </x:c>
      <x:c r="K2994" s="27" t="n">
        <x:f>INDEX('Model Pricing'!$C$7:$C$8,MATCH(F2994,'Model Pricing'!$A$7:$A$8,0))</x:f>
        <x:v>30</x:v>
      </x:c>
      <x:c r="L2994" s="17" t="n">
        <x:f>G2994+H2994</x:f>
        <x:v>33781</x:v>
      </x:c>
      <x:c r="M2994" s="28" t="n">
        <x:f>G2994*J2994/1000000</x:f>
        <x:v>0.31262</x:v>
      </x:c>
      <x:c r="N2994" s="28" t="n">
        <x:f>H2994*K2994/1000000</x:f>
        <x:v>0.07557</x:v>
      </x:c>
      <x:c r="O2994" s="28" t="n">
        <x:f>SUM(M2994:N2994)</x:f>
        <x:v>0.38819000000000004</x:v>
      </x:c>
    </x:row>
    <x:row r="2995" ht="23" customHeight="1">
      <x:c r="A2995" s="17" t="str">
        <x:v>U02989</x:v>
      </x:c>
      <x:c r="B2995" s="18" t="n">
        <x:v>46279</x:v>
      </x:c>
      <x:c r="C2995" s="17" t="str">
        <x:v>W0237</x:v>
      </x:c>
      <x:c r="D2995" s="17" t="str">
        <x:v>C004</x:v>
      </x:c>
      <x:c r="E2995" s="17" t="str">
        <x:v>CampaignChat</x:v>
      </x:c>
      <x:c r="F2995" s="17" t="str">
        <x:v>Lite</x:v>
      </x:c>
      <x:c r="G2995" s="17" t="n">
        <x:v>9216</x:v>
      </x:c>
      <x:c r="H2995" s="17" t="n">
        <x:v>5143</x:v>
      </x:c>
      <x:c r="I2995" s="17" t="str">
        <x:v>First attempt</x:v>
      </x:c>
      <x:c r="J2995" s="27" t="n">
        <x:f>INDEX('Model Pricing'!$B$7:$B$8,MATCH(F2995,'Model Pricing'!$A$7:$A$8,0))</x:f>
        <x:v>10</x:v>
      </x:c>
      <x:c r="K2995" s="27" t="n">
        <x:f>INDEX('Model Pricing'!$C$7:$C$8,MATCH(F2995,'Model Pricing'!$A$7:$A$8,0))</x:f>
        <x:v>30</x:v>
      </x:c>
      <x:c r="L2995" s="17" t="n">
        <x:f>G2995+H2995</x:f>
        <x:v>14359</x:v>
      </x:c>
      <x:c r="M2995" s="28" t="n">
        <x:f>G2995*J2995/1000000</x:f>
        <x:v>0.09216</x:v>
      </x:c>
      <x:c r="N2995" s="28" t="n">
        <x:f>H2995*K2995/1000000</x:f>
        <x:v>0.15429</x:v>
      </x:c>
      <x:c r="O2995" s="28" t="n">
        <x:f>SUM(M2995:N2995)</x:f>
        <x:v>0.24645</x:v>
      </x:c>
    </x:row>
    <x:row r="2996" ht="23" customHeight="1">
      <x:c r="A2996" s="17" t="str">
        <x:v>U02990</x:v>
      </x:c>
      <x:c r="B2996" s="18" t="n">
        <x:v>46279</x:v>
      </x:c>
      <x:c r="C2996" s="17" t="str">
        <x:v>W0237</x:v>
      </x:c>
      <x:c r="D2996" s="17" t="str">
        <x:v>C004</x:v>
      </x:c>
      <x:c r="E2996" s="17" t="str">
        <x:v>CampaignChat</x:v>
      </x:c>
      <x:c r="F2996" s="17" t="str">
        <x:v>Lite</x:v>
      </x:c>
      <x:c r="G2996" s="17" t="n">
        <x:v>17694</x:v>
      </x:c>
      <x:c r="H2996" s="17" t="n">
        <x:v>4168</x:v>
      </x:c>
      <x:c r="I2996" s="17" t="str">
        <x:v>Followup</x:v>
      </x:c>
      <x:c r="J2996" s="27" t="n">
        <x:f>INDEX('Model Pricing'!$B$7:$B$8,MATCH(F2996,'Model Pricing'!$A$7:$A$8,0))</x:f>
        <x:v>10</x:v>
      </x:c>
      <x:c r="K2996" s="27" t="n">
        <x:f>INDEX('Model Pricing'!$C$7:$C$8,MATCH(F2996,'Model Pricing'!$A$7:$A$8,0))</x:f>
        <x:v>30</x:v>
      </x:c>
      <x:c r="L2996" s="17" t="n">
        <x:f>G2996+H2996</x:f>
        <x:v>21862</x:v>
      </x:c>
      <x:c r="M2996" s="28" t="n">
        <x:f>G2996*J2996/1000000</x:f>
        <x:v>0.17694</x:v>
      </x:c>
      <x:c r="N2996" s="28" t="n">
        <x:f>H2996*K2996/1000000</x:f>
        <x:v>0.12504</x:v>
      </x:c>
      <x:c r="O2996" s="28" t="n">
        <x:f>SUM(M2996:N2996)</x:f>
        <x:v>0.30198</x:v>
      </x:c>
    </x:row>
    <x:row r="2997" ht="23" customHeight="1">
      <x:c r="A2997" s="17" t="str">
        <x:v>U02991</x:v>
      </x:c>
      <x:c r="B2997" s="18" t="n">
        <x:v>46279</x:v>
      </x:c>
      <x:c r="C2997" s="17" t="str">
        <x:v>W0237</x:v>
      </x:c>
      <x:c r="D2997" s="17" t="str">
        <x:v>C004</x:v>
      </x:c>
      <x:c r="E2997" s="17" t="str">
        <x:v>CampaignChat</x:v>
      </x:c>
      <x:c r="F2997" s="17" t="str">
        <x:v>Lite</x:v>
      </x:c>
      <x:c r="G2997" s="17" t="n">
        <x:v>10131</x:v>
      </x:c>
      <x:c r="H2997" s="17" t="n">
        <x:v>4207</x:v>
      </x:c>
      <x:c r="I2997" s="17" t="str">
        <x:v>Correction</x:v>
      </x:c>
      <x:c r="J2997" s="27" t="n">
        <x:f>INDEX('Model Pricing'!$B$7:$B$8,MATCH(F2997,'Model Pricing'!$A$7:$A$8,0))</x:f>
        <x:v>10</x:v>
      </x:c>
      <x:c r="K2997" s="27" t="n">
        <x:f>INDEX('Model Pricing'!$C$7:$C$8,MATCH(F2997,'Model Pricing'!$A$7:$A$8,0))</x:f>
        <x:v>30</x:v>
      </x:c>
      <x:c r="L2997" s="17" t="n">
        <x:f>G2997+H2997</x:f>
        <x:v>14338</x:v>
      </x:c>
      <x:c r="M2997" s="28" t="n">
        <x:f>G2997*J2997/1000000</x:f>
        <x:v>0.10131</x:v>
      </x:c>
      <x:c r="N2997" s="28" t="n">
        <x:f>H2997*K2997/1000000</x:f>
        <x:v>0.12621</x:v>
      </x:c>
      <x:c r="O2997" s="28" t="n">
        <x:f>SUM(M2997:N2997)</x:f>
        <x:v>0.22752</x:v>
      </x:c>
    </x:row>
    <x:row r="2998" ht="23" customHeight="1">
      <x:c r="A2998" s="17" t="str">
        <x:v>U02992</x:v>
      </x:c>
      <x:c r="B2998" s="18" t="n">
        <x:v>46279</x:v>
      </x:c>
      <x:c r="C2998" s="17" t="str">
        <x:v>W0237</x:v>
      </x:c>
      <x:c r="D2998" s="17" t="str">
        <x:v>C004</x:v>
      </x:c>
      <x:c r="E2998" s="17" t="str">
        <x:v>CampaignChat</x:v>
      </x:c>
      <x:c r="F2998" s="17" t="str">
        <x:v>Lite</x:v>
      </x:c>
      <x:c r="G2998" s="17" t="n">
        <x:v>10912</x:v>
      </x:c>
      <x:c r="H2998" s="17" t="n">
        <x:v>3645</x:v>
      </x:c>
      <x:c r="I2998" s="17" t="str">
        <x:v>Followup</x:v>
      </x:c>
      <x:c r="J2998" s="27" t="n">
        <x:f>INDEX('Model Pricing'!$B$7:$B$8,MATCH(F2998,'Model Pricing'!$A$7:$A$8,0))</x:f>
        <x:v>10</x:v>
      </x:c>
      <x:c r="K2998" s="27" t="n">
        <x:f>INDEX('Model Pricing'!$C$7:$C$8,MATCH(F2998,'Model Pricing'!$A$7:$A$8,0))</x:f>
        <x:v>30</x:v>
      </x:c>
      <x:c r="L2998" s="17" t="n">
        <x:f>G2998+H2998</x:f>
        <x:v>14557</x:v>
      </x:c>
      <x:c r="M2998" s="28" t="n">
        <x:f>G2998*J2998/1000000</x:f>
        <x:v>0.10912</x:v>
      </x:c>
      <x:c r="N2998" s="28" t="n">
        <x:f>H2998*K2998/1000000</x:f>
        <x:v>0.10935</x:v>
      </x:c>
      <x:c r="O2998" s="28" t="n">
        <x:f>SUM(M2998:N2998)</x:f>
        <x:v>0.21847</x:v>
      </x:c>
    </x:row>
    <x:row r="2999" ht="23" customHeight="1">
      <x:c r="A2999" s="17" t="str">
        <x:v>U02993</x:v>
      </x:c>
      <x:c r="B2999" s="18" t="n">
        <x:v>46280</x:v>
      </x:c>
      <x:c r="C2999" s="17" t="str">
        <x:v>W0237</x:v>
      </x:c>
      <x:c r="D2999" s="17" t="str">
        <x:v>C004</x:v>
      </x:c>
      <x:c r="E2999" s="17" t="str">
        <x:v>CampaignChat</x:v>
      </x:c>
      <x:c r="F2999" s="17" t="str">
        <x:v>Lite</x:v>
      </x:c>
      <x:c r="G2999" s="17" t="n">
        <x:v>16754</x:v>
      </x:c>
      <x:c r="H2999" s="17" t="n">
        <x:v>5091</x:v>
      </x:c>
      <x:c r="I2999" s="17" t="str">
        <x:v>Correction</x:v>
      </x:c>
      <x:c r="J2999" s="27" t="n">
        <x:f>INDEX('Model Pricing'!$B$7:$B$8,MATCH(F2999,'Model Pricing'!$A$7:$A$8,0))</x:f>
        <x:v>10</x:v>
      </x:c>
      <x:c r="K2999" s="27" t="n">
        <x:f>INDEX('Model Pricing'!$C$7:$C$8,MATCH(F2999,'Model Pricing'!$A$7:$A$8,0))</x:f>
        <x:v>30</x:v>
      </x:c>
      <x:c r="L2999" s="17" t="n">
        <x:f>G2999+H2999</x:f>
        <x:v>21845</x:v>
      </x:c>
      <x:c r="M2999" s="28" t="n">
        <x:f>G2999*J2999/1000000</x:f>
        <x:v>0.16754</x:v>
      </x:c>
      <x:c r="N2999" s="28" t="n">
        <x:f>H2999*K2999/1000000</x:f>
        <x:v>0.15273</x:v>
      </x:c>
      <x:c r="O2999" s="28" t="n">
        <x:f>SUM(M2999:N2999)</x:f>
        <x:v>0.32027</x:v>
      </x:c>
    </x:row>
    <x:row r="3000" ht="23" customHeight="1">
      <x:c r="A3000" s="17" t="str">
        <x:v>U02994</x:v>
      </x:c>
      <x:c r="B3000" s="18" t="n">
        <x:v>46280</x:v>
      </x:c>
      <x:c r="C3000" s="17" t="str">
        <x:v>W0237</x:v>
      </x:c>
      <x:c r="D3000" s="17" t="str">
        <x:v>C004</x:v>
      </x:c>
      <x:c r="E3000" s="17" t="str">
        <x:v>CampaignChat</x:v>
      </x:c>
      <x:c r="F3000" s="17" t="str">
        <x:v>Lite</x:v>
      </x:c>
      <x:c r="G3000" s="17" t="n">
        <x:v>16068</x:v>
      </x:c>
      <x:c r="H3000" s="17" t="n">
        <x:v>7011</x:v>
      </x:c>
      <x:c r="I3000" s="17" t="str">
        <x:v>Followup</x:v>
      </x:c>
      <x:c r="J3000" s="27" t="n">
        <x:f>INDEX('Model Pricing'!$B$7:$B$8,MATCH(F3000,'Model Pricing'!$A$7:$A$8,0))</x:f>
        <x:v>10</x:v>
      </x:c>
      <x:c r="K3000" s="27" t="n">
        <x:f>INDEX('Model Pricing'!$C$7:$C$8,MATCH(F3000,'Model Pricing'!$A$7:$A$8,0))</x:f>
        <x:v>30</x:v>
      </x:c>
      <x:c r="L3000" s="17" t="n">
        <x:f>G3000+H3000</x:f>
        <x:v>23079</x:v>
      </x:c>
      <x:c r="M3000" s="28" t="n">
        <x:f>G3000*J3000/1000000</x:f>
        <x:v>0.16068</x:v>
      </x:c>
      <x:c r="N3000" s="28" t="n">
        <x:f>H3000*K3000/1000000</x:f>
        <x:v>0.21033</x:v>
      </x:c>
      <x:c r="O3000" s="28" t="n">
        <x:f>SUM(M3000:N3000)</x:f>
        <x:v>0.37100999999999995</x:v>
      </x:c>
    </x:row>
    <x:row r="3001" ht="23" customHeight="1">
      <x:c r="A3001" s="17" t="str">
        <x:v>U02995</x:v>
      </x:c>
      <x:c r="B3001" s="18" t="n">
        <x:v>46280</x:v>
      </x:c>
      <x:c r="C3001" s="17" t="str">
        <x:v>W0237</x:v>
      </x:c>
      <x:c r="D3001" s="17" t="str">
        <x:v>C004</x:v>
      </x:c>
      <x:c r="E3001" s="17" t="str">
        <x:v>CampaignChat</x:v>
      </x:c>
      <x:c r="F3001" s="17" t="str">
        <x:v>Lite</x:v>
      </x:c>
      <x:c r="G3001" s="17" t="n">
        <x:v>15660</x:v>
      </x:c>
      <x:c r="H3001" s="17" t="n">
        <x:v>3492</x:v>
      </x:c>
      <x:c r="I3001" s="17" t="str">
        <x:v>Followup</x:v>
      </x:c>
      <x:c r="J3001" s="27" t="n">
        <x:f>INDEX('Model Pricing'!$B$7:$B$8,MATCH(F3001,'Model Pricing'!$A$7:$A$8,0))</x:f>
        <x:v>10</x:v>
      </x:c>
      <x:c r="K3001" s="27" t="n">
        <x:f>INDEX('Model Pricing'!$C$7:$C$8,MATCH(F3001,'Model Pricing'!$A$7:$A$8,0))</x:f>
        <x:v>30</x:v>
      </x:c>
      <x:c r="L3001" s="17" t="n">
        <x:f>G3001+H3001</x:f>
        <x:v>19152</x:v>
      </x:c>
      <x:c r="M3001" s="28" t="n">
        <x:f>G3001*J3001/1000000</x:f>
        <x:v>0.1566</x:v>
      </x:c>
      <x:c r="N3001" s="28" t="n">
        <x:f>H3001*K3001/1000000</x:f>
        <x:v>0.10476</x:v>
      </x:c>
      <x:c r="O3001" s="28" t="n">
        <x:f>SUM(M3001:N3001)</x:f>
        <x:v>0.26136</x:v>
      </x:c>
    </x:row>
    <x:row r="3002" ht="23" customHeight="1">
      <x:c r="A3002" s="17" t="str">
        <x:v>U02996</x:v>
      </x:c>
      <x:c r="B3002" s="18" t="n">
        <x:v>46280</x:v>
      </x:c>
      <x:c r="C3002" s="17" t="str">
        <x:v>W0237</x:v>
      </x:c>
      <x:c r="D3002" s="17" t="str">
        <x:v>C004</x:v>
      </x:c>
      <x:c r="E3002" s="17" t="str">
        <x:v>CampaignChat</x:v>
      </x:c>
      <x:c r="F3002" s="17" t="str">
        <x:v>Lite</x:v>
      </x:c>
      <x:c r="G3002" s="17" t="n">
        <x:v>17850</x:v>
      </x:c>
      <x:c r="H3002" s="17" t="n">
        <x:v>6355</x:v>
      </x:c>
      <x:c r="I3002" s="17" t="str">
        <x:v>Followup</x:v>
      </x:c>
      <x:c r="J3002" s="27" t="n">
        <x:f>INDEX('Model Pricing'!$B$7:$B$8,MATCH(F3002,'Model Pricing'!$A$7:$A$8,0))</x:f>
        <x:v>10</x:v>
      </x:c>
      <x:c r="K3002" s="27" t="n">
        <x:f>INDEX('Model Pricing'!$C$7:$C$8,MATCH(F3002,'Model Pricing'!$A$7:$A$8,0))</x:f>
        <x:v>30</x:v>
      </x:c>
      <x:c r="L3002" s="17" t="n">
        <x:f>G3002+H3002</x:f>
        <x:v>24205</x:v>
      </x:c>
      <x:c r="M3002" s="28" t="n">
        <x:f>G3002*J3002/1000000</x:f>
        <x:v>0.1785</x:v>
      </x:c>
      <x:c r="N3002" s="28" t="n">
        <x:f>H3002*K3002/1000000</x:f>
        <x:v>0.19065</x:v>
      </x:c>
      <x:c r="O3002" s="28" t="n">
        <x:f>SUM(M3002:N3002)</x:f>
        <x:v>0.36915</x:v>
      </x:c>
    </x:row>
    <x:row r="3003" ht="23" customHeight="1">
      <x:c r="A3003" s="17" t="str">
        <x:v>U02997</x:v>
      </x:c>
      <x:c r="B3003" s="18" t="n">
        <x:v>46281</x:v>
      </x:c>
      <x:c r="C3003" s="17" t="str">
        <x:v>W0237</x:v>
      </x:c>
      <x:c r="D3003" s="17" t="str">
        <x:v>C004</x:v>
      </x:c>
      <x:c r="E3003" s="17" t="str">
        <x:v>CampaignChat</x:v>
      </x:c>
      <x:c r="F3003" s="17" t="str">
        <x:v>Lite</x:v>
      </x:c>
      <x:c r="G3003" s="17" t="n">
        <x:v>18931</x:v>
      </x:c>
      <x:c r="H3003" s="17" t="n">
        <x:v>5417</x:v>
      </x:c>
      <x:c r="I3003" s="17" t="str">
        <x:v>Followup</x:v>
      </x:c>
      <x:c r="J3003" s="27" t="n">
        <x:f>INDEX('Model Pricing'!$B$7:$B$8,MATCH(F3003,'Model Pricing'!$A$7:$A$8,0))</x:f>
        <x:v>10</x:v>
      </x:c>
      <x:c r="K3003" s="27" t="n">
        <x:f>INDEX('Model Pricing'!$C$7:$C$8,MATCH(F3003,'Model Pricing'!$A$7:$A$8,0))</x:f>
        <x:v>30</x:v>
      </x:c>
      <x:c r="L3003" s="17" t="n">
        <x:f>G3003+H3003</x:f>
        <x:v>24348</x:v>
      </x:c>
      <x:c r="M3003" s="28" t="n">
        <x:f>G3003*J3003/1000000</x:f>
        <x:v>0.18931</x:v>
      </x:c>
      <x:c r="N3003" s="28" t="n">
        <x:f>H3003*K3003/1000000</x:f>
        <x:v>0.16251</x:v>
      </x:c>
      <x:c r="O3003" s="28" t="n">
        <x:f>SUM(M3003:N3003)</x:f>
        <x:v>0.35182</x:v>
      </x:c>
    </x:row>
    <x:row r="3004" ht="23" customHeight="1">
      <x:c r="A3004" s="17" t="str">
        <x:v>U02998</x:v>
      </x:c>
      <x:c r="B3004" s="18" t="n">
        <x:v>46281</x:v>
      </x:c>
      <x:c r="C3004" s="17" t="str">
        <x:v>W0237</x:v>
      </x:c>
      <x:c r="D3004" s="17" t="str">
        <x:v>C004</x:v>
      </x:c>
      <x:c r="E3004" s="17" t="str">
        <x:v>CampaignChat</x:v>
      </x:c>
      <x:c r="F3004" s="17" t="str">
        <x:v>Lite</x:v>
      </x:c>
      <x:c r="G3004" s="17" t="n">
        <x:v>7888</x:v>
      </x:c>
      <x:c r="H3004" s="17" t="n">
        <x:v>2471</x:v>
      </x:c>
      <x:c r="I3004" s="17" t="str">
        <x:v>Followup</x:v>
      </x:c>
      <x:c r="J3004" s="27" t="n">
        <x:f>INDEX('Model Pricing'!$B$7:$B$8,MATCH(F3004,'Model Pricing'!$A$7:$A$8,0))</x:f>
        <x:v>10</x:v>
      </x:c>
      <x:c r="K3004" s="27" t="n">
        <x:f>INDEX('Model Pricing'!$C$7:$C$8,MATCH(F3004,'Model Pricing'!$A$7:$A$8,0))</x:f>
        <x:v>30</x:v>
      </x:c>
      <x:c r="L3004" s="17" t="n">
        <x:f>G3004+H3004</x:f>
        <x:v>10359</x:v>
      </x:c>
      <x:c r="M3004" s="28" t="n">
        <x:f>G3004*J3004/1000000</x:f>
        <x:v>0.07888</x:v>
      </x:c>
      <x:c r="N3004" s="28" t="n">
        <x:f>H3004*K3004/1000000</x:f>
        <x:v>0.07413</x:v>
      </x:c>
      <x:c r="O3004" s="28" t="n">
        <x:f>SUM(M3004:N3004)</x:f>
        <x:v>0.15301</x:v>
      </x:c>
    </x:row>
    <x:row r="3005" ht="23" customHeight="1">
      <x:c r="A3005" s="17" t="str">
        <x:v>U02999</x:v>
      </x:c>
      <x:c r="B3005" s="18" t="n">
        <x:v>46281</x:v>
      </x:c>
      <x:c r="C3005" s="17" t="str">
        <x:v>W0237</x:v>
      </x:c>
      <x:c r="D3005" s="17" t="str">
        <x:v>C004</x:v>
      </x:c>
      <x:c r="E3005" s="17" t="str">
        <x:v>CampaignChat</x:v>
      </x:c>
      <x:c r="F3005" s="17" t="str">
        <x:v>Lite</x:v>
      </x:c>
      <x:c r="G3005" s="17" t="n">
        <x:v>8542</x:v>
      </x:c>
      <x:c r="H3005" s="17" t="n">
        <x:v>2591</x:v>
      </x:c>
      <x:c r="I3005" s="17" t="str">
        <x:v>Followup</x:v>
      </x:c>
      <x:c r="J3005" s="27" t="n">
        <x:f>INDEX('Model Pricing'!$B$7:$B$8,MATCH(F3005,'Model Pricing'!$A$7:$A$8,0))</x:f>
        <x:v>10</x:v>
      </x:c>
      <x:c r="K3005" s="27" t="n">
        <x:f>INDEX('Model Pricing'!$C$7:$C$8,MATCH(F3005,'Model Pricing'!$A$7:$A$8,0))</x:f>
        <x:v>30</x:v>
      </x:c>
      <x:c r="L3005" s="17" t="n">
        <x:f>G3005+H3005</x:f>
        <x:v>11133</x:v>
      </x:c>
      <x:c r="M3005" s="28" t="n">
        <x:f>G3005*J3005/1000000</x:f>
        <x:v>0.08542</x:v>
      </x:c>
      <x:c r="N3005" s="28" t="n">
        <x:f>H3005*K3005/1000000</x:f>
        <x:v>0.07773</x:v>
      </x:c>
      <x:c r="O3005" s="28" t="n">
        <x:f>SUM(M3005:N3005)</x:f>
        <x:v>0.16315</x:v>
      </x:c>
    </x:row>
    <x:row r="3006" ht="23" customHeight="1">
      <x:c r="A3006" s="17" t="str">
        <x:v>U03000</x:v>
      </x:c>
      <x:c r="B3006" s="18" t="n">
        <x:v>46281</x:v>
      </x:c>
      <x:c r="C3006" s="17" t="str">
        <x:v>W0237</x:v>
      </x:c>
      <x:c r="D3006" s="17" t="str">
        <x:v>C004</x:v>
      </x:c>
      <x:c r="E3006" s="17" t="str">
        <x:v>CampaignChat</x:v>
      </x:c>
      <x:c r="F3006" s="17" t="str">
        <x:v>Lite</x:v>
      </x:c>
      <x:c r="G3006" s="17" t="n">
        <x:v>12793</x:v>
      </x:c>
      <x:c r="H3006" s="17" t="n">
        <x:v>3665</x:v>
      </x:c>
      <x:c r="I3006" s="17" t="str">
        <x:v>Followup</x:v>
      </x:c>
      <x:c r="J3006" s="27" t="n">
        <x:f>INDEX('Model Pricing'!$B$7:$B$8,MATCH(F3006,'Model Pricing'!$A$7:$A$8,0))</x:f>
        <x:v>10</x:v>
      </x:c>
      <x:c r="K3006" s="27" t="n">
        <x:f>INDEX('Model Pricing'!$C$7:$C$8,MATCH(F3006,'Model Pricing'!$A$7:$A$8,0))</x:f>
        <x:v>30</x:v>
      </x:c>
      <x:c r="L3006" s="17" t="n">
        <x:f>G3006+H3006</x:f>
        <x:v>16458</x:v>
      </x:c>
      <x:c r="M3006" s="28" t="n">
        <x:f>G3006*J3006/1000000</x:f>
        <x:v>0.12793</x:v>
      </x:c>
      <x:c r="N3006" s="28" t="n">
        <x:f>H3006*K3006/1000000</x:f>
        <x:v>0.10995</x:v>
      </x:c>
      <x:c r="O3006" s="28" t="n">
        <x:f>SUM(M3006:N3006)</x:f>
        <x:v>0.23787999999999998</x:v>
      </x:c>
    </x:row>
    <x:row r="3007" ht="23" customHeight="1">
      <x:c r="A3007" s="17" t="str">
        <x:v>U03001</x:v>
      </x:c>
      <x:c r="B3007" s="18" t="n">
        <x:v>46282</x:v>
      </x:c>
      <x:c r="C3007" s="17" t="str">
        <x:v>W0237</x:v>
      </x:c>
      <x:c r="D3007" s="17" t="str">
        <x:v>C004</x:v>
      </x:c>
      <x:c r="E3007" s="17" t="str">
        <x:v>CampaignChat</x:v>
      </x:c>
      <x:c r="F3007" s="17" t="str">
        <x:v>Lite</x:v>
      </x:c>
      <x:c r="G3007" s="17" t="n">
        <x:v>15593</x:v>
      </x:c>
      <x:c r="H3007" s="17" t="n">
        <x:v>7589</x:v>
      </x:c>
      <x:c r="I3007" s="17" t="str">
        <x:v>Followup</x:v>
      </x:c>
      <x:c r="J3007" s="27" t="n">
        <x:f>INDEX('Model Pricing'!$B$7:$B$8,MATCH(F3007,'Model Pricing'!$A$7:$A$8,0))</x:f>
        <x:v>10</x:v>
      </x:c>
      <x:c r="K3007" s="27" t="n">
        <x:f>INDEX('Model Pricing'!$C$7:$C$8,MATCH(F3007,'Model Pricing'!$A$7:$A$8,0))</x:f>
        <x:v>30</x:v>
      </x:c>
      <x:c r="L3007" s="17" t="n">
        <x:f>G3007+H3007</x:f>
        <x:v>23182</x:v>
      </x:c>
      <x:c r="M3007" s="28" t="n">
        <x:f>G3007*J3007/1000000</x:f>
        <x:v>0.15593</x:v>
      </x:c>
      <x:c r="N3007" s="28" t="n">
        <x:f>H3007*K3007/1000000</x:f>
        <x:v>0.22767</x:v>
      </x:c>
      <x:c r="O3007" s="28" t="n">
        <x:f>SUM(M3007:N3007)</x:f>
        <x:v>0.38360000000000005</x:v>
      </x:c>
    </x:row>
    <x:row r="3008" ht="23" customHeight="1">
      <x:c r="A3008" s="17" t="str">
        <x:v>U03002</x:v>
      </x:c>
      <x:c r="B3008" s="18" t="n">
        <x:v>46282</x:v>
      </x:c>
      <x:c r="C3008" s="17" t="str">
        <x:v>W0237</x:v>
      </x:c>
      <x:c r="D3008" s="17" t="str">
        <x:v>C004</x:v>
      </x:c>
      <x:c r="E3008" s="17" t="str">
        <x:v>CampaignChat</x:v>
      </x:c>
      <x:c r="F3008" s="17" t="str">
        <x:v>Lite</x:v>
      </x:c>
      <x:c r="G3008" s="17" t="n">
        <x:v>16673</x:v>
      </x:c>
      <x:c r="H3008" s="17" t="n">
        <x:v>7124</x:v>
      </x:c>
      <x:c r="I3008" s="17" t="str">
        <x:v>Correction</x:v>
      </x:c>
      <x:c r="J3008" s="27" t="n">
        <x:f>INDEX('Model Pricing'!$B$7:$B$8,MATCH(F3008,'Model Pricing'!$A$7:$A$8,0))</x:f>
        <x:v>10</x:v>
      </x:c>
      <x:c r="K3008" s="27" t="n">
        <x:f>INDEX('Model Pricing'!$C$7:$C$8,MATCH(F3008,'Model Pricing'!$A$7:$A$8,0))</x:f>
        <x:v>30</x:v>
      </x:c>
      <x:c r="L3008" s="17" t="n">
        <x:f>G3008+H3008</x:f>
        <x:v>23797</x:v>
      </x:c>
      <x:c r="M3008" s="28" t="n">
        <x:f>G3008*J3008/1000000</x:f>
        <x:v>0.16673</x:v>
      </x:c>
      <x:c r="N3008" s="28" t="n">
        <x:f>H3008*K3008/1000000</x:f>
        <x:v>0.21372</x:v>
      </x:c>
      <x:c r="O3008" s="28" t="n">
        <x:f>SUM(M3008:N3008)</x:f>
        <x:v>0.38044999999999995</x:v>
      </x:c>
    </x:row>
    <x:row r="3009" ht="23" customHeight="1">
      <x:c r="A3009" s="17" t="str">
        <x:v>U03003</x:v>
      </x:c>
      <x:c r="B3009" s="18" t="n">
        <x:v>46282</x:v>
      </x:c>
      <x:c r="C3009" s="17" t="str">
        <x:v>W0237</x:v>
      </x:c>
      <x:c r="D3009" s="17" t="str">
        <x:v>C004</x:v>
      </x:c>
      <x:c r="E3009" s="17" t="str">
        <x:v>CampaignChat</x:v>
      </x:c>
      <x:c r="F3009" s="17" t="str">
        <x:v>Lite</x:v>
      </x:c>
      <x:c r="G3009" s="17" t="n">
        <x:v>10304</x:v>
      </x:c>
      <x:c r="H3009" s="17" t="n">
        <x:v>5901</x:v>
      </x:c>
      <x:c r="I3009" s="17" t="str">
        <x:v>Followup</x:v>
      </x:c>
      <x:c r="J3009" s="27" t="n">
        <x:f>INDEX('Model Pricing'!$B$7:$B$8,MATCH(F3009,'Model Pricing'!$A$7:$A$8,0))</x:f>
        <x:v>10</x:v>
      </x:c>
      <x:c r="K3009" s="27" t="n">
        <x:f>INDEX('Model Pricing'!$C$7:$C$8,MATCH(F3009,'Model Pricing'!$A$7:$A$8,0))</x:f>
        <x:v>30</x:v>
      </x:c>
      <x:c r="L3009" s="17" t="n">
        <x:f>G3009+H3009</x:f>
        <x:v>16205</x:v>
      </x:c>
      <x:c r="M3009" s="28" t="n">
        <x:f>G3009*J3009/1000000</x:f>
        <x:v>0.10304</x:v>
      </x:c>
      <x:c r="N3009" s="28" t="n">
        <x:f>H3009*K3009/1000000</x:f>
        <x:v>0.17703</x:v>
      </x:c>
      <x:c r="O3009" s="28" t="n">
        <x:f>SUM(M3009:N3009)</x:f>
        <x:v>0.28007</x:v>
      </x:c>
    </x:row>
    <x:row r="3010" ht="23" customHeight="1">
      <x:c r="A3010" s="17" t="str">
        <x:v>U03004</x:v>
      </x:c>
      <x:c r="B3010" s="18" t="n">
        <x:v>46273</x:v>
      </x:c>
      <x:c r="C3010" s="17" t="str">
        <x:v>W0239</x:v>
      </x:c>
      <x:c r="D3010" s="17" t="str">
        <x:v>C004</x:v>
      </x:c>
      <x:c r="E3010" s="17" t="str">
        <x:v>DataFlow</x:v>
      </x:c>
      <x:c r="F3010" s="17" t="str">
        <x:v>Lite</x:v>
      </x:c>
      <x:c r="G3010" s="17" t="n">
        <x:v>23294</x:v>
      </x:c>
      <x:c r="H3010" s="17" t="n">
        <x:v>4532</x:v>
      </x:c>
      <x:c r="I3010" s="17" t="str">
        <x:v>First attempt</x:v>
      </x:c>
      <x:c r="J3010" s="27" t="n">
        <x:f>INDEX('Model Pricing'!$B$7:$B$8,MATCH(F3010,'Model Pricing'!$A$7:$A$8,0))</x:f>
        <x:v>10</x:v>
      </x:c>
      <x:c r="K3010" s="27" t="n">
        <x:f>INDEX('Model Pricing'!$C$7:$C$8,MATCH(F3010,'Model Pricing'!$A$7:$A$8,0))</x:f>
        <x:v>30</x:v>
      </x:c>
      <x:c r="L3010" s="17" t="n">
        <x:f>G3010+H3010</x:f>
        <x:v>27826</x:v>
      </x:c>
      <x:c r="M3010" s="28" t="n">
        <x:f>G3010*J3010/1000000</x:f>
        <x:v>0.23294</x:v>
      </x:c>
      <x:c r="N3010" s="28" t="n">
        <x:f>H3010*K3010/1000000</x:f>
        <x:v>0.13596</x:v>
      </x:c>
      <x:c r="O3010" s="28" t="n">
        <x:f>SUM(M3010:N3010)</x:f>
        <x:v>0.3689</x:v>
      </x:c>
    </x:row>
    <x:row r="3011" ht="23" customHeight="1">
      <x:c r="A3011" s="17" t="str">
        <x:v>U03005</x:v>
      </x:c>
      <x:c r="B3011" s="18" t="n">
        <x:v>46273</x:v>
      </x:c>
      <x:c r="C3011" s="17" t="str">
        <x:v>W0239</x:v>
      </x:c>
      <x:c r="D3011" s="17" t="str">
        <x:v>C004</x:v>
      </x:c>
      <x:c r="E3011" s="17" t="str">
        <x:v>DataFlow</x:v>
      </x:c>
      <x:c r="F3011" s="17" t="str">
        <x:v>Lite</x:v>
      </x:c>
      <x:c r="G3011" s="17" t="n">
        <x:v>38223</x:v>
      </x:c>
      <x:c r="H3011" s="17" t="n">
        <x:v>2188</x:v>
      </x:c>
      <x:c r="I3011" s="17" t="str">
        <x:v>Followup</x:v>
      </x:c>
      <x:c r="J3011" s="27" t="n">
        <x:f>INDEX('Model Pricing'!$B$7:$B$8,MATCH(F3011,'Model Pricing'!$A$7:$A$8,0))</x:f>
        <x:v>10</x:v>
      </x:c>
      <x:c r="K3011" s="27" t="n">
        <x:f>INDEX('Model Pricing'!$C$7:$C$8,MATCH(F3011,'Model Pricing'!$A$7:$A$8,0))</x:f>
        <x:v>30</x:v>
      </x:c>
      <x:c r="L3011" s="17" t="n">
        <x:f>G3011+H3011</x:f>
        <x:v>40411</x:v>
      </x:c>
      <x:c r="M3011" s="28" t="n">
        <x:f>G3011*J3011/1000000</x:f>
        <x:v>0.38223</x:v>
      </x:c>
      <x:c r="N3011" s="28" t="n">
        <x:f>H3011*K3011/1000000</x:f>
        <x:v>0.06564</x:v>
      </x:c>
      <x:c r="O3011" s="28" t="n">
        <x:f>SUM(M3011:N3011)</x:f>
        <x:v>0.44787</x:v>
      </x:c>
    </x:row>
    <x:row r="3012" ht="23" customHeight="1">
      <x:c r="A3012" s="17" t="str">
        <x:v>U03006</x:v>
      </x:c>
      <x:c r="B3012" s="18" t="n">
        <x:v>46273</x:v>
      </x:c>
      <x:c r="C3012" s="17" t="str">
        <x:v>W0239</x:v>
      </x:c>
      <x:c r="D3012" s="17" t="str">
        <x:v>C004</x:v>
      </x:c>
      <x:c r="E3012" s="17" t="str">
        <x:v>DataFlow</x:v>
      </x:c>
      <x:c r="F3012" s="17" t="str">
        <x:v>Lite</x:v>
      </x:c>
      <x:c r="G3012" s="17" t="n">
        <x:v>35505</x:v>
      </x:c>
      <x:c r="H3012" s="17" t="n">
        <x:v>1334</x:v>
      </x:c>
      <x:c r="I3012" s="17" t="str">
        <x:v>Followup</x:v>
      </x:c>
      <x:c r="J3012" s="27" t="n">
        <x:f>INDEX('Model Pricing'!$B$7:$B$8,MATCH(F3012,'Model Pricing'!$A$7:$A$8,0))</x:f>
        <x:v>10</x:v>
      </x:c>
      <x:c r="K3012" s="27" t="n">
        <x:f>INDEX('Model Pricing'!$C$7:$C$8,MATCH(F3012,'Model Pricing'!$A$7:$A$8,0))</x:f>
        <x:v>30</x:v>
      </x:c>
      <x:c r="L3012" s="17" t="n">
        <x:f>G3012+H3012</x:f>
        <x:v>36839</x:v>
      </x:c>
      <x:c r="M3012" s="28" t="n">
        <x:f>G3012*J3012/1000000</x:f>
        <x:v>0.35505</x:v>
      </x:c>
      <x:c r="N3012" s="28" t="n">
        <x:f>H3012*K3012/1000000</x:f>
        <x:v>0.04002</x:v>
      </x:c>
      <x:c r="O3012" s="28" t="n">
        <x:f>SUM(M3012:N3012)</x:f>
        <x:v>0.39507</x:v>
      </x:c>
    </x:row>
    <x:row r="3013" ht="23" customHeight="1">
      <x:c r="A3013" s="17" t="str">
        <x:v>U03007</x:v>
      </x:c>
      <x:c r="B3013" s="18" t="n">
        <x:v>46273</x:v>
      </x:c>
      <x:c r="C3013" s="17" t="str">
        <x:v>W0239</x:v>
      </x:c>
      <x:c r="D3013" s="17" t="str">
        <x:v>C004</x:v>
      </x:c>
      <x:c r="E3013" s="17" t="str">
        <x:v>DataFlow</x:v>
      </x:c>
      <x:c r="F3013" s="17" t="str">
        <x:v>Lite</x:v>
      </x:c>
      <x:c r="G3013" s="17" t="n">
        <x:v>40810</x:v>
      </x:c>
      <x:c r="H3013" s="17" t="n">
        <x:v>1868</x:v>
      </x:c>
      <x:c r="I3013" s="17" t="str">
        <x:v>Followup</x:v>
      </x:c>
      <x:c r="J3013" s="27" t="n">
        <x:f>INDEX('Model Pricing'!$B$7:$B$8,MATCH(F3013,'Model Pricing'!$A$7:$A$8,0))</x:f>
        <x:v>10</x:v>
      </x:c>
      <x:c r="K3013" s="27" t="n">
        <x:f>INDEX('Model Pricing'!$C$7:$C$8,MATCH(F3013,'Model Pricing'!$A$7:$A$8,0))</x:f>
        <x:v>30</x:v>
      </x:c>
      <x:c r="L3013" s="17" t="n">
        <x:f>G3013+H3013</x:f>
        <x:v>42678</x:v>
      </x:c>
      <x:c r="M3013" s="28" t="n">
        <x:f>G3013*J3013/1000000</x:f>
        <x:v>0.4081</x:v>
      </x:c>
      <x:c r="N3013" s="28" t="n">
        <x:f>H3013*K3013/1000000</x:f>
        <x:v>0.05604</x:v>
      </x:c>
      <x:c r="O3013" s="28" t="n">
        <x:f>SUM(M3013:N3013)</x:f>
        <x:v>0.46414</x:v>
      </x:c>
    </x:row>
    <x:row r="3014" ht="23" customHeight="1">
      <x:c r="A3014" s="17" t="str">
        <x:v>U03008</x:v>
      </x:c>
      <x:c r="B3014" s="18" t="n">
        <x:v>46274</x:v>
      </x:c>
      <x:c r="C3014" s="17" t="str">
        <x:v>W0239</x:v>
      </x:c>
      <x:c r="D3014" s="17" t="str">
        <x:v>C004</x:v>
      </x:c>
      <x:c r="E3014" s="17" t="str">
        <x:v>DataFlow</x:v>
      </x:c>
      <x:c r="F3014" s="17" t="str">
        <x:v>Lite</x:v>
      </x:c>
      <x:c r="G3014" s="17" t="n">
        <x:v>38101</x:v>
      </x:c>
      <x:c r="H3014" s="17" t="n">
        <x:v>2054</x:v>
      </x:c>
      <x:c r="I3014" s="17" t="str">
        <x:v>Correction</x:v>
      </x:c>
      <x:c r="J3014" s="27" t="n">
        <x:f>INDEX('Model Pricing'!$B$7:$B$8,MATCH(F3014,'Model Pricing'!$A$7:$A$8,0))</x:f>
        <x:v>10</x:v>
      </x:c>
      <x:c r="K3014" s="27" t="n">
        <x:f>INDEX('Model Pricing'!$C$7:$C$8,MATCH(F3014,'Model Pricing'!$A$7:$A$8,0))</x:f>
        <x:v>30</x:v>
      </x:c>
      <x:c r="L3014" s="17" t="n">
        <x:f>G3014+H3014</x:f>
        <x:v>40155</x:v>
      </x:c>
      <x:c r="M3014" s="28" t="n">
        <x:f>G3014*J3014/1000000</x:f>
        <x:v>0.38101</x:v>
      </x:c>
      <x:c r="N3014" s="28" t="n">
        <x:f>H3014*K3014/1000000</x:f>
        <x:v>0.06162</x:v>
      </x:c>
      <x:c r="O3014" s="28" t="n">
        <x:f>SUM(M3014:N3014)</x:f>
        <x:v>0.44263</x:v>
      </x:c>
    </x:row>
    <x:row r="3015" ht="23" customHeight="1">
      <x:c r="A3015" s="17" t="str">
        <x:v>U03009</x:v>
      </x:c>
      <x:c r="B3015" s="18" t="n">
        <x:v>46274</x:v>
      </x:c>
      <x:c r="C3015" s="17" t="str">
        <x:v>W0239</x:v>
      </x:c>
      <x:c r="D3015" s="17" t="str">
        <x:v>C004</x:v>
      </x:c>
      <x:c r="E3015" s="17" t="str">
        <x:v>DataFlow</x:v>
      </x:c>
      <x:c r="F3015" s="17" t="str">
        <x:v>Lite</x:v>
      </x:c>
      <x:c r="G3015" s="17" t="n">
        <x:v>23499</x:v>
      </x:c>
      <x:c r="H3015" s="17" t="n">
        <x:v>2041</x:v>
      </x:c>
      <x:c r="I3015" s="17" t="str">
        <x:v>Followup</x:v>
      </x:c>
      <x:c r="J3015" s="27" t="n">
        <x:f>INDEX('Model Pricing'!$B$7:$B$8,MATCH(F3015,'Model Pricing'!$A$7:$A$8,0))</x:f>
        <x:v>10</x:v>
      </x:c>
      <x:c r="K3015" s="27" t="n">
        <x:f>INDEX('Model Pricing'!$C$7:$C$8,MATCH(F3015,'Model Pricing'!$A$7:$A$8,0))</x:f>
        <x:v>30</x:v>
      </x:c>
      <x:c r="L3015" s="17" t="n">
        <x:f>G3015+H3015</x:f>
        <x:v>25540</x:v>
      </x:c>
      <x:c r="M3015" s="28" t="n">
        <x:f>G3015*J3015/1000000</x:f>
        <x:v>0.23499</x:v>
      </x:c>
      <x:c r="N3015" s="28" t="n">
        <x:f>H3015*K3015/1000000</x:f>
        <x:v>0.06123</x:v>
      </x:c>
      <x:c r="O3015" s="28" t="n">
        <x:f>SUM(M3015:N3015)</x:f>
        <x:v>0.29622</x:v>
      </x:c>
    </x:row>
    <x:row r="3016" ht="23" customHeight="1">
      <x:c r="A3016" s="17" t="str">
        <x:v>U03010</x:v>
      </x:c>
      <x:c r="B3016" s="18" t="n">
        <x:v>46274</x:v>
      </x:c>
      <x:c r="C3016" s="17" t="str">
        <x:v>W0239</x:v>
      </x:c>
      <x:c r="D3016" s="17" t="str">
        <x:v>C004</x:v>
      </x:c>
      <x:c r="E3016" s="17" t="str">
        <x:v>DataFlow</x:v>
      </x:c>
      <x:c r="F3016" s="17" t="str">
        <x:v>Lite</x:v>
      </x:c>
      <x:c r="G3016" s="17" t="n">
        <x:v>24321</x:v>
      </x:c>
      <x:c r="H3016" s="17" t="n">
        <x:v>3312</x:v>
      </x:c>
      <x:c r="I3016" s="17" t="str">
        <x:v>Followup</x:v>
      </x:c>
      <x:c r="J3016" s="27" t="n">
        <x:f>INDEX('Model Pricing'!$B$7:$B$8,MATCH(F3016,'Model Pricing'!$A$7:$A$8,0))</x:f>
        <x:v>10</x:v>
      </x:c>
      <x:c r="K3016" s="27" t="n">
        <x:f>INDEX('Model Pricing'!$C$7:$C$8,MATCH(F3016,'Model Pricing'!$A$7:$A$8,0))</x:f>
        <x:v>30</x:v>
      </x:c>
      <x:c r="L3016" s="17" t="n">
        <x:f>G3016+H3016</x:f>
        <x:v>27633</x:v>
      </x:c>
      <x:c r="M3016" s="28" t="n">
        <x:f>G3016*J3016/1000000</x:f>
        <x:v>0.24321</x:v>
      </x:c>
      <x:c r="N3016" s="28" t="n">
        <x:f>H3016*K3016/1000000</x:f>
        <x:v>0.09936</x:v>
      </x:c>
      <x:c r="O3016" s="28" t="n">
        <x:f>SUM(M3016:N3016)</x:f>
        <x:v>0.34257000000000004</x:v>
      </x:c>
    </x:row>
    <x:row r="3017" ht="23" customHeight="1">
      <x:c r="A3017" s="17" t="str">
        <x:v>U03011</x:v>
      </x:c>
      <x:c r="B3017" s="18" t="n">
        <x:v>46274</x:v>
      </x:c>
      <x:c r="C3017" s="17" t="str">
        <x:v>W0239</x:v>
      </x:c>
      <x:c r="D3017" s="17" t="str">
        <x:v>C004</x:v>
      </x:c>
      <x:c r="E3017" s="17" t="str">
        <x:v>DataFlow</x:v>
      </x:c>
      <x:c r="F3017" s="17" t="str">
        <x:v>Lite</x:v>
      </x:c>
      <x:c r="G3017" s="17" t="n">
        <x:v>28894</x:v>
      </x:c>
      <x:c r="H3017" s="17" t="n">
        <x:v>2791</x:v>
      </x:c>
      <x:c r="I3017" s="17" t="str">
        <x:v>Followup</x:v>
      </x:c>
      <x:c r="J3017" s="27" t="n">
        <x:f>INDEX('Model Pricing'!$B$7:$B$8,MATCH(F3017,'Model Pricing'!$A$7:$A$8,0))</x:f>
        <x:v>10</x:v>
      </x:c>
      <x:c r="K3017" s="27" t="n">
        <x:f>INDEX('Model Pricing'!$C$7:$C$8,MATCH(F3017,'Model Pricing'!$A$7:$A$8,0))</x:f>
        <x:v>30</x:v>
      </x:c>
      <x:c r="L3017" s="17" t="n">
        <x:f>G3017+H3017</x:f>
        <x:v>31685</x:v>
      </x:c>
      <x:c r="M3017" s="28" t="n">
        <x:f>G3017*J3017/1000000</x:f>
        <x:v>0.28894</x:v>
      </x:c>
      <x:c r="N3017" s="28" t="n">
        <x:f>H3017*K3017/1000000</x:f>
        <x:v>0.08373</x:v>
      </x:c>
      <x:c r="O3017" s="28" t="n">
        <x:f>SUM(M3017:N3017)</x:f>
        <x:v>0.37266999999999995</x:v>
      </x:c>
    </x:row>
    <x:row r="3018" ht="23" customHeight="1">
      <x:c r="A3018" s="17" t="str">
        <x:v>U03012</x:v>
      </x:c>
      <x:c r="B3018" s="18" t="n">
        <x:v>46275</x:v>
      </x:c>
      <x:c r="C3018" s="17" t="str">
        <x:v>W0239</x:v>
      </x:c>
      <x:c r="D3018" s="17" t="str">
        <x:v>C004</x:v>
      </x:c>
      <x:c r="E3018" s="17" t="str">
        <x:v>DataFlow</x:v>
      </x:c>
      <x:c r="F3018" s="17" t="str">
        <x:v>Lite</x:v>
      </x:c>
      <x:c r="G3018" s="17" t="n">
        <x:v>16837</x:v>
      </x:c>
      <x:c r="H3018" s="17" t="n">
        <x:v>4554</x:v>
      </x:c>
      <x:c r="I3018" s="17" t="str">
        <x:v>Correction</x:v>
      </x:c>
      <x:c r="J3018" s="27" t="n">
        <x:f>INDEX('Model Pricing'!$B$7:$B$8,MATCH(F3018,'Model Pricing'!$A$7:$A$8,0))</x:f>
        <x:v>10</x:v>
      </x:c>
      <x:c r="K3018" s="27" t="n">
        <x:f>INDEX('Model Pricing'!$C$7:$C$8,MATCH(F3018,'Model Pricing'!$A$7:$A$8,0))</x:f>
        <x:v>30</x:v>
      </x:c>
      <x:c r="L3018" s="17" t="n">
        <x:f>G3018+H3018</x:f>
        <x:v>21391</x:v>
      </x:c>
      <x:c r="M3018" s="28" t="n">
        <x:f>G3018*J3018/1000000</x:f>
        <x:v>0.16837</x:v>
      </x:c>
      <x:c r="N3018" s="28" t="n">
        <x:f>H3018*K3018/1000000</x:f>
        <x:v>0.13662</x:v>
      </x:c>
      <x:c r="O3018" s="28" t="n">
        <x:f>SUM(M3018:N3018)</x:f>
        <x:v>0.30499</x:v>
      </x:c>
    </x:row>
    <x:row r="3019" ht="23" customHeight="1">
      <x:c r="A3019" s="17" t="str">
        <x:v>U03013</x:v>
      </x:c>
      <x:c r="B3019" s="18" t="n">
        <x:v>46275</x:v>
      </x:c>
      <x:c r="C3019" s="17" t="str">
        <x:v>W0239</x:v>
      </x:c>
      <x:c r="D3019" s="17" t="str">
        <x:v>C004</x:v>
      </x:c>
      <x:c r="E3019" s="17" t="str">
        <x:v>DataFlow</x:v>
      </x:c>
      <x:c r="F3019" s="17" t="str">
        <x:v>Lite</x:v>
      </x:c>
      <x:c r="G3019" s="17" t="n">
        <x:v>27177</x:v>
      </x:c>
      <x:c r="H3019" s="17" t="n">
        <x:v>1503</x:v>
      </x:c>
      <x:c r="I3019" s="17" t="str">
        <x:v>Correction</x:v>
      </x:c>
      <x:c r="J3019" s="27" t="n">
        <x:f>INDEX('Model Pricing'!$B$7:$B$8,MATCH(F3019,'Model Pricing'!$A$7:$A$8,0))</x:f>
        <x:v>10</x:v>
      </x:c>
      <x:c r="K3019" s="27" t="n">
        <x:f>INDEX('Model Pricing'!$C$7:$C$8,MATCH(F3019,'Model Pricing'!$A$7:$A$8,0))</x:f>
        <x:v>30</x:v>
      </x:c>
      <x:c r="L3019" s="17" t="n">
        <x:f>G3019+H3019</x:f>
        <x:v>28680</x:v>
      </x:c>
      <x:c r="M3019" s="28" t="n">
        <x:f>G3019*J3019/1000000</x:f>
        <x:v>0.27177</x:v>
      </x:c>
      <x:c r="N3019" s="28" t="n">
        <x:f>H3019*K3019/1000000</x:f>
        <x:v>0.04509</x:v>
      </x:c>
      <x:c r="O3019" s="28" t="n">
        <x:f>SUM(M3019:N3019)</x:f>
        <x:v>0.31686000000000003</x:v>
      </x:c>
    </x:row>
    <x:row r="3020" ht="23" customHeight="1">
      <x:c r="A3020" s="17" t="str">
        <x:v>U03014</x:v>
      </x:c>
      <x:c r="B3020" s="18" t="n">
        <x:v>46275</x:v>
      </x:c>
      <x:c r="C3020" s="17" t="str">
        <x:v>W0239</x:v>
      </x:c>
      <x:c r="D3020" s="17" t="str">
        <x:v>C004</x:v>
      </x:c>
      <x:c r="E3020" s="17" t="str">
        <x:v>DataFlow</x:v>
      </x:c>
      <x:c r="F3020" s="17" t="str">
        <x:v>Lite</x:v>
      </x:c>
      <x:c r="G3020" s="17" t="n">
        <x:v>35986</x:v>
      </x:c>
      <x:c r="H3020" s="17" t="n">
        <x:v>2936</x:v>
      </x:c>
      <x:c r="I3020" s="17" t="str">
        <x:v>Followup</x:v>
      </x:c>
      <x:c r="J3020" s="27" t="n">
        <x:f>INDEX('Model Pricing'!$B$7:$B$8,MATCH(F3020,'Model Pricing'!$A$7:$A$8,0))</x:f>
        <x:v>10</x:v>
      </x:c>
      <x:c r="K3020" s="27" t="n">
        <x:f>INDEX('Model Pricing'!$C$7:$C$8,MATCH(F3020,'Model Pricing'!$A$7:$A$8,0))</x:f>
        <x:v>30</x:v>
      </x:c>
      <x:c r="L3020" s="17" t="n">
        <x:f>G3020+H3020</x:f>
        <x:v>38922</x:v>
      </x:c>
      <x:c r="M3020" s="28" t="n">
        <x:f>G3020*J3020/1000000</x:f>
        <x:v>0.35986</x:v>
      </x:c>
      <x:c r="N3020" s="28" t="n">
        <x:f>H3020*K3020/1000000</x:f>
        <x:v>0.08808</x:v>
      </x:c>
      <x:c r="O3020" s="28" t="n">
        <x:f>SUM(M3020:N3020)</x:f>
        <x:v>0.44794</x:v>
      </x:c>
    </x:row>
    <x:row r="3021" ht="23" customHeight="1">
      <x:c r="A3021" s="17" t="str">
        <x:v>U03015</x:v>
      </x:c>
      <x:c r="B3021" s="18" t="n">
        <x:v>46275</x:v>
      </x:c>
      <x:c r="C3021" s="17" t="str">
        <x:v>W0239</x:v>
      </x:c>
      <x:c r="D3021" s="17" t="str">
        <x:v>C004</x:v>
      </x:c>
      <x:c r="E3021" s="17" t="str">
        <x:v>DataFlow</x:v>
      </x:c>
      <x:c r="F3021" s="17" t="str">
        <x:v>Lite</x:v>
      </x:c>
      <x:c r="G3021" s="17" t="n">
        <x:v>41752</x:v>
      </x:c>
      <x:c r="H3021" s="17" t="n">
        <x:v>1806</x:v>
      </x:c>
      <x:c r="I3021" s="17" t="str">
        <x:v>Followup</x:v>
      </x:c>
      <x:c r="J3021" s="27" t="n">
        <x:f>INDEX('Model Pricing'!$B$7:$B$8,MATCH(F3021,'Model Pricing'!$A$7:$A$8,0))</x:f>
        <x:v>10</x:v>
      </x:c>
      <x:c r="K3021" s="27" t="n">
        <x:f>INDEX('Model Pricing'!$C$7:$C$8,MATCH(F3021,'Model Pricing'!$A$7:$A$8,0))</x:f>
        <x:v>30</x:v>
      </x:c>
      <x:c r="L3021" s="17" t="n">
        <x:f>G3021+H3021</x:f>
        <x:v>43558</x:v>
      </x:c>
      <x:c r="M3021" s="28" t="n">
        <x:f>G3021*J3021/1000000</x:f>
        <x:v>0.41752</x:v>
      </x:c>
      <x:c r="N3021" s="28" t="n">
        <x:f>H3021*K3021/1000000</x:f>
        <x:v>0.05418</x:v>
      </x:c>
      <x:c r="O3021" s="28" t="n">
        <x:f>SUM(M3021:N3021)</x:f>
        <x:v>0.4717</x:v>
      </x:c>
    </x:row>
    <x:row r="3022" ht="23" customHeight="1">
      <x:c r="A3022" s="17" t="str">
        <x:v>U03016</x:v>
      </x:c>
      <x:c r="B3022" s="18" t="n">
        <x:v>46276</x:v>
      </x:c>
      <x:c r="C3022" s="17" t="str">
        <x:v>W0239</x:v>
      </x:c>
      <x:c r="D3022" s="17" t="str">
        <x:v>C004</x:v>
      </x:c>
      <x:c r="E3022" s="17" t="str">
        <x:v>DataFlow</x:v>
      </x:c>
      <x:c r="F3022" s="17" t="str">
        <x:v>Lite</x:v>
      </x:c>
      <x:c r="G3022" s="17" t="n">
        <x:v>14574</x:v>
      </x:c>
      <x:c r="H3022" s="17" t="n">
        <x:v>1614</x:v>
      </x:c>
      <x:c r="I3022" s="17" t="str">
        <x:v>Followup</x:v>
      </x:c>
      <x:c r="J3022" s="27" t="n">
        <x:f>INDEX('Model Pricing'!$B$7:$B$8,MATCH(F3022,'Model Pricing'!$A$7:$A$8,0))</x:f>
        <x:v>10</x:v>
      </x:c>
      <x:c r="K3022" s="27" t="n">
        <x:f>INDEX('Model Pricing'!$C$7:$C$8,MATCH(F3022,'Model Pricing'!$A$7:$A$8,0))</x:f>
        <x:v>30</x:v>
      </x:c>
      <x:c r="L3022" s="17" t="n">
        <x:f>G3022+H3022</x:f>
        <x:v>16188</x:v>
      </x:c>
      <x:c r="M3022" s="28" t="n">
        <x:f>G3022*J3022/1000000</x:f>
        <x:v>0.14574</x:v>
      </x:c>
      <x:c r="N3022" s="28" t="n">
        <x:f>H3022*K3022/1000000</x:f>
        <x:v>0.04842</x:v>
      </x:c>
      <x:c r="O3022" s="28" t="n">
        <x:f>SUM(M3022:N3022)</x:f>
        <x:v>0.19416</x:v>
      </x:c>
    </x:row>
    <x:row r="3023" ht="23" customHeight="1">
      <x:c r="A3023" s="17" t="str">
        <x:v>U03017</x:v>
      </x:c>
      <x:c r="B3023" s="18" t="n">
        <x:v>46276</x:v>
      </x:c>
      <x:c r="C3023" s="17" t="str">
        <x:v>W0239</x:v>
      </x:c>
      <x:c r="D3023" s="17" t="str">
        <x:v>C004</x:v>
      </x:c>
      <x:c r="E3023" s="17" t="str">
        <x:v>DataFlow</x:v>
      </x:c>
      <x:c r="F3023" s="17" t="str">
        <x:v>Lite</x:v>
      </x:c>
      <x:c r="G3023" s="17" t="n">
        <x:v>18689</x:v>
      </x:c>
      <x:c r="H3023" s="17" t="n">
        <x:v>2843</x:v>
      </x:c>
      <x:c r="I3023" s="17" t="str">
        <x:v>Followup</x:v>
      </x:c>
      <x:c r="J3023" s="27" t="n">
        <x:f>INDEX('Model Pricing'!$B$7:$B$8,MATCH(F3023,'Model Pricing'!$A$7:$A$8,0))</x:f>
        <x:v>10</x:v>
      </x:c>
      <x:c r="K3023" s="27" t="n">
        <x:f>INDEX('Model Pricing'!$C$7:$C$8,MATCH(F3023,'Model Pricing'!$A$7:$A$8,0))</x:f>
        <x:v>30</x:v>
      </x:c>
      <x:c r="L3023" s="17" t="n">
        <x:f>G3023+H3023</x:f>
        <x:v>21532</x:v>
      </x:c>
      <x:c r="M3023" s="28" t="n">
        <x:f>G3023*J3023/1000000</x:f>
        <x:v>0.18689</x:v>
      </x:c>
      <x:c r="N3023" s="28" t="n">
        <x:f>H3023*K3023/1000000</x:f>
        <x:v>0.08529</x:v>
      </x:c>
      <x:c r="O3023" s="28" t="n">
        <x:f>SUM(M3023:N3023)</x:f>
        <x:v>0.27218</x:v>
      </x:c>
    </x:row>
    <x:row r="3024" ht="23" customHeight="1">
      <x:c r="A3024" s="17" t="str">
        <x:v>U03018</x:v>
      </x:c>
      <x:c r="B3024" s="18" t="n">
        <x:v>46276</x:v>
      </x:c>
      <x:c r="C3024" s="17" t="str">
        <x:v>W0239</x:v>
      </x:c>
      <x:c r="D3024" s="17" t="str">
        <x:v>C004</x:v>
      </x:c>
      <x:c r="E3024" s="17" t="str">
        <x:v>DataFlow</x:v>
      </x:c>
      <x:c r="F3024" s="17" t="str">
        <x:v>Lite</x:v>
      </x:c>
      <x:c r="G3024" s="17" t="n">
        <x:v>26712</x:v>
      </x:c>
      <x:c r="H3024" s="17" t="n">
        <x:v>2146</x:v>
      </x:c>
      <x:c r="I3024" s="17" t="str">
        <x:v>Followup</x:v>
      </x:c>
      <x:c r="J3024" s="27" t="n">
        <x:f>INDEX('Model Pricing'!$B$7:$B$8,MATCH(F3024,'Model Pricing'!$A$7:$A$8,0))</x:f>
        <x:v>10</x:v>
      </x:c>
      <x:c r="K3024" s="27" t="n">
        <x:f>INDEX('Model Pricing'!$C$7:$C$8,MATCH(F3024,'Model Pricing'!$A$7:$A$8,0))</x:f>
        <x:v>30</x:v>
      </x:c>
      <x:c r="L3024" s="17" t="n">
        <x:f>G3024+H3024</x:f>
        <x:v>28858</x:v>
      </x:c>
      <x:c r="M3024" s="28" t="n">
        <x:f>G3024*J3024/1000000</x:f>
        <x:v>0.26712</x:v>
      </x:c>
      <x:c r="N3024" s="28" t="n">
        <x:f>H3024*K3024/1000000</x:f>
        <x:v>0.06438</x:v>
      </x:c>
      <x:c r="O3024" s="28" t="n">
        <x:f>SUM(M3024:N3024)</x:f>
        <x:v>0.3315</x:v>
      </x:c>
    </x:row>
    <x:row r="3025" ht="23" customHeight="1">
      <x:c r="A3025" s="17" t="str">
        <x:v>U03019</x:v>
      </x:c>
      <x:c r="B3025" s="18" t="n">
        <x:v>46283</x:v>
      </x:c>
      <x:c r="C3025" s="17" t="str">
        <x:v>W0181</x:v>
      </x:c>
      <x:c r="D3025" s="17" t="str">
        <x:v>C004</x:v>
      </x:c>
      <x:c r="E3025" s="17" t="str">
        <x:v>CampaignChat</x:v>
      </x:c>
      <x:c r="F3025" s="17" t="str">
        <x:v>Pro</x:v>
      </x:c>
      <x:c r="G3025" s="17" t="n">
        <x:v>17852</x:v>
      </x:c>
      <x:c r="H3025" s="17" t="n">
        <x:v>9021</x:v>
      </x:c>
      <x:c r="I3025" s="17" t="str">
        <x:v>First attempt</x:v>
      </x:c>
      <x:c r="J3025" s="27" t="n">
        <x:f>INDEX('Model Pricing'!$B$7:$B$8,MATCH(F3025,'Model Pricing'!$A$7:$A$8,0))</x:f>
        <x:v>40</x:v>
      </x:c>
      <x:c r="K3025" s="27" t="n">
        <x:f>INDEX('Model Pricing'!$C$7:$C$8,MATCH(F3025,'Model Pricing'!$A$7:$A$8,0))</x:f>
        <x:v>100</x:v>
      </x:c>
      <x:c r="L3025" s="17" t="n">
        <x:f>G3025+H3025</x:f>
        <x:v>26873</x:v>
      </x:c>
      <x:c r="M3025" s="28" t="n">
        <x:f>G3025*J3025/1000000</x:f>
        <x:v>0.71408</x:v>
      </x:c>
      <x:c r="N3025" s="28" t="n">
        <x:f>H3025*K3025/1000000</x:f>
        <x:v>0.9021</x:v>
      </x:c>
      <x:c r="O3025" s="28" t="n">
        <x:f>SUM(M3025:N3025)</x:f>
        <x:v>1.61618</x:v>
      </x:c>
    </x:row>
    <x:row r="3026" ht="23" customHeight="1">
      <x:c r="A3026" s="17" t="str">
        <x:v>U03020</x:v>
      </x:c>
      <x:c r="B3026" s="18" t="n">
        <x:v>46283</x:v>
      </x:c>
      <x:c r="C3026" s="17" t="str">
        <x:v>W0181</x:v>
      </x:c>
      <x:c r="D3026" s="17" t="str">
        <x:v>C004</x:v>
      </x:c>
      <x:c r="E3026" s="17" t="str">
        <x:v>CampaignChat</x:v>
      </x:c>
      <x:c r="F3026" s="17" t="str">
        <x:v>Pro</x:v>
      </x:c>
      <x:c r="G3026" s="17" t="n">
        <x:v>7279</x:v>
      </x:c>
      <x:c r="H3026" s="17" t="n">
        <x:v>4182</x:v>
      </x:c>
      <x:c r="I3026" s="17" t="str">
        <x:v>Followup</x:v>
      </x:c>
      <x:c r="J3026" s="27" t="n">
        <x:f>INDEX('Model Pricing'!$B$7:$B$8,MATCH(F3026,'Model Pricing'!$A$7:$A$8,0))</x:f>
        <x:v>40</x:v>
      </x:c>
      <x:c r="K3026" s="27" t="n">
        <x:f>INDEX('Model Pricing'!$C$7:$C$8,MATCH(F3026,'Model Pricing'!$A$7:$A$8,0))</x:f>
        <x:v>100</x:v>
      </x:c>
      <x:c r="L3026" s="17" t="n">
        <x:f>G3026+H3026</x:f>
        <x:v>11461</x:v>
      </x:c>
      <x:c r="M3026" s="28" t="n">
        <x:f>G3026*J3026/1000000</x:f>
        <x:v>0.29116</x:v>
      </x:c>
      <x:c r="N3026" s="28" t="n">
        <x:f>H3026*K3026/1000000</x:f>
        <x:v>0.4182</x:v>
      </x:c>
      <x:c r="O3026" s="28" t="n">
        <x:f>SUM(M3026:N3026)</x:f>
        <x:v>0.70936</x:v>
      </x:c>
    </x:row>
    <x:row r="3027" ht="23" customHeight="1">
      <x:c r="A3027" s="17" t="str">
        <x:v>U03021</x:v>
      </x:c>
      <x:c r="B3027" s="18" t="n">
        <x:v>46283</x:v>
      </x:c>
      <x:c r="C3027" s="17" t="str">
        <x:v>W0181</x:v>
      </x:c>
      <x:c r="D3027" s="17" t="str">
        <x:v>C004</x:v>
      </x:c>
      <x:c r="E3027" s="17" t="str">
        <x:v>CampaignChat</x:v>
      </x:c>
      <x:c r="F3027" s="17" t="str">
        <x:v>Pro</x:v>
      </x:c>
      <x:c r="G3027" s="17" t="n">
        <x:v>8592</x:v>
      </x:c>
      <x:c r="H3027" s="17" t="n">
        <x:v>9377</x:v>
      </x:c>
      <x:c r="I3027" s="17" t="str">
        <x:v>Correction</x:v>
      </x:c>
      <x:c r="J3027" s="27" t="n">
        <x:f>INDEX('Model Pricing'!$B$7:$B$8,MATCH(F3027,'Model Pricing'!$A$7:$A$8,0))</x:f>
        <x:v>40</x:v>
      </x:c>
      <x:c r="K3027" s="27" t="n">
        <x:f>INDEX('Model Pricing'!$C$7:$C$8,MATCH(F3027,'Model Pricing'!$A$7:$A$8,0))</x:f>
        <x:v>100</x:v>
      </x:c>
      <x:c r="L3027" s="17" t="n">
        <x:f>G3027+H3027</x:f>
        <x:v>17969</x:v>
      </x:c>
      <x:c r="M3027" s="28" t="n">
        <x:f>G3027*J3027/1000000</x:f>
        <x:v>0.34368</x:v>
      </x:c>
      <x:c r="N3027" s="28" t="n">
        <x:f>H3027*K3027/1000000</x:f>
        <x:v>0.9377</x:v>
      </x:c>
      <x:c r="O3027" s="28" t="n">
        <x:f>SUM(M3027:N3027)</x:f>
        <x:v>1.28138</x:v>
      </x:c>
    </x:row>
    <x:row r="3028" ht="23" customHeight="1">
      <x:c r="A3028" s="17" t="str">
        <x:v>U03022</x:v>
      </x:c>
      <x:c r="B3028" s="18" t="n">
        <x:v>46286</x:v>
      </x:c>
      <x:c r="C3028" s="17" t="str">
        <x:v>W0181</x:v>
      </x:c>
      <x:c r="D3028" s="17" t="str">
        <x:v>C004</x:v>
      </x:c>
      <x:c r="E3028" s="17" t="str">
        <x:v>CampaignChat</x:v>
      </x:c>
      <x:c r="F3028" s="17" t="str">
        <x:v>Pro</x:v>
      </x:c>
      <x:c r="G3028" s="17" t="n">
        <x:v>11712</x:v>
      </x:c>
      <x:c r="H3028" s="17" t="n">
        <x:v>10735</x:v>
      </x:c>
      <x:c r="I3028" s="17" t="str">
        <x:v>Followup</x:v>
      </x:c>
      <x:c r="J3028" s="27" t="n">
        <x:f>INDEX('Model Pricing'!$B$7:$B$8,MATCH(F3028,'Model Pricing'!$A$7:$A$8,0))</x:f>
        <x:v>40</x:v>
      </x:c>
      <x:c r="K3028" s="27" t="n">
        <x:f>INDEX('Model Pricing'!$C$7:$C$8,MATCH(F3028,'Model Pricing'!$A$7:$A$8,0))</x:f>
        <x:v>100</x:v>
      </x:c>
      <x:c r="L3028" s="17" t="n">
        <x:f>G3028+H3028</x:f>
        <x:v>22447</x:v>
      </x:c>
      <x:c r="M3028" s="28" t="n">
        <x:f>G3028*J3028/1000000</x:f>
        <x:v>0.46848</x:v>
      </x:c>
      <x:c r="N3028" s="28" t="n">
        <x:f>H3028*K3028/1000000</x:f>
        <x:v>1.0735</x:v>
      </x:c>
      <x:c r="O3028" s="28" t="n">
        <x:f>SUM(M3028:N3028)</x:f>
        <x:v>1.54198</x:v>
      </x:c>
    </x:row>
    <x:row r="3029" ht="23" customHeight="1">
      <x:c r="A3029" s="17" t="str">
        <x:v>U03023</x:v>
      </x:c>
      <x:c r="B3029" s="18" t="n">
        <x:v>46286</x:v>
      </x:c>
      <x:c r="C3029" s="17" t="str">
        <x:v>W0181</x:v>
      </x:c>
      <x:c r="D3029" s="17" t="str">
        <x:v>C004</x:v>
      </x:c>
      <x:c r="E3029" s="17" t="str">
        <x:v>CampaignChat</x:v>
      </x:c>
      <x:c r="F3029" s="17" t="str">
        <x:v>Pro</x:v>
      </x:c>
      <x:c r="G3029" s="17" t="n">
        <x:v>8674</x:v>
      </x:c>
      <x:c r="H3029" s="17" t="n">
        <x:v>3475</x:v>
      </x:c>
      <x:c r="I3029" s="17" t="str">
        <x:v>Followup</x:v>
      </x:c>
      <x:c r="J3029" s="27" t="n">
        <x:f>INDEX('Model Pricing'!$B$7:$B$8,MATCH(F3029,'Model Pricing'!$A$7:$A$8,0))</x:f>
        <x:v>40</x:v>
      </x:c>
      <x:c r="K3029" s="27" t="n">
        <x:f>INDEX('Model Pricing'!$C$7:$C$8,MATCH(F3029,'Model Pricing'!$A$7:$A$8,0))</x:f>
        <x:v>100</x:v>
      </x:c>
      <x:c r="L3029" s="17" t="n">
        <x:f>G3029+H3029</x:f>
        <x:v>12149</x:v>
      </x:c>
      <x:c r="M3029" s="28" t="n">
        <x:f>G3029*J3029/1000000</x:f>
        <x:v>0.34696</x:v>
      </x:c>
      <x:c r="N3029" s="28" t="n">
        <x:f>H3029*K3029/1000000</x:f>
        <x:v>0.3475</x:v>
      </x:c>
      <x:c r="O3029" s="28" t="n">
        <x:f>SUM(M3029:N3029)</x:f>
        <x:v>0.69446</x:v>
      </x:c>
    </x:row>
    <x:row r="3030" ht="23" customHeight="1">
      <x:c r="A3030" s="17" t="str">
        <x:v>U03024</x:v>
      </x:c>
      <x:c r="B3030" s="18" t="n">
        <x:v>46287</x:v>
      </x:c>
      <x:c r="C3030" s="17" t="str">
        <x:v>W0181</x:v>
      </x:c>
      <x:c r="D3030" s="17" t="str">
        <x:v>C004</x:v>
      </x:c>
      <x:c r="E3030" s="17" t="str">
        <x:v>CampaignChat</x:v>
      </x:c>
      <x:c r="F3030" s="17" t="str">
        <x:v>Pro</x:v>
      </x:c>
      <x:c r="G3030" s="17" t="n">
        <x:v>15168</x:v>
      </x:c>
      <x:c r="H3030" s="17" t="n">
        <x:v>10367</x:v>
      </x:c>
      <x:c r="I3030" s="17" t="str">
        <x:v>Followup</x:v>
      </x:c>
      <x:c r="J3030" s="27" t="n">
        <x:f>INDEX('Model Pricing'!$B$7:$B$8,MATCH(F3030,'Model Pricing'!$A$7:$A$8,0))</x:f>
        <x:v>40</x:v>
      </x:c>
      <x:c r="K3030" s="27" t="n">
        <x:f>INDEX('Model Pricing'!$C$7:$C$8,MATCH(F3030,'Model Pricing'!$A$7:$A$8,0))</x:f>
        <x:v>100</x:v>
      </x:c>
      <x:c r="L3030" s="17" t="n">
        <x:f>G3030+H3030</x:f>
        <x:v>25535</x:v>
      </x:c>
      <x:c r="M3030" s="28" t="n">
        <x:f>G3030*J3030/1000000</x:f>
        <x:v>0.60672</x:v>
      </x:c>
      <x:c r="N3030" s="28" t="n">
        <x:f>H3030*K3030/1000000</x:f>
        <x:v>1.0367</x:v>
      </x:c>
      <x:c r="O3030" s="28" t="n">
        <x:f>SUM(M3030:N3030)</x:f>
        <x:v>1.6434199999999999</x:v>
      </x:c>
    </x:row>
    <x:row r="3031" ht="23" customHeight="1">
      <x:c r="A3031" s="17" t="str">
        <x:v>U03025</x:v>
      </x:c>
      <x:c r="B3031" s="18" t="n">
        <x:v>46287</x:v>
      </x:c>
      <x:c r="C3031" s="17" t="str">
        <x:v>W0181</x:v>
      </x:c>
      <x:c r="D3031" s="17" t="str">
        <x:v>C004</x:v>
      </x:c>
      <x:c r="E3031" s="17" t="str">
        <x:v>CampaignChat</x:v>
      </x:c>
      <x:c r="F3031" s="17" t="str">
        <x:v>Pro</x:v>
      </x:c>
      <x:c r="G3031" s="17" t="n">
        <x:v>16947</x:v>
      </x:c>
      <x:c r="H3031" s="17" t="n">
        <x:v>8849</x:v>
      </x:c>
      <x:c r="I3031" s="17" t="str">
        <x:v>Correction</x:v>
      </x:c>
      <x:c r="J3031" s="27" t="n">
        <x:f>INDEX('Model Pricing'!$B$7:$B$8,MATCH(F3031,'Model Pricing'!$A$7:$A$8,0))</x:f>
        <x:v>40</x:v>
      </x:c>
      <x:c r="K3031" s="27" t="n">
        <x:f>INDEX('Model Pricing'!$C$7:$C$8,MATCH(F3031,'Model Pricing'!$A$7:$A$8,0))</x:f>
        <x:v>100</x:v>
      </x:c>
      <x:c r="L3031" s="17" t="n">
        <x:f>G3031+H3031</x:f>
        <x:v>25796</x:v>
      </x:c>
      <x:c r="M3031" s="28" t="n">
        <x:f>G3031*J3031/1000000</x:f>
        <x:v>0.67788</x:v>
      </x:c>
      <x:c r="N3031" s="28" t="n">
        <x:f>H3031*K3031/1000000</x:f>
        <x:v>0.8849</x:v>
      </x:c>
      <x:c r="O3031" s="28" t="n">
        <x:f>SUM(M3031:N3031)</x:f>
        <x:v>1.56278</x:v>
      </x:c>
    </x:row>
    <x:row r="3032" ht="23" customHeight="1">
      <x:c r="A3032" s="17" t="str">
        <x:v>U03026</x:v>
      </x:c>
      <x:c r="B3032" s="18" t="n">
        <x:v>46288</x:v>
      </x:c>
      <x:c r="C3032" s="17" t="str">
        <x:v>W0181</x:v>
      </x:c>
      <x:c r="D3032" s="17" t="str">
        <x:v>C004</x:v>
      </x:c>
      <x:c r="E3032" s="17" t="str">
        <x:v>CampaignChat</x:v>
      </x:c>
      <x:c r="F3032" s="17" t="str">
        <x:v>Pro</x:v>
      </x:c>
      <x:c r="G3032" s="17" t="n">
        <x:v>8329</x:v>
      </x:c>
      <x:c r="H3032" s="17" t="n">
        <x:v>11039</x:v>
      </x:c>
      <x:c r="I3032" s="17" t="str">
        <x:v>Followup</x:v>
      </x:c>
      <x:c r="J3032" s="27" t="n">
        <x:f>INDEX('Model Pricing'!$B$7:$B$8,MATCH(F3032,'Model Pricing'!$A$7:$A$8,0))</x:f>
        <x:v>40</x:v>
      </x:c>
      <x:c r="K3032" s="27" t="n">
        <x:f>INDEX('Model Pricing'!$C$7:$C$8,MATCH(F3032,'Model Pricing'!$A$7:$A$8,0))</x:f>
        <x:v>100</x:v>
      </x:c>
      <x:c r="L3032" s="17" t="n">
        <x:f>G3032+H3032</x:f>
        <x:v>19368</x:v>
      </x:c>
      <x:c r="M3032" s="28" t="n">
        <x:f>G3032*J3032/1000000</x:f>
        <x:v>0.33316</x:v>
      </x:c>
      <x:c r="N3032" s="28" t="n">
        <x:f>H3032*K3032/1000000</x:f>
        <x:v>1.1039</x:v>
      </x:c>
      <x:c r="O3032" s="28" t="n">
        <x:f>SUM(M3032:N3032)</x:f>
        <x:v>1.4370600000000002</x:v>
      </x:c>
    </x:row>
    <x:row r="3033" ht="23" customHeight="1">
      <x:c r="A3033" s="17" t="str">
        <x:v>U03027</x:v>
      </x:c>
      <x:c r="B3033" s="18" t="n">
        <x:v>46288</x:v>
      </x:c>
      <x:c r="C3033" s="17" t="str">
        <x:v>W0181</x:v>
      </x:c>
      <x:c r="D3033" s="17" t="str">
        <x:v>C004</x:v>
      </x:c>
      <x:c r="E3033" s="17" t="str">
        <x:v>CampaignChat</x:v>
      </x:c>
      <x:c r="F3033" s="17" t="str">
        <x:v>Pro</x:v>
      </x:c>
      <x:c r="G3033" s="17" t="n">
        <x:v>8300</x:v>
      </x:c>
      <x:c r="H3033" s="17" t="n">
        <x:v>7156</x:v>
      </x:c>
      <x:c r="I3033" s="17" t="str">
        <x:v>Followup</x:v>
      </x:c>
      <x:c r="J3033" s="27" t="n">
        <x:f>INDEX('Model Pricing'!$B$7:$B$8,MATCH(F3033,'Model Pricing'!$A$7:$A$8,0))</x:f>
        <x:v>40</x:v>
      </x:c>
      <x:c r="K3033" s="27" t="n">
        <x:f>INDEX('Model Pricing'!$C$7:$C$8,MATCH(F3033,'Model Pricing'!$A$7:$A$8,0))</x:f>
        <x:v>100</x:v>
      </x:c>
      <x:c r="L3033" s="17" t="n">
        <x:f>G3033+H3033</x:f>
        <x:v>15456</x:v>
      </x:c>
      <x:c r="M3033" s="28" t="n">
        <x:f>G3033*J3033/1000000</x:f>
        <x:v>0.332</x:v>
      </x:c>
      <x:c r="N3033" s="28" t="n">
        <x:f>H3033*K3033/1000000</x:f>
        <x:v>0.7156</x:v>
      </x:c>
      <x:c r="O3033" s="28" t="n">
        <x:f>SUM(M3033:N3033)</x:f>
        <x:v>1.0476</x:v>
      </x:c>
    </x:row>
    <x:row r="3034" ht="23" customHeight="1">
      <x:c r="A3034" s="17" t="str">
        <x:v>U03028</x:v>
      </x:c>
      <x:c r="B3034" s="18" t="n">
        <x:v>46288</x:v>
      </x:c>
      <x:c r="C3034" s="17" t="str">
        <x:v>W0184</x:v>
      </x:c>
      <x:c r="D3034" s="17" t="str">
        <x:v>C004</x:v>
      </x:c>
      <x:c r="E3034" s="17" t="str">
        <x:v>InsightDesk</x:v>
      </x:c>
      <x:c r="F3034" s="17" t="str">
        <x:v>Pro</x:v>
      </x:c>
      <x:c r="G3034" s="17" t="n">
        <x:v>7783</x:v>
      </x:c>
      <x:c r="H3034" s="17" t="n">
        <x:v>4423</x:v>
      </x:c>
      <x:c r="I3034" s="17" t="str">
        <x:v>First attempt</x:v>
      </x:c>
      <x:c r="J3034" s="27" t="n">
        <x:f>INDEX('Model Pricing'!$B$7:$B$8,MATCH(F3034,'Model Pricing'!$A$7:$A$8,0))</x:f>
        <x:v>40</x:v>
      </x:c>
      <x:c r="K3034" s="27" t="n">
        <x:f>INDEX('Model Pricing'!$C$7:$C$8,MATCH(F3034,'Model Pricing'!$A$7:$A$8,0))</x:f>
        <x:v>100</x:v>
      </x:c>
      <x:c r="L3034" s="17" t="n">
        <x:f>G3034+H3034</x:f>
        <x:v>12206</x:v>
      </x:c>
      <x:c r="M3034" s="28" t="n">
        <x:f>G3034*J3034/1000000</x:f>
        <x:v>0.31132</x:v>
      </x:c>
      <x:c r="N3034" s="28" t="n">
        <x:f>H3034*K3034/1000000</x:f>
        <x:v>0.4423</x:v>
      </x:c>
      <x:c r="O3034" s="28" t="n">
        <x:f>SUM(M3034:N3034)</x:f>
        <x:v>0.75362</x:v>
      </x:c>
    </x:row>
    <x:row r="3035" ht="23" customHeight="1">
      <x:c r="A3035" s="17" t="str">
        <x:v>U03029</x:v>
      </x:c>
      <x:c r="B3035" s="18" t="n">
        <x:v>46288</x:v>
      </x:c>
      <x:c r="C3035" s="17" t="str">
        <x:v>W0184</x:v>
      </x:c>
      <x:c r="D3035" s="17" t="str">
        <x:v>C004</x:v>
      </x:c>
      <x:c r="E3035" s="17" t="str">
        <x:v>InsightDesk</x:v>
      </x:c>
      <x:c r="F3035" s="17" t="str">
        <x:v>Pro</x:v>
      </x:c>
      <x:c r="G3035" s="17" t="n">
        <x:v>8417</x:v>
      </x:c>
      <x:c r="H3035" s="17" t="n">
        <x:v>13937</x:v>
      </x:c>
      <x:c r="I3035" s="17" t="str">
        <x:v>Followup</x:v>
      </x:c>
      <x:c r="J3035" s="27" t="n">
        <x:f>INDEX('Model Pricing'!$B$7:$B$8,MATCH(F3035,'Model Pricing'!$A$7:$A$8,0))</x:f>
        <x:v>40</x:v>
      </x:c>
      <x:c r="K3035" s="27" t="n">
        <x:f>INDEX('Model Pricing'!$C$7:$C$8,MATCH(F3035,'Model Pricing'!$A$7:$A$8,0))</x:f>
        <x:v>100</x:v>
      </x:c>
      <x:c r="L3035" s="17" t="n">
        <x:f>G3035+H3035</x:f>
        <x:v>22354</x:v>
      </x:c>
      <x:c r="M3035" s="28" t="n">
        <x:f>G3035*J3035/1000000</x:f>
        <x:v>0.33668</x:v>
      </x:c>
      <x:c r="N3035" s="28" t="n">
        <x:f>H3035*K3035/1000000</x:f>
        <x:v>1.3937</x:v>
      </x:c>
      <x:c r="O3035" s="28" t="n">
        <x:f>SUM(M3035:N3035)</x:f>
        <x:v>1.7303799999999998</x:v>
      </x:c>
    </x:row>
    <x:row r="3036" ht="23" customHeight="1">
      <x:c r="A3036" s="17" t="str">
        <x:v>U03030</x:v>
      </x:c>
      <x:c r="B3036" s="18" t="n">
        <x:v>46288</x:v>
      </x:c>
      <x:c r="C3036" s="17" t="str">
        <x:v>W0184</x:v>
      </x:c>
      <x:c r="D3036" s="17" t="str">
        <x:v>C004</x:v>
      </x:c>
      <x:c r="E3036" s="17" t="str">
        <x:v>InsightDesk</x:v>
      </x:c>
      <x:c r="F3036" s="17" t="str">
        <x:v>Pro</x:v>
      </x:c>
      <x:c r="G3036" s="17" t="n">
        <x:v>21998</x:v>
      </x:c>
      <x:c r="H3036" s="17" t="n">
        <x:v>11941</x:v>
      </x:c>
      <x:c r="I3036" s="17" t="str">
        <x:v>Correction</x:v>
      </x:c>
      <x:c r="J3036" s="27" t="n">
        <x:f>INDEX('Model Pricing'!$B$7:$B$8,MATCH(F3036,'Model Pricing'!$A$7:$A$8,0))</x:f>
        <x:v>40</x:v>
      </x:c>
      <x:c r="K3036" s="27" t="n">
        <x:f>INDEX('Model Pricing'!$C$7:$C$8,MATCH(F3036,'Model Pricing'!$A$7:$A$8,0))</x:f>
        <x:v>100</x:v>
      </x:c>
      <x:c r="L3036" s="17" t="n">
        <x:f>G3036+H3036</x:f>
        <x:v>33939</x:v>
      </x:c>
      <x:c r="M3036" s="28" t="n">
        <x:f>G3036*J3036/1000000</x:f>
        <x:v>0.87992</x:v>
      </x:c>
      <x:c r="N3036" s="28" t="n">
        <x:f>H3036*K3036/1000000</x:f>
        <x:v>1.1941</x:v>
      </x:c>
      <x:c r="O3036" s="28" t="n">
        <x:f>SUM(M3036:N3036)</x:f>
        <x:v>2.07402</x:v>
      </x:c>
    </x:row>
    <x:row r="3037" ht="23" customHeight="1">
      <x:c r="A3037" s="17" t="str">
        <x:v>U03031</x:v>
      </x:c>
      <x:c r="B3037" s="18" t="n">
        <x:v>46288</x:v>
      </x:c>
      <x:c r="C3037" s="17" t="str">
        <x:v>W0184</x:v>
      </x:c>
      <x:c r="D3037" s="17" t="str">
        <x:v>C004</x:v>
      </x:c>
      <x:c r="E3037" s="17" t="str">
        <x:v>InsightDesk</x:v>
      </x:c>
      <x:c r="F3037" s="17" t="str">
        <x:v>Pro</x:v>
      </x:c>
      <x:c r="G3037" s="17" t="n">
        <x:v>15901</x:v>
      </x:c>
      <x:c r="H3037" s="17" t="n">
        <x:v>12816</x:v>
      </x:c>
      <x:c r="I3037" s="17" t="str">
        <x:v>Followup</x:v>
      </x:c>
      <x:c r="J3037" s="27" t="n">
        <x:f>INDEX('Model Pricing'!$B$7:$B$8,MATCH(F3037,'Model Pricing'!$A$7:$A$8,0))</x:f>
        <x:v>40</x:v>
      </x:c>
      <x:c r="K3037" s="27" t="n">
        <x:f>INDEX('Model Pricing'!$C$7:$C$8,MATCH(F3037,'Model Pricing'!$A$7:$A$8,0))</x:f>
        <x:v>100</x:v>
      </x:c>
      <x:c r="L3037" s="17" t="n">
        <x:f>G3037+H3037</x:f>
        <x:v>28717</x:v>
      </x:c>
      <x:c r="M3037" s="28" t="n">
        <x:f>G3037*J3037/1000000</x:f>
        <x:v>0.63604</x:v>
      </x:c>
      <x:c r="N3037" s="28" t="n">
        <x:f>H3037*K3037/1000000</x:f>
        <x:v>1.2816</x:v>
      </x:c>
      <x:c r="O3037" s="28" t="n">
        <x:f>SUM(M3037:N3037)</x:f>
        <x:v>1.91764</x:v>
      </x:c>
    </x:row>
    <x:row r="3038" ht="23" customHeight="1">
      <x:c r="A3038" s="17" t="str">
        <x:v>U03032</x:v>
      </x:c>
      <x:c r="B3038" s="18" t="n">
        <x:v>46288</x:v>
      </x:c>
      <x:c r="C3038" s="17" t="str">
        <x:v>W0184</x:v>
      </x:c>
      <x:c r="D3038" s="17" t="str">
        <x:v>C004</x:v>
      </x:c>
      <x:c r="E3038" s="17" t="str">
        <x:v>InsightDesk</x:v>
      </x:c>
      <x:c r="F3038" s="17" t="str">
        <x:v>Pro</x:v>
      </x:c>
      <x:c r="G3038" s="17" t="n">
        <x:v>12776</x:v>
      </x:c>
      <x:c r="H3038" s="17" t="n">
        <x:v>10830</x:v>
      </x:c>
      <x:c r="I3038" s="17" t="str">
        <x:v>Followup</x:v>
      </x:c>
      <x:c r="J3038" s="27" t="n">
        <x:f>INDEX('Model Pricing'!$B$7:$B$8,MATCH(F3038,'Model Pricing'!$A$7:$A$8,0))</x:f>
        <x:v>40</x:v>
      </x:c>
      <x:c r="K3038" s="27" t="n">
        <x:f>INDEX('Model Pricing'!$C$7:$C$8,MATCH(F3038,'Model Pricing'!$A$7:$A$8,0))</x:f>
        <x:v>100</x:v>
      </x:c>
      <x:c r="L3038" s="17" t="n">
        <x:f>G3038+H3038</x:f>
        <x:v>23606</x:v>
      </x:c>
      <x:c r="M3038" s="28" t="n">
        <x:f>G3038*J3038/1000000</x:f>
        <x:v>0.51104</x:v>
      </x:c>
      <x:c r="N3038" s="28" t="n">
        <x:f>H3038*K3038/1000000</x:f>
        <x:v>1.083</x:v>
      </x:c>
      <x:c r="O3038" s="28" t="n">
        <x:f>SUM(M3038:N3038)</x:f>
        <x:v>1.5940400000000001</x:v>
      </x:c>
    </x:row>
    <x:row r="3039" ht="23" customHeight="1">
      <x:c r="A3039" s="17" t="str">
        <x:v>U03033</x:v>
      </x:c>
      <x:c r="B3039" s="18" t="n">
        <x:v>46289</x:v>
      </x:c>
      <x:c r="C3039" s="17" t="str">
        <x:v>W0184</x:v>
      </x:c>
      <x:c r="D3039" s="17" t="str">
        <x:v>C004</x:v>
      </x:c>
      <x:c r="E3039" s="17" t="str">
        <x:v>InsightDesk</x:v>
      </x:c>
      <x:c r="F3039" s="17" t="str">
        <x:v>Pro</x:v>
      </x:c>
      <x:c r="G3039" s="17" t="n">
        <x:v>17108</x:v>
      </x:c>
      <x:c r="H3039" s="17" t="n">
        <x:v>7462</x:v>
      </x:c>
      <x:c r="I3039" s="17" t="str">
        <x:v>Followup</x:v>
      </x:c>
      <x:c r="J3039" s="27" t="n">
        <x:f>INDEX('Model Pricing'!$B$7:$B$8,MATCH(F3039,'Model Pricing'!$A$7:$A$8,0))</x:f>
        <x:v>40</x:v>
      </x:c>
      <x:c r="K3039" s="27" t="n">
        <x:f>INDEX('Model Pricing'!$C$7:$C$8,MATCH(F3039,'Model Pricing'!$A$7:$A$8,0))</x:f>
        <x:v>100</x:v>
      </x:c>
      <x:c r="L3039" s="17" t="n">
        <x:f>G3039+H3039</x:f>
        <x:v>24570</x:v>
      </x:c>
      <x:c r="M3039" s="28" t="n">
        <x:f>G3039*J3039/1000000</x:f>
        <x:v>0.68432</x:v>
      </x:c>
      <x:c r="N3039" s="28" t="n">
        <x:f>H3039*K3039/1000000</x:f>
        <x:v>0.7462</x:v>
      </x:c>
      <x:c r="O3039" s="28" t="n">
        <x:f>SUM(M3039:N3039)</x:f>
        <x:v>1.43052</x:v>
      </x:c>
    </x:row>
    <x:row r="3040" ht="23" customHeight="1">
      <x:c r="A3040" s="17" t="str">
        <x:v>U03034</x:v>
      </x:c>
      <x:c r="B3040" s="18" t="n">
        <x:v>46289</x:v>
      </x:c>
      <x:c r="C3040" s="17" t="str">
        <x:v>W0184</x:v>
      </x:c>
      <x:c r="D3040" s="17" t="str">
        <x:v>C004</x:v>
      </x:c>
      <x:c r="E3040" s="17" t="str">
        <x:v>InsightDesk</x:v>
      </x:c>
      <x:c r="F3040" s="17" t="str">
        <x:v>Pro</x:v>
      </x:c>
      <x:c r="G3040" s="17" t="n">
        <x:v>17579</x:v>
      </x:c>
      <x:c r="H3040" s="17" t="n">
        <x:v>7767</x:v>
      </x:c>
      <x:c r="I3040" s="17" t="str">
        <x:v>Followup</x:v>
      </x:c>
      <x:c r="J3040" s="27" t="n">
        <x:f>INDEX('Model Pricing'!$B$7:$B$8,MATCH(F3040,'Model Pricing'!$A$7:$A$8,0))</x:f>
        <x:v>40</x:v>
      </x:c>
      <x:c r="K3040" s="27" t="n">
        <x:f>INDEX('Model Pricing'!$C$7:$C$8,MATCH(F3040,'Model Pricing'!$A$7:$A$8,0))</x:f>
        <x:v>100</x:v>
      </x:c>
      <x:c r="L3040" s="17" t="n">
        <x:f>G3040+H3040</x:f>
        <x:v>25346</x:v>
      </x:c>
      <x:c r="M3040" s="28" t="n">
        <x:f>G3040*J3040/1000000</x:f>
        <x:v>0.70316</x:v>
      </x:c>
      <x:c r="N3040" s="28" t="n">
        <x:f>H3040*K3040/1000000</x:f>
        <x:v>0.7767</x:v>
      </x:c>
      <x:c r="O3040" s="28" t="n">
        <x:f>SUM(M3040:N3040)</x:f>
        <x:v>1.47986</x:v>
      </x:c>
    </x:row>
    <x:row r="3041" ht="23" customHeight="1">
      <x:c r="A3041" s="17" t="str">
        <x:v>U03035</x:v>
      </x:c>
      <x:c r="B3041" s="18" t="n">
        <x:v>46289</x:v>
      </x:c>
      <x:c r="C3041" s="17" t="str">
        <x:v>W0184</x:v>
      </x:c>
      <x:c r="D3041" s="17" t="str">
        <x:v>C004</x:v>
      </x:c>
      <x:c r="E3041" s="17" t="str">
        <x:v>InsightDesk</x:v>
      </x:c>
      <x:c r="F3041" s="17" t="str">
        <x:v>Pro</x:v>
      </x:c>
      <x:c r="G3041" s="17" t="n">
        <x:v>10836</x:v>
      </x:c>
      <x:c r="H3041" s="17" t="n">
        <x:v>9208</x:v>
      </x:c>
      <x:c r="I3041" s="17" t="str">
        <x:v>Followup</x:v>
      </x:c>
      <x:c r="J3041" s="27" t="n">
        <x:f>INDEX('Model Pricing'!$B$7:$B$8,MATCH(F3041,'Model Pricing'!$A$7:$A$8,0))</x:f>
        <x:v>40</x:v>
      </x:c>
      <x:c r="K3041" s="27" t="n">
        <x:f>INDEX('Model Pricing'!$C$7:$C$8,MATCH(F3041,'Model Pricing'!$A$7:$A$8,0))</x:f>
        <x:v>100</x:v>
      </x:c>
      <x:c r="L3041" s="17" t="n">
        <x:f>G3041+H3041</x:f>
        <x:v>20044</x:v>
      </x:c>
      <x:c r="M3041" s="28" t="n">
        <x:f>G3041*J3041/1000000</x:f>
        <x:v>0.43344</x:v>
      </x:c>
      <x:c r="N3041" s="28" t="n">
        <x:f>H3041*K3041/1000000</x:f>
        <x:v>0.9208</x:v>
      </x:c>
      <x:c r="O3041" s="28" t="n">
        <x:f>SUM(M3041:N3041)</x:f>
        <x:v>1.3542399999999999</x:v>
      </x:c>
    </x:row>
    <x:row r="3042" ht="23" customHeight="1">
      <x:c r="A3042" s="17" t="str">
        <x:v>U03036</x:v>
      </x:c>
      <x:c r="B3042" s="18" t="n">
        <x:v>46289</x:v>
      </x:c>
      <x:c r="C3042" s="17" t="str">
        <x:v>W0184</x:v>
      </x:c>
      <x:c r="D3042" s="17" t="str">
        <x:v>C004</x:v>
      </x:c>
      <x:c r="E3042" s="17" t="str">
        <x:v>InsightDesk</x:v>
      </x:c>
      <x:c r="F3042" s="17" t="str">
        <x:v>Pro</x:v>
      </x:c>
      <x:c r="G3042" s="17" t="n">
        <x:v>15766</x:v>
      </x:c>
      <x:c r="H3042" s="17" t="n">
        <x:v>7122</x:v>
      </x:c>
      <x:c r="I3042" s="17" t="str">
        <x:v>Followup</x:v>
      </x:c>
      <x:c r="J3042" s="27" t="n">
        <x:f>INDEX('Model Pricing'!$B$7:$B$8,MATCH(F3042,'Model Pricing'!$A$7:$A$8,0))</x:f>
        <x:v>40</x:v>
      </x:c>
      <x:c r="K3042" s="27" t="n">
        <x:f>INDEX('Model Pricing'!$C$7:$C$8,MATCH(F3042,'Model Pricing'!$A$7:$A$8,0))</x:f>
        <x:v>100</x:v>
      </x:c>
      <x:c r="L3042" s="17" t="n">
        <x:f>G3042+H3042</x:f>
        <x:v>22888</x:v>
      </x:c>
      <x:c r="M3042" s="28" t="n">
        <x:f>G3042*J3042/1000000</x:f>
        <x:v>0.63064</x:v>
      </x:c>
      <x:c r="N3042" s="28" t="n">
        <x:f>H3042*K3042/1000000</x:f>
        <x:v>0.7122</x:v>
      </x:c>
      <x:c r="O3042" s="28" t="n">
        <x:f>SUM(M3042:N3042)</x:f>
        <x:v>1.34284</x:v>
      </x:c>
    </x:row>
    <x:row r="3043" ht="23" customHeight="1">
      <x:c r="A3043" s="17" t="str">
        <x:v>U03037</x:v>
      </x:c>
      <x:c r="B3043" s="18" t="n">
        <x:v>46289</x:v>
      </x:c>
      <x:c r="C3043" s="17" t="str">
        <x:v>W0184</x:v>
      </x:c>
      <x:c r="D3043" s="17" t="str">
        <x:v>C004</x:v>
      </x:c>
      <x:c r="E3043" s="17" t="str">
        <x:v>InsightDesk</x:v>
      </x:c>
      <x:c r="F3043" s="17" t="str">
        <x:v>Pro</x:v>
      </x:c>
      <x:c r="G3043" s="17" t="n">
        <x:v>21763</x:v>
      </x:c>
      <x:c r="H3043" s="17" t="n">
        <x:v>16741</x:v>
      </x:c>
      <x:c r="I3043" s="17" t="str">
        <x:v>Correction</x:v>
      </x:c>
      <x:c r="J3043" s="27" t="n">
        <x:f>INDEX('Model Pricing'!$B$7:$B$8,MATCH(F3043,'Model Pricing'!$A$7:$A$8,0))</x:f>
        <x:v>40</x:v>
      </x:c>
      <x:c r="K3043" s="27" t="n">
        <x:f>INDEX('Model Pricing'!$C$7:$C$8,MATCH(F3043,'Model Pricing'!$A$7:$A$8,0))</x:f>
        <x:v>100</x:v>
      </x:c>
      <x:c r="L3043" s="17" t="n">
        <x:f>G3043+H3043</x:f>
        <x:v>38504</x:v>
      </x:c>
      <x:c r="M3043" s="28" t="n">
        <x:f>G3043*J3043/1000000</x:f>
        <x:v>0.87052</x:v>
      </x:c>
      <x:c r="N3043" s="28" t="n">
        <x:f>H3043*K3043/1000000</x:f>
        <x:v>1.6741</x:v>
      </x:c>
      <x:c r="O3043" s="28" t="n">
        <x:f>SUM(M3043:N3043)</x:f>
        <x:v>2.54462</x:v>
      </x:c>
    </x:row>
    <x:row r="3044" ht="23" customHeight="1">
      <x:c r="A3044" s="17" t="str">
        <x:v>U03038</x:v>
      </x:c>
      <x:c r="B3044" s="18" t="n">
        <x:v>46290</x:v>
      </x:c>
      <x:c r="C3044" s="17" t="str">
        <x:v>W0184</x:v>
      </x:c>
      <x:c r="D3044" s="17" t="str">
        <x:v>C004</x:v>
      </x:c>
      <x:c r="E3044" s="17" t="str">
        <x:v>InsightDesk</x:v>
      </x:c>
      <x:c r="F3044" s="17" t="str">
        <x:v>Pro</x:v>
      </x:c>
      <x:c r="G3044" s="17" t="n">
        <x:v>11419</x:v>
      </x:c>
      <x:c r="H3044" s="17" t="n">
        <x:v>9757</x:v>
      </x:c>
      <x:c r="I3044" s="17" t="str">
        <x:v>Followup</x:v>
      </x:c>
      <x:c r="J3044" s="27" t="n">
        <x:f>INDEX('Model Pricing'!$B$7:$B$8,MATCH(F3044,'Model Pricing'!$A$7:$A$8,0))</x:f>
        <x:v>40</x:v>
      </x:c>
      <x:c r="K3044" s="27" t="n">
        <x:f>INDEX('Model Pricing'!$C$7:$C$8,MATCH(F3044,'Model Pricing'!$A$7:$A$8,0))</x:f>
        <x:v>100</x:v>
      </x:c>
      <x:c r="L3044" s="17" t="n">
        <x:f>G3044+H3044</x:f>
        <x:v>21176</x:v>
      </x:c>
      <x:c r="M3044" s="28" t="n">
        <x:f>G3044*J3044/1000000</x:f>
        <x:v>0.45676</x:v>
      </x:c>
      <x:c r="N3044" s="28" t="n">
        <x:f>H3044*K3044/1000000</x:f>
        <x:v>0.9757</x:v>
      </x:c>
      <x:c r="O3044" s="28" t="n">
        <x:f>SUM(M3044:N3044)</x:f>
        <x:v>1.43246</x:v>
      </x:c>
    </x:row>
    <x:row r="3045" ht="23" customHeight="1">
      <x:c r="A3045" s="17" t="str">
        <x:v>U03039</x:v>
      </x:c>
      <x:c r="B3045" s="18" t="n">
        <x:v>46290</x:v>
      </x:c>
      <x:c r="C3045" s="17" t="str">
        <x:v>W0184</x:v>
      </x:c>
      <x:c r="D3045" s="17" t="str">
        <x:v>C004</x:v>
      </x:c>
      <x:c r="E3045" s="17" t="str">
        <x:v>InsightDesk</x:v>
      </x:c>
      <x:c r="F3045" s="17" t="str">
        <x:v>Pro</x:v>
      </x:c>
      <x:c r="G3045" s="17" t="n">
        <x:v>20384</x:v>
      </x:c>
      <x:c r="H3045" s="17" t="n">
        <x:v>13531</x:v>
      </x:c>
      <x:c r="I3045" s="17" t="str">
        <x:v>Followup</x:v>
      </x:c>
      <x:c r="J3045" s="27" t="n">
        <x:f>INDEX('Model Pricing'!$B$7:$B$8,MATCH(F3045,'Model Pricing'!$A$7:$A$8,0))</x:f>
        <x:v>40</x:v>
      </x:c>
      <x:c r="K3045" s="27" t="n">
        <x:f>INDEX('Model Pricing'!$C$7:$C$8,MATCH(F3045,'Model Pricing'!$A$7:$A$8,0))</x:f>
        <x:v>100</x:v>
      </x:c>
      <x:c r="L3045" s="17" t="n">
        <x:f>G3045+H3045</x:f>
        <x:v>33915</x:v>
      </x:c>
      <x:c r="M3045" s="28" t="n">
        <x:f>G3045*J3045/1000000</x:f>
        <x:v>0.81536</x:v>
      </x:c>
      <x:c r="N3045" s="28" t="n">
        <x:f>H3045*K3045/1000000</x:f>
        <x:v>1.3531</x:v>
      </x:c>
      <x:c r="O3045" s="28" t="n">
        <x:f>SUM(M3045:N3045)</x:f>
        <x:v>2.16846</x:v>
      </x:c>
    </x:row>
    <x:row r="3046" ht="23" customHeight="1">
      <x:c r="A3046" s="17" t="str">
        <x:v>U03040</x:v>
      </x:c>
      <x:c r="B3046" s="18" t="n">
        <x:v>46290</x:v>
      </x:c>
      <x:c r="C3046" s="17" t="str">
        <x:v>W0184</x:v>
      </x:c>
      <x:c r="D3046" s="17" t="str">
        <x:v>C004</x:v>
      </x:c>
      <x:c r="E3046" s="17" t="str">
        <x:v>InsightDesk</x:v>
      </x:c>
      <x:c r="F3046" s="17" t="str">
        <x:v>Pro</x:v>
      </x:c>
      <x:c r="G3046" s="17" t="n">
        <x:v>19151</x:v>
      </x:c>
      <x:c r="H3046" s="17" t="n">
        <x:v>10131</x:v>
      </x:c>
      <x:c r="I3046" s="17" t="str">
        <x:v>Correction</x:v>
      </x:c>
      <x:c r="J3046" s="27" t="n">
        <x:f>INDEX('Model Pricing'!$B$7:$B$8,MATCH(F3046,'Model Pricing'!$A$7:$A$8,0))</x:f>
        <x:v>40</x:v>
      </x:c>
      <x:c r="K3046" s="27" t="n">
        <x:f>INDEX('Model Pricing'!$C$7:$C$8,MATCH(F3046,'Model Pricing'!$A$7:$A$8,0))</x:f>
        <x:v>100</x:v>
      </x:c>
      <x:c r="L3046" s="17" t="n">
        <x:f>G3046+H3046</x:f>
        <x:v>29282</x:v>
      </x:c>
      <x:c r="M3046" s="28" t="n">
        <x:f>G3046*J3046/1000000</x:f>
        <x:v>0.76604</x:v>
      </x:c>
      <x:c r="N3046" s="28" t="n">
        <x:f>H3046*K3046/1000000</x:f>
        <x:v>1.0131</x:v>
      </x:c>
      <x:c r="O3046" s="28" t="n">
        <x:f>SUM(M3046:N3046)</x:f>
        <x:v>1.77914</x:v>
      </x:c>
    </x:row>
    <x:row r="3047" ht="23" customHeight="1">
      <x:c r="A3047" s="17" t="str">
        <x:v>U03041</x:v>
      </x:c>
      <x:c r="B3047" s="18" t="n">
        <x:v>46290</x:v>
      </x:c>
      <x:c r="C3047" s="17" t="str">
        <x:v>W0184</x:v>
      </x:c>
      <x:c r="D3047" s="17" t="str">
        <x:v>C004</x:v>
      </x:c>
      <x:c r="E3047" s="17" t="str">
        <x:v>InsightDesk</x:v>
      </x:c>
      <x:c r="F3047" s="17" t="str">
        <x:v>Pro</x:v>
      </x:c>
      <x:c r="G3047" s="17" t="n">
        <x:v>11976</x:v>
      </x:c>
      <x:c r="H3047" s="17" t="n">
        <x:v>12189</x:v>
      </x:c>
      <x:c r="I3047" s="17" t="str">
        <x:v>Correction</x:v>
      </x:c>
      <x:c r="J3047" s="27" t="n">
        <x:f>INDEX('Model Pricing'!$B$7:$B$8,MATCH(F3047,'Model Pricing'!$A$7:$A$8,0))</x:f>
        <x:v>40</x:v>
      </x:c>
      <x:c r="K3047" s="27" t="n">
        <x:f>INDEX('Model Pricing'!$C$7:$C$8,MATCH(F3047,'Model Pricing'!$A$7:$A$8,0))</x:f>
        <x:v>100</x:v>
      </x:c>
      <x:c r="L3047" s="17" t="n">
        <x:f>G3047+H3047</x:f>
        <x:v>24165</x:v>
      </x:c>
      <x:c r="M3047" s="28" t="n">
        <x:f>G3047*J3047/1000000</x:f>
        <x:v>0.47904</x:v>
      </x:c>
      <x:c r="N3047" s="28" t="n">
        <x:f>H3047*K3047/1000000</x:f>
        <x:v>1.2189</x:v>
      </x:c>
      <x:c r="O3047" s="28" t="n">
        <x:f>SUM(M3047:N3047)</x:f>
        <x:v>1.69794</x:v>
      </x:c>
    </x:row>
    <x:row r="3048" ht="23" customHeight="1">
      <x:c r="A3048" s="17" t="str">
        <x:v>U03042</x:v>
      </x:c>
      <x:c r="B3048" s="18" t="n">
        <x:v>46290</x:v>
      </x:c>
      <x:c r="C3048" s="17" t="str">
        <x:v>W0184</x:v>
      </x:c>
      <x:c r="D3048" s="17" t="str">
        <x:v>C004</x:v>
      </x:c>
      <x:c r="E3048" s="17" t="str">
        <x:v>InsightDesk</x:v>
      </x:c>
      <x:c r="F3048" s="17" t="str">
        <x:v>Pro</x:v>
      </x:c>
      <x:c r="G3048" s="17" t="n">
        <x:v>14103</x:v>
      </x:c>
      <x:c r="H3048" s="17" t="n">
        <x:v>16476</x:v>
      </x:c>
      <x:c r="I3048" s="17" t="str">
        <x:v>Followup</x:v>
      </x:c>
      <x:c r="J3048" s="27" t="n">
        <x:f>INDEX('Model Pricing'!$B$7:$B$8,MATCH(F3048,'Model Pricing'!$A$7:$A$8,0))</x:f>
        <x:v>40</x:v>
      </x:c>
      <x:c r="K3048" s="27" t="n">
        <x:f>INDEX('Model Pricing'!$C$7:$C$8,MATCH(F3048,'Model Pricing'!$A$7:$A$8,0))</x:f>
        <x:v>100</x:v>
      </x:c>
      <x:c r="L3048" s="17" t="n">
        <x:f>G3048+H3048</x:f>
        <x:v>30579</x:v>
      </x:c>
      <x:c r="M3048" s="28" t="n">
        <x:f>G3048*J3048/1000000</x:f>
        <x:v>0.56412</x:v>
      </x:c>
      <x:c r="N3048" s="28" t="n">
        <x:f>H3048*K3048/1000000</x:f>
        <x:v>1.6476</x:v>
      </x:c>
      <x:c r="O3048" s="28" t="n">
        <x:f>SUM(M3048:N3048)</x:f>
        <x:v>2.2117199999999997</x:v>
      </x:c>
    </x:row>
    <x:row r="3049" ht="23" customHeight="1">
      <x:c r="A3049" s="17" t="str">
        <x:v>U03043</x:v>
      </x:c>
      <x:c r="B3049" s="18" t="n">
        <x:v>46293</x:v>
      </x:c>
      <x:c r="C3049" s="17" t="str">
        <x:v>W0184</x:v>
      </x:c>
      <x:c r="D3049" s="17" t="str">
        <x:v>C004</x:v>
      </x:c>
      <x:c r="E3049" s="17" t="str">
        <x:v>InsightDesk</x:v>
      </x:c>
      <x:c r="F3049" s="17" t="str">
        <x:v>Pro</x:v>
      </x:c>
      <x:c r="G3049" s="17" t="n">
        <x:v>16643</x:v>
      </x:c>
      <x:c r="H3049" s="17" t="n">
        <x:v>10715</x:v>
      </x:c>
      <x:c r="I3049" s="17" t="str">
        <x:v>Correction</x:v>
      </x:c>
      <x:c r="J3049" s="27" t="n">
        <x:f>INDEX('Model Pricing'!$B$7:$B$8,MATCH(F3049,'Model Pricing'!$A$7:$A$8,0))</x:f>
        <x:v>40</x:v>
      </x:c>
      <x:c r="K3049" s="27" t="n">
        <x:f>INDEX('Model Pricing'!$C$7:$C$8,MATCH(F3049,'Model Pricing'!$A$7:$A$8,0))</x:f>
        <x:v>100</x:v>
      </x:c>
      <x:c r="L3049" s="17" t="n">
        <x:f>G3049+H3049</x:f>
        <x:v>27358</x:v>
      </x:c>
      <x:c r="M3049" s="28" t="n">
        <x:f>G3049*J3049/1000000</x:f>
        <x:v>0.66572</x:v>
      </x:c>
      <x:c r="N3049" s="28" t="n">
        <x:f>H3049*K3049/1000000</x:f>
        <x:v>1.0715</x:v>
      </x:c>
      <x:c r="O3049" s="28" t="n">
        <x:f>SUM(M3049:N3049)</x:f>
        <x:v>1.7372199999999998</x:v>
      </x:c>
    </x:row>
    <x:row r="3050" ht="23" customHeight="1">
      <x:c r="A3050" s="17" t="str">
        <x:v>U03044</x:v>
      </x:c>
      <x:c r="B3050" s="18" t="n">
        <x:v>46293</x:v>
      </x:c>
      <x:c r="C3050" s="17" t="str">
        <x:v>W0184</x:v>
      </x:c>
      <x:c r="D3050" s="17" t="str">
        <x:v>C004</x:v>
      </x:c>
      <x:c r="E3050" s="17" t="str">
        <x:v>InsightDesk</x:v>
      </x:c>
      <x:c r="F3050" s="17" t="str">
        <x:v>Pro</x:v>
      </x:c>
      <x:c r="G3050" s="17" t="n">
        <x:v>10336</x:v>
      </x:c>
      <x:c r="H3050" s="17" t="n">
        <x:v>13433</x:v>
      </x:c>
      <x:c r="I3050" s="17" t="str">
        <x:v>Followup</x:v>
      </x:c>
      <x:c r="J3050" s="27" t="n">
        <x:f>INDEX('Model Pricing'!$B$7:$B$8,MATCH(F3050,'Model Pricing'!$A$7:$A$8,0))</x:f>
        <x:v>40</x:v>
      </x:c>
      <x:c r="K3050" s="27" t="n">
        <x:f>INDEX('Model Pricing'!$C$7:$C$8,MATCH(F3050,'Model Pricing'!$A$7:$A$8,0))</x:f>
        <x:v>100</x:v>
      </x:c>
      <x:c r="L3050" s="17" t="n">
        <x:f>G3050+H3050</x:f>
        <x:v>23769</x:v>
      </x:c>
      <x:c r="M3050" s="28" t="n">
        <x:f>G3050*J3050/1000000</x:f>
        <x:v>0.41344</x:v>
      </x:c>
      <x:c r="N3050" s="28" t="n">
        <x:f>H3050*K3050/1000000</x:f>
        <x:v>1.3433</x:v>
      </x:c>
      <x:c r="O3050" s="28" t="n">
        <x:f>SUM(M3050:N3050)</x:f>
        <x:v>1.75674</x:v>
      </x:c>
    </x:row>
    <x:row r="3051" ht="23" customHeight="1">
      <x:c r="A3051" s="17" t="str">
        <x:v>U03045</x:v>
      </x:c>
      <x:c r="B3051" s="18" t="n">
        <x:v>46293</x:v>
      </x:c>
      <x:c r="C3051" s="17" t="str">
        <x:v>W0184</x:v>
      </x:c>
      <x:c r="D3051" s="17" t="str">
        <x:v>C004</x:v>
      </x:c>
      <x:c r="E3051" s="17" t="str">
        <x:v>InsightDesk</x:v>
      </x:c>
      <x:c r="F3051" s="17" t="str">
        <x:v>Pro</x:v>
      </x:c>
      <x:c r="G3051" s="17" t="n">
        <x:v>17291</x:v>
      </x:c>
      <x:c r="H3051" s="17" t="n">
        <x:v>11315</x:v>
      </x:c>
      <x:c r="I3051" s="17" t="str">
        <x:v>Followup</x:v>
      </x:c>
      <x:c r="J3051" s="27" t="n">
        <x:f>INDEX('Model Pricing'!$B$7:$B$8,MATCH(F3051,'Model Pricing'!$A$7:$A$8,0))</x:f>
        <x:v>40</x:v>
      </x:c>
      <x:c r="K3051" s="27" t="n">
        <x:f>INDEX('Model Pricing'!$C$7:$C$8,MATCH(F3051,'Model Pricing'!$A$7:$A$8,0))</x:f>
        <x:v>100</x:v>
      </x:c>
      <x:c r="L3051" s="17" t="n">
        <x:f>G3051+H3051</x:f>
        <x:v>28606</x:v>
      </x:c>
      <x:c r="M3051" s="28" t="n">
        <x:f>G3051*J3051/1000000</x:f>
        <x:v>0.69164</x:v>
      </x:c>
      <x:c r="N3051" s="28" t="n">
        <x:f>H3051*K3051/1000000</x:f>
        <x:v>1.1315</x:v>
      </x:c>
      <x:c r="O3051" s="28" t="n">
        <x:f>SUM(M3051:N3051)</x:f>
        <x:v>1.82314</x:v>
      </x:c>
    </x:row>
    <x:row r="3052" ht="23" customHeight="1">
      <x:c r="A3052" s="17" t="str">
        <x:v>U03046</x:v>
      </x:c>
      <x:c r="B3052" s="18" t="n">
        <x:v>46293</x:v>
      </x:c>
      <x:c r="C3052" s="17" t="str">
        <x:v>W0184</x:v>
      </x:c>
      <x:c r="D3052" s="17" t="str">
        <x:v>C004</x:v>
      </x:c>
      <x:c r="E3052" s="17" t="str">
        <x:v>InsightDesk</x:v>
      </x:c>
      <x:c r="F3052" s="17" t="str">
        <x:v>Pro</x:v>
      </x:c>
      <x:c r="G3052" s="17" t="n">
        <x:v>18080</x:v>
      </x:c>
      <x:c r="H3052" s="17" t="n">
        <x:v>12552</x:v>
      </x:c>
      <x:c r="I3052" s="17" t="str">
        <x:v>Followup</x:v>
      </x:c>
      <x:c r="J3052" s="27" t="n">
        <x:f>INDEX('Model Pricing'!$B$7:$B$8,MATCH(F3052,'Model Pricing'!$A$7:$A$8,0))</x:f>
        <x:v>40</x:v>
      </x:c>
      <x:c r="K3052" s="27" t="n">
        <x:f>INDEX('Model Pricing'!$C$7:$C$8,MATCH(F3052,'Model Pricing'!$A$7:$A$8,0))</x:f>
        <x:v>100</x:v>
      </x:c>
      <x:c r="L3052" s="17" t="n">
        <x:f>G3052+H3052</x:f>
        <x:v>30632</x:v>
      </x:c>
      <x:c r="M3052" s="28" t="n">
        <x:f>G3052*J3052/1000000</x:f>
        <x:v>0.7232</x:v>
      </x:c>
      <x:c r="N3052" s="28" t="n">
        <x:f>H3052*K3052/1000000</x:f>
        <x:v>1.2552</x:v>
      </x:c>
      <x:c r="O3052" s="28" t="n">
        <x:f>SUM(M3052:N3052)</x:f>
        <x:v>1.9784000000000002</x:v>
      </x:c>
    </x:row>
    <x:row r="3053" ht="23" customHeight="1">
      <x:c r="A3053" s="17" t="str">
        <x:v>U03047</x:v>
      </x:c>
      <x:c r="B3053" s="18" t="n">
        <x:v>46293</x:v>
      </x:c>
      <x:c r="C3053" s="17" t="str">
        <x:v>W0184</x:v>
      </x:c>
      <x:c r="D3053" s="17" t="str">
        <x:v>C004</x:v>
      </x:c>
      <x:c r="E3053" s="17" t="str">
        <x:v>InsightDesk</x:v>
      </x:c>
      <x:c r="F3053" s="17" t="str">
        <x:v>Pro</x:v>
      </x:c>
      <x:c r="G3053" s="17" t="n">
        <x:v>21899</x:v>
      </x:c>
      <x:c r="H3053" s="17" t="n">
        <x:v>5953</x:v>
      </x:c>
      <x:c r="I3053" s="17" t="str">
        <x:v>Followup</x:v>
      </x:c>
      <x:c r="J3053" s="27" t="n">
        <x:f>INDEX('Model Pricing'!$B$7:$B$8,MATCH(F3053,'Model Pricing'!$A$7:$A$8,0))</x:f>
        <x:v>40</x:v>
      </x:c>
      <x:c r="K3053" s="27" t="n">
        <x:f>INDEX('Model Pricing'!$C$7:$C$8,MATCH(F3053,'Model Pricing'!$A$7:$A$8,0))</x:f>
        <x:v>100</x:v>
      </x:c>
      <x:c r="L3053" s="17" t="n">
        <x:f>G3053+H3053</x:f>
        <x:v>27852</x:v>
      </x:c>
      <x:c r="M3053" s="28" t="n">
        <x:f>G3053*J3053/1000000</x:f>
        <x:v>0.87596</x:v>
      </x:c>
      <x:c r="N3053" s="28" t="n">
        <x:f>H3053*K3053/1000000</x:f>
        <x:v>0.5953</x:v>
      </x:c>
      <x:c r="O3053" s="28" t="n">
        <x:f>SUM(M3053:N3053)</x:f>
        <x:v>1.47126</x:v>
      </x:c>
    </x:row>
    <x:row r="3054" ht="23" customHeight="1">
      <x:c r="A3054" s="17" t="str">
        <x:v>U03048</x:v>
      </x:c>
      <x:c r="B3054" s="18" t="n">
        <x:v>46282</x:v>
      </x:c>
      <x:c r="C3054" s="17" t="str">
        <x:v>W0186</x:v>
      </x:c>
      <x:c r="D3054" s="17" t="str">
        <x:v>C004</x:v>
      </x:c>
      <x:c r="E3054" s="17" t="str">
        <x:v>CopyStudio</x:v>
      </x:c>
      <x:c r="F3054" s="17" t="str">
        <x:v>Pro</x:v>
      </x:c>
      <x:c r="G3054" s="17" t="n">
        <x:v>39156</x:v>
      </x:c>
      <x:c r="H3054" s="17" t="n">
        <x:v>7372</x:v>
      </x:c>
      <x:c r="I3054" s="17" t="str">
        <x:v>First attempt</x:v>
      </x:c>
      <x:c r="J3054" s="27" t="n">
        <x:f>INDEX('Model Pricing'!$B$7:$B$8,MATCH(F3054,'Model Pricing'!$A$7:$A$8,0))</x:f>
        <x:v>40</x:v>
      </x:c>
      <x:c r="K3054" s="27" t="n">
        <x:f>INDEX('Model Pricing'!$C$7:$C$8,MATCH(F3054,'Model Pricing'!$A$7:$A$8,0))</x:f>
        <x:v>100</x:v>
      </x:c>
      <x:c r="L3054" s="17" t="n">
        <x:f>G3054+H3054</x:f>
        <x:v>46528</x:v>
      </x:c>
      <x:c r="M3054" s="28" t="n">
        <x:f>G3054*J3054/1000000</x:f>
        <x:v>1.56624</x:v>
      </x:c>
      <x:c r="N3054" s="28" t="n">
        <x:f>H3054*K3054/1000000</x:f>
        <x:v>0.7372</x:v>
      </x:c>
      <x:c r="O3054" s="28" t="n">
        <x:f>SUM(M3054:N3054)</x:f>
        <x:v>2.30344</x:v>
      </x:c>
    </x:row>
    <x:row r="3055" ht="23" customHeight="1">
      <x:c r="A3055" s="17" t="str">
        <x:v>U03049</x:v>
      </x:c>
      <x:c r="B3055" s="18" t="n">
        <x:v>46282</x:v>
      </x:c>
      <x:c r="C3055" s="17" t="str">
        <x:v>W0186</x:v>
      </x:c>
      <x:c r="D3055" s="17" t="str">
        <x:v>C004</x:v>
      </x:c>
      <x:c r="E3055" s="17" t="str">
        <x:v>CopyStudio</x:v>
      </x:c>
      <x:c r="F3055" s="17" t="str">
        <x:v>Pro</x:v>
      </x:c>
      <x:c r="G3055" s="17" t="n">
        <x:v>23604</x:v>
      </x:c>
      <x:c r="H3055" s="17" t="n">
        <x:v>11109</x:v>
      </x:c>
      <x:c r="I3055" s="17" t="str">
        <x:v>Correction</x:v>
      </x:c>
      <x:c r="J3055" s="27" t="n">
        <x:f>INDEX('Model Pricing'!$B$7:$B$8,MATCH(F3055,'Model Pricing'!$A$7:$A$8,0))</x:f>
        <x:v>40</x:v>
      </x:c>
      <x:c r="K3055" s="27" t="n">
        <x:f>INDEX('Model Pricing'!$C$7:$C$8,MATCH(F3055,'Model Pricing'!$A$7:$A$8,0))</x:f>
        <x:v>100</x:v>
      </x:c>
      <x:c r="L3055" s="17" t="n">
        <x:f>G3055+H3055</x:f>
        <x:v>34713</x:v>
      </x:c>
      <x:c r="M3055" s="28" t="n">
        <x:f>G3055*J3055/1000000</x:f>
        <x:v>0.94416</x:v>
      </x:c>
      <x:c r="N3055" s="28" t="n">
        <x:f>H3055*K3055/1000000</x:f>
        <x:v>1.1109</x:v>
      </x:c>
      <x:c r="O3055" s="28" t="n">
        <x:f>SUM(M3055:N3055)</x:f>
        <x:v>2.05506</x:v>
      </x:c>
    </x:row>
    <x:row r="3056" ht="23" customHeight="1">
      <x:c r="A3056" s="17" t="str">
        <x:v>U03050</x:v>
      </x:c>
      <x:c r="B3056" s="18" t="n">
        <x:v>46282</x:v>
      </x:c>
      <x:c r="C3056" s="17" t="str">
        <x:v>W0186</x:v>
      </x:c>
      <x:c r="D3056" s="17" t="str">
        <x:v>C004</x:v>
      </x:c>
      <x:c r="E3056" s="17" t="str">
        <x:v>CopyStudio</x:v>
      </x:c>
      <x:c r="F3056" s="17" t="str">
        <x:v>Pro</x:v>
      </x:c>
      <x:c r="G3056" s="17" t="n">
        <x:v>16383</x:v>
      </x:c>
      <x:c r="H3056" s="17" t="n">
        <x:v>8848</x:v>
      </x:c>
      <x:c r="I3056" s="17" t="str">
        <x:v>Followup</x:v>
      </x:c>
      <x:c r="J3056" s="27" t="n">
        <x:f>INDEX('Model Pricing'!$B$7:$B$8,MATCH(F3056,'Model Pricing'!$A$7:$A$8,0))</x:f>
        <x:v>40</x:v>
      </x:c>
      <x:c r="K3056" s="27" t="n">
        <x:f>INDEX('Model Pricing'!$C$7:$C$8,MATCH(F3056,'Model Pricing'!$A$7:$A$8,0))</x:f>
        <x:v>100</x:v>
      </x:c>
      <x:c r="L3056" s="17" t="n">
        <x:f>G3056+H3056</x:f>
        <x:v>25231</x:v>
      </x:c>
      <x:c r="M3056" s="28" t="n">
        <x:f>G3056*J3056/1000000</x:f>
        <x:v>0.65532</x:v>
      </x:c>
      <x:c r="N3056" s="28" t="n">
        <x:f>H3056*K3056/1000000</x:f>
        <x:v>0.8848</x:v>
      </x:c>
      <x:c r="O3056" s="28" t="n">
        <x:f>SUM(M3056:N3056)</x:f>
        <x:v>1.54012</x:v>
      </x:c>
    </x:row>
    <x:row r="3057" ht="23" customHeight="1">
      <x:c r="A3057" s="17" t="str">
        <x:v>U03051</x:v>
      </x:c>
      <x:c r="B3057" s="18" t="n">
        <x:v>46282</x:v>
      </x:c>
      <x:c r="C3057" s="17" t="str">
        <x:v>W0186</x:v>
      </x:c>
      <x:c r="D3057" s="17" t="str">
        <x:v>C004</x:v>
      </x:c>
      <x:c r="E3057" s="17" t="str">
        <x:v>CopyStudio</x:v>
      </x:c>
      <x:c r="F3057" s="17" t="str">
        <x:v>Pro</x:v>
      </x:c>
      <x:c r="G3057" s="17" t="n">
        <x:v>24222</x:v>
      </x:c>
      <x:c r="H3057" s="17" t="n">
        <x:v>6126</x:v>
      </x:c>
      <x:c r="I3057" s="17" t="str">
        <x:v>Followup</x:v>
      </x:c>
      <x:c r="J3057" s="27" t="n">
        <x:f>INDEX('Model Pricing'!$B$7:$B$8,MATCH(F3057,'Model Pricing'!$A$7:$A$8,0))</x:f>
        <x:v>40</x:v>
      </x:c>
      <x:c r="K3057" s="27" t="n">
        <x:f>INDEX('Model Pricing'!$C$7:$C$8,MATCH(F3057,'Model Pricing'!$A$7:$A$8,0))</x:f>
        <x:v>100</x:v>
      </x:c>
      <x:c r="L3057" s="17" t="n">
        <x:f>G3057+H3057</x:f>
        <x:v>30348</x:v>
      </x:c>
      <x:c r="M3057" s="28" t="n">
        <x:f>G3057*J3057/1000000</x:f>
        <x:v>0.96888</x:v>
      </x:c>
      <x:c r="N3057" s="28" t="n">
        <x:f>H3057*K3057/1000000</x:f>
        <x:v>0.6126</x:v>
      </x:c>
      <x:c r="O3057" s="28" t="n">
        <x:f>SUM(M3057:N3057)</x:f>
        <x:v>1.58148</x:v>
      </x:c>
    </x:row>
    <x:row r="3058" ht="23" customHeight="1">
      <x:c r="A3058" s="17" t="str">
        <x:v>U03052</x:v>
      </x:c>
      <x:c r="B3058" s="18" t="n">
        <x:v>46283</x:v>
      </x:c>
      <x:c r="C3058" s="17" t="str">
        <x:v>W0186</x:v>
      </x:c>
      <x:c r="D3058" s="17" t="str">
        <x:v>C004</x:v>
      </x:c>
      <x:c r="E3058" s="17" t="str">
        <x:v>CopyStudio</x:v>
      </x:c>
      <x:c r="F3058" s="17" t="str">
        <x:v>Pro</x:v>
      </x:c>
      <x:c r="G3058" s="17" t="n">
        <x:v>20543</x:v>
      </x:c>
      <x:c r="H3058" s="17" t="n">
        <x:v>8771</x:v>
      </x:c>
      <x:c r="I3058" s="17" t="str">
        <x:v>Followup</x:v>
      </x:c>
      <x:c r="J3058" s="27" t="n">
        <x:f>INDEX('Model Pricing'!$B$7:$B$8,MATCH(F3058,'Model Pricing'!$A$7:$A$8,0))</x:f>
        <x:v>40</x:v>
      </x:c>
      <x:c r="K3058" s="27" t="n">
        <x:f>INDEX('Model Pricing'!$C$7:$C$8,MATCH(F3058,'Model Pricing'!$A$7:$A$8,0))</x:f>
        <x:v>100</x:v>
      </x:c>
      <x:c r="L3058" s="17" t="n">
        <x:f>G3058+H3058</x:f>
        <x:v>29314</x:v>
      </x:c>
      <x:c r="M3058" s="28" t="n">
        <x:f>G3058*J3058/1000000</x:f>
        <x:v>0.82172</x:v>
      </x:c>
      <x:c r="N3058" s="28" t="n">
        <x:f>H3058*K3058/1000000</x:f>
        <x:v>0.8771</x:v>
      </x:c>
      <x:c r="O3058" s="28" t="n">
        <x:f>SUM(M3058:N3058)</x:f>
        <x:v>1.69882</x:v>
      </x:c>
    </x:row>
    <x:row r="3059" ht="23" customHeight="1">
      <x:c r="A3059" s="17" t="str">
        <x:v>U03053</x:v>
      </x:c>
      <x:c r="B3059" s="18" t="n">
        <x:v>46283</x:v>
      </x:c>
      <x:c r="C3059" s="17" t="str">
        <x:v>W0186</x:v>
      </x:c>
      <x:c r="D3059" s="17" t="str">
        <x:v>C004</x:v>
      </x:c>
      <x:c r="E3059" s="17" t="str">
        <x:v>CopyStudio</x:v>
      </x:c>
      <x:c r="F3059" s="17" t="str">
        <x:v>Pro</x:v>
      </x:c>
      <x:c r="G3059" s="17" t="n">
        <x:v>18535</x:v>
      </x:c>
      <x:c r="H3059" s="17" t="n">
        <x:v>5451</x:v>
      </x:c>
      <x:c r="I3059" s="17" t="str">
        <x:v>Followup</x:v>
      </x:c>
      <x:c r="J3059" s="27" t="n">
        <x:f>INDEX('Model Pricing'!$B$7:$B$8,MATCH(F3059,'Model Pricing'!$A$7:$A$8,0))</x:f>
        <x:v>40</x:v>
      </x:c>
      <x:c r="K3059" s="27" t="n">
        <x:f>INDEX('Model Pricing'!$C$7:$C$8,MATCH(F3059,'Model Pricing'!$A$7:$A$8,0))</x:f>
        <x:v>100</x:v>
      </x:c>
      <x:c r="L3059" s="17" t="n">
        <x:f>G3059+H3059</x:f>
        <x:v>23986</x:v>
      </x:c>
      <x:c r="M3059" s="28" t="n">
        <x:f>G3059*J3059/1000000</x:f>
        <x:v>0.7414</x:v>
      </x:c>
      <x:c r="N3059" s="28" t="n">
        <x:f>H3059*K3059/1000000</x:f>
        <x:v>0.5451</x:v>
      </x:c>
      <x:c r="O3059" s="28" t="n">
        <x:f>SUM(M3059:N3059)</x:f>
        <x:v>1.2865</x:v>
      </x:c>
    </x:row>
    <x:row r="3060" ht="23" customHeight="1">
      <x:c r="A3060" s="17" t="str">
        <x:v>U03054</x:v>
      </x:c>
      <x:c r="B3060" s="18" t="n">
        <x:v>46283</x:v>
      </x:c>
      <x:c r="C3060" s="17" t="str">
        <x:v>W0186</x:v>
      </x:c>
      <x:c r="D3060" s="17" t="str">
        <x:v>C004</x:v>
      </x:c>
      <x:c r="E3060" s="17" t="str">
        <x:v>CopyStudio</x:v>
      </x:c>
      <x:c r="F3060" s="17" t="str">
        <x:v>Pro</x:v>
      </x:c>
      <x:c r="G3060" s="17" t="n">
        <x:v>24526</x:v>
      </x:c>
      <x:c r="H3060" s="17" t="n">
        <x:v>9652</x:v>
      </x:c>
      <x:c r="I3060" s="17" t="str">
        <x:v>Followup</x:v>
      </x:c>
      <x:c r="J3060" s="27" t="n">
        <x:f>INDEX('Model Pricing'!$B$7:$B$8,MATCH(F3060,'Model Pricing'!$A$7:$A$8,0))</x:f>
        <x:v>40</x:v>
      </x:c>
      <x:c r="K3060" s="27" t="n">
        <x:f>INDEX('Model Pricing'!$C$7:$C$8,MATCH(F3060,'Model Pricing'!$A$7:$A$8,0))</x:f>
        <x:v>100</x:v>
      </x:c>
      <x:c r="L3060" s="17" t="n">
        <x:f>G3060+H3060</x:f>
        <x:v>34178</x:v>
      </x:c>
      <x:c r="M3060" s="28" t="n">
        <x:f>G3060*J3060/1000000</x:f>
        <x:v>0.98104</x:v>
      </x:c>
      <x:c r="N3060" s="28" t="n">
        <x:f>H3060*K3060/1000000</x:f>
        <x:v>0.9652</x:v>
      </x:c>
      <x:c r="O3060" s="28" t="n">
        <x:f>SUM(M3060:N3060)</x:f>
        <x:v>1.94624</x:v>
      </x:c>
    </x:row>
    <x:row r="3061" ht="23" customHeight="1">
      <x:c r="A3061" s="17" t="str">
        <x:v>U03055</x:v>
      </x:c>
      <x:c r="B3061" s="18" t="n">
        <x:v>46286</x:v>
      </x:c>
      <x:c r="C3061" s="17" t="str">
        <x:v>W0186</x:v>
      </x:c>
      <x:c r="D3061" s="17" t="str">
        <x:v>C004</x:v>
      </x:c>
      <x:c r="E3061" s="17" t="str">
        <x:v>CopyStudio</x:v>
      </x:c>
      <x:c r="F3061" s="17" t="str">
        <x:v>Pro</x:v>
      </x:c>
      <x:c r="G3061" s="17" t="n">
        <x:v>17609</x:v>
      </x:c>
      <x:c r="H3061" s="17" t="n">
        <x:v>6783</x:v>
      </x:c>
      <x:c r="I3061" s="17" t="str">
        <x:v>Correction</x:v>
      </x:c>
      <x:c r="J3061" s="27" t="n">
        <x:f>INDEX('Model Pricing'!$B$7:$B$8,MATCH(F3061,'Model Pricing'!$A$7:$A$8,0))</x:f>
        <x:v>40</x:v>
      </x:c>
      <x:c r="K3061" s="27" t="n">
        <x:f>INDEX('Model Pricing'!$C$7:$C$8,MATCH(F3061,'Model Pricing'!$A$7:$A$8,0))</x:f>
        <x:v>100</x:v>
      </x:c>
      <x:c r="L3061" s="17" t="n">
        <x:f>G3061+H3061</x:f>
        <x:v>24392</x:v>
      </x:c>
      <x:c r="M3061" s="28" t="n">
        <x:f>G3061*J3061/1000000</x:f>
        <x:v>0.70436</x:v>
      </x:c>
      <x:c r="N3061" s="28" t="n">
        <x:f>H3061*K3061/1000000</x:f>
        <x:v>0.6783</x:v>
      </x:c>
      <x:c r="O3061" s="28" t="n">
        <x:f>SUM(M3061:N3061)</x:f>
        <x:v>1.38266</x:v>
      </x:c>
    </x:row>
    <x:row r="3062" ht="23" customHeight="1">
      <x:c r="A3062" s="17" t="str">
        <x:v>U03056</x:v>
      </x:c>
      <x:c r="B3062" s="18" t="n">
        <x:v>46286</x:v>
      </x:c>
      <x:c r="C3062" s="17" t="str">
        <x:v>W0186</x:v>
      </x:c>
      <x:c r="D3062" s="17" t="str">
        <x:v>C004</x:v>
      </x:c>
      <x:c r="E3062" s="17" t="str">
        <x:v>CopyStudio</x:v>
      </x:c>
      <x:c r="F3062" s="17" t="str">
        <x:v>Pro</x:v>
      </x:c>
      <x:c r="G3062" s="17" t="n">
        <x:v>30909</x:v>
      </x:c>
      <x:c r="H3062" s="17" t="n">
        <x:v>8587</x:v>
      </x:c>
      <x:c r="I3062" s="17" t="str">
        <x:v>Followup</x:v>
      </x:c>
      <x:c r="J3062" s="27" t="n">
        <x:f>INDEX('Model Pricing'!$B$7:$B$8,MATCH(F3062,'Model Pricing'!$A$7:$A$8,0))</x:f>
        <x:v>40</x:v>
      </x:c>
      <x:c r="K3062" s="27" t="n">
        <x:f>INDEX('Model Pricing'!$C$7:$C$8,MATCH(F3062,'Model Pricing'!$A$7:$A$8,0))</x:f>
        <x:v>100</x:v>
      </x:c>
      <x:c r="L3062" s="17" t="n">
        <x:f>G3062+H3062</x:f>
        <x:v>39496</x:v>
      </x:c>
      <x:c r="M3062" s="28" t="n">
        <x:f>G3062*J3062/1000000</x:f>
        <x:v>1.23636</x:v>
      </x:c>
      <x:c r="N3062" s="28" t="n">
        <x:f>H3062*K3062/1000000</x:f>
        <x:v>0.8587</x:v>
      </x:c>
      <x:c r="O3062" s="28" t="n">
        <x:f>SUM(M3062:N3062)</x:f>
        <x:v>2.09506</x:v>
      </x:c>
    </x:row>
    <x:row r="3063" ht="23" customHeight="1">
      <x:c r="A3063" s="17" t="str">
        <x:v>U03057</x:v>
      </x:c>
      <x:c r="B3063" s="18" t="n">
        <x:v>46286</x:v>
      </x:c>
      <x:c r="C3063" s="17" t="str">
        <x:v>W0186</x:v>
      </x:c>
      <x:c r="D3063" s="17" t="str">
        <x:v>C004</x:v>
      </x:c>
      <x:c r="E3063" s="17" t="str">
        <x:v>CopyStudio</x:v>
      </x:c>
      <x:c r="F3063" s="17" t="str">
        <x:v>Pro</x:v>
      </x:c>
      <x:c r="G3063" s="17" t="n">
        <x:v>47712</x:v>
      </x:c>
      <x:c r="H3063" s="17" t="n">
        <x:v>10402</x:v>
      </x:c>
      <x:c r="I3063" s="17" t="str">
        <x:v>Followup</x:v>
      </x:c>
      <x:c r="J3063" s="27" t="n">
        <x:f>INDEX('Model Pricing'!$B$7:$B$8,MATCH(F3063,'Model Pricing'!$A$7:$A$8,0))</x:f>
        <x:v>40</x:v>
      </x:c>
      <x:c r="K3063" s="27" t="n">
        <x:f>INDEX('Model Pricing'!$C$7:$C$8,MATCH(F3063,'Model Pricing'!$A$7:$A$8,0))</x:f>
        <x:v>100</x:v>
      </x:c>
      <x:c r="L3063" s="17" t="n">
        <x:f>G3063+H3063</x:f>
        <x:v>58114</x:v>
      </x:c>
      <x:c r="M3063" s="28" t="n">
        <x:f>G3063*J3063/1000000</x:f>
        <x:v>1.90848</x:v>
      </x:c>
      <x:c r="N3063" s="28" t="n">
        <x:f>H3063*K3063/1000000</x:f>
        <x:v>1.0402</x:v>
      </x:c>
      <x:c r="O3063" s="28" t="n">
        <x:f>SUM(M3063:N3063)</x:f>
        <x:v>2.94868</x:v>
      </x:c>
    </x:row>
    <x:row r="3064" ht="23" customHeight="1">
      <x:c r="A3064" s="17" t="str">
        <x:v>U03058</x:v>
      </x:c>
      <x:c r="B3064" s="18" t="n">
        <x:v>46287</x:v>
      </x:c>
      <x:c r="C3064" s="17" t="str">
        <x:v>W0186</x:v>
      </x:c>
      <x:c r="D3064" s="17" t="str">
        <x:v>C004</x:v>
      </x:c>
      <x:c r="E3064" s="17" t="str">
        <x:v>CopyStudio</x:v>
      </x:c>
      <x:c r="F3064" s="17" t="str">
        <x:v>Pro</x:v>
      </x:c>
      <x:c r="G3064" s="17" t="n">
        <x:v>20356</x:v>
      </x:c>
      <x:c r="H3064" s="17" t="n">
        <x:v>12166</x:v>
      </x:c>
      <x:c r="I3064" s="17" t="str">
        <x:v>Followup</x:v>
      </x:c>
      <x:c r="J3064" s="27" t="n">
        <x:f>INDEX('Model Pricing'!$B$7:$B$8,MATCH(F3064,'Model Pricing'!$A$7:$A$8,0))</x:f>
        <x:v>40</x:v>
      </x:c>
      <x:c r="K3064" s="27" t="n">
        <x:f>INDEX('Model Pricing'!$C$7:$C$8,MATCH(F3064,'Model Pricing'!$A$7:$A$8,0))</x:f>
        <x:v>100</x:v>
      </x:c>
      <x:c r="L3064" s="17" t="n">
        <x:f>G3064+H3064</x:f>
        <x:v>32522</x:v>
      </x:c>
      <x:c r="M3064" s="28" t="n">
        <x:f>G3064*J3064/1000000</x:f>
        <x:v>0.81424</x:v>
      </x:c>
      <x:c r="N3064" s="28" t="n">
        <x:f>H3064*K3064/1000000</x:f>
        <x:v>1.2166</x:v>
      </x:c>
      <x:c r="O3064" s="28" t="n">
        <x:f>SUM(M3064:N3064)</x:f>
        <x:v>2.03084</x:v>
      </x:c>
    </x:row>
    <x:row r="3065" ht="23" customHeight="1">
      <x:c r="A3065" s="17" t="str">
        <x:v>U03059</x:v>
      </x:c>
      <x:c r="B3065" s="18" t="n">
        <x:v>46287</x:v>
      </x:c>
      <x:c r="C3065" s="17" t="str">
        <x:v>W0186</x:v>
      </x:c>
      <x:c r="D3065" s="17" t="str">
        <x:v>C004</x:v>
      </x:c>
      <x:c r="E3065" s="17" t="str">
        <x:v>CopyStudio</x:v>
      </x:c>
      <x:c r="F3065" s="17" t="str">
        <x:v>Pro</x:v>
      </x:c>
      <x:c r="G3065" s="17" t="n">
        <x:v>44144</x:v>
      </x:c>
      <x:c r="H3065" s="17" t="n">
        <x:v>10002</x:v>
      </x:c>
      <x:c r="I3065" s="17" t="str">
        <x:v>Correction</x:v>
      </x:c>
      <x:c r="J3065" s="27" t="n">
        <x:f>INDEX('Model Pricing'!$B$7:$B$8,MATCH(F3065,'Model Pricing'!$A$7:$A$8,0))</x:f>
        <x:v>40</x:v>
      </x:c>
      <x:c r="K3065" s="27" t="n">
        <x:f>INDEX('Model Pricing'!$C$7:$C$8,MATCH(F3065,'Model Pricing'!$A$7:$A$8,0))</x:f>
        <x:v>100</x:v>
      </x:c>
      <x:c r="L3065" s="17" t="n">
        <x:f>G3065+H3065</x:f>
        <x:v>54146</x:v>
      </x:c>
      <x:c r="M3065" s="28" t="n">
        <x:f>G3065*J3065/1000000</x:f>
        <x:v>1.76576</x:v>
      </x:c>
      <x:c r="N3065" s="28" t="n">
        <x:f>H3065*K3065/1000000</x:f>
        <x:v>1.0002</x:v>
      </x:c>
      <x:c r="O3065" s="28" t="n">
        <x:f>SUM(M3065:N3065)</x:f>
        <x:v>2.7659599999999998</x:v>
      </x:c>
    </x:row>
    <x:row r="3066" ht="23" customHeight="1">
      <x:c r="A3066" s="17" t="str">
        <x:v>U03060</x:v>
      </x:c>
      <x:c r="B3066" s="18" t="n">
        <x:v>46287</x:v>
      </x:c>
      <x:c r="C3066" s="17" t="str">
        <x:v>W0186</x:v>
      </x:c>
      <x:c r="D3066" s="17" t="str">
        <x:v>C004</x:v>
      </x:c>
      <x:c r="E3066" s="17" t="str">
        <x:v>CopyStudio</x:v>
      </x:c>
      <x:c r="F3066" s="17" t="str">
        <x:v>Pro</x:v>
      </x:c>
      <x:c r="G3066" s="17" t="n">
        <x:v>40748</x:v>
      </x:c>
      <x:c r="H3066" s="17" t="n">
        <x:v>8370</x:v>
      </x:c>
      <x:c r="I3066" s="17" t="str">
        <x:v>Followup</x:v>
      </x:c>
      <x:c r="J3066" s="27" t="n">
        <x:f>INDEX('Model Pricing'!$B$7:$B$8,MATCH(F3066,'Model Pricing'!$A$7:$A$8,0))</x:f>
        <x:v>40</x:v>
      </x:c>
      <x:c r="K3066" s="27" t="n">
        <x:f>INDEX('Model Pricing'!$C$7:$C$8,MATCH(F3066,'Model Pricing'!$A$7:$A$8,0))</x:f>
        <x:v>100</x:v>
      </x:c>
      <x:c r="L3066" s="17" t="n">
        <x:f>G3066+H3066</x:f>
        <x:v>49118</x:v>
      </x:c>
      <x:c r="M3066" s="28" t="n">
        <x:f>G3066*J3066/1000000</x:f>
        <x:v>1.62992</x:v>
      </x:c>
      <x:c r="N3066" s="28" t="n">
        <x:f>H3066*K3066/1000000</x:f>
        <x:v>0.837</x:v>
      </x:c>
      <x:c r="O3066" s="28" t="n">
        <x:f>SUM(M3066:N3066)</x:f>
        <x:v>2.46692</x:v>
      </x:c>
    </x:row>
    <x:row r="3067" ht="23" customHeight="1">
      <x:c r="A3067" s="17" t="str">
        <x:v>U03061</x:v>
      </x:c>
      <x:c r="B3067" s="18" t="n">
        <x:v>46281</x:v>
      </x:c>
      <x:c r="C3067" s="17" t="str">
        <x:v>W0191</x:v>
      </x:c>
      <x:c r="D3067" s="17" t="str">
        <x:v>C004</x:v>
      </x:c>
      <x:c r="E3067" s="17" t="str">
        <x:v>CopyStudio</x:v>
      </x:c>
      <x:c r="F3067" s="17" t="str">
        <x:v>Pro</x:v>
      </x:c>
      <x:c r="G3067" s="17" t="n">
        <x:v>10211</x:v>
      </x:c>
      <x:c r="H3067" s="17" t="n">
        <x:v>7333</x:v>
      </x:c>
      <x:c r="I3067" s="17" t="str">
        <x:v>First attempt</x:v>
      </x:c>
      <x:c r="J3067" s="27" t="n">
        <x:f>INDEX('Model Pricing'!$B$7:$B$8,MATCH(F3067,'Model Pricing'!$A$7:$A$8,0))</x:f>
        <x:v>40</x:v>
      </x:c>
      <x:c r="K3067" s="27" t="n">
        <x:f>INDEX('Model Pricing'!$C$7:$C$8,MATCH(F3067,'Model Pricing'!$A$7:$A$8,0))</x:f>
        <x:v>100</x:v>
      </x:c>
      <x:c r="L3067" s="17" t="n">
        <x:f>G3067+H3067</x:f>
        <x:v>17544</x:v>
      </x:c>
      <x:c r="M3067" s="28" t="n">
        <x:f>G3067*J3067/1000000</x:f>
        <x:v>0.40844</x:v>
      </x:c>
      <x:c r="N3067" s="28" t="n">
        <x:f>H3067*K3067/1000000</x:f>
        <x:v>0.7333</x:v>
      </x:c>
      <x:c r="O3067" s="28" t="n">
        <x:f>SUM(M3067:N3067)</x:f>
        <x:v>1.14174</x:v>
      </x:c>
    </x:row>
    <x:row r="3068" ht="23" customHeight="1">
      <x:c r="A3068" s="17" t="str">
        <x:v>U03062</x:v>
      </x:c>
      <x:c r="B3068" s="18" t="n">
        <x:v>46281</x:v>
      </x:c>
      <x:c r="C3068" s="17" t="str">
        <x:v>W0191</x:v>
      </x:c>
      <x:c r="D3068" s="17" t="str">
        <x:v>C004</x:v>
      </x:c>
      <x:c r="E3068" s="17" t="str">
        <x:v>CopyStudio</x:v>
      </x:c>
      <x:c r="F3068" s="17" t="str">
        <x:v>Pro</x:v>
      </x:c>
      <x:c r="G3068" s="17" t="n">
        <x:v>10308</x:v>
      </x:c>
      <x:c r="H3068" s="17" t="n">
        <x:v>4148</x:v>
      </x:c>
      <x:c r="I3068" s="17" t="str">
        <x:v>Followup</x:v>
      </x:c>
      <x:c r="J3068" s="27" t="n">
        <x:f>INDEX('Model Pricing'!$B$7:$B$8,MATCH(F3068,'Model Pricing'!$A$7:$A$8,0))</x:f>
        <x:v>40</x:v>
      </x:c>
      <x:c r="K3068" s="27" t="n">
        <x:f>INDEX('Model Pricing'!$C$7:$C$8,MATCH(F3068,'Model Pricing'!$A$7:$A$8,0))</x:f>
        <x:v>100</x:v>
      </x:c>
      <x:c r="L3068" s="17" t="n">
        <x:f>G3068+H3068</x:f>
        <x:v>14456</x:v>
      </x:c>
      <x:c r="M3068" s="28" t="n">
        <x:f>G3068*J3068/1000000</x:f>
        <x:v>0.41232</x:v>
      </x:c>
      <x:c r="N3068" s="28" t="n">
        <x:f>H3068*K3068/1000000</x:f>
        <x:v>0.4148</x:v>
      </x:c>
      <x:c r="O3068" s="28" t="n">
        <x:f>SUM(M3068:N3068)</x:f>
        <x:v>0.8271200000000001</x:v>
      </x:c>
    </x:row>
    <x:row r="3069" ht="23" customHeight="1">
      <x:c r="A3069" s="17" t="str">
        <x:v>U03063</x:v>
      </x:c>
      <x:c r="B3069" s="18" t="n">
        <x:v>46281</x:v>
      </x:c>
      <x:c r="C3069" s="17" t="str">
        <x:v>W0191</x:v>
      </x:c>
      <x:c r="D3069" s="17" t="str">
        <x:v>C004</x:v>
      </x:c>
      <x:c r="E3069" s="17" t="str">
        <x:v>CopyStudio</x:v>
      </x:c>
      <x:c r="F3069" s="17" t="str">
        <x:v>Pro</x:v>
      </x:c>
      <x:c r="G3069" s="17" t="n">
        <x:v>15543</x:v>
      </x:c>
      <x:c r="H3069" s="17" t="n">
        <x:v>3932</x:v>
      </x:c>
      <x:c r="I3069" s="17" t="str">
        <x:v>Followup</x:v>
      </x:c>
      <x:c r="J3069" s="27" t="n">
        <x:f>INDEX('Model Pricing'!$B$7:$B$8,MATCH(F3069,'Model Pricing'!$A$7:$A$8,0))</x:f>
        <x:v>40</x:v>
      </x:c>
      <x:c r="K3069" s="27" t="n">
        <x:f>INDEX('Model Pricing'!$C$7:$C$8,MATCH(F3069,'Model Pricing'!$A$7:$A$8,0))</x:f>
        <x:v>100</x:v>
      </x:c>
      <x:c r="L3069" s="17" t="n">
        <x:f>G3069+H3069</x:f>
        <x:v>19475</x:v>
      </x:c>
      <x:c r="M3069" s="28" t="n">
        <x:f>G3069*J3069/1000000</x:f>
        <x:v>0.62172</x:v>
      </x:c>
      <x:c r="N3069" s="28" t="n">
        <x:f>H3069*K3069/1000000</x:f>
        <x:v>0.3932</x:v>
      </x:c>
      <x:c r="O3069" s="28" t="n">
        <x:f>SUM(M3069:N3069)</x:f>
        <x:v>1.01492</x:v>
      </x:c>
    </x:row>
    <x:row r="3070" ht="23" customHeight="1">
      <x:c r="A3070" s="17" t="str">
        <x:v>U03064</x:v>
      </x:c>
      <x:c r="B3070" s="18" t="n">
        <x:v>46281</x:v>
      </x:c>
      <x:c r="C3070" s="17" t="str">
        <x:v>W0191</x:v>
      </x:c>
      <x:c r="D3070" s="17" t="str">
        <x:v>C004</x:v>
      </x:c>
      <x:c r="E3070" s="17" t="str">
        <x:v>CopyStudio</x:v>
      </x:c>
      <x:c r="F3070" s="17" t="str">
        <x:v>Pro</x:v>
      </x:c>
      <x:c r="G3070" s="17" t="n">
        <x:v>16399</x:v>
      </x:c>
      <x:c r="H3070" s="17" t="n">
        <x:v>8638</x:v>
      </x:c>
      <x:c r="I3070" s="17" t="str">
        <x:v>Followup</x:v>
      </x:c>
      <x:c r="J3070" s="27" t="n">
        <x:f>INDEX('Model Pricing'!$B$7:$B$8,MATCH(F3070,'Model Pricing'!$A$7:$A$8,0))</x:f>
        <x:v>40</x:v>
      </x:c>
      <x:c r="K3070" s="27" t="n">
        <x:f>INDEX('Model Pricing'!$C$7:$C$8,MATCH(F3070,'Model Pricing'!$A$7:$A$8,0))</x:f>
        <x:v>100</x:v>
      </x:c>
      <x:c r="L3070" s="17" t="n">
        <x:f>G3070+H3070</x:f>
        <x:v>25037</x:v>
      </x:c>
      <x:c r="M3070" s="28" t="n">
        <x:f>G3070*J3070/1000000</x:f>
        <x:v>0.65596</x:v>
      </x:c>
      <x:c r="N3070" s="28" t="n">
        <x:f>H3070*K3070/1000000</x:f>
        <x:v>0.8638</x:v>
      </x:c>
      <x:c r="O3070" s="28" t="n">
        <x:f>SUM(M3070:N3070)</x:f>
        <x:v>1.51976</x:v>
      </x:c>
    </x:row>
    <x:row r="3071" ht="23" customHeight="1">
      <x:c r="A3071" s="17" t="str">
        <x:v>U03065</x:v>
      </x:c>
      <x:c r="B3071" s="18" t="n">
        <x:v>46282</x:v>
      </x:c>
      <x:c r="C3071" s="17" t="str">
        <x:v>W0191</x:v>
      </x:c>
      <x:c r="D3071" s="17" t="str">
        <x:v>C004</x:v>
      </x:c>
      <x:c r="E3071" s="17" t="str">
        <x:v>CopyStudio</x:v>
      </x:c>
      <x:c r="F3071" s="17" t="str">
        <x:v>Pro</x:v>
      </x:c>
      <x:c r="G3071" s="17" t="n">
        <x:v>7906</x:v>
      </x:c>
      <x:c r="H3071" s="17" t="n">
        <x:v>6815</x:v>
      </x:c>
      <x:c r="I3071" s="17" t="str">
        <x:v>Correction</x:v>
      </x:c>
      <x:c r="J3071" s="27" t="n">
        <x:f>INDEX('Model Pricing'!$B$7:$B$8,MATCH(F3071,'Model Pricing'!$A$7:$A$8,0))</x:f>
        <x:v>40</x:v>
      </x:c>
      <x:c r="K3071" s="27" t="n">
        <x:f>INDEX('Model Pricing'!$C$7:$C$8,MATCH(F3071,'Model Pricing'!$A$7:$A$8,0))</x:f>
        <x:v>100</x:v>
      </x:c>
      <x:c r="L3071" s="17" t="n">
        <x:f>G3071+H3071</x:f>
        <x:v>14721</x:v>
      </x:c>
      <x:c r="M3071" s="28" t="n">
        <x:f>G3071*J3071/1000000</x:f>
        <x:v>0.31624</x:v>
      </x:c>
      <x:c r="N3071" s="28" t="n">
        <x:f>H3071*K3071/1000000</x:f>
        <x:v>0.6815</x:v>
      </x:c>
      <x:c r="O3071" s="28" t="n">
        <x:f>SUM(M3071:N3071)</x:f>
        <x:v>0.9977400000000001</x:v>
      </x:c>
    </x:row>
    <x:row r="3072" ht="23" customHeight="1">
      <x:c r="A3072" s="17" t="str">
        <x:v>U03066</x:v>
      </x:c>
      <x:c r="B3072" s="18" t="n">
        <x:v>46282</x:v>
      </x:c>
      <x:c r="C3072" s="17" t="str">
        <x:v>W0191</x:v>
      </x:c>
      <x:c r="D3072" s="17" t="str">
        <x:v>C004</x:v>
      </x:c>
      <x:c r="E3072" s="17" t="str">
        <x:v>CopyStudio</x:v>
      </x:c>
      <x:c r="F3072" s="17" t="str">
        <x:v>Pro</x:v>
      </x:c>
      <x:c r="G3072" s="17" t="n">
        <x:v>12891</x:v>
      </x:c>
      <x:c r="H3072" s="17" t="n">
        <x:v>7984</x:v>
      </x:c>
      <x:c r="I3072" s="17" t="str">
        <x:v>Followup</x:v>
      </x:c>
      <x:c r="J3072" s="27" t="n">
        <x:f>INDEX('Model Pricing'!$B$7:$B$8,MATCH(F3072,'Model Pricing'!$A$7:$A$8,0))</x:f>
        <x:v>40</x:v>
      </x:c>
      <x:c r="K3072" s="27" t="n">
        <x:f>INDEX('Model Pricing'!$C$7:$C$8,MATCH(F3072,'Model Pricing'!$A$7:$A$8,0))</x:f>
        <x:v>100</x:v>
      </x:c>
      <x:c r="L3072" s="17" t="n">
        <x:f>G3072+H3072</x:f>
        <x:v>20875</x:v>
      </x:c>
      <x:c r="M3072" s="28" t="n">
        <x:f>G3072*J3072/1000000</x:f>
        <x:v>0.51564</x:v>
      </x:c>
      <x:c r="N3072" s="28" t="n">
        <x:f>H3072*K3072/1000000</x:f>
        <x:v>0.7984</x:v>
      </x:c>
      <x:c r="O3072" s="28" t="n">
        <x:f>SUM(M3072:N3072)</x:f>
        <x:v>1.3140399999999999</x:v>
      </x:c>
    </x:row>
    <x:row r="3073" ht="23" customHeight="1">
      <x:c r="A3073" s="17" t="str">
        <x:v>U03067</x:v>
      </x:c>
      <x:c r="B3073" s="18" t="n">
        <x:v>46282</x:v>
      </x:c>
      <x:c r="C3073" s="17" t="str">
        <x:v>W0191</x:v>
      </x:c>
      <x:c r="D3073" s="17" t="str">
        <x:v>C004</x:v>
      </x:c>
      <x:c r="E3073" s="17" t="str">
        <x:v>CopyStudio</x:v>
      </x:c>
      <x:c r="F3073" s="17" t="str">
        <x:v>Pro</x:v>
      </x:c>
      <x:c r="G3073" s="17" t="n">
        <x:v>6130</x:v>
      </x:c>
      <x:c r="H3073" s="17" t="n">
        <x:v>9174</x:v>
      </x:c>
      <x:c r="I3073" s="17" t="str">
        <x:v>Correction</x:v>
      </x:c>
      <x:c r="J3073" s="27" t="n">
        <x:f>INDEX('Model Pricing'!$B$7:$B$8,MATCH(F3073,'Model Pricing'!$A$7:$A$8,0))</x:f>
        <x:v>40</x:v>
      </x:c>
      <x:c r="K3073" s="27" t="n">
        <x:f>INDEX('Model Pricing'!$C$7:$C$8,MATCH(F3073,'Model Pricing'!$A$7:$A$8,0))</x:f>
        <x:v>100</x:v>
      </x:c>
      <x:c r="L3073" s="17" t="n">
        <x:f>G3073+H3073</x:f>
        <x:v>15304</x:v>
      </x:c>
      <x:c r="M3073" s="28" t="n">
        <x:f>G3073*J3073/1000000</x:f>
        <x:v>0.2452</x:v>
      </x:c>
      <x:c r="N3073" s="28" t="n">
        <x:f>H3073*K3073/1000000</x:f>
        <x:v>0.9174</x:v>
      </x:c>
      <x:c r="O3073" s="28" t="n">
        <x:f>SUM(M3073:N3073)</x:f>
        <x:v>1.1626</x:v>
      </x:c>
    </x:row>
    <x:row r="3074" ht="23" customHeight="1">
      <x:c r="A3074" s="17" t="str">
        <x:v>U03068</x:v>
      </x:c>
      <x:c r="B3074" s="18" t="n">
        <x:v>46282</x:v>
      </x:c>
      <x:c r="C3074" s="17" t="str">
        <x:v>W0191</x:v>
      </x:c>
      <x:c r="D3074" s="17" t="str">
        <x:v>C004</x:v>
      </x:c>
      <x:c r="E3074" s="17" t="str">
        <x:v>CopyStudio</x:v>
      </x:c>
      <x:c r="F3074" s="17" t="str">
        <x:v>Pro</x:v>
      </x:c>
      <x:c r="G3074" s="17" t="n">
        <x:v>14439</x:v>
      </x:c>
      <x:c r="H3074" s="17" t="n">
        <x:v>6512</x:v>
      </x:c>
      <x:c r="I3074" s="17" t="str">
        <x:v>Followup</x:v>
      </x:c>
      <x:c r="J3074" s="27" t="n">
        <x:f>INDEX('Model Pricing'!$B$7:$B$8,MATCH(F3074,'Model Pricing'!$A$7:$A$8,0))</x:f>
        <x:v>40</x:v>
      </x:c>
      <x:c r="K3074" s="27" t="n">
        <x:f>INDEX('Model Pricing'!$C$7:$C$8,MATCH(F3074,'Model Pricing'!$A$7:$A$8,0))</x:f>
        <x:v>100</x:v>
      </x:c>
      <x:c r="L3074" s="17" t="n">
        <x:f>G3074+H3074</x:f>
        <x:v>20951</x:v>
      </x:c>
      <x:c r="M3074" s="28" t="n">
        <x:f>G3074*J3074/1000000</x:f>
        <x:v>0.57756</x:v>
      </x:c>
      <x:c r="N3074" s="28" t="n">
        <x:f>H3074*K3074/1000000</x:f>
        <x:v>0.6512</x:v>
      </x:c>
      <x:c r="O3074" s="28" t="n">
        <x:f>SUM(M3074:N3074)</x:f>
        <x:v>1.2287599999999999</x:v>
      </x:c>
    </x:row>
    <x:row r="3075" ht="23" customHeight="1">
      <x:c r="A3075" s="17" t="str">
        <x:v>U03069</x:v>
      </x:c>
      <x:c r="B3075" s="18" t="n">
        <x:v>46283</x:v>
      </x:c>
      <x:c r="C3075" s="17" t="str">
        <x:v>W0191</x:v>
      </x:c>
      <x:c r="D3075" s="17" t="str">
        <x:v>C004</x:v>
      </x:c>
      <x:c r="E3075" s="17" t="str">
        <x:v>CopyStudio</x:v>
      </x:c>
      <x:c r="F3075" s="17" t="str">
        <x:v>Pro</x:v>
      </x:c>
      <x:c r="G3075" s="17" t="n">
        <x:v>12447</x:v>
      </x:c>
      <x:c r="H3075" s="17" t="n">
        <x:v>11008</x:v>
      </x:c>
      <x:c r="I3075" s="17" t="str">
        <x:v>Correction</x:v>
      </x:c>
      <x:c r="J3075" s="27" t="n">
        <x:f>INDEX('Model Pricing'!$B$7:$B$8,MATCH(F3075,'Model Pricing'!$A$7:$A$8,0))</x:f>
        <x:v>40</x:v>
      </x:c>
      <x:c r="K3075" s="27" t="n">
        <x:f>INDEX('Model Pricing'!$C$7:$C$8,MATCH(F3075,'Model Pricing'!$A$7:$A$8,0))</x:f>
        <x:v>100</x:v>
      </x:c>
      <x:c r="L3075" s="17" t="n">
        <x:f>G3075+H3075</x:f>
        <x:v>23455</x:v>
      </x:c>
      <x:c r="M3075" s="28" t="n">
        <x:f>G3075*J3075/1000000</x:f>
        <x:v>0.49788</x:v>
      </x:c>
      <x:c r="N3075" s="28" t="n">
        <x:f>H3075*K3075/1000000</x:f>
        <x:v>1.1008</x:v>
      </x:c>
      <x:c r="O3075" s="28" t="n">
        <x:f>SUM(M3075:N3075)</x:f>
        <x:v>1.5986799999999999</x:v>
      </x:c>
    </x:row>
    <x:row r="3076" ht="23" customHeight="1">
      <x:c r="A3076" s="17" t="str">
        <x:v>U03070</x:v>
      </x:c>
      <x:c r="B3076" s="18" t="n">
        <x:v>46283</x:v>
      </x:c>
      <x:c r="C3076" s="17" t="str">
        <x:v>W0191</x:v>
      </x:c>
      <x:c r="D3076" s="17" t="str">
        <x:v>C004</x:v>
      </x:c>
      <x:c r="E3076" s="17" t="str">
        <x:v>CopyStudio</x:v>
      </x:c>
      <x:c r="F3076" s="17" t="str">
        <x:v>Pro</x:v>
      </x:c>
      <x:c r="G3076" s="17" t="n">
        <x:v>9990</x:v>
      </x:c>
      <x:c r="H3076" s="17" t="n">
        <x:v>7256</x:v>
      </x:c>
      <x:c r="I3076" s="17" t="str">
        <x:v>Followup</x:v>
      </x:c>
      <x:c r="J3076" s="27" t="n">
        <x:f>INDEX('Model Pricing'!$B$7:$B$8,MATCH(F3076,'Model Pricing'!$A$7:$A$8,0))</x:f>
        <x:v>40</x:v>
      </x:c>
      <x:c r="K3076" s="27" t="n">
        <x:f>INDEX('Model Pricing'!$C$7:$C$8,MATCH(F3076,'Model Pricing'!$A$7:$A$8,0))</x:f>
        <x:v>100</x:v>
      </x:c>
      <x:c r="L3076" s="17" t="n">
        <x:f>G3076+H3076</x:f>
        <x:v>17246</x:v>
      </x:c>
      <x:c r="M3076" s="28" t="n">
        <x:f>G3076*J3076/1000000</x:f>
        <x:v>0.3996</x:v>
      </x:c>
      <x:c r="N3076" s="28" t="n">
        <x:f>H3076*K3076/1000000</x:f>
        <x:v>0.7256</x:v>
      </x:c>
      <x:c r="O3076" s="28" t="n">
        <x:f>SUM(M3076:N3076)</x:f>
        <x:v>1.1252</x:v>
      </x:c>
    </x:row>
    <x:row r="3077" ht="23" customHeight="1">
      <x:c r="A3077" s="17" t="str">
        <x:v>U03071</x:v>
      </x:c>
      <x:c r="B3077" s="18" t="n">
        <x:v>46283</x:v>
      </x:c>
      <x:c r="C3077" s="17" t="str">
        <x:v>W0191</x:v>
      </x:c>
      <x:c r="D3077" s="17" t="str">
        <x:v>C004</x:v>
      </x:c>
      <x:c r="E3077" s="17" t="str">
        <x:v>CopyStudio</x:v>
      </x:c>
      <x:c r="F3077" s="17" t="str">
        <x:v>Pro</x:v>
      </x:c>
      <x:c r="G3077" s="17" t="n">
        <x:v>11616</x:v>
      </x:c>
      <x:c r="H3077" s="17" t="n">
        <x:v>6760</x:v>
      </x:c>
      <x:c r="I3077" s="17" t="str">
        <x:v>Followup</x:v>
      </x:c>
      <x:c r="J3077" s="27" t="n">
        <x:f>INDEX('Model Pricing'!$B$7:$B$8,MATCH(F3077,'Model Pricing'!$A$7:$A$8,0))</x:f>
        <x:v>40</x:v>
      </x:c>
      <x:c r="K3077" s="27" t="n">
        <x:f>INDEX('Model Pricing'!$C$7:$C$8,MATCH(F3077,'Model Pricing'!$A$7:$A$8,0))</x:f>
        <x:v>100</x:v>
      </x:c>
      <x:c r="L3077" s="17" t="n">
        <x:f>G3077+H3077</x:f>
        <x:v>18376</x:v>
      </x:c>
      <x:c r="M3077" s="28" t="n">
        <x:f>G3077*J3077/1000000</x:f>
        <x:v>0.46464</x:v>
      </x:c>
      <x:c r="N3077" s="28" t="n">
        <x:f>H3077*K3077/1000000</x:f>
        <x:v>0.676</x:v>
      </x:c>
      <x:c r="O3077" s="28" t="n">
        <x:f>SUM(M3077:N3077)</x:f>
        <x:v>1.14064</x:v>
      </x:c>
    </x:row>
    <x:row r="3078" ht="23" customHeight="1">
      <x:c r="A3078" s="17" t="str">
        <x:v>U03072</x:v>
      </x:c>
      <x:c r="B3078" s="18" t="n">
        <x:v>46283</x:v>
      </x:c>
      <x:c r="C3078" s="17" t="str">
        <x:v>W0191</x:v>
      </x:c>
      <x:c r="D3078" s="17" t="str">
        <x:v>C004</x:v>
      </x:c>
      <x:c r="E3078" s="17" t="str">
        <x:v>CopyStudio</x:v>
      </x:c>
      <x:c r="F3078" s="17" t="str">
        <x:v>Pro</x:v>
      </x:c>
      <x:c r="G3078" s="17" t="n">
        <x:v>10603</x:v>
      </x:c>
      <x:c r="H3078" s="17" t="n">
        <x:v>4969</x:v>
      </x:c>
      <x:c r="I3078" s="17" t="str">
        <x:v>Followup</x:v>
      </x:c>
      <x:c r="J3078" s="27" t="n">
        <x:f>INDEX('Model Pricing'!$B$7:$B$8,MATCH(F3078,'Model Pricing'!$A$7:$A$8,0))</x:f>
        <x:v>40</x:v>
      </x:c>
      <x:c r="K3078" s="27" t="n">
        <x:f>INDEX('Model Pricing'!$C$7:$C$8,MATCH(F3078,'Model Pricing'!$A$7:$A$8,0))</x:f>
        <x:v>100</x:v>
      </x:c>
      <x:c r="L3078" s="17" t="n">
        <x:f>G3078+H3078</x:f>
        <x:v>15572</x:v>
      </x:c>
      <x:c r="M3078" s="28" t="n">
        <x:f>G3078*J3078/1000000</x:f>
        <x:v>0.42412</x:v>
      </x:c>
      <x:c r="N3078" s="28" t="n">
        <x:f>H3078*K3078/1000000</x:f>
        <x:v>0.4969</x:v>
      </x:c>
      <x:c r="O3078" s="28" t="n">
        <x:f>SUM(M3078:N3078)</x:f>
        <x:v>0.92102</x:v>
      </x:c>
    </x:row>
    <x:row r="3079" ht="23" customHeight="1">
      <x:c r="A3079" s="17" t="str">
        <x:v>U03073</x:v>
      </x:c>
      <x:c r="B3079" s="18" t="n">
        <x:v>46286</x:v>
      </x:c>
      <x:c r="C3079" s="17" t="str">
        <x:v>W0191</x:v>
      </x:c>
      <x:c r="D3079" s="17" t="str">
        <x:v>C004</x:v>
      </x:c>
      <x:c r="E3079" s="17" t="str">
        <x:v>CopyStudio</x:v>
      </x:c>
      <x:c r="F3079" s="17" t="str">
        <x:v>Pro</x:v>
      </x:c>
      <x:c r="G3079" s="17" t="n">
        <x:v>14613</x:v>
      </x:c>
      <x:c r="H3079" s="17" t="n">
        <x:v>4142</x:v>
      </x:c>
      <x:c r="I3079" s="17" t="str">
        <x:v>Followup</x:v>
      </x:c>
      <x:c r="J3079" s="27" t="n">
        <x:f>INDEX('Model Pricing'!$B$7:$B$8,MATCH(F3079,'Model Pricing'!$A$7:$A$8,0))</x:f>
        <x:v>40</x:v>
      </x:c>
      <x:c r="K3079" s="27" t="n">
        <x:f>INDEX('Model Pricing'!$C$7:$C$8,MATCH(F3079,'Model Pricing'!$A$7:$A$8,0))</x:f>
        <x:v>100</x:v>
      </x:c>
      <x:c r="L3079" s="17" t="n">
        <x:f>G3079+H3079</x:f>
        <x:v>18755</x:v>
      </x:c>
      <x:c r="M3079" s="28" t="n">
        <x:f>G3079*J3079/1000000</x:f>
        <x:v>0.58452</x:v>
      </x:c>
      <x:c r="N3079" s="28" t="n">
        <x:f>H3079*K3079/1000000</x:f>
        <x:v>0.4142</x:v>
      </x:c>
      <x:c r="O3079" s="28" t="n">
        <x:f>SUM(M3079:N3079)</x:f>
        <x:v>0.99872</x:v>
      </x:c>
    </x:row>
    <x:row r="3080" ht="23" customHeight="1">
      <x:c r="A3080" s="17" t="str">
        <x:v>U03074</x:v>
      </x:c>
      <x:c r="B3080" s="18" t="n">
        <x:v>46286</x:v>
      </x:c>
      <x:c r="C3080" s="17" t="str">
        <x:v>W0191</x:v>
      </x:c>
      <x:c r="D3080" s="17" t="str">
        <x:v>C004</x:v>
      </x:c>
      <x:c r="E3080" s="17" t="str">
        <x:v>CopyStudio</x:v>
      </x:c>
      <x:c r="F3080" s="17" t="str">
        <x:v>Pro</x:v>
      </x:c>
      <x:c r="G3080" s="17" t="n">
        <x:v>15192</x:v>
      </x:c>
      <x:c r="H3080" s="17" t="n">
        <x:v>4046</x:v>
      </x:c>
      <x:c r="I3080" s="17" t="str">
        <x:v>Followup</x:v>
      </x:c>
      <x:c r="J3080" s="27" t="n">
        <x:f>INDEX('Model Pricing'!$B$7:$B$8,MATCH(F3080,'Model Pricing'!$A$7:$A$8,0))</x:f>
        <x:v>40</x:v>
      </x:c>
      <x:c r="K3080" s="27" t="n">
        <x:f>INDEX('Model Pricing'!$C$7:$C$8,MATCH(F3080,'Model Pricing'!$A$7:$A$8,0))</x:f>
        <x:v>100</x:v>
      </x:c>
      <x:c r="L3080" s="17" t="n">
        <x:f>G3080+H3080</x:f>
        <x:v>19238</x:v>
      </x:c>
      <x:c r="M3080" s="28" t="n">
        <x:f>G3080*J3080/1000000</x:f>
        <x:v>0.60768</x:v>
      </x:c>
      <x:c r="N3080" s="28" t="n">
        <x:f>H3080*K3080/1000000</x:f>
        <x:v>0.4046</x:v>
      </x:c>
      <x:c r="O3080" s="28" t="n">
        <x:f>SUM(M3080:N3080)</x:f>
        <x:v>1.01228</x:v>
      </x:c>
    </x:row>
    <x:row r="3081" ht="23" customHeight="1">
      <x:c r="A3081" s="17" t="str">
        <x:v>U03075</x:v>
      </x:c>
      <x:c r="B3081" s="18" t="n">
        <x:v>46286</x:v>
      </x:c>
      <x:c r="C3081" s="17" t="str">
        <x:v>W0191</x:v>
      </x:c>
      <x:c r="D3081" s="17" t="str">
        <x:v>C004</x:v>
      </x:c>
      <x:c r="E3081" s="17" t="str">
        <x:v>CopyStudio</x:v>
      </x:c>
      <x:c r="F3081" s="17" t="str">
        <x:v>Pro</x:v>
      </x:c>
      <x:c r="G3081" s="17" t="n">
        <x:v>11960</x:v>
      </x:c>
      <x:c r="H3081" s="17" t="n">
        <x:v>8230</x:v>
      </x:c>
      <x:c r="I3081" s="17" t="str">
        <x:v>Followup</x:v>
      </x:c>
      <x:c r="J3081" s="27" t="n">
        <x:f>INDEX('Model Pricing'!$B$7:$B$8,MATCH(F3081,'Model Pricing'!$A$7:$A$8,0))</x:f>
        <x:v>40</x:v>
      </x:c>
      <x:c r="K3081" s="27" t="n">
        <x:f>INDEX('Model Pricing'!$C$7:$C$8,MATCH(F3081,'Model Pricing'!$A$7:$A$8,0))</x:f>
        <x:v>100</x:v>
      </x:c>
      <x:c r="L3081" s="17" t="n">
        <x:f>G3081+H3081</x:f>
        <x:v>20190</x:v>
      </x:c>
      <x:c r="M3081" s="28" t="n">
        <x:f>G3081*J3081/1000000</x:f>
        <x:v>0.4784</x:v>
      </x:c>
      <x:c r="N3081" s="28" t="n">
        <x:f>H3081*K3081/1000000</x:f>
        <x:v>0.823</x:v>
      </x:c>
      <x:c r="O3081" s="28" t="n">
        <x:f>SUM(M3081:N3081)</x:f>
        <x:v>1.3014</x:v>
      </x:c>
    </x:row>
    <x:row r="3082" ht="23" customHeight="1">
      <x:c r="A3082" s="17" t="str">
        <x:v>U03076</x:v>
      </x:c>
      <x:c r="B3082" s="18" t="n">
        <x:v>46286</x:v>
      </x:c>
      <x:c r="C3082" s="17" t="str">
        <x:v>W0191</x:v>
      </x:c>
      <x:c r="D3082" s="17" t="str">
        <x:v>C004</x:v>
      </x:c>
      <x:c r="E3082" s="17" t="str">
        <x:v>CopyStudio</x:v>
      </x:c>
      <x:c r="F3082" s="17" t="str">
        <x:v>Pro</x:v>
      </x:c>
      <x:c r="G3082" s="17" t="n">
        <x:v>15400</x:v>
      </x:c>
      <x:c r="H3082" s="17" t="n">
        <x:v>10078</x:v>
      </x:c>
      <x:c r="I3082" s="17" t="str">
        <x:v>Followup</x:v>
      </x:c>
      <x:c r="J3082" s="27" t="n">
        <x:f>INDEX('Model Pricing'!$B$7:$B$8,MATCH(F3082,'Model Pricing'!$A$7:$A$8,0))</x:f>
        <x:v>40</x:v>
      </x:c>
      <x:c r="K3082" s="27" t="n">
        <x:f>INDEX('Model Pricing'!$C$7:$C$8,MATCH(F3082,'Model Pricing'!$A$7:$A$8,0))</x:f>
        <x:v>100</x:v>
      </x:c>
      <x:c r="L3082" s="17" t="n">
        <x:f>G3082+H3082</x:f>
        <x:v>25478</x:v>
      </x:c>
      <x:c r="M3082" s="28" t="n">
        <x:f>G3082*J3082/1000000</x:f>
        <x:v>0.616</x:v>
      </x:c>
      <x:c r="N3082" s="28" t="n">
        <x:f>H3082*K3082/1000000</x:f>
        <x:v>1.0078</x:v>
      </x:c>
      <x:c r="O3082" s="28" t="n">
        <x:f>SUM(M3082:N3082)</x:f>
        <x:v>1.6238000000000001</x:v>
      </x:c>
    </x:row>
    <x:row r="3083" ht="23" customHeight="1">
      <x:c r="A3083" s="17" t="str">
        <x:v>U03077</x:v>
      </x:c>
      <x:c r="B3083" s="18" t="n">
        <x:v>46290</x:v>
      </x:c>
      <x:c r="C3083" s="17" t="str">
        <x:v>W0192</x:v>
      </x:c>
      <x:c r="D3083" s="17" t="str">
        <x:v>C004</x:v>
      </x:c>
      <x:c r="E3083" s="17" t="str">
        <x:v>InsightDesk</x:v>
      </x:c>
      <x:c r="F3083" s="17" t="str">
        <x:v>Pro</x:v>
      </x:c>
      <x:c r="G3083" s="17" t="n">
        <x:v>26060</x:v>
      </x:c>
      <x:c r="H3083" s="17" t="n">
        <x:v>17693</x:v>
      </x:c>
      <x:c r="I3083" s="17" t="str">
        <x:v>First attempt</x:v>
      </x:c>
      <x:c r="J3083" s="27" t="n">
        <x:f>INDEX('Model Pricing'!$B$7:$B$8,MATCH(F3083,'Model Pricing'!$A$7:$A$8,0))</x:f>
        <x:v>40</x:v>
      </x:c>
      <x:c r="K3083" s="27" t="n">
        <x:f>INDEX('Model Pricing'!$C$7:$C$8,MATCH(F3083,'Model Pricing'!$A$7:$A$8,0))</x:f>
        <x:v>100</x:v>
      </x:c>
      <x:c r="L3083" s="17" t="n">
        <x:f>G3083+H3083</x:f>
        <x:v>43753</x:v>
      </x:c>
      <x:c r="M3083" s="28" t="n">
        <x:f>G3083*J3083/1000000</x:f>
        <x:v>1.0424</x:v>
      </x:c>
      <x:c r="N3083" s="28" t="n">
        <x:f>H3083*K3083/1000000</x:f>
        <x:v>1.7693</x:v>
      </x:c>
      <x:c r="O3083" s="28" t="n">
        <x:f>SUM(M3083:N3083)</x:f>
        <x:v>2.8117</x:v>
      </x:c>
    </x:row>
    <x:row r="3084" ht="23" customHeight="1">
      <x:c r="A3084" s="17" t="str">
        <x:v>U03078</x:v>
      </x:c>
      <x:c r="B3084" s="18" t="n">
        <x:v>46290</x:v>
      </x:c>
      <x:c r="C3084" s="17" t="str">
        <x:v>W0192</x:v>
      </x:c>
      <x:c r="D3084" s="17" t="str">
        <x:v>C004</x:v>
      </x:c>
      <x:c r="E3084" s="17" t="str">
        <x:v>InsightDesk</x:v>
      </x:c>
      <x:c r="F3084" s="17" t="str">
        <x:v>Pro</x:v>
      </x:c>
      <x:c r="G3084" s="17" t="n">
        <x:v>29799</x:v>
      </x:c>
      <x:c r="H3084" s="17" t="n">
        <x:v>6026</x:v>
      </x:c>
      <x:c r="I3084" s="17" t="str">
        <x:v>Followup</x:v>
      </x:c>
      <x:c r="J3084" s="27" t="n">
        <x:f>INDEX('Model Pricing'!$B$7:$B$8,MATCH(F3084,'Model Pricing'!$A$7:$A$8,0))</x:f>
        <x:v>40</x:v>
      </x:c>
      <x:c r="K3084" s="27" t="n">
        <x:f>INDEX('Model Pricing'!$C$7:$C$8,MATCH(F3084,'Model Pricing'!$A$7:$A$8,0))</x:f>
        <x:v>100</x:v>
      </x:c>
      <x:c r="L3084" s="17" t="n">
        <x:f>G3084+H3084</x:f>
        <x:v>35825</x:v>
      </x:c>
      <x:c r="M3084" s="28" t="n">
        <x:f>G3084*J3084/1000000</x:f>
        <x:v>1.19196</x:v>
      </x:c>
      <x:c r="N3084" s="28" t="n">
        <x:f>H3084*K3084/1000000</x:f>
        <x:v>0.6026</x:v>
      </x:c>
      <x:c r="O3084" s="28" t="n">
        <x:f>SUM(M3084:N3084)</x:f>
        <x:v>1.79456</x:v>
      </x:c>
    </x:row>
    <x:row r="3085" ht="23" customHeight="1">
      <x:c r="A3085" s="17" t="str">
        <x:v>U03079</x:v>
      </x:c>
      <x:c r="B3085" s="18" t="n">
        <x:v>46290</x:v>
      </x:c>
      <x:c r="C3085" s="17" t="str">
        <x:v>W0192</x:v>
      </x:c>
      <x:c r="D3085" s="17" t="str">
        <x:v>C004</x:v>
      </x:c>
      <x:c r="E3085" s="17" t="str">
        <x:v>InsightDesk</x:v>
      </x:c>
      <x:c r="F3085" s="17" t="str">
        <x:v>Pro</x:v>
      </x:c>
      <x:c r="G3085" s="17" t="n">
        <x:v>12873</x:v>
      </x:c>
      <x:c r="H3085" s="17" t="n">
        <x:v>14112</x:v>
      </x:c>
      <x:c r="I3085" s="17" t="str">
        <x:v>Correction</x:v>
      </x:c>
      <x:c r="J3085" s="27" t="n">
        <x:f>INDEX('Model Pricing'!$B$7:$B$8,MATCH(F3085,'Model Pricing'!$A$7:$A$8,0))</x:f>
        <x:v>40</x:v>
      </x:c>
      <x:c r="K3085" s="27" t="n">
        <x:f>INDEX('Model Pricing'!$C$7:$C$8,MATCH(F3085,'Model Pricing'!$A$7:$A$8,0))</x:f>
        <x:v>100</x:v>
      </x:c>
      <x:c r="L3085" s="17" t="n">
        <x:f>G3085+H3085</x:f>
        <x:v>26985</x:v>
      </x:c>
      <x:c r="M3085" s="28" t="n">
        <x:f>G3085*J3085/1000000</x:f>
        <x:v>0.51492</x:v>
      </x:c>
      <x:c r="N3085" s="28" t="n">
        <x:f>H3085*K3085/1000000</x:f>
        <x:v>1.4112</x:v>
      </x:c>
      <x:c r="O3085" s="28" t="n">
        <x:f>SUM(M3085:N3085)</x:f>
        <x:v>1.92612</x:v>
      </x:c>
    </x:row>
    <x:row r="3086" ht="23" customHeight="1">
      <x:c r="A3086" s="17" t="str">
        <x:v>U03080</x:v>
      </x:c>
      <x:c r="B3086" s="18" t="n">
        <x:v>46290</x:v>
      </x:c>
      <x:c r="C3086" s="17" t="str">
        <x:v>W0192</x:v>
      </x:c>
      <x:c r="D3086" s="17" t="str">
        <x:v>C004</x:v>
      </x:c>
      <x:c r="E3086" s="17" t="str">
        <x:v>InsightDesk</x:v>
      </x:c>
      <x:c r="F3086" s="17" t="str">
        <x:v>Pro</x:v>
      </x:c>
      <x:c r="G3086" s="17" t="n">
        <x:v>28942</x:v>
      </x:c>
      <x:c r="H3086" s="17" t="n">
        <x:v>9503</x:v>
      </x:c>
      <x:c r="I3086" s="17" t="str">
        <x:v>Followup</x:v>
      </x:c>
      <x:c r="J3086" s="27" t="n">
        <x:f>INDEX('Model Pricing'!$B$7:$B$8,MATCH(F3086,'Model Pricing'!$A$7:$A$8,0))</x:f>
        <x:v>40</x:v>
      </x:c>
      <x:c r="K3086" s="27" t="n">
        <x:f>INDEX('Model Pricing'!$C$7:$C$8,MATCH(F3086,'Model Pricing'!$A$7:$A$8,0))</x:f>
        <x:v>100</x:v>
      </x:c>
      <x:c r="L3086" s="17" t="n">
        <x:f>G3086+H3086</x:f>
        <x:v>38445</x:v>
      </x:c>
      <x:c r="M3086" s="28" t="n">
        <x:f>G3086*J3086/1000000</x:f>
        <x:v>1.15768</x:v>
      </x:c>
      <x:c r="N3086" s="28" t="n">
        <x:f>H3086*K3086/1000000</x:f>
        <x:v>0.9503</x:v>
      </x:c>
      <x:c r="O3086" s="28" t="n">
        <x:f>SUM(M3086:N3086)</x:f>
        <x:v>2.10798</x:v>
      </x:c>
    </x:row>
    <x:row r="3087" ht="23" customHeight="1">
      <x:c r="A3087" s="17" t="str">
        <x:v>U03081</x:v>
      </x:c>
      <x:c r="B3087" s="18" t="n">
        <x:v>46293</x:v>
      </x:c>
      <x:c r="C3087" s="17" t="str">
        <x:v>W0192</x:v>
      </x:c>
      <x:c r="D3087" s="17" t="str">
        <x:v>C004</x:v>
      </x:c>
      <x:c r="E3087" s="17" t="str">
        <x:v>InsightDesk</x:v>
      </x:c>
      <x:c r="F3087" s="17" t="str">
        <x:v>Pro</x:v>
      </x:c>
      <x:c r="G3087" s="17" t="n">
        <x:v>31971</x:v>
      </x:c>
      <x:c r="H3087" s="17" t="n">
        <x:v>20678</x:v>
      </x:c>
      <x:c r="I3087" s="17" t="str">
        <x:v>Followup</x:v>
      </x:c>
      <x:c r="J3087" s="27" t="n">
        <x:f>INDEX('Model Pricing'!$B$7:$B$8,MATCH(F3087,'Model Pricing'!$A$7:$A$8,0))</x:f>
        <x:v>40</x:v>
      </x:c>
      <x:c r="K3087" s="27" t="n">
        <x:f>INDEX('Model Pricing'!$C$7:$C$8,MATCH(F3087,'Model Pricing'!$A$7:$A$8,0))</x:f>
        <x:v>100</x:v>
      </x:c>
      <x:c r="L3087" s="17" t="n">
        <x:f>G3087+H3087</x:f>
        <x:v>52649</x:v>
      </x:c>
      <x:c r="M3087" s="28" t="n">
        <x:f>G3087*J3087/1000000</x:f>
        <x:v>1.27884</x:v>
      </x:c>
      <x:c r="N3087" s="28" t="n">
        <x:f>H3087*K3087/1000000</x:f>
        <x:v>2.0678</x:v>
      </x:c>
      <x:c r="O3087" s="28" t="n">
        <x:f>SUM(M3087:N3087)</x:f>
        <x:v>3.34664</x:v>
      </x:c>
    </x:row>
    <x:row r="3088" ht="23" customHeight="1">
      <x:c r="A3088" s="17" t="str">
        <x:v>U03082</x:v>
      </x:c>
      <x:c r="B3088" s="18" t="n">
        <x:v>46293</x:v>
      </x:c>
      <x:c r="C3088" s="17" t="str">
        <x:v>W0192</x:v>
      </x:c>
      <x:c r="D3088" s="17" t="str">
        <x:v>C004</x:v>
      </x:c>
      <x:c r="E3088" s="17" t="str">
        <x:v>InsightDesk</x:v>
      </x:c>
      <x:c r="F3088" s="17" t="str">
        <x:v>Pro</x:v>
      </x:c>
      <x:c r="G3088" s="17" t="n">
        <x:v>19496</x:v>
      </x:c>
      <x:c r="H3088" s="17" t="n">
        <x:v>12414</x:v>
      </x:c>
      <x:c r="I3088" s="17" t="str">
        <x:v>Followup</x:v>
      </x:c>
      <x:c r="J3088" s="27" t="n">
        <x:f>INDEX('Model Pricing'!$B$7:$B$8,MATCH(F3088,'Model Pricing'!$A$7:$A$8,0))</x:f>
        <x:v>40</x:v>
      </x:c>
      <x:c r="K3088" s="27" t="n">
        <x:f>INDEX('Model Pricing'!$C$7:$C$8,MATCH(F3088,'Model Pricing'!$A$7:$A$8,0))</x:f>
        <x:v>100</x:v>
      </x:c>
      <x:c r="L3088" s="17" t="n">
        <x:f>G3088+H3088</x:f>
        <x:v>31910</x:v>
      </x:c>
      <x:c r="M3088" s="28" t="n">
        <x:f>G3088*J3088/1000000</x:f>
        <x:v>0.77984</x:v>
      </x:c>
      <x:c r="N3088" s="28" t="n">
        <x:f>H3088*K3088/1000000</x:f>
        <x:v>1.2414</x:v>
      </x:c>
      <x:c r="O3088" s="28" t="n">
        <x:f>SUM(M3088:N3088)</x:f>
        <x:v>2.02124</x:v>
      </x:c>
    </x:row>
    <x:row r="3089" ht="23" customHeight="1">
      <x:c r="A3089" s="17" t="str">
        <x:v>U03083</x:v>
      </x:c>
      <x:c r="B3089" s="18" t="n">
        <x:v>46293</x:v>
      </x:c>
      <x:c r="C3089" s="17" t="str">
        <x:v>W0192</x:v>
      </x:c>
      <x:c r="D3089" s="17" t="str">
        <x:v>C004</x:v>
      </x:c>
      <x:c r="E3089" s="17" t="str">
        <x:v>InsightDesk</x:v>
      </x:c>
      <x:c r="F3089" s="17" t="str">
        <x:v>Pro</x:v>
      </x:c>
      <x:c r="G3089" s="17" t="n">
        <x:v>28153</x:v>
      </x:c>
      <x:c r="H3089" s="17" t="n">
        <x:v>6239</x:v>
      </x:c>
      <x:c r="I3089" s="17" t="str">
        <x:v>Correction</x:v>
      </x:c>
      <x:c r="J3089" s="27" t="n">
        <x:f>INDEX('Model Pricing'!$B$7:$B$8,MATCH(F3089,'Model Pricing'!$A$7:$A$8,0))</x:f>
        <x:v>40</x:v>
      </x:c>
      <x:c r="K3089" s="27" t="n">
        <x:f>INDEX('Model Pricing'!$C$7:$C$8,MATCH(F3089,'Model Pricing'!$A$7:$A$8,0))</x:f>
        <x:v>100</x:v>
      </x:c>
      <x:c r="L3089" s="17" t="n">
        <x:f>G3089+H3089</x:f>
        <x:v>34392</x:v>
      </x:c>
      <x:c r="M3089" s="28" t="n">
        <x:f>G3089*J3089/1000000</x:f>
        <x:v>1.12612</x:v>
      </x:c>
      <x:c r="N3089" s="28" t="n">
        <x:f>H3089*K3089/1000000</x:f>
        <x:v>0.6239</x:v>
      </x:c>
      <x:c r="O3089" s="28" t="n">
        <x:f>SUM(M3089:N3089)</x:f>
        <x:v>1.7500200000000001</x:v>
      </x:c>
    </x:row>
    <x:row r="3090" ht="23" customHeight="1">
      <x:c r="A3090" s="17" t="str">
        <x:v>U03084</x:v>
      </x:c>
      <x:c r="B3090" s="18" t="n">
        <x:v>46294</x:v>
      </x:c>
      <x:c r="C3090" s="17" t="str">
        <x:v>W0192</x:v>
      </x:c>
      <x:c r="D3090" s="17" t="str">
        <x:v>C004</x:v>
      </x:c>
      <x:c r="E3090" s="17" t="str">
        <x:v>InsightDesk</x:v>
      </x:c>
      <x:c r="F3090" s="17" t="str">
        <x:v>Pro</x:v>
      </x:c>
      <x:c r="G3090" s="17" t="n">
        <x:v>29165</x:v>
      </x:c>
      <x:c r="H3090" s="17" t="n">
        <x:v>14313</x:v>
      </x:c>
      <x:c r="I3090" s="17" t="str">
        <x:v>Followup</x:v>
      </x:c>
      <x:c r="J3090" s="27" t="n">
        <x:f>INDEX('Model Pricing'!$B$7:$B$8,MATCH(F3090,'Model Pricing'!$A$7:$A$8,0))</x:f>
        <x:v>40</x:v>
      </x:c>
      <x:c r="K3090" s="27" t="n">
        <x:f>INDEX('Model Pricing'!$C$7:$C$8,MATCH(F3090,'Model Pricing'!$A$7:$A$8,0))</x:f>
        <x:v>100</x:v>
      </x:c>
      <x:c r="L3090" s="17" t="n">
        <x:f>G3090+H3090</x:f>
        <x:v>43478</x:v>
      </x:c>
      <x:c r="M3090" s="28" t="n">
        <x:f>G3090*J3090/1000000</x:f>
        <x:v>1.1666</x:v>
      </x:c>
      <x:c r="N3090" s="28" t="n">
        <x:f>H3090*K3090/1000000</x:f>
        <x:v>1.4313</x:v>
      </x:c>
      <x:c r="O3090" s="28" t="n">
        <x:f>SUM(M3090:N3090)</x:f>
        <x:v>2.5979</x:v>
      </x:c>
    </x:row>
    <x:row r="3091" ht="23" customHeight="1">
      <x:c r="A3091" s="17" t="str">
        <x:v>U03085</x:v>
      </x:c>
      <x:c r="B3091" s="18" t="n">
        <x:v>46294</x:v>
      </x:c>
      <x:c r="C3091" s="17" t="str">
        <x:v>W0192</x:v>
      </x:c>
      <x:c r="D3091" s="17" t="str">
        <x:v>C004</x:v>
      </x:c>
      <x:c r="E3091" s="17" t="str">
        <x:v>InsightDesk</x:v>
      </x:c>
      <x:c r="F3091" s="17" t="str">
        <x:v>Pro</x:v>
      </x:c>
      <x:c r="G3091" s="17" t="n">
        <x:v>25538</x:v>
      </x:c>
      <x:c r="H3091" s="17" t="n">
        <x:v>16942</x:v>
      </x:c>
      <x:c r="I3091" s="17" t="str">
        <x:v>Followup</x:v>
      </x:c>
      <x:c r="J3091" s="27" t="n">
        <x:f>INDEX('Model Pricing'!$B$7:$B$8,MATCH(F3091,'Model Pricing'!$A$7:$A$8,0))</x:f>
        <x:v>40</x:v>
      </x:c>
      <x:c r="K3091" s="27" t="n">
        <x:f>INDEX('Model Pricing'!$C$7:$C$8,MATCH(F3091,'Model Pricing'!$A$7:$A$8,0))</x:f>
        <x:v>100</x:v>
      </x:c>
      <x:c r="L3091" s="17" t="n">
        <x:f>G3091+H3091</x:f>
        <x:v>42480</x:v>
      </x:c>
      <x:c r="M3091" s="28" t="n">
        <x:f>G3091*J3091/1000000</x:f>
        <x:v>1.02152</x:v>
      </x:c>
      <x:c r="N3091" s="28" t="n">
        <x:f>H3091*K3091/1000000</x:f>
        <x:v>1.6942</x:v>
      </x:c>
      <x:c r="O3091" s="28" t="n">
        <x:f>SUM(M3091:N3091)</x:f>
        <x:v>2.71572</x:v>
      </x:c>
    </x:row>
    <x:row r="3092" ht="23" customHeight="1">
      <x:c r="A3092" s="17" t="str">
        <x:v>U03086</x:v>
      </x:c>
      <x:c r="B3092" s="18" t="n">
        <x:v>46294</x:v>
      </x:c>
      <x:c r="C3092" s="17" t="str">
        <x:v>W0192</x:v>
      </x:c>
      <x:c r="D3092" s="17" t="str">
        <x:v>C004</x:v>
      </x:c>
      <x:c r="E3092" s="17" t="str">
        <x:v>InsightDesk</x:v>
      </x:c>
      <x:c r="F3092" s="17" t="str">
        <x:v>Pro</x:v>
      </x:c>
      <x:c r="G3092" s="17" t="n">
        <x:v>23546</x:v>
      </x:c>
      <x:c r="H3092" s="17" t="n">
        <x:v>7831</x:v>
      </x:c>
      <x:c r="I3092" s="17" t="str">
        <x:v>Followup</x:v>
      </x:c>
      <x:c r="J3092" s="27" t="n">
        <x:f>INDEX('Model Pricing'!$B$7:$B$8,MATCH(F3092,'Model Pricing'!$A$7:$A$8,0))</x:f>
        <x:v>40</x:v>
      </x:c>
      <x:c r="K3092" s="27" t="n">
        <x:f>INDEX('Model Pricing'!$C$7:$C$8,MATCH(F3092,'Model Pricing'!$A$7:$A$8,0))</x:f>
        <x:v>100</x:v>
      </x:c>
      <x:c r="L3092" s="17" t="n">
        <x:f>G3092+H3092</x:f>
        <x:v>31377</x:v>
      </x:c>
      <x:c r="M3092" s="28" t="n">
        <x:f>G3092*J3092/1000000</x:f>
        <x:v>0.94184</x:v>
      </x:c>
      <x:c r="N3092" s="28" t="n">
        <x:f>H3092*K3092/1000000</x:f>
        <x:v>0.7831</x:v>
      </x:c>
      <x:c r="O3092" s="28" t="n">
        <x:f>SUM(M3092:N3092)</x:f>
        <x:v>1.7249400000000001</x:v>
      </x:c>
    </x:row>
    <x:row r="3093" ht="23" customHeight="1">
      <x:c r="A3093" s="17" t="str">
        <x:v>U03087</x:v>
      </x:c>
      <x:c r="B3093" s="18" t="n">
        <x:v>46295</x:v>
      </x:c>
      <x:c r="C3093" s="17" t="str">
        <x:v>W0192</x:v>
      </x:c>
      <x:c r="D3093" s="17" t="str">
        <x:v>C004</x:v>
      </x:c>
      <x:c r="E3093" s="17" t="str">
        <x:v>InsightDesk</x:v>
      </x:c>
      <x:c r="F3093" s="17" t="str">
        <x:v>Pro</x:v>
      </x:c>
      <x:c r="G3093" s="17" t="n">
        <x:v>28422</x:v>
      </x:c>
      <x:c r="H3093" s="17" t="n">
        <x:v>16285</x:v>
      </x:c>
      <x:c r="I3093" s="17" t="str">
        <x:v>Followup</x:v>
      </x:c>
      <x:c r="J3093" s="27" t="n">
        <x:f>INDEX('Model Pricing'!$B$7:$B$8,MATCH(F3093,'Model Pricing'!$A$7:$A$8,0))</x:f>
        <x:v>40</x:v>
      </x:c>
      <x:c r="K3093" s="27" t="n">
        <x:f>INDEX('Model Pricing'!$C$7:$C$8,MATCH(F3093,'Model Pricing'!$A$7:$A$8,0))</x:f>
        <x:v>100</x:v>
      </x:c>
      <x:c r="L3093" s="17" t="n">
        <x:f>G3093+H3093</x:f>
        <x:v>44707</x:v>
      </x:c>
      <x:c r="M3093" s="28" t="n">
        <x:f>G3093*J3093/1000000</x:f>
        <x:v>1.13688</x:v>
      </x:c>
      <x:c r="N3093" s="28" t="n">
        <x:f>H3093*K3093/1000000</x:f>
        <x:v>1.6285</x:v>
      </x:c>
      <x:c r="O3093" s="28" t="n">
        <x:f>SUM(M3093:N3093)</x:f>
        <x:v>2.76538</x:v>
      </x:c>
    </x:row>
    <x:row r="3094" ht="23" customHeight="1">
      <x:c r="A3094" s="17" t="str">
        <x:v>U03088</x:v>
      </x:c>
      <x:c r="B3094" s="18" t="n">
        <x:v>46295</x:v>
      </x:c>
      <x:c r="C3094" s="17" t="str">
        <x:v>W0192</x:v>
      </x:c>
      <x:c r="D3094" s="17" t="str">
        <x:v>C004</x:v>
      </x:c>
      <x:c r="E3094" s="17" t="str">
        <x:v>InsightDesk</x:v>
      </x:c>
      <x:c r="F3094" s="17" t="str">
        <x:v>Pro</x:v>
      </x:c>
      <x:c r="G3094" s="17" t="n">
        <x:v>32413</x:v>
      </x:c>
      <x:c r="H3094" s="17" t="n">
        <x:v>16389</x:v>
      </x:c>
      <x:c r="I3094" s="17" t="str">
        <x:v>Correction</x:v>
      </x:c>
      <x:c r="J3094" s="27" t="n">
        <x:f>INDEX('Model Pricing'!$B$7:$B$8,MATCH(F3094,'Model Pricing'!$A$7:$A$8,0))</x:f>
        <x:v>40</x:v>
      </x:c>
      <x:c r="K3094" s="27" t="n">
        <x:f>INDEX('Model Pricing'!$C$7:$C$8,MATCH(F3094,'Model Pricing'!$A$7:$A$8,0))</x:f>
        <x:v>100</x:v>
      </x:c>
      <x:c r="L3094" s="17" t="n">
        <x:f>G3094+H3094</x:f>
        <x:v>48802</x:v>
      </x:c>
      <x:c r="M3094" s="28" t="n">
        <x:f>G3094*J3094/1000000</x:f>
        <x:v>1.29652</x:v>
      </x:c>
      <x:c r="N3094" s="28" t="n">
        <x:f>H3094*K3094/1000000</x:f>
        <x:v>1.6389</x:v>
      </x:c>
      <x:c r="O3094" s="28" t="n">
        <x:f>SUM(M3094:N3094)</x:f>
        <x:v>2.9354199999999997</x:v>
      </x:c>
    </x:row>
    <x:row r="3095" ht="23" customHeight="1">
      <x:c r="A3095" s="17" t="str">
        <x:v>U03089</x:v>
      </x:c>
      <x:c r="B3095" s="18" t="n">
        <x:v>46295</x:v>
      </x:c>
      <x:c r="C3095" s="17" t="str">
        <x:v>W0192</x:v>
      </x:c>
      <x:c r="D3095" s="17" t="str">
        <x:v>C004</x:v>
      </x:c>
      <x:c r="E3095" s="17" t="str">
        <x:v>InsightDesk</x:v>
      </x:c>
      <x:c r="F3095" s="17" t="str">
        <x:v>Pro</x:v>
      </x:c>
      <x:c r="G3095" s="17" t="n">
        <x:v>26944</x:v>
      </x:c>
      <x:c r="H3095" s="17" t="n">
        <x:v>13252</x:v>
      </x:c>
      <x:c r="I3095" s="17" t="str">
        <x:v>Followup</x:v>
      </x:c>
      <x:c r="J3095" s="27" t="n">
        <x:f>INDEX('Model Pricing'!$B$7:$B$8,MATCH(F3095,'Model Pricing'!$A$7:$A$8,0))</x:f>
        <x:v>40</x:v>
      </x:c>
      <x:c r="K3095" s="27" t="n">
        <x:f>INDEX('Model Pricing'!$C$7:$C$8,MATCH(F3095,'Model Pricing'!$A$7:$A$8,0))</x:f>
        <x:v>100</x:v>
      </x:c>
      <x:c r="L3095" s="17" t="n">
        <x:f>G3095+H3095</x:f>
        <x:v>40196</x:v>
      </x:c>
      <x:c r="M3095" s="28" t="n">
        <x:f>G3095*J3095/1000000</x:f>
        <x:v>1.07776</x:v>
      </x:c>
      <x:c r="N3095" s="28" t="n">
        <x:f>H3095*K3095/1000000</x:f>
        <x:v>1.3252</x:v>
      </x:c>
      <x:c r="O3095" s="28" t="n">
        <x:f>SUM(M3095:N3095)</x:f>
        <x:v>2.40296</x:v>
      </x:c>
    </x:row>
    <x:row r="3096" ht="23" customHeight="1">
      <x:c r="A3096" s="17" t="str">
        <x:v>U03090</x:v>
      </x:c>
      <x:c r="B3096" s="18" t="n">
        <x:v>46275</x:v>
      </x:c>
      <x:c r="C3096" s="17" t="str">
        <x:v>W0193</x:v>
      </x:c>
      <x:c r="D3096" s="17" t="str">
        <x:v>C004</x:v>
      </x:c>
      <x:c r="E3096" s="17" t="str">
        <x:v>CopyStudio</x:v>
      </x:c>
      <x:c r="F3096" s="17" t="str">
        <x:v>Pro</x:v>
      </x:c>
      <x:c r="G3096" s="17" t="n">
        <x:v>15403</x:v>
      </x:c>
      <x:c r="H3096" s="17" t="n">
        <x:v>10406</x:v>
      </x:c>
      <x:c r="I3096" s="17" t="str">
        <x:v>First attempt</x:v>
      </x:c>
      <x:c r="J3096" s="27" t="n">
        <x:f>INDEX('Model Pricing'!$B$7:$B$8,MATCH(F3096,'Model Pricing'!$A$7:$A$8,0))</x:f>
        <x:v>40</x:v>
      </x:c>
      <x:c r="K3096" s="27" t="n">
        <x:f>INDEX('Model Pricing'!$C$7:$C$8,MATCH(F3096,'Model Pricing'!$A$7:$A$8,0))</x:f>
        <x:v>100</x:v>
      </x:c>
      <x:c r="L3096" s="17" t="n">
        <x:f>G3096+H3096</x:f>
        <x:v>25809</x:v>
      </x:c>
      <x:c r="M3096" s="28" t="n">
        <x:f>G3096*J3096/1000000</x:f>
        <x:v>0.61612</x:v>
      </x:c>
      <x:c r="N3096" s="28" t="n">
        <x:f>H3096*K3096/1000000</x:f>
        <x:v>1.0406</x:v>
      </x:c>
      <x:c r="O3096" s="28" t="n">
        <x:f>SUM(M3096:N3096)</x:f>
        <x:v>1.65672</x:v>
      </x:c>
    </x:row>
    <x:row r="3097" ht="23" customHeight="1">
      <x:c r="A3097" s="17" t="str">
        <x:v>U03091</x:v>
      </x:c>
      <x:c r="B3097" s="18" t="n">
        <x:v>46275</x:v>
      </x:c>
      <x:c r="C3097" s="17" t="str">
        <x:v>W0193</x:v>
      </x:c>
      <x:c r="D3097" s="17" t="str">
        <x:v>C004</x:v>
      </x:c>
      <x:c r="E3097" s="17" t="str">
        <x:v>CopyStudio</x:v>
      </x:c>
      <x:c r="F3097" s="17" t="str">
        <x:v>Pro</x:v>
      </x:c>
      <x:c r="G3097" s="17" t="n">
        <x:v>23524</x:v>
      </x:c>
      <x:c r="H3097" s="17" t="n">
        <x:v>8686</x:v>
      </x:c>
      <x:c r="I3097" s="17" t="str">
        <x:v>Followup</x:v>
      </x:c>
      <x:c r="J3097" s="27" t="n">
        <x:f>INDEX('Model Pricing'!$B$7:$B$8,MATCH(F3097,'Model Pricing'!$A$7:$A$8,0))</x:f>
        <x:v>40</x:v>
      </x:c>
      <x:c r="K3097" s="27" t="n">
        <x:f>INDEX('Model Pricing'!$C$7:$C$8,MATCH(F3097,'Model Pricing'!$A$7:$A$8,0))</x:f>
        <x:v>100</x:v>
      </x:c>
      <x:c r="L3097" s="17" t="n">
        <x:f>G3097+H3097</x:f>
        <x:v>32210</x:v>
      </x:c>
      <x:c r="M3097" s="28" t="n">
        <x:f>G3097*J3097/1000000</x:f>
        <x:v>0.94096</x:v>
      </x:c>
      <x:c r="N3097" s="28" t="n">
        <x:f>H3097*K3097/1000000</x:f>
        <x:v>0.8686</x:v>
      </x:c>
      <x:c r="O3097" s="28" t="n">
        <x:f>SUM(M3097:N3097)</x:f>
        <x:v>1.80956</x:v>
      </x:c>
    </x:row>
    <x:row r="3098" ht="23" customHeight="1">
      <x:c r="A3098" s="17" t="str">
        <x:v>U03092</x:v>
      </x:c>
      <x:c r="B3098" s="18" t="n">
        <x:v>46275</x:v>
      </x:c>
      <x:c r="C3098" s="17" t="str">
        <x:v>W0193</x:v>
      </x:c>
      <x:c r="D3098" s="17" t="str">
        <x:v>C004</x:v>
      </x:c>
      <x:c r="E3098" s="17" t="str">
        <x:v>CopyStudio</x:v>
      </x:c>
      <x:c r="F3098" s="17" t="str">
        <x:v>Pro</x:v>
      </x:c>
      <x:c r="G3098" s="17" t="n">
        <x:v>21275</x:v>
      </x:c>
      <x:c r="H3098" s="17" t="n">
        <x:v>10174</x:v>
      </x:c>
      <x:c r="I3098" s="17" t="str">
        <x:v>Followup</x:v>
      </x:c>
      <x:c r="J3098" s="27" t="n">
        <x:f>INDEX('Model Pricing'!$B$7:$B$8,MATCH(F3098,'Model Pricing'!$A$7:$A$8,0))</x:f>
        <x:v>40</x:v>
      </x:c>
      <x:c r="K3098" s="27" t="n">
        <x:f>INDEX('Model Pricing'!$C$7:$C$8,MATCH(F3098,'Model Pricing'!$A$7:$A$8,0))</x:f>
        <x:v>100</x:v>
      </x:c>
      <x:c r="L3098" s="17" t="n">
        <x:f>G3098+H3098</x:f>
        <x:v>31449</x:v>
      </x:c>
      <x:c r="M3098" s="28" t="n">
        <x:f>G3098*J3098/1000000</x:f>
        <x:v>0.851</x:v>
      </x:c>
      <x:c r="N3098" s="28" t="n">
        <x:f>H3098*K3098/1000000</x:f>
        <x:v>1.0174</x:v>
      </x:c>
      <x:c r="O3098" s="28" t="n">
        <x:f>SUM(M3098:N3098)</x:f>
        <x:v>1.8684</x:v>
      </x:c>
    </x:row>
    <x:row r="3099" ht="23" customHeight="1">
      <x:c r="A3099" s="17" t="str">
        <x:v>U03093</x:v>
      </x:c>
      <x:c r="B3099" s="18" t="n">
        <x:v>46275</x:v>
      </x:c>
      <x:c r="C3099" s="17" t="str">
        <x:v>W0193</x:v>
      </x:c>
      <x:c r="D3099" s="17" t="str">
        <x:v>C004</x:v>
      </x:c>
      <x:c r="E3099" s="17" t="str">
        <x:v>CopyStudio</x:v>
      </x:c>
      <x:c r="F3099" s="17" t="str">
        <x:v>Pro</x:v>
      </x:c>
      <x:c r="G3099" s="17" t="n">
        <x:v>25665</x:v>
      </x:c>
      <x:c r="H3099" s="17" t="n">
        <x:v>11373</x:v>
      </x:c>
      <x:c r="I3099" s="17" t="str">
        <x:v>Followup</x:v>
      </x:c>
      <x:c r="J3099" s="27" t="n">
        <x:f>INDEX('Model Pricing'!$B$7:$B$8,MATCH(F3099,'Model Pricing'!$A$7:$A$8,0))</x:f>
        <x:v>40</x:v>
      </x:c>
      <x:c r="K3099" s="27" t="n">
        <x:f>INDEX('Model Pricing'!$C$7:$C$8,MATCH(F3099,'Model Pricing'!$A$7:$A$8,0))</x:f>
        <x:v>100</x:v>
      </x:c>
      <x:c r="L3099" s="17" t="n">
        <x:f>G3099+H3099</x:f>
        <x:v>37038</x:v>
      </x:c>
      <x:c r="M3099" s="28" t="n">
        <x:f>G3099*J3099/1000000</x:f>
        <x:v>1.0266</x:v>
      </x:c>
      <x:c r="N3099" s="28" t="n">
        <x:f>H3099*K3099/1000000</x:f>
        <x:v>1.1373</x:v>
      </x:c>
      <x:c r="O3099" s="28" t="n">
        <x:f>SUM(M3099:N3099)</x:f>
        <x:v>2.1639</x:v>
      </x:c>
    </x:row>
    <x:row r="3100" ht="23" customHeight="1">
      <x:c r="A3100" s="17" t="str">
        <x:v>U03094</x:v>
      </x:c>
      <x:c r="B3100" s="18" t="n">
        <x:v>46276</x:v>
      </x:c>
      <x:c r="C3100" s="17" t="str">
        <x:v>W0193</x:v>
      </x:c>
      <x:c r="D3100" s="17" t="str">
        <x:v>C004</x:v>
      </x:c>
      <x:c r="E3100" s="17" t="str">
        <x:v>CopyStudio</x:v>
      </x:c>
      <x:c r="F3100" s="17" t="str">
        <x:v>Pro</x:v>
      </x:c>
      <x:c r="G3100" s="17" t="n">
        <x:v>19454</x:v>
      </x:c>
      <x:c r="H3100" s="17" t="n">
        <x:v>3084</x:v>
      </x:c>
      <x:c r="I3100" s="17" t="str">
        <x:v>Followup</x:v>
      </x:c>
      <x:c r="J3100" s="27" t="n">
        <x:f>INDEX('Model Pricing'!$B$7:$B$8,MATCH(F3100,'Model Pricing'!$A$7:$A$8,0))</x:f>
        <x:v>40</x:v>
      </x:c>
      <x:c r="K3100" s="27" t="n">
        <x:f>INDEX('Model Pricing'!$C$7:$C$8,MATCH(F3100,'Model Pricing'!$A$7:$A$8,0))</x:f>
        <x:v>100</x:v>
      </x:c>
      <x:c r="L3100" s="17" t="n">
        <x:f>G3100+H3100</x:f>
        <x:v>22538</x:v>
      </x:c>
      <x:c r="M3100" s="28" t="n">
        <x:f>G3100*J3100/1000000</x:f>
        <x:v>0.77816</x:v>
      </x:c>
      <x:c r="N3100" s="28" t="n">
        <x:f>H3100*K3100/1000000</x:f>
        <x:v>0.3084</x:v>
      </x:c>
      <x:c r="O3100" s="28" t="n">
        <x:f>SUM(M3100:N3100)</x:f>
        <x:v>1.08656</x:v>
      </x:c>
    </x:row>
    <x:row r="3101" ht="23" customHeight="1">
      <x:c r="A3101" s="17" t="str">
        <x:v>U03095</x:v>
      </x:c>
      <x:c r="B3101" s="18" t="n">
        <x:v>46276</x:v>
      </x:c>
      <x:c r="C3101" s="17" t="str">
        <x:v>W0193</x:v>
      </x:c>
      <x:c r="D3101" s="17" t="str">
        <x:v>C004</x:v>
      </x:c>
      <x:c r="E3101" s="17" t="str">
        <x:v>CopyStudio</x:v>
      </x:c>
      <x:c r="F3101" s="17" t="str">
        <x:v>Pro</x:v>
      </x:c>
      <x:c r="G3101" s="17" t="n">
        <x:v>19779</x:v>
      </x:c>
      <x:c r="H3101" s="17" t="n">
        <x:v>8842</x:v>
      </x:c>
      <x:c r="I3101" s="17" t="str">
        <x:v>Followup</x:v>
      </x:c>
      <x:c r="J3101" s="27" t="n">
        <x:f>INDEX('Model Pricing'!$B$7:$B$8,MATCH(F3101,'Model Pricing'!$A$7:$A$8,0))</x:f>
        <x:v>40</x:v>
      </x:c>
      <x:c r="K3101" s="27" t="n">
        <x:f>INDEX('Model Pricing'!$C$7:$C$8,MATCH(F3101,'Model Pricing'!$A$7:$A$8,0))</x:f>
        <x:v>100</x:v>
      </x:c>
      <x:c r="L3101" s="17" t="n">
        <x:f>G3101+H3101</x:f>
        <x:v>28621</x:v>
      </x:c>
      <x:c r="M3101" s="28" t="n">
        <x:f>G3101*J3101/1000000</x:f>
        <x:v>0.79116</x:v>
      </x:c>
      <x:c r="N3101" s="28" t="n">
        <x:f>H3101*K3101/1000000</x:f>
        <x:v>0.8842</x:v>
      </x:c>
      <x:c r="O3101" s="28" t="n">
        <x:f>SUM(M3101:N3101)</x:f>
        <x:v>1.67536</x:v>
      </x:c>
    </x:row>
    <x:row r="3102" ht="23" customHeight="1">
      <x:c r="A3102" s="17" t="str">
        <x:v>U03096</x:v>
      </x:c>
      <x:c r="B3102" s="18" t="n">
        <x:v>46276</x:v>
      </x:c>
      <x:c r="C3102" s="17" t="str">
        <x:v>W0193</x:v>
      </x:c>
      <x:c r="D3102" s="17" t="str">
        <x:v>C004</x:v>
      </x:c>
      <x:c r="E3102" s="17" t="str">
        <x:v>CopyStudio</x:v>
      </x:c>
      <x:c r="F3102" s="17" t="str">
        <x:v>Pro</x:v>
      </x:c>
      <x:c r="G3102" s="17" t="n">
        <x:v>31491</x:v>
      </x:c>
      <x:c r="H3102" s="17" t="n">
        <x:v>10717</x:v>
      </x:c>
      <x:c r="I3102" s="17" t="str">
        <x:v>Correction</x:v>
      </x:c>
      <x:c r="J3102" s="27" t="n">
        <x:f>INDEX('Model Pricing'!$B$7:$B$8,MATCH(F3102,'Model Pricing'!$A$7:$A$8,0))</x:f>
        <x:v>40</x:v>
      </x:c>
      <x:c r="K3102" s="27" t="n">
        <x:f>INDEX('Model Pricing'!$C$7:$C$8,MATCH(F3102,'Model Pricing'!$A$7:$A$8,0))</x:f>
        <x:v>100</x:v>
      </x:c>
      <x:c r="L3102" s="17" t="n">
        <x:f>G3102+H3102</x:f>
        <x:v>42208</x:v>
      </x:c>
      <x:c r="M3102" s="28" t="n">
        <x:f>G3102*J3102/1000000</x:f>
        <x:v>1.25964</x:v>
      </x:c>
      <x:c r="N3102" s="28" t="n">
        <x:f>H3102*K3102/1000000</x:f>
        <x:v>1.0717</x:v>
      </x:c>
      <x:c r="O3102" s="28" t="n">
        <x:f>SUM(M3102:N3102)</x:f>
        <x:v>2.33134</x:v>
      </x:c>
    </x:row>
    <x:row r="3103" ht="23" customHeight="1">
      <x:c r="A3103" s="17" t="str">
        <x:v>U03097</x:v>
      </x:c>
      <x:c r="B3103" s="18" t="n">
        <x:v>46279</x:v>
      </x:c>
      <x:c r="C3103" s="17" t="str">
        <x:v>W0193</x:v>
      </x:c>
      <x:c r="D3103" s="17" t="str">
        <x:v>C004</x:v>
      </x:c>
      <x:c r="E3103" s="17" t="str">
        <x:v>CopyStudio</x:v>
      </x:c>
      <x:c r="F3103" s="17" t="str">
        <x:v>Pro</x:v>
      </x:c>
      <x:c r="G3103" s="17" t="n">
        <x:v>24965</x:v>
      </x:c>
      <x:c r="H3103" s="17" t="n">
        <x:v>3260</x:v>
      </x:c>
      <x:c r="I3103" s="17" t="str">
        <x:v>Followup</x:v>
      </x:c>
      <x:c r="J3103" s="27" t="n">
        <x:f>INDEX('Model Pricing'!$B$7:$B$8,MATCH(F3103,'Model Pricing'!$A$7:$A$8,0))</x:f>
        <x:v>40</x:v>
      </x:c>
      <x:c r="K3103" s="27" t="n">
        <x:f>INDEX('Model Pricing'!$C$7:$C$8,MATCH(F3103,'Model Pricing'!$A$7:$A$8,0))</x:f>
        <x:v>100</x:v>
      </x:c>
      <x:c r="L3103" s="17" t="n">
        <x:f>G3103+H3103</x:f>
        <x:v>28225</x:v>
      </x:c>
      <x:c r="M3103" s="28" t="n">
        <x:f>G3103*J3103/1000000</x:f>
        <x:v>0.9986</x:v>
      </x:c>
      <x:c r="N3103" s="28" t="n">
        <x:f>H3103*K3103/1000000</x:f>
        <x:v>0.326</x:v>
      </x:c>
      <x:c r="O3103" s="28" t="n">
        <x:f>SUM(M3103:N3103)</x:f>
        <x:v>1.3246</x:v>
      </x:c>
    </x:row>
    <x:row r="3104" ht="23" customHeight="1">
      <x:c r="A3104" s="17" t="str">
        <x:v>U03098</x:v>
      </x:c>
      <x:c r="B3104" s="18" t="n">
        <x:v>46279</x:v>
      </x:c>
      <x:c r="C3104" s="17" t="str">
        <x:v>W0193</x:v>
      </x:c>
      <x:c r="D3104" s="17" t="str">
        <x:v>C004</x:v>
      </x:c>
      <x:c r="E3104" s="17" t="str">
        <x:v>CopyStudio</x:v>
      </x:c>
      <x:c r="F3104" s="17" t="str">
        <x:v>Pro</x:v>
      </x:c>
      <x:c r="G3104" s="17" t="n">
        <x:v>31770</x:v>
      </x:c>
      <x:c r="H3104" s="17" t="n">
        <x:v>11566</x:v>
      </x:c>
      <x:c r="I3104" s="17" t="str">
        <x:v>Correction</x:v>
      </x:c>
      <x:c r="J3104" s="27" t="n">
        <x:f>INDEX('Model Pricing'!$B$7:$B$8,MATCH(F3104,'Model Pricing'!$A$7:$A$8,0))</x:f>
        <x:v>40</x:v>
      </x:c>
      <x:c r="K3104" s="27" t="n">
        <x:f>INDEX('Model Pricing'!$C$7:$C$8,MATCH(F3104,'Model Pricing'!$A$7:$A$8,0))</x:f>
        <x:v>100</x:v>
      </x:c>
      <x:c r="L3104" s="17" t="n">
        <x:f>G3104+H3104</x:f>
        <x:v>43336</x:v>
      </x:c>
      <x:c r="M3104" s="28" t="n">
        <x:f>G3104*J3104/1000000</x:f>
        <x:v>1.2708</x:v>
      </x:c>
      <x:c r="N3104" s="28" t="n">
        <x:f>H3104*K3104/1000000</x:f>
        <x:v>1.1566</x:v>
      </x:c>
      <x:c r="O3104" s="28" t="n">
        <x:f>SUM(M3104:N3104)</x:f>
        <x:v>2.4274</x:v>
      </x:c>
    </x:row>
    <x:row r="3105" ht="23" customHeight="1">
      <x:c r="A3105" s="17" t="str">
        <x:v>U03099</x:v>
      </x:c>
      <x:c r="B3105" s="18" t="n">
        <x:v>46279</x:v>
      </x:c>
      <x:c r="C3105" s="17" t="str">
        <x:v>W0193</x:v>
      </x:c>
      <x:c r="D3105" s="17" t="str">
        <x:v>C004</x:v>
      </x:c>
      <x:c r="E3105" s="17" t="str">
        <x:v>CopyStudio</x:v>
      </x:c>
      <x:c r="F3105" s="17" t="str">
        <x:v>Pro</x:v>
      </x:c>
      <x:c r="G3105" s="17" t="n">
        <x:v>24183</x:v>
      </x:c>
      <x:c r="H3105" s="17" t="n">
        <x:v>3368</x:v>
      </x:c>
      <x:c r="I3105" s="17" t="str">
        <x:v>Followup</x:v>
      </x:c>
      <x:c r="J3105" s="27" t="n">
        <x:f>INDEX('Model Pricing'!$B$7:$B$8,MATCH(F3105,'Model Pricing'!$A$7:$A$8,0))</x:f>
        <x:v>40</x:v>
      </x:c>
      <x:c r="K3105" s="27" t="n">
        <x:f>INDEX('Model Pricing'!$C$7:$C$8,MATCH(F3105,'Model Pricing'!$A$7:$A$8,0))</x:f>
        <x:v>100</x:v>
      </x:c>
      <x:c r="L3105" s="17" t="n">
        <x:f>G3105+H3105</x:f>
        <x:v>27551</x:v>
      </x:c>
      <x:c r="M3105" s="28" t="n">
        <x:f>G3105*J3105/1000000</x:f>
        <x:v>0.96732</x:v>
      </x:c>
      <x:c r="N3105" s="28" t="n">
        <x:f>H3105*K3105/1000000</x:f>
        <x:v>0.3368</x:v>
      </x:c>
      <x:c r="O3105" s="28" t="n">
        <x:f>SUM(M3105:N3105)</x:f>
        <x:v>1.30412</x:v>
      </x:c>
    </x:row>
    <x:row r="3106" ht="23" customHeight="1">
      <x:c r="A3106" s="17" t="str">
        <x:v>U03100</x:v>
      </x:c>
      <x:c r="B3106" s="18" t="n">
        <x:v>46280</x:v>
      </x:c>
      <x:c r="C3106" s="17" t="str">
        <x:v>W0193</x:v>
      </x:c>
      <x:c r="D3106" s="17" t="str">
        <x:v>C004</x:v>
      </x:c>
      <x:c r="E3106" s="17" t="str">
        <x:v>CopyStudio</x:v>
      </x:c>
      <x:c r="F3106" s="17" t="str">
        <x:v>Pro</x:v>
      </x:c>
      <x:c r="G3106" s="17" t="n">
        <x:v>34137</x:v>
      </x:c>
      <x:c r="H3106" s="17" t="n">
        <x:v>7748</x:v>
      </x:c>
      <x:c r="I3106" s="17" t="str">
        <x:v>Followup</x:v>
      </x:c>
      <x:c r="J3106" s="27" t="n">
        <x:f>INDEX('Model Pricing'!$B$7:$B$8,MATCH(F3106,'Model Pricing'!$A$7:$A$8,0))</x:f>
        <x:v>40</x:v>
      </x:c>
      <x:c r="K3106" s="27" t="n">
        <x:f>INDEX('Model Pricing'!$C$7:$C$8,MATCH(F3106,'Model Pricing'!$A$7:$A$8,0))</x:f>
        <x:v>100</x:v>
      </x:c>
      <x:c r="L3106" s="17" t="n">
        <x:f>G3106+H3106</x:f>
        <x:v>41885</x:v>
      </x:c>
      <x:c r="M3106" s="28" t="n">
        <x:f>G3106*J3106/1000000</x:f>
        <x:v>1.36548</x:v>
      </x:c>
      <x:c r="N3106" s="28" t="n">
        <x:f>H3106*K3106/1000000</x:f>
        <x:v>0.7748</x:v>
      </x:c>
      <x:c r="O3106" s="28" t="n">
        <x:f>SUM(M3106:N3106)</x:f>
        <x:v>2.14028</x:v>
      </x:c>
    </x:row>
    <x:row r="3107" ht="23" customHeight="1">
      <x:c r="A3107" s="17" t="str">
        <x:v>U03101</x:v>
      </x:c>
      <x:c r="B3107" s="18" t="n">
        <x:v>46280</x:v>
      </x:c>
      <x:c r="C3107" s="17" t="str">
        <x:v>W0193</x:v>
      </x:c>
      <x:c r="D3107" s="17" t="str">
        <x:v>C004</x:v>
      </x:c>
      <x:c r="E3107" s="17" t="str">
        <x:v>CopyStudio</x:v>
      </x:c>
      <x:c r="F3107" s="17" t="str">
        <x:v>Pro</x:v>
      </x:c>
      <x:c r="G3107" s="17" t="n">
        <x:v>29958</x:v>
      </x:c>
      <x:c r="H3107" s="17" t="n">
        <x:v>4396</x:v>
      </x:c>
      <x:c r="I3107" s="17" t="str">
        <x:v>Followup</x:v>
      </x:c>
      <x:c r="J3107" s="27" t="n">
        <x:f>INDEX('Model Pricing'!$B$7:$B$8,MATCH(F3107,'Model Pricing'!$A$7:$A$8,0))</x:f>
        <x:v>40</x:v>
      </x:c>
      <x:c r="K3107" s="27" t="n">
        <x:f>INDEX('Model Pricing'!$C$7:$C$8,MATCH(F3107,'Model Pricing'!$A$7:$A$8,0))</x:f>
        <x:v>100</x:v>
      </x:c>
      <x:c r="L3107" s="17" t="n">
        <x:f>G3107+H3107</x:f>
        <x:v>34354</x:v>
      </x:c>
      <x:c r="M3107" s="28" t="n">
        <x:f>G3107*J3107/1000000</x:f>
        <x:v>1.19832</x:v>
      </x:c>
      <x:c r="N3107" s="28" t="n">
        <x:f>H3107*K3107/1000000</x:f>
        <x:v>0.4396</x:v>
      </x:c>
      <x:c r="O3107" s="28" t="n">
        <x:f>SUM(M3107:N3107)</x:f>
        <x:v>1.63792</x:v>
      </x:c>
    </x:row>
    <x:row r="3108" ht="23" customHeight="1">
      <x:c r="A3108" s="17" t="str">
        <x:v>U03102</x:v>
      </x:c>
      <x:c r="B3108" s="18" t="n">
        <x:v>46280</x:v>
      </x:c>
      <x:c r="C3108" s="17" t="str">
        <x:v>W0193</x:v>
      </x:c>
      <x:c r="D3108" s="17" t="str">
        <x:v>C004</x:v>
      </x:c>
      <x:c r="E3108" s="17" t="str">
        <x:v>CopyStudio</x:v>
      </x:c>
      <x:c r="F3108" s="17" t="str">
        <x:v>Pro</x:v>
      </x:c>
      <x:c r="G3108" s="17" t="n">
        <x:v>34863</x:v>
      </x:c>
      <x:c r="H3108" s="17" t="n">
        <x:v>7358</x:v>
      </x:c>
      <x:c r="I3108" s="17" t="str">
        <x:v>Correction</x:v>
      </x:c>
      <x:c r="J3108" s="27" t="n">
        <x:f>INDEX('Model Pricing'!$B$7:$B$8,MATCH(F3108,'Model Pricing'!$A$7:$A$8,0))</x:f>
        <x:v>40</x:v>
      </x:c>
      <x:c r="K3108" s="27" t="n">
        <x:f>INDEX('Model Pricing'!$C$7:$C$8,MATCH(F3108,'Model Pricing'!$A$7:$A$8,0))</x:f>
        <x:v>100</x:v>
      </x:c>
      <x:c r="L3108" s="17" t="n">
        <x:f>G3108+H3108</x:f>
        <x:v>42221</x:v>
      </x:c>
      <x:c r="M3108" s="28" t="n">
        <x:f>G3108*J3108/1000000</x:f>
        <x:v>1.39452</x:v>
      </x:c>
      <x:c r="N3108" s="28" t="n">
        <x:f>H3108*K3108/1000000</x:f>
        <x:v>0.7358</x:v>
      </x:c>
      <x:c r="O3108" s="28" t="n">
        <x:f>SUM(M3108:N3108)</x:f>
        <x:v>2.13032</x:v>
      </x:c>
    </x:row>
    <x:row r="3109" ht="23" customHeight="1">
      <x:c r="A3109" s="17" t="str">
        <x:v>U03103</x:v>
      </x:c>
      <x:c r="B3109" s="18" t="n">
        <x:v>46286</x:v>
      </x:c>
      <x:c r="C3109" s="17" t="str">
        <x:v>W0194</x:v>
      </x:c>
      <x:c r="D3109" s="17" t="str">
        <x:v>C004</x:v>
      </x:c>
      <x:c r="E3109" s="17" t="str">
        <x:v>CopyStudio</x:v>
      </x:c>
      <x:c r="F3109" s="17" t="str">
        <x:v>Pro</x:v>
      </x:c>
      <x:c r="G3109" s="17" t="n">
        <x:v>9376</x:v>
      </x:c>
      <x:c r="H3109" s="17" t="n">
        <x:v>6971</x:v>
      </x:c>
      <x:c r="I3109" s="17" t="str">
        <x:v>First attempt</x:v>
      </x:c>
      <x:c r="J3109" s="27" t="n">
        <x:f>INDEX('Model Pricing'!$B$7:$B$8,MATCH(F3109,'Model Pricing'!$A$7:$A$8,0))</x:f>
        <x:v>40</x:v>
      </x:c>
      <x:c r="K3109" s="27" t="n">
        <x:f>INDEX('Model Pricing'!$C$7:$C$8,MATCH(F3109,'Model Pricing'!$A$7:$A$8,0))</x:f>
        <x:v>100</x:v>
      </x:c>
      <x:c r="L3109" s="17" t="n">
        <x:f>G3109+H3109</x:f>
        <x:v>16347</x:v>
      </x:c>
      <x:c r="M3109" s="28" t="n">
        <x:f>G3109*J3109/1000000</x:f>
        <x:v>0.37504</x:v>
      </x:c>
      <x:c r="N3109" s="28" t="n">
        <x:f>H3109*K3109/1000000</x:f>
        <x:v>0.6971</x:v>
      </x:c>
      <x:c r="O3109" s="28" t="n">
        <x:f>SUM(M3109:N3109)</x:f>
        <x:v>1.07214</x:v>
      </x:c>
    </x:row>
    <x:row r="3110" ht="23" customHeight="1">
      <x:c r="A3110" s="17" t="str">
        <x:v>U03104</x:v>
      </x:c>
      <x:c r="B3110" s="18" t="n">
        <x:v>46286</x:v>
      </x:c>
      <x:c r="C3110" s="17" t="str">
        <x:v>W0194</x:v>
      </x:c>
      <x:c r="D3110" s="17" t="str">
        <x:v>C004</x:v>
      </x:c>
      <x:c r="E3110" s="17" t="str">
        <x:v>CopyStudio</x:v>
      </x:c>
      <x:c r="F3110" s="17" t="str">
        <x:v>Pro</x:v>
      </x:c>
      <x:c r="G3110" s="17" t="n">
        <x:v>13179</x:v>
      </x:c>
      <x:c r="H3110" s="17" t="n">
        <x:v>7356</x:v>
      </x:c>
      <x:c r="I3110" s="17" t="str">
        <x:v>Correction</x:v>
      </x:c>
      <x:c r="J3110" s="27" t="n">
        <x:f>INDEX('Model Pricing'!$B$7:$B$8,MATCH(F3110,'Model Pricing'!$A$7:$A$8,0))</x:f>
        <x:v>40</x:v>
      </x:c>
      <x:c r="K3110" s="27" t="n">
        <x:f>INDEX('Model Pricing'!$C$7:$C$8,MATCH(F3110,'Model Pricing'!$A$7:$A$8,0))</x:f>
        <x:v>100</x:v>
      </x:c>
      <x:c r="L3110" s="17" t="n">
        <x:f>G3110+H3110</x:f>
        <x:v>20535</x:v>
      </x:c>
      <x:c r="M3110" s="28" t="n">
        <x:f>G3110*J3110/1000000</x:f>
        <x:v>0.52716</x:v>
      </x:c>
      <x:c r="N3110" s="28" t="n">
        <x:f>H3110*K3110/1000000</x:f>
        <x:v>0.7356</x:v>
      </x:c>
      <x:c r="O3110" s="28" t="n">
        <x:f>SUM(M3110:N3110)</x:f>
        <x:v>1.26276</x:v>
      </x:c>
    </x:row>
    <x:row r="3111" ht="23" customHeight="1">
      <x:c r="A3111" s="17" t="str">
        <x:v>U03105</x:v>
      </x:c>
      <x:c r="B3111" s="18" t="n">
        <x:v>46286</x:v>
      </x:c>
      <x:c r="C3111" s="17" t="str">
        <x:v>W0194</x:v>
      </x:c>
      <x:c r="D3111" s="17" t="str">
        <x:v>C004</x:v>
      </x:c>
      <x:c r="E3111" s="17" t="str">
        <x:v>CopyStudio</x:v>
      </x:c>
      <x:c r="F3111" s="17" t="str">
        <x:v>Pro</x:v>
      </x:c>
      <x:c r="G3111" s="17" t="n">
        <x:v>14638</x:v>
      </x:c>
      <x:c r="H3111" s="17" t="n">
        <x:v>6806</x:v>
      </x:c>
      <x:c r="I3111" s="17" t="str">
        <x:v>Followup</x:v>
      </x:c>
      <x:c r="J3111" s="27" t="n">
        <x:f>INDEX('Model Pricing'!$B$7:$B$8,MATCH(F3111,'Model Pricing'!$A$7:$A$8,0))</x:f>
        <x:v>40</x:v>
      </x:c>
      <x:c r="K3111" s="27" t="n">
        <x:f>INDEX('Model Pricing'!$C$7:$C$8,MATCH(F3111,'Model Pricing'!$A$7:$A$8,0))</x:f>
        <x:v>100</x:v>
      </x:c>
      <x:c r="L3111" s="17" t="n">
        <x:f>G3111+H3111</x:f>
        <x:v>21444</x:v>
      </x:c>
      <x:c r="M3111" s="28" t="n">
        <x:f>G3111*J3111/1000000</x:f>
        <x:v>0.58552</x:v>
      </x:c>
      <x:c r="N3111" s="28" t="n">
        <x:f>H3111*K3111/1000000</x:f>
        <x:v>0.6806</x:v>
      </x:c>
      <x:c r="O3111" s="28" t="n">
        <x:f>SUM(M3111:N3111)</x:f>
        <x:v>1.26612</x:v>
      </x:c>
    </x:row>
    <x:row r="3112" ht="23" customHeight="1">
      <x:c r="A3112" s="17" t="str">
        <x:v>U03106</x:v>
      </x:c>
      <x:c r="B3112" s="18" t="n">
        <x:v>46287</x:v>
      </x:c>
      <x:c r="C3112" s="17" t="str">
        <x:v>W0194</x:v>
      </x:c>
      <x:c r="D3112" s="17" t="str">
        <x:v>C004</x:v>
      </x:c>
      <x:c r="E3112" s="17" t="str">
        <x:v>CopyStudio</x:v>
      </x:c>
      <x:c r="F3112" s="17" t="str">
        <x:v>Pro</x:v>
      </x:c>
      <x:c r="G3112" s="17" t="n">
        <x:v>12502</x:v>
      </x:c>
      <x:c r="H3112" s="17" t="n">
        <x:v>7029</x:v>
      </x:c>
      <x:c r="I3112" s="17" t="str">
        <x:v>Followup</x:v>
      </x:c>
      <x:c r="J3112" s="27" t="n">
        <x:f>INDEX('Model Pricing'!$B$7:$B$8,MATCH(F3112,'Model Pricing'!$A$7:$A$8,0))</x:f>
        <x:v>40</x:v>
      </x:c>
      <x:c r="K3112" s="27" t="n">
        <x:f>INDEX('Model Pricing'!$C$7:$C$8,MATCH(F3112,'Model Pricing'!$A$7:$A$8,0))</x:f>
        <x:v>100</x:v>
      </x:c>
      <x:c r="L3112" s="17" t="n">
        <x:f>G3112+H3112</x:f>
        <x:v>19531</x:v>
      </x:c>
      <x:c r="M3112" s="28" t="n">
        <x:f>G3112*J3112/1000000</x:f>
        <x:v>0.50008</x:v>
      </x:c>
      <x:c r="N3112" s="28" t="n">
        <x:f>H3112*K3112/1000000</x:f>
        <x:v>0.7029</x:v>
      </x:c>
      <x:c r="O3112" s="28" t="n">
        <x:f>SUM(M3112:N3112)</x:f>
        <x:v>1.20298</x:v>
      </x:c>
    </x:row>
    <x:row r="3113" ht="23" customHeight="1">
      <x:c r="A3113" s="17" t="str">
        <x:v>U03107</x:v>
      </x:c>
      <x:c r="B3113" s="18" t="n">
        <x:v>46287</x:v>
      </x:c>
      <x:c r="C3113" s="17" t="str">
        <x:v>W0194</x:v>
      </x:c>
      <x:c r="D3113" s="17" t="str">
        <x:v>C004</x:v>
      </x:c>
      <x:c r="E3113" s="17" t="str">
        <x:v>CopyStudio</x:v>
      </x:c>
      <x:c r="F3113" s="17" t="str">
        <x:v>Pro</x:v>
      </x:c>
      <x:c r="G3113" s="17" t="n">
        <x:v>16516</x:v>
      </x:c>
      <x:c r="H3113" s="17" t="n">
        <x:v>5580</x:v>
      </x:c>
      <x:c r="I3113" s="17" t="str">
        <x:v>Followup</x:v>
      </x:c>
      <x:c r="J3113" s="27" t="n">
        <x:f>INDEX('Model Pricing'!$B$7:$B$8,MATCH(F3113,'Model Pricing'!$A$7:$A$8,0))</x:f>
        <x:v>40</x:v>
      </x:c>
      <x:c r="K3113" s="27" t="n">
        <x:f>INDEX('Model Pricing'!$C$7:$C$8,MATCH(F3113,'Model Pricing'!$A$7:$A$8,0))</x:f>
        <x:v>100</x:v>
      </x:c>
      <x:c r="L3113" s="17" t="n">
        <x:f>G3113+H3113</x:f>
        <x:v>22096</x:v>
      </x:c>
      <x:c r="M3113" s="28" t="n">
        <x:f>G3113*J3113/1000000</x:f>
        <x:v>0.66064</x:v>
      </x:c>
      <x:c r="N3113" s="28" t="n">
        <x:f>H3113*K3113/1000000</x:f>
        <x:v>0.558</x:v>
      </x:c>
      <x:c r="O3113" s="28" t="n">
        <x:f>SUM(M3113:N3113)</x:f>
        <x:v>1.2186400000000002</x:v>
      </x:c>
    </x:row>
    <x:row r="3114" ht="23" customHeight="1">
      <x:c r="A3114" s="17" t="str">
        <x:v>U03108</x:v>
      </x:c>
      <x:c r="B3114" s="18" t="n">
        <x:v>46288</x:v>
      </x:c>
      <x:c r="C3114" s="17" t="str">
        <x:v>W0194</x:v>
      </x:c>
      <x:c r="D3114" s="17" t="str">
        <x:v>C004</x:v>
      </x:c>
      <x:c r="E3114" s="17" t="str">
        <x:v>CopyStudio</x:v>
      </x:c>
      <x:c r="F3114" s="17" t="str">
        <x:v>Pro</x:v>
      </x:c>
      <x:c r="G3114" s="17" t="n">
        <x:v>8464</x:v>
      </x:c>
      <x:c r="H3114" s="17" t="n">
        <x:v>7624</x:v>
      </x:c>
      <x:c r="I3114" s="17" t="str">
        <x:v>Correction</x:v>
      </x:c>
      <x:c r="J3114" s="27" t="n">
        <x:f>INDEX('Model Pricing'!$B$7:$B$8,MATCH(F3114,'Model Pricing'!$A$7:$A$8,0))</x:f>
        <x:v>40</x:v>
      </x:c>
      <x:c r="K3114" s="27" t="n">
        <x:f>INDEX('Model Pricing'!$C$7:$C$8,MATCH(F3114,'Model Pricing'!$A$7:$A$8,0))</x:f>
        <x:v>100</x:v>
      </x:c>
      <x:c r="L3114" s="17" t="n">
        <x:f>G3114+H3114</x:f>
        <x:v>16088</x:v>
      </x:c>
      <x:c r="M3114" s="28" t="n">
        <x:f>G3114*J3114/1000000</x:f>
        <x:v>0.33856</x:v>
      </x:c>
      <x:c r="N3114" s="28" t="n">
        <x:f>H3114*K3114/1000000</x:f>
        <x:v>0.7624</x:v>
      </x:c>
      <x:c r="O3114" s="28" t="n">
        <x:f>SUM(M3114:N3114)</x:f>
        <x:v>1.10096</x:v>
      </x:c>
    </x:row>
    <x:row r="3115" ht="23" customHeight="1">
      <x:c r="A3115" s="17" t="str">
        <x:v>U03109</x:v>
      </x:c>
      <x:c r="B3115" s="18" t="n">
        <x:v>46288</x:v>
      </x:c>
      <x:c r="C3115" s="17" t="str">
        <x:v>W0194</x:v>
      </x:c>
      <x:c r="D3115" s="17" t="str">
        <x:v>C004</x:v>
      </x:c>
      <x:c r="E3115" s="17" t="str">
        <x:v>CopyStudio</x:v>
      </x:c>
      <x:c r="F3115" s="17" t="str">
        <x:v>Pro</x:v>
      </x:c>
      <x:c r="G3115" s="17" t="n">
        <x:v>7830</x:v>
      </x:c>
      <x:c r="H3115" s="17" t="n">
        <x:v>3708</x:v>
      </x:c>
      <x:c r="I3115" s="17" t="str">
        <x:v>Followup</x:v>
      </x:c>
      <x:c r="J3115" s="27" t="n">
        <x:f>INDEX('Model Pricing'!$B$7:$B$8,MATCH(F3115,'Model Pricing'!$A$7:$A$8,0))</x:f>
        <x:v>40</x:v>
      </x:c>
      <x:c r="K3115" s="27" t="n">
        <x:f>INDEX('Model Pricing'!$C$7:$C$8,MATCH(F3115,'Model Pricing'!$A$7:$A$8,0))</x:f>
        <x:v>100</x:v>
      </x:c>
      <x:c r="L3115" s="17" t="n">
        <x:f>G3115+H3115</x:f>
        <x:v>11538</x:v>
      </x:c>
      <x:c r="M3115" s="28" t="n">
        <x:f>G3115*J3115/1000000</x:f>
        <x:v>0.3132</x:v>
      </x:c>
      <x:c r="N3115" s="28" t="n">
        <x:f>H3115*K3115/1000000</x:f>
        <x:v>0.3708</x:v>
      </x:c>
      <x:c r="O3115" s="28" t="n">
        <x:f>SUM(M3115:N3115)</x:f>
        <x:v>0.6839999999999999</x:v>
      </x:c>
    </x:row>
    <x:row r="3116" ht="23" customHeight="1">
      <x:c r="A3116" s="17" t="str">
        <x:v>U03110</x:v>
      </x:c>
      <x:c r="B3116" s="18" t="n">
        <x:v>46288</x:v>
      </x:c>
      <x:c r="C3116" s="17" t="str">
        <x:v>W0194</x:v>
      </x:c>
      <x:c r="D3116" s="17" t="str">
        <x:v>C004</x:v>
      </x:c>
      <x:c r="E3116" s="17" t="str">
        <x:v>CopyStudio</x:v>
      </x:c>
      <x:c r="F3116" s="17" t="str">
        <x:v>Pro</x:v>
      </x:c>
      <x:c r="G3116" s="17" t="n">
        <x:v>7713</x:v>
      </x:c>
      <x:c r="H3116" s="17" t="n">
        <x:v>2229</x:v>
      </x:c>
      <x:c r="I3116" s="17" t="str">
        <x:v>Followup</x:v>
      </x:c>
      <x:c r="J3116" s="27" t="n">
        <x:f>INDEX('Model Pricing'!$B$7:$B$8,MATCH(F3116,'Model Pricing'!$A$7:$A$8,0))</x:f>
        <x:v>40</x:v>
      </x:c>
      <x:c r="K3116" s="27" t="n">
        <x:f>INDEX('Model Pricing'!$C$7:$C$8,MATCH(F3116,'Model Pricing'!$A$7:$A$8,0))</x:f>
        <x:v>100</x:v>
      </x:c>
      <x:c r="L3116" s="17" t="n">
        <x:f>G3116+H3116</x:f>
        <x:v>9942</x:v>
      </x:c>
      <x:c r="M3116" s="28" t="n">
        <x:f>G3116*J3116/1000000</x:f>
        <x:v>0.30852</x:v>
      </x:c>
      <x:c r="N3116" s="28" t="n">
        <x:f>H3116*K3116/1000000</x:f>
        <x:v>0.2229</x:v>
      </x:c>
      <x:c r="O3116" s="28" t="n">
        <x:f>SUM(M3116:N3116)</x:f>
        <x:v>0.53142</x:v>
      </x:c>
    </x:row>
    <x:row r="3117" ht="23" customHeight="1">
      <x:c r="A3117" s="17" t="str">
        <x:v>U03111</x:v>
      </x:c>
      <x:c r="B3117" s="18" t="n">
        <x:v>46289</x:v>
      </x:c>
      <x:c r="C3117" s="17" t="str">
        <x:v>W0194</x:v>
      </x:c>
      <x:c r="D3117" s="17" t="str">
        <x:v>C004</x:v>
      </x:c>
      <x:c r="E3117" s="17" t="str">
        <x:v>CopyStudio</x:v>
      </x:c>
      <x:c r="F3117" s="17" t="str">
        <x:v>Pro</x:v>
      </x:c>
      <x:c r="G3117" s="17" t="n">
        <x:v>11447</x:v>
      </x:c>
      <x:c r="H3117" s="17" t="n">
        <x:v>8376</x:v>
      </x:c>
      <x:c r="I3117" s="17" t="str">
        <x:v>Correction</x:v>
      </x:c>
      <x:c r="J3117" s="27" t="n">
        <x:f>INDEX('Model Pricing'!$B$7:$B$8,MATCH(F3117,'Model Pricing'!$A$7:$A$8,0))</x:f>
        <x:v>40</x:v>
      </x:c>
      <x:c r="K3117" s="27" t="n">
        <x:f>INDEX('Model Pricing'!$C$7:$C$8,MATCH(F3117,'Model Pricing'!$A$7:$A$8,0))</x:f>
        <x:v>100</x:v>
      </x:c>
      <x:c r="L3117" s="17" t="n">
        <x:f>G3117+H3117</x:f>
        <x:v>19823</x:v>
      </x:c>
      <x:c r="M3117" s="28" t="n">
        <x:f>G3117*J3117/1000000</x:f>
        <x:v>0.45788</x:v>
      </x:c>
      <x:c r="N3117" s="28" t="n">
        <x:f>H3117*K3117/1000000</x:f>
        <x:v>0.8376</x:v>
      </x:c>
      <x:c r="O3117" s="28" t="n">
        <x:f>SUM(M3117:N3117)</x:f>
        <x:v>1.29548</x:v>
      </x:c>
    </x:row>
    <x:row r="3118" ht="23" customHeight="1">
      <x:c r="A3118" s="17" t="str">
        <x:v>U03112</x:v>
      </x:c>
      <x:c r="B3118" s="18" t="n">
        <x:v>46289</x:v>
      </x:c>
      <x:c r="C3118" s="17" t="str">
        <x:v>W0194</x:v>
      </x:c>
      <x:c r="D3118" s="17" t="str">
        <x:v>C004</x:v>
      </x:c>
      <x:c r="E3118" s="17" t="str">
        <x:v>CopyStudio</x:v>
      </x:c>
      <x:c r="F3118" s="17" t="str">
        <x:v>Pro</x:v>
      </x:c>
      <x:c r="G3118" s="17" t="n">
        <x:v>14477</x:v>
      </x:c>
      <x:c r="H3118" s="17" t="n">
        <x:v>2610</x:v>
      </x:c>
      <x:c r="I3118" s="17" t="str">
        <x:v>Followup</x:v>
      </x:c>
      <x:c r="J3118" s="27" t="n">
        <x:f>INDEX('Model Pricing'!$B$7:$B$8,MATCH(F3118,'Model Pricing'!$A$7:$A$8,0))</x:f>
        <x:v>40</x:v>
      </x:c>
      <x:c r="K3118" s="27" t="n">
        <x:f>INDEX('Model Pricing'!$C$7:$C$8,MATCH(F3118,'Model Pricing'!$A$7:$A$8,0))</x:f>
        <x:v>100</x:v>
      </x:c>
      <x:c r="L3118" s="17" t="n">
        <x:f>G3118+H3118</x:f>
        <x:v>17087</x:v>
      </x:c>
      <x:c r="M3118" s="28" t="n">
        <x:f>G3118*J3118/1000000</x:f>
        <x:v>0.57908</x:v>
      </x:c>
      <x:c r="N3118" s="28" t="n">
        <x:f>H3118*K3118/1000000</x:f>
        <x:v>0.261</x:v>
      </x:c>
      <x:c r="O3118" s="28" t="n">
        <x:f>SUM(M3118:N3118)</x:f>
        <x:v>0.84008</x:v>
      </x:c>
    </x:row>
    <x:row r="3119" ht="23" customHeight="1">
      <x:c r="A3119" s="17" t="str">
        <x:v>U03113</x:v>
      </x:c>
      <x:c r="B3119" s="18" t="n">
        <x:v>46268</x:v>
      </x:c>
      <x:c r="C3119" s="17" t="str">
        <x:v>W0195</x:v>
      </x:c>
      <x:c r="D3119" s="17" t="str">
        <x:v>C004</x:v>
      </x:c>
      <x:c r="E3119" s="17" t="str">
        <x:v>CopyStudio</x:v>
      </x:c>
      <x:c r="F3119" s="17" t="str">
        <x:v>Pro</x:v>
      </x:c>
      <x:c r="G3119" s="17" t="n">
        <x:v>30809</x:v>
      </x:c>
      <x:c r="H3119" s="17" t="n">
        <x:v>3871</x:v>
      </x:c>
      <x:c r="I3119" s="17" t="str">
        <x:v>First attempt</x:v>
      </x:c>
      <x:c r="J3119" s="27" t="n">
        <x:f>INDEX('Model Pricing'!$B$7:$B$8,MATCH(F3119,'Model Pricing'!$A$7:$A$8,0))</x:f>
        <x:v>40</x:v>
      </x:c>
      <x:c r="K3119" s="27" t="n">
        <x:f>INDEX('Model Pricing'!$C$7:$C$8,MATCH(F3119,'Model Pricing'!$A$7:$A$8,0))</x:f>
        <x:v>100</x:v>
      </x:c>
      <x:c r="L3119" s="17" t="n">
        <x:f>G3119+H3119</x:f>
        <x:v>34680</x:v>
      </x:c>
      <x:c r="M3119" s="28" t="n">
        <x:f>G3119*J3119/1000000</x:f>
        <x:v>1.23236</x:v>
      </x:c>
      <x:c r="N3119" s="28" t="n">
        <x:f>H3119*K3119/1000000</x:f>
        <x:v>0.3871</x:v>
      </x:c>
      <x:c r="O3119" s="28" t="n">
        <x:f>SUM(M3119:N3119)</x:f>
        <x:v>1.61946</x:v>
      </x:c>
    </x:row>
    <x:row r="3120" ht="23" customHeight="1">
      <x:c r="A3120" s="17" t="str">
        <x:v>U03114</x:v>
      </x:c>
      <x:c r="B3120" s="18" t="n">
        <x:v>46268</x:v>
      </x:c>
      <x:c r="C3120" s="17" t="str">
        <x:v>W0195</x:v>
      </x:c>
      <x:c r="D3120" s="17" t="str">
        <x:v>C004</x:v>
      </x:c>
      <x:c r="E3120" s="17" t="str">
        <x:v>CopyStudio</x:v>
      </x:c>
      <x:c r="F3120" s="17" t="str">
        <x:v>Pro</x:v>
      </x:c>
      <x:c r="G3120" s="17" t="n">
        <x:v>12848</x:v>
      </x:c>
      <x:c r="H3120" s="17" t="n">
        <x:v>2991</x:v>
      </x:c>
      <x:c r="I3120" s="17" t="str">
        <x:v>Followup</x:v>
      </x:c>
      <x:c r="J3120" s="27" t="n">
        <x:f>INDEX('Model Pricing'!$B$7:$B$8,MATCH(F3120,'Model Pricing'!$A$7:$A$8,0))</x:f>
        <x:v>40</x:v>
      </x:c>
      <x:c r="K3120" s="27" t="n">
        <x:f>INDEX('Model Pricing'!$C$7:$C$8,MATCH(F3120,'Model Pricing'!$A$7:$A$8,0))</x:f>
        <x:v>100</x:v>
      </x:c>
      <x:c r="L3120" s="17" t="n">
        <x:f>G3120+H3120</x:f>
        <x:v>15839</x:v>
      </x:c>
      <x:c r="M3120" s="28" t="n">
        <x:f>G3120*J3120/1000000</x:f>
        <x:v>0.51392</x:v>
      </x:c>
      <x:c r="N3120" s="28" t="n">
        <x:f>H3120*K3120/1000000</x:f>
        <x:v>0.2991</x:v>
      </x:c>
      <x:c r="O3120" s="28" t="n">
        <x:f>SUM(M3120:N3120)</x:f>
        <x:v>0.8130200000000001</x:v>
      </x:c>
    </x:row>
    <x:row r="3121" ht="23" customHeight="1">
      <x:c r="A3121" s="17" t="str">
        <x:v>U03115</x:v>
      </x:c>
      <x:c r="B3121" s="18" t="n">
        <x:v>46268</x:v>
      </x:c>
      <x:c r="C3121" s="17" t="str">
        <x:v>W0195</x:v>
      </x:c>
      <x:c r="D3121" s="17" t="str">
        <x:v>C004</x:v>
      </x:c>
      <x:c r="E3121" s="17" t="str">
        <x:v>CopyStudio</x:v>
      </x:c>
      <x:c r="F3121" s="17" t="str">
        <x:v>Pro</x:v>
      </x:c>
      <x:c r="G3121" s="17" t="n">
        <x:v>20373</x:v>
      </x:c>
      <x:c r="H3121" s="17" t="n">
        <x:v>6903</x:v>
      </x:c>
      <x:c r="I3121" s="17" t="str">
        <x:v>Correction</x:v>
      </x:c>
      <x:c r="J3121" s="27" t="n">
        <x:f>INDEX('Model Pricing'!$B$7:$B$8,MATCH(F3121,'Model Pricing'!$A$7:$A$8,0))</x:f>
        <x:v>40</x:v>
      </x:c>
      <x:c r="K3121" s="27" t="n">
        <x:f>INDEX('Model Pricing'!$C$7:$C$8,MATCH(F3121,'Model Pricing'!$A$7:$A$8,0))</x:f>
        <x:v>100</x:v>
      </x:c>
      <x:c r="L3121" s="17" t="n">
        <x:f>G3121+H3121</x:f>
        <x:v>27276</x:v>
      </x:c>
      <x:c r="M3121" s="28" t="n">
        <x:f>G3121*J3121/1000000</x:f>
        <x:v>0.81492</x:v>
      </x:c>
      <x:c r="N3121" s="28" t="n">
        <x:f>H3121*K3121/1000000</x:f>
        <x:v>0.6903</x:v>
      </x:c>
      <x:c r="O3121" s="28" t="n">
        <x:f>SUM(M3121:N3121)</x:f>
        <x:v>1.50522</x:v>
      </x:c>
    </x:row>
    <x:row r="3122" ht="23" customHeight="1">
      <x:c r="A3122" s="17" t="str">
        <x:v>U03116</x:v>
      </x:c>
      <x:c r="B3122" s="18" t="n">
        <x:v>46268</x:v>
      </x:c>
      <x:c r="C3122" s="17" t="str">
        <x:v>W0195</x:v>
      </x:c>
      <x:c r="D3122" s="17" t="str">
        <x:v>C004</x:v>
      </x:c>
      <x:c r="E3122" s="17" t="str">
        <x:v>CopyStudio</x:v>
      </x:c>
      <x:c r="F3122" s="17" t="str">
        <x:v>Pro</x:v>
      </x:c>
      <x:c r="G3122" s="17" t="n">
        <x:v>26056</x:v>
      </x:c>
      <x:c r="H3122" s="17" t="n">
        <x:v>5707</x:v>
      </x:c>
      <x:c r="I3122" s="17" t="str">
        <x:v>Followup</x:v>
      </x:c>
      <x:c r="J3122" s="27" t="n">
        <x:f>INDEX('Model Pricing'!$B$7:$B$8,MATCH(F3122,'Model Pricing'!$A$7:$A$8,0))</x:f>
        <x:v>40</x:v>
      </x:c>
      <x:c r="K3122" s="27" t="n">
        <x:f>INDEX('Model Pricing'!$C$7:$C$8,MATCH(F3122,'Model Pricing'!$A$7:$A$8,0))</x:f>
        <x:v>100</x:v>
      </x:c>
      <x:c r="L3122" s="17" t="n">
        <x:f>G3122+H3122</x:f>
        <x:v>31763</x:v>
      </x:c>
      <x:c r="M3122" s="28" t="n">
        <x:f>G3122*J3122/1000000</x:f>
        <x:v>1.04224</x:v>
      </x:c>
      <x:c r="N3122" s="28" t="n">
        <x:f>H3122*K3122/1000000</x:f>
        <x:v>0.5707</x:v>
      </x:c>
      <x:c r="O3122" s="28" t="n">
        <x:f>SUM(M3122:N3122)</x:f>
        <x:v>1.61294</x:v>
      </x:c>
    </x:row>
    <x:row r="3123" ht="23" customHeight="1">
      <x:c r="A3123" s="17" t="str">
        <x:v>U03117</x:v>
      </x:c>
      <x:c r="B3123" s="18" t="n">
        <x:v>46269</x:v>
      </x:c>
      <x:c r="C3123" s="17" t="str">
        <x:v>W0195</x:v>
      </x:c>
      <x:c r="D3123" s="17" t="str">
        <x:v>C004</x:v>
      </x:c>
      <x:c r="E3123" s="17" t="str">
        <x:v>CopyStudio</x:v>
      </x:c>
      <x:c r="F3123" s="17" t="str">
        <x:v>Pro</x:v>
      </x:c>
      <x:c r="G3123" s="17" t="n">
        <x:v>10796</x:v>
      </x:c>
      <x:c r="H3123" s="17" t="n">
        <x:v>5196</x:v>
      </x:c>
      <x:c r="I3123" s="17" t="str">
        <x:v>Followup</x:v>
      </x:c>
      <x:c r="J3123" s="27" t="n">
        <x:f>INDEX('Model Pricing'!$B$7:$B$8,MATCH(F3123,'Model Pricing'!$A$7:$A$8,0))</x:f>
        <x:v>40</x:v>
      </x:c>
      <x:c r="K3123" s="27" t="n">
        <x:f>INDEX('Model Pricing'!$C$7:$C$8,MATCH(F3123,'Model Pricing'!$A$7:$A$8,0))</x:f>
        <x:v>100</x:v>
      </x:c>
      <x:c r="L3123" s="17" t="n">
        <x:f>G3123+H3123</x:f>
        <x:v>15992</x:v>
      </x:c>
      <x:c r="M3123" s="28" t="n">
        <x:f>G3123*J3123/1000000</x:f>
        <x:v>0.43184</x:v>
      </x:c>
      <x:c r="N3123" s="28" t="n">
        <x:f>H3123*K3123/1000000</x:f>
        <x:v>0.5196</x:v>
      </x:c>
      <x:c r="O3123" s="28" t="n">
        <x:f>SUM(M3123:N3123)</x:f>
        <x:v>0.95144</x:v>
      </x:c>
    </x:row>
    <x:row r="3124" ht="23" customHeight="1">
      <x:c r="A3124" s="17" t="str">
        <x:v>U03118</x:v>
      </x:c>
      <x:c r="B3124" s="18" t="n">
        <x:v>46269</x:v>
      </x:c>
      <x:c r="C3124" s="17" t="str">
        <x:v>W0195</x:v>
      </x:c>
      <x:c r="D3124" s="17" t="str">
        <x:v>C004</x:v>
      </x:c>
      <x:c r="E3124" s="17" t="str">
        <x:v>CopyStudio</x:v>
      </x:c>
      <x:c r="F3124" s="17" t="str">
        <x:v>Pro</x:v>
      </x:c>
      <x:c r="G3124" s="17" t="n">
        <x:v>28883</x:v>
      </x:c>
      <x:c r="H3124" s="17" t="n">
        <x:v>5151</x:v>
      </x:c>
      <x:c r="I3124" s="17" t="str">
        <x:v>Followup</x:v>
      </x:c>
      <x:c r="J3124" s="27" t="n">
        <x:f>INDEX('Model Pricing'!$B$7:$B$8,MATCH(F3124,'Model Pricing'!$A$7:$A$8,0))</x:f>
        <x:v>40</x:v>
      </x:c>
      <x:c r="K3124" s="27" t="n">
        <x:f>INDEX('Model Pricing'!$C$7:$C$8,MATCH(F3124,'Model Pricing'!$A$7:$A$8,0))</x:f>
        <x:v>100</x:v>
      </x:c>
      <x:c r="L3124" s="17" t="n">
        <x:f>G3124+H3124</x:f>
        <x:v>34034</x:v>
      </x:c>
      <x:c r="M3124" s="28" t="n">
        <x:f>G3124*J3124/1000000</x:f>
        <x:v>1.15532</x:v>
      </x:c>
      <x:c r="N3124" s="28" t="n">
        <x:f>H3124*K3124/1000000</x:f>
        <x:v>0.5151</x:v>
      </x:c>
      <x:c r="O3124" s="28" t="n">
        <x:f>SUM(M3124:N3124)</x:f>
        <x:v>1.67042</x:v>
      </x:c>
    </x:row>
    <x:row r="3125" ht="23" customHeight="1">
      <x:c r="A3125" s="17" t="str">
        <x:v>U03119</x:v>
      </x:c>
      <x:c r="B3125" s="18" t="n">
        <x:v>46269</x:v>
      </x:c>
      <x:c r="C3125" s="17" t="str">
        <x:v>W0195</x:v>
      </x:c>
      <x:c r="D3125" s="17" t="str">
        <x:v>C004</x:v>
      </x:c>
      <x:c r="E3125" s="17" t="str">
        <x:v>CopyStudio</x:v>
      </x:c>
      <x:c r="F3125" s="17" t="str">
        <x:v>Pro</x:v>
      </x:c>
      <x:c r="G3125" s="17" t="n">
        <x:v>16152</x:v>
      </x:c>
      <x:c r="H3125" s="17" t="n">
        <x:v>8602</x:v>
      </x:c>
      <x:c r="I3125" s="17" t="str">
        <x:v>Correction</x:v>
      </x:c>
      <x:c r="J3125" s="27" t="n">
        <x:f>INDEX('Model Pricing'!$B$7:$B$8,MATCH(F3125,'Model Pricing'!$A$7:$A$8,0))</x:f>
        <x:v>40</x:v>
      </x:c>
      <x:c r="K3125" s="27" t="n">
        <x:f>INDEX('Model Pricing'!$C$7:$C$8,MATCH(F3125,'Model Pricing'!$A$7:$A$8,0))</x:f>
        <x:v>100</x:v>
      </x:c>
      <x:c r="L3125" s="17" t="n">
        <x:f>G3125+H3125</x:f>
        <x:v>24754</x:v>
      </x:c>
      <x:c r="M3125" s="28" t="n">
        <x:f>G3125*J3125/1000000</x:f>
        <x:v>0.64608</x:v>
      </x:c>
      <x:c r="N3125" s="28" t="n">
        <x:f>H3125*K3125/1000000</x:f>
        <x:v>0.8602</x:v>
      </x:c>
      <x:c r="O3125" s="28" t="n">
        <x:f>SUM(M3125:N3125)</x:f>
        <x:v>1.5062799999999998</x:v>
      </x:c>
    </x:row>
    <x:row r="3126" ht="23" customHeight="1">
      <x:c r="A3126" s="17" t="str">
        <x:v>U03120</x:v>
      </x:c>
      <x:c r="B3126" s="18" t="n">
        <x:v>46273</x:v>
      </x:c>
      <x:c r="C3126" s="17" t="str">
        <x:v>W0195</x:v>
      </x:c>
      <x:c r="D3126" s="17" t="str">
        <x:v>C004</x:v>
      </x:c>
      <x:c r="E3126" s="17" t="str">
        <x:v>CopyStudio</x:v>
      </x:c>
      <x:c r="F3126" s="17" t="str">
        <x:v>Pro</x:v>
      </x:c>
      <x:c r="G3126" s="17" t="n">
        <x:v>18963</x:v>
      </x:c>
      <x:c r="H3126" s="17" t="n">
        <x:v>8399</x:v>
      </x:c>
      <x:c r="I3126" s="17" t="str">
        <x:v>Followup</x:v>
      </x:c>
      <x:c r="J3126" s="27" t="n">
        <x:f>INDEX('Model Pricing'!$B$7:$B$8,MATCH(F3126,'Model Pricing'!$A$7:$A$8,0))</x:f>
        <x:v>40</x:v>
      </x:c>
      <x:c r="K3126" s="27" t="n">
        <x:f>INDEX('Model Pricing'!$C$7:$C$8,MATCH(F3126,'Model Pricing'!$A$7:$A$8,0))</x:f>
        <x:v>100</x:v>
      </x:c>
      <x:c r="L3126" s="17" t="n">
        <x:f>G3126+H3126</x:f>
        <x:v>27362</x:v>
      </x:c>
      <x:c r="M3126" s="28" t="n">
        <x:f>G3126*J3126/1000000</x:f>
        <x:v>0.75852</x:v>
      </x:c>
      <x:c r="N3126" s="28" t="n">
        <x:f>H3126*K3126/1000000</x:f>
        <x:v>0.8399</x:v>
      </x:c>
      <x:c r="O3126" s="28" t="n">
        <x:f>SUM(M3126:N3126)</x:f>
        <x:v>1.59842</x:v>
      </x:c>
    </x:row>
    <x:row r="3127" ht="23" customHeight="1">
      <x:c r="A3127" s="17" t="str">
        <x:v>U03121</x:v>
      </x:c>
      <x:c r="B3127" s="18" t="n">
        <x:v>46273</x:v>
      </x:c>
      <x:c r="C3127" s="17" t="str">
        <x:v>W0195</x:v>
      </x:c>
      <x:c r="D3127" s="17" t="str">
        <x:v>C004</x:v>
      </x:c>
      <x:c r="E3127" s="17" t="str">
        <x:v>CopyStudio</x:v>
      </x:c>
      <x:c r="F3127" s="17" t="str">
        <x:v>Pro</x:v>
      </x:c>
      <x:c r="G3127" s="17" t="n">
        <x:v>15790</x:v>
      </x:c>
      <x:c r="H3127" s="17" t="n">
        <x:v>5002</x:v>
      </x:c>
      <x:c r="I3127" s="17" t="str">
        <x:v>Correction</x:v>
      </x:c>
      <x:c r="J3127" s="27" t="n">
        <x:f>INDEX('Model Pricing'!$B$7:$B$8,MATCH(F3127,'Model Pricing'!$A$7:$A$8,0))</x:f>
        <x:v>40</x:v>
      </x:c>
      <x:c r="K3127" s="27" t="n">
        <x:f>INDEX('Model Pricing'!$C$7:$C$8,MATCH(F3127,'Model Pricing'!$A$7:$A$8,0))</x:f>
        <x:v>100</x:v>
      </x:c>
      <x:c r="L3127" s="17" t="n">
        <x:f>G3127+H3127</x:f>
        <x:v>20792</x:v>
      </x:c>
      <x:c r="M3127" s="28" t="n">
        <x:f>G3127*J3127/1000000</x:f>
        <x:v>0.6316</x:v>
      </x:c>
      <x:c r="N3127" s="28" t="n">
        <x:f>H3127*K3127/1000000</x:f>
        <x:v>0.5002</x:v>
      </x:c>
      <x:c r="O3127" s="28" t="n">
        <x:f>SUM(M3127:N3127)</x:f>
        <x:v>1.1318000000000001</x:v>
      </x:c>
    </x:row>
    <x:row r="3128" ht="23" customHeight="1">
      <x:c r="A3128" s="17" t="str">
        <x:v>U03122</x:v>
      </x:c>
      <x:c r="B3128" s="18" t="n">
        <x:v>46273</x:v>
      </x:c>
      <x:c r="C3128" s="17" t="str">
        <x:v>W0195</x:v>
      </x:c>
      <x:c r="D3128" s="17" t="str">
        <x:v>C004</x:v>
      </x:c>
      <x:c r="E3128" s="17" t="str">
        <x:v>CopyStudio</x:v>
      </x:c>
      <x:c r="F3128" s="17" t="str">
        <x:v>Pro</x:v>
      </x:c>
      <x:c r="G3128" s="17" t="n">
        <x:v>23105</x:v>
      </x:c>
      <x:c r="H3128" s="17" t="n">
        <x:v>5422</x:v>
      </x:c>
      <x:c r="I3128" s="17" t="str">
        <x:v>Followup</x:v>
      </x:c>
      <x:c r="J3128" s="27" t="n">
        <x:f>INDEX('Model Pricing'!$B$7:$B$8,MATCH(F3128,'Model Pricing'!$A$7:$A$8,0))</x:f>
        <x:v>40</x:v>
      </x:c>
      <x:c r="K3128" s="27" t="n">
        <x:f>INDEX('Model Pricing'!$C$7:$C$8,MATCH(F3128,'Model Pricing'!$A$7:$A$8,0))</x:f>
        <x:v>100</x:v>
      </x:c>
      <x:c r="L3128" s="17" t="n">
        <x:f>G3128+H3128</x:f>
        <x:v>28527</x:v>
      </x:c>
      <x:c r="M3128" s="28" t="n">
        <x:f>G3128*J3128/1000000</x:f>
        <x:v>0.9242</x:v>
      </x:c>
      <x:c r="N3128" s="28" t="n">
        <x:f>H3128*K3128/1000000</x:f>
        <x:v>0.5422</x:v>
      </x:c>
      <x:c r="O3128" s="28" t="n">
        <x:f>SUM(M3128:N3128)</x:f>
        <x:v>1.4664000000000001</x:v>
      </x:c>
    </x:row>
    <x:row r="3129" ht="23" customHeight="1">
      <x:c r="A3129" s="17" t="str">
        <x:v>U03123</x:v>
      </x:c>
      <x:c r="B3129" s="18" t="n">
        <x:v>46274</x:v>
      </x:c>
      <x:c r="C3129" s="17" t="str">
        <x:v>W0195</x:v>
      </x:c>
      <x:c r="D3129" s="17" t="str">
        <x:v>C004</x:v>
      </x:c>
      <x:c r="E3129" s="17" t="str">
        <x:v>CopyStudio</x:v>
      </x:c>
      <x:c r="F3129" s="17" t="str">
        <x:v>Pro</x:v>
      </x:c>
      <x:c r="G3129" s="17" t="n">
        <x:v>31956</x:v>
      </x:c>
      <x:c r="H3129" s="17" t="n">
        <x:v>3403</x:v>
      </x:c>
      <x:c r="I3129" s="17" t="str">
        <x:v>Followup</x:v>
      </x:c>
      <x:c r="J3129" s="27" t="n">
        <x:f>INDEX('Model Pricing'!$B$7:$B$8,MATCH(F3129,'Model Pricing'!$A$7:$A$8,0))</x:f>
        <x:v>40</x:v>
      </x:c>
      <x:c r="K3129" s="27" t="n">
        <x:f>INDEX('Model Pricing'!$C$7:$C$8,MATCH(F3129,'Model Pricing'!$A$7:$A$8,0))</x:f>
        <x:v>100</x:v>
      </x:c>
      <x:c r="L3129" s="17" t="n">
        <x:f>G3129+H3129</x:f>
        <x:v>35359</x:v>
      </x:c>
      <x:c r="M3129" s="28" t="n">
        <x:f>G3129*J3129/1000000</x:f>
        <x:v>1.27824</x:v>
      </x:c>
      <x:c r="N3129" s="28" t="n">
        <x:f>H3129*K3129/1000000</x:f>
        <x:v>0.3403</x:v>
      </x:c>
      <x:c r="O3129" s="28" t="n">
        <x:f>SUM(M3129:N3129)</x:f>
        <x:v>1.61854</x:v>
      </x:c>
    </x:row>
    <x:row r="3130" ht="23" customHeight="1">
      <x:c r="A3130" s="17" t="str">
        <x:v>U03124</x:v>
      </x:c>
      <x:c r="B3130" s="18" t="n">
        <x:v>46274</x:v>
      </x:c>
      <x:c r="C3130" s="17" t="str">
        <x:v>W0195</x:v>
      </x:c>
      <x:c r="D3130" s="17" t="str">
        <x:v>C004</x:v>
      </x:c>
      <x:c r="E3130" s="17" t="str">
        <x:v>CopyStudio</x:v>
      </x:c>
      <x:c r="F3130" s="17" t="str">
        <x:v>Pro</x:v>
      </x:c>
      <x:c r="G3130" s="17" t="n">
        <x:v>20951</x:v>
      </x:c>
      <x:c r="H3130" s="17" t="n">
        <x:v>4272</x:v>
      </x:c>
      <x:c r="I3130" s="17" t="str">
        <x:v>Followup</x:v>
      </x:c>
      <x:c r="J3130" s="27" t="n">
        <x:f>INDEX('Model Pricing'!$B$7:$B$8,MATCH(F3130,'Model Pricing'!$A$7:$A$8,0))</x:f>
        <x:v>40</x:v>
      </x:c>
      <x:c r="K3130" s="27" t="n">
        <x:f>INDEX('Model Pricing'!$C$7:$C$8,MATCH(F3130,'Model Pricing'!$A$7:$A$8,0))</x:f>
        <x:v>100</x:v>
      </x:c>
      <x:c r="L3130" s="17" t="n">
        <x:f>G3130+H3130</x:f>
        <x:v>25223</x:v>
      </x:c>
      <x:c r="M3130" s="28" t="n">
        <x:f>G3130*J3130/1000000</x:f>
        <x:v>0.83804</x:v>
      </x:c>
      <x:c r="N3130" s="28" t="n">
        <x:f>H3130*K3130/1000000</x:f>
        <x:v>0.4272</x:v>
      </x:c>
      <x:c r="O3130" s="28" t="n">
        <x:f>SUM(M3130:N3130)</x:f>
        <x:v>1.26524</x:v>
      </x:c>
    </x:row>
    <x:row r="3131" ht="23" customHeight="1">
      <x:c r="A3131" s="17" t="str">
        <x:v>U03125</x:v>
      </x:c>
      <x:c r="B3131" s="18" t="n">
        <x:v>46274</x:v>
      </x:c>
      <x:c r="C3131" s="17" t="str">
        <x:v>W0195</x:v>
      </x:c>
      <x:c r="D3131" s="17" t="str">
        <x:v>C004</x:v>
      </x:c>
      <x:c r="E3131" s="17" t="str">
        <x:v>CopyStudio</x:v>
      </x:c>
      <x:c r="F3131" s="17" t="str">
        <x:v>Pro</x:v>
      </x:c>
      <x:c r="G3131" s="17" t="n">
        <x:v>20636</x:v>
      </x:c>
      <x:c r="H3131" s="17" t="n">
        <x:v>4442</x:v>
      </x:c>
      <x:c r="I3131" s="17" t="str">
        <x:v>Followup</x:v>
      </x:c>
      <x:c r="J3131" s="27" t="n">
        <x:f>INDEX('Model Pricing'!$B$7:$B$8,MATCH(F3131,'Model Pricing'!$A$7:$A$8,0))</x:f>
        <x:v>40</x:v>
      </x:c>
      <x:c r="K3131" s="27" t="n">
        <x:f>INDEX('Model Pricing'!$C$7:$C$8,MATCH(F3131,'Model Pricing'!$A$7:$A$8,0))</x:f>
        <x:v>100</x:v>
      </x:c>
      <x:c r="L3131" s="17" t="n">
        <x:f>G3131+H3131</x:f>
        <x:v>25078</x:v>
      </x:c>
      <x:c r="M3131" s="28" t="n">
        <x:f>G3131*J3131/1000000</x:f>
        <x:v>0.82544</x:v>
      </x:c>
      <x:c r="N3131" s="28" t="n">
        <x:f>H3131*K3131/1000000</x:f>
        <x:v>0.4442</x:v>
      </x:c>
      <x:c r="O3131" s="28" t="n">
        <x:f>SUM(M3131:N3131)</x:f>
        <x:v>1.2696399999999999</x:v>
      </x:c>
    </x:row>
    <x:row r="3132" ht="23" customHeight="1">
      <x:c r="A3132" s="17" t="str">
        <x:v>U03126</x:v>
      </x:c>
      <x:c r="B3132" s="18" t="n">
        <x:v>46280</x:v>
      </x:c>
      <x:c r="C3132" s="17" t="str">
        <x:v>W0196</x:v>
      </x:c>
      <x:c r="D3132" s="17" t="str">
        <x:v>C004</x:v>
      </x:c>
      <x:c r="E3132" s="17" t="str">
        <x:v>CampaignChat</x:v>
      </x:c>
      <x:c r="F3132" s="17" t="str">
        <x:v>Pro</x:v>
      </x:c>
      <x:c r="G3132" s="17" t="n">
        <x:v>14276</x:v>
      </x:c>
      <x:c r="H3132" s="17" t="n">
        <x:v>9729</x:v>
      </x:c>
      <x:c r="I3132" s="17" t="str">
        <x:v>First attempt</x:v>
      </x:c>
      <x:c r="J3132" s="27" t="n">
        <x:f>INDEX('Model Pricing'!$B$7:$B$8,MATCH(F3132,'Model Pricing'!$A$7:$A$8,0))</x:f>
        <x:v>40</x:v>
      </x:c>
      <x:c r="K3132" s="27" t="n">
        <x:f>INDEX('Model Pricing'!$C$7:$C$8,MATCH(F3132,'Model Pricing'!$A$7:$A$8,0))</x:f>
        <x:v>100</x:v>
      </x:c>
      <x:c r="L3132" s="17" t="n">
        <x:f>G3132+H3132</x:f>
        <x:v>24005</x:v>
      </x:c>
      <x:c r="M3132" s="28" t="n">
        <x:f>G3132*J3132/1000000</x:f>
        <x:v>0.57104</x:v>
      </x:c>
      <x:c r="N3132" s="28" t="n">
        <x:f>H3132*K3132/1000000</x:f>
        <x:v>0.9729</x:v>
      </x:c>
      <x:c r="O3132" s="28" t="n">
        <x:f>SUM(M3132:N3132)</x:f>
        <x:v>1.54394</x:v>
      </x:c>
    </x:row>
    <x:row r="3133" ht="23" customHeight="1">
      <x:c r="A3133" s="17" t="str">
        <x:v>U03127</x:v>
      </x:c>
      <x:c r="B3133" s="18" t="n">
        <x:v>46280</x:v>
      </x:c>
      <x:c r="C3133" s="17" t="str">
        <x:v>W0196</x:v>
      </x:c>
      <x:c r="D3133" s="17" t="str">
        <x:v>C004</x:v>
      </x:c>
      <x:c r="E3133" s="17" t="str">
        <x:v>CampaignChat</x:v>
      </x:c>
      <x:c r="F3133" s="17" t="str">
        <x:v>Pro</x:v>
      </x:c>
      <x:c r="G3133" s="17" t="n">
        <x:v>17839</x:v>
      </x:c>
      <x:c r="H3133" s="17" t="n">
        <x:v>4806</x:v>
      </x:c>
      <x:c r="I3133" s="17" t="str">
        <x:v>Followup</x:v>
      </x:c>
      <x:c r="J3133" s="27" t="n">
        <x:f>INDEX('Model Pricing'!$B$7:$B$8,MATCH(F3133,'Model Pricing'!$A$7:$A$8,0))</x:f>
        <x:v>40</x:v>
      </x:c>
      <x:c r="K3133" s="27" t="n">
        <x:f>INDEX('Model Pricing'!$C$7:$C$8,MATCH(F3133,'Model Pricing'!$A$7:$A$8,0))</x:f>
        <x:v>100</x:v>
      </x:c>
      <x:c r="L3133" s="17" t="n">
        <x:f>G3133+H3133</x:f>
        <x:v>22645</x:v>
      </x:c>
      <x:c r="M3133" s="28" t="n">
        <x:f>G3133*J3133/1000000</x:f>
        <x:v>0.71356</x:v>
      </x:c>
      <x:c r="N3133" s="28" t="n">
        <x:f>H3133*K3133/1000000</x:f>
        <x:v>0.4806</x:v>
      </x:c>
      <x:c r="O3133" s="28" t="n">
        <x:f>SUM(M3133:N3133)</x:f>
        <x:v>1.19416</x:v>
      </x:c>
    </x:row>
    <x:row r="3134" ht="23" customHeight="1">
      <x:c r="A3134" s="17" t="str">
        <x:v>U03128</x:v>
      </x:c>
      <x:c r="B3134" s="18" t="n">
        <x:v>46280</x:v>
      </x:c>
      <x:c r="C3134" s="17" t="str">
        <x:v>W0196</x:v>
      </x:c>
      <x:c r="D3134" s="17" t="str">
        <x:v>C004</x:v>
      </x:c>
      <x:c r="E3134" s="17" t="str">
        <x:v>CampaignChat</x:v>
      </x:c>
      <x:c r="F3134" s="17" t="str">
        <x:v>Pro</x:v>
      </x:c>
      <x:c r="G3134" s="17" t="n">
        <x:v>28682</x:v>
      </x:c>
      <x:c r="H3134" s="17" t="n">
        <x:v>6458</x:v>
      </x:c>
      <x:c r="I3134" s="17" t="str">
        <x:v>Followup</x:v>
      </x:c>
      <x:c r="J3134" s="27" t="n">
        <x:f>INDEX('Model Pricing'!$B$7:$B$8,MATCH(F3134,'Model Pricing'!$A$7:$A$8,0))</x:f>
        <x:v>40</x:v>
      </x:c>
      <x:c r="K3134" s="27" t="n">
        <x:f>INDEX('Model Pricing'!$C$7:$C$8,MATCH(F3134,'Model Pricing'!$A$7:$A$8,0))</x:f>
        <x:v>100</x:v>
      </x:c>
      <x:c r="L3134" s="17" t="n">
        <x:f>G3134+H3134</x:f>
        <x:v>35140</x:v>
      </x:c>
      <x:c r="M3134" s="28" t="n">
        <x:f>G3134*J3134/1000000</x:f>
        <x:v>1.14728</x:v>
      </x:c>
      <x:c r="N3134" s="28" t="n">
        <x:f>H3134*K3134/1000000</x:f>
        <x:v>0.6458</x:v>
      </x:c>
      <x:c r="O3134" s="28" t="n">
        <x:f>SUM(M3134:N3134)</x:f>
        <x:v>1.7930800000000002</x:v>
      </x:c>
    </x:row>
    <x:row r="3135" ht="23" customHeight="1">
      <x:c r="A3135" s="17" t="str">
        <x:v>U03129</x:v>
      </x:c>
      <x:c r="B3135" s="18" t="n">
        <x:v>46280</x:v>
      </x:c>
      <x:c r="C3135" s="17" t="str">
        <x:v>W0196</x:v>
      </x:c>
      <x:c r="D3135" s="17" t="str">
        <x:v>C004</x:v>
      </x:c>
      <x:c r="E3135" s="17" t="str">
        <x:v>CampaignChat</x:v>
      </x:c>
      <x:c r="F3135" s="17" t="str">
        <x:v>Pro</x:v>
      </x:c>
      <x:c r="G3135" s="17" t="n">
        <x:v>24161</x:v>
      </x:c>
      <x:c r="H3135" s="17" t="n">
        <x:v>13076</x:v>
      </x:c>
      <x:c r="I3135" s="17" t="str">
        <x:v>Correction</x:v>
      </x:c>
      <x:c r="J3135" s="27" t="n">
        <x:f>INDEX('Model Pricing'!$B$7:$B$8,MATCH(F3135,'Model Pricing'!$A$7:$A$8,0))</x:f>
        <x:v>40</x:v>
      </x:c>
      <x:c r="K3135" s="27" t="n">
        <x:f>INDEX('Model Pricing'!$C$7:$C$8,MATCH(F3135,'Model Pricing'!$A$7:$A$8,0))</x:f>
        <x:v>100</x:v>
      </x:c>
      <x:c r="L3135" s="17" t="n">
        <x:f>G3135+H3135</x:f>
        <x:v>37237</x:v>
      </x:c>
      <x:c r="M3135" s="28" t="n">
        <x:f>G3135*J3135/1000000</x:f>
        <x:v>0.96644</x:v>
      </x:c>
      <x:c r="N3135" s="28" t="n">
        <x:f>H3135*K3135/1000000</x:f>
        <x:v>1.3076</x:v>
      </x:c>
      <x:c r="O3135" s="28" t="n">
        <x:f>SUM(M3135:N3135)</x:f>
        <x:v>2.2740400000000003</x:v>
      </x:c>
    </x:row>
    <x:row r="3136" ht="23" customHeight="1">
      <x:c r="A3136" s="17" t="str">
        <x:v>U03130</x:v>
      </x:c>
      <x:c r="B3136" s="18" t="n">
        <x:v>46281</x:v>
      </x:c>
      <x:c r="C3136" s="17" t="str">
        <x:v>W0196</x:v>
      </x:c>
      <x:c r="D3136" s="17" t="str">
        <x:v>C004</x:v>
      </x:c>
      <x:c r="E3136" s="17" t="str">
        <x:v>CampaignChat</x:v>
      </x:c>
      <x:c r="F3136" s="17" t="str">
        <x:v>Pro</x:v>
      </x:c>
      <x:c r="G3136" s="17" t="n">
        <x:v>31290</x:v>
      </x:c>
      <x:c r="H3136" s="17" t="n">
        <x:v>7194</x:v>
      </x:c>
      <x:c r="I3136" s="17" t="str">
        <x:v>Followup</x:v>
      </x:c>
      <x:c r="J3136" s="27" t="n">
        <x:f>INDEX('Model Pricing'!$B$7:$B$8,MATCH(F3136,'Model Pricing'!$A$7:$A$8,0))</x:f>
        <x:v>40</x:v>
      </x:c>
      <x:c r="K3136" s="27" t="n">
        <x:f>INDEX('Model Pricing'!$C$7:$C$8,MATCH(F3136,'Model Pricing'!$A$7:$A$8,0))</x:f>
        <x:v>100</x:v>
      </x:c>
      <x:c r="L3136" s="17" t="n">
        <x:f>G3136+H3136</x:f>
        <x:v>38484</x:v>
      </x:c>
      <x:c r="M3136" s="28" t="n">
        <x:f>G3136*J3136/1000000</x:f>
        <x:v>1.2516</x:v>
      </x:c>
      <x:c r="N3136" s="28" t="n">
        <x:f>H3136*K3136/1000000</x:f>
        <x:v>0.7194</x:v>
      </x:c>
      <x:c r="O3136" s="28" t="n">
        <x:f>SUM(M3136:N3136)</x:f>
        <x:v>1.971</x:v>
      </x:c>
    </x:row>
    <x:row r="3137" ht="23" customHeight="1">
      <x:c r="A3137" s="17" t="str">
        <x:v>U03131</x:v>
      </x:c>
      <x:c r="B3137" s="18" t="n">
        <x:v>46281</x:v>
      </x:c>
      <x:c r="C3137" s="17" t="str">
        <x:v>W0196</x:v>
      </x:c>
      <x:c r="D3137" s="17" t="str">
        <x:v>C004</x:v>
      </x:c>
      <x:c r="E3137" s="17" t="str">
        <x:v>CampaignChat</x:v>
      </x:c>
      <x:c r="F3137" s="17" t="str">
        <x:v>Pro</x:v>
      </x:c>
      <x:c r="G3137" s="17" t="n">
        <x:v>15574</x:v>
      </x:c>
      <x:c r="H3137" s="17" t="n">
        <x:v>6179</x:v>
      </x:c>
      <x:c r="I3137" s="17" t="str">
        <x:v>Correction</x:v>
      </x:c>
      <x:c r="J3137" s="27" t="n">
        <x:f>INDEX('Model Pricing'!$B$7:$B$8,MATCH(F3137,'Model Pricing'!$A$7:$A$8,0))</x:f>
        <x:v>40</x:v>
      </x:c>
      <x:c r="K3137" s="27" t="n">
        <x:f>INDEX('Model Pricing'!$C$7:$C$8,MATCH(F3137,'Model Pricing'!$A$7:$A$8,0))</x:f>
        <x:v>100</x:v>
      </x:c>
      <x:c r="L3137" s="17" t="n">
        <x:f>G3137+H3137</x:f>
        <x:v>21753</x:v>
      </x:c>
      <x:c r="M3137" s="28" t="n">
        <x:f>G3137*J3137/1000000</x:f>
        <x:v>0.62296</x:v>
      </x:c>
      <x:c r="N3137" s="28" t="n">
        <x:f>H3137*K3137/1000000</x:f>
        <x:v>0.6179</x:v>
      </x:c>
      <x:c r="O3137" s="28" t="n">
        <x:f>SUM(M3137:N3137)</x:f>
        <x:v>1.24086</x:v>
      </x:c>
    </x:row>
    <x:row r="3138" ht="23" customHeight="1">
      <x:c r="A3138" s="17" t="str">
        <x:v>U03132</x:v>
      </x:c>
      <x:c r="B3138" s="18" t="n">
        <x:v>46281</x:v>
      </x:c>
      <x:c r="C3138" s="17" t="str">
        <x:v>W0196</x:v>
      </x:c>
      <x:c r="D3138" s="17" t="str">
        <x:v>C004</x:v>
      </x:c>
      <x:c r="E3138" s="17" t="str">
        <x:v>CampaignChat</x:v>
      </x:c>
      <x:c r="F3138" s="17" t="str">
        <x:v>Pro</x:v>
      </x:c>
      <x:c r="G3138" s="17" t="n">
        <x:v>33547</x:v>
      </x:c>
      <x:c r="H3138" s="17" t="n">
        <x:v>6620</x:v>
      </x:c>
      <x:c r="I3138" s="17" t="str">
        <x:v>Correction</x:v>
      </x:c>
      <x:c r="J3138" s="27" t="n">
        <x:f>INDEX('Model Pricing'!$B$7:$B$8,MATCH(F3138,'Model Pricing'!$A$7:$A$8,0))</x:f>
        <x:v>40</x:v>
      </x:c>
      <x:c r="K3138" s="27" t="n">
        <x:f>INDEX('Model Pricing'!$C$7:$C$8,MATCH(F3138,'Model Pricing'!$A$7:$A$8,0))</x:f>
        <x:v>100</x:v>
      </x:c>
      <x:c r="L3138" s="17" t="n">
        <x:f>G3138+H3138</x:f>
        <x:v>40167</x:v>
      </x:c>
      <x:c r="M3138" s="28" t="n">
        <x:f>G3138*J3138/1000000</x:f>
        <x:v>1.34188</x:v>
      </x:c>
      <x:c r="N3138" s="28" t="n">
        <x:f>H3138*K3138/1000000</x:f>
        <x:v>0.662</x:v>
      </x:c>
      <x:c r="O3138" s="28" t="n">
        <x:f>SUM(M3138:N3138)</x:f>
        <x:v>2.00388</x:v>
      </x:c>
    </x:row>
    <x:row r="3139" ht="23" customHeight="1">
      <x:c r="A3139" s="17" t="str">
        <x:v>U03133</x:v>
      </x:c>
      <x:c r="B3139" s="18" t="n">
        <x:v>46281</x:v>
      </x:c>
      <x:c r="C3139" s="17" t="str">
        <x:v>W0196</x:v>
      </x:c>
      <x:c r="D3139" s="17" t="str">
        <x:v>C004</x:v>
      </x:c>
      <x:c r="E3139" s="17" t="str">
        <x:v>CampaignChat</x:v>
      </x:c>
      <x:c r="F3139" s="17" t="str">
        <x:v>Pro</x:v>
      </x:c>
      <x:c r="G3139" s="17" t="n">
        <x:v>33038</x:v>
      </x:c>
      <x:c r="H3139" s="17" t="n">
        <x:v>13123</x:v>
      </x:c>
      <x:c r="I3139" s="17" t="str">
        <x:v>Followup</x:v>
      </x:c>
      <x:c r="J3139" s="27" t="n">
        <x:f>INDEX('Model Pricing'!$B$7:$B$8,MATCH(F3139,'Model Pricing'!$A$7:$A$8,0))</x:f>
        <x:v>40</x:v>
      </x:c>
      <x:c r="K3139" s="27" t="n">
        <x:f>INDEX('Model Pricing'!$C$7:$C$8,MATCH(F3139,'Model Pricing'!$A$7:$A$8,0))</x:f>
        <x:v>100</x:v>
      </x:c>
      <x:c r="L3139" s="17" t="n">
        <x:f>G3139+H3139</x:f>
        <x:v>46161</x:v>
      </x:c>
      <x:c r="M3139" s="28" t="n">
        <x:f>G3139*J3139/1000000</x:f>
        <x:v>1.32152</x:v>
      </x:c>
      <x:c r="N3139" s="28" t="n">
        <x:f>H3139*K3139/1000000</x:f>
        <x:v>1.3123</x:v>
      </x:c>
      <x:c r="O3139" s="28" t="n">
        <x:f>SUM(M3139:N3139)</x:f>
        <x:v>2.63382</x:v>
      </x:c>
    </x:row>
    <x:row r="3140" ht="23" customHeight="1">
      <x:c r="A3140" s="17" t="str">
        <x:v>U03134</x:v>
      </x:c>
      <x:c r="B3140" s="18" t="n">
        <x:v>46282</x:v>
      </x:c>
      <x:c r="C3140" s="17" t="str">
        <x:v>W0196</x:v>
      </x:c>
      <x:c r="D3140" s="17" t="str">
        <x:v>C004</x:v>
      </x:c>
      <x:c r="E3140" s="17" t="str">
        <x:v>CampaignChat</x:v>
      </x:c>
      <x:c r="F3140" s="17" t="str">
        <x:v>Pro</x:v>
      </x:c>
      <x:c r="G3140" s="17" t="n">
        <x:v>33306</x:v>
      </x:c>
      <x:c r="H3140" s="17" t="n">
        <x:v>12311</x:v>
      </x:c>
      <x:c r="I3140" s="17" t="str">
        <x:v>Followup</x:v>
      </x:c>
      <x:c r="J3140" s="27" t="n">
        <x:f>INDEX('Model Pricing'!$B$7:$B$8,MATCH(F3140,'Model Pricing'!$A$7:$A$8,0))</x:f>
        <x:v>40</x:v>
      </x:c>
      <x:c r="K3140" s="27" t="n">
        <x:f>INDEX('Model Pricing'!$C$7:$C$8,MATCH(F3140,'Model Pricing'!$A$7:$A$8,0))</x:f>
        <x:v>100</x:v>
      </x:c>
      <x:c r="L3140" s="17" t="n">
        <x:f>G3140+H3140</x:f>
        <x:v>45617</x:v>
      </x:c>
      <x:c r="M3140" s="28" t="n">
        <x:f>G3140*J3140/1000000</x:f>
        <x:v>1.33224</x:v>
      </x:c>
      <x:c r="N3140" s="28" t="n">
        <x:f>H3140*K3140/1000000</x:f>
        <x:v>1.2311</x:v>
      </x:c>
      <x:c r="O3140" s="28" t="n">
        <x:f>SUM(M3140:N3140)</x:f>
        <x:v>2.56334</x:v>
      </x:c>
    </x:row>
    <x:row r="3141" ht="23" customHeight="1">
      <x:c r="A3141" s="17" t="str">
        <x:v>U03135</x:v>
      </x:c>
      <x:c r="B3141" s="18" t="n">
        <x:v>46282</x:v>
      </x:c>
      <x:c r="C3141" s="17" t="str">
        <x:v>W0196</x:v>
      </x:c>
      <x:c r="D3141" s="17" t="str">
        <x:v>C004</x:v>
      </x:c>
      <x:c r="E3141" s="17" t="str">
        <x:v>CampaignChat</x:v>
      </x:c>
      <x:c r="F3141" s="17" t="str">
        <x:v>Pro</x:v>
      </x:c>
      <x:c r="G3141" s="17" t="n">
        <x:v>27497</x:v>
      </x:c>
      <x:c r="H3141" s="17" t="n">
        <x:v>8971</x:v>
      </x:c>
      <x:c r="I3141" s="17" t="str">
        <x:v>Followup</x:v>
      </x:c>
      <x:c r="J3141" s="27" t="n">
        <x:f>INDEX('Model Pricing'!$B$7:$B$8,MATCH(F3141,'Model Pricing'!$A$7:$A$8,0))</x:f>
        <x:v>40</x:v>
      </x:c>
      <x:c r="K3141" s="27" t="n">
        <x:f>INDEX('Model Pricing'!$C$7:$C$8,MATCH(F3141,'Model Pricing'!$A$7:$A$8,0))</x:f>
        <x:v>100</x:v>
      </x:c>
      <x:c r="L3141" s="17" t="n">
        <x:f>G3141+H3141</x:f>
        <x:v>36468</x:v>
      </x:c>
      <x:c r="M3141" s="28" t="n">
        <x:f>G3141*J3141/1000000</x:f>
        <x:v>1.09988</x:v>
      </x:c>
      <x:c r="N3141" s="28" t="n">
        <x:f>H3141*K3141/1000000</x:f>
        <x:v>0.8971</x:v>
      </x:c>
      <x:c r="O3141" s="28" t="n">
        <x:f>SUM(M3141:N3141)</x:f>
        <x:v>1.99698</x:v>
      </x:c>
    </x:row>
    <x:row r="3142" ht="23" customHeight="1">
      <x:c r="A3142" s="17" t="str">
        <x:v>U03136</x:v>
      </x:c>
      <x:c r="B3142" s="18" t="n">
        <x:v>46282</x:v>
      </x:c>
      <x:c r="C3142" s="17" t="str">
        <x:v>W0196</x:v>
      </x:c>
      <x:c r="D3142" s="17" t="str">
        <x:v>C004</x:v>
      </x:c>
      <x:c r="E3142" s="17" t="str">
        <x:v>CampaignChat</x:v>
      </x:c>
      <x:c r="F3142" s="17" t="str">
        <x:v>Pro</x:v>
      </x:c>
      <x:c r="G3142" s="17" t="n">
        <x:v>30715</x:v>
      </x:c>
      <x:c r="H3142" s="17" t="n">
        <x:v>5157</x:v>
      </x:c>
      <x:c r="I3142" s="17" t="str">
        <x:v>Followup</x:v>
      </x:c>
      <x:c r="J3142" s="27" t="n">
        <x:f>INDEX('Model Pricing'!$B$7:$B$8,MATCH(F3142,'Model Pricing'!$A$7:$A$8,0))</x:f>
        <x:v>40</x:v>
      </x:c>
      <x:c r="K3142" s="27" t="n">
        <x:f>INDEX('Model Pricing'!$C$7:$C$8,MATCH(F3142,'Model Pricing'!$A$7:$A$8,0))</x:f>
        <x:v>100</x:v>
      </x:c>
      <x:c r="L3142" s="17" t="n">
        <x:f>G3142+H3142</x:f>
        <x:v>35872</x:v>
      </x:c>
      <x:c r="M3142" s="28" t="n">
        <x:f>G3142*J3142/1000000</x:f>
        <x:v>1.2286</x:v>
      </x:c>
      <x:c r="N3142" s="28" t="n">
        <x:f>H3142*K3142/1000000</x:f>
        <x:v>0.5157</x:v>
      </x:c>
      <x:c r="O3142" s="28" t="n">
        <x:f>SUM(M3142:N3142)</x:f>
        <x:v>1.7443</x:v>
      </x:c>
    </x:row>
    <x:row r="3143" ht="23" customHeight="1">
      <x:c r="A3143" s="17" t="str">
        <x:v>U03137</x:v>
      </x:c>
      <x:c r="B3143" s="18" t="n">
        <x:v>46282</x:v>
      </x:c>
      <x:c r="C3143" s="17" t="str">
        <x:v>W0196</x:v>
      </x:c>
      <x:c r="D3143" s="17" t="str">
        <x:v>C004</x:v>
      </x:c>
      <x:c r="E3143" s="17" t="str">
        <x:v>CampaignChat</x:v>
      </x:c>
      <x:c r="F3143" s="17" t="str">
        <x:v>Pro</x:v>
      </x:c>
      <x:c r="G3143" s="17" t="n">
        <x:v>29991</x:v>
      </x:c>
      <x:c r="H3143" s="17" t="n">
        <x:v>9142</x:v>
      </x:c>
      <x:c r="I3143" s="17" t="str">
        <x:v>Followup</x:v>
      </x:c>
      <x:c r="J3143" s="27" t="n">
        <x:f>INDEX('Model Pricing'!$B$7:$B$8,MATCH(F3143,'Model Pricing'!$A$7:$A$8,0))</x:f>
        <x:v>40</x:v>
      </x:c>
      <x:c r="K3143" s="27" t="n">
        <x:f>INDEX('Model Pricing'!$C$7:$C$8,MATCH(F3143,'Model Pricing'!$A$7:$A$8,0))</x:f>
        <x:v>100</x:v>
      </x:c>
      <x:c r="L3143" s="17" t="n">
        <x:f>G3143+H3143</x:f>
        <x:v>39133</x:v>
      </x:c>
      <x:c r="M3143" s="28" t="n">
        <x:f>G3143*J3143/1000000</x:f>
        <x:v>1.19964</x:v>
      </x:c>
      <x:c r="N3143" s="28" t="n">
        <x:f>H3143*K3143/1000000</x:f>
        <x:v>0.9142</x:v>
      </x:c>
      <x:c r="O3143" s="28" t="n">
        <x:f>SUM(M3143:N3143)</x:f>
        <x:v>2.11384</x:v>
      </x:c>
    </x:row>
    <x:row r="3144" ht="23" customHeight="1">
      <x:c r="A3144" s="17" t="str">
        <x:v>U03138</x:v>
      </x:c>
      <x:c r="B3144" s="18" t="n">
        <x:v>46283</x:v>
      </x:c>
      <x:c r="C3144" s="17" t="str">
        <x:v>W0196</x:v>
      </x:c>
      <x:c r="D3144" s="17" t="str">
        <x:v>C004</x:v>
      </x:c>
      <x:c r="E3144" s="17" t="str">
        <x:v>CampaignChat</x:v>
      </x:c>
      <x:c r="F3144" s="17" t="str">
        <x:v>Pro</x:v>
      </x:c>
      <x:c r="G3144" s="17" t="n">
        <x:v>20050</x:v>
      </x:c>
      <x:c r="H3144" s="17" t="n">
        <x:v>12265</x:v>
      </x:c>
      <x:c r="I3144" s="17" t="str">
        <x:v>Correction</x:v>
      </x:c>
      <x:c r="J3144" s="27" t="n">
        <x:f>INDEX('Model Pricing'!$B$7:$B$8,MATCH(F3144,'Model Pricing'!$A$7:$A$8,0))</x:f>
        <x:v>40</x:v>
      </x:c>
      <x:c r="K3144" s="27" t="n">
        <x:f>INDEX('Model Pricing'!$C$7:$C$8,MATCH(F3144,'Model Pricing'!$A$7:$A$8,0))</x:f>
        <x:v>100</x:v>
      </x:c>
      <x:c r="L3144" s="17" t="n">
        <x:f>G3144+H3144</x:f>
        <x:v>32315</x:v>
      </x:c>
      <x:c r="M3144" s="28" t="n">
        <x:f>G3144*J3144/1000000</x:f>
        <x:v>0.802</x:v>
      </x:c>
      <x:c r="N3144" s="28" t="n">
        <x:f>H3144*K3144/1000000</x:f>
        <x:v>1.2265</x:v>
      </x:c>
      <x:c r="O3144" s="28" t="n">
        <x:f>SUM(M3144:N3144)</x:f>
        <x:v>2.0285</x:v>
      </x:c>
    </x:row>
    <x:row r="3145" ht="23" customHeight="1">
      <x:c r="A3145" s="17" t="str">
        <x:v>U03139</x:v>
      </x:c>
      <x:c r="B3145" s="18" t="n">
        <x:v>46283</x:v>
      </x:c>
      <x:c r="C3145" s="17" t="str">
        <x:v>W0196</x:v>
      </x:c>
      <x:c r="D3145" s="17" t="str">
        <x:v>C004</x:v>
      </x:c>
      <x:c r="E3145" s="17" t="str">
        <x:v>CampaignChat</x:v>
      </x:c>
      <x:c r="F3145" s="17" t="str">
        <x:v>Pro</x:v>
      </x:c>
      <x:c r="G3145" s="17" t="n">
        <x:v>33779</x:v>
      </x:c>
      <x:c r="H3145" s="17" t="n">
        <x:v>8537</x:v>
      </x:c>
      <x:c r="I3145" s="17" t="str">
        <x:v>Followup</x:v>
      </x:c>
      <x:c r="J3145" s="27" t="n">
        <x:f>INDEX('Model Pricing'!$B$7:$B$8,MATCH(F3145,'Model Pricing'!$A$7:$A$8,0))</x:f>
        <x:v>40</x:v>
      </x:c>
      <x:c r="K3145" s="27" t="n">
        <x:f>INDEX('Model Pricing'!$C$7:$C$8,MATCH(F3145,'Model Pricing'!$A$7:$A$8,0))</x:f>
        <x:v>100</x:v>
      </x:c>
      <x:c r="L3145" s="17" t="n">
        <x:f>G3145+H3145</x:f>
        <x:v>42316</x:v>
      </x:c>
      <x:c r="M3145" s="28" t="n">
        <x:f>G3145*J3145/1000000</x:f>
        <x:v>1.35116</x:v>
      </x:c>
      <x:c r="N3145" s="28" t="n">
        <x:f>H3145*K3145/1000000</x:f>
        <x:v>0.8537</x:v>
      </x:c>
      <x:c r="O3145" s="28" t="n">
        <x:f>SUM(M3145:N3145)</x:f>
        <x:v>2.20486</x:v>
      </x:c>
    </x:row>
    <x:row r="3146" ht="23" customHeight="1">
      <x:c r="A3146" s="17" t="str">
        <x:v>U03140</x:v>
      </x:c>
      <x:c r="B3146" s="18" t="n">
        <x:v>46283</x:v>
      </x:c>
      <x:c r="C3146" s="17" t="str">
        <x:v>W0196</x:v>
      </x:c>
      <x:c r="D3146" s="17" t="str">
        <x:v>C004</x:v>
      </x:c>
      <x:c r="E3146" s="17" t="str">
        <x:v>CampaignChat</x:v>
      </x:c>
      <x:c r="F3146" s="17" t="str">
        <x:v>Pro</x:v>
      </x:c>
      <x:c r="G3146" s="17" t="n">
        <x:v>38117</x:v>
      </x:c>
      <x:c r="H3146" s="17" t="n">
        <x:v>8311</x:v>
      </x:c>
      <x:c r="I3146" s="17" t="str">
        <x:v>Followup</x:v>
      </x:c>
      <x:c r="J3146" s="27" t="n">
        <x:f>INDEX('Model Pricing'!$B$7:$B$8,MATCH(F3146,'Model Pricing'!$A$7:$A$8,0))</x:f>
        <x:v>40</x:v>
      </x:c>
      <x:c r="K3146" s="27" t="n">
        <x:f>INDEX('Model Pricing'!$C$7:$C$8,MATCH(F3146,'Model Pricing'!$A$7:$A$8,0))</x:f>
        <x:v>100</x:v>
      </x:c>
      <x:c r="L3146" s="17" t="n">
        <x:f>G3146+H3146</x:f>
        <x:v>46428</x:v>
      </x:c>
      <x:c r="M3146" s="28" t="n">
        <x:f>G3146*J3146/1000000</x:f>
        <x:v>1.52468</x:v>
      </x:c>
      <x:c r="N3146" s="28" t="n">
        <x:f>H3146*K3146/1000000</x:f>
        <x:v>0.8311</x:v>
      </x:c>
      <x:c r="O3146" s="28" t="n">
        <x:f>SUM(M3146:N3146)</x:f>
        <x:v>2.35578</x:v>
      </x:c>
    </x:row>
    <x:row r="3147" ht="23" customHeight="1">
      <x:c r="A3147" s="17" t="str">
        <x:v>U03141</x:v>
      </x:c>
      <x:c r="B3147" s="18" t="n">
        <x:v>46283</x:v>
      </x:c>
      <x:c r="C3147" s="17" t="str">
        <x:v>W0196</x:v>
      </x:c>
      <x:c r="D3147" s="17" t="str">
        <x:v>C004</x:v>
      </x:c>
      <x:c r="E3147" s="17" t="str">
        <x:v>CampaignChat</x:v>
      </x:c>
      <x:c r="F3147" s="17" t="str">
        <x:v>Pro</x:v>
      </x:c>
      <x:c r="G3147" s="17" t="n">
        <x:v>37818</x:v>
      </x:c>
      <x:c r="H3147" s="17" t="n">
        <x:v>10381</x:v>
      </x:c>
      <x:c r="I3147" s="17" t="str">
        <x:v>Followup</x:v>
      </x:c>
      <x:c r="J3147" s="27" t="n">
        <x:f>INDEX('Model Pricing'!$B$7:$B$8,MATCH(F3147,'Model Pricing'!$A$7:$A$8,0))</x:f>
        <x:v>40</x:v>
      </x:c>
      <x:c r="K3147" s="27" t="n">
        <x:f>INDEX('Model Pricing'!$C$7:$C$8,MATCH(F3147,'Model Pricing'!$A$7:$A$8,0))</x:f>
        <x:v>100</x:v>
      </x:c>
      <x:c r="L3147" s="17" t="n">
        <x:f>G3147+H3147</x:f>
        <x:v>48199</x:v>
      </x:c>
      <x:c r="M3147" s="28" t="n">
        <x:f>G3147*J3147/1000000</x:f>
        <x:v>1.51272</x:v>
      </x:c>
      <x:c r="N3147" s="28" t="n">
        <x:f>H3147*K3147/1000000</x:f>
        <x:v>1.0381</x:v>
      </x:c>
      <x:c r="O3147" s="28" t="n">
        <x:f>SUM(M3147:N3147)</x:f>
        <x:v>2.55082</x:v>
      </x:c>
    </x:row>
    <x:row r="3148" ht="23" customHeight="1">
      <x:c r="A3148" s="17" t="str">
        <x:v>U03142</x:v>
      </x:c>
      <x:c r="B3148" s="18" t="n">
        <x:v>46283</x:v>
      </x:c>
      <x:c r="C3148" s="17" t="str">
        <x:v>W0199</x:v>
      </x:c>
      <x:c r="D3148" s="17" t="str">
        <x:v>C004</x:v>
      </x:c>
      <x:c r="E3148" s="17" t="str">
        <x:v>DataFlow</x:v>
      </x:c>
      <x:c r="F3148" s="17" t="str">
        <x:v>Pro</x:v>
      </x:c>
      <x:c r="G3148" s="17" t="n">
        <x:v>18056</x:v>
      </x:c>
      <x:c r="H3148" s="17" t="n">
        <x:v>11908</x:v>
      </x:c>
      <x:c r="I3148" s="17" t="str">
        <x:v>First attempt</x:v>
      </x:c>
      <x:c r="J3148" s="27" t="n">
        <x:f>INDEX('Model Pricing'!$B$7:$B$8,MATCH(F3148,'Model Pricing'!$A$7:$A$8,0))</x:f>
        <x:v>40</x:v>
      </x:c>
      <x:c r="K3148" s="27" t="n">
        <x:f>INDEX('Model Pricing'!$C$7:$C$8,MATCH(F3148,'Model Pricing'!$A$7:$A$8,0))</x:f>
        <x:v>100</x:v>
      </x:c>
      <x:c r="L3148" s="17" t="n">
        <x:f>G3148+H3148</x:f>
        <x:v>29964</x:v>
      </x:c>
      <x:c r="M3148" s="28" t="n">
        <x:f>G3148*J3148/1000000</x:f>
        <x:v>0.72224</x:v>
      </x:c>
      <x:c r="N3148" s="28" t="n">
        <x:f>H3148*K3148/1000000</x:f>
        <x:v>1.1908</x:v>
      </x:c>
      <x:c r="O3148" s="28" t="n">
        <x:f>SUM(M3148:N3148)</x:f>
        <x:v>1.91304</x:v>
      </x:c>
    </x:row>
    <x:row r="3149" ht="23" customHeight="1">
      <x:c r="A3149" s="17" t="str">
        <x:v>U03143</x:v>
      </x:c>
      <x:c r="B3149" s="18" t="n">
        <x:v>46283</x:v>
      </x:c>
      <x:c r="C3149" s="17" t="str">
        <x:v>W0199</x:v>
      </x:c>
      <x:c r="D3149" s="17" t="str">
        <x:v>C004</x:v>
      </x:c>
      <x:c r="E3149" s="17" t="str">
        <x:v>DataFlow</x:v>
      </x:c>
      <x:c r="F3149" s="17" t="str">
        <x:v>Pro</x:v>
      </x:c>
      <x:c r="G3149" s="17" t="n">
        <x:v>13277</x:v>
      </x:c>
      <x:c r="H3149" s="17" t="n">
        <x:v>16996</x:v>
      </x:c>
      <x:c r="I3149" s="17" t="str">
        <x:v>Followup</x:v>
      </x:c>
      <x:c r="J3149" s="27" t="n">
        <x:f>INDEX('Model Pricing'!$B$7:$B$8,MATCH(F3149,'Model Pricing'!$A$7:$A$8,0))</x:f>
        <x:v>40</x:v>
      </x:c>
      <x:c r="K3149" s="27" t="n">
        <x:f>INDEX('Model Pricing'!$C$7:$C$8,MATCH(F3149,'Model Pricing'!$A$7:$A$8,0))</x:f>
        <x:v>100</x:v>
      </x:c>
      <x:c r="L3149" s="17" t="n">
        <x:f>G3149+H3149</x:f>
        <x:v>30273</x:v>
      </x:c>
      <x:c r="M3149" s="28" t="n">
        <x:f>G3149*J3149/1000000</x:f>
        <x:v>0.53108</x:v>
      </x:c>
      <x:c r="N3149" s="28" t="n">
        <x:f>H3149*K3149/1000000</x:f>
        <x:v>1.6996</x:v>
      </x:c>
      <x:c r="O3149" s="28" t="n">
        <x:f>SUM(M3149:N3149)</x:f>
        <x:v>2.23068</x:v>
      </x:c>
    </x:row>
    <x:row r="3150" ht="23" customHeight="1">
      <x:c r="A3150" s="17" t="str">
        <x:v>U03144</x:v>
      </x:c>
      <x:c r="B3150" s="18" t="n">
        <x:v>46283</x:v>
      </x:c>
      <x:c r="C3150" s="17" t="str">
        <x:v>W0199</x:v>
      </x:c>
      <x:c r="D3150" s="17" t="str">
        <x:v>C004</x:v>
      </x:c>
      <x:c r="E3150" s="17" t="str">
        <x:v>DataFlow</x:v>
      </x:c>
      <x:c r="F3150" s="17" t="str">
        <x:v>Pro</x:v>
      </x:c>
      <x:c r="G3150" s="17" t="n">
        <x:v>15220</x:v>
      </x:c>
      <x:c r="H3150" s="17" t="n">
        <x:v>8234</x:v>
      </x:c>
      <x:c r="I3150" s="17" t="str">
        <x:v>Followup</x:v>
      </x:c>
      <x:c r="J3150" s="27" t="n">
        <x:f>INDEX('Model Pricing'!$B$7:$B$8,MATCH(F3150,'Model Pricing'!$A$7:$A$8,0))</x:f>
        <x:v>40</x:v>
      </x:c>
      <x:c r="K3150" s="27" t="n">
        <x:f>INDEX('Model Pricing'!$C$7:$C$8,MATCH(F3150,'Model Pricing'!$A$7:$A$8,0))</x:f>
        <x:v>100</x:v>
      </x:c>
      <x:c r="L3150" s="17" t="n">
        <x:f>G3150+H3150</x:f>
        <x:v>23454</x:v>
      </x:c>
      <x:c r="M3150" s="28" t="n">
        <x:f>G3150*J3150/1000000</x:f>
        <x:v>0.6088</x:v>
      </x:c>
      <x:c r="N3150" s="28" t="n">
        <x:f>H3150*K3150/1000000</x:f>
        <x:v>0.8234</x:v>
      </x:c>
      <x:c r="O3150" s="28" t="n">
        <x:f>SUM(M3150:N3150)</x:f>
        <x:v>1.4322</x:v>
      </x:c>
    </x:row>
    <x:row r="3151" ht="23" customHeight="1">
      <x:c r="A3151" s="17" t="str">
        <x:v>U03145</x:v>
      </x:c>
      <x:c r="B3151" s="18" t="n">
        <x:v>46283</x:v>
      </x:c>
      <x:c r="C3151" s="17" t="str">
        <x:v>W0199</x:v>
      </x:c>
      <x:c r="D3151" s="17" t="str">
        <x:v>C004</x:v>
      </x:c>
      <x:c r="E3151" s="17" t="str">
        <x:v>DataFlow</x:v>
      </x:c>
      <x:c r="F3151" s="17" t="str">
        <x:v>Pro</x:v>
      </x:c>
      <x:c r="G3151" s="17" t="n">
        <x:v>23063</x:v>
      </x:c>
      <x:c r="H3151" s="17" t="n">
        <x:v>17588</x:v>
      </x:c>
      <x:c r="I3151" s="17" t="str">
        <x:v>Followup</x:v>
      </x:c>
      <x:c r="J3151" s="27" t="n">
        <x:f>INDEX('Model Pricing'!$B$7:$B$8,MATCH(F3151,'Model Pricing'!$A$7:$A$8,0))</x:f>
        <x:v>40</x:v>
      </x:c>
      <x:c r="K3151" s="27" t="n">
        <x:f>INDEX('Model Pricing'!$C$7:$C$8,MATCH(F3151,'Model Pricing'!$A$7:$A$8,0))</x:f>
        <x:v>100</x:v>
      </x:c>
      <x:c r="L3151" s="17" t="n">
        <x:f>G3151+H3151</x:f>
        <x:v>40651</x:v>
      </x:c>
      <x:c r="M3151" s="28" t="n">
        <x:f>G3151*J3151/1000000</x:f>
        <x:v>0.92252</x:v>
      </x:c>
      <x:c r="N3151" s="28" t="n">
        <x:f>H3151*K3151/1000000</x:f>
        <x:v>1.7588</x:v>
      </x:c>
      <x:c r="O3151" s="28" t="n">
        <x:f>SUM(M3151:N3151)</x:f>
        <x:v>2.68132</x:v>
      </x:c>
    </x:row>
    <x:row r="3152" ht="23" customHeight="1">
      <x:c r="A3152" s="17" t="str">
        <x:v>U03146</x:v>
      </x:c>
      <x:c r="B3152" s="18" t="n">
        <x:v>46283</x:v>
      </x:c>
      <x:c r="C3152" s="17" t="str">
        <x:v>W0199</x:v>
      </x:c>
      <x:c r="D3152" s="17" t="str">
        <x:v>C004</x:v>
      </x:c>
      <x:c r="E3152" s="17" t="str">
        <x:v>DataFlow</x:v>
      </x:c>
      <x:c r="F3152" s="17" t="str">
        <x:v>Pro</x:v>
      </x:c>
      <x:c r="G3152" s="17" t="n">
        <x:v>10147</x:v>
      </x:c>
      <x:c r="H3152" s="17" t="n">
        <x:v>10275</x:v>
      </x:c>
      <x:c r="I3152" s="17" t="str">
        <x:v>Followup</x:v>
      </x:c>
      <x:c r="J3152" s="27" t="n">
        <x:f>INDEX('Model Pricing'!$B$7:$B$8,MATCH(F3152,'Model Pricing'!$A$7:$A$8,0))</x:f>
        <x:v>40</x:v>
      </x:c>
      <x:c r="K3152" s="27" t="n">
        <x:f>INDEX('Model Pricing'!$C$7:$C$8,MATCH(F3152,'Model Pricing'!$A$7:$A$8,0))</x:f>
        <x:v>100</x:v>
      </x:c>
      <x:c r="L3152" s="17" t="n">
        <x:f>G3152+H3152</x:f>
        <x:v>20422</x:v>
      </x:c>
      <x:c r="M3152" s="28" t="n">
        <x:f>G3152*J3152/1000000</x:f>
        <x:v>0.40588</x:v>
      </x:c>
      <x:c r="N3152" s="28" t="n">
        <x:f>H3152*K3152/1000000</x:f>
        <x:v>1.0275</x:v>
      </x:c>
      <x:c r="O3152" s="28" t="n">
        <x:f>SUM(M3152:N3152)</x:f>
        <x:v>1.43338</x:v>
      </x:c>
    </x:row>
    <x:row r="3153" ht="23" customHeight="1">
      <x:c r="A3153" s="17" t="str">
        <x:v>U03147</x:v>
      </x:c>
      <x:c r="B3153" s="18" t="n">
        <x:v>46286</x:v>
      </x:c>
      <x:c r="C3153" s="17" t="str">
        <x:v>W0199</x:v>
      </x:c>
      <x:c r="D3153" s="17" t="str">
        <x:v>C004</x:v>
      </x:c>
      <x:c r="E3153" s="17" t="str">
        <x:v>DataFlow</x:v>
      </x:c>
      <x:c r="F3153" s="17" t="str">
        <x:v>Pro</x:v>
      </x:c>
      <x:c r="G3153" s="17" t="n">
        <x:v>24380</x:v>
      </x:c>
      <x:c r="H3153" s="17" t="n">
        <x:v>6389</x:v>
      </x:c>
      <x:c r="I3153" s="17" t="str">
        <x:v>Followup</x:v>
      </x:c>
      <x:c r="J3153" s="27" t="n">
        <x:f>INDEX('Model Pricing'!$B$7:$B$8,MATCH(F3153,'Model Pricing'!$A$7:$A$8,0))</x:f>
        <x:v>40</x:v>
      </x:c>
      <x:c r="K3153" s="27" t="n">
        <x:f>INDEX('Model Pricing'!$C$7:$C$8,MATCH(F3153,'Model Pricing'!$A$7:$A$8,0))</x:f>
        <x:v>100</x:v>
      </x:c>
      <x:c r="L3153" s="17" t="n">
        <x:f>G3153+H3153</x:f>
        <x:v>30769</x:v>
      </x:c>
      <x:c r="M3153" s="28" t="n">
        <x:f>G3153*J3153/1000000</x:f>
        <x:v>0.9752</x:v>
      </x:c>
      <x:c r="N3153" s="28" t="n">
        <x:f>H3153*K3153/1000000</x:f>
        <x:v>0.6389</x:v>
      </x:c>
      <x:c r="O3153" s="28" t="n">
        <x:f>SUM(M3153:N3153)</x:f>
        <x:v>1.6141</x:v>
      </x:c>
    </x:row>
    <x:row r="3154" ht="23" customHeight="1">
      <x:c r="A3154" s="17" t="str">
        <x:v>U03148</x:v>
      </x:c>
      <x:c r="B3154" s="18" t="n">
        <x:v>46286</x:v>
      </x:c>
      <x:c r="C3154" s="17" t="str">
        <x:v>W0199</x:v>
      </x:c>
      <x:c r="D3154" s="17" t="str">
        <x:v>C004</x:v>
      </x:c>
      <x:c r="E3154" s="17" t="str">
        <x:v>DataFlow</x:v>
      </x:c>
      <x:c r="F3154" s="17" t="str">
        <x:v>Pro</x:v>
      </x:c>
      <x:c r="G3154" s="17" t="n">
        <x:v>17751</x:v>
      </x:c>
      <x:c r="H3154" s="17" t="n">
        <x:v>10692</x:v>
      </x:c>
      <x:c r="I3154" s="17" t="str">
        <x:v>Followup</x:v>
      </x:c>
      <x:c r="J3154" s="27" t="n">
        <x:f>INDEX('Model Pricing'!$B$7:$B$8,MATCH(F3154,'Model Pricing'!$A$7:$A$8,0))</x:f>
        <x:v>40</x:v>
      </x:c>
      <x:c r="K3154" s="27" t="n">
        <x:f>INDEX('Model Pricing'!$C$7:$C$8,MATCH(F3154,'Model Pricing'!$A$7:$A$8,0))</x:f>
        <x:v>100</x:v>
      </x:c>
      <x:c r="L3154" s="17" t="n">
        <x:f>G3154+H3154</x:f>
        <x:v>28443</x:v>
      </x:c>
      <x:c r="M3154" s="28" t="n">
        <x:f>G3154*J3154/1000000</x:f>
        <x:v>0.71004</x:v>
      </x:c>
      <x:c r="N3154" s="28" t="n">
        <x:f>H3154*K3154/1000000</x:f>
        <x:v>1.0692</x:v>
      </x:c>
      <x:c r="O3154" s="28" t="n">
        <x:f>SUM(M3154:N3154)</x:f>
        <x:v>1.77924</x:v>
      </x:c>
    </x:row>
    <x:row r="3155" ht="23" customHeight="1">
      <x:c r="A3155" s="17" t="str">
        <x:v>U03149</x:v>
      </x:c>
      <x:c r="B3155" s="18" t="n">
        <x:v>46286</x:v>
      </x:c>
      <x:c r="C3155" s="17" t="str">
        <x:v>W0199</x:v>
      </x:c>
      <x:c r="D3155" s="17" t="str">
        <x:v>C004</x:v>
      </x:c>
      <x:c r="E3155" s="17" t="str">
        <x:v>DataFlow</x:v>
      </x:c>
      <x:c r="F3155" s="17" t="str">
        <x:v>Pro</x:v>
      </x:c>
      <x:c r="G3155" s="17" t="n">
        <x:v>10751</x:v>
      </x:c>
      <x:c r="H3155" s="17" t="n">
        <x:v>12892</x:v>
      </x:c>
      <x:c r="I3155" s="17" t="str">
        <x:v>Followup</x:v>
      </x:c>
      <x:c r="J3155" s="27" t="n">
        <x:f>INDEX('Model Pricing'!$B$7:$B$8,MATCH(F3155,'Model Pricing'!$A$7:$A$8,0))</x:f>
        <x:v>40</x:v>
      </x:c>
      <x:c r="K3155" s="27" t="n">
        <x:f>INDEX('Model Pricing'!$C$7:$C$8,MATCH(F3155,'Model Pricing'!$A$7:$A$8,0))</x:f>
        <x:v>100</x:v>
      </x:c>
      <x:c r="L3155" s="17" t="n">
        <x:f>G3155+H3155</x:f>
        <x:v>23643</x:v>
      </x:c>
      <x:c r="M3155" s="28" t="n">
        <x:f>G3155*J3155/1000000</x:f>
        <x:v>0.43004</x:v>
      </x:c>
      <x:c r="N3155" s="28" t="n">
        <x:f>H3155*K3155/1000000</x:f>
        <x:v>1.2892</x:v>
      </x:c>
      <x:c r="O3155" s="28" t="n">
        <x:f>SUM(M3155:N3155)</x:f>
        <x:v>1.7192399999999999</x:v>
      </x:c>
    </x:row>
    <x:row r="3156" ht="23" customHeight="1">
      <x:c r="A3156" s="17" t="str">
        <x:v>U03150</x:v>
      </x:c>
      <x:c r="B3156" s="18" t="n">
        <x:v>46286</x:v>
      </x:c>
      <x:c r="C3156" s="17" t="str">
        <x:v>W0199</x:v>
      </x:c>
      <x:c r="D3156" s="17" t="str">
        <x:v>C004</x:v>
      </x:c>
      <x:c r="E3156" s="17" t="str">
        <x:v>DataFlow</x:v>
      </x:c>
      <x:c r="F3156" s="17" t="str">
        <x:v>Pro</x:v>
      </x:c>
      <x:c r="G3156" s="17" t="n">
        <x:v>17706</x:v>
      </x:c>
      <x:c r="H3156" s="17" t="n">
        <x:v>17275</x:v>
      </x:c>
      <x:c r="I3156" s="17" t="str">
        <x:v>Followup</x:v>
      </x:c>
      <x:c r="J3156" s="27" t="n">
        <x:f>INDEX('Model Pricing'!$B$7:$B$8,MATCH(F3156,'Model Pricing'!$A$7:$A$8,0))</x:f>
        <x:v>40</x:v>
      </x:c>
      <x:c r="K3156" s="27" t="n">
        <x:f>INDEX('Model Pricing'!$C$7:$C$8,MATCH(F3156,'Model Pricing'!$A$7:$A$8,0))</x:f>
        <x:v>100</x:v>
      </x:c>
      <x:c r="L3156" s="17" t="n">
        <x:f>G3156+H3156</x:f>
        <x:v>34981</x:v>
      </x:c>
      <x:c r="M3156" s="28" t="n">
        <x:f>G3156*J3156/1000000</x:f>
        <x:v>0.70824</x:v>
      </x:c>
      <x:c r="N3156" s="28" t="n">
        <x:f>H3156*K3156/1000000</x:f>
        <x:v>1.7275</x:v>
      </x:c>
      <x:c r="O3156" s="28" t="n">
        <x:f>SUM(M3156:N3156)</x:f>
        <x:v>2.43574</x:v>
      </x:c>
    </x:row>
    <x:row r="3157" ht="23" customHeight="1">
      <x:c r="A3157" s="17" t="str">
        <x:v>U03151</x:v>
      </x:c>
      <x:c r="B3157" s="18" t="n">
        <x:v>46287</x:v>
      </x:c>
      <x:c r="C3157" s="17" t="str">
        <x:v>W0199</x:v>
      </x:c>
      <x:c r="D3157" s="17" t="str">
        <x:v>C004</x:v>
      </x:c>
      <x:c r="E3157" s="17" t="str">
        <x:v>DataFlow</x:v>
      </x:c>
      <x:c r="F3157" s="17" t="str">
        <x:v>Pro</x:v>
      </x:c>
      <x:c r="G3157" s="17" t="n">
        <x:v>22476</x:v>
      </x:c>
      <x:c r="H3157" s="17" t="n">
        <x:v>14882</x:v>
      </x:c>
      <x:c r="I3157" s="17" t="str">
        <x:v>Correction</x:v>
      </x:c>
      <x:c r="J3157" s="27" t="n">
        <x:f>INDEX('Model Pricing'!$B$7:$B$8,MATCH(F3157,'Model Pricing'!$A$7:$A$8,0))</x:f>
        <x:v>40</x:v>
      </x:c>
      <x:c r="K3157" s="27" t="n">
        <x:f>INDEX('Model Pricing'!$C$7:$C$8,MATCH(F3157,'Model Pricing'!$A$7:$A$8,0))</x:f>
        <x:v>100</x:v>
      </x:c>
      <x:c r="L3157" s="17" t="n">
        <x:f>G3157+H3157</x:f>
        <x:v>37358</x:v>
      </x:c>
      <x:c r="M3157" s="28" t="n">
        <x:f>G3157*J3157/1000000</x:f>
        <x:v>0.89904</x:v>
      </x:c>
      <x:c r="N3157" s="28" t="n">
        <x:f>H3157*K3157/1000000</x:f>
        <x:v>1.4882</x:v>
      </x:c>
      <x:c r="O3157" s="28" t="n">
        <x:f>SUM(M3157:N3157)</x:f>
        <x:v>2.38724</x:v>
      </x:c>
    </x:row>
    <x:row r="3158" ht="23" customHeight="1">
      <x:c r="A3158" s="17" t="str">
        <x:v>U03152</x:v>
      </x:c>
      <x:c r="B3158" s="18" t="n">
        <x:v>46287</x:v>
      </x:c>
      <x:c r="C3158" s="17" t="str">
        <x:v>W0199</x:v>
      </x:c>
      <x:c r="D3158" s="17" t="str">
        <x:v>C004</x:v>
      </x:c>
      <x:c r="E3158" s="17" t="str">
        <x:v>DataFlow</x:v>
      </x:c>
      <x:c r="F3158" s="17" t="str">
        <x:v>Pro</x:v>
      </x:c>
      <x:c r="G3158" s="17" t="n">
        <x:v>21194</x:v>
      </x:c>
      <x:c r="H3158" s="17" t="n">
        <x:v>14014</x:v>
      </x:c>
      <x:c r="I3158" s="17" t="str">
        <x:v>Correction</x:v>
      </x:c>
      <x:c r="J3158" s="27" t="n">
        <x:f>INDEX('Model Pricing'!$B$7:$B$8,MATCH(F3158,'Model Pricing'!$A$7:$A$8,0))</x:f>
        <x:v>40</x:v>
      </x:c>
      <x:c r="K3158" s="27" t="n">
        <x:f>INDEX('Model Pricing'!$C$7:$C$8,MATCH(F3158,'Model Pricing'!$A$7:$A$8,0))</x:f>
        <x:v>100</x:v>
      </x:c>
      <x:c r="L3158" s="17" t="n">
        <x:f>G3158+H3158</x:f>
        <x:v>35208</x:v>
      </x:c>
      <x:c r="M3158" s="28" t="n">
        <x:f>G3158*J3158/1000000</x:f>
        <x:v>0.84776</x:v>
      </x:c>
      <x:c r="N3158" s="28" t="n">
        <x:f>H3158*K3158/1000000</x:f>
        <x:v>1.4014</x:v>
      </x:c>
      <x:c r="O3158" s="28" t="n">
        <x:f>SUM(M3158:N3158)</x:f>
        <x:v>2.24916</x:v>
      </x:c>
    </x:row>
    <x:row r="3159" ht="23" customHeight="1">
      <x:c r="A3159" s="17" t="str">
        <x:v>U03153</x:v>
      </x:c>
      <x:c r="B3159" s="18" t="n">
        <x:v>46287</x:v>
      </x:c>
      <x:c r="C3159" s="17" t="str">
        <x:v>W0199</x:v>
      </x:c>
      <x:c r="D3159" s="17" t="str">
        <x:v>C004</x:v>
      </x:c>
      <x:c r="E3159" s="17" t="str">
        <x:v>DataFlow</x:v>
      </x:c>
      <x:c r="F3159" s="17" t="str">
        <x:v>Pro</x:v>
      </x:c>
      <x:c r="G3159" s="17" t="n">
        <x:v>22351</x:v>
      </x:c>
      <x:c r="H3159" s="17" t="n">
        <x:v>8919</x:v>
      </x:c>
      <x:c r="I3159" s="17" t="str">
        <x:v>Correction</x:v>
      </x:c>
      <x:c r="J3159" s="27" t="n">
        <x:f>INDEX('Model Pricing'!$B$7:$B$8,MATCH(F3159,'Model Pricing'!$A$7:$A$8,0))</x:f>
        <x:v>40</x:v>
      </x:c>
      <x:c r="K3159" s="27" t="n">
        <x:f>INDEX('Model Pricing'!$C$7:$C$8,MATCH(F3159,'Model Pricing'!$A$7:$A$8,0))</x:f>
        <x:v>100</x:v>
      </x:c>
      <x:c r="L3159" s="17" t="n">
        <x:f>G3159+H3159</x:f>
        <x:v>31270</x:v>
      </x:c>
      <x:c r="M3159" s="28" t="n">
        <x:f>G3159*J3159/1000000</x:f>
        <x:v>0.89404</x:v>
      </x:c>
      <x:c r="N3159" s="28" t="n">
        <x:f>H3159*K3159/1000000</x:f>
        <x:v>0.8919</x:v>
      </x:c>
      <x:c r="O3159" s="28" t="n">
        <x:f>SUM(M3159:N3159)</x:f>
        <x:v>1.78594</x:v>
      </x:c>
    </x:row>
    <x:row r="3160" ht="23" customHeight="1">
      <x:c r="A3160" s="17" t="str">
        <x:v>U03154</x:v>
      </x:c>
      <x:c r="B3160" s="18" t="n">
        <x:v>46287</x:v>
      </x:c>
      <x:c r="C3160" s="17" t="str">
        <x:v>W0199</x:v>
      </x:c>
      <x:c r="D3160" s="17" t="str">
        <x:v>C004</x:v>
      </x:c>
      <x:c r="E3160" s="17" t="str">
        <x:v>DataFlow</x:v>
      </x:c>
      <x:c r="F3160" s="17" t="str">
        <x:v>Pro</x:v>
      </x:c>
      <x:c r="G3160" s="17" t="n">
        <x:v>26343</x:v>
      </x:c>
      <x:c r="H3160" s="17" t="n">
        <x:v>16182</x:v>
      </x:c>
      <x:c r="I3160" s="17" t="str">
        <x:v>Followup</x:v>
      </x:c>
      <x:c r="J3160" s="27" t="n">
        <x:f>INDEX('Model Pricing'!$B$7:$B$8,MATCH(F3160,'Model Pricing'!$A$7:$A$8,0))</x:f>
        <x:v>40</x:v>
      </x:c>
      <x:c r="K3160" s="27" t="n">
        <x:f>INDEX('Model Pricing'!$C$7:$C$8,MATCH(F3160,'Model Pricing'!$A$7:$A$8,0))</x:f>
        <x:v>100</x:v>
      </x:c>
      <x:c r="L3160" s="17" t="n">
        <x:f>G3160+H3160</x:f>
        <x:v>42525</x:v>
      </x:c>
      <x:c r="M3160" s="28" t="n">
        <x:f>G3160*J3160/1000000</x:f>
        <x:v>1.05372</x:v>
      </x:c>
      <x:c r="N3160" s="28" t="n">
        <x:f>H3160*K3160/1000000</x:f>
        <x:v>1.6182</x:v>
      </x:c>
      <x:c r="O3160" s="28" t="n">
        <x:f>SUM(M3160:N3160)</x:f>
        <x:v>2.67192</x:v>
      </x:c>
    </x:row>
    <x:row r="3161" ht="23" customHeight="1">
      <x:c r="A3161" s="17" t="str">
        <x:v>U03155</x:v>
      </x:c>
      <x:c r="B3161" s="18" t="n">
        <x:v>46288</x:v>
      </x:c>
      <x:c r="C3161" s="17" t="str">
        <x:v>W0199</x:v>
      </x:c>
      <x:c r="D3161" s="17" t="str">
        <x:v>C004</x:v>
      </x:c>
      <x:c r="E3161" s="17" t="str">
        <x:v>DataFlow</x:v>
      </x:c>
      <x:c r="F3161" s="17" t="str">
        <x:v>Pro</x:v>
      </x:c>
      <x:c r="G3161" s="17" t="n">
        <x:v>9815</x:v>
      </x:c>
      <x:c r="H3161" s="17" t="n">
        <x:v>18139</x:v>
      </x:c>
      <x:c r="I3161" s="17" t="str">
        <x:v>Followup</x:v>
      </x:c>
      <x:c r="J3161" s="27" t="n">
        <x:f>INDEX('Model Pricing'!$B$7:$B$8,MATCH(F3161,'Model Pricing'!$A$7:$A$8,0))</x:f>
        <x:v>40</x:v>
      </x:c>
      <x:c r="K3161" s="27" t="n">
        <x:f>INDEX('Model Pricing'!$C$7:$C$8,MATCH(F3161,'Model Pricing'!$A$7:$A$8,0))</x:f>
        <x:v>100</x:v>
      </x:c>
      <x:c r="L3161" s="17" t="n">
        <x:f>G3161+H3161</x:f>
        <x:v>27954</x:v>
      </x:c>
      <x:c r="M3161" s="28" t="n">
        <x:f>G3161*J3161/1000000</x:f>
        <x:v>0.3926</x:v>
      </x:c>
      <x:c r="N3161" s="28" t="n">
        <x:f>H3161*K3161/1000000</x:f>
        <x:v>1.8139</x:v>
      </x:c>
      <x:c r="O3161" s="28" t="n">
        <x:f>SUM(M3161:N3161)</x:f>
        <x:v>2.2065</x:v>
      </x:c>
    </x:row>
    <x:row r="3162" ht="23" customHeight="1">
      <x:c r="A3162" s="17" t="str">
        <x:v>U03156</x:v>
      </x:c>
      <x:c r="B3162" s="18" t="n">
        <x:v>46288</x:v>
      </x:c>
      <x:c r="C3162" s="17" t="str">
        <x:v>W0199</x:v>
      </x:c>
      <x:c r="D3162" s="17" t="str">
        <x:v>C004</x:v>
      </x:c>
      <x:c r="E3162" s="17" t="str">
        <x:v>DataFlow</x:v>
      </x:c>
      <x:c r="F3162" s="17" t="str">
        <x:v>Pro</x:v>
      </x:c>
      <x:c r="G3162" s="17" t="n">
        <x:v>18975</x:v>
      </x:c>
      <x:c r="H3162" s="17" t="n">
        <x:v>17312</x:v>
      </x:c>
      <x:c r="I3162" s="17" t="str">
        <x:v>Correction</x:v>
      </x:c>
      <x:c r="J3162" s="27" t="n">
        <x:f>INDEX('Model Pricing'!$B$7:$B$8,MATCH(F3162,'Model Pricing'!$A$7:$A$8,0))</x:f>
        <x:v>40</x:v>
      </x:c>
      <x:c r="K3162" s="27" t="n">
        <x:f>INDEX('Model Pricing'!$C$7:$C$8,MATCH(F3162,'Model Pricing'!$A$7:$A$8,0))</x:f>
        <x:v>100</x:v>
      </x:c>
      <x:c r="L3162" s="17" t="n">
        <x:f>G3162+H3162</x:f>
        <x:v>36287</x:v>
      </x:c>
      <x:c r="M3162" s="28" t="n">
        <x:f>G3162*J3162/1000000</x:f>
        <x:v>0.759</x:v>
      </x:c>
      <x:c r="N3162" s="28" t="n">
        <x:f>H3162*K3162/1000000</x:f>
        <x:v>1.7312</x:v>
      </x:c>
      <x:c r="O3162" s="28" t="n">
        <x:f>SUM(M3162:N3162)</x:f>
        <x:v>2.4902</x:v>
      </x:c>
    </x:row>
    <x:row r="3163" ht="23" customHeight="1">
      <x:c r="A3163" s="17" t="str">
        <x:v>U03157</x:v>
      </x:c>
      <x:c r="B3163" s="18" t="n">
        <x:v>46288</x:v>
      </x:c>
      <x:c r="C3163" s="17" t="str">
        <x:v>W0199</x:v>
      </x:c>
      <x:c r="D3163" s="17" t="str">
        <x:v>C004</x:v>
      </x:c>
      <x:c r="E3163" s="17" t="str">
        <x:v>DataFlow</x:v>
      </x:c>
      <x:c r="F3163" s="17" t="str">
        <x:v>Pro</x:v>
      </x:c>
      <x:c r="G3163" s="17" t="n">
        <x:v>26856</x:v>
      </x:c>
      <x:c r="H3163" s="17" t="n">
        <x:v>7522</x:v>
      </x:c>
      <x:c r="I3163" s="17" t="str">
        <x:v>Followup</x:v>
      </x:c>
      <x:c r="J3163" s="27" t="n">
        <x:f>INDEX('Model Pricing'!$B$7:$B$8,MATCH(F3163,'Model Pricing'!$A$7:$A$8,0))</x:f>
        <x:v>40</x:v>
      </x:c>
      <x:c r="K3163" s="27" t="n">
        <x:f>INDEX('Model Pricing'!$C$7:$C$8,MATCH(F3163,'Model Pricing'!$A$7:$A$8,0))</x:f>
        <x:v>100</x:v>
      </x:c>
      <x:c r="L3163" s="17" t="n">
        <x:f>G3163+H3163</x:f>
        <x:v>34378</x:v>
      </x:c>
      <x:c r="M3163" s="28" t="n">
        <x:f>G3163*J3163/1000000</x:f>
        <x:v>1.07424</x:v>
      </x:c>
      <x:c r="N3163" s="28" t="n">
        <x:f>H3163*K3163/1000000</x:f>
        <x:v>0.7522</x:v>
      </x:c>
      <x:c r="O3163" s="28" t="n">
        <x:f>SUM(M3163:N3163)</x:f>
        <x:v>1.82644</x:v>
      </x:c>
    </x:row>
    <x:row r="3164" ht="23" customHeight="1">
      <x:c r="A3164" s="17" t="str">
        <x:v>U03158</x:v>
      </x:c>
      <x:c r="B3164" s="18" t="n">
        <x:v>46288</x:v>
      </x:c>
      <x:c r="C3164" s="17" t="str">
        <x:v>W0199</x:v>
      </x:c>
      <x:c r="D3164" s="17" t="str">
        <x:v>C004</x:v>
      </x:c>
      <x:c r="E3164" s="17" t="str">
        <x:v>DataFlow</x:v>
      </x:c>
      <x:c r="F3164" s="17" t="str">
        <x:v>Pro</x:v>
      </x:c>
      <x:c r="G3164" s="17" t="n">
        <x:v>15805</x:v>
      </x:c>
      <x:c r="H3164" s="17" t="n">
        <x:v>5204</x:v>
      </x:c>
      <x:c r="I3164" s="17" t="str">
        <x:v>Followup</x:v>
      </x:c>
      <x:c r="J3164" s="27" t="n">
        <x:f>INDEX('Model Pricing'!$B$7:$B$8,MATCH(F3164,'Model Pricing'!$A$7:$A$8,0))</x:f>
        <x:v>40</x:v>
      </x:c>
      <x:c r="K3164" s="27" t="n">
        <x:f>INDEX('Model Pricing'!$C$7:$C$8,MATCH(F3164,'Model Pricing'!$A$7:$A$8,0))</x:f>
        <x:v>100</x:v>
      </x:c>
      <x:c r="L3164" s="17" t="n">
        <x:f>G3164+H3164</x:f>
        <x:v>21009</x:v>
      </x:c>
      <x:c r="M3164" s="28" t="n">
        <x:f>G3164*J3164/1000000</x:f>
        <x:v>0.6322</x:v>
      </x:c>
      <x:c r="N3164" s="28" t="n">
        <x:f>H3164*K3164/1000000</x:f>
        <x:v>0.5204</x:v>
      </x:c>
      <x:c r="O3164" s="28" t="n">
        <x:f>SUM(M3164:N3164)</x:f>
        <x:v>1.1526</x:v>
      </x:c>
    </x:row>
    <x:row r="3165" ht="23" customHeight="1">
      <x:c r="A3165" s="17" t="str">
        <x:v>U03159</x:v>
      </x:c>
      <x:c r="B3165" s="18" t="n">
        <x:v>46288</x:v>
      </x:c>
      <x:c r="C3165" s="17" t="str">
        <x:v>W0202</x:v>
      </x:c>
      <x:c r="D3165" s="17" t="str">
        <x:v>C004</x:v>
      </x:c>
      <x:c r="E3165" s="17" t="str">
        <x:v>CopyStudio</x:v>
      </x:c>
      <x:c r="F3165" s="17" t="str">
        <x:v>Pro</x:v>
      </x:c>
      <x:c r="G3165" s="17" t="n">
        <x:v>28925</x:v>
      </x:c>
      <x:c r="H3165" s="17" t="n">
        <x:v>6218</x:v>
      </x:c>
      <x:c r="I3165" s="17" t="str">
        <x:v>First attempt</x:v>
      </x:c>
      <x:c r="J3165" s="27" t="n">
        <x:f>INDEX('Model Pricing'!$B$7:$B$8,MATCH(F3165,'Model Pricing'!$A$7:$A$8,0))</x:f>
        <x:v>40</x:v>
      </x:c>
      <x:c r="K3165" s="27" t="n">
        <x:f>INDEX('Model Pricing'!$C$7:$C$8,MATCH(F3165,'Model Pricing'!$A$7:$A$8,0))</x:f>
        <x:v>100</x:v>
      </x:c>
      <x:c r="L3165" s="17" t="n">
        <x:f>G3165+H3165</x:f>
        <x:v>35143</x:v>
      </x:c>
      <x:c r="M3165" s="28" t="n">
        <x:f>G3165*J3165/1000000</x:f>
        <x:v>1.157</x:v>
      </x:c>
      <x:c r="N3165" s="28" t="n">
        <x:f>H3165*K3165/1000000</x:f>
        <x:v>0.6218</x:v>
      </x:c>
      <x:c r="O3165" s="28" t="n">
        <x:f>SUM(M3165:N3165)</x:f>
        <x:v>1.7788</x:v>
      </x:c>
    </x:row>
    <x:row r="3166" ht="23" customHeight="1">
      <x:c r="A3166" s="17" t="str">
        <x:v>U03160</x:v>
      </x:c>
      <x:c r="B3166" s="18" t="n">
        <x:v>46288</x:v>
      </x:c>
      <x:c r="C3166" s="17" t="str">
        <x:v>W0202</x:v>
      </x:c>
      <x:c r="D3166" s="17" t="str">
        <x:v>C004</x:v>
      </x:c>
      <x:c r="E3166" s="17" t="str">
        <x:v>CopyStudio</x:v>
      </x:c>
      <x:c r="F3166" s="17" t="str">
        <x:v>Pro</x:v>
      </x:c>
      <x:c r="G3166" s="17" t="n">
        <x:v>28957</x:v>
      </x:c>
      <x:c r="H3166" s="17" t="n">
        <x:v>3510</x:v>
      </x:c>
      <x:c r="I3166" s="17" t="str">
        <x:v>Correction</x:v>
      </x:c>
      <x:c r="J3166" s="27" t="n">
        <x:f>INDEX('Model Pricing'!$B$7:$B$8,MATCH(F3166,'Model Pricing'!$A$7:$A$8,0))</x:f>
        <x:v>40</x:v>
      </x:c>
      <x:c r="K3166" s="27" t="n">
        <x:f>INDEX('Model Pricing'!$C$7:$C$8,MATCH(F3166,'Model Pricing'!$A$7:$A$8,0))</x:f>
        <x:v>100</x:v>
      </x:c>
      <x:c r="L3166" s="17" t="n">
        <x:f>G3166+H3166</x:f>
        <x:v>32467</x:v>
      </x:c>
      <x:c r="M3166" s="28" t="n">
        <x:f>G3166*J3166/1000000</x:f>
        <x:v>1.15828</x:v>
      </x:c>
      <x:c r="N3166" s="28" t="n">
        <x:f>H3166*K3166/1000000</x:f>
        <x:v>0.351</x:v>
      </x:c>
      <x:c r="O3166" s="28" t="n">
        <x:f>SUM(M3166:N3166)</x:f>
        <x:v>1.50928</x:v>
      </x:c>
    </x:row>
    <x:row r="3167" ht="23" customHeight="1">
      <x:c r="A3167" s="17" t="str">
        <x:v>U03161</x:v>
      </x:c>
      <x:c r="B3167" s="18" t="n">
        <x:v>46288</x:v>
      </x:c>
      <x:c r="C3167" s="17" t="str">
        <x:v>W0202</x:v>
      </x:c>
      <x:c r="D3167" s="17" t="str">
        <x:v>C004</x:v>
      </x:c>
      <x:c r="E3167" s="17" t="str">
        <x:v>CopyStudio</x:v>
      </x:c>
      <x:c r="F3167" s="17" t="str">
        <x:v>Pro</x:v>
      </x:c>
      <x:c r="G3167" s="17" t="n">
        <x:v>18017</x:v>
      </x:c>
      <x:c r="H3167" s="17" t="n">
        <x:v>7787</x:v>
      </x:c>
      <x:c r="I3167" s="17" t="str">
        <x:v>Followup</x:v>
      </x:c>
      <x:c r="J3167" s="27" t="n">
        <x:f>INDEX('Model Pricing'!$B$7:$B$8,MATCH(F3167,'Model Pricing'!$A$7:$A$8,0))</x:f>
        <x:v>40</x:v>
      </x:c>
      <x:c r="K3167" s="27" t="n">
        <x:f>INDEX('Model Pricing'!$C$7:$C$8,MATCH(F3167,'Model Pricing'!$A$7:$A$8,0))</x:f>
        <x:v>100</x:v>
      </x:c>
      <x:c r="L3167" s="17" t="n">
        <x:f>G3167+H3167</x:f>
        <x:v>25804</x:v>
      </x:c>
      <x:c r="M3167" s="28" t="n">
        <x:f>G3167*J3167/1000000</x:f>
        <x:v>0.72068</x:v>
      </x:c>
      <x:c r="N3167" s="28" t="n">
        <x:f>H3167*K3167/1000000</x:f>
        <x:v>0.7787</x:v>
      </x:c>
      <x:c r="O3167" s="28" t="n">
        <x:f>SUM(M3167:N3167)</x:f>
        <x:v>1.49938</x:v>
      </x:c>
    </x:row>
    <x:row r="3168" ht="23" customHeight="1">
      <x:c r="A3168" s="17" t="str">
        <x:v>U03162</x:v>
      </x:c>
      <x:c r="B3168" s="18" t="n">
        <x:v>46288</x:v>
      </x:c>
      <x:c r="C3168" s="17" t="str">
        <x:v>W0202</x:v>
      </x:c>
      <x:c r="D3168" s="17" t="str">
        <x:v>C004</x:v>
      </x:c>
      <x:c r="E3168" s="17" t="str">
        <x:v>CopyStudio</x:v>
      </x:c>
      <x:c r="F3168" s="17" t="str">
        <x:v>Pro</x:v>
      </x:c>
      <x:c r="G3168" s="17" t="n">
        <x:v>23112</x:v>
      </x:c>
      <x:c r="H3168" s="17" t="n">
        <x:v>8036</x:v>
      </x:c>
      <x:c r="I3168" s="17" t="str">
        <x:v>Correction</x:v>
      </x:c>
      <x:c r="J3168" s="27" t="n">
        <x:f>INDEX('Model Pricing'!$B$7:$B$8,MATCH(F3168,'Model Pricing'!$A$7:$A$8,0))</x:f>
        <x:v>40</x:v>
      </x:c>
      <x:c r="K3168" s="27" t="n">
        <x:f>INDEX('Model Pricing'!$C$7:$C$8,MATCH(F3168,'Model Pricing'!$A$7:$A$8,0))</x:f>
        <x:v>100</x:v>
      </x:c>
      <x:c r="L3168" s="17" t="n">
        <x:f>G3168+H3168</x:f>
        <x:v>31148</x:v>
      </x:c>
      <x:c r="M3168" s="28" t="n">
        <x:f>G3168*J3168/1000000</x:f>
        <x:v>0.92448</x:v>
      </x:c>
      <x:c r="N3168" s="28" t="n">
        <x:f>H3168*K3168/1000000</x:f>
        <x:v>0.8036</x:v>
      </x:c>
      <x:c r="O3168" s="28" t="n">
        <x:f>SUM(M3168:N3168)</x:f>
        <x:v>1.7280799999999998</x:v>
      </x:c>
    </x:row>
    <x:row r="3169" ht="23" customHeight="1">
      <x:c r="A3169" s="17" t="str">
        <x:v>U03163</x:v>
      </x:c>
      <x:c r="B3169" s="18" t="n">
        <x:v>46289</x:v>
      </x:c>
      <x:c r="C3169" s="17" t="str">
        <x:v>W0202</x:v>
      </x:c>
      <x:c r="D3169" s="17" t="str">
        <x:v>C004</x:v>
      </x:c>
      <x:c r="E3169" s="17" t="str">
        <x:v>CopyStudio</x:v>
      </x:c>
      <x:c r="F3169" s="17" t="str">
        <x:v>Pro</x:v>
      </x:c>
      <x:c r="G3169" s="17" t="n">
        <x:v>33514</x:v>
      </x:c>
      <x:c r="H3169" s="17" t="n">
        <x:v>8512</x:v>
      </x:c>
      <x:c r="I3169" s="17" t="str">
        <x:v>Followup</x:v>
      </x:c>
      <x:c r="J3169" s="27" t="n">
        <x:f>INDEX('Model Pricing'!$B$7:$B$8,MATCH(F3169,'Model Pricing'!$A$7:$A$8,0))</x:f>
        <x:v>40</x:v>
      </x:c>
      <x:c r="K3169" s="27" t="n">
        <x:f>INDEX('Model Pricing'!$C$7:$C$8,MATCH(F3169,'Model Pricing'!$A$7:$A$8,0))</x:f>
        <x:v>100</x:v>
      </x:c>
      <x:c r="L3169" s="17" t="n">
        <x:f>G3169+H3169</x:f>
        <x:v>42026</x:v>
      </x:c>
      <x:c r="M3169" s="28" t="n">
        <x:f>G3169*J3169/1000000</x:f>
        <x:v>1.34056</x:v>
      </x:c>
      <x:c r="N3169" s="28" t="n">
        <x:f>H3169*K3169/1000000</x:f>
        <x:v>0.8512</x:v>
      </x:c>
      <x:c r="O3169" s="28" t="n">
        <x:f>SUM(M3169:N3169)</x:f>
        <x:v>2.19176</x:v>
      </x:c>
    </x:row>
    <x:row r="3170" ht="23" customHeight="1">
      <x:c r="A3170" s="17" t="str">
        <x:v>U03164</x:v>
      </x:c>
      <x:c r="B3170" s="18" t="n">
        <x:v>46289</x:v>
      </x:c>
      <x:c r="C3170" s="17" t="str">
        <x:v>W0202</x:v>
      </x:c>
      <x:c r="D3170" s="17" t="str">
        <x:v>C004</x:v>
      </x:c>
      <x:c r="E3170" s="17" t="str">
        <x:v>CopyStudio</x:v>
      </x:c>
      <x:c r="F3170" s="17" t="str">
        <x:v>Pro</x:v>
      </x:c>
      <x:c r="G3170" s="17" t="n">
        <x:v>31096</x:v>
      </x:c>
      <x:c r="H3170" s="17" t="n">
        <x:v>4783</x:v>
      </x:c>
      <x:c r="I3170" s="17" t="str">
        <x:v>Followup</x:v>
      </x:c>
      <x:c r="J3170" s="27" t="n">
        <x:f>INDEX('Model Pricing'!$B$7:$B$8,MATCH(F3170,'Model Pricing'!$A$7:$A$8,0))</x:f>
        <x:v>40</x:v>
      </x:c>
      <x:c r="K3170" s="27" t="n">
        <x:f>INDEX('Model Pricing'!$C$7:$C$8,MATCH(F3170,'Model Pricing'!$A$7:$A$8,0))</x:f>
        <x:v>100</x:v>
      </x:c>
      <x:c r="L3170" s="17" t="n">
        <x:f>G3170+H3170</x:f>
        <x:v>35879</x:v>
      </x:c>
      <x:c r="M3170" s="28" t="n">
        <x:f>G3170*J3170/1000000</x:f>
        <x:v>1.24384</x:v>
      </x:c>
      <x:c r="N3170" s="28" t="n">
        <x:f>H3170*K3170/1000000</x:f>
        <x:v>0.4783</x:v>
      </x:c>
      <x:c r="O3170" s="28" t="n">
        <x:f>SUM(M3170:N3170)</x:f>
        <x:v>1.72214</x:v>
      </x:c>
    </x:row>
    <x:row r="3171" ht="23" customHeight="1">
      <x:c r="A3171" s="17" t="str">
        <x:v>U03165</x:v>
      </x:c>
      <x:c r="B3171" s="18" t="n">
        <x:v>46289</x:v>
      </x:c>
      <x:c r="C3171" s="17" t="str">
        <x:v>W0202</x:v>
      </x:c>
      <x:c r="D3171" s="17" t="str">
        <x:v>C004</x:v>
      </x:c>
      <x:c r="E3171" s="17" t="str">
        <x:v>CopyStudio</x:v>
      </x:c>
      <x:c r="F3171" s="17" t="str">
        <x:v>Pro</x:v>
      </x:c>
      <x:c r="G3171" s="17" t="n">
        <x:v>20563</x:v>
      </x:c>
      <x:c r="H3171" s="17" t="n">
        <x:v>6655</x:v>
      </x:c>
      <x:c r="I3171" s="17" t="str">
        <x:v>Followup</x:v>
      </x:c>
      <x:c r="J3171" s="27" t="n">
        <x:f>INDEX('Model Pricing'!$B$7:$B$8,MATCH(F3171,'Model Pricing'!$A$7:$A$8,0))</x:f>
        <x:v>40</x:v>
      </x:c>
      <x:c r="K3171" s="27" t="n">
        <x:f>INDEX('Model Pricing'!$C$7:$C$8,MATCH(F3171,'Model Pricing'!$A$7:$A$8,0))</x:f>
        <x:v>100</x:v>
      </x:c>
      <x:c r="L3171" s="17" t="n">
        <x:f>G3171+H3171</x:f>
        <x:v>27218</x:v>
      </x:c>
      <x:c r="M3171" s="28" t="n">
        <x:f>G3171*J3171/1000000</x:f>
        <x:v>0.82252</x:v>
      </x:c>
      <x:c r="N3171" s="28" t="n">
        <x:f>H3171*K3171/1000000</x:f>
        <x:v>0.6655</x:v>
      </x:c>
      <x:c r="O3171" s="28" t="n">
        <x:f>SUM(M3171:N3171)</x:f>
        <x:v>1.4880200000000001</x:v>
      </x:c>
    </x:row>
    <x:row r="3172" ht="23" customHeight="1">
      <x:c r="A3172" s="17" t="str">
        <x:v>U03166</x:v>
      </x:c>
      <x:c r="B3172" s="18" t="n">
        <x:v>46290</x:v>
      </x:c>
      <x:c r="C3172" s="17" t="str">
        <x:v>W0202</x:v>
      </x:c>
      <x:c r="D3172" s="17" t="str">
        <x:v>C004</x:v>
      </x:c>
      <x:c r="E3172" s="17" t="str">
        <x:v>CopyStudio</x:v>
      </x:c>
      <x:c r="F3172" s="17" t="str">
        <x:v>Pro</x:v>
      </x:c>
      <x:c r="G3172" s="17" t="n">
        <x:v>15578</x:v>
      </x:c>
      <x:c r="H3172" s="17" t="n">
        <x:v>6512</x:v>
      </x:c>
      <x:c r="I3172" s="17" t="str">
        <x:v>Followup</x:v>
      </x:c>
      <x:c r="J3172" s="27" t="n">
        <x:f>INDEX('Model Pricing'!$B$7:$B$8,MATCH(F3172,'Model Pricing'!$A$7:$A$8,0))</x:f>
        <x:v>40</x:v>
      </x:c>
      <x:c r="K3172" s="27" t="n">
        <x:f>INDEX('Model Pricing'!$C$7:$C$8,MATCH(F3172,'Model Pricing'!$A$7:$A$8,0))</x:f>
        <x:v>100</x:v>
      </x:c>
      <x:c r="L3172" s="17" t="n">
        <x:f>G3172+H3172</x:f>
        <x:v>22090</x:v>
      </x:c>
      <x:c r="M3172" s="28" t="n">
        <x:f>G3172*J3172/1000000</x:f>
        <x:v>0.62312</x:v>
      </x:c>
      <x:c r="N3172" s="28" t="n">
        <x:f>H3172*K3172/1000000</x:f>
        <x:v>0.6512</x:v>
      </x:c>
      <x:c r="O3172" s="28" t="n">
        <x:f>SUM(M3172:N3172)</x:f>
        <x:v>1.27432</x:v>
      </x:c>
    </x:row>
    <x:row r="3173" ht="23" customHeight="1">
      <x:c r="A3173" s="17" t="str">
        <x:v>U03167</x:v>
      </x:c>
      <x:c r="B3173" s="18" t="n">
        <x:v>46290</x:v>
      </x:c>
      <x:c r="C3173" s="17" t="str">
        <x:v>W0202</x:v>
      </x:c>
      <x:c r="D3173" s="17" t="str">
        <x:v>C004</x:v>
      </x:c>
      <x:c r="E3173" s="17" t="str">
        <x:v>CopyStudio</x:v>
      </x:c>
      <x:c r="F3173" s="17" t="str">
        <x:v>Pro</x:v>
      </x:c>
      <x:c r="G3173" s="17" t="n">
        <x:v>24218</x:v>
      </x:c>
      <x:c r="H3173" s="17" t="n">
        <x:v>7935</x:v>
      </x:c>
      <x:c r="I3173" s="17" t="str">
        <x:v>Followup</x:v>
      </x:c>
      <x:c r="J3173" s="27" t="n">
        <x:f>INDEX('Model Pricing'!$B$7:$B$8,MATCH(F3173,'Model Pricing'!$A$7:$A$8,0))</x:f>
        <x:v>40</x:v>
      </x:c>
      <x:c r="K3173" s="27" t="n">
        <x:f>INDEX('Model Pricing'!$C$7:$C$8,MATCH(F3173,'Model Pricing'!$A$7:$A$8,0))</x:f>
        <x:v>100</x:v>
      </x:c>
      <x:c r="L3173" s="17" t="n">
        <x:f>G3173+H3173</x:f>
        <x:v>32153</x:v>
      </x:c>
      <x:c r="M3173" s="28" t="n">
        <x:f>G3173*J3173/1000000</x:f>
        <x:v>0.96872</x:v>
      </x:c>
      <x:c r="N3173" s="28" t="n">
        <x:f>H3173*K3173/1000000</x:f>
        <x:v>0.7935</x:v>
      </x:c>
      <x:c r="O3173" s="28" t="n">
        <x:f>SUM(M3173:N3173)</x:f>
        <x:v>1.7622200000000001</x:v>
      </x:c>
    </x:row>
    <x:row r="3174" ht="23" customHeight="1">
      <x:c r="A3174" s="17" t="str">
        <x:v>U03168</x:v>
      </x:c>
      <x:c r="B3174" s="18" t="n">
        <x:v>46290</x:v>
      </x:c>
      <x:c r="C3174" s="17" t="str">
        <x:v>W0202</x:v>
      </x:c>
      <x:c r="D3174" s="17" t="str">
        <x:v>C004</x:v>
      </x:c>
      <x:c r="E3174" s="17" t="str">
        <x:v>CopyStudio</x:v>
      </x:c>
      <x:c r="F3174" s="17" t="str">
        <x:v>Pro</x:v>
      </x:c>
      <x:c r="G3174" s="17" t="n">
        <x:v>26617</x:v>
      </x:c>
      <x:c r="H3174" s="17" t="n">
        <x:v>5776</x:v>
      </x:c>
      <x:c r="I3174" s="17" t="str">
        <x:v>Followup</x:v>
      </x:c>
      <x:c r="J3174" s="27" t="n">
        <x:f>INDEX('Model Pricing'!$B$7:$B$8,MATCH(F3174,'Model Pricing'!$A$7:$A$8,0))</x:f>
        <x:v>40</x:v>
      </x:c>
      <x:c r="K3174" s="27" t="n">
        <x:f>INDEX('Model Pricing'!$C$7:$C$8,MATCH(F3174,'Model Pricing'!$A$7:$A$8,0))</x:f>
        <x:v>100</x:v>
      </x:c>
      <x:c r="L3174" s="17" t="n">
        <x:f>G3174+H3174</x:f>
        <x:v>32393</x:v>
      </x:c>
      <x:c r="M3174" s="28" t="n">
        <x:f>G3174*J3174/1000000</x:f>
        <x:v>1.06468</x:v>
      </x:c>
      <x:c r="N3174" s="28" t="n">
        <x:f>H3174*K3174/1000000</x:f>
        <x:v>0.5776</x:v>
      </x:c>
      <x:c r="O3174" s="28" t="n">
        <x:f>SUM(M3174:N3174)</x:f>
        <x:v>1.64228</x:v>
      </x:c>
    </x:row>
    <x:row r="3175" ht="23" customHeight="1">
      <x:c r="A3175" s="17" t="str">
        <x:v>U03169</x:v>
      </x:c>
      <x:c r="B3175" s="18" t="n">
        <x:v>46293</x:v>
      </x:c>
      <x:c r="C3175" s="17" t="str">
        <x:v>W0202</x:v>
      </x:c>
      <x:c r="D3175" s="17" t="str">
        <x:v>C004</x:v>
      </x:c>
      <x:c r="E3175" s="17" t="str">
        <x:v>CopyStudio</x:v>
      </x:c>
      <x:c r="F3175" s="17" t="str">
        <x:v>Pro</x:v>
      </x:c>
      <x:c r="G3175" s="17" t="n">
        <x:v>24793</x:v>
      </x:c>
      <x:c r="H3175" s="17" t="n">
        <x:v>8548</x:v>
      </x:c>
      <x:c r="I3175" s="17" t="str">
        <x:v>Correction</x:v>
      </x:c>
      <x:c r="J3175" s="27" t="n">
        <x:f>INDEX('Model Pricing'!$B$7:$B$8,MATCH(F3175,'Model Pricing'!$A$7:$A$8,0))</x:f>
        <x:v>40</x:v>
      </x:c>
      <x:c r="K3175" s="27" t="n">
        <x:f>INDEX('Model Pricing'!$C$7:$C$8,MATCH(F3175,'Model Pricing'!$A$7:$A$8,0))</x:f>
        <x:v>100</x:v>
      </x:c>
      <x:c r="L3175" s="17" t="n">
        <x:f>G3175+H3175</x:f>
        <x:v>33341</x:v>
      </x:c>
      <x:c r="M3175" s="28" t="n">
        <x:f>G3175*J3175/1000000</x:f>
        <x:v>0.99172</x:v>
      </x:c>
      <x:c r="N3175" s="28" t="n">
        <x:f>H3175*K3175/1000000</x:f>
        <x:v>0.8548</x:v>
      </x:c>
      <x:c r="O3175" s="28" t="n">
        <x:f>SUM(M3175:N3175)</x:f>
        <x:v>1.84652</x:v>
      </x:c>
    </x:row>
    <x:row r="3176" ht="23" customHeight="1">
      <x:c r="A3176" s="17" t="str">
        <x:v>U03170</x:v>
      </x:c>
      <x:c r="B3176" s="18" t="n">
        <x:v>46293</x:v>
      </x:c>
      <x:c r="C3176" s="17" t="str">
        <x:v>W0202</x:v>
      </x:c>
      <x:c r="D3176" s="17" t="str">
        <x:v>C004</x:v>
      </x:c>
      <x:c r="E3176" s="17" t="str">
        <x:v>CopyStudio</x:v>
      </x:c>
      <x:c r="F3176" s="17" t="str">
        <x:v>Pro</x:v>
      </x:c>
      <x:c r="G3176" s="17" t="n">
        <x:v>20545</x:v>
      </x:c>
      <x:c r="H3176" s="17" t="n">
        <x:v>10026</x:v>
      </x:c>
      <x:c r="I3176" s="17" t="str">
        <x:v>Followup</x:v>
      </x:c>
      <x:c r="J3176" s="27" t="n">
        <x:f>INDEX('Model Pricing'!$B$7:$B$8,MATCH(F3176,'Model Pricing'!$A$7:$A$8,0))</x:f>
        <x:v>40</x:v>
      </x:c>
      <x:c r="K3176" s="27" t="n">
        <x:f>INDEX('Model Pricing'!$C$7:$C$8,MATCH(F3176,'Model Pricing'!$A$7:$A$8,0))</x:f>
        <x:v>100</x:v>
      </x:c>
      <x:c r="L3176" s="17" t="n">
        <x:f>G3176+H3176</x:f>
        <x:v>30571</x:v>
      </x:c>
      <x:c r="M3176" s="28" t="n">
        <x:f>G3176*J3176/1000000</x:f>
        <x:v>0.8218</x:v>
      </x:c>
      <x:c r="N3176" s="28" t="n">
        <x:f>H3176*K3176/1000000</x:f>
        <x:v>1.0026</x:v>
      </x:c>
      <x:c r="O3176" s="28" t="n">
        <x:f>SUM(M3176:N3176)</x:f>
        <x:v>1.8243999999999998</x:v>
      </x:c>
    </x:row>
    <x:row r="3177" ht="23" customHeight="1">
      <x:c r="A3177" s="17" t="str">
        <x:v>U03171</x:v>
      </x:c>
      <x:c r="B3177" s="18" t="n">
        <x:v>46293</x:v>
      </x:c>
      <x:c r="C3177" s="17" t="str">
        <x:v>W0202</x:v>
      </x:c>
      <x:c r="D3177" s="17" t="str">
        <x:v>C004</x:v>
      </x:c>
      <x:c r="E3177" s="17" t="str">
        <x:v>CopyStudio</x:v>
      </x:c>
      <x:c r="F3177" s="17" t="str">
        <x:v>Pro</x:v>
      </x:c>
      <x:c r="G3177" s="17" t="n">
        <x:v>19091</x:v>
      </x:c>
      <x:c r="H3177" s="17" t="n">
        <x:v>3692</x:v>
      </x:c>
      <x:c r="I3177" s="17" t="str">
        <x:v>Followup</x:v>
      </x:c>
      <x:c r="J3177" s="27" t="n">
        <x:f>INDEX('Model Pricing'!$B$7:$B$8,MATCH(F3177,'Model Pricing'!$A$7:$A$8,0))</x:f>
        <x:v>40</x:v>
      </x:c>
      <x:c r="K3177" s="27" t="n">
        <x:f>INDEX('Model Pricing'!$C$7:$C$8,MATCH(F3177,'Model Pricing'!$A$7:$A$8,0))</x:f>
        <x:v>100</x:v>
      </x:c>
      <x:c r="L3177" s="17" t="n">
        <x:f>G3177+H3177</x:f>
        <x:v>22783</x:v>
      </x:c>
      <x:c r="M3177" s="28" t="n">
        <x:f>G3177*J3177/1000000</x:f>
        <x:v>0.76364</x:v>
      </x:c>
      <x:c r="N3177" s="28" t="n">
        <x:f>H3177*K3177/1000000</x:f>
        <x:v>0.3692</x:v>
      </x:c>
      <x:c r="O3177" s="28" t="n">
        <x:f>SUM(M3177:N3177)</x:f>
        <x:v>1.1328399999999998</x:v>
      </x:c>
    </x:row>
    <x:row r="3178" ht="23" customHeight="1">
      <x:c r="A3178" s="17" t="str">
        <x:v>U03172</x:v>
      </x:c>
      <x:c r="B3178" s="18" t="n">
        <x:v>46276</x:v>
      </x:c>
      <x:c r="C3178" s="17" t="str">
        <x:v>W0206</x:v>
      </x:c>
      <x:c r="D3178" s="17" t="str">
        <x:v>C004</x:v>
      </x:c>
      <x:c r="E3178" s="17" t="str">
        <x:v>DataFlow</x:v>
      </x:c>
      <x:c r="F3178" s="17" t="str">
        <x:v>Pro</x:v>
      </x:c>
      <x:c r="G3178" s="17" t="n">
        <x:v>37264</x:v>
      </x:c>
      <x:c r="H3178" s="17" t="n">
        <x:v>4898</x:v>
      </x:c>
      <x:c r="I3178" s="17" t="str">
        <x:v>First attempt</x:v>
      </x:c>
      <x:c r="J3178" s="27" t="n">
        <x:f>INDEX('Model Pricing'!$B$7:$B$8,MATCH(F3178,'Model Pricing'!$A$7:$A$8,0))</x:f>
        <x:v>40</x:v>
      </x:c>
      <x:c r="K3178" s="27" t="n">
        <x:f>INDEX('Model Pricing'!$C$7:$C$8,MATCH(F3178,'Model Pricing'!$A$7:$A$8,0))</x:f>
        <x:v>100</x:v>
      </x:c>
      <x:c r="L3178" s="17" t="n">
        <x:f>G3178+H3178</x:f>
        <x:v>42162</x:v>
      </x:c>
      <x:c r="M3178" s="28" t="n">
        <x:f>G3178*J3178/1000000</x:f>
        <x:v>1.49056</x:v>
      </x:c>
      <x:c r="N3178" s="28" t="n">
        <x:f>H3178*K3178/1000000</x:f>
        <x:v>0.4898</x:v>
      </x:c>
      <x:c r="O3178" s="28" t="n">
        <x:f>SUM(M3178:N3178)</x:f>
        <x:v>1.9803600000000001</x:v>
      </x:c>
    </x:row>
    <x:row r="3179" ht="23" customHeight="1">
      <x:c r="A3179" s="17" t="str">
        <x:v>U03173</x:v>
      </x:c>
      <x:c r="B3179" s="18" t="n">
        <x:v>46276</x:v>
      </x:c>
      <x:c r="C3179" s="17" t="str">
        <x:v>W0206</x:v>
      </x:c>
      <x:c r="D3179" s="17" t="str">
        <x:v>C004</x:v>
      </x:c>
      <x:c r="E3179" s="17" t="str">
        <x:v>DataFlow</x:v>
      </x:c>
      <x:c r="F3179" s="17" t="str">
        <x:v>Pro</x:v>
      </x:c>
      <x:c r="G3179" s="17" t="n">
        <x:v>15945</x:v>
      </x:c>
      <x:c r="H3179" s="17" t="n">
        <x:v>5204</x:v>
      </x:c>
      <x:c r="I3179" s="17" t="str">
        <x:v>Followup</x:v>
      </x:c>
      <x:c r="J3179" s="27" t="n">
        <x:f>INDEX('Model Pricing'!$B$7:$B$8,MATCH(F3179,'Model Pricing'!$A$7:$A$8,0))</x:f>
        <x:v>40</x:v>
      </x:c>
      <x:c r="K3179" s="27" t="n">
        <x:f>INDEX('Model Pricing'!$C$7:$C$8,MATCH(F3179,'Model Pricing'!$A$7:$A$8,0))</x:f>
        <x:v>100</x:v>
      </x:c>
      <x:c r="L3179" s="17" t="n">
        <x:f>G3179+H3179</x:f>
        <x:v>21149</x:v>
      </x:c>
      <x:c r="M3179" s="28" t="n">
        <x:f>G3179*J3179/1000000</x:f>
        <x:v>0.6378</x:v>
      </x:c>
      <x:c r="N3179" s="28" t="n">
        <x:f>H3179*K3179/1000000</x:f>
        <x:v>0.5204</x:v>
      </x:c>
      <x:c r="O3179" s="28" t="n">
        <x:f>SUM(M3179:N3179)</x:f>
        <x:v>1.1582</x:v>
      </x:c>
    </x:row>
    <x:row r="3180" ht="23" customHeight="1">
      <x:c r="A3180" s="17" t="str">
        <x:v>U03174</x:v>
      </x:c>
      <x:c r="B3180" s="18" t="n">
        <x:v>46276</x:v>
      </x:c>
      <x:c r="C3180" s="17" t="str">
        <x:v>W0206</x:v>
      </x:c>
      <x:c r="D3180" s="17" t="str">
        <x:v>C004</x:v>
      </x:c>
      <x:c r="E3180" s="17" t="str">
        <x:v>DataFlow</x:v>
      </x:c>
      <x:c r="F3180" s="17" t="str">
        <x:v>Pro</x:v>
      </x:c>
      <x:c r="G3180" s="17" t="n">
        <x:v>15177</x:v>
      </x:c>
      <x:c r="H3180" s="17" t="n">
        <x:v>5478</x:v>
      </x:c>
      <x:c r="I3180" s="17" t="str">
        <x:v>Followup</x:v>
      </x:c>
      <x:c r="J3180" s="27" t="n">
        <x:f>INDEX('Model Pricing'!$B$7:$B$8,MATCH(F3180,'Model Pricing'!$A$7:$A$8,0))</x:f>
        <x:v>40</x:v>
      </x:c>
      <x:c r="K3180" s="27" t="n">
        <x:f>INDEX('Model Pricing'!$C$7:$C$8,MATCH(F3180,'Model Pricing'!$A$7:$A$8,0))</x:f>
        <x:v>100</x:v>
      </x:c>
      <x:c r="L3180" s="17" t="n">
        <x:f>G3180+H3180</x:f>
        <x:v>20655</x:v>
      </x:c>
      <x:c r="M3180" s="28" t="n">
        <x:f>G3180*J3180/1000000</x:f>
        <x:v>0.60708</x:v>
      </x:c>
      <x:c r="N3180" s="28" t="n">
        <x:f>H3180*K3180/1000000</x:f>
        <x:v>0.5478</x:v>
      </x:c>
      <x:c r="O3180" s="28" t="n">
        <x:f>SUM(M3180:N3180)</x:f>
        <x:v>1.15488</x:v>
      </x:c>
    </x:row>
    <x:row r="3181" ht="23" customHeight="1">
      <x:c r="A3181" s="17" t="str">
        <x:v>U03175</x:v>
      </x:c>
      <x:c r="B3181" s="18" t="n">
        <x:v>46276</x:v>
      </x:c>
      <x:c r="C3181" s="17" t="str">
        <x:v>W0206</x:v>
      </x:c>
      <x:c r="D3181" s="17" t="str">
        <x:v>C004</x:v>
      </x:c>
      <x:c r="E3181" s="17" t="str">
        <x:v>DataFlow</x:v>
      </x:c>
      <x:c r="F3181" s="17" t="str">
        <x:v>Pro</x:v>
      </x:c>
      <x:c r="G3181" s="17" t="n">
        <x:v>33763</x:v>
      </x:c>
      <x:c r="H3181" s="17" t="n">
        <x:v>5757</x:v>
      </x:c>
      <x:c r="I3181" s="17" t="str">
        <x:v>Followup</x:v>
      </x:c>
      <x:c r="J3181" s="27" t="n">
        <x:f>INDEX('Model Pricing'!$B$7:$B$8,MATCH(F3181,'Model Pricing'!$A$7:$A$8,0))</x:f>
        <x:v>40</x:v>
      </x:c>
      <x:c r="K3181" s="27" t="n">
        <x:f>INDEX('Model Pricing'!$C$7:$C$8,MATCH(F3181,'Model Pricing'!$A$7:$A$8,0))</x:f>
        <x:v>100</x:v>
      </x:c>
      <x:c r="L3181" s="17" t="n">
        <x:f>G3181+H3181</x:f>
        <x:v>39520</x:v>
      </x:c>
      <x:c r="M3181" s="28" t="n">
        <x:f>G3181*J3181/1000000</x:f>
        <x:v>1.35052</x:v>
      </x:c>
      <x:c r="N3181" s="28" t="n">
        <x:f>H3181*K3181/1000000</x:f>
        <x:v>0.5757</x:v>
      </x:c>
      <x:c r="O3181" s="28" t="n">
        <x:f>SUM(M3181:N3181)</x:f>
        <x:v>1.9262199999999998</x:v>
      </x:c>
    </x:row>
    <x:row r="3182" ht="23" customHeight="1">
      <x:c r="A3182" s="17" t="str">
        <x:v>U03176</x:v>
      </x:c>
      <x:c r="B3182" s="18" t="n">
        <x:v>46279</x:v>
      </x:c>
      <x:c r="C3182" s="17" t="str">
        <x:v>W0206</x:v>
      </x:c>
      <x:c r="D3182" s="17" t="str">
        <x:v>C004</x:v>
      </x:c>
      <x:c r="E3182" s="17" t="str">
        <x:v>DataFlow</x:v>
      </x:c>
      <x:c r="F3182" s="17" t="str">
        <x:v>Pro</x:v>
      </x:c>
      <x:c r="G3182" s="17" t="n">
        <x:v>15726</x:v>
      </x:c>
      <x:c r="H3182" s="17" t="n">
        <x:v>3225</x:v>
      </x:c>
      <x:c r="I3182" s="17" t="str">
        <x:v>Followup</x:v>
      </x:c>
      <x:c r="J3182" s="27" t="n">
        <x:f>INDEX('Model Pricing'!$B$7:$B$8,MATCH(F3182,'Model Pricing'!$A$7:$A$8,0))</x:f>
        <x:v>40</x:v>
      </x:c>
      <x:c r="K3182" s="27" t="n">
        <x:f>INDEX('Model Pricing'!$C$7:$C$8,MATCH(F3182,'Model Pricing'!$A$7:$A$8,0))</x:f>
        <x:v>100</x:v>
      </x:c>
      <x:c r="L3182" s="17" t="n">
        <x:f>G3182+H3182</x:f>
        <x:v>18951</x:v>
      </x:c>
      <x:c r="M3182" s="28" t="n">
        <x:f>G3182*J3182/1000000</x:f>
        <x:v>0.62904</x:v>
      </x:c>
      <x:c r="N3182" s="28" t="n">
        <x:f>H3182*K3182/1000000</x:f>
        <x:v>0.3225</x:v>
      </x:c>
      <x:c r="O3182" s="28" t="n">
        <x:f>SUM(M3182:N3182)</x:f>
        <x:v>0.95154</x:v>
      </x:c>
    </x:row>
    <x:row r="3183" ht="23" customHeight="1">
      <x:c r="A3183" s="17" t="str">
        <x:v>U03177</x:v>
      </x:c>
      <x:c r="B3183" s="18" t="n">
        <x:v>46279</x:v>
      </x:c>
      <x:c r="C3183" s="17" t="str">
        <x:v>W0206</x:v>
      </x:c>
      <x:c r="D3183" s="17" t="str">
        <x:v>C004</x:v>
      </x:c>
      <x:c r="E3183" s="17" t="str">
        <x:v>DataFlow</x:v>
      </x:c>
      <x:c r="F3183" s="17" t="str">
        <x:v>Pro</x:v>
      </x:c>
      <x:c r="G3183" s="17" t="n">
        <x:v>27461</x:v>
      </x:c>
      <x:c r="H3183" s="17" t="n">
        <x:v>7455</x:v>
      </x:c>
      <x:c r="I3183" s="17" t="str">
        <x:v>Correction</x:v>
      </x:c>
      <x:c r="J3183" s="27" t="n">
        <x:f>INDEX('Model Pricing'!$B$7:$B$8,MATCH(F3183,'Model Pricing'!$A$7:$A$8,0))</x:f>
        <x:v>40</x:v>
      </x:c>
      <x:c r="K3183" s="27" t="n">
        <x:f>INDEX('Model Pricing'!$C$7:$C$8,MATCH(F3183,'Model Pricing'!$A$7:$A$8,0))</x:f>
        <x:v>100</x:v>
      </x:c>
      <x:c r="L3183" s="17" t="n">
        <x:f>G3183+H3183</x:f>
        <x:v>34916</x:v>
      </x:c>
      <x:c r="M3183" s="28" t="n">
        <x:f>G3183*J3183/1000000</x:f>
        <x:v>1.09844</x:v>
      </x:c>
      <x:c r="N3183" s="28" t="n">
        <x:f>H3183*K3183/1000000</x:f>
        <x:v>0.7455</x:v>
      </x:c>
      <x:c r="O3183" s="28" t="n">
        <x:f>SUM(M3183:N3183)</x:f>
        <x:v>1.8439400000000001</x:v>
      </x:c>
    </x:row>
    <x:row r="3184" ht="23" customHeight="1">
      <x:c r="A3184" s="17" t="str">
        <x:v>U03178</x:v>
      </x:c>
      <x:c r="B3184" s="18" t="n">
        <x:v>46279</x:v>
      </x:c>
      <x:c r="C3184" s="17" t="str">
        <x:v>W0206</x:v>
      </x:c>
      <x:c r="D3184" s="17" t="str">
        <x:v>C004</x:v>
      </x:c>
      <x:c r="E3184" s="17" t="str">
        <x:v>DataFlow</x:v>
      </x:c>
      <x:c r="F3184" s="17" t="str">
        <x:v>Pro</x:v>
      </x:c>
      <x:c r="G3184" s="17" t="n">
        <x:v>34332</x:v>
      </x:c>
      <x:c r="H3184" s="17" t="n">
        <x:v>6646</x:v>
      </x:c>
      <x:c r="I3184" s="17" t="str">
        <x:v>Followup</x:v>
      </x:c>
      <x:c r="J3184" s="27" t="n">
        <x:f>INDEX('Model Pricing'!$B$7:$B$8,MATCH(F3184,'Model Pricing'!$A$7:$A$8,0))</x:f>
        <x:v>40</x:v>
      </x:c>
      <x:c r="K3184" s="27" t="n">
        <x:f>INDEX('Model Pricing'!$C$7:$C$8,MATCH(F3184,'Model Pricing'!$A$7:$A$8,0))</x:f>
        <x:v>100</x:v>
      </x:c>
      <x:c r="L3184" s="17" t="n">
        <x:f>G3184+H3184</x:f>
        <x:v>40978</x:v>
      </x:c>
      <x:c r="M3184" s="28" t="n">
        <x:f>G3184*J3184/1000000</x:f>
        <x:v>1.37328</x:v>
      </x:c>
      <x:c r="N3184" s="28" t="n">
        <x:f>H3184*K3184/1000000</x:f>
        <x:v>0.6646</x:v>
      </x:c>
      <x:c r="O3184" s="28" t="n">
        <x:f>SUM(M3184:N3184)</x:f>
        <x:v>2.03788</x:v>
      </x:c>
    </x:row>
    <x:row r="3185" ht="23" customHeight="1">
      <x:c r="A3185" s="17" t="str">
        <x:v>U03179</x:v>
      </x:c>
      <x:c r="B3185" s="18" t="n">
        <x:v>46280</x:v>
      </x:c>
      <x:c r="C3185" s="17" t="str">
        <x:v>W0206</x:v>
      </x:c>
      <x:c r="D3185" s="17" t="str">
        <x:v>C004</x:v>
      </x:c>
      <x:c r="E3185" s="17" t="str">
        <x:v>DataFlow</x:v>
      </x:c>
      <x:c r="F3185" s="17" t="str">
        <x:v>Pro</x:v>
      </x:c>
      <x:c r="G3185" s="17" t="n">
        <x:v>19851</x:v>
      </x:c>
      <x:c r="H3185" s="17" t="n">
        <x:v>7163</x:v>
      </x:c>
      <x:c r="I3185" s="17" t="str">
        <x:v>Followup</x:v>
      </x:c>
      <x:c r="J3185" s="27" t="n">
        <x:f>INDEX('Model Pricing'!$B$7:$B$8,MATCH(F3185,'Model Pricing'!$A$7:$A$8,0))</x:f>
        <x:v>40</x:v>
      </x:c>
      <x:c r="K3185" s="27" t="n">
        <x:f>INDEX('Model Pricing'!$C$7:$C$8,MATCH(F3185,'Model Pricing'!$A$7:$A$8,0))</x:f>
        <x:v>100</x:v>
      </x:c>
      <x:c r="L3185" s="17" t="n">
        <x:f>G3185+H3185</x:f>
        <x:v>27014</x:v>
      </x:c>
      <x:c r="M3185" s="28" t="n">
        <x:f>G3185*J3185/1000000</x:f>
        <x:v>0.79404</x:v>
      </x:c>
      <x:c r="N3185" s="28" t="n">
        <x:f>H3185*K3185/1000000</x:f>
        <x:v>0.7163</x:v>
      </x:c>
      <x:c r="O3185" s="28" t="n">
        <x:f>SUM(M3185:N3185)</x:f>
        <x:v>1.51034</x:v>
      </x:c>
    </x:row>
    <x:row r="3186" ht="23" customHeight="1">
      <x:c r="A3186" s="17" t="str">
        <x:v>U03180</x:v>
      </x:c>
      <x:c r="B3186" s="18" t="n">
        <x:v>46280</x:v>
      </x:c>
      <x:c r="C3186" s="17" t="str">
        <x:v>W0206</x:v>
      </x:c>
      <x:c r="D3186" s="17" t="str">
        <x:v>C004</x:v>
      </x:c>
      <x:c r="E3186" s="17" t="str">
        <x:v>DataFlow</x:v>
      </x:c>
      <x:c r="F3186" s="17" t="str">
        <x:v>Pro</x:v>
      </x:c>
      <x:c r="G3186" s="17" t="n">
        <x:v>20284</x:v>
      </x:c>
      <x:c r="H3186" s="17" t="n">
        <x:v>2649</x:v>
      </x:c>
      <x:c r="I3186" s="17" t="str">
        <x:v>Correction</x:v>
      </x:c>
      <x:c r="J3186" s="27" t="n">
        <x:f>INDEX('Model Pricing'!$B$7:$B$8,MATCH(F3186,'Model Pricing'!$A$7:$A$8,0))</x:f>
        <x:v>40</x:v>
      </x:c>
      <x:c r="K3186" s="27" t="n">
        <x:f>INDEX('Model Pricing'!$C$7:$C$8,MATCH(F3186,'Model Pricing'!$A$7:$A$8,0))</x:f>
        <x:v>100</x:v>
      </x:c>
      <x:c r="L3186" s="17" t="n">
        <x:f>G3186+H3186</x:f>
        <x:v>22933</x:v>
      </x:c>
      <x:c r="M3186" s="28" t="n">
        <x:f>G3186*J3186/1000000</x:f>
        <x:v>0.81136</x:v>
      </x:c>
      <x:c r="N3186" s="28" t="n">
        <x:f>H3186*K3186/1000000</x:f>
        <x:v>0.2649</x:v>
      </x:c>
      <x:c r="O3186" s="28" t="n">
        <x:f>SUM(M3186:N3186)</x:f>
        <x:v>1.07626</x:v>
      </x:c>
    </x:row>
    <x:row r="3187" ht="23" customHeight="1">
      <x:c r="A3187" s="17" t="str">
        <x:v>U03181</x:v>
      </x:c>
      <x:c r="B3187" s="18" t="n">
        <x:v>46280</x:v>
      </x:c>
      <x:c r="C3187" s="17" t="str">
        <x:v>W0206</x:v>
      </x:c>
      <x:c r="D3187" s="17" t="str">
        <x:v>C004</x:v>
      </x:c>
      <x:c r="E3187" s="17" t="str">
        <x:v>DataFlow</x:v>
      </x:c>
      <x:c r="F3187" s="17" t="str">
        <x:v>Pro</x:v>
      </x:c>
      <x:c r="G3187" s="17" t="n">
        <x:v>34000</x:v>
      </x:c>
      <x:c r="H3187" s="17" t="n">
        <x:v>5200</x:v>
      </x:c>
      <x:c r="I3187" s="17" t="str">
        <x:v>Followup</x:v>
      </x:c>
      <x:c r="J3187" s="27" t="n">
        <x:f>INDEX('Model Pricing'!$B$7:$B$8,MATCH(F3187,'Model Pricing'!$A$7:$A$8,0))</x:f>
        <x:v>40</x:v>
      </x:c>
      <x:c r="K3187" s="27" t="n">
        <x:f>INDEX('Model Pricing'!$C$7:$C$8,MATCH(F3187,'Model Pricing'!$A$7:$A$8,0))</x:f>
        <x:v>100</x:v>
      </x:c>
      <x:c r="L3187" s="17" t="n">
        <x:f>G3187+H3187</x:f>
        <x:v>39200</x:v>
      </x:c>
      <x:c r="M3187" s="28" t="n">
        <x:f>G3187*J3187/1000000</x:f>
        <x:v>1.36</x:v>
      </x:c>
      <x:c r="N3187" s="28" t="n">
        <x:f>H3187*K3187/1000000</x:f>
        <x:v>0.52</x:v>
      </x:c>
      <x:c r="O3187" s="28" t="n">
        <x:f>SUM(M3187:N3187)</x:f>
        <x:v>1.8800000000000001</x:v>
      </x:c>
    </x:row>
    <x:row r="3188" ht="23" customHeight="1">
      <x:c r="A3188" s="17" t="str">
        <x:v>U03182</x:v>
      </x:c>
      <x:c r="B3188" s="18" t="n">
        <x:v>46280</x:v>
      </x:c>
      <x:c r="C3188" s="17" t="str">
        <x:v>W0206</x:v>
      </x:c>
      <x:c r="D3188" s="17" t="str">
        <x:v>C004</x:v>
      </x:c>
      <x:c r="E3188" s="17" t="str">
        <x:v>DataFlow</x:v>
      </x:c>
      <x:c r="F3188" s="17" t="str">
        <x:v>Pro</x:v>
      </x:c>
      <x:c r="G3188" s="17" t="n">
        <x:v>27014</x:v>
      </x:c>
      <x:c r="H3188" s="17" t="n">
        <x:v>7286</x:v>
      </x:c>
      <x:c r="I3188" s="17" t="str">
        <x:v>Correction</x:v>
      </x:c>
      <x:c r="J3188" s="27" t="n">
        <x:f>INDEX('Model Pricing'!$B$7:$B$8,MATCH(F3188,'Model Pricing'!$A$7:$A$8,0))</x:f>
        <x:v>40</x:v>
      </x:c>
      <x:c r="K3188" s="27" t="n">
        <x:f>INDEX('Model Pricing'!$C$7:$C$8,MATCH(F3188,'Model Pricing'!$A$7:$A$8,0))</x:f>
        <x:v>100</x:v>
      </x:c>
      <x:c r="L3188" s="17" t="n">
        <x:f>G3188+H3188</x:f>
        <x:v>34300</x:v>
      </x:c>
      <x:c r="M3188" s="28" t="n">
        <x:f>G3188*J3188/1000000</x:f>
        <x:v>1.08056</x:v>
      </x:c>
      <x:c r="N3188" s="28" t="n">
        <x:f>H3188*K3188/1000000</x:f>
        <x:v>0.7286</x:v>
      </x:c>
      <x:c r="O3188" s="28" t="n">
        <x:f>SUM(M3188:N3188)</x:f>
        <x:v>1.8091599999999999</x:v>
      </x:c>
    </x:row>
    <x:row r="3189" ht="23" customHeight="1">
      <x:c r="A3189" s="17" t="str">
        <x:v>U03183</x:v>
      </x:c>
      <x:c r="B3189" s="18" t="n">
        <x:v>46281</x:v>
      </x:c>
      <x:c r="C3189" s="17" t="str">
        <x:v>W0206</x:v>
      </x:c>
      <x:c r="D3189" s="17" t="str">
        <x:v>C004</x:v>
      </x:c>
      <x:c r="E3189" s="17" t="str">
        <x:v>DataFlow</x:v>
      </x:c>
      <x:c r="F3189" s="17" t="str">
        <x:v>Pro</x:v>
      </x:c>
      <x:c r="G3189" s="17" t="n">
        <x:v>36524</x:v>
      </x:c>
      <x:c r="H3189" s="17" t="n">
        <x:v>4645</x:v>
      </x:c>
      <x:c r="I3189" s="17" t="str">
        <x:v>Followup</x:v>
      </x:c>
      <x:c r="J3189" s="27" t="n">
        <x:f>INDEX('Model Pricing'!$B$7:$B$8,MATCH(F3189,'Model Pricing'!$A$7:$A$8,0))</x:f>
        <x:v>40</x:v>
      </x:c>
      <x:c r="K3189" s="27" t="n">
        <x:f>INDEX('Model Pricing'!$C$7:$C$8,MATCH(F3189,'Model Pricing'!$A$7:$A$8,0))</x:f>
        <x:v>100</x:v>
      </x:c>
      <x:c r="L3189" s="17" t="n">
        <x:f>G3189+H3189</x:f>
        <x:v>41169</x:v>
      </x:c>
      <x:c r="M3189" s="28" t="n">
        <x:f>G3189*J3189/1000000</x:f>
        <x:v>1.46096</x:v>
      </x:c>
      <x:c r="N3189" s="28" t="n">
        <x:f>H3189*K3189/1000000</x:f>
        <x:v>0.4645</x:v>
      </x:c>
      <x:c r="O3189" s="28" t="n">
        <x:f>SUM(M3189:N3189)</x:f>
        <x:v>1.9254600000000002</x:v>
      </x:c>
    </x:row>
    <x:row r="3190" ht="23" customHeight="1">
      <x:c r="A3190" s="17" t="str">
        <x:v>U03184</x:v>
      </x:c>
      <x:c r="B3190" s="18" t="n">
        <x:v>46281</x:v>
      </x:c>
      <x:c r="C3190" s="17" t="str">
        <x:v>W0206</x:v>
      </x:c>
      <x:c r="D3190" s="17" t="str">
        <x:v>C004</x:v>
      </x:c>
      <x:c r="E3190" s="17" t="str">
        <x:v>DataFlow</x:v>
      </x:c>
      <x:c r="F3190" s="17" t="str">
        <x:v>Pro</x:v>
      </x:c>
      <x:c r="G3190" s="17" t="n">
        <x:v>37315</x:v>
      </x:c>
      <x:c r="H3190" s="17" t="n">
        <x:v>5571</x:v>
      </x:c>
      <x:c r="I3190" s="17" t="str">
        <x:v>Followup</x:v>
      </x:c>
      <x:c r="J3190" s="27" t="n">
        <x:f>INDEX('Model Pricing'!$B$7:$B$8,MATCH(F3190,'Model Pricing'!$A$7:$A$8,0))</x:f>
        <x:v>40</x:v>
      </x:c>
      <x:c r="K3190" s="27" t="n">
        <x:f>INDEX('Model Pricing'!$C$7:$C$8,MATCH(F3190,'Model Pricing'!$A$7:$A$8,0))</x:f>
        <x:v>100</x:v>
      </x:c>
      <x:c r="L3190" s="17" t="n">
        <x:f>G3190+H3190</x:f>
        <x:v>42886</x:v>
      </x:c>
      <x:c r="M3190" s="28" t="n">
        <x:f>G3190*J3190/1000000</x:f>
        <x:v>1.4926</x:v>
      </x:c>
      <x:c r="N3190" s="28" t="n">
        <x:f>H3190*K3190/1000000</x:f>
        <x:v>0.5571</x:v>
      </x:c>
      <x:c r="O3190" s="28" t="n">
        <x:f>SUM(M3190:N3190)</x:f>
        <x:v>2.0497</x:v>
      </x:c>
    </x:row>
    <x:row r="3191" ht="23" customHeight="1">
      <x:c r="A3191" s="17" t="str">
        <x:v>U03185</x:v>
      </x:c>
      <x:c r="B3191" s="18" t="n">
        <x:v>46281</x:v>
      </x:c>
      <x:c r="C3191" s="17" t="str">
        <x:v>W0206</x:v>
      </x:c>
      <x:c r="D3191" s="17" t="str">
        <x:v>C004</x:v>
      </x:c>
      <x:c r="E3191" s="17" t="str">
        <x:v>DataFlow</x:v>
      </x:c>
      <x:c r="F3191" s="17" t="str">
        <x:v>Pro</x:v>
      </x:c>
      <x:c r="G3191" s="17" t="n">
        <x:v>28257</x:v>
      </x:c>
      <x:c r="H3191" s="17" t="n">
        <x:v>6338</x:v>
      </x:c>
      <x:c r="I3191" s="17" t="str">
        <x:v>Followup</x:v>
      </x:c>
      <x:c r="J3191" s="27" t="n">
        <x:f>INDEX('Model Pricing'!$B$7:$B$8,MATCH(F3191,'Model Pricing'!$A$7:$A$8,0))</x:f>
        <x:v>40</x:v>
      </x:c>
      <x:c r="K3191" s="27" t="n">
        <x:f>INDEX('Model Pricing'!$C$7:$C$8,MATCH(F3191,'Model Pricing'!$A$7:$A$8,0))</x:f>
        <x:v>100</x:v>
      </x:c>
      <x:c r="L3191" s="17" t="n">
        <x:f>G3191+H3191</x:f>
        <x:v>34595</x:v>
      </x:c>
      <x:c r="M3191" s="28" t="n">
        <x:f>G3191*J3191/1000000</x:f>
        <x:v>1.13028</x:v>
      </x:c>
      <x:c r="N3191" s="28" t="n">
        <x:f>H3191*K3191/1000000</x:f>
        <x:v>0.6338</x:v>
      </x:c>
      <x:c r="O3191" s="28" t="n">
        <x:f>SUM(M3191:N3191)</x:f>
        <x:v>1.7640799999999999</x:v>
      </x:c>
    </x:row>
    <x:row r="3192" ht="23" customHeight="1">
      <x:c r="A3192" s="17" t="str">
        <x:v>U03186</x:v>
      </x:c>
      <x:c r="B3192" s="18" t="n">
        <x:v>46287</x:v>
      </x:c>
      <x:c r="C3192" s="17" t="str">
        <x:v>W0207</x:v>
      </x:c>
      <x:c r="D3192" s="17" t="str">
        <x:v>C004</x:v>
      </x:c>
      <x:c r="E3192" s="17" t="str">
        <x:v>DataFlow</x:v>
      </x:c>
      <x:c r="F3192" s="17" t="str">
        <x:v>Pro</x:v>
      </x:c>
      <x:c r="G3192" s="17" t="n">
        <x:v>25117</x:v>
      </x:c>
      <x:c r="H3192" s="17" t="n">
        <x:v>6523</x:v>
      </x:c>
      <x:c r="I3192" s="17" t="str">
        <x:v>First attempt</x:v>
      </x:c>
      <x:c r="J3192" s="27" t="n">
        <x:f>INDEX('Model Pricing'!$B$7:$B$8,MATCH(F3192,'Model Pricing'!$A$7:$A$8,0))</x:f>
        <x:v>40</x:v>
      </x:c>
      <x:c r="K3192" s="27" t="n">
        <x:f>INDEX('Model Pricing'!$C$7:$C$8,MATCH(F3192,'Model Pricing'!$A$7:$A$8,0))</x:f>
        <x:v>100</x:v>
      </x:c>
      <x:c r="L3192" s="17" t="n">
        <x:f>G3192+H3192</x:f>
        <x:v>31640</x:v>
      </x:c>
      <x:c r="M3192" s="28" t="n">
        <x:f>G3192*J3192/1000000</x:f>
        <x:v>1.00468</x:v>
      </x:c>
      <x:c r="N3192" s="28" t="n">
        <x:f>H3192*K3192/1000000</x:f>
        <x:v>0.6523</x:v>
      </x:c>
      <x:c r="O3192" s="28" t="n">
        <x:f>SUM(M3192:N3192)</x:f>
        <x:v>1.65698</x:v>
      </x:c>
    </x:row>
    <x:row r="3193" ht="23" customHeight="1">
      <x:c r="A3193" s="17" t="str">
        <x:v>U03187</x:v>
      </x:c>
      <x:c r="B3193" s="18" t="n">
        <x:v>46287</x:v>
      </x:c>
      <x:c r="C3193" s="17" t="str">
        <x:v>W0207</x:v>
      </x:c>
      <x:c r="D3193" s="17" t="str">
        <x:v>C004</x:v>
      </x:c>
      <x:c r="E3193" s="17" t="str">
        <x:v>DataFlow</x:v>
      </x:c>
      <x:c r="F3193" s="17" t="str">
        <x:v>Pro</x:v>
      </x:c>
      <x:c r="G3193" s="17" t="n">
        <x:v>10922</x:v>
      </x:c>
      <x:c r="H3193" s="17" t="n">
        <x:v>7718</x:v>
      </x:c>
      <x:c r="I3193" s="17" t="str">
        <x:v>Followup</x:v>
      </x:c>
      <x:c r="J3193" s="27" t="n">
        <x:f>INDEX('Model Pricing'!$B$7:$B$8,MATCH(F3193,'Model Pricing'!$A$7:$A$8,0))</x:f>
        <x:v>40</x:v>
      </x:c>
      <x:c r="K3193" s="27" t="n">
        <x:f>INDEX('Model Pricing'!$C$7:$C$8,MATCH(F3193,'Model Pricing'!$A$7:$A$8,0))</x:f>
        <x:v>100</x:v>
      </x:c>
      <x:c r="L3193" s="17" t="n">
        <x:f>G3193+H3193</x:f>
        <x:v>18640</x:v>
      </x:c>
      <x:c r="M3193" s="28" t="n">
        <x:f>G3193*J3193/1000000</x:f>
        <x:v>0.43688</x:v>
      </x:c>
      <x:c r="N3193" s="28" t="n">
        <x:f>H3193*K3193/1000000</x:f>
        <x:v>0.7718</x:v>
      </x:c>
      <x:c r="O3193" s="28" t="n">
        <x:f>SUM(M3193:N3193)</x:f>
        <x:v>1.20868</x:v>
      </x:c>
    </x:row>
    <x:row r="3194" ht="23" customHeight="1">
      <x:c r="A3194" s="17" t="str">
        <x:v>U03188</x:v>
      </x:c>
      <x:c r="B3194" s="18" t="n">
        <x:v>46287</x:v>
      </x:c>
      <x:c r="C3194" s="17" t="str">
        <x:v>W0207</x:v>
      </x:c>
      <x:c r="D3194" s="17" t="str">
        <x:v>C004</x:v>
      </x:c>
      <x:c r="E3194" s="17" t="str">
        <x:v>DataFlow</x:v>
      </x:c>
      <x:c r="F3194" s="17" t="str">
        <x:v>Pro</x:v>
      </x:c>
      <x:c r="G3194" s="17" t="n">
        <x:v>20509</x:v>
      </x:c>
      <x:c r="H3194" s="17" t="n">
        <x:v>7392</x:v>
      </x:c>
      <x:c r="I3194" s="17" t="str">
        <x:v>Followup</x:v>
      </x:c>
      <x:c r="J3194" s="27" t="n">
        <x:f>INDEX('Model Pricing'!$B$7:$B$8,MATCH(F3194,'Model Pricing'!$A$7:$A$8,0))</x:f>
        <x:v>40</x:v>
      </x:c>
      <x:c r="K3194" s="27" t="n">
        <x:f>INDEX('Model Pricing'!$C$7:$C$8,MATCH(F3194,'Model Pricing'!$A$7:$A$8,0))</x:f>
        <x:v>100</x:v>
      </x:c>
      <x:c r="L3194" s="17" t="n">
        <x:f>G3194+H3194</x:f>
        <x:v>27901</x:v>
      </x:c>
      <x:c r="M3194" s="28" t="n">
        <x:f>G3194*J3194/1000000</x:f>
        <x:v>0.82036</x:v>
      </x:c>
      <x:c r="N3194" s="28" t="n">
        <x:f>H3194*K3194/1000000</x:f>
        <x:v>0.7392</x:v>
      </x:c>
      <x:c r="O3194" s="28" t="n">
        <x:f>SUM(M3194:N3194)</x:f>
        <x:v>1.5595599999999998</x:v>
      </x:c>
    </x:row>
    <x:row r="3195" ht="23" customHeight="1">
      <x:c r="A3195" s="17" t="str">
        <x:v>U03189</x:v>
      </x:c>
      <x:c r="B3195" s="18" t="n">
        <x:v>46287</x:v>
      </x:c>
      <x:c r="C3195" s="17" t="str">
        <x:v>W0207</x:v>
      </x:c>
      <x:c r="D3195" s="17" t="str">
        <x:v>C004</x:v>
      </x:c>
      <x:c r="E3195" s="17" t="str">
        <x:v>DataFlow</x:v>
      </x:c>
      <x:c r="F3195" s="17" t="str">
        <x:v>Pro</x:v>
      </x:c>
      <x:c r="G3195" s="17" t="n">
        <x:v>15759</x:v>
      </x:c>
      <x:c r="H3195" s="17" t="n">
        <x:v>3242</x:v>
      </x:c>
      <x:c r="I3195" s="17" t="str">
        <x:v>Followup</x:v>
      </x:c>
      <x:c r="J3195" s="27" t="n">
        <x:f>INDEX('Model Pricing'!$B$7:$B$8,MATCH(F3195,'Model Pricing'!$A$7:$A$8,0))</x:f>
        <x:v>40</x:v>
      </x:c>
      <x:c r="K3195" s="27" t="n">
        <x:f>INDEX('Model Pricing'!$C$7:$C$8,MATCH(F3195,'Model Pricing'!$A$7:$A$8,0))</x:f>
        <x:v>100</x:v>
      </x:c>
      <x:c r="L3195" s="17" t="n">
        <x:f>G3195+H3195</x:f>
        <x:v>19001</x:v>
      </x:c>
      <x:c r="M3195" s="28" t="n">
        <x:f>G3195*J3195/1000000</x:f>
        <x:v>0.63036</x:v>
      </x:c>
      <x:c r="N3195" s="28" t="n">
        <x:f>H3195*K3195/1000000</x:f>
        <x:v>0.3242</x:v>
      </x:c>
      <x:c r="O3195" s="28" t="n">
        <x:f>SUM(M3195:N3195)</x:f>
        <x:v>0.9545600000000001</x:v>
      </x:c>
    </x:row>
    <x:row r="3196" ht="23" customHeight="1">
      <x:c r="A3196" s="17" t="str">
        <x:v>U03190</x:v>
      </x:c>
      <x:c r="B3196" s="18" t="n">
        <x:v>46288</x:v>
      </x:c>
      <x:c r="C3196" s="17" t="str">
        <x:v>W0207</x:v>
      </x:c>
      <x:c r="D3196" s="17" t="str">
        <x:v>C004</x:v>
      </x:c>
      <x:c r="E3196" s="17" t="str">
        <x:v>DataFlow</x:v>
      </x:c>
      <x:c r="F3196" s="17" t="str">
        <x:v>Pro</x:v>
      </x:c>
      <x:c r="G3196" s="17" t="n">
        <x:v>13493</x:v>
      </x:c>
      <x:c r="H3196" s="17" t="n">
        <x:v>5476</x:v>
      </x:c>
      <x:c r="I3196" s="17" t="str">
        <x:v>Followup</x:v>
      </x:c>
      <x:c r="J3196" s="27" t="n">
        <x:f>INDEX('Model Pricing'!$B$7:$B$8,MATCH(F3196,'Model Pricing'!$A$7:$A$8,0))</x:f>
        <x:v>40</x:v>
      </x:c>
      <x:c r="K3196" s="27" t="n">
        <x:f>INDEX('Model Pricing'!$C$7:$C$8,MATCH(F3196,'Model Pricing'!$A$7:$A$8,0))</x:f>
        <x:v>100</x:v>
      </x:c>
      <x:c r="L3196" s="17" t="n">
        <x:f>G3196+H3196</x:f>
        <x:v>18969</x:v>
      </x:c>
      <x:c r="M3196" s="28" t="n">
        <x:f>G3196*J3196/1000000</x:f>
        <x:v>0.53972</x:v>
      </x:c>
      <x:c r="N3196" s="28" t="n">
        <x:f>H3196*K3196/1000000</x:f>
        <x:v>0.5476</x:v>
      </x:c>
      <x:c r="O3196" s="28" t="n">
        <x:f>SUM(M3196:N3196)</x:f>
        <x:v>1.08732</x:v>
      </x:c>
    </x:row>
    <x:row r="3197" ht="23" customHeight="1">
      <x:c r="A3197" s="17" t="str">
        <x:v>U03191</x:v>
      </x:c>
      <x:c r="B3197" s="18" t="n">
        <x:v>46288</x:v>
      </x:c>
      <x:c r="C3197" s="17" t="str">
        <x:v>W0207</x:v>
      </x:c>
      <x:c r="D3197" s="17" t="str">
        <x:v>C004</x:v>
      </x:c>
      <x:c r="E3197" s="17" t="str">
        <x:v>DataFlow</x:v>
      </x:c>
      <x:c r="F3197" s="17" t="str">
        <x:v>Pro</x:v>
      </x:c>
      <x:c r="G3197" s="17" t="n">
        <x:v>12990</x:v>
      </x:c>
      <x:c r="H3197" s="17" t="n">
        <x:v>4216</x:v>
      </x:c>
      <x:c r="I3197" s="17" t="str">
        <x:v>Followup</x:v>
      </x:c>
      <x:c r="J3197" s="27" t="n">
        <x:f>INDEX('Model Pricing'!$B$7:$B$8,MATCH(F3197,'Model Pricing'!$A$7:$A$8,0))</x:f>
        <x:v>40</x:v>
      </x:c>
      <x:c r="K3197" s="27" t="n">
        <x:f>INDEX('Model Pricing'!$C$7:$C$8,MATCH(F3197,'Model Pricing'!$A$7:$A$8,0))</x:f>
        <x:v>100</x:v>
      </x:c>
      <x:c r="L3197" s="17" t="n">
        <x:f>G3197+H3197</x:f>
        <x:v>17206</x:v>
      </x:c>
      <x:c r="M3197" s="28" t="n">
        <x:f>G3197*J3197/1000000</x:f>
        <x:v>0.5196</x:v>
      </x:c>
      <x:c r="N3197" s="28" t="n">
        <x:f>H3197*K3197/1000000</x:f>
        <x:v>0.4216</x:v>
      </x:c>
      <x:c r="O3197" s="28" t="n">
        <x:f>SUM(M3197:N3197)</x:f>
        <x:v>0.9411999999999999</x:v>
      </x:c>
    </x:row>
    <x:row r="3198" ht="23" customHeight="1">
      <x:c r="A3198" s="17" t="str">
        <x:v>U03192</x:v>
      </x:c>
      <x:c r="B3198" s="18" t="n">
        <x:v>46288</x:v>
      </x:c>
      <x:c r="C3198" s="17" t="str">
        <x:v>W0207</x:v>
      </x:c>
      <x:c r="D3198" s="17" t="str">
        <x:v>C004</x:v>
      </x:c>
      <x:c r="E3198" s="17" t="str">
        <x:v>DataFlow</x:v>
      </x:c>
      <x:c r="F3198" s="17" t="str">
        <x:v>Pro</x:v>
      </x:c>
      <x:c r="G3198" s="17" t="n">
        <x:v>20189</x:v>
      </x:c>
      <x:c r="H3198" s="17" t="n">
        <x:v>7037</x:v>
      </x:c>
      <x:c r="I3198" s="17" t="str">
        <x:v>Followup</x:v>
      </x:c>
      <x:c r="J3198" s="27" t="n">
        <x:f>INDEX('Model Pricing'!$B$7:$B$8,MATCH(F3198,'Model Pricing'!$A$7:$A$8,0))</x:f>
        <x:v>40</x:v>
      </x:c>
      <x:c r="K3198" s="27" t="n">
        <x:f>INDEX('Model Pricing'!$C$7:$C$8,MATCH(F3198,'Model Pricing'!$A$7:$A$8,0))</x:f>
        <x:v>100</x:v>
      </x:c>
      <x:c r="L3198" s="17" t="n">
        <x:f>G3198+H3198</x:f>
        <x:v>27226</x:v>
      </x:c>
      <x:c r="M3198" s="28" t="n">
        <x:f>G3198*J3198/1000000</x:f>
        <x:v>0.80756</x:v>
      </x:c>
      <x:c r="N3198" s="28" t="n">
        <x:f>H3198*K3198/1000000</x:f>
        <x:v>0.7037</x:v>
      </x:c>
      <x:c r="O3198" s="28" t="n">
        <x:f>SUM(M3198:N3198)</x:f>
        <x:v>1.51126</x:v>
      </x:c>
    </x:row>
    <x:row r="3199" ht="23" customHeight="1">
      <x:c r="A3199" s="17" t="str">
        <x:v>U03193</x:v>
      </x:c>
      <x:c r="B3199" s="18" t="n">
        <x:v>46289</x:v>
      </x:c>
      <x:c r="C3199" s="17" t="str">
        <x:v>W0207</x:v>
      </x:c>
      <x:c r="D3199" s="17" t="str">
        <x:v>C004</x:v>
      </x:c>
      <x:c r="E3199" s="17" t="str">
        <x:v>DataFlow</x:v>
      </x:c>
      <x:c r="F3199" s="17" t="str">
        <x:v>Pro</x:v>
      </x:c>
      <x:c r="G3199" s="17" t="n">
        <x:v>21381</x:v>
      </x:c>
      <x:c r="H3199" s="17" t="n">
        <x:v>6619</x:v>
      </x:c>
      <x:c r="I3199" s="17" t="str">
        <x:v>Followup</x:v>
      </x:c>
      <x:c r="J3199" s="27" t="n">
        <x:f>INDEX('Model Pricing'!$B$7:$B$8,MATCH(F3199,'Model Pricing'!$A$7:$A$8,0))</x:f>
        <x:v>40</x:v>
      </x:c>
      <x:c r="K3199" s="27" t="n">
        <x:f>INDEX('Model Pricing'!$C$7:$C$8,MATCH(F3199,'Model Pricing'!$A$7:$A$8,0))</x:f>
        <x:v>100</x:v>
      </x:c>
      <x:c r="L3199" s="17" t="n">
        <x:f>G3199+H3199</x:f>
        <x:v>28000</x:v>
      </x:c>
      <x:c r="M3199" s="28" t="n">
        <x:f>G3199*J3199/1000000</x:f>
        <x:v>0.85524</x:v>
      </x:c>
      <x:c r="N3199" s="28" t="n">
        <x:f>H3199*K3199/1000000</x:f>
        <x:v>0.6619</x:v>
      </x:c>
      <x:c r="O3199" s="28" t="n">
        <x:f>SUM(M3199:N3199)</x:f>
        <x:v>1.51714</x:v>
      </x:c>
    </x:row>
    <x:row r="3200" ht="23" customHeight="1">
      <x:c r="A3200" s="17" t="str">
        <x:v>U03194</x:v>
      </x:c>
      <x:c r="B3200" s="18" t="n">
        <x:v>46289</x:v>
      </x:c>
      <x:c r="C3200" s="17" t="str">
        <x:v>W0207</x:v>
      </x:c>
      <x:c r="D3200" s="17" t="str">
        <x:v>C004</x:v>
      </x:c>
      <x:c r="E3200" s="17" t="str">
        <x:v>DataFlow</x:v>
      </x:c>
      <x:c r="F3200" s="17" t="str">
        <x:v>Pro</x:v>
      </x:c>
      <x:c r="G3200" s="17" t="n">
        <x:v>26004</x:v>
      </x:c>
      <x:c r="H3200" s="17" t="n">
        <x:v>6205</x:v>
      </x:c>
      <x:c r="I3200" s="17" t="str">
        <x:v>Correction</x:v>
      </x:c>
      <x:c r="J3200" s="27" t="n">
        <x:f>INDEX('Model Pricing'!$B$7:$B$8,MATCH(F3200,'Model Pricing'!$A$7:$A$8,0))</x:f>
        <x:v>40</x:v>
      </x:c>
      <x:c r="K3200" s="27" t="n">
        <x:f>INDEX('Model Pricing'!$C$7:$C$8,MATCH(F3200,'Model Pricing'!$A$7:$A$8,0))</x:f>
        <x:v>100</x:v>
      </x:c>
      <x:c r="L3200" s="17" t="n">
        <x:f>G3200+H3200</x:f>
        <x:v>32209</x:v>
      </x:c>
      <x:c r="M3200" s="28" t="n">
        <x:f>G3200*J3200/1000000</x:f>
        <x:v>1.04016</x:v>
      </x:c>
      <x:c r="N3200" s="28" t="n">
        <x:f>H3200*K3200/1000000</x:f>
        <x:v>0.6205</x:v>
      </x:c>
      <x:c r="O3200" s="28" t="n">
        <x:f>SUM(M3200:N3200)</x:f>
        <x:v>1.66066</x:v>
      </x:c>
    </x:row>
    <x:row r="3201" ht="23" customHeight="1">
      <x:c r="A3201" s="17" t="str">
        <x:v>U03195</x:v>
      </x:c>
      <x:c r="B3201" s="18" t="n">
        <x:v>46289</x:v>
      </x:c>
      <x:c r="C3201" s="17" t="str">
        <x:v>W0207</x:v>
      </x:c>
      <x:c r="D3201" s="17" t="str">
        <x:v>C004</x:v>
      </x:c>
      <x:c r="E3201" s="17" t="str">
        <x:v>DataFlow</x:v>
      </x:c>
      <x:c r="F3201" s="17" t="str">
        <x:v>Pro</x:v>
      </x:c>
      <x:c r="G3201" s="17" t="n">
        <x:v>19087</x:v>
      </x:c>
      <x:c r="H3201" s="17" t="n">
        <x:v>6032</x:v>
      </x:c>
      <x:c r="I3201" s="17" t="str">
        <x:v>Correction</x:v>
      </x:c>
      <x:c r="J3201" s="27" t="n">
        <x:f>INDEX('Model Pricing'!$B$7:$B$8,MATCH(F3201,'Model Pricing'!$A$7:$A$8,0))</x:f>
        <x:v>40</x:v>
      </x:c>
      <x:c r="K3201" s="27" t="n">
        <x:f>INDEX('Model Pricing'!$C$7:$C$8,MATCH(F3201,'Model Pricing'!$A$7:$A$8,0))</x:f>
        <x:v>100</x:v>
      </x:c>
      <x:c r="L3201" s="17" t="n">
        <x:f>G3201+H3201</x:f>
        <x:v>25119</x:v>
      </x:c>
      <x:c r="M3201" s="28" t="n">
        <x:f>G3201*J3201/1000000</x:f>
        <x:v>0.76348</x:v>
      </x:c>
      <x:c r="N3201" s="28" t="n">
        <x:f>H3201*K3201/1000000</x:f>
        <x:v>0.6032</x:v>
      </x:c>
      <x:c r="O3201" s="28" t="n">
        <x:f>SUM(M3201:N3201)</x:f>
        <x:v>1.3666800000000001</x:v>
      </x:c>
    </x:row>
    <x:row r="3202" ht="23" customHeight="1">
      <x:c r="A3202" s="17" t="str">
        <x:v>U03196</x:v>
      </x:c>
      <x:c r="B3202" s="18" t="n">
        <x:v>46290</x:v>
      </x:c>
      <x:c r="C3202" s="17" t="str">
        <x:v>W0207</x:v>
      </x:c>
      <x:c r="D3202" s="17" t="str">
        <x:v>C004</x:v>
      </x:c>
      <x:c r="E3202" s="17" t="str">
        <x:v>DataFlow</x:v>
      </x:c>
      <x:c r="F3202" s="17" t="str">
        <x:v>Pro</x:v>
      </x:c>
      <x:c r="G3202" s="17" t="n">
        <x:v>12722</x:v>
      </x:c>
      <x:c r="H3202" s="17" t="n">
        <x:v>5356</x:v>
      </x:c>
      <x:c r="I3202" s="17" t="str">
        <x:v>Followup</x:v>
      </x:c>
      <x:c r="J3202" s="27" t="n">
        <x:f>INDEX('Model Pricing'!$B$7:$B$8,MATCH(F3202,'Model Pricing'!$A$7:$A$8,0))</x:f>
        <x:v>40</x:v>
      </x:c>
      <x:c r="K3202" s="27" t="n">
        <x:f>INDEX('Model Pricing'!$C$7:$C$8,MATCH(F3202,'Model Pricing'!$A$7:$A$8,0))</x:f>
        <x:v>100</x:v>
      </x:c>
      <x:c r="L3202" s="17" t="n">
        <x:f>G3202+H3202</x:f>
        <x:v>18078</x:v>
      </x:c>
      <x:c r="M3202" s="28" t="n">
        <x:f>G3202*J3202/1000000</x:f>
        <x:v>0.50888</x:v>
      </x:c>
      <x:c r="N3202" s="28" t="n">
        <x:f>H3202*K3202/1000000</x:f>
        <x:v>0.5356</x:v>
      </x:c>
      <x:c r="O3202" s="28" t="n">
        <x:f>SUM(M3202:N3202)</x:f>
        <x:v>1.04448</x:v>
      </x:c>
    </x:row>
    <x:row r="3203" ht="23" customHeight="1">
      <x:c r="A3203" s="17" t="str">
        <x:v>U03197</x:v>
      </x:c>
      <x:c r="B3203" s="18" t="n">
        <x:v>46290</x:v>
      </x:c>
      <x:c r="C3203" s="17" t="str">
        <x:v>W0207</x:v>
      </x:c>
      <x:c r="D3203" s="17" t="str">
        <x:v>C004</x:v>
      </x:c>
      <x:c r="E3203" s="17" t="str">
        <x:v>DataFlow</x:v>
      </x:c>
      <x:c r="F3203" s="17" t="str">
        <x:v>Pro</x:v>
      </x:c>
      <x:c r="G3203" s="17" t="n">
        <x:v>22007</x:v>
      </x:c>
      <x:c r="H3203" s="17" t="n">
        <x:v>7616</x:v>
      </x:c>
      <x:c r="I3203" s="17" t="str">
        <x:v>Followup</x:v>
      </x:c>
      <x:c r="J3203" s="27" t="n">
        <x:f>INDEX('Model Pricing'!$B$7:$B$8,MATCH(F3203,'Model Pricing'!$A$7:$A$8,0))</x:f>
        <x:v>40</x:v>
      </x:c>
      <x:c r="K3203" s="27" t="n">
        <x:f>INDEX('Model Pricing'!$C$7:$C$8,MATCH(F3203,'Model Pricing'!$A$7:$A$8,0))</x:f>
        <x:v>100</x:v>
      </x:c>
      <x:c r="L3203" s="17" t="n">
        <x:f>G3203+H3203</x:f>
        <x:v>29623</x:v>
      </x:c>
      <x:c r="M3203" s="28" t="n">
        <x:f>G3203*J3203/1000000</x:f>
        <x:v>0.88028</x:v>
      </x:c>
      <x:c r="N3203" s="28" t="n">
        <x:f>H3203*K3203/1000000</x:f>
        <x:v>0.7616</x:v>
      </x:c>
      <x:c r="O3203" s="28" t="n">
        <x:f>SUM(M3203:N3203)</x:f>
        <x:v>1.64188</x:v>
      </x:c>
    </x:row>
    <x:row r="3204" ht="23" customHeight="1">
      <x:c r="A3204" s="17" t="str">
        <x:v>U03198</x:v>
      </x:c>
      <x:c r="B3204" s="18" t="n">
        <x:v>46290</x:v>
      </x:c>
      <x:c r="C3204" s="17" t="str">
        <x:v>W0207</x:v>
      </x:c>
      <x:c r="D3204" s="17" t="str">
        <x:v>C004</x:v>
      </x:c>
      <x:c r="E3204" s="17" t="str">
        <x:v>DataFlow</x:v>
      </x:c>
      <x:c r="F3204" s="17" t="str">
        <x:v>Pro</x:v>
      </x:c>
      <x:c r="G3204" s="17" t="n">
        <x:v>26511</x:v>
      </x:c>
      <x:c r="H3204" s="17" t="n">
        <x:v>5634</x:v>
      </x:c>
      <x:c r="I3204" s="17" t="str">
        <x:v>Followup</x:v>
      </x:c>
      <x:c r="J3204" s="27" t="n">
        <x:f>INDEX('Model Pricing'!$B$7:$B$8,MATCH(F3204,'Model Pricing'!$A$7:$A$8,0))</x:f>
        <x:v>40</x:v>
      </x:c>
      <x:c r="K3204" s="27" t="n">
        <x:f>INDEX('Model Pricing'!$C$7:$C$8,MATCH(F3204,'Model Pricing'!$A$7:$A$8,0))</x:f>
        <x:v>100</x:v>
      </x:c>
      <x:c r="L3204" s="17" t="n">
        <x:f>G3204+H3204</x:f>
        <x:v>32145</x:v>
      </x:c>
      <x:c r="M3204" s="28" t="n">
        <x:f>G3204*J3204/1000000</x:f>
        <x:v>1.06044</x:v>
      </x:c>
      <x:c r="N3204" s="28" t="n">
        <x:f>H3204*K3204/1000000</x:f>
        <x:v>0.5634</x:v>
      </x:c>
      <x:c r="O3204" s="28" t="n">
        <x:f>SUM(M3204:N3204)</x:f>
        <x:v>1.62384</x:v>
      </x:c>
    </x:row>
    <x:row r="3205" ht="23" customHeight="1">
      <x:c r="A3205" s="17" t="str">
        <x:v>U03199</x:v>
      </x:c>
      <x:c r="B3205" s="18" t="n">
        <x:v>46269</x:v>
      </x:c>
      <x:c r="C3205" s="17" t="str">
        <x:v>W0208</x:v>
      </x:c>
      <x:c r="D3205" s="17" t="str">
        <x:v>C004</x:v>
      </x:c>
      <x:c r="E3205" s="17" t="str">
        <x:v>InsightDesk</x:v>
      </x:c>
      <x:c r="F3205" s="17" t="str">
        <x:v>Pro</x:v>
      </x:c>
      <x:c r="G3205" s="17" t="n">
        <x:v>18726</x:v>
      </x:c>
      <x:c r="H3205" s="17" t="n">
        <x:v>12260</x:v>
      </x:c>
      <x:c r="I3205" s="17" t="str">
        <x:v>First attempt</x:v>
      </x:c>
      <x:c r="J3205" s="27" t="n">
        <x:f>INDEX('Model Pricing'!$B$7:$B$8,MATCH(F3205,'Model Pricing'!$A$7:$A$8,0))</x:f>
        <x:v>40</x:v>
      </x:c>
      <x:c r="K3205" s="27" t="n">
        <x:f>INDEX('Model Pricing'!$C$7:$C$8,MATCH(F3205,'Model Pricing'!$A$7:$A$8,0))</x:f>
        <x:v>100</x:v>
      </x:c>
      <x:c r="L3205" s="17" t="n">
        <x:f>G3205+H3205</x:f>
        <x:v>30986</x:v>
      </x:c>
      <x:c r="M3205" s="28" t="n">
        <x:f>G3205*J3205/1000000</x:f>
        <x:v>0.74904</x:v>
      </x:c>
      <x:c r="N3205" s="28" t="n">
        <x:f>H3205*K3205/1000000</x:f>
        <x:v>1.226</x:v>
      </x:c>
      <x:c r="O3205" s="28" t="n">
        <x:f>SUM(M3205:N3205)</x:f>
        <x:v>1.97504</x:v>
      </x:c>
    </x:row>
    <x:row r="3206" ht="23" customHeight="1">
      <x:c r="A3206" s="17" t="str">
        <x:v>U03200</x:v>
      </x:c>
      <x:c r="B3206" s="18" t="n">
        <x:v>46269</x:v>
      </x:c>
      <x:c r="C3206" s="17" t="str">
        <x:v>W0208</x:v>
      </x:c>
      <x:c r="D3206" s="17" t="str">
        <x:v>C004</x:v>
      </x:c>
      <x:c r="E3206" s="17" t="str">
        <x:v>InsightDesk</x:v>
      </x:c>
      <x:c r="F3206" s="17" t="str">
        <x:v>Pro</x:v>
      </x:c>
      <x:c r="G3206" s="17" t="n">
        <x:v>33296</x:v>
      </x:c>
      <x:c r="H3206" s="17" t="n">
        <x:v>10970</x:v>
      </x:c>
      <x:c r="I3206" s="17" t="str">
        <x:v>Followup</x:v>
      </x:c>
      <x:c r="J3206" s="27" t="n">
        <x:f>INDEX('Model Pricing'!$B$7:$B$8,MATCH(F3206,'Model Pricing'!$A$7:$A$8,0))</x:f>
        <x:v>40</x:v>
      </x:c>
      <x:c r="K3206" s="27" t="n">
        <x:f>INDEX('Model Pricing'!$C$7:$C$8,MATCH(F3206,'Model Pricing'!$A$7:$A$8,0))</x:f>
        <x:v>100</x:v>
      </x:c>
      <x:c r="L3206" s="17" t="n">
        <x:f>G3206+H3206</x:f>
        <x:v>44266</x:v>
      </x:c>
      <x:c r="M3206" s="28" t="n">
        <x:f>G3206*J3206/1000000</x:f>
        <x:v>1.33184</x:v>
      </x:c>
      <x:c r="N3206" s="28" t="n">
        <x:f>H3206*K3206/1000000</x:f>
        <x:v>1.097</x:v>
      </x:c>
      <x:c r="O3206" s="28" t="n">
        <x:f>SUM(M3206:N3206)</x:f>
        <x:v>2.42884</x:v>
      </x:c>
    </x:row>
    <x:row r="3207" ht="23" customHeight="1">
      <x:c r="A3207" s="17" t="str">
        <x:v>U03201</x:v>
      </x:c>
      <x:c r="B3207" s="18" t="n">
        <x:v>46269</x:v>
      </x:c>
      <x:c r="C3207" s="17" t="str">
        <x:v>W0208</x:v>
      </x:c>
      <x:c r="D3207" s="17" t="str">
        <x:v>C004</x:v>
      </x:c>
      <x:c r="E3207" s="17" t="str">
        <x:v>InsightDesk</x:v>
      </x:c>
      <x:c r="F3207" s="17" t="str">
        <x:v>Pro</x:v>
      </x:c>
      <x:c r="G3207" s="17" t="n">
        <x:v>17073</x:v>
      </x:c>
      <x:c r="H3207" s="17" t="n">
        <x:v>5760</x:v>
      </x:c>
      <x:c r="I3207" s="17" t="str">
        <x:v>Followup</x:v>
      </x:c>
      <x:c r="J3207" s="27" t="n">
        <x:f>INDEX('Model Pricing'!$B$7:$B$8,MATCH(F3207,'Model Pricing'!$A$7:$A$8,0))</x:f>
        <x:v>40</x:v>
      </x:c>
      <x:c r="K3207" s="27" t="n">
        <x:f>INDEX('Model Pricing'!$C$7:$C$8,MATCH(F3207,'Model Pricing'!$A$7:$A$8,0))</x:f>
        <x:v>100</x:v>
      </x:c>
      <x:c r="L3207" s="17" t="n">
        <x:f>G3207+H3207</x:f>
        <x:v>22833</x:v>
      </x:c>
      <x:c r="M3207" s="28" t="n">
        <x:f>G3207*J3207/1000000</x:f>
        <x:v>0.68292</x:v>
      </x:c>
      <x:c r="N3207" s="28" t="n">
        <x:f>H3207*K3207/1000000</x:f>
        <x:v>0.576</x:v>
      </x:c>
      <x:c r="O3207" s="28" t="n">
        <x:f>SUM(M3207:N3207)</x:f>
        <x:v>1.2589199999999998</x:v>
      </x:c>
    </x:row>
    <x:row r="3208" ht="23" customHeight="1">
      <x:c r="A3208" s="17" t="str">
        <x:v>U03202</x:v>
      </x:c>
      <x:c r="B3208" s="18" t="n">
        <x:v>46273</x:v>
      </x:c>
      <x:c r="C3208" s="17" t="str">
        <x:v>W0208</x:v>
      </x:c>
      <x:c r="D3208" s="17" t="str">
        <x:v>C004</x:v>
      </x:c>
      <x:c r="E3208" s="17" t="str">
        <x:v>InsightDesk</x:v>
      </x:c>
      <x:c r="F3208" s="17" t="str">
        <x:v>Pro</x:v>
      </x:c>
      <x:c r="G3208" s="17" t="n">
        <x:v>27430</x:v>
      </x:c>
      <x:c r="H3208" s="17" t="n">
        <x:v>6194</x:v>
      </x:c>
      <x:c r="I3208" s="17" t="str">
        <x:v>Followup</x:v>
      </x:c>
      <x:c r="J3208" s="27" t="n">
        <x:f>INDEX('Model Pricing'!$B$7:$B$8,MATCH(F3208,'Model Pricing'!$A$7:$A$8,0))</x:f>
        <x:v>40</x:v>
      </x:c>
      <x:c r="K3208" s="27" t="n">
        <x:f>INDEX('Model Pricing'!$C$7:$C$8,MATCH(F3208,'Model Pricing'!$A$7:$A$8,0))</x:f>
        <x:v>100</x:v>
      </x:c>
      <x:c r="L3208" s="17" t="n">
        <x:f>G3208+H3208</x:f>
        <x:v>33624</x:v>
      </x:c>
      <x:c r="M3208" s="28" t="n">
        <x:f>G3208*J3208/1000000</x:f>
        <x:v>1.0972</x:v>
      </x:c>
      <x:c r="N3208" s="28" t="n">
        <x:f>H3208*K3208/1000000</x:f>
        <x:v>0.6194</x:v>
      </x:c>
      <x:c r="O3208" s="28" t="n">
        <x:f>SUM(M3208:N3208)</x:f>
        <x:v>1.7166</x:v>
      </x:c>
    </x:row>
    <x:row r="3209" ht="23" customHeight="1">
      <x:c r="A3209" s="17" t="str">
        <x:v>U03203</x:v>
      </x:c>
      <x:c r="B3209" s="18" t="n">
        <x:v>46273</x:v>
      </x:c>
      <x:c r="C3209" s="17" t="str">
        <x:v>W0208</x:v>
      </x:c>
      <x:c r="D3209" s="17" t="str">
        <x:v>C004</x:v>
      </x:c>
      <x:c r="E3209" s="17" t="str">
        <x:v>InsightDesk</x:v>
      </x:c>
      <x:c r="F3209" s="17" t="str">
        <x:v>Pro</x:v>
      </x:c>
      <x:c r="G3209" s="17" t="n">
        <x:v>31019</x:v>
      </x:c>
      <x:c r="H3209" s="17" t="n">
        <x:v>10740</x:v>
      </x:c>
      <x:c r="I3209" s="17" t="str">
        <x:v>Followup</x:v>
      </x:c>
      <x:c r="J3209" s="27" t="n">
        <x:f>INDEX('Model Pricing'!$B$7:$B$8,MATCH(F3209,'Model Pricing'!$A$7:$A$8,0))</x:f>
        <x:v>40</x:v>
      </x:c>
      <x:c r="K3209" s="27" t="n">
        <x:f>INDEX('Model Pricing'!$C$7:$C$8,MATCH(F3209,'Model Pricing'!$A$7:$A$8,0))</x:f>
        <x:v>100</x:v>
      </x:c>
      <x:c r="L3209" s="17" t="n">
        <x:f>G3209+H3209</x:f>
        <x:v>41759</x:v>
      </x:c>
      <x:c r="M3209" s="28" t="n">
        <x:f>G3209*J3209/1000000</x:f>
        <x:v>1.24076</x:v>
      </x:c>
      <x:c r="N3209" s="28" t="n">
        <x:f>H3209*K3209/1000000</x:f>
        <x:v>1.074</x:v>
      </x:c>
      <x:c r="O3209" s="28" t="n">
        <x:f>SUM(M3209:N3209)</x:f>
        <x:v>2.31476</x:v>
      </x:c>
    </x:row>
    <x:row r="3210" ht="23" customHeight="1">
      <x:c r="A3210" s="17" t="str">
        <x:v>U03204</x:v>
      </x:c>
      <x:c r="B3210" s="18" t="n">
        <x:v>46273</x:v>
      </x:c>
      <x:c r="C3210" s="17" t="str">
        <x:v>W0208</x:v>
      </x:c>
      <x:c r="D3210" s="17" t="str">
        <x:v>C004</x:v>
      </x:c>
      <x:c r="E3210" s="17" t="str">
        <x:v>InsightDesk</x:v>
      </x:c>
      <x:c r="F3210" s="17" t="str">
        <x:v>Pro</x:v>
      </x:c>
      <x:c r="G3210" s="17" t="n">
        <x:v>25406</x:v>
      </x:c>
      <x:c r="H3210" s="17" t="n">
        <x:v>8010</x:v>
      </x:c>
      <x:c r="I3210" s="17" t="str">
        <x:v>Followup</x:v>
      </x:c>
      <x:c r="J3210" s="27" t="n">
        <x:f>INDEX('Model Pricing'!$B$7:$B$8,MATCH(F3210,'Model Pricing'!$A$7:$A$8,0))</x:f>
        <x:v>40</x:v>
      </x:c>
      <x:c r="K3210" s="27" t="n">
        <x:f>INDEX('Model Pricing'!$C$7:$C$8,MATCH(F3210,'Model Pricing'!$A$7:$A$8,0))</x:f>
        <x:v>100</x:v>
      </x:c>
      <x:c r="L3210" s="17" t="n">
        <x:f>G3210+H3210</x:f>
        <x:v>33416</x:v>
      </x:c>
      <x:c r="M3210" s="28" t="n">
        <x:f>G3210*J3210/1000000</x:f>
        <x:v>1.01624</x:v>
      </x:c>
      <x:c r="N3210" s="28" t="n">
        <x:f>H3210*K3210/1000000</x:f>
        <x:v>0.801</x:v>
      </x:c>
      <x:c r="O3210" s="28" t="n">
        <x:f>SUM(M3210:N3210)</x:f>
        <x:v>1.81724</x:v>
      </x:c>
    </x:row>
    <x:row r="3211" ht="23" customHeight="1">
      <x:c r="A3211" s="17" t="str">
        <x:v>U03205</x:v>
      </x:c>
      <x:c r="B3211" s="18" t="n">
        <x:v>46274</x:v>
      </x:c>
      <x:c r="C3211" s="17" t="str">
        <x:v>W0208</x:v>
      </x:c>
      <x:c r="D3211" s="17" t="str">
        <x:v>C004</x:v>
      </x:c>
      <x:c r="E3211" s="17" t="str">
        <x:v>InsightDesk</x:v>
      </x:c>
      <x:c r="F3211" s="17" t="str">
        <x:v>Pro</x:v>
      </x:c>
      <x:c r="G3211" s="17" t="n">
        <x:v>24938</x:v>
      </x:c>
      <x:c r="H3211" s="17" t="n">
        <x:v>12199</x:v>
      </x:c>
      <x:c r="I3211" s="17" t="str">
        <x:v>Followup</x:v>
      </x:c>
      <x:c r="J3211" s="27" t="n">
        <x:f>INDEX('Model Pricing'!$B$7:$B$8,MATCH(F3211,'Model Pricing'!$A$7:$A$8,0))</x:f>
        <x:v>40</x:v>
      </x:c>
      <x:c r="K3211" s="27" t="n">
        <x:f>INDEX('Model Pricing'!$C$7:$C$8,MATCH(F3211,'Model Pricing'!$A$7:$A$8,0))</x:f>
        <x:v>100</x:v>
      </x:c>
      <x:c r="L3211" s="17" t="n">
        <x:f>G3211+H3211</x:f>
        <x:v>37137</x:v>
      </x:c>
      <x:c r="M3211" s="28" t="n">
        <x:f>G3211*J3211/1000000</x:f>
        <x:v>0.99752</x:v>
      </x:c>
      <x:c r="N3211" s="28" t="n">
        <x:f>H3211*K3211/1000000</x:f>
        <x:v>1.2199</x:v>
      </x:c>
      <x:c r="O3211" s="28" t="n">
        <x:f>SUM(M3211:N3211)</x:f>
        <x:v>2.2174199999999997</x:v>
      </x:c>
    </x:row>
    <x:row r="3212" ht="23" customHeight="1">
      <x:c r="A3212" s="17" t="str">
        <x:v>U03206</x:v>
      </x:c>
      <x:c r="B3212" s="18" t="n">
        <x:v>46274</x:v>
      </x:c>
      <x:c r="C3212" s="17" t="str">
        <x:v>W0208</x:v>
      </x:c>
      <x:c r="D3212" s="17" t="str">
        <x:v>C004</x:v>
      </x:c>
      <x:c r="E3212" s="17" t="str">
        <x:v>InsightDesk</x:v>
      </x:c>
      <x:c r="F3212" s="17" t="str">
        <x:v>Pro</x:v>
      </x:c>
      <x:c r="G3212" s="17" t="n">
        <x:v>31262</x:v>
      </x:c>
      <x:c r="H3212" s="17" t="n">
        <x:v>8005</x:v>
      </x:c>
      <x:c r="I3212" s="17" t="str">
        <x:v>Followup</x:v>
      </x:c>
      <x:c r="J3212" s="27" t="n">
        <x:f>INDEX('Model Pricing'!$B$7:$B$8,MATCH(F3212,'Model Pricing'!$A$7:$A$8,0))</x:f>
        <x:v>40</x:v>
      </x:c>
      <x:c r="K3212" s="27" t="n">
        <x:f>INDEX('Model Pricing'!$C$7:$C$8,MATCH(F3212,'Model Pricing'!$A$7:$A$8,0))</x:f>
        <x:v>100</x:v>
      </x:c>
      <x:c r="L3212" s="17" t="n">
        <x:f>G3212+H3212</x:f>
        <x:v>39267</x:v>
      </x:c>
      <x:c r="M3212" s="28" t="n">
        <x:f>G3212*J3212/1000000</x:f>
        <x:v>1.25048</x:v>
      </x:c>
      <x:c r="N3212" s="28" t="n">
        <x:f>H3212*K3212/1000000</x:f>
        <x:v>0.8005</x:v>
      </x:c>
      <x:c r="O3212" s="28" t="n">
        <x:f>SUM(M3212:N3212)</x:f>
        <x:v>2.05098</x:v>
      </x:c>
    </x:row>
    <x:row r="3213" ht="23" customHeight="1">
      <x:c r="A3213" s="17" t="str">
        <x:v>U03207</x:v>
      </x:c>
      <x:c r="B3213" s="18" t="n">
        <x:v>46274</x:v>
      </x:c>
      <x:c r="C3213" s="17" t="str">
        <x:v>W0208</x:v>
      </x:c>
      <x:c r="D3213" s="17" t="str">
        <x:v>C004</x:v>
      </x:c>
      <x:c r="E3213" s="17" t="str">
        <x:v>InsightDesk</x:v>
      </x:c>
      <x:c r="F3213" s="17" t="str">
        <x:v>Pro</x:v>
      </x:c>
      <x:c r="G3213" s="17" t="n">
        <x:v>21970</x:v>
      </x:c>
      <x:c r="H3213" s="17" t="n">
        <x:v>7670</x:v>
      </x:c>
      <x:c r="I3213" s="17" t="str">
        <x:v>Followup</x:v>
      </x:c>
      <x:c r="J3213" s="27" t="n">
        <x:f>INDEX('Model Pricing'!$B$7:$B$8,MATCH(F3213,'Model Pricing'!$A$7:$A$8,0))</x:f>
        <x:v>40</x:v>
      </x:c>
      <x:c r="K3213" s="27" t="n">
        <x:f>INDEX('Model Pricing'!$C$7:$C$8,MATCH(F3213,'Model Pricing'!$A$7:$A$8,0))</x:f>
        <x:v>100</x:v>
      </x:c>
      <x:c r="L3213" s="17" t="n">
        <x:f>G3213+H3213</x:f>
        <x:v>29640</x:v>
      </x:c>
      <x:c r="M3213" s="28" t="n">
        <x:f>G3213*J3213/1000000</x:f>
        <x:v>0.8788</x:v>
      </x:c>
      <x:c r="N3213" s="28" t="n">
        <x:f>H3213*K3213/1000000</x:f>
        <x:v>0.767</x:v>
      </x:c>
      <x:c r="O3213" s="28" t="n">
        <x:f>SUM(M3213:N3213)</x:f>
        <x:v>1.6458</x:v>
      </x:c>
    </x:row>
    <x:row r="3214" ht="23" customHeight="1">
      <x:c r="A3214" s="17" t="str">
        <x:v>U03208</x:v>
      </x:c>
      <x:c r="B3214" s="18" t="n">
        <x:v>46275</x:v>
      </x:c>
      <x:c r="C3214" s="17" t="str">
        <x:v>W0208</x:v>
      </x:c>
      <x:c r="D3214" s="17" t="str">
        <x:v>C004</x:v>
      </x:c>
      <x:c r="E3214" s="17" t="str">
        <x:v>InsightDesk</x:v>
      </x:c>
      <x:c r="F3214" s="17" t="str">
        <x:v>Pro</x:v>
      </x:c>
      <x:c r="G3214" s="17" t="n">
        <x:v>22957</x:v>
      </x:c>
      <x:c r="H3214" s="17" t="n">
        <x:v>13936</x:v>
      </x:c>
      <x:c r="I3214" s="17" t="str">
        <x:v>Correction</x:v>
      </x:c>
      <x:c r="J3214" s="27" t="n">
        <x:f>INDEX('Model Pricing'!$B$7:$B$8,MATCH(F3214,'Model Pricing'!$A$7:$A$8,0))</x:f>
        <x:v>40</x:v>
      </x:c>
      <x:c r="K3214" s="27" t="n">
        <x:f>INDEX('Model Pricing'!$C$7:$C$8,MATCH(F3214,'Model Pricing'!$A$7:$A$8,0))</x:f>
        <x:v>100</x:v>
      </x:c>
      <x:c r="L3214" s="17" t="n">
        <x:f>G3214+H3214</x:f>
        <x:v>36893</x:v>
      </x:c>
      <x:c r="M3214" s="28" t="n">
        <x:f>G3214*J3214/1000000</x:f>
        <x:v>0.91828</x:v>
      </x:c>
      <x:c r="N3214" s="28" t="n">
        <x:f>H3214*K3214/1000000</x:f>
        <x:v>1.3936</x:v>
      </x:c>
      <x:c r="O3214" s="28" t="n">
        <x:f>SUM(M3214:N3214)</x:f>
        <x:v>2.31188</x:v>
      </x:c>
    </x:row>
    <x:row r="3215" ht="23" customHeight="1">
      <x:c r="A3215" s="17" t="str">
        <x:v>U03209</x:v>
      </x:c>
      <x:c r="B3215" s="18" t="n">
        <x:v>46275</x:v>
      </x:c>
      <x:c r="C3215" s="17" t="str">
        <x:v>W0208</x:v>
      </x:c>
      <x:c r="D3215" s="17" t="str">
        <x:v>C004</x:v>
      </x:c>
      <x:c r="E3215" s="17" t="str">
        <x:v>InsightDesk</x:v>
      </x:c>
      <x:c r="F3215" s="17" t="str">
        <x:v>Pro</x:v>
      </x:c>
      <x:c r="G3215" s="17" t="n">
        <x:v>18959</x:v>
      </x:c>
      <x:c r="H3215" s="17" t="n">
        <x:v>4089</x:v>
      </x:c>
      <x:c r="I3215" s="17" t="str">
        <x:v>Followup</x:v>
      </x:c>
      <x:c r="J3215" s="27" t="n">
        <x:f>INDEX('Model Pricing'!$B$7:$B$8,MATCH(F3215,'Model Pricing'!$A$7:$A$8,0))</x:f>
        <x:v>40</x:v>
      </x:c>
      <x:c r="K3215" s="27" t="n">
        <x:f>INDEX('Model Pricing'!$C$7:$C$8,MATCH(F3215,'Model Pricing'!$A$7:$A$8,0))</x:f>
        <x:v>100</x:v>
      </x:c>
      <x:c r="L3215" s="17" t="n">
        <x:f>G3215+H3215</x:f>
        <x:v>23048</x:v>
      </x:c>
      <x:c r="M3215" s="28" t="n">
        <x:f>G3215*J3215/1000000</x:f>
        <x:v>0.75836</x:v>
      </x:c>
      <x:c r="N3215" s="28" t="n">
        <x:f>H3215*K3215/1000000</x:f>
        <x:v>0.4089</x:v>
      </x:c>
      <x:c r="O3215" s="28" t="n">
        <x:f>SUM(M3215:N3215)</x:f>
        <x:v>1.16726</x:v>
      </x:c>
    </x:row>
    <x:row r="3216" ht="23" customHeight="1">
      <x:c r="A3216" s="17" t="str">
        <x:v>U03210</x:v>
      </x:c>
      <x:c r="B3216" s="18" t="n">
        <x:v>46275</x:v>
      </x:c>
      <x:c r="C3216" s="17" t="str">
        <x:v>W0211</x:v>
      </x:c>
      <x:c r="D3216" s="17" t="str">
        <x:v>C004</x:v>
      </x:c>
      <x:c r="E3216" s="17" t="str">
        <x:v>CopyStudio</x:v>
      </x:c>
      <x:c r="F3216" s="17" t="str">
        <x:v>Pro</x:v>
      </x:c>
      <x:c r="G3216" s="17" t="n">
        <x:v>25972</x:v>
      </x:c>
      <x:c r="H3216" s="17" t="n">
        <x:v>7959</x:v>
      </x:c>
      <x:c r="I3216" s="17" t="str">
        <x:v>First attempt</x:v>
      </x:c>
      <x:c r="J3216" s="27" t="n">
        <x:f>INDEX('Model Pricing'!$B$7:$B$8,MATCH(F3216,'Model Pricing'!$A$7:$A$8,0))</x:f>
        <x:v>40</x:v>
      </x:c>
      <x:c r="K3216" s="27" t="n">
        <x:f>INDEX('Model Pricing'!$C$7:$C$8,MATCH(F3216,'Model Pricing'!$A$7:$A$8,0))</x:f>
        <x:v>100</x:v>
      </x:c>
      <x:c r="L3216" s="17" t="n">
        <x:f>G3216+H3216</x:f>
        <x:v>33931</x:v>
      </x:c>
      <x:c r="M3216" s="28" t="n">
        <x:f>G3216*J3216/1000000</x:f>
        <x:v>1.03888</x:v>
      </x:c>
      <x:c r="N3216" s="28" t="n">
        <x:f>H3216*K3216/1000000</x:f>
        <x:v>0.7959</x:v>
      </x:c>
      <x:c r="O3216" s="28" t="n">
        <x:f>SUM(M3216:N3216)</x:f>
        <x:v>1.83478</x:v>
      </x:c>
    </x:row>
    <x:row r="3217" ht="23" customHeight="1">
      <x:c r="A3217" s="17" t="str">
        <x:v>U03211</x:v>
      </x:c>
      <x:c r="B3217" s="18" t="n">
        <x:v>46275</x:v>
      </x:c>
      <x:c r="C3217" s="17" t="str">
        <x:v>W0211</x:v>
      </x:c>
      <x:c r="D3217" s="17" t="str">
        <x:v>C004</x:v>
      </x:c>
      <x:c r="E3217" s="17" t="str">
        <x:v>CopyStudio</x:v>
      </x:c>
      <x:c r="F3217" s="17" t="str">
        <x:v>Pro</x:v>
      </x:c>
      <x:c r="G3217" s="17" t="n">
        <x:v>24532</x:v>
      </x:c>
      <x:c r="H3217" s="17" t="n">
        <x:v>8267</x:v>
      </x:c>
      <x:c r="I3217" s="17" t="str">
        <x:v>Followup</x:v>
      </x:c>
      <x:c r="J3217" s="27" t="n">
        <x:f>INDEX('Model Pricing'!$B$7:$B$8,MATCH(F3217,'Model Pricing'!$A$7:$A$8,0))</x:f>
        <x:v>40</x:v>
      </x:c>
      <x:c r="K3217" s="27" t="n">
        <x:f>INDEX('Model Pricing'!$C$7:$C$8,MATCH(F3217,'Model Pricing'!$A$7:$A$8,0))</x:f>
        <x:v>100</x:v>
      </x:c>
      <x:c r="L3217" s="17" t="n">
        <x:f>G3217+H3217</x:f>
        <x:v>32799</x:v>
      </x:c>
      <x:c r="M3217" s="28" t="n">
        <x:f>G3217*J3217/1000000</x:f>
        <x:v>0.98128</x:v>
      </x:c>
      <x:c r="N3217" s="28" t="n">
        <x:f>H3217*K3217/1000000</x:f>
        <x:v>0.8267</x:v>
      </x:c>
      <x:c r="O3217" s="28" t="n">
        <x:f>SUM(M3217:N3217)</x:f>
        <x:v>1.8079800000000001</x:v>
      </x:c>
    </x:row>
    <x:row r="3218" ht="23" customHeight="1">
      <x:c r="A3218" s="17" t="str">
        <x:v>U03212</x:v>
      </x:c>
      <x:c r="B3218" s="18" t="n">
        <x:v>46275</x:v>
      </x:c>
      <x:c r="C3218" s="17" t="str">
        <x:v>W0211</x:v>
      </x:c>
      <x:c r="D3218" s="17" t="str">
        <x:v>C004</x:v>
      </x:c>
      <x:c r="E3218" s="17" t="str">
        <x:v>CopyStudio</x:v>
      </x:c>
      <x:c r="F3218" s="17" t="str">
        <x:v>Pro</x:v>
      </x:c>
      <x:c r="G3218" s="17" t="n">
        <x:v>30542</x:v>
      </x:c>
      <x:c r="H3218" s="17" t="n">
        <x:v>6309</x:v>
      </x:c>
      <x:c r="I3218" s="17" t="str">
        <x:v>Followup</x:v>
      </x:c>
      <x:c r="J3218" s="27" t="n">
        <x:f>INDEX('Model Pricing'!$B$7:$B$8,MATCH(F3218,'Model Pricing'!$A$7:$A$8,0))</x:f>
        <x:v>40</x:v>
      </x:c>
      <x:c r="K3218" s="27" t="n">
        <x:f>INDEX('Model Pricing'!$C$7:$C$8,MATCH(F3218,'Model Pricing'!$A$7:$A$8,0))</x:f>
        <x:v>100</x:v>
      </x:c>
      <x:c r="L3218" s="17" t="n">
        <x:f>G3218+H3218</x:f>
        <x:v>36851</x:v>
      </x:c>
      <x:c r="M3218" s="28" t="n">
        <x:f>G3218*J3218/1000000</x:f>
        <x:v>1.22168</x:v>
      </x:c>
      <x:c r="N3218" s="28" t="n">
        <x:f>H3218*K3218/1000000</x:f>
        <x:v>0.6309</x:v>
      </x:c>
      <x:c r="O3218" s="28" t="n">
        <x:f>SUM(M3218:N3218)</x:f>
        <x:v>1.8525800000000001</x:v>
      </x:c>
    </x:row>
    <x:row r="3219" ht="23" customHeight="1">
      <x:c r="A3219" s="17" t="str">
        <x:v>U03213</x:v>
      </x:c>
      <x:c r="B3219" s="18" t="n">
        <x:v>46276</x:v>
      </x:c>
      <x:c r="C3219" s="17" t="str">
        <x:v>W0211</x:v>
      </x:c>
      <x:c r="D3219" s="17" t="str">
        <x:v>C004</x:v>
      </x:c>
      <x:c r="E3219" s="17" t="str">
        <x:v>CopyStudio</x:v>
      </x:c>
      <x:c r="F3219" s="17" t="str">
        <x:v>Pro</x:v>
      </x:c>
      <x:c r="G3219" s="17" t="n">
        <x:v>26889</x:v>
      </x:c>
      <x:c r="H3219" s="17" t="n">
        <x:v>9179</x:v>
      </x:c>
      <x:c r="I3219" s="17" t="str">
        <x:v>Followup</x:v>
      </x:c>
      <x:c r="J3219" s="27" t="n">
        <x:f>INDEX('Model Pricing'!$B$7:$B$8,MATCH(F3219,'Model Pricing'!$A$7:$A$8,0))</x:f>
        <x:v>40</x:v>
      </x:c>
      <x:c r="K3219" s="27" t="n">
        <x:f>INDEX('Model Pricing'!$C$7:$C$8,MATCH(F3219,'Model Pricing'!$A$7:$A$8,0))</x:f>
        <x:v>100</x:v>
      </x:c>
      <x:c r="L3219" s="17" t="n">
        <x:f>G3219+H3219</x:f>
        <x:v>36068</x:v>
      </x:c>
      <x:c r="M3219" s="28" t="n">
        <x:f>G3219*J3219/1000000</x:f>
        <x:v>1.07556</x:v>
      </x:c>
      <x:c r="N3219" s="28" t="n">
        <x:f>H3219*K3219/1000000</x:f>
        <x:v>0.9179</x:v>
      </x:c>
      <x:c r="O3219" s="28" t="n">
        <x:f>SUM(M3219:N3219)</x:f>
        <x:v>1.9934600000000002</x:v>
      </x:c>
    </x:row>
    <x:row r="3220" ht="23" customHeight="1">
      <x:c r="A3220" s="17" t="str">
        <x:v>U03214</x:v>
      </x:c>
      <x:c r="B3220" s="18" t="n">
        <x:v>46276</x:v>
      </x:c>
      <x:c r="C3220" s="17" t="str">
        <x:v>W0211</x:v>
      </x:c>
      <x:c r="D3220" s="17" t="str">
        <x:v>C004</x:v>
      </x:c>
      <x:c r="E3220" s="17" t="str">
        <x:v>CopyStudio</x:v>
      </x:c>
      <x:c r="F3220" s="17" t="str">
        <x:v>Pro</x:v>
      </x:c>
      <x:c r="G3220" s="17" t="n">
        <x:v>29468</x:v>
      </x:c>
      <x:c r="H3220" s="17" t="n">
        <x:v>3780</x:v>
      </x:c>
      <x:c r="I3220" s="17" t="str">
        <x:v>Followup</x:v>
      </x:c>
      <x:c r="J3220" s="27" t="n">
        <x:f>INDEX('Model Pricing'!$B$7:$B$8,MATCH(F3220,'Model Pricing'!$A$7:$A$8,0))</x:f>
        <x:v>40</x:v>
      </x:c>
      <x:c r="K3220" s="27" t="n">
        <x:f>INDEX('Model Pricing'!$C$7:$C$8,MATCH(F3220,'Model Pricing'!$A$7:$A$8,0))</x:f>
        <x:v>100</x:v>
      </x:c>
      <x:c r="L3220" s="17" t="n">
        <x:f>G3220+H3220</x:f>
        <x:v>33248</x:v>
      </x:c>
      <x:c r="M3220" s="28" t="n">
        <x:f>G3220*J3220/1000000</x:f>
        <x:v>1.17872</x:v>
      </x:c>
      <x:c r="N3220" s="28" t="n">
        <x:f>H3220*K3220/1000000</x:f>
        <x:v>0.378</x:v>
      </x:c>
      <x:c r="O3220" s="28" t="n">
        <x:f>SUM(M3220:N3220)</x:f>
        <x:v>1.5567199999999999</x:v>
      </x:c>
    </x:row>
    <x:row r="3221" ht="23" customHeight="1">
      <x:c r="A3221" s="17" t="str">
        <x:v>U03215</x:v>
      </x:c>
      <x:c r="B3221" s="18" t="n">
        <x:v>46279</x:v>
      </x:c>
      <x:c r="C3221" s="17" t="str">
        <x:v>W0211</x:v>
      </x:c>
      <x:c r="D3221" s="17" t="str">
        <x:v>C004</x:v>
      </x:c>
      <x:c r="E3221" s="17" t="str">
        <x:v>CopyStudio</x:v>
      </x:c>
      <x:c r="F3221" s="17" t="str">
        <x:v>Pro</x:v>
      </x:c>
      <x:c r="G3221" s="17" t="n">
        <x:v>19865</x:v>
      </x:c>
      <x:c r="H3221" s="17" t="n">
        <x:v>2620</x:v>
      </x:c>
      <x:c r="I3221" s="17" t="str">
        <x:v>Correction</x:v>
      </x:c>
      <x:c r="J3221" s="27" t="n">
        <x:f>INDEX('Model Pricing'!$B$7:$B$8,MATCH(F3221,'Model Pricing'!$A$7:$A$8,0))</x:f>
        <x:v>40</x:v>
      </x:c>
      <x:c r="K3221" s="27" t="n">
        <x:f>INDEX('Model Pricing'!$C$7:$C$8,MATCH(F3221,'Model Pricing'!$A$7:$A$8,0))</x:f>
        <x:v>100</x:v>
      </x:c>
      <x:c r="L3221" s="17" t="n">
        <x:f>G3221+H3221</x:f>
        <x:v>22485</x:v>
      </x:c>
      <x:c r="M3221" s="28" t="n">
        <x:f>G3221*J3221/1000000</x:f>
        <x:v>0.7946</x:v>
      </x:c>
      <x:c r="N3221" s="28" t="n">
        <x:f>H3221*K3221/1000000</x:f>
        <x:v>0.262</x:v>
      </x:c>
      <x:c r="O3221" s="28" t="n">
        <x:f>SUM(M3221:N3221)</x:f>
        <x:v>1.0566</x:v>
      </x:c>
    </x:row>
    <x:row r="3222" ht="23" customHeight="1">
      <x:c r="A3222" s="17" t="str">
        <x:v>U03216</x:v>
      </x:c>
      <x:c r="B3222" s="18" t="n">
        <x:v>46279</x:v>
      </x:c>
      <x:c r="C3222" s="17" t="str">
        <x:v>W0211</x:v>
      </x:c>
      <x:c r="D3222" s="17" t="str">
        <x:v>C004</x:v>
      </x:c>
      <x:c r="E3222" s="17" t="str">
        <x:v>CopyStudio</x:v>
      </x:c>
      <x:c r="F3222" s="17" t="str">
        <x:v>Pro</x:v>
      </x:c>
      <x:c r="G3222" s="17" t="n">
        <x:v>25739</x:v>
      </x:c>
      <x:c r="H3222" s="17" t="n">
        <x:v>4358</x:v>
      </x:c>
      <x:c r="I3222" s="17" t="str">
        <x:v>Correction</x:v>
      </x:c>
      <x:c r="J3222" s="27" t="n">
        <x:f>INDEX('Model Pricing'!$B$7:$B$8,MATCH(F3222,'Model Pricing'!$A$7:$A$8,0))</x:f>
        <x:v>40</x:v>
      </x:c>
      <x:c r="K3222" s="27" t="n">
        <x:f>INDEX('Model Pricing'!$C$7:$C$8,MATCH(F3222,'Model Pricing'!$A$7:$A$8,0))</x:f>
        <x:v>100</x:v>
      </x:c>
      <x:c r="L3222" s="17" t="n">
        <x:f>G3222+H3222</x:f>
        <x:v>30097</x:v>
      </x:c>
      <x:c r="M3222" s="28" t="n">
        <x:f>G3222*J3222/1000000</x:f>
        <x:v>1.02956</x:v>
      </x:c>
      <x:c r="N3222" s="28" t="n">
        <x:f>H3222*K3222/1000000</x:f>
        <x:v>0.4358</x:v>
      </x:c>
      <x:c r="O3222" s="28" t="n">
        <x:f>SUM(M3222:N3222)</x:f>
        <x:v>1.46536</x:v>
      </x:c>
    </x:row>
    <x:row r="3223" ht="23" customHeight="1">
      <x:c r="A3223" s="17" t="str">
        <x:v>U03217</x:v>
      </x:c>
      <x:c r="B3223" s="18" t="n">
        <x:v>46279</x:v>
      </x:c>
      <x:c r="C3223" s="17" t="str">
        <x:v>W0211</x:v>
      </x:c>
      <x:c r="D3223" s="17" t="str">
        <x:v>C004</x:v>
      </x:c>
      <x:c r="E3223" s="17" t="str">
        <x:v>CopyStudio</x:v>
      </x:c>
      <x:c r="F3223" s="17" t="str">
        <x:v>Pro</x:v>
      </x:c>
      <x:c r="G3223" s="17" t="n">
        <x:v>26462</x:v>
      </x:c>
      <x:c r="H3223" s="17" t="n">
        <x:v>3532</x:v>
      </x:c>
      <x:c r="I3223" s="17" t="str">
        <x:v>Followup</x:v>
      </x:c>
      <x:c r="J3223" s="27" t="n">
        <x:f>INDEX('Model Pricing'!$B$7:$B$8,MATCH(F3223,'Model Pricing'!$A$7:$A$8,0))</x:f>
        <x:v>40</x:v>
      </x:c>
      <x:c r="K3223" s="27" t="n">
        <x:f>INDEX('Model Pricing'!$C$7:$C$8,MATCH(F3223,'Model Pricing'!$A$7:$A$8,0))</x:f>
        <x:v>100</x:v>
      </x:c>
      <x:c r="L3223" s="17" t="n">
        <x:f>G3223+H3223</x:f>
        <x:v>29994</x:v>
      </x:c>
      <x:c r="M3223" s="28" t="n">
        <x:f>G3223*J3223/1000000</x:f>
        <x:v>1.05848</x:v>
      </x:c>
      <x:c r="N3223" s="28" t="n">
        <x:f>H3223*K3223/1000000</x:f>
        <x:v>0.3532</x:v>
      </x:c>
      <x:c r="O3223" s="28" t="n">
        <x:f>SUM(M3223:N3223)</x:f>
        <x:v>1.41168</x:v>
      </x:c>
    </x:row>
    <x:row r="3224" ht="23" customHeight="1">
      <x:c r="A3224" s="17" t="str">
        <x:v>U03218</x:v>
      </x:c>
      <x:c r="B3224" s="18" t="n">
        <x:v>46280</x:v>
      </x:c>
      <x:c r="C3224" s="17" t="str">
        <x:v>W0211</x:v>
      </x:c>
      <x:c r="D3224" s="17" t="str">
        <x:v>C004</x:v>
      </x:c>
      <x:c r="E3224" s="17" t="str">
        <x:v>CopyStudio</x:v>
      </x:c>
      <x:c r="F3224" s="17" t="str">
        <x:v>Pro</x:v>
      </x:c>
      <x:c r="G3224" s="17" t="n">
        <x:v>32605</x:v>
      </x:c>
      <x:c r="H3224" s="17" t="n">
        <x:v>9273</x:v>
      </x:c>
      <x:c r="I3224" s="17" t="str">
        <x:v>Correction</x:v>
      </x:c>
      <x:c r="J3224" s="27" t="n">
        <x:f>INDEX('Model Pricing'!$B$7:$B$8,MATCH(F3224,'Model Pricing'!$A$7:$A$8,0))</x:f>
        <x:v>40</x:v>
      </x:c>
      <x:c r="K3224" s="27" t="n">
        <x:f>INDEX('Model Pricing'!$C$7:$C$8,MATCH(F3224,'Model Pricing'!$A$7:$A$8,0))</x:f>
        <x:v>100</x:v>
      </x:c>
      <x:c r="L3224" s="17" t="n">
        <x:f>G3224+H3224</x:f>
        <x:v>41878</x:v>
      </x:c>
      <x:c r="M3224" s="28" t="n">
        <x:f>G3224*J3224/1000000</x:f>
        <x:v>1.3042</x:v>
      </x:c>
      <x:c r="N3224" s="28" t="n">
        <x:f>H3224*K3224/1000000</x:f>
        <x:v>0.9273</x:v>
      </x:c>
      <x:c r="O3224" s="28" t="n">
        <x:f>SUM(M3224:N3224)</x:f>
        <x:v>2.2315</x:v>
      </x:c>
    </x:row>
    <x:row r="3225" ht="23" customHeight="1">
      <x:c r="A3225" s="17" t="str">
        <x:v>U03219</x:v>
      </x:c>
      <x:c r="B3225" s="18" t="n">
        <x:v>46280</x:v>
      </x:c>
      <x:c r="C3225" s="17" t="str">
        <x:v>W0211</x:v>
      </x:c>
      <x:c r="D3225" s="17" t="str">
        <x:v>C004</x:v>
      </x:c>
      <x:c r="E3225" s="17" t="str">
        <x:v>CopyStudio</x:v>
      </x:c>
      <x:c r="F3225" s="17" t="str">
        <x:v>Pro</x:v>
      </x:c>
      <x:c r="G3225" s="17" t="n">
        <x:v>32795</x:v>
      </x:c>
      <x:c r="H3225" s="17" t="n">
        <x:v>8729</x:v>
      </x:c>
      <x:c r="I3225" s="17" t="str">
        <x:v>Followup</x:v>
      </x:c>
      <x:c r="J3225" s="27" t="n">
        <x:f>INDEX('Model Pricing'!$B$7:$B$8,MATCH(F3225,'Model Pricing'!$A$7:$A$8,0))</x:f>
        <x:v>40</x:v>
      </x:c>
      <x:c r="K3225" s="27" t="n">
        <x:f>INDEX('Model Pricing'!$C$7:$C$8,MATCH(F3225,'Model Pricing'!$A$7:$A$8,0))</x:f>
        <x:v>100</x:v>
      </x:c>
      <x:c r="L3225" s="17" t="n">
        <x:f>G3225+H3225</x:f>
        <x:v>41524</x:v>
      </x:c>
      <x:c r="M3225" s="28" t="n">
        <x:f>G3225*J3225/1000000</x:f>
        <x:v>1.3118</x:v>
      </x:c>
      <x:c r="N3225" s="28" t="n">
        <x:f>H3225*K3225/1000000</x:f>
        <x:v>0.8729</x:v>
      </x:c>
      <x:c r="O3225" s="28" t="n">
        <x:f>SUM(M3225:N3225)</x:f>
        <x:v>2.1847000000000003</x:v>
      </x:c>
    </x:row>
    <x:row r="3226" ht="23" customHeight="1">
      <x:c r="A3226" s="17" t="str">
        <x:v>U03220</x:v>
      </x:c>
      <x:c r="B3226" s="18" t="n">
        <x:v>46283</x:v>
      </x:c>
      <x:c r="C3226" s="17" t="str">
        <x:v>W0217</x:v>
      </x:c>
      <x:c r="D3226" s="17" t="str">
        <x:v>C004</x:v>
      </x:c>
      <x:c r="E3226" s="17" t="str">
        <x:v>InsightDesk</x:v>
      </x:c>
      <x:c r="F3226" s="17" t="str">
        <x:v>Pro</x:v>
      </x:c>
      <x:c r="G3226" s="17" t="n">
        <x:v>11338</x:v>
      </x:c>
      <x:c r="H3226" s="17" t="n">
        <x:v>6534</x:v>
      </x:c>
      <x:c r="I3226" s="17" t="str">
        <x:v>First attempt</x:v>
      </x:c>
      <x:c r="J3226" s="27" t="n">
        <x:f>INDEX('Model Pricing'!$B$7:$B$8,MATCH(F3226,'Model Pricing'!$A$7:$A$8,0))</x:f>
        <x:v>40</x:v>
      </x:c>
      <x:c r="K3226" s="27" t="n">
        <x:f>INDEX('Model Pricing'!$C$7:$C$8,MATCH(F3226,'Model Pricing'!$A$7:$A$8,0))</x:f>
        <x:v>100</x:v>
      </x:c>
      <x:c r="L3226" s="17" t="n">
        <x:f>G3226+H3226</x:f>
        <x:v>17872</x:v>
      </x:c>
      <x:c r="M3226" s="28" t="n">
        <x:f>G3226*J3226/1000000</x:f>
        <x:v>0.45352</x:v>
      </x:c>
      <x:c r="N3226" s="28" t="n">
        <x:f>H3226*K3226/1000000</x:f>
        <x:v>0.6534</x:v>
      </x:c>
      <x:c r="O3226" s="28" t="n">
        <x:f>SUM(M3226:N3226)</x:f>
        <x:v>1.10692</x:v>
      </x:c>
    </x:row>
    <x:row r="3227" ht="23" customHeight="1">
      <x:c r="A3227" s="17" t="str">
        <x:v>U03221</x:v>
      </x:c>
      <x:c r="B3227" s="18" t="n">
        <x:v>46283</x:v>
      </x:c>
      <x:c r="C3227" s="17" t="str">
        <x:v>W0217</x:v>
      </x:c>
      <x:c r="D3227" s="17" t="str">
        <x:v>C004</x:v>
      </x:c>
      <x:c r="E3227" s="17" t="str">
        <x:v>InsightDesk</x:v>
      </x:c>
      <x:c r="F3227" s="17" t="str">
        <x:v>Pro</x:v>
      </x:c>
      <x:c r="G3227" s="17" t="n">
        <x:v>19454</x:v>
      </x:c>
      <x:c r="H3227" s="17" t="n">
        <x:v>4197</x:v>
      </x:c>
      <x:c r="I3227" s="17" t="str">
        <x:v>Followup</x:v>
      </x:c>
      <x:c r="J3227" s="27" t="n">
        <x:f>INDEX('Model Pricing'!$B$7:$B$8,MATCH(F3227,'Model Pricing'!$A$7:$A$8,0))</x:f>
        <x:v>40</x:v>
      </x:c>
      <x:c r="K3227" s="27" t="n">
        <x:f>INDEX('Model Pricing'!$C$7:$C$8,MATCH(F3227,'Model Pricing'!$A$7:$A$8,0))</x:f>
        <x:v>100</x:v>
      </x:c>
      <x:c r="L3227" s="17" t="n">
        <x:f>G3227+H3227</x:f>
        <x:v>23651</x:v>
      </x:c>
      <x:c r="M3227" s="28" t="n">
        <x:f>G3227*J3227/1000000</x:f>
        <x:v>0.77816</x:v>
      </x:c>
      <x:c r="N3227" s="28" t="n">
        <x:f>H3227*K3227/1000000</x:f>
        <x:v>0.4197</x:v>
      </x:c>
      <x:c r="O3227" s="28" t="n">
        <x:f>SUM(M3227:N3227)</x:f>
        <x:v>1.19786</x:v>
      </x:c>
    </x:row>
    <x:row r="3228" ht="23" customHeight="1">
      <x:c r="A3228" s="17" t="str">
        <x:v>U03222</x:v>
      </x:c>
      <x:c r="B3228" s="18" t="n">
        <x:v>46283</x:v>
      </x:c>
      <x:c r="C3228" s="17" t="str">
        <x:v>W0217</x:v>
      </x:c>
      <x:c r="D3228" s="17" t="str">
        <x:v>C004</x:v>
      </x:c>
      <x:c r="E3228" s="17" t="str">
        <x:v>InsightDesk</x:v>
      </x:c>
      <x:c r="F3228" s="17" t="str">
        <x:v>Pro</x:v>
      </x:c>
      <x:c r="G3228" s="17" t="n">
        <x:v>13771</x:v>
      </x:c>
      <x:c r="H3228" s="17" t="n">
        <x:v>4428</x:v>
      </x:c>
      <x:c r="I3228" s="17" t="str">
        <x:v>Followup</x:v>
      </x:c>
      <x:c r="J3228" s="27" t="n">
        <x:f>INDEX('Model Pricing'!$B$7:$B$8,MATCH(F3228,'Model Pricing'!$A$7:$A$8,0))</x:f>
        <x:v>40</x:v>
      </x:c>
      <x:c r="K3228" s="27" t="n">
        <x:f>INDEX('Model Pricing'!$C$7:$C$8,MATCH(F3228,'Model Pricing'!$A$7:$A$8,0))</x:f>
        <x:v>100</x:v>
      </x:c>
      <x:c r="L3228" s="17" t="n">
        <x:f>G3228+H3228</x:f>
        <x:v>18199</x:v>
      </x:c>
      <x:c r="M3228" s="28" t="n">
        <x:f>G3228*J3228/1000000</x:f>
        <x:v>0.55084</x:v>
      </x:c>
      <x:c r="N3228" s="28" t="n">
        <x:f>H3228*K3228/1000000</x:f>
        <x:v>0.4428</x:v>
      </x:c>
      <x:c r="O3228" s="28" t="n">
        <x:f>SUM(M3228:N3228)</x:f>
        <x:v>0.9936400000000001</x:v>
      </x:c>
    </x:row>
    <x:row r="3229" ht="23" customHeight="1">
      <x:c r="A3229" s="17" t="str">
        <x:v>U03223</x:v>
      </x:c>
      <x:c r="B3229" s="18" t="n">
        <x:v>46283</x:v>
      </x:c>
      <x:c r="C3229" s="17" t="str">
        <x:v>W0217</x:v>
      </x:c>
      <x:c r="D3229" s="17" t="str">
        <x:v>C004</x:v>
      </x:c>
      <x:c r="E3229" s="17" t="str">
        <x:v>InsightDesk</x:v>
      </x:c>
      <x:c r="F3229" s="17" t="str">
        <x:v>Pro</x:v>
      </x:c>
      <x:c r="G3229" s="17" t="n">
        <x:v>8952</x:v>
      </x:c>
      <x:c r="H3229" s="17" t="n">
        <x:v>9613</x:v>
      </x:c>
      <x:c r="I3229" s="17" t="str">
        <x:v>Correction</x:v>
      </x:c>
      <x:c r="J3229" s="27" t="n">
        <x:f>INDEX('Model Pricing'!$B$7:$B$8,MATCH(F3229,'Model Pricing'!$A$7:$A$8,0))</x:f>
        <x:v>40</x:v>
      </x:c>
      <x:c r="K3229" s="27" t="n">
        <x:f>INDEX('Model Pricing'!$C$7:$C$8,MATCH(F3229,'Model Pricing'!$A$7:$A$8,0))</x:f>
        <x:v>100</x:v>
      </x:c>
      <x:c r="L3229" s="17" t="n">
        <x:f>G3229+H3229</x:f>
        <x:v>18565</x:v>
      </x:c>
      <x:c r="M3229" s="28" t="n">
        <x:f>G3229*J3229/1000000</x:f>
        <x:v>0.35808</x:v>
      </x:c>
      <x:c r="N3229" s="28" t="n">
        <x:f>H3229*K3229/1000000</x:f>
        <x:v>0.9613</x:v>
      </x:c>
      <x:c r="O3229" s="28" t="n">
        <x:f>SUM(M3229:N3229)</x:f>
        <x:v>1.31938</x:v>
      </x:c>
    </x:row>
    <x:row r="3230" ht="23" customHeight="1">
      <x:c r="A3230" s="17" t="str">
        <x:v>U03224</x:v>
      </x:c>
      <x:c r="B3230" s="18" t="n">
        <x:v>46283</x:v>
      </x:c>
      <x:c r="C3230" s="17" t="str">
        <x:v>W0217</x:v>
      </x:c>
      <x:c r="D3230" s="17" t="str">
        <x:v>C004</x:v>
      </x:c>
      <x:c r="E3230" s="17" t="str">
        <x:v>InsightDesk</x:v>
      </x:c>
      <x:c r="F3230" s="17" t="str">
        <x:v>Pro</x:v>
      </x:c>
      <x:c r="G3230" s="17" t="n">
        <x:v>16046</x:v>
      </x:c>
      <x:c r="H3230" s="17" t="n">
        <x:v>5765</x:v>
      </x:c>
      <x:c r="I3230" s="17" t="str">
        <x:v>Followup</x:v>
      </x:c>
      <x:c r="J3230" s="27" t="n">
        <x:f>INDEX('Model Pricing'!$B$7:$B$8,MATCH(F3230,'Model Pricing'!$A$7:$A$8,0))</x:f>
        <x:v>40</x:v>
      </x:c>
      <x:c r="K3230" s="27" t="n">
        <x:f>INDEX('Model Pricing'!$C$7:$C$8,MATCH(F3230,'Model Pricing'!$A$7:$A$8,0))</x:f>
        <x:v>100</x:v>
      </x:c>
      <x:c r="L3230" s="17" t="n">
        <x:f>G3230+H3230</x:f>
        <x:v>21811</x:v>
      </x:c>
      <x:c r="M3230" s="28" t="n">
        <x:f>G3230*J3230/1000000</x:f>
        <x:v>0.64184</x:v>
      </x:c>
      <x:c r="N3230" s="28" t="n">
        <x:f>H3230*K3230/1000000</x:f>
        <x:v>0.5765</x:v>
      </x:c>
      <x:c r="O3230" s="28" t="n">
        <x:f>SUM(M3230:N3230)</x:f>
        <x:v>1.21834</x:v>
      </x:c>
    </x:row>
    <x:row r="3231" ht="23" customHeight="1">
      <x:c r="A3231" s="17" t="str">
        <x:v>U03225</x:v>
      </x:c>
      <x:c r="B3231" s="18" t="n">
        <x:v>46283</x:v>
      </x:c>
      <x:c r="C3231" s="17" t="str">
        <x:v>W0217</x:v>
      </x:c>
      <x:c r="D3231" s="17" t="str">
        <x:v>C004</x:v>
      </x:c>
      <x:c r="E3231" s="17" t="str">
        <x:v>InsightDesk</x:v>
      </x:c>
      <x:c r="F3231" s="17" t="str">
        <x:v>Pro</x:v>
      </x:c>
      <x:c r="G3231" s="17" t="n">
        <x:v>18088</x:v>
      </x:c>
      <x:c r="H3231" s="17" t="n">
        <x:v>11495</x:v>
      </x:c>
      <x:c r="I3231" s="17" t="str">
        <x:v>Followup</x:v>
      </x:c>
      <x:c r="J3231" s="27" t="n">
        <x:f>INDEX('Model Pricing'!$B$7:$B$8,MATCH(F3231,'Model Pricing'!$A$7:$A$8,0))</x:f>
        <x:v>40</x:v>
      </x:c>
      <x:c r="K3231" s="27" t="n">
        <x:f>INDEX('Model Pricing'!$C$7:$C$8,MATCH(F3231,'Model Pricing'!$A$7:$A$8,0))</x:f>
        <x:v>100</x:v>
      </x:c>
      <x:c r="L3231" s="17" t="n">
        <x:f>G3231+H3231</x:f>
        <x:v>29583</x:v>
      </x:c>
      <x:c r="M3231" s="28" t="n">
        <x:f>G3231*J3231/1000000</x:f>
        <x:v>0.72352</x:v>
      </x:c>
      <x:c r="N3231" s="28" t="n">
        <x:f>H3231*K3231/1000000</x:f>
        <x:v>1.1495</x:v>
      </x:c>
      <x:c r="O3231" s="28" t="n">
        <x:f>SUM(M3231:N3231)</x:f>
        <x:v>1.87302</x:v>
      </x:c>
    </x:row>
    <x:row r="3232" ht="23" customHeight="1">
      <x:c r="A3232" s="17" t="str">
        <x:v>U03226</x:v>
      </x:c>
      <x:c r="B3232" s="18" t="n">
        <x:v>46286</x:v>
      </x:c>
      <x:c r="C3232" s="17" t="str">
        <x:v>W0217</x:v>
      </x:c>
      <x:c r="D3232" s="17" t="str">
        <x:v>C004</x:v>
      </x:c>
      <x:c r="E3232" s="17" t="str">
        <x:v>InsightDesk</x:v>
      </x:c>
      <x:c r="F3232" s="17" t="str">
        <x:v>Pro</x:v>
      </x:c>
      <x:c r="G3232" s="17" t="n">
        <x:v>12700</x:v>
      </x:c>
      <x:c r="H3232" s="17" t="n">
        <x:v>11260</x:v>
      </x:c>
      <x:c r="I3232" s="17" t="str">
        <x:v>Followup</x:v>
      </x:c>
      <x:c r="J3232" s="27" t="n">
        <x:f>INDEX('Model Pricing'!$B$7:$B$8,MATCH(F3232,'Model Pricing'!$A$7:$A$8,0))</x:f>
        <x:v>40</x:v>
      </x:c>
      <x:c r="K3232" s="27" t="n">
        <x:f>INDEX('Model Pricing'!$C$7:$C$8,MATCH(F3232,'Model Pricing'!$A$7:$A$8,0))</x:f>
        <x:v>100</x:v>
      </x:c>
      <x:c r="L3232" s="17" t="n">
        <x:f>G3232+H3232</x:f>
        <x:v>23960</x:v>
      </x:c>
      <x:c r="M3232" s="28" t="n">
        <x:f>G3232*J3232/1000000</x:f>
        <x:v>0.508</x:v>
      </x:c>
      <x:c r="N3232" s="28" t="n">
        <x:f>H3232*K3232/1000000</x:f>
        <x:v>1.126</x:v>
      </x:c>
      <x:c r="O3232" s="28" t="n">
        <x:f>SUM(M3232:N3232)</x:f>
        <x:v>1.634</x:v>
      </x:c>
    </x:row>
    <x:row r="3233" ht="23" customHeight="1">
      <x:c r="A3233" s="17" t="str">
        <x:v>U03227</x:v>
      </x:c>
      <x:c r="B3233" s="18" t="n">
        <x:v>46286</x:v>
      </x:c>
      <x:c r="C3233" s="17" t="str">
        <x:v>W0217</x:v>
      </x:c>
      <x:c r="D3233" s="17" t="str">
        <x:v>C004</x:v>
      </x:c>
      <x:c r="E3233" s="17" t="str">
        <x:v>InsightDesk</x:v>
      </x:c>
      <x:c r="F3233" s="17" t="str">
        <x:v>Pro</x:v>
      </x:c>
      <x:c r="G3233" s="17" t="n">
        <x:v>18669</x:v>
      </x:c>
      <x:c r="H3233" s="17" t="n">
        <x:v>4609</x:v>
      </x:c>
      <x:c r="I3233" s="17" t="str">
        <x:v>Followup</x:v>
      </x:c>
      <x:c r="J3233" s="27" t="n">
        <x:f>INDEX('Model Pricing'!$B$7:$B$8,MATCH(F3233,'Model Pricing'!$A$7:$A$8,0))</x:f>
        <x:v>40</x:v>
      </x:c>
      <x:c r="K3233" s="27" t="n">
        <x:f>INDEX('Model Pricing'!$C$7:$C$8,MATCH(F3233,'Model Pricing'!$A$7:$A$8,0))</x:f>
        <x:v>100</x:v>
      </x:c>
      <x:c r="L3233" s="17" t="n">
        <x:f>G3233+H3233</x:f>
        <x:v>23278</x:v>
      </x:c>
      <x:c r="M3233" s="28" t="n">
        <x:f>G3233*J3233/1000000</x:f>
        <x:v>0.74676</x:v>
      </x:c>
      <x:c r="N3233" s="28" t="n">
        <x:f>H3233*K3233/1000000</x:f>
        <x:v>0.4609</x:v>
      </x:c>
      <x:c r="O3233" s="28" t="n">
        <x:f>SUM(M3233:N3233)</x:f>
        <x:v>1.20766</x:v>
      </x:c>
    </x:row>
    <x:row r="3234" ht="23" customHeight="1">
      <x:c r="A3234" s="17" t="str">
        <x:v>U03228</x:v>
      </x:c>
      <x:c r="B3234" s="18" t="n">
        <x:v>46286</x:v>
      </x:c>
      <x:c r="C3234" s="17" t="str">
        <x:v>W0217</x:v>
      </x:c>
      <x:c r="D3234" s="17" t="str">
        <x:v>C004</x:v>
      </x:c>
      <x:c r="E3234" s="17" t="str">
        <x:v>InsightDesk</x:v>
      </x:c>
      <x:c r="F3234" s="17" t="str">
        <x:v>Pro</x:v>
      </x:c>
      <x:c r="G3234" s="17" t="n">
        <x:v>16024</x:v>
      </x:c>
      <x:c r="H3234" s="17" t="n">
        <x:v>4440</x:v>
      </x:c>
      <x:c r="I3234" s="17" t="str">
        <x:v>Followup</x:v>
      </x:c>
      <x:c r="J3234" s="27" t="n">
        <x:f>INDEX('Model Pricing'!$B$7:$B$8,MATCH(F3234,'Model Pricing'!$A$7:$A$8,0))</x:f>
        <x:v>40</x:v>
      </x:c>
      <x:c r="K3234" s="27" t="n">
        <x:f>INDEX('Model Pricing'!$C$7:$C$8,MATCH(F3234,'Model Pricing'!$A$7:$A$8,0))</x:f>
        <x:v>100</x:v>
      </x:c>
      <x:c r="L3234" s="17" t="n">
        <x:f>G3234+H3234</x:f>
        <x:v>20464</x:v>
      </x:c>
      <x:c r="M3234" s="28" t="n">
        <x:f>G3234*J3234/1000000</x:f>
        <x:v>0.64096</x:v>
      </x:c>
      <x:c r="N3234" s="28" t="n">
        <x:f>H3234*K3234/1000000</x:f>
        <x:v>0.444</x:v>
      </x:c>
      <x:c r="O3234" s="28" t="n">
        <x:f>SUM(M3234:N3234)</x:f>
        <x:v>1.08496</x:v>
      </x:c>
    </x:row>
    <x:row r="3235" ht="23" customHeight="1">
      <x:c r="A3235" s="17" t="str">
        <x:v>U03229</x:v>
      </x:c>
      <x:c r="B3235" s="18" t="n">
        <x:v>46286</x:v>
      </x:c>
      <x:c r="C3235" s="17" t="str">
        <x:v>W0217</x:v>
      </x:c>
      <x:c r="D3235" s="17" t="str">
        <x:v>C004</x:v>
      </x:c>
      <x:c r="E3235" s="17" t="str">
        <x:v>InsightDesk</x:v>
      </x:c>
      <x:c r="F3235" s="17" t="str">
        <x:v>Pro</x:v>
      </x:c>
      <x:c r="G3235" s="17" t="n">
        <x:v>16398</x:v>
      </x:c>
      <x:c r="H3235" s="17" t="n">
        <x:v>10621</x:v>
      </x:c>
      <x:c r="I3235" s="17" t="str">
        <x:v>Followup</x:v>
      </x:c>
      <x:c r="J3235" s="27" t="n">
        <x:f>INDEX('Model Pricing'!$B$7:$B$8,MATCH(F3235,'Model Pricing'!$A$7:$A$8,0))</x:f>
        <x:v>40</x:v>
      </x:c>
      <x:c r="K3235" s="27" t="n">
        <x:f>INDEX('Model Pricing'!$C$7:$C$8,MATCH(F3235,'Model Pricing'!$A$7:$A$8,0))</x:f>
        <x:v>100</x:v>
      </x:c>
      <x:c r="L3235" s="17" t="n">
        <x:f>G3235+H3235</x:f>
        <x:v>27019</x:v>
      </x:c>
      <x:c r="M3235" s="28" t="n">
        <x:f>G3235*J3235/1000000</x:f>
        <x:v>0.65592</x:v>
      </x:c>
      <x:c r="N3235" s="28" t="n">
        <x:f>H3235*K3235/1000000</x:f>
        <x:v>1.0621</x:v>
      </x:c>
      <x:c r="O3235" s="28" t="n">
        <x:f>SUM(M3235:N3235)</x:f>
        <x:v>1.71802</x:v>
      </x:c>
    </x:row>
    <x:row r="3236" ht="23" customHeight="1">
      <x:c r="A3236" s="17" t="str">
        <x:v>U03230</x:v>
      </x:c>
      <x:c r="B3236" s="18" t="n">
        <x:v>46286</x:v>
      </x:c>
      <x:c r="C3236" s="17" t="str">
        <x:v>W0217</x:v>
      </x:c>
      <x:c r="D3236" s="17" t="str">
        <x:v>C004</x:v>
      </x:c>
      <x:c r="E3236" s="17" t="str">
        <x:v>InsightDesk</x:v>
      </x:c>
      <x:c r="F3236" s="17" t="str">
        <x:v>Pro</x:v>
      </x:c>
      <x:c r="G3236" s="17" t="n">
        <x:v>10537</x:v>
      </x:c>
      <x:c r="H3236" s="17" t="n">
        <x:v>4702</x:v>
      </x:c>
      <x:c r="I3236" s="17" t="str">
        <x:v>Correction</x:v>
      </x:c>
      <x:c r="J3236" s="27" t="n">
        <x:f>INDEX('Model Pricing'!$B$7:$B$8,MATCH(F3236,'Model Pricing'!$A$7:$A$8,0))</x:f>
        <x:v>40</x:v>
      </x:c>
      <x:c r="K3236" s="27" t="n">
        <x:f>INDEX('Model Pricing'!$C$7:$C$8,MATCH(F3236,'Model Pricing'!$A$7:$A$8,0))</x:f>
        <x:v>100</x:v>
      </x:c>
      <x:c r="L3236" s="17" t="n">
        <x:f>G3236+H3236</x:f>
        <x:v>15239</x:v>
      </x:c>
      <x:c r="M3236" s="28" t="n">
        <x:f>G3236*J3236/1000000</x:f>
        <x:v>0.42148</x:v>
      </x:c>
      <x:c r="N3236" s="28" t="n">
        <x:f>H3236*K3236/1000000</x:f>
        <x:v>0.4702</x:v>
      </x:c>
      <x:c r="O3236" s="28" t="n">
        <x:f>SUM(M3236:N3236)</x:f>
        <x:v>0.89168</x:v>
      </x:c>
    </x:row>
    <x:row r="3237" ht="23" customHeight="1">
      <x:c r="A3237" s="17" t="str">
        <x:v>U03231</x:v>
      </x:c>
      <x:c r="B3237" s="18" t="n">
        <x:v>46287</x:v>
      </x:c>
      <x:c r="C3237" s="17" t="str">
        <x:v>W0217</x:v>
      </x:c>
      <x:c r="D3237" s="17" t="str">
        <x:v>C004</x:v>
      </x:c>
      <x:c r="E3237" s="17" t="str">
        <x:v>InsightDesk</x:v>
      </x:c>
      <x:c r="F3237" s="17" t="str">
        <x:v>Pro</x:v>
      </x:c>
      <x:c r="G3237" s="17" t="n">
        <x:v>18652</x:v>
      </x:c>
      <x:c r="H3237" s="17" t="n">
        <x:v>3965</x:v>
      </x:c>
      <x:c r="I3237" s="17" t="str">
        <x:v>Correction</x:v>
      </x:c>
      <x:c r="J3237" s="27" t="n">
        <x:f>INDEX('Model Pricing'!$B$7:$B$8,MATCH(F3237,'Model Pricing'!$A$7:$A$8,0))</x:f>
        <x:v>40</x:v>
      </x:c>
      <x:c r="K3237" s="27" t="n">
        <x:f>INDEX('Model Pricing'!$C$7:$C$8,MATCH(F3237,'Model Pricing'!$A$7:$A$8,0))</x:f>
        <x:v>100</x:v>
      </x:c>
      <x:c r="L3237" s="17" t="n">
        <x:f>G3237+H3237</x:f>
        <x:v>22617</x:v>
      </x:c>
      <x:c r="M3237" s="28" t="n">
        <x:f>G3237*J3237/1000000</x:f>
        <x:v>0.74608</x:v>
      </x:c>
      <x:c r="N3237" s="28" t="n">
        <x:f>H3237*K3237/1000000</x:f>
        <x:v>0.3965</x:v>
      </x:c>
      <x:c r="O3237" s="28" t="n">
        <x:f>SUM(M3237:N3237)</x:f>
        <x:v>1.14258</x:v>
      </x:c>
    </x:row>
    <x:row r="3238" ht="23" customHeight="1">
      <x:c r="A3238" s="17" t="str">
        <x:v>U03232</x:v>
      </x:c>
      <x:c r="B3238" s="18" t="n">
        <x:v>46287</x:v>
      </x:c>
      <x:c r="C3238" s="17" t="str">
        <x:v>W0217</x:v>
      </x:c>
      <x:c r="D3238" s="17" t="str">
        <x:v>C004</x:v>
      </x:c>
      <x:c r="E3238" s="17" t="str">
        <x:v>InsightDesk</x:v>
      </x:c>
      <x:c r="F3238" s="17" t="str">
        <x:v>Pro</x:v>
      </x:c>
      <x:c r="G3238" s="17" t="n">
        <x:v>14669</x:v>
      </x:c>
      <x:c r="H3238" s="17" t="n">
        <x:v>5385</x:v>
      </x:c>
      <x:c r="I3238" s="17" t="str">
        <x:v>Correction</x:v>
      </x:c>
      <x:c r="J3238" s="27" t="n">
        <x:f>INDEX('Model Pricing'!$B$7:$B$8,MATCH(F3238,'Model Pricing'!$A$7:$A$8,0))</x:f>
        <x:v>40</x:v>
      </x:c>
      <x:c r="K3238" s="27" t="n">
        <x:f>INDEX('Model Pricing'!$C$7:$C$8,MATCH(F3238,'Model Pricing'!$A$7:$A$8,0))</x:f>
        <x:v>100</x:v>
      </x:c>
      <x:c r="L3238" s="17" t="n">
        <x:f>G3238+H3238</x:f>
        <x:v>20054</x:v>
      </x:c>
      <x:c r="M3238" s="28" t="n">
        <x:f>G3238*J3238/1000000</x:f>
        <x:v>0.58676</x:v>
      </x:c>
      <x:c r="N3238" s="28" t="n">
        <x:f>H3238*K3238/1000000</x:f>
        <x:v>0.5385</x:v>
      </x:c>
      <x:c r="O3238" s="28" t="n">
        <x:f>SUM(M3238:N3238)</x:f>
        <x:v>1.12526</x:v>
      </x:c>
    </x:row>
    <x:row r="3239" ht="23" customHeight="1">
      <x:c r="A3239" s="17" t="str">
        <x:v>U03233</x:v>
      </x:c>
      <x:c r="B3239" s="18" t="n">
        <x:v>46287</x:v>
      </x:c>
      <x:c r="C3239" s="17" t="str">
        <x:v>W0217</x:v>
      </x:c>
      <x:c r="D3239" s="17" t="str">
        <x:v>C004</x:v>
      </x:c>
      <x:c r="E3239" s="17" t="str">
        <x:v>InsightDesk</x:v>
      </x:c>
      <x:c r="F3239" s="17" t="str">
        <x:v>Pro</x:v>
      </x:c>
      <x:c r="G3239" s="17" t="n">
        <x:v>13054</x:v>
      </x:c>
      <x:c r="H3239" s="17" t="n">
        <x:v>9370</x:v>
      </x:c>
      <x:c r="I3239" s="17" t="str">
        <x:v>Followup</x:v>
      </x:c>
      <x:c r="J3239" s="27" t="n">
        <x:f>INDEX('Model Pricing'!$B$7:$B$8,MATCH(F3239,'Model Pricing'!$A$7:$A$8,0))</x:f>
        <x:v>40</x:v>
      </x:c>
      <x:c r="K3239" s="27" t="n">
        <x:f>INDEX('Model Pricing'!$C$7:$C$8,MATCH(F3239,'Model Pricing'!$A$7:$A$8,0))</x:f>
        <x:v>100</x:v>
      </x:c>
      <x:c r="L3239" s="17" t="n">
        <x:f>G3239+H3239</x:f>
        <x:v>22424</x:v>
      </x:c>
      <x:c r="M3239" s="28" t="n">
        <x:f>G3239*J3239/1000000</x:f>
        <x:v>0.52216</x:v>
      </x:c>
      <x:c r="N3239" s="28" t="n">
        <x:f>H3239*K3239/1000000</x:f>
        <x:v>0.937</x:v>
      </x:c>
      <x:c r="O3239" s="28" t="n">
        <x:f>SUM(M3239:N3239)</x:f>
        <x:v>1.45916</x:v>
      </x:c>
    </x:row>
    <x:row r="3240" ht="23" customHeight="1">
      <x:c r="A3240" s="17" t="str">
        <x:v>U03234</x:v>
      </x:c>
      <x:c r="B3240" s="18" t="n">
        <x:v>46287</x:v>
      </x:c>
      <x:c r="C3240" s="17" t="str">
        <x:v>W0217</x:v>
      </x:c>
      <x:c r="D3240" s="17" t="str">
        <x:v>C004</x:v>
      </x:c>
      <x:c r="E3240" s="17" t="str">
        <x:v>InsightDesk</x:v>
      </x:c>
      <x:c r="F3240" s="17" t="str">
        <x:v>Pro</x:v>
      </x:c>
      <x:c r="G3240" s="17" t="n">
        <x:v>13333</x:v>
      </x:c>
      <x:c r="H3240" s="17" t="n">
        <x:v>7714</x:v>
      </x:c>
      <x:c r="I3240" s="17" t="str">
        <x:v>Followup</x:v>
      </x:c>
      <x:c r="J3240" s="27" t="n">
        <x:f>INDEX('Model Pricing'!$B$7:$B$8,MATCH(F3240,'Model Pricing'!$A$7:$A$8,0))</x:f>
        <x:v>40</x:v>
      </x:c>
      <x:c r="K3240" s="27" t="n">
        <x:f>INDEX('Model Pricing'!$C$7:$C$8,MATCH(F3240,'Model Pricing'!$A$7:$A$8,0))</x:f>
        <x:v>100</x:v>
      </x:c>
      <x:c r="L3240" s="17" t="n">
        <x:f>G3240+H3240</x:f>
        <x:v>21047</x:v>
      </x:c>
      <x:c r="M3240" s="28" t="n">
        <x:f>G3240*J3240/1000000</x:f>
        <x:v>0.53332</x:v>
      </x:c>
      <x:c r="N3240" s="28" t="n">
        <x:f>H3240*K3240/1000000</x:f>
        <x:v>0.7714</x:v>
      </x:c>
      <x:c r="O3240" s="28" t="n">
        <x:f>SUM(M3240:N3240)</x:f>
        <x:v>1.30472</x:v>
      </x:c>
    </x:row>
    <x:row r="3241" ht="23" customHeight="1">
      <x:c r="A3241" s="17" t="str">
        <x:v>U03235</x:v>
      </x:c>
      <x:c r="B3241" s="18" t="n">
        <x:v>46287</x:v>
      </x:c>
      <x:c r="C3241" s="17" t="str">
        <x:v>W0217</x:v>
      </x:c>
      <x:c r="D3241" s="17" t="str">
        <x:v>C004</x:v>
      </x:c>
      <x:c r="E3241" s="17" t="str">
        <x:v>InsightDesk</x:v>
      </x:c>
      <x:c r="F3241" s="17" t="str">
        <x:v>Pro</x:v>
      </x:c>
      <x:c r="G3241" s="17" t="n">
        <x:v>19494</x:v>
      </x:c>
      <x:c r="H3241" s="17" t="n">
        <x:v>7109</x:v>
      </x:c>
      <x:c r="I3241" s="17" t="str">
        <x:v>Followup</x:v>
      </x:c>
      <x:c r="J3241" s="27" t="n">
        <x:f>INDEX('Model Pricing'!$B$7:$B$8,MATCH(F3241,'Model Pricing'!$A$7:$A$8,0))</x:f>
        <x:v>40</x:v>
      </x:c>
      <x:c r="K3241" s="27" t="n">
        <x:f>INDEX('Model Pricing'!$C$7:$C$8,MATCH(F3241,'Model Pricing'!$A$7:$A$8,0))</x:f>
        <x:v>100</x:v>
      </x:c>
      <x:c r="L3241" s="17" t="n">
        <x:f>G3241+H3241</x:f>
        <x:v>26603</x:v>
      </x:c>
      <x:c r="M3241" s="28" t="n">
        <x:f>G3241*J3241/1000000</x:f>
        <x:v>0.77976</x:v>
      </x:c>
      <x:c r="N3241" s="28" t="n">
        <x:f>H3241*K3241/1000000</x:f>
        <x:v>0.7109</x:v>
      </x:c>
      <x:c r="O3241" s="28" t="n">
        <x:f>SUM(M3241:N3241)</x:f>
        <x:v>1.49066</x:v>
      </x:c>
    </x:row>
    <x:row r="3242" ht="23" customHeight="1">
      <x:c r="A3242" s="17" t="str">
        <x:v>U03236</x:v>
      </x:c>
      <x:c r="B3242" s="18" t="n">
        <x:v>46287</x:v>
      </x:c>
      <x:c r="C3242" s="17" t="str">
        <x:v>W0217</x:v>
      </x:c>
      <x:c r="D3242" s="17" t="str">
        <x:v>C004</x:v>
      </x:c>
      <x:c r="E3242" s="17" t="str">
        <x:v>InsightDesk</x:v>
      </x:c>
      <x:c r="F3242" s="17" t="str">
        <x:v>Pro</x:v>
      </x:c>
      <x:c r="G3242" s="17" t="n">
        <x:v>8380</x:v>
      </x:c>
      <x:c r="H3242" s="17" t="n">
        <x:v>11443</x:v>
      </x:c>
      <x:c r="I3242" s="17" t="str">
        <x:v>Followup</x:v>
      </x:c>
      <x:c r="J3242" s="27" t="n">
        <x:f>INDEX('Model Pricing'!$B$7:$B$8,MATCH(F3242,'Model Pricing'!$A$7:$A$8,0))</x:f>
        <x:v>40</x:v>
      </x:c>
      <x:c r="K3242" s="27" t="n">
        <x:f>INDEX('Model Pricing'!$C$7:$C$8,MATCH(F3242,'Model Pricing'!$A$7:$A$8,0))</x:f>
        <x:v>100</x:v>
      </x:c>
      <x:c r="L3242" s="17" t="n">
        <x:f>G3242+H3242</x:f>
        <x:v>19823</x:v>
      </x:c>
      <x:c r="M3242" s="28" t="n">
        <x:f>G3242*J3242/1000000</x:f>
        <x:v>0.3352</x:v>
      </x:c>
      <x:c r="N3242" s="28" t="n">
        <x:f>H3242*K3242/1000000</x:f>
        <x:v>1.1443</x:v>
      </x:c>
      <x:c r="O3242" s="28" t="n">
        <x:f>SUM(M3242:N3242)</x:f>
        <x:v>1.4795</x:v>
      </x:c>
    </x:row>
    <x:row r="3243" ht="23" customHeight="1">
      <x:c r="A3243" s="17" t="str">
        <x:v>U03237</x:v>
      </x:c>
      <x:c r="B3243" s="18" t="n">
        <x:v>46288</x:v>
      </x:c>
      <x:c r="C3243" s="17" t="str">
        <x:v>W0217</x:v>
      </x:c>
      <x:c r="D3243" s="17" t="str">
        <x:v>C004</x:v>
      </x:c>
      <x:c r="E3243" s="17" t="str">
        <x:v>InsightDesk</x:v>
      </x:c>
      <x:c r="F3243" s="17" t="str">
        <x:v>Pro</x:v>
      </x:c>
      <x:c r="G3243" s="17" t="n">
        <x:v>9443</x:v>
      </x:c>
      <x:c r="H3243" s="17" t="n">
        <x:v>10321</x:v>
      </x:c>
      <x:c r="I3243" s="17" t="str">
        <x:v>Followup</x:v>
      </x:c>
      <x:c r="J3243" s="27" t="n">
        <x:f>INDEX('Model Pricing'!$B$7:$B$8,MATCH(F3243,'Model Pricing'!$A$7:$A$8,0))</x:f>
        <x:v>40</x:v>
      </x:c>
      <x:c r="K3243" s="27" t="n">
        <x:f>INDEX('Model Pricing'!$C$7:$C$8,MATCH(F3243,'Model Pricing'!$A$7:$A$8,0))</x:f>
        <x:v>100</x:v>
      </x:c>
      <x:c r="L3243" s="17" t="n">
        <x:f>G3243+H3243</x:f>
        <x:v>19764</x:v>
      </x:c>
      <x:c r="M3243" s="28" t="n">
        <x:f>G3243*J3243/1000000</x:f>
        <x:v>0.37772</x:v>
      </x:c>
      <x:c r="N3243" s="28" t="n">
        <x:f>H3243*K3243/1000000</x:f>
        <x:v>1.0321</x:v>
      </x:c>
      <x:c r="O3243" s="28" t="n">
        <x:f>SUM(M3243:N3243)</x:f>
        <x:v>1.40982</x:v>
      </x:c>
    </x:row>
    <x:row r="3244" ht="23" customHeight="1">
      <x:c r="A3244" s="17" t="str">
        <x:v>U03238</x:v>
      </x:c>
      <x:c r="B3244" s="18" t="n">
        <x:v>46288</x:v>
      </x:c>
      <x:c r="C3244" s="17" t="str">
        <x:v>W0217</x:v>
      </x:c>
      <x:c r="D3244" s="17" t="str">
        <x:v>C004</x:v>
      </x:c>
      <x:c r="E3244" s="17" t="str">
        <x:v>InsightDesk</x:v>
      </x:c>
      <x:c r="F3244" s="17" t="str">
        <x:v>Pro</x:v>
      </x:c>
      <x:c r="G3244" s="17" t="n">
        <x:v>7609</x:v>
      </x:c>
      <x:c r="H3244" s="17" t="n">
        <x:v>7421</x:v>
      </x:c>
      <x:c r="I3244" s="17" t="str">
        <x:v>Followup</x:v>
      </x:c>
      <x:c r="J3244" s="27" t="n">
        <x:f>INDEX('Model Pricing'!$B$7:$B$8,MATCH(F3244,'Model Pricing'!$A$7:$A$8,0))</x:f>
        <x:v>40</x:v>
      </x:c>
      <x:c r="K3244" s="27" t="n">
        <x:f>INDEX('Model Pricing'!$C$7:$C$8,MATCH(F3244,'Model Pricing'!$A$7:$A$8,0))</x:f>
        <x:v>100</x:v>
      </x:c>
      <x:c r="L3244" s="17" t="n">
        <x:f>G3244+H3244</x:f>
        <x:v>15030</x:v>
      </x:c>
      <x:c r="M3244" s="28" t="n">
        <x:f>G3244*J3244/1000000</x:f>
        <x:v>0.30436</x:v>
      </x:c>
      <x:c r="N3244" s="28" t="n">
        <x:f>H3244*K3244/1000000</x:f>
        <x:v>0.7421</x:v>
      </x:c>
      <x:c r="O3244" s="28" t="n">
        <x:f>SUM(M3244:N3244)</x:f>
        <x:v>1.04646</x:v>
      </x:c>
    </x:row>
    <x:row r="3245" ht="23" customHeight="1">
      <x:c r="A3245" s="17" t="str">
        <x:v>U03239</x:v>
      </x:c>
      <x:c r="B3245" s="18" t="n">
        <x:v>46288</x:v>
      </x:c>
      <x:c r="C3245" s="17" t="str">
        <x:v>W0217</x:v>
      </x:c>
      <x:c r="D3245" s="17" t="str">
        <x:v>C004</x:v>
      </x:c>
      <x:c r="E3245" s="17" t="str">
        <x:v>InsightDesk</x:v>
      </x:c>
      <x:c r="F3245" s="17" t="str">
        <x:v>Pro</x:v>
      </x:c>
      <x:c r="G3245" s="17" t="n">
        <x:v>14255</x:v>
      </x:c>
      <x:c r="H3245" s="17" t="n">
        <x:v>10092</x:v>
      </x:c>
      <x:c r="I3245" s="17" t="str">
        <x:v>Followup</x:v>
      </x:c>
      <x:c r="J3245" s="27" t="n">
        <x:f>INDEX('Model Pricing'!$B$7:$B$8,MATCH(F3245,'Model Pricing'!$A$7:$A$8,0))</x:f>
        <x:v>40</x:v>
      </x:c>
      <x:c r="K3245" s="27" t="n">
        <x:f>INDEX('Model Pricing'!$C$7:$C$8,MATCH(F3245,'Model Pricing'!$A$7:$A$8,0))</x:f>
        <x:v>100</x:v>
      </x:c>
      <x:c r="L3245" s="17" t="n">
        <x:f>G3245+H3245</x:f>
        <x:v>24347</x:v>
      </x:c>
      <x:c r="M3245" s="28" t="n">
        <x:f>G3245*J3245/1000000</x:f>
        <x:v>0.5702</x:v>
      </x:c>
      <x:c r="N3245" s="28" t="n">
        <x:f>H3245*K3245/1000000</x:f>
        <x:v>1.0092</x:v>
      </x:c>
      <x:c r="O3245" s="28" t="n">
        <x:f>SUM(M3245:N3245)</x:f>
        <x:v>1.5794000000000001</x:v>
      </x:c>
    </x:row>
    <x:row r="3246" ht="23" customHeight="1">
      <x:c r="A3246" s="17" t="str">
        <x:v>U03240</x:v>
      </x:c>
      <x:c r="B3246" s="18" t="n">
        <x:v>46288</x:v>
      </x:c>
      <x:c r="C3246" s="17" t="str">
        <x:v>W0217</x:v>
      </x:c>
      <x:c r="D3246" s="17" t="str">
        <x:v>C004</x:v>
      </x:c>
      <x:c r="E3246" s="17" t="str">
        <x:v>InsightDesk</x:v>
      </x:c>
      <x:c r="F3246" s="17" t="str">
        <x:v>Pro</x:v>
      </x:c>
      <x:c r="G3246" s="17" t="n">
        <x:v>12911</x:v>
      </x:c>
      <x:c r="H3246" s="17" t="n">
        <x:v>8281</x:v>
      </x:c>
      <x:c r="I3246" s="17" t="str">
        <x:v>Followup</x:v>
      </x:c>
      <x:c r="J3246" s="27" t="n">
        <x:f>INDEX('Model Pricing'!$B$7:$B$8,MATCH(F3246,'Model Pricing'!$A$7:$A$8,0))</x:f>
        <x:v>40</x:v>
      </x:c>
      <x:c r="K3246" s="27" t="n">
        <x:f>INDEX('Model Pricing'!$C$7:$C$8,MATCH(F3246,'Model Pricing'!$A$7:$A$8,0))</x:f>
        <x:v>100</x:v>
      </x:c>
      <x:c r="L3246" s="17" t="n">
        <x:f>G3246+H3246</x:f>
        <x:v>21192</x:v>
      </x:c>
      <x:c r="M3246" s="28" t="n">
        <x:f>G3246*J3246/1000000</x:f>
        <x:v>0.51644</x:v>
      </x:c>
      <x:c r="N3246" s="28" t="n">
        <x:f>H3246*K3246/1000000</x:f>
        <x:v>0.8281</x:v>
      </x:c>
      <x:c r="O3246" s="28" t="n">
        <x:f>SUM(M3246:N3246)</x:f>
        <x:v>1.3445399999999998</x:v>
      </x:c>
    </x:row>
    <x:row r="3247" ht="23" customHeight="1">
      <x:c r="A3247" s="17" t="str">
        <x:v>U03241</x:v>
      </x:c>
      <x:c r="B3247" s="18" t="n">
        <x:v>46288</x:v>
      </x:c>
      <x:c r="C3247" s="17" t="str">
        <x:v>W0217</x:v>
      </x:c>
      <x:c r="D3247" s="17" t="str">
        <x:v>C004</x:v>
      </x:c>
      <x:c r="E3247" s="17" t="str">
        <x:v>InsightDesk</x:v>
      </x:c>
      <x:c r="F3247" s="17" t="str">
        <x:v>Pro</x:v>
      </x:c>
      <x:c r="G3247" s="17" t="n">
        <x:v>18610</x:v>
      </x:c>
      <x:c r="H3247" s="17" t="n">
        <x:v>5912</x:v>
      </x:c>
      <x:c r="I3247" s="17" t="str">
        <x:v>Followup</x:v>
      </x:c>
      <x:c r="J3247" s="27" t="n">
        <x:f>INDEX('Model Pricing'!$B$7:$B$8,MATCH(F3247,'Model Pricing'!$A$7:$A$8,0))</x:f>
        <x:v>40</x:v>
      </x:c>
      <x:c r="K3247" s="27" t="n">
        <x:f>INDEX('Model Pricing'!$C$7:$C$8,MATCH(F3247,'Model Pricing'!$A$7:$A$8,0))</x:f>
        <x:v>100</x:v>
      </x:c>
      <x:c r="L3247" s="17" t="n">
        <x:f>G3247+H3247</x:f>
        <x:v>24522</x:v>
      </x:c>
      <x:c r="M3247" s="28" t="n">
        <x:f>G3247*J3247/1000000</x:f>
        <x:v>0.7444</x:v>
      </x:c>
      <x:c r="N3247" s="28" t="n">
        <x:f>H3247*K3247/1000000</x:f>
        <x:v>0.5912</x:v>
      </x:c>
      <x:c r="O3247" s="28" t="n">
        <x:f>SUM(M3247:N3247)</x:f>
        <x:v>1.3356</x:v>
      </x:c>
    </x:row>
    <x:row r="3248" ht="23" customHeight="1">
      <x:c r="A3248" s="17" t="str">
        <x:v>U03242</x:v>
      </x:c>
      <x:c r="B3248" s="18" t="n">
        <x:v>46273</x:v>
      </x:c>
      <x:c r="C3248" s="17" t="str">
        <x:v>W0221</x:v>
      </x:c>
      <x:c r="D3248" s="17" t="str">
        <x:v>C004</x:v>
      </x:c>
      <x:c r="E3248" s="17" t="str">
        <x:v>CampaignChat</x:v>
      </x:c>
      <x:c r="F3248" s="17" t="str">
        <x:v>Pro</x:v>
      </x:c>
      <x:c r="G3248" s="17" t="n">
        <x:v>23718</x:v>
      </x:c>
      <x:c r="H3248" s="17" t="n">
        <x:v>6050</x:v>
      </x:c>
      <x:c r="I3248" s="17" t="str">
        <x:v>First attempt</x:v>
      </x:c>
      <x:c r="J3248" s="27" t="n">
        <x:f>INDEX('Model Pricing'!$B$7:$B$8,MATCH(F3248,'Model Pricing'!$A$7:$A$8,0))</x:f>
        <x:v>40</x:v>
      </x:c>
      <x:c r="K3248" s="27" t="n">
        <x:f>INDEX('Model Pricing'!$C$7:$C$8,MATCH(F3248,'Model Pricing'!$A$7:$A$8,0))</x:f>
        <x:v>100</x:v>
      </x:c>
      <x:c r="L3248" s="17" t="n">
        <x:f>G3248+H3248</x:f>
        <x:v>29768</x:v>
      </x:c>
      <x:c r="M3248" s="28" t="n">
        <x:f>G3248*J3248/1000000</x:f>
        <x:v>0.94872</x:v>
      </x:c>
      <x:c r="N3248" s="28" t="n">
        <x:f>H3248*K3248/1000000</x:f>
        <x:v>0.605</x:v>
      </x:c>
      <x:c r="O3248" s="28" t="n">
        <x:f>SUM(M3248:N3248)</x:f>
        <x:v>1.55372</x:v>
      </x:c>
    </x:row>
    <x:row r="3249" ht="23" customHeight="1">
      <x:c r="A3249" s="17" t="str">
        <x:v>U03243</x:v>
      </x:c>
      <x:c r="B3249" s="18" t="n">
        <x:v>46273</x:v>
      </x:c>
      <x:c r="C3249" s="17" t="str">
        <x:v>W0221</x:v>
      </x:c>
      <x:c r="D3249" s="17" t="str">
        <x:v>C004</x:v>
      </x:c>
      <x:c r="E3249" s="17" t="str">
        <x:v>CampaignChat</x:v>
      </x:c>
      <x:c r="F3249" s="17" t="str">
        <x:v>Pro</x:v>
      </x:c>
      <x:c r="G3249" s="17" t="n">
        <x:v>23840</x:v>
      </x:c>
      <x:c r="H3249" s="17" t="n">
        <x:v>11328</x:v>
      </x:c>
      <x:c r="I3249" s="17" t="str">
        <x:v>Followup</x:v>
      </x:c>
      <x:c r="J3249" s="27" t="n">
        <x:f>INDEX('Model Pricing'!$B$7:$B$8,MATCH(F3249,'Model Pricing'!$A$7:$A$8,0))</x:f>
        <x:v>40</x:v>
      </x:c>
      <x:c r="K3249" s="27" t="n">
        <x:f>INDEX('Model Pricing'!$C$7:$C$8,MATCH(F3249,'Model Pricing'!$A$7:$A$8,0))</x:f>
        <x:v>100</x:v>
      </x:c>
      <x:c r="L3249" s="17" t="n">
        <x:f>G3249+H3249</x:f>
        <x:v>35168</x:v>
      </x:c>
      <x:c r="M3249" s="28" t="n">
        <x:f>G3249*J3249/1000000</x:f>
        <x:v>0.9536</x:v>
      </x:c>
      <x:c r="N3249" s="28" t="n">
        <x:f>H3249*K3249/1000000</x:f>
        <x:v>1.1328</x:v>
      </x:c>
      <x:c r="O3249" s="28" t="n">
        <x:f>SUM(M3249:N3249)</x:f>
        <x:v>2.0864000000000003</x:v>
      </x:c>
    </x:row>
    <x:row r="3250" ht="23" customHeight="1">
      <x:c r="A3250" s="17" t="str">
        <x:v>U03244</x:v>
      </x:c>
      <x:c r="B3250" s="18" t="n">
        <x:v>46273</x:v>
      </x:c>
      <x:c r="C3250" s="17" t="str">
        <x:v>W0221</x:v>
      </x:c>
      <x:c r="D3250" s="17" t="str">
        <x:v>C004</x:v>
      </x:c>
      <x:c r="E3250" s="17" t="str">
        <x:v>CampaignChat</x:v>
      </x:c>
      <x:c r="F3250" s="17" t="str">
        <x:v>Pro</x:v>
      </x:c>
      <x:c r="G3250" s="17" t="n">
        <x:v>20917</x:v>
      </x:c>
      <x:c r="H3250" s="17" t="n">
        <x:v>12423</x:v>
      </x:c>
      <x:c r="I3250" s="17" t="str">
        <x:v>Followup</x:v>
      </x:c>
      <x:c r="J3250" s="27" t="n">
        <x:f>INDEX('Model Pricing'!$B$7:$B$8,MATCH(F3250,'Model Pricing'!$A$7:$A$8,0))</x:f>
        <x:v>40</x:v>
      </x:c>
      <x:c r="K3250" s="27" t="n">
        <x:f>INDEX('Model Pricing'!$C$7:$C$8,MATCH(F3250,'Model Pricing'!$A$7:$A$8,0))</x:f>
        <x:v>100</x:v>
      </x:c>
      <x:c r="L3250" s="17" t="n">
        <x:f>G3250+H3250</x:f>
        <x:v>33340</x:v>
      </x:c>
      <x:c r="M3250" s="28" t="n">
        <x:f>G3250*J3250/1000000</x:f>
        <x:v>0.83668</x:v>
      </x:c>
      <x:c r="N3250" s="28" t="n">
        <x:f>H3250*K3250/1000000</x:f>
        <x:v>1.2423</x:v>
      </x:c>
      <x:c r="O3250" s="28" t="n">
        <x:f>SUM(M3250:N3250)</x:f>
        <x:v>2.07898</x:v>
      </x:c>
    </x:row>
    <x:row r="3251" ht="23" customHeight="1">
      <x:c r="A3251" s="17" t="str">
        <x:v>U03245</x:v>
      </x:c>
      <x:c r="B3251" s="18" t="n">
        <x:v>46273</x:v>
      </x:c>
      <x:c r="C3251" s="17" t="str">
        <x:v>W0221</x:v>
      </x:c>
      <x:c r="D3251" s="17" t="str">
        <x:v>C004</x:v>
      </x:c>
      <x:c r="E3251" s="17" t="str">
        <x:v>CampaignChat</x:v>
      </x:c>
      <x:c r="F3251" s="17" t="str">
        <x:v>Pro</x:v>
      </x:c>
      <x:c r="G3251" s="17" t="n">
        <x:v>26315</x:v>
      </x:c>
      <x:c r="H3251" s="17" t="n">
        <x:v>14045</x:v>
      </x:c>
      <x:c r="I3251" s="17" t="str">
        <x:v>Followup</x:v>
      </x:c>
      <x:c r="J3251" s="27" t="n">
        <x:f>INDEX('Model Pricing'!$B$7:$B$8,MATCH(F3251,'Model Pricing'!$A$7:$A$8,0))</x:f>
        <x:v>40</x:v>
      </x:c>
      <x:c r="K3251" s="27" t="n">
        <x:f>INDEX('Model Pricing'!$C$7:$C$8,MATCH(F3251,'Model Pricing'!$A$7:$A$8,0))</x:f>
        <x:v>100</x:v>
      </x:c>
      <x:c r="L3251" s="17" t="n">
        <x:f>G3251+H3251</x:f>
        <x:v>40360</x:v>
      </x:c>
      <x:c r="M3251" s="28" t="n">
        <x:f>G3251*J3251/1000000</x:f>
        <x:v>1.0526</x:v>
      </x:c>
      <x:c r="N3251" s="28" t="n">
        <x:f>H3251*K3251/1000000</x:f>
        <x:v>1.4045</x:v>
      </x:c>
      <x:c r="O3251" s="28" t="n">
        <x:f>SUM(M3251:N3251)</x:f>
        <x:v>2.4571</x:v>
      </x:c>
    </x:row>
    <x:row r="3252" ht="23" customHeight="1">
      <x:c r="A3252" s="17" t="str">
        <x:v>U03246</x:v>
      </x:c>
      <x:c r="B3252" s="18" t="n">
        <x:v>46273</x:v>
      </x:c>
      <x:c r="C3252" s="17" t="str">
        <x:v>W0221</x:v>
      </x:c>
      <x:c r="D3252" s="17" t="str">
        <x:v>C004</x:v>
      </x:c>
      <x:c r="E3252" s="17" t="str">
        <x:v>CampaignChat</x:v>
      </x:c>
      <x:c r="F3252" s="17" t="str">
        <x:v>Pro</x:v>
      </x:c>
      <x:c r="G3252" s="17" t="n">
        <x:v>27740</x:v>
      </x:c>
      <x:c r="H3252" s="17" t="n">
        <x:v>17881</x:v>
      </x:c>
      <x:c r="I3252" s="17" t="str">
        <x:v>Followup</x:v>
      </x:c>
      <x:c r="J3252" s="27" t="n">
        <x:f>INDEX('Model Pricing'!$B$7:$B$8,MATCH(F3252,'Model Pricing'!$A$7:$A$8,0))</x:f>
        <x:v>40</x:v>
      </x:c>
      <x:c r="K3252" s="27" t="n">
        <x:f>INDEX('Model Pricing'!$C$7:$C$8,MATCH(F3252,'Model Pricing'!$A$7:$A$8,0))</x:f>
        <x:v>100</x:v>
      </x:c>
      <x:c r="L3252" s="17" t="n">
        <x:f>G3252+H3252</x:f>
        <x:v>45621</x:v>
      </x:c>
      <x:c r="M3252" s="28" t="n">
        <x:f>G3252*J3252/1000000</x:f>
        <x:v>1.1096</x:v>
      </x:c>
      <x:c r="N3252" s="28" t="n">
        <x:f>H3252*K3252/1000000</x:f>
        <x:v>1.7881</x:v>
      </x:c>
      <x:c r="O3252" s="28" t="n">
        <x:f>SUM(M3252:N3252)</x:f>
        <x:v>2.8977</x:v>
      </x:c>
    </x:row>
    <x:row r="3253" ht="23" customHeight="1">
      <x:c r="A3253" s="17" t="str">
        <x:v>U03247</x:v>
      </x:c>
      <x:c r="B3253" s="18" t="n">
        <x:v>46273</x:v>
      </x:c>
      <x:c r="C3253" s="17" t="str">
        <x:v>W0221</x:v>
      </x:c>
      <x:c r="D3253" s="17" t="str">
        <x:v>C004</x:v>
      </x:c>
      <x:c r="E3253" s="17" t="str">
        <x:v>CampaignChat</x:v>
      </x:c>
      <x:c r="F3253" s="17" t="str">
        <x:v>Pro</x:v>
      </x:c>
      <x:c r="G3253" s="17" t="n">
        <x:v>24803</x:v>
      </x:c>
      <x:c r="H3253" s="17" t="n">
        <x:v>8382</x:v>
      </x:c>
      <x:c r="I3253" s="17" t="str">
        <x:v>Followup</x:v>
      </x:c>
      <x:c r="J3253" s="27" t="n">
        <x:f>INDEX('Model Pricing'!$B$7:$B$8,MATCH(F3253,'Model Pricing'!$A$7:$A$8,0))</x:f>
        <x:v>40</x:v>
      </x:c>
      <x:c r="K3253" s="27" t="n">
        <x:f>INDEX('Model Pricing'!$C$7:$C$8,MATCH(F3253,'Model Pricing'!$A$7:$A$8,0))</x:f>
        <x:v>100</x:v>
      </x:c>
      <x:c r="L3253" s="17" t="n">
        <x:f>G3253+H3253</x:f>
        <x:v>33185</x:v>
      </x:c>
      <x:c r="M3253" s="28" t="n">
        <x:f>G3253*J3253/1000000</x:f>
        <x:v>0.99212</x:v>
      </x:c>
      <x:c r="N3253" s="28" t="n">
        <x:f>H3253*K3253/1000000</x:f>
        <x:v>0.8382</x:v>
      </x:c>
      <x:c r="O3253" s="28" t="n">
        <x:f>SUM(M3253:N3253)</x:f>
        <x:v>1.83032</x:v>
      </x:c>
    </x:row>
    <x:row r="3254" ht="23" customHeight="1">
      <x:c r="A3254" s="17" t="str">
        <x:v>U03248</x:v>
      </x:c>
      <x:c r="B3254" s="18" t="n">
        <x:v>46274</x:v>
      </x:c>
      <x:c r="C3254" s="17" t="str">
        <x:v>W0221</x:v>
      </x:c>
      <x:c r="D3254" s="17" t="str">
        <x:v>C004</x:v>
      </x:c>
      <x:c r="E3254" s="17" t="str">
        <x:v>CampaignChat</x:v>
      </x:c>
      <x:c r="F3254" s="17" t="str">
        <x:v>Pro</x:v>
      </x:c>
      <x:c r="G3254" s="17" t="n">
        <x:v>18062</x:v>
      </x:c>
      <x:c r="H3254" s="17" t="n">
        <x:v>16156</x:v>
      </x:c>
      <x:c r="I3254" s="17" t="str">
        <x:v>Correction</x:v>
      </x:c>
      <x:c r="J3254" s="27" t="n">
        <x:f>INDEX('Model Pricing'!$B$7:$B$8,MATCH(F3254,'Model Pricing'!$A$7:$A$8,0))</x:f>
        <x:v>40</x:v>
      </x:c>
      <x:c r="K3254" s="27" t="n">
        <x:f>INDEX('Model Pricing'!$C$7:$C$8,MATCH(F3254,'Model Pricing'!$A$7:$A$8,0))</x:f>
        <x:v>100</x:v>
      </x:c>
      <x:c r="L3254" s="17" t="n">
        <x:f>G3254+H3254</x:f>
        <x:v>34218</x:v>
      </x:c>
      <x:c r="M3254" s="28" t="n">
        <x:f>G3254*J3254/1000000</x:f>
        <x:v>0.72248</x:v>
      </x:c>
      <x:c r="N3254" s="28" t="n">
        <x:f>H3254*K3254/1000000</x:f>
        <x:v>1.6156</x:v>
      </x:c>
      <x:c r="O3254" s="28" t="n">
        <x:f>SUM(M3254:N3254)</x:f>
        <x:v>2.3380799999999997</x:v>
      </x:c>
    </x:row>
    <x:row r="3255" ht="23" customHeight="1">
      <x:c r="A3255" s="17" t="str">
        <x:v>U03249</x:v>
      </x:c>
      <x:c r="B3255" s="18" t="n">
        <x:v>46274</x:v>
      </x:c>
      <x:c r="C3255" s="17" t="str">
        <x:v>W0221</x:v>
      </x:c>
      <x:c r="D3255" s="17" t="str">
        <x:v>C004</x:v>
      </x:c>
      <x:c r="E3255" s="17" t="str">
        <x:v>CampaignChat</x:v>
      </x:c>
      <x:c r="F3255" s="17" t="str">
        <x:v>Pro</x:v>
      </x:c>
      <x:c r="G3255" s="17" t="n">
        <x:v>15171</x:v>
      </x:c>
      <x:c r="H3255" s="17" t="n">
        <x:v>9457</x:v>
      </x:c>
      <x:c r="I3255" s="17" t="str">
        <x:v>Correction</x:v>
      </x:c>
      <x:c r="J3255" s="27" t="n">
        <x:f>INDEX('Model Pricing'!$B$7:$B$8,MATCH(F3255,'Model Pricing'!$A$7:$A$8,0))</x:f>
        <x:v>40</x:v>
      </x:c>
      <x:c r="K3255" s="27" t="n">
        <x:f>INDEX('Model Pricing'!$C$7:$C$8,MATCH(F3255,'Model Pricing'!$A$7:$A$8,0))</x:f>
        <x:v>100</x:v>
      </x:c>
      <x:c r="L3255" s="17" t="n">
        <x:f>G3255+H3255</x:f>
        <x:v>24628</x:v>
      </x:c>
      <x:c r="M3255" s="28" t="n">
        <x:f>G3255*J3255/1000000</x:f>
        <x:v>0.60684</x:v>
      </x:c>
      <x:c r="N3255" s="28" t="n">
        <x:f>H3255*K3255/1000000</x:f>
        <x:v>0.9457</x:v>
      </x:c>
      <x:c r="O3255" s="28" t="n">
        <x:f>SUM(M3255:N3255)</x:f>
        <x:v>1.55254</x:v>
      </x:c>
    </x:row>
    <x:row r="3256" ht="23" customHeight="1">
      <x:c r="A3256" s="17" t="str">
        <x:v>U03250</x:v>
      </x:c>
      <x:c r="B3256" s="18" t="n">
        <x:v>46274</x:v>
      </x:c>
      <x:c r="C3256" s="17" t="str">
        <x:v>W0221</x:v>
      </x:c>
      <x:c r="D3256" s="17" t="str">
        <x:v>C004</x:v>
      </x:c>
      <x:c r="E3256" s="17" t="str">
        <x:v>CampaignChat</x:v>
      </x:c>
      <x:c r="F3256" s="17" t="str">
        <x:v>Pro</x:v>
      </x:c>
      <x:c r="G3256" s="17" t="n">
        <x:v>33162</x:v>
      </x:c>
      <x:c r="H3256" s="17" t="n">
        <x:v>17521</x:v>
      </x:c>
      <x:c r="I3256" s="17" t="str">
        <x:v>Followup</x:v>
      </x:c>
      <x:c r="J3256" s="27" t="n">
        <x:f>INDEX('Model Pricing'!$B$7:$B$8,MATCH(F3256,'Model Pricing'!$A$7:$A$8,0))</x:f>
        <x:v>40</x:v>
      </x:c>
      <x:c r="K3256" s="27" t="n">
        <x:f>INDEX('Model Pricing'!$C$7:$C$8,MATCH(F3256,'Model Pricing'!$A$7:$A$8,0))</x:f>
        <x:v>100</x:v>
      </x:c>
      <x:c r="L3256" s="17" t="n">
        <x:f>G3256+H3256</x:f>
        <x:v>50683</x:v>
      </x:c>
      <x:c r="M3256" s="28" t="n">
        <x:f>G3256*J3256/1000000</x:f>
        <x:v>1.32648</x:v>
      </x:c>
      <x:c r="N3256" s="28" t="n">
        <x:f>H3256*K3256/1000000</x:f>
        <x:v>1.7521</x:v>
      </x:c>
      <x:c r="O3256" s="28" t="n">
        <x:f>SUM(M3256:N3256)</x:f>
        <x:v>3.07858</x:v>
      </x:c>
    </x:row>
    <x:row r="3257" ht="23" customHeight="1">
      <x:c r="A3257" s="17" t="str">
        <x:v>U03251</x:v>
      </x:c>
      <x:c r="B3257" s="18" t="n">
        <x:v>46274</x:v>
      </x:c>
      <x:c r="C3257" s="17" t="str">
        <x:v>W0221</x:v>
      </x:c>
      <x:c r="D3257" s="17" t="str">
        <x:v>C004</x:v>
      </x:c>
      <x:c r="E3257" s="17" t="str">
        <x:v>CampaignChat</x:v>
      </x:c>
      <x:c r="F3257" s="17" t="str">
        <x:v>Pro</x:v>
      </x:c>
      <x:c r="G3257" s="17" t="n">
        <x:v>25206</x:v>
      </x:c>
      <x:c r="H3257" s="17" t="n">
        <x:v>13030</x:v>
      </x:c>
      <x:c r="I3257" s="17" t="str">
        <x:v>Followup</x:v>
      </x:c>
      <x:c r="J3257" s="27" t="n">
        <x:f>INDEX('Model Pricing'!$B$7:$B$8,MATCH(F3257,'Model Pricing'!$A$7:$A$8,0))</x:f>
        <x:v>40</x:v>
      </x:c>
      <x:c r="K3257" s="27" t="n">
        <x:f>INDEX('Model Pricing'!$C$7:$C$8,MATCH(F3257,'Model Pricing'!$A$7:$A$8,0))</x:f>
        <x:v>100</x:v>
      </x:c>
      <x:c r="L3257" s="17" t="n">
        <x:f>G3257+H3257</x:f>
        <x:v>38236</x:v>
      </x:c>
      <x:c r="M3257" s="28" t="n">
        <x:f>G3257*J3257/1000000</x:f>
        <x:v>1.00824</x:v>
      </x:c>
      <x:c r="N3257" s="28" t="n">
        <x:f>H3257*K3257/1000000</x:f>
        <x:v>1.303</x:v>
      </x:c>
      <x:c r="O3257" s="28" t="n">
        <x:f>SUM(M3257:N3257)</x:f>
        <x:v>2.3112399999999997</x:v>
      </x:c>
    </x:row>
    <x:row r="3258" ht="23" customHeight="1">
      <x:c r="A3258" s="17" t="str">
        <x:v>U03252</x:v>
      </x:c>
      <x:c r="B3258" s="18" t="n">
        <x:v>46274</x:v>
      </x:c>
      <x:c r="C3258" s="17" t="str">
        <x:v>W0221</x:v>
      </x:c>
      <x:c r="D3258" s="17" t="str">
        <x:v>C004</x:v>
      </x:c>
      <x:c r="E3258" s="17" t="str">
        <x:v>CampaignChat</x:v>
      </x:c>
      <x:c r="F3258" s="17" t="str">
        <x:v>Pro</x:v>
      </x:c>
      <x:c r="G3258" s="17" t="n">
        <x:v>26146</x:v>
      </x:c>
      <x:c r="H3258" s="17" t="n">
        <x:v>17194</x:v>
      </x:c>
      <x:c r="I3258" s="17" t="str">
        <x:v>Followup</x:v>
      </x:c>
      <x:c r="J3258" s="27" t="n">
        <x:f>INDEX('Model Pricing'!$B$7:$B$8,MATCH(F3258,'Model Pricing'!$A$7:$A$8,0))</x:f>
        <x:v>40</x:v>
      </x:c>
      <x:c r="K3258" s="27" t="n">
        <x:f>INDEX('Model Pricing'!$C$7:$C$8,MATCH(F3258,'Model Pricing'!$A$7:$A$8,0))</x:f>
        <x:v>100</x:v>
      </x:c>
      <x:c r="L3258" s="17" t="n">
        <x:f>G3258+H3258</x:f>
        <x:v>43340</x:v>
      </x:c>
      <x:c r="M3258" s="28" t="n">
        <x:f>G3258*J3258/1000000</x:f>
        <x:v>1.04584</x:v>
      </x:c>
      <x:c r="N3258" s="28" t="n">
        <x:f>H3258*K3258/1000000</x:f>
        <x:v>1.7194</x:v>
      </x:c>
      <x:c r="O3258" s="28" t="n">
        <x:f>SUM(M3258:N3258)</x:f>
        <x:v>2.7652400000000004</x:v>
      </x:c>
    </x:row>
    <x:row r="3259" ht="23" customHeight="1">
      <x:c r="A3259" s="17" t="str">
        <x:v>U03253</x:v>
      </x:c>
      <x:c r="B3259" s="18" t="n">
        <x:v>46274</x:v>
      </x:c>
      <x:c r="C3259" s="17" t="str">
        <x:v>W0221</x:v>
      </x:c>
      <x:c r="D3259" s="17" t="str">
        <x:v>C004</x:v>
      </x:c>
      <x:c r="E3259" s="17" t="str">
        <x:v>CampaignChat</x:v>
      </x:c>
      <x:c r="F3259" s="17" t="str">
        <x:v>Pro</x:v>
      </x:c>
      <x:c r="G3259" s="17" t="n">
        <x:v>24273</x:v>
      </x:c>
      <x:c r="H3259" s="17" t="n">
        <x:v>5643</x:v>
      </x:c>
      <x:c r="I3259" s="17" t="str">
        <x:v>Followup</x:v>
      </x:c>
      <x:c r="J3259" s="27" t="n">
        <x:f>INDEX('Model Pricing'!$B$7:$B$8,MATCH(F3259,'Model Pricing'!$A$7:$A$8,0))</x:f>
        <x:v>40</x:v>
      </x:c>
      <x:c r="K3259" s="27" t="n">
        <x:f>INDEX('Model Pricing'!$C$7:$C$8,MATCH(F3259,'Model Pricing'!$A$7:$A$8,0))</x:f>
        <x:v>100</x:v>
      </x:c>
      <x:c r="L3259" s="17" t="n">
        <x:f>G3259+H3259</x:f>
        <x:v>29916</x:v>
      </x:c>
      <x:c r="M3259" s="28" t="n">
        <x:f>G3259*J3259/1000000</x:f>
        <x:v>0.97092</x:v>
      </x:c>
      <x:c r="N3259" s="28" t="n">
        <x:f>H3259*K3259/1000000</x:f>
        <x:v>0.5643</x:v>
      </x:c>
      <x:c r="O3259" s="28" t="n">
        <x:f>SUM(M3259:N3259)</x:f>
        <x:v>1.53522</x:v>
      </x:c>
    </x:row>
    <x:row r="3260" ht="23" customHeight="1">
      <x:c r="A3260" s="17" t="str">
        <x:v>U03254</x:v>
      </x:c>
      <x:c r="B3260" s="18" t="n">
        <x:v>46275</x:v>
      </x:c>
      <x:c r="C3260" s="17" t="str">
        <x:v>W0221</x:v>
      </x:c>
      <x:c r="D3260" s="17" t="str">
        <x:v>C004</x:v>
      </x:c>
      <x:c r="E3260" s="17" t="str">
        <x:v>CampaignChat</x:v>
      </x:c>
      <x:c r="F3260" s="17" t="str">
        <x:v>Pro</x:v>
      </x:c>
      <x:c r="G3260" s="17" t="n">
        <x:v>25191</x:v>
      </x:c>
      <x:c r="H3260" s="17" t="n">
        <x:v>6449</x:v>
      </x:c>
      <x:c r="I3260" s="17" t="str">
        <x:v>Correction</x:v>
      </x:c>
      <x:c r="J3260" s="27" t="n">
        <x:f>INDEX('Model Pricing'!$B$7:$B$8,MATCH(F3260,'Model Pricing'!$A$7:$A$8,0))</x:f>
        <x:v>40</x:v>
      </x:c>
      <x:c r="K3260" s="27" t="n">
        <x:f>INDEX('Model Pricing'!$C$7:$C$8,MATCH(F3260,'Model Pricing'!$A$7:$A$8,0))</x:f>
        <x:v>100</x:v>
      </x:c>
      <x:c r="L3260" s="17" t="n">
        <x:f>G3260+H3260</x:f>
        <x:v>31640</x:v>
      </x:c>
      <x:c r="M3260" s="28" t="n">
        <x:f>G3260*J3260/1000000</x:f>
        <x:v>1.00764</x:v>
      </x:c>
      <x:c r="N3260" s="28" t="n">
        <x:f>H3260*K3260/1000000</x:f>
        <x:v>0.6449</x:v>
      </x:c>
      <x:c r="O3260" s="28" t="n">
        <x:f>SUM(M3260:N3260)</x:f>
        <x:v>1.6525400000000001</x:v>
      </x:c>
    </x:row>
    <x:row r="3261" ht="23" customHeight="1">
      <x:c r="A3261" s="17" t="str">
        <x:v>U03255</x:v>
      </x:c>
      <x:c r="B3261" s="18" t="n">
        <x:v>46275</x:v>
      </x:c>
      <x:c r="C3261" s="17" t="str">
        <x:v>W0221</x:v>
      </x:c>
      <x:c r="D3261" s="17" t="str">
        <x:v>C004</x:v>
      </x:c>
      <x:c r="E3261" s="17" t="str">
        <x:v>CampaignChat</x:v>
      </x:c>
      <x:c r="F3261" s="17" t="str">
        <x:v>Pro</x:v>
      </x:c>
      <x:c r="G3261" s="17" t="n">
        <x:v>28784</x:v>
      </x:c>
      <x:c r="H3261" s="17" t="n">
        <x:v>18305</x:v>
      </x:c>
      <x:c r="I3261" s="17" t="str">
        <x:v>Followup</x:v>
      </x:c>
      <x:c r="J3261" s="27" t="n">
        <x:f>INDEX('Model Pricing'!$B$7:$B$8,MATCH(F3261,'Model Pricing'!$A$7:$A$8,0))</x:f>
        <x:v>40</x:v>
      </x:c>
      <x:c r="K3261" s="27" t="n">
        <x:f>INDEX('Model Pricing'!$C$7:$C$8,MATCH(F3261,'Model Pricing'!$A$7:$A$8,0))</x:f>
        <x:v>100</x:v>
      </x:c>
      <x:c r="L3261" s="17" t="n">
        <x:f>G3261+H3261</x:f>
        <x:v>47089</x:v>
      </x:c>
      <x:c r="M3261" s="28" t="n">
        <x:f>G3261*J3261/1000000</x:f>
        <x:v>1.15136</x:v>
      </x:c>
      <x:c r="N3261" s="28" t="n">
        <x:f>H3261*K3261/1000000</x:f>
        <x:v>1.8305</x:v>
      </x:c>
      <x:c r="O3261" s="28" t="n">
        <x:f>SUM(M3261:N3261)</x:f>
        <x:v>2.98186</x:v>
      </x:c>
    </x:row>
    <x:row r="3262" ht="23" customHeight="1">
      <x:c r="A3262" s="17" t="str">
        <x:v>U03256</x:v>
      </x:c>
      <x:c r="B3262" s="18" t="n">
        <x:v>46275</x:v>
      </x:c>
      <x:c r="C3262" s="17" t="str">
        <x:v>W0221</x:v>
      </x:c>
      <x:c r="D3262" s="17" t="str">
        <x:v>C004</x:v>
      </x:c>
      <x:c r="E3262" s="17" t="str">
        <x:v>CampaignChat</x:v>
      </x:c>
      <x:c r="F3262" s="17" t="str">
        <x:v>Pro</x:v>
      </x:c>
      <x:c r="G3262" s="17" t="n">
        <x:v>12879</x:v>
      </x:c>
      <x:c r="H3262" s="17" t="n">
        <x:v>20417</x:v>
      </x:c>
      <x:c r="I3262" s="17" t="str">
        <x:v>Followup</x:v>
      </x:c>
      <x:c r="J3262" s="27" t="n">
        <x:f>INDEX('Model Pricing'!$B$7:$B$8,MATCH(F3262,'Model Pricing'!$A$7:$A$8,0))</x:f>
        <x:v>40</x:v>
      </x:c>
      <x:c r="K3262" s="27" t="n">
        <x:f>INDEX('Model Pricing'!$C$7:$C$8,MATCH(F3262,'Model Pricing'!$A$7:$A$8,0))</x:f>
        <x:v>100</x:v>
      </x:c>
      <x:c r="L3262" s="17" t="n">
        <x:f>G3262+H3262</x:f>
        <x:v>33296</x:v>
      </x:c>
      <x:c r="M3262" s="28" t="n">
        <x:f>G3262*J3262/1000000</x:f>
        <x:v>0.51516</x:v>
      </x:c>
      <x:c r="N3262" s="28" t="n">
        <x:f>H3262*K3262/1000000</x:f>
        <x:v>2.0417</x:v>
      </x:c>
      <x:c r="O3262" s="28" t="n">
        <x:f>SUM(M3262:N3262)</x:f>
        <x:v>2.55686</x:v>
      </x:c>
    </x:row>
    <x:row r="3263" ht="23" customHeight="1">
      <x:c r="A3263" s="17" t="str">
        <x:v>U03257</x:v>
      </x:c>
      <x:c r="B3263" s="18" t="n">
        <x:v>46275</x:v>
      </x:c>
      <x:c r="C3263" s="17" t="str">
        <x:v>W0221</x:v>
      </x:c>
      <x:c r="D3263" s="17" t="str">
        <x:v>C004</x:v>
      </x:c>
      <x:c r="E3263" s="17" t="str">
        <x:v>CampaignChat</x:v>
      </x:c>
      <x:c r="F3263" s="17" t="str">
        <x:v>Pro</x:v>
      </x:c>
      <x:c r="G3263" s="17" t="n">
        <x:v>28142</x:v>
      </x:c>
      <x:c r="H3263" s="17" t="n">
        <x:v>19135</x:v>
      </x:c>
      <x:c r="I3263" s="17" t="str">
        <x:v>Followup</x:v>
      </x:c>
      <x:c r="J3263" s="27" t="n">
        <x:f>INDEX('Model Pricing'!$B$7:$B$8,MATCH(F3263,'Model Pricing'!$A$7:$A$8,0))</x:f>
        <x:v>40</x:v>
      </x:c>
      <x:c r="K3263" s="27" t="n">
        <x:f>INDEX('Model Pricing'!$C$7:$C$8,MATCH(F3263,'Model Pricing'!$A$7:$A$8,0))</x:f>
        <x:v>100</x:v>
      </x:c>
      <x:c r="L3263" s="17" t="n">
        <x:f>G3263+H3263</x:f>
        <x:v>47277</x:v>
      </x:c>
      <x:c r="M3263" s="28" t="n">
        <x:f>G3263*J3263/1000000</x:f>
        <x:v>1.12568</x:v>
      </x:c>
      <x:c r="N3263" s="28" t="n">
        <x:f>H3263*K3263/1000000</x:f>
        <x:v>1.9135</x:v>
      </x:c>
      <x:c r="O3263" s="28" t="n">
        <x:f>SUM(M3263:N3263)</x:f>
        <x:v>3.03918</x:v>
      </x:c>
    </x:row>
    <x:row r="3264" ht="23" customHeight="1">
      <x:c r="A3264" s="17" t="str">
        <x:v>U03258</x:v>
      </x:c>
      <x:c r="B3264" s="18" t="n">
        <x:v>46275</x:v>
      </x:c>
      <x:c r="C3264" s="17" t="str">
        <x:v>W0221</x:v>
      </x:c>
      <x:c r="D3264" s="17" t="str">
        <x:v>C004</x:v>
      </x:c>
      <x:c r="E3264" s="17" t="str">
        <x:v>CampaignChat</x:v>
      </x:c>
      <x:c r="F3264" s="17" t="str">
        <x:v>Pro</x:v>
      </x:c>
      <x:c r="G3264" s="17" t="n">
        <x:v>23188</x:v>
      </x:c>
      <x:c r="H3264" s="17" t="n">
        <x:v>7167</x:v>
      </x:c>
      <x:c r="I3264" s="17" t="str">
        <x:v>Followup</x:v>
      </x:c>
      <x:c r="J3264" s="27" t="n">
        <x:f>INDEX('Model Pricing'!$B$7:$B$8,MATCH(F3264,'Model Pricing'!$A$7:$A$8,0))</x:f>
        <x:v>40</x:v>
      </x:c>
      <x:c r="K3264" s="27" t="n">
        <x:f>INDEX('Model Pricing'!$C$7:$C$8,MATCH(F3264,'Model Pricing'!$A$7:$A$8,0))</x:f>
        <x:v>100</x:v>
      </x:c>
      <x:c r="L3264" s="17" t="n">
        <x:f>G3264+H3264</x:f>
        <x:v>30355</x:v>
      </x:c>
      <x:c r="M3264" s="28" t="n">
        <x:f>G3264*J3264/1000000</x:f>
        <x:v>0.92752</x:v>
      </x:c>
      <x:c r="N3264" s="28" t="n">
        <x:f>H3264*K3264/1000000</x:f>
        <x:v>0.7167</x:v>
      </x:c>
      <x:c r="O3264" s="28" t="n">
        <x:f>SUM(M3264:N3264)</x:f>
        <x:v>1.64422</x:v>
      </x:c>
    </x:row>
    <x:row r="3265" ht="23" customHeight="1">
      <x:c r="A3265" s="17" t="str">
        <x:v>U03259</x:v>
      </x:c>
      <x:c r="B3265" s="18" t="n">
        <x:v>46275</x:v>
      </x:c>
      <x:c r="C3265" s="17" t="str">
        <x:v>W0221</x:v>
      </x:c>
      <x:c r="D3265" s="17" t="str">
        <x:v>C004</x:v>
      </x:c>
      <x:c r="E3265" s="17" t="str">
        <x:v>CampaignChat</x:v>
      </x:c>
      <x:c r="F3265" s="17" t="str">
        <x:v>Pro</x:v>
      </x:c>
      <x:c r="G3265" s="17" t="n">
        <x:v>29130</x:v>
      </x:c>
      <x:c r="H3265" s="17" t="n">
        <x:v>9776</x:v>
      </x:c>
      <x:c r="I3265" s="17" t="str">
        <x:v>Followup</x:v>
      </x:c>
      <x:c r="J3265" s="27" t="n">
        <x:f>INDEX('Model Pricing'!$B$7:$B$8,MATCH(F3265,'Model Pricing'!$A$7:$A$8,0))</x:f>
        <x:v>40</x:v>
      </x:c>
      <x:c r="K3265" s="27" t="n">
        <x:f>INDEX('Model Pricing'!$C$7:$C$8,MATCH(F3265,'Model Pricing'!$A$7:$A$8,0))</x:f>
        <x:v>100</x:v>
      </x:c>
      <x:c r="L3265" s="17" t="n">
        <x:f>G3265+H3265</x:f>
        <x:v>38906</x:v>
      </x:c>
      <x:c r="M3265" s="28" t="n">
        <x:f>G3265*J3265/1000000</x:f>
        <x:v>1.1652</x:v>
      </x:c>
      <x:c r="N3265" s="28" t="n">
        <x:f>H3265*K3265/1000000</x:f>
        <x:v>0.9776</x:v>
      </x:c>
      <x:c r="O3265" s="28" t="n">
        <x:f>SUM(M3265:N3265)</x:f>
        <x:v>2.1428000000000003</x:v>
      </x:c>
    </x:row>
    <x:row r="3266" ht="23" customHeight="1">
      <x:c r="A3266" s="17" t="str">
        <x:v>U03260</x:v>
      </x:c>
      <x:c r="B3266" s="18" t="n">
        <x:v>46276</x:v>
      </x:c>
      <x:c r="C3266" s="17" t="str">
        <x:v>W0221</x:v>
      </x:c>
      <x:c r="D3266" s="17" t="str">
        <x:v>C004</x:v>
      </x:c>
      <x:c r="E3266" s="17" t="str">
        <x:v>CampaignChat</x:v>
      </x:c>
      <x:c r="F3266" s="17" t="str">
        <x:v>Pro</x:v>
      </x:c>
      <x:c r="G3266" s="17" t="n">
        <x:v>19581</x:v>
      </x:c>
      <x:c r="H3266" s="17" t="n">
        <x:v>18792</x:v>
      </x:c>
      <x:c r="I3266" s="17" t="str">
        <x:v>Correction</x:v>
      </x:c>
      <x:c r="J3266" s="27" t="n">
        <x:f>INDEX('Model Pricing'!$B$7:$B$8,MATCH(F3266,'Model Pricing'!$A$7:$A$8,0))</x:f>
        <x:v>40</x:v>
      </x:c>
      <x:c r="K3266" s="27" t="n">
        <x:f>INDEX('Model Pricing'!$C$7:$C$8,MATCH(F3266,'Model Pricing'!$A$7:$A$8,0))</x:f>
        <x:v>100</x:v>
      </x:c>
      <x:c r="L3266" s="17" t="n">
        <x:f>G3266+H3266</x:f>
        <x:v>38373</x:v>
      </x:c>
      <x:c r="M3266" s="28" t="n">
        <x:f>G3266*J3266/1000000</x:f>
        <x:v>0.78324</x:v>
      </x:c>
      <x:c r="N3266" s="28" t="n">
        <x:f>H3266*K3266/1000000</x:f>
        <x:v>1.8792</x:v>
      </x:c>
      <x:c r="O3266" s="28" t="n">
        <x:f>SUM(M3266:N3266)</x:f>
        <x:v>2.66244</x:v>
      </x:c>
    </x:row>
    <x:row r="3267" ht="23" customHeight="1">
      <x:c r="A3267" s="17" t="str">
        <x:v>U03261</x:v>
      </x:c>
      <x:c r="B3267" s="18" t="n">
        <x:v>46276</x:v>
      </x:c>
      <x:c r="C3267" s="17" t="str">
        <x:v>W0221</x:v>
      </x:c>
      <x:c r="D3267" s="17" t="str">
        <x:v>C004</x:v>
      </x:c>
      <x:c r="E3267" s="17" t="str">
        <x:v>CampaignChat</x:v>
      </x:c>
      <x:c r="F3267" s="17" t="str">
        <x:v>Pro</x:v>
      </x:c>
      <x:c r="G3267" s="17" t="n">
        <x:v>34218</x:v>
      </x:c>
      <x:c r="H3267" s="17" t="n">
        <x:v>18015</x:v>
      </x:c>
      <x:c r="I3267" s="17" t="str">
        <x:v>Followup</x:v>
      </x:c>
      <x:c r="J3267" s="27" t="n">
        <x:f>INDEX('Model Pricing'!$B$7:$B$8,MATCH(F3267,'Model Pricing'!$A$7:$A$8,0))</x:f>
        <x:v>40</x:v>
      </x:c>
      <x:c r="K3267" s="27" t="n">
        <x:f>INDEX('Model Pricing'!$C$7:$C$8,MATCH(F3267,'Model Pricing'!$A$7:$A$8,0))</x:f>
        <x:v>100</x:v>
      </x:c>
      <x:c r="L3267" s="17" t="n">
        <x:f>G3267+H3267</x:f>
        <x:v>52233</x:v>
      </x:c>
      <x:c r="M3267" s="28" t="n">
        <x:f>G3267*J3267/1000000</x:f>
        <x:v>1.36872</x:v>
      </x:c>
      <x:c r="N3267" s="28" t="n">
        <x:f>H3267*K3267/1000000</x:f>
        <x:v>1.8015</x:v>
      </x:c>
      <x:c r="O3267" s="28" t="n">
        <x:f>SUM(M3267:N3267)</x:f>
        <x:v>3.17022</x:v>
      </x:c>
    </x:row>
    <x:row r="3268" ht="23" customHeight="1">
      <x:c r="A3268" s="17" t="str">
        <x:v>U03262</x:v>
      </x:c>
      <x:c r="B3268" s="18" t="n">
        <x:v>46276</x:v>
      </x:c>
      <x:c r="C3268" s="17" t="str">
        <x:v>W0221</x:v>
      </x:c>
      <x:c r="D3268" s="17" t="str">
        <x:v>C004</x:v>
      </x:c>
      <x:c r="E3268" s="17" t="str">
        <x:v>CampaignChat</x:v>
      </x:c>
      <x:c r="F3268" s="17" t="str">
        <x:v>Pro</x:v>
      </x:c>
      <x:c r="G3268" s="17" t="n">
        <x:v>33444</x:v>
      </x:c>
      <x:c r="H3268" s="17" t="n">
        <x:v>12802</x:v>
      </x:c>
      <x:c r="I3268" s="17" t="str">
        <x:v>Followup</x:v>
      </x:c>
      <x:c r="J3268" s="27" t="n">
        <x:f>INDEX('Model Pricing'!$B$7:$B$8,MATCH(F3268,'Model Pricing'!$A$7:$A$8,0))</x:f>
        <x:v>40</x:v>
      </x:c>
      <x:c r="K3268" s="27" t="n">
        <x:f>INDEX('Model Pricing'!$C$7:$C$8,MATCH(F3268,'Model Pricing'!$A$7:$A$8,0))</x:f>
        <x:v>100</x:v>
      </x:c>
      <x:c r="L3268" s="17" t="n">
        <x:f>G3268+H3268</x:f>
        <x:v>46246</x:v>
      </x:c>
      <x:c r="M3268" s="28" t="n">
        <x:f>G3268*J3268/1000000</x:f>
        <x:v>1.33776</x:v>
      </x:c>
      <x:c r="N3268" s="28" t="n">
        <x:f>H3268*K3268/1000000</x:f>
        <x:v>1.2802</x:v>
      </x:c>
      <x:c r="O3268" s="28" t="n">
        <x:f>SUM(M3268:N3268)</x:f>
        <x:v>2.61796</x:v>
      </x:c>
    </x:row>
    <x:row r="3269" ht="23" customHeight="1">
      <x:c r="A3269" s="17" t="str">
        <x:v>U03263</x:v>
      </x:c>
      <x:c r="B3269" s="18" t="n">
        <x:v>46276</x:v>
      </x:c>
      <x:c r="C3269" s="17" t="str">
        <x:v>W0221</x:v>
      </x:c>
      <x:c r="D3269" s="17" t="str">
        <x:v>C004</x:v>
      </x:c>
      <x:c r="E3269" s="17" t="str">
        <x:v>CampaignChat</x:v>
      </x:c>
      <x:c r="F3269" s="17" t="str">
        <x:v>Pro</x:v>
      </x:c>
      <x:c r="G3269" s="17" t="n">
        <x:v>30184</x:v>
      </x:c>
      <x:c r="H3269" s="17" t="n">
        <x:v>17122</x:v>
      </x:c>
      <x:c r="I3269" s="17" t="str">
        <x:v>Followup</x:v>
      </x:c>
      <x:c r="J3269" s="27" t="n">
        <x:f>INDEX('Model Pricing'!$B$7:$B$8,MATCH(F3269,'Model Pricing'!$A$7:$A$8,0))</x:f>
        <x:v>40</x:v>
      </x:c>
      <x:c r="K3269" s="27" t="n">
        <x:f>INDEX('Model Pricing'!$C$7:$C$8,MATCH(F3269,'Model Pricing'!$A$7:$A$8,0))</x:f>
        <x:v>100</x:v>
      </x:c>
      <x:c r="L3269" s="17" t="n">
        <x:f>G3269+H3269</x:f>
        <x:v>47306</x:v>
      </x:c>
      <x:c r="M3269" s="28" t="n">
        <x:f>G3269*J3269/1000000</x:f>
        <x:v>1.20736</x:v>
      </x:c>
      <x:c r="N3269" s="28" t="n">
        <x:f>H3269*K3269/1000000</x:f>
        <x:v>1.7122</x:v>
      </x:c>
      <x:c r="O3269" s="28" t="n">
        <x:f>SUM(M3269:N3269)</x:f>
        <x:v>2.9195599999999997</x:v>
      </x:c>
    </x:row>
    <x:row r="3270" ht="23" customHeight="1">
      <x:c r="A3270" s="17" t="str">
        <x:v>U03264</x:v>
      </x:c>
      <x:c r="B3270" s="18" t="n">
        <x:v>46276</x:v>
      </x:c>
      <x:c r="C3270" s="17" t="str">
        <x:v>W0221</x:v>
      </x:c>
      <x:c r="D3270" s="17" t="str">
        <x:v>C004</x:v>
      </x:c>
      <x:c r="E3270" s="17" t="str">
        <x:v>CampaignChat</x:v>
      </x:c>
      <x:c r="F3270" s="17" t="str">
        <x:v>Pro</x:v>
      </x:c>
      <x:c r="G3270" s="17" t="n">
        <x:v>19118</x:v>
      </x:c>
      <x:c r="H3270" s="17" t="n">
        <x:v>9768</x:v>
      </x:c>
      <x:c r="I3270" s="17" t="str">
        <x:v>Followup</x:v>
      </x:c>
      <x:c r="J3270" s="27" t="n">
        <x:f>INDEX('Model Pricing'!$B$7:$B$8,MATCH(F3270,'Model Pricing'!$A$7:$A$8,0))</x:f>
        <x:v>40</x:v>
      </x:c>
      <x:c r="K3270" s="27" t="n">
        <x:f>INDEX('Model Pricing'!$C$7:$C$8,MATCH(F3270,'Model Pricing'!$A$7:$A$8,0))</x:f>
        <x:v>100</x:v>
      </x:c>
      <x:c r="L3270" s="17" t="n">
        <x:f>G3270+H3270</x:f>
        <x:v>28886</x:v>
      </x:c>
      <x:c r="M3270" s="28" t="n">
        <x:f>G3270*J3270/1000000</x:f>
        <x:v>0.76472</x:v>
      </x:c>
      <x:c r="N3270" s="28" t="n">
        <x:f>H3270*K3270/1000000</x:f>
        <x:v>0.9768</x:v>
      </x:c>
      <x:c r="O3270" s="28" t="n">
        <x:f>SUM(M3270:N3270)</x:f>
        <x:v>1.74152</x:v>
      </x:c>
    </x:row>
    <x:row r="3271" ht="23" customHeight="1">
      <x:c r="A3271" s="17" t="str">
        <x:v>U03265</x:v>
      </x:c>
      <x:c r="B3271" s="18" t="n">
        <x:v>46282</x:v>
      </x:c>
      <x:c r="C3271" s="17" t="str">
        <x:v>W0222</x:v>
      </x:c>
      <x:c r="D3271" s="17" t="str">
        <x:v>C004</x:v>
      </x:c>
      <x:c r="E3271" s="17" t="str">
        <x:v>DataFlow</x:v>
      </x:c>
      <x:c r="F3271" s="17" t="str">
        <x:v>Pro</x:v>
      </x:c>
      <x:c r="G3271" s="17" t="n">
        <x:v>11186</x:v>
      </x:c>
      <x:c r="H3271" s="17" t="n">
        <x:v>6298</x:v>
      </x:c>
      <x:c r="I3271" s="17" t="str">
        <x:v>First attempt</x:v>
      </x:c>
      <x:c r="J3271" s="27" t="n">
        <x:f>INDEX('Model Pricing'!$B$7:$B$8,MATCH(F3271,'Model Pricing'!$A$7:$A$8,0))</x:f>
        <x:v>40</x:v>
      </x:c>
      <x:c r="K3271" s="27" t="n">
        <x:f>INDEX('Model Pricing'!$C$7:$C$8,MATCH(F3271,'Model Pricing'!$A$7:$A$8,0))</x:f>
        <x:v>100</x:v>
      </x:c>
      <x:c r="L3271" s="17" t="n">
        <x:f>G3271+H3271</x:f>
        <x:v>17484</x:v>
      </x:c>
      <x:c r="M3271" s="28" t="n">
        <x:f>G3271*J3271/1000000</x:f>
        <x:v>0.44744</x:v>
      </x:c>
      <x:c r="N3271" s="28" t="n">
        <x:f>H3271*K3271/1000000</x:f>
        <x:v>0.6298</x:v>
      </x:c>
      <x:c r="O3271" s="28" t="n">
        <x:f>SUM(M3271:N3271)</x:f>
        <x:v>1.07724</x:v>
      </x:c>
    </x:row>
    <x:row r="3272" ht="23" customHeight="1">
      <x:c r="A3272" s="17" t="str">
        <x:v>U03266</x:v>
      </x:c>
      <x:c r="B3272" s="18" t="n">
        <x:v>46282</x:v>
      </x:c>
      <x:c r="C3272" s="17" t="str">
        <x:v>W0222</x:v>
      </x:c>
      <x:c r="D3272" s="17" t="str">
        <x:v>C004</x:v>
      </x:c>
      <x:c r="E3272" s="17" t="str">
        <x:v>DataFlow</x:v>
      </x:c>
      <x:c r="F3272" s="17" t="str">
        <x:v>Pro</x:v>
      </x:c>
      <x:c r="G3272" s="17" t="n">
        <x:v>10713</x:v>
      </x:c>
      <x:c r="H3272" s="17" t="n">
        <x:v>11497</x:v>
      </x:c>
      <x:c r="I3272" s="17" t="str">
        <x:v>Followup</x:v>
      </x:c>
      <x:c r="J3272" s="27" t="n">
        <x:f>INDEX('Model Pricing'!$B$7:$B$8,MATCH(F3272,'Model Pricing'!$A$7:$A$8,0))</x:f>
        <x:v>40</x:v>
      </x:c>
      <x:c r="K3272" s="27" t="n">
        <x:f>INDEX('Model Pricing'!$C$7:$C$8,MATCH(F3272,'Model Pricing'!$A$7:$A$8,0))</x:f>
        <x:v>100</x:v>
      </x:c>
      <x:c r="L3272" s="17" t="n">
        <x:f>G3272+H3272</x:f>
        <x:v>22210</x:v>
      </x:c>
      <x:c r="M3272" s="28" t="n">
        <x:f>G3272*J3272/1000000</x:f>
        <x:v>0.42852</x:v>
      </x:c>
      <x:c r="N3272" s="28" t="n">
        <x:f>H3272*K3272/1000000</x:f>
        <x:v>1.1497</x:v>
      </x:c>
      <x:c r="O3272" s="28" t="n">
        <x:f>SUM(M3272:N3272)</x:f>
        <x:v>1.57822</x:v>
      </x:c>
    </x:row>
    <x:row r="3273" ht="23" customHeight="1">
      <x:c r="A3273" s="17" t="str">
        <x:v>U03267</x:v>
      </x:c>
      <x:c r="B3273" s="18" t="n">
        <x:v>46282</x:v>
      </x:c>
      <x:c r="C3273" s="17" t="str">
        <x:v>W0222</x:v>
      </x:c>
      <x:c r="D3273" s="17" t="str">
        <x:v>C004</x:v>
      </x:c>
      <x:c r="E3273" s="17" t="str">
        <x:v>DataFlow</x:v>
      </x:c>
      <x:c r="F3273" s="17" t="str">
        <x:v>Pro</x:v>
      </x:c>
      <x:c r="G3273" s="17" t="n">
        <x:v>10089</x:v>
      </x:c>
      <x:c r="H3273" s="17" t="n">
        <x:v>11909</x:v>
      </x:c>
      <x:c r="I3273" s="17" t="str">
        <x:v>Followup</x:v>
      </x:c>
      <x:c r="J3273" s="27" t="n">
        <x:f>INDEX('Model Pricing'!$B$7:$B$8,MATCH(F3273,'Model Pricing'!$A$7:$A$8,0))</x:f>
        <x:v>40</x:v>
      </x:c>
      <x:c r="K3273" s="27" t="n">
        <x:f>INDEX('Model Pricing'!$C$7:$C$8,MATCH(F3273,'Model Pricing'!$A$7:$A$8,0))</x:f>
        <x:v>100</x:v>
      </x:c>
      <x:c r="L3273" s="17" t="n">
        <x:f>G3273+H3273</x:f>
        <x:v>21998</x:v>
      </x:c>
      <x:c r="M3273" s="28" t="n">
        <x:f>G3273*J3273/1000000</x:f>
        <x:v>0.40356</x:v>
      </x:c>
      <x:c r="N3273" s="28" t="n">
        <x:f>H3273*K3273/1000000</x:f>
        <x:v>1.1909</x:v>
      </x:c>
      <x:c r="O3273" s="28" t="n">
        <x:f>SUM(M3273:N3273)</x:f>
        <x:v>1.59446</x:v>
      </x:c>
    </x:row>
    <x:row r="3274" ht="23" customHeight="1">
      <x:c r="A3274" s="17" t="str">
        <x:v>U03268</x:v>
      </x:c>
      <x:c r="B3274" s="18" t="n">
        <x:v>46283</x:v>
      </x:c>
      <x:c r="C3274" s="17" t="str">
        <x:v>W0222</x:v>
      </x:c>
      <x:c r="D3274" s="17" t="str">
        <x:v>C004</x:v>
      </x:c>
      <x:c r="E3274" s="17" t="str">
        <x:v>DataFlow</x:v>
      </x:c>
      <x:c r="F3274" s="17" t="str">
        <x:v>Pro</x:v>
      </x:c>
      <x:c r="G3274" s="17" t="n">
        <x:v>13521</x:v>
      </x:c>
      <x:c r="H3274" s="17" t="n">
        <x:v>9934</x:v>
      </x:c>
      <x:c r="I3274" s="17" t="str">
        <x:v>Correction</x:v>
      </x:c>
      <x:c r="J3274" s="27" t="n">
        <x:f>INDEX('Model Pricing'!$B$7:$B$8,MATCH(F3274,'Model Pricing'!$A$7:$A$8,0))</x:f>
        <x:v>40</x:v>
      </x:c>
      <x:c r="K3274" s="27" t="n">
        <x:f>INDEX('Model Pricing'!$C$7:$C$8,MATCH(F3274,'Model Pricing'!$A$7:$A$8,0))</x:f>
        <x:v>100</x:v>
      </x:c>
      <x:c r="L3274" s="17" t="n">
        <x:f>G3274+H3274</x:f>
        <x:v>23455</x:v>
      </x:c>
      <x:c r="M3274" s="28" t="n">
        <x:f>G3274*J3274/1000000</x:f>
        <x:v>0.54084</x:v>
      </x:c>
      <x:c r="N3274" s="28" t="n">
        <x:f>H3274*K3274/1000000</x:f>
        <x:v>0.9934</x:v>
      </x:c>
      <x:c r="O3274" s="28" t="n">
        <x:f>SUM(M3274:N3274)</x:f>
        <x:v>1.53424</x:v>
      </x:c>
    </x:row>
    <x:row r="3275" ht="23" customHeight="1">
      <x:c r="A3275" s="17" t="str">
        <x:v>U03269</x:v>
      </x:c>
      <x:c r="B3275" s="18" t="n">
        <x:v>46283</x:v>
      </x:c>
      <x:c r="C3275" s="17" t="str">
        <x:v>W0222</x:v>
      </x:c>
      <x:c r="D3275" s="17" t="str">
        <x:v>C004</x:v>
      </x:c>
      <x:c r="E3275" s="17" t="str">
        <x:v>DataFlow</x:v>
      </x:c>
      <x:c r="F3275" s="17" t="str">
        <x:v>Pro</x:v>
      </x:c>
      <x:c r="G3275" s="17" t="n">
        <x:v>13089</x:v>
      </x:c>
      <x:c r="H3275" s="17" t="n">
        <x:v>11250</x:v>
      </x:c>
      <x:c r="I3275" s="17" t="str">
        <x:v>Correction</x:v>
      </x:c>
      <x:c r="J3275" s="27" t="n">
        <x:f>INDEX('Model Pricing'!$B$7:$B$8,MATCH(F3275,'Model Pricing'!$A$7:$A$8,0))</x:f>
        <x:v>40</x:v>
      </x:c>
      <x:c r="K3275" s="27" t="n">
        <x:f>INDEX('Model Pricing'!$C$7:$C$8,MATCH(F3275,'Model Pricing'!$A$7:$A$8,0))</x:f>
        <x:v>100</x:v>
      </x:c>
      <x:c r="L3275" s="17" t="n">
        <x:f>G3275+H3275</x:f>
        <x:v>24339</x:v>
      </x:c>
      <x:c r="M3275" s="28" t="n">
        <x:f>G3275*J3275/1000000</x:f>
        <x:v>0.52356</x:v>
      </x:c>
      <x:c r="N3275" s="28" t="n">
        <x:f>H3275*K3275/1000000</x:f>
        <x:v>1.125</x:v>
      </x:c>
      <x:c r="O3275" s="28" t="n">
        <x:f>SUM(M3275:N3275)</x:f>
        <x:v>1.64856</x:v>
      </x:c>
    </x:row>
    <x:row r="3276" ht="23" customHeight="1">
      <x:c r="A3276" s="17" t="str">
        <x:v>U03270</x:v>
      </x:c>
      <x:c r="B3276" s="18" t="n">
        <x:v>46283</x:v>
      </x:c>
      <x:c r="C3276" s="17" t="str">
        <x:v>W0222</x:v>
      </x:c>
      <x:c r="D3276" s="17" t="str">
        <x:v>C004</x:v>
      </x:c>
      <x:c r="E3276" s="17" t="str">
        <x:v>DataFlow</x:v>
      </x:c>
      <x:c r="F3276" s="17" t="str">
        <x:v>Pro</x:v>
      </x:c>
      <x:c r="G3276" s="17" t="n">
        <x:v>16420</x:v>
      </x:c>
      <x:c r="H3276" s="17" t="n">
        <x:v>10907</x:v>
      </x:c>
      <x:c r="I3276" s="17" t="str">
        <x:v>Followup</x:v>
      </x:c>
      <x:c r="J3276" s="27" t="n">
        <x:f>INDEX('Model Pricing'!$B$7:$B$8,MATCH(F3276,'Model Pricing'!$A$7:$A$8,0))</x:f>
        <x:v>40</x:v>
      </x:c>
      <x:c r="K3276" s="27" t="n">
        <x:f>INDEX('Model Pricing'!$C$7:$C$8,MATCH(F3276,'Model Pricing'!$A$7:$A$8,0))</x:f>
        <x:v>100</x:v>
      </x:c>
      <x:c r="L3276" s="17" t="n">
        <x:f>G3276+H3276</x:f>
        <x:v>27327</x:v>
      </x:c>
      <x:c r="M3276" s="28" t="n">
        <x:f>G3276*J3276/1000000</x:f>
        <x:v>0.6568</x:v>
      </x:c>
      <x:c r="N3276" s="28" t="n">
        <x:f>H3276*K3276/1000000</x:f>
        <x:v>1.0907</x:v>
      </x:c>
      <x:c r="O3276" s="28" t="n">
        <x:f>SUM(M3276:N3276)</x:f>
        <x:v>1.7475</x:v>
      </x:c>
    </x:row>
    <x:row r="3277" ht="23" customHeight="1">
      <x:c r="A3277" s="17" t="str">
        <x:v>U03271</x:v>
      </x:c>
      <x:c r="B3277" s="18" t="n">
        <x:v>46286</x:v>
      </x:c>
      <x:c r="C3277" s="17" t="str">
        <x:v>W0222</x:v>
      </x:c>
      <x:c r="D3277" s="17" t="str">
        <x:v>C004</x:v>
      </x:c>
      <x:c r="E3277" s="17" t="str">
        <x:v>DataFlow</x:v>
      </x:c>
      <x:c r="F3277" s="17" t="str">
        <x:v>Pro</x:v>
      </x:c>
      <x:c r="G3277" s="17" t="n">
        <x:v>11649</x:v>
      </x:c>
      <x:c r="H3277" s="17" t="n">
        <x:v>14290</x:v>
      </x:c>
      <x:c r="I3277" s="17" t="str">
        <x:v>Followup</x:v>
      </x:c>
      <x:c r="J3277" s="27" t="n">
        <x:f>INDEX('Model Pricing'!$B$7:$B$8,MATCH(F3277,'Model Pricing'!$A$7:$A$8,0))</x:f>
        <x:v>40</x:v>
      </x:c>
      <x:c r="K3277" s="27" t="n">
        <x:f>INDEX('Model Pricing'!$C$7:$C$8,MATCH(F3277,'Model Pricing'!$A$7:$A$8,0))</x:f>
        <x:v>100</x:v>
      </x:c>
      <x:c r="L3277" s="17" t="n">
        <x:f>G3277+H3277</x:f>
        <x:v>25939</x:v>
      </x:c>
      <x:c r="M3277" s="28" t="n">
        <x:f>G3277*J3277/1000000</x:f>
        <x:v>0.46596</x:v>
      </x:c>
      <x:c r="N3277" s="28" t="n">
        <x:f>H3277*K3277/1000000</x:f>
        <x:v>1.429</x:v>
      </x:c>
      <x:c r="O3277" s="28" t="n">
        <x:f>SUM(M3277:N3277)</x:f>
        <x:v>1.89496</x:v>
      </x:c>
    </x:row>
    <x:row r="3278" ht="23" customHeight="1">
      <x:c r="A3278" s="17" t="str">
        <x:v>U03272</x:v>
      </x:c>
      <x:c r="B3278" s="18" t="n">
        <x:v>46286</x:v>
      </x:c>
      <x:c r="C3278" s="17" t="str">
        <x:v>W0222</x:v>
      </x:c>
      <x:c r="D3278" s="17" t="str">
        <x:v>C004</x:v>
      </x:c>
      <x:c r="E3278" s="17" t="str">
        <x:v>DataFlow</x:v>
      </x:c>
      <x:c r="F3278" s="17" t="str">
        <x:v>Pro</x:v>
      </x:c>
      <x:c r="G3278" s="17" t="n">
        <x:v>12231</x:v>
      </x:c>
      <x:c r="H3278" s="17" t="n">
        <x:v>14678</x:v>
      </x:c>
      <x:c r="I3278" s="17" t="str">
        <x:v>Correction</x:v>
      </x:c>
      <x:c r="J3278" s="27" t="n">
        <x:f>INDEX('Model Pricing'!$B$7:$B$8,MATCH(F3278,'Model Pricing'!$A$7:$A$8,0))</x:f>
        <x:v>40</x:v>
      </x:c>
      <x:c r="K3278" s="27" t="n">
        <x:f>INDEX('Model Pricing'!$C$7:$C$8,MATCH(F3278,'Model Pricing'!$A$7:$A$8,0))</x:f>
        <x:v>100</x:v>
      </x:c>
      <x:c r="L3278" s="17" t="n">
        <x:f>G3278+H3278</x:f>
        <x:v>26909</x:v>
      </x:c>
      <x:c r="M3278" s="28" t="n">
        <x:f>G3278*J3278/1000000</x:f>
        <x:v>0.48924</x:v>
      </x:c>
      <x:c r="N3278" s="28" t="n">
        <x:f>H3278*K3278/1000000</x:f>
        <x:v>1.4678</x:v>
      </x:c>
      <x:c r="O3278" s="28" t="n">
        <x:f>SUM(M3278:N3278)</x:f>
        <x:v>1.9570400000000001</x:v>
      </x:c>
    </x:row>
    <x:row r="3279" ht="23" customHeight="1">
      <x:c r="A3279" s="17" t="str">
        <x:v>U03273</x:v>
      </x:c>
      <x:c r="B3279" s="18" t="n">
        <x:v>46286</x:v>
      </x:c>
      <x:c r="C3279" s="17" t="str">
        <x:v>W0222</x:v>
      </x:c>
      <x:c r="D3279" s="17" t="str">
        <x:v>C004</x:v>
      </x:c>
      <x:c r="E3279" s="17" t="str">
        <x:v>DataFlow</x:v>
      </x:c>
      <x:c r="F3279" s="17" t="str">
        <x:v>Pro</x:v>
      </x:c>
      <x:c r="G3279" s="17" t="n">
        <x:v>14783</x:v>
      </x:c>
      <x:c r="H3279" s="17" t="n">
        <x:v>4406</x:v>
      </x:c>
      <x:c r="I3279" s="17" t="str">
        <x:v>Followup</x:v>
      </x:c>
      <x:c r="J3279" s="27" t="n">
        <x:f>INDEX('Model Pricing'!$B$7:$B$8,MATCH(F3279,'Model Pricing'!$A$7:$A$8,0))</x:f>
        <x:v>40</x:v>
      </x:c>
      <x:c r="K3279" s="27" t="n">
        <x:f>INDEX('Model Pricing'!$C$7:$C$8,MATCH(F3279,'Model Pricing'!$A$7:$A$8,0))</x:f>
        <x:v>100</x:v>
      </x:c>
      <x:c r="L3279" s="17" t="n">
        <x:f>G3279+H3279</x:f>
        <x:v>19189</x:v>
      </x:c>
      <x:c r="M3279" s="28" t="n">
        <x:f>G3279*J3279/1000000</x:f>
        <x:v>0.59132</x:v>
      </x:c>
      <x:c r="N3279" s="28" t="n">
        <x:f>H3279*K3279/1000000</x:f>
        <x:v>0.4406</x:v>
      </x:c>
      <x:c r="O3279" s="28" t="n">
        <x:f>SUM(M3279:N3279)</x:f>
        <x:v>1.03192</x:v>
      </x:c>
    </x:row>
    <x:row r="3280" ht="23" customHeight="1">
      <x:c r="A3280" s="17" t="str">
        <x:v>U03274</x:v>
      </x:c>
      <x:c r="B3280" s="18" t="n">
        <x:v>46287</x:v>
      </x:c>
      <x:c r="C3280" s="17" t="str">
        <x:v>W0222</x:v>
      </x:c>
      <x:c r="D3280" s="17" t="str">
        <x:v>C004</x:v>
      </x:c>
      <x:c r="E3280" s="17" t="str">
        <x:v>DataFlow</x:v>
      </x:c>
      <x:c r="F3280" s="17" t="str">
        <x:v>Pro</x:v>
      </x:c>
      <x:c r="G3280" s="17" t="n">
        <x:v>7669</x:v>
      </x:c>
      <x:c r="H3280" s="17" t="n">
        <x:v>13776</x:v>
      </x:c>
      <x:c r="I3280" s="17" t="str">
        <x:v>Followup</x:v>
      </x:c>
      <x:c r="J3280" s="27" t="n">
        <x:f>INDEX('Model Pricing'!$B$7:$B$8,MATCH(F3280,'Model Pricing'!$A$7:$A$8,0))</x:f>
        <x:v>40</x:v>
      </x:c>
      <x:c r="K3280" s="27" t="n">
        <x:f>INDEX('Model Pricing'!$C$7:$C$8,MATCH(F3280,'Model Pricing'!$A$7:$A$8,0))</x:f>
        <x:v>100</x:v>
      </x:c>
      <x:c r="L3280" s="17" t="n">
        <x:f>G3280+H3280</x:f>
        <x:v>21445</x:v>
      </x:c>
      <x:c r="M3280" s="28" t="n">
        <x:f>G3280*J3280/1000000</x:f>
        <x:v>0.30676</x:v>
      </x:c>
      <x:c r="N3280" s="28" t="n">
        <x:f>H3280*K3280/1000000</x:f>
        <x:v>1.3776</x:v>
      </x:c>
      <x:c r="O3280" s="28" t="n">
        <x:f>SUM(M3280:N3280)</x:f>
        <x:v>1.6843599999999999</x:v>
      </x:c>
    </x:row>
    <x:row r="3281" ht="23" customHeight="1">
      <x:c r="A3281" s="17" t="str">
        <x:v>U03275</x:v>
      </x:c>
      <x:c r="B3281" s="18" t="n">
        <x:v>46287</x:v>
      </x:c>
      <x:c r="C3281" s="17" t="str">
        <x:v>W0222</x:v>
      </x:c>
      <x:c r="D3281" s="17" t="str">
        <x:v>C004</x:v>
      </x:c>
      <x:c r="E3281" s="17" t="str">
        <x:v>DataFlow</x:v>
      </x:c>
      <x:c r="F3281" s="17" t="str">
        <x:v>Pro</x:v>
      </x:c>
      <x:c r="G3281" s="17" t="n">
        <x:v>8543</x:v>
      </x:c>
      <x:c r="H3281" s="17" t="n">
        <x:v>7085</x:v>
      </x:c>
      <x:c r="I3281" s="17" t="str">
        <x:v>Followup</x:v>
      </x:c>
      <x:c r="J3281" s="27" t="n">
        <x:f>INDEX('Model Pricing'!$B$7:$B$8,MATCH(F3281,'Model Pricing'!$A$7:$A$8,0))</x:f>
        <x:v>40</x:v>
      </x:c>
      <x:c r="K3281" s="27" t="n">
        <x:f>INDEX('Model Pricing'!$C$7:$C$8,MATCH(F3281,'Model Pricing'!$A$7:$A$8,0))</x:f>
        <x:v>100</x:v>
      </x:c>
      <x:c r="L3281" s="17" t="n">
        <x:f>G3281+H3281</x:f>
        <x:v>15628</x:v>
      </x:c>
      <x:c r="M3281" s="28" t="n">
        <x:f>G3281*J3281/1000000</x:f>
        <x:v>0.34172</x:v>
      </x:c>
      <x:c r="N3281" s="28" t="n">
        <x:f>H3281*K3281/1000000</x:f>
        <x:v>0.7085</x:v>
      </x:c>
      <x:c r="O3281" s="28" t="n">
        <x:f>SUM(M3281:N3281)</x:f>
        <x:v>1.05022</x:v>
      </x:c>
    </x:row>
    <x:row r="3282" ht="23" customHeight="1">
      <x:c r="A3282" s="17" t="str">
        <x:v>U03276</x:v>
      </x:c>
      <x:c r="B3282" s="18" t="n">
        <x:v>46287</x:v>
      </x:c>
      <x:c r="C3282" s="17" t="str">
        <x:v>W0222</x:v>
      </x:c>
      <x:c r="D3282" s="17" t="str">
        <x:v>C004</x:v>
      </x:c>
      <x:c r="E3282" s="17" t="str">
        <x:v>DataFlow</x:v>
      </x:c>
      <x:c r="F3282" s="17" t="str">
        <x:v>Pro</x:v>
      </x:c>
      <x:c r="G3282" s="17" t="n">
        <x:v>14083</x:v>
      </x:c>
      <x:c r="H3282" s="17" t="n">
        <x:v>8842</x:v>
      </x:c>
      <x:c r="I3282" s="17" t="str">
        <x:v>Followup</x:v>
      </x:c>
      <x:c r="J3282" s="27" t="n">
        <x:f>INDEX('Model Pricing'!$B$7:$B$8,MATCH(F3282,'Model Pricing'!$A$7:$A$8,0))</x:f>
        <x:v>40</x:v>
      </x:c>
      <x:c r="K3282" s="27" t="n">
        <x:f>INDEX('Model Pricing'!$C$7:$C$8,MATCH(F3282,'Model Pricing'!$A$7:$A$8,0))</x:f>
        <x:v>100</x:v>
      </x:c>
      <x:c r="L3282" s="17" t="n">
        <x:f>G3282+H3282</x:f>
        <x:v>22925</x:v>
      </x:c>
      <x:c r="M3282" s="28" t="n">
        <x:f>G3282*J3282/1000000</x:f>
        <x:v>0.56332</x:v>
      </x:c>
      <x:c r="N3282" s="28" t="n">
        <x:f>H3282*K3282/1000000</x:f>
        <x:v>0.8842</x:v>
      </x:c>
      <x:c r="O3282" s="28" t="n">
        <x:f>SUM(M3282:N3282)</x:f>
        <x:v>1.44752</x:v>
      </x:c>
    </x:row>
    <x:row r="3283" ht="23" customHeight="1">
      <x:c r="A3283" s="17" t="str">
        <x:v>U03277</x:v>
      </x:c>
      <x:c r="B3283" s="18" t="n">
        <x:v>46276</x:v>
      </x:c>
      <x:c r="C3283" s="17" t="str">
        <x:v>W0224</x:v>
      </x:c>
      <x:c r="D3283" s="17" t="str">
        <x:v>C004</x:v>
      </x:c>
      <x:c r="E3283" s="17" t="str">
        <x:v>DataFlow</x:v>
      </x:c>
      <x:c r="F3283" s="17" t="str">
        <x:v>Pro</x:v>
      </x:c>
      <x:c r="G3283" s="17" t="n">
        <x:v>40506</x:v>
      </x:c>
      <x:c r="H3283" s="17" t="n">
        <x:v>9365</x:v>
      </x:c>
      <x:c r="I3283" s="17" t="str">
        <x:v>First attempt</x:v>
      </x:c>
      <x:c r="J3283" s="27" t="n">
        <x:f>INDEX('Model Pricing'!$B$7:$B$8,MATCH(F3283,'Model Pricing'!$A$7:$A$8,0))</x:f>
        <x:v>40</x:v>
      </x:c>
      <x:c r="K3283" s="27" t="n">
        <x:f>INDEX('Model Pricing'!$C$7:$C$8,MATCH(F3283,'Model Pricing'!$A$7:$A$8,0))</x:f>
        <x:v>100</x:v>
      </x:c>
      <x:c r="L3283" s="17" t="n">
        <x:f>G3283+H3283</x:f>
        <x:v>49871</x:v>
      </x:c>
      <x:c r="M3283" s="28" t="n">
        <x:f>G3283*J3283/1000000</x:f>
        <x:v>1.62024</x:v>
      </x:c>
      <x:c r="N3283" s="28" t="n">
        <x:f>H3283*K3283/1000000</x:f>
        <x:v>0.9365</x:v>
      </x:c>
      <x:c r="O3283" s="28" t="n">
        <x:f>SUM(M3283:N3283)</x:f>
        <x:v>2.55674</x:v>
      </x:c>
    </x:row>
    <x:row r="3284" ht="23" customHeight="1">
      <x:c r="A3284" s="17" t="str">
        <x:v>U03278</x:v>
      </x:c>
      <x:c r="B3284" s="18" t="n">
        <x:v>46276</x:v>
      </x:c>
      <x:c r="C3284" s="17" t="str">
        <x:v>W0224</x:v>
      </x:c>
      <x:c r="D3284" s="17" t="str">
        <x:v>C004</x:v>
      </x:c>
      <x:c r="E3284" s="17" t="str">
        <x:v>DataFlow</x:v>
      </x:c>
      <x:c r="F3284" s="17" t="str">
        <x:v>Pro</x:v>
      </x:c>
      <x:c r="G3284" s="17" t="n">
        <x:v>31387</x:v>
      </x:c>
      <x:c r="H3284" s="17" t="n">
        <x:v>3584</x:v>
      </x:c>
      <x:c r="I3284" s="17" t="str">
        <x:v>Followup</x:v>
      </x:c>
      <x:c r="J3284" s="27" t="n">
        <x:f>INDEX('Model Pricing'!$B$7:$B$8,MATCH(F3284,'Model Pricing'!$A$7:$A$8,0))</x:f>
        <x:v>40</x:v>
      </x:c>
      <x:c r="K3284" s="27" t="n">
        <x:f>INDEX('Model Pricing'!$C$7:$C$8,MATCH(F3284,'Model Pricing'!$A$7:$A$8,0))</x:f>
        <x:v>100</x:v>
      </x:c>
      <x:c r="L3284" s="17" t="n">
        <x:f>G3284+H3284</x:f>
        <x:v>34971</x:v>
      </x:c>
      <x:c r="M3284" s="28" t="n">
        <x:f>G3284*J3284/1000000</x:f>
        <x:v>1.25548</x:v>
      </x:c>
      <x:c r="N3284" s="28" t="n">
        <x:f>H3284*K3284/1000000</x:f>
        <x:v>0.3584</x:v>
      </x:c>
      <x:c r="O3284" s="28" t="n">
        <x:f>SUM(M3284:N3284)</x:f>
        <x:v>1.61388</x:v>
      </x:c>
    </x:row>
    <x:row r="3285" ht="23" customHeight="1">
      <x:c r="A3285" s="17" t="str">
        <x:v>U03279</x:v>
      </x:c>
      <x:c r="B3285" s="18" t="n">
        <x:v>46276</x:v>
      </x:c>
      <x:c r="C3285" s="17" t="str">
        <x:v>W0224</x:v>
      </x:c>
      <x:c r="D3285" s="17" t="str">
        <x:v>C004</x:v>
      </x:c>
      <x:c r="E3285" s="17" t="str">
        <x:v>DataFlow</x:v>
      </x:c>
      <x:c r="F3285" s="17" t="str">
        <x:v>Pro</x:v>
      </x:c>
      <x:c r="G3285" s="17" t="n">
        <x:v>37047</x:v>
      </x:c>
      <x:c r="H3285" s="17" t="n">
        <x:v>4889</x:v>
      </x:c>
      <x:c r="I3285" s="17" t="str">
        <x:v>Followup</x:v>
      </x:c>
      <x:c r="J3285" s="27" t="n">
        <x:f>INDEX('Model Pricing'!$B$7:$B$8,MATCH(F3285,'Model Pricing'!$A$7:$A$8,0))</x:f>
        <x:v>40</x:v>
      </x:c>
      <x:c r="K3285" s="27" t="n">
        <x:f>INDEX('Model Pricing'!$C$7:$C$8,MATCH(F3285,'Model Pricing'!$A$7:$A$8,0))</x:f>
        <x:v>100</x:v>
      </x:c>
      <x:c r="L3285" s="17" t="n">
        <x:f>G3285+H3285</x:f>
        <x:v>41936</x:v>
      </x:c>
      <x:c r="M3285" s="28" t="n">
        <x:f>G3285*J3285/1000000</x:f>
        <x:v>1.48188</x:v>
      </x:c>
      <x:c r="N3285" s="28" t="n">
        <x:f>H3285*K3285/1000000</x:f>
        <x:v>0.4889</x:v>
      </x:c>
      <x:c r="O3285" s="28" t="n">
        <x:f>SUM(M3285:N3285)</x:f>
        <x:v>1.97078</x:v>
      </x:c>
    </x:row>
    <x:row r="3286" ht="23" customHeight="1">
      <x:c r="A3286" s="17" t="str">
        <x:v>U03280</x:v>
      </x:c>
      <x:c r="B3286" s="18" t="n">
        <x:v>46276</x:v>
      </x:c>
      <x:c r="C3286" s="17" t="str">
        <x:v>W0224</x:v>
      </x:c>
      <x:c r="D3286" s="17" t="str">
        <x:v>C004</x:v>
      </x:c>
      <x:c r="E3286" s="17" t="str">
        <x:v>DataFlow</x:v>
      </x:c>
      <x:c r="F3286" s="17" t="str">
        <x:v>Pro</x:v>
      </x:c>
      <x:c r="G3286" s="17" t="n">
        <x:v>19005</x:v>
      </x:c>
      <x:c r="H3286" s="17" t="n">
        <x:v>4153</x:v>
      </x:c>
      <x:c r="I3286" s="17" t="str">
        <x:v>Followup</x:v>
      </x:c>
      <x:c r="J3286" s="27" t="n">
        <x:f>INDEX('Model Pricing'!$B$7:$B$8,MATCH(F3286,'Model Pricing'!$A$7:$A$8,0))</x:f>
        <x:v>40</x:v>
      </x:c>
      <x:c r="K3286" s="27" t="n">
        <x:f>INDEX('Model Pricing'!$C$7:$C$8,MATCH(F3286,'Model Pricing'!$A$7:$A$8,0))</x:f>
        <x:v>100</x:v>
      </x:c>
      <x:c r="L3286" s="17" t="n">
        <x:f>G3286+H3286</x:f>
        <x:v>23158</x:v>
      </x:c>
      <x:c r="M3286" s="28" t="n">
        <x:f>G3286*J3286/1000000</x:f>
        <x:v>0.7602</x:v>
      </x:c>
      <x:c r="N3286" s="28" t="n">
        <x:f>H3286*K3286/1000000</x:f>
        <x:v>0.4153</x:v>
      </x:c>
      <x:c r="O3286" s="28" t="n">
        <x:f>SUM(M3286:N3286)</x:f>
        <x:v>1.1755</x:v>
      </x:c>
    </x:row>
    <x:row r="3287" ht="23" customHeight="1">
      <x:c r="A3287" s="17" t="str">
        <x:v>U03281</x:v>
      </x:c>
      <x:c r="B3287" s="18" t="n">
        <x:v>46279</x:v>
      </x:c>
      <x:c r="C3287" s="17" t="str">
        <x:v>W0224</x:v>
      </x:c>
      <x:c r="D3287" s="17" t="str">
        <x:v>C004</x:v>
      </x:c>
      <x:c r="E3287" s="17" t="str">
        <x:v>DataFlow</x:v>
      </x:c>
      <x:c r="F3287" s="17" t="str">
        <x:v>Pro</x:v>
      </x:c>
      <x:c r="G3287" s="17" t="n">
        <x:v>38155</x:v>
      </x:c>
      <x:c r="H3287" s="17" t="n">
        <x:v>3942</x:v>
      </x:c>
      <x:c r="I3287" s="17" t="str">
        <x:v>Followup</x:v>
      </x:c>
      <x:c r="J3287" s="27" t="n">
        <x:f>INDEX('Model Pricing'!$B$7:$B$8,MATCH(F3287,'Model Pricing'!$A$7:$A$8,0))</x:f>
        <x:v>40</x:v>
      </x:c>
      <x:c r="K3287" s="27" t="n">
        <x:f>INDEX('Model Pricing'!$C$7:$C$8,MATCH(F3287,'Model Pricing'!$A$7:$A$8,0))</x:f>
        <x:v>100</x:v>
      </x:c>
      <x:c r="L3287" s="17" t="n">
        <x:f>G3287+H3287</x:f>
        <x:v>42097</x:v>
      </x:c>
      <x:c r="M3287" s="28" t="n">
        <x:f>G3287*J3287/1000000</x:f>
        <x:v>1.5262</x:v>
      </x:c>
      <x:c r="N3287" s="28" t="n">
        <x:f>H3287*K3287/1000000</x:f>
        <x:v>0.3942</x:v>
      </x:c>
      <x:c r="O3287" s="28" t="n">
        <x:f>SUM(M3287:N3287)</x:f>
        <x:v>1.9203999999999999</x:v>
      </x:c>
    </x:row>
    <x:row r="3288" ht="23" customHeight="1">
      <x:c r="A3288" s="17" t="str">
        <x:v>U03282</x:v>
      </x:c>
      <x:c r="B3288" s="18" t="n">
        <x:v>46279</x:v>
      </x:c>
      <x:c r="C3288" s="17" t="str">
        <x:v>W0224</x:v>
      </x:c>
      <x:c r="D3288" s="17" t="str">
        <x:v>C004</x:v>
      </x:c>
      <x:c r="E3288" s="17" t="str">
        <x:v>DataFlow</x:v>
      </x:c>
      <x:c r="F3288" s="17" t="str">
        <x:v>Pro</x:v>
      </x:c>
      <x:c r="G3288" s="17" t="n">
        <x:v>15811</x:v>
      </x:c>
      <x:c r="H3288" s="17" t="n">
        <x:v>9302</x:v>
      </x:c>
      <x:c r="I3288" s="17" t="str">
        <x:v>Followup</x:v>
      </x:c>
      <x:c r="J3288" s="27" t="n">
        <x:f>INDEX('Model Pricing'!$B$7:$B$8,MATCH(F3288,'Model Pricing'!$A$7:$A$8,0))</x:f>
        <x:v>40</x:v>
      </x:c>
      <x:c r="K3288" s="27" t="n">
        <x:f>INDEX('Model Pricing'!$C$7:$C$8,MATCH(F3288,'Model Pricing'!$A$7:$A$8,0))</x:f>
        <x:v>100</x:v>
      </x:c>
      <x:c r="L3288" s="17" t="n">
        <x:f>G3288+H3288</x:f>
        <x:v>25113</x:v>
      </x:c>
      <x:c r="M3288" s="28" t="n">
        <x:f>G3288*J3288/1000000</x:f>
        <x:v>0.63244</x:v>
      </x:c>
      <x:c r="N3288" s="28" t="n">
        <x:f>H3288*K3288/1000000</x:f>
        <x:v>0.9302</x:v>
      </x:c>
      <x:c r="O3288" s="28" t="n">
        <x:f>SUM(M3288:N3288)</x:f>
        <x:v>1.56264</x:v>
      </x:c>
    </x:row>
    <x:row r="3289" ht="23" customHeight="1">
      <x:c r="A3289" s="17" t="str">
        <x:v>U03283</x:v>
      </x:c>
      <x:c r="B3289" s="18" t="n">
        <x:v>46279</x:v>
      </x:c>
      <x:c r="C3289" s="17" t="str">
        <x:v>W0224</x:v>
      </x:c>
      <x:c r="D3289" s="17" t="str">
        <x:v>C004</x:v>
      </x:c>
      <x:c r="E3289" s="17" t="str">
        <x:v>DataFlow</x:v>
      </x:c>
      <x:c r="F3289" s="17" t="str">
        <x:v>Pro</x:v>
      </x:c>
      <x:c r="G3289" s="17" t="n">
        <x:v>31469</x:v>
      </x:c>
      <x:c r="H3289" s="17" t="n">
        <x:v>9885</x:v>
      </x:c>
      <x:c r="I3289" s="17" t="str">
        <x:v>Followup</x:v>
      </x:c>
      <x:c r="J3289" s="27" t="n">
        <x:f>INDEX('Model Pricing'!$B$7:$B$8,MATCH(F3289,'Model Pricing'!$A$7:$A$8,0))</x:f>
        <x:v>40</x:v>
      </x:c>
      <x:c r="K3289" s="27" t="n">
        <x:f>INDEX('Model Pricing'!$C$7:$C$8,MATCH(F3289,'Model Pricing'!$A$7:$A$8,0))</x:f>
        <x:v>100</x:v>
      </x:c>
      <x:c r="L3289" s="17" t="n">
        <x:f>G3289+H3289</x:f>
        <x:v>41354</x:v>
      </x:c>
      <x:c r="M3289" s="28" t="n">
        <x:f>G3289*J3289/1000000</x:f>
        <x:v>1.25876</x:v>
      </x:c>
      <x:c r="N3289" s="28" t="n">
        <x:f>H3289*K3289/1000000</x:f>
        <x:v>0.9885</x:v>
      </x:c>
      <x:c r="O3289" s="28" t="n">
        <x:f>SUM(M3289:N3289)</x:f>
        <x:v>2.2472600000000003</x:v>
      </x:c>
    </x:row>
    <x:row r="3290" ht="23" customHeight="1">
      <x:c r="A3290" s="17" t="str">
        <x:v>U03284</x:v>
      </x:c>
      <x:c r="B3290" s="18" t="n">
        <x:v>46279</x:v>
      </x:c>
      <x:c r="C3290" s="17" t="str">
        <x:v>W0224</x:v>
      </x:c>
      <x:c r="D3290" s="17" t="str">
        <x:v>C004</x:v>
      </x:c>
      <x:c r="E3290" s="17" t="str">
        <x:v>DataFlow</x:v>
      </x:c>
      <x:c r="F3290" s="17" t="str">
        <x:v>Pro</x:v>
      </x:c>
      <x:c r="G3290" s="17" t="n">
        <x:v>30852</x:v>
      </x:c>
      <x:c r="H3290" s="17" t="n">
        <x:v>10415</x:v>
      </x:c>
      <x:c r="I3290" s="17" t="str">
        <x:v>Correction</x:v>
      </x:c>
      <x:c r="J3290" s="27" t="n">
        <x:f>INDEX('Model Pricing'!$B$7:$B$8,MATCH(F3290,'Model Pricing'!$A$7:$A$8,0))</x:f>
        <x:v>40</x:v>
      </x:c>
      <x:c r="K3290" s="27" t="n">
        <x:f>INDEX('Model Pricing'!$C$7:$C$8,MATCH(F3290,'Model Pricing'!$A$7:$A$8,0))</x:f>
        <x:v>100</x:v>
      </x:c>
      <x:c r="L3290" s="17" t="n">
        <x:f>G3290+H3290</x:f>
        <x:v>41267</x:v>
      </x:c>
      <x:c r="M3290" s="28" t="n">
        <x:f>G3290*J3290/1000000</x:f>
        <x:v>1.23408</x:v>
      </x:c>
      <x:c r="N3290" s="28" t="n">
        <x:f>H3290*K3290/1000000</x:f>
        <x:v>1.0415</x:v>
      </x:c>
      <x:c r="O3290" s="28" t="n">
        <x:f>SUM(M3290:N3290)</x:f>
        <x:v>2.27558</x:v>
      </x:c>
    </x:row>
    <x:row r="3291" ht="23" customHeight="1">
      <x:c r="A3291" s="17" t="str">
        <x:v>U03285</x:v>
      </x:c>
      <x:c r="B3291" s="18" t="n">
        <x:v>46280</x:v>
      </x:c>
      <x:c r="C3291" s="17" t="str">
        <x:v>W0224</x:v>
      </x:c>
      <x:c r="D3291" s="17" t="str">
        <x:v>C004</x:v>
      </x:c>
      <x:c r="E3291" s="17" t="str">
        <x:v>DataFlow</x:v>
      </x:c>
      <x:c r="F3291" s="17" t="str">
        <x:v>Pro</x:v>
      </x:c>
      <x:c r="G3291" s="17" t="n">
        <x:v>28838</x:v>
      </x:c>
      <x:c r="H3291" s="17" t="n">
        <x:v>6528</x:v>
      </x:c>
      <x:c r="I3291" s="17" t="str">
        <x:v>Followup</x:v>
      </x:c>
      <x:c r="J3291" s="27" t="n">
        <x:f>INDEX('Model Pricing'!$B$7:$B$8,MATCH(F3291,'Model Pricing'!$A$7:$A$8,0))</x:f>
        <x:v>40</x:v>
      </x:c>
      <x:c r="K3291" s="27" t="n">
        <x:f>INDEX('Model Pricing'!$C$7:$C$8,MATCH(F3291,'Model Pricing'!$A$7:$A$8,0))</x:f>
        <x:v>100</x:v>
      </x:c>
      <x:c r="L3291" s="17" t="n">
        <x:f>G3291+H3291</x:f>
        <x:v>35366</x:v>
      </x:c>
      <x:c r="M3291" s="28" t="n">
        <x:f>G3291*J3291/1000000</x:f>
        <x:v>1.15352</x:v>
      </x:c>
      <x:c r="N3291" s="28" t="n">
        <x:f>H3291*K3291/1000000</x:f>
        <x:v>0.6528</x:v>
      </x:c>
      <x:c r="O3291" s="28" t="n">
        <x:f>SUM(M3291:N3291)</x:f>
        <x:v>1.8063200000000001</x:v>
      </x:c>
    </x:row>
    <x:row r="3292" ht="23" customHeight="1">
      <x:c r="A3292" s="17" t="str">
        <x:v>U03286</x:v>
      </x:c>
      <x:c r="B3292" s="18" t="n">
        <x:v>46280</x:v>
      </x:c>
      <x:c r="C3292" s="17" t="str">
        <x:v>W0224</x:v>
      </x:c>
      <x:c r="D3292" s="17" t="str">
        <x:v>C004</x:v>
      </x:c>
      <x:c r="E3292" s="17" t="str">
        <x:v>DataFlow</x:v>
      </x:c>
      <x:c r="F3292" s="17" t="str">
        <x:v>Pro</x:v>
      </x:c>
      <x:c r="G3292" s="17" t="n">
        <x:v>28103</x:v>
      </x:c>
      <x:c r="H3292" s="17" t="n">
        <x:v>3970</x:v>
      </x:c>
      <x:c r="I3292" s="17" t="str">
        <x:v>Followup</x:v>
      </x:c>
      <x:c r="J3292" s="27" t="n">
        <x:f>INDEX('Model Pricing'!$B$7:$B$8,MATCH(F3292,'Model Pricing'!$A$7:$A$8,0))</x:f>
        <x:v>40</x:v>
      </x:c>
      <x:c r="K3292" s="27" t="n">
        <x:f>INDEX('Model Pricing'!$C$7:$C$8,MATCH(F3292,'Model Pricing'!$A$7:$A$8,0))</x:f>
        <x:v>100</x:v>
      </x:c>
      <x:c r="L3292" s="17" t="n">
        <x:f>G3292+H3292</x:f>
        <x:v>32073</x:v>
      </x:c>
      <x:c r="M3292" s="28" t="n">
        <x:f>G3292*J3292/1000000</x:f>
        <x:v>1.12412</x:v>
      </x:c>
      <x:c r="N3292" s="28" t="n">
        <x:f>H3292*K3292/1000000</x:f>
        <x:v>0.397</x:v>
      </x:c>
      <x:c r="O3292" s="28" t="n">
        <x:f>SUM(M3292:N3292)</x:f>
        <x:v>1.52112</x:v>
      </x:c>
    </x:row>
    <x:row r="3293" ht="23" customHeight="1">
      <x:c r="A3293" s="17" t="str">
        <x:v>U03287</x:v>
      </x:c>
      <x:c r="B3293" s="18" t="n">
        <x:v>46280</x:v>
      </x:c>
      <x:c r="C3293" s="17" t="str">
        <x:v>W0224</x:v>
      </x:c>
      <x:c r="D3293" s="17" t="str">
        <x:v>C004</x:v>
      </x:c>
      <x:c r="E3293" s="17" t="str">
        <x:v>DataFlow</x:v>
      </x:c>
      <x:c r="F3293" s="17" t="str">
        <x:v>Pro</x:v>
      </x:c>
      <x:c r="G3293" s="17" t="n">
        <x:v>29059</x:v>
      </x:c>
      <x:c r="H3293" s="17" t="n">
        <x:v>10057</x:v>
      </x:c>
      <x:c r="I3293" s="17" t="str">
        <x:v>Followup</x:v>
      </x:c>
      <x:c r="J3293" s="27" t="n">
        <x:f>INDEX('Model Pricing'!$B$7:$B$8,MATCH(F3293,'Model Pricing'!$A$7:$A$8,0))</x:f>
        <x:v>40</x:v>
      </x:c>
      <x:c r="K3293" s="27" t="n">
        <x:f>INDEX('Model Pricing'!$C$7:$C$8,MATCH(F3293,'Model Pricing'!$A$7:$A$8,0))</x:f>
        <x:v>100</x:v>
      </x:c>
      <x:c r="L3293" s="17" t="n">
        <x:f>G3293+H3293</x:f>
        <x:v>39116</x:v>
      </x:c>
      <x:c r="M3293" s="28" t="n">
        <x:f>G3293*J3293/1000000</x:f>
        <x:v>1.16236</x:v>
      </x:c>
      <x:c r="N3293" s="28" t="n">
        <x:f>H3293*K3293/1000000</x:f>
        <x:v>1.0057</x:v>
      </x:c>
      <x:c r="O3293" s="28" t="n">
        <x:f>SUM(M3293:N3293)</x:f>
        <x:v>2.16806</x:v>
      </x:c>
    </x:row>
    <x:row r="3294" ht="23" customHeight="1">
      <x:c r="A3294" s="17" t="str">
        <x:v>U03288</x:v>
      </x:c>
      <x:c r="B3294" s="18" t="n">
        <x:v>46280</x:v>
      </x:c>
      <x:c r="C3294" s="17" t="str">
        <x:v>W0224</x:v>
      </x:c>
      <x:c r="D3294" s="17" t="str">
        <x:v>C004</x:v>
      </x:c>
      <x:c r="E3294" s="17" t="str">
        <x:v>DataFlow</x:v>
      </x:c>
      <x:c r="F3294" s="17" t="str">
        <x:v>Pro</x:v>
      </x:c>
      <x:c r="G3294" s="17" t="n">
        <x:v>16604</x:v>
      </x:c>
      <x:c r="H3294" s="17" t="n">
        <x:v>3446</x:v>
      </x:c>
      <x:c r="I3294" s="17" t="str">
        <x:v>Correction</x:v>
      </x:c>
      <x:c r="J3294" s="27" t="n">
        <x:f>INDEX('Model Pricing'!$B$7:$B$8,MATCH(F3294,'Model Pricing'!$A$7:$A$8,0))</x:f>
        <x:v>40</x:v>
      </x:c>
      <x:c r="K3294" s="27" t="n">
        <x:f>INDEX('Model Pricing'!$C$7:$C$8,MATCH(F3294,'Model Pricing'!$A$7:$A$8,0))</x:f>
        <x:v>100</x:v>
      </x:c>
      <x:c r="L3294" s="17" t="n">
        <x:f>G3294+H3294</x:f>
        <x:v>20050</x:v>
      </x:c>
      <x:c r="M3294" s="28" t="n">
        <x:f>G3294*J3294/1000000</x:f>
        <x:v>0.66416</x:v>
      </x:c>
      <x:c r="N3294" s="28" t="n">
        <x:f>H3294*K3294/1000000</x:f>
        <x:v>0.3446</x:v>
      </x:c>
      <x:c r="O3294" s="28" t="n">
        <x:f>SUM(M3294:N3294)</x:f>
        <x:v>1.00876</x:v>
      </x:c>
    </x:row>
    <x:row r="3295" ht="23" customHeight="1">
      <x:c r="A3295" s="17" t="str">
        <x:v>U03289</x:v>
      </x:c>
      <x:c r="B3295" s="18" t="n">
        <x:v>46281</x:v>
      </x:c>
      <x:c r="C3295" s="17" t="str">
        <x:v>W0224</x:v>
      </x:c>
      <x:c r="D3295" s="17" t="str">
        <x:v>C004</x:v>
      </x:c>
      <x:c r="E3295" s="17" t="str">
        <x:v>DataFlow</x:v>
      </x:c>
      <x:c r="F3295" s="17" t="str">
        <x:v>Pro</x:v>
      </x:c>
      <x:c r="G3295" s="17" t="n">
        <x:v>16179</x:v>
      </x:c>
      <x:c r="H3295" s="17" t="n">
        <x:v>4597</x:v>
      </x:c>
      <x:c r="I3295" s="17" t="str">
        <x:v>Followup</x:v>
      </x:c>
      <x:c r="J3295" s="27" t="n">
        <x:f>INDEX('Model Pricing'!$B$7:$B$8,MATCH(F3295,'Model Pricing'!$A$7:$A$8,0))</x:f>
        <x:v>40</x:v>
      </x:c>
      <x:c r="K3295" s="27" t="n">
        <x:f>INDEX('Model Pricing'!$C$7:$C$8,MATCH(F3295,'Model Pricing'!$A$7:$A$8,0))</x:f>
        <x:v>100</x:v>
      </x:c>
      <x:c r="L3295" s="17" t="n">
        <x:f>G3295+H3295</x:f>
        <x:v>20776</x:v>
      </x:c>
      <x:c r="M3295" s="28" t="n">
        <x:f>G3295*J3295/1000000</x:f>
        <x:v>0.64716</x:v>
      </x:c>
      <x:c r="N3295" s="28" t="n">
        <x:f>H3295*K3295/1000000</x:f>
        <x:v>0.4597</x:v>
      </x:c>
      <x:c r="O3295" s="28" t="n">
        <x:f>SUM(M3295:N3295)</x:f>
        <x:v>1.10686</x:v>
      </x:c>
    </x:row>
    <x:row r="3296" ht="23" customHeight="1">
      <x:c r="A3296" s="17" t="str">
        <x:v>U03290</x:v>
      </x:c>
      <x:c r="B3296" s="18" t="n">
        <x:v>46281</x:v>
      </x:c>
      <x:c r="C3296" s="17" t="str">
        <x:v>W0224</x:v>
      </x:c>
      <x:c r="D3296" s="17" t="str">
        <x:v>C004</x:v>
      </x:c>
      <x:c r="E3296" s="17" t="str">
        <x:v>DataFlow</x:v>
      </x:c>
      <x:c r="F3296" s="17" t="str">
        <x:v>Pro</x:v>
      </x:c>
      <x:c r="G3296" s="17" t="n">
        <x:v>25918</x:v>
      </x:c>
      <x:c r="H3296" s="17" t="n">
        <x:v>7870</x:v>
      </x:c>
      <x:c r="I3296" s="17" t="str">
        <x:v>Followup</x:v>
      </x:c>
      <x:c r="J3296" s="27" t="n">
        <x:f>INDEX('Model Pricing'!$B$7:$B$8,MATCH(F3296,'Model Pricing'!$A$7:$A$8,0))</x:f>
        <x:v>40</x:v>
      </x:c>
      <x:c r="K3296" s="27" t="n">
        <x:f>INDEX('Model Pricing'!$C$7:$C$8,MATCH(F3296,'Model Pricing'!$A$7:$A$8,0))</x:f>
        <x:v>100</x:v>
      </x:c>
      <x:c r="L3296" s="17" t="n">
        <x:f>G3296+H3296</x:f>
        <x:v>33788</x:v>
      </x:c>
      <x:c r="M3296" s="28" t="n">
        <x:f>G3296*J3296/1000000</x:f>
        <x:v>1.03672</x:v>
      </x:c>
      <x:c r="N3296" s="28" t="n">
        <x:f>H3296*K3296/1000000</x:f>
        <x:v>0.787</x:v>
      </x:c>
      <x:c r="O3296" s="28" t="n">
        <x:f>SUM(M3296:N3296)</x:f>
        <x:v>1.8237200000000002</x:v>
      </x:c>
    </x:row>
    <x:row r="3297" ht="23" customHeight="1">
      <x:c r="A3297" s="17" t="str">
        <x:v>U03291</x:v>
      </x:c>
      <x:c r="B3297" s="18" t="n">
        <x:v>46281</x:v>
      </x:c>
      <x:c r="C3297" s="17" t="str">
        <x:v>W0224</x:v>
      </x:c>
      <x:c r="D3297" s="17" t="str">
        <x:v>C004</x:v>
      </x:c>
      <x:c r="E3297" s="17" t="str">
        <x:v>DataFlow</x:v>
      </x:c>
      <x:c r="F3297" s="17" t="str">
        <x:v>Pro</x:v>
      </x:c>
      <x:c r="G3297" s="17" t="n">
        <x:v>34056</x:v>
      </x:c>
      <x:c r="H3297" s="17" t="n">
        <x:v>10674</x:v>
      </x:c>
      <x:c r="I3297" s="17" t="str">
        <x:v>Followup</x:v>
      </x:c>
      <x:c r="J3297" s="27" t="n">
        <x:f>INDEX('Model Pricing'!$B$7:$B$8,MATCH(F3297,'Model Pricing'!$A$7:$A$8,0))</x:f>
        <x:v>40</x:v>
      </x:c>
      <x:c r="K3297" s="27" t="n">
        <x:f>INDEX('Model Pricing'!$C$7:$C$8,MATCH(F3297,'Model Pricing'!$A$7:$A$8,0))</x:f>
        <x:v>100</x:v>
      </x:c>
      <x:c r="L3297" s="17" t="n">
        <x:f>G3297+H3297</x:f>
        <x:v>44730</x:v>
      </x:c>
      <x:c r="M3297" s="28" t="n">
        <x:f>G3297*J3297/1000000</x:f>
        <x:v>1.36224</x:v>
      </x:c>
      <x:c r="N3297" s="28" t="n">
        <x:f>H3297*K3297/1000000</x:f>
        <x:v>1.0674</x:v>
      </x:c>
      <x:c r="O3297" s="28" t="n">
        <x:f>SUM(M3297:N3297)</x:f>
        <x:v>2.42964</x:v>
      </x:c>
    </x:row>
    <x:row r="3298" ht="23" customHeight="1">
      <x:c r="A3298" s="17" t="str">
        <x:v>U03292</x:v>
      </x:c>
      <x:c r="B3298" s="18" t="n">
        <x:v>46281</x:v>
      </x:c>
      <x:c r="C3298" s="17" t="str">
        <x:v>W0224</x:v>
      </x:c>
      <x:c r="D3298" s="17" t="str">
        <x:v>C004</x:v>
      </x:c>
      <x:c r="E3298" s="17" t="str">
        <x:v>DataFlow</x:v>
      </x:c>
      <x:c r="F3298" s="17" t="str">
        <x:v>Pro</x:v>
      </x:c>
      <x:c r="G3298" s="17" t="n">
        <x:v>36296</x:v>
      </x:c>
      <x:c r="H3298" s="17" t="n">
        <x:v>9721</x:v>
      </x:c>
      <x:c r="I3298" s="17" t="str">
        <x:v>Correction</x:v>
      </x:c>
      <x:c r="J3298" s="27" t="n">
        <x:f>INDEX('Model Pricing'!$B$7:$B$8,MATCH(F3298,'Model Pricing'!$A$7:$A$8,0))</x:f>
        <x:v>40</x:v>
      </x:c>
      <x:c r="K3298" s="27" t="n">
        <x:f>INDEX('Model Pricing'!$C$7:$C$8,MATCH(F3298,'Model Pricing'!$A$7:$A$8,0))</x:f>
        <x:v>100</x:v>
      </x:c>
      <x:c r="L3298" s="17" t="n">
        <x:f>G3298+H3298</x:f>
        <x:v>46017</x:v>
      </x:c>
      <x:c r="M3298" s="28" t="n">
        <x:f>G3298*J3298/1000000</x:f>
        <x:v>1.45184</x:v>
      </x:c>
      <x:c r="N3298" s="28" t="n">
        <x:f>H3298*K3298/1000000</x:f>
        <x:v>0.9721</x:v>
      </x:c>
      <x:c r="O3298" s="28" t="n">
        <x:f>SUM(M3298:N3298)</x:f>
        <x:v>2.42394</x:v>
      </x:c>
    </x:row>
    <x:row r="3299" ht="23" customHeight="1">
      <x:c r="A3299" s="17" t="str">
        <x:v>U03293</x:v>
      </x:c>
      <x:c r="B3299" s="18" t="n">
        <x:v>46281</x:v>
      </x:c>
      <x:c r="C3299" s="17" t="str">
        <x:v>W0227</x:v>
      </x:c>
      <x:c r="D3299" s="17" t="str">
        <x:v>C004</x:v>
      </x:c>
      <x:c r="E3299" s="17" t="str">
        <x:v>DataFlow</x:v>
      </x:c>
      <x:c r="F3299" s="17" t="str">
        <x:v>Pro</x:v>
      </x:c>
      <x:c r="G3299" s="17" t="n">
        <x:v>12449</x:v>
      </x:c>
      <x:c r="H3299" s="17" t="n">
        <x:v>10441</x:v>
      </x:c>
      <x:c r="I3299" s="17" t="str">
        <x:v>First attempt</x:v>
      </x:c>
      <x:c r="J3299" s="27" t="n">
        <x:f>INDEX('Model Pricing'!$B$7:$B$8,MATCH(F3299,'Model Pricing'!$A$7:$A$8,0))</x:f>
        <x:v>40</x:v>
      </x:c>
      <x:c r="K3299" s="27" t="n">
        <x:f>INDEX('Model Pricing'!$C$7:$C$8,MATCH(F3299,'Model Pricing'!$A$7:$A$8,0))</x:f>
        <x:v>100</x:v>
      </x:c>
      <x:c r="L3299" s="17" t="n">
        <x:f>G3299+H3299</x:f>
        <x:v>22890</x:v>
      </x:c>
      <x:c r="M3299" s="28" t="n">
        <x:f>G3299*J3299/1000000</x:f>
        <x:v>0.49796</x:v>
      </x:c>
      <x:c r="N3299" s="28" t="n">
        <x:f>H3299*K3299/1000000</x:f>
        <x:v>1.0441</x:v>
      </x:c>
      <x:c r="O3299" s="28" t="n">
        <x:f>SUM(M3299:N3299)</x:f>
        <x:v>1.54206</x:v>
      </x:c>
    </x:row>
    <x:row r="3300" ht="23" customHeight="1">
      <x:c r="A3300" s="17" t="str">
        <x:v>U03294</x:v>
      </x:c>
      <x:c r="B3300" s="18" t="n">
        <x:v>46281</x:v>
      </x:c>
      <x:c r="C3300" s="17" t="str">
        <x:v>W0227</x:v>
      </x:c>
      <x:c r="D3300" s="17" t="str">
        <x:v>C004</x:v>
      </x:c>
      <x:c r="E3300" s="17" t="str">
        <x:v>DataFlow</x:v>
      </x:c>
      <x:c r="F3300" s="17" t="str">
        <x:v>Pro</x:v>
      </x:c>
      <x:c r="G3300" s="17" t="n">
        <x:v>24747</x:v>
      </x:c>
      <x:c r="H3300" s="17" t="n">
        <x:v>8707</x:v>
      </x:c>
      <x:c r="I3300" s="17" t="str">
        <x:v>Followup</x:v>
      </x:c>
      <x:c r="J3300" s="27" t="n">
        <x:f>INDEX('Model Pricing'!$B$7:$B$8,MATCH(F3300,'Model Pricing'!$A$7:$A$8,0))</x:f>
        <x:v>40</x:v>
      </x:c>
      <x:c r="K3300" s="27" t="n">
        <x:f>INDEX('Model Pricing'!$C$7:$C$8,MATCH(F3300,'Model Pricing'!$A$7:$A$8,0))</x:f>
        <x:v>100</x:v>
      </x:c>
      <x:c r="L3300" s="17" t="n">
        <x:f>G3300+H3300</x:f>
        <x:v>33454</x:v>
      </x:c>
      <x:c r="M3300" s="28" t="n">
        <x:f>G3300*J3300/1000000</x:f>
        <x:v>0.98988</x:v>
      </x:c>
      <x:c r="N3300" s="28" t="n">
        <x:f>H3300*K3300/1000000</x:f>
        <x:v>0.8707</x:v>
      </x:c>
      <x:c r="O3300" s="28" t="n">
        <x:f>SUM(M3300:N3300)</x:f>
        <x:v>1.8605800000000001</x:v>
      </x:c>
    </x:row>
    <x:row r="3301" ht="23" customHeight="1">
      <x:c r="A3301" s="17" t="str">
        <x:v>U03295</x:v>
      </x:c>
      <x:c r="B3301" s="18" t="n">
        <x:v>46281</x:v>
      </x:c>
      <x:c r="C3301" s="17" t="str">
        <x:v>W0227</x:v>
      </x:c>
      <x:c r="D3301" s="17" t="str">
        <x:v>C004</x:v>
      </x:c>
      <x:c r="E3301" s="17" t="str">
        <x:v>DataFlow</x:v>
      </x:c>
      <x:c r="F3301" s="17" t="str">
        <x:v>Pro</x:v>
      </x:c>
      <x:c r="G3301" s="17" t="n">
        <x:v>9728</x:v>
      </x:c>
      <x:c r="H3301" s="17" t="n">
        <x:v>5920</x:v>
      </x:c>
      <x:c r="I3301" s="17" t="str">
        <x:v>Followup</x:v>
      </x:c>
      <x:c r="J3301" s="27" t="n">
        <x:f>INDEX('Model Pricing'!$B$7:$B$8,MATCH(F3301,'Model Pricing'!$A$7:$A$8,0))</x:f>
        <x:v>40</x:v>
      </x:c>
      <x:c r="K3301" s="27" t="n">
        <x:f>INDEX('Model Pricing'!$C$7:$C$8,MATCH(F3301,'Model Pricing'!$A$7:$A$8,0))</x:f>
        <x:v>100</x:v>
      </x:c>
      <x:c r="L3301" s="17" t="n">
        <x:f>G3301+H3301</x:f>
        <x:v>15648</x:v>
      </x:c>
      <x:c r="M3301" s="28" t="n">
        <x:f>G3301*J3301/1000000</x:f>
        <x:v>0.38912</x:v>
      </x:c>
      <x:c r="N3301" s="28" t="n">
        <x:f>H3301*K3301/1000000</x:f>
        <x:v>0.592</x:v>
      </x:c>
      <x:c r="O3301" s="28" t="n">
        <x:f>SUM(M3301:N3301)</x:f>
        <x:v>0.98112</x:v>
      </x:c>
    </x:row>
    <x:row r="3302" ht="23" customHeight="1">
      <x:c r="A3302" s="17" t="str">
        <x:v>U03296</x:v>
      </x:c>
      <x:c r="B3302" s="18" t="n">
        <x:v>46281</x:v>
      </x:c>
      <x:c r="C3302" s="17" t="str">
        <x:v>W0227</x:v>
      </x:c>
      <x:c r="D3302" s="17" t="str">
        <x:v>C004</x:v>
      </x:c>
      <x:c r="E3302" s="17" t="str">
        <x:v>DataFlow</x:v>
      </x:c>
      <x:c r="F3302" s="17" t="str">
        <x:v>Pro</x:v>
      </x:c>
      <x:c r="G3302" s="17" t="n">
        <x:v>12052</x:v>
      </x:c>
      <x:c r="H3302" s="17" t="n">
        <x:v>4308</x:v>
      </x:c>
      <x:c r="I3302" s="17" t="str">
        <x:v>Correction</x:v>
      </x:c>
      <x:c r="J3302" s="27" t="n">
        <x:f>INDEX('Model Pricing'!$B$7:$B$8,MATCH(F3302,'Model Pricing'!$A$7:$A$8,0))</x:f>
        <x:v>40</x:v>
      </x:c>
      <x:c r="K3302" s="27" t="n">
        <x:f>INDEX('Model Pricing'!$C$7:$C$8,MATCH(F3302,'Model Pricing'!$A$7:$A$8,0))</x:f>
        <x:v>100</x:v>
      </x:c>
      <x:c r="L3302" s="17" t="n">
        <x:f>G3302+H3302</x:f>
        <x:v>16360</x:v>
      </x:c>
      <x:c r="M3302" s="28" t="n">
        <x:f>G3302*J3302/1000000</x:f>
        <x:v>0.48208</x:v>
      </x:c>
      <x:c r="N3302" s="28" t="n">
        <x:f>H3302*K3302/1000000</x:f>
        <x:v>0.4308</x:v>
      </x:c>
      <x:c r="O3302" s="28" t="n">
        <x:f>SUM(M3302:N3302)</x:f>
        <x:v>0.91288</x:v>
      </x:c>
    </x:row>
    <x:row r="3303" ht="23" customHeight="1">
      <x:c r="A3303" s="17" t="str">
        <x:v>U03297</x:v>
      </x:c>
      <x:c r="B3303" s="18" t="n">
        <x:v>46282</x:v>
      </x:c>
      <x:c r="C3303" s="17" t="str">
        <x:v>W0227</x:v>
      </x:c>
      <x:c r="D3303" s="17" t="str">
        <x:v>C004</x:v>
      </x:c>
      <x:c r="E3303" s="17" t="str">
        <x:v>DataFlow</x:v>
      </x:c>
      <x:c r="F3303" s="17" t="str">
        <x:v>Pro</x:v>
      </x:c>
      <x:c r="G3303" s="17" t="n">
        <x:v>25563</x:v>
      </x:c>
      <x:c r="H3303" s="17" t="n">
        <x:v>13661</x:v>
      </x:c>
      <x:c r="I3303" s="17" t="str">
        <x:v>Followup</x:v>
      </x:c>
      <x:c r="J3303" s="27" t="n">
        <x:f>INDEX('Model Pricing'!$B$7:$B$8,MATCH(F3303,'Model Pricing'!$A$7:$A$8,0))</x:f>
        <x:v>40</x:v>
      </x:c>
      <x:c r="K3303" s="27" t="n">
        <x:f>INDEX('Model Pricing'!$C$7:$C$8,MATCH(F3303,'Model Pricing'!$A$7:$A$8,0))</x:f>
        <x:v>100</x:v>
      </x:c>
      <x:c r="L3303" s="17" t="n">
        <x:f>G3303+H3303</x:f>
        <x:v>39224</x:v>
      </x:c>
      <x:c r="M3303" s="28" t="n">
        <x:f>G3303*J3303/1000000</x:f>
        <x:v>1.02252</x:v>
      </x:c>
      <x:c r="N3303" s="28" t="n">
        <x:f>H3303*K3303/1000000</x:f>
        <x:v>1.3661</x:v>
      </x:c>
      <x:c r="O3303" s="28" t="n">
        <x:f>SUM(M3303:N3303)</x:f>
        <x:v>2.3886200000000004</x:v>
      </x:c>
    </x:row>
    <x:row r="3304" ht="23" customHeight="1">
      <x:c r="A3304" s="17" t="str">
        <x:v>U03298</x:v>
      </x:c>
      <x:c r="B3304" s="18" t="n">
        <x:v>46282</x:v>
      </x:c>
      <x:c r="C3304" s="17" t="str">
        <x:v>W0227</x:v>
      </x:c>
      <x:c r="D3304" s="17" t="str">
        <x:v>C004</x:v>
      </x:c>
      <x:c r="E3304" s="17" t="str">
        <x:v>DataFlow</x:v>
      </x:c>
      <x:c r="F3304" s="17" t="str">
        <x:v>Pro</x:v>
      </x:c>
      <x:c r="G3304" s="17" t="n">
        <x:v>18810</x:v>
      </x:c>
      <x:c r="H3304" s="17" t="n">
        <x:v>11869</x:v>
      </x:c>
      <x:c r="I3304" s="17" t="str">
        <x:v>Followup</x:v>
      </x:c>
      <x:c r="J3304" s="27" t="n">
        <x:f>INDEX('Model Pricing'!$B$7:$B$8,MATCH(F3304,'Model Pricing'!$A$7:$A$8,0))</x:f>
        <x:v>40</x:v>
      </x:c>
      <x:c r="K3304" s="27" t="n">
        <x:f>INDEX('Model Pricing'!$C$7:$C$8,MATCH(F3304,'Model Pricing'!$A$7:$A$8,0))</x:f>
        <x:v>100</x:v>
      </x:c>
      <x:c r="L3304" s="17" t="n">
        <x:f>G3304+H3304</x:f>
        <x:v>30679</x:v>
      </x:c>
      <x:c r="M3304" s="28" t="n">
        <x:f>G3304*J3304/1000000</x:f>
        <x:v>0.7524</x:v>
      </x:c>
      <x:c r="N3304" s="28" t="n">
        <x:f>H3304*K3304/1000000</x:f>
        <x:v>1.1869</x:v>
      </x:c>
      <x:c r="O3304" s="28" t="n">
        <x:f>SUM(M3304:N3304)</x:f>
        <x:v>1.9393</x:v>
      </x:c>
    </x:row>
    <x:row r="3305" ht="23" customHeight="1">
      <x:c r="A3305" s="17" t="str">
        <x:v>U03299</x:v>
      </x:c>
      <x:c r="B3305" s="18" t="n">
        <x:v>46282</x:v>
      </x:c>
      <x:c r="C3305" s="17" t="str">
        <x:v>W0227</x:v>
      </x:c>
      <x:c r="D3305" s="17" t="str">
        <x:v>C004</x:v>
      </x:c>
      <x:c r="E3305" s="17" t="str">
        <x:v>DataFlow</x:v>
      </x:c>
      <x:c r="F3305" s="17" t="str">
        <x:v>Pro</x:v>
      </x:c>
      <x:c r="G3305" s="17" t="n">
        <x:v>24903</x:v>
      </x:c>
      <x:c r="H3305" s="17" t="n">
        <x:v>15097</x:v>
      </x:c>
      <x:c r="I3305" s="17" t="str">
        <x:v>Correction</x:v>
      </x:c>
      <x:c r="J3305" s="27" t="n">
        <x:f>INDEX('Model Pricing'!$B$7:$B$8,MATCH(F3305,'Model Pricing'!$A$7:$A$8,0))</x:f>
        <x:v>40</x:v>
      </x:c>
      <x:c r="K3305" s="27" t="n">
        <x:f>INDEX('Model Pricing'!$C$7:$C$8,MATCH(F3305,'Model Pricing'!$A$7:$A$8,0))</x:f>
        <x:v>100</x:v>
      </x:c>
      <x:c r="L3305" s="17" t="n">
        <x:f>G3305+H3305</x:f>
        <x:v>40000</x:v>
      </x:c>
      <x:c r="M3305" s="28" t="n">
        <x:f>G3305*J3305/1000000</x:f>
        <x:v>0.99612</x:v>
      </x:c>
      <x:c r="N3305" s="28" t="n">
        <x:f>H3305*K3305/1000000</x:f>
        <x:v>1.5097</x:v>
      </x:c>
      <x:c r="O3305" s="28" t="n">
        <x:f>SUM(M3305:N3305)</x:f>
        <x:v>2.50582</x:v>
      </x:c>
    </x:row>
    <x:row r="3306" ht="23" customHeight="1">
      <x:c r="A3306" s="17" t="str">
        <x:v>U03300</x:v>
      </x:c>
      <x:c r="B3306" s="18" t="n">
        <x:v>46282</x:v>
      </x:c>
      <x:c r="C3306" s="17" t="str">
        <x:v>W0227</x:v>
      </x:c>
      <x:c r="D3306" s="17" t="str">
        <x:v>C004</x:v>
      </x:c>
      <x:c r="E3306" s="17" t="str">
        <x:v>DataFlow</x:v>
      </x:c>
      <x:c r="F3306" s="17" t="str">
        <x:v>Pro</x:v>
      </x:c>
      <x:c r="G3306" s="17" t="n">
        <x:v>20888</x:v>
      </x:c>
      <x:c r="H3306" s="17" t="n">
        <x:v>7526</x:v>
      </x:c>
      <x:c r="I3306" s="17" t="str">
        <x:v>Followup</x:v>
      </x:c>
      <x:c r="J3306" s="27" t="n">
        <x:f>INDEX('Model Pricing'!$B$7:$B$8,MATCH(F3306,'Model Pricing'!$A$7:$A$8,0))</x:f>
        <x:v>40</x:v>
      </x:c>
      <x:c r="K3306" s="27" t="n">
        <x:f>INDEX('Model Pricing'!$C$7:$C$8,MATCH(F3306,'Model Pricing'!$A$7:$A$8,0))</x:f>
        <x:v>100</x:v>
      </x:c>
      <x:c r="L3306" s="17" t="n">
        <x:f>G3306+H3306</x:f>
        <x:v>28414</x:v>
      </x:c>
      <x:c r="M3306" s="28" t="n">
        <x:f>G3306*J3306/1000000</x:f>
        <x:v>0.83552</x:v>
      </x:c>
      <x:c r="N3306" s="28" t="n">
        <x:f>H3306*K3306/1000000</x:f>
        <x:v>0.7526</x:v>
      </x:c>
      <x:c r="O3306" s="28" t="n">
        <x:f>SUM(M3306:N3306)</x:f>
        <x:v>1.58812</x:v>
      </x:c>
    </x:row>
    <x:row r="3307" ht="23" customHeight="1">
      <x:c r="A3307" s="17" t="str">
        <x:v>U03301</x:v>
      </x:c>
      <x:c r="B3307" s="18" t="n">
        <x:v>46283</x:v>
      </x:c>
      <x:c r="C3307" s="17" t="str">
        <x:v>W0227</x:v>
      </x:c>
      <x:c r="D3307" s="17" t="str">
        <x:v>C004</x:v>
      </x:c>
      <x:c r="E3307" s="17" t="str">
        <x:v>DataFlow</x:v>
      </x:c>
      <x:c r="F3307" s="17" t="str">
        <x:v>Pro</x:v>
      </x:c>
      <x:c r="G3307" s="17" t="n">
        <x:v>12000</x:v>
      </x:c>
      <x:c r="H3307" s="17" t="n">
        <x:v>9320</x:v>
      </x:c>
      <x:c r="I3307" s="17" t="str">
        <x:v>Followup</x:v>
      </x:c>
      <x:c r="J3307" s="27" t="n">
        <x:f>INDEX('Model Pricing'!$B$7:$B$8,MATCH(F3307,'Model Pricing'!$A$7:$A$8,0))</x:f>
        <x:v>40</x:v>
      </x:c>
      <x:c r="K3307" s="27" t="n">
        <x:f>INDEX('Model Pricing'!$C$7:$C$8,MATCH(F3307,'Model Pricing'!$A$7:$A$8,0))</x:f>
        <x:v>100</x:v>
      </x:c>
      <x:c r="L3307" s="17" t="n">
        <x:f>G3307+H3307</x:f>
        <x:v>21320</x:v>
      </x:c>
      <x:c r="M3307" s="28" t="n">
        <x:f>G3307*J3307/1000000</x:f>
        <x:v>0.48</x:v>
      </x:c>
      <x:c r="N3307" s="28" t="n">
        <x:f>H3307*K3307/1000000</x:f>
        <x:v>0.932</x:v>
      </x:c>
      <x:c r="O3307" s="28" t="n">
        <x:f>SUM(M3307:N3307)</x:f>
        <x:v>1.412</x:v>
      </x:c>
    </x:row>
    <x:row r="3308" ht="23" customHeight="1">
      <x:c r="A3308" s="17" t="str">
        <x:v>U03302</x:v>
      </x:c>
      <x:c r="B3308" s="18" t="n">
        <x:v>46283</x:v>
      </x:c>
      <x:c r="C3308" s="17" t="str">
        <x:v>W0227</x:v>
      </x:c>
      <x:c r="D3308" s="17" t="str">
        <x:v>C004</x:v>
      </x:c>
      <x:c r="E3308" s="17" t="str">
        <x:v>DataFlow</x:v>
      </x:c>
      <x:c r="F3308" s="17" t="str">
        <x:v>Pro</x:v>
      </x:c>
      <x:c r="G3308" s="17" t="n">
        <x:v>17732</x:v>
      </x:c>
      <x:c r="H3308" s="17" t="n">
        <x:v>14820</x:v>
      </x:c>
      <x:c r="I3308" s="17" t="str">
        <x:v>Followup</x:v>
      </x:c>
      <x:c r="J3308" s="27" t="n">
        <x:f>INDEX('Model Pricing'!$B$7:$B$8,MATCH(F3308,'Model Pricing'!$A$7:$A$8,0))</x:f>
        <x:v>40</x:v>
      </x:c>
      <x:c r="K3308" s="27" t="n">
        <x:f>INDEX('Model Pricing'!$C$7:$C$8,MATCH(F3308,'Model Pricing'!$A$7:$A$8,0))</x:f>
        <x:v>100</x:v>
      </x:c>
      <x:c r="L3308" s="17" t="n">
        <x:f>G3308+H3308</x:f>
        <x:v>32552</x:v>
      </x:c>
      <x:c r="M3308" s="28" t="n">
        <x:f>G3308*J3308/1000000</x:f>
        <x:v>0.70928</x:v>
      </x:c>
      <x:c r="N3308" s="28" t="n">
        <x:f>H3308*K3308/1000000</x:f>
        <x:v>1.482</x:v>
      </x:c>
      <x:c r="O3308" s="28" t="n">
        <x:f>SUM(M3308:N3308)</x:f>
        <x:v>2.19128</x:v>
      </x:c>
    </x:row>
    <x:row r="3309" ht="23" customHeight="1">
      <x:c r="A3309" s="17" t="str">
        <x:v>U03303</x:v>
      </x:c>
      <x:c r="B3309" s="18" t="n">
        <x:v>46283</x:v>
      </x:c>
      <x:c r="C3309" s="17" t="str">
        <x:v>W0227</x:v>
      </x:c>
      <x:c r="D3309" s="17" t="str">
        <x:v>C004</x:v>
      </x:c>
      <x:c r="E3309" s="17" t="str">
        <x:v>DataFlow</x:v>
      </x:c>
      <x:c r="F3309" s="17" t="str">
        <x:v>Pro</x:v>
      </x:c>
      <x:c r="G3309" s="17" t="n">
        <x:v>19654</x:v>
      </x:c>
      <x:c r="H3309" s="17" t="n">
        <x:v>4340</x:v>
      </x:c>
      <x:c r="I3309" s="17" t="str">
        <x:v>Followup</x:v>
      </x:c>
      <x:c r="J3309" s="27" t="n">
        <x:f>INDEX('Model Pricing'!$B$7:$B$8,MATCH(F3309,'Model Pricing'!$A$7:$A$8,0))</x:f>
        <x:v>40</x:v>
      </x:c>
      <x:c r="K3309" s="27" t="n">
        <x:f>INDEX('Model Pricing'!$C$7:$C$8,MATCH(F3309,'Model Pricing'!$A$7:$A$8,0))</x:f>
        <x:v>100</x:v>
      </x:c>
      <x:c r="L3309" s="17" t="n">
        <x:f>G3309+H3309</x:f>
        <x:v>23994</x:v>
      </x:c>
      <x:c r="M3309" s="28" t="n">
        <x:f>G3309*J3309/1000000</x:f>
        <x:v>0.78616</x:v>
      </x:c>
      <x:c r="N3309" s="28" t="n">
        <x:f>H3309*K3309/1000000</x:f>
        <x:v>0.434</x:v>
      </x:c>
      <x:c r="O3309" s="28" t="n">
        <x:f>SUM(M3309:N3309)</x:f>
        <x:v>1.22016</x:v>
      </x:c>
    </x:row>
    <x:row r="3310" ht="23" customHeight="1">
      <x:c r="A3310" s="17" t="str">
        <x:v>U03304</x:v>
      </x:c>
      <x:c r="B3310" s="18" t="n">
        <x:v>46283</x:v>
      </x:c>
      <x:c r="C3310" s="17" t="str">
        <x:v>W0227</x:v>
      </x:c>
      <x:c r="D3310" s="17" t="str">
        <x:v>C004</x:v>
      </x:c>
      <x:c r="E3310" s="17" t="str">
        <x:v>DataFlow</x:v>
      </x:c>
      <x:c r="F3310" s="17" t="str">
        <x:v>Pro</x:v>
      </x:c>
      <x:c r="G3310" s="17" t="n">
        <x:v>18137</x:v>
      </x:c>
      <x:c r="H3310" s="17" t="n">
        <x:v>11851</x:v>
      </x:c>
      <x:c r="I3310" s="17" t="str">
        <x:v>Followup</x:v>
      </x:c>
      <x:c r="J3310" s="27" t="n">
        <x:f>INDEX('Model Pricing'!$B$7:$B$8,MATCH(F3310,'Model Pricing'!$A$7:$A$8,0))</x:f>
        <x:v>40</x:v>
      </x:c>
      <x:c r="K3310" s="27" t="n">
        <x:f>INDEX('Model Pricing'!$C$7:$C$8,MATCH(F3310,'Model Pricing'!$A$7:$A$8,0))</x:f>
        <x:v>100</x:v>
      </x:c>
      <x:c r="L3310" s="17" t="n">
        <x:f>G3310+H3310</x:f>
        <x:v>29988</x:v>
      </x:c>
      <x:c r="M3310" s="28" t="n">
        <x:f>G3310*J3310/1000000</x:f>
        <x:v>0.72548</x:v>
      </x:c>
      <x:c r="N3310" s="28" t="n">
        <x:f>H3310*K3310/1000000</x:f>
        <x:v>1.1851</x:v>
      </x:c>
      <x:c r="O3310" s="28" t="n">
        <x:f>SUM(M3310:N3310)</x:f>
        <x:v>1.91058</x:v>
      </x:c>
    </x:row>
    <x:row r="3311" ht="23" customHeight="1">
      <x:c r="A3311" s="17" t="str">
        <x:v>U03305</x:v>
      </x:c>
      <x:c r="B3311" s="18" t="n">
        <x:v>46286</x:v>
      </x:c>
      <x:c r="C3311" s="17" t="str">
        <x:v>W0227</x:v>
      </x:c>
      <x:c r="D3311" s="17" t="str">
        <x:v>C004</x:v>
      </x:c>
      <x:c r="E3311" s="17" t="str">
        <x:v>DataFlow</x:v>
      </x:c>
      <x:c r="F3311" s="17" t="str">
        <x:v>Pro</x:v>
      </x:c>
      <x:c r="G3311" s="17" t="n">
        <x:v>26960</x:v>
      </x:c>
      <x:c r="H3311" s="17" t="n">
        <x:v>13394</x:v>
      </x:c>
      <x:c r="I3311" s="17" t="str">
        <x:v>Followup</x:v>
      </x:c>
      <x:c r="J3311" s="27" t="n">
        <x:f>INDEX('Model Pricing'!$B$7:$B$8,MATCH(F3311,'Model Pricing'!$A$7:$A$8,0))</x:f>
        <x:v>40</x:v>
      </x:c>
      <x:c r="K3311" s="27" t="n">
        <x:f>INDEX('Model Pricing'!$C$7:$C$8,MATCH(F3311,'Model Pricing'!$A$7:$A$8,0))</x:f>
        <x:v>100</x:v>
      </x:c>
      <x:c r="L3311" s="17" t="n">
        <x:f>G3311+H3311</x:f>
        <x:v>40354</x:v>
      </x:c>
      <x:c r="M3311" s="28" t="n">
        <x:f>G3311*J3311/1000000</x:f>
        <x:v>1.0784</x:v>
      </x:c>
      <x:c r="N3311" s="28" t="n">
        <x:f>H3311*K3311/1000000</x:f>
        <x:v>1.3394</x:v>
      </x:c>
      <x:c r="O3311" s="28" t="n">
        <x:f>SUM(M3311:N3311)</x:f>
        <x:v>2.4177999999999997</x:v>
      </x:c>
    </x:row>
    <x:row r="3312" ht="23" customHeight="1">
      <x:c r="A3312" s="17" t="str">
        <x:v>U03306</x:v>
      </x:c>
      <x:c r="B3312" s="18" t="n">
        <x:v>46286</x:v>
      </x:c>
      <x:c r="C3312" s="17" t="str">
        <x:v>W0227</x:v>
      </x:c>
      <x:c r="D3312" s="17" t="str">
        <x:v>C004</x:v>
      </x:c>
      <x:c r="E3312" s="17" t="str">
        <x:v>DataFlow</x:v>
      </x:c>
      <x:c r="F3312" s="17" t="str">
        <x:v>Pro</x:v>
      </x:c>
      <x:c r="G3312" s="17" t="n">
        <x:v>20552</x:v>
      </x:c>
      <x:c r="H3312" s="17" t="n">
        <x:v>13984</x:v>
      </x:c>
      <x:c r="I3312" s="17" t="str">
        <x:v>Followup</x:v>
      </x:c>
      <x:c r="J3312" s="27" t="n">
        <x:f>INDEX('Model Pricing'!$B$7:$B$8,MATCH(F3312,'Model Pricing'!$A$7:$A$8,0))</x:f>
        <x:v>40</x:v>
      </x:c>
      <x:c r="K3312" s="27" t="n">
        <x:f>INDEX('Model Pricing'!$C$7:$C$8,MATCH(F3312,'Model Pricing'!$A$7:$A$8,0))</x:f>
        <x:v>100</x:v>
      </x:c>
      <x:c r="L3312" s="17" t="n">
        <x:f>G3312+H3312</x:f>
        <x:v>34536</x:v>
      </x:c>
      <x:c r="M3312" s="28" t="n">
        <x:f>G3312*J3312/1000000</x:f>
        <x:v>0.82208</x:v>
      </x:c>
      <x:c r="N3312" s="28" t="n">
        <x:f>H3312*K3312/1000000</x:f>
        <x:v>1.3984</x:v>
      </x:c>
      <x:c r="O3312" s="28" t="n">
        <x:f>SUM(M3312:N3312)</x:f>
        <x:v>2.2204800000000002</x:v>
      </x:c>
    </x:row>
    <x:row r="3313" ht="23" customHeight="1">
      <x:c r="A3313" s="17" t="str">
        <x:v>U03307</x:v>
      </x:c>
      <x:c r="B3313" s="18" t="n">
        <x:v>46286</x:v>
      </x:c>
      <x:c r="C3313" s="17" t="str">
        <x:v>W0227</x:v>
      </x:c>
      <x:c r="D3313" s="17" t="str">
        <x:v>C004</x:v>
      </x:c>
      <x:c r="E3313" s="17" t="str">
        <x:v>DataFlow</x:v>
      </x:c>
      <x:c r="F3313" s="17" t="str">
        <x:v>Pro</x:v>
      </x:c>
      <x:c r="G3313" s="17" t="n">
        <x:v>12978</x:v>
      </x:c>
      <x:c r="H3313" s="17" t="n">
        <x:v>9753</x:v>
      </x:c>
      <x:c r="I3313" s="17" t="str">
        <x:v>Followup</x:v>
      </x:c>
      <x:c r="J3313" s="27" t="n">
        <x:f>INDEX('Model Pricing'!$B$7:$B$8,MATCH(F3313,'Model Pricing'!$A$7:$A$8,0))</x:f>
        <x:v>40</x:v>
      </x:c>
      <x:c r="K3313" s="27" t="n">
        <x:f>INDEX('Model Pricing'!$C$7:$C$8,MATCH(F3313,'Model Pricing'!$A$7:$A$8,0))</x:f>
        <x:v>100</x:v>
      </x:c>
      <x:c r="L3313" s="17" t="n">
        <x:f>G3313+H3313</x:f>
        <x:v>22731</x:v>
      </x:c>
      <x:c r="M3313" s="28" t="n">
        <x:f>G3313*J3313/1000000</x:f>
        <x:v>0.51912</x:v>
      </x:c>
      <x:c r="N3313" s="28" t="n">
        <x:f>H3313*K3313/1000000</x:f>
        <x:v>0.9753</x:v>
      </x:c>
      <x:c r="O3313" s="28" t="n">
        <x:f>SUM(M3313:N3313)</x:f>
        <x:v>1.4944199999999999</x:v>
      </x:c>
    </x:row>
    <x:row r="3314" ht="23" customHeight="1">
      <x:c r="A3314" s="17" t="str">
        <x:v>U03308</x:v>
      </x:c>
      <x:c r="B3314" s="18" t="n">
        <x:v>46268</x:v>
      </x:c>
      <x:c r="C3314" s="17" t="str">
        <x:v>W0231</x:v>
      </x:c>
      <x:c r="D3314" s="17" t="str">
        <x:v>C004</x:v>
      </x:c>
      <x:c r="E3314" s="17" t="str">
        <x:v>DataFlow</x:v>
      </x:c>
      <x:c r="F3314" s="17" t="str">
        <x:v>Pro</x:v>
      </x:c>
      <x:c r="G3314" s="17" t="n">
        <x:v>32227</x:v>
      </x:c>
      <x:c r="H3314" s="17" t="n">
        <x:v>11927</x:v>
      </x:c>
      <x:c r="I3314" s="17" t="str">
        <x:v>First attempt</x:v>
      </x:c>
      <x:c r="J3314" s="27" t="n">
        <x:f>INDEX('Model Pricing'!$B$7:$B$8,MATCH(F3314,'Model Pricing'!$A$7:$A$8,0))</x:f>
        <x:v>40</x:v>
      </x:c>
      <x:c r="K3314" s="27" t="n">
        <x:f>INDEX('Model Pricing'!$C$7:$C$8,MATCH(F3314,'Model Pricing'!$A$7:$A$8,0))</x:f>
        <x:v>100</x:v>
      </x:c>
      <x:c r="L3314" s="17" t="n">
        <x:f>G3314+H3314</x:f>
        <x:v>44154</x:v>
      </x:c>
      <x:c r="M3314" s="28" t="n">
        <x:f>G3314*J3314/1000000</x:f>
        <x:v>1.28908</x:v>
      </x:c>
      <x:c r="N3314" s="28" t="n">
        <x:f>H3314*K3314/1000000</x:f>
        <x:v>1.1927</x:v>
      </x:c>
      <x:c r="O3314" s="28" t="n">
        <x:f>SUM(M3314:N3314)</x:f>
        <x:v>2.48178</x:v>
      </x:c>
    </x:row>
    <x:row r="3315" ht="23" customHeight="1">
      <x:c r="A3315" s="17" t="str">
        <x:v>U03309</x:v>
      </x:c>
      <x:c r="B3315" s="18" t="n">
        <x:v>46268</x:v>
      </x:c>
      <x:c r="C3315" s="17" t="str">
        <x:v>W0231</x:v>
      </x:c>
      <x:c r="D3315" s="17" t="str">
        <x:v>C004</x:v>
      </x:c>
      <x:c r="E3315" s="17" t="str">
        <x:v>DataFlow</x:v>
      </x:c>
      <x:c r="F3315" s="17" t="str">
        <x:v>Pro</x:v>
      </x:c>
      <x:c r="G3315" s="17" t="n">
        <x:v>23008</x:v>
      </x:c>
      <x:c r="H3315" s="17" t="n">
        <x:v>5624</x:v>
      </x:c>
      <x:c r="I3315" s="17" t="str">
        <x:v>Followup</x:v>
      </x:c>
      <x:c r="J3315" s="27" t="n">
        <x:f>INDEX('Model Pricing'!$B$7:$B$8,MATCH(F3315,'Model Pricing'!$A$7:$A$8,0))</x:f>
        <x:v>40</x:v>
      </x:c>
      <x:c r="K3315" s="27" t="n">
        <x:f>INDEX('Model Pricing'!$C$7:$C$8,MATCH(F3315,'Model Pricing'!$A$7:$A$8,0))</x:f>
        <x:v>100</x:v>
      </x:c>
      <x:c r="L3315" s="17" t="n">
        <x:f>G3315+H3315</x:f>
        <x:v>28632</x:v>
      </x:c>
      <x:c r="M3315" s="28" t="n">
        <x:f>G3315*J3315/1000000</x:f>
        <x:v>0.92032</x:v>
      </x:c>
      <x:c r="N3315" s="28" t="n">
        <x:f>H3315*K3315/1000000</x:f>
        <x:v>0.5624</x:v>
      </x:c>
      <x:c r="O3315" s="28" t="n">
        <x:f>SUM(M3315:N3315)</x:f>
        <x:v>1.48272</x:v>
      </x:c>
    </x:row>
    <x:row r="3316" ht="23" customHeight="1">
      <x:c r="A3316" s="17" t="str">
        <x:v>U03310</x:v>
      </x:c>
      <x:c r="B3316" s="18" t="n">
        <x:v>46268</x:v>
      </x:c>
      <x:c r="C3316" s="17" t="str">
        <x:v>W0231</x:v>
      </x:c>
      <x:c r="D3316" s="17" t="str">
        <x:v>C004</x:v>
      </x:c>
      <x:c r="E3316" s="17" t="str">
        <x:v>DataFlow</x:v>
      </x:c>
      <x:c r="F3316" s="17" t="str">
        <x:v>Pro</x:v>
      </x:c>
      <x:c r="G3316" s="17" t="n">
        <x:v>14560</x:v>
      </x:c>
      <x:c r="H3316" s="17" t="n">
        <x:v>9266</x:v>
      </x:c>
      <x:c r="I3316" s="17" t="str">
        <x:v>Correction</x:v>
      </x:c>
      <x:c r="J3316" s="27" t="n">
        <x:f>INDEX('Model Pricing'!$B$7:$B$8,MATCH(F3316,'Model Pricing'!$A$7:$A$8,0))</x:f>
        <x:v>40</x:v>
      </x:c>
      <x:c r="K3316" s="27" t="n">
        <x:f>INDEX('Model Pricing'!$C$7:$C$8,MATCH(F3316,'Model Pricing'!$A$7:$A$8,0))</x:f>
        <x:v>100</x:v>
      </x:c>
      <x:c r="L3316" s="17" t="n">
        <x:f>G3316+H3316</x:f>
        <x:v>23826</x:v>
      </x:c>
      <x:c r="M3316" s="28" t="n">
        <x:f>G3316*J3316/1000000</x:f>
        <x:v>0.5824</x:v>
      </x:c>
      <x:c r="N3316" s="28" t="n">
        <x:f>H3316*K3316/1000000</x:f>
        <x:v>0.9266</x:v>
      </x:c>
      <x:c r="O3316" s="28" t="n">
        <x:f>SUM(M3316:N3316)</x:f>
        <x:v>1.509</x:v>
      </x:c>
    </x:row>
    <x:row r="3317" ht="23" customHeight="1">
      <x:c r="A3317" s="17" t="str">
        <x:v>U03311</x:v>
      </x:c>
      <x:c r="B3317" s="18" t="n">
        <x:v>46269</x:v>
      </x:c>
      <x:c r="C3317" s="17" t="str">
        <x:v>W0231</x:v>
      </x:c>
      <x:c r="D3317" s="17" t="str">
        <x:v>C004</x:v>
      </x:c>
      <x:c r="E3317" s="17" t="str">
        <x:v>DataFlow</x:v>
      </x:c>
      <x:c r="F3317" s="17" t="str">
        <x:v>Pro</x:v>
      </x:c>
      <x:c r="G3317" s="17" t="n">
        <x:v>25508</x:v>
      </x:c>
      <x:c r="H3317" s="17" t="n">
        <x:v>11008</x:v>
      </x:c>
      <x:c r="I3317" s="17" t="str">
        <x:v>Followup</x:v>
      </x:c>
      <x:c r="J3317" s="27" t="n">
        <x:f>INDEX('Model Pricing'!$B$7:$B$8,MATCH(F3317,'Model Pricing'!$A$7:$A$8,0))</x:f>
        <x:v>40</x:v>
      </x:c>
      <x:c r="K3317" s="27" t="n">
        <x:f>INDEX('Model Pricing'!$C$7:$C$8,MATCH(F3317,'Model Pricing'!$A$7:$A$8,0))</x:f>
        <x:v>100</x:v>
      </x:c>
      <x:c r="L3317" s="17" t="n">
        <x:f>G3317+H3317</x:f>
        <x:v>36516</x:v>
      </x:c>
      <x:c r="M3317" s="28" t="n">
        <x:f>G3317*J3317/1000000</x:f>
        <x:v>1.02032</x:v>
      </x:c>
      <x:c r="N3317" s="28" t="n">
        <x:f>H3317*K3317/1000000</x:f>
        <x:v>1.1008</x:v>
      </x:c>
      <x:c r="O3317" s="28" t="n">
        <x:f>SUM(M3317:N3317)</x:f>
        <x:v>2.12112</x:v>
      </x:c>
    </x:row>
    <x:row r="3318" ht="23" customHeight="1">
      <x:c r="A3318" s="17" t="str">
        <x:v>U03312</x:v>
      </x:c>
      <x:c r="B3318" s="18" t="n">
        <x:v>46269</x:v>
      </x:c>
      <x:c r="C3318" s="17" t="str">
        <x:v>W0231</x:v>
      </x:c>
      <x:c r="D3318" s="17" t="str">
        <x:v>C004</x:v>
      </x:c>
      <x:c r="E3318" s="17" t="str">
        <x:v>DataFlow</x:v>
      </x:c>
      <x:c r="F3318" s="17" t="str">
        <x:v>Pro</x:v>
      </x:c>
      <x:c r="G3318" s="17" t="n">
        <x:v>27862</x:v>
      </x:c>
      <x:c r="H3318" s="17" t="n">
        <x:v>5341</x:v>
      </x:c>
      <x:c r="I3318" s="17" t="str">
        <x:v>Followup</x:v>
      </x:c>
      <x:c r="J3318" s="27" t="n">
        <x:f>INDEX('Model Pricing'!$B$7:$B$8,MATCH(F3318,'Model Pricing'!$A$7:$A$8,0))</x:f>
        <x:v>40</x:v>
      </x:c>
      <x:c r="K3318" s="27" t="n">
        <x:f>INDEX('Model Pricing'!$C$7:$C$8,MATCH(F3318,'Model Pricing'!$A$7:$A$8,0))</x:f>
        <x:v>100</x:v>
      </x:c>
      <x:c r="L3318" s="17" t="n">
        <x:f>G3318+H3318</x:f>
        <x:v>33203</x:v>
      </x:c>
      <x:c r="M3318" s="28" t="n">
        <x:f>G3318*J3318/1000000</x:f>
        <x:v>1.11448</x:v>
      </x:c>
      <x:c r="N3318" s="28" t="n">
        <x:f>H3318*K3318/1000000</x:f>
        <x:v>0.5341</x:v>
      </x:c>
      <x:c r="O3318" s="28" t="n">
        <x:f>SUM(M3318:N3318)</x:f>
        <x:v>1.64858</x:v>
      </x:c>
    </x:row>
    <x:row r="3319" ht="23" customHeight="1">
      <x:c r="A3319" s="17" t="str">
        <x:v>U03313</x:v>
      </x:c>
      <x:c r="B3319" s="18" t="n">
        <x:v>46269</x:v>
      </x:c>
      <x:c r="C3319" s="17" t="str">
        <x:v>W0231</x:v>
      </x:c>
      <x:c r="D3319" s="17" t="str">
        <x:v>C004</x:v>
      </x:c>
      <x:c r="E3319" s="17" t="str">
        <x:v>DataFlow</x:v>
      </x:c>
      <x:c r="F3319" s="17" t="str">
        <x:v>Pro</x:v>
      </x:c>
      <x:c r="G3319" s="17" t="n">
        <x:v>12616</x:v>
      </x:c>
      <x:c r="H3319" s="17" t="n">
        <x:v>10943</x:v>
      </x:c>
      <x:c r="I3319" s="17" t="str">
        <x:v>Followup</x:v>
      </x:c>
      <x:c r="J3319" s="27" t="n">
        <x:f>INDEX('Model Pricing'!$B$7:$B$8,MATCH(F3319,'Model Pricing'!$A$7:$A$8,0))</x:f>
        <x:v>40</x:v>
      </x:c>
      <x:c r="K3319" s="27" t="n">
        <x:f>INDEX('Model Pricing'!$C$7:$C$8,MATCH(F3319,'Model Pricing'!$A$7:$A$8,0))</x:f>
        <x:v>100</x:v>
      </x:c>
      <x:c r="L3319" s="17" t="n">
        <x:f>G3319+H3319</x:f>
        <x:v>23559</x:v>
      </x:c>
      <x:c r="M3319" s="28" t="n">
        <x:f>G3319*J3319/1000000</x:f>
        <x:v>0.50464</x:v>
      </x:c>
      <x:c r="N3319" s="28" t="n">
        <x:f>H3319*K3319/1000000</x:f>
        <x:v>1.0943</x:v>
      </x:c>
      <x:c r="O3319" s="28" t="n">
        <x:f>SUM(M3319:N3319)</x:f>
        <x:v>1.59894</x:v>
      </x:c>
    </x:row>
    <x:row r="3320" ht="23" customHeight="1">
      <x:c r="A3320" s="17" t="str">
        <x:v>U03314</x:v>
      </x:c>
      <x:c r="B3320" s="18" t="n">
        <x:v>46273</x:v>
      </x:c>
      <x:c r="C3320" s="17" t="str">
        <x:v>W0231</x:v>
      </x:c>
      <x:c r="D3320" s="17" t="str">
        <x:v>C004</x:v>
      </x:c>
      <x:c r="E3320" s="17" t="str">
        <x:v>DataFlow</x:v>
      </x:c>
      <x:c r="F3320" s="17" t="str">
        <x:v>Pro</x:v>
      </x:c>
      <x:c r="G3320" s="17" t="n">
        <x:v>33695</x:v>
      </x:c>
      <x:c r="H3320" s="17" t="n">
        <x:v>11722</x:v>
      </x:c>
      <x:c r="I3320" s="17" t="str">
        <x:v>Followup</x:v>
      </x:c>
      <x:c r="J3320" s="27" t="n">
        <x:f>INDEX('Model Pricing'!$B$7:$B$8,MATCH(F3320,'Model Pricing'!$A$7:$A$8,0))</x:f>
        <x:v>40</x:v>
      </x:c>
      <x:c r="K3320" s="27" t="n">
        <x:f>INDEX('Model Pricing'!$C$7:$C$8,MATCH(F3320,'Model Pricing'!$A$7:$A$8,0))</x:f>
        <x:v>100</x:v>
      </x:c>
      <x:c r="L3320" s="17" t="n">
        <x:f>G3320+H3320</x:f>
        <x:v>45417</x:v>
      </x:c>
      <x:c r="M3320" s="28" t="n">
        <x:f>G3320*J3320/1000000</x:f>
        <x:v>1.3478</x:v>
      </x:c>
      <x:c r="N3320" s="28" t="n">
        <x:f>H3320*K3320/1000000</x:f>
        <x:v>1.1722</x:v>
      </x:c>
      <x:c r="O3320" s="28" t="n">
        <x:f>SUM(M3320:N3320)</x:f>
        <x:v>2.52</x:v>
      </x:c>
    </x:row>
    <x:row r="3321" ht="23" customHeight="1">
      <x:c r="A3321" s="17" t="str">
        <x:v>U03315</x:v>
      </x:c>
      <x:c r="B3321" s="18" t="n">
        <x:v>46273</x:v>
      </x:c>
      <x:c r="C3321" s="17" t="str">
        <x:v>W0231</x:v>
      </x:c>
      <x:c r="D3321" s="17" t="str">
        <x:v>C004</x:v>
      </x:c>
      <x:c r="E3321" s="17" t="str">
        <x:v>DataFlow</x:v>
      </x:c>
      <x:c r="F3321" s="17" t="str">
        <x:v>Pro</x:v>
      </x:c>
      <x:c r="G3321" s="17" t="n">
        <x:v>24137</x:v>
      </x:c>
      <x:c r="H3321" s="17" t="n">
        <x:v>11619</x:v>
      </x:c>
      <x:c r="I3321" s="17" t="str">
        <x:v>Followup</x:v>
      </x:c>
      <x:c r="J3321" s="27" t="n">
        <x:f>INDEX('Model Pricing'!$B$7:$B$8,MATCH(F3321,'Model Pricing'!$A$7:$A$8,0))</x:f>
        <x:v>40</x:v>
      </x:c>
      <x:c r="K3321" s="27" t="n">
        <x:f>INDEX('Model Pricing'!$C$7:$C$8,MATCH(F3321,'Model Pricing'!$A$7:$A$8,0))</x:f>
        <x:v>100</x:v>
      </x:c>
      <x:c r="L3321" s="17" t="n">
        <x:f>G3321+H3321</x:f>
        <x:v>35756</x:v>
      </x:c>
      <x:c r="M3321" s="28" t="n">
        <x:f>G3321*J3321/1000000</x:f>
        <x:v>0.96548</x:v>
      </x:c>
      <x:c r="N3321" s="28" t="n">
        <x:f>H3321*K3321/1000000</x:f>
        <x:v>1.1619</x:v>
      </x:c>
      <x:c r="O3321" s="28" t="n">
        <x:f>SUM(M3321:N3321)</x:f>
        <x:v>2.12738</x:v>
      </x:c>
    </x:row>
    <x:row r="3322" ht="23" customHeight="1">
      <x:c r="A3322" s="17" t="str">
        <x:v>U03316</x:v>
      </x:c>
      <x:c r="B3322" s="18" t="n">
        <x:v>46273</x:v>
      </x:c>
      <x:c r="C3322" s="17" t="str">
        <x:v>W0231</x:v>
      </x:c>
      <x:c r="D3322" s="17" t="str">
        <x:v>C004</x:v>
      </x:c>
      <x:c r="E3322" s="17" t="str">
        <x:v>DataFlow</x:v>
      </x:c>
      <x:c r="F3322" s="17" t="str">
        <x:v>Pro</x:v>
      </x:c>
      <x:c r="G3322" s="17" t="n">
        <x:v>11664</x:v>
      </x:c>
      <x:c r="H3322" s="17" t="n">
        <x:v>8270</x:v>
      </x:c>
      <x:c r="I3322" s="17" t="str">
        <x:v>Correction</x:v>
      </x:c>
      <x:c r="J3322" s="27" t="n">
        <x:f>INDEX('Model Pricing'!$B$7:$B$8,MATCH(F3322,'Model Pricing'!$A$7:$A$8,0))</x:f>
        <x:v>40</x:v>
      </x:c>
      <x:c r="K3322" s="27" t="n">
        <x:f>INDEX('Model Pricing'!$C$7:$C$8,MATCH(F3322,'Model Pricing'!$A$7:$A$8,0))</x:f>
        <x:v>100</x:v>
      </x:c>
      <x:c r="L3322" s="17" t="n">
        <x:f>G3322+H3322</x:f>
        <x:v>19934</x:v>
      </x:c>
      <x:c r="M3322" s="28" t="n">
        <x:f>G3322*J3322/1000000</x:f>
        <x:v>0.46656</x:v>
      </x:c>
      <x:c r="N3322" s="28" t="n">
        <x:f>H3322*K3322/1000000</x:f>
        <x:v>0.827</x:v>
      </x:c>
      <x:c r="O3322" s="28" t="n">
        <x:f>SUM(M3322:N3322)</x:f>
        <x:v>1.2935599999999998</x:v>
      </x:c>
    </x:row>
    <x:row r="3323" ht="23" customHeight="1">
      <x:c r="A3323" s="17" t="str">
        <x:v>U03317</x:v>
      </x:c>
      <x:c r="B3323" s="18" t="n">
        <x:v>46274</x:v>
      </x:c>
      <x:c r="C3323" s="17" t="str">
        <x:v>W0231</x:v>
      </x:c>
      <x:c r="D3323" s="17" t="str">
        <x:v>C004</x:v>
      </x:c>
      <x:c r="E3323" s="17" t="str">
        <x:v>DataFlow</x:v>
      </x:c>
      <x:c r="F3323" s="17" t="str">
        <x:v>Pro</x:v>
      </x:c>
      <x:c r="G3323" s="17" t="n">
        <x:v>29999</x:v>
      </x:c>
      <x:c r="H3323" s="17" t="n">
        <x:v>5173</x:v>
      </x:c>
      <x:c r="I3323" s="17" t="str">
        <x:v>Followup</x:v>
      </x:c>
      <x:c r="J3323" s="27" t="n">
        <x:f>INDEX('Model Pricing'!$B$7:$B$8,MATCH(F3323,'Model Pricing'!$A$7:$A$8,0))</x:f>
        <x:v>40</x:v>
      </x:c>
      <x:c r="K3323" s="27" t="n">
        <x:f>INDEX('Model Pricing'!$C$7:$C$8,MATCH(F3323,'Model Pricing'!$A$7:$A$8,0))</x:f>
        <x:v>100</x:v>
      </x:c>
      <x:c r="L3323" s="17" t="n">
        <x:f>G3323+H3323</x:f>
        <x:v>35172</x:v>
      </x:c>
      <x:c r="M3323" s="28" t="n">
        <x:f>G3323*J3323/1000000</x:f>
        <x:v>1.19996</x:v>
      </x:c>
      <x:c r="N3323" s="28" t="n">
        <x:f>H3323*K3323/1000000</x:f>
        <x:v>0.5173</x:v>
      </x:c>
      <x:c r="O3323" s="28" t="n">
        <x:f>SUM(M3323:N3323)</x:f>
        <x:v>1.71726</x:v>
      </x:c>
    </x:row>
    <x:row r="3324" ht="23" customHeight="1">
      <x:c r="A3324" s="17" t="str">
        <x:v>U03318</x:v>
      </x:c>
      <x:c r="B3324" s="18" t="n">
        <x:v>46274</x:v>
      </x:c>
      <x:c r="C3324" s="17" t="str">
        <x:v>W0231</x:v>
      </x:c>
      <x:c r="D3324" s="17" t="str">
        <x:v>C004</x:v>
      </x:c>
      <x:c r="E3324" s="17" t="str">
        <x:v>DataFlow</x:v>
      </x:c>
      <x:c r="F3324" s="17" t="str">
        <x:v>Pro</x:v>
      </x:c>
      <x:c r="G3324" s="17" t="n">
        <x:v>17385</x:v>
      </x:c>
      <x:c r="H3324" s="17" t="n">
        <x:v>7974</x:v>
      </x:c>
      <x:c r="I3324" s="17" t="str">
        <x:v>Correction</x:v>
      </x:c>
      <x:c r="J3324" s="27" t="n">
        <x:f>INDEX('Model Pricing'!$B$7:$B$8,MATCH(F3324,'Model Pricing'!$A$7:$A$8,0))</x:f>
        <x:v>40</x:v>
      </x:c>
      <x:c r="K3324" s="27" t="n">
        <x:f>INDEX('Model Pricing'!$C$7:$C$8,MATCH(F3324,'Model Pricing'!$A$7:$A$8,0))</x:f>
        <x:v>100</x:v>
      </x:c>
      <x:c r="L3324" s="17" t="n">
        <x:f>G3324+H3324</x:f>
        <x:v>25359</x:v>
      </x:c>
      <x:c r="M3324" s="28" t="n">
        <x:f>G3324*J3324/1000000</x:f>
        <x:v>0.6954</x:v>
      </x:c>
      <x:c r="N3324" s="28" t="n">
        <x:f>H3324*K3324/1000000</x:f>
        <x:v>0.7974</x:v>
      </x:c>
      <x:c r="O3324" s="28" t="n">
        <x:f>SUM(M3324:N3324)</x:f>
        <x:v>1.4928</x:v>
      </x:c>
    </x:row>
    <x:row r="3325" ht="23" customHeight="1">
      <x:c r="A3325" s="17" t="str">
        <x:v>U03319</x:v>
      </x:c>
      <x:c r="B3325" s="18" t="n">
        <x:v>46289</x:v>
      </x:c>
      <x:c r="C3325" s="17" t="str">
        <x:v>W0233</x:v>
      </x:c>
      <x:c r="D3325" s="17" t="str">
        <x:v>C004</x:v>
      </x:c>
      <x:c r="E3325" s="17" t="str">
        <x:v>InsightDesk</x:v>
      </x:c>
      <x:c r="F3325" s="17" t="str">
        <x:v>Pro</x:v>
      </x:c>
      <x:c r="G3325" s="17" t="n">
        <x:v>15818</x:v>
      </x:c>
      <x:c r="H3325" s="17" t="n">
        <x:v>7122</x:v>
      </x:c>
      <x:c r="I3325" s="17" t="str">
        <x:v>First attempt</x:v>
      </x:c>
      <x:c r="J3325" s="27" t="n">
        <x:f>INDEX('Model Pricing'!$B$7:$B$8,MATCH(F3325,'Model Pricing'!$A$7:$A$8,0))</x:f>
        <x:v>40</x:v>
      </x:c>
      <x:c r="K3325" s="27" t="n">
        <x:f>INDEX('Model Pricing'!$C$7:$C$8,MATCH(F3325,'Model Pricing'!$A$7:$A$8,0))</x:f>
        <x:v>100</x:v>
      </x:c>
      <x:c r="L3325" s="17" t="n">
        <x:f>G3325+H3325</x:f>
        <x:v>22940</x:v>
      </x:c>
      <x:c r="M3325" s="28" t="n">
        <x:f>G3325*J3325/1000000</x:f>
        <x:v>0.63272</x:v>
      </x:c>
      <x:c r="N3325" s="28" t="n">
        <x:f>H3325*K3325/1000000</x:f>
        <x:v>0.7122</x:v>
      </x:c>
      <x:c r="O3325" s="28" t="n">
        <x:f>SUM(M3325:N3325)</x:f>
        <x:v>1.3449200000000001</x:v>
      </x:c>
    </x:row>
    <x:row r="3326" ht="23" customHeight="1">
      <x:c r="A3326" s="17" t="str">
        <x:v>U03320</x:v>
      </x:c>
      <x:c r="B3326" s="18" t="n">
        <x:v>46289</x:v>
      </x:c>
      <x:c r="C3326" s="17" t="str">
        <x:v>W0233</x:v>
      </x:c>
      <x:c r="D3326" s="17" t="str">
        <x:v>C004</x:v>
      </x:c>
      <x:c r="E3326" s="17" t="str">
        <x:v>InsightDesk</x:v>
      </x:c>
      <x:c r="F3326" s="17" t="str">
        <x:v>Pro</x:v>
      </x:c>
      <x:c r="G3326" s="17" t="n">
        <x:v>13137</x:v>
      </x:c>
      <x:c r="H3326" s="17" t="n">
        <x:v>8785</x:v>
      </x:c>
      <x:c r="I3326" s="17" t="str">
        <x:v>Correction</x:v>
      </x:c>
      <x:c r="J3326" s="27" t="n">
        <x:f>INDEX('Model Pricing'!$B$7:$B$8,MATCH(F3326,'Model Pricing'!$A$7:$A$8,0))</x:f>
        <x:v>40</x:v>
      </x:c>
      <x:c r="K3326" s="27" t="n">
        <x:f>INDEX('Model Pricing'!$C$7:$C$8,MATCH(F3326,'Model Pricing'!$A$7:$A$8,0))</x:f>
        <x:v>100</x:v>
      </x:c>
      <x:c r="L3326" s="17" t="n">
        <x:f>G3326+H3326</x:f>
        <x:v>21922</x:v>
      </x:c>
      <x:c r="M3326" s="28" t="n">
        <x:f>G3326*J3326/1000000</x:f>
        <x:v>0.52548</x:v>
      </x:c>
      <x:c r="N3326" s="28" t="n">
        <x:f>H3326*K3326/1000000</x:f>
        <x:v>0.8785</x:v>
      </x:c>
      <x:c r="O3326" s="28" t="n">
        <x:f>SUM(M3326:N3326)</x:f>
        <x:v>1.4039799999999998</x:v>
      </x:c>
    </x:row>
    <x:row r="3327" ht="23" customHeight="1">
      <x:c r="A3327" s="17" t="str">
        <x:v>U03321</x:v>
      </x:c>
      <x:c r="B3327" s="18" t="n">
        <x:v>46289</x:v>
      </x:c>
      <x:c r="C3327" s="17" t="str">
        <x:v>W0233</x:v>
      </x:c>
      <x:c r="D3327" s="17" t="str">
        <x:v>C004</x:v>
      </x:c>
      <x:c r="E3327" s="17" t="str">
        <x:v>InsightDesk</x:v>
      </x:c>
      <x:c r="F3327" s="17" t="str">
        <x:v>Pro</x:v>
      </x:c>
      <x:c r="G3327" s="17" t="n">
        <x:v>9729</x:v>
      </x:c>
      <x:c r="H3327" s="17" t="n">
        <x:v>5789</x:v>
      </x:c>
      <x:c r="I3327" s="17" t="str">
        <x:v>Followup</x:v>
      </x:c>
      <x:c r="J3327" s="27" t="n">
        <x:f>INDEX('Model Pricing'!$B$7:$B$8,MATCH(F3327,'Model Pricing'!$A$7:$A$8,0))</x:f>
        <x:v>40</x:v>
      </x:c>
      <x:c r="K3327" s="27" t="n">
        <x:f>INDEX('Model Pricing'!$C$7:$C$8,MATCH(F3327,'Model Pricing'!$A$7:$A$8,0))</x:f>
        <x:v>100</x:v>
      </x:c>
      <x:c r="L3327" s="17" t="n">
        <x:f>G3327+H3327</x:f>
        <x:v>15518</x:v>
      </x:c>
      <x:c r="M3327" s="28" t="n">
        <x:f>G3327*J3327/1000000</x:f>
        <x:v>0.38916</x:v>
      </x:c>
      <x:c r="N3327" s="28" t="n">
        <x:f>H3327*K3327/1000000</x:f>
        <x:v>0.5789</x:v>
      </x:c>
      <x:c r="O3327" s="28" t="n">
        <x:f>SUM(M3327:N3327)</x:f>
        <x:v>0.9680599999999999</x:v>
      </x:c>
    </x:row>
    <x:row r="3328" ht="23" customHeight="1">
      <x:c r="A3328" s="17" t="str">
        <x:v>U03322</x:v>
      </x:c>
      <x:c r="B3328" s="18" t="n">
        <x:v>46290</x:v>
      </x:c>
      <x:c r="C3328" s="17" t="str">
        <x:v>W0233</x:v>
      </x:c>
      <x:c r="D3328" s="17" t="str">
        <x:v>C004</x:v>
      </x:c>
      <x:c r="E3328" s="17" t="str">
        <x:v>InsightDesk</x:v>
      </x:c>
      <x:c r="F3328" s="17" t="str">
        <x:v>Pro</x:v>
      </x:c>
      <x:c r="G3328" s="17" t="n">
        <x:v>14359</x:v>
      </x:c>
      <x:c r="H3328" s="17" t="n">
        <x:v>6186</x:v>
      </x:c>
      <x:c r="I3328" s="17" t="str">
        <x:v>Followup</x:v>
      </x:c>
      <x:c r="J3328" s="27" t="n">
        <x:f>INDEX('Model Pricing'!$B$7:$B$8,MATCH(F3328,'Model Pricing'!$A$7:$A$8,0))</x:f>
        <x:v>40</x:v>
      </x:c>
      <x:c r="K3328" s="27" t="n">
        <x:f>INDEX('Model Pricing'!$C$7:$C$8,MATCH(F3328,'Model Pricing'!$A$7:$A$8,0))</x:f>
        <x:v>100</x:v>
      </x:c>
      <x:c r="L3328" s="17" t="n">
        <x:f>G3328+H3328</x:f>
        <x:v>20545</x:v>
      </x:c>
      <x:c r="M3328" s="28" t="n">
        <x:f>G3328*J3328/1000000</x:f>
        <x:v>0.57436</x:v>
      </x:c>
      <x:c r="N3328" s="28" t="n">
        <x:f>H3328*K3328/1000000</x:f>
        <x:v>0.6186</x:v>
      </x:c>
      <x:c r="O3328" s="28" t="n">
        <x:f>SUM(M3328:N3328)</x:f>
        <x:v>1.19296</x:v>
      </x:c>
    </x:row>
    <x:row r="3329" ht="23" customHeight="1">
      <x:c r="A3329" s="17" t="str">
        <x:v>U03323</x:v>
      </x:c>
      <x:c r="B3329" s="18" t="n">
        <x:v>46290</x:v>
      </x:c>
      <x:c r="C3329" s="17" t="str">
        <x:v>W0233</x:v>
      </x:c>
      <x:c r="D3329" s="17" t="str">
        <x:v>C004</x:v>
      </x:c>
      <x:c r="E3329" s="17" t="str">
        <x:v>InsightDesk</x:v>
      </x:c>
      <x:c r="F3329" s="17" t="str">
        <x:v>Pro</x:v>
      </x:c>
      <x:c r="G3329" s="17" t="n">
        <x:v>12289</x:v>
      </x:c>
      <x:c r="H3329" s="17" t="n">
        <x:v>5143</x:v>
      </x:c>
      <x:c r="I3329" s="17" t="str">
        <x:v>Followup</x:v>
      </x:c>
      <x:c r="J3329" s="27" t="n">
        <x:f>INDEX('Model Pricing'!$B$7:$B$8,MATCH(F3329,'Model Pricing'!$A$7:$A$8,0))</x:f>
        <x:v>40</x:v>
      </x:c>
      <x:c r="K3329" s="27" t="n">
        <x:f>INDEX('Model Pricing'!$C$7:$C$8,MATCH(F3329,'Model Pricing'!$A$7:$A$8,0))</x:f>
        <x:v>100</x:v>
      </x:c>
      <x:c r="L3329" s="17" t="n">
        <x:f>G3329+H3329</x:f>
        <x:v>17432</x:v>
      </x:c>
      <x:c r="M3329" s="28" t="n">
        <x:f>G3329*J3329/1000000</x:f>
        <x:v>0.49156</x:v>
      </x:c>
      <x:c r="N3329" s="28" t="n">
        <x:f>H3329*K3329/1000000</x:f>
        <x:v>0.5143</x:v>
      </x:c>
      <x:c r="O3329" s="28" t="n">
        <x:f>SUM(M3329:N3329)</x:f>
        <x:v>1.00586</x:v>
      </x:c>
    </x:row>
    <x:row r="3330" ht="23" customHeight="1">
      <x:c r="A3330" s="17" t="str">
        <x:v>U03324</x:v>
      </x:c>
      <x:c r="B3330" s="18" t="n">
        <x:v>46290</x:v>
      </x:c>
      <x:c r="C3330" s="17" t="str">
        <x:v>W0233</x:v>
      </x:c>
      <x:c r="D3330" s="17" t="str">
        <x:v>C004</x:v>
      </x:c>
      <x:c r="E3330" s="17" t="str">
        <x:v>InsightDesk</x:v>
      </x:c>
      <x:c r="F3330" s="17" t="str">
        <x:v>Pro</x:v>
      </x:c>
      <x:c r="G3330" s="17" t="n">
        <x:v>11857</x:v>
      </x:c>
      <x:c r="H3330" s="17" t="n">
        <x:v>8289</x:v>
      </x:c>
      <x:c r="I3330" s="17" t="str">
        <x:v>Followup</x:v>
      </x:c>
      <x:c r="J3330" s="27" t="n">
        <x:f>INDEX('Model Pricing'!$B$7:$B$8,MATCH(F3330,'Model Pricing'!$A$7:$A$8,0))</x:f>
        <x:v>40</x:v>
      </x:c>
      <x:c r="K3330" s="27" t="n">
        <x:f>INDEX('Model Pricing'!$C$7:$C$8,MATCH(F3330,'Model Pricing'!$A$7:$A$8,0))</x:f>
        <x:v>100</x:v>
      </x:c>
      <x:c r="L3330" s="17" t="n">
        <x:f>G3330+H3330</x:f>
        <x:v>20146</x:v>
      </x:c>
      <x:c r="M3330" s="28" t="n">
        <x:f>G3330*J3330/1000000</x:f>
        <x:v>0.47428</x:v>
      </x:c>
      <x:c r="N3330" s="28" t="n">
        <x:f>H3330*K3330/1000000</x:f>
        <x:v>0.8289</x:v>
      </x:c>
      <x:c r="O3330" s="28" t="n">
        <x:f>SUM(M3330:N3330)</x:f>
        <x:v>1.30318</x:v>
      </x:c>
    </x:row>
    <x:row r="3331" ht="23" customHeight="1">
      <x:c r="A3331" s="17" t="str">
        <x:v>U03325</x:v>
      </x:c>
      <x:c r="B3331" s="18" t="n">
        <x:v>46293</x:v>
      </x:c>
      <x:c r="C3331" s="17" t="str">
        <x:v>W0233</x:v>
      </x:c>
      <x:c r="D3331" s="17" t="str">
        <x:v>C004</x:v>
      </x:c>
      <x:c r="E3331" s="17" t="str">
        <x:v>InsightDesk</x:v>
      </x:c>
      <x:c r="F3331" s="17" t="str">
        <x:v>Pro</x:v>
      </x:c>
      <x:c r="G3331" s="17" t="n">
        <x:v>13393</x:v>
      </x:c>
      <x:c r="H3331" s="17" t="n">
        <x:v>7083</x:v>
      </x:c>
      <x:c r="I3331" s="17" t="str">
        <x:v>Followup</x:v>
      </x:c>
      <x:c r="J3331" s="27" t="n">
        <x:f>INDEX('Model Pricing'!$B$7:$B$8,MATCH(F3331,'Model Pricing'!$A$7:$A$8,0))</x:f>
        <x:v>40</x:v>
      </x:c>
      <x:c r="K3331" s="27" t="n">
        <x:f>INDEX('Model Pricing'!$C$7:$C$8,MATCH(F3331,'Model Pricing'!$A$7:$A$8,0))</x:f>
        <x:v>100</x:v>
      </x:c>
      <x:c r="L3331" s="17" t="n">
        <x:f>G3331+H3331</x:f>
        <x:v>20476</x:v>
      </x:c>
      <x:c r="M3331" s="28" t="n">
        <x:f>G3331*J3331/1000000</x:f>
        <x:v>0.53572</x:v>
      </x:c>
      <x:c r="N3331" s="28" t="n">
        <x:f>H3331*K3331/1000000</x:f>
        <x:v>0.7083</x:v>
      </x:c>
      <x:c r="O3331" s="28" t="n">
        <x:f>SUM(M3331:N3331)</x:f>
        <x:v>1.24402</x:v>
      </x:c>
    </x:row>
    <x:row r="3332" ht="23" customHeight="1">
      <x:c r="A3332" s="17" t="str">
        <x:v>U03326</x:v>
      </x:c>
      <x:c r="B3332" s="18" t="n">
        <x:v>46293</x:v>
      </x:c>
      <x:c r="C3332" s="17" t="str">
        <x:v>W0233</x:v>
      </x:c>
      <x:c r="D3332" s="17" t="str">
        <x:v>C004</x:v>
      </x:c>
      <x:c r="E3332" s="17" t="str">
        <x:v>InsightDesk</x:v>
      </x:c>
      <x:c r="F3332" s="17" t="str">
        <x:v>Pro</x:v>
      </x:c>
      <x:c r="G3332" s="17" t="n">
        <x:v>16503</x:v>
      </x:c>
      <x:c r="H3332" s="17" t="n">
        <x:v>8442</x:v>
      </x:c>
      <x:c r="I3332" s="17" t="str">
        <x:v>Followup</x:v>
      </x:c>
      <x:c r="J3332" s="27" t="n">
        <x:f>INDEX('Model Pricing'!$B$7:$B$8,MATCH(F3332,'Model Pricing'!$A$7:$A$8,0))</x:f>
        <x:v>40</x:v>
      </x:c>
      <x:c r="K3332" s="27" t="n">
        <x:f>INDEX('Model Pricing'!$C$7:$C$8,MATCH(F3332,'Model Pricing'!$A$7:$A$8,0))</x:f>
        <x:v>100</x:v>
      </x:c>
      <x:c r="L3332" s="17" t="n">
        <x:f>G3332+H3332</x:f>
        <x:v>24945</x:v>
      </x:c>
      <x:c r="M3332" s="28" t="n">
        <x:f>G3332*J3332/1000000</x:f>
        <x:v>0.66012</x:v>
      </x:c>
      <x:c r="N3332" s="28" t="n">
        <x:f>H3332*K3332/1000000</x:f>
        <x:v>0.8442</x:v>
      </x:c>
      <x:c r="O3332" s="28" t="n">
        <x:f>SUM(M3332:N3332)</x:f>
        <x:v>1.5043199999999999</x:v>
      </x:c>
    </x:row>
    <x:row r="3333" ht="23" customHeight="1">
      <x:c r="A3333" s="17" t="str">
        <x:v>U03327</x:v>
      </x:c>
      <x:c r="B3333" s="18" t="n">
        <x:v>46293</x:v>
      </x:c>
      <x:c r="C3333" s="17" t="str">
        <x:v>W0233</x:v>
      </x:c>
      <x:c r="D3333" s="17" t="str">
        <x:v>C004</x:v>
      </x:c>
      <x:c r="E3333" s="17" t="str">
        <x:v>InsightDesk</x:v>
      </x:c>
      <x:c r="F3333" s="17" t="str">
        <x:v>Pro</x:v>
      </x:c>
      <x:c r="G3333" s="17" t="n">
        <x:v>8905</x:v>
      </x:c>
      <x:c r="H3333" s="17" t="n">
        <x:v>3690</x:v>
      </x:c>
      <x:c r="I3333" s="17" t="str">
        <x:v>Correction</x:v>
      </x:c>
      <x:c r="J3333" s="27" t="n">
        <x:f>INDEX('Model Pricing'!$B$7:$B$8,MATCH(F3333,'Model Pricing'!$A$7:$A$8,0))</x:f>
        <x:v>40</x:v>
      </x:c>
      <x:c r="K3333" s="27" t="n">
        <x:f>INDEX('Model Pricing'!$C$7:$C$8,MATCH(F3333,'Model Pricing'!$A$7:$A$8,0))</x:f>
        <x:v>100</x:v>
      </x:c>
      <x:c r="L3333" s="17" t="n">
        <x:f>G3333+H3333</x:f>
        <x:v>12595</x:v>
      </x:c>
      <x:c r="M3333" s="28" t="n">
        <x:f>G3333*J3333/1000000</x:f>
        <x:v>0.3562</x:v>
      </x:c>
      <x:c r="N3333" s="28" t="n">
        <x:f>H3333*K3333/1000000</x:f>
        <x:v>0.369</x:v>
      </x:c>
      <x:c r="O3333" s="28" t="n">
        <x:f>SUM(M3333:N3333)</x:f>
        <x:v>0.7252000000000001</x:v>
      </x:c>
    </x:row>
    <x:row r="3334" ht="23" customHeight="1">
      <x:c r="A3334" s="17" t="str">
        <x:v>U03328</x:v>
      </x:c>
      <x:c r="B3334" s="18" t="n">
        <x:v>46294</x:v>
      </x:c>
      <x:c r="C3334" s="17" t="str">
        <x:v>W0233</x:v>
      </x:c>
      <x:c r="D3334" s="17" t="str">
        <x:v>C004</x:v>
      </x:c>
      <x:c r="E3334" s="17" t="str">
        <x:v>InsightDesk</x:v>
      </x:c>
      <x:c r="F3334" s="17" t="str">
        <x:v>Pro</x:v>
      </x:c>
      <x:c r="G3334" s="17" t="n">
        <x:v>18112</x:v>
      </x:c>
      <x:c r="H3334" s="17" t="n">
        <x:v>5676</x:v>
      </x:c>
      <x:c r="I3334" s="17" t="str">
        <x:v>Followup</x:v>
      </x:c>
      <x:c r="J3334" s="27" t="n">
        <x:f>INDEX('Model Pricing'!$B$7:$B$8,MATCH(F3334,'Model Pricing'!$A$7:$A$8,0))</x:f>
        <x:v>40</x:v>
      </x:c>
      <x:c r="K3334" s="27" t="n">
        <x:f>INDEX('Model Pricing'!$C$7:$C$8,MATCH(F3334,'Model Pricing'!$A$7:$A$8,0))</x:f>
        <x:v>100</x:v>
      </x:c>
      <x:c r="L3334" s="17" t="n">
        <x:f>G3334+H3334</x:f>
        <x:v>23788</x:v>
      </x:c>
      <x:c r="M3334" s="28" t="n">
        <x:f>G3334*J3334/1000000</x:f>
        <x:v>0.72448</x:v>
      </x:c>
      <x:c r="N3334" s="28" t="n">
        <x:f>H3334*K3334/1000000</x:f>
        <x:v>0.5676</x:v>
      </x:c>
      <x:c r="O3334" s="28" t="n">
        <x:f>SUM(M3334:N3334)</x:f>
        <x:v>1.29208</x:v>
      </x:c>
    </x:row>
    <x:row r="3335" ht="23" customHeight="1">
      <x:c r="A3335" s="17" t="str">
        <x:v>U03329</x:v>
      </x:c>
      <x:c r="B3335" s="18" t="n">
        <x:v>46294</x:v>
      </x:c>
      <x:c r="C3335" s="17" t="str">
        <x:v>W0233</x:v>
      </x:c>
      <x:c r="D3335" s="17" t="str">
        <x:v>C004</x:v>
      </x:c>
      <x:c r="E3335" s="17" t="str">
        <x:v>InsightDesk</x:v>
      </x:c>
      <x:c r="F3335" s="17" t="str">
        <x:v>Pro</x:v>
      </x:c>
      <x:c r="G3335" s="17" t="n">
        <x:v>15417</x:v>
      </x:c>
      <x:c r="H3335" s="17" t="n">
        <x:v>4268</x:v>
      </x:c>
      <x:c r="I3335" s="17" t="str">
        <x:v>Followup</x:v>
      </x:c>
      <x:c r="J3335" s="27" t="n">
        <x:f>INDEX('Model Pricing'!$B$7:$B$8,MATCH(F3335,'Model Pricing'!$A$7:$A$8,0))</x:f>
        <x:v>40</x:v>
      </x:c>
      <x:c r="K3335" s="27" t="n">
        <x:f>INDEX('Model Pricing'!$C$7:$C$8,MATCH(F3335,'Model Pricing'!$A$7:$A$8,0))</x:f>
        <x:v>100</x:v>
      </x:c>
      <x:c r="L3335" s="17" t="n">
        <x:f>G3335+H3335</x:f>
        <x:v>19685</x:v>
      </x:c>
      <x:c r="M3335" s="28" t="n">
        <x:f>G3335*J3335/1000000</x:f>
        <x:v>0.61668</x:v>
      </x:c>
      <x:c r="N3335" s="28" t="n">
        <x:f>H3335*K3335/1000000</x:f>
        <x:v>0.4268</x:v>
      </x:c>
      <x:c r="O3335" s="28" t="n">
        <x:f>SUM(M3335:N3335)</x:f>
        <x:v>1.04348</x:v>
      </x:c>
    </x:row>
    <x:row r="3336" ht="23" customHeight="1">
      <x:c r="A3336" s="17" t="str">
        <x:v>U03330</x:v>
      </x:c>
      <x:c r="B3336" s="18" t="n">
        <x:v>46288</x:v>
      </x:c>
      <x:c r="C3336" s="17" t="str">
        <x:v>W0238</x:v>
      </x:c>
      <x:c r="D3336" s="17" t="str">
        <x:v>C004</x:v>
      </x:c>
      <x:c r="E3336" s="17" t="str">
        <x:v>DataFlow</x:v>
      </x:c>
      <x:c r="F3336" s="17" t="str">
        <x:v>Pro</x:v>
      </x:c>
      <x:c r="G3336" s="17" t="n">
        <x:v>21373</x:v>
      </x:c>
      <x:c r="H3336" s="17" t="n">
        <x:v>11760</x:v>
      </x:c>
      <x:c r="I3336" s="17" t="str">
        <x:v>First attempt</x:v>
      </x:c>
      <x:c r="J3336" s="27" t="n">
        <x:f>INDEX('Model Pricing'!$B$7:$B$8,MATCH(F3336,'Model Pricing'!$A$7:$A$8,0))</x:f>
        <x:v>40</x:v>
      </x:c>
      <x:c r="K3336" s="27" t="n">
        <x:f>INDEX('Model Pricing'!$C$7:$C$8,MATCH(F3336,'Model Pricing'!$A$7:$A$8,0))</x:f>
        <x:v>100</x:v>
      </x:c>
      <x:c r="L3336" s="17" t="n">
        <x:f>G3336+H3336</x:f>
        <x:v>33133</x:v>
      </x:c>
      <x:c r="M3336" s="28" t="n">
        <x:f>G3336*J3336/1000000</x:f>
        <x:v>0.85492</x:v>
      </x:c>
      <x:c r="N3336" s="28" t="n">
        <x:f>H3336*K3336/1000000</x:f>
        <x:v>1.176</x:v>
      </x:c>
      <x:c r="O3336" s="28" t="n">
        <x:f>SUM(M3336:N3336)</x:f>
        <x:v>2.03092</x:v>
      </x:c>
    </x:row>
    <x:row r="3337" ht="23" customHeight="1">
      <x:c r="A3337" s="17" t="str">
        <x:v>U03331</x:v>
      </x:c>
      <x:c r="B3337" s="18" t="n">
        <x:v>46288</x:v>
      </x:c>
      <x:c r="C3337" s="17" t="str">
        <x:v>W0238</x:v>
      </x:c>
      <x:c r="D3337" s="17" t="str">
        <x:v>C004</x:v>
      </x:c>
      <x:c r="E3337" s="17" t="str">
        <x:v>DataFlow</x:v>
      </x:c>
      <x:c r="F3337" s="17" t="str">
        <x:v>Pro</x:v>
      </x:c>
      <x:c r="G3337" s="17" t="n">
        <x:v>24582</x:v>
      </x:c>
      <x:c r="H3337" s="17" t="n">
        <x:v>9753</x:v>
      </x:c>
      <x:c r="I3337" s="17" t="str">
        <x:v>Followup</x:v>
      </x:c>
      <x:c r="J3337" s="27" t="n">
        <x:f>INDEX('Model Pricing'!$B$7:$B$8,MATCH(F3337,'Model Pricing'!$A$7:$A$8,0))</x:f>
        <x:v>40</x:v>
      </x:c>
      <x:c r="K3337" s="27" t="n">
        <x:f>INDEX('Model Pricing'!$C$7:$C$8,MATCH(F3337,'Model Pricing'!$A$7:$A$8,0))</x:f>
        <x:v>100</x:v>
      </x:c>
      <x:c r="L3337" s="17" t="n">
        <x:f>G3337+H3337</x:f>
        <x:v>34335</x:v>
      </x:c>
      <x:c r="M3337" s="28" t="n">
        <x:f>G3337*J3337/1000000</x:f>
        <x:v>0.98328</x:v>
      </x:c>
      <x:c r="N3337" s="28" t="n">
        <x:f>H3337*K3337/1000000</x:f>
        <x:v>0.9753</x:v>
      </x:c>
      <x:c r="O3337" s="28" t="n">
        <x:f>SUM(M3337:N3337)</x:f>
        <x:v>1.95858</x:v>
      </x:c>
    </x:row>
    <x:row r="3338" ht="23" customHeight="1">
      <x:c r="A3338" s="17" t="str">
        <x:v>U03332</x:v>
      </x:c>
      <x:c r="B3338" s="18" t="n">
        <x:v>46288</x:v>
      </x:c>
      <x:c r="C3338" s="17" t="str">
        <x:v>W0238</x:v>
      </x:c>
      <x:c r="D3338" s="17" t="str">
        <x:v>C004</x:v>
      </x:c>
      <x:c r="E3338" s="17" t="str">
        <x:v>DataFlow</x:v>
      </x:c>
      <x:c r="F3338" s="17" t="str">
        <x:v>Pro</x:v>
      </x:c>
      <x:c r="G3338" s="17" t="n">
        <x:v>16912</x:v>
      </x:c>
      <x:c r="H3338" s="17" t="n">
        <x:v>12010</x:v>
      </x:c>
      <x:c r="I3338" s="17" t="str">
        <x:v>Followup</x:v>
      </x:c>
      <x:c r="J3338" s="27" t="n">
        <x:f>INDEX('Model Pricing'!$B$7:$B$8,MATCH(F3338,'Model Pricing'!$A$7:$A$8,0))</x:f>
        <x:v>40</x:v>
      </x:c>
      <x:c r="K3338" s="27" t="n">
        <x:f>INDEX('Model Pricing'!$C$7:$C$8,MATCH(F3338,'Model Pricing'!$A$7:$A$8,0))</x:f>
        <x:v>100</x:v>
      </x:c>
      <x:c r="L3338" s="17" t="n">
        <x:f>G3338+H3338</x:f>
        <x:v>28922</x:v>
      </x:c>
      <x:c r="M3338" s="28" t="n">
        <x:f>G3338*J3338/1000000</x:f>
        <x:v>0.67648</x:v>
      </x:c>
      <x:c r="N3338" s="28" t="n">
        <x:f>H3338*K3338/1000000</x:f>
        <x:v>1.201</x:v>
      </x:c>
      <x:c r="O3338" s="28" t="n">
        <x:f>SUM(M3338:N3338)</x:f>
        <x:v>1.87748</x:v>
      </x:c>
    </x:row>
    <x:row r="3339" ht="23" customHeight="1">
      <x:c r="A3339" s="17" t="str">
        <x:v>U03333</x:v>
      </x:c>
      <x:c r="B3339" s="18" t="n">
        <x:v>46288</x:v>
      </x:c>
      <x:c r="C3339" s="17" t="str">
        <x:v>W0238</x:v>
      </x:c>
      <x:c r="D3339" s="17" t="str">
        <x:v>C004</x:v>
      </x:c>
      <x:c r="E3339" s="17" t="str">
        <x:v>DataFlow</x:v>
      </x:c>
      <x:c r="F3339" s="17" t="str">
        <x:v>Pro</x:v>
      </x:c>
      <x:c r="G3339" s="17" t="n">
        <x:v>13725</x:v>
      </x:c>
      <x:c r="H3339" s="17" t="n">
        <x:v>13922</x:v>
      </x:c>
      <x:c r="I3339" s="17" t="str">
        <x:v>Followup</x:v>
      </x:c>
      <x:c r="J3339" s="27" t="n">
        <x:f>INDEX('Model Pricing'!$B$7:$B$8,MATCH(F3339,'Model Pricing'!$A$7:$A$8,0))</x:f>
        <x:v>40</x:v>
      </x:c>
      <x:c r="K3339" s="27" t="n">
        <x:f>INDEX('Model Pricing'!$C$7:$C$8,MATCH(F3339,'Model Pricing'!$A$7:$A$8,0))</x:f>
        <x:v>100</x:v>
      </x:c>
      <x:c r="L3339" s="17" t="n">
        <x:f>G3339+H3339</x:f>
        <x:v>27647</x:v>
      </x:c>
      <x:c r="M3339" s="28" t="n">
        <x:f>G3339*J3339/1000000</x:f>
        <x:v>0.549</x:v>
      </x:c>
      <x:c r="N3339" s="28" t="n">
        <x:f>H3339*K3339/1000000</x:f>
        <x:v>1.3922</x:v>
      </x:c>
      <x:c r="O3339" s="28" t="n">
        <x:f>SUM(M3339:N3339)</x:f>
        <x:v>1.9412000000000003</x:v>
      </x:c>
    </x:row>
    <x:row r="3340" ht="23" customHeight="1">
      <x:c r="A3340" s="17" t="str">
        <x:v>U03334</x:v>
      </x:c>
      <x:c r="B3340" s="18" t="n">
        <x:v>46289</x:v>
      </x:c>
      <x:c r="C3340" s="17" t="str">
        <x:v>W0238</x:v>
      </x:c>
      <x:c r="D3340" s="17" t="str">
        <x:v>C004</x:v>
      </x:c>
      <x:c r="E3340" s="17" t="str">
        <x:v>DataFlow</x:v>
      </x:c>
      <x:c r="F3340" s="17" t="str">
        <x:v>Pro</x:v>
      </x:c>
      <x:c r="G3340" s="17" t="n">
        <x:v>13314</x:v>
      </x:c>
      <x:c r="H3340" s="17" t="n">
        <x:v>8641</x:v>
      </x:c>
      <x:c r="I3340" s="17" t="str">
        <x:v>Followup</x:v>
      </x:c>
      <x:c r="J3340" s="27" t="n">
        <x:f>INDEX('Model Pricing'!$B$7:$B$8,MATCH(F3340,'Model Pricing'!$A$7:$A$8,0))</x:f>
        <x:v>40</x:v>
      </x:c>
      <x:c r="K3340" s="27" t="n">
        <x:f>INDEX('Model Pricing'!$C$7:$C$8,MATCH(F3340,'Model Pricing'!$A$7:$A$8,0))</x:f>
        <x:v>100</x:v>
      </x:c>
      <x:c r="L3340" s="17" t="n">
        <x:f>G3340+H3340</x:f>
        <x:v>21955</x:v>
      </x:c>
      <x:c r="M3340" s="28" t="n">
        <x:f>G3340*J3340/1000000</x:f>
        <x:v>0.53256</x:v>
      </x:c>
      <x:c r="N3340" s="28" t="n">
        <x:f>H3340*K3340/1000000</x:f>
        <x:v>0.8641</x:v>
      </x:c>
      <x:c r="O3340" s="28" t="n">
        <x:f>SUM(M3340:N3340)</x:f>
        <x:v>1.39666</x:v>
      </x:c>
    </x:row>
    <x:row r="3341" ht="23" customHeight="1">
      <x:c r="A3341" s="17" t="str">
        <x:v>U03335</x:v>
      </x:c>
      <x:c r="B3341" s="18" t="n">
        <x:v>46289</x:v>
      </x:c>
      <x:c r="C3341" s="17" t="str">
        <x:v>W0238</x:v>
      </x:c>
      <x:c r="D3341" s="17" t="str">
        <x:v>C004</x:v>
      </x:c>
      <x:c r="E3341" s="17" t="str">
        <x:v>DataFlow</x:v>
      </x:c>
      <x:c r="F3341" s="17" t="str">
        <x:v>Pro</x:v>
      </x:c>
      <x:c r="G3341" s="17" t="n">
        <x:v>15595</x:v>
      </x:c>
      <x:c r="H3341" s="17" t="n">
        <x:v>7675</x:v>
      </x:c>
      <x:c r="I3341" s="17" t="str">
        <x:v>Correction</x:v>
      </x:c>
      <x:c r="J3341" s="27" t="n">
        <x:f>INDEX('Model Pricing'!$B$7:$B$8,MATCH(F3341,'Model Pricing'!$A$7:$A$8,0))</x:f>
        <x:v>40</x:v>
      </x:c>
      <x:c r="K3341" s="27" t="n">
        <x:f>INDEX('Model Pricing'!$C$7:$C$8,MATCH(F3341,'Model Pricing'!$A$7:$A$8,0))</x:f>
        <x:v>100</x:v>
      </x:c>
      <x:c r="L3341" s="17" t="n">
        <x:f>G3341+H3341</x:f>
        <x:v>23270</x:v>
      </x:c>
      <x:c r="M3341" s="28" t="n">
        <x:f>G3341*J3341/1000000</x:f>
        <x:v>0.6238</x:v>
      </x:c>
      <x:c r="N3341" s="28" t="n">
        <x:f>H3341*K3341/1000000</x:f>
        <x:v>0.7675</x:v>
      </x:c>
      <x:c r="O3341" s="28" t="n">
        <x:f>SUM(M3341:N3341)</x:f>
        <x:v>1.3913</x:v>
      </x:c>
    </x:row>
    <x:row r="3342" ht="23" customHeight="1">
      <x:c r="A3342" s="17" t="str">
        <x:v>U03336</x:v>
      </x:c>
      <x:c r="B3342" s="18" t="n">
        <x:v>46289</x:v>
      </x:c>
      <x:c r="C3342" s="17" t="str">
        <x:v>W0238</x:v>
      </x:c>
      <x:c r="D3342" s="17" t="str">
        <x:v>C004</x:v>
      </x:c>
      <x:c r="E3342" s="17" t="str">
        <x:v>DataFlow</x:v>
      </x:c>
      <x:c r="F3342" s="17" t="str">
        <x:v>Pro</x:v>
      </x:c>
      <x:c r="G3342" s="17" t="n">
        <x:v>11085</x:v>
      </x:c>
      <x:c r="H3342" s="17" t="n">
        <x:v>6283</x:v>
      </x:c>
      <x:c r="I3342" s="17" t="str">
        <x:v>Followup</x:v>
      </x:c>
      <x:c r="J3342" s="27" t="n">
        <x:f>INDEX('Model Pricing'!$B$7:$B$8,MATCH(F3342,'Model Pricing'!$A$7:$A$8,0))</x:f>
        <x:v>40</x:v>
      </x:c>
      <x:c r="K3342" s="27" t="n">
        <x:f>INDEX('Model Pricing'!$C$7:$C$8,MATCH(F3342,'Model Pricing'!$A$7:$A$8,0))</x:f>
        <x:v>100</x:v>
      </x:c>
      <x:c r="L3342" s="17" t="n">
        <x:f>G3342+H3342</x:f>
        <x:v>17368</x:v>
      </x:c>
      <x:c r="M3342" s="28" t="n">
        <x:f>G3342*J3342/1000000</x:f>
        <x:v>0.4434</x:v>
      </x:c>
      <x:c r="N3342" s="28" t="n">
        <x:f>H3342*K3342/1000000</x:f>
        <x:v>0.6283</x:v>
      </x:c>
      <x:c r="O3342" s="28" t="n">
        <x:f>SUM(M3342:N3342)</x:f>
        <x:v>1.0716999999999999</x:v>
      </x:c>
    </x:row>
    <x:row r="3343" ht="23" customHeight="1">
      <x:c r="A3343" s="17" t="str">
        <x:v>U03337</x:v>
      </x:c>
      <x:c r="B3343" s="18" t="n">
        <x:v>46289</x:v>
      </x:c>
      <x:c r="C3343" s="17" t="str">
        <x:v>W0238</x:v>
      </x:c>
      <x:c r="D3343" s="17" t="str">
        <x:v>C004</x:v>
      </x:c>
      <x:c r="E3343" s="17" t="str">
        <x:v>DataFlow</x:v>
      </x:c>
      <x:c r="F3343" s="17" t="str">
        <x:v>Pro</x:v>
      </x:c>
      <x:c r="G3343" s="17" t="n">
        <x:v>21903</x:v>
      </x:c>
      <x:c r="H3343" s="17" t="n">
        <x:v>8020</x:v>
      </x:c>
      <x:c r="I3343" s="17" t="str">
        <x:v>Followup</x:v>
      </x:c>
      <x:c r="J3343" s="27" t="n">
        <x:f>INDEX('Model Pricing'!$B$7:$B$8,MATCH(F3343,'Model Pricing'!$A$7:$A$8,0))</x:f>
        <x:v>40</x:v>
      </x:c>
      <x:c r="K3343" s="27" t="n">
        <x:f>INDEX('Model Pricing'!$C$7:$C$8,MATCH(F3343,'Model Pricing'!$A$7:$A$8,0))</x:f>
        <x:v>100</x:v>
      </x:c>
      <x:c r="L3343" s="17" t="n">
        <x:f>G3343+H3343</x:f>
        <x:v>29923</x:v>
      </x:c>
      <x:c r="M3343" s="28" t="n">
        <x:f>G3343*J3343/1000000</x:f>
        <x:v>0.87612</x:v>
      </x:c>
      <x:c r="N3343" s="28" t="n">
        <x:f>H3343*K3343/1000000</x:f>
        <x:v>0.802</x:v>
      </x:c>
      <x:c r="O3343" s="28" t="n">
        <x:f>SUM(M3343:N3343)</x:f>
        <x:v>1.67812</x:v>
      </x:c>
    </x:row>
    <x:row r="3344" ht="23" customHeight="1">
      <x:c r="A3344" s="17" t="str">
        <x:v>U03338</x:v>
      </x:c>
      <x:c r="B3344" s="18" t="n">
        <x:v>46290</x:v>
      </x:c>
      <x:c r="C3344" s="17" t="str">
        <x:v>W0238</x:v>
      </x:c>
      <x:c r="D3344" s="17" t="str">
        <x:v>C004</x:v>
      </x:c>
      <x:c r="E3344" s="17" t="str">
        <x:v>DataFlow</x:v>
      </x:c>
      <x:c r="F3344" s="17" t="str">
        <x:v>Pro</x:v>
      </x:c>
      <x:c r="G3344" s="17" t="n">
        <x:v>17600</x:v>
      </x:c>
      <x:c r="H3344" s="17" t="n">
        <x:v>8872</x:v>
      </x:c>
      <x:c r="I3344" s="17" t="str">
        <x:v>Correction</x:v>
      </x:c>
      <x:c r="J3344" s="27" t="n">
        <x:f>INDEX('Model Pricing'!$B$7:$B$8,MATCH(F3344,'Model Pricing'!$A$7:$A$8,0))</x:f>
        <x:v>40</x:v>
      </x:c>
      <x:c r="K3344" s="27" t="n">
        <x:f>INDEX('Model Pricing'!$C$7:$C$8,MATCH(F3344,'Model Pricing'!$A$7:$A$8,0))</x:f>
        <x:v>100</x:v>
      </x:c>
      <x:c r="L3344" s="17" t="n">
        <x:f>G3344+H3344</x:f>
        <x:v>26472</x:v>
      </x:c>
      <x:c r="M3344" s="28" t="n">
        <x:f>G3344*J3344/1000000</x:f>
        <x:v>0.704</x:v>
      </x:c>
      <x:c r="N3344" s="28" t="n">
        <x:f>H3344*K3344/1000000</x:f>
        <x:v>0.8872</x:v>
      </x:c>
      <x:c r="O3344" s="28" t="n">
        <x:f>SUM(M3344:N3344)</x:f>
        <x:v>1.5912</x:v>
      </x:c>
    </x:row>
    <x:row r="3345" ht="23" customHeight="1">
      <x:c r="A3345" s="17" t="str">
        <x:v>U03339</x:v>
      </x:c>
      <x:c r="B3345" s="18" t="n">
        <x:v>46290</x:v>
      </x:c>
      <x:c r="C3345" s="17" t="str">
        <x:v>W0238</x:v>
      </x:c>
      <x:c r="D3345" s="17" t="str">
        <x:v>C004</x:v>
      </x:c>
      <x:c r="E3345" s="17" t="str">
        <x:v>DataFlow</x:v>
      </x:c>
      <x:c r="F3345" s="17" t="str">
        <x:v>Pro</x:v>
      </x:c>
      <x:c r="G3345" s="17" t="n">
        <x:v>16851</x:v>
      </x:c>
      <x:c r="H3345" s="17" t="n">
        <x:v>5903</x:v>
      </x:c>
      <x:c r="I3345" s="17" t="str">
        <x:v>Followup</x:v>
      </x:c>
      <x:c r="J3345" s="27" t="n">
        <x:f>INDEX('Model Pricing'!$B$7:$B$8,MATCH(F3345,'Model Pricing'!$A$7:$A$8,0))</x:f>
        <x:v>40</x:v>
      </x:c>
      <x:c r="K3345" s="27" t="n">
        <x:f>INDEX('Model Pricing'!$C$7:$C$8,MATCH(F3345,'Model Pricing'!$A$7:$A$8,0))</x:f>
        <x:v>100</x:v>
      </x:c>
      <x:c r="L3345" s="17" t="n">
        <x:f>G3345+H3345</x:f>
        <x:v>22754</x:v>
      </x:c>
      <x:c r="M3345" s="28" t="n">
        <x:f>G3345*J3345/1000000</x:f>
        <x:v>0.67404</x:v>
      </x:c>
      <x:c r="N3345" s="28" t="n">
        <x:f>H3345*K3345/1000000</x:f>
        <x:v>0.5903</x:v>
      </x:c>
      <x:c r="O3345" s="28" t="n">
        <x:f>SUM(M3345:N3345)</x:f>
        <x:v>1.26434</x:v>
      </x:c>
    </x:row>
    <x:row r="3346" ht="23" customHeight="1">
      <x:c r="A3346" s="17" t="str">
        <x:v>U03340</x:v>
      </x:c>
      <x:c r="B3346" s="18" t="n">
        <x:v>46290</x:v>
      </x:c>
      <x:c r="C3346" s="17" t="str">
        <x:v>W0238</x:v>
      </x:c>
      <x:c r="D3346" s="17" t="str">
        <x:v>C004</x:v>
      </x:c>
      <x:c r="E3346" s="17" t="str">
        <x:v>DataFlow</x:v>
      </x:c>
      <x:c r="F3346" s="17" t="str">
        <x:v>Pro</x:v>
      </x:c>
      <x:c r="G3346" s="17" t="n">
        <x:v>14617</x:v>
      </x:c>
      <x:c r="H3346" s="17" t="n">
        <x:v>15048</x:v>
      </x:c>
      <x:c r="I3346" s="17" t="str">
        <x:v>Followup</x:v>
      </x:c>
      <x:c r="J3346" s="27" t="n">
        <x:f>INDEX('Model Pricing'!$B$7:$B$8,MATCH(F3346,'Model Pricing'!$A$7:$A$8,0))</x:f>
        <x:v>40</x:v>
      </x:c>
      <x:c r="K3346" s="27" t="n">
        <x:f>INDEX('Model Pricing'!$C$7:$C$8,MATCH(F3346,'Model Pricing'!$A$7:$A$8,0))</x:f>
        <x:v>100</x:v>
      </x:c>
      <x:c r="L3346" s="17" t="n">
        <x:f>G3346+H3346</x:f>
        <x:v>29665</x:v>
      </x:c>
      <x:c r="M3346" s="28" t="n">
        <x:f>G3346*J3346/1000000</x:f>
        <x:v>0.58468</x:v>
      </x:c>
      <x:c r="N3346" s="28" t="n">
        <x:f>H3346*K3346/1000000</x:f>
        <x:v>1.5048</x:v>
      </x:c>
      <x:c r="O3346" s="28" t="n">
        <x:f>SUM(M3346:N3346)</x:f>
        <x:v>2.08948</x:v>
      </x:c>
    </x:row>
    <x:row r="3347" ht="23" customHeight="1">
      <x:c r="A3347" s="17" t="str">
        <x:v>U03341</x:v>
      </x:c>
      <x:c r="B3347" s="18" t="n">
        <x:v>46290</x:v>
      </x:c>
      <x:c r="C3347" s="17" t="str">
        <x:v>W0238</x:v>
      </x:c>
      <x:c r="D3347" s="17" t="str">
        <x:v>C004</x:v>
      </x:c>
      <x:c r="E3347" s="17" t="str">
        <x:v>DataFlow</x:v>
      </x:c>
      <x:c r="F3347" s="17" t="str">
        <x:v>Pro</x:v>
      </x:c>
      <x:c r="G3347" s="17" t="n">
        <x:v>10266</x:v>
      </x:c>
      <x:c r="H3347" s="17" t="n">
        <x:v>14154</x:v>
      </x:c>
      <x:c r="I3347" s="17" t="str">
        <x:v>Followup</x:v>
      </x:c>
      <x:c r="J3347" s="27" t="n">
        <x:f>INDEX('Model Pricing'!$B$7:$B$8,MATCH(F3347,'Model Pricing'!$A$7:$A$8,0))</x:f>
        <x:v>40</x:v>
      </x:c>
      <x:c r="K3347" s="27" t="n">
        <x:f>INDEX('Model Pricing'!$C$7:$C$8,MATCH(F3347,'Model Pricing'!$A$7:$A$8,0))</x:f>
        <x:v>100</x:v>
      </x:c>
      <x:c r="L3347" s="17" t="n">
        <x:f>G3347+H3347</x:f>
        <x:v>24420</x:v>
      </x:c>
      <x:c r="M3347" s="28" t="n">
        <x:f>G3347*J3347/1000000</x:f>
        <x:v>0.41064</x:v>
      </x:c>
      <x:c r="N3347" s="28" t="n">
        <x:f>H3347*K3347/1000000</x:f>
        <x:v>1.4154</x:v>
      </x:c>
      <x:c r="O3347" s="28" t="n">
        <x:f>SUM(M3347:N3347)</x:f>
        <x:v>1.8260399999999999</x:v>
      </x:c>
    </x:row>
    <x:row r="3348" ht="23" customHeight="1">
      <x:c r="A3348" s="17" t="str">
        <x:v>U03342</x:v>
      </x:c>
      <x:c r="B3348" s="18" t="n">
        <x:v>46293</x:v>
      </x:c>
      <x:c r="C3348" s="17" t="str">
        <x:v>W0238</x:v>
      </x:c>
      <x:c r="D3348" s="17" t="str">
        <x:v>C004</x:v>
      </x:c>
      <x:c r="E3348" s="17" t="str">
        <x:v>DataFlow</x:v>
      </x:c>
      <x:c r="F3348" s="17" t="str">
        <x:v>Pro</x:v>
      </x:c>
      <x:c r="G3348" s="17" t="n">
        <x:v>17305</x:v>
      </x:c>
      <x:c r="H3348" s="17" t="n">
        <x:v>4149</x:v>
      </x:c>
      <x:c r="I3348" s="17" t="str">
        <x:v>Correction</x:v>
      </x:c>
      <x:c r="J3348" s="27" t="n">
        <x:f>INDEX('Model Pricing'!$B$7:$B$8,MATCH(F3348,'Model Pricing'!$A$7:$A$8,0))</x:f>
        <x:v>40</x:v>
      </x:c>
      <x:c r="K3348" s="27" t="n">
        <x:f>INDEX('Model Pricing'!$C$7:$C$8,MATCH(F3348,'Model Pricing'!$A$7:$A$8,0))</x:f>
        <x:v>100</x:v>
      </x:c>
      <x:c r="L3348" s="17" t="n">
        <x:f>G3348+H3348</x:f>
        <x:v>21454</x:v>
      </x:c>
      <x:c r="M3348" s="28" t="n">
        <x:f>G3348*J3348/1000000</x:f>
        <x:v>0.6922</x:v>
      </x:c>
      <x:c r="N3348" s="28" t="n">
        <x:f>H3348*K3348/1000000</x:f>
        <x:v>0.4149</x:v>
      </x:c>
      <x:c r="O3348" s="28" t="n">
        <x:f>SUM(M3348:N3348)</x:f>
        <x:v>1.1071</x:v>
      </x:c>
    </x:row>
    <x:row r="3349" ht="23" customHeight="1">
      <x:c r="A3349" s="17" t="str">
        <x:v>U03343</x:v>
      </x:c>
      <x:c r="B3349" s="18" t="n">
        <x:v>46293</x:v>
      </x:c>
      <x:c r="C3349" s="17" t="str">
        <x:v>W0238</x:v>
      </x:c>
      <x:c r="D3349" s="17" t="str">
        <x:v>C004</x:v>
      </x:c>
      <x:c r="E3349" s="17" t="str">
        <x:v>DataFlow</x:v>
      </x:c>
      <x:c r="F3349" s="17" t="str">
        <x:v>Pro</x:v>
      </x:c>
      <x:c r="G3349" s="17" t="n">
        <x:v>9196</x:v>
      </x:c>
      <x:c r="H3349" s="17" t="n">
        <x:v>6422</x:v>
      </x:c>
      <x:c r="I3349" s="17" t="str">
        <x:v>Followup</x:v>
      </x:c>
      <x:c r="J3349" s="27" t="n">
        <x:f>INDEX('Model Pricing'!$B$7:$B$8,MATCH(F3349,'Model Pricing'!$A$7:$A$8,0))</x:f>
        <x:v>40</x:v>
      </x:c>
      <x:c r="K3349" s="27" t="n">
        <x:f>INDEX('Model Pricing'!$C$7:$C$8,MATCH(F3349,'Model Pricing'!$A$7:$A$8,0))</x:f>
        <x:v>100</x:v>
      </x:c>
      <x:c r="L3349" s="17" t="n">
        <x:f>G3349+H3349</x:f>
        <x:v>15618</x:v>
      </x:c>
      <x:c r="M3349" s="28" t="n">
        <x:f>G3349*J3349/1000000</x:f>
        <x:v>0.36784</x:v>
      </x:c>
      <x:c r="N3349" s="28" t="n">
        <x:f>H3349*K3349/1000000</x:f>
        <x:v>0.6422</x:v>
      </x:c>
      <x:c r="O3349" s="28" t="n">
        <x:f>SUM(M3349:N3349)</x:f>
        <x:v>1.01004</x:v>
      </x:c>
    </x:row>
    <x:row r="3350" ht="23" customHeight="1">
      <x:c r="A3350" s="17" t="str">
        <x:v>U03344</x:v>
      </x:c>
      <x:c r="B3350" s="18" t="n">
        <x:v>46293</x:v>
      </x:c>
      <x:c r="C3350" s="17" t="str">
        <x:v>W0238</x:v>
      </x:c>
      <x:c r="D3350" s="17" t="str">
        <x:v>C004</x:v>
      </x:c>
      <x:c r="E3350" s="17" t="str">
        <x:v>DataFlow</x:v>
      </x:c>
      <x:c r="F3350" s="17" t="str">
        <x:v>Pro</x:v>
      </x:c>
      <x:c r="G3350" s="17" t="n">
        <x:v>15401</x:v>
      </x:c>
      <x:c r="H3350" s="17" t="n">
        <x:v>13655</x:v>
      </x:c>
      <x:c r="I3350" s="17" t="str">
        <x:v>Followup</x:v>
      </x:c>
      <x:c r="J3350" s="27" t="n">
        <x:f>INDEX('Model Pricing'!$B$7:$B$8,MATCH(F3350,'Model Pricing'!$A$7:$A$8,0))</x:f>
        <x:v>40</x:v>
      </x:c>
      <x:c r="K3350" s="27" t="n">
        <x:f>INDEX('Model Pricing'!$C$7:$C$8,MATCH(F3350,'Model Pricing'!$A$7:$A$8,0))</x:f>
        <x:v>100</x:v>
      </x:c>
      <x:c r="L3350" s="17" t="n">
        <x:f>G3350+H3350</x:f>
        <x:v>29056</x:v>
      </x:c>
      <x:c r="M3350" s="28" t="n">
        <x:f>G3350*J3350/1000000</x:f>
        <x:v>0.61604</x:v>
      </x:c>
      <x:c r="N3350" s="28" t="n">
        <x:f>H3350*K3350/1000000</x:f>
        <x:v>1.3655</x:v>
      </x:c>
      <x:c r="O3350" s="28" t="n">
        <x:f>SUM(M3350:N3350)</x:f>
        <x:v>1.9815399999999999</x:v>
      </x:c>
    </x:row>
    <x:row r="3351" ht="23" customHeight="1">
      <x:c r="A3351" s="17" t="str">
        <x:v>U03345</x:v>
      </x:c>
      <x:c r="B3351" s="18" t="n">
        <x:v>46293</x:v>
      </x:c>
      <x:c r="C3351" s="17" t="str">
        <x:v>W0238</x:v>
      </x:c>
      <x:c r="D3351" s="17" t="str">
        <x:v>C004</x:v>
      </x:c>
      <x:c r="E3351" s="17" t="str">
        <x:v>DataFlow</x:v>
      </x:c>
      <x:c r="F3351" s="17" t="str">
        <x:v>Pro</x:v>
      </x:c>
      <x:c r="G3351" s="17" t="n">
        <x:v>20172</x:v>
      </x:c>
      <x:c r="H3351" s="17" t="n">
        <x:v>13798</x:v>
      </x:c>
      <x:c r="I3351" s="17" t="str">
        <x:v>Followup</x:v>
      </x:c>
      <x:c r="J3351" s="27" t="n">
        <x:f>INDEX('Model Pricing'!$B$7:$B$8,MATCH(F3351,'Model Pricing'!$A$7:$A$8,0))</x:f>
        <x:v>40</x:v>
      </x:c>
      <x:c r="K3351" s="27" t="n">
        <x:f>INDEX('Model Pricing'!$C$7:$C$8,MATCH(F3351,'Model Pricing'!$A$7:$A$8,0))</x:f>
        <x:v>100</x:v>
      </x:c>
      <x:c r="L3351" s="17" t="n">
        <x:f>G3351+H3351</x:f>
        <x:v>33970</x:v>
      </x:c>
      <x:c r="M3351" s="28" t="n">
        <x:f>G3351*J3351/1000000</x:f>
        <x:v>0.80688</x:v>
      </x:c>
      <x:c r="N3351" s="28" t="n">
        <x:f>H3351*K3351/1000000</x:f>
        <x:v>1.3798</x:v>
      </x:c>
      <x:c r="O3351" s="28" t="n">
        <x:f>SUM(M3351:N3351)</x:f>
        <x:v>2.18668</x:v>
      </x:c>
    </x:row>
    <x:row r="3352" ht="23" customHeight="1">
      <x:c r="A3352" s="17" t="str">
        <x:v>U03346</x:v>
      </x:c>
      <x:c r="B3352" s="18" t="n">
        <x:v>46282</x:v>
      </x:c>
      <x:c r="C3352" s="17" t="str">
        <x:v>W0240</x:v>
      </x:c>
      <x:c r="D3352" s="17" t="str">
        <x:v>C004</x:v>
      </x:c>
      <x:c r="E3352" s="17" t="str">
        <x:v>InsightDesk</x:v>
      </x:c>
      <x:c r="F3352" s="17" t="str">
        <x:v>Pro</x:v>
      </x:c>
      <x:c r="G3352" s="17" t="n">
        <x:v>23756</x:v>
      </x:c>
      <x:c r="H3352" s="17" t="n">
        <x:v>5381</x:v>
      </x:c>
      <x:c r="I3352" s="17" t="str">
        <x:v>First attempt</x:v>
      </x:c>
      <x:c r="J3352" s="27" t="n">
        <x:f>INDEX('Model Pricing'!$B$7:$B$8,MATCH(F3352,'Model Pricing'!$A$7:$A$8,0))</x:f>
        <x:v>40</x:v>
      </x:c>
      <x:c r="K3352" s="27" t="n">
        <x:f>INDEX('Model Pricing'!$C$7:$C$8,MATCH(F3352,'Model Pricing'!$A$7:$A$8,0))</x:f>
        <x:v>100</x:v>
      </x:c>
      <x:c r="L3352" s="17" t="n">
        <x:f>G3352+H3352</x:f>
        <x:v>29137</x:v>
      </x:c>
      <x:c r="M3352" s="28" t="n">
        <x:f>G3352*J3352/1000000</x:f>
        <x:v>0.95024</x:v>
      </x:c>
      <x:c r="N3352" s="28" t="n">
        <x:f>H3352*K3352/1000000</x:f>
        <x:v>0.5381</x:v>
      </x:c>
      <x:c r="O3352" s="28" t="n">
        <x:f>SUM(M3352:N3352)</x:f>
        <x:v>1.48834</x:v>
      </x:c>
    </x:row>
    <x:row r="3353" ht="23" customHeight="1">
      <x:c r="A3353" s="17" t="str">
        <x:v>U03347</x:v>
      </x:c>
      <x:c r="B3353" s="18" t="n">
        <x:v>46282</x:v>
      </x:c>
      <x:c r="C3353" s="17" t="str">
        <x:v>W0240</x:v>
      </x:c>
      <x:c r="D3353" s="17" t="str">
        <x:v>C004</x:v>
      </x:c>
      <x:c r="E3353" s="17" t="str">
        <x:v>InsightDesk</x:v>
      </x:c>
      <x:c r="F3353" s="17" t="str">
        <x:v>Pro</x:v>
      </x:c>
      <x:c r="G3353" s="17" t="n">
        <x:v>13226</x:v>
      </x:c>
      <x:c r="H3353" s="17" t="n">
        <x:v>7847</x:v>
      </x:c>
      <x:c r="I3353" s="17" t="str">
        <x:v>Followup</x:v>
      </x:c>
      <x:c r="J3353" s="27" t="n">
        <x:f>INDEX('Model Pricing'!$B$7:$B$8,MATCH(F3353,'Model Pricing'!$A$7:$A$8,0))</x:f>
        <x:v>40</x:v>
      </x:c>
      <x:c r="K3353" s="27" t="n">
        <x:f>INDEX('Model Pricing'!$C$7:$C$8,MATCH(F3353,'Model Pricing'!$A$7:$A$8,0))</x:f>
        <x:v>100</x:v>
      </x:c>
      <x:c r="L3353" s="17" t="n">
        <x:f>G3353+H3353</x:f>
        <x:v>21073</x:v>
      </x:c>
      <x:c r="M3353" s="28" t="n">
        <x:f>G3353*J3353/1000000</x:f>
        <x:v>0.52904</x:v>
      </x:c>
      <x:c r="N3353" s="28" t="n">
        <x:f>H3353*K3353/1000000</x:f>
        <x:v>0.7847</x:v>
      </x:c>
      <x:c r="O3353" s="28" t="n">
        <x:f>SUM(M3353:N3353)</x:f>
        <x:v>1.31374</x:v>
      </x:c>
    </x:row>
    <x:row r="3354" ht="23" customHeight="1">
      <x:c r="A3354" s="17" t="str">
        <x:v>U03348</x:v>
      </x:c>
      <x:c r="B3354" s="18" t="n">
        <x:v>46282</x:v>
      </x:c>
      <x:c r="C3354" s="17" t="str">
        <x:v>W0240</x:v>
      </x:c>
      <x:c r="D3354" s="17" t="str">
        <x:v>C004</x:v>
      </x:c>
      <x:c r="E3354" s="17" t="str">
        <x:v>InsightDesk</x:v>
      </x:c>
      <x:c r="F3354" s="17" t="str">
        <x:v>Pro</x:v>
      </x:c>
      <x:c r="G3354" s="17" t="n">
        <x:v>24084</x:v>
      </x:c>
      <x:c r="H3354" s="17" t="n">
        <x:v>12734</x:v>
      </x:c>
      <x:c r="I3354" s="17" t="str">
        <x:v>Followup</x:v>
      </x:c>
      <x:c r="J3354" s="27" t="n">
        <x:f>INDEX('Model Pricing'!$B$7:$B$8,MATCH(F3354,'Model Pricing'!$A$7:$A$8,0))</x:f>
        <x:v>40</x:v>
      </x:c>
      <x:c r="K3354" s="27" t="n">
        <x:f>INDEX('Model Pricing'!$C$7:$C$8,MATCH(F3354,'Model Pricing'!$A$7:$A$8,0))</x:f>
        <x:v>100</x:v>
      </x:c>
      <x:c r="L3354" s="17" t="n">
        <x:f>G3354+H3354</x:f>
        <x:v>36818</x:v>
      </x:c>
      <x:c r="M3354" s="28" t="n">
        <x:f>G3354*J3354/1000000</x:f>
        <x:v>0.96336</x:v>
      </x:c>
      <x:c r="N3354" s="28" t="n">
        <x:f>H3354*K3354/1000000</x:f>
        <x:v>1.2734</x:v>
      </x:c>
      <x:c r="O3354" s="28" t="n">
        <x:f>SUM(M3354:N3354)</x:f>
        <x:v>2.2367600000000003</x:v>
      </x:c>
    </x:row>
    <x:row r="3355" ht="23" customHeight="1">
      <x:c r="A3355" s="17" t="str">
        <x:v>U03349</x:v>
      </x:c>
      <x:c r="B3355" s="18" t="n">
        <x:v>46282</x:v>
      </x:c>
      <x:c r="C3355" s="17" t="str">
        <x:v>W0240</x:v>
      </x:c>
      <x:c r="D3355" s="17" t="str">
        <x:v>C004</x:v>
      </x:c>
      <x:c r="E3355" s="17" t="str">
        <x:v>InsightDesk</x:v>
      </x:c>
      <x:c r="F3355" s="17" t="str">
        <x:v>Pro</x:v>
      </x:c>
      <x:c r="G3355" s="17" t="n">
        <x:v>19995</x:v>
      </x:c>
      <x:c r="H3355" s="17" t="n">
        <x:v>8434</x:v>
      </x:c>
      <x:c r="I3355" s="17" t="str">
        <x:v>Followup</x:v>
      </x:c>
      <x:c r="J3355" s="27" t="n">
        <x:f>INDEX('Model Pricing'!$B$7:$B$8,MATCH(F3355,'Model Pricing'!$A$7:$A$8,0))</x:f>
        <x:v>40</x:v>
      </x:c>
      <x:c r="K3355" s="27" t="n">
        <x:f>INDEX('Model Pricing'!$C$7:$C$8,MATCH(F3355,'Model Pricing'!$A$7:$A$8,0))</x:f>
        <x:v>100</x:v>
      </x:c>
      <x:c r="L3355" s="17" t="n">
        <x:f>G3355+H3355</x:f>
        <x:v>28429</x:v>
      </x:c>
      <x:c r="M3355" s="28" t="n">
        <x:f>G3355*J3355/1000000</x:f>
        <x:v>0.7998</x:v>
      </x:c>
      <x:c r="N3355" s="28" t="n">
        <x:f>H3355*K3355/1000000</x:f>
        <x:v>0.8434</x:v>
      </x:c>
      <x:c r="O3355" s="28" t="n">
        <x:f>SUM(M3355:N3355)</x:f>
        <x:v>1.6432</x:v>
      </x:c>
    </x:row>
    <x:row r="3356" ht="23" customHeight="1">
      <x:c r="A3356" s="17" t="str">
        <x:v>U03350</x:v>
      </x:c>
      <x:c r="B3356" s="18" t="n">
        <x:v>46283</x:v>
      </x:c>
      <x:c r="C3356" s="17" t="str">
        <x:v>W0240</x:v>
      </x:c>
      <x:c r="D3356" s="17" t="str">
        <x:v>C004</x:v>
      </x:c>
      <x:c r="E3356" s="17" t="str">
        <x:v>InsightDesk</x:v>
      </x:c>
      <x:c r="F3356" s="17" t="str">
        <x:v>Pro</x:v>
      </x:c>
      <x:c r="G3356" s="17" t="n">
        <x:v>17219</x:v>
      </x:c>
      <x:c r="H3356" s="17" t="n">
        <x:v>11145</x:v>
      </x:c>
      <x:c r="I3356" s="17" t="str">
        <x:v>Correction</x:v>
      </x:c>
      <x:c r="J3356" s="27" t="n">
        <x:f>INDEX('Model Pricing'!$B$7:$B$8,MATCH(F3356,'Model Pricing'!$A$7:$A$8,0))</x:f>
        <x:v>40</x:v>
      </x:c>
      <x:c r="K3356" s="27" t="n">
        <x:f>INDEX('Model Pricing'!$C$7:$C$8,MATCH(F3356,'Model Pricing'!$A$7:$A$8,0))</x:f>
        <x:v>100</x:v>
      </x:c>
      <x:c r="L3356" s="17" t="n">
        <x:f>G3356+H3356</x:f>
        <x:v>28364</x:v>
      </x:c>
      <x:c r="M3356" s="28" t="n">
        <x:f>G3356*J3356/1000000</x:f>
        <x:v>0.68876</x:v>
      </x:c>
      <x:c r="N3356" s="28" t="n">
        <x:f>H3356*K3356/1000000</x:f>
        <x:v>1.1145</x:v>
      </x:c>
      <x:c r="O3356" s="28" t="n">
        <x:f>SUM(M3356:N3356)</x:f>
        <x:v>1.80326</x:v>
      </x:c>
    </x:row>
    <x:row r="3357" ht="23" customHeight="1">
      <x:c r="A3357" s="17" t="str">
        <x:v>U03351</x:v>
      </x:c>
      <x:c r="B3357" s="18" t="n">
        <x:v>46283</x:v>
      </x:c>
      <x:c r="C3357" s="17" t="str">
        <x:v>W0240</x:v>
      </x:c>
      <x:c r="D3357" s="17" t="str">
        <x:v>C004</x:v>
      </x:c>
      <x:c r="E3357" s="17" t="str">
        <x:v>InsightDesk</x:v>
      </x:c>
      <x:c r="F3357" s="17" t="str">
        <x:v>Pro</x:v>
      </x:c>
      <x:c r="G3357" s="17" t="n">
        <x:v>14431</x:v>
      </x:c>
      <x:c r="H3357" s="17" t="n">
        <x:v>5883</x:v>
      </x:c>
      <x:c r="I3357" s="17" t="str">
        <x:v>Correction</x:v>
      </x:c>
      <x:c r="J3357" s="27" t="n">
        <x:f>INDEX('Model Pricing'!$B$7:$B$8,MATCH(F3357,'Model Pricing'!$A$7:$A$8,0))</x:f>
        <x:v>40</x:v>
      </x:c>
      <x:c r="K3357" s="27" t="n">
        <x:f>INDEX('Model Pricing'!$C$7:$C$8,MATCH(F3357,'Model Pricing'!$A$7:$A$8,0))</x:f>
        <x:v>100</x:v>
      </x:c>
      <x:c r="L3357" s="17" t="n">
        <x:f>G3357+H3357</x:f>
        <x:v>20314</x:v>
      </x:c>
      <x:c r="M3357" s="28" t="n">
        <x:f>G3357*J3357/1000000</x:f>
        <x:v>0.57724</x:v>
      </x:c>
      <x:c r="N3357" s="28" t="n">
        <x:f>H3357*K3357/1000000</x:f>
        <x:v>0.5883</x:v>
      </x:c>
      <x:c r="O3357" s="28" t="n">
        <x:f>SUM(M3357:N3357)</x:f>
        <x:v>1.16554</x:v>
      </x:c>
    </x:row>
    <x:row r="3358" ht="23" customHeight="1">
      <x:c r="A3358" s="17" t="str">
        <x:v>U03352</x:v>
      </x:c>
      <x:c r="B3358" s="18" t="n">
        <x:v>46283</x:v>
      </x:c>
      <x:c r="C3358" s="17" t="str">
        <x:v>W0240</x:v>
      </x:c>
      <x:c r="D3358" s="17" t="str">
        <x:v>C004</x:v>
      </x:c>
      <x:c r="E3358" s="17" t="str">
        <x:v>InsightDesk</x:v>
      </x:c>
      <x:c r="F3358" s="17" t="str">
        <x:v>Pro</x:v>
      </x:c>
      <x:c r="G3358" s="17" t="n">
        <x:v>20419</x:v>
      </x:c>
      <x:c r="H3358" s="17" t="n">
        <x:v>12916</x:v>
      </x:c>
      <x:c r="I3358" s="17" t="str">
        <x:v>Followup</x:v>
      </x:c>
      <x:c r="J3358" s="27" t="n">
        <x:f>INDEX('Model Pricing'!$B$7:$B$8,MATCH(F3358,'Model Pricing'!$A$7:$A$8,0))</x:f>
        <x:v>40</x:v>
      </x:c>
      <x:c r="K3358" s="27" t="n">
        <x:f>INDEX('Model Pricing'!$C$7:$C$8,MATCH(F3358,'Model Pricing'!$A$7:$A$8,0))</x:f>
        <x:v>100</x:v>
      </x:c>
      <x:c r="L3358" s="17" t="n">
        <x:f>G3358+H3358</x:f>
        <x:v>33335</x:v>
      </x:c>
      <x:c r="M3358" s="28" t="n">
        <x:f>G3358*J3358/1000000</x:f>
        <x:v>0.81676</x:v>
      </x:c>
      <x:c r="N3358" s="28" t="n">
        <x:f>H3358*K3358/1000000</x:f>
        <x:v>1.2916</x:v>
      </x:c>
      <x:c r="O3358" s="28" t="n">
        <x:f>SUM(M3358:N3358)</x:f>
        <x:v>2.1083600000000002</x:v>
      </x:c>
    </x:row>
    <x:row r="3359" ht="23" customHeight="1">
      <x:c r="A3359" s="17" t="str">
        <x:v>U03353</x:v>
      </x:c>
      <x:c r="B3359" s="18" t="n">
        <x:v>46283</x:v>
      </x:c>
      <x:c r="C3359" s="17" t="str">
        <x:v>W0240</x:v>
      </x:c>
      <x:c r="D3359" s="17" t="str">
        <x:v>C004</x:v>
      </x:c>
      <x:c r="E3359" s="17" t="str">
        <x:v>InsightDesk</x:v>
      </x:c>
      <x:c r="F3359" s="17" t="str">
        <x:v>Pro</x:v>
      </x:c>
      <x:c r="G3359" s="17" t="n">
        <x:v>11696</x:v>
      </x:c>
      <x:c r="H3359" s="17" t="n">
        <x:v>7333</x:v>
      </x:c>
      <x:c r="I3359" s="17" t="str">
        <x:v>Followup</x:v>
      </x:c>
      <x:c r="J3359" s="27" t="n">
        <x:f>INDEX('Model Pricing'!$B$7:$B$8,MATCH(F3359,'Model Pricing'!$A$7:$A$8,0))</x:f>
        <x:v>40</x:v>
      </x:c>
      <x:c r="K3359" s="27" t="n">
        <x:f>INDEX('Model Pricing'!$C$7:$C$8,MATCH(F3359,'Model Pricing'!$A$7:$A$8,0))</x:f>
        <x:v>100</x:v>
      </x:c>
      <x:c r="L3359" s="17" t="n">
        <x:f>G3359+H3359</x:f>
        <x:v>19029</x:v>
      </x:c>
      <x:c r="M3359" s="28" t="n">
        <x:f>G3359*J3359/1000000</x:f>
        <x:v>0.46784</x:v>
      </x:c>
      <x:c r="N3359" s="28" t="n">
        <x:f>H3359*K3359/1000000</x:f>
        <x:v>0.7333</x:v>
      </x:c>
      <x:c r="O3359" s="28" t="n">
        <x:f>SUM(M3359:N3359)</x:f>
        <x:v>1.2011399999999999</x:v>
      </x:c>
    </x:row>
    <x:row r="3360" ht="23" customHeight="1">
      <x:c r="A3360" s="17" t="str">
        <x:v>U03354</x:v>
      </x:c>
      <x:c r="B3360" s="18" t="n">
        <x:v>46286</x:v>
      </x:c>
      <x:c r="C3360" s="17" t="str">
        <x:v>W0240</x:v>
      </x:c>
      <x:c r="D3360" s="17" t="str">
        <x:v>C004</x:v>
      </x:c>
      <x:c r="E3360" s="17" t="str">
        <x:v>InsightDesk</x:v>
      </x:c>
      <x:c r="F3360" s="17" t="str">
        <x:v>Pro</x:v>
      </x:c>
      <x:c r="G3360" s="17" t="n">
        <x:v>10932</x:v>
      </x:c>
      <x:c r="H3360" s="17" t="n">
        <x:v>10869</x:v>
      </x:c>
      <x:c r="I3360" s="17" t="str">
        <x:v>Correction</x:v>
      </x:c>
      <x:c r="J3360" s="27" t="n">
        <x:f>INDEX('Model Pricing'!$B$7:$B$8,MATCH(F3360,'Model Pricing'!$A$7:$A$8,0))</x:f>
        <x:v>40</x:v>
      </x:c>
      <x:c r="K3360" s="27" t="n">
        <x:f>INDEX('Model Pricing'!$C$7:$C$8,MATCH(F3360,'Model Pricing'!$A$7:$A$8,0))</x:f>
        <x:v>100</x:v>
      </x:c>
      <x:c r="L3360" s="17" t="n">
        <x:f>G3360+H3360</x:f>
        <x:v>21801</x:v>
      </x:c>
      <x:c r="M3360" s="28" t="n">
        <x:f>G3360*J3360/1000000</x:f>
        <x:v>0.43728</x:v>
      </x:c>
      <x:c r="N3360" s="28" t="n">
        <x:f>H3360*K3360/1000000</x:f>
        <x:v>1.0869</x:v>
      </x:c>
      <x:c r="O3360" s="28" t="n">
        <x:f>SUM(M3360:N3360)</x:f>
        <x:v>1.5241799999999999</x:v>
      </x:c>
    </x:row>
    <x:row r="3361" ht="23" customHeight="1">
      <x:c r="A3361" s="17" t="str">
        <x:v>U03355</x:v>
      </x:c>
      <x:c r="B3361" s="18" t="n">
        <x:v>46286</x:v>
      </x:c>
      <x:c r="C3361" s="17" t="str">
        <x:v>W0240</x:v>
      </x:c>
      <x:c r="D3361" s="17" t="str">
        <x:v>C004</x:v>
      </x:c>
      <x:c r="E3361" s="17" t="str">
        <x:v>InsightDesk</x:v>
      </x:c>
      <x:c r="F3361" s="17" t="str">
        <x:v>Pro</x:v>
      </x:c>
      <x:c r="G3361" s="17" t="n">
        <x:v>18820</x:v>
      </x:c>
      <x:c r="H3361" s="17" t="n">
        <x:v>8165</x:v>
      </x:c>
      <x:c r="I3361" s="17" t="str">
        <x:v>Followup</x:v>
      </x:c>
      <x:c r="J3361" s="27" t="n">
        <x:f>INDEX('Model Pricing'!$B$7:$B$8,MATCH(F3361,'Model Pricing'!$A$7:$A$8,0))</x:f>
        <x:v>40</x:v>
      </x:c>
      <x:c r="K3361" s="27" t="n">
        <x:f>INDEX('Model Pricing'!$C$7:$C$8,MATCH(F3361,'Model Pricing'!$A$7:$A$8,0))</x:f>
        <x:v>100</x:v>
      </x:c>
      <x:c r="L3361" s="17" t="n">
        <x:f>G3361+H3361</x:f>
        <x:v>26985</x:v>
      </x:c>
      <x:c r="M3361" s="28" t="n">
        <x:f>G3361*J3361/1000000</x:f>
        <x:v>0.7528</x:v>
      </x:c>
      <x:c r="N3361" s="28" t="n">
        <x:f>H3361*K3361/1000000</x:f>
        <x:v>0.8165</x:v>
      </x:c>
      <x:c r="O3361" s="28" t="n">
        <x:f>SUM(M3361:N3361)</x:f>
        <x:v>1.5693000000000001</x:v>
      </x:c>
    </x:row>
    <x:row r="3362" ht="23" customHeight="1">
      <x:c r="A3362" s="17" t="str">
        <x:v>U03356</x:v>
      </x:c>
      <x:c r="B3362" s="18" t="n">
        <x:v>46286</x:v>
      </x:c>
      <x:c r="C3362" s="17" t="str">
        <x:v>W0240</x:v>
      </x:c>
      <x:c r="D3362" s="17" t="str">
        <x:v>C004</x:v>
      </x:c>
      <x:c r="E3362" s="17" t="str">
        <x:v>InsightDesk</x:v>
      </x:c>
      <x:c r="F3362" s="17" t="str">
        <x:v>Pro</x:v>
      </x:c>
      <x:c r="G3362" s="17" t="n">
        <x:v>21189</x:v>
      </x:c>
      <x:c r="H3362" s="17" t="n">
        <x:v>6099</x:v>
      </x:c>
      <x:c r="I3362" s="17" t="str">
        <x:v>Followup</x:v>
      </x:c>
      <x:c r="J3362" s="27" t="n">
        <x:f>INDEX('Model Pricing'!$B$7:$B$8,MATCH(F3362,'Model Pricing'!$A$7:$A$8,0))</x:f>
        <x:v>40</x:v>
      </x:c>
      <x:c r="K3362" s="27" t="n">
        <x:f>INDEX('Model Pricing'!$C$7:$C$8,MATCH(F3362,'Model Pricing'!$A$7:$A$8,0))</x:f>
        <x:v>100</x:v>
      </x:c>
      <x:c r="L3362" s="17" t="n">
        <x:f>G3362+H3362</x:f>
        <x:v>27288</x:v>
      </x:c>
      <x:c r="M3362" s="28" t="n">
        <x:f>G3362*J3362/1000000</x:f>
        <x:v>0.84756</x:v>
      </x:c>
      <x:c r="N3362" s="28" t="n">
        <x:f>H3362*K3362/1000000</x:f>
        <x:v>0.6099</x:v>
      </x:c>
      <x:c r="O3362" s="28" t="n">
        <x:f>SUM(M3362:N3362)</x:f>
        <x:v>1.45746</x:v>
      </x:c>
    </x:row>
    <x:row r="3363" ht="23" customHeight="1">
      <x:c r="A3363" s="17" t="str">
        <x:v>U03357</x:v>
      </x:c>
      <x:c r="B3363" s="18" t="n">
        <x:v>46286</x:v>
      </x:c>
      <x:c r="C3363" s="17" t="str">
        <x:v>W0240</x:v>
      </x:c>
      <x:c r="D3363" s="17" t="str">
        <x:v>C004</x:v>
      </x:c>
      <x:c r="E3363" s="17" t="str">
        <x:v>InsightDesk</x:v>
      </x:c>
      <x:c r="F3363" s="17" t="str">
        <x:v>Pro</x:v>
      </x:c>
      <x:c r="G3363" s="17" t="n">
        <x:v>10346</x:v>
      </x:c>
      <x:c r="H3363" s="17" t="n">
        <x:v>4736</x:v>
      </x:c>
      <x:c r="I3363" s="17" t="str">
        <x:v>Followup</x:v>
      </x:c>
      <x:c r="J3363" s="27" t="n">
        <x:f>INDEX('Model Pricing'!$B$7:$B$8,MATCH(F3363,'Model Pricing'!$A$7:$A$8,0))</x:f>
        <x:v>40</x:v>
      </x:c>
      <x:c r="K3363" s="27" t="n">
        <x:f>INDEX('Model Pricing'!$C$7:$C$8,MATCH(F3363,'Model Pricing'!$A$7:$A$8,0))</x:f>
        <x:v>100</x:v>
      </x:c>
      <x:c r="L3363" s="17" t="n">
        <x:f>G3363+H3363</x:f>
        <x:v>15082</x:v>
      </x:c>
      <x:c r="M3363" s="28" t="n">
        <x:f>G3363*J3363/1000000</x:f>
        <x:v>0.41384</x:v>
      </x:c>
      <x:c r="N3363" s="28" t="n">
        <x:f>H3363*K3363/1000000</x:f>
        <x:v>0.4736</x:v>
      </x:c>
      <x:c r="O3363" s="28" t="n">
        <x:f>SUM(M3363:N3363)</x:f>
        <x:v>0.88744</x:v>
      </x:c>
    </x:row>
    <x:row r="3364" ht="23" customHeight="1">
      <x:c r="A3364" s="17" t="str">
        <x:v>U03358</x:v>
      </x:c>
      <x:c r="B3364" s="18" t="n">
        <x:v>46287</x:v>
      </x:c>
      <x:c r="C3364" s="17" t="str">
        <x:v>W0240</x:v>
      </x:c>
      <x:c r="D3364" s="17" t="str">
        <x:v>C004</x:v>
      </x:c>
      <x:c r="E3364" s="17" t="str">
        <x:v>InsightDesk</x:v>
      </x:c>
      <x:c r="F3364" s="17" t="str">
        <x:v>Pro</x:v>
      </x:c>
      <x:c r="G3364" s="17" t="n">
        <x:v>23270</x:v>
      </x:c>
      <x:c r="H3364" s="17" t="n">
        <x:v>5216</x:v>
      </x:c>
      <x:c r="I3364" s="17" t="str">
        <x:v>Followup</x:v>
      </x:c>
      <x:c r="J3364" s="27" t="n">
        <x:f>INDEX('Model Pricing'!$B$7:$B$8,MATCH(F3364,'Model Pricing'!$A$7:$A$8,0))</x:f>
        <x:v>40</x:v>
      </x:c>
      <x:c r="K3364" s="27" t="n">
        <x:f>INDEX('Model Pricing'!$C$7:$C$8,MATCH(F3364,'Model Pricing'!$A$7:$A$8,0))</x:f>
        <x:v>100</x:v>
      </x:c>
      <x:c r="L3364" s="17" t="n">
        <x:f>G3364+H3364</x:f>
        <x:v>28486</x:v>
      </x:c>
      <x:c r="M3364" s="28" t="n">
        <x:f>G3364*J3364/1000000</x:f>
        <x:v>0.9308</x:v>
      </x:c>
      <x:c r="N3364" s="28" t="n">
        <x:f>H3364*K3364/1000000</x:f>
        <x:v>0.5216</x:v>
      </x:c>
      <x:c r="O3364" s="28" t="n">
        <x:f>SUM(M3364:N3364)</x:f>
        <x:v>1.4524</x:v>
      </x:c>
    </x:row>
    <x:row r="3365" ht="23" customHeight="1">
      <x:c r="A3365" s="17" t="str">
        <x:v>U03359</x:v>
      </x:c>
      <x:c r="B3365" s="18" t="n">
        <x:v>46287</x:v>
      </x:c>
      <x:c r="C3365" s="17" t="str">
        <x:v>W0240</x:v>
      </x:c>
      <x:c r="D3365" s="17" t="str">
        <x:v>C004</x:v>
      </x:c>
      <x:c r="E3365" s="17" t="str">
        <x:v>InsightDesk</x:v>
      </x:c>
      <x:c r="F3365" s="17" t="str">
        <x:v>Pro</x:v>
      </x:c>
      <x:c r="G3365" s="17" t="n">
        <x:v>19567</x:v>
      </x:c>
      <x:c r="H3365" s="17" t="n">
        <x:v>6292</x:v>
      </x:c>
      <x:c r="I3365" s="17" t="str">
        <x:v>Followup</x:v>
      </x:c>
      <x:c r="J3365" s="27" t="n">
        <x:f>INDEX('Model Pricing'!$B$7:$B$8,MATCH(F3365,'Model Pricing'!$A$7:$A$8,0))</x:f>
        <x:v>40</x:v>
      </x:c>
      <x:c r="K3365" s="27" t="n">
        <x:f>INDEX('Model Pricing'!$C$7:$C$8,MATCH(F3365,'Model Pricing'!$A$7:$A$8,0))</x:f>
        <x:v>100</x:v>
      </x:c>
      <x:c r="L3365" s="17" t="n">
        <x:f>G3365+H3365</x:f>
        <x:v>25859</x:v>
      </x:c>
      <x:c r="M3365" s="28" t="n">
        <x:f>G3365*J3365/1000000</x:f>
        <x:v>0.78268</x:v>
      </x:c>
      <x:c r="N3365" s="28" t="n">
        <x:f>H3365*K3365/1000000</x:f>
        <x:v>0.6292</x:v>
      </x:c>
      <x:c r="O3365" s="28" t="n">
        <x:f>SUM(M3365:N3365)</x:f>
        <x:v>1.41188</x:v>
      </x:c>
    </x:row>
    <x:row r="3366" ht="23" customHeight="1">
      <x:c r="A3366" s="17" t="str">
        <x:v>U03360</x:v>
      </x:c>
      <x:c r="B3366" s="18" t="n">
        <x:v>46287</x:v>
      </x:c>
      <x:c r="C3366" s="17" t="str">
        <x:v>W0240</x:v>
      </x:c>
      <x:c r="D3366" s="17" t="str">
        <x:v>C004</x:v>
      </x:c>
      <x:c r="E3366" s="17" t="str">
        <x:v>InsightDesk</x:v>
      </x:c>
      <x:c r="F3366" s="17" t="str">
        <x:v>Pro</x:v>
      </x:c>
      <x:c r="G3366" s="17" t="n">
        <x:v>15173</x:v>
      </x:c>
      <x:c r="H3366" s="17" t="n">
        <x:v>11187</x:v>
      </x:c>
      <x:c r="I3366" s="17" t="str">
        <x:v>Followup</x:v>
      </x:c>
      <x:c r="J3366" s="27" t="n">
        <x:f>INDEX('Model Pricing'!$B$7:$B$8,MATCH(F3366,'Model Pricing'!$A$7:$A$8,0))</x:f>
        <x:v>40</x:v>
      </x:c>
      <x:c r="K3366" s="27" t="n">
        <x:f>INDEX('Model Pricing'!$C$7:$C$8,MATCH(F3366,'Model Pricing'!$A$7:$A$8,0))</x:f>
        <x:v>100</x:v>
      </x:c>
      <x:c r="L3366" s="17" t="n">
        <x:f>G3366+H3366</x:f>
        <x:v>26360</x:v>
      </x:c>
      <x:c r="M3366" s="28" t="n">
        <x:f>G3366*J3366/1000000</x:f>
        <x:v>0.60692</x:v>
      </x:c>
      <x:c r="N3366" s="28" t="n">
        <x:f>H3366*K3366/1000000</x:f>
        <x:v>1.1187</x:v>
      </x:c>
      <x:c r="O3366" s="28" t="n">
        <x:f>SUM(M3366:N3366)</x:f>
        <x:v>1.7256200000000002</x:v>
      </x:c>
    </x:row>
  </x:sheetData>
  <x:pageMargins left="0.7" right="0.7" top="0.75" bottom="0.75" header="0.3" footer="0.3"/>
  <x:tableParts count="1">
    <x:tablePart xmlns:r="http://schemas.openxmlformats.org/officeDocument/2006/relationships" r:id="R80e36dce52184131"/>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8" hidden="0" customWidth="1"/>
    <x:col min="2" max="2" width="18" hidden="0" customWidth="1"/>
    <x:col min="3" max="3" width="18" hidden="0" customWidth="1"/>
    <x:col min="4" max="4" width="24" hidden="0" customWidth="1"/>
    <x:col min="5" max="5" width="24" hidden="0" customWidth="1"/>
    <x:col min="6" max="6" width="30"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3" customHeight="1">
      <x:c r="A1" s="3"/>
      <x:c r="B1" s="3"/>
      <x:c r="C1" s="3"/>
      <x:c r="D1" s="3"/>
      <x:c r="E1" s="3"/>
      <x:c r="F1" s="3"/>
      <x:c r="G1" s="3"/>
      <x:c r="H1" s="3"/>
      <x:c r="I1" s="3"/>
      <x:c r="J1" s="3"/>
      <x:c r="K1" s="3"/>
      <x:c r="L1" s="3"/>
    </x:row>
    <x:row r="2" ht="29" customHeight="1">
      <x:c r="A2" s="4" t="str">
        <x:v>Original task records</x:v>
      </x:c>
      <x:c r="B2" s="3"/>
      <x:c r="C2" s="3"/>
      <x:c r="D2" s="3"/>
      <x:c r="E2" s="3"/>
      <x:c r="F2" s="3"/>
      <x:c r="G2" s="3"/>
      <x:c r="H2" s="3"/>
      <x:c r="I2" s="3"/>
      <x:c r="J2" s="3"/>
      <x:c r="K2" s="3"/>
      <x:c r="L2" s="3"/>
    </x:row>
    <x:row r="3" ht="23" customHeight="1">
      <x:c r="A3" s="5" t="str">
        <x:v>Source: https://github.com/GlassHouse97/AI-Cost-Efficiency-Portfolio-Project/blob/main/DATA/TRACKS/portfolio-project/work_log.csv</x:v>
      </x:c>
      <x:c r="B3" s="3"/>
      <x:c r="C3" s="3"/>
      <x:c r="D3" s="3"/>
      <x:c r="E3" s="3"/>
      <x:c r="F3" s="3"/>
      <x:c r="G3" s="3"/>
      <x:c r="H3" s="3"/>
      <x:c r="I3" s="3"/>
      <x:c r="J3" s="3"/>
      <x:c r="K3" s="3"/>
      <x:c r="L3" s="3"/>
    </x:row>
    <x:row r="4" ht="23" customHeight="1">
      <x:c r="A4" s="5" t="str">
        <x:v>Original source values are retained. Dates and numeric fields are typed for Excel.</x:v>
      </x:c>
      <x:c r="B4" s="3"/>
      <x:c r="C4" s="3"/>
      <x:c r="D4" s="3"/>
      <x:c r="E4" s="3"/>
      <x:c r="F4" s="3"/>
      <x:c r="G4" s="3"/>
      <x:c r="H4" s="3"/>
      <x:c r="I4" s="3"/>
      <x:c r="J4" s="3"/>
      <x:c r="K4" s="3"/>
      <x:c r="L4" s="3"/>
    </x:row>
    <x:row r="5" ht="23" customHeight="1">
      <x:c r="A5" s="3"/>
      <x:c r="B5" s="3"/>
      <x:c r="C5" s="3"/>
      <x:c r="D5" s="3"/>
      <x:c r="E5" s="3"/>
      <x:c r="F5" s="3"/>
      <x:c r="G5" s="3"/>
      <x:c r="H5" s="3"/>
      <x:c r="I5" s="3"/>
      <x:c r="J5" s="3"/>
      <x:c r="K5" s="3"/>
      <x:c r="L5" s="3"/>
    </x:row>
    <x:row r="6" ht="44" customHeight="1">
      <x:c r="A6" s="14" t="str">
        <x:v>work_item_id</x:v>
      </x:c>
      <x:c r="B6" s="15" t="str">
        <x:v>completion_date</x:v>
      </x:c>
      <x:c r="C6" s="15" t="str">
        <x:v>campaign_id</x:v>
      </x:c>
      <x:c r="D6" s="15" t="str">
        <x:v>department</x:v>
      </x:c>
      <x:c r="E6" s="15" t="str">
        <x:v>employee</x:v>
      </x:c>
      <x:c r="F6" s="15" t="str">
        <x:v>task_type</x:v>
      </x:c>
      <x:c r="G6" s="15" t="str">
        <x:v>baseline_hours</x:v>
      </x:c>
      <x:c r="H6" s="15" t="str">
        <x:v>actual_hours</x:v>
      </x:c>
      <x:c r="I6" s="15" t="str">
        <x:v>rework_hours</x:v>
      </x:c>
      <x:c r="J6" s="15" t="str">
        <x:v>issue_tag</x:v>
      </x:c>
      <x:c r="K6" s="15" t="str">
        <x:v>brief_changed</x:v>
      </x:c>
      <x:c r="L6" s="16" t="str">
        <x:v>prompt_template_used</x:v>
      </x:c>
    </x:row>
    <x:row r="7" ht="23" customHeight="1">
      <x:c r="A7" s="17" t="str">
        <x:v>W0001</x:v>
      </x:c>
      <x:c r="B7" s="18" t="n">
        <x:v>46275</x:v>
      </x:c>
      <x:c r="C7" s="17" t="str">
        <x:v>C001</x:v>
      </x:c>
      <x:c r="D7" s="17" t="str">
        <x:v>Content</x:v>
      </x:c>
      <x:c r="E7" s="17" t="str">
        <x:v>Avery Morgan</x:v>
      </x:c>
      <x:c r="F7" s="17" t="str">
        <x:v>Write ad copy</x:v>
      </x:c>
      <x:c r="G7" s="20" t="n">
        <x:v>4.57</x:v>
      </x:c>
      <x:c r="H7" s="20" t="n">
        <x:v>4.75</x:v>
      </x:c>
      <x:c r="I7" s="20" t="n">
        <x:v>0.65</x:v>
      </x:c>
      <x:c r="J7" s="17" t="str">
        <x:v>Data problem</x:v>
      </x:c>
      <x:c r="K7" s="17" t="str">
        <x:v>No</x:v>
      </x:c>
      <x:c r="L7" s="17" t="str">
        <x:v>Yes</x:v>
      </x:c>
    </x:row>
    <x:row r="8" ht="23" customHeight="1">
      <x:c r="A8" s="17" t="str">
        <x:v>W0002</x:v>
      </x:c>
      <x:c r="B8" s="18" t="n">
        <x:v>46286</x:v>
      </x:c>
      <x:c r="C8" s="17" t="str">
        <x:v>C001</x:v>
      </x:c>
      <x:c r="D8" s="17" t="str">
        <x:v>Content</x:v>
      </x:c>
      <x:c r="E8" s="17" t="str">
        <x:v>Jordan Ellis</x:v>
      </x:c>
      <x:c r="F8" s="17" t="str">
        <x:v>Draft email sequence</x:v>
      </x:c>
      <x:c r="G8" s="20" t="n">
        <x:v>4.11</x:v>
      </x:c>
      <x:c r="H8" s="20" t="n">
        <x:v>4.62</x:v>
      </x:c>
      <x:c r="I8" s="20" t="n">
        <x:v>0.33</x:v>
      </x:c>
      <x:c r="J8" s="17" t="str">
        <x:v>Unclear prompt</x:v>
      </x:c>
      <x:c r="K8" s="17" t="str">
        <x:v>No</x:v>
      </x:c>
      <x:c r="L8" s="17" t="str">
        <x:v>Yes</x:v>
      </x:c>
    </x:row>
    <x:row r="9" ht="23" customHeight="1">
      <x:c r="A9" s="17" t="str">
        <x:v>W0003</x:v>
      </x:c>
      <x:c r="B9" s="18" t="n">
        <x:v>46295</x:v>
      </x:c>
      <x:c r="C9" s="17" t="str">
        <x:v>C001</x:v>
      </x:c>
      <x:c r="D9" s="17" t="str">
        <x:v>Creative</x:v>
      </x:c>
      <x:c r="E9" s="17" t="str">
        <x:v>Riley Chen</x:v>
      </x:c>
      <x:c r="F9" s="17" t="str">
        <x:v>Plan visual narrative</x:v>
      </x:c>
      <x:c r="G9" s="20" t="n">
        <x:v>2.76</x:v>
      </x:c>
      <x:c r="H9" s="20" t="n">
        <x:v>2.95</x:v>
      </x:c>
      <x:c r="I9" s="20" t="n">
        <x:v>0.39</x:v>
      </x:c>
      <x:c r="J9" s="17" t="str">
        <x:v>Brief changed</x:v>
      </x:c>
      <x:c r="K9" s="17" t="str">
        <x:v>Yes</x:v>
      </x:c>
      <x:c r="L9" s="17" t="str">
        <x:v>Yes</x:v>
      </x:c>
    </x:row>
    <x:row r="10" ht="23" customHeight="1">
      <x:c r="A10" s="17" t="str">
        <x:v>W0004</x:v>
      </x:c>
      <x:c r="B10" s="18" t="n">
        <x:v>46280</x:v>
      </x:c>
      <x:c r="C10" s="17" t="str">
        <x:v>C001</x:v>
      </x:c>
      <x:c r="D10" s="17" t="str">
        <x:v>Creative</x:v>
      </x:c>
      <x:c r="E10" s="17" t="str">
        <x:v>Taylor Brooks</x:v>
      </x:c>
      <x:c r="F10" s="17" t="str">
        <x:v>Develop concept brief</x:v>
      </x:c>
      <x:c r="G10" s="20" t="n">
        <x:v>3.13</x:v>
      </x:c>
      <x:c r="H10" s="20" t="n">
        <x:v>4.19</x:v>
      </x:c>
      <x:c r="I10" s="20" t="n">
        <x:v>0.31</x:v>
      </x:c>
      <x:c r="J10" s="17" t="str">
        <x:v>None</x:v>
      </x:c>
      <x:c r="K10" s="17" t="str">
        <x:v>No</x:v>
      </x:c>
      <x:c r="L10" s="17" t="str">
        <x:v>Yes</x:v>
      </x:c>
    </x:row>
    <x:row r="11" ht="23" customHeight="1">
      <x:c r="A11" s="17" t="str">
        <x:v>W0005</x:v>
      </x:c>
      <x:c r="B11" s="18" t="n">
        <x:v>46289</x:v>
      </x:c>
      <x:c r="C11" s="17" t="str">
        <x:v>C001</x:v>
      </x:c>
      <x:c r="D11" s="17" t="str">
        <x:v>  marketing operations </x:v>
      </x:c>
      <x:c r="E11" s="17" t="str">
        <x:v>Casey Rivera</x:v>
      </x:c>
      <x:c r="F11" s="17" t="str">
        <x:v>Clean audience data</x:v>
      </x:c>
      <x:c r="G11" s="20" t="n">
        <x:v>4.36</x:v>
      </x:c>
      <x:c r="H11" s="20" t="n">
        <x:v>4.53</x:v>
      </x:c>
      <x:c r="I11" s="20" t="n">
        <x:v>0.65</x:v>
      </x:c>
      <x:c r="J11" s="17" t="str">
        <x:v>Unclear prompt</x:v>
      </x:c>
      <x:c r="K11" s="17" t="str">
        <x:v>No</x:v>
      </x:c>
      <x:c r="L11" s="17" t="str">
        <x:v>Yes</x:v>
      </x:c>
    </x:row>
    <x:row r="12" ht="23" customHeight="1">
      <x:c r="A12" s="17" t="str">
        <x:v>W0006</x:v>
      </x:c>
      <x:c r="B12" s="18" t="n">
        <x:v>46274</x:v>
      </x:c>
      <x:c r="C12" s="17" t="str">
        <x:v>C001</x:v>
      </x:c>
      <x:c r="D12" s="17" t="str">
        <x:v>Marketing Operations</x:v>
      </x:c>
      <x:c r="E12" s="17" t="str">
        <x:v>Morgan Reed</x:v>
      </x:c>
      <x:c r="F12" s="17" t="str">
        <x:v>Prepare launch checklist</x:v>
      </x:c>
      <x:c r="G12" s="20" t="n">
        <x:v>4.89</x:v>
      </x:c>
      <x:c r="H12" s="20" t="n">
        <x:v>5.43</x:v>
      </x:c>
      <x:c r="I12" s="20" t="n">
        <x:v>0.44</x:v>
      </x:c>
      <x:c r="J12" s="17" t="str">
        <x:v>Unclear prompt</x:v>
      </x:c>
      <x:c r="K12" s="17" t="str">
        <x:v>No</x:v>
      </x:c>
      <x:c r="L12" s="17" t="str">
        <x:v>Yes</x:v>
      </x:c>
    </x:row>
    <x:row r="13" ht="23" customHeight="1">
      <x:c r="A13" s="17" t="str">
        <x:v>W0007</x:v>
      </x:c>
      <x:c r="B13" s="18" t="n">
        <x:v>46283</x:v>
      </x:c>
      <x:c r="C13" s="17" t="str">
        <x:v>C001</x:v>
      </x:c>
      <x:c r="D13" s="17" t="str">
        <x:v>Analytics</x:v>
      </x:c>
      <x:c r="E13" s="17" t="str">
        <x:v>Quinn Parker</x:v>
      </x:c>
      <x:c r="F13" s="17" t="str">
        <x:v>Analyze campaign results</x:v>
      </x:c>
      <x:c r="G13" s="20" t="n">
        <x:v>4.32</x:v>
      </x:c>
      <x:c r="H13" s="20" t="n">
        <x:v>5.21</x:v>
      </x:c>
      <x:c r="I13" s="20" t="n">
        <x:v>0.22</x:v>
      </x:c>
      <x:c r="J13" s="17" t="str">
        <x:v>Data problem</x:v>
      </x:c>
      <x:c r="K13" s="17" t="str">
        <x:v>No</x:v>
      </x:c>
      <x:c r="L13" s="17" t="str">
        <x:v>Yes</x:v>
      </x:c>
    </x:row>
    <x:row r="14" ht="23" customHeight="1">
      <x:c r="A14" s="17" t="str">
        <x:v>W0008</x:v>
      </x:c>
      <x:c r="B14" s="18" t="n">
        <x:v>46294</x:v>
      </x:c>
      <x:c r="C14" s="17" t="str">
        <x:v>C001</x:v>
      </x:c>
      <x:c r="D14" s="17" t="str">
        <x:v>Analytics</x:v>
      </x:c>
      <x:c r="E14" s="17" t="str">
        <x:v>Jamie Patel</x:v>
      </x:c>
      <x:c r="F14" s="17" t="str">
        <x:v>Summarize audience insights</x:v>
      </x:c>
      <x:c r="G14" s="20" t="n">
        <x:v>4.64</x:v>
      </x:c>
      <x:c r="H14" s="20" t="n">
        <x:v>6.01</x:v>
      </x:c>
      <x:c r="I14" s="20" t="n">
        <x:v>0.25</x:v>
      </x:c>
      <x:c r="J14" s="17" t="str">
        <x:v>Data problem</x:v>
      </x:c>
      <x:c r="K14" s="17" t="str">
        <x:v>No</x:v>
      </x:c>
      <x:c r="L14" s="17" t="str">
        <x:v>Yes</x:v>
      </x:c>
    </x:row>
    <x:row r="15" ht="23" customHeight="1">
      <x:c r="A15" s="17" t="str">
        <x:v>W0009</x:v>
      </x:c>
      <x:c r="B15" s="18" t="n">
        <x:v>46279</x:v>
      </x:c>
      <x:c r="C15" s="17" t="str">
        <x:v>C001</x:v>
      </x:c>
      <x:c r="D15" s="17" t="str">
        <x:v>Content</x:v>
      </x:c>
      <x:c r="E15" s="17" t="str">
        <x:v>Avery Morgan</x:v>
      </x:c>
      <x:c r="F15" s="17" t="str">
        <x:v>Edit landing page</x:v>
      </x:c>
      <x:c r="G15" s="20" t="n">
        <x:v>4.69</x:v>
      </x:c>
      <x:c r="H15" s="20" t="n">
        <x:v>2.45</x:v>
      </x:c>
      <x:c r="I15" s="20" t="n">
        <x:v>0.11</x:v>
      </x:c>
      <x:c r="J15" s="17" t="str">
        <x:v>None</x:v>
      </x:c>
      <x:c r="K15" s="17" t="str">
        <x:v>No</x:v>
      </x:c>
      <x:c r="L15" s="17" t="str">
        <x:v>Yes</x:v>
      </x:c>
    </x:row>
    <x:row r="16" ht="23" customHeight="1">
      <x:c r="A16" s="17" t="str">
        <x:v>W0010</x:v>
      </x:c>
      <x:c r="B16" s="18" t="n">
        <x:v>46288</x:v>
      </x:c>
      <x:c r="C16" s="17" t="str">
        <x:v>C001</x:v>
      </x:c>
      <x:c r="D16" s="17" t="str">
        <x:v>Content</x:v>
      </x:c>
      <x:c r="E16" s="17" t="str">
        <x:v>Jordan Ellis</x:v>
      </x:c>
      <x:c r="F16" s="17" t="str">
        <x:v>Write ad copy</x:v>
      </x:c>
      <x:c r="G16" s="20" t="n">
        <x:v>4</x:v>
      </x:c>
      <x:c r="H16" s="20" t="n">
        <x:v>2.18</x:v>
      </x:c>
      <x:c r="I16" s="20" t="n">
        <x:v>0.14</x:v>
      </x:c>
      <x:c r="J16" s="17" t="str">
        <x:v>None</x:v>
      </x:c>
      <x:c r="K16" s="17" t="str">
        <x:v>No</x:v>
      </x:c>
      <x:c r="L16" s="17" t="str">
        <x:v>Yes</x:v>
      </x:c>
    </x:row>
    <x:row r="17" ht="23" customHeight="1">
      <x:c r="A17" s="17" t="str">
        <x:v>W0011</x:v>
      </x:c>
      <x:c r="B17" s="18" t="n">
        <x:v>46273</x:v>
      </x:c>
      <x:c r="C17" s="17" t="str">
        <x:v>C001</x:v>
      </x:c>
      <x:c r="D17" s="17" t="str">
        <x:v>Creative</x:v>
      </x:c>
      <x:c r="E17" s="17" t="str">
        <x:v>Riley Chen</x:v>
      </x:c>
      <x:c r="F17" s="17" t="str">
        <x:v>Review creative variants</x:v>
      </x:c>
      <x:c r="G17" s="20" t="n">
        <x:v>3.2</x:v>
      </x:c>
      <x:c r="H17" s="20" t="n">
        <x:v>1.43</x:v>
      </x:c>
      <x:c r="I17" s="20" t="n">
        <x:v>0.05</x:v>
      </x:c>
      <x:c r="J17" s="17" t="str">
        <x:v>None</x:v>
      </x:c>
      <x:c r="K17" s="17" t="str">
        <x:v>No</x:v>
      </x:c>
      <x:c r="L17" s="17" t="str">
        <x:v>Yes</x:v>
      </x:c>
    </x:row>
    <x:row r="18" ht="23" customHeight="1">
      <x:c r="A18" s="17" t="str">
        <x:v>W0012</x:v>
      </x:c>
      <x:c r="B18" s="18" t="n">
        <x:v>46282</x:v>
      </x:c>
      <x:c r="C18" s="17" t="str">
        <x:v>C001</x:v>
      </x:c>
      <x:c r="D18" s="17" t="str">
        <x:v>Creative</x:v>
      </x:c>
      <x:c r="E18" s="17" t="str">
        <x:v>Taylor Brooks</x:v>
      </x:c>
      <x:c r="F18" s="17" t="str">
        <x:v>Plan visual narrative</x:v>
      </x:c>
      <x:c r="G18" s="20" t="n">
        <x:v>3.84</x:v>
      </x:c>
      <x:c r="H18" s="20" t="n">
        <x:v>1.54</x:v>
      </x:c>
      <x:c r="I18" s="20" t="n">
        <x:v>0.02</x:v>
      </x:c>
      <x:c r="J18" s="17" t="str">
        <x:v>None</x:v>
      </x:c>
      <x:c r="K18" s="17" t="str">
        <x:v>No</x:v>
      </x:c>
      <x:c r="L18" s="17" t="str">
        <x:v>Yes</x:v>
      </x:c>
    </x:row>
    <x:row r="19" ht="23" customHeight="1">
      <x:c r="A19" s="17" t="str">
        <x:v>W0013</x:v>
      </x:c>
      <x:c r="B19" s="18" t="n">
        <x:v>46293</x:v>
      </x:c>
      <x:c r="C19" s="17" t="str">
        <x:v>C001</x:v>
      </x:c>
      <x:c r="D19" s="17" t="str">
        <x:v>Marketing Operations</x:v>
      </x:c>
      <x:c r="E19" s="17" t="str">
        <x:v>Casey Rivera</x:v>
      </x:c>
      <x:c r="F19" s="17" t="str">
        <x:v>Build campaign plan</x:v>
      </x:c>
      <x:c r="G19" s="20" t="n">
        <x:v>4.23</x:v>
      </x:c>
      <x:c r="H19" s="20" t="n">
        <x:v>1.35</x:v>
      </x:c>
      <x:c r="I19" s="20" t="n">
        <x:v>0.2</x:v>
      </x:c>
      <x:c r="J19" s="17" t="str">
        <x:v>Brief changed</x:v>
      </x:c>
      <x:c r="K19" s="17" t="str">
        <x:v>Yes</x:v>
      </x:c>
      <x:c r="L19" s="17" t="str">
        <x:v>No</x:v>
      </x:c>
    </x:row>
    <x:row r="20" ht="23" customHeight="1">
      <x:c r="A20" s="17" t="str">
        <x:v>W0014</x:v>
      </x:c>
      <x:c r="B20" s="18" t="n">
        <x:v>46276</x:v>
      </x:c>
      <x:c r="C20" s="17" t="str">
        <x:v>C001</x:v>
      </x:c>
      <x:c r="D20" s="17" t="str">
        <x:v>Marketing Operations</x:v>
      </x:c>
      <x:c r="E20" s="17" t="str">
        <x:v>Morgan Reed</x:v>
      </x:c>
      <x:c r="F20" s="17" t="str">
        <x:v>Clean audience data</x:v>
      </x:c>
      <x:c r="G20" s="20" t="n">
        <x:v>3.61</x:v>
      </x:c>
      <x:c r="H20" s="20" t="n">
        <x:v>1.95</x:v>
      </x:c>
      <x:c r="I20" s="20" t="n">
        <x:v>0.35</x:v>
      </x:c>
      <x:c r="J20" s="17" t="str">
        <x:v>Data problem</x:v>
      </x:c>
      <x:c r="K20" s="17" t="str">
        <x:v>No</x:v>
      </x:c>
      <x:c r="L20" s="17" t="str">
        <x:v>Yes</x:v>
      </x:c>
    </x:row>
    <x:row r="21" ht="23" customHeight="1">
      <x:c r="A21" s="17" t="str">
        <x:v>W0015</x:v>
      </x:c>
      <x:c r="B21" s="18" t="n">
        <x:v>46287</x:v>
      </x:c>
      <x:c r="C21" s="17" t="str">
        <x:v>C001</x:v>
      </x:c>
      <x:c r="D21" s="17" t="str">
        <x:v>Analytics</x:v>
      </x:c>
      <x:c r="E21" s="17" t="str">
        <x:v>Quinn Parker</x:v>
      </x:c>
      <x:c r="F21" s="17" t="str">
        <x:v>Check measurement plan</x:v>
      </x:c>
      <x:c r="G21" s="20" t="n">
        <x:v>4.21</x:v>
      </x:c>
      <x:c r="H21" s="20" t="n">
        <x:v>2.15</x:v>
      </x:c>
      <x:c r="I21" s="20" t="n">
        <x:v>0.09</x:v>
      </x:c>
      <x:c r="J21" s="17" t="str">
        <x:v>None</x:v>
      </x:c>
      <x:c r="K21" s="17" t="str">
        <x:v>No</x:v>
      </x:c>
      <x:c r="L21" s="17" t="str">
        <x:v>Yes</x:v>
      </x:c>
    </x:row>
    <x:row r="22" ht="23" customHeight="1">
      <x:c r="A22" s="17" t="str">
        <x:v>W0016</x:v>
      </x:c>
      <x:c r="B22" s="18" t="n">
        <x:v>46269</x:v>
      </x:c>
      <x:c r="C22" s="17" t="str">
        <x:v>C001</x:v>
      </x:c>
      <x:c r="D22" s="17" t="str">
        <x:v>Analytics</x:v>
      </x:c>
      <x:c r="E22" s="17" t="str">
        <x:v>Jamie Patel</x:v>
      </x:c>
      <x:c r="F22" s="17" t="str">
        <x:v>Analyze campaign results</x:v>
      </x:c>
      <x:c r="G22" s="20" t="n">
        <x:v>3.91</x:v>
      </x:c>
      <x:c r="H22" s="20" t="n">
        <x:v>2.04</x:v>
      </x:c>
      <x:c r="I22" s="20" t="n">
        <x:v>0.26</x:v>
      </x:c>
      <x:c r="J22" s="17" t="str">
        <x:v>Brief changed</x:v>
      </x:c>
      <x:c r="K22" s="17" t="str">
        <x:v>Yes</x:v>
      </x:c>
      <x:c r="L22" s="17" t="str">
        <x:v>Yes</x:v>
      </x:c>
    </x:row>
    <x:row r="23" ht="23" customHeight="1">
      <x:c r="A23" s="17" t="str">
        <x:v>W0017</x:v>
      </x:c>
      <x:c r="B23" s="18" t="n">
        <x:v>46281</x:v>
      </x:c>
      <x:c r="C23" s="17" t="str">
        <x:v>C001</x:v>
      </x:c>
      <x:c r="D23" s="17" t="str">
        <x:v>Content</x:v>
      </x:c>
      <x:c r="E23" s="17" t="str">
        <x:v>Avery Morgan</x:v>
      </x:c>
      <x:c r="F23" s="17" t="str">
        <x:v>Draft email sequence</x:v>
      </x:c>
      <x:c r="G23" s="20" t="n">
        <x:v>2.77</x:v>
      </x:c>
      <x:c r="H23" s="20" t="n">
        <x:v>1.21</x:v>
      </x:c>
      <x:c r="I23" s="20" t="n">
        <x:v>0.02</x:v>
      </x:c>
      <x:c r="J23" s="17" t="str">
        <x:v>None</x:v>
      </x:c>
      <x:c r="K23" s="17" t="str">
        <x:v>No</x:v>
      </x:c>
      <x:c r="L23" s="17" t="str">
        <x:v>Yes</x:v>
      </x:c>
    </x:row>
    <x:row r="24" ht="23" customHeight="1">
      <x:c r="A24" s="17" t="str">
        <x:v>W0018</x:v>
      </x:c>
      <x:c r="B24" s="18" t="n">
        <x:v>46290</x:v>
      </x:c>
      <x:c r="C24" s="17" t="str">
        <x:v>C001</x:v>
      </x:c>
      <x:c r="D24" s="17" t="str">
        <x:v>  content </x:v>
      </x:c>
      <x:c r="E24" s="17" t="str">
        <x:v>Jordan Ellis</x:v>
      </x:c>
      <x:c r="F24" s="17" t="str">
        <x:v>Edit landing page</x:v>
      </x:c>
      <x:c r="G24" s="20" t="n">
        <x:v>5.26</x:v>
      </x:c>
      <x:c r="H24" s="20" t="n">
        <x:v>2.96</x:v>
      </x:c>
      <x:c r="I24" s="20" t="n">
        <x:v>0.45</x:v>
      </x:c>
      <x:c r="J24" s="17" t="str">
        <x:v>Unclear prompt</x:v>
      </x:c>
      <x:c r="K24" s="17" t="str">
        <x:v>No</x:v>
      </x:c>
      <x:c r="L24" s="17" t="str">
        <x:v>Yes</x:v>
      </x:c>
    </x:row>
    <x:row r="25" ht="23" customHeight="1">
      <x:c r="A25" s="17" t="str">
        <x:v>W0019</x:v>
      </x:c>
      <x:c r="B25" s="18" t="n">
        <x:v>46275</x:v>
      </x:c>
      <x:c r="C25" s="17" t="str">
        <x:v>C001</x:v>
      </x:c>
      <x:c r="D25" s="17" t="str">
        <x:v>Creative</x:v>
      </x:c>
      <x:c r="E25" s="17" t="str">
        <x:v>Riley Chen</x:v>
      </x:c>
      <x:c r="F25" s="17" t="str">
        <x:v>Develop concept brief</x:v>
      </x:c>
      <x:c r="G25" s="20" t="n">
        <x:v>3</x:v>
      </x:c>
      <x:c r="H25" s="20" t="n">
        <x:v>1.51</x:v>
      </x:c>
      <x:c r="I25" s="20" t="n">
        <x:v>0.08</x:v>
      </x:c>
      <x:c r="J25" s="17" t="str">
        <x:v>None</x:v>
      </x:c>
      <x:c r="K25" s="17" t="str">
        <x:v>No</x:v>
      </x:c>
      <x:c r="L25" s="17" t="str">
        <x:v>No</x:v>
      </x:c>
    </x:row>
    <x:row r="26" ht="23" customHeight="1">
      <x:c r="A26" s="17" t="str">
        <x:v>W0020</x:v>
      </x:c>
      <x:c r="B26" s="18" t="n">
        <x:v>46286</x:v>
      </x:c>
      <x:c r="C26" s="17" t="str">
        <x:v>C001</x:v>
      </x:c>
      <x:c r="D26" s="17" t="str">
        <x:v>Creative</x:v>
      </x:c>
      <x:c r="E26" s="17" t="str">
        <x:v>Taylor Brooks</x:v>
      </x:c>
      <x:c r="F26" s="17" t="str">
        <x:v>Review creative variants</x:v>
      </x:c>
      <x:c r="G26" s="20" t="n">
        <x:v>2.78</x:v>
      </x:c>
      <x:c r="H26" s="20" t="n">
        <x:v>1.52</x:v>
      </x:c>
      <x:c r="I26" s="20" t="n">
        <x:v>0.06</x:v>
      </x:c>
      <x:c r="J26" s="17" t="str">
        <x:v>None</x:v>
      </x:c>
      <x:c r="K26" s="17" t="str">
        <x:v>No</x:v>
      </x:c>
      <x:c r="L26" s="17" t="str">
        <x:v>Yes</x:v>
      </x:c>
    </x:row>
    <x:row r="27" ht="23" customHeight="1">
      <x:c r="A27" s="17" t="str">
        <x:v>W0021</x:v>
      </x:c>
      <x:c r="B27" s="18" t="n">
        <x:v>46295</x:v>
      </x:c>
      <x:c r="C27" s="17" t="str">
        <x:v>C001</x:v>
      </x:c>
      <x:c r="D27" s="17" t="str">
        <x:v>Marketing Operations</x:v>
      </x:c>
      <x:c r="E27" s="17" t="str">
        <x:v>Casey Rivera</x:v>
      </x:c>
      <x:c r="F27" s="17" t="str">
        <x:v>Prepare launch checklist</x:v>
      </x:c>
      <x:c r="G27" s="20" t="n">
        <x:v>2.9</x:v>
      </x:c>
      <x:c r="H27" s="20" t="n">
        <x:v>1.42</x:v>
      </x:c>
      <x:c r="I27" s="20" t="n">
        <x:v>0.12</x:v>
      </x:c>
      <x:c r="J27" s="17" t="str">
        <x:v>None</x:v>
      </x:c>
      <x:c r="K27" s="17" t="str">
        <x:v>No</x:v>
      </x:c>
      <x:c r="L27" s="17" t="str">
        <x:v>No</x:v>
      </x:c>
    </x:row>
    <x:row r="28" ht="23" customHeight="1">
      <x:c r="A28" s="17" t="str">
        <x:v>W0022</x:v>
      </x:c>
      <x:c r="B28" s="18" t="n">
        <x:v>46280</x:v>
      </x:c>
      <x:c r="C28" s="17" t="str">
        <x:v>C001</x:v>
      </x:c>
      <x:c r="D28" s="17" t="str">
        <x:v>Marketing Operations</x:v>
      </x:c>
      <x:c r="E28" s="17" t="str">
        <x:v>Morgan Reed</x:v>
      </x:c>
      <x:c r="F28" s="17" t="str">
        <x:v>Build campaign plan</x:v>
      </x:c>
      <x:c r="G28" s="20" t="n">
        <x:v>3.22</x:v>
      </x:c>
      <x:c r="H28" s="20" t="n">
        <x:v>1.57</x:v>
      </x:c>
      <x:c r="I28" s="20" t="n">
        <x:v>0.07</x:v>
      </x:c>
      <x:c r="J28" s="17" t="str">
        <x:v>None</x:v>
      </x:c>
      <x:c r="K28" s="17" t="str">
        <x:v>No</x:v>
      </x:c>
      <x:c r="L28" s="17" t="str">
        <x:v>No</x:v>
      </x:c>
    </x:row>
    <x:row r="29" ht="23" customHeight="1">
      <x:c r="A29" s="17" t="str">
        <x:v>W0023</x:v>
      </x:c>
      <x:c r="B29" s="18" t="n">
        <x:v>46289</x:v>
      </x:c>
      <x:c r="C29" s="17" t="str">
        <x:v>C001</x:v>
      </x:c>
      <x:c r="D29" s="17" t="str">
        <x:v>Analytics</x:v>
      </x:c>
      <x:c r="E29" s="17" t="str">
        <x:v>Quinn Parker</x:v>
      </x:c>
      <x:c r="F29" s="17" t="str">
        <x:v>Summarize audience insights</x:v>
      </x:c>
      <x:c r="G29" s="20" t="n">
        <x:v>5.14</x:v>
      </x:c>
      <x:c r="H29" s="20" t="n">
        <x:v>2.29</x:v>
      </x:c>
      <x:c r="I29" s="20" t="n">
        <x:v>0.05</x:v>
      </x:c>
      <x:c r="J29" s="17" t="str">
        <x:v>Unclear prompt</x:v>
      </x:c>
      <x:c r="K29" s="17" t="str">
        <x:v>No</x:v>
      </x:c>
      <x:c r="L29" s="17" t="str">
        <x:v>Yes</x:v>
      </x:c>
    </x:row>
    <x:row r="30" ht="23" customHeight="1">
      <x:c r="A30" s="17" t="str">
        <x:v>W0024</x:v>
      </x:c>
      <x:c r="B30" s="18" t="n">
        <x:v>46274</x:v>
      </x:c>
      <x:c r="C30" s="17" t="str">
        <x:v>C001</x:v>
      </x:c>
      <x:c r="D30" s="17" t="str">
        <x:v>Analytics</x:v>
      </x:c>
      <x:c r="E30" s="17" t="str">
        <x:v>Jamie Patel</x:v>
      </x:c>
      <x:c r="F30" s="17" t="str">
        <x:v>Check measurement plan</x:v>
      </x:c>
      <x:c r="G30" s="20" t="n">
        <x:v>3.52</x:v>
      </x:c>
      <x:c r="H30" s="20" t="n">
        <x:v>1.92</x:v>
      </x:c>
      <x:c r="I30" s="20" t="n">
        <x:v>0.15</x:v>
      </x:c>
      <x:c r="J30" s="17" t="str">
        <x:v>None</x:v>
      </x:c>
      <x:c r="K30" s="17" t="str">
        <x:v>No</x:v>
      </x:c>
      <x:c r="L30" s="17" t="str">
        <x:v>Yes</x:v>
      </x:c>
    </x:row>
    <x:row r="31" ht="23" customHeight="1">
      <x:c r="A31" s="17" t="str">
        <x:v>W0025</x:v>
      </x:c>
      <x:c r="B31" s="18" t="n">
        <x:v>46283</x:v>
      </x:c>
      <x:c r="C31" s="17" t="str">
        <x:v>C001</x:v>
      </x:c>
      <x:c r="D31" s="17" t="str">
        <x:v>Content</x:v>
      </x:c>
      <x:c r="E31" s="17" t="str">
        <x:v>Avery Morgan</x:v>
      </x:c>
      <x:c r="F31" s="17" t="str">
        <x:v>Write ad copy</x:v>
      </x:c>
      <x:c r="G31" s="20" t="n">
        <x:v>4.92</x:v>
      </x:c>
      <x:c r="H31" s="20" t="n">
        <x:v>2.74</x:v>
      </x:c>
      <x:c r="I31" s="20" t="n">
        <x:v>0.07</x:v>
      </x:c>
      <x:c r="J31" s="17" t="str">
        <x:v>Brief changed</x:v>
      </x:c>
      <x:c r="K31" s="17" t="str">
        <x:v>Yes</x:v>
      </x:c>
      <x:c r="L31" s="17" t="str">
        <x:v>Yes</x:v>
      </x:c>
    </x:row>
    <x:row r="32" ht="23" customHeight="1">
      <x:c r="A32" s="17" t="str">
        <x:v>W0026</x:v>
      </x:c>
      <x:c r="B32" s="18" t="n">
        <x:v>46294</x:v>
      </x:c>
      <x:c r="C32" s="17" t="str">
        <x:v>C001</x:v>
      </x:c>
      <x:c r="D32" s="17" t="str">
        <x:v>Content</x:v>
      </x:c>
      <x:c r="E32" s="17" t="str">
        <x:v>Jordan Ellis</x:v>
      </x:c>
      <x:c r="F32" s="17" t="str">
        <x:v>Draft email sequence</x:v>
      </x:c>
      <x:c r="G32" s="20" t="n">
        <x:v>3.8</x:v>
      </x:c>
      <x:c r="H32" s="20" t="n">
        <x:v>1.57</x:v>
      </x:c>
      <x:c r="I32" s="20" t="n">
        <x:v>0.03</x:v>
      </x:c>
      <x:c r="J32" s="17" t="str">
        <x:v>None</x:v>
      </x:c>
      <x:c r="K32" s="17" t="str">
        <x:v>No</x:v>
      </x:c>
      <x:c r="L32" s="17" t="str">
        <x:v>Yes</x:v>
      </x:c>
    </x:row>
    <x:row r="33" ht="23" customHeight="1">
      <x:c r="A33" s="17" t="str">
        <x:v>W0027</x:v>
      </x:c>
      <x:c r="B33" s="18" t="n">
        <x:v>46279</x:v>
      </x:c>
      <x:c r="C33" s="17" t="str">
        <x:v>C001</x:v>
      </x:c>
      <x:c r="D33" s="17" t="str">
        <x:v>Creative</x:v>
      </x:c>
      <x:c r="E33" s="17" t="str">
        <x:v>Riley Chen</x:v>
      </x:c>
      <x:c r="F33" s="17" t="str">
        <x:v>Plan visual narrative</x:v>
      </x:c>
      <x:c r="G33" s="20" t="n">
        <x:v>4.7</x:v>
      </x:c>
      <x:c r="H33" s="20" t="n">
        <x:v>2.76</x:v>
      </x:c>
      <x:c r="I33" s="20" t="n">
        <x:v>0.14</x:v>
      </x:c>
      <x:c r="J33" s="17" t="str">
        <x:v>None</x:v>
      </x:c>
      <x:c r="K33" s="17" t="str">
        <x:v>No</x:v>
      </x:c>
      <x:c r="L33" s="17" t="str">
        <x:v>Yes</x:v>
      </x:c>
    </x:row>
    <x:row r="34" ht="23" customHeight="1">
      <x:c r="A34" s="17" t="str">
        <x:v>W0028</x:v>
      </x:c>
      <x:c r="B34" s="18" t="n">
        <x:v>46288</x:v>
      </x:c>
      <x:c r="C34" s="17" t="str">
        <x:v>C001</x:v>
      </x:c>
      <x:c r="D34" s="17" t="str">
        <x:v>Creative</x:v>
      </x:c>
      <x:c r="E34" s="17" t="str">
        <x:v>Taylor Brooks</x:v>
      </x:c>
      <x:c r="F34" s="17" t="str">
        <x:v>Develop concept brief</x:v>
      </x:c>
      <x:c r="G34" s="20" t="n">
        <x:v>5.24</x:v>
      </x:c>
      <x:c r="H34" s="20" t="n">
        <x:v>2.88</x:v>
      </x:c>
      <x:c r="I34" s="20" t="n">
        <x:v>0.06</x:v>
      </x:c>
      <x:c r="J34" s="17" t="str">
        <x:v>None</x:v>
      </x:c>
      <x:c r="K34" s="17" t="str">
        <x:v>No</x:v>
      </x:c>
      <x:c r="L34" s="17" t="str">
        <x:v>Yes</x:v>
      </x:c>
    </x:row>
    <x:row r="35" ht="23" customHeight="1">
      <x:c r="A35" s="17" t="str">
        <x:v>W0029</x:v>
      </x:c>
      <x:c r="B35" s="18" t="n">
        <x:v>46273</x:v>
      </x:c>
      <x:c r="C35" s="17" t="str">
        <x:v>C001</x:v>
      </x:c>
      <x:c r="D35" s="17" t="str">
        <x:v>Marketing Operations</x:v>
      </x:c>
      <x:c r="E35" s="17" t="str">
        <x:v>Casey Rivera</x:v>
      </x:c>
      <x:c r="F35" s="17" t="str">
        <x:v>Clean audience data</x:v>
      </x:c>
      <x:c r="G35" s="20" t="n">
        <x:v>3.78</x:v>
      </x:c>
      <x:c r="H35" s="20" t="n">
        <x:v>1.83</x:v>
      </x:c>
      <x:c r="I35" s="20" t="n">
        <x:v>0.14</x:v>
      </x:c>
      <x:c r="J35" s="17" t="str">
        <x:v>Unclear prompt</x:v>
      </x:c>
      <x:c r="K35" s="17" t="str">
        <x:v>No</x:v>
      </x:c>
      <x:c r="L35" s="17" t="str">
        <x:v>Yes</x:v>
      </x:c>
    </x:row>
    <x:row r="36" ht="23" customHeight="1">
      <x:c r="A36" s="17" t="str">
        <x:v>W0030</x:v>
      </x:c>
      <x:c r="B36" s="18" t="n">
        <x:v>46282</x:v>
      </x:c>
      <x:c r="C36" s="17" t="str">
        <x:v>C001</x:v>
      </x:c>
      <x:c r="D36" s="17" t="str">
        <x:v>Marketing Operations</x:v>
      </x:c>
      <x:c r="E36" s="17" t="str">
        <x:v>Morgan Reed</x:v>
      </x:c>
      <x:c r="F36" s="17" t="str">
        <x:v>Prepare launch checklist</x:v>
      </x:c>
      <x:c r="G36" s="20" t="n">
        <x:v>4.56</x:v>
      </x:c>
      <x:c r="H36" s="20" t="n">
        <x:v>2.18</x:v>
      </x:c>
      <x:c r="I36" s="20" t="n">
        <x:v>0.22</x:v>
      </x:c>
      <x:c r="J36" s="17" t="str">
        <x:v>None</x:v>
      </x:c>
      <x:c r="K36" s="17" t="str">
        <x:v>No</x:v>
      </x:c>
      <x:c r="L36" s="17" t="str">
        <x:v>Yes</x:v>
      </x:c>
    </x:row>
    <x:row r="37" ht="23" customHeight="1">
      <x:c r="A37" s="17" t="str">
        <x:v>W0031</x:v>
      </x:c>
      <x:c r="B37" s="18" t="n">
        <x:v>46293</x:v>
      </x:c>
      <x:c r="C37" s="17" t="str">
        <x:v>C001</x:v>
      </x:c>
      <x:c r="D37" s="17" t="str">
        <x:v>Analytics</x:v>
      </x:c>
      <x:c r="E37" s="17" t="str">
        <x:v>Quinn Parker</x:v>
      </x:c>
      <x:c r="F37" s="17" t="str">
        <x:v>Analyze campaign results</x:v>
      </x:c>
      <x:c r="G37" s="20" t="n">
        <x:v>4.75</x:v>
      </x:c>
      <x:c r="H37" s="20" t="n">
        <x:v>2.46</x:v>
      </x:c>
      <x:c r="I37" s="20" t="n">
        <x:v>0.23</x:v>
      </x:c>
      <x:c r="J37" s="17" t="str">
        <x:v>Unclear prompt</x:v>
      </x:c>
      <x:c r="K37" s="17" t="str">
        <x:v>No</x:v>
      </x:c>
      <x:c r="L37" s="17" t="str">
        <x:v>Yes</x:v>
      </x:c>
    </x:row>
    <x:row r="38" ht="23" customHeight="1">
      <x:c r="A38" s="17" t="str">
        <x:v>W0032</x:v>
      </x:c>
      <x:c r="B38" s="18" t="n">
        <x:v>46276</x:v>
      </x:c>
      <x:c r="C38" s="17" t="str">
        <x:v>C001</x:v>
      </x:c>
      <x:c r="D38" s="17" t="str">
        <x:v>Analytics</x:v>
      </x:c>
      <x:c r="E38" s="17" t="str">
        <x:v>Jamie Patel</x:v>
      </x:c>
      <x:c r="F38" s="17" t="str">
        <x:v>Summarize audience insights</x:v>
      </x:c>
      <x:c r="G38" s="20" t="n">
        <x:v>2.95</x:v>
      </x:c>
      <x:c r="H38" s="20" t="n">
        <x:v>1.7</x:v>
      </x:c>
      <x:c r="I38" s="20" t="n">
        <x:v>0.05</x:v>
      </x:c>
      <x:c r="J38" s="17" t="str">
        <x:v>None</x:v>
      </x:c>
      <x:c r="K38" s="17" t="str">
        <x:v>No</x:v>
      </x:c>
      <x:c r="L38" s="17" t="str">
        <x:v>Yes</x:v>
      </x:c>
    </x:row>
    <x:row r="39" ht="23" customHeight="1">
      <x:c r="A39" s="17" t="str">
        <x:v>W0033</x:v>
      </x:c>
      <x:c r="B39" s="18" t="n">
        <x:v>46287</x:v>
      </x:c>
      <x:c r="C39" s="17" t="str">
        <x:v>C001</x:v>
      </x:c>
      <x:c r="D39" s="17" t="str">
        <x:v>Content</x:v>
      </x:c>
      <x:c r="E39" s="17" t="str">
        <x:v>Avery Morgan</x:v>
      </x:c>
      <x:c r="F39" s="17" t="str">
        <x:v>Edit landing page</x:v>
      </x:c>
      <x:c r="G39" s="20" t="n">
        <x:v>3.66</x:v>
      </x:c>
      <x:c r="H39" s="20" t="n">
        <x:v>1.57</x:v>
      </x:c>
      <x:c r="I39" s="20" t="n">
        <x:v>0.24</x:v>
      </x:c>
      <x:c r="J39" s="17" t="str">
        <x:v>Data problem</x:v>
      </x:c>
      <x:c r="K39" s="17" t="str">
        <x:v>No</x:v>
      </x:c>
      <x:c r="L39" s="17" t="str">
        <x:v>Yes</x:v>
      </x:c>
    </x:row>
    <x:row r="40" ht="23" customHeight="1">
      <x:c r="A40" s="17" t="str">
        <x:v>W0034</x:v>
      </x:c>
      <x:c r="B40" s="18" t="n">
        <x:v>46269</x:v>
      </x:c>
      <x:c r="C40" s="17" t="str">
        <x:v>C001</x:v>
      </x:c>
      <x:c r="D40" s="17" t="str">
        <x:v>Content</x:v>
      </x:c>
      <x:c r="E40" s="17" t="str">
        <x:v>Jordan Ellis</x:v>
      </x:c>
      <x:c r="F40" s="17" t="str">
        <x:v>Write ad copy</x:v>
      </x:c>
      <x:c r="G40" s="20" t="n">
        <x:v>4.06</x:v>
      </x:c>
      <x:c r="H40" s="20" t="n">
        <x:v>1.46</x:v>
      </x:c>
      <x:c r="I40" s="20" t="n">
        <x:v>0.06</x:v>
      </x:c>
      <x:c r="J40" s="17" t="str">
        <x:v>None</x:v>
      </x:c>
      <x:c r="K40" s="17" t="str">
        <x:v>No</x:v>
      </x:c>
      <x:c r="L40" s="17" t="str">
        <x:v>Yes</x:v>
      </x:c>
    </x:row>
    <x:row r="41" ht="23" customHeight="1">
      <x:c r="A41" s="17" t="str">
        <x:v>W0035</x:v>
      </x:c>
      <x:c r="B41" s="18" t="n">
        <x:v>46281</x:v>
      </x:c>
      <x:c r="C41" s="17" t="str">
        <x:v>C001</x:v>
      </x:c>
      <x:c r="D41" s="17" t="str">
        <x:v>Creative</x:v>
      </x:c>
      <x:c r="E41" s="17" t="str">
        <x:v>Riley Chen</x:v>
      </x:c>
      <x:c r="F41" s="17" t="str">
        <x:v>Review creative variants</x:v>
      </x:c>
      <x:c r="G41" s="20" t="n">
        <x:v>4.68</x:v>
      </x:c>
      <x:c r="H41" s="20" t="n">
        <x:v>1.65</x:v>
      </x:c>
      <x:c r="I41" s="20" t="n">
        <x:v>0.11</x:v>
      </x:c>
      <x:c r="J41" s="17" t="str">
        <x:v>Data problem</x:v>
      </x:c>
      <x:c r="K41" s="17" t="str">
        <x:v>No</x:v>
      </x:c>
      <x:c r="L41" s="17" t="str">
        <x:v>Yes</x:v>
      </x:c>
    </x:row>
    <x:row r="42" ht="23" customHeight="1">
      <x:c r="A42" s="17" t="str">
        <x:v>W0036</x:v>
      </x:c>
      <x:c r="B42" s="18" t="n">
        <x:v>46290</x:v>
      </x:c>
      <x:c r="C42" s="17" t="str">
        <x:v>C001</x:v>
      </x:c>
      <x:c r="D42" s="17" t="str">
        <x:v>Creative</x:v>
      </x:c>
      <x:c r="E42" s="17" t="str">
        <x:v>Taylor Brooks</x:v>
      </x:c>
      <x:c r="F42" s="17" t="str">
        <x:v>Plan visual narrative</x:v>
      </x:c>
      <x:c r="G42" s="20" t="n">
        <x:v>5</x:v>
      </x:c>
      <x:c r="H42" s="20" t="n">
        <x:v>2.28</x:v>
      </x:c>
      <x:c r="I42" s="20" t="n">
        <x:v>0.1</x:v>
      </x:c>
      <x:c r="J42" s="17" t="str">
        <x:v>Data problem</x:v>
      </x:c>
      <x:c r="K42" s="17" t="str">
        <x:v>No</x:v>
      </x:c>
      <x:c r="L42" s="17" t="str">
        <x:v>Yes</x:v>
      </x:c>
    </x:row>
    <x:row r="43" ht="23" customHeight="1">
      <x:c r="A43" s="17" t="str">
        <x:v>W0037</x:v>
      </x:c>
      <x:c r="B43" s="18" t="n">
        <x:v>46275</x:v>
      </x:c>
      <x:c r="C43" s="17" t="str">
        <x:v>C001</x:v>
      </x:c>
      <x:c r="D43" s="17" t="str">
        <x:v>  marketing operations </x:v>
      </x:c>
      <x:c r="E43" s="17" t="str">
        <x:v>Casey Rivera</x:v>
      </x:c>
      <x:c r="F43" s="17" t="str">
        <x:v>Build campaign plan</x:v>
      </x:c>
      <x:c r="G43" s="20" t="n">
        <x:v>3.62</x:v>
      </x:c>
      <x:c r="H43" s="20" t="n">
        <x:v>1.65</x:v>
      </x:c>
      <x:c r="I43" s="20" t="n">
        <x:v>0.24</x:v>
      </x:c>
      <x:c r="J43" s="17" t="str">
        <x:v>Brief changed</x:v>
      </x:c>
      <x:c r="K43" s="17" t="str">
        <x:v>Yes</x:v>
      </x:c>
      <x:c r="L43" s="17" t="str">
        <x:v>No</x:v>
      </x:c>
    </x:row>
    <x:row r="44" ht="23" customHeight="1">
      <x:c r="A44" s="17" t="str">
        <x:v>W0038</x:v>
      </x:c>
      <x:c r="B44" s="18" t="n">
        <x:v>46286</x:v>
      </x:c>
      <x:c r="C44" s="17" t="str">
        <x:v>C001</x:v>
      </x:c>
      <x:c r="D44" s="17" t="str">
        <x:v>Marketing Operations</x:v>
      </x:c>
      <x:c r="E44" s="17" t="str">
        <x:v>Morgan Reed</x:v>
      </x:c>
      <x:c r="F44" s="17" t="str">
        <x:v>Clean audience data</x:v>
      </x:c>
      <x:c r="G44" s="20" t="n">
        <x:v>3.42</x:v>
      </x:c>
      <x:c r="H44" s="20" t="n">
        <x:v>1.77</x:v>
      </x:c>
      <x:c r="I44" s="20" t="n">
        <x:v>0.12</x:v>
      </x:c>
      <x:c r="J44" s="17" t="str">
        <x:v>None</x:v>
      </x:c>
      <x:c r="K44" s="17" t="str">
        <x:v>No</x:v>
      </x:c>
      <x:c r="L44" s="17" t="str">
        <x:v>No</x:v>
      </x:c>
    </x:row>
    <x:row r="45" ht="23" customHeight="1">
      <x:c r="A45" s="17" t="str">
        <x:v>W0039</x:v>
      </x:c>
      <x:c r="B45" s="18" t="n">
        <x:v>46295</x:v>
      </x:c>
      <x:c r="C45" s="17" t="str">
        <x:v>C001</x:v>
      </x:c>
      <x:c r="D45" s="17" t="str">
        <x:v>Analytics</x:v>
      </x:c>
      <x:c r="E45" s="17" t="str">
        <x:v>Quinn Parker</x:v>
      </x:c>
      <x:c r="F45" s="17" t="str">
        <x:v>Check measurement plan</x:v>
      </x:c>
      <x:c r="G45" s="20" t="n">
        <x:v>3.13</x:v>
      </x:c>
      <x:c r="H45" s="20" t="n">
        <x:v>1.05</x:v>
      </x:c>
      <x:c r="I45" s="20" t="n">
        <x:v>0.07</x:v>
      </x:c>
      <x:c r="J45" s="17" t="str">
        <x:v>None</x:v>
      </x:c>
      <x:c r="K45" s="17" t="str">
        <x:v>No</x:v>
      </x:c>
      <x:c r="L45" s="17" t="str">
        <x:v>Yes</x:v>
      </x:c>
    </x:row>
    <x:row r="46" ht="23" customHeight="1">
      <x:c r="A46" s="17" t="str">
        <x:v>W0040</x:v>
      </x:c>
      <x:c r="B46" s="18" t="n">
        <x:v>46280</x:v>
      </x:c>
      <x:c r="C46" s="17" t="str">
        <x:v>C001</x:v>
      </x:c>
      <x:c r="D46" s="17" t="str">
        <x:v>Analytics</x:v>
      </x:c>
      <x:c r="E46" s="17" t="str">
        <x:v>Jamie Patel</x:v>
      </x:c>
      <x:c r="F46" s="17" t="str">
        <x:v>Analyze campaign results</x:v>
      </x:c>
      <x:c r="G46" s="20" t="n">
        <x:v>2.88</x:v>
      </x:c>
      <x:c r="H46" s="20" t="n">
        <x:v>1.65</x:v>
      </x:c>
      <x:c r="I46" s="20" t="n">
        <x:v>0.24</x:v>
      </x:c>
      <x:c r="J46" s="17" t="str">
        <x:v>Brief changed</x:v>
      </x:c>
      <x:c r="K46" s="17" t="str">
        <x:v>Yes</x:v>
      </x:c>
      <x:c r="L46" s="17" t="str">
        <x:v>Yes</x:v>
      </x:c>
    </x:row>
    <x:row r="47" ht="23" customHeight="1">
      <x:c r="A47" s="17" t="str">
        <x:v>W0041</x:v>
      </x:c>
      <x:c r="B47" s="18" t="n">
        <x:v>46289</x:v>
      </x:c>
      <x:c r="C47" s="17" t="str">
        <x:v>C001</x:v>
      </x:c>
      <x:c r="D47" s="17" t="str">
        <x:v>Content</x:v>
      </x:c>
      <x:c r="E47" s="17" t="str">
        <x:v>Avery Morgan</x:v>
      </x:c>
      <x:c r="F47" s="17" t="str">
        <x:v>Draft email sequence</x:v>
      </x:c>
      <x:c r="G47" s="20" t="n">
        <x:v>3.67</x:v>
      </x:c>
      <x:c r="H47" s="20" t="n">
        <x:v>2.08</x:v>
      </x:c>
      <x:c r="I47" s="20" t="n">
        <x:v>0.13</x:v>
      </x:c>
      <x:c r="J47" s="17" t="str">
        <x:v>None</x:v>
      </x:c>
      <x:c r="K47" s="17" t="str">
        <x:v>No</x:v>
      </x:c>
      <x:c r="L47" s="17" t="str">
        <x:v>Yes</x:v>
      </x:c>
    </x:row>
    <x:row r="48" ht="23" customHeight="1">
      <x:c r="A48" s="17" t="str">
        <x:v>W0042</x:v>
      </x:c>
      <x:c r="B48" s="18" t="n">
        <x:v>46274</x:v>
      </x:c>
      <x:c r="C48" s="17" t="str">
        <x:v>C001</x:v>
      </x:c>
      <x:c r="D48" s="17" t="str">
        <x:v>Content</x:v>
      </x:c>
      <x:c r="E48" s="17" t="str">
        <x:v>Jordan Ellis</x:v>
      </x:c>
      <x:c r="F48" s="17" t="str">
        <x:v>Edit landing page</x:v>
      </x:c>
      <x:c r="G48" s="20" t="n">
        <x:v>4.17</x:v>
      </x:c>
      <x:c r="H48" s="20" t="n">
        <x:v>2.46</x:v>
      </x:c>
      <x:c r="I48" s="20" t="n">
        <x:v>0.32</x:v>
      </x:c>
      <x:c r="J48" s="17" t="str">
        <x:v>Brief changed</x:v>
      </x:c>
      <x:c r="K48" s="17" t="str">
        <x:v>Yes</x:v>
      </x:c>
      <x:c r="L48" s="17" t="str">
        <x:v>Yes</x:v>
      </x:c>
    </x:row>
    <x:row r="49" ht="23" customHeight="1">
      <x:c r="A49" s="17" t="str">
        <x:v>W0043</x:v>
      </x:c>
      <x:c r="B49" s="18" t="n">
        <x:v>46283</x:v>
      </x:c>
      <x:c r="C49" s="17" t="str">
        <x:v>C001</x:v>
      </x:c>
      <x:c r="D49" s="17" t="str">
        <x:v>Creative</x:v>
      </x:c>
      <x:c r="E49" s="17" t="str">
        <x:v>Riley Chen</x:v>
      </x:c>
      <x:c r="F49" s="17" t="str">
        <x:v>Develop concept brief</x:v>
      </x:c>
      <x:c r="G49" s="20" t="n">
        <x:v>3.94</x:v>
      </x:c>
      <x:c r="H49" s="20" t="n">
        <x:v>1.79</x:v>
      </x:c>
      <x:c r="I49" s="20" t="n">
        <x:v>0.15</x:v>
      </x:c>
      <x:c r="J49" s="17" t="str">
        <x:v>None</x:v>
      </x:c>
      <x:c r="K49" s="17" t="str">
        <x:v>No</x:v>
      </x:c>
      <x:c r="L49" s="17" t="str">
        <x:v>Yes</x:v>
      </x:c>
    </x:row>
    <x:row r="50" ht="23" customHeight="1">
      <x:c r="A50" s="17" t="str">
        <x:v>W0044</x:v>
      </x:c>
      <x:c r="B50" s="18" t="n">
        <x:v>46294</x:v>
      </x:c>
      <x:c r="C50" s="17" t="str">
        <x:v>C001</x:v>
      </x:c>
      <x:c r="D50" s="17" t="str">
        <x:v>Creative</x:v>
      </x:c>
      <x:c r="E50" s="17" t="str">
        <x:v>Taylor Brooks</x:v>
      </x:c>
      <x:c r="F50" s="17" t="str">
        <x:v>Review creative variants</x:v>
      </x:c>
      <x:c r="G50" s="20" t="n">
        <x:v>4.33</x:v>
      </x:c>
      <x:c r="H50" s="20" t="n">
        <x:v>2.1</x:v>
      </x:c>
      <x:c r="I50" s="20" t="n">
        <x:v>0.05</x:v>
      </x:c>
      <x:c r="J50" s="17" t="str">
        <x:v>None</x:v>
      </x:c>
      <x:c r="K50" s="17" t="str">
        <x:v>No</x:v>
      </x:c>
      <x:c r="L50" s="17" t="str">
        <x:v>Yes</x:v>
      </x:c>
    </x:row>
    <x:row r="51" ht="23" customHeight="1">
      <x:c r="A51" s="17" t="str">
        <x:v>W0045</x:v>
      </x:c>
      <x:c r="B51" s="18" t="n">
        <x:v>46279</x:v>
      </x:c>
      <x:c r="C51" s="17" t="str">
        <x:v>C001</x:v>
      </x:c>
      <x:c r="D51" s="17" t="str">
        <x:v>Marketing Operations</x:v>
      </x:c>
      <x:c r="E51" s="17" t="str">
        <x:v>Casey Rivera</x:v>
      </x:c>
      <x:c r="F51" s="17" t="str">
        <x:v>Prepare launch checklist</x:v>
      </x:c>
      <x:c r="G51" s="20" t="n">
        <x:v>4.64</x:v>
      </x:c>
      <x:c r="H51" s="20" t="n">
        <x:v>2.35</x:v>
      </x:c>
      <x:c r="I51" s="20" t="n">
        <x:v>0.32</x:v>
      </x:c>
      <x:c r="J51" s="17" t="str">
        <x:v>Brief changed</x:v>
      </x:c>
      <x:c r="K51" s="17" t="str">
        <x:v>Yes</x:v>
      </x:c>
      <x:c r="L51" s="17" t="str">
        <x:v>Yes</x:v>
      </x:c>
    </x:row>
    <x:row r="52" ht="23" customHeight="1">
      <x:c r="A52" s="17" t="str">
        <x:v>W0046</x:v>
      </x:c>
      <x:c r="B52" s="18" t="n">
        <x:v>46288</x:v>
      </x:c>
      <x:c r="C52" s="17" t="str">
        <x:v>C001</x:v>
      </x:c>
      <x:c r="D52" s="17" t="str">
        <x:v>Marketing Operations</x:v>
      </x:c>
      <x:c r="E52" s="17" t="str">
        <x:v>Morgan Reed</x:v>
      </x:c>
      <x:c r="F52" s="17" t="str">
        <x:v>Build campaign plan</x:v>
      </x:c>
      <x:c r="G52" s="20" t="n">
        <x:v>4.96</x:v>
      </x:c>
      <x:c r="H52" s="20" t="n">
        <x:v>2.3</x:v>
      </x:c>
      <x:c r="I52" s="20" t="n">
        <x:v>0.03</x:v>
      </x:c>
      <x:c r="J52" s="17" t="str">
        <x:v>None</x:v>
      </x:c>
      <x:c r="K52" s="17" t="str">
        <x:v>No</x:v>
      </x:c>
      <x:c r="L52" s="17" t="str">
        <x:v>Yes</x:v>
      </x:c>
    </x:row>
    <x:row r="53" ht="23" customHeight="1">
      <x:c r="A53" s="17" t="str">
        <x:v>W0047</x:v>
      </x:c>
      <x:c r="B53" s="18" t="n">
        <x:v>46273</x:v>
      </x:c>
      <x:c r="C53" s="17" t="str">
        <x:v>C001</x:v>
      </x:c>
      <x:c r="D53" s="17" t="str">
        <x:v>Analytics</x:v>
      </x:c>
      <x:c r="E53" s="17" t="str">
        <x:v>Quinn Parker</x:v>
      </x:c>
      <x:c r="F53" s="17" t="str">
        <x:v>Summarize audience insights</x:v>
      </x:c>
      <x:c r="G53" s="20" t="n">
        <x:v>2.76</x:v>
      </x:c>
      <x:c r="H53" s="20" t="n">
        <x:v>1.65</x:v>
      </x:c>
      <x:c r="I53" s="20" t="n">
        <x:v>0.15</x:v>
      </x:c>
      <x:c r="J53" s="17" t="str">
        <x:v>None</x:v>
      </x:c>
      <x:c r="K53" s="17" t="str">
        <x:v>No</x:v>
      </x:c>
      <x:c r="L53" s="17" t="str">
        <x:v>Yes</x:v>
      </x:c>
    </x:row>
    <x:row r="54" ht="23" customHeight="1">
      <x:c r="A54" s="17" t="str">
        <x:v>W0048</x:v>
      </x:c>
      <x:c r="B54" s="18" t="n">
        <x:v>46282</x:v>
      </x:c>
      <x:c r="C54" s="17" t="str">
        <x:v>C001</x:v>
      </x:c>
      <x:c r="D54" s="17" t="str">
        <x:v>Analytics</x:v>
      </x:c>
      <x:c r="E54" s="17" t="str">
        <x:v>Jamie Patel</x:v>
      </x:c>
      <x:c r="F54" s="17" t="str">
        <x:v>Check measurement plan</x:v>
      </x:c>
      <x:c r="G54" s="20" t="n">
        <x:v>2.71</x:v>
      </x:c>
      <x:c r="H54" s="20" t="n">
        <x:v>1.12</x:v>
      </x:c>
      <x:c r="I54" s="20" t="n">
        <x:v>0.1</x:v>
      </x:c>
      <x:c r="J54" s="17" t="str">
        <x:v>Brief changed</x:v>
      </x:c>
      <x:c r="K54" s="17" t="str">
        <x:v>Yes</x:v>
      </x:c>
      <x:c r="L54" s="17" t="str">
        <x:v>Yes</x:v>
      </x:c>
    </x:row>
    <x:row r="55" ht="23" customHeight="1">
      <x:c r="A55" s="17" t="str">
        <x:v>W0049</x:v>
      </x:c>
      <x:c r="B55" s="18" t="n">
        <x:v>46293</x:v>
      </x:c>
      <x:c r="C55" s="17" t="str">
        <x:v>C001</x:v>
      </x:c>
      <x:c r="D55" s="17" t="str">
        <x:v>Content</x:v>
      </x:c>
      <x:c r="E55" s="17" t="str">
        <x:v>Avery Morgan</x:v>
      </x:c>
      <x:c r="F55" s="17" t="str">
        <x:v>Write ad copy</x:v>
      </x:c>
      <x:c r="G55" s="20" t="n">
        <x:v>5.06</x:v>
      </x:c>
      <x:c r="H55" s="20" t="n">
        <x:v>2.59</x:v>
      </x:c>
      <x:c r="I55" s="20" t="n">
        <x:v>0.08</x:v>
      </x:c>
      <x:c r="J55" s="17" t="str">
        <x:v>None</x:v>
      </x:c>
      <x:c r="K55" s="17" t="str">
        <x:v>No</x:v>
      </x:c>
      <x:c r="L55" s="17" t="str">
        <x:v>Yes</x:v>
      </x:c>
    </x:row>
    <x:row r="56" ht="23" customHeight="1">
      <x:c r="A56" s="17" t="str">
        <x:v>W0050</x:v>
      </x:c>
      <x:c r="B56" s="18" t="n">
        <x:v>46276</x:v>
      </x:c>
      <x:c r="C56" s="17" t="str">
        <x:v>C001</x:v>
      </x:c>
      <x:c r="D56" s="17" t="str">
        <x:v>Content</x:v>
      </x:c>
      <x:c r="E56" s="17" t="str">
        <x:v>Jordan Ellis</x:v>
      </x:c>
      <x:c r="F56" s="17" t="str">
        <x:v>Draft email sequence</x:v>
      </x:c>
      <x:c r="G56" s="20" t="n">
        <x:v>5.22</x:v>
      </x:c>
      <x:c r="H56" s="20" t="n">
        <x:v>2.8</x:v>
      </x:c>
      <x:c r="I56" s="20" t="n">
        <x:v>0.05</x:v>
      </x:c>
      <x:c r="J56" s="17" t="str">
        <x:v>None</x:v>
      </x:c>
      <x:c r="K56" s="17" t="str">
        <x:v>No</x:v>
      </x:c>
      <x:c r="L56" s="17" t="str">
        <x:v>Yes</x:v>
      </x:c>
    </x:row>
    <x:row r="57" ht="23" customHeight="1">
      <x:c r="A57" s="17" t="str">
        <x:v>W0051</x:v>
      </x:c>
      <x:c r="B57" s="18" t="n">
        <x:v>46287</x:v>
      </x:c>
      <x:c r="C57" s="17" t="str">
        <x:v>C001</x:v>
      </x:c>
      <x:c r="D57" s="17" t="str">
        <x:v>Creative</x:v>
      </x:c>
      <x:c r="E57" s="17" t="str">
        <x:v>Riley Chen</x:v>
      </x:c>
      <x:c r="F57" s="17" t="str">
        <x:v>Plan visual narrative</x:v>
      </x:c>
      <x:c r="G57" s="20" t="n">
        <x:v>3.64</x:v>
      </x:c>
      <x:c r="H57" s="20" t="n">
        <x:v>2.09</x:v>
      </x:c>
      <x:c r="I57" s="20" t="n">
        <x:v>0.17</x:v>
      </x:c>
      <x:c r="J57" s="17" t="str">
        <x:v>None</x:v>
      </x:c>
      <x:c r="K57" s="17" t="str">
        <x:v>No</x:v>
      </x:c>
      <x:c r="L57" s="17" t="str">
        <x:v>Yes</x:v>
      </x:c>
    </x:row>
    <x:row r="58" ht="23" customHeight="1">
      <x:c r="A58" s="17" t="str">
        <x:v>W0052</x:v>
      </x:c>
      <x:c r="B58" s="18" t="n">
        <x:v>46269</x:v>
      </x:c>
      <x:c r="C58" s="17" t="str">
        <x:v>C001</x:v>
      </x:c>
      <x:c r="D58" s="17" t="str">
        <x:v>Creative</x:v>
      </x:c>
      <x:c r="E58" s="17" t="str">
        <x:v>Taylor Brooks</x:v>
      </x:c>
      <x:c r="F58" s="17" t="str">
        <x:v>Develop concept brief</x:v>
      </x:c>
      <x:c r="G58" s="20" t="n">
        <x:v>4.61</x:v>
      </x:c>
      <x:c r="H58" s="20" t="n">
        <x:v>2.09</x:v>
      </x:c>
      <x:c r="I58" s="20" t="n">
        <x:v>0.12</x:v>
      </x:c>
      <x:c r="J58" s="17" t="str">
        <x:v>None</x:v>
      </x:c>
      <x:c r="K58" s="17" t="str">
        <x:v>No</x:v>
      </x:c>
      <x:c r="L58" s="17" t="str">
        <x:v>Yes</x:v>
      </x:c>
    </x:row>
    <x:row r="59" ht="23" customHeight="1">
      <x:c r="A59" s="17" t="str">
        <x:v>W0053</x:v>
      </x:c>
      <x:c r="B59" s="18" t="n">
        <x:v>46281</x:v>
      </x:c>
      <x:c r="C59" s="17" t="str">
        <x:v>C001</x:v>
      </x:c>
      <x:c r="D59" s="17" t="str">
        <x:v>Marketing Operations</x:v>
      </x:c>
      <x:c r="E59" s="17" t="str">
        <x:v>Casey Rivera</x:v>
      </x:c>
      <x:c r="F59" s="17" t="str">
        <x:v>Clean audience data</x:v>
      </x:c>
      <x:c r="G59" s="20" t="n">
        <x:v>2.7</x:v>
      </x:c>
      <x:c r="H59" s="20" t="n">
        <x:v>1.48</x:v>
      </x:c>
      <x:c r="I59" s="20" t="n">
        <x:v>0.09</x:v>
      </x:c>
      <x:c r="J59" s="17" t="str">
        <x:v>None</x:v>
      </x:c>
      <x:c r="K59" s="17" t="str">
        <x:v>No</x:v>
      </x:c>
      <x:c r="L59" s="17" t="str">
        <x:v>Yes</x:v>
      </x:c>
    </x:row>
    <x:row r="60" ht="23" customHeight="1">
      <x:c r="A60" s="17" t="str">
        <x:v>W0054</x:v>
      </x:c>
      <x:c r="B60" s="18" t="n">
        <x:v>46290</x:v>
      </x:c>
      <x:c r="C60" s="17" t="str">
        <x:v>C001</x:v>
      </x:c>
      <x:c r="D60" s="17" t="str">
        <x:v>Marketing Operations</x:v>
      </x:c>
      <x:c r="E60" s="17" t="str">
        <x:v>Morgan Reed</x:v>
      </x:c>
      <x:c r="F60" s="17" t="str">
        <x:v>Prepare launch checklist</x:v>
      </x:c>
      <x:c r="G60" s="20" t="n">
        <x:v>5.04</x:v>
      </x:c>
      <x:c r="H60" s="20" t="n">
        <x:v>2.81</x:v>
      </x:c>
      <x:c r="I60" s="20" t="n">
        <x:v>0.26</x:v>
      </x:c>
      <x:c r="J60" s="17" t="str">
        <x:v>Unclear prompt</x:v>
      </x:c>
      <x:c r="K60" s="17" t="str">
        <x:v>No</x:v>
      </x:c>
      <x:c r="L60" s="17" t="str">
        <x:v>No</x:v>
      </x:c>
    </x:row>
    <x:row r="61" ht="23" customHeight="1">
      <x:c r="A61" s="17" t="str">
        <x:v>W0055</x:v>
      </x:c>
      <x:c r="B61" s="18" t="n">
        <x:v>46275</x:v>
      </x:c>
      <x:c r="C61" s="17" t="str">
        <x:v>C001</x:v>
      </x:c>
      <x:c r="D61" s="17" t="str">
        <x:v>Analytics</x:v>
      </x:c>
      <x:c r="E61" s="17" t="str">
        <x:v>Quinn Parker</x:v>
      </x:c>
      <x:c r="F61" s="17" t="str">
        <x:v>Analyze campaign results</x:v>
      </x:c>
      <x:c r="G61" s="20" t="n">
        <x:v>4.68</x:v>
      </x:c>
      <x:c r="H61" s="20" t="n">
        <x:v>1.64</x:v>
      </x:c>
      <x:c r="I61" s="20" t="n">
        <x:v>0.11</x:v>
      </x:c>
      <x:c r="J61" s="17" t="str">
        <x:v>None</x:v>
      </x:c>
      <x:c r="K61" s="17" t="str">
        <x:v>No</x:v>
      </x:c>
      <x:c r="L61" s="17" t="str">
        <x:v>Yes</x:v>
      </x:c>
    </x:row>
    <x:row r="62" ht="23" customHeight="1">
      <x:c r="A62" s="17" t="str">
        <x:v>W0056</x:v>
      </x:c>
      <x:c r="B62" s="18" t="n">
        <x:v>46286</x:v>
      </x:c>
      <x:c r="C62" s="17" t="str">
        <x:v>C001</x:v>
      </x:c>
      <x:c r="D62" s="17" t="str">
        <x:v>Analytics</x:v>
      </x:c>
      <x:c r="E62" s="17" t="str">
        <x:v>Jamie Patel</x:v>
      </x:c>
      <x:c r="F62" s="17" t="str">
        <x:v>Summarize audience insights</x:v>
      </x:c>
      <x:c r="G62" s="20" t="n">
        <x:v>3.05</x:v>
      </x:c>
      <x:c r="H62" s="20" t="n">
        <x:v>1.46</x:v>
      </x:c>
      <x:c r="I62" s="20" t="n">
        <x:v>0.18</x:v>
      </x:c>
      <x:c r="J62" s="17" t="str">
        <x:v>Data problem</x:v>
      </x:c>
      <x:c r="K62" s="17" t="str">
        <x:v>No</x:v>
      </x:c>
      <x:c r="L62" s="17" t="str">
        <x:v>Yes</x:v>
      </x:c>
    </x:row>
    <x:row r="63" ht="23" customHeight="1">
      <x:c r="A63" s="17" t="str">
        <x:v>W0057</x:v>
      </x:c>
      <x:c r="B63" s="18" t="n">
        <x:v>46295</x:v>
      </x:c>
      <x:c r="C63" s="17" t="str">
        <x:v>C001</x:v>
      </x:c>
      <x:c r="D63" s="17" t="str">
        <x:v>Content</x:v>
      </x:c>
      <x:c r="E63" s="17" t="str">
        <x:v>Avery Morgan</x:v>
      </x:c>
      <x:c r="F63" s="17" t="str">
        <x:v>Edit landing page</x:v>
      </x:c>
      <x:c r="G63" s="20" t="n">
        <x:v>4.97</x:v>
      </x:c>
      <x:c r="H63" s="20" t="n">
        <x:v>2.97</x:v>
      </x:c>
      <x:c r="I63" s="20" t="n">
        <x:v>0.09</x:v>
      </x:c>
      <x:c r="J63" s="17" t="str">
        <x:v>None</x:v>
      </x:c>
      <x:c r="K63" s="17" t="str">
        <x:v>No</x:v>
      </x:c>
      <x:c r="L63" s="17" t="str">
        <x:v>Yes</x:v>
      </x:c>
    </x:row>
    <x:row r="64" ht="23" customHeight="1">
      <x:c r="A64" s="17" t="str">
        <x:v>W0058</x:v>
      </x:c>
      <x:c r="B64" s="18" t="n">
        <x:v>46280</x:v>
      </x:c>
      <x:c r="C64" s="17" t="str">
        <x:v>C001</x:v>
      </x:c>
      <x:c r="D64" s="17" t="str">
        <x:v>Content</x:v>
      </x:c>
      <x:c r="E64" s="17" t="str">
        <x:v>Jordan Ellis</x:v>
      </x:c>
      <x:c r="F64" s="17" t="str">
        <x:v>Write ad copy</x:v>
      </x:c>
      <x:c r="G64" s="20" t="n">
        <x:v>3.99</x:v>
      </x:c>
      <x:c r="H64" s="20" t="n">
        <x:v>2.13</x:v>
      </x:c>
      <x:c r="I64" s="20" t="n">
        <x:v>0.42</x:v>
      </x:c>
      <x:c r="J64" s="17" t="str">
        <x:v>Data problem</x:v>
      </x:c>
      <x:c r="K64" s="17" t="str">
        <x:v>No</x:v>
      </x:c>
      <x:c r="L64" s="17" t="str">
        <x:v>Yes</x:v>
      </x:c>
    </x:row>
    <x:row r="65" ht="23" customHeight="1">
      <x:c r="A65" s="17" t="str">
        <x:v>W0059</x:v>
      </x:c>
      <x:c r="B65" s="18" t="n">
        <x:v>46289</x:v>
      </x:c>
      <x:c r="C65" s="17" t="str">
        <x:v>C001</x:v>
      </x:c>
      <x:c r="D65" s="17" t="str">
        <x:v>Creative</x:v>
      </x:c>
      <x:c r="E65" s="17" t="str">
        <x:v>Riley Chen</x:v>
      </x:c>
      <x:c r="F65" s="17" t="str">
        <x:v>Review creative variants</x:v>
      </x:c>
      <x:c r="G65" s="20" t="n">
        <x:v>4.03</x:v>
      </x:c>
      <x:c r="H65" s="20" t="n">
        <x:v>2</x:v>
      </x:c>
      <x:c r="I65" s="20" t="n">
        <x:v>0.25</x:v>
      </x:c>
      <x:c r="J65" s="17" t="str">
        <x:v>Unclear prompt</x:v>
      </x:c>
      <x:c r="K65" s="17" t="str">
        <x:v>No</x:v>
      </x:c>
      <x:c r="L65" s="17" t="str">
        <x:v>Yes</x:v>
      </x:c>
    </x:row>
    <x:row r="66" ht="23" customHeight="1">
      <x:c r="A66" s="17" t="str">
        <x:v>W0060</x:v>
      </x:c>
      <x:c r="B66" s="18" t="n">
        <x:v>46274</x:v>
      </x:c>
      <x:c r="C66" s="17" t="str">
        <x:v>C001</x:v>
      </x:c>
      <x:c r="D66" s="17" t="str">
        <x:v>Creative</x:v>
      </x:c>
      <x:c r="E66" s="17" t="str">
        <x:v>Taylor Brooks</x:v>
      </x:c>
      <x:c r="F66" s="17" t="str">
        <x:v>Plan visual narrative</x:v>
      </x:c>
      <x:c r="G66" s="20" t="n">
        <x:v>3.62</x:v>
      </x:c>
      <x:c r="H66" s="20" t="n">
        <x:v>1.71</x:v>
      </x:c>
      <x:c r="I66" s="20" t="n">
        <x:v>0.09</x:v>
      </x:c>
      <x:c r="J66" s="17" t="str">
        <x:v>Brief changed</x:v>
      </x:c>
      <x:c r="K66" s="17" t="str">
        <x:v>Yes</x:v>
      </x:c>
      <x:c r="L66" s="17" t="str">
        <x:v>Yes</x:v>
      </x:c>
    </x:row>
    <x:row r="67" ht="23" customHeight="1">
      <x:c r="A67" s="17" t="str">
        <x:v>W0061</x:v>
      </x:c>
      <x:c r="B67" s="18" t="n">
        <x:v>46280</x:v>
      </x:c>
      <x:c r="C67" s="17" t="str">
        <x:v>C002</x:v>
      </x:c>
      <x:c r="D67" s="17" t="str">
        <x:v>Content</x:v>
      </x:c>
      <x:c r="E67" s="17" t="str">
        <x:v>Jordan Ellis</x:v>
      </x:c>
      <x:c r="F67" s="17" t="str">
        <x:v>Write ad copy</x:v>
      </x:c>
      <x:c r="G67" s="20" t="n">
        <x:v>4.09</x:v>
      </x:c>
      <x:c r="H67" s="20" t="n">
        <x:v>2.7</x:v>
      </x:c>
      <x:c r="I67" s="20" t="n">
        <x:v>0.46</x:v>
      </x:c>
      <x:c r="J67" s="17" t="str">
        <x:v>None</x:v>
      </x:c>
      <x:c r="K67" s="17" t="str">
        <x:v>No</x:v>
      </x:c>
      <x:c r="L67" s="17" t="str">
        <x:v>Yes</x:v>
      </x:c>
    </x:row>
    <x:row r="68" ht="23" customHeight="1">
      <x:c r="A68" s="17" t="str">
        <x:v>W0062</x:v>
      </x:c>
      <x:c r="B68" s="18" t="n">
        <x:v>46289</x:v>
      </x:c>
      <x:c r="C68" s="17" t="str">
        <x:v>C002</x:v>
      </x:c>
      <x:c r="D68" s="17" t="str">
        <x:v>  creative </x:v>
      </x:c>
      <x:c r="E68" s="17" t="str">
        <x:v>Riley Chen</x:v>
      </x:c>
      <x:c r="F68" s="17" t="str">
        <x:v>Review creative variants</x:v>
      </x:c>
      <x:c r="G68" s="20" t="n">
        <x:v>2.82</x:v>
      </x:c>
      <x:c r="H68" s="20" t="n">
        <x:v>1.72</x:v>
      </x:c>
      <x:c r="I68" s="20" t="n">
        <x:v>0.69</x:v>
      </x:c>
      <x:c r="J68" s="17" t="str">
        <x:v>Brief changed</x:v>
      </x:c>
      <x:c r="K68" s="17" t="str">
        <x:v>Yes</x:v>
      </x:c>
      <x:c r="L68" s="17" t="str">
        <x:v>No</x:v>
      </x:c>
    </x:row>
    <x:row r="69" ht="23" customHeight="1">
      <x:c r="A69" s="17" t="str">
        <x:v>W0063</x:v>
      </x:c>
      <x:c r="B69" s="18" t="n">
        <x:v>46274</x:v>
      </x:c>
      <x:c r="C69" s="17" t="str">
        <x:v>C002</x:v>
      </x:c>
      <x:c r="D69" s="17" t="str">
        <x:v>Creative</x:v>
      </x:c>
      <x:c r="E69" s="17" t="str">
        <x:v>Taylor Brooks</x:v>
      </x:c>
      <x:c r="F69" s="17" t="str">
        <x:v>Plan visual narrative</x:v>
      </x:c>
      <x:c r="G69" s="20" t="n">
        <x:v>2.43</x:v>
      </x:c>
      <x:c r="H69" s="20" t="n">
        <x:v>1.49</x:v>
      </x:c>
      <x:c r="I69" s="20" t="n">
        <x:v>0.2</x:v>
      </x:c>
      <x:c r="J69" s="17" t="str">
        <x:v>None</x:v>
      </x:c>
      <x:c r="K69" s="17" t="str">
        <x:v>No</x:v>
      </x:c>
      <x:c r="L69" s="17" t="str">
        <x:v>Yes</x:v>
      </x:c>
    </x:row>
    <x:row r="70" ht="23" customHeight="1">
      <x:c r="A70" s="17" t="str">
        <x:v>W0064</x:v>
      </x:c>
      <x:c r="B70" s="18" t="n">
        <x:v>46283</x:v>
      </x:c>
      <x:c r="C70" s="17" t="str">
        <x:v>C002</x:v>
      </x:c>
      <x:c r="D70" s="17" t="str">
        <x:v>Marketing Operations</x:v>
      </x:c>
      <x:c r="E70" s="17" t="str">
        <x:v>Casey Rivera</x:v>
      </x:c>
      <x:c r="F70" s="17" t="str">
        <x:v>Build campaign plan</x:v>
      </x:c>
      <x:c r="G70" s="20" t="n">
        <x:v>2.53</x:v>
      </x:c>
      <x:c r="H70" s="20" t="n">
        <x:v>1.18</x:v>
      </x:c>
      <x:c r="I70" s="20" t="n">
        <x:v>0.27</x:v>
      </x:c>
      <x:c r="J70" s="17" t="str">
        <x:v>None</x:v>
      </x:c>
      <x:c r="K70" s="17" t="str">
        <x:v>No</x:v>
      </x:c>
      <x:c r="L70" s="17" t="str">
        <x:v>Yes</x:v>
      </x:c>
    </x:row>
    <x:row r="71" ht="23" customHeight="1">
      <x:c r="A71" s="17" t="str">
        <x:v>W0065</x:v>
      </x:c>
      <x:c r="B71" s="18" t="n">
        <x:v>46294</x:v>
      </x:c>
      <x:c r="C71" s="17" t="str">
        <x:v>C002</x:v>
      </x:c>
      <x:c r="D71" s="17" t="str">
        <x:v>Marketing Operations</x:v>
      </x:c>
      <x:c r="E71" s="17" t="str">
        <x:v>Morgan Reed</x:v>
      </x:c>
      <x:c r="F71" s="17" t="str">
        <x:v>Clean audience data</x:v>
      </x:c>
      <x:c r="G71" s="20" t="n">
        <x:v>2.84</x:v>
      </x:c>
      <x:c r="H71" s="20" t="n">
        <x:v>1.47</x:v>
      </x:c>
      <x:c r="I71" s="20" t="n">
        <x:v>0.67</x:v>
      </x:c>
      <x:c r="J71" s="17" t="str">
        <x:v>Brief changed</x:v>
      </x:c>
      <x:c r="K71" s="17" t="str">
        <x:v>Yes</x:v>
      </x:c>
      <x:c r="L71" s="17" t="str">
        <x:v>Yes</x:v>
      </x:c>
    </x:row>
    <x:row r="72" ht="23" customHeight="1">
      <x:c r="A72" s="17" t="str">
        <x:v>W0066</x:v>
      </x:c>
      <x:c r="B72" s="18" t="n">
        <x:v>46279</x:v>
      </x:c>
      <x:c r="C72" s="17" t="str">
        <x:v>C002</x:v>
      </x:c>
      <x:c r="D72" s="17" t="str">
        <x:v>Analytics</x:v>
      </x:c>
      <x:c r="E72" s="17" t="str">
        <x:v>Quinn Parker</x:v>
      </x:c>
      <x:c r="F72" s="17" t="str">
        <x:v>Check measurement plan</x:v>
      </x:c>
      <x:c r="G72" s="20" t="n">
        <x:v>2.83</x:v>
      </x:c>
      <x:c r="H72" s="20" t="n">
        <x:v>1.87</x:v>
      </x:c>
      <x:c r="I72" s="20" t="n">
        <x:v>0.42</x:v>
      </x:c>
      <x:c r="J72" s="17" t="str">
        <x:v>Brief changed</x:v>
      </x:c>
      <x:c r="K72" s="17" t="str">
        <x:v>Yes</x:v>
      </x:c>
      <x:c r="L72" s="17" t="str">
        <x:v>No</x:v>
      </x:c>
    </x:row>
    <x:row r="73" ht="23" customHeight="1">
      <x:c r="A73" s="17" t="str">
        <x:v>W0067</x:v>
      </x:c>
      <x:c r="B73" s="18" t="n">
        <x:v>46288</x:v>
      </x:c>
      <x:c r="C73" s="17" t="str">
        <x:v>C002</x:v>
      </x:c>
      <x:c r="D73" s="17" t="str">
        <x:v>Analytics</x:v>
      </x:c>
      <x:c r="E73" s="17" t="str">
        <x:v>Jamie Patel</x:v>
      </x:c>
      <x:c r="F73" s="17" t="str">
        <x:v>Analyze campaign results</x:v>
      </x:c>
      <x:c r="G73" s="20" t="n">
        <x:v>4.38</x:v>
      </x:c>
      <x:c r="H73" s="20" t="n">
        <x:v>2.43</x:v>
      </x:c>
      <x:c r="I73" s="20" t="n">
        <x:v>0.78</x:v>
      </x:c>
      <x:c r="J73" s="17" t="str">
        <x:v>Data problem</x:v>
      </x:c>
      <x:c r="K73" s="17" t="str">
        <x:v>No</x:v>
      </x:c>
      <x:c r="L73" s="17" t="str">
        <x:v>Yes</x:v>
      </x:c>
    </x:row>
    <x:row r="74" ht="23" customHeight="1">
      <x:c r="A74" s="17" t="str">
        <x:v>W0068</x:v>
      </x:c>
      <x:c r="B74" s="18" t="n">
        <x:v>46273</x:v>
      </x:c>
      <x:c r="C74" s="17" t="str">
        <x:v>C002</x:v>
      </x:c>
      <x:c r="D74" s="17" t="str">
        <x:v>Content</x:v>
      </x:c>
      <x:c r="E74" s="17" t="str">
        <x:v>Avery Morgan</x:v>
      </x:c>
      <x:c r="F74" s="17" t="str">
        <x:v>Draft email sequence</x:v>
      </x:c>
      <x:c r="G74" s="20" t="n">
        <x:v>3.08</x:v>
      </x:c>
      <x:c r="H74" s="20" t="n">
        <x:v>1.93</x:v>
      </x:c>
      <x:c r="I74" s="20" t="n">
        <x:v>0.43</x:v>
      </x:c>
      <x:c r="J74" s="17" t="str">
        <x:v>None</x:v>
      </x:c>
      <x:c r="K74" s="17" t="str">
        <x:v>No</x:v>
      </x:c>
      <x:c r="L74" s="17" t="str">
        <x:v>Yes</x:v>
      </x:c>
    </x:row>
    <x:row r="75" ht="23" customHeight="1">
      <x:c r="A75" s="17" t="str">
        <x:v>W0069</x:v>
      </x:c>
      <x:c r="B75" s="18" t="n">
        <x:v>46282</x:v>
      </x:c>
      <x:c r="C75" s="17" t="str">
        <x:v>C002</x:v>
      </x:c>
      <x:c r="D75" s="17" t="str">
        <x:v>Content</x:v>
      </x:c>
      <x:c r="E75" s="17" t="str">
        <x:v>Jordan Ellis</x:v>
      </x:c>
      <x:c r="F75" s="17" t="str">
        <x:v>Edit landing page</x:v>
      </x:c>
      <x:c r="G75" s="20" t="n">
        <x:v>3.45</x:v>
      </x:c>
      <x:c r="H75" s="20" t="n">
        <x:v>1.43</x:v>
      </x:c>
      <x:c r="I75" s="20" t="n">
        <x:v>0.68</x:v>
      </x:c>
      <x:c r="J75" s="17" t="str">
        <x:v>Brief changed</x:v>
      </x:c>
      <x:c r="K75" s="17" t="str">
        <x:v>Yes</x:v>
      </x:c>
      <x:c r="L75" s="17" t="str">
        <x:v>No</x:v>
      </x:c>
    </x:row>
    <x:row r="76" ht="23" customHeight="1">
      <x:c r="A76" s="17" t="str">
        <x:v>W0070</x:v>
      </x:c>
      <x:c r="B76" s="18" t="n">
        <x:v>46293</x:v>
      </x:c>
      <x:c r="C76" s="17" t="str">
        <x:v>C002</x:v>
      </x:c>
      <x:c r="D76" s="17" t="str">
        <x:v>Creative</x:v>
      </x:c>
      <x:c r="E76" s="17" t="str">
        <x:v>Riley Chen</x:v>
      </x:c>
      <x:c r="F76" s="17" t="str">
        <x:v>Develop concept brief</x:v>
      </x:c>
      <x:c r="G76" s="20" t="n">
        <x:v>3.35</x:v>
      </x:c>
      <x:c r="H76" s="20" t="n">
        <x:v>1.73</x:v>
      </x:c>
      <x:c r="I76" s="20" t="n">
        <x:v>0.71</x:v>
      </x:c>
      <x:c r="J76" s="17" t="str">
        <x:v>Brief changed</x:v>
      </x:c>
      <x:c r="K76" s="17" t="str">
        <x:v>Yes</x:v>
      </x:c>
      <x:c r="L76" s="17" t="str">
        <x:v>No</x:v>
      </x:c>
    </x:row>
    <x:row r="77" ht="23" customHeight="1">
      <x:c r="A77" s="17" t="str">
        <x:v>W0071</x:v>
      </x:c>
      <x:c r="B77" s="18" t="n">
        <x:v>46276</x:v>
      </x:c>
      <x:c r="C77" s="17" t="str">
        <x:v>C002</x:v>
      </x:c>
      <x:c r="D77" s="17" t="str">
        <x:v>Creative</x:v>
      </x:c>
      <x:c r="E77" s="17" t="str">
        <x:v>Taylor Brooks</x:v>
      </x:c>
      <x:c r="F77" s="17" t="str">
        <x:v>Review creative variants</x:v>
      </x:c>
      <x:c r="G77" s="20" t="n">
        <x:v>2.28</x:v>
      </x:c>
      <x:c r="H77" s="20" t="n">
        <x:v>2.68</x:v>
      </x:c>
      <x:c r="I77" s="20" t="n">
        <x:v>0.36</x:v>
      </x:c>
      <x:c r="J77" s="17" t="str">
        <x:v>None</x:v>
      </x:c>
      <x:c r="K77" s="17" t="str">
        <x:v>No</x:v>
      </x:c>
      <x:c r="L77" s="17" t="str">
        <x:v>No</x:v>
      </x:c>
    </x:row>
    <x:row r="78" ht="23" customHeight="1">
      <x:c r="A78" s="17" t="str">
        <x:v>W0072</x:v>
      </x:c>
      <x:c r="B78" s="18" t="n">
        <x:v>46287</x:v>
      </x:c>
      <x:c r="C78" s="17" t="str">
        <x:v>C002</x:v>
      </x:c>
      <x:c r="D78" s="17" t="str">
        <x:v>Marketing Operations</x:v>
      </x:c>
      <x:c r="E78" s="17" t="str">
        <x:v>Casey Rivera</x:v>
      </x:c>
      <x:c r="F78" s="17" t="str">
        <x:v>Prepare launch checklist</x:v>
      </x:c>
      <x:c r="G78" s="20" t="n">
        <x:v>2.99</x:v>
      </x:c>
      <x:c r="H78" s="20" t="n">
        <x:v>4.03</x:v>
      </x:c>
      <x:c r="I78" s="20" t="n">
        <x:v>1.43</x:v>
      </x:c>
      <x:c r="J78" s="17" t="str">
        <x:v>Unclear prompt</x:v>
      </x:c>
      <x:c r="K78" s="17" t="str">
        <x:v>No</x:v>
      </x:c>
      <x:c r="L78" s="17" t="str">
        <x:v>No</x:v>
      </x:c>
    </x:row>
    <x:row r="79" ht="23" customHeight="1">
      <x:c r="A79" s="17" t="str">
        <x:v>W0073</x:v>
      </x:c>
      <x:c r="B79" s="18" t="n">
        <x:v>46269</x:v>
      </x:c>
      <x:c r="C79" s="17" t="str">
        <x:v>C002</x:v>
      </x:c>
      <x:c r="D79" s="17" t="str">
        <x:v>Marketing Operations</x:v>
      </x:c>
      <x:c r="E79" s="17" t="str">
        <x:v>Morgan Reed</x:v>
      </x:c>
      <x:c r="F79" s="17" t="str">
        <x:v>Build campaign plan</x:v>
      </x:c>
      <x:c r="G79" s="20" t="n">
        <x:v>3.1</x:v>
      </x:c>
      <x:c r="H79" s="20" t="n">
        <x:v>5.22</x:v>
      </x:c>
      <x:c r="I79" s="20" t="n">
        <x:v>1.35</x:v>
      </x:c>
      <x:c r="J79" s="17" t="str">
        <x:v>Data problem</x:v>
      </x:c>
      <x:c r="K79" s="17" t="str">
        <x:v>No</x:v>
      </x:c>
      <x:c r="L79" s="17" t="str">
        <x:v>No</x:v>
      </x:c>
    </x:row>
    <x:row r="80" ht="23" customHeight="1">
      <x:c r="A80" s="17" t="str">
        <x:v>W0074</x:v>
      </x:c>
      <x:c r="B80" s="18" t="n">
        <x:v>46281</x:v>
      </x:c>
      <x:c r="C80" s="17" t="str">
        <x:v>C002</x:v>
      </x:c>
      <x:c r="D80" s="17" t="str">
        <x:v>Analytics</x:v>
      </x:c>
      <x:c r="E80" s="17" t="str">
        <x:v>Quinn Parker</x:v>
      </x:c>
      <x:c r="F80" s="17" t="str">
        <x:v>Summarize audience insights</x:v>
      </x:c>
      <x:c r="G80" s="20" t="n">
        <x:v>3.75</x:v>
      </x:c>
      <x:c r="H80" s="20" t="n">
        <x:v>6.7</x:v>
      </x:c>
      <x:c r="I80" s="20" t="n">
        <x:v>2.48</x:v>
      </x:c>
      <x:c r="J80" s="17" t="str">
        <x:v>Unclear prompt</x:v>
      </x:c>
      <x:c r="K80" s="17" t="str">
        <x:v>No</x:v>
      </x:c>
      <x:c r="L80" s="17" t="str">
        <x:v>No</x:v>
      </x:c>
    </x:row>
    <x:row r="81" ht="23" customHeight="1">
      <x:c r="A81" s="17" t="str">
        <x:v>W0075</x:v>
      </x:c>
      <x:c r="B81" s="18" t="n">
        <x:v>46290</x:v>
      </x:c>
      <x:c r="C81" s="17" t="str">
        <x:v>C002</x:v>
      </x:c>
      <x:c r="D81" s="17" t="str">
        <x:v>Analytics</x:v>
      </x:c>
      <x:c r="E81" s="17" t="str">
        <x:v>Jamie Patel</x:v>
      </x:c>
      <x:c r="F81" s="17" t="str">
        <x:v>Check measurement plan</x:v>
      </x:c>
      <x:c r="G81" s="20" t="n">
        <x:v>3.56</x:v>
      </x:c>
      <x:c r="H81" s="20" t="n">
        <x:v>4.09</x:v>
      </x:c>
      <x:c r="I81" s="20" t="n">
        <x:v>1.32</x:v>
      </x:c>
      <x:c r="J81" s="17" t="str">
        <x:v>Brief changed</x:v>
      </x:c>
      <x:c r="K81" s="17" t="str">
        <x:v>Yes</x:v>
      </x:c>
      <x:c r="L81" s="17" t="str">
        <x:v>Yes</x:v>
      </x:c>
    </x:row>
    <x:row r="82" ht="23" customHeight="1">
      <x:c r="A82" s="17" t="str">
        <x:v>W0076</x:v>
      </x:c>
      <x:c r="B82" s="18" t="n">
        <x:v>46275</x:v>
      </x:c>
      <x:c r="C82" s="17" t="str">
        <x:v>C002</x:v>
      </x:c>
      <x:c r="D82" s="17" t="str">
        <x:v>Content</x:v>
      </x:c>
      <x:c r="E82" s="17" t="str">
        <x:v>Avery Morgan</x:v>
      </x:c>
      <x:c r="F82" s="17" t="str">
        <x:v>Write ad copy</x:v>
      </x:c>
      <x:c r="G82" s="20" t="n">
        <x:v>2.36</x:v>
      </x:c>
      <x:c r="H82" s="20" t="n">
        <x:v>4.11</x:v>
      </x:c>
      <x:c r="I82" s="20" t="n">
        <x:v>1.49</x:v>
      </x:c>
      <x:c r="J82" s="17" t="str">
        <x:v>Brief changed</x:v>
      </x:c>
      <x:c r="K82" s="17" t="str">
        <x:v>Yes</x:v>
      </x:c>
      <x:c r="L82" s="17" t="str">
        <x:v>No</x:v>
      </x:c>
    </x:row>
    <x:row r="83" ht="23" customHeight="1">
      <x:c r="A83" s="17" t="str">
        <x:v>W0077</x:v>
      </x:c>
      <x:c r="B83" s="18" t="n">
        <x:v>46286</x:v>
      </x:c>
      <x:c r="C83" s="17" t="str">
        <x:v>C002</x:v>
      </x:c>
      <x:c r="D83" s="17" t="str">
        <x:v>Content</x:v>
      </x:c>
      <x:c r="E83" s="17" t="str">
        <x:v>Jordan Ellis</x:v>
      </x:c>
      <x:c r="F83" s="17" t="str">
        <x:v>Draft email sequence</x:v>
      </x:c>
      <x:c r="G83" s="20" t="n">
        <x:v>3.9</x:v>
      </x:c>
      <x:c r="H83" s="20" t="n">
        <x:v>7.34</x:v>
      </x:c>
      <x:c r="I83" s="20" t="n">
        <x:v>2.32</x:v>
      </x:c>
      <x:c r="J83" s="17" t="str">
        <x:v>Brief changed</x:v>
      </x:c>
      <x:c r="K83" s="17" t="str">
        <x:v>Yes</x:v>
      </x:c>
      <x:c r="L83" s="17" t="str">
        <x:v>Yes</x:v>
      </x:c>
    </x:row>
    <x:row r="84" ht="23" customHeight="1">
      <x:c r="A84" s="17" t="str">
        <x:v>W0078</x:v>
      </x:c>
      <x:c r="B84" s="18" t="n">
        <x:v>46295</x:v>
      </x:c>
      <x:c r="C84" s="17" t="str">
        <x:v>C002</x:v>
      </x:c>
      <x:c r="D84" s="17" t="str">
        <x:v>Creative</x:v>
      </x:c>
      <x:c r="E84" s="17" t="str">
        <x:v>Riley Chen</x:v>
      </x:c>
      <x:c r="F84" s="17" t="str">
        <x:v>Plan visual narrative</x:v>
      </x:c>
      <x:c r="G84" s="20" t="n">
        <x:v>3.17</x:v>
      </x:c>
      <x:c r="H84" s="20" t="n">
        <x:v>4.49</x:v>
      </x:c>
      <x:c r="I84" s="20" t="n">
        <x:v>1.05</x:v>
      </x:c>
      <x:c r="J84" s="17" t="str">
        <x:v>Unclear prompt</x:v>
      </x:c>
      <x:c r="K84" s="17" t="str">
        <x:v>No</x:v>
      </x:c>
      <x:c r="L84" s="17" t="str">
        <x:v>Yes</x:v>
      </x:c>
    </x:row>
    <x:row r="85" ht="23" customHeight="1">
      <x:c r="A85" s="17" t="str">
        <x:v>W0079</x:v>
      </x:c>
      <x:c r="B85" s="18" t="n">
        <x:v>46280</x:v>
      </x:c>
      <x:c r="C85" s="17" t="str">
        <x:v>C002</x:v>
      </x:c>
      <x:c r="D85" s="17" t="str">
        <x:v>Creative</x:v>
      </x:c>
      <x:c r="E85" s="17" t="str">
        <x:v>Taylor Brooks</x:v>
      </x:c>
      <x:c r="F85" s="17" t="str">
        <x:v>Develop concept brief</x:v>
      </x:c>
      <x:c r="G85" s="20" t="n">
        <x:v>4.43</x:v>
      </x:c>
      <x:c r="H85" s="20" t="n">
        <x:v>6.82</x:v>
      </x:c>
      <x:c r="I85" s="20" t="n">
        <x:v>3.24</x:v>
      </x:c>
      <x:c r="J85" s="17" t="str">
        <x:v>Unclear prompt</x:v>
      </x:c>
      <x:c r="K85" s="17" t="str">
        <x:v>No</x:v>
      </x:c>
      <x:c r="L85" s="17" t="str">
        <x:v>No</x:v>
      </x:c>
    </x:row>
    <x:row r="86" ht="23" customHeight="1">
      <x:c r="A86" s="17" t="str">
        <x:v>W0080</x:v>
      </x:c>
      <x:c r="B86" s="18" t="n">
        <x:v>46289</x:v>
      </x:c>
      <x:c r="C86" s="17" t="str">
        <x:v>C002</x:v>
      </x:c>
      <x:c r="D86" s="17" t="str">
        <x:v>Marketing Operations</x:v>
      </x:c>
      <x:c r="E86" s="17" t="str">
        <x:v>Casey Rivera</x:v>
      </x:c>
      <x:c r="F86" s="17" t="str">
        <x:v>Clean audience data</x:v>
      </x:c>
      <x:c r="G86" s="20" t="n">
        <x:v>3.35</x:v>
      </x:c>
      <x:c r="H86" s="20" t="n">
        <x:v>4.58</x:v>
      </x:c>
      <x:c r="I86" s="20" t="n">
        <x:v>1.28</x:v>
      </x:c>
      <x:c r="J86" s="17" t="str">
        <x:v>Unclear prompt</x:v>
      </x:c>
      <x:c r="K86" s="17" t="str">
        <x:v>No</x:v>
      </x:c>
      <x:c r="L86" s="17" t="str">
        <x:v>No</x:v>
      </x:c>
    </x:row>
    <x:row r="87" ht="23" customHeight="1">
      <x:c r="A87" s="17" t="str">
        <x:v>W0081</x:v>
      </x:c>
      <x:c r="B87" s="18" t="n">
        <x:v>46274</x:v>
      </x:c>
      <x:c r="C87" s="17" t="str">
        <x:v>C002</x:v>
      </x:c>
      <x:c r="D87" s="17" t="str">
        <x:v>Marketing Operations</x:v>
      </x:c>
      <x:c r="E87" s="17" t="str">
        <x:v>Morgan Reed</x:v>
      </x:c>
      <x:c r="F87" s="17" t="str">
        <x:v>Prepare launch checklist</x:v>
      </x:c>
      <x:c r="G87" s="20" t="n">
        <x:v>4.11</x:v>
      </x:c>
      <x:c r="H87" s="20" t="n">
        <x:v>5.75</x:v>
      </x:c>
      <x:c r="I87" s="20" t="n">
        <x:v>2.22</x:v>
      </x:c>
      <x:c r="J87" s="17" t="str">
        <x:v>Data problem</x:v>
      </x:c>
      <x:c r="K87" s="17" t="str">
        <x:v>No</x:v>
      </x:c>
      <x:c r="L87" s="17" t="str">
        <x:v>No</x:v>
      </x:c>
    </x:row>
    <x:row r="88" ht="23" customHeight="1">
      <x:c r="A88" s="17" t="str">
        <x:v>W0082</x:v>
      </x:c>
      <x:c r="B88" s="18" t="n">
        <x:v>46283</x:v>
      </x:c>
      <x:c r="C88" s="17" t="str">
        <x:v>C002</x:v>
      </x:c>
      <x:c r="D88" s="17" t="str">
        <x:v>Analytics</x:v>
      </x:c>
      <x:c r="E88" s="17" t="str">
        <x:v>Quinn Parker</x:v>
      </x:c>
      <x:c r="F88" s="17" t="str">
        <x:v>Analyze campaign results</x:v>
      </x:c>
      <x:c r="G88" s="20" t="n">
        <x:v>4.44</x:v>
      </x:c>
      <x:c r="H88" s="20" t="n">
        <x:v>6.94</x:v>
      </x:c>
      <x:c r="I88" s="20" t="n">
        <x:v>3</x:v>
      </x:c>
      <x:c r="J88" s="17" t="str">
        <x:v>Data problem</x:v>
      </x:c>
      <x:c r="K88" s="17" t="str">
        <x:v>No</x:v>
      </x:c>
      <x:c r="L88" s="17" t="str">
        <x:v>No</x:v>
      </x:c>
    </x:row>
    <x:row r="89" ht="23" customHeight="1">
      <x:c r="A89" s="17" t="str">
        <x:v>W0083</x:v>
      </x:c>
      <x:c r="B89" s="18" t="n">
        <x:v>46294</x:v>
      </x:c>
      <x:c r="C89" s="17" t="str">
        <x:v>C002</x:v>
      </x:c>
      <x:c r="D89" s="17" t="str">
        <x:v>Analytics</x:v>
      </x:c>
      <x:c r="E89" s="17" t="str">
        <x:v>Jamie Patel</x:v>
      </x:c>
      <x:c r="F89" s="17" t="str">
        <x:v>Summarize audience insights</x:v>
      </x:c>
      <x:c r="G89" s="20" t="n">
        <x:v>3.87</x:v>
      </x:c>
      <x:c r="H89" s="20" t="n">
        <x:v>6.66</x:v>
      </x:c>
      <x:c r="I89" s="20" t="n">
        <x:v>3.04</x:v>
      </x:c>
      <x:c r="J89" s="17" t="str">
        <x:v>Brief changed</x:v>
      </x:c>
      <x:c r="K89" s="17" t="str">
        <x:v>Yes</x:v>
      </x:c>
      <x:c r="L89" s="17" t="str">
        <x:v>No</x:v>
      </x:c>
    </x:row>
    <x:row r="90" ht="23" customHeight="1">
      <x:c r="A90" s="17" t="str">
        <x:v>W0084</x:v>
      </x:c>
      <x:c r="B90" s="18" t="n">
        <x:v>46279</x:v>
      </x:c>
      <x:c r="C90" s="17" t="str">
        <x:v>C002</x:v>
      </x:c>
      <x:c r="D90" s="17" t="str">
        <x:v>Content</x:v>
      </x:c>
      <x:c r="E90" s="17" t="str">
        <x:v>Avery Morgan</x:v>
      </x:c>
      <x:c r="F90" s="17" t="str">
        <x:v>Edit landing page</x:v>
      </x:c>
      <x:c r="G90" s="20" t="n">
        <x:v>4.43</x:v>
      </x:c>
      <x:c r="H90" s="20" t="n">
        <x:v>6.43</x:v>
      </x:c>
      <x:c r="I90" s="20" t="n">
        <x:v>1.42</x:v>
      </x:c>
      <x:c r="J90" s="17" t="str">
        <x:v>None</x:v>
      </x:c>
      <x:c r="K90" s="17" t="str">
        <x:v>No</x:v>
      </x:c>
      <x:c r="L90" s="17" t="str">
        <x:v>No</x:v>
      </x:c>
    </x:row>
    <x:row r="91" ht="23" customHeight="1">
      <x:c r="A91" s="17" t="str">
        <x:v>W0085</x:v>
      </x:c>
      <x:c r="B91" s="18" t="n">
        <x:v>46288</x:v>
      </x:c>
      <x:c r="C91" s="17" t="str">
        <x:v>C002</x:v>
      </x:c>
      <x:c r="D91" s="17" t="str">
        <x:v>Content</x:v>
      </x:c>
      <x:c r="E91" s="17" t="str">
        <x:v>Jordan Ellis</x:v>
      </x:c>
      <x:c r="F91" s="17" t="str">
        <x:v>Write ad copy</x:v>
      </x:c>
      <x:c r="G91" s="20" t="n">
        <x:v>2.32</x:v>
      </x:c>
      <x:c r="H91" s="20" t="n">
        <x:v>4.27</x:v>
      </x:c>
      <x:c r="I91" s="20" t="n">
        <x:v>1.11</x:v>
      </x:c>
      <x:c r="J91" s="17" t="str">
        <x:v>Brief changed</x:v>
      </x:c>
      <x:c r="K91" s="17" t="str">
        <x:v>Yes</x:v>
      </x:c>
      <x:c r="L91" s="17" t="str">
        <x:v>Yes</x:v>
      </x:c>
    </x:row>
    <x:row r="92" ht="23" customHeight="1">
      <x:c r="A92" s="17" t="str">
        <x:v>W0086</x:v>
      </x:c>
      <x:c r="B92" s="18" t="n">
        <x:v>46273</x:v>
      </x:c>
      <x:c r="C92" s="17" t="str">
        <x:v>C002</x:v>
      </x:c>
      <x:c r="D92" s="17" t="str">
        <x:v>Creative</x:v>
      </x:c>
      <x:c r="E92" s="17" t="str">
        <x:v>Riley Chen</x:v>
      </x:c>
      <x:c r="F92" s="17" t="str">
        <x:v>Review creative variants</x:v>
      </x:c>
      <x:c r="G92" s="20" t="n">
        <x:v>2.33</x:v>
      </x:c>
      <x:c r="H92" s="20" t="n">
        <x:v>2.73</x:v>
      </x:c>
      <x:c r="I92" s="20" t="n">
        <x:v>1.07</x:v>
      </x:c>
      <x:c r="J92" s="17" t="str">
        <x:v>Unclear prompt</x:v>
      </x:c>
      <x:c r="K92" s="17" t="str">
        <x:v>No</x:v>
      </x:c>
      <x:c r="L92" s="17" t="str">
        <x:v>No</x:v>
      </x:c>
    </x:row>
    <x:row r="93" ht="23" customHeight="1">
      <x:c r="A93" s="17" t="str">
        <x:v>W0087</x:v>
      </x:c>
      <x:c r="B93" s="18" t="n">
        <x:v>46282</x:v>
      </x:c>
      <x:c r="C93" s="17" t="str">
        <x:v>C002</x:v>
      </x:c>
      <x:c r="D93" s="17" t="str">
        <x:v>  creative </x:v>
      </x:c>
      <x:c r="E93" s="17" t="str">
        <x:v>Taylor Brooks</x:v>
      </x:c>
      <x:c r="F93" s="17" t="str">
        <x:v>Plan visual narrative</x:v>
      </x:c>
      <x:c r="G93" s="20" t="n">
        <x:v>3.71</x:v>
      </x:c>
      <x:c r="H93" s="20" t="n">
        <x:v>5.93</x:v>
      </x:c>
      <x:c r="I93" s="20" t="n">
        <x:v>0.76</x:v>
      </x:c>
      <x:c r="J93" s="17" t="str">
        <x:v>None</x:v>
      </x:c>
      <x:c r="K93" s="17" t="str">
        <x:v>No</x:v>
      </x:c>
      <x:c r="L93" s="17" t="str">
        <x:v>Yes</x:v>
      </x:c>
    </x:row>
    <x:row r="94" ht="23" customHeight="1">
      <x:c r="A94" s="17" t="str">
        <x:v>W0088</x:v>
      </x:c>
      <x:c r="B94" s="18" t="n">
        <x:v>46293</x:v>
      </x:c>
      <x:c r="C94" s="17" t="str">
        <x:v>C002</x:v>
      </x:c>
      <x:c r="D94" s="17" t="str">
        <x:v>Marketing Operations</x:v>
      </x:c>
      <x:c r="E94" s="17" t="str">
        <x:v>Casey Rivera</x:v>
      </x:c>
      <x:c r="F94" s="17" t="str">
        <x:v>Build campaign plan</x:v>
      </x:c>
      <x:c r="G94" s="20" t="n">
        <x:v>3.08</x:v>
      </x:c>
      <x:c r="H94" s="20" t="n">
        <x:v>3.79</x:v>
      </x:c>
      <x:c r="I94" s="20" t="n">
        <x:v>0.82</x:v>
      </x:c>
      <x:c r="J94" s="17" t="str">
        <x:v>Brief changed</x:v>
      </x:c>
      <x:c r="K94" s="17" t="str">
        <x:v>Yes</x:v>
      </x:c>
      <x:c r="L94" s="17" t="str">
        <x:v>No</x:v>
      </x:c>
    </x:row>
    <x:row r="95" ht="23" customHeight="1">
      <x:c r="A95" s="17" t="str">
        <x:v>W0089</x:v>
      </x:c>
      <x:c r="B95" s="18" t="n">
        <x:v>46276</x:v>
      </x:c>
      <x:c r="C95" s="17" t="str">
        <x:v>C002</x:v>
      </x:c>
      <x:c r="D95" s="17" t="str">
        <x:v>Marketing Operations</x:v>
      </x:c>
      <x:c r="E95" s="17" t="str">
        <x:v>Morgan Reed</x:v>
      </x:c>
      <x:c r="F95" s="17" t="str">
        <x:v>Clean audience data</x:v>
      </x:c>
      <x:c r="G95" s="20" t="n">
        <x:v>3.89</x:v>
      </x:c>
      <x:c r="H95" s="20" t="n">
        <x:v>5.24</x:v>
      </x:c>
      <x:c r="I95" s="20" t="n">
        <x:v>1.76</x:v>
      </x:c>
      <x:c r="J95" s="17" t="str">
        <x:v>Brief changed</x:v>
      </x:c>
      <x:c r="K95" s="17" t="str">
        <x:v>Yes</x:v>
      </x:c>
      <x:c r="L95" s="17" t="str">
        <x:v>Yes</x:v>
      </x:c>
    </x:row>
    <x:row r="96" ht="23" customHeight="1">
      <x:c r="A96" s="17" t="str">
        <x:v>W0090</x:v>
      </x:c>
      <x:c r="B96" s="18" t="n">
        <x:v>46287</x:v>
      </x:c>
      <x:c r="C96" s="17" t="str">
        <x:v>C002</x:v>
      </x:c>
      <x:c r="D96" s="17" t="str">
        <x:v>Analytics</x:v>
      </x:c>
      <x:c r="E96" s="17" t="str">
        <x:v>Quinn Parker</x:v>
      </x:c>
      <x:c r="F96" s="17" t="str">
        <x:v>Check measurement plan</x:v>
      </x:c>
      <x:c r="G96" s="20" t="n">
        <x:v>4.07</x:v>
      </x:c>
      <x:c r="H96" s="20" t="n">
        <x:v>7.66</x:v>
      </x:c>
      <x:c r="I96" s="20" t="n">
        <x:v>2.66</x:v>
      </x:c>
      <x:c r="J96" s="17" t="str">
        <x:v>Data problem</x:v>
      </x:c>
      <x:c r="K96" s="17" t="str">
        <x:v>No</x:v>
      </x:c>
      <x:c r="L96" s="17" t="str">
        <x:v>Yes</x:v>
      </x:c>
    </x:row>
    <x:row r="97" ht="23" customHeight="1">
      <x:c r="A97" s="17" t="str">
        <x:v>W0091</x:v>
      </x:c>
      <x:c r="B97" s="18" t="n">
        <x:v>46269</x:v>
      </x:c>
      <x:c r="C97" s="17" t="str">
        <x:v>C002</x:v>
      </x:c>
      <x:c r="D97" s="17" t="str">
        <x:v>Analytics</x:v>
      </x:c>
      <x:c r="E97" s="17" t="str">
        <x:v>Jamie Patel</x:v>
      </x:c>
      <x:c r="F97" s="17" t="str">
        <x:v>Analyze campaign results</x:v>
      </x:c>
      <x:c r="G97" s="20" t="n">
        <x:v>4.18</x:v>
      </x:c>
      <x:c r="H97" s="20" t="n">
        <x:v>6.3</x:v>
      </x:c>
      <x:c r="I97" s="20" t="n">
        <x:v>2.97</x:v>
      </x:c>
      <x:c r="J97" s="17" t="str">
        <x:v>Data problem</x:v>
      </x:c>
      <x:c r="K97" s="17" t="str">
        <x:v>No</x:v>
      </x:c>
      <x:c r="L97" s="17" t="str">
        <x:v>No</x:v>
      </x:c>
    </x:row>
    <x:row r="98" ht="23" customHeight="1">
      <x:c r="A98" s="17" t="str">
        <x:v>W0092</x:v>
      </x:c>
      <x:c r="B98" s="18" t="n">
        <x:v>46281</x:v>
      </x:c>
      <x:c r="C98" s="17" t="str">
        <x:v>C002</x:v>
      </x:c>
      <x:c r="D98" s="17" t="str">
        <x:v>Content</x:v>
      </x:c>
      <x:c r="E98" s="17" t="str">
        <x:v>Avery Morgan</x:v>
      </x:c>
      <x:c r="F98" s="17" t="str">
        <x:v>Draft email sequence</x:v>
      </x:c>
      <x:c r="G98" s="20" t="n">
        <x:v>3.2</x:v>
      </x:c>
      <x:c r="H98" s="20" t="n">
        <x:v>3.75</x:v>
      </x:c>
      <x:c r="I98" s="20" t="n">
        <x:v>1.35</x:v>
      </x:c>
      <x:c r="J98" s="17" t="str">
        <x:v>Brief changed</x:v>
      </x:c>
      <x:c r="K98" s="17" t="str">
        <x:v>Yes</x:v>
      </x:c>
      <x:c r="L98" s="17" t="str">
        <x:v>No</x:v>
      </x:c>
    </x:row>
    <x:row r="99" ht="23" customHeight="1">
      <x:c r="A99" s="17" t="str">
        <x:v>W0093</x:v>
      </x:c>
      <x:c r="B99" s="18" t="n">
        <x:v>46290</x:v>
      </x:c>
      <x:c r="C99" s="17" t="str">
        <x:v>C002</x:v>
      </x:c>
      <x:c r="D99" s="17" t="str">
        <x:v>Content</x:v>
      </x:c>
      <x:c r="E99" s="17" t="str">
        <x:v>Jordan Ellis</x:v>
      </x:c>
      <x:c r="F99" s="17" t="str">
        <x:v>Edit landing page</x:v>
      </x:c>
      <x:c r="G99" s="20" t="n">
        <x:v>3.73</x:v>
      </x:c>
      <x:c r="H99" s="20" t="n">
        <x:v>5.46</x:v>
      </x:c>
      <x:c r="I99" s="20" t="n">
        <x:v>1.21</x:v>
      </x:c>
      <x:c r="J99" s="17" t="str">
        <x:v>Data problem</x:v>
      </x:c>
      <x:c r="K99" s="17" t="str">
        <x:v>No</x:v>
      </x:c>
      <x:c r="L99" s="17" t="str">
        <x:v>No</x:v>
      </x:c>
    </x:row>
    <x:row r="100" ht="23" customHeight="1">
      <x:c r="A100" s="17" t="str">
        <x:v>W0094</x:v>
      </x:c>
      <x:c r="B100" s="18" t="n">
        <x:v>46275</x:v>
      </x:c>
      <x:c r="C100" s="17" t="str">
        <x:v>C002</x:v>
      </x:c>
      <x:c r="D100" s="17" t="str">
        <x:v>Creative</x:v>
      </x:c>
      <x:c r="E100" s="17" t="str">
        <x:v>Riley Chen</x:v>
      </x:c>
      <x:c r="F100" s="17" t="str">
        <x:v>Develop concept brief</x:v>
      </x:c>
      <x:c r="G100" s="20" t="n">
        <x:v>3.92</x:v>
      </x:c>
      <x:c r="H100" s="20" t="n">
        <x:v>5.12</x:v>
      </x:c>
      <x:c r="I100" s="20" t="n">
        <x:v>1.06</x:v>
      </x:c>
      <x:c r="J100" s="17" t="str">
        <x:v>Data problem</x:v>
      </x:c>
      <x:c r="K100" s="17" t="str">
        <x:v>No</x:v>
      </x:c>
      <x:c r="L100" s="17" t="str">
        <x:v>Yes</x:v>
      </x:c>
    </x:row>
    <x:row r="101" ht="23" customHeight="1">
      <x:c r="A101" s="17" t="str">
        <x:v>W0095</x:v>
      </x:c>
      <x:c r="B101" s="18" t="n">
        <x:v>46286</x:v>
      </x:c>
      <x:c r="C101" s="17" t="str">
        <x:v>C002</x:v>
      </x:c>
      <x:c r="D101" s="17" t="str">
        <x:v>Creative</x:v>
      </x:c>
      <x:c r="E101" s="17" t="str">
        <x:v>Taylor Brooks</x:v>
      </x:c>
      <x:c r="F101" s="17" t="str">
        <x:v>Review creative variants</x:v>
      </x:c>
      <x:c r="G101" s="20" t="n">
        <x:v>4.43</x:v>
      </x:c>
      <x:c r="H101" s="20" t="n">
        <x:v>6.05</x:v>
      </x:c>
      <x:c r="I101" s="20" t="n">
        <x:v>2</x:v>
      </x:c>
      <x:c r="J101" s="17" t="str">
        <x:v>Data problem</x:v>
      </x:c>
      <x:c r="K101" s="17" t="str">
        <x:v>No</x:v>
      </x:c>
      <x:c r="L101" s="17" t="str">
        <x:v>No</x:v>
      </x:c>
    </x:row>
    <x:row r="102" ht="23" customHeight="1">
      <x:c r="A102" s="17" t="str">
        <x:v>W0096</x:v>
      </x:c>
      <x:c r="B102" s="18" t="n">
        <x:v>46295</x:v>
      </x:c>
      <x:c r="C102" s="17" t="str">
        <x:v>C002</x:v>
      </x:c>
      <x:c r="D102" s="17" t="str">
        <x:v>Marketing Operations</x:v>
      </x:c>
      <x:c r="E102" s="17" t="str">
        <x:v>Casey Rivera</x:v>
      </x:c>
      <x:c r="F102" s="17" t="str">
        <x:v>Prepare launch checklist</x:v>
      </x:c>
      <x:c r="G102" s="20" t="n">
        <x:v>2.87</x:v>
      </x:c>
      <x:c r="H102" s="20" t="n">
        <x:v>4.05</x:v>
      </x:c>
      <x:c r="I102" s="20" t="n">
        <x:v>1.86</x:v>
      </x:c>
      <x:c r="J102" s="17" t="str">
        <x:v>Unclear prompt</x:v>
      </x:c>
      <x:c r="K102" s="17" t="str">
        <x:v>No</x:v>
      </x:c>
      <x:c r="L102" s="17" t="str">
        <x:v>No</x:v>
      </x:c>
    </x:row>
    <x:row r="103" ht="23" customHeight="1">
      <x:c r="A103" s="17" t="str">
        <x:v>W0097</x:v>
      </x:c>
      <x:c r="B103" s="18" t="n">
        <x:v>46280</x:v>
      </x:c>
      <x:c r="C103" s="17" t="str">
        <x:v>C002</x:v>
      </x:c>
      <x:c r="D103" s="17" t="str">
        <x:v>Marketing Operations</x:v>
      </x:c>
      <x:c r="E103" s="17" t="str">
        <x:v>Morgan Reed</x:v>
      </x:c>
      <x:c r="F103" s="17" t="str">
        <x:v>Build campaign plan</x:v>
      </x:c>
      <x:c r="G103" s="20" t="n">
        <x:v>2.91</x:v>
      </x:c>
      <x:c r="H103" s="20" t="n">
        <x:v>5.32</x:v>
      </x:c>
      <x:c r="I103" s="20" t="n">
        <x:v>2.14</x:v>
      </x:c>
      <x:c r="J103" s="17" t="str">
        <x:v>Brief changed</x:v>
      </x:c>
      <x:c r="K103" s="17" t="str">
        <x:v>Yes</x:v>
      </x:c>
      <x:c r="L103" s="17" t="str">
        <x:v>No</x:v>
      </x:c>
    </x:row>
    <x:row r="104" ht="23" customHeight="1">
      <x:c r="A104" s="17" t="str">
        <x:v>W0098</x:v>
      </x:c>
      <x:c r="B104" s="18" t="n">
        <x:v>46289</x:v>
      </x:c>
      <x:c r="C104" s="17" t="str">
        <x:v>C002</x:v>
      </x:c>
      <x:c r="D104" s="17" t="str">
        <x:v>Analytics</x:v>
      </x:c>
      <x:c r="E104" s="17" t="str">
        <x:v>Quinn Parker</x:v>
      </x:c>
      <x:c r="F104" s="17" t="str">
        <x:v>Summarize audience insights</x:v>
      </x:c>
      <x:c r="G104" s="20" t="n">
        <x:v>4.12</x:v>
      </x:c>
      <x:c r="H104" s="20" t="n">
        <x:v>6.05</x:v>
      </x:c>
      <x:c r="I104" s="20" t="n">
        <x:v>0.83</x:v>
      </x:c>
      <x:c r="J104" s="17" t="str">
        <x:v>None</x:v>
      </x:c>
      <x:c r="K104" s="17" t="str">
        <x:v>No</x:v>
      </x:c>
      <x:c r="L104" s="17" t="str">
        <x:v>No</x:v>
      </x:c>
    </x:row>
    <x:row r="105" ht="23" customHeight="1">
      <x:c r="A105" s="17" t="str">
        <x:v>W0099</x:v>
      </x:c>
      <x:c r="B105" s="18" t="n">
        <x:v>46274</x:v>
      </x:c>
      <x:c r="C105" s="17" t="str">
        <x:v>C002</x:v>
      </x:c>
      <x:c r="D105" s="17" t="str">
        <x:v>Analytics</x:v>
      </x:c>
      <x:c r="E105" s="17" t="str">
        <x:v>Jamie Patel</x:v>
      </x:c>
      <x:c r="F105" s="17" t="str">
        <x:v>Check measurement plan</x:v>
      </x:c>
      <x:c r="G105" s="20" t="n">
        <x:v>2.47</x:v>
      </x:c>
      <x:c r="H105" s="20" t="n">
        <x:v>3.95</x:v>
      </x:c>
      <x:c r="I105" s="20" t="n">
        <x:v>1.48</x:v>
      </x:c>
      <x:c r="J105" s="17" t="str">
        <x:v>Brief changed</x:v>
      </x:c>
      <x:c r="K105" s="17" t="str">
        <x:v>Yes</x:v>
      </x:c>
      <x:c r="L105" s="17" t="str">
        <x:v>No</x:v>
      </x:c>
    </x:row>
    <x:row r="106" ht="23" customHeight="1">
      <x:c r="A106" s="17" t="str">
        <x:v>W0100</x:v>
      </x:c>
      <x:c r="B106" s="18" t="n">
        <x:v>46283</x:v>
      </x:c>
      <x:c r="C106" s="17" t="str">
        <x:v>C002</x:v>
      </x:c>
      <x:c r="D106" s="17" t="str">
        <x:v>Content</x:v>
      </x:c>
      <x:c r="E106" s="17" t="str">
        <x:v>Avery Morgan</x:v>
      </x:c>
      <x:c r="F106" s="17" t="str">
        <x:v>Write ad copy</x:v>
      </x:c>
      <x:c r="G106" s="20" t="n">
        <x:v>4.07</x:v>
      </x:c>
      <x:c r="H106" s="20" t="n">
        <x:v>7.71</x:v>
      </x:c>
      <x:c r="I106" s="20" t="n">
        <x:v>2.55</x:v>
      </x:c>
      <x:c r="J106" s="17" t="str">
        <x:v>Brief changed</x:v>
      </x:c>
      <x:c r="K106" s="17" t="str">
        <x:v>Yes</x:v>
      </x:c>
      <x:c r="L106" s="17" t="str">
        <x:v>No</x:v>
      </x:c>
    </x:row>
    <x:row r="107" ht="23" customHeight="1">
      <x:c r="A107" s="17" t="str">
        <x:v>W0101</x:v>
      </x:c>
      <x:c r="B107" s="18" t="n">
        <x:v>46294</x:v>
      </x:c>
      <x:c r="C107" s="17" t="str">
        <x:v>C002</x:v>
      </x:c>
      <x:c r="D107" s="17" t="str">
        <x:v>Content</x:v>
      </x:c>
      <x:c r="E107" s="17" t="str">
        <x:v>Jordan Ellis</x:v>
      </x:c>
      <x:c r="F107" s="17" t="str">
        <x:v>Draft email sequence</x:v>
      </x:c>
      <x:c r="G107" s="20" t="n">
        <x:v>3.81</x:v>
      </x:c>
      <x:c r="H107" s="20" t="n">
        <x:v>6.97</x:v>
      </x:c>
      <x:c r="I107" s="20" t="n">
        <x:v>1.43</x:v>
      </x:c>
      <x:c r="J107" s="17" t="str">
        <x:v>Data problem</x:v>
      </x:c>
      <x:c r="K107" s="17" t="str">
        <x:v>No</x:v>
      </x:c>
      <x:c r="L107" s="17" t="str">
        <x:v>Yes</x:v>
      </x:c>
    </x:row>
    <x:row r="108" ht="23" customHeight="1">
      <x:c r="A108" s="17" t="str">
        <x:v>W0102</x:v>
      </x:c>
      <x:c r="B108" s="18" t="n">
        <x:v>46279</x:v>
      </x:c>
      <x:c r="C108" s="17" t="str">
        <x:v>C002</x:v>
      </x:c>
      <x:c r="D108" s="17" t="str">
        <x:v>Creative</x:v>
      </x:c>
      <x:c r="E108" s="17" t="str">
        <x:v>Riley Chen</x:v>
      </x:c>
      <x:c r="F108" s="17" t="str">
        <x:v>Plan visual narrative</x:v>
      </x:c>
      <x:c r="G108" s="20" t="n">
        <x:v>2.43</x:v>
      </x:c>
      <x:c r="H108" s="20" t="n">
        <x:v>3.25</x:v>
      </x:c>
      <x:c r="I108" s="20" t="n">
        <x:v>1.48</x:v>
      </x:c>
      <x:c r="J108" s="17" t="str">
        <x:v>Data problem</x:v>
      </x:c>
      <x:c r="K108" s="17" t="str">
        <x:v>No</x:v>
      </x:c>
      <x:c r="L108" s="17" t="str">
        <x:v>No</x:v>
      </x:c>
    </x:row>
    <x:row r="109" ht="23" customHeight="1">
      <x:c r="A109" s="17" t="str">
        <x:v>W0103</x:v>
      </x:c>
      <x:c r="B109" s="18" t="n">
        <x:v>46288</x:v>
      </x:c>
      <x:c r="C109" s="17" t="str">
        <x:v>C002</x:v>
      </x:c>
      <x:c r="D109" s="17" t="str">
        <x:v>Creative</x:v>
      </x:c>
      <x:c r="E109" s="17" t="str">
        <x:v>Taylor Brooks</x:v>
      </x:c>
      <x:c r="F109" s="17" t="str">
        <x:v>Develop concept brief</x:v>
      </x:c>
      <x:c r="G109" s="20" t="n">
        <x:v>3.62</x:v>
      </x:c>
      <x:c r="H109" s="20" t="n">
        <x:v>4.13</x:v>
      </x:c>
      <x:c r="I109" s="20" t="n">
        <x:v>1.36</x:v>
      </x:c>
      <x:c r="J109" s="17" t="str">
        <x:v>Brief changed</x:v>
      </x:c>
      <x:c r="K109" s="17" t="str">
        <x:v>Yes</x:v>
      </x:c>
      <x:c r="L109" s="17" t="str">
        <x:v>No</x:v>
      </x:c>
    </x:row>
    <x:row r="110" ht="23" customHeight="1">
      <x:c r="A110" s="17" t="str">
        <x:v>W0104</x:v>
      </x:c>
      <x:c r="B110" s="18" t="n">
        <x:v>46273</x:v>
      </x:c>
      <x:c r="C110" s="17" t="str">
        <x:v>C002</x:v>
      </x:c>
      <x:c r="D110" s="17" t="str">
        <x:v>Marketing Operations</x:v>
      </x:c>
      <x:c r="E110" s="17" t="str">
        <x:v>Casey Rivera</x:v>
      </x:c>
      <x:c r="F110" s="17" t="str">
        <x:v>Clean audience data</x:v>
      </x:c>
      <x:c r="G110" s="20" t="n">
        <x:v>2.86</x:v>
      </x:c>
      <x:c r="H110" s="20" t="n">
        <x:v>3.43</x:v>
      </x:c>
      <x:c r="I110" s="20" t="n">
        <x:v>0.81</x:v>
      </x:c>
      <x:c r="J110" s="17" t="str">
        <x:v>Unclear prompt</x:v>
      </x:c>
      <x:c r="K110" s="17" t="str">
        <x:v>No</x:v>
      </x:c>
      <x:c r="L110" s="17" t="str">
        <x:v>Yes</x:v>
      </x:c>
    </x:row>
    <x:row r="111" ht="23" customHeight="1">
      <x:c r="A111" s="17" t="str">
        <x:v>W0105</x:v>
      </x:c>
      <x:c r="B111" s="18" t="n">
        <x:v>46282</x:v>
      </x:c>
      <x:c r="C111" s="17" t="str">
        <x:v>C002</x:v>
      </x:c>
      <x:c r="D111" s="17" t="str">
        <x:v>Marketing Operations</x:v>
      </x:c>
      <x:c r="E111" s="17" t="str">
        <x:v>Morgan Reed</x:v>
      </x:c>
      <x:c r="F111" s="17" t="str">
        <x:v>Prepare launch checklist</x:v>
      </x:c>
      <x:c r="G111" s="20" t="n">
        <x:v>3.8</x:v>
      </x:c>
      <x:c r="H111" s="20" t="n">
        <x:v>6.17</x:v>
      </x:c>
      <x:c r="I111" s="20" t="n">
        <x:v>2.54</x:v>
      </x:c>
      <x:c r="J111" s="17" t="str">
        <x:v>Brief changed</x:v>
      </x:c>
      <x:c r="K111" s="17" t="str">
        <x:v>Yes</x:v>
      </x:c>
      <x:c r="L111" s="17" t="str">
        <x:v>Yes</x:v>
      </x:c>
    </x:row>
    <x:row r="112" ht="23" customHeight="1">
      <x:c r="A112" s="17" t="str">
        <x:v>W0106</x:v>
      </x:c>
      <x:c r="B112" s="18" t="n">
        <x:v>46293</x:v>
      </x:c>
      <x:c r="C112" s="17" t="str">
        <x:v>C002</x:v>
      </x:c>
      <x:c r="D112" s="17" t="str">
        <x:v>Analytics</x:v>
      </x:c>
      <x:c r="E112" s="17" t="str">
        <x:v>Quinn Parker</x:v>
      </x:c>
      <x:c r="F112" s="17" t="str">
        <x:v>Analyze campaign results</x:v>
      </x:c>
      <x:c r="G112" s="20" t="n">
        <x:v>2.4</x:v>
      </x:c>
      <x:c r="H112" s="20" t="n">
        <x:v>3.35</x:v>
      </x:c>
      <x:c r="I112" s="20" t="n">
        <x:v>1.34</x:v>
      </x:c>
      <x:c r="J112" s="17" t="str">
        <x:v>Brief changed</x:v>
      </x:c>
      <x:c r="K112" s="17" t="str">
        <x:v>Yes</x:v>
      </x:c>
      <x:c r="L112" s="17" t="str">
        <x:v>No</x:v>
      </x:c>
    </x:row>
    <x:row r="113" ht="23" customHeight="1">
      <x:c r="A113" s="17" t="str">
        <x:v>W0107</x:v>
      </x:c>
      <x:c r="B113" s="18" t="n">
        <x:v>46276</x:v>
      </x:c>
      <x:c r="C113" s="17" t="str">
        <x:v>C002</x:v>
      </x:c>
      <x:c r="D113" s="17" t="str">
        <x:v>Analytics</x:v>
      </x:c>
      <x:c r="E113" s="17" t="str">
        <x:v>Jamie Patel</x:v>
      </x:c>
      <x:c r="F113" s="17" t="str">
        <x:v>Summarize audience insights</x:v>
      </x:c>
      <x:c r="G113" s="20" t="n">
        <x:v>3.51</x:v>
      </x:c>
      <x:c r="H113" s="20" t="n">
        <x:v>5.32</x:v>
      </x:c>
      <x:c r="I113" s="20" t="n">
        <x:v>1.44</x:v>
      </x:c>
      <x:c r="J113" s="17" t="str">
        <x:v>Unclear prompt</x:v>
      </x:c>
      <x:c r="K113" s="17" t="str">
        <x:v>No</x:v>
      </x:c>
      <x:c r="L113" s="17" t="str">
        <x:v>No</x:v>
      </x:c>
    </x:row>
    <x:row r="114" ht="23" customHeight="1">
      <x:c r="A114" s="17" t="str">
        <x:v>W0108</x:v>
      </x:c>
      <x:c r="B114" s="18" t="n">
        <x:v>46287</x:v>
      </x:c>
      <x:c r="C114" s="17" t="str">
        <x:v>C002</x:v>
      </x:c>
      <x:c r="D114" s="17" t="str">
        <x:v>Content</x:v>
      </x:c>
      <x:c r="E114" s="17" t="str">
        <x:v>Avery Morgan</x:v>
      </x:c>
      <x:c r="F114" s="17" t="str">
        <x:v>Edit landing page</x:v>
      </x:c>
      <x:c r="G114" s="20" t="n">
        <x:v>2.29</x:v>
      </x:c>
      <x:c r="H114" s="20" t="n">
        <x:v>4.45</x:v>
      </x:c>
      <x:c r="I114" s="20" t="n">
        <x:v>1.94</x:v>
      </x:c>
      <x:c r="J114" s="17" t="str">
        <x:v>Brief changed</x:v>
      </x:c>
      <x:c r="K114" s="17" t="str">
        <x:v>Yes</x:v>
      </x:c>
      <x:c r="L114" s="17" t="str">
        <x:v>No</x:v>
      </x:c>
    </x:row>
    <x:row r="115" ht="23" customHeight="1">
      <x:c r="A115" s="17" t="str">
        <x:v>W0109</x:v>
      </x:c>
      <x:c r="B115" s="18" t="n">
        <x:v>46269</x:v>
      </x:c>
      <x:c r="C115" s="17" t="str">
        <x:v>C002</x:v>
      </x:c>
      <x:c r="D115" s="17" t="str">
        <x:v>Content</x:v>
      </x:c>
      <x:c r="E115" s="17" t="str">
        <x:v>Jordan Ellis</x:v>
      </x:c>
      <x:c r="F115" s="17" t="str">
        <x:v>Write ad copy</x:v>
      </x:c>
      <x:c r="G115" s="20" t="n">
        <x:v>2.66</x:v>
      </x:c>
      <x:c r="H115" s="20" t="n">
        <x:v>4.6</x:v>
      </x:c>
      <x:c r="I115" s="20" t="n">
        <x:v>1.9</x:v>
      </x:c>
      <x:c r="J115" s="17" t="str">
        <x:v>Unclear prompt</x:v>
      </x:c>
      <x:c r="K115" s="17" t="str">
        <x:v>No</x:v>
      </x:c>
      <x:c r="L115" s="17" t="str">
        <x:v>No</x:v>
      </x:c>
    </x:row>
    <x:row r="116" ht="23" customHeight="1">
      <x:c r="A116" s="17" t="str">
        <x:v>W0110</x:v>
      </x:c>
      <x:c r="B116" s="18" t="n">
        <x:v>46281</x:v>
      </x:c>
      <x:c r="C116" s="17" t="str">
        <x:v>C002</x:v>
      </x:c>
      <x:c r="D116" s="17" t="str">
        <x:v>  creative </x:v>
      </x:c>
      <x:c r="E116" s="17" t="str">
        <x:v>Riley Chen</x:v>
      </x:c>
      <x:c r="F116" s="17" t="str">
        <x:v>Review creative variants</x:v>
      </x:c>
      <x:c r="G116" s="20" t="n">
        <x:v>2.81</x:v>
      </x:c>
      <x:c r="H116" s="20" t="n">
        <x:v>3.85</x:v>
      </x:c>
      <x:c r="I116" s="20" t="n">
        <x:v>1.55</x:v>
      </x:c>
      <x:c r="J116" s="17" t="str">
        <x:v>Brief changed</x:v>
      </x:c>
      <x:c r="K116" s="17" t="str">
        <x:v>Yes</x:v>
      </x:c>
      <x:c r="L116" s="17" t="str">
        <x:v>Yes</x:v>
      </x:c>
    </x:row>
    <x:row r="117" ht="23" customHeight="1">
      <x:c r="A117" s="17" t="str">
        <x:v>W0111</x:v>
      </x:c>
      <x:c r="B117" s="18" t="n">
        <x:v>46290</x:v>
      </x:c>
      <x:c r="C117" s="17" t="str">
        <x:v>C002</x:v>
      </x:c>
      <x:c r="D117" s="17" t="str">
        <x:v>Creative</x:v>
      </x:c>
      <x:c r="E117" s="17" t="str">
        <x:v>Taylor Brooks</x:v>
      </x:c>
      <x:c r="F117" s="17" t="str">
        <x:v>Plan visual narrative</x:v>
      </x:c>
      <x:c r="G117" s="20" t="n">
        <x:v>2.98</x:v>
      </x:c>
      <x:c r="H117" s="20" t="n">
        <x:v>3.51</x:v>
      </x:c>
      <x:c r="I117" s="20" t="n">
        <x:v>0.95</x:v>
      </x:c>
      <x:c r="J117" s="17" t="str">
        <x:v>Brief changed</x:v>
      </x:c>
      <x:c r="K117" s="17" t="str">
        <x:v>Yes</x:v>
      </x:c>
      <x:c r="L117" s="17" t="str">
        <x:v>No</x:v>
      </x:c>
    </x:row>
    <x:row r="118" ht="23" customHeight="1">
      <x:c r="A118" s="17" t="str">
        <x:v>W0112</x:v>
      </x:c>
      <x:c r="B118" s="18" t="n">
        <x:v>46275</x:v>
      </x:c>
      <x:c r="C118" s="17" t="str">
        <x:v>C002</x:v>
      </x:c>
      <x:c r="D118" s="17" t="str">
        <x:v>Marketing Operations</x:v>
      </x:c>
      <x:c r="E118" s="17" t="str">
        <x:v>Casey Rivera</x:v>
      </x:c>
      <x:c r="F118" s="17" t="str">
        <x:v>Build campaign plan</x:v>
      </x:c>
      <x:c r="G118" s="20" t="n">
        <x:v>4.36</x:v>
      </x:c>
      <x:c r="H118" s="20" t="n">
        <x:v>5.69</x:v>
      </x:c>
      <x:c r="I118" s="20" t="n">
        <x:v>1.57</x:v>
      </x:c>
      <x:c r="J118" s="17" t="str">
        <x:v>Brief changed</x:v>
      </x:c>
      <x:c r="K118" s="17" t="str">
        <x:v>Yes</x:v>
      </x:c>
      <x:c r="L118" s="17" t="str">
        <x:v>No</x:v>
      </x:c>
    </x:row>
    <x:row r="119" ht="23" customHeight="1">
      <x:c r="A119" s="17" t="str">
        <x:v>W0113</x:v>
      </x:c>
      <x:c r="B119" s="18" t="n">
        <x:v>46286</x:v>
      </x:c>
      <x:c r="C119" s="17" t="str">
        <x:v>C002</x:v>
      </x:c>
      <x:c r="D119" s="17" t="str">
        <x:v>Marketing Operations</x:v>
      </x:c>
      <x:c r="E119" s="17" t="str">
        <x:v>Morgan Reed</x:v>
      </x:c>
      <x:c r="F119" s="17" t="str">
        <x:v>Clean audience data</x:v>
      </x:c>
      <x:c r="G119" s="20" t="n">
        <x:v>2.52</x:v>
      </x:c>
      <x:c r="H119" s="20" t="n">
        <x:v>3.3</x:v>
      </x:c>
      <x:c r="I119" s="20" t="n">
        <x:v>1.49</x:v>
      </x:c>
      <x:c r="J119" s="17" t="str">
        <x:v>Data problem</x:v>
      </x:c>
      <x:c r="K119" s="17" t="str">
        <x:v>No</x:v>
      </x:c>
      <x:c r="L119" s="17" t="str">
        <x:v>No</x:v>
      </x:c>
    </x:row>
    <x:row r="120" ht="23" customHeight="1">
      <x:c r="A120" s="17" t="str">
        <x:v>W0114</x:v>
      </x:c>
      <x:c r="B120" s="18" t="n">
        <x:v>46295</x:v>
      </x:c>
      <x:c r="C120" s="17" t="str">
        <x:v>C002</x:v>
      </x:c>
      <x:c r="D120" s="17" t="str">
        <x:v>Analytics</x:v>
      </x:c>
      <x:c r="E120" s="17" t="str">
        <x:v>Quinn Parker</x:v>
      </x:c>
      <x:c r="F120" s="17" t="str">
        <x:v>Check measurement plan</x:v>
      </x:c>
      <x:c r="G120" s="20" t="n">
        <x:v>2.82</x:v>
      </x:c>
      <x:c r="H120" s="20" t="n">
        <x:v>3.69</x:v>
      </x:c>
      <x:c r="I120" s="20" t="n">
        <x:v>1.77</x:v>
      </x:c>
      <x:c r="J120" s="17" t="str">
        <x:v>Brief changed</x:v>
      </x:c>
      <x:c r="K120" s="17" t="str">
        <x:v>Yes</x:v>
      </x:c>
      <x:c r="L120" s="17" t="str">
        <x:v>No</x:v>
      </x:c>
    </x:row>
    <x:row r="121" ht="23" customHeight="1">
      <x:c r="A121" s="17" t="str">
        <x:v>W0115</x:v>
      </x:c>
      <x:c r="B121" s="18" t="n">
        <x:v>46280</x:v>
      </x:c>
      <x:c r="C121" s="17" t="str">
        <x:v>C002</x:v>
      </x:c>
      <x:c r="D121" s="17" t="str">
        <x:v>Analytics</x:v>
      </x:c>
      <x:c r="E121" s="17" t="str">
        <x:v>Jamie Patel</x:v>
      </x:c>
      <x:c r="F121" s="17" t="str">
        <x:v>Analyze campaign results</x:v>
      </x:c>
      <x:c r="G121" s="20" t="n">
        <x:v>3.38</x:v>
      </x:c>
      <x:c r="H121" s="20" t="n">
        <x:v>4.5</x:v>
      </x:c>
      <x:c r="I121" s="20" t="n">
        <x:v>1.64</x:v>
      </x:c>
      <x:c r="J121" s="17" t="str">
        <x:v>Brief changed</x:v>
      </x:c>
      <x:c r="K121" s="17" t="str">
        <x:v>Yes</x:v>
      </x:c>
      <x:c r="L121" s="17" t="str">
        <x:v>No</x:v>
      </x:c>
    </x:row>
    <x:row r="122" ht="23" customHeight="1">
      <x:c r="A122" s="17" t="str">
        <x:v>W0116</x:v>
      </x:c>
      <x:c r="B122" s="18" t="n">
        <x:v>46289</x:v>
      </x:c>
      <x:c r="C122" s="17" t="str">
        <x:v>C002</x:v>
      </x:c>
      <x:c r="D122" s="17" t="str">
        <x:v>Content</x:v>
      </x:c>
      <x:c r="E122" s="17" t="str">
        <x:v>Avery Morgan</x:v>
      </x:c>
      <x:c r="F122" s="17" t="str">
        <x:v>Draft email sequence</x:v>
      </x:c>
      <x:c r="G122" s="20" t="n">
        <x:v>2.61</x:v>
      </x:c>
      <x:c r="H122" s="20" t="n">
        <x:v>3.61</x:v>
      </x:c>
      <x:c r="I122" s="20" t="n">
        <x:v>0.89</x:v>
      </x:c>
      <x:c r="J122" s="17" t="str">
        <x:v>Brief changed</x:v>
      </x:c>
      <x:c r="K122" s="17" t="str">
        <x:v>Yes</x:v>
      </x:c>
      <x:c r="L122" s="17" t="str">
        <x:v>No</x:v>
      </x:c>
    </x:row>
    <x:row r="123" ht="23" customHeight="1">
      <x:c r="A123" s="17" t="str">
        <x:v>W0117</x:v>
      </x:c>
      <x:c r="B123" s="18" t="n">
        <x:v>46274</x:v>
      </x:c>
      <x:c r="C123" s="17" t="str">
        <x:v>C002</x:v>
      </x:c>
      <x:c r="D123" s="17" t="str">
        <x:v>Content</x:v>
      </x:c>
      <x:c r="E123" s="17" t="str">
        <x:v>Jordan Ellis</x:v>
      </x:c>
      <x:c r="F123" s="17" t="str">
        <x:v>Edit landing page</x:v>
      </x:c>
      <x:c r="G123" s="20" t="n">
        <x:v>4.29</x:v>
      </x:c>
      <x:c r="H123" s="20" t="n">
        <x:v>7.91</x:v>
      </x:c>
      <x:c r="I123" s="20" t="n">
        <x:v>3.28</x:v>
      </x:c>
      <x:c r="J123" s="17" t="str">
        <x:v>Brief changed</x:v>
      </x:c>
      <x:c r="K123" s="17" t="str">
        <x:v>Yes</x:v>
      </x:c>
      <x:c r="L123" s="17" t="str">
        <x:v>No</x:v>
      </x:c>
    </x:row>
    <x:row r="124" ht="23" customHeight="1">
      <x:c r="A124" s="17" t="str">
        <x:v>W0118</x:v>
      </x:c>
      <x:c r="B124" s="18" t="n">
        <x:v>46283</x:v>
      </x:c>
      <x:c r="C124" s="17" t="str">
        <x:v>C002</x:v>
      </x:c>
      <x:c r="D124" s="17" t="str">
        <x:v>Creative</x:v>
      </x:c>
      <x:c r="E124" s="17" t="str">
        <x:v>Riley Chen</x:v>
      </x:c>
      <x:c r="F124" s="17" t="str">
        <x:v>Develop concept brief</x:v>
      </x:c>
      <x:c r="G124" s="20" t="n">
        <x:v>2.3</x:v>
      </x:c>
      <x:c r="H124" s="20" t="n">
        <x:v>2.79</x:v>
      </x:c>
      <x:c r="I124" s="20" t="n">
        <x:v>0.39</x:v>
      </x:c>
      <x:c r="J124" s="17" t="str">
        <x:v>None</x:v>
      </x:c>
      <x:c r="K124" s="17" t="str">
        <x:v>No</x:v>
      </x:c>
      <x:c r="L124" s="17" t="str">
        <x:v>Yes</x:v>
      </x:c>
    </x:row>
    <x:row r="125" ht="23" customHeight="1">
      <x:c r="A125" s="17" t="str">
        <x:v>W0119</x:v>
      </x:c>
      <x:c r="B125" s="18" t="n">
        <x:v>46294</x:v>
      </x:c>
      <x:c r="C125" s="17" t="str">
        <x:v>C002</x:v>
      </x:c>
      <x:c r="D125" s="17" t="str">
        <x:v>Creative</x:v>
      </x:c>
      <x:c r="E125" s="17" t="str">
        <x:v>Taylor Brooks</x:v>
      </x:c>
      <x:c r="F125" s="17" t="str">
        <x:v>Review creative variants</x:v>
      </x:c>
      <x:c r="G125" s="20" t="n">
        <x:v>3.51</x:v>
      </x:c>
      <x:c r="H125" s="20" t="n">
        <x:v>4.64</x:v>
      </x:c>
      <x:c r="I125" s="20" t="n">
        <x:v>1.07</x:v>
      </x:c>
      <x:c r="J125" s="17" t="str">
        <x:v>None</x:v>
      </x:c>
      <x:c r="K125" s="17" t="str">
        <x:v>No</x:v>
      </x:c>
      <x:c r="L125" s="17" t="str">
        <x:v>No</x:v>
      </x:c>
    </x:row>
    <x:row r="126" ht="23" customHeight="1">
      <x:c r="A126" s="17" t="str">
        <x:v>W0120</x:v>
      </x:c>
      <x:c r="B126" s="18" t="n">
        <x:v>46279</x:v>
      </x:c>
      <x:c r="C126" s="17" t="str">
        <x:v>C002</x:v>
      </x:c>
      <x:c r="D126" s="17" t="str">
        <x:v>Marketing Operations</x:v>
      </x:c>
      <x:c r="E126" s="17" t="str">
        <x:v>Casey Rivera</x:v>
      </x:c>
      <x:c r="F126" s="17" t="str">
        <x:v>Prepare launch checklist</x:v>
      </x:c>
      <x:c r="G126" s="20" t="n">
        <x:v>4.2</x:v>
      </x:c>
      <x:c r="H126" s="20" t="n">
        <x:v>7.67</x:v>
      </x:c>
      <x:c r="I126" s="20" t="n">
        <x:v>2.04</x:v>
      </x:c>
      <x:c r="J126" s="17" t="str">
        <x:v>Data problem</x:v>
      </x:c>
      <x:c r="K126" s="17" t="str">
        <x:v>No</x:v>
      </x:c>
      <x:c r="L126" s="17" t="str">
        <x:v>No</x:v>
      </x:c>
    </x:row>
    <x:row r="127" ht="23" customHeight="1">
      <x:c r="A127" s="17" t="str">
        <x:v>W0121</x:v>
      </x:c>
      <x:c r="B127" s="18" t="n">
        <x:v>46283</x:v>
      </x:c>
      <x:c r="C127" s="17" t="str">
        <x:v>C003</x:v>
      </x:c>
      <x:c r="D127" s="17" t="str">
        <x:v>Creative</x:v>
      </x:c>
      <x:c r="E127" s="17" t="str">
        <x:v>Riley Chen</x:v>
      </x:c>
      <x:c r="F127" s="17" t="str">
        <x:v>Develop concept brief</x:v>
      </x:c>
      <x:c r="G127" s="20" t="n">
        <x:v>4.51</x:v>
      </x:c>
      <x:c r="H127" s="20" t="n">
        <x:v>3.49</x:v>
      </x:c>
      <x:c r="I127" s="20" t="n">
        <x:v>0.66</x:v>
      </x:c>
      <x:c r="J127" s="17" t="str">
        <x:v>Unclear prompt</x:v>
      </x:c>
      <x:c r="K127" s="17" t="str">
        <x:v>No</x:v>
      </x:c>
      <x:c r="L127" s="17" t="str">
        <x:v>No</x:v>
      </x:c>
    </x:row>
    <x:row r="128" ht="23" customHeight="1">
      <x:c r="A128" s="17" t="str">
        <x:v>W0122</x:v>
      </x:c>
      <x:c r="B128" s="18" t="n">
        <x:v>46294</x:v>
      </x:c>
      <x:c r="C128" s="17" t="str">
        <x:v>C003</x:v>
      </x:c>
      <x:c r="D128" s="17" t="str">
        <x:v>Creative</x:v>
      </x:c>
      <x:c r="E128" s="17" t="str">
        <x:v>Taylor Brooks</x:v>
      </x:c>
      <x:c r="F128" s="17" t="str">
        <x:v>Review creative variants</x:v>
      </x:c>
      <x:c r="G128" s="20" t="n">
        <x:v>2.7</x:v>
      </x:c>
      <x:c r="H128" s="20" t="n">
        <x:v>2.76</x:v>
      </x:c>
      <x:c r="I128" s="20" t="n">
        <x:v>0.13</x:v>
      </x:c>
      <x:c r="J128" s="17" t="str">
        <x:v>Unclear prompt</x:v>
      </x:c>
      <x:c r="K128" s="17" t="str">
        <x:v>No</x:v>
      </x:c>
      <x:c r="L128" s="17" t="str">
        <x:v>Yes</x:v>
      </x:c>
    </x:row>
    <x:row r="129" ht="23" customHeight="1">
      <x:c r="A129" s="17" t="str">
        <x:v>W0123</x:v>
      </x:c>
      <x:c r="B129" s="18" t="n">
        <x:v>46279</x:v>
      </x:c>
      <x:c r="C129" s="17" t="str">
        <x:v>C003</x:v>
      </x:c>
      <x:c r="D129" s="17" t="str">
        <x:v>Marketing Operations</x:v>
      </x:c>
      <x:c r="E129" s="17" t="str">
        <x:v>Casey Rivera</x:v>
      </x:c>
      <x:c r="F129" s="17" t="str">
        <x:v>Prepare launch checklist</x:v>
      </x:c>
      <x:c r="G129" s="20" t="n">
        <x:v>2.91</x:v>
      </x:c>
      <x:c r="H129" s="20" t="n">
        <x:v>2.02</x:v>
      </x:c>
      <x:c r="I129" s="20" t="n">
        <x:v>0.31</x:v>
      </x:c>
      <x:c r="J129" s="17" t="str">
        <x:v>Data problem</x:v>
      </x:c>
      <x:c r="K129" s="17" t="str">
        <x:v>No</x:v>
      </x:c>
      <x:c r="L129" s="17" t="str">
        <x:v>Yes</x:v>
      </x:c>
    </x:row>
    <x:row r="130" ht="23" customHeight="1">
      <x:c r="A130" s="17" t="str">
        <x:v>W0124</x:v>
      </x:c>
      <x:c r="B130" s="18" t="n">
        <x:v>46288</x:v>
      </x:c>
      <x:c r="C130" s="17" t="str">
        <x:v>C003</x:v>
      </x:c>
      <x:c r="D130" s="17" t="str">
        <x:v>Marketing Operations</x:v>
      </x:c>
      <x:c r="E130" s="17" t="str">
        <x:v>Morgan Reed</x:v>
      </x:c>
      <x:c r="F130" s="17" t="str">
        <x:v>Build campaign plan</x:v>
      </x:c>
      <x:c r="G130" s="20" t="n">
        <x:v>3.8</x:v>
      </x:c>
      <x:c r="H130" s="20" t="n">
        <x:v>1.83</x:v>
      </x:c>
      <x:c r="I130" s="20" t="n">
        <x:v>0.34</x:v>
      </x:c>
      <x:c r="J130" s="17" t="str">
        <x:v>Brief changed</x:v>
      </x:c>
      <x:c r="K130" s="17" t="str">
        <x:v>Yes</x:v>
      </x:c>
      <x:c r="L130" s="17" t="str">
        <x:v>No</x:v>
      </x:c>
    </x:row>
    <x:row r="131" ht="23" customHeight="1">
      <x:c r="A131" s="17" t="str">
        <x:v>W0125</x:v>
      </x:c>
      <x:c r="B131" s="18" t="n">
        <x:v>46273</x:v>
      </x:c>
      <x:c r="C131" s="17" t="str">
        <x:v>C003</x:v>
      </x:c>
      <x:c r="D131" s="17" t="str">
        <x:v>Analytics</x:v>
      </x:c>
      <x:c r="E131" s="17" t="str">
        <x:v>Quinn Parker</x:v>
      </x:c>
      <x:c r="F131" s="17" t="str">
        <x:v>Summarize audience insights</x:v>
      </x:c>
      <x:c r="G131" s="20" t="n">
        <x:v>4.08</x:v>
      </x:c>
      <x:c r="H131" s="20" t="n">
        <x:v>2.69</x:v>
      </x:c>
      <x:c r="I131" s="20" t="n">
        <x:v>0.24</x:v>
      </x:c>
      <x:c r="J131" s="17" t="str">
        <x:v>None</x:v>
      </x:c>
      <x:c r="K131" s="17" t="str">
        <x:v>No</x:v>
      </x:c>
      <x:c r="L131" s="17" t="str">
        <x:v>Yes</x:v>
      </x:c>
    </x:row>
    <x:row r="132" ht="23" customHeight="1">
      <x:c r="A132" s="17" t="str">
        <x:v>W0126</x:v>
      </x:c>
      <x:c r="B132" s="18" t="n">
        <x:v>46282</x:v>
      </x:c>
      <x:c r="C132" s="17" t="str">
        <x:v>C003</x:v>
      </x:c>
      <x:c r="D132" s="17" t="str">
        <x:v>Analytics</x:v>
      </x:c>
      <x:c r="E132" s="17" t="str">
        <x:v>Jamie Patel</x:v>
      </x:c>
      <x:c r="F132" s="17" t="str">
        <x:v>Check measurement plan</x:v>
      </x:c>
      <x:c r="G132" s="20" t="n">
        <x:v>3.15</x:v>
      </x:c>
      <x:c r="H132" s="20" t="n">
        <x:v>1.73</x:v>
      </x:c>
      <x:c r="I132" s="20" t="n">
        <x:v>0.15</x:v>
      </x:c>
      <x:c r="J132" s="17" t="str">
        <x:v>None</x:v>
      </x:c>
      <x:c r="K132" s="17" t="str">
        <x:v>No</x:v>
      </x:c>
      <x:c r="L132" s="17" t="str">
        <x:v>Yes</x:v>
      </x:c>
    </x:row>
    <x:row r="133" ht="23" customHeight="1">
      <x:c r="A133" s="17" t="str">
        <x:v>W0127</x:v>
      </x:c>
      <x:c r="B133" s="18" t="n">
        <x:v>46293</x:v>
      </x:c>
      <x:c r="C133" s="17" t="str">
        <x:v>C003</x:v>
      </x:c>
      <x:c r="D133" s="17" t="str">
        <x:v>Content</x:v>
      </x:c>
      <x:c r="E133" s="17" t="str">
        <x:v>Avery Morgan</x:v>
      </x:c>
      <x:c r="F133" s="17" t="str">
        <x:v>Write ad copy</x:v>
      </x:c>
      <x:c r="G133" s="20" t="n">
        <x:v>2.54</x:v>
      </x:c>
      <x:c r="H133" s="20" t="n">
        <x:v>1.7</x:v>
      </x:c>
      <x:c r="I133" s="20" t="n">
        <x:v>0.02</x:v>
      </x:c>
      <x:c r="J133" s="17" t="str">
        <x:v>None</x:v>
      </x:c>
      <x:c r="K133" s="17" t="str">
        <x:v>No</x:v>
      </x:c>
      <x:c r="L133" s="17" t="str">
        <x:v>Yes</x:v>
      </x:c>
    </x:row>
    <x:row r="134" ht="23" customHeight="1">
      <x:c r="A134" s="17" t="str">
        <x:v>W0128</x:v>
      </x:c>
      <x:c r="B134" s="18" t="n">
        <x:v>46276</x:v>
      </x:c>
      <x:c r="C134" s="17" t="str">
        <x:v>C003</x:v>
      </x:c>
      <x:c r="D134" s="17" t="str">
        <x:v>Content</x:v>
      </x:c>
      <x:c r="E134" s="17" t="str">
        <x:v>Jordan Ellis</x:v>
      </x:c>
      <x:c r="F134" s="17" t="str">
        <x:v>Draft email sequence</x:v>
      </x:c>
      <x:c r="G134" s="20" t="n">
        <x:v>4.68</x:v>
      </x:c>
      <x:c r="H134" s="20" t="n">
        <x:v>2.68</x:v>
      </x:c>
      <x:c r="I134" s="20" t="n">
        <x:v>0.28</x:v>
      </x:c>
      <x:c r="J134" s="17" t="str">
        <x:v>Unclear prompt</x:v>
      </x:c>
      <x:c r="K134" s="17" t="str">
        <x:v>No</x:v>
      </x:c>
      <x:c r="L134" s="17" t="str">
        <x:v>No</x:v>
      </x:c>
    </x:row>
    <x:row r="135" ht="23" customHeight="1">
      <x:c r="A135" s="17" t="str">
        <x:v>W0129</x:v>
      </x:c>
      <x:c r="B135" s="18" t="n">
        <x:v>46287</x:v>
      </x:c>
      <x:c r="C135" s="17" t="str">
        <x:v>C003</x:v>
      </x:c>
      <x:c r="D135" s="17" t="str">
        <x:v>Creative</x:v>
      </x:c>
      <x:c r="E135" s="17" t="str">
        <x:v>Riley Chen</x:v>
      </x:c>
      <x:c r="F135" s="17" t="str">
        <x:v>Plan visual narrative</x:v>
      </x:c>
      <x:c r="G135" s="20" t="n">
        <x:v>2.68</x:v>
      </x:c>
      <x:c r="H135" s="20" t="n">
        <x:v>3.05</x:v>
      </x:c>
      <x:c r="I135" s="20" t="n">
        <x:v>0.51</x:v>
      </x:c>
      <x:c r="J135" s="17" t="str">
        <x:v>Unclear prompt</x:v>
      </x:c>
      <x:c r="K135" s="17" t="str">
        <x:v>No</x:v>
      </x:c>
      <x:c r="L135" s="17" t="str">
        <x:v>Yes</x:v>
      </x:c>
    </x:row>
    <x:row r="136" ht="23" customHeight="1">
      <x:c r="A136" s="17" t="str">
        <x:v>W0130</x:v>
      </x:c>
      <x:c r="B136" s="18" t="n">
        <x:v>46269</x:v>
      </x:c>
      <x:c r="C136" s="17" t="str">
        <x:v>C003</x:v>
      </x:c>
      <x:c r="D136" s="17" t="str">
        <x:v>Creative</x:v>
      </x:c>
      <x:c r="E136" s="17" t="str">
        <x:v>Taylor Brooks</x:v>
      </x:c>
      <x:c r="F136" s="17" t="str">
        <x:v>Develop concept brief</x:v>
      </x:c>
      <x:c r="G136" s="20" t="n">
        <x:v>3.64</x:v>
      </x:c>
      <x:c r="H136" s="20" t="n">
        <x:v>3.09</x:v>
      </x:c>
      <x:c r="I136" s="20" t="n">
        <x:v>0.05</x:v>
      </x:c>
      <x:c r="J136" s="17" t="str">
        <x:v>None</x:v>
      </x:c>
      <x:c r="K136" s="17" t="str">
        <x:v>No</x:v>
      </x:c>
      <x:c r="L136" s="17" t="str">
        <x:v>Yes</x:v>
      </x:c>
    </x:row>
    <x:row r="137" ht="23" customHeight="1">
      <x:c r="A137" s="17" t="str">
        <x:v>W0131</x:v>
      </x:c>
      <x:c r="B137" s="18" t="n">
        <x:v>46281</x:v>
      </x:c>
      <x:c r="C137" s="17" t="str">
        <x:v>C003</x:v>
      </x:c>
      <x:c r="D137" s="17" t="str">
        <x:v>Marketing Operations</x:v>
      </x:c>
      <x:c r="E137" s="17" t="str">
        <x:v>Casey Rivera</x:v>
      </x:c>
      <x:c r="F137" s="17" t="str">
        <x:v>Clean audience data</x:v>
      </x:c>
      <x:c r="G137" s="20" t="n">
        <x:v>4.35</x:v>
      </x:c>
      <x:c r="H137" s="20" t="n">
        <x:v>3.6</x:v>
      </x:c>
      <x:c r="I137" s="20" t="n">
        <x:v>0.13</x:v>
      </x:c>
      <x:c r="J137" s="17" t="str">
        <x:v>None</x:v>
      </x:c>
      <x:c r="K137" s="17" t="str">
        <x:v>No</x:v>
      </x:c>
      <x:c r="L137" s="17" t="str">
        <x:v>Yes</x:v>
      </x:c>
    </x:row>
    <x:row r="138" ht="23" customHeight="1">
      <x:c r="A138" s="17" t="str">
        <x:v>W0132</x:v>
      </x:c>
      <x:c r="B138" s="18" t="n">
        <x:v>46290</x:v>
      </x:c>
      <x:c r="C138" s="17" t="str">
        <x:v>C003</x:v>
      </x:c>
      <x:c r="D138" s="17" t="str">
        <x:v>Marketing Operations</x:v>
      </x:c>
      <x:c r="E138" s="17" t="str">
        <x:v>Morgan Reed</x:v>
      </x:c>
      <x:c r="F138" s="17" t="str">
        <x:v>Prepare launch checklist</x:v>
      </x:c>
      <x:c r="G138" s="20" t="n">
        <x:v>3.63</x:v>
      </x:c>
      <x:c r="H138" s="20" t="n">
        <x:v>4.36</x:v>
      </x:c>
      <x:c r="I138" s="20" t="n">
        <x:v>0.84</x:v>
      </x:c>
      <x:c r="J138" s="17" t="str">
        <x:v>Brief changed</x:v>
      </x:c>
      <x:c r="K138" s="17" t="str">
        <x:v>Yes</x:v>
      </x:c>
      <x:c r="L138" s="17" t="str">
        <x:v>Yes</x:v>
      </x:c>
    </x:row>
    <x:row r="139" ht="23" customHeight="1">
      <x:c r="A139" s="17" t="str">
        <x:v>W0133</x:v>
      </x:c>
      <x:c r="B139" s="18" t="n">
        <x:v>46275</x:v>
      </x:c>
      <x:c r="C139" s="17" t="str">
        <x:v>C003</x:v>
      </x:c>
      <x:c r="D139" s="17" t="str">
        <x:v>  analytics </x:v>
      </x:c>
      <x:c r="E139" s="17" t="str">
        <x:v>Quinn Parker</x:v>
      </x:c>
      <x:c r="F139" s="17" t="str">
        <x:v>Analyze campaign results</x:v>
      </x:c>
      <x:c r="G139" s="20" t="n">
        <x:v>4.28</x:v>
      </x:c>
      <x:c r="H139" s="20" t="n">
        <x:v>3.61</x:v>
      </x:c>
      <x:c r="I139" s="20" t="n">
        <x:v>0.13</x:v>
      </x:c>
      <x:c r="J139" s="17" t="str">
        <x:v>None</x:v>
      </x:c>
      <x:c r="K139" s="17" t="str">
        <x:v>No</x:v>
      </x:c>
      <x:c r="L139" s="17" t="str">
        <x:v>Yes</x:v>
      </x:c>
    </x:row>
    <x:row r="140" ht="23" customHeight="1">
      <x:c r="A140" s="17" t="str">
        <x:v>W0134</x:v>
      </x:c>
      <x:c r="B140" s="18" t="n">
        <x:v>46286</x:v>
      </x:c>
      <x:c r="C140" s="17" t="str">
        <x:v>C003</x:v>
      </x:c>
      <x:c r="D140" s="17" t="str">
        <x:v>Analytics</x:v>
      </x:c>
      <x:c r="E140" s="17" t="str">
        <x:v>Jamie Patel</x:v>
      </x:c>
      <x:c r="F140" s="17" t="str">
        <x:v>Summarize audience insights</x:v>
      </x:c>
      <x:c r="G140" s="20" t="n">
        <x:v>2.83</x:v>
      </x:c>
      <x:c r="H140" s="20" t="n">
        <x:v>2.34</x:v>
      </x:c>
      <x:c r="I140" s="20" t="n">
        <x:v>0.18</x:v>
      </x:c>
      <x:c r="J140" s="17" t="str">
        <x:v>Data problem</x:v>
      </x:c>
      <x:c r="K140" s="17" t="str">
        <x:v>No</x:v>
      </x:c>
      <x:c r="L140" s="17" t="str">
        <x:v>Yes</x:v>
      </x:c>
    </x:row>
    <x:row r="141" ht="23" customHeight="1">
      <x:c r="A141" s="17" t="str">
        <x:v>W0135</x:v>
      </x:c>
      <x:c r="B141" s="18" t="n">
        <x:v>46295</x:v>
      </x:c>
      <x:c r="C141" s="17" t="str">
        <x:v>C003</x:v>
      </x:c>
      <x:c r="D141" s="17" t="str">
        <x:v>Content</x:v>
      </x:c>
      <x:c r="E141" s="17" t="str">
        <x:v>Avery Morgan</x:v>
      </x:c>
      <x:c r="F141" s="17" t="str">
        <x:v>Edit landing page</x:v>
      </x:c>
      <x:c r="G141" s="20" t="n">
        <x:v>3.82</x:v>
      </x:c>
      <x:c r="H141" s="20" t="n">
        <x:v>4.39</x:v>
      </x:c>
      <x:c r="I141" s="20" t="n">
        <x:v>0.06</x:v>
      </x:c>
      <x:c r="J141" s="17" t="str">
        <x:v>None</x:v>
      </x:c>
      <x:c r="K141" s="17" t="str">
        <x:v>No</x:v>
      </x:c>
      <x:c r="L141" s="17" t="str">
        <x:v>Yes</x:v>
      </x:c>
    </x:row>
    <x:row r="142" ht="23" customHeight="1">
      <x:c r="A142" s="17" t="str">
        <x:v>W0136</x:v>
      </x:c>
      <x:c r="B142" s="18" t="n">
        <x:v>46280</x:v>
      </x:c>
      <x:c r="C142" s="17" t="str">
        <x:v>C003</x:v>
      </x:c>
      <x:c r="D142" s="17" t="str">
        <x:v>Content</x:v>
      </x:c>
      <x:c r="E142" s="17" t="str">
        <x:v>Jordan Ellis</x:v>
      </x:c>
      <x:c r="F142" s="17" t="str">
        <x:v>Write ad copy</x:v>
      </x:c>
      <x:c r="G142" s="20" t="n">
        <x:v>4.66</x:v>
      </x:c>
      <x:c r="H142" s="20" t="n">
        <x:v>4.7</x:v>
      </x:c>
      <x:c r="I142" s="20" t="n">
        <x:v>0.3</x:v>
      </x:c>
      <x:c r="J142" s="17" t="str">
        <x:v>Data problem</x:v>
      </x:c>
      <x:c r="K142" s="17" t="str">
        <x:v>No</x:v>
      </x:c>
      <x:c r="L142" s="17" t="str">
        <x:v>Yes</x:v>
      </x:c>
    </x:row>
    <x:row r="143" ht="23" customHeight="1">
      <x:c r="A143" s="17" t="str">
        <x:v>W0137</x:v>
      </x:c>
      <x:c r="B143" s="18" t="n">
        <x:v>46289</x:v>
      </x:c>
      <x:c r="C143" s="17" t="str">
        <x:v>C003</x:v>
      </x:c>
      <x:c r="D143" s="17" t="str">
        <x:v>Creative</x:v>
      </x:c>
      <x:c r="E143" s="17" t="str">
        <x:v>Riley Chen</x:v>
      </x:c>
      <x:c r="F143" s="17" t="str">
        <x:v>Review creative variants</x:v>
      </x:c>
      <x:c r="G143" s="20" t="n">
        <x:v>3.43</x:v>
      </x:c>
      <x:c r="H143" s="20" t="n">
        <x:v>2.88</x:v>
      </x:c>
      <x:c r="I143" s="20" t="n">
        <x:v>0.21</x:v>
      </x:c>
      <x:c r="J143" s="17" t="str">
        <x:v>Unclear prompt</x:v>
      </x:c>
      <x:c r="K143" s="17" t="str">
        <x:v>No</x:v>
      </x:c>
      <x:c r="L143" s="17" t="str">
        <x:v>Yes</x:v>
      </x:c>
    </x:row>
    <x:row r="144" ht="23" customHeight="1">
      <x:c r="A144" s="17" t="str">
        <x:v>W0138</x:v>
      </x:c>
      <x:c r="B144" s="18" t="n">
        <x:v>46274</x:v>
      </x:c>
      <x:c r="C144" s="17" t="str">
        <x:v>C003</x:v>
      </x:c>
      <x:c r="D144" s="17" t="str">
        <x:v>Creative</x:v>
      </x:c>
      <x:c r="E144" s="17" t="str">
        <x:v>Taylor Brooks</x:v>
      </x:c>
      <x:c r="F144" s="17" t="str">
        <x:v>Plan visual narrative</x:v>
      </x:c>
      <x:c r="G144" s="20" t="n">
        <x:v>3.51</x:v>
      </x:c>
      <x:c r="H144" s="20" t="n">
        <x:v>2.29</x:v>
      </x:c>
      <x:c r="I144" s="20" t="n">
        <x:v>0.09</x:v>
      </x:c>
      <x:c r="J144" s="17" t="str">
        <x:v>None</x:v>
      </x:c>
      <x:c r="K144" s="17" t="str">
        <x:v>No</x:v>
      </x:c>
      <x:c r="L144" s="17" t="str">
        <x:v>Yes</x:v>
      </x:c>
    </x:row>
    <x:row r="145" ht="23" customHeight="1">
      <x:c r="A145" s="17" t="str">
        <x:v>W0139</x:v>
      </x:c>
      <x:c r="B145" s="18" t="n">
        <x:v>46283</x:v>
      </x:c>
      <x:c r="C145" s="17" t="str">
        <x:v>C003</x:v>
      </x:c>
      <x:c r="D145" s="17" t="str">
        <x:v>Marketing Operations</x:v>
      </x:c>
      <x:c r="E145" s="17" t="str">
        <x:v>Casey Rivera</x:v>
      </x:c>
      <x:c r="F145" s="17" t="str">
        <x:v>Build campaign plan</x:v>
      </x:c>
      <x:c r="G145" s="20" t="n">
        <x:v>3.63</x:v>
      </x:c>
      <x:c r="H145" s="20" t="n">
        <x:v>3.31</x:v>
      </x:c>
      <x:c r="I145" s="20" t="n">
        <x:v>0.26</x:v>
      </x:c>
      <x:c r="J145" s="17" t="str">
        <x:v>None</x:v>
      </x:c>
      <x:c r="K145" s="17" t="str">
        <x:v>No</x:v>
      </x:c>
      <x:c r="L145" s="17" t="str">
        <x:v>No</x:v>
      </x:c>
    </x:row>
    <x:row r="146" ht="23" customHeight="1">
      <x:c r="A146" s="17" t="str">
        <x:v>W0140</x:v>
      </x:c>
      <x:c r="B146" s="18" t="n">
        <x:v>46294</x:v>
      </x:c>
      <x:c r="C146" s="17" t="str">
        <x:v>C003</x:v>
      </x:c>
      <x:c r="D146" s="17" t="str">
        <x:v>Marketing Operations</x:v>
      </x:c>
      <x:c r="E146" s="17" t="str">
        <x:v>Morgan Reed</x:v>
      </x:c>
      <x:c r="F146" s="17" t="str">
        <x:v>Clean audience data</x:v>
      </x:c>
      <x:c r="G146" s="20" t="n">
        <x:v>4.7</x:v>
      </x:c>
      <x:c r="H146" s="20" t="n">
        <x:v>5.08</x:v>
      </x:c>
      <x:c r="I146" s="20" t="n">
        <x:v>0.73</x:v>
      </x:c>
      <x:c r="J146" s="17" t="str">
        <x:v>Brief changed</x:v>
      </x:c>
      <x:c r="K146" s="17" t="str">
        <x:v>Yes</x:v>
      </x:c>
      <x:c r="L146" s="17" t="str">
        <x:v>No</x:v>
      </x:c>
    </x:row>
    <x:row r="147" ht="23" customHeight="1">
      <x:c r="A147" s="17" t="str">
        <x:v>W0141</x:v>
      </x:c>
      <x:c r="B147" s="18" t="n">
        <x:v>46279</x:v>
      </x:c>
      <x:c r="C147" s="17" t="str">
        <x:v>C003</x:v>
      </x:c>
      <x:c r="D147" s="17" t="str">
        <x:v>Analytics</x:v>
      </x:c>
      <x:c r="E147" s="17" t="str">
        <x:v>Quinn Parker</x:v>
      </x:c>
      <x:c r="F147" s="17" t="str">
        <x:v>Check measurement plan</x:v>
      </x:c>
      <x:c r="G147" s="20" t="n">
        <x:v>2.41</x:v>
      </x:c>
      <x:c r="H147" s="20" t="n">
        <x:v>1.79</x:v>
      </x:c>
      <x:c r="I147" s="20" t="n">
        <x:v>0.33</x:v>
      </x:c>
      <x:c r="J147" s="17" t="str">
        <x:v>Data problem</x:v>
      </x:c>
      <x:c r="K147" s="17" t="str">
        <x:v>No</x:v>
      </x:c>
      <x:c r="L147" s="17" t="str">
        <x:v>Yes</x:v>
      </x:c>
    </x:row>
    <x:row r="148" ht="23" customHeight="1">
      <x:c r="A148" s="17" t="str">
        <x:v>W0142</x:v>
      </x:c>
      <x:c r="B148" s="18" t="n">
        <x:v>46288</x:v>
      </x:c>
      <x:c r="C148" s="17" t="str">
        <x:v>C003</x:v>
      </x:c>
      <x:c r="D148" s="17" t="str">
        <x:v>Analytics</x:v>
      </x:c>
      <x:c r="E148" s="17" t="str">
        <x:v>Jamie Patel</x:v>
      </x:c>
      <x:c r="F148" s="17" t="str">
        <x:v>Analyze campaign results</x:v>
      </x:c>
      <x:c r="G148" s="20" t="n">
        <x:v>3.05</x:v>
      </x:c>
      <x:c r="H148" s="20" t="n">
        <x:v>2.82</x:v>
      </x:c>
      <x:c r="I148" s="20" t="n">
        <x:v>0.23</x:v>
      </x:c>
      <x:c r="J148" s="17" t="str">
        <x:v>None</x:v>
      </x:c>
      <x:c r="K148" s="17" t="str">
        <x:v>No</x:v>
      </x:c>
      <x:c r="L148" s="17" t="str">
        <x:v>Yes</x:v>
      </x:c>
    </x:row>
    <x:row r="149" ht="23" customHeight="1">
      <x:c r="A149" s="17" t="str">
        <x:v>W0143</x:v>
      </x:c>
      <x:c r="B149" s="18" t="n">
        <x:v>46273</x:v>
      </x:c>
      <x:c r="C149" s="17" t="str">
        <x:v>C003</x:v>
      </x:c>
      <x:c r="D149" s="17" t="str">
        <x:v>Content</x:v>
      </x:c>
      <x:c r="E149" s="17" t="str">
        <x:v>Avery Morgan</x:v>
      </x:c>
      <x:c r="F149" s="17" t="str">
        <x:v>Draft email sequence</x:v>
      </x:c>
      <x:c r="G149" s="20" t="n">
        <x:v>3.58</x:v>
      </x:c>
      <x:c r="H149" s="20" t="n">
        <x:v>2.08</x:v>
      </x:c>
      <x:c r="I149" s="20" t="n">
        <x:v>0.18</x:v>
      </x:c>
      <x:c r="J149" s="17" t="str">
        <x:v>None</x:v>
      </x:c>
      <x:c r="K149" s="17" t="str">
        <x:v>No</x:v>
      </x:c>
      <x:c r="L149" s="17" t="str">
        <x:v>Yes</x:v>
      </x:c>
    </x:row>
    <x:row r="150" ht="23" customHeight="1">
      <x:c r="A150" s="17" t="str">
        <x:v>W0144</x:v>
      </x:c>
      <x:c r="B150" s="18" t="n">
        <x:v>46282</x:v>
      </x:c>
      <x:c r="C150" s="17" t="str">
        <x:v>C003</x:v>
      </x:c>
      <x:c r="D150" s="17" t="str">
        <x:v>Content</x:v>
      </x:c>
      <x:c r="E150" s="17" t="str">
        <x:v>Jordan Ellis</x:v>
      </x:c>
      <x:c r="F150" s="17" t="str">
        <x:v>Edit landing page</x:v>
      </x:c>
      <x:c r="G150" s="20" t="n">
        <x:v>3.74</x:v>
      </x:c>
      <x:c r="H150" s="20" t="n">
        <x:v>2.78</x:v>
      </x:c>
      <x:c r="I150" s="20" t="n">
        <x:v>0.21</x:v>
      </x:c>
      <x:c r="J150" s="17" t="str">
        <x:v>Brief changed</x:v>
      </x:c>
      <x:c r="K150" s="17" t="str">
        <x:v>Yes</x:v>
      </x:c>
      <x:c r="L150" s="17" t="str">
        <x:v>Yes</x:v>
      </x:c>
    </x:row>
    <x:row r="151" ht="23" customHeight="1">
      <x:c r="A151" s="17" t="str">
        <x:v>W0145</x:v>
      </x:c>
      <x:c r="B151" s="18" t="n">
        <x:v>46293</x:v>
      </x:c>
      <x:c r="C151" s="17" t="str">
        <x:v>C003</x:v>
      </x:c>
      <x:c r="D151" s="17" t="str">
        <x:v>Creative</x:v>
      </x:c>
      <x:c r="E151" s="17" t="str">
        <x:v>Riley Chen</x:v>
      </x:c>
      <x:c r="F151" s="17" t="str">
        <x:v>Develop concept brief</x:v>
      </x:c>
      <x:c r="G151" s="20" t="n">
        <x:v>3.51</x:v>
      </x:c>
      <x:c r="H151" s="20" t="n">
        <x:v>2.04</x:v>
      </x:c>
      <x:c r="I151" s="20" t="n">
        <x:v>0.18</x:v>
      </x:c>
      <x:c r="J151" s="17" t="str">
        <x:v>Brief changed</x:v>
      </x:c>
      <x:c r="K151" s="17" t="str">
        <x:v>Yes</x:v>
      </x:c>
      <x:c r="L151" s="17" t="str">
        <x:v>Yes</x:v>
      </x:c>
    </x:row>
    <x:row r="152" ht="23" customHeight="1">
      <x:c r="A152" s="17" t="str">
        <x:v>W0146</x:v>
      </x:c>
      <x:c r="B152" s="18" t="n">
        <x:v>46276</x:v>
      </x:c>
      <x:c r="C152" s="17" t="str">
        <x:v>C003</x:v>
      </x:c>
      <x:c r="D152" s="17" t="str">
        <x:v>Creative</x:v>
      </x:c>
      <x:c r="E152" s="17" t="str">
        <x:v>Taylor Brooks</x:v>
      </x:c>
      <x:c r="F152" s="17" t="str">
        <x:v>Review creative variants</x:v>
      </x:c>
      <x:c r="G152" s="20" t="n">
        <x:v>3.52</x:v>
      </x:c>
      <x:c r="H152" s="20" t="n">
        <x:v>2.95</x:v>
      </x:c>
      <x:c r="I152" s="20" t="n">
        <x:v>0.42</x:v>
      </x:c>
      <x:c r="J152" s="17" t="str">
        <x:v>Brief changed</x:v>
      </x:c>
      <x:c r="K152" s="17" t="str">
        <x:v>Yes</x:v>
      </x:c>
      <x:c r="L152" s="17" t="str">
        <x:v>No</x:v>
      </x:c>
    </x:row>
    <x:row r="153" ht="23" customHeight="1">
      <x:c r="A153" s="17" t="str">
        <x:v>W0147</x:v>
      </x:c>
      <x:c r="B153" s="18" t="n">
        <x:v>46287</x:v>
      </x:c>
      <x:c r="C153" s="17" t="str">
        <x:v>C003</x:v>
      </x:c>
      <x:c r="D153" s="17" t="str">
        <x:v>Marketing Operations</x:v>
      </x:c>
      <x:c r="E153" s="17" t="str">
        <x:v>Casey Rivera</x:v>
      </x:c>
      <x:c r="F153" s="17" t="str">
        <x:v>Prepare launch checklist</x:v>
      </x:c>
      <x:c r="G153" s="20" t="n">
        <x:v>3.34</x:v>
      </x:c>
      <x:c r="H153" s="20" t="n">
        <x:v>1.57</x:v>
      </x:c>
      <x:c r="I153" s="20" t="n">
        <x:v>0.15</x:v>
      </x:c>
      <x:c r="J153" s="17" t="str">
        <x:v>None</x:v>
      </x:c>
      <x:c r="K153" s="17" t="str">
        <x:v>No</x:v>
      </x:c>
      <x:c r="L153" s="17" t="str">
        <x:v>No</x:v>
      </x:c>
    </x:row>
    <x:row r="154" ht="23" customHeight="1">
      <x:c r="A154" s="17" t="str">
        <x:v>W0148</x:v>
      </x:c>
      <x:c r="B154" s="18" t="n">
        <x:v>46269</x:v>
      </x:c>
      <x:c r="C154" s="17" t="str">
        <x:v>C003</x:v>
      </x:c>
      <x:c r="D154" s="17" t="str">
        <x:v>Marketing Operations</x:v>
      </x:c>
      <x:c r="E154" s="17" t="str">
        <x:v>Morgan Reed</x:v>
      </x:c>
      <x:c r="F154" s="17" t="str">
        <x:v>Build campaign plan</x:v>
      </x:c>
      <x:c r="G154" s="20" t="n">
        <x:v>3.63</x:v>
      </x:c>
      <x:c r="H154" s="20" t="n">
        <x:v>2.78</x:v>
      </x:c>
      <x:c r="I154" s="20" t="n">
        <x:v>0.38</x:v>
      </x:c>
      <x:c r="J154" s="17" t="str">
        <x:v>Brief changed</x:v>
      </x:c>
      <x:c r="K154" s="17" t="str">
        <x:v>Yes</x:v>
      </x:c>
      <x:c r="L154" s="17" t="str">
        <x:v>Yes</x:v>
      </x:c>
    </x:row>
    <x:row r="155" ht="23" customHeight="1">
      <x:c r="A155" s="17" t="str">
        <x:v>W0149</x:v>
      </x:c>
      <x:c r="B155" s="18" t="n">
        <x:v>46281</x:v>
      </x:c>
      <x:c r="C155" s="17" t="str">
        <x:v>C003</x:v>
      </x:c>
      <x:c r="D155" s="17" t="str">
        <x:v>Analytics</x:v>
      </x:c>
      <x:c r="E155" s="17" t="str">
        <x:v>Quinn Parker</x:v>
      </x:c>
      <x:c r="F155" s="17" t="str">
        <x:v>Summarize audience insights</x:v>
      </x:c>
      <x:c r="G155" s="20" t="n">
        <x:v>4.59</x:v>
      </x:c>
      <x:c r="H155" s="20" t="n">
        <x:v>2.25</x:v>
      </x:c>
      <x:c r="I155" s="20" t="n">
        <x:v>0.05</x:v>
      </x:c>
      <x:c r="J155" s="17" t="str">
        <x:v>None</x:v>
      </x:c>
      <x:c r="K155" s="17" t="str">
        <x:v>No</x:v>
      </x:c>
      <x:c r="L155" s="17" t="str">
        <x:v>Yes</x:v>
      </x:c>
    </x:row>
    <x:row r="156" ht="23" customHeight="1">
      <x:c r="A156" s="17" t="str">
        <x:v>W0150</x:v>
      </x:c>
      <x:c r="B156" s="18" t="n">
        <x:v>46290</x:v>
      </x:c>
      <x:c r="C156" s="17" t="str">
        <x:v>C003</x:v>
      </x:c>
      <x:c r="D156" s="17" t="str">
        <x:v>Analytics</x:v>
      </x:c>
      <x:c r="E156" s="17" t="str">
        <x:v>Jamie Patel</x:v>
      </x:c>
      <x:c r="F156" s="17" t="str">
        <x:v>Check measurement plan</x:v>
      </x:c>
      <x:c r="G156" s="20" t="n">
        <x:v>4.34</x:v>
      </x:c>
      <x:c r="H156" s="20" t="n">
        <x:v>2.14</x:v>
      </x:c>
      <x:c r="I156" s="20" t="n">
        <x:v>0.13</x:v>
      </x:c>
      <x:c r="J156" s="17" t="str">
        <x:v>Unclear prompt</x:v>
      </x:c>
      <x:c r="K156" s="17" t="str">
        <x:v>No</x:v>
      </x:c>
      <x:c r="L156" s="17" t="str">
        <x:v>Yes</x:v>
      </x:c>
    </x:row>
    <x:row r="157" ht="23" customHeight="1">
      <x:c r="A157" s="17" t="str">
        <x:v>W0151</x:v>
      </x:c>
      <x:c r="B157" s="18" t="n">
        <x:v>46275</x:v>
      </x:c>
      <x:c r="C157" s="17" t="str">
        <x:v>C003</x:v>
      </x:c>
      <x:c r="D157" s="17" t="str">
        <x:v>Content</x:v>
      </x:c>
      <x:c r="E157" s="17" t="str">
        <x:v>Avery Morgan</x:v>
      </x:c>
      <x:c r="F157" s="17" t="str">
        <x:v>Write ad copy</x:v>
      </x:c>
      <x:c r="G157" s="20" t="n">
        <x:v>4.5</x:v>
      </x:c>
      <x:c r="H157" s="20" t="n">
        <x:v>4.8</x:v>
      </x:c>
      <x:c r="I157" s="20" t="n">
        <x:v>0.06</x:v>
      </x:c>
      <x:c r="J157" s="17" t="str">
        <x:v>None</x:v>
      </x:c>
      <x:c r="K157" s="17" t="str">
        <x:v>No</x:v>
      </x:c>
      <x:c r="L157" s="17" t="str">
        <x:v>Yes</x:v>
      </x:c>
    </x:row>
    <x:row r="158" ht="23" customHeight="1">
      <x:c r="A158" s="17" t="str">
        <x:v>W0152</x:v>
      </x:c>
      <x:c r="B158" s="18" t="n">
        <x:v>46286</x:v>
      </x:c>
      <x:c r="C158" s="17" t="str">
        <x:v>C003</x:v>
      </x:c>
      <x:c r="D158" s="17" t="str">
        <x:v>Content</x:v>
      </x:c>
      <x:c r="E158" s="17" t="str">
        <x:v>Jordan Ellis</x:v>
      </x:c>
      <x:c r="F158" s="17" t="str">
        <x:v>Draft email sequence</x:v>
      </x:c>
      <x:c r="G158" s="20" t="n">
        <x:v>2.85</x:v>
      </x:c>
      <x:c r="H158" s="20" t="n">
        <x:v>2.72</x:v>
      </x:c>
      <x:c r="I158" s="20" t="n">
        <x:v>0.25</x:v>
      </x:c>
      <x:c r="J158" s="17" t="str">
        <x:v>Data problem</x:v>
      </x:c>
      <x:c r="K158" s="17" t="str">
        <x:v>No</x:v>
      </x:c>
      <x:c r="L158" s="17" t="str">
        <x:v>Yes</x:v>
      </x:c>
    </x:row>
    <x:row r="159" ht="23" customHeight="1">
      <x:c r="A159" s="17" t="str">
        <x:v>W0153</x:v>
      </x:c>
      <x:c r="B159" s="18" t="n">
        <x:v>46295</x:v>
      </x:c>
      <x:c r="C159" s="17" t="str">
        <x:v>C003</x:v>
      </x:c>
      <x:c r="D159" s="17" t="str">
        <x:v>Creative</x:v>
      </x:c>
      <x:c r="E159" s="17" t="str">
        <x:v>Riley Chen</x:v>
      </x:c>
      <x:c r="F159" s="17" t="str">
        <x:v>Plan visual narrative</x:v>
      </x:c>
      <x:c r="G159" s="20" t="n">
        <x:v>3.75</x:v>
      </x:c>
      <x:c r="H159" s="20" t="n">
        <x:v>4.12</x:v>
      </x:c>
      <x:c r="I159" s="20" t="n">
        <x:v>0.8</x:v>
      </x:c>
      <x:c r="J159" s="17" t="str">
        <x:v>Data problem</x:v>
      </x:c>
      <x:c r="K159" s="17" t="str">
        <x:v>No</x:v>
      </x:c>
      <x:c r="L159" s="17" t="str">
        <x:v>Yes</x:v>
      </x:c>
    </x:row>
    <x:row r="160" ht="23" customHeight="1">
      <x:c r="A160" s="17" t="str">
        <x:v>W0154</x:v>
      </x:c>
      <x:c r="B160" s="18" t="n">
        <x:v>46280</x:v>
      </x:c>
      <x:c r="C160" s="17" t="str">
        <x:v>C003</x:v>
      </x:c>
      <x:c r="D160" s="17" t="str">
        <x:v>Creative</x:v>
      </x:c>
      <x:c r="E160" s="17" t="str">
        <x:v>Taylor Brooks</x:v>
      </x:c>
      <x:c r="F160" s="17" t="str">
        <x:v>Develop concept brief</x:v>
      </x:c>
      <x:c r="G160" s="20" t="n">
        <x:v>4.71</x:v>
      </x:c>
      <x:c r="H160" s="20" t="n">
        <x:v>4.41</x:v>
      </x:c>
      <x:c r="I160" s="20" t="n">
        <x:v>0.05</x:v>
      </x:c>
      <x:c r="J160" s="17" t="str">
        <x:v>None</x:v>
      </x:c>
      <x:c r="K160" s="17" t="str">
        <x:v>No</x:v>
      </x:c>
      <x:c r="L160" s="17" t="str">
        <x:v>Yes</x:v>
      </x:c>
    </x:row>
    <x:row r="161" ht="23" customHeight="1">
      <x:c r="A161" s="17" t="str">
        <x:v>W0155</x:v>
      </x:c>
      <x:c r="B161" s="18" t="n">
        <x:v>46289</x:v>
      </x:c>
      <x:c r="C161" s="17" t="str">
        <x:v>C003</x:v>
      </x:c>
      <x:c r="D161" s="17" t="str">
        <x:v>Marketing Operations</x:v>
      </x:c>
      <x:c r="E161" s="17" t="str">
        <x:v>Casey Rivera</x:v>
      </x:c>
      <x:c r="F161" s="17" t="str">
        <x:v>Clean audience data</x:v>
      </x:c>
      <x:c r="G161" s="20" t="n">
        <x:v>4</x:v>
      </x:c>
      <x:c r="H161" s="20" t="n">
        <x:v>2.24</x:v>
      </x:c>
      <x:c r="I161" s="20" t="n">
        <x:v>0.05</x:v>
      </x:c>
      <x:c r="J161" s="17" t="str">
        <x:v>Unclear prompt</x:v>
      </x:c>
      <x:c r="K161" s="17" t="str">
        <x:v>No</x:v>
      </x:c>
      <x:c r="L161" s="17" t="str">
        <x:v>No</x:v>
      </x:c>
    </x:row>
    <x:row r="162" ht="23" customHeight="1">
      <x:c r="A162" s="17" t="str">
        <x:v>W0156</x:v>
      </x:c>
      <x:c r="B162" s="18" t="n">
        <x:v>46274</x:v>
      </x:c>
      <x:c r="C162" s="17" t="str">
        <x:v>C003</x:v>
      </x:c>
      <x:c r="D162" s="17" t="str">
        <x:v>Marketing Operations</x:v>
      </x:c>
      <x:c r="E162" s="17" t="str">
        <x:v>Morgan Reed</x:v>
      </x:c>
      <x:c r="F162" s="17" t="str">
        <x:v>Prepare launch checklist</x:v>
      </x:c>
      <x:c r="G162" s="20" t="n">
        <x:v>2.44</x:v>
      </x:c>
      <x:c r="H162" s="20" t="n">
        <x:v>1.41</x:v>
      </x:c>
      <x:c r="I162" s="20" t="n">
        <x:v>0.04</x:v>
      </x:c>
      <x:c r="J162" s="17" t="str">
        <x:v>None</x:v>
      </x:c>
      <x:c r="K162" s="17" t="str">
        <x:v>No</x:v>
      </x:c>
      <x:c r="L162" s="17" t="str">
        <x:v>No</x:v>
      </x:c>
    </x:row>
    <x:row r="163" ht="23" customHeight="1">
      <x:c r="A163" s="17" t="str">
        <x:v>W0157</x:v>
      </x:c>
      <x:c r="B163" s="18" t="n">
        <x:v>46283</x:v>
      </x:c>
      <x:c r="C163" s="17" t="str">
        <x:v>C003</x:v>
      </x:c>
      <x:c r="D163" s="17" t="str">
        <x:v>Analytics</x:v>
      </x:c>
      <x:c r="E163" s="17" t="str">
        <x:v>Quinn Parker</x:v>
      </x:c>
      <x:c r="F163" s="17" t="str">
        <x:v>Analyze campaign results</x:v>
      </x:c>
      <x:c r="G163" s="20" t="n">
        <x:v>2.87</x:v>
      </x:c>
      <x:c r="H163" s="20" t="n">
        <x:v>2.38</x:v>
      </x:c>
      <x:c r="I163" s="20" t="n">
        <x:v>0.09</x:v>
      </x:c>
      <x:c r="J163" s="17" t="str">
        <x:v>None</x:v>
      </x:c>
      <x:c r="K163" s="17" t="str">
        <x:v>No</x:v>
      </x:c>
      <x:c r="L163" s="17" t="str">
        <x:v>No</x:v>
      </x:c>
    </x:row>
    <x:row r="164" ht="23" customHeight="1">
      <x:c r="A164" s="17" t="str">
        <x:v>W0158</x:v>
      </x:c>
      <x:c r="B164" s="18" t="n">
        <x:v>46294</x:v>
      </x:c>
      <x:c r="C164" s="17" t="str">
        <x:v>C003</x:v>
      </x:c>
      <x:c r="D164" s="17" t="str">
        <x:v>Analytics</x:v>
      </x:c>
      <x:c r="E164" s="17" t="str">
        <x:v>Jamie Patel</x:v>
      </x:c>
      <x:c r="F164" s="17" t="str">
        <x:v>Summarize audience insights</x:v>
      </x:c>
      <x:c r="G164" s="20" t="n">
        <x:v>4.72</x:v>
      </x:c>
      <x:c r="H164" s="20" t="n">
        <x:v>5.52</x:v>
      </x:c>
      <x:c r="I164" s="20" t="n">
        <x:v>0.43</x:v>
      </x:c>
      <x:c r="J164" s="17" t="str">
        <x:v>Data problem</x:v>
      </x:c>
      <x:c r="K164" s="17" t="str">
        <x:v>No</x:v>
      </x:c>
      <x:c r="L164" s="17" t="str">
        <x:v>No</x:v>
      </x:c>
    </x:row>
    <x:row r="165" ht="23" customHeight="1">
      <x:c r="A165" s="17" t="str">
        <x:v>W0159</x:v>
      </x:c>
      <x:c r="B165" s="18" t="n">
        <x:v>46279</x:v>
      </x:c>
      <x:c r="C165" s="17" t="str">
        <x:v>C003</x:v>
      </x:c>
      <x:c r="D165" s="17" t="str">
        <x:v>Content</x:v>
      </x:c>
      <x:c r="E165" s="17" t="str">
        <x:v>Avery Morgan</x:v>
      </x:c>
      <x:c r="F165" s="17" t="str">
        <x:v>Edit landing page</x:v>
      </x:c>
      <x:c r="G165" s="20" t="n">
        <x:v>4.05</x:v>
      </x:c>
      <x:c r="H165" s="20" t="n">
        <x:v>2.4</x:v>
      </x:c>
      <x:c r="I165" s="20" t="n">
        <x:v>0.04</x:v>
      </x:c>
      <x:c r="J165" s="17" t="str">
        <x:v>None</x:v>
      </x:c>
      <x:c r="K165" s="17" t="str">
        <x:v>No</x:v>
      </x:c>
      <x:c r="L165" s="17" t="str">
        <x:v>Yes</x:v>
      </x:c>
    </x:row>
    <x:row r="166" ht="23" customHeight="1">
      <x:c r="A166" s="17" t="str">
        <x:v>W0160</x:v>
      </x:c>
      <x:c r="B166" s="18" t="n">
        <x:v>46288</x:v>
      </x:c>
      <x:c r="C166" s="17" t="str">
        <x:v>C003</x:v>
      </x:c>
      <x:c r="D166" s="17" t="str">
        <x:v>Content</x:v>
      </x:c>
      <x:c r="E166" s="17" t="str">
        <x:v>Jordan Ellis</x:v>
      </x:c>
      <x:c r="F166" s="17" t="str">
        <x:v>Write ad copy</x:v>
      </x:c>
      <x:c r="G166" s="20" t="n">
        <x:v>2.86</x:v>
      </x:c>
      <x:c r="H166" s="20" t="n">
        <x:v>2.17</x:v>
      </x:c>
      <x:c r="I166" s="20" t="n">
        <x:v>0.1</x:v>
      </x:c>
      <x:c r="J166" s="17" t="str">
        <x:v>None</x:v>
      </x:c>
      <x:c r="K166" s="17" t="str">
        <x:v>No</x:v>
      </x:c>
      <x:c r="L166" s="17" t="str">
        <x:v>Yes</x:v>
      </x:c>
    </x:row>
    <x:row r="167" ht="23" customHeight="1">
      <x:c r="A167" s="17" t="str">
        <x:v>W0161</x:v>
      </x:c>
      <x:c r="B167" s="18" t="n">
        <x:v>46273</x:v>
      </x:c>
      <x:c r="C167" s="17" t="str">
        <x:v>C003</x:v>
      </x:c>
      <x:c r="D167" s="17" t="str">
        <x:v>Creative</x:v>
      </x:c>
      <x:c r="E167" s="17" t="str">
        <x:v>Riley Chen</x:v>
      </x:c>
      <x:c r="F167" s="17" t="str">
        <x:v>Review creative variants</x:v>
      </x:c>
      <x:c r="G167" s="20" t="n">
        <x:v>2.45</x:v>
      </x:c>
      <x:c r="H167" s="20" t="n">
        <x:v>2.03</x:v>
      </x:c>
      <x:c r="I167" s="20" t="n">
        <x:v>0.16</x:v>
      </x:c>
      <x:c r="J167" s="17" t="str">
        <x:v>Data problem</x:v>
      </x:c>
      <x:c r="K167" s="17" t="str">
        <x:v>No</x:v>
      </x:c>
      <x:c r="L167" s="17" t="str">
        <x:v>Yes</x:v>
      </x:c>
    </x:row>
    <x:row r="168" ht="23" customHeight="1">
      <x:c r="A168" s="17" t="str">
        <x:v>W0162</x:v>
      </x:c>
      <x:c r="B168" s="18" t="n">
        <x:v>46282</x:v>
      </x:c>
      <x:c r="C168" s="17" t="str">
        <x:v>C003</x:v>
      </x:c>
      <x:c r="D168" s="17" t="str">
        <x:v>Creative</x:v>
      </x:c>
      <x:c r="E168" s="17" t="str">
        <x:v>Taylor Brooks</x:v>
      </x:c>
      <x:c r="F168" s="17" t="str">
        <x:v>Plan visual narrative</x:v>
      </x:c>
      <x:c r="G168" s="20" t="n">
        <x:v>3.72</x:v>
      </x:c>
      <x:c r="H168" s="20" t="n">
        <x:v>3.56</x:v>
      </x:c>
      <x:c r="I168" s="20" t="n">
        <x:v>0.33</x:v>
      </x:c>
      <x:c r="J168" s="17" t="str">
        <x:v>Brief changed</x:v>
      </x:c>
      <x:c r="K168" s="17" t="str">
        <x:v>Yes</x:v>
      </x:c>
      <x:c r="L168" s="17" t="str">
        <x:v>No</x:v>
      </x:c>
    </x:row>
    <x:row r="169" ht="23" customHeight="1">
      <x:c r="A169" s="17" t="str">
        <x:v>W0163</x:v>
      </x:c>
      <x:c r="B169" s="18" t="n">
        <x:v>46293</x:v>
      </x:c>
      <x:c r="C169" s="17" t="str">
        <x:v>C003</x:v>
      </x:c>
      <x:c r="D169" s="17" t="str">
        <x:v>Marketing Operations</x:v>
      </x:c>
      <x:c r="E169" s="17" t="str">
        <x:v>Casey Rivera</x:v>
      </x:c>
      <x:c r="F169" s="17" t="str">
        <x:v>Build campaign plan</x:v>
      </x:c>
      <x:c r="G169" s="20" t="n">
        <x:v>2.47</x:v>
      </x:c>
      <x:c r="H169" s="20" t="n">
        <x:v>2.82</x:v>
      </x:c>
      <x:c r="I169" s="20" t="n">
        <x:v>0.03</x:v>
      </x:c>
      <x:c r="J169" s="17" t="str">
        <x:v>None</x:v>
      </x:c>
      <x:c r="K169" s="17" t="str">
        <x:v>No</x:v>
      </x:c>
      <x:c r="L169" s="17" t="str">
        <x:v>Yes</x:v>
      </x:c>
    </x:row>
    <x:row r="170" ht="23" customHeight="1">
      <x:c r="A170" s="17" t="str">
        <x:v>W0164</x:v>
      </x:c>
      <x:c r="B170" s="18" t="n">
        <x:v>46276</x:v>
      </x:c>
      <x:c r="C170" s="17" t="str">
        <x:v>C003</x:v>
      </x:c>
      <x:c r="D170" s="17" t="str">
        <x:v>Marketing Operations</x:v>
      </x:c>
      <x:c r="E170" s="17" t="str">
        <x:v>Morgan Reed</x:v>
      </x:c>
      <x:c r="F170" s="17" t="str">
        <x:v>Clean audience data</x:v>
      </x:c>
      <x:c r="G170" s="20" t="n">
        <x:v>4.2</x:v>
      </x:c>
      <x:c r="H170" s="20" t="n">
        <x:v>2.34</x:v>
      </x:c>
      <x:c r="I170" s="20" t="n">
        <x:v>0.19</x:v>
      </x:c>
      <x:c r="J170" s="17" t="str">
        <x:v>None</x:v>
      </x:c>
      <x:c r="K170" s="17" t="str">
        <x:v>No</x:v>
      </x:c>
      <x:c r="L170" s="17" t="str">
        <x:v>Yes</x:v>
      </x:c>
    </x:row>
    <x:row r="171" ht="23" customHeight="1">
      <x:c r="A171" s="17" t="str">
        <x:v>W0165</x:v>
      </x:c>
      <x:c r="B171" s="18" t="n">
        <x:v>46287</x:v>
      </x:c>
      <x:c r="C171" s="17" t="str">
        <x:v>C003</x:v>
      </x:c>
      <x:c r="D171" s="17" t="str">
        <x:v>Analytics</x:v>
      </x:c>
      <x:c r="E171" s="17" t="str">
        <x:v>Quinn Parker</x:v>
      </x:c>
      <x:c r="F171" s="17" t="str">
        <x:v>Check measurement plan</x:v>
      </x:c>
      <x:c r="G171" s="20" t="n">
        <x:v>3.83</x:v>
      </x:c>
      <x:c r="H171" s="20" t="n">
        <x:v>2.14</x:v>
      </x:c>
      <x:c r="I171" s="20" t="n">
        <x:v>0.42</x:v>
      </x:c>
      <x:c r="J171" s="17" t="str">
        <x:v>Unclear prompt</x:v>
      </x:c>
      <x:c r="K171" s="17" t="str">
        <x:v>No</x:v>
      </x:c>
      <x:c r="L171" s="17" t="str">
        <x:v>Yes</x:v>
      </x:c>
    </x:row>
    <x:row r="172" ht="23" customHeight="1">
      <x:c r="A172" s="17" t="str">
        <x:v>W0166</x:v>
      </x:c>
      <x:c r="B172" s="18" t="n">
        <x:v>46269</x:v>
      </x:c>
      <x:c r="C172" s="17" t="str">
        <x:v>C003</x:v>
      </x:c>
      <x:c r="D172" s="17" t="str">
        <x:v>Analytics</x:v>
      </x:c>
      <x:c r="E172" s="17" t="str">
        <x:v>Jamie Patel</x:v>
      </x:c>
      <x:c r="F172" s="17" t="str">
        <x:v>Analyze campaign results</x:v>
      </x:c>
      <x:c r="G172" s="20" t="n">
        <x:v>4.2</x:v>
      </x:c>
      <x:c r="H172" s="20" t="n">
        <x:v>4.38</x:v>
      </x:c>
      <x:c r="I172" s="20" t="n">
        <x:v>0.31</x:v>
      </x:c>
      <x:c r="J172" s="17" t="str">
        <x:v>None</x:v>
      </x:c>
      <x:c r="K172" s="17" t="str">
        <x:v>No</x:v>
      </x:c>
      <x:c r="L172" s="17" t="str">
        <x:v>No</x:v>
      </x:c>
    </x:row>
    <x:row r="173" ht="23" customHeight="1">
      <x:c r="A173" s="17" t="str">
        <x:v>W0167</x:v>
      </x:c>
      <x:c r="B173" s="18" t="n">
        <x:v>46281</x:v>
      </x:c>
      <x:c r="C173" s="17" t="str">
        <x:v>C003</x:v>
      </x:c>
      <x:c r="D173" s="17" t="str">
        <x:v>Content</x:v>
      </x:c>
      <x:c r="E173" s="17" t="str">
        <x:v>Avery Morgan</x:v>
      </x:c>
      <x:c r="F173" s="17" t="str">
        <x:v>Draft email sequence</x:v>
      </x:c>
      <x:c r="G173" s="20" t="n">
        <x:v>3.1</x:v>
      </x:c>
      <x:c r="H173" s="20" t="n">
        <x:v>3.06</x:v>
      </x:c>
      <x:c r="I173" s="20" t="n">
        <x:v>0.49</x:v>
      </x:c>
      <x:c r="J173" s="17" t="str">
        <x:v>Brief changed</x:v>
      </x:c>
      <x:c r="K173" s="17" t="str">
        <x:v>Yes</x:v>
      </x:c>
      <x:c r="L173" s="17" t="str">
        <x:v>Yes</x:v>
      </x:c>
    </x:row>
    <x:row r="174" ht="23" customHeight="1">
      <x:c r="A174" s="17" t="str">
        <x:v>W0168</x:v>
      </x:c>
      <x:c r="B174" s="18" t="n">
        <x:v>46290</x:v>
      </x:c>
      <x:c r="C174" s="17" t="str">
        <x:v>C003</x:v>
      </x:c>
      <x:c r="D174" s="17" t="str">
        <x:v>Content</x:v>
      </x:c>
      <x:c r="E174" s="17" t="str">
        <x:v>Jordan Ellis</x:v>
      </x:c>
      <x:c r="F174" s="17" t="str">
        <x:v>Edit landing page</x:v>
      </x:c>
      <x:c r="G174" s="20" t="n">
        <x:v>4.53</x:v>
      </x:c>
      <x:c r="H174" s="20" t="n">
        <x:v>2.01</x:v>
      </x:c>
      <x:c r="I174" s="20" t="n">
        <x:v>0.15</x:v>
      </x:c>
      <x:c r="J174" s="17" t="str">
        <x:v>None</x:v>
      </x:c>
      <x:c r="K174" s="17" t="str">
        <x:v>No</x:v>
      </x:c>
      <x:c r="L174" s="17" t="str">
        <x:v>No</x:v>
      </x:c>
    </x:row>
    <x:row r="175" ht="23" customHeight="1">
      <x:c r="A175" s="17" t="str">
        <x:v>W0169</x:v>
      </x:c>
      <x:c r="B175" s="18" t="n">
        <x:v>46275</x:v>
      </x:c>
      <x:c r="C175" s="17" t="str">
        <x:v>C003</x:v>
      </x:c>
      <x:c r="D175" s="17" t="str">
        <x:v>Creative</x:v>
      </x:c>
      <x:c r="E175" s="17" t="str">
        <x:v>Riley Chen</x:v>
      </x:c>
      <x:c r="F175" s="17" t="str">
        <x:v>Develop concept brief</x:v>
      </x:c>
      <x:c r="G175" s="20" t="n">
        <x:v>4.48</x:v>
      </x:c>
      <x:c r="H175" s="20" t="n">
        <x:v>4.67</x:v>
      </x:c>
      <x:c r="I175" s="20" t="n">
        <x:v>0.78</x:v>
      </x:c>
      <x:c r="J175" s="17" t="str">
        <x:v>Unclear prompt</x:v>
      </x:c>
      <x:c r="K175" s="17" t="str">
        <x:v>No</x:v>
      </x:c>
      <x:c r="L175" s="17" t="str">
        <x:v>Yes</x:v>
      </x:c>
    </x:row>
    <x:row r="176" ht="23" customHeight="1">
      <x:c r="A176" s="17" t="str">
        <x:v>W0170</x:v>
      </x:c>
      <x:c r="B176" s="18" t="n">
        <x:v>46286</x:v>
      </x:c>
      <x:c r="C176" s="17" t="str">
        <x:v>C003</x:v>
      </x:c>
      <x:c r="D176" s="17" t="str">
        <x:v>Creative</x:v>
      </x:c>
      <x:c r="E176" s="17" t="str">
        <x:v>Taylor Brooks</x:v>
      </x:c>
      <x:c r="F176" s="17" t="str">
        <x:v>Review creative variants</x:v>
      </x:c>
      <x:c r="G176" s="20" t="n">
        <x:v>4.56</x:v>
      </x:c>
      <x:c r="H176" s="20" t="n">
        <x:v>2.23</x:v>
      </x:c>
      <x:c r="I176" s="20" t="n">
        <x:v>0.31</x:v>
      </x:c>
      <x:c r="J176" s="17" t="str">
        <x:v>Data problem</x:v>
      </x:c>
      <x:c r="K176" s="17" t="str">
        <x:v>No</x:v>
      </x:c>
      <x:c r="L176" s="17" t="str">
        <x:v>No</x:v>
      </x:c>
    </x:row>
    <x:row r="177" ht="23" customHeight="1">
      <x:c r="A177" s="17" t="str">
        <x:v>W0171</x:v>
      </x:c>
      <x:c r="B177" s="18" t="n">
        <x:v>46295</x:v>
      </x:c>
      <x:c r="C177" s="17" t="str">
        <x:v>C003</x:v>
      </x:c>
      <x:c r="D177" s="17" t="str">
        <x:v>Marketing Operations</x:v>
      </x:c>
      <x:c r="E177" s="17" t="str">
        <x:v>Casey Rivera</x:v>
      </x:c>
      <x:c r="F177" s="17" t="str">
        <x:v>Prepare launch checklist</x:v>
      </x:c>
      <x:c r="G177" s="20" t="n">
        <x:v>3.9</x:v>
      </x:c>
      <x:c r="H177" s="20" t="n">
        <x:v>2.28</x:v>
      </x:c>
      <x:c r="I177" s="20" t="n">
        <x:v>0.15</x:v>
      </x:c>
      <x:c r="J177" s="17" t="str">
        <x:v>None</x:v>
      </x:c>
      <x:c r="K177" s="17" t="str">
        <x:v>No</x:v>
      </x:c>
      <x:c r="L177" s="17" t="str">
        <x:v>Yes</x:v>
      </x:c>
    </x:row>
    <x:row r="178" ht="23" customHeight="1">
      <x:c r="A178" s="17" t="str">
        <x:v>W0172</x:v>
      </x:c>
      <x:c r="B178" s="18" t="n">
        <x:v>46280</x:v>
      </x:c>
      <x:c r="C178" s="17" t="str">
        <x:v>C003</x:v>
      </x:c>
      <x:c r="D178" s="17" t="str">
        <x:v>Marketing Operations</x:v>
      </x:c>
      <x:c r="E178" s="17" t="str">
        <x:v>Morgan Reed</x:v>
      </x:c>
      <x:c r="F178" s="17" t="str">
        <x:v>Build campaign plan</x:v>
      </x:c>
      <x:c r="G178" s="20" t="n">
        <x:v>4.08</x:v>
      </x:c>
      <x:c r="H178" s="20" t="n">
        <x:v>4.23</x:v>
      </x:c>
      <x:c r="I178" s="20" t="n">
        <x:v>0.52</x:v>
      </x:c>
      <x:c r="J178" s="17" t="str">
        <x:v>Unclear prompt</x:v>
      </x:c>
      <x:c r="K178" s="17" t="str">
        <x:v>No</x:v>
      </x:c>
      <x:c r="L178" s="17" t="str">
        <x:v>No</x:v>
      </x:c>
    </x:row>
    <x:row r="179" ht="23" customHeight="1">
      <x:c r="A179" s="17" t="str">
        <x:v>W0173</x:v>
      </x:c>
      <x:c r="B179" s="18" t="n">
        <x:v>46289</x:v>
      </x:c>
      <x:c r="C179" s="17" t="str">
        <x:v>C003</x:v>
      </x:c>
      <x:c r="D179" s="17" t="str">
        <x:v>Analytics</x:v>
      </x:c>
      <x:c r="E179" s="17" t="str">
        <x:v>Quinn Parker</x:v>
      </x:c>
      <x:c r="F179" s="17" t="str">
        <x:v>Summarize audience insights</x:v>
      </x:c>
      <x:c r="G179" s="20" t="n">
        <x:v>4.43</x:v>
      </x:c>
      <x:c r="H179" s="20" t="n">
        <x:v>2.05</x:v>
      </x:c>
      <x:c r="I179" s="20" t="n">
        <x:v>0.14</x:v>
      </x:c>
      <x:c r="J179" s="17" t="str">
        <x:v>None</x:v>
      </x:c>
      <x:c r="K179" s="17" t="str">
        <x:v>No</x:v>
      </x:c>
      <x:c r="L179" s="17" t="str">
        <x:v>Yes</x:v>
      </x:c>
    </x:row>
    <x:row r="180" ht="23" customHeight="1">
      <x:c r="A180" s="17" t="str">
        <x:v>W0174</x:v>
      </x:c>
      <x:c r="B180" s="18" t="n">
        <x:v>46274</x:v>
      </x:c>
      <x:c r="C180" s="17" t="str">
        <x:v>C003</x:v>
      </x:c>
      <x:c r="D180" s="17" t="str">
        <x:v>Analytics</x:v>
      </x:c>
      <x:c r="E180" s="17" t="str">
        <x:v>Jamie Patel</x:v>
      </x:c>
      <x:c r="F180" s="17" t="str">
        <x:v>Check measurement plan</x:v>
      </x:c>
      <x:c r="G180" s="20" t="n">
        <x:v>4.55</x:v>
      </x:c>
      <x:c r="H180" s="20" t="n">
        <x:v>3.51</x:v>
      </x:c>
      <x:c r="I180" s="20" t="n">
        <x:v>0.14</x:v>
      </x:c>
      <x:c r="J180" s="17" t="str">
        <x:v>None</x:v>
      </x:c>
      <x:c r="K180" s="17" t="str">
        <x:v>No</x:v>
      </x:c>
      <x:c r="L180" s="17" t="str">
        <x:v>Yes</x:v>
      </x:c>
    </x:row>
    <x:row r="181" ht="23" customHeight="1">
      <x:c r="A181" s="17" t="str">
        <x:v>W0175</x:v>
      </x:c>
      <x:c r="B181" s="18" t="n">
        <x:v>46283</x:v>
      </x:c>
      <x:c r="C181" s="17" t="str">
        <x:v>C003</x:v>
      </x:c>
      <x:c r="D181" s="17" t="str">
        <x:v>Content</x:v>
      </x:c>
      <x:c r="E181" s="17" t="str">
        <x:v>Avery Morgan</x:v>
      </x:c>
      <x:c r="F181" s="17" t="str">
        <x:v>Write ad copy</x:v>
      </x:c>
      <x:c r="G181" s="20" t="n">
        <x:v>2.52</x:v>
      </x:c>
      <x:c r="H181" s="20" t="n">
        <x:v>2.61</x:v>
      </x:c>
      <x:c r="I181" s="20" t="n">
        <x:v>0.13</x:v>
      </x:c>
      <x:c r="J181" s="17" t="str">
        <x:v>Data problem</x:v>
      </x:c>
      <x:c r="K181" s="17" t="str">
        <x:v>No</x:v>
      </x:c>
      <x:c r="L181" s="17" t="str">
        <x:v>Yes</x:v>
      </x:c>
    </x:row>
    <x:row r="182" ht="23" customHeight="1">
      <x:c r="A182" s="17" t="str">
        <x:v>W0176</x:v>
      </x:c>
      <x:c r="B182" s="18" t="n">
        <x:v>46294</x:v>
      </x:c>
      <x:c r="C182" s="17" t="str">
        <x:v>C003</x:v>
      </x:c>
      <x:c r="D182" s="17" t="str">
        <x:v>Content</x:v>
      </x:c>
      <x:c r="E182" s="17" t="str">
        <x:v>Jordan Ellis</x:v>
      </x:c>
      <x:c r="F182" s="17" t="str">
        <x:v>Draft email sequence</x:v>
      </x:c>
      <x:c r="G182" s="20" t="n">
        <x:v>2.49</x:v>
      </x:c>
      <x:c r="H182" s="20" t="n">
        <x:v>1.56</x:v>
      </x:c>
      <x:c r="I182" s="20" t="n">
        <x:v>0.1</x:v>
      </x:c>
      <x:c r="J182" s="17" t="str">
        <x:v>None</x:v>
      </x:c>
      <x:c r="K182" s="17" t="str">
        <x:v>No</x:v>
      </x:c>
      <x:c r="L182" s="17" t="str">
        <x:v>Yes</x:v>
      </x:c>
    </x:row>
    <x:row r="183" ht="23" customHeight="1">
      <x:c r="A183" s="17" t="str">
        <x:v>W0177</x:v>
      </x:c>
      <x:c r="B183" s="18" t="n">
        <x:v>46279</x:v>
      </x:c>
      <x:c r="C183" s="17" t="str">
        <x:v>C003</x:v>
      </x:c>
      <x:c r="D183" s="17" t="str">
        <x:v>Creative</x:v>
      </x:c>
      <x:c r="E183" s="17" t="str">
        <x:v>Riley Chen</x:v>
      </x:c>
      <x:c r="F183" s="17" t="str">
        <x:v>Plan visual narrative</x:v>
      </x:c>
      <x:c r="G183" s="20" t="n">
        <x:v>2.52</x:v>
      </x:c>
      <x:c r="H183" s="20" t="n">
        <x:v>1.44</x:v>
      </x:c>
      <x:c r="I183" s="20" t="n">
        <x:v>0.14</x:v>
      </x:c>
      <x:c r="J183" s="17" t="str">
        <x:v>None</x:v>
      </x:c>
      <x:c r="K183" s="17" t="str">
        <x:v>No</x:v>
      </x:c>
      <x:c r="L183" s="17" t="str">
        <x:v>No</x:v>
      </x:c>
    </x:row>
    <x:row r="184" ht="23" customHeight="1">
      <x:c r="A184" s="17" t="str">
        <x:v>W0178</x:v>
      </x:c>
      <x:c r="B184" s="18" t="n">
        <x:v>46288</x:v>
      </x:c>
      <x:c r="C184" s="17" t="str">
        <x:v>C003</x:v>
      </x:c>
      <x:c r="D184" s="17" t="str">
        <x:v>Creative</x:v>
      </x:c>
      <x:c r="E184" s="17" t="str">
        <x:v>Taylor Brooks</x:v>
      </x:c>
      <x:c r="F184" s="17" t="str">
        <x:v>Develop concept brief</x:v>
      </x:c>
      <x:c r="G184" s="20" t="n">
        <x:v>4.33</x:v>
      </x:c>
      <x:c r="H184" s="20" t="n">
        <x:v>2.84</x:v>
      </x:c>
      <x:c r="I184" s="20" t="n">
        <x:v>0.4</x:v>
      </x:c>
      <x:c r="J184" s="17" t="str">
        <x:v>Brief changed</x:v>
      </x:c>
      <x:c r="K184" s="17" t="str">
        <x:v>Yes</x:v>
      </x:c>
      <x:c r="L184" s="17" t="str">
        <x:v>Yes</x:v>
      </x:c>
    </x:row>
    <x:row r="185" ht="23" customHeight="1">
      <x:c r="A185" s="17" t="str">
        <x:v>W0179</x:v>
      </x:c>
      <x:c r="B185" s="18" t="n">
        <x:v>46273</x:v>
      </x:c>
      <x:c r="C185" s="17" t="str">
        <x:v>C003</x:v>
      </x:c>
      <x:c r="D185" s="17" t="str">
        <x:v>Marketing Operations</x:v>
      </x:c>
      <x:c r="E185" s="17" t="str">
        <x:v>Casey Rivera</x:v>
      </x:c>
      <x:c r="F185" s="17" t="str">
        <x:v>Clean audience data</x:v>
      </x:c>
      <x:c r="G185" s="20" t="n">
        <x:v>3.55</x:v>
      </x:c>
      <x:c r="H185" s="20" t="n">
        <x:v>3.08</x:v>
      </x:c>
      <x:c r="I185" s="20" t="n">
        <x:v>0.15</x:v>
      </x:c>
      <x:c r="J185" s="17" t="str">
        <x:v>None</x:v>
      </x:c>
      <x:c r="K185" s="17" t="str">
        <x:v>No</x:v>
      </x:c>
      <x:c r="L185" s="17" t="str">
        <x:v>Yes</x:v>
      </x:c>
    </x:row>
    <x:row r="186" ht="23" customHeight="1">
      <x:c r="A186" s="17" t="str">
        <x:v>W0180</x:v>
      </x:c>
      <x:c r="B186" s="18" t="n">
        <x:v>46282</x:v>
      </x:c>
      <x:c r="C186" s="17" t="str">
        <x:v>C003</x:v>
      </x:c>
      <x:c r="D186" s="17" t="str">
        <x:v>  marketing operations </x:v>
      </x:c>
      <x:c r="E186" s="17" t="str">
        <x:v>Morgan Reed</x:v>
      </x:c>
      <x:c r="F186" s="17" t="str">
        <x:v>Prepare launch checklist</x:v>
      </x:c>
      <x:c r="G186" s="20" t="n">
        <x:v>4.1</x:v>
      </x:c>
      <x:c r="H186" s="20" t="n">
        <x:v>2.19</x:v>
      </x:c>
      <x:c r="I186" s="20" t="n">
        <x:v>0.11</x:v>
      </x:c>
      <x:c r="J186" s="17" t="str">
        <x:v>None</x:v>
      </x:c>
      <x:c r="K186" s="17" t="str">
        <x:v>No</x:v>
      </x:c>
      <x:c r="L186" s="17" t="str">
        <x:v>No</x:v>
      </x:c>
    </x:row>
    <x:row r="187" ht="23" customHeight="1">
      <x:c r="A187" s="17" t="str">
        <x:v>W0181</x:v>
      </x:c>
      <x:c r="B187" s="18" t="n">
        <x:v>46288</x:v>
      </x:c>
      <x:c r="C187" s="17" t="str">
        <x:v>C004</x:v>
      </x:c>
      <x:c r="D187" s="17" t="str">
        <x:v>Creative</x:v>
      </x:c>
      <x:c r="E187" s="17" t="str">
        <x:v>Taylor Brooks</x:v>
      </x:c>
      <x:c r="F187" s="17" t="str">
        <x:v>Develop concept brief</x:v>
      </x:c>
      <x:c r="G187" s="20" t="n">
        <x:v>5.11</x:v>
      </x:c>
      <x:c r="H187" s="20" t="n">
        <x:v>3.54</x:v>
      </x:c>
      <x:c r="I187" s="20" t="n">
        <x:v>0.15</x:v>
      </x:c>
      <x:c r="J187" s="17" t="str">
        <x:v>None</x:v>
      </x:c>
      <x:c r="K187" s="17" t="str">
        <x:v>No</x:v>
      </x:c>
      <x:c r="L187" s="17" t="str">
        <x:v>Yes</x:v>
      </x:c>
    </x:row>
    <x:row r="188" ht="23" customHeight="1">
      <x:c r="A188" s="17" t="str">
        <x:v>W0182</x:v>
      </x:c>
      <x:c r="B188" s="18" t="n">
        <x:v>46273</x:v>
      </x:c>
      <x:c r="C188" s="17" t="str">
        <x:v>C004</x:v>
      </x:c>
      <x:c r="D188" s="17" t="str">
        <x:v>Marketing Operations</x:v>
      </x:c>
      <x:c r="E188" s="17" t="str">
        <x:v>Casey Rivera</x:v>
      </x:c>
      <x:c r="F188" s="17" t="str">
        <x:v>Clean audience data</x:v>
      </x:c>
      <x:c r="G188" s="20" t="n">
        <x:v>4.53</x:v>
      </x:c>
      <x:c r="H188" s="20" t="n">
        <x:v>4.46</x:v>
      </x:c>
      <x:c r="I188" s="20" t="n">
        <x:v>0.05</x:v>
      </x:c>
      <x:c r="J188" s="17" t="str">
        <x:v>None</x:v>
      </x:c>
      <x:c r="K188" s="17" t="str">
        <x:v>No</x:v>
      </x:c>
      <x:c r="L188" s="17" t="str">
        <x:v>Yes</x:v>
      </x:c>
    </x:row>
    <x:row r="189" ht="23" customHeight="1">
      <x:c r="A189" s="17" t="str">
        <x:v>W0183</x:v>
      </x:c>
      <x:c r="B189" s="18" t="n">
        <x:v>46282</x:v>
      </x:c>
      <x:c r="C189" s="17" t="str">
        <x:v>C004</x:v>
      </x:c>
      <x:c r="D189" s="17" t="str">
        <x:v>Marketing Operations</x:v>
      </x:c>
      <x:c r="E189" s="17" t="str">
        <x:v>Morgan Reed</x:v>
      </x:c>
      <x:c r="F189" s="17" t="str">
        <x:v>Prepare launch checklist</x:v>
      </x:c>
      <x:c r="G189" s="20" t="n">
        <x:v>3.82</x:v>
      </x:c>
      <x:c r="H189" s="20" t="n">
        <x:v>4.23</x:v>
      </x:c>
      <x:c r="I189" s="20" t="n">
        <x:v>0.6</x:v>
      </x:c>
      <x:c r="J189" s="17" t="str">
        <x:v>Brief changed</x:v>
      </x:c>
      <x:c r="K189" s="17" t="str">
        <x:v>Yes</x:v>
      </x:c>
      <x:c r="L189" s="17" t="str">
        <x:v>Yes</x:v>
      </x:c>
    </x:row>
    <x:row r="190" ht="23" customHeight="1">
      <x:c r="A190" s="17" t="str">
        <x:v>W0184</x:v>
      </x:c>
      <x:c r="B190" s="18" t="n">
        <x:v>46293</x:v>
      </x:c>
      <x:c r="C190" s="17" t="str">
        <x:v>C004</x:v>
      </x:c>
      <x:c r="D190" s="17" t="str">
        <x:v>Analytics</x:v>
      </x:c>
      <x:c r="E190" s="17" t="str">
        <x:v>Quinn Parker</x:v>
      </x:c>
      <x:c r="F190" s="17" t="str">
        <x:v>Analyze campaign results</x:v>
      </x:c>
      <x:c r="G190" s="20" t="n">
        <x:v>5.02</x:v>
      </x:c>
      <x:c r="H190" s="20" t="n">
        <x:v>5.91</x:v>
      </x:c>
      <x:c r="I190" s="20" t="n">
        <x:v>0.12</x:v>
      </x:c>
      <x:c r="J190" s="17" t="str">
        <x:v>Brief changed</x:v>
      </x:c>
      <x:c r="K190" s="17" t="str">
        <x:v>Yes</x:v>
      </x:c>
      <x:c r="L190" s="17" t="str">
        <x:v>No</x:v>
      </x:c>
    </x:row>
    <x:row r="191" ht="23" customHeight="1">
      <x:c r="A191" s="17" t="str">
        <x:v>W0185</x:v>
      </x:c>
      <x:c r="B191" s="18" t="n">
        <x:v>46276</x:v>
      </x:c>
      <x:c r="C191" s="17" t="str">
        <x:v>C004</x:v>
      </x:c>
      <x:c r="D191" s="17" t="str">
        <x:v>Analytics</x:v>
      </x:c>
      <x:c r="E191" s="17" t="str">
        <x:v>Jamie Patel</x:v>
      </x:c>
      <x:c r="F191" s="17" t="str">
        <x:v>Summarize audience insights</x:v>
      </x:c>
      <x:c r="G191" s="20" t="n">
        <x:v>4.88</x:v>
      </x:c>
      <x:c r="H191" s="20" t="n">
        <x:v>2.35</x:v>
      </x:c>
      <x:c r="I191" s="20" t="n">
        <x:v>0.12</x:v>
      </x:c>
      <x:c r="J191" s="17" t="str">
        <x:v>None</x:v>
      </x:c>
      <x:c r="K191" s="17" t="str">
        <x:v>No</x:v>
      </x:c>
      <x:c r="L191" s="17" t="str">
        <x:v>Yes</x:v>
      </x:c>
    </x:row>
    <x:row r="192" ht="23" customHeight="1">
      <x:c r="A192" s="17" t="str">
        <x:v>W0186</x:v>
      </x:c>
      <x:c r="B192" s="18" t="n">
        <x:v>46287</x:v>
      </x:c>
      <x:c r="C192" s="17" t="str">
        <x:v>C004</x:v>
      </x:c>
      <x:c r="D192" s="17" t="str">
        <x:v>Content</x:v>
      </x:c>
      <x:c r="E192" s="17" t="str">
        <x:v>Avery Morgan</x:v>
      </x:c>
      <x:c r="F192" s="17" t="str">
        <x:v>Edit landing page</x:v>
      </x:c>
      <x:c r="G192" s="20" t="n">
        <x:v>5.84</x:v>
      </x:c>
      <x:c r="H192" s="20" t="n">
        <x:v>4</x:v>
      </x:c>
      <x:c r="I192" s="20" t="n">
        <x:v>0.05</x:v>
      </x:c>
      <x:c r="J192" s="17" t="str">
        <x:v>None</x:v>
      </x:c>
      <x:c r="K192" s="17" t="str">
        <x:v>No</x:v>
      </x:c>
      <x:c r="L192" s="17" t="str">
        <x:v>Yes</x:v>
      </x:c>
    </x:row>
    <x:row r="193" ht="23" customHeight="1">
      <x:c r="A193" s="17" t="str">
        <x:v>W0187</x:v>
      </x:c>
      <x:c r="B193" s="18" t="n">
        <x:v>46269</x:v>
      </x:c>
      <x:c r="C193" s="17" t="str">
        <x:v>C004</x:v>
      </x:c>
      <x:c r="D193" s="17" t="str">
        <x:v>Content</x:v>
      </x:c>
      <x:c r="E193" s="17" t="str">
        <x:v>Jordan Ellis</x:v>
      </x:c>
      <x:c r="F193" s="17" t="str">
        <x:v>Write ad copy</x:v>
      </x:c>
      <x:c r="G193" s="20" t="n">
        <x:v>4.55</x:v>
      </x:c>
      <x:c r="H193" s="20" t="n">
        <x:v>4.56</x:v>
      </x:c>
      <x:c r="I193" s="20" t="n">
        <x:v>0.58</x:v>
      </x:c>
      <x:c r="J193" s="17" t="str">
        <x:v>Data problem</x:v>
      </x:c>
      <x:c r="K193" s="17" t="str">
        <x:v>No</x:v>
      </x:c>
      <x:c r="L193" s="17" t="str">
        <x:v>Yes</x:v>
      </x:c>
    </x:row>
    <x:row r="194" ht="23" customHeight="1">
      <x:c r="A194" s="17" t="str">
        <x:v>W0188</x:v>
      </x:c>
      <x:c r="B194" s="18" t="n">
        <x:v>46281</x:v>
      </x:c>
      <x:c r="C194" s="17" t="str">
        <x:v>C004</x:v>
      </x:c>
      <x:c r="D194" s="17" t="str">
        <x:v>Creative</x:v>
      </x:c>
      <x:c r="E194" s="17" t="str">
        <x:v>Riley Chen</x:v>
      </x:c>
      <x:c r="F194" s="17" t="str">
        <x:v>Review creative variants</x:v>
      </x:c>
      <x:c r="G194" s="20" t="n">
        <x:v>5.87</x:v>
      </x:c>
      <x:c r="H194" s="20" t="n">
        <x:v>5.58</x:v>
      </x:c>
      <x:c r="I194" s="20" t="n">
        <x:v>0.39</x:v>
      </x:c>
      <x:c r="J194" s="17" t="str">
        <x:v>None</x:v>
      </x:c>
      <x:c r="K194" s="17" t="str">
        <x:v>No</x:v>
      </x:c>
      <x:c r="L194" s="17" t="str">
        <x:v>Yes</x:v>
      </x:c>
    </x:row>
    <x:row r="195" ht="23" customHeight="1">
      <x:c r="A195" s="17" t="str">
        <x:v>W0189</x:v>
      </x:c>
      <x:c r="B195" s="18" t="n">
        <x:v>46290</x:v>
      </x:c>
      <x:c r="C195" s="17" t="str">
        <x:v>C004</x:v>
      </x:c>
      <x:c r="D195" s="17" t="str">
        <x:v>Creative</x:v>
      </x:c>
      <x:c r="E195" s="17" t="str">
        <x:v>Taylor Brooks</x:v>
      </x:c>
      <x:c r="F195" s="17" t="str">
        <x:v>Plan visual narrative</x:v>
      </x:c>
      <x:c r="G195" s="20" t="n">
        <x:v>3.39</x:v>
      </x:c>
      <x:c r="H195" s="20" t="n">
        <x:v>2.77</x:v>
      </x:c>
      <x:c r="I195" s="20" t="n">
        <x:v>0.18</x:v>
      </x:c>
      <x:c r="J195" s="17" t="str">
        <x:v>None</x:v>
      </x:c>
      <x:c r="K195" s="17" t="str">
        <x:v>No</x:v>
      </x:c>
      <x:c r="L195" s="17" t="str">
        <x:v>Yes</x:v>
      </x:c>
    </x:row>
    <x:row r="196" ht="23" customHeight="1">
      <x:c r="A196" s="17" t="str">
        <x:v>W0190</x:v>
      </x:c>
      <x:c r="B196" s="18" t="n">
        <x:v>46275</x:v>
      </x:c>
      <x:c r="C196" s="17" t="str">
        <x:v>C004</x:v>
      </x:c>
      <x:c r="D196" s="17" t="str">
        <x:v>Marketing Operations</x:v>
      </x:c>
      <x:c r="E196" s="17" t="str">
        <x:v>Casey Rivera</x:v>
      </x:c>
      <x:c r="F196" s="17" t="str">
        <x:v>Build campaign plan</x:v>
      </x:c>
      <x:c r="G196" s="20" t="n">
        <x:v>4.86</x:v>
      </x:c>
      <x:c r="H196" s="20" t="n">
        <x:v>4.6</x:v>
      </x:c>
      <x:c r="I196" s="20" t="n">
        <x:v>0.21</x:v>
      </x:c>
      <x:c r="J196" s="17" t="str">
        <x:v>None</x:v>
      </x:c>
      <x:c r="K196" s="17" t="str">
        <x:v>No</x:v>
      </x:c>
      <x:c r="L196" s="17" t="str">
        <x:v>No</x:v>
      </x:c>
    </x:row>
    <x:row r="197" ht="23" customHeight="1">
      <x:c r="A197" s="17" t="str">
        <x:v>W0191</x:v>
      </x:c>
      <x:c r="B197" s="18" t="n">
        <x:v>46286</x:v>
      </x:c>
      <x:c r="C197" s="17" t="str">
        <x:v>C004</x:v>
      </x:c>
      <x:c r="D197" s="17" t="str">
        <x:v>Marketing Operations</x:v>
      </x:c>
      <x:c r="E197" s="17" t="str">
        <x:v>Morgan Reed</x:v>
      </x:c>
      <x:c r="F197" s="17" t="str">
        <x:v>Clean audience data</x:v>
      </x:c>
      <x:c r="G197" s="20" t="n">
        <x:v>4.7</x:v>
      </x:c>
      <x:c r="H197" s="20" t="n">
        <x:v>5.01</x:v>
      </x:c>
      <x:c r="I197" s="20" t="n">
        <x:v>0.86</x:v>
      </x:c>
      <x:c r="J197" s="17" t="str">
        <x:v>Data problem</x:v>
      </x:c>
      <x:c r="K197" s="17" t="str">
        <x:v>No</x:v>
      </x:c>
      <x:c r="L197" s="17" t="str">
        <x:v>No</x:v>
      </x:c>
    </x:row>
    <x:row r="198" ht="23" customHeight="1">
      <x:c r="A198" s="17" t="str">
        <x:v>W0192</x:v>
      </x:c>
      <x:c r="B198" s="18" t="n">
        <x:v>46295</x:v>
      </x:c>
      <x:c r="C198" s="17" t="str">
        <x:v>C004</x:v>
      </x:c>
      <x:c r="D198" s="17" t="str">
        <x:v>Analytics</x:v>
      </x:c>
      <x:c r="E198" s="17" t="str">
        <x:v>Quinn Parker</x:v>
      </x:c>
      <x:c r="F198" s="17" t="str">
        <x:v>Check measurement plan</x:v>
      </x:c>
      <x:c r="G198" s="20" t="n">
        <x:v>3.96</x:v>
      </x:c>
      <x:c r="H198" s="20" t="n">
        <x:v>3.43</x:v>
      </x:c>
      <x:c r="I198" s="20" t="n">
        <x:v>0.33</x:v>
      </x:c>
      <x:c r="J198" s="17" t="str">
        <x:v>None</x:v>
      </x:c>
      <x:c r="K198" s="17" t="str">
        <x:v>No</x:v>
      </x:c>
      <x:c r="L198" s="17" t="str">
        <x:v>Yes</x:v>
      </x:c>
    </x:row>
    <x:row r="199" ht="23" customHeight="1">
      <x:c r="A199" s="17" t="str">
        <x:v>W0193</x:v>
      </x:c>
      <x:c r="B199" s="18" t="n">
        <x:v>46280</x:v>
      </x:c>
      <x:c r="C199" s="17" t="str">
        <x:v>C004</x:v>
      </x:c>
      <x:c r="D199" s="17" t="str">
        <x:v>Analytics</x:v>
      </x:c>
      <x:c r="E199" s="17" t="str">
        <x:v>Jamie Patel</x:v>
      </x:c>
      <x:c r="F199" s="17" t="str">
        <x:v>Analyze campaign results</x:v>
      </x:c>
      <x:c r="G199" s="20" t="n">
        <x:v>4.24</x:v>
      </x:c>
      <x:c r="H199" s="20" t="n">
        <x:v>4.37</x:v>
      </x:c>
      <x:c r="I199" s="20" t="n">
        <x:v>0.24</x:v>
      </x:c>
      <x:c r="J199" s="17" t="str">
        <x:v>None</x:v>
      </x:c>
      <x:c r="K199" s="17" t="str">
        <x:v>No</x:v>
      </x:c>
      <x:c r="L199" s="17" t="str">
        <x:v>Yes</x:v>
      </x:c>
    </x:row>
    <x:row r="200" ht="23" customHeight="1">
      <x:c r="A200" s="17" t="str">
        <x:v>W0194</x:v>
      </x:c>
      <x:c r="B200" s="18" t="n">
        <x:v>46289</x:v>
      </x:c>
      <x:c r="C200" s="17" t="str">
        <x:v>C004</x:v>
      </x:c>
      <x:c r="D200" s="17" t="str">
        <x:v>Content</x:v>
      </x:c>
      <x:c r="E200" s="17" t="str">
        <x:v>Avery Morgan</x:v>
      </x:c>
      <x:c r="F200" s="17" t="str">
        <x:v>Draft email sequence</x:v>
      </x:c>
      <x:c r="G200" s="20" t="n">
        <x:v>3.72</x:v>
      </x:c>
      <x:c r="H200" s="20" t="n">
        <x:v>3.04</x:v>
      </x:c>
      <x:c r="I200" s="20" t="n">
        <x:v>0.15</x:v>
      </x:c>
      <x:c r="J200" s="17" t="str">
        <x:v>None</x:v>
      </x:c>
      <x:c r="K200" s="17" t="str">
        <x:v>No</x:v>
      </x:c>
      <x:c r="L200" s="17" t="str">
        <x:v>Yes</x:v>
      </x:c>
    </x:row>
    <x:row r="201" ht="23" customHeight="1">
      <x:c r="A201" s="17" t="str">
        <x:v>W0195</x:v>
      </x:c>
      <x:c r="B201" s="18" t="n">
        <x:v>46274</x:v>
      </x:c>
      <x:c r="C201" s="17" t="str">
        <x:v>C004</x:v>
      </x:c>
      <x:c r="D201" s="17" t="str">
        <x:v>Content</x:v>
      </x:c>
      <x:c r="E201" s="17" t="str">
        <x:v>Jordan Ellis</x:v>
      </x:c>
      <x:c r="F201" s="17" t="str">
        <x:v>Edit landing page</x:v>
      </x:c>
      <x:c r="G201" s="20" t="n">
        <x:v>3.74</x:v>
      </x:c>
      <x:c r="H201" s="20" t="n">
        <x:v>3.39</x:v>
      </x:c>
      <x:c r="I201" s="20" t="n">
        <x:v>0.3</x:v>
      </x:c>
      <x:c r="J201" s="17" t="str">
        <x:v>None</x:v>
      </x:c>
      <x:c r="K201" s="17" t="str">
        <x:v>No</x:v>
      </x:c>
      <x:c r="L201" s="17" t="str">
        <x:v>No</x:v>
      </x:c>
    </x:row>
    <x:row r="202" ht="23" customHeight="1">
      <x:c r="A202" s="17" t="str">
        <x:v>W0196</x:v>
      </x:c>
      <x:c r="B202" s="18" t="n">
        <x:v>46283</x:v>
      </x:c>
      <x:c r="C202" s="17" t="str">
        <x:v>C004</x:v>
      </x:c>
      <x:c r="D202" s="17" t="str">
        <x:v>Creative</x:v>
      </x:c>
      <x:c r="E202" s="17" t="str">
        <x:v>Riley Chen</x:v>
      </x:c>
      <x:c r="F202" s="17" t="str">
        <x:v>Develop concept brief</x:v>
      </x:c>
      <x:c r="G202" s="20" t="n">
        <x:v>3.32</x:v>
      </x:c>
      <x:c r="H202" s="20" t="n">
        <x:v>1.54</x:v>
      </x:c>
      <x:c r="I202" s="20" t="n">
        <x:v>0.15</x:v>
      </x:c>
      <x:c r="J202" s="17" t="str">
        <x:v>None</x:v>
      </x:c>
      <x:c r="K202" s="17" t="str">
        <x:v>No</x:v>
      </x:c>
      <x:c r="L202" s="17" t="str">
        <x:v>Yes</x:v>
      </x:c>
    </x:row>
    <x:row r="203" ht="23" customHeight="1">
      <x:c r="A203" s="17" t="str">
        <x:v>W0197</x:v>
      </x:c>
      <x:c r="B203" s="18" t="n">
        <x:v>46294</x:v>
      </x:c>
      <x:c r="C203" s="17" t="str">
        <x:v>C004</x:v>
      </x:c>
      <x:c r="D203" s="17" t="str">
        <x:v>Creative</x:v>
      </x:c>
      <x:c r="E203" s="17" t="str">
        <x:v>Taylor Brooks</x:v>
      </x:c>
      <x:c r="F203" s="17" t="str">
        <x:v>Review creative variants</x:v>
      </x:c>
      <x:c r="G203" s="20" t="n">
        <x:v>3.87</x:v>
      </x:c>
      <x:c r="H203" s="20" t="n">
        <x:v>2.91</x:v>
      </x:c>
      <x:c r="I203" s="20" t="n">
        <x:v>0.38</x:v>
      </x:c>
      <x:c r="J203" s="17" t="str">
        <x:v>Brief changed</x:v>
      </x:c>
      <x:c r="K203" s="17" t="str">
        <x:v>Yes</x:v>
      </x:c>
      <x:c r="L203" s="17" t="str">
        <x:v>Yes</x:v>
      </x:c>
    </x:row>
    <x:row r="204" ht="23" customHeight="1">
      <x:c r="A204" s="17" t="str">
        <x:v>W0198</x:v>
      </x:c>
      <x:c r="B204" s="18" t="n">
        <x:v>46279</x:v>
      </x:c>
      <x:c r="C204" s="17" t="str">
        <x:v>C004</x:v>
      </x:c>
      <x:c r="D204" s="17" t="str">
        <x:v>Marketing Operations</x:v>
      </x:c>
      <x:c r="E204" s="17" t="str">
        <x:v>Casey Rivera</x:v>
      </x:c>
      <x:c r="F204" s="17" t="str">
        <x:v>Prepare launch checklist</x:v>
      </x:c>
      <x:c r="G204" s="20" t="n">
        <x:v>2.93</x:v>
      </x:c>
      <x:c r="H204" s="20" t="n">
        <x:v>1.82</x:v>
      </x:c>
      <x:c r="I204" s="20" t="n">
        <x:v>0.14</x:v>
      </x:c>
      <x:c r="J204" s="17" t="str">
        <x:v>Unclear prompt</x:v>
      </x:c>
      <x:c r="K204" s="17" t="str">
        <x:v>No</x:v>
      </x:c>
      <x:c r="L204" s="17" t="str">
        <x:v>Yes</x:v>
      </x:c>
    </x:row>
    <x:row r="205" ht="23" customHeight="1">
      <x:c r="A205" s="17" t="str">
        <x:v>W0199</x:v>
      </x:c>
      <x:c r="B205" s="18" t="n">
        <x:v>46288</x:v>
      </x:c>
      <x:c r="C205" s="17" t="str">
        <x:v>C004</x:v>
      </x:c>
      <x:c r="D205" s="17" t="str">
        <x:v>Marketing Operations</x:v>
      </x:c>
      <x:c r="E205" s="17" t="str">
        <x:v>Morgan Reed</x:v>
      </x:c>
      <x:c r="F205" s="17" t="str">
        <x:v>Build campaign plan</x:v>
      </x:c>
      <x:c r="G205" s="20" t="n">
        <x:v>4.41</x:v>
      </x:c>
      <x:c r="H205" s="20" t="n">
        <x:v>4.69</x:v>
      </x:c>
      <x:c r="I205" s="20" t="n">
        <x:v>0.32</x:v>
      </x:c>
      <x:c r="J205" s="17" t="str">
        <x:v>Data problem</x:v>
      </x:c>
      <x:c r="K205" s="17" t="str">
        <x:v>No</x:v>
      </x:c>
      <x:c r="L205" s="17" t="str">
        <x:v>Yes</x:v>
      </x:c>
    </x:row>
    <x:row r="206" ht="23" customHeight="1">
      <x:c r="A206" s="17" t="str">
        <x:v>W0200</x:v>
      </x:c>
      <x:c r="B206" s="18" t="n">
        <x:v>46273</x:v>
      </x:c>
      <x:c r="C206" s="17" t="str">
        <x:v>C004</x:v>
      </x:c>
      <x:c r="D206" s="17" t="str">
        <x:v>Analytics</x:v>
      </x:c>
      <x:c r="E206" s="17" t="str">
        <x:v>Quinn Parker</x:v>
      </x:c>
      <x:c r="F206" s="17" t="str">
        <x:v>Summarize audience insights</x:v>
      </x:c>
      <x:c r="G206" s="20" t="n">
        <x:v>4.94</x:v>
      </x:c>
      <x:c r="H206" s="20" t="n">
        <x:v>5.12</x:v>
      </x:c>
      <x:c r="I206" s="20" t="n">
        <x:v>0.95</x:v>
      </x:c>
      <x:c r="J206" s="17" t="str">
        <x:v>Unclear prompt</x:v>
      </x:c>
      <x:c r="K206" s="17" t="str">
        <x:v>No</x:v>
      </x:c>
      <x:c r="L206" s="17" t="str">
        <x:v>Yes</x:v>
      </x:c>
    </x:row>
    <x:row r="207" ht="23" customHeight="1">
      <x:c r="A207" s="17" t="str">
        <x:v>W0201</x:v>
      </x:c>
      <x:c r="B207" s="18" t="n">
        <x:v>46282</x:v>
      </x:c>
      <x:c r="C207" s="17" t="str">
        <x:v>C004</x:v>
      </x:c>
      <x:c r="D207" s="17" t="str">
        <x:v>Analytics</x:v>
      </x:c>
      <x:c r="E207" s="17" t="str">
        <x:v>Jamie Patel</x:v>
      </x:c>
      <x:c r="F207" s="17" t="str">
        <x:v>Check measurement plan</x:v>
      </x:c>
      <x:c r="G207" s="20" t="n">
        <x:v>5.29</x:v>
      </x:c>
      <x:c r="H207" s="20" t="n">
        <x:v>2.76</x:v>
      </x:c>
      <x:c r="I207" s="20" t="n">
        <x:v>0.25</x:v>
      </x:c>
      <x:c r="J207" s="17" t="str">
        <x:v>None</x:v>
      </x:c>
      <x:c r="K207" s="17" t="str">
        <x:v>No</x:v>
      </x:c>
      <x:c r="L207" s="17" t="str">
        <x:v>Yes</x:v>
      </x:c>
    </x:row>
    <x:row r="208" ht="23" customHeight="1">
      <x:c r="A208" s="17" t="str">
        <x:v>W0202</x:v>
      </x:c>
      <x:c r="B208" s="18" t="n">
        <x:v>46293</x:v>
      </x:c>
      <x:c r="C208" s="17" t="str">
        <x:v>C004</x:v>
      </x:c>
      <x:c r="D208" s="17" t="str">
        <x:v>Content</x:v>
      </x:c>
      <x:c r="E208" s="17" t="str">
        <x:v>Avery Morgan</x:v>
      </x:c>
      <x:c r="F208" s="17" t="str">
        <x:v>Write ad copy</x:v>
      </x:c>
      <x:c r="G208" s="20" t="n">
        <x:v>4.27</x:v>
      </x:c>
      <x:c r="H208" s="20" t="n">
        <x:v>3.27</x:v>
      </x:c>
      <x:c r="I208" s="20" t="n">
        <x:v>0.07</x:v>
      </x:c>
      <x:c r="J208" s="17" t="str">
        <x:v>Brief changed</x:v>
      </x:c>
      <x:c r="K208" s="17" t="str">
        <x:v>Yes</x:v>
      </x:c>
      <x:c r="L208" s="17" t="str">
        <x:v>Yes</x:v>
      </x:c>
    </x:row>
    <x:row r="209" ht="23" customHeight="1">
      <x:c r="A209" s="17" t="str">
        <x:v>W0203</x:v>
      </x:c>
      <x:c r="B209" s="18" t="n">
        <x:v>46276</x:v>
      </x:c>
      <x:c r="C209" s="17" t="str">
        <x:v>C004</x:v>
      </x:c>
      <x:c r="D209" s="17" t="str">
        <x:v>Content</x:v>
      </x:c>
      <x:c r="E209" s="17" t="str">
        <x:v>Jordan Ellis</x:v>
      </x:c>
      <x:c r="F209" s="17" t="str">
        <x:v>Draft email sequence</x:v>
      </x:c>
      <x:c r="G209" s="20" t="n">
        <x:v>5.12</x:v>
      </x:c>
      <x:c r="H209" s="20" t="n">
        <x:v>4.62</x:v>
      </x:c>
      <x:c r="I209" s="20" t="n">
        <x:v>0.05</x:v>
      </x:c>
      <x:c r="J209" s="17" t="str">
        <x:v>None</x:v>
      </x:c>
      <x:c r="K209" s="17" t="str">
        <x:v>No</x:v>
      </x:c>
      <x:c r="L209" s="17" t="str">
        <x:v>Yes</x:v>
      </x:c>
    </x:row>
    <x:row r="210" ht="23" customHeight="1">
      <x:c r="A210" s="17" t="str">
        <x:v>W0204</x:v>
      </x:c>
      <x:c r="B210" s="18" t="n">
        <x:v>46287</x:v>
      </x:c>
      <x:c r="C210" s="17" t="str">
        <x:v>C004</x:v>
      </x:c>
      <x:c r="D210" s="17" t="str">
        <x:v>  creative </x:v>
      </x:c>
      <x:c r="E210" s="17" t="str">
        <x:v>Riley Chen</x:v>
      </x:c>
      <x:c r="F210" s="17" t="str">
        <x:v>Plan visual narrative</x:v>
      </x:c>
      <x:c r="G210" s="20" t="n">
        <x:v>3.66</x:v>
      </x:c>
      <x:c r="H210" s="20" t="n">
        <x:v>4.46</x:v>
      </x:c>
      <x:c r="I210" s="20" t="n">
        <x:v>0.1</x:v>
      </x:c>
      <x:c r="J210" s="17" t="str">
        <x:v>Unclear prompt</x:v>
      </x:c>
      <x:c r="K210" s="17" t="str">
        <x:v>No</x:v>
      </x:c>
      <x:c r="L210" s="17" t="str">
        <x:v>No</x:v>
      </x:c>
    </x:row>
    <x:row r="211" ht="23" customHeight="1">
      <x:c r="A211" s="17" t="str">
        <x:v>W0205</x:v>
      </x:c>
      <x:c r="B211" s="18" t="n">
        <x:v>46269</x:v>
      </x:c>
      <x:c r="C211" s="17" t="str">
        <x:v>C004</x:v>
      </x:c>
      <x:c r="D211" s="17" t="str">
        <x:v>Creative</x:v>
      </x:c>
      <x:c r="E211" s="17" t="str">
        <x:v>Taylor Brooks</x:v>
      </x:c>
      <x:c r="F211" s="17" t="str">
        <x:v>Develop concept brief</x:v>
      </x:c>
      <x:c r="G211" s="20" t="n">
        <x:v>3.82</x:v>
      </x:c>
      <x:c r="H211" s="20" t="n">
        <x:v>4.28</x:v>
      </x:c>
      <x:c r="I211" s="20" t="n">
        <x:v>0.3</x:v>
      </x:c>
      <x:c r="J211" s="17" t="str">
        <x:v>None</x:v>
      </x:c>
      <x:c r="K211" s="17" t="str">
        <x:v>No</x:v>
      </x:c>
      <x:c r="L211" s="17" t="str">
        <x:v>No</x:v>
      </x:c>
    </x:row>
    <x:row r="212" ht="23" customHeight="1">
      <x:c r="A212" s="17" t="str">
        <x:v>W0206</x:v>
      </x:c>
      <x:c r="B212" s="18" t="n">
        <x:v>46281</x:v>
      </x:c>
      <x:c r="C212" s="17" t="str">
        <x:v>C004</x:v>
      </x:c>
      <x:c r="D212" s="17" t="str">
        <x:v>Marketing Operations</x:v>
      </x:c>
      <x:c r="E212" s="17" t="str">
        <x:v>Casey Rivera</x:v>
      </x:c>
      <x:c r="F212" s="17" t="str">
        <x:v>Clean audience data</x:v>
      </x:c>
      <x:c r="G212" s="20" t="n">
        <x:v>3.98</x:v>
      </x:c>
      <x:c r="H212" s="20" t="n">
        <x:v>1.85</x:v>
      </x:c>
      <x:c r="I212" s="20" t="n">
        <x:v>0.16</x:v>
      </x:c>
      <x:c r="J212" s="17" t="str">
        <x:v>None</x:v>
      </x:c>
      <x:c r="K212" s="17" t="str">
        <x:v>No</x:v>
      </x:c>
      <x:c r="L212" s="17" t="str">
        <x:v>Yes</x:v>
      </x:c>
    </x:row>
    <x:row r="213" ht="23" customHeight="1">
      <x:c r="A213" s="17" t="str">
        <x:v>W0207</x:v>
      </x:c>
      <x:c r="B213" s="18" t="n">
        <x:v>46290</x:v>
      </x:c>
      <x:c r="C213" s="17" t="str">
        <x:v>C004</x:v>
      </x:c>
      <x:c r="D213" s="17" t="str">
        <x:v>Marketing Operations</x:v>
      </x:c>
      <x:c r="E213" s="17" t="str">
        <x:v>Morgan Reed</x:v>
      </x:c>
      <x:c r="F213" s="17" t="str">
        <x:v>Prepare launch checklist</x:v>
      </x:c>
      <x:c r="G213" s="20" t="n">
        <x:v>4.08</x:v>
      </x:c>
      <x:c r="H213" s="20" t="n">
        <x:v>3.94</x:v>
      </x:c>
      <x:c r="I213" s="20" t="n">
        <x:v>0.31</x:v>
      </x:c>
      <x:c r="J213" s="17" t="str">
        <x:v>None</x:v>
      </x:c>
      <x:c r="K213" s="17" t="str">
        <x:v>No</x:v>
      </x:c>
      <x:c r="L213" s="17" t="str">
        <x:v>Yes</x:v>
      </x:c>
    </x:row>
    <x:row r="214" ht="23" customHeight="1">
      <x:c r="A214" s="17" t="str">
        <x:v>W0208</x:v>
      </x:c>
      <x:c r="B214" s="18" t="n">
        <x:v>46275</x:v>
      </x:c>
      <x:c r="C214" s="17" t="str">
        <x:v>C004</x:v>
      </x:c>
      <x:c r="D214" s="17" t="str">
        <x:v>Analytics</x:v>
      </x:c>
      <x:c r="E214" s="17" t="str">
        <x:v>Quinn Parker</x:v>
      </x:c>
      <x:c r="F214" s="17" t="str">
        <x:v>Analyze campaign results</x:v>
      </x:c>
      <x:c r="G214" s="20" t="n">
        <x:v>4.1</x:v>
      </x:c>
      <x:c r="H214" s="20" t="n">
        <x:v>3.91</x:v>
      </x:c>
      <x:c r="I214" s="20" t="n">
        <x:v>0.62</x:v>
      </x:c>
      <x:c r="J214" s="17" t="str">
        <x:v>Unclear prompt</x:v>
      </x:c>
      <x:c r="K214" s="17" t="str">
        <x:v>No</x:v>
      </x:c>
      <x:c r="L214" s="17" t="str">
        <x:v>Yes</x:v>
      </x:c>
    </x:row>
    <x:row r="215" ht="23" customHeight="1">
      <x:c r="A215" s="17" t="str">
        <x:v>W0209</x:v>
      </x:c>
      <x:c r="B215" s="18" t="n">
        <x:v>46286</x:v>
      </x:c>
      <x:c r="C215" s="17" t="str">
        <x:v>C004</x:v>
      </x:c>
      <x:c r="D215" s="17" t="str">
        <x:v>Analytics</x:v>
      </x:c>
      <x:c r="E215" s="17" t="str">
        <x:v>Jamie Patel</x:v>
      </x:c>
      <x:c r="F215" s="17" t="str">
        <x:v>Summarize audience insights</x:v>
      </x:c>
      <x:c r="G215" s="20" t="n">
        <x:v>4.07</x:v>
      </x:c>
      <x:c r="H215" s="20" t="n">
        <x:v>3.32</x:v>
      </x:c>
      <x:c r="I215" s="20" t="n">
        <x:v>0.13</x:v>
      </x:c>
      <x:c r="J215" s="17" t="str">
        <x:v>None</x:v>
      </x:c>
      <x:c r="K215" s="17" t="str">
        <x:v>No</x:v>
      </x:c>
      <x:c r="L215" s="17" t="str">
        <x:v>No</x:v>
      </x:c>
    </x:row>
    <x:row r="216" ht="23" customHeight="1">
      <x:c r="A216" s="17" t="str">
        <x:v>W0210</x:v>
      </x:c>
      <x:c r="B216" s="18" t="n">
        <x:v>46295</x:v>
      </x:c>
      <x:c r="C216" s="17" t="str">
        <x:v>C004</x:v>
      </x:c>
      <x:c r="D216" s="17" t="str">
        <x:v>Content</x:v>
      </x:c>
      <x:c r="E216" s="17" t="str">
        <x:v>Avery Morgan</x:v>
      </x:c>
      <x:c r="F216" s="17" t="str">
        <x:v>Edit landing page</x:v>
      </x:c>
      <x:c r="G216" s="20" t="n">
        <x:v>3.44</x:v>
      </x:c>
      <x:c r="H216" s="20" t="n">
        <x:v>2.46</x:v>
      </x:c>
      <x:c r="I216" s="20" t="n">
        <x:v>0.08</x:v>
      </x:c>
      <x:c r="J216" s="17" t="str">
        <x:v>None</x:v>
      </x:c>
      <x:c r="K216" s="17" t="str">
        <x:v>No</x:v>
      </x:c>
      <x:c r="L216" s="17" t="str">
        <x:v>Yes</x:v>
      </x:c>
    </x:row>
    <x:row r="217" ht="23" customHeight="1">
      <x:c r="A217" s="17" t="str">
        <x:v>W0211</x:v>
      </x:c>
      <x:c r="B217" s="18" t="n">
        <x:v>46280</x:v>
      </x:c>
      <x:c r="C217" s="17" t="str">
        <x:v>C004</x:v>
      </x:c>
      <x:c r="D217" s="17" t="str">
        <x:v>Content</x:v>
      </x:c>
      <x:c r="E217" s="17" t="str">
        <x:v>Jordan Ellis</x:v>
      </x:c>
      <x:c r="F217" s="17" t="str">
        <x:v>Write ad copy</x:v>
      </x:c>
      <x:c r="G217" s="20" t="n">
        <x:v>5.71</x:v>
      </x:c>
      <x:c r="H217" s="20" t="n">
        <x:v>3.89</x:v>
      </x:c>
      <x:c r="I217" s="20" t="n">
        <x:v>0.31</x:v>
      </x:c>
      <x:c r="J217" s="17" t="str">
        <x:v>None</x:v>
      </x:c>
      <x:c r="K217" s="17" t="str">
        <x:v>No</x:v>
      </x:c>
      <x:c r="L217" s="17" t="str">
        <x:v>No</x:v>
      </x:c>
    </x:row>
    <x:row r="218" ht="23" customHeight="1">
      <x:c r="A218" s="17" t="str">
        <x:v>W0212</x:v>
      </x:c>
      <x:c r="B218" s="18" t="n">
        <x:v>46289</x:v>
      </x:c>
      <x:c r="C218" s="17" t="str">
        <x:v>C004</x:v>
      </x:c>
      <x:c r="D218" s="17" t="str">
        <x:v>Creative</x:v>
      </x:c>
      <x:c r="E218" s="17" t="str">
        <x:v>Riley Chen</x:v>
      </x:c>
      <x:c r="F218" s="17" t="str">
        <x:v>Review creative variants</x:v>
      </x:c>
      <x:c r="G218" s="20" t="n">
        <x:v>3.8</x:v>
      </x:c>
      <x:c r="H218" s="20" t="n">
        <x:v>4.51</x:v>
      </x:c>
      <x:c r="I218" s="20" t="n">
        <x:v>0.68</x:v>
      </x:c>
      <x:c r="J218" s="17" t="str">
        <x:v>Data problem</x:v>
      </x:c>
      <x:c r="K218" s="17" t="str">
        <x:v>No</x:v>
      </x:c>
      <x:c r="L218" s="17" t="str">
        <x:v>Yes</x:v>
      </x:c>
    </x:row>
    <x:row r="219" ht="23" customHeight="1">
      <x:c r="A219" s="17" t="str">
        <x:v>W0213</x:v>
      </x:c>
      <x:c r="B219" s="18" t="n">
        <x:v>46274</x:v>
      </x:c>
      <x:c r="C219" s="17" t="str">
        <x:v>C004</x:v>
      </x:c>
      <x:c r="D219" s="17" t="str">
        <x:v>Creative</x:v>
      </x:c>
      <x:c r="E219" s="17" t="str">
        <x:v>Taylor Brooks</x:v>
      </x:c>
      <x:c r="F219" s="17" t="str">
        <x:v>Plan visual narrative</x:v>
      </x:c>
      <x:c r="G219" s="20" t="n">
        <x:v>4.57</x:v>
      </x:c>
      <x:c r="H219" s="20" t="n">
        <x:v>2.02</x:v>
      </x:c>
      <x:c r="I219" s="20" t="n">
        <x:v>0.15</x:v>
      </x:c>
      <x:c r="J219" s="17" t="str">
        <x:v>None</x:v>
      </x:c>
      <x:c r="K219" s="17" t="str">
        <x:v>No</x:v>
      </x:c>
      <x:c r="L219" s="17" t="str">
        <x:v>Yes</x:v>
      </x:c>
    </x:row>
    <x:row r="220" ht="23" customHeight="1">
      <x:c r="A220" s="17" t="str">
        <x:v>W0214</x:v>
      </x:c>
      <x:c r="B220" s="18" t="n">
        <x:v>46283</x:v>
      </x:c>
      <x:c r="C220" s="17" t="str">
        <x:v>C004</x:v>
      </x:c>
      <x:c r="D220" s="17" t="str">
        <x:v>Marketing Operations</x:v>
      </x:c>
      <x:c r="E220" s="17" t="str">
        <x:v>Casey Rivera</x:v>
      </x:c>
      <x:c r="F220" s="17" t="str">
        <x:v>Build campaign plan</x:v>
      </x:c>
      <x:c r="G220" s="20" t="n">
        <x:v>4.09</x:v>
      </x:c>
      <x:c r="H220" s="20" t="n">
        <x:v>1.98</x:v>
      </x:c>
      <x:c r="I220" s="20" t="n">
        <x:v>0.17</x:v>
      </x:c>
      <x:c r="J220" s="17" t="str">
        <x:v>Brief changed</x:v>
      </x:c>
      <x:c r="K220" s="17" t="str">
        <x:v>Yes</x:v>
      </x:c>
      <x:c r="L220" s="17" t="str">
        <x:v>Yes</x:v>
      </x:c>
    </x:row>
    <x:row r="221" ht="23" customHeight="1">
      <x:c r="A221" s="17" t="str">
        <x:v>W0215</x:v>
      </x:c>
      <x:c r="B221" s="18" t="n">
        <x:v>46294</x:v>
      </x:c>
      <x:c r="C221" s="17" t="str">
        <x:v>C004</x:v>
      </x:c>
      <x:c r="D221" s="17" t="str">
        <x:v>Marketing Operations</x:v>
      </x:c>
      <x:c r="E221" s="17" t="str">
        <x:v>Morgan Reed</x:v>
      </x:c>
      <x:c r="F221" s="17" t="str">
        <x:v>Clean audience data</x:v>
      </x:c>
      <x:c r="G221" s="20" t="n">
        <x:v>3.58</x:v>
      </x:c>
      <x:c r="H221" s="20" t="n">
        <x:v>2.22</x:v>
      </x:c>
      <x:c r="I221" s="20" t="n">
        <x:v>0.15</x:v>
      </x:c>
      <x:c r="J221" s="17" t="str">
        <x:v>None</x:v>
      </x:c>
      <x:c r="K221" s="17" t="str">
        <x:v>No</x:v>
      </x:c>
      <x:c r="L221" s="17" t="str">
        <x:v>No</x:v>
      </x:c>
    </x:row>
    <x:row r="222" ht="23" customHeight="1">
      <x:c r="A222" s="17" t="str">
        <x:v>W0216</x:v>
      </x:c>
      <x:c r="B222" s="18" t="n">
        <x:v>46279</x:v>
      </x:c>
      <x:c r="C222" s="17" t="str">
        <x:v>C004</x:v>
      </x:c>
      <x:c r="D222" s="17" t="str">
        <x:v>Analytics</x:v>
      </x:c>
      <x:c r="E222" s="17" t="str">
        <x:v>Quinn Parker</x:v>
      </x:c>
      <x:c r="F222" s="17" t="str">
        <x:v>Check measurement plan</x:v>
      </x:c>
      <x:c r="G222" s="20" t="n">
        <x:v>3.67</x:v>
      </x:c>
      <x:c r="H222" s="20" t="n">
        <x:v>3.91</x:v>
      </x:c>
      <x:c r="I222" s="20" t="n">
        <x:v>0.52</x:v>
      </x:c>
      <x:c r="J222" s="17" t="str">
        <x:v>Data problem</x:v>
      </x:c>
      <x:c r="K222" s="17" t="str">
        <x:v>No</x:v>
      </x:c>
      <x:c r="L222" s="17" t="str">
        <x:v>Yes</x:v>
      </x:c>
    </x:row>
    <x:row r="223" ht="23" customHeight="1">
      <x:c r="A223" s="17" t="str">
        <x:v>W0217</x:v>
      </x:c>
      <x:c r="B223" s="18" t="n">
        <x:v>46288</x:v>
      </x:c>
      <x:c r="C223" s="17" t="str">
        <x:v>C004</x:v>
      </x:c>
      <x:c r="D223" s="17" t="str">
        <x:v>Analytics</x:v>
      </x:c>
      <x:c r="E223" s="17" t="str">
        <x:v>Jamie Patel</x:v>
      </x:c>
      <x:c r="F223" s="17" t="str">
        <x:v>Analyze campaign results</x:v>
      </x:c>
      <x:c r="G223" s="20" t="n">
        <x:v>5.62</x:v>
      </x:c>
      <x:c r="H223" s="20" t="n">
        <x:v>6.66</x:v>
      </x:c>
      <x:c r="I223" s="20" t="n">
        <x:v>0.69</x:v>
      </x:c>
      <x:c r="J223" s="17" t="str">
        <x:v>Unclear prompt</x:v>
      </x:c>
      <x:c r="K223" s="17" t="str">
        <x:v>No</x:v>
      </x:c>
      <x:c r="L223" s="17" t="str">
        <x:v>No</x:v>
      </x:c>
    </x:row>
    <x:row r="224" ht="23" customHeight="1">
      <x:c r="A224" s="17" t="str">
        <x:v>W0218</x:v>
      </x:c>
      <x:c r="B224" s="18" t="n">
        <x:v>46273</x:v>
      </x:c>
      <x:c r="C224" s="17" t="str">
        <x:v>C004</x:v>
      </x:c>
      <x:c r="D224" s="17" t="str">
        <x:v>Content</x:v>
      </x:c>
      <x:c r="E224" s="17" t="str">
        <x:v>Avery Morgan</x:v>
      </x:c>
      <x:c r="F224" s="17" t="str">
        <x:v>Draft email sequence</x:v>
      </x:c>
      <x:c r="G224" s="20" t="n">
        <x:v>4.41</x:v>
      </x:c>
      <x:c r="H224" s="20" t="n">
        <x:v>3.63</x:v>
      </x:c>
      <x:c r="I224" s="20" t="n">
        <x:v>0.3</x:v>
      </x:c>
      <x:c r="J224" s="17" t="str">
        <x:v>None</x:v>
      </x:c>
      <x:c r="K224" s="17" t="str">
        <x:v>No</x:v>
      </x:c>
      <x:c r="L224" s="17" t="str">
        <x:v>Yes</x:v>
      </x:c>
    </x:row>
    <x:row r="225" ht="23" customHeight="1">
      <x:c r="A225" s="17" t="str">
        <x:v>W0219</x:v>
      </x:c>
      <x:c r="B225" s="18" t="n">
        <x:v>46282</x:v>
      </x:c>
      <x:c r="C225" s="17" t="str">
        <x:v>C004</x:v>
      </x:c>
      <x:c r="D225" s="17" t="str">
        <x:v>Content</x:v>
      </x:c>
      <x:c r="E225" s="17" t="str">
        <x:v>Jordan Ellis</x:v>
      </x:c>
      <x:c r="F225" s="17" t="str">
        <x:v>Edit landing page</x:v>
      </x:c>
      <x:c r="G225" s="20" t="n">
        <x:v>3.28</x:v>
      </x:c>
      <x:c r="H225" s="20" t="n">
        <x:v>1.88</x:v>
      </x:c>
      <x:c r="I225" s="20" t="n">
        <x:v>0.06</x:v>
      </x:c>
      <x:c r="J225" s="17" t="str">
        <x:v>None</x:v>
      </x:c>
      <x:c r="K225" s="17" t="str">
        <x:v>No</x:v>
      </x:c>
      <x:c r="L225" s="17" t="str">
        <x:v>Yes</x:v>
      </x:c>
    </x:row>
    <x:row r="226" ht="23" customHeight="1">
      <x:c r="A226" s="17" t="str">
        <x:v>W0220</x:v>
      </x:c>
      <x:c r="B226" s="18" t="n">
        <x:v>46293</x:v>
      </x:c>
      <x:c r="C226" s="17" t="str">
        <x:v>C004</x:v>
      </x:c>
      <x:c r="D226" s="17" t="str">
        <x:v>Creative</x:v>
      </x:c>
      <x:c r="E226" s="17" t="str">
        <x:v>Riley Chen</x:v>
      </x:c>
      <x:c r="F226" s="17" t="str">
        <x:v>Develop concept brief</x:v>
      </x:c>
      <x:c r="G226" s="20" t="n">
        <x:v>4.75</x:v>
      </x:c>
      <x:c r="H226" s="20" t="n">
        <x:v>2.17</x:v>
      </x:c>
      <x:c r="I226" s="20" t="n">
        <x:v>0.25</x:v>
      </x:c>
      <x:c r="J226" s="17" t="str">
        <x:v>Unclear prompt</x:v>
      </x:c>
      <x:c r="K226" s="17" t="str">
        <x:v>No</x:v>
      </x:c>
      <x:c r="L226" s="17" t="str">
        <x:v>No</x:v>
      </x:c>
    </x:row>
    <x:row r="227" ht="23" customHeight="1">
      <x:c r="A227" s="17" t="str">
        <x:v>W0221</x:v>
      </x:c>
      <x:c r="B227" s="18" t="n">
        <x:v>46276</x:v>
      </x:c>
      <x:c r="C227" s="17" t="str">
        <x:v>C004</x:v>
      </x:c>
      <x:c r="D227" s="17" t="str">
        <x:v>Creative</x:v>
      </x:c>
      <x:c r="E227" s="17" t="str">
        <x:v>Taylor Brooks</x:v>
      </x:c>
      <x:c r="F227" s="17" t="str">
        <x:v>Review creative variants</x:v>
      </x:c>
      <x:c r="G227" s="20" t="n">
        <x:v>2.96</x:v>
      </x:c>
      <x:c r="H227" s="20" t="n">
        <x:v>3</x:v>
      </x:c>
      <x:c r="I227" s="20" t="n">
        <x:v>0.58</x:v>
      </x:c>
      <x:c r="J227" s="17" t="str">
        <x:v>Brief changed</x:v>
      </x:c>
      <x:c r="K227" s="17" t="str">
        <x:v>Yes</x:v>
      </x:c>
      <x:c r="L227" s="17" t="str">
        <x:v>No</x:v>
      </x:c>
    </x:row>
    <x:row r="228" ht="23" customHeight="1">
      <x:c r="A228" s="17" t="str">
        <x:v>W0222</x:v>
      </x:c>
      <x:c r="B228" s="18" t="n">
        <x:v>46287</x:v>
      </x:c>
      <x:c r="C228" s="17" t="str">
        <x:v>C004</x:v>
      </x:c>
      <x:c r="D228" s="17" t="str">
        <x:v>Marketing Operations</x:v>
      </x:c>
      <x:c r="E228" s="17" t="str">
        <x:v>Casey Rivera</x:v>
      </x:c>
      <x:c r="F228" s="17" t="str">
        <x:v>Prepare launch checklist</x:v>
      </x:c>
      <x:c r="G228" s="20" t="n">
        <x:v>5.64</x:v>
      </x:c>
      <x:c r="H228" s="20" t="n">
        <x:v>6.75</x:v>
      </x:c>
      <x:c r="I228" s="20" t="n">
        <x:v>1.31</x:v>
      </x:c>
      <x:c r="J228" s="17" t="str">
        <x:v>Unclear prompt</x:v>
      </x:c>
      <x:c r="K228" s="17" t="str">
        <x:v>No</x:v>
      </x:c>
      <x:c r="L228" s="17" t="str">
        <x:v>No</x:v>
      </x:c>
    </x:row>
    <x:row r="229" ht="23" customHeight="1">
      <x:c r="A229" s="17" t="str">
        <x:v>W0223</x:v>
      </x:c>
      <x:c r="B229" s="18" t="n">
        <x:v>46269</x:v>
      </x:c>
      <x:c r="C229" s="17" t="str">
        <x:v>C004</x:v>
      </x:c>
      <x:c r="D229" s="17" t="str">
        <x:v>Marketing Operations</x:v>
      </x:c>
      <x:c r="E229" s="17" t="str">
        <x:v>Morgan Reed</x:v>
      </x:c>
      <x:c r="F229" s="17" t="str">
        <x:v>Build campaign plan</x:v>
      </x:c>
      <x:c r="G229" s="20" t="n">
        <x:v>4.41</x:v>
      </x:c>
      <x:c r="H229" s="20" t="n">
        <x:v>2.72</x:v>
      </x:c>
      <x:c r="I229" s="20" t="n">
        <x:v>0.1</x:v>
      </x:c>
      <x:c r="J229" s="17" t="str">
        <x:v>None</x:v>
      </x:c>
      <x:c r="K229" s="17" t="str">
        <x:v>No</x:v>
      </x:c>
      <x:c r="L229" s="17" t="str">
        <x:v>Yes</x:v>
      </x:c>
    </x:row>
    <x:row r="230" ht="23" customHeight="1">
      <x:c r="A230" s="17" t="str">
        <x:v>W0224</x:v>
      </x:c>
      <x:c r="B230" s="18" t="n">
        <x:v>46281</x:v>
      </x:c>
      <x:c r="C230" s="17" t="str">
        <x:v>C004</x:v>
      </x:c>
      <x:c r="D230" s="17" t="str">
        <x:v>Analytics</x:v>
      </x:c>
      <x:c r="E230" s="17" t="str">
        <x:v>Quinn Parker</x:v>
      </x:c>
      <x:c r="F230" s="17" t="str">
        <x:v>Summarize audience insights</x:v>
      </x:c>
      <x:c r="G230" s="20" t="n">
        <x:v>5.94</x:v>
      </x:c>
      <x:c r="H230" s="20" t="n">
        <x:v>6.72</x:v>
      </x:c>
      <x:c r="I230" s="20" t="n">
        <x:v>0.66</x:v>
      </x:c>
      <x:c r="J230" s="17" t="str">
        <x:v>Unclear prompt</x:v>
      </x:c>
      <x:c r="K230" s="17" t="str">
        <x:v>No</x:v>
      </x:c>
      <x:c r="L230" s="17" t="str">
        <x:v>No</x:v>
      </x:c>
    </x:row>
    <x:row r="231" ht="23" customHeight="1">
      <x:c r="A231" s="17" t="str">
        <x:v>W0225</x:v>
      </x:c>
      <x:c r="B231" s="18" t="n">
        <x:v>46290</x:v>
      </x:c>
      <x:c r="C231" s="17" t="str">
        <x:v>C004</x:v>
      </x:c>
      <x:c r="D231" s="17" t="str">
        <x:v>Analytics</x:v>
      </x:c>
      <x:c r="E231" s="17" t="str">
        <x:v>Jamie Patel</x:v>
      </x:c>
      <x:c r="F231" s="17" t="str">
        <x:v>Check measurement plan</x:v>
      </x:c>
      <x:c r="G231" s="20" t="n">
        <x:v>4.99</x:v>
      </x:c>
      <x:c r="H231" s="20" t="n">
        <x:v>2.46</x:v>
      </x:c>
      <x:c r="I231" s="20" t="n">
        <x:v>0.14</x:v>
      </x:c>
      <x:c r="J231" s="17" t="str">
        <x:v>None</x:v>
      </x:c>
      <x:c r="K231" s="17" t="str">
        <x:v>No</x:v>
      </x:c>
      <x:c r="L231" s="17" t="str">
        <x:v>Yes</x:v>
      </x:c>
    </x:row>
    <x:row r="232" ht="23" customHeight="1">
      <x:c r="A232" s="17" t="str">
        <x:v>W0226</x:v>
      </x:c>
      <x:c r="B232" s="18" t="n">
        <x:v>46275</x:v>
      </x:c>
      <x:c r="C232" s="17" t="str">
        <x:v>C004</x:v>
      </x:c>
      <x:c r="D232" s="17" t="str">
        <x:v>Content</x:v>
      </x:c>
      <x:c r="E232" s="17" t="str">
        <x:v>Avery Morgan</x:v>
      </x:c>
      <x:c r="F232" s="17" t="str">
        <x:v>Write ad copy</x:v>
      </x:c>
      <x:c r="G232" s="20" t="n">
        <x:v>3.79</x:v>
      </x:c>
      <x:c r="H232" s="20" t="n">
        <x:v>3.84</x:v>
      </x:c>
      <x:c r="I232" s="20" t="n">
        <x:v>0.29</x:v>
      </x:c>
      <x:c r="J232" s="17" t="str">
        <x:v>Unclear prompt</x:v>
      </x:c>
      <x:c r="K232" s="17" t="str">
        <x:v>No</x:v>
      </x:c>
      <x:c r="L232" s="17" t="str">
        <x:v>No</x:v>
      </x:c>
    </x:row>
    <x:row r="233" ht="23" customHeight="1">
      <x:c r="A233" s="17" t="str">
        <x:v>W0227</x:v>
      </x:c>
      <x:c r="B233" s="18" t="n">
        <x:v>46286</x:v>
      </x:c>
      <x:c r="C233" s="17" t="str">
        <x:v>C004</x:v>
      </x:c>
      <x:c r="D233" s="17" t="str">
        <x:v>Content</x:v>
      </x:c>
      <x:c r="E233" s="17" t="str">
        <x:v>Jordan Ellis</x:v>
      </x:c>
      <x:c r="F233" s="17" t="str">
        <x:v>Draft email sequence</x:v>
      </x:c>
      <x:c r="G233" s="20" t="n">
        <x:v>5.1</x:v>
      </x:c>
      <x:c r="H233" s="20" t="n">
        <x:v>5.74</x:v>
      </x:c>
      <x:c r="I233" s="20" t="n">
        <x:v>0.31</x:v>
      </x:c>
      <x:c r="J233" s="17" t="str">
        <x:v>Unclear prompt</x:v>
      </x:c>
      <x:c r="K233" s="17" t="str">
        <x:v>No</x:v>
      </x:c>
      <x:c r="L233" s="17" t="str">
        <x:v>Yes</x:v>
      </x:c>
    </x:row>
    <x:row r="234" ht="23" customHeight="1">
      <x:c r="A234" s="17" t="str">
        <x:v>W0228</x:v>
      </x:c>
      <x:c r="B234" s="18" t="n">
        <x:v>46295</x:v>
      </x:c>
      <x:c r="C234" s="17" t="str">
        <x:v>C004</x:v>
      </x:c>
      <x:c r="D234" s="17" t="str">
        <x:v>Creative</x:v>
      </x:c>
      <x:c r="E234" s="17" t="str">
        <x:v>Riley Chen</x:v>
      </x:c>
      <x:c r="F234" s="17" t="str">
        <x:v>Plan visual narrative</x:v>
      </x:c>
      <x:c r="G234" s="20" t="n">
        <x:v>4.81</x:v>
      </x:c>
      <x:c r="H234" s="20" t="n">
        <x:v>3.8</x:v>
      </x:c>
      <x:c r="I234" s="20" t="n">
        <x:v>0.29</x:v>
      </x:c>
      <x:c r="J234" s="17" t="str">
        <x:v>None</x:v>
      </x:c>
      <x:c r="K234" s="17" t="str">
        <x:v>No</x:v>
      </x:c>
      <x:c r="L234" s="17" t="str">
        <x:v>Yes</x:v>
      </x:c>
    </x:row>
    <x:row r="235" ht="23" customHeight="1">
      <x:c r="A235" s="17" t="str">
        <x:v>W0229</x:v>
      </x:c>
      <x:c r="B235" s="18" t="n">
        <x:v>46280</x:v>
      </x:c>
      <x:c r="C235" s="17" t="str">
        <x:v>C004</x:v>
      </x:c>
      <x:c r="D235" s="17" t="str">
        <x:v>  creative </x:v>
      </x:c>
      <x:c r="E235" s="17" t="str">
        <x:v>Taylor Brooks</x:v>
      </x:c>
      <x:c r="F235" s="17" t="str">
        <x:v>Develop concept brief</x:v>
      </x:c>
      <x:c r="G235" s="20" t="n">
        <x:v>2.93</x:v>
      </x:c>
      <x:c r="H235" s="20" t="n">
        <x:v>3.37</x:v>
      </x:c>
      <x:c r="I235" s="20" t="n">
        <x:v>0.5</x:v>
      </x:c>
      <x:c r="J235" s="17" t="str">
        <x:v>Unclear prompt</x:v>
      </x:c>
      <x:c r="K235" s="17" t="str">
        <x:v>No</x:v>
      </x:c>
      <x:c r="L235" s="17" t="str">
        <x:v>Yes</x:v>
      </x:c>
    </x:row>
    <x:row r="236" ht="23" customHeight="1">
      <x:c r="A236" s="17" t="str">
        <x:v>W0230</x:v>
      </x:c>
      <x:c r="B236" s="18" t="n">
        <x:v>46289</x:v>
      </x:c>
      <x:c r="C236" s="17" t="str">
        <x:v>C004</x:v>
      </x:c>
      <x:c r="D236" s="17" t="str">
        <x:v>Marketing Operations</x:v>
      </x:c>
      <x:c r="E236" s="17" t="str">
        <x:v>Casey Rivera</x:v>
      </x:c>
      <x:c r="F236" s="17" t="str">
        <x:v>Clean audience data</x:v>
      </x:c>
      <x:c r="G236" s="20" t="n">
        <x:v>3.89</x:v>
      </x:c>
      <x:c r="H236" s="20" t="n">
        <x:v>2.55</x:v>
      </x:c>
      <x:c r="I236" s="20" t="n">
        <x:v>0.31</x:v>
      </x:c>
      <x:c r="J236" s="17" t="str">
        <x:v>Brief changed</x:v>
      </x:c>
      <x:c r="K236" s="17" t="str">
        <x:v>Yes</x:v>
      </x:c>
      <x:c r="L236" s="17" t="str">
        <x:v>No</x:v>
      </x:c>
    </x:row>
    <x:row r="237" ht="23" customHeight="1">
      <x:c r="A237" s="17" t="str">
        <x:v>W0231</x:v>
      </x:c>
      <x:c r="B237" s="18" t="n">
        <x:v>46274</x:v>
      </x:c>
      <x:c r="C237" s="17" t="str">
        <x:v>C004</x:v>
      </x:c>
      <x:c r="D237" s="17" t="str">
        <x:v>Marketing Operations</x:v>
      </x:c>
      <x:c r="E237" s="17" t="str">
        <x:v>Morgan Reed</x:v>
      </x:c>
      <x:c r="F237" s="17" t="str">
        <x:v>Prepare launch checklist</x:v>
      </x:c>
      <x:c r="G237" s="20" t="n">
        <x:v>5.43</x:v>
      </x:c>
      <x:c r="H237" s="20" t="n">
        <x:v>3.32</x:v>
      </x:c>
      <x:c r="I237" s="20" t="n">
        <x:v>0.24</x:v>
      </x:c>
      <x:c r="J237" s="17" t="str">
        <x:v>None</x:v>
      </x:c>
      <x:c r="K237" s="17" t="str">
        <x:v>No</x:v>
      </x:c>
      <x:c r="L237" s="17" t="str">
        <x:v>No</x:v>
      </x:c>
    </x:row>
    <x:row r="238" ht="23" customHeight="1">
      <x:c r="A238" s="17" t="str">
        <x:v>W0232</x:v>
      </x:c>
      <x:c r="B238" s="18" t="n">
        <x:v>46283</x:v>
      </x:c>
      <x:c r="C238" s="17" t="str">
        <x:v>C004</x:v>
      </x:c>
      <x:c r="D238" s="17" t="str">
        <x:v>Analytics</x:v>
      </x:c>
      <x:c r="E238" s="17" t="str">
        <x:v>Quinn Parker</x:v>
      </x:c>
      <x:c r="F238" s="17" t="str">
        <x:v>Analyze campaign results</x:v>
      </x:c>
      <x:c r="G238" s="20" t="n">
        <x:v>2.86</x:v>
      </x:c>
      <x:c r="H238" s="20" t="n">
        <x:v>2.51</x:v>
      </x:c>
      <x:c r="I238" s="20" t="n">
        <x:v>0.07</x:v>
      </x:c>
      <x:c r="J238" s="17" t="str">
        <x:v>None</x:v>
      </x:c>
      <x:c r="K238" s="17" t="str">
        <x:v>No</x:v>
      </x:c>
      <x:c r="L238" s="17" t="str">
        <x:v>Yes</x:v>
      </x:c>
    </x:row>
    <x:row r="239" ht="23" customHeight="1">
      <x:c r="A239" s="17" t="str">
        <x:v>W0233</x:v>
      </x:c>
      <x:c r="B239" s="18" t="n">
        <x:v>46294</x:v>
      </x:c>
      <x:c r="C239" s="17" t="str">
        <x:v>C004</x:v>
      </x:c>
      <x:c r="D239" s="17" t="str">
        <x:v>Analytics</x:v>
      </x:c>
      <x:c r="E239" s="17" t="str">
        <x:v>Jamie Patel</x:v>
      </x:c>
      <x:c r="F239" s="17" t="str">
        <x:v>Summarize audience insights</x:v>
      </x:c>
      <x:c r="G239" s="20" t="n">
        <x:v>3.26</x:v>
      </x:c>
      <x:c r="H239" s="20" t="n">
        <x:v>1.79</x:v>
      </x:c>
      <x:c r="I239" s="20" t="n">
        <x:v>0.15</x:v>
      </x:c>
      <x:c r="J239" s="17" t="str">
        <x:v>None</x:v>
      </x:c>
      <x:c r="K239" s="17" t="str">
        <x:v>No</x:v>
      </x:c>
      <x:c r="L239" s="17" t="str">
        <x:v>No</x:v>
      </x:c>
    </x:row>
    <x:row r="240" ht="23" customHeight="1">
      <x:c r="A240" s="17" t="str">
        <x:v>W0234</x:v>
      </x:c>
      <x:c r="B240" s="18" t="n">
        <x:v>46279</x:v>
      </x:c>
      <x:c r="C240" s="17" t="str">
        <x:v>C004</x:v>
      </x:c>
      <x:c r="D240" s="17" t="str">
        <x:v>Content</x:v>
      </x:c>
      <x:c r="E240" s="17" t="str">
        <x:v>Avery Morgan</x:v>
      </x:c>
      <x:c r="F240" s="17" t="str">
        <x:v>Edit landing page</x:v>
      </x:c>
      <x:c r="G240" s="20" t="n">
        <x:v>3.41</x:v>
      </x:c>
      <x:c r="H240" s="20" t="n">
        <x:v>3.71</x:v>
      </x:c>
      <x:c r="I240" s="20" t="n">
        <x:v>0.47</x:v>
      </x:c>
      <x:c r="J240" s="17" t="str">
        <x:v>Data problem</x:v>
      </x:c>
      <x:c r="K240" s="17" t="str">
        <x:v>No</x:v>
      </x:c>
      <x:c r="L240" s="17" t="str">
        <x:v>Yes</x:v>
      </x:c>
    </x:row>
    <x:row r="241" ht="23" customHeight="1">
      <x:c r="A241" s="17" t="str">
        <x:v>W0235</x:v>
      </x:c>
      <x:c r="B241" s="18" t="n">
        <x:v>46288</x:v>
      </x:c>
      <x:c r="C241" s="17" t="str">
        <x:v>C004</x:v>
      </x:c>
      <x:c r="D241" s="17" t="str">
        <x:v>Content</x:v>
      </x:c>
      <x:c r="E241" s="17" t="str">
        <x:v>Jordan Ellis</x:v>
      </x:c>
      <x:c r="F241" s="17" t="str">
        <x:v>Write ad copy</x:v>
      </x:c>
      <x:c r="G241" s="20" t="n">
        <x:v>3.84</x:v>
      </x:c>
      <x:c r="H241" s="20" t="n">
        <x:v>2.46</x:v>
      </x:c>
      <x:c r="I241" s="20" t="n">
        <x:v>0.43</x:v>
      </x:c>
      <x:c r="J241" s="17" t="str">
        <x:v>Brief changed</x:v>
      </x:c>
      <x:c r="K241" s="17" t="str">
        <x:v>Yes</x:v>
      </x:c>
      <x:c r="L241" s="17" t="str">
        <x:v>Yes</x:v>
      </x:c>
    </x:row>
    <x:row r="242" ht="23" customHeight="1">
      <x:c r="A242" s="17" t="str">
        <x:v>W0236</x:v>
      </x:c>
      <x:c r="B242" s="18" t="n">
        <x:v>46273</x:v>
      </x:c>
      <x:c r="C242" s="17" t="str">
        <x:v>C004</x:v>
      </x:c>
      <x:c r="D242" s="17" t="str">
        <x:v>Creative</x:v>
      </x:c>
      <x:c r="E242" s="17" t="str">
        <x:v>Riley Chen</x:v>
      </x:c>
      <x:c r="F242" s="17" t="str">
        <x:v>Review creative variants</x:v>
      </x:c>
      <x:c r="G242" s="20" t="n">
        <x:v>3.52</x:v>
      </x:c>
      <x:c r="H242" s="20" t="n">
        <x:v>2.37</x:v>
      </x:c>
      <x:c r="I242" s="20" t="n">
        <x:v>0.32</x:v>
      </x:c>
      <x:c r="J242" s="17" t="str">
        <x:v>Brief changed</x:v>
      </x:c>
      <x:c r="K242" s="17" t="str">
        <x:v>Yes</x:v>
      </x:c>
      <x:c r="L242" s="17" t="str">
        <x:v>No</x:v>
      </x:c>
    </x:row>
    <x:row r="243" ht="23" customHeight="1">
      <x:c r="A243" s="17" t="str">
        <x:v>W0237</x:v>
      </x:c>
      <x:c r="B243" s="18" t="n">
        <x:v>46282</x:v>
      </x:c>
      <x:c r="C243" s="17" t="str">
        <x:v>C004</x:v>
      </x:c>
      <x:c r="D243" s="17" t="str">
        <x:v>Creative</x:v>
      </x:c>
      <x:c r="E243" s="17" t="str">
        <x:v>Taylor Brooks</x:v>
      </x:c>
      <x:c r="F243" s="17" t="str">
        <x:v>Plan visual narrative</x:v>
      </x:c>
      <x:c r="G243" s="20" t="n">
        <x:v>4.43</x:v>
      </x:c>
      <x:c r="H243" s="20" t="n">
        <x:v>2.97</x:v>
      </x:c>
      <x:c r="I243" s="20" t="n">
        <x:v>0.2</x:v>
      </x:c>
      <x:c r="J243" s="17" t="str">
        <x:v>Brief changed</x:v>
      </x:c>
      <x:c r="K243" s="17" t="str">
        <x:v>Yes</x:v>
      </x:c>
      <x:c r="L243" s="17" t="str">
        <x:v>Yes</x:v>
      </x:c>
    </x:row>
    <x:row r="244" ht="23" customHeight="1">
      <x:c r="A244" s="17" t="str">
        <x:v>W0238</x:v>
      </x:c>
      <x:c r="B244" s="18" t="n">
        <x:v>46293</x:v>
      </x:c>
      <x:c r="C244" s="17" t="str">
        <x:v>C004</x:v>
      </x:c>
      <x:c r="D244" s="17" t="str">
        <x:v>Marketing Operations</x:v>
      </x:c>
      <x:c r="E244" s="17" t="str">
        <x:v>Casey Rivera</x:v>
      </x:c>
      <x:c r="F244" s="17" t="str">
        <x:v>Build campaign plan</x:v>
      </x:c>
      <x:c r="G244" s="20" t="n">
        <x:v>4.94</x:v>
      </x:c>
      <x:c r="H244" s="20" t="n">
        <x:v>5.28</x:v>
      </x:c>
      <x:c r="I244" s="20" t="n">
        <x:v>0.06</x:v>
      </x:c>
      <x:c r="J244" s="17" t="str">
        <x:v>None</x:v>
      </x:c>
      <x:c r="K244" s="17" t="str">
        <x:v>No</x:v>
      </x:c>
      <x:c r="L244" s="17" t="str">
        <x:v>No</x:v>
      </x:c>
    </x:row>
    <x:row r="245" ht="23" customHeight="1">
      <x:c r="A245" s="17" t="str">
        <x:v>W0239</x:v>
      </x:c>
      <x:c r="B245" s="18" t="n">
        <x:v>46276</x:v>
      </x:c>
      <x:c r="C245" s="17" t="str">
        <x:v>C004</x:v>
      </x:c>
      <x:c r="D245" s="17" t="str">
        <x:v>Marketing Operations</x:v>
      </x:c>
      <x:c r="E245" s="17" t="str">
        <x:v>Morgan Reed</x:v>
      </x:c>
      <x:c r="F245" s="17" t="str">
        <x:v>Clean audience data</x:v>
      </x:c>
      <x:c r="G245" s="20" t="n">
        <x:v>5.06</x:v>
      </x:c>
      <x:c r="H245" s="20" t="n">
        <x:v>4.01</x:v>
      </x:c>
      <x:c r="I245" s="20" t="n">
        <x:v>0.31</x:v>
      </x:c>
      <x:c r="J245" s="17" t="str">
        <x:v>None</x:v>
      </x:c>
      <x:c r="K245" s="17" t="str">
        <x:v>No</x:v>
      </x:c>
      <x:c r="L245" s="17" t="str">
        <x:v>Yes</x:v>
      </x:c>
    </x:row>
    <x:row r="246" ht="23" customHeight="1">
      <x:c r="A246" s="17" t="str">
        <x:v>W0240</x:v>
      </x:c>
      <x:c r="B246" s="18" t="n">
        <x:v>46287</x:v>
      </x:c>
      <x:c r="C246" s="17" t="str">
        <x:v>C004</x:v>
      </x:c>
      <x:c r="D246" s="17" t="str">
        <x:v>Analytics</x:v>
      </x:c>
      <x:c r="E246" s="17" t="str">
        <x:v>Quinn Parker</x:v>
      </x:c>
      <x:c r="F246" s="17" t="str">
        <x:v>Check measurement plan</x:v>
      </x:c>
      <x:c r="G246" s="20" t="n">
        <x:v>5.78</x:v>
      </x:c>
      <x:c r="H246" s="20" t="n">
        <x:v>3.57</x:v>
      </x:c>
      <x:c r="I246" s="20" t="n">
        <x:v>0.18</x:v>
      </x:c>
      <x:c r="J246" s="17" t="str">
        <x:v>None</x:v>
      </x:c>
      <x:c r="K246" s="17" t="str">
        <x:v>No</x:v>
      </x:c>
      <x:c r="L246" s="17" t="str">
        <x:v>Yes</x:v>
      </x:c>
    </x:row>
    <x:row r="247" ht="23" customHeight="1">
      <x:c r="A247" s="17" t="str">
        <x:v>W0018</x:v>
      </x:c>
      <x:c r="B247" s="18" t="n">
        <x:v>46290</x:v>
      </x:c>
      <x:c r="C247" s="17" t="str">
        <x:v>C001</x:v>
      </x:c>
      <x:c r="D247" s="17" t="str">
        <x:v>  content </x:v>
      </x:c>
      <x:c r="E247" s="17" t="str">
        <x:v>Jordan Ellis</x:v>
      </x:c>
      <x:c r="F247" s="17" t="str">
        <x:v>Edit landing page</x:v>
      </x:c>
      <x:c r="G247" s="20" t="n">
        <x:v>5.26</x:v>
      </x:c>
      <x:c r="H247" s="20" t="n">
        <x:v>2.96</x:v>
      </x:c>
      <x:c r="I247" s="20" t="n">
        <x:v>0.45</x:v>
      </x:c>
      <x:c r="J247" s="17" t="str">
        <x:v>Unclear prompt</x:v>
      </x:c>
      <x:c r="K247" s="17" t="str">
        <x:v>No</x:v>
      </x:c>
      <x:c r="L247" s="17" t="str">
        <x:v>Yes</x:v>
      </x:c>
    </x:row>
    <x:row r="248" ht="23" customHeight="1">
      <x:c r="A248" s="17" t="str">
        <x:v>W0087</x:v>
      </x:c>
      <x:c r="B248" s="18" t="n">
        <x:v>46282</x:v>
      </x:c>
      <x:c r="C248" s="17" t="str">
        <x:v>C002</x:v>
      </x:c>
      <x:c r="D248" s="17" t="str">
        <x:v>  creative </x:v>
      </x:c>
      <x:c r="E248" s="17" t="str">
        <x:v>Taylor Brooks</x:v>
      </x:c>
      <x:c r="F248" s="17" t="str">
        <x:v>Plan visual narrative</x:v>
      </x:c>
      <x:c r="G248" s="20" t="n">
        <x:v>3.71</x:v>
      </x:c>
      <x:c r="H248" s="20" t="n">
        <x:v>5.93</x:v>
      </x:c>
      <x:c r="I248" s="20" t="n">
        <x:v>0.76</x:v>
      </x:c>
      <x:c r="J248" s="17" t="str">
        <x:v>None</x:v>
      </x:c>
      <x:c r="K248" s="17" t="str">
        <x:v>No</x:v>
      </x:c>
      <x:c r="L248" s="17" t="str">
        <x:v>Yes</x:v>
      </x:c>
    </x:row>
  </x:sheetData>
  <x:pageMargins left="0.7" right="0.7" top="0.75" bottom="0.75" header="0.3" footer="0.3"/>
  <x:tableParts count="1">
    <x:tablePart xmlns:r="http://schemas.openxmlformats.org/officeDocument/2006/relationships" r:id="R984e76772389485e"/>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ht="23" customHeight="1">
      <x:c r="A1" s="3"/>
      <x:c r="B1" s="3"/>
      <x:c r="C1" s="3"/>
      <x:c r="D1" s="3"/>
      <x:c r="E1" s="3"/>
      <x:c r="F1" s="3"/>
      <x:c r="G1" s="3"/>
      <x:c r="H1" s="3"/>
      <x:c r="I1" s="3"/>
    </x:row>
    <x:row r="2" ht="29" customHeight="1">
      <x:c r="A2" s="4" t="str">
        <x:v>Original prompt records</x:v>
      </x:c>
      <x:c r="B2" s="3"/>
      <x:c r="C2" s="3"/>
      <x:c r="D2" s="3"/>
      <x:c r="E2" s="3"/>
      <x:c r="F2" s="3"/>
      <x:c r="G2" s="3"/>
      <x:c r="H2" s="3"/>
      <x:c r="I2" s="3"/>
    </x:row>
    <x:row r="3" ht="23" customHeight="1">
      <x:c r="A3" s="5" t="str">
        <x:v>Source: https://github.com/GlassHouse97/AI-Cost-Efficiency-Portfolio-Project/blob/main/DATA/TRACKS/portfolio-project/ai_usage.csv</x:v>
      </x:c>
      <x:c r="B3" s="3"/>
      <x:c r="C3" s="3"/>
      <x:c r="D3" s="3"/>
      <x:c r="E3" s="3"/>
      <x:c r="F3" s="3"/>
      <x:c r="G3" s="3"/>
      <x:c r="H3" s="3"/>
      <x:c r="I3" s="3"/>
    </x:row>
    <x:row r="4" ht="23" customHeight="1">
      <x:c r="A4" s="5" t="str">
        <x:v>Original source values are retained. Dates and numeric fields are typed for Excel.</x:v>
      </x:c>
      <x:c r="B4" s="3"/>
      <x:c r="C4" s="3"/>
      <x:c r="D4" s="3"/>
      <x:c r="E4" s="3"/>
      <x:c r="F4" s="3"/>
      <x:c r="G4" s="3"/>
      <x:c r="H4" s="3"/>
      <x:c r="I4" s="3"/>
    </x:row>
    <x:row r="5" ht="23" customHeight="1">
      <x:c r="A5" s="3"/>
      <x:c r="B5" s="3"/>
      <x:c r="C5" s="3"/>
      <x:c r="D5" s="3"/>
      <x:c r="E5" s="3"/>
      <x:c r="F5" s="3"/>
      <x:c r="G5" s="3"/>
      <x:c r="H5" s="3"/>
      <x:c r="I5" s="3"/>
    </x:row>
    <x:row r="6" ht="44" customHeight="1">
      <x:c r="A6" s="14" t="str">
        <x:v>usage_id</x:v>
      </x:c>
      <x:c r="B6" s="15" t="str">
        <x:v>usage_date</x:v>
      </x:c>
      <x:c r="C6" s="15" t="str">
        <x:v>work_item_id</x:v>
      </x:c>
      <x:c r="D6" s="15" t="str">
        <x:v>campaign_id</x:v>
      </x:c>
      <x:c r="E6" s="15" t="str">
        <x:v>product</x:v>
      </x:c>
      <x:c r="F6" s="15" t="str">
        <x:v>model</x:v>
      </x:c>
      <x:c r="G6" s="15" t="str">
        <x:v>input_tokens</x:v>
      </x:c>
      <x:c r="H6" s="15" t="str">
        <x:v>output_tokens</x:v>
      </x:c>
      <x:c r="I6" s="16" t="str">
        <x:v>prompt_reason</x:v>
      </x:c>
    </x:row>
    <x:row r="7" ht="23" customHeight="1">
      <x:c r="A7" s="17" t="str">
        <x:v>U00001</x:v>
      </x:c>
      <x:c r="B7" s="18" t="n">
        <x:v>46281</x:v>
      </x:c>
      <x:c r="C7" s="17" t="str">
        <x:v>W0002</x:v>
      </x:c>
      <x:c r="D7" s="17" t="str">
        <x:v>C001</x:v>
      </x:c>
      <x:c r="E7" s="17" t="str">
        <x:v>CopyStudio</x:v>
      </x:c>
      <x:c r="F7" s="17" t="str">
        <x:v>Lite</x:v>
      </x:c>
      <x:c r="G7" s="21" t="n">
        <x:v>35292</x:v>
      </x:c>
      <x:c r="H7" s="21" t="n">
        <x:v>6248</x:v>
      </x:c>
      <x:c r="I7" s="17" t="str">
        <x:v>First attempt</x:v>
      </x:c>
    </x:row>
    <x:row r="8" ht="23" customHeight="1">
      <x:c r="A8" s="17" t="str">
        <x:v>U00002</x:v>
      </x:c>
      <x:c r="B8" s="18" t="n">
        <x:v>46281</x:v>
      </x:c>
      <x:c r="C8" s="17" t="str">
        <x:v>W0002</x:v>
      </x:c>
      <x:c r="D8" s="17" t="str">
        <x:v>C001</x:v>
      </x:c>
      <x:c r="E8" s="17" t="str">
        <x:v>CopyStudio</x:v>
      </x:c>
      <x:c r="F8" s="17" t="str">
        <x:v>Lite</x:v>
      </x:c>
      <x:c r="G8" s="21" t="n">
        <x:v>41227</x:v>
      </x:c>
      <x:c r="H8" s="21" t="n">
        <x:v>4811</x:v>
      </x:c>
      <x:c r="I8" s="17" t="str">
        <x:v>Followup</x:v>
      </x:c>
    </x:row>
    <x:row r="9" ht="23" customHeight="1">
      <x:c r="A9" s="17" t="str">
        <x:v>U00003</x:v>
      </x:c>
      <x:c r="B9" s="18" t="n">
        <x:v>46281</x:v>
      </x:c>
      <x:c r="C9" s="17" t="str">
        <x:v>W0002</x:v>
      </x:c>
      <x:c r="D9" s="17" t="str">
        <x:v>C001</x:v>
      </x:c>
      <x:c r="E9" s="17" t="str">
        <x:v>CopyStudio</x:v>
      </x:c>
      <x:c r="F9" s="17" t="str">
        <x:v>Lite</x:v>
      </x:c>
      <x:c r="G9" s="21" t="n">
        <x:v>57474</x:v>
      </x:c>
      <x:c r="H9" s="21" t="n">
        <x:v>13663</x:v>
      </x:c>
      <x:c r="I9" s="17" t="str">
        <x:v>Followup</x:v>
      </x:c>
    </x:row>
    <x:row r="10" ht="23" customHeight="1">
      <x:c r="A10" s="17" t="str">
        <x:v>U00004</x:v>
      </x:c>
      <x:c r="B10" s="18" t="n">
        <x:v>46282</x:v>
      </x:c>
      <x:c r="C10" s="17" t="str">
        <x:v>W0002</x:v>
      </x:c>
      <x:c r="D10" s="17" t="str">
        <x:v>C001</x:v>
      </x:c>
      <x:c r="E10" s="17" t="str">
        <x:v>CopyStudio</x:v>
      </x:c>
      <x:c r="F10" s="17" t="str">
        <x:v>Lite</x:v>
      </x:c>
      <x:c r="G10" s="21" t="n">
        <x:v>25608</x:v>
      </x:c>
      <x:c r="H10" s="21" t="n">
        <x:v>14016</x:v>
      </x:c>
      <x:c r="I10" s="17" t="str">
        <x:v>Followup</x:v>
      </x:c>
    </x:row>
    <x:row r="11" ht="23" customHeight="1">
      <x:c r="A11" s="17" t="str">
        <x:v>U00005</x:v>
      </x:c>
      <x:c r="B11" s="18" t="n">
        <x:v>46282</x:v>
      </x:c>
      <x:c r="C11" s="17" t="str">
        <x:v>W0002</x:v>
      </x:c>
      <x:c r="D11" s="17" t="str">
        <x:v>C001</x:v>
      </x:c>
      <x:c r="E11" s="17" t="str">
        <x:v>CopyStudio</x:v>
      </x:c>
      <x:c r="F11" s="17" t="str">
        <x:v>Lite</x:v>
      </x:c>
      <x:c r="G11" s="21" t="n">
        <x:v>49708</x:v>
      </x:c>
      <x:c r="H11" s="21" t="n">
        <x:v>9437</x:v>
      </x:c>
      <x:c r="I11" s="17" t="str">
        <x:v>Correction</x:v>
      </x:c>
    </x:row>
    <x:row r="12" ht="23" customHeight="1">
      <x:c r="A12" s="17" t="str">
        <x:v>U00006</x:v>
      </x:c>
      <x:c r="B12" s="18" t="n">
        <x:v>46282</x:v>
      </x:c>
      <x:c r="C12" s="17" t="str">
        <x:v>W0002</x:v>
      </x:c>
      <x:c r="D12" s="17" t="str">
        <x:v>C001</x:v>
      </x:c>
      <x:c r="E12" s="17" t="str">
        <x:v>CopyStudio</x:v>
      </x:c>
      <x:c r="F12" s="17" t="str">
        <x:v>Lite</x:v>
      </x:c>
      <x:c r="G12" s="21" t="n">
        <x:v>63861</x:v>
      </x:c>
      <x:c r="H12" s="21" t="n">
        <x:v>5949</x:v>
      </x:c>
      <x:c r="I12" s="17" t="str">
        <x:v>Followup</x:v>
      </x:c>
    </x:row>
    <x:row r="13" ht="23" customHeight="1">
      <x:c r="A13" s="17" t="str">
        <x:v>U00007</x:v>
      </x:c>
      <x:c r="B13" s="18" t="n">
        <x:v>46283</x:v>
      </x:c>
      <x:c r="C13" s="17" t="str">
        <x:v>W0002</x:v>
      </x:c>
      <x:c r="D13" s="17" t="str">
        <x:v>C001</x:v>
      </x:c>
      <x:c r="E13" s="17" t="str">
        <x:v>CopyStudio</x:v>
      </x:c>
      <x:c r="F13" s="17" t="str">
        <x:v>Lite</x:v>
      </x:c>
      <x:c r="G13" s="21" t="n">
        <x:v>48593</x:v>
      </x:c>
      <x:c r="H13" s="21" t="n">
        <x:v>7318</x:v>
      </x:c>
      <x:c r="I13" s="17" t="str">
        <x:v>Followup</x:v>
      </x:c>
    </x:row>
    <x:row r="14" ht="23" customHeight="1">
      <x:c r="A14" s="17" t="str">
        <x:v>U00008</x:v>
      </x:c>
      <x:c r="B14" s="18" t="n">
        <x:v>46283</x:v>
      </x:c>
      <x:c r="C14" s="17" t="str">
        <x:v>W0002</x:v>
      </x:c>
      <x:c r="D14" s="17" t="str">
        <x:v>C001</x:v>
      </x:c>
      <x:c r="E14" s="17" t="str">
        <x:v>CopyStudio</x:v>
      </x:c>
      <x:c r="F14" s="17" t="str">
        <x:v>Lite</x:v>
      </x:c>
      <x:c r="G14" s="21" t="n">
        <x:v>59730</x:v>
      </x:c>
      <x:c r="H14" s="21" t="n">
        <x:v>8970</x:v>
      </x:c>
      <x:c r="I14" s="17" t="str">
        <x:v>Followup</x:v>
      </x:c>
    </x:row>
    <x:row r="15" ht="23" customHeight="1">
      <x:c r="A15" s="17" t="str">
        <x:v>U00009</x:v>
      </x:c>
      <x:c r="B15" s="18" t="n">
        <x:v>46283</x:v>
      </x:c>
      <x:c r="C15" s="17" t="str">
        <x:v>W0002</x:v>
      </x:c>
      <x:c r="D15" s="17" t="str">
        <x:v>C001</x:v>
      </x:c>
      <x:c r="E15" s="17" t="str">
        <x:v>CopyStudio</x:v>
      </x:c>
      <x:c r="F15" s="17" t="str">
        <x:v>Lite</x:v>
      </x:c>
      <x:c r="G15" s="21" t="n">
        <x:v>68191</x:v>
      </x:c>
      <x:c r="H15" s="21" t="n">
        <x:v>6145</x:v>
      </x:c>
      <x:c r="I15" s="17" t="str">
        <x:v>Followup</x:v>
      </x:c>
    </x:row>
    <x:row r="16" ht="23" customHeight="1">
      <x:c r="A16" s="17" t="str">
        <x:v>U00010</x:v>
      </x:c>
      <x:c r="B16" s="18" t="n">
        <x:v>46286</x:v>
      </x:c>
      <x:c r="C16" s="17" t="str">
        <x:v>W0002</x:v>
      </x:c>
      <x:c r="D16" s="17" t="str">
        <x:v>C001</x:v>
      </x:c>
      <x:c r="E16" s="17" t="str">
        <x:v>CopyStudio</x:v>
      </x:c>
      <x:c r="F16" s="17" t="str">
        <x:v>Lite</x:v>
      </x:c>
      <x:c r="G16" s="21" t="n">
        <x:v>51782</x:v>
      </x:c>
      <x:c r="H16" s="21" t="n">
        <x:v>11046</x:v>
      </x:c>
      <x:c r="I16" s="17" t="str">
        <x:v>Followup</x:v>
      </x:c>
    </x:row>
    <x:row r="17" ht="23" customHeight="1">
      <x:c r="A17" s="17" t="str">
        <x:v>U00011</x:v>
      </x:c>
      <x:c r="B17" s="18" t="n">
        <x:v>46286</x:v>
      </x:c>
      <x:c r="C17" s="17" t="str">
        <x:v>W0002</x:v>
      </x:c>
      <x:c r="D17" s="17" t="str">
        <x:v>C001</x:v>
      </x:c>
      <x:c r="E17" s="17" t="str">
        <x:v>CopyStudio</x:v>
      </x:c>
      <x:c r="F17" s="17" t="str">
        <x:v>Lite</x:v>
      </x:c>
      <x:c r="G17" s="21" t="n">
        <x:v>38433</x:v>
      </x:c>
      <x:c r="H17" s="21" t="n">
        <x:v>7298</x:v>
      </x:c>
      <x:c r="I17" s="17" t="str">
        <x:v>Followup</x:v>
      </x:c>
    </x:row>
    <x:row r="18" ht="23" customHeight="1">
      <x:c r="A18" s="17" t="str">
        <x:v>U00012</x:v>
      </x:c>
      <x:c r="B18" s="18" t="n">
        <x:v>46290</x:v>
      </x:c>
      <x:c r="C18" s="17" t="str">
        <x:v>W0003</x:v>
      </x:c>
      <x:c r="D18" s="17" t="str">
        <x:v>C001</x:v>
      </x:c>
      <x:c r="E18" s="17" t="str">
        <x:v>CampaignChat</x:v>
      </x:c>
      <x:c r="F18" s="17" t="str">
        <x:v>Lite</x:v>
      </x:c>
      <x:c r="G18" s="21" t="n">
        <x:v>17426</x:v>
      </x:c>
      <x:c r="H18" s="21" t="n">
        <x:v>3935</x:v>
      </x:c>
      <x:c r="I18" s="17" t="str">
        <x:v>First attempt</x:v>
      </x:c>
    </x:row>
    <x:row r="19" ht="23" customHeight="1">
      <x:c r="A19" s="17" t="str">
        <x:v>U00013</x:v>
      </x:c>
      <x:c r="B19" s="18" t="n">
        <x:v>46290</x:v>
      </x:c>
      <x:c r="C19" s="17" t="str">
        <x:v>W0003</x:v>
      </x:c>
      <x:c r="D19" s="17" t="str">
        <x:v>C001</x:v>
      </x:c>
      <x:c r="E19" s="17" t="str">
        <x:v>CampaignChat</x:v>
      </x:c>
      <x:c r="F19" s="17" t="str">
        <x:v>Lite</x:v>
      </x:c>
      <x:c r="G19" s="21" t="n">
        <x:v>33573</x:v>
      </x:c>
      <x:c r="H19" s="21" t="n">
        <x:v>13463</x:v>
      </x:c>
      <x:c r="I19" s="17" t="str">
        <x:v>Followup</x:v>
      </x:c>
    </x:row>
    <x:row r="20" ht="23" customHeight="1">
      <x:c r="A20" s="17" t="str">
        <x:v>U00014</x:v>
      </x:c>
      <x:c r="B20" s="18" t="n">
        <x:v>46290</x:v>
      </x:c>
      <x:c r="C20" s="17" t="str">
        <x:v>W0003</x:v>
      </x:c>
      <x:c r="D20" s="17" t="str">
        <x:v>C001</x:v>
      </x:c>
      <x:c r="E20" s="17" t="str">
        <x:v>CampaignChat</x:v>
      </x:c>
      <x:c r="F20" s="17" t="str">
        <x:v>Lite</x:v>
      </x:c>
      <x:c r="G20" s="21" t="n">
        <x:v>30541</x:v>
      </x:c>
      <x:c r="H20" s="21" t="n">
        <x:v>12920</x:v>
      </x:c>
      <x:c r="I20" s="17" t="str">
        <x:v>Followup</x:v>
      </x:c>
    </x:row>
    <x:row r="21" ht="23" customHeight="1">
      <x:c r="A21" s="17" t="str">
        <x:v>U00015</x:v>
      </x:c>
      <x:c r="B21" s="18" t="n">
        <x:v>46293</x:v>
      </x:c>
      <x:c r="C21" s="17" t="str">
        <x:v>W0003</x:v>
      </x:c>
      <x:c r="D21" s="17" t="str">
        <x:v>C001</x:v>
      </x:c>
      <x:c r="E21" s="17" t="str">
        <x:v>CampaignChat</x:v>
      </x:c>
      <x:c r="F21" s="17" t="str">
        <x:v>Lite</x:v>
      </x:c>
      <x:c r="G21" s="21" t="n">
        <x:v>36913</x:v>
      </x:c>
      <x:c r="H21" s="21" t="n">
        <x:v>15355</x:v>
      </x:c>
      <x:c r="I21" s="17" t="str">
        <x:v>Followup</x:v>
      </x:c>
    </x:row>
    <x:row r="22" ht="23" customHeight="1">
      <x:c r="A22" s="17" t="str">
        <x:v>U00016</x:v>
      </x:c>
      <x:c r="B22" s="18" t="n">
        <x:v>46293</x:v>
      </x:c>
      <x:c r="C22" s="17" t="str">
        <x:v>W0003</x:v>
      </x:c>
      <x:c r="D22" s="17" t="str">
        <x:v>C001</x:v>
      </x:c>
      <x:c r="E22" s="17" t="str">
        <x:v>CampaignChat</x:v>
      </x:c>
      <x:c r="F22" s="17" t="str">
        <x:v>Lite</x:v>
      </x:c>
      <x:c r="G22" s="21" t="n">
        <x:v>14966</x:v>
      </x:c>
      <x:c r="H22" s="21" t="n">
        <x:v>13213</x:v>
      </x:c>
      <x:c r="I22" s="17" t="str">
        <x:v>Followup</x:v>
      </x:c>
    </x:row>
    <x:row r="23" ht="23" customHeight="1">
      <x:c r="A23" s="17" t="str">
        <x:v>U00017</x:v>
      </x:c>
      <x:c r="B23" s="18" t="n">
        <x:v>46293</x:v>
      </x:c>
      <x:c r="C23" s="17" t="str">
        <x:v>W0003</x:v>
      </x:c>
      <x:c r="D23" s="17" t="str">
        <x:v>C001</x:v>
      </x:c>
      <x:c r="E23" s="17" t="str">
        <x:v>CampaignChat</x:v>
      </x:c>
      <x:c r="F23" s="17" t="str">
        <x:v>Lite</x:v>
      </x:c>
      <x:c r="G23" s="21" t="n">
        <x:v>13942</x:v>
      </x:c>
      <x:c r="H23" s="21" t="n">
        <x:v>13346</x:v>
      </x:c>
      <x:c r="I23" s="17" t="str">
        <x:v>Followup</x:v>
      </x:c>
    </x:row>
    <x:row r="24" ht="23" customHeight="1">
      <x:c r="A24" s="17" t="str">
        <x:v>U00018</x:v>
      </x:c>
      <x:c r="B24" s="18" t="n">
        <x:v>46294</x:v>
      </x:c>
      <x:c r="C24" s="17" t="str">
        <x:v>W0003</x:v>
      </x:c>
      <x:c r="D24" s="17" t="str">
        <x:v>C001</x:v>
      </x:c>
      <x:c r="E24" s="17" t="str">
        <x:v>CampaignChat</x:v>
      </x:c>
      <x:c r="F24" s="17" t="str">
        <x:v>Lite</x:v>
      </x:c>
      <x:c r="G24" s="21" t="n">
        <x:v>15643</x:v>
      </x:c>
      <x:c r="H24" s="21" t="n">
        <x:v>11835</x:v>
      </x:c>
      <x:c r="I24" s="17" t="str">
        <x:v>Correction</x:v>
      </x:c>
    </x:row>
    <x:row r="25" ht="23" customHeight="1">
      <x:c r="A25" s="17" t="str">
        <x:v>U00019</x:v>
      </x:c>
      <x:c r="B25" s="18" t="n">
        <x:v>46294</x:v>
      </x:c>
      <x:c r="C25" s="17" t="str">
        <x:v>W0003</x:v>
      </x:c>
      <x:c r="D25" s="17" t="str">
        <x:v>C001</x:v>
      </x:c>
      <x:c r="E25" s="17" t="str">
        <x:v>CampaignChat</x:v>
      </x:c>
      <x:c r="F25" s="17" t="str">
        <x:v>Lite</x:v>
      </x:c>
      <x:c r="G25" s="21" t="n">
        <x:v>18389</x:v>
      </x:c>
      <x:c r="H25" s="21" t="n">
        <x:v>14429</x:v>
      </x:c>
      <x:c r="I25" s="17" t="str">
        <x:v>Followup</x:v>
      </x:c>
    </x:row>
    <x:row r="26" ht="23" customHeight="1">
      <x:c r="A26" s="17" t="str">
        <x:v>U00020</x:v>
      </x:c>
      <x:c r="B26" s="18" t="n">
        <x:v>46294</x:v>
      </x:c>
      <x:c r="C26" s="17" t="str">
        <x:v>W0003</x:v>
      </x:c>
      <x:c r="D26" s="17" t="str">
        <x:v>C001</x:v>
      </x:c>
      <x:c r="E26" s="17" t="str">
        <x:v>CampaignChat</x:v>
      </x:c>
      <x:c r="F26" s="17" t="str">
        <x:v>Lite</x:v>
      </x:c>
      <x:c r="G26" s="21" t="n">
        <x:v>35454</x:v>
      </x:c>
      <x:c r="H26" s="21" t="n">
        <x:v>6415</x:v>
      </x:c>
      <x:c r="I26" s="17" t="str">
        <x:v>Followup</x:v>
      </x:c>
    </x:row>
    <x:row r="27" ht="23" customHeight="1">
      <x:c r="A27" s="17" t="str">
        <x:v>U00021</x:v>
      </x:c>
      <x:c r="B27" s="18" t="n">
        <x:v>46295</x:v>
      </x:c>
      <x:c r="C27" s="17" t="str">
        <x:v>W0003</x:v>
      </x:c>
      <x:c r="D27" s="17" t="str">
        <x:v>C001</x:v>
      </x:c>
      <x:c r="E27" s="17" t="str">
        <x:v>CampaignChat</x:v>
      </x:c>
      <x:c r="F27" s="17" t="str">
        <x:v>Lite</x:v>
      </x:c>
      <x:c r="G27" s="21" t="n">
        <x:v>28633</x:v>
      </x:c>
      <x:c r="H27" s="21" t="n">
        <x:v>7011</x:v>
      </x:c>
      <x:c r="I27" s="17" t="str">
        <x:v>Correction</x:v>
      </x:c>
    </x:row>
    <x:row r="28" ht="23" customHeight="1">
      <x:c r="A28" s="17" t="str">
        <x:v>U00022</x:v>
      </x:c>
      <x:c r="B28" s="18" t="n">
        <x:v>46295</x:v>
      </x:c>
      <x:c r="C28" s="17" t="str">
        <x:v>W0003</x:v>
      </x:c>
      <x:c r="D28" s="17" t="str">
        <x:v>C001</x:v>
      </x:c>
      <x:c r="E28" s="17" t="str">
        <x:v>CampaignChat</x:v>
      </x:c>
      <x:c r="F28" s="17" t="str">
        <x:v>Lite</x:v>
      </x:c>
      <x:c r="G28" s="21" t="n">
        <x:v>31633</x:v>
      </x:c>
      <x:c r="H28" s="21" t="n">
        <x:v>5430</x:v>
      </x:c>
      <x:c r="I28" s="17" t="str">
        <x:v>Followup</x:v>
      </x:c>
    </x:row>
    <x:row r="29" ht="23" customHeight="1">
      <x:c r="A29" s="17" t="str">
        <x:v>U00023</x:v>
      </x:c>
      <x:c r="B29" s="18" t="n">
        <x:v>46295</x:v>
      </x:c>
      <x:c r="C29" s="17" t="str">
        <x:v>W0003</x:v>
      </x:c>
      <x:c r="D29" s="17" t="str">
        <x:v>C001</x:v>
      </x:c>
      <x:c r="E29" s="17" t="str">
        <x:v>CampaignChat</x:v>
      </x:c>
      <x:c r="F29" s="17" t="str">
        <x:v>Lite</x:v>
      </x:c>
      <x:c r="G29" s="21" t="n">
        <x:v>17408</x:v>
      </x:c>
      <x:c r="H29" s="21" t="n">
        <x:v>10715</x:v>
      </x:c>
      <x:c r="I29" s="17" t="str">
        <x:v>Followup</x:v>
      </x:c>
    </x:row>
    <x:row r="30" ht="23" customHeight="1">
      <x:c r="A30" s="17" t="str">
        <x:v>U00024</x:v>
      </x:c>
      <x:c r="B30" s="18" t="n">
        <x:v>46286</x:v>
      </x:c>
      <x:c r="C30" s="17" t="str">
        <x:v>W0005</x:v>
      </x:c>
      <x:c r="D30" s="17" t="str">
        <x:v>C001</x:v>
      </x:c>
      <x:c r="E30" s="17" t="str">
        <x:v>DataFlow</x:v>
      </x:c>
      <x:c r="F30" s="17" t="str">
        <x:v>Lite</x:v>
      </x:c>
      <x:c r="G30" s="21" t="n">
        <x:v>56138</x:v>
      </x:c>
      <x:c r="H30" s="21" t="n">
        <x:v>4428</x:v>
      </x:c>
      <x:c r="I30" s="17" t="str">
        <x:v>First attempt</x:v>
      </x:c>
    </x:row>
    <x:row r="31" ht="23" customHeight="1">
      <x:c r="A31" s="17" t="str">
        <x:v>U00025</x:v>
      </x:c>
      <x:c r="B31" s="18" t="n">
        <x:v>46286</x:v>
      </x:c>
      <x:c r="C31" s="17" t="str">
        <x:v>W0005</x:v>
      </x:c>
      <x:c r="D31" s="17" t="str">
        <x:v>C001</x:v>
      </x:c>
      <x:c r="E31" s="17" t="str">
        <x:v>DataFlow</x:v>
      </x:c>
      <x:c r="F31" s="17" t="str">
        <x:v>Lite</x:v>
      </x:c>
      <x:c r="G31" s="21" t="n">
        <x:v>55523</x:v>
      </x:c>
      <x:c r="H31" s="21" t="n">
        <x:v>5068</x:v>
      </x:c>
      <x:c r="I31" s="17" t="str">
        <x:v>Followup</x:v>
      </x:c>
    </x:row>
    <x:row r="32" ht="23" customHeight="1">
      <x:c r="A32" s="17" t="str">
        <x:v>U00026</x:v>
      </x:c>
      <x:c r="B32" s="18" t="n">
        <x:v>46286</x:v>
      </x:c>
      <x:c r="C32" s="17" t="str">
        <x:v>W0005</x:v>
      </x:c>
      <x:c r="D32" s="17" t="str">
        <x:v>C001</x:v>
      </x:c>
      <x:c r="E32" s="17" t="str">
        <x:v>DataFlow</x:v>
      </x:c>
      <x:c r="F32" s="17" t="str">
        <x:v>Lite</x:v>
      </x:c>
      <x:c r="G32" s="21" t="n">
        <x:v>59964</x:v>
      </x:c>
      <x:c r="H32" s="21" t="n">
        <x:v>5426</x:v>
      </x:c>
      <x:c r="I32" s="17" t="str">
        <x:v>Followup</x:v>
      </x:c>
    </x:row>
    <x:row r="33" ht="23" customHeight="1">
      <x:c r="A33" s="17" t="str">
        <x:v>U00027</x:v>
      </x:c>
      <x:c r="B33" s="18" t="n">
        <x:v>46286</x:v>
      </x:c>
      <x:c r="C33" s="17" t="str">
        <x:v>W0005</x:v>
      </x:c>
      <x:c r="D33" s="17" t="str">
        <x:v>C001</x:v>
      </x:c>
      <x:c r="E33" s="17" t="str">
        <x:v>DataFlow</x:v>
      </x:c>
      <x:c r="F33" s="17" t="str">
        <x:v>Lite</x:v>
      </x:c>
      <x:c r="G33" s="21" t="n">
        <x:v>53163</x:v>
      </x:c>
      <x:c r="H33" s="21" t="n">
        <x:v>12080</x:v>
      </x:c>
      <x:c r="I33" s="17" t="str">
        <x:v>Followup</x:v>
      </x:c>
    </x:row>
    <x:row r="34" ht="23" customHeight="1">
      <x:c r="A34" s="17" t="str">
        <x:v>U00028</x:v>
      </x:c>
      <x:c r="B34" s="18" t="n">
        <x:v>46287</x:v>
      </x:c>
      <x:c r="C34" s="17" t="str">
        <x:v>W0005</x:v>
      </x:c>
      <x:c r="D34" s="17" t="str">
        <x:v>C001</x:v>
      </x:c>
      <x:c r="E34" s="17" t="str">
        <x:v>DataFlow</x:v>
      </x:c>
      <x:c r="F34" s="17" t="str">
        <x:v>Lite</x:v>
      </x:c>
      <x:c r="G34" s="21" t="n">
        <x:v>30527</x:v>
      </x:c>
      <x:c r="H34" s="21" t="n">
        <x:v>4397</x:v>
      </x:c>
      <x:c r="I34" s="17" t="str">
        <x:v>Followup</x:v>
      </x:c>
    </x:row>
    <x:row r="35" ht="23" customHeight="1">
      <x:c r="A35" s="17" t="str">
        <x:v>U00029</x:v>
      </x:c>
      <x:c r="B35" s="18" t="n">
        <x:v>46287</x:v>
      </x:c>
      <x:c r="C35" s="17" t="str">
        <x:v>W0005</x:v>
      </x:c>
      <x:c r="D35" s="17" t="str">
        <x:v>C001</x:v>
      </x:c>
      <x:c r="E35" s="17" t="str">
        <x:v>DataFlow</x:v>
      </x:c>
      <x:c r="F35" s="17" t="str">
        <x:v>Lite</x:v>
      </x:c>
      <x:c r="G35" s="21" t="n">
        <x:v>34557</x:v>
      </x:c>
      <x:c r="H35" s="21" t="n">
        <x:v>9408</x:v>
      </x:c>
      <x:c r="I35" s="17" t="str">
        <x:v>Followup</x:v>
      </x:c>
    </x:row>
    <x:row r="36" ht="23" customHeight="1">
      <x:c r="A36" s="17" t="str">
        <x:v>U00030</x:v>
      </x:c>
      <x:c r="B36" s="18" t="n">
        <x:v>46287</x:v>
      </x:c>
      <x:c r="C36" s="17" t="str">
        <x:v>W0005</x:v>
      </x:c>
      <x:c r="D36" s="17" t="str">
        <x:v>C001</x:v>
      </x:c>
      <x:c r="E36" s="17" t="str">
        <x:v>DataFlow</x:v>
      </x:c>
      <x:c r="F36" s="17" t="str">
        <x:v>Lite</x:v>
      </x:c>
      <x:c r="G36" s="21" t="n">
        <x:v>51195</x:v>
      </x:c>
      <x:c r="H36" s="21" t="n">
        <x:v>4417</x:v>
      </x:c>
      <x:c r="I36" s="17" t="str">
        <x:v>Followup</x:v>
      </x:c>
    </x:row>
    <x:row r="37" ht="23" customHeight="1">
      <x:c r="A37" s="17" t="str">
        <x:v>U00031</x:v>
      </x:c>
      <x:c r="B37" s="18" t="n">
        <x:v>46287</x:v>
      </x:c>
      <x:c r="C37" s="17" t="str">
        <x:v>W0005</x:v>
      </x:c>
      <x:c r="D37" s="17" t="str">
        <x:v>C001</x:v>
      </x:c>
      <x:c r="E37" s="17" t="str">
        <x:v>DataFlow</x:v>
      </x:c>
      <x:c r="F37" s="17" t="str">
        <x:v>Lite</x:v>
      </x:c>
      <x:c r="G37" s="21" t="n">
        <x:v>59330</x:v>
      </x:c>
      <x:c r="H37" s="21" t="n">
        <x:v>9004</x:v>
      </x:c>
      <x:c r="I37" s="17" t="str">
        <x:v>Followup</x:v>
      </x:c>
    </x:row>
    <x:row r="38" ht="23" customHeight="1">
      <x:c r="A38" s="17" t="str">
        <x:v>U00032</x:v>
      </x:c>
      <x:c r="B38" s="18" t="n">
        <x:v>46288</x:v>
      </x:c>
      <x:c r="C38" s="17" t="str">
        <x:v>W0005</x:v>
      </x:c>
      <x:c r="D38" s="17" t="str">
        <x:v>C001</x:v>
      </x:c>
      <x:c r="E38" s="17" t="str">
        <x:v>DataFlow</x:v>
      </x:c>
      <x:c r="F38" s="17" t="str">
        <x:v>Lite</x:v>
      </x:c>
      <x:c r="G38" s="21" t="n">
        <x:v>26074</x:v>
      </x:c>
      <x:c r="H38" s="21" t="n">
        <x:v>9978</x:v>
      </x:c>
      <x:c r="I38" s="17" t="str">
        <x:v>Followup</x:v>
      </x:c>
    </x:row>
    <x:row r="39" ht="23" customHeight="1">
      <x:c r="A39" s="17" t="str">
        <x:v>U00033</x:v>
      </x:c>
      <x:c r="B39" s="18" t="n">
        <x:v>46288</x:v>
      </x:c>
      <x:c r="C39" s="17" t="str">
        <x:v>W0005</x:v>
      </x:c>
      <x:c r="D39" s="17" t="str">
        <x:v>C001</x:v>
      </x:c>
      <x:c r="E39" s="17" t="str">
        <x:v>DataFlow</x:v>
      </x:c>
      <x:c r="F39" s="17" t="str">
        <x:v>Lite</x:v>
      </x:c>
      <x:c r="G39" s="21" t="n">
        <x:v>61710</x:v>
      </x:c>
      <x:c r="H39" s="21" t="n">
        <x:v>9721</x:v>
      </x:c>
      <x:c r="I39" s="17" t="str">
        <x:v>Followup</x:v>
      </x:c>
    </x:row>
    <x:row r="40" ht="23" customHeight="1">
      <x:c r="A40" s="17" t="str">
        <x:v>U00034</x:v>
      </x:c>
      <x:c r="B40" s="18" t="n">
        <x:v>46288</x:v>
      </x:c>
      <x:c r="C40" s="17" t="str">
        <x:v>W0005</x:v>
      </x:c>
      <x:c r="D40" s="17" t="str">
        <x:v>C001</x:v>
      </x:c>
      <x:c r="E40" s="17" t="str">
        <x:v>DataFlow</x:v>
      </x:c>
      <x:c r="F40" s="17" t="str">
        <x:v>Lite</x:v>
      </x:c>
      <x:c r="G40" s="21" t="n">
        <x:v>52040</x:v>
      </x:c>
      <x:c r="H40" s="21" t="n">
        <x:v>7246</x:v>
      </x:c>
      <x:c r="I40" s="17" t="str">
        <x:v>Followup</x:v>
      </x:c>
    </x:row>
    <x:row r="41" ht="23" customHeight="1">
      <x:c r="A41" s="17" t="str">
        <x:v>U00035</x:v>
      </x:c>
      <x:c r="B41" s="18" t="n">
        <x:v>46288</x:v>
      </x:c>
      <x:c r="C41" s="17" t="str">
        <x:v>W0005</x:v>
      </x:c>
      <x:c r="D41" s="17" t="str">
        <x:v>C001</x:v>
      </x:c>
      <x:c r="E41" s="17" t="str">
        <x:v>DataFlow</x:v>
      </x:c>
      <x:c r="F41" s="17" t="str">
        <x:v>Lite</x:v>
      </x:c>
      <x:c r="G41" s="21" t="n">
        <x:v>23145</x:v>
      </x:c>
      <x:c r="H41" s="21" t="n">
        <x:v>6609</x:v>
      </x:c>
      <x:c r="I41" s="17" t="str">
        <x:v>Correction</x:v>
      </x:c>
    </x:row>
    <x:row r="42" ht="23" customHeight="1">
      <x:c r="A42" s="17" t="str">
        <x:v>U00036</x:v>
      </x:c>
      <x:c r="B42" s="18" t="n">
        <x:v>46289</x:v>
      </x:c>
      <x:c r="C42" s="17" t="str">
        <x:v>W0005</x:v>
      </x:c>
      <x:c r="D42" s="17" t="str">
        <x:v>C001</x:v>
      </x:c>
      <x:c r="E42" s="17" t="str">
        <x:v>DataFlow</x:v>
      </x:c>
      <x:c r="F42" s="17" t="str">
        <x:v>Lite</x:v>
      </x:c>
      <x:c r="G42" s="21" t="n">
        <x:v>53754</x:v>
      </x:c>
      <x:c r="H42" s="21" t="n">
        <x:v>3776</x:v>
      </x:c>
      <x:c r="I42" s="17" t="str">
        <x:v>Correction</x:v>
      </x:c>
    </x:row>
    <x:row r="43" ht="23" customHeight="1">
      <x:c r="A43" s="17" t="str">
        <x:v>U00037</x:v>
      </x:c>
      <x:c r="B43" s="18" t="n">
        <x:v>46289</x:v>
      </x:c>
      <x:c r="C43" s="17" t="str">
        <x:v>W0005</x:v>
      </x:c>
      <x:c r="D43" s="17" t="str">
        <x:v>C001</x:v>
      </x:c>
      <x:c r="E43" s="17" t="str">
        <x:v>DataFlow</x:v>
      </x:c>
      <x:c r="F43" s="17" t="str">
        <x:v>Lite</x:v>
      </x:c>
      <x:c r="G43" s="21" t="n">
        <x:v>59891</x:v>
      </x:c>
      <x:c r="H43" s="21" t="n">
        <x:v>7779</x:v>
      </x:c>
      <x:c r="I43" s="17" t="str">
        <x:v>Followup</x:v>
      </x:c>
    </x:row>
    <x:row r="44" ht="23" customHeight="1">
      <x:c r="A44" s="17" t="str">
        <x:v>U00038</x:v>
      </x:c>
      <x:c r="B44" s="18" t="n">
        <x:v>46289</x:v>
      </x:c>
      <x:c r="C44" s="17" t="str">
        <x:v>W0005</x:v>
      </x:c>
      <x:c r="D44" s="17" t="str">
        <x:v>C001</x:v>
      </x:c>
      <x:c r="E44" s="17" t="str">
        <x:v>DataFlow</x:v>
      </x:c>
      <x:c r="F44" s="17" t="str">
        <x:v>Lite</x:v>
      </x:c>
      <x:c r="G44" s="21" t="n">
        <x:v>62803</x:v>
      </x:c>
      <x:c r="H44" s="21" t="n">
        <x:v>6979</x:v>
      </x:c>
      <x:c r="I44" s="17" t="str">
        <x:v>Followup</x:v>
      </x:c>
    </x:row>
    <x:row r="45" ht="23" customHeight="1">
      <x:c r="A45" s="17" t="str">
        <x:v>U00039</x:v>
      </x:c>
      <x:c r="B45" s="18" t="n">
        <x:v>46289</x:v>
      </x:c>
      <x:c r="C45" s="17" t="str">
        <x:v>W0005</x:v>
      </x:c>
      <x:c r="D45" s="17" t="str">
        <x:v>C001</x:v>
      </x:c>
      <x:c r="E45" s="17" t="str">
        <x:v>DataFlow</x:v>
      </x:c>
      <x:c r="F45" s="17" t="str">
        <x:v>Lite</x:v>
      </x:c>
      <x:c r="G45" s="21" t="n">
        <x:v>32267</x:v>
      </x:c>
      <x:c r="H45" s="21" t="n">
        <x:v>4797</x:v>
      </x:c>
      <x:c r="I45" s="17" t="str">
        <x:v>Followup</x:v>
      </x:c>
    </x:row>
    <x:row r="46" ht="23" customHeight="1">
      <x:c r="A46" s="17" t="str">
        <x:v>U00040</x:v>
      </x:c>
      <x:c r="B46" s="18" t="n">
        <x:v>46268</x:v>
      </x:c>
      <x:c r="C46" s="17" t="str">
        <x:v>W0006</x:v>
      </x:c>
      <x:c r="D46" s="17" t="str">
        <x:v>C001</x:v>
      </x:c>
      <x:c r="E46" s="17" t="str">
        <x:v>DataFlow</x:v>
      </x:c>
      <x:c r="F46" s="17" t="str">
        <x:v>Lite</x:v>
      </x:c>
      <x:c r="G46" s="21" t="n">
        <x:v>38976</x:v>
      </x:c>
      <x:c r="H46" s="21" t="n">
        <x:v>10824</x:v>
      </x:c>
      <x:c r="I46" s="17" t="str">
        <x:v>First attempt</x:v>
      </x:c>
    </x:row>
    <x:row r="47" ht="23" customHeight="1">
      <x:c r="A47" s="17" t="str">
        <x:v>U00041</x:v>
      </x:c>
      <x:c r="B47" s="18" t="n">
        <x:v>46268</x:v>
      </x:c>
      <x:c r="C47" s="17" t="str">
        <x:v>W0006</x:v>
      </x:c>
      <x:c r="D47" s="17" t="str">
        <x:v>C001</x:v>
      </x:c>
      <x:c r="E47" s="17" t="str">
        <x:v>DataFlow</x:v>
      </x:c>
      <x:c r="F47" s="17" t="str">
        <x:v>Lite</x:v>
      </x:c>
      <x:c r="G47" s="21" t="n">
        <x:v>65005</x:v>
      </x:c>
      <x:c r="H47" s="21" t="n">
        <x:v>11965</x:v>
      </x:c>
      <x:c r="I47" s="17" t="str">
        <x:v>Followup</x:v>
      </x:c>
    </x:row>
    <x:row r="48" ht="23" customHeight="1">
      <x:c r="A48" s="17" t="str">
        <x:v>U00042</x:v>
      </x:c>
      <x:c r="B48" s="18" t="n">
        <x:v>46268</x:v>
      </x:c>
      <x:c r="C48" s="17" t="str">
        <x:v>W0006</x:v>
      </x:c>
      <x:c r="D48" s="17" t="str">
        <x:v>C001</x:v>
      </x:c>
      <x:c r="E48" s="17" t="str">
        <x:v>DataFlow</x:v>
      </x:c>
      <x:c r="F48" s="17" t="str">
        <x:v>Lite</x:v>
      </x:c>
      <x:c r="G48" s="21" t="n">
        <x:v>32809</x:v>
      </x:c>
      <x:c r="H48" s="21" t="n">
        <x:v>7448</x:v>
      </x:c>
      <x:c r="I48" s="17" t="str">
        <x:v>Correction</x:v>
      </x:c>
    </x:row>
    <x:row r="49" ht="23" customHeight="1">
      <x:c r="A49" s="17" t="str">
        <x:v>U00043</x:v>
      </x:c>
      <x:c r="B49" s="18" t="n">
        <x:v>46269</x:v>
      </x:c>
      <x:c r="C49" s="17" t="str">
        <x:v>W0006</x:v>
      </x:c>
      <x:c r="D49" s="17" t="str">
        <x:v>C001</x:v>
      </x:c>
      <x:c r="E49" s="17" t="str">
        <x:v>DataFlow</x:v>
      </x:c>
      <x:c r="F49" s="17" t="str">
        <x:v>Lite</x:v>
      </x:c>
      <x:c r="G49" s="21" t="n">
        <x:v>58330</x:v>
      </x:c>
      <x:c r="H49" s="21" t="n">
        <x:v>11718</x:v>
      </x:c>
      <x:c r="I49" s="17" t="str">
        <x:v>Followup</x:v>
      </x:c>
    </x:row>
    <x:row r="50" ht="23" customHeight="1">
      <x:c r="A50" s="17" t="str">
        <x:v>U00044</x:v>
      </x:c>
      <x:c r="B50" s="18" t="n">
        <x:v>46269</x:v>
      </x:c>
      <x:c r="C50" s="17" t="str">
        <x:v>W0006</x:v>
      </x:c>
      <x:c r="D50" s="17" t="str">
        <x:v>C001</x:v>
      </x:c>
      <x:c r="E50" s="17" t="str">
        <x:v>DataFlow</x:v>
      </x:c>
      <x:c r="F50" s="17" t="str">
        <x:v>Lite</x:v>
      </x:c>
      <x:c r="G50" s="21" t="n">
        <x:v>38499</x:v>
      </x:c>
      <x:c r="H50" s="21" t="n">
        <x:v>7601</x:v>
      </x:c>
      <x:c r="I50" s="17" t="str">
        <x:v>Followup</x:v>
      </x:c>
    </x:row>
    <x:row r="51" ht="23" customHeight="1">
      <x:c r="A51" s="17" t="str">
        <x:v>U00045</x:v>
      </x:c>
      <x:c r="B51" s="18" t="n">
        <x:v>46273</x:v>
      </x:c>
      <x:c r="C51" s="17" t="str">
        <x:v>W0006</x:v>
      </x:c>
      <x:c r="D51" s="17" t="str">
        <x:v>C001</x:v>
      </x:c>
      <x:c r="E51" s="17" t="str">
        <x:v>DataFlow</x:v>
      </x:c>
      <x:c r="F51" s="17" t="str">
        <x:v>Lite</x:v>
      </x:c>
      <x:c r="G51" s="21" t="n">
        <x:v>71595</x:v>
      </x:c>
      <x:c r="H51" s="21" t="n">
        <x:v>14554</x:v>
      </x:c>
      <x:c r="I51" s="17" t="str">
        <x:v>Followup</x:v>
      </x:c>
    </x:row>
    <x:row r="52" ht="23" customHeight="1">
      <x:c r="A52" s="17" t="str">
        <x:v>U00046</x:v>
      </x:c>
      <x:c r="B52" s="18" t="n">
        <x:v>46273</x:v>
      </x:c>
      <x:c r="C52" s="17" t="str">
        <x:v>W0006</x:v>
      </x:c>
      <x:c r="D52" s="17" t="str">
        <x:v>C001</x:v>
      </x:c>
      <x:c r="E52" s="17" t="str">
        <x:v>DataFlow</x:v>
      </x:c>
      <x:c r="F52" s="17" t="str">
        <x:v>Lite</x:v>
      </x:c>
      <x:c r="G52" s="21" t="n">
        <x:v>63162</x:v>
      </x:c>
      <x:c r="H52" s="21" t="n">
        <x:v>15392</x:v>
      </x:c>
      <x:c r="I52" s="17" t="str">
        <x:v>Followup</x:v>
      </x:c>
    </x:row>
    <x:row r="53" ht="23" customHeight="1">
      <x:c r="A53" s="17" t="str">
        <x:v>U00047</x:v>
      </x:c>
      <x:c r="B53" s="18" t="n">
        <x:v>46273</x:v>
      </x:c>
      <x:c r="C53" s="17" t="str">
        <x:v>W0006</x:v>
      </x:c>
      <x:c r="D53" s="17" t="str">
        <x:v>C001</x:v>
      </x:c>
      <x:c r="E53" s="17" t="str">
        <x:v>DataFlow</x:v>
      </x:c>
      <x:c r="F53" s="17" t="str">
        <x:v>Lite</x:v>
      </x:c>
      <x:c r="G53" s="21" t="n">
        <x:v>76202</x:v>
      </x:c>
      <x:c r="H53" s="21" t="n">
        <x:v>12538</x:v>
      </x:c>
      <x:c r="I53" s="17" t="str">
        <x:v>Followup</x:v>
      </x:c>
    </x:row>
    <x:row r="54" ht="23" customHeight="1">
      <x:c r="A54" s="17" t="str">
        <x:v>U00048</x:v>
      </x:c>
      <x:c r="B54" s="18" t="n">
        <x:v>46274</x:v>
      </x:c>
      <x:c r="C54" s="17" t="str">
        <x:v>W0006</x:v>
      </x:c>
      <x:c r="D54" s="17" t="str">
        <x:v>C001</x:v>
      </x:c>
      <x:c r="E54" s="17" t="str">
        <x:v>DataFlow</x:v>
      </x:c>
      <x:c r="F54" s="17" t="str">
        <x:v>Lite</x:v>
      </x:c>
      <x:c r="G54" s="21" t="n">
        <x:v>32717</x:v>
      </x:c>
      <x:c r="H54" s="21" t="n">
        <x:v>13816</x:v>
      </x:c>
      <x:c r="I54" s="17" t="str">
        <x:v>Followup</x:v>
      </x:c>
    </x:row>
    <x:row r="55" ht="23" customHeight="1">
      <x:c r="A55" s="17" t="str">
        <x:v>U00049</x:v>
      </x:c>
      <x:c r="B55" s="18" t="n">
        <x:v>46274</x:v>
      </x:c>
      <x:c r="C55" s="17" t="str">
        <x:v>W0006</x:v>
      </x:c>
      <x:c r="D55" s="17" t="str">
        <x:v>C001</x:v>
      </x:c>
      <x:c r="E55" s="17" t="str">
        <x:v>DataFlow</x:v>
      </x:c>
      <x:c r="F55" s="17" t="str">
        <x:v>Lite</x:v>
      </x:c>
      <x:c r="G55" s="21" t="n">
        <x:v>83794</x:v>
      </x:c>
      <x:c r="H55" s="21" t="n">
        <x:v>8710</x:v>
      </x:c>
      <x:c r="I55" s="17" t="str">
        <x:v>Followup</x:v>
      </x:c>
    </x:row>
    <x:row r="56" ht="23" customHeight="1">
      <x:c r="A56" s="17" t="str">
        <x:v>U00050</x:v>
      </x:c>
      <x:c r="B56" s="18" t="n">
        <x:v>46280</x:v>
      </x:c>
      <x:c r="C56" s="17" t="str">
        <x:v>W0007</x:v>
      </x:c>
      <x:c r="D56" s="17" t="str">
        <x:v>C001</x:v>
      </x:c>
      <x:c r="E56" s="17" t="str">
        <x:v>InsightDesk</x:v>
      </x:c>
      <x:c r="F56" s="17" t="str">
        <x:v>Lite</x:v>
      </x:c>
      <x:c r="G56" s="21" t="n">
        <x:v>32024</x:v>
      </x:c>
      <x:c r="H56" s="21" t="n">
        <x:v>12703</x:v>
      </x:c>
      <x:c r="I56" s="17" t="str">
        <x:v>First attempt</x:v>
      </x:c>
    </x:row>
    <x:row r="57" ht="23" customHeight="1">
      <x:c r="A57" s="17" t="str">
        <x:v>U00051</x:v>
      </x:c>
      <x:c r="B57" s="18" t="n">
        <x:v>46280</x:v>
      </x:c>
      <x:c r="C57" s="17" t="str">
        <x:v>W0007</x:v>
      </x:c>
      <x:c r="D57" s="17" t="str">
        <x:v>C001</x:v>
      </x:c>
      <x:c r="E57" s="17" t="str">
        <x:v>InsightDesk</x:v>
      </x:c>
      <x:c r="F57" s="17" t="str">
        <x:v>Lite</x:v>
      </x:c>
      <x:c r="G57" s="21" t="n">
        <x:v>39004</x:v>
      </x:c>
      <x:c r="H57" s="21" t="n">
        <x:v>9609</x:v>
      </x:c>
      <x:c r="I57" s="17" t="str">
        <x:v>Followup</x:v>
      </x:c>
    </x:row>
    <x:row r="58" ht="23" customHeight="1">
      <x:c r="A58" s="17" t="str">
        <x:v>U00052</x:v>
      </x:c>
      <x:c r="B58" s="18" t="n">
        <x:v>46280</x:v>
      </x:c>
      <x:c r="C58" s="17" t="str">
        <x:v>W0007</x:v>
      </x:c>
      <x:c r="D58" s="17" t="str">
        <x:v>C001</x:v>
      </x:c>
      <x:c r="E58" s="17" t="str">
        <x:v>InsightDesk</x:v>
      </x:c>
      <x:c r="F58" s="17" t="str">
        <x:v>Lite</x:v>
      </x:c>
      <x:c r="G58" s="21" t="n">
        <x:v>55592</x:v>
      </x:c>
      <x:c r="H58" s="21" t="n">
        <x:v>10834</x:v>
      </x:c>
      <x:c r="I58" s="17" t="str">
        <x:v>Correction</x:v>
      </x:c>
    </x:row>
    <x:row r="59" ht="23" customHeight="1">
      <x:c r="A59" s="17" t="str">
        <x:v>U00053</x:v>
      </x:c>
      <x:c r="B59" s="18" t="n">
        <x:v>46280</x:v>
      </x:c>
      <x:c r="C59" s="17" t="str">
        <x:v>W0007</x:v>
      </x:c>
      <x:c r="D59" s="17" t="str">
        <x:v>C001</x:v>
      </x:c>
      <x:c r="E59" s="17" t="str">
        <x:v>InsightDesk</x:v>
      </x:c>
      <x:c r="F59" s="17" t="str">
        <x:v>Lite</x:v>
      </x:c>
      <x:c r="G59" s="21" t="n">
        <x:v>41963</x:v>
      </x:c>
      <x:c r="H59" s="21" t="n">
        <x:v>15202</x:v>
      </x:c>
      <x:c r="I59" s="17" t="str">
        <x:v>Followup</x:v>
      </x:c>
    </x:row>
    <x:row r="60" ht="23" customHeight="1">
      <x:c r="A60" s="17" t="str">
        <x:v>U00054</x:v>
      </x:c>
      <x:c r="B60" s="18" t="n">
        <x:v>46281</x:v>
      </x:c>
      <x:c r="C60" s="17" t="str">
        <x:v>W0007</x:v>
      </x:c>
      <x:c r="D60" s="17" t="str">
        <x:v>C001</x:v>
      </x:c>
      <x:c r="E60" s="17" t="str">
        <x:v>InsightDesk</x:v>
      </x:c>
      <x:c r="F60" s="17" t="str">
        <x:v>Lite</x:v>
      </x:c>
      <x:c r="G60" s="21" t="n">
        <x:v>58817</x:v>
      </x:c>
      <x:c r="H60" s="21" t="n">
        <x:v>8907</x:v>
      </x:c>
      <x:c r="I60" s="17" t="str">
        <x:v>Followup</x:v>
      </x:c>
    </x:row>
    <x:row r="61" ht="23" customHeight="1">
      <x:c r="A61" s="17" t="str">
        <x:v>U00055</x:v>
      </x:c>
      <x:c r="B61" s="18" t="n">
        <x:v>46281</x:v>
      </x:c>
      <x:c r="C61" s="17" t="str">
        <x:v>W0007</x:v>
      </x:c>
      <x:c r="D61" s="17" t="str">
        <x:v>C001</x:v>
      </x:c>
      <x:c r="E61" s="17" t="str">
        <x:v>InsightDesk</x:v>
      </x:c>
      <x:c r="F61" s="17" t="str">
        <x:v>Lite</x:v>
      </x:c>
      <x:c r="G61" s="21" t="n">
        <x:v>42517</x:v>
      </x:c>
      <x:c r="H61" s="21" t="n">
        <x:v>7146</x:v>
      </x:c>
      <x:c r="I61" s="17" t="str">
        <x:v>Followup</x:v>
      </x:c>
    </x:row>
    <x:row r="62" ht="23" customHeight="1">
      <x:c r="A62" s="17" t="str">
        <x:v>U00056</x:v>
      </x:c>
      <x:c r="B62" s="18" t="n">
        <x:v>46281</x:v>
      </x:c>
      <x:c r="C62" s="17" t="str">
        <x:v>W0007</x:v>
      </x:c>
      <x:c r="D62" s="17" t="str">
        <x:v>C001</x:v>
      </x:c>
      <x:c r="E62" s="17" t="str">
        <x:v>InsightDesk</x:v>
      </x:c>
      <x:c r="F62" s="17" t="str">
        <x:v>Lite</x:v>
      </x:c>
      <x:c r="G62" s="21" t="n">
        <x:v>29552</x:v>
      </x:c>
      <x:c r="H62" s="21" t="n">
        <x:v>4294</x:v>
      </x:c>
      <x:c r="I62" s="17" t="str">
        <x:v>Followup</x:v>
      </x:c>
    </x:row>
    <x:row r="63" ht="23" customHeight="1">
      <x:c r="A63" s="17" t="str">
        <x:v>U00057</x:v>
      </x:c>
      <x:c r="B63" s="18" t="n">
        <x:v>46281</x:v>
      </x:c>
      <x:c r="C63" s="17" t="str">
        <x:v>W0007</x:v>
      </x:c>
      <x:c r="D63" s="17" t="str">
        <x:v>C001</x:v>
      </x:c>
      <x:c r="E63" s="17" t="str">
        <x:v>InsightDesk</x:v>
      </x:c>
      <x:c r="F63" s="17" t="str">
        <x:v>Lite</x:v>
      </x:c>
      <x:c r="G63" s="21" t="n">
        <x:v>44618</x:v>
      </x:c>
      <x:c r="H63" s="21" t="n">
        <x:v>10866</x:v>
      </x:c>
      <x:c r="I63" s="17" t="str">
        <x:v>Correction</x:v>
      </x:c>
    </x:row>
    <x:row r="64" ht="23" customHeight="1">
      <x:c r="A64" s="17" t="str">
        <x:v>U00058</x:v>
      </x:c>
      <x:c r="B64" s="18" t="n">
        <x:v>46282</x:v>
      </x:c>
      <x:c r="C64" s="17" t="str">
        <x:v>W0007</x:v>
      </x:c>
      <x:c r="D64" s="17" t="str">
        <x:v>C001</x:v>
      </x:c>
      <x:c r="E64" s="17" t="str">
        <x:v>InsightDesk</x:v>
      </x:c>
      <x:c r="F64" s="17" t="str">
        <x:v>Lite</x:v>
      </x:c>
      <x:c r="G64" s="21" t="n">
        <x:v>54204</x:v>
      </x:c>
      <x:c r="H64" s="21" t="n">
        <x:v>13678</x:v>
      </x:c>
      <x:c r="I64" s="17" t="str">
        <x:v>Followup</x:v>
      </x:c>
    </x:row>
    <x:row r="65" ht="23" customHeight="1">
      <x:c r="A65" s="17" t="str">
        <x:v>U00059</x:v>
      </x:c>
      <x:c r="B65" s="18" t="n">
        <x:v>46282</x:v>
      </x:c>
      <x:c r="C65" s="17" t="str">
        <x:v>W0007</x:v>
      </x:c>
      <x:c r="D65" s="17" t="str">
        <x:v>C001</x:v>
      </x:c>
      <x:c r="E65" s="17" t="str">
        <x:v>InsightDesk</x:v>
      </x:c>
      <x:c r="F65" s="17" t="str">
        <x:v>Lite</x:v>
      </x:c>
      <x:c r="G65" s="21" t="n">
        <x:v>49950</x:v>
      </x:c>
      <x:c r="H65" s="21" t="n">
        <x:v>5627</x:v>
      </x:c>
      <x:c r="I65" s="17" t="str">
        <x:v>Followup</x:v>
      </x:c>
    </x:row>
    <x:row r="66" ht="23" customHeight="1">
      <x:c r="A66" s="17" t="str">
        <x:v>U00060</x:v>
      </x:c>
      <x:c r="B66" s="18" t="n">
        <x:v>46282</x:v>
      </x:c>
      <x:c r="C66" s="17" t="str">
        <x:v>W0007</x:v>
      </x:c>
      <x:c r="D66" s="17" t="str">
        <x:v>C001</x:v>
      </x:c>
      <x:c r="E66" s="17" t="str">
        <x:v>InsightDesk</x:v>
      </x:c>
      <x:c r="F66" s="17" t="str">
        <x:v>Lite</x:v>
      </x:c>
      <x:c r="G66" s="21" t="n">
        <x:v>49951</x:v>
      </x:c>
      <x:c r="H66" s="21" t="n">
        <x:v>10118</x:v>
      </x:c>
      <x:c r="I66" s="17" t="str">
        <x:v>Followup</x:v>
      </x:c>
    </x:row>
    <x:row r="67" ht="23" customHeight="1">
      <x:c r="A67" s="17" t="str">
        <x:v>U00061</x:v>
      </x:c>
      <x:c r="B67" s="18" t="n">
        <x:v>46282</x:v>
      </x:c>
      <x:c r="C67" s="17" t="str">
        <x:v>W0007</x:v>
      </x:c>
      <x:c r="D67" s="17" t="str">
        <x:v>C001</x:v>
      </x:c>
      <x:c r="E67" s="17" t="str">
        <x:v>InsightDesk</x:v>
      </x:c>
      <x:c r="F67" s="17" t="str">
        <x:v>Lite</x:v>
      </x:c>
      <x:c r="G67" s="21" t="n">
        <x:v>45105</x:v>
      </x:c>
      <x:c r="H67" s="21" t="n">
        <x:v>9644</x:v>
      </x:c>
      <x:c r="I67" s="17" t="str">
        <x:v>Followup</x:v>
      </x:c>
    </x:row>
    <x:row r="68" ht="23" customHeight="1">
      <x:c r="A68" s="17" t="str">
        <x:v>U00062</x:v>
      </x:c>
      <x:c r="B68" s="18" t="n">
        <x:v>46283</x:v>
      </x:c>
      <x:c r="C68" s="17" t="str">
        <x:v>W0007</x:v>
      </x:c>
      <x:c r="D68" s="17" t="str">
        <x:v>C001</x:v>
      </x:c>
      <x:c r="E68" s="17" t="str">
        <x:v>InsightDesk</x:v>
      </x:c>
      <x:c r="F68" s="17" t="str">
        <x:v>Lite</x:v>
      </x:c>
      <x:c r="G68" s="21" t="n">
        <x:v>26184</x:v>
      </x:c>
      <x:c r="H68" s="21" t="n">
        <x:v>8219</x:v>
      </x:c>
      <x:c r="I68" s="17" t="str">
        <x:v>Followup</x:v>
      </x:c>
    </x:row>
    <x:row r="69" ht="23" customHeight="1">
      <x:c r="A69" s="17" t="str">
        <x:v>U00063</x:v>
      </x:c>
      <x:c r="B69" s="18" t="n">
        <x:v>46283</x:v>
      </x:c>
      <x:c r="C69" s="17" t="str">
        <x:v>W0007</x:v>
      </x:c>
      <x:c r="D69" s="17" t="str">
        <x:v>C001</x:v>
      </x:c>
      <x:c r="E69" s="17" t="str">
        <x:v>InsightDesk</x:v>
      </x:c>
      <x:c r="F69" s="17" t="str">
        <x:v>Lite</x:v>
      </x:c>
      <x:c r="G69" s="21" t="n">
        <x:v>56760</x:v>
      </x:c>
      <x:c r="H69" s="21" t="n">
        <x:v>15969</x:v>
      </x:c>
      <x:c r="I69" s="17" t="str">
        <x:v>Followup</x:v>
      </x:c>
    </x:row>
    <x:row r="70" ht="23" customHeight="1">
      <x:c r="A70" s="17" t="str">
        <x:v>U00064</x:v>
      </x:c>
      <x:c r="B70" s="18" t="n">
        <x:v>46283</x:v>
      </x:c>
      <x:c r="C70" s="17" t="str">
        <x:v>W0007</x:v>
      </x:c>
      <x:c r="D70" s="17" t="str">
        <x:v>C001</x:v>
      </x:c>
      <x:c r="E70" s="17" t="str">
        <x:v>InsightDesk</x:v>
      </x:c>
      <x:c r="F70" s="17" t="str">
        <x:v>Lite</x:v>
      </x:c>
      <x:c r="G70" s="21" t="n">
        <x:v>44942</x:v>
      </x:c>
      <x:c r="H70" s="21" t="n">
        <x:v>13626</x:v>
      </x:c>
      <x:c r="I70" s="17" t="str">
        <x:v>Followup</x:v>
      </x:c>
    </x:row>
    <x:row r="71" ht="23" customHeight="1">
      <x:c r="A71" s="17" t="str">
        <x:v>U00065</x:v>
      </x:c>
      <x:c r="B71" s="18" t="n">
        <x:v>46289</x:v>
      </x:c>
      <x:c r="C71" s="17" t="str">
        <x:v>W0008</x:v>
      </x:c>
      <x:c r="D71" s="17" t="str">
        <x:v>C001</x:v>
      </x:c>
      <x:c r="E71" s="17" t="str">
        <x:v>InsightDesk</x:v>
      </x:c>
      <x:c r="F71" s="17" t="str">
        <x:v>Lite</x:v>
      </x:c>
      <x:c r="G71" s="21" t="n">
        <x:v>25707</x:v>
      </x:c>
      <x:c r="H71" s="21" t="n">
        <x:v>12215</x:v>
      </x:c>
      <x:c r="I71" s="17" t="str">
        <x:v>First attempt</x:v>
      </x:c>
    </x:row>
    <x:row r="72" ht="23" customHeight="1">
      <x:c r="A72" s="17" t="str">
        <x:v>U00066</x:v>
      </x:c>
      <x:c r="B72" s="18" t="n">
        <x:v>46289</x:v>
      </x:c>
      <x:c r="C72" s="17" t="str">
        <x:v>W0008</x:v>
      </x:c>
      <x:c r="D72" s="17" t="str">
        <x:v>C001</x:v>
      </x:c>
      <x:c r="E72" s="17" t="str">
        <x:v>InsightDesk</x:v>
      </x:c>
      <x:c r="F72" s="17" t="str">
        <x:v>Lite</x:v>
      </x:c>
      <x:c r="G72" s="21" t="n">
        <x:v>59321</x:v>
      </x:c>
      <x:c r="H72" s="21" t="n">
        <x:v>6583</x:v>
      </x:c>
      <x:c r="I72" s="17" t="str">
        <x:v>Followup</x:v>
      </x:c>
    </x:row>
    <x:row r="73" ht="23" customHeight="1">
      <x:c r="A73" s="17" t="str">
        <x:v>U00067</x:v>
      </x:c>
      <x:c r="B73" s="18" t="n">
        <x:v>46289</x:v>
      </x:c>
      <x:c r="C73" s="17" t="str">
        <x:v>W0008</x:v>
      </x:c>
      <x:c r="D73" s="17" t="str">
        <x:v>C001</x:v>
      </x:c>
      <x:c r="E73" s="17" t="str">
        <x:v>InsightDesk</x:v>
      </x:c>
      <x:c r="F73" s="17" t="str">
        <x:v>Lite</x:v>
      </x:c>
      <x:c r="G73" s="21" t="n">
        <x:v>53135</x:v>
      </x:c>
      <x:c r="H73" s="21" t="n">
        <x:v>9017</x:v>
      </x:c>
      <x:c r="I73" s="17" t="str">
        <x:v>Followup</x:v>
      </x:c>
    </x:row>
    <x:row r="74" ht="23" customHeight="1">
      <x:c r="A74" s="17" t="str">
        <x:v>U00068</x:v>
      </x:c>
      <x:c r="B74" s="18" t="n">
        <x:v>46290</x:v>
      </x:c>
      <x:c r="C74" s="17" t="str">
        <x:v>W0008</x:v>
      </x:c>
      <x:c r="D74" s="17" t="str">
        <x:v>C001</x:v>
      </x:c>
      <x:c r="E74" s="17" t="str">
        <x:v>InsightDesk</x:v>
      </x:c>
      <x:c r="F74" s="17" t="str">
        <x:v>Lite</x:v>
      </x:c>
      <x:c r="G74" s="21" t="n">
        <x:v>56189</x:v>
      </x:c>
      <x:c r="H74" s="21" t="n">
        <x:v>10317</x:v>
      </x:c>
      <x:c r="I74" s="17" t="str">
        <x:v>Correction</x:v>
      </x:c>
    </x:row>
    <x:row r="75" ht="23" customHeight="1">
      <x:c r="A75" s="17" t="str">
        <x:v>U00069</x:v>
      </x:c>
      <x:c r="B75" s="18" t="n">
        <x:v>46290</x:v>
      </x:c>
      <x:c r="C75" s="17" t="str">
        <x:v>W0008</x:v>
      </x:c>
      <x:c r="D75" s="17" t="str">
        <x:v>C001</x:v>
      </x:c>
      <x:c r="E75" s="17" t="str">
        <x:v>InsightDesk</x:v>
      </x:c>
      <x:c r="F75" s="17" t="str">
        <x:v>Lite</x:v>
      </x:c>
      <x:c r="G75" s="21" t="n">
        <x:v>41636</x:v>
      </x:c>
      <x:c r="H75" s="21" t="n">
        <x:v>12195</x:v>
      </x:c>
      <x:c r="I75" s="17" t="str">
        <x:v>Followup</x:v>
      </x:c>
    </x:row>
    <x:row r="76" ht="23" customHeight="1">
      <x:c r="A76" s="17" t="str">
        <x:v>U00070</x:v>
      </x:c>
      <x:c r="B76" s="18" t="n">
        <x:v>46293</x:v>
      </x:c>
      <x:c r="C76" s="17" t="str">
        <x:v>W0008</x:v>
      </x:c>
      <x:c r="D76" s="17" t="str">
        <x:v>C001</x:v>
      </x:c>
      <x:c r="E76" s="17" t="str">
        <x:v>InsightDesk</x:v>
      </x:c>
      <x:c r="F76" s="17" t="str">
        <x:v>Lite</x:v>
      </x:c>
      <x:c r="G76" s="21" t="n">
        <x:v>67636</x:v>
      </x:c>
      <x:c r="H76" s="21" t="n">
        <x:v>14078</x:v>
      </x:c>
      <x:c r="I76" s="17" t="str">
        <x:v>Followup</x:v>
      </x:c>
    </x:row>
    <x:row r="77" ht="23" customHeight="1">
      <x:c r="A77" s="17" t="str">
        <x:v>U00071</x:v>
      </x:c>
      <x:c r="B77" s="18" t="n">
        <x:v>46293</x:v>
      </x:c>
      <x:c r="C77" s="17" t="str">
        <x:v>W0008</x:v>
      </x:c>
      <x:c r="D77" s="17" t="str">
        <x:v>C001</x:v>
      </x:c>
      <x:c r="E77" s="17" t="str">
        <x:v>InsightDesk</x:v>
      </x:c>
      <x:c r="F77" s="17" t="str">
        <x:v>Lite</x:v>
      </x:c>
      <x:c r="G77" s="21" t="n">
        <x:v>56370</x:v>
      </x:c>
      <x:c r="H77" s="21" t="n">
        <x:v>14902</x:v>
      </x:c>
      <x:c r="I77" s="17" t="str">
        <x:v>Followup</x:v>
      </x:c>
    </x:row>
    <x:row r="78" ht="23" customHeight="1">
      <x:c r="A78" s="17" t="str">
        <x:v>U00072</x:v>
      </x:c>
      <x:c r="B78" s="18" t="n">
        <x:v>46294</x:v>
      </x:c>
      <x:c r="C78" s="17" t="str">
        <x:v>W0008</x:v>
      </x:c>
      <x:c r="D78" s="17" t="str">
        <x:v>C001</x:v>
      </x:c>
      <x:c r="E78" s="17" t="str">
        <x:v>InsightDesk</x:v>
      </x:c>
      <x:c r="F78" s="17" t="str">
        <x:v>Lite</x:v>
      </x:c>
      <x:c r="G78" s="21" t="n">
        <x:v>53399</x:v>
      </x:c>
      <x:c r="H78" s="21" t="n">
        <x:v>9279</x:v>
      </x:c>
      <x:c r="I78" s="17" t="str">
        <x:v>Followup</x:v>
      </x:c>
    </x:row>
    <x:row r="79" ht="23" customHeight="1">
      <x:c r="A79" s="17" t="str">
        <x:v>U00073</x:v>
      </x:c>
      <x:c r="B79" s="18" t="n">
        <x:v>46294</x:v>
      </x:c>
      <x:c r="C79" s="17" t="str">
        <x:v>W0008</x:v>
      </x:c>
      <x:c r="D79" s="17" t="str">
        <x:v>C001</x:v>
      </x:c>
      <x:c r="E79" s="17" t="str">
        <x:v>InsightDesk</x:v>
      </x:c>
      <x:c r="F79" s="17" t="str">
        <x:v>Lite</x:v>
      </x:c>
      <x:c r="G79" s="21" t="n">
        <x:v>44991</x:v>
      </x:c>
      <x:c r="H79" s="21" t="n">
        <x:v>5028</x:v>
      </x:c>
      <x:c r="I79" s="17" t="str">
        <x:v>Followup</x:v>
      </x:c>
    </x:row>
    <x:row r="80" ht="23" customHeight="1">
      <x:c r="A80" s="17" t="str">
        <x:v>U00074</x:v>
      </x:c>
      <x:c r="B80" s="18" t="n">
        <x:v>46274</x:v>
      </x:c>
      <x:c r="C80" s="17" t="str">
        <x:v>W0009</x:v>
      </x:c>
      <x:c r="D80" s="17" t="str">
        <x:v>C001</x:v>
      </x:c>
      <x:c r="E80" s="17" t="str">
        <x:v>CopyStudio</x:v>
      </x:c>
      <x:c r="F80" s="17" t="str">
        <x:v>Lite</x:v>
      </x:c>
      <x:c r="G80" s="21" t="n">
        <x:v>39659</x:v>
      </x:c>
      <x:c r="H80" s="21" t="n">
        <x:v>8388</x:v>
      </x:c>
      <x:c r="I80" s="17" t="str">
        <x:v>First attempt</x:v>
      </x:c>
    </x:row>
    <x:row r="81" ht="23" customHeight="1">
      <x:c r="A81" s="17" t="str">
        <x:v>U00075</x:v>
      </x:c>
      <x:c r="B81" s="18" t="n">
        <x:v>46274</x:v>
      </x:c>
      <x:c r="C81" s="17" t="str">
        <x:v>W0009</x:v>
      </x:c>
      <x:c r="D81" s="17" t="str">
        <x:v>C001</x:v>
      </x:c>
      <x:c r="E81" s="17" t="str">
        <x:v>CopyStudio</x:v>
      </x:c>
      <x:c r="F81" s="17" t="str">
        <x:v>Lite</x:v>
      </x:c>
      <x:c r="G81" s="21" t="n">
        <x:v>37585</x:v>
      </x:c>
      <x:c r="H81" s="21" t="n">
        <x:v>5570</x:v>
      </x:c>
      <x:c r="I81" s="17" t="str">
        <x:v>Followup</x:v>
      </x:c>
    </x:row>
    <x:row r="82" ht="23" customHeight="1">
      <x:c r="A82" s="17" t="str">
        <x:v>U00076</x:v>
      </x:c>
      <x:c r="B82" s="18" t="n">
        <x:v>46274</x:v>
      </x:c>
      <x:c r="C82" s="17" t="str">
        <x:v>W0009</x:v>
      </x:c>
      <x:c r="D82" s="17" t="str">
        <x:v>C001</x:v>
      </x:c>
      <x:c r="E82" s="17" t="str">
        <x:v>CopyStudio</x:v>
      </x:c>
      <x:c r="F82" s="17" t="str">
        <x:v>Lite</x:v>
      </x:c>
      <x:c r="G82" s="21" t="n">
        <x:v>57970</x:v>
      </x:c>
      <x:c r="H82" s="21" t="n">
        <x:v>12725</x:v>
      </x:c>
      <x:c r="I82" s="17" t="str">
        <x:v>Followup</x:v>
      </x:c>
    </x:row>
    <x:row r="83" ht="23" customHeight="1">
      <x:c r="A83" s="17" t="str">
        <x:v>U00077</x:v>
      </x:c>
      <x:c r="B83" s="18" t="n">
        <x:v>46275</x:v>
      </x:c>
      <x:c r="C83" s="17" t="str">
        <x:v>W0009</x:v>
      </x:c>
      <x:c r="D83" s="17" t="str">
        <x:v>C001</x:v>
      </x:c>
      <x:c r="E83" s="17" t="str">
        <x:v>CopyStudio</x:v>
      </x:c>
      <x:c r="F83" s="17" t="str">
        <x:v>Lite</x:v>
      </x:c>
      <x:c r="G83" s="21" t="n">
        <x:v>37044</x:v>
      </x:c>
      <x:c r="H83" s="21" t="n">
        <x:v>11732</x:v>
      </x:c>
      <x:c r="I83" s="17" t="str">
        <x:v>Followup</x:v>
      </x:c>
    </x:row>
    <x:row r="84" ht="23" customHeight="1">
      <x:c r="A84" s="17" t="str">
        <x:v>U00078</x:v>
      </x:c>
      <x:c r="B84" s="18" t="n">
        <x:v>46275</x:v>
      </x:c>
      <x:c r="C84" s="17" t="str">
        <x:v>W0009</x:v>
      </x:c>
      <x:c r="D84" s="17" t="str">
        <x:v>C001</x:v>
      </x:c>
      <x:c r="E84" s="17" t="str">
        <x:v>CopyStudio</x:v>
      </x:c>
      <x:c r="F84" s="17" t="str">
        <x:v>Lite</x:v>
      </x:c>
      <x:c r="G84" s="21" t="n">
        <x:v>27325</x:v>
      </x:c>
      <x:c r="H84" s="21" t="n">
        <x:v>7609</x:v>
      </x:c>
      <x:c r="I84" s="17" t="str">
        <x:v>Followup</x:v>
      </x:c>
    </x:row>
    <x:row r="85" ht="23" customHeight="1">
      <x:c r="A85" s="17" t="str">
        <x:v>U00079</x:v>
      </x:c>
      <x:c r="B85" s="18" t="n">
        <x:v>46276</x:v>
      </x:c>
      <x:c r="C85" s="17" t="str">
        <x:v>W0009</x:v>
      </x:c>
      <x:c r="D85" s="17" t="str">
        <x:v>C001</x:v>
      </x:c>
      <x:c r="E85" s="17" t="str">
        <x:v>CopyStudio</x:v>
      </x:c>
      <x:c r="F85" s="17" t="str">
        <x:v>Lite</x:v>
      </x:c>
      <x:c r="G85" s="21" t="n">
        <x:v>60570</x:v>
      </x:c>
      <x:c r="H85" s="21" t="n">
        <x:v>8760</x:v>
      </x:c>
      <x:c r="I85" s="17" t="str">
        <x:v>Followup</x:v>
      </x:c>
    </x:row>
    <x:row r="86" ht="23" customHeight="1">
      <x:c r="A86" s="17" t="str">
        <x:v>U00080</x:v>
      </x:c>
      <x:c r="B86" s="18" t="n">
        <x:v>46276</x:v>
      </x:c>
      <x:c r="C86" s="17" t="str">
        <x:v>W0009</x:v>
      </x:c>
      <x:c r="D86" s="17" t="str">
        <x:v>C001</x:v>
      </x:c>
      <x:c r="E86" s="17" t="str">
        <x:v>CopyStudio</x:v>
      </x:c>
      <x:c r="F86" s="17" t="str">
        <x:v>Lite</x:v>
      </x:c>
      <x:c r="G86" s="21" t="n">
        <x:v>67058</x:v>
      </x:c>
      <x:c r="H86" s="21" t="n">
        <x:v>11308</x:v>
      </x:c>
      <x:c r="I86" s="17" t="str">
        <x:v>Followup</x:v>
      </x:c>
    </x:row>
    <x:row r="87" ht="23" customHeight="1">
      <x:c r="A87" s="17" t="str">
        <x:v>U00081</x:v>
      </x:c>
      <x:c r="B87" s="18" t="n">
        <x:v>46279</x:v>
      </x:c>
      <x:c r="C87" s="17" t="str">
        <x:v>W0009</x:v>
      </x:c>
      <x:c r="D87" s="17" t="str">
        <x:v>C001</x:v>
      </x:c>
      <x:c r="E87" s="17" t="str">
        <x:v>CopyStudio</x:v>
      </x:c>
      <x:c r="F87" s="17" t="str">
        <x:v>Lite</x:v>
      </x:c>
      <x:c r="G87" s="21" t="n">
        <x:v>35715</x:v>
      </x:c>
      <x:c r="H87" s="21" t="n">
        <x:v>10203</x:v>
      </x:c>
      <x:c r="I87" s="17" t="str">
        <x:v>Correction</x:v>
      </x:c>
    </x:row>
    <x:row r="88" ht="23" customHeight="1">
      <x:c r="A88" s="17" t="str">
        <x:v>U00082</x:v>
      </x:c>
      <x:c r="B88" s="18" t="n">
        <x:v>46279</x:v>
      </x:c>
      <x:c r="C88" s="17" t="str">
        <x:v>W0009</x:v>
      </x:c>
      <x:c r="D88" s="17" t="str">
        <x:v>C001</x:v>
      </x:c>
      <x:c r="E88" s="17" t="str">
        <x:v>CopyStudio</x:v>
      </x:c>
      <x:c r="F88" s="17" t="str">
        <x:v>Lite</x:v>
      </x:c>
      <x:c r="G88" s="21" t="n">
        <x:v>72353</x:v>
      </x:c>
      <x:c r="H88" s="21" t="n">
        <x:v>9251</x:v>
      </x:c>
      <x:c r="I88" s="17" t="str">
        <x:v>Followup</x:v>
      </x:c>
    </x:row>
    <x:row r="89" ht="23" customHeight="1">
      <x:c r="A89" s="17" t="str">
        <x:v>U00083</x:v>
      </x:c>
      <x:c r="B89" s="18" t="n">
        <x:v>46283</x:v>
      </x:c>
      <x:c r="C89" s="17" t="str">
        <x:v>W0010</x:v>
      </x:c>
      <x:c r="D89" s="17" t="str">
        <x:v>C001</x:v>
      </x:c>
      <x:c r="E89" s="17" t="str">
        <x:v>CopyStudio</x:v>
      </x:c>
      <x:c r="F89" s="17" t="str">
        <x:v>Lite</x:v>
      </x:c>
      <x:c r="G89" s="21" t="n">
        <x:v>53404</x:v>
      </x:c>
      <x:c r="H89" s="21" t="n">
        <x:v>3734</x:v>
      </x:c>
      <x:c r="I89" s="17" t="str">
        <x:v>First attempt</x:v>
      </x:c>
    </x:row>
    <x:row r="90" ht="23" customHeight="1">
      <x:c r="A90" s="17" t="str">
        <x:v>U00084</x:v>
      </x:c>
      <x:c r="B90" s="18" t="n">
        <x:v>46283</x:v>
      </x:c>
      <x:c r="C90" s="17" t="str">
        <x:v>W0010</x:v>
      </x:c>
      <x:c r="D90" s="17" t="str">
        <x:v>C001</x:v>
      </x:c>
      <x:c r="E90" s="17" t="str">
        <x:v>CopyStudio</x:v>
      </x:c>
      <x:c r="F90" s="17" t="str">
        <x:v>Lite</x:v>
      </x:c>
      <x:c r="G90" s="21" t="n">
        <x:v>53873</x:v>
      </x:c>
      <x:c r="H90" s="21" t="n">
        <x:v>12052</x:v>
      </x:c>
      <x:c r="I90" s="17" t="str">
        <x:v>Followup</x:v>
      </x:c>
    </x:row>
    <x:row r="91" ht="23" customHeight="1">
      <x:c r="A91" s="17" t="str">
        <x:v>U00085</x:v>
      </x:c>
      <x:c r="B91" s="18" t="n">
        <x:v>46283</x:v>
      </x:c>
      <x:c r="C91" s="17" t="str">
        <x:v>W0010</x:v>
      </x:c>
      <x:c r="D91" s="17" t="str">
        <x:v>C001</x:v>
      </x:c>
      <x:c r="E91" s="17" t="str">
        <x:v>CopyStudio</x:v>
      </x:c>
      <x:c r="F91" s="17" t="str">
        <x:v>Lite</x:v>
      </x:c>
      <x:c r="G91" s="21" t="n">
        <x:v>51568</x:v>
      </x:c>
      <x:c r="H91" s="21" t="n">
        <x:v>12259</x:v>
      </x:c>
      <x:c r="I91" s="17" t="str">
        <x:v>Followup</x:v>
      </x:c>
    </x:row>
    <x:row r="92" ht="23" customHeight="1">
      <x:c r="A92" s="17" t="str">
        <x:v>U00086</x:v>
      </x:c>
      <x:c r="B92" s="18" t="n">
        <x:v>46286</x:v>
      </x:c>
      <x:c r="C92" s="17" t="str">
        <x:v>W0010</x:v>
      </x:c>
      <x:c r="D92" s="17" t="str">
        <x:v>C001</x:v>
      </x:c>
      <x:c r="E92" s="17" t="str">
        <x:v>CopyStudio</x:v>
      </x:c>
      <x:c r="F92" s="17" t="str">
        <x:v>Lite</x:v>
      </x:c>
      <x:c r="G92" s="21" t="n">
        <x:v>72901</x:v>
      </x:c>
      <x:c r="H92" s="21" t="n">
        <x:v>11219</x:v>
      </x:c>
      <x:c r="I92" s="17" t="str">
        <x:v>Followup</x:v>
      </x:c>
    </x:row>
    <x:row r="93" ht="23" customHeight="1">
      <x:c r="A93" s="17" t="str">
        <x:v>U00087</x:v>
      </x:c>
      <x:c r="B93" s="18" t="n">
        <x:v>46286</x:v>
      </x:c>
      <x:c r="C93" s="17" t="str">
        <x:v>W0010</x:v>
      </x:c>
      <x:c r="D93" s="17" t="str">
        <x:v>C001</x:v>
      </x:c>
      <x:c r="E93" s="17" t="str">
        <x:v>CopyStudio</x:v>
      </x:c>
      <x:c r="F93" s="17" t="str">
        <x:v>Lite</x:v>
      </x:c>
      <x:c r="G93" s="21" t="n">
        <x:v>30866</x:v>
      </x:c>
      <x:c r="H93" s="21" t="n">
        <x:v>12821</x:v>
      </x:c>
      <x:c r="I93" s="17" t="str">
        <x:v>Correction</x:v>
      </x:c>
    </x:row>
    <x:row r="94" ht="23" customHeight="1">
      <x:c r="A94" s="17" t="str">
        <x:v>U00088</x:v>
      </x:c>
      <x:c r="B94" s="18" t="n">
        <x:v>46287</x:v>
      </x:c>
      <x:c r="C94" s="17" t="str">
        <x:v>W0010</x:v>
      </x:c>
      <x:c r="D94" s="17" t="str">
        <x:v>C001</x:v>
      </x:c>
      <x:c r="E94" s="17" t="str">
        <x:v>CopyStudio</x:v>
      </x:c>
      <x:c r="F94" s="17" t="str">
        <x:v>Lite</x:v>
      </x:c>
      <x:c r="G94" s="21" t="n">
        <x:v>59103</x:v>
      </x:c>
      <x:c r="H94" s="21" t="n">
        <x:v>13149</x:v>
      </x:c>
      <x:c r="I94" s="17" t="str">
        <x:v>Followup</x:v>
      </x:c>
    </x:row>
    <x:row r="95" ht="23" customHeight="1">
      <x:c r="A95" s="17" t="str">
        <x:v>U00089</x:v>
      </x:c>
      <x:c r="B95" s="18" t="n">
        <x:v>46287</x:v>
      </x:c>
      <x:c r="C95" s="17" t="str">
        <x:v>W0010</x:v>
      </x:c>
      <x:c r="D95" s="17" t="str">
        <x:v>C001</x:v>
      </x:c>
      <x:c r="E95" s="17" t="str">
        <x:v>CopyStudio</x:v>
      </x:c>
      <x:c r="F95" s="17" t="str">
        <x:v>Lite</x:v>
      </x:c>
      <x:c r="G95" s="21" t="n">
        <x:v>25562</x:v>
      </x:c>
      <x:c r="H95" s="21" t="n">
        <x:v>10041</x:v>
      </x:c>
      <x:c r="I95" s="17" t="str">
        <x:v>Followup</x:v>
      </x:c>
    </x:row>
    <x:row r="96" ht="23" customHeight="1">
      <x:c r="A96" s="17" t="str">
        <x:v>U00090</x:v>
      </x:c>
      <x:c r="B96" s="18" t="n">
        <x:v>46288</x:v>
      </x:c>
      <x:c r="C96" s="17" t="str">
        <x:v>W0010</x:v>
      </x:c>
      <x:c r="D96" s="17" t="str">
        <x:v>C001</x:v>
      </x:c>
      <x:c r="E96" s="17" t="str">
        <x:v>CopyStudio</x:v>
      </x:c>
      <x:c r="F96" s="17" t="str">
        <x:v>Lite</x:v>
      </x:c>
      <x:c r="G96" s="21" t="n">
        <x:v>74275</x:v>
      </x:c>
      <x:c r="H96" s="21" t="n">
        <x:v>4787</x:v>
      </x:c>
      <x:c r="I96" s="17" t="str">
        <x:v>Followup</x:v>
      </x:c>
    </x:row>
    <x:row r="97" ht="23" customHeight="1">
      <x:c r="A97" s="17" t="str">
        <x:v>U00091</x:v>
      </x:c>
      <x:c r="B97" s="18" t="n">
        <x:v>46288</x:v>
      </x:c>
      <x:c r="C97" s="17" t="str">
        <x:v>W0010</x:v>
      </x:c>
      <x:c r="D97" s="17" t="str">
        <x:v>C001</x:v>
      </x:c>
      <x:c r="E97" s="17" t="str">
        <x:v>CopyStudio</x:v>
      </x:c>
      <x:c r="F97" s="17" t="str">
        <x:v>Lite</x:v>
      </x:c>
      <x:c r="G97" s="21" t="n">
        <x:v>62287</x:v>
      </x:c>
      <x:c r="H97" s="21" t="n">
        <x:v>11971</x:v>
      </x:c>
      <x:c r="I97" s="17" t="str">
        <x:v>Followup</x:v>
      </x:c>
    </x:row>
    <x:row r="98" ht="23" customHeight="1">
      <x:c r="A98" s="17" t="str">
        <x:v>U00092</x:v>
      </x:c>
      <x:c r="B98" s="18" t="n">
        <x:v>46267</x:v>
      </x:c>
      <x:c r="C98" s="17" t="str">
        <x:v>W0011</x:v>
      </x:c>
      <x:c r="D98" s="17" t="str">
        <x:v>C001</x:v>
      </x:c>
      <x:c r="E98" s="17" t="str">
        <x:v>CampaignChat</x:v>
      </x:c>
      <x:c r="F98" s="17" t="str">
        <x:v>Lite</x:v>
      </x:c>
      <x:c r="G98" s="21" t="n">
        <x:v>25318</x:v>
      </x:c>
      <x:c r="H98" s="21" t="n">
        <x:v>4837</x:v>
      </x:c>
      <x:c r="I98" s="17" t="str">
        <x:v>First attempt</x:v>
      </x:c>
    </x:row>
    <x:row r="99" ht="23" customHeight="1">
      <x:c r="A99" s="17" t="str">
        <x:v>U00093</x:v>
      </x:c>
      <x:c r="B99" s="18" t="n">
        <x:v>46267</x:v>
      </x:c>
      <x:c r="C99" s="17" t="str">
        <x:v>W0011</x:v>
      </x:c>
      <x:c r="D99" s="17" t="str">
        <x:v>C001</x:v>
      </x:c>
      <x:c r="E99" s="17" t="str">
        <x:v>CampaignChat</x:v>
      </x:c>
      <x:c r="F99" s="17" t="str">
        <x:v>Lite</x:v>
      </x:c>
      <x:c r="G99" s="21" t="n">
        <x:v>37106</x:v>
      </x:c>
      <x:c r="H99" s="21" t="n">
        <x:v>12362</x:v>
      </x:c>
      <x:c r="I99" s="17" t="str">
        <x:v>Followup</x:v>
      </x:c>
    </x:row>
    <x:row r="100" ht="23" customHeight="1">
      <x:c r="A100" s="17" t="str">
        <x:v>U00094</x:v>
      </x:c>
      <x:c r="B100" s="18" t="n">
        <x:v>46267</x:v>
      </x:c>
      <x:c r="C100" s="17" t="str">
        <x:v>W0011</x:v>
      </x:c>
      <x:c r="D100" s="17" t="str">
        <x:v>C001</x:v>
      </x:c>
      <x:c r="E100" s="17" t="str">
        <x:v>CampaignChat</x:v>
      </x:c>
      <x:c r="F100" s="17" t="str">
        <x:v>Lite</x:v>
      </x:c>
      <x:c r="G100" s="21" t="n">
        <x:v>23286</x:v>
      </x:c>
      <x:c r="H100" s="21" t="n">
        <x:v>10284</x:v>
      </x:c>
      <x:c r="I100" s="17" t="str">
        <x:v>Followup</x:v>
      </x:c>
    </x:row>
    <x:row r="101" ht="23" customHeight="1">
      <x:c r="A101" s="17" t="str">
        <x:v>U00095</x:v>
      </x:c>
      <x:c r="B101" s="18" t="n">
        <x:v>46268</x:v>
      </x:c>
      <x:c r="C101" s="17" t="str">
        <x:v>W0011</x:v>
      </x:c>
      <x:c r="D101" s="17" t="str">
        <x:v>C001</x:v>
      </x:c>
      <x:c r="E101" s="17" t="str">
        <x:v>CampaignChat</x:v>
      </x:c>
      <x:c r="F101" s="17" t="str">
        <x:v>Lite</x:v>
      </x:c>
      <x:c r="G101" s="21" t="n">
        <x:v>38688</x:v>
      </x:c>
      <x:c r="H101" s="21" t="n">
        <x:v>5805</x:v>
      </x:c>
      <x:c r="I101" s="17" t="str">
        <x:v>Followup</x:v>
      </x:c>
    </x:row>
    <x:row r="102" ht="23" customHeight="1">
      <x:c r="A102" s="17" t="str">
        <x:v>U00096</x:v>
      </x:c>
      <x:c r="B102" s="18" t="n">
        <x:v>46268</x:v>
      </x:c>
      <x:c r="C102" s="17" t="str">
        <x:v>W0011</x:v>
      </x:c>
      <x:c r="D102" s="17" t="str">
        <x:v>C001</x:v>
      </x:c>
      <x:c r="E102" s="17" t="str">
        <x:v>CampaignChat</x:v>
      </x:c>
      <x:c r="F102" s="17" t="str">
        <x:v>Lite</x:v>
      </x:c>
      <x:c r="G102" s="21" t="n">
        <x:v>46316</x:v>
      </x:c>
      <x:c r="H102" s="21" t="n">
        <x:v>5850</x:v>
      </x:c>
      <x:c r="I102" s="17" t="str">
        <x:v>Followup</x:v>
      </x:c>
    </x:row>
    <x:row r="103" ht="23" customHeight="1">
      <x:c r="A103" s="17" t="str">
        <x:v>U00097</x:v>
      </x:c>
      <x:c r="B103" s="18" t="n">
        <x:v>46269</x:v>
      </x:c>
      <x:c r="C103" s="17" t="str">
        <x:v>W0011</x:v>
      </x:c>
      <x:c r="D103" s="17" t="str">
        <x:v>C001</x:v>
      </x:c>
      <x:c r="E103" s="17" t="str">
        <x:v>CampaignChat</x:v>
      </x:c>
      <x:c r="F103" s="17" t="str">
        <x:v>Lite</x:v>
      </x:c>
      <x:c r="G103" s="21" t="n">
        <x:v>20176</x:v>
      </x:c>
      <x:c r="H103" s="21" t="n">
        <x:v>10320</x:v>
      </x:c>
      <x:c r="I103" s="17" t="str">
        <x:v>Followup</x:v>
      </x:c>
    </x:row>
    <x:row r="104" ht="23" customHeight="1">
      <x:c r="A104" s="17" t="str">
        <x:v>U00098</x:v>
      </x:c>
      <x:c r="B104" s="18" t="n">
        <x:v>46269</x:v>
      </x:c>
      <x:c r="C104" s="17" t="str">
        <x:v>W0011</x:v>
      </x:c>
      <x:c r="D104" s="17" t="str">
        <x:v>C001</x:v>
      </x:c>
      <x:c r="E104" s="17" t="str">
        <x:v>CampaignChat</x:v>
      </x:c>
      <x:c r="F104" s="17" t="str">
        <x:v>Lite</x:v>
      </x:c>
      <x:c r="G104" s="21" t="n">
        <x:v>21124</x:v>
      </x:c>
      <x:c r="H104" s="21" t="n">
        <x:v>8131</x:v>
      </x:c>
      <x:c r="I104" s="17" t="str">
        <x:v>Followup</x:v>
      </x:c>
    </x:row>
    <x:row r="105" ht="23" customHeight="1">
      <x:c r="A105" s="17" t="str">
        <x:v>U00099</x:v>
      </x:c>
      <x:c r="B105" s="18" t="n">
        <x:v>46269</x:v>
      </x:c>
      <x:c r="C105" s="17" t="str">
        <x:v>W0011</x:v>
      </x:c>
      <x:c r="D105" s="17" t="str">
        <x:v>C001</x:v>
      </x:c>
      <x:c r="E105" s="17" t="str">
        <x:v>CampaignChat</x:v>
      </x:c>
      <x:c r="F105" s="17" t="str">
        <x:v>Lite</x:v>
      </x:c>
      <x:c r="G105" s="21" t="n">
        <x:v>45214</x:v>
      </x:c>
      <x:c r="H105" s="21" t="n">
        <x:v>7742</x:v>
      </x:c>
      <x:c r="I105" s="17" t="str">
        <x:v>Followup</x:v>
      </x:c>
    </x:row>
    <x:row r="106" ht="23" customHeight="1">
      <x:c r="A106" s="17" t="str">
        <x:v>U00100</x:v>
      </x:c>
      <x:c r="B106" s="18" t="n">
        <x:v>46273</x:v>
      </x:c>
      <x:c r="C106" s="17" t="str">
        <x:v>W0011</x:v>
      </x:c>
      <x:c r="D106" s="17" t="str">
        <x:v>C001</x:v>
      </x:c>
      <x:c r="E106" s="17" t="str">
        <x:v>CampaignChat</x:v>
      </x:c>
      <x:c r="F106" s="17" t="str">
        <x:v>Lite</x:v>
      </x:c>
      <x:c r="G106" s="21" t="n">
        <x:v>44845</x:v>
      </x:c>
      <x:c r="H106" s="21" t="n">
        <x:v>7889</x:v>
      </x:c>
      <x:c r="I106" s="17" t="str">
        <x:v>Followup</x:v>
      </x:c>
    </x:row>
    <x:row r="107" ht="23" customHeight="1">
      <x:c r="A107" s="17" t="str">
        <x:v>U00101</x:v>
      </x:c>
      <x:c r="B107" s="18" t="n">
        <x:v>46273</x:v>
      </x:c>
      <x:c r="C107" s="17" t="str">
        <x:v>W0011</x:v>
      </x:c>
      <x:c r="D107" s="17" t="str">
        <x:v>C001</x:v>
      </x:c>
      <x:c r="E107" s="17" t="str">
        <x:v>CampaignChat</x:v>
      </x:c>
      <x:c r="F107" s="17" t="str">
        <x:v>Lite</x:v>
      </x:c>
      <x:c r="G107" s="21" t="n">
        <x:v>21376</x:v>
      </x:c>
      <x:c r="H107" s="21" t="n">
        <x:v>11067</x:v>
      </x:c>
      <x:c r="I107" s="17" t="str">
        <x:v>Correction</x:v>
      </x:c>
    </x:row>
    <x:row r="108" ht="23" customHeight="1">
      <x:c r="A108" s="17" t="str">
        <x:v>U00102</x:v>
      </x:c>
      <x:c r="B108" s="18" t="n">
        <x:v>46288</x:v>
      </x:c>
      <x:c r="C108" s="17" t="str">
        <x:v>W0013</x:v>
      </x:c>
      <x:c r="D108" s="17" t="str">
        <x:v>C001</x:v>
      </x:c>
      <x:c r="E108" s="17" t="str">
        <x:v>DataFlow</x:v>
      </x:c>
      <x:c r="F108" s="17" t="str">
        <x:v>Lite</x:v>
      </x:c>
      <x:c r="G108" s="21" t="n">
        <x:v>36384</x:v>
      </x:c>
      <x:c r="H108" s="21" t="n">
        <x:v>3745</x:v>
      </x:c>
      <x:c r="I108" s="17" t="str">
        <x:v>First attempt</x:v>
      </x:c>
    </x:row>
    <x:row r="109" ht="23" customHeight="1">
      <x:c r="A109" s="17" t="str">
        <x:v>U00103</x:v>
      </x:c>
      <x:c r="B109" s="18" t="n">
        <x:v>46288</x:v>
      </x:c>
      <x:c r="C109" s="17" t="str">
        <x:v>W0013</x:v>
      </x:c>
      <x:c r="D109" s="17" t="str">
        <x:v>C001</x:v>
      </x:c>
      <x:c r="E109" s="17" t="str">
        <x:v>DataFlow</x:v>
      </x:c>
      <x:c r="F109" s="17" t="str">
        <x:v>Lite</x:v>
      </x:c>
      <x:c r="G109" s="21" t="n">
        <x:v>19275</x:v>
      </x:c>
      <x:c r="H109" s="21" t="n">
        <x:v>2265</x:v>
      </x:c>
      <x:c r="I109" s="17" t="str">
        <x:v>Correction</x:v>
      </x:c>
    </x:row>
    <x:row r="110" ht="23" customHeight="1">
      <x:c r="A110" s="17" t="str">
        <x:v>U00104</x:v>
      </x:c>
      <x:c r="B110" s="18" t="n">
        <x:v>46288</x:v>
      </x:c>
      <x:c r="C110" s="17" t="str">
        <x:v>W0013</x:v>
      </x:c>
      <x:c r="D110" s="17" t="str">
        <x:v>C001</x:v>
      </x:c>
      <x:c r="E110" s="17" t="str">
        <x:v>DataFlow</x:v>
      </x:c>
      <x:c r="F110" s="17" t="str">
        <x:v>Lite</x:v>
      </x:c>
      <x:c r="G110" s="21" t="n">
        <x:v>18173</x:v>
      </x:c>
      <x:c r="H110" s="21" t="n">
        <x:v>3165</x:v>
      </x:c>
      <x:c r="I110" s="17" t="str">
        <x:v>Followup</x:v>
      </x:c>
    </x:row>
    <x:row r="111" ht="23" customHeight="1">
      <x:c r="A111" s="17" t="str">
        <x:v>U00105</x:v>
      </x:c>
      <x:c r="B111" s="18" t="n">
        <x:v>46289</x:v>
      </x:c>
      <x:c r="C111" s="17" t="str">
        <x:v>W0013</x:v>
      </x:c>
      <x:c r="D111" s="17" t="str">
        <x:v>C001</x:v>
      </x:c>
      <x:c r="E111" s="17" t="str">
        <x:v>DataFlow</x:v>
      </x:c>
      <x:c r="F111" s="17" t="str">
        <x:v>Lite</x:v>
      </x:c>
      <x:c r="G111" s="21" t="n">
        <x:v>24647</x:v>
      </x:c>
      <x:c r="H111" s="21" t="n">
        <x:v>2905</x:v>
      </x:c>
      <x:c r="I111" s="17" t="str">
        <x:v>Followup</x:v>
      </x:c>
    </x:row>
    <x:row r="112" ht="23" customHeight="1">
      <x:c r="A112" s="17" t="str">
        <x:v>U00106</x:v>
      </x:c>
      <x:c r="B112" s="18" t="n">
        <x:v>46289</x:v>
      </x:c>
      <x:c r="C112" s="17" t="str">
        <x:v>W0013</x:v>
      </x:c>
      <x:c r="D112" s="17" t="str">
        <x:v>C001</x:v>
      </x:c>
      <x:c r="E112" s="17" t="str">
        <x:v>DataFlow</x:v>
      </x:c>
      <x:c r="F112" s="17" t="str">
        <x:v>Lite</x:v>
      </x:c>
      <x:c r="G112" s="21" t="n">
        <x:v>29263</x:v>
      </x:c>
      <x:c r="H112" s="21" t="n">
        <x:v>5224</x:v>
      </x:c>
      <x:c r="I112" s="17" t="str">
        <x:v>Followup</x:v>
      </x:c>
    </x:row>
    <x:row r="113" ht="23" customHeight="1">
      <x:c r="A113" s="17" t="str">
        <x:v>U00107</x:v>
      </x:c>
      <x:c r="B113" s="18" t="n">
        <x:v>46289</x:v>
      </x:c>
      <x:c r="C113" s="17" t="str">
        <x:v>W0013</x:v>
      </x:c>
      <x:c r="D113" s="17" t="str">
        <x:v>C001</x:v>
      </x:c>
      <x:c r="E113" s="17" t="str">
        <x:v>DataFlow</x:v>
      </x:c>
      <x:c r="F113" s="17" t="str">
        <x:v>Lite</x:v>
      </x:c>
      <x:c r="G113" s="21" t="n">
        <x:v>26427</x:v>
      </x:c>
      <x:c r="H113" s="21" t="n">
        <x:v>6557</x:v>
      </x:c>
      <x:c r="I113" s="17" t="str">
        <x:v>Followup</x:v>
      </x:c>
    </x:row>
    <x:row r="114" ht="23" customHeight="1">
      <x:c r="A114" s="17" t="str">
        <x:v>U00108</x:v>
      </x:c>
      <x:c r="B114" s="18" t="n">
        <x:v>46290</x:v>
      </x:c>
      <x:c r="C114" s="17" t="str">
        <x:v>W0013</x:v>
      </x:c>
      <x:c r="D114" s="17" t="str">
        <x:v>C001</x:v>
      </x:c>
      <x:c r="E114" s="17" t="str">
        <x:v>DataFlow</x:v>
      </x:c>
      <x:c r="F114" s="17" t="str">
        <x:v>Lite</x:v>
      </x:c>
      <x:c r="G114" s="21" t="n">
        <x:v>34545</x:v>
      </x:c>
      <x:c r="H114" s="21" t="n">
        <x:v>6727</x:v>
      </x:c>
      <x:c r="I114" s="17" t="str">
        <x:v>Followup</x:v>
      </x:c>
    </x:row>
    <x:row r="115" ht="23" customHeight="1">
      <x:c r="A115" s="17" t="str">
        <x:v>U00109</x:v>
      </x:c>
      <x:c r="B115" s="18" t="n">
        <x:v>46290</x:v>
      </x:c>
      <x:c r="C115" s="17" t="str">
        <x:v>W0013</x:v>
      </x:c>
      <x:c r="D115" s="17" t="str">
        <x:v>C001</x:v>
      </x:c>
      <x:c r="E115" s="17" t="str">
        <x:v>DataFlow</x:v>
      </x:c>
      <x:c r="F115" s="17" t="str">
        <x:v>Lite</x:v>
      </x:c>
      <x:c r="G115" s="21" t="n">
        <x:v>24476</x:v>
      </x:c>
      <x:c r="H115" s="21" t="n">
        <x:v>3034</x:v>
      </x:c>
      <x:c r="I115" s="17" t="str">
        <x:v>Correction</x:v>
      </x:c>
    </x:row>
    <x:row r="116" ht="23" customHeight="1">
      <x:c r="A116" s="17" t="str">
        <x:v>U00110</x:v>
      </x:c>
      <x:c r="B116" s="18" t="n">
        <x:v>46290</x:v>
      </x:c>
      <x:c r="C116" s="17" t="str">
        <x:v>W0013</x:v>
      </x:c>
      <x:c r="D116" s="17" t="str">
        <x:v>C001</x:v>
      </x:c>
      <x:c r="E116" s="17" t="str">
        <x:v>DataFlow</x:v>
      </x:c>
      <x:c r="F116" s="17" t="str">
        <x:v>Lite</x:v>
      </x:c>
      <x:c r="G116" s="21" t="n">
        <x:v>14077</x:v>
      </x:c>
      <x:c r="H116" s="21" t="n">
        <x:v>6265</x:v>
      </x:c>
      <x:c r="I116" s="17" t="str">
        <x:v>Followup</x:v>
      </x:c>
    </x:row>
    <x:row r="117" ht="23" customHeight="1">
      <x:c r="A117" s="17" t="str">
        <x:v>U00111</x:v>
      </x:c>
      <x:c r="B117" s="18" t="n">
        <x:v>46293</x:v>
      </x:c>
      <x:c r="C117" s="17" t="str">
        <x:v>W0013</x:v>
      </x:c>
      <x:c r="D117" s="17" t="str">
        <x:v>C001</x:v>
      </x:c>
      <x:c r="E117" s="17" t="str">
        <x:v>DataFlow</x:v>
      </x:c>
      <x:c r="F117" s="17" t="str">
        <x:v>Lite</x:v>
      </x:c>
      <x:c r="G117" s="21" t="n">
        <x:v>25385</x:v>
      </x:c>
      <x:c r="H117" s="21" t="n">
        <x:v>6302</x:v>
      </x:c>
      <x:c r="I117" s="17" t="str">
        <x:v>Followup</x:v>
      </x:c>
    </x:row>
    <x:row r="118" ht="23" customHeight="1">
      <x:c r="A118" s="17" t="str">
        <x:v>U00112</x:v>
      </x:c>
      <x:c r="B118" s="18" t="n">
        <x:v>46293</x:v>
      </x:c>
      <x:c r="C118" s="17" t="str">
        <x:v>W0013</x:v>
      </x:c>
      <x:c r="D118" s="17" t="str">
        <x:v>C001</x:v>
      </x:c>
      <x:c r="E118" s="17" t="str">
        <x:v>DataFlow</x:v>
      </x:c>
      <x:c r="F118" s="17" t="str">
        <x:v>Lite</x:v>
      </x:c>
      <x:c r="G118" s="21" t="n">
        <x:v>20519</x:v>
      </x:c>
      <x:c r="H118" s="21" t="n">
        <x:v>4487</x:v>
      </x:c>
      <x:c r="I118" s="17" t="str">
        <x:v>Followup</x:v>
      </x:c>
    </x:row>
    <x:row r="119" ht="23" customHeight="1">
      <x:c r="A119" s="17" t="str">
        <x:v>U00113</x:v>
      </x:c>
      <x:c r="B119" s="18" t="n">
        <x:v>46273</x:v>
      </x:c>
      <x:c r="C119" s="17" t="str">
        <x:v>W0014</x:v>
      </x:c>
      <x:c r="D119" s="17" t="str">
        <x:v>C001</x:v>
      </x:c>
      <x:c r="E119" s="17" t="str">
        <x:v>DataFlow</x:v>
      </x:c>
      <x:c r="F119" s="17" t="str">
        <x:v>Lite</x:v>
      </x:c>
      <x:c r="G119" s="21" t="n">
        <x:v>27442</x:v>
      </x:c>
      <x:c r="H119" s="21" t="n">
        <x:v>9017</x:v>
      </x:c>
      <x:c r="I119" s="17" t="str">
        <x:v>First attempt</x:v>
      </x:c>
    </x:row>
    <x:row r="120" ht="23" customHeight="1">
      <x:c r="A120" s="17" t="str">
        <x:v>U00114</x:v>
      </x:c>
      <x:c r="B120" s="18" t="n">
        <x:v>46273</x:v>
      </x:c>
      <x:c r="C120" s="17" t="str">
        <x:v>W0014</x:v>
      </x:c>
      <x:c r="D120" s="17" t="str">
        <x:v>C001</x:v>
      </x:c>
      <x:c r="E120" s="17" t="str">
        <x:v>DataFlow</x:v>
      </x:c>
      <x:c r="F120" s="17" t="str">
        <x:v>Lite</x:v>
      </x:c>
      <x:c r="G120" s="21" t="n">
        <x:v>34580</x:v>
      </x:c>
      <x:c r="H120" s="21" t="n">
        <x:v>8097</x:v>
      </x:c>
      <x:c r="I120" s="17" t="str">
        <x:v>Correction</x:v>
      </x:c>
    </x:row>
    <x:row r="121" ht="23" customHeight="1">
      <x:c r="A121" s="17" t="str">
        <x:v>U00115</x:v>
      </x:c>
      <x:c r="B121" s="18" t="n">
        <x:v>46274</x:v>
      </x:c>
      <x:c r="C121" s="17" t="str">
        <x:v>W0014</x:v>
      </x:c>
      <x:c r="D121" s="17" t="str">
        <x:v>C001</x:v>
      </x:c>
      <x:c r="E121" s="17" t="str">
        <x:v>DataFlow</x:v>
      </x:c>
      <x:c r="F121" s="17" t="str">
        <x:v>Lite</x:v>
      </x:c>
      <x:c r="G121" s="21" t="n">
        <x:v>39153</x:v>
      </x:c>
      <x:c r="H121" s="21" t="n">
        <x:v>9663</x:v>
      </x:c>
      <x:c r="I121" s="17" t="str">
        <x:v>Followup</x:v>
      </x:c>
    </x:row>
    <x:row r="122" ht="23" customHeight="1">
      <x:c r="A122" s="17" t="str">
        <x:v>U00116</x:v>
      </x:c>
      <x:c r="B122" s="18" t="n">
        <x:v>46274</x:v>
      </x:c>
      <x:c r="C122" s="17" t="str">
        <x:v>W0014</x:v>
      </x:c>
      <x:c r="D122" s="17" t="str">
        <x:v>C001</x:v>
      </x:c>
      <x:c r="E122" s="17" t="str">
        <x:v>DataFlow</x:v>
      </x:c>
      <x:c r="F122" s="17" t="str">
        <x:v>Lite</x:v>
      </x:c>
      <x:c r="G122" s="21" t="n">
        <x:v>57604</x:v>
      </x:c>
      <x:c r="H122" s="21" t="n">
        <x:v>15662</x:v>
      </x:c>
      <x:c r="I122" s="17" t="str">
        <x:v>Followup</x:v>
      </x:c>
    </x:row>
    <x:row r="123" ht="23" customHeight="1">
      <x:c r="A123" s="17" t="str">
        <x:v>U00117</x:v>
      </x:c>
      <x:c r="B123" s="18" t="n">
        <x:v>46275</x:v>
      </x:c>
      <x:c r="C123" s="17" t="str">
        <x:v>W0014</x:v>
      </x:c>
      <x:c r="D123" s="17" t="str">
        <x:v>C001</x:v>
      </x:c>
      <x:c r="E123" s="17" t="str">
        <x:v>DataFlow</x:v>
      </x:c>
      <x:c r="F123" s="17" t="str">
        <x:v>Lite</x:v>
      </x:c>
      <x:c r="G123" s="21" t="n">
        <x:v>63043</x:v>
      </x:c>
      <x:c r="H123" s="21" t="n">
        <x:v>10357</x:v>
      </x:c>
      <x:c r="I123" s="17" t="str">
        <x:v>Followup</x:v>
      </x:c>
    </x:row>
    <x:row r="124" ht="23" customHeight="1">
      <x:c r="A124" s="17" t="str">
        <x:v>U00118</x:v>
      </x:c>
      <x:c r="B124" s="18" t="n">
        <x:v>46275</x:v>
      </x:c>
      <x:c r="C124" s="17" t="str">
        <x:v>W0014</x:v>
      </x:c>
      <x:c r="D124" s="17" t="str">
        <x:v>C001</x:v>
      </x:c>
      <x:c r="E124" s="17" t="str">
        <x:v>DataFlow</x:v>
      </x:c>
      <x:c r="F124" s="17" t="str">
        <x:v>Lite</x:v>
      </x:c>
      <x:c r="G124" s="21" t="n">
        <x:v>41075</x:v>
      </x:c>
      <x:c r="H124" s="21" t="n">
        <x:v>13870</x:v>
      </x:c>
      <x:c r="I124" s="17" t="str">
        <x:v>Followup</x:v>
      </x:c>
    </x:row>
    <x:row r="125" ht="23" customHeight="1">
      <x:c r="A125" s="17" t="str">
        <x:v>U00119</x:v>
      </x:c>
      <x:c r="B125" s="18" t="n">
        <x:v>46276</x:v>
      </x:c>
      <x:c r="C125" s="17" t="str">
        <x:v>W0014</x:v>
      </x:c>
      <x:c r="D125" s="17" t="str">
        <x:v>C001</x:v>
      </x:c>
      <x:c r="E125" s="17" t="str">
        <x:v>DataFlow</x:v>
      </x:c>
      <x:c r="F125" s="17" t="str">
        <x:v>Lite</x:v>
      </x:c>
      <x:c r="G125" s="21" t="n">
        <x:v>34197</x:v>
      </x:c>
      <x:c r="H125" s="21" t="n">
        <x:v>11960</x:v>
      </x:c>
      <x:c r="I125" s="17" t="str">
        <x:v>Followup</x:v>
      </x:c>
    </x:row>
    <x:row r="126" ht="23" customHeight="1">
      <x:c r="A126" s="17" t="str">
        <x:v>U00120</x:v>
      </x:c>
      <x:c r="B126" s="18" t="n">
        <x:v>46276</x:v>
      </x:c>
      <x:c r="C126" s="17" t="str">
        <x:v>W0017</x:v>
      </x:c>
      <x:c r="D126" s="17" t="str">
        <x:v>C001</x:v>
      </x:c>
      <x:c r="E126" s="17" t="str">
        <x:v>CopyStudio</x:v>
      </x:c>
      <x:c r="F126" s="17" t="str">
        <x:v>Lite</x:v>
      </x:c>
      <x:c r="G126" s="21" t="n">
        <x:v>54700</x:v>
      </x:c>
      <x:c r="H126" s="21" t="n">
        <x:v>6491</x:v>
      </x:c>
      <x:c r="I126" s="17" t="str">
        <x:v>First attempt</x:v>
      </x:c>
    </x:row>
    <x:row r="127" ht="23" customHeight="1">
      <x:c r="A127" s="17" t="str">
        <x:v>U00121</x:v>
      </x:c>
      <x:c r="B127" s="18" t="n">
        <x:v>46276</x:v>
      </x:c>
      <x:c r="C127" s="17" t="str">
        <x:v>W0017</x:v>
      </x:c>
      <x:c r="D127" s="17" t="str">
        <x:v>C001</x:v>
      </x:c>
      <x:c r="E127" s="17" t="str">
        <x:v>CopyStudio</x:v>
      </x:c>
      <x:c r="F127" s="17" t="str">
        <x:v>Lite</x:v>
      </x:c>
      <x:c r="G127" s="21" t="n">
        <x:v>44780</x:v>
      </x:c>
      <x:c r="H127" s="21" t="n">
        <x:v>10616</x:v>
      </x:c>
      <x:c r="I127" s="17" t="str">
        <x:v>Correction</x:v>
      </x:c>
    </x:row>
    <x:row r="128" ht="23" customHeight="1">
      <x:c r="A128" s="17" t="str">
        <x:v>U00122</x:v>
      </x:c>
      <x:c r="B128" s="18" t="n">
        <x:v>46276</x:v>
      </x:c>
      <x:c r="C128" s="17" t="str">
        <x:v>W0017</x:v>
      </x:c>
      <x:c r="D128" s="17" t="str">
        <x:v>C001</x:v>
      </x:c>
      <x:c r="E128" s="17" t="str">
        <x:v>CopyStudio</x:v>
      </x:c>
      <x:c r="F128" s="17" t="str">
        <x:v>Lite</x:v>
      </x:c>
      <x:c r="G128" s="21" t="n">
        <x:v>58826</x:v>
      </x:c>
      <x:c r="H128" s="21" t="n">
        <x:v>9811</x:v>
      </x:c>
      <x:c r="I128" s="17" t="str">
        <x:v>Followup</x:v>
      </x:c>
    </x:row>
    <x:row r="129" ht="23" customHeight="1">
      <x:c r="A129" s="17" t="str">
        <x:v>U00123</x:v>
      </x:c>
      <x:c r="B129" s="18" t="n">
        <x:v>46279</x:v>
      </x:c>
      <x:c r="C129" s="17" t="str">
        <x:v>W0017</x:v>
      </x:c>
      <x:c r="D129" s="17" t="str">
        <x:v>C001</x:v>
      </x:c>
      <x:c r="E129" s="17" t="str">
        <x:v>CopyStudio</x:v>
      </x:c>
      <x:c r="F129" s="17" t="str">
        <x:v>Lite</x:v>
      </x:c>
      <x:c r="G129" s="21" t="n">
        <x:v>30124</x:v>
      </x:c>
      <x:c r="H129" s="21" t="n">
        <x:v>3952</x:v>
      </x:c>
      <x:c r="I129" s="17" t="str">
        <x:v>Followup</x:v>
      </x:c>
    </x:row>
    <x:row r="130" ht="23" customHeight="1">
      <x:c r="A130" s="17" t="str">
        <x:v>U00124</x:v>
      </x:c>
      <x:c r="B130" s="18" t="n">
        <x:v>46279</x:v>
      </x:c>
      <x:c r="C130" s="17" t="str">
        <x:v>W0017</x:v>
      </x:c>
      <x:c r="D130" s="17" t="str">
        <x:v>C001</x:v>
      </x:c>
      <x:c r="E130" s="17" t="str">
        <x:v>CopyStudio</x:v>
      </x:c>
      <x:c r="F130" s="17" t="str">
        <x:v>Lite</x:v>
      </x:c>
      <x:c r="G130" s="21" t="n">
        <x:v>30457</x:v>
      </x:c>
      <x:c r="H130" s="21" t="n">
        <x:v>6700</x:v>
      </x:c>
      <x:c r="I130" s="17" t="str">
        <x:v>Followup</x:v>
      </x:c>
    </x:row>
    <x:row r="131" ht="23" customHeight="1">
      <x:c r="A131" s="17" t="str">
        <x:v>U00125</x:v>
      </x:c>
      <x:c r="B131" s="18" t="n">
        <x:v>46279</x:v>
      </x:c>
      <x:c r="C131" s="17" t="str">
        <x:v>W0017</x:v>
      </x:c>
      <x:c r="D131" s="17" t="str">
        <x:v>C001</x:v>
      </x:c>
      <x:c r="E131" s="17" t="str">
        <x:v>CopyStudio</x:v>
      </x:c>
      <x:c r="F131" s="17" t="str">
        <x:v>Lite</x:v>
      </x:c>
      <x:c r="G131" s="21" t="n">
        <x:v>52411</x:v>
      </x:c>
      <x:c r="H131" s="21" t="n">
        <x:v>10926</x:v>
      </x:c>
      <x:c r="I131" s="17" t="str">
        <x:v>Followup</x:v>
      </x:c>
    </x:row>
    <x:row r="132" ht="23" customHeight="1">
      <x:c r="A132" s="17" t="str">
        <x:v>U00126</x:v>
      </x:c>
      <x:c r="B132" s="18" t="n">
        <x:v>46280</x:v>
      </x:c>
      <x:c r="C132" s="17" t="str">
        <x:v>W0017</x:v>
      </x:c>
      <x:c r="D132" s="17" t="str">
        <x:v>C001</x:v>
      </x:c>
      <x:c r="E132" s="17" t="str">
        <x:v>CopyStudio</x:v>
      </x:c>
      <x:c r="F132" s="17" t="str">
        <x:v>Lite</x:v>
      </x:c>
      <x:c r="G132" s="21" t="n">
        <x:v>24286</x:v>
      </x:c>
      <x:c r="H132" s="21" t="n">
        <x:v>5084</x:v>
      </x:c>
      <x:c r="I132" s="17" t="str">
        <x:v>Followup</x:v>
      </x:c>
    </x:row>
    <x:row r="133" ht="23" customHeight="1">
      <x:c r="A133" s="17" t="str">
        <x:v>U00127</x:v>
      </x:c>
      <x:c r="B133" s="18" t="n">
        <x:v>46280</x:v>
      </x:c>
      <x:c r="C133" s="17" t="str">
        <x:v>W0017</x:v>
      </x:c>
      <x:c r="D133" s="17" t="str">
        <x:v>C001</x:v>
      </x:c>
      <x:c r="E133" s="17" t="str">
        <x:v>CopyStudio</x:v>
      </x:c>
      <x:c r="F133" s="17" t="str">
        <x:v>Lite</x:v>
      </x:c>
      <x:c r="G133" s="21" t="n">
        <x:v>43141</x:v>
      </x:c>
      <x:c r="H133" s="21" t="n">
        <x:v>8306</x:v>
      </x:c>
      <x:c r="I133" s="17" t="str">
        <x:v>Followup</x:v>
      </x:c>
    </x:row>
    <x:row r="134" ht="23" customHeight="1">
      <x:c r="A134" s="17" t="str">
        <x:v>U00128</x:v>
      </x:c>
      <x:c r="B134" s="18" t="n">
        <x:v>46280</x:v>
      </x:c>
      <x:c r="C134" s="17" t="str">
        <x:v>W0017</x:v>
      </x:c>
      <x:c r="D134" s="17" t="str">
        <x:v>C001</x:v>
      </x:c>
      <x:c r="E134" s="17" t="str">
        <x:v>CopyStudio</x:v>
      </x:c>
      <x:c r="F134" s="17" t="str">
        <x:v>Lite</x:v>
      </x:c>
      <x:c r="G134" s="21" t="n">
        <x:v>37540</x:v>
      </x:c>
      <x:c r="H134" s="21" t="n">
        <x:v>6585</x:v>
      </x:c>
      <x:c r="I134" s="17" t="str">
        <x:v>Followup</x:v>
      </x:c>
    </x:row>
    <x:row r="135" ht="23" customHeight="1">
      <x:c r="A135" s="17" t="str">
        <x:v>U00129</x:v>
      </x:c>
      <x:c r="B135" s="18" t="n">
        <x:v>46281</x:v>
      </x:c>
      <x:c r="C135" s="17" t="str">
        <x:v>W0017</x:v>
      </x:c>
      <x:c r="D135" s="17" t="str">
        <x:v>C001</x:v>
      </x:c>
      <x:c r="E135" s="17" t="str">
        <x:v>CopyStudio</x:v>
      </x:c>
      <x:c r="F135" s="17" t="str">
        <x:v>Lite</x:v>
      </x:c>
      <x:c r="G135" s="21" t="n">
        <x:v>65409</x:v>
      </x:c>
      <x:c r="H135" s="21" t="n">
        <x:v>5908</x:v>
      </x:c>
      <x:c r="I135" s="17" t="str">
        <x:v>Followup</x:v>
      </x:c>
    </x:row>
    <x:row r="136" ht="23" customHeight="1">
      <x:c r="A136" s="17" t="str">
        <x:v>U00130</x:v>
      </x:c>
      <x:c r="B136" s="18" t="n">
        <x:v>46281</x:v>
      </x:c>
      <x:c r="C136" s="17" t="str">
        <x:v>W0017</x:v>
      </x:c>
      <x:c r="D136" s="17" t="str">
        <x:v>C001</x:v>
      </x:c>
      <x:c r="E136" s="17" t="str">
        <x:v>CopyStudio</x:v>
      </x:c>
      <x:c r="F136" s="17" t="str">
        <x:v>Lite</x:v>
      </x:c>
      <x:c r="G136" s="21" t="n">
        <x:v>53384</x:v>
      </x:c>
      <x:c r="H136" s="21" t="n">
        <x:v>9650</x:v>
      </x:c>
      <x:c r="I136" s="17" t="str">
        <x:v>Followup</x:v>
      </x:c>
    </x:row>
    <x:row r="137" ht="23" customHeight="1">
      <x:c r="A137" s="17" t="str">
        <x:v>U00131</x:v>
      </x:c>
      <x:c r="B137" s="18" t="n">
        <x:v>46281</x:v>
      </x:c>
      <x:c r="C137" s="17" t="str">
        <x:v>W0017</x:v>
      </x:c>
      <x:c r="D137" s="17" t="str">
        <x:v>C001</x:v>
      </x:c>
      <x:c r="E137" s="17" t="str">
        <x:v>CopyStudio</x:v>
      </x:c>
      <x:c r="F137" s="17" t="str">
        <x:v>Lite</x:v>
      </x:c>
      <x:c r="G137" s="21" t="n">
        <x:v>52118</x:v>
      </x:c>
      <x:c r="H137" s="21" t="n">
        <x:v>11785</x:v>
      </x:c>
      <x:c r="I137" s="17" t="str">
        <x:v>Followup</x:v>
      </x:c>
    </x:row>
    <x:row r="138" ht="23" customHeight="1">
      <x:c r="A138" s="17" t="str">
        <x:v>U00132</x:v>
      </x:c>
      <x:c r="B138" s="18" t="n">
        <x:v>46287</x:v>
      </x:c>
      <x:c r="C138" s="17" t="str">
        <x:v>W0018</x:v>
      </x:c>
      <x:c r="D138" s="17" t="str">
        <x:v>C001</x:v>
      </x:c>
      <x:c r="E138" s="17" t="str">
        <x:v>CopyStudio</x:v>
      </x:c>
      <x:c r="F138" s="17" t="str">
        <x:v>Lite</x:v>
      </x:c>
      <x:c r="G138" s="21" t="n">
        <x:v>36126</x:v>
      </x:c>
      <x:c r="H138" s="21" t="n">
        <x:v>7745</x:v>
      </x:c>
      <x:c r="I138" s="17" t="str">
        <x:v>First attempt</x:v>
      </x:c>
    </x:row>
    <x:row r="139" ht="23" customHeight="1">
      <x:c r="A139" s="17" t="str">
        <x:v>U00133</x:v>
      </x:c>
      <x:c r="B139" s="18" t="n">
        <x:v>46287</x:v>
      </x:c>
      <x:c r="C139" s="17" t="str">
        <x:v>W0018</x:v>
      </x:c>
      <x:c r="D139" s="17" t="str">
        <x:v>C001</x:v>
      </x:c>
      <x:c r="E139" s="17" t="str">
        <x:v>CopyStudio</x:v>
      </x:c>
      <x:c r="F139" s="17" t="str">
        <x:v>Lite</x:v>
      </x:c>
      <x:c r="G139" s="21" t="n">
        <x:v>35246</x:v>
      </x:c>
      <x:c r="H139" s="21" t="n">
        <x:v>6773</x:v>
      </x:c>
      <x:c r="I139" s="17" t="str">
        <x:v>Followup</x:v>
      </x:c>
    </x:row>
    <x:row r="140" ht="23" customHeight="1">
      <x:c r="A140" s="17" t="str">
        <x:v>U00134</x:v>
      </x:c>
      <x:c r="B140" s="18" t="n">
        <x:v>46287</x:v>
      </x:c>
      <x:c r="C140" s="17" t="str">
        <x:v>W0018</x:v>
      </x:c>
      <x:c r="D140" s="17" t="str">
        <x:v>C001</x:v>
      </x:c>
      <x:c r="E140" s="17" t="str">
        <x:v>CopyStudio</x:v>
      </x:c>
      <x:c r="F140" s="17" t="str">
        <x:v>Lite</x:v>
      </x:c>
      <x:c r="G140" s="21" t="n">
        <x:v>64250</x:v>
      </x:c>
      <x:c r="H140" s="21" t="n">
        <x:v>4910</x:v>
      </x:c>
      <x:c r="I140" s="17" t="str">
        <x:v>Followup</x:v>
      </x:c>
    </x:row>
    <x:row r="141" ht="23" customHeight="1">
      <x:c r="A141" s="17" t="str">
        <x:v>U00135</x:v>
      </x:c>
      <x:c r="B141" s="18" t="n">
        <x:v>46287</x:v>
      </x:c>
      <x:c r="C141" s="17" t="str">
        <x:v>W0018</x:v>
      </x:c>
      <x:c r="D141" s="17" t="str">
        <x:v>C001</x:v>
      </x:c>
      <x:c r="E141" s="17" t="str">
        <x:v>CopyStudio</x:v>
      </x:c>
      <x:c r="F141" s="17" t="str">
        <x:v>Lite</x:v>
      </x:c>
      <x:c r="G141" s="21" t="n">
        <x:v>36360</x:v>
      </x:c>
      <x:c r="H141" s="21" t="n">
        <x:v>6178</x:v>
      </x:c>
      <x:c r="I141" s="17" t="str">
        <x:v>Followup</x:v>
      </x:c>
    </x:row>
    <x:row r="142" ht="23" customHeight="1">
      <x:c r="A142" s="17" t="str">
        <x:v>U00136</x:v>
      </x:c>
      <x:c r="B142" s="18" t="n">
        <x:v>46288</x:v>
      </x:c>
      <x:c r="C142" s="17" t="str">
        <x:v>W0018</x:v>
      </x:c>
      <x:c r="D142" s="17" t="str">
        <x:v>C001</x:v>
      </x:c>
      <x:c r="E142" s="17" t="str">
        <x:v>CopyStudio</x:v>
      </x:c>
      <x:c r="F142" s="17" t="str">
        <x:v>Lite</x:v>
      </x:c>
      <x:c r="G142" s="21" t="n">
        <x:v>76229</x:v>
      </x:c>
      <x:c r="H142" s="21" t="n">
        <x:v>8753</x:v>
      </x:c>
      <x:c r="I142" s="17" t="str">
        <x:v>Followup</x:v>
      </x:c>
    </x:row>
    <x:row r="143" ht="23" customHeight="1">
      <x:c r="A143" s="17" t="str">
        <x:v>U00137</x:v>
      </x:c>
      <x:c r="B143" s="18" t="n">
        <x:v>46288</x:v>
      </x:c>
      <x:c r="C143" s="17" t="str">
        <x:v>W0018</x:v>
      </x:c>
      <x:c r="D143" s="17" t="str">
        <x:v>C001</x:v>
      </x:c>
      <x:c r="E143" s="17" t="str">
        <x:v>CopyStudio</x:v>
      </x:c>
      <x:c r="F143" s="17" t="str">
        <x:v>Lite</x:v>
      </x:c>
      <x:c r="G143" s="21" t="n">
        <x:v>41698</x:v>
      </x:c>
      <x:c r="H143" s="21" t="n">
        <x:v>4277</x:v>
      </x:c>
      <x:c r="I143" s="17" t="str">
        <x:v>Followup</x:v>
      </x:c>
    </x:row>
    <x:row r="144" ht="23" customHeight="1">
      <x:c r="A144" s="17" t="str">
        <x:v>U00138</x:v>
      </x:c>
      <x:c r="B144" s="18" t="n">
        <x:v>46288</x:v>
      </x:c>
      <x:c r="C144" s="17" t="str">
        <x:v>W0018</x:v>
      </x:c>
      <x:c r="D144" s="17" t="str">
        <x:v>C001</x:v>
      </x:c>
      <x:c r="E144" s="17" t="str">
        <x:v>CopyStudio</x:v>
      </x:c>
      <x:c r="F144" s="17" t="str">
        <x:v>Lite</x:v>
      </x:c>
      <x:c r="G144" s="21" t="n">
        <x:v>62360</x:v>
      </x:c>
      <x:c r="H144" s="21" t="n">
        <x:v>11313</x:v>
      </x:c>
      <x:c r="I144" s="17" t="str">
        <x:v>Followup</x:v>
      </x:c>
    </x:row>
    <x:row r="145" ht="23" customHeight="1">
      <x:c r="A145" s="17" t="str">
        <x:v>U00139</x:v>
      </x:c>
      <x:c r="B145" s="18" t="n">
        <x:v>46289</x:v>
      </x:c>
      <x:c r="C145" s="17" t="str">
        <x:v>W0018</x:v>
      </x:c>
      <x:c r="D145" s="17" t="str">
        <x:v>C001</x:v>
      </x:c>
      <x:c r="E145" s="17" t="str">
        <x:v>CopyStudio</x:v>
      </x:c>
      <x:c r="F145" s="17" t="str">
        <x:v>Lite</x:v>
      </x:c>
      <x:c r="G145" s="21" t="n">
        <x:v>35912</x:v>
      </x:c>
      <x:c r="H145" s="21" t="n">
        <x:v>3450</x:v>
      </x:c>
      <x:c r="I145" s="17" t="str">
        <x:v>Followup</x:v>
      </x:c>
    </x:row>
    <x:row r="146" ht="23" customHeight="1">
      <x:c r="A146" s="17" t="str">
        <x:v>U00140</x:v>
      </x:c>
      <x:c r="B146" s="18" t="n">
        <x:v>46289</x:v>
      </x:c>
      <x:c r="C146" s="17" t="str">
        <x:v>W0018</x:v>
      </x:c>
      <x:c r="D146" s="17" t="str">
        <x:v>C001</x:v>
      </x:c>
      <x:c r="E146" s="17" t="str">
        <x:v>CopyStudio</x:v>
      </x:c>
      <x:c r="F146" s="17" t="str">
        <x:v>Lite</x:v>
      </x:c>
      <x:c r="G146" s="21" t="n">
        <x:v>50312</x:v>
      </x:c>
      <x:c r="H146" s="21" t="n">
        <x:v>7759</x:v>
      </x:c>
      <x:c r="I146" s="17" t="str">
        <x:v>Followup</x:v>
      </x:c>
    </x:row>
    <x:row r="147" ht="23" customHeight="1">
      <x:c r="A147" s="17" t="str">
        <x:v>U00141</x:v>
      </x:c>
      <x:c r="B147" s="18" t="n">
        <x:v>46289</x:v>
      </x:c>
      <x:c r="C147" s="17" t="str">
        <x:v>W0018</x:v>
      </x:c>
      <x:c r="D147" s="17" t="str">
        <x:v>C001</x:v>
      </x:c>
      <x:c r="E147" s="17" t="str">
        <x:v>CopyStudio</x:v>
      </x:c>
      <x:c r="F147" s="17" t="str">
        <x:v>Lite</x:v>
      </x:c>
      <x:c r="G147" s="21" t="n">
        <x:v>71632</x:v>
      </x:c>
      <x:c r="H147" s="21" t="n">
        <x:v>6716</x:v>
      </x:c>
      <x:c r="I147" s="17" t="str">
        <x:v>Followup</x:v>
      </x:c>
    </x:row>
    <x:row r="148" ht="23" customHeight="1">
      <x:c r="A148" s="17" t="str">
        <x:v>U00142</x:v>
      </x:c>
      <x:c r="B148" s="18" t="n">
        <x:v>46290</x:v>
      </x:c>
      <x:c r="C148" s="17" t="str">
        <x:v>W0018</x:v>
      </x:c>
      <x:c r="D148" s="17" t="str">
        <x:v>C001</x:v>
      </x:c>
      <x:c r="E148" s="17" t="str">
        <x:v>CopyStudio</x:v>
      </x:c>
      <x:c r="F148" s="17" t="str">
        <x:v>Lite</x:v>
      </x:c>
      <x:c r="G148" s="21" t="n">
        <x:v>53118</x:v>
      </x:c>
      <x:c r="H148" s="21" t="n">
        <x:v>12746</x:v>
      </x:c>
      <x:c r="I148" s="17" t="str">
        <x:v>Followup</x:v>
      </x:c>
    </x:row>
    <x:row r="149" ht="23" customHeight="1">
      <x:c r="A149" s="17" t="str">
        <x:v>U00143</x:v>
      </x:c>
      <x:c r="B149" s="18" t="n">
        <x:v>46290</x:v>
      </x:c>
      <x:c r="C149" s="17" t="str">
        <x:v>W0018</x:v>
      </x:c>
      <x:c r="D149" s="17" t="str">
        <x:v>C001</x:v>
      </x:c>
      <x:c r="E149" s="17" t="str">
        <x:v>CopyStudio</x:v>
      </x:c>
      <x:c r="F149" s="17" t="str">
        <x:v>Lite</x:v>
      </x:c>
      <x:c r="G149" s="21" t="n">
        <x:v>72196</x:v>
      </x:c>
      <x:c r="H149" s="21" t="n">
        <x:v>8255</x:v>
      </x:c>
      <x:c r="I149" s="17" t="str">
        <x:v>Followup</x:v>
      </x:c>
    </x:row>
    <x:row r="150" ht="23" customHeight="1">
      <x:c r="A150" s="17" t="str">
        <x:v>U00144</x:v>
      </x:c>
      <x:c r="B150" s="18" t="n">
        <x:v>46290</x:v>
      </x:c>
      <x:c r="C150" s="17" t="str">
        <x:v>W0018</x:v>
      </x:c>
      <x:c r="D150" s="17" t="str">
        <x:v>C001</x:v>
      </x:c>
      <x:c r="E150" s="17" t="str">
        <x:v>CopyStudio</x:v>
      </x:c>
      <x:c r="F150" s="17" t="str">
        <x:v>Lite</x:v>
      </x:c>
      <x:c r="G150" s="21" t="n">
        <x:v>45062</x:v>
      </x:c>
      <x:c r="H150" s="21" t="n">
        <x:v>13337</x:v>
      </x:c>
      <x:c r="I150" s="17" t="str">
        <x:v>Correction</x:v>
      </x:c>
    </x:row>
    <x:row r="151" ht="23" customHeight="1">
      <x:c r="A151" s="17" t="str">
        <x:v>U00145</x:v>
      </x:c>
      <x:c r="B151" s="18" t="n">
        <x:v>46281</x:v>
      </x:c>
      <x:c r="C151" s="17" t="str">
        <x:v>W0020</x:v>
      </x:c>
      <x:c r="D151" s="17" t="str">
        <x:v>C001</x:v>
      </x:c>
      <x:c r="E151" s="17" t="str">
        <x:v>CampaignChat</x:v>
      </x:c>
      <x:c r="F151" s="17" t="str">
        <x:v>Lite</x:v>
      </x:c>
      <x:c r="G151" s="21" t="n">
        <x:v>23670</x:v>
      </x:c>
      <x:c r="H151" s="21" t="n">
        <x:v>7366</x:v>
      </x:c>
      <x:c r="I151" s="17" t="str">
        <x:v>First attempt</x:v>
      </x:c>
    </x:row>
    <x:row r="152" ht="23" customHeight="1">
      <x:c r="A152" s="17" t="str">
        <x:v>U00146</x:v>
      </x:c>
      <x:c r="B152" s="18" t="n">
        <x:v>46281</x:v>
      </x:c>
      <x:c r="C152" s="17" t="str">
        <x:v>W0020</x:v>
      </x:c>
      <x:c r="D152" s="17" t="str">
        <x:v>C001</x:v>
      </x:c>
      <x:c r="E152" s="17" t="str">
        <x:v>CampaignChat</x:v>
      </x:c>
      <x:c r="F152" s="17" t="str">
        <x:v>Lite</x:v>
      </x:c>
      <x:c r="G152" s="21" t="n">
        <x:v>30199</x:v>
      </x:c>
      <x:c r="H152" s="21" t="n">
        <x:v>7111</x:v>
      </x:c>
      <x:c r="I152" s="17" t="str">
        <x:v>Followup</x:v>
      </x:c>
    </x:row>
    <x:row r="153" ht="23" customHeight="1">
      <x:c r="A153" s="17" t="str">
        <x:v>U00147</x:v>
      </x:c>
      <x:c r="B153" s="18" t="n">
        <x:v>46282</x:v>
      </x:c>
      <x:c r="C153" s="17" t="str">
        <x:v>W0020</x:v>
      </x:c>
      <x:c r="D153" s="17" t="str">
        <x:v>C001</x:v>
      </x:c>
      <x:c r="E153" s="17" t="str">
        <x:v>CampaignChat</x:v>
      </x:c>
      <x:c r="F153" s="17" t="str">
        <x:v>Lite</x:v>
      </x:c>
      <x:c r="G153" s="21" t="n">
        <x:v>50462</x:v>
      </x:c>
      <x:c r="H153" s="21" t="n">
        <x:v>5930</x:v>
      </x:c>
      <x:c r="I153" s="17" t="str">
        <x:v>Correction</x:v>
      </x:c>
    </x:row>
    <x:row r="154" ht="23" customHeight="1">
      <x:c r="A154" s="17" t="str">
        <x:v>U00148</x:v>
      </x:c>
      <x:c r="B154" s="18" t="n">
        <x:v>46282</x:v>
      </x:c>
      <x:c r="C154" s="17" t="str">
        <x:v>W0020</x:v>
      </x:c>
      <x:c r="D154" s="17" t="str">
        <x:v>C001</x:v>
      </x:c>
      <x:c r="E154" s="17" t="str">
        <x:v>CampaignChat</x:v>
      </x:c>
      <x:c r="F154" s="17" t="str">
        <x:v>Lite</x:v>
      </x:c>
      <x:c r="G154" s="21" t="n">
        <x:v>41187</x:v>
      </x:c>
      <x:c r="H154" s="21" t="n">
        <x:v>7727</x:v>
      </x:c>
      <x:c r="I154" s="17" t="str">
        <x:v>Followup</x:v>
      </x:c>
    </x:row>
    <x:row r="155" ht="23" customHeight="1">
      <x:c r="A155" s="17" t="str">
        <x:v>U00149</x:v>
      </x:c>
      <x:c r="B155" s="18" t="n">
        <x:v>46283</x:v>
      </x:c>
      <x:c r="C155" s="17" t="str">
        <x:v>W0020</x:v>
      </x:c>
      <x:c r="D155" s="17" t="str">
        <x:v>C001</x:v>
      </x:c>
      <x:c r="E155" s="17" t="str">
        <x:v>CampaignChat</x:v>
      </x:c>
      <x:c r="F155" s="17" t="str">
        <x:v>Lite</x:v>
      </x:c>
      <x:c r="G155" s="21" t="n">
        <x:v>54163</x:v>
      </x:c>
      <x:c r="H155" s="21" t="n">
        <x:v>3992</x:v>
      </x:c>
      <x:c r="I155" s="17" t="str">
        <x:v>Followup</x:v>
      </x:c>
    </x:row>
    <x:row r="156" ht="23" customHeight="1">
      <x:c r="A156" s="17" t="str">
        <x:v>U00150</x:v>
      </x:c>
      <x:c r="B156" s="18" t="n">
        <x:v>46283</x:v>
      </x:c>
      <x:c r="C156" s="17" t="str">
        <x:v>W0020</x:v>
      </x:c>
      <x:c r="D156" s="17" t="str">
        <x:v>C001</x:v>
      </x:c>
      <x:c r="E156" s="17" t="str">
        <x:v>CampaignChat</x:v>
      </x:c>
      <x:c r="F156" s="17" t="str">
        <x:v>Lite</x:v>
      </x:c>
      <x:c r="G156" s="21" t="n">
        <x:v>45362</x:v>
      </x:c>
      <x:c r="H156" s="21" t="n">
        <x:v>6729</x:v>
      </x:c>
      <x:c r="I156" s="17" t="str">
        <x:v>Followup</x:v>
      </x:c>
    </x:row>
    <x:row r="157" ht="23" customHeight="1">
      <x:c r="A157" s="17" t="str">
        <x:v>U00151</x:v>
      </x:c>
      <x:c r="B157" s="18" t="n">
        <x:v>46286</x:v>
      </x:c>
      <x:c r="C157" s="17" t="str">
        <x:v>W0020</x:v>
      </x:c>
      <x:c r="D157" s="17" t="str">
        <x:v>C001</x:v>
      </x:c>
      <x:c r="E157" s="17" t="str">
        <x:v>CampaignChat</x:v>
      </x:c>
      <x:c r="F157" s="17" t="str">
        <x:v>Lite</x:v>
      </x:c>
      <x:c r="G157" s="21" t="n">
        <x:v>66014</x:v>
      </x:c>
      <x:c r="H157" s="21" t="n">
        <x:v>7062</x:v>
      </x:c>
      <x:c r="I157" s="17" t="str">
        <x:v>Followup</x:v>
      </x:c>
    </x:row>
    <x:row r="158" ht="23" customHeight="1">
      <x:c r="A158" s="17" t="str">
        <x:v>U00152</x:v>
      </x:c>
      <x:c r="B158" s="18" t="n">
        <x:v>46286</x:v>
      </x:c>
      <x:c r="C158" s="17" t="str">
        <x:v>W0020</x:v>
      </x:c>
      <x:c r="D158" s="17" t="str">
        <x:v>C001</x:v>
      </x:c>
      <x:c r="E158" s="17" t="str">
        <x:v>CampaignChat</x:v>
      </x:c>
      <x:c r="F158" s="17" t="str">
        <x:v>Lite</x:v>
      </x:c>
      <x:c r="G158" s="21" t="n">
        <x:v>29221</x:v>
      </x:c>
      <x:c r="H158" s="21" t="n">
        <x:v>3545</x:v>
      </x:c>
      <x:c r="I158" s="17" t="str">
        <x:v>Followup</x:v>
      </x:c>
    </x:row>
    <x:row r="159" ht="23" customHeight="1">
      <x:c r="A159" s="17" t="str">
        <x:v>U00153</x:v>
      </x:c>
      <x:c r="B159" s="18" t="n">
        <x:v>46290</x:v>
      </x:c>
      <x:c r="C159" s="17" t="str">
        <x:v>W0021</x:v>
      </x:c>
      <x:c r="D159" s="17" t="str">
        <x:v>C001</x:v>
      </x:c>
      <x:c r="E159" s="17" t="str">
        <x:v>DataFlow</x:v>
      </x:c>
      <x:c r="F159" s="17" t="str">
        <x:v>Lite</x:v>
      </x:c>
      <x:c r="G159" s="21" t="n">
        <x:v>38025</x:v>
      </x:c>
      <x:c r="H159" s="21" t="n">
        <x:v>10275</x:v>
      </x:c>
      <x:c r="I159" s="17" t="str">
        <x:v>First attempt</x:v>
      </x:c>
    </x:row>
    <x:row r="160" ht="23" customHeight="1">
      <x:c r="A160" s="17" t="str">
        <x:v>U00154</x:v>
      </x:c>
      <x:c r="B160" s="18" t="n">
        <x:v>46290</x:v>
      </x:c>
      <x:c r="C160" s="17" t="str">
        <x:v>W0021</x:v>
      </x:c>
      <x:c r="D160" s="17" t="str">
        <x:v>C001</x:v>
      </x:c>
      <x:c r="E160" s="17" t="str">
        <x:v>DataFlow</x:v>
      </x:c>
      <x:c r="F160" s="17" t="str">
        <x:v>Lite</x:v>
      </x:c>
      <x:c r="G160" s="21" t="n">
        <x:v>29823</x:v>
      </x:c>
      <x:c r="H160" s="21" t="n">
        <x:v>12027</x:v>
      </x:c>
      <x:c r="I160" s="17" t="str">
        <x:v>Followup</x:v>
      </x:c>
    </x:row>
    <x:row r="161" ht="23" customHeight="1">
      <x:c r="A161" s="17" t="str">
        <x:v>U00155</x:v>
      </x:c>
      <x:c r="B161" s="18" t="n">
        <x:v>46293</x:v>
      </x:c>
      <x:c r="C161" s="17" t="str">
        <x:v>W0021</x:v>
      </x:c>
      <x:c r="D161" s="17" t="str">
        <x:v>C001</x:v>
      </x:c>
      <x:c r="E161" s="17" t="str">
        <x:v>DataFlow</x:v>
      </x:c>
      <x:c r="F161" s="17" t="str">
        <x:v>Lite</x:v>
      </x:c>
      <x:c r="G161" s="21" t="n">
        <x:v>56819</x:v>
      </x:c>
      <x:c r="H161" s="21" t="n">
        <x:v>8037</x:v>
      </x:c>
      <x:c r="I161" s="17" t="str">
        <x:v>Followup</x:v>
      </x:c>
    </x:row>
    <x:row r="162" ht="23" customHeight="1">
      <x:c r="A162" s="17" t="str">
        <x:v>U00156</x:v>
      </x:c>
      <x:c r="B162" s="18" t="n">
        <x:v>46293</x:v>
      </x:c>
      <x:c r="C162" s="17" t="str">
        <x:v>W0021</x:v>
      </x:c>
      <x:c r="D162" s="17" t="str">
        <x:v>C001</x:v>
      </x:c>
      <x:c r="E162" s="17" t="str">
        <x:v>DataFlow</x:v>
      </x:c>
      <x:c r="F162" s="17" t="str">
        <x:v>Lite</x:v>
      </x:c>
      <x:c r="G162" s="21" t="n">
        <x:v>57322</x:v>
      </x:c>
      <x:c r="H162" s="21" t="n">
        <x:v>8955</x:v>
      </x:c>
      <x:c r="I162" s="17" t="str">
        <x:v>Followup</x:v>
      </x:c>
    </x:row>
    <x:row r="163" ht="23" customHeight="1">
      <x:c r="A163" s="17" t="str">
        <x:v>U00157</x:v>
      </x:c>
      <x:c r="B163" s="18" t="n">
        <x:v>46294</x:v>
      </x:c>
      <x:c r="C163" s="17" t="str">
        <x:v>W0021</x:v>
      </x:c>
      <x:c r="D163" s="17" t="str">
        <x:v>C001</x:v>
      </x:c>
      <x:c r="E163" s="17" t="str">
        <x:v>DataFlow</x:v>
      </x:c>
      <x:c r="F163" s="17" t="str">
        <x:v>Lite</x:v>
      </x:c>
      <x:c r="G163" s="21" t="n">
        <x:v>63432</x:v>
      </x:c>
      <x:c r="H163" s="21" t="n">
        <x:v>6731</x:v>
      </x:c>
      <x:c r="I163" s="17" t="str">
        <x:v>Followup</x:v>
      </x:c>
    </x:row>
    <x:row r="164" ht="23" customHeight="1">
      <x:c r="A164" s="17" t="str">
        <x:v>U00158</x:v>
      </x:c>
      <x:c r="B164" s="18" t="n">
        <x:v>46294</x:v>
      </x:c>
      <x:c r="C164" s="17" t="str">
        <x:v>W0021</x:v>
      </x:c>
      <x:c r="D164" s="17" t="str">
        <x:v>C001</x:v>
      </x:c>
      <x:c r="E164" s="17" t="str">
        <x:v>DataFlow</x:v>
      </x:c>
      <x:c r="F164" s="17" t="str">
        <x:v>Lite</x:v>
      </x:c>
      <x:c r="G164" s="21" t="n">
        <x:v>78428</x:v>
      </x:c>
      <x:c r="H164" s="21" t="n">
        <x:v>11155</x:v>
      </x:c>
      <x:c r="I164" s="17" t="str">
        <x:v>Followup</x:v>
      </x:c>
    </x:row>
    <x:row r="165" ht="23" customHeight="1">
      <x:c r="A165" s="17" t="str">
        <x:v>U00159</x:v>
      </x:c>
      <x:c r="B165" s="18" t="n">
        <x:v>46295</x:v>
      </x:c>
      <x:c r="C165" s="17" t="str">
        <x:v>W0021</x:v>
      </x:c>
      <x:c r="D165" s="17" t="str">
        <x:v>C001</x:v>
      </x:c>
      <x:c r="E165" s="17" t="str">
        <x:v>DataFlow</x:v>
      </x:c>
      <x:c r="F165" s="17" t="str">
        <x:v>Lite</x:v>
      </x:c>
      <x:c r="G165" s="21" t="n">
        <x:v>29972</x:v>
      </x:c>
      <x:c r="H165" s="21" t="n">
        <x:v>8154</x:v>
      </x:c>
      <x:c r="I165" s="17" t="str">
        <x:v>Correction</x:v>
      </x:c>
    </x:row>
    <x:row r="166" ht="23" customHeight="1">
      <x:c r="A166" s="17" t="str">
        <x:v>U00160</x:v>
      </x:c>
      <x:c r="B166" s="18" t="n">
        <x:v>46295</x:v>
      </x:c>
      <x:c r="C166" s="17" t="str">
        <x:v>W0021</x:v>
      </x:c>
      <x:c r="D166" s="17" t="str">
        <x:v>C001</x:v>
      </x:c>
      <x:c r="E166" s="17" t="str">
        <x:v>DataFlow</x:v>
      </x:c>
      <x:c r="F166" s="17" t="str">
        <x:v>Lite</x:v>
      </x:c>
      <x:c r="G166" s="21" t="n">
        <x:v>80962</x:v>
      </x:c>
      <x:c r="H166" s="21" t="n">
        <x:v>4413</x:v>
      </x:c>
      <x:c r="I166" s="17" t="str">
        <x:v>Followup</x:v>
      </x:c>
    </x:row>
    <x:row r="167" ht="23" customHeight="1">
      <x:c r="A167" s="17" t="str">
        <x:v>U00161</x:v>
      </x:c>
      <x:c r="B167" s="18" t="n">
        <x:v>46275</x:v>
      </x:c>
      <x:c r="C167" s="17" t="str">
        <x:v>W0022</x:v>
      </x:c>
      <x:c r="D167" s="17" t="str">
        <x:v>C001</x:v>
      </x:c>
      <x:c r="E167" s="17" t="str">
        <x:v>DataFlow</x:v>
      </x:c>
      <x:c r="F167" s="17" t="str">
        <x:v>Lite</x:v>
      </x:c>
      <x:c r="G167" s="21" t="n">
        <x:v>48932</x:v>
      </x:c>
      <x:c r="H167" s="21" t="n">
        <x:v>5805</x:v>
      </x:c>
      <x:c r="I167" s="17" t="str">
        <x:v>First attempt</x:v>
      </x:c>
    </x:row>
    <x:row r="168" ht="23" customHeight="1">
      <x:c r="A168" s="17" t="str">
        <x:v>U00162</x:v>
      </x:c>
      <x:c r="B168" s="18" t="n">
        <x:v>46275</x:v>
      </x:c>
      <x:c r="C168" s="17" t="str">
        <x:v>W0022</x:v>
      </x:c>
      <x:c r="D168" s="17" t="str">
        <x:v>C001</x:v>
      </x:c>
      <x:c r="E168" s="17" t="str">
        <x:v>DataFlow</x:v>
      </x:c>
      <x:c r="F168" s="17" t="str">
        <x:v>Lite</x:v>
      </x:c>
      <x:c r="G168" s="21" t="n">
        <x:v>53015</x:v>
      </x:c>
      <x:c r="H168" s="21" t="n">
        <x:v>12878</x:v>
      </x:c>
      <x:c r="I168" s="17" t="str">
        <x:v>Followup</x:v>
      </x:c>
    </x:row>
    <x:row r="169" ht="23" customHeight="1">
      <x:c r="A169" s="17" t="str">
        <x:v>U00163</x:v>
      </x:c>
      <x:c r="B169" s="18" t="n">
        <x:v>46275</x:v>
      </x:c>
      <x:c r="C169" s="17" t="str">
        <x:v>W0022</x:v>
      </x:c>
      <x:c r="D169" s="17" t="str">
        <x:v>C001</x:v>
      </x:c>
      <x:c r="E169" s="17" t="str">
        <x:v>DataFlow</x:v>
      </x:c>
      <x:c r="F169" s="17" t="str">
        <x:v>Lite</x:v>
      </x:c>
      <x:c r="G169" s="21" t="n">
        <x:v>73637</x:v>
      </x:c>
      <x:c r="H169" s="21" t="n">
        <x:v>9655</x:v>
      </x:c>
      <x:c r="I169" s="17" t="str">
        <x:v>Followup</x:v>
      </x:c>
    </x:row>
    <x:row r="170" ht="23" customHeight="1">
      <x:c r="A170" s="17" t="str">
        <x:v>U00164</x:v>
      </x:c>
      <x:c r="B170" s="18" t="n">
        <x:v>46276</x:v>
      </x:c>
      <x:c r="C170" s="17" t="str">
        <x:v>W0022</x:v>
      </x:c>
      <x:c r="D170" s="17" t="str">
        <x:v>C001</x:v>
      </x:c>
      <x:c r="E170" s="17" t="str">
        <x:v>DataFlow</x:v>
      </x:c>
      <x:c r="F170" s="17" t="str">
        <x:v>Lite</x:v>
      </x:c>
      <x:c r="G170" s="21" t="n">
        <x:v>50785</x:v>
      </x:c>
      <x:c r="H170" s="21" t="n">
        <x:v>11160</x:v>
      </x:c>
      <x:c r="I170" s="17" t="str">
        <x:v>Followup</x:v>
      </x:c>
    </x:row>
    <x:row r="171" ht="23" customHeight="1">
      <x:c r="A171" s="17" t="str">
        <x:v>U00165</x:v>
      </x:c>
      <x:c r="B171" s="18" t="n">
        <x:v>46276</x:v>
      </x:c>
      <x:c r="C171" s="17" t="str">
        <x:v>W0022</x:v>
      </x:c>
      <x:c r="D171" s="17" t="str">
        <x:v>C001</x:v>
      </x:c>
      <x:c r="E171" s="17" t="str">
        <x:v>DataFlow</x:v>
      </x:c>
      <x:c r="F171" s="17" t="str">
        <x:v>Lite</x:v>
      </x:c>
      <x:c r="G171" s="21" t="n">
        <x:v>43558</x:v>
      </x:c>
      <x:c r="H171" s="21" t="n">
        <x:v>4616</x:v>
      </x:c>
      <x:c r="I171" s="17" t="str">
        <x:v>Followup</x:v>
      </x:c>
    </x:row>
    <x:row r="172" ht="23" customHeight="1">
      <x:c r="A172" s="17" t="str">
        <x:v>U00166</x:v>
      </x:c>
      <x:c r="B172" s="18" t="n">
        <x:v>46276</x:v>
      </x:c>
      <x:c r="C172" s="17" t="str">
        <x:v>W0022</x:v>
      </x:c>
      <x:c r="D172" s="17" t="str">
        <x:v>C001</x:v>
      </x:c>
      <x:c r="E172" s="17" t="str">
        <x:v>DataFlow</x:v>
      </x:c>
      <x:c r="F172" s="17" t="str">
        <x:v>Lite</x:v>
      </x:c>
      <x:c r="G172" s="21" t="n">
        <x:v>69387</x:v>
      </x:c>
      <x:c r="H172" s="21" t="n">
        <x:v>12176</x:v>
      </x:c>
      <x:c r="I172" s="17" t="str">
        <x:v>Followup</x:v>
      </x:c>
    </x:row>
    <x:row r="173" ht="23" customHeight="1">
      <x:c r="A173" s="17" t="str">
        <x:v>U00167</x:v>
      </x:c>
      <x:c r="B173" s="18" t="n">
        <x:v>46279</x:v>
      </x:c>
      <x:c r="C173" s="17" t="str">
        <x:v>W0022</x:v>
      </x:c>
      <x:c r="D173" s="17" t="str">
        <x:v>C001</x:v>
      </x:c>
      <x:c r="E173" s="17" t="str">
        <x:v>DataFlow</x:v>
      </x:c>
      <x:c r="F173" s="17" t="str">
        <x:v>Lite</x:v>
      </x:c>
      <x:c r="G173" s="21" t="n">
        <x:v>70776</x:v>
      </x:c>
      <x:c r="H173" s="21" t="n">
        <x:v>10268</x:v>
      </x:c>
      <x:c r="I173" s="17" t="str">
        <x:v>Followup</x:v>
      </x:c>
    </x:row>
    <x:row r="174" ht="23" customHeight="1">
      <x:c r="A174" s="17" t="str">
        <x:v>U00168</x:v>
      </x:c>
      <x:c r="B174" s="18" t="n">
        <x:v>46279</x:v>
      </x:c>
      <x:c r="C174" s="17" t="str">
        <x:v>W0022</x:v>
      </x:c>
      <x:c r="D174" s="17" t="str">
        <x:v>C001</x:v>
      </x:c>
      <x:c r="E174" s="17" t="str">
        <x:v>DataFlow</x:v>
      </x:c>
      <x:c r="F174" s="17" t="str">
        <x:v>Lite</x:v>
      </x:c>
      <x:c r="G174" s="21" t="n">
        <x:v>33028</x:v>
      </x:c>
      <x:c r="H174" s="21" t="n">
        <x:v>9369</x:v>
      </x:c>
      <x:c r="I174" s="17" t="str">
        <x:v>Followup</x:v>
      </x:c>
    </x:row>
    <x:row r="175" ht="23" customHeight="1">
      <x:c r="A175" s="17" t="str">
        <x:v>U00169</x:v>
      </x:c>
      <x:c r="B175" s="18" t="n">
        <x:v>46279</x:v>
      </x:c>
      <x:c r="C175" s="17" t="str">
        <x:v>W0022</x:v>
      </x:c>
      <x:c r="D175" s="17" t="str">
        <x:v>C001</x:v>
      </x:c>
      <x:c r="E175" s="17" t="str">
        <x:v>DataFlow</x:v>
      </x:c>
      <x:c r="F175" s="17" t="str">
        <x:v>Lite</x:v>
      </x:c>
      <x:c r="G175" s="21" t="n">
        <x:v>76037</x:v>
      </x:c>
      <x:c r="H175" s="21" t="n">
        <x:v>13761</x:v>
      </x:c>
      <x:c r="I175" s="17" t="str">
        <x:v>Followup</x:v>
      </x:c>
    </x:row>
    <x:row r="176" ht="23" customHeight="1">
      <x:c r="A176" s="17" t="str">
        <x:v>U00170</x:v>
      </x:c>
      <x:c r="B176" s="18" t="n">
        <x:v>46280</x:v>
      </x:c>
      <x:c r="C176" s="17" t="str">
        <x:v>W0022</x:v>
      </x:c>
      <x:c r="D176" s="17" t="str">
        <x:v>C001</x:v>
      </x:c>
      <x:c r="E176" s="17" t="str">
        <x:v>DataFlow</x:v>
      </x:c>
      <x:c r="F176" s="17" t="str">
        <x:v>Lite</x:v>
      </x:c>
      <x:c r="G176" s="21" t="n">
        <x:v>29177</x:v>
      </x:c>
      <x:c r="H176" s="21" t="n">
        <x:v>10718</x:v>
      </x:c>
      <x:c r="I176" s="17" t="str">
        <x:v>Correction</x:v>
      </x:c>
    </x:row>
    <x:row r="177" ht="23" customHeight="1">
      <x:c r="A177" s="17" t="str">
        <x:v>U00171</x:v>
      </x:c>
      <x:c r="B177" s="18" t="n">
        <x:v>46280</x:v>
      </x:c>
      <x:c r="C177" s="17" t="str">
        <x:v>W0022</x:v>
      </x:c>
      <x:c r="D177" s="17" t="str">
        <x:v>C001</x:v>
      </x:c>
      <x:c r="E177" s="17" t="str">
        <x:v>DataFlow</x:v>
      </x:c>
      <x:c r="F177" s="17" t="str">
        <x:v>Lite</x:v>
      </x:c>
      <x:c r="G177" s="21" t="n">
        <x:v>62366</x:v>
      </x:c>
      <x:c r="H177" s="21" t="n">
        <x:v>14181</x:v>
      </x:c>
      <x:c r="I177" s="17" t="str">
        <x:v>Followup</x:v>
      </x:c>
    </x:row>
    <x:row r="178" ht="23" customHeight="1">
      <x:c r="A178" s="17" t="str">
        <x:v>U00172</x:v>
      </x:c>
      <x:c r="B178" s="18" t="n">
        <x:v>46280</x:v>
      </x:c>
      <x:c r="C178" s="17" t="str">
        <x:v>W0022</x:v>
      </x:c>
      <x:c r="D178" s="17" t="str">
        <x:v>C001</x:v>
      </x:c>
      <x:c r="E178" s="17" t="str">
        <x:v>DataFlow</x:v>
      </x:c>
      <x:c r="F178" s="17" t="str">
        <x:v>Lite</x:v>
      </x:c>
      <x:c r="G178" s="21" t="n">
        <x:v>48674</x:v>
      </x:c>
      <x:c r="H178" s="21" t="n">
        <x:v>6201</x:v>
      </x:c>
      <x:c r="I178" s="17" t="str">
        <x:v>Followup</x:v>
      </x:c>
    </x:row>
    <x:row r="179" ht="23" customHeight="1">
      <x:c r="A179" s="17" t="str">
        <x:v>U00173</x:v>
      </x:c>
      <x:c r="B179" s="18" t="n">
        <x:v>46268</x:v>
      </x:c>
      <x:c r="C179" s="17" t="str">
        <x:v>W0024</x:v>
      </x:c>
      <x:c r="D179" s="17" t="str">
        <x:v>C001</x:v>
      </x:c>
      <x:c r="E179" s="17" t="str">
        <x:v>CampaignChat</x:v>
      </x:c>
      <x:c r="F179" s="17" t="str">
        <x:v>Lite</x:v>
      </x:c>
      <x:c r="G179" s="21" t="n">
        <x:v>36115</x:v>
      </x:c>
      <x:c r="H179" s="21" t="n">
        <x:v>7055</x:v>
      </x:c>
      <x:c r="I179" s="17" t="str">
        <x:v>First attempt</x:v>
      </x:c>
    </x:row>
    <x:row r="180" ht="23" customHeight="1">
      <x:c r="A180" s="17" t="str">
        <x:v>U00174</x:v>
      </x:c>
      <x:c r="B180" s="18" t="n">
        <x:v>46268</x:v>
      </x:c>
      <x:c r="C180" s="17" t="str">
        <x:v>W0024</x:v>
      </x:c>
      <x:c r="D180" s="17" t="str">
        <x:v>C001</x:v>
      </x:c>
      <x:c r="E180" s="17" t="str">
        <x:v>CampaignChat</x:v>
      </x:c>
      <x:c r="F180" s="17" t="str">
        <x:v>Lite</x:v>
      </x:c>
      <x:c r="G180" s="21" t="n">
        <x:v>41178</x:v>
      </x:c>
      <x:c r="H180" s="21" t="n">
        <x:v>7072</x:v>
      </x:c>
      <x:c r="I180" s="17" t="str">
        <x:v>Followup</x:v>
      </x:c>
    </x:row>
    <x:row r="181" ht="23" customHeight="1">
      <x:c r="A181" s="17" t="str">
        <x:v>U00175</x:v>
      </x:c>
      <x:c r="B181" s="18" t="n">
        <x:v>46268</x:v>
      </x:c>
      <x:c r="C181" s="17" t="str">
        <x:v>W0024</x:v>
      </x:c>
      <x:c r="D181" s="17" t="str">
        <x:v>C001</x:v>
      </x:c>
      <x:c r="E181" s="17" t="str">
        <x:v>CampaignChat</x:v>
      </x:c>
      <x:c r="F181" s="17" t="str">
        <x:v>Lite</x:v>
      </x:c>
      <x:c r="G181" s="21" t="n">
        <x:v>30307</x:v>
      </x:c>
      <x:c r="H181" s="21" t="n">
        <x:v>5052</x:v>
      </x:c>
      <x:c r="I181" s="17" t="str">
        <x:v>Followup</x:v>
      </x:c>
    </x:row>
    <x:row r="182" ht="23" customHeight="1">
      <x:c r="A182" s="17" t="str">
        <x:v>U00176</x:v>
      </x:c>
      <x:c r="B182" s="18" t="n">
        <x:v>46269</x:v>
      </x:c>
      <x:c r="C182" s="17" t="str">
        <x:v>W0024</x:v>
      </x:c>
      <x:c r="D182" s="17" t="str">
        <x:v>C001</x:v>
      </x:c>
      <x:c r="E182" s="17" t="str">
        <x:v>CampaignChat</x:v>
      </x:c>
      <x:c r="F182" s="17" t="str">
        <x:v>Lite</x:v>
      </x:c>
      <x:c r="G182" s="21" t="n">
        <x:v>26237</x:v>
      </x:c>
      <x:c r="H182" s="21" t="n">
        <x:v>13820</x:v>
      </x:c>
      <x:c r="I182" s="17" t="str">
        <x:v>Followup</x:v>
      </x:c>
    </x:row>
    <x:row r="183" ht="23" customHeight="1">
      <x:c r="A183" s="17" t="str">
        <x:v>U00177</x:v>
      </x:c>
      <x:c r="B183" s="18" t="n">
        <x:v>46269</x:v>
      </x:c>
      <x:c r="C183" s="17" t="str">
        <x:v>W0024</x:v>
      </x:c>
      <x:c r="D183" s="17" t="str">
        <x:v>C001</x:v>
      </x:c>
      <x:c r="E183" s="17" t="str">
        <x:v>CampaignChat</x:v>
      </x:c>
      <x:c r="F183" s="17" t="str">
        <x:v>Lite</x:v>
      </x:c>
      <x:c r="G183" s="21" t="n">
        <x:v>28528</x:v>
      </x:c>
      <x:c r="H183" s="21" t="n">
        <x:v>10270</x:v>
      </x:c>
      <x:c r="I183" s="17" t="str">
        <x:v>Followup</x:v>
      </x:c>
    </x:row>
    <x:row r="184" ht="23" customHeight="1">
      <x:c r="A184" s="17" t="str">
        <x:v>U00178</x:v>
      </x:c>
      <x:c r="B184" s="18" t="n">
        <x:v>46269</x:v>
      </x:c>
      <x:c r="C184" s="17" t="str">
        <x:v>W0024</x:v>
      </x:c>
      <x:c r="D184" s="17" t="str">
        <x:v>C001</x:v>
      </x:c>
      <x:c r="E184" s="17" t="str">
        <x:v>CampaignChat</x:v>
      </x:c>
      <x:c r="F184" s="17" t="str">
        <x:v>Lite</x:v>
      </x:c>
      <x:c r="G184" s="21" t="n">
        <x:v>35094</x:v>
      </x:c>
      <x:c r="H184" s="21" t="n">
        <x:v>13420</x:v>
      </x:c>
      <x:c r="I184" s="17" t="str">
        <x:v>Followup</x:v>
      </x:c>
    </x:row>
    <x:row r="185" ht="23" customHeight="1">
      <x:c r="A185" s="17" t="str">
        <x:v>U00179</x:v>
      </x:c>
      <x:c r="B185" s="18" t="n">
        <x:v>46273</x:v>
      </x:c>
      <x:c r="C185" s="17" t="str">
        <x:v>W0024</x:v>
      </x:c>
      <x:c r="D185" s="17" t="str">
        <x:v>C001</x:v>
      </x:c>
      <x:c r="E185" s="17" t="str">
        <x:v>CampaignChat</x:v>
      </x:c>
      <x:c r="F185" s="17" t="str">
        <x:v>Lite</x:v>
      </x:c>
      <x:c r="G185" s="21" t="n">
        <x:v>19254</x:v>
      </x:c>
      <x:c r="H185" s="21" t="n">
        <x:v>6670</x:v>
      </x:c>
      <x:c r="I185" s="17" t="str">
        <x:v>Followup</x:v>
      </x:c>
    </x:row>
    <x:row r="186" ht="23" customHeight="1">
      <x:c r="A186" s="17" t="str">
        <x:v>U00180</x:v>
      </x:c>
      <x:c r="B186" s="18" t="n">
        <x:v>46273</x:v>
      </x:c>
      <x:c r="C186" s="17" t="str">
        <x:v>W0024</x:v>
      </x:c>
      <x:c r="D186" s="17" t="str">
        <x:v>C001</x:v>
      </x:c>
      <x:c r="E186" s="17" t="str">
        <x:v>CampaignChat</x:v>
      </x:c>
      <x:c r="F186" s="17" t="str">
        <x:v>Lite</x:v>
      </x:c>
      <x:c r="G186" s="21" t="n">
        <x:v>22519</x:v>
      </x:c>
      <x:c r="H186" s="21" t="n">
        <x:v>6339</x:v>
      </x:c>
      <x:c r="I186" s="17" t="str">
        <x:v>Followup</x:v>
      </x:c>
    </x:row>
    <x:row r="187" ht="23" customHeight="1">
      <x:c r="A187" s="17" t="str">
        <x:v>U00181</x:v>
      </x:c>
      <x:c r="B187" s="18" t="n">
        <x:v>46273</x:v>
      </x:c>
      <x:c r="C187" s="17" t="str">
        <x:v>W0024</x:v>
      </x:c>
      <x:c r="D187" s="17" t="str">
        <x:v>C001</x:v>
      </x:c>
      <x:c r="E187" s="17" t="str">
        <x:v>CampaignChat</x:v>
      </x:c>
      <x:c r="F187" s="17" t="str">
        <x:v>Lite</x:v>
      </x:c>
      <x:c r="G187" s="21" t="n">
        <x:v>43126</x:v>
      </x:c>
      <x:c r="H187" s="21" t="n">
        <x:v>11978</x:v>
      </x:c>
      <x:c r="I187" s="17" t="str">
        <x:v>Correction</x:v>
      </x:c>
    </x:row>
    <x:row r="188" ht="23" customHeight="1">
      <x:c r="A188" s="17" t="str">
        <x:v>U00182</x:v>
      </x:c>
      <x:c r="B188" s="18" t="n">
        <x:v>46274</x:v>
      </x:c>
      <x:c r="C188" s="17" t="str">
        <x:v>W0024</x:v>
      </x:c>
      <x:c r="D188" s="17" t="str">
        <x:v>C001</x:v>
      </x:c>
      <x:c r="E188" s="17" t="str">
        <x:v>CampaignChat</x:v>
      </x:c>
      <x:c r="F188" s="17" t="str">
        <x:v>Lite</x:v>
      </x:c>
      <x:c r="G188" s="21" t="n">
        <x:v>22618</x:v>
      </x:c>
      <x:c r="H188" s="21" t="n">
        <x:v>10272</x:v>
      </x:c>
      <x:c r="I188" s="17" t="str">
        <x:v>Correction</x:v>
      </x:c>
    </x:row>
    <x:row r="189" ht="23" customHeight="1">
      <x:c r="A189" s="17" t="str">
        <x:v>U00183</x:v>
      </x:c>
      <x:c r="B189" s="18" t="n">
        <x:v>46274</x:v>
      </x:c>
      <x:c r="C189" s="17" t="str">
        <x:v>W0024</x:v>
      </x:c>
      <x:c r="D189" s="17" t="str">
        <x:v>C001</x:v>
      </x:c>
      <x:c r="E189" s="17" t="str">
        <x:v>CampaignChat</x:v>
      </x:c>
      <x:c r="F189" s="17" t="str">
        <x:v>Lite</x:v>
      </x:c>
      <x:c r="G189" s="21" t="n">
        <x:v>35483</x:v>
      </x:c>
      <x:c r="H189" s="21" t="n">
        <x:v>6095</x:v>
      </x:c>
      <x:c r="I189" s="17" t="str">
        <x:v>Followup</x:v>
      </x:c>
    </x:row>
    <x:row r="190" ht="23" customHeight="1">
      <x:c r="A190" s="17" t="str">
        <x:v>U00184</x:v>
      </x:c>
      <x:c r="B190" s="18" t="n">
        <x:v>46274</x:v>
      </x:c>
      <x:c r="C190" s="17" t="str">
        <x:v>W0024</x:v>
      </x:c>
      <x:c r="D190" s="17" t="str">
        <x:v>C001</x:v>
      </x:c>
      <x:c r="E190" s="17" t="str">
        <x:v>CampaignChat</x:v>
      </x:c>
      <x:c r="F190" s="17" t="str">
        <x:v>Lite</x:v>
      </x:c>
      <x:c r="G190" s="21" t="n">
        <x:v>34357</x:v>
      </x:c>
      <x:c r="H190" s="21" t="n">
        <x:v>9262</x:v>
      </x:c>
      <x:c r="I190" s="17" t="str">
        <x:v>Followup</x:v>
      </x:c>
    </x:row>
    <x:row r="191" ht="23" customHeight="1">
      <x:c r="A191" s="17" t="str">
        <x:v>U00185</x:v>
      </x:c>
      <x:c r="B191" s="18" t="n">
        <x:v>46280</x:v>
      </x:c>
      <x:c r="C191" s="17" t="str">
        <x:v>W0025</x:v>
      </x:c>
      <x:c r="D191" s="17" t="str">
        <x:v>C001</x:v>
      </x:c>
      <x:c r="E191" s="17" t="str">
        <x:v>CopyStudio</x:v>
      </x:c>
      <x:c r="F191" s="17" t="str">
        <x:v>Lite</x:v>
      </x:c>
      <x:c r="G191" s="21" t="n">
        <x:v>23311</x:v>
      </x:c>
      <x:c r="H191" s="21" t="n">
        <x:v>7293</x:v>
      </x:c>
      <x:c r="I191" s="17" t="str">
        <x:v>First attempt</x:v>
      </x:c>
    </x:row>
    <x:row r="192" ht="23" customHeight="1">
      <x:c r="A192" s="17" t="str">
        <x:v>U00186</x:v>
      </x:c>
      <x:c r="B192" s="18" t="n">
        <x:v>46280</x:v>
      </x:c>
      <x:c r="C192" s="17" t="str">
        <x:v>W0025</x:v>
      </x:c>
      <x:c r="D192" s="17" t="str">
        <x:v>C001</x:v>
      </x:c>
      <x:c r="E192" s="17" t="str">
        <x:v>CopyStudio</x:v>
      </x:c>
      <x:c r="F192" s="17" t="str">
        <x:v>Lite</x:v>
      </x:c>
      <x:c r="G192" s="21" t="n">
        <x:v>24795</x:v>
      </x:c>
      <x:c r="H192" s="21" t="n">
        <x:v>12586</x:v>
      </x:c>
      <x:c r="I192" s="17" t="str">
        <x:v>Correction</x:v>
      </x:c>
    </x:row>
    <x:row r="193" ht="23" customHeight="1">
      <x:c r="A193" s="17" t="str">
        <x:v>U00187</x:v>
      </x:c>
      <x:c r="B193" s="18" t="n">
        <x:v>46280</x:v>
      </x:c>
      <x:c r="C193" s="17" t="str">
        <x:v>W0025</x:v>
      </x:c>
      <x:c r="D193" s="17" t="str">
        <x:v>C001</x:v>
      </x:c>
      <x:c r="E193" s="17" t="str">
        <x:v>CopyStudio</x:v>
      </x:c>
      <x:c r="F193" s="17" t="str">
        <x:v>Lite</x:v>
      </x:c>
      <x:c r="G193" s="21" t="n">
        <x:v>46237</x:v>
      </x:c>
      <x:c r="H193" s="21" t="n">
        <x:v>16111</x:v>
      </x:c>
      <x:c r="I193" s="17" t="str">
        <x:v>Followup</x:v>
      </x:c>
    </x:row>
    <x:row r="194" ht="23" customHeight="1">
      <x:c r="A194" s="17" t="str">
        <x:v>U00188</x:v>
      </x:c>
      <x:c r="B194" s="18" t="n">
        <x:v>46281</x:v>
      </x:c>
      <x:c r="C194" s="17" t="str">
        <x:v>W0025</x:v>
      </x:c>
      <x:c r="D194" s="17" t="str">
        <x:v>C001</x:v>
      </x:c>
      <x:c r="E194" s="17" t="str">
        <x:v>CopyStudio</x:v>
      </x:c>
      <x:c r="F194" s="17" t="str">
        <x:v>Lite</x:v>
      </x:c>
      <x:c r="G194" s="21" t="n">
        <x:v>23716</x:v>
      </x:c>
      <x:c r="H194" s="21" t="n">
        <x:v>7626</x:v>
      </x:c>
      <x:c r="I194" s="17" t="str">
        <x:v>Followup</x:v>
      </x:c>
    </x:row>
    <x:row r="195" ht="23" customHeight="1">
      <x:c r="A195" s="17" t="str">
        <x:v>U00189</x:v>
      </x:c>
      <x:c r="B195" s="18" t="n">
        <x:v>46281</x:v>
      </x:c>
      <x:c r="C195" s="17" t="str">
        <x:v>W0025</x:v>
      </x:c>
      <x:c r="D195" s="17" t="str">
        <x:v>C001</x:v>
      </x:c>
      <x:c r="E195" s="17" t="str">
        <x:v>CopyStudio</x:v>
      </x:c>
      <x:c r="F195" s="17" t="str">
        <x:v>Lite</x:v>
      </x:c>
      <x:c r="G195" s="21" t="n">
        <x:v>36914</x:v>
      </x:c>
      <x:c r="H195" s="21" t="n">
        <x:v>8975</x:v>
      </x:c>
      <x:c r="I195" s="17" t="str">
        <x:v>Followup</x:v>
      </x:c>
    </x:row>
    <x:row r="196" ht="23" customHeight="1">
      <x:c r="A196" s="17" t="str">
        <x:v>U00190</x:v>
      </x:c>
      <x:c r="B196" s="18" t="n">
        <x:v>46282</x:v>
      </x:c>
      <x:c r="C196" s="17" t="str">
        <x:v>W0025</x:v>
      </x:c>
      <x:c r="D196" s="17" t="str">
        <x:v>C001</x:v>
      </x:c>
      <x:c r="E196" s="17" t="str">
        <x:v>CopyStudio</x:v>
      </x:c>
      <x:c r="F196" s="17" t="str">
        <x:v>Lite</x:v>
      </x:c>
      <x:c r="G196" s="21" t="n">
        <x:v>26265</x:v>
      </x:c>
      <x:c r="H196" s="21" t="n">
        <x:v>18996</x:v>
      </x:c>
      <x:c r="I196" s="17" t="str">
        <x:v>Followup</x:v>
      </x:c>
    </x:row>
    <x:row r="197" ht="23" customHeight="1">
      <x:c r="A197" s="17" t="str">
        <x:v>U00191</x:v>
      </x:c>
      <x:c r="B197" s="18" t="n">
        <x:v>46282</x:v>
      </x:c>
      <x:c r="C197" s="17" t="str">
        <x:v>W0025</x:v>
      </x:c>
      <x:c r="D197" s="17" t="str">
        <x:v>C001</x:v>
      </x:c>
      <x:c r="E197" s="17" t="str">
        <x:v>CopyStudio</x:v>
      </x:c>
      <x:c r="F197" s="17" t="str">
        <x:v>Lite</x:v>
      </x:c>
      <x:c r="G197" s="21" t="n">
        <x:v>34548</x:v>
      </x:c>
      <x:c r="H197" s="21" t="n">
        <x:v>8282</x:v>
      </x:c>
      <x:c r="I197" s="17" t="str">
        <x:v>Followup</x:v>
      </x:c>
    </x:row>
    <x:row r="198" ht="23" customHeight="1">
      <x:c r="A198" s="17" t="str">
        <x:v>U00192</x:v>
      </x:c>
      <x:c r="B198" s="18" t="n">
        <x:v>46283</x:v>
      </x:c>
      <x:c r="C198" s="17" t="str">
        <x:v>W0025</x:v>
      </x:c>
      <x:c r="D198" s="17" t="str">
        <x:v>C001</x:v>
      </x:c>
      <x:c r="E198" s="17" t="str">
        <x:v>CopyStudio</x:v>
      </x:c>
      <x:c r="F198" s="17" t="str">
        <x:v>Lite</x:v>
      </x:c>
      <x:c r="G198" s="21" t="n">
        <x:v>37135</x:v>
      </x:c>
      <x:c r="H198" s="21" t="n">
        <x:v>5433</x:v>
      </x:c>
      <x:c r="I198" s="17" t="str">
        <x:v>Followup</x:v>
      </x:c>
    </x:row>
    <x:row r="199" ht="23" customHeight="1">
      <x:c r="A199" s="17" t="str">
        <x:v>U00193</x:v>
      </x:c>
      <x:c r="B199" s="18" t="n">
        <x:v>46283</x:v>
      </x:c>
      <x:c r="C199" s="17" t="str">
        <x:v>W0025</x:v>
      </x:c>
      <x:c r="D199" s="17" t="str">
        <x:v>C001</x:v>
      </x:c>
      <x:c r="E199" s="17" t="str">
        <x:v>CopyStudio</x:v>
      </x:c>
      <x:c r="F199" s="17" t="str">
        <x:v>Lite</x:v>
      </x:c>
      <x:c r="G199" s="21" t="n">
        <x:v>42403</x:v>
      </x:c>
      <x:c r="H199" s="21" t="n">
        <x:v>18104</x:v>
      </x:c>
      <x:c r="I199" s="17" t="str">
        <x:v>Followup</x:v>
      </x:c>
    </x:row>
    <x:row r="200" ht="23" customHeight="1">
      <x:c r="A200" s="17" t="str">
        <x:v>U00194</x:v>
      </x:c>
      <x:c r="B200" s="18" t="n">
        <x:v>46289</x:v>
      </x:c>
      <x:c r="C200" s="17" t="str">
        <x:v>W0026</x:v>
      </x:c>
      <x:c r="D200" s="17" t="str">
        <x:v>C001</x:v>
      </x:c>
      <x:c r="E200" s="17" t="str">
        <x:v>CopyStudio</x:v>
      </x:c>
      <x:c r="F200" s="17" t="str">
        <x:v>Lite</x:v>
      </x:c>
      <x:c r="G200" s="21" t="n">
        <x:v>52924</x:v>
      </x:c>
      <x:c r="H200" s="21" t="n">
        <x:v>6217</x:v>
      </x:c>
      <x:c r="I200" s="17" t="str">
        <x:v>First attempt</x:v>
      </x:c>
    </x:row>
    <x:row r="201" ht="23" customHeight="1">
      <x:c r="A201" s="17" t="str">
        <x:v>U00195</x:v>
      </x:c>
      <x:c r="B201" s="18" t="n">
        <x:v>46289</x:v>
      </x:c>
      <x:c r="C201" s="17" t="str">
        <x:v>W0026</x:v>
      </x:c>
      <x:c r="D201" s="17" t="str">
        <x:v>C001</x:v>
      </x:c>
      <x:c r="E201" s="17" t="str">
        <x:v>CopyStudio</x:v>
      </x:c>
      <x:c r="F201" s="17" t="str">
        <x:v>Lite</x:v>
      </x:c>
      <x:c r="G201" s="21" t="n">
        <x:v>42207</x:v>
      </x:c>
      <x:c r="H201" s="21" t="n">
        <x:v>7987</x:v>
      </x:c>
      <x:c r="I201" s="17" t="str">
        <x:v>Followup</x:v>
      </x:c>
    </x:row>
    <x:row r="202" ht="23" customHeight="1">
      <x:c r="A202" s="17" t="str">
        <x:v>U00196</x:v>
      </x:c>
      <x:c r="B202" s="18" t="n">
        <x:v>46289</x:v>
      </x:c>
      <x:c r="C202" s="17" t="str">
        <x:v>W0026</x:v>
      </x:c>
      <x:c r="D202" s="17" t="str">
        <x:v>C001</x:v>
      </x:c>
      <x:c r="E202" s="17" t="str">
        <x:v>CopyStudio</x:v>
      </x:c>
      <x:c r="F202" s="17" t="str">
        <x:v>Lite</x:v>
      </x:c>
      <x:c r="G202" s="21" t="n">
        <x:v>54435</x:v>
      </x:c>
      <x:c r="H202" s="21" t="n">
        <x:v>6796</x:v>
      </x:c>
      <x:c r="I202" s="17" t="str">
        <x:v>Followup</x:v>
      </x:c>
    </x:row>
    <x:row r="203" ht="23" customHeight="1">
      <x:c r="A203" s="17" t="str">
        <x:v>U00197</x:v>
      </x:c>
      <x:c r="B203" s="18" t="n">
        <x:v>46290</x:v>
      </x:c>
      <x:c r="C203" s="17" t="str">
        <x:v>W0026</x:v>
      </x:c>
      <x:c r="D203" s="17" t="str">
        <x:v>C001</x:v>
      </x:c>
      <x:c r="E203" s="17" t="str">
        <x:v>CopyStudio</x:v>
      </x:c>
      <x:c r="F203" s="17" t="str">
        <x:v>Lite</x:v>
      </x:c>
      <x:c r="G203" s="21" t="n">
        <x:v>25171</x:v>
      </x:c>
      <x:c r="H203" s="21" t="n">
        <x:v>6416</x:v>
      </x:c>
      <x:c r="I203" s="17" t="str">
        <x:v>Followup</x:v>
      </x:c>
    </x:row>
    <x:row r="204" ht="23" customHeight="1">
      <x:c r="A204" s="17" t="str">
        <x:v>U00198</x:v>
      </x:c>
      <x:c r="B204" s="18" t="n">
        <x:v>46290</x:v>
      </x:c>
      <x:c r="C204" s="17" t="str">
        <x:v>W0026</x:v>
      </x:c>
      <x:c r="D204" s="17" t="str">
        <x:v>C001</x:v>
      </x:c>
      <x:c r="E204" s="17" t="str">
        <x:v>CopyStudio</x:v>
      </x:c>
      <x:c r="F204" s="17" t="str">
        <x:v>Lite</x:v>
      </x:c>
      <x:c r="G204" s="21" t="n">
        <x:v>33670</x:v>
      </x:c>
      <x:c r="H204" s="21" t="n">
        <x:v>4502</x:v>
      </x:c>
      <x:c r="I204" s="17" t="str">
        <x:v>Followup</x:v>
      </x:c>
    </x:row>
    <x:row r="205" ht="23" customHeight="1">
      <x:c r="A205" s="17" t="str">
        <x:v>U00199</x:v>
      </x:c>
      <x:c r="B205" s="18" t="n">
        <x:v>46290</x:v>
      </x:c>
      <x:c r="C205" s="17" t="str">
        <x:v>W0026</x:v>
      </x:c>
      <x:c r="D205" s="17" t="str">
        <x:v>C001</x:v>
      </x:c>
      <x:c r="E205" s="17" t="str">
        <x:v>CopyStudio</x:v>
      </x:c>
      <x:c r="F205" s="17" t="str">
        <x:v>Lite</x:v>
      </x:c>
      <x:c r="G205" s="21" t="n">
        <x:v>40737</x:v>
      </x:c>
      <x:c r="H205" s="21" t="n">
        <x:v>7758</x:v>
      </x:c>
      <x:c r="I205" s="17" t="str">
        <x:v>Followup</x:v>
      </x:c>
    </x:row>
    <x:row r="206" ht="23" customHeight="1">
      <x:c r="A206" s="17" t="str">
        <x:v>U00200</x:v>
      </x:c>
      <x:c r="B206" s="18" t="n">
        <x:v>46293</x:v>
      </x:c>
      <x:c r="C206" s="17" t="str">
        <x:v>W0026</x:v>
      </x:c>
      <x:c r="D206" s="17" t="str">
        <x:v>C001</x:v>
      </x:c>
      <x:c r="E206" s="17" t="str">
        <x:v>CopyStudio</x:v>
      </x:c>
      <x:c r="F206" s="17" t="str">
        <x:v>Lite</x:v>
      </x:c>
      <x:c r="G206" s="21" t="n">
        <x:v>54441</x:v>
      </x:c>
      <x:c r="H206" s="21" t="n">
        <x:v>5709</x:v>
      </x:c>
      <x:c r="I206" s="17" t="str">
        <x:v>Correction</x:v>
      </x:c>
    </x:row>
    <x:row r="207" ht="23" customHeight="1">
      <x:c r="A207" s="17" t="str">
        <x:v>U00201</x:v>
      </x:c>
      <x:c r="B207" s="18" t="n">
        <x:v>46293</x:v>
      </x:c>
      <x:c r="C207" s="17" t="str">
        <x:v>W0026</x:v>
      </x:c>
      <x:c r="D207" s="17" t="str">
        <x:v>C001</x:v>
      </x:c>
      <x:c r="E207" s="17" t="str">
        <x:v>CopyStudio</x:v>
      </x:c>
      <x:c r="F207" s="17" t="str">
        <x:v>Lite</x:v>
      </x:c>
      <x:c r="G207" s="21" t="n">
        <x:v>42248</x:v>
      </x:c>
      <x:c r="H207" s="21" t="n">
        <x:v>2677</x:v>
      </x:c>
      <x:c r="I207" s="17" t="str">
        <x:v>Followup</x:v>
      </x:c>
    </x:row>
    <x:row r="208" ht="23" customHeight="1">
      <x:c r="A208" s="17" t="str">
        <x:v>U00202</x:v>
      </x:c>
      <x:c r="B208" s="18" t="n">
        <x:v>46293</x:v>
      </x:c>
      <x:c r="C208" s="17" t="str">
        <x:v>W0026</x:v>
      </x:c>
      <x:c r="D208" s="17" t="str">
        <x:v>C001</x:v>
      </x:c>
      <x:c r="E208" s="17" t="str">
        <x:v>CopyStudio</x:v>
      </x:c>
      <x:c r="F208" s="17" t="str">
        <x:v>Lite</x:v>
      </x:c>
      <x:c r="G208" s="21" t="n">
        <x:v>31422</x:v>
      </x:c>
      <x:c r="H208" s="21" t="n">
        <x:v>7468</x:v>
      </x:c>
      <x:c r="I208" s="17" t="str">
        <x:v>Followup</x:v>
      </x:c>
    </x:row>
    <x:row r="209" ht="23" customHeight="1">
      <x:c r="A209" s="17" t="str">
        <x:v>U00203</x:v>
      </x:c>
      <x:c r="B209" s="18" t="n">
        <x:v>46294</x:v>
      </x:c>
      <x:c r="C209" s="17" t="str">
        <x:v>W0026</x:v>
      </x:c>
      <x:c r="D209" s="17" t="str">
        <x:v>C001</x:v>
      </x:c>
      <x:c r="E209" s="17" t="str">
        <x:v>CopyStudio</x:v>
      </x:c>
      <x:c r="F209" s="17" t="str">
        <x:v>Lite</x:v>
      </x:c>
      <x:c r="G209" s="21" t="n">
        <x:v>55801</x:v>
      </x:c>
      <x:c r="H209" s="21" t="n">
        <x:v>6541</x:v>
      </x:c>
      <x:c r="I209" s="17" t="str">
        <x:v>Followup</x:v>
      </x:c>
    </x:row>
    <x:row r="210" ht="23" customHeight="1">
      <x:c r="A210" s="17" t="str">
        <x:v>U00204</x:v>
      </x:c>
      <x:c r="B210" s="18" t="n">
        <x:v>46294</x:v>
      </x:c>
      <x:c r="C210" s="17" t="str">
        <x:v>W0026</x:v>
      </x:c>
      <x:c r="D210" s="17" t="str">
        <x:v>C001</x:v>
      </x:c>
      <x:c r="E210" s="17" t="str">
        <x:v>CopyStudio</x:v>
      </x:c>
      <x:c r="F210" s="17" t="str">
        <x:v>Lite</x:v>
      </x:c>
      <x:c r="G210" s="21" t="n">
        <x:v>49150</x:v>
      </x:c>
      <x:c r="H210" s="21" t="n">
        <x:v>3682</x:v>
      </x:c>
      <x:c r="I210" s="17" t="str">
        <x:v>Followup</x:v>
      </x:c>
    </x:row>
    <x:row r="211" ht="23" customHeight="1">
      <x:c r="A211" s="17" t="str">
        <x:v>U00205</x:v>
      </x:c>
      <x:c r="B211" s="18" t="n">
        <x:v>46294</x:v>
      </x:c>
      <x:c r="C211" s="17" t="str">
        <x:v>W0026</x:v>
      </x:c>
      <x:c r="D211" s="17" t="str">
        <x:v>C001</x:v>
      </x:c>
      <x:c r="E211" s="17" t="str">
        <x:v>CopyStudio</x:v>
      </x:c>
      <x:c r="F211" s="17" t="str">
        <x:v>Lite</x:v>
      </x:c>
      <x:c r="G211" s="21" t="n">
        <x:v>27250</x:v>
      </x:c>
      <x:c r="H211" s="21" t="n">
        <x:v>7748</x:v>
      </x:c>
      <x:c r="I211" s="17" t="str">
        <x:v>Followup</x:v>
      </x:c>
    </x:row>
    <x:row r="212" ht="23" customHeight="1">
      <x:c r="A212" s="17" t="str">
        <x:v>U00206</x:v>
      </x:c>
      <x:c r="B212" s="18" t="n">
        <x:v>46274</x:v>
      </x:c>
      <x:c r="C212" s="17" t="str">
        <x:v>W0027</x:v>
      </x:c>
      <x:c r="D212" s="17" t="str">
        <x:v>C001</x:v>
      </x:c>
      <x:c r="E212" s="17" t="str">
        <x:v>CampaignChat</x:v>
      </x:c>
      <x:c r="F212" s="17" t="str">
        <x:v>Lite</x:v>
      </x:c>
      <x:c r="G212" s="21" t="n">
        <x:v>58725</x:v>
      </x:c>
      <x:c r="H212" s="21" t="n">
        <x:v>8518</x:v>
      </x:c>
      <x:c r="I212" s="17" t="str">
        <x:v>First attempt</x:v>
      </x:c>
    </x:row>
    <x:row r="213" ht="23" customHeight="1">
      <x:c r="A213" s="17" t="str">
        <x:v>U00207</x:v>
      </x:c>
      <x:c r="B213" s="18" t="n">
        <x:v>46274</x:v>
      </x:c>
      <x:c r="C213" s="17" t="str">
        <x:v>W0027</x:v>
      </x:c>
      <x:c r="D213" s="17" t="str">
        <x:v>C001</x:v>
      </x:c>
      <x:c r="E213" s="17" t="str">
        <x:v>CampaignChat</x:v>
      </x:c>
      <x:c r="F213" s="17" t="str">
        <x:v>Lite</x:v>
      </x:c>
      <x:c r="G213" s="21" t="n">
        <x:v>50455</x:v>
      </x:c>
      <x:c r="H213" s="21" t="n">
        <x:v>4253</x:v>
      </x:c>
      <x:c r="I213" s="17" t="str">
        <x:v>Followup</x:v>
      </x:c>
    </x:row>
    <x:row r="214" ht="23" customHeight="1">
      <x:c r="A214" s="17" t="str">
        <x:v>U00208</x:v>
      </x:c>
      <x:c r="B214" s="18" t="n">
        <x:v>46274</x:v>
      </x:c>
      <x:c r="C214" s="17" t="str">
        <x:v>W0027</x:v>
      </x:c>
      <x:c r="D214" s="17" t="str">
        <x:v>C001</x:v>
      </x:c>
      <x:c r="E214" s="17" t="str">
        <x:v>CampaignChat</x:v>
      </x:c>
      <x:c r="F214" s="17" t="str">
        <x:v>Lite</x:v>
      </x:c>
      <x:c r="G214" s="21" t="n">
        <x:v>27534</x:v>
      </x:c>
      <x:c r="H214" s="21" t="n">
        <x:v>7323</x:v>
      </x:c>
      <x:c r="I214" s="17" t="str">
        <x:v>Followup</x:v>
      </x:c>
    </x:row>
    <x:row r="215" ht="23" customHeight="1">
      <x:c r="A215" s="17" t="str">
        <x:v>U00209</x:v>
      </x:c>
      <x:c r="B215" s="18" t="n">
        <x:v>46275</x:v>
      </x:c>
      <x:c r="C215" s="17" t="str">
        <x:v>W0027</x:v>
      </x:c>
      <x:c r="D215" s="17" t="str">
        <x:v>C001</x:v>
      </x:c>
      <x:c r="E215" s="17" t="str">
        <x:v>CampaignChat</x:v>
      </x:c>
      <x:c r="F215" s="17" t="str">
        <x:v>Lite</x:v>
      </x:c>
      <x:c r="G215" s="21" t="n">
        <x:v>54552</x:v>
      </x:c>
      <x:c r="H215" s="21" t="n">
        <x:v>4311</x:v>
      </x:c>
      <x:c r="I215" s="17" t="str">
        <x:v>Followup</x:v>
      </x:c>
    </x:row>
    <x:row r="216" ht="23" customHeight="1">
      <x:c r="A216" s="17" t="str">
        <x:v>U00210</x:v>
      </x:c>
      <x:c r="B216" s="18" t="n">
        <x:v>46275</x:v>
      </x:c>
      <x:c r="C216" s="17" t="str">
        <x:v>W0027</x:v>
      </x:c>
      <x:c r="D216" s="17" t="str">
        <x:v>C001</x:v>
      </x:c>
      <x:c r="E216" s="17" t="str">
        <x:v>CampaignChat</x:v>
      </x:c>
      <x:c r="F216" s="17" t="str">
        <x:v>Lite</x:v>
      </x:c>
      <x:c r="G216" s="21" t="n">
        <x:v>38668</x:v>
      </x:c>
      <x:c r="H216" s="21" t="n">
        <x:v>4668</x:v>
      </x:c>
      <x:c r="I216" s="17" t="str">
        <x:v>Followup</x:v>
      </x:c>
    </x:row>
    <x:row r="217" ht="23" customHeight="1">
      <x:c r="A217" s="17" t="str">
        <x:v>U00211</x:v>
      </x:c>
      <x:c r="B217" s="18" t="n">
        <x:v>46276</x:v>
      </x:c>
      <x:c r="C217" s="17" t="str">
        <x:v>W0027</x:v>
      </x:c>
      <x:c r="D217" s="17" t="str">
        <x:v>C001</x:v>
      </x:c>
      <x:c r="E217" s="17" t="str">
        <x:v>CampaignChat</x:v>
      </x:c>
      <x:c r="F217" s="17" t="str">
        <x:v>Lite</x:v>
      </x:c>
      <x:c r="G217" s="21" t="n">
        <x:v>47197</x:v>
      </x:c>
      <x:c r="H217" s="21" t="n">
        <x:v>7413</x:v>
      </x:c>
      <x:c r="I217" s="17" t="str">
        <x:v>Followup</x:v>
      </x:c>
    </x:row>
    <x:row r="218" ht="23" customHeight="1">
      <x:c r="A218" s="17" t="str">
        <x:v>U00212</x:v>
      </x:c>
      <x:c r="B218" s="18" t="n">
        <x:v>46276</x:v>
      </x:c>
      <x:c r="C218" s="17" t="str">
        <x:v>W0027</x:v>
      </x:c>
      <x:c r="D218" s="17" t="str">
        <x:v>C001</x:v>
      </x:c>
      <x:c r="E218" s="17" t="str">
        <x:v>CampaignChat</x:v>
      </x:c>
      <x:c r="F218" s="17" t="str">
        <x:v>Lite</x:v>
      </x:c>
      <x:c r="G218" s="21" t="n">
        <x:v>58348</x:v>
      </x:c>
      <x:c r="H218" s="21" t="n">
        <x:v>7644</x:v>
      </x:c>
      <x:c r="I218" s="17" t="str">
        <x:v>Correction</x:v>
      </x:c>
    </x:row>
    <x:row r="219" ht="23" customHeight="1">
      <x:c r="A219" s="17" t="str">
        <x:v>U00213</x:v>
      </x:c>
      <x:c r="B219" s="18" t="n">
        <x:v>46279</x:v>
      </x:c>
      <x:c r="C219" s="17" t="str">
        <x:v>W0027</x:v>
      </x:c>
      <x:c r="D219" s="17" t="str">
        <x:v>C001</x:v>
      </x:c>
      <x:c r="E219" s="17" t="str">
        <x:v>CampaignChat</x:v>
      </x:c>
      <x:c r="F219" s="17" t="str">
        <x:v>Lite</x:v>
      </x:c>
      <x:c r="G219" s="21" t="n">
        <x:v>70445</x:v>
      </x:c>
      <x:c r="H219" s="21" t="n">
        <x:v>3722</x:v>
      </x:c>
      <x:c r="I219" s="17" t="str">
        <x:v>Followup</x:v>
      </x:c>
    </x:row>
    <x:row r="220" ht="23" customHeight="1">
      <x:c r="A220" s="17" t="str">
        <x:v>U00214</x:v>
      </x:c>
      <x:c r="B220" s="18" t="n">
        <x:v>46279</x:v>
      </x:c>
      <x:c r="C220" s="17" t="str">
        <x:v>W0027</x:v>
      </x:c>
      <x:c r="D220" s="17" t="str">
        <x:v>C001</x:v>
      </x:c>
      <x:c r="E220" s="17" t="str">
        <x:v>CampaignChat</x:v>
      </x:c>
      <x:c r="F220" s="17" t="str">
        <x:v>Lite</x:v>
      </x:c>
      <x:c r="G220" s="21" t="n">
        <x:v>68205</x:v>
      </x:c>
      <x:c r="H220" s="21" t="n">
        <x:v>4577</x:v>
      </x:c>
      <x:c r="I220" s="17" t="str">
        <x:v>Followup</x:v>
      </x:c>
    </x:row>
    <x:row r="221" ht="23" customHeight="1">
      <x:c r="A221" s="17" t="str">
        <x:v>U00215</x:v>
      </x:c>
      <x:c r="B221" s="18" t="n">
        <x:v>46283</x:v>
      </x:c>
      <x:c r="C221" s="17" t="str">
        <x:v>W0028</x:v>
      </x:c>
      <x:c r="D221" s="17" t="str">
        <x:v>C001</x:v>
      </x:c>
      <x:c r="E221" s="17" t="str">
        <x:v>CampaignChat</x:v>
      </x:c>
      <x:c r="F221" s="17" t="str">
        <x:v>Lite</x:v>
      </x:c>
      <x:c r="G221" s="21" t="n">
        <x:v>11185</x:v>
      </x:c>
      <x:c r="H221" s="21" t="n">
        <x:v>5620</x:v>
      </x:c>
      <x:c r="I221" s="17" t="str">
        <x:v>First attempt</x:v>
      </x:c>
    </x:row>
    <x:row r="222" ht="23" customHeight="1">
      <x:c r="A222" s="17" t="str">
        <x:v>U00216</x:v>
      </x:c>
      <x:c r="B222" s="18" t="n">
        <x:v>46283</x:v>
      </x:c>
      <x:c r="C222" s="17" t="str">
        <x:v>W0028</x:v>
      </x:c>
      <x:c r="D222" s="17" t="str">
        <x:v>C001</x:v>
      </x:c>
      <x:c r="E222" s="17" t="str">
        <x:v>CampaignChat</x:v>
      </x:c>
      <x:c r="F222" s="17" t="str">
        <x:v>Lite</x:v>
      </x:c>
      <x:c r="G222" s="21" t="n">
        <x:v>18412</x:v>
      </x:c>
      <x:c r="H222" s="21" t="n">
        <x:v>12021</x:v>
      </x:c>
      <x:c r="I222" s="17" t="str">
        <x:v>Correction</x:v>
      </x:c>
    </x:row>
    <x:row r="223" ht="23" customHeight="1">
      <x:c r="A223" s="17" t="str">
        <x:v>U00217</x:v>
      </x:c>
      <x:c r="B223" s="18" t="n">
        <x:v>46283</x:v>
      </x:c>
      <x:c r="C223" s="17" t="str">
        <x:v>W0028</x:v>
      </x:c>
      <x:c r="D223" s="17" t="str">
        <x:v>C001</x:v>
      </x:c>
      <x:c r="E223" s="17" t="str">
        <x:v>CampaignChat</x:v>
      </x:c>
      <x:c r="F223" s="17" t="str">
        <x:v>Lite</x:v>
      </x:c>
      <x:c r="G223" s="21" t="n">
        <x:v>25980</x:v>
      </x:c>
      <x:c r="H223" s="21" t="n">
        <x:v>14142</x:v>
      </x:c>
      <x:c r="I223" s="17" t="str">
        <x:v>Followup</x:v>
      </x:c>
    </x:row>
    <x:row r="224" ht="23" customHeight="1">
      <x:c r="A224" s="17" t="str">
        <x:v>U00218</x:v>
      </x:c>
      <x:c r="B224" s="18" t="n">
        <x:v>46286</x:v>
      </x:c>
      <x:c r="C224" s="17" t="str">
        <x:v>W0028</x:v>
      </x:c>
      <x:c r="D224" s="17" t="str">
        <x:v>C001</x:v>
      </x:c>
      <x:c r="E224" s="17" t="str">
        <x:v>CampaignChat</x:v>
      </x:c>
      <x:c r="F224" s="17" t="str">
        <x:v>Lite</x:v>
      </x:c>
      <x:c r="G224" s="21" t="n">
        <x:v>19724</x:v>
      </x:c>
      <x:c r="H224" s="21" t="n">
        <x:v>13361</x:v>
      </x:c>
      <x:c r="I224" s="17" t="str">
        <x:v>Followup</x:v>
      </x:c>
    </x:row>
    <x:row r="225" ht="23" customHeight="1">
      <x:c r="A225" s="17" t="str">
        <x:v>U00219</x:v>
      </x:c>
      <x:c r="B225" s="18" t="n">
        <x:v>46286</x:v>
      </x:c>
      <x:c r="C225" s="17" t="str">
        <x:v>W0028</x:v>
      </x:c>
      <x:c r="D225" s="17" t="str">
        <x:v>C001</x:v>
      </x:c>
      <x:c r="E225" s="17" t="str">
        <x:v>CampaignChat</x:v>
      </x:c>
      <x:c r="F225" s="17" t="str">
        <x:v>Lite</x:v>
      </x:c>
      <x:c r="G225" s="21" t="n">
        <x:v>28040</x:v>
      </x:c>
      <x:c r="H225" s="21" t="n">
        <x:v>14026</x:v>
      </x:c>
      <x:c r="I225" s="17" t="str">
        <x:v>Followup</x:v>
      </x:c>
    </x:row>
    <x:row r="226" ht="23" customHeight="1">
      <x:c r="A226" s="17" t="str">
        <x:v>U00220</x:v>
      </x:c>
      <x:c r="B226" s="18" t="n">
        <x:v>46287</x:v>
      </x:c>
      <x:c r="C226" s="17" t="str">
        <x:v>W0028</x:v>
      </x:c>
      <x:c r="D226" s="17" t="str">
        <x:v>C001</x:v>
      </x:c>
      <x:c r="E226" s="17" t="str">
        <x:v>CampaignChat</x:v>
      </x:c>
      <x:c r="F226" s="17" t="str">
        <x:v>Lite</x:v>
      </x:c>
      <x:c r="G226" s="21" t="n">
        <x:v>30301</x:v>
      </x:c>
      <x:c r="H226" s="21" t="n">
        <x:v>4086</x:v>
      </x:c>
      <x:c r="I226" s="17" t="str">
        <x:v>Followup</x:v>
      </x:c>
    </x:row>
    <x:row r="227" ht="23" customHeight="1">
      <x:c r="A227" s="17" t="str">
        <x:v>U00221</x:v>
      </x:c>
      <x:c r="B227" s="18" t="n">
        <x:v>46287</x:v>
      </x:c>
      <x:c r="C227" s="17" t="str">
        <x:v>W0028</x:v>
      </x:c>
      <x:c r="D227" s="17" t="str">
        <x:v>C001</x:v>
      </x:c>
      <x:c r="E227" s="17" t="str">
        <x:v>CampaignChat</x:v>
      </x:c>
      <x:c r="F227" s="17" t="str">
        <x:v>Lite</x:v>
      </x:c>
      <x:c r="G227" s="21" t="n">
        <x:v>22971</x:v>
      </x:c>
      <x:c r="H227" s="21" t="n">
        <x:v>14745</x:v>
      </x:c>
      <x:c r="I227" s="17" t="str">
        <x:v>Followup</x:v>
      </x:c>
    </x:row>
    <x:row r="228" ht="23" customHeight="1">
      <x:c r="A228" s="17" t="str">
        <x:v>U00222</x:v>
      </x:c>
      <x:c r="B228" s="18" t="n">
        <x:v>46287</x:v>
      </x:c>
      <x:c r="C228" s="17" t="str">
        <x:v>W0028</x:v>
      </x:c>
      <x:c r="D228" s="17" t="str">
        <x:v>C001</x:v>
      </x:c>
      <x:c r="E228" s="17" t="str">
        <x:v>CampaignChat</x:v>
      </x:c>
      <x:c r="F228" s="17" t="str">
        <x:v>Lite</x:v>
      </x:c>
      <x:c r="G228" s="21" t="n">
        <x:v>20151</x:v>
      </x:c>
      <x:c r="H228" s="21" t="n">
        <x:v>15735</x:v>
      </x:c>
      <x:c r="I228" s="17" t="str">
        <x:v>Followup</x:v>
      </x:c>
    </x:row>
    <x:row r="229" ht="23" customHeight="1">
      <x:c r="A229" s="17" t="str">
        <x:v>U00223</x:v>
      </x:c>
      <x:c r="B229" s="18" t="n">
        <x:v>46288</x:v>
      </x:c>
      <x:c r="C229" s="17" t="str">
        <x:v>W0028</x:v>
      </x:c>
      <x:c r="D229" s="17" t="str">
        <x:v>C001</x:v>
      </x:c>
      <x:c r="E229" s="17" t="str">
        <x:v>CampaignChat</x:v>
      </x:c>
      <x:c r="F229" s="17" t="str">
        <x:v>Lite</x:v>
      </x:c>
      <x:c r="G229" s="21" t="n">
        <x:v>28417</x:v>
      </x:c>
      <x:c r="H229" s="21" t="n">
        <x:v>8111</x:v>
      </x:c>
      <x:c r="I229" s="17" t="str">
        <x:v>Followup</x:v>
      </x:c>
    </x:row>
    <x:row r="230" ht="23" customHeight="1">
      <x:c r="A230" s="17" t="str">
        <x:v>U00224</x:v>
      </x:c>
      <x:c r="B230" s="18" t="n">
        <x:v>46288</x:v>
      </x:c>
      <x:c r="C230" s="17" t="str">
        <x:v>W0028</x:v>
      </x:c>
      <x:c r="D230" s="17" t="str">
        <x:v>C001</x:v>
      </x:c>
      <x:c r="E230" s="17" t="str">
        <x:v>CampaignChat</x:v>
      </x:c>
      <x:c r="F230" s="17" t="str">
        <x:v>Lite</x:v>
      </x:c>
      <x:c r="G230" s="21" t="n">
        <x:v>25633</x:v>
      </x:c>
      <x:c r="H230" s="21" t="n">
        <x:v>4521</x:v>
      </x:c>
      <x:c r="I230" s="17" t="str">
        <x:v>Followup</x:v>
      </x:c>
    </x:row>
    <x:row r="231" ht="23" customHeight="1">
      <x:c r="A231" s="17" t="str">
        <x:v>U00225</x:v>
      </x:c>
      <x:c r="B231" s="18" t="n">
        <x:v>46267</x:v>
      </x:c>
      <x:c r="C231" s="17" t="str">
        <x:v>W0029</x:v>
      </x:c>
      <x:c r="D231" s="17" t="str">
        <x:v>C001</x:v>
      </x:c>
      <x:c r="E231" s="17" t="str">
        <x:v>CopyStudio</x:v>
      </x:c>
      <x:c r="F231" s="17" t="str">
        <x:v>Lite</x:v>
      </x:c>
      <x:c r="G231" s="21" t="n">
        <x:v>45350</x:v>
      </x:c>
      <x:c r="H231" s="21" t="n">
        <x:v>13812</x:v>
      </x:c>
      <x:c r="I231" s="17" t="str">
        <x:v>First attempt</x:v>
      </x:c>
    </x:row>
    <x:row r="232" ht="23" customHeight="1">
      <x:c r="A232" s="17" t="str">
        <x:v>U00226</x:v>
      </x:c>
      <x:c r="B232" s="18" t="n">
        <x:v>46267</x:v>
      </x:c>
      <x:c r="C232" s="17" t="str">
        <x:v>W0029</x:v>
      </x:c>
      <x:c r="D232" s="17" t="str">
        <x:v>C001</x:v>
      </x:c>
      <x:c r="E232" s="17" t="str">
        <x:v>CopyStudio</x:v>
      </x:c>
      <x:c r="F232" s="17" t="str">
        <x:v>Lite</x:v>
      </x:c>
      <x:c r="G232" s="21" t="n">
        <x:v>54378</x:v>
      </x:c>
      <x:c r="H232" s="21" t="n">
        <x:v>13966</x:v>
      </x:c>
      <x:c r="I232" s="17" t="str">
        <x:v>Correction</x:v>
      </x:c>
    </x:row>
    <x:row r="233" ht="23" customHeight="1">
      <x:c r="A233" s="17" t="str">
        <x:v>U00227</x:v>
      </x:c>
      <x:c r="B233" s="18" t="n">
        <x:v>46267</x:v>
      </x:c>
      <x:c r="C233" s="17" t="str">
        <x:v>W0029</x:v>
      </x:c>
      <x:c r="D233" s="17" t="str">
        <x:v>C001</x:v>
      </x:c>
      <x:c r="E233" s="17" t="str">
        <x:v>CopyStudio</x:v>
      </x:c>
      <x:c r="F233" s="17" t="str">
        <x:v>Lite</x:v>
      </x:c>
      <x:c r="G233" s="21" t="n">
        <x:v>49503</x:v>
      </x:c>
      <x:c r="H233" s="21" t="n">
        <x:v>9534</x:v>
      </x:c>
      <x:c r="I233" s="17" t="str">
        <x:v>Followup</x:v>
      </x:c>
    </x:row>
    <x:row r="234" ht="23" customHeight="1">
      <x:c r="A234" s="17" t="str">
        <x:v>U00228</x:v>
      </x:c>
      <x:c r="B234" s="18" t="n">
        <x:v>46268</x:v>
      </x:c>
      <x:c r="C234" s="17" t="str">
        <x:v>W0029</x:v>
      </x:c>
      <x:c r="D234" s="17" t="str">
        <x:v>C001</x:v>
      </x:c>
      <x:c r="E234" s="17" t="str">
        <x:v>CopyStudio</x:v>
      </x:c>
      <x:c r="F234" s="17" t="str">
        <x:v>Lite</x:v>
      </x:c>
      <x:c r="G234" s="21" t="n">
        <x:v>43895</x:v>
      </x:c>
      <x:c r="H234" s="21" t="n">
        <x:v>12263</x:v>
      </x:c>
      <x:c r="I234" s="17" t="str">
        <x:v>Followup</x:v>
      </x:c>
    </x:row>
    <x:row r="235" ht="23" customHeight="1">
      <x:c r="A235" s="17" t="str">
        <x:v>U00229</x:v>
      </x:c>
      <x:c r="B235" s="18" t="n">
        <x:v>46268</x:v>
      </x:c>
      <x:c r="C235" s="17" t="str">
        <x:v>W0029</x:v>
      </x:c>
      <x:c r="D235" s="17" t="str">
        <x:v>C001</x:v>
      </x:c>
      <x:c r="E235" s="17" t="str">
        <x:v>CopyStudio</x:v>
      </x:c>
      <x:c r="F235" s="17" t="str">
        <x:v>Lite</x:v>
      </x:c>
      <x:c r="G235" s="21" t="n">
        <x:v>58993</x:v>
      </x:c>
      <x:c r="H235" s="21" t="n">
        <x:v>7227</x:v>
      </x:c>
      <x:c r="I235" s="17" t="str">
        <x:v>Followup</x:v>
      </x:c>
    </x:row>
    <x:row r="236" ht="23" customHeight="1">
      <x:c r="A236" s="17" t="str">
        <x:v>U00230</x:v>
      </x:c>
      <x:c r="B236" s="18" t="n">
        <x:v>46269</x:v>
      </x:c>
      <x:c r="C236" s="17" t="str">
        <x:v>W0029</x:v>
      </x:c>
      <x:c r="D236" s="17" t="str">
        <x:v>C001</x:v>
      </x:c>
      <x:c r="E236" s="17" t="str">
        <x:v>CopyStudio</x:v>
      </x:c>
      <x:c r="F236" s="17" t="str">
        <x:v>Lite</x:v>
      </x:c>
      <x:c r="G236" s="21" t="n">
        <x:v>58941</x:v>
      </x:c>
      <x:c r="H236" s="21" t="n">
        <x:v>7158</x:v>
      </x:c>
      <x:c r="I236" s="17" t="str">
        <x:v>Followup</x:v>
      </x:c>
    </x:row>
    <x:row r="237" ht="23" customHeight="1">
      <x:c r="A237" s="17" t="str">
        <x:v>U00231</x:v>
      </x:c>
      <x:c r="B237" s="18" t="n">
        <x:v>46269</x:v>
      </x:c>
      <x:c r="C237" s="17" t="str">
        <x:v>W0029</x:v>
      </x:c>
      <x:c r="D237" s="17" t="str">
        <x:v>C001</x:v>
      </x:c>
      <x:c r="E237" s="17" t="str">
        <x:v>CopyStudio</x:v>
      </x:c>
      <x:c r="F237" s="17" t="str">
        <x:v>Lite</x:v>
      </x:c>
      <x:c r="G237" s="21" t="n">
        <x:v>40587</x:v>
      </x:c>
      <x:c r="H237" s="21" t="n">
        <x:v>14616</x:v>
      </x:c>
      <x:c r="I237" s="17" t="str">
        <x:v>Followup</x:v>
      </x:c>
    </x:row>
    <x:row r="238" ht="23" customHeight="1">
      <x:c r="A238" s="17" t="str">
        <x:v>U00232</x:v>
      </x:c>
      <x:c r="B238" s="18" t="n">
        <x:v>46273</x:v>
      </x:c>
      <x:c r="C238" s="17" t="str">
        <x:v>W0029</x:v>
      </x:c>
      <x:c r="D238" s="17" t="str">
        <x:v>C001</x:v>
      </x:c>
      <x:c r="E238" s="17" t="str">
        <x:v>CopyStudio</x:v>
      </x:c>
      <x:c r="F238" s="17" t="str">
        <x:v>Lite</x:v>
      </x:c>
      <x:c r="G238" s="21" t="n">
        <x:v>31434</x:v>
      </x:c>
      <x:c r="H238" s="21" t="n">
        <x:v>4962</x:v>
      </x:c>
      <x:c r="I238" s="17" t="str">
        <x:v>Followup</x:v>
      </x:c>
    </x:row>
    <x:row r="239" ht="23" customHeight="1">
      <x:c r="A239" s="17" t="str">
        <x:v>U00233</x:v>
      </x:c>
      <x:c r="B239" s="18" t="n">
        <x:v>46273</x:v>
      </x:c>
      <x:c r="C239" s="17" t="str">
        <x:v>W0029</x:v>
      </x:c>
      <x:c r="D239" s="17" t="str">
        <x:v>C001</x:v>
      </x:c>
      <x:c r="E239" s="17" t="str">
        <x:v>CopyStudio</x:v>
      </x:c>
      <x:c r="F239" s="17" t="str">
        <x:v>Lite</x:v>
      </x:c>
      <x:c r="G239" s="21" t="n">
        <x:v>50052</x:v>
      </x:c>
      <x:c r="H239" s="21" t="n">
        <x:v>6613</x:v>
      </x:c>
      <x:c r="I239" s="17" t="str">
        <x:v>Followup</x:v>
      </x:c>
    </x:row>
    <x:row r="240" ht="23" customHeight="1">
      <x:c r="A240" s="17" t="str">
        <x:v>U00234</x:v>
      </x:c>
      <x:c r="B240" s="18" t="n">
        <x:v>46279</x:v>
      </x:c>
      <x:c r="C240" s="17" t="str">
        <x:v>W0030</x:v>
      </x:c>
      <x:c r="D240" s="17" t="str">
        <x:v>C001</x:v>
      </x:c>
      <x:c r="E240" s="17" t="str">
        <x:v>DataFlow</x:v>
      </x:c>
      <x:c r="F240" s="17" t="str">
        <x:v>Lite</x:v>
      </x:c>
      <x:c r="G240" s="21" t="n">
        <x:v>32219</x:v>
      </x:c>
      <x:c r="H240" s="21" t="n">
        <x:v>4396</x:v>
      </x:c>
      <x:c r="I240" s="17" t="str">
        <x:v>First attempt</x:v>
      </x:c>
    </x:row>
    <x:row r="241" ht="23" customHeight="1">
      <x:c r="A241" s="17" t="str">
        <x:v>U00235</x:v>
      </x:c>
      <x:c r="B241" s="18" t="n">
        <x:v>46279</x:v>
      </x:c>
      <x:c r="C241" s="17" t="str">
        <x:v>W0030</x:v>
      </x:c>
      <x:c r="D241" s="17" t="str">
        <x:v>C001</x:v>
      </x:c>
      <x:c r="E241" s="17" t="str">
        <x:v>DataFlow</x:v>
      </x:c>
      <x:c r="F241" s="17" t="str">
        <x:v>Lite</x:v>
      </x:c>
      <x:c r="G241" s="21" t="n">
        <x:v>48932</x:v>
      </x:c>
      <x:c r="H241" s="21" t="n">
        <x:v>6852</x:v>
      </x:c>
      <x:c r="I241" s="17" t="str">
        <x:v>Followup</x:v>
      </x:c>
    </x:row>
    <x:row r="242" ht="23" customHeight="1">
      <x:c r="A242" s="17" t="str">
        <x:v>U00236</x:v>
      </x:c>
      <x:c r="B242" s="18" t="n">
        <x:v>46280</x:v>
      </x:c>
      <x:c r="C242" s="17" t="str">
        <x:v>W0030</x:v>
      </x:c>
      <x:c r="D242" s="17" t="str">
        <x:v>C001</x:v>
      </x:c>
      <x:c r="E242" s="17" t="str">
        <x:v>DataFlow</x:v>
      </x:c>
      <x:c r="F242" s="17" t="str">
        <x:v>Lite</x:v>
      </x:c>
      <x:c r="G242" s="21" t="n">
        <x:v>37854</x:v>
      </x:c>
      <x:c r="H242" s="21" t="n">
        <x:v>8587</x:v>
      </x:c>
      <x:c r="I242" s="17" t="str">
        <x:v>Correction</x:v>
      </x:c>
    </x:row>
    <x:row r="243" ht="23" customHeight="1">
      <x:c r="A243" s="17" t="str">
        <x:v>U00237</x:v>
      </x:c>
      <x:c r="B243" s="18" t="n">
        <x:v>46280</x:v>
      </x:c>
      <x:c r="C243" s="17" t="str">
        <x:v>W0030</x:v>
      </x:c>
      <x:c r="D243" s="17" t="str">
        <x:v>C001</x:v>
      </x:c>
      <x:c r="E243" s="17" t="str">
        <x:v>DataFlow</x:v>
      </x:c>
      <x:c r="F243" s="17" t="str">
        <x:v>Lite</x:v>
      </x:c>
      <x:c r="G243" s="21" t="n">
        <x:v>73258</x:v>
      </x:c>
      <x:c r="H243" s="21" t="n">
        <x:v>7615</x:v>
      </x:c>
      <x:c r="I243" s="17" t="str">
        <x:v>Followup</x:v>
      </x:c>
    </x:row>
    <x:row r="244" ht="23" customHeight="1">
      <x:c r="A244" s="17" t="str">
        <x:v>U00238</x:v>
      </x:c>
      <x:c r="B244" s="18" t="n">
        <x:v>46281</x:v>
      </x:c>
      <x:c r="C244" s="17" t="str">
        <x:v>W0030</x:v>
      </x:c>
      <x:c r="D244" s="17" t="str">
        <x:v>C001</x:v>
      </x:c>
      <x:c r="E244" s="17" t="str">
        <x:v>DataFlow</x:v>
      </x:c>
      <x:c r="F244" s="17" t="str">
        <x:v>Lite</x:v>
      </x:c>
      <x:c r="G244" s="21" t="n">
        <x:v>52781</x:v>
      </x:c>
      <x:c r="H244" s="21" t="n">
        <x:v>14443</x:v>
      </x:c>
      <x:c r="I244" s="17" t="str">
        <x:v>Followup</x:v>
      </x:c>
    </x:row>
    <x:row r="245" ht="23" customHeight="1">
      <x:c r="A245" s="17" t="str">
        <x:v>U00239</x:v>
      </x:c>
      <x:c r="B245" s="18" t="n">
        <x:v>46281</x:v>
      </x:c>
      <x:c r="C245" s="17" t="str">
        <x:v>W0030</x:v>
      </x:c>
      <x:c r="D245" s="17" t="str">
        <x:v>C001</x:v>
      </x:c>
      <x:c r="E245" s="17" t="str">
        <x:v>DataFlow</x:v>
      </x:c>
      <x:c r="F245" s="17" t="str">
        <x:v>Lite</x:v>
      </x:c>
      <x:c r="G245" s="21" t="n">
        <x:v>38175</x:v>
      </x:c>
      <x:c r="H245" s="21" t="n">
        <x:v>12523</x:v>
      </x:c>
      <x:c r="I245" s="17" t="str">
        <x:v>Followup</x:v>
      </x:c>
    </x:row>
    <x:row r="246" ht="23" customHeight="1">
      <x:c r="A246" s="17" t="str">
        <x:v>U00240</x:v>
      </x:c>
      <x:c r="B246" s="18" t="n">
        <x:v>46282</x:v>
      </x:c>
      <x:c r="C246" s="17" t="str">
        <x:v>W0030</x:v>
      </x:c>
      <x:c r="D246" s="17" t="str">
        <x:v>C001</x:v>
      </x:c>
      <x:c r="E246" s="17" t="str">
        <x:v>DataFlow</x:v>
      </x:c>
      <x:c r="F246" s="17" t="str">
        <x:v>Lite</x:v>
      </x:c>
      <x:c r="G246" s="21" t="n">
        <x:v>49434</x:v>
      </x:c>
      <x:c r="H246" s="21" t="n">
        <x:v>8401</x:v>
      </x:c>
      <x:c r="I246" s="17" t="str">
        <x:v>Followup</x:v>
      </x:c>
    </x:row>
    <x:row r="247" ht="23" customHeight="1">
      <x:c r="A247" s="17" t="str">
        <x:v>U00241</x:v>
      </x:c>
      <x:c r="B247" s="18" t="n">
        <x:v>46288</x:v>
      </x:c>
      <x:c r="C247" s="17" t="str">
        <x:v>W0031</x:v>
      </x:c>
      <x:c r="D247" s="17" t="str">
        <x:v>C001</x:v>
      </x:c>
      <x:c r="E247" s="17" t="str">
        <x:v>InsightDesk</x:v>
      </x:c>
      <x:c r="F247" s="17" t="str">
        <x:v>Lite</x:v>
      </x:c>
      <x:c r="G247" s="21" t="n">
        <x:v>50349</x:v>
      </x:c>
      <x:c r="H247" s="21" t="n">
        <x:v>5204</x:v>
      </x:c>
      <x:c r="I247" s="17" t="str">
        <x:v>First attempt</x:v>
      </x:c>
    </x:row>
    <x:row r="248" ht="23" customHeight="1">
      <x:c r="A248" s="17" t="str">
        <x:v>U00242</x:v>
      </x:c>
      <x:c r="B248" s="18" t="n">
        <x:v>46288</x:v>
      </x:c>
      <x:c r="C248" s="17" t="str">
        <x:v>W0031</x:v>
      </x:c>
      <x:c r="D248" s="17" t="str">
        <x:v>C001</x:v>
      </x:c>
      <x:c r="E248" s="17" t="str">
        <x:v>InsightDesk</x:v>
      </x:c>
      <x:c r="F248" s="17" t="str">
        <x:v>Lite</x:v>
      </x:c>
      <x:c r="G248" s="21" t="n">
        <x:v>57603</x:v>
      </x:c>
      <x:c r="H248" s="21" t="n">
        <x:v>5884</x:v>
      </x:c>
      <x:c r="I248" s="17" t="str">
        <x:v>Correction</x:v>
      </x:c>
    </x:row>
    <x:row r="249" ht="23" customHeight="1">
      <x:c r="A249" s="17" t="str">
        <x:v>U00243</x:v>
      </x:c>
      <x:c r="B249" s="18" t="n">
        <x:v>46289</x:v>
      </x:c>
      <x:c r="C249" s="17" t="str">
        <x:v>W0031</x:v>
      </x:c>
      <x:c r="D249" s="17" t="str">
        <x:v>C001</x:v>
      </x:c>
      <x:c r="E249" s="17" t="str">
        <x:v>InsightDesk</x:v>
      </x:c>
      <x:c r="F249" s="17" t="str">
        <x:v>Lite</x:v>
      </x:c>
      <x:c r="G249" s="21" t="n">
        <x:v>60202</x:v>
      </x:c>
      <x:c r="H249" s="21" t="n">
        <x:v>5370</x:v>
      </x:c>
      <x:c r="I249" s="17" t="str">
        <x:v>Followup</x:v>
      </x:c>
    </x:row>
    <x:row r="250" ht="23" customHeight="1">
      <x:c r="A250" s="17" t="str">
        <x:v>U00244</x:v>
      </x:c>
      <x:c r="B250" s="18" t="n">
        <x:v>46289</x:v>
      </x:c>
      <x:c r="C250" s="17" t="str">
        <x:v>W0031</x:v>
      </x:c>
      <x:c r="D250" s="17" t="str">
        <x:v>C001</x:v>
      </x:c>
      <x:c r="E250" s="17" t="str">
        <x:v>InsightDesk</x:v>
      </x:c>
      <x:c r="F250" s="17" t="str">
        <x:v>Lite</x:v>
      </x:c>
      <x:c r="G250" s="21" t="n">
        <x:v>35413</x:v>
      </x:c>
      <x:c r="H250" s="21" t="n">
        <x:v>6817</x:v>
      </x:c>
      <x:c r="I250" s="17" t="str">
        <x:v>Followup</x:v>
      </x:c>
    </x:row>
    <x:row r="251" ht="23" customHeight="1">
      <x:c r="A251" s="17" t="str">
        <x:v>U00245</x:v>
      </x:c>
      <x:c r="B251" s="18" t="n">
        <x:v>46290</x:v>
      </x:c>
      <x:c r="C251" s="17" t="str">
        <x:v>W0031</x:v>
      </x:c>
      <x:c r="D251" s="17" t="str">
        <x:v>C001</x:v>
      </x:c>
      <x:c r="E251" s="17" t="str">
        <x:v>InsightDesk</x:v>
      </x:c>
      <x:c r="F251" s="17" t="str">
        <x:v>Lite</x:v>
      </x:c>
      <x:c r="G251" s="21" t="n">
        <x:v>82868</x:v>
      </x:c>
      <x:c r="H251" s="21" t="n">
        <x:v>6285</x:v>
      </x:c>
      <x:c r="I251" s="17" t="str">
        <x:v>Followup</x:v>
      </x:c>
    </x:row>
    <x:row r="252" ht="23" customHeight="1">
      <x:c r="A252" s="17" t="str">
        <x:v>U00246</x:v>
      </x:c>
      <x:c r="B252" s="18" t="n">
        <x:v>46290</x:v>
      </x:c>
      <x:c r="C252" s="17" t="str">
        <x:v>W0031</x:v>
      </x:c>
      <x:c r="D252" s="17" t="str">
        <x:v>C001</x:v>
      </x:c>
      <x:c r="E252" s="17" t="str">
        <x:v>InsightDesk</x:v>
      </x:c>
      <x:c r="F252" s="17" t="str">
        <x:v>Lite</x:v>
      </x:c>
      <x:c r="G252" s="21" t="n">
        <x:v>71610</x:v>
      </x:c>
      <x:c r="H252" s="21" t="n">
        <x:v>2181</x:v>
      </x:c>
      <x:c r="I252" s="17" t="str">
        <x:v>Followup</x:v>
      </x:c>
    </x:row>
    <x:row r="253" ht="23" customHeight="1">
      <x:c r="A253" s="17" t="str">
        <x:v>U00247</x:v>
      </x:c>
      <x:c r="B253" s="18" t="n">
        <x:v>46293</x:v>
      </x:c>
      <x:c r="C253" s="17" t="str">
        <x:v>W0031</x:v>
      </x:c>
      <x:c r="D253" s="17" t="str">
        <x:v>C001</x:v>
      </x:c>
      <x:c r="E253" s="17" t="str">
        <x:v>InsightDesk</x:v>
      </x:c>
      <x:c r="F253" s="17" t="str">
        <x:v>Lite</x:v>
      </x:c>
      <x:c r="G253" s="21" t="n">
        <x:v>51523</x:v>
      </x:c>
      <x:c r="H253" s="21" t="n">
        <x:v>5322</x:v>
      </x:c>
      <x:c r="I253" s="17" t="str">
        <x:v>Followup</x:v>
      </x:c>
    </x:row>
    <x:row r="254" ht="23" customHeight="1">
      <x:c r="A254" s="17" t="str">
        <x:v>U00248</x:v>
      </x:c>
      <x:c r="B254" s="18" t="n">
        <x:v>46293</x:v>
      </x:c>
      <x:c r="C254" s="17" t="str">
        <x:v>W0031</x:v>
      </x:c>
      <x:c r="D254" s="17" t="str">
        <x:v>C001</x:v>
      </x:c>
      <x:c r="E254" s="17" t="str">
        <x:v>InsightDesk</x:v>
      </x:c>
      <x:c r="F254" s="17" t="str">
        <x:v>Lite</x:v>
      </x:c>
      <x:c r="G254" s="21" t="n">
        <x:v>38382</x:v>
      </x:c>
      <x:c r="H254" s="21" t="n">
        <x:v>6079</x:v>
      </x:c>
      <x:c r="I254" s="17" t="str">
        <x:v>Followup</x:v>
      </x:c>
    </x:row>
    <x:row r="255" ht="23" customHeight="1">
      <x:c r="A255" s="17" t="str">
        <x:v>U00249</x:v>
      </x:c>
      <x:c r="B255" s="18" t="n">
        <x:v>46273</x:v>
      </x:c>
      <x:c r="C255" s="17" t="str">
        <x:v>W0032</x:v>
      </x:c>
      <x:c r="D255" s="17" t="str">
        <x:v>C001</x:v>
      </x:c>
      <x:c r="E255" s="17" t="str">
        <x:v>InsightDesk</x:v>
      </x:c>
      <x:c r="F255" s="17" t="str">
        <x:v>Lite</x:v>
      </x:c>
      <x:c r="G255" s="21" t="n">
        <x:v>26955</x:v>
      </x:c>
      <x:c r="H255" s="21" t="n">
        <x:v>9253</x:v>
      </x:c>
      <x:c r="I255" s="17" t="str">
        <x:v>First attempt</x:v>
      </x:c>
    </x:row>
    <x:row r="256" ht="23" customHeight="1">
      <x:c r="A256" s="17" t="str">
        <x:v>U00250</x:v>
      </x:c>
      <x:c r="B256" s="18" t="n">
        <x:v>46273</x:v>
      </x:c>
      <x:c r="C256" s="17" t="str">
        <x:v>W0032</x:v>
      </x:c>
      <x:c r="D256" s="17" t="str">
        <x:v>C001</x:v>
      </x:c>
      <x:c r="E256" s="17" t="str">
        <x:v>InsightDesk</x:v>
      </x:c>
      <x:c r="F256" s="17" t="str">
        <x:v>Lite</x:v>
      </x:c>
      <x:c r="G256" s="21" t="n">
        <x:v>12869</x:v>
      </x:c>
      <x:c r="H256" s="21" t="n">
        <x:v>9229</x:v>
      </x:c>
      <x:c r="I256" s="17" t="str">
        <x:v>Correction</x:v>
      </x:c>
    </x:row>
    <x:row r="257" ht="23" customHeight="1">
      <x:c r="A257" s="17" t="str">
        <x:v>U00251</x:v>
      </x:c>
      <x:c r="B257" s="18" t="n">
        <x:v>46273</x:v>
      </x:c>
      <x:c r="C257" s="17" t="str">
        <x:v>W0032</x:v>
      </x:c>
      <x:c r="D257" s="17" t="str">
        <x:v>C001</x:v>
      </x:c>
      <x:c r="E257" s="17" t="str">
        <x:v>InsightDesk</x:v>
      </x:c>
      <x:c r="F257" s="17" t="str">
        <x:v>Lite</x:v>
      </x:c>
      <x:c r="G257" s="21" t="n">
        <x:v>36978</x:v>
      </x:c>
      <x:c r="H257" s="21" t="n">
        <x:v>9143</x:v>
      </x:c>
      <x:c r="I257" s="17" t="str">
        <x:v>Followup</x:v>
      </x:c>
    </x:row>
    <x:row r="258" ht="23" customHeight="1">
      <x:c r="A258" s="17" t="str">
        <x:v>U00252</x:v>
      </x:c>
      <x:c r="B258" s="18" t="n">
        <x:v>46274</x:v>
      </x:c>
      <x:c r="C258" s="17" t="str">
        <x:v>W0032</x:v>
      </x:c>
      <x:c r="D258" s="17" t="str">
        <x:v>C001</x:v>
      </x:c>
      <x:c r="E258" s="17" t="str">
        <x:v>InsightDesk</x:v>
      </x:c>
      <x:c r="F258" s="17" t="str">
        <x:v>Lite</x:v>
      </x:c>
      <x:c r="G258" s="21" t="n">
        <x:v>26681</x:v>
      </x:c>
      <x:c r="H258" s="21" t="n">
        <x:v>12545</x:v>
      </x:c>
      <x:c r="I258" s="17" t="str">
        <x:v>Followup</x:v>
      </x:c>
    </x:row>
    <x:row r="259" ht="23" customHeight="1">
      <x:c r="A259" s="17" t="str">
        <x:v>U00253</x:v>
      </x:c>
      <x:c r="B259" s="18" t="n">
        <x:v>46274</x:v>
      </x:c>
      <x:c r="C259" s="17" t="str">
        <x:v>W0032</x:v>
      </x:c>
      <x:c r="D259" s="17" t="str">
        <x:v>C001</x:v>
      </x:c>
      <x:c r="E259" s="17" t="str">
        <x:v>InsightDesk</x:v>
      </x:c>
      <x:c r="F259" s="17" t="str">
        <x:v>Lite</x:v>
      </x:c>
      <x:c r="G259" s="21" t="n">
        <x:v>26935</x:v>
      </x:c>
      <x:c r="H259" s="21" t="n">
        <x:v>8669</x:v>
      </x:c>
      <x:c r="I259" s="17" t="str">
        <x:v>Followup</x:v>
      </x:c>
    </x:row>
    <x:row r="260" ht="23" customHeight="1">
      <x:c r="A260" s="17" t="str">
        <x:v>U00254</x:v>
      </x:c>
      <x:c r="B260" s="18" t="n">
        <x:v>46274</x:v>
      </x:c>
      <x:c r="C260" s="17" t="str">
        <x:v>W0032</x:v>
      </x:c>
      <x:c r="D260" s="17" t="str">
        <x:v>C001</x:v>
      </x:c>
      <x:c r="E260" s="17" t="str">
        <x:v>InsightDesk</x:v>
      </x:c>
      <x:c r="F260" s="17" t="str">
        <x:v>Lite</x:v>
      </x:c>
      <x:c r="G260" s="21" t="n">
        <x:v>16191</x:v>
      </x:c>
      <x:c r="H260" s="21" t="n">
        <x:v>9984</x:v>
      </x:c>
      <x:c r="I260" s="17" t="str">
        <x:v>Followup</x:v>
      </x:c>
    </x:row>
    <x:row r="261" ht="23" customHeight="1">
      <x:c r="A261" s="17" t="str">
        <x:v>U00255</x:v>
      </x:c>
      <x:c r="B261" s="18" t="n">
        <x:v>46275</x:v>
      </x:c>
      <x:c r="C261" s="17" t="str">
        <x:v>W0032</x:v>
      </x:c>
      <x:c r="D261" s="17" t="str">
        <x:v>C001</x:v>
      </x:c>
      <x:c r="E261" s="17" t="str">
        <x:v>InsightDesk</x:v>
      </x:c>
      <x:c r="F261" s="17" t="str">
        <x:v>Lite</x:v>
      </x:c>
      <x:c r="G261" s="21" t="n">
        <x:v>17065</x:v>
      </x:c>
      <x:c r="H261" s="21" t="n">
        <x:v>9803</x:v>
      </x:c>
      <x:c r="I261" s="17" t="str">
        <x:v>Followup</x:v>
      </x:c>
    </x:row>
    <x:row r="262" ht="23" customHeight="1">
      <x:c r="A262" s="17" t="str">
        <x:v>U00256</x:v>
      </x:c>
      <x:c r="B262" s="18" t="n">
        <x:v>46275</x:v>
      </x:c>
      <x:c r="C262" s="17" t="str">
        <x:v>W0032</x:v>
      </x:c>
      <x:c r="D262" s="17" t="str">
        <x:v>C001</x:v>
      </x:c>
      <x:c r="E262" s="17" t="str">
        <x:v>InsightDesk</x:v>
      </x:c>
      <x:c r="F262" s="17" t="str">
        <x:v>Lite</x:v>
      </x:c>
      <x:c r="G262" s="21" t="n">
        <x:v>24872</x:v>
      </x:c>
      <x:c r="H262" s="21" t="n">
        <x:v>7093</x:v>
      </x:c>
      <x:c r="I262" s="17" t="str">
        <x:v>Followup</x:v>
      </x:c>
    </x:row>
    <x:row r="263" ht="23" customHeight="1">
      <x:c r="A263" s="17" t="str">
        <x:v>U00257</x:v>
      </x:c>
      <x:c r="B263" s="18" t="n">
        <x:v>46275</x:v>
      </x:c>
      <x:c r="C263" s="17" t="str">
        <x:v>W0032</x:v>
      </x:c>
      <x:c r="D263" s="17" t="str">
        <x:v>C001</x:v>
      </x:c>
      <x:c r="E263" s="17" t="str">
        <x:v>InsightDesk</x:v>
      </x:c>
      <x:c r="F263" s="17" t="str">
        <x:v>Lite</x:v>
      </x:c>
      <x:c r="G263" s="21" t="n">
        <x:v>13987</x:v>
      </x:c>
      <x:c r="H263" s="21" t="n">
        <x:v>15473</x:v>
      </x:c>
      <x:c r="I263" s="17" t="str">
        <x:v>Followup</x:v>
      </x:c>
    </x:row>
    <x:row r="264" ht="23" customHeight="1">
      <x:c r="A264" s="17" t="str">
        <x:v>U00258</x:v>
      </x:c>
      <x:c r="B264" s="18" t="n">
        <x:v>46276</x:v>
      </x:c>
      <x:c r="C264" s="17" t="str">
        <x:v>W0032</x:v>
      </x:c>
      <x:c r="D264" s="17" t="str">
        <x:v>C001</x:v>
      </x:c>
      <x:c r="E264" s="17" t="str">
        <x:v>InsightDesk</x:v>
      </x:c>
      <x:c r="F264" s="17" t="str">
        <x:v>Lite</x:v>
      </x:c>
      <x:c r="G264" s="21" t="n">
        <x:v>16758</x:v>
      </x:c>
      <x:c r="H264" s="21" t="n">
        <x:v>6600</x:v>
      </x:c>
      <x:c r="I264" s="17" t="str">
        <x:v>Followup</x:v>
      </x:c>
    </x:row>
    <x:row r="265" ht="23" customHeight="1">
      <x:c r="A265" s="17" t="str">
        <x:v>U00259</x:v>
      </x:c>
      <x:c r="B265" s="18" t="n">
        <x:v>46276</x:v>
      </x:c>
      <x:c r="C265" s="17" t="str">
        <x:v>W0032</x:v>
      </x:c>
      <x:c r="D265" s="17" t="str">
        <x:v>C001</x:v>
      </x:c>
      <x:c r="E265" s="17" t="str">
        <x:v>InsightDesk</x:v>
      </x:c>
      <x:c r="F265" s="17" t="str">
        <x:v>Lite</x:v>
      </x:c>
      <x:c r="G265" s="21" t="n">
        <x:v>36664</x:v>
      </x:c>
      <x:c r="H265" s="21" t="n">
        <x:v>10387</x:v>
      </x:c>
      <x:c r="I265" s="17" t="str">
        <x:v>Followup</x:v>
      </x:c>
    </x:row>
    <x:row r="266" ht="23" customHeight="1">
      <x:c r="A266" s="17" t="str">
        <x:v>U00260</x:v>
      </x:c>
      <x:c r="B266" s="18" t="n">
        <x:v>46282</x:v>
      </x:c>
      <x:c r="C266" s="17" t="str">
        <x:v>W0033</x:v>
      </x:c>
      <x:c r="D266" s="17" t="str">
        <x:v>C001</x:v>
      </x:c>
      <x:c r="E266" s="17" t="str">
        <x:v>CopyStudio</x:v>
      </x:c>
      <x:c r="F266" s="17" t="str">
        <x:v>Lite</x:v>
      </x:c>
      <x:c r="G266" s="21" t="n">
        <x:v>30308</x:v>
      </x:c>
      <x:c r="H266" s="21" t="n">
        <x:v>12024</x:v>
      </x:c>
      <x:c r="I266" s="17" t="str">
        <x:v>First attempt</x:v>
      </x:c>
    </x:row>
    <x:row r="267" ht="23" customHeight="1">
      <x:c r="A267" s="17" t="str">
        <x:v>U00261</x:v>
      </x:c>
      <x:c r="B267" s="18" t="n">
        <x:v>46282</x:v>
      </x:c>
      <x:c r="C267" s="17" t="str">
        <x:v>W0033</x:v>
      </x:c>
      <x:c r="D267" s="17" t="str">
        <x:v>C001</x:v>
      </x:c>
      <x:c r="E267" s="17" t="str">
        <x:v>CopyStudio</x:v>
      </x:c>
      <x:c r="F267" s="17" t="str">
        <x:v>Lite</x:v>
      </x:c>
      <x:c r="G267" s="21" t="n">
        <x:v>19982</x:v>
      </x:c>
      <x:c r="H267" s="21" t="n">
        <x:v>5126</x:v>
      </x:c>
      <x:c r="I267" s="17" t="str">
        <x:v>Followup</x:v>
      </x:c>
    </x:row>
    <x:row r="268" ht="23" customHeight="1">
      <x:c r="A268" s="17" t="str">
        <x:v>U00262</x:v>
      </x:c>
      <x:c r="B268" s="18" t="n">
        <x:v>46282</x:v>
      </x:c>
      <x:c r="C268" s="17" t="str">
        <x:v>W0033</x:v>
      </x:c>
      <x:c r="D268" s="17" t="str">
        <x:v>C001</x:v>
      </x:c>
      <x:c r="E268" s="17" t="str">
        <x:v>CopyStudio</x:v>
      </x:c>
      <x:c r="F268" s="17" t="str">
        <x:v>Lite</x:v>
      </x:c>
      <x:c r="G268" s="21" t="n">
        <x:v>27293</x:v>
      </x:c>
      <x:c r="H268" s="21" t="n">
        <x:v>17119</x:v>
      </x:c>
      <x:c r="I268" s="17" t="str">
        <x:v>Followup</x:v>
      </x:c>
    </x:row>
    <x:row r="269" ht="23" customHeight="1">
      <x:c r="A269" s="17" t="str">
        <x:v>U00263</x:v>
      </x:c>
      <x:c r="B269" s="18" t="n">
        <x:v>46283</x:v>
      </x:c>
      <x:c r="C269" s="17" t="str">
        <x:v>W0033</x:v>
      </x:c>
      <x:c r="D269" s="17" t="str">
        <x:v>C001</x:v>
      </x:c>
      <x:c r="E269" s="17" t="str">
        <x:v>CopyStudio</x:v>
      </x:c>
      <x:c r="F269" s="17" t="str">
        <x:v>Lite</x:v>
      </x:c>
      <x:c r="G269" s="21" t="n">
        <x:v>26104</x:v>
      </x:c>
      <x:c r="H269" s="21" t="n">
        <x:v>15173</x:v>
      </x:c>
      <x:c r="I269" s="17" t="str">
        <x:v>Followup</x:v>
      </x:c>
    </x:row>
    <x:row r="270" ht="23" customHeight="1">
      <x:c r="A270" s="17" t="str">
        <x:v>U00264</x:v>
      </x:c>
      <x:c r="B270" s="18" t="n">
        <x:v>46283</x:v>
      </x:c>
      <x:c r="C270" s="17" t="str">
        <x:v>W0033</x:v>
      </x:c>
      <x:c r="D270" s="17" t="str">
        <x:v>C001</x:v>
      </x:c>
      <x:c r="E270" s="17" t="str">
        <x:v>CopyStudio</x:v>
      </x:c>
      <x:c r="F270" s="17" t="str">
        <x:v>Lite</x:v>
      </x:c>
      <x:c r="G270" s="21" t="n">
        <x:v>18760</x:v>
      </x:c>
      <x:c r="H270" s="21" t="n">
        <x:v>14810</x:v>
      </x:c>
      <x:c r="I270" s="17" t="str">
        <x:v>Followup</x:v>
      </x:c>
    </x:row>
    <x:row r="271" ht="23" customHeight="1">
      <x:c r="A271" s="17" t="str">
        <x:v>U00265</x:v>
      </x:c>
      <x:c r="B271" s="18" t="n">
        <x:v>46286</x:v>
      </x:c>
      <x:c r="C271" s="17" t="str">
        <x:v>W0033</x:v>
      </x:c>
      <x:c r="D271" s="17" t="str">
        <x:v>C001</x:v>
      </x:c>
      <x:c r="E271" s="17" t="str">
        <x:v>CopyStudio</x:v>
      </x:c>
      <x:c r="F271" s="17" t="str">
        <x:v>Lite</x:v>
      </x:c>
      <x:c r="G271" s="21" t="n">
        <x:v>42430</x:v>
      </x:c>
      <x:c r="H271" s="21" t="n">
        <x:v>13740</x:v>
      </x:c>
      <x:c r="I271" s="17" t="str">
        <x:v>Correction</x:v>
      </x:c>
    </x:row>
    <x:row r="272" ht="23" customHeight="1">
      <x:c r="A272" s="17" t="str">
        <x:v>U00266</x:v>
      </x:c>
      <x:c r="B272" s="18" t="n">
        <x:v>46286</x:v>
      </x:c>
      <x:c r="C272" s="17" t="str">
        <x:v>W0033</x:v>
      </x:c>
      <x:c r="D272" s="17" t="str">
        <x:v>C001</x:v>
      </x:c>
      <x:c r="E272" s="17" t="str">
        <x:v>CopyStudio</x:v>
      </x:c>
      <x:c r="F272" s="17" t="str">
        <x:v>Lite</x:v>
      </x:c>
      <x:c r="G272" s="21" t="n">
        <x:v>37814</x:v>
      </x:c>
      <x:c r="H272" s="21" t="n">
        <x:v>7063</x:v>
      </x:c>
      <x:c r="I272" s="17" t="str">
        <x:v>Followup</x:v>
      </x:c>
    </x:row>
    <x:row r="273" ht="23" customHeight="1">
      <x:c r="A273" s="17" t="str">
        <x:v>U00267</x:v>
      </x:c>
      <x:c r="B273" s="18" t="n">
        <x:v>46286</x:v>
      </x:c>
      <x:c r="C273" s="17" t="str">
        <x:v>W0033</x:v>
      </x:c>
      <x:c r="D273" s="17" t="str">
        <x:v>C001</x:v>
      </x:c>
      <x:c r="E273" s="17" t="str">
        <x:v>CopyStudio</x:v>
      </x:c>
      <x:c r="F273" s="17" t="str">
        <x:v>Lite</x:v>
      </x:c>
      <x:c r="G273" s="21" t="n">
        <x:v>17646</x:v>
      </x:c>
      <x:c r="H273" s="21" t="n">
        <x:v>5875</x:v>
      </x:c>
      <x:c r="I273" s="17" t="str">
        <x:v>Followup</x:v>
      </x:c>
    </x:row>
    <x:row r="274" ht="23" customHeight="1">
      <x:c r="A274" s="17" t="str">
        <x:v>U00268</x:v>
      </x:c>
      <x:c r="B274" s="18" t="n">
        <x:v>46287</x:v>
      </x:c>
      <x:c r="C274" s="17" t="str">
        <x:v>W0033</x:v>
      </x:c>
      <x:c r="D274" s="17" t="str">
        <x:v>C001</x:v>
      </x:c>
      <x:c r="E274" s="17" t="str">
        <x:v>CopyStudio</x:v>
      </x:c>
      <x:c r="F274" s="17" t="str">
        <x:v>Lite</x:v>
      </x:c>
      <x:c r="G274" s="21" t="n">
        <x:v>21221</x:v>
      </x:c>
      <x:c r="H274" s="21" t="n">
        <x:v>5745</x:v>
      </x:c>
      <x:c r="I274" s="17" t="str">
        <x:v>Followup</x:v>
      </x:c>
    </x:row>
    <x:row r="275" ht="23" customHeight="1">
      <x:c r="A275" s="17" t="str">
        <x:v>U00269</x:v>
      </x:c>
      <x:c r="B275" s="18" t="n">
        <x:v>46287</x:v>
      </x:c>
      <x:c r="C275" s="17" t="str">
        <x:v>W0033</x:v>
      </x:c>
      <x:c r="D275" s="17" t="str">
        <x:v>C001</x:v>
      </x:c>
      <x:c r="E275" s="17" t="str">
        <x:v>CopyStudio</x:v>
      </x:c>
      <x:c r="F275" s="17" t="str">
        <x:v>Lite</x:v>
      </x:c>
      <x:c r="G275" s="21" t="n">
        <x:v>21706</x:v>
      </x:c>
      <x:c r="H275" s="21" t="n">
        <x:v>8680</x:v>
      </x:c>
      <x:c r="I275" s="17" t="str">
        <x:v>Followup</x:v>
      </x:c>
    </x:row>
    <x:row r="276" ht="23" customHeight="1">
      <x:c r="A276" s="17" t="str">
        <x:v>U00270</x:v>
      </x:c>
      <x:c r="B276" s="18" t="n">
        <x:v>46266</x:v>
      </x:c>
      <x:c r="C276" s="17" t="str">
        <x:v>W0034</x:v>
      </x:c>
      <x:c r="D276" s="17" t="str">
        <x:v>C001</x:v>
      </x:c>
      <x:c r="E276" s="17" t="str">
        <x:v>CopyStudio</x:v>
      </x:c>
      <x:c r="F276" s="17" t="str">
        <x:v>Lite</x:v>
      </x:c>
      <x:c r="G276" s="21" t="n">
        <x:v>43399</x:v>
      </x:c>
      <x:c r="H276" s="21" t="n">
        <x:v>9457</x:v>
      </x:c>
      <x:c r="I276" s="17" t="str">
        <x:v>First attempt</x:v>
      </x:c>
    </x:row>
    <x:row r="277" ht="23" customHeight="1">
      <x:c r="A277" s="17" t="str">
        <x:v>U00271</x:v>
      </x:c>
      <x:c r="B277" s="18" t="n">
        <x:v>46266</x:v>
      </x:c>
      <x:c r="C277" s="17" t="str">
        <x:v>W0034</x:v>
      </x:c>
      <x:c r="D277" s="17" t="str">
        <x:v>C001</x:v>
      </x:c>
      <x:c r="E277" s="17" t="str">
        <x:v>CopyStudio</x:v>
      </x:c>
      <x:c r="F277" s="17" t="str">
        <x:v>Lite</x:v>
      </x:c>
      <x:c r="G277" s="21" t="n">
        <x:v>67928</x:v>
      </x:c>
      <x:c r="H277" s="21" t="n">
        <x:v>3932</x:v>
      </x:c>
      <x:c r="I277" s="17" t="str">
        <x:v>Correction</x:v>
      </x:c>
    </x:row>
    <x:row r="278" ht="23" customHeight="1">
      <x:c r="A278" s="17" t="str">
        <x:v>U00272</x:v>
      </x:c>
      <x:c r="B278" s="18" t="n">
        <x:v>46266</x:v>
      </x:c>
      <x:c r="C278" s="17" t="str">
        <x:v>W0034</x:v>
      </x:c>
      <x:c r="D278" s="17" t="str">
        <x:v>C001</x:v>
      </x:c>
      <x:c r="E278" s="17" t="str">
        <x:v>CopyStudio</x:v>
      </x:c>
      <x:c r="F278" s="17" t="str">
        <x:v>Lite</x:v>
      </x:c>
      <x:c r="G278" s="21" t="n">
        <x:v>52299</x:v>
      </x:c>
      <x:c r="H278" s="21" t="n">
        <x:v>13448</x:v>
      </x:c>
      <x:c r="I278" s="17" t="str">
        <x:v>Followup</x:v>
      </x:c>
    </x:row>
    <x:row r="279" ht="23" customHeight="1">
      <x:c r="A279" s="17" t="str">
        <x:v>U00273</x:v>
      </x:c>
      <x:c r="B279" s="18" t="n">
        <x:v>46267</x:v>
      </x:c>
      <x:c r="C279" s="17" t="str">
        <x:v>W0034</x:v>
      </x:c>
      <x:c r="D279" s="17" t="str">
        <x:v>C001</x:v>
      </x:c>
      <x:c r="E279" s="17" t="str">
        <x:v>CopyStudio</x:v>
      </x:c>
      <x:c r="F279" s="17" t="str">
        <x:v>Lite</x:v>
      </x:c>
      <x:c r="G279" s="21" t="n">
        <x:v>69607</x:v>
      </x:c>
      <x:c r="H279" s="21" t="n">
        <x:v>8979</x:v>
      </x:c>
      <x:c r="I279" s="17" t="str">
        <x:v>Followup</x:v>
      </x:c>
    </x:row>
    <x:row r="280" ht="23" customHeight="1">
      <x:c r="A280" s="17" t="str">
        <x:v>U00274</x:v>
      </x:c>
      <x:c r="B280" s="18" t="n">
        <x:v>46267</x:v>
      </x:c>
      <x:c r="C280" s="17" t="str">
        <x:v>W0034</x:v>
      </x:c>
      <x:c r="D280" s="17" t="str">
        <x:v>C001</x:v>
      </x:c>
      <x:c r="E280" s="17" t="str">
        <x:v>CopyStudio</x:v>
      </x:c>
      <x:c r="F280" s="17" t="str">
        <x:v>Lite</x:v>
      </x:c>
      <x:c r="G280" s="21" t="n">
        <x:v>35563</x:v>
      </x:c>
      <x:c r="H280" s="21" t="n">
        <x:v>9745</x:v>
      </x:c>
      <x:c r="I280" s="17" t="str">
        <x:v>Followup</x:v>
      </x:c>
    </x:row>
    <x:row r="281" ht="23" customHeight="1">
      <x:c r="A281" s="17" t="str">
        <x:v>U00275</x:v>
      </x:c>
      <x:c r="B281" s="18" t="n">
        <x:v>46268</x:v>
      </x:c>
      <x:c r="C281" s="17" t="str">
        <x:v>W0034</x:v>
      </x:c>
      <x:c r="D281" s="17" t="str">
        <x:v>C001</x:v>
      </x:c>
      <x:c r="E281" s="17" t="str">
        <x:v>CopyStudio</x:v>
      </x:c>
      <x:c r="F281" s="17" t="str">
        <x:v>Lite</x:v>
      </x:c>
      <x:c r="G281" s="21" t="n">
        <x:v>43540</x:v>
      </x:c>
      <x:c r="H281" s="21" t="n">
        <x:v>14135</x:v>
      </x:c>
      <x:c r="I281" s="17" t="str">
        <x:v>Followup</x:v>
      </x:c>
    </x:row>
    <x:row r="282" ht="23" customHeight="1">
      <x:c r="A282" s="17" t="str">
        <x:v>U00276</x:v>
      </x:c>
      <x:c r="B282" s="18" t="n">
        <x:v>46268</x:v>
      </x:c>
      <x:c r="C282" s="17" t="str">
        <x:v>W0034</x:v>
      </x:c>
      <x:c r="D282" s="17" t="str">
        <x:v>C001</x:v>
      </x:c>
      <x:c r="E282" s="17" t="str">
        <x:v>CopyStudio</x:v>
      </x:c>
      <x:c r="F282" s="17" t="str">
        <x:v>Lite</x:v>
      </x:c>
      <x:c r="G282" s="21" t="n">
        <x:v>54445</x:v>
      </x:c>
      <x:c r="H282" s="21" t="n">
        <x:v>4118</x:v>
      </x:c>
      <x:c r="I282" s="17" t="str">
        <x:v>Followup</x:v>
      </x:c>
    </x:row>
    <x:row r="283" ht="23" customHeight="1">
      <x:c r="A283" s="17" t="str">
        <x:v>U00277</x:v>
      </x:c>
      <x:c r="B283" s="18" t="n">
        <x:v>46268</x:v>
      </x:c>
      <x:c r="C283" s="17" t="str">
        <x:v>W0034</x:v>
      </x:c>
      <x:c r="D283" s="17" t="str">
        <x:v>C001</x:v>
      </x:c>
      <x:c r="E283" s="17" t="str">
        <x:v>CopyStudio</x:v>
      </x:c>
      <x:c r="F283" s="17" t="str">
        <x:v>Lite</x:v>
      </x:c>
      <x:c r="G283" s="21" t="n">
        <x:v>33972</x:v>
      </x:c>
      <x:c r="H283" s="21" t="n">
        <x:v>11416</x:v>
      </x:c>
      <x:c r="I283" s="17" t="str">
        <x:v>Followup</x:v>
      </x:c>
    </x:row>
    <x:row r="284" ht="23" customHeight="1">
      <x:c r="A284" s="17" t="str">
        <x:v>U00278</x:v>
      </x:c>
      <x:c r="B284" s="18" t="n">
        <x:v>46269</x:v>
      </x:c>
      <x:c r="C284" s="17" t="str">
        <x:v>W0034</x:v>
      </x:c>
      <x:c r="D284" s="17" t="str">
        <x:v>C001</x:v>
      </x:c>
      <x:c r="E284" s="17" t="str">
        <x:v>CopyStudio</x:v>
      </x:c>
      <x:c r="F284" s="17" t="str">
        <x:v>Lite</x:v>
      </x:c>
      <x:c r="G284" s="21" t="n">
        <x:v>44207</x:v>
      </x:c>
      <x:c r="H284" s="21" t="n">
        <x:v>10822</x:v>
      </x:c>
      <x:c r="I284" s="17" t="str">
        <x:v>Followup</x:v>
      </x:c>
    </x:row>
    <x:row r="285" ht="23" customHeight="1">
      <x:c r="A285" s="17" t="str">
        <x:v>U00279</x:v>
      </x:c>
      <x:c r="B285" s="18" t="n">
        <x:v>46269</x:v>
      </x:c>
      <x:c r="C285" s="17" t="str">
        <x:v>W0034</x:v>
      </x:c>
      <x:c r="D285" s="17" t="str">
        <x:v>C001</x:v>
      </x:c>
      <x:c r="E285" s="17" t="str">
        <x:v>CopyStudio</x:v>
      </x:c>
      <x:c r="F285" s="17" t="str">
        <x:v>Lite</x:v>
      </x:c>
      <x:c r="G285" s="21" t="n">
        <x:v>52395</x:v>
      </x:c>
      <x:c r="H285" s="21" t="n">
        <x:v>11590</x:v>
      </x:c>
      <x:c r="I285" s="17" t="str">
        <x:v>Followup</x:v>
      </x:c>
    </x:row>
    <x:row r="286" ht="23" customHeight="1">
      <x:c r="A286" s="17" t="str">
        <x:v>U00280</x:v>
      </x:c>
      <x:c r="B286" s="18" t="n">
        <x:v>46276</x:v>
      </x:c>
      <x:c r="C286" s="17" t="str">
        <x:v>W0035</x:v>
      </x:c>
      <x:c r="D286" s="17" t="str">
        <x:v>C001</x:v>
      </x:c>
      <x:c r="E286" s="17" t="str">
        <x:v>CampaignChat</x:v>
      </x:c>
      <x:c r="F286" s="17" t="str">
        <x:v>Lite</x:v>
      </x:c>
      <x:c r="G286" s="21" t="n">
        <x:v>30393</x:v>
      </x:c>
      <x:c r="H286" s="21" t="n">
        <x:v>8769</x:v>
      </x:c>
      <x:c r="I286" s="17" t="str">
        <x:v>First attempt</x:v>
      </x:c>
    </x:row>
    <x:row r="287" ht="23" customHeight="1">
      <x:c r="A287" s="17" t="str">
        <x:v>U00281</x:v>
      </x:c>
      <x:c r="B287" s="18" t="n">
        <x:v>46276</x:v>
      </x:c>
      <x:c r="C287" s="17" t="str">
        <x:v>W0035</x:v>
      </x:c>
      <x:c r="D287" s="17" t="str">
        <x:v>C001</x:v>
      </x:c>
      <x:c r="E287" s="17" t="str">
        <x:v>CampaignChat</x:v>
      </x:c>
      <x:c r="F287" s="17" t="str">
        <x:v>Lite</x:v>
      </x:c>
      <x:c r="G287" s="21" t="n">
        <x:v>42752</x:v>
      </x:c>
      <x:c r="H287" s="21" t="n">
        <x:v>3626</x:v>
      </x:c>
      <x:c r="I287" s="17" t="str">
        <x:v>Followup</x:v>
      </x:c>
    </x:row>
    <x:row r="288" ht="23" customHeight="1">
      <x:c r="A288" s="17" t="str">
        <x:v>U00282</x:v>
      </x:c>
      <x:c r="B288" s="18" t="n">
        <x:v>46279</x:v>
      </x:c>
      <x:c r="C288" s="17" t="str">
        <x:v>W0035</x:v>
      </x:c>
      <x:c r="D288" s="17" t="str">
        <x:v>C001</x:v>
      </x:c>
      <x:c r="E288" s="17" t="str">
        <x:v>CampaignChat</x:v>
      </x:c>
      <x:c r="F288" s="17" t="str">
        <x:v>Lite</x:v>
      </x:c>
      <x:c r="G288" s="21" t="n">
        <x:v>29194</x:v>
      </x:c>
      <x:c r="H288" s="21" t="n">
        <x:v>6847</x:v>
      </x:c>
      <x:c r="I288" s="17" t="str">
        <x:v>Followup</x:v>
      </x:c>
    </x:row>
    <x:row r="289" ht="23" customHeight="1">
      <x:c r="A289" s="17" t="str">
        <x:v>U00283</x:v>
      </x:c>
      <x:c r="B289" s="18" t="n">
        <x:v>46279</x:v>
      </x:c>
      <x:c r="C289" s="17" t="str">
        <x:v>W0035</x:v>
      </x:c>
      <x:c r="D289" s="17" t="str">
        <x:v>C001</x:v>
      </x:c>
      <x:c r="E289" s="17" t="str">
        <x:v>CampaignChat</x:v>
      </x:c>
      <x:c r="F289" s="17" t="str">
        <x:v>Lite</x:v>
      </x:c>
      <x:c r="G289" s="21" t="n">
        <x:v>36653</x:v>
      </x:c>
      <x:c r="H289" s="21" t="n">
        <x:v>5318</x:v>
      </x:c>
      <x:c r="I289" s="17" t="str">
        <x:v>Followup</x:v>
      </x:c>
    </x:row>
    <x:row r="290" ht="23" customHeight="1">
      <x:c r="A290" s="17" t="str">
        <x:v>U00284</x:v>
      </x:c>
      <x:c r="B290" s="18" t="n">
        <x:v>46280</x:v>
      </x:c>
      <x:c r="C290" s="17" t="str">
        <x:v>W0035</x:v>
      </x:c>
      <x:c r="D290" s="17" t="str">
        <x:v>C001</x:v>
      </x:c>
      <x:c r="E290" s="17" t="str">
        <x:v>CampaignChat</x:v>
      </x:c>
      <x:c r="F290" s="17" t="str">
        <x:v>Lite</x:v>
      </x:c>
      <x:c r="G290" s="21" t="n">
        <x:v>23613</x:v>
      </x:c>
      <x:c r="H290" s="21" t="n">
        <x:v>7036</x:v>
      </x:c>
      <x:c r="I290" s="17" t="str">
        <x:v>Followup</x:v>
      </x:c>
    </x:row>
    <x:row r="291" ht="23" customHeight="1">
      <x:c r="A291" s="17" t="str">
        <x:v>U00285</x:v>
      </x:c>
      <x:c r="B291" s="18" t="n">
        <x:v>46280</x:v>
      </x:c>
      <x:c r="C291" s="17" t="str">
        <x:v>W0035</x:v>
      </x:c>
      <x:c r="D291" s="17" t="str">
        <x:v>C001</x:v>
      </x:c>
      <x:c r="E291" s="17" t="str">
        <x:v>CampaignChat</x:v>
      </x:c>
      <x:c r="F291" s="17" t="str">
        <x:v>Lite</x:v>
      </x:c>
      <x:c r="G291" s="21" t="n">
        <x:v>15601</x:v>
      </x:c>
      <x:c r="H291" s="21" t="n">
        <x:v>3504</x:v>
      </x:c>
      <x:c r="I291" s="17" t="str">
        <x:v>Followup</x:v>
      </x:c>
    </x:row>
    <x:row r="292" ht="23" customHeight="1">
      <x:c r="A292" s="17" t="str">
        <x:v>U00286</x:v>
      </x:c>
      <x:c r="B292" s="18" t="n">
        <x:v>46281</x:v>
      </x:c>
      <x:c r="C292" s="17" t="str">
        <x:v>W0035</x:v>
      </x:c>
      <x:c r="D292" s="17" t="str">
        <x:v>C001</x:v>
      </x:c>
      <x:c r="E292" s="17" t="str">
        <x:v>CampaignChat</x:v>
      </x:c>
      <x:c r="F292" s="17" t="str">
        <x:v>Lite</x:v>
      </x:c>
      <x:c r="G292" s="21" t="n">
        <x:v>42568</x:v>
      </x:c>
      <x:c r="H292" s="21" t="n">
        <x:v>4364</x:v>
      </x:c>
      <x:c r="I292" s="17" t="str">
        <x:v>Followup</x:v>
      </x:c>
    </x:row>
    <x:row r="293" ht="23" customHeight="1">
      <x:c r="A293" s="17" t="str">
        <x:v>U00287</x:v>
      </x:c>
      <x:c r="B293" s="18" t="n">
        <x:v>46287</x:v>
      </x:c>
      <x:c r="C293" s="17" t="str">
        <x:v>W0036</x:v>
      </x:c>
      <x:c r="D293" s="17" t="str">
        <x:v>C001</x:v>
      </x:c>
      <x:c r="E293" s="17" t="str">
        <x:v>CampaignChat</x:v>
      </x:c>
      <x:c r="F293" s="17" t="str">
        <x:v>Lite</x:v>
      </x:c>
      <x:c r="G293" s="21" t="n">
        <x:v>49577</x:v>
      </x:c>
      <x:c r="H293" s="21" t="n">
        <x:v>14960</x:v>
      </x:c>
      <x:c r="I293" s="17" t="str">
        <x:v>First attempt</x:v>
      </x:c>
    </x:row>
    <x:row r="294" ht="23" customHeight="1">
      <x:c r="A294" s="17" t="str">
        <x:v>U00288</x:v>
      </x:c>
      <x:c r="B294" s="18" t="n">
        <x:v>46287</x:v>
      </x:c>
      <x:c r="C294" s="17" t="str">
        <x:v>W0036</x:v>
      </x:c>
      <x:c r="D294" s="17" t="str">
        <x:v>C001</x:v>
      </x:c>
      <x:c r="E294" s="17" t="str">
        <x:v>CampaignChat</x:v>
      </x:c>
      <x:c r="F294" s="17" t="str">
        <x:v>Lite</x:v>
      </x:c>
      <x:c r="G294" s="21" t="n">
        <x:v>44712</x:v>
      </x:c>
      <x:c r="H294" s="21" t="n">
        <x:v>8366</x:v>
      </x:c>
      <x:c r="I294" s="17" t="str">
        <x:v>Followup</x:v>
      </x:c>
    </x:row>
    <x:row r="295" ht="23" customHeight="1">
      <x:c r="A295" s="17" t="str">
        <x:v>U00289</x:v>
      </x:c>
      <x:c r="B295" s="18" t="n">
        <x:v>46287</x:v>
      </x:c>
      <x:c r="C295" s="17" t="str">
        <x:v>W0036</x:v>
      </x:c>
      <x:c r="D295" s="17" t="str">
        <x:v>C001</x:v>
      </x:c>
      <x:c r="E295" s="17" t="str">
        <x:v>CampaignChat</x:v>
      </x:c>
      <x:c r="F295" s="17" t="str">
        <x:v>Lite</x:v>
      </x:c>
      <x:c r="G295" s="21" t="n">
        <x:v>55725</x:v>
      </x:c>
      <x:c r="H295" s="21" t="n">
        <x:v>9801</x:v>
      </x:c>
      <x:c r="I295" s="17" t="str">
        <x:v>Followup</x:v>
      </x:c>
    </x:row>
    <x:row r="296" ht="23" customHeight="1">
      <x:c r="A296" s="17" t="str">
        <x:v>U00290</x:v>
      </x:c>
      <x:c r="B296" s="18" t="n">
        <x:v>46288</x:v>
      </x:c>
      <x:c r="C296" s="17" t="str">
        <x:v>W0036</x:v>
      </x:c>
      <x:c r="D296" s="17" t="str">
        <x:v>C001</x:v>
      </x:c>
      <x:c r="E296" s="17" t="str">
        <x:v>CampaignChat</x:v>
      </x:c>
      <x:c r="F296" s="17" t="str">
        <x:v>Lite</x:v>
      </x:c>
      <x:c r="G296" s="21" t="n">
        <x:v>46105</x:v>
      </x:c>
      <x:c r="H296" s="21" t="n">
        <x:v>6552</x:v>
      </x:c>
      <x:c r="I296" s="17" t="str">
        <x:v>Correction</x:v>
      </x:c>
    </x:row>
    <x:row r="297" ht="23" customHeight="1">
      <x:c r="A297" s="17" t="str">
        <x:v>U00291</x:v>
      </x:c>
      <x:c r="B297" s="18" t="n">
        <x:v>46288</x:v>
      </x:c>
      <x:c r="C297" s="17" t="str">
        <x:v>W0036</x:v>
      </x:c>
      <x:c r="D297" s="17" t="str">
        <x:v>C001</x:v>
      </x:c>
      <x:c r="E297" s="17" t="str">
        <x:v>CampaignChat</x:v>
      </x:c>
      <x:c r="F297" s="17" t="str">
        <x:v>Lite</x:v>
      </x:c>
      <x:c r="G297" s="21" t="n">
        <x:v>43759</x:v>
      </x:c>
      <x:c r="H297" s="21" t="n">
        <x:v>7832</x:v>
      </x:c>
      <x:c r="I297" s="17" t="str">
        <x:v>Correction</x:v>
      </x:c>
    </x:row>
    <x:row r="298" ht="23" customHeight="1">
      <x:c r="A298" s="17" t="str">
        <x:v>U00292</x:v>
      </x:c>
      <x:c r="B298" s="18" t="n">
        <x:v>46288</x:v>
      </x:c>
      <x:c r="C298" s="17" t="str">
        <x:v>W0036</x:v>
      </x:c>
      <x:c r="D298" s="17" t="str">
        <x:v>C001</x:v>
      </x:c>
      <x:c r="E298" s="17" t="str">
        <x:v>CampaignChat</x:v>
      </x:c>
      <x:c r="F298" s="17" t="str">
        <x:v>Lite</x:v>
      </x:c>
      <x:c r="G298" s="21" t="n">
        <x:v>59318</x:v>
      </x:c>
      <x:c r="H298" s="21" t="n">
        <x:v>6881</x:v>
      </x:c>
      <x:c r="I298" s="17" t="str">
        <x:v>Followup</x:v>
      </x:c>
    </x:row>
    <x:row r="299" ht="23" customHeight="1">
      <x:c r="A299" s="17" t="str">
        <x:v>U00293</x:v>
      </x:c>
      <x:c r="B299" s="18" t="n">
        <x:v>46289</x:v>
      </x:c>
      <x:c r="C299" s="17" t="str">
        <x:v>W0036</x:v>
      </x:c>
      <x:c r="D299" s="17" t="str">
        <x:v>C001</x:v>
      </x:c>
      <x:c r="E299" s="17" t="str">
        <x:v>CampaignChat</x:v>
      </x:c>
      <x:c r="F299" s="17" t="str">
        <x:v>Lite</x:v>
      </x:c>
      <x:c r="G299" s="21" t="n">
        <x:v>50074</x:v>
      </x:c>
      <x:c r="H299" s="21" t="n">
        <x:v>6136</x:v>
      </x:c>
      <x:c r="I299" s="17" t="str">
        <x:v>Followup</x:v>
      </x:c>
    </x:row>
    <x:row r="300" ht="23" customHeight="1">
      <x:c r="A300" s="17" t="str">
        <x:v>U00294</x:v>
      </x:c>
      <x:c r="B300" s="18" t="n">
        <x:v>46289</x:v>
      </x:c>
      <x:c r="C300" s="17" t="str">
        <x:v>W0036</x:v>
      </x:c>
      <x:c r="D300" s="17" t="str">
        <x:v>C001</x:v>
      </x:c>
      <x:c r="E300" s="17" t="str">
        <x:v>CampaignChat</x:v>
      </x:c>
      <x:c r="F300" s="17" t="str">
        <x:v>Lite</x:v>
      </x:c>
      <x:c r="G300" s="21" t="n">
        <x:v>54027</x:v>
      </x:c>
      <x:c r="H300" s="21" t="n">
        <x:v>4620</x:v>
      </x:c>
      <x:c r="I300" s="17" t="str">
        <x:v>Followup</x:v>
      </x:c>
    </x:row>
    <x:row r="301" ht="23" customHeight="1">
      <x:c r="A301" s="17" t="str">
        <x:v>U00295</x:v>
      </x:c>
      <x:c r="B301" s="18" t="n">
        <x:v>46289</x:v>
      </x:c>
      <x:c r="C301" s="17" t="str">
        <x:v>W0036</x:v>
      </x:c>
      <x:c r="D301" s="17" t="str">
        <x:v>C001</x:v>
      </x:c>
      <x:c r="E301" s="17" t="str">
        <x:v>CampaignChat</x:v>
      </x:c>
      <x:c r="F301" s="17" t="str">
        <x:v>Lite</x:v>
      </x:c>
      <x:c r="G301" s="21" t="n">
        <x:v>64360</x:v>
      </x:c>
      <x:c r="H301" s="21" t="n">
        <x:v>10050</x:v>
      </x:c>
      <x:c r="I301" s="17" t="str">
        <x:v>Followup</x:v>
      </x:c>
    </x:row>
    <x:row r="302" ht="23" customHeight="1">
      <x:c r="A302" s="17" t="str">
        <x:v>U00296</x:v>
      </x:c>
      <x:c r="B302" s="18" t="n">
        <x:v>46290</x:v>
      </x:c>
      <x:c r="C302" s="17" t="str">
        <x:v>W0036</x:v>
      </x:c>
      <x:c r="D302" s="17" t="str">
        <x:v>C001</x:v>
      </x:c>
      <x:c r="E302" s="17" t="str">
        <x:v>CampaignChat</x:v>
      </x:c>
      <x:c r="F302" s="17" t="str">
        <x:v>Lite</x:v>
      </x:c>
      <x:c r="G302" s="21" t="n">
        <x:v>46758</x:v>
      </x:c>
      <x:c r="H302" s="21" t="n">
        <x:v>12448</x:v>
      </x:c>
      <x:c r="I302" s="17" t="str">
        <x:v>Followup</x:v>
      </x:c>
    </x:row>
    <x:row r="303" ht="23" customHeight="1">
      <x:c r="A303" s="17" t="str">
        <x:v>U00297</x:v>
      </x:c>
      <x:c r="B303" s="18" t="n">
        <x:v>46290</x:v>
      </x:c>
      <x:c r="C303" s="17" t="str">
        <x:v>W0036</x:v>
      </x:c>
      <x:c r="D303" s="17" t="str">
        <x:v>C001</x:v>
      </x:c>
      <x:c r="E303" s="17" t="str">
        <x:v>CampaignChat</x:v>
      </x:c>
      <x:c r="F303" s="17" t="str">
        <x:v>Lite</x:v>
      </x:c>
      <x:c r="G303" s="21" t="n">
        <x:v>45046</x:v>
      </x:c>
      <x:c r="H303" s="21" t="n">
        <x:v>7101</x:v>
      </x:c>
      <x:c r="I303" s="17" t="str">
        <x:v>Followup</x:v>
      </x:c>
    </x:row>
    <x:row r="304" ht="23" customHeight="1">
      <x:c r="A304" s="17" t="str">
        <x:v>U00298</x:v>
      </x:c>
      <x:c r="B304" s="18" t="n">
        <x:v>46269</x:v>
      </x:c>
      <x:c r="C304" s="17" t="str">
        <x:v>W0037</x:v>
      </x:c>
      <x:c r="D304" s="17" t="str">
        <x:v>C001</x:v>
      </x:c>
      <x:c r="E304" s="17" t="str">
        <x:v>DataFlow</x:v>
      </x:c>
      <x:c r="F304" s="17" t="str">
        <x:v>Lite</x:v>
      </x:c>
      <x:c r="G304" s="21" t="n">
        <x:v>50114</x:v>
      </x:c>
      <x:c r="H304" s="21" t="n">
        <x:v>11055</x:v>
      </x:c>
      <x:c r="I304" s="17" t="str">
        <x:v>First attempt</x:v>
      </x:c>
    </x:row>
    <x:row r="305" ht="23" customHeight="1">
      <x:c r="A305" s="17" t="str">
        <x:v>U00299</x:v>
      </x:c>
      <x:c r="B305" s="18" t="n">
        <x:v>46269</x:v>
      </x:c>
      <x:c r="C305" s="17" t="str">
        <x:v>W0037</x:v>
      </x:c>
      <x:c r="D305" s="17" t="str">
        <x:v>C001</x:v>
      </x:c>
      <x:c r="E305" s="17" t="str">
        <x:v>DataFlow</x:v>
      </x:c>
      <x:c r="F305" s="17" t="str">
        <x:v>Lite</x:v>
      </x:c>
      <x:c r="G305" s="21" t="n">
        <x:v>44239</x:v>
      </x:c>
      <x:c r="H305" s="21" t="n">
        <x:v>10252</x:v>
      </x:c>
      <x:c r="I305" s="17" t="str">
        <x:v>Followup</x:v>
      </x:c>
    </x:row>
    <x:row r="306" ht="23" customHeight="1">
      <x:c r="A306" s="17" t="str">
        <x:v>U00300</x:v>
      </x:c>
      <x:c r="B306" s="18" t="n">
        <x:v>46269</x:v>
      </x:c>
      <x:c r="C306" s="17" t="str">
        <x:v>W0037</x:v>
      </x:c>
      <x:c r="D306" s="17" t="str">
        <x:v>C001</x:v>
      </x:c>
      <x:c r="E306" s="17" t="str">
        <x:v>DataFlow</x:v>
      </x:c>
      <x:c r="F306" s="17" t="str">
        <x:v>Lite</x:v>
      </x:c>
      <x:c r="G306" s="21" t="n">
        <x:v>41883</x:v>
      </x:c>
      <x:c r="H306" s="21" t="n">
        <x:v>10403</x:v>
      </x:c>
      <x:c r="I306" s="17" t="str">
        <x:v>Followup</x:v>
      </x:c>
    </x:row>
    <x:row r="307" ht="23" customHeight="1">
      <x:c r="A307" s="17" t="str">
        <x:v>U00301</x:v>
      </x:c>
      <x:c r="B307" s="18" t="n">
        <x:v>46273</x:v>
      </x:c>
      <x:c r="C307" s="17" t="str">
        <x:v>W0037</x:v>
      </x:c>
      <x:c r="D307" s="17" t="str">
        <x:v>C001</x:v>
      </x:c>
      <x:c r="E307" s="17" t="str">
        <x:v>DataFlow</x:v>
      </x:c>
      <x:c r="F307" s="17" t="str">
        <x:v>Lite</x:v>
      </x:c>
      <x:c r="G307" s="21" t="n">
        <x:v>52385</x:v>
      </x:c>
      <x:c r="H307" s="21" t="n">
        <x:v>14458</x:v>
      </x:c>
      <x:c r="I307" s="17" t="str">
        <x:v>Followup</x:v>
      </x:c>
    </x:row>
    <x:row r="308" ht="23" customHeight="1">
      <x:c r="A308" s="17" t="str">
        <x:v>U00302</x:v>
      </x:c>
      <x:c r="B308" s="18" t="n">
        <x:v>46273</x:v>
      </x:c>
      <x:c r="C308" s="17" t="str">
        <x:v>W0037</x:v>
      </x:c>
      <x:c r="D308" s="17" t="str">
        <x:v>C001</x:v>
      </x:c>
      <x:c r="E308" s="17" t="str">
        <x:v>DataFlow</x:v>
      </x:c>
      <x:c r="F308" s="17" t="str">
        <x:v>Lite</x:v>
      </x:c>
      <x:c r="G308" s="21" t="n">
        <x:v>43243</x:v>
      </x:c>
      <x:c r="H308" s="21" t="n">
        <x:v>15396</x:v>
      </x:c>
      <x:c r="I308" s="17" t="str">
        <x:v>Followup</x:v>
      </x:c>
    </x:row>
    <x:row r="309" ht="23" customHeight="1">
      <x:c r="A309" s="17" t="str">
        <x:v>U00303</x:v>
      </x:c>
      <x:c r="B309" s="18" t="n">
        <x:v>46273</x:v>
      </x:c>
      <x:c r="C309" s="17" t="str">
        <x:v>W0037</x:v>
      </x:c>
      <x:c r="D309" s="17" t="str">
        <x:v>C001</x:v>
      </x:c>
      <x:c r="E309" s="17" t="str">
        <x:v>DataFlow</x:v>
      </x:c>
      <x:c r="F309" s="17" t="str">
        <x:v>Lite</x:v>
      </x:c>
      <x:c r="G309" s="21" t="n">
        <x:v>35689</x:v>
      </x:c>
      <x:c r="H309" s="21" t="n">
        <x:v>6514</x:v>
      </x:c>
      <x:c r="I309" s="17" t="str">
        <x:v>Correction</x:v>
      </x:c>
    </x:row>
    <x:row r="310" ht="23" customHeight="1">
      <x:c r="A310" s="17" t="str">
        <x:v>U00304</x:v>
      </x:c>
      <x:c r="B310" s="18" t="n">
        <x:v>46274</x:v>
      </x:c>
      <x:c r="C310" s="17" t="str">
        <x:v>W0037</x:v>
      </x:c>
      <x:c r="D310" s="17" t="str">
        <x:v>C001</x:v>
      </x:c>
      <x:c r="E310" s="17" t="str">
        <x:v>DataFlow</x:v>
      </x:c>
      <x:c r="F310" s="17" t="str">
        <x:v>Lite</x:v>
      </x:c>
      <x:c r="G310" s="21" t="n">
        <x:v>32491</x:v>
      </x:c>
      <x:c r="H310" s="21" t="n">
        <x:v>9812</x:v>
      </x:c>
      <x:c r="I310" s="17" t="str">
        <x:v>Followup</x:v>
      </x:c>
    </x:row>
    <x:row r="311" ht="23" customHeight="1">
      <x:c r="A311" s="17" t="str">
        <x:v>U00305</x:v>
      </x:c>
      <x:c r="B311" s="18" t="n">
        <x:v>46274</x:v>
      </x:c>
      <x:c r="C311" s="17" t="str">
        <x:v>W0037</x:v>
      </x:c>
      <x:c r="D311" s="17" t="str">
        <x:v>C001</x:v>
      </x:c>
      <x:c r="E311" s="17" t="str">
        <x:v>DataFlow</x:v>
      </x:c>
      <x:c r="F311" s="17" t="str">
        <x:v>Lite</x:v>
      </x:c>
      <x:c r="G311" s="21" t="n">
        <x:v>50157</x:v>
      </x:c>
      <x:c r="H311" s="21" t="n">
        <x:v>12466</x:v>
      </x:c>
      <x:c r="I311" s="17" t="str">
        <x:v>Followup</x:v>
      </x:c>
    </x:row>
    <x:row r="312" ht="23" customHeight="1">
      <x:c r="A312" s="17" t="str">
        <x:v>U00306</x:v>
      </x:c>
      <x:c r="B312" s="18" t="n">
        <x:v>46274</x:v>
      </x:c>
      <x:c r="C312" s="17" t="str">
        <x:v>W0037</x:v>
      </x:c>
      <x:c r="D312" s="17" t="str">
        <x:v>C001</x:v>
      </x:c>
      <x:c r="E312" s="17" t="str">
        <x:v>DataFlow</x:v>
      </x:c>
      <x:c r="F312" s="17" t="str">
        <x:v>Lite</x:v>
      </x:c>
      <x:c r="G312" s="21" t="n">
        <x:v>49099</x:v>
      </x:c>
      <x:c r="H312" s="21" t="n">
        <x:v>13865</x:v>
      </x:c>
      <x:c r="I312" s="17" t="str">
        <x:v>Followup</x:v>
      </x:c>
    </x:row>
    <x:row r="313" ht="23" customHeight="1">
      <x:c r="A313" s="17" t="str">
        <x:v>U00307</x:v>
      </x:c>
      <x:c r="B313" s="18" t="n">
        <x:v>46275</x:v>
      </x:c>
      <x:c r="C313" s="17" t="str">
        <x:v>W0037</x:v>
      </x:c>
      <x:c r="D313" s="17" t="str">
        <x:v>C001</x:v>
      </x:c>
      <x:c r="E313" s="17" t="str">
        <x:v>DataFlow</x:v>
      </x:c>
      <x:c r="F313" s="17" t="str">
        <x:v>Lite</x:v>
      </x:c>
      <x:c r="G313" s="21" t="n">
        <x:v>18986</x:v>
      </x:c>
      <x:c r="H313" s="21" t="n">
        <x:v>6433</x:v>
      </x:c>
      <x:c r="I313" s="17" t="str">
        <x:v>Followup</x:v>
      </x:c>
    </x:row>
    <x:row r="314" ht="23" customHeight="1">
      <x:c r="A314" s="17" t="str">
        <x:v>U00308</x:v>
      </x:c>
      <x:c r="B314" s="18" t="n">
        <x:v>46275</x:v>
      </x:c>
      <x:c r="C314" s="17" t="str">
        <x:v>W0037</x:v>
      </x:c>
      <x:c r="D314" s="17" t="str">
        <x:v>C001</x:v>
      </x:c>
      <x:c r="E314" s="17" t="str">
        <x:v>DataFlow</x:v>
      </x:c>
      <x:c r="F314" s="17" t="str">
        <x:v>Lite</x:v>
      </x:c>
      <x:c r="G314" s="21" t="n">
        <x:v>53889</x:v>
      </x:c>
      <x:c r="H314" s="21" t="n">
        <x:v>12985</x:v>
      </x:c>
      <x:c r="I314" s="17" t="str">
        <x:v>Followup</x:v>
      </x:c>
    </x:row>
    <x:row r="315" ht="23" customHeight="1">
      <x:c r="A315" s="17" t="str">
        <x:v>U00309</x:v>
      </x:c>
      <x:c r="B315" s="18" t="n">
        <x:v>46290</x:v>
      </x:c>
      <x:c r="C315" s="17" t="str">
        <x:v>W0039</x:v>
      </x:c>
      <x:c r="D315" s="17" t="str">
        <x:v>C001</x:v>
      </x:c>
      <x:c r="E315" s="17" t="str">
        <x:v>InsightDesk</x:v>
      </x:c>
      <x:c r="F315" s="17" t="str">
        <x:v>Lite</x:v>
      </x:c>
      <x:c r="G315" s="21" t="n">
        <x:v>73742</x:v>
      </x:c>
      <x:c r="H315" s="21" t="n">
        <x:v>7631</x:v>
      </x:c>
      <x:c r="I315" s="17" t="str">
        <x:v>First attempt</x:v>
      </x:c>
    </x:row>
    <x:row r="316" ht="23" customHeight="1">
      <x:c r="A316" s="17" t="str">
        <x:v>U00310</x:v>
      </x:c>
      <x:c r="B316" s="18" t="n">
        <x:v>46290</x:v>
      </x:c>
      <x:c r="C316" s="17" t="str">
        <x:v>W0039</x:v>
      </x:c>
      <x:c r="D316" s="17" t="str">
        <x:v>C001</x:v>
      </x:c>
      <x:c r="E316" s="17" t="str">
        <x:v>InsightDesk</x:v>
      </x:c>
      <x:c r="F316" s="17" t="str">
        <x:v>Lite</x:v>
      </x:c>
      <x:c r="G316" s="21" t="n">
        <x:v>44640</x:v>
      </x:c>
      <x:c r="H316" s="21" t="n">
        <x:v>6313</x:v>
      </x:c>
      <x:c r="I316" s="17" t="str">
        <x:v>Followup</x:v>
      </x:c>
    </x:row>
    <x:row r="317" ht="23" customHeight="1">
      <x:c r="A317" s="17" t="str">
        <x:v>U00311</x:v>
      </x:c>
      <x:c r="B317" s="18" t="n">
        <x:v>46290</x:v>
      </x:c>
      <x:c r="C317" s="17" t="str">
        <x:v>W0039</x:v>
      </x:c>
      <x:c r="D317" s="17" t="str">
        <x:v>C001</x:v>
      </x:c>
      <x:c r="E317" s="17" t="str">
        <x:v>InsightDesk</x:v>
      </x:c>
      <x:c r="F317" s="17" t="str">
        <x:v>Lite</x:v>
      </x:c>
      <x:c r="G317" s="21" t="n">
        <x:v>64976</x:v>
      </x:c>
      <x:c r="H317" s="21" t="n">
        <x:v>4662</x:v>
      </x:c>
      <x:c r="I317" s="17" t="str">
        <x:v>Followup</x:v>
      </x:c>
    </x:row>
    <x:row r="318" ht="23" customHeight="1">
      <x:c r="A318" s="17" t="str">
        <x:v>U00312</x:v>
      </x:c>
      <x:c r="B318" s="18" t="n">
        <x:v>46293</x:v>
      </x:c>
      <x:c r="C318" s="17" t="str">
        <x:v>W0039</x:v>
      </x:c>
      <x:c r="D318" s="17" t="str">
        <x:v>C001</x:v>
      </x:c>
      <x:c r="E318" s="17" t="str">
        <x:v>InsightDesk</x:v>
      </x:c>
      <x:c r="F318" s="17" t="str">
        <x:v>Lite</x:v>
      </x:c>
      <x:c r="G318" s="21" t="n">
        <x:v>75949</x:v>
      </x:c>
      <x:c r="H318" s="21" t="n">
        <x:v>4060</x:v>
      </x:c>
      <x:c r="I318" s="17" t="str">
        <x:v>Followup</x:v>
      </x:c>
    </x:row>
    <x:row r="319" ht="23" customHeight="1">
      <x:c r="A319" s="17" t="str">
        <x:v>U00313</x:v>
      </x:c>
      <x:c r="B319" s="18" t="n">
        <x:v>46293</x:v>
      </x:c>
      <x:c r="C319" s="17" t="str">
        <x:v>W0039</x:v>
      </x:c>
      <x:c r="D319" s="17" t="str">
        <x:v>C001</x:v>
      </x:c>
      <x:c r="E319" s="17" t="str">
        <x:v>InsightDesk</x:v>
      </x:c>
      <x:c r="F319" s="17" t="str">
        <x:v>Lite</x:v>
      </x:c>
      <x:c r="G319" s="21" t="n">
        <x:v>54328</x:v>
      </x:c>
      <x:c r="H319" s="21" t="n">
        <x:v>2890</x:v>
      </x:c>
      <x:c r="I319" s="17" t="str">
        <x:v>Followup</x:v>
      </x:c>
    </x:row>
    <x:row r="320" ht="23" customHeight="1">
      <x:c r="A320" s="17" t="str">
        <x:v>U00314</x:v>
      </x:c>
      <x:c r="B320" s="18" t="n">
        <x:v>46294</x:v>
      </x:c>
      <x:c r="C320" s="17" t="str">
        <x:v>W0039</x:v>
      </x:c>
      <x:c r="D320" s="17" t="str">
        <x:v>C001</x:v>
      </x:c>
      <x:c r="E320" s="17" t="str">
        <x:v>InsightDesk</x:v>
      </x:c>
      <x:c r="F320" s="17" t="str">
        <x:v>Lite</x:v>
      </x:c>
      <x:c r="G320" s="21" t="n">
        <x:v>30680</x:v>
      </x:c>
      <x:c r="H320" s="21" t="n">
        <x:v>4082</x:v>
      </x:c>
      <x:c r="I320" s="17" t="str">
        <x:v>Followup</x:v>
      </x:c>
    </x:row>
    <x:row r="321" ht="23" customHeight="1">
      <x:c r="A321" s="17" t="str">
        <x:v>U00315</x:v>
      </x:c>
      <x:c r="B321" s="18" t="n">
        <x:v>46294</x:v>
      </x:c>
      <x:c r="C321" s="17" t="str">
        <x:v>W0039</x:v>
      </x:c>
      <x:c r="D321" s="17" t="str">
        <x:v>C001</x:v>
      </x:c>
      <x:c r="E321" s="17" t="str">
        <x:v>InsightDesk</x:v>
      </x:c>
      <x:c r="F321" s="17" t="str">
        <x:v>Lite</x:v>
      </x:c>
      <x:c r="G321" s="21" t="n">
        <x:v>48224</x:v>
      </x:c>
      <x:c r="H321" s="21" t="n">
        <x:v>6965</x:v>
      </x:c>
      <x:c r="I321" s="17" t="str">
        <x:v>Followup</x:v>
      </x:c>
    </x:row>
    <x:row r="322" ht="23" customHeight="1">
      <x:c r="A322" s="17" t="str">
        <x:v>U00316</x:v>
      </x:c>
      <x:c r="B322" s="18" t="n">
        <x:v>46295</x:v>
      </x:c>
      <x:c r="C322" s="17" t="str">
        <x:v>W0039</x:v>
      </x:c>
      <x:c r="D322" s="17" t="str">
        <x:v>C001</x:v>
      </x:c>
      <x:c r="E322" s="17" t="str">
        <x:v>InsightDesk</x:v>
      </x:c>
      <x:c r="F322" s="17" t="str">
        <x:v>Lite</x:v>
      </x:c>
      <x:c r="G322" s="21" t="n">
        <x:v>47322</x:v>
      </x:c>
      <x:c r="H322" s="21" t="n">
        <x:v>3646</x:v>
      </x:c>
      <x:c r="I322" s="17" t="str">
        <x:v>Correction</x:v>
      </x:c>
    </x:row>
    <x:row r="323" ht="23" customHeight="1">
      <x:c r="A323" s="17" t="str">
        <x:v>U00317</x:v>
      </x:c>
      <x:c r="B323" s="18" t="n">
        <x:v>46295</x:v>
      </x:c>
      <x:c r="C323" s="17" t="str">
        <x:v>W0039</x:v>
      </x:c>
      <x:c r="D323" s="17" t="str">
        <x:v>C001</x:v>
      </x:c>
      <x:c r="E323" s="17" t="str">
        <x:v>InsightDesk</x:v>
      </x:c>
      <x:c r="F323" s="17" t="str">
        <x:v>Lite</x:v>
      </x:c>
      <x:c r="G323" s="21" t="n">
        <x:v>70362</x:v>
      </x:c>
      <x:c r="H323" s="21" t="n">
        <x:v>8410</x:v>
      </x:c>
      <x:c r="I323" s="17" t="str">
        <x:v>Followup</x:v>
      </x:c>
    </x:row>
    <x:row r="324" ht="23" customHeight="1">
      <x:c r="A324" s="17" t="str">
        <x:v>U00318</x:v>
      </x:c>
      <x:c r="B324" s="18" t="n">
        <x:v>46275</x:v>
      </x:c>
      <x:c r="C324" s="17" t="str">
        <x:v>W0040</x:v>
      </x:c>
      <x:c r="D324" s="17" t="str">
        <x:v>C001</x:v>
      </x:c>
      <x:c r="E324" s="17" t="str">
        <x:v>InsightDesk</x:v>
      </x:c>
      <x:c r="F324" s="17" t="str">
        <x:v>Lite</x:v>
      </x:c>
      <x:c r="G324" s="21" t="n">
        <x:v>39919</x:v>
      </x:c>
      <x:c r="H324" s="21" t="n">
        <x:v>4941</x:v>
      </x:c>
      <x:c r="I324" s="17" t="str">
        <x:v>First attempt</x:v>
      </x:c>
    </x:row>
    <x:row r="325" ht="23" customHeight="1">
      <x:c r="A325" s="17" t="str">
        <x:v>U00319</x:v>
      </x:c>
      <x:c r="B325" s="18" t="n">
        <x:v>46275</x:v>
      </x:c>
      <x:c r="C325" s="17" t="str">
        <x:v>W0040</x:v>
      </x:c>
      <x:c r="D325" s="17" t="str">
        <x:v>C001</x:v>
      </x:c>
      <x:c r="E325" s="17" t="str">
        <x:v>InsightDesk</x:v>
      </x:c>
      <x:c r="F325" s="17" t="str">
        <x:v>Lite</x:v>
      </x:c>
      <x:c r="G325" s="21" t="n">
        <x:v>17701</x:v>
      </x:c>
      <x:c r="H325" s="21" t="n">
        <x:v>5423</x:v>
      </x:c>
      <x:c r="I325" s="17" t="str">
        <x:v>Followup</x:v>
      </x:c>
    </x:row>
    <x:row r="326" ht="23" customHeight="1">
      <x:c r="A326" s="17" t="str">
        <x:v>U00320</x:v>
      </x:c>
      <x:c r="B326" s="18" t="n">
        <x:v>46275</x:v>
      </x:c>
      <x:c r="C326" s="17" t="str">
        <x:v>W0040</x:v>
      </x:c>
      <x:c r="D326" s="17" t="str">
        <x:v>C001</x:v>
      </x:c>
      <x:c r="E326" s="17" t="str">
        <x:v>InsightDesk</x:v>
      </x:c>
      <x:c r="F326" s="17" t="str">
        <x:v>Lite</x:v>
      </x:c>
      <x:c r="G326" s="21" t="n">
        <x:v>22209</x:v>
      </x:c>
      <x:c r="H326" s="21" t="n">
        <x:v>9234</x:v>
      </x:c>
      <x:c r="I326" s="17" t="str">
        <x:v>Followup</x:v>
      </x:c>
    </x:row>
    <x:row r="327" ht="23" customHeight="1">
      <x:c r="A327" s="17" t="str">
        <x:v>U00321</x:v>
      </x:c>
      <x:c r="B327" s="18" t="n">
        <x:v>46276</x:v>
      </x:c>
      <x:c r="C327" s="17" t="str">
        <x:v>W0040</x:v>
      </x:c>
      <x:c r="D327" s="17" t="str">
        <x:v>C001</x:v>
      </x:c>
      <x:c r="E327" s="17" t="str">
        <x:v>InsightDesk</x:v>
      </x:c>
      <x:c r="F327" s="17" t="str">
        <x:v>Lite</x:v>
      </x:c>
      <x:c r="G327" s="21" t="n">
        <x:v>33061</x:v>
      </x:c>
      <x:c r="H327" s="21" t="n">
        <x:v>8511</x:v>
      </x:c>
      <x:c r="I327" s="17" t="str">
        <x:v>Correction</x:v>
      </x:c>
    </x:row>
    <x:row r="328" ht="23" customHeight="1">
      <x:c r="A328" s="17" t="str">
        <x:v>U00322</x:v>
      </x:c>
      <x:c r="B328" s="18" t="n">
        <x:v>46276</x:v>
      </x:c>
      <x:c r="C328" s="17" t="str">
        <x:v>W0040</x:v>
      </x:c>
      <x:c r="D328" s="17" t="str">
        <x:v>C001</x:v>
      </x:c>
      <x:c r="E328" s="17" t="str">
        <x:v>InsightDesk</x:v>
      </x:c>
      <x:c r="F328" s="17" t="str">
        <x:v>Lite</x:v>
      </x:c>
      <x:c r="G328" s="21" t="n">
        <x:v>42852</x:v>
      </x:c>
      <x:c r="H328" s="21" t="n">
        <x:v>7631</x:v>
      </x:c>
      <x:c r="I328" s="17" t="str">
        <x:v>Followup</x:v>
      </x:c>
    </x:row>
    <x:row r="329" ht="23" customHeight="1">
      <x:c r="A329" s="17" t="str">
        <x:v>U00323</x:v>
      </x:c>
      <x:c r="B329" s="18" t="n">
        <x:v>46279</x:v>
      </x:c>
      <x:c r="C329" s="17" t="str">
        <x:v>W0040</x:v>
      </x:c>
      <x:c r="D329" s="17" t="str">
        <x:v>C001</x:v>
      </x:c>
      <x:c r="E329" s="17" t="str">
        <x:v>InsightDesk</x:v>
      </x:c>
      <x:c r="F329" s="17" t="str">
        <x:v>Lite</x:v>
      </x:c>
      <x:c r="G329" s="21" t="n">
        <x:v>29075</x:v>
      </x:c>
      <x:c r="H329" s="21" t="n">
        <x:v>8318</x:v>
      </x:c>
      <x:c r="I329" s="17" t="str">
        <x:v>Followup</x:v>
      </x:c>
    </x:row>
    <x:row r="330" ht="23" customHeight="1">
      <x:c r="A330" s="17" t="str">
        <x:v>U00324</x:v>
      </x:c>
      <x:c r="B330" s="18" t="n">
        <x:v>46279</x:v>
      </x:c>
      <x:c r="C330" s="17" t="str">
        <x:v>W0040</x:v>
      </x:c>
      <x:c r="D330" s="17" t="str">
        <x:v>C001</x:v>
      </x:c>
      <x:c r="E330" s="17" t="str">
        <x:v>InsightDesk</x:v>
      </x:c>
      <x:c r="F330" s="17" t="str">
        <x:v>Lite</x:v>
      </x:c>
      <x:c r="G330" s="21" t="n">
        <x:v>24659</x:v>
      </x:c>
      <x:c r="H330" s="21" t="n">
        <x:v>8807</x:v>
      </x:c>
      <x:c r="I330" s="17" t="str">
        <x:v>Followup</x:v>
      </x:c>
    </x:row>
    <x:row r="331" ht="23" customHeight="1">
      <x:c r="A331" s="17" t="str">
        <x:v>U00325</x:v>
      </x:c>
      <x:c r="B331" s="18" t="n">
        <x:v>46280</x:v>
      </x:c>
      <x:c r="C331" s="17" t="str">
        <x:v>W0040</x:v>
      </x:c>
      <x:c r="D331" s="17" t="str">
        <x:v>C001</x:v>
      </x:c>
      <x:c r="E331" s="17" t="str">
        <x:v>InsightDesk</x:v>
      </x:c>
      <x:c r="F331" s="17" t="str">
        <x:v>Lite</x:v>
      </x:c>
      <x:c r="G331" s="21" t="n">
        <x:v>30685</x:v>
      </x:c>
      <x:c r="H331" s="21" t="n">
        <x:v>12150</x:v>
      </x:c>
      <x:c r="I331" s="17" t="str">
        <x:v>Followup</x:v>
      </x:c>
    </x:row>
    <x:row r="332" ht="23" customHeight="1">
      <x:c r="A332" s="17" t="str">
        <x:v>U00326</x:v>
      </x:c>
      <x:c r="B332" s="18" t="n">
        <x:v>46280</x:v>
      </x:c>
      <x:c r="C332" s="17" t="str">
        <x:v>W0040</x:v>
      </x:c>
      <x:c r="D332" s="17" t="str">
        <x:v>C001</x:v>
      </x:c>
      <x:c r="E332" s="17" t="str">
        <x:v>InsightDesk</x:v>
      </x:c>
      <x:c r="F332" s="17" t="str">
        <x:v>Lite</x:v>
      </x:c>
      <x:c r="G332" s="21" t="n">
        <x:v>28891</x:v>
      </x:c>
      <x:c r="H332" s="21" t="n">
        <x:v>8129</x:v>
      </x:c>
      <x:c r="I332" s="17" t="str">
        <x:v>Followup</x:v>
      </x:c>
    </x:row>
    <x:row r="333" ht="23" customHeight="1">
      <x:c r="A333" s="17" t="str">
        <x:v>U00327</x:v>
      </x:c>
      <x:c r="B333" s="18" t="n">
        <x:v>46286</x:v>
      </x:c>
      <x:c r="C333" s="17" t="str">
        <x:v>W0041</x:v>
      </x:c>
      <x:c r="D333" s="17" t="str">
        <x:v>C001</x:v>
      </x:c>
      <x:c r="E333" s="17" t="str">
        <x:v>CopyStudio</x:v>
      </x:c>
      <x:c r="F333" s="17" t="str">
        <x:v>Lite</x:v>
      </x:c>
      <x:c r="G333" s="21" t="n">
        <x:v>36453</x:v>
      </x:c>
      <x:c r="H333" s="21" t="n">
        <x:v>4678</x:v>
      </x:c>
      <x:c r="I333" s="17" t="str">
        <x:v>First attempt</x:v>
      </x:c>
    </x:row>
    <x:row r="334" ht="23" customHeight="1">
      <x:c r="A334" s="17" t="str">
        <x:v>U00328</x:v>
      </x:c>
      <x:c r="B334" s="18" t="n">
        <x:v>46286</x:v>
      </x:c>
      <x:c r="C334" s="17" t="str">
        <x:v>W0041</x:v>
      </x:c>
      <x:c r="D334" s="17" t="str">
        <x:v>C001</x:v>
      </x:c>
      <x:c r="E334" s="17" t="str">
        <x:v>CopyStudio</x:v>
      </x:c>
      <x:c r="F334" s="17" t="str">
        <x:v>Lite</x:v>
      </x:c>
      <x:c r="G334" s="21" t="n">
        <x:v>68507</x:v>
      </x:c>
      <x:c r="H334" s="21" t="n">
        <x:v>9469</x:v>
      </x:c>
      <x:c r="I334" s="17" t="str">
        <x:v>Followup</x:v>
      </x:c>
    </x:row>
    <x:row r="335" ht="23" customHeight="1">
      <x:c r="A335" s="17" t="str">
        <x:v>U00329</x:v>
      </x:c>
      <x:c r="B335" s="18" t="n">
        <x:v>46286</x:v>
      </x:c>
      <x:c r="C335" s="17" t="str">
        <x:v>W0041</x:v>
      </x:c>
      <x:c r="D335" s="17" t="str">
        <x:v>C001</x:v>
      </x:c>
      <x:c r="E335" s="17" t="str">
        <x:v>CopyStudio</x:v>
      </x:c>
      <x:c r="F335" s="17" t="str">
        <x:v>Lite</x:v>
      </x:c>
      <x:c r="G335" s="21" t="n">
        <x:v>85358</x:v>
      </x:c>
      <x:c r="H335" s="21" t="n">
        <x:v>4835</x:v>
      </x:c>
      <x:c r="I335" s="17" t="str">
        <x:v>Followup</x:v>
      </x:c>
    </x:row>
    <x:row r="336" ht="23" customHeight="1">
      <x:c r="A336" s="17" t="str">
        <x:v>U00330</x:v>
      </x:c>
      <x:c r="B336" s="18" t="n">
        <x:v>46287</x:v>
      </x:c>
      <x:c r="C336" s="17" t="str">
        <x:v>W0041</x:v>
      </x:c>
      <x:c r="D336" s="17" t="str">
        <x:v>C001</x:v>
      </x:c>
      <x:c r="E336" s="17" t="str">
        <x:v>CopyStudio</x:v>
      </x:c>
      <x:c r="F336" s="17" t="str">
        <x:v>Lite</x:v>
      </x:c>
      <x:c r="G336" s="21" t="n">
        <x:v>32154</x:v>
      </x:c>
      <x:c r="H336" s="21" t="n">
        <x:v>3539</x:v>
      </x:c>
      <x:c r="I336" s="17" t="str">
        <x:v>Followup</x:v>
      </x:c>
    </x:row>
    <x:row r="337" ht="23" customHeight="1">
      <x:c r="A337" s="17" t="str">
        <x:v>U00331</x:v>
      </x:c>
      <x:c r="B337" s="18" t="n">
        <x:v>46287</x:v>
      </x:c>
      <x:c r="C337" s="17" t="str">
        <x:v>W0041</x:v>
      </x:c>
      <x:c r="D337" s="17" t="str">
        <x:v>C001</x:v>
      </x:c>
      <x:c r="E337" s="17" t="str">
        <x:v>CopyStudio</x:v>
      </x:c>
      <x:c r="F337" s="17" t="str">
        <x:v>Lite</x:v>
      </x:c>
      <x:c r="G337" s="21" t="n">
        <x:v>81331</x:v>
      </x:c>
      <x:c r="H337" s="21" t="n">
        <x:v>6683</x:v>
      </x:c>
      <x:c r="I337" s="17" t="str">
        <x:v>Correction</x:v>
      </x:c>
    </x:row>
    <x:row r="338" ht="23" customHeight="1">
      <x:c r="A338" s="17" t="str">
        <x:v>U00332</x:v>
      </x:c>
      <x:c r="B338" s="18" t="n">
        <x:v>46288</x:v>
      </x:c>
      <x:c r="C338" s="17" t="str">
        <x:v>W0041</x:v>
      </x:c>
      <x:c r="D338" s="17" t="str">
        <x:v>C001</x:v>
      </x:c>
      <x:c r="E338" s="17" t="str">
        <x:v>CopyStudio</x:v>
      </x:c>
      <x:c r="F338" s="17" t="str">
        <x:v>Lite</x:v>
      </x:c>
      <x:c r="G338" s="21" t="n">
        <x:v>44919</x:v>
      </x:c>
      <x:c r="H338" s="21" t="n">
        <x:v>6747</x:v>
      </x:c>
      <x:c r="I338" s="17" t="str">
        <x:v>Followup</x:v>
      </x:c>
    </x:row>
    <x:row r="339" ht="23" customHeight="1">
      <x:c r="A339" s="17" t="str">
        <x:v>U00333</x:v>
      </x:c>
      <x:c r="B339" s="18" t="n">
        <x:v>46288</x:v>
      </x:c>
      <x:c r="C339" s="17" t="str">
        <x:v>W0041</x:v>
      </x:c>
      <x:c r="D339" s="17" t="str">
        <x:v>C001</x:v>
      </x:c>
      <x:c r="E339" s="17" t="str">
        <x:v>CopyStudio</x:v>
      </x:c>
      <x:c r="F339" s="17" t="str">
        <x:v>Lite</x:v>
      </x:c>
      <x:c r="G339" s="21" t="n">
        <x:v>35022</x:v>
      </x:c>
      <x:c r="H339" s="21" t="n">
        <x:v>10271</x:v>
      </x:c>
      <x:c r="I339" s="17" t="str">
        <x:v>Followup</x:v>
      </x:c>
    </x:row>
    <x:row r="340" ht="23" customHeight="1">
      <x:c r="A340" s="17" t="str">
        <x:v>U00334</x:v>
      </x:c>
      <x:c r="B340" s="18" t="n">
        <x:v>46288</x:v>
      </x:c>
      <x:c r="C340" s="17" t="str">
        <x:v>W0041</x:v>
      </x:c>
      <x:c r="D340" s="17" t="str">
        <x:v>C001</x:v>
      </x:c>
      <x:c r="E340" s="17" t="str">
        <x:v>CopyStudio</x:v>
      </x:c>
      <x:c r="F340" s="17" t="str">
        <x:v>Lite</x:v>
      </x:c>
      <x:c r="G340" s="21" t="n">
        <x:v>35685</x:v>
      </x:c>
      <x:c r="H340" s="21" t="n">
        <x:v>9922</x:v>
      </x:c>
      <x:c r="I340" s="17" t="str">
        <x:v>Followup</x:v>
      </x:c>
    </x:row>
    <x:row r="341" ht="23" customHeight="1">
      <x:c r="A341" s="17" t="str">
        <x:v>U00335</x:v>
      </x:c>
      <x:c r="B341" s="18" t="n">
        <x:v>46289</x:v>
      </x:c>
      <x:c r="C341" s="17" t="str">
        <x:v>W0041</x:v>
      </x:c>
      <x:c r="D341" s="17" t="str">
        <x:v>C001</x:v>
      </x:c>
      <x:c r="E341" s="17" t="str">
        <x:v>CopyStudio</x:v>
      </x:c>
      <x:c r="F341" s="17" t="str">
        <x:v>Lite</x:v>
      </x:c>
      <x:c r="G341" s="21" t="n">
        <x:v>71480</x:v>
      </x:c>
      <x:c r="H341" s="21" t="n">
        <x:v>8260</x:v>
      </x:c>
      <x:c r="I341" s="17" t="str">
        <x:v>Followup</x:v>
      </x:c>
    </x:row>
    <x:row r="342" ht="23" customHeight="1">
      <x:c r="A342" s="17" t="str">
        <x:v>U00336</x:v>
      </x:c>
      <x:c r="B342" s="18" t="n">
        <x:v>46289</x:v>
      </x:c>
      <x:c r="C342" s="17" t="str">
        <x:v>W0041</x:v>
      </x:c>
      <x:c r="D342" s="17" t="str">
        <x:v>C001</x:v>
      </x:c>
      <x:c r="E342" s="17" t="str">
        <x:v>CopyStudio</x:v>
      </x:c>
      <x:c r="F342" s="17" t="str">
        <x:v>Lite</x:v>
      </x:c>
      <x:c r="G342" s="21" t="n">
        <x:v>61897</x:v>
      </x:c>
      <x:c r="H342" s="21" t="n">
        <x:v>8336</x:v>
      </x:c>
      <x:c r="I342" s="17" t="str">
        <x:v>Followup</x:v>
      </x:c>
    </x:row>
    <x:row r="343" ht="23" customHeight="1">
      <x:c r="A343" s="17" t="str">
        <x:v>U00337</x:v>
      </x:c>
      <x:c r="B343" s="18" t="n">
        <x:v>46268</x:v>
      </x:c>
      <x:c r="C343" s="17" t="str">
        <x:v>W0042</x:v>
      </x:c>
      <x:c r="D343" s="17" t="str">
        <x:v>C001</x:v>
      </x:c>
      <x:c r="E343" s="17" t="str">
        <x:v>CampaignChat</x:v>
      </x:c>
      <x:c r="F343" s="17" t="str">
        <x:v>Lite</x:v>
      </x:c>
      <x:c r="G343" s="21" t="n">
        <x:v>20688</x:v>
      </x:c>
      <x:c r="H343" s="21" t="n">
        <x:v>9531</x:v>
      </x:c>
      <x:c r="I343" s="17" t="str">
        <x:v>First attempt</x:v>
      </x:c>
    </x:row>
    <x:row r="344" ht="23" customHeight="1">
      <x:c r="A344" s="17" t="str">
        <x:v>U00338</x:v>
      </x:c>
      <x:c r="B344" s="18" t="n">
        <x:v>46268</x:v>
      </x:c>
      <x:c r="C344" s="17" t="str">
        <x:v>W0042</x:v>
      </x:c>
      <x:c r="D344" s="17" t="str">
        <x:v>C001</x:v>
      </x:c>
      <x:c r="E344" s="17" t="str">
        <x:v>CampaignChat</x:v>
      </x:c>
      <x:c r="F344" s="17" t="str">
        <x:v>Lite</x:v>
      </x:c>
      <x:c r="G344" s="21" t="n">
        <x:v>30691</x:v>
      </x:c>
      <x:c r="H344" s="21" t="n">
        <x:v>5134</x:v>
      </x:c>
      <x:c r="I344" s="17" t="str">
        <x:v>Correction</x:v>
      </x:c>
    </x:row>
    <x:row r="345" ht="23" customHeight="1">
      <x:c r="A345" s="17" t="str">
        <x:v>U00339</x:v>
      </x:c>
      <x:c r="B345" s="18" t="n">
        <x:v>46268</x:v>
      </x:c>
      <x:c r="C345" s="17" t="str">
        <x:v>W0042</x:v>
      </x:c>
      <x:c r="D345" s="17" t="str">
        <x:v>C001</x:v>
      </x:c>
      <x:c r="E345" s="17" t="str">
        <x:v>CampaignChat</x:v>
      </x:c>
      <x:c r="F345" s="17" t="str">
        <x:v>Lite</x:v>
      </x:c>
      <x:c r="G345" s="21" t="n">
        <x:v>26084</x:v>
      </x:c>
      <x:c r="H345" s="21" t="n">
        <x:v>8013</x:v>
      </x:c>
      <x:c r="I345" s="17" t="str">
        <x:v>Followup</x:v>
      </x:c>
    </x:row>
    <x:row r="346" ht="23" customHeight="1">
      <x:c r="A346" s="17" t="str">
        <x:v>U00340</x:v>
      </x:c>
      <x:c r="B346" s="18" t="n">
        <x:v>46269</x:v>
      </x:c>
      <x:c r="C346" s="17" t="str">
        <x:v>W0042</x:v>
      </x:c>
      <x:c r="D346" s="17" t="str">
        <x:v>C001</x:v>
      </x:c>
      <x:c r="E346" s="17" t="str">
        <x:v>CampaignChat</x:v>
      </x:c>
      <x:c r="F346" s="17" t="str">
        <x:v>Lite</x:v>
      </x:c>
      <x:c r="G346" s="21" t="n">
        <x:v>14597</x:v>
      </x:c>
      <x:c r="H346" s="21" t="n">
        <x:v>5264</x:v>
      </x:c>
      <x:c r="I346" s="17" t="str">
        <x:v>Followup</x:v>
      </x:c>
    </x:row>
    <x:row r="347" ht="23" customHeight="1">
      <x:c r="A347" s="17" t="str">
        <x:v>U00341</x:v>
      </x:c>
      <x:c r="B347" s="18" t="n">
        <x:v>46269</x:v>
      </x:c>
      <x:c r="C347" s="17" t="str">
        <x:v>W0042</x:v>
      </x:c>
      <x:c r="D347" s="17" t="str">
        <x:v>C001</x:v>
      </x:c>
      <x:c r="E347" s="17" t="str">
        <x:v>CampaignChat</x:v>
      </x:c>
      <x:c r="F347" s="17" t="str">
        <x:v>Lite</x:v>
      </x:c>
      <x:c r="G347" s="21" t="n">
        <x:v>17260</x:v>
      </x:c>
      <x:c r="H347" s="21" t="n">
        <x:v>3423</x:v>
      </x:c>
      <x:c r="I347" s="17" t="str">
        <x:v>Followup</x:v>
      </x:c>
    </x:row>
    <x:row r="348" ht="23" customHeight="1">
      <x:c r="A348" s="17" t="str">
        <x:v>U00342</x:v>
      </x:c>
      <x:c r="B348" s="18" t="n">
        <x:v>46273</x:v>
      </x:c>
      <x:c r="C348" s="17" t="str">
        <x:v>W0042</x:v>
      </x:c>
      <x:c r="D348" s="17" t="str">
        <x:v>C001</x:v>
      </x:c>
      <x:c r="E348" s="17" t="str">
        <x:v>CampaignChat</x:v>
      </x:c>
      <x:c r="F348" s="17" t="str">
        <x:v>Lite</x:v>
      </x:c>
      <x:c r="G348" s="21" t="n">
        <x:v>17318</x:v>
      </x:c>
      <x:c r="H348" s="21" t="n">
        <x:v>6885</x:v>
      </x:c>
      <x:c r="I348" s="17" t="str">
        <x:v>Followup</x:v>
      </x:c>
    </x:row>
    <x:row r="349" ht="23" customHeight="1">
      <x:c r="A349" s="17" t="str">
        <x:v>U00343</x:v>
      </x:c>
      <x:c r="B349" s="18" t="n">
        <x:v>46273</x:v>
      </x:c>
      <x:c r="C349" s="17" t="str">
        <x:v>W0042</x:v>
      </x:c>
      <x:c r="D349" s="17" t="str">
        <x:v>C001</x:v>
      </x:c>
      <x:c r="E349" s="17" t="str">
        <x:v>CampaignChat</x:v>
      </x:c>
      <x:c r="F349" s="17" t="str">
        <x:v>Lite</x:v>
      </x:c>
      <x:c r="G349" s="21" t="n">
        <x:v>32835</x:v>
      </x:c>
      <x:c r="H349" s="21" t="n">
        <x:v>9677</x:v>
      </x:c>
      <x:c r="I349" s="17" t="str">
        <x:v>Followup</x:v>
      </x:c>
    </x:row>
    <x:row r="350" ht="23" customHeight="1">
      <x:c r="A350" s="17" t="str">
        <x:v>U00344</x:v>
      </x:c>
      <x:c r="B350" s="18" t="n">
        <x:v>46273</x:v>
      </x:c>
      <x:c r="C350" s="17" t="str">
        <x:v>W0042</x:v>
      </x:c>
      <x:c r="D350" s="17" t="str">
        <x:v>C001</x:v>
      </x:c>
      <x:c r="E350" s="17" t="str">
        <x:v>CampaignChat</x:v>
      </x:c>
      <x:c r="F350" s="17" t="str">
        <x:v>Lite</x:v>
      </x:c>
      <x:c r="G350" s="21" t="n">
        <x:v>24623</x:v>
      </x:c>
      <x:c r="H350" s="21" t="n">
        <x:v>7949</x:v>
      </x:c>
      <x:c r="I350" s="17" t="str">
        <x:v>Followup</x:v>
      </x:c>
    </x:row>
    <x:row r="351" ht="23" customHeight="1">
      <x:c r="A351" s="17" t="str">
        <x:v>U00345</x:v>
      </x:c>
      <x:c r="B351" s="18" t="n">
        <x:v>46274</x:v>
      </x:c>
      <x:c r="C351" s="17" t="str">
        <x:v>W0042</x:v>
      </x:c>
      <x:c r="D351" s="17" t="str">
        <x:v>C001</x:v>
      </x:c>
      <x:c r="E351" s="17" t="str">
        <x:v>CampaignChat</x:v>
      </x:c>
      <x:c r="F351" s="17" t="str">
        <x:v>Lite</x:v>
      </x:c>
      <x:c r="G351" s="21" t="n">
        <x:v>18100</x:v>
      </x:c>
      <x:c r="H351" s="21" t="n">
        <x:v>2977</x:v>
      </x:c>
      <x:c r="I351" s="17" t="str">
        <x:v>Followup</x:v>
      </x:c>
    </x:row>
    <x:row r="352" ht="23" customHeight="1">
      <x:c r="A352" s="17" t="str">
        <x:v>U00346</x:v>
      </x:c>
      <x:c r="B352" s="18" t="n">
        <x:v>46274</x:v>
      </x:c>
      <x:c r="C352" s="17" t="str">
        <x:v>W0042</x:v>
      </x:c>
      <x:c r="D352" s="17" t="str">
        <x:v>C001</x:v>
      </x:c>
      <x:c r="E352" s="17" t="str">
        <x:v>CampaignChat</x:v>
      </x:c>
      <x:c r="F352" s="17" t="str">
        <x:v>Lite</x:v>
      </x:c>
      <x:c r="G352" s="21" t="n">
        <x:v>22703</x:v>
      </x:c>
      <x:c r="H352" s="21" t="n">
        <x:v>9868</x:v>
      </x:c>
      <x:c r="I352" s="17" t="str">
        <x:v>Followup</x:v>
      </x:c>
    </x:row>
    <x:row r="353" ht="23" customHeight="1">
      <x:c r="A353" s="17" t="str">
        <x:v>U00347</x:v>
      </x:c>
      <x:c r="B353" s="18" t="n">
        <x:v>46280</x:v>
      </x:c>
      <x:c r="C353" s="17" t="str">
        <x:v>W0043</x:v>
      </x:c>
      <x:c r="D353" s="17" t="str">
        <x:v>C001</x:v>
      </x:c>
      <x:c r="E353" s="17" t="str">
        <x:v>CampaignChat</x:v>
      </x:c>
      <x:c r="F353" s="17" t="str">
        <x:v>Lite</x:v>
      </x:c>
      <x:c r="G353" s="21" t="n">
        <x:v>25590</x:v>
      </x:c>
      <x:c r="H353" s="21" t="n">
        <x:v>8735</x:v>
      </x:c>
      <x:c r="I353" s="17" t="str">
        <x:v>First attempt</x:v>
      </x:c>
    </x:row>
    <x:row r="354" ht="23" customHeight="1">
      <x:c r="A354" s="17" t="str">
        <x:v>U00348</x:v>
      </x:c>
      <x:c r="B354" s="18" t="n">
        <x:v>46280</x:v>
      </x:c>
      <x:c r="C354" s="17" t="str">
        <x:v>W0043</x:v>
      </x:c>
      <x:c r="D354" s="17" t="str">
        <x:v>C001</x:v>
      </x:c>
      <x:c r="E354" s="17" t="str">
        <x:v>CampaignChat</x:v>
      </x:c>
      <x:c r="F354" s="17" t="str">
        <x:v>Lite</x:v>
      </x:c>
      <x:c r="G354" s="21" t="n">
        <x:v>47318</x:v>
      </x:c>
      <x:c r="H354" s="21" t="n">
        <x:v>4361</x:v>
      </x:c>
      <x:c r="I354" s="17" t="str">
        <x:v>Followup</x:v>
      </x:c>
    </x:row>
    <x:row r="355" ht="23" customHeight="1">
      <x:c r="A355" s="17" t="str">
        <x:v>U00349</x:v>
      </x:c>
      <x:c r="B355" s="18" t="n">
        <x:v>46280</x:v>
      </x:c>
      <x:c r="C355" s="17" t="str">
        <x:v>W0043</x:v>
      </x:c>
      <x:c r="D355" s="17" t="str">
        <x:v>C001</x:v>
      </x:c>
      <x:c r="E355" s="17" t="str">
        <x:v>CampaignChat</x:v>
      </x:c>
      <x:c r="F355" s="17" t="str">
        <x:v>Lite</x:v>
      </x:c>
      <x:c r="G355" s="21" t="n">
        <x:v>42327</x:v>
      </x:c>
      <x:c r="H355" s="21" t="n">
        <x:v>4069</x:v>
      </x:c>
      <x:c r="I355" s="17" t="str">
        <x:v>Followup</x:v>
      </x:c>
    </x:row>
    <x:row r="356" ht="23" customHeight="1">
      <x:c r="A356" s="17" t="str">
        <x:v>U00350</x:v>
      </x:c>
      <x:c r="B356" s="18" t="n">
        <x:v>46281</x:v>
      </x:c>
      <x:c r="C356" s="17" t="str">
        <x:v>W0043</x:v>
      </x:c>
      <x:c r="D356" s="17" t="str">
        <x:v>C001</x:v>
      </x:c>
      <x:c r="E356" s="17" t="str">
        <x:v>CampaignChat</x:v>
      </x:c>
      <x:c r="F356" s="17" t="str">
        <x:v>Lite</x:v>
      </x:c>
      <x:c r="G356" s="21" t="n">
        <x:v>20953</x:v>
      </x:c>
      <x:c r="H356" s="21" t="n">
        <x:v>3090</x:v>
      </x:c>
      <x:c r="I356" s="17" t="str">
        <x:v>Followup</x:v>
      </x:c>
    </x:row>
    <x:row r="357" ht="23" customHeight="1">
      <x:c r="A357" s="17" t="str">
        <x:v>U00351</x:v>
      </x:c>
      <x:c r="B357" s="18" t="n">
        <x:v>46281</x:v>
      </x:c>
      <x:c r="C357" s="17" t="str">
        <x:v>W0043</x:v>
      </x:c>
      <x:c r="D357" s="17" t="str">
        <x:v>C001</x:v>
      </x:c>
      <x:c r="E357" s="17" t="str">
        <x:v>CampaignChat</x:v>
      </x:c>
      <x:c r="F357" s="17" t="str">
        <x:v>Lite</x:v>
      </x:c>
      <x:c r="G357" s="21" t="n">
        <x:v>51143</x:v>
      </x:c>
      <x:c r="H357" s="21" t="n">
        <x:v>4925</x:v>
      </x:c>
      <x:c r="I357" s="17" t="str">
        <x:v>Followup</x:v>
      </x:c>
    </x:row>
    <x:row r="358" ht="23" customHeight="1">
      <x:c r="A358" s="17" t="str">
        <x:v>U00352</x:v>
      </x:c>
      <x:c r="B358" s="18" t="n">
        <x:v>46282</x:v>
      </x:c>
      <x:c r="C358" s="17" t="str">
        <x:v>W0043</x:v>
      </x:c>
      <x:c r="D358" s="17" t="str">
        <x:v>C001</x:v>
      </x:c>
      <x:c r="E358" s="17" t="str">
        <x:v>CampaignChat</x:v>
      </x:c>
      <x:c r="F358" s="17" t="str">
        <x:v>Lite</x:v>
      </x:c>
      <x:c r="G358" s="21" t="n">
        <x:v>35227</x:v>
      </x:c>
      <x:c r="H358" s="21" t="n">
        <x:v>7739</x:v>
      </x:c>
      <x:c r="I358" s="17" t="str">
        <x:v>Followup</x:v>
      </x:c>
    </x:row>
    <x:row r="359" ht="23" customHeight="1">
      <x:c r="A359" s="17" t="str">
        <x:v>U00353</x:v>
      </x:c>
      <x:c r="B359" s="18" t="n">
        <x:v>46282</x:v>
      </x:c>
      <x:c r="C359" s="17" t="str">
        <x:v>W0043</x:v>
      </x:c>
      <x:c r="D359" s="17" t="str">
        <x:v>C001</x:v>
      </x:c>
      <x:c r="E359" s="17" t="str">
        <x:v>CampaignChat</x:v>
      </x:c>
      <x:c r="F359" s="17" t="str">
        <x:v>Lite</x:v>
      </x:c>
      <x:c r="G359" s="21" t="n">
        <x:v>51436</x:v>
      </x:c>
      <x:c r="H359" s="21" t="n">
        <x:v>3429</x:v>
      </x:c>
      <x:c r="I359" s="17" t="str">
        <x:v>Correction</x:v>
      </x:c>
    </x:row>
    <x:row r="360" ht="23" customHeight="1">
      <x:c r="A360" s="17" t="str">
        <x:v>U00354</x:v>
      </x:c>
      <x:c r="B360" s="18" t="n">
        <x:v>46282</x:v>
      </x:c>
      <x:c r="C360" s="17" t="str">
        <x:v>W0043</x:v>
      </x:c>
      <x:c r="D360" s="17" t="str">
        <x:v>C001</x:v>
      </x:c>
      <x:c r="E360" s="17" t="str">
        <x:v>CampaignChat</x:v>
      </x:c>
      <x:c r="F360" s="17" t="str">
        <x:v>Lite</x:v>
      </x:c>
      <x:c r="G360" s="21" t="n">
        <x:v>28170</x:v>
      </x:c>
      <x:c r="H360" s="21" t="n">
        <x:v>6772</x:v>
      </x:c>
      <x:c r="I360" s="17" t="str">
        <x:v>Followup</x:v>
      </x:c>
    </x:row>
    <x:row r="361" ht="23" customHeight="1">
      <x:c r="A361" s="17" t="str">
        <x:v>U00355</x:v>
      </x:c>
      <x:c r="B361" s="18" t="n">
        <x:v>46283</x:v>
      </x:c>
      <x:c r="C361" s="17" t="str">
        <x:v>W0043</x:v>
      </x:c>
      <x:c r="D361" s="17" t="str">
        <x:v>C001</x:v>
      </x:c>
      <x:c r="E361" s="17" t="str">
        <x:v>CampaignChat</x:v>
      </x:c>
      <x:c r="F361" s="17" t="str">
        <x:v>Lite</x:v>
      </x:c>
      <x:c r="G361" s="21" t="n">
        <x:v>44606</x:v>
      </x:c>
      <x:c r="H361" s="21" t="n">
        <x:v>5899</x:v>
      </x:c>
      <x:c r="I361" s="17" t="str">
        <x:v>Followup</x:v>
      </x:c>
    </x:row>
    <x:row r="362" ht="23" customHeight="1">
      <x:c r="A362" s="17" t="str">
        <x:v>U00356</x:v>
      </x:c>
      <x:c r="B362" s="18" t="n">
        <x:v>46283</x:v>
      </x:c>
      <x:c r="C362" s="17" t="str">
        <x:v>W0043</x:v>
      </x:c>
      <x:c r="D362" s="17" t="str">
        <x:v>C001</x:v>
      </x:c>
      <x:c r="E362" s="17" t="str">
        <x:v>CampaignChat</x:v>
      </x:c>
      <x:c r="F362" s="17" t="str">
        <x:v>Lite</x:v>
      </x:c>
      <x:c r="G362" s="21" t="n">
        <x:v>37098</x:v>
      </x:c>
      <x:c r="H362" s="21" t="n">
        <x:v>9397</x:v>
      </x:c>
      <x:c r="I362" s="17" t="str">
        <x:v>Followup</x:v>
      </x:c>
    </x:row>
    <x:row r="363" ht="23" customHeight="1">
      <x:c r="A363" s="17" t="str">
        <x:v>U00357</x:v>
      </x:c>
      <x:c r="B363" s="18" t="n">
        <x:v>46274</x:v>
      </x:c>
      <x:c r="C363" s="17" t="str">
        <x:v>W0045</x:v>
      </x:c>
      <x:c r="D363" s="17" t="str">
        <x:v>C001</x:v>
      </x:c>
      <x:c r="E363" s="17" t="str">
        <x:v>DataFlow</x:v>
      </x:c>
      <x:c r="F363" s="17" t="str">
        <x:v>Lite</x:v>
      </x:c>
      <x:c r="G363" s="21" t="n">
        <x:v>39936</x:v>
      </x:c>
      <x:c r="H363" s="21" t="n">
        <x:v>7567</x:v>
      </x:c>
      <x:c r="I363" s="17" t="str">
        <x:v>First attempt</x:v>
      </x:c>
    </x:row>
    <x:row r="364" ht="23" customHeight="1">
      <x:c r="A364" s="17" t="str">
        <x:v>U00358</x:v>
      </x:c>
      <x:c r="B364" s="18" t="n">
        <x:v>46274</x:v>
      </x:c>
      <x:c r="C364" s="17" t="str">
        <x:v>W0045</x:v>
      </x:c>
      <x:c r="D364" s="17" t="str">
        <x:v>C001</x:v>
      </x:c>
      <x:c r="E364" s="17" t="str">
        <x:v>DataFlow</x:v>
      </x:c>
      <x:c r="F364" s="17" t="str">
        <x:v>Lite</x:v>
      </x:c>
      <x:c r="G364" s="21" t="n">
        <x:v>51785</x:v>
      </x:c>
      <x:c r="H364" s="21" t="n">
        <x:v>7102</x:v>
      </x:c>
      <x:c r="I364" s="17" t="str">
        <x:v>Followup</x:v>
      </x:c>
    </x:row>
    <x:row r="365" ht="23" customHeight="1">
      <x:c r="A365" s="17" t="str">
        <x:v>U00359</x:v>
      </x:c>
      <x:c r="B365" s="18" t="n">
        <x:v>46274</x:v>
      </x:c>
      <x:c r="C365" s="17" t="str">
        <x:v>W0045</x:v>
      </x:c>
      <x:c r="D365" s="17" t="str">
        <x:v>C001</x:v>
      </x:c>
      <x:c r="E365" s="17" t="str">
        <x:v>DataFlow</x:v>
      </x:c>
      <x:c r="F365" s="17" t="str">
        <x:v>Lite</x:v>
      </x:c>
      <x:c r="G365" s="21" t="n">
        <x:v>43245</x:v>
      </x:c>
      <x:c r="H365" s="21" t="n">
        <x:v>5599</x:v>
      </x:c>
      <x:c r="I365" s="17" t="str">
        <x:v>Followup</x:v>
      </x:c>
    </x:row>
    <x:row r="366" ht="23" customHeight="1">
      <x:c r="A366" s="17" t="str">
        <x:v>U00360</x:v>
      </x:c>
      <x:c r="B366" s="18" t="n">
        <x:v>46275</x:v>
      </x:c>
      <x:c r="C366" s="17" t="str">
        <x:v>W0045</x:v>
      </x:c>
      <x:c r="D366" s="17" t="str">
        <x:v>C001</x:v>
      </x:c>
      <x:c r="E366" s="17" t="str">
        <x:v>DataFlow</x:v>
      </x:c>
      <x:c r="F366" s="17" t="str">
        <x:v>Lite</x:v>
      </x:c>
      <x:c r="G366" s="21" t="n">
        <x:v>39051</x:v>
      </x:c>
      <x:c r="H366" s="21" t="n">
        <x:v>4212</x:v>
      </x:c>
      <x:c r="I366" s="17" t="str">
        <x:v>Followup</x:v>
      </x:c>
    </x:row>
    <x:row r="367" ht="23" customHeight="1">
      <x:c r="A367" s="17" t="str">
        <x:v>U00361</x:v>
      </x:c>
      <x:c r="B367" s="18" t="n">
        <x:v>46275</x:v>
      </x:c>
      <x:c r="C367" s="17" t="str">
        <x:v>W0045</x:v>
      </x:c>
      <x:c r="D367" s="17" t="str">
        <x:v>C001</x:v>
      </x:c>
      <x:c r="E367" s="17" t="str">
        <x:v>DataFlow</x:v>
      </x:c>
      <x:c r="F367" s="17" t="str">
        <x:v>Lite</x:v>
      </x:c>
      <x:c r="G367" s="21" t="n">
        <x:v>38116</x:v>
      </x:c>
      <x:c r="H367" s="21" t="n">
        <x:v>5242</x:v>
      </x:c>
      <x:c r="I367" s="17" t="str">
        <x:v>Followup</x:v>
      </x:c>
    </x:row>
    <x:row r="368" ht="23" customHeight="1">
      <x:c r="A368" s="17" t="str">
        <x:v>U00362</x:v>
      </x:c>
      <x:c r="B368" s="18" t="n">
        <x:v>46276</x:v>
      </x:c>
      <x:c r="C368" s="17" t="str">
        <x:v>W0045</x:v>
      </x:c>
      <x:c r="D368" s="17" t="str">
        <x:v>C001</x:v>
      </x:c>
      <x:c r="E368" s="17" t="str">
        <x:v>DataFlow</x:v>
      </x:c>
      <x:c r="F368" s="17" t="str">
        <x:v>Lite</x:v>
      </x:c>
      <x:c r="G368" s="21" t="n">
        <x:v>49155</x:v>
      </x:c>
      <x:c r="H368" s="21" t="n">
        <x:v>5986</x:v>
      </x:c>
      <x:c r="I368" s="17" t="str">
        <x:v>Followup</x:v>
      </x:c>
    </x:row>
    <x:row r="369" ht="23" customHeight="1">
      <x:c r="A369" s="17" t="str">
        <x:v>U00363</x:v>
      </x:c>
      <x:c r="B369" s="18" t="n">
        <x:v>46276</x:v>
      </x:c>
      <x:c r="C369" s="17" t="str">
        <x:v>W0045</x:v>
      </x:c>
      <x:c r="D369" s="17" t="str">
        <x:v>C001</x:v>
      </x:c>
      <x:c r="E369" s="17" t="str">
        <x:v>DataFlow</x:v>
      </x:c>
      <x:c r="F369" s="17" t="str">
        <x:v>Lite</x:v>
      </x:c>
      <x:c r="G369" s="21" t="n">
        <x:v>20525</x:v>
      </x:c>
      <x:c r="H369" s="21" t="n">
        <x:v>6694</x:v>
      </x:c>
      <x:c r="I369" s="17" t="str">
        <x:v>Correction</x:v>
      </x:c>
    </x:row>
    <x:row r="370" ht="23" customHeight="1">
      <x:c r="A370" s="17" t="str">
        <x:v>U00364</x:v>
      </x:c>
      <x:c r="B370" s="18" t="n">
        <x:v>46279</x:v>
      </x:c>
      <x:c r="C370" s="17" t="str">
        <x:v>W0045</x:v>
      </x:c>
      <x:c r="D370" s="17" t="str">
        <x:v>C001</x:v>
      </x:c>
      <x:c r="E370" s="17" t="str">
        <x:v>DataFlow</x:v>
      </x:c>
      <x:c r="F370" s="17" t="str">
        <x:v>Lite</x:v>
      </x:c>
      <x:c r="G370" s="21" t="n">
        <x:v>23506</x:v>
      </x:c>
      <x:c r="H370" s="21" t="n">
        <x:v>7158</x:v>
      </x:c>
      <x:c r="I370" s="17" t="str">
        <x:v>Followup</x:v>
      </x:c>
    </x:row>
    <x:row r="371" ht="23" customHeight="1">
      <x:c r="A371" s="17" t="str">
        <x:v>U00365</x:v>
      </x:c>
      <x:c r="B371" s="18" t="n">
        <x:v>46279</x:v>
      </x:c>
      <x:c r="C371" s="17" t="str">
        <x:v>W0045</x:v>
      </x:c>
      <x:c r="D371" s="17" t="str">
        <x:v>C001</x:v>
      </x:c>
      <x:c r="E371" s="17" t="str">
        <x:v>DataFlow</x:v>
      </x:c>
      <x:c r="F371" s="17" t="str">
        <x:v>Lite</x:v>
      </x:c>
      <x:c r="G371" s="21" t="n">
        <x:v>33777</x:v>
      </x:c>
      <x:c r="H371" s="21" t="n">
        <x:v>6741</x:v>
      </x:c>
      <x:c r="I371" s="17" t="str">
        <x:v>Followup</x:v>
      </x:c>
    </x:row>
    <x:row r="372" ht="23" customHeight="1">
      <x:c r="A372" s="17" t="str">
        <x:v>U00366</x:v>
      </x:c>
      <x:c r="B372" s="18" t="n">
        <x:v>46283</x:v>
      </x:c>
      <x:c r="C372" s="17" t="str">
        <x:v>W0046</x:v>
      </x:c>
      <x:c r="D372" s="17" t="str">
        <x:v>C001</x:v>
      </x:c>
      <x:c r="E372" s="17" t="str">
        <x:v>CampaignChat</x:v>
      </x:c>
      <x:c r="F372" s="17" t="str">
        <x:v>Lite</x:v>
      </x:c>
      <x:c r="G372" s="21" t="n">
        <x:v>67411</x:v>
      </x:c>
      <x:c r="H372" s="21" t="n">
        <x:v>6254</x:v>
      </x:c>
      <x:c r="I372" s="17" t="str">
        <x:v>First attempt</x:v>
      </x:c>
    </x:row>
    <x:row r="373" ht="23" customHeight="1">
      <x:c r="A373" s="17" t="str">
        <x:v>U00367</x:v>
      </x:c>
      <x:c r="B373" s="18" t="n">
        <x:v>46283</x:v>
      </x:c>
      <x:c r="C373" s="17" t="str">
        <x:v>W0046</x:v>
      </x:c>
      <x:c r="D373" s="17" t="str">
        <x:v>C001</x:v>
      </x:c>
      <x:c r="E373" s="17" t="str">
        <x:v>CampaignChat</x:v>
      </x:c>
      <x:c r="F373" s="17" t="str">
        <x:v>Lite</x:v>
      </x:c>
      <x:c r="G373" s="21" t="n">
        <x:v>42653</x:v>
      </x:c>
      <x:c r="H373" s="21" t="n">
        <x:v>5057</x:v>
      </x:c>
      <x:c r="I373" s="17" t="str">
        <x:v>Followup</x:v>
      </x:c>
    </x:row>
    <x:row r="374" ht="23" customHeight="1">
      <x:c r="A374" s="17" t="str">
        <x:v>U00368</x:v>
      </x:c>
      <x:c r="B374" s="18" t="n">
        <x:v>46283</x:v>
      </x:c>
      <x:c r="C374" s="17" t="str">
        <x:v>W0046</x:v>
      </x:c>
      <x:c r="D374" s="17" t="str">
        <x:v>C001</x:v>
      </x:c>
      <x:c r="E374" s="17" t="str">
        <x:v>CampaignChat</x:v>
      </x:c>
      <x:c r="F374" s="17" t="str">
        <x:v>Lite</x:v>
      </x:c>
      <x:c r="G374" s="21" t="n">
        <x:v>73207</x:v>
      </x:c>
      <x:c r="H374" s="21" t="n">
        <x:v>6681</x:v>
      </x:c>
      <x:c r="I374" s="17" t="str">
        <x:v>Correction</x:v>
      </x:c>
    </x:row>
    <x:row r="375" ht="23" customHeight="1">
      <x:c r="A375" s="17" t="str">
        <x:v>U00369</x:v>
      </x:c>
      <x:c r="B375" s="18" t="n">
        <x:v>46286</x:v>
      </x:c>
      <x:c r="C375" s="17" t="str">
        <x:v>W0046</x:v>
      </x:c>
      <x:c r="D375" s="17" t="str">
        <x:v>C001</x:v>
      </x:c>
      <x:c r="E375" s="17" t="str">
        <x:v>CampaignChat</x:v>
      </x:c>
      <x:c r="F375" s="17" t="str">
        <x:v>Lite</x:v>
      </x:c>
      <x:c r="G375" s="21" t="n">
        <x:v>71698</x:v>
      </x:c>
      <x:c r="H375" s="21" t="n">
        <x:v>3991</x:v>
      </x:c>
      <x:c r="I375" s="17" t="str">
        <x:v>Followup</x:v>
      </x:c>
    </x:row>
    <x:row r="376" ht="23" customHeight="1">
      <x:c r="A376" s="17" t="str">
        <x:v>U00370</x:v>
      </x:c>
      <x:c r="B376" s="18" t="n">
        <x:v>46286</x:v>
      </x:c>
      <x:c r="C376" s="17" t="str">
        <x:v>W0046</x:v>
      </x:c>
      <x:c r="D376" s="17" t="str">
        <x:v>C001</x:v>
      </x:c>
      <x:c r="E376" s="17" t="str">
        <x:v>CampaignChat</x:v>
      </x:c>
      <x:c r="F376" s="17" t="str">
        <x:v>Lite</x:v>
      </x:c>
      <x:c r="G376" s="21" t="n">
        <x:v>72387</x:v>
      </x:c>
      <x:c r="H376" s="21" t="n">
        <x:v>7662</x:v>
      </x:c>
      <x:c r="I376" s="17" t="str">
        <x:v>Followup</x:v>
      </x:c>
    </x:row>
    <x:row r="377" ht="23" customHeight="1">
      <x:c r="A377" s="17" t="str">
        <x:v>U00371</x:v>
      </x:c>
      <x:c r="B377" s="18" t="n">
        <x:v>46287</x:v>
      </x:c>
      <x:c r="C377" s="17" t="str">
        <x:v>W0046</x:v>
      </x:c>
      <x:c r="D377" s="17" t="str">
        <x:v>C001</x:v>
      </x:c>
      <x:c r="E377" s="17" t="str">
        <x:v>CampaignChat</x:v>
      </x:c>
      <x:c r="F377" s="17" t="str">
        <x:v>Lite</x:v>
      </x:c>
      <x:c r="G377" s="21" t="n">
        <x:v>32880</x:v>
      </x:c>
      <x:c r="H377" s="21" t="n">
        <x:v>11567</x:v>
      </x:c>
      <x:c r="I377" s="17" t="str">
        <x:v>Followup</x:v>
      </x:c>
    </x:row>
    <x:row r="378" ht="23" customHeight="1">
      <x:c r="A378" s="17" t="str">
        <x:v>U00372</x:v>
      </x:c>
      <x:c r="B378" s="18" t="n">
        <x:v>46287</x:v>
      </x:c>
      <x:c r="C378" s="17" t="str">
        <x:v>W0046</x:v>
      </x:c>
      <x:c r="D378" s="17" t="str">
        <x:v>C001</x:v>
      </x:c>
      <x:c r="E378" s="17" t="str">
        <x:v>CampaignChat</x:v>
      </x:c>
      <x:c r="F378" s="17" t="str">
        <x:v>Lite</x:v>
      </x:c>
      <x:c r="G378" s="21" t="n">
        <x:v>29015</x:v>
      </x:c>
      <x:c r="H378" s="21" t="n">
        <x:v>8925</x:v>
      </x:c>
      <x:c r="I378" s="17" t="str">
        <x:v>Followup</x:v>
      </x:c>
    </x:row>
    <x:row r="379" ht="23" customHeight="1">
      <x:c r="A379" s="17" t="str">
        <x:v>U00373</x:v>
      </x:c>
      <x:c r="B379" s="18" t="n">
        <x:v>46287</x:v>
      </x:c>
      <x:c r="C379" s="17" t="str">
        <x:v>W0046</x:v>
      </x:c>
      <x:c r="D379" s="17" t="str">
        <x:v>C001</x:v>
      </x:c>
      <x:c r="E379" s="17" t="str">
        <x:v>CampaignChat</x:v>
      </x:c>
      <x:c r="F379" s="17" t="str">
        <x:v>Lite</x:v>
      </x:c>
      <x:c r="G379" s="21" t="n">
        <x:v>28530</x:v>
      </x:c>
      <x:c r="H379" s="21" t="n">
        <x:v>10581</x:v>
      </x:c>
      <x:c r="I379" s="17" t="str">
        <x:v>Followup</x:v>
      </x:c>
    </x:row>
    <x:row r="380" ht="23" customHeight="1">
      <x:c r="A380" s="17" t="str">
        <x:v>U00374</x:v>
      </x:c>
      <x:c r="B380" s="18" t="n">
        <x:v>46288</x:v>
      </x:c>
      <x:c r="C380" s="17" t="str">
        <x:v>W0046</x:v>
      </x:c>
      <x:c r="D380" s="17" t="str">
        <x:v>C001</x:v>
      </x:c>
      <x:c r="E380" s="17" t="str">
        <x:v>CampaignChat</x:v>
      </x:c>
      <x:c r="F380" s="17" t="str">
        <x:v>Lite</x:v>
      </x:c>
      <x:c r="G380" s="21" t="n">
        <x:v>69583</x:v>
      </x:c>
      <x:c r="H380" s="21" t="n">
        <x:v>12140</x:v>
      </x:c>
      <x:c r="I380" s="17" t="str">
        <x:v>Followup</x:v>
      </x:c>
    </x:row>
    <x:row r="381" ht="23" customHeight="1">
      <x:c r="A381" s="17" t="str">
        <x:v>U00375</x:v>
      </x:c>
      <x:c r="B381" s="18" t="n">
        <x:v>46288</x:v>
      </x:c>
      <x:c r="C381" s="17" t="str">
        <x:v>W0046</x:v>
      </x:c>
      <x:c r="D381" s="17" t="str">
        <x:v>C001</x:v>
      </x:c>
      <x:c r="E381" s="17" t="str">
        <x:v>CampaignChat</x:v>
      </x:c>
      <x:c r="F381" s="17" t="str">
        <x:v>Lite</x:v>
      </x:c>
      <x:c r="G381" s="21" t="n">
        <x:v>48708</x:v>
      </x:c>
      <x:c r="H381" s="21" t="n">
        <x:v>9984</x:v>
      </x:c>
      <x:c r="I381" s="17" t="str">
        <x:v>Followup</x:v>
      </x:c>
    </x:row>
    <x:row r="382" ht="23" customHeight="1">
      <x:c r="A382" s="17" t="str">
        <x:v>U00376</x:v>
      </x:c>
      <x:c r="B382" s="18" t="n">
        <x:v>46267</x:v>
      </x:c>
      <x:c r="C382" s="17" t="str">
        <x:v>W0047</x:v>
      </x:c>
      <x:c r="D382" s="17" t="str">
        <x:v>C001</x:v>
      </x:c>
      <x:c r="E382" s="17" t="str">
        <x:v>InsightDesk</x:v>
      </x:c>
      <x:c r="F382" s="17" t="str">
        <x:v>Lite</x:v>
      </x:c>
      <x:c r="G382" s="21" t="n">
        <x:v>18842</x:v>
      </x:c>
      <x:c r="H382" s="21" t="n">
        <x:v>13360</x:v>
      </x:c>
      <x:c r="I382" s="17" t="str">
        <x:v>First attempt</x:v>
      </x:c>
    </x:row>
    <x:row r="383" ht="23" customHeight="1">
      <x:c r="A383" s="17" t="str">
        <x:v>U00377</x:v>
      </x:c>
      <x:c r="B383" s="18" t="n">
        <x:v>46267</x:v>
      </x:c>
      <x:c r="C383" s="17" t="str">
        <x:v>W0047</x:v>
      </x:c>
      <x:c r="D383" s="17" t="str">
        <x:v>C001</x:v>
      </x:c>
      <x:c r="E383" s="17" t="str">
        <x:v>InsightDesk</x:v>
      </x:c>
      <x:c r="F383" s="17" t="str">
        <x:v>Lite</x:v>
      </x:c>
      <x:c r="G383" s="21" t="n">
        <x:v>31166</x:v>
      </x:c>
      <x:c r="H383" s="21" t="n">
        <x:v>10029</x:v>
      </x:c>
      <x:c r="I383" s="17" t="str">
        <x:v>Followup</x:v>
      </x:c>
    </x:row>
    <x:row r="384" ht="23" customHeight="1">
      <x:c r="A384" s="17" t="str">
        <x:v>U00378</x:v>
      </x:c>
      <x:c r="B384" s="18" t="n">
        <x:v>46267</x:v>
      </x:c>
      <x:c r="C384" s="17" t="str">
        <x:v>W0047</x:v>
      </x:c>
      <x:c r="D384" s="17" t="str">
        <x:v>C001</x:v>
      </x:c>
      <x:c r="E384" s="17" t="str">
        <x:v>InsightDesk</x:v>
      </x:c>
      <x:c r="F384" s="17" t="str">
        <x:v>Lite</x:v>
      </x:c>
      <x:c r="G384" s="21" t="n">
        <x:v>19536</x:v>
      </x:c>
      <x:c r="H384" s="21" t="n">
        <x:v>13590</x:v>
      </x:c>
      <x:c r="I384" s="17" t="str">
        <x:v>Followup</x:v>
      </x:c>
    </x:row>
    <x:row r="385" ht="23" customHeight="1">
      <x:c r="A385" s="17" t="str">
        <x:v>U00379</x:v>
      </x:c>
      <x:c r="B385" s="18" t="n">
        <x:v>46268</x:v>
      </x:c>
      <x:c r="C385" s="17" t="str">
        <x:v>W0047</x:v>
      </x:c>
      <x:c r="D385" s="17" t="str">
        <x:v>C001</x:v>
      </x:c>
      <x:c r="E385" s="17" t="str">
        <x:v>InsightDesk</x:v>
      </x:c>
      <x:c r="F385" s="17" t="str">
        <x:v>Lite</x:v>
      </x:c>
      <x:c r="G385" s="21" t="n">
        <x:v>37428</x:v>
      </x:c>
      <x:c r="H385" s="21" t="n">
        <x:v>11430</x:v>
      </x:c>
      <x:c r="I385" s="17" t="str">
        <x:v>Followup</x:v>
      </x:c>
    </x:row>
    <x:row r="386" ht="23" customHeight="1">
      <x:c r="A386" s="17" t="str">
        <x:v>U00380</x:v>
      </x:c>
      <x:c r="B386" s="18" t="n">
        <x:v>46268</x:v>
      </x:c>
      <x:c r="C386" s="17" t="str">
        <x:v>W0047</x:v>
      </x:c>
      <x:c r="D386" s="17" t="str">
        <x:v>C001</x:v>
      </x:c>
      <x:c r="E386" s="17" t="str">
        <x:v>InsightDesk</x:v>
      </x:c>
      <x:c r="F386" s="17" t="str">
        <x:v>Lite</x:v>
      </x:c>
      <x:c r="G386" s="21" t="n">
        <x:v>32984</x:v>
      </x:c>
      <x:c r="H386" s="21" t="n">
        <x:v>12919</x:v>
      </x:c>
      <x:c r="I386" s="17" t="str">
        <x:v>Followup</x:v>
      </x:c>
    </x:row>
    <x:row r="387" ht="23" customHeight="1">
      <x:c r="A387" s="17" t="str">
        <x:v>U00381</x:v>
      </x:c>
      <x:c r="B387" s="18" t="n">
        <x:v>46268</x:v>
      </x:c>
      <x:c r="C387" s="17" t="str">
        <x:v>W0047</x:v>
      </x:c>
      <x:c r="D387" s="17" t="str">
        <x:v>C001</x:v>
      </x:c>
      <x:c r="E387" s="17" t="str">
        <x:v>InsightDesk</x:v>
      </x:c>
      <x:c r="F387" s="17" t="str">
        <x:v>Lite</x:v>
      </x:c>
      <x:c r="G387" s="21" t="n">
        <x:v>24068</x:v>
      </x:c>
      <x:c r="H387" s="21" t="n">
        <x:v>13156</x:v>
      </x:c>
      <x:c r="I387" s="17" t="str">
        <x:v>Followup</x:v>
      </x:c>
    </x:row>
    <x:row r="388" ht="23" customHeight="1">
      <x:c r="A388" s="17" t="str">
        <x:v>U00382</x:v>
      </x:c>
      <x:c r="B388" s="18" t="n">
        <x:v>46269</x:v>
      </x:c>
      <x:c r="C388" s="17" t="str">
        <x:v>W0047</x:v>
      </x:c>
      <x:c r="D388" s="17" t="str">
        <x:v>C001</x:v>
      </x:c>
      <x:c r="E388" s="17" t="str">
        <x:v>InsightDesk</x:v>
      </x:c>
      <x:c r="F388" s="17" t="str">
        <x:v>Lite</x:v>
      </x:c>
      <x:c r="G388" s="21" t="n">
        <x:v>32482</x:v>
      </x:c>
      <x:c r="H388" s="21" t="n">
        <x:v>8248</x:v>
      </x:c>
      <x:c r="I388" s="17" t="str">
        <x:v>Followup</x:v>
      </x:c>
    </x:row>
    <x:row r="389" ht="23" customHeight="1">
      <x:c r="A389" s="17" t="str">
        <x:v>U00383</x:v>
      </x:c>
      <x:c r="B389" s="18" t="n">
        <x:v>46269</x:v>
      </x:c>
      <x:c r="C389" s="17" t="str">
        <x:v>W0047</x:v>
      </x:c>
      <x:c r="D389" s="17" t="str">
        <x:v>C001</x:v>
      </x:c>
      <x:c r="E389" s="17" t="str">
        <x:v>InsightDesk</x:v>
      </x:c>
      <x:c r="F389" s="17" t="str">
        <x:v>Lite</x:v>
      </x:c>
      <x:c r="G389" s="21" t="n">
        <x:v>16585</x:v>
      </x:c>
      <x:c r="H389" s="21" t="n">
        <x:v>3705</x:v>
      </x:c>
      <x:c r="I389" s="17" t="str">
        <x:v>Followup</x:v>
      </x:c>
    </x:row>
    <x:row r="390" ht="23" customHeight="1">
      <x:c r="A390" s="17" t="str">
        <x:v>U00384</x:v>
      </x:c>
      <x:c r="B390" s="18" t="n">
        <x:v>46269</x:v>
      </x:c>
      <x:c r="C390" s="17" t="str">
        <x:v>W0047</x:v>
      </x:c>
      <x:c r="D390" s="17" t="str">
        <x:v>C001</x:v>
      </x:c>
      <x:c r="E390" s="17" t="str">
        <x:v>InsightDesk</x:v>
      </x:c>
      <x:c r="F390" s="17" t="str">
        <x:v>Lite</x:v>
      </x:c>
      <x:c r="G390" s="21" t="n">
        <x:v>18459</x:v>
      </x:c>
      <x:c r="H390" s="21" t="n">
        <x:v>9555</x:v>
      </x:c>
      <x:c r="I390" s="17" t="str">
        <x:v>Followup</x:v>
      </x:c>
    </x:row>
    <x:row r="391" ht="23" customHeight="1">
      <x:c r="A391" s="17" t="str">
        <x:v>U00385</x:v>
      </x:c>
      <x:c r="B391" s="18" t="n">
        <x:v>46273</x:v>
      </x:c>
      <x:c r="C391" s="17" t="str">
        <x:v>W0047</x:v>
      </x:c>
      <x:c r="D391" s="17" t="str">
        <x:v>C001</x:v>
      </x:c>
      <x:c r="E391" s="17" t="str">
        <x:v>InsightDesk</x:v>
      </x:c>
      <x:c r="F391" s="17" t="str">
        <x:v>Lite</x:v>
      </x:c>
      <x:c r="G391" s="21" t="n">
        <x:v>19877</x:v>
      </x:c>
      <x:c r="H391" s="21" t="n">
        <x:v>5176</x:v>
      </x:c>
      <x:c r="I391" s="17" t="str">
        <x:v>Correction</x:v>
      </x:c>
    </x:row>
    <x:row r="392" ht="23" customHeight="1">
      <x:c r="A392" s="17" t="str">
        <x:v>U00386</x:v>
      </x:c>
      <x:c r="B392" s="18" t="n">
        <x:v>46273</x:v>
      </x:c>
      <x:c r="C392" s="17" t="str">
        <x:v>W0047</x:v>
      </x:c>
      <x:c r="D392" s="17" t="str">
        <x:v>C001</x:v>
      </x:c>
      <x:c r="E392" s="17" t="str">
        <x:v>InsightDesk</x:v>
      </x:c>
      <x:c r="F392" s="17" t="str">
        <x:v>Lite</x:v>
      </x:c>
      <x:c r="G392" s="21" t="n">
        <x:v>35303</x:v>
      </x:c>
      <x:c r="H392" s="21" t="n">
        <x:v>6102</x:v>
      </x:c>
      <x:c r="I392" s="17" t="str">
        <x:v>Followup</x:v>
      </x:c>
    </x:row>
    <x:row r="393" ht="23" customHeight="1">
      <x:c r="A393" s="17" t="str">
        <x:v>U00387</x:v>
      </x:c>
      <x:c r="B393" s="18" t="n">
        <x:v>46279</x:v>
      </x:c>
      <x:c r="C393" s="17" t="str">
        <x:v>W0048</x:v>
      </x:c>
      <x:c r="D393" s="17" t="str">
        <x:v>C001</x:v>
      </x:c>
      <x:c r="E393" s="17" t="str">
        <x:v>InsightDesk</x:v>
      </x:c>
      <x:c r="F393" s="17" t="str">
        <x:v>Lite</x:v>
      </x:c>
      <x:c r="G393" s="21" t="n">
        <x:v>66812</x:v>
      </x:c>
      <x:c r="H393" s="21" t="n">
        <x:v>6793</x:v>
      </x:c>
      <x:c r="I393" s="17" t="str">
        <x:v>First attempt</x:v>
      </x:c>
    </x:row>
    <x:row r="394" ht="23" customHeight="1">
      <x:c r="A394" s="17" t="str">
        <x:v>U00388</x:v>
      </x:c>
      <x:c r="B394" s="18" t="n">
        <x:v>46279</x:v>
      </x:c>
      <x:c r="C394" s="17" t="str">
        <x:v>W0048</x:v>
      </x:c>
      <x:c r="D394" s="17" t="str">
        <x:v>C001</x:v>
      </x:c>
      <x:c r="E394" s="17" t="str">
        <x:v>InsightDesk</x:v>
      </x:c>
      <x:c r="F394" s="17" t="str">
        <x:v>Lite</x:v>
      </x:c>
      <x:c r="G394" s="21" t="n">
        <x:v>43107</x:v>
      </x:c>
      <x:c r="H394" s="21" t="n">
        <x:v>6106</x:v>
      </x:c>
      <x:c r="I394" s="17" t="str">
        <x:v>Followup</x:v>
      </x:c>
    </x:row>
    <x:row r="395" ht="23" customHeight="1">
      <x:c r="A395" s="17" t="str">
        <x:v>U00389</x:v>
      </x:c>
      <x:c r="B395" s="18" t="n">
        <x:v>46279</x:v>
      </x:c>
      <x:c r="C395" s="17" t="str">
        <x:v>W0048</x:v>
      </x:c>
      <x:c r="D395" s="17" t="str">
        <x:v>C001</x:v>
      </x:c>
      <x:c r="E395" s="17" t="str">
        <x:v>InsightDesk</x:v>
      </x:c>
      <x:c r="F395" s="17" t="str">
        <x:v>Lite</x:v>
      </x:c>
      <x:c r="G395" s="21" t="n">
        <x:v>53841</x:v>
      </x:c>
      <x:c r="H395" s="21" t="n">
        <x:v>5668</x:v>
      </x:c>
      <x:c r="I395" s="17" t="str">
        <x:v>Followup</x:v>
      </x:c>
    </x:row>
    <x:row r="396" ht="23" customHeight="1">
      <x:c r="A396" s="17" t="str">
        <x:v>U00390</x:v>
      </x:c>
      <x:c r="B396" s="18" t="n">
        <x:v>46280</x:v>
      </x:c>
      <x:c r="C396" s="17" t="str">
        <x:v>W0048</x:v>
      </x:c>
      <x:c r="D396" s="17" t="str">
        <x:v>C001</x:v>
      </x:c>
      <x:c r="E396" s="17" t="str">
        <x:v>InsightDesk</x:v>
      </x:c>
      <x:c r="F396" s="17" t="str">
        <x:v>Lite</x:v>
      </x:c>
      <x:c r="G396" s="21" t="n">
        <x:v>47038</x:v>
      </x:c>
      <x:c r="H396" s="21" t="n">
        <x:v>6790</x:v>
      </x:c>
      <x:c r="I396" s="17" t="str">
        <x:v>Followup</x:v>
      </x:c>
    </x:row>
    <x:row r="397" ht="23" customHeight="1">
      <x:c r="A397" s="17" t="str">
        <x:v>U00391</x:v>
      </x:c>
      <x:c r="B397" s="18" t="n">
        <x:v>46280</x:v>
      </x:c>
      <x:c r="C397" s="17" t="str">
        <x:v>W0048</x:v>
      </x:c>
      <x:c r="D397" s="17" t="str">
        <x:v>C001</x:v>
      </x:c>
      <x:c r="E397" s="17" t="str">
        <x:v>InsightDesk</x:v>
      </x:c>
      <x:c r="F397" s="17" t="str">
        <x:v>Lite</x:v>
      </x:c>
      <x:c r="G397" s="21" t="n">
        <x:v>44194</x:v>
      </x:c>
      <x:c r="H397" s="21" t="n">
        <x:v>5956</x:v>
      </x:c>
      <x:c r="I397" s="17" t="str">
        <x:v>Followup</x:v>
      </x:c>
    </x:row>
    <x:row r="398" ht="23" customHeight="1">
      <x:c r="A398" s="17" t="str">
        <x:v>U00392</x:v>
      </x:c>
      <x:c r="B398" s="18" t="n">
        <x:v>46281</x:v>
      </x:c>
      <x:c r="C398" s="17" t="str">
        <x:v>W0048</x:v>
      </x:c>
      <x:c r="D398" s="17" t="str">
        <x:v>C001</x:v>
      </x:c>
      <x:c r="E398" s="17" t="str">
        <x:v>InsightDesk</x:v>
      </x:c>
      <x:c r="F398" s="17" t="str">
        <x:v>Lite</x:v>
      </x:c>
      <x:c r="G398" s="21" t="n">
        <x:v>33477</x:v>
      </x:c>
      <x:c r="H398" s="21" t="n">
        <x:v>6700</x:v>
      </x:c>
      <x:c r="I398" s="17" t="str">
        <x:v>Followup</x:v>
      </x:c>
    </x:row>
    <x:row r="399" ht="23" customHeight="1">
      <x:c r="A399" s="17" t="str">
        <x:v>U00393</x:v>
      </x:c>
      <x:c r="B399" s="18" t="n">
        <x:v>46281</x:v>
      </x:c>
      <x:c r="C399" s="17" t="str">
        <x:v>W0048</x:v>
      </x:c>
      <x:c r="D399" s="17" t="str">
        <x:v>C001</x:v>
      </x:c>
      <x:c r="E399" s="17" t="str">
        <x:v>InsightDesk</x:v>
      </x:c>
      <x:c r="F399" s="17" t="str">
        <x:v>Lite</x:v>
      </x:c>
      <x:c r="G399" s="21" t="n">
        <x:v>34426</x:v>
      </x:c>
      <x:c r="H399" s="21" t="n">
        <x:v>9678</x:v>
      </x:c>
      <x:c r="I399" s="17" t="str">
        <x:v>Followup</x:v>
      </x:c>
    </x:row>
    <x:row r="400" ht="23" customHeight="1">
      <x:c r="A400" s="17" t="str">
        <x:v>U00394</x:v>
      </x:c>
      <x:c r="B400" s="18" t="n">
        <x:v>46282</x:v>
      </x:c>
      <x:c r="C400" s="17" t="str">
        <x:v>W0048</x:v>
      </x:c>
      <x:c r="D400" s="17" t="str">
        <x:v>C001</x:v>
      </x:c>
      <x:c r="E400" s="17" t="str">
        <x:v>InsightDesk</x:v>
      </x:c>
      <x:c r="F400" s="17" t="str">
        <x:v>Lite</x:v>
      </x:c>
      <x:c r="G400" s="21" t="n">
        <x:v>61021</x:v>
      </x:c>
      <x:c r="H400" s="21" t="n">
        <x:v>14355</x:v>
      </x:c>
      <x:c r="I400" s="17" t="str">
        <x:v>Followup</x:v>
      </x:c>
    </x:row>
    <x:row r="401" ht="23" customHeight="1">
      <x:c r="A401" s="17" t="str">
        <x:v>U00395</x:v>
      </x:c>
      <x:c r="B401" s="18" t="n">
        <x:v>46282</x:v>
      </x:c>
      <x:c r="C401" s="17" t="str">
        <x:v>W0048</x:v>
      </x:c>
      <x:c r="D401" s="17" t="str">
        <x:v>C001</x:v>
      </x:c>
      <x:c r="E401" s="17" t="str">
        <x:v>InsightDesk</x:v>
      </x:c>
      <x:c r="F401" s="17" t="str">
        <x:v>Lite</x:v>
      </x:c>
      <x:c r="G401" s="21" t="n">
        <x:v>65481</x:v>
      </x:c>
      <x:c r="H401" s="21" t="n">
        <x:v>7870</x:v>
      </x:c>
      <x:c r="I401" s="17" t="str">
        <x:v>Correction</x:v>
      </x:c>
    </x:row>
    <x:row r="402" ht="23" customHeight="1">
      <x:c r="A402" s="17" t="str">
        <x:v>U00396</x:v>
      </x:c>
      <x:c r="B402" s="18" t="n">
        <x:v>46288</x:v>
      </x:c>
      <x:c r="C402" s="17" t="str">
        <x:v>W0049</x:v>
      </x:c>
      <x:c r="D402" s="17" t="str">
        <x:v>C001</x:v>
      </x:c>
      <x:c r="E402" s="17" t="str">
        <x:v>CopyStudio</x:v>
      </x:c>
      <x:c r="F402" s="17" t="str">
        <x:v>Lite</x:v>
      </x:c>
      <x:c r="G402" s="21" t="n">
        <x:v>22508</x:v>
      </x:c>
      <x:c r="H402" s="21" t="n">
        <x:v>7447</x:v>
      </x:c>
      <x:c r="I402" s="17" t="str">
        <x:v>First attempt</x:v>
      </x:c>
    </x:row>
    <x:row r="403" ht="23" customHeight="1">
      <x:c r="A403" s="17" t="str">
        <x:v>U00397</x:v>
      </x:c>
      <x:c r="B403" s="18" t="n">
        <x:v>46288</x:v>
      </x:c>
      <x:c r="C403" s="17" t="str">
        <x:v>W0049</x:v>
      </x:c>
      <x:c r="D403" s="17" t="str">
        <x:v>C001</x:v>
      </x:c>
      <x:c r="E403" s="17" t="str">
        <x:v>CopyStudio</x:v>
      </x:c>
      <x:c r="F403" s="17" t="str">
        <x:v>Lite</x:v>
      </x:c>
      <x:c r="G403" s="21" t="n">
        <x:v>28715</x:v>
      </x:c>
      <x:c r="H403" s="21" t="n">
        <x:v>3054</x:v>
      </x:c>
      <x:c r="I403" s="17" t="str">
        <x:v>Followup</x:v>
      </x:c>
    </x:row>
    <x:row r="404" ht="23" customHeight="1">
      <x:c r="A404" s="17" t="str">
        <x:v>U00398</x:v>
      </x:c>
      <x:c r="B404" s="18" t="n">
        <x:v>46288</x:v>
      </x:c>
      <x:c r="C404" s="17" t="str">
        <x:v>W0049</x:v>
      </x:c>
      <x:c r="D404" s="17" t="str">
        <x:v>C001</x:v>
      </x:c>
      <x:c r="E404" s="17" t="str">
        <x:v>CopyStudio</x:v>
      </x:c>
      <x:c r="F404" s="17" t="str">
        <x:v>Lite</x:v>
      </x:c>
      <x:c r="G404" s="21" t="n">
        <x:v>21346</x:v>
      </x:c>
      <x:c r="H404" s="21" t="n">
        <x:v>6164</x:v>
      </x:c>
      <x:c r="I404" s="17" t="str">
        <x:v>Followup</x:v>
      </x:c>
    </x:row>
    <x:row r="405" ht="23" customHeight="1">
      <x:c r="A405" s="17" t="str">
        <x:v>U00399</x:v>
      </x:c>
      <x:c r="B405" s="18" t="n">
        <x:v>46289</x:v>
      </x:c>
      <x:c r="C405" s="17" t="str">
        <x:v>W0049</x:v>
      </x:c>
      <x:c r="D405" s="17" t="str">
        <x:v>C001</x:v>
      </x:c>
      <x:c r="E405" s="17" t="str">
        <x:v>CopyStudio</x:v>
      </x:c>
      <x:c r="F405" s="17" t="str">
        <x:v>Lite</x:v>
      </x:c>
      <x:c r="G405" s="21" t="n">
        <x:v>24977</x:v>
      </x:c>
      <x:c r="H405" s="21" t="n">
        <x:v>2693</x:v>
      </x:c>
      <x:c r="I405" s="17" t="str">
        <x:v>Followup</x:v>
      </x:c>
    </x:row>
    <x:row r="406" ht="23" customHeight="1">
      <x:c r="A406" s="17" t="str">
        <x:v>U00400</x:v>
      </x:c>
      <x:c r="B406" s="18" t="n">
        <x:v>46289</x:v>
      </x:c>
      <x:c r="C406" s="17" t="str">
        <x:v>W0049</x:v>
      </x:c>
      <x:c r="D406" s="17" t="str">
        <x:v>C001</x:v>
      </x:c>
      <x:c r="E406" s="17" t="str">
        <x:v>CopyStudio</x:v>
      </x:c>
      <x:c r="F406" s="17" t="str">
        <x:v>Lite</x:v>
      </x:c>
      <x:c r="G406" s="21" t="n">
        <x:v>44260</x:v>
      </x:c>
      <x:c r="H406" s="21" t="n">
        <x:v>4471</x:v>
      </x:c>
      <x:c r="I406" s="17" t="str">
        <x:v>Followup</x:v>
      </x:c>
    </x:row>
    <x:row r="407" ht="23" customHeight="1">
      <x:c r="A407" s="17" t="str">
        <x:v>U00401</x:v>
      </x:c>
      <x:c r="B407" s="18" t="n">
        <x:v>46289</x:v>
      </x:c>
      <x:c r="C407" s="17" t="str">
        <x:v>W0049</x:v>
      </x:c>
      <x:c r="D407" s="17" t="str">
        <x:v>C001</x:v>
      </x:c>
      <x:c r="E407" s="17" t="str">
        <x:v>CopyStudio</x:v>
      </x:c>
      <x:c r="F407" s="17" t="str">
        <x:v>Lite</x:v>
      </x:c>
      <x:c r="G407" s="21" t="n">
        <x:v>34248</x:v>
      </x:c>
      <x:c r="H407" s="21" t="n">
        <x:v>7035</x:v>
      </x:c>
      <x:c r="I407" s="17" t="str">
        <x:v>Followup</x:v>
      </x:c>
    </x:row>
    <x:row r="408" ht="23" customHeight="1">
      <x:c r="A408" s="17" t="str">
        <x:v>U00402</x:v>
      </x:c>
      <x:c r="B408" s="18" t="n">
        <x:v>46290</x:v>
      </x:c>
      <x:c r="C408" s="17" t="str">
        <x:v>W0049</x:v>
      </x:c>
      <x:c r="D408" s="17" t="str">
        <x:v>C001</x:v>
      </x:c>
      <x:c r="E408" s="17" t="str">
        <x:v>CopyStudio</x:v>
      </x:c>
      <x:c r="F408" s="17" t="str">
        <x:v>Lite</x:v>
      </x:c>
      <x:c r="G408" s="21" t="n">
        <x:v>43596</x:v>
      </x:c>
      <x:c r="H408" s="21" t="n">
        <x:v>5948</x:v>
      </x:c>
      <x:c r="I408" s="17" t="str">
        <x:v>Followup</x:v>
      </x:c>
    </x:row>
    <x:row r="409" ht="23" customHeight="1">
      <x:c r="A409" s="17" t="str">
        <x:v>U00403</x:v>
      </x:c>
      <x:c r="B409" s="18" t="n">
        <x:v>46290</x:v>
      </x:c>
      <x:c r="C409" s="17" t="str">
        <x:v>W0049</x:v>
      </x:c>
      <x:c r="D409" s="17" t="str">
        <x:v>C001</x:v>
      </x:c>
      <x:c r="E409" s="17" t="str">
        <x:v>CopyStudio</x:v>
      </x:c>
      <x:c r="F409" s="17" t="str">
        <x:v>Lite</x:v>
      </x:c>
      <x:c r="G409" s="21" t="n">
        <x:v>46272</x:v>
      </x:c>
      <x:c r="H409" s="21" t="n">
        <x:v>2530</x:v>
      </x:c>
      <x:c r="I409" s="17" t="str">
        <x:v>Correction</x:v>
      </x:c>
    </x:row>
    <x:row r="410" ht="23" customHeight="1">
      <x:c r="A410" s="17" t="str">
        <x:v>U00404</x:v>
      </x:c>
      <x:c r="B410" s="18" t="n">
        <x:v>46290</x:v>
      </x:c>
      <x:c r="C410" s="17" t="str">
        <x:v>W0049</x:v>
      </x:c>
      <x:c r="D410" s="17" t="str">
        <x:v>C001</x:v>
      </x:c>
      <x:c r="E410" s="17" t="str">
        <x:v>CopyStudio</x:v>
      </x:c>
      <x:c r="F410" s="17" t="str">
        <x:v>Lite</x:v>
      </x:c>
      <x:c r="G410" s="21" t="n">
        <x:v>48472</x:v>
      </x:c>
      <x:c r="H410" s="21" t="n">
        <x:v>2340</x:v>
      </x:c>
      <x:c r="I410" s="17" t="str">
        <x:v>Followup</x:v>
      </x:c>
    </x:row>
    <x:row r="411" ht="23" customHeight="1">
      <x:c r="A411" s="17" t="str">
        <x:v>U00405</x:v>
      </x:c>
      <x:c r="B411" s="18" t="n">
        <x:v>46293</x:v>
      </x:c>
      <x:c r="C411" s="17" t="str">
        <x:v>W0049</x:v>
      </x:c>
      <x:c r="D411" s="17" t="str">
        <x:v>C001</x:v>
      </x:c>
      <x:c r="E411" s="17" t="str">
        <x:v>CopyStudio</x:v>
      </x:c>
      <x:c r="F411" s="17" t="str">
        <x:v>Lite</x:v>
      </x:c>
      <x:c r="G411" s="21" t="n">
        <x:v>37680</x:v>
      </x:c>
      <x:c r="H411" s="21" t="n">
        <x:v>2146</x:v>
      </x:c>
      <x:c r="I411" s="17" t="str">
        <x:v>Followup</x:v>
      </x:c>
    </x:row>
    <x:row r="412" ht="23" customHeight="1">
      <x:c r="A412" s="17" t="str">
        <x:v>U00406</x:v>
      </x:c>
      <x:c r="B412" s="18" t="n">
        <x:v>46293</x:v>
      </x:c>
      <x:c r="C412" s="17" t="str">
        <x:v>W0049</x:v>
      </x:c>
      <x:c r="D412" s="17" t="str">
        <x:v>C001</x:v>
      </x:c>
      <x:c r="E412" s="17" t="str">
        <x:v>CopyStudio</x:v>
      </x:c>
      <x:c r="F412" s="17" t="str">
        <x:v>Lite</x:v>
      </x:c>
      <x:c r="G412" s="21" t="n">
        <x:v>46460</x:v>
      </x:c>
      <x:c r="H412" s="21" t="n">
        <x:v>6083</x:v>
      </x:c>
      <x:c r="I412" s="17" t="str">
        <x:v>Followup</x:v>
      </x:c>
    </x:row>
    <x:row r="413" ht="23" customHeight="1">
      <x:c r="A413" s="17" t="str">
        <x:v>U00407</x:v>
      </x:c>
      <x:c r="B413" s="18" t="n">
        <x:v>46273</x:v>
      </x:c>
      <x:c r="C413" s="17" t="str">
        <x:v>W0050</x:v>
      </x:c>
      <x:c r="D413" s="17" t="str">
        <x:v>C001</x:v>
      </x:c>
      <x:c r="E413" s="17" t="str">
        <x:v>CopyStudio</x:v>
      </x:c>
      <x:c r="F413" s="17" t="str">
        <x:v>Lite</x:v>
      </x:c>
      <x:c r="G413" s="21" t="n">
        <x:v>66494</x:v>
      </x:c>
      <x:c r="H413" s="21" t="n">
        <x:v>6355</x:v>
      </x:c>
      <x:c r="I413" s="17" t="str">
        <x:v>First attempt</x:v>
      </x:c>
    </x:row>
    <x:row r="414" ht="23" customHeight="1">
      <x:c r="A414" s="17" t="str">
        <x:v>U00408</x:v>
      </x:c>
      <x:c r="B414" s="18" t="n">
        <x:v>46273</x:v>
      </x:c>
      <x:c r="C414" s="17" t="str">
        <x:v>W0050</x:v>
      </x:c>
      <x:c r="D414" s="17" t="str">
        <x:v>C001</x:v>
      </x:c>
      <x:c r="E414" s="17" t="str">
        <x:v>CopyStudio</x:v>
      </x:c>
      <x:c r="F414" s="17" t="str">
        <x:v>Lite</x:v>
      </x:c>
      <x:c r="G414" s="21" t="n">
        <x:v>67403</x:v>
      </x:c>
      <x:c r="H414" s="21" t="n">
        <x:v>7136</x:v>
      </x:c>
      <x:c r="I414" s="17" t="str">
        <x:v>Followup</x:v>
      </x:c>
    </x:row>
    <x:row r="415" ht="23" customHeight="1">
      <x:c r="A415" s="17" t="str">
        <x:v>U00409</x:v>
      </x:c>
      <x:c r="B415" s="18" t="n">
        <x:v>46273</x:v>
      </x:c>
      <x:c r="C415" s="17" t="str">
        <x:v>W0050</x:v>
      </x:c>
      <x:c r="D415" s="17" t="str">
        <x:v>C001</x:v>
      </x:c>
      <x:c r="E415" s="17" t="str">
        <x:v>CopyStudio</x:v>
      </x:c>
      <x:c r="F415" s="17" t="str">
        <x:v>Lite</x:v>
      </x:c>
      <x:c r="G415" s="21" t="n">
        <x:v>54259</x:v>
      </x:c>
      <x:c r="H415" s="21" t="n">
        <x:v>8617</x:v>
      </x:c>
      <x:c r="I415" s="17" t="str">
        <x:v>Correction</x:v>
      </x:c>
    </x:row>
    <x:row r="416" ht="23" customHeight="1">
      <x:c r="A416" s="17" t="str">
        <x:v>U00410</x:v>
      </x:c>
      <x:c r="B416" s="18" t="n">
        <x:v>46274</x:v>
      </x:c>
      <x:c r="C416" s="17" t="str">
        <x:v>W0050</x:v>
      </x:c>
      <x:c r="D416" s="17" t="str">
        <x:v>C001</x:v>
      </x:c>
      <x:c r="E416" s="17" t="str">
        <x:v>CopyStudio</x:v>
      </x:c>
      <x:c r="F416" s="17" t="str">
        <x:v>Lite</x:v>
      </x:c>
      <x:c r="G416" s="21" t="n">
        <x:v>42882</x:v>
      </x:c>
      <x:c r="H416" s="21" t="n">
        <x:v>10084</x:v>
      </x:c>
      <x:c r="I416" s="17" t="str">
        <x:v>Followup</x:v>
      </x:c>
    </x:row>
    <x:row r="417" ht="23" customHeight="1">
      <x:c r="A417" s="17" t="str">
        <x:v>U00411</x:v>
      </x:c>
      <x:c r="B417" s="18" t="n">
        <x:v>46274</x:v>
      </x:c>
      <x:c r="C417" s="17" t="str">
        <x:v>W0050</x:v>
      </x:c>
      <x:c r="D417" s="17" t="str">
        <x:v>C001</x:v>
      </x:c>
      <x:c r="E417" s="17" t="str">
        <x:v>CopyStudio</x:v>
      </x:c>
      <x:c r="F417" s="17" t="str">
        <x:v>Lite</x:v>
      </x:c>
      <x:c r="G417" s="21" t="n">
        <x:v>58803</x:v>
      </x:c>
      <x:c r="H417" s="21" t="n">
        <x:v>10262</x:v>
      </x:c>
      <x:c r="I417" s="17" t="str">
        <x:v>Followup</x:v>
      </x:c>
    </x:row>
    <x:row r="418" ht="23" customHeight="1">
      <x:c r="A418" s="17" t="str">
        <x:v>U00412</x:v>
      </x:c>
      <x:c r="B418" s="18" t="n">
        <x:v>46275</x:v>
      </x:c>
      <x:c r="C418" s="17" t="str">
        <x:v>W0050</x:v>
      </x:c>
      <x:c r="D418" s="17" t="str">
        <x:v>C001</x:v>
      </x:c>
      <x:c r="E418" s="17" t="str">
        <x:v>CopyStudio</x:v>
      </x:c>
      <x:c r="F418" s="17" t="str">
        <x:v>Lite</x:v>
      </x:c>
      <x:c r="G418" s="21" t="n">
        <x:v>66738</x:v>
      </x:c>
      <x:c r="H418" s="21" t="n">
        <x:v>11244</x:v>
      </x:c>
      <x:c r="I418" s="17" t="str">
        <x:v>Followup</x:v>
      </x:c>
    </x:row>
    <x:row r="419" ht="23" customHeight="1">
      <x:c r="A419" s="17" t="str">
        <x:v>U00413</x:v>
      </x:c>
      <x:c r="B419" s="18" t="n">
        <x:v>46275</x:v>
      </x:c>
      <x:c r="C419" s="17" t="str">
        <x:v>W0050</x:v>
      </x:c>
      <x:c r="D419" s="17" t="str">
        <x:v>C001</x:v>
      </x:c>
      <x:c r="E419" s="17" t="str">
        <x:v>CopyStudio</x:v>
      </x:c>
      <x:c r="F419" s="17" t="str">
        <x:v>Lite</x:v>
      </x:c>
      <x:c r="G419" s="21" t="n">
        <x:v>57245</x:v>
      </x:c>
      <x:c r="H419" s="21" t="n">
        <x:v>4677</x:v>
      </x:c>
      <x:c r="I419" s="17" t="str">
        <x:v>Followup</x:v>
      </x:c>
    </x:row>
    <x:row r="420" ht="23" customHeight="1">
      <x:c r="A420" s="17" t="str">
        <x:v>U00414</x:v>
      </x:c>
      <x:c r="B420" s="18" t="n">
        <x:v>46275</x:v>
      </x:c>
      <x:c r="C420" s="17" t="str">
        <x:v>W0050</x:v>
      </x:c>
      <x:c r="D420" s="17" t="str">
        <x:v>C001</x:v>
      </x:c>
      <x:c r="E420" s="17" t="str">
        <x:v>CopyStudio</x:v>
      </x:c>
      <x:c r="F420" s="17" t="str">
        <x:v>Lite</x:v>
      </x:c>
      <x:c r="G420" s="21" t="n">
        <x:v>40309</x:v>
      </x:c>
      <x:c r="H420" s="21" t="n">
        <x:v>7270</x:v>
      </x:c>
      <x:c r="I420" s="17" t="str">
        <x:v>Followup</x:v>
      </x:c>
    </x:row>
    <x:row r="421" ht="23" customHeight="1">
      <x:c r="A421" s="17" t="str">
        <x:v>U00415</x:v>
      </x:c>
      <x:c r="B421" s="18" t="n">
        <x:v>46276</x:v>
      </x:c>
      <x:c r="C421" s="17" t="str">
        <x:v>W0050</x:v>
      </x:c>
      <x:c r="D421" s="17" t="str">
        <x:v>C001</x:v>
      </x:c>
      <x:c r="E421" s="17" t="str">
        <x:v>CopyStudio</x:v>
      </x:c>
      <x:c r="F421" s="17" t="str">
        <x:v>Lite</x:v>
      </x:c>
      <x:c r="G421" s="21" t="n">
        <x:v>31951</x:v>
      </x:c>
      <x:c r="H421" s="21" t="n">
        <x:v>8746</x:v>
      </x:c>
      <x:c r="I421" s="17" t="str">
        <x:v>Followup</x:v>
      </x:c>
    </x:row>
    <x:row r="422" ht="23" customHeight="1">
      <x:c r="A422" s="17" t="str">
        <x:v>U00416</x:v>
      </x:c>
      <x:c r="B422" s="18" t="n">
        <x:v>46276</x:v>
      </x:c>
      <x:c r="C422" s="17" t="str">
        <x:v>W0050</x:v>
      </x:c>
      <x:c r="D422" s="17" t="str">
        <x:v>C001</x:v>
      </x:c>
      <x:c r="E422" s="17" t="str">
        <x:v>CopyStudio</x:v>
      </x:c>
      <x:c r="F422" s="17" t="str">
        <x:v>Lite</x:v>
      </x:c>
      <x:c r="G422" s="21" t="n">
        <x:v>43850</x:v>
      </x:c>
      <x:c r="H422" s="21" t="n">
        <x:v>8773</x:v>
      </x:c>
      <x:c r="I422" s="17" t="str">
        <x:v>Followup</x:v>
      </x:c>
    </x:row>
    <x:row r="423" ht="23" customHeight="1">
      <x:c r="A423" s="17" t="str">
        <x:v>U00417</x:v>
      </x:c>
      <x:c r="B423" s="18" t="n">
        <x:v>46282</x:v>
      </x:c>
      <x:c r="C423" s="17" t="str">
        <x:v>W0051</x:v>
      </x:c>
      <x:c r="D423" s="17" t="str">
        <x:v>C001</x:v>
      </x:c>
      <x:c r="E423" s="17" t="str">
        <x:v>CampaignChat</x:v>
      </x:c>
      <x:c r="F423" s="17" t="str">
        <x:v>Lite</x:v>
      </x:c>
      <x:c r="G423" s="21" t="n">
        <x:v>36661</x:v>
      </x:c>
      <x:c r="H423" s="21" t="n">
        <x:v>16134</x:v>
      </x:c>
      <x:c r="I423" s="17" t="str">
        <x:v>First attempt</x:v>
      </x:c>
    </x:row>
    <x:row r="424" ht="23" customHeight="1">
      <x:c r="A424" s="17" t="str">
        <x:v>U00418</x:v>
      </x:c>
      <x:c r="B424" s="18" t="n">
        <x:v>46282</x:v>
      </x:c>
      <x:c r="C424" s="17" t="str">
        <x:v>W0051</x:v>
      </x:c>
      <x:c r="D424" s="17" t="str">
        <x:v>C001</x:v>
      </x:c>
      <x:c r="E424" s="17" t="str">
        <x:v>CampaignChat</x:v>
      </x:c>
      <x:c r="F424" s="17" t="str">
        <x:v>Lite</x:v>
      </x:c>
      <x:c r="G424" s="21" t="n">
        <x:v>37227</x:v>
      </x:c>
      <x:c r="H424" s="21" t="n">
        <x:v>7197</x:v>
      </x:c>
      <x:c r="I424" s="17" t="str">
        <x:v>Followup</x:v>
      </x:c>
    </x:row>
    <x:row r="425" ht="23" customHeight="1">
      <x:c r="A425" s="17" t="str">
        <x:v>U00419</x:v>
      </x:c>
      <x:c r="B425" s="18" t="n">
        <x:v>46283</x:v>
      </x:c>
      <x:c r="C425" s="17" t="str">
        <x:v>W0051</x:v>
      </x:c>
      <x:c r="D425" s="17" t="str">
        <x:v>C001</x:v>
      </x:c>
      <x:c r="E425" s="17" t="str">
        <x:v>CampaignChat</x:v>
      </x:c>
      <x:c r="F425" s="17" t="str">
        <x:v>Lite</x:v>
      </x:c>
      <x:c r="G425" s="21" t="n">
        <x:v>24274</x:v>
      </x:c>
      <x:c r="H425" s="21" t="n">
        <x:v>4816</x:v>
      </x:c>
      <x:c r="I425" s="17" t="str">
        <x:v>Followup</x:v>
      </x:c>
    </x:row>
    <x:row r="426" ht="23" customHeight="1">
      <x:c r="A426" s="17" t="str">
        <x:v>U00420</x:v>
      </x:c>
      <x:c r="B426" s="18" t="n">
        <x:v>46283</x:v>
      </x:c>
      <x:c r="C426" s="17" t="str">
        <x:v>W0051</x:v>
      </x:c>
      <x:c r="D426" s="17" t="str">
        <x:v>C001</x:v>
      </x:c>
      <x:c r="E426" s="17" t="str">
        <x:v>CampaignChat</x:v>
      </x:c>
      <x:c r="F426" s="17" t="str">
        <x:v>Lite</x:v>
      </x:c>
      <x:c r="G426" s="21" t="n">
        <x:v>30835</x:v>
      </x:c>
      <x:c r="H426" s="21" t="n">
        <x:v>8847</x:v>
      </x:c>
      <x:c r="I426" s="17" t="str">
        <x:v>Followup</x:v>
      </x:c>
    </x:row>
    <x:row r="427" ht="23" customHeight="1">
      <x:c r="A427" s="17" t="str">
        <x:v>U00421</x:v>
      </x:c>
      <x:c r="B427" s="18" t="n">
        <x:v>46286</x:v>
      </x:c>
      <x:c r="C427" s="17" t="str">
        <x:v>W0051</x:v>
      </x:c>
      <x:c r="D427" s="17" t="str">
        <x:v>C001</x:v>
      </x:c>
      <x:c r="E427" s="17" t="str">
        <x:v>CampaignChat</x:v>
      </x:c>
      <x:c r="F427" s="17" t="str">
        <x:v>Lite</x:v>
      </x:c>
      <x:c r="G427" s="21" t="n">
        <x:v>27434</x:v>
      </x:c>
      <x:c r="H427" s="21" t="n">
        <x:v>9124</x:v>
      </x:c>
      <x:c r="I427" s="17" t="str">
        <x:v>Followup</x:v>
      </x:c>
    </x:row>
    <x:row r="428" ht="23" customHeight="1">
      <x:c r="A428" s="17" t="str">
        <x:v>U00422</x:v>
      </x:c>
      <x:c r="B428" s="18" t="n">
        <x:v>46286</x:v>
      </x:c>
      <x:c r="C428" s="17" t="str">
        <x:v>W0051</x:v>
      </x:c>
      <x:c r="D428" s="17" t="str">
        <x:v>C001</x:v>
      </x:c>
      <x:c r="E428" s="17" t="str">
        <x:v>CampaignChat</x:v>
      </x:c>
      <x:c r="F428" s="17" t="str">
        <x:v>Lite</x:v>
      </x:c>
      <x:c r="G428" s="21" t="n">
        <x:v>17770</x:v>
      </x:c>
      <x:c r="H428" s="21" t="n">
        <x:v>12157</x:v>
      </x:c>
      <x:c r="I428" s="17" t="str">
        <x:v>Followup</x:v>
      </x:c>
    </x:row>
    <x:row r="429" ht="23" customHeight="1">
      <x:c r="A429" s="17" t="str">
        <x:v>U00423</x:v>
      </x:c>
      <x:c r="B429" s="18" t="n">
        <x:v>46287</x:v>
      </x:c>
      <x:c r="C429" s="17" t="str">
        <x:v>W0051</x:v>
      </x:c>
      <x:c r="D429" s="17" t="str">
        <x:v>C001</x:v>
      </x:c>
      <x:c r="E429" s="17" t="str">
        <x:v>CampaignChat</x:v>
      </x:c>
      <x:c r="F429" s="17" t="str">
        <x:v>Lite</x:v>
      </x:c>
      <x:c r="G429" s="21" t="n">
        <x:v>31374</x:v>
      </x:c>
      <x:c r="H429" s="21" t="n">
        <x:v>9630</x:v>
      </x:c>
      <x:c r="I429" s="17" t="str">
        <x:v>Followup</x:v>
      </x:c>
    </x:row>
    <x:row r="430" ht="23" customHeight="1">
      <x:c r="A430" s="17" t="str">
        <x:v>U00424</x:v>
      </x:c>
      <x:c r="B430" s="18" t="n">
        <x:v>46287</x:v>
      </x:c>
      <x:c r="C430" s="17" t="str">
        <x:v>W0051</x:v>
      </x:c>
      <x:c r="D430" s="17" t="str">
        <x:v>C001</x:v>
      </x:c>
      <x:c r="E430" s="17" t="str">
        <x:v>CampaignChat</x:v>
      </x:c>
      <x:c r="F430" s="17" t="str">
        <x:v>Lite</x:v>
      </x:c>
      <x:c r="G430" s="21" t="n">
        <x:v>35809</x:v>
      </x:c>
      <x:c r="H430" s="21" t="n">
        <x:v>9834</x:v>
      </x:c>
      <x:c r="I430" s="17" t="str">
        <x:v>Correction</x:v>
      </x:c>
    </x:row>
    <x:row r="431" ht="23" customHeight="1">
      <x:c r="A431" s="17" t="str">
        <x:v>U00425</x:v>
      </x:c>
      <x:c r="B431" s="18" t="n">
        <x:v>46287</x:v>
      </x:c>
      <x:c r="C431" s="17" t="str">
        <x:v>W0054</x:v>
      </x:c>
      <x:c r="D431" s="17" t="str">
        <x:v>C001</x:v>
      </x:c>
      <x:c r="E431" s="17" t="str">
        <x:v>DataFlow</x:v>
      </x:c>
      <x:c r="F431" s="17" t="str">
        <x:v>Lite</x:v>
      </x:c>
      <x:c r="G431" s="21" t="n">
        <x:v>36732</x:v>
      </x:c>
      <x:c r="H431" s="21" t="n">
        <x:v>5451</x:v>
      </x:c>
      <x:c r="I431" s="17" t="str">
        <x:v>First attempt</x:v>
      </x:c>
    </x:row>
    <x:row r="432" ht="23" customHeight="1">
      <x:c r="A432" s="17" t="str">
        <x:v>U00426</x:v>
      </x:c>
      <x:c r="B432" s="18" t="n">
        <x:v>46287</x:v>
      </x:c>
      <x:c r="C432" s="17" t="str">
        <x:v>W0054</x:v>
      </x:c>
      <x:c r="D432" s="17" t="str">
        <x:v>C001</x:v>
      </x:c>
      <x:c r="E432" s="17" t="str">
        <x:v>DataFlow</x:v>
      </x:c>
      <x:c r="F432" s="17" t="str">
        <x:v>Lite</x:v>
      </x:c>
      <x:c r="G432" s="21" t="n">
        <x:v>52164</x:v>
      </x:c>
      <x:c r="H432" s="21" t="n">
        <x:v>4810</x:v>
      </x:c>
      <x:c r="I432" s="17" t="str">
        <x:v>Followup</x:v>
      </x:c>
    </x:row>
    <x:row r="433" ht="23" customHeight="1">
      <x:c r="A433" s="17" t="str">
        <x:v>U00427</x:v>
      </x:c>
      <x:c r="B433" s="18" t="n">
        <x:v>46287</x:v>
      </x:c>
      <x:c r="C433" s="17" t="str">
        <x:v>W0054</x:v>
      </x:c>
      <x:c r="D433" s="17" t="str">
        <x:v>C001</x:v>
      </x:c>
      <x:c r="E433" s="17" t="str">
        <x:v>DataFlow</x:v>
      </x:c>
      <x:c r="F433" s="17" t="str">
        <x:v>Lite</x:v>
      </x:c>
      <x:c r="G433" s="21" t="n">
        <x:v>49173</x:v>
      </x:c>
      <x:c r="H433" s="21" t="n">
        <x:v>3392</x:v>
      </x:c>
      <x:c r="I433" s="17" t="str">
        <x:v>Followup</x:v>
      </x:c>
    </x:row>
    <x:row r="434" ht="23" customHeight="1">
      <x:c r="A434" s="17" t="str">
        <x:v>U00428</x:v>
      </x:c>
      <x:c r="B434" s="18" t="n">
        <x:v>46288</x:v>
      </x:c>
      <x:c r="C434" s="17" t="str">
        <x:v>W0054</x:v>
      </x:c>
      <x:c r="D434" s="17" t="str">
        <x:v>C001</x:v>
      </x:c>
      <x:c r="E434" s="17" t="str">
        <x:v>DataFlow</x:v>
      </x:c>
      <x:c r="F434" s="17" t="str">
        <x:v>Lite</x:v>
      </x:c>
      <x:c r="G434" s="21" t="n">
        <x:v>59818</x:v>
      </x:c>
      <x:c r="H434" s="21" t="n">
        <x:v>6007</x:v>
      </x:c>
      <x:c r="I434" s="17" t="str">
        <x:v>Followup</x:v>
      </x:c>
    </x:row>
    <x:row r="435" ht="23" customHeight="1">
      <x:c r="A435" s="17" t="str">
        <x:v>U00429</x:v>
      </x:c>
      <x:c r="B435" s="18" t="n">
        <x:v>46288</x:v>
      </x:c>
      <x:c r="C435" s="17" t="str">
        <x:v>W0054</x:v>
      </x:c>
      <x:c r="D435" s="17" t="str">
        <x:v>C001</x:v>
      </x:c>
      <x:c r="E435" s="17" t="str">
        <x:v>DataFlow</x:v>
      </x:c>
      <x:c r="F435" s="17" t="str">
        <x:v>Lite</x:v>
      </x:c>
      <x:c r="G435" s="21" t="n">
        <x:v>46132</x:v>
      </x:c>
      <x:c r="H435" s="21" t="n">
        <x:v>4778</x:v>
      </x:c>
      <x:c r="I435" s="17" t="str">
        <x:v>Followup</x:v>
      </x:c>
    </x:row>
    <x:row r="436" ht="23" customHeight="1">
      <x:c r="A436" s="17" t="str">
        <x:v>U00430</x:v>
      </x:c>
      <x:c r="B436" s="18" t="n">
        <x:v>46288</x:v>
      </x:c>
      <x:c r="C436" s="17" t="str">
        <x:v>W0054</x:v>
      </x:c>
      <x:c r="D436" s="17" t="str">
        <x:v>C001</x:v>
      </x:c>
      <x:c r="E436" s="17" t="str">
        <x:v>DataFlow</x:v>
      </x:c>
      <x:c r="F436" s="17" t="str">
        <x:v>Lite</x:v>
      </x:c>
      <x:c r="G436" s="21" t="n">
        <x:v>40385</x:v>
      </x:c>
      <x:c r="H436" s="21" t="n">
        <x:v>4329</x:v>
      </x:c>
      <x:c r="I436" s="17" t="str">
        <x:v>Followup</x:v>
      </x:c>
    </x:row>
    <x:row r="437" ht="23" customHeight="1">
      <x:c r="A437" s="17" t="str">
        <x:v>U00431</x:v>
      </x:c>
      <x:c r="B437" s="18" t="n">
        <x:v>46289</x:v>
      </x:c>
      <x:c r="C437" s="17" t="str">
        <x:v>W0054</x:v>
      </x:c>
      <x:c r="D437" s="17" t="str">
        <x:v>C001</x:v>
      </x:c>
      <x:c r="E437" s="17" t="str">
        <x:v>DataFlow</x:v>
      </x:c>
      <x:c r="F437" s="17" t="str">
        <x:v>Lite</x:v>
      </x:c>
      <x:c r="G437" s="21" t="n">
        <x:v>59147</x:v>
      </x:c>
      <x:c r="H437" s="21" t="n">
        <x:v>4478</x:v>
      </x:c>
      <x:c r="I437" s="17" t="str">
        <x:v>Followup</x:v>
      </x:c>
    </x:row>
    <x:row r="438" ht="23" customHeight="1">
      <x:c r="A438" s="17" t="str">
        <x:v>U00432</x:v>
      </x:c>
      <x:c r="B438" s="18" t="n">
        <x:v>46289</x:v>
      </x:c>
      <x:c r="C438" s="17" t="str">
        <x:v>W0054</x:v>
      </x:c>
      <x:c r="D438" s="17" t="str">
        <x:v>C001</x:v>
      </x:c>
      <x:c r="E438" s="17" t="str">
        <x:v>DataFlow</x:v>
      </x:c>
      <x:c r="F438" s="17" t="str">
        <x:v>Lite</x:v>
      </x:c>
      <x:c r="G438" s="21" t="n">
        <x:v>67862</x:v>
      </x:c>
      <x:c r="H438" s="21" t="n">
        <x:v>4790</x:v>
      </x:c>
      <x:c r="I438" s="17" t="str">
        <x:v>Followup</x:v>
      </x:c>
    </x:row>
    <x:row r="439" ht="23" customHeight="1">
      <x:c r="A439" s="17" t="str">
        <x:v>U00433</x:v>
      </x:c>
      <x:c r="B439" s="18" t="n">
        <x:v>46289</x:v>
      </x:c>
      <x:c r="C439" s="17" t="str">
        <x:v>W0054</x:v>
      </x:c>
      <x:c r="D439" s="17" t="str">
        <x:v>C001</x:v>
      </x:c>
      <x:c r="E439" s="17" t="str">
        <x:v>DataFlow</x:v>
      </x:c>
      <x:c r="F439" s="17" t="str">
        <x:v>Lite</x:v>
      </x:c>
      <x:c r="G439" s="21" t="n">
        <x:v>56108</x:v>
      </x:c>
      <x:c r="H439" s="21" t="n">
        <x:v>3705</x:v>
      </x:c>
      <x:c r="I439" s="17" t="str">
        <x:v>Followup</x:v>
      </x:c>
    </x:row>
    <x:row r="440" ht="23" customHeight="1">
      <x:c r="A440" s="17" t="str">
        <x:v>U00434</x:v>
      </x:c>
      <x:c r="B440" s="18" t="n">
        <x:v>46290</x:v>
      </x:c>
      <x:c r="C440" s="17" t="str">
        <x:v>W0054</x:v>
      </x:c>
      <x:c r="D440" s="17" t="str">
        <x:v>C001</x:v>
      </x:c>
      <x:c r="E440" s="17" t="str">
        <x:v>DataFlow</x:v>
      </x:c>
      <x:c r="F440" s="17" t="str">
        <x:v>Lite</x:v>
      </x:c>
      <x:c r="G440" s="21" t="n">
        <x:v>64424</x:v>
      </x:c>
      <x:c r="H440" s="21" t="n">
        <x:v>5955</x:v>
      </x:c>
      <x:c r="I440" s="17" t="str">
        <x:v>Correction</x:v>
      </x:c>
    </x:row>
    <x:row r="441" ht="23" customHeight="1">
      <x:c r="A441" s="17" t="str">
        <x:v>U00435</x:v>
      </x:c>
      <x:c r="B441" s="18" t="n">
        <x:v>46290</x:v>
      </x:c>
      <x:c r="C441" s="17" t="str">
        <x:v>W0054</x:v>
      </x:c>
      <x:c r="D441" s="17" t="str">
        <x:v>C001</x:v>
      </x:c>
      <x:c r="E441" s="17" t="str">
        <x:v>DataFlow</x:v>
      </x:c>
      <x:c r="F441" s="17" t="str">
        <x:v>Lite</x:v>
      </x:c>
      <x:c r="G441" s="21" t="n">
        <x:v>72283</x:v>
      </x:c>
      <x:c r="H441" s="21" t="n">
        <x:v>3062</x:v>
      </x:c>
      <x:c r="I441" s="17" t="str">
        <x:v>Followup</x:v>
      </x:c>
    </x:row>
    <x:row r="442" ht="23" customHeight="1">
      <x:c r="A442" s="17" t="str">
        <x:v>U00436</x:v>
      </x:c>
      <x:c r="B442" s="18" t="n">
        <x:v>46290</x:v>
      </x:c>
      <x:c r="C442" s="17" t="str">
        <x:v>W0054</x:v>
      </x:c>
      <x:c r="D442" s="17" t="str">
        <x:v>C001</x:v>
      </x:c>
      <x:c r="E442" s="17" t="str">
        <x:v>DataFlow</x:v>
      </x:c>
      <x:c r="F442" s="17" t="str">
        <x:v>Lite</x:v>
      </x:c>
      <x:c r="G442" s="21" t="n">
        <x:v>37764</x:v>
      </x:c>
      <x:c r="H442" s="21" t="n">
        <x:v>5616</x:v>
      </x:c>
      <x:c r="I442" s="17" t="str">
        <x:v>Correction</x:v>
      </x:c>
    </x:row>
    <x:row r="443" ht="23" customHeight="1">
      <x:c r="A443" s="17" t="str">
        <x:v>U00437</x:v>
      </x:c>
      <x:c r="B443" s="18" t="n">
        <x:v>46281</x:v>
      </x:c>
      <x:c r="C443" s="17" t="str">
        <x:v>W0056</x:v>
      </x:c>
      <x:c r="D443" s="17" t="str">
        <x:v>C001</x:v>
      </x:c>
      <x:c r="E443" s="17" t="str">
        <x:v>InsightDesk</x:v>
      </x:c>
      <x:c r="F443" s="17" t="str">
        <x:v>Lite</x:v>
      </x:c>
      <x:c r="G443" s="21" t="n">
        <x:v>22966</x:v>
      </x:c>
      <x:c r="H443" s="21" t="n">
        <x:v>10500</x:v>
      </x:c>
      <x:c r="I443" s="17" t="str">
        <x:v>First attempt</x:v>
      </x:c>
    </x:row>
    <x:row r="444" ht="23" customHeight="1">
      <x:c r="A444" s="17" t="str">
        <x:v>U00438</x:v>
      </x:c>
      <x:c r="B444" s="18" t="n">
        <x:v>46281</x:v>
      </x:c>
      <x:c r="C444" s="17" t="str">
        <x:v>W0056</x:v>
      </x:c>
      <x:c r="D444" s="17" t="str">
        <x:v>C001</x:v>
      </x:c>
      <x:c r="E444" s="17" t="str">
        <x:v>InsightDesk</x:v>
      </x:c>
      <x:c r="F444" s="17" t="str">
        <x:v>Lite</x:v>
      </x:c>
      <x:c r="G444" s="21" t="n">
        <x:v>38601</x:v>
      </x:c>
      <x:c r="H444" s="21" t="n">
        <x:v>11765</x:v>
      </x:c>
      <x:c r="I444" s="17" t="str">
        <x:v>Followup</x:v>
      </x:c>
    </x:row>
    <x:row r="445" ht="23" customHeight="1">
      <x:c r="A445" s="17" t="str">
        <x:v>U00439</x:v>
      </x:c>
      <x:c r="B445" s="18" t="n">
        <x:v>46281</x:v>
      </x:c>
      <x:c r="C445" s="17" t="str">
        <x:v>W0056</x:v>
      </x:c>
      <x:c r="D445" s="17" t="str">
        <x:v>C001</x:v>
      </x:c>
      <x:c r="E445" s="17" t="str">
        <x:v>InsightDesk</x:v>
      </x:c>
      <x:c r="F445" s="17" t="str">
        <x:v>Lite</x:v>
      </x:c>
      <x:c r="G445" s="21" t="n">
        <x:v>20011</x:v>
      </x:c>
      <x:c r="H445" s="21" t="n">
        <x:v>12184</x:v>
      </x:c>
      <x:c r="I445" s="17" t="str">
        <x:v>Followup</x:v>
      </x:c>
    </x:row>
    <x:row r="446" ht="23" customHeight="1">
      <x:c r="A446" s="17" t="str">
        <x:v>U00440</x:v>
      </x:c>
      <x:c r="B446" s="18" t="n">
        <x:v>46282</x:v>
      </x:c>
      <x:c r="C446" s="17" t="str">
        <x:v>W0056</x:v>
      </x:c>
      <x:c r="D446" s="17" t="str">
        <x:v>C001</x:v>
      </x:c>
      <x:c r="E446" s="17" t="str">
        <x:v>InsightDesk</x:v>
      </x:c>
      <x:c r="F446" s="17" t="str">
        <x:v>Lite</x:v>
      </x:c>
      <x:c r="G446" s="21" t="n">
        <x:v>39491</x:v>
      </x:c>
      <x:c r="H446" s="21" t="n">
        <x:v>7928</x:v>
      </x:c>
      <x:c r="I446" s="17" t="str">
        <x:v>Followup</x:v>
      </x:c>
    </x:row>
    <x:row r="447" ht="23" customHeight="1">
      <x:c r="A447" s="17" t="str">
        <x:v>U00441</x:v>
      </x:c>
      <x:c r="B447" s="18" t="n">
        <x:v>46282</x:v>
      </x:c>
      <x:c r="C447" s="17" t="str">
        <x:v>W0056</x:v>
      </x:c>
      <x:c r="D447" s="17" t="str">
        <x:v>C001</x:v>
      </x:c>
      <x:c r="E447" s="17" t="str">
        <x:v>InsightDesk</x:v>
      </x:c>
      <x:c r="F447" s="17" t="str">
        <x:v>Lite</x:v>
      </x:c>
      <x:c r="G447" s="21" t="n">
        <x:v>39689</x:v>
      </x:c>
      <x:c r="H447" s="21" t="n">
        <x:v>13324</x:v>
      </x:c>
      <x:c r="I447" s="17" t="str">
        <x:v>Followup</x:v>
      </x:c>
    </x:row>
    <x:row r="448" ht="23" customHeight="1">
      <x:c r="A448" s="17" t="str">
        <x:v>U00442</x:v>
      </x:c>
      <x:c r="B448" s="18" t="n">
        <x:v>46283</x:v>
      </x:c>
      <x:c r="C448" s="17" t="str">
        <x:v>W0056</x:v>
      </x:c>
      <x:c r="D448" s="17" t="str">
        <x:v>C001</x:v>
      </x:c>
      <x:c r="E448" s="17" t="str">
        <x:v>InsightDesk</x:v>
      </x:c>
      <x:c r="F448" s="17" t="str">
        <x:v>Lite</x:v>
      </x:c>
      <x:c r="G448" s="21" t="n">
        <x:v>45762</x:v>
      </x:c>
      <x:c r="H448" s="21" t="n">
        <x:v>3604</x:v>
      </x:c>
      <x:c r="I448" s="17" t="str">
        <x:v>Followup</x:v>
      </x:c>
    </x:row>
    <x:row r="449" ht="23" customHeight="1">
      <x:c r="A449" s="17" t="str">
        <x:v>U00443</x:v>
      </x:c>
      <x:c r="B449" s="18" t="n">
        <x:v>46283</x:v>
      </x:c>
      <x:c r="C449" s="17" t="str">
        <x:v>W0056</x:v>
      </x:c>
      <x:c r="D449" s="17" t="str">
        <x:v>C001</x:v>
      </x:c>
      <x:c r="E449" s="17" t="str">
        <x:v>InsightDesk</x:v>
      </x:c>
      <x:c r="F449" s="17" t="str">
        <x:v>Lite</x:v>
      </x:c>
      <x:c r="G449" s="21" t="n">
        <x:v>41186</x:v>
      </x:c>
      <x:c r="H449" s="21" t="n">
        <x:v>10415</x:v>
      </x:c>
      <x:c r="I449" s="17" t="str">
        <x:v>Correction</x:v>
      </x:c>
    </x:row>
    <x:row r="450" ht="23" customHeight="1">
      <x:c r="A450" s="17" t="str">
        <x:v>U00444</x:v>
      </x:c>
      <x:c r="B450" s="18" t="n">
        <x:v>46283</x:v>
      </x:c>
      <x:c r="C450" s="17" t="str">
        <x:v>W0056</x:v>
      </x:c>
      <x:c r="D450" s="17" t="str">
        <x:v>C001</x:v>
      </x:c>
      <x:c r="E450" s="17" t="str">
        <x:v>InsightDesk</x:v>
      </x:c>
      <x:c r="F450" s="17" t="str">
        <x:v>Lite</x:v>
      </x:c>
      <x:c r="G450" s="21" t="n">
        <x:v>53695</x:v>
      </x:c>
      <x:c r="H450" s="21" t="n">
        <x:v>5079</x:v>
      </x:c>
      <x:c r="I450" s="17" t="str">
        <x:v>Followup</x:v>
      </x:c>
    </x:row>
    <x:row r="451" ht="23" customHeight="1">
      <x:c r="A451" s="17" t="str">
        <x:v>U00445</x:v>
      </x:c>
      <x:c r="B451" s="18" t="n">
        <x:v>46286</x:v>
      </x:c>
      <x:c r="C451" s="17" t="str">
        <x:v>W0056</x:v>
      </x:c>
      <x:c r="D451" s="17" t="str">
        <x:v>C001</x:v>
      </x:c>
      <x:c r="E451" s="17" t="str">
        <x:v>InsightDesk</x:v>
      </x:c>
      <x:c r="F451" s="17" t="str">
        <x:v>Lite</x:v>
      </x:c>
      <x:c r="G451" s="21" t="n">
        <x:v>37425</x:v>
      </x:c>
      <x:c r="H451" s="21" t="n">
        <x:v>7429</x:v>
      </x:c>
      <x:c r="I451" s="17" t="str">
        <x:v>Followup</x:v>
      </x:c>
    </x:row>
    <x:row r="452" ht="23" customHeight="1">
      <x:c r="A452" s="17" t="str">
        <x:v>U00446</x:v>
      </x:c>
      <x:c r="B452" s="18" t="n">
        <x:v>46286</x:v>
      </x:c>
      <x:c r="C452" s="17" t="str">
        <x:v>W0056</x:v>
      </x:c>
      <x:c r="D452" s="17" t="str">
        <x:v>C001</x:v>
      </x:c>
      <x:c r="E452" s="17" t="str">
        <x:v>InsightDesk</x:v>
      </x:c>
      <x:c r="F452" s="17" t="str">
        <x:v>Lite</x:v>
      </x:c>
      <x:c r="G452" s="21" t="n">
        <x:v>42041</x:v>
      </x:c>
      <x:c r="H452" s="21" t="n">
        <x:v>8512</x:v>
      </x:c>
      <x:c r="I452" s="17" t="str">
        <x:v>Followup</x:v>
      </x:c>
    </x:row>
    <x:row r="453" ht="23" customHeight="1">
      <x:c r="A453" s="17" t="str">
        <x:v>U00447</x:v>
      </x:c>
      <x:c r="B453" s="18" t="n">
        <x:v>46290</x:v>
      </x:c>
      <x:c r="C453" s="17" t="str">
        <x:v>W0057</x:v>
      </x:c>
      <x:c r="D453" s="17" t="str">
        <x:v>C001</x:v>
      </x:c>
      <x:c r="E453" s="17" t="str">
        <x:v>DataFlow</x:v>
      </x:c>
      <x:c r="F453" s="17" t="str">
        <x:v>Lite</x:v>
      </x:c>
      <x:c r="G453" s="21" t="n">
        <x:v>18804</x:v>
      </x:c>
      <x:c r="H453" s="21" t="n">
        <x:v>8464</x:v>
      </x:c>
      <x:c r="I453" s="17" t="str">
        <x:v>First attempt</x:v>
      </x:c>
    </x:row>
    <x:row r="454" ht="23" customHeight="1">
      <x:c r="A454" s="17" t="str">
        <x:v>U00448</x:v>
      </x:c>
      <x:c r="B454" s="18" t="n">
        <x:v>46290</x:v>
      </x:c>
      <x:c r="C454" s="17" t="str">
        <x:v>W0057</x:v>
      </x:c>
      <x:c r="D454" s="17" t="str">
        <x:v>C001</x:v>
      </x:c>
      <x:c r="E454" s="17" t="str">
        <x:v>DataFlow</x:v>
      </x:c>
      <x:c r="F454" s="17" t="str">
        <x:v>Lite</x:v>
      </x:c>
      <x:c r="G454" s="21" t="n">
        <x:v>19284</x:v>
      </x:c>
      <x:c r="H454" s="21" t="n">
        <x:v>7908</x:v>
      </x:c>
      <x:c r="I454" s="17" t="str">
        <x:v>Followup</x:v>
      </x:c>
    </x:row>
    <x:row r="455" ht="23" customHeight="1">
      <x:c r="A455" s="17" t="str">
        <x:v>U00449</x:v>
      </x:c>
      <x:c r="B455" s="18" t="n">
        <x:v>46290</x:v>
      </x:c>
      <x:c r="C455" s="17" t="str">
        <x:v>W0057</x:v>
      </x:c>
      <x:c r="D455" s="17" t="str">
        <x:v>C001</x:v>
      </x:c>
      <x:c r="E455" s="17" t="str">
        <x:v>DataFlow</x:v>
      </x:c>
      <x:c r="F455" s="17" t="str">
        <x:v>Lite</x:v>
      </x:c>
      <x:c r="G455" s="21" t="n">
        <x:v>14618</x:v>
      </x:c>
      <x:c r="H455" s="21" t="n">
        <x:v>2198</x:v>
      </x:c>
      <x:c r="I455" s="17" t="str">
        <x:v>Followup</x:v>
      </x:c>
    </x:row>
    <x:row r="456" ht="23" customHeight="1">
      <x:c r="A456" s="17" t="str">
        <x:v>U00450</x:v>
      </x:c>
      <x:c r="B456" s="18" t="n">
        <x:v>46293</x:v>
      </x:c>
      <x:c r="C456" s="17" t="str">
        <x:v>W0057</x:v>
      </x:c>
      <x:c r="D456" s="17" t="str">
        <x:v>C001</x:v>
      </x:c>
      <x:c r="E456" s="17" t="str">
        <x:v>DataFlow</x:v>
      </x:c>
      <x:c r="F456" s="17" t="str">
        <x:v>Lite</x:v>
      </x:c>
      <x:c r="G456" s="21" t="n">
        <x:v>36910</x:v>
      </x:c>
      <x:c r="H456" s="21" t="n">
        <x:v>2739</x:v>
      </x:c>
      <x:c r="I456" s="17" t="str">
        <x:v>Followup</x:v>
      </x:c>
    </x:row>
    <x:row r="457" ht="23" customHeight="1">
      <x:c r="A457" s="17" t="str">
        <x:v>U00451</x:v>
      </x:c>
      <x:c r="B457" s="18" t="n">
        <x:v>46293</x:v>
      </x:c>
      <x:c r="C457" s="17" t="str">
        <x:v>W0057</x:v>
      </x:c>
      <x:c r="D457" s="17" t="str">
        <x:v>C001</x:v>
      </x:c>
      <x:c r="E457" s="17" t="str">
        <x:v>DataFlow</x:v>
      </x:c>
      <x:c r="F457" s="17" t="str">
        <x:v>Lite</x:v>
      </x:c>
      <x:c r="G457" s="21" t="n">
        <x:v>16847</x:v>
      </x:c>
      <x:c r="H457" s="21" t="n">
        <x:v>2693</x:v>
      </x:c>
      <x:c r="I457" s="17" t="str">
        <x:v>Followup</x:v>
      </x:c>
    </x:row>
    <x:row r="458" ht="23" customHeight="1">
      <x:c r="A458" s="17" t="str">
        <x:v>U00452</x:v>
      </x:c>
      <x:c r="B458" s="18" t="n">
        <x:v>46293</x:v>
      </x:c>
      <x:c r="C458" s="17" t="str">
        <x:v>W0057</x:v>
      </x:c>
      <x:c r="D458" s="17" t="str">
        <x:v>C001</x:v>
      </x:c>
      <x:c r="E458" s="17" t="str">
        <x:v>DataFlow</x:v>
      </x:c>
      <x:c r="F458" s="17" t="str">
        <x:v>Lite</x:v>
      </x:c>
      <x:c r="G458" s="21" t="n">
        <x:v>37028</x:v>
      </x:c>
      <x:c r="H458" s="21" t="n">
        <x:v>5519</x:v>
      </x:c>
      <x:c r="I458" s="17" t="str">
        <x:v>Followup</x:v>
      </x:c>
    </x:row>
    <x:row r="459" ht="23" customHeight="1">
      <x:c r="A459" s="17" t="str">
        <x:v>U00453</x:v>
      </x:c>
      <x:c r="B459" s="18" t="n">
        <x:v>46294</x:v>
      </x:c>
      <x:c r="C459" s="17" t="str">
        <x:v>W0057</x:v>
      </x:c>
      <x:c r="D459" s="17" t="str">
        <x:v>C001</x:v>
      </x:c>
      <x:c r="E459" s="17" t="str">
        <x:v>DataFlow</x:v>
      </x:c>
      <x:c r="F459" s="17" t="str">
        <x:v>Lite</x:v>
      </x:c>
      <x:c r="G459" s="21" t="n">
        <x:v>28525</x:v>
      </x:c>
      <x:c r="H459" s="21" t="n">
        <x:v>2348</x:v>
      </x:c>
      <x:c r="I459" s="17" t="str">
        <x:v>Followup</x:v>
      </x:c>
    </x:row>
    <x:row r="460" ht="23" customHeight="1">
      <x:c r="A460" s="17" t="str">
        <x:v>U00454</x:v>
      </x:c>
      <x:c r="B460" s="18" t="n">
        <x:v>46294</x:v>
      </x:c>
      <x:c r="C460" s="17" t="str">
        <x:v>W0057</x:v>
      </x:c>
      <x:c r="D460" s="17" t="str">
        <x:v>C001</x:v>
      </x:c>
      <x:c r="E460" s="17" t="str">
        <x:v>DataFlow</x:v>
      </x:c>
      <x:c r="F460" s="17" t="str">
        <x:v>Lite</x:v>
      </x:c>
      <x:c r="G460" s="21" t="n">
        <x:v>29514</x:v>
      </x:c>
      <x:c r="H460" s="21" t="n">
        <x:v>6613</x:v>
      </x:c>
      <x:c r="I460" s="17" t="str">
        <x:v>Followup</x:v>
      </x:c>
    </x:row>
    <x:row r="461" ht="23" customHeight="1">
      <x:c r="A461" s="17" t="str">
        <x:v>U00455</x:v>
      </x:c>
      <x:c r="B461" s="18" t="n">
        <x:v>46294</x:v>
      </x:c>
      <x:c r="C461" s="17" t="str">
        <x:v>W0057</x:v>
      </x:c>
      <x:c r="D461" s="17" t="str">
        <x:v>C001</x:v>
      </x:c>
      <x:c r="E461" s="17" t="str">
        <x:v>DataFlow</x:v>
      </x:c>
      <x:c r="F461" s="17" t="str">
        <x:v>Lite</x:v>
      </x:c>
      <x:c r="G461" s="21" t="n">
        <x:v>21581</x:v>
      </x:c>
      <x:c r="H461" s="21" t="n">
        <x:v>2231</x:v>
      </x:c>
      <x:c r="I461" s="17" t="str">
        <x:v>Followup</x:v>
      </x:c>
    </x:row>
    <x:row r="462" ht="23" customHeight="1">
      <x:c r="A462" s="17" t="str">
        <x:v>U00456</x:v>
      </x:c>
      <x:c r="B462" s="18" t="n">
        <x:v>46295</x:v>
      </x:c>
      <x:c r="C462" s="17" t="str">
        <x:v>W0057</x:v>
      </x:c>
      <x:c r="D462" s="17" t="str">
        <x:v>C001</x:v>
      </x:c>
      <x:c r="E462" s="17" t="str">
        <x:v>DataFlow</x:v>
      </x:c>
      <x:c r="F462" s="17" t="str">
        <x:v>Lite</x:v>
      </x:c>
      <x:c r="G462" s="21" t="n">
        <x:v>33863</x:v>
      </x:c>
      <x:c r="H462" s="21" t="n">
        <x:v>7633</x:v>
      </x:c>
      <x:c r="I462" s="17" t="str">
        <x:v>Correction</x:v>
      </x:c>
    </x:row>
    <x:row r="463" ht="23" customHeight="1">
      <x:c r="A463" s="17" t="str">
        <x:v>U00457</x:v>
      </x:c>
      <x:c r="B463" s="18" t="n">
        <x:v>46295</x:v>
      </x:c>
      <x:c r="C463" s="17" t="str">
        <x:v>W0057</x:v>
      </x:c>
      <x:c r="D463" s="17" t="str">
        <x:v>C001</x:v>
      </x:c>
      <x:c r="E463" s="17" t="str">
        <x:v>DataFlow</x:v>
      </x:c>
      <x:c r="F463" s="17" t="str">
        <x:v>Lite</x:v>
      </x:c>
      <x:c r="G463" s="21" t="n">
        <x:v>14168</x:v>
      </x:c>
      <x:c r="H463" s="21" t="n">
        <x:v>2969</x:v>
      </x:c>
      <x:c r="I463" s="17" t="str">
        <x:v>Correction</x:v>
      </x:c>
    </x:row>
    <x:row r="464" ht="23" customHeight="1">
      <x:c r="A464" s="17" t="str">
        <x:v>U00458</x:v>
      </x:c>
      <x:c r="B464" s="18" t="n">
        <x:v>46275</x:v>
      </x:c>
      <x:c r="C464" s="17" t="str">
        <x:v>W0058</x:v>
      </x:c>
      <x:c r="D464" s="17" t="str">
        <x:v>C001</x:v>
      </x:c>
      <x:c r="E464" s="17" t="str">
        <x:v>CopyStudio</x:v>
      </x:c>
      <x:c r="F464" s="17" t="str">
        <x:v>Lite</x:v>
      </x:c>
      <x:c r="G464" s="21" t="n">
        <x:v>30358</x:v>
      </x:c>
      <x:c r="H464" s="21" t="n">
        <x:v>5287</x:v>
      </x:c>
      <x:c r="I464" s="17" t="str">
        <x:v>First attempt</x:v>
      </x:c>
    </x:row>
    <x:row r="465" ht="23" customHeight="1">
      <x:c r="A465" s="17" t="str">
        <x:v>U00459</x:v>
      </x:c>
      <x:c r="B465" s="18" t="n">
        <x:v>46275</x:v>
      </x:c>
      <x:c r="C465" s="17" t="str">
        <x:v>W0058</x:v>
      </x:c>
      <x:c r="D465" s="17" t="str">
        <x:v>C001</x:v>
      </x:c>
      <x:c r="E465" s="17" t="str">
        <x:v>CopyStudio</x:v>
      </x:c>
      <x:c r="F465" s="17" t="str">
        <x:v>Lite</x:v>
      </x:c>
      <x:c r="G465" s="21" t="n">
        <x:v>15349</x:v>
      </x:c>
      <x:c r="H465" s="21" t="n">
        <x:v>5400</x:v>
      </x:c>
      <x:c r="I465" s="17" t="str">
        <x:v>Followup</x:v>
      </x:c>
    </x:row>
    <x:row r="466" ht="23" customHeight="1">
      <x:c r="A466" s="17" t="str">
        <x:v>U00460</x:v>
      </x:c>
      <x:c r="B466" s="18" t="n">
        <x:v>46276</x:v>
      </x:c>
      <x:c r="C466" s="17" t="str">
        <x:v>W0058</x:v>
      </x:c>
      <x:c r="D466" s="17" t="str">
        <x:v>C001</x:v>
      </x:c>
      <x:c r="E466" s="17" t="str">
        <x:v>CopyStudio</x:v>
      </x:c>
      <x:c r="F466" s="17" t="str">
        <x:v>Lite</x:v>
      </x:c>
      <x:c r="G466" s="21" t="n">
        <x:v>30473</x:v>
      </x:c>
      <x:c r="H466" s="21" t="n">
        <x:v>5239</x:v>
      </x:c>
      <x:c r="I466" s="17" t="str">
        <x:v>Followup</x:v>
      </x:c>
    </x:row>
    <x:row r="467" ht="23" customHeight="1">
      <x:c r="A467" s="17" t="str">
        <x:v>U00461</x:v>
      </x:c>
      <x:c r="B467" s="18" t="n">
        <x:v>46276</x:v>
      </x:c>
      <x:c r="C467" s="17" t="str">
        <x:v>W0058</x:v>
      </x:c>
      <x:c r="D467" s="17" t="str">
        <x:v>C001</x:v>
      </x:c>
      <x:c r="E467" s="17" t="str">
        <x:v>CopyStudio</x:v>
      </x:c>
      <x:c r="F467" s="17" t="str">
        <x:v>Lite</x:v>
      </x:c>
      <x:c r="G467" s="21" t="n">
        <x:v>26199</x:v>
      </x:c>
      <x:c r="H467" s="21" t="n">
        <x:v>6770</x:v>
      </x:c>
      <x:c r="I467" s="17" t="str">
        <x:v>Followup</x:v>
      </x:c>
    </x:row>
    <x:row r="468" ht="23" customHeight="1">
      <x:c r="A468" s="17" t="str">
        <x:v>U00462</x:v>
      </x:c>
      <x:c r="B468" s="18" t="n">
        <x:v>46279</x:v>
      </x:c>
      <x:c r="C468" s="17" t="str">
        <x:v>W0058</x:v>
      </x:c>
      <x:c r="D468" s="17" t="str">
        <x:v>C001</x:v>
      </x:c>
      <x:c r="E468" s="17" t="str">
        <x:v>CopyStudio</x:v>
      </x:c>
      <x:c r="F468" s="17" t="str">
        <x:v>Lite</x:v>
      </x:c>
      <x:c r="G468" s="21" t="n">
        <x:v>24604</x:v>
      </x:c>
      <x:c r="H468" s="21" t="n">
        <x:v>8021</x:v>
      </x:c>
      <x:c r="I468" s="17" t="str">
        <x:v>Followup</x:v>
      </x:c>
    </x:row>
    <x:row r="469" ht="23" customHeight="1">
      <x:c r="A469" s="17" t="str">
        <x:v>U00463</x:v>
      </x:c>
      <x:c r="B469" s="18" t="n">
        <x:v>46279</x:v>
      </x:c>
      <x:c r="C469" s="17" t="str">
        <x:v>W0058</x:v>
      </x:c>
      <x:c r="D469" s="17" t="str">
        <x:v>C001</x:v>
      </x:c>
      <x:c r="E469" s="17" t="str">
        <x:v>CopyStudio</x:v>
      </x:c>
      <x:c r="F469" s="17" t="str">
        <x:v>Lite</x:v>
      </x:c>
      <x:c r="G469" s="21" t="n">
        <x:v>29478</x:v>
      </x:c>
      <x:c r="H469" s="21" t="n">
        <x:v>8361</x:v>
      </x:c>
      <x:c r="I469" s="17" t="str">
        <x:v>Followup</x:v>
      </x:c>
    </x:row>
    <x:row r="470" ht="23" customHeight="1">
      <x:c r="A470" s="17" t="str">
        <x:v>U00464</x:v>
      </x:c>
      <x:c r="B470" s="18" t="n">
        <x:v>46280</x:v>
      </x:c>
      <x:c r="C470" s="17" t="str">
        <x:v>W0058</x:v>
      </x:c>
      <x:c r="D470" s="17" t="str">
        <x:v>C001</x:v>
      </x:c>
      <x:c r="E470" s="17" t="str">
        <x:v>CopyStudio</x:v>
      </x:c>
      <x:c r="F470" s="17" t="str">
        <x:v>Lite</x:v>
      </x:c>
      <x:c r="G470" s="21" t="n">
        <x:v>38903</x:v>
      </x:c>
      <x:c r="H470" s="21" t="n">
        <x:v>5102</x:v>
      </x:c>
      <x:c r="I470" s="17" t="str">
        <x:v>Correction</x:v>
      </x:c>
    </x:row>
    <x:row r="471" ht="23" customHeight="1">
      <x:c r="A471" s="17" t="str">
        <x:v>U00465</x:v>
      </x:c>
      <x:c r="B471" s="18" t="n">
        <x:v>46280</x:v>
      </x:c>
      <x:c r="C471" s="17" t="str">
        <x:v>W0058</x:v>
      </x:c>
      <x:c r="D471" s="17" t="str">
        <x:v>C001</x:v>
      </x:c>
      <x:c r="E471" s="17" t="str">
        <x:v>CopyStudio</x:v>
      </x:c>
      <x:c r="F471" s="17" t="str">
        <x:v>Lite</x:v>
      </x:c>
      <x:c r="G471" s="21" t="n">
        <x:v>34358</x:v>
      </x:c>
      <x:c r="H471" s="21" t="n">
        <x:v>2249</x:v>
      </x:c>
      <x:c r="I471" s="17" t="str">
        <x:v>Followup</x:v>
      </x:c>
    </x:row>
    <x:row r="472" ht="23" customHeight="1">
      <x:c r="A472" s="17" t="str">
        <x:v>U00466</x:v>
      </x:c>
      <x:c r="B472" s="18" t="n">
        <x:v>46286</x:v>
      </x:c>
      <x:c r="C472" s="17" t="str">
        <x:v>W0059</x:v>
      </x:c>
      <x:c r="D472" s="17" t="str">
        <x:v>C001</x:v>
      </x:c>
      <x:c r="E472" s="17" t="str">
        <x:v>CampaignChat</x:v>
      </x:c>
      <x:c r="F472" s="17" t="str">
        <x:v>Lite</x:v>
      </x:c>
      <x:c r="G472" s="21" t="n">
        <x:v>30280</x:v>
      </x:c>
      <x:c r="H472" s="21" t="n">
        <x:v>4393</x:v>
      </x:c>
      <x:c r="I472" s="17" t="str">
        <x:v>First attempt</x:v>
      </x:c>
    </x:row>
    <x:row r="473" ht="23" customHeight="1">
      <x:c r="A473" s="17" t="str">
        <x:v>U00467</x:v>
      </x:c>
      <x:c r="B473" s="18" t="n">
        <x:v>46286</x:v>
      </x:c>
      <x:c r="C473" s="17" t="str">
        <x:v>W0059</x:v>
      </x:c>
      <x:c r="D473" s="17" t="str">
        <x:v>C001</x:v>
      </x:c>
      <x:c r="E473" s="17" t="str">
        <x:v>CampaignChat</x:v>
      </x:c>
      <x:c r="F473" s="17" t="str">
        <x:v>Lite</x:v>
      </x:c>
      <x:c r="G473" s="21" t="n">
        <x:v>19091</x:v>
      </x:c>
      <x:c r="H473" s="21" t="n">
        <x:v>6738</x:v>
      </x:c>
      <x:c r="I473" s="17" t="str">
        <x:v>Correction</x:v>
      </x:c>
    </x:row>
    <x:row r="474" ht="23" customHeight="1">
      <x:c r="A474" s="17" t="str">
        <x:v>U00468</x:v>
      </x:c>
      <x:c r="B474" s="18" t="n">
        <x:v>46286</x:v>
      </x:c>
      <x:c r="C474" s="17" t="str">
        <x:v>W0059</x:v>
      </x:c>
      <x:c r="D474" s="17" t="str">
        <x:v>C001</x:v>
      </x:c>
      <x:c r="E474" s="17" t="str">
        <x:v>CampaignChat</x:v>
      </x:c>
      <x:c r="F474" s="17" t="str">
        <x:v>Lite</x:v>
      </x:c>
      <x:c r="G474" s="21" t="n">
        <x:v>18839</x:v>
      </x:c>
      <x:c r="H474" s="21" t="n">
        <x:v>5823</x:v>
      </x:c>
      <x:c r="I474" s="17" t="str">
        <x:v>Followup</x:v>
      </x:c>
    </x:row>
    <x:row r="475" ht="23" customHeight="1">
      <x:c r="A475" s="17" t="str">
        <x:v>U00469</x:v>
      </x:c>
      <x:c r="B475" s="18" t="n">
        <x:v>46287</x:v>
      </x:c>
      <x:c r="C475" s="17" t="str">
        <x:v>W0059</x:v>
      </x:c>
      <x:c r="D475" s="17" t="str">
        <x:v>C001</x:v>
      </x:c>
      <x:c r="E475" s="17" t="str">
        <x:v>CampaignChat</x:v>
      </x:c>
      <x:c r="F475" s="17" t="str">
        <x:v>Lite</x:v>
      </x:c>
      <x:c r="G475" s="21" t="n">
        <x:v>43846</x:v>
      </x:c>
      <x:c r="H475" s="21" t="n">
        <x:v>5504</x:v>
      </x:c>
      <x:c r="I475" s="17" t="str">
        <x:v>Followup</x:v>
      </x:c>
    </x:row>
    <x:row r="476" ht="23" customHeight="1">
      <x:c r="A476" s="17" t="str">
        <x:v>U00470</x:v>
      </x:c>
      <x:c r="B476" s="18" t="n">
        <x:v>46287</x:v>
      </x:c>
      <x:c r="C476" s="17" t="str">
        <x:v>W0059</x:v>
      </x:c>
      <x:c r="D476" s="17" t="str">
        <x:v>C001</x:v>
      </x:c>
      <x:c r="E476" s="17" t="str">
        <x:v>CampaignChat</x:v>
      </x:c>
      <x:c r="F476" s="17" t="str">
        <x:v>Lite</x:v>
      </x:c>
      <x:c r="G476" s="21" t="n">
        <x:v>33895</x:v>
      </x:c>
      <x:c r="H476" s="21" t="n">
        <x:v>4263</x:v>
      </x:c>
      <x:c r="I476" s="17" t="str">
        <x:v>Followup</x:v>
      </x:c>
    </x:row>
    <x:row r="477" ht="23" customHeight="1">
      <x:c r="A477" s="17" t="str">
        <x:v>U00471</x:v>
      </x:c>
      <x:c r="B477" s="18" t="n">
        <x:v>46287</x:v>
      </x:c>
      <x:c r="C477" s="17" t="str">
        <x:v>W0059</x:v>
      </x:c>
      <x:c r="D477" s="17" t="str">
        <x:v>C001</x:v>
      </x:c>
      <x:c r="E477" s="17" t="str">
        <x:v>CampaignChat</x:v>
      </x:c>
      <x:c r="F477" s="17" t="str">
        <x:v>Lite</x:v>
      </x:c>
      <x:c r="G477" s="21" t="n">
        <x:v>29613</x:v>
      </x:c>
      <x:c r="H477" s="21" t="n">
        <x:v>3468</x:v>
      </x:c>
      <x:c r="I477" s="17" t="str">
        <x:v>Followup</x:v>
      </x:c>
    </x:row>
    <x:row r="478" ht="23" customHeight="1">
      <x:c r="A478" s="17" t="str">
        <x:v>U00472</x:v>
      </x:c>
      <x:c r="B478" s="18" t="n">
        <x:v>46288</x:v>
      </x:c>
      <x:c r="C478" s="17" t="str">
        <x:v>W0059</x:v>
      </x:c>
      <x:c r="D478" s="17" t="str">
        <x:v>C001</x:v>
      </x:c>
      <x:c r="E478" s="17" t="str">
        <x:v>CampaignChat</x:v>
      </x:c>
      <x:c r="F478" s="17" t="str">
        <x:v>Lite</x:v>
      </x:c>
      <x:c r="G478" s="21" t="n">
        <x:v>36629</x:v>
      </x:c>
      <x:c r="H478" s="21" t="n">
        <x:v>7405</x:v>
      </x:c>
      <x:c r="I478" s="17" t="str">
        <x:v>Followup</x:v>
      </x:c>
    </x:row>
    <x:row r="479" ht="23" customHeight="1">
      <x:c r="A479" s="17" t="str">
        <x:v>U00473</x:v>
      </x:c>
      <x:c r="B479" s="18" t="n">
        <x:v>46288</x:v>
      </x:c>
      <x:c r="C479" s="17" t="str">
        <x:v>W0059</x:v>
      </x:c>
      <x:c r="D479" s="17" t="str">
        <x:v>C001</x:v>
      </x:c>
      <x:c r="E479" s="17" t="str">
        <x:v>CampaignChat</x:v>
      </x:c>
      <x:c r="F479" s="17" t="str">
        <x:v>Lite</x:v>
      </x:c>
      <x:c r="G479" s="21" t="n">
        <x:v>34398</x:v>
      </x:c>
      <x:c r="H479" s="21" t="n">
        <x:v>7751</x:v>
      </x:c>
      <x:c r="I479" s="17" t="str">
        <x:v>Followup</x:v>
      </x:c>
    </x:row>
    <x:row r="480" ht="23" customHeight="1">
      <x:c r="A480" s="17" t="str">
        <x:v>U00474</x:v>
      </x:c>
      <x:c r="B480" s="18" t="n">
        <x:v>46288</x:v>
      </x:c>
      <x:c r="C480" s="17" t="str">
        <x:v>W0059</x:v>
      </x:c>
      <x:c r="D480" s="17" t="str">
        <x:v>C001</x:v>
      </x:c>
      <x:c r="E480" s="17" t="str">
        <x:v>CampaignChat</x:v>
      </x:c>
      <x:c r="F480" s="17" t="str">
        <x:v>Lite</x:v>
      </x:c>
      <x:c r="G480" s="21" t="n">
        <x:v>29455</x:v>
      </x:c>
      <x:c r="H480" s="21" t="n">
        <x:v>6135</x:v>
      </x:c>
      <x:c r="I480" s="17" t="str">
        <x:v>Followup</x:v>
      </x:c>
    </x:row>
    <x:row r="481" ht="23" customHeight="1">
      <x:c r="A481" s="17" t="str">
        <x:v>U00475</x:v>
      </x:c>
      <x:c r="B481" s="18" t="n">
        <x:v>46289</x:v>
      </x:c>
      <x:c r="C481" s="17" t="str">
        <x:v>W0059</x:v>
      </x:c>
      <x:c r="D481" s="17" t="str">
        <x:v>C001</x:v>
      </x:c>
      <x:c r="E481" s="17" t="str">
        <x:v>CampaignChat</x:v>
      </x:c>
      <x:c r="F481" s="17" t="str">
        <x:v>Lite</x:v>
      </x:c>
      <x:c r="G481" s="21" t="n">
        <x:v>33767</x:v>
      </x:c>
      <x:c r="H481" s="21" t="n">
        <x:v>2391</x:v>
      </x:c>
      <x:c r="I481" s="17" t="str">
        <x:v>Followup</x:v>
      </x:c>
    </x:row>
    <x:row r="482" ht="23" customHeight="1">
      <x:c r="A482" s="17" t="str">
        <x:v>U00476</x:v>
      </x:c>
      <x:c r="B482" s="18" t="n">
        <x:v>46289</x:v>
      </x:c>
      <x:c r="C482" s="17" t="str">
        <x:v>W0059</x:v>
      </x:c>
      <x:c r="D482" s="17" t="str">
        <x:v>C001</x:v>
      </x:c>
      <x:c r="E482" s="17" t="str">
        <x:v>CampaignChat</x:v>
      </x:c>
      <x:c r="F482" s="17" t="str">
        <x:v>Lite</x:v>
      </x:c>
      <x:c r="G482" s="21" t="n">
        <x:v>29032</x:v>
      </x:c>
      <x:c r="H482" s="21" t="n">
        <x:v>3371</x:v>
      </x:c>
      <x:c r="I482" s="17" t="str">
        <x:v>Followup</x:v>
      </x:c>
    </x:row>
    <x:row r="483" ht="23" customHeight="1">
      <x:c r="A483" s="17" t="str">
        <x:v>U00477</x:v>
      </x:c>
      <x:c r="B483" s="18" t="n">
        <x:v>46289</x:v>
      </x:c>
      <x:c r="C483" s="17" t="str">
        <x:v>W0059</x:v>
      </x:c>
      <x:c r="D483" s="17" t="str">
        <x:v>C001</x:v>
      </x:c>
      <x:c r="E483" s="17" t="str">
        <x:v>CampaignChat</x:v>
      </x:c>
      <x:c r="F483" s="17" t="str">
        <x:v>Lite</x:v>
      </x:c>
      <x:c r="G483" s="21" t="n">
        <x:v>29231</x:v>
      </x:c>
      <x:c r="H483" s="21" t="n">
        <x:v>3127</x:v>
      </x:c>
      <x:c r="I483" s="17" t="str">
        <x:v>Followup</x:v>
      </x:c>
    </x:row>
    <x:row r="484" ht="23" customHeight="1">
      <x:c r="A484" s="17" t="str">
        <x:v>U00478</x:v>
      </x:c>
      <x:c r="B484" s="18" t="n">
        <x:v>46268</x:v>
      </x:c>
      <x:c r="C484" s="17" t="str">
        <x:v>W0060</x:v>
      </x:c>
      <x:c r="D484" s="17" t="str">
        <x:v>C001</x:v>
      </x:c>
      <x:c r="E484" s="17" t="str">
        <x:v>CampaignChat</x:v>
      </x:c>
      <x:c r="F484" s="17" t="str">
        <x:v>Lite</x:v>
      </x:c>
      <x:c r="G484" s="21" t="n">
        <x:v>33632</x:v>
      </x:c>
      <x:c r="H484" s="21" t="n">
        <x:v>16443</x:v>
      </x:c>
      <x:c r="I484" s="17" t="str">
        <x:v>First attempt</x:v>
      </x:c>
    </x:row>
    <x:row r="485" ht="23" customHeight="1">
      <x:c r="A485" s="17" t="str">
        <x:v>U00479</x:v>
      </x:c>
      <x:c r="B485" s="18" t="n">
        <x:v>46268</x:v>
      </x:c>
      <x:c r="C485" s="17" t="str">
        <x:v>W0060</x:v>
      </x:c>
      <x:c r="D485" s="17" t="str">
        <x:v>C001</x:v>
      </x:c>
      <x:c r="E485" s="17" t="str">
        <x:v>CampaignChat</x:v>
      </x:c>
      <x:c r="F485" s="17" t="str">
        <x:v>Lite</x:v>
      </x:c>
      <x:c r="G485" s="21" t="n">
        <x:v>21795</x:v>
      </x:c>
      <x:c r="H485" s="21" t="n">
        <x:v>9791</x:v>
      </x:c>
      <x:c r="I485" s="17" t="str">
        <x:v>Followup</x:v>
      </x:c>
    </x:row>
    <x:row r="486" ht="23" customHeight="1">
      <x:c r="A486" s="17" t="str">
        <x:v>U00480</x:v>
      </x:c>
      <x:c r="B486" s="18" t="n">
        <x:v>46268</x:v>
      </x:c>
      <x:c r="C486" s="17" t="str">
        <x:v>W0060</x:v>
      </x:c>
      <x:c r="D486" s="17" t="str">
        <x:v>C001</x:v>
      </x:c>
      <x:c r="E486" s="17" t="str">
        <x:v>CampaignChat</x:v>
      </x:c>
      <x:c r="F486" s="17" t="str">
        <x:v>Lite</x:v>
      </x:c>
      <x:c r="G486" s="21" t="n">
        <x:v>25942</x:v>
      </x:c>
      <x:c r="H486" s="21" t="n">
        <x:v>11765</x:v>
      </x:c>
      <x:c r="I486" s="17" t="str">
        <x:v>Followup</x:v>
      </x:c>
    </x:row>
    <x:row r="487" ht="23" customHeight="1">
      <x:c r="A487" s="17" t="str">
        <x:v>U00481</x:v>
      </x:c>
      <x:c r="B487" s="18" t="n">
        <x:v>46269</x:v>
      </x:c>
      <x:c r="C487" s="17" t="str">
        <x:v>W0060</x:v>
      </x:c>
      <x:c r="D487" s="17" t="str">
        <x:v>C001</x:v>
      </x:c>
      <x:c r="E487" s="17" t="str">
        <x:v>CampaignChat</x:v>
      </x:c>
      <x:c r="F487" s="17" t="str">
        <x:v>Lite</x:v>
      </x:c>
      <x:c r="G487" s="21" t="n">
        <x:v>17719</x:v>
      </x:c>
      <x:c r="H487" s="21" t="n">
        <x:v>8621</x:v>
      </x:c>
      <x:c r="I487" s="17" t="str">
        <x:v>Followup</x:v>
      </x:c>
    </x:row>
    <x:row r="488" ht="23" customHeight="1">
      <x:c r="A488" s="17" t="str">
        <x:v>U00482</x:v>
      </x:c>
      <x:c r="B488" s="18" t="n">
        <x:v>46269</x:v>
      </x:c>
      <x:c r="C488" s="17" t="str">
        <x:v>W0060</x:v>
      </x:c>
      <x:c r="D488" s="17" t="str">
        <x:v>C001</x:v>
      </x:c>
      <x:c r="E488" s="17" t="str">
        <x:v>CampaignChat</x:v>
      </x:c>
      <x:c r="F488" s="17" t="str">
        <x:v>Lite</x:v>
      </x:c>
      <x:c r="G488" s="21" t="n">
        <x:v>21905</x:v>
      </x:c>
      <x:c r="H488" s="21" t="n">
        <x:v>9963</x:v>
      </x:c>
      <x:c r="I488" s="17" t="str">
        <x:v>Followup</x:v>
      </x:c>
    </x:row>
    <x:row r="489" ht="23" customHeight="1">
      <x:c r="A489" s="17" t="str">
        <x:v>U00483</x:v>
      </x:c>
      <x:c r="B489" s="18" t="n">
        <x:v>46273</x:v>
      </x:c>
      <x:c r="C489" s="17" t="str">
        <x:v>W0060</x:v>
      </x:c>
      <x:c r="D489" s="17" t="str">
        <x:v>C001</x:v>
      </x:c>
      <x:c r="E489" s="17" t="str">
        <x:v>CampaignChat</x:v>
      </x:c>
      <x:c r="F489" s="17" t="str">
        <x:v>Lite</x:v>
      </x:c>
      <x:c r="G489" s="21" t="n">
        <x:v>31887</x:v>
      </x:c>
      <x:c r="H489" s="21" t="n">
        <x:v>14243</x:v>
      </x:c>
      <x:c r="I489" s="17" t="str">
        <x:v>Followup</x:v>
      </x:c>
    </x:row>
    <x:row r="490" ht="23" customHeight="1">
      <x:c r="A490" s="17" t="str">
        <x:v>U00484</x:v>
      </x:c>
      <x:c r="B490" s="18" t="n">
        <x:v>46273</x:v>
      </x:c>
      <x:c r="C490" s="17" t="str">
        <x:v>W0060</x:v>
      </x:c>
      <x:c r="D490" s="17" t="str">
        <x:v>C001</x:v>
      </x:c>
      <x:c r="E490" s="17" t="str">
        <x:v>CampaignChat</x:v>
      </x:c>
      <x:c r="F490" s="17" t="str">
        <x:v>Lite</x:v>
      </x:c>
      <x:c r="G490" s="21" t="n">
        <x:v>15757</x:v>
      </x:c>
      <x:c r="H490" s="21" t="n">
        <x:v>6329</x:v>
      </x:c>
      <x:c r="I490" s="17" t="str">
        <x:v>Followup</x:v>
      </x:c>
    </x:row>
    <x:row r="491" ht="23" customHeight="1">
      <x:c r="A491" s="17" t="str">
        <x:v>U00485</x:v>
      </x:c>
      <x:c r="B491" s="18" t="n">
        <x:v>46273</x:v>
      </x:c>
      <x:c r="C491" s="17" t="str">
        <x:v>W0060</x:v>
      </x:c>
      <x:c r="D491" s="17" t="str">
        <x:v>C001</x:v>
      </x:c>
      <x:c r="E491" s="17" t="str">
        <x:v>CampaignChat</x:v>
      </x:c>
      <x:c r="F491" s="17" t="str">
        <x:v>Lite</x:v>
      </x:c>
      <x:c r="G491" s="21" t="n">
        <x:v>23503</x:v>
      </x:c>
      <x:c r="H491" s="21" t="n">
        <x:v>16024</x:v>
      </x:c>
      <x:c r="I491" s="17" t="str">
        <x:v>Correction</x:v>
      </x:c>
    </x:row>
    <x:row r="492" ht="23" customHeight="1">
      <x:c r="A492" s="17" t="str">
        <x:v>U00486</x:v>
      </x:c>
      <x:c r="B492" s="18" t="n">
        <x:v>46274</x:v>
      </x:c>
      <x:c r="C492" s="17" t="str">
        <x:v>W0060</x:v>
      </x:c>
      <x:c r="D492" s="17" t="str">
        <x:v>C001</x:v>
      </x:c>
      <x:c r="E492" s="17" t="str">
        <x:v>CampaignChat</x:v>
      </x:c>
      <x:c r="F492" s="17" t="str">
        <x:v>Lite</x:v>
      </x:c>
      <x:c r="G492" s="21" t="n">
        <x:v>25376</x:v>
      </x:c>
      <x:c r="H492" s="21" t="n">
        <x:v>10543</x:v>
      </x:c>
      <x:c r="I492" s="17" t="str">
        <x:v>Followup</x:v>
      </x:c>
    </x:row>
    <x:row r="493" ht="23" customHeight="1">
      <x:c r="A493" s="17" t="str">
        <x:v>U00487</x:v>
      </x:c>
      <x:c r="B493" s="18" t="n">
        <x:v>46274</x:v>
      </x:c>
      <x:c r="C493" s="17" t="str">
        <x:v>W0060</x:v>
      </x:c>
      <x:c r="D493" s="17" t="str">
        <x:v>C001</x:v>
      </x:c>
      <x:c r="E493" s="17" t="str">
        <x:v>CampaignChat</x:v>
      </x:c>
      <x:c r="F493" s="17" t="str">
        <x:v>Lite</x:v>
      </x:c>
      <x:c r="G493" s="21" t="n">
        <x:v>29332</x:v>
      </x:c>
      <x:c r="H493" s="21" t="n">
        <x:v>6190</x:v>
      </x:c>
      <x:c r="I493" s="17" t="str">
        <x:v>Followup</x:v>
      </x:c>
    </x:row>
    <x:row r="494" ht="23" customHeight="1">
      <x:c r="A494" s="17" t="str">
        <x:v>U00488</x:v>
      </x:c>
      <x:c r="B494" s="18" t="n">
        <x:v>46269</x:v>
      </x:c>
      <x:c r="C494" s="17" t="str">
        <x:v>W0001</x:v>
      </x:c>
      <x:c r="D494" s="17" t="str">
        <x:v>C001</x:v>
      </x:c>
      <x:c r="E494" s="17" t="str">
        <x:v>CopyStudio</x:v>
      </x:c>
      <x:c r="F494" s="17" t="str">
        <x:v>Pro</x:v>
      </x:c>
      <x:c r="G494" s="21" t="n">
        <x:v>23833</x:v>
      </x:c>
      <x:c r="H494" s="21" t="n">
        <x:v>13869</x:v>
      </x:c>
      <x:c r="I494" s="17" t="str">
        <x:v>First attempt</x:v>
      </x:c>
    </x:row>
    <x:row r="495" ht="23" customHeight="1">
      <x:c r="A495" s="17" t="str">
        <x:v>U00489</x:v>
      </x:c>
      <x:c r="B495" s="18" t="n">
        <x:v>46269</x:v>
      </x:c>
      <x:c r="C495" s="17" t="str">
        <x:v>W0001</x:v>
      </x:c>
      <x:c r="D495" s="17" t="str">
        <x:v>C001</x:v>
      </x:c>
      <x:c r="E495" s="17" t="str">
        <x:v>CopyStudio</x:v>
      </x:c>
      <x:c r="F495" s="17" t="str">
        <x:v>Pro</x:v>
      </x:c>
      <x:c r="G495" s="21" t="n">
        <x:v>13153</x:v>
      </x:c>
      <x:c r="H495" s="21" t="n">
        <x:v>6472</x:v>
      </x:c>
      <x:c r="I495" s="17" t="str">
        <x:v>Followup</x:v>
      </x:c>
    </x:row>
    <x:row r="496" ht="23" customHeight="1">
      <x:c r="A496" s="17" t="str">
        <x:v>U00490</x:v>
      </x:c>
      <x:c r="B496" s="18" t="n">
        <x:v>46269</x:v>
      </x:c>
      <x:c r="C496" s="17" t="str">
        <x:v>W0001</x:v>
      </x:c>
      <x:c r="D496" s="17" t="str">
        <x:v>C001</x:v>
      </x:c>
      <x:c r="E496" s="17" t="str">
        <x:v>CopyStudio</x:v>
      </x:c>
      <x:c r="F496" s="17" t="str">
        <x:v>Pro</x:v>
      </x:c>
      <x:c r="G496" s="21" t="n">
        <x:v>21288</x:v>
      </x:c>
      <x:c r="H496" s="21" t="n">
        <x:v>6608</x:v>
      </x:c>
      <x:c r="I496" s="17" t="str">
        <x:v>Followup</x:v>
      </x:c>
    </x:row>
    <x:row r="497" ht="23" customHeight="1">
      <x:c r="A497" s="17" t="str">
        <x:v>U00491</x:v>
      </x:c>
      <x:c r="B497" s="18" t="n">
        <x:v>46273</x:v>
      </x:c>
      <x:c r="C497" s="17" t="str">
        <x:v>W0001</x:v>
      </x:c>
      <x:c r="D497" s="17" t="str">
        <x:v>C001</x:v>
      </x:c>
      <x:c r="E497" s="17" t="str">
        <x:v>CopyStudio</x:v>
      </x:c>
      <x:c r="F497" s="17" t="str">
        <x:v>Pro</x:v>
      </x:c>
      <x:c r="G497" s="21" t="n">
        <x:v>24632</x:v>
      </x:c>
      <x:c r="H497" s="21" t="n">
        <x:v>10533</x:v>
      </x:c>
      <x:c r="I497" s="17" t="str">
        <x:v>Followup</x:v>
      </x:c>
    </x:row>
    <x:row r="498" ht="23" customHeight="1">
      <x:c r="A498" s="17" t="str">
        <x:v>U00492</x:v>
      </x:c>
      <x:c r="B498" s="18" t="n">
        <x:v>46273</x:v>
      </x:c>
      <x:c r="C498" s="17" t="str">
        <x:v>W0001</x:v>
      </x:c>
      <x:c r="D498" s="17" t="str">
        <x:v>C001</x:v>
      </x:c>
      <x:c r="E498" s="17" t="str">
        <x:v>CopyStudio</x:v>
      </x:c>
      <x:c r="F498" s="17" t="str">
        <x:v>Pro</x:v>
      </x:c>
      <x:c r="G498" s="21" t="n">
        <x:v>27244</x:v>
      </x:c>
      <x:c r="H498" s="21" t="n">
        <x:v>13156</x:v>
      </x:c>
      <x:c r="I498" s="17" t="str">
        <x:v>Followup</x:v>
      </x:c>
    </x:row>
    <x:row r="499" ht="23" customHeight="1">
      <x:c r="A499" s="17" t="str">
        <x:v>U00493</x:v>
      </x:c>
      <x:c r="B499" s="18" t="n">
        <x:v>46273</x:v>
      </x:c>
      <x:c r="C499" s="17" t="str">
        <x:v>W0001</x:v>
      </x:c>
      <x:c r="D499" s="17" t="str">
        <x:v>C001</x:v>
      </x:c>
      <x:c r="E499" s="17" t="str">
        <x:v>CopyStudio</x:v>
      </x:c>
      <x:c r="F499" s="17" t="str">
        <x:v>Pro</x:v>
      </x:c>
      <x:c r="G499" s="21" t="n">
        <x:v>16655</x:v>
      </x:c>
      <x:c r="H499" s="21" t="n">
        <x:v>13183</x:v>
      </x:c>
      <x:c r="I499" s="17" t="str">
        <x:v>Followup</x:v>
      </x:c>
    </x:row>
    <x:row r="500" ht="23" customHeight="1">
      <x:c r="A500" s="17" t="str">
        <x:v>U00494</x:v>
      </x:c>
      <x:c r="B500" s="18" t="n">
        <x:v>46274</x:v>
      </x:c>
      <x:c r="C500" s="17" t="str">
        <x:v>W0001</x:v>
      </x:c>
      <x:c r="D500" s="17" t="str">
        <x:v>C001</x:v>
      </x:c>
      <x:c r="E500" s="17" t="str">
        <x:v>CopyStudio</x:v>
      </x:c>
      <x:c r="F500" s="17" t="str">
        <x:v>Pro</x:v>
      </x:c>
      <x:c r="G500" s="21" t="n">
        <x:v>19851</x:v>
      </x:c>
      <x:c r="H500" s="21" t="n">
        <x:v>10456</x:v>
      </x:c>
      <x:c r="I500" s="17" t="str">
        <x:v>Followup</x:v>
      </x:c>
    </x:row>
    <x:row r="501" ht="23" customHeight="1">
      <x:c r="A501" s="17" t="str">
        <x:v>U00495</x:v>
      </x:c>
      <x:c r="B501" s="18" t="n">
        <x:v>46274</x:v>
      </x:c>
      <x:c r="C501" s="17" t="str">
        <x:v>W0001</x:v>
      </x:c>
      <x:c r="D501" s="17" t="str">
        <x:v>C001</x:v>
      </x:c>
      <x:c r="E501" s="17" t="str">
        <x:v>CopyStudio</x:v>
      </x:c>
      <x:c r="F501" s="17" t="str">
        <x:v>Pro</x:v>
      </x:c>
      <x:c r="G501" s="21" t="n">
        <x:v>21864</x:v>
      </x:c>
      <x:c r="H501" s="21" t="n">
        <x:v>4713</x:v>
      </x:c>
      <x:c r="I501" s="17" t="str">
        <x:v>Correction</x:v>
      </x:c>
    </x:row>
    <x:row r="502" ht="23" customHeight="1">
      <x:c r="A502" s="17" t="str">
        <x:v>U00496</x:v>
      </x:c>
      <x:c r="B502" s="18" t="n">
        <x:v>46274</x:v>
      </x:c>
      <x:c r="C502" s="17" t="str">
        <x:v>W0001</x:v>
      </x:c>
      <x:c r="D502" s="17" t="str">
        <x:v>C001</x:v>
      </x:c>
      <x:c r="E502" s="17" t="str">
        <x:v>CopyStudio</x:v>
      </x:c>
      <x:c r="F502" s="17" t="str">
        <x:v>Pro</x:v>
      </x:c>
      <x:c r="G502" s="21" t="n">
        <x:v>15825</x:v>
      </x:c>
      <x:c r="H502" s="21" t="n">
        <x:v>4837</x:v>
      </x:c>
      <x:c r="I502" s="17" t="str">
        <x:v>Followup</x:v>
      </x:c>
    </x:row>
    <x:row r="503" ht="23" customHeight="1">
      <x:c r="A503" s="17" t="str">
        <x:v>U00497</x:v>
      </x:c>
      <x:c r="B503" s="18" t="n">
        <x:v>46275</x:v>
      </x:c>
      <x:c r="C503" s="17" t="str">
        <x:v>W0001</x:v>
      </x:c>
      <x:c r="D503" s="17" t="str">
        <x:v>C001</x:v>
      </x:c>
      <x:c r="E503" s="17" t="str">
        <x:v>CopyStudio</x:v>
      </x:c>
      <x:c r="F503" s="17" t="str">
        <x:v>Pro</x:v>
      </x:c>
      <x:c r="G503" s="21" t="n">
        <x:v>11782</x:v>
      </x:c>
      <x:c r="H503" s="21" t="n">
        <x:v>14079</x:v>
      </x:c>
      <x:c r="I503" s="17" t="str">
        <x:v>Correction</x:v>
      </x:c>
    </x:row>
    <x:row r="504" ht="23" customHeight="1">
      <x:c r="A504" s="17" t="str">
        <x:v>U00498</x:v>
      </x:c>
      <x:c r="B504" s="18" t="n">
        <x:v>46275</x:v>
      </x:c>
      <x:c r="C504" s="17" t="str">
        <x:v>W0001</x:v>
      </x:c>
      <x:c r="D504" s="17" t="str">
        <x:v>C001</x:v>
      </x:c>
      <x:c r="E504" s="17" t="str">
        <x:v>CopyStudio</x:v>
      </x:c>
      <x:c r="F504" s="17" t="str">
        <x:v>Pro</x:v>
      </x:c>
      <x:c r="G504" s="21" t="n">
        <x:v>29246</x:v>
      </x:c>
      <x:c r="H504" s="21" t="n">
        <x:v>8219</x:v>
      </x:c>
      <x:c r="I504" s="17" t="str">
        <x:v>Followup</x:v>
      </x:c>
    </x:row>
    <x:row r="505" ht="23" customHeight="1">
      <x:c r="A505" s="17" t="str">
        <x:v>U00499</x:v>
      </x:c>
      <x:c r="B505" s="18" t="n">
        <x:v>46275</x:v>
      </x:c>
      <x:c r="C505" s="17" t="str">
        <x:v>W0001</x:v>
      </x:c>
      <x:c r="D505" s="17" t="str">
        <x:v>C001</x:v>
      </x:c>
      <x:c r="E505" s="17" t="str">
        <x:v>CopyStudio</x:v>
      </x:c>
      <x:c r="F505" s="17" t="str">
        <x:v>Pro</x:v>
      </x:c>
      <x:c r="G505" s="21" t="n">
        <x:v>32888</x:v>
      </x:c>
      <x:c r="H505" s="21" t="n">
        <x:v>7085</x:v>
      </x:c>
      <x:c r="I505" s="17" t="str">
        <x:v>Followup</x:v>
      </x:c>
    </x:row>
    <x:row r="506" ht="23" customHeight="1">
      <x:c r="A506" s="17" t="str">
        <x:v>U00500</x:v>
      </x:c>
      <x:c r="B506" s="18" t="n">
        <x:v>46275</x:v>
      </x:c>
      <x:c r="C506" s="17" t="str">
        <x:v>W0004</x:v>
      </x:c>
      <x:c r="D506" s="17" t="str">
        <x:v>C001</x:v>
      </x:c>
      <x:c r="E506" s="17" t="str">
        <x:v>InsightDesk</x:v>
      </x:c>
      <x:c r="F506" s="17" t="str">
        <x:v>Pro</x:v>
      </x:c>
      <x:c r="G506" s="21" t="n">
        <x:v>11619</x:v>
      </x:c>
      <x:c r="H506" s="21" t="n">
        <x:v>7075</x:v>
      </x:c>
      <x:c r="I506" s="17" t="str">
        <x:v>First attempt</x:v>
      </x:c>
    </x:row>
    <x:row r="507" ht="23" customHeight="1">
      <x:c r="A507" s="17" t="str">
        <x:v>U00501</x:v>
      </x:c>
      <x:c r="B507" s="18" t="n">
        <x:v>46275</x:v>
      </x:c>
      <x:c r="C507" s="17" t="str">
        <x:v>W0004</x:v>
      </x:c>
      <x:c r="D507" s="17" t="str">
        <x:v>C001</x:v>
      </x:c>
      <x:c r="E507" s="17" t="str">
        <x:v>InsightDesk</x:v>
      </x:c>
      <x:c r="F507" s="17" t="str">
        <x:v>Pro</x:v>
      </x:c>
      <x:c r="G507" s="21" t="n">
        <x:v>10664</x:v>
      </x:c>
      <x:c r="H507" s="21" t="n">
        <x:v>8276</x:v>
      </x:c>
      <x:c r="I507" s="17" t="str">
        <x:v>Followup</x:v>
      </x:c>
    </x:row>
    <x:row r="508" ht="23" customHeight="1">
      <x:c r="A508" s="17" t="str">
        <x:v>U00502</x:v>
      </x:c>
      <x:c r="B508" s="18" t="n">
        <x:v>46275</x:v>
      </x:c>
      <x:c r="C508" s="17" t="str">
        <x:v>W0004</x:v>
      </x:c>
      <x:c r="D508" s="17" t="str">
        <x:v>C001</x:v>
      </x:c>
      <x:c r="E508" s="17" t="str">
        <x:v>InsightDesk</x:v>
      </x:c>
      <x:c r="F508" s="17" t="str">
        <x:v>Pro</x:v>
      </x:c>
      <x:c r="G508" s="21" t="n">
        <x:v>21371</x:v>
      </x:c>
      <x:c r="H508" s="21" t="n">
        <x:v>3668</x:v>
      </x:c>
      <x:c r="I508" s="17" t="str">
        <x:v>Followup</x:v>
      </x:c>
    </x:row>
    <x:row r="509" ht="23" customHeight="1">
      <x:c r="A509" s="17" t="str">
        <x:v>U00503</x:v>
      </x:c>
      <x:c r="B509" s="18" t="n">
        <x:v>46276</x:v>
      </x:c>
      <x:c r="C509" s="17" t="str">
        <x:v>W0004</x:v>
      </x:c>
      <x:c r="D509" s="17" t="str">
        <x:v>C001</x:v>
      </x:c>
      <x:c r="E509" s="17" t="str">
        <x:v>InsightDesk</x:v>
      </x:c>
      <x:c r="F509" s="17" t="str">
        <x:v>Pro</x:v>
      </x:c>
      <x:c r="G509" s="21" t="n">
        <x:v>18409</x:v>
      </x:c>
      <x:c r="H509" s="21" t="n">
        <x:v>3853</x:v>
      </x:c>
      <x:c r="I509" s="17" t="str">
        <x:v>Followup</x:v>
      </x:c>
    </x:row>
    <x:row r="510" ht="23" customHeight="1">
      <x:c r="A510" s="17" t="str">
        <x:v>U00504</x:v>
      </x:c>
      <x:c r="B510" s="18" t="n">
        <x:v>46276</x:v>
      </x:c>
      <x:c r="C510" s="17" t="str">
        <x:v>W0004</x:v>
      </x:c>
      <x:c r="D510" s="17" t="str">
        <x:v>C001</x:v>
      </x:c>
      <x:c r="E510" s="17" t="str">
        <x:v>InsightDesk</x:v>
      </x:c>
      <x:c r="F510" s="17" t="str">
        <x:v>Pro</x:v>
      </x:c>
      <x:c r="G510" s="21" t="n">
        <x:v>20565</x:v>
      </x:c>
      <x:c r="H510" s="21" t="n">
        <x:v>10722</x:v>
      </x:c>
      <x:c r="I510" s="17" t="str">
        <x:v>Followup</x:v>
      </x:c>
    </x:row>
    <x:row r="511" ht="23" customHeight="1">
      <x:c r="A511" s="17" t="str">
        <x:v>U00505</x:v>
      </x:c>
      <x:c r="B511" s="18" t="n">
        <x:v>46279</x:v>
      </x:c>
      <x:c r="C511" s="17" t="str">
        <x:v>W0004</x:v>
      </x:c>
      <x:c r="D511" s="17" t="str">
        <x:v>C001</x:v>
      </x:c>
      <x:c r="E511" s="17" t="str">
        <x:v>InsightDesk</x:v>
      </x:c>
      <x:c r="F511" s="17" t="str">
        <x:v>Pro</x:v>
      </x:c>
      <x:c r="G511" s="21" t="n">
        <x:v>8444</x:v>
      </x:c>
      <x:c r="H511" s="21" t="n">
        <x:v>10089</x:v>
      </x:c>
      <x:c r="I511" s="17" t="str">
        <x:v>Followup</x:v>
      </x:c>
    </x:row>
    <x:row r="512" ht="23" customHeight="1">
      <x:c r="A512" s="17" t="str">
        <x:v>U00506</x:v>
      </x:c>
      <x:c r="B512" s="18" t="n">
        <x:v>46279</x:v>
      </x:c>
      <x:c r="C512" s="17" t="str">
        <x:v>W0004</x:v>
      </x:c>
      <x:c r="D512" s="17" t="str">
        <x:v>C001</x:v>
      </x:c>
      <x:c r="E512" s="17" t="str">
        <x:v>InsightDesk</x:v>
      </x:c>
      <x:c r="F512" s="17" t="str">
        <x:v>Pro</x:v>
      </x:c>
      <x:c r="G512" s="21" t="n">
        <x:v>18782</x:v>
      </x:c>
      <x:c r="H512" s="21" t="n">
        <x:v>10156</x:v>
      </x:c>
      <x:c r="I512" s="17" t="str">
        <x:v>Followup</x:v>
      </x:c>
    </x:row>
    <x:row r="513" ht="23" customHeight="1">
      <x:c r="A513" s="17" t="str">
        <x:v>U00507</x:v>
      </x:c>
      <x:c r="B513" s="18" t="n">
        <x:v>46280</x:v>
      </x:c>
      <x:c r="C513" s="17" t="str">
        <x:v>W0004</x:v>
      </x:c>
      <x:c r="D513" s="17" t="str">
        <x:v>C001</x:v>
      </x:c>
      <x:c r="E513" s="17" t="str">
        <x:v>InsightDesk</x:v>
      </x:c>
      <x:c r="F513" s="17" t="str">
        <x:v>Pro</x:v>
      </x:c>
      <x:c r="G513" s="21" t="n">
        <x:v>24023</x:v>
      </x:c>
      <x:c r="H513" s="21" t="n">
        <x:v>10633</x:v>
      </x:c>
      <x:c r="I513" s="17" t="str">
        <x:v>Followup</x:v>
      </x:c>
    </x:row>
    <x:row r="514" ht="23" customHeight="1">
      <x:c r="A514" s="17" t="str">
        <x:v>U00508</x:v>
      </x:c>
      <x:c r="B514" s="18" t="n">
        <x:v>46280</x:v>
      </x:c>
      <x:c r="C514" s="17" t="str">
        <x:v>W0004</x:v>
      </x:c>
      <x:c r="D514" s="17" t="str">
        <x:v>C001</x:v>
      </x:c>
      <x:c r="E514" s="17" t="str">
        <x:v>InsightDesk</x:v>
      </x:c>
      <x:c r="F514" s="17" t="str">
        <x:v>Pro</x:v>
      </x:c>
      <x:c r="G514" s="21" t="n">
        <x:v>23891</x:v>
      </x:c>
      <x:c r="H514" s="21" t="n">
        <x:v>6381</x:v>
      </x:c>
      <x:c r="I514" s="17" t="str">
        <x:v>Correction</x:v>
      </x:c>
    </x:row>
    <x:row r="515" ht="23" customHeight="1">
      <x:c r="A515" s="17" t="str">
        <x:v>U00509</x:v>
      </x:c>
      <x:c r="B515" s="18" t="n">
        <x:v>46279</x:v>
      </x:c>
      <x:c r="C515" s="17" t="str">
        <x:v>W0012</x:v>
      </x:c>
      <x:c r="D515" s="17" t="str">
        <x:v>C001</x:v>
      </x:c>
      <x:c r="E515" s="17" t="str">
        <x:v>CampaignChat</x:v>
      </x:c>
      <x:c r="F515" s="17" t="str">
        <x:v>Pro</x:v>
      </x:c>
      <x:c r="G515" s="21" t="n">
        <x:v>23199</x:v>
      </x:c>
      <x:c r="H515" s="21" t="n">
        <x:v>10058</x:v>
      </x:c>
      <x:c r="I515" s="17" t="str">
        <x:v>First attempt</x:v>
      </x:c>
    </x:row>
    <x:row r="516" ht="23" customHeight="1">
      <x:c r="A516" s="17" t="str">
        <x:v>U00510</x:v>
      </x:c>
      <x:c r="B516" s="18" t="n">
        <x:v>46279</x:v>
      </x:c>
      <x:c r="C516" s="17" t="str">
        <x:v>W0012</x:v>
      </x:c>
      <x:c r="D516" s="17" t="str">
        <x:v>C001</x:v>
      </x:c>
      <x:c r="E516" s="17" t="str">
        <x:v>CampaignChat</x:v>
      </x:c>
      <x:c r="F516" s="17" t="str">
        <x:v>Pro</x:v>
      </x:c>
      <x:c r="G516" s="21" t="n">
        <x:v>18224</x:v>
      </x:c>
      <x:c r="H516" s="21" t="n">
        <x:v>13478</x:v>
      </x:c>
      <x:c r="I516" s="17" t="str">
        <x:v>Followup</x:v>
      </x:c>
    </x:row>
    <x:row r="517" ht="23" customHeight="1">
      <x:c r="A517" s="17" t="str">
        <x:v>U00511</x:v>
      </x:c>
      <x:c r="B517" s="18" t="n">
        <x:v>46279</x:v>
      </x:c>
      <x:c r="C517" s="17" t="str">
        <x:v>W0012</x:v>
      </x:c>
      <x:c r="D517" s="17" t="str">
        <x:v>C001</x:v>
      </x:c>
      <x:c r="E517" s="17" t="str">
        <x:v>CampaignChat</x:v>
      </x:c>
      <x:c r="F517" s="17" t="str">
        <x:v>Pro</x:v>
      </x:c>
      <x:c r="G517" s="21" t="n">
        <x:v>19430</x:v>
      </x:c>
      <x:c r="H517" s="21" t="n">
        <x:v>5236</x:v>
      </x:c>
      <x:c r="I517" s="17" t="str">
        <x:v>Correction</x:v>
      </x:c>
    </x:row>
    <x:row r="518" ht="23" customHeight="1">
      <x:c r="A518" s="17" t="str">
        <x:v>U00512</x:v>
      </x:c>
      <x:c r="B518" s="18" t="n">
        <x:v>46280</x:v>
      </x:c>
      <x:c r="C518" s="17" t="str">
        <x:v>W0012</x:v>
      </x:c>
      <x:c r="D518" s="17" t="str">
        <x:v>C001</x:v>
      </x:c>
      <x:c r="E518" s="17" t="str">
        <x:v>CampaignChat</x:v>
      </x:c>
      <x:c r="F518" s="17" t="str">
        <x:v>Pro</x:v>
      </x:c>
      <x:c r="G518" s="21" t="n">
        <x:v>18007</x:v>
      </x:c>
      <x:c r="H518" s="21" t="n">
        <x:v>15311</x:v>
      </x:c>
      <x:c r="I518" s="17" t="str">
        <x:v>Followup</x:v>
      </x:c>
    </x:row>
    <x:row r="519" ht="23" customHeight="1">
      <x:c r="A519" s="17" t="str">
        <x:v>U00513</x:v>
      </x:c>
      <x:c r="B519" s="18" t="n">
        <x:v>46280</x:v>
      </x:c>
      <x:c r="C519" s="17" t="str">
        <x:v>W0012</x:v>
      </x:c>
      <x:c r="D519" s="17" t="str">
        <x:v>C001</x:v>
      </x:c>
      <x:c r="E519" s="17" t="str">
        <x:v>CampaignChat</x:v>
      </x:c>
      <x:c r="F519" s="17" t="str">
        <x:v>Pro</x:v>
      </x:c>
      <x:c r="G519" s="21" t="n">
        <x:v>21424</x:v>
      </x:c>
      <x:c r="H519" s="21" t="n">
        <x:v>5210</x:v>
      </x:c>
      <x:c r="I519" s="17" t="str">
        <x:v>Followup</x:v>
      </x:c>
    </x:row>
    <x:row r="520" ht="23" customHeight="1">
      <x:c r="A520" s="17" t="str">
        <x:v>U00514</x:v>
      </x:c>
      <x:c r="B520" s="18" t="n">
        <x:v>46281</x:v>
      </x:c>
      <x:c r="C520" s="17" t="str">
        <x:v>W0012</x:v>
      </x:c>
      <x:c r="D520" s="17" t="str">
        <x:v>C001</x:v>
      </x:c>
      <x:c r="E520" s="17" t="str">
        <x:v>CampaignChat</x:v>
      </x:c>
      <x:c r="F520" s="17" t="str">
        <x:v>Pro</x:v>
      </x:c>
      <x:c r="G520" s="21" t="n">
        <x:v>23123</x:v>
      </x:c>
      <x:c r="H520" s="21" t="n">
        <x:v>12636</x:v>
      </x:c>
      <x:c r="I520" s="17" t="str">
        <x:v>Followup</x:v>
      </x:c>
    </x:row>
    <x:row r="521" ht="23" customHeight="1">
      <x:c r="A521" s="17" t="str">
        <x:v>U00515</x:v>
      </x:c>
      <x:c r="B521" s="18" t="n">
        <x:v>46281</x:v>
      </x:c>
      <x:c r="C521" s="17" t="str">
        <x:v>W0012</x:v>
      </x:c>
      <x:c r="D521" s="17" t="str">
        <x:v>C001</x:v>
      </x:c>
      <x:c r="E521" s="17" t="str">
        <x:v>CampaignChat</x:v>
      </x:c>
      <x:c r="F521" s="17" t="str">
        <x:v>Pro</x:v>
      </x:c>
      <x:c r="G521" s="21" t="n">
        <x:v>10402</x:v>
      </x:c>
      <x:c r="H521" s="21" t="n">
        <x:v>5268</x:v>
      </x:c>
      <x:c r="I521" s="17" t="str">
        <x:v>Followup</x:v>
      </x:c>
    </x:row>
    <x:row r="522" ht="23" customHeight="1">
      <x:c r="A522" s="17" t="str">
        <x:v>U00516</x:v>
      </x:c>
      <x:c r="B522" s="18" t="n">
        <x:v>46281</x:v>
      </x:c>
      <x:c r="C522" s="17" t="str">
        <x:v>W0012</x:v>
      </x:c>
      <x:c r="D522" s="17" t="str">
        <x:v>C001</x:v>
      </x:c>
      <x:c r="E522" s="17" t="str">
        <x:v>CampaignChat</x:v>
      </x:c>
      <x:c r="F522" s="17" t="str">
        <x:v>Pro</x:v>
      </x:c>
      <x:c r="G522" s="21" t="n">
        <x:v>24215</x:v>
      </x:c>
      <x:c r="H522" s="21" t="n">
        <x:v>15621</x:v>
      </x:c>
      <x:c r="I522" s="17" t="str">
        <x:v>Followup</x:v>
      </x:c>
    </x:row>
    <x:row r="523" ht="23" customHeight="1">
      <x:c r="A523" s="17" t="str">
        <x:v>U00517</x:v>
      </x:c>
      <x:c r="B523" s="18" t="n">
        <x:v>46282</x:v>
      </x:c>
      <x:c r="C523" s="17" t="str">
        <x:v>W0012</x:v>
      </x:c>
      <x:c r="D523" s="17" t="str">
        <x:v>C001</x:v>
      </x:c>
      <x:c r="E523" s="17" t="str">
        <x:v>CampaignChat</x:v>
      </x:c>
      <x:c r="F523" s="17" t="str">
        <x:v>Pro</x:v>
      </x:c>
      <x:c r="G523" s="21" t="n">
        <x:v>9802</x:v>
      </x:c>
      <x:c r="H523" s="21" t="n">
        <x:v>8427</x:v>
      </x:c>
      <x:c r="I523" s="17" t="str">
        <x:v>Followup</x:v>
      </x:c>
    </x:row>
    <x:row r="524" ht="23" customHeight="1">
      <x:c r="A524" s="17" t="str">
        <x:v>U00518</x:v>
      </x:c>
      <x:c r="B524" s="18" t="n">
        <x:v>46282</x:v>
      </x:c>
      <x:c r="C524" s="17" t="str">
        <x:v>W0012</x:v>
      </x:c>
      <x:c r="D524" s="17" t="str">
        <x:v>C001</x:v>
      </x:c>
      <x:c r="E524" s="17" t="str">
        <x:v>CampaignChat</x:v>
      </x:c>
      <x:c r="F524" s="17" t="str">
        <x:v>Pro</x:v>
      </x:c>
      <x:c r="G524" s="21" t="n">
        <x:v>10540</x:v>
      </x:c>
      <x:c r="H524" s="21" t="n">
        <x:v>10681</x:v>
      </x:c>
      <x:c r="I524" s="17" t="str">
        <x:v>Followup</x:v>
      </x:c>
    </x:row>
    <x:row r="525" ht="23" customHeight="1">
      <x:c r="A525" s="17" t="str">
        <x:v>U00519</x:v>
      </x:c>
      <x:c r="B525" s="18" t="n">
        <x:v>46282</x:v>
      </x:c>
      <x:c r="C525" s="17" t="str">
        <x:v>W0015</x:v>
      </x:c>
      <x:c r="D525" s="17" t="str">
        <x:v>C001</x:v>
      </x:c>
      <x:c r="E525" s="17" t="str">
        <x:v>InsightDesk</x:v>
      </x:c>
      <x:c r="F525" s="17" t="str">
        <x:v>Pro</x:v>
      </x:c>
      <x:c r="G525" s="21" t="n">
        <x:v>30830</x:v>
      </x:c>
      <x:c r="H525" s="21" t="n">
        <x:v>11830</x:v>
      </x:c>
      <x:c r="I525" s="17" t="str">
        <x:v>First attempt</x:v>
      </x:c>
    </x:row>
    <x:row r="526" ht="23" customHeight="1">
      <x:c r="A526" s="17" t="str">
        <x:v>U00520</x:v>
      </x:c>
      <x:c r="B526" s="18" t="n">
        <x:v>46282</x:v>
      </x:c>
      <x:c r="C526" s="17" t="str">
        <x:v>W0015</x:v>
      </x:c>
      <x:c r="D526" s="17" t="str">
        <x:v>C001</x:v>
      </x:c>
      <x:c r="E526" s="17" t="str">
        <x:v>InsightDesk</x:v>
      </x:c>
      <x:c r="F526" s="17" t="str">
        <x:v>Pro</x:v>
      </x:c>
      <x:c r="G526" s="21" t="n">
        <x:v>15640</x:v>
      </x:c>
      <x:c r="H526" s="21" t="n">
        <x:v>3767</x:v>
      </x:c>
      <x:c r="I526" s="17" t="str">
        <x:v>Followup</x:v>
      </x:c>
    </x:row>
    <x:row r="527" ht="23" customHeight="1">
      <x:c r="A527" s="17" t="str">
        <x:v>U00521</x:v>
      </x:c>
      <x:c r="B527" s="18" t="n">
        <x:v>46283</x:v>
      </x:c>
      <x:c r="C527" s="17" t="str">
        <x:v>W0015</x:v>
      </x:c>
      <x:c r="D527" s="17" t="str">
        <x:v>C001</x:v>
      </x:c>
      <x:c r="E527" s="17" t="str">
        <x:v>InsightDesk</x:v>
      </x:c>
      <x:c r="F527" s="17" t="str">
        <x:v>Pro</x:v>
      </x:c>
      <x:c r="G527" s="21" t="n">
        <x:v>27771</x:v>
      </x:c>
      <x:c r="H527" s="21" t="n">
        <x:v>9183</x:v>
      </x:c>
      <x:c r="I527" s="17" t="str">
        <x:v>Followup</x:v>
      </x:c>
    </x:row>
    <x:row r="528" ht="23" customHeight="1">
      <x:c r="A528" s="17" t="str">
        <x:v>U00522</x:v>
      </x:c>
      <x:c r="B528" s="18" t="n">
        <x:v>46283</x:v>
      </x:c>
      <x:c r="C528" s="17" t="str">
        <x:v>W0015</x:v>
      </x:c>
      <x:c r="D528" s="17" t="str">
        <x:v>C001</x:v>
      </x:c>
      <x:c r="E528" s="17" t="str">
        <x:v>InsightDesk</x:v>
      </x:c>
      <x:c r="F528" s="17" t="str">
        <x:v>Pro</x:v>
      </x:c>
      <x:c r="G528" s="21" t="n">
        <x:v>27050</x:v>
      </x:c>
      <x:c r="H528" s="21" t="n">
        <x:v>9424</x:v>
      </x:c>
      <x:c r="I528" s="17" t="str">
        <x:v>Followup</x:v>
      </x:c>
    </x:row>
    <x:row r="529" ht="23" customHeight="1">
      <x:c r="A529" s="17" t="str">
        <x:v>U00523</x:v>
      </x:c>
      <x:c r="B529" s="18" t="n">
        <x:v>46286</x:v>
      </x:c>
      <x:c r="C529" s="17" t="str">
        <x:v>W0015</x:v>
      </x:c>
      <x:c r="D529" s="17" t="str">
        <x:v>C001</x:v>
      </x:c>
      <x:c r="E529" s="17" t="str">
        <x:v>InsightDesk</x:v>
      </x:c>
      <x:c r="F529" s="17" t="str">
        <x:v>Pro</x:v>
      </x:c>
      <x:c r="G529" s="21" t="n">
        <x:v>17253</x:v>
      </x:c>
      <x:c r="H529" s="21" t="n">
        <x:v>9056</x:v>
      </x:c>
      <x:c r="I529" s="17" t="str">
        <x:v>Followup</x:v>
      </x:c>
    </x:row>
    <x:row r="530" ht="23" customHeight="1">
      <x:c r="A530" s="17" t="str">
        <x:v>U00524</x:v>
      </x:c>
      <x:c r="B530" s="18" t="n">
        <x:v>46286</x:v>
      </x:c>
      <x:c r="C530" s="17" t="str">
        <x:v>W0015</x:v>
      </x:c>
      <x:c r="D530" s="17" t="str">
        <x:v>C001</x:v>
      </x:c>
      <x:c r="E530" s="17" t="str">
        <x:v>InsightDesk</x:v>
      </x:c>
      <x:c r="F530" s="17" t="str">
        <x:v>Pro</x:v>
      </x:c>
      <x:c r="G530" s="21" t="n">
        <x:v>16196</x:v>
      </x:c>
      <x:c r="H530" s="21" t="n">
        <x:v>7598</x:v>
      </x:c>
      <x:c r="I530" s="17" t="str">
        <x:v>Correction</x:v>
      </x:c>
    </x:row>
    <x:row r="531" ht="23" customHeight="1">
      <x:c r="A531" s="17" t="str">
        <x:v>U00525</x:v>
      </x:c>
      <x:c r="B531" s="18" t="n">
        <x:v>46287</x:v>
      </x:c>
      <x:c r="C531" s="17" t="str">
        <x:v>W0015</x:v>
      </x:c>
      <x:c r="D531" s="17" t="str">
        <x:v>C001</x:v>
      </x:c>
      <x:c r="E531" s="17" t="str">
        <x:v>InsightDesk</x:v>
      </x:c>
      <x:c r="F531" s="17" t="str">
        <x:v>Pro</x:v>
      </x:c>
      <x:c r="G531" s="21" t="n">
        <x:v>17069</x:v>
      </x:c>
      <x:c r="H531" s="21" t="n">
        <x:v>7501</x:v>
      </x:c>
      <x:c r="I531" s="17" t="str">
        <x:v>Followup</x:v>
      </x:c>
    </x:row>
    <x:row r="532" ht="23" customHeight="1">
      <x:c r="A532" s="17" t="str">
        <x:v>U00526</x:v>
      </x:c>
      <x:c r="B532" s="18" t="n">
        <x:v>46287</x:v>
      </x:c>
      <x:c r="C532" s="17" t="str">
        <x:v>W0015</x:v>
      </x:c>
      <x:c r="D532" s="17" t="str">
        <x:v>C001</x:v>
      </x:c>
      <x:c r="E532" s="17" t="str">
        <x:v>InsightDesk</x:v>
      </x:c>
      <x:c r="F532" s="17" t="str">
        <x:v>Pro</x:v>
      </x:c>
      <x:c r="G532" s="21" t="n">
        <x:v>23042</x:v>
      </x:c>
      <x:c r="H532" s="21" t="n">
        <x:v>5094</x:v>
      </x:c>
      <x:c r="I532" s="17" t="str">
        <x:v>Followup</x:v>
      </x:c>
    </x:row>
    <x:row r="533" ht="23" customHeight="1">
      <x:c r="A533" s="17" t="str">
        <x:v>U00527</x:v>
      </x:c>
      <x:c r="B533" s="18" t="n">
        <x:v>46266</x:v>
      </x:c>
      <x:c r="C533" s="17" t="str">
        <x:v>W0016</x:v>
      </x:c>
      <x:c r="D533" s="17" t="str">
        <x:v>C001</x:v>
      </x:c>
      <x:c r="E533" s="17" t="str">
        <x:v>InsightDesk</x:v>
      </x:c>
      <x:c r="F533" s="17" t="str">
        <x:v>Pro</x:v>
      </x:c>
      <x:c r="G533" s="21" t="n">
        <x:v>12578</x:v>
      </x:c>
      <x:c r="H533" s="21" t="n">
        <x:v>11703</x:v>
      </x:c>
      <x:c r="I533" s="17" t="str">
        <x:v>First attempt</x:v>
      </x:c>
    </x:row>
    <x:row r="534" ht="23" customHeight="1">
      <x:c r="A534" s="17" t="str">
        <x:v>U00528</x:v>
      </x:c>
      <x:c r="B534" s="18" t="n">
        <x:v>46266</x:v>
      </x:c>
      <x:c r="C534" s="17" t="str">
        <x:v>W0016</x:v>
      </x:c>
      <x:c r="D534" s="17" t="str">
        <x:v>C001</x:v>
      </x:c>
      <x:c r="E534" s="17" t="str">
        <x:v>InsightDesk</x:v>
      </x:c>
      <x:c r="F534" s="17" t="str">
        <x:v>Pro</x:v>
      </x:c>
      <x:c r="G534" s="21" t="n">
        <x:v>10836</x:v>
      </x:c>
      <x:c r="H534" s="21" t="n">
        <x:v>6638</x:v>
      </x:c>
      <x:c r="I534" s="17" t="str">
        <x:v>Followup</x:v>
      </x:c>
    </x:row>
    <x:row r="535" ht="23" customHeight="1">
      <x:c r="A535" s="17" t="str">
        <x:v>U00529</x:v>
      </x:c>
      <x:c r="B535" s="18" t="n">
        <x:v>46266</x:v>
      </x:c>
      <x:c r="C535" s="17" t="str">
        <x:v>W0016</x:v>
      </x:c>
      <x:c r="D535" s="17" t="str">
        <x:v>C001</x:v>
      </x:c>
      <x:c r="E535" s="17" t="str">
        <x:v>InsightDesk</x:v>
      </x:c>
      <x:c r="F535" s="17" t="str">
        <x:v>Pro</x:v>
      </x:c>
      <x:c r="G535" s="21" t="n">
        <x:v>19204</x:v>
      </x:c>
      <x:c r="H535" s="21" t="n">
        <x:v>13962</x:v>
      </x:c>
      <x:c r="I535" s="17" t="str">
        <x:v>Followup</x:v>
      </x:c>
    </x:row>
    <x:row r="536" ht="23" customHeight="1">
      <x:c r="A536" s="17" t="str">
        <x:v>U00530</x:v>
      </x:c>
      <x:c r="B536" s="18" t="n">
        <x:v>46267</x:v>
      </x:c>
      <x:c r="C536" s="17" t="str">
        <x:v>W0016</x:v>
      </x:c>
      <x:c r="D536" s="17" t="str">
        <x:v>C001</x:v>
      </x:c>
      <x:c r="E536" s="17" t="str">
        <x:v>InsightDesk</x:v>
      </x:c>
      <x:c r="F536" s="17" t="str">
        <x:v>Pro</x:v>
      </x:c>
      <x:c r="G536" s="21" t="n">
        <x:v>21180</x:v>
      </x:c>
      <x:c r="H536" s="21" t="n">
        <x:v>7494</x:v>
      </x:c>
      <x:c r="I536" s="17" t="str">
        <x:v>Followup</x:v>
      </x:c>
    </x:row>
    <x:row r="537" ht="23" customHeight="1">
      <x:c r="A537" s="17" t="str">
        <x:v>U00531</x:v>
      </x:c>
      <x:c r="B537" s="18" t="n">
        <x:v>46267</x:v>
      </x:c>
      <x:c r="C537" s="17" t="str">
        <x:v>W0016</x:v>
      </x:c>
      <x:c r="D537" s="17" t="str">
        <x:v>C001</x:v>
      </x:c>
      <x:c r="E537" s="17" t="str">
        <x:v>InsightDesk</x:v>
      </x:c>
      <x:c r="F537" s="17" t="str">
        <x:v>Pro</x:v>
      </x:c>
      <x:c r="G537" s="21" t="n">
        <x:v>22359</x:v>
      </x:c>
      <x:c r="H537" s="21" t="n">
        <x:v>14974</x:v>
      </x:c>
      <x:c r="I537" s="17" t="str">
        <x:v>Followup</x:v>
      </x:c>
    </x:row>
    <x:row r="538" ht="23" customHeight="1">
      <x:c r="A538" s="17" t="str">
        <x:v>U00532</x:v>
      </x:c>
      <x:c r="B538" s="18" t="n">
        <x:v>46267</x:v>
      </x:c>
      <x:c r="C538" s="17" t="str">
        <x:v>W0016</x:v>
      </x:c>
      <x:c r="D538" s="17" t="str">
        <x:v>C001</x:v>
      </x:c>
      <x:c r="E538" s="17" t="str">
        <x:v>InsightDesk</x:v>
      </x:c>
      <x:c r="F538" s="17" t="str">
        <x:v>Pro</x:v>
      </x:c>
      <x:c r="G538" s="21" t="n">
        <x:v>18675</x:v>
      </x:c>
      <x:c r="H538" s="21" t="n">
        <x:v>10523</x:v>
      </x:c>
      <x:c r="I538" s="17" t="str">
        <x:v>Followup</x:v>
      </x:c>
    </x:row>
    <x:row r="539" ht="23" customHeight="1">
      <x:c r="A539" s="17" t="str">
        <x:v>U00533</x:v>
      </x:c>
      <x:c r="B539" s="18" t="n">
        <x:v>46268</x:v>
      </x:c>
      <x:c r="C539" s="17" t="str">
        <x:v>W0016</x:v>
      </x:c>
      <x:c r="D539" s="17" t="str">
        <x:v>C001</x:v>
      </x:c>
      <x:c r="E539" s="17" t="str">
        <x:v>InsightDesk</x:v>
      </x:c>
      <x:c r="F539" s="17" t="str">
        <x:v>Pro</x:v>
      </x:c>
      <x:c r="G539" s="21" t="n">
        <x:v>11357</x:v>
      </x:c>
      <x:c r="H539" s="21" t="n">
        <x:v>12061</x:v>
      </x:c>
      <x:c r="I539" s="17" t="str">
        <x:v>Followup</x:v>
      </x:c>
    </x:row>
    <x:row r="540" ht="23" customHeight="1">
      <x:c r="A540" s="17" t="str">
        <x:v>U00534</x:v>
      </x:c>
      <x:c r="B540" s="18" t="n">
        <x:v>46268</x:v>
      </x:c>
      <x:c r="C540" s="17" t="str">
        <x:v>W0016</x:v>
      </x:c>
      <x:c r="D540" s="17" t="str">
        <x:v>C001</x:v>
      </x:c>
      <x:c r="E540" s="17" t="str">
        <x:v>InsightDesk</x:v>
      </x:c>
      <x:c r="F540" s="17" t="str">
        <x:v>Pro</x:v>
      </x:c>
      <x:c r="G540" s="21" t="n">
        <x:v>20684</x:v>
      </x:c>
      <x:c r="H540" s="21" t="n">
        <x:v>6268</x:v>
      </x:c>
      <x:c r="I540" s="17" t="str">
        <x:v>Followup</x:v>
      </x:c>
    </x:row>
    <x:row r="541" ht="23" customHeight="1">
      <x:c r="A541" s="17" t="str">
        <x:v>U00535</x:v>
      </x:c>
      <x:c r="B541" s="18" t="n">
        <x:v>46268</x:v>
      </x:c>
      <x:c r="C541" s="17" t="str">
        <x:v>W0016</x:v>
      </x:c>
      <x:c r="D541" s="17" t="str">
        <x:v>C001</x:v>
      </x:c>
      <x:c r="E541" s="17" t="str">
        <x:v>InsightDesk</x:v>
      </x:c>
      <x:c r="F541" s="17" t="str">
        <x:v>Pro</x:v>
      </x:c>
      <x:c r="G541" s="21" t="n">
        <x:v>16622</x:v>
      </x:c>
      <x:c r="H541" s="21" t="n">
        <x:v>13438</x:v>
      </x:c>
      <x:c r="I541" s="17" t="str">
        <x:v>Correction</x:v>
      </x:c>
    </x:row>
    <x:row r="542" ht="23" customHeight="1">
      <x:c r="A542" s="17" t="str">
        <x:v>U00536</x:v>
      </x:c>
      <x:c r="B542" s="18" t="n">
        <x:v>46269</x:v>
      </x:c>
      <x:c r="C542" s="17" t="str">
        <x:v>W0016</x:v>
      </x:c>
      <x:c r="D542" s="17" t="str">
        <x:v>C001</x:v>
      </x:c>
      <x:c r="E542" s="17" t="str">
        <x:v>InsightDesk</x:v>
      </x:c>
      <x:c r="F542" s="17" t="str">
        <x:v>Pro</x:v>
      </x:c>
      <x:c r="G542" s="21" t="n">
        <x:v>11430</x:v>
      </x:c>
      <x:c r="H542" s="21" t="n">
        <x:v>4170</x:v>
      </x:c>
      <x:c r="I542" s="17" t="str">
        <x:v>Followup</x:v>
      </x:c>
    </x:row>
    <x:row r="543" ht="23" customHeight="1">
      <x:c r="A543" s="17" t="str">
        <x:v>U00537</x:v>
      </x:c>
      <x:c r="B543" s="18" t="n">
        <x:v>46269</x:v>
      </x:c>
      <x:c r="C543" s="17" t="str">
        <x:v>W0016</x:v>
      </x:c>
      <x:c r="D543" s="17" t="str">
        <x:v>C001</x:v>
      </x:c>
      <x:c r="E543" s="17" t="str">
        <x:v>InsightDesk</x:v>
      </x:c>
      <x:c r="F543" s="17" t="str">
        <x:v>Pro</x:v>
      </x:c>
      <x:c r="G543" s="21" t="n">
        <x:v>21692</x:v>
      </x:c>
      <x:c r="H543" s="21" t="n">
        <x:v>5536</x:v>
      </x:c>
      <x:c r="I543" s="17" t="str">
        <x:v>Followup</x:v>
      </x:c>
    </x:row>
    <x:row r="544" ht="23" customHeight="1">
      <x:c r="A544" s="17" t="str">
        <x:v>U00538</x:v>
      </x:c>
      <x:c r="B544" s="18" t="n">
        <x:v>46269</x:v>
      </x:c>
      <x:c r="C544" s="17" t="str">
        <x:v>W0019</x:v>
      </x:c>
      <x:c r="D544" s="17" t="str">
        <x:v>C001</x:v>
      </x:c>
      <x:c r="E544" s="17" t="str">
        <x:v>CampaignChat</x:v>
      </x:c>
      <x:c r="F544" s="17" t="str">
        <x:v>Pro</x:v>
      </x:c>
      <x:c r="G544" s="21" t="n">
        <x:v>15656</x:v>
      </x:c>
      <x:c r="H544" s="21" t="n">
        <x:v>7878</x:v>
      </x:c>
      <x:c r="I544" s="17" t="str">
        <x:v>First attempt</x:v>
      </x:c>
    </x:row>
    <x:row r="545" ht="23" customHeight="1">
      <x:c r="A545" s="17" t="str">
        <x:v>U00539</x:v>
      </x:c>
      <x:c r="B545" s="18" t="n">
        <x:v>46269</x:v>
      </x:c>
      <x:c r="C545" s="17" t="str">
        <x:v>W0019</x:v>
      </x:c>
      <x:c r="D545" s="17" t="str">
        <x:v>C001</x:v>
      </x:c>
      <x:c r="E545" s="17" t="str">
        <x:v>CampaignChat</x:v>
      </x:c>
      <x:c r="F545" s="17" t="str">
        <x:v>Pro</x:v>
      </x:c>
      <x:c r="G545" s="21" t="n">
        <x:v>24281</x:v>
      </x:c>
      <x:c r="H545" s="21" t="n">
        <x:v>5747</x:v>
      </x:c>
      <x:c r="I545" s="17" t="str">
        <x:v>Followup</x:v>
      </x:c>
    </x:row>
    <x:row r="546" ht="23" customHeight="1">
      <x:c r="A546" s="17" t="str">
        <x:v>U00540</x:v>
      </x:c>
      <x:c r="B546" s="18" t="n">
        <x:v>46273</x:v>
      </x:c>
      <x:c r="C546" s="17" t="str">
        <x:v>W0019</x:v>
      </x:c>
      <x:c r="D546" s="17" t="str">
        <x:v>C001</x:v>
      </x:c>
      <x:c r="E546" s="17" t="str">
        <x:v>CampaignChat</x:v>
      </x:c>
      <x:c r="F546" s="17" t="str">
        <x:v>Pro</x:v>
      </x:c>
      <x:c r="G546" s="21" t="n">
        <x:v>15945</x:v>
      </x:c>
      <x:c r="H546" s="21" t="n">
        <x:v>7669</x:v>
      </x:c>
      <x:c r="I546" s="17" t="str">
        <x:v>Followup</x:v>
      </x:c>
    </x:row>
    <x:row r="547" ht="23" customHeight="1">
      <x:c r="A547" s="17" t="str">
        <x:v>U00541</x:v>
      </x:c>
      <x:c r="B547" s="18" t="n">
        <x:v>46273</x:v>
      </x:c>
      <x:c r="C547" s="17" t="str">
        <x:v>W0019</x:v>
      </x:c>
      <x:c r="D547" s="17" t="str">
        <x:v>C001</x:v>
      </x:c>
      <x:c r="E547" s="17" t="str">
        <x:v>CampaignChat</x:v>
      </x:c>
      <x:c r="F547" s="17" t="str">
        <x:v>Pro</x:v>
      </x:c>
      <x:c r="G547" s="21" t="n">
        <x:v>17687</x:v>
      </x:c>
      <x:c r="H547" s="21" t="n">
        <x:v>4388</x:v>
      </x:c>
      <x:c r="I547" s="17" t="str">
        <x:v>Followup</x:v>
      </x:c>
    </x:row>
    <x:row r="548" ht="23" customHeight="1">
      <x:c r="A548" s="17" t="str">
        <x:v>U00542</x:v>
      </x:c>
      <x:c r="B548" s="18" t="n">
        <x:v>46274</x:v>
      </x:c>
      <x:c r="C548" s="17" t="str">
        <x:v>W0019</x:v>
      </x:c>
      <x:c r="D548" s="17" t="str">
        <x:v>C001</x:v>
      </x:c>
      <x:c r="E548" s="17" t="str">
        <x:v>CampaignChat</x:v>
      </x:c>
      <x:c r="F548" s="17" t="str">
        <x:v>Pro</x:v>
      </x:c>
      <x:c r="G548" s="21" t="n">
        <x:v>15645</x:v>
      </x:c>
      <x:c r="H548" s="21" t="n">
        <x:v>2341</x:v>
      </x:c>
      <x:c r="I548" s="17" t="str">
        <x:v>Followup</x:v>
      </x:c>
    </x:row>
    <x:row r="549" ht="23" customHeight="1">
      <x:c r="A549" s="17" t="str">
        <x:v>U00543</x:v>
      </x:c>
      <x:c r="B549" s="18" t="n">
        <x:v>46274</x:v>
      </x:c>
      <x:c r="C549" s="17" t="str">
        <x:v>W0019</x:v>
      </x:c>
      <x:c r="D549" s="17" t="str">
        <x:v>C001</x:v>
      </x:c>
      <x:c r="E549" s="17" t="str">
        <x:v>CampaignChat</x:v>
      </x:c>
      <x:c r="F549" s="17" t="str">
        <x:v>Pro</x:v>
      </x:c>
      <x:c r="G549" s="21" t="n">
        <x:v>13566</x:v>
      </x:c>
      <x:c r="H549" s="21" t="n">
        <x:v>6839</x:v>
      </x:c>
      <x:c r="I549" s="17" t="str">
        <x:v>Followup</x:v>
      </x:c>
    </x:row>
    <x:row r="550" ht="23" customHeight="1">
      <x:c r="A550" s="17" t="str">
        <x:v>U00544</x:v>
      </x:c>
      <x:c r="B550" s="18" t="n">
        <x:v>46275</x:v>
      </x:c>
      <x:c r="C550" s="17" t="str">
        <x:v>W0019</x:v>
      </x:c>
      <x:c r="D550" s="17" t="str">
        <x:v>C001</x:v>
      </x:c>
      <x:c r="E550" s="17" t="str">
        <x:v>CampaignChat</x:v>
      </x:c>
      <x:c r="F550" s="17" t="str">
        <x:v>Pro</x:v>
      </x:c>
      <x:c r="G550" s="21" t="n">
        <x:v>25295</x:v>
      </x:c>
      <x:c r="H550" s="21" t="n">
        <x:v>5110</x:v>
      </x:c>
      <x:c r="I550" s="17" t="str">
        <x:v>Correction</x:v>
      </x:c>
    </x:row>
    <x:row r="551" ht="23" customHeight="1">
      <x:c r="A551" s="17" t="str">
        <x:v>U00545</x:v>
      </x:c>
      <x:c r="B551" s="18" t="n">
        <x:v>46275</x:v>
      </x:c>
      <x:c r="C551" s="17" t="str">
        <x:v>W0019</x:v>
      </x:c>
      <x:c r="D551" s="17" t="str">
        <x:v>C001</x:v>
      </x:c>
      <x:c r="E551" s="17" t="str">
        <x:v>CampaignChat</x:v>
      </x:c>
      <x:c r="F551" s="17" t="str">
        <x:v>Pro</x:v>
      </x:c>
      <x:c r="G551" s="21" t="n">
        <x:v>18822</x:v>
      </x:c>
      <x:c r="H551" s="21" t="n">
        <x:v>4765</x:v>
      </x:c>
      <x:c r="I551" s="17" t="str">
        <x:v>Followup</x:v>
      </x:c>
    </x:row>
    <x:row r="552" ht="23" customHeight="1">
      <x:c r="A552" s="17" t="str">
        <x:v>U00546</x:v>
      </x:c>
      <x:c r="B552" s="18" t="n">
        <x:v>46286</x:v>
      </x:c>
      <x:c r="C552" s="17" t="str">
        <x:v>W0023</x:v>
      </x:c>
      <x:c r="D552" s="17" t="str">
        <x:v>C001</x:v>
      </x:c>
      <x:c r="E552" s="17" t="str">
        <x:v>InsightDesk</x:v>
      </x:c>
      <x:c r="F552" s="17" t="str">
        <x:v>Pro</x:v>
      </x:c>
      <x:c r="G552" s="21" t="n">
        <x:v>27266</x:v>
      </x:c>
      <x:c r="H552" s="21" t="n">
        <x:v>4809</x:v>
      </x:c>
      <x:c r="I552" s="17" t="str">
        <x:v>First attempt</x:v>
      </x:c>
    </x:row>
    <x:row r="553" ht="23" customHeight="1">
      <x:c r="A553" s="17" t="str">
        <x:v>U00547</x:v>
      </x:c>
      <x:c r="B553" s="18" t="n">
        <x:v>46286</x:v>
      </x:c>
      <x:c r="C553" s="17" t="str">
        <x:v>W0023</x:v>
      </x:c>
      <x:c r="D553" s="17" t="str">
        <x:v>C001</x:v>
      </x:c>
      <x:c r="E553" s="17" t="str">
        <x:v>InsightDesk</x:v>
      </x:c>
      <x:c r="F553" s="17" t="str">
        <x:v>Pro</x:v>
      </x:c>
      <x:c r="G553" s="21" t="n">
        <x:v>23511</x:v>
      </x:c>
      <x:c r="H553" s="21" t="n">
        <x:v>10982</x:v>
      </x:c>
      <x:c r="I553" s="17" t="str">
        <x:v>Followup</x:v>
      </x:c>
    </x:row>
    <x:row r="554" ht="23" customHeight="1">
      <x:c r="A554" s="17" t="str">
        <x:v>U00548</x:v>
      </x:c>
      <x:c r="B554" s="18" t="n">
        <x:v>46287</x:v>
      </x:c>
      <x:c r="C554" s="17" t="str">
        <x:v>W0023</x:v>
      </x:c>
      <x:c r="D554" s="17" t="str">
        <x:v>C001</x:v>
      </x:c>
      <x:c r="E554" s="17" t="str">
        <x:v>InsightDesk</x:v>
      </x:c>
      <x:c r="F554" s="17" t="str">
        <x:v>Pro</x:v>
      </x:c>
      <x:c r="G554" s="21" t="n">
        <x:v>28195</x:v>
      </x:c>
      <x:c r="H554" s="21" t="n">
        <x:v>8005</x:v>
      </x:c>
      <x:c r="I554" s="17" t="str">
        <x:v>Followup</x:v>
      </x:c>
    </x:row>
    <x:row r="555" ht="23" customHeight="1">
      <x:c r="A555" s="17" t="str">
        <x:v>U00549</x:v>
      </x:c>
      <x:c r="B555" s="18" t="n">
        <x:v>46287</x:v>
      </x:c>
      <x:c r="C555" s="17" t="str">
        <x:v>W0023</x:v>
      </x:c>
      <x:c r="D555" s="17" t="str">
        <x:v>C001</x:v>
      </x:c>
      <x:c r="E555" s="17" t="str">
        <x:v>InsightDesk</x:v>
      </x:c>
      <x:c r="F555" s="17" t="str">
        <x:v>Pro</x:v>
      </x:c>
      <x:c r="G555" s="21" t="n">
        <x:v>22597</x:v>
      </x:c>
      <x:c r="H555" s="21" t="n">
        <x:v>8941</x:v>
      </x:c>
      <x:c r="I555" s="17" t="str">
        <x:v>Followup</x:v>
      </x:c>
    </x:row>
    <x:row r="556" ht="23" customHeight="1">
      <x:c r="A556" s="17" t="str">
        <x:v>U00550</x:v>
      </x:c>
      <x:c r="B556" s="18" t="n">
        <x:v>46288</x:v>
      </x:c>
      <x:c r="C556" s="17" t="str">
        <x:v>W0023</x:v>
      </x:c>
      <x:c r="D556" s="17" t="str">
        <x:v>C001</x:v>
      </x:c>
      <x:c r="E556" s="17" t="str">
        <x:v>InsightDesk</x:v>
      </x:c>
      <x:c r="F556" s="17" t="str">
        <x:v>Pro</x:v>
      </x:c>
      <x:c r="G556" s="21" t="n">
        <x:v>19807</x:v>
      </x:c>
      <x:c r="H556" s="21" t="n">
        <x:v>9780</x:v>
      </x:c>
      <x:c r="I556" s="17" t="str">
        <x:v>Correction</x:v>
      </x:c>
    </x:row>
    <x:row r="557" ht="23" customHeight="1">
      <x:c r="A557" s="17" t="str">
        <x:v>U00551</x:v>
      </x:c>
      <x:c r="B557" s="18" t="n">
        <x:v>46288</x:v>
      </x:c>
      <x:c r="C557" s="17" t="str">
        <x:v>W0023</x:v>
      </x:c>
      <x:c r="D557" s="17" t="str">
        <x:v>C001</x:v>
      </x:c>
      <x:c r="E557" s="17" t="str">
        <x:v>InsightDesk</x:v>
      </x:c>
      <x:c r="F557" s="17" t="str">
        <x:v>Pro</x:v>
      </x:c>
      <x:c r="G557" s="21" t="n">
        <x:v>20117</x:v>
      </x:c>
      <x:c r="H557" s="21" t="n">
        <x:v>9110</x:v>
      </x:c>
      <x:c r="I557" s="17" t="str">
        <x:v>Followup</x:v>
      </x:c>
    </x:row>
    <x:row r="558" ht="23" customHeight="1">
      <x:c r="A558" s="17" t="str">
        <x:v>U00552</x:v>
      </x:c>
      <x:c r="B558" s="18" t="n">
        <x:v>46289</x:v>
      </x:c>
      <x:c r="C558" s="17" t="str">
        <x:v>W0023</x:v>
      </x:c>
      <x:c r="D558" s="17" t="str">
        <x:v>C001</x:v>
      </x:c>
      <x:c r="E558" s="17" t="str">
        <x:v>InsightDesk</x:v>
      </x:c>
      <x:c r="F558" s="17" t="str">
        <x:v>Pro</x:v>
      </x:c>
      <x:c r="G558" s="21" t="n">
        <x:v>18643</x:v>
      </x:c>
      <x:c r="H558" s="21" t="n">
        <x:v>5099</x:v>
      </x:c>
      <x:c r="I558" s="17" t="str">
        <x:v>Followup</x:v>
      </x:c>
    </x:row>
    <x:row r="559" ht="23" customHeight="1">
      <x:c r="A559" s="17" t="str">
        <x:v>U00553</x:v>
      </x:c>
      <x:c r="B559" s="18" t="n">
        <x:v>46289</x:v>
      </x:c>
      <x:c r="C559" s="17" t="str">
        <x:v>W0023</x:v>
      </x:c>
      <x:c r="D559" s="17" t="str">
        <x:v>C001</x:v>
      </x:c>
      <x:c r="E559" s="17" t="str">
        <x:v>InsightDesk</x:v>
      </x:c>
      <x:c r="F559" s="17" t="str">
        <x:v>Pro</x:v>
      </x:c>
      <x:c r="G559" s="21" t="n">
        <x:v>14326</x:v>
      </x:c>
      <x:c r="H559" s="21" t="n">
        <x:v>3018</x:v>
      </x:c>
      <x:c r="I559" s="17" t="str">
        <x:v>Followup</x:v>
      </x:c>
    </x:row>
    <x:row r="560" ht="23" customHeight="1">
      <x:c r="A560" s="17" t="str">
        <x:v>U00554</x:v>
      </x:c>
      <x:c r="B560" s="18" t="n">
        <x:v>46281</x:v>
      </x:c>
      <x:c r="C560" s="17" t="str">
        <x:v>W0038</x:v>
      </x:c>
      <x:c r="D560" s="17" t="str">
        <x:v>C001</x:v>
      </x:c>
      <x:c r="E560" s="17" t="str">
        <x:v>DataFlow</x:v>
      </x:c>
      <x:c r="F560" s="17" t="str">
        <x:v>Pro</x:v>
      </x:c>
      <x:c r="G560" s="21" t="n">
        <x:v>13307</x:v>
      </x:c>
      <x:c r="H560" s="21" t="n">
        <x:v>13018</x:v>
      </x:c>
      <x:c r="I560" s="17" t="str">
        <x:v>First attempt</x:v>
      </x:c>
    </x:row>
    <x:row r="561" ht="23" customHeight="1">
      <x:c r="A561" s="17" t="str">
        <x:v>U00555</x:v>
      </x:c>
      <x:c r="B561" s="18" t="n">
        <x:v>46281</x:v>
      </x:c>
      <x:c r="C561" s="17" t="str">
        <x:v>W0038</x:v>
      </x:c>
      <x:c r="D561" s="17" t="str">
        <x:v>C001</x:v>
      </x:c>
      <x:c r="E561" s="17" t="str">
        <x:v>DataFlow</x:v>
      </x:c>
      <x:c r="F561" s="17" t="str">
        <x:v>Pro</x:v>
      </x:c>
      <x:c r="G561" s="21" t="n">
        <x:v>8126</x:v>
      </x:c>
      <x:c r="H561" s="21" t="n">
        <x:v>8100</x:v>
      </x:c>
      <x:c r="I561" s="17" t="str">
        <x:v>Followup</x:v>
      </x:c>
    </x:row>
    <x:row r="562" ht="23" customHeight="1">
      <x:c r="A562" s="17" t="str">
        <x:v>U00556</x:v>
      </x:c>
      <x:c r="B562" s="18" t="n">
        <x:v>46281</x:v>
      </x:c>
      <x:c r="C562" s="17" t="str">
        <x:v>W0038</x:v>
      </x:c>
      <x:c r="D562" s="17" t="str">
        <x:v>C001</x:v>
      </x:c>
      <x:c r="E562" s="17" t="str">
        <x:v>DataFlow</x:v>
      </x:c>
      <x:c r="F562" s="17" t="str">
        <x:v>Pro</x:v>
      </x:c>
      <x:c r="G562" s="21" t="n">
        <x:v>5134</x:v>
      </x:c>
      <x:c r="H562" s="21" t="n">
        <x:v>5762</x:v>
      </x:c>
      <x:c r="I562" s="17" t="str">
        <x:v>Followup</x:v>
      </x:c>
    </x:row>
    <x:row r="563" ht="23" customHeight="1">
      <x:c r="A563" s="17" t="str">
        <x:v>U00557</x:v>
      </x:c>
      <x:c r="B563" s="18" t="n">
        <x:v>46282</x:v>
      </x:c>
      <x:c r="C563" s="17" t="str">
        <x:v>W0038</x:v>
      </x:c>
      <x:c r="D563" s="17" t="str">
        <x:v>C001</x:v>
      </x:c>
      <x:c r="E563" s="17" t="str">
        <x:v>DataFlow</x:v>
      </x:c>
      <x:c r="F563" s="17" t="str">
        <x:v>Pro</x:v>
      </x:c>
      <x:c r="G563" s="21" t="n">
        <x:v>9888</x:v>
      </x:c>
      <x:c r="H563" s="21" t="n">
        <x:v>13771</x:v>
      </x:c>
      <x:c r="I563" s="17" t="str">
        <x:v>Followup</x:v>
      </x:c>
    </x:row>
    <x:row r="564" ht="23" customHeight="1">
      <x:c r="A564" s="17" t="str">
        <x:v>U00558</x:v>
      </x:c>
      <x:c r="B564" s="18" t="n">
        <x:v>46282</x:v>
      </x:c>
      <x:c r="C564" s="17" t="str">
        <x:v>W0038</x:v>
      </x:c>
      <x:c r="D564" s="17" t="str">
        <x:v>C001</x:v>
      </x:c>
      <x:c r="E564" s="17" t="str">
        <x:v>DataFlow</x:v>
      </x:c>
      <x:c r="F564" s="17" t="str">
        <x:v>Pro</x:v>
      </x:c>
      <x:c r="G564" s="21" t="n">
        <x:v>7152</x:v>
      </x:c>
      <x:c r="H564" s="21" t="n">
        <x:v>6140</x:v>
      </x:c>
      <x:c r="I564" s="17" t="str">
        <x:v>Followup</x:v>
      </x:c>
    </x:row>
    <x:row r="565" ht="23" customHeight="1">
      <x:c r="A565" s="17" t="str">
        <x:v>U00559</x:v>
      </x:c>
      <x:c r="B565" s="18" t="n">
        <x:v>46283</x:v>
      </x:c>
      <x:c r="C565" s="17" t="str">
        <x:v>W0038</x:v>
      </x:c>
      <x:c r="D565" s="17" t="str">
        <x:v>C001</x:v>
      </x:c>
      <x:c r="E565" s="17" t="str">
        <x:v>DataFlow</x:v>
      </x:c>
      <x:c r="F565" s="17" t="str">
        <x:v>Pro</x:v>
      </x:c>
      <x:c r="G565" s="21" t="n">
        <x:v>6364</x:v>
      </x:c>
      <x:c r="H565" s="21" t="n">
        <x:v>10981</x:v>
      </x:c>
      <x:c r="I565" s="17" t="str">
        <x:v>Followup</x:v>
      </x:c>
    </x:row>
    <x:row r="566" ht="23" customHeight="1">
      <x:c r="A566" s="17" t="str">
        <x:v>U00560</x:v>
      </x:c>
      <x:c r="B566" s="18" t="n">
        <x:v>46283</x:v>
      </x:c>
      <x:c r="C566" s="17" t="str">
        <x:v>W0038</x:v>
      </x:c>
      <x:c r="D566" s="17" t="str">
        <x:v>C001</x:v>
      </x:c>
      <x:c r="E566" s="17" t="str">
        <x:v>DataFlow</x:v>
      </x:c>
      <x:c r="F566" s="17" t="str">
        <x:v>Pro</x:v>
      </x:c>
      <x:c r="G566" s="21" t="n">
        <x:v>14705</x:v>
      </x:c>
      <x:c r="H566" s="21" t="n">
        <x:v>12211</x:v>
      </x:c>
      <x:c r="I566" s="17" t="str">
        <x:v>Followup</x:v>
      </x:c>
    </x:row>
    <x:row r="567" ht="23" customHeight="1">
      <x:c r="A567" s="17" t="str">
        <x:v>U00561</x:v>
      </x:c>
      <x:c r="B567" s="18" t="n">
        <x:v>46283</x:v>
      </x:c>
      <x:c r="C567" s="17" t="str">
        <x:v>W0038</x:v>
      </x:c>
      <x:c r="D567" s="17" t="str">
        <x:v>C001</x:v>
      </x:c>
      <x:c r="E567" s="17" t="str">
        <x:v>DataFlow</x:v>
      </x:c>
      <x:c r="F567" s="17" t="str">
        <x:v>Pro</x:v>
      </x:c>
      <x:c r="G567" s="21" t="n">
        <x:v>11904</x:v>
      </x:c>
      <x:c r="H567" s="21" t="n">
        <x:v>13122</x:v>
      </x:c>
      <x:c r="I567" s="17" t="str">
        <x:v>Followup</x:v>
      </x:c>
    </x:row>
    <x:row r="568" ht="23" customHeight="1">
      <x:c r="A568" s="17" t="str">
        <x:v>U00562</x:v>
      </x:c>
      <x:c r="B568" s="18" t="n">
        <x:v>46286</x:v>
      </x:c>
      <x:c r="C568" s="17" t="str">
        <x:v>W0038</x:v>
      </x:c>
      <x:c r="D568" s="17" t="str">
        <x:v>C001</x:v>
      </x:c>
      <x:c r="E568" s="17" t="str">
        <x:v>DataFlow</x:v>
      </x:c>
      <x:c r="F568" s="17" t="str">
        <x:v>Pro</x:v>
      </x:c>
      <x:c r="G568" s="21" t="n">
        <x:v>14209</x:v>
      </x:c>
      <x:c r="H568" s="21" t="n">
        <x:v>9964</x:v>
      </x:c>
      <x:c r="I568" s="17" t="str">
        <x:v>Followup</x:v>
      </x:c>
    </x:row>
    <x:row r="569" ht="23" customHeight="1">
      <x:c r="A569" s="17" t="str">
        <x:v>U00563</x:v>
      </x:c>
      <x:c r="B569" s="18" t="n">
        <x:v>46286</x:v>
      </x:c>
      <x:c r="C569" s="17" t="str">
        <x:v>W0038</x:v>
      </x:c>
      <x:c r="D569" s="17" t="str">
        <x:v>C001</x:v>
      </x:c>
      <x:c r="E569" s="17" t="str">
        <x:v>DataFlow</x:v>
      </x:c>
      <x:c r="F569" s="17" t="str">
        <x:v>Pro</x:v>
      </x:c>
      <x:c r="G569" s="21" t="n">
        <x:v>13706</x:v>
      </x:c>
      <x:c r="H569" s="21" t="n">
        <x:v>13873</x:v>
      </x:c>
      <x:c r="I569" s="17" t="str">
        <x:v>Correction</x:v>
      </x:c>
    </x:row>
    <x:row r="570" ht="23" customHeight="1">
      <x:c r="A570" s="17" t="str">
        <x:v>U00564</x:v>
      </x:c>
      <x:c r="B570" s="18" t="n">
        <x:v>46289</x:v>
      </x:c>
      <x:c r="C570" s="17" t="str">
        <x:v>W0044</x:v>
      </x:c>
      <x:c r="D570" s="17" t="str">
        <x:v>C001</x:v>
      </x:c>
      <x:c r="E570" s="17" t="str">
        <x:v>CampaignChat</x:v>
      </x:c>
      <x:c r="F570" s="17" t="str">
        <x:v>Pro</x:v>
      </x:c>
      <x:c r="G570" s="21" t="n">
        <x:v>16467</x:v>
      </x:c>
      <x:c r="H570" s="21" t="n">
        <x:v>11728</x:v>
      </x:c>
      <x:c r="I570" s="17" t="str">
        <x:v>First attempt</x:v>
      </x:c>
    </x:row>
    <x:row r="571" ht="23" customHeight="1">
      <x:c r="A571" s="17" t="str">
        <x:v>U00565</x:v>
      </x:c>
      <x:c r="B571" s="18" t="n">
        <x:v>46289</x:v>
      </x:c>
      <x:c r="C571" s="17" t="str">
        <x:v>W0044</x:v>
      </x:c>
      <x:c r="D571" s="17" t="str">
        <x:v>C001</x:v>
      </x:c>
      <x:c r="E571" s="17" t="str">
        <x:v>CampaignChat</x:v>
      </x:c>
      <x:c r="F571" s="17" t="str">
        <x:v>Pro</x:v>
      </x:c>
      <x:c r="G571" s="21" t="n">
        <x:v>17581</x:v>
      </x:c>
      <x:c r="H571" s="21" t="n">
        <x:v>10382</x:v>
      </x:c>
      <x:c r="I571" s="17" t="str">
        <x:v>Followup</x:v>
      </x:c>
    </x:row>
    <x:row r="572" ht="23" customHeight="1">
      <x:c r="A572" s="17" t="str">
        <x:v>U00566</x:v>
      </x:c>
      <x:c r="B572" s="18" t="n">
        <x:v>46289</x:v>
      </x:c>
      <x:c r="C572" s="17" t="str">
        <x:v>W0044</x:v>
      </x:c>
      <x:c r="D572" s="17" t="str">
        <x:v>C001</x:v>
      </x:c>
      <x:c r="E572" s="17" t="str">
        <x:v>CampaignChat</x:v>
      </x:c>
      <x:c r="F572" s="17" t="str">
        <x:v>Pro</x:v>
      </x:c>
      <x:c r="G572" s="21" t="n">
        <x:v>14111</x:v>
      </x:c>
      <x:c r="H572" s="21" t="n">
        <x:v>3578</x:v>
      </x:c>
      <x:c r="I572" s="17" t="str">
        <x:v>Followup</x:v>
      </x:c>
    </x:row>
    <x:row r="573" ht="23" customHeight="1">
      <x:c r="A573" s="17" t="str">
        <x:v>U00567</x:v>
      </x:c>
      <x:c r="B573" s="18" t="n">
        <x:v>46290</x:v>
      </x:c>
      <x:c r="C573" s="17" t="str">
        <x:v>W0044</x:v>
      </x:c>
      <x:c r="D573" s="17" t="str">
        <x:v>C001</x:v>
      </x:c>
      <x:c r="E573" s="17" t="str">
        <x:v>CampaignChat</x:v>
      </x:c>
      <x:c r="F573" s="17" t="str">
        <x:v>Pro</x:v>
      </x:c>
      <x:c r="G573" s="21" t="n">
        <x:v>31020</x:v>
      </x:c>
      <x:c r="H573" s="21" t="n">
        <x:v>9219</x:v>
      </x:c>
      <x:c r="I573" s="17" t="str">
        <x:v>Followup</x:v>
      </x:c>
    </x:row>
    <x:row r="574" ht="23" customHeight="1">
      <x:c r="A574" s="17" t="str">
        <x:v>U00568</x:v>
      </x:c>
      <x:c r="B574" s="18" t="n">
        <x:v>46290</x:v>
      </x:c>
      <x:c r="C574" s="17" t="str">
        <x:v>W0044</x:v>
      </x:c>
      <x:c r="D574" s="17" t="str">
        <x:v>C001</x:v>
      </x:c>
      <x:c r="E574" s="17" t="str">
        <x:v>CampaignChat</x:v>
      </x:c>
      <x:c r="F574" s="17" t="str">
        <x:v>Pro</x:v>
      </x:c>
      <x:c r="G574" s="21" t="n">
        <x:v>14547</x:v>
      </x:c>
      <x:c r="H574" s="21" t="n">
        <x:v>6158</x:v>
      </x:c>
      <x:c r="I574" s="17" t="str">
        <x:v>Followup</x:v>
      </x:c>
    </x:row>
    <x:row r="575" ht="23" customHeight="1">
      <x:c r="A575" s="17" t="str">
        <x:v>U00569</x:v>
      </x:c>
      <x:c r="B575" s="18" t="n">
        <x:v>46290</x:v>
      </x:c>
      <x:c r="C575" s="17" t="str">
        <x:v>W0044</x:v>
      </x:c>
      <x:c r="D575" s="17" t="str">
        <x:v>C001</x:v>
      </x:c>
      <x:c r="E575" s="17" t="str">
        <x:v>CampaignChat</x:v>
      </x:c>
      <x:c r="F575" s="17" t="str">
        <x:v>Pro</x:v>
      </x:c>
      <x:c r="G575" s="21" t="n">
        <x:v>30068</x:v>
      </x:c>
      <x:c r="H575" s="21" t="n">
        <x:v>7263</x:v>
      </x:c>
      <x:c r="I575" s="17" t="str">
        <x:v>Followup</x:v>
      </x:c>
    </x:row>
    <x:row r="576" ht="23" customHeight="1">
      <x:c r="A576" s="17" t="str">
        <x:v>U00570</x:v>
      </x:c>
      <x:c r="B576" s="18" t="n">
        <x:v>46293</x:v>
      </x:c>
      <x:c r="C576" s="17" t="str">
        <x:v>W0044</x:v>
      </x:c>
      <x:c r="D576" s="17" t="str">
        <x:v>C001</x:v>
      </x:c>
      <x:c r="E576" s="17" t="str">
        <x:v>CampaignChat</x:v>
      </x:c>
      <x:c r="F576" s="17" t="str">
        <x:v>Pro</x:v>
      </x:c>
      <x:c r="G576" s="21" t="n">
        <x:v>21118</x:v>
      </x:c>
      <x:c r="H576" s="21" t="n">
        <x:v>7527</x:v>
      </x:c>
      <x:c r="I576" s="17" t="str">
        <x:v>Followup</x:v>
      </x:c>
    </x:row>
    <x:row r="577" ht="23" customHeight="1">
      <x:c r="A577" s="17" t="str">
        <x:v>U00571</x:v>
      </x:c>
      <x:c r="B577" s="18" t="n">
        <x:v>46293</x:v>
      </x:c>
      <x:c r="C577" s="17" t="str">
        <x:v>W0044</x:v>
      </x:c>
      <x:c r="D577" s="17" t="str">
        <x:v>C001</x:v>
      </x:c>
      <x:c r="E577" s="17" t="str">
        <x:v>CampaignChat</x:v>
      </x:c>
      <x:c r="F577" s="17" t="str">
        <x:v>Pro</x:v>
      </x:c>
      <x:c r="G577" s="21" t="n">
        <x:v>32054</x:v>
      </x:c>
      <x:c r="H577" s="21" t="n">
        <x:v>7941</x:v>
      </x:c>
      <x:c r="I577" s="17" t="str">
        <x:v>Followup</x:v>
      </x:c>
    </x:row>
    <x:row r="578" ht="23" customHeight="1">
      <x:c r="A578" s="17" t="str">
        <x:v>U00572</x:v>
      </x:c>
      <x:c r="B578" s="18" t="n">
        <x:v>46293</x:v>
      </x:c>
      <x:c r="C578" s="17" t="str">
        <x:v>W0044</x:v>
      </x:c>
      <x:c r="D578" s="17" t="str">
        <x:v>C001</x:v>
      </x:c>
      <x:c r="E578" s="17" t="str">
        <x:v>CampaignChat</x:v>
      </x:c>
      <x:c r="F578" s="17" t="str">
        <x:v>Pro</x:v>
      </x:c>
      <x:c r="G578" s="21" t="n">
        <x:v>21436</x:v>
      </x:c>
      <x:c r="H578" s="21" t="n">
        <x:v>5880</x:v>
      </x:c>
      <x:c r="I578" s="17" t="str">
        <x:v>Followup</x:v>
      </x:c>
    </x:row>
    <x:row r="579" ht="23" customHeight="1">
      <x:c r="A579" s="17" t="str">
        <x:v>U00573</x:v>
      </x:c>
      <x:c r="B579" s="18" t="n">
        <x:v>46294</x:v>
      </x:c>
      <x:c r="C579" s="17" t="str">
        <x:v>W0044</x:v>
      </x:c>
      <x:c r="D579" s="17" t="str">
        <x:v>C001</x:v>
      </x:c>
      <x:c r="E579" s="17" t="str">
        <x:v>CampaignChat</x:v>
      </x:c>
      <x:c r="F579" s="17" t="str">
        <x:v>Pro</x:v>
      </x:c>
      <x:c r="G579" s="21" t="n">
        <x:v>23832</x:v>
      </x:c>
      <x:c r="H579" s="21" t="n">
        <x:v>4207</x:v>
      </x:c>
      <x:c r="I579" s="17" t="str">
        <x:v>Correction</x:v>
      </x:c>
    </x:row>
    <x:row r="580" ht="23" customHeight="1">
      <x:c r="A580" s="17" t="str">
        <x:v>U00574</x:v>
      </x:c>
      <x:c r="B580" s="18" t="n">
        <x:v>46294</x:v>
      </x:c>
      <x:c r="C580" s="17" t="str">
        <x:v>W0044</x:v>
      </x:c>
      <x:c r="D580" s="17" t="str">
        <x:v>C001</x:v>
      </x:c>
      <x:c r="E580" s="17" t="str">
        <x:v>CampaignChat</x:v>
      </x:c>
      <x:c r="F580" s="17" t="str">
        <x:v>Pro</x:v>
      </x:c>
      <x:c r="G580" s="21" t="n">
        <x:v>13161</x:v>
      </x:c>
      <x:c r="H580" s="21" t="n">
        <x:v>5273</x:v>
      </x:c>
      <x:c r="I580" s="17" t="str">
        <x:v>Followup</x:v>
      </x:c>
    </x:row>
    <x:row r="581" ht="23" customHeight="1">
      <x:c r="A581" s="17" t="str">
        <x:v>U00575</x:v>
      </x:c>
      <x:c r="B581" s="18" t="n">
        <x:v>46266</x:v>
      </x:c>
      <x:c r="C581" s="17" t="str">
        <x:v>W0052</x:v>
      </x:c>
      <x:c r="D581" s="17" t="str">
        <x:v>C001</x:v>
      </x:c>
      <x:c r="E581" s="17" t="str">
        <x:v>CampaignChat</x:v>
      </x:c>
      <x:c r="F581" s="17" t="str">
        <x:v>Pro</x:v>
      </x:c>
      <x:c r="G581" s="21" t="n">
        <x:v>7661</x:v>
      </x:c>
      <x:c r="H581" s="21" t="n">
        <x:v>7066</x:v>
      </x:c>
      <x:c r="I581" s="17" t="str">
        <x:v>First attempt</x:v>
      </x:c>
    </x:row>
    <x:row r="582" ht="23" customHeight="1">
      <x:c r="A582" s="17" t="str">
        <x:v>U00576</x:v>
      </x:c>
      <x:c r="B582" s="18" t="n">
        <x:v>46266</x:v>
      </x:c>
      <x:c r="C582" s="17" t="str">
        <x:v>W0052</x:v>
      </x:c>
      <x:c r="D582" s="17" t="str">
        <x:v>C001</x:v>
      </x:c>
      <x:c r="E582" s="17" t="str">
        <x:v>CampaignChat</x:v>
      </x:c>
      <x:c r="F582" s="17" t="str">
        <x:v>Pro</x:v>
      </x:c>
      <x:c r="G582" s="21" t="n">
        <x:v>10604</x:v>
      </x:c>
      <x:c r="H582" s="21" t="n">
        <x:v>10713</x:v>
      </x:c>
      <x:c r="I582" s="17" t="str">
        <x:v>Followup</x:v>
      </x:c>
    </x:row>
    <x:row r="583" ht="23" customHeight="1">
      <x:c r="A583" s="17" t="str">
        <x:v>U00577</x:v>
      </x:c>
      <x:c r="B583" s="18" t="n">
        <x:v>46267</x:v>
      </x:c>
      <x:c r="C583" s="17" t="str">
        <x:v>W0052</x:v>
      </x:c>
      <x:c r="D583" s="17" t="str">
        <x:v>C001</x:v>
      </x:c>
      <x:c r="E583" s="17" t="str">
        <x:v>CampaignChat</x:v>
      </x:c>
      <x:c r="F583" s="17" t="str">
        <x:v>Pro</x:v>
      </x:c>
      <x:c r="G583" s="21" t="n">
        <x:v>11385</x:v>
      </x:c>
      <x:c r="H583" s="21" t="n">
        <x:v>11417</x:v>
      </x:c>
      <x:c r="I583" s="17" t="str">
        <x:v>Followup</x:v>
      </x:c>
    </x:row>
    <x:row r="584" ht="23" customHeight="1">
      <x:c r="A584" s="17" t="str">
        <x:v>U00578</x:v>
      </x:c>
      <x:c r="B584" s="18" t="n">
        <x:v>46267</x:v>
      </x:c>
      <x:c r="C584" s="17" t="str">
        <x:v>W0052</x:v>
      </x:c>
      <x:c r="D584" s="17" t="str">
        <x:v>C001</x:v>
      </x:c>
      <x:c r="E584" s="17" t="str">
        <x:v>CampaignChat</x:v>
      </x:c>
      <x:c r="F584" s="17" t="str">
        <x:v>Pro</x:v>
      </x:c>
      <x:c r="G584" s="21" t="n">
        <x:v>14365</x:v>
      </x:c>
      <x:c r="H584" s="21" t="n">
        <x:v>10673</x:v>
      </x:c>
      <x:c r="I584" s="17" t="str">
        <x:v>Followup</x:v>
      </x:c>
    </x:row>
    <x:row r="585" ht="23" customHeight="1">
      <x:c r="A585" s="17" t="str">
        <x:v>U00579</x:v>
      </x:c>
      <x:c r="B585" s="18" t="n">
        <x:v>46268</x:v>
      </x:c>
      <x:c r="C585" s="17" t="str">
        <x:v>W0052</x:v>
      </x:c>
      <x:c r="D585" s="17" t="str">
        <x:v>C001</x:v>
      </x:c>
      <x:c r="E585" s="17" t="str">
        <x:v>CampaignChat</x:v>
      </x:c>
      <x:c r="F585" s="17" t="str">
        <x:v>Pro</x:v>
      </x:c>
      <x:c r="G585" s="21" t="n">
        <x:v>15898</x:v>
      </x:c>
      <x:c r="H585" s="21" t="n">
        <x:v>6804</x:v>
      </x:c>
      <x:c r="I585" s="17" t="str">
        <x:v>Followup</x:v>
      </x:c>
    </x:row>
    <x:row r="586" ht="23" customHeight="1">
      <x:c r="A586" s="17" t="str">
        <x:v>U00580</x:v>
      </x:c>
      <x:c r="B586" s="18" t="n">
        <x:v>46268</x:v>
      </x:c>
      <x:c r="C586" s="17" t="str">
        <x:v>W0052</x:v>
      </x:c>
      <x:c r="D586" s="17" t="str">
        <x:v>C001</x:v>
      </x:c>
      <x:c r="E586" s="17" t="str">
        <x:v>CampaignChat</x:v>
      </x:c>
      <x:c r="F586" s="17" t="str">
        <x:v>Pro</x:v>
      </x:c>
      <x:c r="G586" s="21" t="n">
        <x:v>11829</x:v>
      </x:c>
      <x:c r="H586" s="21" t="n">
        <x:v>6966</x:v>
      </x:c>
      <x:c r="I586" s="17" t="str">
        <x:v>Followup</x:v>
      </x:c>
    </x:row>
    <x:row r="587" ht="23" customHeight="1">
      <x:c r="A587" s="17" t="str">
        <x:v>U00581</x:v>
      </x:c>
      <x:c r="B587" s="18" t="n">
        <x:v>46269</x:v>
      </x:c>
      <x:c r="C587" s="17" t="str">
        <x:v>W0052</x:v>
      </x:c>
      <x:c r="D587" s="17" t="str">
        <x:v>C001</x:v>
      </x:c>
      <x:c r="E587" s="17" t="str">
        <x:v>CampaignChat</x:v>
      </x:c>
      <x:c r="F587" s="17" t="str">
        <x:v>Pro</x:v>
      </x:c>
      <x:c r="G587" s="21" t="n">
        <x:v>5760</x:v>
      </x:c>
      <x:c r="H587" s="21" t="n">
        <x:v>3766</x:v>
      </x:c>
      <x:c r="I587" s="17" t="str">
        <x:v>Correction</x:v>
      </x:c>
    </x:row>
    <x:row r="588" ht="23" customHeight="1">
      <x:c r="A588" s="17" t="str">
        <x:v>U00582</x:v>
      </x:c>
      <x:c r="B588" s="18" t="n">
        <x:v>46269</x:v>
      </x:c>
      <x:c r="C588" s="17" t="str">
        <x:v>W0052</x:v>
      </x:c>
      <x:c r="D588" s="17" t="str">
        <x:v>C001</x:v>
      </x:c>
      <x:c r="E588" s="17" t="str">
        <x:v>CampaignChat</x:v>
      </x:c>
      <x:c r="F588" s="17" t="str">
        <x:v>Pro</x:v>
      </x:c>
      <x:c r="G588" s="21" t="n">
        <x:v>10217</x:v>
      </x:c>
      <x:c r="H588" s="21" t="n">
        <x:v>4900</x:v>
      </x:c>
      <x:c r="I588" s="17" t="str">
        <x:v>Followup</x:v>
      </x:c>
    </x:row>
    <x:row r="589" ht="23" customHeight="1">
      <x:c r="A589" s="17" t="str">
        <x:v>U00583</x:v>
      </x:c>
      <x:c r="B589" s="18" t="n">
        <x:v>46276</x:v>
      </x:c>
      <x:c r="C589" s="17" t="str">
        <x:v>W0053</x:v>
      </x:c>
      <x:c r="D589" s="17" t="str">
        <x:v>C001</x:v>
      </x:c>
      <x:c r="E589" s="17" t="str">
        <x:v>DataFlow</x:v>
      </x:c>
      <x:c r="F589" s="17" t="str">
        <x:v>Pro</x:v>
      </x:c>
      <x:c r="G589" s="21" t="n">
        <x:v>18550</x:v>
      </x:c>
      <x:c r="H589" s="21" t="n">
        <x:v>8430</x:v>
      </x:c>
      <x:c r="I589" s="17" t="str">
        <x:v>First attempt</x:v>
      </x:c>
    </x:row>
    <x:row r="590" ht="23" customHeight="1">
      <x:c r="A590" s="17" t="str">
        <x:v>U00584</x:v>
      </x:c>
      <x:c r="B590" s="18" t="n">
        <x:v>46276</x:v>
      </x:c>
      <x:c r="C590" s="17" t="str">
        <x:v>W0053</x:v>
      </x:c>
      <x:c r="D590" s="17" t="str">
        <x:v>C001</x:v>
      </x:c>
      <x:c r="E590" s="17" t="str">
        <x:v>DataFlow</x:v>
      </x:c>
      <x:c r="F590" s="17" t="str">
        <x:v>Pro</x:v>
      </x:c>
      <x:c r="G590" s="21" t="n">
        <x:v>21539</x:v>
      </x:c>
      <x:c r="H590" s="21" t="n">
        <x:v>10107</x:v>
      </x:c>
      <x:c r="I590" s="17" t="str">
        <x:v>Followup</x:v>
      </x:c>
    </x:row>
    <x:row r="591" ht="23" customHeight="1">
      <x:c r="A591" s="17" t="str">
        <x:v>U00585</x:v>
      </x:c>
      <x:c r="B591" s="18" t="n">
        <x:v>46279</x:v>
      </x:c>
      <x:c r="C591" s="17" t="str">
        <x:v>W0053</x:v>
      </x:c>
      <x:c r="D591" s="17" t="str">
        <x:v>C001</x:v>
      </x:c>
      <x:c r="E591" s="17" t="str">
        <x:v>DataFlow</x:v>
      </x:c>
      <x:c r="F591" s="17" t="str">
        <x:v>Pro</x:v>
      </x:c>
      <x:c r="G591" s="21" t="n">
        <x:v>30675</x:v>
      </x:c>
      <x:c r="H591" s="21" t="n">
        <x:v>13995</x:v>
      </x:c>
      <x:c r="I591" s="17" t="str">
        <x:v>Followup</x:v>
      </x:c>
    </x:row>
    <x:row r="592" ht="23" customHeight="1">
      <x:c r="A592" s="17" t="str">
        <x:v>U00586</x:v>
      </x:c>
      <x:c r="B592" s="18" t="n">
        <x:v>46279</x:v>
      </x:c>
      <x:c r="C592" s="17" t="str">
        <x:v>W0053</x:v>
      </x:c>
      <x:c r="D592" s="17" t="str">
        <x:v>C001</x:v>
      </x:c>
      <x:c r="E592" s="17" t="str">
        <x:v>DataFlow</x:v>
      </x:c>
      <x:c r="F592" s="17" t="str">
        <x:v>Pro</x:v>
      </x:c>
      <x:c r="G592" s="21" t="n">
        <x:v>24049</x:v>
      </x:c>
      <x:c r="H592" s="21" t="n">
        <x:v>8860</x:v>
      </x:c>
      <x:c r="I592" s="17" t="str">
        <x:v>Correction</x:v>
      </x:c>
    </x:row>
    <x:row r="593" ht="23" customHeight="1">
      <x:c r="A593" s="17" t="str">
        <x:v>U00587</x:v>
      </x:c>
      <x:c r="B593" s="18" t="n">
        <x:v>46280</x:v>
      </x:c>
      <x:c r="C593" s="17" t="str">
        <x:v>W0053</x:v>
      </x:c>
      <x:c r="D593" s="17" t="str">
        <x:v>C001</x:v>
      </x:c>
      <x:c r="E593" s="17" t="str">
        <x:v>DataFlow</x:v>
      </x:c>
      <x:c r="F593" s="17" t="str">
        <x:v>Pro</x:v>
      </x:c>
      <x:c r="G593" s="21" t="n">
        <x:v>28204</x:v>
      </x:c>
      <x:c r="H593" s="21" t="n">
        <x:v>9216</x:v>
      </x:c>
      <x:c r="I593" s="17" t="str">
        <x:v>Followup</x:v>
      </x:c>
    </x:row>
    <x:row r="594" ht="23" customHeight="1">
      <x:c r="A594" s="17" t="str">
        <x:v>U00588</x:v>
      </x:c>
      <x:c r="B594" s="18" t="n">
        <x:v>46280</x:v>
      </x:c>
      <x:c r="C594" s="17" t="str">
        <x:v>W0053</x:v>
      </x:c>
      <x:c r="D594" s="17" t="str">
        <x:v>C001</x:v>
      </x:c>
      <x:c r="E594" s="17" t="str">
        <x:v>DataFlow</x:v>
      </x:c>
      <x:c r="F594" s="17" t="str">
        <x:v>Pro</x:v>
      </x:c>
      <x:c r="G594" s="21" t="n">
        <x:v>24680</x:v>
      </x:c>
      <x:c r="H594" s="21" t="n">
        <x:v>17813</x:v>
      </x:c>
      <x:c r="I594" s="17" t="str">
        <x:v>Followup</x:v>
      </x:c>
    </x:row>
    <x:row r="595" ht="23" customHeight="1">
      <x:c r="A595" s="17" t="str">
        <x:v>U00589</x:v>
      </x:c>
      <x:c r="B595" s="18" t="n">
        <x:v>46281</x:v>
      </x:c>
      <x:c r="C595" s="17" t="str">
        <x:v>W0053</x:v>
      </x:c>
      <x:c r="D595" s="17" t="str">
        <x:v>C001</x:v>
      </x:c>
      <x:c r="E595" s="17" t="str">
        <x:v>DataFlow</x:v>
      </x:c>
      <x:c r="F595" s="17" t="str">
        <x:v>Pro</x:v>
      </x:c>
      <x:c r="G595" s="21" t="n">
        <x:v>16089</x:v>
      </x:c>
      <x:c r="H595" s="21" t="n">
        <x:v>16658</x:v>
      </x:c>
      <x:c r="I595" s="17" t="str">
        <x:v>Followup</x:v>
      </x:c>
    </x:row>
    <x:row r="596" ht="23" customHeight="1">
      <x:c r="A596" s="17" t="str">
        <x:v>U00590</x:v>
      </x:c>
      <x:c r="B596" s="18" t="n">
        <x:v>46281</x:v>
      </x:c>
      <x:c r="C596" s="17" t="str">
        <x:v>W0053</x:v>
      </x:c>
      <x:c r="D596" s="17" t="str">
        <x:v>C001</x:v>
      </x:c>
      <x:c r="E596" s="17" t="str">
        <x:v>DataFlow</x:v>
      </x:c>
      <x:c r="F596" s="17" t="str">
        <x:v>Pro</x:v>
      </x:c>
      <x:c r="G596" s="21" t="n">
        <x:v>15702</x:v>
      </x:c>
      <x:c r="H596" s="21" t="n">
        <x:v>8520</x:v>
      </x:c>
      <x:c r="I596" s="17" t="str">
        <x:v>Followup</x:v>
      </x:c>
    </x:row>
    <x:row r="597" ht="23" customHeight="1">
      <x:c r="A597" s="17" t="str">
        <x:v>U00591</x:v>
      </x:c>
      <x:c r="B597" s="18" t="n">
        <x:v>46269</x:v>
      </x:c>
      <x:c r="C597" s="17" t="str">
        <x:v>W0055</x:v>
      </x:c>
      <x:c r="D597" s="17" t="str">
        <x:v>C001</x:v>
      </x:c>
      <x:c r="E597" s="17" t="str">
        <x:v>InsightDesk</x:v>
      </x:c>
      <x:c r="F597" s="17" t="str">
        <x:v>Pro</x:v>
      </x:c>
      <x:c r="G597" s="21" t="n">
        <x:v>18432</x:v>
      </x:c>
      <x:c r="H597" s="21" t="n">
        <x:v>15738</x:v>
      </x:c>
      <x:c r="I597" s="17" t="str">
        <x:v>First attempt</x:v>
      </x:c>
    </x:row>
    <x:row r="598" ht="23" customHeight="1">
      <x:c r="A598" s="17" t="str">
        <x:v>U00592</x:v>
      </x:c>
      <x:c r="B598" s="18" t="n">
        <x:v>46269</x:v>
      </x:c>
      <x:c r="C598" s="17" t="str">
        <x:v>W0055</x:v>
      </x:c>
      <x:c r="D598" s="17" t="str">
        <x:v>C001</x:v>
      </x:c>
      <x:c r="E598" s="17" t="str">
        <x:v>InsightDesk</x:v>
      </x:c>
      <x:c r="F598" s="17" t="str">
        <x:v>Pro</x:v>
      </x:c>
      <x:c r="G598" s="21" t="n">
        <x:v>8206</x:v>
      </x:c>
      <x:c r="H598" s="21" t="n">
        <x:v>5823</x:v>
      </x:c>
      <x:c r="I598" s="17" t="str">
        <x:v>Followup</x:v>
      </x:c>
    </x:row>
    <x:row r="599" ht="23" customHeight="1">
      <x:c r="A599" s="17" t="str">
        <x:v>U00593</x:v>
      </x:c>
      <x:c r="B599" s="18" t="n">
        <x:v>46269</x:v>
      </x:c>
      <x:c r="C599" s="17" t="str">
        <x:v>W0055</x:v>
      </x:c>
      <x:c r="D599" s="17" t="str">
        <x:v>C001</x:v>
      </x:c>
      <x:c r="E599" s="17" t="str">
        <x:v>InsightDesk</x:v>
      </x:c>
      <x:c r="F599" s="17" t="str">
        <x:v>Pro</x:v>
      </x:c>
      <x:c r="G599" s="21" t="n">
        <x:v>10158</x:v>
      </x:c>
      <x:c r="H599" s="21" t="n">
        <x:v>10850</x:v>
      </x:c>
      <x:c r="I599" s="17" t="str">
        <x:v>Followup</x:v>
      </x:c>
    </x:row>
    <x:row r="600" ht="23" customHeight="1">
      <x:c r="A600" s="17" t="str">
        <x:v>U00594</x:v>
      </x:c>
      <x:c r="B600" s="18" t="n">
        <x:v>46273</x:v>
      </x:c>
      <x:c r="C600" s="17" t="str">
        <x:v>W0055</x:v>
      </x:c>
      <x:c r="D600" s="17" t="str">
        <x:v>C001</x:v>
      </x:c>
      <x:c r="E600" s="17" t="str">
        <x:v>InsightDesk</x:v>
      </x:c>
      <x:c r="F600" s="17" t="str">
        <x:v>Pro</x:v>
      </x:c>
      <x:c r="G600" s="21" t="n">
        <x:v>7293</x:v>
      </x:c>
      <x:c r="H600" s="21" t="n">
        <x:v>5888</x:v>
      </x:c>
      <x:c r="I600" s="17" t="str">
        <x:v>Followup</x:v>
      </x:c>
    </x:row>
    <x:row r="601" ht="23" customHeight="1">
      <x:c r="A601" s="17" t="str">
        <x:v>U00595</x:v>
      </x:c>
      <x:c r="B601" s="18" t="n">
        <x:v>46273</x:v>
      </x:c>
      <x:c r="C601" s="17" t="str">
        <x:v>W0055</x:v>
      </x:c>
      <x:c r="D601" s="17" t="str">
        <x:v>C001</x:v>
      </x:c>
      <x:c r="E601" s="17" t="str">
        <x:v>InsightDesk</x:v>
      </x:c>
      <x:c r="F601" s="17" t="str">
        <x:v>Pro</x:v>
      </x:c>
      <x:c r="G601" s="21" t="n">
        <x:v>11759</x:v>
      </x:c>
      <x:c r="H601" s="21" t="n">
        <x:v>15779</x:v>
      </x:c>
      <x:c r="I601" s="17" t="str">
        <x:v>Followup</x:v>
      </x:c>
    </x:row>
    <x:row r="602" ht="23" customHeight="1">
      <x:c r="A602" s="17" t="str">
        <x:v>U00596</x:v>
      </x:c>
      <x:c r="B602" s="18" t="n">
        <x:v>46274</x:v>
      </x:c>
      <x:c r="C602" s="17" t="str">
        <x:v>W0055</x:v>
      </x:c>
      <x:c r="D602" s="17" t="str">
        <x:v>C001</x:v>
      </x:c>
      <x:c r="E602" s="17" t="str">
        <x:v>InsightDesk</x:v>
      </x:c>
      <x:c r="F602" s="17" t="str">
        <x:v>Pro</x:v>
      </x:c>
      <x:c r="G602" s="21" t="n">
        <x:v>10058</x:v>
      </x:c>
      <x:c r="H602" s="21" t="n">
        <x:v>7574</x:v>
      </x:c>
      <x:c r="I602" s="17" t="str">
        <x:v>Correction</x:v>
      </x:c>
    </x:row>
    <x:row r="603" ht="23" customHeight="1">
      <x:c r="A603" s="17" t="str">
        <x:v>U00597</x:v>
      </x:c>
      <x:c r="B603" s="18" t="n">
        <x:v>46274</x:v>
      </x:c>
      <x:c r="C603" s="17" t="str">
        <x:v>W0055</x:v>
      </x:c>
      <x:c r="D603" s="17" t="str">
        <x:v>C001</x:v>
      </x:c>
      <x:c r="E603" s="17" t="str">
        <x:v>InsightDesk</x:v>
      </x:c>
      <x:c r="F603" s="17" t="str">
        <x:v>Pro</x:v>
      </x:c>
      <x:c r="G603" s="21" t="n">
        <x:v>11688</x:v>
      </x:c>
      <x:c r="H603" s="21" t="n">
        <x:v>5738</x:v>
      </x:c>
      <x:c r="I603" s="17" t="str">
        <x:v>Followup</x:v>
      </x:c>
    </x:row>
    <x:row r="604" ht="23" customHeight="1">
      <x:c r="A604" s="17" t="str">
        <x:v>U00598</x:v>
      </x:c>
      <x:c r="B604" s="18" t="n">
        <x:v>46274</x:v>
      </x:c>
      <x:c r="C604" s="17" t="str">
        <x:v>W0055</x:v>
      </x:c>
      <x:c r="D604" s="17" t="str">
        <x:v>C001</x:v>
      </x:c>
      <x:c r="E604" s="17" t="str">
        <x:v>InsightDesk</x:v>
      </x:c>
      <x:c r="F604" s="17" t="str">
        <x:v>Pro</x:v>
      </x:c>
      <x:c r="G604" s="21" t="n">
        <x:v>12386</x:v>
      </x:c>
      <x:c r="H604" s="21" t="n">
        <x:v>14476</x:v>
      </x:c>
      <x:c r="I604" s="17" t="str">
        <x:v>Followup</x:v>
      </x:c>
    </x:row>
    <x:row r="605" ht="23" customHeight="1">
      <x:c r="A605" s="17" t="str">
        <x:v>U00599</x:v>
      </x:c>
      <x:c r="B605" s="18" t="n">
        <x:v>46275</x:v>
      </x:c>
      <x:c r="C605" s="17" t="str">
        <x:v>W0055</x:v>
      </x:c>
      <x:c r="D605" s="17" t="str">
        <x:v>C001</x:v>
      </x:c>
      <x:c r="E605" s="17" t="str">
        <x:v>InsightDesk</x:v>
      </x:c>
      <x:c r="F605" s="17" t="str">
        <x:v>Pro</x:v>
      </x:c>
      <x:c r="G605" s="21" t="n">
        <x:v>11591</x:v>
      </x:c>
      <x:c r="H605" s="21" t="n">
        <x:v>8773</x:v>
      </x:c>
      <x:c r="I605" s="17" t="str">
        <x:v>Followup</x:v>
      </x:c>
    </x:row>
    <x:row r="606" ht="23" customHeight="1">
      <x:c r="A606" s="17" t="str">
        <x:v>U00600</x:v>
      </x:c>
      <x:c r="B606" s="18" t="n">
        <x:v>46275</x:v>
      </x:c>
      <x:c r="C606" s="17" t="str">
        <x:v>W0055</x:v>
      </x:c>
      <x:c r="D606" s="17" t="str">
        <x:v>C001</x:v>
      </x:c>
      <x:c r="E606" s="17" t="str">
        <x:v>InsightDesk</x:v>
      </x:c>
      <x:c r="F606" s="17" t="str">
        <x:v>Pro</x:v>
      </x:c>
      <x:c r="G606" s="21" t="n">
        <x:v>14110</x:v>
      </x:c>
      <x:c r="H606" s="21" t="n">
        <x:v>6669</x:v>
      </x:c>
      <x:c r="I606" s="17" t="str">
        <x:v>Followup</x:v>
      </x:c>
    </x:row>
    <x:row r="607" ht="23" customHeight="1">
      <x:c r="A607" s="17" t="str">
        <x:v>U00601</x:v>
      </x:c>
      <x:c r="B607" s="18" t="n">
        <x:v>46275</x:v>
      </x:c>
      <x:c r="C607" s="17" t="str">
        <x:v>W0061</x:v>
      </x:c>
      <x:c r="D607" s="17" t="str">
        <x:v>C002</x:v>
      </x:c>
      <x:c r="E607" s="17" t="str">
        <x:v>CopyStudio</x:v>
      </x:c>
      <x:c r="F607" s="17" t="str">
        <x:v>Lite</x:v>
      </x:c>
      <x:c r="G607" s="21" t="n">
        <x:v>21456</x:v>
      </x:c>
      <x:c r="H607" s="21" t="n">
        <x:v>8682</x:v>
      </x:c>
      <x:c r="I607" s="17" t="str">
        <x:v>First attempt</x:v>
      </x:c>
    </x:row>
    <x:row r="608" ht="23" customHeight="1">
      <x:c r="A608" s="17" t="str">
        <x:v>U00602</x:v>
      </x:c>
      <x:c r="B608" s="18" t="n">
        <x:v>46275</x:v>
      </x:c>
      <x:c r="C608" s="17" t="str">
        <x:v>W0061</x:v>
      </x:c>
      <x:c r="D608" s="17" t="str">
        <x:v>C002</x:v>
      </x:c>
      <x:c r="E608" s="17" t="str">
        <x:v>CopyStudio</x:v>
      </x:c>
      <x:c r="F608" s="17" t="str">
        <x:v>Lite</x:v>
      </x:c>
      <x:c r="G608" s="21" t="n">
        <x:v>34474</x:v>
      </x:c>
      <x:c r="H608" s="21" t="n">
        <x:v>3608</x:v>
      </x:c>
      <x:c r="I608" s="17" t="str">
        <x:v>Followup</x:v>
      </x:c>
    </x:row>
    <x:row r="609" ht="23" customHeight="1">
      <x:c r="A609" s="17" t="str">
        <x:v>U00603</x:v>
      </x:c>
      <x:c r="B609" s="18" t="n">
        <x:v>46275</x:v>
      </x:c>
      <x:c r="C609" s="17" t="str">
        <x:v>W0061</x:v>
      </x:c>
      <x:c r="D609" s="17" t="str">
        <x:v>C002</x:v>
      </x:c>
      <x:c r="E609" s="17" t="str">
        <x:v>CopyStudio</x:v>
      </x:c>
      <x:c r="F609" s="17" t="str">
        <x:v>Lite</x:v>
      </x:c>
      <x:c r="G609" s="21" t="n">
        <x:v>50080</x:v>
      </x:c>
      <x:c r="H609" s="21" t="n">
        <x:v>9378</x:v>
      </x:c>
      <x:c r="I609" s="17" t="str">
        <x:v>Correction</x:v>
      </x:c>
    </x:row>
    <x:row r="610" ht="23" customHeight="1">
      <x:c r="A610" s="17" t="str">
        <x:v>U00604</x:v>
      </x:c>
      <x:c r="B610" s="18" t="n">
        <x:v>46276</x:v>
      </x:c>
      <x:c r="C610" s="17" t="str">
        <x:v>W0061</x:v>
      </x:c>
      <x:c r="D610" s="17" t="str">
        <x:v>C002</x:v>
      </x:c>
      <x:c r="E610" s="17" t="str">
        <x:v>CopyStudio</x:v>
      </x:c>
      <x:c r="F610" s="17" t="str">
        <x:v>Lite</x:v>
      </x:c>
      <x:c r="G610" s="21" t="n">
        <x:v>47058</x:v>
      </x:c>
      <x:c r="H610" s="21" t="n">
        <x:v>7753</x:v>
      </x:c>
      <x:c r="I610" s="17" t="str">
        <x:v>Followup</x:v>
      </x:c>
    </x:row>
    <x:row r="611" ht="23" customHeight="1">
      <x:c r="A611" s="17" t="str">
        <x:v>U00605</x:v>
      </x:c>
      <x:c r="B611" s="18" t="n">
        <x:v>46276</x:v>
      </x:c>
      <x:c r="C611" s="17" t="str">
        <x:v>W0061</x:v>
      </x:c>
      <x:c r="D611" s="17" t="str">
        <x:v>C002</x:v>
      </x:c>
      <x:c r="E611" s="17" t="str">
        <x:v>CopyStudio</x:v>
      </x:c>
      <x:c r="F611" s="17" t="str">
        <x:v>Lite</x:v>
      </x:c>
      <x:c r="G611" s="21" t="n">
        <x:v>42242</x:v>
      </x:c>
      <x:c r="H611" s="21" t="n">
        <x:v>9274</x:v>
      </x:c>
      <x:c r="I611" s="17" t="str">
        <x:v>Correction</x:v>
      </x:c>
    </x:row>
    <x:row r="612" ht="23" customHeight="1">
      <x:c r="A612" s="17" t="str">
        <x:v>U00606</x:v>
      </x:c>
      <x:c r="B612" s="18" t="n">
        <x:v>46276</x:v>
      </x:c>
      <x:c r="C612" s="17" t="str">
        <x:v>W0061</x:v>
      </x:c>
      <x:c r="D612" s="17" t="str">
        <x:v>C002</x:v>
      </x:c>
      <x:c r="E612" s="17" t="str">
        <x:v>CopyStudio</x:v>
      </x:c>
      <x:c r="F612" s="17" t="str">
        <x:v>Lite</x:v>
      </x:c>
      <x:c r="G612" s="21" t="n">
        <x:v>40830</x:v>
      </x:c>
      <x:c r="H612" s="21" t="n">
        <x:v>5582</x:v>
      </x:c>
      <x:c r="I612" s="17" t="str">
        <x:v>Correction</x:v>
      </x:c>
    </x:row>
    <x:row r="613" ht="23" customHeight="1">
      <x:c r="A613" s="17" t="str">
        <x:v>U00607</x:v>
      </x:c>
      <x:c r="B613" s="18" t="n">
        <x:v>46279</x:v>
      </x:c>
      <x:c r="C613" s="17" t="str">
        <x:v>W0061</x:v>
      </x:c>
      <x:c r="D613" s="17" t="str">
        <x:v>C002</x:v>
      </x:c>
      <x:c r="E613" s="17" t="str">
        <x:v>CopyStudio</x:v>
      </x:c>
      <x:c r="F613" s="17" t="str">
        <x:v>Lite</x:v>
      </x:c>
      <x:c r="G613" s="21" t="n">
        <x:v>39500</x:v>
      </x:c>
      <x:c r="H613" s="21" t="n">
        <x:v>2719</x:v>
      </x:c>
      <x:c r="I613" s="17" t="str">
        <x:v>Followup</x:v>
      </x:c>
    </x:row>
    <x:row r="614" ht="23" customHeight="1">
      <x:c r="A614" s="17" t="str">
        <x:v>U00608</x:v>
      </x:c>
      <x:c r="B614" s="18" t="n">
        <x:v>46279</x:v>
      </x:c>
      <x:c r="C614" s="17" t="str">
        <x:v>W0061</x:v>
      </x:c>
      <x:c r="D614" s="17" t="str">
        <x:v>C002</x:v>
      </x:c>
      <x:c r="E614" s="17" t="str">
        <x:v>CopyStudio</x:v>
      </x:c>
      <x:c r="F614" s="17" t="str">
        <x:v>Lite</x:v>
      </x:c>
      <x:c r="G614" s="21" t="n">
        <x:v>48363</x:v>
      </x:c>
      <x:c r="H614" s="21" t="n">
        <x:v>9866</x:v>
      </x:c>
      <x:c r="I614" s="17" t="str">
        <x:v>Followup</x:v>
      </x:c>
    </x:row>
    <x:row r="615" ht="23" customHeight="1">
      <x:c r="A615" s="17" t="str">
        <x:v>U00609</x:v>
      </x:c>
      <x:c r="B615" s="18" t="n">
        <x:v>46279</x:v>
      </x:c>
      <x:c r="C615" s="17" t="str">
        <x:v>W0061</x:v>
      </x:c>
      <x:c r="D615" s="17" t="str">
        <x:v>C002</x:v>
      </x:c>
      <x:c r="E615" s="17" t="str">
        <x:v>CopyStudio</x:v>
      </x:c>
      <x:c r="F615" s="17" t="str">
        <x:v>Lite</x:v>
      </x:c>
      <x:c r="G615" s="21" t="n">
        <x:v>42778</x:v>
      </x:c>
      <x:c r="H615" s="21" t="n">
        <x:v>5443</x:v>
      </x:c>
      <x:c r="I615" s="17" t="str">
        <x:v>Followup</x:v>
      </x:c>
    </x:row>
    <x:row r="616" ht="23" customHeight="1">
      <x:c r="A616" s="17" t="str">
        <x:v>U00610</x:v>
      </x:c>
      <x:c r="B616" s="18" t="n">
        <x:v>46280</x:v>
      </x:c>
      <x:c r="C616" s="17" t="str">
        <x:v>W0061</x:v>
      </x:c>
      <x:c r="D616" s="17" t="str">
        <x:v>C002</x:v>
      </x:c>
      <x:c r="E616" s="17" t="str">
        <x:v>CopyStudio</x:v>
      </x:c>
      <x:c r="F616" s="17" t="str">
        <x:v>Lite</x:v>
      </x:c>
      <x:c r="G616" s="21" t="n">
        <x:v>42212</x:v>
      </x:c>
      <x:c r="H616" s="21" t="n">
        <x:v>8716</x:v>
      </x:c>
      <x:c r="I616" s="17" t="str">
        <x:v>Followup</x:v>
      </x:c>
    </x:row>
    <x:row r="617" ht="23" customHeight="1">
      <x:c r="A617" s="17" t="str">
        <x:v>U00611</x:v>
      </x:c>
      <x:c r="B617" s="18" t="n">
        <x:v>46280</x:v>
      </x:c>
      <x:c r="C617" s="17" t="str">
        <x:v>W0061</x:v>
      </x:c>
      <x:c r="D617" s="17" t="str">
        <x:v>C002</x:v>
      </x:c>
      <x:c r="E617" s="17" t="str">
        <x:v>CopyStudio</x:v>
      </x:c>
      <x:c r="F617" s="17" t="str">
        <x:v>Lite</x:v>
      </x:c>
      <x:c r="G617" s="21" t="n">
        <x:v>50327</x:v>
      </x:c>
      <x:c r="H617" s="21" t="n">
        <x:v>3541</x:v>
      </x:c>
      <x:c r="I617" s="17" t="str">
        <x:v>Followup</x:v>
      </x:c>
    </x:row>
    <x:row r="618" ht="23" customHeight="1">
      <x:c r="A618" s="17" t="str">
        <x:v>U00612</x:v>
      </x:c>
      <x:c r="B618" s="18" t="n">
        <x:v>46280</x:v>
      </x:c>
      <x:c r="C618" s="17" t="str">
        <x:v>W0061</x:v>
      </x:c>
      <x:c r="D618" s="17" t="str">
        <x:v>C002</x:v>
      </x:c>
      <x:c r="E618" s="17" t="str">
        <x:v>CopyStudio</x:v>
      </x:c>
      <x:c r="F618" s="17" t="str">
        <x:v>Lite</x:v>
      </x:c>
      <x:c r="G618" s="21" t="n">
        <x:v>47533</x:v>
      </x:c>
      <x:c r="H618" s="21" t="n">
        <x:v>7876</x:v>
      </x:c>
      <x:c r="I618" s="17" t="str">
        <x:v>Correction</x:v>
      </x:c>
    </x:row>
    <x:row r="619" ht="23" customHeight="1">
      <x:c r="A619" s="17" t="str">
        <x:v>U00613</x:v>
      </x:c>
      <x:c r="B619" s="18" t="n">
        <x:v>46268</x:v>
      </x:c>
      <x:c r="C619" s="17" t="str">
        <x:v>W0063</x:v>
      </x:c>
      <x:c r="D619" s="17" t="str">
        <x:v>C002</x:v>
      </x:c>
      <x:c r="E619" s="17" t="str">
        <x:v>CampaignChat</x:v>
      </x:c>
      <x:c r="F619" s="17" t="str">
        <x:v>Lite</x:v>
      </x:c>
      <x:c r="G619" s="21" t="n">
        <x:v>36183</x:v>
      </x:c>
      <x:c r="H619" s="21" t="n">
        <x:v>6529</x:v>
      </x:c>
      <x:c r="I619" s="17" t="str">
        <x:v>First attempt</x:v>
      </x:c>
    </x:row>
    <x:row r="620" ht="23" customHeight="1">
      <x:c r="A620" s="17" t="str">
        <x:v>U00614</x:v>
      </x:c>
      <x:c r="B620" s="18" t="n">
        <x:v>46268</x:v>
      </x:c>
      <x:c r="C620" s="17" t="str">
        <x:v>W0063</x:v>
      </x:c>
      <x:c r="D620" s="17" t="str">
        <x:v>C002</x:v>
      </x:c>
      <x:c r="E620" s="17" t="str">
        <x:v>CampaignChat</x:v>
      </x:c>
      <x:c r="F620" s="17" t="str">
        <x:v>Lite</x:v>
      </x:c>
      <x:c r="G620" s="21" t="n">
        <x:v>26510</x:v>
      </x:c>
      <x:c r="H620" s="21" t="n">
        <x:v>7975</x:v>
      </x:c>
      <x:c r="I620" s="17" t="str">
        <x:v>Followup</x:v>
      </x:c>
    </x:row>
    <x:row r="621" ht="23" customHeight="1">
      <x:c r="A621" s="17" t="str">
        <x:v>U00615</x:v>
      </x:c>
      <x:c r="B621" s="18" t="n">
        <x:v>46268</x:v>
      </x:c>
      <x:c r="C621" s="17" t="str">
        <x:v>W0063</x:v>
      </x:c>
      <x:c r="D621" s="17" t="str">
        <x:v>C002</x:v>
      </x:c>
      <x:c r="E621" s="17" t="str">
        <x:v>CampaignChat</x:v>
      </x:c>
      <x:c r="F621" s="17" t="str">
        <x:v>Lite</x:v>
      </x:c>
      <x:c r="G621" s="21" t="n">
        <x:v>55084</x:v>
      </x:c>
      <x:c r="H621" s="21" t="n">
        <x:v>10340</x:v>
      </x:c>
      <x:c r="I621" s="17" t="str">
        <x:v>Correction</x:v>
      </x:c>
    </x:row>
    <x:row r="622" ht="23" customHeight="1">
      <x:c r="A622" s="17" t="str">
        <x:v>U00616</x:v>
      </x:c>
      <x:c r="B622" s="18" t="n">
        <x:v>46268</x:v>
      </x:c>
      <x:c r="C622" s="17" t="str">
        <x:v>W0063</x:v>
      </x:c>
      <x:c r="D622" s="17" t="str">
        <x:v>C002</x:v>
      </x:c>
      <x:c r="E622" s="17" t="str">
        <x:v>CampaignChat</x:v>
      </x:c>
      <x:c r="F622" s="17" t="str">
        <x:v>Lite</x:v>
      </x:c>
      <x:c r="G622" s="21" t="n">
        <x:v>41536</x:v>
      </x:c>
      <x:c r="H622" s="21" t="n">
        <x:v>7541</x:v>
      </x:c>
      <x:c r="I622" s="17" t="str">
        <x:v>Followup</x:v>
      </x:c>
    </x:row>
    <x:row r="623" ht="23" customHeight="1">
      <x:c r="A623" s="17" t="str">
        <x:v>U00617</x:v>
      </x:c>
      <x:c r="B623" s="18" t="n">
        <x:v>46269</x:v>
      </x:c>
      <x:c r="C623" s="17" t="str">
        <x:v>W0063</x:v>
      </x:c>
      <x:c r="D623" s="17" t="str">
        <x:v>C002</x:v>
      </x:c>
      <x:c r="E623" s="17" t="str">
        <x:v>CampaignChat</x:v>
      </x:c>
      <x:c r="F623" s="17" t="str">
        <x:v>Lite</x:v>
      </x:c>
      <x:c r="G623" s="21" t="n">
        <x:v>43291</x:v>
      </x:c>
      <x:c r="H623" s="21" t="n">
        <x:v>3752</x:v>
      </x:c>
      <x:c r="I623" s="17" t="str">
        <x:v>Followup</x:v>
      </x:c>
    </x:row>
    <x:row r="624" ht="23" customHeight="1">
      <x:c r="A624" s="17" t="str">
        <x:v>U00618</x:v>
      </x:c>
      <x:c r="B624" s="18" t="n">
        <x:v>46269</x:v>
      </x:c>
      <x:c r="C624" s="17" t="str">
        <x:v>W0063</x:v>
      </x:c>
      <x:c r="D624" s="17" t="str">
        <x:v>C002</x:v>
      </x:c>
      <x:c r="E624" s="17" t="str">
        <x:v>CampaignChat</x:v>
      </x:c>
      <x:c r="F624" s="17" t="str">
        <x:v>Lite</x:v>
      </x:c>
      <x:c r="G624" s="21" t="n">
        <x:v>38669</x:v>
      </x:c>
      <x:c r="H624" s="21" t="n">
        <x:v>3189</x:v>
      </x:c>
      <x:c r="I624" s="17" t="str">
        <x:v>Correction</x:v>
      </x:c>
    </x:row>
    <x:row r="625" ht="23" customHeight="1">
      <x:c r="A625" s="17" t="str">
        <x:v>U00619</x:v>
      </x:c>
      <x:c r="B625" s="18" t="n">
        <x:v>46269</x:v>
      </x:c>
      <x:c r="C625" s="17" t="str">
        <x:v>W0063</x:v>
      </x:c>
      <x:c r="D625" s="17" t="str">
        <x:v>C002</x:v>
      </x:c>
      <x:c r="E625" s="17" t="str">
        <x:v>CampaignChat</x:v>
      </x:c>
      <x:c r="F625" s="17" t="str">
        <x:v>Lite</x:v>
      </x:c>
      <x:c r="G625" s="21" t="n">
        <x:v>51131</x:v>
      </x:c>
      <x:c r="H625" s="21" t="n">
        <x:v>6219</x:v>
      </x:c>
      <x:c r="I625" s="17" t="str">
        <x:v>Followup</x:v>
      </x:c>
    </x:row>
    <x:row r="626" ht="23" customHeight="1">
      <x:c r="A626" s="17" t="str">
        <x:v>U00620</x:v>
      </x:c>
      <x:c r="B626" s="18" t="n">
        <x:v>46269</x:v>
      </x:c>
      <x:c r="C626" s="17" t="str">
        <x:v>W0063</x:v>
      </x:c>
      <x:c r="D626" s="17" t="str">
        <x:v>C002</x:v>
      </x:c>
      <x:c r="E626" s="17" t="str">
        <x:v>CampaignChat</x:v>
      </x:c>
      <x:c r="F626" s="17" t="str">
        <x:v>Lite</x:v>
      </x:c>
      <x:c r="G626" s="21" t="n">
        <x:v>48783</x:v>
      </x:c>
      <x:c r="H626" s="21" t="n">
        <x:v>8394</x:v>
      </x:c>
      <x:c r="I626" s="17" t="str">
        <x:v>Followup</x:v>
      </x:c>
    </x:row>
    <x:row r="627" ht="23" customHeight="1">
      <x:c r="A627" s="17" t="str">
        <x:v>U00621</x:v>
      </x:c>
      <x:c r="B627" s="18" t="n">
        <x:v>46273</x:v>
      </x:c>
      <x:c r="C627" s="17" t="str">
        <x:v>W0063</x:v>
      </x:c>
      <x:c r="D627" s="17" t="str">
        <x:v>C002</x:v>
      </x:c>
      <x:c r="E627" s="17" t="str">
        <x:v>CampaignChat</x:v>
      </x:c>
      <x:c r="F627" s="17" t="str">
        <x:v>Lite</x:v>
      </x:c>
      <x:c r="G627" s="21" t="n">
        <x:v>46039</x:v>
      </x:c>
      <x:c r="H627" s="21" t="n">
        <x:v>8060</x:v>
      </x:c>
      <x:c r="I627" s="17" t="str">
        <x:v>Correction</x:v>
      </x:c>
    </x:row>
    <x:row r="628" ht="23" customHeight="1">
      <x:c r="A628" s="17" t="str">
        <x:v>U00622</x:v>
      </x:c>
      <x:c r="B628" s="18" t="n">
        <x:v>46273</x:v>
      </x:c>
      <x:c r="C628" s="17" t="str">
        <x:v>W0063</x:v>
      </x:c>
      <x:c r="D628" s="17" t="str">
        <x:v>C002</x:v>
      </x:c>
      <x:c r="E628" s="17" t="str">
        <x:v>CampaignChat</x:v>
      </x:c>
      <x:c r="F628" s="17" t="str">
        <x:v>Lite</x:v>
      </x:c>
      <x:c r="G628" s="21" t="n">
        <x:v>24436</x:v>
      </x:c>
      <x:c r="H628" s="21" t="n">
        <x:v>7980</x:v>
      </x:c>
      <x:c r="I628" s="17" t="str">
        <x:v>Followup</x:v>
      </x:c>
    </x:row>
    <x:row r="629" ht="23" customHeight="1">
      <x:c r="A629" s="17" t="str">
        <x:v>U00623</x:v>
      </x:c>
      <x:c r="B629" s="18" t="n">
        <x:v>46273</x:v>
      </x:c>
      <x:c r="C629" s="17" t="str">
        <x:v>W0063</x:v>
      </x:c>
      <x:c r="D629" s="17" t="str">
        <x:v>C002</x:v>
      </x:c>
      <x:c r="E629" s="17" t="str">
        <x:v>CampaignChat</x:v>
      </x:c>
      <x:c r="F629" s="17" t="str">
        <x:v>Lite</x:v>
      </x:c>
      <x:c r="G629" s="21" t="n">
        <x:v>52779</x:v>
      </x:c>
      <x:c r="H629" s="21" t="n">
        <x:v>8247</x:v>
      </x:c>
      <x:c r="I629" s="17" t="str">
        <x:v>Correction</x:v>
      </x:c>
    </x:row>
    <x:row r="630" ht="23" customHeight="1">
      <x:c r="A630" s="17" t="str">
        <x:v>U00624</x:v>
      </x:c>
      <x:c r="B630" s="18" t="n">
        <x:v>46273</x:v>
      </x:c>
      <x:c r="C630" s="17" t="str">
        <x:v>W0063</x:v>
      </x:c>
      <x:c r="D630" s="17" t="str">
        <x:v>C002</x:v>
      </x:c>
      <x:c r="E630" s="17" t="str">
        <x:v>CampaignChat</x:v>
      </x:c>
      <x:c r="F630" s="17" t="str">
        <x:v>Lite</x:v>
      </x:c>
      <x:c r="G630" s="21" t="n">
        <x:v>55536</x:v>
      </x:c>
      <x:c r="H630" s="21" t="n">
        <x:v>9266</x:v>
      </x:c>
      <x:c r="I630" s="17" t="str">
        <x:v>Correction</x:v>
      </x:c>
    </x:row>
    <x:row r="631" ht="23" customHeight="1">
      <x:c r="A631" s="17" t="str">
        <x:v>U00625</x:v>
      </x:c>
      <x:c r="B631" s="18" t="n">
        <x:v>46274</x:v>
      </x:c>
      <x:c r="C631" s="17" t="str">
        <x:v>W0063</x:v>
      </x:c>
      <x:c r="D631" s="17" t="str">
        <x:v>C002</x:v>
      </x:c>
      <x:c r="E631" s="17" t="str">
        <x:v>CampaignChat</x:v>
      </x:c>
      <x:c r="F631" s="17" t="str">
        <x:v>Lite</x:v>
      </x:c>
      <x:c r="G631" s="21" t="n">
        <x:v>53786</x:v>
      </x:c>
      <x:c r="H631" s="21" t="n">
        <x:v>9818</x:v>
      </x:c>
      <x:c r="I631" s="17" t="str">
        <x:v>Followup</x:v>
      </x:c>
    </x:row>
    <x:row r="632" ht="23" customHeight="1">
      <x:c r="A632" s="17" t="str">
        <x:v>U00626</x:v>
      </x:c>
      <x:c r="B632" s="18" t="n">
        <x:v>46274</x:v>
      </x:c>
      <x:c r="C632" s="17" t="str">
        <x:v>W0063</x:v>
      </x:c>
      <x:c r="D632" s="17" t="str">
        <x:v>C002</x:v>
      </x:c>
      <x:c r="E632" s="17" t="str">
        <x:v>CampaignChat</x:v>
      </x:c>
      <x:c r="F632" s="17" t="str">
        <x:v>Lite</x:v>
      </x:c>
      <x:c r="G632" s="21" t="n">
        <x:v>33971</x:v>
      </x:c>
      <x:c r="H632" s="21" t="n">
        <x:v>6885</x:v>
      </x:c>
      <x:c r="I632" s="17" t="str">
        <x:v>Followup</x:v>
      </x:c>
    </x:row>
    <x:row r="633" ht="23" customHeight="1">
      <x:c r="A633" s="17" t="str">
        <x:v>U00627</x:v>
      </x:c>
      <x:c r="B633" s="18" t="n">
        <x:v>46274</x:v>
      </x:c>
      <x:c r="C633" s="17" t="str">
        <x:v>W0063</x:v>
      </x:c>
      <x:c r="D633" s="17" t="str">
        <x:v>C002</x:v>
      </x:c>
      <x:c r="E633" s="17" t="str">
        <x:v>CampaignChat</x:v>
      </x:c>
      <x:c r="F633" s="17" t="str">
        <x:v>Lite</x:v>
      </x:c>
      <x:c r="G633" s="21" t="n">
        <x:v>37524</x:v>
      </x:c>
      <x:c r="H633" s="21" t="n">
        <x:v>10995</x:v>
      </x:c>
      <x:c r="I633" s="17" t="str">
        <x:v>Followup</x:v>
      </x:c>
    </x:row>
    <x:row r="634" ht="23" customHeight="1">
      <x:c r="A634" s="17" t="str">
        <x:v>U00628</x:v>
      </x:c>
      <x:c r="B634" s="18" t="n">
        <x:v>46274</x:v>
      </x:c>
      <x:c r="C634" s="17" t="str">
        <x:v>W0063</x:v>
      </x:c>
      <x:c r="D634" s="17" t="str">
        <x:v>C002</x:v>
      </x:c>
      <x:c r="E634" s="17" t="str">
        <x:v>CampaignChat</x:v>
      </x:c>
      <x:c r="F634" s="17" t="str">
        <x:v>Lite</x:v>
      </x:c>
      <x:c r="G634" s="21" t="n">
        <x:v>36543</x:v>
      </x:c>
      <x:c r="H634" s="21" t="n">
        <x:v>6139</x:v>
      </x:c>
      <x:c r="I634" s="17" t="str">
        <x:v>Followup</x:v>
      </x:c>
    </x:row>
    <x:row r="635" ht="23" customHeight="1">
      <x:c r="A635" s="17" t="str">
        <x:v>U00629</x:v>
      </x:c>
      <x:c r="B635" s="18" t="n">
        <x:v>46280</x:v>
      </x:c>
      <x:c r="C635" s="17" t="str">
        <x:v>W0064</x:v>
      </x:c>
      <x:c r="D635" s="17" t="str">
        <x:v>C002</x:v>
      </x:c>
      <x:c r="E635" s="17" t="str">
        <x:v>DataFlow</x:v>
      </x:c>
      <x:c r="F635" s="17" t="str">
        <x:v>Lite</x:v>
      </x:c>
      <x:c r="G635" s="21" t="n">
        <x:v>42638</x:v>
      </x:c>
      <x:c r="H635" s="21" t="n">
        <x:v>8019</x:v>
      </x:c>
      <x:c r="I635" s="17" t="str">
        <x:v>First attempt</x:v>
      </x:c>
    </x:row>
    <x:row r="636" ht="23" customHeight="1">
      <x:c r="A636" s="17" t="str">
        <x:v>U00630</x:v>
      </x:c>
      <x:c r="B636" s="18" t="n">
        <x:v>46280</x:v>
      </x:c>
      <x:c r="C636" s="17" t="str">
        <x:v>W0064</x:v>
      </x:c>
      <x:c r="D636" s="17" t="str">
        <x:v>C002</x:v>
      </x:c>
      <x:c r="E636" s="17" t="str">
        <x:v>DataFlow</x:v>
      </x:c>
      <x:c r="F636" s="17" t="str">
        <x:v>Lite</x:v>
      </x:c>
      <x:c r="G636" s="21" t="n">
        <x:v>42246</x:v>
      </x:c>
      <x:c r="H636" s="21" t="n">
        <x:v>6600</x:v>
      </x:c>
      <x:c r="I636" s="17" t="str">
        <x:v>Correction</x:v>
      </x:c>
    </x:row>
    <x:row r="637" ht="23" customHeight="1">
      <x:c r="A637" s="17" t="str">
        <x:v>U00631</x:v>
      </x:c>
      <x:c r="B637" s="18" t="n">
        <x:v>46280</x:v>
      </x:c>
      <x:c r="C637" s="17" t="str">
        <x:v>W0064</x:v>
      </x:c>
      <x:c r="D637" s="17" t="str">
        <x:v>C002</x:v>
      </x:c>
      <x:c r="E637" s="17" t="str">
        <x:v>DataFlow</x:v>
      </x:c>
      <x:c r="F637" s="17" t="str">
        <x:v>Lite</x:v>
      </x:c>
      <x:c r="G637" s="21" t="n">
        <x:v>15258</x:v>
      </x:c>
      <x:c r="H637" s="21" t="n">
        <x:v>6460</x:v>
      </x:c>
      <x:c r="I637" s="17" t="str">
        <x:v>Followup</x:v>
      </x:c>
    </x:row>
    <x:row r="638" ht="23" customHeight="1">
      <x:c r="A638" s="17" t="str">
        <x:v>U00632</x:v>
      </x:c>
      <x:c r="B638" s="18" t="n">
        <x:v>46280</x:v>
      </x:c>
      <x:c r="C638" s="17" t="str">
        <x:v>W0064</x:v>
      </x:c>
      <x:c r="D638" s="17" t="str">
        <x:v>C002</x:v>
      </x:c>
      <x:c r="E638" s="17" t="str">
        <x:v>DataFlow</x:v>
      </x:c>
      <x:c r="F638" s="17" t="str">
        <x:v>Lite</x:v>
      </x:c>
      <x:c r="G638" s="21" t="n">
        <x:v>20135</x:v>
      </x:c>
      <x:c r="H638" s="21" t="n">
        <x:v>4530</x:v>
      </x:c>
      <x:c r="I638" s="17" t="str">
        <x:v>Followup</x:v>
      </x:c>
    </x:row>
    <x:row r="639" ht="23" customHeight="1">
      <x:c r="A639" s="17" t="str">
        <x:v>U00633</x:v>
      </x:c>
      <x:c r="B639" s="18" t="n">
        <x:v>46281</x:v>
      </x:c>
      <x:c r="C639" s="17" t="str">
        <x:v>W0064</x:v>
      </x:c>
      <x:c r="D639" s="17" t="str">
        <x:v>C002</x:v>
      </x:c>
      <x:c r="E639" s="17" t="str">
        <x:v>DataFlow</x:v>
      </x:c>
      <x:c r="F639" s="17" t="str">
        <x:v>Lite</x:v>
      </x:c>
      <x:c r="G639" s="21" t="n">
        <x:v>38043</x:v>
      </x:c>
      <x:c r="H639" s="21" t="n">
        <x:v>4819</x:v>
      </x:c>
      <x:c r="I639" s="17" t="str">
        <x:v>Followup</x:v>
      </x:c>
    </x:row>
    <x:row r="640" ht="23" customHeight="1">
      <x:c r="A640" s="17" t="str">
        <x:v>U00634</x:v>
      </x:c>
      <x:c r="B640" s="18" t="n">
        <x:v>46281</x:v>
      </x:c>
      <x:c r="C640" s="17" t="str">
        <x:v>W0064</x:v>
      </x:c>
      <x:c r="D640" s="17" t="str">
        <x:v>C002</x:v>
      </x:c>
      <x:c r="E640" s="17" t="str">
        <x:v>DataFlow</x:v>
      </x:c>
      <x:c r="F640" s="17" t="str">
        <x:v>Lite</x:v>
      </x:c>
      <x:c r="G640" s="21" t="n">
        <x:v>39603</x:v>
      </x:c>
      <x:c r="H640" s="21" t="n">
        <x:v>7398</x:v>
      </x:c>
      <x:c r="I640" s="17" t="str">
        <x:v>Correction</x:v>
      </x:c>
    </x:row>
    <x:row r="641" ht="23" customHeight="1">
      <x:c r="A641" s="17" t="str">
        <x:v>U00635</x:v>
      </x:c>
      <x:c r="B641" s="18" t="n">
        <x:v>46281</x:v>
      </x:c>
      <x:c r="C641" s="17" t="str">
        <x:v>W0064</x:v>
      </x:c>
      <x:c r="D641" s="17" t="str">
        <x:v>C002</x:v>
      </x:c>
      <x:c r="E641" s="17" t="str">
        <x:v>DataFlow</x:v>
      </x:c>
      <x:c r="F641" s="17" t="str">
        <x:v>Lite</x:v>
      </x:c>
      <x:c r="G641" s="21" t="n">
        <x:v>35209</x:v>
      </x:c>
      <x:c r="H641" s="21" t="n">
        <x:v>8111</x:v>
      </x:c>
      <x:c r="I641" s="17" t="str">
        <x:v>Followup</x:v>
      </x:c>
    </x:row>
    <x:row r="642" ht="23" customHeight="1">
      <x:c r="A642" s="17" t="str">
        <x:v>U00636</x:v>
      </x:c>
      <x:c r="B642" s="18" t="n">
        <x:v>46281</x:v>
      </x:c>
      <x:c r="C642" s="17" t="str">
        <x:v>W0064</x:v>
      </x:c>
      <x:c r="D642" s="17" t="str">
        <x:v>C002</x:v>
      </x:c>
      <x:c r="E642" s="17" t="str">
        <x:v>DataFlow</x:v>
      </x:c>
      <x:c r="F642" s="17" t="str">
        <x:v>Lite</x:v>
      </x:c>
      <x:c r="G642" s="21" t="n">
        <x:v>39430</x:v>
      </x:c>
      <x:c r="H642" s="21" t="n">
        <x:v>3183</x:v>
      </x:c>
      <x:c r="I642" s="17" t="str">
        <x:v>Correction</x:v>
      </x:c>
    </x:row>
    <x:row r="643" ht="23" customHeight="1">
      <x:c r="A643" s="17" t="str">
        <x:v>U00637</x:v>
      </x:c>
      <x:c r="B643" s="18" t="n">
        <x:v>46282</x:v>
      </x:c>
      <x:c r="C643" s="17" t="str">
        <x:v>W0064</x:v>
      </x:c>
      <x:c r="D643" s="17" t="str">
        <x:v>C002</x:v>
      </x:c>
      <x:c r="E643" s="17" t="str">
        <x:v>DataFlow</x:v>
      </x:c>
      <x:c r="F643" s="17" t="str">
        <x:v>Lite</x:v>
      </x:c>
      <x:c r="G643" s="21" t="n">
        <x:v>25778</x:v>
      </x:c>
      <x:c r="H643" s="21" t="n">
        <x:v>2821</x:v>
      </x:c>
      <x:c r="I643" s="17" t="str">
        <x:v>Followup</x:v>
      </x:c>
    </x:row>
    <x:row r="644" ht="23" customHeight="1">
      <x:c r="A644" s="17" t="str">
        <x:v>U00638</x:v>
      </x:c>
      <x:c r="B644" s="18" t="n">
        <x:v>46282</x:v>
      </x:c>
      <x:c r="C644" s="17" t="str">
        <x:v>W0064</x:v>
      </x:c>
      <x:c r="D644" s="17" t="str">
        <x:v>C002</x:v>
      </x:c>
      <x:c r="E644" s="17" t="str">
        <x:v>DataFlow</x:v>
      </x:c>
      <x:c r="F644" s="17" t="str">
        <x:v>Lite</x:v>
      </x:c>
      <x:c r="G644" s="21" t="n">
        <x:v>43958</x:v>
      </x:c>
      <x:c r="H644" s="21" t="n">
        <x:v>4234</x:v>
      </x:c>
      <x:c r="I644" s="17" t="str">
        <x:v>Followup</x:v>
      </x:c>
    </x:row>
    <x:row r="645" ht="23" customHeight="1">
      <x:c r="A645" s="17" t="str">
        <x:v>U00639</x:v>
      </x:c>
      <x:c r="B645" s="18" t="n">
        <x:v>46282</x:v>
      </x:c>
      <x:c r="C645" s="17" t="str">
        <x:v>W0064</x:v>
      </x:c>
      <x:c r="D645" s="17" t="str">
        <x:v>C002</x:v>
      </x:c>
      <x:c r="E645" s="17" t="str">
        <x:v>DataFlow</x:v>
      </x:c>
      <x:c r="F645" s="17" t="str">
        <x:v>Lite</x:v>
      </x:c>
      <x:c r="G645" s="21" t="n">
        <x:v>39225</x:v>
      </x:c>
      <x:c r="H645" s="21" t="n">
        <x:v>5425</x:v>
      </x:c>
      <x:c r="I645" s="17" t="str">
        <x:v>Correction</x:v>
      </x:c>
    </x:row>
    <x:row r="646" ht="23" customHeight="1">
      <x:c r="A646" s="17" t="str">
        <x:v>U00640</x:v>
      </x:c>
      <x:c r="B646" s="18" t="n">
        <x:v>46282</x:v>
      </x:c>
      <x:c r="C646" s="17" t="str">
        <x:v>W0064</x:v>
      </x:c>
      <x:c r="D646" s="17" t="str">
        <x:v>C002</x:v>
      </x:c>
      <x:c r="E646" s="17" t="str">
        <x:v>DataFlow</x:v>
      </x:c>
      <x:c r="F646" s="17" t="str">
        <x:v>Lite</x:v>
      </x:c>
      <x:c r="G646" s="21" t="n">
        <x:v>30628</x:v>
      </x:c>
      <x:c r="H646" s="21" t="n">
        <x:v>7095</x:v>
      </x:c>
      <x:c r="I646" s="17" t="str">
        <x:v>Correction</x:v>
      </x:c>
    </x:row>
    <x:row r="647" ht="23" customHeight="1">
      <x:c r="A647" s="17" t="str">
        <x:v>U00641</x:v>
      </x:c>
      <x:c r="B647" s="18" t="n">
        <x:v>46283</x:v>
      </x:c>
      <x:c r="C647" s="17" t="str">
        <x:v>W0064</x:v>
      </x:c>
      <x:c r="D647" s="17" t="str">
        <x:v>C002</x:v>
      </x:c>
      <x:c r="E647" s="17" t="str">
        <x:v>DataFlow</x:v>
      </x:c>
      <x:c r="F647" s="17" t="str">
        <x:v>Lite</x:v>
      </x:c>
      <x:c r="G647" s="21" t="n">
        <x:v>42008</x:v>
      </x:c>
      <x:c r="H647" s="21" t="n">
        <x:v>6926</x:v>
      </x:c>
      <x:c r="I647" s="17" t="str">
        <x:v>Correction</x:v>
      </x:c>
    </x:row>
    <x:row r="648" ht="23" customHeight="1">
      <x:c r="A648" s="17" t="str">
        <x:v>U00642</x:v>
      </x:c>
      <x:c r="B648" s="18" t="n">
        <x:v>46283</x:v>
      </x:c>
      <x:c r="C648" s="17" t="str">
        <x:v>W0064</x:v>
      </x:c>
      <x:c r="D648" s="17" t="str">
        <x:v>C002</x:v>
      </x:c>
      <x:c r="E648" s="17" t="str">
        <x:v>DataFlow</x:v>
      </x:c>
      <x:c r="F648" s="17" t="str">
        <x:v>Lite</x:v>
      </x:c>
      <x:c r="G648" s="21" t="n">
        <x:v>32467</x:v>
      </x:c>
      <x:c r="H648" s="21" t="n">
        <x:v>4513</x:v>
      </x:c>
      <x:c r="I648" s="17" t="str">
        <x:v>Followup</x:v>
      </x:c>
    </x:row>
    <x:row r="649" ht="23" customHeight="1">
      <x:c r="A649" s="17" t="str">
        <x:v>U00643</x:v>
      </x:c>
      <x:c r="B649" s="18" t="n">
        <x:v>46283</x:v>
      </x:c>
      <x:c r="C649" s="17" t="str">
        <x:v>W0064</x:v>
      </x:c>
      <x:c r="D649" s="17" t="str">
        <x:v>C002</x:v>
      </x:c>
      <x:c r="E649" s="17" t="str">
        <x:v>DataFlow</x:v>
      </x:c>
      <x:c r="F649" s="17" t="str">
        <x:v>Lite</x:v>
      </x:c>
      <x:c r="G649" s="21" t="n">
        <x:v>25011</x:v>
      </x:c>
      <x:c r="H649" s="21" t="n">
        <x:v>2741</x:v>
      </x:c>
      <x:c r="I649" s="17" t="str">
        <x:v>Correction</x:v>
      </x:c>
    </x:row>
    <x:row r="650" ht="23" customHeight="1">
      <x:c r="A650" s="17" t="str">
        <x:v>U00644</x:v>
      </x:c>
      <x:c r="B650" s="18" t="n">
        <x:v>46283</x:v>
      </x:c>
      <x:c r="C650" s="17" t="str">
        <x:v>W0064</x:v>
      </x:c>
      <x:c r="D650" s="17" t="str">
        <x:v>C002</x:v>
      </x:c>
      <x:c r="E650" s="17" t="str">
        <x:v>DataFlow</x:v>
      </x:c>
      <x:c r="F650" s="17" t="str">
        <x:v>Lite</x:v>
      </x:c>
      <x:c r="G650" s="21" t="n">
        <x:v>31734</x:v>
      </x:c>
      <x:c r="H650" s="21" t="n">
        <x:v>5966</x:v>
      </x:c>
      <x:c r="I650" s="17" t="str">
        <x:v>Correction</x:v>
      </x:c>
    </x:row>
    <x:row r="651" ht="23" customHeight="1">
      <x:c r="A651" s="17" t="str">
        <x:v>U00645</x:v>
      </x:c>
      <x:c r="B651" s="18" t="n">
        <x:v>46273</x:v>
      </x:c>
      <x:c r="C651" s="17" t="str">
        <x:v>W0071</x:v>
      </x:c>
      <x:c r="D651" s="17" t="str">
        <x:v>C002</x:v>
      </x:c>
      <x:c r="E651" s="17" t="str">
        <x:v>CampaignChat</x:v>
      </x:c>
      <x:c r="F651" s="17" t="str">
        <x:v>Lite</x:v>
      </x:c>
      <x:c r="G651" s="21" t="n">
        <x:v>47519</x:v>
      </x:c>
      <x:c r="H651" s="21" t="n">
        <x:v>6019</x:v>
      </x:c>
      <x:c r="I651" s="17" t="str">
        <x:v>First attempt</x:v>
      </x:c>
    </x:row>
    <x:row r="652" ht="23" customHeight="1">
      <x:c r="A652" s="17" t="str">
        <x:v>U00646</x:v>
      </x:c>
      <x:c r="B652" s="18" t="n">
        <x:v>46273</x:v>
      </x:c>
      <x:c r="C652" s="17" t="str">
        <x:v>W0071</x:v>
      </x:c>
      <x:c r="D652" s="17" t="str">
        <x:v>C002</x:v>
      </x:c>
      <x:c r="E652" s="17" t="str">
        <x:v>CampaignChat</x:v>
      </x:c>
      <x:c r="F652" s="17" t="str">
        <x:v>Lite</x:v>
      </x:c>
      <x:c r="G652" s="21" t="n">
        <x:v>32224</x:v>
      </x:c>
      <x:c r="H652" s="21" t="n">
        <x:v>6898</x:v>
      </x:c>
      <x:c r="I652" s="17" t="str">
        <x:v>Correction</x:v>
      </x:c>
    </x:row>
    <x:row r="653" ht="23" customHeight="1">
      <x:c r="A653" s="17" t="str">
        <x:v>U00647</x:v>
      </x:c>
      <x:c r="B653" s="18" t="n">
        <x:v>46273</x:v>
      </x:c>
      <x:c r="C653" s="17" t="str">
        <x:v>W0071</x:v>
      </x:c>
      <x:c r="D653" s="17" t="str">
        <x:v>C002</x:v>
      </x:c>
      <x:c r="E653" s="17" t="str">
        <x:v>CampaignChat</x:v>
      </x:c>
      <x:c r="F653" s="17" t="str">
        <x:v>Lite</x:v>
      </x:c>
      <x:c r="G653" s="21" t="n">
        <x:v>37560</x:v>
      </x:c>
      <x:c r="H653" s="21" t="n">
        <x:v>13086</x:v>
      </x:c>
      <x:c r="I653" s="17" t="str">
        <x:v>Correction</x:v>
      </x:c>
    </x:row>
    <x:row r="654" ht="23" customHeight="1">
      <x:c r="A654" s="17" t="str">
        <x:v>U00648</x:v>
      </x:c>
      <x:c r="B654" s="18" t="n">
        <x:v>46273</x:v>
      </x:c>
      <x:c r="C654" s="17" t="str">
        <x:v>W0071</x:v>
      </x:c>
      <x:c r="D654" s="17" t="str">
        <x:v>C002</x:v>
      </x:c>
      <x:c r="E654" s="17" t="str">
        <x:v>CampaignChat</x:v>
      </x:c>
      <x:c r="F654" s="17" t="str">
        <x:v>Lite</x:v>
      </x:c>
      <x:c r="G654" s="21" t="n">
        <x:v>22523</x:v>
      </x:c>
      <x:c r="H654" s="21" t="n">
        <x:v>10089</x:v>
      </x:c>
      <x:c r="I654" s="17" t="str">
        <x:v>Correction</x:v>
      </x:c>
    </x:row>
    <x:row r="655" ht="23" customHeight="1">
      <x:c r="A655" s="17" t="str">
        <x:v>U00649</x:v>
      </x:c>
      <x:c r="B655" s="18" t="n">
        <x:v>46273</x:v>
      </x:c>
      <x:c r="C655" s="17" t="str">
        <x:v>W0071</x:v>
      </x:c>
      <x:c r="D655" s="17" t="str">
        <x:v>C002</x:v>
      </x:c>
      <x:c r="E655" s="17" t="str">
        <x:v>CampaignChat</x:v>
      </x:c>
      <x:c r="F655" s="17" t="str">
        <x:v>Lite</x:v>
      </x:c>
      <x:c r="G655" s="21" t="n">
        <x:v>44440</x:v>
      </x:c>
      <x:c r="H655" s="21" t="n">
        <x:v>10076</x:v>
      </x:c>
      <x:c r="I655" s="17" t="str">
        <x:v>Correction</x:v>
      </x:c>
    </x:row>
    <x:row r="656" ht="23" customHeight="1">
      <x:c r="A656" s="17" t="str">
        <x:v>U00650</x:v>
      </x:c>
      <x:c r="B656" s="18" t="n">
        <x:v>46274</x:v>
      </x:c>
      <x:c r="C656" s="17" t="str">
        <x:v>W0071</x:v>
      </x:c>
      <x:c r="D656" s="17" t="str">
        <x:v>C002</x:v>
      </x:c>
      <x:c r="E656" s="17" t="str">
        <x:v>CampaignChat</x:v>
      </x:c>
      <x:c r="F656" s="17" t="str">
        <x:v>Lite</x:v>
      </x:c>
      <x:c r="G656" s="21" t="n">
        <x:v>24146</x:v>
      </x:c>
      <x:c r="H656" s="21" t="n">
        <x:v>10388</x:v>
      </x:c>
      <x:c r="I656" s="17" t="str">
        <x:v>Correction</x:v>
      </x:c>
    </x:row>
    <x:row r="657" ht="23" customHeight="1">
      <x:c r="A657" s="17" t="str">
        <x:v>U00651</x:v>
      </x:c>
      <x:c r="B657" s="18" t="n">
        <x:v>46274</x:v>
      </x:c>
      <x:c r="C657" s="17" t="str">
        <x:v>W0071</x:v>
      </x:c>
      <x:c r="D657" s="17" t="str">
        <x:v>C002</x:v>
      </x:c>
      <x:c r="E657" s="17" t="str">
        <x:v>CampaignChat</x:v>
      </x:c>
      <x:c r="F657" s="17" t="str">
        <x:v>Lite</x:v>
      </x:c>
      <x:c r="G657" s="21" t="n">
        <x:v>20107</x:v>
      </x:c>
      <x:c r="H657" s="21" t="n">
        <x:v>4215</x:v>
      </x:c>
      <x:c r="I657" s="17" t="str">
        <x:v>Followup</x:v>
      </x:c>
    </x:row>
    <x:row r="658" ht="23" customHeight="1">
      <x:c r="A658" s="17" t="str">
        <x:v>U00652</x:v>
      </x:c>
      <x:c r="B658" s="18" t="n">
        <x:v>46274</x:v>
      </x:c>
      <x:c r="C658" s="17" t="str">
        <x:v>W0071</x:v>
      </x:c>
      <x:c r="D658" s="17" t="str">
        <x:v>C002</x:v>
      </x:c>
      <x:c r="E658" s="17" t="str">
        <x:v>CampaignChat</x:v>
      </x:c>
      <x:c r="F658" s="17" t="str">
        <x:v>Lite</x:v>
      </x:c>
      <x:c r="G658" s="21" t="n">
        <x:v>24225</x:v>
      </x:c>
      <x:c r="H658" s="21" t="n">
        <x:v>7397</x:v>
      </x:c>
      <x:c r="I658" s="17" t="str">
        <x:v>Followup</x:v>
      </x:c>
    </x:row>
    <x:row r="659" ht="23" customHeight="1">
      <x:c r="A659" s="17" t="str">
        <x:v>U00653</x:v>
      </x:c>
      <x:c r="B659" s="18" t="n">
        <x:v>46274</x:v>
      </x:c>
      <x:c r="C659" s="17" t="str">
        <x:v>W0071</x:v>
      </x:c>
      <x:c r="D659" s="17" t="str">
        <x:v>C002</x:v>
      </x:c>
      <x:c r="E659" s="17" t="str">
        <x:v>CampaignChat</x:v>
      </x:c>
      <x:c r="F659" s="17" t="str">
        <x:v>Lite</x:v>
      </x:c>
      <x:c r="G659" s="21" t="n">
        <x:v>47745</x:v>
      </x:c>
      <x:c r="H659" s="21" t="n">
        <x:v>13434</x:v>
      </x:c>
      <x:c r="I659" s="17" t="str">
        <x:v>Followup</x:v>
      </x:c>
    </x:row>
    <x:row r="660" ht="23" customHeight="1">
      <x:c r="A660" s="17" t="str">
        <x:v>U00654</x:v>
      </x:c>
      <x:c r="B660" s="18" t="n">
        <x:v>46274</x:v>
      </x:c>
      <x:c r="C660" s="17" t="str">
        <x:v>W0071</x:v>
      </x:c>
      <x:c r="D660" s="17" t="str">
        <x:v>C002</x:v>
      </x:c>
      <x:c r="E660" s="17" t="str">
        <x:v>CampaignChat</x:v>
      </x:c>
      <x:c r="F660" s="17" t="str">
        <x:v>Lite</x:v>
      </x:c>
      <x:c r="G660" s="21" t="n">
        <x:v>45368</x:v>
      </x:c>
      <x:c r="H660" s="21" t="n">
        <x:v>12718</x:v>
      </x:c>
      <x:c r="I660" s="17" t="str">
        <x:v>Followup</x:v>
      </x:c>
    </x:row>
    <x:row r="661" ht="23" customHeight="1">
      <x:c r="A661" s="17" t="str">
        <x:v>U00655</x:v>
      </x:c>
      <x:c r="B661" s="18" t="n">
        <x:v>46275</x:v>
      </x:c>
      <x:c r="C661" s="17" t="str">
        <x:v>W0071</x:v>
      </x:c>
      <x:c r="D661" s="17" t="str">
        <x:v>C002</x:v>
      </x:c>
      <x:c r="E661" s="17" t="str">
        <x:v>CampaignChat</x:v>
      </x:c>
      <x:c r="F661" s="17" t="str">
        <x:v>Lite</x:v>
      </x:c>
      <x:c r="G661" s="21" t="n">
        <x:v>46120</x:v>
      </x:c>
      <x:c r="H661" s="21" t="n">
        <x:v>4534</x:v>
      </x:c>
      <x:c r="I661" s="17" t="str">
        <x:v>Followup</x:v>
      </x:c>
    </x:row>
    <x:row r="662" ht="23" customHeight="1">
      <x:c r="A662" s="17" t="str">
        <x:v>U00656</x:v>
      </x:c>
      <x:c r="B662" s="18" t="n">
        <x:v>46275</x:v>
      </x:c>
      <x:c r="C662" s="17" t="str">
        <x:v>W0071</x:v>
      </x:c>
      <x:c r="D662" s="17" t="str">
        <x:v>C002</x:v>
      </x:c>
      <x:c r="E662" s="17" t="str">
        <x:v>CampaignChat</x:v>
      </x:c>
      <x:c r="F662" s="17" t="str">
        <x:v>Lite</x:v>
      </x:c>
      <x:c r="G662" s="21" t="n">
        <x:v>28384</x:v>
      </x:c>
      <x:c r="H662" s="21" t="n">
        <x:v>10417</x:v>
      </x:c>
      <x:c r="I662" s="17" t="str">
        <x:v>Correction</x:v>
      </x:c>
    </x:row>
    <x:row r="663" ht="23" customHeight="1">
      <x:c r="A663" s="17" t="str">
        <x:v>U00657</x:v>
      </x:c>
      <x:c r="B663" s="18" t="n">
        <x:v>46275</x:v>
      </x:c>
      <x:c r="C663" s="17" t="str">
        <x:v>W0071</x:v>
      </x:c>
      <x:c r="D663" s="17" t="str">
        <x:v>C002</x:v>
      </x:c>
      <x:c r="E663" s="17" t="str">
        <x:v>CampaignChat</x:v>
      </x:c>
      <x:c r="F663" s="17" t="str">
        <x:v>Lite</x:v>
      </x:c>
      <x:c r="G663" s="21" t="n">
        <x:v>37769</x:v>
      </x:c>
      <x:c r="H663" s="21" t="n">
        <x:v>10123</x:v>
      </x:c>
      <x:c r="I663" s="17" t="str">
        <x:v>Followup</x:v>
      </x:c>
    </x:row>
    <x:row r="664" ht="23" customHeight="1">
      <x:c r="A664" s="17" t="str">
        <x:v>U00658</x:v>
      </x:c>
      <x:c r="B664" s="18" t="n">
        <x:v>46275</x:v>
      </x:c>
      <x:c r="C664" s="17" t="str">
        <x:v>W0071</x:v>
      </x:c>
      <x:c r="D664" s="17" t="str">
        <x:v>C002</x:v>
      </x:c>
      <x:c r="E664" s="17" t="str">
        <x:v>CampaignChat</x:v>
      </x:c>
      <x:c r="F664" s="17" t="str">
        <x:v>Lite</x:v>
      </x:c>
      <x:c r="G664" s="21" t="n">
        <x:v>28301</x:v>
      </x:c>
      <x:c r="H664" s="21" t="n">
        <x:v>8391</x:v>
      </x:c>
      <x:c r="I664" s="17" t="str">
        <x:v>Correction</x:v>
      </x:c>
    </x:row>
    <x:row r="665" ht="23" customHeight="1">
      <x:c r="A665" s="17" t="str">
        <x:v>U00659</x:v>
      </x:c>
      <x:c r="B665" s="18" t="n">
        <x:v>46275</x:v>
      </x:c>
      <x:c r="C665" s="17" t="str">
        <x:v>W0071</x:v>
      </x:c>
      <x:c r="D665" s="17" t="str">
        <x:v>C002</x:v>
      </x:c>
      <x:c r="E665" s="17" t="str">
        <x:v>CampaignChat</x:v>
      </x:c>
      <x:c r="F665" s="17" t="str">
        <x:v>Lite</x:v>
      </x:c>
      <x:c r="G665" s="21" t="n">
        <x:v>20951</x:v>
      </x:c>
      <x:c r="H665" s="21" t="n">
        <x:v>10232</x:v>
      </x:c>
      <x:c r="I665" s="17" t="str">
        <x:v>Correction</x:v>
      </x:c>
    </x:row>
    <x:row r="666" ht="23" customHeight="1">
      <x:c r="A666" s="17" t="str">
        <x:v>U00660</x:v>
      </x:c>
      <x:c r="B666" s="18" t="n">
        <x:v>46276</x:v>
      </x:c>
      <x:c r="C666" s="17" t="str">
        <x:v>W0071</x:v>
      </x:c>
      <x:c r="D666" s="17" t="str">
        <x:v>C002</x:v>
      </x:c>
      <x:c r="E666" s="17" t="str">
        <x:v>CampaignChat</x:v>
      </x:c>
      <x:c r="F666" s="17" t="str">
        <x:v>Lite</x:v>
      </x:c>
      <x:c r="G666" s="21" t="n">
        <x:v>22569</x:v>
      </x:c>
      <x:c r="H666" s="21" t="n">
        <x:v>4419</x:v>
      </x:c>
      <x:c r="I666" s="17" t="str">
        <x:v>Followup</x:v>
      </x:c>
    </x:row>
    <x:row r="667" ht="23" customHeight="1">
      <x:c r="A667" s="17" t="str">
        <x:v>U00661</x:v>
      </x:c>
      <x:c r="B667" s="18" t="n">
        <x:v>46276</x:v>
      </x:c>
      <x:c r="C667" s="17" t="str">
        <x:v>W0071</x:v>
      </x:c>
      <x:c r="D667" s="17" t="str">
        <x:v>C002</x:v>
      </x:c>
      <x:c r="E667" s="17" t="str">
        <x:v>CampaignChat</x:v>
      </x:c>
      <x:c r="F667" s="17" t="str">
        <x:v>Lite</x:v>
      </x:c>
      <x:c r="G667" s="21" t="n">
        <x:v>27144</x:v>
      </x:c>
      <x:c r="H667" s="21" t="n">
        <x:v>8662</x:v>
      </x:c>
      <x:c r="I667" s="17" t="str">
        <x:v>Followup</x:v>
      </x:c>
    </x:row>
    <x:row r="668" ht="23" customHeight="1">
      <x:c r="A668" s="17" t="str">
        <x:v>U00662</x:v>
      </x:c>
      <x:c r="B668" s="18" t="n">
        <x:v>46276</x:v>
      </x:c>
      <x:c r="C668" s="17" t="str">
        <x:v>W0071</x:v>
      </x:c>
      <x:c r="D668" s="17" t="str">
        <x:v>C002</x:v>
      </x:c>
      <x:c r="E668" s="17" t="str">
        <x:v>CampaignChat</x:v>
      </x:c>
      <x:c r="F668" s="17" t="str">
        <x:v>Lite</x:v>
      </x:c>
      <x:c r="G668" s="21" t="n">
        <x:v>20646</x:v>
      </x:c>
      <x:c r="H668" s="21" t="n">
        <x:v>11680</x:v>
      </x:c>
      <x:c r="I668" s="17" t="str">
        <x:v>Followup</x:v>
      </x:c>
    </x:row>
    <x:row r="669" ht="23" customHeight="1">
      <x:c r="A669" s="17" t="str">
        <x:v>U00663</x:v>
      </x:c>
      <x:c r="B669" s="18" t="n">
        <x:v>46276</x:v>
      </x:c>
      <x:c r="C669" s="17" t="str">
        <x:v>W0071</x:v>
      </x:c>
      <x:c r="D669" s="17" t="str">
        <x:v>C002</x:v>
      </x:c>
      <x:c r="E669" s="17" t="str">
        <x:v>CampaignChat</x:v>
      </x:c>
      <x:c r="F669" s="17" t="str">
        <x:v>Lite</x:v>
      </x:c>
      <x:c r="G669" s="21" t="n">
        <x:v>49196</x:v>
      </x:c>
      <x:c r="H669" s="21" t="n">
        <x:v>9533</x:v>
      </x:c>
      <x:c r="I669" s="17" t="str">
        <x:v>Followup</x:v>
      </x:c>
    </x:row>
    <x:row r="670" ht="23" customHeight="1">
      <x:c r="A670" s="17" t="str">
        <x:v>U00664</x:v>
      </x:c>
      <x:c r="B670" s="18" t="n">
        <x:v>46276</x:v>
      </x:c>
      <x:c r="C670" s="17" t="str">
        <x:v>W0071</x:v>
      </x:c>
      <x:c r="D670" s="17" t="str">
        <x:v>C002</x:v>
      </x:c>
      <x:c r="E670" s="17" t="str">
        <x:v>CampaignChat</x:v>
      </x:c>
      <x:c r="F670" s="17" t="str">
        <x:v>Lite</x:v>
      </x:c>
      <x:c r="G670" s="21" t="n">
        <x:v>47258</x:v>
      </x:c>
      <x:c r="H670" s="21" t="n">
        <x:v>9622</x:v>
      </x:c>
      <x:c r="I670" s="17" t="str">
        <x:v>Correction</x:v>
      </x:c>
    </x:row>
    <x:row r="671" ht="23" customHeight="1">
      <x:c r="A671" s="17" t="str">
        <x:v>U00665</x:v>
      </x:c>
      <x:c r="B671" s="18" t="n">
        <x:v>46282</x:v>
      </x:c>
      <x:c r="C671" s="17" t="str">
        <x:v>W0072</x:v>
      </x:c>
      <x:c r="D671" s="17" t="str">
        <x:v>C002</x:v>
      </x:c>
      <x:c r="E671" s="17" t="str">
        <x:v>CopyStudio</x:v>
      </x:c>
      <x:c r="F671" s="17" t="str">
        <x:v>Lite</x:v>
      </x:c>
      <x:c r="G671" s="21" t="n">
        <x:v>34852</x:v>
      </x:c>
      <x:c r="H671" s="21" t="n">
        <x:v>5359</x:v>
      </x:c>
      <x:c r="I671" s="17" t="str">
        <x:v>First attempt</x:v>
      </x:c>
    </x:row>
    <x:row r="672" ht="23" customHeight="1">
      <x:c r="A672" s="17" t="str">
        <x:v>U00666</x:v>
      </x:c>
      <x:c r="B672" s="18" t="n">
        <x:v>46282</x:v>
      </x:c>
      <x:c r="C672" s="17" t="str">
        <x:v>W0072</x:v>
      </x:c>
      <x:c r="D672" s="17" t="str">
        <x:v>C002</x:v>
      </x:c>
      <x:c r="E672" s="17" t="str">
        <x:v>CopyStudio</x:v>
      </x:c>
      <x:c r="F672" s="17" t="str">
        <x:v>Lite</x:v>
      </x:c>
      <x:c r="G672" s="21" t="n">
        <x:v>29555</x:v>
      </x:c>
      <x:c r="H672" s="21" t="n">
        <x:v>4544</x:v>
      </x:c>
      <x:c r="I672" s="17" t="str">
        <x:v>Followup</x:v>
      </x:c>
    </x:row>
    <x:row r="673" ht="23" customHeight="1">
      <x:c r="A673" s="17" t="str">
        <x:v>U00667</x:v>
      </x:c>
      <x:c r="B673" s="18" t="n">
        <x:v>46282</x:v>
      </x:c>
      <x:c r="C673" s="17" t="str">
        <x:v>W0072</x:v>
      </x:c>
      <x:c r="D673" s="17" t="str">
        <x:v>C002</x:v>
      </x:c>
      <x:c r="E673" s="17" t="str">
        <x:v>CopyStudio</x:v>
      </x:c>
      <x:c r="F673" s="17" t="str">
        <x:v>Lite</x:v>
      </x:c>
      <x:c r="G673" s="21" t="n">
        <x:v>27014</x:v>
      </x:c>
      <x:c r="H673" s="21" t="n">
        <x:v>4000</x:v>
      </x:c>
      <x:c r="I673" s="17" t="str">
        <x:v>Correction</x:v>
      </x:c>
    </x:row>
    <x:row r="674" ht="23" customHeight="1">
      <x:c r="A674" s="17" t="str">
        <x:v>U00668</x:v>
      </x:c>
      <x:c r="B674" s="18" t="n">
        <x:v>46282</x:v>
      </x:c>
      <x:c r="C674" s="17" t="str">
        <x:v>W0072</x:v>
      </x:c>
      <x:c r="D674" s="17" t="str">
        <x:v>C002</x:v>
      </x:c>
      <x:c r="E674" s="17" t="str">
        <x:v>CopyStudio</x:v>
      </x:c>
      <x:c r="F674" s="17" t="str">
        <x:v>Lite</x:v>
      </x:c>
      <x:c r="G674" s="21" t="n">
        <x:v>18126</x:v>
      </x:c>
      <x:c r="H674" s="21" t="n">
        <x:v>5123</x:v>
      </x:c>
      <x:c r="I674" s="17" t="str">
        <x:v>Followup</x:v>
      </x:c>
    </x:row>
    <x:row r="675" ht="23" customHeight="1">
      <x:c r="A675" s="17" t="str">
        <x:v>U00669</x:v>
      </x:c>
      <x:c r="B675" s="18" t="n">
        <x:v>46282</x:v>
      </x:c>
      <x:c r="C675" s="17" t="str">
        <x:v>W0072</x:v>
      </x:c>
      <x:c r="D675" s="17" t="str">
        <x:v>C002</x:v>
      </x:c>
      <x:c r="E675" s="17" t="str">
        <x:v>CopyStudio</x:v>
      </x:c>
      <x:c r="F675" s="17" t="str">
        <x:v>Lite</x:v>
      </x:c>
      <x:c r="G675" s="21" t="n">
        <x:v>15937</x:v>
      </x:c>
      <x:c r="H675" s="21" t="n">
        <x:v>5937</x:v>
      </x:c>
      <x:c r="I675" s="17" t="str">
        <x:v>Correction</x:v>
      </x:c>
    </x:row>
    <x:row r="676" ht="23" customHeight="1">
      <x:c r="A676" s="17" t="str">
        <x:v>U00670</x:v>
      </x:c>
      <x:c r="B676" s="18" t="n">
        <x:v>46282</x:v>
      </x:c>
      <x:c r="C676" s="17" t="str">
        <x:v>W0072</x:v>
      </x:c>
      <x:c r="D676" s="17" t="str">
        <x:v>C002</x:v>
      </x:c>
      <x:c r="E676" s="17" t="str">
        <x:v>CopyStudio</x:v>
      </x:c>
      <x:c r="F676" s="17" t="str">
        <x:v>Lite</x:v>
      </x:c>
      <x:c r="G676" s="21" t="n">
        <x:v>43465</x:v>
      </x:c>
      <x:c r="H676" s="21" t="n">
        <x:v>4108</x:v>
      </x:c>
      <x:c r="I676" s="17" t="str">
        <x:v>Followup</x:v>
      </x:c>
    </x:row>
    <x:row r="677" ht="23" customHeight="1">
      <x:c r="A677" s="17" t="str">
        <x:v>U00671</x:v>
      </x:c>
      <x:c r="B677" s="18" t="n">
        <x:v>46282</x:v>
      </x:c>
      <x:c r="C677" s="17" t="str">
        <x:v>W0072</x:v>
      </x:c>
      <x:c r="D677" s="17" t="str">
        <x:v>C002</x:v>
      </x:c>
      <x:c r="E677" s="17" t="str">
        <x:v>CopyStudio</x:v>
      </x:c>
      <x:c r="F677" s="17" t="str">
        <x:v>Lite</x:v>
      </x:c>
      <x:c r="G677" s="21" t="n">
        <x:v>36028</x:v>
      </x:c>
      <x:c r="H677" s="21" t="n">
        <x:v>5109</x:v>
      </x:c>
      <x:c r="I677" s="17" t="str">
        <x:v>Followup</x:v>
      </x:c>
    </x:row>
    <x:row r="678" ht="23" customHeight="1">
      <x:c r="A678" s="17" t="str">
        <x:v>U00672</x:v>
      </x:c>
      <x:c r="B678" s="18" t="n">
        <x:v>46282</x:v>
      </x:c>
      <x:c r="C678" s="17" t="str">
        <x:v>W0072</x:v>
      </x:c>
      <x:c r="D678" s="17" t="str">
        <x:v>C002</x:v>
      </x:c>
      <x:c r="E678" s="17" t="str">
        <x:v>CopyStudio</x:v>
      </x:c>
      <x:c r="F678" s="17" t="str">
        <x:v>Lite</x:v>
      </x:c>
      <x:c r="G678" s="21" t="n">
        <x:v>28036</x:v>
      </x:c>
      <x:c r="H678" s="21" t="n">
        <x:v>3734</x:v>
      </x:c>
      <x:c r="I678" s="17" t="str">
        <x:v>Followup</x:v>
      </x:c>
    </x:row>
    <x:row r="679" ht="23" customHeight="1">
      <x:c r="A679" s="17" t="str">
        <x:v>U00673</x:v>
      </x:c>
      <x:c r="B679" s="18" t="n">
        <x:v>46283</x:v>
      </x:c>
      <x:c r="C679" s="17" t="str">
        <x:v>W0072</x:v>
      </x:c>
      <x:c r="D679" s="17" t="str">
        <x:v>C002</x:v>
      </x:c>
      <x:c r="E679" s="17" t="str">
        <x:v>CopyStudio</x:v>
      </x:c>
      <x:c r="F679" s="17" t="str">
        <x:v>Lite</x:v>
      </x:c>
      <x:c r="G679" s="21" t="n">
        <x:v>18547</x:v>
      </x:c>
      <x:c r="H679" s="21" t="n">
        <x:v>3118</x:v>
      </x:c>
      <x:c r="I679" s="17" t="str">
        <x:v>Followup</x:v>
      </x:c>
    </x:row>
    <x:row r="680" ht="23" customHeight="1">
      <x:c r="A680" s="17" t="str">
        <x:v>U00674</x:v>
      </x:c>
      <x:c r="B680" s="18" t="n">
        <x:v>46283</x:v>
      </x:c>
      <x:c r="C680" s="17" t="str">
        <x:v>W0072</x:v>
      </x:c>
      <x:c r="D680" s="17" t="str">
        <x:v>C002</x:v>
      </x:c>
      <x:c r="E680" s="17" t="str">
        <x:v>CopyStudio</x:v>
      </x:c>
      <x:c r="F680" s="17" t="str">
        <x:v>Lite</x:v>
      </x:c>
      <x:c r="G680" s="21" t="n">
        <x:v>22165</x:v>
      </x:c>
      <x:c r="H680" s="21" t="n">
        <x:v>5678</x:v>
      </x:c>
      <x:c r="I680" s="17" t="str">
        <x:v>Correction</x:v>
      </x:c>
    </x:row>
    <x:row r="681" ht="23" customHeight="1">
      <x:c r="A681" s="17" t="str">
        <x:v>U00675</x:v>
      </x:c>
      <x:c r="B681" s="18" t="n">
        <x:v>46283</x:v>
      </x:c>
      <x:c r="C681" s="17" t="str">
        <x:v>W0072</x:v>
      </x:c>
      <x:c r="D681" s="17" t="str">
        <x:v>C002</x:v>
      </x:c>
      <x:c r="E681" s="17" t="str">
        <x:v>CopyStudio</x:v>
      </x:c>
      <x:c r="F681" s="17" t="str">
        <x:v>Lite</x:v>
      </x:c>
      <x:c r="G681" s="21" t="n">
        <x:v>20011</x:v>
      </x:c>
      <x:c r="H681" s="21" t="n">
        <x:v>5866</x:v>
      </x:c>
      <x:c r="I681" s="17" t="str">
        <x:v>Correction</x:v>
      </x:c>
    </x:row>
    <x:row r="682" ht="23" customHeight="1">
      <x:c r="A682" s="17" t="str">
        <x:v>U00676</x:v>
      </x:c>
      <x:c r="B682" s="18" t="n">
        <x:v>46283</x:v>
      </x:c>
      <x:c r="C682" s="17" t="str">
        <x:v>W0072</x:v>
      </x:c>
      <x:c r="D682" s="17" t="str">
        <x:v>C002</x:v>
      </x:c>
      <x:c r="E682" s="17" t="str">
        <x:v>CopyStudio</x:v>
      </x:c>
      <x:c r="F682" s="17" t="str">
        <x:v>Lite</x:v>
      </x:c>
      <x:c r="G682" s="21" t="n">
        <x:v>28224</x:v>
      </x:c>
      <x:c r="H682" s="21" t="n">
        <x:v>3570</x:v>
      </x:c>
      <x:c r="I682" s="17" t="str">
        <x:v>Correction</x:v>
      </x:c>
    </x:row>
    <x:row r="683" ht="23" customHeight="1">
      <x:c r="A683" s="17" t="str">
        <x:v>U00677</x:v>
      </x:c>
      <x:c r="B683" s="18" t="n">
        <x:v>46283</x:v>
      </x:c>
      <x:c r="C683" s="17" t="str">
        <x:v>W0072</x:v>
      </x:c>
      <x:c r="D683" s="17" t="str">
        <x:v>C002</x:v>
      </x:c>
      <x:c r="E683" s="17" t="str">
        <x:v>CopyStudio</x:v>
      </x:c>
      <x:c r="F683" s="17" t="str">
        <x:v>Lite</x:v>
      </x:c>
      <x:c r="G683" s="21" t="n">
        <x:v>27598</x:v>
      </x:c>
      <x:c r="H683" s="21" t="n">
        <x:v>3344</x:v>
      </x:c>
      <x:c r="I683" s="17" t="str">
        <x:v>Correction</x:v>
      </x:c>
    </x:row>
    <x:row r="684" ht="23" customHeight="1">
      <x:c r="A684" s="17" t="str">
        <x:v>U00678</x:v>
      </x:c>
      <x:c r="B684" s="18" t="n">
        <x:v>46283</x:v>
      </x:c>
      <x:c r="C684" s="17" t="str">
        <x:v>W0072</x:v>
      </x:c>
      <x:c r="D684" s="17" t="str">
        <x:v>C002</x:v>
      </x:c>
      <x:c r="E684" s="17" t="str">
        <x:v>CopyStudio</x:v>
      </x:c>
      <x:c r="F684" s="17" t="str">
        <x:v>Lite</x:v>
      </x:c>
      <x:c r="G684" s="21" t="n">
        <x:v>42395</x:v>
      </x:c>
      <x:c r="H684" s="21" t="n">
        <x:v>2292</x:v>
      </x:c>
      <x:c r="I684" s="17" t="str">
        <x:v>Followup</x:v>
      </x:c>
    </x:row>
    <x:row r="685" ht="23" customHeight="1">
      <x:c r="A685" s="17" t="str">
        <x:v>U00679</x:v>
      </x:c>
      <x:c r="B685" s="18" t="n">
        <x:v>46283</x:v>
      </x:c>
      <x:c r="C685" s="17" t="str">
        <x:v>W0072</x:v>
      </x:c>
      <x:c r="D685" s="17" t="str">
        <x:v>C002</x:v>
      </x:c>
      <x:c r="E685" s="17" t="str">
        <x:v>CopyStudio</x:v>
      </x:c>
      <x:c r="F685" s="17" t="str">
        <x:v>Lite</x:v>
      </x:c>
      <x:c r="G685" s="21" t="n">
        <x:v>18974</x:v>
      </x:c>
      <x:c r="H685" s="21" t="n">
        <x:v>4589</x:v>
      </x:c>
      <x:c r="I685" s="17" t="str">
        <x:v>Followup</x:v>
      </x:c>
    </x:row>
    <x:row r="686" ht="23" customHeight="1">
      <x:c r="A686" s="17" t="str">
        <x:v>U00680</x:v>
      </x:c>
      <x:c r="B686" s="18" t="n">
        <x:v>46286</x:v>
      </x:c>
      <x:c r="C686" s="17" t="str">
        <x:v>W0072</x:v>
      </x:c>
      <x:c r="D686" s="17" t="str">
        <x:v>C002</x:v>
      </x:c>
      <x:c r="E686" s="17" t="str">
        <x:v>CopyStudio</x:v>
      </x:c>
      <x:c r="F686" s="17" t="str">
        <x:v>Lite</x:v>
      </x:c>
      <x:c r="G686" s="21" t="n">
        <x:v>42543</x:v>
      </x:c>
      <x:c r="H686" s="21" t="n">
        <x:v>2274</x:v>
      </x:c>
      <x:c r="I686" s="17" t="str">
        <x:v>Correction</x:v>
      </x:c>
    </x:row>
    <x:row r="687" ht="23" customHeight="1">
      <x:c r="A687" s="17" t="str">
        <x:v>U00681</x:v>
      </x:c>
      <x:c r="B687" s="18" t="n">
        <x:v>46286</x:v>
      </x:c>
      <x:c r="C687" s="17" t="str">
        <x:v>W0072</x:v>
      </x:c>
      <x:c r="D687" s="17" t="str">
        <x:v>C002</x:v>
      </x:c>
      <x:c r="E687" s="17" t="str">
        <x:v>CopyStudio</x:v>
      </x:c>
      <x:c r="F687" s="17" t="str">
        <x:v>Lite</x:v>
      </x:c>
      <x:c r="G687" s="21" t="n">
        <x:v>25890</x:v>
      </x:c>
      <x:c r="H687" s="21" t="n">
        <x:v>5273</x:v>
      </x:c>
      <x:c r="I687" s="17" t="str">
        <x:v>Correction</x:v>
      </x:c>
    </x:row>
    <x:row r="688" ht="23" customHeight="1">
      <x:c r="A688" s="17" t="str">
        <x:v>U00682</x:v>
      </x:c>
      <x:c r="B688" s="18" t="n">
        <x:v>46286</x:v>
      </x:c>
      <x:c r="C688" s="17" t="str">
        <x:v>W0072</x:v>
      </x:c>
      <x:c r="D688" s="17" t="str">
        <x:v>C002</x:v>
      </x:c>
      <x:c r="E688" s="17" t="str">
        <x:v>CopyStudio</x:v>
      </x:c>
      <x:c r="F688" s="17" t="str">
        <x:v>Lite</x:v>
      </x:c>
      <x:c r="G688" s="21" t="n">
        <x:v>30428</x:v>
      </x:c>
      <x:c r="H688" s="21" t="n">
        <x:v>5307</x:v>
      </x:c>
      <x:c r="I688" s="17" t="str">
        <x:v>Followup</x:v>
      </x:c>
    </x:row>
    <x:row r="689" ht="23" customHeight="1">
      <x:c r="A689" s="17" t="str">
        <x:v>U00683</x:v>
      </x:c>
      <x:c r="B689" s="18" t="n">
        <x:v>46286</x:v>
      </x:c>
      <x:c r="C689" s="17" t="str">
        <x:v>W0072</x:v>
      </x:c>
      <x:c r="D689" s="17" t="str">
        <x:v>C002</x:v>
      </x:c>
      <x:c r="E689" s="17" t="str">
        <x:v>CopyStudio</x:v>
      </x:c>
      <x:c r="F689" s="17" t="str">
        <x:v>Lite</x:v>
      </x:c>
      <x:c r="G689" s="21" t="n">
        <x:v>41949</x:v>
      </x:c>
      <x:c r="H689" s="21" t="n">
        <x:v>2974</x:v>
      </x:c>
      <x:c r="I689" s="17" t="str">
        <x:v>Followup</x:v>
      </x:c>
    </x:row>
    <x:row r="690" ht="23" customHeight="1">
      <x:c r="A690" s="17" t="str">
        <x:v>U00684</x:v>
      </x:c>
      <x:c r="B690" s="18" t="n">
        <x:v>46286</x:v>
      </x:c>
      <x:c r="C690" s="17" t="str">
        <x:v>W0072</x:v>
      </x:c>
      <x:c r="D690" s="17" t="str">
        <x:v>C002</x:v>
      </x:c>
      <x:c r="E690" s="17" t="str">
        <x:v>CopyStudio</x:v>
      </x:c>
      <x:c r="F690" s="17" t="str">
        <x:v>Lite</x:v>
      </x:c>
      <x:c r="G690" s="21" t="n">
        <x:v>19873</x:v>
      </x:c>
      <x:c r="H690" s="21" t="n">
        <x:v>5575</x:v>
      </x:c>
      <x:c r="I690" s="17" t="str">
        <x:v>Followup</x:v>
      </x:c>
    </x:row>
    <x:row r="691" ht="23" customHeight="1">
      <x:c r="A691" s="17" t="str">
        <x:v>U00685</x:v>
      </x:c>
      <x:c r="B691" s="18" t="n">
        <x:v>46286</x:v>
      </x:c>
      <x:c r="C691" s="17" t="str">
        <x:v>W0072</x:v>
      </x:c>
      <x:c r="D691" s="17" t="str">
        <x:v>C002</x:v>
      </x:c>
      <x:c r="E691" s="17" t="str">
        <x:v>CopyStudio</x:v>
      </x:c>
      <x:c r="F691" s="17" t="str">
        <x:v>Lite</x:v>
      </x:c>
      <x:c r="G691" s="21" t="n">
        <x:v>38472</x:v>
      </x:c>
      <x:c r="H691" s="21" t="n">
        <x:v>1654</x:v>
      </x:c>
      <x:c r="I691" s="17" t="str">
        <x:v>Followup</x:v>
      </x:c>
    </x:row>
    <x:row r="692" ht="23" customHeight="1">
      <x:c r="A692" s="17" t="str">
        <x:v>U00686</x:v>
      </x:c>
      <x:c r="B692" s="18" t="n">
        <x:v>46286</x:v>
      </x:c>
      <x:c r="C692" s="17" t="str">
        <x:v>W0072</x:v>
      </x:c>
      <x:c r="D692" s="17" t="str">
        <x:v>C002</x:v>
      </x:c>
      <x:c r="E692" s="17" t="str">
        <x:v>CopyStudio</x:v>
      </x:c>
      <x:c r="F692" s="17" t="str">
        <x:v>Lite</x:v>
      </x:c>
      <x:c r="G692" s="21" t="n">
        <x:v>31338</x:v>
      </x:c>
      <x:c r="H692" s="21" t="n">
        <x:v>3206</x:v>
      </x:c>
      <x:c r="I692" s="17" t="str">
        <x:v>Followup</x:v>
      </x:c>
    </x:row>
    <x:row r="693" ht="23" customHeight="1">
      <x:c r="A693" s="17" t="str">
        <x:v>U00687</x:v>
      </x:c>
      <x:c r="B693" s="18" t="n">
        <x:v>46287</x:v>
      </x:c>
      <x:c r="C693" s="17" t="str">
        <x:v>W0072</x:v>
      </x:c>
      <x:c r="D693" s="17" t="str">
        <x:v>C002</x:v>
      </x:c>
      <x:c r="E693" s="17" t="str">
        <x:v>CopyStudio</x:v>
      </x:c>
      <x:c r="F693" s="17" t="str">
        <x:v>Lite</x:v>
      </x:c>
      <x:c r="G693" s="21" t="n">
        <x:v>21122</x:v>
      </x:c>
      <x:c r="H693" s="21" t="n">
        <x:v>2337</x:v>
      </x:c>
      <x:c r="I693" s="17" t="str">
        <x:v>Correction</x:v>
      </x:c>
    </x:row>
    <x:row r="694" ht="23" customHeight="1">
      <x:c r="A694" s="17" t="str">
        <x:v>U00688</x:v>
      </x:c>
      <x:c r="B694" s="18" t="n">
        <x:v>46287</x:v>
      </x:c>
      <x:c r="C694" s="17" t="str">
        <x:v>W0072</x:v>
      </x:c>
      <x:c r="D694" s="17" t="str">
        <x:v>C002</x:v>
      </x:c>
      <x:c r="E694" s="17" t="str">
        <x:v>CopyStudio</x:v>
      </x:c>
      <x:c r="F694" s="17" t="str">
        <x:v>Lite</x:v>
      </x:c>
      <x:c r="G694" s="21" t="n">
        <x:v>15453</x:v>
      </x:c>
      <x:c r="H694" s="21" t="n">
        <x:v>2624</x:v>
      </x:c>
      <x:c r="I694" s="17" t="str">
        <x:v>Correction</x:v>
      </x:c>
    </x:row>
    <x:row r="695" ht="23" customHeight="1">
      <x:c r="A695" s="17" t="str">
        <x:v>U00689</x:v>
      </x:c>
      <x:c r="B695" s="18" t="n">
        <x:v>46287</x:v>
      </x:c>
      <x:c r="C695" s="17" t="str">
        <x:v>W0072</x:v>
      </x:c>
      <x:c r="D695" s="17" t="str">
        <x:v>C002</x:v>
      </x:c>
      <x:c r="E695" s="17" t="str">
        <x:v>CopyStudio</x:v>
      </x:c>
      <x:c r="F695" s="17" t="str">
        <x:v>Lite</x:v>
      </x:c>
      <x:c r="G695" s="21" t="n">
        <x:v>32800</x:v>
      </x:c>
      <x:c r="H695" s="21" t="n">
        <x:v>2467</x:v>
      </x:c>
      <x:c r="I695" s="17" t="str">
        <x:v>Correction</x:v>
      </x:c>
    </x:row>
    <x:row r="696" ht="23" customHeight="1">
      <x:c r="A696" s="17" t="str">
        <x:v>U00690</x:v>
      </x:c>
      <x:c r="B696" s="18" t="n">
        <x:v>46287</x:v>
      </x:c>
      <x:c r="C696" s="17" t="str">
        <x:v>W0072</x:v>
      </x:c>
      <x:c r="D696" s="17" t="str">
        <x:v>C002</x:v>
      </x:c>
      <x:c r="E696" s="17" t="str">
        <x:v>CopyStudio</x:v>
      </x:c>
      <x:c r="F696" s="17" t="str">
        <x:v>Lite</x:v>
      </x:c>
      <x:c r="G696" s="21" t="n">
        <x:v>20518</x:v>
      </x:c>
      <x:c r="H696" s="21" t="n">
        <x:v>1769</x:v>
      </x:c>
      <x:c r="I696" s="17" t="str">
        <x:v>Followup</x:v>
      </x:c>
    </x:row>
    <x:row r="697" ht="23" customHeight="1">
      <x:c r="A697" s="17" t="str">
        <x:v>U00691</x:v>
      </x:c>
      <x:c r="B697" s="18" t="n">
        <x:v>46287</x:v>
      </x:c>
      <x:c r="C697" s="17" t="str">
        <x:v>W0072</x:v>
      </x:c>
      <x:c r="D697" s="17" t="str">
        <x:v>C002</x:v>
      </x:c>
      <x:c r="E697" s="17" t="str">
        <x:v>CopyStudio</x:v>
      </x:c>
      <x:c r="F697" s="17" t="str">
        <x:v>Lite</x:v>
      </x:c>
      <x:c r="G697" s="21" t="n">
        <x:v>18386</x:v>
      </x:c>
      <x:c r="H697" s="21" t="n">
        <x:v>3881</x:v>
      </x:c>
      <x:c r="I697" s="17" t="str">
        <x:v>Followup</x:v>
      </x:c>
    </x:row>
    <x:row r="698" ht="23" customHeight="1">
      <x:c r="A698" s="17" t="str">
        <x:v>U00692</x:v>
      </x:c>
      <x:c r="B698" s="18" t="n">
        <x:v>46287</x:v>
      </x:c>
      <x:c r="C698" s="17" t="str">
        <x:v>W0072</x:v>
      </x:c>
      <x:c r="D698" s="17" t="str">
        <x:v>C002</x:v>
      </x:c>
      <x:c r="E698" s="17" t="str">
        <x:v>CopyStudio</x:v>
      </x:c>
      <x:c r="F698" s="17" t="str">
        <x:v>Lite</x:v>
      </x:c>
      <x:c r="G698" s="21" t="n">
        <x:v>20742</x:v>
      </x:c>
      <x:c r="H698" s="21" t="n">
        <x:v>5545</x:v>
      </x:c>
      <x:c r="I698" s="17" t="str">
        <x:v>Correction</x:v>
      </x:c>
    </x:row>
    <x:row r="699" ht="23" customHeight="1">
      <x:c r="A699" s="17" t="str">
        <x:v>U00693</x:v>
      </x:c>
      <x:c r="B699" s="18" t="n">
        <x:v>46287</x:v>
      </x:c>
      <x:c r="C699" s="17" t="str">
        <x:v>W0072</x:v>
      </x:c>
      <x:c r="D699" s="17" t="str">
        <x:v>C002</x:v>
      </x:c>
      <x:c r="E699" s="17" t="str">
        <x:v>CopyStudio</x:v>
      </x:c>
      <x:c r="F699" s="17" t="str">
        <x:v>Lite</x:v>
      </x:c>
      <x:c r="G699" s="21" t="n">
        <x:v>38008</x:v>
      </x:c>
      <x:c r="H699" s="21" t="n">
        <x:v>5799</x:v>
      </x:c>
      <x:c r="I699" s="17" t="str">
        <x:v>Correction</x:v>
      </x:c>
    </x:row>
    <x:row r="700" ht="23" customHeight="1">
      <x:c r="A700" s="17" t="str">
        <x:v>U00694</x:v>
      </x:c>
      <x:c r="B700" s="18" t="n">
        <x:v>46266</x:v>
      </x:c>
      <x:c r="C700" s="17" t="str">
        <x:v>W0073</x:v>
      </x:c>
      <x:c r="D700" s="17" t="str">
        <x:v>C002</x:v>
      </x:c>
      <x:c r="E700" s="17" t="str">
        <x:v>DataFlow</x:v>
      </x:c>
      <x:c r="F700" s="17" t="str">
        <x:v>Lite</x:v>
      </x:c>
      <x:c r="G700" s="21" t="n">
        <x:v>25805</x:v>
      </x:c>
      <x:c r="H700" s="21" t="n">
        <x:v>6097</x:v>
      </x:c>
      <x:c r="I700" s="17" t="str">
        <x:v>First attempt</x:v>
      </x:c>
    </x:row>
    <x:row r="701" ht="23" customHeight="1">
      <x:c r="A701" s="17" t="str">
        <x:v>U00695</x:v>
      </x:c>
      <x:c r="B701" s="18" t="n">
        <x:v>46266</x:v>
      </x:c>
      <x:c r="C701" s="17" t="str">
        <x:v>W0073</x:v>
      </x:c>
      <x:c r="D701" s="17" t="str">
        <x:v>C002</x:v>
      </x:c>
      <x:c r="E701" s="17" t="str">
        <x:v>DataFlow</x:v>
      </x:c>
      <x:c r="F701" s="17" t="str">
        <x:v>Lite</x:v>
      </x:c>
      <x:c r="G701" s="21" t="n">
        <x:v>29197</x:v>
      </x:c>
      <x:c r="H701" s="21" t="n">
        <x:v>4112</x:v>
      </x:c>
      <x:c r="I701" s="17" t="str">
        <x:v>Followup</x:v>
      </x:c>
    </x:row>
    <x:row r="702" ht="23" customHeight="1">
      <x:c r="A702" s="17" t="str">
        <x:v>U00696</x:v>
      </x:c>
      <x:c r="B702" s="18" t="n">
        <x:v>46266</x:v>
      </x:c>
      <x:c r="C702" s="17" t="str">
        <x:v>W0073</x:v>
      </x:c>
      <x:c r="D702" s="17" t="str">
        <x:v>C002</x:v>
      </x:c>
      <x:c r="E702" s="17" t="str">
        <x:v>DataFlow</x:v>
      </x:c>
      <x:c r="F702" s="17" t="str">
        <x:v>Lite</x:v>
      </x:c>
      <x:c r="G702" s="21" t="n">
        <x:v>38677</x:v>
      </x:c>
      <x:c r="H702" s="21" t="n">
        <x:v>7665</x:v>
      </x:c>
      <x:c r="I702" s="17" t="str">
        <x:v>Followup</x:v>
      </x:c>
    </x:row>
    <x:row r="703" ht="23" customHeight="1">
      <x:c r="A703" s="17" t="str">
        <x:v>U00697</x:v>
      </x:c>
      <x:c r="B703" s="18" t="n">
        <x:v>46266</x:v>
      </x:c>
      <x:c r="C703" s="17" t="str">
        <x:v>W0073</x:v>
      </x:c>
      <x:c r="D703" s="17" t="str">
        <x:v>C002</x:v>
      </x:c>
      <x:c r="E703" s="17" t="str">
        <x:v>DataFlow</x:v>
      </x:c>
      <x:c r="F703" s="17" t="str">
        <x:v>Lite</x:v>
      </x:c>
      <x:c r="G703" s="21" t="n">
        <x:v>30026</x:v>
      </x:c>
      <x:c r="H703" s="21" t="n">
        <x:v>6791</x:v>
      </x:c>
      <x:c r="I703" s="17" t="str">
        <x:v>Followup</x:v>
      </x:c>
    </x:row>
    <x:row r="704" ht="23" customHeight="1">
      <x:c r="A704" s="17" t="str">
        <x:v>U00698</x:v>
      </x:c>
      <x:c r="B704" s="18" t="n">
        <x:v>46266</x:v>
      </x:c>
      <x:c r="C704" s="17" t="str">
        <x:v>W0073</x:v>
      </x:c>
      <x:c r="D704" s="17" t="str">
        <x:v>C002</x:v>
      </x:c>
      <x:c r="E704" s="17" t="str">
        <x:v>DataFlow</x:v>
      </x:c>
      <x:c r="F704" s="17" t="str">
        <x:v>Lite</x:v>
      </x:c>
      <x:c r="G704" s="21" t="n">
        <x:v>57874</x:v>
      </x:c>
      <x:c r="H704" s="21" t="n">
        <x:v>7520</x:v>
      </x:c>
      <x:c r="I704" s="17" t="str">
        <x:v>Followup</x:v>
      </x:c>
    </x:row>
    <x:row r="705" ht="23" customHeight="1">
      <x:c r="A705" s="17" t="str">
        <x:v>U00699</x:v>
      </x:c>
      <x:c r="B705" s="18" t="n">
        <x:v>46266</x:v>
      </x:c>
      <x:c r="C705" s="17" t="str">
        <x:v>W0073</x:v>
      </x:c>
      <x:c r="D705" s="17" t="str">
        <x:v>C002</x:v>
      </x:c>
      <x:c r="E705" s="17" t="str">
        <x:v>DataFlow</x:v>
      </x:c>
      <x:c r="F705" s="17" t="str">
        <x:v>Lite</x:v>
      </x:c>
      <x:c r="G705" s="21" t="n">
        <x:v>32685</x:v>
      </x:c>
      <x:c r="H705" s="21" t="n">
        <x:v>3893</x:v>
      </x:c>
      <x:c r="I705" s="17" t="str">
        <x:v>Followup</x:v>
      </x:c>
    </x:row>
    <x:row r="706" ht="23" customHeight="1">
      <x:c r="A706" s="17" t="str">
        <x:v>U00700</x:v>
      </x:c>
      <x:c r="B706" s="18" t="n">
        <x:v>46267</x:v>
      </x:c>
      <x:c r="C706" s="17" t="str">
        <x:v>W0073</x:v>
      </x:c>
      <x:c r="D706" s="17" t="str">
        <x:v>C002</x:v>
      </x:c>
      <x:c r="E706" s="17" t="str">
        <x:v>DataFlow</x:v>
      </x:c>
      <x:c r="F706" s="17" t="str">
        <x:v>Lite</x:v>
      </x:c>
      <x:c r="G706" s="21" t="n">
        <x:v>47727</x:v>
      </x:c>
      <x:c r="H706" s="21" t="n">
        <x:v>4792</x:v>
      </x:c>
      <x:c r="I706" s="17" t="str">
        <x:v>Correction</x:v>
      </x:c>
    </x:row>
    <x:row r="707" ht="23" customHeight="1">
      <x:c r="A707" s="17" t="str">
        <x:v>U00701</x:v>
      </x:c>
      <x:c r="B707" s="18" t="n">
        <x:v>46267</x:v>
      </x:c>
      <x:c r="C707" s="17" t="str">
        <x:v>W0073</x:v>
      </x:c>
      <x:c r="D707" s="17" t="str">
        <x:v>C002</x:v>
      </x:c>
      <x:c r="E707" s="17" t="str">
        <x:v>DataFlow</x:v>
      </x:c>
      <x:c r="F707" s="17" t="str">
        <x:v>Lite</x:v>
      </x:c>
      <x:c r="G707" s="21" t="n">
        <x:v>53288</x:v>
      </x:c>
      <x:c r="H707" s="21" t="n">
        <x:v>7062</x:v>
      </x:c>
      <x:c r="I707" s="17" t="str">
        <x:v>Followup</x:v>
      </x:c>
    </x:row>
    <x:row r="708" ht="23" customHeight="1">
      <x:c r="A708" s="17" t="str">
        <x:v>U00702</x:v>
      </x:c>
      <x:c r="B708" s="18" t="n">
        <x:v>46267</x:v>
      </x:c>
      <x:c r="C708" s="17" t="str">
        <x:v>W0073</x:v>
      </x:c>
      <x:c r="D708" s="17" t="str">
        <x:v>C002</x:v>
      </x:c>
      <x:c r="E708" s="17" t="str">
        <x:v>DataFlow</x:v>
      </x:c>
      <x:c r="F708" s="17" t="str">
        <x:v>Lite</x:v>
      </x:c>
      <x:c r="G708" s="21" t="n">
        <x:v>42727</x:v>
      </x:c>
      <x:c r="H708" s="21" t="n">
        <x:v>3590</x:v>
      </x:c>
      <x:c r="I708" s="17" t="str">
        <x:v>Correction</x:v>
      </x:c>
    </x:row>
    <x:row r="709" ht="23" customHeight="1">
      <x:c r="A709" s="17" t="str">
        <x:v>U00703</x:v>
      </x:c>
      <x:c r="B709" s="18" t="n">
        <x:v>46267</x:v>
      </x:c>
      <x:c r="C709" s="17" t="str">
        <x:v>W0073</x:v>
      </x:c>
      <x:c r="D709" s="17" t="str">
        <x:v>C002</x:v>
      </x:c>
      <x:c r="E709" s="17" t="str">
        <x:v>DataFlow</x:v>
      </x:c>
      <x:c r="F709" s="17" t="str">
        <x:v>Lite</x:v>
      </x:c>
      <x:c r="G709" s="21" t="n">
        <x:v>23333</x:v>
      </x:c>
      <x:c r="H709" s="21" t="n">
        <x:v>7736</x:v>
      </x:c>
      <x:c r="I709" s="17" t="str">
        <x:v>Correction</x:v>
      </x:c>
    </x:row>
    <x:row r="710" ht="23" customHeight="1">
      <x:c r="A710" s="17" t="str">
        <x:v>U00704</x:v>
      </x:c>
      <x:c r="B710" s="18" t="n">
        <x:v>46267</x:v>
      </x:c>
      <x:c r="C710" s="17" t="str">
        <x:v>W0073</x:v>
      </x:c>
      <x:c r="D710" s="17" t="str">
        <x:v>C002</x:v>
      </x:c>
      <x:c r="E710" s="17" t="str">
        <x:v>DataFlow</x:v>
      </x:c>
      <x:c r="F710" s="17" t="str">
        <x:v>Lite</x:v>
      </x:c>
      <x:c r="G710" s="21" t="n">
        <x:v>50276</x:v>
      </x:c>
      <x:c r="H710" s="21" t="n">
        <x:v>5928</x:v>
      </x:c>
      <x:c r="I710" s="17" t="str">
        <x:v>Correction</x:v>
      </x:c>
    </x:row>
    <x:row r="711" ht="23" customHeight="1">
      <x:c r="A711" s="17" t="str">
        <x:v>U00705</x:v>
      </x:c>
      <x:c r="B711" s="18" t="n">
        <x:v>46267</x:v>
      </x:c>
      <x:c r="C711" s="17" t="str">
        <x:v>W0073</x:v>
      </x:c>
      <x:c r="D711" s="17" t="str">
        <x:v>C002</x:v>
      </x:c>
      <x:c r="E711" s="17" t="str">
        <x:v>DataFlow</x:v>
      </x:c>
      <x:c r="F711" s="17" t="str">
        <x:v>Lite</x:v>
      </x:c>
      <x:c r="G711" s="21" t="n">
        <x:v>38752</x:v>
      </x:c>
      <x:c r="H711" s="21" t="n">
        <x:v>4342</x:v>
      </x:c>
      <x:c r="I711" s="17" t="str">
        <x:v>Correction</x:v>
      </x:c>
    </x:row>
    <x:row r="712" ht="23" customHeight="1">
      <x:c r="A712" s="17" t="str">
        <x:v>U00706</x:v>
      </x:c>
      <x:c r="B712" s="18" t="n">
        <x:v>46268</x:v>
      </x:c>
      <x:c r="C712" s="17" t="str">
        <x:v>W0073</x:v>
      </x:c>
      <x:c r="D712" s="17" t="str">
        <x:v>C002</x:v>
      </x:c>
      <x:c r="E712" s="17" t="str">
        <x:v>DataFlow</x:v>
      </x:c>
      <x:c r="F712" s="17" t="str">
        <x:v>Lite</x:v>
      </x:c>
      <x:c r="G712" s="21" t="n">
        <x:v>44933</x:v>
      </x:c>
      <x:c r="H712" s="21" t="n">
        <x:v>6238</x:v>
      </x:c>
      <x:c r="I712" s="17" t="str">
        <x:v>Correction</x:v>
      </x:c>
    </x:row>
    <x:row r="713" ht="23" customHeight="1">
      <x:c r="A713" s="17" t="str">
        <x:v>U00707</x:v>
      </x:c>
      <x:c r="B713" s="18" t="n">
        <x:v>46268</x:v>
      </x:c>
      <x:c r="C713" s="17" t="str">
        <x:v>W0073</x:v>
      </x:c>
      <x:c r="D713" s="17" t="str">
        <x:v>C002</x:v>
      </x:c>
      <x:c r="E713" s="17" t="str">
        <x:v>DataFlow</x:v>
      </x:c>
      <x:c r="F713" s="17" t="str">
        <x:v>Lite</x:v>
      </x:c>
      <x:c r="G713" s="21" t="n">
        <x:v>65502</x:v>
      </x:c>
      <x:c r="H713" s="21" t="n">
        <x:v>7144</x:v>
      </x:c>
      <x:c r="I713" s="17" t="str">
        <x:v>Correction</x:v>
      </x:c>
    </x:row>
    <x:row r="714" ht="23" customHeight="1">
      <x:c r="A714" s="17" t="str">
        <x:v>U00708</x:v>
      </x:c>
      <x:c r="B714" s="18" t="n">
        <x:v>46268</x:v>
      </x:c>
      <x:c r="C714" s="17" t="str">
        <x:v>W0073</x:v>
      </x:c>
      <x:c r="D714" s="17" t="str">
        <x:v>C002</x:v>
      </x:c>
      <x:c r="E714" s="17" t="str">
        <x:v>DataFlow</x:v>
      </x:c>
      <x:c r="F714" s="17" t="str">
        <x:v>Lite</x:v>
      </x:c>
      <x:c r="G714" s="21" t="n">
        <x:v>33242</x:v>
      </x:c>
      <x:c r="H714" s="21" t="n">
        <x:v>6857</x:v>
      </x:c>
      <x:c r="I714" s="17" t="str">
        <x:v>Followup</x:v>
      </x:c>
    </x:row>
    <x:row r="715" ht="23" customHeight="1">
      <x:c r="A715" s="17" t="str">
        <x:v>U00709</x:v>
      </x:c>
      <x:c r="B715" s="18" t="n">
        <x:v>46268</x:v>
      </x:c>
      <x:c r="C715" s="17" t="str">
        <x:v>W0073</x:v>
      </x:c>
      <x:c r="D715" s="17" t="str">
        <x:v>C002</x:v>
      </x:c>
      <x:c r="E715" s="17" t="str">
        <x:v>DataFlow</x:v>
      </x:c>
      <x:c r="F715" s="17" t="str">
        <x:v>Lite</x:v>
      </x:c>
      <x:c r="G715" s="21" t="n">
        <x:v>37391</x:v>
      </x:c>
      <x:c r="H715" s="21" t="n">
        <x:v>4425</x:v>
      </x:c>
      <x:c r="I715" s="17" t="str">
        <x:v>Followup</x:v>
      </x:c>
    </x:row>
    <x:row r="716" ht="23" customHeight="1">
      <x:c r="A716" s="17" t="str">
        <x:v>U00710</x:v>
      </x:c>
      <x:c r="B716" s="18" t="n">
        <x:v>46268</x:v>
      </x:c>
      <x:c r="C716" s="17" t="str">
        <x:v>W0073</x:v>
      </x:c>
      <x:c r="D716" s="17" t="str">
        <x:v>C002</x:v>
      </x:c>
      <x:c r="E716" s="17" t="str">
        <x:v>DataFlow</x:v>
      </x:c>
      <x:c r="F716" s="17" t="str">
        <x:v>Lite</x:v>
      </x:c>
      <x:c r="G716" s="21" t="n">
        <x:v>57184</x:v>
      </x:c>
      <x:c r="H716" s="21" t="n">
        <x:v>5080</x:v>
      </x:c>
      <x:c r="I716" s="17" t="str">
        <x:v>Correction</x:v>
      </x:c>
    </x:row>
    <x:row r="717" ht="23" customHeight="1">
      <x:c r="A717" s="17" t="str">
        <x:v>U00711</x:v>
      </x:c>
      <x:c r="B717" s="18" t="n">
        <x:v>46268</x:v>
      </x:c>
      <x:c r="C717" s="17" t="str">
        <x:v>W0073</x:v>
      </x:c>
      <x:c r="D717" s="17" t="str">
        <x:v>C002</x:v>
      </x:c>
      <x:c r="E717" s="17" t="str">
        <x:v>DataFlow</x:v>
      </x:c>
      <x:c r="F717" s="17" t="str">
        <x:v>Lite</x:v>
      </x:c>
      <x:c r="G717" s="21" t="n">
        <x:v>37382</x:v>
      </x:c>
      <x:c r="H717" s="21" t="n">
        <x:v>3141</x:v>
      </x:c>
      <x:c r="I717" s="17" t="str">
        <x:v>Followup</x:v>
      </x:c>
    </x:row>
    <x:row r="718" ht="23" customHeight="1">
      <x:c r="A718" s="17" t="str">
        <x:v>U00712</x:v>
      </x:c>
      <x:c r="B718" s="18" t="n">
        <x:v>46269</x:v>
      </x:c>
      <x:c r="C718" s="17" t="str">
        <x:v>W0073</x:v>
      </x:c>
      <x:c r="D718" s="17" t="str">
        <x:v>C002</x:v>
      </x:c>
      <x:c r="E718" s="17" t="str">
        <x:v>DataFlow</x:v>
      </x:c>
      <x:c r="F718" s="17" t="str">
        <x:v>Lite</x:v>
      </x:c>
      <x:c r="G718" s="21" t="n">
        <x:v>63697</x:v>
      </x:c>
      <x:c r="H718" s="21" t="n">
        <x:v>4583</x:v>
      </x:c>
      <x:c r="I718" s="17" t="str">
        <x:v>Followup</x:v>
      </x:c>
    </x:row>
    <x:row r="719" ht="23" customHeight="1">
      <x:c r="A719" s="17" t="str">
        <x:v>U00713</x:v>
      </x:c>
      <x:c r="B719" s="18" t="n">
        <x:v>46269</x:v>
      </x:c>
      <x:c r="C719" s="17" t="str">
        <x:v>W0073</x:v>
      </x:c>
      <x:c r="D719" s="17" t="str">
        <x:v>C002</x:v>
      </x:c>
      <x:c r="E719" s="17" t="str">
        <x:v>DataFlow</x:v>
      </x:c>
      <x:c r="F719" s="17" t="str">
        <x:v>Lite</x:v>
      </x:c>
      <x:c r="G719" s="21" t="n">
        <x:v>65535</x:v>
      </x:c>
      <x:c r="H719" s="21" t="n">
        <x:v>6210</x:v>
      </x:c>
      <x:c r="I719" s="17" t="str">
        <x:v>Correction</x:v>
      </x:c>
    </x:row>
    <x:row r="720" ht="23" customHeight="1">
      <x:c r="A720" s="17" t="str">
        <x:v>U00714</x:v>
      </x:c>
      <x:c r="B720" s="18" t="n">
        <x:v>46269</x:v>
      </x:c>
      <x:c r="C720" s="17" t="str">
        <x:v>W0073</x:v>
      </x:c>
      <x:c r="D720" s="17" t="str">
        <x:v>C002</x:v>
      </x:c>
      <x:c r="E720" s="17" t="str">
        <x:v>DataFlow</x:v>
      </x:c>
      <x:c r="F720" s="17" t="str">
        <x:v>Lite</x:v>
      </x:c>
      <x:c r="G720" s="21" t="n">
        <x:v>42682</x:v>
      </x:c>
      <x:c r="H720" s="21" t="n">
        <x:v>6484</x:v>
      </x:c>
      <x:c r="I720" s="17" t="str">
        <x:v>Correction</x:v>
      </x:c>
    </x:row>
    <x:row r="721" ht="23" customHeight="1">
      <x:c r="A721" s="17" t="str">
        <x:v>U00715</x:v>
      </x:c>
      <x:c r="B721" s="18" t="n">
        <x:v>46269</x:v>
      </x:c>
      <x:c r="C721" s="17" t="str">
        <x:v>W0073</x:v>
      </x:c>
      <x:c r="D721" s="17" t="str">
        <x:v>C002</x:v>
      </x:c>
      <x:c r="E721" s="17" t="str">
        <x:v>DataFlow</x:v>
      </x:c>
      <x:c r="F721" s="17" t="str">
        <x:v>Lite</x:v>
      </x:c>
      <x:c r="G721" s="21" t="n">
        <x:v>60601</x:v>
      </x:c>
      <x:c r="H721" s="21" t="n">
        <x:v>5911</x:v>
      </x:c>
      <x:c r="I721" s="17" t="str">
        <x:v>Followup</x:v>
      </x:c>
    </x:row>
    <x:row r="722" ht="23" customHeight="1">
      <x:c r="A722" s="17" t="str">
        <x:v>U00716</x:v>
      </x:c>
      <x:c r="B722" s="18" t="n">
        <x:v>46269</x:v>
      </x:c>
      <x:c r="C722" s="17" t="str">
        <x:v>W0073</x:v>
      </x:c>
      <x:c r="D722" s="17" t="str">
        <x:v>C002</x:v>
      </x:c>
      <x:c r="E722" s="17" t="str">
        <x:v>DataFlow</x:v>
      </x:c>
      <x:c r="F722" s="17" t="str">
        <x:v>Lite</x:v>
      </x:c>
      <x:c r="G722" s="21" t="n">
        <x:v>25046</x:v>
      </x:c>
      <x:c r="H722" s="21" t="n">
        <x:v>2436</x:v>
      </x:c>
      <x:c r="I722" s="17" t="str">
        <x:v>Followup</x:v>
      </x:c>
    </x:row>
    <x:row r="723" ht="23" customHeight="1">
      <x:c r="A723" s="17" t="str">
        <x:v>U00717</x:v>
      </x:c>
      <x:c r="B723" s="18" t="n">
        <x:v>46287</x:v>
      </x:c>
      <x:c r="C723" s="17" t="str">
        <x:v>W0075</x:v>
      </x:c>
      <x:c r="D723" s="17" t="str">
        <x:v>C002</x:v>
      </x:c>
      <x:c r="E723" s="17" t="str">
        <x:v>InsightDesk</x:v>
      </x:c>
      <x:c r="F723" s="17" t="str">
        <x:v>Lite</x:v>
      </x:c>
      <x:c r="G723" s="21" t="n">
        <x:v>13262</x:v>
      </x:c>
      <x:c r="H723" s="21" t="n">
        <x:v>4093</x:v>
      </x:c>
      <x:c r="I723" s="17" t="str">
        <x:v>First attempt</x:v>
      </x:c>
    </x:row>
    <x:row r="724" ht="23" customHeight="1">
      <x:c r="A724" s="17" t="str">
        <x:v>U00718</x:v>
      </x:c>
      <x:c r="B724" s="18" t="n">
        <x:v>46287</x:v>
      </x:c>
      <x:c r="C724" s="17" t="str">
        <x:v>W0075</x:v>
      </x:c>
      <x:c r="D724" s="17" t="str">
        <x:v>C002</x:v>
      </x:c>
      <x:c r="E724" s="17" t="str">
        <x:v>InsightDesk</x:v>
      </x:c>
      <x:c r="F724" s="17" t="str">
        <x:v>Lite</x:v>
      </x:c>
      <x:c r="G724" s="21" t="n">
        <x:v>23922</x:v>
      </x:c>
      <x:c r="H724" s="21" t="n">
        <x:v>8150</x:v>
      </x:c>
      <x:c r="I724" s="17" t="str">
        <x:v>Followup</x:v>
      </x:c>
    </x:row>
    <x:row r="725" ht="23" customHeight="1">
      <x:c r="A725" s="17" t="str">
        <x:v>U00719</x:v>
      </x:c>
      <x:c r="B725" s="18" t="n">
        <x:v>46287</x:v>
      </x:c>
      <x:c r="C725" s="17" t="str">
        <x:v>W0075</x:v>
      </x:c>
      <x:c r="D725" s="17" t="str">
        <x:v>C002</x:v>
      </x:c>
      <x:c r="E725" s="17" t="str">
        <x:v>InsightDesk</x:v>
      </x:c>
      <x:c r="F725" s="17" t="str">
        <x:v>Lite</x:v>
      </x:c>
      <x:c r="G725" s="21" t="n">
        <x:v>19585</x:v>
      </x:c>
      <x:c r="H725" s="21" t="n">
        <x:v>3545</x:v>
      </x:c>
      <x:c r="I725" s="17" t="str">
        <x:v>Correction</x:v>
      </x:c>
    </x:row>
    <x:row r="726" ht="23" customHeight="1">
      <x:c r="A726" s="17" t="str">
        <x:v>U00720</x:v>
      </x:c>
      <x:c r="B726" s="18" t="n">
        <x:v>46287</x:v>
      </x:c>
      <x:c r="C726" s="17" t="str">
        <x:v>W0075</x:v>
      </x:c>
      <x:c r="D726" s="17" t="str">
        <x:v>C002</x:v>
      </x:c>
      <x:c r="E726" s="17" t="str">
        <x:v>InsightDesk</x:v>
      </x:c>
      <x:c r="F726" s="17" t="str">
        <x:v>Lite</x:v>
      </x:c>
      <x:c r="G726" s="21" t="n">
        <x:v>13657</x:v>
      </x:c>
      <x:c r="H726" s="21" t="n">
        <x:v>3008</x:v>
      </x:c>
      <x:c r="I726" s="17" t="str">
        <x:v>Followup</x:v>
      </x:c>
    </x:row>
    <x:row r="727" ht="23" customHeight="1">
      <x:c r="A727" s="17" t="str">
        <x:v>U00721</x:v>
      </x:c>
      <x:c r="B727" s="18" t="n">
        <x:v>46287</x:v>
      </x:c>
      <x:c r="C727" s="17" t="str">
        <x:v>W0075</x:v>
      </x:c>
      <x:c r="D727" s="17" t="str">
        <x:v>C002</x:v>
      </x:c>
      <x:c r="E727" s="17" t="str">
        <x:v>InsightDesk</x:v>
      </x:c>
      <x:c r="F727" s="17" t="str">
        <x:v>Lite</x:v>
      </x:c>
      <x:c r="G727" s="21" t="n">
        <x:v>28321</x:v>
      </x:c>
      <x:c r="H727" s="21" t="n">
        <x:v>3207</x:v>
      </x:c>
      <x:c r="I727" s="17" t="str">
        <x:v>Correction</x:v>
      </x:c>
    </x:row>
    <x:row r="728" ht="23" customHeight="1">
      <x:c r="A728" s="17" t="str">
        <x:v>U00722</x:v>
      </x:c>
      <x:c r="B728" s="18" t="n">
        <x:v>46287</x:v>
      </x:c>
      <x:c r="C728" s="17" t="str">
        <x:v>W0075</x:v>
      </x:c>
      <x:c r="D728" s="17" t="str">
        <x:v>C002</x:v>
      </x:c>
      <x:c r="E728" s="17" t="str">
        <x:v>InsightDesk</x:v>
      </x:c>
      <x:c r="F728" s="17" t="str">
        <x:v>Lite</x:v>
      </x:c>
      <x:c r="G728" s="21" t="n">
        <x:v>23839</x:v>
      </x:c>
      <x:c r="H728" s="21" t="n">
        <x:v>5679</x:v>
      </x:c>
      <x:c r="I728" s="17" t="str">
        <x:v>Followup</x:v>
      </x:c>
    </x:row>
    <x:row r="729" ht="23" customHeight="1">
      <x:c r="A729" s="17" t="str">
        <x:v>U00723</x:v>
      </x:c>
      <x:c r="B729" s="18" t="n">
        <x:v>46288</x:v>
      </x:c>
      <x:c r="C729" s="17" t="str">
        <x:v>W0075</x:v>
      </x:c>
      <x:c r="D729" s="17" t="str">
        <x:v>C002</x:v>
      </x:c>
      <x:c r="E729" s="17" t="str">
        <x:v>InsightDesk</x:v>
      </x:c>
      <x:c r="F729" s="17" t="str">
        <x:v>Lite</x:v>
      </x:c>
      <x:c r="G729" s="21" t="n">
        <x:v>17870</x:v>
      </x:c>
      <x:c r="H729" s="21" t="n">
        <x:v>7324</x:v>
      </x:c>
      <x:c r="I729" s="17" t="str">
        <x:v>Followup</x:v>
      </x:c>
    </x:row>
    <x:row r="730" ht="23" customHeight="1">
      <x:c r="A730" s="17" t="str">
        <x:v>U00724</x:v>
      </x:c>
      <x:c r="B730" s="18" t="n">
        <x:v>46288</x:v>
      </x:c>
      <x:c r="C730" s="17" t="str">
        <x:v>W0075</x:v>
      </x:c>
      <x:c r="D730" s="17" t="str">
        <x:v>C002</x:v>
      </x:c>
      <x:c r="E730" s="17" t="str">
        <x:v>InsightDesk</x:v>
      </x:c>
      <x:c r="F730" s="17" t="str">
        <x:v>Lite</x:v>
      </x:c>
      <x:c r="G730" s="21" t="n">
        <x:v>34588</x:v>
      </x:c>
      <x:c r="H730" s="21" t="n">
        <x:v>4617</x:v>
      </x:c>
      <x:c r="I730" s="17" t="str">
        <x:v>Followup</x:v>
      </x:c>
    </x:row>
    <x:row r="731" ht="23" customHeight="1">
      <x:c r="A731" s="17" t="str">
        <x:v>U00725</x:v>
      </x:c>
      <x:c r="B731" s="18" t="n">
        <x:v>46288</x:v>
      </x:c>
      <x:c r="C731" s="17" t="str">
        <x:v>W0075</x:v>
      </x:c>
      <x:c r="D731" s="17" t="str">
        <x:v>C002</x:v>
      </x:c>
      <x:c r="E731" s="17" t="str">
        <x:v>InsightDesk</x:v>
      </x:c>
      <x:c r="F731" s="17" t="str">
        <x:v>Lite</x:v>
      </x:c>
      <x:c r="G731" s="21" t="n">
        <x:v>16590</x:v>
      </x:c>
      <x:c r="H731" s="21" t="n">
        <x:v>5788</x:v>
      </x:c>
      <x:c r="I731" s="17" t="str">
        <x:v>Correction</x:v>
      </x:c>
    </x:row>
    <x:row r="732" ht="23" customHeight="1">
      <x:c r="A732" s="17" t="str">
        <x:v>U00726</x:v>
      </x:c>
      <x:c r="B732" s="18" t="n">
        <x:v>46288</x:v>
      </x:c>
      <x:c r="C732" s="17" t="str">
        <x:v>W0075</x:v>
      </x:c>
      <x:c r="D732" s="17" t="str">
        <x:v>C002</x:v>
      </x:c>
      <x:c r="E732" s="17" t="str">
        <x:v>InsightDesk</x:v>
      </x:c>
      <x:c r="F732" s="17" t="str">
        <x:v>Lite</x:v>
      </x:c>
      <x:c r="G732" s="21" t="n">
        <x:v>23357</x:v>
      </x:c>
      <x:c r="H732" s="21" t="n">
        <x:v>7506</x:v>
      </x:c>
      <x:c r="I732" s="17" t="str">
        <x:v>Followup</x:v>
      </x:c>
    </x:row>
    <x:row r="733" ht="23" customHeight="1">
      <x:c r="A733" s="17" t="str">
        <x:v>U00727</x:v>
      </x:c>
      <x:c r="B733" s="18" t="n">
        <x:v>46288</x:v>
      </x:c>
      <x:c r="C733" s="17" t="str">
        <x:v>W0075</x:v>
      </x:c>
      <x:c r="D733" s="17" t="str">
        <x:v>C002</x:v>
      </x:c>
      <x:c r="E733" s="17" t="str">
        <x:v>InsightDesk</x:v>
      </x:c>
      <x:c r="F733" s="17" t="str">
        <x:v>Lite</x:v>
      </x:c>
      <x:c r="G733" s="21" t="n">
        <x:v>15644</x:v>
      </x:c>
      <x:c r="H733" s="21" t="n">
        <x:v>6630</x:v>
      </x:c>
      <x:c r="I733" s="17" t="str">
        <x:v>Followup</x:v>
      </x:c>
    </x:row>
    <x:row r="734" ht="23" customHeight="1">
      <x:c r="A734" s="17" t="str">
        <x:v>U00728</x:v>
      </x:c>
      <x:c r="B734" s="18" t="n">
        <x:v>46289</x:v>
      </x:c>
      <x:c r="C734" s="17" t="str">
        <x:v>W0075</x:v>
      </x:c>
      <x:c r="D734" s="17" t="str">
        <x:v>C002</x:v>
      </x:c>
      <x:c r="E734" s="17" t="str">
        <x:v>InsightDesk</x:v>
      </x:c>
      <x:c r="F734" s="17" t="str">
        <x:v>Lite</x:v>
      </x:c>
      <x:c r="G734" s="21" t="n">
        <x:v>21064</x:v>
      </x:c>
      <x:c r="H734" s="21" t="n">
        <x:v>3141</x:v>
      </x:c>
      <x:c r="I734" s="17" t="str">
        <x:v>Correction</x:v>
      </x:c>
    </x:row>
    <x:row r="735" ht="23" customHeight="1">
      <x:c r="A735" s="17" t="str">
        <x:v>U00729</x:v>
      </x:c>
      <x:c r="B735" s="18" t="n">
        <x:v>46289</x:v>
      </x:c>
      <x:c r="C735" s="17" t="str">
        <x:v>W0075</x:v>
      </x:c>
      <x:c r="D735" s="17" t="str">
        <x:v>C002</x:v>
      </x:c>
      <x:c r="E735" s="17" t="str">
        <x:v>InsightDesk</x:v>
      </x:c>
      <x:c r="F735" s="17" t="str">
        <x:v>Lite</x:v>
      </x:c>
      <x:c r="G735" s="21" t="n">
        <x:v>19745</x:v>
      </x:c>
      <x:c r="H735" s="21" t="n">
        <x:v>4953</x:v>
      </x:c>
      <x:c r="I735" s="17" t="str">
        <x:v>Followup</x:v>
      </x:c>
    </x:row>
    <x:row r="736" ht="23" customHeight="1">
      <x:c r="A736" s="17" t="str">
        <x:v>U00730</x:v>
      </x:c>
      <x:c r="B736" s="18" t="n">
        <x:v>46289</x:v>
      </x:c>
      <x:c r="C736" s="17" t="str">
        <x:v>W0075</x:v>
      </x:c>
      <x:c r="D736" s="17" t="str">
        <x:v>C002</x:v>
      </x:c>
      <x:c r="E736" s="17" t="str">
        <x:v>InsightDesk</x:v>
      </x:c>
      <x:c r="F736" s="17" t="str">
        <x:v>Lite</x:v>
      </x:c>
      <x:c r="G736" s="21" t="n">
        <x:v>14538</x:v>
      </x:c>
      <x:c r="H736" s="21" t="n">
        <x:v>3864</x:v>
      </x:c>
      <x:c r="I736" s="17" t="str">
        <x:v>Followup</x:v>
      </x:c>
    </x:row>
    <x:row r="737" ht="23" customHeight="1">
      <x:c r="A737" s="17" t="str">
        <x:v>U00731</x:v>
      </x:c>
      <x:c r="B737" s="18" t="n">
        <x:v>46289</x:v>
      </x:c>
      <x:c r="C737" s="17" t="str">
        <x:v>W0075</x:v>
      </x:c>
      <x:c r="D737" s="17" t="str">
        <x:v>C002</x:v>
      </x:c>
      <x:c r="E737" s="17" t="str">
        <x:v>InsightDesk</x:v>
      </x:c>
      <x:c r="F737" s="17" t="str">
        <x:v>Lite</x:v>
      </x:c>
      <x:c r="G737" s="21" t="n">
        <x:v>14701</x:v>
      </x:c>
      <x:c r="H737" s="21" t="n">
        <x:v>3634</x:v>
      </x:c>
      <x:c r="I737" s="17" t="str">
        <x:v>Followup</x:v>
      </x:c>
    </x:row>
    <x:row r="738" ht="23" customHeight="1">
      <x:c r="A738" s="17" t="str">
        <x:v>U00732</x:v>
      </x:c>
      <x:c r="B738" s="18" t="n">
        <x:v>46289</x:v>
      </x:c>
      <x:c r="C738" s="17" t="str">
        <x:v>W0075</x:v>
      </x:c>
      <x:c r="D738" s="17" t="str">
        <x:v>C002</x:v>
      </x:c>
      <x:c r="E738" s="17" t="str">
        <x:v>InsightDesk</x:v>
      </x:c>
      <x:c r="F738" s="17" t="str">
        <x:v>Lite</x:v>
      </x:c>
      <x:c r="G738" s="21" t="n">
        <x:v>22135</x:v>
      </x:c>
      <x:c r="H738" s="21" t="n">
        <x:v>4217</x:v>
      </x:c>
      <x:c r="I738" s="17" t="str">
        <x:v>Followup</x:v>
      </x:c>
    </x:row>
    <x:row r="739" ht="23" customHeight="1">
      <x:c r="A739" s="17" t="str">
        <x:v>U00733</x:v>
      </x:c>
      <x:c r="B739" s="18" t="n">
        <x:v>46290</x:v>
      </x:c>
      <x:c r="C739" s="17" t="str">
        <x:v>W0075</x:v>
      </x:c>
      <x:c r="D739" s="17" t="str">
        <x:v>C002</x:v>
      </x:c>
      <x:c r="E739" s="17" t="str">
        <x:v>InsightDesk</x:v>
      </x:c>
      <x:c r="F739" s="17" t="str">
        <x:v>Lite</x:v>
      </x:c>
      <x:c r="G739" s="21" t="n">
        <x:v>34529</x:v>
      </x:c>
      <x:c r="H739" s="21" t="n">
        <x:v>3784</x:v>
      </x:c>
      <x:c r="I739" s="17" t="str">
        <x:v>Followup</x:v>
      </x:c>
    </x:row>
    <x:row r="740" ht="23" customHeight="1">
      <x:c r="A740" s="17" t="str">
        <x:v>U00734</x:v>
      </x:c>
      <x:c r="B740" s="18" t="n">
        <x:v>46290</x:v>
      </x:c>
      <x:c r="C740" s="17" t="str">
        <x:v>W0075</x:v>
      </x:c>
      <x:c r="D740" s="17" t="str">
        <x:v>C002</x:v>
      </x:c>
      <x:c r="E740" s="17" t="str">
        <x:v>InsightDesk</x:v>
      </x:c>
      <x:c r="F740" s="17" t="str">
        <x:v>Lite</x:v>
      </x:c>
      <x:c r="G740" s="21" t="n">
        <x:v>13545</x:v>
      </x:c>
      <x:c r="H740" s="21" t="n">
        <x:v>4263</x:v>
      </x:c>
      <x:c r="I740" s="17" t="str">
        <x:v>Correction</x:v>
      </x:c>
    </x:row>
    <x:row r="741" ht="23" customHeight="1">
      <x:c r="A741" s="17" t="str">
        <x:v>U00735</x:v>
      </x:c>
      <x:c r="B741" s="18" t="n">
        <x:v>46290</x:v>
      </x:c>
      <x:c r="C741" s="17" t="str">
        <x:v>W0075</x:v>
      </x:c>
      <x:c r="D741" s="17" t="str">
        <x:v>C002</x:v>
      </x:c>
      <x:c r="E741" s="17" t="str">
        <x:v>InsightDesk</x:v>
      </x:c>
      <x:c r="F741" s="17" t="str">
        <x:v>Lite</x:v>
      </x:c>
      <x:c r="G741" s="21" t="n">
        <x:v>16359</x:v>
      </x:c>
      <x:c r="H741" s="21" t="n">
        <x:v>5463</x:v>
      </x:c>
      <x:c r="I741" s="17" t="str">
        <x:v>Correction</x:v>
      </x:c>
    </x:row>
    <x:row r="742" ht="23" customHeight="1">
      <x:c r="A742" s="17" t="str">
        <x:v>U00736</x:v>
      </x:c>
      <x:c r="B742" s="18" t="n">
        <x:v>46290</x:v>
      </x:c>
      <x:c r="C742" s="17" t="str">
        <x:v>W0075</x:v>
      </x:c>
      <x:c r="D742" s="17" t="str">
        <x:v>C002</x:v>
      </x:c>
      <x:c r="E742" s="17" t="str">
        <x:v>InsightDesk</x:v>
      </x:c>
      <x:c r="F742" s="17" t="str">
        <x:v>Lite</x:v>
      </x:c>
      <x:c r="G742" s="21" t="n">
        <x:v>18847</x:v>
      </x:c>
      <x:c r="H742" s="21" t="n">
        <x:v>5526</x:v>
      </x:c>
      <x:c r="I742" s="17" t="str">
        <x:v>Followup</x:v>
      </x:c>
    </x:row>
    <x:row r="743" ht="23" customHeight="1">
      <x:c r="A743" s="17" t="str">
        <x:v>U00737</x:v>
      </x:c>
      <x:c r="B743" s="18" t="n">
        <x:v>46290</x:v>
      </x:c>
      <x:c r="C743" s="17" t="str">
        <x:v>W0075</x:v>
      </x:c>
      <x:c r="D743" s="17" t="str">
        <x:v>C002</x:v>
      </x:c>
      <x:c r="E743" s="17" t="str">
        <x:v>InsightDesk</x:v>
      </x:c>
      <x:c r="F743" s="17" t="str">
        <x:v>Lite</x:v>
      </x:c>
      <x:c r="G743" s="21" t="n">
        <x:v>25234</x:v>
      </x:c>
      <x:c r="H743" s="21" t="n">
        <x:v>6258</x:v>
      </x:c>
      <x:c r="I743" s="17" t="str">
        <x:v>Followup</x:v>
      </x:c>
    </x:row>
    <x:row r="744" ht="23" customHeight="1">
      <x:c r="A744" s="17" t="str">
        <x:v>U00738</x:v>
      </x:c>
      <x:c r="B744" s="18" t="n">
        <x:v>46269</x:v>
      </x:c>
      <x:c r="C744" s="17" t="str">
        <x:v>W0076</x:v>
      </x:c>
      <x:c r="D744" s="17" t="str">
        <x:v>C002</x:v>
      </x:c>
      <x:c r="E744" s="17" t="str">
        <x:v>CopyStudio</x:v>
      </x:c>
      <x:c r="F744" s="17" t="str">
        <x:v>Lite</x:v>
      </x:c>
      <x:c r="G744" s="21" t="n">
        <x:v>32510</x:v>
      </x:c>
      <x:c r="H744" s="21" t="n">
        <x:v>5431</x:v>
      </x:c>
      <x:c r="I744" s="17" t="str">
        <x:v>First attempt</x:v>
      </x:c>
    </x:row>
    <x:row r="745" ht="23" customHeight="1">
      <x:c r="A745" s="17" t="str">
        <x:v>U00739</x:v>
      </x:c>
      <x:c r="B745" s="18" t="n">
        <x:v>46269</x:v>
      </x:c>
      <x:c r="C745" s="17" t="str">
        <x:v>W0076</x:v>
      </x:c>
      <x:c r="D745" s="17" t="str">
        <x:v>C002</x:v>
      </x:c>
      <x:c r="E745" s="17" t="str">
        <x:v>CopyStudio</x:v>
      </x:c>
      <x:c r="F745" s="17" t="str">
        <x:v>Lite</x:v>
      </x:c>
      <x:c r="G745" s="21" t="n">
        <x:v>27093</x:v>
      </x:c>
      <x:c r="H745" s="21" t="n">
        <x:v>13385</x:v>
      </x:c>
      <x:c r="I745" s="17" t="str">
        <x:v>Correction</x:v>
      </x:c>
    </x:row>
    <x:row r="746" ht="23" customHeight="1">
      <x:c r="A746" s="17" t="str">
        <x:v>U00740</x:v>
      </x:c>
      <x:c r="B746" s="18" t="n">
        <x:v>46269</x:v>
      </x:c>
      <x:c r="C746" s="17" t="str">
        <x:v>W0076</x:v>
      </x:c>
      <x:c r="D746" s="17" t="str">
        <x:v>C002</x:v>
      </x:c>
      <x:c r="E746" s="17" t="str">
        <x:v>CopyStudio</x:v>
      </x:c>
      <x:c r="F746" s="17" t="str">
        <x:v>Lite</x:v>
      </x:c>
      <x:c r="G746" s="21" t="n">
        <x:v>30191</x:v>
      </x:c>
      <x:c r="H746" s="21" t="n">
        <x:v>13315</x:v>
      </x:c>
      <x:c r="I746" s="17" t="str">
        <x:v>Followup</x:v>
      </x:c>
    </x:row>
    <x:row r="747" ht="23" customHeight="1">
      <x:c r="A747" s="17" t="str">
        <x:v>U00741</x:v>
      </x:c>
      <x:c r="B747" s="18" t="n">
        <x:v>46269</x:v>
      </x:c>
      <x:c r="C747" s="17" t="str">
        <x:v>W0076</x:v>
      </x:c>
      <x:c r="D747" s="17" t="str">
        <x:v>C002</x:v>
      </x:c>
      <x:c r="E747" s="17" t="str">
        <x:v>CopyStudio</x:v>
      </x:c>
      <x:c r="F747" s="17" t="str">
        <x:v>Lite</x:v>
      </x:c>
      <x:c r="G747" s="21" t="n">
        <x:v>37939</x:v>
      </x:c>
      <x:c r="H747" s="21" t="n">
        <x:v>4425</x:v>
      </x:c>
      <x:c r="I747" s="17" t="str">
        <x:v>Correction</x:v>
      </x:c>
    </x:row>
    <x:row r="748" ht="23" customHeight="1">
      <x:c r="A748" s="17" t="str">
        <x:v>U00742</x:v>
      </x:c>
      <x:c r="B748" s="18" t="n">
        <x:v>46273</x:v>
      </x:c>
      <x:c r="C748" s="17" t="str">
        <x:v>W0076</x:v>
      </x:c>
      <x:c r="D748" s="17" t="str">
        <x:v>C002</x:v>
      </x:c>
      <x:c r="E748" s="17" t="str">
        <x:v>CopyStudio</x:v>
      </x:c>
      <x:c r="F748" s="17" t="str">
        <x:v>Lite</x:v>
      </x:c>
      <x:c r="G748" s="21" t="n">
        <x:v>24006</x:v>
      </x:c>
      <x:c r="H748" s="21" t="n">
        <x:v>13751</x:v>
      </x:c>
      <x:c r="I748" s="17" t="str">
        <x:v>Followup</x:v>
      </x:c>
    </x:row>
    <x:row r="749" ht="23" customHeight="1">
      <x:c r="A749" s="17" t="str">
        <x:v>U00743</x:v>
      </x:c>
      <x:c r="B749" s="18" t="n">
        <x:v>46273</x:v>
      </x:c>
      <x:c r="C749" s="17" t="str">
        <x:v>W0076</x:v>
      </x:c>
      <x:c r="D749" s="17" t="str">
        <x:v>C002</x:v>
      </x:c>
      <x:c r="E749" s="17" t="str">
        <x:v>CopyStudio</x:v>
      </x:c>
      <x:c r="F749" s="17" t="str">
        <x:v>Lite</x:v>
      </x:c>
      <x:c r="G749" s="21" t="n">
        <x:v>41349</x:v>
      </x:c>
      <x:c r="H749" s="21" t="n">
        <x:v>11805</x:v>
      </x:c>
      <x:c r="I749" s="17" t="str">
        <x:v>Followup</x:v>
      </x:c>
    </x:row>
    <x:row r="750" ht="23" customHeight="1">
      <x:c r="A750" s="17" t="str">
        <x:v>U00744</x:v>
      </x:c>
      <x:c r="B750" s="18" t="n">
        <x:v>46273</x:v>
      </x:c>
      <x:c r="C750" s="17" t="str">
        <x:v>W0076</x:v>
      </x:c>
      <x:c r="D750" s="17" t="str">
        <x:v>C002</x:v>
      </x:c>
      <x:c r="E750" s="17" t="str">
        <x:v>CopyStudio</x:v>
      </x:c>
      <x:c r="F750" s="17" t="str">
        <x:v>Lite</x:v>
      </x:c>
      <x:c r="G750" s="21" t="n">
        <x:v>33285</x:v>
      </x:c>
      <x:c r="H750" s="21" t="n">
        <x:v>14157</x:v>
      </x:c>
      <x:c r="I750" s="17" t="str">
        <x:v>Correction</x:v>
      </x:c>
    </x:row>
    <x:row r="751" ht="23" customHeight="1">
      <x:c r="A751" s="17" t="str">
        <x:v>U00745</x:v>
      </x:c>
      <x:c r="B751" s="18" t="n">
        <x:v>46273</x:v>
      </x:c>
      <x:c r="C751" s="17" t="str">
        <x:v>W0076</x:v>
      </x:c>
      <x:c r="D751" s="17" t="str">
        <x:v>C002</x:v>
      </x:c>
      <x:c r="E751" s="17" t="str">
        <x:v>CopyStudio</x:v>
      </x:c>
      <x:c r="F751" s="17" t="str">
        <x:v>Lite</x:v>
      </x:c>
      <x:c r="G751" s="21" t="n">
        <x:v>22528</x:v>
      </x:c>
      <x:c r="H751" s="21" t="n">
        <x:v>10579</x:v>
      </x:c>
      <x:c r="I751" s="17" t="str">
        <x:v>Correction</x:v>
      </x:c>
    </x:row>
    <x:row r="752" ht="23" customHeight="1">
      <x:c r="A752" s="17" t="str">
        <x:v>U00746</x:v>
      </x:c>
      <x:c r="B752" s="18" t="n">
        <x:v>46274</x:v>
      </x:c>
      <x:c r="C752" s="17" t="str">
        <x:v>W0076</x:v>
      </x:c>
      <x:c r="D752" s="17" t="str">
        <x:v>C002</x:v>
      </x:c>
      <x:c r="E752" s="17" t="str">
        <x:v>CopyStudio</x:v>
      </x:c>
      <x:c r="F752" s="17" t="str">
        <x:v>Lite</x:v>
      </x:c>
      <x:c r="G752" s="21" t="n">
        <x:v>42241</x:v>
      </x:c>
      <x:c r="H752" s="21" t="n">
        <x:v>8525</x:v>
      </x:c>
      <x:c r="I752" s="17" t="str">
        <x:v>Correction</x:v>
      </x:c>
    </x:row>
    <x:row r="753" ht="23" customHeight="1">
      <x:c r="A753" s="17" t="str">
        <x:v>U00747</x:v>
      </x:c>
      <x:c r="B753" s="18" t="n">
        <x:v>46274</x:v>
      </x:c>
      <x:c r="C753" s="17" t="str">
        <x:v>W0076</x:v>
      </x:c>
      <x:c r="D753" s="17" t="str">
        <x:v>C002</x:v>
      </x:c>
      <x:c r="E753" s="17" t="str">
        <x:v>CopyStudio</x:v>
      </x:c>
      <x:c r="F753" s="17" t="str">
        <x:v>Lite</x:v>
      </x:c>
      <x:c r="G753" s="21" t="n">
        <x:v>43293</x:v>
      </x:c>
      <x:c r="H753" s="21" t="n">
        <x:v>6079</x:v>
      </x:c>
      <x:c r="I753" s="17" t="str">
        <x:v>Followup</x:v>
      </x:c>
    </x:row>
    <x:row r="754" ht="23" customHeight="1">
      <x:c r="A754" s="17" t="str">
        <x:v>U00748</x:v>
      </x:c>
      <x:c r="B754" s="18" t="n">
        <x:v>46274</x:v>
      </x:c>
      <x:c r="C754" s="17" t="str">
        <x:v>W0076</x:v>
      </x:c>
      <x:c r="D754" s="17" t="str">
        <x:v>C002</x:v>
      </x:c>
      <x:c r="E754" s="17" t="str">
        <x:v>CopyStudio</x:v>
      </x:c>
      <x:c r="F754" s="17" t="str">
        <x:v>Lite</x:v>
      </x:c>
      <x:c r="G754" s="21" t="n">
        <x:v>15373</x:v>
      </x:c>
      <x:c r="H754" s="21" t="n">
        <x:v>13258</x:v>
      </x:c>
      <x:c r="I754" s="17" t="str">
        <x:v>Followup</x:v>
      </x:c>
    </x:row>
    <x:row r="755" ht="23" customHeight="1">
      <x:c r="A755" s="17" t="str">
        <x:v>U00749</x:v>
      </x:c>
      <x:c r="B755" s="18" t="n">
        <x:v>46274</x:v>
      </x:c>
      <x:c r="C755" s="17" t="str">
        <x:v>W0076</x:v>
      </x:c>
      <x:c r="D755" s="17" t="str">
        <x:v>C002</x:v>
      </x:c>
      <x:c r="E755" s="17" t="str">
        <x:v>CopyStudio</x:v>
      </x:c>
      <x:c r="F755" s="17" t="str">
        <x:v>Lite</x:v>
      </x:c>
      <x:c r="G755" s="21" t="n">
        <x:v>43624</x:v>
      </x:c>
      <x:c r="H755" s="21" t="n">
        <x:v>3975</x:v>
      </x:c>
      <x:c r="I755" s="17" t="str">
        <x:v>Followup</x:v>
      </x:c>
    </x:row>
    <x:row r="756" ht="23" customHeight="1">
      <x:c r="A756" s="17" t="str">
        <x:v>U00750</x:v>
      </x:c>
      <x:c r="B756" s="18" t="n">
        <x:v>46275</x:v>
      </x:c>
      <x:c r="C756" s="17" t="str">
        <x:v>W0076</x:v>
      </x:c>
      <x:c r="D756" s="17" t="str">
        <x:v>C002</x:v>
      </x:c>
      <x:c r="E756" s="17" t="str">
        <x:v>CopyStudio</x:v>
      </x:c>
      <x:c r="F756" s="17" t="str">
        <x:v>Lite</x:v>
      </x:c>
      <x:c r="G756" s="21" t="n">
        <x:v>39260</x:v>
      </x:c>
      <x:c r="H756" s="21" t="n">
        <x:v>9855</x:v>
      </x:c>
      <x:c r="I756" s="17" t="str">
        <x:v>Correction</x:v>
      </x:c>
    </x:row>
    <x:row r="757" ht="23" customHeight="1">
      <x:c r="A757" s="17" t="str">
        <x:v>U00751</x:v>
      </x:c>
      <x:c r="B757" s="18" t="n">
        <x:v>46275</x:v>
      </x:c>
      <x:c r="C757" s="17" t="str">
        <x:v>W0076</x:v>
      </x:c>
      <x:c r="D757" s="17" t="str">
        <x:v>C002</x:v>
      </x:c>
      <x:c r="E757" s="17" t="str">
        <x:v>CopyStudio</x:v>
      </x:c>
      <x:c r="F757" s="17" t="str">
        <x:v>Lite</x:v>
      </x:c>
      <x:c r="G757" s="21" t="n">
        <x:v>27122</x:v>
      </x:c>
      <x:c r="H757" s="21" t="n">
        <x:v>8724</x:v>
      </x:c>
      <x:c r="I757" s="17" t="str">
        <x:v>Followup</x:v>
      </x:c>
    </x:row>
    <x:row r="758" ht="23" customHeight="1">
      <x:c r="A758" s="17" t="str">
        <x:v>U00752</x:v>
      </x:c>
      <x:c r="B758" s="18" t="n">
        <x:v>46275</x:v>
      </x:c>
      <x:c r="C758" s="17" t="str">
        <x:v>W0076</x:v>
      </x:c>
      <x:c r="D758" s="17" t="str">
        <x:v>C002</x:v>
      </x:c>
      <x:c r="E758" s="17" t="str">
        <x:v>CopyStudio</x:v>
      </x:c>
      <x:c r="F758" s="17" t="str">
        <x:v>Lite</x:v>
      </x:c>
      <x:c r="G758" s="21" t="n">
        <x:v>20758</x:v>
      </x:c>
      <x:c r="H758" s="21" t="n">
        <x:v>4601</x:v>
      </x:c>
      <x:c r="I758" s="17" t="str">
        <x:v>Followup</x:v>
      </x:c>
    </x:row>
    <x:row r="759" ht="23" customHeight="1">
      <x:c r="A759" s="17" t="str">
        <x:v>U00753</x:v>
      </x:c>
      <x:c r="B759" s="18" t="n">
        <x:v>46281</x:v>
      </x:c>
      <x:c r="C759" s="17" t="str">
        <x:v>W0077</x:v>
      </x:c>
      <x:c r="D759" s="17" t="str">
        <x:v>C002</x:v>
      </x:c>
      <x:c r="E759" s="17" t="str">
        <x:v>CampaignChat</x:v>
      </x:c>
      <x:c r="F759" s="17" t="str">
        <x:v>Lite</x:v>
      </x:c>
      <x:c r="G759" s="21" t="n">
        <x:v>21949</x:v>
      </x:c>
      <x:c r="H759" s="21" t="n">
        <x:v>9521</x:v>
      </x:c>
      <x:c r="I759" s="17" t="str">
        <x:v>First attempt</x:v>
      </x:c>
    </x:row>
    <x:row r="760" ht="23" customHeight="1">
      <x:c r="A760" s="17" t="str">
        <x:v>U00754</x:v>
      </x:c>
      <x:c r="B760" s="18" t="n">
        <x:v>46281</x:v>
      </x:c>
      <x:c r="C760" s="17" t="str">
        <x:v>W0077</x:v>
      </x:c>
      <x:c r="D760" s="17" t="str">
        <x:v>C002</x:v>
      </x:c>
      <x:c r="E760" s="17" t="str">
        <x:v>CampaignChat</x:v>
      </x:c>
      <x:c r="F760" s="17" t="str">
        <x:v>Lite</x:v>
      </x:c>
      <x:c r="G760" s="21" t="n">
        <x:v>46573</x:v>
      </x:c>
      <x:c r="H760" s="21" t="n">
        <x:v>6469</x:v>
      </x:c>
      <x:c r="I760" s="17" t="str">
        <x:v>Followup</x:v>
      </x:c>
    </x:row>
    <x:row r="761" ht="23" customHeight="1">
      <x:c r="A761" s="17" t="str">
        <x:v>U00755</x:v>
      </x:c>
      <x:c r="B761" s="18" t="n">
        <x:v>46281</x:v>
      </x:c>
      <x:c r="C761" s="17" t="str">
        <x:v>W0077</x:v>
      </x:c>
      <x:c r="D761" s="17" t="str">
        <x:v>C002</x:v>
      </x:c>
      <x:c r="E761" s="17" t="str">
        <x:v>CampaignChat</x:v>
      </x:c>
      <x:c r="F761" s="17" t="str">
        <x:v>Lite</x:v>
      </x:c>
      <x:c r="G761" s="21" t="n">
        <x:v>37052</x:v>
      </x:c>
      <x:c r="H761" s="21" t="n">
        <x:v>5141</x:v>
      </x:c>
      <x:c r="I761" s="17" t="str">
        <x:v>Followup</x:v>
      </x:c>
    </x:row>
    <x:row r="762" ht="23" customHeight="1">
      <x:c r="A762" s="17" t="str">
        <x:v>U00756</x:v>
      </x:c>
      <x:c r="B762" s="18" t="n">
        <x:v>46281</x:v>
      </x:c>
      <x:c r="C762" s="17" t="str">
        <x:v>W0077</x:v>
      </x:c>
      <x:c r="D762" s="17" t="str">
        <x:v>C002</x:v>
      </x:c>
      <x:c r="E762" s="17" t="str">
        <x:v>CampaignChat</x:v>
      </x:c>
      <x:c r="F762" s="17" t="str">
        <x:v>Lite</x:v>
      </x:c>
      <x:c r="G762" s="21" t="n">
        <x:v>32123</x:v>
      </x:c>
      <x:c r="H762" s="21" t="n">
        <x:v>2592</x:v>
      </x:c>
      <x:c r="I762" s="17" t="str">
        <x:v>Followup</x:v>
      </x:c>
    </x:row>
    <x:row r="763" ht="23" customHeight="1">
      <x:c r="A763" s="17" t="str">
        <x:v>U00757</x:v>
      </x:c>
      <x:c r="B763" s="18" t="n">
        <x:v>46281</x:v>
      </x:c>
      <x:c r="C763" s="17" t="str">
        <x:v>W0077</x:v>
      </x:c>
      <x:c r="D763" s="17" t="str">
        <x:v>C002</x:v>
      </x:c>
      <x:c r="E763" s="17" t="str">
        <x:v>CampaignChat</x:v>
      </x:c>
      <x:c r="F763" s="17" t="str">
        <x:v>Lite</x:v>
      </x:c>
      <x:c r="G763" s="21" t="n">
        <x:v>20141</x:v>
      </x:c>
      <x:c r="H763" s="21" t="n">
        <x:v>4064</x:v>
      </x:c>
      <x:c r="I763" s="17" t="str">
        <x:v>Correction</x:v>
      </x:c>
    </x:row>
    <x:row r="764" ht="23" customHeight="1">
      <x:c r="A764" s="17" t="str">
        <x:v>U00758</x:v>
      </x:c>
      <x:c r="B764" s="18" t="n">
        <x:v>46282</x:v>
      </x:c>
      <x:c r="C764" s="17" t="str">
        <x:v>W0077</x:v>
      </x:c>
      <x:c r="D764" s="17" t="str">
        <x:v>C002</x:v>
      </x:c>
      <x:c r="E764" s="17" t="str">
        <x:v>CampaignChat</x:v>
      </x:c>
      <x:c r="F764" s="17" t="str">
        <x:v>Lite</x:v>
      </x:c>
      <x:c r="G764" s="21" t="n">
        <x:v>47372</x:v>
      </x:c>
      <x:c r="H764" s="21" t="n">
        <x:v>6412</x:v>
      </x:c>
      <x:c r="I764" s="17" t="str">
        <x:v>Correction</x:v>
      </x:c>
    </x:row>
    <x:row r="765" ht="23" customHeight="1">
      <x:c r="A765" s="17" t="str">
        <x:v>U00759</x:v>
      </x:c>
      <x:c r="B765" s="18" t="n">
        <x:v>46282</x:v>
      </x:c>
      <x:c r="C765" s="17" t="str">
        <x:v>W0077</x:v>
      </x:c>
      <x:c r="D765" s="17" t="str">
        <x:v>C002</x:v>
      </x:c>
      <x:c r="E765" s="17" t="str">
        <x:v>CampaignChat</x:v>
      </x:c>
      <x:c r="F765" s="17" t="str">
        <x:v>Lite</x:v>
      </x:c>
      <x:c r="G765" s="21" t="n">
        <x:v>31493</x:v>
      </x:c>
      <x:c r="H765" s="21" t="n">
        <x:v>8516</x:v>
      </x:c>
      <x:c r="I765" s="17" t="str">
        <x:v>Followup</x:v>
      </x:c>
    </x:row>
    <x:row r="766" ht="23" customHeight="1">
      <x:c r="A766" s="17" t="str">
        <x:v>U00760</x:v>
      </x:c>
      <x:c r="B766" s="18" t="n">
        <x:v>46282</x:v>
      </x:c>
      <x:c r="C766" s="17" t="str">
        <x:v>W0077</x:v>
      </x:c>
      <x:c r="D766" s="17" t="str">
        <x:v>C002</x:v>
      </x:c>
      <x:c r="E766" s="17" t="str">
        <x:v>CampaignChat</x:v>
      </x:c>
      <x:c r="F766" s="17" t="str">
        <x:v>Lite</x:v>
      </x:c>
      <x:c r="G766" s="21" t="n">
        <x:v>29142</x:v>
      </x:c>
      <x:c r="H766" s="21" t="n">
        <x:v>7316</x:v>
      </x:c>
      <x:c r="I766" s="17" t="str">
        <x:v>Followup</x:v>
      </x:c>
    </x:row>
    <x:row r="767" ht="23" customHeight="1">
      <x:c r="A767" s="17" t="str">
        <x:v>U00761</x:v>
      </x:c>
      <x:c r="B767" s="18" t="n">
        <x:v>46282</x:v>
      </x:c>
      <x:c r="C767" s="17" t="str">
        <x:v>W0077</x:v>
      </x:c>
      <x:c r="D767" s="17" t="str">
        <x:v>C002</x:v>
      </x:c>
      <x:c r="E767" s="17" t="str">
        <x:v>CampaignChat</x:v>
      </x:c>
      <x:c r="F767" s="17" t="str">
        <x:v>Lite</x:v>
      </x:c>
      <x:c r="G767" s="21" t="n">
        <x:v>41730</x:v>
      </x:c>
      <x:c r="H767" s="21" t="n">
        <x:v>3739</x:v>
      </x:c>
      <x:c r="I767" s="17" t="str">
        <x:v>Followup</x:v>
      </x:c>
    </x:row>
    <x:row r="768" ht="23" customHeight="1">
      <x:c r="A768" s="17" t="str">
        <x:v>U00762</x:v>
      </x:c>
      <x:c r="B768" s="18" t="n">
        <x:v>46282</x:v>
      </x:c>
      <x:c r="C768" s="17" t="str">
        <x:v>W0077</x:v>
      </x:c>
      <x:c r="D768" s="17" t="str">
        <x:v>C002</x:v>
      </x:c>
      <x:c r="E768" s="17" t="str">
        <x:v>CampaignChat</x:v>
      </x:c>
      <x:c r="F768" s="17" t="str">
        <x:v>Lite</x:v>
      </x:c>
      <x:c r="G768" s="21" t="n">
        <x:v>33949</x:v>
      </x:c>
      <x:c r="H768" s="21" t="n">
        <x:v>4035</x:v>
      </x:c>
      <x:c r="I768" s="17" t="str">
        <x:v>Followup</x:v>
      </x:c>
    </x:row>
    <x:row r="769" ht="23" customHeight="1">
      <x:c r="A769" s="17" t="str">
        <x:v>U00763</x:v>
      </x:c>
      <x:c r="B769" s="18" t="n">
        <x:v>46283</x:v>
      </x:c>
      <x:c r="C769" s="17" t="str">
        <x:v>W0077</x:v>
      </x:c>
      <x:c r="D769" s="17" t="str">
        <x:v>C002</x:v>
      </x:c>
      <x:c r="E769" s="17" t="str">
        <x:v>CampaignChat</x:v>
      </x:c>
      <x:c r="F769" s="17" t="str">
        <x:v>Lite</x:v>
      </x:c>
      <x:c r="G769" s="21" t="n">
        <x:v>45585</x:v>
      </x:c>
      <x:c r="H769" s="21" t="n">
        <x:v>8544</x:v>
      </x:c>
      <x:c r="I769" s="17" t="str">
        <x:v>Followup</x:v>
      </x:c>
    </x:row>
    <x:row r="770" ht="23" customHeight="1">
      <x:c r="A770" s="17" t="str">
        <x:v>U00764</x:v>
      </x:c>
      <x:c r="B770" s="18" t="n">
        <x:v>46283</x:v>
      </x:c>
      <x:c r="C770" s="17" t="str">
        <x:v>W0077</x:v>
      </x:c>
      <x:c r="D770" s="17" t="str">
        <x:v>C002</x:v>
      </x:c>
      <x:c r="E770" s="17" t="str">
        <x:v>CampaignChat</x:v>
      </x:c>
      <x:c r="F770" s="17" t="str">
        <x:v>Lite</x:v>
      </x:c>
      <x:c r="G770" s="21" t="n">
        <x:v>47103</x:v>
      </x:c>
      <x:c r="H770" s="21" t="n">
        <x:v>4893</x:v>
      </x:c>
      <x:c r="I770" s="17" t="str">
        <x:v>Followup</x:v>
      </x:c>
    </x:row>
    <x:row r="771" ht="23" customHeight="1">
      <x:c r="A771" s="17" t="str">
        <x:v>U00765</x:v>
      </x:c>
      <x:c r="B771" s="18" t="n">
        <x:v>46283</x:v>
      </x:c>
      <x:c r="C771" s="17" t="str">
        <x:v>W0077</x:v>
      </x:c>
      <x:c r="D771" s="17" t="str">
        <x:v>C002</x:v>
      </x:c>
      <x:c r="E771" s="17" t="str">
        <x:v>CampaignChat</x:v>
      </x:c>
      <x:c r="F771" s="17" t="str">
        <x:v>Lite</x:v>
      </x:c>
      <x:c r="G771" s="21" t="n">
        <x:v>41760</x:v>
      </x:c>
      <x:c r="H771" s="21" t="n">
        <x:v>4650</x:v>
      </x:c>
      <x:c r="I771" s="17" t="str">
        <x:v>Correction</x:v>
      </x:c>
    </x:row>
    <x:row r="772" ht="23" customHeight="1">
      <x:c r="A772" s="17" t="str">
        <x:v>U00766</x:v>
      </x:c>
      <x:c r="B772" s="18" t="n">
        <x:v>46283</x:v>
      </x:c>
      <x:c r="C772" s="17" t="str">
        <x:v>W0077</x:v>
      </x:c>
      <x:c r="D772" s="17" t="str">
        <x:v>C002</x:v>
      </x:c>
      <x:c r="E772" s="17" t="str">
        <x:v>CampaignChat</x:v>
      </x:c>
      <x:c r="F772" s="17" t="str">
        <x:v>Lite</x:v>
      </x:c>
      <x:c r="G772" s="21" t="n">
        <x:v>26021</x:v>
      </x:c>
      <x:c r="H772" s="21" t="n">
        <x:v>6304</x:v>
      </x:c>
      <x:c r="I772" s="17" t="str">
        <x:v>Correction</x:v>
      </x:c>
    </x:row>
    <x:row r="773" ht="23" customHeight="1">
      <x:c r="A773" s="17" t="str">
        <x:v>U00767</x:v>
      </x:c>
      <x:c r="B773" s="18" t="n">
        <x:v>46283</x:v>
      </x:c>
      <x:c r="C773" s="17" t="str">
        <x:v>W0077</x:v>
      </x:c>
      <x:c r="D773" s="17" t="str">
        <x:v>C002</x:v>
      </x:c>
      <x:c r="E773" s="17" t="str">
        <x:v>CampaignChat</x:v>
      </x:c>
      <x:c r="F773" s="17" t="str">
        <x:v>Lite</x:v>
      </x:c>
      <x:c r="G773" s="21" t="n">
        <x:v>48246</x:v>
      </x:c>
      <x:c r="H773" s="21" t="n">
        <x:v>6517</x:v>
      </x:c>
      <x:c r="I773" s="17" t="str">
        <x:v>Correction</x:v>
      </x:c>
    </x:row>
    <x:row r="774" ht="23" customHeight="1">
      <x:c r="A774" s="17" t="str">
        <x:v>U00768</x:v>
      </x:c>
      <x:c r="B774" s="18" t="n">
        <x:v>46286</x:v>
      </x:c>
      <x:c r="C774" s="17" t="str">
        <x:v>W0077</x:v>
      </x:c>
      <x:c r="D774" s="17" t="str">
        <x:v>C002</x:v>
      </x:c>
      <x:c r="E774" s="17" t="str">
        <x:v>CampaignChat</x:v>
      </x:c>
      <x:c r="F774" s="17" t="str">
        <x:v>Lite</x:v>
      </x:c>
      <x:c r="G774" s="21" t="n">
        <x:v>47779</x:v>
      </x:c>
      <x:c r="H774" s="21" t="n">
        <x:v>5384</x:v>
      </x:c>
      <x:c r="I774" s="17" t="str">
        <x:v>Correction</x:v>
      </x:c>
    </x:row>
    <x:row r="775" ht="23" customHeight="1">
      <x:c r="A775" s="17" t="str">
        <x:v>U00769</x:v>
      </x:c>
      <x:c r="B775" s="18" t="n">
        <x:v>46286</x:v>
      </x:c>
      <x:c r="C775" s="17" t="str">
        <x:v>W0077</x:v>
      </x:c>
      <x:c r="D775" s="17" t="str">
        <x:v>C002</x:v>
      </x:c>
      <x:c r="E775" s="17" t="str">
        <x:v>CampaignChat</x:v>
      </x:c>
      <x:c r="F775" s="17" t="str">
        <x:v>Lite</x:v>
      </x:c>
      <x:c r="G775" s="21" t="n">
        <x:v>46163</x:v>
      </x:c>
      <x:c r="H775" s="21" t="n">
        <x:v>3160</x:v>
      </x:c>
      <x:c r="I775" s="17" t="str">
        <x:v>Correction</x:v>
      </x:c>
    </x:row>
    <x:row r="776" ht="23" customHeight="1">
      <x:c r="A776" s="17" t="str">
        <x:v>U00770</x:v>
      </x:c>
      <x:c r="B776" s="18" t="n">
        <x:v>46286</x:v>
      </x:c>
      <x:c r="C776" s="17" t="str">
        <x:v>W0077</x:v>
      </x:c>
      <x:c r="D776" s="17" t="str">
        <x:v>C002</x:v>
      </x:c>
      <x:c r="E776" s="17" t="str">
        <x:v>CampaignChat</x:v>
      </x:c>
      <x:c r="F776" s="17" t="str">
        <x:v>Lite</x:v>
      </x:c>
      <x:c r="G776" s="21" t="n">
        <x:v>43477</x:v>
      </x:c>
      <x:c r="H776" s="21" t="n">
        <x:v>6070</x:v>
      </x:c>
      <x:c r="I776" s="17" t="str">
        <x:v>Followup</x:v>
      </x:c>
    </x:row>
    <x:row r="777" ht="23" customHeight="1">
      <x:c r="A777" s="17" t="str">
        <x:v>U00771</x:v>
      </x:c>
      <x:c r="B777" s="18" t="n">
        <x:v>46286</x:v>
      </x:c>
      <x:c r="C777" s="17" t="str">
        <x:v>W0077</x:v>
      </x:c>
      <x:c r="D777" s="17" t="str">
        <x:v>C002</x:v>
      </x:c>
      <x:c r="E777" s="17" t="str">
        <x:v>CampaignChat</x:v>
      </x:c>
      <x:c r="F777" s="17" t="str">
        <x:v>Lite</x:v>
      </x:c>
      <x:c r="G777" s="21" t="n">
        <x:v>17785</x:v>
      </x:c>
      <x:c r="H777" s="21" t="n">
        <x:v>2862</x:v>
      </x:c>
      <x:c r="I777" s="17" t="str">
        <x:v>Followup</x:v>
      </x:c>
    </x:row>
    <x:row r="778" ht="23" customHeight="1">
      <x:c r="A778" s="17" t="str">
        <x:v>U00772</x:v>
      </x:c>
      <x:c r="B778" s="18" t="n">
        <x:v>46286</x:v>
      </x:c>
      <x:c r="C778" s="17" t="str">
        <x:v>W0077</x:v>
      </x:c>
      <x:c r="D778" s="17" t="str">
        <x:v>C002</x:v>
      </x:c>
      <x:c r="E778" s="17" t="str">
        <x:v>CampaignChat</x:v>
      </x:c>
      <x:c r="F778" s="17" t="str">
        <x:v>Lite</x:v>
      </x:c>
      <x:c r="G778" s="21" t="n">
        <x:v>40243</x:v>
      </x:c>
      <x:c r="H778" s="21" t="n">
        <x:v>9179</x:v>
      </x:c>
      <x:c r="I778" s="17" t="str">
        <x:v>Followup</x:v>
      </x:c>
    </x:row>
    <x:row r="779" ht="23" customHeight="1">
      <x:c r="A779" s="17" t="str">
        <x:v>U00773</x:v>
      </x:c>
      <x:c r="B779" s="18" t="n">
        <x:v>46290</x:v>
      </x:c>
      <x:c r="C779" s="17" t="str">
        <x:v>W0078</x:v>
      </x:c>
      <x:c r="D779" s="17" t="str">
        <x:v>C002</x:v>
      </x:c>
      <x:c r="E779" s="17" t="str">
        <x:v>CampaignChat</x:v>
      </x:c>
      <x:c r="F779" s="17" t="str">
        <x:v>Lite</x:v>
      </x:c>
      <x:c r="G779" s="21" t="n">
        <x:v>20452</x:v>
      </x:c>
      <x:c r="H779" s="21" t="n">
        <x:v>10124</x:v>
      </x:c>
      <x:c r="I779" s="17" t="str">
        <x:v>First attempt</x:v>
      </x:c>
    </x:row>
    <x:row r="780" ht="23" customHeight="1">
      <x:c r="A780" s="17" t="str">
        <x:v>U00774</x:v>
      </x:c>
      <x:c r="B780" s="18" t="n">
        <x:v>46290</x:v>
      </x:c>
      <x:c r="C780" s="17" t="str">
        <x:v>W0078</x:v>
      </x:c>
      <x:c r="D780" s="17" t="str">
        <x:v>C002</x:v>
      </x:c>
      <x:c r="E780" s="17" t="str">
        <x:v>CampaignChat</x:v>
      </x:c>
      <x:c r="F780" s="17" t="str">
        <x:v>Lite</x:v>
      </x:c>
      <x:c r="G780" s="21" t="n">
        <x:v>45195</x:v>
      </x:c>
      <x:c r="H780" s="21" t="n">
        <x:v>4876</x:v>
      </x:c>
      <x:c r="I780" s="17" t="str">
        <x:v>Followup</x:v>
      </x:c>
    </x:row>
    <x:row r="781" ht="23" customHeight="1">
      <x:c r="A781" s="17" t="str">
        <x:v>U00775</x:v>
      </x:c>
      <x:c r="B781" s="18" t="n">
        <x:v>46290</x:v>
      </x:c>
      <x:c r="C781" s="17" t="str">
        <x:v>W0078</x:v>
      </x:c>
      <x:c r="D781" s="17" t="str">
        <x:v>C002</x:v>
      </x:c>
      <x:c r="E781" s="17" t="str">
        <x:v>CampaignChat</x:v>
      </x:c>
      <x:c r="F781" s="17" t="str">
        <x:v>Lite</x:v>
      </x:c>
      <x:c r="G781" s="21" t="n">
        <x:v>29701</x:v>
      </x:c>
      <x:c r="H781" s="21" t="n">
        <x:v>5404</x:v>
      </x:c>
      <x:c r="I781" s="17" t="str">
        <x:v>Followup</x:v>
      </x:c>
    </x:row>
    <x:row r="782" ht="23" customHeight="1">
      <x:c r="A782" s="17" t="str">
        <x:v>U00776</x:v>
      </x:c>
      <x:c r="B782" s="18" t="n">
        <x:v>46290</x:v>
      </x:c>
      <x:c r="C782" s="17" t="str">
        <x:v>W0078</x:v>
      </x:c>
      <x:c r="D782" s="17" t="str">
        <x:v>C002</x:v>
      </x:c>
      <x:c r="E782" s="17" t="str">
        <x:v>CampaignChat</x:v>
      </x:c>
      <x:c r="F782" s="17" t="str">
        <x:v>Lite</x:v>
      </x:c>
      <x:c r="G782" s="21" t="n">
        <x:v>15530</x:v>
      </x:c>
      <x:c r="H782" s="21" t="n">
        <x:v>8630</x:v>
      </x:c>
      <x:c r="I782" s="17" t="str">
        <x:v>Correction</x:v>
      </x:c>
    </x:row>
    <x:row r="783" ht="23" customHeight="1">
      <x:c r="A783" s="17" t="str">
        <x:v>U00777</x:v>
      </x:c>
      <x:c r="B783" s="18" t="n">
        <x:v>46290</x:v>
      </x:c>
      <x:c r="C783" s="17" t="str">
        <x:v>W0078</x:v>
      </x:c>
      <x:c r="D783" s="17" t="str">
        <x:v>C002</x:v>
      </x:c>
      <x:c r="E783" s="17" t="str">
        <x:v>CampaignChat</x:v>
      </x:c>
      <x:c r="F783" s="17" t="str">
        <x:v>Lite</x:v>
      </x:c>
      <x:c r="G783" s="21" t="n">
        <x:v>30884</x:v>
      </x:c>
      <x:c r="H783" s="21" t="n">
        <x:v>8886</x:v>
      </x:c>
      <x:c r="I783" s="17" t="str">
        <x:v>Correction</x:v>
      </x:c>
    </x:row>
    <x:row r="784" ht="23" customHeight="1">
      <x:c r="A784" s="17" t="str">
        <x:v>U00778</x:v>
      </x:c>
      <x:c r="B784" s="18" t="n">
        <x:v>46293</x:v>
      </x:c>
      <x:c r="C784" s="17" t="str">
        <x:v>W0078</x:v>
      </x:c>
      <x:c r="D784" s="17" t="str">
        <x:v>C002</x:v>
      </x:c>
      <x:c r="E784" s="17" t="str">
        <x:v>CampaignChat</x:v>
      </x:c>
      <x:c r="F784" s="17" t="str">
        <x:v>Lite</x:v>
      </x:c>
      <x:c r="G784" s="21" t="n">
        <x:v>38329</x:v>
      </x:c>
      <x:c r="H784" s="21" t="n">
        <x:v>9880</x:v>
      </x:c>
      <x:c r="I784" s="17" t="str">
        <x:v>Followup</x:v>
      </x:c>
    </x:row>
    <x:row r="785" ht="23" customHeight="1">
      <x:c r="A785" s="17" t="str">
        <x:v>U00779</x:v>
      </x:c>
      <x:c r="B785" s="18" t="n">
        <x:v>46293</x:v>
      </x:c>
      <x:c r="C785" s="17" t="str">
        <x:v>W0078</x:v>
      </x:c>
      <x:c r="D785" s="17" t="str">
        <x:v>C002</x:v>
      </x:c>
      <x:c r="E785" s="17" t="str">
        <x:v>CampaignChat</x:v>
      </x:c>
      <x:c r="F785" s="17" t="str">
        <x:v>Lite</x:v>
      </x:c>
      <x:c r="G785" s="21" t="n">
        <x:v>19466</x:v>
      </x:c>
      <x:c r="H785" s="21" t="n">
        <x:v>3416</x:v>
      </x:c>
      <x:c r="I785" s="17" t="str">
        <x:v>Correction</x:v>
      </x:c>
    </x:row>
    <x:row r="786" ht="23" customHeight="1">
      <x:c r="A786" s="17" t="str">
        <x:v>U00780</x:v>
      </x:c>
      <x:c r="B786" s="18" t="n">
        <x:v>46293</x:v>
      </x:c>
      <x:c r="C786" s="17" t="str">
        <x:v>W0078</x:v>
      </x:c>
      <x:c r="D786" s="17" t="str">
        <x:v>C002</x:v>
      </x:c>
      <x:c r="E786" s="17" t="str">
        <x:v>CampaignChat</x:v>
      </x:c>
      <x:c r="F786" s="17" t="str">
        <x:v>Lite</x:v>
      </x:c>
      <x:c r="G786" s="21" t="n">
        <x:v>26620</x:v>
      </x:c>
      <x:c r="H786" s="21" t="n">
        <x:v>6667</x:v>
      </x:c>
      <x:c r="I786" s="17" t="str">
        <x:v>Followup</x:v>
      </x:c>
    </x:row>
    <x:row r="787" ht="23" customHeight="1">
      <x:c r="A787" s="17" t="str">
        <x:v>U00781</x:v>
      </x:c>
      <x:c r="B787" s="18" t="n">
        <x:v>46293</x:v>
      </x:c>
      <x:c r="C787" s="17" t="str">
        <x:v>W0078</x:v>
      </x:c>
      <x:c r="D787" s="17" t="str">
        <x:v>C002</x:v>
      </x:c>
      <x:c r="E787" s="17" t="str">
        <x:v>CampaignChat</x:v>
      </x:c>
      <x:c r="F787" s="17" t="str">
        <x:v>Lite</x:v>
      </x:c>
      <x:c r="G787" s="21" t="n">
        <x:v>22709</x:v>
      </x:c>
      <x:c r="H787" s="21" t="n">
        <x:v>11120</x:v>
      </x:c>
      <x:c r="I787" s="17" t="str">
        <x:v>Correction</x:v>
      </x:c>
    </x:row>
    <x:row r="788" ht="23" customHeight="1">
      <x:c r="A788" s="17" t="str">
        <x:v>U00782</x:v>
      </x:c>
      <x:c r="B788" s="18" t="n">
        <x:v>46293</x:v>
      </x:c>
      <x:c r="C788" s="17" t="str">
        <x:v>W0078</x:v>
      </x:c>
      <x:c r="D788" s="17" t="str">
        <x:v>C002</x:v>
      </x:c>
      <x:c r="E788" s="17" t="str">
        <x:v>CampaignChat</x:v>
      </x:c>
      <x:c r="F788" s="17" t="str">
        <x:v>Lite</x:v>
      </x:c>
      <x:c r="G788" s="21" t="n">
        <x:v>32132</x:v>
      </x:c>
      <x:c r="H788" s="21" t="n">
        <x:v>4939</x:v>
      </x:c>
      <x:c r="I788" s="17" t="str">
        <x:v>Correction</x:v>
      </x:c>
    </x:row>
    <x:row r="789" ht="23" customHeight="1">
      <x:c r="A789" s="17" t="str">
        <x:v>U00783</x:v>
      </x:c>
      <x:c r="B789" s="18" t="n">
        <x:v>46294</x:v>
      </x:c>
      <x:c r="C789" s="17" t="str">
        <x:v>W0078</x:v>
      </x:c>
      <x:c r="D789" s="17" t="str">
        <x:v>C002</x:v>
      </x:c>
      <x:c r="E789" s="17" t="str">
        <x:v>CampaignChat</x:v>
      </x:c>
      <x:c r="F789" s="17" t="str">
        <x:v>Lite</x:v>
      </x:c>
      <x:c r="G789" s="21" t="n">
        <x:v>42100</x:v>
      </x:c>
      <x:c r="H789" s="21" t="n">
        <x:v>3489</x:v>
      </x:c>
      <x:c r="I789" s="17" t="str">
        <x:v>Followup</x:v>
      </x:c>
    </x:row>
    <x:row r="790" ht="23" customHeight="1">
      <x:c r="A790" s="17" t="str">
        <x:v>U00784</x:v>
      </x:c>
      <x:c r="B790" s="18" t="n">
        <x:v>46294</x:v>
      </x:c>
      <x:c r="C790" s="17" t="str">
        <x:v>W0078</x:v>
      </x:c>
      <x:c r="D790" s="17" t="str">
        <x:v>C002</x:v>
      </x:c>
      <x:c r="E790" s="17" t="str">
        <x:v>CampaignChat</x:v>
      </x:c>
      <x:c r="F790" s="17" t="str">
        <x:v>Lite</x:v>
      </x:c>
      <x:c r="G790" s="21" t="n">
        <x:v>36853</x:v>
      </x:c>
      <x:c r="H790" s="21" t="n">
        <x:v>4712</x:v>
      </x:c>
      <x:c r="I790" s="17" t="str">
        <x:v>Correction</x:v>
      </x:c>
    </x:row>
    <x:row r="791" ht="23" customHeight="1">
      <x:c r="A791" s="17" t="str">
        <x:v>U00785</x:v>
      </x:c>
      <x:c r="B791" s="18" t="n">
        <x:v>46294</x:v>
      </x:c>
      <x:c r="C791" s="17" t="str">
        <x:v>W0078</x:v>
      </x:c>
      <x:c r="D791" s="17" t="str">
        <x:v>C002</x:v>
      </x:c>
      <x:c r="E791" s="17" t="str">
        <x:v>CampaignChat</x:v>
      </x:c>
      <x:c r="F791" s="17" t="str">
        <x:v>Lite</x:v>
      </x:c>
      <x:c r="G791" s="21" t="n">
        <x:v>28325</x:v>
      </x:c>
      <x:c r="H791" s="21" t="n">
        <x:v>6078</x:v>
      </x:c>
      <x:c r="I791" s="17" t="str">
        <x:v>Followup</x:v>
      </x:c>
    </x:row>
    <x:row r="792" ht="23" customHeight="1">
      <x:c r="A792" s="17" t="str">
        <x:v>U00786</x:v>
      </x:c>
      <x:c r="B792" s="18" t="n">
        <x:v>46294</x:v>
      </x:c>
      <x:c r="C792" s="17" t="str">
        <x:v>W0078</x:v>
      </x:c>
      <x:c r="D792" s="17" t="str">
        <x:v>C002</x:v>
      </x:c>
      <x:c r="E792" s="17" t="str">
        <x:v>CampaignChat</x:v>
      </x:c>
      <x:c r="F792" s="17" t="str">
        <x:v>Lite</x:v>
      </x:c>
      <x:c r="G792" s="21" t="n">
        <x:v>16067</x:v>
      </x:c>
      <x:c r="H792" s="21" t="n">
        <x:v>5505</x:v>
      </x:c>
      <x:c r="I792" s="17" t="str">
        <x:v>Followup</x:v>
      </x:c>
    </x:row>
    <x:row r="793" ht="23" customHeight="1">
      <x:c r="A793" s="17" t="str">
        <x:v>U00787</x:v>
      </x:c>
      <x:c r="B793" s="18" t="n">
        <x:v>46294</x:v>
      </x:c>
      <x:c r="C793" s="17" t="str">
        <x:v>W0078</x:v>
      </x:c>
      <x:c r="D793" s="17" t="str">
        <x:v>C002</x:v>
      </x:c>
      <x:c r="E793" s="17" t="str">
        <x:v>CampaignChat</x:v>
      </x:c>
      <x:c r="F793" s="17" t="str">
        <x:v>Lite</x:v>
      </x:c>
      <x:c r="G793" s="21" t="n">
        <x:v>22292</x:v>
      </x:c>
      <x:c r="H793" s="21" t="n">
        <x:v>6376</x:v>
      </x:c>
      <x:c r="I793" s="17" t="str">
        <x:v>Followup</x:v>
      </x:c>
    </x:row>
    <x:row r="794" ht="23" customHeight="1">
      <x:c r="A794" s="17" t="str">
        <x:v>U00788</x:v>
      </x:c>
      <x:c r="B794" s="18" t="n">
        <x:v>46295</x:v>
      </x:c>
      <x:c r="C794" s="17" t="str">
        <x:v>W0078</x:v>
      </x:c>
      <x:c r="D794" s="17" t="str">
        <x:v>C002</x:v>
      </x:c>
      <x:c r="E794" s="17" t="str">
        <x:v>CampaignChat</x:v>
      </x:c>
      <x:c r="F794" s="17" t="str">
        <x:v>Lite</x:v>
      </x:c>
      <x:c r="G794" s="21" t="n">
        <x:v>25256</x:v>
      </x:c>
      <x:c r="H794" s="21" t="n">
        <x:v>4158</x:v>
      </x:c>
      <x:c r="I794" s="17" t="str">
        <x:v>Followup</x:v>
      </x:c>
    </x:row>
    <x:row r="795" ht="23" customHeight="1">
      <x:c r="A795" s="17" t="str">
        <x:v>U00789</x:v>
      </x:c>
      <x:c r="B795" s="18" t="n">
        <x:v>46295</x:v>
      </x:c>
      <x:c r="C795" s="17" t="str">
        <x:v>W0078</x:v>
      </x:c>
      <x:c r="D795" s="17" t="str">
        <x:v>C002</x:v>
      </x:c>
      <x:c r="E795" s="17" t="str">
        <x:v>CampaignChat</x:v>
      </x:c>
      <x:c r="F795" s="17" t="str">
        <x:v>Lite</x:v>
      </x:c>
      <x:c r="G795" s="21" t="n">
        <x:v>29905</x:v>
      </x:c>
      <x:c r="H795" s="21" t="n">
        <x:v>4202</x:v>
      </x:c>
      <x:c r="I795" s="17" t="str">
        <x:v>Followup</x:v>
      </x:c>
    </x:row>
    <x:row r="796" ht="23" customHeight="1">
      <x:c r="A796" s="17" t="str">
        <x:v>U00790</x:v>
      </x:c>
      <x:c r="B796" s="18" t="n">
        <x:v>46295</x:v>
      </x:c>
      <x:c r="C796" s="17" t="str">
        <x:v>W0078</x:v>
      </x:c>
      <x:c r="D796" s="17" t="str">
        <x:v>C002</x:v>
      </x:c>
      <x:c r="E796" s="17" t="str">
        <x:v>CampaignChat</x:v>
      </x:c>
      <x:c r="F796" s="17" t="str">
        <x:v>Lite</x:v>
      </x:c>
      <x:c r="G796" s="21" t="n">
        <x:v>44132</x:v>
      </x:c>
      <x:c r="H796" s="21" t="n">
        <x:v>3923</x:v>
      </x:c>
      <x:c r="I796" s="17" t="str">
        <x:v>Followup</x:v>
      </x:c>
    </x:row>
    <x:row r="797" ht="23" customHeight="1">
      <x:c r="A797" s="17" t="str">
        <x:v>U00791</x:v>
      </x:c>
      <x:c r="B797" s="18" t="n">
        <x:v>46295</x:v>
      </x:c>
      <x:c r="C797" s="17" t="str">
        <x:v>W0078</x:v>
      </x:c>
      <x:c r="D797" s="17" t="str">
        <x:v>C002</x:v>
      </x:c>
      <x:c r="E797" s="17" t="str">
        <x:v>CampaignChat</x:v>
      </x:c>
      <x:c r="F797" s="17" t="str">
        <x:v>Lite</x:v>
      </x:c>
      <x:c r="G797" s="21" t="n">
        <x:v>38289</x:v>
      </x:c>
      <x:c r="H797" s="21" t="n">
        <x:v>8089</x:v>
      </x:c>
      <x:c r="I797" s="17" t="str">
        <x:v>Followup</x:v>
      </x:c>
    </x:row>
    <x:row r="798" ht="23" customHeight="1">
      <x:c r="A798" s="17" t="str">
        <x:v>U00792</x:v>
      </x:c>
      <x:c r="B798" s="18" t="n">
        <x:v>46295</x:v>
      </x:c>
      <x:c r="C798" s="17" t="str">
        <x:v>W0078</x:v>
      </x:c>
      <x:c r="D798" s="17" t="str">
        <x:v>C002</x:v>
      </x:c>
      <x:c r="E798" s="17" t="str">
        <x:v>CampaignChat</x:v>
      </x:c>
      <x:c r="F798" s="17" t="str">
        <x:v>Lite</x:v>
      </x:c>
      <x:c r="G798" s="21" t="n">
        <x:v>18794</x:v>
      </x:c>
      <x:c r="H798" s="21" t="n">
        <x:v>6905</x:v>
      </x:c>
      <x:c r="I798" s="17" t="str">
        <x:v>Followup</x:v>
      </x:c>
    </x:row>
    <x:row r="799" ht="23" customHeight="1">
      <x:c r="A799" s="17" t="str">
        <x:v>U00793</x:v>
      </x:c>
      <x:c r="B799" s="18" t="n">
        <x:v>46289</x:v>
      </x:c>
      <x:c r="C799" s="17" t="str">
        <x:v>W0083</x:v>
      </x:c>
      <x:c r="D799" s="17" t="str">
        <x:v>C002</x:v>
      </x:c>
      <x:c r="E799" s="17" t="str">
        <x:v>InsightDesk</x:v>
      </x:c>
      <x:c r="F799" s="17" t="str">
        <x:v>Lite</x:v>
      </x:c>
      <x:c r="G799" s="21" t="n">
        <x:v>43576</x:v>
      </x:c>
      <x:c r="H799" s="21" t="n">
        <x:v>7379</x:v>
      </x:c>
      <x:c r="I799" s="17" t="str">
        <x:v>First attempt</x:v>
      </x:c>
    </x:row>
    <x:row r="800" ht="23" customHeight="1">
      <x:c r="A800" s="17" t="str">
        <x:v>U00794</x:v>
      </x:c>
      <x:c r="B800" s="18" t="n">
        <x:v>46289</x:v>
      </x:c>
      <x:c r="C800" s="17" t="str">
        <x:v>W0083</x:v>
      </x:c>
      <x:c r="D800" s="17" t="str">
        <x:v>C002</x:v>
      </x:c>
      <x:c r="E800" s="17" t="str">
        <x:v>InsightDesk</x:v>
      </x:c>
      <x:c r="F800" s="17" t="str">
        <x:v>Lite</x:v>
      </x:c>
      <x:c r="G800" s="21" t="n">
        <x:v>43684</x:v>
      </x:c>
      <x:c r="H800" s="21" t="n">
        <x:v>2523</x:v>
      </x:c>
      <x:c r="I800" s="17" t="str">
        <x:v>Followup</x:v>
      </x:c>
    </x:row>
    <x:row r="801" ht="23" customHeight="1">
      <x:c r="A801" s="17" t="str">
        <x:v>U00795</x:v>
      </x:c>
      <x:c r="B801" s="18" t="n">
        <x:v>46289</x:v>
      </x:c>
      <x:c r="C801" s="17" t="str">
        <x:v>W0083</x:v>
      </x:c>
      <x:c r="D801" s="17" t="str">
        <x:v>C002</x:v>
      </x:c>
      <x:c r="E801" s="17" t="str">
        <x:v>InsightDesk</x:v>
      </x:c>
      <x:c r="F801" s="17" t="str">
        <x:v>Lite</x:v>
      </x:c>
      <x:c r="G801" s="21" t="n">
        <x:v>26793</x:v>
      </x:c>
      <x:c r="H801" s="21" t="n">
        <x:v>2839</x:v>
      </x:c>
      <x:c r="I801" s="17" t="str">
        <x:v>Followup</x:v>
      </x:c>
    </x:row>
    <x:row r="802" ht="23" customHeight="1">
      <x:c r="A802" s="17" t="str">
        <x:v>U00796</x:v>
      </x:c>
      <x:c r="B802" s="18" t="n">
        <x:v>46289</x:v>
      </x:c>
      <x:c r="C802" s="17" t="str">
        <x:v>W0083</x:v>
      </x:c>
      <x:c r="D802" s="17" t="str">
        <x:v>C002</x:v>
      </x:c>
      <x:c r="E802" s="17" t="str">
        <x:v>InsightDesk</x:v>
      </x:c>
      <x:c r="F802" s="17" t="str">
        <x:v>Lite</x:v>
      </x:c>
      <x:c r="G802" s="21" t="n">
        <x:v>17650</x:v>
      </x:c>
      <x:c r="H802" s="21" t="n">
        <x:v>4941</x:v>
      </x:c>
      <x:c r="I802" s="17" t="str">
        <x:v>Followup</x:v>
      </x:c>
    </x:row>
    <x:row r="803" ht="23" customHeight="1">
      <x:c r="A803" s="17" t="str">
        <x:v>U00797</x:v>
      </x:c>
      <x:c r="B803" s="18" t="n">
        <x:v>46289</x:v>
      </x:c>
      <x:c r="C803" s="17" t="str">
        <x:v>W0083</x:v>
      </x:c>
      <x:c r="D803" s="17" t="str">
        <x:v>C002</x:v>
      </x:c>
      <x:c r="E803" s="17" t="str">
        <x:v>InsightDesk</x:v>
      </x:c>
      <x:c r="F803" s="17" t="str">
        <x:v>Lite</x:v>
      </x:c>
      <x:c r="G803" s="21" t="n">
        <x:v>21129</x:v>
      </x:c>
      <x:c r="H803" s="21" t="n">
        <x:v>5841</x:v>
      </x:c>
      <x:c r="I803" s="17" t="str">
        <x:v>Followup</x:v>
      </x:c>
    </x:row>
    <x:row r="804" ht="23" customHeight="1">
      <x:c r="A804" s="17" t="str">
        <x:v>U00798</x:v>
      </x:c>
      <x:c r="B804" s="18" t="n">
        <x:v>46289</x:v>
      </x:c>
      <x:c r="C804" s="17" t="str">
        <x:v>W0083</x:v>
      </x:c>
      <x:c r="D804" s="17" t="str">
        <x:v>C002</x:v>
      </x:c>
      <x:c r="E804" s="17" t="str">
        <x:v>InsightDesk</x:v>
      </x:c>
      <x:c r="F804" s="17" t="str">
        <x:v>Lite</x:v>
      </x:c>
      <x:c r="G804" s="21" t="n">
        <x:v>19118</x:v>
      </x:c>
      <x:c r="H804" s="21" t="n">
        <x:v>7112</x:v>
      </x:c>
      <x:c r="I804" s="17" t="str">
        <x:v>Correction</x:v>
      </x:c>
    </x:row>
    <x:row r="805" ht="23" customHeight="1">
      <x:c r="A805" s="17" t="str">
        <x:v>U00799</x:v>
      </x:c>
      <x:c r="B805" s="18" t="n">
        <x:v>46290</x:v>
      </x:c>
      <x:c r="C805" s="17" t="str">
        <x:v>W0083</x:v>
      </x:c>
      <x:c r="D805" s="17" t="str">
        <x:v>C002</x:v>
      </x:c>
      <x:c r="E805" s="17" t="str">
        <x:v>InsightDesk</x:v>
      </x:c>
      <x:c r="F805" s="17" t="str">
        <x:v>Lite</x:v>
      </x:c>
      <x:c r="G805" s="21" t="n">
        <x:v>28610</x:v>
      </x:c>
      <x:c r="H805" s="21" t="n">
        <x:v>6068</x:v>
      </x:c>
      <x:c r="I805" s="17" t="str">
        <x:v>Followup</x:v>
      </x:c>
    </x:row>
    <x:row r="806" ht="23" customHeight="1">
      <x:c r="A806" s="17" t="str">
        <x:v>U00800</x:v>
      </x:c>
      <x:c r="B806" s="18" t="n">
        <x:v>46290</x:v>
      </x:c>
      <x:c r="C806" s="17" t="str">
        <x:v>W0083</x:v>
      </x:c>
      <x:c r="D806" s="17" t="str">
        <x:v>C002</x:v>
      </x:c>
      <x:c r="E806" s="17" t="str">
        <x:v>InsightDesk</x:v>
      </x:c>
      <x:c r="F806" s="17" t="str">
        <x:v>Lite</x:v>
      </x:c>
      <x:c r="G806" s="21" t="n">
        <x:v>32778</x:v>
      </x:c>
      <x:c r="H806" s="21" t="n">
        <x:v>2516</x:v>
      </x:c>
      <x:c r="I806" s="17" t="str">
        <x:v>Followup</x:v>
      </x:c>
    </x:row>
    <x:row r="807" ht="23" customHeight="1">
      <x:c r="A807" s="17" t="str">
        <x:v>U00801</x:v>
      </x:c>
      <x:c r="B807" s="18" t="n">
        <x:v>46290</x:v>
      </x:c>
      <x:c r="C807" s="17" t="str">
        <x:v>W0083</x:v>
      </x:c>
      <x:c r="D807" s="17" t="str">
        <x:v>C002</x:v>
      </x:c>
      <x:c r="E807" s="17" t="str">
        <x:v>InsightDesk</x:v>
      </x:c>
      <x:c r="F807" s="17" t="str">
        <x:v>Lite</x:v>
      </x:c>
      <x:c r="G807" s="21" t="n">
        <x:v>32959</x:v>
      </x:c>
      <x:c r="H807" s="21" t="n">
        <x:v>7206</x:v>
      </x:c>
      <x:c r="I807" s="17" t="str">
        <x:v>Followup</x:v>
      </x:c>
    </x:row>
    <x:row r="808" ht="23" customHeight="1">
      <x:c r="A808" s="17" t="str">
        <x:v>U00802</x:v>
      </x:c>
      <x:c r="B808" s="18" t="n">
        <x:v>46290</x:v>
      </x:c>
      <x:c r="C808" s="17" t="str">
        <x:v>W0083</x:v>
      </x:c>
      <x:c r="D808" s="17" t="str">
        <x:v>C002</x:v>
      </x:c>
      <x:c r="E808" s="17" t="str">
        <x:v>InsightDesk</x:v>
      </x:c>
      <x:c r="F808" s="17" t="str">
        <x:v>Lite</x:v>
      </x:c>
      <x:c r="G808" s="21" t="n">
        <x:v>40310</x:v>
      </x:c>
      <x:c r="H808" s="21" t="n">
        <x:v>2583</x:v>
      </x:c>
      <x:c r="I808" s="17" t="str">
        <x:v>Correction</x:v>
      </x:c>
    </x:row>
    <x:row r="809" ht="23" customHeight="1">
      <x:c r="A809" s="17" t="str">
        <x:v>U00803</x:v>
      </x:c>
      <x:c r="B809" s="18" t="n">
        <x:v>46290</x:v>
      </x:c>
      <x:c r="C809" s="17" t="str">
        <x:v>W0083</x:v>
      </x:c>
      <x:c r="D809" s="17" t="str">
        <x:v>C002</x:v>
      </x:c>
      <x:c r="E809" s="17" t="str">
        <x:v>InsightDesk</x:v>
      </x:c>
      <x:c r="F809" s="17" t="str">
        <x:v>Lite</x:v>
      </x:c>
      <x:c r="G809" s="21" t="n">
        <x:v>28565</x:v>
      </x:c>
      <x:c r="H809" s="21" t="n">
        <x:v>8846</x:v>
      </x:c>
      <x:c r="I809" s="17" t="str">
        <x:v>Followup</x:v>
      </x:c>
    </x:row>
    <x:row r="810" ht="23" customHeight="1">
      <x:c r="A810" s="17" t="str">
        <x:v>U00804</x:v>
      </x:c>
      <x:c r="B810" s="18" t="n">
        <x:v>46293</x:v>
      </x:c>
      <x:c r="C810" s="17" t="str">
        <x:v>W0083</x:v>
      </x:c>
      <x:c r="D810" s="17" t="str">
        <x:v>C002</x:v>
      </x:c>
      <x:c r="E810" s="17" t="str">
        <x:v>InsightDesk</x:v>
      </x:c>
      <x:c r="F810" s="17" t="str">
        <x:v>Lite</x:v>
      </x:c>
      <x:c r="G810" s="21" t="n">
        <x:v>25694</x:v>
      </x:c>
      <x:c r="H810" s="21" t="n">
        <x:v>7731</x:v>
      </x:c>
      <x:c r="I810" s="17" t="str">
        <x:v>Correction</x:v>
      </x:c>
    </x:row>
    <x:row r="811" ht="23" customHeight="1">
      <x:c r="A811" s="17" t="str">
        <x:v>U00805</x:v>
      </x:c>
      <x:c r="B811" s="18" t="n">
        <x:v>46293</x:v>
      </x:c>
      <x:c r="C811" s="17" t="str">
        <x:v>W0083</x:v>
      </x:c>
      <x:c r="D811" s="17" t="str">
        <x:v>C002</x:v>
      </x:c>
      <x:c r="E811" s="17" t="str">
        <x:v>InsightDesk</x:v>
      </x:c>
      <x:c r="F811" s="17" t="str">
        <x:v>Lite</x:v>
      </x:c>
      <x:c r="G811" s="21" t="n">
        <x:v>22218</x:v>
      </x:c>
      <x:c r="H811" s="21" t="n">
        <x:v>2589</x:v>
      </x:c>
      <x:c r="I811" s="17" t="str">
        <x:v>Correction</x:v>
      </x:c>
    </x:row>
    <x:row r="812" ht="23" customHeight="1">
      <x:c r="A812" s="17" t="str">
        <x:v>U00806</x:v>
      </x:c>
      <x:c r="B812" s="18" t="n">
        <x:v>46293</x:v>
      </x:c>
      <x:c r="C812" s="17" t="str">
        <x:v>W0083</x:v>
      </x:c>
      <x:c r="D812" s="17" t="str">
        <x:v>C002</x:v>
      </x:c>
      <x:c r="E812" s="17" t="str">
        <x:v>InsightDesk</x:v>
      </x:c>
      <x:c r="F812" s="17" t="str">
        <x:v>Lite</x:v>
      </x:c>
      <x:c r="G812" s="21" t="n">
        <x:v>38741</x:v>
      </x:c>
      <x:c r="H812" s="21" t="n">
        <x:v>4395</x:v>
      </x:c>
      <x:c r="I812" s="17" t="str">
        <x:v>Correction</x:v>
      </x:c>
    </x:row>
    <x:row r="813" ht="23" customHeight="1">
      <x:c r="A813" s="17" t="str">
        <x:v>U00807</x:v>
      </x:c>
      <x:c r="B813" s="18" t="n">
        <x:v>46293</x:v>
      </x:c>
      <x:c r="C813" s="17" t="str">
        <x:v>W0083</x:v>
      </x:c>
      <x:c r="D813" s="17" t="str">
        <x:v>C002</x:v>
      </x:c>
      <x:c r="E813" s="17" t="str">
        <x:v>InsightDesk</x:v>
      </x:c>
      <x:c r="F813" s="17" t="str">
        <x:v>Lite</x:v>
      </x:c>
      <x:c r="G813" s="21" t="n">
        <x:v>36142</x:v>
      </x:c>
      <x:c r="H813" s="21" t="n">
        <x:v>9068</x:v>
      </x:c>
      <x:c r="I813" s="17" t="str">
        <x:v>Correction</x:v>
      </x:c>
    </x:row>
    <x:row r="814" ht="23" customHeight="1">
      <x:c r="A814" s="17" t="str">
        <x:v>U00808</x:v>
      </x:c>
      <x:c r="B814" s="18" t="n">
        <x:v>46293</x:v>
      </x:c>
      <x:c r="C814" s="17" t="str">
        <x:v>W0083</x:v>
      </x:c>
      <x:c r="D814" s="17" t="str">
        <x:v>C002</x:v>
      </x:c>
      <x:c r="E814" s="17" t="str">
        <x:v>InsightDesk</x:v>
      </x:c>
      <x:c r="F814" s="17" t="str">
        <x:v>Lite</x:v>
      </x:c>
      <x:c r="G814" s="21" t="n">
        <x:v>19900</x:v>
      </x:c>
      <x:c r="H814" s="21" t="n">
        <x:v>4802</x:v>
      </x:c>
      <x:c r="I814" s="17" t="str">
        <x:v>Correction</x:v>
      </x:c>
    </x:row>
    <x:row r="815" ht="23" customHeight="1">
      <x:c r="A815" s="17" t="str">
        <x:v>U00809</x:v>
      </x:c>
      <x:c r="B815" s="18" t="n">
        <x:v>46294</x:v>
      </x:c>
      <x:c r="C815" s="17" t="str">
        <x:v>W0083</x:v>
      </x:c>
      <x:c r="D815" s="17" t="str">
        <x:v>C002</x:v>
      </x:c>
      <x:c r="E815" s="17" t="str">
        <x:v>InsightDesk</x:v>
      </x:c>
      <x:c r="F815" s="17" t="str">
        <x:v>Lite</x:v>
      </x:c>
      <x:c r="G815" s="21" t="n">
        <x:v>36725</x:v>
      </x:c>
      <x:c r="H815" s="21" t="n">
        <x:v>7724</x:v>
      </x:c>
      <x:c r="I815" s="17" t="str">
        <x:v>Followup</x:v>
      </x:c>
    </x:row>
    <x:row r="816" ht="23" customHeight="1">
      <x:c r="A816" s="17" t="str">
        <x:v>U00810</x:v>
      </x:c>
      <x:c r="B816" s="18" t="n">
        <x:v>46294</x:v>
      </x:c>
      <x:c r="C816" s="17" t="str">
        <x:v>W0083</x:v>
      </x:c>
      <x:c r="D816" s="17" t="str">
        <x:v>C002</x:v>
      </x:c>
      <x:c r="E816" s="17" t="str">
        <x:v>InsightDesk</x:v>
      </x:c>
      <x:c r="F816" s="17" t="str">
        <x:v>Lite</x:v>
      </x:c>
      <x:c r="G816" s="21" t="n">
        <x:v>42858</x:v>
      </x:c>
      <x:c r="H816" s="21" t="n">
        <x:v>5799</x:v>
      </x:c>
      <x:c r="I816" s="17" t="str">
        <x:v>Correction</x:v>
      </x:c>
    </x:row>
    <x:row r="817" ht="23" customHeight="1">
      <x:c r="A817" s="17" t="str">
        <x:v>U00811</x:v>
      </x:c>
      <x:c r="B817" s="18" t="n">
        <x:v>46294</x:v>
      </x:c>
      <x:c r="C817" s="17" t="str">
        <x:v>W0083</x:v>
      </x:c>
      <x:c r="D817" s="17" t="str">
        <x:v>C002</x:v>
      </x:c>
      <x:c r="E817" s="17" t="str">
        <x:v>InsightDesk</x:v>
      </x:c>
      <x:c r="F817" s="17" t="str">
        <x:v>Lite</x:v>
      </x:c>
      <x:c r="G817" s="21" t="n">
        <x:v>28682</x:v>
      </x:c>
      <x:c r="H817" s="21" t="n">
        <x:v>6206</x:v>
      </x:c>
      <x:c r="I817" s="17" t="str">
        <x:v>Followup</x:v>
      </x:c>
    </x:row>
    <x:row r="818" ht="23" customHeight="1">
      <x:c r="A818" s="17" t="str">
        <x:v>U00812</x:v>
      </x:c>
      <x:c r="B818" s="18" t="n">
        <x:v>46294</x:v>
      </x:c>
      <x:c r="C818" s="17" t="str">
        <x:v>W0083</x:v>
      </x:c>
      <x:c r="D818" s="17" t="str">
        <x:v>C002</x:v>
      </x:c>
      <x:c r="E818" s="17" t="str">
        <x:v>InsightDesk</x:v>
      </x:c>
      <x:c r="F818" s="17" t="str">
        <x:v>Lite</x:v>
      </x:c>
      <x:c r="G818" s="21" t="n">
        <x:v>16229</x:v>
      </x:c>
      <x:c r="H818" s="21" t="n">
        <x:v>8925</x:v>
      </x:c>
      <x:c r="I818" s="17" t="str">
        <x:v>Followup</x:v>
      </x:c>
    </x:row>
    <x:row r="819" ht="23" customHeight="1">
      <x:c r="A819" s="17" t="str">
        <x:v>U00813</x:v>
      </x:c>
      <x:c r="B819" s="18" t="n">
        <x:v>46294</x:v>
      </x:c>
      <x:c r="C819" s="17" t="str">
        <x:v>W0083</x:v>
      </x:c>
      <x:c r="D819" s="17" t="str">
        <x:v>C002</x:v>
      </x:c>
      <x:c r="E819" s="17" t="str">
        <x:v>InsightDesk</x:v>
      </x:c>
      <x:c r="F819" s="17" t="str">
        <x:v>Lite</x:v>
      </x:c>
      <x:c r="G819" s="21" t="n">
        <x:v>41618</x:v>
      </x:c>
      <x:c r="H819" s="21" t="n">
        <x:v>3618</x:v>
      </x:c>
      <x:c r="I819" s="17" t="str">
        <x:v>Correction</x:v>
      </x:c>
    </x:row>
    <x:row r="820" ht="23" customHeight="1">
      <x:c r="A820" s="17" t="str">
        <x:v>U00814</x:v>
      </x:c>
      <x:c r="B820" s="18" t="n">
        <x:v>46274</x:v>
      </x:c>
      <x:c r="C820" s="17" t="str">
        <x:v>W0084</x:v>
      </x:c>
      <x:c r="D820" s="17" t="str">
        <x:v>C002</x:v>
      </x:c>
      <x:c r="E820" s="17" t="str">
        <x:v>CopyStudio</x:v>
      </x:c>
      <x:c r="F820" s="17" t="str">
        <x:v>Lite</x:v>
      </x:c>
      <x:c r="G820" s="21" t="n">
        <x:v>37916</x:v>
      </x:c>
      <x:c r="H820" s="21" t="n">
        <x:v>6202</x:v>
      </x:c>
      <x:c r="I820" s="17" t="str">
        <x:v>First attempt</x:v>
      </x:c>
    </x:row>
    <x:row r="821" ht="23" customHeight="1">
      <x:c r="A821" s="17" t="str">
        <x:v>U00815</x:v>
      </x:c>
      <x:c r="B821" s="18" t="n">
        <x:v>46274</x:v>
      </x:c>
      <x:c r="C821" s="17" t="str">
        <x:v>W0084</x:v>
      </x:c>
      <x:c r="D821" s="17" t="str">
        <x:v>C002</x:v>
      </x:c>
      <x:c r="E821" s="17" t="str">
        <x:v>CopyStudio</x:v>
      </x:c>
      <x:c r="F821" s="17" t="str">
        <x:v>Lite</x:v>
      </x:c>
      <x:c r="G821" s="21" t="n">
        <x:v>19937</x:v>
      </x:c>
      <x:c r="H821" s="21" t="n">
        <x:v>8224</x:v>
      </x:c>
      <x:c r="I821" s="17" t="str">
        <x:v>Followup</x:v>
      </x:c>
    </x:row>
    <x:row r="822" ht="23" customHeight="1">
      <x:c r="A822" s="17" t="str">
        <x:v>U00816</x:v>
      </x:c>
      <x:c r="B822" s="18" t="n">
        <x:v>46274</x:v>
      </x:c>
      <x:c r="C822" s="17" t="str">
        <x:v>W0084</x:v>
      </x:c>
      <x:c r="D822" s="17" t="str">
        <x:v>C002</x:v>
      </x:c>
      <x:c r="E822" s="17" t="str">
        <x:v>CopyStudio</x:v>
      </x:c>
      <x:c r="F822" s="17" t="str">
        <x:v>Lite</x:v>
      </x:c>
      <x:c r="G822" s="21" t="n">
        <x:v>24968</x:v>
      </x:c>
      <x:c r="H822" s="21" t="n">
        <x:v>11074</x:v>
      </x:c>
      <x:c r="I822" s="17" t="str">
        <x:v>Followup</x:v>
      </x:c>
    </x:row>
    <x:row r="823" ht="23" customHeight="1">
      <x:c r="A823" s="17" t="str">
        <x:v>U00817</x:v>
      </x:c>
      <x:c r="B823" s="18" t="n">
        <x:v>46274</x:v>
      </x:c>
      <x:c r="C823" s="17" t="str">
        <x:v>W0084</x:v>
      </x:c>
      <x:c r="D823" s="17" t="str">
        <x:v>C002</x:v>
      </x:c>
      <x:c r="E823" s="17" t="str">
        <x:v>CopyStudio</x:v>
      </x:c>
      <x:c r="F823" s="17" t="str">
        <x:v>Lite</x:v>
      </x:c>
      <x:c r="G823" s="21" t="n">
        <x:v>15163</x:v>
      </x:c>
      <x:c r="H823" s="21" t="n">
        <x:v>5866</x:v>
      </x:c>
      <x:c r="I823" s="17" t="str">
        <x:v>Followup</x:v>
      </x:c>
    </x:row>
    <x:row r="824" ht="23" customHeight="1">
      <x:c r="A824" s="17" t="str">
        <x:v>U00818</x:v>
      </x:c>
      <x:c r="B824" s="18" t="n">
        <x:v>46274</x:v>
      </x:c>
      <x:c r="C824" s="17" t="str">
        <x:v>W0084</x:v>
      </x:c>
      <x:c r="D824" s="17" t="str">
        <x:v>C002</x:v>
      </x:c>
      <x:c r="E824" s="17" t="str">
        <x:v>CopyStudio</x:v>
      </x:c>
      <x:c r="F824" s="17" t="str">
        <x:v>Lite</x:v>
      </x:c>
      <x:c r="G824" s="21" t="n">
        <x:v>37729</x:v>
      </x:c>
      <x:c r="H824" s="21" t="n">
        <x:v>4374</x:v>
      </x:c>
      <x:c r="I824" s="17" t="str">
        <x:v>Correction</x:v>
      </x:c>
    </x:row>
    <x:row r="825" ht="23" customHeight="1">
      <x:c r="A825" s="17" t="str">
        <x:v>U00819</x:v>
      </x:c>
      <x:c r="B825" s="18" t="n">
        <x:v>46274</x:v>
      </x:c>
      <x:c r="C825" s="17" t="str">
        <x:v>W0084</x:v>
      </x:c>
      <x:c r="D825" s="17" t="str">
        <x:v>C002</x:v>
      </x:c>
      <x:c r="E825" s="17" t="str">
        <x:v>CopyStudio</x:v>
      </x:c>
      <x:c r="F825" s="17" t="str">
        <x:v>Lite</x:v>
      </x:c>
      <x:c r="G825" s="21" t="n">
        <x:v>34019</x:v>
      </x:c>
      <x:c r="H825" s="21" t="n">
        <x:v>4248</x:v>
      </x:c>
      <x:c r="I825" s="17" t="str">
        <x:v>Followup</x:v>
      </x:c>
    </x:row>
    <x:row r="826" ht="23" customHeight="1">
      <x:c r="A826" s="17" t="str">
        <x:v>U00820</x:v>
      </x:c>
      <x:c r="B826" s="18" t="n">
        <x:v>46275</x:v>
      </x:c>
      <x:c r="C826" s="17" t="str">
        <x:v>W0084</x:v>
      </x:c>
      <x:c r="D826" s="17" t="str">
        <x:v>C002</x:v>
      </x:c>
      <x:c r="E826" s="17" t="str">
        <x:v>CopyStudio</x:v>
      </x:c>
      <x:c r="F826" s="17" t="str">
        <x:v>Lite</x:v>
      </x:c>
      <x:c r="G826" s="21" t="n">
        <x:v>32081</x:v>
      </x:c>
      <x:c r="H826" s="21" t="n">
        <x:v>10118</x:v>
      </x:c>
      <x:c r="I826" s="17" t="str">
        <x:v>Correction</x:v>
      </x:c>
    </x:row>
    <x:row r="827" ht="23" customHeight="1">
      <x:c r="A827" s="17" t="str">
        <x:v>U00821</x:v>
      </x:c>
      <x:c r="B827" s="18" t="n">
        <x:v>46275</x:v>
      </x:c>
      <x:c r="C827" s="17" t="str">
        <x:v>W0084</x:v>
      </x:c>
      <x:c r="D827" s="17" t="str">
        <x:v>C002</x:v>
      </x:c>
      <x:c r="E827" s="17" t="str">
        <x:v>CopyStudio</x:v>
      </x:c>
      <x:c r="F827" s="17" t="str">
        <x:v>Lite</x:v>
      </x:c>
      <x:c r="G827" s="21" t="n">
        <x:v>40889</x:v>
      </x:c>
      <x:c r="H827" s="21" t="n">
        <x:v>11891</x:v>
      </x:c>
      <x:c r="I827" s="17" t="str">
        <x:v>Followup</x:v>
      </x:c>
    </x:row>
    <x:row r="828" ht="23" customHeight="1">
      <x:c r="A828" s="17" t="str">
        <x:v>U00822</x:v>
      </x:c>
      <x:c r="B828" s="18" t="n">
        <x:v>46275</x:v>
      </x:c>
      <x:c r="C828" s="17" t="str">
        <x:v>W0084</x:v>
      </x:c>
      <x:c r="D828" s="17" t="str">
        <x:v>C002</x:v>
      </x:c>
      <x:c r="E828" s="17" t="str">
        <x:v>CopyStudio</x:v>
      </x:c>
      <x:c r="F828" s="17" t="str">
        <x:v>Lite</x:v>
      </x:c>
      <x:c r="G828" s="21" t="n">
        <x:v>15629</x:v>
      </x:c>
      <x:c r="H828" s="21" t="n">
        <x:v>3938</x:v>
      </x:c>
      <x:c r="I828" s="17" t="str">
        <x:v>Followup</x:v>
      </x:c>
    </x:row>
    <x:row r="829" ht="23" customHeight="1">
      <x:c r="A829" s="17" t="str">
        <x:v>U00823</x:v>
      </x:c>
      <x:c r="B829" s="18" t="n">
        <x:v>46275</x:v>
      </x:c>
      <x:c r="C829" s="17" t="str">
        <x:v>W0084</x:v>
      </x:c>
      <x:c r="D829" s="17" t="str">
        <x:v>C002</x:v>
      </x:c>
      <x:c r="E829" s="17" t="str">
        <x:v>CopyStudio</x:v>
      </x:c>
      <x:c r="F829" s="17" t="str">
        <x:v>Lite</x:v>
      </x:c>
      <x:c r="G829" s="21" t="n">
        <x:v>40714</x:v>
      </x:c>
      <x:c r="H829" s="21" t="n">
        <x:v>3172</x:v>
      </x:c>
      <x:c r="I829" s="17" t="str">
        <x:v>Followup</x:v>
      </x:c>
    </x:row>
    <x:row r="830" ht="23" customHeight="1">
      <x:c r="A830" s="17" t="str">
        <x:v>U00824</x:v>
      </x:c>
      <x:c r="B830" s="18" t="n">
        <x:v>46275</x:v>
      </x:c>
      <x:c r="C830" s="17" t="str">
        <x:v>W0084</x:v>
      </x:c>
      <x:c r="D830" s="17" t="str">
        <x:v>C002</x:v>
      </x:c>
      <x:c r="E830" s="17" t="str">
        <x:v>CopyStudio</x:v>
      </x:c>
      <x:c r="F830" s="17" t="str">
        <x:v>Lite</x:v>
      </x:c>
      <x:c r="G830" s="21" t="n">
        <x:v>43011</x:v>
      </x:c>
      <x:c r="H830" s="21" t="n">
        <x:v>6671</x:v>
      </x:c>
      <x:c r="I830" s="17" t="str">
        <x:v>Followup</x:v>
      </x:c>
    </x:row>
    <x:row r="831" ht="23" customHeight="1">
      <x:c r="A831" s="17" t="str">
        <x:v>U00825</x:v>
      </x:c>
      <x:c r="B831" s="18" t="n">
        <x:v>46275</x:v>
      </x:c>
      <x:c r="C831" s="17" t="str">
        <x:v>W0084</x:v>
      </x:c>
      <x:c r="D831" s="17" t="str">
        <x:v>C002</x:v>
      </x:c>
      <x:c r="E831" s="17" t="str">
        <x:v>CopyStudio</x:v>
      </x:c>
      <x:c r="F831" s="17" t="str">
        <x:v>Lite</x:v>
      </x:c>
      <x:c r="G831" s="21" t="n">
        <x:v>20207</x:v>
      </x:c>
      <x:c r="H831" s="21" t="n">
        <x:v>10146</x:v>
      </x:c>
      <x:c r="I831" s="17" t="str">
        <x:v>Followup</x:v>
      </x:c>
    </x:row>
    <x:row r="832" ht="23" customHeight="1">
      <x:c r="A832" s="17" t="str">
        <x:v>U00826</x:v>
      </x:c>
      <x:c r="B832" s="18" t="n">
        <x:v>46276</x:v>
      </x:c>
      <x:c r="C832" s="17" t="str">
        <x:v>W0084</x:v>
      </x:c>
      <x:c r="D832" s="17" t="str">
        <x:v>C002</x:v>
      </x:c>
      <x:c r="E832" s="17" t="str">
        <x:v>CopyStudio</x:v>
      </x:c>
      <x:c r="F832" s="17" t="str">
        <x:v>Lite</x:v>
      </x:c>
      <x:c r="G832" s="21" t="n">
        <x:v>27013</x:v>
      </x:c>
      <x:c r="H832" s="21" t="n">
        <x:v>11347</x:v>
      </x:c>
      <x:c r="I832" s="17" t="str">
        <x:v>Correction</x:v>
      </x:c>
    </x:row>
    <x:row r="833" ht="23" customHeight="1">
      <x:c r="A833" s="17" t="str">
        <x:v>U00827</x:v>
      </x:c>
      <x:c r="B833" s="18" t="n">
        <x:v>46276</x:v>
      </x:c>
      <x:c r="C833" s="17" t="str">
        <x:v>W0084</x:v>
      </x:c>
      <x:c r="D833" s="17" t="str">
        <x:v>C002</x:v>
      </x:c>
      <x:c r="E833" s="17" t="str">
        <x:v>CopyStudio</x:v>
      </x:c>
      <x:c r="F833" s="17" t="str">
        <x:v>Lite</x:v>
      </x:c>
      <x:c r="G833" s="21" t="n">
        <x:v>34311</x:v>
      </x:c>
      <x:c r="H833" s="21" t="n">
        <x:v>8128</x:v>
      </x:c>
      <x:c r="I833" s="17" t="str">
        <x:v>Correction</x:v>
      </x:c>
    </x:row>
    <x:row r="834" ht="23" customHeight="1">
      <x:c r="A834" s="17" t="str">
        <x:v>U00828</x:v>
      </x:c>
      <x:c r="B834" s="18" t="n">
        <x:v>46276</x:v>
      </x:c>
      <x:c r="C834" s="17" t="str">
        <x:v>W0084</x:v>
      </x:c>
      <x:c r="D834" s="17" t="str">
        <x:v>C002</x:v>
      </x:c>
      <x:c r="E834" s="17" t="str">
        <x:v>CopyStudio</x:v>
      </x:c>
      <x:c r="F834" s="17" t="str">
        <x:v>Lite</x:v>
      </x:c>
      <x:c r="G834" s="21" t="n">
        <x:v>14756</x:v>
      </x:c>
      <x:c r="H834" s="21" t="n">
        <x:v>6585</x:v>
      </x:c>
      <x:c r="I834" s="17" t="str">
        <x:v>Followup</x:v>
      </x:c>
    </x:row>
    <x:row r="835" ht="23" customHeight="1">
      <x:c r="A835" s="17" t="str">
        <x:v>U00829</x:v>
      </x:c>
      <x:c r="B835" s="18" t="n">
        <x:v>46276</x:v>
      </x:c>
      <x:c r="C835" s="17" t="str">
        <x:v>W0084</x:v>
      </x:c>
      <x:c r="D835" s="17" t="str">
        <x:v>C002</x:v>
      </x:c>
      <x:c r="E835" s="17" t="str">
        <x:v>CopyStudio</x:v>
      </x:c>
      <x:c r="F835" s="17" t="str">
        <x:v>Lite</x:v>
      </x:c>
      <x:c r="G835" s="21" t="n">
        <x:v>21336</x:v>
      </x:c>
      <x:c r="H835" s="21" t="n">
        <x:v>6805</x:v>
      </x:c>
      <x:c r="I835" s="17" t="str">
        <x:v>Followup</x:v>
      </x:c>
    </x:row>
    <x:row r="836" ht="23" customHeight="1">
      <x:c r="A836" s="17" t="str">
        <x:v>U00830</x:v>
      </x:c>
      <x:c r="B836" s="18" t="n">
        <x:v>46276</x:v>
      </x:c>
      <x:c r="C836" s="17" t="str">
        <x:v>W0084</x:v>
      </x:c>
      <x:c r="D836" s="17" t="str">
        <x:v>C002</x:v>
      </x:c>
      <x:c r="E836" s="17" t="str">
        <x:v>CopyStudio</x:v>
      </x:c>
      <x:c r="F836" s="17" t="str">
        <x:v>Lite</x:v>
      </x:c>
      <x:c r="G836" s="21" t="n">
        <x:v>23086</x:v>
      </x:c>
      <x:c r="H836" s="21" t="n">
        <x:v>3231</x:v>
      </x:c>
      <x:c r="I836" s="17" t="str">
        <x:v>Followup</x:v>
      </x:c>
    </x:row>
    <x:row r="837" ht="23" customHeight="1">
      <x:c r="A837" s="17" t="str">
        <x:v>U00831</x:v>
      </x:c>
      <x:c r="B837" s="18" t="n">
        <x:v>46276</x:v>
      </x:c>
      <x:c r="C837" s="17" t="str">
        <x:v>W0084</x:v>
      </x:c>
      <x:c r="D837" s="17" t="str">
        <x:v>C002</x:v>
      </x:c>
      <x:c r="E837" s="17" t="str">
        <x:v>CopyStudio</x:v>
      </x:c>
      <x:c r="F837" s="17" t="str">
        <x:v>Lite</x:v>
      </x:c>
      <x:c r="G837" s="21" t="n">
        <x:v>29025</x:v>
      </x:c>
      <x:c r="H837" s="21" t="n">
        <x:v>9952</x:v>
      </x:c>
      <x:c r="I837" s="17" t="str">
        <x:v>Followup</x:v>
      </x:c>
    </x:row>
    <x:row r="838" ht="23" customHeight="1">
      <x:c r="A838" s="17" t="str">
        <x:v>U00832</x:v>
      </x:c>
      <x:c r="B838" s="18" t="n">
        <x:v>46279</x:v>
      </x:c>
      <x:c r="C838" s="17" t="str">
        <x:v>W0084</x:v>
      </x:c>
      <x:c r="D838" s="17" t="str">
        <x:v>C002</x:v>
      </x:c>
      <x:c r="E838" s="17" t="str">
        <x:v>CopyStudio</x:v>
      </x:c>
      <x:c r="F838" s="17" t="str">
        <x:v>Lite</x:v>
      </x:c>
      <x:c r="G838" s="21" t="n">
        <x:v>15654</x:v>
      </x:c>
      <x:c r="H838" s="21" t="n">
        <x:v>5643</x:v>
      </x:c>
      <x:c r="I838" s="17" t="str">
        <x:v>Correction</x:v>
      </x:c>
    </x:row>
    <x:row r="839" ht="23" customHeight="1">
      <x:c r="A839" s="17" t="str">
        <x:v>U00833</x:v>
      </x:c>
      <x:c r="B839" s="18" t="n">
        <x:v>46279</x:v>
      </x:c>
      <x:c r="C839" s="17" t="str">
        <x:v>W0084</x:v>
      </x:c>
      <x:c r="D839" s="17" t="str">
        <x:v>C002</x:v>
      </x:c>
      <x:c r="E839" s="17" t="str">
        <x:v>CopyStudio</x:v>
      </x:c>
      <x:c r="F839" s="17" t="str">
        <x:v>Lite</x:v>
      </x:c>
      <x:c r="G839" s="21" t="n">
        <x:v>40751</x:v>
      </x:c>
      <x:c r="H839" s="21" t="n">
        <x:v>11075</x:v>
      </x:c>
      <x:c r="I839" s="17" t="str">
        <x:v>Followup</x:v>
      </x:c>
    </x:row>
    <x:row r="840" ht="23" customHeight="1">
      <x:c r="A840" s="17" t="str">
        <x:v>U00834</x:v>
      </x:c>
      <x:c r="B840" s="18" t="n">
        <x:v>46279</x:v>
      </x:c>
      <x:c r="C840" s="17" t="str">
        <x:v>W0084</x:v>
      </x:c>
      <x:c r="D840" s="17" t="str">
        <x:v>C002</x:v>
      </x:c>
      <x:c r="E840" s="17" t="str">
        <x:v>CopyStudio</x:v>
      </x:c>
      <x:c r="F840" s="17" t="str">
        <x:v>Lite</x:v>
      </x:c>
      <x:c r="G840" s="21" t="n">
        <x:v>27718</x:v>
      </x:c>
      <x:c r="H840" s="21" t="n">
        <x:v>3120</x:v>
      </x:c>
      <x:c r="I840" s="17" t="str">
        <x:v>Correction</x:v>
      </x:c>
    </x:row>
    <x:row r="841" ht="23" customHeight="1">
      <x:c r="A841" s="17" t="str">
        <x:v>U00835</x:v>
      </x:c>
      <x:c r="B841" s="18" t="n">
        <x:v>46279</x:v>
      </x:c>
      <x:c r="C841" s="17" t="str">
        <x:v>W0084</x:v>
      </x:c>
      <x:c r="D841" s="17" t="str">
        <x:v>C002</x:v>
      </x:c>
      <x:c r="E841" s="17" t="str">
        <x:v>CopyStudio</x:v>
      </x:c>
      <x:c r="F841" s="17" t="str">
        <x:v>Lite</x:v>
      </x:c>
      <x:c r="G841" s="21" t="n">
        <x:v>15217</x:v>
      </x:c>
      <x:c r="H841" s="21" t="n">
        <x:v>11451</x:v>
      </x:c>
      <x:c r="I841" s="17" t="str">
        <x:v>Followup</x:v>
      </x:c>
    </x:row>
    <x:row r="842" ht="23" customHeight="1">
      <x:c r="A842" s="17" t="str">
        <x:v>U00836</x:v>
      </x:c>
      <x:c r="B842" s="18" t="n">
        <x:v>46279</x:v>
      </x:c>
      <x:c r="C842" s="17" t="str">
        <x:v>W0084</x:v>
      </x:c>
      <x:c r="D842" s="17" t="str">
        <x:v>C002</x:v>
      </x:c>
      <x:c r="E842" s="17" t="str">
        <x:v>CopyStudio</x:v>
      </x:c>
      <x:c r="F842" s="17" t="str">
        <x:v>Lite</x:v>
      </x:c>
      <x:c r="G842" s="21" t="n">
        <x:v>39385</x:v>
      </x:c>
      <x:c r="H842" s="21" t="n">
        <x:v>11024</x:v>
      </x:c>
      <x:c r="I842" s="17" t="str">
        <x:v>Followup</x:v>
      </x:c>
    </x:row>
    <x:row r="843" ht="23" customHeight="1">
      <x:c r="A843" s="17" t="str">
        <x:v>U00837</x:v>
      </x:c>
      <x:c r="B843" s="18" t="n">
        <x:v>46279</x:v>
      </x:c>
      <x:c r="C843" s="17" t="str">
        <x:v>W0084</x:v>
      </x:c>
      <x:c r="D843" s="17" t="str">
        <x:v>C002</x:v>
      </x:c>
      <x:c r="E843" s="17" t="str">
        <x:v>CopyStudio</x:v>
      </x:c>
      <x:c r="F843" s="17" t="str">
        <x:v>Lite</x:v>
      </x:c>
      <x:c r="G843" s="21" t="n">
        <x:v>18211</x:v>
      </x:c>
      <x:c r="H843" s="21" t="n">
        <x:v>7728</x:v>
      </x:c>
      <x:c r="I843" s="17" t="str">
        <x:v>Followup</x:v>
      </x:c>
    </x:row>
    <x:row r="844" ht="23" customHeight="1">
      <x:c r="A844" s="17" t="str">
        <x:v>U00838</x:v>
      </x:c>
      <x:c r="B844" s="18" t="n">
        <x:v>46288</x:v>
      </x:c>
      <x:c r="C844" s="17" t="str">
        <x:v>W0088</x:v>
      </x:c>
      <x:c r="D844" s="17" t="str">
        <x:v>C002</x:v>
      </x:c>
      <x:c r="E844" s="17" t="str">
        <x:v>DataFlow</x:v>
      </x:c>
      <x:c r="F844" s="17" t="str">
        <x:v>Lite</x:v>
      </x:c>
      <x:c r="G844" s="21" t="n">
        <x:v>25350</x:v>
      </x:c>
      <x:c r="H844" s="21" t="n">
        <x:v>2750</x:v>
      </x:c>
      <x:c r="I844" s="17" t="str">
        <x:v>First attempt</x:v>
      </x:c>
    </x:row>
    <x:row r="845" ht="23" customHeight="1">
      <x:c r="A845" s="17" t="str">
        <x:v>U00839</x:v>
      </x:c>
      <x:c r="B845" s="18" t="n">
        <x:v>46288</x:v>
      </x:c>
      <x:c r="C845" s="17" t="str">
        <x:v>W0088</x:v>
      </x:c>
      <x:c r="D845" s="17" t="str">
        <x:v>C002</x:v>
      </x:c>
      <x:c r="E845" s="17" t="str">
        <x:v>DataFlow</x:v>
      </x:c>
      <x:c r="F845" s="17" t="str">
        <x:v>Lite</x:v>
      </x:c>
      <x:c r="G845" s="21" t="n">
        <x:v>38736</x:v>
      </x:c>
      <x:c r="H845" s="21" t="n">
        <x:v>1805</x:v>
      </x:c>
      <x:c r="I845" s="17" t="str">
        <x:v>Correction</x:v>
      </x:c>
    </x:row>
    <x:row r="846" ht="23" customHeight="1">
      <x:c r="A846" s="17" t="str">
        <x:v>U00840</x:v>
      </x:c>
      <x:c r="B846" s="18" t="n">
        <x:v>46288</x:v>
      </x:c>
      <x:c r="C846" s="17" t="str">
        <x:v>W0088</x:v>
      </x:c>
      <x:c r="D846" s="17" t="str">
        <x:v>C002</x:v>
      </x:c>
      <x:c r="E846" s="17" t="str">
        <x:v>DataFlow</x:v>
      </x:c>
      <x:c r="F846" s="17" t="str">
        <x:v>Lite</x:v>
      </x:c>
      <x:c r="G846" s="21" t="n">
        <x:v>33776</x:v>
      </x:c>
      <x:c r="H846" s="21" t="n">
        <x:v>4573</x:v>
      </x:c>
      <x:c r="I846" s="17" t="str">
        <x:v>Correction</x:v>
      </x:c>
    </x:row>
    <x:row r="847" ht="23" customHeight="1">
      <x:c r="A847" s="17" t="str">
        <x:v>U00841</x:v>
      </x:c>
      <x:c r="B847" s="18" t="n">
        <x:v>46288</x:v>
      </x:c>
      <x:c r="C847" s="17" t="str">
        <x:v>W0088</x:v>
      </x:c>
      <x:c r="D847" s="17" t="str">
        <x:v>C002</x:v>
      </x:c>
      <x:c r="E847" s="17" t="str">
        <x:v>DataFlow</x:v>
      </x:c>
      <x:c r="F847" s="17" t="str">
        <x:v>Lite</x:v>
      </x:c>
      <x:c r="G847" s="21" t="n">
        <x:v>24253</x:v>
      </x:c>
      <x:c r="H847" s="21" t="n">
        <x:v>6640</x:v>
      </x:c>
      <x:c r="I847" s="17" t="str">
        <x:v>Correction</x:v>
      </x:c>
    </x:row>
    <x:row r="848" ht="23" customHeight="1">
      <x:c r="A848" s="17" t="str">
        <x:v>U00842</x:v>
      </x:c>
      <x:c r="B848" s="18" t="n">
        <x:v>46288</x:v>
      </x:c>
      <x:c r="C848" s="17" t="str">
        <x:v>W0088</x:v>
      </x:c>
      <x:c r="D848" s="17" t="str">
        <x:v>C002</x:v>
      </x:c>
      <x:c r="E848" s="17" t="str">
        <x:v>DataFlow</x:v>
      </x:c>
      <x:c r="F848" s="17" t="str">
        <x:v>Lite</x:v>
      </x:c>
      <x:c r="G848" s="21" t="n">
        <x:v>38263</x:v>
      </x:c>
      <x:c r="H848" s="21" t="n">
        <x:v>2102</x:v>
      </x:c>
      <x:c r="I848" s="17" t="str">
        <x:v>Followup</x:v>
      </x:c>
    </x:row>
    <x:row r="849" ht="23" customHeight="1">
      <x:c r="A849" s="17" t="str">
        <x:v>U00843</x:v>
      </x:c>
      <x:c r="B849" s="18" t="n">
        <x:v>46288</x:v>
      </x:c>
      <x:c r="C849" s="17" t="str">
        <x:v>W0088</x:v>
      </x:c>
      <x:c r="D849" s="17" t="str">
        <x:v>C002</x:v>
      </x:c>
      <x:c r="E849" s="17" t="str">
        <x:v>DataFlow</x:v>
      </x:c>
      <x:c r="F849" s="17" t="str">
        <x:v>Lite</x:v>
      </x:c>
      <x:c r="G849" s="21" t="n">
        <x:v>36542</x:v>
      </x:c>
      <x:c r="H849" s="21" t="n">
        <x:v>4437</x:v>
      </x:c>
      <x:c r="I849" s="17" t="str">
        <x:v>Followup</x:v>
      </x:c>
    </x:row>
    <x:row r="850" ht="23" customHeight="1">
      <x:c r="A850" s="17" t="str">
        <x:v>U00844</x:v>
      </x:c>
      <x:c r="B850" s="18" t="n">
        <x:v>46288</x:v>
      </x:c>
      <x:c r="C850" s="17" t="str">
        <x:v>W0088</x:v>
      </x:c>
      <x:c r="D850" s="17" t="str">
        <x:v>C002</x:v>
      </x:c>
      <x:c r="E850" s="17" t="str">
        <x:v>DataFlow</x:v>
      </x:c>
      <x:c r="F850" s="17" t="str">
        <x:v>Lite</x:v>
      </x:c>
      <x:c r="G850" s="21" t="n">
        <x:v>20972</x:v>
      </x:c>
      <x:c r="H850" s="21" t="n">
        <x:v>4523</x:v>
      </x:c>
      <x:c r="I850" s="17" t="str">
        <x:v>Correction</x:v>
      </x:c>
    </x:row>
    <x:row r="851" ht="23" customHeight="1">
      <x:c r="A851" s="17" t="str">
        <x:v>U00845</x:v>
      </x:c>
      <x:c r="B851" s="18" t="n">
        <x:v>46289</x:v>
      </x:c>
      <x:c r="C851" s="17" t="str">
        <x:v>W0088</x:v>
      </x:c>
      <x:c r="D851" s="17" t="str">
        <x:v>C002</x:v>
      </x:c>
      <x:c r="E851" s="17" t="str">
        <x:v>DataFlow</x:v>
      </x:c>
      <x:c r="F851" s="17" t="str">
        <x:v>Lite</x:v>
      </x:c>
      <x:c r="G851" s="21" t="n">
        <x:v>28925</x:v>
      </x:c>
      <x:c r="H851" s="21" t="n">
        <x:v>3001</x:v>
      </x:c>
      <x:c r="I851" s="17" t="str">
        <x:v>Followup</x:v>
      </x:c>
    </x:row>
    <x:row r="852" ht="23" customHeight="1">
      <x:c r="A852" s="17" t="str">
        <x:v>U00846</x:v>
      </x:c>
      <x:c r="B852" s="18" t="n">
        <x:v>46289</x:v>
      </x:c>
      <x:c r="C852" s="17" t="str">
        <x:v>W0088</x:v>
      </x:c>
      <x:c r="D852" s="17" t="str">
        <x:v>C002</x:v>
      </x:c>
      <x:c r="E852" s="17" t="str">
        <x:v>DataFlow</x:v>
      </x:c>
      <x:c r="F852" s="17" t="str">
        <x:v>Lite</x:v>
      </x:c>
      <x:c r="G852" s="21" t="n">
        <x:v>42320</x:v>
      </x:c>
      <x:c r="H852" s="21" t="n">
        <x:v>2946</x:v>
      </x:c>
      <x:c r="I852" s="17" t="str">
        <x:v>Followup</x:v>
      </x:c>
    </x:row>
    <x:row r="853" ht="23" customHeight="1">
      <x:c r="A853" s="17" t="str">
        <x:v>U00847</x:v>
      </x:c>
      <x:c r="B853" s="18" t="n">
        <x:v>46289</x:v>
      </x:c>
      <x:c r="C853" s="17" t="str">
        <x:v>W0088</x:v>
      </x:c>
      <x:c r="D853" s="17" t="str">
        <x:v>C002</x:v>
      </x:c>
      <x:c r="E853" s="17" t="str">
        <x:v>DataFlow</x:v>
      </x:c>
      <x:c r="F853" s="17" t="str">
        <x:v>Lite</x:v>
      </x:c>
      <x:c r="G853" s="21" t="n">
        <x:v>40627</x:v>
      </x:c>
      <x:c r="H853" s="21" t="n">
        <x:v>5933</x:v>
      </x:c>
      <x:c r="I853" s="17" t="str">
        <x:v>Followup</x:v>
      </x:c>
    </x:row>
    <x:row r="854" ht="23" customHeight="1">
      <x:c r="A854" s="17" t="str">
        <x:v>U00848</x:v>
      </x:c>
      <x:c r="B854" s="18" t="n">
        <x:v>46289</x:v>
      </x:c>
      <x:c r="C854" s="17" t="str">
        <x:v>W0088</x:v>
      </x:c>
      <x:c r="D854" s="17" t="str">
        <x:v>C002</x:v>
      </x:c>
      <x:c r="E854" s="17" t="str">
        <x:v>DataFlow</x:v>
      </x:c>
      <x:c r="F854" s="17" t="str">
        <x:v>Lite</x:v>
      </x:c>
      <x:c r="G854" s="21" t="n">
        <x:v>15691</x:v>
      </x:c>
      <x:c r="H854" s="21" t="n">
        <x:v>6489</x:v>
      </x:c>
      <x:c r="I854" s="17" t="str">
        <x:v>Followup</x:v>
      </x:c>
    </x:row>
    <x:row r="855" ht="23" customHeight="1">
      <x:c r="A855" s="17" t="str">
        <x:v>U00849</x:v>
      </x:c>
      <x:c r="B855" s="18" t="n">
        <x:v>46289</x:v>
      </x:c>
      <x:c r="C855" s="17" t="str">
        <x:v>W0088</x:v>
      </x:c>
      <x:c r="D855" s="17" t="str">
        <x:v>C002</x:v>
      </x:c>
      <x:c r="E855" s="17" t="str">
        <x:v>DataFlow</x:v>
      </x:c>
      <x:c r="F855" s="17" t="str">
        <x:v>Lite</x:v>
      </x:c>
      <x:c r="G855" s="21" t="n">
        <x:v>36035</x:v>
      </x:c>
      <x:c r="H855" s="21" t="n">
        <x:v>5272</x:v>
      </x:c>
      <x:c r="I855" s="17" t="str">
        <x:v>Correction</x:v>
      </x:c>
    </x:row>
    <x:row r="856" ht="23" customHeight="1">
      <x:c r="A856" s="17" t="str">
        <x:v>U00850</x:v>
      </x:c>
      <x:c r="B856" s="18" t="n">
        <x:v>46289</x:v>
      </x:c>
      <x:c r="C856" s="17" t="str">
        <x:v>W0088</x:v>
      </x:c>
      <x:c r="D856" s="17" t="str">
        <x:v>C002</x:v>
      </x:c>
      <x:c r="E856" s="17" t="str">
        <x:v>DataFlow</x:v>
      </x:c>
      <x:c r="F856" s="17" t="str">
        <x:v>Lite</x:v>
      </x:c>
      <x:c r="G856" s="21" t="n">
        <x:v>16243</x:v>
      </x:c>
      <x:c r="H856" s="21" t="n">
        <x:v>2280</x:v>
      </x:c>
      <x:c r="I856" s="17" t="str">
        <x:v>Correction</x:v>
      </x:c>
    </x:row>
    <x:row r="857" ht="23" customHeight="1">
      <x:c r="A857" s="17" t="str">
        <x:v>U00851</x:v>
      </x:c>
      <x:c r="B857" s="18" t="n">
        <x:v>46289</x:v>
      </x:c>
      <x:c r="C857" s="17" t="str">
        <x:v>W0088</x:v>
      </x:c>
      <x:c r="D857" s="17" t="str">
        <x:v>C002</x:v>
      </x:c>
      <x:c r="E857" s="17" t="str">
        <x:v>DataFlow</x:v>
      </x:c>
      <x:c r="F857" s="17" t="str">
        <x:v>Lite</x:v>
      </x:c>
      <x:c r="G857" s="21" t="n">
        <x:v>14934</x:v>
      </x:c>
      <x:c r="H857" s="21" t="n">
        <x:v>2515</x:v>
      </x:c>
      <x:c r="I857" s="17" t="str">
        <x:v>Correction</x:v>
      </x:c>
    </x:row>
    <x:row r="858" ht="23" customHeight="1">
      <x:c r="A858" s="17" t="str">
        <x:v>U00852</x:v>
      </x:c>
      <x:c r="B858" s="18" t="n">
        <x:v>46290</x:v>
      </x:c>
      <x:c r="C858" s="17" t="str">
        <x:v>W0088</x:v>
      </x:c>
      <x:c r="D858" s="17" t="str">
        <x:v>C002</x:v>
      </x:c>
      <x:c r="E858" s="17" t="str">
        <x:v>DataFlow</x:v>
      </x:c>
      <x:c r="F858" s="17" t="str">
        <x:v>Lite</x:v>
      </x:c>
      <x:c r="G858" s="21" t="n">
        <x:v>39164</x:v>
      </x:c>
      <x:c r="H858" s="21" t="n">
        <x:v>2455</x:v>
      </x:c>
      <x:c r="I858" s="17" t="str">
        <x:v>Followup</x:v>
      </x:c>
    </x:row>
    <x:row r="859" ht="23" customHeight="1">
      <x:c r="A859" s="17" t="str">
        <x:v>U00853</x:v>
      </x:c>
      <x:c r="B859" s="18" t="n">
        <x:v>46290</x:v>
      </x:c>
      <x:c r="C859" s="17" t="str">
        <x:v>W0088</x:v>
      </x:c>
      <x:c r="D859" s="17" t="str">
        <x:v>C002</x:v>
      </x:c>
      <x:c r="E859" s="17" t="str">
        <x:v>DataFlow</x:v>
      </x:c>
      <x:c r="F859" s="17" t="str">
        <x:v>Lite</x:v>
      </x:c>
      <x:c r="G859" s="21" t="n">
        <x:v>20770</x:v>
      </x:c>
      <x:c r="H859" s="21" t="n">
        <x:v>5921</x:v>
      </x:c>
      <x:c r="I859" s="17" t="str">
        <x:v>Correction</x:v>
      </x:c>
    </x:row>
    <x:row r="860" ht="23" customHeight="1">
      <x:c r="A860" s="17" t="str">
        <x:v>U00854</x:v>
      </x:c>
      <x:c r="B860" s="18" t="n">
        <x:v>46290</x:v>
      </x:c>
      <x:c r="C860" s="17" t="str">
        <x:v>W0088</x:v>
      </x:c>
      <x:c r="D860" s="17" t="str">
        <x:v>C002</x:v>
      </x:c>
      <x:c r="E860" s="17" t="str">
        <x:v>DataFlow</x:v>
      </x:c>
      <x:c r="F860" s="17" t="str">
        <x:v>Lite</x:v>
      </x:c>
      <x:c r="G860" s="21" t="n">
        <x:v>28598</x:v>
      </x:c>
      <x:c r="H860" s="21" t="n">
        <x:v>4816</x:v>
      </x:c>
      <x:c r="I860" s="17" t="str">
        <x:v>Followup</x:v>
      </x:c>
    </x:row>
    <x:row r="861" ht="23" customHeight="1">
      <x:c r="A861" s="17" t="str">
        <x:v>U00855</x:v>
      </x:c>
      <x:c r="B861" s="18" t="n">
        <x:v>46290</x:v>
      </x:c>
      <x:c r="C861" s="17" t="str">
        <x:v>W0088</x:v>
      </x:c>
      <x:c r="D861" s="17" t="str">
        <x:v>C002</x:v>
      </x:c>
      <x:c r="E861" s="17" t="str">
        <x:v>DataFlow</x:v>
      </x:c>
      <x:c r="F861" s="17" t="str">
        <x:v>Lite</x:v>
      </x:c>
      <x:c r="G861" s="21" t="n">
        <x:v>19357</x:v>
      </x:c>
      <x:c r="H861" s="21" t="n">
        <x:v>5870</x:v>
      </x:c>
      <x:c r="I861" s="17" t="str">
        <x:v>Followup</x:v>
      </x:c>
    </x:row>
    <x:row r="862" ht="23" customHeight="1">
      <x:c r="A862" s="17" t="str">
        <x:v>U00856</x:v>
      </x:c>
      <x:c r="B862" s="18" t="n">
        <x:v>46290</x:v>
      </x:c>
      <x:c r="C862" s="17" t="str">
        <x:v>W0088</x:v>
      </x:c>
      <x:c r="D862" s="17" t="str">
        <x:v>C002</x:v>
      </x:c>
      <x:c r="E862" s="17" t="str">
        <x:v>DataFlow</x:v>
      </x:c>
      <x:c r="F862" s="17" t="str">
        <x:v>Lite</x:v>
      </x:c>
      <x:c r="G862" s="21" t="n">
        <x:v>29060</x:v>
      </x:c>
      <x:c r="H862" s="21" t="n">
        <x:v>6400</x:v>
      </x:c>
      <x:c r="I862" s="17" t="str">
        <x:v>Followup</x:v>
      </x:c>
    </x:row>
    <x:row r="863" ht="23" customHeight="1">
      <x:c r="A863" s="17" t="str">
        <x:v>U00857</x:v>
      </x:c>
      <x:c r="B863" s="18" t="n">
        <x:v>46290</x:v>
      </x:c>
      <x:c r="C863" s="17" t="str">
        <x:v>W0088</x:v>
      </x:c>
      <x:c r="D863" s="17" t="str">
        <x:v>C002</x:v>
      </x:c>
      <x:c r="E863" s="17" t="str">
        <x:v>DataFlow</x:v>
      </x:c>
      <x:c r="F863" s="17" t="str">
        <x:v>Lite</x:v>
      </x:c>
      <x:c r="G863" s="21" t="n">
        <x:v>31076</x:v>
      </x:c>
      <x:c r="H863" s="21" t="n">
        <x:v>6420</x:v>
      </x:c>
      <x:c r="I863" s="17" t="str">
        <x:v>Followup</x:v>
      </x:c>
    </x:row>
    <x:row r="864" ht="23" customHeight="1">
      <x:c r="A864" s="17" t="str">
        <x:v>U00858</x:v>
      </x:c>
      <x:c r="B864" s="18" t="n">
        <x:v>46290</x:v>
      </x:c>
      <x:c r="C864" s="17" t="str">
        <x:v>W0088</x:v>
      </x:c>
      <x:c r="D864" s="17" t="str">
        <x:v>C002</x:v>
      </x:c>
      <x:c r="E864" s="17" t="str">
        <x:v>DataFlow</x:v>
      </x:c>
      <x:c r="F864" s="17" t="str">
        <x:v>Lite</x:v>
      </x:c>
      <x:c r="G864" s="21" t="n">
        <x:v>14756</x:v>
      </x:c>
      <x:c r="H864" s="21" t="n">
        <x:v>5923</x:v>
      </x:c>
      <x:c r="I864" s="17" t="str">
        <x:v>Followup</x:v>
      </x:c>
    </x:row>
    <x:row r="865" ht="23" customHeight="1">
      <x:c r="A865" s="17" t="str">
        <x:v>U00859</x:v>
      </x:c>
      <x:c r="B865" s="18" t="n">
        <x:v>46293</x:v>
      </x:c>
      <x:c r="C865" s="17" t="str">
        <x:v>W0088</x:v>
      </x:c>
      <x:c r="D865" s="17" t="str">
        <x:v>C002</x:v>
      </x:c>
      <x:c r="E865" s="17" t="str">
        <x:v>DataFlow</x:v>
      </x:c>
      <x:c r="F865" s="17" t="str">
        <x:v>Lite</x:v>
      </x:c>
      <x:c r="G865" s="21" t="n">
        <x:v>38656</x:v>
      </x:c>
      <x:c r="H865" s="21" t="n">
        <x:v>5007</x:v>
      </x:c>
      <x:c r="I865" s="17" t="str">
        <x:v>Correction</x:v>
      </x:c>
    </x:row>
    <x:row r="866" ht="23" customHeight="1">
      <x:c r="A866" s="17" t="str">
        <x:v>U00860</x:v>
      </x:c>
      <x:c r="B866" s="18" t="n">
        <x:v>46293</x:v>
      </x:c>
      <x:c r="C866" s="17" t="str">
        <x:v>W0088</x:v>
      </x:c>
      <x:c r="D866" s="17" t="str">
        <x:v>C002</x:v>
      </x:c>
      <x:c r="E866" s="17" t="str">
        <x:v>DataFlow</x:v>
      </x:c>
      <x:c r="F866" s="17" t="str">
        <x:v>Lite</x:v>
      </x:c>
      <x:c r="G866" s="21" t="n">
        <x:v>16066</x:v>
      </x:c>
      <x:c r="H866" s="21" t="n">
        <x:v>1940</x:v>
      </x:c>
      <x:c r="I866" s="17" t="str">
        <x:v>Followup</x:v>
      </x:c>
    </x:row>
    <x:row r="867" ht="23" customHeight="1">
      <x:c r="A867" s="17" t="str">
        <x:v>U00861</x:v>
      </x:c>
      <x:c r="B867" s="18" t="n">
        <x:v>46293</x:v>
      </x:c>
      <x:c r="C867" s="17" t="str">
        <x:v>W0088</x:v>
      </x:c>
      <x:c r="D867" s="17" t="str">
        <x:v>C002</x:v>
      </x:c>
      <x:c r="E867" s="17" t="str">
        <x:v>DataFlow</x:v>
      </x:c>
      <x:c r="F867" s="17" t="str">
        <x:v>Lite</x:v>
      </x:c>
      <x:c r="G867" s="21" t="n">
        <x:v>38752</x:v>
      </x:c>
      <x:c r="H867" s="21" t="n">
        <x:v>2598</x:v>
      </x:c>
      <x:c r="I867" s="17" t="str">
        <x:v>Correction</x:v>
      </x:c>
    </x:row>
    <x:row r="868" ht="23" customHeight="1">
      <x:c r="A868" s="17" t="str">
        <x:v>U00862</x:v>
      </x:c>
      <x:c r="B868" s="18" t="n">
        <x:v>46293</x:v>
      </x:c>
      <x:c r="C868" s="17" t="str">
        <x:v>W0088</x:v>
      </x:c>
      <x:c r="D868" s="17" t="str">
        <x:v>C002</x:v>
      </x:c>
      <x:c r="E868" s="17" t="str">
        <x:v>DataFlow</x:v>
      </x:c>
      <x:c r="F868" s="17" t="str">
        <x:v>Lite</x:v>
      </x:c>
      <x:c r="G868" s="21" t="n">
        <x:v>30095</x:v>
      </x:c>
      <x:c r="H868" s="21" t="n">
        <x:v>2930</x:v>
      </x:c>
      <x:c r="I868" s="17" t="str">
        <x:v>Correction</x:v>
      </x:c>
    </x:row>
    <x:row r="869" ht="23" customHeight="1">
      <x:c r="A869" s="17" t="str">
        <x:v>U00863</x:v>
      </x:c>
      <x:c r="B869" s="18" t="n">
        <x:v>46293</x:v>
      </x:c>
      <x:c r="C869" s="17" t="str">
        <x:v>W0088</x:v>
      </x:c>
      <x:c r="D869" s="17" t="str">
        <x:v>C002</x:v>
      </x:c>
      <x:c r="E869" s="17" t="str">
        <x:v>DataFlow</x:v>
      </x:c>
      <x:c r="F869" s="17" t="str">
        <x:v>Lite</x:v>
      </x:c>
      <x:c r="G869" s="21" t="n">
        <x:v>33296</x:v>
      </x:c>
      <x:c r="H869" s="21" t="n">
        <x:v>1919</x:v>
      </x:c>
      <x:c r="I869" s="17" t="str">
        <x:v>Correction</x:v>
      </x:c>
    </x:row>
    <x:row r="870" ht="23" customHeight="1">
      <x:c r="A870" s="17" t="str">
        <x:v>U00864</x:v>
      </x:c>
      <x:c r="B870" s="18" t="n">
        <x:v>46293</x:v>
      </x:c>
      <x:c r="C870" s="17" t="str">
        <x:v>W0088</x:v>
      </x:c>
      <x:c r="D870" s="17" t="str">
        <x:v>C002</x:v>
      </x:c>
      <x:c r="E870" s="17" t="str">
        <x:v>DataFlow</x:v>
      </x:c>
      <x:c r="F870" s="17" t="str">
        <x:v>Lite</x:v>
      </x:c>
      <x:c r="G870" s="21" t="n">
        <x:v>36850</x:v>
      </x:c>
      <x:c r="H870" s="21" t="n">
        <x:v>3393</x:v>
      </x:c>
      <x:c r="I870" s="17" t="str">
        <x:v>Followup</x:v>
      </x:c>
    </x:row>
    <x:row r="871" ht="23" customHeight="1">
      <x:c r="A871" s="17" t="str">
        <x:v>U00865</x:v>
      </x:c>
      <x:c r="B871" s="18" t="n">
        <x:v>46273</x:v>
      </x:c>
      <x:c r="C871" s="17" t="str">
        <x:v>W0089</x:v>
      </x:c>
      <x:c r="D871" s="17" t="str">
        <x:v>C002</x:v>
      </x:c>
      <x:c r="E871" s="17" t="str">
        <x:v>DataFlow</x:v>
      </x:c>
      <x:c r="F871" s="17" t="str">
        <x:v>Lite</x:v>
      </x:c>
      <x:c r="G871" s="21" t="n">
        <x:v>16029</x:v>
      </x:c>
      <x:c r="H871" s="21" t="n">
        <x:v>7266</x:v>
      </x:c>
      <x:c r="I871" s="17" t="str">
        <x:v>First attempt</x:v>
      </x:c>
    </x:row>
    <x:row r="872" ht="23" customHeight="1">
      <x:c r="A872" s="17" t="str">
        <x:v>U00866</x:v>
      </x:c>
      <x:c r="B872" s="18" t="n">
        <x:v>46273</x:v>
      </x:c>
      <x:c r="C872" s="17" t="str">
        <x:v>W0089</x:v>
      </x:c>
      <x:c r="D872" s="17" t="str">
        <x:v>C002</x:v>
      </x:c>
      <x:c r="E872" s="17" t="str">
        <x:v>DataFlow</x:v>
      </x:c>
      <x:c r="F872" s="17" t="str">
        <x:v>Lite</x:v>
      </x:c>
      <x:c r="G872" s="21" t="n">
        <x:v>29030</x:v>
      </x:c>
      <x:c r="H872" s="21" t="n">
        <x:v>3967</x:v>
      </x:c>
      <x:c r="I872" s="17" t="str">
        <x:v>Correction</x:v>
      </x:c>
    </x:row>
    <x:row r="873" ht="23" customHeight="1">
      <x:c r="A873" s="17" t="str">
        <x:v>U00867</x:v>
      </x:c>
      <x:c r="B873" s="18" t="n">
        <x:v>46273</x:v>
      </x:c>
      <x:c r="C873" s="17" t="str">
        <x:v>W0089</x:v>
      </x:c>
      <x:c r="D873" s="17" t="str">
        <x:v>C002</x:v>
      </x:c>
      <x:c r="E873" s="17" t="str">
        <x:v>DataFlow</x:v>
      </x:c>
      <x:c r="F873" s="17" t="str">
        <x:v>Lite</x:v>
      </x:c>
      <x:c r="G873" s="21" t="n">
        <x:v>14026</x:v>
      </x:c>
      <x:c r="H873" s="21" t="n">
        <x:v>7127</x:v>
      </x:c>
      <x:c r="I873" s="17" t="str">
        <x:v>Followup</x:v>
      </x:c>
    </x:row>
    <x:row r="874" ht="23" customHeight="1">
      <x:c r="A874" s="17" t="str">
        <x:v>U00868</x:v>
      </x:c>
      <x:c r="B874" s="18" t="n">
        <x:v>46273</x:v>
      </x:c>
      <x:c r="C874" s="17" t="str">
        <x:v>W0089</x:v>
      </x:c>
      <x:c r="D874" s="17" t="str">
        <x:v>C002</x:v>
      </x:c>
      <x:c r="E874" s="17" t="str">
        <x:v>DataFlow</x:v>
      </x:c>
      <x:c r="F874" s="17" t="str">
        <x:v>Lite</x:v>
      </x:c>
      <x:c r="G874" s="21" t="n">
        <x:v>26905</x:v>
      </x:c>
      <x:c r="H874" s="21" t="n">
        <x:v>5485</x:v>
      </x:c>
      <x:c r="I874" s="17" t="str">
        <x:v>Correction</x:v>
      </x:c>
    </x:row>
    <x:row r="875" ht="23" customHeight="1">
      <x:c r="A875" s="17" t="str">
        <x:v>U00869</x:v>
      </x:c>
      <x:c r="B875" s="18" t="n">
        <x:v>46273</x:v>
      </x:c>
      <x:c r="C875" s="17" t="str">
        <x:v>W0089</x:v>
      </x:c>
      <x:c r="D875" s="17" t="str">
        <x:v>C002</x:v>
      </x:c>
      <x:c r="E875" s="17" t="str">
        <x:v>DataFlow</x:v>
      </x:c>
      <x:c r="F875" s="17" t="str">
        <x:v>Lite</x:v>
      </x:c>
      <x:c r="G875" s="21" t="n">
        <x:v>22862</x:v>
      </x:c>
      <x:c r="H875" s="21" t="n">
        <x:v>3006</x:v>
      </x:c>
      <x:c r="I875" s="17" t="str">
        <x:v>Followup</x:v>
      </x:c>
    </x:row>
    <x:row r="876" ht="23" customHeight="1">
      <x:c r="A876" s="17" t="str">
        <x:v>U00870</x:v>
      </x:c>
      <x:c r="B876" s="18" t="n">
        <x:v>46273</x:v>
      </x:c>
      <x:c r="C876" s="17" t="str">
        <x:v>W0089</x:v>
      </x:c>
      <x:c r="D876" s="17" t="str">
        <x:v>C002</x:v>
      </x:c>
      <x:c r="E876" s="17" t="str">
        <x:v>DataFlow</x:v>
      </x:c>
      <x:c r="F876" s="17" t="str">
        <x:v>Lite</x:v>
      </x:c>
      <x:c r="G876" s="21" t="n">
        <x:v>10002</x:v>
      </x:c>
      <x:c r="H876" s="21" t="n">
        <x:v>5058</x:v>
      </x:c>
      <x:c r="I876" s="17" t="str">
        <x:v>Correction</x:v>
      </x:c>
    </x:row>
    <x:row r="877" ht="23" customHeight="1">
      <x:c r="A877" s="17" t="str">
        <x:v>U00871</x:v>
      </x:c>
      <x:c r="B877" s="18" t="n">
        <x:v>46274</x:v>
      </x:c>
      <x:c r="C877" s="17" t="str">
        <x:v>W0089</x:v>
      </x:c>
      <x:c r="D877" s="17" t="str">
        <x:v>C002</x:v>
      </x:c>
      <x:c r="E877" s="17" t="str">
        <x:v>DataFlow</x:v>
      </x:c>
      <x:c r="F877" s="17" t="str">
        <x:v>Lite</x:v>
      </x:c>
      <x:c r="G877" s="21" t="n">
        <x:v>27811</x:v>
      </x:c>
      <x:c r="H877" s="21" t="n">
        <x:v>5072</x:v>
      </x:c>
      <x:c r="I877" s="17" t="str">
        <x:v>Followup</x:v>
      </x:c>
    </x:row>
    <x:row r="878" ht="23" customHeight="1">
      <x:c r="A878" s="17" t="str">
        <x:v>U00872</x:v>
      </x:c>
      <x:c r="B878" s="18" t="n">
        <x:v>46274</x:v>
      </x:c>
      <x:c r="C878" s="17" t="str">
        <x:v>W0089</x:v>
      </x:c>
      <x:c r="D878" s="17" t="str">
        <x:v>C002</x:v>
      </x:c>
      <x:c r="E878" s="17" t="str">
        <x:v>DataFlow</x:v>
      </x:c>
      <x:c r="F878" s="17" t="str">
        <x:v>Lite</x:v>
      </x:c>
      <x:c r="G878" s="21" t="n">
        <x:v>17652</x:v>
      </x:c>
      <x:c r="H878" s="21" t="n">
        <x:v>5399</x:v>
      </x:c>
      <x:c r="I878" s="17" t="str">
        <x:v>Correction</x:v>
      </x:c>
    </x:row>
    <x:row r="879" ht="23" customHeight="1">
      <x:c r="A879" s="17" t="str">
        <x:v>U00873</x:v>
      </x:c>
      <x:c r="B879" s="18" t="n">
        <x:v>46274</x:v>
      </x:c>
      <x:c r="C879" s="17" t="str">
        <x:v>W0089</x:v>
      </x:c>
      <x:c r="D879" s="17" t="str">
        <x:v>C002</x:v>
      </x:c>
      <x:c r="E879" s="17" t="str">
        <x:v>DataFlow</x:v>
      </x:c>
      <x:c r="F879" s="17" t="str">
        <x:v>Lite</x:v>
      </x:c>
      <x:c r="G879" s="21" t="n">
        <x:v>18500</x:v>
      </x:c>
      <x:c r="H879" s="21" t="n">
        <x:v>6223</x:v>
      </x:c>
      <x:c r="I879" s="17" t="str">
        <x:v>Correction</x:v>
      </x:c>
    </x:row>
    <x:row r="880" ht="23" customHeight="1">
      <x:c r="A880" s="17" t="str">
        <x:v>U00874</x:v>
      </x:c>
      <x:c r="B880" s="18" t="n">
        <x:v>46274</x:v>
      </x:c>
      <x:c r="C880" s="17" t="str">
        <x:v>W0089</x:v>
      </x:c>
      <x:c r="D880" s="17" t="str">
        <x:v>C002</x:v>
      </x:c>
      <x:c r="E880" s="17" t="str">
        <x:v>DataFlow</x:v>
      </x:c>
      <x:c r="F880" s="17" t="str">
        <x:v>Lite</x:v>
      </x:c>
      <x:c r="G880" s="21" t="n">
        <x:v>11481</x:v>
      </x:c>
      <x:c r="H880" s="21" t="n">
        <x:v>6986</x:v>
      </x:c>
      <x:c r="I880" s="17" t="str">
        <x:v>Correction</x:v>
      </x:c>
    </x:row>
    <x:row r="881" ht="23" customHeight="1">
      <x:c r="A881" s="17" t="str">
        <x:v>U00875</x:v>
      </x:c>
      <x:c r="B881" s="18" t="n">
        <x:v>46274</x:v>
      </x:c>
      <x:c r="C881" s="17" t="str">
        <x:v>W0089</x:v>
      </x:c>
      <x:c r="D881" s="17" t="str">
        <x:v>C002</x:v>
      </x:c>
      <x:c r="E881" s="17" t="str">
        <x:v>DataFlow</x:v>
      </x:c>
      <x:c r="F881" s="17" t="str">
        <x:v>Lite</x:v>
      </x:c>
      <x:c r="G881" s="21" t="n">
        <x:v>12790</x:v>
      </x:c>
      <x:c r="H881" s="21" t="n">
        <x:v>4672</x:v>
      </x:c>
      <x:c r="I881" s="17" t="str">
        <x:v>Correction</x:v>
      </x:c>
    </x:row>
    <x:row r="882" ht="23" customHeight="1">
      <x:c r="A882" s="17" t="str">
        <x:v>U00876</x:v>
      </x:c>
      <x:c r="B882" s="18" t="n">
        <x:v>46274</x:v>
      </x:c>
      <x:c r="C882" s="17" t="str">
        <x:v>W0089</x:v>
      </x:c>
      <x:c r="D882" s="17" t="str">
        <x:v>C002</x:v>
      </x:c>
      <x:c r="E882" s="17" t="str">
        <x:v>DataFlow</x:v>
      </x:c>
      <x:c r="F882" s="17" t="str">
        <x:v>Lite</x:v>
      </x:c>
      <x:c r="G882" s="21" t="n">
        <x:v>21685</x:v>
      </x:c>
      <x:c r="H882" s="21" t="n">
        <x:v>7516</x:v>
      </x:c>
      <x:c r="I882" s="17" t="str">
        <x:v>Followup</x:v>
      </x:c>
    </x:row>
    <x:row r="883" ht="23" customHeight="1">
      <x:c r="A883" s="17" t="str">
        <x:v>U00877</x:v>
      </x:c>
      <x:c r="B883" s="18" t="n">
        <x:v>46275</x:v>
      </x:c>
      <x:c r="C883" s="17" t="str">
        <x:v>W0089</x:v>
      </x:c>
      <x:c r="D883" s="17" t="str">
        <x:v>C002</x:v>
      </x:c>
      <x:c r="E883" s="17" t="str">
        <x:v>DataFlow</x:v>
      </x:c>
      <x:c r="F883" s="17" t="str">
        <x:v>Lite</x:v>
      </x:c>
      <x:c r="G883" s="21" t="n">
        <x:v>27291</x:v>
      </x:c>
      <x:c r="H883" s="21" t="n">
        <x:v>2742</x:v>
      </x:c>
      <x:c r="I883" s="17" t="str">
        <x:v>Followup</x:v>
      </x:c>
    </x:row>
    <x:row r="884" ht="23" customHeight="1">
      <x:c r="A884" s="17" t="str">
        <x:v>U00878</x:v>
      </x:c>
      <x:c r="B884" s="18" t="n">
        <x:v>46275</x:v>
      </x:c>
      <x:c r="C884" s="17" t="str">
        <x:v>W0089</x:v>
      </x:c>
      <x:c r="D884" s="17" t="str">
        <x:v>C002</x:v>
      </x:c>
      <x:c r="E884" s="17" t="str">
        <x:v>DataFlow</x:v>
      </x:c>
      <x:c r="F884" s="17" t="str">
        <x:v>Lite</x:v>
      </x:c>
      <x:c r="G884" s="21" t="n">
        <x:v>21182</x:v>
      </x:c>
      <x:c r="H884" s="21" t="n">
        <x:v>4291</x:v>
      </x:c>
      <x:c r="I884" s="17" t="str">
        <x:v>Correction</x:v>
      </x:c>
    </x:row>
    <x:row r="885" ht="23" customHeight="1">
      <x:c r="A885" s="17" t="str">
        <x:v>U00879</x:v>
      </x:c>
      <x:c r="B885" s="18" t="n">
        <x:v>46275</x:v>
      </x:c>
      <x:c r="C885" s="17" t="str">
        <x:v>W0089</x:v>
      </x:c>
      <x:c r="D885" s="17" t="str">
        <x:v>C002</x:v>
      </x:c>
      <x:c r="E885" s="17" t="str">
        <x:v>DataFlow</x:v>
      </x:c>
      <x:c r="F885" s="17" t="str">
        <x:v>Lite</x:v>
      </x:c>
      <x:c r="G885" s="21" t="n">
        <x:v>25135</x:v>
      </x:c>
      <x:c r="H885" s="21" t="n">
        <x:v>3606</x:v>
      </x:c>
      <x:c r="I885" s="17" t="str">
        <x:v>Followup</x:v>
      </x:c>
    </x:row>
    <x:row r="886" ht="23" customHeight="1">
      <x:c r="A886" s="17" t="str">
        <x:v>U00880</x:v>
      </x:c>
      <x:c r="B886" s="18" t="n">
        <x:v>46275</x:v>
      </x:c>
      <x:c r="C886" s="17" t="str">
        <x:v>W0089</x:v>
      </x:c>
      <x:c r="D886" s="17" t="str">
        <x:v>C002</x:v>
      </x:c>
      <x:c r="E886" s="17" t="str">
        <x:v>DataFlow</x:v>
      </x:c>
      <x:c r="F886" s="17" t="str">
        <x:v>Lite</x:v>
      </x:c>
      <x:c r="G886" s="21" t="n">
        <x:v>25007</x:v>
      </x:c>
      <x:c r="H886" s="21" t="n">
        <x:v>6271</x:v>
      </x:c>
      <x:c r="I886" s="17" t="str">
        <x:v>Correction</x:v>
      </x:c>
    </x:row>
    <x:row r="887" ht="23" customHeight="1">
      <x:c r="A887" s="17" t="str">
        <x:v>U00881</x:v>
      </x:c>
      <x:c r="B887" s="18" t="n">
        <x:v>46275</x:v>
      </x:c>
      <x:c r="C887" s="17" t="str">
        <x:v>W0089</x:v>
      </x:c>
      <x:c r="D887" s="17" t="str">
        <x:v>C002</x:v>
      </x:c>
      <x:c r="E887" s="17" t="str">
        <x:v>DataFlow</x:v>
      </x:c>
      <x:c r="F887" s="17" t="str">
        <x:v>Lite</x:v>
      </x:c>
      <x:c r="G887" s="21" t="n">
        <x:v>17453</x:v>
      </x:c>
      <x:c r="H887" s="21" t="n">
        <x:v>6236</x:v>
      </x:c>
      <x:c r="I887" s="17" t="str">
        <x:v>Followup</x:v>
      </x:c>
    </x:row>
    <x:row r="888" ht="23" customHeight="1">
      <x:c r="A888" s="17" t="str">
        <x:v>U00882</x:v>
      </x:c>
      <x:c r="B888" s="18" t="n">
        <x:v>46275</x:v>
      </x:c>
      <x:c r="C888" s="17" t="str">
        <x:v>W0089</x:v>
      </x:c>
      <x:c r="D888" s="17" t="str">
        <x:v>C002</x:v>
      </x:c>
      <x:c r="E888" s="17" t="str">
        <x:v>DataFlow</x:v>
      </x:c>
      <x:c r="F888" s="17" t="str">
        <x:v>Lite</x:v>
      </x:c>
      <x:c r="G888" s="21" t="n">
        <x:v>20371</x:v>
      </x:c>
      <x:c r="H888" s="21" t="n">
        <x:v>6532</x:v>
      </x:c>
      <x:c r="I888" s="17" t="str">
        <x:v>Followup</x:v>
      </x:c>
    </x:row>
    <x:row r="889" ht="23" customHeight="1">
      <x:c r="A889" s="17" t="str">
        <x:v>U00883</x:v>
      </x:c>
      <x:c r="B889" s="18" t="n">
        <x:v>46276</x:v>
      </x:c>
      <x:c r="C889" s="17" t="str">
        <x:v>W0089</x:v>
      </x:c>
      <x:c r="D889" s="17" t="str">
        <x:v>C002</x:v>
      </x:c>
      <x:c r="E889" s="17" t="str">
        <x:v>DataFlow</x:v>
      </x:c>
      <x:c r="F889" s="17" t="str">
        <x:v>Lite</x:v>
      </x:c>
      <x:c r="G889" s="21" t="n">
        <x:v>23389</x:v>
      </x:c>
      <x:c r="H889" s="21" t="n">
        <x:v>2729</x:v>
      </x:c>
      <x:c r="I889" s="17" t="str">
        <x:v>Followup</x:v>
      </x:c>
    </x:row>
    <x:row r="890" ht="23" customHeight="1">
      <x:c r="A890" s="17" t="str">
        <x:v>U00884</x:v>
      </x:c>
      <x:c r="B890" s="18" t="n">
        <x:v>46276</x:v>
      </x:c>
      <x:c r="C890" s="17" t="str">
        <x:v>W0089</x:v>
      </x:c>
      <x:c r="D890" s="17" t="str">
        <x:v>C002</x:v>
      </x:c>
      <x:c r="E890" s="17" t="str">
        <x:v>DataFlow</x:v>
      </x:c>
      <x:c r="F890" s="17" t="str">
        <x:v>Lite</x:v>
      </x:c>
      <x:c r="G890" s="21" t="n">
        <x:v>20093</x:v>
      </x:c>
      <x:c r="H890" s="21" t="n">
        <x:v>4435</x:v>
      </x:c>
      <x:c r="I890" s="17" t="str">
        <x:v>Followup</x:v>
      </x:c>
    </x:row>
    <x:row r="891" ht="23" customHeight="1">
      <x:c r="A891" s="17" t="str">
        <x:v>U00885</x:v>
      </x:c>
      <x:c r="B891" s="18" t="n">
        <x:v>46276</x:v>
      </x:c>
      <x:c r="C891" s="17" t="str">
        <x:v>W0089</x:v>
      </x:c>
      <x:c r="D891" s="17" t="str">
        <x:v>C002</x:v>
      </x:c>
      <x:c r="E891" s="17" t="str">
        <x:v>DataFlow</x:v>
      </x:c>
      <x:c r="F891" s="17" t="str">
        <x:v>Lite</x:v>
      </x:c>
      <x:c r="G891" s="21" t="n">
        <x:v>26667</x:v>
      </x:c>
      <x:c r="H891" s="21" t="n">
        <x:v>6281</x:v>
      </x:c>
      <x:c r="I891" s="17" t="str">
        <x:v>Correction</x:v>
      </x:c>
    </x:row>
    <x:row r="892" ht="23" customHeight="1">
      <x:c r="A892" s="17" t="str">
        <x:v>U00886</x:v>
      </x:c>
      <x:c r="B892" s="18" t="n">
        <x:v>46276</x:v>
      </x:c>
      <x:c r="C892" s="17" t="str">
        <x:v>W0089</x:v>
      </x:c>
      <x:c r="D892" s="17" t="str">
        <x:v>C002</x:v>
      </x:c>
      <x:c r="E892" s="17" t="str">
        <x:v>DataFlow</x:v>
      </x:c>
      <x:c r="F892" s="17" t="str">
        <x:v>Lite</x:v>
      </x:c>
      <x:c r="G892" s="21" t="n">
        <x:v>16503</x:v>
      </x:c>
      <x:c r="H892" s="21" t="n">
        <x:v>2206</x:v>
      </x:c>
      <x:c r="I892" s="17" t="str">
        <x:v>Followup</x:v>
      </x:c>
    </x:row>
    <x:row r="893" ht="23" customHeight="1">
      <x:c r="A893" s="17" t="str">
        <x:v>U00887</x:v>
      </x:c>
      <x:c r="B893" s="18" t="n">
        <x:v>46276</x:v>
      </x:c>
      <x:c r="C893" s="17" t="str">
        <x:v>W0089</x:v>
      </x:c>
      <x:c r="D893" s="17" t="str">
        <x:v>C002</x:v>
      </x:c>
      <x:c r="E893" s="17" t="str">
        <x:v>DataFlow</x:v>
      </x:c>
      <x:c r="F893" s="17" t="str">
        <x:v>Lite</x:v>
      </x:c>
      <x:c r="G893" s="21" t="n">
        <x:v>17146</x:v>
      </x:c>
      <x:c r="H893" s="21" t="n">
        <x:v>5712</x:v>
      </x:c>
      <x:c r="I893" s="17" t="str">
        <x:v>Followup</x:v>
      </x:c>
    </x:row>
    <x:row r="894" ht="23" customHeight="1">
      <x:c r="A894" s="17" t="str">
        <x:v>U00888</x:v>
      </x:c>
      <x:c r="B894" s="18" t="n">
        <x:v>46266</x:v>
      </x:c>
      <x:c r="C894" s="17" t="str">
        <x:v>W0091</x:v>
      </x:c>
      <x:c r="D894" s="17" t="str">
        <x:v>C002</x:v>
      </x:c>
      <x:c r="E894" s="17" t="str">
        <x:v>CopyStudio</x:v>
      </x:c>
      <x:c r="F894" s="17" t="str">
        <x:v>Lite</x:v>
      </x:c>
      <x:c r="G894" s="21" t="n">
        <x:v>61101</x:v>
      </x:c>
      <x:c r="H894" s="21" t="n">
        <x:v>11518</x:v>
      </x:c>
      <x:c r="I894" s="17" t="str">
        <x:v>First attempt</x:v>
      </x:c>
    </x:row>
    <x:row r="895" ht="23" customHeight="1">
      <x:c r="A895" s="17" t="str">
        <x:v>U00889</x:v>
      </x:c>
      <x:c r="B895" s="18" t="n">
        <x:v>46266</x:v>
      </x:c>
      <x:c r="C895" s="17" t="str">
        <x:v>W0091</x:v>
      </x:c>
      <x:c r="D895" s="17" t="str">
        <x:v>C002</x:v>
      </x:c>
      <x:c r="E895" s="17" t="str">
        <x:v>CopyStudio</x:v>
      </x:c>
      <x:c r="F895" s="17" t="str">
        <x:v>Lite</x:v>
      </x:c>
      <x:c r="G895" s="21" t="n">
        <x:v>40130</x:v>
      </x:c>
      <x:c r="H895" s="21" t="n">
        <x:v>4523</x:v>
      </x:c>
      <x:c r="I895" s="17" t="str">
        <x:v>Correction</x:v>
      </x:c>
    </x:row>
    <x:row r="896" ht="23" customHeight="1">
      <x:c r="A896" s="17" t="str">
        <x:v>U00890</x:v>
      </x:c>
      <x:c r="B896" s="18" t="n">
        <x:v>46266</x:v>
      </x:c>
      <x:c r="C896" s="17" t="str">
        <x:v>W0091</x:v>
      </x:c>
      <x:c r="D896" s="17" t="str">
        <x:v>C002</x:v>
      </x:c>
      <x:c r="E896" s="17" t="str">
        <x:v>CopyStudio</x:v>
      </x:c>
      <x:c r="F896" s="17" t="str">
        <x:v>Lite</x:v>
      </x:c>
      <x:c r="G896" s="21" t="n">
        <x:v>38600</x:v>
      </x:c>
      <x:c r="H896" s="21" t="n">
        <x:v>6384</x:v>
      </x:c>
      <x:c r="I896" s="17" t="str">
        <x:v>Followup</x:v>
      </x:c>
    </x:row>
    <x:row r="897" ht="23" customHeight="1">
      <x:c r="A897" s="17" t="str">
        <x:v>U00891</x:v>
      </x:c>
      <x:c r="B897" s="18" t="n">
        <x:v>46266</x:v>
      </x:c>
      <x:c r="C897" s="17" t="str">
        <x:v>W0091</x:v>
      </x:c>
      <x:c r="D897" s="17" t="str">
        <x:v>C002</x:v>
      </x:c>
      <x:c r="E897" s="17" t="str">
        <x:v>CopyStudio</x:v>
      </x:c>
      <x:c r="F897" s="17" t="str">
        <x:v>Lite</x:v>
      </x:c>
      <x:c r="G897" s="21" t="n">
        <x:v>23218</x:v>
      </x:c>
      <x:c r="H897" s="21" t="n">
        <x:v>11663</x:v>
      </x:c>
      <x:c r="I897" s="17" t="str">
        <x:v>Correction</x:v>
      </x:c>
    </x:row>
    <x:row r="898" ht="23" customHeight="1">
      <x:c r="A898" s="17" t="str">
        <x:v>U00892</x:v>
      </x:c>
      <x:c r="B898" s="18" t="n">
        <x:v>46266</x:v>
      </x:c>
      <x:c r="C898" s="17" t="str">
        <x:v>W0091</x:v>
      </x:c>
      <x:c r="D898" s="17" t="str">
        <x:v>C002</x:v>
      </x:c>
      <x:c r="E898" s="17" t="str">
        <x:v>CopyStudio</x:v>
      </x:c>
      <x:c r="F898" s="17" t="str">
        <x:v>Lite</x:v>
      </x:c>
      <x:c r="G898" s="21" t="n">
        <x:v>51554</x:v>
      </x:c>
      <x:c r="H898" s="21" t="n">
        <x:v>8689</x:v>
      </x:c>
      <x:c r="I898" s="17" t="str">
        <x:v>Correction</x:v>
      </x:c>
    </x:row>
    <x:row r="899" ht="23" customHeight="1">
      <x:c r="A899" s="17" t="str">
        <x:v>U00893</x:v>
      </x:c>
      <x:c r="B899" s="18" t="n">
        <x:v>46266</x:v>
      </x:c>
      <x:c r="C899" s="17" t="str">
        <x:v>W0091</x:v>
      </x:c>
      <x:c r="D899" s="17" t="str">
        <x:v>C002</x:v>
      </x:c>
      <x:c r="E899" s="17" t="str">
        <x:v>CopyStudio</x:v>
      </x:c>
      <x:c r="F899" s="17" t="str">
        <x:v>Lite</x:v>
      </x:c>
      <x:c r="G899" s="21" t="n">
        <x:v>52634</x:v>
      </x:c>
      <x:c r="H899" s="21" t="n">
        <x:v>5970</x:v>
      </x:c>
      <x:c r="I899" s="17" t="str">
        <x:v>Followup</x:v>
      </x:c>
    </x:row>
    <x:row r="900" ht="23" customHeight="1">
      <x:c r="A900" s="17" t="str">
        <x:v>U00894</x:v>
      </x:c>
      <x:c r="B900" s="18" t="n">
        <x:v>46266</x:v>
      </x:c>
      <x:c r="C900" s="17" t="str">
        <x:v>W0091</x:v>
      </x:c>
      <x:c r="D900" s="17" t="str">
        <x:v>C002</x:v>
      </x:c>
      <x:c r="E900" s="17" t="str">
        <x:v>CopyStudio</x:v>
      </x:c>
      <x:c r="F900" s="17" t="str">
        <x:v>Lite</x:v>
      </x:c>
      <x:c r="G900" s="21" t="n">
        <x:v>60811</x:v>
      </x:c>
      <x:c r="H900" s="21" t="n">
        <x:v>7807</x:v>
      </x:c>
      <x:c r="I900" s="17" t="str">
        <x:v>Followup</x:v>
      </x:c>
    </x:row>
    <x:row r="901" ht="23" customHeight="1">
      <x:c r="A901" s="17" t="str">
        <x:v>U00895</x:v>
      </x:c>
      <x:c r="B901" s="18" t="n">
        <x:v>46267</x:v>
      </x:c>
      <x:c r="C901" s="17" t="str">
        <x:v>W0091</x:v>
      </x:c>
      <x:c r="D901" s="17" t="str">
        <x:v>C002</x:v>
      </x:c>
      <x:c r="E901" s="17" t="str">
        <x:v>CopyStudio</x:v>
      </x:c>
      <x:c r="F901" s="17" t="str">
        <x:v>Lite</x:v>
      </x:c>
      <x:c r="G901" s="21" t="n">
        <x:v>44847</x:v>
      </x:c>
      <x:c r="H901" s="21" t="n">
        <x:v>7707</x:v>
      </x:c>
      <x:c r="I901" s="17" t="str">
        <x:v>Followup</x:v>
      </x:c>
    </x:row>
    <x:row r="902" ht="23" customHeight="1">
      <x:c r="A902" s="17" t="str">
        <x:v>U00896</x:v>
      </x:c>
      <x:c r="B902" s="18" t="n">
        <x:v>46267</x:v>
      </x:c>
      <x:c r="C902" s="17" t="str">
        <x:v>W0091</x:v>
      </x:c>
      <x:c r="D902" s="17" t="str">
        <x:v>C002</x:v>
      </x:c>
      <x:c r="E902" s="17" t="str">
        <x:v>CopyStudio</x:v>
      </x:c>
      <x:c r="F902" s="17" t="str">
        <x:v>Lite</x:v>
      </x:c>
      <x:c r="G902" s="21" t="n">
        <x:v>37368</x:v>
      </x:c>
      <x:c r="H902" s="21" t="n">
        <x:v>9297</x:v>
      </x:c>
      <x:c r="I902" s="17" t="str">
        <x:v>Followup</x:v>
      </x:c>
    </x:row>
    <x:row r="903" ht="23" customHeight="1">
      <x:c r="A903" s="17" t="str">
        <x:v>U00897</x:v>
      </x:c>
      <x:c r="B903" s="18" t="n">
        <x:v>46267</x:v>
      </x:c>
      <x:c r="C903" s="17" t="str">
        <x:v>W0091</x:v>
      </x:c>
      <x:c r="D903" s="17" t="str">
        <x:v>C002</x:v>
      </x:c>
      <x:c r="E903" s="17" t="str">
        <x:v>CopyStudio</x:v>
      </x:c>
      <x:c r="F903" s="17" t="str">
        <x:v>Lite</x:v>
      </x:c>
      <x:c r="G903" s="21" t="n">
        <x:v>32959</x:v>
      </x:c>
      <x:c r="H903" s="21" t="n">
        <x:v>7534</x:v>
      </x:c>
      <x:c r="I903" s="17" t="str">
        <x:v>Followup</x:v>
      </x:c>
    </x:row>
    <x:row r="904" ht="23" customHeight="1">
      <x:c r="A904" s="17" t="str">
        <x:v>U00898</x:v>
      </x:c>
      <x:c r="B904" s="18" t="n">
        <x:v>46267</x:v>
      </x:c>
      <x:c r="C904" s="17" t="str">
        <x:v>W0091</x:v>
      </x:c>
      <x:c r="D904" s="17" t="str">
        <x:v>C002</x:v>
      </x:c>
      <x:c r="E904" s="17" t="str">
        <x:v>CopyStudio</x:v>
      </x:c>
      <x:c r="F904" s="17" t="str">
        <x:v>Lite</x:v>
      </x:c>
      <x:c r="G904" s="21" t="n">
        <x:v>29617</x:v>
      </x:c>
      <x:c r="H904" s="21" t="n">
        <x:v>6249</x:v>
      </x:c>
      <x:c r="I904" s="17" t="str">
        <x:v>Followup</x:v>
      </x:c>
    </x:row>
    <x:row r="905" ht="23" customHeight="1">
      <x:c r="A905" s="17" t="str">
        <x:v>U00899</x:v>
      </x:c>
      <x:c r="B905" s="18" t="n">
        <x:v>46267</x:v>
      </x:c>
      <x:c r="C905" s="17" t="str">
        <x:v>W0091</x:v>
      </x:c>
      <x:c r="D905" s="17" t="str">
        <x:v>C002</x:v>
      </x:c>
      <x:c r="E905" s="17" t="str">
        <x:v>CopyStudio</x:v>
      </x:c>
      <x:c r="F905" s="17" t="str">
        <x:v>Lite</x:v>
      </x:c>
      <x:c r="G905" s="21" t="n">
        <x:v>62323</x:v>
      </x:c>
      <x:c r="H905" s="21" t="n">
        <x:v>11295</x:v>
      </x:c>
      <x:c r="I905" s="17" t="str">
        <x:v>Correction</x:v>
      </x:c>
    </x:row>
    <x:row r="906" ht="23" customHeight="1">
      <x:c r="A906" s="17" t="str">
        <x:v>U00900</x:v>
      </x:c>
      <x:c r="B906" s="18" t="n">
        <x:v>46267</x:v>
      </x:c>
      <x:c r="C906" s="17" t="str">
        <x:v>W0091</x:v>
      </x:c>
      <x:c r="D906" s="17" t="str">
        <x:v>C002</x:v>
      </x:c>
      <x:c r="E906" s="17" t="str">
        <x:v>CopyStudio</x:v>
      </x:c>
      <x:c r="F906" s="17" t="str">
        <x:v>Lite</x:v>
      </x:c>
      <x:c r="G906" s="21" t="n">
        <x:v>44430</x:v>
      </x:c>
      <x:c r="H906" s="21" t="n">
        <x:v>12636</x:v>
      </x:c>
      <x:c r="I906" s="17" t="str">
        <x:v>Followup</x:v>
      </x:c>
    </x:row>
    <x:row r="907" ht="23" customHeight="1">
      <x:c r="A907" s="17" t="str">
        <x:v>U00901</x:v>
      </x:c>
      <x:c r="B907" s="18" t="n">
        <x:v>46267</x:v>
      </x:c>
      <x:c r="C907" s="17" t="str">
        <x:v>W0091</x:v>
      </x:c>
      <x:c r="D907" s="17" t="str">
        <x:v>C002</x:v>
      </x:c>
      <x:c r="E907" s="17" t="str">
        <x:v>CopyStudio</x:v>
      </x:c>
      <x:c r="F907" s="17" t="str">
        <x:v>Lite</x:v>
      </x:c>
      <x:c r="G907" s="21" t="n">
        <x:v>24325</x:v>
      </x:c>
      <x:c r="H907" s="21" t="n">
        <x:v>12647</x:v>
      </x:c>
      <x:c r="I907" s="17" t="str">
        <x:v>Followup</x:v>
      </x:c>
    </x:row>
    <x:row r="908" ht="23" customHeight="1">
      <x:c r="A908" s="17" t="str">
        <x:v>U00902</x:v>
      </x:c>
      <x:c r="B908" s="18" t="n">
        <x:v>46268</x:v>
      </x:c>
      <x:c r="C908" s="17" t="str">
        <x:v>W0091</x:v>
      </x:c>
      <x:c r="D908" s="17" t="str">
        <x:v>C002</x:v>
      </x:c>
      <x:c r="E908" s="17" t="str">
        <x:v>CopyStudio</x:v>
      </x:c>
      <x:c r="F908" s="17" t="str">
        <x:v>Lite</x:v>
      </x:c>
      <x:c r="G908" s="21" t="n">
        <x:v>58364</x:v>
      </x:c>
      <x:c r="H908" s="21" t="n">
        <x:v>10077</x:v>
      </x:c>
      <x:c r="I908" s="17" t="str">
        <x:v>Correction</x:v>
      </x:c>
    </x:row>
    <x:row r="909" ht="23" customHeight="1">
      <x:c r="A909" s="17" t="str">
        <x:v>U00903</x:v>
      </x:c>
      <x:c r="B909" s="18" t="n">
        <x:v>46268</x:v>
      </x:c>
      <x:c r="C909" s="17" t="str">
        <x:v>W0091</x:v>
      </x:c>
      <x:c r="D909" s="17" t="str">
        <x:v>C002</x:v>
      </x:c>
      <x:c r="E909" s="17" t="str">
        <x:v>CopyStudio</x:v>
      </x:c>
      <x:c r="F909" s="17" t="str">
        <x:v>Lite</x:v>
      </x:c>
      <x:c r="G909" s="21" t="n">
        <x:v>50198</x:v>
      </x:c>
      <x:c r="H909" s="21" t="n">
        <x:v>11111</x:v>
      </x:c>
      <x:c r="I909" s="17" t="str">
        <x:v>Correction</x:v>
      </x:c>
    </x:row>
    <x:row r="910" ht="23" customHeight="1">
      <x:c r="A910" s="17" t="str">
        <x:v>U00904</x:v>
      </x:c>
      <x:c r="B910" s="18" t="n">
        <x:v>46268</x:v>
      </x:c>
      <x:c r="C910" s="17" t="str">
        <x:v>W0091</x:v>
      </x:c>
      <x:c r="D910" s="17" t="str">
        <x:v>C002</x:v>
      </x:c>
      <x:c r="E910" s="17" t="str">
        <x:v>CopyStudio</x:v>
      </x:c>
      <x:c r="F910" s="17" t="str">
        <x:v>Lite</x:v>
      </x:c>
      <x:c r="G910" s="21" t="n">
        <x:v>59788</x:v>
      </x:c>
      <x:c r="H910" s="21" t="n">
        <x:v>8843</x:v>
      </x:c>
      <x:c r="I910" s="17" t="str">
        <x:v>Followup</x:v>
      </x:c>
    </x:row>
    <x:row r="911" ht="23" customHeight="1">
      <x:c r="A911" s="17" t="str">
        <x:v>U00905</x:v>
      </x:c>
      <x:c r="B911" s="18" t="n">
        <x:v>46268</x:v>
      </x:c>
      <x:c r="C911" s="17" t="str">
        <x:v>W0091</x:v>
      </x:c>
      <x:c r="D911" s="17" t="str">
        <x:v>C002</x:v>
      </x:c>
      <x:c r="E911" s="17" t="str">
        <x:v>CopyStudio</x:v>
      </x:c>
      <x:c r="F911" s="17" t="str">
        <x:v>Lite</x:v>
      </x:c>
      <x:c r="G911" s="21" t="n">
        <x:v>24520</x:v>
      </x:c>
      <x:c r="H911" s="21" t="n">
        <x:v>3684</x:v>
      </x:c>
      <x:c r="I911" s="17" t="str">
        <x:v>Followup</x:v>
      </x:c>
    </x:row>
    <x:row r="912" ht="23" customHeight="1">
      <x:c r="A912" s="17" t="str">
        <x:v>U00906</x:v>
      </x:c>
      <x:c r="B912" s="18" t="n">
        <x:v>46268</x:v>
      </x:c>
      <x:c r="C912" s="17" t="str">
        <x:v>W0091</x:v>
      </x:c>
      <x:c r="D912" s="17" t="str">
        <x:v>C002</x:v>
      </x:c>
      <x:c r="E912" s="17" t="str">
        <x:v>CopyStudio</x:v>
      </x:c>
      <x:c r="F912" s="17" t="str">
        <x:v>Lite</x:v>
      </x:c>
      <x:c r="G912" s="21" t="n">
        <x:v>39627</x:v>
      </x:c>
      <x:c r="H912" s="21" t="n">
        <x:v>11785</x:v>
      </x:c>
      <x:c r="I912" s="17" t="str">
        <x:v>Followup</x:v>
      </x:c>
    </x:row>
    <x:row r="913" ht="23" customHeight="1">
      <x:c r="A913" s="17" t="str">
        <x:v>U00907</x:v>
      </x:c>
      <x:c r="B913" s="18" t="n">
        <x:v>46268</x:v>
      </x:c>
      <x:c r="C913" s="17" t="str">
        <x:v>W0091</x:v>
      </x:c>
      <x:c r="D913" s="17" t="str">
        <x:v>C002</x:v>
      </x:c>
      <x:c r="E913" s="17" t="str">
        <x:v>CopyStudio</x:v>
      </x:c>
      <x:c r="F913" s="17" t="str">
        <x:v>Lite</x:v>
      </x:c>
      <x:c r="G913" s="21" t="n">
        <x:v>55502</x:v>
      </x:c>
      <x:c r="H913" s="21" t="n">
        <x:v>10470</x:v>
      </x:c>
      <x:c r="I913" s="17" t="str">
        <x:v>Correction</x:v>
      </x:c>
    </x:row>
    <x:row r="914" ht="23" customHeight="1">
      <x:c r="A914" s="17" t="str">
        <x:v>U00908</x:v>
      </x:c>
      <x:c r="B914" s="18" t="n">
        <x:v>46268</x:v>
      </x:c>
      <x:c r="C914" s="17" t="str">
        <x:v>W0091</x:v>
      </x:c>
      <x:c r="D914" s="17" t="str">
        <x:v>C002</x:v>
      </x:c>
      <x:c r="E914" s="17" t="str">
        <x:v>CopyStudio</x:v>
      </x:c>
      <x:c r="F914" s="17" t="str">
        <x:v>Lite</x:v>
      </x:c>
      <x:c r="G914" s="21" t="n">
        <x:v>52014</x:v>
      </x:c>
      <x:c r="H914" s="21" t="n">
        <x:v>4918</x:v>
      </x:c>
      <x:c r="I914" s="17" t="str">
        <x:v>Followup</x:v>
      </x:c>
    </x:row>
    <x:row r="915" ht="23" customHeight="1">
      <x:c r="A915" s="17" t="str">
        <x:v>U00909</x:v>
      </x:c>
      <x:c r="B915" s="18" t="n">
        <x:v>46269</x:v>
      </x:c>
      <x:c r="C915" s="17" t="str">
        <x:v>W0091</x:v>
      </x:c>
      <x:c r="D915" s="17" t="str">
        <x:v>C002</x:v>
      </x:c>
      <x:c r="E915" s="17" t="str">
        <x:v>CopyStudio</x:v>
      </x:c>
      <x:c r="F915" s="17" t="str">
        <x:v>Lite</x:v>
      </x:c>
      <x:c r="G915" s="21" t="n">
        <x:v>22133</x:v>
      </x:c>
      <x:c r="H915" s="21" t="n">
        <x:v>5726</x:v>
      </x:c>
      <x:c r="I915" s="17" t="str">
        <x:v>Followup</x:v>
      </x:c>
    </x:row>
    <x:row r="916" ht="23" customHeight="1">
      <x:c r="A916" s="17" t="str">
        <x:v>U00910</x:v>
      </x:c>
      <x:c r="B916" s="18" t="n">
        <x:v>46269</x:v>
      </x:c>
      <x:c r="C916" s="17" t="str">
        <x:v>W0091</x:v>
      </x:c>
      <x:c r="D916" s="17" t="str">
        <x:v>C002</x:v>
      </x:c>
      <x:c r="E916" s="17" t="str">
        <x:v>CopyStudio</x:v>
      </x:c>
      <x:c r="F916" s="17" t="str">
        <x:v>Lite</x:v>
      </x:c>
      <x:c r="G916" s="21" t="n">
        <x:v>22805</x:v>
      </x:c>
      <x:c r="H916" s="21" t="n">
        <x:v>12162</x:v>
      </x:c>
      <x:c r="I916" s="17" t="str">
        <x:v>Correction</x:v>
      </x:c>
    </x:row>
    <x:row r="917" ht="23" customHeight="1">
      <x:c r="A917" s="17" t="str">
        <x:v>U00911</x:v>
      </x:c>
      <x:c r="B917" s="18" t="n">
        <x:v>46269</x:v>
      </x:c>
      <x:c r="C917" s="17" t="str">
        <x:v>W0091</x:v>
      </x:c>
      <x:c r="D917" s="17" t="str">
        <x:v>C002</x:v>
      </x:c>
      <x:c r="E917" s="17" t="str">
        <x:v>CopyStudio</x:v>
      </x:c>
      <x:c r="F917" s="17" t="str">
        <x:v>Lite</x:v>
      </x:c>
      <x:c r="G917" s="21" t="n">
        <x:v>25610</x:v>
      </x:c>
      <x:c r="H917" s="21" t="n">
        <x:v>7926</x:v>
      </x:c>
      <x:c r="I917" s="17" t="str">
        <x:v>Followup</x:v>
      </x:c>
    </x:row>
    <x:row r="918" ht="23" customHeight="1">
      <x:c r="A918" s="17" t="str">
        <x:v>U00912</x:v>
      </x:c>
      <x:c r="B918" s="18" t="n">
        <x:v>46269</x:v>
      </x:c>
      <x:c r="C918" s="17" t="str">
        <x:v>W0091</x:v>
      </x:c>
      <x:c r="D918" s="17" t="str">
        <x:v>C002</x:v>
      </x:c>
      <x:c r="E918" s="17" t="str">
        <x:v>CopyStudio</x:v>
      </x:c>
      <x:c r="F918" s="17" t="str">
        <x:v>Lite</x:v>
      </x:c>
      <x:c r="G918" s="21" t="n">
        <x:v>32267</x:v>
      </x:c>
      <x:c r="H918" s="21" t="n">
        <x:v>4902</x:v>
      </x:c>
      <x:c r="I918" s="17" t="str">
        <x:v>Correction</x:v>
      </x:c>
    </x:row>
    <x:row r="919" ht="23" customHeight="1">
      <x:c r="A919" s="17" t="str">
        <x:v>U00913</x:v>
      </x:c>
      <x:c r="B919" s="18" t="n">
        <x:v>46269</x:v>
      </x:c>
      <x:c r="C919" s="17" t="str">
        <x:v>W0091</x:v>
      </x:c>
      <x:c r="D919" s="17" t="str">
        <x:v>C002</x:v>
      </x:c>
      <x:c r="E919" s="17" t="str">
        <x:v>CopyStudio</x:v>
      </x:c>
      <x:c r="F919" s="17" t="str">
        <x:v>Lite</x:v>
      </x:c>
      <x:c r="G919" s="21" t="n">
        <x:v>43653</x:v>
      </x:c>
      <x:c r="H919" s="21" t="n">
        <x:v>7776</x:v>
      </x:c>
      <x:c r="I919" s="17" t="str">
        <x:v>Followup</x:v>
      </x:c>
    </x:row>
    <x:row r="920" ht="23" customHeight="1">
      <x:c r="A920" s="17" t="str">
        <x:v>U00914</x:v>
      </x:c>
      <x:c r="B920" s="18" t="n">
        <x:v>46269</x:v>
      </x:c>
      <x:c r="C920" s="17" t="str">
        <x:v>W0091</x:v>
      </x:c>
      <x:c r="D920" s="17" t="str">
        <x:v>C002</x:v>
      </x:c>
      <x:c r="E920" s="17" t="str">
        <x:v>CopyStudio</x:v>
      </x:c>
      <x:c r="F920" s="17" t="str">
        <x:v>Lite</x:v>
      </x:c>
      <x:c r="G920" s="21" t="n">
        <x:v>22960</x:v>
      </x:c>
      <x:c r="H920" s="21" t="n">
        <x:v>13062</x:v>
      </x:c>
      <x:c r="I920" s="17" t="str">
        <x:v>Correction</x:v>
      </x:c>
    </x:row>
    <x:row r="921" ht="23" customHeight="1">
      <x:c r="A921" s="17" t="str">
        <x:v>U00915</x:v>
      </x:c>
      <x:c r="B921" s="18" t="n">
        <x:v>46276</x:v>
      </x:c>
      <x:c r="C921" s="17" t="str">
        <x:v>W0092</x:v>
      </x:c>
      <x:c r="D921" s="17" t="str">
        <x:v>C002</x:v>
      </x:c>
      <x:c r="E921" s="17" t="str">
        <x:v>CopyStudio</x:v>
      </x:c>
      <x:c r="F921" s="17" t="str">
        <x:v>Lite</x:v>
      </x:c>
      <x:c r="G921" s="21" t="n">
        <x:v>31868</x:v>
      </x:c>
      <x:c r="H921" s="21" t="n">
        <x:v>10809</x:v>
      </x:c>
      <x:c r="I921" s="17" t="str">
        <x:v>First attempt</x:v>
      </x:c>
    </x:row>
    <x:row r="922" ht="23" customHeight="1">
      <x:c r="A922" s="17" t="str">
        <x:v>U00916</x:v>
      </x:c>
      <x:c r="B922" s="18" t="n">
        <x:v>46276</x:v>
      </x:c>
      <x:c r="C922" s="17" t="str">
        <x:v>W0092</x:v>
      </x:c>
      <x:c r="D922" s="17" t="str">
        <x:v>C002</x:v>
      </x:c>
      <x:c r="E922" s="17" t="str">
        <x:v>CopyStudio</x:v>
      </x:c>
      <x:c r="F922" s="17" t="str">
        <x:v>Lite</x:v>
      </x:c>
      <x:c r="G922" s="21" t="n">
        <x:v>27053</x:v>
      </x:c>
      <x:c r="H922" s="21" t="n">
        <x:v>8013</x:v>
      </x:c>
      <x:c r="I922" s="17" t="str">
        <x:v>Followup</x:v>
      </x:c>
    </x:row>
    <x:row r="923" ht="23" customHeight="1">
      <x:c r="A923" s="17" t="str">
        <x:v>U00917</x:v>
      </x:c>
      <x:c r="B923" s="18" t="n">
        <x:v>46276</x:v>
      </x:c>
      <x:c r="C923" s="17" t="str">
        <x:v>W0092</x:v>
      </x:c>
      <x:c r="D923" s="17" t="str">
        <x:v>C002</x:v>
      </x:c>
      <x:c r="E923" s="17" t="str">
        <x:v>CopyStudio</x:v>
      </x:c>
      <x:c r="F923" s="17" t="str">
        <x:v>Lite</x:v>
      </x:c>
      <x:c r="G923" s="21" t="n">
        <x:v>44037</x:v>
      </x:c>
      <x:c r="H923" s="21" t="n">
        <x:v>9721</x:v>
      </x:c>
      <x:c r="I923" s="17" t="str">
        <x:v>Correction</x:v>
      </x:c>
    </x:row>
    <x:row r="924" ht="23" customHeight="1">
      <x:c r="A924" s="17" t="str">
        <x:v>U00918</x:v>
      </x:c>
      <x:c r="B924" s="18" t="n">
        <x:v>46276</x:v>
      </x:c>
      <x:c r="C924" s="17" t="str">
        <x:v>W0092</x:v>
      </x:c>
      <x:c r="D924" s="17" t="str">
        <x:v>C002</x:v>
      </x:c>
      <x:c r="E924" s="17" t="str">
        <x:v>CopyStudio</x:v>
      </x:c>
      <x:c r="F924" s="17" t="str">
        <x:v>Lite</x:v>
      </x:c>
      <x:c r="G924" s="21" t="n">
        <x:v>29237</x:v>
      </x:c>
      <x:c r="H924" s="21" t="n">
        <x:v>6971</x:v>
      </x:c>
      <x:c r="I924" s="17" t="str">
        <x:v>Followup</x:v>
      </x:c>
    </x:row>
    <x:row r="925" ht="23" customHeight="1">
      <x:c r="A925" s="17" t="str">
        <x:v>U00919</x:v>
      </x:c>
      <x:c r="B925" s="18" t="n">
        <x:v>46276</x:v>
      </x:c>
      <x:c r="C925" s="17" t="str">
        <x:v>W0092</x:v>
      </x:c>
      <x:c r="D925" s="17" t="str">
        <x:v>C002</x:v>
      </x:c>
      <x:c r="E925" s="17" t="str">
        <x:v>CopyStudio</x:v>
      </x:c>
      <x:c r="F925" s="17" t="str">
        <x:v>Lite</x:v>
      </x:c>
      <x:c r="G925" s="21" t="n">
        <x:v>43720</x:v>
      </x:c>
      <x:c r="H925" s="21" t="n">
        <x:v>11583</x:v>
      </x:c>
      <x:c r="I925" s="17" t="str">
        <x:v>Correction</x:v>
      </x:c>
    </x:row>
    <x:row r="926" ht="23" customHeight="1">
      <x:c r="A926" s="17" t="str">
        <x:v>U00920</x:v>
      </x:c>
      <x:c r="B926" s="18" t="n">
        <x:v>46276</x:v>
      </x:c>
      <x:c r="C926" s="17" t="str">
        <x:v>W0092</x:v>
      </x:c>
      <x:c r="D926" s="17" t="str">
        <x:v>C002</x:v>
      </x:c>
      <x:c r="E926" s="17" t="str">
        <x:v>CopyStudio</x:v>
      </x:c>
      <x:c r="F926" s="17" t="str">
        <x:v>Lite</x:v>
      </x:c>
      <x:c r="G926" s="21" t="n">
        <x:v>27408</x:v>
      </x:c>
      <x:c r="H926" s="21" t="n">
        <x:v>9153</x:v>
      </x:c>
      <x:c r="I926" s="17" t="str">
        <x:v>Correction</x:v>
      </x:c>
    </x:row>
    <x:row r="927" ht="23" customHeight="1">
      <x:c r="A927" s="17" t="str">
        <x:v>U00921</x:v>
      </x:c>
      <x:c r="B927" s="18" t="n">
        <x:v>46276</x:v>
      </x:c>
      <x:c r="C927" s="17" t="str">
        <x:v>W0092</x:v>
      </x:c>
      <x:c r="D927" s="17" t="str">
        <x:v>C002</x:v>
      </x:c>
      <x:c r="E927" s="17" t="str">
        <x:v>CopyStudio</x:v>
      </x:c>
      <x:c r="F927" s="17" t="str">
        <x:v>Lite</x:v>
      </x:c>
      <x:c r="G927" s="21" t="n">
        <x:v>27088</x:v>
      </x:c>
      <x:c r="H927" s="21" t="n">
        <x:v>4740</x:v>
      </x:c>
      <x:c r="I927" s="17" t="str">
        <x:v>Correction</x:v>
      </x:c>
    </x:row>
    <x:row r="928" ht="23" customHeight="1">
      <x:c r="A928" s="17" t="str">
        <x:v>U00922</x:v>
      </x:c>
      <x:c r="B928" s="18" t="n">
        <x:v>46279</x:v>
      </x:c>
      <x:c r="C928" s="17" t="str">
        <x:v>W0092</x:v>
      </x:c>
      <x:c r="D928" s="17" t="str">
        <x:v>C002</x:v>
      </x:c>
      <x:c r="E928" s="17" t="str">
        <x:v>CopyStudio</x:v>
      </x:c>
      <x:c r="F928" s="17" t="str">
        <x:v>Lite</x:v>
      </x:c>
      <x:c r="G928" s="21" t="n">
        <x:v>36961</x:v>
      </x:c>
      <x:c r="H928" s="21" t="n">
        <x:v>3889</x:v>
      </x:c>
      <x:c r="I928" s="17" t="str">
        <x:v>Followup</x:v>
      </x:c>
    </x:row>
    <x:row r="929" ht="23" customHeight="1">
      <x:c r="A929" s="17" t="str">
        <x:v>U00923</x:v>
      </x:c>
      <x:c r="B929" s="18" t="n">
        <x:v>46279</x:v>
      </x:c>
      <x:c r="C929" s="17" t="str">
        <x:v>W0092</x:v>
      </x:c>
      <x:c r="D929" s="17" t="str">
        <x:v>C002</x:v>
      </x:c>
      <x:c r="E929" s="17" t="str">
        <x:v>CopyStudio</x:v>
      </x:c>
      <x:c r="F929" s="17" t="str">
        <x:v>Lite</x:v>
      </x:c>
      <x:c r="G929" s="21" t="n">
        <x:v>19727</x:v>
      </x:c>
      <x:c r="H929" s="21" t="n">
        <x:v>12870</x:v>
      </x:c>
      <x:c r="I929" s="17" t="str">
        <x:v>Correction</x:v>
      </x:c>
    </x:row>
    <x:row r="930" ht="23" customHeight="1">
      <x:c r="A930" s="17" t="str">
        <x:v>U00924</x:v>
      </x:c>
      <x:c r="B930" s="18" t="n">
        <x:v>46279</x:v>
      </x:c>
      <x:c r="C930" s="17" t="str">
        <x:v>W0092</x:v>
      </x:c>
      <x:c r="D930" s="17" t="str">
        <x:v>C002</x:v>
      </x:c>
      <x:c r="E930" s="17" t="str">
        <x:v>CopyStudio</x:v>
      </x:c>
      <x:c r="F930" s="17" t="str">
        <x:v>Lite</x:v>
      </x:c>
      <x:c r="G930" s="21" t="n">
        <x:v>39502</x:v>
      </x:c>
      <x:c r="H930" s="21" t="n">
        <x:v>3661</x:v>
      </x:c>
      <x:c r="I930" s="17" t="str">
        <x:v>Followup</x:v>
      </x:c>
    </x:row>
    <x:row r="931" ht="23" customHeight="1">
      <x:c r="A931" s="17" t="str">
        <x:v>U00925</x:v>
      </x:c>
      <x:c r="B931" s="18" t="n">
        <x:v>46279</x:v>
      </x:c>
      <x:c r="C931" s="17" t="str">
        <x:v>W0092</x:v>
      </x:c>
      <x:c r="D931" s="17" t="str">
        <x:v>C002</x:v>
      </x:c>
      <x:c r="E931" s="17" t="str">
        <x:v>CopyStudio</x:v>
      </x:c>
      <x:c r="F931" s="17" t="str">
        <x:v>Lite</x:v>
      </x:c>
      <x:c r="G931" s="21" t="n">
        <x:v>47330</x:v>
      </x:c>
      <x:c r="H931" s="21" t="n">
        <x:v>13060</x:v>
      </x:c>
      <x:c r="I931" s="17" t="str">
        <x:v>Correction</x:v>
      </x:c>
    </x:row>
    <x:row r="932" ht="23" customHeight="1">
      <x:c r="A932" s="17" t="str">
        <x:v>U00926</x:v>
      </x:c>
      <x:c r="B932" s="18" t="n">
        <x:v>46279</x:v>
      </x:c>
      <x:c r="C932" s="17" t="str">
        <x:v>W0092</x:v>
      </x:c>
      <x:c r="D932" s="17" t="str">
        <x:v>C002</x:v>
      </x:c>
      <x:c r="E932" s="17" t="str">
        <x:v>CopyStudio</x:v>
      </x:c>
      <x:c r="F932" s="17" t="str">
        <x:v>Lite</x:v>
      </x:c>
      <x:c r="G932" s="21" t="n">
        <x:v>34449</x:v>
      </x:c>
      <x:c r="H932" s="21" t="n">
        <x:v>9489</x:v>
      </x:c>
      <x:c r="I932" s="17" t="str">
        <x:v>Correction</x:v>
      </x:c>
    </x:row>
    <x:row r="933" ht="23" customHeight="1">
      <x:c r="A933" s="17" t="str">
        <x:v>U00927</x:v>
      </x:c>
      <x:c r="B933" s="18" t="n">
        <x:v>46279</x:v>
      </x:c>
      <x:c r="C933" s="17" t="str">
        <x:v>W0092</x:v>
      </x:c>
      <x:c r="D933" s="17" t="str">
        <x:v>C002</x:v>
      </x:c>
      <x:c r="E933" s="17" t="str">
        <x:v>CopyStudio</x:v>
      </x:c>
      <x:c r="F933" s="17" t="str">
        <x:v>Lite</x:v>
      </x:c>
      <x:c r="G933" s="21" t="n">
        <x:v>22540</x:v>
      </x:c>
      <x:c r="H933" s="21" t="n">
        <x:v>12130</x:v>
      </x:c>
      <x:c r="I933" s="17" t="str">
        <x:v>Followup</x:v>
      </x:c>
    </x:row>
    <x:row r="934" ht="23" customHeight="1">
      <x:c r="A934" s="17" t="str">
        <x:v>U00928</x:v>
      </x:c>
      <x:c r="B934" s="18" t="n">
        <x:v>46279</x:v>
      </x:c>
      <x:c r="C934" s="17" t="str">
        <x:v>W0092</x:v>
      </x:c>
      <x:c r="D934" s="17" t="str">
        <x:v>C002</x:v>
      </x:c>
      <x:c r="E934" s="17" t="str">
        <x:v>CopyStudio</x:v>
      </x:c>
      <x:c r="F934" s="17" t="str">
        <x:v>Lite</x:v>
      </x:c>
      <x:c r="G934" s="21" t="n">
        <x:v>26846</x:v>
      </x:c>
      <x:c r="H934" s="21" t="n">
        <x:v>11093</x:v>
      </x:c>
      <x:c r="I934" s="17" t="str">
        <x:v>Followup</x:v>
      </x:c>
    </x:row>
    <x:row r="935" ht="23" customHeight="1">
      <x:c r="A935" s="17" t="str">
        <x:v>U00929</x:v>
      </x:c>
      <x:c r="B935" s="18" t="n">
        <x:v>46280</x:v>
      </x:c>
      <x:c r="C935" s="17" t="str">
        <x:v>W0092</x:v>
      </x:c>
      <x:c r="D935" s="17" t="str">
        <x:v>C002</x:v>
      </x:c>
      <x:c r="E935" s="17" t="str">
        <x:v>CopyStudio</x:v>
      </x:c>
      <x:c r="F935" s="17" t="str">
        <x:v>Lite</x:v>
      </x:c>
      <x:c r="G935" s="21" t="n">
        <x:v>47247</x:v>
      </x:c>
      <x:c r="H935" s="21" t="n">
        <x:v>10517</x:v>
      </x:c>
      <x:c r="I935" s="17" t="str">
        <x:v>Followup</x:v>
      </x:c>
    </x:row>
    <x:row r="936" ht="23" customHeight="1">
      <x:c r="A936" s="17" t="str">
        <x:v>U00930</x:v>
      </x:c>
      <x:c r="B936" s="18" t="n">
        <x:v>46280</x:v>
      </x:c>
      <x:c r="C936" s="17" t="str">
        <x:v>W0092</x:v>
      </x:c>
      <x:c r="D936" s="17" t="str">
        <x:v>C002</x:v>
      </x:c>
      <x:c r="E936" s="17" t="str">
        <x:v>CopyStudio</x:v>
      </x:c>
      <x:c r="F936" s="17" t="str">
        <x:v>Lite</x:v>
      </x:c>
      <x:c r="G936" s="21" t="n">
        <x:v>16910</x:v>
      </x:c>
      <x:c r="H936" s="21" t="n">
        <x:v>10223</x:v>
      </x:c>
      <x:c r="I936" s="17" t="str">
        <x:v>Correction</x:v>
      </x:c>
    </x:row>
    <x:row r="937" ht="23" customHeight="1">
      <x:c r="A937" s="17" t="str">
        <x:v>U00931</x:v>
      </x:c>
      <x:c r="B937" s="18" t="n">
        <x:v>46280</x:v>
      </x:c>
      <x:c r="C937" s="17" t="str">
        <x:v>W0092</x:v>
      </x:c>
      <x:c r="D937" s="17" t="str">
        <x:v>C002</x:v>
      </x:c>
      <x:c r="E937" s="17" t="str">
        <x:v>CopyStudio</x:v>
      </x:c>
      <x:c r="F937" s="17" t="str">
        <x:v>Lite</x:v>
      </x:c>
      <x:c r="G937" s="21" t="n">
        <x:v>40264</x:v>
      </x:c>
      <x:c r="H937" s="21" t="n">
        <x:v>7855</x:v>
      </x:c>
      <x:c r="I937" s="17" t="str">
        <x:v>Followup</x:v>
      </x:c>
    </x:row>
    <x:row r="938" ht="23" customHeight="1">
      <x:c r="A938" s="17" t="str">
        <x:v>U00932</x:v>
      </x:c>
      <x:c r="B938" s="18" t="n">
        <x:v>46280</x:v>
      </x:c>
      <x:c r="C938" s="17" t="str">
        <x:v>W0092</x:v>
      </x:c>
      <x:c r="D938" s="17" t="str">
        <x:v>C002</x:v>
      </x:c>
      <x:c r="E938" s="17" t="str">
        <x:v>CopyStudio</x:v>
      </x:c>
      <x:c r="F938" s="17" t="str">
        <x:v>Lite</x:v>
      </x:c>
      <x:c r="G938" s="21" t="n">
        <x:v>36000</x:v>
      </x:c>
      <x:c r="H938" s="21" t="n">
        <x:v>5351</x:v>
      </x:c>
      <x:c r="I938" s="17" t="str">
        <x:v>Followup</x:v>
      </x:c>
    </x:row>
    <x:row r="939" ht="23" customHeight="1">
      <x:c r="A939" s="17" t="str">
        <x:v>U00933</x:v>
      </x:c>
      <x:c r="B939" s="18" t="n">
        <x:v>46280</x:v>
      </x:c>
      <x:c r="C939" s="17" t="str">
        <x:v>W0092</x:v>
      </x:c>
      <x:c r="D939" s="17" t="str">
        <x:v>C002</x:v>
      </x:c>
      <x:c r="E939" s="17" t="str">
        <x:v>CopyStudio</x:v>
      </x:c>
      <x:c r="F939" s="17" t="str">
        <x:v>Lite</x:v>
      </x:c>
      <x:c r="G939" s="21" t="n">
        <x:v>32583</x:v>
      </x:c>
      <x:c r="H939" s="21" t="n">
        <x:v>8568</x:v>
      </x:c>
      <x:c r="I939" s="17" t="str">
        <x:v>Followup</x:v>
      </x:c>
    </x:row>
    <x:row r="940" ht="23" customHeight="1">
      <x:c r="A940" s="17" t="str">
        <x:v>U00934</x:v>
      </x:c>
      <x:c r="B940" s="18" t="n">
        <x:v>46280</x:v>
      </x:c>
      <x:c r="C940" s="17" t="str">
        <x:v>W0092</x:v>
      </x:c>
      <x:c r="D940" s="17" t="str">
        <x:v>C002</x:v>
      </x:c>
      <x:c r="E940" s="17" t="str">
        <x:v>CopyStudio</x:v>
      </x:c>
      <x:c r="F940" s="17" t="str">
        <x:v>Lite</x:v>
      </x:c>
      <x:c r="G940" s="21" t="n">
        <x:v>47168</x:v>
      </x:c>
      <x:c r="H940" s="21" t="n">
        <x:v>11184</x:v>
      </x:c>
      <x:c r="I940" s="17" t="str">
        <x:v>Followup</x:v>
      </x:c>
    </x:row>
    <x:row r="941" ht="23" customHeight="1">
      <x:c r="A941" s="17" t="str">
        <x:v>U00935</x:v>
      </x:c>
      <x:c r="B941" s="18" t="n">
        <x:v>46280</x:v>
      </x:c>
      <x:c r="C941" s="17" t="str">
        <x:v>W0092</x:v>
      </x:c>
      <x:c r="D941" s="17" t="str">
        <x:v>C002</x:v>
      </x:c>
      <x:c r="E941" s="17" t="str">
        <x:v>CopyStudio</x:v>
      </x:c>
      <x:c r="F941" s="17" t="str">
        <x:v>Lite</x:v>
      </x:c>
      <x:c r="G941" s="21" t="n">
        <x:v>44856</x:v>
      </x:c>
      <x:c r="H941" s="21" t="n">
        <x:v>8895</x:v>
      </x:c>
      <x:c r="I941" s="17" t="str">
        <x:v>Correction</x:v>
      </x:c>
    </x:row>
    <x:row r="942" ht="23" customHeight="1">
      <x:c r="A942" s="17" t="str">
        <x:v>U00936</x:v>
      </x:c>
      <x:c r="B942" s="18" t="n">
        <x:v>46281</x:v>
      </x:c>
      <x:c r="C942" s="17" t="str">
        <x:v>W0092</x:v>
      </x:c>
      <x:c r="D942" s="17" t="str">
        <x:v>C002</x:v>
      </x:c>
      <x:c r="E942" s="17" t="str">
        <x:v>CopyStudio</x:v>
      </x:c>
      <x:c r="F942" s="17" t="str">
        <x:v>Lite</x:v>
      </x:c>
      <x:c r="G942" s="21" t="n">
        <x:v>36510</x:v>
      </x:c>
      <x:c r="H942" s="21" t="n">
        <x:v>5041</x:v>
      </x:c>
      <x:c r="I942" s="17" t="str">
        <x:v>Followup</x:v>
      </x:c>
    </x:row>
    <x:row r="943" ht="23" customHeight="1">
      <x:c r="A943" s="17" t="str">
        <x:v>U00937</x:v>
      </x:c>
      <x:c r="B943" s="18" t="n">
        <x:v>46281</x:v>
      </x:c>
      <x:c r="C943" s="17" t="str">
        <x:v>W0092</x:v>
      </x:c>
      <x:c r="D943" s="17" t="str">
        <x:v>C002</x:v>
      </x:c>
      <x:c r="E943" s="17" t="str">
        <x:v>CopyStudio</x:v>
      </x:c>
      <x:c r="F943" s="17" t="str">
        <x:v>Lite</x:v>
      </x:c>
      <x:c r="G943" s="21" t="n">
        <x:v>23443</x:v>
      </x:c>
      <x:c r="H943" s="21" t="n">
        <x:v>9037</x:v>
      </x:c>
      <x:c r="I943" s="17" t="str">
        <x:v>Correction</x:v>
      </x:c>
    </x:row>
    <x:row r="944" ht="23" customHeight="1">
      <x:c r="A944" s="17" t="str">
        <x:v>U00938</x:v>
      </x:c>
      <x:c r="B944" s="18" t="n">
        <x:v>46281</x:v>
      </x:c>
      <x:c r="C944" s="17" t="str">
        <x:v>W0092</x:v>
      </x:c>
      <x:c r="D944" s="17" t="str">
        <x:v>C002</x:v>
      </x:c>
      <x:c r="E944" s="17" t="str">
        <x:v>CopyStudio</x:v>
      </x:c>
      <x:c r="F944" s="17" t="str">
        <x:v>Lite</x:v>
      </x:c>
      <x:c r="G944" s="21" t="n">
        <x:v>25557</x:v>
      </x:c>
      <x:c r="H944" s="21" t="n">
        <x:v>13575</x:v>
      </x:c>
      <x:c r="I944" s="17" t="str">
        <x:v>Followup</x:v>
      </x:c>
    </x:row>
    <x:row r="945" ht="23" customHeight="1">
      <x:c r="A945" s="17" t="str">
        <x:v>U00939</x:v>
      </x:c>
      <x:c r="B945" s="18" t="n">
        <x:v>46281</x:v>
      </x:c>
      <x:c r="C945" s="17" t="str">
        <x:v>W0092</x:v>
      </x:c>
      <x:c r="D945" s="17" t="str">
        <x:v>C002</x:v>
      </x:c>
      <x:c r="E945" s="17" t="str">
        <x:v>CopyStudio</x:v>
      </x:c>
      <x:c r="F945" s="17" t="str">
        <x:v>Lite</x:v>
      </x:c>
      <x:c r="G945" s="21" t="n">
        <x:v>30097</x:v>
      </x:c>
      <x:c r="H945" s="21" t="n">
        <x:v>12651</x:v>
      </x:c>
      <x:c r="I945" s="17" t="str">
        <x:v>Followup</x:v>
      </x:c>
    </x:row>
    <x:row r="946" ht="23" customHeight="1">
      <x:c r="A946" s="17" t="str">
        <x:v>U00940</x:v>
      </x:c>
      <x:c r="B946" s="18" t="n">
        <x:v>46281</x:v>
      </x:c>
      <x:c r="C946" s="17" t="str">
        <x:v>W0092</x:v>
      </x:c>
      <x:c r="D946" s="17" t="str">
        <x:v>C002</x:v>
      </x:c>
      <x:c r="E946" s="17" t="str">
        <x:v>CopyStudio</x:v>
      </x:c>
      <x:c r="F946" s="17" t="str">
        <x:v>Lite</x:v>
      </x:c>
      <x:c r="G946" s="21" t="n">
        <x:v>37427</x:v>
      </x:c>
      <x:c r="H946" s="21" t="n">
        <x:v>3952</x:v>
      </x:c>
      <x:c r="I946" s="17" t="str">
        <x:v>Followup</x:v>
      </x:c>
    </x:row>
    <x:row r="947" ht="23" customHeight="1">
      <x:c r="A947" s="17" t="str">
        <x:v>U00941</x:v>
      </x:c>
      <x:c r="B947" s="18" t="n">
        <x:v>46281</x:v>
      </x:c>
      <x:c r="C947" s="17" t="str">
        <x:v>W0092</x:v>
      </x:c>
      <x:c r="D947" s="17" t="str">
        <x:v>C002</x:v>
      </x:c>
      <x:c r="E947" s="17" t="str">
        <x:v>CopyStudio</x:v>
      </x:c>
      <x:c r="F947" s="17" t="str">
        <x:v>Lite</x:v>
      </x:c>
      <x:c r="G947" s="21" t="n">
        <x:v>22900</x:v>
      </x:c>
      <x:c r="H947" s="21" t="n">
        <x:v>9625</x:v>
      </x:c>
      <x:c r="I947" s="17" t="str">
        <x:v>Correction</x:v>
      </x:c>
    </x:row>
    <x:row r="948" ht="23" customHeight="1">
      <x:c r="A948" s="17" t="str">
        <x:v>U00942</x:v>
      </x:c>
      <x:c r="B948" s="18" t="n">
        <x:v>46287</x:v>
      </x:c>
      <x:c r="C948" s="17" t="str">
        <x:v>W0093</x:v>
      </x:c>
      <x:c r="D948" s="17" t="str">
        <x:v>C002</x:v>
      </x:c>
      <x:c r="E948" s="17" t="str">
        <x:v>CampaignChat</x:v>
      </x:c>
      <x:c r="F948" s="17" t="str">
        <x:v>Lite</x:v>
      </x:c>
      <x:c r="G948" s="21" t="n">
        <x:v>19650</x:v>
      </x:c>
      <x:c r="H948" s="21" t="n">
        <x:v>8491</x:v>
      </x:c>
      <x:c r="I948" s="17" t="str">
        <x:v>First attempt</x:v>
      </x:c>
    </x:row>
    <x:row r="949" ht="23" customHeight="1">
      <x:c r="A949" s="17" t="str">
        <x:v>U00943</x:v>
      </x:c>
      <x:c r="B949" s="18" t="n">
        <x:v>46287</x:v>
      </x:c>
      <x:c r="C949" s="17" t="str">
        <x:v>W0093</x:v>
      </x:c>
      <x:c r="D949" s="17" t="str">
        <x:v>C002</x:v>
      </x:c>
      <x:c r="E949" s="17" t="str">
        <x:v>CampaignChat</x:v>
      </x:c>
      <x:c r="F949" s="17" t="str">
        <x:v>Lite</x:v>
      </x:c>
      <x:c r="G949" s="21" t="n">
        <x:v>21949</x:v>
      </x:c>
      <x:c r="H949" s="21" t="n">
        <x:v>6728</x:v>
      </x:c>
      <x:c r="I949" s="17" t="str">
        <x:v>Followup</x:v>
      </x:c>
    </x:row>
    <x:row r="950" ht="23" customHeight="1">
      <x:c r="A950" s="17" t="str">
        <x:v>U00944</x:v>
      </x:c>
      <x:c r="B950" s="18" t="n">
        <x:v>46287</x:v>
      </x:c>
      <x:c r="C950" s="17" t="str">
        <x:v>W0093</x:v>
      </x:c>
      <x:c r="D950" s="17" t="str">
        <x:v>C002</x:v>
      </x:c>
      <x:c r="E950" s="17" t="str">
        <x:v>CampaignChat</x:v>
      </x:c>
      <x:c r="F950" s="17" t="str">
        <x:v>Lite</x:v>
      </x:c>
      <x:c r="G950" s="21" t="n">
        <x:v>15298</x:v>
      </x:c>
      <x:c r="H950" s="21" t="n">
        <x:v>10683</x:v>
      </x:c>
      <x:c r="I950" s="17" t="str">
        <x:v>Followup</x:v>
      </x:c>
    </x:row>
    <x:row r="951" ht="23" customHeight="1">
      <x:c r="A951" s="17" t="str">
        <x:v>U00945</x:v>
      </x:c>
      <x:c r="B951" s="18" t="n">
        <x:v>46287</x:v>
      </x:c>
      <x:c r="C951" s="17" t="str">
        <x:v>W0093</x:v>
      </x:c>
      <x:c r="D951" s="17" t="str">
        <x:v>C002</x:v>
      </x:c>
      <x:c r="E951" s="17" t="str">
        <x:v>CampaignChat</x:v>
      </x:c>
      <x:c r="F951" s="17" t="str">
        <x:v>Lite</x:v>
      </x:c>
      <x:c r="G951" s="21" t="n">
        <x:v>30921</x:v>
      </x:c>
      <x:c r="H951" s="21" t="n">
        <x:v>4184</x:v>
      </x:c>
      <x:c r="I951" s="17" t="str">
        <x:v>Followup</x:v>
      </x:c>
    </x:row>
    <x:row r="952" ht="23" customHeight="1">
      <x:c r="A952" s="17" t="str">
        <x:v>U00946</x:v>
      </x:c>
      <x:c r="B952" s="18" t="n">
        <x:v>46287</x:v>
      </x:c>
      <x:c r="C952" s="17" t="str">
        <x:v>W0093</x:v>
      </x:c>
      <x:c r="D952" s="17" t="str">
        <x:v>C002</x:v>
      </x:c>
      <x:c r="E952" s="17" t="str">
        <x:v>CampaignChat</x:v>
      </x:c>
      <x:c r="F952" s="17" t="str">
        <x:v>Lite</x:v>
      </x:c>
      <x:c r="G952" s="21" t="n">
        <x:v>26798</x:v>
      </x:c>
      <x:c r="H952" s="21" t="n">
        <x:v>4047</x:v>
      </x:c>
      <x:c r="I952" s="17" t="str">
        <x:v>Correction</x:v>
      </x:c>
    </x:row>
    <x:row r="953" ht="23" customHeight="1">
      <x:c r="A953" s="17" t="str">
        <x:v>U00947</x:v>
      </x:c>
      <x:c r="B953" s="18" t="n">
        <x:v>46287</x:v>
      </x:c>
      <x:c r="C953" s="17" t="str">
        <x:v>W0093</x:v>
      </x:c>
      <x:c r="D953" s="17" t="str">
        <x:v>C002</x:v>
      </x:c>
      <x:c r="E953" s="17" t="str">
        <x:v>CampaignChat</x:v>
      </x:c>
      <x:c r="F953" s="17" t="str">
        <x:v>Lite</x:v>
      </x:c>
      <x:c r="G953" s="21" t="n">
        <x:v>21017</x:v>
      </x:c>
      <x:c r="H953" s="21" t="n">
        <x:v>7195</x:v>
      </x:c>
      <x:c r="I953" s="17" t="str">
        <x:v>Correction</x:v>
      </x:c>
    </x:row>
    <x:row r="954" ht="23" customHeight="1">
      <x:c r="A954" s="17" t="str">
        <x:v>U00948</x:v>
      </x:c>
      <x:c r="B954" s="18" t="n">
        <x:v>46288</x:v>
      </x:c>
      <x:c r="C954" s="17" t="str">
        <x:v>W0093</x:v>
      </x:c>
      <x:c r="D954" s="17" t="str">
        <x:v>C002</x:v>
      </x:c>
      <x:c r="E954" s="17" t="str">
        <x:v>CampaignChat</x:v>
      </x:c>
      <x:c r="F954" s="17" t="str">
        <x:v>Lite</x:v>
      </x:c>
      <x:c r="G954" s="21" t="n">
        <x:v>33269</x:v>
      </x:c>
      <x:c r="H954" s="21" t="n">
        <x:v>7524</x:v>
      </x:c>
      <x:c r="I954" s="17" t="str">
        <x:v>Followup</x:v>
      </x:c>
    </x:row>
    <x:row r="955" ht="23" customHeight="1">
      <x:c r="A955" s="17" t="str">
        <x:v>U00949</x:v>
      </x:c>
      <x:c r="B955" s="18" t="n">
        <x:v>46288</x:v>
      </x:c>
      <x:c r="C955" s="17" t="str">
        <x:v>W0093</x:v>
      </x:c>
      <x:c r="D955" s="17" t="str">
        <x:v>C002</x:v>
      </x:c>
      <x:c r="E955" s="17" t="str">
        <x:v>CampaignChat</x:v>
      </x:c>
      <x:c r="F955" s="17" t="str">
        <x:v>Lite</x:v>
      </x:c>
      <x:c r="G955" s="21" t="n">
        <x:v>28401</x:v>
      </x:c>
      <x:c r="H955" s="21" t="n">
        <x:v>6032</x:v>
      </x:c>
      <x:c r="I955" s="17" t="str">
        <x:v>Followup</x:v>
      </x:c>
    </x:row>
    <x:row r="956" ht="23" customHeight="1">
      <x:c r="A956" s="17" t="str">
        <x:v>U00950</x:v>
      </x:c>
      <x:c r="B956" s="18" t="n">
        <x:v>46288</x:v>
      </x:c>
      <x:c r="C956" s="17" t="str">
        <x:v>W0093</x:v>
      </x:c>
      <x:c r="D956" s="17" t="str">
        <x:v>C002</x:v>
      </x:c>
      <x:c r="E956" s="17" t="str">
        <x:v>CampaignChat</x:v>
      </x:c>
      <x:c r="F956" s="17" t="str">
        <x:v>Lite</x:v>
      </x:c>
      <x:c r="G956" s="21" t="n">
        <x:v>12364</x:v>
      </x:c>
      <x:c r="H956" s="21" t="n">
        <x:v>7240</x:v>
      </x:c>
      <x:c r="I956" s="17" t="str">
        <x:v>Followup</x:v>
      </x:c>
    </x:row>
    <x:row r="957" ht="23" customHeight="1">
      <x:c r="A957" s="17" t="str">
        <x:v>U00951</x:v>
      </x:c>
      <x:c r="B957" s="18" t="n">
        <x:v>46288</x:v>
      </x:c>
      <x:c r="C957" s="17" t="str">
        <x:v>W0093</x:v>
      </x:c>
      <x:c r="D957" s="17" t="str">
        <x:v>C002</x:v>
      </x:c>
      <x:c r="E957" s="17" t="str">
        <x:v>CampaignChat</x:v>
      </x:c>
      <x:c r="F957" s="17" t="str">
        <x:v>Lite</x:v>
      </x:c>
      <x:c r="G957" s="21" t="n">
        <x:v>33125</x:v>
      </x:c>
      <x:c r="H957" s="21" t="n">
        <x:v>7867</x:v>
      </x:c>
      <x:c r="I957" s="17" t="str">
        <x:v>Followup</x:v>
      </x:c>
    </x:row>
    <x:row r="958" ht="23" customHeight="1">
      <x:c r="A958" s="17" t="str">
        <x:v>U00952</x:v>
      </x:c>
      <x:c r="B958" s="18" t="n">
        <x:v>46288</x:v>
      </x:c>
      <x:c r="C958" s="17" t="str">
        <x:v>W0093</x:v>
      </x:c>
      <x:c r="D958" s="17" t="str">
        <x:v>C002</x:v>
      </x:c>
      <x:c r="E958" s="17" t="str">
        <x:v>CampaignChat</x:v>
      </x:c>
      <x:c r="F958" s="17" t="str">
        <x:v>Lite</x:v>
      </x:c>
      <x:c r="G958" s="21" t="n">
        <x:v>16138</x:v>
      </x:c>
      <x:c r="H958" s="21" t="n">
        <x:v>8252</x:v>
      </x:c>
      <x:c r="I958" s="17" t="str">
        <x:v>Correction</x:v>
      </x:c>
    </x:row>
    <x:row r="959" ht="23" customHeight="1">
      <x:c r="A959" s="17" t="str">
        <x:v>U00953</x:v>
      </x:c>
      <x:c r="B959" s="18" t="n">
        <x:v>46289</x:v>
      </x:c>
      <x:c r="C959" s="17" t="str">
        <x:v>W0093</x:v>
      </x:c>
      <x:c r="D959" s="17" t="str">
        <x:v>C002</x:v>
      </x:c>
      <x:c r="E959" s="17" t="str">
        <x:v>CampaignChat</x:v>
      </x:c>
      <x:c r="F959" s="17" t="str">
        <x:v>Lite</x:v>
      </x:c>
      <x:c r="G959" s="21" t="n">
        <x:v>30858</x:v>
      </x:c>
      <x:c r="H959" s="21" t="n">
        <x:v>3370</x:v>
      </x:c>
      <x:c r="I959" s="17" t="str">
        <x:v>Followup</x:v>
      </x:c>
    </x:row>
    <x:row r="960" ht="23" customHeight="1">
      <x:c r="A960" s="17" t="str">
        <x:v>U00954</x:v>
      </x:c>
      <x:c r="B960" s="18" t="n">
        <x:v>46289</x:v>
      </x:c>
      <x:c r="C960" s="17" t="str">
        <x:v>W0093</x:v>
      </x:c>
      <x:c r="D960" s="17" t="str">
        <x:v>C002</x:v>
      </x:c>
      <x:c r="E960" s="17" t="str">
        <x:v>CampaignChat</x:v>
      </x:c>
      <x:c r="F960" s="17" t="str">
        <x:v>Lite</x:v>
      </x:c>
      <x:c r="G960" s="21" t="n">
        <x:v>35707</x:v>
      </x:c>
      <x:c r="H960" s="21" t="n">
        <x:v>5290</x:v>
      </x:c>
      <x:c r="I960" s="17" t="str">
        <x:v>Followup</x:v>
      </x:c>
    </x:row>
    <x:row r="961" ht="23" customHeight="1">
      <x:c r="A961" s="17" t="str">
        <x:v>U00955</x:v>
      </x:c>
      <x:c r="B961" s="18" t="n">
        <x:v>46289</x:v>
      </x:c>
      <x:c r="C961" s="17" t="str">
        <x:v>W0093</x:v>
      </x:c>
      <x:c r="D961" s="17" t="str">
        <x:v>C002</x:v>
      </x:c>
      <x:c r="E961" s="17" t="str">
        <x:v>CampaignChat</x:v>
      </x:c>
      <x:c r="F961" s="17" t="str">
        <x:v>Lite</x:v>
      </x:c>
      <x:c r="G961" s="21" t="n">
        <x:v>18592</x:v>
      </x:c>
      <x:c r="H961" s="21" t="n">
        <x:v>9279</x:v>
      </x:c>
      <x:c r="I961" s="17" t="str">
        <x:v>Followup</x:v>
      </x:c>
    </x:row>
    <x:row r="962" ht="23" customHeight="1">
      <x:c r="A962" s="17" t="str">
        <x:v>U00956</x:v>
      </x:c>
      <x:c r="B962" s="18" t="n">
        <x:v>46289</x:v>
      </x:c>
      <x:c r="C962" s="17" t="str">
        <x:v>W0093</x:v>
      </x:c>
      <x:c r="D962" s="17" t="str">
        <x:v>C002</x:v>
      </x:c>
      <x:c r="E962" s="17" t="str">
        <x:v>CampaignChat</x:v>
      </x:c>
      <x:c r="F962" s="17" t="str">
        <x:v>Lite</x:v>
      </x:c>
      <x:c r="G962" s="21" t="n">
        <x:v>21368</x:v>
      </x:c>
      <x:c r="H962" s="21" t="n">
        <x:v>10907</x:v>
      </x:c>
      <x:c r="I962" s="17" t="str">
        <x:v>Followup</x:v>
      </x:c>
    </x:row>
    <x:row r="963" ht="23" customHeight="1">
      <x:c r="A963" s="17" t="str">
        <x:v>U00957</x:v>
      </x:c>
      <x:c r="B963" s="18" t="n">
        <x:v>46289</x:v>
      </x:c>
      <x:c r="C963" s="17" t="str">
        <x:v>W0093</x:v>
      </x:c>
      <x:c r="D963" s="17" t="str">
        <x:v>C002</x:v>
      </x:c>
      <x:c r="E963" s="17" t="str">
        <x:v>CampaignChat</x:v>
      </x:c>
      <x:c r="F963" s="17" t="str">
        <x:v>Lite</x:v>
      </x:c>
      <x:c r="G963" s="21" t="n">
        <x:v>22943</x:v>
      </x:c>
      <x:c r="H963" s="21" t="n">
        <x:v>10700</x:v>
      </x:c>
      <x:c r="I963" s="17" t="str">
        <x:v>Followup</x:v>
      </x:c>
    </x:row>
    <x:row r="964" ht="23" customHeight="1">
      <x:c r="A964" s="17" t="str">
        <x:v>U00958</x:v>
      </x:c>
      <x:c r="B964" s="18" t="n">
        <x:v>46289</x:v>
      </x:c>
      <x:c r="C964" s="17" t="str">
        <x:v>W0093</x:v>
      </x:c>
      <x:c r="D964" s="17" t="str">
        <x:v>C002</x:v>
      </x:c>
      <x:c r="E964" s="17" t="str">
        <x:v>CampaignChat</x:v>
      </x:c>
      <x:c r="F964" s="17" t="str">
        <x:v>Lite</x:v>
      </x:c>
      <x:c r="G964" s="21" t="n">
        <x:v>22587</x:v>
      </x:c>
      <x:c r="H964" s="21" t="n">
        <x:v>4753</x:v>
      </x:c>
      <x:c r="I964" s="17" t="str">
        <x:v>Correction</x:v>
      </x:c>
    </x:row>
    <x:row r="965" ht="23" customHeight="1">
      <x:c r="A965" s="17" t="str">
        <x:v>U00959</x:v>
      </x:c>
      <x:c r="B965" s="18" t="n">
        <x:v>46290</x:v>
      </x:c>
      <x:c r="C965" s="17" t="str">
        <x:v>W0093</x:v>
      </x:c>
      <x:c r="D965" s="17" t="str">
        <x:v>C002</x:v>
      </x:c>
      <x:c r="E965" s="17" t="str">
        <x:v>CampaignChat</x:v>
      </x:c>
      <x:c r="F965" s="17" t="str">
        <x:v>Lite</x:v>
      </x:c>
      <x:c r="G965" s="21" t="n">
        <x:v>33564</x:v>
      </x:c>
      <x:c r="H965" s="21" t="n">
        <x:v>3524</x:v>
      </x:c>
      <x:c r="I965" s="17" t="str">
        <x:v>Followup</x:v>
      </x:c>
    </x:row>
    <x:row r="966" ht="23" customHeight="1">
      <x:c r="A966" s="17" t="str">
        <x:v>U00960</x:v>
      </x:c>
      <x:c r="B966" s="18" t="n">
        <x:v>46290</x:v>
      </x:c>
      <x:c r="C966" s="17" t="str">
        <x:v>W0093</x:v>
      </x:c>
      <x:c r="D966" s="17" t="str">
        <x:v>C002</x:v>
      </x:c>
      <x:c r="E966" s="17" t="str">
        <x:v>CampaignChat</x:v>
      </x:c>
      <x:c r="F966" s="17" t="str">
        <x:v>Lite</x:v>
      </x:c>
      <x:c r="G966" s="21" t="n">
        <x:v>12976</x:v>
      </x:c>
      <x:c r="H966" s="21" t="n">
        <x:v>9868</x:v>
      </x:c>
      <x:c r="I966" s="17" t="str">
        <x:v>Correction</x:v>
      </x:c>
    </x:row>
    <x:row r="967" ht="23" customHeight="1">
      <x:c r="A967" s="17" t="str">
        <x:v>U00961</x:v>
      </x:c>
      <x:c r="B967" s="18" t="n">
        <x:v>46290</x:v>
      </x:c>
      <x:c r="C967" s="17" t="str">
        <x:v>W0093</x:v>
      </x:c>
      <x:c r="D967" s="17" t="str">
        <x:v>C002</x:v>
      </x:c>
      <x:c r="E967" s="17" t="str">
        <x:v>CampaignChat</x:v>
      </x:c>
      <x:c r="F967" s="17" t="str">
        <x:v>Lite</x:v>
      </x:c>
      <x:c r="G967" s="21" t="n">
        <x:v>13853</x:v>
      </x:c>
      <x:c r="H967" s="21" t="n">
        <x:v>5403</x:v>
      </x:c>
      <x:c r="I967" s="17" t="str">
        <x:v>Followup</x:v>
      </x:c>
    </x:row>
    <x:row r="968" ht="23" customHeight="1">
      <x:c r="A968" s="17" t="str">
        <x:v>U00962</x:v>
      </x:c>
      <x:c r="B968" s="18" t="n">
        <x:v>46290</x:v>
      </x:c>
      <x:c r="C968" s="17" t="str">
        <x:v>W0093</x:v>
      </x:c>
      <x:c r="D968" s="17" t="str">
        <x:v>C002</x:v>
      </x:c>
      <x:c r="E968" s="17" t="str">
        <x:v>CampaignChat</x:v>
      </x:c>
      <x:c r="F968" s="17" t="str">
        <x:v>Lite</x:v>
      </x:c>
      <x:c r="G968" s="21" t="n">
        <x:v>14389</x:v>
      </x:c>
      <x:c r="H968" s="21" t="n">
        <x:v>10850</x:v>
      </x:c>
      <x:c r="I968" s="17" t="str">
        <x:v>Correction</x:v>
      </x:c>
    </x:row>
    <x:row r="969" ht="23" customHeight="1">
      <x:c r="A969" s="17" t="str">
        <x:v>U00963</x:v>
      </x:c>
      <x:c r="B969" s="18" t="n">
        <x:v>46290</x:v>
      </x:c>
      <x:c r="C969" s="17" t="str">
        <x:v>W0093</x:v>
      </x:c>
      <x:c r="D969" s="17" t="str">
        <x:v>C002</x:v>
      </x:c>
      <x:c r="E969" s="17" t="str">
        <x:v>CampaignChat</x:v>
      </x:c>
      <x:c r="F969" s="17" t="str">
        <x:v>Lite</x:v>
      </x:c>
      <x:c r="G969" s="21" t="n">
        <x:v>25797</x:v>
      </x:c>
      <x:c r="H969" s="21" t="n">
        <x:v>8006</x:v>
      </x:c>
      <x:c r="I969" s="17" t="str">
        <x:v>Followup</x:v>
      </x:c>
    </x:row>
    <x:row r="970" ht="23" customHeight="1">
      <x:c r="A970" s="17" t="str">
        <x:v>U00964</x:v>
      </x:c>
      <x:c r="B970" s="18" t="n">
        <x:v>46269</x:v>
      </x:c>
      <x:c r="C970" s="17" t="str">
        <x:v>W0094</x:v>
      </x:c>
      <x:c r="D970" s="17" t="str">
        <x:v>C002</x:v>
      </x:c>
      <x:c r="E970" s="17" t="str">
        <x:v>CopyStudio</x:v>
      </x:c>
      <x:c r="F970" s="17" t="str">
        <x:v>Lite</x:v>
      </x:c>
      <x:c r="G970" s="21" t="n">
        <x:v>39391</x:v>
      </x:c>
      <x:c r="H970" s="21" t="n">
        <x:v>4970</x:v>
      </x:c>
      <x:c r="I970" s="17" t="str">
        <x:v>First attempt</x:v>
      </x:c>
    </x:row>
    <x:row r="971" ht="23" customHeight="1">
      <x:c r="A971" s="17" t="str">
        <x:v>U00965</x:v>
      </x:c>
      <x:c r="B971" s="18" t="n">
        <x:v>46269</x:v>
      </x:c>
      <x:c r="C971" s="17" t="str">
        <x:v>W0094</x:v>
      </x:c>
      <x:c r="D971" s="17" t="str">
        <x:v>C002</x:v>
      </x:c>
      <x:c r="E971" s="17" t="str">
        <x:v>CopyStudio</x:v>
      </x:c>
      <x:c r="F971" s="17" t="str">
        <x:v>Lite</x:v>
      </x:c>
      <x:c r="G971" s="21" t="n">
        <x:v>49268</x:v>
      </x:c>
      <x:c r="H971" s="21" t="n">
        <x:v>8756</x:v>
      </x:c>
      <x:c r="I971" s="17" t="str">
        <x:v>Followup</x:v>
      </x:c>
    </x:row>
    <x:row r="972" ht="23" customHeight="1">
      <x:c r="A972" s="17" t="str">
        <x:v>U00966</x:v>
      </x:c>
      <x:c r="B972" s="18" t="n">
        <x:v>46269</x:v>
      </x:c>
      <x:c r="C972" s="17" t="str">
        <x:v>W0094</x:v>
      </x:c>
      <x:c r="D972" s="17" t="str">
        <x:v>C002</x:v>
      </x:c>
      <x:c r="E972" s="17" t="str">
        <x:v>CopyStudio</x:v>
      </x:c>
      <x:c r="F972" s="17" t="str">
        <x:v>Lite</x:v>
      </x:c>
      <x:c r="G972" s="21" t="n">
        <x:v>31809</x:v>
      </x:c>
      <x:c r="H972" s="21" t="n">
        <x:v>7503</x:v>
      </x:c>
      <x:c r="I972" s="17" t="str">
        <x:v>Correction</x:v>
      </x:c>
    </x:row>
    <x:row r="973" ht="23" customHeight="1">
      <x:c r="A973" s="17" t="str">
        <x:v>U00967</x:v>
      </x:c>
      <x:c r="B973" s="18" t="n">
        <x:v>46269</x:v>
      </x:c>
      <x:c r="C973" s="17" t="str">
        <x:v>W0094</x:v>
      </x:c>
      <x:c r="D973" s="17" t="str">
        <x:v>C002</x:v>
      </x:c>
      <x:c r="E973" s="17" t="str">
        <x:v>CopyStudio</x:v>
      </x:c>
      <x:c r="F973" s="17" t="str">
        <x:v>Lite</x:v>
      </x:c>
      <x:c r="G973" s="21" t="n">
        <x:v>28391</x:v>
      </x:c>
      <x:c r="H973" s="21" t="n">
        <x:v>7085</x:v>
      </x:c>
      <x:c r="I973" s="17" t="str">
        <x:v>Correction</x:v>
      </x:c>
    </x:row>
    <x:row r="974" ht="23" customHeight="1">
      <x:c r="A974" s="17" t="str">
        <x:v>U00968</x:v>
      </x:c>
      <x:c r="B974" s="18" t="n">
        <x:v>46269</x:v>
      </x:c>
      <x:c r="C974" s="17" t="str">
        <x:v>W0094</x:v>
      </x:c>
      <x:c r="D974" s="17" t="str">
        <x:v>C002</x:v>
      </x:c>
      <x:c r="E974" s="17" t="str">
        <x:v>CopyStudio</x:v>
      </x:c>
      <x:c r="F974" s="17" t="str">
        <x:v>Lite</x:v>
      </x:c>
      <x:c r="G974" s="21" t="n">
        <x:v>57025</x:v>
      </x:c>
      <x:c r="H974" s="21" t="n">
        <x:v>9408</x:v>
      </x:c>
      <x:c r="I974" s="17" t="str">
        <x:v>Correction</x:v>
      </x:c>
    </x:row>
    <x:row r="975" ht="23" customHeight="1">
      <x:c r="A975" s="17" t="str">
        <x:v>U00969</x:v>
      </x:c>
      <x:c r="B975" s="18" t="n">
        <x:v>46269</x:v>
      </x:c>
      <x:c r="C975" s="17" t="str">
        <x:v>W0094</x:v>
      </x:c>
      <x:c r="D975" s="17" t="str">
        <x:v>C002</x:v>
      </x:c>
      <x:c r="E975" s="17" t="str">
        <x:v>CopyStudio</x:v>
      </x:c>
      <x:c r="F975" s="17" t="str">
        <x:v>Lite</x:v>
      </x:c>
      <x:c r="G975" s="21" t="n">
        <x:v>51940</x:v>
      </x:c>
      <x:c r="H975" s="21" t="n">
        <x:v>7444</x:v>
      </x:c>
      <x:c r="I975" s="17" t="str">
        <x:v>Correction</x:v>
      </x:c>
    </x:row>
    <x:row r="976" ht="23" customHeight="1">
      <x:c r="A976" s="17" t="str">
        <x:v>U00970</x:v>
      </x:c>
      <x:c r="B976" s="18" t="n">
        <x:v>46269</x:v>
      </x:c>
      <x:c r="C976" s="17" t="str">
        <x:v>W0094</x:v>
      </x:c>
      <x:c r="D976" s="17" t="str">
        <x:v>C002</x:v>
      </x:c>
      <x:c r="E976" s="17" t="str">
        <x:v>CopyStudio</x:v>
      </x:c>
      <x:c r="F976" s="17" t="str">
        <x:v>Lite</x:v>
      </x:c>
      <x:c r="G976" s="21" t="n">
        <x:v>43754</x:v>
      </x:c>
      <x:c r="H976" s="21" t="n">
        <x:v>8005</x:v>
      </x:c>
      <x:c r="I976" s="17" t="str">
        <x:v>Correction</x:v>
      </x:c>
    </x:row>
    <x:row r="977" ht="23" customHeight="1">
      <x:c r="A977" s="17" t="str">
        <x:v>U00971</x:v>
      </x:c>
      <x:c r="B977" s="18" t="n">
        <x:v>46273</x:v>
      </x:c>
      <x:c r="C977" s="17" t="str">
        <x:v>W0094</x:v>
      </x:c>
      <x:c r="D977" s="17" t="str">
        <x:v>C002</x:v>
      </x:c>
      <x:c r="E977" s="17" t="str">
        <x:v>CopyStudio</x:v>
      </x:c>
      <x:c r="F977" s="17" t="str">
        <x:v>Lite</x:v>
      </x:c>
      <x:c r="G977" s="21" t="n">
        <x:v>56893</x:v>
      </x:c>
      <x:c r="H977" s="21" t="n">
        <x:v>3742</x:v>
      </x:c>
      <x:c r="I977" s="17" t="str">
        <x:v>Correction</x:v>
      </x:c>
    </x:row>
    <x:row r="978" ht="23" customHeight="1">
      <x:c r="A978" s="17" t="str">
        <x:v>U00972</x:v>
      </x:c>
      <x:c r="B978" s="18" t="n">
        <x:v>46273</x:v>
      </x:c>
      <x:c r="C978" s="17" t="str">
        <x:v>W0094</x:v>
      </x:c>
      <x:c r="D978" s="17" t="str">
        <x:v>C002</x:v>
      </x:c>
      <x:c r="E978" s="17" t="str">
        <x:v>CopyStudio</x:v>
      </x:c>
      <x:c r="F978" s="17" t="str">
        <x:v>Lite</x:v>
      </x:c>
      <x:c r="G978" s="21" t="n">
        <x:v>45261</x:v>
      </x:c>
      <x:c r="H978" s="21" t="n">
        <x:v>4554</x:v>
      </x:c>
      <x:c r="I978" s="17" t="str">
        <x:v>Correction</x:v>
      </x:c>
    </x:row>
    <x:row r="979" ht="23" customHeight="1">
      <x:c r="A979" s="17" t="str">
        <x:v>U00973</x:v>
      </x:c>
      <x:c r="B979" s="18" t="n">
        <x:v>46273</x:v>
      </x:c>
      <x:c r="C979" s="17" t="str">
        <x:v>W0094</x:v>
      </x:c>
      <x:c r="D979" s="17" t="str">
        <x:v>C002</x:v>
      </x:c>
      <x:c r="E979" s="17" t="str">
        <x:v>CopyStudio</x:v>
      </x:c>
      <x:c r="F979" s="17" t="str">
        <x:v>Lite</x:v>
      </x:c>
      <x:c r="G979" s="21" t="n">
        <x:v>32759</x:v>
      </x:c>
      <x:c r="H979" s="21" t="n">
        <x:v>5100</x:v>
      </x:c>
      <x:c r="I979" s="17" t="str">
        <x:v>Followup</x:v>
      </x:c>
    </x:row>
    <x:row r="980" ht="23" customHeight="1">
      <x:c r="A980" s="17" t="str">
        <x:v>U00974</x:v>
      </x:c>
      <x:c r="B980" s="18" t="n">
        <x:v>46273</x:v>
      </x:c>
      <x:c r="C980" s="17" t="str">
        <x:v>W0094</x:v>
      </x:c>
      <x:c r="D980" s="17" t="str">
        <x:v>C002</x:v>
      </x:c>
      <x:c r="E980" s="17" t="str">
        <x:v>CopyStudio</x:v>
      </x:c>
      <x:c r="F980" s="17" t="str">
        <x:v>Lite</x:v>
      </x:c>
      <x:c r="G980" s="21" t="n">
        <x:v>25772</x:v>
      </x:c>
      <x:c r="H980" s="21" t="n">
        <x:v>6579</x:v>
      </x:c>
      <x:c r="I980" s="17" t="str">
        <x:v>Followup</x:v>
      </x:c>
    </x:row>
    <x:row r="981" ht="23" customHeight="1">
      <x:c r="A981" s="17" t="str">
        <x:v>U00975</x:v>
      </x:c>
      <x:c r="B981" s="18" t="n">
        <x:v>46273</x:v>
      </x:c>
      <x:c r="C981" s="17" t="str">
        <x:v>W0094</x:v>
      </x:c>
      <x:c r="D981" s="17" t="str">
        <x:v>C002</x:v>
      </x:c>
      <x:c r="E981" s="17" t="str">
        <x:v>CopyStudio</x:v>
      </x:c>
      <x:c r="F981" s="17" t="str">
        <x:v>Lite</x:v>
      </x:c>
      <x:c r="G981" s="21" t="n">
        <x:v>37886</x:v>
      </x:c>
      <x:c r="H981" s="21" t="n">
        <x:v>3259</x:v>
      </x:c>
      <x:c r="I981" s="17" t="str">
        <x:v>Correction</x:v>
      </x:c>
    </x:row>
    <x:row r="982" ht="23" customHeight="1">
      <x:c r="A982" s="17" t="str">
        <x:v>U00976</x:v>
      </x:c>
      <x:c r="B982" s="18" t="n">
        <x:v>46273</x:v>
      </x:c>
      <x:c r="C982" s="17" t="str">
        <x:v>W0094</x:v>
      </x:c>
      <x:c r="D982" s="17" t="str">
        <x:v>C002</x:v>
      </x:c>
      <x:c r="E982" s="17" t="str">
        <x:v>CopyStudio</x:v>
      </x:c>
      <x:c r="F982" s="17" t="str">
        <x:v>Lite</x:v>
      </x:c>
      <x:c r="G982" s="21" t="n">
        <x:v>21219</x:v>
      </x:c>
      <x:c r="H982" s="21" t="n">
        <x:v>6583</x:v>
      </x:c>
      <x:c r="I982" s="17" t="str">
        <x:v>Followup</x:v>
      </x:c>
    </x:row>
    <x:row r="983" ht="23" customHeight="1">
      <x:c r="A983" s="17" t="str">
        <x:v>U00977</x:v>
      </x:c>
      <x:c r="B983" s="18" t="n">
        <x:v>46274</x:v>
      </x:c>
      <x:c r="C983" s="17" t="str">
        <x:v>W0094</x:v>
      </x:c>
      <x:c r="D983" s="17" t="str">
        <x:v>C002</x:v>
      </x:c>
      <x:c r="E983" s="17" t="str">
        <x:v>CopyStudio</x:v>
      </x:c>
      <x:c r="F983" s="17" t="str">
        <x:v>Lite</x:v>
      </x:c>
      <x:c r="G983" s="21" t="n">
        <x:v>21760</x:v>
      </x:c>
      <x:c r="H983" s="21" t="n">
        <x:v>3756</x:v>
      </x:c>
      <x:c r="I983" s="17" t="str">
        <x:v>Correction</x:v>
      </x:c>
    </x:row>
    <x:row r="984" ht="23" customHeight="1">
      <x:c r="A984" s="17" t="str">
        <x:v>U00978</x:v>
      </x:c>
      <x:c r="B984" s="18" t="n">
        <x:v>46274</x:v>
      </x:c>
      <x:c r="C984" s="17" t="str">
        <x:v>W0094</x:v>
      </x:c>
      <x:c r="D984" s="17" t="str">
        <x:v>C002</x:v>
      </x:c>
      <x:c r="E984" s="17" t="str">
        <x:v>CopyStudio</x:v>
      </x:c>
      <x:c r="F984" s="17" t="str">
        <x:v>Lite</x:v>
      </x:c>
      <x:c r="G984" s="21" t="n">
        <x:v>20903</x:v>
      </x:c>
      <x:c r="H984" s="21" t="n">
        <x:v>5346</x:v>
      </x:c>
      <x:c r="I984" s="17" t="str">
        <x:v>Correction</x:v>
      </x:c>
    </x:row>
    <x:row r="985" ht="23" customHeight="1">
      <x:c r="A985" s="17" t="str">
        <x:v>U00979</x:v>
      </x:c>
      <x:c r="B985" s="18" t="n">
        <x:v>46274</x:v>
      </x:c>
      <x:c r="C985" s="17" t="str">
        <x:v>W0094</x:v>
      </x:c>
      <x:c r="D985" s="17" t="str">
        <x:v>C002</x:v>
      </x:c>
      <x:c r="E985" s="17" t="str">
        <x:v>CopyStudio</x:v>
      </x:c>
      <x:c r="F985" s="17" t="str">
        <x:v>Lite</x:v>
      </x:c>
      <x:c r="G985" s="21" t="n">
        <x:v>54162</x:v>
      </x:c>
      <x:c r="H985" s="21" t="n">
        <x:v>7916</x:v>
      </x:c>
      <x:c r="I985" s="17" t="str">
        <x:v>Correction</x:v>
      </x:c>
    </x:row>
    <x:row r="986" ht="23" customHeight="1">
      <x:c r="A986" s="17" t="str">
        <x:v>U00980</x:v>
      </x:c>
      <x:c r="B986" s="18" t="n">
        <x:v>46274</x:v>
      </x:c>
      <x:c r="C986" s="17" t="str">
        <x:v>W0094</x:v>
      </x:c>
      <x:c r="D986" s="17" t="str">
        <x:v>C002</x:v>
      </x:c>
      <x:c r="E986" s="17" t="str">
        <x:v>CopyStudio</x:v>
      </x:c>
      <x:c r="F986" s="17" t="str">
        <x:v>Lite</x:v>
      </x:c>
      <x:c r="G986" s="21" t="n">
        <x:v>42147</x:v>
      </x:c>
      <x:c r="H986" s="21" t="n">
        <x:v>7334</x:v>
      </x:c>
      <x:c r="I986" s="17" t="str">
        <x:v>Followup</x:v>
      </x:c>
    </x:row>
    <x:row r="987" ht="23" customHeight="1">
      <x:c r="A987" s="17" t="str">
        <x:v>U00981</x:v>
      </x:c>
      <x:c r="B987" s="18" t="n">
        <x:v>46274</x:v>
      </x:c>
      <x:c r="C987" s="17" t="str">
        <x:v>W0094</x:v>
      </x:c>
      <x:c r="D987" s="17" t="str">
        <x:v>C002</x:v>
      </x:c>
      <x:c r="E987" s="17" t="str">
        <x:v>CopyStudio</x:v>
      </x:c>
      <x:c r="F987" s="17" t="str">
        <x:v>Lite</x:v>
      </x:c>
      <x:c r="G987" s="21" t="n">
        <x:v>44023</x:v>
      </x:c>
      <x:c r="H987" s="21" t="n">
        <x:v>8263</x:v>
      </x:c>
      <x:c r="I987" s="17" t="str">
        <x:v>Followup</x:v>
      </x:c>
    </x:row>
    <x:row r="988" ht="23" customHeight="1">
      <x:c r="A988" s="17" t="str">
        <x:v>U00982</x:v>
      </x:c>
      <x:c r="B988" s="18" t="n">
        <x:v>46274</x:v>
      </x:c>
      <x:c r="C988" s="17" t="str">
        <x:v>W0094</x:v>
      </x:c>
      <x:c r="D988" s="17" t="str">
        <x:v>C002</x:v>
      </x:c>
      <x:c r="E988" s="17" t="str">
        <x:v>CopyStudio</x:v>
      </x:c>
      <x:c r="F988" s="17" t="str">
        <x:v>Lite</x:v>
      </x:c>
      <x:c r="G988" s="21" t="n">
        <x:v>55685</x:v>
      </x:c>
      <x:c r="H988" s="21" t="n">
        <x:v>6709</x:v>
      </x:c>
      <x:c r="I988" s="17" t="str">
        <x:v>Followup</x:v>
      </x:c>
    </x:row>
    <x:row r="989" ht="23" customHeight="1">
      <x:c r="A989" s="17" t="str">
        <x:v>U00983</x:v>
      </x:c>
      <x:c r="B989" s="18" t="n">
        <x:v>46274</x:v>
      </x:c>
      <x:c r="C989" s="17" t="str">
        <x:v>W0094</x:v>
      </x:c>
      <x:c r="D989" s="17" t="str">
        <x:v>C002</x:v>
      </x:c>
      <x:c r="E989" s="17" t="str">
        <x:v>CopyStudio</x:v>
      </x:c>
      <x:c r="F989" s="17" t="str">
        <x:v>Lite</x:v>
      </x:c>
      <x:c r="G989" s="21" t="n">
        <x:v>51330</x:v>
      </x:c>
      <x:c r="H989" s="21" t="n">
        <x:v>6703</x:v>
      </x:c>
      <x:c r="I989" s="17" t="str">
        <x:v>Followup</x:v>
      </x:c>
    </x:row>
    <x:row r="990" ht="23" customHeight="1">
      <x:c r="A990" s="17" t="str">
        <x:v>U00984</x:v>
      </x:c>
      <x:c r="B990" s="18" t="n">
        <x:v>46275</x:v>
      </x:c>
      <x:c r="C990" s="17" t="str">
        <x:v>W0094</x:v>
      </x:c>
      <x:c r="D990" s="17" t="str">
        <x:v>C002</x:v>
      </x:c>
      <x:c r="E990" s="17" t="str">
        <x:v>CopyStudio</x:v>
      </x:c>
      <x:c r="F990" s="17" t="str">
        <x:v>Lite</x:v>
      </x:c>
      <x:c r="G990" s="21" t="n">
        <x:v>31973</x:v>
      </x:c>
      <x:c r="H990" s="21" t="n">
        <x:v>5426</x:v>
      </x:c>
      <x:c r="I990" s="17" t="str">
        <x:v>Followup</x:v>
      </x:c>
    </x:row>
    <x:row r="991" ht="23" customHeight="1">
      <x:c r="A991" s="17" t="str">
        <x:v>U00985</x:v>
      </x:c>
      <x:c r="B991" s="18" t="n">
        <x:v>46275</x:v>
      </x:c>
      <x:c r="C991" s="17" t="str">
        <x:v>W0094</x:v>
      </x:c>
      <x:c r="D991" s="17" t="str">
        <x:v>C002</x:v>
      </x:c>
      <x:c r="E991" s="17" t="str">
        <x:v>CopyStudio</x:v>
      </x:c>
      <x:c r="F991" s="17" t="str">
        <x:v>Lite</x:v>
      </x:c>
      <x:c r="G991" s="21" t="n">
        <x:v>36216</x:v>
      </x:c>
      <x:c r="H991" s="21" t="n">
        <x:v>8141</x:v>
      </x:c>
      <x:c r="I991" s="17" t="str">
        <x:v>Followup</x:v>
      </x:c>
    </x:row>
    <x:row r="992" ht="23" customHeight="1">
      <x:c r="A992" s="17" t="str">
        <x:v>U00986</x:v>
      </x:c>
      <x:c r="B992" s="18" t="n">
        <x:v>46275</x:v>
      </x:c>
      <x:c r="C992" s="17" t="str">
        <x:v>W0094</x:v>
      </x:c>
      <x:c r="D992" s="17" t="str">
        <x:v>C002</x:v>
      </x:c>
      <x:c r="E992" s="17" t="str">
        <x:v>CopyStudio</x:v>
      </x:c>
      <x:c r="F992" s="17" t="str">
        <x:v>Lite</x:v>
      </x:c>
      <x:c r="G992" s="21" t="n">
        <x:v>39646</x:v>
      </x:c>
      <x:c r="H992" s="21" t="n">
        <x:v>7907</x:v>
      </x:c>
      <x:c r="I992" s="17" t="str">
        <x:v>Correction</x:v>
      </x:c>
    </x:row>
    <x:row r="993" ht="23" customHeight="1">
      <x:c r="A993" s="17" t="str">
        <x:v>U00987</x:v>
      </x:c>
      <x:c r="B993" s="18" t="n">
        <x:v>46275</x:v>
      </x:c>
      <x:c r="C993" s="17" t="str">
        <x:v>W0094</x:v>
      </x:c>
      <x:c r="D993" s="17" t="str">
        <x:v>C002</x:v>
      </x:c>
      <x:c r="E993" s="17" t="str">
        <x:v>CopyStudio</x:v>
      </x:c>
      <x:c r="F993" s="17" t="str">
        <x:v>Lite</x:v>
      </x:c>
      <x:c r="G993" s="21" t="n">
        <x:v>25544</x:v>
      </x:c>
      <x:c r="H993" s="21" t="n">
        <x:v>5846</x:v>
      </x:c>
      <x:c r="I993" s="17" t="str">
        <x:v>Followup</x:v>
      </x:c>
    </x:row>
    <x:row r="994" ht="23" customHeight="1">
      <x:c r="A994" s="17" t="str">
        <x:v>U00988</x:v>
      </x:c>
      <x:c r="B994" s="18" t="n">
        <x:v>46275</x:v>
      </x:c>
      <x:c r="C994" s="17" t="str">
        <x:v>W0094</x:v>
      </x:c>
      <x:c r="D994" s="17" t="str">
        <x:v>C002</x:v>
      </x:c>
      <x:c r="E994" s="17" t="str">
        <x:v>CopyStudio</x:v>
      </x:c>
      <x:c r="F994" s="17" t="str">
        <x:v>Lite</x:v>
      </x:c>
      <x:c r="G994" s="21" t="n">
        <x:v>26511</x:v>
      </x:c>
      <x:c r="H994" s="21" t="n">
        <x:v>7474</x:v>
      </x:c>
      <x:c r="I994" s="17" t="str">
        <x:v>Correction</x:v>
      </x:c>
    </x:row>
    <x:row r="995" ht="23" customHeight="1">
      <x:c r="A995" s="17" t="str">
        <x:v>U00989</x:v>
      </x:c>
      <x:c r="B995" s="18" t="n">
        <x:v>46275</x:v>
      </x:c>
      <x:c r="C995" s="17" t="str">
        <x:v>W0094</x:v>
      </x:c>
      <x:c r="D995" s="17" t="str">
        <x:v>C002</x:v>
      </x:c>
      <x:c r="E995" s="17" t="str">
        <x:v>CopyStudio</x:v>
      </x:c>
      <x:c r="F995" s="17" t="str">
        <x:v>Lite</x:v>
      </x:c>
      <x:c r="G995" s="21" t="n">
        <x:v>47199</x:v>
      </x:c>
      <x:c r="H995" s="21" t="n">
        <x:v>4133</x:v>
      </x:c>
      <x:c r="I995" s="17" t="str">
        <x:v>Followup</x:v>
      </x:c>
    </x:row>
    <x:row r="996" ht="23" customHeight="1">
      <x:c r="A996" s="17" t="str">
        <x:v>U00990</x:v>
      </x:c>
      <x:c r="B996" s="18" t="n">
        <x:v>46268</x:v>
      </x:c>
      <x:c r="C996" s="17" t="str">
        <x:v>W0099</x:v>
      </x:c>
      <x:c r="D996" s="17" t="str">
        <x:v>C002</x:v>
      </x:c>
      <x:c r="E996" s="17" t="str">
        <x:v>InsightDesk</x:v>
      </x:c>
      <x:c r="F996" s="17" t="str">
        <x:v>Lite</x:v>
      </x:c>
      <x:c r="G996" s="21" t="n">
        <x:v>42890</x:v>
      </x:c>
      <x:c r="H996" s="21" t="n">
        <x:v>5200</x:v>
      </x:c>
      <x:c r="I996" s="17" t="str">
        <x:v>First attempt</x:v>
      </x:c>
    </x:row>
    <x:row r="997" ht="23" customHeight="1">
      <x:c r="A997" s="17" t="str">
        <x:v>U00991</x:v>
      </x:c>
      <x:c r="B997" s="18" t="n">
        <x:v>46268</x:v>
      </x:c>
      <x:c r="C997" s="17" t="str">
        <x:v>W0099</x:v>
      </x:c>
      <x:c r="D997" s="17" t="str">
        <x:v>C002</x:v>
      </x:c>
      <x:c r="E997" s="17" t="str">
        <x:v>InsightDesk</x:v>
      </x:c>
      <x:c r="F997" s="17" t="str">
        <x:v>Lite</x:v>
      </x:c>
      <x:c r="G997" s="21" t="n">
        <x:v>47382</x:v>
      </x:c>
      <x:c r="H997" s="21" t="n">
        <x:v>5529</x:v>
      </x:c>
      <x:c r="I997" s="17" t="str">
        <x:v>Correction</x:v>
      </x:c>
    </x:row>
    <x:row r="998" ht="23" customHeight="1">
      <x:c r="A998" s="17" t="str">
        <x:v>U00992</x:v>
      </x:c>
      <x:c r="B998" s="18" t="n">
        <x:v>46268</x:v>
      </x:c>
      <x:c r="C998" s="17" t="str">
        <x:v>W0099</x:v>
      </x:c>
      <x:c r="D998" s="17" t="str">
        <x:v>C002</x:v>
      </x:c>
      <x:c r="E998" s="17" t="str">
        <x:v>InsightDesk</x:v>
      </x:c>
      <x:c r="F998" s="17" t="str">
        <x:v>Lite</x:v>
      </x:c>
      <x:c r="G998" s="21" t="n">
        <x:v>33831</x:v>
      </x:c>
      <x:c r="H998" s="21" t="n">
        <x:v>2548</x:v>
      </x:c>
      <x:c r="I998" s="17" t="str">
        <x:v>Followup</x:v>
      </x:c>
    </x:row>
    <x:row r="999" ht="23" customHeight="1">
      <x:c r="A999" s="17" t="str">
        <x:v>U00993</x:v>
      </x:c>
      <x:c r="B999" s="18" t="n">
        <x:v>46268</x:v>
      </x:c>
      <x:c r="C999" s="17" t="str">
        <x:v>W0099</x:v>
      </x:c>
      <x:c r="D999" s="17" t="str">
        <x:v>C002</x:v>
      </x:c>
      <x:c r="E999" s="17" t="str">
        <x:v>InsightDesk</x:v>
      </x:c>
      <x:c r="F999" s="17" t="str">
        <x:v>Lite</x:v>
      </x:c>
      <x:c r="G999" s="21" t="n">
        <x:v>43607</x:v>
      </x:c>
      <x:c r="H999" s="21" t="n">
        <x:v>3707</x:v>
      </x:c>
      <x:c r="I999" s="17" t="str">
        <x:v>Correction</x:v>
      </x:c>
    </x:row>
    <x:row r="1000" ht="23" customHeight="1">
      <x:c r="A1000" s="17" t="str">
        <x:v>U00994</x:v>
      </x:c>
      <x:c r="B1000" s="18" t="n">
        <x:v>46268</x:v>
      </x:c>
      <x:c r="C1000" s="17" t="str">
        <x:v>W0099</x:v>
      </x:c>
      <x:c r="D1000" s="17" t="str">
        <x:v>C002</x:v>
      </x:c>
      <x:c r="E1000" s="17" t="str">
        <x:v>InsightDesk</x:v>
      </x:c>
      <x:c r="F1000" s="17" t="str">
        <x:v>Lite</x:v>
      </x:c>
      <x:c r="G1000" s="21" t="n">
        <x:v>45891</x:v>
      </x:c>
      <x:c r="H1000" s="21" t="n">
        <x:v>1576</x:v>
      </x:c>
      <x:c r="I1000" s="17" t="str">
        <x:v>Correction</x:v>
      </x:c>
    </x:row>
    <x:row r="1001" ht="23" customHeight="1">
      <x:c r="A1001" s="17" t="str">
        <x:v>U00995</x:v>
      </x:c>
      <x:c r="B1001" s="18" t="n">
        <x:v>46269</x:v>
      </x:c>
      <x:c r="C1001" s="17" t="str">
        <x:v>W0099</x:v>
      </x:c>
      <x:c r="D1001" s="17" t="str">
        <x:v>C002</x:v>
      </x:c>
      <x:c r="E1001" s="17" t="str">
        <x:v>InsightDesk</x:v>
      </x:c>
      <x:c r="F1001" s="17" t="str">
        <x:v>Lite</x:v>
      </x:c>
      <x:c r="G1001" s="21" t="n">
        <x:v>28545</x:v>
      </x:c>
      <x:c r="H1001" s="21" t="n">
        <x:v>4059</x:v>
      </x:c>
      <x:c r="I1001" s="17" t="str">
        <x:v>Followup</x:v>
      </x:c>
    </x:row>
    <x:row r="1002" ht="23" customHeight="1">
      <x:c r="A1002" s="17" t="str">
        <x:v>U00996</x:v>
      </x:c>
      <x:c r="B1002" s="18" t="n">
        <x:v>46269</x:v>
      </x:c>
      <x:c r="C1002" s="17" t="str">
        <x:v>W0099</x:v>
      </x:c>
      <x:c r="D1002" s="17" t="str">
        <x:v>C002</x:v>
      </x:c>
      <x:c r="E1002" s="17" t="str">
        <x:v>InsightDesk</x:v>
      </x:c>
      <x:c r="F1002" s="17" t="str">
        <x:v>Lite</x:v>
      </x:c>
      <x:c r="G1002" s="21" t="n">
        <x:v>21969</x:v>
      </x:c>
      <x:c r="H1002" s="21" t="n">
        <x:v>5186</x:v>
      </x:c>
      <x:c r="I1002" s="17" t="str">
        <x:v>Followup</x:v>
      </x:c>
    </x:row>
    <x:row r="1003" ht="23" customHeight="1">
      <x:c r="A1003" s="17" t="str">
        <x:v>U00997</x:v>
      </x:c>
      <x:c r="B1003" s="18" t="n">
        <x:v>46269</x:v>
      </x:c>
      <x:c r="C1003" s="17" t="str">
        <x:v>W0099</x:v>
      </x:c>
      <x:c r="D1003" s="17" t="str">
        <x:v>C002</x:v>
      </x:c>
      <x:c r="E1003" s="17" t="str">
        <x:v>InsightDesk</x:v>
      </x:c>
      <x:c r="F1003" s="17" t="str">
        <x:v>Lite</x:v>
      </x:c>
      <x:c r="G1003" s="21" t="n">
        <x:v>30672</x:v>
      </x:c>
      <x:c r="H1003" s="21" t="n">
        <x:v>4495</x:v>
      </x:c>
      <x:c r="I1003" s="17" t="str">
        <x:v>Followup</x:v>
      </x:c>
    </x:row>
    <x:row r="1004" ht="23" customHeight="1">
      <x:c r="A1004" s="17" t="str">
        <x:v>U00998</x:v>
      </x:c>
      <x:c r="B1004" s="18" t="n">
        <x:v>46269</x:v>
      </x:c>
      <x:c r="C1004" s="17" t="str">
        <x:v>W0099</x:v>
      </x:c>
      <x:c r="D1004" s="17" t="str">
        <x:v>C002</x:v>
      </x:c>
      <x:c r="E1004" s="17" t="str">
        <x:v>InsightDesk</x:v>
      </x:c>
      <x:c r="F1004" s="17" t="str">
        <x:v>Lite</x:v>
      </x:c>
      <x:c r="G1004" s="21" t="n">
        <x:v>35917</x:v>
      </x:c>
      <x:c r="H1004" s="21" t="n">
        <x:v>4039</x:v>
      </x:c>
      <x:c r="I1004" s="17" t="str">
        <x:v>Correction</x:v>
      </x:c>
    </x:row>
    <x:row r="1005" ht="23" customHeight="1">
      <x:c r="A1005" s="17" t="str">
        <x:v>U00999</x:v>
      </x:c>
      <x:c r="B1005" s="18" t="n">
        <x:v>46273</x:v>
      </x:c>
      <x:c r="C1005" s="17" t="str">
        <x:v>W0099</x:v>
      </x:c>
      <x:c r="D1005" s="17" t="str">
        <x:v>C002</x:v>
      </x:c>
      <x:c r="E1005" s="17" t="str">
        <x:v>InsightDesk</x:v>
      </x:c>
      <x:c r="F1005" s="17" t="str">
        <x:v>Lite</x:v>
      </x:c>
      <x:c r="G1005" s="21" t="n">
        <x:v>44261</x:v>
      </x:c>
      <x:c r="H1005" s="21" t="n">
        <x:v>3894</x:v>
      </x:c>
      <x:c r="I1005" s="17" t="str">
        <x:v>Followup</x:v>
      </x:c>
    </x:row>
    <x:row r="1006" ht="23" customHeight="1">
      <x:c r="A1006" s="17" t="str">
        <x:v>U01000</x:v>
      </x:c>
      <x:c r="B1006" s="18" t="n">
        <x:v>46273</x:v>
      </x:c>
      <x:c r="C1006" s="17" t="str">
        <x:v>W0099</x:v>
      </x:c>
      <x:c r="D1006" s="17" t="str">
        <x:v>C002</x:v>
      </x:c>
      <x:c r="E1006" s="17" t="str">
        <x:v>InsightDesk</x:v>
      </x:c>
      <x:c r="F1006" s="17" t="str">
        <x:v>Lite</x:v>
      </x:c>
      <x:c r="G1006" s="21" t="n">
        <x:v>41590</x:v>
      </x:c>
      <x:c r="H1006" s="21" t="n">
        <x:v>4561</x:v>
      </x:c>
      <x:c r="I1006" s="17" t="str">
        <x:v>Followup</x:v>
      </x:c>
    </x:row>
    <x:row r="1007" ht="23" customHeight="1">
      <x:c r="A1007" s="17" t="str">
        <x:v>U01001</x:v>
      </x:c>
      <x:c r="B1007" s="18" t="n">
        <x:v>46273</x:v>
      </x:c>
      <x:c r="C1007" s="17" t="str">
        <x:v>W0099</x:v>
      </x:c>
      <x:c r="D1007" s="17" t="str">
        <x:v>C002</x:v>
      </x:c>
      <x:c r="E1007" s="17" t="str">
        <x:v>InsightDesk</x:v>
      </x:c>
      <x:c r="F1007" s="17" t="str">
        <x:v>Lite</x:v>
      </x:c>
      <x:c r="G1007" s="21" t="n">
        <x:v>29977</x:v>
      </x:c>
      <x:c r="H1007" s="21" t="n">
        <x:v>4509</x:v>
      </x:c>
      <x:c r="I1007" s="17" t="str">
        <x:v>Followup</x:v>
      </x:c>
    </x:row>
    <x:row r="1008" ht="23" customHeight="1">
      <x:c r="A1008" s="17" t="str">
        <x:v>U01002</x:v>
      </x:c>
      <x:c r="B1008" s="18" t="n">
        <x:v>46273</x:v>
      </x:c>
      <x:c r="C1008" s="17" t="str">
        <x:v>W0099</x:v>
      </x:c>
      <x:c r="D1008" s="17" t="str">
        <x:v>C002</x:v>
      </x:c>
      <x:c r="E1008" s="17" t="str">
        <x:v>InsightDesk</x:v>
      </x:c>
      <x:c r="F1008" s="17" t="str">
        <x:v>Lite</x:v>
      </x:c>
      <x:c r="G1008" s="21" t="n">
        <x:v>50445</x:v>
      </x:c>
      <x:c r="H1008" s="21" t="n">
        <x:v>3615</x:v>
      </x:c>
      <x:c r="I1008" s="17" t="str">
        <x:v>Correction</x:v>
      </x:c>
    </x:row>
    <x:row r="1009" ht="23" customHeight="1">
      <x:c r="A1009" s="17" t="str">
        <x:v>U01003</x:v>
      </x:c>
      <x:c r="B1009" s="18" t="n">
        <x:v>46274</x:v>
      </x:c>
      <x:c r="C1009" s="17" t="str">
        <x:v>W0099</x:v>
      </x:c>
      <x:c r="D1009" s="17" t="str">
        <x:v>C002</x:v>
      </x:c>
      <x:c r="E1009" s="17" t="str">
        <x:v>InsightDesk</x:v>
      </x:c>
      <x:c r="F1009" s="17" t="str">
        <x:v>Lite</x:v>
      </x:c>
      <x:c r="G1009" s="21" t="n">
        <x:v>19330</x:v>
      </x:c>
      <x:c r="H1009" s="21" t="n">
        <x:v>2220</x:v>
      </x:c>
      <x:c r="I1009" s="17" t="str">
        <x:v>Followup</x:v>
      </x:c>
    </x:row>
    <x:row r="1010" ht="23" customHeight="1">
      <x:c r="A1010" s="17" t="str">
        <x:v>U01004</x:v>
      </x:c>
      <x:c r="B1010" s="18" t="n">
        <x:v>46274</x:v>
      </x:c>
      <x:c r="C1010" s="17" t="str">
        <x:v>W0099</x:v>
      </x:c>
      <x:c r="D1010" s="17" t="str">
        <x:v>C002</x:v>
      </x:c>
      <x:c r="E1010" s="17" t="str">
        <x:v>InsightDesk</x:v>
      </x:c>
      <x:c r="F1010" s="17" t="str">
        <x:v>Lite</x:v>
      </x:c>
      <x:c r="G1010" s="21" t="n">
        <x:v>48091</x:v>
      </x:c>
      <x:c r="H1010" s="21" t="n">
        <x:v>2178</x:v>
      </x:c>
      <x:c r="I1010" s="17" t="str">
        <x:v>Followup</x:v>
      </x:c>
    </x:row>
    <x:row r="1011" ht="23" customHeight="1">
      <x:c r="A1011" s="17" t="str">
        <x:v>U01005</x:v>
      </x:c>
      <x:c r="B1011" s="18" t="n">
        <x:v>46274</x:v>
      </x:c>
      <x:c r="C1011" s="17" t="str">
        <x:v>W0099</x:v>
      </x:c>
      <x:c r="D1011" s="17" t="str">
        <x:v>C002</x:v>
      </x:c>
      <x:c r="E1011" s="17" t="str">
        <x:v>InsightDesk</x:v>
      </x:c>
      <x:c r="F1011" s="17" t="str">
        <x:v>Lite</x:v>
      </x:c>
      <x:c r="G1011" s="21" t="n">
        <x:v>38804</x:v>
      </x:c>
      <x:c r="H1011" s="21" t="n">
        <x:v>4984</x:v>
      </x:c>
      <x:c r="I1011" s="17" t="str">
        <x:v>Followup</x:v>
      </x:c>
    </x:row>
    <x:row r="1012" ht="23" customHeight="1">
      <x:c r="A1012" s="17" t="str">
        <x:v>U01006</x:v>
      </x:c>
      <x:c r="B1012" s="18" t="n">
        <x:v>46274</x:v>
      </x:c>
      <x:c r="C1012" s="17" t="str">
        <x:v>W0099</x:v>
      </x:c>
      <x:c r="D1012" s="17" t="str">
        <x:v>C002</x:v>
      </x:c>
      <x:c r="E1012" s="17" t="str">
        <x:v>InsightDesk</x:v>
      </x:c>
      <x:c r="F1012" s="17" t="str">
        <x:v>Lite</x:v>
      </x:c>
      <x:c r="G1012" s="21" t="n">
        <x:v>49308</x:v>
      </x:c>
      <x:c r="H1012" s="21" t="n">
        <x:v>2068</x:v>
      </x:c>
      <x:c r="I1012" s="17" t="str">
        <x:v>Followup</x:v>
      </x:c>
    </x:row>
    <x:row r="1013" ht="23" customHeight="1">
      <x:c r="A1013" s="17" t="str">
        <x:v>U01007</x:v>
      </x:c>
      <x:c r="B1013" s="18" t="n">
        <x:v>46274</x:v>
      </x:c>
      <x:c r="C1013" s="17" t="str">
        <x:v>W0102</x:v>
      </x:c>
      <x:c r="D1013" s="17" t="str">
        <x:v>C002</x:v>
      </x:c>
      <x:c r="E1013" s="17" t="str">
        <x:v>DataFlow</x:v>
      </x:c>
      <x:c r="F1013" s="17" t="str">
        <x:v>Lite</x:v>
      </x:c>
      <x:c r="G1013" s="21" t="n">
        <x:v>44478</x:v>
      </x:c>
      <x:c r="H1013" s="21" t="n">
        <x:v>4338</x:v>
      </x:c>
      <x:c r="I1013" s="17" t="str">
        <x:v>First attempt</x:v>
      </x:c>
    </x:row>
    <x:row r="1014" ht="23" customHeight="1">
      <x:c r="A1014" s="17" t="str">
        <x:v>U01008</x:v>
      </x:c>
      <x:c r="B1014" s="18" t="n">
        <x:v>46274</x:v>
      </x:c>
      <x:c r="C1014" s="17" t="str">
        <x:v>W0102</x:v>
      </x:c>
      <x:c r="D1014" s="17" t="str">
        <x:v>C002</x:v>
      </x:c>
      <x:c r="E1014" s="17" t="str">
        <x:v>DataFlow</x:v>
      </x:c>
      <x:c r="F1014" s="17" t="str">
        <x:v>Lite</x:v>
      </x:c>
      <x:c r="G1014" s="21" t="n">
        <x:v>35446</x:v>
      </x:c>
      <x:c r="H1014" s="21" t="n">
        <x:v>6100</x:v>
      </x:c>
      <x:c r="I1014" s="17" t="str">
        <x:v>Correction</x:v>
      </x:c>
    </x:row>
    <x:row r="1015" ht="23" customHeight="1">
      <x:c r="A1015" s="17" t="str">
        <x:v>U01009</x:v>
      </x:c>
      <x:c r="B1015" s="18" t="n">
        <x:v>46274</x:v>
      </x:c>
      <x:c r="C1015" s="17" t="str">
        <x:v>W0102</x:v>
      </x:c>
      <x:c r="D1015" s="17" t="str">
        <x:v>C002</x:v>
      </x:c>
      <x:c r="E1015" s="17" t="str">
        <x:v>DataFlow</x:v>
      </x:c>
      <x:c r="F1015" s="17" t="str">
        <x:v>Lite</x:v>
      </x:c>
      <x:c r="G1015" s="21" t="n">
        <x:v>23557</x:v>
      </x:c>
      <x:c r="H1015" s="21" t="n">
        <x:v>6641</x:v>
      </x:c>
      <x:c r="I1015" s="17" t="str">
        <x:v>Correction</x:v>
      </x:c>
    </x:row>
    <x:row r="1016" ht="23" customHeight="1">
      <x:c r="A1016" s="17" t="str">
        <x:v>U01010</x:v>
      </x:c>
      <x:c r="B1016" s="18" t="n">
        <x:v>46274</x:v>
      </x:c>
      <x:c r="C1016" s="17" t="str">
        <x:v>W0102</x:v>
      </x:c>
      <x:c r="D1016" s="17" t="str">
        <x:v>C002</x:v>
      </x:c>
      <x:c r="E1016" s="17" t="str">
        <x:v>DataFlow</x:v>
      </x:c>
      <x:c r="F1016" s="17" t="str">
        <x:v>Lite</x:v>
      </x:c>
      <x:c r="G1016" s="21" t="n">
        <x:v>40692</x:v>
      </x:c>
      <x:c r="H1016" s="21" t="n">
        <x:v>6536</x:v>
      </x:c>
      <x:c r="I1016" s="17" t="str">
        <x:v>Correction</x:v>
      </x:c>
    </x:row>
    <x:row r="1017" ht="23" customHeight="1">
      <x:c r="A1017" s="17" t="str">
        <x:v>U01011</x:v>
      </x:c>
      <x:c r="B1017" s="18" t="n">
        <x:v>46274</x:v>
      </x:c>
      <x:c r="C1017" s="17" t="str">
        <x:v>W0102</x:v>
      </x:c>
      <x:c r="D1017" s="17" t="str">
        <x:v>C002</x:v>
      </x:c>
      <x:c r="E1017" s="17" t="str">
        <x:v>DataFlow</x:v>
      </x:c>
      <x:c r="F1017" s="17" t="str">
        <x:v>Lite</x:v>
      </x:c>
      <x:c r="G1017" s="21" t="n">
        <x:v>26316</x:v>
      </x:c>
      <x:c r="H1017" s="21" t="n">
        <x:v>3960</x:v>
      </x:c>
      <x:c r="I1017" s="17" t="str">
        <x:v>Correction</x:v>
      </x:c>
    </x:row>
    <x:row r="1018" ht="23" customHeight="1">
      <x:c r="A1018" s="17" t="str">
        <x:v>U01012</x:v>
      </x:c>
      <x:c r="B1018" s="18" t="n">
        <x:v>46275</x:v>
      </x:c>
      <x:c r="C1018" s="17" t="str">
        <x:v>W0102</x:v>
      </x:c>
      <x:c r="D1018" s="17" t="str">
        <x:v>C002</x:v>
      </x:c>
      <x:c r="E1018" s="17" t="str">
        <x:v>DataFlow</x:v>
      </x:c>
      <x:c r="F1018" s="17" t="str">
        <x:v>Lite</x:v>
      </x:c>
      <x:c r="G1018" s="21" t="n">
        <x:v>36697</x:v>
      </x:c>
      <x:c r="H1018" s="21" t="n">
        <x:v>9745</x:v>
      </x:c>
      <x:c r="I1018" s="17" t="str">
        <x:v>Followup</x:v>
      </x:c>
    </x:row>
    <x:row r="1019" ht="23" customHeight="1">
      <x:c r="A1019" s="17" t="str">
        <x:v>U01013</x:v>
      </x:c>
      <x:c r="B1019" s="18" t="n">
        <x:v>46275</x:v>
      </x:c>
      <x:c r="C1019" s="17" t="str">
        <x:v>W0102</x:v>
      </x:c>
      <x:c r="D1019" s="17" t="str">
        <x:v>C002</x:v>
      </x:c>
      <x:c r="E1019" s="17" t="str">
        <x:v>DataFlow</x:v>
      </x:c>
      <x:c r="F1019" s="17" t="str">
        <x:v>Lite</x:v>
      </x:c>
      <x:c r="G1019" s="21" t="n">
        <x:v>42871</x:v>
      </x:c>
      <x:c r="H1019" s="21" t="n">
        <x:v>4441</x:v>
      </x:c>
      <x:c r="I1019" s="17" t="str">
        <x:v>Followup</x:v>
      </x:c>
    </x:row>
    <x:row r="1020" ht="23" customHeight="1">
      <x:c r="A1020" s="17" t="str">
        <x:v>U01014</x:v>
      </x:c>
      <x:c r="B1020" s="18" t="n">
        <x:v>46275</x:v>
      </x:c>
      <x:c r="C1020" s="17" t="str">
        <x:v>W0102</x:v>
      </x:c>
      <x:c r="D1020" s="17" t="str">
        <x:v>C002</x:v>
      </x:c>
      <x:c r="E1020" s="17" t="str">
        <x:v>DataFlow</x:v>
      </x:c>
      <x:c r="F1020" s="17" t="str">
        <x:v>Lite</x:v>
      </x:c>
      <x:c r="G1020" s="21" t="n">
        <x:v>46621</x:v>
      </x:c>
      <x:c r="H1020" s="21" t="n">
        <x:v>7697</x:v>
      </x:c>
      <x:c r="I1020" s="17" t="str">
        <x:v>Followup</x:v>
      </x:c>
    </x:row>
    <x:row r="1021" ht="23" customHeight="1">
      <x:c r="A1021" s="17" t="str">
        <x:v>U01015</x:v>
      </x:c>
      <x:c r="B1021" s="18" t="n">
        <x:v>46275</x:v>
      </x:c>
      <x:c r="C1021" s="17" t="str">
        <x:v>W0102</x:v>
      </x:c>
      <x:c r="D1021" s="17" t="str">
        <x:v>C002</x:v>
      </x:c>
      <x:c r="E1021" s="17" t="str">
        <x:v>DataFlow</x:v>
      </x:c>
      <x:c r="F1021" s="17" t="str">
        <x:v>Lite</x:v>
      </x:c>
      <x:c r="G1021" s="21" t="n">
        <x:v>28333</x:v>
      </x:c>
      <x:c r="H1021" s="21" t="n">
        <x:v>7678</x:v>
      </x:c>
      <x:c r="I1021" s="17" t="str">
        <x:v>Followup</x:v>
      </x:c>
    </x:row>
    <x:row r="1022" ht="23" customHeight="1">
      <x:c r="A1022" s="17" t="str">
        <x:v>U01016</x:v>
      </x:c>
      <x:c r="B1022" s="18" t="n">
        <x:v>46276</x:v>
      </x:c>
      <x:c r="C1022" s="17" t="str">
        <x:v>W0102</x:v>
      </x:c>
      <x:c r="D1022" s="17" t="str">
        <x:v>C002</x:v>
      </x:c>
      <x:c r="E1022" s="17" t="str">
        <x:v>DataFlow</x:v>
      </x:c>
      <x:c r="F1022" s="17" t="str">
        <x:v>Lite</x:v>
      </x:c>
      <x:c r="G1022" s="21" t="n">
        <x:v>47023</x:v>
      </x:c>
      <x:c r="H1022" s="21" t="n">
        <x:v>7329</x:v>
      </x:c>
      <x:c r="I1022" s="17" t="str">
        <x:v>Correction</x:v>
      </x:c>
    </x:row>
    <x:row r="1023" ht="23" customHeight="1">
      <x:c r="A1023" s="17" t="str">
        <x:v>U01017</x:v>
      </x:c>
      <x:c r="B1023" s="18" t="n">
        <x:v>46276</x:v>
      </x:c>
      <x:c r="C1023" s="17" t="str">
        <x:v>W0102</x:v>
      </x:c>
      <x:c r="D1023" s="17" t="str">
        <x:v>C002</x:v>
      </x:c>
      <x:c r="E1023" s="17" t="str">
        <x:v>DataFlow</x:v>
      </x:c>
      <x:c r="F1023" s="17" t="str">
        <x:v>Lite</x:v>
      </x:c>
      <x:c r="G1023" s="21" t="n">
        <x:v>38905</x:v>
      </x:c>
      <x:c r="H1023" s="21" t="n">
        <x:v>6462</x:v>
      </x:c>
      <x:c r="I1023" s="17" t="str">
        <x:v>Correction</x:v>
      </x:c>
    </x:row>
    <x:row r="1024" ht="23" customHeight="1">
      <x:c r="A1024" s="17" t="str">
        <x:v>U01018</x:v>
      </x:c>
      <x:c r="B1024" s="18" t="n">
        <x:v>46276</x:v>
      </x:c>
      <x:c r="C1024" s="17" t="str">
        <x:v>W0102</x:v>
      </x:c>
      <x:c r="D1024" s="17" t="str">
        <x:v>C002</x:v>
      </x:c>
      <x:c r="E1024" s="17" t="str">
        <x:v>DataFlow</x:v>
      </x:c>
      <x:c r="F1024" s="17" t="str">
        <x:v>Lite</x:v>
      </x:c>
      <x:c r="G1024" s="21" t="n">
        <x:v>48244</x:v>
      </x:c>
      <x:c r="H1024" s="21" t="n">
        <x:v>8626</x:v>
      </x:c>
      <x:c r="I1024" s="17" t="str">
        <x:v>Correction</x:v>
      </x:c>
    </x:row>
    <x:row r="1025" ht="23" customHeight="1">
      <x:c r="A1025" s="17" t="str">
        <x:v>U01019</x:v>
      </x:c>
      <x:c r="B1025" s="18" t="n">
        <x:v>46276</x:v>
      </x:c>
      <x:c r="C1025" s="17" t="str">
        <x:v>W0102</x:v>
      </x:c>
      <x:c r="D1025" s="17" t="str">
        <x:v>C002</x:v>
      </x:c>
      <x:c r="E1025" s="17" t="str">
        <x:v>DataFlow</x:v>
      </x:c>
      <x:c r="F1025" s="17" t="str">
        <x:v>Lite</x:v>
      </x:c>
      <x:c r="G1025" s="21" t="n">
        <x:v>42355</x:v>
      </x:c>
      <x:c r="H1025" s="21" t="n">
        <x:v>7985</x:v>
      </x:c>
      <x:c r="I1025" s="17" t="str">
        <x:v>Followup</x:v>
      </x:c>
    </x:row>
    <x:row r="1026" ht="23" customHeight="1">
      <x:c r="A1026" s="17" t="str">
        <x:v>U01020</x:v>
      </x:c>
      <x:c r="B1026" s="18" t="n">
        <x:v>46276</x:v>
      </x:c>
      <x:c r="C1026" s="17" t="str">
        <x:v>W0102</x:v>
      </x:c>
      <x:c r="D1026" s="17" t="str">
        <x:v>C002</x:v>
      </x:c>
      <x:c r="E1026" s="17" t="str">
        <x:v>DataFlow</x:v>
      </x:c>
      <x:c r="F1026" s="17" t="str">
        <x:v>Lite</x:v>
      </x:c>
      <x:c r="G1026" s="21" t="n">
        <x:v>36510</x:v>
      </x:c>
      <x:c r="H1026" s="21" t="n">
        <x:v>10795</x:v>
      </x:c>
      <x:c r="I1026" s="17" t="str">
        <x:v>Correction</x:v>
      </x:c>
    </x:row>
    <x:row r="1027" ht="23" customHeight="1">
      <x:c r="A1027" s="17" t="str">
        <x:v>U01021</x:v>
      </x:c>
      <x:c r="B1027" s="18" t="n">
        <x:v>46279</x:v>
      </x:c>
      <x:c r="C1027" s="17" t="str">
        <x:v>W0102</x:v>
      </x:c>
      <x:c r="D1027" s="17" t="str">
        <x:v>C002</x:v>
      </x:c>
      <x:c r="E1027" s="17" t="str">
        <x:v>DataFlow</x:v>
      </x:c>
      <x:c r="F1027" s="17" t="str">
        <x:v>Lite</x:v>
      </x:c>
      <x:c r="G1027" s="21" t="n">
        <x:v>35376</x:v>
      </x:c>
      <x:c r="H1027" s="21" t="n">
        <x:v>8896</x:v>
      </x:c>
      <x:c r="I1027" s="17" t="str">
        <x:v>Correction</x:v>
      </x:c>
    </x:row>
    <x:row r="1028" ht="23" customHeight="1">
      <x:c r="A1028" s="17" t="str">
        <x:v>U01022</x:v>
      </x:c>
      <x:c r="B1028" s="18" t="n">
        <x:v>46279</x:v>
      </x:c>
      <x:c r="C1028" s="17" t="str">
        <x:v>W0102</x:v>
      </x:c>
      <x:c r="D1028" s="17" t="str">
        <x:v>C002</x:v>
      </x:c>
      <x:c r="E1028" s="17" t="str">
        <x:v>DataFlow</x:v>
      </x:c>
      <x:c r="F1028" s="17" t="str">
        <x:v>Lite</x:v>
      </x:c>
      <x:c r="G1028" s="21" t="n">
        <x:v>31319</x:v>
      </x:c>
      <x:c r="H1028" s="21" t="n">
        <x:v>3467</x:v>
      </x:c>
      <x:c r="I1028" s="17" t="str">
        <x:v>Followup</x:v>
      </x:c>
    </x:row>
    <x:row r="1029" ht="23" customHeight="1">
      <x:c r="A1029" s="17" t="str">
        <x:v>U01023</x:v>
      </x:c>
      <x:c r="B1029" s="18" t="n">
        <x:v>46279</x:v>
      </x:c>
      <x:c r="C1029" s="17" t="str">
        <x:v>W0102</x:v>
      </x:c>
      <x:c r="D1029" s="17" t="str">
        <x:v>C002</x:v>
      </x:c>
      <x:c r="E1029" s="17" t="str">
        <x:v>DataFlow</x:v>
      </x:c>
      <x:c r="F1029" s="17" t="str">
        <x:v>Lite</x:v>
      </x:c>
      <x:c r="G1029" s="21" t="n">
        <x:v>45921</x:v>
      </x:c>
      <x:c r="H1029" s="21" t="n">
        <x:v>4414</x:v>
      </x:c>
      <x:c r="I1029" s="17" t="str">
        <x:v>Followup</x:v>
      </x:c>
    </x:row>
    <x:row r="1030" ht="23" customHeight="1">
      <x:c r="A1030" s="17" t="str">
        <x:v>U01024</x:v>
      </x:c>
      <x:c r="B1030" s="18" t="n">
        <x:v>46279</x:v>
      </x:c>
      <x:c r="C1030" s="17" t="str">
        <x:v>W0102</x:v>
      </x:c>
      <x:c r="D1030" s="17" t="str">
        <x:v>C002</x:v>
      </x:c>
      <x:c r="E1030" s="17" t="str">
        <x:v>DataFlow</x:v>
      </x:c>
      <x:c r="F1030" s="17" t="str">
        <x:v>Lite</x:v>
      </x:c>
      <x:c r="G1030" s="21" t="n">
        <x:v>50950</x:v>
      </x:c>
      <x:c r="H1030" s="21" t="n">
        <x:v>10591</x:v>
      </x:c>
      <x:c r="I1030" s="17" t="str">
        <x:v>Followup</x:v>
      </x:c>
    </x:row>
    <x:row r="1031" ht="23" customHeight="1">
      <x:c r="A1031" s="17" t="str">
        <x:v>U01025</x:v>
      </x:c>
      <x:c r="B1031" s="18" t="n">
        <x:v>46267</x:v>
      </x:c>
      <x:c r="C1031" s="17" t="str">
        <x:v>W0104</x:v>
      </x:c>
      <x:c r="D1031" s="17" t="str">
        <x:v>C002</x:v>
      </x:c>
      <x:c r="E1031" s="17" t="str">
        <x:v>DataFlow</x:v>
      </x:c>
      <x:c r="F1031" s="17" t="str">
        <x:v>Lite</x:v>
      </x:c>
      <x:c r="G1031" s="21" t="n">
        <x:v>30399</x:v>
      </x:c>
      <x:c r="H1031" s="21" t="n">
        <x:v>2947</x:v>
      </x:c>
      <x:c r="I1031" s="17" t="str">
        <x:v>First attempt</x:v>
      </x:c>
    </x:row>
    <x:row r="1032" ht="23" customHeight="1">
      <x:c r="A1032" s="17" t="str">
        <x:v>U01026</x:v>
      </x:c>
      <x:c r="B1032" s="18" t="n">
        <x:v>46267</x:v>
      </x:c>
      <x:c r="C1032" s="17" t="str">
        <x:v>W0104</x:v>
      </x:c>
      <x:c r="D1032" s="17" t="str">
        <x:v>C002</x:v>
      </x:c>
      <x:c r="E1032" s="17" t="str">
        <x:v>DataFlow</x:v>
      </x:c>
      <x:c r="F1032" s="17" t="str">
        <x:v>Lite</x:v>
      </x:c>
      <x:c r="G1032" s="21" t="n">
        <x:v>42494</x:v>
      </x:c>
      <x:c r="H1032" s="21" t="n">
        <x:v>5537</x:v>
      </x:c>
      <x:c r="I1032" s="17" t="str">
        <x:v>Followup</x:v>
      </x:c>
    </x:row>
    <x:row r="1033" ht="23" customHeight="1">
      <x:c r="A1033" s="17" t="str">
        <x:v>U01027</x:v>
      </x:c>
      <x:c r="B1033" s="18" t="n">
        <x:v>46267</x:v>
      </x:c>
      <x:c r="C1033" s="17" t="str">
        <x:v>W0104</x:v>
      </x:c>
      <x:c r="D1033" s="17" t="str">
        <x:v>C002</x:v>
      </x:c>
      <x:c r="E1033" s="17" t="str">
        <x:v>DataFlow</x:v>
      </x:c>
      <x:c r="F1033" s="17" t="str">
        <x:v>Lite</x:v>
      </x:c>
      <x:c r="G1033" s="21" t="n">
        <x:v>20947</x:v>
      </x:c>
      <x:c r="H1033" s="21" t="n">
        <x:v>5264</x:v>
      </x:c>
      <x:c r="I1033" s="17" t="str">
        <x:v>Correction</x:v>
      </x:c>
    </x:row>
    <x:row r="1034" ht="23" customHeight="1">
      <x:c r="A1034" s="17" t="str">
        <x:v>U01028</x:v>
      </x:c>
      <x:c r="B1034" s="18" t="n">
        <x:v>46267</x:v>
      </x:c>
      <x:c r="C1034" s="17" t="str">
        <x:v>W0104</x:v>
      </x:c>
      <x:c r="D1034" s="17" t="str">
        <x:v>C002</x:v>
      </x:c>
      <x:c r="E1034" s="17" t="str">
        <x:v>DataFlow</x:v>
      </x:c>
      <x:c r="F1034" s="17" t="str">
        <x:v>Lite</x:v>
      </x:c>
      <x:c r="G1034" s="21" t="n">
        <x:v>44618</x:v>
      </x:c>
      <x:c r="H1034" s="21" t="n">
        <x:v>3578</x:v>
      </x:c>
      <x:c r="I1034" s="17" t="str">
        <x:v>Correction</x:v>
      </x:c>
    </x:row>
    <x:row r="1035" ht="23" customHeight="1">
      <x:c r="A1035" s="17" t="str">
        <x:v>U01029</x:v>
      </x:c>
      <x:c r="B1035" s="18" t="n">
        <x:v>46267</x:v>
      </x:c>
      <x:c r="C1035" s="17" t="str">
        <x:v>W0104</x:v>
      </x:c>
      <x:c r="D1035" s="17" t="str">
        <x:v>C002</x:v>
      </x:c>
      <x:c r="E1035" s="17" t="str">
        <x:v>DataFlow</x:v>
      </x:c>
      <x:c r="F1035" s="17" t="str">
        <x:v>Lite</x:v>
      </x:c>
      <x:c r="G1035" s="21" t="n">
        <x:v>19402</x:v>
      </x:c>
      <x:c r="H1035" s="21" t="n">
        <x:v>5459</x:v>
      </x:c>
      <x:c r="I1035" s="17" t="str">
        <x:v>Followup</x:v>
      </x:c>
    </x:row>
    <x:row r="1036" ht="23" customHeight="1">
      <x:c r="A1036" s="17" t="str">
        <x:v>U01030</x:v>
      </x:c>
      <x:c r="B1036" s="18" t="n">
        <x:v>46268</x:v>
      </x:c>
      <x:c r="C1036" s="17" t="str">
        <x:v>W0104</x:v>
      </x:c>
      <x:c r="D1036" s="17" t="str">
        <x:v>C002</x:v>
      </x:c>
      <x:c r="E1036" s="17" t="str">
        <x:v>DataFlow</x:v>
      </x:c>
      <x:c r="F1036" s="17" t="str">
        <x:v>Lite</x:v>
      </x:c>
      <x:c r="G1036" s="21" t="n">
        <x:v>16315</x:v>
      </x:c>
      <x:c r="H1036" s="21" t="n">
        <x:v>5420</x:v>
      </x:c>
      <x:c r="I1036" s="17" t="str">
        <x:v>Followup</x:v>
      </x:c>
    </x:row>
    <x:row r="1037" ht="23" customHeight="1">
      <x:c r="A1037" s="17" t="str">
        <x:v>U01031</x:v>
      </x:c>
      <x:c r="B1037" s="18" t="n">
        <x:v>46268</x:v>
      </x:c>
      <x:c r="C1037" s="17" t="str">
        <x:v>W0104</x:v>
      </x:c>
      <x:c r="D1037" s="17" t="str">
        <x:v>C002</x:v>
      </x:c>
      <x:c r="E1037" s="17" t="str">
        <x:v>DataFlow</x:v>
      </x:c>
      <x:c r="F1037" s="17" t="str">
        <x:v>Lite</x:v>
      </x:c>
      <x:c r="G1037" s="21" t="n">
        <x:v>46332</x:v>
      </x:c>
      <x:c r="H1037" s="21" t="n">
        <x:v>2276</x:v>
      </x:c>
      <x:c r="I1037" s="17" t="str">
        <x:v>Followup</x:v>
      </x:c>
    </x:row>
    <x:row r="1038" ht="23" customHeight="1">
      <x:c r="A1038" s="17" t="str">
        <x:v>U01032</x:v>
      </x:c>
      <x:c r="B1038" s="18" t="n">
        <x:v>46268</x:v>
      </x:c>
      <x:c r="C1038" s="17" t="str">
        <x:v>W0104</x:v>
      </x:c>
      <x:c r="D1038" s="17" t="str">
        <x:v>C002</x:v>
      </x:c>
      <x:c r="E1038" s="17" t="str">
        <x:v>DataFlow</x:v>
      </x:c>
      <x:c r="F1038" s="17" t="str">
        <x:v>Lite</x:v>
      </x:c>
      <x:c r="G1038" s="21" t="n">
        <x:v>45132</x:v>
      </x:c>
      <x:c r="H1038" s="21" t="n">
        <x:v>5918</x:v>
      </x:c>
      <x:c r="I1038" s="17" t="str">
        <x:v>Correction</x:v>
      </x:c>
    </x:row>
    <x:row r="1039" ht="23" customHeight="1">
      <x:c r="A1039" s="17" t="str">
        <x:v>U01033</x:v>
      </x:c>
      <x:c r="B1039" s="18" t="n">
        <x:v>46268</x:v>
      </x:c>
      <x:c r="C1039" s="17" t="str">
        <x:v>W0104</x:v>
      </x:c>
      <x:c r="D1039" s="17" t="str">
        <x:v>C002</x:v>
      </x:c>
      <x:c r="E1039" s="17" t="str">
        <x:v>DataFlow</x:v>
      </x:c>
      <x:c r="F1039" s="17" t="str">
        <x:v>Lite</x:v>
      </x:c>
      <x:c r="G1039" s="21" t="n">
        <x:v>29167</x:v>
      </x:c>
      <x:c r="H1039" s="21" t="n">
        <x:v>6237</x:v>
      </x:c>
      <x:c r="I1039" s="17" t="str">
        <x:v>Correction</x:v>
      </x:c>
    </x:row>
    <x:row r="1040" ht="23" customHeight="1">
      <x:c r="A1040" s="17" t="str">
        <x:v>U01034</x:v>
      </x:c>
      <x:c r="B1040" s="18" t="n">
        <x:v>46268</x:v>
      </x:c>
      <x:c r="C1040" s="17" t="str">
        <x:v>W0104</x:v>
      </x:c>
      <x:c r="D1040" s="17" t="str">
        <x:v>C002</x:v>
      </x:c>
      <x:c r="E1040" s="17" t="str">
        <x:v>DataFlow</x:v>
      </x:c>
      <x:c r="F1040" s="17" t="str">
        <x:v>Lite</x:v>
      </x:c>
      <x:c r="G1040" s="21" t="n">
        <x:v>27242</x:v>
      </x:c>
      <x:c r="H1040" s="21" t="n">
        <x:v>2993</x:v>
      </x:c>
      <x:c r="I1040" s="17" t="str">
        <x:v>Followup</x:v>
      </x:c>
    </x:row>
    <x:row r="1041" ht="23" customHeight="1">
      <x:c r="A1041" s="17" t="str">
        <x:v>U01035</x:v>
      </x:c>
      <x:c r="B1041" s="18" t="n">
        <x:v>46269</x:v>
      </x:c>
      <x:c r="C1041" s="17" t="str">
        <x:v>W0104</x:v>
      </x:c>
      <x:c r="D1041" s="17" t="str">
        <x:v>C002</x:v>
      </x:c>
      <x:c r="E1041" s="17" t="str">
        <x:v>DataFlow</x:v>
      </x:c>
      <x:c r="F1041" s="17" t="str">
        <x:v>Lite</x:v>
      </x:c>
      <x:c r="G1041" s="21" t="n">
        <x:v>20068</x:v>
      </x:c>
      <x:c r="H1041" s="21" t="n">
        <x:v>6738</x:v>
      </x:c>
      <x:c r="I1041" s="17" t="str">
        <x:v>Followup</x:v>
      </x:c>
    </x:row>
    <x:row r="1042" ht="23" customHeight="1">
      <x:c r="A1042" s="17" t="str">
        <x:v>U01036</x:v>
      </x:c>
      <x:c r="B1042" s="18" t="n">
        <x:v>46269</x:v>
      </x:c>
      <x:c r="C1042" s="17" t="str">
        <x:v>W0104</x:v>
      </x:c>
      <x:c r="D1042" s="17" t="str">
        <x:v>C002</x:v>
      </x:c>
      <x:c r="E1042" s="17" t="str">
        <x:v>DataFlow</x:v>
      </x:c>
      <x:c r="F1042" s="17" t="str">
        <x:v>Lite</x:v>
      </x:c>
      <x:c r="G1042" s="21" t="n">
        <x:v>39357</x:v>
      </x:c>
      <x:c r="H1042" s="21" t="n">
        <x:v>5052</x:v>
      </x:c>
      <x:c r="I1042" s="17" t="str">
        <x:v>Followup</x:v>
      </x:c>
    </x:row>
    <x:row r="1043" ht="23" customHeight="1">
      <x:c r="A1043" s="17" t="str">
        <x:v>U01037</x:v>
      </x:c>
      <x:c r="B1043" s="18" t="n">
        <x:v>46269</x:v>
      </x:c>
      <x:c r="C1043" s="17" t="str">
        <x:v>W0104</x:v>
      </x:c>
      <x:c r="D1043" s="17" t="str">
        <x:v>C002</x:v>
      </x:c>
      <x:c r="E1043" s="17" t="str">
        <x:v>DataFlow</x:v>
      </x:c>
      <x:c r="F1043" s="17" t="str">
        <x:v>Lite</x:v>
      </x:c>
      <x:c r="G1043" s="21" t="n">
        <x:v>20726</x:v>
      </x:c>
      <x:c r="H1043" s="21" t="n">
        <x:v>3772</x:v>
      </x:c>
      <x:c r="I1043" s="17" t="str">
        <x:v>Followup</x:v>
      </x:c>
    </x:row>
    <x:row r="1044" ht="23" customHeight="1">
      <x:c r="A1044" s="17" t="str">
        <x:v>U01038</x:v>
      </x:c>
      <x:c r="B1044" s="18" t="n">
        <x:v>46269</x:v>
      </x:c>
      <x:c r="C1044" s="17" t="str">
        <x:v>W0104</x:v>
      </x:c>
      <x:c r="D1044" s="17" t="str">
        <x:v>C002</x:v>
      </x:c>
      <x:c r="E1044" s="17" t="str">
        <x:v>DataFlow</x:v>
      </x:c>
      <x:c r="F1044" s="17" t="str">
        <x:v>Lite</x:v>
      </x:c>
      <x:c r="G1044" s="21" t="n">
        <x:v>35399</x:v>
      </x:c>
      <x:c r="H1044" s="21" t="n">
        <x:v>6550</x:v>
      </x:c>
      <x:c r="I1044" s="17" t="str">
        <x:v>Followup</x:v>
      </x:c>
    </x:row>
    <x:row r="1045" ht="23" customHeight="1">
      <x:c r="A1045" s="17" t="str">
        <x:v>U01039</x:v>
      </x:c>
      <x:c r="B1045" s="18" t="n">
        <x:v>46269</x:v>
      </x:c>
      <x:c r="C1045" s="17" t="str">
        <x:v>W0104</x:v>
      </x:c>
      <x:c r="D1045" s="17" t="str">
        <x:v>C002</x:v>
      </x:c>
      <x:c r="E1045" s="17" t="str">
        <x:v>DataFlow</x:v>
      </x:c>
      <x:c r="F1045" s="17" t="str">
        <x:v>Lite</x:v>
      </x:c>
      <x:c r="G1045" s="21" t="n">
        <x:v>47741</x:v>
      </x:c>
      <x:c r="H1045" s="21" t="n">
        <x:v>2820</x:v>
      </x:c>
      <x:c r="I1045" s="17" t="str">
        <x:v>Correction</x:v>
      </x:c>
    </x:row>
    <x:row r="1046" ht="23" customHeight="1">
      <x:c r="A1046" s="17" t="str">
        <x:v>U01040</x:v>
      </x:c>
      <x:c r="B1046" s="18" t="n">
        <x:v>46273</x:v>
      </x:c>
      <x:c r="C1046" s="17" t="str">
        <x:v>W0104</x:v>
      </x:c>
      <x:c r="D1046" s="17" t="str">
        <x:v>C002</x:v>
      </x:c>
      <x:c r="E1046" s="17" t="str">
        <x:v>DataFlow</x:v>
      </x:c>
      <x:c r="F1046" s="17" t="str">
        <x:v>Lite</x:v>
      </x:c>
      <x:c r="G1046" s="21" t="n">
        <x:v>16116</x:v>
      </x:c>
      <x:c r="H1046" s="21" t="n">
        <x:v>2553</x:v>
      </x:c>
      <x:c r="I1046" s="17" t="str">
        <x:v>Followup</x:v>
      </x:c>
    </x:row>
    <x:row r="1047" ht="23" customHeight="1">
      <x:c r="A1047" s="17" t="str">
        <x:v>U01041</x:v>
      </x:c>
      <x:c r="B1047" s="18" t="n">
        <x:v>46273</x:v>
      </x:c>
      <x:c r="C1047" s="17" t="str">
        <x:v>W0104</x:v>
      </x:c>
      <x:c r="D1047" s="17" t="str">
        <x:v>C002</x:v>
      </x:c>
      <x:c r="E1047" s="17" t="str">
        <x:v>DataFlow</x:v>
      </x:c>
      <x:c r="F1047" s="17" t="str">
        <x:v>Lite</x:v>
      </x:c>
      <x:c r="G1047" s="21" t="n">
        <x:v>22680</x:v>
      </x:c>
      <x:c r="H1047" s="21" t="n">
        <x:v>2947</x:v>
      </x:c>
      <x:c r="I1047" s="17" t="str">
        <x:v>Correction</x:v>
      </x:c>
    </x:row>
    <x:row r="1048" ht="23" customHeight="1">
      <x:c r="A1048" s="17" t="str">
        <x:v>U01042</x:v>
      </x:c>
      <x:c r="B1048" s="18" t="n">
        <x:v>46273</x:v>
      </x:c>
      <x:c r="C1048" s="17" t="str">
        <x:v>W0104</x:v>
      </x:c>
      <x:c r="D1048" s="17" t="str">
        <x:v>C002</x:v>
      </x:c>
      <x:c r="E1048" s="17" t="str">
        <x:v>DataFlow</x:v>
      </x:c>
      <x:c r="F1048" s="17" t="str">
        <x:v>Lite</x:v>
      </x:c>
      <x:c r="G1048" s="21" t="n">
        <x:v>16159</x:v>
      </x:c>
      <x:c r="H1048" s="21" t="n">
        <x:v>2265</x:v>
      </x:c>
      <x:c r="I1048" s="17" t="str">
        <x:v>Followup</x:v>
      </x:c>
    </x:row>
    <x:row r="1049" ht="23" customHeight="1">
      <x:c r="A1049" s="17" t="str">
        <x:v>U01043</x:v>
      </x:c>
      <x:c r="B1049" s="18" t="n">
        <x:v>46273</x:v>
      </x:c>
      <x:c r="C1049" s="17" t="str">
        <x:v>W0104</x:v>
      </x:c>
      <x:c r="D1049" s="17" t="str">
        <x:v>C002</x:v>
      </x:c>
      <x:c r="E1049" s="17" t="str">
        <x:v>DataFlow</x:v>
      </x:c>
      <x:c r="F1049" s="17" t="str">
        <x:v>Lite</x:v>
      </x:c>
      <x:c r="G1049" s="21" t="n">
        <x:v>36282</x:v>
      </x:c>
      <x:c r="H1049" s="21" t="n">
        <x:v>5514</x:v>
      </x:c>
      <x:c r="I1049" s="17" t="str">
        <x:v>Correction</x:v>
      </x:c>
    </x:row>
    <x:row r="1050" ht="23" customHeight="1">
      <x:c r="A1050" s="17" t="str">
        <x:v>U01044</x:v>
      </x:c>
      <x:c r="B1050" s="18" t="n">
        <x:v>46279</x:v>
      </x:c>
      <x:c r="C1050" s="17" t="str">
        <x:v>W0105</x:v>
      </x:c>
      <x:c r="D1050" s="17" t="str">
        <x:v>C002</x:v>
      </x:c>
      <x:c r="E1050" s="17" t="str">
        <x:v>CopyStudio</x:v>
      </x:c>
      <x:c r="F1050" s="17" t="str">
        <x:v>Lite</x:v>
      </x:c>
      <x:c r="G1050" s="21" t="n">
        <x:v>18964</x:v>
      </x:c>
      <x:c r="H1050" s="21" t="n">
        <x:v>3964</x:v>
      </x:c>
      <x:c r="I1050" s="17" t="str">
        <x:v>First attempt</x:v>
      </x:c>
    </x:row>
    <x:row r="1051" ht="23" customHeight="1">
      <x:c r="A1051" s="17" t="str">
        <x:v>U01045</x:v>
      </x:c>
      <x:c r="B1051" s="18" t="n">
        <x:v>46279</x:v>
      </x:c>
      <x:c r="C1051" s="17" t="str">
        <x:v>W0105</x:v>
      </x:c>
      <x:c r="D1051" s="17" t="str">
        <x:v>C002</x:v>
      </x:c>
      <x:c r="E1051" s="17" t="str">
        <x:v>CopyStudio</x:v>
      </x:c>
      <x:c r="F1051" s="17" t="str">
        <x:v>Lite</x:v>
      </x:c>
      <x:c r="G1051" s="21" t="n">
        <x:v>26986</x:v>
      </x:c>
      <x:c r="H1051" s="21" t="n">
        <x:v>7739</x:v>
      </x:c>
      <x:c r="I1051" s="17" t="str">
        <x:v>Followup</x:v>
      </x:c>
    </x:row>
    <x:row r="1052" ht="23" customHeight="1">
      <x:c r="A1052" s="17" t="str">
        <x:v>U01046</x:v>
      </x:c>
      <x:c r="B1052" s="18" t="n">
        <x:v>46279</x:v>
      </x:c>
      <x:c r="C1052" s="17" t="str">
        <x:v>W0105</x:v>
      </x:c>
      <x:c r="D1052" s="17" t="str">
        <x:v>C002</x:v>
      </x:c>
      <x:c r="E1052" s="17" t="str">
        <x:v>CopyStudio</x:v>
      </x:c>
      <x:c r="F1052" s="17" t="str">
        <x:v>Lite</x:v>
      </x:c>
      <x:c r="G1052" s="21" t="n">
        <x:v>31871</x:v>
      </x:c>
      <x:c r="H1052" s="21" t="n">
        <x:v>6985</x:v>
      </x:c>
      <x:c r="I1052" s="17" t="str">
        <x:v>Followup</x:v>
      </x:c>
    </x:row>
    <x:row r="1053" ht="23" customHeight="1">
      <x:c r="A1053" s="17" t="str">
        <x:v>U01047</x:v>
      </x:c>
      <x:c r="B1053" s="18" t="n">
        <x:v>46279</x:v>
      </x:c>
      <x:c r="C1053" s="17" t="str">
        <x:v>W0105</x:v>
      </x:c>
      <x:c r="D1053" s="17" t="str">
        <x:v>C002</x:v>
      </x:c>
      <x:c r="E1053" s="17" t="str">
        <x:v>CopyStudio</x:v>
      </x:c>
      <x:c r="F1053" s="17" t="str">
        <x:v>Lite</x:v>
      </x:c>
      <x:c r="G1053" s="21" t="n">
        <x:v>23450</x:v>
      </x:c>
      <x:c r="H1053" s="21" t="n">
        <x:v>7383</x:v>
      </x:c>
      <x:c r="I1053" s="17" t="str">
        <x:v>Followup</x:v>
      </x:c>
    </x:row>
    <x:row r="1054" ht="23" customHeight="1">
      <x:c r="A1054" s="17" t="str">
        <x:v>U01048</x:v>
      </x:c>
      <x:c r="B1054" s="18" t="n">
        <x:v>46279</x:v>
      </x:c>
      <x:c r="C1054" s="17" t="str">
        <x:v>W0105</x:v>
      </x:c>
      <x:c r="D1054" s="17" t="str">
        <x:v>C002</x:v>
      </x:c>
      <x:c r="E1054" s="17" t="str">
        <x:v>CopyStudio</x:v>
      </x:c>
      <x:c r="F1054" s="17" t="str">
        <x:v>Lite</x:v>
      </x:c>
      <x:c r="G1054" s="21" t="n">
        <x:v>35367</x:v>
      </x:c>
      <x:c r="H1054" s="21" t="n">
        <x:v>5831</x:v>
      </x:c>
      <x:c r="I1054" s="17" t="str">
        <x:v>Followup</x:v>
      </x:c>
    </x:row>
    <x:row r="1055" ht="23" customHeight="1">
      <x:c r="A1055" s="17" t="str">
        <x:v>U01049</x:v>
      </x:c>
      <x:c r="B1055" s="18" t="n">
        <x:v>46279</x:v>
      </x:c>
      <x:c r="C1055" s="17" t="str">
        <x:v>W0105</x:v>
      </x:c>
      <x:c r="D1055" s="17" t="str">
        <x:v>C002</x:v>
      </x:c>
      <x:c r="E1055" s="17" t="str">
        <x:v>CopyStudio</x:v>
      </x:c>
      <x:c r="F1055" s="17" t="str">
        <x:v>Lite</x:v>
      </x:c>
      <x:c r="G1055" s="21" t="n">
        <x:v>22438</x:v>
      </x:c>
      <x:c r="H1055" s="21" t="n">
        <x:v>3676</x:v>
      </x:c>
      <x:c r="I1055" s="17" t="str">
        <x:v>Correction</x:v>
      </x:c>
    </x:row>
    <x:row r="1056" ht="23" customHeight="1">
      <x:c r="A1056" s="17" t="str">
        <x:v>U01050</x:v>
      </x:c>
      <x:c r="B1056" s="18" t="n">
        <x:v>46280</x:v>
      </x:c>
      <x:c r="C1056" s="17" t="str">
        <x:v>W0105</x:v>
      </x:c>
      <x:c r="D1056" s="17" t="str">
        <x:v>C002</x:v>
      </x:c>
      <x:c r="E1056" s="17" t="str">
        <x:v>CopyStudio</x:v>
      </x:c>
      <x:c r="F1056" s="17" t="str">
        <x:v>Lite</x:v>
      </x:c>
      <x:c r="G1056" s="21" t="n">
        <x:v>26674</x:v>
      </x:c>
      <x:c r="H1056" s="21" t="n">
        <x:v>2199</x:v>
      </x:c>
      <x:c r="I1056" s="17" t="str">
        <x:v>Correction</x:v>
      </x:c>
    </x:row>
    <x:row r="1057" ht="23" customHeight="1">
      <x:c r="A1057" s="17" t="str">
        <x:v>U01051</x:v>
      </x:c>
      <x:c r="B1057" s="18" t="n">
        <x:v>46280</x:v>
      </x:c>
      <x:c r="C1057" s="17" t="str">
        <x:v>W0105</x:v>
      </x:c>
      <x:c r="D1057" s="17" t="str">
        <x:v>C002</x:v>
      </x:c>
      <x:c r="E1057" s="17" t="str">
        <x:v>CopyStudio</x:v>
      </x:c>
      <x:c r="F1057" s="17" t="str">
        <x:v>Lite</x:v>
      </x:c>
      <x:c r="G1057" s="21" t="n">
        <x:v>15830</x:v>
      </x:c>
      <x:c r="H1057" s="21" t="n">
        <x:v>5836</x:v>
      </x:c>
      <x:c r="I1057" s="17" t="str">
        <x:v>Correction</x:v>
      </x:c>
    </x:row>
    <x:row r="1058" ht="23" customHeight="1">
      <x:c r="A1058" s="17" t="str">
        <x:v>U01052</x:v>
      </x:c>
      <x:c r="B1058" s="18" t="n">
        <x:v>46280</x:v>
      </x:c>
      <x:c r="C1058" s="17" t="str">
        <x:v>W0105</x:v>
      </x:c>
      <x:c r="D1058" s="17" t="str">
        <x:v>C002</x:v>
      </x:c>
      <x:c r="E1058" s="17" t="str">
        <x:v>CopyStudio</x:v>
      </x:c>
      <x:c r="F1058" s="17" t="str">
        <x:v>Lite</x:v>
      </x:c>
      <x:c r="G1058" s="21" t="n">
        <x:v>38124</x:v>
      </x:c>
      <x:c r="H1058" s="21" t="n">
        <x:v>7650</x:v>
      </x:c>
      <x:c r="I1058" s="17" t="str">
        <x:v>Followup</x:v>
      </x:c>
    </x:row>
    <x:row r="1059" ht="23" customHeight="1">
      <x:c r="A1059" s="17" t="str">
        <x:v>U01053</x:v>
      </x:c>
      <x:c r="B1059" s="18" t="n">
        <x:v>46280</x:v>
      </x:c>
      <x:c r="C1059" s="17" t="str">
        <x:v>W0105</x:v>
      </x:c>
      <x:c r="D1059" s="17" t="str">
        <x:v>C002</x:v>
      </x:c>
      <x:c r="E1059" s="17" t="str">
        <x:v>CopyStudio</x:v>
      </x:c>
      <x:c r="F1059" s="17" t="str">
        <x:v>Lite</x:v>
      </x:c>
      <x:c r="G1059" s="21" t="n">
        <x:v>15558</x:v>
      </x:c>
      <x:c r="H1059" s="21" t="n">
        <x:v>6563</x:v>
      </x:c>
      <x:c r="I1059" s="17" t="str">
        <x:v>Followup</x:v>
      </x:c>
    </x:row>
    <x:row r="1060" ht="23" customHeight="1">
      <x:c r="A1060" s="17" t="str">
        <x:v>U01054</x:v>
      </x:c>
      <x:c r="B1060" s="18" t="n">
        <x:v>46280</x:v>
      </x:c>
      <x:c r="C1060" s="17" t="str">
        <x:v>W0105</x:v>
      </x:c>
      <x:c r="D1060" s="17" t="str">
        <x:v>C002</x:v>
      </x:c>
      <x:c r="E1060" s="17" t="str">
        <x:v>CopyStudio</x:v>
      </x:c>
      <x:c r="F1060" s="17" t="str">
        <x:v>Lite</x:v>
      </x:c>
      <x:c r="G1060" s="21" t="n">
        <x:v>16500</x:v>
      </x:c>
      <x:c r="H1060" s="21" t="n">
        <x:v>5228</x:v>
      </x:c>
      <x:c r="I1060" s="17" t="str">
        <x:v>Followup</x:v>
      </x:c>
    </x:row>
    <x:row r="1061" ht="23" customHeight="1">
      <x:c r="A1061" s="17" t="str">
        <x:v>U01055</x:v>
      </x:c>
      <x:c r="B1061" s="18" t="n">
        <x:v>46280</x:v>
      </x:c>
      <x:c r="C1061" s="17" t="str">
        <x:v>W0105</x:v>
      </x:c>
      <x:c r="D1061" s="17" t="str">
        <x:v>C002</x:v>
      </x:c>
      <x:c r="E1061" s="17" t="str">
        <x:v>CopyStudio</x:v>
      </x:c>
      <x:c r="F1061" s="17" t="str">
        <x:v>Lite</x:v>
      </x:c>
      <x:c r="G1061" s="21" t="n">
        <x:v>36931</x:v>
      </x:c>
      <x:c r="H1061" s="21" t="n">
        <x:v>2403</x:v>
      </x:c>
      <x:c r="I1061" s="17" t="str">
        <x:v>Followup</x:v>
      </x:c>
    </x:row>
    <x:row r="1062" ht="23" customHeight="1">
      <x:c r="A1062" s="17" t="str">
        <x:v>U01056</x:v>
      </x:c>
      <x:c r="B1062" s="18" t="n">
        <x:v>46281</x:v>
      </x:c>
      <x:c r="C1062" s="17" t="str">
        <x:v>W0105</x:v>
      </x:c>
      <x:c r="D1062" s="17" t="str">
        <x:v>C002</x:v>
      </x:c>
      <x:c r="E1062" s="17" t="str">
        <x:v>CopyStudio</x:v>
      </x:c>
      <x:c r="F1062" s="17" t="str">
        <x:v>Lite</x:v>
      </x:c>
      <x:c r="G1062" s="21" t="n">
        <x:v>22961</x:v>
      </x:c>
      <x:c r="H1062" s="21" t="n">
        <x:v>2196</x:v>
      </x:c>
      <x:c r="I1062" s="17" t="str">
        <x:v>Correction</x:v>
      </x:c>
    </x:row>
    <x:row r="1063" ht="23" customHeight="1">
      <x:c r="A1063" s="17" t="str">
        <x:v>U01057</x:v>
      </x:c>
      <x:c r="B1063" s="18" t="n">
        <x:v>46281</x:v>
      </x:c>
      <x:c r="C1063" s="17" t="str">
        <x:v>W0105</x:v>
      </x:c>
      <x:c r="D1063" s="17" t="str">
        <x:v>C002</x:v>
      </x:c>
      <x:c r="E1063" s="17" t="str">
        <x:v>CopyStudio</x:v>
      </x:c>
      <x:c r="F1063" s="17" t="str">
        <x:v>Lite</x:v>
      </x:c>
      <x:c r="G1063" s="21" t="n">
        <x:v>19035</x:v>
      </x:c>
      <x:c r="H1063" s="21" t="n">
        <x:v>5037</x:v>
      </x:c>
      <x:c r="I1063" s="17" t="str">
        <x:v>Followup</x:v>
      </x:c>
    </x:row>
    <x:row r="1064" ht="23" customHeight="1">
      <x:c r="A1064" s="17" t="str">
        <x:v>U01058</x:v>
      </x:c>
      <x:c r="B1064" s="18" t="n">
        <x:v>46281</x:v>
      </x:c>
      <x:c r="C1064" s="17" t="str">
        <x:v>W0105</x:v>
      </x:c>
      <x:c r="D1064" s="17" t="str">
        <x:v>C002</x:v>
      </x:c>
      <x:c r="E1064" s="17" t="str">
        <x:v>CopyStudio</x:v>
      </x:c>
      <x:c r="F1064" s="17" t="str">
        <x:v>Lite</x:v>
      </x:c>
      <x:c r="G1064" s="21" t="n">
        <x:v>18733</x:v>
      </x:c>
      <x:c r="H1064" s="21" t="n">
        <x:v>7100</x:v>
      </x:c>
      <x:c r="I1064" s="17" t="str">
        <x:v>Correction</x:v>
      </x:c>
    </x:row>
    <x:row r="1065" ht="23" customHeight="1">
      <x:c r="A1065" s="17" t="str">
        <x:v>U01059</x:v>
      </x:c>
      <x:c r="B1065" s="18" t="n">
        <x:v>46281</x:v>
      </x:c>
      <x:c r="C1065" s="17" t="str">
        <x:v>W0105</x:v>
      </x:c>
      <x:c r="D1065" s="17" t="str">
        <x:v>C002</x:v>
      </x:c>
      <x:c r="E1065" s="17" t="str">
        <x:v>CopyStudio</x:v>
      </x:c>
      <x:c r="F1065" s="17" t="str">
        <x:v>Lite</x:v>
      </x:c>
      <x:c r="G1065" s="21" t="n">
        <x:v>28951</x:v>
      </x:c>
      <x:c r="H1065" s="21" t="n">
        <x:v>6821</x:v>
      </x:c>
      <x:c r="I1065" s="17" t="str">
        <x:v>Correction</x:v>
      </x:c>
    </x:row>
    <x:row r="1066" ht="23" customHeight="1">
      <x:c r="A1066" s="17" t="str">
        <x:v>U01060</x:v>
      </x:c>
      <x:c r="B1066" s="18" t="n">
        <x:v>46281</x:v>
      </x:c>
      <x:c r="C1066" s="17" t="str">
        <x:v>W0105</x:v>
      </x:c>
      <x:c r="D1066" s="17" t="str">
        <x:v>C002</x:v>
      </x:c>
      <x:c r="E1066" s="17" t="str">
        <x:v>CopyStudio</x:v>
      </x:c>
      <x:c r="F1066" s="17" t="str">
        <x:v>Lite</x:v>
      </x:c>
      <x:c r="G1066" s="21" t="n">
        <x:v>35928</x:v>
      </x:c>
      <x:c r="H1066" s="21" t="n">
        <x:v>3584</x:v>
      </x:c>
      <x:c r="I1066" s="17" t="str">
        <x:v>Correction</x:v>
      </x:c>
    </x:row>
    <x:row r="1067" ht="23" customHeight="1">
      <x:c r="A1067" s="17" t="str">
        <x:v>U01061</x:v>
      </x:c>
      <x:c r="B1067" s="18" t="n">
        <x:v>46281</x:v>
      </x:c>
      <x:c r="C1067" s="17" t="str">
        <x:v>W0105</x:v>
      </x:c>
      <x:c r="D1067" s="17" t="str">
        <x:v>C002</x:v>
      </x:c>
      <x:c r="E1067" s="17" t="str">
        <x:v>CopyStudio</x:v>
      </x:c>
      <x:c r="F1067" s="17" t="str">
        <x:v>Lite</x:v>
      </x:c>
      <x:c r="G1067" s="21" t="n">
        <x:v>20107</x:v>
      </x:c>
      <x:c r="H1067" s="21" t="n">
        <x:v>4676</x:v>
      </x:c>
      <x:c r="I1067" s="17" t="str">
        <x:v>Correction</x:v>
      </x:c>
    </x:row>
    <x:row r="1068" ht="23" customHeight="1">
      <x:c r="A1068" s="17" t="str">
        <x:v>U01062</x:v>
      </x:c>
      <x:c r="B1068" s="18" t="n">
        <x:v>46282</x:v>
      </x:c>
      <x:c r="C1068" s="17" t="str">
        <x:v>W0105</x:v>
      </x:c>
      <x:c r="D1068" s="17" t="str">
        <x:v>C002</x:v>
      </x:c>
      <x:c r="E1068" s="17" t="str">
        <x:v>CopyStudio</x:v>
      </x:c>
      <x:c r="F1068" s="17" t="str">
        <x:v>Lite</x:v>
      </x:c>
      <x:c r="G1068" s="21" t="n">
        <x:v>29868</x:v>
      </x:c>
      <x:c r="H1068" s="21" t="n">
        <x:v>6707</x:v>
      </x:c>
      <x:c r="I1068" s="17" t="str">
        <x:v>Correction</x:v>
      </x:c>
    </x:row>
    <x:row r="1069" ht="23" customHeight="1">
      <x:c r="A1069" s="17" t="str">
        <x:v>U01063</x:v>
      </x:c>
      <x:c r="B1069" s="18" t="n">
        <x:v>46282</x:v>
      </x:c>
      <x:c r="C1069" s="17" t="str">
        <x:v>W0105</x:v>
      </x:c>
      <x:c r="D1069" s="17" t="str">
        <x:v>C002</x:v>
      </x:c>
      <x:c r="E1069" s="17" t="str">
        <x:v>CopyStudio</x:v>
      </x:c>
      <x:c r="F1069" s="17" t="str">
        <x:v>Lite</x:v>
      </x:c>
      <x:c r="G1069" s="21" t="n">
        <x:v>36629</x:v>
      </x:c>
      <x:c r="H1069" s="21" t="n">
        <x:v>7933</x:v>
      </x:c>
      <x:c r="I1069" s="17" t="str">
        <x:v>Correction</x:v>
      </x:c>
    </x:row>
    <x:row r="1070" ht="23" customHeight="1">
      <x:c r="A1070" s="17" t="str">
        <x:v>U01064</x:v>
      </x:c>
      <x:c r="B1070" s="18" t="n">
        <x:v>46282</x:v>
      </x:c>
      <x:c r="C1070" s="17" t="str">
        <x:v>W0105</x:v>
      </x:c>
      <x:c r="D1070" s="17" t="str">
        <x:v>C002</x:v>
      </x:c>
      <x:c r="E1070" s="17" t="str">
        <x:v>CopyStudio</x:v>
      </x:c>
      <x:c r="F1070" s="17" t="str">
        <x:v>Lite</x:v>
      </x:c>
      <x:c r="G1070" s="21" t="n">
        <x:v>16885</x:v>
      </x:c>
      <x:c r="H1070" s="21" t="n">
        <x:v>7274</x:v>
      </x:c>
      <x:c r="I1070" s="17" t="str">
        <x:v>Correction</x:v>
      </x:c>
    </x:row>
    <x:row r="1071" ht="23" customHeight="1">
      <x:c r="A1071" s="17" t="str">
        <x:v>U01065</x:v>
      </x:c>
      <x:c r="B1071" s="18" t="n">
        <x:v>46282</x:v>
      </x:c>
      <x:c r="C1071" s="17" t="str">
        <x:v>W0105</x:v>
      </x:c>
      <x:c r="D1071" s="17" t="str">
        <x:v>C002</x:v>
      </x:c>
      <x:c r="E1071" s="17" t="str">
        <x:v>CopyStudio</x:v>
      </x:c>
      <x:c r="F1071" s="17" t="str">
        <x:v>Lite</x:v>
      </x:c>
      <x:c r="G1071" s="21" t="n">
        <x:v>14099</x:v>
      </x:c>
      <x:c r="H1071" s="21" t="n">
        <x:v>6566</x:v>
      </x:c>
      <x:c r="I1071" s="17" t="str">
        <x:v>Followup</x:v>
      </x:c>
    </x:row>
    <x:row r="1072" ht="23" customHeight="1">
      <x:c r="A1072" s="17" t="str">
        <x:v>U01066</x:v>
      </x:c>
      <x:c r="B1072" s="18" t="n">
        <x:v>46282</x:v>
      </x:c>
      <x:c r="C1072" s="17" t="str">
        <x:v>W0105</x:v>
      </x:c>
      <x:c r="D1072" s="17" t="str">
        <x:v>C002</x:v>
      </x:c>
      <x:c r="E1072" s="17" t="str">
        <x:v>CopyStudio</x:v>
      </x:c>
      <x:c r="F1072" s="17" t="str">
        <x:v>Lite</x:v>
      </x:c>
      <x:c r="G1072" s="21" t="n">
        <x:v>18647</x:v>
      </x:c>
      <x:c r="H1072" s="21" t="n">
        <x:v>4221</x:v>
      </x:c>
      <x:c r="I1072" s="17" t="str">
        <x:v>Correction</x:v>
      </x:c>
    </x:row>
    <x:row r="1073" ht="23" customHeight="1">
      <x:c r="A1073" s="17" t="str">
        <x:v>U01067</x:v>
      </x:c>
      <x:c r="B1073" s="18" t="n">
        <x:v>46288</x:v>
      </x:c>
      <x:c r="C1073" s="17" t="str">
        <x:v>W0106</x:v>
      </x:c>
      <x:c r="D1073" s="17" t="str">
        <x:v>C002</x:v>
      </x:c>
      <x:c r="E1073" s="17" t="str">
        <x:v>InsightDesk</x:v>
      </x:c>
      <x:c r="F1073" s="17" t="str">
        <x:v>Lite</x:v>
      </x:c>
      <x:c r="G1073" s="21" t="n">
        <x:v>45471</x:v>
      </x:c>
      <x:c r="H1073" s="21" t="n">
        <x:v>7588</x:v>
      </x:c>
      <x:c r="I1073" s="17" t="str">
        <x:v>First attempt</x:v>
      </x:c>
    </x:row>
    <x:row r="1074" ht="23" customHeight="1">
      <x:c r="A1074" s="17" t="str">
        <x:v>U01068</x:v>
      </x:c>
      <x:c r="B1074" s="18" t="n">
        <x:v>46288</x:v>
      </x:c>
      <x:c r="C1074" s="17" t="str">
        <x:v>W0106</x:v>
      </x:c>
      <x:c r="D1074" s="17" t="str">
        <x:v>C002</x:v>
      </x:c>
      <x:c r="E1074" s="17" t="str">
        <x:v>InsightDesk</x:v>
      </x:c>
      <x:c r="F1074" s="17" t="str">
        <x:v>Lite</x:v>
      </x:c>
      <x:c r="G1074" s="21" t="n">
        <x:v>47667</x:v>
      </x:c>
      <x:c r="H1074" s="21" t="n">
        <x:v>4951</x:v>
      </x:c>
      <x:c r="I1074" s="17" t="str">
        <x:v>Followup</x:v>
      </x:c>
    </x:row>
    <x:row r="1075" ht="23" customHeight="1">
      <x:c r="A1075" s="17" t="str">
        <x:v>U01069</x:v>
      </x:c>
      <x:c r="B1075" s="18" t="n">
        <x:v>46288</x:v>
      </x:c>
      <x:c r="C1075" s="17" t="str">
        <x:v>W0106</x:v>
      </x:c>
      <x:c r="D1075" s="17" t="str">
        <x:v>C002</x:v>
      </x:c>
      <x:c r="E1075" s="17" t="str">
        <x:v>InsightDesk</x:v>
      </x:c>
      <x:c r="F1075" s="17" t="str">
        <x:v>Lite</x:v>
      </x:c>
      <x:c r="G1075" s="21" t="n">
        <x:v>24974</x:v>
      </x:c>
      <x:c r="H1075" s="21" t="n">
        <x:v>8159</x:v>
      </x:c>
      <x:c r="I1075" s="17" t="str">
        <x:v>Followup</x:v>
      </x:c>
    </x:row>
    <x:row r="1076" ht="23" customHeight="1">
      <x:c r="A1076" s="17" t="str">
        <x:v>U01070</x:v>
      </x:c>
      <x:c r="B1076" s="18" t="n">
        <x:v>46288</x:v>
      </x:c>
      <x:c r="C1076" s="17" t="str">
        <x:v>W0106</x:v>
      </x:c>
      <x:c r="D1076" s="17" t="str">
        <x:v>C002</x:v>
      </x:c>
      <x:c r="E1076" s="17" t="str">
        <x:v>InsightDesk</x:v>
      </x:c>
      <x:c r="F1076" s="17" t="str">
        <x:v>Lite</x:v>
      </x:c>
      <x:c r="G1076" s="21" t="n">
        <x:v>50839</x:v>
      </x:c>
      <x:c r="H1076" s="21" t="n">
        <x:v>13889</x:v>
      </x:c>
      <x:c r="I1076" s="17" t="str">
        <x:v>Correction</x:v>
      </x:c>
    </x:row>
    <x:row r="1077" ht="23" customHeight="1">
      <x:c r="A1077" s="17" t="str">
        <x:v>U01071</x:v>
      </x:c>
      <x:c r="B1077" s="18" t="n">
        <x:v>46289</x:v>
      </x:c>
      <x:c r="C1077" s="17" t="str">
        <x:v>W0106</x:v>
      </x:c>
      <x:c r="D1077" s="17" t="str">
        <x:v>C002</x:v>
      </x:c>
      <x:c r="E1077" s="17" t="str">
        <x:v>InsightDesk</x:v>
      </x:c>
      <x:c r="F1077" s="17" t="str">
        <x:v>Lite</x:v>
      </x:c>
      <x:c r="G1077" s="21" t="n">
        <x:v>20724</x:v>
      </x:c>
      <x:c r="H1077" s="21" t="n">
        <x:v>8654</x:v>
      </x:c>
      <x:c r="I1077" s="17" t="str">
        <x:v>Followup</x:v>
      </x:c>
    </x:row>
    <x:row r="1078" ht="23" customHeight="1">
      <x:c r="A1078" s="17" t="str">
        <x:v>U01072</x:v>
      </x:c>
      <x:c r="B1078" s="18" t="n">
        <x:v>46289</x:v>
      </x:c>
      <x:c r="C1078" s="17" t="str">
        <x:v>W0106</x:v>
      </x:c>
      <x:c r="D1078" s="17" t="str">
        <x:v>C002</x:v>
      </x:c>
      <x:c r="E1078" s="17" t="str">
        <x:v>InsightDesk</x:v>
      </x:c>
      <x:c r="F1078" s="17" t="str">
        <x:v>Lite</x:v>
      </x:c>
      <x:c r="G1078" s="21" t="n">
        <x:v>25543</x:v>
      </x:c>
      <x:c r="H1078" s="21" t="n">
        <x:v>9740</x:v>
      </x:c>
      <x:c r="I1078" s="17" t="str">
        <x:v>Followup</x:v>
      </x:c>
    </x:row>
    <x:row r="1079" ht="23" customHeight="1">
      <x:c r="A1079" s="17" t="str">
        <x:v>U01073</x:v>
      </x:c>
      <x:c r="B1079" s="18" t="n">
        <x:v>46289</x:v>
      </x:c>
      <x:c r="C1079" s="17" t="str">
        <x:v>W0106</x:v>
      </x:c>
      <x:c r="D1079" s="17" t="str">
        <x:v>C002</x:v>
      </x:c>
      <x:c r="E1079" s="17" t="str">
        <x:v>InsightDesk</x:v>
      </x:c>
      <x:c r="F1079" s="17" t="str">
        <x:v>Lite</x:v>
      </x:c>
      <x:c r="G1079" s="21" t="n">
        <x:v>55336</x:v>
      </x:c>
      <x:c r="H1079" s="21" t="n">
        <x:v>12249</x:v>
      </x:c>
      <x:c r="I1079" s="17" t="str">
        <x:v>Correction</x:v>
      </x:c>
    </x:row>
    <x:row r="1080" ht="23" customHeight="1">
      <x:c r="A1080" s="17" t="str">
        <x:v>U01074</x:v>
      </x:c>
      <x:c r="B1080" s="18" t="n">
        <x:v>46289</x:v>
      </x:c>
      <x:c r="C1080" s="17" t="str">
        <x:v>W0106</x:v>
      </x:c>
      <x:c r="D1080" s="17" t="str">
        <x:v>C002</x:v>
      </x:c>
      <x:c r="E1080" s="17" t="str">
        <x:v>InsightDesk</x:v>
      </x:c>
      <x:c r="F1080" s="17" t="str">
        <x:v>Lite</x:v>
      </x:c>
      <x:c r="G1080" s="21" t="n">
        <x:v>42619</x:v>
      </x:c>
      <x:c r="H1080" s="21" t="n">
        <x:v>9707</x:v>
      </x:c>
      <x:c r="I1080" s="17" t="str">
        <x:v>Followup</x:v>
      </x:c>
    </x:row>
    <x:row r="1081" ht="23" customHeight="1">
      <x:c r="A1081" s="17" t="str">
        <x:v>U01075</x:v>
      </x:c>
      <x:c r="B1081" s="18" t="n">
        <x:v>46290</x:v>
      </x:c>
      <x:c r="C1081" s="17" t="str">
        <x:v>W0106</x:v>
      </x:c>
      <x:c r="D1081" s="17" t="str">
        <x:v>C002</x:v>
      </x:c>
      <x:c r="E1081" s="17" t="str">
        <x:v>InsightDesk</x:v>
      </x:c>
      <x:c r="F1081" s="17" t="str">
        <x:v>Lite</x:v>
      </x:c>
      <x:c r="G1081" s="21" t="n">
        <x:v>33726</x:v>
      </x:c>
      <x:c r="H1081" s="21" t="n">
        <x:v>15286</x:v>
      </x:c>
      <x:c r="I1081" s="17" t="str">
        <x:v>Followup</x:v>
      </x:c>
    </x:row>
    <x:row r="1082" ht="23" customHeight="1">
      <x:c r="A1082" s="17" t="str">
        <x:v>U01076</x:v>
      </x:c>
      <x:c r="B1082" s="18" t="n">
        <x:v>46290</x:v>
      </x:c>
      <x:c r="C1082" s="17" t="str">
        <x:v>W0106</x:v>
      </x:c>
      <x:c r="D1082" s="17" t="str">
        <x:v>C002</x:v>
      </x:c>
      <x:c r="E1082" s="17" t="str">
        <x:v>InsightDesk</x:v>
      </x:c>
      <x:c r="F1082" s="17" t="str">
        <x:v>Lite</x:v>
      </x:c>
      <x:c r="G1082" s="21" t="n">
        <x:v>45242</x:v>
      </x:c>
      <x:c r="H1082" s="21" t="n">
        <x:v>9515</x:v>
      </x:c>
      <x:c r="I1082" s="17" t="str">
        <x:v>Followup</x:v>
      </x:c>
    </x:row>
    <x:row r="1083" ht="23" customHeight="1">
      <x:c r="A1083" s="17" t="str">
        <x:v>U01077</x:v>
      </x:c>
      <x:c r="B1083" s="18" t="n">
        <x:v>46290</x:v>
      </x:c>
      <x:c r="C1083" s="17" t="str">
        <x:v>W0106</x:v>
      </x:c>
      <x:c r="D1083" s="17" t="str">
        <x:v>C002</x:v>
      </x:c>
      <x:c r="E1083" s="17" t="str">
        <x:v>InsightDesk</x:v>
      </x:c>
      <x:c r="F1083" s="17" t="str">
        <x:v>Lite</x:v>
      </x:c>
      <x:c r="G1083" s="21" t="n">
        <x:v>46782</x:v>
      </x:c>
      <x:c r="H1083" s="21" t="n">
        <x:v>5706</x:v>
      </x:c>
      <x:c r="I1083" s="17" t="str">
        <x:v>Correction</x:v>
      </x:c>
    </x:row>
    <x:row r="1084" ht="23" customHeight="1">
      <x:c r="A1084" s="17" t="str">
        <x:v>U01078</x:v>
      </x:c>
      <x:c r="B1084" s="18" t="n">
        <x:v>46290</x:v>
      </x:c>
      <x:c r="C1084" s="17" t="str">
        <x:v>W0106</x:v>
      </x:c>
      <x:c r="D1084" s="17" t="str">
        <x:v>C002</x:v>
      </x:c>
      <x:c r="E1084" s="17" t="str">
        <x:v>InsightDesk</x:v>
      </x:c>
      <x:c r="F1084" s="17" t="str">
        <x:v>Lite</x:v>
      </x:c>
      <x:c r="G1084" s="21" t="n">
        <x:v>29172</x:v>
      </x:c>
      <x:c r="H1084" s="21" t="n">
        <x:v>4511</x:v>
      </x:c>
      <x:c r="I1084" s="17" t="str">
        <x:v>Followup</x:v>
      </x:c>
    </x:row>
    <x:row r="1085" ht="23" customHeight="1">
      <x:c r="A1085" s="17" t="str">
        <x:v>U01079</x:v>
      </x:c>
      <x:c r="B1085" s="18" t="n">
        <x:v>46293</x:v>
      </x:c>
      <x:c r="C1085" s="17" t="str">
        <x:v>W0106</x:v>
      </x:c>
      <x:c r="D1085" s="17" t="str">
        <x:v>C002</x:v>
      </x:c>
      <x:c r="E1085" s="17" t="str">
        <x:v>InsightDesk</x:v>
      </x:c>
      <x:c r="F1085" s="17" t="str">
        <x:v>Lite</x:v>
      </x:c>
      <x:c r="G1085" s="21" t="n">
        <x:v>43439</x:v>
      </x:c>
      <x:c r="H1085" s="21" t="n">
        <x:v>9589</x:v>
      </x:c>
      <x:c r="I1085" s="17" t="str">
        <x:v>Correction</x:v>
      </x:c>
    </x:row>
    <x:row r="1086" ht="23" customHeight="1">
      <x:c r="A1086" s="17" t="str">
        <x:v>U01080</x:v>
      </x:c>
      <x:c r="B1086" s="18" t="n">
        <x:v>46293</x:v>
      </x:c>
      <x:c r="C1086" s="17" t="str">
        <x:v>W0106</x:v>
      </x:c>
      <x:c r="D1086" s="17" t="str">
        <x:v>C002</x:v>
      </x:c>
      <x:c r="E1086" s="17" t="str">
        <x:v>InsightDesk</x:v>
      </x:c>
      <x:c r="F1086" s="17" t="str">
        <x:v>Lite</x:v>
      </x:c>
      <x:c r="G1086" s="21" t="n">
        <x:v>31712</x:v>
      </x:c>
      <x:c r="H1086" s="21" t="n">
        <x:v>5237</x:v>
      </x:c>
      <x:c r="I1086" s="17" t="str">
        <x:v>Followup</x:v>
      </x:c>
    </x:row>
    <x:row r="1087" ht="23" customHeight="1">
      <x:c r="A1087" s="17" t="str">
        <x:v>U01081</x:v>
      </x:c>
      <x:c r="B1087" s="18" t="n">
        <x:v>46293</x:v>
      </x:c>
      <x:c r="C1087" s="17" t="str">
        <x:v>W0106</x:v>
      </x:c>
      <x:c r="D1087" s="17" t="str">
        <x:v>C002</x:v>
      </x:c>
      <x:c r="E1087" s="17" t="str">
        <x:v>InsightDesk</x:v>
      </x:c>
      <x:c r="F1087" s="17" t="str">
        <x:v>Lite</x:v>
      </x:c>
      <x:c r="G1087" s="21" t="n">
        <x:v>22331</x:v>
      </x:c>
      <x:c r="H1087" s="21" t="n">
        <x:v>4954</x:v>
      </x:c>
      <x:c r="I1087" s="17" t="str">
        <x:v>Followup</x:v>
      </x:c>
    </x:row>
    <x:row r="1088" ht="23" customHeight="1">
      <x:c r="A1088" s="17" t="str">
        <x:v>U01082</x:v>
      </x:c>
      <x:c r="B1088" s="18" t="n">
        <x:v>46293</x:v>
      </x:c>
      <x:c r="C1088" s="17" t="str">
        <x:v>W0106</x:v>
      </x:c>
      <x:c r="D1088" s="17" t="str">
        <x:v>C002</x:v>
      </x:c>
      <x:c r="E1088" s="17" t="str">
        <x:v>InsightDesk</x:v>
      </x:c>
      <x:c r="F1088" s="17" t="str">
        <x:v>Lite</x:v>
      </x:c>
      <x:c r="G1088" s="21" t="n">
        <x:v>28012</x:v>
      </x:c>
      <x:c r="H1088" s="21" t="n">
        <x:v>8910</x:v>
      </x:c>
      <x:c r="I1088" s="17" t="str">
        <x:v>Followup</x:v>
      </x:c>
    </x:row>
    <x:row r="1089" ht="23" customHeight="1">
      <x:c r="A1089" s="17" t="str">
        <x:v>U01083</x:v>
      </x:c>
      <x:c r="B1089" s="18" t="n">
        <x:v>46273</x:v>
      </x:c>
      <x:c r="C1089" s="17" t="str">
        <x:v>W0107</x:v>
      </x:c>
      <x:c r="D1089" s="17" t="str">
        <x:v>C002</x:v>
      </x:c>
      <x:c r="E1089" s="17" t="str">
        <x:v>CampaignChat</x:v>
      </x:c>
      <x:c r="F1089" s="17" t="str">
        <x:v>Lite</x:v>
      </x:c>
      <x:c r="G1089" s="21" t="n">
        <x:v>46951</x:v>
      </x:c>
      <x:c r="H1089" s="21" t="n">
        <x:v>5488</x:v>
      </x:c>
      <x:c r="I1089" s="17" t="str">
        <x:v>First attempt</x:v>
      </x:c>
    </x:row>
    <x:row r="1090" ht="23" customHeight="1">
      <x:c r="A1090" s="17" t="str">
        <x:v>U01084</x:v>
      </x:c>
      <x:c r="B1090" s="18" t="n">
        <x:v>46273</x:v>
      </x:c>
      <x:c r="C1090" s="17" t="str">
        <x:v>W0107</x:v>
      </x:c>
      <x:c r="D1090" s="17" t="str">
        <x:v>C002</x:v>
      </x:c>
      <x:c r="E1090" s="17" t="str">
        <x:v>CampaignChat</x:v>
      </x:c>
      <x:c r="F1090" s="17" t="str">
        <x:v>Lite</x:v>
      </x:c>
      <x:c r="G1090" s="21" t="n">
        <x:v>36062</x:v>
      </x:c>
      <x:c r="H1090" s="21" t="n">
        <x:v>6845</x:v>
      </x:c>
      <x:c r="I1090" s="17" t="str">
        <x:v>Followup</x:v>
      </x:c>
    </x:row>
    <x:row r="1091" ht="23" customHeight="1">
      <x:c r="A1091" s="17" t="str">
        <x:v>U01085</x:v>
      </x:c>
      <x:c r="B1091" s="18" t="n">
        <x:v>46273</x:v>
      </x:c>
      <x:c r="C1091" s="17" t="str">
        <x:v>W0107</x:v>
      </x:c>
      <x:c r="D1091" s="17" t="str">
        <x:v>C002</x:v>
      </x:c>
      <x:c r="E1091" s="17" t="str">
        <x:v>CampaignChat</x:v>
      </x:c>
      <x:c r="F1091" s="17" t="str">
        <x:v>Lite</x:v>
      </x:c>
      <x:c r="G1091" s="21" t="n">
        <x:v>32378</x:v>
      </x:c>
      <x:c r="H1091" s="21" t="n">
        <x:v>3857</x:v>
      </x:c>
      <x:c r="I1091" s="17" t="str">
        <x:v>Followup</x:v>
      </x:c>
    </x:row>
    <x:row r="1092" ht="23" customHeight="1">
      <x:c r="A1092" s="17" t="str">
        <x:v>U01086</x:v>
      </x:c>
      <x:c r="B1092" s="18" t="n">
        <x:v>46273</x:v>
      </x:c>
      <x:c r="C1092" s="17" t="str">
        <x:v>W0107</x:v>
      </x:c>
      <x:c r="D1092" s="17" t="str">
        <x:v>C002</x:v>
      </x:c>
      <x:c r="E1092" s="17" t="str">
        <x:v>CampaignChat</x:v>
      </x:c>
      <x:c r="F1092" s="17" t="str">
        <x:v>Lite</x:v>
      </x:c>
      <x:c r="G1092" s="21" t="n">
        <x:v>51367</x:v>
      </x:c>
      <x:c r="H1092" s="21" t="n">
        <x:v>2837</x:v>
      </x:c>
      <x:c r="I1092" s="17" t="str">
        <x:v>Correction</x:v>
      </x:c>
    </x:row>
    <x:row r="1093" ht="23" customHeight="1">
      <x:c r="A1093" s="17" t="str">
        <x:v>U01087</x:v>
      </x:c>
      <x:c r="B1093" s="18" t="n">
        <x:v>46274</x:v>
      </x:c>
      <x:c r="C1093" s="17" t="str">
        <x:v>W0107</x:v>
      </x:c>
      <x:c r="D1093" s="17" t="str">
        <x:v>C002</x:v>
      </x:c>
      <x:c r="E1093" s="17" t="str">
        <x:v>CampaignChat</x:v>
      </x:c>
      <x:c r="F1093" s="17" t="str">
        <x:v>Lite</x:v>
      </x:c>
      <x:c r="G1093" s="21" t="n">
        <x:v>19574</x:v>
      </x:c>
      <x:c r="H1093" s="21" t="n">
        <x:v>4010</x:v>
      </x:c>
      <x:c r="I1093" s="17" t="str">
        <x:v>Correction</x:v>
      </x:c>
    </x:row>
    <x:row r="1094" ht="23" customHeight="1">
      <x:c r="A1094" s="17" t="str">
        <x:v>U01088</x:v>
      </x:c>
      <x:c r="B1094" s="18" t="n">
        <x:v>46274</x:v>
      </x:c>
      <x:c r="C1094" s="17" t="str">
        <x:v>W0107</x:v>
      </x:c>
      <x:c r="D1094" s="17" t="str">
        <x:v>C002</x:v>
      </x:c>
      <x:c r="E1094" s="17" t="str">
        <x:v>CampaignChat</x:v>
      </x:c>
      <x:c r="F1094" s="17" t="str">
        <x:v>Lite</x:v>
      </x:c>
      <x:c r="G1094" s="21" t="n">
        <x:v>32777</x:v>
      </x:c>
      <x:c r="H1094" s="21" t="n">
        <x:v>4289</x:v>
      </x:c>
      <x:c r="I1094" s="17" t="str">
        <x:v>Followup</x:v>
      </x:c>
    </x:row>
    <x:row r="1095" ht="23" customHeight="1">
      <x:c r="A1095" s="17" t="str">
        <x:v>U01089</x:v>
      </x:c>
      <x:c r="B1095" s="18" t="n">
        <x:v>46274</x:v>
      </x:c>
      <x:c r="C1095" s="17" t="str">
        <x:v>W0107</x:v>
      </x:c>
      <x:c r="D1095" s="17" t="str">
        <x:v>C002</x:v>
      </x:c>
      <x:c r="E1095" s="17" t="str">
        <x:v>CampaignChat</x:v>
      </x:c>
      <x:c r="F1095" s="17" t="str">
        <x:v>Lite</x:v>
      </x:c>
      <x:c r="G1095" s="21" t="n">
        <x:v>56175</x:v>
      </x:c>
      <x:c r="H1095" s="21" t="n">
        <x:v>8367</x:v>
      </x:c>
      <x:c r="I1095" s="17" t="str">
        <x:v>Followup</x:v>
      </x:c>
    </x:row>
    <x:row r="1096" ht="23" customHeight="1">
      <x:c r="A1096" s="17" t="str">
        <x:v>U01090</x:v>
      </x:c>
      <x:c r="B1096" s="18" t="n">
        <x:v>46274</x:v>
      </x:c>
      <x:c r="C1096" s="17" t="str">
        <x:v>W0107</x:v>
      </x:c>
      <x:c r="D1096" s="17" t="str">
        <x:v>C002</x:v>
      </x:c>
      <x:c r="E1096" s="17" t="str">
        <x:v>CampaignChat</x:v>
      </x:c>
      <x:c r="F1096" s="17" t="str">
        <x:v>Lite</x:v>
      </x:c>
      <x:c r="G1096" s="21" t="n">
        <x:v>34749</x:v>
      </x:c>
      <x:c r="H1096" s="21" t="n">
        <x:v>9908</x:v>
      </x:c>
      <x:c r="I1096" s="17" t="str">
        <x:v>Correction</x:v>
      </x:c>
    </x:row>
    <x:row r="1097" ht="23" customHeight="1">
      <x:c r="A1097" s="17" t="str">
        <x:v>U01091</x:v>
      </x:c>
      <x:c r="B1097" s="18" t="n">
        <x:v>46275</x:v>
      </x:c>
      <x:c r="C1097" s="17" t="str">
        <x:v>W0107</x:v>
      </x:c>
      <x:c r="D1097" s="17" t="str">
        <x:v>C002</x:v>
      </x:c>
      <x:c r="E1097" s="17" t="str">
        <x:v>CampaignChat</x:v>
      </x:c>
      <x:c r="F1097" s="17" t="str">
        <x:v>Lite</x:v>
      </x:c>
      <x:c r="G1097" s="21" t="n">
        <x:v>22262</x:v>
      </x:c>
      <x:c r="H1097" s="21" t="n">
        <x:v>10475</x:v>
      </x:c>
      <x:c r="I1097" s="17" t="str">
        <x:v>Followup</x:v>
      </x:c>
    </x:row>
    <x:row r="1098" ht="23" customHeight="1">
      <x:c r="A1098" s="17" t="str">
        <x:v>U01092</x:v>
      </x:c>
      <x:c r="B1098" s="18" t="n">
        <x:v>46275</x:v>
      </x:c>
      <x:c r="C1098" s="17" t="str">
        <x:v>W0107</x:v>
      </x:c>
      <x:c r="D1098" s="17" t="str">
        <x:v>C002</x:v>
      </x:c>
      <x:c r="E1098" s="17" t="str">
        <x:v>CampaignChat</x:v>
      </x:c>
      <x:c r="F1098" s="17" t="str">
        <x:v>Lite</x:v>
      </x:c>
      <x:c r="G1098" s="21" t="n">
        <x:v>20486</x:v>
      </x:c>
      <x:c r="H1098" s="21" t="n">
        <x:v>7525</x:v>
      </x:c>
      <x:c r="I1098" s="17" t="str">
        <x:v>Followup</x:v>
      </x:c>
    </x:row>
    <x:row r="1099" ht="23" customHeight="1">
      <x:c r="A1099" s="17" t="str">
        <x:v>U01093</x:v>
      </x:c>
      <x:c r="B1099" s="18" t="n">
        <x:v>46275</x:v>
      </x:c>
      <x:c r="C1099" s="17" t="str">
        <x:v>W0107</x:v>
      </x:c>
      <x:c r="D1099" s="17" t="str">
        <x:v>C002</x:v>
      </x:c>
      <x:c r="E1099" s="17" t="str">
        <x:v>CampaignChat</x:v>
      </x:c>
      <x:c r="F1099" s="17" t="str">
        <x:v>Lite</x:v>
      </x:c>
      <x:c r="G1099" s="21" t="n">
        <x:v>39902</x:v>
      </x:c>
      <x:c r="H1099" s="21" t="n">
        <x:v>8172</x:v>
      </x:c>
      <x:c r="I1099" s="17" t="str">
        <x:v>Correction</x:v>
      </x:c>
    </x:row>
    <x:row r="1100" ht="23" customHeight="1">
      <x:c r="A1100" s="17" t="str">
        <x:v>U01094</x:v>
      </x:c>
      <x:c r="B1100" s="18" t="n">
        <x:v>46275</x:v>
      </x:c>
      <x:c r="C1100" s="17" t="str">
        <x:v>W0107</x:v>
      </x:c>
      <x:c r="D1100" s="17" t="str">
        <x:v>C002</x:v>
      </x:c>
      <x:c r="E1100" s="17" t="str">
        <x:v>CampaignChat</x:v>
      </x:c>
      <x:c r="F1100" s="17" t="str">
        <x:v>Lite</x:v>
      </x:c>
      <x:c r="G1100" s="21" t="n">
        <x:v>57368</x:v>
      </x:c>
      <x:c r="H1100" s="21" t="n">
        <x:v>3034</x:v>
      </x:c>
      <x:c r="I1100" s="17" t="str">
        <x:v>Followup</x:v>
      </x:c>
    </x:row>
    <x:row r="1101" ht="23" customHeight="1">
      <x:c r="A1101" s="17" t="str">
        <x:v>U01095</x:v>
      </x:c>
      <x:c r="B1101" s="18" t="n">
        <x:v>46276</x:v>
      </x:c>
      <x:c r="C1101" s="17" t="str">
        <x:v>W0107</x:v>
      </x:c>
      <x:c r="D1101" s="17" t="str">
        <x:v>C002</x:v>
      </x:c>
      <x:c r="E1101" s="17" t="str">
        <x:v>CampaignChat</x:v>
      </x:c>
      <x:c r="F1101" s="17" t="str">
        <x:v>Lite</x:v>
      </x:c>
      <x:c r="G1101" s="21" t="n">
        <x:v>31173</x:v>
      </x:c>
      <x:c r="H1101" s="21" t="n">
        <x:v>9335</x:v>
      </x:c>
      <x:c r="I1101" s="17" t="str">
        <x:v>Correction</x:v>
      </x:c>
    </x:row>
    <x:row r="1102" ht="23" customHeight="1">
      <x:c r="A1102" s="17" t="str">
        <x:v>U01096</x:v>
      </x:c>
      <x:c r="B1102" s="18" t="n">
        <x:v>46276</x:v>
      </x:c>
      <x:c r="C1102" s="17" t="str">
        <x:v>W0107</x:v>
      </x:c>
      <x:c r="D1102" s="17" t="str">
        <x:v>C002</x:v>
      </x:c>
      <x:c r="E1102" s="17" t="str">
        <x:v>CampaignChat</x:v>
      </x:c>
      <x:c r="F1102" s="17" t="str">
        <x:v>Lite</x:v>
      </x:c>
      <x:c r="G1102" s="21" t="n">
        <x:v>52183</x:v>
      </x:c>
      <x:c r="H1102" s="21" t="n">
        <x:v>8663</x:v>
      </x:c>
      <x:c r="I1102" s="17" t="str">
        <x:v>Correction</x:v>
      </x:c>
    </x:row>
    <x:row r="1103" ht="23" customHeight="1">
      <x:c r="A1103" s="17" t="str">
        <x:v>U01097</x:v>
      </x:c>
      <x:c r="B1103" s="18" t="n">
        <x:v>46276</x:v>
      </x:c>
      <x:c r="C1103" s="17" t="str">
        <x:v>W0107</x:v>
      </x:c>
      <x:c r="D1103" s="17" t="str">
        <x:v>C002</x:v>
      </x:c>
      <x:c r="E1103" s="17" t="str">
        <x:v>CampaignChat</x:v>
      </x:c>
      <x:c r="F1103" s="17" t="str">
        <x:v>Lite</x:v>
      </x:c>
      <x:c r="G1103" s="21" t="n">
        <x:v>27302</x:v>
      </x:c>
      <x:c r="H1103" s="21" t="n">
        <x:v>4936</x:v>
      </x:c>
      <x:c r="I1103" s="17" t="str">
        <x:v>Correction</x:v>
      </x:c>
    </x:row>
    <x:row r="1104" ht="23" customHeight="1">
      <x:c r="A1104" s="17" t="str">
        <x:v>U01098</x:v>
      </x:c>
      <x:c r="B1104" s="18" t="n">
        <x:v>46276</x:v>
      </x:c>
      <x:c r="C1104" s="17" t="str">
        <x:v>W0107</x:v>
      </x:c>
      <x:c r="D1104" s="17" t="str">
        <x:v>C002</x:v>
      </x:c>
      <x:c r="E1104" s="17" t="str">
        <x:v>CampaignChat</x:v>
      </x:c>
      <x:c r="F1104" s="17" t="str">
        <x:v>Lite</x:v>
      </x:c>
      <x:c r="G1104" s="21" t="n">
        <x:v>52195</x:v>
      </x:c>
      <x:c r="H1104" s="21" t="n">
        <x:v>6144</x:v>
      </x:c>
      <x:c r="I1104" s="17" t="str">
        <x:v>Correction</x:v>
      </x:c>
    </x:row>
    <x:row r="1105" ht="23" customHeight="1">
      <x:c r="A1105" s="17" t="str">
        <x:v>U01099</x:v>
      </x:c>
      <x:c r="B1105" s="18" t="n">
        <x:v>46282</x:v>
      </x:c>
      <x:c r="C1105" s="17" t="str">
        <x:v>W0108</x:v>
      </x:c>
      <x:c r="D1105" s="17" t="str">
        <x:v>C002</x:v>
      </x:c>
      <x:c r="E1105" s="17" t="str">
        <x:v>CopyStudio</x:v>
      </x:c>
      <x:c r="F1105" s="17" t="str">
        <x:v>Lite</x:v>
      </x:c>
      <x:c r="G1105" s="21" t="n">
        <x:v>44760</x:v>
      </x:c>
      <x:c r="H1105" s="21" t="n">
        <x:v>6099</x:v>
      </x:c>
      <x:c r="I1105" s="17" t="str">
        <x:v>First attempt</x:v>
      </x:c>
    </x:row>
    <x:row r="1106" ht="23" customHeight="1">
      <x:c r="A1106" s="17" t="str">
        <x:v>U01100</x:v>
      </x:c>
      <x:c r="B1106" s="18" t="n">
        <x:v>46282</x:v>
      </x:c>
      <x:c r="C1106" s="17" t="str">
        <x:v>W0108</x:v>
      </x:c>
      <x:c r="D1106" s="17" t="str">
        <x:v>C002</x:v>
      </x:c>
      <x:c r="E1106" s="17" t="str">
        <x:v>CopyStudio</x:v>
      </x:c>
      <x:c r="F1106" s="17" t="str">
        <x:v>Lite</x:v>
      </x:c>
      <x:c r="G1106" s="21" t="n">
        <x:v>40031</x:v>
      </x:c>
      <x:c r="H1106" s="21" t="n">
        <x:v>10885</x:v>
      </x:c>
      <x:c r="I1106" s="17" t="str">
        <x:v>Correction</x:v>
      </x:c>
    </x:row>
    <x:row r="1107" ht="23" customHeight="1">
      <x:c r="A1107" s="17" t="str">
        <x:v>U01101</x:v>
      </x:c>
      <x:c r="B1107" s="18" t="n">
        <x:v>46282</x:v>
      </x:c>
      <x:c r="C1107" s="17" t="str">
        <x:v>W0108</x:v>
      </x:c>
      <x:c r="D1107" s="17" t="str">
        <x:v>C002</x:v>
      </x:c>
      <x:c r="E1107" s="17" t="str">
        <x:v>CopyStudio</x:v>
      </x:c>
      <x:c r="F1107" s="17" t="str">
        <x:v>Lite</x:v>
      </x:c>
      <x:c r="G1107" s="21" t="n">
        <x:v>26861</x:v>
      </x:c>
      <x:c r="H1107" s="21" t="n">
        <x:v>4709</x:v>
      </x:c>
      <x:c r="I1107" s="17" t="str">
        <x:v>Followup</x:v>
      </x:c>
    </x:row>
    <x:row r="1108" ht="23" customHeight="1">
      <x:c r="A1108" s="17" t="str">
        <x:v>U01102</x:v>
      </x:c>
      <x:c r="B1108" s="18" t="n">
        <x:v>46282</x:v>
      </x:c>
      <x:c r="C1108" s="17" t="str">
        <x:v>W0108</x:v>
      </x:c>
      <x:c r="D1108" s="17" t="str">
        <x:v>C002</x:v>
      </x:c>
      <x:c r="E1108" s="17" t="str">
        <x:v>CopyStudio</x:v>
      </x:c>
      <x:c r="F1108" s="17" t="str">
        <x:v>Lite</x:v>
      </x:c>
      <x:c r="G1108" s="21" t="n">
        <x:v>39526</x:v>
      </x:c>
      <x:c r="H1108" s="21" t="n">
        <x:v>10625</x:v>
      </x:c>
      <x:c r="I1108" s="17" t="str">
        <x:v>Followup</x:v>
      </x:c>
    </x:row>
    <x:row r="1109" ht="23" customHeight="1">
      <x:c r="A1109" s="17" t="str">
        <x:v>U01103</x:v>
      </x:c>
      <x:c r="B1109" s="18" t="n">
        <x:v>46283</x:v>
      </x:c>
      <x:c r="C1109" s="17" t="str">
        <x:v>W0108</x:v>
      </x:c>
      <x:c r="D1109" s="17" t="str">
        <x:v>C002</x:v>
      </x:c>
      <x:c r="E1109" s="17" t="str">
        <x:v>CopyStudio</x:v>
      </x:c>
      <x:c r="F1109" s="17" t="str">
        <x:v>Lite</x:v>
      </x:c>
      <x:c r="G1109" s="21" t="n">
        <x:v>43024</x:v>
      </x:c>
      <x:c r="H1109" s="21" t="n">
        <x:v>10522</x:v>
      </x:c>
      <x:c r="I1109" s="17" t="str">
        <x:v>Followup</x:v>
      </x:c>
    </x:row>
    <x:row r="1110" ht="23" customHeight="1">
      <x:c r="A1110" s="17" t="str">
        <x:v>U01104</x:v>
      </x:c>
      <x:c r="B1110" s="18" t="n">
        <x:v>46283</x:v>
      </x:c>
      <x:c r="C1110" s="17" t="str">
        <x:v>W0108</x:v>
      </x:c>
      <x:c r="D1110" s="17" t="str">
        <x:v>C002</x:v>
      </x:c>
      <x:c r="E1110" s="17" t="str">
        <x:v>CopyStudio</x:v>
      </x:c>
      <x:c r="F1110" s="17" t="str">
        <x:v>Lite</x:v>
      </x:c>
      <x:c r="G1110" s="21" t="n">
        <x:v>48919</x:v>
      </x:c>
      <x:c r="H1110" s="21" t="n">
        <x:v>6584</x:v>
      </x:c>
      <x:c r="I1110" s="17" t="str">
        <x:v>Correction</x:v>
      </x:c>
    </x:row>
    <x:row r="1111" ht="23" customHeight="1">
      <x:c r="A1111" s="17" t="str">
        <x:v>U01105</x:v>
      </x:c>
      <x:c r="B1111" s="18" t="n">
        <x:v>46283</x:v>
      </x:c>
      <x:c r="C1111" s="17" t="str">
        <x:v>W0108</x:v>
      </x:c>
      <x:c r="D1111" s="17" t="str">
        <x:v>C002</x:v>
      </x:c>
      <x:c r="E1111" s="17" t="str">
        <x:v>CopyStudio</x:v>
      </x:c>
      <x:c r="F1111" s="17" t="str">
        <x:v>Lite</x:v>
      </x:c>
      <x:c r="G1111" s="21" t="n">
        <x:v>26426</x:v>
      </x:c>
      <x:c r="H1111" s="21" t="n">
        <x:v>9554</x:v>
      </x:c>
      <x:c r="I1111" s="17" t="str">
        <x:v>Followup</x:v>
      </x:c>
    </x:row>
    <x:row r="1112" ht="23" customHeight="1">
      <x:c r="A1112" s="17" t="str">
        <x:v>U01106</x:v>
      </x:c>
      <x:c r="B1112" s="18" t="n">
        <x:v>46283</x:v>
      </x:c>
      <x:c r="C1112" s="17" t="str">
        <x:v>W0108</x:v>
      </x:c>
      <x:c r="D1112" s="17" t="str">
        <x:v>C002</x:v>
      </x:c>
      <x:c r="E1112" s="17" t="str">
        <x:v>CopyStudio</x:v>
      </x:c>
      <x:c r="F1112" s="17" t="str">
        <x:v>Lite</x:v>
      </x:c>
      <x:c r="G1112" s="21" t="n">
        <x:v>54289</x:v>
      </x:c>
      <x:c r="H1112" s="21" t="n">
        <x:v>4013</x:v>
      </x:c>
      <x:c r="I1112" s="17" t="str">
        <x:v>Correction</x:v>
      </x:c>
    </x:row>
    <x:row r="1113" ht="23" customHeight="1">
      <x:c r="A1113" s="17" t="str">
        <x:v>U01107</x:v>
      </x:c>
      <x:c r="B1113" s="18" t="n">
        <x:v>46286</x:v>
      </x:c>
      <x:c r="C1113" s="17" t="str">
        <x:v>W0108</x:v>
      </x:c>
      <x:c r="D1113" s="17" t="str">
        <x:v>C002</x:v>
      </x:c>
      <x:c r="E1113" s="17" t="str">
        <x:v>CopyStudio</x:v>
      </x:c>
      <x:c r="F1113" s="17" t="str">
        <x:v>Lite</x:v>
      </x:c>
      <x:c r="G1113" s="21" t="n">
        <x:v>49040</x:v>
      </x:c>
      <x:c r="H1113" s="21" t="n">
        <x:v>8045</x:v>
      </x:c>
      <x:c r="I1113" s="17" t="str">
        <x:v>Correction</x:v>
      </x:c>
    </x:row>
    <x:row r="1114" ht="23" customHeight="1">
      <x:c r="A1114" s="17" t="str">
        <x:v>U01108</x:v>
      </x:c>
      <x:c r="B1114" s="18" t="n">
        <x:v>46286</x:v>
      </x:c>
      <x:c r="C1114" s="17" t="str">
        <x:v>W0108</x:v>
      </x:c>
      <x:c r="D1114" s="17" t="str">
        <x:v>C002</x:v>
      </x:c>
      <x:c r="E1114" s="17" t="str">
        <x:v>CopyStudio</x:v>
      </x:c>
      <x:c r="F1114" s="17" t="str">
        <x:v>Lite</x:v>
      </x:c>
      <x:c r="G1114" s="21" t="n">
        <x:v>37693</x:v>
      </x:c>
      <x:c r="H1114" s="21" t="n">
        <x:v>6984</x:v>
      </x:c>
      <x:c r="I1114" s="17" t="str">
        <x:v>Followup</x:v>
      </x:c>
    </x:row>
    <x:row r="1115" ht="23" customHeight="1">
      <x:c r="A1115" s="17" t="str">
        <x:v>U01109</x:v>
      </x:c>
      <x:c r="B1115" s="18" t="n">
        <x:v>46286</x:v>
      </x:c>
      <x:c r="C1115" s="17" t="str">
        <x:v>W0108</x:v>
      </x:c>
      <x:c r="D1115" s="17" t="str">
        <x:v>C002</x:v>
      </x:c>
      <x:c r="E1115" s="17" t="str">
        <x:v>CopyStudio</x:v>
      </x:c>
      <x:c r="F1115" s="17" t="str">
        <x:v>Lite</x:v>
      </x:c>
      <x:c r="G1115" s="21" t="n">
        <x:v>43020</x:v>
      </x:c>
      <x:c r="H1115" s="21" t="n">
        <x:v>9256</x:v>
      </x:c>
      <x:c r="I1115" s="17" t="str">
        <x:v>Followup</x:v>
      </x:c>
    </x:row>
    <x:row r="1116" ht="23" customHeight="1">
      <x:c r="A1116" s="17" t="str">
        <x:v>U01110</x:v>
      </x:c>
      <x:c r="B1116" s="18" t="n">
        <x:v>46286</x:v>
      </x:c>
      <x:c r="C1116" s="17" t="str">
        <x:v>W0108</x:v>
      </x:c>
      <x:c r="D1116" s="17" t="str">
        <x:v>C002</x:v>
      </x:c>
      <x:c r="E1116" s="17" t="str">
        <x:v>CopyStudio</x:v>
      </x:c>
      <x:c r="F1116" s="17" t="str">
        <x:v>Lite</x:v>
      </x:c>
      <x:c r="G1116" s="21" t="n">
        <x:v>28584</x:v>
      </x:c>
      <x:c r="H1116" s="21" t="n">
        <x:v>3022</x:v>
      </x:c>
      <x:c r="I1116" s="17" t="str">
        <x:v>Followup</x:v>
      </x:c>
    </x:row>
    <x:row r="1117" ht="23" customHeight="1">
      <x:c r="A1117" s="17" t="str">
        <x:v>U01111</x:v>
      </x:c>
      <x:c r="B1117" s="18" t="n">
        <x:v>46287</x:v>
      </x:c>
      <x:c r="C1117" s="17" t="str">
        <x:v>W0108</x:v>
      </x:c>
      <x:c r="D1117" s="17" t="str">
        <x:v>C002</x:v>
      </x:c>
      <x:c r="E1117" s="17" t="str">
        <x:v>CopyStudio</x:v>
      </x:c>
      <x:c r="F1117" s="17" t="str">
        <x:v>Lite</x:v>
      </x:c>
      <x:c r="G1117" s="21" t="n">
        <x:v>53600</x:v>
      </x:c>
      <x:c r="H1117" s="21" t="n">
        <x:v>7818</x:v>
      </x:c>
      <x:c r="I1117" s="17" t="str">
        <x:v>Followup</x:v>
      </x:c>
    </x:row>
    <x:row r="1118" ht="23" customHeight="1">
      <x:c r="A1118" s="17" t="str">
        <x:v>U01112</x:v>
      </x:c>
      <x:c r="B1118" s="18" t="n">
        <x:v>46287</x:v>
      </x:c>
      <x:c r="C1118" s="17" t="str">
        <x:v>W0108</x:v>
      </x:c>
      <x:c r="D1118" s="17" t="str">
        <x:v>C002</x:v>
      </x:c>
      <x:c r="E1118" s="17" t="str">
        <x:v>CopyStudio</x:v>
      </x:c>
      <x:c r="F1118" s="17" t="str">
        <x:v>Lite</x:v>
      </x:c>
      <x:c r="G1118" s="21" t="n">
        <x:v>37081</x:v>
      </x:c>
      <x:c r="H1118" s="21" t="n">
        <x:v>6574</x:v>
      </x:c>
      <x:c r="I1118" s="17" t="str">
        <x:v>Correction</x:v>
      </x:c>
    </x:row>
    <x:row r="1119" ht="23" customHeight="1">
      <x:c r="A1119" s="17" t="str">
        <x:v>U01113</x:v>
      </x:c>
      <x:c r="B1119" s="18" t="n">
        <x:v>46287</x:v>
      </x:c>
      <x:c r="C1119" s="17" t="str">
        <x:v>W0108</x:v>
      </x:c>
      <x:c r="D1119" s="17" t="str">
        <x:v>C002</x:v>
      </x:c>
      <x:c r="E1119" s="17" t="str">
        <x:v>CopyStudio</x:v>
      </x:c>
      <x:c r="F1119" s="17" t="str">
        <x:v>Lite</x:v>
      </x:c>
      <x:c r="G1119" s="21" t="n">
        <x:v>21951</x:v>
      </x:c>
      <x:c r="H1119" s="21" t="n">
        <x:v>5737</x:v>
      </x:c>
      <x:c r="I1119" s="17" t="str">
        <x:v>Followup</x:v>
      </x:c>
    </x:row>
    <x:row r="1120" ht="23" customHeight="1">
      <x:c r="A1120" s="17" t="str">
        <x:v>U01114</x:v>
      </x:c>
      <x:c r="B1120" s="18" t="n">
        <x:v>46276</x:v>
      </x:c>
      <x:c r="C1120" s="17" t="str">
        <x:v>W0110</x:v>
      </x:c>
      <x:c r="D1120" s="17" t="str">
        <x:v>C002</x:v>
      </x:c>
      <x:c r="E1120" s="17" t="str">
        <x:v>CampaignChat</x:v>
      </x:c>
      <x:c r="F1120" s="17" t="str">
        <x:v>Lite</x:v>
      </x:c>
      <x:c r="G1120" s="21" t="n">
        <x:v>19487</x:v>
      </x:c>
      <x:c r="H1120" s="21" t="n">
        <x:v>8576</x:v>
      </x:c>
      <x:c r="I1120" s="17" t="str">
        <x:v>First attempt</x:v>
      </x:c>
    </x:row>
    <x:row r="1121" ht="23" customHeight="1">
      <x:c r="A1121" s="17" t="str">
        <x:v>U01115</x:v>
      </x:c>
      <x:c r="B1121" s="18" t="n">
        <x:v>46276</x:v>
      </x:c>
      <x:c r="C1121" s="17" t="str">
        <x:v>W0110</x:v>
      </x:c>
      <x:c r="D1121" s="17" t="str">
        <x:v>C002</x:v>
      </x:c>
      <x:c r="E1121" s="17" t="str">
        <x:v>CampaignChat</x:v>
      </x:c>
      <x:c r="F1121" s="17" t="str">
        <x:v>Lite</x:v>
      </x:c>
      <x:c r="G1121" s="21" t="n">
        <x:v>26608</x:v>
      </x:c>
      <x:c r="H1121" s="21" t="n">
        <x:v>7306</x:v>
      </x:c>
      <x:c r="I1121" s="17" t="str">
        <x:v>Correction</x:v>
      </x:c>
    </x:row>
    <x:row r="1122" ht="23" customHeight="1">
      <x:c r="A1122" s="17" t="str">
        <x:v>U01116</x:v>
      </x:c>
      <x:c r="B1122" s="18" t="n">
        <x:v>46276</x:v>
      </x:c>
      <x:c r="C1122" s="17" t="str">
        <x:v>W0110</x:v>
      </x:c>
      <x:c r="D1122" s="17" t="str">
        <x:v>C002</x:v>
      </x:c>
      <x:c r="E1122" s="17" t="str">
        <x:v>CampaignChat</x:v>
      </x:c>
      <x:c r="F1122" s="17" t="str">
        <x:v>Lite</x:v>
      </x:c>
      <x:c r="G1122" s="21" t="n">
        <x:v>18347</x:v>
      </x:c>
      <x:c r="H1122" s="21" t="n">
        <x:v>9752</x:v>
      </x:c>
      <x:c r="I1122" s="17" t="str">
        <x:v>Followup</x:v>
      </x:c>
    </x:row>
    <x:row r="1123" ht="23" customHeight="1">
      <x:c r="A1123" s="17" t="str">
        <x:v>U01117</x:v>
      </x:c>
      <x:c r="B1123" s="18" t="n">
        <x:v>46276</x:v>
      </x:c>
      <x:c r="C1123" s="17" t="str">
        <x:v>W0110</x:v>
      </x:c>
      <x:c r="D1123" s="17" t="str">
        <x:v>C002</x:v>
      </x:c>
      <x:c r="E1123" s="17" t="str">
        <x:v>CampaignChat</x:v>
      </x:c>
      <x:c r="F1123" s="17" t="str">
        <x:v>Lite</x:v>
      </x:c>
      <x:c r="G1123" s="21" t="n">
        <x:v>35641</x:v>
      </x:c>
      <x:c r="H1123" s="21" t="n">
        <x:v>8675</x:v>
      </x:c>
      <x:c r="I1123" s="17" t="str">
        <x:v>Followup</x:v>
      </x:c>
    </x:row>
    <x:row r="1124" ht="23" customHeight="1">
      <x:c r="A1124" s="17" t="str">
        <x:v>U01118</x:v>
      </x:c>
      <x:c r="B1124" s="18" t="n">
        <x:v>46276</x:v>
      </x:c>
      <x:c r="C1124" s="17" t="str">
        <x:v>W0110</x:v>
      </x:c>
      <x:c r="D1124" s="17" t="str">
        <x:v>C002</x:v>
      </x:c>
      <x:c r="E1124" s="17" t="str">
        <x:v>CampaignChat</x:v>
      </x:c>
      <x:c r="F1124" s="17" t="str">
        <x:v>Lite</x:v>
      </x:c>
      <x:c r="G1124" s="21" t="n">
        <x:v>28225</x:v>
      </x:c>
      <x:c r="H1124" s="21" t="n">
        <x:v>9766</x:v>
      </x:c>
      <x:c r="I1124" s="17" t="str">
        <x:v>Followup</x:v>
      </x:c>
    </x:row>
    <x:row r="1125" ht="23" customHeight="1">
      <x:c r="A1125" s="17" t="str">
        <x:v>U01119</x:v>
      </x:c>
      <x:c r="B1125" s="18" t="n">
        <x:v>46276</x:v>
      </x:c>
      <x:c r="C1125" s="17" t="str">
        <x:v>W0110</x:v>
      </x:c>
      <x:c r="D1125" s="17" t="str">
        <x:v>C002</x:v>
      </x:c>
      <x:c r="E1125" s="17" t="str">
        <x:v>CampaignChat</x:v>
      </x:c>
      <x:c r="F1125" s="17" t="str">
        <x:v>Lite</x:v>
      </x:c>
      <x:c r="G1125" s="21" t="n">
        <x:v>40356</x:v>
      </x:c>
      <x:c r="H1125" s="21" t="n">
        <x:v>6886</x:v>
      </x:c>
      <x:c r="I1125" s="17" t="str">
        <x:v>Followup</x:v>
      </x:c>
    </x:row>
    <x:row r="1126" ht="23" customHeight="1">
      <x:c r="A1126" s="17" t="str">
        <x:v>U01120</x:v>
      </x:c>
      <x:c r="B1126" s="18" t="n">
        <x:v>46279</x:v>
      </x:c>
      <x:c r="C1126" s="17" t="str">
        <x:v>W0110</x:v>
      </x:c>
      <x:c r="D1126" s="17" t="str">
        <x:v>C002</x:v>
      </x:c>
      <x:c r="E1126" s="17" t="str">
        <x:v>CampaignChat</x:v>
      </x:c>
      <x:c r="F1126" s="17" t="str">
        <x:v>Lite</x:v>
      </x:c>
      <x:c r="G1126" s="21" t="n">
        <x:v>15460</x:v>
      </x:c>
      <x:c r="H1126" s="21" t="n">
        <x:v>9915</x:v>
      </x:c>
      <x:c r="I1126" s="17" t="str">
        <x:v>Followup</x:v>
      </x:c>
    </x:row>
    <x:row r="1127" ht="23" customHeight="1">
      <x:c r="A1127" s="17" t="str">
        <x:v>U01121</x:v>
      </x:c>
      <x:c r="B1127" s="18" t="n">
        <x:v>46279</x:v>
      </x:c>
      <x:c r="C1127" s="17" t="str">
        <x:v>W0110</x:v>
      </x:c>
      <x:c r="D1127" s="17" t="str">
        <x:v>C002</x:v>
      </x:c>
      <x:c r="E1127" s="17" t="str">
        <x:v>CampaignChat</x:v>
      </x:c>
      <x:c r="F1127" s="17" t="str">
        <x:v>Lite</x:v>
      </x:c>
      <x:c r="G1127" s="21" t="n">
        <x:v>23678</x:v>
      </x:c>
      <x:c r="H1127" s="21" t="n">
        <x:v>9160</x:v>
      </x:c>
      <x:c r="I1127" s="17" t="str">
        <x:v>Followup</x:v>
      </x:c>
    </x:row>
    <x:row r="1128" ht="23" customHeight="1">
      <x:c r="A1128" s="17" t="str">
        <x:v>U01122</x:v>
      </x:c>
      <x:c r="B1128" s="18" t="n">
        <x:v>46279</x:v>
      </x:c>
      <x:c r="C1128" s="17" t="str">
        <x:v>W0110</x:v>
      </x:c>
      <x:c r="D1128" s="17" t="str">
        <x:v>C002</x:v>
      </x:c>
      <x:c r="E1128" s="17" t="str">
        <x:v>CampaignChat</x:v>
      </x:c>
      <x:c r="F1128" s="17" t="str">
        <x:v>Lite</x:v>
      </x:c>
      <x:c r="G1128" s="21" t="n">
        <x:v>25758</x:v>
      </x:c>
      <x:c r="H1128" s="21" t="n">
        <x:v>6757</x:v>
      </x:c>
      <x:c r="I1128" s="17" t="str">
        <x:v>Followup</x:v>
      </x:c>
    </x:row>
    <x:row r="1129" ht="23" customHeight="1">
      <x:c r="A1129" s="17" t="str">
        <x:v>U01123</x:v>
      </x:c>
      <x:c r="B1129" s="18" t="n">
        <x:v>46279</x:v>
      </x:c>
      <x:c r="C1129" s="17" t="str">
        <x:v>W0110</x:v>
      </x:c>
      <x:c r="D1129" s="17" t="str">
        <x:v>C002</x:v>
      </x:c>
      <x:c r="E1129" s="17" t="str">
        <x:v>CampaignChat</x:v>
      </x:c>
      <x:c r="F1129" s="17" t="str">
        <x:v>Lite</x:v>
      </x:c>
      <x:c r="G1129" s="21" t="n">
        <x:v>30279</x:v>
      </x:c>
      <x:c r="H1129" s="21" t="n">
        <x:v>6438</x:v>
      </x:c>
      <x:c r="I1129" s="17" t="str">
        <x:v>Followup</x:v>
      </x:c>
    </x:row>
    <x:row r="1130" ht="23" customHeight="1">
      <x:c r="A1130" s="17" t="str">
        <x:v>U01124</x:v>
      </x:c>
      <x:c r="B1130" s="18" t="n">
        <x:v>46279</x:v>
      </x:c>
      <x:c r="C1130" s="17" t="str">
        <x:v>W0110</x:v>
      </x:c>
      <x:c r="D1130" s="17" t="str">
        <x:v>C002</x:v>
      </x:c>
      <x:c r="E1130" s="17" t="str">
        <x:v>CampaignChat</x:v>
      </x:c>
      <x:c r="F1130" s="17" t="str">
        <x:v>Lite</x:v>
      </x:c>
      <x:c r="G1130" s="21" t="n">
        <x:v>17569</x:v>
      </x:c>
      <x:c r="H1130" s="21" t="n">
        <x:v>7445</x:v>
      </x:c>
      <x:c r="I1130" s="17" t="str">
        <x:v>Correction</x:v>
      </x:c>
    </x:row>
    <x:row r="1131" ht="23" customHeight="1">
      <x:c r="A1131" s="17" t="str">
        <x:v>U01125</x:v>
      </x:c>
      <x:c r="B1131" s="18" t="n">
        <x:v>46280</x:v>
      </x:c>
      <x:c r="C1131" s="17" t="str">
        <x:v>W0110</x:v>
      </x:c>
      <x:c r="D1131" s="17" t="str">
        <x:v>C002</x:v>
      </x:c>
      <x:c r="E1131" s="17" t="str">
        <x:v>CampaignChat</x:v>
      </x:c>
      <x:c r="F1131" s="17" t="str">
        <x:v>Lite</x:v>
      </x:c>
      <x:c r="G1131" s="21" t="n">
        <x:v>14489</x:v>
      </x:c>
      <x:c r="H1131" s="21" t="n">
        <x:v>7235</x:v>
      </x:c>
      <x:c r="I1131" s="17" t="str">
        <x:v>Correction</x:v>
      </x:c>
    </x:row>
    <x:row r="1132" ht="23" customHeight="1">
      <x:c r="A1132" s="17" t="str">
        <x:v>U01126</x:v>
      </x:c>
      <x:c r="B1132" s="18" t="n">
        <x:v>46280</x:v>
      </x:c>
      <x:c r="C1132" s="17" t="str">
        <x:v>W0110</x:v>
      </x:c>
      <x:c r="D1132" s="17" t="str">
        <x:v>C002</x:v>
      </x:c>
      <x:c r="E1132" s="17" t="str">
        <x:v>CampaignChat</x:v>
      </x:c>
      <x:c r="F1132" s="17" t="str">
        <x:v>Lite</x:v>
      </x:c>
      <x:c r="G1132" s="21" t="n">
        <x:v>37246</x:v>
      </x:c>
      <x:c r="H1132" s="21" t="n">
        <x:v>8340</x:v>
      </x:c>
      <x:c r="I1132" s="17" t="str">
        <x:v>Correction</x:v>
      </x:c>
    </x:row>
    <x:row r="1133" ht="23" customHeight="1">
      <x:c r="A1133" s="17" t="str">
        <x:v>U01127</x:v>
      </x:c>
      <x:c r="B1133" s="18" t="n">
        <x:v>46280</x:v>
      </x:c>
      <x:c r="C1133" s="17" t="str">
        <x:v>W0110</x:v>
      </x:c>
      <x:c r="D1133" s="17" t="str">
        <x:v>C002</x:v>
      </x:c>
      <x:c r="E1133" s="17" t="str">
        <x:v>CampaignChat</x:v>
      </x:c>
      <x:c r="F1133" s="17" t="str">
        <x:v>Lite</x:v>
      </x:c>
      <x:c r="G1133" s="21" t="n">
        <x:v>16118</x:v>
      </x:c>
      <x:c r="H1133" s="21" t="n">
        <x:v>2866</x:v>
      </x:c>
      <x:c r="I1133" s="17" t="str">
        <x:v>Correction</x:v>
      </x:c>
    </x:row>
    <x:row r="1134" ht="23" customHeight="1">
      <x:c r="A1134" s="17" t="str">
        <x:v>U01128</x:v>
      </x:c>
      <x:c r="B1134" s="18" t="n">
        <x:v>46280</x:v>
      </x:c>
      <x:c r="C1134" s="17" t="str">
        <x:v>W0110</x:v>
      </x:c>
      <x:c r="D1134" s="17" t="str">
        <x:v>C002</x:v>
      </x:c>
      <x:c r="E1134" s="17" t="str">
        <x:v>CampaignChat</x:v>
      </x:c>
      <x:c r="F1134" s="17" t="str">
        <x:v>Lite</x:v>
      </x:c>
      <x:c r="G1134" s="21" t="n">
        <x:v>21704</x:v>
      </x:c>
      <x:c r="H1134" s="21" t="n">
        <x:v>9289</x:v>
      </x:c>
      <x:c r="I1134" s="17" t="str">
        <x:v>Correction</x:v>
      </x:c>
    </x:row>
    <x:row r="1135" ht="23" customHeight="1">
      <x:c r="A1135" s="17" t="str">
        <x:v>U01129</x:v>
      </x:c>
      <x:c r="B1135" s="18" t="n">
        <x:v>46280</x:v>
      </x:c>
      <x:c r="C1135" s="17" t="str">
        <x:v>W0110</x:v>
      </x:c>
      <x:c r="D1135" s="17" t="str">
        <x:v>C002</x:v>
      </x:c>
      <x:c r="E1135" s="17" t="str">
        <x:v>CampaignChat</x:v>
      </x:c>
      <x:c r="F1135" s="17" t="str">
        <x:v>Lite</x:v>
      </x:c>
      <x:c r="G1135" s="21" t="n">
        <x:v>26765</x:v>
      </x:c>
      <x:c r="H1135" s="21" t="n">
        <x:v>4470</x:v>
      </x:c>
      <x:c r="I1135" s="17" t="str">
        <x:v>Followup</x:v>
      </x:c>
    </x:row>
    <x:row r="1136" ht="23" customHeight="1">
      <x:c r="A1136" s="17" t="str">
        <x:v>U01130</x:v>
      </x:c>
      <x:c r="B1136" s="18" t="n">
        <x:v>46281</x:v>
      </x:c>
      <x:c r="C1136" s="17" t="str">
        <x:v>W0110</x:v>
      </x:c>
      <x:c r="D1136" s="17" t="str">
        <x:v>C002</x:v>
      </x:c>
      <x:c r="E1136" s="17" t="str">
        <x:v>CampaignChat</x:v>
      </x:c>
      <x:c r="F1136" s="17" t="str">
        <x:v>Lite</x:v>
      </x:c>
      <x:c r="G1136" s="21" t="n">
        <x:v>21007</x:v>
      </x:c>
      <x:c r="H1136" s="21" t="n">
        <x:v>7061</x:v>
      </x:c>
      <x:c r="I1136" s="17" t="str">
        <x:v>Followup</x:v>
      </x:c>
    </x:row>
    <x:row r="1137" ht="23" customHeight="1">
      <x:c r="A1137" s="17" t="str">
        <x:v>U01131</x:v>
      </x:c>
      <x:c r="B1137" s="18" t="n">
        <x:v>46281</x:v>
      </x:c>
      <x:c r="C1137" s="17" t="str">
        <x:v>W0110</x:v>
      </x:c>
      <x:c r="D1137" s="17" t="str">
        <x:v>C002</x:v>
      </x:c>
      <x:c r="E1137" s="17" t="str">
        <x:v>CampaignChat</x:v>
      </x:c>
      <x:c r="F1137" s="17" t="str">
        <x:v>Lite</x:v>
      </x:c>
      <x:c r="G1137" s="21" t="n">
        <x:v>35656</x:v>
      </x:c>
      <x:c r="H1137" s="21" t="n">
        <x:v>9024</x:v>
      </x:c>
      <x:c r="I1137" s="17" t="str">
        <x:v>Followup</x:v>
      </x:c>
    </x:row>
    <x:row r="1138" ht="23" customHeight="1">
      <x:c r="A1138" s="17" t="str">
        <x:v>U01132</x:v>
      </x:c>
      <x:c r="B1138" s="18" t="n">
        <x:v>46281</x:v>
      </x:c>
      <x:c r="C1138" s="17" t="str">
        <x:v>W0110</x:v>
      </x:c>
      <x:c r="D1138" s="17" t="str">
        <x:v>C002</x:v>
      </x:c>
      <x:c r="E1138" s="17" t="str">
        <x:v>CampaignChat</x:v>
      </x:c>
      <x:c r="F1138" s="17" t="str">
        <x:v>Lite</x:v>
      </x:c>
      <x:c r="G1138" s="21" t="n">
        <x:v>34707</x:v>
      </x:c>
      <x:c r="H1138" s="21" t="n">
        <x:v>5753</x:v>
      </x:c>
      <x:c r="I1138" s="17" t="str">
        <x:v>Correction</x:v>
      </x:c>
    </x:row>
    <x:row r="1139" ht="23" customHeight="1">
      <x:c r="A1139" s="17" t="str">
        <x:v>U01133</x:v>
      </x:c>
      <x:c r="B1139" s="18" t="n">
        <x:v>46281</x:v>
      </x:c>
      <x:c r="C1139" s="17" t="str">
        <x:v>W0110</x:v>
      </x:c>
      <x:c r="D1139" s="17" t="str">
        <x:v>C002</x:v>
      </x:c>
      <x:c r="E1139" s="17" t="str">
        <x:v>CampaignChat</x:v>
      </x:c>
      <x:c r="F1139" s="17" t="str">
        <x:v>Lite</x:v>
      </x:c>
      <x:c r="G1139" s="21" t="n">
        <x:v>29016</x:v>
      </x:c>
      <x:c r="H1139" s="21" t="n">
        <x:v>9563</x:v>
      </x:c>
      <x:c r="I1139" s="17" t="str">
        <x:v>Correction</x:v>
      </x:c>
    </x:row>
    <x:row r="1140" ht="23" customHeight="1">
      <x:c r="A1140" s="17" t="str">
        <x:v>U01134</x:v>
      </x:c>
      <x:c r="B1140" s="18" t="n">
        <x:v>46281</x:v>
      </x:c>
      <x:c r="C1140" s="17" t="str">
        <x:v>W0110</x:v>
      </x:c>
      <x:c r="D1140" s="17" t="str">
        <x:v>C002</x:v>
      </x:c>
      <x:c r="E1140" s="17" t="str">
        <x:v>CampaignChat</x:v>
      </x:c>
      <x:c r="F1140" s="17" t="str">
        <x:v>Lite</x:v>
      </x:c>
      <x:c r="G1140" s="21" t="n">
        <x:v>29845</x:v>
      </x:c>
      <x:c r="H1140" s="21" t="n">
        <x:v>7059</x:v>
      </x:c>
      <x:c r="I1140" s="17" t="str">
        <x:v>Correction</x:v>
      </x:c>
    </x:row>
    <x:row r="1141" ht="23" customHeight="1">
      <x:c r="A1141" s="17" t="str">
        <x:v>U01135</x:v>
      </x:c>
      <x:c r="B1141" s="18" t="n">
        <x:v>46287</x:v>
      </x:c>
      <x:c r="C1141" s="17" t="str">
        <x:v>W0111</x:v>
      </x:c>
      <x:c r="D1141" s="17" t="str">
        <x:v>C002</x:v>
      </x:c>
      <x:c r="E1141" s="17" t="str">
        <x:v>CampaignChat</x:v>
      </x:c>
      <x:c r="F1141" s="17" t="str">
        <x:v>Lite</x:v>
      </x:c>
      <x:c r="G1141" s="21" t="n">
        <x:v>31404</x:v>
      </x:c>
      <x:c r="H1141" s="21" t="n">
        <x:v>5158</x:v>
      </x:c>
      <x:c r="I1141" s="17" t="str">
        <x:v>First attempt</x:v>
      </x:c>
    </x:row>
    <x:row r="1142" ht="23" customHeight="1">
      <x:c r="A1142" s="17" t="str">
        <x:v>U01136</x:v>
      </x:c>
      <x:c r="B1142" s="18" t="n">
        <x:v>46287</x:v>
      </x:c>
      <x:c r="C1142" s="17" t="str">
        <x:v>W0111</x:v>
      </x:c>
      <x:c r="D1142" s="17" t="str">
        <x:v>C002</x:v>
      </x:c>
      <x:c r="E1142" s="17" t="str">
        <x:v>CampaignChat</x:v>
      </x:c>
      <x:c r="F1142" s="17" t="str">
        <x:v>Lite</x:v>
      </x:c>
      <x:c r="G1142" s="21" t="n">
        <x:v>27819</x:v>
      </x:c>
      <x:c r="H1142" s="21" t="n">
        <x:v>3378</x:v>
      </x:c>
      <x:c r="I1142" s="17" t="str">
        <x:v>Correction</x:v>
      </x:c>
    </x:row>
    <x:row r="1143" ht="23" customHeight="1">
      <x:c r="A1143" s="17" t="str">
        <x:v>U01137</x:v>
      </x:c>
      <x:c r="B1143" s="18" t="n">
        <x:v>46287</x:v>
      </x:c>
      <x:c r="C1143" s="17" t="str">
        <x:v>W0111</x:v>
      </x:c>
      <x:c r="D1143" s="17" t="str">
        <x:v>C002</x:v>
      </x:c>
      <x:c r="E1143" s="17" t="str">
        <x:v>CampaignChat</x:v>
      </x:c>
      <x:c r="F1143" s="17" t="str">
        <x:v>Lite</x:v>
      </x:c>
      <x:c r="G1143" s="21" t="n">
        <x:v>26728</x:v>
      </x:c>
      <x:c r="H1143" s="21" t="n">
        <x:v>4998</x:v>
      </x:c>
      <x:c r="I1143" s="17" t="str">
        <x:v>Followup</x:v>
      </x:c>
    </x:row>
    <x:row r="1144" ht="23" customHeight="1">
      <x:c r="A1144" s="17" t="str">
        <x:v>U01138</x:v>
      </x:c>
      <x:c r="B1144" s="18" t="n">
        <x:v>46287</x:v>
      </x:c>
      <x:c r="C1144" s="17" t="str">
        <x:v>W0111</x:v>
      </x:c>
      <x:c r="D1144" s="17" t="str">
        <x:v>C002</x:v>
      </x:c>
      <x:c r="E1144" s="17" t="str">
        <x:v>CampaignChat</x:v>
      </x:c>
      <x:c r="F1144" s="17" t="str">
        <x:v>Lite</x:v>
      </x:c>
      <x:c r="G1144" s="21" t="n">
        <x:v>24508</x:v>
      </x:c>
      <x:c r="H1144" s="21" t="n">
        <x:v>7527</x:v>
      </x:c>
      <x:c r="I1144" s="17" t="str">
        <x:v>Followup</x:v>
      </x:c>
    </x:row>
    <x:row r="1145" ht="23" customHeight="1">
      <x:c r="A1145" s="17" t="str">
        <x:v>U01139</x:v>
      </x:c>
      <x:c r="B1145" s="18" t="n">
        <x:v>46287</x:v>
      </x:c>
      <x:c r="C1145" s="17" t="str">
        <x:v>W0111</x:v>
      </x:c>
      <x:c r="D1145" s="17" t="str">
        <x:v>C002</x:v>
      </x:c>
      <x:c r="E1145" s="17" t="str">
        <x:v>CampaignChat</x:v>
      </x:c>
      <x:c r="F1145" s="17" t="str">
        <x:v>Lite</x:v>
      </x:c>
      <x:c r="G1145" s="21" t="n">
        <x:v>54864</x:v>
      </x:c>
      <x:c r="H1145" s="21" t="n">
        <x:v>9807</x:v>
      </x:c>
      <x:c r="I1145" s="17" t="str">
        <x:v>Correction</x:v>
      </x:c>
    </x:row>
    <x:row r="1146" ht="23" customHeight="1">
      <x:c r="A1146" s="17" t="str">
        <x:v>U01140</x:v>
      </x:c>
      <x:c r="B1146" s="18" t="n">
        <x:v>46287</x:v>
      </x:c>
      <x:c r="C1146" s="17" t="str">
        <x:v>W0111</x:v>
      </x:c>
      <x:c r="D1146" s="17" t="str">
        <x:v>C002</x:v>
      </x:c>
      <x:c r="E1146" s="17" t="str">
        <x:v>CampaignChat</x:v>
      </x:c>
      <x:c r="F1146" s="17" t="str">
        <x:v>Lite</x:v>
      </x:c>
      <x:c r="G1146" s="21" t="n">
        <x:v>56360</x:v>
      </x:c>
      <x:c r="H1146" s="21" t="n">
        <x:v>5108</x:v>
      </x:c>
      <x:c r="I1146" s="17" t="str">
        <x:v>Correction</x:v>
      </x:c>
    </x:row>
    <x:row r="1147" ht="23" customHeight="1">
      <x:c r="A1147" s="17" t="str">
        <x:v>U01141</x:v>
      </x:c>
      <x:c r="B1147" s="18" t="n">
        <x:v>46287</x:v>
      </x:c>
      <x:c r="C1147" s="17" t="str">
        <x:v>W0111</x:v>
      </x:c>
      <x:c r="D1147" s="17" t="str">
        <x:v>C002</x:v>
      </x:c>
      <x:c r="E1147" s="17" t="str">
        <x:v>CampaignChat</x:v>
      </x:c>
      <x:c r="F1147" s="17" t="str">
        <x:v>Lite</x:v>
      </x:c>
      <x:c r="G1147" s="21" t="n">
        <x:v>43324</x:v>
      </x:c>
      <x:c r="H1147" s="21" t="n">
        <x:v>8321</x:v>
      </x:c>
      <x:c r="I1147" s="17" t="str">
        <x:v>Followup</x:v>
      </x:c>
    </x:row>
    <x:row r="1148" ht="23" customHeight="1">
      <x:c r="A1148" s="17" t="str">
        <x:v>U01142</x:v>
      </x:c>
      <x:c r="B1148" s="18" t="n">
        <x:v>46288</x:v>
      </x:c>
      <x:c r="C1148" s="17" t="str">
        <x:v>W0111</x:v>
      </x:c>
      <x:c r="D1148" s="17" t="str">
        <x:v>C002</x:v>
      </x:c>
      <x:c r="E1148" s="17" t="str">
        <x:v>CampaignChat</x:v>
      </x:c>
      <x:c r="F1148" s="17" t="str">
        <x:v>Lite</x:v>
      </x:c>
      <x:c r="G1148" s="21" t="n">
        <x:v>52459</x:v>
      </x:c>
      <x:c r="H1148" s="21" t="n">
        <x:v>4748</x:v>
      </x:c>
      <x:c r="I1148" s="17" t="str">
        <x:v>Correction</x:v>
      </x:c>
    </x:row>
    <x:row r="1149" ht="23" customHeight="1">
      <x:c r="A1149" s="17" t="str">
        <x:v>U01143</x:v>
      </x:c>
      <x:c r="B1149" s="18" t="n">
        <x:v>46288</x:v>
      </x:c>
      <x:c r="C1149" s="17" t="str">
        <x:v>W0111</x:v>
      </x:c>
      <x:c r="D1149" s="17" t="str">
        <x:v>C002</x:v>
      </x:c>
      <x:c r="E1149" s="17" t="str">
        <x:v>CampaignChat</x:v>
      </x:c>
      <x:c r="F1149" s="17" t="str">
        <x:v>Lite</x:v>
      </x:c>
      <x:c r="G1149" s="21" t="n">
        <x:v>44832</x:v>
      </x:c>
      <x:c r="H1149" s="21" t="n">
        <x:v>4782</x:v>
      </x:c>
      <x:c r="I1149" s="17" t="str">
        <x:v>Followup</x:v>
      </x:c>
    </x:row>
    <x:row r="1150" ht="23" customHeight="1">
      <x:c r="A1150" s="17" t="str">
        <x:v>U01144</x:v>
      </x:c>
      <x:c r="B1150" s="18" t="n">
        <x:v>46288</x:v>
      </x:c>
      <x:c r="C1150" s="17" t="str">
        <x:v>W0111</x:v>
      </x:c>
      <x:c r="D1150" s="17" t="str">
        <x:v>C002</x:v>
      </x:c>
      <x:c r="E1150" s="17" t="str">
        <x:v>CampaignChat</x:v>
      </x:c>
      <x:c r="F1150" s="17" t="str">
        <x:v>Lite</x:v>
      </x:c>
      <x:c r="G1150" s="21" t="n">
        <x:v>43443</x:v>
      </x:c>
      <x:c r="H1150" s="21" t="n">
        <x:v>3710</x:v>
      </x:c>
      <x:c r="I1150" s="17" t="str">
        <x:v>Followup</x:v>
      </x:c>
    </x:row>
    <x:row r="1151" ht="23" customHeight="1">
      <x:c r="A1151" s="17" t="str">
        <x:v>U01145</x:v>
      </x:c>
      <x:c r="B1151" s="18" t="n">
        <x:v>46288</x:v>
      </x:c>
      <x:c r="C1151" s="17" t="str">
        <x:v>W0111</x:v>
      </x:c>
      <x:c r="D1151" s="17" t="str">
        <x:v>C002</x:v>
      </x:c>
      <x:c r="E1151" s="17" t="str">
        <x:v>CampaignChat</x:v>
      </x:c>
      <x:c r="F1151" s="17" t="str">
        <x:v>Lite</x:v>
      </x:c>
      <x:c r="G1151" s="21" t="n">
        <x:v>28911</x:v>
      </x:c>
      <x:c r="H1151" s="21" t="n">
        <x:v>4428</x:v>
      </x:c>
      <x:c r="I1151" s="17" t="str">
        <x:v>Followup</x:v>
      </x:c>
    </x:row>
    <x:row r="1152" ht="23" customHeight="1">
      <x:c r="A1152" s="17" t="str">
        <x:v>U01146</x:v>
      </x:c>
      <x:c r="B1152" s="18" t="n">
        <x:v>46288</x:v>
      </x:c>
      <x:c r="C1152" s="17" t="str">
        <x:v>W0111</x:v>
      </x:c>
      <x:c r="D1152" s="17" t="str">
        <x:v>C002</x:v>
      </x:c>
      <x:c r="E1152" s="17" t="str">
        <x:v>CampaignChat</x:v>
      </x:c>
      <x:c r="F1152" s="17" t="str">
        <x:v>Lite</x:v>
      </x:c>
      <x:c r="G1152" s="21" t="n">
        <x:v>45568</x:v>
      </x:c>
      <x:c r="H1152" s="21" t="n">
        <x:v>3849</x:v>
      </x:c>
      <x:c r="I1152" s="17" t="str">
        <x:v>Correction</x:v>
      </x:c>
    </x:row>
    <x:row r="1153" ht="23" customHeight="1">
      <x:c r="A1153" s="17" t="str">
        <x:v>U01147</x:v>
      </x:c>
      <x:c r="B1153" s="18" t="n">
        <x:v>46288</x:v>
      </x:c>
      <x:c r="C1153" s="17" t="str">
        <x:v>W0111</x:v>
      </x:c>
      <x:c r="D1153" s="17" t="str">
        <x:v>C002</x:v>
      </x:c>
      <x:c r="E1153" s="17" t="str">
        <x:v>CampaignChat</x:v>
      </x:c>
      <x:c r="F1153" s="17" t="str">
        <x:v>Lite</x:v>
      </x:c>
      <x:c r="G1153" s="21" t="n">
        <x:v>38873</x:v>
      </x:c>
      <x:c r="H1153" s="21" t="n">
        <x:v>3852</x:v>
      </x:c>
      <x:c r="I1153" s="17" t="str">
        <x:v>Followup</x:v>
      </x:c>
    </x:row>
    <x:row r="1154" ht="23" customHeight="1">
      <x:c r="A1154" s="17" t="str">
        <x:v>U01148</x:v>
      </x:c>
      <x:c r="B1154" s="18" t="n">
        <x:v>46289</x:v>
      </x:c>
      <x:c r="C1154" s="17" t="str">
        <x:v>W0111</x:v>
      </x:c>
      <x:c r="D1154" s="17" t="str">
        <x:v>C002</x:v>
      </x:c>
      <x:c r="E1154" s="17" t="str">
        <x:v>CampaignChat</x:v>
      </x:c>
      <x:c r="F1154" s="17" t="str">
        <x:v>Lite</x:v>
      </x:c>
      <x:c r="G1154" s="21" t="n">
        <x:v>24143</x:v>
      </x:c>
      <x:c r="H1154" s="21" t="n">
        <x:v>6660</x:v>
      </x:c>
      <x:c r="I1154" s="17" t="str">
        <x:v>Correction</x:v>
      </x:c>
    </x:row>
    <x:row r="1155" ht="23" customHeight="1">
      <x:c r="A1155" s="17" t="str">
        <x:v>U01149</x:v>
      </x:c>
      <x:c r="B1155" s="18" t="n">
        <x:v>46289</x:v>
      </x:c>
      <x:c r="C1155" s="17" t="str">
        <x:v>W0111</x:v>
      </x:c>
      <x:c r="D1155" s="17" t="str">
        <x:v>C002</x:v>
      </x:c>
      <x:c r="E1155" s="17" t="str">
        <x:v>CampaignChat</x:v>
      </x:c>
      <x:c r="F1155" s="17" t="str">
        <x:v>Lite</x:v>
      </x:c>
      <x:c r="G1155" s="21" t="n">
        <x:v>25224</x:v>
      </x:c>
      <x:c r="H1155" s="21" t="n">
        <x:v>3337</x:v>
      </x:c>
      <x:c r="I1155" s="17" t="str">
        <x:v>Correction</x:v>
      </x:c>
    </x:row>
    <x:row r="1156" ht="23" customHeight="1">
      <x:c r="A1156" s="17" t="str">
        <x:v>U01150</x:v>
      </x:c>
      <x:c r="B1156" s="18" t="n">
        <x:v>46289</x:v>
      </x:c>
      <x:c r="C1156" s="17" t="str">
        <x:v>W0111</x:v>
      </x:c>
      <x:c r="D1156" s="17" t="str">
        <x:v>C002</x:v>
      </x:c>
      <x:c r="E1156" s="17" t="str">
        <x:v>CampaignChat</x:v>
      </x:c>
      <x:c r="F1156" s="17" t="str">
        <x:v>Lite</x:v>
      </x:c>
      <x:c r="G1156" s="21" t="n">
        <x:v>42534</x:v>
      </x:c>
      <x:c r="H1156" s="21" t="n">
        <x:v>5716</x:v>
      </x:c>
      <x:c r="I1156" s="17" t="str">
        <x:v>Followup</x:v>
      </x:c>
    </x:row>
    <x:row r="1157" ht="23" customHeight="1">
      <x:c r="A1157" s="17" t="str">
        <x:v>U01151</x:v>
      </x:c>
      <x:c r="B1157" s="18" t="n">
        <x:v>46289</x:v>
      </x:c>
      <x:c r="C1157" s="17" t="str">
        <x:v>W0111</x:v>
      </x:c>
      <x:c r="D1157" s="17" t="str">
        <x:v>C002</x:v>
      </x:c>
      <x:c r="E1157" s="17" t="str">
        <x:v>CampaignChat</x:v>
      </x:c>
      <x:c r="F1157" s="17" t="str">
        <x:v>Lite</x:v>
      </x:c>
      <x:c r="G1157" s="21" t="n">
        <x:v>26547</x:v>
      </x:c>
      <x:c r="H1157" s="21" t="n">
        <x:v>6750</x:v>
      </x:c>
      <x:c r="I1157" s="17" t="str">
        <x:v>Correction</x:v>
      </x:c>
    </x:row>
    <x:row r="1158" ht="23" customHeight="1">
      <x:c r="A1158" s="17" t="str">
        <x:v>U01152</x:v>
      </x:c>
      <x:c r="B1158" s="18" t="n">
        <x:v>46289</x:v>
      </x:c>
      <x:c r="C1158" s="17" t="str">
        <x:v>W0111</x:v>
      </x:c>
      <x:c r="D1158" s="17" t="str">
        <x:v>C002</x:v>
      </x:c>
      <x:c r="E1158" s="17" t="str">
        <x:v>CampaignChat</x:v>
      </x:c>
      <x:c r="F1158" s="17" t="str">
        <x:v>Lite</x:v>
      </x:c>
      <x:c r="G1158" s="21" t="n">
        <x:v>27925</x:v>
      </x:c>
      <x:c r="H1158" s="21" t="n">
        <x:v>4943</x:v>
      </x:c>
      <x:c r="I1158" s="17" t="str">
        <x:v>Followup</x:v>
      </x:c>
    </x:row>
    <x:row r="1159" ht="23" customHeight="1">
      <x:c r="A1159" s="17" t="str">
        <x:v>U01153</x:v>
      </x:c>
      <x:c r="B1159" s="18" t="n">
        <x:v>46289</x:v>
      </x:c>
      <x:c r="C1159" s="17" t="str">
        <x:v>W0111</x:v>
      </x:c>
      <x:c r="D1159" s="17" t="str">
        <x:v>C002</x:v>
      </x:c>
      <x:c r="E1159" s="17" t="str">
        <x:v>CampaignChat</x:v>
      </x:c>
      <x:c r="F1159" s="17" t="str">
        <x:v>Lite</x:v>
      </x:c>
      <x:c r="G1159" s="21" t="n">
        <x:v>56504</x:v>
      </x:c>
      <x:c r="H1159" s="21" t="n">
        <x:v>6713</x:v>
      </x:c>
      <x:c r="I1159" s="17" t="str">
        <x:v>Correction</x:v>
      </x:c>
    </x:row>
    <x:row r="1160" ht="23" customHeight="1">
      <x:c r="A1160" s="17" t="str">
        <x:v>U01154</x:v>
      </x:c>
      <x:c r="B1160" s="18" t="n">
        <x:v>46290</x:v>
      </x:c>
      <x:c r="C1160" s="17" t="str">
        <x:v>W0111</x:v>
      </x:c>
      <x:c r="D1160" s="17" t="str">
        <x:v>C002</x:v>
      </x:c>
      <x:c r="E1160" s="17" t="str">
        <x:v>CampaignChat</x:v>
      </x:c>
      <x:c r="F1160" s="17" t="str">
        <x:v>Lite</x:v>
      </x:c>
      <x:c r="G1160" s="21" t="n">
        <x:v>27643</x:v>
      </x:c>
      <x:c r="H1160" s="21" t="n">
        <x:v>8161</x:v>
      </x:c>
      <x:c r="I1160" s="17" t="str">
        <x:v>Correction</x:v>
      </x:c>
    </x:row>
    <x:row r="1161" ht="23" customHeight="1">
      <x:c r="A1161" s="17" t="str">
        <x:v>U01155</x:v>
      </x:c>
      <x:c r="B1161" s="18" t="n">
        <x:v>46290</x:v>
      </x:c>
      <x:c r="C1161" s="17" t="str">
        <x:v>W0111</x:v>
      </x:c>
      <x:c r="D1161" s="17" t="str">
        <x:v>C002</x:v>
      </x:c>
      <x:c r="E1161" s="17" t="str">
        <x:v>CampaignChat</x:v>
      </x:c>
      <x:c r="F1161" s="17" t="str">
        <x:v>Lite</x:v>
      </x:c>
      <x:c r="G1161" s="21" t="n">
        <x:v>37815</x:v>
      </x:c>
      <x:c r="H1161" s="21" t="n">
        <x:v>8877</x:v>
      </x:c>
      <x:c r="I1161" s="17" t="str">
        <x:v>Correction</x:v>
      </x:c>
    </x:row>
    <x:row r="1162" ht="23" customHeight="1">
      <x:c r="A1162" s="17" t="str">
        <x:v>U01156</x:v>
      </x:c>
      <x:c r="B1162" s="18" t="n">
        <x:v>46290</x:v>
      </x:c>
      <x:c r="C1162" s="17" t="str">
        <x:v>W0111</x:v>
      </x:c>
      <x:c r="D1162" s="17" t="str">
        <x:v>C002</x:v>
      </x:c>
      <x:c r="E1162" s="17" t="str">
        <x:v>CampaignChat</x:v>
      </x:c>
      <x:c r="F1162" s="17" t="str">
        <x:v>Lite</x:v>
      </x:c>
      <x:c r="G1162" s="21" t="n">
        <x:v>22062</x:v>
      </x:c>
      <x:c r="H1162" s="21" t="n">
        <x:v>4206</x:v>
      </x:c>
      <x:c r="I1162" s="17" t="str">
        <x:v>Correction</x:v>
      </x:c>
    </x:row>
    <x:row r="1163" ht="23" customHeight="1">
      <x:c r="A1163" s="17" t="str">
        <x:v>U01157</x:v>
      </x:c>
      <x:c r="B1163" s="18" t="n">
        <x:v>46290</x:v>
      </x:c>
      <x:c r="C1163" s="17" t="str">
        <x:v>W0111</x:v>
      </x:c>
      <x:c r="D1163" s="17" t="str">
        <x:v>C002</x:v>
      </x:c>
      <x:c r="E1163" s="17" t="str">
        <x:v>CampaignChat</x:v>
      </x:c>
      <x:c r="F1163" s="17" t="str">
        <x:v>Lite</x:v>
      </x:c>
      <x:c r="G1163" s="21" t="n">
        <x:v>41453</x:v>
      </x:c>
      <x:c r="H1163" s="21" t="n">
        <x:v>2903</x:v>
      </x:c>
      <x:c r="I1163" s="17" t="str">
        <x:v>Followup</x:v>
      </x:c>
    </x:row>
    <x:row r="1164" ht="23" customHeight="1">
      <x:c r="A1164" s="17" t="str">
        <x:v>U01158</x:v>
      </x:c>
      <x:c r="B1164" s="18" t="n">
        <x:v>46290</x:v>
      </x:c>
      <x:c r="C1164" s="17" t="str">
        <x:v>W0111</x:v>
      </x:c>
      <x:c r="D1164" s="17" t="str">
        <x:v>C002</x:v>
      </x:c>
      <x:c r="E1164" s="17" t="str">
        <x:v>CampaignChat</x:v>
      </x:c>
      <x:c r="F1164" s="17" t="str">
        <x:v>Lite</x:v>
      </x:c>
      <x:c r="G1164" s="21" t="n">
        <x:v>49627</x:v>
      </x:c>
      <x:c r="H1164" s="21" t="n">
        <x:v>7269</x:v>
      </x:c>
      <x:c r="I1164" s="17" t="str">
        <x:v>Followup</x:v>
      </x:c>
    </x:row>
    <x:row r="1165" ht="23" customHeight="1">
      <x:c r="A1165" s="17" t="str">
        <x:v>U01159</x:v>
      </x:c>
      <x:c r="B1165" s="18" t="n">
        <x:v>46290</x:v>
      </x:c>
      <x:c r="C1165" s="17" t="str">
        <x:v>W0111</x:v>
      </x:c>
      <x:c r="D1165" s="17" t="str">
        <x:v>C002</x:v>
      </x:c>
      <x:c r="E1165" s="17" t="str">
        <x:v>CampaignChat</x:v>
      </x:c>
      <x:c r="F1165" s="17" t="str">
        <x:v>Lite</x:v>
      </x:c>
      <x:c r="G1165" s="21" t="n">
        <x:v>52548</x:v>
      </x:c>
      <x:c r="H1165" s="21" t="n">
        <x:v>9407</x:v>
      </x:c>
      <x:c r="I1165" s="17" t="str">
        <x:v>Correction</x:v>
      </x:c>
    </x:row>
    <x:row r="1166" ht="23" customHeight="1">
      <x:c r="A1166" s="17" t="str">
        <x:v>U01160</x:v>
      </x:c>
      <x:c r="B1166" s="18" t="n">
        <x:v>46269</x:v>
      </x:c>
      <x:c r="C1166" s="17" t="str">
        <x:v>W0112</x:v>
      </x:c>
      <x:c r="D1166" s="17" t="str">
        <x:v>C002</x:v>
      </x:c>
      <x:c r="E1166" s="17" t="str">
        <x:v>DataFlow</x:v>
      </x:c>
      <x:c r="F1166" s="17" t="str">
        <x:v>Lite</x:v>
      </x:c>
      <x:c r="G1166" s="21" t="n">
        <x:v>40766</x:v>
      </x:c>
      <x:c r="H1166" s="21" t="n">
        <x:v>5062</x:v>
      </x:c>
      <x:c r="I1166" s="17" t="str">
        <x:v>First attempt</x:v>
      </x:c>
    </x:row>
    <x:row r="1167" ht="23" customHeight="1">
      <x:c r="A1167" s="17" t="str">
        <x:v>U01161</x:v>
      </x:c>
      <x:c r="B1167" s="18" t="n">
        <x:v>46269</x:v>
      </x:c>
      <x:c r="C1167" s="17" t="str">
        <x:v>W0112</x:v>
      </x:c>
      <x:c r="D1167" s="17" t="str">
        <x:v>C002</x:v>
      </x:c>
      <x:c r="E1167" s="17" t="str">
        <x:v>DataFlow</x:v>
      </x:c>
      <x:c r="F1167" s="17" t="str">
        <x:v>Lite</x:v>
      </x:c>
      <x:c r="G1167" s="21" t="n">
        <x:v>29697</x:v>
      </x:c>
      <x:c r="H1167" s="21" t="n">
        <x:v>8599</x:v>
      </x:c>
      <x:c r="I1167" s="17" t="str">
        <x:v>Followup</x:v>
      </x:c>
    </x:row>
    <x:row r="1168" ht="23" customHeight="1">
      <x:c r="A1168" s="17" t="str">
        <x:v>U01162</x:v>
      </x:c>
      <x:c r="B1168" s="18" t="n">
        <x:v>46269</x:v>
      </x:c>
      <x:c r="C1168" s="17" t="str">
        <x:v>W0112</x:v>
      </x:c>
      <x:c r="D1168" s="17" t="str">
        <x:v>C002</x:v>
      </x:c>
      <x:c r="E1168" s="17" t="str">
        <x:v>DataFlow</x:v>
      </x:c>
      <x:c r="F1168" s="17" t="str">
        <x:v>Lite</x:v>
      </x:c>
      <x:c r="G1168" s="21" t="n">
        <x:v>31012</x:v>
      </x:c>
      <x:c r="H1168" s="21" t="n">
        <x:v>10224</x:v>
      </x:c>
      <x:c r="I1168" s="17" t="str">
        <x:v>Correction</x:v>
      </x:c>
    </x:row>
    <x:row r="1169" ht="23" customHeight="1">
      <x:c r="A1169" s="17" t="str">
        <x:v>U01163</x:v>
      </x:c>
      <x:c r="B1169" s="18" t="n">
        <x:v>46269</x:v>
      </x:c>
      <x:c r="C1169" s="17" t="str">
        <x:v>W0112</x:v>
      </x:c>
      <x:c r="D1169" s="17" t="str">
        <x:v>C002</x:v>
      </x:c>
      <x:c r="E1169" s="17" t="str">
        <x:v>DataFlow</x:v>
      </x:c>
      <x:c r="F1169" s="17" t="str">
        <x:v>Lite</x:v>
      </x:c>
      <x:c r="G1169" s="21" t="n">
        <x:v>28913</x:v>
      </x:c>
      <x:c r="H1169" s="21" t="n">
        <x:v>9894</x:v>
      </x:c>
      <x:c r="I1169" s="17" t="str">
        <x:v>Correction</x:v>
      </x:c>
    </x:row>
    <x:row r="1170" ht="23" customHeight="1">
      <x:c r="A1170" s="17" t="str">
        <x:v>U01164</x:v>
      </x:c>
      <x:c r="B1170" s="18" t="n">
        <x:v>46269</x:v>
      </x:c>
      <x:c r="C1170" s="17" t="str">
        <x:v>W0112</x:v>
      </x:c>
      <x:c r="D1170" s="17" t="str">
        <x:v>C002</x:v>
      </x:c>
      <x:c r="E1170" s="17" t="str">
        <x:v>DataFlow</x:v>
      </x:c>
      <x:c r="F1170" s="17" t="str">
        <x:v>Lite</x:v>
      </x:c>
      <x:c r="G1170" s="21" t="n">
        <x:v>37762</x:v>
      </x:c>
      <x:c r="H1170" s="21" t="n">
        <x:v>4594</x:v>
      </x:c>
      <x:c r="I1170" s="17" t="str">
        <x:v>Followup</x:v>
      </x:c>
    </x:row>
    <x:row r="1171" ht="23" customHeight="1">
      <x:c r="A1171" s="17" t="str">
        <x:v>U01165</x:v>
      </x:c>
      <x:c r="B1171" s="18" t="n">
        <x:v>46269</x:v>
      </x:c>
      <x:c r="C1171" s="17" t="str">
        <x:v>W0112</x:v>
      </x:c>
      <x:c r="D1171" s="17" t="str">
        <x:v>C002</x:v>
      </x:c>
      <x:c r="E1171" s="17" t="str">
        <x:v>DataFlow</x:v>
      </x:c>
      <x:c r="F1171" s="17" t="str">
        <x:v>Lite</x:v>
      </x:c>
      <x:c r="G1171" s="21" t="n">
        <x:v>27297</x:v>
      </x:c>
      <x:c r="H1171" s="21" t="n">
        <x:v>10510</x:v>
      </x:c>
      <x:c r="I1171" s="17" t="str">
        <x:v>Correction</x:v>
      </x:c>
    </x:row>
    <x:row r="1172" ht="23" customHeight="1">
      <x:c r="A1172" s="17" t="str">
        <x:v>U01166</x:v>
      </x:c>
      <x:c r="B1172" s="18" t="n">
        <x:v>46269</x:v>
      </x:c>
      <x:c r="C1172" s="17" t="str">
        <x:v>W0112</x:v>
      </x:c>
      <x:c r="D1172" s="17" t="str">
        <x:v>C002</x:v>
      </x:c>
      <x:c r="E1172" s="17" t="str">
        <x:v>DataFlow</x:v>
      </x:c>
      <x:c r="F1172" s="17" t="str">
        <x:v>Lite</x:v>
      </x:c>
      <x:c r="G1172" s="21" t="n">
        <x:v>44705</x:v>
      </x:c>
      <x:c r="H1172" s="21" t="n">
        <x:v>9339</x:v>
      </x:c>
      <x:c r="I1172" s="17" t="str">
        <x:v>Followup</x:v>
      </x:c>
    </x:row>
    <x:row r="1173" ht="23" customHeight="1">
      <x:c r="A1173" s="17" t="str">
        <x:v>U01167</x:v>
      </x:c>
      <x:c r="B1173" s="18" t="n">
        <x:v>46273</x:v>
      </x:c>
      <x:c r="C1173" s="17" t="str">
        <x:v>W0112</x:v>
      </x:c>
      <x:c r="D1173" s="17" t="str">
        <x:v>C002</x:v>
      </x:c>
      <x:c r="E1173" s="17" t="str">
        <x:v>DataFlow</x:v>
      </x:c>
      <x:c r="F1173" s="17" t="str">
        <x:v>Lite</x:v>
      </x:c>
      <x:c r="G1173" s="21" t="n">
        <x:v>25212</x:v>
      </x:c>
      <x:c r="H1173" s="21" t="n">
        <x:v>9482</x:v>
      </x:c>
      <x:c r="I1173" s="17" t="str">
        <x:v>Correction</x:v>
      </x:c>
    </x:row>
    <x:row r="1174" ht="23" customHeight="1">
      <x:c r="A1174" s="17" t="str">
        <x:v>U01168</x:v>
      </x:c>
      <x:c r="B1174" s="18" t="n">
        <x:v>46273</x:v>
      </x:c>
      <x:c r="C1174" s="17" t="str">
        <x:v>W0112</x:v>
      </x:c>
      <x:c r="D1174" s="17" t="str">
        <x:v>C002</x:v>
      </x:c>
      <x:c r="E1174" s="17" t="str">
        <x:v>DataFlow</x:v>
      </x:c>
      <x:c r="F1174" s="17" t="str">
        <x:v>Lite</x:v>
      </x:c>
      <x:c r="G1174" s="21" t="n">
        <x:v>34383</x:v>
      </x:c>
      <x:c r="H1174" s="21" t="n">
        <x:v>8849</x:v>
      </x:c>
      <x:c r="I1174" s="17" t="str">
        <x:v>Followup</x:v>
      </x:c>
    </x:row>
    <x:row r="1175" ht="23" customHeight="1">
      <x:c r="A1175" s="17" t="str">
        <x:v>U01169</x:v>
      </x:c>
      <x:c r="B1175" s="18" t="n">
        <x:v>46273</x:v>
      </x:c>
      <x:c r="C1175" s="17" t="str">
        <x:v>W0112</x:v>
      </x:c>
      <x:c r="D1175" s="17" t="str">
        <x:v>C002</x:v>
      </x:c>
      <x:c r="E1175" s="17" t="str">
        <x:v>DataFlow</x:v>
      </x:c>
      <x:c r="F1175" s="17" t="str">
        <x:v>Lite</x:v>
      </x:c>
      <x:c r="G1175" s="21" t="n">
        <x:v>43340</x:v>
      </x:c>
      <x:c r="H1175" s="21" t="n">
        <x:v>6314</x:v>
      </x:c>
      <x:c r="I1175" s="17" t="str">
        <x:v>Correction</x:v>
      </x:c>
    </x:row>
    <x:row r="1176" ht="23" customHeight="1">
      <x:c r="A1176" s="17" t="str">
        <x:v>U01170</x:v>
      </x:c>
      <x:c r="B1176" s="18" t="n">
        <x:v>46273</x:v>
      </x:c>
      <x:c r="C1176" s="17" t="str">
        <x:v>W0112</x:v>
      </x:c>
      <x:c r="D1176" s="17" t="str">
        <x:v>C002</x:v>
      </x:c>
      <x:c r="E1176" s="17" t="str">
        <x:v>DataFlow</x:v>
      </x:c>
      <x:c r="F1176" s="17" t="str">
        <x:v>Lite</x:v>
      </x:c>
      <x:c r="G1176" s="21" t="n">
        <x:v>32081</x:v>
      </x:c>
      <x:c r="H1176" s="21" t="n">
        <x:v>5343</x:v>
      </x:c>
      <x:c r="I1176" s="17" t="str">
        <x:v>Followup</x:v>
      </x:c>
    </x:row>
    <x:row r="1177" ht="23" customHeight="1">
      <x:c r="A1177" s="17" t="str">
        <x:v>U01171</x:v>
      </x:c>
      <x:c r="B1177" s="18" t="n">
        <x:v>46273</x:v>
      </x:c>
      <x:c r="C1177" s="17" t="str">
        <x:v>W0112</x:v>
      </x:c>
      <x:c r="D1177" s="17" t="str">
        <x:v>C002</x:v>
      </x:c>
      <x:c r="E1177" s="17" t="str">
        <x:v>DataFlow</x:v>
      </x:c>
      <x:c r="F1177" s="17" t="str">
        <x:v>Lite</x:v>
      </x:c>
      <x:c r="G1177" s="21" t="n">
        <x:v>15154</x:v>
      </x:c>
      <x:c r="H1177" s="21" t="n">
        <x:v>6882</x:v>
      </x:c>
      <x:c r="I1177" s="17" t="str">
        <x:v>Followup</x:v>
      </x:c>
    </x:row>
    <x:row r="1178" ht="23" customHeight="1">
      <x:c r="A1178" s="17" t="str">
        <x:v>U01172</x:v>
      </x:c>
      <x:c r="B1178" s="18" t="n">
        <x:v>46273</x:v>
      </x:c>
      <x:c r="C1178" s="17" t="str">
        <x:v>W0112</x:v>
      </x:c>
      <x:c r="D1178" s="17" t="str">
        <x:v>C002</x:v>
      </x:c>
      <x:c r="E1178" s="17" t="str">
        <x:v>DataFlow</x:v>
      </x:c>
      <x:c r="F1178" s="17" t="str">
        <x:v>Lite</x:v>
      </x:c>
      <x:c r="G1178" s="21" t="n">
        <x:v>43947</x:v>
      </x:c>
      <x:c r="H1178" s="21" t="n">
        <x:v>12013</x:v>
      </x:c>
      <x:c r="I1178" s="17" t="str">
        <x:v>Followup</x:v>
      </x:c>
    </x:row>
    <x:row r="1179" ht="23" customHeight="1">
      <x:c r="A1179" s="17" t="str">
        <x:v>U01173</x:v>
      </x:c>
      <x:c r="B1179" s="18" t="n">
        <x:v>46274</x:v>
      </x:c>
      <x:c r="C1179" s="17" t="str">
        <x:v>W0112</x:v>
      </x:c>
      <x:c r="D1179" s="17" t="str">
        <x:v>C002</x:v>
      </x:c>
      <x:c r="E1179" s="17" t="str">
        <x:v>DataFlow</x:v>
      </x:c>
      <x:c r="F1179" s="17" t="str">
        <x:v>Lite</x:v>
      </x:c>
      <x:c r="G1179" s="21" t="n">
        <x:v>40206</x:v>
      </x:c>
      <x:c r="H1179" s="21" t="n">
        <x:v>4212</x:v>
      </x:c>
      <x:c r="I1179" s="17" t="str">
        <x:v>Correction</x:v>
      </x:c>
    </x:row>
    <x:row r="1180" ht="23" customHeight="1">
      <x:c r="A1180" s="17" t="str">
        <x:v>U01174</x:v>
      </x:c>
      <x:c r="B1180" s="18" t="n">
        <x:v>46274</x:v>
      </x:c>
      <x:c r="C1180" s="17" t="str">
        <x:v>W0112</x:v>
      </x:c>
      <x:c r="D1180" s="17" t="str">
        <x:v>C002</x:v>
      </x:c>
      <x:c r="E1180" s="17" t="str">
        <x:v>DataFlow</x:v>
      </x:c>
      <x:c r="F1180" s="17" t="str">
        <x:v>Lite</x:v>
      </x:c>
      <x:c r="G1180" s="21" t="n">
        <x:v>33657</x:v>
      </x:c>
      <x:c r="H1180" s="21" t="n">
        <x:v>4484</x:v>
      </x:c>
      <x:c r="I1180" s="17" t="str">
        <x:v>Followup</x:v>
      </x:c>
    </x:row>
    <x:row r="1181" ht="23" customHeight="1">
      <x:c r="A1181" s="17" t="str">
        <x:v>U01175</x:v>
      </x:c>
      <x:c r="B1181" s="18" t="n">
        <x:v>46274</x:v>
      </x:c>
      <x:c r="C1181" s="17" t="str">
        <x:v>W0112</x:v>
      </x:c>
      <x:c r="D1181" s="17" t="str">
        <x:v>C002</x:v>
      </x:c>
      <x:c r="E1181" s="17" t="str">
        <x:v>DataFlow</x:v>
      </x:c>
      <x:c r="F1181" s="17" t="str">
        <x:v>Lite</x:v>
      </x:c>
      <x:c r="G1181" s="21" t="n">
        <x:v>36005</x:v>
      </x:c>
      <x:c r="H1181" s="21" t="n">
        <x:v>5895</x:v>
      </x:c>
      <x:c r="I1181" s="17" t="str">
        <x:v>Followup</x:v>
      </x:c>
    </x:row>
    <x:row r="1182" ht="23" customHeight="1">
      <x:c r="A1182" s="17" t="str">
        <x:v>U01176</x:v>
      </x:c>
      <x:c r="B1182" s="18" t="n">
        <x:v>46274</x:v>
      </x:c>
      <x:c r="C1182" s="17" t="str">
        <x:v>W0112</x:v>
      </x:c>
      <x:c r="D1182" s="17" t="str">
        <x:v>C002</x:v>
      </x:c>
      <x:c r="E1182" s="17" t="str">
        <x:v>DataFlow</x:v>
      </x:c>
      <x:c r="F1182" s="17" t="str">
        <x:v>Lite</x:v>
      </x:c>
      <x:c r="G1182" s="21" t="n">
        <x:v>17484</x:v>
      </x:c>
      <x:c r="H1182" s="21" t="n">
        <x:v>12820</x:v>
      </x:c>
      <x:c r="I1182" s="17" t="str">
        <x:v>Correction</x:v>
      </x:c>
    </x:row>
    <x:row r="1183" ht="23" customHeight="1">
      <x:c r="A1183" s="17" t="str">
        <x:v>U01177</x:v>
      </x:c>
      <x:c r="B1183" s="18" t="n">
        <x:v>46274</x:v>
      </x:c>
      <x:c r="C1183" s="17" t="str">
        <x:v>W0112</x:v>
      </x:c>
      <x:c r="D1183" s="17" t="str">
        <x:v>C002</x:v>
      </x:c>
      <x:c r="E1183" s="17" t="str">
        <x:v>DataFlow</x:v>
      </x:c>
      <x:c r="F1183" s="17" t="str">
        <x:v>Lite</x:v>
      </x:c>
      <x:c r="G1183" s="21" t="n">
        <x:v>36544</x:v>
      </x:c>
      <x:c r="H1183" s="21" t="n">
        <x:v>14403</x:v>
      </x:c>
      <x:c r="I1183" s="17" t="str">
        <x:v>Followup</x:v>
      </x:c>
    </x:row>
    <x:row r="1184" ht="23" customHeight="1">
      <x:c r="A1184" s="17" t="str">
        <x:v>U01178</x:v>
      </x:c>
      <x:c r="B1184" s="18" t="n">
        <x:v>46274</x:v>
      </x:c>
      <x:c r="C1184" s="17" t="str">
        <x:v>W0112</x:v>
      </x:c>
      <x:c r="D1184" s="17" t="str">
        <x:v>C002</x:v>
      </x:c>
      <x:c r="E1184" s="17" t="str">
        <x:v>DataFlow</x:v>
      </x:c>
      <x:c r="F1184" s="17" t="str">
        <x:v>Lite</x:v>
      </x:c>
      <x:c r="G1184" s="21" t="n">
        <x:v>37324</x:v>
      </x:c>
      <x:c r="H1184" s="21" t="n">
        <x:v>13372</x:v>
      </x:c>
      <x:c r="I1184" s="17" t="str">
        <x:v>Followup</x:v>
      </x:c>
    </x:row>
    <x:row r="1185" ht="23" customHeight="1">
      <x:c r="A1185" s="17" t="str">
        <x:v>U01179</x:v>
      </x:c>
      <x:c r="B1185" s="18" t="n">
        <x:v>46275</x:v>
      </x:c>
      <x:c r="C1185" s="17" t="str">
        <x:v>W0112</x:v>
      </x:c>
      <x:c r="D1185" s="17" t="str">
        <x:v>C002</x:v>
      </x:c>
      <x:c r="E1185" s="17" t="str">
        <x:v>DataFlow</x:v>
      </x:c>
      <x:c r="F1185" s="17" t="str">
        <x:v>Lite</x:v>
      </x:c>
      <x:c r="G1185" s="21" t="n">
        <x:v>25012</x:v>
      </x:c>
      <x:c r="H1185" s="21" t="n">
        <x:v>4813</x:v>
      </x:c>
      <x:c r="I1185" s="17" t="str">
        <x:v>Followup</x:v>
      </x:c>
    </x:row>
    <x:row r="1186" ht="23" customHeight="1">
      <x:c r="A1186" s="17" t="str">
        <x:v>U01180</x:v>
      </x:c>
      <x:c r="B1186" s="18" t="n">
        <x:v>46275</x:v>
      </x:c>
      <x:c r="C1186" s="17" t="str">
        <x:v>W0112</x:v>
      </x:c>
      <x:c r="D1186" s="17" t="str">
        <x:v>C002</x:v>
      </x:c>
      <x:c r="E1186" s="17" t="str">
        <x:v>DataFlow</x:v>
      </x:c>
      <x:c r="F1186" s="17" t="str">
        <x:v>Lite</x:v>
      </x:c>
      <x:c r="G1186" s="21" t="n">
        <x:v>22021</x:v>
      </x:c>
      <x:c r="H1186" s="21" t="n">
        <x:v>5556</x:v>
      </x:c>
      <x:c r="I1186" s="17" t="str">
        <x:v>Followup</x:v>
      </x:c>
    </x:row>
    <x:row r="1187" ht="23" customHeight="1">
      <x:c r="A1187" s="17" t="str">
        <x:v>U01181</x:v>
      </x:c>
      <x:c r="B1187" s="18" t="n">
        <x:v>46275</x:v>
      </x:c>
      <x:c r="C1187" s="17" t="str">
        <x:v>W0112</x:v>
      </x:c>
      <x:c r="D1187" s="17" t="str">
        <x:v>C002</x:v>
      </x:c>
      <x:c r="E1187" s="17" t="str">
        <x:v>DataFlow</x:v>
      </x:c>
      <x:c r="F1187" s="17" t="str">
        <x:v>Lite</x:v>
      </x:c>
      <x:c r="G1187" s="21" t="n">
        <x:v>27437</x:v>
      </x:c>
      <x:c r="H1187" s="21" t="n">
        <x:v>8105</x:v>
      </x:c>
      <x:c r="I1187" s="17" t="str">
        <x:v>Correction</x:v>
      </x:c>
    </x:row>
    <x:row r="1188" ht="23" customHeight="1">
      <x:c r="A1188" s="17" t="str">
        <x:v>U01182</x:v>
      </x:c>
      <x:c r="B1188" s="18" t="n">
        <x:v>46275</x:v>
      </x:c>
      <x:c r="C1188" s="17" t="str">
        <x:v>W0112</x:v>
      </x:c>
      <x:c r="D1188" s="17" t="str">
        <x:v>C002</x:v>
      </x:c>
      <x:c r="E1188" s="17" t="str">
        <x:v>DataFlow</x:v>
      </x:c>
      <x:c r="F1188" s="17" t="str">
        <x:v>Lite</x:v>
      </x:c>
      <x:c r="G1188" s="21" t="n">
        <x:v>15729</x:v>
      </x:c>
      <x:c r="H1188" s="21" t="n">
        <x:v>15365</x:v>
      </x:c>
      <x:c r="I1188" s="17" t="str">
        <x:v>Correction</x:v>
      </x:c>
    </x:row>
    <x:row r="1189" ht="23" customHeight="1">
      <x:c r="A1189" s="17" t="str">
        <x:v>U01183</x:v>
      </x:c>
      <x:c r="B1189" s="18" t="n">
        <x:v>46275</x:v>
      </x:c>
      <x:c r="C1189" s="17" t="str">
        <x:v>W0112</x:v>
      </x:c>
      <x:c r="D1189" s="17" t="str">
        <x:v>C002</x:v>
      </x:c>
      <x:c r="E1189" s="17" t="str">
        <x:v>DataFlow</x:v>
      </x:c>
      <x:c r="F1189" s="17" t="str">
        <x:v>Lite</x:v>
      </x:c>
      <x:c r="G1189" s="21" t="n">
        <x:v>41645</x:v>
      </x:c>
      <x:c r="H1189" s="21" t="n">
        <x:v>10002</x:v>
      </x:c>
      <x:c r="I1189" s="17" t="str">
        <x:v>Followup</x:v>
      </x:c>
    </x:row>
    <x:row r="1190" ht="23" customHeight="1">
      <x:c r="A1190" s="17" t="str">
        <x:v>U01184</x:v>
      </x:c>
      <x:c r="B1190" s="18" t="n">
        <x:v>46275</x:v>
      </x:c>
      <x:c r="C1190" s="17" t="str">
        <x:v>W0112</x:v>
      </x:c>
      <x:c r="D1190" s="17" t="str">
        <x:v>C002</x:v>
      </x:c>
      <x:c r="E1190" s="17" t="str">
        <x:v>DataFlow</x:v>
      </x:c>
      <x:c r="F1190" s="17" t="str">
        <x:v>Lite</x:v>
      </x:c>
      <x:c r="G1190" s="21" t="n">
        <x:v>28137</x:v>
      </x:c>
      <x:c r="H1190" s="21" t="n">
        <x:v>7833</x:v>
      </x:c>
      <x:c r="I1190" s="17" t="str">
        <x:v>Followup</x:v>
      </x:c>
    </x:row>
    <x:row r="1191" ht="23" customHeight="1">
      <x:c r="A1191" s="17" t="str">
        <x:v>U01185</x:v>
      </x:c>
      <x:c r="B1191" s="18" t="n">
        <x:v>46268</x:v>
      </x:c>
      <x:c r="C1191" s="17" t="str">
        <x:v>W0117</x:v>
      </x:c>
      <x:c r="D1191" s="17" t="str">
        <x:v>C002</x:v>
      </x:c>
      <x:c r="E1191" s="17" t="str">
        <x:v>CopyStudio</x:v>
      </x:c>
      <x:c r="F1191" s="17" t="str">
        <x:v>Lite</x:v>
      </x:c>
      <x:c r="G1191" s="21" t="n">
        <x:v>19735</x:v>
      </x:c>
      <x:c r="H1191" s="21" t="n">
        <x:v>5973</x:v>
      </x:c>
      <x:c r="I1191" s="17" t="str">
        <x:v>First attempt</x:v>
      </x:c>
    </x:row>
    <x:row r="1192" ht="23" customHeight="1">
      <x:c r="A1192" s="17" t="str">
        <x:v>U01186</x:v>
      </x:c>
      <x:c r="B1192" s="18" t="n">
        <x:v>46268</x:v>
      </x:c>
      <x:c r="C1192" s="17" t="str">
        <x:v>W0117</x:v>
      </x:c>
      <x:c r="D1192" s="17" t="str">
        <x:v>C002</x:v>
      </x:c>
      <x:c r="E1192" s="17" t="str">
        <x:v>CopyStudio</x:v>
      </x:c>
      <x:c r="F1192" s="17" t="str">
        <x:v>Lite</x:v>
      </x:c>
      <x:c r="G1192" s="21" t="n">
        <x:v>41193</x:v>
      </x:c>
      <x:c r="H1192" s="21" t="n">
        <x:v>2291</x:v>
      </x:c>
      <x:c r="I1192" s="17" t="str">
        <x:v>Correction</x:v>
      </x:c>
    </x:row>
    <x:row r="1193" ht="23" customHeight="1">
      <x:c r="A1193" s="17" t="str">
        <x:v>U01187</x:v>
      </x:c>
      <x:c r="B1193" s="18" t="n">
        <x:v>46268</x:v>
      </x:c>
      <x:c r="C1193" s="17" t="str">
        <x:v>W0117</x:v>
      </x:c>
      <x:c r="D1193" s="17" t="str">
        <x:v>C002</x:v>
      </x:c>
      <x:c r="E1193" s="17" t="str">
        <x:v>CopyStudio</x:v>
      </x:c>
      <x:c r="F1193" s="17" t="str">
        <x:v>Lite</x:v>
      </x:c>
      <x:c r="G1193" s="21" t="n">
        <x:v>16152</x:v>
      </x:c>
      <x:c r="H1193" s="21" t="n">
        <x:v>4105</x:v>
      </x:c>
      <x:c r="I1193" s="17" t="str">
        <x:v>Followup</x:v>
      </x:c>
    </x:row>
    <x:row r="1194" ht="23" customHeight="1">
      <x:c r="A1194" s="17" t="str">
        <x:v>U01188</x:v>
      </x:c>
      <x:c r="B1194" s="18" t="n">
        <x:v>46268</x:v>
      </x:c>
      <x:c r="C1194" s="17" t="str">
        <x:v>W0117</x:v>
      </x:c>
      <x:c r="D1194" s="17" t="str">
        <x:v>C002</x:v>
      </x:c>
      <x:c r="E1194" s="17" t="str">
        <x:v>CopyStudio</x:v>
      </x:c>
      <x:c r="F1194" s="17" t="str">
        <x:v>Lite</x:v>
      </x:c>
      <x:c r="G1194" s="21" t="n">
        <x:v>26800</x:v>
      </x:c>
      <x:c r="H1194" s="21" t="n">
        <x:v>3033</x:v>
      </x:c>
      <x:c r="I1194" s="17" t="str">
        <x:v>Followup</x:v>
      </x:c>
    </x:row>
    <x:row r="1195" ht="23" customHeight="1">
      <x:c r="A1195" s="17" t="str">
        <x:v>U01189</x:v>
      </x:c>
      <x:c r="B1195" s="18" t="n">
        <x:v>46268</x:v>
      </x:c>
      <x:c r="C1195" s="17" t="str">
        <x:v>W0117</x:v>
      </x:c>
      <x:c r="D1195" s="17" t="str">
        <x:v>C002</x:v>
      </x:c>
      <x:c r="E1195" s="17" t="str">
        <x:v>CopyStudio</x:v>
      </x:c>
      <x:c r="F1195" s="17" t="str">
        <x:v>Lite</x:v>
      </x:c>
      <x:c r="G1195" s="21" t="n">
        <x:v>43335</x:v>
      </x:c>
      <x:c r="H1195" s="21" t="n">
        <x:v>2188</x:v>
      </x:c>
      <x:c r="I1195" s="17" t="str">
        <x:v>Followup</x:v>
      </x:c>
    </x:row>
    <x:row r="1196" ht="23" customHeight="1">
      <x:c r="A1196" s="17" t="str">
        <x:v>U01190</x:v>
      </x:c>
      <x:c r="B1196" s="18" t="n">
        <x:v>46269</x:v>
      </x:c>
      <x:c r="C1196" s="17" t="str">
        <x:v>W0117</x:v>
      </x:c>
      <x:c r="D1196" s="17" t="str">
        <x:v>C002</x:v>
      </x:c>
      <x:c r="E1196" s="17" t="str">
        <x:v>CopyStudio</x:v>
      </x:c>
      <x:c r="F1196" s="17" t="str">
        <x:v>Lite</x:v>
      </x:c>
      <x:c r="G1196" s="21" t="n">
        <x:v>45677</x:v>
      </x:c>
      <x:c r="H1196" s="21" t="n">
        <x:v>5444</x:v>
      </x:c>
      <x:c r="I1196" s="17" t="str">
        <x:v>Correction</x:v>
      </x:c>
    </x:row>
    <x:row r="1197" ht="23" customHeight="1">
      <x:c r="A1197" s="17" t="str">
        <x:v>U01191</x:v>
      </x:c>
      <x:c r="B1197" s="18" t="n">
        <x:v>46269</x:v>
      </x:c>
      <x:c r="C1197" s="17" t="str">
        <x:v>W0117</x:v>
      </x:c>
      <x:c r="D1197" s="17" t="str">
        <x:v>C002</x:v>
      </x:c>
      <x:c r="E1197" s="17" t="str">
        <x:v>CopyStudio</x:v>
      </x:c>
      <x:c r="F1197" s="17" t="str">
        <x:v>Lite</x:v>
      </x:c>
      <x:c r="G1197" s="21" t="n">
        <x:v>27312</x:v>
      </x:c>
      <x:c r="H1197" s="21" t="n">
        <x:v>5098</x:v>
      </x:c>
      <x:c r="I1197" s="17" t="str">
        <x:v>Followup</x:v>
      </x:c>
    </x:row>
    <x:row r="1198" ht="23" customHeight="1">
      <x:c r="A1198" s="17" t="str">
        <x:v>U01192</x:v>
      </x:c>
      <x:c r="B1198" s="18" t="n">
        <x:v>46269</x:v>
      </x:c>
      <x:c r="C1198" s="17" t="str">
        <x:v>W0117</x:v>
      </x:c>
      <x:c r="D1198" s="17" t="str">
        <x:v>C002</x:v>
      </x:c>
      <x:c r="E1198" s="17" t="str">
        <x:v>CopyStudio</x:v>
      </x:c>
      <x:c r="F1198" s="17" t="str">
        <x:v>Lite</x:v>
      </x:c>
      <x:c r="G1198" s="21" t="n">
        <x:v>32247</x:v>
      </x:c>
      <x:c r="H1198" s="21" t="n">
        <x:v>5408</x:v>
      </x:c>
      <x:c r="I1198" s="17" t="str">
        <x:v>Correction</x:v>
      </x:c>
    </x:row>
    <x:row r="1199" ht="23" customHeight="1">
      <x:c r="A1199" s="17" t="str">
        <x:v>U01193</x:v>
      </x:c>
      <x:c r="B1199" s="18" t="n">
        <x:v>46269</x:v>
      </x:c>
      <x:c r="C1199" s="17" t="str">
        <x:v>W0117</x:v>
      </x:c>
      <x:c r="D1199" s="17" t="str">
        <x:v>C002</x:v>
      </x:c>
      <x:c r="E1199" s="17" t="str">
        <x:v>CopyStudio</x:v>
      </x:c>
      <x:c r="F1199" s="17" t="str">
        <x:v>Lite</x:v>
      </x:c>
      <x:c r="G1199" s="21" t="n">
        <x:v>28818</x:v>
      </x:c>
      <x:c r="H1199" s="21" t="n">
        <x:v>4057</x:v>
      </x:c>
      <x:c r="I1199" s="17" t="str">
        <x:v>Correction</x:v>
      </x:c>
    </x:row>
    <x:row r="1200" ht="23" customHeight="1">
      <x:c r="A1200" s="17" t="str">
        <x:v>U01194</x:v>
      </x:c>
      <x:c r="B1200" s="18" t="n">
        <x:v>46273</x:v>
      </x:c>
      <x:c r="C1200" s="17" t="str">
        <x:v>W0117</x:v>
      </x:c>
      <x:c r="D1200" s="17" t="str">
        <x:v>C002</x:v>
      </x:c>
      <x:c r="E1200" s="17" t="str">
        <x:v>CopyStudio</x:v>
      </x:c>
      <x:c r="F1200" s="17" t="str">
        <x:v>Lite</x:v>
      </x:c>
      <x:c r="G1200" s="21" t="n">
        <x:v>43548</x:v>
      </x:c>
      <x:c r="H1200" s="21" t="n">
        <x:v>4111</x:v>
      </x:c>
      <x:c r="I1200" s="17" t="str">
        <x:v>Followup</x:v>
      </x:c>
    </x:row>
    <x:row r="1201" ht="23" customHeight="1">
      <x:c r="A1201" s="17" t="str">
        <x:v>U01195</x:v>
      </x:c>
      <x:c r="B1201" s="18" t="n">
        <x:v>46273</x:v>
      </x:c>
      <x:c r="C1201" s="17" t="str">
        <x:v>W0117</x:v>
      </x:c>
      <x:c r="D1201" s="17" t="str">
        <x:v>C002</x:v>
      </x:c>
      <x:c r="E1201" s="17" t="str">
        <x:v>CopyStudio</x:v>
      </x:c>
      <x:c r="F1201" s="17" t="str">
        <x:v>Lite</x:v>
      </x:c>
      <x:c r="G1201" s="21" t="n">
        <x:v>26638</x:v>
      </x:c>
      <x:c r="H1201" s="21" t="n">
        <x:v>4363</x:v>
      </x:c>
      <x:c r="I1201" s="17" t="str">
        <x:v>Followup</x:v>
      </x:c>
    </x:row>
    <x:row r="1202" ht="23" customHeight="1">
      <x:c r="A1202" s="17" t="str">
        <x:v>U01196</x:v>
      </x:c>
      <x:c r="B1202" s="18" t="n">
        <x:v>46273</x:v>
      </x:c>
      <x:c r="C1202" s="17" t="str">
        <x:v>W0117</x:v>
      </x:c>
      <x:c r="D1202" s="17" t="str">
        <x:v>C002</x:v>
      </x:c>
      <x:c r="E1202" s="17" t="str">
        <x:v>CopyStudio</x:v>
      </x:c>
      <x:c r="F1202" s="17" t="str">
        <x:v>Lite</x:v>
      </x:c>
      <x:c r="G1202" s="21" t="n">
        <x:v>23931</x:v>
      </x:c>
      <x:c r="H1202" s="21" t="n">
        <x:v>4969</x:v>
      </x:c>
      <x:c r="I1202" s="17" t="str">
        <x:v>Followup</x:v>
      </x:c>
    </x:row>
    <x:row r="1203" ht="23" customHeight="1">
      <x:c r="A1203" s="17" t="str">
        <x:v>U01197</x:v>
      </x:c>
      <x:c r="B1203" s="18" t="n">
        <x:v>46273</x:v>
      </x:c>
      <x:c r="C1203" s="17" t="str">
        <x:v>W0117</x:v>
      </x:c>
      <x:c r="D1203" s="17" t="str">
        <x:v>C002</x:v>
      </x:c>
      <x:c r="E1203" s="17" t="str">
        <x:v>CopyStudio</x:v>
      </x:c>
      <x:c r="F1203" s="17" t="str">
        <x:v>Lite</x:v>
      </x:c>
      <x:c r="G1203" s="21" t="n">
        <x:v>18111</x:v>
      </x:c>
      <x:c r="H1203" s="21" t="n">
        <x:v>2210</x:v>
      </x:c>
      <x:c r="I1203" s="17" t="str">
        <x:v>Followup</x:v>
      </x:c>
    </x:row>
    <x:row r="1204" ht="23" customHeight="1">
      <x:c r="A1204" s="17" t="str">
        <x:v>U01198</x:v>
      </x:c>
      <x:c r="B1204" s="18" t="n">
        <x:v>46274</x:v>
      </x:c>
      <x:c r="C1204" s="17" t="str">
        <x:v>W0117</x:v>
      </x:c>
      <x:c r="D1204" s="17" t="str">
        <x:v>C002</x:v>
      </x:c>
      <x:c r="E1204" s="17" t="str">
        <x:v>CopyStudio</x:v>
      </x:c>
      <x:c r="F1204" s="17" t="str">
        <x:v>Lite</x:v>
      </x:c>
      <x:c r="G1204" s="21" t="n">
        <x:v>36251</x:v>
      </x:c>
      <x:c r="H1204" s="21" t="n">
        <x:v>5801</x:v>
      </x:c>
      <x:c r="I1204" s="17" t="str">
        <x:v>Correction</x:v>
      </x:c>
    </x:row>
    <x:row r="1205" ht="23" customHeight="1">
      <x:c r="A1205" s="17" t="str">
        <x:v>U01199</x:v>
      </x:c>
      <x:c r="B1205" s="18" t="n">
        <x:v>46274</x:v>
      </x:c>
      <x:c r="C1205" s="17" t="str">
        <x:v>W0117</x:v>
      </x:c>
      <x:c r="D1205" s="17" t="str">
        <x:v>C002</x:v>
      </x:c>
      <x:c r="E1205" s="17" t="str">
        <x:v>CopyStudio</x:v>
      </x:c>
      <x:c r="F1205" s="17" t="str">
        <x:v>Lite</x:v>
      </x:c>
      <x:c r="G1205" s="21" t="n">
        <x:v>42006</x:v>
      </x:c>
      <x:c r="H1205" s="21" t="n">
        <x:v>2079</x:v>
      </x:c>
      <x:c r="I1205" s="17" t="str">
        <x:v>Correction</x:v>
      </x:c>
    </x:row>
    <x:row r="1206" ht="23" customHeight="1">
      <x:c r="A1206" s="17" t="str">
        <x:v>U01200</x:v>
      </x:c>
      <x:c r="B1206" s="18" t="n">
        <x:v>46274</x:v>
      </x:c>
      <x:c r="C1206" s="17" t="str">
        <x:v>W0117</x:v>
      </x:c>
      <x:c r="D1206" s="17" t="str">
        <x:v>C002</x:v>
      </x:c>
      <x:c r="E1206" s="17" t="str">
        <x:v>CopyStudio</x:v>
      </x:c>
      <x:c r="F1206" s="17" t="str">
        <x:v>Lite</x:v>
      </x:c>
      <x:c r="G1206" s="21" t="n">
        <x:v>29765</x:v>
      </x:c>
      <x:c r="H1206" s="21" t="n">
        <x:v>1932</x:v>
      </x:c>
      <x:c r="I1206" s="17" t="str">
        <x:v>Followup</x:v>
      </x:c>
    </x:row>
    <x:row r="1207" ht="23" customHeight="1">
      <x:c r="A1207" s="17" t="str">
        <x:v>U01201</x:v>
      </x:c>
      <x:c r="B1207" s="18" t="n">
        <x:v>46274</x:v>
      </x:c>
      <x:c r="C1207" s="17" t="str">
        <x:v>W0117</x:v>
      </x:c>
      <x:c r="D1207" s="17" t="str">
        <x:v>C002</x:v>
      </x:c>
      <x:c r="E1207" s="17" t="str">
        <x:v>CopyStudio</x:v>
      </x:c>
      <x:c r="F1207" s="17" t="str">
        <x:v>Lite</x:v>
      </x:c>
      <x:c r="G1207" s="21" t="n">
        <x:v>34263</x:v>
      </x:c>
      <x:c r="H1207" s="21" t="n">
        <x:v>2049</x:v>
      </x:c>
      <x:c r="I1207" s="17" t="str">
        <x:v>Followup</x:v>
      </x:c>
    </x:row>
    <x:row r="1208" ht="23" customHeight="1">
      <x:c r="A1208" s="17" t="str">
        <x:v>U01202</x:v>
      </x:c>
      <x:c r="B1208" s="18" t="n">
        <x:v>46280</x:v>
      </x:c>
      <x:c r="C1208" s="17" t="str">
        <x:v>W0118</x:v>
      </x:c>
      <x:c r="D1208" s="17" t="str">
        <x:v>C002</x:v>
      </x:c>
      <x:c r="E1208" s="17" t="str">
        <x:v>CampaignChat</x:v>
      </x:c>
      <x:c r="F1208" s="17" t="str">
        <x:v>Lite</x:v>
      </x:c>
      <x:c r="G1208" s="21" t="n">
        <x:v>21124</x:v>
      </x:c>
      <x:c r="H1208" s="21" t="n">
        <x:v>4615</x:v>
      </x:c>
      <x:c r="I1208" s="17" t="str">
        <x:v>First attempt</x:v>
      </x:c>
    </x:row>
    <x:row r="1209" ht="23" customHeight="1">
      <x:c r="A1209" s="17" t="str">
        <x:v>U01203</x:v>
      </x:c>
      <x:c r="B1209" s="18" t="n">
        <x:v>46280</x:v>
      </x:c>
      <x:c r="C1209" s="17" t="str">
        <x:v>W0118</x:v>
      </x:c>
      <x:c r="D1209" s="17" t="str">
        <x:v>C002</x:v>
      </x:c>
      <x:c r="E1209" s="17" t="str">
        <x:v>CampaignChat</x:v>
      </x:c>
      <x:c r="F1209" s="17" t="str">
        <x:v>Lite</x:v>
      </x:c>
      <x:c r="G1209" s="21" t="n">
        <x:v>13339</x:v>
      </x:c>
      <x:c r="H1209" s="21" t="n">
        <x:v>8341</x:v>
      </x:c>
      <x:c r="I1209" s="17" t="str">
        <x:v>Followup</x:v>
      </x:c>
    </x:row>
    <x:row r="1210" ht="23" customHeight="1">
      <x:c r="A1210" s="17" t="str">
        <x:v>U01204</x:v>
      </x:c>
      <x:c r="B1210" s="18" t="n">
        <x:v>46280</x:v>
      </x:c>
      <x:c r="C1210" s="17" t="str">
        <x:v>W0118</x:v>
      </x:c>
      <x:c r="D1210" s="17" t="str">
        <x:v>C002</x:v>
      </x:c>
      <x:c r="E1210" s="17" t="str">
        <x:v>CampaignChat</x:v>
      </x:c>
      <x:c r="F1210" s="17" t="str">
        <x:v>Lite</x:v>
      </x:c>
      <x:c r="G1210" s="21" t="n">
        <x:v>11954</x:v>
      </x:c>
      <x:c r="H1210" s="21" t="n">
        <x:v>6905</x:v>
      </x:c>
      <x:c r="I1210" s="17" t="str">
        <x:v>Followup</x:v>
      </x:c>
    </x:row>
    <x:row r="1211" ht="23" customHeight="1">
      <x:c r="A1211" s="17" t="str">
        <x:v>U01205</x:v>
      </x:c>
      <x:c r="B1211" s="18" t="n">
        <x:v>46280</x:v>
      </x:c>
      <x:c r="C1211" s="17" t="str">
        <x:v>W0118</x:v>
      </x:c>
      <x:c r="D1211" s="17" t="str">
        <x:v>C002</x:v>
      </x:c>
      <x:c r="E1211" s="17" t="str">
        <x:v>CampaignChat</x:v>
      </x:c>
      <x:c r="F1211" s="17" t="str">
        <x:v>Lite</x:v>
      </x:c>
      <x:c r="G1211" s="21" t="n">
        <x:v>12181</x:v>
      </x:c>
      <x:c r="H1211" s="21" t="n">
        <x:v>9673</x:v>
      </x:c>
      <x:c r="I1211" s="17" t="str">
        <x:v>Followup</x:v>
      </x:c>
    </x:row>
    <x:row r="1212" ht="23" customHeight="1">
      <x:c r="A1212" s="17" t="str">
        <x:v>U01206</x:v>
      </x:c>
      <x:c r="B1212" s="18" t="n">
        <x:v>46281</x:v>
      </x:c>
      <x:c r="C1212" s="17" t="str">
        <x:v>W0118</x:v>
      </x:c>
      <x:c r="D1212" s="17" t="str">
        <x:v>C002</x:v>
      </x:c>
      <x:c r="E1212" s="17" t="str">
        <x:v>CampaignChat</x:v>
      </x:c>
      <x:c r="F1212" s="17" t="str">
        <x:v>Lite</x:v>
      </x:c>
      <x:c r="G1212" s="21" t="n">
        <x:v>28190</x:v>
      </x:c>
      <x:c r="H1212" s="21" t="n">
        <x:v>6102</x:v>
      </x:c>
      <x:c r="I1212" s="17" t="str">
        <x:v>Correction</x:v>
      </x:c>
    </x:row>
    <x:row r="1213" ht="23" customHeight="1">
      <x:c r="A1213" s="17" t="str">
        <x:v>U01207</x:v>
      </x:c>
      <x:c r="B1213" s="18" t="n">
        <x:v>46281</x:v>
      </x:c>
      <x:c r="C1213" s="17" t="str">
        <x:v>W0118</x:v>
      </x:c>
      <x:c r="D1213" s="17" t="str">
        <x:v>C002</x:v>
      </x:c>
      <x:c r="E1213" s="17" t="str">
        <x:v>CampaignChat</x:v>
      </x:c>
      <x:c r="F1213" s="17" t="str">
        <x:v>Lite</x:v>
      </x:c>
      <x:c r="G1213" s="21" t="n">
        <x:v>23328</x:v>
      </x:c>
      <x:c r="H1213" s="21" t="n">
        <x:v>6228</x:v>
      </x:c>
      <x:c r="I1213" s="17" t="str">
        <x:v>Correction</x:v>
      </x:c>
    </x:row>
    <x:row r="1214" ht="23" customHeight="1">
      <x:c r="A1214" s="17" t="str">
        <x:v>U01208</x:v>
      </x:c>
      <x:c r="B1214" s="18" t="n">
        <x:v>46281</x:v>
      </x:c>
      <x:c r="C1214" s="17" t="str">
        <x:v>W0118</x:v>
      </x:c>
      <x:c r="D1214" s="17" t="str">
        <x:v>C002</x:v>
      </x:c>
      <x:c r="E1214" s="17" t="str">
        <x:v>CampaignChat</x:v>
      </x:c>
      <x:c r="F1214" s="17" t="str">
        <x:v>Lite</x:v>
      </x:c>
      <x:c r="G1214" s="21" t="n">
        <x:v>20857</x:v>
      </x:c>
      <x:c r="H1214" s="21" t="n">
        <x:v>6905</x:v>
      </x:c>
      <x:c r="I1214" s="17" t="str">
        <x:v>Followup</x:v>
      </x:c>
    </x:row>
    <x:row r="1215" ht="23" customHeight="1">
      <x:c r="A1215" s="17" t="str">
        <x:v>U01209</x:v>
      </x:c>
      <x:c r="B1215" s="18" t="n">
        <x:v>46281</x:v>
      </x:c>
      <x:c r="C1215" s="17" t="str">
        <x:v>W0118</x:v>
      </x:c>
      <x:c r="D1215" s="17" t="str">
        <x:v>C002</x:v>
      </x:c>
      <x:c r="E1215" s="17" t="str">
        <x:v>CampaignChat</x:v>
      </x:c>
      <x:c r="F1215" s="17" t="str">
        <x:v>Lite</x:v>
      </x:c>
      <x:c r="G1215" s="21" t="n">
        <x:v>34225</x:v>
      </x:c>
      <x:c r="H1215" s="21" t="n">
        <x:v>9801</x:v>
      </x:c>
      <x:c r="I1215" s="17" t="str">
        <x:v>Followup</x:v>
      </x:c>
    </x:row>
    <x:row r="1216" ht="23" customHeight="1">
      <x:c r="A1216" s="17" t="str">
        <x:v>U01210</x:v>
      </x:c>
      <x:c r="B1216" s="18" t="n">
        <x:v>46282</x:v>
      </x:c>
      <x:c r="C1216" s="17" t="str">
        <x:v>W0118</x:v>
      </x:c>
      <x:c r="D1216" s="17" t="str">
        <x:v>C002</x:v>
      </x:c>
      <x:c r="E1216" s="17" t="str">
        <x:v>CampaignChat</x:v>
      </x:c>
      <x:c r="F1216" s="17" t="str">
        <x:v>Lite</x:v>
      </x:c>
      <x:c r="G1216" s="21" t="n">
        <x:v>14319</x:v>
      </x:c>
      <x:c r="H1216" s="21" t="n">
        <x:v>3232</x:v>
      </x:c>
      <x:c r="I1216" s="17" t="str">
        <x:v>Followup</x:v>
      </x:c>
    </x:row>
    <x:row r="1217" ht="23" customHeight="1">
      <x:c r="A1217" s="17" t="str">
        <x:v>U01211</x:v>
      </x:c>
      <x:c r="B1217" s="18" t="n">
        <x:v>46282</x:v>
      </x:c>
      <x:c r="C1217" s="17" t="str">
        <x:v>W0118</x:v>
      </x:c>
      <x:c r="D1217" s="17" t="str">
        <x:v>C002</x:v>
      </x:c>
      <x:c r="E1217" s="17" t="str">
        <x:v>CampaignChat</x:v>
      </x:c>
      <x:c r="F1217" s="17" t="str">
        <x:v>Lite</x:v>
      </x:c>
      <x:c r="G1217" s="21" t="n">
        <x:v>22879</x:v>
      </x:c>
      <x:c r="H1217" s="21" t="n">
        <x:v>6887</x:v>
      </x:c>
      <x:c r="I1217" s="17" t="str">
        <x:v>Correction</x:v>
      </x:c>
    </x:row>
    <x:row r="1218" ht="23" customHeight="1">
      <x:c r="A1218" s="17" t="str">
        <x:v>U01212</x:v>
      </x:c>
      <x:c r="B1218" s="18" t="n">
        <x:v>46282</x:v>
      </x:c>
      <x:c r="C1218" s="17" t="str">
        <x:v>W0118</x:v>
      </x:c>
      <x:c r="D1218" s="17" t="str">
        <x:v>C002</x:v>
      </x:c>
      <x:c r="E1218" s="17" t="str">
        <x:v>CampaignChat</x:v>
      </x:c>
      <x:c r="F1218" s="17" t="str">
        <x:v>Lite</x:v>
      </x:c>
      <x:c r="G1218" s="21" t="n">
        <x:v>11662</x:v>
      </x:c>
      <x:c r="H1218" s="21" t="n">
        <x:v>6869</x:v>
      </x:c>
      <x:c r="I1218" s="17" t="str">
        <x:v>Correction</x:v>
      </x:c>
    </x:row>
    <x:row r="1219" ht="23" customHeight="1">
      <x:c r="A1219" s="17" t="str">
        <x:v>U01213</x:v>
      </x:c>
      <x:c r="B1219" s="18" t="n">
        <x:v>46282</x:v>
      </x:c>
      <x:c r="C1219" s="17" t="str">
        <x:v>W0118</x:v>
      </x:c>
      <x:c r="D1219" s="17" t="str">
        <x:v>C002</x:v>
      </x:c>
      <x:c r="E1219" s="17" t="str">
        <x:v>CampaignChat</x:v>
      </x:c>
      <x:c r="F1219" s="17" t="str">
        <x:v>Lite</x:v>
      </x:c>
      <x:c r="G1219" s="21" t="n">
        <x:v>30274</x:v>
      </x:c>
      <x:c r="H1219" s="21" t="n">
        <x:v>7193</x:v>
      </x:c>
      <x:c r="I1219" s="17" t="str">
        <x:v>Followup</x:v>
      </x:c>
    </x:row>
    <x:row r="1220" ht="23" customHeight="1">
      <x:c r="A1220" s="17" t="str">
        <x:v>U01214</x:v>
      </x:c>
      <x:c r="B1220" s="18" t="n">
        <x:v>46283</x:v>
      </x:c>
      <x:c r="C1220" s="17" t="str">
        <x:v>W0118</x:v>
      </x:c>
      <x:c r="D1220" s="17" t="str">
        <x:v>C002</x:v>
      </x:c>
      <x:c r="E1220" s="17" t="str">
        <x:v>CampaignChat</x:v>
      </x:c>
      <x:c r="F1220" s="17" t="str">
        <x:v>Lite</x:v>
      </x:c>
      <x:c r="G1220" s="21" t="n">
        <x:v>15619</x:v>
      </x:c>
      <x:c r="H1220" s="21" t="n">
        <x:v>9808</x:v>
      </x:c>
      <x:c r="I1220" s="17" t="str">
        <x:v>Correction</x:v>
      </x:c>
    </x:row>
    <x:row r="1221" ht="23" customHeight="1">
      <x:c r="A1221" s="17" t="str">
        <x:v>U01215</x:v>
      </x:c>
      <x:c r="B1221" s="18" t="n">
        <x:v>46283</x:v>
      </x:c>
      <x:c r="C1221" s="17" t="str">
        <x:v>W0118</x:v>
      </x:c>
      <x:c r="D1221" s="17" t="str">
        <x:v>C002</x:v>
      </x:c>
      <x:c r="E1221" s="17" t="str">
        <x:v>CampaignChat</x:v>
      </x:c>
      <x:c r="F1221" s="17" t="str">
        <x:v>Lite</x:v>
      </x:c>
      <x:c r="G1221" s="21" t="n">
        <x:v>12740</x:v>
      </x:c>
      <x:c r="H1221" s="21" t="n">
        <x:v>10379</x:v>
      </x:c>
      <x:c r="I1221" s="17" t="str">
        <x:v>Correction</x:v>
      </x:c>
    </x:row>
    <x:row r="1222" ht="23" customHeight="1">
      <x:c r="A1222" s="17" t="str">
        <x:v>U01216</x:v>
      </x:c>
      <x:c r="B1222" s="18" t="n">
        <x:v>46283</x:v>
      </x:c>
      <x:c r="C1222" s="17" t="str">
        <x:v>W0118</x:v>
      </x:c>
      <x:c r="D1222" s="17" t="str">
        <x:v>C002</x:v>
      </x:c>
      <x:c r="E1222" s="17" t="str">
        <x:v>CampaignChat</x:v>
      </x:c>
      <x:c r="F1222" s="17" t="str">
        <x:v>Lite</x:v>
      </x:c>
      <x:c r="G1222" s="21" t="n">
        <x:v>20597</x:v>
      </x:c>
      <x:c r="H1222" s="21" t="n">
        <x:v>10156</x:v>
      </x:c>
      <x:c r="I1222" s="17" t="str">
        <x:v>Correction</x:v>
      </x:c>
    </x:row>
    <x:row r="1223" ht="23" customHeight="1">
      <x:c r="A1223" s="17" t="str">
        <x:v>U01217</x:v>
      </x:c>
      <x:c r="B1223" s="18" t="n">
        <x:v>46286</x:v>
      </x:c>
      <x:c r="C1223" s="17" t="str">
        <x:v>W0062</x:v>
      </x:c>
      <x:c r="D1223" s="17" t="str">
        <x:v>C002</x:v>
      </x:c>
      <x:c r="E1223" s="17" t="str">
        <x:v>CampaignChat</x:v>
      </x:c>
      <x:c r="F1223" s="17" t="str">
        <x:v>Pro</x:v>
      </x:c>
      <x:c r="G1223" s="21" t="n">
        <x:v>15269</x:v>
      </x:c>
      <x:c r="H1223" s="21" t="n">
        <x:v>7245</x:v>
      </x:c>
      <x:c r="I1223" s="17" t="str">
        <x:v>First attempt</x:v>
      </x:c>
    </x:row>
    <x:row r="1224" ht="23" customHeight="1">
      <x:c r="A1224" s="17" t="str">
        <x:v>U01218</x:v>
      </x:c>
      <x:c r="B1224" s="18" t="n">
        <x:v>46286</x:v>
      </x:c>
      <x:c r="C1224" s="17" t="str">
        <x:v>W0062</x:v>
      </x:c>
      <x:c r="D1224" s="17" t="str">
        <x:v>C002</x:v>
      </x:c>
      <x:c r="E1224" s="17" t="str">
        <x:v>CampaignChat</x:v>
      </x:c>
      <x:c r="F1224" s="17" t="str">
        <x:v>Pro</x:v>
      </x:c>
      <x:c r="G1224" s="21" t="n">
        <x:v>18105</x:v>
      </x:c>
      <x:c r="H1224" s="21" t="n">
        <x:v>6296</x:v>
      </x:c>
      <x:c r="I1224" s="17" t="str">
        <x:v>Correction</x:v>
      </x:c>
    </x:row>
    <x:row r="1225" ht="23" customHeight="1">
      <x:c r="A1225" s="17" t="str">
        <x:v>U01219</x:v>
      </x:c>
      <x:c r="B1225" s="18" t="n">
        <x:v>46286</x:v>
      </x:c>
      <x:c r="C1225" s="17" t="str">
        <x:v>W0062</x:v>
      </x:c>
      <x:c r="D1225" s="17" t="str">
        <x:v>C002</x:v>
      </x:c>
      <x:c r="E1225" s="17" t="str">
        <x:v>CampaignChat</x:v>
      </x:c>
      <x:c r="F1225" s="17" t="str">
        <x:v>Pro</x:v>
      </x:c>
      <x:c r="G1225" s="21" t="n">
        <x:v>15910</x:v>
      </x:c>
      <x:c r="H1225" s="21" t="n">
        <x:v>3692</x:v>
      </x:c>
      <x:c r="I1225" s="17" t="str">
        <x:v>Followup</x:v>
      </x:c>
    </x:row>
    <x:row r="1226" ht="23" customHeight="1">
      <x:c r="A1226" s="17" t="str">
        <x:v>U01220</x:v>
      </x:c>
      <x:c r="B1226" s="18" t="n">
        <x:v>46286</x:v>
      </x:c>
      <x:c r="C1226" s="17" t="str">
        <x:v>W0062</x:v>
      </x:c>
      <x:c r="D1226" s="17" t="str">
        <x:v>C002</x:v>
      </x:c>
      <x:c r="E1226" s="17" t="str">
        <x:v>CampaignChat</x:v>
      </x:c>
      <x:c r="F1226" s="17" t="str">
        <x:v>Pro</x:v>
      </x:c>
      <x:c r="G1226" s="21" t="n">
        <x:v>6693</x:v>
      </x:c>
      <x:c r="H1226" s="21" t="n">
        <x:v>8059</x:v>
      </x:c>
      <x:c r="I1226" s="17" t="str">
        <x:v>Correction</x:v>
      </x:c>
    </x:row>
    <x:row r="1227" ht="23" customHeight="1">
      <x:c r="A1227" s="17" t="str">
        <x:v>U01221</x:v>
      </x:c>
      <x:c r="B1227" s="18" t="n">
        <x:v>46287</x:v>
      </x:c>
      <x:c r="C1227" s="17" t="str">
        <x:v>W0062</x:v>
      </x:c>
      <x:c r="D1227" s="17" t="str">
        <x:v>C002</x:v>
      </x:c>
      <x:c r="E1227" s="17" t="str">
        <x:v>CampaignChat</x:v>
      </x:c>
      <x:c r="F1227" s="17" t="str">
        <x:v>Pro</x:v>
      </x:c>
      <x:c r="G1227" s="21" t="n">
        <x:v>8507</x:v>
      </x:c>
      <x:c r="H1227" s="21" t="n">
        <x:v>10686</x:v>
      </x:c>
      <x:c r="I1227" s="17" t="str">
        <x:v>Correction</x:v>
      </x:c>
    </x:row>
    <x:row r="1228" ht="23" customHeight="1">
      <x:c r="A1228" s="17" t="str">
        <x:v>U01222</x:v>
      </x:c>
      <x:c r="B1228" s="18" t="n">
        <x:v>46287</x:v>
      </x:c>
      <x:c r="C1228" s="17" t="str">
        <x:v>W0062</x:v>
      </x:c>
      <x:c r="D1228" s="17" t="str">
        <x:v>C002</x:v>
      </x:c>
      <x:c r="E1228" s="17" t="str">
        <x:v>CampaignChat</x:v>
      </x:c>
      <x:c r="F1228" s="17" t="str">
        <x:v>Pro</x:v>
      </x:c>
      <x:c r="G1228" s="21" t="n">
        <x:v>12630</x:v>
      </x:c>
      <x:c r="H1228" s="21" t="n">
        <x:v>10246</x:v>
      </x:c>
      <x:c r="I1228" s="17" t="str">
        <x:v>Followup</x:v>
      </x:c>
    </x:row>
    <x:row r="1229" ht="23" customHeight="1">
      <x:c r="A1229" s="17" t="str">
        <x:v>U01223</x:v>
      </x:c>
      <x:c r="B1229" s="18" t="n">
        <x:v>46287</x:v>
      </x:c>
      <x:c r="C1229" s="17" t="str">
        <x:v>W0062</x:v>
      </x:c>
      <x:c r="D1229" s="17" t="str">
        <x:v>C002</x:v>
      </x:c>
      <x:c r="E1229" s="17" t="str">
        <x:v>CampaignChat</x:v>
      </x:c>
      <x:c r="F1229" s="17" t="str">
        <x:v>Pro</x:v>
      </x:c>
      <x:c r="G1229" s="21" t="n">
        <x:v>9876</x:v>
      </x:c>
      <x:c r="H1229" s="21" t="n">
        <x:v>7088</x:v>
      </x:c>
      <x:c r="I1229" s="17" t="str">
        <x:v>Correction</x:v>
      </x:c>
    </x:row>
    <x:row r="1230" ht="23" customHeight="1">
      <x:c r="A1230" s="17" t="str">
        <x:v>U01224</x:v>
      </x:c>
      <x:c r="B1230" s="18" t="n">
        <x:v>46287</x:v>
      </x:c>
      <x:c r="C1230" s="17" t="str">
        <x:v>W0062</x:v>
      </x:c>
      <x:c r="D1230" s="17" t="str">
        <x:v>C002</x:v>
      </x:c>
      <x:c r="E1230" s="17" t="str">
        <x:v>CampaignChat</x:v>
      </x:c>
      <x:c r="F1230" s="17" t="str">
        <x:v>Pro</x:v>
      </x:c>
      <x:c r="G1230" s="21" t="n">
        <x:v>12917</x:v>
      </x:c>
      <x:c r="H1230" s="21" t="n">
        <x:v>4247</x:v>
      </x:c>
      <x:c r="I1230" s="17" t="str">
        <x:v>Correction</x:v>
      </x:c>
    </x:row>
    <x:row r="1231" ht="23" customHeight="1">
      <x:c r="A1231" s="17" t="str">
        <x:v>U01225</x:v>
      </x:c>
      <x:c r="B1231" s="18" t="n">
        <x:v>46288</x:v>
      </x:c>
      <x:c r="C1231" s="17" t="str">
        <x:v>W0062</x:v>
      </x:c>
      <x:c r="D1231" s="17" t="str">
        <x:v>C002</x:v>
      </x:c>
      <x:c r="E1231" s="17" t="str">
        <x:v>CampaignChat</x:v>
      </x:c>
      <x:c r="F1231" s="17" t="str">
        <x:v>Pro</x:v>
      </x:c>
      <x:c r="G1231" s="21" t="n">
        <x:v>15635</x:v>
      </x:c>
      <x:c r="H1231" s="21" t="n">
        <x:v>4354</x:v>
      </x:c>
      <x:c r="I1231" s="17" t="str">
        <x:v>Followup</x:v>
      </x:c>
    </x:row>
    <x:row r="1232" ht="23" customHeight="1">
      <x:c r="A1232" s="17" t="str">
        <x:v>U01226</x:v>
      </x:c>
      <x:c r="B1232" s="18" t="n">
        <x:v>46288</x:v>
      </x:c>
      <x:c r="C1232" s="17" t="str">
        <x:v>W0062</x:v>
      </x:c>
      <x:c r="D1232" s="17" t="str">
        <x:v>C002</x:v>
      </x:c>
      <x:c r="E1232" s="17" t="str">
        <x:v>CampaignChat</x:v>
      </x:c>
      <x:c r="F1232" s="17" t="str">
        <x:v>Pro</x:v>
      </x:c>
      <x:c r="G1232" s="21" t="n">
        <x:v>15188</x:v>
      </x:c>
      <x:c r="H1232" s="21" t="n">
        <x:v>7099</x:v>
      </x:c>
      <x:c r="I1232" s="17" t="str">
        <x:v>Followup</x:v>
      </x:c>
    </x:row>
    <x:row r="1233" ht="23" customHeight="1">
      <x:c r="A1233" s="17" t="str">
        <x:v>U01227</x:v>
      </x:c>
      <x:c r="B1233" s="18" t="n">
        <x:v>46288</x:v>
      </x:c>
      <x:c r="C1233" s="17" t="str">
        <x:v>W0062</x:v>
      </x:c>
      <x:c r="D1233" s="17" t="str">
        <x:v>C002</x:v>
      </x:c>
      <x:c r="E1233" s="17" t="str">
        <x:v>CampaignChat</x:v>
      </x:c>
      <x:c r="F1233" s="17" t="str">
        <x:v>Pro</x:v>
      </x:c>
      <x:c r="G1233" s="21" t="n">
        <x:v>18136</x:v>
      </x:c>
      <x:c r="H1233" s="21" t="n">
        <x:v>3784</x:v>
      </x:c>
      <x:c r="I1233" s="17" t="str">
        <x:v>Correction</x:v>
      </x:c>
    </x:row>
    <x:row r="1234" ht="23" customHeight="1">
      <x:c r="A1234" s="17" t="str">
        <x:v>U01228</x:v>
      </x:c>
      <x:c r="B1234" s="18" t="n">
        <x:v>46288</x:v>
      </x:c>
      <x:c r="C1234" s="17" t="str">
        <x:v>W0062</x:v>
      </x:c>
      <x:c r="D1234" s="17" t="str">
        <x:v>C002</x:v>
      </x:c>
      <x:c r="E1234" s="17" t="str">
        <x:v>CampaignChat</x:v>
      </x:c>
      <x:c r="F1234" s="17" t="str">
        <x:v>Pro</x:v>
      </x:c>
      <x:c r="G1234" s="21" t="n">
        <x:v>18152</x:v>
      </x:c>
      <x:c r="H1234" s="21" t="n">
        <x:v>3861</x:v>
      </x:c>
      <x:c r="I1234" s="17" t="str">
        <x:v>Followup</x:v>
      </x:c>
    </x:row>
    <x:row r="1235" ht="23" customHeight="1">
      <x:c r="A1235" s="17" t="str">
        <x:v>U01229</x:v>
      </x:c>
      <x:c r="B1235" s="18" t="n">
        <x:v>46289</x:v>
      </x:c>
      <x:c r="C1235" s="17" t="str">
        <x:v>W0062</x:v>
      </x:c>
      <x:c r="D1235" s="17" t="str">
        <x:v>C002</x:v>
      </x:c>
      <x:c r="E1235" s="17" t="str">
        <x:v>CampaignChat</x:v>
      </x:c>
      <x:c r="F1235" s="17" t="str">
        <x:v>Pro</x:v>
      </x:c>
      <x:c r="G1235" s="21" t="n">
        <x:v>11214</x:v>
      </x:c>
      <x:c r="H1235" s="21" t="n">
        <x:v>8264</x:v>
      </x:c>
      <x:c r="I1235" s="17" t="str">
        <x:v>Correction</x:v>
      </x:c>
    </x:row>
    <x:row r="1236" ht="23" customHeight="1">
      <x:c r="A1236" s="17" t="str">
        <x:v>U01230</x:v>
      </x:c>
      <x:c r="B1236" s="18" t="n">
        <x:v>46289</x:v>
      </x:c>
      <x:c r="C1236" s="17" t="str">
        <x:v>W0062</x:v>
      </x:c>
      <x:c r="D1236" s="17" t="str">
        <x:v>C002</x:v>
      </x:c>
      <x:c r="E1236" s="17" t="str">
        <x:v>CampaignChat</x:v>
      </x:c>
      <x:c r="F1236" s="17" t="str">
        <x:v>Pro</x:v>
      </x:c>
      <x:c r="G1236" s="21" t="n">
        <x:v>8937</x:v>
      </x:c>
      <x:c r="H1236" s="21" t="n">
        <x:v>6642</x:v>
      </x:c>
      <x:c r="I1236" s="17" t="str">
        <x:v>Correction</x:v>
      </x:c>
    </x:row>
    <x:row r="1237" ht="23" customHeight="1">
      <x:c r="A1237" s="17" t="str">
        <x:v>U01231</x:v>
      </x:c>
      <x:c r="B1237" s="18" t="n">
        <x:v>46289</x:v>
      </x:c>
      <x:c r="C1237" s="17" t="str">
        <x:v>W0062</x:v>
      </x:c>
      <x:c r="D1237" s="17" t="str">
        <x:v>C002</x:v>
      </x:c>
      <x:c r="E1237" s="17" t="str">
        <x:v>CampaignChat</x:v>
      </x:c>
      <x:c r="F1237" s="17" t="str">
        <x:v>Pro</x:v>
      </x:c>
      <x:c r="G1237" s="21" t="n">
        <x:v>16435</x:v>
      </x:c>
      <x:c r="H1237" s="21" t="n">
        <x:v>10724</x:v>
      </x:c>
      <x:c r="I1237" s="17" t="str">
        <x:v>Followup</x:v>
      </x:c>
    </x:row>
    <x:row r="1238" ht="23" customHeight="1">
      <x:c r="A1238" s="17" t="str">
        <x:v>U01232</x:v>
      </x:c>
      <x:c r="B1238" s="18" t="n">
        <x:v>46289</x:v>
      </x:c>
      <x:c r="C1238" s="17" t="str">
        <x:v>W0062</x:v>
      </x:c>
      <x:c r="D1238" s="17" t="str">
        <x:v>C002</x:v>
      </x:c>
      <x:c r="E1238" s="17" t="str">
        <x:v>CampaignChat</x:v>
      </x:c>
      <x:c r="F1238" s="17" t="str">
        <x:v>Pro</x:v>
      </x:c>
      <x:c r="G1238" s="21" t="n">
        <x:v>12703</x:v>
      </x:c>
      <x:c r="H1238" s="21" t="n">
        <x:v>9765</x:v>
      </x:c>
      <x:c r="I1238" s="17" t="str">
        <x:v>Followup</x:v>
      </x:c>
    </x:row>
    <x:row r="1239" ht="23" customHeight="1">
      <x:c r="A1239" s="17" t="str">
        <x:v>U01233</x:v>
      </x:c>
      <x:c r="B1239" s="18" t="n">
        <x:v>46289</x:v>
      </x:c>
      <x:c r="C1239" s="17" t="str">
        <x:v>W0065</x:v>
      </x:c>
      <x:c r="D1239" s="17" t="str">
        <x:v>C002</x:v>
      </x:c>
      <x:c r="E1239" s="17" t="str">
        <x:v>DataFlow</x:v>
      </x:c>
      <x:c r="F1239" s="17" t="str">
        <x:v>Pro</x:v>
      </x:c>
      <x:c r="G1239" s="21" t="n">
        <x:v>21490</x:v>
      </x:c>
      <x:c r="H1239" s="21" t="n">
        <x:v>9255</x:v>
      </x:c>
      <x:c r="I1239" s="17" t="str">
        <x:v>First attempt</x:v>
      </x:c>
    </x:row>
    <x:row r="1240" ht="23" customHeight="1">
      <x:c r="A1240" s="17" t="str">
        <x:v>U01234</x:v>
      </x:c>
      <x:c r="B1240" s="18" t="n">
        <x:v>46289</x:v>
      </x:c>
      <x:c r="C1240" s="17" t="str">
        <x:v>W0065</x:v>
      </x:c>
      <x:c r="D1240" s="17" t="str">
        <x:v>C002</x:v>
      </x:c>
      <x:c r="E1240" s="17" t="str">
        <x:v>DataFlow</x:v>
      </x:c>
      <x:c r="F1240" s="17" t="str">
        <x:v>Pro</x:v>
      </x:c>
      <x:c r="G1240" s="21" t="n">
        <x:v>26257</x:v>
      </x:c>
      <x:c r="H1240" s="21" t="n">
        <x:v>13223</x:v>
      </x:c>
      <x:c r="I1240" s="17" t="str">
        <x:v>Followup</x:v>
      </x:c>
    </x:row>
    <x:row r="1241" ht="23" customHeight="1">
      <x:c r="A1241" s="17" t="str">
        <x:v>U01235</x:v>
      </x:c>
      <x:c r="B1241" s="18" t="n">
        <x:v>46289</x:v>
      </x:c>
      <x:c r="C1241" s="17" t="str">
        <x:v>W0065</x:v>
      </x:c>
      <x:c r="D1241" s="17" t="str">
        <x:v>C002</x:v>
      </x:c>
      <x:c r="E1241" s="17" t="str">
        <x:v>DataFlow</x:v>
      </x:c>
      <x:c r="F1241" s="17" t="str">
        <x:v>Pro</x:v>
      </x:c>
      <x:c r="G1241" s="21" t="n">
        <x:v>30121</x:v>
      </x:c>
      <x:c r="H1241" s="21" t="n">
        <x:v>16537</x:v>
      </x:c>
      <x:c r="I1241" s="17" t="str">
        <x:v>Followup</x:v>
      </x:c>
    </x:row>
    <x:row r="1242" ht="23" customHeight="1">
      <x:c r="A1242" s="17" t="str">
        <x:v>U01236</x:v>
      </x:c>
      <x:c r="B1242" s="18" t="n">
        <x:v>46289</x:v>
      </x:c>
      <x:c r="C1242" s="17" t="str">
        <x:v>W0065</x:v>
      </x:c>
      <x:c r="D1242" s="17" t="str">
        <x:v>C002</x:v>
      </x:c>
      <x:c r="E1242" s="17" t="str">
        <x:v>DataFlow</x:v>
      </x:c>
      <x:c r="F1242" s="17" t="str">
        <x:v>Pro</x:v>
      </x:c>
      <x:c r="G1242" s="21" t="n">
        <x:v>12661</x:v>
      </x:c>
      <x:c r="H1242" s="21" t="n">
        <x:v>20289</x:v>
      </x:c>
      <x:c r="I1242" s="17" t="str">
        <x:v>Correction</x:v>
      </x:c>
    </x:row>
    <x:row r="1243" ht="23" customHeight="1">
      <x:c r="A1243" s="17" t="str">
        <x:v>U01237</x:v>
      </x:c>
      <x:c r="B1243" s="18" t="n">
        <x:v>46290</x:v>
      </x:c>
      <x:c r="C1243" s="17" t="str">
        <x:v>W0065</x:v>
      </x:c>
      <x:c r="D1243" s="17" t="str">
        <x:v>C002</x:v>
      </x:c>
      <x:c r="E1243" s="17" t="str">
        <x:v>DataFlow</x:v>
      </x:c>
      <x:c r="F1243" s="17" t="str">
        <x:v>Pro</x:v>
      </x:c>
      <x:c r="G1243" s="21" t="n">
        <x:v>17579</x:v>
      </x:c>
      <x:c r="H1243" s="21" t="n">
        <x:v>19074</x:v>
      </x:c>
      <x:c r="I1243" s="17" t="str">
        <x:v>Correction</x:v>
      </x:c>
    </x:row>
    <x:row r="1244" ht="23" customHeight="1">
      <x:c r="A1244" s="17" t="str">
        <x:v>U01238</x:v>
      </x:c>
      <x:c r="B1244" s="18" t="n">
        <x:v>46290</x:v>
      </x:c>
      <x:c r="C1244" s="17" t="str">
        <x:v>W0065</x:v>
      </x:c>
      <x:c r="D1244" s="17" t="str">
        <x:v>C002</x:v>
      </x:c>
      <x:c r="E1244" s="17" t="str">
        <x:v>DataFlow</x:v>
      </x:c>
      <x:c r="F1244" s="17" t="str">
        <x:v>Pro</x:v>
      </x:c>
      <x:c r="G1244" s="21" t="n">
        <x:v>19887</x:v>
      </x:c>
      <x:c r="H1244" s="21" t="n">
        <x:v>11857</x:v>
      </x:c>
      <x:c r="I1244" s="17" t="str">
        <x:v>Followup</x:v>
      </x:c>
    </x:row>
    <x:row r="1245" ht="23" customHeight="1">
      <x:c r="A1245" s="17" t="str">
        <x:v>U01239</x:v>
      </x:c>
      <x:c r="B1245" s="18" t="n">
        <x:v>46290</x:v>
      </x:c>
      <x:c r="C1245" s="17" t="str">
        <x:v>W0065</x:v>
      </x:c>
      <x:c r="D1245" s="17" t="str">
        <x:v>C002</x:v>
      </x:c>
      <x:c r="E1245" s="17" t="str">
        <x:v>DataFlow</x:v>
      </x:c>
      <x:c r="F1245" s="17" t="str">
        <x:v>Pro</x:v>
      </x:c>
      <x:c r="G1245" s="21" t="n">
        <x:v>28427</x:v>
      </x:c>
      <x:c r="H1245" s="21" t="n">
        <x:v>15825</x:v>
      </x:c>
      <x:c r="I1245" s="17" t="str">
        <x:v>Correction</x:v>
      </x:c>
    </x:row>
    <x:row r="1246" ht="23" customHeight="1">
      <x:c r="A1246" s="17" t="str">
        <x:v>U01240</x:v>
      </x:c>
      <x:c r="B1246" s="18" t="n">
        <x:v>46293</x:v>
      </x:c>
      <x:c r="C1246" s="17" t="str">
        <x:v>W0065</x:v>
      </x:c>
      <x:c r="D1246" s="17" t="str">
        <x:v>C002</x:v>
      </x:c>
      <x:c r="E1246" s="17" t="str">
        <x:v>DataFlow</x:v>
      </x:c>
      <x:c r="F1246" s="17" t="str">
        <x:v>Pro</x:v>
      </x:c>
      <x:c r="G1246" s="21" t="n">
        <x:v>16361</x:v>
      </x:c>
      <x:c r="H1246" s="21" t="n">
        <x:v>7230</x:v>
      </x:c>
      <x:c r="I1246" s="17" t="str">
        <x:v>Followup</x:v>
      </x:c>
    </x:row>
    <x:row r="1247" ht="23" customHeight="1">
      <x:c r="A1247" s="17" t="str">
        <x:v>U01241</x:v>
      </x:c>
      <x:c r="B1247" s="18" t="n">
        <x:v>46293</x:v>
      </x:c>
      <x:c r="C1247" s="17" t="str">
        <x:v>W0065</x:v>
      </x:c>
      <x:c r="D1247" s="17" t="str">
        <x:v>C002</x:v>
      </x:c>
      <x:c r="E1247" s="17" t="str">
        <x:v>DataFlow</x:v>
      </x:c>
      <x:c r="F1247" s="17" t="str">
        <x:v>Pro</x:v>
      </x:c>
      <x:c r="G1247" s="21" t="n">
        <x:v>17818</x:v>
      </x:c>
      <x:c r="H1247" s="21" t="n">
        <x:v>19414</x:v>
      </x:c>
      <x:c r="I1247" s="17" t="str">
        <x:v>Followup</x:v>
      </x:c>
    </x:row>
    <x:row r="1248" ht="23" customHeight="1">
      <x:c r="A1248" s="17" t="str">
        <x:v>U01242</x:v>
      </x:c>
      <x:c r="B1248" s="18" t="n">
        <x:v>46293</x:v>
      </x:c>
      <x:c r="C1248" s="17" t="str">
        <x:v>W0065</x:v>
      </x:c>
      <x:c r="D1248" s="17" t="str">
        <x:v>C002</x:v>
      </x:c>
      <x:c r="E1248" s="17" t="str">
        <x:v>DataFlow</x:v>
      </x:c>
      <x:c r="F1248" s="17" t="str">
        <x:v>Pro</x:v>
      </x:c>
      <x:c r="G1248" s="21" t="n">
        <x:v>29326</x:v>
      </x:c>
      <x:c r="H1248" s="21" t="n">
        <x:v>6371</x:v>
      </x:c>
      <x:c r="I1248" s="17" t="str">
        <x:v>Followup</x:v>
      </x:c>
    </x:row>
    <x:row r="1249" ht="23" customHeight="1">
      <x:c r="A1249" s="17" t="str">
        <x:v>U01243</x:v>
      </x:c>
      <x:c r="B1249" s="18" t="n">
        <x:v>46293</x:v>
      </x:c>
      <x:c r="C1249" s="17" t="str">
        <x:v>W0065</x:v>
      </x:c>
      <x:c r="D1249" s="17" t="str">
        <x:v>C002</x:v>
      </x:c>
      <x:c r="E1249" s="17" t="str">
        <x:v>DataFlow</x:v>
      </x:c>
      <x:c r="F1249" s="17" t="str">
        <x:v>Pro</x:v>
      </x:c>
      <x:c r="G1249" s="21" t="n">
        <x:v>13885</x:v>
      </x:c>
      <x:c r="H1249" s="21" t="n">
        <x:v>7698</x:v>
      </x:c>
      <x:c r="I1249" s="17" t="str">
        <x:v>Correction</x:v>
      </x:c>
    </x:row>
    <x:row r="1250" ht="23" customHeight="1">
      <x:c r="A1250" s="17" t="str">
        <x:v>U01244</x:v>
      </x:c>
      <x:c r="B1250" s="18" t="n">
        <x:v>46294</x:v>
      </x:c>
      <x:c r="C1250" s="17" t="str">
        <x:v>W0065</x:v>
      </x:c>
      <x:c r="D1250" s="17" t="str">
        <x:v>C002</x:v>
      </x:c>
      <x:c r="E1250" s="17" t="str">
        <x:v>DataFlow</x:v>
      </x:c>
      <x:c r="F1250" s="17" t="str">
        <x:v>Pro</x:v>
      </x:c>
      <x:c r="G1250" s="21" t="n">
        <x:v>30480</x:v>
      </x:c>
      <x:c r="H1250" s="21" t="n">
        <x:v>15305</x:v>
      </x:c>
      <x:c r="I1250" s="17" t="str">
        <x:v>Correction</x:v>
      </x:c>
    </x:row>
    <x:row r="1251" ht="23" customHeight="1">
      <x:c r="A1251" s="17" t="str">
        <x:v>U01245</x:v>
      </x:c>
      <x:c r="B1251" s="18" t="n">
        <x:v>46294</x:v>
      </x:c>
      <x:c r="C1251" s="17" t="str">
        <x:v>W0065</x:v>
      </x:c>
      <x:c r="D1251" s="17" t="str">
        <x:v>C002</x:v>
      </x:c>
      <x:c r="E1251" s="17" t="str">
        <x:v>DataFlow</x:v>
      </x:c>
      <x:c r="F1251" s="17" t="str">
        <x:v>Pro</x:v>
      </x:c>
      <x:c r="G1251" s="21" t="n">
        <x:v>28681</x:v>
      </x:c>
      <x:c r="H1251" s="21" t="n">
        <x:v>22130</x:v>
      </x:c>
      <x:c r="I1251" s="17" t="str">
        <x:v>Followup</x:v>
      </x:c>
    </x:row>
    <x:row r="1252" ht="23" customHeight="1">
      <x:c r="A1252" s="17" t="str">
        <x:v>U01246</x:v>
      </x:c>
      <x:c r="B1252" s="18" t="n">
        <x:v>46294</x:v>
      </x:c>
      <x:c r="C1252" s="17" t="str">
        <x:v>W0065</x:v>
      </x:c>
      <x:c r="D1252" s="17" t="str">
        <x:v>C002</x:v>
      </x:c>
      <x:c r="E1252" s="17" t="str">
        <x:v>DataFlow</x:v>
      </x:c>
      <x:c r="F1252" s="17" t="str">
        <x:v>Pro</x:v>
      </x:c>
      <x:c r="G1252" s="21" t="n">
        <x:v>26020</x:v>
      </x:c>
      <x:c r="H1252" s="21" t="n">
        <x:v>12465</x:v>
      </x:c>
      <x:c r="I1252" s="17" t="str">
        <x:v>Correction</x:v>
      </x:c>
    </x:row>
    <x:row r="1253" ht="23" customHeight="1">
      <x:c r="A1253" s="17" t="str">
        <x:v>U01247</x:v>
      </x:c>
      <x:c r="B1253" s="18" t="n">
        <x:v>46274</x:v>
      </x:c>
      <x:c r="C1253" s="17" t="str">
        <x:v>W0066</x:v>
      </x:c>
      <x:c r="D1253" s="17" t="str">
        <x:v>C002</x:v>
      </x:c>
      <x:c r="E1253" s="17" t="str">
        <x:v>DataFlow</x:v>
      </x:c>
      <x:c r="F1253" s="17" t="str">
        <x:v>Pro</x:v>
      </x:c>
      <x:c r="G1253" s="21" t="n">
        <x:v>17161</x:v>
      </x:c>
      <x:c r="H1253" s="21" t="n">
        <x:v>6326</x:v>
      </x:c>
      <x:c r="I1253" s="17" t="str">
        <x:v>First attempt</x:v>
      </x:c>
    </x:row>
    <x:row r="1254" ht="23" customHeight="1">
      <x:c r="A1254" s="17" t="str">
        <x:v>U01248</x:v>
      </x:c>
      <x:c r="B1254" s="18" t="n">
        <x:v>46274</x:v>
      </x:c>
      <x:c r="C1254" s="17" t="str">
        <x:v>W0066</x:v>
      </x:c>
      <x:c r="D1254" s="17" t="str">
        <x:v>C002</x:v>
      </x:c>
      <x:c r="E1254" s="17" t="str">
        <x:v>DataFlow</x:v>
      </x:c>
      <x:c r="F1254" s="17" t="str">
        <x:v>Pro</x:v>
      </x:c>
      <x:c r="G1254" s="21" t="n">
        <x:v>29276</x:v>
      </x:c>
      <x:c r="H1254" s="21" t="n">
        <x:v>12849</x:v>
      </x:c>
      <x:c r="I1254" s="17" t="str">
        <x:v>Correction</x:v>
      </x:c>
    </x:row>
    <x:row r="1255" ht="23" customHeight="1">
      <x:c r="A1255" s="17" t="str">
        <x:v>U01249</x:v>
      </x:c>
      <x:c r="B1255" s="18" t="n">
        <x:v>46274</x:v>
      </x:c>
      <x:c r="C1255" s="17" t="str">
        <x:v>W0066</x:v>
      </x:c>
      <x:c r="D1255" s="17" t="str">
        <x:v>C002</x:v>
      </x:c>
      <x:c r="E1255" s="17" t="str">
        <x:v>DataFlow</x:v>
      </x:c>
      <x:c r="F1255" s="17" t="str">
        <x:v>Pro</x:v>
      </x:c>
      <x:c r="G1255" s="21" t="n">
        <x:v>37754</x:v>
      </x:c>
      <x:c r="H1255" s="21" t="n">
        <x:v>15021</x:v>
      </x:c>
      <x:c r="I1255" s="17" t="str">
        <x:v>Followup</x:v>
      </x:c>
    </x:row>
    <x:row r="1256" ht="23" customHeight="1">
      <x:c r="A1256" s="17" t="str">
        <x:v>U01250</x:v>
      </x:c>
      <x:c r="B1256" s="18" t="n">
        <x:v>46275</x:v>
      </x:c>
      <x:c r="C1256" s="17" t="str">
        <x:v>W0066</x:v>
      </x:c>
      <x:c r="D1256" s="17" t="str">
        <x:v>C002</x:v>
      </x:c>
      <x:c r="E1256" s="17" t="str">
        <x:v>DataFlow</x:v>
      </x:c>
      <x:c r="F1256" s="17" t="str">
        <x:v>Pro</x:v>
      </x:c>
      <x:c r="G1256" s="21" t="n">
        <x:v>37979</x:v>
      </x:c>
      <x:c r="H1256" s="21" t="n">
        <x:v>15991</x:v>
      </x:c>
      <x:c r="I1256" s="17" t="str">
        <x:v>Correction</x:v>
      </x:c>
    </x:row>
    <x:row r="1257" ht="23" customHeight="1">
      <x:c r="A1257" s="17" t="str">
        <x:v>U01251</x:v>
      </x:c>
      <x:c r="B1257" s="18" t="n">
        <x:v>46275</x:v>
      </x:c>
      <x:c r="C1257" s="17" t="str">
        <x:v>W0066</x:v>
      </x:c>
      <x:c r="D1257" s="17" t="str">
        <x:v>C002</x:v>
      </x:c>
      <x:c r="E1257" s="17" t="str">
        <x:v>DataFlow</x:v>
      </x:c>
      <x:c r="F1257" s="17" t="str">
        <x:v>Pro</x:v>
      </x:c>
      <x:c r="G1257" s="21" t="n">
        <x:v>18108</x:v>
      </x:c>
      <x:c r="H1257" s="21" t="n">
        <x:v>8521</x:v>
      </x:c>
      <x:c r="I1257" s="17" t="str">
        <x:v>Followup</x:v>
      </x:c>
    </x:row>
    <x:row r="1258" ht="23" customHeight="1">
      <x:c r="A1258" s="17" t="str">
        <x:v>U01252</x:v>
      </x:c>
      <x:c r="B1258" s="18" t="n">
        <x:v>46275</x:v>
      </x:c>
      <x:c r="C1258" s="17" t="str">
        <x:v>W0066</x:v>
      </x:c>
      <x:c r="D1258" s="17" t="str">
        <x:v>C002</x:v>
      </x:c>
      <x:c r="E1258" s="17" t="str">
        <x:v>DataFlow</x:v>
      </x:c>
      <x:c r="F1258" s="17" t="str">
        <x:v>Pro</x:v>
      </x:c>
      <x:c r="G1258" s="21" t="n">
        <x:v>21805</x:v>
      </x:c>
      <x:c r="H1258" s="21" t="n">
        <x:v>14029</x:v>
      </x:c>
      <x:c r="I1258" s="17" t="str">
        <x:v>Correction</x:v>
      </x:c>
    </x:row>
    <x:row r="1259" ht="23" customHeight="1">
      <x:c r="A1259" s="17" t="str">
        <x:v>U01253</x:v>
      </x:c>
      <x:c r="B1259" s="18" t="n">
        <x:v>46276</x:v>
      </x:c>
      <x:c r="C1259" s="17" t="str">
        <x:v>W0066</x:v>
      </x:c>
      <x:c r="D1259" s="17" t="str">
        <x:v>C002</x:v>
      </x:c>
      <x:c r="E1259" s="17" t="str">
        <x:v>DataFlow</x:v>
      </x:c>
      <x:c r="F1259" s="17" t="str">
        <x:v>Pro</x:v>
      </x:c>
      <x:c r="G1259" s="21" t="n">
        <x:v>25881</x:v>
      </x:c>
      <x:c r="H1259" s="21" t="n">
        <x:v>9390</x:v>
      </x:c>
      <x:c r="I1259" s="17" t="str">
        <x:v>Followup</x:v>
      </x:c>
    </x:row>
    <x:row r="1260" ht="23" customHeight="1">
      <x:c r="A1260" s="17" t="str">
        <x:v>U01254</x:v>
      </x:c>
      <x:c r="B1260" s="18" t="n">
        <x:v>46276</x:v>
      </x:c>
      <x:c r="C1260" s="17" t="str">
        <x:v>W0066</x:v>
      </x:c>
      <x:c r="D1260" s="17" t="str">
        <x:v>C002</x:v>
      </x:c>
      <x:c r="E1260" s="17" t="str">
        <x:v>DataFlow</x:v>
      </x:c>
      <x:c r="F1260" s="17" t="str">
        <x:v>Pro</x:v>
      </x:c>
      <x:c r="G1260" s="21" t="n">
        <x:v>21082</x:v>
      </x:c>
      <x:c r="H1260" s="21" t="n">
        <x:v>12647</x:v>
      </x:c>
      <x:c r="I1260" s="17" t="str">
        <x:v>Correction</x:v>
      </x:c>
    </x:row>
    <x:row r="1261" ht="23" customHeight="1">
      <x:c r="A1261" s="17" t="str">
        <x:v>U01255</x:v>
      </x:c>
      <x:c r="B1261" s="18" t="n">
        <x:v>46276</x:v>
      </x:c>
      <x:c r="C1261" s="17" t="str">
        <x:v>W0066</x:v>
      </x:c>
      <x:c r="D1261" s="17" t="str">
        <x:v>C002</x:v>
      </x:c>
      <x:c r="E1261" s="17" t="str">
        <x:v>DataFlow</x:v>
      </x:c>
      <x:c r="F1261" s="17" t="str">
        <x:v>Pro</x:v>
      </x:c>
      <x:c r="G1261" s="21" t="n">
        <x:v>15924</x:v>
      </x:c>
      <x:c r="H1261" s="21" t="n">
        <x:v>9603</x:v>
      </x:c>
      <x:c r="I1261" s="17" t="str">
        <x:v>Correction</x:v>
      </x:c>
    </x:row>
    <x:row r="1262" ht="23" customHeight="1">
      <x:c r="A1262" s="17" t="str">
        <x:v>U01256</x:v>
      </x:c>
      <x:c r="B1262" s="18" t="n">
        <x:v>46279</x:v>
      </x:c>
      <x:c r="C1262" s="17" t="str">
        <x:v>W0066</x:v>
      </x:c>
      <x:c r="D1262" s="17" t="str">
        <x:v>C002</x:v>
      </x:c>
      <x:c r="E1262" s="17" t="str">
        <x:v>DataFlow</x:v>
      </x:c>
      <x:c r="F1262" s="17" t="str">
        <x:v>Pro</x:v>
      </x:c>
      <x:c r="G1262" s="21" t="n">
        <x:v>36895</x:v>
      </x:c>
      <x:c r="H1262" s="21" t="n">
        <x:v>5912</x:v>
      </x:c>
      <x:c r="I1262" s="17" t="str">
        <x:v>Followup</x:v>
      </x:c>
    </x:row>
    <x:row r="1263" ht="23" customHeight="1">
      <x:c r="A1263" s="17" t="str">
        <x:v>U01257</x:v>
      </x:c>
      <x:c r="B1263" s="18" t="n">
        <x:v>46279</x:v>
      </x:c>
      <x:c r="C1263" s="17" t="str">
        <x:v>W0066</x:v>
      </x:c>
      <x:c r="D1263" s="17" t="str">
        <x:v>C002</x:v>
      </x:c>
      <x:c r="E1263" s="17" t="str">
        <x:v>DataFlow</x:v>
      </x:c>
      <x:c r="F1263" s="17" t="str">
        <x:v>Pro</x:v>
      </x:c>
      <x:c r="G1263" s="21" t="n">
        <x:v>32293</x:v>
      </x:c>
      <x:c r="H1263" s="21" t="n">
        <x:v>5195</x:v>
      </x:c>
      <x:c r="I1263" s="17" t="str">
        <x:v>Followup</x:v>
      </x:c>
    </x:row>
    <x:row r="1264" ht="23" customHeight="1">
      <x:c r="A1264" s="17" t="str">
        <x:v>U01258</x:v>
      </x:c>
      <x:c r="B1264" s="18" t="n">
        <x:v>46283</x:v>
      </x:c>
      <x:c r="C1264" s="17" t="str">
        <x:v>W0067</x:v>
      </x:c>
      <x:c r="D1264" s="17" t="str">
        <x:v>C002</x:v>
      </x:c>
      <x:c r="E1264" s="17" t="str">
        <x:v>InsightDesk</x:v>
      </x:c>
      <x:c r="F1264" s="17" t="str">
        <x:v>Pro</x:v>
      </x:c>
      <x:c r="G1264" s="21" t="n">
        <x:v>15783</x:v>
      </x:c>
      <x:c r="H1264" s="21" t="n">
        <x:v>6226</x:v>
      </x:c>
      <x:c r="I1264" s="17" t="str">
        <x:v>First attempt</x:v>
      </x:c>
    </x:row>
    <x:row r="1265" ht="23" customHeight="1">
      <x:c r="A1265" s="17" t="str">
        <x:v>U01259</x:v>
      </x:c>
      <x:c r="B1265" s="18" t="n">
        <x:v>46283</x:v>
      </x:c>
      <x:c r="C1265" s="17" t="str">
        <x:v>W0067</x:v>
      </x:c>
      <x:c r="D1265" s="17" t="str">
        <x:v>C002</x:v>
      </x:c>
      <x:c r="E1265" s="17" t="str">
        <x:v>InsightDesk</x:v>
      </x:c>
      <x:c r="F1265" s="17" t="str">
        <x:v>Pro</x:v>
      </x:c>
      <x:c r="G1265" s="21" t="n">
        <x:v>18564</x:v>
      </x:c>
      <x:c r="H1265" s="21" t="n">
        <x:v>11336</x:v>
      </x:c>
      <x:c r="I1265" s="17" t="str">
        <x:v>Followup</x:v>
      </x:c>
    </x:row>
    <x:row r="1266" ht="23" customHeight="1">
      <x:c r="A1266" s="17" t="str">
        <x:v>U01260</x:v>
      </x:c>
      <x:c r="B1266" s="18" t="n">
        <x:v>46283</x:v>
      </x:c>
      <x:c r="C1266" s="17" t="str">
        <x:v>W0067</x:v>
      </x:c>
      <x:c r="D1266" s="17" t="str">
        <x:v>C002</x:v>
      </x:c>
      <x:c r="E1266" s="17" t="str">
        <x:v>InsightDesk</x:v>
      </x:c>
      <x:c r="F1266" s="17" t="str">
        <x:v>Pro</x:v>
      </x:c>
      <x:c r="G1266" s="21" t="n">
        <x:v>32186</x:v>
      </x:c>
      <x:c r="H1266" s="21" t="n">
        <x:v>11953</x:v>
      </x:c>
      <x:c r="I1266" s="17" t="str">
        <x:v>Correction</x:v>
      </x:c>
    </x:row>
    <x:row r="1267" ht="23" customHeight="1">
      <x:c r="A1267" s="17" t="str">
        <x:v>U01261</x:v>
      </x:c>
      <x:c r="B1267" s="18" t="n">
        <x:v>46283</x:v>
      </x:c>
      <x:c r="C1267" s="17" t="str">
        <x:v>W0067</x:v>
      </x:c>
      <x:c r="D1267" s="17" t="str">
        <x:v>C002</x:v>
      </x:c>
      <x:c r="E1267" s="17" t="str">
        <x:v>InsightDesk</x:v>
      </x:c>
      <x:c r="F1267" s="17" t="str">
        <x:v>Pro</x:v>
      </x:c>
      <x:c r="G1267" s="21" t="n">
        <x:v>40294</x:v>
      </x:c>
      <x:c r="H1267" s="21" t="n">
        <x:v>13231</x:v>
      </x:c>
      <x:c r="I1267" s="17" t="str">
        <x:v>Correction</x:v>
      </x:c>
    </x:row>
    <x:row r="1268" ht="23" customHeight="1">
      <x:c r="A1268" s="17" t="str">
        <x:v>U01262</x:v>
      </x:c>
      <x:c r="B1268" s="18" t="n">
        <x:v>46286</x:v>
      </x:c>
      <x:c r="C1268" s="17" t="str">
        <x:v>W0067</x:v>
      </x:c>
      <x:c r="D1268" s="17" t="str">
        <x:v>C002</x:v>
      </x:c>
      <x:c r="E1268" s="17" t="str">
        <x:v>InsightDesk</x:v>
      </x:c>
      <x:c r="F1268" s="17" t="str">
        <x:v>Pro</x:v>
      </x:c>
      <x:c r="G1268" s="21" t="n">
        <x:v>28713</x:v>
      </x:c>
      <x:c r="H1268" s="21" t="n">
        <x:v>14312</x:v>
      </x:c>
      <x:c r="I1268" s="17" t="str">
        <x:v>Correction</x:v>
      </x:c>
    </x:row>
    <x:row r="1269" ht="23" customHeight="1">
      <x:c r="A1269" s="17" t="str">
        <x:v>U01263</x:v>
      </x:c>
      <x:c r="B1269" s="18" t="n">
        <x:v>46286</x:v>
      </x:c>
      <x:c r="C1269" s="17" t="str">
        <x:v>W0067</x:v>
      </x:c>
      <x:c r="D1269" s="17" t="str">
        <x:v>C002</x:v>
      </x:c>
      <x:c r="E1269" s="17" t="str">
        <x:v>InsightDesk</x:v>
      </x:c>
      <x:c r="F1269" s="17" t="str">
        <x:v>Pro</x:v>
      </x:c>
      <x:c r="G1269" s="21" t="n">
        <x:v>22527</x:v>
      </x:c>
      <x:c r="H1269" s="21" t="n">
        <x:v>16051</x:v>
      </x:c>
      <x:c r="I1269" s="17" t="str">
        <x:v>Correction</x:v>
      </x:c>
    </x:row>
    <x:row r="1270" ht="23" customHeight="1">
      <x:c r="A1270" s="17" t="str">
        <x:v>U01264</x:v>
      </x:c>
      <x:c r="B1270" s="18" t="n">
        <x:v>46286</x:v>
      </x:c>
      <x:c r="C1270" s="17" t="str">
        <x:v>W0067</x:v>
      </x:c>
      <x:c r="D1270" s="17" t="str">
        <x:v>C002</x:v>
      </x:c>
      <x:c r="E1270" s="17" t="str">
        <x:v>InsightDesk</x:v>
      </x:c>
      <x:c r="F1270" s="17" t="str">
        <x:v>Pro</x:v>
      </x:c>
      <x:c r="G1270" s="21" t="n">
        <x:v>30758</x:v>
      </x:c>
      <x:c r="H1270" s="21" t="n">
        <x:v>9640</x:v>
      </x:c>
      <x:c r="I1270" s="17" t="str">
        <x:v>Followup</x:v>
      </x:c>
    </x:row>
    <x:row r="1271" ht="23" customHeight="1">
      <x:c r="A1271" s="17" t="str">
        <x:v>U01265</x:v>
      </x:c>
      <x:c r="B1271" s="18" t="n">
        <x:v>46286</x:v>
      </x:c>
      <x:c r="C1271" s="17" t="str">
        <x:v>W0067</x:v>
      </x:c>
      <x:c r="D1271" s="17" t="str">
        <x:v>C002</x:v>
      </x:c>
      <x:c r="E1271" s="17" t="str">
        <x:v>InsightDesk</x:v>
      </x:c>
      <x:c r="F1271" s="17" t="str">
        <x:v>Pro</x:v>
      </x:c>
      <x:c r="G1271" s="21" t="n">
        <x:v>36578</x:v>
      </x:c>
      <x:c r="H1271" s="21" t="n">
        <x:v>15569</x:v>
      </x:c>
      <x:c r="I1271" s="17" t="str">
        <x:v>Correction</x:v>
      </x:c>
    </x:row>
    <x:row r="1272" ht="23" customHeight="1">
      <x:c r="A1272" s="17" t="str">
        <x:v>U01266</x:v>
      </x:c>
      <x:c r="B1272" s="18" t="n">
        <x:v>46287</x:v>
      </x:c>
      <x:c r="C1272" s="17" t="str">
        <x:v>W0067</x:v>
      </x:c>
      <x:c r="D1272" s="17" t="str">
        <x:v>C002</x:v>
      </x:c>
      <x:c r="E1272" s="17" t="str">
        <x:v>InsightDesk</x:v>
      </x:c>
      <x:c r="F1272" s="17" t="str">
        <x:v>Pro</x:v>
      </x:c>
      <x:c r="G1272" s="21" t="n">
        <x:v>30833</x:v>
      </x:c>
      <x:c r="H1272" s="21" t="n">
        <x:v>18995</x:v>
      </x:c>
      <x:c r="I1272" s="17" t="str">
        <x:v>Followup</x:v>
      </x:c>
    </x:row>
    <x:row r="1273" ht="23" customHeight="1">
      <x:c r="A1273" s="17" t="str">
        <x:v>U01267</x:v>
      </x:c>
      <x:c r="B1273" s="18" t="n">
        <x:v>46287</x:v>
      </x:c>
      <x:c r="C1273" s="17" t="str">
        <x:v>W0067</x:v>
      </x:c>
      <x:c r="D1273" s="17" t="str">
        <x:v>C002</x:v>
      </x:c>
      <x:c r="E1273" s="17" t="str">
        <x:v>InsightDesk</x:v>
      </x:c>
      <x:c r="F1273" s="17" t="str">
        <x:v>Pro</x:v>
      </x:c>
      <x:c r="G1273" s="21" t="n">
        <x:v>34262</x:v>
      </x:c>
      <x:c r="H1273" s="21" t="n">
        <x:v>13251</x:v>
      </x:c>
      <x:c r="I1273" s="17" t="str">
        <x:v>Followup</x:v>
      </x:c>
    </x:row>
    <x:row r="1274" ht="23" customHeight="1">
      <x:c r="A1274" s="17" t="str">
        <x:v>U01268</x:v>
      </x:c>
      <x:c r="B1274" s="18" t="n">
        <x:v>46287</x:v>
      </x:c>
      <x:c r="C1274" s="17" t="str">
        <x:v>W0067</x:v>
      </x:c>
      <x:c r="D1274" s="17" t="str">
        <x:v>C002</x:v>
      </x:c>
      <x:c r="E1274" s="17" t="str">
        <x:v>InsightDesk</x:v>
      </x:c>
      <x:c r="F1274" s="17" t="str">
        <x:v>Pro</x:v>
      </x:c>
      <x:c r="G1274" s="21" t="n">
        <x:v>35477</x:v>
      </x:c>
      <x:c r="H1274" s="21" t="n">
        <x:v>18451</x:v>
      </x:c>
      <x:c r="I1274" s="17" t="str">
        <x:v>Correction</x:v>
      </x:c>
    </x:row>
    <x:row r="1275" ht="23" customHeight="1">
      <x:c r="A1275" s="17" t="str">
        <x:v>U01269</x:v>
      </x:c>
      <x:c r="B1275" s="18" t="n">
        <x:v>46287</x:v>
      </x:c>
      <x:c r="C1275" s="17" t="str">
        <x:v>W0067</x:v>
      </x:c>
      <x:c r="D1275" s="17" t="str">
        <x:v>C002</x:v>
      </x:c>
      <x:c r="E1275" s="17" t="str">
        <x:v>InsightDesk</x:v>
      </x:c>
      <x:c r="F1275" s="17" t="str">
        <x:v>Pro</x:v>
      </x:c>
      <x:c r="G1275" s="21" t="n">
        <x:v>37513</x:v>
      </x:c>
      <x:c r="H1275" s="21" t="n">
        <x:v>14341</x:v>
      </x:c>
      <x:c r="I1275" s="17" t="str">
        <x:v>Followup</x:v>
      </x:c>
    </x:row>
    <x:row r="1276" ht="23" customHeight="1">
      <x:c r="A1276" s="17" t="str">
        <x:v>U01270</x:v>
      </x:c>
      <x:c r="B1276" s="18" t="n">
        <x:v>46288</x:v>
      </x:c>
      <x:c r="C1276" s="17" t="str">
        <x:v>W0067</x:v>
      </x:c>
      <x:c r="D1276" s="17" t="str">
        <x:v>C002</x:v>
      </x:c>
      <x:c r="E1276" s="17" t="str">
        <x:v>InsightDesk</x:v>
      </x:c>
      <x:c r="F1276" s="17" t="str">
        <x:v>Pro</x:v>
      </x:c>
      <x:c r="G1276" s="21" t="n">
        <x:v>14487</x:v>
      </x:c>
      <x:c r="H1276" s="21" t="n">
        <x:v>17137</x:v>
      </x:c>
      <x:c r="I1276" s="17" t="str">
        <x:v>Correction</x:v>
      </x:c>
    </x:row>
    <x:row r="1277" ht="23" customHeight="1">
      <x:c r="A1277" s="17" t="str">
        <x:v>U01271</x:v>
      </x:c>
      <x:c r="B1277" s="18" t="n">
        <x:v>46288</x:v>
      </x:c>
      <x:c r="C1277" s="17" t="str">
        <x:v>W0067</x:v>
      </x:c>
      <x:c r="D1277" s="17" t="str">
        <x:v>C002</x:v>
      </x:c>
      <x:c r="E1277" s="17" t="str">
        <x:v>InsightDesk</x:v>
      </x:c>
      <x:c r="F1277" s="17" t="str">
        <x:v>Pro</x:v>
      </x:c>
      <x:c r="G1277" s="21" t="n">
        <x:v>21659</x:v>
      </x:c>
      <x:c r="H1277" s="21" t="n">
        <x:v>6014</x:v>
      </x:c>
      <x:c r="I1277" s="17" t="str">
        <x:v>Followup</x:v>
      </x:c>
    </x:row>
    <x:row r="1278" ht="23" customHeight="1">
      <x:c r="A1278" s="17" t="str">
        <x:v>U01272</x:v>
      </x:c>
      <x:c r="B1278" s="18" t="n">
        <x:v>46288</x:v>
      </x:c>
      <x:c r="C1278" s="17" t="str">
        <x:v>W0067</x:v>
      </x:c>
      <x:c r="D1278" s="17" t="str">
        <x:v>C002</x:v>
      </x:c>
      <x:c r="E1278" s="17" t="str">
        <x:v>InsightDesk</x:v>
      </x:c>
      <x:c r="F1278" s="17" t="str">
        <x:v>Pro</x:v>
      </x:c>
      <x:c r="G1278" s="21" t="n">
        <x:v>25515</x:v>
      </x:c>
      <x:c r="H1278" s="21" t="n">
        <x:v>14377</x:v>
      </x:c>
      <x:c r="I1278" s="17" t="str">
        <x:v>Followup</x:v>
      </x:c>
    </x:row>
    <x:row r="1279" ht="23" customHeight="1">
      <x:c r="A1279" s="17" t="str">
        <x:v>U01273</x:v>
      </x:c>
      <x:c r="B1279" s="18" t="n">
        <x:v>46288</x:v>
      </x:c>
      <x:c r="C1279" s="17" t="str">
        <x:v>W0067</x:v>
      </x:c>
      <x:c r="D1279" s="17" t="str">
        <x:v>C002</x:v>
      </x:c>
      <x:c r="E1279" s="17" t="str">
        <x:v>InsightDesk</x:v>
      </x:c>
      <x:c r="F1279" s="17" t="str">
        <x:v>Pro</x:v>
      </x:c>
      <x:c r="G1279" s="21" t="n">
        <x:v>23554</x:v>
      </x:c>
      <x:c r="H1279" s="21" t="n">
        <x:v>16930</x:v>
      </x:c>
      <x:c r="I1279" s="17" t="str">
        <x:v>Correction</x:v>
      </x:c>
    </x:row>
    <x:row r="1280" ht="23" customHeight="1">
      <x:c r="A1280" s="17" t="str">
        <x:v>U01274</x:v>
      </x:c>
      <x:c r="B1280" s="18" t="n">
        <x:v>46267</x:v>
      </x:c>
      <x:c r="C1280" s="17" t="str">
        <x:v>W0068</x:v>
      </x:c>
      <x:c r="D1280" s="17" t="str">
        <x:v>C002</x:v>
      </x:c>
      <x:c r="E1280" s="17" t="str">
        <x:v>CopyStudio</x:v>
      </x:c>
      <x:c r="F1280" s="17" t="str">
        <x:v>Pro</x:v>
      </x:c>
      <x:c r="G1280" s="21" t="n">
        <x:v>17107</x:v>
      </x:c>
      <x:c r="H1280" s="21" t="n">
        <x:v>4958</x:v>
      </x:c>
      <x:c r="I1280" s="17" t="str">
        <x:v>First attempt</x:v>
      </x:c>
    </x:row>
    <x:row r="1281" ht="23" customHeight="1">
      <x:c r="A1281" s="17" t="str">
        <x:v>U01275</x:v>
      </x:c>
      <x:c r="B1281" s="18" t="n">
        <x:v>46267</x:v>
      </x:c>
      <x:c r="C1281" s="17" t="str">
        <x:v>W0068</x:v>
      </x:c>
      <x:c r="D1281" s="17" t="str">
        <x:v>C002</x:v>
      </x:c>
      <x:c r="E1281" s="17" t="str">
        <x:v>CopyStudio</x:v>
      </x:c>
      <x:c r="F1281" s="17" t="str">
        <x:v>Pro</x:v>
      </x:c>
      <x:c r="G1281" s="21" t="n">
        <x:v>13188</x:v>
      </x:c>
      <x:c r="H1281" s="21" t="n">
        <x:v>6035</x:v>
      </x:c>
      <x:c r="I1281" s="17" t="str">
        <x:v>Correction</x:v>
      </x:c>
    </x:row>
    <x:row r="1282" ht="23" customHeight="1">
      <x:c r="A1282" s="17" t="str">
        <x:v>U01276</x:v>
      </x:c>
      <x:c r="B1282" s="18" t="n">
        <x:v>46267</x:v>
      </x:c>
      <x:c r="C1282" s="17" t="str">
        <x:v>W0068</x:v>
      </x:c>
      <x:c r="D1282" s="17" t="str">
        <x:v>C002</x:v>
      </x:c>
      <x:c r="E1282" s="17" t="str">
        <x:v>CopyStudio</x:v>
      </x:c>
      <x:c r="F1282" s="17" t="str">
        <x:v>Pro</x:v>
      </x:c>
      <x:c r="G1282" s="21" t="n">
        <x:v>14074</x:v>
      </x:c>
      <x:c r="H1282" s="21" t="n">
        <x:v>5727</x:v>
      </x:c>
      <x:c r="I1282" s="17" t="str">
        <x:v>Followup</x:v>
      </x:c>
    </x:row>
    <x:row r="1283" ht="23" customHeight="1">
      <x:c r="A1283" s="17" t="str">
        <x:v>U01277</x:v>
      </x:c>
      <x:c r="B1283" s="18" t="n">
        <x:v>46267</x:v>
      </x:c>
      <x:c r="C1283" s="17" t="str">
        <x:v>W0068</x:v>
      </x:c>
      <x:c r="D1283" s="17" t="str">
        <x:v>C002</x:v>
      </x:c>
      <x:c r="E1283" s="17" t="str">
        <x:v>CopyStudio</x:v>
      </x:c>
      <x:c r="F1283" s="17" t="str">
        <x:v>Pro</x:v>
      </x:c>
      <x:c r="G1283" s="21" t="n">
        <x:v>8577</x:v>
      </x:c>
      <x:c r="H1283" s="21" t="n">
        <x:v>4609</x:v>
      </x:c>
      <x:c r="I1283" s="17" t="str">
        <x:v>Followup</x:v>
      </x:c>
    </x:row>
    <x:row r="1284" ht="23" customHeight="1">
      <x:c r="A1284" s="17" t="str">
        <x:v>U01278</x:v>
      </x:c>
      <x:c r="B1284" s="18" t="n">
        <x:v>46268</x:v>
      </x:c>
      <x:c r="C1284" s="17" t="str">
        <x:v>W0068</x:v>
      </x:c>
      <x:c r="D1284" s="17" t="str">
        <x:v>C002</x:v>
      </x:c>
      <x:c r="E1284" s="17" t="str">
        <x:v>CopyStudio</x:v>
      </x:c>
      <x:c r="F1284" s="17" t="str">
        <x:v>Pro</x:v>
      </x:c>
      <x:c r="G1284" s="21" t="n">
        <x:v>7430</x:v>
      </x:c>
      <x:c r="H1284" s="21" t="n">
        <x:v>12032</x:v>
      </x:c>
      <x:c r="I1284" s="17" t="str">
        <x:v>Followup</x:v>
      </x:c>
    </x:row>
    <x:row r="1285" ht="23" customHeight="1">
      <x:c r="A1285" s="17" t="str">
        <x:v>U01279</x:v>
      </x:c>
      <x:c r="B1285" s="18" t="n">
        <x:v>46268</x:v>
      </x:c>
      <x:c r="C1285" s="17" t="str">
        <x:v>W0068</x:v>
      </x:c>
      <x:c r="D1285" s="17" t="str">
        <x:v>C002</x:v>
      </x:c>
      <x:c r="E1285" s="17" t="str">
        <x:v>CopyStudio</x:v>
      </x:c>
      <x:c r="F1285" s="17" t="str">
        <x:v>Pro</x:v>
      </x:c>
      <x:c r="G1285" s="21" t="n">
        <x:v>11770</x:v>
      </x:c>
      <x:c r="H1285" s="21" t="n">
        <x:v>8901</x:v>
      </x:c>
      <x:c r="I1285" s="17" t="str">
        <x:v>Followup</x:v>
      </x:c>
    </x:row>
    <x:row r="1286" ht="23" customHeight="1">
      <x:c r="A1286" s="17" t="str">
        <x:v>U01280</x:v>
      </x:c>
      <x:c r="B1286" s="18" t="n">
        <x:v>46268</x:v>
      </x:c>
      <x:c r="C1286" s="17" t="str">
        <x:v>W0068</x:v>
      </x:c>
      <x:c r="D1286" s="17" t="str">
        <x:v>C002</x:v>
      </x:c>
      <x:c r="E1286" s="17" t="str">
        <x:v>CopyStudio</x:v>
      </x:c>
      <x:c r="F1286" s="17" t="str">
        <x:v>Pro</x:v>
      </x:c>
      <x:c r="G1286" s="21" t="n">
        <x:v>15098</x:v>
      </x:c>
      <x:c r="H1286" s="21" t="n">
        <x:v>11437</x:v>
      </x:c>
      <x:c r="I1286" s="17" t="str">
        <x:v>Followup</x:v>
      </x:c>
    </x:row>
    <x:row r="1287" ht="23" customHeight="1">
      <x:c r="A1287" s="17" t="str">
        <x:v>U01281</x:v>
      </x:c>
      <x:c r="B1287" s="18" t="n">
        <x:v>46269</x:v>
      </x:c>
      <x:c r="C1287" s="17" t="str">
        <x:v>W0068</x:v>
      </x:c>
      <x:c r="D1287" s="17" t="str">
        <x:v>C002</x:v>
      </x:c>
      <x:c r="E1287" s="17" t="str">
        <x:v>CopyStudio</x:v>
      </x:c>
      <x:c r="F1287" s="17" t="str">
        <x:v>Pro</x:v>
      </x:c>
      <x:c r="G1287" s="21" t="n">
        <x:v>10997</x:v>
      </x:c>
      <x:c r="H1287" s="21" t="n">
        <x:v>7412</x:v>
      </x:c>
      <x:c r="I1287" s="17" t="str">
        <x:v>Followup</x:v>
      </x:c>
    </x:row>
    <x:row r="1288" ht="23" customHeight="1">
      <x:c r="A1288" s="17" t="str">
        <x:v>U01282</x:v>
      </x:c>
      <x:c r="B1288" s="18" t="n">
        <x:v>46269</x:v>
      </x:c>
      <x:c r="C1288" s="17" t="str">
        <x:v>W0068</x:v>
      </x:c>
      <x:c r="D1288" s="17" t="str">
        <x:v>C002</x:v>
      </x:c>
      <x:c r="E1288" s="17" t="str">
        <x:v>CopyStudio</x:v>
      </x:c>
      <x:c r="F1288" s="17" t="str">
        <x:v>Pro</x:v>
      </x:c>
      <x:c r="G1288" s="21" t="n">
        <x:v>11282</x:v>
      </x:c>
      <x:c r="H1288" s="21" t="n">
        <x:v>3322</x:v>
      </x:c>
      <x:c r="I1288" s="17" t="str">
        <x:v>Correction</x:v>
      </x:c>
    </x:row>
    <x:row r="1289" ht="23" customHeight="1">
      <x:c r="A1289" s="17" t="str">
        <x:v>U01283</x:v>
      </x:c>
      <x:c r="B1289" s="18" t="n">
        <x:v>46269</x:v>
      </x:c>
      <x:c r="C1289" s="17" t="str">
        <x:v>W0068</x:v>
      </x:c>
      <x:c r="D1289" s="17" t="str">
        <x:v>C002</x:v>
      </x:c>
      <x:c r="E1289" s="17" t="str">
        <x:v>CopyStudio</x:v>
      </x:c>
      <x:c r="F1289" s="17" t="str">
        <x:v>Pro</x:v>
      </x:c>
      <x:c r="G1289" s="21" t="n">
        <x:v>16031</x:v>
      </x:c>
      <x:c r="H1289" s="21" t="n">
        <x:v>11898</x:v>
      </x:c>
      <x:c r="I1289" s="17" t="str">
        <x:v>Followup</x:v>
      </x:c>
    </x:row>
    <x:row r="1290" ht="23" customHeight="1">
      <x:c r="A1290" s="17" t="str">
        <x:v>U01284</x:v>
      </x:c>
      <x:c r="B1290" s="18" t="n">
        <x:v>46269</x:v>
      </x:c>
      <x:c r="C1290" s="17" t="str">
        <x:v>W0068</x:v>
      </x:c>
      <x:c r="D1290" s="17" t="str">
        <x:v>C002</x:v>
      </x:c>
      <x:c r="E1290" s="17" t="str">
        <x:v>CopyStudio</x:v>
      </x:c>
      <x:c r="F1290" s="17" t="str">
        <x:v>Pro</x:v>
      </x:c>
      <x:c r="G1290" s="21" t="n">
        <x:v>8480</x:v>
      </x:c>
      <x:c r="H1290" s="21" t="n">
        <x:v>7820</x:v>
      </x:c>
      <x:c r="I1290" s="17" t="str">
        <x:v>Followup</x:v>
      </x:c>
    </x:row>
    <x:row r="1291" ht="23" customHeight="1">
      <x:c r="A1291" s="17" t="str">
        <x:v>U01285</x:v>
      </x:c>
      <x:c r="B1291" s="18" t="n">
        <x:v>46273</x:v>
      </x:c>
      <x:c r="C1291" s="17" t="str">
        <x:v>W0068</x:v>
      </x:c>
      <x:c r="D1291" s="17" t="str">
        <x:v>C002</x:v>
      </x:c>
      <x:c r="E1291" s="17" t="str">
        <x:v>CopyStudio</x:v>
      </x:c>
      <x:c r="F1291" s="17" t="str">
        <x:v>Pro</x:v>
      </x:c>
      <x:c r="G1291" s="21" t="n">
        <x:v>10877</x:v>
      </x:c>
      <x:c r="H1291" s="21" t="n">
        <x:v>10549</x:v>
      </x:c>
      <x:c r="I1291" s="17" t="str">
        <x:v>Followup</x:v>
      </x:c>
    </x:row>
    <x:row r="1292" ht="23" customHeight="1">
      <x:c r="A1292" s="17" t="str">
        <x:v>U01286</x:v>
      </x:c>
      <x:c r="B1292" s="18" t="n">
        <x:v>46273</x:v>
      </x:c>
      <x:c r="C1292" s="17" t="str">
        <x:v>W0068</x:v>
      </x:c>
      <x:c r="D1292" s="17" t="str">
        <x:v>C002</x:v>
      </x:c>
      <x:c r="E1292" s="17" t="str">
        <x:v>CopyStudio</x:v>
      </x:c>
      <x:c r="F1292" s="17" t="str">
        <x:v>Pro</x:v>
      </x:c>
      <x:c r="G1292" s="21" t="n">
        <x:v>15044</x:v>
      </x:c>
      <x:c r="H1292" s="21" t="n">
        <x:v>11346</x:v>
      </x:c>
      <x:c r="I1292" s="17" t="str">
        <x:v>Correction</x:v>
      </x:c>
    </x:row>
    <x:row r="1293" ht="23" customHeight="1">
      <x:c r="A1293" s="17" t="str">
        <x:v>U01287</x:v>
      </x:c>
      <x:c r="B1293" s="18" t="n">
        <x:v>46273</x:v>
      </x:c>
      <x:c r="C1293" s="17" t="str">
        <x:v>W0068</x:v>
      </x:c>
      <x:c r="D1293" s="17" t="str">
        <x:v>C002</x:v>
      </x:c>
      <x:c r="E1293" s="17" t="str">
        <x:v>CopyStudio</x:v>
      </x:c>
      <x:c r="F1293" s="17" t="str">
        <x:v>Pro</x:v>
      </x:c>
      <x:c r="G1293" s="21" t="n">
        <x:v>8975</x:v>
      </x:c>
      <x:c r="H1293" s="21" t="n">
        <x:v>9444</x:v>
      </x:c>
      <x:c r="I1293" s="17" t="str">
        <x:v>Followup</x:v>
      </x:c>
    </x:row>
    <x:row r="1294" ht="23" customHeight="1">
      <x:c r="A1294" s="17" t="str">
        <x:v>U01288</x:v>
      </x:c>
      <x:c r="B1294" s="18" t="n">
        <x:v>46279</x:v>
      </x:c>
      <x:c r="C1294" s="17" t="str">
        <x:v>W0069</x:v>
      </x:c>
      <x:c r="D1294" s="17" t="str">
        <x:v>C002</x:v>
      </x:c>
      <x:c r="E1294" s="17" t="str">
        <x:v>CopyStudio</x:v>
      </x:c>
      <x:c r="F1294" s="17" t="str">
        <x:v>Pro</x:v>
      </x:c>
      <x:c r="G1294" s="21" t="n">
        <x:v>8272</x:v>
      </x:c>
      <x:c r="H1294" s="21" t="n">
        <x:v>6850</x:v>
      </x:c>
      <x:c r="I1294" s="17" t="str">
        <x:v>First attempt</x:v>
      </x:c>
    </x:row>
    <x:row r="1295" ht="23" customHeight="1">
      <x:c r="A1295" s="17" t="str">
        <x:v>U01289</x:v>
      </x:c>
      <x:c r="B1295" s="18" t="n">
        <x:v>46279</x:v>
      </x:c>
      <x:c r="C1295" s="17" t="str">
        <x:v>W0069</x:v>
      </x:c>
      <x:c r="D1295" s="17" t="str">
        <x:v>C002</x:v>
      </x:c>
      <x:c r="E1295" s="17" t="str">
        <x:v>CopyStudio</x:v>
      </x:c>
      <x:c r="F1295" s="17" t="str">
        <x:v>Pro</x:v>
      </x:c>
      <x:c r="G1295" s="21" t="n">
        <x:v>8043</x:v>
      </x:c>
      <x:c r="H1295" s="21" t="n">
        <x:v>7266</x:v>
      </x:c>
      <x:c r="I1295" s="17" t="str">
        <x:v>Followup</x:v>
      </x:c>
    </x:row>
    <x:row r="1296" ht="23" customHeight="1">
      <x:c r="A1296" s="17" t="str">
        <x:v>U01290</x:v>
      </x:c>
      <x:c r="B1296" s="18" t="n">
        <x:v>46279</x:v>
      </x:c>
      <x:c r="C1296" s="17" t="str">
        <x:v>W0069</x:v>
      </x:c>
      <x:c r="D1296" s="17" t="str">
        <x:v>C002</x:v>
      </x:c>
      <x:c r="E1296" s="17" t="str">
        <x:v>CopyStudio</x:v>
      </x:c>
      <x:c r="F1296" s="17" t="str">
        <x:v>Pro</x:v>
      </x:c>
      <x:c r="G1296" s="21" t="n">
        <x:v>10756</x:v>
      </x:c>
      <x:c r="H1296" s="21" t="n">
        <x:v>8572</x:v>
      </x:c>
      <x:c r="I1296" s="17" t="str">
        <x:v>Correction</x:v>
      </x:c>
    </x:row>
    <x:row r="1297" ht="23" customHeight="1">
      <x:c r="A1297" s="17" t="str">
        <x:v>U01291</x:v>
      </x:c>
      <x:c r="B1297" s="18" t="n">
        <x:v>46279</x:v>
      </x:c>
      <x:c r="C1297" s="17" t="str">
        <x:v>W0069</x:v>
      </x:c>
      <x:c r="D1297" s="17" t="str">
        <x:v>C002</x:v>
      </x:c>
      <x:c r="E1297" s="17" t="str">
        <x:v>CopyStudio</x:v>
      </x:c>
      <x:c r="F1297" s="17" t="str">
        <x:v>Pro</x:v>
      </x:c>
      <x:c r="G1297" s="21" t="n">
        <x:v>17097</x:v>
      </x:c>
      <x:c r="H1297" s="21" t="n">
        <x:v>12172</x:v>
      </x:c>
      <x:c r="I1297" s="17" t="str">
        <x:v>Followup</x:v>
      </x:c>
    </x:row>
    <x:row r="1298" ht="23" customHeight="1">
      <x:c r="A1298" s="17" t="str">
        <x:v>U01292</x:v>
      </x:c>
      <x:c r="B1298" s="18" t="n">
        <x:v>46280</x:v>
      </x:c>
      <x:c r="C1298" s="17" t="str">
        <x:v>W0069</x:v>
      </x:c>
      <x:c r="D1298" s="17" t="str">
        <x:v>C002</x:v>
      </x:c>
      <x:c r="E1298" s="17" t="str">
        <x:v>CopyStudio</x:v>
      </x:c>
      <x:c r="F1298" s="17" t="str">
        <x:v>Pro</x:v>
      </x:c>
      <x:c r="G1298" s="21" t="n">
        <x:v>14594</x:v>
      </x:c>
      <x:c r="H1298" s="21" t="n">
        <x:v>7612</x:v>
      </x:c>
      <x:c r="I1298" s="17" t="str">
        <x:v>Correction</x:v>
      </x:c>
    </x:row>
    <x:row r="1299" ht="23" customHeight="1">
      <x:c r="A1299" s="17" t="str">
        <x:v>U01293</x:v>
      </x:c>
      <x:c r="B1299" s="18" t="n">
        <x:v>46280</x:v>
      </x:c>
      <x:c r="C1299" s="17" t="str">
        <x:v>W0069</x:v>
      </x:c>
      <x:c r="D1299" s="17" t="str">
        <x:v>C002</x:v>
      </x:c>
      <x:c r="E1299" s="17" t="str">
        <x:v>CopyStudio</x:v>
      </x:c>
      <x:c r="F1299" s="17" t="str">
        <x:v>Pro</x:v>
      </x:c>
      <x:c r="G1299" s="21" t="n">
        <x:v>10275</x:v>
      </x:c>
      <x:c r="H1299" s="21" t="n">
        <x:v>6103</x:v>
      </x:c>
      <x:c r="I1299" s="17" t="str">
        <x:v>Followup</x:v>
      </x:c>
    </x:row>
    <x:row r="1300" ht="23" customHeight="1">
      <x:c r="A1300" s="17" t="str">
        <x:v>U01294</x:v>
      </x:c>
      <x:c r="B1300" s="18" t="n">
        <x:v>46280</x:v>
      </x:c>
      <x:c r="C1300" s="17" t="str">
        <x:v>W0069</x:v>
      </x:c>
      <x:c r="D1300" s="17" t="str">
        <x:v>C002</x:v>
      </x:c>
      <x:c r="E1300" s="17" t="str">
        <x:v>CopyStudio</x:v>
      </x:c>
      <x:c r="F1300" s="17" t="str">
        <x:v>Pro</x:v>
      </x:c>
      <x:c r="G1300" s="21" t="n">
        <x:v>16185</x:v>
      </x:c>
      <x:c r="H1300" s="21" t="n">
        <x:v>10887</x:v>
      </x:c>
      <x:c r="I1300" s="17" t="str">
        <x:v>Followup</x:v>
      </x:c>
    </x:row>
    <x:row r="1301" ht="23" customHeight="1">
      <x:c r="A1301" s="17" t="str">
        <x:v>U01295</x:v>
      </x:c>
      <x:c r="B1301" s="18" t="n">
        <x:v>46280</x:v>
      </x:c>
      <x:c r="C1301" s="17" t="str">
        <x:v>W0069</x:v>
      </x:c>
      <x:c r="D1301" s="17" t="str">
        <x:v>C002</x:v>
      </x:c>
      <x:c r="E1301" s="17" t="str">
        <x:v>CopyStudio</x:v>
      </x:c>
      <x:c r="F1301" s="17" t="str">
        <x:v>Pro</x:v>
      </x:c>
      <x:c r="G1301" s="21" t="n">
        <x:v>12608</x:v>
      </x:c>
      <x:c r="H1301" s="21" t="n">
        <x:v>7860</x:v>
      </x:c>
      <x:c r="I1301" s="17" t="str">
        <x:v>Followup</x:v>
      </x:c>
    </x:row>
    <x:row r="1302" ht="23" customHeight="1">
      <x:c r="A1302" s="17" t="str">
        <x:v>U01296</x:v>
      </x:c>
      <x:c r="B1302" s="18" t="n">
        <x:v>46281</x:v>
      </x:c>
      <x:c r="C1302" s="17" t="str">
        <x:v>W0069</x:v>
      </x:c>
      <x:c r="D1302" s="17" t="str">
        <x:v>C002</x:v>
      </x:c>
      <x:c r="E1302" s="17" t="str">
        <x:v>CopyStudio</x:v>
      </x:c>
      <x:c r="F1302" s="17" t="str">
        <x:v>Pro</x:v>
      </x:c>
      <x:c r="G1302" s="21" t="n">
        <x:v>12324</x:v>
      </x:c>
      <x:c r="H1302" s="21" t="n">
        <x:v>7389</x:v>
      </x:c>
      <x:c r="I1302" s="17" t="str">
        <x:v>Correction</x:v>
      </x:c>
    </x:row>
    <x:row r="1303" ht="23" customHeight="1">
      <x:c r="A1303" s="17" t="str">
        <x:v>U01297</x:v>
      </x:c>
      <x:c r="B1303" s="18" t="n">
        <x:v>46281</x:v>
      </x:c>
      <x:c r="C1303" s="17" t="str">
        <x:v>W0069</x:v>
      </x:c>
      <x:c r="D1303" s="17" t="str">
        <x:v>C002</x:v>
      </x:c>
      <x:c r="E1303" s="17" t="str">
        <x:v>CopyStudio</x:v>
      </x:c>
      <x:c r="F1303" s="17" t="str">
        <x:v>Pro</x:v>
      </x:c>
      <x:c r="G1303" s="21" t="n">
        <x:v>18953</x:v>
      </x:c>
      <x:c r="H1303" s="21" t="n">
        <x:v>8278</x:v>
      </x:c>
      <x:c r="I1303" s="17" t="str">
        <x:v>Followup</x:v>
      </x:c>
    </x:row>
    <x:row r="1304" ht="23" customHeight="1">
      <x:c r="A1304" s="17" t="str">
        <x:v>U01298</x:v>
      </x:c>
      <x:c r="B1304" s="18" t="n">
        <x:v>46281</x:v>
      </x:c>
      <x:c r="C1304" s="17" t="str">
        <x:v>W0069</x:v>
      </x:c>
      <x:c r="D1304" s="17" t="str">
        <x:v>C002</x:v>
      </x:c>
      <x:c r="E1304" s="17" t="str">
        <x:v>CopyStudio</x:v>
      </x:c>
      <x:c r="F1304" s="17" t="str">
        <x:v>Pro</x:v>
      </x:c>
      <x:c r="G1304" s="21" t="n">
        <x:v>19816</x:v>
      </x:c>
      <x:c r="H1304" s="21" t="n">
        <x:v>5303</x:v>
      </x:c>
      <x:c r="I1304" s="17" t="str">
        <x:v>Followup</x:v>
      </x:c>
    </x:row>
    <x:row r="1305" ht="23" customHeight="1">
      <x:c r="A1305" s="17" t="str">
        <x:v>U01299</x:v>
      </x:c>
      <x:c r="B1305" s="18" t="n">
        <x:v>46281</x:v>
      </x:c>
      <x:c r="C1305" s="17" t="str">
        <x:v>W0069</x:v>
      </x:c>
      <x:c r="D1305" s="17" t="str">
        <x:v>C002</x:v>
      </x:c>
      <x:c r="E1305" s="17" t="str">
        <x:v>CopyStudio</x:v>
      </x:c>
      <x:c r="F1305" s="17" t="str">
        <x:v>Pro</x:v>
      </x:c>
      <x:c r="G1305" s="21" t="n">
        <x:v>11292</x:v>
      </x:c>
      <x:c r="H1305" s="21" t="n">
        <x:v>11314</x:v>
      </x:c>
      <x:c r="I1305" s="17" t="str">
        <x:v>Correction</x:v>
      </x:c>
    </x:row>
    <x:row r="1306" ht="23" customHeight="1">
      <x:c r="A1306" s="17" t="str">
        <x:v>U01300</x:v>
      </x:c>
      <x:c r="B1306" s="18" t="n">
        <x:v>46282</x:v>
      </x:c>
      <x:c r="C1306" s="17" t="str">
        <x:v>W0069</x:v>
      </x:c>
      <x:c r="D1306" s="17" t="str">
        <x:v>C002</x:v>
      </x:c>
      <x:c r="E1306" s="17" t="str">
        <x:v>CopyStudio</x:v>
      </x:c>
      <x:c r="F1306" s="17" t="str">
        <x:v>Pro</x:v>
      </x:c>
      <x:c r="G1306" s="21" t="n">
        <x:v>8395</x:v>
      </x:c>
      <x:c r="H1306" s="21" t="n">
        <x:v>6046</x:v>
      </x:c>
      <x:c r="I1306" s="17" t="str">
        <x:v>Followup</x:v>
      </x:c>
    </x:row>
    <x:row r="1307" ht="23" customHeight="1">
      <x:c r="A1307" s="17" t="str">
        <x:v>U01301</x:v>
      </x:c>
      <x:c r="B1307" s="18" t="n">
        <x:v>46282</x:v>
      </x:c>
      <x:c r="C1307" s="17" t="str">
        <x:v>W0069</x:v>
      </x:c>
      <x:c r="D1307" s="17" t="str">
        <x:v>C002</x:v>
      </x:c>
      <x:c r="E1307" s="17" t="str">
        <x:v>CopyStudio</x:v>
      </x:c>
      <x:c r="F1307" s="17" t="str">
        <x:v>Pro</x:v>
      </x:c>
      <x:c r="G1307" s="21" t="n">
        <x:v>13608</x:v>
      </x:c>
      <x:c r="H1307" s="21" t="n">
        <x:v>4724</x:v>
      </x:c>
      <x:c r="I1307" s="17" t="str">
        <x:v>Followup</x:v>
      </x:c>
    </x:row>
    <x:row r="1308" ht="23" customHeight="1">
      <x:c r="A1308" s="17" t="str">
        <x:v>U01302</x:v>
      </x:c>
      <x:c r="B1308" s="18" t="n">
        <x:v>46282</x:v>
      </x:c>
      <x:c r="C1308" s="17" t="str">
        <x:v>W0069</x:v>
      </x:c>
      <x:c r="D1308" s="17" t="str">
        <x:v>C002</x:v>
      </x:c>
      <x:c r="E1308" s="17" t="str">
        <x:v>CopyStudio</x:v>
      </x:c>
      <x:c r="F1308" s="17" t="str">
        <x:v>Pro</x:v>
      </x:c>
      <x:c r="G1308" s="21" t="n">
        <x:v>15383</x:v>
      </x:c>
      <x:c r="H1308" s="21" t="n">
        <x:v>8239</x:v>
      </x:c>
      <x:c r="I1308" s="17" t="str">
        <x:v>Followup</x:v>
      </x:c>
    </x:row>
    <x:row r="1309" ht="23" customHeight="1">
      <x:c r="A1309" s="17" t="str">
        <x:v>U01303</x:v>
      </x:c>
      <x:c r="B1309" s="18" t="n">
        <x:v>46288</x:v>
      </x:c>
      <x:c r="C1309" s="17" t="str">
        <x:v>W0070</x:v>
      </x:c>
      <x:c r="D1309" s="17" t="str">
        <x:v>C002</x:v>
      </x:c>
      <x:c r="E1309" s="17" t="str">
        <x:v>CampaignChat</x:v>
      </x:c>
      <x:c r="F1309" s="17" t="str">
        <x:v>Pro</x:v>
      </x:c>
      <x:c r="G1309" s="21" t="n">
        <x:v>13163</x:v>
      </x:c>
      <x:c r="H1309" s="21" t="n">
        <x:v>4104</x:v>
      </x:c>
      <x:c r="I1309" s="17" t="str">
        <x:v>First attempt</x:v>
      </x:c>
    </x:row>
    <x:row r="1310" ht="23" customHeight="1">
      <x:c r="A1310" s="17" t="str">
        <x:v>U01304</x:v>
      </x:c>
      <x:c r="B1310" s="18" t="n">
        <x:v>46288</x:v>
      </x:c>
      <x:c r="C1310" s="17" t="str">
        <x:v>W0070</x:v>
      </x:c>
      <x:c r="D1310" s="17" t="str">
        <x:v>C002</x:v>
      </x:c>
      <x:c r="E1310" s="17" t="str">
        <x:v>CampaignChat</x:v>
      </x:c>
      <x:c r="F1310" s="17" t="str">
        <x:v>Pro</x:v>
      </x:c>
      <x:c r="G1310" s="21" t="n">
        <x:v>11168</x:v>
      </x:c>
      <x:c r="H1310" s="21" t="n">
        <x:v>14690</x:v>
      </x:c>
      <x:c r="I1310" s="17" t="str">
        <x:v>Followup</x:v>
      </x:c>
    </x:row>
    <x:row r="1311" ht="23" customHeight="1">
      <x:c r="A1311" s="17" t="str">
        <x:v>U01305</x:v>
      </x:c>
      <x:c r="B1311" s="18" t="n">
        <x:v>46288</x:v>
      </x:c>
      <x:c r="C1311" s="17" t="str">
        <x:v>W0070</x:v>
      </x:c>
      <x:c r="D1311" s="17" t="str">
        <x:v>C002</x:v>
      </x:c>
      <x:c r="E1311" s="17" t="str">
        <x:v>CampaignChat</x:v>
      </x:c>
      <x:c r="F1311" s="17" t="str">
        <x:v>Pro</x:v>
      </x:c>
      <x:c r="G1311" s="21" t="n">
        <x:v>16262</x:v>
      </x:c>
      <x:c r="H1311" s="21" t="n">
        <x:v>3985</x:v>
      </x:c>
      <x:c r="I1311" s="17" t="str">
        <x:v>Followup</x:v>
      </x:c>
    </x:row>
    <x:row r="1312" ht="23" customHeight="1">
      <x:c r="A1312" s="17" t="str">
        <x:v>U01306</x:v>
      </x:c>
      <x:c r="B1312" s="18" t="n">
        <x:v>46289</x:v>
      </x:c>
      <x:c r="C1312" s="17" t="str">
        <x:v>W0070</x:v>
      </x:c>
      <x:c r="D1312" s="17" t="str">
        <x:v>C002</x:v>
      </x:c>
      <x:c r="E1312" s="17" t="str">
        <x:v>CampaignChat</x:v>
      </x:c>
      <x:c r="F1312" s="17" t="str">
        <x:v>Pro</x:v>
      </x:c>
      <x:c r="G1312" s="21" t="n">
        <x:v>7679</x:v>
      </x:c>
      <x:c r="H1312" s="21" t="n">
        <x:v>6409</x:v>
      </x:c>
      <x:c r="I1312" s="17" t="str">
        <x:v>Followup</x:v>
      </x:c>
    </x:row>
    <x:row r="1313" ht="23" customHeight="1">
      <x:c r="A1313" s="17" t="str">
        <x:v>U01307</x:v>
      </x:c>
      <x:c r="B1313" s="18" t="n">
        <x:v>46289</x:v>
      </x:c>
      <x:c r="C1313" s="17" t="str">
        <x:v>W0070</x:v>
      </x:c>
      <x:c r="D1313" s="17" t="str">
        <x:v>C002</x:v>
      </x:c>
      <x:c r="E1313" s="17" t="str">
        <x:v>CampaignChat</x:v>
      </x:c>
      <x:c r="F1313" s="17" t="str">
        <x:v>Pro</x:v>
      </x:c>
      <x:c r="G1313" s="21" t="n">
        <x:v>9477</x:v>
      </x:c>
      <x:c r="H1313" s="21" t="n">
        <x:v>6419</x:v>
      </x:c>
      <x:c r="I1313" s="17" t="str">
        <x:v>Correction</x:v>
      </x:c>
    </x:row>
    <x:row r="1314" ht="23" customHeight="1">
      <x:c r="A1314" s="17" t="str">
        <x:v>U01308</x:v>
      </x:c>
      <x:c r="B1314" s="18" t="n">
        <x:v>46289</x:v>
      </x:c>
      <x:c r="C1314" s="17" t="str">
        <x:v>W0070</x:v>
      </x:c>
      <x:c r="D1314" s="17" t="str">
        <x:v>C002</x:v>
      </x:c>
      <x:c r="E1314" s="17" t="str">
        <x:v>CampaignChat</x:v>
      </x:c>
      <x:c r="F1314" s="17" t="str">
        <x:v>Pro</x:v>
      </x:c>
      <x:c r="G1314" s="21" t="n">
        <x:v>9616</x:v>
      </x:c>
      <x:c r="H1314" s="21" t="n">
        <x:v>9664</x:v>
      </x:c>
      <x:c r="I1314" s="17" t="str">
        <x:v>Followup</x:v>
      </x:c>
    </x:row>
    <x:row r="1315" ht="23" customHeight="1">
      <x:c r="A1315" s="17" t="str">
        <x:v>U01309</x:v>
      </x:c>
      <x:c r="B1315" s="18" t="n">
        <x:v>46290</x:v>
      </x:c>
      <x:c r="C1315" s="17" t="str">
        <x:v>W0070</x:v>
      </x:c>
      <x:c r="D1315" s="17" t="str">
        <x:v>C002</x:v>
      </x:c>
      <x:c r="E1315" s="17" t="str">
        <x:v>CampaignChat</x:v>
      </x:c>
      <x:c r="F1315" s="17" t="str">
        <x:v>Pro</x:v>
      </x:c>
      <x:c r="G1315" s="21" t="n">
        <x:v>11375</x:v>
      </x:c>
      <x:c r="H1315" s="21" t="n">
        <x:v>10720</x:v>
      </x:c>
      <x:c r="I1315" s="17" t="str">
        <x:v>Correction</x:v>
      </x:c>
    </x:row>
    <x:row r="1316" ht="23" customHeight="1">
      <x:c r="A1316" s="17" t="str">
        <x:v>U01310</x:v>
      </x:c>
      <x:c r="B1316" s="18" t="n">
        <x:v>46290</x:v>
      </x:c>
      <x:c r="C1316" s="17" t="str">
        <x:v>W0070</x:v>
      </x:c>
      <x:c r="D1316" s="17" t="str">
        <x:v>C002</x:v>
      </x:c>
      <x:c r="E1316" s="17" t="str">
        <x:v>CampaignChat</x:v>
      </x:c>
      <x:c r="F1316" s="17" t="str">
        <x:v>Pro</x:v>
      </x:c>
      <x:c r="G1316" s="21" t="n">
        <x:v>14603</x:v>
      </x:c>
      <x:c r="H1316" s="21" t="n">
        <x:v>5314</x:v>
      </x:c>
      <x:c r="I1316" s="17" t="str">
        <x:v>Followup</x:v>
      </x:c>
    </x:row>
    <x:row r="1317" ht="23" customHeight="1">
      <x:c r="A1317" s="17" t="str">
        <x:v>U01311</x:v>
      </x:c>
      <x:c r="B1317" s="18" t="n">
        <x:v>46290</x:v>
      </x:c>
      <x:c r="C1317" s="17" t="str">
        <x:v>W0070</x:v>
      </x:c>
      <x:c r="D1317" s="17" t="str">
        <x:v>C002</x:v>
      </x:c>
      <x:c r="E1317" s="17" t="str">
        <x:v>CampaignChat</x:v>
      </x:c>
      <x:c r="F1317" s="17" t="str">
        <x:v>Pro</x:v>
      </x:c>
      <x:c r="G1317" s="21" t="n">
        <x:v>14048</x:v>
      </x:c>
      <x:c r="H1317" s="21" t="n">
        <x:v>4267</x:v>
      </x:c>
      <x:c r="I1317" s="17" t="str">
        <x:v>Followup</x:v>
      </x:c>
    </x:row>
    <x:row r="1318" ht="23" customHeight="1">
      <x:c r="A1318" s="17" t="str">
        <x:v>U01312</x:v>
      </x:c>
      <x:c r="B1318" s="18" t="n">
        <x:v>46293</x:v>
      </x:c>
      <x:c r="C1318" s="17" t="str">
        <x:v>W0070</x:v>
      </x:c>
      <x:c r="D1318" s="17" t="str">
        <x:v>C002</x:v>
      </x:c>
      <x:c r="E1318" s="17" t="str">
        <x:v>CampaignChat</x:v>
      </x:c>
      <x:c r="F1318" s="17" t="str">
        <x:v>Pro</x:v>
      </x:c>
      <x:c r="G1318" s="21" t="n">
        <x:v>10967</x:v>
      </x:c>
      <x:c r="H1318" s="21" t="n">
        <x:v>11166</x:v>
      </x:c>
      <x:c r="I1318" s="17" t="str">
        <x:v>Correction</x:v>
      </x:c>
    </x:row>
    <x:row r="1319" ht="23" customHeight="1">
      <x:c r="A1319" s="17" t="str">
        <x:v>U01313</x:v>
      </x:c>
      <x:c r="B1319" s="18" t="n">
        <x:v>46293</x:v>
      </x:c>
      <x:c r="C1319" s="17" t="str">
        <x:v>W0070</x:v>
      </x:c>
      <x:c r="D1319" s="17" t="str">
        <x:v>C002</x:v>
      </x:c>
      <x:c r="E1319" s="17" t="str">
        <x:v>CampaignChat</x:v>
      </x:c>
      <x:c r="F1319" s="17" t="str">
        <x:v>Pro</x:v>
      </x:c>
      <x:c r="G1319" s="21" t="n">
        <x:v>14775</x:v>
      </x:c>
      <x:c r="H1319" s="21" t="n">
        <x:v>4146</x:v>
      </x:c>
      <x:c r="I1319" s="17" t="str">
        <x:v>Correction</x:v>
      </x:c>
    </x:row>
    <x:row r="1320" ht="23" customHeight="1">
      <x:c r="A1320" s="17" t="str">
        <x:v>U01314</x:v>
      </x:c>
      <x:c r="B1320" s="18" t="n">
        <x:v>46276</x:v>
      </x:c>
      <x:c r="C1320" s="17" t="str">
        <x:v>W0074</x:v>
      </x:c>
      <x:c r="D1320" s="17" t="str">
        <x:v>C002</x:v>
      </x:c>
      <x:c r="E1320" s="17" t="str">
        <x:v>InsightDesk</x:v>
      </x:c>
      <x:c r="F1320" s="17" t="str">
        <x:v>Pro</x:v>
      </x:c>
      <x:c r="G1320" s="21" t="n">
        <x:v>19190</x:v>
      </x:c>
      <x:c r="H1320" s="21" t="n">
        <x:v>10073</x:v>
      </x:c>
      <x:c r="I1320" s="17" t="str">
        <x:v>First attempt</x:v>
      </x:c>
    </x:row>
    <x:row r="1321" ht="23" customHeight="1">
      <x:c r="A1321" s="17" t="str">
        <x:v>U01315</x:v>
      </x:c>
      <x:c r="B1321" s="18" t="n">
        <x:v>46276</x:v>
      </x:c>
      <x:c r="C1321" s="17" t="str">
        <x:v>W0074</x:v>
      </x:c>
      <x:c r="D1321" s="17" t="str">
        <x:v>C002</x:v>
      </x:c>
      <x:c r="E1321" s="17" t="str">
        <x:v>InsightDesk</x:v>
      </x:c>
      <x:c r="F1321" s="17" t="str">
        <x:v>Pro</x:v>
      </x:c>
      <x:c r="G1321" s="21" t="n">
        <x:v>20900</x:v>
      </x:c>
      <x:c r="H1321" s="21" t="n">
        <x:v>5001</x:v>
      </x:c>
      <x:c r="I1321" s="17" t="str">
        <x:v>Correction</x:v>
      </x:c>
    </x:row>
    <x:row r="1322" ht="23" customHeight="1">
      <x:c r="A1322" s="17" t="str">
        <x:v>U01316</x:v>
      </x:c>
      <x:c r="B1322" s="18" t="n">
        <x:v>46276</x:v>
      </x:c>
      <x:c r="C1322" s="17" t="str">
        <x:v>W0074</x:v>
      </x:c>
      <x:c r="D1322" s="17" t="str">
        <x:v>C002</x:v>
      </x:c>
      <x:c r="E1322" s="17" t="str">
        <x:v>InsightDesk</x:v>
      </x:c>
      <x:c r="F1322" s="17" t="str">
        <x:v>Pro</x:v>
      </x:c>
      <x:c r="G1322" s="21" t="n">
        <x:v>38505</x:v>
      </x:c>
      <x:c r="H1322" s="21" t="n">
        <x:v>11486</x:v>
      </x:c>
      <x:c r="I1322" s="17" t="str">
        <x:v>Correction</x:v>
      </x:c>
    </x:row>
    <x:row r="1323" ht="23" customHeight="1">
      <x:c r="A1323" s="17" t="str">
        <x:v>U01317</x:v>
      </x:c>
      <x:c r="B1323" s="18" t="n">
        <x:v>46276</x:v>
      </x:c>
      <x:c r="C1323" s="17" t="str">
        <x:v>W0074</x:v>
      </x:c>
      <x:c r="D1323" s="17" t="str">
        <x:v>C002</x:v>
      </x:c>
      <x:c r="E1323" s="17" t="str">
        <x:v>InsightDesk</x:v>
      </x:c>
      <x:c r="F1323" s="17" t="str">
        <x:v>Pro</x:v>
      </x:c>
      <x:c r="G1323" s="21" t="n">
        <x:v>36562</x:v>
      </x:c>
      <x:c r="H1323" s="21" t="n">
        <x:v>5311</x:v>
      </x:c>
      <x:c r="I1323" s="17" t="str">
        <x:v>Followup</x:v>
      </x:c>
    </x:row>
    <x:row r="1324" ht="23" customHeight="1">
      <x:c r="A1324" s="17" t="str">
        <x:v>U01318</x:v>
      </x:c>
      <x:c r="B1324" s="18" t="n">
        <x:v>46276</x:v>
      </x:c>
      <x:c r="C1324" s="17" t="str">
        <x:v>W0074</x:v>
      </x:c>
      <x:c r="D1324" s="17" t="str">
        <x:v>C002</x:v>
      </x:c>
      <x:c r="E1324" s="17" t="str">
        <x:v>InsightDesk</x:v>
      </x:c>
      <x:c r="F1324" s="17" t="str">
        <x:v>Pro</x:v>
      </x:c>
      <x:c r="G1324" s="21" t="n">
        <x:v>15809</x:v>
      </x:c>
      <x:c r="H1324" s="21" t="n">
        <x:v>3659</x:v>
      </x:c>
      <x:c r="I1324" s="17" t="str">
        <x:v>Followup</x:v>
      </x:c>
    </x:row>
    <x:row r="1325" ht="23" customHeight="1">
      <x:c r="A1325" s="17" t="str">
        <x:v>U01319</x:v>
      </x:c>
      <x:c r="B1325" s="18" t="n">
        <x:v>46279</x:v>
      </x:c>
      <x:c r="C1325" s="17" t="str">
        <x:v>W0074</x:v>
      </x:c>
      <x:c r="D1325" s="17" t="str">
        <x:v>C002</x:v>
      </x:c>
      <x:c r="E1325" s="17" t="str">
        <x:v>InsightDesk</x:v>
      </x:c>
      <x:c r="F1325" s="17" t="str">
        <x:v>Pro</x:v>
      </x:c>
      <x:c r="G1325" s="21" t="n">
        <x:v>24559</x:v>
      </x:c>
      <x:c r="H1325" s="21" t="n">
        <x:v>11211</x:v>
      </x:c>
      <x:c r="I1325" s="17" t="str">
        <x:v>Correction</x:v>
      </x:c>
    </x:row>
    <x:row r="1326" ht="23" customHeight="1">
      <x:c r="A1326" s="17" t="str">
        <x:v>U01320</x:v>
      </x:c>
      <x:c r="B1326" s="18" t="n">
        <x:v>46279</x:v>
      </x:c>
      <x:c r="C1326" s="17" t="str">
        <x:v>W0074</x:v>
      </x:c>
      <x:c r="D1326" s="17" t="str">
        <x:v>C002</x:v>
      </x:c>
      <x:c r="E1326" s="17" t="str">
        <x:v>InsightDesk</x:v>
      </x:c>
      <x:c r="F1326" s="17" t="str">
        <x:v>Pro</x:v>
      </x:c>
      <x:c r="G1326" s="21" t="n">
        <x:v>37406</x:v>
      </x:c>
      <x:c r="H1326" s="21" t="n">
        <x:v>7547</x:v>
      </x:c>
      <x:c r="I1326" s="17" t="str">
        <x:v>Followup</x:v>
      </x:c>
    </x:row>
    <x:row r="1327" ht="23" customHeight="1">
      <x:c r="A1327" s="17" t="str">
        <x:v>U01321</x:v>
      </x:c>
      <x:c r="B1327" s="18" t="n">
        <x:v>46279</x:v>
      </x:c>
      <x:c r="C1327" s="17" t="str">
        <x:v>W0074</x:v>
      </x:c>
      <x:c r="D1327" s="17" t="str">
        <x:v>C002</x:v>
      </x:c>
      <x:c r="E1327" s="17" t="str">
        <x:v>InsightDesk</x:v>
      </x:c>
      <x:c r="F1327" s="17" t="str">
        <x:v>Pro</x:v>
      </x:c>
      <x:c r="G1327" s="21" t="n">
        <x:v>32110</x:v>
      </x:c>
      <x:c r="H1327" s="21" t="n">
        <x:v>11265</x:v>
      </x:c>
      <x:c r="I1327" s="17" t="str">
        <x:v>Correction</x:v>
      </x:c>
    </x:row>
    <x:row r="1328" ht="23" customHeight="1">
      <x:c r="A1328" s="17" t="str">
        <x:v>U01322</x:v>
      </x:c>
      <x:c r="B1328" s="18" t="n">
        <x:v>46279</x:v>
      </x:c>
      <x:c r="C1328" s="17" t="str">
        <x:v>W0074</x:v>
      </x:c>
      <x:c r="D1328" s="17" t="str">
        <x:v>C002</x:v>
      </x:c>
      <x:c r="E1328" s="17" t="str">
        <x:v>InsightDesk</x:v>
      </x:c>
      <x:c r="F1328" s="17" t="str">
        <x:v>Pro</x:v>
      </x:c>
      <x:c r="G1328" s="21" t="n">
        <x:v>24791</x:v>
      </x:c>
      <x:c r="H1328" s="21" t="n">
        <x:v>8073</x:v>
      </x:c>
      <x:c r="I1328" s="17" t="str">
        <x:v>Followup</x:v>
      </x:c>
    </x:row>
    <x:row r="1329" ht="23" customHeight="1">
      <x:c r="A1329" s="17" t="str">
        <x:v>U01323</x:v>
      </x:c>
      <x:c r="B1329" s="18" t="n">
        <x:v>46280</x:v>
      </x:c>
      <x:c r="C1329" s="17" t="str">
        <x:v>W0074</x:v>
      </x:c>
      <x:c r="D1329" s="17" t="str">
        <x:v>C002</x:v>
      </x:c>
      <x:c r="E1329" s="17" t="str">
        <x:v>InsightDesk</x:v>
      </x:c>
      <x:c r="F1329" s="17" t="str">
        <x:v>Pro</x:v>
      </x:c>
      <x:c r="G1329" s="21" t="n">
        <x:v>34013</x:v>
      </x:c>
      <x:c r="H1329" s="21" t="n">
        <x:v>3456</x:v>
      </x:c>
      <x:c r="I1329" s="17" t="str">
        <x:v>Followup</x:v>
      </x:c>
    </x:row>
    <x:row r="1330" ht="23" customHeight="1">
      <x:c r="A1330" s="17" t="str">
        <x:v>U01324</x:v>
      </x:c>
      <x:c r="B1330" s="18" t="n">
        <x:v>46280</x:v>
      </x:c>
      <x:c r="C1330" s="17" t="str">
        <x:v>W0074</x:v>
      </x:c>
      <x:c r="D1330" s="17" t="str">
        <x:v>C002</x:v>
      </x:c>
      <x:c r="E1330" s="17" t="str">
        <x:v>InsightDesk</x:v>
      </x:c>
      <x:c r="F1330" s="17" t="str">
        <x:v>Pro</x:v>
      </x:c>
      <x:c r="G1330" s="21" t="n">
        <x:v>39198</x:v>
      </x:c>
      <x:c r="H1330" s="21" t="n">
        <x:v>5961</x:v>
      </x:c>
      <x:c r="I1330" s="17" t="str">
        <x:v>Correction</x:v>
      </x:c>
    </x:row>
    <x:row r="1331" ht="23" customHeight="1">
      <x:c r="A1331" s="17" t="str">
        <x:v>U01325</x:v>
      </x:c>
      <x:c r="B1331" s="18" t="n">
        <x:v>46280</x:v>
      </x:c>
      <x:c r="C1331" s="17" t="str">
        <x:v>W0074</x:v>
      </x:c>
      <x:c r="D1331" s="17" t="str">
        <x:v>C002</x:v>
      </x:c>
      <x:c r="E1331" s="17" t="str">
        <x:v>InsightDesk</x:v>
      </x:c>
      <x:c r="F1331" s="17" t="str">
        <x:v>Pro</x:v>
      </x:c>
      <x:c r="G1331" s="21" t="n">
        <x:v>38052</x:v>
      </x:c>
      <x:c r="H1331" s="21" t="n">
        <x:v>6335</x:v>
      </x:c>
      <x:c r="I1331" s="17" t="str">
        <x:v>Correction</x:v>
      </x:c>
    </x:row>
    <x:row r="1332" ht="23" customHeight="1">
      <x:c r="A1332" s="17" t="str">
        <x:v>U01326</x:v>
      </x:c>
      <x:c r="B1332" s="18" t="n">
        <x:v>46280</x:v>
      </x:c>
      <x:c r="C1332" s="17" t="str">
        <x:v>W0074</x:v>
      </x:c>
      <x:c r="D1332" s="17" t="str">
        <x:v>C002</x:v>
      </x:c>
      <x:c r="E1332" s="17" t="str">
        <x:v>InsightDesk</x:v>
      </x:c>
      <x:c r="F1332" s="17" t="str">
        <x:v>Pro</x:v>
      </x:c>
      <x:c r="G1332" s="21" t="n">
        <x:v>31114</x:v>
      </x:c>
      <x:c r="H1332" s="21" t="n">
        <x:v>6470</x:v>
      </x:c>
      <x:c r="I1332" s="17" t="str">
        <x:v>Correction</x:v>
      </x:c>
    </x:row>
    <x:row r="1333" ht="23" customHeight="1">
      <x:c r="A1333" s="17" t="str">
        <x:v>U01327</x:v>
      </x:c>
      <x:c r="B1333" s="18" t="n">
        <x:v>46280</x:v>
      </x:c>
      <x:c r="C1333" s="17" t="str">
        <x:v>W0074</x:v>
      </x:c>
      <x:c r="D1333" s="17" t="str">
        <x:v>C002</x:v>
      </x:c>
      <x:c r="E1333" s="17" t="str">
        <x:v>InsightDesk</x:v>
      </x:c>
      <x:c r="F1333" s="17" t="str">
        <x:v>Pro</x:v>
      </x:c>
      <x:c r="G1333" s="21" t="n">
        <x:v>32771</x:v>
      </x:c>
      <x:c r="H1333" s="21" t="n">
        <x:v>7723</x:v>
      </x:c>
      <x:c r="I1333" s="17" t="str">
        <x:v>Correction</x:v>
      </x:c>
    </x:row>
    <x:row r="1334" ht="23" customHeight="1">
      <x:c r="A1334" s="17" t="str">
        <x:v>U01328</x:v>
      </x:c>
      <x:c r="B1334" s="18" t="n">
        <x:v>46281</x:v>
      </x:c>
      <x:c r="C1334" s="17" t="str">
        <x:v>W0074</x:v>
      </x:c>
      <x:c r="D1334" s="17" t="str">
        <x:v>C002</x:v>
      </x:c>
      <x:c r="E1334" s="17" t="str">
        <x:v>InsightDesk</x:v>
      </x:c>
      <x:c r="F1334" s="17" t="str">
        <x:v>Pro</x:v>
      </x:c>
      <x:c r="G1334" s="21" t="n">
        <x:v>13611</x:v>
      </x:c>
      <x:c r="H1334" s="21" t="n">
        <x:v>5457</x:v>
      </x:c>
      <x:c r="I1334" s="17" t="str">
        <x:v>Followup</x:v>
      </x:c>
    </x:row>
    <x:row r="1335" ht="23" customHeight="1">
      <x:c r="A1335" s="17" t="str">
        <x:v>U01329</x:v>
      </x:c>
      <x:c r="B1335" s="18" t="n">
        <x:v>46281</x:v>
      </x:c>
      <x:c r="C1335" s="17" t="str">
        <x:v>W0074</x:v>
      </x:c>
      <x:c r="D1335" s="17" t="str">
        <x:v>C002</x:v>
      </x:c>
      <x:c r="E1335" s="17" t="str">
        <x:v>InsightDesk</x:v>
      </x:c>
      <x:c r="F1335" s="17" t="str">
        <x:v>Pro</x:v>
      </x:c>
      <x:c r="G1335" s="21" t="n">
        <x:v>17934</x:v>
      </x:c>
      <x:c r="H1335" s="21" t="n">
        <x:v>3189</x:v>
      </x:c>
      <x:c r="I1335" s="17" t="str">
        <x:v>Correction</x:v>
      </x:c>
    </x:row>
    <x:row r="1336" ht="23" customHeight="1">
      <x:c r="A1336" s="17" t="str">
        <x:v>U01330</x:v>
      </x:c>
      <x:c r="B1336" s="18" t="n">
        <x:v>46281</x:v>
      </x:c>
      <x:c r="C1336" s="17" t="str">
        <x:v>W0074</x:v>
      </x:c>
      <x:c r="D1336" s="17" t="str">
        <x:v>C002</x:v>
      </x:c>
      <x:c r="E1336" s="17" t="str">
        <x:v>InsightDesk</x:v>
      </x:c>
      <x:c r="F1336" s="17" t="str">
        <x:v>Pro</x:v>
      </x:c>
      <x:c r="G1336" s="21" t="n">
        <x:v>19871</x:v>
      </x:c>
      <x:c r="H1336" s="21" t="n">
        <x:v>4046</x:v>
      </x:c>
      <x:c r="I1336" s="17" t="str">
        <x:v>Followup</x:v>
      </x:c>
    </x:row>
    <x:row r="1337" ht="23" customHeight="1">
      <x:c r="A1337" s="17" t="str">
        <x:v>U01331</x:v>
      </x:c>
      <x:c r="B1337" s="18" t="n">
        <x:v>46281</x:v>
      </x:c>
      <x:c r="C1337" s="17" t="str">
        <x:v>W0074</x:v>
      </x:c>
      <x:c r="D1337" s="17" t="str">
        <x:v>C002</x:v>
      </x:c>
      <x:c r="E1337" s="17" t="str">
        <x:v>InsightDesk</x:v>
      </x:c>
      <x:c r="F1337" s="17" t="str">
        <x:v>Pro</x:v>
      </x:c>
      <x:c r="G1337" s="21" t="n">
        <x:v>27376</x:v>
      </x:c>
      <x:c r="H1337" s="21" t="n">
        <x:v>9101</x:v>
      </x:c>
      <x:c r="I1337" s="17" t="str">
        <x:v>Correction</x:v>
      </x:c>
    </x:row>
    <x:row r="1338" ht="23" customHeight="1">
      <x:c r="A1338" s="17" t="str">
        <x:v>U01332</x:v>
      </x:c>
      <x:c r="B1338" s="18" t="n">
        <x:v>46275</x:v>
      </x:c>
      <x:c r="C1338" s="17" t="str">
        <x:v>W0079</x:v>
      </x:c>
      <x:c r="D1338" s="17" t="str">
        <x:v>C002</x:v>
      </x:c>
      <x:c r="E1338" s="17" t="str">
        <x:v>CampaignChat</x:v>
      </x:c>
      <x:c r="F1338" s="17" t="str">
        <x:v>Pro</x:v>
      </x:c>
      <x:c r="G1338" s="21" t="n">
        <x:v>12278</x:v>
      </x:c>
      <x:c r="H1338" s="21" t="n">
        <x:v>13513</x:v>
      </x:c>
      <x:c r="I1338" s="17" t="str">
        <x:v>First attempt</x:v>
      </x:c>
    </x:row>
    <x:row r="1339" ht="23" customHeight="1">
      <x:c r="A1339" s="17" t="str">
        <x:v>U01333</x:v>
      </x:c>
      <x:c r="B1339" s="18" t="n">
        <x:v>46275</x:v>
      </x:c>
      <x:c r="C1339" s="17" t="str">
        <x:v>W0079</x:v>
      </x:c>
      <x:c r="D1339" s="17" t="str">
        <x:v>C002</x:v>
      </x:c>
      <x:c r="E1339" s="17" t="str">
        <x:v>CampaignChat</x:v>
      </x:c>
      <x:c r="F1339" s="17" t="str">
        <x:v>Pro</x:v>
      </x:c>
      <x:c r="G1339" s="21" t="n">
        <x:v>16065</x:v>
      </x:c>
      <x:c r="H1339" s="21" t="n">
        <x:v>7715</x:v>
      </x:c>
      <x:c r="I1339" s="17" t="str">
        <x:v>Correction</x:v>
      </x:c>
    </x:row>
    <x:row r="1340" ht="23" customHeight="1">
      <x:c r="A1340" s="17" t="str">
        <x:v>U01334</x:v>
      </x:c>
      <x:c r="B1340" s="18" t="n">
        <x:v>46275</x:v>
      </x:c>
      <x:c r="C1340" s="17" t="str">
        <x:v>W0079</x:v>
      </x:c>
      <x:c r="D1340" s="17" t="str">
        <x:v>C002</x:v>
      </x:c>
      <x:c r="E1340" s="17" t="str">
        <x:v>CampaignChat</x:v>
      </x:c>
      <x:c r="F1340" s="17" t="str">
        <x:v>Pro</x:v>
      </x:c>
      <x:c r="G1340" s="21" t="n">
        <x:v>16210</x:v>
      </x:c>
      <x:c r="H1340" s="21" t="n">
        <x:v>10359</x:v>
      </x:c>
      <x:c r="I1340" s="17" t="str">
        <x:v>Followup</x:v>
      </x:c>
    </x:row>
    <x:row r="1341" ht="23" customHeight="1">
      <x:c r="A1341" s="17" t="str">
        <x:v>U01335</x:v>
      </x:c>
      <x:c r="B1341" s="18" t="n">
        <x:v>46275</x:v>
      </x:c>
      <x:c r="C1341" s="17" t="str">
        <x:v>W0079</x:v>
      </x:c>
      <x:c r="D1341" s="17" t="str">
        <x:v>C002</x:v>
      </x:c>
      <x:c r="E1341" s="17" t="str">
        <x:v>CampaignChat</x:v>
      </x:c>
      <x:c r="F1341" s="17" t="str">
        <x:v>Pro</x:v>
      </x:c>
      <x:c r="G1341" s="21" t="n">
        <x:v>15058</x:v>
      </x:c>
      <x:c r="H1341" s="21" t="n">
        <x:v>16520</x:v>
      </x:c>
      <x:c r="I1341" s="17" t="str">
        <x:v>Correction</x:v>
      </x:c>
    </x:row>
    <x:row r="1342" ht="23" customHeight="1">
      <x:c r="A1342" s="17" t="str">
        <x:v>U01336</x:v>
      </x:c>
      <x:c r="B1342" s="18" t="n">
        <x:v>46275</x:v>
      </x:c>
      <x:c r="C1342" s="17" t="str">
        <x:v>W0079</x:v>
      </x:c>
      <x:c r="D1342" s="17" t="str">
        <x:v>C002</x:v>
      </x:c>
      <x:c r="E1342" s="17" t="str">
        <x:v>CampaignChat</x:v>
      </x:c>
      <x:c r="F1342" s="17" t="str">
        <x:v>Pro</x:v>
      </x:c>
      <x:c r="G1342" s="21" t="n">
        <x:v>11223</x:v>
      </x:c>
      <x:c r="H1342" s="21" t="n">
        <x:v>5913</x:v>
      </x:c>
      <x:c r="I1342" s="17" t="str">
        <x:v>Followup</x:v>
      </x:c>
    </x:row>
    <x:row r="1343" ht="23" customHeight="1">
      <x:c r="A1343" s="17" t="str">
        <x:v>U01337</x:v>
      </x:c>
      <x:c r="B1343" s="18" t="n">
        <x:v>46275</x:v>
      </x:c>
      <x:c r="C1343" s="17" t="str">
        <x:v>W0079</x:v>
      </x:c>
      <x:c r="D1343" s="17" t="str">
        <x:v>C002</x:v>
      </x:c>
      <x:c r="E1343" s="17" t="str">
        <x:v>CampaignChat</x:v>
      </x:c>
      <x:c r="F1343" s="17" t="str">
        <x:v>Pro</x:v>
      </x:c>
      <x:c r="G1343" s="21" t="n">
        <x:v>16150</x:v>
      </x:c>
      <x:c r="H1343" s="21" t="n">
        <x:v>15272</x:v>
      </x:c>
      <x:c r="I1343" s="17" t="str">
        <x:v>Followup</x:v>
      </x:c>
    </x:row>
    <x:row r="1344" ht="23" customHeight="1">
      <x:c r="A1344" s="17" t="str">
        <x:v>U01338</x:v>
      </x:c>
      <x:c r="B1344" s="18" t="n">
        <x:v>46275</x:v>
      </x:c>
      <x:c r="C1344" s="17" t="str">
        <x:v>W0079</x:v>
      </x:c>
      <x:c r="D1344" s="17" t="str">
        <x:v>C002</x:v>
      </x:c>
      <x:c r="E1344" s="17" t="str">
        <x:v>CampaignChat</x:v>
      </x:c>
      <x:c r="F1344" s="17" t="str">
        <x:v>Pro</x:v>
      </x:c>
      <x:c r="G1344" s="21" t="n">
        <x:v>15742</x:v>
      </x:c>
      <x:c r="H1344" s="21" t="n">
        <x:v>5804</x:v>
      </x:c>
      <x:c r="I1344" s="17" t="str">
        <x:v>Correction</x:v>
      </x:c>
    </x:row>
    <x:row r="1345" ht="23" customHeight="1">
      <x:c r="A1345" s="17" t="str">
        <x:v>U01339</x:v>
      </x:c>
      <x:c r="B1345" s="18" t="n">
        <x:v>46276</x:v>
      </x:c>
      <x:c r="C1345" s="17" t="str">
        <x:v>W0079</x:v>
      </x:c>
      <x:c r="D1345" s="17" t="str">
        <x:v>C002</x:v>
      </x:c>
      <x:c r="E1345" s="17" t="str">
        <x:v>CampaignChat</x:v>
      </x:c>
      <x:c r="F1345" s="17" t="str">
        <x:v>Pro</x:v>
      </x:c>
      <x:c r="G1345" s="21" t="n">
        <x:v>12610</x:v>
      </x:c>
      <x:c r="H1345" s="21" t="n">
        <x:v>15415</x:v>
      </x:c>
      <x:c r="I1345" s="17" t="str">
        <x:v>Correction</x:v>
      </x:c>
    </x:row>
    <x:row r="1346" ht="23" customHeight="1">
      <x:c r="A1346" s="17" t="str">
        <x:v>U01340</x:v>
      </x:c>
      <x:c r="B1346" s="18" t="n">
        <x:v>46276</x:v>
      </x:c>
      <x:c r="C1346" s="17" t="str">
        <x:v>W0079</x:v>
      </x:c>
      <x:c r="D1346" s="17" t="str">
        <x:v>C002</x:v>
      </x:c>
      <x:c r="E1346" s="17" t="str">
        <x:v>CampaignChat</x:v>
      </x:c>
      <x:c r="F1346" s="17" t="str">
        <x:v>Pro</x:v>
      </x:c>
      <x:c r="G1346" s="21" t="n">
        <x:v>13896</x:v>
      </x:c>
      <x:c r="H1346" s="21" t="n">
        <x:v>11947</x:v>
      </x:c>
      <x:c r="I1346" s="17" t="str">
        <x:v>Followup</x:v>
      </x:c>
    </x:row>
    <x:row r="1347" ht="23" customHeight="1">
      <x:c r="A1347" s="17" t="str">
        <x:v>U01341</x:v>
      </x:c>
      <x:c r="B1347" s="18" t="n">
        <x:v>46276</x:v>
      </x:c>
      <x:c r="C1347" s="17" t="str">
        <x:v>W0079</x:v>
      </x:c>
      <x:c r="D1347" s="17" t="str">
        <x:v>C002</x:v>
      </x:c>
      <x:c r="E1347" s="17" t="str">
        <x:v>CampaignChat</x:v>
      </x:c>
      <x:c r="F1347" s="17" t="str">
        <x:v>Pro</x:v>
      </x:c>
      <x:c r="G1347" s="21" t="n">
        <x:v>6674</x:v>
      </x:c>
      <x:c r="H1347" s="21" t="n">
        <x:v>6009</x:v>
      </x:c>
      <x:c r="I1347" s="17" t="str">
        <x:v>Correction</x:v>
      </x:c>
    </x:row>
    <x:row r="1348" ht="23" customHeight="1">
      <x:c r="A1348" s="17" t="str">
        <x:v>U01342</x:v>
      </x:c>
      <x:c r="B1348" s="18" t="n">
        <x:v>46276</x:v>
      </x:c>
      <x:c r="C1348" s="17" t="str">
        <x:v>W0079</x:v>
      </x:c>
      <x:c r="D1348" s="17" t="str">
        <x:v>C002</x:v>
      </x:c>
      <x:c r="E1348" s="17" t="str">
        <x:v>CampaignChat</x:v>
      </x:c>
      <x:c r="F1348" s="17" t="str">
        <x:v>Pro</x:v>
      </x:c>
      <x:c r="G1348" s="21" t="n">
        <x:v>10990</x:v>
      </x:c>
      <x:c r="H1348" s="21" t="n">
        <x:v>4827</x:v>
      </x:c>
      <x:c r="I1348" s="17" t="str">
        <x:v>Followup</x:v>
      </x:c>
    </x:row>
    <x:row r="1349" ht="23" customHeight="1">
      <x:c r="A1349" s="17" t="str">
        <x:v>U01343</x:v>
      </x:c>
      <x:c r="B1349" s="18" t="n">
        <x:v>46276</x:v>
      </x:c>
      <x:c r="C1349" s="17" t="str">
        <x:v>W0079</x:v>
      </x:c>
      <x:c r="D1349" s="17" t="str">
        <x:v>C002</x:v>
      </x:c>
      <x:c r="E1349" s="17" t="str">
        <x:v>CampaignChat</x:v>
      </x:c>
      <x:c r="F1349" s="17" t="str">
        <x:v>Pro</x:v>
      </x:c>
      <x:c r="G1349" s="21" t="n">
        <x:v>17199</x:v>
      </x:c>
      <x:c r="H1349" s="21" t="n">
        <x:v>15732</x:v>
      </x:c>
      <x:c r="I1349" s="17" t="str">
        <x:v>Correction</x:v>
      </x:c>
    </x:row>
    <x:row r="1350" ht="23" customHeight="1">
      <x:c r="A1350" s="17" t="str">
        <x:v>U01344</x:v>
      </x:c>
      <x:c r="B1350" s="18" t="n">
        <x:v>46276</x:v>
      </x:c>
      <x:c r="C1350" s="17" t="str">
        <x:v>W0079</x:v>
      </x:c>
      <x:c r="D1350" s="17" t="str">
        <x:v>C002</x:v>
      </x:c>
      <x:c r="E1350" s="17" t="str">
        <x:v>CampaignChat</x:v>
      </x:c>
      <x:c r="F1350" s="17" t="str">
        <x:v>Pro</x:v>
      </x:c>
      <x:c r="G1350" s="21" t="n">
        <x:v>6924</x:v>
      </x:c>
      <x:c r="H1350" s="21" t="n">
        <x:v>13462</x:v>
      </x:c>
      <x:c r="I1350" s="17" t="str">
        <x:v>Followup</x:v>
      </x:c>
    </x:row>
    <x:row r="1351" ht="23" customHeight="1">
      <x:c r="A1351" s="17" t="str">
        <x:v>U01345</x:v>
      </x:c>
      <x:c r="B1351" s="18" t="n">
        <x:v>46276</x:v>
      </x:c>
      <x:c r="C1351" s="17" t="str">
        <x:v>W0079</x:v>
      </x:c>
      <x:c r="D1351" s="17" t="str">
        <x:v>C002</x:v>
      </x:c>
      <x:c r="E1351" s="17" t="str">
        <x:v>CampaignChat</x:v>
      </x:c>
      <x:c r="F1351" s="17" t="str">
        <x:v>Pro</x:v>
      </x:c>
      <x:c r="G1351" s="21" t="n">
        <x:v>9253</x:v>
      </x:c>
      <x:c r="H1351" s="21" t="n">
        <x:v>8966</x:v>
      </x:c>
      <x:c r="I1351" s="17" t="str">
        <x:v>Followup</x:v>
      </x:c>
    </x:row>
    <x:row r="1352" ht="23" customHeight="1">
      <x:c r="A1352" s="17" t="str">
        <x:v>U01346</x:v>
      </x:c>
      <x:c r="B1352" s="18" t="n">
        <x:v>46279</x:v>
      </x:c>
      <x:c r="C1352" s="17" t="str">
        <x:v>W0079</x:v>
      </x:c>
      <x:c r="D1352" s="17" t="str">
        <x:v>C002</x:v>
      </x:c>
      <x:c r="E1352" s="17" t="str">
        <x:v>CampaignChat</x:v>
      </x:c>
      <x:c r="F1352" s="17" t="str">
        <x:v>Pro</x:v>
      </x:c>
      <x:c r="G1352" s="21" t="n">
        <x:v>14909</x:v>
      </x:c>
      <x:c r="H1352" s="21" t="n">
        <x:v>10697</x:v>
      </x:c>
      <x:c r="I1352" s="17" t="str">
        <x:v>Followup</x:v>
      </x:c>
    </x:row>
    <x:row r="1353" ht="23" customHeight="1">
      <x:c r="A1353" s="17" t="str">
        <x:v>U01347</x:v>
      </x:c>
      <x:c r="B1353" s="18" t="n">
        <x:v>46279</x:v>
      </x:c>
      <x:c r="C1353" s="17" t="str">
        <x:v>W0079</x:v>
      </x:c>
      <x:c r="D1353" s="17" t="str">
        <x:v>C002</x:v>
      </x:c>
      <x:c r="E1353" s="17" t="str">
        <x:v>CampaignChat</x:v>
      </x:c>
      <x:c r="F1353" s="17" t="str">
        <x:v>Pro</x:v>
      </x:c>
      <x:c r="G1353" s="21" t="n">
        <x:v>13779</x:v>
      </x:c>
      <x:c r="H1353" s="21" t="n">
        <x:v>11603</x:v>
      </x:c>
      <x:c r="I1353" s="17" t="str">
        <x:v>Followup</x:v>
      </x:c>
    </x:row>
    <x:row r="1354" ht="23" customHeight="1">
      <x:c r="A1354" s="17" t="str">
        <x:v>U01348</x:v>
      </x:c>
      <x:c r="B1354" s="18" t="n">
        <x:v>46279</x:v>
      </x:c>
      <x:c r="C1354" s="17" t="str">
        <x:v>W0079</x:v>
      </x:c>
      <x:c r="D1354" s="17" t="str">
        <x:v>C002</x:v>
      </x:c>
      <x:c r="E1354" s="17" t="str">
        <x:v>CampaignChat</x:v>
      </x:c>
      <x:c r="F1354" s="17" t="str">
        <x:v>Pro</x:v>
      </x:c>
      <x:c r="G1354" s="21" t="n">
        <x:v>10750</x:v>
      </x:c>
      <x:c r="H1354" s="21" t="n">
        <x:v>8636</x:v>
      </x:c>
      <x:c r="I1354" s="17" t="str">
        <x:v>Followup</x:v>
      </x:c>
    </x:row>
    <x:row r="1355" ht="23" customHeight="1">
      <x:c r="A1355" s="17" t="str">
        <x:v>U01349</x:v>
      </x:c>
      <x:c r="B1355" s="18" t="n">
        <x:v>46279</x:v>
      </x:c>
      <x:c r="C1355" s="17" t="str">
        <x:v>W0079</x:v>
      </x:c>
      <x:c r="D1355" s="17" t="str">
        <x:v>C002</x:v>
      </x:c>
      <x:c r="E1355" s="17" t="str">
        <x:v>CampaignChat</x:v>
      </x:c>
      <x:c r="F1355" s="17" t="str">
        <x:v>Pro</x:v>
      </x:c>
      <x:c r="G1355" s="21" t="n">
        <x:v>15091</x:v>
      </x:c>
      <x:c r="H1355" s="21" t="n">
        <x:v>5173</x:v>
      </x:c>
      <x:c r="I1355" s="17" t="str">
        <x:v>Followup</x:v>
      </x:c>
    </x:row>
    <x:row r="1356" ht="23" customHeight="1">
      <x:c r="A1356" s="17" t="str">
        <x:v>U01350</x:v>
      </x:c>
      <x:c r="B1356" s="18" t="n">
        <x:v>46279</x:v>
      </x:c>
      <x:c r="C1356" s="17" t="str">
        <x:v>W0079</x:v>
      </x:c>
      <x:c r="D1356" s="17" t="str">
        <x:v>C002</x:v>
      </x:c>
      <x:c r="E1356" s="17" t="str">
        <x:v>CampaignChat</x:v>
      </x:c>
      <x:c r="F1356" s="17" t="str">
        <x:v>Pro</x:v>
      </x:c>
      <x:c r="G1356" s="21" t="n">
        <x:v>13971</x:v>
      </x:c>
      <x:c r="H1356" s="21" t="n">
        <x:v>4943</x:v>
      </x:c>
      <x:c r="I1356" s="17" t="str">
        <x:v>Correction</x:v>
      </x:c>
    </x:row>
    <x:row r="1357" ht="23" customHeight="1">
      <x:c r="A1357" s="17" t="str">
        <x:v>U01351</x:v>
      </x:c>
      <x:c r="B1357" s="18" t="n">
        <x:v>46279</x:v>
      </x:c>
      <x:c r="C1357" s="17" t="str">
        <x:v>W0079</x:v>
      </x:c>
      <x:c r="D1357" s="17" t="str">
        <x:v>C002</x:v>
      </x:c>
      <x:c r="E1357" s="17" t="str">
        <x:v>CampaignChat</x:v>
      </x:c>
      <x:c r="F1357" s="17" t="str">
        <x:v>Pro</x:v>
      </x:c>
      <x:c r="G1357" s="21" t="n">
        <x:v>15620</x:v>
      </x:c>
      <x:c r="H1357" s="21" t="n">
        <x:v>12479</x:v>
      </x:c>
      <x:c r="I1357" s="17" t="str">
        <x:v>Correction</x:v>
      </x:c>
    </x:row>
    <x:row r="1358" ht="23" customHeight="1">
      <x:c r="A1358" s="17" t="str">
        <x:v>U01352</x:v>
      </x:c>
      <x:c r="B1358" s="18" t="n">
        <x:v>46279</x:v>
      </x:c>
      <x:c r="C1358" s="17" t="str">
        <x:v>W0079</x:v>
      </x:c>
      <x:c r="D1358" s="17" t="str">
        <x:v>C002</x:v>
      </x:c>
      <x:c r="E1358" s="17" t="str">
        <x:v>CampaignChat</x:v>
      </x:c>
      <x:c r="F1358" s="17" t="str">
        <x:v>Pro</x:v>
      </x:c>
      <x:c r="G1358" s="21" t="n">
        <x:v>12248</x:v>
      </x:c>
      <x:c r="H1358" s="21" t="n">
        <x:v>15538</x:v>
      </x:c>
      <x:c r="I1358" s="17" t="str">
        <x:v>Correction</x:v>
      </x:c>
    </x:row>
    <x:row r="1359" ht="23" customHeight="1">
      <x:c r="A1359" s="17" t="str">
        <x:v>U01353</x:v>
      </x:c>
      <x:c r="B1359" s="18" t="n">
        <x:v>46280</x:v>
      </x:c>
      <x:c r="C1359" s="17" t="str">
        <x:v>W0079</x:v>
      </x:c>
      <x:c r="D1359" s="17" t="str">
        <x:v>C002</x:v>
      </x:c>
      <x:c r="E1359" s="17" t="str">
        <x:v>CampaignChat</x:v>
      </x:c>
      <x:c r="F1359" s="17" t="str">
        <x:v>Pro</x:v>
      </x:c>
      <x:c r="G1359" s="21" t="n">
        <x:v>13172</x:v>
      </x:c>
      <x:c r="H1359" s="21" t="n">
        <x:v>11663</x:v>
      </x:c>
      <x:c r="I1359" s="17" t="str">
        <x:v>Followup</x:v>
      </x:c>
    </x:row>
    <x:row r="1360" ht="23" customHeight="1">
      <x:c r="A1360" s="17" t="str">
        <x:v>U01354</x:v>
      </x:c>
      <x:c r="B1360" s="18" t="n">
        <x:v>46280</x:v>
      </x:c>
      <x:c r="C1360" s="17" t="str">
        <x:v>W0079</x:v>
      </x:c>
      <x:c r="D1360" s="17" t="str">
        <x:v>C002</x:v>
      </x:c>
      <x:c r="E1360" s="17" t="str">
        <x:v>CampaignChat</x:v>
      </x:c>
      <x:c r="F1360" s="17" t="str">
        <x:v>Pro</x:v>
      </x:c>
      <x:c r="G1360" s="21" t="n">
        <x:v>9142</x:v>
      </x:c>
      <x:c r="H1360" s="21" t="n">
        <x:v>11042</x:v>
      </x:c>
      <x:c r="I1360" s="17" t="str">
        <x:v>Followup</x:v>
      </x:c>
    </x:row>
    <x:row r="1361" ht="23" customHeight="1">
      <x:c r="A1361" s="17" t="str">
        <x:v>U01355</x:v>
      </x:c>
      <x:c r="B1361" s="18" t="n">
        <x:v>46280</x:v>
      </x:c>
      <x:c r="C1361" s="17" t="str">
        <x:v>W0079</x:v>
      </x:c>
      <x:c r="D1361" s="17" t="str">
        <x:v>C002</x:v>
      </x:c>
      <x:c r="E1361" s="17" t="str">
        <x:v>CampaignChat</x:v>
      </x:c>
      <x:c r="F1361" s="17" t="str">
        <x:v>Pro</x:v>
      </x:c>
      <x:c r="G1361" s="21" t="n">
        <x:v>11306</x:v>
      </x:c>
      <x:c r="H1361" s="21" t="n">
        <x:v>14486</x:v>
      </x:c>
      <x:c r="I1361" s="17" t="str">
        <x:v>Followup</x:v>
      </x:c>
    </x:row>
    <x:row r="1362" ht="23" customHeight="1">
      <x:c r="A1362" s="17" t="str">
        <x:v>U01356</x:v>
      </x:c>
      <x:c r="B1362" s="18" t="n">
        <x:v>46280</x:v>
      </x:c>
      <x:c r="C1362" s="17" t="str">
        <x:v>W0079</x:v>
      </x:c>
      <x:c r="D1362" s="17" t="str">
        <x:v>C002</x:v>
      </x:c>
      <x:c r="E1362" s="17" t="str">
        <x:v>CampaignChat</x:v>
      </x:c>
      <x:c r="F1362" s="17" t="str">
        <x:v>Pro</x:v>
      </x:c>
      <x:c r="G1362" s="21" t="n">
        <x:v>8364</x:v>
      </x:c>
      <x:c r="H1362" s="21" t="n">
        <x:v>16604</x:v>
      </x:c>
      <x:c r="I1362" s="17" t="str">
        <x:v>Correction</x:v>
      </x:c>
    </x:row>
    <x:row r="1363" ht="23" customHeight="1">
      <x:c r="A1363" s="17" t="str">
        <x:v>U01357</x:v>
      </x:c>
      <x:c r="B1363" s="18" t="n">
        <x:v>46280</x:v>
      </x:c>
      <x:c r="C1363" s="17" t="str">
        <x:v>W0079</x:v>
      </x:c>
      <x:c r="D1363" s="17" t="str">
        <x:v>C002</x:v>
      </x:c>
      <x:c r="E1363" s="17" t="str">
        <x:v>CampaignChat</x:v>
      </x:c>
      <x:c r="F1363" s="17" t="str">
        <x:v>Pro</x:v>
      </x:c>
      <x:c r="G1363" s="21" t="n">
        <x:v>7240</x:v>
      </x:c>
      <x:c r="H1363" s="21" t="n">
        <x:v>12890</x:v>
      </x:c>
      <x:c r="I1363" s="17" t="str">
        <x:v>Followup</x:v>
      </x:c>
    </x:row>
    <x:row r="1364" ht="23" customHeight="1">
      <x:c r="A1364" s="17" t="str">
        <x:v>U01358</x:v>
      </x:c>
      <x:c r="B1364" s="18" t="n">
        <x:v>46280</x:v>
      </x:c>
      <x:c r="C1364" s="17" t="str">
        <x:v>W0079</x:v>
      </x:c>
      <x:c r="D1364" s="17" t="str">
        <x:v>C002</x:v>
      </x:c>
      <x:c r="E1364" s="17" t="str">
        <x:v>CampaignChat</x:v>
      </x:c>
      <x:c r="F1364" s="17" t="str">
        <x:v>Pro</x:v>
      </x:c>
      <x:c r="G1364" s="21" t="n">
        <x:v>9747</x:v>
      </x:c>
      <x:c r="H1364" s="21" t="n">
        <x:v>4927</x:v>
      </x:c>
      <x:c r="I1364" s="17" t="str">
        <x:v>Correction</x:v>
      </x:c>
    </x:row>
    <x:row r="1365" ht="23" customHeight="1">
      <x:c r="A1365" s="17" t="str">
        <x:v>U01359</x:v>
      </x:c>
      <x:c r="B1365" s="18" t="n">
        <x:v>46286</x:v>
      </x:c>
      <x:c r="C1365" s="17" t="str">
        <x:v>W0080</x:v>
      </x:c>
      <x:c r="D1365" s="17" t="str">
        <x:v>C002</x:v>
      </x:c>
      <x:c r="E1365" s="17" t="str">
        <x:v>DataFlow</x:v>
      </x:c>
      <x:c r="F1365" s="17" t="str">
        <x:v>Pro</x:v>
      </x:c>
      <x:c r="G1365" s="21" t="n">
        <x:v>33080</x:v>
      </x:c>
      <x:c r="H1365" s="21" t="n">
        <x:v>8161</x:v>
      </x:c>
      <x:c r="I1365" s="17" t="str">
        <x:v>First attempt</x:v>
      </x:c>
    </x:row>
    <x:row r="1366" ht="23" customHeight="1">
      <x:c r="A1366" s="17" t="str">
        <x:v>U01360</x:v>
      </x:c>
      <x:c r="B1366" s="18" t="n">
        <x:v>46286</x:v>
      </x:c>
      <x:c r="C1366" s="17" t="str">
        <x:v>W0080</x:v>
      </x:c>
      <x:c r="D1366" s="17" t="str">
        <x:v>C002</x:v>
      </x:c>
      <x:c r="E1366" s="17" t="str">
        <x:v>DataFlow</x:v>
      </x:c>
      <x:c r="F1366" s="17" t="str">
        <x:v>Pro</x:v>
      </x:c>
      <x:c r="G1366" s="21" t="n">
        <x:v>40773</x:v>
      </x:c>
      <x:c r="H1366" s="21" t="n">
        <x:v>13143</x:v>
      </x:c>
      <x:c r="I1366" s="17" t="str">
        <x:v>Followup</x:v>
      </x:c>
    </x:row>
    <x:row r="1367" ht="23" customHeight="1">
      <x:c r="A1367" s="17" t="str">
        <x:v>U01361</x:v>
      </x:c>
      <x:c r="B1367" s="18" t="n">
        <x:v>46286</x:v>
      </x:c>
      <x:c r="C1367" s="17" t="str">
        <x:v>W0080</x:v>
      </x:c>
      <x:c r="D1367" s="17" t="str">
        <x:v>C002</x:v>
      </x:c>
      <x:c r="E1367" s="17" t="str">
        <x:v>DataFlow</x:v>
      </x:c>
      <x:c r="F1367" s="17" t="str">
        <x:v>Pro</x:v>
      </x:c>
      <x:c r="G1367" s="21" t="n">
        <x:v>36623</x:v>
      </x:c>
      <x:c r="H1367" s="21" t="n">
        <x:v>20768</x:v>
      </x:c>
      <x:c r="I1367" s="17" t="str">
        <x:v>Correction</x:v>
      </x:c>
    </x:row>
    <x:row r="1368" ht="23" customHeight="1">
      <x:c r="A1368" s="17" t="str">
        <x:v>U01362</x:v>
      </x:c>
      <x:c r="B1368" s="18" t="n">
        <x:v>46286</x:v>
      </x:c>
      <x:c r="C1368" s="17" t="str">
        <x:v>W0080</x:v>
      </x:c>
      <x:c r="D1368" s="17" t="str">
        <x:v>C002</x:v>
      </x:c>
      <x:c r="E1368" s="17" t="str">
        <x:v>DataFlow</x:v>
      </x:c>
      <x:c r="F1368" s="17" t="str">
        <x:v>Pro</x:v>
      </x:c>
      <x:c r="G1368" s="21" t="n">
        <x:v>22162</x:v>
      </x:c>
      <x:c r="H1368" s="21" t="n">
        <x:v>15707</x:v>
      </x:c>
      <x:c r="I1368" s="17" t="str">
        <x:v>Followup</x:v>
      </x:c>
    </x:row>
    <x:row r="1369" ht="23" customHeight="1">
      <x:c r="A1369" s="17" t="str">
        <x:v>U01363</x:v>
      </x:c>
      <x:c r="B1369" s="18" t="n">
        <x:v>46286</x:v>
      </x:c>
      <x:c r="C1369" s="17" t="str">
        <x:v>W0080</x:v>
      </x:c>
      <x:c r="D1369" s="17" t="str">
        <x:v>C002</x:v>
      </x:c>
      <x:c r="E1369" s="17" t="str">
        <x:v>DataFlow</x:v>
      </x:c>
      <x:c r="F1369" s="17" t="str">
        <x:v>Pro</x:v>
      </x:c>
      <x:c r="G1369" s="21" t="n">
        <x:v>15563</x:v>
      </x:c>
      <x:c r="H1369" s="21" t="n">
        <x:v>15193</x:v>
      </x:c>
      <x:c r="I1369" s="17" t="str">
        <x:v>Correction</x:v>
      </x:c>
    </x:row>
    <x:row r="1370" ht="23" customHeight="1">
      <x:c r="A1370" s="17" t="str">
        <x:v>U01364</x:v>
      </x:c>
      <x:c r="B1370" s="18" t="n">
        <x:v>46286</x:v>
      </x:c>
      <x:c r="C1370" s="17" t="str">
        <x:v>W0080</x:v>
      </x:c>
      <x:c r="D1370" s="17" t="str">
        <x:v>C002</x:v>
      </x:c>
      <x:c r="E1370" s="17" t="str">
        <x:v>DataFlow</x:v>
      </x:c>
      <x:c r="F1370" s="17" t="str">
        <x:v>Pro</x:v>
      </x:c>
      <x:c r="G1370" s="21" t="n">
        <x:v>17535</x:v>
      </x:c>
      <x:c r="H1370" s="21" t="n">
        <x:v>5401</x:v>
      </x:c>
      <x:c r="I1370" s="17" t="str">
        <x:v>Correction</x:v>
      </x:c>
    </x:row>
    <x:row r="1371" ht="23" customHeight="1">
      <x:c r="A1371" s="17" t="str">
        <x:v>U01365</x:v>
      </x:c>
      <x:c r="B1371" s="18" t="n">
        <x:v>46286</x:v>
      </x:c>
      <x:c r="C1371" s="17" t="str">
        <x:v>W0080</x:v>
      </x:c>
      <x:c r="D1371" s="17" t="str">
        <x:v>C002</x:v>
      </x:c>
      <x:c r="E1371" s="17" t="str">
        <x:v>DataFlow</x:v>
      </x:c>
      <x:c r="F1371" s="17" t="str">
        <x:v>Pro</x:v>
      </x:c>
      <x:c r="G1371" s="21" t="n">
        <x:v>32160</x:v>
      </x:c>
      <x:c r="H1371" s="21" t="n">
        <x:v>8150</x:v>
      </x:c>
      <x:c r="I1371" s="17" t="str">
        <x:v>Correction</x:v>
      </x:c>
    </x:row>
    <x:row r="1372" ht="23" customHeight="1">
      <x:c r="A1372" s="17" t="str">
        <x:v>U01366</x:v>
      </x:c>
      <x:c r="B1372" s="18" t="n">
        <x:v>46287</x:v>
      </x:c>
      <x:c r="C1372" s="17" t="str">
        <x:v>W0080</x:v>
      </x:c>
      <x:c r="D1372" s="17" t="str">
        <x:v>C002</x:v>
      </x:c>
      <x:c r="E1372" s="17" t="str">
        <x:v>DataFlow</x:v>
      </x:c>
      <x:c r="F1372" s="17" t="str">
        <x:v>Pro</x:v>
      </x:c>
      <x:c r="G1372" s="21" t="n">
        <x:v>15594</x:v>
      </x:c>
      <x:c r="H1372" s="21" t="n">
        <x:v>15524</x:v>
      </x:c>
      <x:c r="I1372" s="17" t="str">
        <x:v>Followup</x:v>
      </x:c>
    </x:row>
    <x:row r="1373" ht="23" customHeight="1">
      <x:c r="A1373" s="17" t="str">
        <x:v>U01367</x:v>
      </x:c>
      <x:c r="B1373" s="18" t="n">
        <x:v>46287</x:v>
      </x:c>
      <x:c r="C1373" s="17" t="str">
        <x:v>W0080</x:v>
      </x:c>
      <x:c r="D1373" s="17" t="str">
        <x:v>C002</x:v>
      </x:c>
      <x:c r="E1373" s="17" t="str">
        <x:v>DataFlow</x:v>
      </x:c>
      <x:c r="F1373" s="17" t="str">
        <x:v>Pro</x:v>
      </x:c>
      <x:c r="G1373" s="21" t="n">
        <x:v>34990</x:v>
      </x:c>
      <x:c r="H1373" s="21" t="n">
        <x:v>7501</x:v>
      </x:c>
      <x:c r="I1373" s="17" t="str">
        <x:v>Followup</x:v>
      </x:c>
    </x:row>
    <x:row r="1374" ht="23" customHeight="1">
      <x:c r="A1374" s="17" t="str">
        <x:v>U01368</x:v>
      </x:c>
      <x:c r="B1374" s="18" t="n">
        <x:v>46287</x:v>
      </x:c>
      <x:c r="C1374" s="17" t="str">
        <x:v>W0080</x:v>
      </x:c>
      <x:c r="D1374" s="17" t="str">
        <x:v>C002</x:v>
      </x:c>
      <x:c r="E1374" s="17" t="str">
        <x:v>DataFlow</x:v>
      </x:c>
      <x:c r="F1374" s="17" t="str">
        <x:v>Pro</x:v>
      </x:c>
      <x:c r="G1374" s="21" t="n">
        <x:v>26855</x:v>
      </x:c>
      <x:c r="H1374" s="21" t="n">
        <x:v>5509</x:v>
      </x:c>
      <x:c r="I1374" s="17" t="str">
        <x:v>Correction</x:v>
      </x:c>
    </x:row>
    <x:row r="1375" ht="23" customHeight="1">
      <x:c r="A1375" s="17" t="str">
        <x:v>U01369</x:v>
      </x:c>
      <x:c r="B1375" s="18" t="n">
        <x:v>46287</x:v>
      </x:c>
      <x:c r="C1375" s="17" t="str">
        <x:v>W0080</x:v>
      </x:c>
      <x:c r="D1375" s="17" t="str">
        <x:v>C002</x:v>
      </x:c>
      <x:c r="E1375" s="17" t="str">
        <x:v>DataFlow</x:v>
      </x:c>
      <x:c r="F1375" s="17" t="str">
        <x:v>Pro</x:v>
      </x:c>
      <x:c r="G1375" s="21" t="n">
        <x:v>14664</x:v>
      </x:c>
      <x:c r="H1375" s="21" t="n">
        <x:v>11288</x:v>
      </x:c>
      <x:c r="I1375" s="17" t="str">
        <x:v>Followup</x:v>
      </x:c>
    </x:row>
    <x:row r="1376" ht="23" customHeight="1">
      <x:c r="A1376" s="17" t="str">
        <x:v>U01370</x:v>
      </x:c>
      <x:c r="B1376" s="18" t="n">
        <x:v>46287</x:v>
      </x:c>
      <x:c r="C1376" s="17" t="str">
        <x:v>W0080</x:v>
      </x:c>
      <x:c r="D1376" s="17" t="str">
        <x:v>C002</x:v>
      </x:c>
      <x:c r="E1376" s="17" t="str">
        <x:v>DataFlow</x:v>
      </x:c>
      <x:c r="F1376" s="17" t="str">
        <x:v>Pro</x:v>
      </x:c>
      <x:c r="G1376" s="21" t="n">
        <x:v>32490</x:v>
      </x:c>
      <x:c r="H1376" s="21" t="n">
        <x:v>13461</x:v>
      </x:c>
      <x:c r="I1376" s="17" t="str">
        <x:v>Followup</x:v>
      </x:c>
    </x:row>
    <x:row r="1377" ht="23" customHeight="1">
      <x:c r="A1377" s="17" t="str">
        <x:v>U01371</x:v>
      </x:c>
      <x:c r="B1377" s="18" t="n">
        <x:v>46287</x:v>
      </x:c>
      <x:c r="C1377" s="17" t="str">
        <x:v>W0080</x:v>
      </x:c>
      <x:c r="D1377" s="17" t="str">
        <x:v>C002</x:v>
      </x:c>
      <x:c r="E1377" s="17" t="str">
        <x:v>DataFlow</x:v>
      </x:c>
      <x:c r="F1377" s="17" t="str">
        <x:v>Pro</x:v>
      </x:c>
      <x:c r="G1377" s="21" t="n">
        <x:v>31780</x:v>
      </x:c>
      <x:c r="H1377" s="21" t="n">
        <x:v>12991</x:v>
      </x:c>
      <x:c r="I1377" s="17" t="str">
        <x:v>Followup</x:v>
      </x:c>
    </x:row>
    <x:row r="1378" ht="23" customHeight="1">
      <x:c r="A1378" s="17" t="str">
        <x:v>U01372</x:v>
      </x:c>
      <x:c r="B1378" s="18" t="n">
        <x:v>46288</x:v>
      </x:c>
      <x:c r="C1378" s="17" t="str">
        <x:v>W0080</x:v>
      </x:c>
      <x:c r="D1378" s="17" t="str">
        <x:v>C002</x:v>
      </x:c>
      <x:c r="E1378" s="17" t="str">
        <x:v>DataFlow</x:v>
      </x:c>
      <x:c r="F1378" s="17" t="str">
        <x:v>Pro</x:v>
      </x:c>
      <x:c r="G1378" s="21" t="n">
        <x:v>22319</x:v>
      </x:c>
      <x:c r="H1378" s="21" t="n">
        <x:v>20750</x:v>
      </x:c>
      <x:c r="I1378" s="17" t="str">
        <x:v>Followup</x:v>
      </x:c>
    </x:row>
    <x:row r="1379" ht="23" customHeight="1">
      <x:c r="A1379" s="17" t="str">
        <x:v>U01373</x:v>
      </x:c>
      <x:c r="B1379" s="18" t="n">
        <x:v>46288</x:v>
      </x:c>
      <x:c r="C1379" s="17" t="str">
        <x:v>W0080</x:v>
      </x:c>
      <x:c r="D1379" s="17" t="str">
        <x:v>C002</x:v>
      </x:c>
      <x:c r="E1379" s="17" t="str">
        <x:v>DataFlow</x:v>
      </x:c>
      <x:c r="F1379" s="17" t="str">
        <x:v>Pro</x:v>
      </x:c>
      <x:c r="G1379" s="21" t="n">
        <x:v>27747</x:v>
      </x:c>
      <x:c r="H1379" s="21" t="n">
        <x:v>7714</x:v>
      </x:c>
      <x:c r="I1379" s="17" t="str">
        <x:v>Followup</x:v>
      </x:c>
    </x:row>
    <x:row r="1380" ht="23" customHeight="1">
      <x:c r="A1380" s="17" t="str">
        <x:v>U01374</x:v>
      </x:c>
      <x:c r="B1380" s="18" t="n">
        <x:v>46288</x:v>
      </x:c>
      <x:c r="C1380" s="17" t="str">
        <x:v>W0080</x:v>
      </x:c>
      <x:c r="D1380" s="17" t="str">
        <x:v>C002</x:v>
      </x:c>
      <x:c r="E1380" s="17" t="str">
        <x:v>DataFlow</x:v>
      </x:c>
      <x:c r="F1380" s="17" t="str">
        <x:v>Pro</x:v>
      </x:c>
      <x:c r="G1380" s="21" t="n">
        <x:v>26648</x:v>
      </x:c>
      <x:c r="H1380" s="21" t="n">
        <x:v>13363</x:v>
      </x:c>
      <x:c r="I1380" s="17" t="str">
        <x:v>Correction</x:v>
      </x:c>
    </x:row>
    <x:row r="1381" ht="23" customHeight="1">
      <x:c r="A1381" s="17" t="str">
        <x:v>U01375</x:v>
      </x:c>
      <x:c r="B1381" s="18" t="n">
        <x:v>46288</x:v>
      </x:c>
      <x:c r="C1381" s="17" t="str">
        <x:v>W0080</x:v>
      </x:c>
      <x:c r="D1381" s="17" t="str">
        <x:v>C002</x:v>
      </x:c>
      <x:c r="E1381" s="17" t="str">
        <x:v>DataFlow</x:v>
      </x:c>
      <x:c r="F1381" s="17" t="str">
        <x:v>Pro</x:v>
      </x:c>
      <x:c r="G1381" s="21" t="n">
        <x:v>19176</x:v>
      </x:c>
      <x:c r="H1381" s="21" t="n">
        <x:v>18413</x:v>
      </x:c>
      <x:c r="I1381" s="17" t="str">
        <x:v>Correction</x:v>
      </x:c>
    </x:row>
    <x:row r="1382" ht="23" customHeight="1">
      <x:c r="A1382" s="17" t="str">
        <x:v>U01376</x:v>
      </x:c>
      <x:c r="B1382" s="18" t="n">
        <x:v>46288</x:v>
      </x:c>
      <x:c r="C1382" s="17" t="str">
        <x:v>W0080</x:v>
      </x:c>
      <x:c r="D1382" s="17" t="str">
        <x:v>C002</x:v>
      </x:c>
      <x:c r="E1382" s="17" t="str">
        <x:v>DataFlow</x:v>
      </x:c>
      <x:c r="F1382" s="17" t="str">
        <x:v>Pro</x:v>
      </x:c>
      <x:c r="G1382" s="21" t="n">
        <x:v>28746</x:v>
      </x:c>
      <x:c r="H1382" s="21" t="n">
        <x:v>10851</x:v>
      </x:c>
      <x:c r="I1382" s="17" t="str">
        <x:v>Correction</x:v>
      </x:c>
    </x:row>
    <x:row r="1383" ht="23" customHeight="1">
      <x:c r="A1383" s="17" t="str">
        <x:v>U01377</x:v>
      </x:c>
      <x:c r="B1383" s="18" t="n">
        <x:v>46288</x:v>
      </x:c>
      <x:c r="C1383" s="17" t="str">
        <x:v>W0080</x:v>
      </x:c>
      <x:c r="D1383" s="17" t="str">
        <x:v>C002</x:v>
      </x:c>
      <x:c r="E1383" s="17" t="str">
        <x:v>DataFlow</x:v>
      </x:c>
      <x:c r="F1383" s="17" t="str">
        <x:v>Pro</x:v>
      </x:c>
      <x:c r="G1383" s="21" t="n">
        <x:v>31851</x:v>
      </x:c>
      <x:c r="H1383" s="21" t="n">
        <x:v>9828</x:v>
      </x:c>
      <x:c r="I1383" s="17" t="str">
        <x:v>Followup</x:v>
      </x:c>
    </x:row>
    <x:row r="1384" ht="23" customHeight="1">
      <x:c r="A1384" s="17" t="str">
        <x:v>U01378</x:v>
      </x:c>
      <x:c r="B1384" s="18" t="n">
        <x:v>46288</x:v>
      </x:c>
      <x:c r="C1384" s="17" t="str">
        <x:v>W0080</x:v>
      </x:c>
      <x:c r="D1384" s="17" t="str">
        <x:v>C002</x:v>
      </x:c>
      <x:c r="E1384" s="17" t="str">
        <x:v>DataFlow</x:v>
      </x:c>
      <x:c r="F1384" s="17" t="str">
        <x:v>Pro</x:v>
      </x:c>
      <x:c r="G1384" s="21" t="n">
        <x:v>25532</x:v>
      </x:c>
      <x:c r="H1384" s="21" t="n">
        <x:v>20784</x:v>
      </x:c>
      <x:c r="I1384" s="17" t="str">
        <x:v>Followup</x:v>
      </x:c>
    </x:row>
    <x:row r="1385" ht="23" customHeight="1">
      <x:c r="A1385" s="17" t="str">
        <x:v>U01379</x:v>
      </x:c>
      <x:c r="B1385" s="18" t="n">
        <x:v>46289</x:v>
      </x:c>
      <x:c r="C1385" s="17" t="str">
        <x:v>W0080</x:v>
      </x:c>
      <x:c r="D1385" s="17" t="str">
        <x:v>C002</x:v>
      </x:c>
      <x:c r="E1385" s="17" t="str">
        <x:v>DataFlow</x:v>
      </x:c>
      <x:c r="F1385" s="17" t="str">
        <x:v>Pro</x:v>
      </x:c>
      <x:c r="G1385" s="21" t="n">
        <x:v>37212</x:v>
      </x:c>
      <x:c r="H1385" s="21" t="n">
        <x:v>7828</x:v>
      </x:c>
      <x:c r="I1385" s="17" t="str">
        <x:v>Followup</x:v>
      </x:c>
    </x:row>
    <x:row r="1386" ht="23" customHeight="1">
      <x:c r="A1386" s="17" t="str">
        <x:v>U01380</x:v>
      </x:c>
      <x:c r="B1386" s="18" t="n">
        <x:v>46289</x:v>
      </x:c>
      <x:c r="C1386" s="17" t="str">
        <x:v>W0080</x:v>
      </x:c>
      <x:c r="D1386" s="17" t="str">
        <x:v>C002</x:v>
      </x:c>
      <x:c r="E1386" s="17" t="str">
        <x:v>DataFlow</x:v>
      </x:c>
      <x:c r="F1386" s="17" t="str">
        <x:v>Pro</x:v>
      </x:c>
      <x:c r="G1386" s="21" t="n">
        <x:v>21233</x:v>
      </x:c>
      <x:c r="H1386" s="21" t="n">
        <x:v>7116</x:v>
      </x:c>
      <x:c r="I1386" s="17" t="str">
        <x:v>Correction</x:v>
      </x:c>
    </x:row>
    <x:row r="1387" ht="23" customHeight="1">
      <x:c r="A1387" s="17" t="str">
        <x:v>U01381</x:v>
      </x:c>
      <x:c r="B1387" s="18" t="n">
        <x:v>46289</x:v>
      </x:c>
      <x:c r="C1387" s="17" t="str">
        <x:v>W0080</x:v>
      </x:c>
      <x:c r="D1387" s="17" t="str">
        <x:v>C002</x:v>
      </x:c>
      <x:c r="E1387" s="17" t="str">
        <x:v>DataFlow</x:v>
      </x:c>
      <x:c r="F1387" s="17" t="str">
        <x:v>Pro</x:v>
      </x:c>
      <x:c r="G1387" s="21" t="n">
        <x:v>14347</x:v>
      </x:c>
      <x:c r="H1387" s="21" t="n">
        <x:v>19326</x:v>
      </x:c>
      <x:c r="I1387" s="17" t="str">
        <x:v>Correction</x:v>
      </x:c>
    </x:row>
    <x:row r="1388" ht="23" customHeight="1">
      <x:c r="A1388" s="17" t="str">
        <x:v>U01382</x:v>
      </x:c>
      <x:c r="B1388" s="18" t="n">
        <x:v>46289</x:v>
      </x:c>
      <x:c r="C1388" s="17" t="str">
        <x:v>W0080</x:v>
      </x:c>
      <x:c r="D1388" s="17" t="str">
        <x:v>C002</x:v>
      </x:c>
      <x:c r="E1388" s="17" t="str">
        <x:v>DataFlow</x:v>
      </x:c>
      <x:c r="F1388" s="17" t="str">
        <x:v>Pro</x:v>
      </x:c>
      <x:c r="G1388" s="21" t="n">
        <x:v>40733</x:v>
      </x:c>
      <x:c r="H1388" s="21" t="n">
        <x:v>11384</x:v>
      </x:c>
      <x:c r="I1388" s="17" t="str">
        <x:v>Followup</x:v>
      </x:c>
    </x:row>
    <x:row r="1389" ht="23" customHeight="1">
      <x:c r="A1389" s="17" t="str">
        <x:v>U01383</x:v>
      </x:c>
      <x:c r="B1389" s="18" t="n">
        <x:v>46289</x:v>
      </x:c>
      <x:c r="C1389" s="17" t="str">
        <x:v>W0080</x:v>
      </x:c>
      <x:c r="D1389" s="17" t="str">
        <x:v>C002</x:v>
      </x:c>
      <x:c r="E1389" s="17" t="str">
        <x:v>DataFlow</x:v>
      </x:c>
      <x:c r="F1389" s="17" t="str">
        <x:v>Pro</x:v>
      </x:c>
      <x:c r="G1389" s="21" t="n">
        <x:v>27697</x:v>
      </x:c>
      <x:c r="H1389" s="21" t="n">
        <x:v>13010</x:v>
      </x:c>
      <x:c r="I1389" s="17" t="str">
        <x:v>Followup</x:v>
      </x:c>
    </x:row>
    <x:row r="1390" ht="23" customHeight="1">
      <x:c r="A1390" s="17" t="str">
        <x:v>U01384</x:v>
      </x:c>
      <x:c r="B1390" s="18" t="n">
        <x:v>46289</x:v>
      </x:c>
      <x:c r="C1390" s="17" t="str">
        <x:v>W0080</x:v>
      </x:c>
      <x:c r="D1390" s="17" t="str">
        <x:v>C002</x:v>
      </x:c>
      <x:c r="E1390" s="17" t="str">
        <x:v>DataFlow</x:v>
      </x:c>
      <x:c r="F1390" s="17" t="str">
        <x:v>Pro</x:v>
      </x:c>
      <x:c r="G1390" s="21" t="n">
        <x:v>26226</x:v>
      </x:c>
      <x:c r="H1390" s="21" t="n">
        <x:v>19672</x:v>
      </x:c>
      <x:c r="I1390" s="17" t="str">
        <x:v>Correction</x:v>
      </x:c>
    </x:row>
    <x:row r="1391" ht="23" customHeight="1">
      <x:c r="A1391" s="17" t="str">
        <x:v>U01385</x:v>
      </x:c>
      <x:c r="B1391" s="18" t="n">
        <x:v>46268</x:v>
      </x:c>
      <x:c r="C1391" s="17" t="str">
        <x:v>W0081</x:v>
      </x:c>
      <x:c r="D1391" s="17" t="str">
        <x:v>C002</x:v>
      </x:c>
      <x:c r="E1391" s="17" t="str">
        <x:v>DataFlow</x:v>
      </x:c>
      <x:c r="F1391" s="17" t="str">
        <x:v>Pro</x:v>
      </x:c>
      <x:c r="G1391" s="21" t="n">
        <x:v>21719</x:v>
      </x:c>
      <x:c r="H1391" s="21" t="n">
        <x:v>7426</x:v>
      </x:c>
      <x:c r="I1391" s="17" t="str">
        <x:v>First attempt</x:v>
      </x:c>
    </x:row>
    <x:row r="1392" ht="23" customHeight="1">
      <x:c r="A1392" s="17" t="str">
        <x:v>U01386</x:v>
      </x:c>
      <x:c r="B1392" s="18" t="n">
        <x:v>46268</x:v>
      </x:c>
      <x:c r="C1392" s="17" t="str">
        <x:v>W0081</x:v>
      </x:c>
      <x:c r="D1392" s="17" t="str">
        <x:v>C002</x:v>
      </x:c>
      <x:c r="E1392" s="17" t="str">
        <x:v>DataFlow</x:v>
      </x:c>
      <x:c r="F1392" s="17" t="str">
        <x:v>Pro</x:v>
      </x:c>
      <x:c r="G1392" s="21" t="n">
        <x:v>19976</x:v>
      </x:c>
      <x:c r="H1392" s="21" t="n">
        <x:v>14489</x:v>
      </x:c>
      <x:c r="I1392" s="17" t="str">
        <x:v>Correction</x:v>
      </x:c>
    </x:row>
    <x:row r="1393" ht="23" customHeight="1">
      <x:c r="A1393" s="17" t="str">
        <x:v>U01387</x:v>
      </x:c>
      <x:c r="B1393" s="18" t="n">
        <x:v>46268</x:v>
      </x:c>
      <x:c r="C1393" s="17" t="str">
        <x:v>W0081</x:v>
      </x:c>
      <x:c r="D1393" s="17" t="str">
        <x:v>C002</x:v>
      </x:c>
      <x:c r="E1393" s="17" t="str">
        <x:v>DataFlow</x:v>
      </x:c>
      <x:c r="F1393" s="17" t="str">
        <x:v>Pro</x:v>
      </x:c>
      <x:c r="G1393" s="21" t="n">
        <x:v>24577</x:v>
      </x:c>
      <x:c r="H1393" s="21" t="n">
        <x:v>11382</x:v>
      </x:c>
      <x:c r="I1393" s="17" t="str">
        <x:v>Followup</x:v>
      </x:c>
    </x:row>
    <x:row r="1394" ht="23" customHeight="1">
      <x:c r="A1394" s="17" t="str">
        <x:v>U01388</x:v>
      </x:c>
      <x:c r="B1394" s="18" t="n">
        <x:v>46268</x:v>
      </x:c>
      <x:c r="C1394" s="17" t="str">
        <x:v>W0081</x:v>
      </x:c>
      <x:c r="D1394" s="17" t="str">
        <x:v>C002</x:v>
      </x:c>
      <x:c r="E1394" s="17" t="str">
        <x:v>DataFlow</x:v>
      </x:c>
      <x:c r="F1394" s="17" t="str">
        <x:v>Pro</x:v>
      </x:c>
      <x:c r="G1394" s="21" t="n">
        <x:v>22460</x:v>
      </x:c>
      <x:c r="H1394" s="21" t="n">
        <x:v>8455</x:v>
      </x:c>
      <x:c r="I1394" s="17" t="str">
        <x:v>Correction</x:v>
      </x:c>
    </x:row>
    <x:row r="1395" ht="23" customHeight="1">
      <x:c r="A1395" s="17" t="str">
        <x:v>U01389</x:v>
      </x:c>
      <x:c r="B1395" s="18" t="n">
        <x:v>46268</x:v>
      </x:c>
      <x:c r="C1395" s="17" t="str">
        <x:v>W0081</x:v>
      </x:c>
      <x:c r="D1395" s="17" t="str">
        <x:v>C002</x:v>
      </x:c>
      <x:c r="E1395" s="17" t="str">
        <x:v>DataFlow</x:v>
      </x:c>
      <x:c r="F1395" s="17" t="str">
        <x:v>Pro</x:v>
      </x:c>
      <x:c r="G1395" s="21" t="n">
        <x:v>21292</x:v>
      </x:c>
      <x:c r="H1395" s="21" t="n">
        <x:v>13435</x:v>
      </x:c>
      <x:c r="I1395" s="17" t="str">
        <x:v>Correction</x:v>
      </x:c>
    </x:row>
    <x:row r="1396" ht="23" customHeight="1">
      <x:c r="A1396" s="17" t="str">
        <x:v>U01390</x:v>
      </x:c>
      <x:c r="B1396" s="18" t="n">
        <x:v>46269</x:v>
      </x:c>
      <x:c r="C1396" s="17" t="str">
        <x:v>W0081</x:v>
      </x:c>
      <x:c r="D1396" s="17" t="str">
        <x:v>C002</x:v>
      </x:c>
      <x:c r="E1396" s="17" t="str">
        <x:v>DataFlow</x:v>
      </x:c>
      <x:c r="F1396" s="17" t="str">
        <x:v>Pro</x:v>
      </x:c>
      <x:c r="G1396" s="21" t="n">
        <x:v>30784</x:v>
      </x:c>
      <x:c r="H1396" s="21" t="n">
        <x:v>6140</x:v>
      </x:c>
      <x:c r="I1396" s="17" t="str">
        <x:v>Correction</x:v>
      </x:c>
    </x:row>
    <x:row r="1397" ht="23" customHeight="1">
      <x:c r="A1397" s="17" t="str">
        <x:v>U01391</x:v>
      </x:c>
      <x:c r="B1397" s="18" t="n">
        <x:v>46269</x:v>
      </x:c>
      <x:c r="C1397" s="17" t="str">
        <x:v>W0081</x:v>
      </x:c>
      <x:c r="D1397" s="17" t="str">
        <x:v>C002</x:v>
      </x:c>
      <x:c r="E1397" s="17" t="str">
        <x:v>DataFlow</x:v>
      </x:c>
      <x:c r="F1397" s="17" t="str">
        <x:v>Pro</x:v>
      </x:c>
      <x:c r="G1397" s="21" t="n">
        <x:v>15536</x:v>
      </x:c>
      <x:c r="H1397" s="21" t="n">
        <x:v>13636</x:v>
      </x:c>
      <x:c r="I1397" s="17" t="str">
        <x:v>Followup</x:v>
      </x:c>
    </x:row>
    <x:row r="1398" ht="23" customHeight="1">
      <x:c r="A1398" s="17" t="str">
        <x:v>U01392</x:v>
      </x:c>
      <x:c r="B1398" s="18" t="n">
        <x:v>46269</x:v>
      </x:c>
      <x:c r="C1398" s="17" t="str">
        <x:v>W0081</x:v>
      </x:c>
      <x:c r="D1398" s="17" t="str">
        <x:v>C002</x:v>
      </x:c>
      <x:c r="E1398" s="17" t="str">
        <x:v>DataFlow</x:v>
      </x:c>
      <x:c r="F1398" s="17" t="str">
        <x:v>Pro</x:v>
      </x:c>
      <x:c r="G1398" s="21" t="n">
        <x:v>37253</x:v>
      </x:c>
      <x:c r="H1398" s="21" t="n">
        <x:v>10718</x:v>
      </x:c>
      <x:c r="I1398" s="17" t="str">
        <x:v>Followup</x:v>
      </x:c>
    </x:row>
    <x:row r="1399" ht="23" customHeight="1">
      <x:c r="A1399" s="17" t="str">
        <x:v>U01393</x:v>
      </x:c>
      <x:c r="B1399" s="18" t="n">
        <x:v>46269</x:v>
      </x:c>
      <x:c r="C1399" s="17" t="str">
        <x:v>W0081</x:v>
      </x:c>
      <x:c r="D1399" s="17" t="str">
        <x:v>C002</x:v>
      </x:c>
      <x:c r="E1399" s="17" t="str">
        <x:v>DataFlow</x:v>
      </x:c>
      <x:c r="F1399" s="17" t="str">
        <x:v>Pro</x:v>
      </x:c>
      <x:c r="G1399" s="21" t="n">
        <x:v>33759</x:v>
      </x:c>
      <x:c r="H1399" s="21" t="n">
        <x:v>8308</x:v>
      </x:c>
      <x:c r="I1399" s="17" t="str">
        <x:v>Correction</x:v>
      </x:c>
    </x:row>
    <x:row r="1400" ht="23" customHeight="1">
      <x:c r="A1400" s="17" t="str">
        <x:v>U01394</x:v>
      </x:c>
      <x:c r="B1400" s="18" t="n">
        <x:v>46269</x:v>
      </x:c>
      <x:c r="C1400" s="17" t="str">
        <x:v>W0081</x:v>
      </x:c>
      <x:c r="D1400" s="17" t="str">
        <x:v>C002</x:v>
      </x:c>
      <x:c r="E1400" s="17" t="str">
        <x:v>DataFlow</x:v>
      </x:c>
      <x:c r="F1400" s="17" t="str">
        <x:v>Pro</x:v>
      </x:c>
      <x:c r="G1400" s="21" t="n">
        <x:v>18251</x:v>
      </x:c>
      <x:c r="H1400" s="21" t="n">
        <x:v>8793</x:v>
      </x:c>
      <x:c r="I1400" s="17" t="str">
        <x:v>Followup</x:v>
      </x:c>
    </x:row>
    <x:row r="1401" ht="23" customHeight="1">
      <x:c r="A1401" s="17" t="str">
        <x:v>U01395</x:v>
      </x:c>
      <x:c r="B1401" s="18" t="n">
        <x:v>46273</x:v>
      </x:c>
      <x:c r="C1401" s="17" t="str">
        <x:v>W0081</x:v>
      </x:c>
      <x:c r="D1401" s="17" t="str">
        <x:v>C002</x:v>
      </x:c>
      <x:c r="E1401" s="17" t="str">
        <x:v>DataFlow</x:v>
      </x:c>
      <x:c r="F1401" s="17" t="str">
        <x:v>Pro</x:v>
      </x:c>
      <x:c r="G1401" s="21" t="n">
        <x:v>28436</x:v>
      </x:c>
      <x:c r="H1401" s="21" t="n">
        <x:v>7315</x:v>
      </x:c>
      <x:c r="I1401" s="17" t="str">
        <x:v>Followup</x:v>
      </x:c>
    </x:row>
    <x:row r="1402" ht="23" customHeight="1">
      <x:c r="A1402" s="17" t="str">
        <x:v>U01396</x:v>
      </x:c>
      <x:c r="B1402" s="18" t="n">
        <x:v>46273</x:v>
      </x:c>
      <x:c r="C1402" s="17" t="str">
        <x:v>W0081</x:v>
      </x:c>
      <x:c r="D1402" s="17" t="str">
        <x:v>C002</x:v>
      </x:c>
      <x:c r="E1402" s="17" t="str">
        <x:v>DataFlow</x:v>
      </x:c>
      <x:c r="F1402" s="17" t="str">
        <x:v>Pro</x:v>
      </x:c>
      <x:c r="G1402" s="21" t="n">
        <x:v>22057</x:v>
      </x:c>
      <x:c r="H1402" s="21" t="n">
        <x:v>16199</x:v>
      </x:c>
      <x:c r="I1402" s="17" t="str">
        <x:v>Correction</x:v>
      </x:c>
    </x:row>
    <x:row r="1403" ht="23" customHeight="1">
      <x:c r="A1403" s="17" t="str">
        <x:v>U01397</x:v>
      </x:c>
      <x:c r="B1403" s="18" t="n">
        <x:v>46273</x:v>
      </x:c>
      <x:c r="C1403" s="17" t="str">
        <x:v>W0081</x:v>
      </x:c>
      <x:c r="D1403" s="17" t="str">
        <x:v>C002</x:v>
      </x:c>
      <x:c r="E1403" s="17" t="str">
        <x:v>DataFlow</x:v>
      </x:c>
      <x:c r="F1403" s="17" t="str">
        <x:v>Pro</x:v>
      </x:c>
      <x:c r="G1403" s="21" t="n">
        <x:v>14294</x:v>
      </x:c>
      <x:c r="H1403" s="21" t="n">
        <x:v>17109</x:v>
      </x:c>
      <x:c r="I1403" s="17" t="str">
        <x:v>Followup</x:v>
      </x:c>
    </x:row>
    <x:row r="1404" ht="23" customHeight="1">
      <x:c r="A1404" s="17" t="str">
        <x:v>U01398</x:v>
      </x:c>
      <x:c r="B1404" s="18" t="n">
        <x:v>46273</x:v>
      </x:c>
      <x:c r="C1404" s="17" t="str">
        <x:v>W0081</x:v>
      </x:c>
      <x:c r="D1404" s="17" t="str">
        <x:v>C002</x:v>
      </x:c>
      <x:c r="E1404" s="17" t="str">
        <x:v>DataFlow</x:v>
      </x:c>
      <x:c r="F1404" s="17" t="str">
        <x:v>Pro</x:v>
      </x:c>
      <x:c r="G1404" s="21" t="n">
        <x:v>18253</x:v>
      </x:c>
      <x:c r="H1404" s="21" t="n">
        <x:v>13288</x:v>
      </x:c>
      <x:c r="I1404" s="17" t="str">
        <x:v>Correction</x:v>
      </x:c>
    </x:row>
    <x:row r="1405" ht="23" customHeight="1">
      <x:c r="A1405" s="17" t="str">
        <x:v>U01399</x:v>
      </x:c>
      <x:c r="B1405" s="18" t="n">
        <x:v>46273</x:v>
      </x:c>
      <x:c r="C1405" s="17" t="str">
        <x:v>W0081</x:v>
      </x:c>
      <x:c r="D1405" s="17" t="str">
        <x:v>C002</x:v>
      </x:c>
      <x:c r="E1405" s="17" t="str">
        <x:v>DataFlow</x:v>
      </x:c>
      <x:c r="F1405" s="17" t="str">
        <x:v>Pro</x:v>
      </x:c>
      <x:c r="G1405" s="21" t="n">
        <x:v>18200</x:v>
      </x:c>
      <x:c r="H1405" s="21" t="n">
        <x:v>14441</x:v>
      </x:c>
      <x:c r="I1405" s="17" t="str">
        <x:v>Followup</x:v>
      </x:c>
    </x:row>
    <x:row r="1406" ht="23" customHeight="1">
      <x:c r="A1406" s="17" t="str">
        <x:v>U01400</x:v>
      </x:c>
      <x:c r="B1406" s="18" t="n">
        <x:v>46274</x:v>
      </x:c>
      <x:c r="C1406" s="17" t="str">
        <x:v>W0081</x:v>
      </x:c>
      <x:c r="D1406" s="17" t="str">
        <x:v>C002</x:v>
      </x:c>
      <x:c r="E1406" s="17" t="str">
        <x:v>DataFlow</x:v>
      </x:c>
      <x:c r="F1406" s="17" t="str">
        <x:v>Pro</x:v>
      </x:c>
      <x:c r="G1406" s="21" t="n">
        <x:v>20233</x:v>
      </x:c>
      <x:c r="H1406" s="21" t="n">
        <x:v>5971</x:v>
      </x:c>
      <x:c r="I1406" s="17" t="str">
        <x:v>Followup</x:v>
      </x:c>
    </x:row>
    <x:row r="1407" ht="23" customHeight="1">
      <x:c r="A1407" s="17" t="str">
        <x:v>U01401</x:v>
      </x:c>
      <x:c r="B1407" s="18" t="n">
        <x:v>46274</x:v>
      </x:c>
      <x:c r="C1407" s="17" t="str">
        <x:v>W0081</x:v>
      </x:c>
      <x:c r="D1407" s="17" t="str">
        <x:v>C002</x:v>
      </x:c>
      <x:c r="E1407" s="17" t="str">
        <x:v>DataFlow</x:v>
      </x:c>
      <x:c r="F1407" s="17" t="str">
        <x:v>Pro</x:v>
      </x:c>
      <x:c r="G1407" s="21" t="n">
        <x:v>13356</x:v>
      </x:c>
      <x:c r="H1407" s="21" t="n">
        <x:v>11251</x:v>
      </x:c>
      <x:c r="I1407" s="17" t="str">
        <x:v>Correction</x:v>
      </x:c>
    </x:row>
    <x:row r="1408" ht="23" customHeight="1">
      <x:c r="A1408" s="17" t="str">
        <x:v>U01402</x:v>
      </x:c>
      <x:c r="B1408" s="18" t="n">
        <x:v>46274</x:v>
      </x:c>
      <x:c r="C1408" s="17" t="str">
        <x:v>W0081</x:v>
      </x:c>
      <x:c r="D1408" s="17" t="str">
        <x:v>C002</x:v>
      </x:c>
      <x:c r="E1408" s="17" t="str">
        <x:v>DataFlow</x:v>
      </x:c>
      <x:c r="F1408" s="17" t="str">
        <x:v>Pro</x:v>
      </x:c>
      <x:c r="G1408" s="21" t="n">
        <x:v>28226</x:v>
      </x:c>
      <x:c r="H1408" s="21" t="n">
        <x:v>16413</x:v>
      </x:c>
      <x:c r="I1408" s="17" t="str">
        <x:v>Correction</x:v>
      </x:c>
    </x:row>
    <x:row r="1409" ht="23" customHeight="1">
      <x:c r="A1409" s="17" t="str">
        <x:v>U01403</x:v>
      </x:c>
      <x:c r="B1409" s="18" t="n">
        <x:v>46274</x:v>
      </x:c>
      <x:c r="C1409" s="17" t="str">
        <x:v>W0081</x:v>
      </x:c>
      <x:c r="D1409" s="17" t="str">
        <x:v>C002</x:v>
      </x:c>
      <x:c r="E1409" s="17" t="str">
        <x:v>DataFlow</x:v>
      </x:c>
      <x:c r="F1409" s="17" t="str">
        <x:v>Pro</x:v>
      </x:c>
      <x:c r="G1409" s="21" t="n">
        <x:v>37166</x:v>
      </x:c>
      <x:c r="H1409" s="21" t="n">
        <x:v>5169</x:v>
      </x:c>
      <x:c r="I1409" s="17" t="str">
        <x:v>Followup</x:v>
      </x:c>
    </x:row>
    <x:row r="1410" ht="23" customHeight="1">
      <x:c r="A1410" s="17" t="str">
        <x:v>U01404</x:v>
      </x:c>
      <x:c r="B1410" s="18" t="n">
        <x:v>46274</x:v>
      </x:c>
      <x:c r="C1410" s="17" t="str">
        <x:v>W0081</x:v>
      </x:c>
      <x:c r="D1410" s="17" t="str">
        <x:v>C002</x:v>
      </x:c>
      <x:c r="E1410" s="17" t="str">
        <x:v>DataFlow</x:v>
      </x:c>
      <x:c r="F1410" s="17" t="str">
        <x:v>Pro</x:v>
      </x:c>
      <x:c r="G1410" s="21" t="n">
        <x:v>26051</x:v>
      </x:c>
      <x:c r="H1410" s="21" t="n">
        <x:v>17131</x:v>
      </x:c>
      <x:c r="I1410" s="17" t="str">
        <x:v>Correction</x:v>
      </x:c>
    </x:row>
    <x:row r="1411" ht="23" customHeight="1">
      <x:c r="A1411" s="17" t="str">
        <x:v>U01405</x:v>
      </x:c>
      <x:c r="B1411" s="18" t="n">
        <x:v>46280</x:v>
      </x:c>
      <x:c r="C1411" s="17" t="str">
        <x:v>W0082</x:v>
      </x:c>
      <x:c r="D1411" s="17" t="str">
        <x:v>C002</x:v>
      </x:c>
      <x:c r="E1411" s="17" t="str">
        <x:v>InsightDesk</x:v>
      </x:c>
      <x:c r="F1411" s="17" t="str">
        <x:v>Pro</x:v>
      </x:c>
      <x:c r="G1411" s="21" t="n">
        <x:v>34224</x:v>
      </x:c>
      <x:c r="H1411" s="21" t="n">
        <x:v>11490</x:v>
      </x:c>
      <x:c r="I1411" s="17" t="str">
        <x:v>First attempt</x:v>
      </x:c>
    </x:row>
    <x:row r="1412" ht="23" customHeight="1">
      <x:c r="A1412" s="17" t="str">
        <x:v>U01406</x:v>
      </x:c>
      <x:c r="B1412" s="18" t="n">
        <x:v>46280</x:v>
      </x:c>
      <x:c r="C1412" s="17" t="str">
        <x:v>W0082</x:v>
      </x:c>
      <x:c r="D1412" s="17" t="str">
        <x:v>C002</x:v>
      </x:c>
      <x:c r="E1412" s="17" t="str">
        <x:v>InsightDesk</x:v>
      </x:c>
      <x:c r="F1412" s="17" t="str">
        <x:v>Pro</x:v>
      </x:c>
      <x:c r="G1412" s="21" t="n">
        <x:v>38730</x:v>
      </x:c>
      <x:c r="H1412" s="21" t="n">
        <x:v>10830</x:v>
      </x:c>
      <x:c r="I1412" s="17" t="str">
        <x:v>Followup</x:v>
      </x:c>
    </x:row>
    <x:row r="1413" ht="23" customHeight="1">
      <x:c r="A1413" s="17" t="str">
        <x:v>U01407</x:v>
      </x:c>
      <x:c r="B1413" s="18" t="n">
        <x:v>46280</x:v>
      </x:c>
      <x:c r="C1413" s="17" t="str">
        <x:v>W0082</x:v>
      </x:c>
      <x:c r="D1413" s="17" t="str">
        <x:v>C002</x:v>
      </x:c>
      <x:c r="E1413" s="17" t="str">
        <x:v>InsightDesk</x:v>
      </x:c>
      <x:c r="F1413" s="17" t="str">
        <x:v>Pro</x:v>
      </x:c>
      <x:c r="G1413" s="21" t="n">
        <x:v>36767</x:v>
      </x:c>
      <x:c r="H1413" s="21" t="n">
        <x:v>4085</x:v>
      </x:c>
      <x:c r="I1413" s="17" t="str">
        <x:v>Followup</x:v>
      </x:c>
    </x:row>
    <x:row r="1414" ht="23" customHeight="1">
      <x:c r="A1414" s="17" t="str">
        <x:v>U01408</x:v>
      </x:c>
      <x:c r="B1414" s="18" t="n">
        <x:v>46280</x:v>
      </x:c>
      <x:c r="C1414" s="17" t="str">
        <x:v>W0082</x:v>
      </x:c>
      <x:c r="D1414" s="17" t="str">
        <x:v>C002</x:v>
      </x:c>
      <x:c r="E1414" s="17" t="str">
        <x:v>InsightDesk</x:v>
      </x:c>
      <x:c r="F1414" s="17" t="str">
        <x:v>Pro</x:v>
      </x:c>
      <x:c r="G1414" s="21" t="n">
        <x:v>18241</x:v>
      </x:c>
      <x:c r="H1414" s="21" t="n">
        <x:v>10027</x:v>
      </x:c>
      <x:c r="I1414" s="17" t="str">
        <x:v>Followup</x:v>
      </x:c>
    </x:row>
    <x:row r="1415" ht="23" customHeight="1">
      <x:c r="A1415" s="17" t="str">
        <x:v>U01409</x:v>
      </x:c>
      <x:c r="B1415" s="18" t="n">
        <x:v>46280</x:v>
      </x:c>
      <x:c r="C1415" s="17" t="str">
        <x:v>W0082</x:v>
      </x:c>
      <x:c r="D1415" s="17" t="str">
        <x:v>C002</x:v>
      </x:c>
      <x:c r="E1415" s="17" t="str">
        <x:v>InsightDesk</x:v>
      </x:c>
      <x:c r="F1415" s="17" t="str">
        <x:v>Pro</x:v>
      </x:c>
      <x:c r="G1415" s="21" t="n">
        <x:v>32088</x:v>
      </x:c>
      <x:c r="H1415" s="21" t="n">
        <x:v>6998</x:v>
      </x:c>
      <x:c r="I1415" s="17" t="str">
        <x:v>Followup</x:v>
      </x:c>
    </x:row>
    <x:row r="1416" ht="23" customHeight="1">
      <x:c r="A1416" s="17" t="str">
        <x:v>U01410</x:v>
      </x:c>
      <x:c r="B1416" s="18" t="n">
        <x:v>46281</x:v>
      </x:c>
      <x:c r="C1416" s="17" t="str">
        <x:v>W0082</x:v>
      </x:c>
      <x:c r="D1416" s="17" t="str">
        <x:v>C002</x:v>
      </x:c>
      <x:c r="E1416" s="17" t="str">
        <x:v>InsightDesk</x:v>
      </x:c>
      <x:c r="F1416" s="17" t="str">
        <x:v>Pro</x:v>
      </x:c>
      <x:c r="G1416" s="21" t="n">
        <x:v>18839</x:v>
      </x:c>
      <x:c r="H1416" s="21" t="n">
        <x:v>13801</x:v>
      </x:c>
      <x:c r="I1416" s="17" t="str">
        <x:v>Followup</x:v>
      </x:c>
    </x:row>
    <x:row r="1417" ht="23" customHeight="1">
      <x:c r="A1417" s="17" t="str">
        <x:v>U01411</x:v>
      </x:c>
      <x:c r="B1417" s="18" t="n">
        <x:v>46281</x:v>
      </x:c>
      <x:c r="C1417" s="17" t="str">
        <x:v>W0082</x:v>
      </x:c>
      <x:c r="D1417" s="17" t="str">
        <x:v>C002</x:v>
      </x:c>
      <x:c r="E1417" s="17" t="str">
        <x:v>InsightDesk</x:v>
      </x:c>
      <x:c r="F1417" s="17" t="str">
        <x:v>Pro</x:v>
      </x:c>
      <x:c r="G1417" s="21" t="n">
        <x:v>28087</x:v>
      </x:c>
      <x:c r="H1417" s="21" t="n">
        <x:v>4605</x:v>
      </x:c>
      <x:c r="I1417" s="17" t="str">
        <x:v>Followup</x:v>
      </x:c>
    </x:row>
    <x:row r="1418" ht="23" customHeight="1">
      <x:c r="A1418" s="17" t="str">
        <x:v>U01412</x:v>
      </x:c>
      <x:c r="B1418" s="18" t="n">
        <x:v>46281</x:v>
      </x:c>
      <x:c r="C1418" s="17" t="str">
        <x:v>W0082</x:v>
      </x:c>
      <x:c r="D1418" s="17" t="str">
        <x:v>C002</x:v>
      </x:c>
      <x:c r="E1418" s="17" t="str">
        <x:v>InsightDesk</x:v>
      </x:c>
      <x:c r="F1418" s="17" t="str">
        <x:v>Pro</x:v>
      </x:c>
      <x:c r="G1418" s="21" t="n">
        <x:v>32355</x:v>
      </x:c>
      <x:c r="H1418" s="21" t="n">
        <x:v>8825</x:v>
      </x:c>
      <x:c r="I1418" s="17" t="str">
        <x:v>Correction</x:v>
      </x:c>
    </x:row>
    <x:row r="1419" ht="23" customHeight="1">
      <x:c r="A1419" s="17" t="str">
        <x:v>U01413</x:v>
      </x:c>
      <x:c r="B1419" s="18" t="n">
        <x:v>46281</x:v>
      </x:c>
      <x:c r="C1419" s="17" t="str">
        <x:v>W0082</x:v>
      </x:c>
      <x:c r="D1419" s="17" t="str">
        <x:v>C002</x:v>
      </x:c>
      <x:c r="E1419" s="17" t="str">
        <x:v>InsightDesk</x:v>
      </x:c>
      <x:c r="F1419" s="17" t="str">
        <x:v>Pro</x:v>
      </x:c>
      <x:c r="G1419" s="21" t="n">
        <x:v>16187</x:v>
      </x:c>
      <x:c r="H1419" s="21" t="n">
        <x:v>5074</x:v>
      </x:c>
      <x:c r="I1419" s="17" t="str">
        <x:v>Followup</x:v>
      </x:c>
    </x:row>
    <x:row r="1420" ht="23" customHeight="1">
      <x:c r="A1420" s="17" t="str">
        <x:v>U01414</x:v>
      </x:c>
      <x:c r="B1420" s="18" t="n">
        <x:v>46282</x:v>
      </x:c>
      <x:c r="C1420" s="17" t="str">
        <x:v>W0082</x:v>
      </x:c>
      <x:c r="D1420" s="17" t="str">
        <x:v>C002</x:v>
      </x:c>
      <x:c r="E1420" s="17" t="str">
        <x:v>InsightDesk</x:v>
      </x:c>
      <x:c r="F1420" s="17" t="str">
        <x:v>Pro</x:v>
      </x:c>
      <x:c r="G1420" s="21" t="n">
        <x:v>34224</x:v>
      </x:c>
      <x:c r="H1420" s="21" t="n">
        <x:v>8245</x:v>
      </x:c>
      <x:c r="I1420" s="17" t="str">
        <x:v>Correction</x:v>
      </x:c>
    </x:row>
    <x:row r="1421" ht="23" customHeight="1">
      <x:c r="A1421" s="17" t="str">
        <x:v>U01415</x:v>
      </x:c>
      <x:c r="B1421" s="18" t="n">
        <x:v>46282</x:v>
      </x:c>
      <x:c r="C1421" s="17" t="str">
        <x:v>W0082</x:v>
      </x:c>
      <x:c r="D1421" s="17" t="str">
        <x:v>C002</x:v>
      </x:c>
      <x:c r="E1421" s="17" t="str">
        <x:v>InsightDesk</x:v>
      </x:c>
      <x:c r="F1421" s="17" t="str">
        <x:v>Pro</x:v>
      </x:c>
      <x:c r="G1421" s="21" t="n">
        <x:v>25230</x:v>
      </x:c>
      <x:c r="H1421" s="21" t="n">
        <x:v>12836</x:v>
      </x:c>
      <x:c r="I1421" s="17" t="str">
        <x:v>Correction</x:v>
      </x:c>
    </x:row>
    <x:row r="1422" ht="23" customHeight="1">
      <x:c r="A1422" s="17" t="str">
        <x:v>U01416</x:v>
      </x:c>
      <x:c r="B1422" s="18" t="n">
        <x:v>46282</x:v>
      </x:c>
      <x:c r="C1422" s="17" t="str">
        <x:v>W0082</x:v>
      </x:c>
      <x:c r="D1422" s="17" t="str">
        <x:v>C002</x:v>
      </x:c>
      <x:c r="E1422" s="17" t="str">
        <x:v>InsightDesk</x:v>
      </x:c>
      <x:c r="F1422" s="17" t="str">
        <x:v>Pro</x:v>
      </x:c>
      <x:c r="G1422" s="21" t="n">
        <x:v>17555</x:v>
      </x:c>
      <x:c r="H1422" s="21" t="n">
        <x:v>11147</x:v>
      </x:c>
      <x:c r="I1422" s="17" t="str">
        <x:v>Correction</x:v>
      </x:c>
    </x:row>
    <x:row r="1423" ht="23" customHeight="1">
      <x:c r="A1423" s="17" t="str">
        <x:v>U01417</x:v>
      </x:c>
      <x:c r="B1423" s="18" t="n">
        <x:v>46282</x:v>
      </x:c>
      <x:c r="C1423" s="17" t="str">
        <x:v>W0082</x:v>
      </x:c>
      <x:c r="D1423" s="17" t="str">
        <x:v>C002</x:v>
      </x:c>
      <x:c r="E1423" s="17" t="str">
        <x:v>InsightDesk</x:v>
      </x:c>
      <x:c r="F1423" s="17" t="str">
        <x:v>Pro</x:v>
      </x:c>
      <x:c r="G1423" s="21" t="n">
        <x:v>21442</x:v>
      </x:c>
      <x:c r="H1423" s="21" t="n">
        <x:v>11483</x:v>
      </x:c>
      <x:c r="I1423" s="17" t="str">
        <x:v>Followup</x:v>
      </x:c>
    </x:row>
    <x:row r="1424" ht="23" customHeight="1">
      <x:c r="A1424" s="17" t="str">
        <x:v>U01418</x:v>
      </x:c>
      <x:c r="B1424" s="18" t="n">
        <x:v>46283</x:v>
      </x:c>
      <x:c r="C1424" s="17" t="str">
        <x:v>W0082</x:v>
      </x:c>
      <x:c r="D1424" s="17" t="str">
        <x:v>C002</x:v>
      </x:c>
      <x:c r="E1424" s="17" t="str">
        <x:v>InsightDesk</x:v>
      </x:c>
      <x:c r="F1424" s="17" t="str">
        <x:v>Pro</x:v>
      </x:c>
      <x:c r="G1424" s="21" t="n">
        <x:v>18553</x:v>
      </x:c>
      <x:c r="H1424" s="21" t="n">
        <x:v>3982</x:v>
      </x:c>
      <x:c r="I1424" s="17" t="str">
        <x:v>Followup</x:v>
      </x:c>
    </x:row>
    <x:row r="1425" ht="23" customHeight="1">
      <x:c r="A1425" s="17" t="str">
        <x:v>U01419</x:v>
      </x:c>
      <x:c r="B1425" s="18" t="n">
        <x:v>46283</x:v>
      </x:c>
      <x:c r="C1425" s="17" t="str">
        <x:v>W0082</x:v>
      </x:c>
      <x:c r="D1425" s="17" t="str">
        <x:v>C002</x:v>
      </x:c>
      <x:c r="E1425" s="17" t="str">
        <x:v>InsightDesk</x:v>
      </x:c>
      <x:c r="F1425" s="17" t="str">
        <x:v>Pro</x:v>
      </x:c>
      <x:c r="G1425" s="21" t="n">
        <x:v>30897</x:v>
      </x:c>
      <x:c r="H1425" s="21" t="n">
        <x:v>13658</x:v>
      </x:c>
      <x:c r="I1425" s="17" t="str">
        <x:v>Followup</x:v>
      </x:c>
    </x:row>
    <x:row r="1426" ht="23" customHeight="1">
      <x:c r="A1426" s="17" t="str">
        <x:v>U01420</x:v>
      </x:c>
      <x:c r="B1426" s="18" t="n">
        <x:v>46283</x:v>
      </x:c>
      <x:c r="C1426" s="17" t="str">
        <x:v>W0082</x:v>
      </x:c>
      <x:c r="D1426" s="17" t="str">
        <x:v>C002</x:v>
      </x:c>
      <x:c r="E1426" s="17" t="str">
        <x:v>InsightDesk</x:v>
      </x:c>
      <x:c r="F1426" s="17" t="str">
        <x:v>Pro</x:v>
      </x:c>
      <x:c r="G1426" s="21" t="n">
        <x:v>38569</x:v>
      </x:c>
      <x:c r="H1426" s="21" t="n">
        <x:v>8187</x:v>
      </x:c>
      <x:c r="I1426" s="17" t="str">
        <x:v>Correction</x:v>
      </x:c>
    </x:row>
    <x:row r="1427" ht="23" customHeight="1">
      <x:c r="A1427" s="17" t="str">
        <x:v>U01421</x:v>
      </x:c>
      <x:c r="B1427" s="18" t="n">
        <x:v>46283</x:v>
      </x:c>
      <x:c r="C1427" s="17" t="str">
        <x:v>W0082</x:v>
      </x:c>
      <x:c r="D1427" s="17" t="str">
        <x:v>C002</x:v>
      </x:c>
      <x:c r="E1427" s="17" t="str">
        <x:v>InsightDesk</x:v>
      </x:c>
      <x:c r="F1427" s="17" t="str">
        <x:v>Pro</x:v>
      </x:c>
      <x:c r="G1427" s="21" t="n">
        <x:v>28329</x:v>
      </x:c>
      <x:c r="H1427" s="21" t="n">
        <x:v>7862</x:v>
      </x:c>
      <x:c r="I1427" s="17" t="str">
        <x:v>Correction</x:v>
      </x:c>
    </x:row>
    <x:row r="1428" ht="23" customHeight="1">
      <x:c r="A1428" s="17" t="str">
        <x:v>U01422</x:v>
      </x:c>
      <x:c r="B1428" s="18" t="n">
        <x:v>46283</x:v>
      </x:c>
      <x:c r="C1428" s="17" t="str">
        <x:v>W0085</x:v>
      </x:c>
      <x:c r="D1428" s="17" t="str">
        <x:v>C002</x:v>
      </x:c>
      <x:c r="E1428" s="17" t="str">
        <x:v>CopyStudio</x:v>
      </x:c>
      <x:c r="F1428" s="17" t="str">
        <x:v>Pro</x:v>
      </x:c>
      <x:c r="G1428" s="21" t="n">
        <x:v>23582</x:v>
      </x:c>
      <x:c r="H1428" s="21" t="n">
        <x:v>6546</x:v>
      </x:c>
      <x:c r="I1428" s="17" t="str">
        <x:v>First attempt</x:v>
      </x:c>
    </x:row>
    <x:row r="1429" ht="23" customHeight="1">
      <x:c r="A1429" s="17" t="str">
        <x:v>U01423</x:v>
      </x:c>
      <x:c r="B1429" s="18" t="n">
        <x:v>46283</x:v>
      </x:c>
      <x:c r="C1429" s="17" t="str">
        <x:v>W0085</x:v>
      </x:c>
      <x:c r="D1429" s="17" t="str">
        <x:v>C002</x:v>
      </x:c>
      <x:c r="E1429" s="17" t="str">
        <x:v>CopyStudio</x:v>
      </x:c>
      <x:c r="F1429" s="17" t="str">
        <x:v>Pro</x:v>
      </x:c>
      <x:c r="G1429" s="21" t="n">
        <x:v>19052</x:v>
      </x:c>
      <x:c r="H1429" s="21" t="n">
        <x:v>11100</x:v>
      </x:c>
      <x:c r="I1429" s="17" t="str">
        <x:v>Correction</x:v>
      </x:c>
    </x:row>
    <x:row r="1430" ht="23" customHeight="1">
      <x:c r="A1430" s="17" t="str">
        <x:v>U01424</x:v>
      </x:c>
      <x:c r="B1430" s="18" t="n">
        <x:v>46283</x:v>
      </x:c>
      <x:c r="C1430" s="17" t="str">
        <x:v>W0085</x:v>
      </x:c>
      <x:c r="D1430" s="17" t="str">
        <x:v>C002</x:v>
      </x:c>
      <x:c r="E1430" s="17" t="str">
        <x:v>CopyStudio</x:v>
      </x:c>
      <x:c r="F1430" s="17" t="str">
        <x:v>Pro</x:v>
      </x:c>
      <x:c r="G1430" s="21" t="n">
        <x:v>32022</x:v>
      </x:c>
      <x:c r="H1430" s="21" t="n">
        <x:v>9780</x:v>
      </x:c>
      <x:c r="I1430" s="17" t="str">
        <x:v>Followup</x:v>
      </x:c>
    </x:row>
    <x:row r="1431" ht="23" customHeight="1">
      <x:c r="A1431" s="17" t="str">
        <x:v>U01425</x:v>
      </x:c>
      <x:c r="B1431" s="18" t="n">
        <x:v>46283</x:v>
      </x:c>
      <x:c r="C1431" s="17" t="str">
        <x:v>W0085</x:v>
      </x:c>
      <x:c r="D1431" s="17" t="str">
        <x:v>C002</x:v>
      </x:c>
      <x:c r="E1431" s="17" t="str">
        <x:v>CopyStudio</x:v>
      </x:c>
      <x:c r="F1431" s="17" t="str">
        <x:v>Pro</x:v>
      </x:c>
      <x:c r="G1431" s="21" t="n">
        <x:v>11575</x:v>
      </x:c>
      <x:c r="H1431" s="21" t="n">
        <x:v>6684</x:v>
      </x:c>
      <x:c r="I1431" s="17" t="str">
        <x:v>Correction</x:v>
      </x:c>
    </x:row>
    <x:row r="1432" ht="23" customHeight="1">
      <x:c r="A1432" s="17" t="str">
        <x:v>U01426</x:v>
      </x:c>
      <x:c r="B1432" s="18" t="n">
        <x:v>46283</x:v>
      </x:c>
      <x:c r="C1432" s="17" t="str">
        <x:v>W0085</x:v>
      </x:c>
      <x:c r="D1432" s="17" t="str">
        <x:v>C002</x:v>
      </x:c>
      <x:c r="E1432" s="17" t="str">
        <x:v>CopyStudio</x:v>
      </x:c>
      <x:c r="F1432" s="17" t="str">
        <x:v>Pro</x:v>
      </x:c>
      <x:c r="G1432" s="21" t="n">
        <x:v>12126</x:v>
      </x:c>
      <x:c r="H1432" s="21" t="n">
        <x:v>11090</x:v>
      </x:c>
      <x:c r="I1432" s="17" t="str">
        <x:v>Followup</x:v>
      </x:c>
    </x:row>
    <x:row r="1433" ht="23" customHeight="1">
      <x:c r="A1433" s="17" t="str">
        <x:v>U01427</x:v>
      </x:c>
      <x:c r="B1433" s="18" t="n">
        <x:v>46286</x:v>
      </x:c>
      <x:c r="C1433" s="17" t="str">
        <x:v>W0085</x:v>
      </x:c>
      <x:c r="D1433" s="17" t="str">
        <x:v>C002</x:v>
      </x:c>
      <x:c r="E1433" s="17" t="str">
        <x:v>CopyStudio</x:v>
      </x:c>
      <x:c r="F1433" s="17" t="str">
        <x:v>Pro</x:v>
      </x:c>
      <x:c r="G1433" s="21" t="n">
        <x:v>32113</x:v>
      </x:c>
      <x:c r="H1433" s="21" t="n">
        <x:v>9082</x:v>
      </x:c>
      <x:c r="I1433" s="17" t="str">
        <x:v>Followup</x:v>
      </x:c>
    </x:row>
    <x:row r="1434" ht="23" customHeight="1">
      <x:c r="A1434" s="17" t="str">
        <x:v>U01428</x:v>
      </x:c>
      <x:c r="B1434" s="18" t="n">
        <x:v>46286</x:v>
      </x:c>
      <x:c r="C1434" s="17" t="str">
        <x:v>W0085</x:v>
      </x:c>
      <x:c r="D1434" s="17" t="str">
        <x:v>C002</x:v>
      </x:c>
      <x:c r="E1434" s="17" t="str">
        <x:v>CopyStudio</x:v>
      </x:c>
      <x:c r="F1434" s="17" t="str">
        <x:v>Pro</x:v>
      </x:c>
      <x:c r="G1434" s="21" t="n">
        <x:v>18628</x:v>
      </x:c>
      <x:c r="H1434" s="21" t="n">
        <x:v>10391</x:v>
      </x:c>
      <x:c r="I1434" s="17" t="str">
        <x:v>Correction</x:v>
      </x:c>
    </x:row>
    <x:row r="1435" ht="23" customHeight="1">
      <x:c r="A1435" s="17" t="str">
        <x:v>U01429</x:v>
      </x:c>
      <x:c r="B1435" s="18" t="n">
        <x:v>46286</x:v>
      </x:c>
      <x:c r="C1435" s="17" t="str">
        <x:v>W0085</x:v>
      </x:c>
      <x:c r="D1435" s="17" t="str">
        <x:v>C002</x:v>
      </x:c>
      <x:c r="E1435" s="17" t="str">
        <x:v>CopyStudio</x:v>
      </x:c>
      <x:c r="F1435" s="17" t="str">
        <x:v>Pro</x:v>
      </x:c>
      <x:c r="G1435" s="21" t="n">
        <x:v>12421</x:v>
      </x:c>
      <x:c r="H1435" s="21" t="n">
        <x:v>4764</x:v>
      </x:c>
      <x:c r="I1435" s="17" t="str">
        <x:v>Followup</x:v>
      </x:c>
    </x:row>
    <x:row r="1436" ht="23" customHeight="1">
      <x:c r="A1436" s="17" t="str">
        <x:v>U01430</x:v>
      </x:c>
      <x:c r="B1436" s="18" t="n">
        <x:v>46286</x:v>
      </x:c>
      <x:c r="C1436" s="17" t="str">
        <x:v>W0085</x:v>
      </x:c>
      <x:c r="D1436" s="17" t="str">
        <x:v>C002</x:v>
      </x:c>
      <x:c r="E1436" s="17" t="str">
        <x:v>CopyStudio</x:v>
      </x:c>
      <x:c r="F1436" s="17" t="str">
        <x:v>Pro</x:v>
      </x:c>
      <x:c r="G1436" s="21" t="n">
        <x:v>21417</x:v>
      </x:c>
      <x:c r="H1436" s="21" t="n">
        <x:v>4377</x:v>
      </x:c>
      <x:c r="I1436" s="17" t="str">
        <x:v>Followup</x:v>
      </x:c>
    </x:row>
    <x:row r="1437" ht="23" customHeight="1">
      <x:c r="A1437" s="17" t="str">
        <x:v>U01431</x:v>
      </x:c>
      <x:c r="B1437" s="18" t="n">
        <x:v>46287</x:v>
      </x:c>
      <x:c r="C1437" s="17" t="str">
        <x:v>W0085</x:v>
      </x:c>
      <x:c r="D1437" s="17" t="str">
        <x:v>C002</x:v>
      </x:c>
      <x:c r="E1437" s="17" t="str">
        <x:v>CopyStudio</x:v>
      </x:c>
      <x:c r="F1437" s="17" t="str">
        <x:v>Pro</x:v>
      </x:c>
      <x:c r="G1437" s="21" t="n">
        <x:v>25284</x:v>
      </x:c>
      <x:c r="H1437" s="21" t="n">
        <x:v>5926</x:v>
      </x:c>
      <x:c r="I1437" s="17" t="str">
        <x:v>Followup</x:v>
      </x:c>
    </x:row>
    <x:row r="1438" ht="23" customHeight="1">
      <x:c r="A1438" s="17" t="str">
        <x:v>U01432</x:v>
      </x:c>
      <x:c r="B1438" s="18" t="n">
        <x:v>46287</x:v>
      </x:c>
      <x:c r="C1438" s="17" t="str">
        <x:v>W0085</x:v>
      </x:c>
      <x:c r="D1438" s="17" t="str">
        <x:v>C002</x:v>
      </x:c>
      <x:c r="E1438" s="17" t="str">
        <x:v>CopyStudio</x:v>
      </x:c>
      <x:c r="F1438" s="17" t="str">
        <x:v>Pro</x:v>
      </x:c>
      <x:c r="G1438" s="21" t="n">
        <x:v>21371</x:v>
      </x:c>
      <x:c r="H1438" s="21" t="n">
        <x:v>7775</x:v>
      </x:c>
      <x:c r="I1438" s="17" t="str">
        <x:v>Followup</x:v>
      </x:c>
    </x:row>
    <x:row r="1439" ht="23" customHeight="1">
      <x:c r="A1439" s="17" t="str">
        <x:v>U01433</x:v>
      </x:c>
      <x:c r="B1439" s="18" t="n">
        <x:v>46287</x:v>
      </x:c>
      <x:c r="C1439" s="17" t="str">
        <x:v>W0085</x:v>
      </x:c>
      <x:c r="D1439" s="17" t="str">
        <x:v>C002</x:v>
      </x:c>
      <x:c r="E1439" s="17" t="str">
        <x:v>CopyStudio</x:v>
      </x:c>
      <x:c r="F1439" s="17" t="str">
        <x:v>Pro</x:v>
      </x:c>
      <x:c r="G1439" s="21" t="n">
        <x:v>27070</x:v>
      </x:c>
      <x:c r="H1439" s="21" t="n">
        <x:v>5519</x:v>
      </x:c>
      <x:c r="I1439" s="17" t="str">
        <x:v>Followup</x:v>
      </x:c>
    </x:row>
    <x:row r="1440" ht="23" customHeight="1">
      <x:c r="A1440" s="17" t="str">
        <x:v>U01434</x:v>
      </x:c>
      <x:c r="B1440" s="18" t="n">
        <x:v>46287</x:v>
      </x:c>
      <x:c r="C1440" s="17" t="str">
        <x:v>W0085</x:v>
      </x:c>
      <x:c r="D1440" s="17" t="str">
        <x:v>C002</x:v>
      </x:c>
      <x:c r="E1440" s="17" t="str">
        <x:v>CopyStudio</x:v>
      </x:c>
      <x:c r="F1440" s="17" t="str">
        <x:v>Pro</x:v>
      </x:c>
      <x:c r="G1440" s="21" t="n">
        <x:v>16866</x:v>
      </x:c>
      <x:c r="H1440" s="21" t="n">
        <x:v>3206</x:v>
      </x:c>
      <x:c r="I1440" s="17" t="str">
        <x:v>Correction</x:v>
      </x:c>
    </x:row>
    <x:row r="1441" ht="23" customHeight="1">
      <x:c r="A1441" s="17" t="str">
        <x:v>U01435</x:v>
      </x:c>
      <x:c r="B1441" s="18" t="n">
        <x:v>46287</x:v>
      </x:c>
      <x:c r="C1441" s="17" t="str">
        <x:v>W0085</x:v>
      </x:c>
      <x:c r="D1441" s="17" t="str">
        <x:v>C002</x:v>
      </x:c>
      <x:c r="E1441" s="17" t="str">
        <x:v>CopyStudio</x:v>
      </x:c>
      <x:c r="F1441" s="17" t="str">
        <x:v>Pro</x:v>
      </x:c>
      <x:c r="G1441" s="21" t="n">
        <x:v>15524</x:v>
      </x:c>
      <x:c r="H1441" s="21" t="n">
        <x:v>6363</x:v>
      </x:c>
      <x:c r="I1441" s="17" t="str">
        <x:v>Correction</x:v>
      </x:c>
    </x:row>
    <x:row r="1442" ht="23" customHeight="1">
      <x:c r="A1442" s="17" t="str">
        <x:v>U01436</x:v>
      </x:c>
      <x:c r="B1442" s="18" t="n">
        <x:v>46288</x:v>
      </x:c>
      <x:c r="C1442" s="17" t="str">
        <x:v>W0085</x:v>
      </x:c>
      <x:c r="D1442" s="17" t="str">
        <x:v>C002</x:v>
      </x:c>
      <x:c r="E1442" s="17" t="str">
        <x:v>CopyStudio</x:v>
      </x:c>
      <x:c r="F1442" s="17" t="str">
        <x:v>Pro</x:v>
      </x:c>
      <x:c r="G1442" s="21" t="n">
        <x:v>16890</x:v>
      </x:c>
      <x:c r="H1442" s="21" t="n">
        <x:v>3287</x:v>
      </x:c>
      <x:c r="I1442" s="17" t="str">
        <x:v>Followup</x:v>
      </x:c>
    </x:row>
    <x:row r="1443" ht="23" customHeight="1">
      <x:c r="A1443" s="17" t="str">
        <x:v>U01437</x:v>
      </x:c>
      <x:c r="B1443" s="18" t="n">
        <x:v>46288</x:v>
      </x:c>
      <x:c r="C1443" s="17" t="str">
        <x:v>W0085</x:v>
      </x:c>
      <x:c r="D1443" s="17" t="str">
        <x:v>C002</x:v>
      </x:c>
      <x:c r="E1443" s="17" t="str">
        <x:v>CopyStudio</x:v>
      </x:c>
      <x:c r="F1443" s="17" t="str">
        <x:v>Pro</x:v>
      </x:c>
      <x:c r="G1443" s="21" t="n">
        <x:v>27537</x:v>
      </x:c>
      <x:c r="H1443" s="21" t="n">
        <x:v>8328</x:v>
      </x:c>
      <x:c r="I1443" s="17" t="str">
        <x:v>Correction</x:v>
      </x:c>
    </x:row>
    <x:row r="1444" ht="23" customHeight="1">
      <x:c r="A1444" s="17" t="str">
        <x:v>U01438</x:v>
      </x:c>
      <x:c r="B1444" s="18" t="n">
        <x:v>46288</x:v>
      </x:c>
      <x:c r="C1444" s="17" t="str">
        <x:v>W0085</x:v>
      </x:c>
      <x:c r="D1444" s="17" t="str">
        <x:v>C002</x:v>
      </x:c>
      <x:c r="E1444" s="17" t="str">
        <x:v>CopyStudio</x:v>
      </x:c>
      <x:c r="F1444" s="17" t="str">
        <x:v>Pro</x:v>
      </x:c>
      <x:c r="G1444" s="21" t="n">
        <x:v>21163</x:v>
      </x:c>
      <x:c r="H1444" s="21" t="n">
        <x:v>4350</x:v>
      </x:c>
      <x:c r="I1444" s="17" t="str">
        <x:v>Correction</x:v>
      </x:c>
    </x:row>
    <x:row r="1445" ht="23" customHeight="1">
      <x:c r="A1445" s="17" t="str">
        <x:v>U01439</x:v>
      </x:c>
      <x:c r="B1445" s="18" t="n">
        <x:v>46288</x:v>
      </x:c>
      <x:c r="C1445" s="17" t="str">
        <x:v>W0085</x:v>
      </x:c>
      <x:c r="D1445" s="17" t="str">
        <x:v>C002</x:v>
      </x:c>
      <x:c r="E1445" s="17" t="str">
        <x:v>CopyStudio</x:v>
      </x:c>
      <x:c r="F1445" s="17" t="str">
        <x:v>Pro</x:v>
      </x:c>
      <x:c r="G1445" s="21" t="n">
        <x:v>33862</x:v>
      </x:c>
      <x:c r="H1445" s="21" t="n">
        <x:v>6134</x:v>
      </x:c>
      <x:c r="I1445" s="17" t="str">
        <x:v>Followup</x:v>
      </x:c>
    </x:row>
    <x:row r="1446" ht="23" customHeight="1">
      <x:c r="A1446" s="17" t="str">
        <x:v>U01440</x:v>
      </x:c>
      <x:c r="B1446" s="18" t="n">
        <x:v>46267</x:v>
      </x:c>
      <x:c r="C1446" s="17" t="str">
        <x:v>W0086</x:v>
      </x:c>
      <x:c r="D1446" s="17" t="str">
        <x:v>C002</x:v>
      </x:c>
      <x:c r="E1446" s="17" t="str">
        <x:v>CampaignChat</x:v>
      </x:c>
      <x:c r="F1446" s="17" t="str">
        <x:v>Pro</x:v>
      </x:c>
      <x:c r="G1446" s="21" t="n">
        <x:v>38777</x:v>
      </x:c>
      <x:c r="H1446" s="21" t="n">
        <x:v>3910</x:v>
      </x:c>
      <x:c r="I1446" s="17" t="str">
        <x:v>First attempt</x:v>
      </x:c>
    </x:row>
    <x:row r="1447" ht="23" customHeight="1">
      <x:c r="A1447" s="17" t="str">
        <x:v>U01441</x:v>
      </x:c>
      <x:c r="B1447" s="18" t="n">
        <x:v>46267</x:v>
      </x:c>
      <x:c r="C1447" s="17" t="str">
        <x:v>W0086</x:v>
      </x:c>
      <x:c r="D1447" s="17" t="str">
        <x:v>C002</x:v>
      </x:c>
      <x:c r="E1447" s="17" t="str">
        <x:v>CampaignChat</x:v>
      </x:c>
      <x:c r="F1447" s="17" t="str">
        <x:v>Pro</x:v>
      </x:c>
      <x:c r="G1447" s="21" t="n">
        <x:v>31931</x:v>
      </x:c>
      <x:c r="H1447" s="21" t="n">
        <x:v>9013</x:v>
      </x:c>
      <x:c r="I1447" s="17" t="str">
        <x:v>Followup</x:v>
      </x:c>
    </x:row>
    <x:row r="1448" ht="23" customHeight="1">
      <x:c r="A1448" s="17" t="str">
        <x:v>U01442</x:v>
      </x:c>
      <x:c r="B1448" s="18" t="n">
        <x:v>46267</x:v>
      </x:c>
      <x:c r="C1448" s="17" t="str">
        <x:v>W0086</x:v>
      </x:c>
      <x:c r="D1448" s="17" t="str">
        <x:v>C002</x:v>
      </x:c>
      <x:c r="E1448" s="17" t="str">
        <x:v>CampaignChat</x:v>
      </x:c>
      <x:c r="F1448" s="17" t="str">
        <x:v>Pro</x:v>
      </x:c>
      <x:c r="G1448" s="21" t="n">
        <x:v>32027</x:v>
      </x:c>
      <x:c r="H1448" s="21" t="n">
        <x:v>12978</x:v>
      </x:c>
      <x:c r="I1448" s="17" t="str">
        <x:v>Followup</x:v>
      </x:c>
    </x:row>
    <x:row r="1449" ht="23" customHeight="1">
      <x:c r="A1449" s="17" t="str">
        <x:v>U01443</x:v>
      </x:c>
      <x:c r="B1449" s="18" t="n">
        <x:v>46267</x:v>
      </x:c>
      <x:c r="C1449" s="17" t="str">
        <x:v>W0086</x:v>
      </x:c>
      <x:c r="D1449" s="17" t="str">
        <x:v>C002</x:v>
      </x:c>
      <x:c r="E1449" s="17" t="str">
        <x:v>CampaignChat</x:v>
      </x:c>
      <x:c r="F1449" s="17" t="str">
        <x:v>Pro</x:v>
      </x:c>
      <x:c r="G1449" s="21" t="n">
        <x:v>36165</x:v>
      </x:c>
      <x:c r="H1449" s="21" t="n">
        <x:v>3753</x:v>
      </x:c>
      <x:c r="I1449" s="17" t="str">
        <x:v>Correction</x:v>
      </x:c>
    </x:row>
    <x:row r="1450" ht="23" customHeight="1">
      <x:c r="A1450" s="17" t="str">
        <x:v>U01444</x:v>
      </x:c>
      <x:c r="B1450" s="18" t="n">
        <x:v>46267</x:v>
      </x:c>
      <x:c r="C1450" s="17" t="str">
        <x:v>W0086</x:v>
      </x:c>
      <x:c r="D1450" s="17" t="str">
        <x:v>C002</x:v>
      </x:c>
      <x:c r="E1450" s="17" t="str">
        <x:v>CampaignChat</x:v>
      </x:c>
      <x:c r="F1450" s="17" t="str">
        <x:v>Pro</x:v>
      </x:c>
      <x:c r="G1450" s="21" t="n">
        <x:v>23053</x:v>
      </x:c>
      <x:c r="H1450" s="21" t="n">
        <x:v>3481</x:v>
      </x:c>
      <x:c r="I1450" s="17" t="str">
        <x:v>Followup</x:v>
      </x:c>
    </x:row>
    <x:row r="1451" ht="23" customHeight="1">
      <x:c r="A1451" s="17" t="str">
        <x:v>U01445</x:v>
      </x:c>
      <x:c r="B1451" s="18" t="n">
        <x:v>46268</x:v>
      </x:c>
      <x:c r="C1451" s="17" t="str">
        <x:v>W0086</x:v>
      </x:c>
      <x:c r="D1451" s="17" t="str">
        <x:v>C002</x:v>
      </x:c>
      <x:c r="E1451" s="17" t="str">
        <x:v>CampaignChat</x:v>
      </x:c>
      <x:c r="F1451" s="17" t="str">
        <x:v>Pro</x:v>
      </x:c>
      <x:c r="G1451" s="21" t="n">
        <x:v>23711</x:v>
      </x:c>
      <x:c r="H1451" s="21" t="n">
        <x:v>10974</x:v>
      </x:c>
      <x:c r="I1451" s="17" t="str">
        <x:v>Followup</x:v>
      </x:c>
    </x:row>
    <x:row r="1452" ht="23" customHeight="1">
      <x:c r="A1452" s="17" t="str">
        <x:v>U01446</x:v>
      </x:c>
      <x:c r="B1452" s="18" t="n">
        <x:v>46268</x:v>
      </x:c>
      <x:c r="C1452" s="17" t="str">
        <x:v>W0086</x:v>
      </x:c>
      <x:c r="D1452" s="17" t="str">
        <x:v>C002</x:v>
      </x:c>
      <x:c r="E1452" s="17" t="str">
        <x:v>CampaignChat</x:v>
      </x:c>
      <x:c r="F1452" s="17" t="str">
        <x:v>Pro</x:v>
      </x:c>
      <x:c r="G1452" s="21" t="n">
        <x:v>17459</x:v>
      </x:c>
      <x:c r="H1452" s="21" t="n">
        <x:v>6522</x:v>
      </x:c>
      <x:c r="I1452" s="17" t="str">
        <x:v>Followup</x:v>
      </x:c>
    </x:row>
    <x:row r="1453" ht="23" customHeight="1">
      <x:c r="A1453" s="17" t="str">
        <x:v>U01447</x:v>
      </x:c>
      <x:c r="B1453" s="18" t="n">
        <x:v>46268</x:v>
      </x:c>
      <x:c r="C1453" s="17" t="str">
        <x:v>W0086</x:v>
      </x:c>
      <x:c r="D1453" s="17" t="str">
        <x:v>C002</x:v>
      </x:c>
      <x:c r="E1453" s="17" t="str">
        <x:v>CampaignChat</x:v>
      </x:c>
      <x:c r="F1453" s="17" t="str">
        <x:v>Pro</x:v>
      </x:c>
      <x:c r="G1453" s="21" t="n">
        <x:v>38612</x:v>
      </x:c>
      <x:c r="H1453" s="21" t="n">
        <x:v>4360</x:v>
      </x:c>
      <x:c r="I1453" s="17" t="str">
        <x:v>Correction</x:v>
      </x:c>
    </x:row>
    <x:row r="1454" ht="23" customHeight="1">
      <x:c r="A1454" s="17" t="str">
        <x:v>U01448</x:v>
      </x:c>
      <x:c r="B1454" s="18" t="n">
        <x:v>46268</x:v>
      </x:c>
      <x:c r="C1454" s="17" t="str">
        <x:v>W0086</x:v>
      </x:c>
      <x:c r="D1454" s="17" t="str">
        <x:v>C002</x:v>
      </x:c>
      <x:c r="E1454" s="17" t="str">
        <x:v>CampaignChat</x:v>
      </x:c>
      <x:c r="F1454" s="17" t="str">
        <x:v>Pro</x:v>
      </x:c>
      <x:c r="G1454" s="21" t="n">
        <x:v>23603</x:v>
      </x:c>
      <x:c r="H1454" s="21" t="n">
        <x:v>5133</x:v>
      </x:c>
      <x:c r="I1454" s="17" t="str">
        <x:v>Followup</x:v>
      </x:c>
    </x:row>
    <x:row r="1455" ht="23" customHeight="1">
      <x:c r="A1455" s="17" t="str">
        <x:v>U01449</x:v>
      </x:c>
      <x:c r="B1455" s="18" t="n">
        <x:v>46268</x:v>
      </x:c>
      <x:c r="C1455" s="17" t="str">
        <x:v>W0086</x:v>
      </x:c>
      <x:c r="D1455" s="17" t="str">
        <x:v>C002</x:v>
      </x:c>
      <x:c r="E1455" s="17" t="str">
        <x:v>CampaignChat</x:v>
      </x:c>
      <x:c r="F1455" s="17" t="str">
        <x:v>Pro</x:v>
      </x:c>
      <x:c r="G1455" s="21" t="n">
        <x:v>13795</x:v>
      </x:c>
      <x:c r="H1455" s="21" t="n">
        <x:v>13003</x:v>
      </x:c>
      <x:c r="I1455" s="17" t="str">
        <x:v>Correction</x:v>
      </x:c>
    </x:row>
    <x:row r="1456" ht="23" customHeight="1">
      <x:c r="A1456" s="17" t="str">
        <x:v>U01450</x:v>
      </x:c>
      <x:c r="B1456" s="18" t="n">
        <x:v>46269</x:v>
      </x:c>
      <x:c r="C1456" s="17" t="str">
        <x:v>W0086</x:v>
      </x:c>
      <x:c r="D1456" s="17" t="str">
        <x:v>C002</x:v>
      </x:c>
      <x:c r="E1456" s="17" t="str">
        <x:v>CampaignChat</x:v>
      </x:c>
      <x:c r="F1456" s="17" t="str">
        <x:v>Pro</x:v>
      </x:c>
      <x:c r="G1456" s="21" t="n">
        <x:v>27154</x:v>
      </x:c>
      <x:c r="H1456" s="21" t="n">
        <x:v>6874</x:v>
      </x:c>
      <x:c r="I1456" s="17" t="str">
        <x:v>Followup</x:v>
      </x:c>
    </x:row>
    <x:row r="1457" ht="23" customHeight="1">
      <x:c r="A1457" s="17" t="str">
        <x:v>U01451</x:v>
      </x:c>
      <x:c r="B1457" s="18" t="n">
        <x:v>46269</x:v>
      </x:c>
      <x:c r="C1457" s="17" t="str">
        <x:v>W0086</x:v>
      </x:c>
      <x:c r="D1457" s="17" t="str">
        <x:v>C002</x:v>
      </x:c>
      <x:c r="E1457" s="17" t="str">
        <x:v>CampaignChat</x:v>
      </x:c>
      <x:c r="F1457" s="17" t="str">
        <x:v>Pro</x:v>
      </x:c>
      <x:c r="G1457" s="21" t="n">
        <x:v>35679</x:v>
      </x:c>
      <x:c r="H1457" s="21" t="n">
        <x:v>12944</x:v>
      </x:c>
      <x:c r="I1457" s="17" t="str">
        <x:v>Followup</x:v>
      </x:c>
    </x:row>
    <x:row r="1458" ht="23" customHeight="1">
      <x:c r="A1458" s="17" t="str">
        <x:v>U01452</x:v>
      </x:c>
      <x:c r="B1458" s="18" t="n">
        <x:v>46269</x:v>
      </x:c>
      <x:c r="C1458" s="17" t="str">
        <x:v>W0086</x:v>
      </x:c>
      <x:c r="D1458" s="17" t="str">
        <x:v>C002</x:v>
      </x:c>
      <x:c r="E1458" s="17" t="str">
        <x:v>CampaignChat</x:v>
      </x:c>
      <x:c r="F1458" s="17" t="str">
        <x:v>Pro</x:v>
      </x:c>
      <x:c r="G1458" s="21" t="n">
        <x:v>37473</x:v>
      </x:c>
      <x:c r="H1458" s="21" t="n">
        <x:v>12532</x:v>
      </x:c>
      <x:c r="I1458" s="17" t="str">
        <x:v>Followup</x:v>
      </x:c>
    </x:row>
    <x:row r="1459" ht="23" customHeight="1">
      <x:c r="A1459" s="17" t="str">
        <x:v>U01453</x:v>
      </x:c>
      <x:c r="B1459" s="18" t="n">
        <x:v>46269</x:v>
      </x:c>
      <x:c r="C1459" s="17" t="str">
        <x:v>W0086</x:v>
      </x:c>
      <x:c r="D1459" s="17" t="str">
        <x:v>C002</x:v>
      </x:c>
      <x:c r="E1459" s="17" t="str">
        <x:v>CampaignChat</x:v>
      </x:c>
      <x:c r="F1459" s="17" t="str">
        <x:v>Pro</x:v>
      </x:c>
      <x:c r="G1459" s="21" t="n">
        <x:v>34258</x:v>
      </x:c>
      <x:c r="H1459" s="21" t="n">
        <x:v>12727</x:v>
      </x:c>
      <x:c r="I1459" s="17" t="str">
        <x:v>Correction</x:v>
      </x:c>
    </x:row>
    <x:row r="1460" ht="23" customHeight="1">
      <x:c r="A1460" s="17" t="str">
        <x:v>U01454</x:v>
      </x:c>
      <x:c r="B1460" s="18" t="n">
        <x:v>46269</x:v>
      </x:c>
      <x:c r="C1460" s="17" t="str">
        <x:v>W0086</x:v>
      </x:c>
      <x:c r="D1460" s="17" t="str">
        <x:v>C002</x:v>
      </x:c>
      <x:c r="E1460" s="17" t="str">
        <x:v>CampaignChat</x:v>
      </x:c>
      <x:c r="F1460" s="17" t="str">
        <x:v>Pro</x:v>
      </x:c>
      <x:c r="G1460" s="21" t="n">
        <x:v>17253</x:v>
      </x:c>
      <x:c r="H1460" s="21" t="n">
        <x:v>8002</x:v>
      </x:c>
      <x:c r="I1460" s="17" t="str">
        <x:v>Correction</x:v>
      </x:c>
    </x:row>
    <x:row r="1461" ht="23" customHeight="1">
      <x:c r="A1461" s="17" t="str">
        <x:v>U01455</x:v>
      </x:c>
      <x:c r="B1461" s="18" t="n">
        <x:v>46273</x:v>
      </x:c>
      <x:c r="C1461" s="17" t="str">
        <x:v>W0086</x:v>
      </x:c>
      <x:c r="D1461" s="17" t="str">
        <x:v>C002</x:v>
      </x:c>
      <x:c r="E1461" s="17" t="str">
        <x:v>CampaignChat</x:v>
      </x:c>
      <x:c r="F1461" s="17" t="str">
        <x:v>Pro</x:v>
      </x:c>
      <x:c r="G1461" s="21" t="n">
        <x:v>40022</x:v>
      </x:c>
      <x:c r="H1461" s="21" t="n">
        <x:v>8732</x:v>
      </x:c>
      <x:c r="I1461" s="17" t="str">
        <x:v>Followup</x:v>
      </x:c>
    </x:row>
    <x:row r="1462" ht="23" customHeight="1">
      <x:c r="A1462" s="17" t="str">
        <x:v>U01456</x:v>
      </x:c>
      <x:c r="B1462" s="18" t="n">
        <x:v>46273</x:v>
      </x:c>
      <x:c r="C1462" s="17" t="str">
        <x:v>W0086</x:v>
      </x:c>
      <x:c r="D1462" s="17" t="str">
        <x:v>C002</x:v>
      </x:c>
      <x:c r="E1462" s="17" t="str">
        <x:v>CampaignChat</x:v>
      </x:c>
      <x:c r="F1462" s="17" t="str">
        <x:v>Pro</x:v>
      </x:c>
      <x:c r="G1462" s="21" t="n">
        <x:v>17072</x:v>
      </x:c>
      <x:c r="H1462" s="21" t="n">
        <x:v>11077</x:v>
      </x:c>
      <x:c r="I1462" s="17" t="str">
        <x:v>Followup</x:v>
      </x:c>
    </x:row>
    <x:row r="1463" ht="23" customHeight="1">
      <x:c r="A1463" s="17" t="str">
        <x:v>U01457</x:v>
      </x:c>
      <x:c r="B1463" s="18" t="n">
        <x:v>46273</x:v>
      </x:c>
      <x:c r="C1463" s="17" t="str">
        <x:v>W0086</x:v>
      </x:c>
      <x:c r="D1463" s="17" t="str">
        <x:v>C002</x:v>
      </x:c>
      <x:c r="E1463" s="17" t="str">
        <x:v>CampaignChat</x:v>
      </x:c>
      <x:c r="F1463" s="17" t="str">
        <x:v>Pro</x:v>
      </x:c>
      <x:c r="G1463" s="21" t="n">
        <x:v>14362</x:v>
      </x:c>
      <x:c r="H1463" s="21" t="n">
        <x:v>10207</x:v>
      </x:c>
      <x:c r="I1463" s="17" t="str">
        <x:v>Followup</x:v>
      </x:c>
    </x:row>
    <x:row r="1464" ht="23" customHeight="1">
      <x:c r="A1464" s="17" t="str">
        <x:v>U01458</x:v>
      </x:c>
      <x:c r="B1464" s="18" t="n">
        <x:v>46273</x:v>
      </x:c>
      <x:c r="C1464" s="17" t="str">
        <x:v>W0086</x:v>
      </x:c>
      <x:c r="D1464" s="17" t="str">
        <x:v>C002</x:v>
      </x:c>
      <x:c r="E1464" s="17" t="str">
        <x:v>CampaignChat</x:v>
      </x:c>
      <x:c r="F1464" s="17" t="str">
        <x:v>Pro</x:v>
      </x:c>
      <x:c r="G1464" s="21" t="n">
        <x:v>27588</x:v>
      </x:c>
      <x:c r="H1464" s="21" t="n">
        <x:v>7071</x:v>
      </x:c>
      <x:c r="I1464" s="17" t="str">
        <x:v>Followup</x:v>
      </x:c>
    </x:row>
    <x:row r="1465" ht="23" customHeight="1">
      <x:c r="A1465" s="17" t="str">
        <x:v>U01459</x:v>
      </x:c>
      <x:c r="B1465" s="18" t="n">
        <x:v>46273</x:v>
      </x:c>
      <x:c r="C1465" s="17" t="str">
        <x:v>W0086</x:v>
      </x:c>
      <x:c r="D1465" s="17" t="str">
        <x:v>C002</x:v>
      </x:c>
      <x:c r="E1465" s="17" t="str">
        <x:v>CampaignChat</x:v>
      </x:c>
      <x:c r="F1465" s="17" t="str">
        <x:v>Pro</x:v>
      </x:c>
      <x:c r="G1465" s="21" t="n">
        <x:v>22613</x:v>
      </x:c>
      <x:c r="H1465" s="21" t="n">
        <x:v>6260</x:v>
      </x:c>
      <x:c r="I1465" s="17" t="str">
        <x:v>Correction</x:v>
      </x:c>
    </x:row>
    <x:row r="1466" ht="23" customHeight="1">
      <x:c r="A1466" s="17" t="str">
        <x:v>U01460</x:v>
      </x:c>
      <x:c r="B1466" s="18" t="n">
        <x:v>46279</x:v>
      </x:c>
      <x:c r="C1466" s="17" t="str">
        <x:v>W0087</x:v>
      </x:c>
      <x:c r="D1466" s="17" t="str">
        <x:v>C002</x:v>
      </x:c>
      <x:c r="E1466" s="17" t="str">
        <x:v>CampaignChat</x:v>
      </x:c>
      <x:c r="F1466" s="17" t="str">
        <x:v>Pro</x:v>
      </x:c>
      <x:c r="G1466" s="21" t="n">
        <x:v>26620</x:v>
      </x:c>
      <x:c r="H1466" s="21" t="n">
        <x:v>14173</x:v>
      </x:c>
      <x:c r="I1466" s="17" t="str">
        <x:v>First attempt</x:v>
      </x:c>
    </x:row>
    <x:row r="1467" ht="23" customHeight="1">
      <x:c r="A1467" s="17" t="str">
        <x:v>U01461</x:v>
      </x:c>
      <x:c r="B1467" s="18" t="n">
        <x:v>46279</x:v>
      </x:c>
      <x:c r="C1467" s="17" t="str">
        <x:v>W0087</x:v>
      </x:c>
      <x:c r="D1467" s="17" t="str">
        <x:v>C002</x:v>
      </x:c>
      <x:c r="E1467" s="17" t="str">
        <x:v>CampaignChat</x:v>
      </x:c>
      <x:c r="F1467" s="17" t="str">
        <x:v>Pro</x:v>
      </x:c>
      <x:c r="G1467" s="21" t="n">
        <x:v>23996</x:v>
      </x:c>
      <x:c r="H1467" s="21" t="n">
        <x:v>17084</x:v>
      </x:c>
      <x:c r="I1467" s="17" t="str">
        <x:v>Followup</x:v>
      </x:c>
    </x:row>
    <x:row r="1468" ht="23" customHeight="1">
      <x:c r="A1468" s="17" t="str">
        <x:v>U01462</x:v>
      </x:c>
      <x:c r="B1468" s="18" t="n">
        <x:v>46279</x:v>
      </x:c>
      <x:c r="C1468" s="17" t="str">
        <x:v>W0087</x:v>
      </x:c>
      <x:c r="D1468" s="17" t="str">
        <x:v>C002</x:v>
      </x:c>
      <x:c r="E1468" s="17" t="str">
        <x:v>CampaignChat</x:v>
      </x:c>
      <x:c r="F1468" s="17" t="str">
        <x:v>Pro</x:v>
      </x:c>
      <x:c r="G1468" s="21" t="n">
        <x:v>17853</x:v>
      </x:c>
      <x:c r="H1468" s="21" t="n">
        <x:v>6714</x:v>
      </x:c>
      <x:c r="I1468" s="17" t="str">
        <x:v>Followup</x:v>
      </x:c>
    </x:row>
    <x:row r="1469" ht="23" customHeight="1">
      <x:c r="A1469" s="17" t="str">
        <x:v>U01463</x:v>
      </x:c>
      <x:c r="B1469" s="18" t="n">
        <x:v>46279</x:v>
      </x:c>
      <x:c r="C1469" s="17" t="str">
        <x:v>W0087</x:v>
      </x:c>
      <x:c r="D1469" s="17" t="str">
        <x:v>C002</x:v>
      </x:c>
      <x:c r="E1469" s="17" t="str">
        <x:v>CampaignChat</x:v>
      </x:c>
      <x:c r="F1469" s="17" t="str">
        <x:v>Pro</x:v>
      </x:c>
      <x:c r="G1469" s="21" t="n">
        <x:v>15286</x:v>
      </x:c>
      <x:c r="H1469" s="21" t="n">
        <x:v>6424</x:v>
      </x:c>
      <x:c r="I1469" s="17" t="str">
        <x:v>Followup</x:v>
      </x:c>
    </x:row>
    <x:row r="1470" ht="23" customHeight="1">
      <x:c r="A1470" s="17" t="str">
        <x:v>U01464</x:v>
      </x:c>
      <x:c r="B1470" s="18" t="n">
        <x:v>46279</x:v>
      </x:c>
      <x:c r="C1470" s="17" t="str">
        <x:v>W0087</x:v>
      </x:c>
      <x:c r="D1470" s="17" t="str">
        <x:v>C002</x:v>
      </x:c>
      <x:c r="E1470" s="17" t="str">
        <x:v>CampaignChat</x:v>
      </x:c>
      <x:c r="F1470" s="17" t="str">
        <x:v>Pro</x:v>
      </x:c>
      <x:c r="G1470" s="21" t="n">
        <x:v>28299</x:v>
      </x:c>
      <x:c r="H1470" s="21" t="n">
        <x:v>18748</x:v>
      </x:c>
      <x:c r="I1470" s="17" t="str">
        <x:v>Correction</x:v>
      </x:c>
    </x:row>
    <x:row r="1471" ht="23" customHeight="1">
      <x:c r="A1471" s="17" t="str">
        <x:v>U01465</x:v>
      </x:c>
      <x:c r="B1471" s="18" t="n">
        <x:v>46279</x:v>
      </x:c>
      <x:c r="C1471" s="17" t="str">
        <x:v>W0087</x:v>
      </x:c>
      <x:c r="D1471" s="17" t="str">
        <x:v>C002</x:v>
      </x:c>
      <x:c r="E1471" s="17" t="str">
        <x:v>CampaignChat</x:v>
      </x:c>
      <x:c r="F1471" s="17" t="str">
        <x:v>Pro</x:v>
      </x:c>
      <x:c r="G1471" s="21" t="n">
        <x:v>22876</x:v>
      </x:c>
      <x:c r="H1471" s="21" t="n">
        <x:v>5680</x:v>
      </x:c>
      <x:c r="I1471" s="17" t="str">
        <x:v>Followup</x:v>
      </x:c>
    </x:row>
    <x:row r="1472" ht="23" customHeight="1">
      <x:c r="A1472" s="17" t="str">
        <x:v>U01466</x:v>
      </x:c>
      <x:c r="B1472" s="18" t="n">
        <x:v>46280</x:v>
      </x:c>
      <x:c r="C1472" s="17" t="str">
        <x:v>W0087</x:v>
      </x:c>
      <x:c r="D1472" s="17" t="str">
        <x:v>C002</x:v>
      </x:c>
      <x:c r="E1472" s="17" t="str">
        <x:v>CampaignChat</x:v>
      </x:c>
      <x:c r="F1472" s="17" t="str">
        <x:v>Pro</x:v>
      </x:c>
      <x:c r="G1472" s="21" t="n">
        <x:v>13755</x:v>
      </x:c>
      <x:c r="H1472" s="21" t="n">
        <x:v>9055</x:v>
      </x:c>
      <x:c r="I1472" s="17" t="str">
        <x:v>Followup</x:v>
      </x:c>
    </x:row>
    <x:row r="1473" ht="23" customHeight="1">
      <x:c r="A1473" s="17" t="str">
        <x:v>U01467</x:v>
      </x:c>
      <x:c r="B1473" s="18" t="n">
        <x:v>46280</x:v>
      </x:c>
      <x:c r="C1473" s="17" t="str">
        <x:v>W0087</x:v>
      </x:c>
      <x:c r="D1473" s="17" t="str">
        <x:v>C002</x:v>
      </x:c>
      <x:c r="E1473" s="17" t="str">
        <x:v>CampaignChat</x:v>
      </x:c>
      <x:c r="F1473" s="17" t="str">
        <x:v>Pro</x:v>
      </x:c>
      <x:c r="G1473" s="21" t="n">
        <x:v>16337</x:v>
      </x:c>
      <x:c r="H1473" s="21" t="n">
        <x:v>4893</x:v>
      </x:c>
      <x:c r="I1473" s="17" t="str">
        <x:v>Correction</x:v>
      </x:c>
    </x:row>
    <x:row r="1474" ht="23" customHeight="1">
      <x:c r="A1474" s="17" t="str">
        <x:v>U01468</x:v>
      </x:c>
      <x:c r="B1474" s="18" t="n">
        <x:v>46280</x:v>
      </x:c>
      <x:c r="C1474" s="17" t="str">
        <x:v>W0087</x:v>
      </x:c>
      <x:c r="D1474" s="17" t="str">
        <x:v>C002</x:v>
      </x:c>
      <x:c r="E1474" s="17" t="str">
        <x:v>CampaignChat</x:v>
      </x:c>
      <x:c r="F1474" s="17" t="str">
        <x:v>Pro</x:v>
      </x:c>
      <x:c r="G1474" s="21" t="n">
        <x:v>20781</x:v>
      </x:c>
      <x:c r="H1474" s="21" t="n">
        <x:v>16934</x:v>
      </x:c>
      <x:c r="I1474" s="17" t="str">
        <x:v>Correction</x:v>
      </x:c>
    </x:row>
    <x:row r="1475" ht="23" customHeight="1">
      <x:c r="A1475" s="17" t="str">
        <x:v>U01469</x:v>
      </x:c>
      <x:c r="B1475" s="18" t="n">
        <x:v>46280</x:v>
      </x:c>
      <x:c r="C1475" s="17" t="str">
        <x:v>W0087</x:v>
      </x:c>
      <x:c r="D1475" s="17" t="str">
        <x:v>C002</x:v>
      </x:c>
      <x:c r="E1475" s="17" t="str">
        <x:v>CampaignChat</x:v>
      </x:c>
      <x:c r="F1475" s="17" t="str">
        <x:v>Pro</x:v>
      </x:c>
      <x:c r="G1475" s="21" t="n">
        <x:v>14733</x:v>
      </x:c>
      <x:c r="H1475" s="21" t="n">
        <x:v>18269</x:v>
      </x:c>
      <x:c r="I1475" s="17" t="str">
        <x:v>Followup</x:v>
      </x:c>
    </x:row>
    <x:row r="1476" ht="23" customHeight="1">
      <x:c r="A1476" s="17" t="str">
        <x:v>U01470</x:v>
      </x:c>
      <x:c r="B1476" s="18" t="n">
        <x:v>46280</x:v>
      </x:c>
      <x:c r="C1476" s="17" t="str">
        <x:v>W0087</x:v>
      </x:c>
      <x:c r="D1476" s="17" t="str">
        <x:v>C002</x:v>
      </x:c>
      <x:c r="E1476" s="17" t="str">
        <x:v>CampaignChat</x:v>
      </x:c>
      <x:c r="F1476" s="17" t="str">
        <x:v>Pro</x:v>
      </x:c>
      <x:c r="G1476" s="21" t="n">
        <x:v>21952</x:v>
      </x:c>
      <x:c r="H1476" s="21" t="n">
        <x:v>19086</x:v>
      </x:c>
      <x:c r="I1476" s="17" t="str">
        <x:v>Correction</x:v>
      </x:c>
    </x:row>
    <x:row r="1477" ht="23" customHeight="1">
      <x:c r="A1477" s="17" t="str">
        <x:v>U01471</x:v>
      </x:c>
      <x:c r="B1477" s="18" t="n">
        <x:v>46281</x:v>
      </x:c>
      <x:c r="C1477" s="17" t="str">
        <x:v>W0087</x:v>
      </x:c>
      <x:c r="D1477" s="17" t="str">
        <x:v>C002</x:v>
      </x:c>
      <x:c r="E1477" s="17" t="str">
        <x:v>CampaignChat</x:v>
      </x:c>
      <x:c r="F1477" s="17" t="str">
        <x:v>Pro</x:v>
      </x:c>
      <x:c r="G1477" s="21" t="n">
        <x:v>17296</x:v>
      </x:c>
      <x:c r="H1477" s="21" t="n">
        <x:v>8635</x:v>
      </x:c>
      <x:c r="I1477" s="17" t="str">
        <x:v>Followup</x:v>
      </x:c>
    </x:row>
    <x:row r="1478" ht="23" customHeight="1">
      <x:c r="A1478" s="17" t="str">
        <x:v>U01472</x:v>
      </x:c>
      <x:c r="B1478" s="18" t="n">
        <x:v>46281</x:v>
      </x:c>
      <x:c r="C1478" s="17" t="str">
        <x:v>W0087</x:v>
      </x:c>
      <x:c r="D1478" s="17" t="str">
        <x:v>C002</x:v>
      </x:c>
      <x:c r="E1478" s="17" t="str">
        <x:v>CampaignChat</x:v>
      </x:c>
      <x:c r="F1478" s="17" t="str">
        <x:v>Pro</x:v>
      </x:c>
      <x:c r="G1478" s="21" t="n">
        <x:v>16607</x:v>
      </x:c>
      <x:c r="H1478" s="21" t="n">
        <x:v>8821</x:v>
      </x:c>
      <x:c r="I1478" s="17" t="str">
        <x:v>Followup</x:v>
      </x:c>
    </x:row>
    <x:row r="1479" ht="23" customHeight="1">
      <x:c r="A1479" s="17" t="str">
        <x:v>U01473</x:v>
      </x:c>
      <x:c r="B1479" s="18" t="n">
        <x:v>46281</x:v>
      </x:c>
      <x:c r="C1479" s="17" t="str">
        <x:v>W0087</x:v>
      </x:c>
      <x:c r="D1479" s="17" t="str">
        <x:v>C002</x:v>
      </x:c>
      <x:c r="E1479" s="17" t="str">
        <x:v>CampaignChat</x:v>
      </x:c>
      <x:c r="F1479" s="17" t="str">
        <x:v>Pro</x:v>
      </x:c>
      <x:c r="G1479" s="21" t="n">
        <x:v>23406</x:v>
      </x:c>
      <x:c r="H1479" s="21" t="n">
        <x:v>14151</x:v>
      </x:c>
      <x:c r="I1479" s="17" t="str">
        <x:v>Followup</x:v>
      </x:c>
    </x:row>
    <x:row r="1480" ht="23" customHeight="1">
      <x:c r="A1480" s="17" t="str">
        <x:v>U01474</x:v>
      </x:c>
      <x:c r="B1480" s="18" t="n">
        <x:v>46281</x:v>
      </x:c>
      <x:c r="C1480" s="17" t="str">
        <x:v>W0087</x:v>
      </x:c>
      <x:c r="D1480" s="17" t="str">
        <x:v>C002</x:v>
      </x:c>
      <x:c r="E1480" s="17" t="str">
        <x:v>CampaignChat</x:v>
      </x:c>
      <x:c r="F1480" s="17" t="str">
        <x:v>Pro</x:v>
      </x:c>
      <x:c r="G1480" s="21" t="n">
        <x:v>24174</x:v>
      </x:c>
      <x:c r="H1480" s="21" t="n">
        <x:v>5781</x:v>
      </x:c>
      <x:c r="I1480" s="17" t="str">
        <x:v>Followup</x:v>
      </x:c>
    </x:row>
    <x:row r="1481" ht="23" customHeight="1">
      <x:c r="A1481" s="17" t="str">
        <x:v>U01475</x:v>
      </x:c>
      <x:c r="B1481" s="18" t="n">
        <x:v>46281</x:v>
      </x:c>
      <x:c r="C1481" s="17" t="str">
        <x:v>W0087</x:v>
      </x:c>
      <x:c r="D1481" s="17" t="str">
        <x:v>C002</x:v>
      </x:c>
      <x:c r="E1481" s="17" t="str">
        <x:v>CampaignChat</x:v>
      </x:c>
      <x:c r="F1481" s="17" t="str">
        <x:v>Pro</x:v>
      </x:c>
      <x:c r="G1481" s="21" t="n">
        <x:v>23027</x:v>
      </x:c>
      <x:c r="H1481" s="21" t="n">
        <x:v>18170</x:v>
      </x:c>
      <x:c r="I1481" s="17" t="str">
        <x:v>Correction</x:v>
      </x:c>
    </x:row>
    <x:row r="1482" ht="23" customHeight="1">
      <x:c r="A1482" s="17" t="str">
        <x:v>U01476</x:v>
      </x:c>
      <x:c r="B1482" s="18" t="n">
        <x:v>46282</x:v>
      </x:c>
      <x:c r="C1482" s="17" t="str">
        <x:v>W0087</x:v>
      </x:c>
      <x:c r="D1482" s="17" t="str">
        <x:v>C002</x:v>
      </x:c>
      <x:c r="E1482" s="17" t="str">
        <x:v>CampaignChat</x:v>
      </x:c>
      <x:c r="F1482" s="17" t="str">
        <x:v>Pro</x:v>
      </x:c>
      <x:c r="G1482" s="21" t="n">
        <x:v>16705</x:v>
      </x:c>
      <x:c r="H1482" s="21" t="n">
        <x:v>12302</x:v>
      </x:c>
      <x:c r="I1482" s="17" t="str">
        <x:v>Correction</x:v>
      </x:c>
    </x:row>
    <x:row r="1483" ht="23" customHeight="1">
      <x:c r="A1483" s="17" t="str">
        <x:v>U01477</x:v>
      </x:c>
      <x:c r="B1483" s="18" t="n">
        <x:v>46282</x:v>
      </x:c>
      <x:c r="C1483" s="17" t="str">
        <x:v>W0087</x:v>
      </x:c>
      <x:c r="D1483" s="17" t="str">
        <x:v>C002</x:v>
      </x:c>
      <x:c r="E1483" s="17" t="str">
        <x:v>CampaignChat</x:v>
      </x:c>
      <x:c r="F1483" s="17" t="str">
        <x:v>Pro</x:v>
      </x:c>
      <x:c r="G1483" s="21" t="n">
        <x:v>12985</x:v>
      </x:c>
      <x:c r="H1483" s="21" t="n">
        <x:v>15870</x:v>
      </x:c>
      <x:c r="I1483" s="17" t="str">
        <x:v>Followup</x:v>
      </x:c>
    </x:row>
    <x:row r="1484" ht="23" customHeight="1">
      <x:c r="A1484" s="17" t="str">
        <x:v>U01478</x:v>
      </x:c>
      <x:c r="B1484" s="18" t="n">
        <x:v>46282</x:v>
      </x:c>
      <x:c r="C1484" s="17" t="str">
        <x:v>W0087</x:v>
      </x:c>
      <x:c r="D1484" s="17" t="str">
        <x:v>C002</x:v>
      </x:c>
      <x:c r="E1484" s="17" t="str">
        <x:v>CampaignChat</x:v>
      </x:c>
      <x:c r="F1484" s="17" t="str">
        <x:v>Pro</x:v>
      </x:c>
      <x:c r="G1484" s="21" t="n">
        <x:v>20808</x:v>
      </x:c>
      <x:c r="H1484" s="21" t="n">
        <x:v>11021</x:v>
      </x:c>
      <x:c r="I1484" s="17" t="str">
        <x:v>Correction</x:v>
      </x:c>
    </x:row>
    <x:row r="1485" ht="23" customHeight="1">
      <x:c r="A1485" s="17" t="str">
        <x:v>U01479</x:v>
      </x:c>
      <x:c r="B1485" s="18" t="n">
        <x:v>46282</x:v>
      </x:c>
      <x:c r="C1485" s="17" t="str">
        <x:v>W0087</x:v>
      </x:c>
      <x:c r="D1485" s="17" t="str">
        <x:v>C002</x:v>
      </x:c>
      <x:c r="E1485" s="17" t="str">
        <x:v>CampaignChat</x:v>
      </x:c>
      <x:c r="F1485" s="17" t="str">
        <x:v>Pro</x:v>
      </x:c>
      <x:c r="G1485" s="21" t="n">
        <x:v>25778</x:v>
      </x:c>
      <x:c r="H1485" s="21" t="n">
        <x:v>7217</x:v>
      </x:c>
      <x:c r="I1485" s="17" t="str">
        <x:v>Followup</x:v>
      </x:c>
    </x:row>
    <x:row r="1486" ht="23" customHeight="1">
      <x:c r="A1486" s="17" t="str">
        <x:v>U01480</x:v>
      </x:c>
      <x:c r="B1486" s="18" t="n">
        <x:v>46282</x:v>
      </x:c>
      <x:c r="C1486" s="17" t="str">
        <x:v>W0087</x:v>
      </x:c>
      <x:c r="D1486" s="17" t="str">
        <x:v>C002</x:v>
      </x:c>
      <x:c r="E1486" s="17" t="str">
        <x:v>CampaignChat</x:v>
      </x:c>
      <x:c r="F1486" s="17" t="str">
        <x:v>Pro</x:v>
      </x:c>
      <x:c r="G1486" s="21" t="n">
        <x:v>26296</x:v>
      </x:c>
      <x:c r="H1486" s="21" t="n">
        <x:v>7260</x:v>
      </x:c>
      <x:c r="I1486" s="17" t="str">
        <x:v>Correction</x:v>
      </x:c>
    </x:row>
    <x:row r="1487" ht="23" customHeight="1">
      <x:c r="A1487" s="17" t="str">
        <x:v>U01481</x:v>
      </x:c>
      <x:c r="B1487" s="18" t="n">
        <x:v>46282</x:v>
      </x:c>
      <x:c r="C1487" s="17" t="str">
        <x:v>W0090</x:v>
      </x:c>
      <x:c r="D1487" s="17" t="str">
        <x:v>C002</x:v>
      </x:c>
      <x:c r="E1487" s="17" t="str">
        <x:v>InsightDesk</x:v>
      </x:c>
      <x:c r="F1487" s="17" t="str">
        <x:v>Pro</x:v>
      </x:c>
      <x:c r="G1487" s="21" t="n">
        <x:v>18686</x:v>
      </x:c>
      <x:c r="H1487" s="21" t="n">
        <x:v>12458</x:v>
      </x:c>
      <x:c r="I1487" s="17" t="str">
        <x:v>First attempt</x:v>
      </x:c>
    </x:row>
    <x:row r="1488" ht="23" customHeight="1">
      <x:c r="A1488" s="17" t="str">
        <x:v>U01482</x:v>
      </x:c>
      <x:c r="B1488" s="18" t="n">
        <x:v>46282</x:v>
      </x:c>
      <x:c r="C1488" s="17" t="str">
        <x:v>W0090</x:v>
      </x:c>
      <x:c r="D1488" s="17" t="str">
        <x:v>C002</x:v>
      </x:c>
      <x:c r="E1488" s="17" t="str">
        <x:v>InsightDesk</x:v>
      </x:c>
      <x:c r="F1488" s="17" t="str">
        <x:v>Pro</x:v>
      </x:c>
      <x:c r="G1488" s="21" t="n">
        <x:v>19698</x:v>
      </x:c>
      <x:c r="H1488" s="21" t="n">
        <x:v>6115</x:v>
      </x:c>
      <x:c r="I1488" s="17" t="str">
        <x:v>Followup</x:v>
      </x:c>
    </x:row>
    <x:row r="1489" ht="23" customHeight="1">
      <x:c r="A1489" s="17" t="str">
        <x:v>U01483</x:v>
      </x:c>
      <x:c r="B1489" s="18" t="n">
        <x:v>46282</x:v>
      </x:c>
      <x:c r="C1489" s="17" t="str">
        <x:v>W0090</x:v>
      </x:c>
      <x:c r="D1489" s="17" t="str">
        <x:v>C002</x:v>
      </x:c>
      <x:c r="E1489" s="17" t="str">
        <x:v>InsightDesk</x:v>
      </x:c>
      <x:c r="F1489" s="17" t="str">
        <x:v>Pro</x:v>
      </x:c>
      <x:c r="G1489" s="21" t="n">
        <x:v>16386</x:v>
      </x:c>
      <x:c r="H1489" s="21" t="n">
        <x:v>13977</x:v>
      </x:c>
      <x:c r="I1489" s="17" t="str">
        <x:v>Correction</x:v>
      </x:c>
    </x:row>
    <x:row r="1490" ht="23" customHeight="1">
      <x:c r="A1490" s="17" t="str">
        <x:v>U01484</x:v>
      </x:c>
      <x:c r="B1490" s="18" t="n">
        <x:v>46282</x:v>
      </x:c>
      <x:c r="C1490" s="17" t="str">
        <x:v>W0090</x:v>
      </x:c>
      <x:c r="D1490" s="17" t="str">
        <x:v>C002</x:v>
      </x:c>
      <x:c r="E1490" s="17" t="str">
        <x:v>InsightDesk</x:v>
      </x:c>
      <x:c r="F1490" s="17" t="str">
        <x:v>Pro</x:v>
      </x:c>
      <x:c r="G1490" s="21" t="n">
        <x:v>11280</x:v>
      </x:c>
      <x:c r="H1490" s="21" t="n">
        <x:v>12159</x:v>
      </x:c>
      <x:c r="I1490" s="17" t="str">
        <x:v>Followup</x:v>
      </x:c>
    </x:row>
    <x:row r="1491" ht="23" customHeight="1">
      <x:c r="A1491" s="17" t="str">
        <x:v>U01485</x:v>
      </x:c>
      <x:c r="B1491" s="18" t="n">
        <x:v>46282</x:v>
      </x:c>
      <x:c r="C1491" s="17" t="str">
        <x:v>W0090</x:v>
      </x:c>
      <x:c r="D1491" s="17" t="str">
        <x:v>C002</x:v>
      </x:c>
      <x:c r="E1491" s="17" t="str">
        <x:v>InsightDesk</x:v>
      </x:c>
      <x:c r="F1491" s="17" t="str">
        <x:v>Pro</x:v>
      </x:c>
      <x:c r="G1491" s="21" t="n">
        <x:v>15036</x:v>
      </x:c>
      <x:c r="H1491" s="21" t="n">
        <x:v>9915</x:v>
      </x:c>
      <x:c r="I1491" s="17" t="str">
        <x:v>Followup</x:v>
      </x:c>
    </x:row>
    <x:row r="1492" ht="23" customHeight="1">
      <x:c r="A1492" s="17" t="str">
        <x:v>U01486</x:v>
      </x:c>
      <x:c r="B1492" s="18" t="n">
        <x:v>46283</x:v>
      </x:c>
      <x:c r="C1492" s="17" t="str">
        <x:v>W0090</x:v>
      </x:c>
      <x:c r="D1492" s="17" t="str">
        <x:v>C002</x:v>
      </x:c>
      <x:c r="E1492" s="17" t="str">
        <x:v>InsightDesk</x:v>
      </x:c>
      <x:c r="F1492" s="17" t="str">
        <x:v>Pro</x:v>
      </x:c>
      <x:c r="G1492" s="21" t="n">
        <x:v>14797</x:v>
      </x:c>
      <x:c r="H1492" s="21" t="n">
        <x:v>5581</x:v>
      </x:c>
      <x:c r="I1492" s="17" t="str">
        <x:v>Correction</x:v>
      </x:c>
    </x:row>
    <x:row r="1493" ht="23" customHeight="1">
      <x:c r="A1493" s="17" t="str">
        <x:v>U01487</x:v>
      </x:c>
      <x:c r="B1493" s="18" t="n">
        <x:v>46283</x:v>
      </x:c>
      <x:c r="C1493" s="17" t="str">
        <x:v>W0090</x:v>
      </x:c>
      <x:c r="D1493" s="17" t="str">
        <x:v>C002</x:v>
      </x:c>
      <x:c r="E1493" s="17" t="str">
        <x:v>InsightDesk</x:v>
      </x:c>
      <x:c r="F1493" s="17" t="str">
        <x:v>Pro</x:v>
      </x:c>
      <x:c r="G1493" s="21" t="n">
        <x:v>9504</x:v>
      </x:c>
      <x:c r="H1493" s="21" t="n">
        <x:v>8145</x:v>
      </x:c>
      <x:c r="I1493" s="17" t="str">
        <x:v>Followup</x:v>
      </x:c>
    </x:row>
    <x:row r="1494" ht="23" customHeight="1">
      <x:c r="A1494" s="17" t="str">
        <x:v>U01488</x:v>
      </x:c>
      <x:c r="B1494" s="18" t="n">
        <x:v>46283</x:v>
      </x:c>
      <x:c r="C1494" s="17" t="str">
        <x:v>W0090</x:v>
      </x:c>
      <x:c r="D1494" s="17" t="str">
        <x:v>C002</x:v>
      </x:c>
      <x:c r="E1494" s="17" t="str">
        <x:v>InsightDesk</x:v>
      </x:c>
      <x:c r="F1494" s="17" t="str">
        <x:v>Pro</x:v>
      </x:c>
      <x:c r="G1494" s="21" t="n">
        <x:v>8403</x:v>
      </x:c>
      <x:c r="H1494" s="21" t="n">
        <x:v>11087</x:v>
      </x:c>
      <x:c r="I1494" s="17" t="str">
        <x:v>Followup</x:v>
      </x:c>
    </x:row>
    <x:row r="1495" ht="23" customHeight="1">
      <x:c r="A1495" s="17" t="str">
        <x:v>U01489</x:v>
      </x:c>
      <x:c r="B1495" s="18" t="n">
        <x:v>46283</x:v>
      </x:c>
      <x:c r="C1495" s="17" t="str">
        <x:v>W0090</x:v>
      </x:c>
      <x:c r="D1495" s="17" t="str">
        <x:v>C002</x:v>
      </x:c>
      <x:c r="E1495" s="17" t="str">
        <x:v>InsightDesk</x:v>
      </x:c>
      <x:c r="F1495" s="17" t="str">
        <x:v>Pro</x:v>
      </x:c>
      <x:c r="G1495" s="21" t="n">
        <x:v>20005</x:v>
      </x:c>
      <x:c r="H1495" s="21" t="n">
        <x:v>17181</x:v>
      </x:c>
      <x:c r="I1495" s="17" t="str">
        <x:v>Followup</x:v>
      </x:c>
    </x:row>
    <x:row r="1496" ht="23" customHeight="1">
      <x:c r="A1496" s="17" t="str">
        <x:v>U01490</x:v>
      </x:c>
      <x:c r="B1496" s="18" t="n">
        <x:v>46286</x:v>
      </x:c>
      <x:c r="C1496" s="17" t="str">
        <x:v>W0090</x:v>
      </x:c>
      <x:c r="D1496" s="17" t="str">
        <x:v>C002</x:v>
      </x:c>
      <x:c r="E1496" s="17" t="str">
        <x:v>InsightDesk</x:v>
      </x:c>
      <x:c r="F1496" s="17" t="str">
        <x:v>Pro</x:v>
      </x:c>
      <x:c r="G1496" s="21" t="n">
        <x:v>19120</x:v>
      </x:c>
      <x:c r="H1496" s="21" t="n">
        <x:v>16260</x:v>
      </x:c>
      <x:c r="I1496" s="17" t="str">
        <x:v>Correction</x:v>
      </x:c>
    </x:row>
    <x:row r="1497" ht="23" customHeight="1">
      <x:c r="A1497" s="17" t="str">
        <x:v>U01491</x:v>
      </x:c>
      <x:c r="B1497" s="18" t="n">
        <x:v>46286</x:v>
      </x:c>
      <x:c r="C1497" s="17" t="str">
        <x:v>W0090</x:v>
      </x:c>
      <x:c r="D1497" s="17" t="str">
        <x:v>C002</x:v>
      </x:c>
      <x:c r="E1497" s="17" t="str">
        <x:v>InsightDesk</x:v>
      </x:c>
      <x:c r="F1497" s="17" t="str">
        <x:v>Pro</x:v>
      </x:c>
      <x:c r="G1497" s="21" t="n">
        <x:v>14398</x:v>
      </x:c>
      <x:c r="H1497" s="21" t="n">
        <x:v>11071</x:v>
      </x:c>
      <x:c r="I1497" s="17" t="str">
        <x:v>Followup</x:v>
      </x:c>
    </x:row>
    <x:row r="1498" ht="23" customHeight="1">
      <x:c r="A1498" s="17" t="str">
        <x:v>U01492</x:v>
      </x:c>
      <x:c r="B1498" s="18" t="n">
        <x:v>46286</x:v>
      </x:c>
      <x:c r="C1498" s="17" t="str">
        <x:v>W0090</x:v>
      </x:c>
      <x:c r="D1498" s="17" t="str">
        <x:v>C002</x:v>
      </x:c>
      <x:c r="E1498" s="17" t="str">
        <x:v>InsightDesk</x:v>
      </x:c>
      <x:c r="F1498" s="17" t="str">
        <x:v>Pro</x:v>
      </x:c>
      <x:c r="G1498" s="21" t="n">
        <x:v>15357</x:v>
      </x:c>
      <x:c r="H1498" s="21" t="n">
        <x:v>8435</x:v>
      </x:c>
      <x:c r="I1498" s="17" t="str">
        <x:v>Followup</x:v>
      </x:c>
    </x:row>
    <x:row r="1499" ht="23" customHeight="1">
      <x:c r="A1499" s="17" t="str">
        <x:v>U01493</x:v>
      </x:c>
      <x:c r="B1499" s="18" t="n">
        <x:v>46286</x:v>
      </x:c>
      <x:c r="C1499" s="17" t="str">
        <x:v>W0090</x:v>
      </x:c>
      <x:c r="D1499" s="17" t="str">
        <x:v>C002</x:v>
      </x:c>
      <x:c r="E1499" s="17" t="str">
        <x:v>InsightDesk</x:v>
      </x:c>
      <x:c r="F1499" s="17" t="str">
        <x:v>Pro</x:v>
      </x:c>
      <x:c r="G1499" s="21" t="n">
        <x:v>9128</x:v>
      </x:c>
      <x:c r="H1499" s="21" t="n">
        <x:v>17042</x:v>
      </x:c>
      <x:c r="I1499" s="17" t="str">
        <x:v>Followup</x:v>
      </x:c>
    </x:row>
    <x:row r="1500" ht="23" customHeight="1">
      <x:c r="A1500" s="17" t="str">
        <x:v>U01494</x:v>
      </x:c>
      <x:c r="B1500" s="18" t="n">
        <x:v>46286</x:v>
      </x:c>
      <x:c r="C1500" s="17" t="str">
        <x:v>W0090</x:v>
      </x:c>
      <x:c r="D1500" s="17" t="str">
        <x:v>C002</x:v>
      </x:c>
      <x:c r="E1500" s="17" t="str">
        <x:v>InsightDesk</x:v>
      </x:c>
      <x:c r="F1500" s="17" t="str">
        <x:v>Pro</x:v>
      </x:c>
      <x:c r="G1500" s="21" t="n">
        <x:v>13248</x:v>
      </x:c>
      <x:c r="H1500" s="21" t="n">
        <x:v>11957</x:v>
      </x:c>
      <x:c r="I1500" s="17" t="str">
        <x:v>Correction</x:v>
      </x:c>
    </x:row>
    <x:row r="1501" ht="23" customHeight="1">
      <x:c r="A1501" s="17" t="str">
        <x:v>U01495</x:v>
      </x:c>
      <x:c r="B1501" s="18" t="n">
        <x:v>46287</x:v>
      </x:c>
      <x:c r="C1501" s="17" t="str">
        <x:v>W0090</x:v>
      </x:c>
      <x:c r="D1501" s="17" t="str">
        <x:v>C002</x:v>
      </x:c>
      <x:c r="E1501" s="17" t="str">
        <x:v>InsightDesk</x:v>
      </x:c>
      <x:c r="F1501" s="17" t="str">
        <x:v>Pro</x:v>
      </x:c>
      <x:c r="G1501" s="21" t="n">
        <x:v>20029</x:v>
      </x:c>
      <x:c r="H1501" s="21" t="n">
        <x:v>8599</x:v>
      </x:c>
      <x:c r="I1501" s="17" t="str">
        <x:v>Correction</x:v>
      </x:c>
    </x:row>
    <x:row r="1502" ht="23" customHeight="1">
      <x:c r="A1502" s="17" t="str">
        <x:v>U01496</x:v>
      </x:c>
      <x:c r="B1502" s="18" t="n">
        <x:v>46287</x:v>
      </x:c>
      <x:c r="C1502" s="17" t="str">
        <x:v>W0090</x:v>
      </x:c>
      <x:c r="D1502" s="17" t="str">
        <x:v>C002</x:v>
      </x:c>
      <x:c r="E1502" s="17" t="str">
        <x:v>InsightDesk</x:v>
      </x:c>
      <x:c r="F1502" s="17" t="str">
        <x:v>Pro</x:v>
      </x:c>
      <x:c r="G1502" s="21" t="n">
        <x:v>18049</x:v>
      </x:c>
      <x:c r="H1502" s="21" t="n">
        <x:v>19370</x:v>
      </x:c>
      <x:c r="I1502" s="17" t="str">
        <x:v>Correction</x:v>
      </x:c>
    </x:row>
    <x:row r="1503" ht="23" customHeight="1">
      <x:c r="A1503" s="17" t="str">
        <x:v>U01497</x:v>
      </x:c>
      <x:c r="B1503" s="18" t="n">
        <x:v>46287</x:v>
      </x:c>
      <x:c r="C1503" s="17" t="str">
        <x:v>W0090</x:v>
      </x:c>
      <x:c r="D1503" s="17" t="str">
        <x:v>C002</x:v>
      </x:c>
      <x:c r="E1503" s="17" t="str">
        <x:v>InsightDesk</x:v>
      </x:c>
      <x:c r="F1503" s="17" t="str">
        <x:v>Pro</x:v>
      </x:c>
      <x:c r="G1503" s="21" t="n">
        <x:v>13129</x:v>
      </x:c>
      <x:c r="H1503" s="21" t="n">
        <x:v>10832</x:v>
      </x:c>
      <x:c r="I1503" s="17" t="str">
        <x:v>Correction</x:v>
      </x:c>
    </x:row>
    <x:row r="1504" ht="23" customHeight="1">
      <x:c r="A1504" s="17" t="str">
        <x:v>U01498</x:v>
      </x:c>
      <x:c r="B1504" s="18" t="n">
        <x:v>46287</x:v>
      </x:c>
      <x:c r="C1504" s="17" t="str">
        <x:v>W0090</x:v>
      </x:c>
      <x:c r="D1504" s="17" t="str">
        <x:v>C002</x:v>
      </x:c>
      <x:c r="E1504" s="17" t="str">
        <x:v>InsightDesk</x:v>
      </x:c>
      <x:c r="F1504" s="17" t="str">
        <x:v>Pro</x:v>
      </x:c>
      <x:c r="G1504" s="21" t="n">
        <x:v>21636</x:v>
      </x:c>
      <x:c r="H1504" s="21" t="n">
        <x:v>7509</x:v>
      </x:c>
      <x:c r="I1504" s="17" t="str">
        <x:v>Followup</x:v>
      </x:c>
    </x:row>
    <x:row r="1505" ht="23" customHeight="1">
      <x:c r="A1505" s="17" t="str">
        <x:v>U01499</x:v>
      </x:c>
      <x:c r="B1505" s="18" t="n">
        <x:v>46281</x:v>
      </x:c>
      <x:c r="C1505" s="17" t="str">
        <x:v>W0095</x:v>
      </x:c>
      <x:c r="D1505" s="17" t="str">
        <x:v>C002</x:v>
      </x:c>
      <x:c r="E1505" s="17" t="str">
        <x:v>CampaignChat</x:v>
      </x:c>
      <x:c r="F1505" s="17" t="str">
        <x:v>Pro</x:v>
      </x:c>
      <x:c r="G1505" s="21" t="n">
        <x:v>26209</x:v>
      </x:c>
      <x:c r="H1505" s="21" t="n">
        <x:v>3735</x:v>
      </x:c>
      <x:c r="I1505" s="17" t="str">
        <x:v>First attempt</x:v>
      </x:c>
    </x:row>
    <x:row r="1506" ht="23" customHeight="1">
      <x:c r="A1506" s="17" t="str">
        <x:v>U01500</x:v>
      </x:c>
      <x:c r="B1506" s="18" t="n">
        <x:v>46281</x:v>
      </x:c>
      <x:c r="C1506" s="17" t="str">
        <x:v>W0095</x:v>
      </x:c>
      <x:c r="D1506" s="17" t="str">
        <x:v>C002</x:v>
      </x:c>
      <x:c r="E1506" s="17" t="str">
        <x:v>CampaignChat</x:v>
      </x:c>
      <x:c r="F1506" s="17" t="str">
        <x:v>Pro</x:v>
      </x:c>
      <x:c r="G1506" s="21" t="n">
        <x:v>21150</x:v>
      </x:c>
      <x:c r="H1506" s="21" t="n">
        <x:v>5386</x:v>
      </x:c>
      <x:c r="I1506" s="17" t="str">
        <x:v>Followup</x:v>
      </x:c>
    </x:row>
    <x:row r="1507" ht="23" customHeight="1">
      <x:c r="A1507" s="17" t="str">
        <x:v>U01501</x:v>
      </x:c>
      <x:c r="B1507" s="18" t="n">
        <x:v>46281</x:v>
      </x:c>
      <x:c r="C1507" s="17" t="str">
        <x:v>W0095</x:v>
      </x:c>
      <x:c r="D1507" s="17" t="str">
        <x:v>C002</x:v>
      </x:c>
      <x:c r="E1507" s="17" t="str">
        <x:v>CampaignChat</x:v>
      </x:c>
      <x:c r="F1507" s="17" t="str">
        <x:v>Pro</x:v>
      </x:c>
      <x:c r="G1507" s="21" t="n">
        <x:v>34329</x:v>
      </x:c>
      <x:c r="H1507" s="21" t="n">
        <x:v>7890</x:v>
      </x:c>
      <x:c r="I1507" s="17" t="str">
        <x:v>Correction</x:v>
      </x:c>
    </x:row>
    <x:row r="1508" ht="23" customHeight="1">
      <x:c r="A1508" s="17" t="str">
        <x:v>U01502</x:v>
      </x:c>
      <x:c r="B1508" s="18" t="n">
        <x:v>46281</x:v>
      </x:c>
      <x:c r="C1508" s="17" t="str">
        <x:v>W0095</x:v>
      </x:c>
      <x:c r="D1508" s="17" t="str">
        <x:v>C002</x:v>
      </x:c>
      <x:c r="E1508" s="17" t="str">
        <x:v>CampaignChat</x:v>
      </x:c>
      <x:c r="F1508" s="17" t="str">
        <x:v>Pro</x:v>
      </x:c>
      <x:c r="G1508" s="21" t="n">
        <x:v>28932</x:v>
      </x:c>
      <x:c r="H1508" s="21" t="n">
        <x:v>8146</x:v>
      </x:c>
      <x:c r="I1508" s="17" t="str">
        <x:v>Correction</x:v>
      </x:c>
    </x:row>
    <x:row r="1509" ht="23" customHeight="1">
      <x:c r="A1509" s="17" t="str">
        <x:v>U01503</x:v>
      </x:c>
      <x:c r="B1509" s="18" t="n">
        <x:v>46282</x:v>
      </x:c>
      <x:c r="C1509" s="17" t="str">
        <x:v>W0095</x:v>
      </x:c>
      <x:c r="D1509" s="17" t="str">
        <x:v>C002</x:v>
      </x:c>
      <x:c r="E1509" s="17" t="str">
        <x:v>CampaignChat</x:v>
      </x:c>
      <x:c r="F1509" s="17" t="str">
        <x:v>Pro</x:v>
      </x:c>
      <x:c r="G1509" s="21" t="n">
        <x:v>19729</x:v>
      </x:c>
      <x:c r="H1509" s="21" t="n">
        <x:v>5154</x:v>
      </x:c>
      <x:c r="I1509" s="17" t="str">
        <x:v>Correction</x:v>
      </x:c>
    </x:row>
    <x:row r="1510" ht="23" customHeight="1">
      <x:c r="A1510" s="17" t="str">
        <x:v>U01504</x:v>
      </x:c>
      <x:c r="B1510" s="18" t="n">
        <x:v>46282</x:v>
      </x:c>
      <x:c r="C1510" s="17" t="str">
        <x:v>W0095</x:v>
      </x:c>
      <x:c r="D1510" s="17" t="str">
        <x:v>C002</x:v>
      </x:c>
      <x:c r="E1510" s="17" t="str">
        <x:v>CampaignChat</x:v>
      </x:c>
      <x:c r="F1510" s="17" t="str">
        <x:v>Pro</x:v>
      </x:c>
      <x:c r="G1510" s="21" t="n">
        <x:v>20021</x:v>
      </x:c>
      <x:c r="H1510" s="21" t="n">
        <x:v>6067</x:v>
      </x:c>
      <x:c r="I1510" s="17" t="str">
        <x:v>Followup</x:v>
      </x:c>
    </x:row>
    <x:row r="1511" ht="23" customHeight="1">
      <x:c r="A1511" s="17" t="str">
        <x:v>U01505</x:v>
      </x:c>
      <x:c r="B1511" s="18" t="n">
        <x:v>46282</x:v>
      </x:c>
      <x:c r="C1511" s="17" t="str">
        <x:v>W0095</x:v>
      </x:c>
      <x:c r="D1511" s="17" t="str">
        <x:v>C002</x:v>
      </x:c>
      <x:c r="E1511" s="17" t="str">
        <x:v>CampaignChat</x:v>
      </x:c>
      <x:c r="F1511" s="17" t="str">
        <x:v>Pro</x:v>
      </x:c>
      <x:c r="G1511" s="21" t="n">
        <x:v>15493</x:v>
      </x:c>
      <x:c r="H1511" s="21" t="n">
        <x:v>7944</x:v>
      </x:c>
      <x:c r="I1511" s="17" t="str">
        <x:v>Correction</x:v>
      </x:c>
    </x:row>
    <x:row r="1512" ht="23" customHeight="1">
      <x:c r="A1512" s="17" t="str">
        <x:v>U01506</x:v>
      </x:c>
      <x:c r="B1512" s="18" t="n">
        <x:v>46282</x:v>
      </x:c>
      <x:c r="C1512" s="17" t="str">
        <x:v>W0095</x:v>
      </x:c>
      <x:c r="D1512" s="17" t="str">
        <x:v>C002</x:v>
      </x:c>
      <x:c r="E1512" s="17" t="str">
        <x:v>CampaignChat</x:v>
      </x:c>
      <x:c r="F1512" s="17" t="str">
        <x:v>Pro</x:v>
      </x:c>
      <x:c r="G1512" s="21" t="n">
        <x:v>28524</x:v>
      </x:c>
      <x:c r="H1512" s="21" t="n">
        <x:v>4589</x:v>
      </x:c>
      <x:c r="I1512" s="17" t="str">
        <x:v>Correction</x:v>
      </x:c>
    </x:row>
    <x:row r="1513" ht="23" customHeight="1">
      <x:c r="A1513" s="17" t="str">
        <x:v>U01507</x:v>
      </x:c>
      <x:c r="B1513" s="18" t="n">
        <x:v>46283</x:v>
      </x:c>
      <x:c r="C1513" s="17" t="str">
        <x:v>W0095</x:v>
      </x:c>
      <x:c r="D1513" s="17" t="str">
        <x:v>C002</x:v>
      </x:c>
      <x:c r="E1513" s="17" t="str">
        <x:v>CampaignChat</x:v>
      </x:c>
      <x:c r="F1513" s="17" t="str">
        <x:v>Pro</x:v>
      </x:c>
      <x:c r="G1513" s="21" t="n">
        <x:v>25985</x:v>
      </x:c>
      <x:c r="H1513" s="21" t="n">
        <x:v>6093</x:v>
      </x:c>
      <x:c r="I1513" s="17" t="str">
        <x:v>Correction</x:v>
      </x:c>
    </x:row>
    <x:row r="1514" ht="23" customHeight="1">
      <x:c r="A1514" s="17" t="str">
        <x:v>U01508</x:v>
      </x:c>
      <x:c r="B1514" s="18" t="n">
        <x:v>46283</x:v>
      </x:c>
      <x:c r="C1514" s="17" t="str">
        <x:v>W0095</x:v>
      </x:c>
      <x:c r="D1514" s="17" t="str">
        <x:v>C002</x:v>
      </x:c>
      <x:c r="E1514" s="17" t="str">
        <x:v>CampaignChat</x:v>
      </x:c>
      <x:c r="F1514" s="17" t="str">
        <x:v>Pro</x:v>
      </x:c>
      <x:c r="G1514" s="21" t="n">
        <x:v>19318</x:v>
      </x:c>
      <x:c r="H1514" s="21" t="n">
        <x:v>10709</x:v>
      </x:c>
      <x:c r="I1514" s="17" t="str">
        <x:v>Followup</x:v>
      </x:c>
    </x:row>
    <x:row r="1515" ht="23" customHeight="1">
      <x:c r="A1515" s="17" t="str">
        <x:v>U01509</x:v>
      </x:c>
      <x:c r="B1515" s="18" t="n">
        <x:v>46283</x:v>
      </x:c>
      <x:c r="C1515" s="17" t="str">
        <x:v>W0095</x:v>
      </x:c>
      <x:c r="D1515" s="17" t="str">
        <x:v>C002</x:v>
      </x:c>
      <x:c r="E1515" s="17" t="str">
        <x:v>CampaignChat</x:v>
      </x:c>
      <x:c r="F1515" s="17" t="str">
        <x:v>Pro</x:v>
      </x:c>
      <x:c r="G1515" s="21" t="n">
        <x:v>23337</x:v>
      </x:c>
      <x:c r="H1515" s="21" t="n">
        <x:v>10066</x:v>
      </x:c>
      <x:c r="I1515" s="17" t="str">
        <x:v>Followup</x:v>
      </x:c>
    </x:row>
    <x:row r="1516" ht="23" customHeight="1">
      <x:c r="A1516" s="17" t="str">
        <x:v>U01510</x:v>
      </x:c>
      <x:c r="B1516" s="18" t="n">
        <x:v>46283</x:v>
      </x:c>
      <x:c r="C1516" s="17" t="str">
        <x:v>W0095</x:v>
      </x:c>
      <x:c r="D1516" s="17" t="str">
        <x:v>C002</x:v>
      </x:c>
      <x:c r="E1516" s="17" t="str">
        <x:v>CampaignChat</x:v>
      </x:c>
      <x:c r="F1516" s="17" t="str">
        <x:v>Pro</x:v>
      </x:c>
      <x:c r="G1516" s="21" t="n">
        <x:v>22173</x:v>
      </x:c>
      <x:c r="H1516" s="21" t="n">
        <x:v>4333</x:v>
      </x:c>
      <x:c r="I1516" s="17" t="str">
        <x:v>Followup</x:v>
      </x:c>
    </x:row>
    <x:row r="1517" ht="23" customHeight="1">
      <x:c r="A1517" s="17" t="str">
        <x:v>U01511</x:v>
      </x:c>
      <x:c r="B1517" s="18" t="n">
        <x:v>46286</x:v>
      </x:c>
      <x:c r="C1517" s="17" t="str">
        <x:v>W0095</x:v>
      </x:c>
      <x:c r="D1517" s="17" t="str">
        <x:v>C002</x:v>
      </x:c>
      <x:c r="E1517" s="17" t="str">
        <x:v>CampaignChat</x:v>
      </x:c>
      <x:c r="F1517" s="17" t="str">
        <x:v>Pro</x:v>
      </x:c>
      <x:c r="G1517" s="21" t="n">
        <x:v>34006</x:v>
      </x:c>
      <x:c r="H1517" s="21" t="n">
        <x:v>7584</x:v>
      </x:c>
      <x:c r="I1517" s="17" t="str">
        <x:v>Correction</x:v>
      </x:c>
    </x:row>
    <x:row r="1518" ht="23" customHeight="1">
      <x:c r="A1518" s="17" t="str">
        <x:v>U01512</x:v>
      </x:c>
      <x:c r="B1518" s="18" t="n">
        <x:v>46286</x:v>
      </x:c>
      <x:c r="C1518" s="17" t="str">
        <x:v>W0095</x:v>
      </x:c>
      <x:c r="D1518" s="17" t="str">
        <x:v>C002</x:v>
      </x:c>
      <x:c r="E1518" s="17" t="str">
        <x:v>CampaignChat</x:v>
      </x:c>
      <x:c r="F1518" s="17" t="str">
        <x:v>Pro</x:v>
      </x:c>
      <x:c r="G1518" s="21" t="n">
        <x:v>27001</x:v>
      </x:c>
      <x:c r="H1518" s="21" t="n">
        <x:v>12606</x:v>
      </x:c>
      <x:c r="I1518" s="17" t="str">
        <x:v>Correction</x:v>
      </x:c>
    </x:row>
    <x:row r="1519" ht="23" customHeight="1">
      <x:c r="A1519" s="17" t="str">
        <x:v>U01513</x:v>
      </x:c>
      <x:c r="B1519" s="18" t="n">
        <x:v>46286</x:v>
      </x:c>
      <x:c r="C1519" s="17" t="str">
        <x:v>W0095</x:v>
      </x:c>
      <x:c r="D1519" s="17" t="str">
        <x:v>C002</x:v>
      </x:c>
      <x:c r="E1519" s="17" t="str">
        <x:v>CampaignChat</x:v>
      </x:c>
      <x:c r="F1519" s="17" t="str">
        <x:v>Pro</x:v>
      </x:c>
      <x:c r="G1519" s="21" t="n">
        <x:v>34190</x:v>
      </x:c>
      <x:c r="H1519" s="21" t="n">
        <x:v>12016</x:v>
      </x:c>
      <x:c r="I1519" s="17" t="str">
        <x:v>Followup</x:v>
      </x:c>
    </x:row>
    <x:row r="1520" ht="23" customHeight="1">
      <x:c r="A1520" s="17" t="str">
        <x:v>U01514</x:v>
      </x:c>
      <x:c r="B1520" s="18" t="n">
        <x:v>46290</x:v>
      </x:c>
      <x:c r="C1520" s="17" t="str">
        <x:v>W0096</x:v>
      </x:c>
      <x:c r="D1520" s="17" t="str">
        <x:v>C002</x:v>
      </x:c>
      <x:c r="E1520" s="17" t="str">
        <x:v>DataFlow</x:v>
      </x:c>
      <x:c r="F1520" s="17" t="str">
        <x:v>Pro</x:v>
      </x:c>
      <x:c r="G1520" s="21" t="n">
        <x:v>14650</x:v>
      </x:c>
      <x:c r="H1520" s="21" t="n">
        <x:v>8579</x:v>
      </x:c>
      <x:c r="I1520" s="17" t="str">
        <x:v>First attempt</x:v>
      </x:c>
    </x:row>
    <x:row r="1521" ht="23" customHeight="1">
      <x:c r="A1521" s="17" t="str">
        <x:v>U01515</x:v>
      </x:c>
      <x:c r="B1521" s="18" t="n">
        <x:v>46290</x:v>
      </x:c>
      <x:c r="C1521" s="17" t="str">
        <x:v>W0096</x:v>
      </x:c>
      <x:c r="D1521" s="17" t="str">
        <x:v>C002</x:v>
      </x:c>
      <x:c r="E1521" s="17" t="str">
        <x:v>DataFlow</x:v>
      </x:c>
      <x:c r="F1521" s="17" t="str">
        <x:v>Pro</x:v>
      </x:c>
      <x:c r="G1521" s="21" t="n">
        <x:v>18704</x:v>
      </x:c>
      <x:c r="H1521" s="21" t="n">
        <x:v>8972</x:v>
      </x:c>
      <x:c r="I1521" s="17" t="str">
        <x:v>Correction</x:v>
      </x:c>
    </x:row>
    <x:row r="1522" ht="23" customHeight="1">
      <x:c r="A1522" s="17" t="str">
        <x:v>U01516</x:v>
      </x:c>
      <x:c r="B1522" s="18" t="n">
        <x:v>46290</x:v>
      </x:c>
      <x:c r="C1522" s="17" t="str">
        <x:v>W0096</x:v>
      </x:c>
      <x:c r="D1522" s="17" t="str">
        <x:v>C002</x:v>
      </x:c>
      <x:c r="E1522" s="17" t="str">
        <x:v>DataFlow</x:v>
      </x:c>
      <x:c r="F1522" s="17" t="str">
        <x:v>Pro</x:v>
      </x:c>
      <x:c r="G1522" s="21" t="n">
        <x:v>27005</x:v>
      </x:c>
      <x:c r="H1522" s="21" t="n">
        <x:v>5846</x:v>
      </x:c>
      <x:c r="I1522" s="17" t="str">
        <x:v>Followup</x:v>
      </x:c>
    </x:row>
    <x:row r="1523" ht="23" customHeight="1">
      <x:c r="A1523" s="17" t="str">
        <x:v>U01517</x:v>
      </x:c>
      <x:c r="B1523" s="18" t="n">
        <x:v>46290</x:v>
      </x:c>
      <x:c r="C1523" s="17" t="str">
        <x:v>W0096</x:v>
      </x:c>
      <x:c r="D1523" s="17" t="str">
        <x:v>C002</x:v>
      </x:c>
      <x:c r="E1523" s="17" t="str">
        <x:v>DataFlow</x:v>
      </x:c>
      <x:c r="F1523" s="17" t="str">
        <x:v>Pro</x:v>
      </x:c>
      <x:c r="G1523" s="21" t="n">
        <x:v>16756</x:v>
      </x:c>
      <x:c r="H1523" s="21" t="n">
        <x:v>7094</x:v>
      </x:c>
      <x:c r="I1523" s="17" t="str">
        <x:v>Followup</x:v>
      </x:c>
    </x:row>
    <x:row r="1524" ht="23" customHeight="1">
      <x:c r="A1524" s="17" t="str">
        <x:v>U01518</x:v>
      </x:c>
      <x:c r="B1524" s="18" t="n">
        <x:v>46293</x:v>
      </x:c>
      <x:c r="C1524" s="17" t="str">
        <x:v>W0096</x:v>
      </x:c>
      <x:c r="D1524" s="17" t="str">
        <x:v>C002</x:v>
      </x:c>
      <x:c r="E1524" s="17" t="str">
        <x:v>DataFlow</x:v>
      </x:c>
      <x:c r="F1524" s="17" t="str">
        <x:v>Pro</x:v>
      </x:c>
      <x:c r="G1524" s="21" t="n">
        <x:v>25724</x:v>
      </x:c>
      <x:c r="H1524" s="21" t="n">
        <x:v>4289</x:v>
      </x:c>
      <x:c r="I1524" s="17" t="str">
        <x:v>Correction</x:v>
      </x:c>
    </x:row>
    <x:row r="1525" ht="23" customHeight="1">
      <x:c r="A1525" s="17" t="str">
        <x:v>U01519</x:v>
      </x:c>
      <x:c r="B1525" s="18" t="n">
        <x:v>46293</x:v>
      </x:c>
      <x:c r="C1525" s="17" t="str">
        <x:v>W0096</x:v>
      </x:c>
      <x:c r="D1525" s="17" t="str">
        <x:v>C002</x:v>
      </x:c>
      <x:c r="E1525" s="17" t="str">
        <x:v>DataFlow</x:v>
      </x:c>
      <x:c r="F1525" s="17" t="str">
        <x:v>Pro</x:v>
      </x:c>
      <x:c r="G1525" s="21" t="n">
        <x:v>14627</x:v>
      </x:c>
      <x:c r="H1525" s="21" t="n">
        <x:v>7131</x:v>
      </x:c>
      <x:c r="I1525" s="17" t="str">
        <x:v>Followup</x:v>
      </x:c>
    </x:row>
    <x:row r="1526" ht="23" customHeight="1">
      <x:c r="A1526" s="17" t="str">
        <x:v>U01520</x:v>
      </x:c>
      <x:c r="B1526" s="18" t="n">
        <x:v>46293</x:v>
      </x:c>
      <x:c r="C1526" s="17" t="str">
        <x:v>W0096</x:v>
      </x:c>
      <x:c r="D1526" s="17" t="str">
        <x:v>C002</x:v>
      </x:c>
      <x:c r="E1526" s="17" t="str">
        <x:v>DataFlow</x:v>
      </x:c>
      <x:c r="F1526" s="17" t="str">
        <x:v>Pro</x:v>
      </x:c>
      <x:c r="G1526" s="21" t="n">
        <x:v>10699</x:v>
      </x:c>
      <x:c r="H1526" s="21" t="n">
        <x:v>5165</x:v>
      </x:c>
      <x:c r="I1526" s="17" t="str">
        <x:v>Correction</x:v>
      </x:c>
    </x:row>
    <x:row r="1527" ht="23" customHeight="1">
      <x:c r="A1527" s="17" t="str">
        <x:v>U01521</x:v>
      </x:c>
      <x:c r="B1527" s="18" t="n">
        <x:v>46294</x:v>
      </x:c>
      <x:c r="C1527" s="17" t="str">
        <x:v>W0096</x:v>
      </x:c>
      <x:c r="D1527" s="17" t="str">
        <x:v>C002</x:v>
      </x:c>
      <x:c r="E1527" s="17" t="str">
        <x:v>DataFlow</x:v>
      </x:c>
      <x:c r="F1527" s="17" t="str">
        <x:v>Pro</x:v>
      </x:c>
      <x:c r="G1527" s="21" t="n">
        <x:v>20382</x:v>
      </x:c>
      <x:c r="H1527" s="21" t="n">
        <x:v>7993</x:v>
      </x:c>
      <x:c r="I1527" s="17" t="str">
        <x:v>Followup</x:v>
      </x:c>
    </x:row>
    <x:row r="1528" ht="23" customHeight="1">
      <x:c r="A1528" s="17" t="str">
        <x:v>U01522</x:v>
      </x:c>
      <x:c r="B1528" s="18" t="n">
        <x:v>46294</x:v>
      </x:c>
      <x:c r="C1528" s="17" t="str">
        <x:v>W0096</x:v>
      </x:c>
      <x:c r="D1528" s="17" t="str">
        <x:v>C002</x:v>
      </x:c>
      <x:c r="E1528" s="17" t="str">
        <x:v>DataFlow</x:v>
      </x:c>
      <x:c r="F1528" s="17" t="str">
        <x:v>Pro</x:v>
      </x:c>
      <x:c r="G1528" s="21" t="n">
        <x:v>18080</x:v>
      </x:c>
      <x:c r="H1528" s="21" t="n">
        <x:v>4698</x:v>
      </x:c>
      <x:c r="I1528" s="17" t="str">
        <x:v>Followup</x:v>
      </x:c>
    </x:row>
    <x:row r="1529" ht="23" customHeight="1">
      <x:c r="A1529" s="17" t="str">
        <x:v>U01523</x:v>
      </x:c>
      <x:c r="B1529" s="18" t="n">
        <x:v>46294</x:v>
      </x:c>
      <x:c r="C1529" s="17" t="str">
        <x:v>W0096</x:v>
      </x:c>
      <x:c r="D1529" s="17" t="str">
        <x:v>C002</x:v>
      </x:c>
      <x:c r="E1529" s="17" t="str">
        <x:v>DataFlow</x:v>
      </x:c>
      <x:c r="F1529" s="17" t="str">
        <x:v>Pro</x:v>
      </x:c>
      <x:c r="G1529" s="21" t="n">
        <x:v>12891</x:v>
      </x:c>
      <x:c r="H1529" s="21" t="n">
        <x:v>5392</x:v>
      </x:c>
      <x:c r="I1529" s="17" t="str">
        <x:v>Correction</x:v>
      </x:c>
    </x:row>
    <x:row r="1530" ht="23" customHeight="1">
      <x:c r="A1530" s="17" t="str">
        <x:v>U01524</x:v>
      </x:c>
      <x:c r="B1530" s="18" t="n">
        <x:v>46294</x:v>
      </x:c>
      <x:c r="C1530" s="17" t="str">
        <x:v>W0096</x:v>
      </x:c>
      <x:c r="D1530" s="17" t="str">
        <x:v>C002</x:v>
      </x:c>
      <x:c r="E1530" s="17" t="str">
        <x:v>DataFlow</x:v>
      </x:c>
      <x:c r="F1530" s="17" t="str">
        <x:v>Pro</x:v>
      </x:c>
      <x:c r="G1530" s="21" t="n">
        <x:v>13126</x:v>
      </x:c>
      <x:c r="H1530" s="21" t="n">
        <x:v>3257</x:v>
      </x:c>
      <x:c r="I1530" s="17" t="str">
        <x:v>Correction</x:v>
      </x:c>
    </x:row>
    <x:row r="1531" ht="23" customHeight="1">
      <x:c r="A1531" s="17" t="str">
        <x:v>U01525</x:v>
      </x:c>
      <x:c r="B1531" s="18" t="n">
        <x:v>46295</x:v>
      </x:c>
      <x:c r="C1531" s="17" t="str">
        <x:v>W0096</x:v>
      </x:c>
      <x:c r="D1531" s="17" t="str">
        <x:v>C002</x:v>
      </x:c>
      <x:c r="E1531" s="17" t="str">
        <x:v>DataFlow</x:v>
      </x:c>
      <x:c r="F1531" s="17" t="str">
        <x:v>Pro</x:v>
      </x:c>
      <x:c r="G1531" s="21" t="n">
        <x:v>17041</x:v>
      </x:c>
      <x:c r="H1531" s="21" t="n">
        <x:v>3373</x:v>
      </x:c>
      <x:c r="I1531" s="17" t="str">
        <x:v>Correction</x:v>
      </x:c>
    </x:row>
    <x:row r="1532" ht="23" customHeight="1">
      <x:c r="A1532" s="17" t="str">
        <x:v>U01526</x:v>
      </x:c>
      <x:c r="B1532" s="18" t="n">
        <x:v>46295</x:v>
      </x:c>
      <x:c r="C1532" s="17" t="str">
        <x:v>W0096</x:v>
      </x:c>
      <x:c r="D1532" s="17" t="str">
        <x:v>C002</x:v>
      </x:c>
      <x:c r="E1532" s="17" t="str">
        <x:v>DataFlow</x:v>
      </x:c>
      <x:c r="F1532" s="17" t="str">
        <x:v>Pro</x:v>
      </x:c>
      <x:c r="G1532" s="21" t="n">
        <x:v>12346</x:v>
      </x:c>
      <x:c r="H1532" s="21" t="n">
        <x:v>9406</x:v>
      </x:c>
      <x:c r="I1532" s="17" t="str">
        <x:v>Followup</x:v>
      </x:c>
    </x:row>
    <x:row r="1533" ht="23" customHeight="1">
      <x:c r="A1533" s="17" t="str">
        <x:v>U01527</x:v>
      </x:c>
      <x:c r="B1533" s="18" t="n">
        <x:v>46295</x:v>
      </x:c>
      <x:c r="C1533" s="17" t="str">
        <x:v>W0096</x:v>
      </x:c>
      <x:c r="D1533" s="17" t="str">
        <x:v>C002</x:v>
      </x:c>
      <x:c r="E1533" s="17" t="str">
        <x:v>DataFlow</x:v>
      </x:c>
      <x:c r="F1533" s="17" t="str">
        <x:v>Pro</x:v>
      </x:c>
      <x:c r="G1533" s="21" t="n">
        <x:v>10684</x:v>
      </x:c>
      <x:c r="H1533" s="21" t="n">
        <x:v>8963</x:v>
      </x:c>
      <x:c r="I1533" s="17" t="str">
        <x:v>Correction</x:v>
      </x:c>
    </x:row>
    <x:row r="1534" ht="23" customHeight="1">
      <x:c r="A1534" s="17" t="str">
        <x:v>U01528</x:v>
      </x:c>
      <x:c r="B1534" s="18" t="n">
        <x:v>46275</x:v>
      </x:c>
      <x:c r="C1534" s="17" t="str">
        <x:v>W0097</x:v>
      </x:c>
      <x:c r="D1534" s="17" t="str">
        <x:v>C002</x:v>
      </x:c>
      <x:c r="E1534" s="17" t="str">
        <x:v>DataFlow</x:v>
      </x:c>
      <x:c r="F1534" s="17" t="str">
        <x:v>Pro</x:v>
      </x:c>
      <x:c r="G1534" s="21" t="n">
        <x:v>32333</x:v>
      </x:c>
      <x:c r="H1534" s="21" t="n">
        <x:v>6010</x:v>
      </x:c>
      <x:c r="I1534" s="17" t="str">
        <x:v>First attempt</x:v>
      </x:c>
    </x:row>
    <x:row r="1535" ht="23" customHeight="1">
      <x:c r="A1535" s="17" t="str">
        <x:v>U01529</x:v>
      </x:c>
      <x:c r="B1535" s="18" t="n">
        <x:v>46275</x:v>
      </x:c>
      <x:c r="C1535" s="17" t="str">
        <x:v>W0097</x:v>
      </x:c>
      <x:c r="D1535" s="17" t="str">
        <x:v>C002</x:v>
      </x:c>
      <x:c r="E1535" s="17" t="str">
        <x:v>DataFlow</x:v>
      </x:c>
      <x:c r="F1535" s="17" t="str">
        <x:v>Pro</x:v>
      </x:c>
      <x:c r="G1535" s="21" t="n">
        <x:v>16183</x:v>
      </x:c>
      <x:c r="H1535" s="21" t="n">
        <x:v>6404</x:v>
      </x:c>
      <x:c r="I1535" s="17" t="str">
        <x:v>Correction</x:v>
      </x:c>
    </x:row>
    <x:row r="1536" ht="23" customHeight="1">
      <x:c r="A1536" s="17" t="str">
        <x:v>U01530</x:v>
      </x:c>
      <x:c r="B1536" s="18" t="n">
        <x:v>46275</x:v>
      </x:c>
      <x:c r="C1536" s="17" t="str">
        <x:v>W0097</x:v>
      </x:c>
      <x:c r="D1536" s="17" t="str">
        <x:v>C002</x:v>
      </x:c>
      <x:c r="E1536" s="17" t="str">
        <x:v>DataFlow</x:v>
      </x:c>
      <x:c r="F1536" s="17" t="str">
        <x:v>Pro</x:v>
      </x:c>
      <x:c r="G1536" s="21" t="n">
        <x:v>32828</x:v>
      </x:c>
      <x:c r="H1536" s="21" t="n">
        <x:v>4925</x:v>
      </x:c>
      <x:c r="I1536" s="17" t="str">
        <x:v>Correction</x:v>
      </x:c>
    </x:row>
    <x:row r="1537" ht="23" customHeight="1">
      <x:c r="A1537" s="17" t="str">
        <x:v>U01531</x:v>
      </x:c>
      <x:c r="B1537" s="18" t="n">
        <x:v>46275</x:v>
      </x:c>
      <x:c r="C1537" s="17" t="str">
        <x:v>W0097</x:v>
      </x:c>
      <x:c r="D1537" s="17" t="str">
        <x:v>C002</x:v>
      </x:c>
      <x:c r="E1537" s="17" t="str">
        <x:v>DataFlow</x:v>
      </x:c>
      <x:c r="F1537" s="17" t="str">
        <x:v>Pro</x:v>
      </x:c>
      <x:c r="G1537" s="21" t="n">
        <x:v>34479</x:v>
      </x:c>
      <x:c r="H1537" s="21" t="n">
        <x:v>3662</x:v>
      </x:c>
      <x:c r="I1537" s="17" t="str">
        <x:v>Followup</x:v>
      </x:c>
    </x:row>
    <x:row r="1538" ht="23" customHeight="1">
      <x:c r="A1538" s="17" t="str">
        <x:v>U01532</x:v>
      </x:c>
      <x:c r="B1538" s="18" t="n">
        <x:v>46275</x:v>
      </x:c>
      <x:c r="C1538" s="17" t="str">
        <x:v>W0097</x:v>
      </x:c>
      <x:c r="D1538" s="17" t="str">
        <x:v>C002</x:v>
      </x:c>
      <x:c r="E1538" s="17" t="str">
        <x:v>DataFlow</x:v>
      </x:c>
      <x:c r="F1538" s="17" t="str">
        <x:v>Pro</x:v>
      </x:c>
      <x:c r="G1538" s="21" t="n">
        <x:v>27911</x:v>
      </x:c>
      <x:c r="H1538" s="21" t="n">
        <x:v>7907</x:v>
      </x:c>
      <x:c r="I1538" s="17" t="str">
        <x:v>Correction</x:v>
      </x:c>
    </x:row>
    <x:row r="1539" ht="23" customHeight="1">
      <x:c r="A1539" s="17" t="str">
        <x:v>U01533</x:v>
      </x:c>
      <x:c r="B1539" s="18" t="n">
        <x:v>46275</x:v>
      </x:c>
      <x:c r="C1539" s="17" t="str">
        <x:v>W0097</x:v>
      </x:c>
      <x:c r="D1539" s="17" t="str">
        <x:v>C002</x:v>
      </x:c>
      <x:c r="E1539" s="17" t="str">
        <x:v>DataFlow</x:v>
      </x:c>
      <x:c r="F1539" s="17" t="str">
        <x:v>Pro</x:v>
      </x:c>
      <x:c r="G1539" s="21" t="n">
        <x:v>30164</x:v>
      </x:c>
      <x:c r="H1539" s="21" t="n">
        <x:v>3789</x:v>
      </x:c>
      <x:c r="I1539" s="17" t="str">
        <x:v>Followup</x:v>
      </x:c>
    </x:row>
    <x:row r="1540" ht="23" customHeight="1">
      <x:c r="A1540" s="17" t="str">
        <x:v>U01534</x:v>
      </x:c>
      <x:c r="B1540" s="18" t="n">
        <x:v>46276</x:v>
      </x:c>
      <x:c r="C1540" s="17" t="str">
        <x:v>W0097</x:v>
      </x:c>
      <x:c r="D1540" s="17" t="str">
        <x:v>C002</x:v>
      </x:c>
      <x:c r="E1540" s="17" t="str">
        <x:v>DataFlow</x:v>
      </x:c>
      <x:c r="F1540" s="17" t="str">
        <x:v>Pro</x:v>
      </x:c>
      <x:c r="G1540" s="21" t="n">
        <x:v>17928</x:v>
      </x:c>
      <x:c r="H1540" s="21" t="n">
        <x:v>12236</x:v>
      </x:c>
      <x:c r="I1540" s="17" t="str">
        <x:v>Followup</x:v>
      </x:c>
    </x:row>
    <x:row r="1541" ht="23" customHeight="1">
      <x:c r="A1541" s="17" t="str">
        <x:v>U01535</x:v>
      </x:c>
      <x:c r="B1541" s="18" t="n">
        <x:v>46276</x:v>
      </x:c>
      <x:c r="C1541" s="17" t="str">
        <x:v>W0097</x:v>
      </x:c>
      <x:c r="D1541" s="17" t="str">
        <x:v>C002</x:v>
      </x:c>
      <x:c r="E1541" s="17" t="str">
        <x:v>DataFlow</x:v>
      </x:c>
      <x:c r="F1541" s="17" t="str">
        <x:v>Pro</x:v>
      </x:c>
      <x:c r="G1541" s="21" t="n">
        <x:v>31230</x:v>
      </x:c>
      <x:c r="H1541" s="21" t="n">
        <x:v>12114</x:v>
      </x:c>
      <x:c r="I1541" s="17" t="str">
        <x:v>Followup</x:v>
      </x:c>
    </x:row>
    <x:row r="1542" ht="23" customHeight="1">
      <x:c r="A1542" s="17" t="str">
        <x:v>U01536</x:v>
      </x:c>
      <x:c r="B1542" s="18" t="n">
        <x:v>46276</x:v>
      </x:c>
      <x:c r="C1542" s="17" t="str">
        <x:v>W0097</x:v>
      </x:c>
      <x:c r="D1542" s="17" t="str">
        <x:v>C002</x:v>
      </x:c>
      <x:c r="E1542" s="17" t="str">
        <x:v>DataFlow</x:v>
      </x:c>
      <x:c r="F1542" s="17" t="str">
        <x:v>Pro</x:v>
      </x:c>
      <x:c r="G1542" s="21" t="n">
        <x:v>27463</x:v>
      </x:c>
      <x:c r="H1542" s="21" t="n">
        <x:v>12808</x:v>
      </x:c>
      <x:c r="I1542" s="17" t="str">
        <x:v>Correction</x:v>
      </x:c>
    </x:row>
    <x:row r="1543" ht="23" customHeight="1">
      <x:c r="A1543" s="17" t="str">
        <x:v>U01537</x:v>
      </x:c>
      <x:c r="B1543" s="18" t="n">
        <x:v>46276</x:v>
      </x:c>
      <x:c r="C1543" s="17" t="str">
        <x:v>W0097</x:v>
      </x:c>
      <x:c r="D1543" s="17" t="str">
        <x:v>C002</x:v>
      </x:c>
      <x:c r="E1543" s="17" t="str">
        <x:v>DataFlow</x:v>
      </x:c>
      <x:c r="F1543" s="17" t="str">
        <x:v>Pro</x:v>
      </x:c>
      <x:c r="G1543" s="21" t="n">
        <x:v>27210</x:v>
      </x:c>
      <x:c r="H1543" s="21" t="n">
        <x:v>3527</x:v>
      </x:c>
      <x:c r="I1543" s="17" t="str">
        <x:v>Followup</x:v>
      </x:c>
    </x:row>
    <x:row r="1544" ht="23" customHeight="1">
      <x:c r="A1544" s="17" t="str">
        <x:v>U01538</x:v>
      </x:c>
      <x:c r="B1544" s="18" t="n">
        <x:v>46276</x:v>
      </x:c>
      <x:c r="C1544" s="17" t="str">
        <x:v>W0097</x:v>
      </x:c>
      <x:c r="D1544" s="17" t="str">
        <x:v>C002</x:v>
      </x:c>
      <x:c r="E1544" s="17" t="str">
        <x:v>DataFlow</x:v>
      </x:c>
      <x:c r="F1544" s="17" t="str">
        <x:v>Pro</x:v>
      </x:c>
      <x:c r="G1544" s="21" t="n">
        <x:v>29416</x:v>
      </x:c>
      <x:c r="H1544" s="21" t="n">
        <x:v>9385</x:v>
      </x:c>
      <x:c r="I1544" s="17" t="str">
        <x:v>Followup</x:v>
      </x:c>
    </x:row>
    <x:row r="1545" ht="23" customHeight="1">
      <x:c r="A1545" s="17" t="str">
        <x:v>U01539</x:v>
      </x:c>
      <x:c r="B1545" s="18" t="n">
        <x:v>46276</x:v>
      </x:c>
      <x:c r="C1545" s="17" t="str">
        <x:v>W0097</x:v>
      </x:c>
      <x:c r="D1545" s="17" t="str">
        <x:v>C002</x:v>
      </x:c>
      <x:c r="E1545" s="17" t="str">
        <x:v>DataFlow</x:v>
      </x:c>
      <x:c r="F1545" s="17" t="str">
        <x:v>Pro</x:v>
      </x:c>
      <x:c r="G1545" s="21" t="n">
        <x:v>17947</x:v>
      </x:c>
      <x:c r="H1545" s="21" t="n">
        <x:v>13100</x:v>
      </x:c>
      <x:c r="I1545" s="17" t="str">
        <x:v>Correction</x:v>
      </x:c>
    </x:row>
    <x:row r="1546" ht="23" customHeight="1">
      <x:c r="A1546" s="17" t="str">
        <x:v>U01540</x:v>
      </x:c>
      <x:c r="B1546" s="18" t="n">
        <x:v>46279</x:v>
      </x:c>
      <x:c r="C1546" s="17" t="str">
        <x:v>W0097</x:v>
      </x:c>
      <x:c r="D1546" s="17" t="str">
        <x:v>C002</x:v>
      </x:c>
      <x:c r="E1546" s="17" t="str">
        <x:v>DataFlow</x:v>
      </x:c>
      <x:c r="F1546" s="17" t="str">
        <x:v>Pro</x:v>
      </x:c>
      <x:c r="G1546" s="21" t="n">
        <x:v>31127</x:v>
      </x:c>
      <x:c r="H1546" s="21" t="n">
        <x:v>5972</x:v>
      </x:c>
      <x:c r="I1546" s="17" t="str">
        <x:v>Correction</x:v>
      </x:c>
    </x:row>
    <x:row r="1547" ht="23" customHeight="1">
      <x:c r="A1547" s="17" t="str">
        <x:v>U01541</x:v>
      </x:c>
      <x:c r="B1547" s="18" t="n">
        <x:v>46279</x:v>
      </x:c>
      <x:c r="C1547" s="17" t="str">
        <x:v>W0097</x:v>
      </x:c>
      <x:c r="D1547" s="17" t="str">
        <x:v>C002</x:v>
      </x:c>
      <x:c r="E1547" s="17" t="str">
        <x:v>DataFlow</x:v>
      </x:c>
      <x:c r="F1547" s="17" t="str">
        <x:v>Pro</x:v>
      </x:c>
      <x:c r="G1547" s="21" t="n">
        <x:v>37561</x:v>
      </x:c>
      <x:c r="H1547" s="21" t="n">
        <x:v>11189</x:v>
      </x:c>
      <x:c r="I1547" s="17" t="str">
        <x:v>Correction</x:v>
      </x:c>
    </x:row>
    <x:row r="1548" ht="23" customHeight="1">
      <x:c r="A1548" s="17" t="str">
        <x:v>U01542</x:v>
      </x:c>
      <x:c r="B1548" s="18" t="n">
        <x:v>46279</x:v>
      </x:c>
      <x:c r="C1548" s="17" t="str">
        <x:v>W0097</x:v>
      </x:c>
      <x:c r="D1548" s="17" t="str">
        <x:v>C002</x:v>
      </x:c>
      <x:c r="E1548" s="17" t="str">
        <x:v>DataFlow</x:v>
      </x:c>
      <x:c r="F1548" s="17" t="str">
        <x:v>Pro</x:v>
      </x:c>
      <x:c r="G1548" s="21" t="n">
        <x:v>24955</x:v>
      </x:c>
      <x:c r="H1548" s="21" t="n">
        <x:v>7366</x:v>
      </x:c>
      <x:c r="I1548" s="17" t="str">
        <x:v>Followup</x:v>
      </x:c>
    </x:row>
    <x:row r="1549" ht="23" customHeight="1">
      <x:c r="A1549" s="17" t="str">
        <x:v>U01543</x:v>
      </x:c>
      <x:c r="B1549" s="18" t="n">
        <x:v>46279</x:v>
      </x:c>
      <x:c r="C1549" s="17" t="str">
        <x:v>W0097</x:v>
      </x:c>
      <x:c r="D1549" s="17" t="str">
        <x:v>C002</x:v>
      </x:c>
      <x:c r="E1549" s="17" t="str">
        <x:v>DataFlow</x:v>
      </x:c>
      <x:c r="F1549" s="17" t="str">
        <x:v>Pro</x:v>
      </x:c>
      <x:c r="G1549" s="21" t="n">
        <x:v>29263</x:v>
      </x:c>
      <x:c r="H1549" s="21" t="n">
        <x:v>4657</x:v>
      </x:c>
      <x:c r="I1549" s="17" t="str">
        <x:v>Followup</x:v>
      </x:c>
    </x:row>
    <x:row r="1550" ht="23" customHeight="1">
      <x:c r="A1550" s="17" t="str">
        <x:v>U01544</x:v>
      </x:c>
      <x:c r="B1550" s="18" t="n">
        <x:v>46279</x:v>
      </x:c>
      <x:c r="C1550" s="17" t="str">
        <x:v>W0097</x:v>
      </x:c>
      <x:c r="D1550" s="17" t="str">
        <x:v>C002</x:v>
      </x:c>
      <x:c r="E1550" s="17" t="str">
        <x:v>DataFlow</x:v>
      </x:c>
      <x:c r="F1550" s="17" t="str">
        <x:v>Pro</x:v>
      </x:c>
      <x:c r="G1550" s="21" t="n">
        <x:v>23862</x:v>
      </x:c>
      <x:c r="H1550" s="21" t="n">
        <x:v>3878</x:v>
      </x:c>
      <x:c r="I1550" s="17" t="str">
        <x:v>Followup</x:v>
      </x:c>
    </x:row>
    <x:row r="1551" ht="23" customHeight="1">
      <x:c r="A1551" s="17" t="str">
        <x:v>U01545</x:v>
      </x:c>
      <x:c r="B1551" s="18" t="n">
        <x:v>46279</x:v>
      </x:c>
      <x:c r="C1551" s="17" t="str">
        <x:v>W0097</x:v>
      </x:c>
      <x:c r="D1551" s="17" t="str">
        <x:v>C002</x:v>
      </x:c>
      <x:c r="E1551" s="17" t="str">
        <x:v>DataFlow</x:v>
      </x:c>
      <x:c r="F1551" s="17" t="str">
        <x:v>Pro</x:v>
      </x:c>
      <x:c r="G1551" s="21" t="n">
        <x:v>29305</x:v>
      </x:c>
      <x:c r="H1551" s="21" t="n">
        <x:v>12836</x:v>
      </x:c>
      <x:c r="I1551" s="17" t="str">
        <x:v>Followup</x:v>
      </x:c>
    </x:row>
    <x:row r="1552" ht="23" customHeight="1">
      <x:c r="A1552" s="17" t="str">
        <x:v>U01546</x:v>
      </x:c>
      <x:c r="B1552" s="18" t="n">
        <x:v>46280</x:v>
      </x:c>
      <x:c r="C1552" s="17" t="str">
        <x:v>W0097</x:v>
      </x:c>
      <x:c r="D1552" s="17" t="str">
        <x:v>C002</x:v>
      </x:c>
      <x:c r="E1552" s="17" t="str">
        <x:v>DataFlow</x:v>
      </x:c>
      <x:c r="F1552" s="17" t="str">
        <x:v>Pro</x:v>
      </x:c>
      <x:c r="G1552" s="21" t="n">
        <x:v>16705</x:v>
      </x:c>
      <x:c r="H1552" s="21" t="n">
        <x:v>11187</x:v>
      </x:c>
      <x:c r="I1552" s="17" t="str">
        <x:v>Correction</x:v>
      </x:c>
    </x:row>
    <x:row r="1553" ht="23" customHeight="1">
      <x:c r="A1553" s="17" t="str">
        <x:v>U01547</x:v>
      </x:c>
      <x:c r="B1553" s="18" t="n">
        <x:v>46280</x:v>
      </x:c>
      <x:c r="C1553" s="17" t="str">
        <x:v>W0097</x:v>
      </x:c>
      <x:c r="D1553" s="17" t="str">
        <x:v>C002</x:v>
      </x:c>
      <x:c r="E1553" s="17" t="str">
        <x:v>DataFlow</x:v>
      </x:c>
      <x:c r="F1553" s="17" t="str">
        <x:v>Pro</x:v>
      </x:c>
      <x:c r="G1553" s="21" t="n">
        <x:v>23639</x:v>
      </x:c>
      <x:c r="H1553" s="21" t="n">
        <x:v>10348</x:v>
      </x:c>
      <x:c r="I1553" s="17" t="str">
        <x:v>Followup</x:v>
      </x:c>
    </x:row>
    <x:row r="1554" ht="23" customHeight="1">
      <x:c r="A1554" s="17" t="str">
        <x:v>U01548</x:v>
      </x:c>
      <x:c r="B1554" s="18" t="n">
        <x:v>46280</x:v>
      </x:c>
      <x:c r="C1554" s="17" t="str">
        <x:v>W0097</x:v>
      </x:c>
      <x:c r="D1554" s="17" t="str">
        <x:v>C002</x:v>
      </x:c>
      <x:c r="E1554" s="17" t="str">
        <x:v>DataFlow</x:v>
      </x:c>
      <x:c r="F1554" s="17" t="str">
        <x:v>Pro</x:v>
      </x:c>
      <x:c r="G1554" s="21" t="n">
        <x:v>16843</x:v>
      </x:c>
      <x:c r="H1554" s="21" t="n">
        <x:v>5774</x:v>
      </x:c>
      <x:c r="I1554" s="17" t="str">
        <x:v>Correction</x:v>
      </x:c>
    </x:row>
    <x:row r="1555" ht="23" customHeight="1">
      <x:c r="A1555" s="17" t="str">
        <x:v>U01549</x:v>
      </x:c>
      <x:c r="B1555" s="18" t="n">
        <x:v>46280</x:v>
      </x:c>
      <x:c r="C1555" s="17" t="str">
        <x:v>W0097</x:v>
      </x:c>
      <x:c r="D1555" s="17" t="str">
        <x:v>C002</x:v>
      </x:c>
      <x:c r="E1555" s="17" t="str">
        <x:v>DataFlow</x:v>
      </x:c>
      <x:c r="F1555" s="17" t="str">
        <x:v>Pro</x:v>
      </x:c>
      <x:c r="G1555" s="21" t="n">
        <x:v>20074</x:v>
      </x:c>
      <x:c r="H1555" s="21" t="n">
        <x:v>12183</x:v>
      </x:c>
      <x:c r="I1555" s="17" t="str">
        <x:v>Followup</x:v>
      </x:c>
    </x:row>
    <x:row r="1556" ht="23" customHeight="1">
      <x:c r="A1556" s="17" t="str">
        <x:v>U01550</x:v>
      </x:c>
      <x:c r="B1556" s="18" t="n">
        <x:v>46280</x:v>
      </x:c>
      <x:c r="C1556" s="17" t="str">
        <x:v>W0097</x:v>
      </x:c>
      <x:c r="D1556" s="17" t="str">
        <x:v>C002</x:v>
      </x:c>
      <x:c r="E1556" s="17" t="str">
        <x:v>DataFlow</x:v>
      </x:c>
      <x:c r="F1556" s="17" t="str">
        <x:v>Pro</x:v>
      </x:c>
      <x:c r="G1556" s="21" t="n">
        <x:v>37006</x:v>
      </x:c>
      <x:c r="H1556" s="21" t="n">
        <x:v>7666</x:v>
      </x:c>
      <x:c r="I1556" s="17" t="str">
        <x:v>Followup</x:v>
      </x:c>
    </x:row>
    <x:row r="1557" ht="23" customHeight="1">
      <x:c r="A1557" s="17" t="str">
        <x:v>U01551</x:v>
      </x:c>
      <x:c r="B1557" s="18" t="n">
        <x:v>46286</x:v>
      </x:c>
      <x:c r="C1557" s="17" t="str">
        <x:v>W0098</x:v>
      </x:c>
      <x:c r="D1557" s="17" t="str">
        <x:v>C002</x:v>
      </x:c>
      <x:c r="E1557" s="17" t="str">
        <x:v>InsightDesk</x:v>
      </x:c>
      <x:c r="F1557" s="17" t="str">
        <x:v>Pro</x:v>
      </x:c>
      <x:c r="G1557" s="21" t="n">
        <x:v>18757</x:v>
      </x:c>
      <x:c r="H1557" s="21" t="n">
        <x:v>5699</x:v>
      </x:c>
      <x:c r="I1557" s="17" t="str">
        <x:v>First attempt</x:v>
      </x:c>
    </x:row>
    <x:row r="1558" ht="23" customHeight="1">
      <x:c r="A1558" s="17" t="str">
        <x:v>U01552</x:v>
      </x:c>
      <x:c r="B1558" s="18" t="n">
        <x:v>46286</x:v>
      </x:c>
      <x:c r="C1558" s="17" t="str">
        <x:v>W0098</x:v>
      </x:c>
      <x:c r="D1558" s="17" t="str">
        <x:v>C002</x:v>
      </x:c>
      <x:c r="E1558" s="17" t="str">
        <x:v>InsightDesk</x:v>
      </x:c>
      <x:c r="F1558" s="17" t="str">
        <x:v>Pro</x:v>
      </x:c>
      <x:c r="G1558" s="21" t="n">
        <x:v>30840</x:v>
      </x:c>
      <x:c r="H1558" s="21" t="n">
        <x:v>8752</x:v>
      </x:c>
      <x:c r="I1558" s="17" t="str">
        <x:v>Followup</x:v>
      </x:c>
    </x:row>
    <x:row r="1559" ht="23" customHeight="1">
      <x:c r="A1559" s="17" t="str">
        <x:v>U01553</x:v>
      </x:c>
      <x:c r="B1559" s="18" t="n">
        <x:v>46286</x:v>
      </x:c>
      <x:c r="C1559" s="17" t="str">
        <x:v>W0098</x:v>
      </x:c>
      <x:c r="D1559" s="17" t="str">
        <x:v>C002</x:v>
      </x:c>
      <x:c r="E1559" s="17" t="str">
        <x:v>InsightDesk</x:v>
      </x:c>
      <x:c r="F1559" s="17" t="str">
        <x:v>Pro</x:v>
      </x:c>
      <x:c r="G1559" s="21" t="n">
        <x:v>31209</x:v>
      </x:c>
      <x:c r="H1559" s="21" t="n">
        <x:v>7989</x:v>
      </x:c>
      <x:c r="I1559" s="17" t="str">
        <x:v>Followup</x:v>
      </x:c>
    </x:row>
    <x:row r="1560" ht="23" customHeight="1">
      <x:c r="A1560" s="17" t="str">
        <x:v>U01554</x:v>
      </x:c>
      <x:c r="B1560" s="18" t="n">
        <x:v>46286</x:v>
      </x:c>
      <x:c r="C1560" s="17" t="str">
        <x:v>W0098</x:v>
      </x:c>
      <x:c r="D1560" s="17" t="str">
        <x:v>C002</x:v>
      </x:c>
      <x:c r="E1560" s="17" t="str">
        <x:v>InsightDesk</x:v>
      </x:c>
      <x:c r="F1560" s="17" t="str">
        <x:v>Pro</x:v>
      </x:c>
      <x:c r="G1560" s="21" t="n">
        <x:v>22722</x:v>
      </x:c>
      <x:c r="H1560" s="21" t="n">
        <x:v>10483</x:v>
      </x:c>
      <x:c r="I1560" s="17" t="str">
        <x:v>Followup</x:v>
      </x:c>
    </x:row>
    <x:row r="1561" ht="23" customHeight="1">
      <x:c r="A1561" s="17" t="str">
        <x:v>U01555</x:v>
      </x:c>
      <x:c r="B1561" s="18" t="n">
        <x:v>46286</x:v>
      </x:c>
      <x:c r="C1561" s="17" t="str">
        <x:v>W0098</x:v>
      </x:c>
      <x:c r="D1561" s="17" t="str">
        <x:v>C002</x:v>
      </x:c>
      <x:c r="E1561" s="17" t="str">
        <x:v>InsightDesk</x:v>
      </x:c>
      <x:c r="F1561" s="17" t="str">
        <x:v>Pro</x:v>
      </x:c>
      <x:c r="G1561" s="21" t="n">
        <x:v>15998</x:v>
      </x:c>
      <x:c r="H1561" s="21" t="n">
        <x:v>3080</x:v>
      </x:c>
      <x:c r="I1561" s="17" t="str">
        <x:v>Correction</x:v>
      </x:c>
    </x:row>
    <x:row r="1562" ht="23" customHeight="1">
      <x:c r="A1562" s="17" t="str">
        <x:v>U01556</x:v>
      </x:c>
      <x:c r="B1562" s="18" t="n">
        <x:v>46286</x:v>
      </x:c>
      <x:c r="C1562" s="17" t="str">
        <x:v>W0098</x:v>
      </x:c>
      <x:c r="D1562" s="17" t="str">
        <x:v>C002</x:v>
      </x:c>
      <x:c r="E1562" s="17" t="str">
        <x:v>InsightDesk</x:v>
      </x:c>
      <x:c r="F1562" s="17" t="str">
        <x:v>Pro</x:v>
      </x:c>
      <x:c r="G1562" s="21" t="n">
        <x:v>29322</x:v>
      </x:c>
      <x:c r="H1562" s="21" t="n">
        <x:v>5727</x:v>
      </x:c>
      <x:c r="I1562" s="17" t="str">
        <x:v>Followup</x:v>
      </x:c>
    </x:row>
    <x:row r="1563" ht="23" customHeight="1">
      <x:c r="A1563" s="17" t="str">
        <x:v>U01557</x:v>
      </x:c>
      <x:c r="B1563" s="18" t="n">
        <x:v>46286</x:v>
      </x:c>
      <x:c r="C1563" s="17" t="str">
        <x:v>W0098</x:v>
      </x:c>
      <x:c r="D1563" s="17" t="str">
        <x:v>C002</x:v>
      </x:c>
      <x:c r="E1563" s="17" t="str">
        <x:v>InsightDesk</x:v>
      </x:c>
      <x:c r="F1563" s="17" t="str">
        <x:v>Pro</x:v>
      </x:c>
      <x:c r="G1563" s="21" t="n">
        <x:v>16930</x:v>
      </x:c>
      <x:c r="H1563" s="21" t="n">
        <x:v>9409</x:v>
      </x:c>
      <x:c r="I1563" s="17" t="str">
        <x:v>Followup</x:v>
      </x:c>
    </x:row>
    <x:row r="1564" ht="23" customHeight="1">
      <x:c r="A1564" s="17" t="str">
        <x:v>U01558</x:v>
      </x:c>
      <x:c r="B1564" s="18" t="n">
        <x:v>46287</x:v>
      </x:c>
      <x:c r="C1564" s="17" t="str">
        <x:v>W0098</x:v>
      </x:c>
      <x:c r="D1564" s="17" t="str">
        <x:v>C002</x:v>
      </x:c>
      <x:c r="E1564" s="17" t="str">
        <x:v>InsightDesk</x:v>
      </x:c>
      <x:c r="F1564" s="17" t="str">
        <x:v>Pro</x:v>
      </x:c>
      <x:c r="G1564" s="21" t="n">
        <x:v>31196</x:v>
      </x:c>
      <x:c r="H1564" s="21" t="n">
        <x:v>5858</x:v>
      </x:c>
      <x:c r="I1564" s="17" t="str">
        <x:v>Correction</x:v>
      </x:c>
    </x:row>
    <x:row r="1565" ht="23" customHeight="1">
      <x:c r="A1565" s="17" t="str">
        <x:v>U01559</x:v>
      </x:c>
      <x:c r="B1565" s="18" t="n">
        <x:v>46287</x:v>
      </x:c>
      <x:c r="C1565" s="17" t="str">
        <x:v>W0098</x:v>
      </x:c>
      <x:c r="D1565" s="17" t="str">
        <x:v>C002</x:v>
      </x:c>
      <x:c r="E1565" s="17" t="str">
        <x:v>InsightDesk</x:v>
      </x:c>
      <x:c r="F1565" s="17" t="str">
        <x:v>Pro</x:v>
      </x:c>
      <x:c r="G1565" s="21" t="n">
        <x:v>16266</x:v>
      </x:c>
      <x:c r="H1565" s="21" t="n">
        <x:v>3349</x:v>
      </x:c>
      <x:c r="I1565" s="17" t="str">
        <x:v>Followup</x:v>
      </x:c>
    </x:row>
    <x:row r="1566" ht="23" customHeight="1">
      <x:c r="A1566" s="17" t="str">
        <x:v>U01560</x:v>
      </x:c>
      <x:c r="B1566" s="18" t="n">
        <x:v>46287</x:v>
      </x:c>
      <x:c r="C1566" s="17" t="str">
        <x:v>W0098</x:v>
      </x:c>
      <x:c r="D1566" s="17" t="str">
        <x:v>C002</x:v>
      </x:c>
      <x:c r="E1566" s="17" t="str">
        <x:v>InsightDesk</x:v>
      </x:c>
      <x:c r="F1566" s="17" t="str">
        <x:v>Pro</x:v>
      </x:c>
      <x:c r="G1566" s="21" t="n">
        <x:v>27785</x:v>
      </x:c>
      <x:c r="H1566" s="21" t="n">
        <x:v>8384</x:v>
      </x:c>
      <x:c r="I1566" s="17" t="str">
        <x:v>Followup</x:v>
      </x:c>
    </x:row>
    <x:row r="1567" ht="23" customHeight="1">
      <x:c r="A1567" s="17" t="str">
        <x:v>U01561</x:v>
      </x:c>
      <x:c r="B1567" s="18" t="n">
        <x:v>46287</x:v>
      </x:c>
      <x:c r="C1567" s="17" t="str">
        <x:v>W0098</x:v>
      </x:c>
      <x:c r="D1567" s="17" t="str">
        <x:v>C002</x:v>
      </x:c>
      <x:c r="E1567" s="17" t="str">
        <x:v>InsightDesk</x:v>
      </x:c>
      <x:c r="F1567" s="17" t="str">
        <x:v>Pro</x:v>
      </x:c>
      <x:c r="G1567" s="21" t="n">
        <x:v>19210</x:v>
      </x:c>
      <x:c r="H1567" s="21" t="n">
        <x:v>7473</x:v>
      </x:c>
      <x:c r="I1567" s="17" t="str">
        <x:v>Followup</x:v>
      </x:c>
    </x:row>
    <x:row r="1568" ht="23" customHeight="1">
      <x:c r="A1568" s="17" t="str">
        <x:v>U01562</x:v>
      </x:c>
      <x:c r="B1568" s="18" t="n">
        <x:v>46287</x:v>
      </x:c>
      <x:c r="C1568" s="17" t="str">
        <x:v>W0098</x:v>
      </x:c>
      <x:c r="D1568" s="17" t="str">
        <x:v>C002</x:v>
      </x:c>
      <x:c r="E1568" s="17" t="str">
        <x:v>InsightDesk</x:v>
      </x:c>
      <x:c r="F1568" s="17" t="str">
        <x:v>Pro</x:v>
      </x:c>
      <x:c r="G1568" s="21" t="n">
        <x:v>20057</x:v>
      </x:c>
      <x:c r="H1568" s="21" t="n">
        <x:v>10534</x:v>
      </x:c>
      <x:c r="I1568" s="17" t="str">
        <x:v>Followup</x:v>
      </x:c>
    </x:row>
    <x:row r="1569" ht="23" customHeight="1">
      <x:c r="A1569" s="17" t="str">
        <x:v>U01563</x:v>
      </x:c>
      <x:c r="B1569" s="18" t="n">
        <x:v>46287</x:v>
      </x:c>
      <x:c r="C1569" s="17" t="str">
        <x:v>W0098</x:v>
      </x:c>
      <x:c r="D1569" s="17" t="str">
        <x:v>C002</x:v>
      </x:c>
      <x:c r="E1569" s="17" t="str">
        <x:v>InsightDesk</x:v>
      </x:c>
      <x:c r="F1569" s="17" t="str">
        <x:v>Pro</x:v>
      </x:c>
      <x:c r="G1569" s="21" t="n">
        <x:v>20434</x:v>
      </x:c>
      <x:c r="H1569" s="21" t="n">
        <x:v>3831</x:v>
      </x:c>
      <x:c r="I1569" s="17" t="str">
        <x:v>Correction</x:v>
      </x:c>
    </x:row>
    <x:row r="1570" ht="23" customHeight="1">
      <x:c r="A1570" s="17" t="str">
        <x:v>U01564</x:v>
      </x:c>
      <x:c r="B1570" s="18" t="n">
        <x:v>46288</x:v>
      </x:c>
      <x:c r="C1570" s="17" t="str">
        <x:v>W0098</x:v>
      </x:c>
      <x:c r="D1570" s="17" t="str">
        <x:v>C002</x:v>
      </x:c>
      <x:c r="E1570" s="17" t="str">
        <x:v>InsightDesk</x:v>
      </x:c>
      <x:c r="F1570" s="17" t="str">
        <x:v>Pro</x:v>
      </x:c>
      <x:c r="G1570" s="21" t="n">
        <x:v>29613</x:v>
      </x:c>
      <x:c r="H1570" s="21" t="n">
        <x:v>8338</x:v>
      </x:c>
      <x:c r="I1570" s="17" t="str">
        <x:v>Followup</x:v>
      </x:c>
    </x:row>
    <x:row r="1571" ht="23" customHeight="1">
      <x:c r="A1571" s="17" t="str">
        <x:v>U01565</x:v>
      </x:c>
      <x:c r="B1571" s="18" t="n">
        <x:v>46288</x:v>
      </x:c>
      <x:c r="C1571" s="17" t="str">
        <x:v>W0098</x:v>
      </x:c>
      <x:c r="D1571" s="17" t="str">
        <x:v>C002</x:v>
      </x:c>
      <x:c r="E1571" s="17" t="str">
        <x:v>InsightDesk</x:v>
      </x:c>
      <x:c r="F1571" s="17" t="str">
        <x:v>Pro</x:v>
      </x:c>
      <x:c r="G1571" s="21" t="n">
        <x:v>27741</x:v>
      </x:c>
      <x:c r="H1571" s="21" t="n">
        <x:v>11097</x:v>
      </x:c>
      <x:c r="I1571" s="17" t="str">
        <x:v>Correction</x:v>
      </x:c>
    </x:row>
    <x:row r="1572" ht="23" customHeight="1">
      <x:c r="A1572" s="17" t="str">
        <x:v>U01566</x:v>
      </x:c>
      <x:c r="B1572" s="18" t="n">
        <x:v>46288</x:v>
      </x:c>
      <x:c r="C1572" s="17" t="str">
        <x:v>W0098</x:v>
      </x:c>
      <x:c r="D1572" s="17" t="str">
        <x:v>C002</x:v>
      </x:c>
      <x:c r="E1572" s="17" t="str">
        <x:v>InsightDesk</x:v>
      </x:c>
      <x:c r="F1572" s="17" t="str">
        <x:v>Pro</x:v>
      </x:c>
      <x:c r="G1572" s="21" t="n">
        <x:v>21137</x:v>
      </x:c>
      <x:c r="H1572" s="21" t="n">
        <x:v>8246</x:v>
      </x:c>
      <x:c r="I1572" s="17" t="str">
        <x:v>Followup</x:v>
      </x:c>
    </x:row>
    <x:row r="1573" ht="23" customHeight="1">
      <x:c r="A1573" s="17" t="str">
        <x:v>U01567</x:v>
      </x:c>
      <x:c r="B1573" s="18" t="n">
        <x:v>46288</x:v>
      </x:c>
      <x:c r="C1573" s="17" t="str">
        <x:v>W0098</x:v>
      </x:c>
      <x:c r="D1573" s="17" t="str">
        <x:v>C002</x:v>
      </x:c>
      <x:c r="E1573" s="17" t="str">
        <x:v>InsightDesk</x:v>
      </x:c>
      <x:c r="F1573" s="17" t="str">
        <x:v>Pro</x:v>
      </x:c>
      <x:c r="G1573" s="21" t="n">
        <x:v>11074</x:v>
      </x:c>
      <x:c r="H1573" s="21" t="n">
        <x:v>6509</x:v>
      </x:c>
      <x:c r="I1573" s="17" t="str">
        <x:v>Followup</x:v>
      </x:c>
    </x:row>
    <x:row r="1574" ht="23" customHeight="1">
      <x:c r="A1574" s="17" t="str">
        <x:v>U01568</x:v>
      </x:c>
      <x:c r="B1574" s="18" t="n">
        <x:v>46288</x:v>
      </x:c>
      <x:c r="C1574" s="17" t="str">
        <x:v>W0098</x:v>
      </x:c>
      <x:c r="D1574" s="17" t="str">
        <x:v>C002</x:v>
      </x:c>
      <x:c r="E1574" s="17" t="str">
        <x:v>InsightDesk</x:v>
      </x:c>
      <x:c r="F1574" s="17" t="str">
        <x:v>Pro</x:v>
      </x:c>
      <x:c r="G1574" s="21" t="n">
        <x:v>23717</x:v>
      </x:c>
      <x:c r="H1574" s="21" t="n">
        <x:v>7776</x:v>
      </x:c>
      <x:c r="I1574" s="17" t="str">
        <x:v>Followup</x:v>
      </x:c>
    </x:row>
    <x:row r="1575" ht="23" customHeight="1">
      <x:c r="A1575" s="17" t="str">
        <x:v>U01569</x:v>
      </x:c>
      <x:c r="B1575" s="18" t="n">
        <x:v>46288</x:v>
      </x:c>
      <x:c r="C1575" s="17" t="str">
        <x:v>W0098</x:v>
      </x:c>
      <x:c r="D1575" s="17" t="str">
        <x:v>C002</x:v>
      </x:c>
      <x:c r="E1575" s="17" t="str">
        <x:v>InsightDesk</x:v>
      </x:c>
      <x:c r="F1575" s="17" t="str">
        <x:v>Pro</x:v>
      </x:c>
      <x:c r="G1575" s="21" t="n">
        <x:v>28689</x:v>
      </x:c>
      <x:c r="H1575" s="21" t="n">
        <x:v>7961</x:v>
      </x:c>
      <x:c r="I1575" s="17" t="str">
        <x:v>Followup</x:v>
      </x:c>
    </x:row>
    <x:row r="1576" ht="23" customHeight="1">
      <x:c r="A1576" s="17" t="str">
        <x:v>U01570</x:v>
      </x:c>
      <x:c r="B1576" s="18" t="n">
        <x:v>46289</x:v>
      </x:c>
      <x:c r="C1576" s="17" t="str">
        <x:v>W0098</x:v>
      </x:c>
      <x:c r="D1576" s="17" t="str">
        <x:v>C002</x:v>
      </x:c>
      <x:c r="E1576" s="17" t="str">
        <x:v>InsightDesk</x:v>
      </x:c>
      <x:c r="F1576" s="17" t="str">
        <x:v>Pro</x:v>
      </x:c>
      <x:c r="G1576" s="21" t="n">
        <x:v>30685</x:v>
      </x:c>
      <x:c r="H1576" s="21" t="n">
        <x:v>7550</x:v>
      </x:c>
      <x:c r="I1576" s="17" t="str">
        <x:v>Followup</x:v>
      </x:c>
    </x:row>
    <x:row r="1577" ht="23" customHeight="1">
      <x:c r="A1577" s="17" t="str">
        <x:v>U01571</x:v>
      </x:c>
      <x:c r="B1577" s="18" t="n">
        <x:v>46289</x:v>
      </x:c>
      <x:c r="C1577" s="17" t="str">
        <x:v>W0098</x:v>
      </x:c>
      <x:c r="D1577" s="17" t="str">
        <x:v>C002</x:v>
      </x:c>
      <x:c r="E1577" s="17" t="str">
        <x:v>InsightDesk</x:v>
      </x:c>
      <x:c r="F1577" s="17" t="str">
        <x:v>Pro</x:v>
      </x:c>
      <x:c r="G1577" s="21" t="n">
        <x:v>29588</x:v>
      </x:c>
      <x:c r="H1577" s="21" t="n">
        <x:v>11278</x:v>
      </x:c>
      <x:c r="I1577" s="17" t="str">
        <x:v>Correction</x:v>
      </x:c>
    </x:row>
    <x:row r="1578" ht="23" customHeight="1">
      <x:c r="A1578" s="17" t="str">
        <x:v>U01572</x:v>
      </x:c>
      <x:c r="B1578" s="18" t="n">
        <x:v>46289</x:v>
      </x:c>
      <x:c r="C1578" s="17" t="str">
        <x:v>W0098</x:v>
      </x:c>
      <x:c r="D1578" s="17" t="str">
        <x:v>C002</x:v>
      </x:c>
      <x:c r="E1578" s="17" t="str">
        <x:v>InsightDesk</x:v>
      </x:c>
      <x:c r="F1578" s="17" t="str">
        <x:v>Pro</x:v>
      </x:c>
      <x:c r="G1578" s="21" t="n">
        <x:v>14186</x:v>
      </x:c>
      <x:c r="H1578" s="21" t="n">
        <x:v>7278</x:v>
      </x:c>
      <x:c r="I1578" s="17" t="str">
        <x:v>Correction</x:v>
      </x:c>
    </x:row>
    <x:row r="1579" ht="23" customHeight="1">
      <x:c r="A1579" s="17" t="str">
        <x:v>U01573</x:v>
      </x:c>
      <x:c r="B1579" s="18" t="n">
        <x:v>46289</x:v>
      </x:c>
      <x:c r="C1579" s="17" t="str">
        <x:v>W0098</x:v>
      </x:c>
      <x:c r="D1579" s="17" t="str">
        <x:v>C002</x:v>
      </x:c>
      <x:c r="E1579" s="17" t="str">
        <x:v>InsightDesk</x:v>
      </x:c>
      <x:c r="F1579" s="17" t="str">
        <x:v>Pro</x:v>
      </x:c>
      <x:c r="G1579" s="21" t="n">
        <x:v>25903</x:v>
      </x:c>
      <x:c r="H1579" s="21" t="n">
        <x:v>11469</x:v>
      </x:c>
      <x:c r="I1579" s="17" t="str">
        <x:v>Correction</x:v>
      </x:c>
    </x:row>
    <x:row r="1580" ht="23" customHeight="1">
      <x:c r="A1580" s="17" t="str">
        <x:v>U01574</x:v>
      </x:c>
      <x:c r="B1580" s="18" t="n">
        <x:v>46289</x:v>
      </x:c>
      <x:c r="C1580" s="17" t="str">
        <x:v>W0098</x:v>
      </x:c>
      <x:c r="D1580" s="17" t="str">
        <x:v>C002</x:v>
      </x:c>
      <x:c r="E1580" s="17" t="str">
        <x:v>InsightDesk</x:v>
      </x:c>
      <x:c r="F1580" s="17" t="str">
        <x:v>Pro</x:v>
      </x:c>
      <x:c r="G1580" s="21" t="n">
        <x:v>30987</x:v>
      </x:c>
      <x:c r="H1580" s="21" t="n">
        <x:v>7418</x:v>
      </x:c>
      <x:c r="I1580" s="17" t="str">
        <x:v>Followup</x:v>
      </x:c>
    </x:row>
    <x:row r="1581" ht="23" customHeight="1">
      <x:c r="A1581" s="17" t="str">
        <x:v>U01575</x:v>
      </x:c>
      <x:c r="B1581" s="18" t="n">
        <x:v>46289</x:v>
      </x:c>
      <x:c r="C1581" s="17" t="str">
        <x:v>W0098</x:v>
      </x:c>
      <x:c r="D1581" s="17" t="str">
        <x:v>C002</x:v>
      </x:c>
      <x:c r="E1581" s="17" t="str">
        <x:v>InsightDesk</x:v>
      </x:c>
      <x:c r="F1581" s="17" t="str">
        <x:v>Pro</x:v>
      </x:c>
      <x:c r="G1581" s="21" t="n">
        <x:v>22210</x:v>
      </x:c>
      <x:c r="H1581" s="21" t="n">
        <x:v>5064</x:v>
      </x:c>
      <x:c r="I1581" s="17" t="str">
        <x:v>Followup</x:v>
      </x:c>
    </x:row>
    <x:row r="1582" ht="23" customHeight="1">
      <x:c r="A1582" s="17" t="str">
        <x:v>U01576</x:v>
      </x:c>
      <x:c r="B1582" s="18" t="n">
        <x:v>46280</x:v>
      </x:c>
      <x:c r="C1582" s="17" t="str">
        <x:v>W0100</x:v>
      </x:c>
      <x:c r="D1582" s="17" t="str">
        <x:v>C002</x:v>
      </x:c>
      <x:c r="E1582" s="17" t="str">
        <x:v>CopyStudio</x:v>
      </x:c>
      <x:c r="F1582" s="17" t="str">
        <x:v>Pro</x:v>
      </x:c>
      <x:c r="G1582" s="21" t="n">
        <x:v>25342</x:v>
      </x:c>
      <x:c r="H1582" s="21" t="n">
        <x:v>6603</x:v>
      </x:c>
      <x:c r="I1582" s="17" t="str">
        <x:v>First attempt</x:v>
      </x:c>
    </x:row>
    <x:row r="1583" ht="23" customHeight="1">
      <x:c r="A1583" s="17" t="str">
        <x:v>U01577</x:v>
      </x:c>
      <x:c r="B1583" s="18" t="n">
        <x:v>46280</x:v>
      </x:c>
      <x:c r="C1583" s="17" t="str">
        <x:v>W0100</x:v>
      </x:c>
      <x:c r="D1583" s="17" t="str">
        <x:v>C002</x:v>
      </x:c>
      <x:c r="E1583" s="17" t="str">
        <x:v>CopyStudio</x:v>
      </x:c>
      <x:c r="F1583" s="17" t="str">
        <x:v>Pro</x:v>
      </x:c>
      <x:c r="G1583" s="21" t="n">
        <x:v>19847</x:v>
      </x:c>
      <x:c r="H1583" s="21" t="n">
        <x:v>4813</x:v>
      </x:c>
      <x:c r="I1583" s="17" t="str">
        <x:v>Followup</x:v>
      </x:c>
    </x:row>
    <x:row r="1584" ht="23" customHeight="1">
      <x:c r="A1584" s="17" t="str">
        <x:v>U01578</x:v>
      </x:c>
      <x:c r="B1584" s="18" t="n">
        <x:v>46280</x:v>
      </x:c>
      <x:c r="C1584" s="17" t="str">
        <x:v>W0100</x:v>
      </x:c>
      <x:c r="D1584" s="17" t="str">
        <x:v>C002</x:v>
      </x:c>
      <x:c r="E1584" s="17" t="str">
        <x:v>CopyStudio</x:v>
      </x:c>
      <x:c r="F1584" s="17" t="str">
        <x:v>Pro</x:v>
      </x:c>
      <x:c r="G1584" s="21" t="n">
        <x:v>14129</x:v>
      </x:c>
      <x:c r="H1584" s="21" t="n">
        <x:v>10455</x:v>
      </x:c>
      <x:c r="I1584" s="17" t="str">
        <x:v>Followup</x:v>
      </x:c>
    </x:row>
    <x:row r="1585" ht="23" customHeight="1">
      <x:c r="A1585" s="17" t="str">
        <x:v>U01579</x:v>
      </x:c>
      <x:c r="B1585" s="18" t="n">
        <x:v>46280</x:v>
      </x:c>
      <x:c r="C1585" s="17" t="str">
        <x:v>W0100</x:v>
      </x:c>
      <x:c r="D1585" s="17" t="str">
        <x:v>C002</x:v>
      </x:c>
      <x:c r="E1585" s="17" t="str">
        <x:v>CopyStudio</x:v>
      </x:c>
      <x:c r="F1585" s="17" t="str">
        <x:v>Pro</x:v>
      </x:c>
      <x:c r="G1585" s="21" t="n">
        <x:v>22870</x:v>
      </x:c>
      <x:c r="H1585" s="21" t="n">
        <x:v>13671</x:v>
      </x:c>
      <x:c r="I1585" s="17" t="str">
        <x:v>Followup</x:v>
      </x:c>
    </x:row>
    <x:row r="1586" ht="23" customHeight="1">
      <x:c r="A1586" s="17" t="str">
        <x:v>U01580</x:v>
      </x:c>
      <x:c r="B1586" s="18" t="n">
        <x:v>46280</x:v>
      </x:c>
      <x:c r="C1586" s="17" t="str">
        <x:v>W0100</x:v>
      </x:c>
      <x:c r="D1586" s="17" t="str">
        <x:v>C002</x:v>
      </x:c>
      <x:c r="E1586" s="17" t="str">
        <x:v>CopyStudio</x:v>
      </x:c>
      <x:c r="F1586" s="17" t="str">
        <x:v>Pro</x:v>
      </x:c>
      <x:c r="G1586" s="21" t="n">
        <x:v>22616</x:v>
      </x:c>
      <x:c r="H1586" s="21" t="n">
        <x:v>10892</x:v>
      </x:c>
      <x:c r="I1586" s="17" t="str">
        <x:v>Followup</x:v>
      </x:c>
    </x:row>
    <x:row r="1587" ht="23" customHeight="1">
      <x:c r="A1587" s="17" t="str">
        <x:v>U01581</x:v>
      </x:c>
      <x:c r="B1587" s="18" t="n">
        <x:v>46280</x:v>
      </x:c>
      <x:c r="C1587" s="17" t="str">
        <x:v>W0100</x:v>
      </x:c>
      <x:c r="D1587" s="17" t="str">
        <x:v>C002</x:v>
      </x:c>
      <x:c r="E1587" s="17" t="str">
        <x:v>CopyStudio</x:v>
      </x:c>
      <x:c r="F1587" s="17" t="str">
        <x:v>Pro</x:v>
      </x:c>
      <x:c r="G1587" s="21" t="n">
        <x:v>14657</x:v>
      </x:c>
      <x:c r="H1587" s="21" t="n">
        <x:v>7093</x:v>
      </x:c>
      <x:c r="I1587" s="17" t="str">
        <x:v>Correction</x:v>
      </x:c>
    </x:row>
    <x:row r="1588" ht="23" customHeight="1">
      <x:c r="A1588" s="17" t="str">
        <x:v>U01582</x:v>
      </x:c>
      <x:c r="B1588" s="18" t="n">
        <x:v>46281</x:v>
      </x:c>
      <x:c r="C1588" s="17" t="str">
        <x:v>W0100</x:v>
      </x:c>
      <x:c r="D1588" s="17" t="str">
        <x:v>C002</x:v>
      </x:c>
      <x:c r="E1588" s="17" t="str">
        <x:v>CopyStudio</x:v>
      </x:c>
      <x:c r="F1588" s="17" t="str">
        <x:v>Pro</x:v>
      </x:c>
      <x:c r="G1588" s="21" t="n">
        <x:v>23558</x:v>
      </x:c>
      <x:c r="H1588" s="21" t="n">
        <x:v>11733</x:v>
      </x:c>
      <x:c r="I1588" s="17" t="str">
        <x:v>Followup</x:v>
      </x:c>
    </x:row>
    <x:row r="1589" ht="23" customHeight="1">
      <x:c r="A1589" s="17" t="str">
        <x:v>U01583</x:v>
      </x:c>
      <x:c r="B1589" s="18" t="n">
        <x:v>46281</x:v>
      </x:c>
      <x:c r="C1589" s="17" t="str">
        <x:v>W0100</x:v>
      </x:c>
      <x:c r="D1589" s="17" t="str">
        <x:v>C002</x:v>
      </x:c>
      <x:c r="E1589" s="17" t="str">
        <x:v>CopyStudio</x:v>
      </x:c>
      <x:c r="F1589" s="17" t="str">
        <x:v>Pro</x:v>
      </x:c>
      <x:c r="G1589" s="21" t="n">
        <x:v>12906</x:v>
      </x:c>
      <x:c r="H1589" s="21" t="n">
        <x:v>12177</x:v>
      </x:c>
      <x:c r="I1589" s="17" t="str">
        <x:v>Followup</x:v>
      </x:c>
    </x:row>
    <x:row r="1590" ht="23" customHeight="1">
      <x:c r="A1590" s="17" t="str">
        <x:v>U01584</x:v>
      </x:c>
      <x:c r="B1590" s="18" t="n">
        <x:v>46281</x:v>
      </x:c>
      <x:c r="C1590" s="17" t="str">
        <x:v>W0100</x:v>
      </x:c>
      <x:c r="D1590" s="17" t="str">
        <x:v>C002</x:v>
      </x:c>
      <x:c r="E1590" s="17" t="str">
        <x:v>CopyStudio</x:v>
      </x:c>
      <x:c r="F1590" s="17" t="str">
        <x:v>Pro</x:v>
      </x:c>
      <x:c r="G1590" s="21" t="n">
        <x:v>22998</x:v>
      </x:c>
      <x:c r="H1590" s="21" t="n">
        <x:v>6194</x:v>
      </x:c>
      <x:c r="I1590" s="17" t="str">
        <x:v>Followup</x:v>
      </x:c>
    </x:row>
    <x:row r="1591" ht="23" customHeight="1">
      <x:c r="A1591" s="17" t="str">
        <x:v>U01585</x:v>
      </x:c>
      <x:c r="B1591" s="18" t="n">
        <x:v>46281</x:v>
      </x:c>
      <x:c r="C1591" s="17" t="str">
        <x:v>W0100</x:v>
      </x:c>
      <x:c r="D1591" s="17" t="str">
        <x:v>C002</x:v>
      </x:c>
      <x:c r="E1591" s="17" t="str">
        <x:v>CopyStudio</x:v>
      </x:c>
      <x:c r="F1591" s="17" t="str">
        <x:v>Pro</x:v>
      </x:c>
      <x:c r="G1591" s="21" t="n">
        <x:v>15940</x:v>
      </x:c>
      <x:c r="H1591" s="21" t="n">
        <x:v>12976</x:v>
      </x:c>
      <x:c r="I1591" s="17" t="str">
        <x:v>Followup</x:v>
      </x:c>
    </x:row>
    <x:row r="1592" ht="23" customHeight="1">
      <x:c r="A1592" s="17" t="str">
        <x:v>U01586</x:v>
      </x:c>
      <x:c r="B1592" s="18" t="n">
        <x:v>46281</x:v>
      </x:c>
      <x:c r="C1592" s="17" t="str">
        <x:v>W0100</x:v>
      </x:c>
      <x:c r="D1592" s="17" t="str">
        <x:v>C002</x:v>
      </x:c>
      <x:c r="E1592" s="17" t="str">
        <x:v>CopyStudio</x:v>
      </x:c>
      <x:c r="F1592" s="17" t="str">
        <x:v>Pro</x:v>
      </x:c>
      <x:c r="G1592" s="21" t="n">
        <x:v>14413</x:v>
      </x:c>
      <x:c r="H1592" s="21" t="n">
        <x:v>10982</x:v>
      </x:c>
      <x:c r="I1592" s="17" t="str">
        <x:v>Followup</x:v>
      </x:c>
    </x:row>
    <x:row r="1593" ht="23" customHeight="1">
      <x:c r="A1593" s="17" t="str">
        <x:v>U01587</x:v>
      </x:c>
      <x:c r="B1593" s="18" t="n">
        <x:v>46281</x:v>
      </x:c>
      <x:c r="C1593" s="17" t="str">
        <x:v>W0100</x:v>
      </x:c>
      <x:c r="D1593" s="17" t="str">
        <x:v>C002</x:v>
      </x:c>
      <x:c r="E1593" s="17" t="str">
        <x:v>CopyStudio</x:v>
      </x:c>
      <x:c r="F1593" s="17" t="str">
        <x:v>Pro</x:v>
      </x:c>
      <x:c r="G1593" s="21" t="n">
        <x:v>17444</x:v>
      </x:c>
      <x:c r="H1593" s="21" t="n">
        <x:v>8479</x:v>
      </x:c>
      <x:c r="I1593" s="17" t="str">
        <x:v>Correction</x:v>
      </x:c>
    </x:row>
    <x:row r="1594" ht="23" customHeight="1">
      <x:c r="A1594" s="17" t="str">
        <x:v>U01588</x:v>
      </x:c>
      <x:c r="B1594" s="18" t="n">
        <x:v>46282</x:v>
      </x:c>
      <x:c r="C1594" s="17" t="str">
        <x:v>W0100</x:v>
      </x:c>
      <x:c r="D1594" s="17" t="str">
        <x:v>C002</x:v>
      </x:c>
      <x:c r="E1594" s="17" t="str">
        <x:v>CopyStudio</x:v>
      </x:c>
      <x:c r="F1594" s="17" t="str">
        <x:v>Pro</x:v>
      </x:c>
      <x:c r="G1594" s="21" t="n">
        <x:v>24739</x:v>
      </x:c>
      <x:c r="H1594" s="21" t="n">
        <x:v>7661</x:v>
      </x:c>
      <x:c r="I1594" s="17" t="str">
        <x:v>Correction</x:v>
      </x:c>
    </x:row>
    <x:row r="1595" ht="23" customHeight="1">
      <x:c r="A1595" s="17" t="str">
        <x:v>U01589</x:v>
      </x:c>
      <x:c r="B1595" s="18" t="n">
        <x:v>46282</x:v>
      </x:c>
      <x:c r="C1595" s="17" t="str">
        <x:v>W0100</x:v>
      </x:c>
      <x:c r="D1595" s="17" t="str">
        <x:v>C002</x:v>
      </x:c>
      <x:c r="E1595" s="17" t="str">
        <x:v>CopyStudio</x:v>
      </x:c>
      <x:c r="F1595" s="17" t="str">
        <x:v>Pro</x:v>
      </x:c>
      <x:c r="G1595" s="21" t="n">
        <x:v>15861</x:v>
      </x:c>
      <x:c r="H1595" s="21" t="n">
        <x:v>15873</x:v>
      </x:c>
      <x:c r="I1595" s="17" t="str">
        <x:v>Correction</x:v>
      </x:c>
    </x:row>
    <x:row r="1596" ht="23" customHeight="1">
      <x:c r="A1596" s="17" t="str">
        <x:v>U01590</x:v>
      </x:c>
      <x:c r="B1596" s="18" t="n">
        <x:v>46282</x:v>
      </x:c>
      <x:c r="C1596" s="17" t="str">
        <x:v>W0100</x:v>
      </x:c>
      <x:c r="D1596" s="17" t="str">
        <x:v>C002</x:v>
      </x:c>
      <x:c r="E1596" s="17" t="str">
        <x:v>CopyStudio</x:v>
      </x:c>
      <x:c r="F1596" s="17" t="str">
        <x:v>Pro</x:v>
      </x:c>
      <x:c r="G1596" s="21" t="n">
        <x:v>23276</x:v>
      </x:c>
      <x:c r="H1596" s="21" t="n">
        <x:v>8427</x:v>
      </x:c>
      <x:c r="I1596" s="17" t="str">
        <x:v>Correction</x:v>
      </x:c>
    </x:row>
    <x:row r="1597" ht="23" customHeight="1">
      <x:c r="A1597" s="17" t="str">
        <x:v>U01591</x:v>
      </x:c>
      <x:c r="B1597" s="18" t="n">
        <x:v>46282</x:v>
      </x:c>
      <x:c r="C1597" s="17" t="str">
        <x:v>W0100</x:v>
      </x:c>
      <x:c r="D1597" s="17" t="str">
        <x:v>C002</x:v>
      </x:c>
      <x:c r="E1597" s="17" t="str">
        <x:v>CopyStudio</x:v>
      </x:c>
      <x:c r="F1597" s="17" t="str">
        <x:v>Pro</x:v>
      </x:c>
      <x:c r="G1597" s="21" t="n">
        <x:v>18342</x:v>
      </x:c>
      <x:c r="H1597" s="21" t="n">
        <x:v>13670</x:v>
      </x:c>
      <x:c r="I1597" s="17" t="str">
        <x:v>Followup</x:v>
      </x:c>
    </x:row>
    <x:row r="1598" ht="23" customHeight="1">
      <x:c r="A1598" s="17" t="str">
        <x:v>U01592</x:v>
      </x:c>
      <x:c r="B1598" s="18" t="n">
        <x:v>46282</x:v>
      </x:c>
      <x:c r="C1598" s="17" t="str">
        <x:v>W0100</x:v>
      </x:c>
      <x:c r="D1598" s="17" t="str">
        <x:v>C002</x:v>
      </x:c>
      <x:c r="E1598" s="17" t="str">
        <x:v>CopyStudio</x:v>
      </x:c>
      <x:c r="F1598" s="17" t="str">
        <x:v>Pro</x:v>
      </x:c>
      <x:c r="G1598" s="21" t="n">
        <x:v>21836</x:v>
      </x:c>
      <x:c r="H1598" s="21" t="n">
        <x:v>14894</x:v>
      </x:c>
      <x:c r="I1598" s="17" t="str">
        <x:v>Correction</x:v>
      </x:c>
    </x:row>
    <x:row r="1599" ht="23" customHeight="1">
      <x:c r="A1599" s="17" t="str">
        <x:v>U01593</x:v>
      </x:c>
      <x:c r="B1599" s="18" t="n">
        <x:v>46282</x:v>
      </x:c>
      <x:c r="C1599" s="17" t="str">
        <x:v>W0100</x:v>
      </x:c>
      <x:c r="D1599" s="17" t="str">
        <x:v>C002</x:v>
      </x:c>
      <x:c r="E1599" s="17" t="str">
        <x:v>CopyStudio</x:v>
      </x:c>
      <x:c r="F1599" s="17" t="str">
        <x:v>Pro</x:v>
      </x:c>
      <x:c r="G1599" s="21" t="n">
        <x:v>22966</x:v>
      </x:c>
      <x:c r="H1599" s="21" t="n">
        <x:v>16785</x:v>
      </x:c>
      <x:c r="I1599" s="17" t="str">
        <x:v>Followup</x:v>
      </x:c>
    </x:row>
    <x:row r="1600" ht="23" customHeight="1">
      <x:c r="A1600" s="17" t="str">
        <x:v>U01594</x:v>
      </x:c>
      <x:c r="B1600" s="18" t="n">
        <x:v>46283</x:v>
      </x:c>
      <x:c r="C1600" s="17" t="str">
        <x:v>W0100</x:v>
      </x:c>
      <x:c r="D1600" s="17" t="str">
        <x:v>C002</x:v>
      </x:c>
      <x:c r="E1600" s="17" t="str">
        <x:v>CopyStudio</x:v>
      </x:c>
      <x:c r="F1600" s="17" t="str">
        <x:v>Pro</x:v>
      </x:c>
      <x:c r="G1600" s="21" t="n">
        <x:v>11933</x:v>
      </x:c>
      <x:c r="H1600" s="21" t="n">
        <x:v>12076</x:v>
      </x:c>
      <x:c r="I1600" s="17" t="str">
        <x:v>Followup</x:v>
      </x:c>
    </x:row>
    <x:row r="1601" ht="23" customHeight="1">
      <x:c r="A1601" s="17" t="str">
        <x:v>U01595</x:v>
      </x:c>
      <x:c r="B1601" s="18" t="n">
        <x:v>46283</x:v>
      </x:c>
      <x:c r="C1601" s="17" t="str">
        <x:v>W0100</x:v>
      </x:c>
      <x:c r="D1601" s="17" t="str">
        <x:v>C002</x:v>
      </x:c>
      <x:c r="E1601" s="17" t="str">
        <x:v>CopyStudio</x:v>
      </x:c>
      <x:c r="F1601" s="17" t="str">
        <x:v>Pro</x:v>
      </x:c>
      <x:c r="G1601" s="21" t="n">
        <x:v>16832</x:v>
      </x:c>
      <x:c r="H1601" s="21" t="n">
        <x:v>8962</x:v>
      </x:c>
      <x:c r="I1601" s="17" t="str">
        <x:v>Followup</x:v>
      </x:c>
    </x:row>
    <x:row r="1602" ht="23" customHeight="1">
      <x:c r="A1602" s="17" t="str">
        <x:v>U01596</x:v>
      </x:c>
      <x:c r="B1602" s="18" t="n">
        <x:v>46283</x:v>
      </x:c>
      <x:c r="C1602" s="17" t="str">
        <x:v>W0100</x:v>
      </x:c>
      <x:c r="D1602" s="17" t="str">
        <x:v>C002</x:v>
      </x:c>
      <x:c r="E1602" s="17" t="str">
        <x:v>CopyStudio</x:v>
      </x:c>
      <x:c r="F1602" s="17" t="str">
        <x:v>Pro</x:v>
      </x:c>
      <x:c r="G1602" s="21" t="n">
        <x:v>23583</x:v>
      </x:c>
      <x:c r="H1602" s="21" t="n">
        <x:v>8726</x:v>
      </x:c>
      <x:c r="I1602" s="17" t="str">
        <x:v>Followup</x:v>
      </x:c>
    </x:row>
    <x:row r="1603" ht="23" customHeight="1">
      <x:c r="A1603" s="17" t="str">
        <x:v>U01597</x:v>
      </x:c>
      <x:c r="B1603" s="18" t="n">
        <x:v>46283</x:v>
      </x:c>
      <x:c r="C1603" s="17" t="str">
        <x:v>W0100</x:v>
      </x:c>
      <x:c r="D1603" s="17" t="str">
        <x:v>C002</x:v>
      </x:c>
      <x:c r="E1603" s="17" t="str">
        <x:v>CopyStudio</x:v>
      </x:c>
      <x:c r="F1603" s="17" t="str">
        <x:v>Pro</x:v>
      </x:c>
      <x:c r="G1603" s="21" t="n">
        <x:v>12565</x:v>
      </x:c>
      <x:c r="H1603" s="21" t="n">
        <x:v>15607</x:v>
      </x:c>
      <x:c r="I1603" s="17" t="str">
        <x:v>Followup</x:v>
      </x:c>
    </x:row>
    <x:row r="1604" ht="23" customHeight="1">
      <x:c r="A1604" s="17" t="str">
        <x:v>U01598</x:v>
      </x:c>
      <x:c r="B1604" s="18" t="n">
        <x:v>46283</x:v>
      </x:c>
      <x:c r="C1604" s="17" t="str">
        <x:v>W0100</x:v>
      </x:c>
      <x:c r="D1604" s="17" t="str">
        <x:v>C002</x:v>
      </x:c>
      <x:c r="E1604" s="17" t="str">
        <x:v>CopyStudio</x:v>
      </x:c>
      <x:c r="F1604" s="17" t="str">
        <x:v>Pro</x:v>
      </x:c>
      <x:c r="G1604" s="21" t="n">
        <x:v>25381</x:v>
      </x:c>
      <x:c r="H1604" s="21" t="n">
        <x:v>12527</x:v>
      </x:c>
      <x:c r="I1604" s="17" t="str">
        <x:v>Followup</x:v>
      </x:c>
    </x:row>
    <x:row r="1605" ht="23" customHeight="1">
      <x:c r="A1605" s="17" t="str">
        <x:v>U01599</x:v>
      </x:c>
      <x:c r="B1605" s="18" t="n">
        <x:v>46289</x:v>
      </x:c>
      <x:c r="C1605" s="17" t="str">
        <x:v>W0101</x:v>
      </x:c>
      <x:c r="D1605" s="17" t="str">
        <x:v>C002</x:v>
      </x:c>
      <x:c r="E1605" s="17" t="str">
        <x:v>CopyStudio</x:v>
      </x:c>
      <x:c r="F1605" s="17" t="str">
        <x:v>Pro</x:v>
      </x:c>
      <x:c r="G1605" s="21" t="n">
        <x:v>25892</x:v>
      </x:c>
      <x:c r="H1605" s="21" t="n">
        <x:v>11959</x:v>
      </x:c>
      <x:c r="I1605" s="17" t="str">
        <x:v>First attempt</x:v>
      </x:c>
    </x:row>
    <x:row r="1606" ht="23" customHeight="1">
      <x:c r="A1606" s="17" t="str">
        <x:v>U01600</x:v>
      </x:c>
      <x:c r="B1606" s="18" t="n">
        <x:v>46289</x:v>
      </x:c>
      <x:c r="C1606" s="17" t="str">
        <x:v>W0101</x:v>
      </x:c>
      <x:c r="D1606" s="17" t="str">
        <x:v>C002</x:v>
      </x:c>
      <x:c r="E1606" s="17" t="str">
        <x:v>CopyStudio</x:v>
      </x:c>
      <x:c r="F1606" s="17" t="str">
        <x:v>Pro</x:v>
      </x:c>
      <x:c r="G1606" s="21" t="n">
        <x:v>34630</x:v>
      </x:c>
      <x:c r="H1606" s="21" t="n">
        <x:v>17968</x:v>
      </x:c>
      <x:c r="I1606" s="17" t="str">
        <x:v>Followup</x:v>
      </x:c>
    </x:row>
    <x:row r="1607" ht="23" customHeight="1">
      <x:c r="A1607" s="17" t="str">
        <x:v>U01601</x:v>
      </x:c>
      <x:c r="B1607" s="18" t="n">
        <x:v>46289</x:v>
      </x:c>
      <x:c r="C1607" s="17" t="str">
        <x:v>W0101</x:v>
      </x:c>
      <x:c r="D1607" s="17" t="str">
        <x:v>C002</x:v>
      </x:c>
      <x:c r="E1607" s="17" t="str">
        <x:v>CopyStudio</x:v>
      </x:c>
      <x:c r="F1607" s="17" t="str">
        <x:v>Pro</x:v>
      </x:c>
      <x:c r="G1607" s="21" t="n">
        <x:v>39552</x:v>
      </x:c>
      <x:c r="H1607" s="21" t="n">
        <x:v>15669</x:v>
      </x:c>
      <x:c r="I1607" s="17" t="str">
        <x:v>Followup</x:v>
      </x:c>
    </x:row>
    <x:row r="1608" ht="23" customHeight="1">
      <x:c r="A1608" s="17" t="str">
        <x:v>U01602</x:v>
      </x:c>
      <x:c r="B1608" s="18" t="n">
        <x:v>46289</x:v>
      </x:c>
      <x:c r="C1608" s="17" t="str">
        <x:v>W0101</x:v>
      </x:c>
      <x:c r="D1608" s="17" t="str">
        <x:v>C002</x:v>
      </x:c>
      <x:c r="E1608" s="17" t="str">
        <x:v>CopyStudio</x:v>
      </x:c>
      <x:c r="F1608" s="17" t="str">
        <x:v>Pro</x:v>
      </x:c>
      <x:c r="G1608" s="21" t="n">
        <x:v>38013</x:v>
      </x:c>
      <x:c r="H1608" s="21" t="n">
        <x:v>13900</x:v>
      </x:c>
      <x:c r="I1608" s="17" t="str">
        <x:v>Correction</x:v>
      </x:c>
    </x:row>
    <x:row r="1609" ht="23" customHeight="1">
      <x:c r="A1609" s="17" t="str">
        <x:v>U01603</x:v>
      </x:c>
      <x:c r="B1609" s="18" t="n">
        <x:v>46289</x:v>
      </x:c>
      <x:c r="C1609" s="17" t="str">
        <x:v>W0101</x:v>
      </x:c>
      <x:c r="D1609" s="17" t="str">
        <x:v>C002</x:v>
      </x:c>
      <x:c r="E1609" s="17" t="str">
        <x:v>CopyStudio</x:v>
      </x:c>
      <x:c r="F1609" s="17" t="str">
        <x:v>Pro</x:v>
      </x:c>
      <x:c r="G1609" s="21" t="n">
        <x:v>31742</x:v>
      </x:c>
      <x:c r="H1609" s="21" t="n">
        <x:v>7261</x:v>
      </x:c>
      <x:c r="I1609" s="17" t="str">
        <x:v>Followup</x:v>
      </x:c>
    </x:row>
    <x:row r="1610" ht="23" customHeight="1">
      <x:c r="A1610" s="17" t="str">
        <x:v>U01604</x:v>
      </x:c>
      <x:c r="B1610" s="18" t="n">
        <x:v>46289</x:v>
      </x:c>
      <x:c r="C1610" s="17" t="str">
        <x:v>W0101</x:v>
      </x:c>
      <x:c r="D1610" s="17" t="str">
        <x:v>C002</x:v>
      </x:c>
      <x:c r="E1610" s="17" t="str">
        <x:v>CopyStudio</x:v>
      </x:c>
      <x:c r="F1610" s="17" t="str">
        <x:v>Pro</x:v>
      </x:c>
      <x:c r="G1610" s="21" t="n">
        <x:v>13968</x:v>
      </x:c>
      <x:c r="H1610" s="21" t="n">
        <x:v>10105</x:v>
      </x:c>
      <x:c r="I1610" s="17" t="str">
        <x:v>Correction</x:v>
      </x:c>
    </x:row>
    <x:row r="1611" ht="23" customHeight="1">
      <x:c r="A1611" s="17" t="str">
        <x:v>U01605</x:v>
      </x:c>
      <x:c r="B1611" s="18" t="n">
        <x:v>46290</x:v>
      </x:c>
      <x:c r="C1611" s="17" t="str">
        <x:v>W0101</x:v>
      </x:c>
      <x:c r="D1611" s="17" t="str">
        <x:v>C002</x:v>
      </x:c>
      <x:c r="E1611" s="17" t="str">
        <x:v>CopyStudio</x:v>
      </x:c>
      <x:c r="F1611" s="17" t="str">
        <x:v>Pro</x:v>
      </x:c>
      <x:c r="G1611" s="21" t="n">
        <x:v>16358</x:v>
      </x:c>
      <x:c r="H1611" s="21" t="n">
        <x:v>14556</x:v>
      </x:c>
      <x:c r="I1611" s="17" t="str">
        <x:v>Followup</x:v>
      </x:c>
    </x:row>
    <x:row r="1612" ht="23" customHeight="1">
      <x:c r="A1612" s="17" t="str">
        <x:v>U01606</x:v>
      </x:c>
      <x:c r="B1612" s="18" t="n">
        <x:v>46290</x:v>
      </x:c>
      <x:c r="C1612" s="17" t="str">
        <x:v>W0101</x:v>
      </x:c>
      <x:c r="D1612" s="17" t="str">
        <x:v>C002</x:v>
      </x:c>
      <x:c r="E1612" s="17" t="str">
        <x:v>CopyStudio</x:v>
      </x:c>
      <x:c r="F1612" s="17" t="str">
        <x:v>Pro</x:v>
      </x:c>
      <x:c r="G1612" s="21" t="n">
        <x:v>18083</x:v>
      </x:c>
      <x:c r="H1612" s="21" t="n">
        <x:v>12190</x:v>
      </x:c>
      <x:c r="I1612" s="17" t="str">
        <x:v>Followup</x:v>
      </x:c>
    </x:row>
    <x:row r="1613" ht="23" customHeight="1">
      <x:c r="A1613" s="17" t="str">
        <x:v>U01607</x:v>
      </x:c>
      <x:c r="B1613" s="18" t="n">
        <x:v>46290</x:v>
      </x:c>
      <x:c r="C1613" s="17" t="str">
        <x:v>W0101</x:v>
      </x:c>
      <x:c r="D1613" s="17" t="str">
        <x:v>C002</x:v>
      </x:c>
      <x:c r="E1613" s="17" t="str">
        <x:v>CopyStudio</x:v>
      </x:c>
      <x:c r="F1613" s="17" t="str">
        <x:v>Pro</x:v>
      </x:c>
      <x:c r="G1613" s="21" t="n">
        <x:v>14492</x:v>
      </x:c>
      <x:c r="H1613" s="21" t="n">
        <x:v>16707</x:v>
      </x:c>
      <x:c r="I1613" s="17" t="str">
        <x:v>Followup</x:v>
      </x:c>
    </x:row>
    <x:row r="1614" ht="23" customHeight="1">
      <x:c r="A1614" s="17" t="str">
        <x:v>U01608</x:v>
      </x:c>
      <x:c r="B1614" s="18" t="n">
        <x:v>46290</x:v>
      </x:c>
      <x:c r="C1614" s="17" t="str">
        <x:v>W0101</x:v>
      </x:c>
      <x:c r="D1614" s="17" t="str">
        <x:v>C002</x:v>
      </x:c>
      <x:c r="E1614" s="17" t="str">
        <x:v>CopyStudio</x:v>
      </x:c>
      <x:c r="F1614" s="17" t="str">
        <x:v>Pro</x:v>
      </x:c>
      <x:c r="G1614" s="21" t="n">
        <x:v>22493</x:v>
      </x:c>
      <x:c r="H1614" s="21" t="n">
        <x:v>11779</x:v>
      </x:c>
      <x:c r="I1614" s="17" t="str">
        <x:v>Followup</x:v>
      </x:c>
    </x:row>
    <x:row r="1615" ht="23" customHeight="1">
      <x:c r="A1615" s="17" t="str">
        <x:v>U01609</x:v>
      </x:c>
      <x:c r="B1615" s="18" t="n">
        <x:v>46290</x:v>
      </x:c>
      <x:c r="C1615" s="17" t="str">
        <x:v>W0101</x:v>
      </x:c>
      <x:c r="D1615" s="17" t="str">
        <x:v>C002</x:v>
      </x:c>
      <x:c r="E1615" s="17" t="str">
        <x:v>CopyStudio</x:v>
      </x:c>
      <x:c r="F1615" s="17" t="str">
        <x:v>Pro</x:v>
      </x:c>
      <x:c r="G1615" s="21" t="n">
        <x:v>21069</x:v>
      </x:c>
      <x:c r="H1615" s="21" t="n">
        <x:v>17263</x:v>
      </x:c>
      <x:c r="I1615" s="17" t="str">
        <x:v>Followup</x:v>
      </x:c>
    </x:row>
    <x:row r="1616" ht="23" customHeight="1">
      <x:c r="A1616" s="17" t="str">
        <x:v>U01610</x:v>
      </x:c>
      <x:c r="B1616" s="18" t="n">
        <x:v>46290</x:v>
      </x:c>
      <x:c r="C1616" s="17" t="str">
        <x:v>W0101</x:v>
      </x:c>
      <x:c r="D1616" s="17" t="str">
        <x:v>C002</x:v>
      </x:c>
      <x:c r="E1616" s="17" t="str">
        <x:v>CopyStudio</x:v>
      </x:c>
      <x:c r="F1616" s="17" t="str">
        <x:v>Pro</x:v>
      </x:c>
      <x:c r="G1616" s="21" t="n">
        <x:v>31166</x:v>
      </x:c>
      <x:c r="H1616" s="21" t="n">
        <x:v>6531</x:v>
      </x:c>
      <x:c r="I1616" s="17" t="str">
        <x:v>Followup</x:v>
      </x:c>
    </x:row>
    <x:row r="1617" ht="23" customHeight="1">
      <x:c r="A1617" s="17" t="str">
        <x:v>U01611</x:v>
      </x:c>
      <x:c r="B1617" s="18" t="n">
        <x:v>46293</x:v>
      </x:c>
      <x:c r="C1617" s="17" t="str">
        <x:v>W0101</x:v>
      </x:c>
      <x:c r="D1617" s="17" t="str">
        <x:v>C002</x:v>
      </x:c>
      <x:c r="E1617" s="17" t="str">
        <x:v>CopyStudio</x:v>
      </x:c>
      <x:c r="F1617" s="17" t="str">
        <x:v>Pro</x:v>
      </x:c>
      <x:c r="G1617" s="21" t="n">
        <x:v>15460</x:v>
      </x:c>
      <x:c r="H1617" s="21" t="n">
        <x:v>7413</x:v>
      </x:c>
      <x:c r="I1617" s="17" t="str">
        <x:v>Followup</x:v>
      </x:c>
    </x:row>
    <x:row r="1618" ht="23" customHeight="1">
      <x:c r="A1618" s="17" t="str">
        <x:v>U01612</x:v>
      </x:c>
      <x:c r="B1618" s="18" t="n">
        <x:v>46293</x:v>
      </x:c>
      <x:c r="C1618" s="17" t="str">
        <x:v>W0101</x:v>
      </x:c>
      <x:c r="D1618" s="17" t="str">
        <x:v>C002</x:v>
      </x:c>
      <x:c r="E1618" s="17" t="str">
        <x:v>CopyStudio</x:v>
      </x:c>
      <x:c r="F1618" s="17" t="str">
        <x:v>Pro</x:v>
      </x:c>
      <x:c r="G1618" s="21" t="n">
        <x:v>25365</x:v>
      </x:c>
      <x:c r="H1618" s="21" t="n">
        <x:v>19545</x:v>
      </x:c>
      <x:c r="I1618" s="17" t="str">
        <x:v>Correction</x:v>
      </x:c>
    </x:row>
    <x:row r="1619" ht="23" customHeight="1">
      <x:c r="A1619" s="17" t="str">
        <x:v>U01613</x:v>
      </x:c>
      <x:c r="B1619" s="18" t="n">
        <x:v>46293</x:v>
      </x:c>
      <x:c r="C1619" s="17" t="str">
        <x:v>W0101</x:v>
      </x:c>
      <x:c r="D1619" s="17" t="str">
        <x:v>C002</x:v>
      </x:c>
      <x:c r="E1619" s="17" t="str">
        <x:v>CopyStudio</x:v>
      </x:c>
      <x:c r="F1619" s="17" t="str">
        <x:v>Pro</x:v>
      </x:c>
      <x:c r="G1619" s="21" t="n">
        <x:v>17055</x:v>
      </x:c>
      <x:c r="H1619" s="21" t="n">
        <x:v>8507</x:v>
      </x:c>
      <x:c r="I1619" s="17" t="str">
        <x:v>Correction</x:v>
      </x:c>
    </x:row>
    <x:row r="1620" ht="23" customHeight="1">
      <x:c r="A1620" s="17" t="str">
        <x:v>U01614</x:v>
      </x:c>
      <x:c r="B1620" s="18" t="n">
        <x:v>46293</x:v>
      </x:c>
      <x:c r="C1620" s="17" t="str">
        <x:v>W0101</x:v>
      </x:c>
      <x:c r="D1620" s="17" t="str">
        <x:v>C002</x:v>
      </x:c>
      <x:c r="E1620" s="17" t="str">
        <x:v>CopyStudio</x:v>
      </x:c>
      <x:c r="F1620" s="17" t="str">
        <x:v>Pro</x:v>
      </x:c>
      <x:c r="G1620" s="21" t="n">
        <x:v>29482</x:v>
      </x:c>
      <x:c r="H1620" s="21" t="n">
        <x:v>10587</x:v>
      </x:c>
      <x:c r="I1620" s="17" t="str">
        <x:v>Followup</x:v>
      </x:c>
    </x:row>
    <x:row r="1621" ht="23" customHeight="1">
      <x:c r="A1621" s="17" t="str">
        <x:v>U01615</x:v>
      </x:c>
      <x:c r="B1621" s="18" t="n">
        <x:v>46293</x:v>
      </x:c>
      <x:c r="C1621" s="17" t="str">
        <x:v>W0101</x:v>
      </x:c>
      <x:c r="D1621" s="17" t="str">
        <x:v>C002</x:v>
      </x:c>
      <x:c r="E1621" s="17" t="str">
        <x:v>CopyStudio</x:v>
      </x:c>
      <x:c r="F1621" s="17" t="str">
        <x:v>Pro</x:v>
      </x:c>
      <x:c r="G1621" s="21" t="n">
        <x:v>32769</x:v>
      </x:c>
      <x:c r="H1621" s="21" t="n">
        <x:v>14289</x:v>
      </x:c>
      <x:c r="I1621" s="17" t="str">
        <x:v>Followup</x:v>
      </x:c>
    </x:row>
    <x:row r="1622" ht="23" customHeight="1">
      <x:c r="A1622" s="17" t="str">
        <x:v>U01616</x:v>
      </x:c>
      <x:c r="B1622" s="18" t="n">
        <x:v>46293</x:v>
      </x:c>
      <x:c r="C1622" s="17" t="str">
        <x:v>W0101</x:v>
      </x:c>
      <x:c r="D1622" s="17" t="str">
        <x:v>C002</x:v>
      </x:c>
      <x:c r="E1622" s="17" t="str">
        <x:v>CopyStudio</x:v>
      </x:c>
      <x:c r="F1622" s="17" t="str">
        <x:v>Pro</x:v>
      </x:c>
      <x:c r="G1622" s="21" t="n">
        <x:v>31223</x:v>
      </x:c>
      <x:c r="H1622" s="21" t="n">
        <x:v>18401</x:v>
      </x:c>
      <x:c r="I1622" s="17" t="str">
        <x:v>Followup</x:v>
      </x:c>
    </x:row>
    <x:row r="1623" ht="23" customHeight="1">
      <x:c r="A1623" s="17" t="str">
        <x:v>U01617</x:v>
      </x:c>
      <x:c r="B1623" s="18" t="n">
        <x:v>46294</x:v>
      </x:c>
      <x:c r="C1623" s="17" t="str">
        <x:v>W0101</x:v>
      </x:c>
      <x:c r="D1623" s="17" t="str">
        <x:v>C002</x:v>
      </x:c>
      <x:c r="E1623" s="17" t="str">
        <x:v>CopyStudio</x:v>
      </x:c>
      <x:c r="F1623" s="17" t="str">
        <x:v>Pro</x:v>
      </x:c>
      <x:c r="G1623" s="21" t="n">
        <x:v>33645</x:v>
      </x:c>
      <x:c r="H1623" s="21" t="n">
        <x:v>12215</x:v>
      </x:c>
      <x:c r="I1623" s="17" t="str">
        <x:v>Correction</x:v>
      </x:c>
    </x:row>
    <x:row r="1624" ht="23" customHeight="1">
      <x:c r="A1624" s="17" t="str">
        <x:v>U01618</x:v>
      </x:c>
      <x:c r="B1624" s="18" t="n">
        <x:v>46294</x:v>
      </x:c>
      <x:c r="C1624" s="17" t="str">
        <x:v>W0101</x:v>
      </x:c>
      <x:c r="D1624" s="17" t="str">
        <x:v>C002</x:v>
      </x:c>
      <x:c r="E1624" s="17" t="str">
        <x:v>CopyStudio</x:v>
      </x:c>
      <x:c r="F1624" s="17" t="str">
        <x:v>Pro</x:v>
      </x:c>
      <x:c r="G1624" s="21" t="n">
        <x:v>35935</x:v>
      </x:c>
      <x:c r="H1624" s="21" t="n">
        <x:v>9492</x:v>
      </x:c>
      <x:c r="I1624" s="17" t="str">
        <x:v>Followup</x:v>
      </x:c>
    </x:row>
    <x:row r="1625" ht="23" customHeight="1">
      <x:c r="A1625" s="17" t="str">
        <x:v>U01619</x:v>
      </x:c>
      <x:c r="B1625" s="18" t="n">
        <x:v>46294</x:v>
      </x:c>
      <x:c r="C1625" s="17" t="str">
        <x:v>W0101</x:v>
      </x:c>
      <x:c r="D1625" s="17" t="str">
        <x:v>C002</x:v>
      </x:c>
      <x:c r="E1625" s="17" t="str">
        <x:v>CopyStudio</x:v>
      </x:c>
      <x:c r="F1625" s="17" t="str">
        <x:v>Pro</x:v>
      </x:c>
      <x:c r="G1625" s="21" t="n">
        <x:v>31715</x:v>
      </x:c>
      <x:c r="H1625" s="21" t="n">
        <x:v>14917</x:v>
      </x:c>
      <x:c r="I1625" s="17" t="str">
        <x:v>Correction</x:v>
      </x:c>
    </x:row>
    <x:row r="1626" ht="23" customHeight="1">
      <x:c r="A1626" s="17" t="str">
        <x:v>U01620</x:v>
      </x:c>
      <x:c r="B1626" s="18" t="n">
        <x:v>46294</x:v>
      </x:c>
      <x:c r="C1626" s="17" t="str">
        <x:v>W0101</x:v>
      </x:c>
      <x:c r="D1626" s="17" t="str">
        <x:v>C002</x:v>
      </x:c>
      <x:c r="E1626" s="17" t="str">
        <x:v>CopyStudio</x:v>
      </x:c>
      <x:c r="F1626" s="17" t="str">
        <x:v>Pro</x:v>
      </x:c>
      <x:c r="G1626" s="21" t="n">
        <x:v>28184</x:v>
      </x:c>
      <x:c r="H1626" s="21" t="n">
        <x:v>12070</x:v>
      </x:c>
      <x:c r="I1626" s="17" t="str">
        <x:v>Correction</x:v>
      </x:c>
    </x:row>
    <x:row r="1627" ht="23" customHeight="1">
      <x:c r="A1627" s="17" t="str">
        <x:v>U01621</x:v>
      </x:c>
      <x:c r="B1627" s="18" t="n">
        <x:v>46294</x:v>
      </x:c>
      <x:c r="C1627" s="17" t="str">
        <x:v>W0101</x:v>
      </x:c>
      <x:c r="D1627" s="17" t="str">
        <x:v>C002</x:v>
      </x:c>
      <x:c r="E1627" s="17" t="str">
        <x:v>CopyStudio</x:v>
      </x:c>
      <x:c r="F1627" s="17" t="str">
        <x:v>Pro</x:v>
      </x:c>
      <x:c r="G1627" s="21" t="n">
        <x:v>17960</x:v>
      </x:c>
      <x:c r="H1627" s="21" t="n">
        <x:v>20861</x:v>
      </x:c>
      <x:c r="I1627" s="17" t="str">
        <x:v>Followup</x:v>
      </x:c>
    </x:row>
    <x:row r="1628" ht="23" customHeight="1">
      <x:c r="A1628" s="17" t="str">
        <x:v>U01622</x:v>
      </x:c>
      <x:c r="B1628" s="18" t="n">
        <x:v>46283</x:v>
      </x:c>
      <x:c r="C1628" s="17" t="str">
        <x:v>W0103</x:v>
      </x:c>
      <x:c r="D1628" s="17" t="str">
        <x:v>C002</x:v>
      </x:c>
      <x:c r="E1628" s="17" t="str">
        <x:v>CampaignChat</x:v>
      </x:c>
      <x:c r="F1628" s="17" t="str">
        <x:v>Pro</x:v>
      </x:c>
      <x:c r="G1628" s="21" t="n">
        <x:v>19174</x:v>
      </x:c>
      <x:c r="H1628" s="21" t="n">
        <x:v>10882</x:v>
      </x:c>
      <x:c r="I1628" s="17" t="str">
        <x:v>First attempt</x:v>
      </x:c>
    </x:row>
    <x:row r="1629" ht="23" customHeight="1">
      <x:c r="A1629" s="17" t="str">
        <x:v>U01623</x:v>
      </x:c>
      <x:c r="B1629" s="18" t="n">
        <x:v>46283</x:v>
      </x:c>
      <x:c r="C1629" s="17" t="str">
        <x:v>W0103</x:v>
      </x:c>
      <x:c r="D1629" s="17" t="str">
        <x:v>C002</x:v>
      </x:c>
      <x:c r="E1629" s="17" t="str">
        <x:v>CampaignChat</x:v>
      </x:c>
      <x:c r="F1629" s="17" t="str">
        <x:v>Pro</x:v>
      </x:c>
      <x:c r="G1629" s="21" t="n">
        <x:v>19444</x:v>
      </x:c>
      <x:c r="H1629" s="21" t="n">
        <x:v>10201</x:v>
      </x:c>
      <x:c r="I1629" s="17" t="str">
        <x:v>Followup</x:v>
      </x:c>
    </x:row>
    <x:row r="1630" ht="23" customHeight="1">
      <x:c r="A1630" s="17" t="str">
        <x:v>U01624</x:v>
      </x:c>
      <x:c r="B1630" s="18" t="n">
        <x:v>46283</x:v>
      </x:c>
      <x:c r="C1630" s="17" t="str">
        <x:v>W0103</x:v>
      </x:c>
      <x:c r="D1630" s="17" t="str">
        <x:v>C002</x:v>
      </x:c>
      <x:c r="E1630" s="17" t="str">
        <x:v>CampaignChat</x:v>
      </x:c>
      <x:c r="F1630" s="17" t="str">
        <x:v>Pro</x:v>
      </x:c>
      <x:c r="G1630" s="21" t="n">
        <x:v>20690</x:v>
      </x:c>
      <x:c r="H1630" s="21" t="n">
        <x:v>15373</x:v>
      </x:c>
      <x:c r="I1630" s="17" t="str">
        <x:v>Followup</x:v>
      </x:c>
    </x:row>
    <x:row r="1631" ht="23" customHeight="1">
      <x:c r="A1631" s="17" t="str">
        <x:v>U01625</x:v>
      </x:c>
      <x:c r="B1631" s="18" t="n">
        <x:v>46283</x:v>
      </x:c>
      <x:c r="C1631" s="17" t="str">
        <x:v>W0103</x:v>
      </x:c>
      <x:c r="D1631" s="17" t="str">
        <x:v>C002</x:v>
      </x:c>
      <x:c r="E1631" s="17" t="str">
        <x:v>CampaignChat</x:v>
      </x:c>
      <x:c r="F1631" s="17" t="str">
        <x:v>Pro</x:v>
      </x:c>
      <x:c r="G1631" s="21" t="n">
        <x:v>18806</x:v>
      </x:c>
      <x:c r="H1631" s="21" t="n">
        <x:v>7861</x:v>
      </x:c>
      <x:c r="I1631" s="17" t="str">
        <x:v>Followup</x:v>
      </x:c>
    </x:row>
    <x:row r="1632" ht="23" customHeight="1">
      <x:c r="A1632" s="17" t="str">
        <x:v>U01626</x:v>
      </x:c>
      <x:c r="B1632" s="18" t="n">
        <x:v>46283</x:v>
      </x:c>
      <x:c r="C1632" s="17" t="str">
        <x:v>W0103</x:v>
      </x:c>
      <x:c r="D1632" s="17" t="str">
        <x:v>C002</x:v>
      </x:c>
      <x:c r="E1632" s="17" t="str">
        <x:v>CampaignChat</x:v>
      </x:c>
      <x:c r="F1632" s="17" t="str">
        <x:v>Pro</x:v>
      </x:c>
      <x:c r="G1632" s="21" t="n">
        <x:v>19571</x:v>
      </x:c>
      <x:c r="H1632" s="21" t="n">
        <x:v>15150</x:v>
      </x:c>
      <x:c r="I1632" s="17" t="str">
        <x:v>Followup</x:v>
      </x:c>
    </x:row>
    <x:row r="1633" ht="23" customHeight="1">
      <x:c r="A1633" s="17" t="str">
        <x:v>U01627</x:v>
      </x:c>
      <x:c r="B1633" s="18" t="n">
        <x:v>46283</x:v>
      </x:c>
      <x:c r="C1633" s="17" t="str">
        <x:v>W0103</x:v>
      </x:c>
      <x:c r="D1633" s="17" t="str">
        <x:v>C002</x:v>
      </x:c>
      <x:c r="E1633" s="17" t="str">
        <x:v>CampaignChat</x:v>
      </x:c>
      <x:c r="F1633" s="17" t="str">
        <x:v>Pro</x:v>
      </x:c>
      <x:c r="G1633" s="21" t="n">
        <x:v>16528</x:v>
      </x:c>
      <x:c r="H1633" s="21" t="n">
        <x:v>18000</x:v>
      </x:c>
      <x:c r="I1633" s="17" t="str">
        <x:v>Correction</x:v>
      </x:c>
    </x:row>
    <x:row r="1634" ht="23" customHeight="1">
      <x:c r="A1634" s="17" t="str">
        <x:v>U01628</x:v>
      </x:c>
      <x:c r="B1634" s="18" t="n">
        <x:v>46286</x:v>
      </x:c>
      <x:c r="C1634" s="17" t="str">
        <x:v>W0103</x:v>
      </x:c>
      <x:c r="D1634" s="17" t="str">
        <x:v>C002</x:v>
      </x:c>
      <x:c r="E1634" s="17" t="str">
        <x:v>CampaignChat</x:v>
      </x:c>
      <x:c r="F1634" s="17" t="str">
        <x:v>Pro</x:v>
      </x:c>
      <x:c r="G1634" s="21" t="n">
        <x:v>9372</x:v>
      </x:c>
      <x:c r="H1634" s="21" t="n">
        <x:v>9065</x:v>
      </x:c>
      <x:c r="I1634" s="17" t="str">
        <x:v>Followup</x:v>
      </x:c>
    </x:row>
    <x:row r="1635" ht="23" customHeight="1">
      <x:c r="A1635" s="17" t="str">
        <x:v>U01629</x:v>
      </x:c>
      <x:c r="B1635" s="18" t="n">
        <x:v>46286</x:v>
      </x:c>
      <x:c r="C1635" s="17" t="str">
        <x:v>W0103</x:v>
      </x:c>
      <x:c r="D1635" s="17" t="str">
        <x:v>C002</x:v>
      </x:c>
      <x:c r="E1635" s="17" t="str">
        <x:v>CampaignChat</x:v>
      </x:c>
      <x:c r="F1635" s="17" t="str">
        <x:v>Pro</x:v>
      </x:c>
      <x:c r="G1635" s="21" t="n">
        <x:v>24640</x:v>
      </x:c>
      <x:c r="H1635" s="21" t="n">
        <x:v>19642</x:v>
      </x:c>
      <x:c r="I1635" s="17" t="str">
        <x:v>Followup</x:v>
      </x:c>
    </x:row>
    <x:row r="1636" ht="23" customHeight="1">
      <x:c r="A1636" s="17" t="str">
        <x:v>U01630</x:v>
      </x:c>
      <x:c r="B1636" s="18" t="n">
        <x:v>46286</x:v>
      </x:c>
      <x:c r="C1636" s="17" t="str">
        <x:v>W0103</x:v>
      </x:c>
      <x:c r="D1636" s="17" t="str">
        <x:v>C002</x:v>
      </x:c>
      <x:c r="E1636" s="17" t="str">
        <x:v>CampaignChat</x:v>
      </x:c>
      <x:c r="F1636" s="17" t="str">
        <x:v>Pro</x:v>
      </x:c>
      <x:c r="G1636" s="21" t="n">
        <x:v>12835</x:v>
      </x:c>
      <x:c r="H1636" s="21" t="n">
        <x:v>13816</x:v>
      </x:c>
      <x:c r="I1636" s="17" t="str">
        <x:v>Followup</x:v>
      </x:c>
    </x:row>
    <x:row r="1637" ht="23" customHeight="1">
      <x:c r="A1637" s="17" t="str">
        <x:v>U01631</x:v>
      </x:c>
      <x:c r="B1637" s="18" t="n">
        <x:v>46286</x:v>
      </x:c>
      <x:c r="C1637" s="17" t="str">
        <x:v>W0103</x:v>
      </x:c>
      <x:c r="D1637" s="17" t="str">
        <x:v>C002</x:v>
      </x:c>
      <x:c r="E1637" s="17" t="str">
        <x:v>CampaignChat</x:v>
      </x:c>
      <x:c r="F1637" s="17" t="str">
        <x:v>Pro</x:v>
      </x:c>
      <x:c r="G1637" s="21" t="n">
        <x:v>21899</x:v>
      </x:c>
      <x:c r="H1637" s="21" t="n">
        <x:v>16204</x:v>
      </x:c>
      <x:c r="I1637" s="17" t="str">
        <x:v>Correction</x:v>
      </x:c>
    </x:row>
    <x:row r="1638" ht="23" customHeight="1">
      <x:c r="A1638" s="17" t="str">
        <x:v>U01632</x:v>
      </x:c>
      <x:c r="B1638" s="18" t="n">
        <x:v>46286</x:v>
      </x:c>
      <x:c r="C1638" s="17" t="str">
        <x:v>W0103</x:v>
      </x:c>
      <x:c r="D1638" s="17" t="str">
        <x:v>C002</x:v>
      </x:c>
      <x:c r="E1638" s="17" t="str">
        <x:v>CampaignChat</x:v>
      </x:c>
      <x:c r="F1638" s="17" t="str">
        <x:v>Pro</x:v>
      </x:c>
      <x:c r="G1638" s="21" t="n">
        <x:v>20107</x:v>
      </x:c>
      <x:c r="H1638" s="21" t="n">
        <x:v>6484</x:v>
      </x:c>
      <x:c r="I1638" s="17" t="str">
        <x:v>Correction</x:v>
      </x:c>
    </x:row>
    <x:row r="1639" ht="23" customHeight="1">
      <x:c r="A1639" s="17" t="str">
        <x:v>U01633</x:v>
      </x:c>
      <x:c r="B1639" s="18" t="n">
        <x:v>46287</x:v>
      </x:c>
      <x:c r="C1639" s="17" t="str">
        <x:v>W0103</x:v>
      </x:c>
      <x:c r="D1639" s="17" t="str">
        <x:v>C002</x:v>
      </x:c>
      <x:c r="E1639" s="17" t="str">
        <x:v>CampaignChat</x:v>
      </x:c>
      <x:c r="F1639" s="17" t="str">
        <x:v>Pro</x:v>
      </x:c>
      <x:c r="G1639" s="21" t="n">
        <x:v>12449</x:v>
      </x:c>
      <x:c r="H1639" s="21" t="n">
        <x:v>5242</x:v>
      </x:c>
      <x:c r="I1639" s="17" t="str">
        <x:v>Correction</x:v>
      </x:c>
    </x:row>
    <x:row r="1640" ht="23" customHeight="1">
      <x:c r="A1640" s="17" t="str">
        <x:v>U01634</x:v>
      </x:c>
      <x:c r="B1640" s="18" t="n">
        <x:v>46287</x:v>
      </x:c>
      <x:c r="C1640" s="17" t="str">
        <x:v>W0103</x:v>
      </x:c>
      <x:c r="D1640" s="17" t="str">
        <x:v>C002</x:v>
      </x:c>
      <x:c r="E1640" s="17" t="str">
        <x:v>CampaignChat</x:v>
      </x:c>
      <x:c r="F1640" s="17" t="str">
        <x:v>Pro</x:v>
      </x:c>
      <x:c r="G1640" s="21" t="n">
        <x:v>23383</x:v>
      </x:c>
      <x:c r="H1640" s="21" t="n">
        <x:v>18826</x:v>
      </x:c>
      <x:c r="I1640" s="17" t="str">
        <x:v>Followup</x:v>
      </x:c>
    </x:row>
    <x:row r="1641" ht="23" customHeight="1">
      <x:c r="A1641" s="17" t="str">
        <x:v>U01635</x:v>
      </x:c>
      <x:c r="B1641" s="18" t="n">
        <x:v>46287</x:v>
      </x:c>
      <x:c r="C1641" s="17" t="str">
        <x:v>W0103</x:v>
      </x:c>
      <x:c r="D1641" s="17" t="str">
        <x:v>C002</x:v>
      </x:c>
      <x:c r="E1641" s="17" t="str">
        <x:v>CampaignChat</x:v>
      </x:c>
      <x:c r="F1641" s="17" t="str">
        <x:v>Pro</x:v>
      </x:c>
      <x:c r="G1641" s="21" t="n">
        <x:v>21145</x:v>
      </x:c>
      <x:c r="H1641" s="21" t="n">
        <x:v>12338</x:v>
      </x:c>
      <x:c r="I1641" s="17" t="str">
        <x:v>Followup</x:v>
      </x:c>
    </x:row>
    <x:row r="1642" ht="23" customHeight="1">
      <x:c r="A1642" s="17" t="str">
        <x:v>U01636</x:v>
      </x:c>
      <x:c r="B1642" s="18" t="n">
        <x:v>46287</x:v>
      </x:c>
      <x:c r="C1642" s="17" t="str">
        <x:v>W0103</x:v>
      </x:c>
      <x:c r="D1642" s="17" t="str">
        <x:v>C002</x:v>
      </x:c>
      <x:c r="E1642" s="17" t="str">
        <x:v>CampaignChat</x:v>
      </x:c>
      <x:c r="F1642" s="17" t="str">
        <x:v>Pro</x:v>
      </x:c>
      <x:c r="G1642" s="21" t="n">
        <x:v>15796</x:v>
      </x:c>
      <x:c r="H1642" s="21" t="n">
        <x:v>5543</x:v>
      </x:c>
      <x:c r="I1642" s="17" t="str">
        <x:v>Followup</x:v>
      </x:c>
    </x:row>
    <x:row r="1643" ht="23" customHeight="1">
      <x:c r="A1643" s="17" t="str">
        <x:v>U01637</x:v>
      </x:c>
      <x:c r="B1643" s="18" t="n">
        <x:v>46287</x:v>
      </x:c>
      <x:c r="C1643" s="17" t="str">
        <x:v>W0103</x:v>
      </x:c>
      <x:c r="D1643" s="17" t="str">
        <x:v>C002</x:v>
      </x:c>
      <x:c r="E1643" s="17" t="str">
        <x:v>CampaignChat</x:v>
      </x:c>
      <x:c r="F1643" s="17" t="str">
        <x:v>Pro</x:v>
      </x:c>
      <x:c r="G1643" s="21" t="n">
        <x:v>18297</x:v>
      </x:c>
      <x:c r="H1643" s="21" t="n">
        <x:v>10148</x:v>
      </x:c>
      <x:c r="I1643" s="17" t="str">
        <x:v>Correction</x:v>
      </x:c>
    </x:row>
    <x:row r="1644" ht="23" customHeight="1">
      <x:c r="A1644" s="17" t="str">
        <x:v>U01638</x:v>
      </x:c>
      <x:c r="B1644" s="18" t="n">
        <x:v>46287</x:v>
      </x:c>
      <x:c r="C1644" s="17" t="str">
        <x:v>W0103</x:v>
      </x:c>
      <x:c r="D1644" s="17" t="str">
        <x:v>C002</x:v>
      </x:c>
      <x:c r="E1644" s="17" t="str">
        <x:v>CampaignChat</x:v>
      </x:c>
      <x:c r="F1644" s="17" t="str">
        <x:v>Pro</x:v>
      </x:c>
      <x:c r="G1644" s="21" t="n">
        <x:v>12746</x:v>
      </x:c>
      <x:c r="H1644" s="21" t="n">
        <x:v>5957</x:v>
      </x:c>
      <x:c r="I1644" s="17" t="str">
        <x:v>Followup</x:v>
      </x:c>
    </x:row>
    <x:row r="1645" ht="23" customHeight="1">
      <x:c r="A1645" s="17" t="str">
        <x:v>U01639</x:v>
      </x:c>
      <x:c r="B1645" s="18" t="n">
        <x:v>46288</x:v>
      </x:c>
      <x:c r="C1645" s="17" t="str">
        <x:v>W0103</x:v>
      </x:c>
      <x:c r="D1645" s="17" t="str">
        <x:v>C002</x:v>
      </x:c>
      <x:c r="E1645" s="17" t="str">
        <x:v>CampaignChat</x:v>
      </x:c>
      <x:c r="F1645" s="17" t="str">
        <x:v>Pro</x:v>
      </x:c>
      <x:c r="G1645" s="21" t="n">
        <x:v>8493</x:v>
      </x:c>
      <x:c r="H1645" s="21" t="n">
        <x:v>15228</x:v>
      </x:c>
      <x:c r="I1645" s="17" t="str">
        <x:v>Followup</x:v>
      </x:c>
    </x:row>
    <x:row r="1646" ht="23" customHeight="1">
      <x:c r="A1646" s="17" t="str">
        <x:v>U01640</x:v>
      </x:c>
      <x:c r="B1646" s="18" t="n">
        <x:v>46288</x:v>
      </x:c>
      <x:c r="C1646" s="17" t="str">
        <x:v>W0103</x:v>
      </x:c>
      <x:c r="D1646" s="17" t="str">
        <x:v>C002</x:v>
      </x:c>
      <x:c r="E1646" s="17" t="str">
        <x:v>CampaignChat</x:v>
      </x:c>
      <x:c r="F1646" s="17" t="str">
        <x:v>Pro</x:v>
      </x:c>
      <x:c r="G1646" s="21" t="n">
        <x:v>19610</x:v>
      </x:c>
      <x:c r="H1646" s="21" t="n">
        <x:v>16588</x:v>
      </x:c>
      <x:c r="I1646" s="17" t="str">
        <x:v>Correction</x:v>
      </x:c>
    </x:row>
    <x:row r="1647" ht="23" customHeight="1">
      <x:c r="A1647" s="17" t="str">
        <x:v>U01641</x:v>
      </x:c>
      <x:c r="B1647" s="18" t="n">
        <x:v>46288</x:v>
      </x:c>
      <x:c r="C1647" s="17" t="str">
        <x:v>W0103</x:v>
      </x:c>
      <x:c r="D1647" s="17" t="str">
        <x:v>C002</x:v>
      </x:c>
      <x:c r="E1647" s="17" t="str">
        <x:v>CampaignChat</x:v>
      </x:c>
      <x:c r="F1647" s="17" t="str">
        <x:v>Pro</x:v>
      </x:c>
      <x:c r="G1647" s="21" t="n">
        <x:v>9048</x:v>
      </x:c>
      <x:c r="H1647" s="21" t="n">
        <x:v>9585</x:v>
      </x:c>
      <x:c r="I1647" s="17" t="str">
        <x:v>Followup</x:v>
      </x:c>
    </x:row>
    <x:row r="1648" ht="23" customHeight="1">
      <x:c r="A1648" s="17" t="str">
        <x:v>U01642</x:v>
      </x:c>
      <x:c r="B1648" s="18" t="n">
        <x:v>46288</x:v>
      </x:c>
      <x:c r="C1648" s="17" t="str">
        <x:v>W0103</x:v>
      </x:c>
      <x:c r="D1648" s="17" t="str">
        <x:v>C002</x:v>
      </x:c>
      <x:c r="E1648" s="17" t="str">
        <x:v>CampaignChat</x:v>
      </x:c>
      <x:c r="F1648" s="17" t="str">
        <x:v>Pro</x:v>
      </x:c>
      <x:c r="G1648" s="21" t="n">
        <x:v>14191</x:v>
      </x:c>
      <x:c r="H1648" s="21" t="n">
        <x:v>7402</x:v>
      </x:c>
      <x:c r="I1648" s="17" t="str">
        <x:v>Correction</x:v>
      </x:c>
    </x:row>
    <x:row r="1649" ht="23" customHeight="1">
      <x:c r="A1649" s="17" t="str">
        <x:v>U01643</x:v>
      </x:c>
      <x:c r="B1649" s="18" t="n">
        <x:v>46288</x:v>
      </x:c>
      <x:c r="C1649" s="17" t="str">
        <x:v>W0103</x:v>
      </x:c>
      <x:c r="D1649" s="17" t="str">
        <x:v>C002</x:v>
      </x:c>
      <x:c r="E1649" s="17" t="str">
        <x:v>CampaignChat</x:v>
      </x:c>
      <x:c r="F1649" s="17" t="str">
        <x:v>Pro</x:v>
      </x:c>
      <x:c r="G1649" s="21" t="n">
        <x:v>15914</x:v>
      </x:c>
      <x:c r="H1649" s="21" t="n">
        <x:v>12633</x:v>
      </x:c>
      <x:c r="I1649" s="17" t="str">
        <x:v>Correction</x:v>
      </x:c>
    </x:row>
    <x:row r="1650" ht="23" customHeight="1">
      <x:c r="A1650" s="17" t="str">
        <x:v>U01644</x:v>
      </x:c>
      <x:c r="B1650" s="18" t="n">
        <x:v>46266</x:v>
      </x:c>
      <x:c r="C1650" s="17" t="str">
        <x:v>W0109</x:v>
      </x:c>
      <x:c r="D1650" s="17" t="str">
        <x:v>C002</x:v>
      </x:c>
      <x:c r="E1650" s="17" t="str">
        <x:v>CopyStudio</x:v>
      </x:c>
      <x:c r="F1650" s="17" t="str">
        <x:v>Pro</x:v>
      </x:c>
      <x:c r="G1650" s="21" t="n">
        <x:v>39230</x:v>
      </x:c>
      <x:c r="H1650" s="21" t="n">
        <x:v>8276</x:v>
      </x:c>
      <x:c r="I1650" s="17" t="str">
        <x:v>First attempt</x:v>
      </x:c>
    </x:row>
    <x:row r="1651" ht="23" customHeight="1">
      <x:c r="A1651" s="17" t="str">
        <x:v>U01645</x:v>
      </x:c>
      <x:c r="B1651" s="18" t="n">
        <x:v>46266</x:v>
      </x:c>
      <x:c r="C1651" s="17" t="str">
        <x:v>W0109</x:v>
      </x:c>
      <x:c r="D1651" s="17" t="str">
        <x:v>C002</x:v>
      </x:c>
      <x:c r="E1651" s="17" t="str">
        <x:v>CopyStudio</x:v>
      </x:c>
      <x:c r="F1651" s="17" t="str">
        <x:v>Pro</x:v>
      </x:c>
      <x:c r="G1651" s="21" t="n">
        <x:v>18528</x:v>
      </x:c>
      <x:c r="H1651" s="21" t="n">
        <x:v>8105</x:v>
      </x:c>
      <x:c r="I1651" s="17" t="str">
        <x:v>Correction</x:v>
      </x:c>
    </x:row>
    <x:row r="1652" ht="23" customHeight="1">
      <x:c r="A1652" s="17" t="str">
        <x:v>U01646</x:v>
      </x:c>
      <x:c r="B1652" s="18" t="n">
        <x:v>46266</x:v>
      </x:c>
      <x:c r="C1652" s="17" t="str">
        <x:v>W0109</x:v>
      </x:c>
      <x:c r="D1652" s="17" t="str">
        <x:v>C002</x:v>
      </x:c>
      <x:c r="E1652" s="17" t="str">
        <x:v>CopyStudio</x:v>
      </x:c>
      <x:c r="F1652" s="17" t="str">
        <x:v>Pro</x:v>
      </x:c>
      <x:c r="G1652" s="21" t="n">
        <x:v>39233</x:v>
      </x:c>
      <x:c r="H1652" s="21" t="n">
        <x:v>11015</x:v>
      </x:c>
      <x:c r="I1652" s="17" t="str">
        <x:v>Correction</x:v>
      </x:c>
    </x:row>
    <x:row r="1653" ht="23" customHeight="1">
      <x:c r="A1653" s="17" t="str">
        <x:v>U01647</x:v>
      </x:c>
      <x:c r="B1653" s="18" t="n">
        <x:v>46266</x:v>
      </x:c>
      <x:c r="C1653" s="17" t="str">
        <x:v>W0109</x:v>
      </x:c>
      <x:c r="D1653" s="17" t="str">
        <x:v>C002</x:v>
      </x:c>
      <x:c r="E1653" s="17" t="str">
        <x:v>CopyStudio</x:v>
      </x:c>
      <x:c r="F1653" s="17" t="str">
        <x:v>Pro</x:v>
      </x:c>
      <x:c r="G1653" s="21" t="n">
        <x:v>44194</x:v>
      </x:c>
      <x:c r="H1653" s="21" t="n">
        <x:v>7654</x:v>
      </x:c>
      <x:c r="I1653" s="17" t="str">
        <x:v>Followup</x:v>
      </x:c>
    </x:row>
    <x:row r="1654" ht="23" customHeight="1">
      <x:c r="A1654" s="17" t="str">
        <x:v>U01648</x:v>
      </x:c>
      <x:c r="B1654" s="18" t="n">
        <x:v>46266</x:v>
      </x:c>
      <x:c r="C1654" s="17" t="str">
        <x:v>W0109</x:v>
      </x:c>
      <x:c r="D1654" s="17" t="str">
        <x:v>C002</x:v>
      </x:c>
      <x:c r="E1654" s="17" t="str">
        <x:v>CopyStudio</x:v>
      </x:c>
      <x:c r="F1654" s="17" t="str">
        <x:v>Pro</x:v>
      </x:c>
      <x:c r="G1654" s="21" t="n">
        <x:v>25301</x:v>
      </x:c>
      <x:c r="H1654" s="21" t="n">
        <x:v>7678</x:v>
      </x:c>
      <x:c r="I1654" s="17" t="str">
        <x:v>Correction</x:v>
      </x:c>
    </x:row>
    <x:row r="1655" ht="23" customHeight="1">
      <x:c r="A1655" s="17" t="str">
        <x:v>U01649</x:v>
      </x:c>
      <x:c r="B1655" s="18" t="n">
        <x:v>46267</x:v>
      </x:c>
      <x:c r="C1655" s="17" t="str">
        <x:v>W0109</x:v>
      </x:c>
      <x:c r="D1655" s="17" t="str">
        <x:v>C002</x:v>
      </x:c>
      <x:c r="E1655" s="17" t="str">
        <x:v>CopyStudio</x:v>
      </x:c>
      <x:c r="F1655" s="17" t="str">
        <x:v>Pro</x:v>
      </x:c>
      <x:c r="G1655" s="21" t="n">
        <x:v>19829</x:v>
      </x:c>
      <x:c r="H1655" s="21" t="n">
        <x:v>10412</x:v>
      </x:c>
      <x:c r="I1655" s="17" t="str">
        <x:v>Correction</x:v>
      </x:c>
    </x:row>
    <x:row r="1656" ht="23" customHeight="1">
      <x:c r="A1656" s="17" t="str">
        <x:v>U01650</x:v>
      </x:c>
      <x:c r="B1656" s="18" t="n">
        <x:v>46267</x:v>
      </x:c>
      <x:c r="C1656" s="17" t="str">
        <x:v>W0109</x:v>
      </x:c>
      <x:c r="D1656" s="17" t="str">
        <x:v>C002</x:v>
      </x:c>
      <x:c r="E1656" s="17" t="str">
        <x:v>CopyStudio</x:v>
      </x:c>
      <x:c r="F1656" s="17" t="str">
        <x:v>Pro</x:v>
      </x:c>
      <x:c r="G1656" s="21" t="n">
        <x:v>18281</x:v>
      </x:c>
      <x:c r="H1656" s="21" t="n">
        <x:v>4377</x:v>
      </x:c>
      <x:c r="I1656" s="17" t="str">
        <x:v>Followup</x:v>
      </x:c>
    </x:row>
    <x:row r="1657" ht="23" customHeight="1">
      <x:c r="A1657" s="17" t="str">
        <x:v>U01651</x:v>
      </x:c>
      <x:c r="B1657" s="18" t="n">
        <x:v>46267</x:v>
      </x:c>
      <x:c r="C1657" s="17" t="str">
        <x:v>W0109</x:v>
      </x:c>
      <x:c r="D1657" s="17" t="str">
        <x:v>C002</x:v>
      </x:c>
      <x:c r="E1657" s="17" t="str">
        <x:v>CopyStudio</x:v>
      </x:c>
      <x:c r="F1657" s="17" t="str">
        <x:v>Pro</x:v>
      </x:c>
      <x:c r="G1657" s="21" t="n">
        <x:v>43111</x:v>
      </x:c>
      <x:c r="H1657" s="21" t="n">
        <x:v>5411</x:v>
      </x:c>
      <x:c r="I1657" s="17" t="str">
        <x:v>Followup</x:v>
      </x:c>
    </x:row>
    <x:row r="1658" ht="23" customHeight="1">
      <x:c r="A1658" s="17" t="str">
        <x:v>U01652</x:v>
      </x:c>
      <x:c r="B1658" s="18" t="n">
        <x:v>46267</x:v>
      </x:c>
      <x:c r="C1658" s="17" t="str">
        <x:v>W0109</x:v>
      </x:c>
      <x:c r="D1658" s="17" t="str">
        <x:v>C002</x:v>
      </x:c>
      <x:c r="E1658" s="17" t="str">
        <x:v>CopyStudio</x:v>
      </x:c>
      <x:c r="F1658" s="17" t="str">
        <x:v>Pro</x:v>
      </x:c>
      <x:c r="G1658" s="21" t="n">
        <x:v>25099</x:v>
      </x:c>
      <x:c r="H1658" s="21" t="n">
        <x:v>4879</x:v>
      </x:c>
      <x:c r="I1658" s="17" t="str">
        <x:v>Followup</x:v>
      </x:c>
    </x:row>
    <x:row r="1659" ht="23" customHeight="1">
      <x:c r="A1659" s="17" t="str">
        <x:v>U01653</x:v>
      </x:c>
      <x:c r="B1659" s="18" t="n">
        <x:v>46267</x:v>
      </x:c>
      <x:c r="C1659" s="17" t="str">
        <x:v>W0109</x:v>
      </x:c>
      <x:c r="D1659" s="17" t="str">
        <x:v>C002</x:v>
      </x:c>
      <x:c r="E1659" s="17" t="str">
        <x:v>CopyStudio</x:v>
      </x:c>
      <x:c r="F1659" s="17" t="str">
        <x:v>Pro</x:v>
      </x:c>
      <x:c r="G1659" s="21" t="n">
        <x:v>28428</x:v>
      </x:c>
      <x:c r="H1659" s="21" t="n">
        <x:v>4413</x:v>
      </x:c>
      <x:c r="I1659" s="17" t="str">
        <x:v>Correction</x:v>
      </x:c>
    </x:row>
    <x:row r="1660" ht="23" customHeight="1">
      <x:c r="A1660" s="17" t="str">
        <x:v>U01654</x:v>
      </x:c>
      <x:c r="B1660" s="18" t="n">
        <x:v>46268</x:v>
      </x:c>
      <x:c r="C1660" s="17" t="str">
        <x:v>W0109</x:v>
      </x:c>
      <x:c r="D1660" s="17" t="str">
        <x:v>C002</x:v>
      </x:c>
      <x:c r="E1660" s="17" t="str">
        <x:v>CopyStudio</x:v>
      </x:c>
      <x:c r="F1660" s="17" t="str">
        <x:v>Pro</x:v>
      </x:c>
      <x:c r="G1660" s="21" t="n">
        <x:v>22856</x:v>
      </x:c>
      <x:c r="H1660" s="21" t="n">
        <x:v>11059</x:v>
      </x:c>
      <x:c r="I1660" s="17" t="str">
        <x:v>Followup</x:v>
      </x:c>
    </x:row>
    <x:row r="1661" ht="23" customHeight="1">
      <x:c r="A1661" s="17" t="str">
        <x:v>U01655</x:v>
      </x:c>
      <x:c r="B1661" s="18" t="n">
        <x:v>46268</x:v>
      </x:c>
      <x:c r="C1661" s="17" t="str">
        <x:v>W0109</x:v>
      </x:c>
      <x:c r="D1661" s="17" t="str">
        <x:v>C002</x:v>
      </x:c>
      <x:c r="E1661" s="17" t="str">
        <x:v>CopyStudio</x:v>
      </x:c>
      <x:c r="F1661" s="17" t="str">
        <x:v>Pro</x:v>
      </x:c>
      <x:c r="G1661" s="21" t="n">
        <x:v>16756</x:v>
      </x:c>
      <x:c r="H1661" s="21" t="n">
        <x:v>11833</x:v>
      </x:c>
      <x:c r="I1661" s="17" t="str">
        <x:v>Followup</x:v>
      </x:c>
    </x:row>
    <x:row r="1662" ht="23" customHeight="1">
      <x:c r="A1662" s="17" t="str">
        <x:v>U01656</x:v>
      </x:c>
      <x:c r="B1662" s="18" t="n">
        <x:v>46268</x:v>
      </x:c>
      <x:c r="C1662" s="17" t="str">
        <x:v>W0109</x:v>
      </x:c>
      <x:c r="D1662" s="17" t="str">
        <x:v>C002</x:v>
      </x:c>
      <x:c r="E1662" s="17" t="str">
        <x:v>CopyStudio</x:v>
      </x:c>
      <x:c r="F1662" s="17" t="str">
        <x:v>Pro</x:v>
      </x:c>
      <x:c r="G1662" s="21" t="n">
        <x:v>33063</x:v>
      </x:c>
      <x:c r="H1662" s="21" t="n">
        <x:v>8394</x:v>
      </x:c>
      <x:c r="I1662" s="17" t="str">
        <x:v>Followup</x:v>
      </x:c>
    </x:row>
    <x:row r="1663" ht="23" customHeight="1">
      <x:c r="A1663" s="17" t="str">
        <x:v>U01657</x:v>
      </x:c>
      <x:c r="B1663" s="18" t="n">
        <x:v>46268</x:v>
      </x:c>
      <x:c r="C1663" s="17" t="str">
        <x:v>W0109</x:v>
      </x:c>
      <x:c r="D1663" s="17" t="str">
        <x:v>C002</x:v>
      </x:c>
      <x:c r="E1663" s="17" t="str">
        <x:v>CopyStudio</x:v>
      </x:c>
      <x:c r="F1663" s="17" t="str">
        <x:v>Pro</x:v>
      </x:c>
      <x:c r="G1663" s="21" t="n">
        <x:v>21704</x:v>
      </x:c>
      <x:c r="H1663" s="21" t="n">
        <x:v>7475</x:v>
      </x:c>
      <x:c r="I1663" s="17" t="str">
        <x:v>Correction</x:v>
      </x:c>
    </x:row>
    <x:row r="1664" ht="23" customHeight="1">
      <x:c r="A1664" s="17" t="str">
        <x:v>U01658</x:v>
      </x:c>
      <x:c r="B1664" s="18" t="n">
        <x:v>46268</x:v>
      </x:c>
      <x:c r="C1664" s="17" t="str">
        <x:v>W0109</x:v>
      </x:c>
      <x:c r="D1664" s="17" t="str">
        <x:v>C002</x:v>
      </x:c>
      <x:c r="E1664" s="17" t="str">
        <x:v>CopyStudio</x:v>
      </x:c>
      <x:c r="F1664" s="17" t="str">
        <x:v>Pro</x:v>
      </x:c>
      <x:c r="G1664" s="21" t="n">
        <x:v>29635</x:v>
      </x:c>
      <x:c r="H1664" s="21" t="n">
        <x:v>4635</x:v>
      </x:c>
      <x:c r="I1664" s="17" t="str">
        <x:v>Followup</x:v>
      </x:c>
    </x:row>
    <x:row r="1665" ht="23" customHeight="1">
      <x:c r="A1665" s="17" t="str">
        <x:v>U01659</x:v>
      </x:c>
      <x:c r="B1665" s="18" t="n">
        <x:v>46269</x:v>
      </x:c>
      <x:c r="C1665" s="17" t="str">
        <x:v>W0109</x:v>
      </x:c>
      <x:c r="D1665" s="17" t="str">
        <x:v>C002</x:v>
      </x:c>
      <x:c r="E1665" s="17" t="str">
        <x:v>CopyStudio</x:v>
      </x:c>
      <x:c r="F1665" s="17" t="str">
        <x:v>Pro</x:v>
      </x:c>
      <x:c r="G1665" s="21" t="n">
        <x:v>37625</x:v>
      </x:c>
      <x:c r="H1665" s="21" t="n">
        <x:v>9542</x:v>
      </x:c>
      <x:c r="I1665" s="17" t="str">
        <x:v>Followup</x:v>
      </x:c>
    </x:row>
    <x:row r="1666" ht="23" customHeight="1">
      <x:c r="A1666" s="17" t="str">
        <x:v>U01660</x:v>
      </x:c>
      <x:c r="B1666" s="18" t="n">
        <x:v>46269</x:v>
      </x:c>
      <x:c r="C1666" s="17" t="str">
        <x:v>W0109</x:v>
      </x:c>
      <x:c r="D1666" s="17" t="str">
        <x:v>C002</x:v>
      </x:c>
      <x:c r="E1666" s="17" t="str">
        <x:v>CopyStudio</x:v>
      </x:c>
      <x:c r="F1666" s="17" t="str">
        <x:v>Pro</x:v>
      </x:c>
      <x:c r="G1666" s="21" t="n">
        <x:v>19682</x:v>
      </x:c>
      <x:c r="H1666" s="21" t="n">
        <x:v>5889</x:v>
      </x:c>
      <x:c r="I1666" s="17" t="str">
        <x:v>Followup</x:v>
      </x:c>
    </x:row>
    <x:row r="1667" ht="23" customHeight="1">
      <x:c r="A1667" s="17" t="str">
        <x:v>U01661</x:v>
      </x:c>
      <x:c r="B1667" s="18" t="n">
        <x:v>46269</x:v>
      </x:c>
      <x:c r="C1667" s="17" t="str">
        <x:v>W0109</x:v>
      </x:c>
      <x:c r="D1667" s="17" t="str">
        <x:v>C002</x:v>
      </x:c>
      <x:c r="E1667" s="17" t="str">
        <x:v>CopyStudio</x:v>
      </x:c>
      <x:c r="F1667" s="17" t="str">
        <x:v>Pro</x:v>
      </x:c>
      <x:c r="G1667" s="21" t="n">
        <x:v>17493</x:v>
      </x:c>
      <x:c r="H1667" s="21" t="n">
        <x:v>7315</x:v>
      </x:c>
      <x:c r="I1667" s="17" t="str">
        <x:v>Correction</x:v>
      </x:c>
    </x:row>
    <x:row r="1668" ht="23" customHeight="1">
      <x:c r="A1668" s="17" t="str">
        <x:v>U01662</x:v>
      </x:c>
      <x:c r="B1668" s="18" t="n">
        <x:v>46269</x:v>
      </x:c>
      <x:c r="C1668" s="17" t="str">
        <x:v>W0109</x:v>
      </x:c>
      <x:c r="D1668" s="17" t="str">
        <x:v>C002</x:v>
      </x:c>
      <x:c r="E1668" s="17" t="str">
        <x:v>CopyStudio</x:v>
      </x:c>
      <x:c r="F1668" s="17" t="str">
        <x:v>Pro</x:v>
      </x:c>
      <x:c r="G1668" s="21" t="n">
        <x:v>23687</x:v>
      </x:c>
      <x:c r="H1668" s="21" t="n">
        <x:v>10415</x:v>
      </x:c>
      <x:c r="I1668" s="17" t="str">
        <x:v>Followup</x:v>
      </x:c>
    </x:row>
    <x:row r="1669" ht="23" customHeight="1">
      <x:c r="A1669" s="17" t="str">
        <x:v>U01663</x:v>
      </x:c>
      <x:c r="B1669" s="18" t="n">
        <x:v>46281</x:v>
      </x:c>
      <x:c r="C1669" s="17" t="str">
        <x:v>W0113</x:v>
      </x:c>
      <x:c r="D1669" s="17" t="str">
        <x:v>C002</x:v>
      </x:c>
      <x:c r="E1669" s="17" t="str">
        <x:v>DataFlow</x:v>
      </x:c>
      <x:c r="F1669" s="17" t="str">
        <x:v>Pro</x:v>
      </x:c>
      <x:c r="G1669" s="21" t="n">
        <x:v>15367</x:v>
      </x:c>
      <x:c r="H1669" s="21" t="n">
        <x:v>9073</x:v>
      </x:c>
      <x:c r="I1669" s="17" t="str">
        <x:v>First attempt</x:v>
      </x:c>
    </x:row>
    <x:row r="1670" ht="23" customHeight="1">
      <x:c r="A1670" s="17" t="str">
        <x:v>U01664</x:v>
      </x:c>
      <x:c r="B1670" s="18" t="n">
        <x:v>46281</x:v>
      </x:c>
      <x:c r="C1670" s="17" t="str">
        <x:v>W0113</x:v>
      </x:c>
      <x:c r="D1670" s="17" t="str">
        <x:v>C002</x:v>
      </x:c>
      <x:c r="E1670" s="17" t="str">
        <x:v>DataFlow</x:v>
      </x:c>
      <x:c r="F1670" s="17" t="str">
        <x:v>Pro</x:v>
      </x:c>
      <x:c r="G1670" s="21" t="n">
        <x:v>16860</x:v>
      </x:c>
      <x:c r="H1670" s="21" t="n">
        <x:v>5230</x:v>
      </x:c>
      <x:c r="I1670" s="17" t="str">
        <x:v>Correction</x:v>
      </x:c>
    </x:row>
    <x:row r="1671" ht="23" customHeight="1">
      <x:c r="A1671" s="17" t="str">
        <x:v>U01665</x:v>
      </x:c>
      <x:c r="B1671" s="18" t="n">
        <x:v>46281</x:v>
      </x:c>
      <x:c r="C1671" s="17" t="str">
        <x:v>W0113</x:v>
      </x:c>
      <x:c r="D1671" s="17" t="str">
        <x:v>C002</x:v>
      </x:c>
      <x:c r="E1671" s="17" t="str">
        <x:v>DataFlow</x:v>
      </x:c>
      <x:c r="F1671" s="17" t="str">
        <x:v>Pro</x:v>
      </x:c>
      <x:c r="G1671" s="21" t="n">
        <x:v>11950</x:v>
      </x:c>
      <x:c r="H1671" s="21" t="n">
        <x:v>7003</x:v>
      </x:c>
      <x:c r="I1671" s="17" t="str">
        <x:v>Correction</x:v>
      </x:c>
    </x:row>
    <x:row r="1672" ht="23" customHeight="1">
      <x:c r="A1672" s="17" t="str">
        <x:v>U01666</x:v>
      </x:c>
      <x:c r="B1672" s="18" t="n">
        <x:v>46281</x:v>
      </x:c>
      <x:c r="C1672" s="17" t="str">
        <x:v>W0113</x:v>
      </x:c>
      <x:c r="D1672" s="17" t="str">
        <x:v>C002</x:v>
      </x:c>
      <x:c r="E1672" s="17" t="str">
        <x:v>DataFlow</x:v>
      </x:c>
      <x:c r="F1672" s="17" t="str">
        <x:v>Pro</x:v>
      </x:c>
      <x:c r="G1672" s="21" t="n">
        <x:v>16240</x:v>
      </x:c>
      <x:c r="H1672" s="21" t="n">
        <x:v>5989</x:v>
      </x:c>
      <x:c r="I1672" s="17" t="str">
        <x:v>Followup</x:v>
      </x:c>
    </x:row>
    <x:row r="1673" ht="23" customHeight="1">
      <x:c r="A1673" s="17" t="str">
        <x:v>U01667</x:v>
      </x:c>
      <x:c r="B1673" s="18" t="n">
        <x:v>46281</x:v>
      </x:c>
      <x:c r="C1673" s="17" t="str">
        <x:v>W0113</x:v>
      </x:c>
      <x:c r="D1673" s="17" t="str">
        <x:v>C002</x:v>
      </x:c>
      <x:c r="E1673" s="17" t="str">
        <x:v>DataFlow</x:v>
      </x:c>
      <x:c r="F1673" s="17" t="str">
        <x:v>Pro</x:v>
      </x:c>
      <x:c r="G1673" s="21" t="n">
        <x:v>17649</x:v>
      </x:c>
      <x:c r="H1673" s="21" t="n">
        <x:v>11872</x:v>
      </x:c>
      <x:c r="I1673" s="17" t="str">
        <x:v>Followup</x:v>
      </x:c>
    </x:row>
    <x:row r="1674" ht="23" customHeight="1">
      <x:c r="A1674" s="17" t="str">
        <x:v>U01668</x:v>
      </x:c>
      <x:c r="B1674" s="18" t="n">
        <x:v>46282</x:v>
      </x:c>
      <x:c r="C1674" s="17" t="str">
        <x:v>W0113</x:v>
      </x:c>
      <x:c r="D1674" s="17" t="str">
        <x:v>C002</x:v>
      </x:c>
      <x:c r="E1674" s="17" t="str">
        <x:v>DataFlow</x:v>
      </x:c>
      <x:c r="F1674" s="17" t="str">
        <x:v>Pro</x:v>
      </x:c>
      <x:c r="G1674" s="21" t="n">
        <x:v>26216</x:v>
      </x:c>
      <x:c r="H1674" s="21" t="n">
        <x:v>6770</x:v>
      </x:c>
      <x:c r="I1674" s="17" t="str">
        <x:v>Followup</x:v>
      </x:c>
    </x:row>
    <x:row r="1675" ht="23" customHeight="1">
      <x:c r="A1675" s="17" t="str">
        <x:v>U01669</x:v>
      </x:c>
      <x:c r="B1675" s="18" t="n">
        <x:v>46282</x:v>
      </x:c>
      <x:c r="C1675" s="17" t="str">
        <x:v>W0113</x:v>
      </x:c>
      <x:c r="D1675" s="17" t="str">
        <x:v>C002</x:v>
      </x:c>
      <x:c r="E1675" s="17" t="str">
        <x:v>DataFlow</x:v>
      </x:c>
      <x:c r="F1675" s="17" t="str">
        <x:v>Pro</x:v>
      </x:c>
      <x:c r="G1675" s="21" t="n">
        <x:v>20157</x:v>
      </x:c>
      <x:c r="H1675" s="21" t="n">
        <x:v>9905</x:v>
      </x:c>
      <x:c r="I1675" s="17" t="str">
        <x:v>Correction</x:v>
      </x:c>
    </x:row>
    <x:row r="1676" ht="23" customHeight="1">
      <x:c r="A1676" s="17" t="str">
        <x:v>U01670</x:v>
      </x:c>
      <x:c r="B1676" s="18" t="n">
        <x:v>46282</x:v>
      </x:c>
      <x:c r="C1676" s="17" t="str">
        <x:v>W0113</x:v>
      </x:c>
      <x:c r="D1676" s="17" t="str">
        <x:v>C002</x:v>
      </x:c>
      <x:c r="E1676" s="17" t="str">
        <x:v>DataFlow</x:v>
      </x:c>
      <x:c r="F1676" s="17" t="str">
        <x:v>Pro</x:v>
      </x:c>
      <x:c r="G1676" s="21" t="n">
        <x:v>25159</x:v>
      </x:c>
      <x:c r="H1676" s="21" t="n">
        <x:v>10966</x:v>
      </x:c>
      <x:c r="I1676" s="17" t="str">
        <x:v>Followup</x:v>
      </x:c>
    </x:row>
    <x:row r="1677" ht="23" customHeight="1">
      <x:c r="A1677" s="17" t="str">
        <x:v>U01671</x:v>
      </x:c>
      <x:c r="B1677" s="18" t="n">
        <x:v>46282</x:v>
      </x:c>
      <x:c r="C1677" s="17" t="str">
        <x:v>W0113</x:v>
      </x:c>
      <x:c r="D1677" s="17" t="str">
        <x:v>C002</x:v>
      </x:c>
      <x:c r="E1677" s="17" t="str">
        <x:v>DataFlow</x:v>
      </x:c>
      <x:c r="F1677" s="17" t="str">
        <x:v>Pro</x:v>
      </x:c>
      <x:c r="G1677" s="21" t="n">
        <x:v>25892</x:v>
      </x:c>
      <x:c r="H1677" s="21" t="n">
        <x:v>12394</x:v>
      </x:c>
      <x:c r="I1677" s="17" t="str">
        <x:v>Correction</x:v>
      </x:c>
    </x:row>
    <x:row r="1678" ht="23" customHeight="1">
      <x:c r="A1678" s="17" t="str">
        <x:v>U01672</x:v>
      </x:c>
      <x:c r="B1678" s="18" t="n">
        <x:v>46282</x:v>
      </x:c>
      <x:c r="C1678" s="17" t="str">
        <x:v>W0113</x:v>
      </x:c>
      <x:c r="D1678" s="17" t="str">
        <x:v>C002</x:v>
      </x:c>
      <x:c r="E1678" s="17" t="str">
        <x:v>DataFlow</x:v>
      </x:c>
      <x:c r="F1678" s="17" t="str">
        <x:v>Pro</x:v>
      </x:c>
      <x:c r="G1678" s="21" t="n">
        <x:v>19044</x:v>
      </x:c>
      <x:c r="H1678" s="21" t="n">
        <x:v>5604</x:v>
      </x:c>
      <x:c r="I1678" s="17" t="str">
        <x:v>Followup</x:v>
      </x:c>
    </x:row>
    <x:row r="1679" ht="23" customHeight="1">
      <x:c r="A1679" s="17" t="str">
        <x:v>U01673</x:v>
      </x:c>
      <x:c r="B1679" s="18" t="n">
        <x:v>46283</x:v>
      </x:c>
      <x:c r="C1679" s="17" t="str">
        <x:v>W0113</x:v>
      </x:c>
      <x:c r="D1679" s="17" t="str">
        <x:v>C002</x:v>
      </x:c>
      <x:c r="E1679" s="17" t="str">
        <x:v>DataFlow</x:v>
      </x:c>
      <x:c r="F1679" s="17" t="str">
        <x:v>Pro</x:v>
      </x:c>
      <x:c r="G1679" s="21" t="n">
        <x:v>11740</x:v>
      </x:c>
      <x:c r="H1679" s="21" t="n">
        <x:v>14252</x:v>
      </x:c>
      <x:c r="I1679" s="17" t="str">
        <x:v>Correction</x:v>
      </x:c>
    </x:row>
    <x:row r="1680" ht="23" customHeight="1">
      <x:c r="A1680" s="17" t="str">
        <x:v>U01674</x:v>
      </x:c>
      <x:c r="B1680" s="18" t="n">
        <x:v>46283</x:v>
      </x:c>
      <x:c r="C1680" s="17" t="str">
        <x:v>W0113</x:v>
      </x:c>
      <x:c r="D1680" s="17" t="str">
        <x:v>C002</x:v>
      </x:c>
      <x:c r="E1680" s="17" t="str">
        <x:v>DataFlow</x:v>
      </x:c>
      <x:c r="F1680" s="17" t="str">
        <x:v>Pro</x:v>
      </x:c>
      <x:c r="G1680" s="21" t="n">
        <x:v>13754</x:v>
      </x:c>
      <x:c r="H1680" s="21" t="n">
        <x:v>8785</x:v>
      </x:c>
      <x:c r="I1680" s="17" t="str">
        <x:v>Followup</x:v>
      </x:c>
    </x:row>
    <x:row r="1681" ht="23" customHeight="1">
      <x:c r="A1681" s="17" t="str">
        <x:v>U01675</x:v>
      </x:c>
      <x:c r="B1681" s="18" t="n">
        <x:v>46283</x:v>
      </x:c>
      <x:c r="C1681" s="17" t="str">
        <x:v>W0113</x:v>
      </x:c>
      <x:c r="D1681" s="17" t="str">
        <x:v>C002</x:v>
      </x:c>
      <x:c r="E1681" s="17" t="str">
        <x:v>DataFlow</x:v>
      </x:c>
      <x:c r="F1681" s="17" t="str">
        <x:v>Pro</x:v>
      </x:c>
      <x:c r="G1681" s="21" t="n">
        <x:v>25932</x:v>
      </x:c>
      <x:c r="H1681" s="21" t="n">
        <x:v>11712</x:v>
      </x:c>
      <x:c r="I1681" s="17" t="str">
        <x:v>Followup</x:v>
      </x:c>
    </x:row>
    <x:row r="1682" ht="23" customHeight="1">
      <x:c r="A1682" s="17" t="str">
        <x:v>U01676</x:v>
      </x:c>
      <x:c r="B1682" s="18" t="n">
        <x:v>46283</x:v>
      </x:c>
      <x:c r="C1682" s="17" t="str">
        <x:v>W0113</x:v>
      </x:c>
      <x:c r="D1682" s="17" t="str">
        <x:v>C002</x:v>
      </x:c>
      <x:c r="E1682" s="17" t="str">
        <x:v>DataFlow</x:v>
      </x:c>
      <x:c r="F1682" s="17" t="str">
        <x:v>Pro</x:v>
      </x:c>
      <x:c r="G1682" s="21" t="n">
        <x:v>25792</x:v>
      </x:c>
      <x:c r="H1682" s="21" t="n">
        <x:v>4091</x:v>
      </x:c>
      <x:c r="I1682" s="17" t="str">
        <x:v>Followup</x:v>
      </x:c>
    </x:row>
    <x:row r="1683" ht="23" customHeight="1">
      <x:c r="A1683" s="17" t="str">
        <x:v>U01677</x:v>
      </x:c>
      <x:c r="B1683" s="18" t="n">
        <x:v>46283</x:v>
      </x:c>
      <x:c r="C1683" s="17" t="str">
        <x:v>W0113</x:v>
      </x:c>
      <x:c r="D1683" s="17" t="str">
        <x:v>C002</x:v>
      </x:c>
      <x:c r="E1683" s="17" t="str">
        <x:v>DataFlow</x:v>
      </x:c>
      <x:c r="F1683" s="17" t="str">
        <x:v>Pro</x:v>
      </x:c>
      <x:c r="G1683" s="21" t="n">
        <x:v>12412</x:v>
      </x:c>
      <x:c r="H1683" s="21" t="n">
        <x:v>13681</x:v>
      </x:c>
      <x:c r="I1683" s="17" t="str">
        <x:v>Correction</x:v>
      </x:c>
    </x:row>
    <x:row r="1684" ht="23" customHeight="1">
      <x:c r="A1684" s="17" t="str">
        <x:v>U01678</x:v>
      </x:c>
      <x:c r="B1684" s="18" t="n">
        <x:v>46286</x:v>
      </x:c>
      <x:c r="C1684" s="17" t="str">
        <x:v>W0113</x:v>
      </x:c>
      <x:c r="D1684" s="17" t="str">
        <x:v>C002</x:v>
      </x:c>
      <x:c r="E1684" s="17" t="str">
        <x:v>DataFlow</x:v>
      </x:c>
      <x:c r="F1684" s="17" t="str">
        <x:v>Pro</x:v>
      </x:c>
      <x:c r="G1684" s="21" t="n">
        <x:v>20525</x:v>
      </x:c>
      <x:c r="H1684" s="21" t="n">
        <x:v>14709</x:v>
      </x:c>
      <x:c r="I1684" s="17" t="str">
        <x:v>Followup</x:v>
      </x:c>
    </x:row>
    <x:row r="1685" ht="23" customHeight="1">
      <x:c r="A1685" s="17" t="str">
        <x:v>U01679</x:v>
      </x:c>
      <x:c r="B1685" s="18" t="n">
        <x:v>46286</x:v>
      </x:c>
      <x:c r="C1685" s="17" t="str">
        <x:v>W0113</x:v>
      </x:c>
      <x:c r="D1685" s="17" t="str">
        <x:v>C002</x:v>
      </x:c>
      <x:c r="E1685" s="17" t="str">
        <x:v>DataFlow</x:v>
      </x:c>
      <x:c r="F1685" s="17" t="str">
        <x:v>Pro</x:v>
      </x:c>
      <x:c r="G1685" s="21" t="n">
        <x:v>17038</x:v>
      </x:c>
      <x:c r="H1685" s="21" t="n">
        <x:v>9036</x:v>
      </x:c>
      <x:c r="I1685" s="17" t="str">
        <x:v>Followup</x:v>
      </x:c>
    </x:row>
    <x:row r="1686" ht="23" customHeight="1">
      <x:c r="A1686" s="17" t="str">
        <x:v>U01680</x:v>
      </x:c>
      <x:c r="B1686" s="18" t="n">
        <x:v>46286</x:v>
      </x:c>
      <x:c r="C1686" s="17" t="str">
        <x:v>W0113</x:v>
      </x:c>
      <x:c r="D1686" s="17" t="str">
        <x:v>C002</x:v>
      </x:c>
      <x:c r="E1686" s="17" t="str">
        <x:v>DataFlow</x:v>
      </x:c>
      <x:c r="F1686" s="17" t="str">
        <x:v>Pro</x:v>
      </x:c>
      <x:c r="G1686" s="21" t="n">
        <x:v>20056</x:v>
      </x:c>
      <x:c r="H1686" s="21" t="n">
        <x:v>9809</x:v>
      </x:c>
      <x:c r="I1686" s="17" t="str">
        <x:v>Followup</x:v>
      </x:c>
    </x:row>
    <x:row r="1687" ht="23" customHeight="1">
      <x:c r="A1687" s="17" t="str">
        <x:v>U01681</x:v>
      </x:c>
      <x:c r="B1687" s="18" t="n">
        <x:v>46286</x:v>
      </x:c>
      <x:c r="C1687" s="17" t="str">
        <x:v>W0113</x:v>
      </x:c>
      <x:c r="D1687" s="17" t="str">
        <x:v>C002</x:v>
      </x:c>
      <x:c r="E1687" s="17" t="str">
        <x:v>DataFlow</x:v>
      </x:c>
      <x:c r="F1687" s="17" t="str">
        <x:v>Pro</x:v>
      </x:c>
      <x:c r="G1687" s="21" t="n">
        <x:v>23342</x:v>
      </x:c>
      <x:c r="H1687" s="21" t="n">
        <x:v>8925</x:v>
      </x:c>
      <x:c r="I1687" s="17" t="str">
        <x:v>Followup</x:v>
      </x:c>
    </x:row>
    <x:row r="1688" ht="23" customHeight="1">
      <x:c r="A1688" s="17" t="str">
        <x:v>U01682</x:v>
      </x:c>
      <x:c r="B1688" s="18" t="n">
        <x:v>46290</x:v>
      </x:c>
      <x:c r="C1688" s="17" t="str">
        <x:v>W0114</x:v>
      </x:c>
      <x:c r="D1688" s="17" t="str">
        <x:v>C002</x:v>
      </x:c>
      <x:c r="E1688" s="17" t="str">
        <x:v>InsightDesk</x:v>
      </x:c>
      <x:c r="F1688" s="17" t="str">
        <x:v>Pro</x:v>
      </x:c>
      <x:c r="G1688" s="21" t="n">
        <x:v>8990</x:v>
      </x:c>
      <x:c r="H1688" s="21" t="n">
        <x:v>5690</x:v>
      </x:c>
      <x:c r="I1688" s="17" t="str">
        <x:v>First attempt</x:v>
      </x:c>
    </x:row>
    <x:row r="1689" ht="23" customHeight="1">
      <x:c r="A1689" s="17" t="str">
        <x:v>U01683</x:v>
      </x:c>
      <x:c r="B1689" s="18" t="n">
        <x:v>46290</x:v>
      </x:c>
      <x:c r="C1689" s="17" t="str">
        <x:v>W0114</x:v>
      </x:c>
      <x:c r="D1689" s="17" t="str">
        <x:v>C002</x:v>
      </x:c>
      <x:c r="E1689" s="17" t="str">
        <x:v>InsightDesk</x:v>
      </x:c>
      <x:c r="F1689" s="17" t="str">
        <x:v>Pro</x:v>
      </x:c>
      <x:c r="G1689" s="21" t="n">
        <x:v>9878</x:v>
      </x:c>
      <x:c r="H1689" s="21" t="n">
        <x:v>8646</x:v>
      </x:c>
      <x:c r="I1689" s="17" t="str">
        <x:v>Followup</x:v>
      </x:c>
    </x:row>
    <x:row r="1690" ht="23" customHeight="1">
      <x:c r="A1690" s="17" t="str">
        <x:v>U01684</x:v>
      </x:c>
      <x:c r="B1690" s="18" t="n">
        <x:v>46290</x:v>
      </x:c>
      <x:c r="C1690" s="17" t="str">
        <x:v>W0114</x:v>
      </x:c>
      <x:c r="D1690" s="17" t="str">
        <x:v>C002</x:v>
      </x:c>
      <x:c r="E1690" s="17" t="str">
        <x:v>InsightDesk</x:v>
      </x:c>
      <x:c r="F1690" s="17" t="str">
        <x:v>Pro</x:v>
      </x:c>
      <x:c r="G1690" s="21" t="n">
        <x:v>11322</x:v>
      </x:c>
      <x:c r="H1690" s="21" t="n">
        <x:v>12388</x:v>
      </x:c>
      <x:c r="I1690" s="17" t="str">
        <x:v>Followup</x:v>
      </x:c>
    </x:row>
    <x:row r="1691" ht="23" customHeight="1">
      <x:c r="A1691" s="17" t="str">
        <x:v>U01685</x:v>
      </x:c>
      <x:c r="B1691" s="18" t="n">
        <x:v>46290</x:v>
      </x:c>
      <x:c r="C1691" s="17" t="str">
        <x:v>W0114</x:v>
      </x:c>
      <x:c r="D1691" s="17" t="str">
        <x:v>C002</x:v>
      </x:c>
      <x:c r="E1691" s="17" t="str">
        <x:v>InsightDesk</x:v>
      </x:c>
      <x:c r="F1691" s="17" t="str">
        <x:v>Pro</x:v>
      </x:c>
      <x:c r="G1691" s="21" t="n">
        <x:v>8903</x:v>
      </x:c>
      <x:c r="H1691" s="21" t="n">
        <x:v>11517</x:v>
      </x:c>
      <x:c r="I1691" s="17" t="str">
        <x:v>Followup</x:v>
      </x:c>
    </x:row>
    <x:row r="1692" ht="23" customHeight="1">
      <x:c r="A1692" s="17" t="str">
        <x:v>U01686</x:v>
      </x:c>
      <x:c r="B1692" s="18" t="n">
        <x:v>46290</x:v>
      </x:c>
      <x:c r="C1692" s="17" t="str">
        <x:v>W0114</x:v>
      </x:c>
      <x:c r="D1692" s="17" t="str">
        <x:v>C002</x:v>
      </x:c>
      <x:c r="E1692" s="17" t="str">
        <x:v>InsightDesk</x:v>
      </x:c>
      <x:c r="F1692" s="17" t="str">
        <x:v>Pro</x:v>
      </x:c>
      <x:c r="G1692" s="21" t="n">
        <x:v>13925</x:v>
      </x:c>
      <x:c r="H1692" s="21" t="n">
        <x:v>10722</x:v>
      </x:c>
      <x:c r="I1692" s="17" t="str">
        <x:v>Followup</x:v>
      </x:c>
    </x:row>
    <x:row r="1693" ht="23" customHeight="1">
      <x:c r="A1693" s="17" t="str">
        <x:v>U01687</x:v>
      </x:c>
      <x:c r="B1693" s="18" t="n">
        <x:v>46290</x:v>
      </x:c>
      <x:c r="C1693" s="17" t="str">
        <x:v>W0114</x:v>
      </x:c>
      <x:c r="D1693" s="17" t="str">
        <x:v>C002</x:v>
      </x:c>
      <x:c r="E1693" s="17" t="str">
        <x:v>InsightDesk</x:v>
      </x:c>
      <x:c r="F1693" s="17" t="str">
        <x:v>Pro</x:v>
      </x:c>
      <x:c r="G1693" s="21" t="n">
        <x:v>9571</x:v>
      </x:c>
      <x:c r="H1693" s="21" t="n">
        <x:v>18676</x:v>
      </x:c>
      <x:c r="I1693" s="17" t="str">
        <x:v>Correction</x:v>
      </x:c>
    </x:row>
    <x:row r="1694" ht="23" customHeight="1">
      <x:c r="A1694" s="17" t="str">
        <x:v>U01688</x:v>
      </x:c>
      <x:c r="B1694" s="18" t="n">
        <x:v>46293</x:v>
      </x:c>
      <x:c r="C1694" s="17" t="str">
        <x:v>W0114</x:v>
      </x:c>
      <x:c r="D1694" s="17" t="str">
        <x:v>C002</x:v>
      </x:c>
      <x:c r="E1694" s="17" t="str">
        <x:v>InsightDesk</x:v>
      </x:c>
      <x:c r="F1694" s="17" t="str">
        <x:v>Pro</x:v>
      </x:c>
      <x:c r="G1694" s="21" t="n">
        <x:v>13627</x:v>
      </x:c>
      <x:c r="H1694" s="21" t="n">
        <x:v>15526</x:v>
      </x:c>
      <x:c r="I1694" s="17" t="str">
        <x:v>Correction</x:v>
      </x:c>
    </x:row>
    <x:row r="1695" ht="23" customHeight="1">
      <x:c r="A1695" s="17" t="str">
        <x:v>U01689</x:v>
      </x:c>
      <x:c r="B1695" s="18" t="n">
        <x:v>46293</x:v>
      </x:c>
      <x:c r="C1695" s="17" t="str">
        <x:v>W0114</x:v>
      </x:c>
      <x:c r="D1695" s="17" t="str">
        <x:v>C002</x:v>
      </x:c>
      <x:c r="E1695" s="17" t="str">
        <x:v>InsightDesk</x:v>
      </x:c>
      <x:c r="F1695" s="17" t="str">
        <x:v>Pro</x:v>
      </x:c>
      <x:c r="G1695" s="21" t="n">
        <x:v>8562</x:v>
      </x:c>
      <x:c r="H1695" s="21" t="n">
        <x:v>7200</x:v>
      </x:c>
      <x:c r="I1695" s="17" t="str">
        <x:v>Correction</x:v>
      </x:c>
    </x:row>
    <x:row r="1696" ht="23" customHeight="1">
      <x:c r="A1696" s="17" t="str">
        <x:v>U01690</x:v>
      </x:c>
      <x:c r="B1696" s="18" t="n">
        <x:v>46293</x:v>
      </x:c>
      <x:c r="C1696" s="17" t="str">
        <x:v>W0114</x:v>
      </x:c>
      <x:c r="D1696" s="17" t="str">
        <x:v>C002</x:v>
      </x:c>
      <x:c r="E1696" s="17" t="str">
        <x:v>InsightDesk</x:v>
      </x:c>
      <x:c r="F1696" s="17" t="str">
        <x:v>Pro</x:v>
      </x:c>
      <x:c r="G1696" s="21" t="n">
        <x:v>6776</x:v>
      </x:c>
      <x:c r="H1696" s="21" t="n">
        <x:v>7520</x:v>
      </x:c>
      <x:c r="I1696" s="17" t="str">
        <x:v>Correction</x:v>
      </x:c>
    </x:row>
    <x:row r="1697" ht="23" customHeight="1">
      <x:c r="A1697" s="17" t="str">
        <x:v>U01691</x:v>
      </x:c>
      <x:c r="B1697" s="18" t="n">
        <x:v>46293</x:v>
      </x:c>
      <x:c r="C1697" s="17" t="str">
        <x:v>W0114</x:v>
      </x:c>
      <x:c r="D1697" s="17" t="str">
        <x:v>C002</x:v>
      </x:c>
      <x:c r="E1697" s="17" t="str">
        <x:v>InsightDesk</x:v>
      </x:c>
      <x:c r="F1697" s="17" t="str">
        <x:v>Pro</x:v>
      </x:c>
      <x:c r="G1697" s="21" t="n">
        <x:v>6525</x:v>
      </x:c>
      <x:c r="H1697" s="21" t="n">
        <x:v>14286</x:v>
      </x:c>
      <x:c r="I1697" s="17" t="str">
        <x:v>Followup</x:v>
      </x:c>
    </x:row>
    <x:row r="1698" ht="23" customHeight="1">
      <x:c r="A1698" s="17" t="str">
        <x:v>U01692</x:v>
      </x:c>
      <x:c r="B1698" s="18" t="n">
        <x:v>46293</x:v>
      </x:c>
      <x:c r="C1698" s="17" t="str">
        <x:v>W0114</x:v>
      </x:c>
      <x:c r="D1698" s="17" t="str">
        <x:v>C002</x:v>
      </x:c>
      <x:c r="E1698" s="17" t="str">
        <x:v>InsightDesk</x:v>
      </x:c>
      <x:c r="F1698" s="17" t="str">
        <x:v>Pro</x:v>
      </x:c>
      <x:c r="G1698" s="21" t="n">
        <x:v>12748</x:v>
      </x:c>
      <x:c r="H1698" s="21" t="n">
        <x:v>9948</x:v>
      </x:c>
      <x:c r="I1698" s="17" t="str">
        <x:v>Followup</x:v>
      </x:c>
    </x:row>
    <x:row r="1699" ht="23" customHeight="1">
      <x:c r="A1699" s="17" t="str">
        <x:v>U01693</x:v>
      </x:c>
      <x:c r="B1699" s="18" t="n">
        <x:v>46293</x:v>
      </x:c>
      <x:c r="C1699" s="17" t="str">
        <x:v>W0114</x:v>
      </x:c>
      <x:c r="D1699" s="17" t="str">
        <x:v>C002</x:v>
      </x:c>
      <x:c r="E1699" s="17" t="str">
        <x:v>InsightDesk</x:v>
      </x:c>
      <x:c r="F1699" s="17" t="str">
        <x:v>Pro</x:v>
      </x:c>
      <x:c r="G1699" s="21" t="n">
        <x:v>14032</x:v>
      </x:c>
      <x:c r="H1699" s="21" t="n">
        <x:v>10966</x:v>
      </x:c>
      <x:c r="I1699" s="17" t="str">
        <x:v>Followup</x:v>
      </x:c>
    </x:row>
    <x:row r="1700" ht="23" customHeight="1">
      <x:c r="A1700" s="17" t="str">
        <x:v>U01694</x:v>
      </x:c>
      <x:c r="B1700" s="18" t="n">
        <x:v>46294</x:v>
      </x:c>
      <x:c r="C1700" s="17" t="str">
        <x:v>W0114</x:v>
      </x:c>
      <x:c r="D1700" s="17" t="str">
        <x:v>C002</x:v>
      </x:c>
      <x:c r="E1700" s="17" t="str">
        <x:v>InsightDesk</x:v>
      </x:c>
      <x:c r="F1700" s="17" t="str">
        <x:v>Pro</x:v>
      </x:c>
      <x:c r="G1700" s="21" t="n">
        <x:v>13007</x:v>
      </x:c>
      <x:c r="H1700" s="21" t="n">
        <x:v>5366</x:v>
      </x:c>
      <x:c r="I1700" s="17" t="str">
        <x:v>Correction</x:v>
      </x:c>
    </x:row>
    <x:row r="1701" ht="23" customHeight="1">
      <x:c r="A1701" s="17" t="str">
        <x:v>U01695</x:v>
      </x:c>
      <x:c r="B1701" s="18" t="n">
        <x:v>46294</x:v>
      </x:c>
      <x:c r="C1701" s="17" t="str">
        <x:v>W0114</x:v>
      </x:c>
      <x:c r="D1701" s="17" t="str">
        <x:v>C002</x:v>
      </x:c>
      <x:c r="E1701" s="17" t="str">
        <x:v>InsightDesk</x:v>
      </x:c>
      <x:c r="F1701" s="17" t="str">
        <x:v>Pro</x:v>
      </x:c>
      <x:c r="G1701" s="21" t="n">
        <x:v>14266</x:v>
      </x:c>
      <x:c r="H1701" s="21" t="n">
        <x:v>5759</x:v>
      </x:c>
      <x:c r="I1701" s="17" t="str">
        <x:v>Followup</x:v>
      </x:c>
    </x:row>
    <x:row r="1702" ht="23" customHeight="1">
      <x:c r="A1702" s="17" t="str">
        <x:v>U01696</x:v>
      </x:c>
      <x:c r="B1702" s="18" t="n">
        <x:v>46294</x:v>
      </x:c>
      <x:c r="C1702" s="17" t="str">
        <x:v>W0114</x:v>
      </x:c>
      <x:c r="D1702" s="17" t="str">
        <x:v>C002</x:v>
      </x:c>
      <x:c r="E1702" s="17" t="str">
        <x:v>InsightDesk</x:v>
      </x:c>
      <x:c r="F1702" s="17" t="str">
        <x:v>Pro</x:v>
      </x:c>
      <x:c r="G1702" s="21" t="n">
        <x:v>9786</x:v>
      </x:c>
      <x:c r="H1702" s="21" t="n">
        <x:v>17782</x:v>
      </x:c>
      <x:c r="I1702" s="17" t="str">
        <x:v>Correction</x:v>
      </x:c>
    </x:row>
    <x:row r="1703" ht="23" customHeight="1">
      <x:c r="A1703" s="17" t="str">
        <x:v>U01697</x:v>
      </x:c>
      <x:c r="B1703" s="18" t="n">
        <x:v>46294</x:v>
      </x:c>
      <x:c r="C1703" s="17" t="str">
        <x:v>W0114</x:v>
      </x:c>
      <x:c r="D1703" s="17" t="str">
        <x:v>C002</x:v>
      </x:c>
      <x:c r="E1703" s="17" t="str">
        <x:v>InsightDesk</x:v>
      </x:c>
      <x:c r="F1703" s="17" t="str">
        <x:v>Pro</x:v>
      </x:c>
      <x:c r="G1703" s="21" t="n">
        <x:v>17408</x:v>
      </x:c>
      <x:c r="H1703" s="21" t="n">
        <x:v>7983</x:v>
      </x:c>
      <x:c r="I1703" s="17" t="str">
        <x:v>Correction</x:v>
      </x:c>
    </x:row>
    <x:row r="1704" ht="23" customHeight="1">
      <x:c r="A1704" s="17" t="str">
        <x:v>U01698</x:v>
      </x:c>
      <x:c r="B1704" s="18" t="n">
        <x:v>46294</x:v>
      </x:c>
      <x:c r="C1704" s="17" t="str">
        <x:v>W0114</x:v>
      </x:c>
      <x:c r="D1704" s="17" t="str">
        <x:v>C002</x:v>
      </x:c>
      <x:c r="E1704" s="17" t="str">
        <x:v>InsightDesk</x:v>
      </x:c>
      <x:c r="F1704" s="17" t="str">
        <x:v>Pro</x:v>
      </x:c>
      <x:c r="G1704" s="21" t="n">
        <x:v>12164</x:v>
      </x:c>
      <x:c r="H1704" s="21" t="n">
        <x:v>14978</x:v>
      </x:c>
      <x:c r="I1704" s="17" t="str">
        <x:v>Correction</x:v>
      </x:c>
    </x:row>
    <x:row r="1705" ht="23" customHeight="1">
      <x:c r="A1705" s="17" t="str">
        <x:v>U01699</x:v>
      </x:c>
      <x:c r="B1705" s="18" t="n">
        <x:v>46294</x:v>
      </x:c>
      <x:c r="C1705" s="17" t="str">
        <x:v>W0114</x:v>
      </x:c>
      <x:c r="D1705" s="17" t="str">
        <x:v>C002</x:v>
      </x:c>
      <x:c r="E1705" s="17" t="str">
        <x:v>InsightDesk</x:v>
      </x:c>
      <x:c r="F1705" s="17" t="str">
        <x:v>Pro</x:v>
      </x:c>
      <x:c r="G1705" s="21" t="n">
        <x:v>13306</x:v>
      </x:c>
      <x:c r="H1705" s="21" t="n">
        <x:v>7800</x:v>
      </x:c>
      <x:c r="I1705" s="17" t="str">
        <x:v>Correction</x:v>
      </x:c>
    </x:row>
    <x:row r="1706" ht="23" customHeight="1">
      <x:c r="A1706" s="17" t="str">
        <x:v>U01700</x:v>
      </x:c>
      <x:c r="B1706" s="18" t="n">
        <x:v>46295</x:v>
      </x:c>
      <x:c r="C1706" s="17" t="str">
        <x:v>W0114</x:v>
      </x:c>
      <x:c r="D1706" s="17" t="str">
        <x:v>C002</x:v>
      </x:c>
      <x:c r="E1706" s="17" t="str">
        <x:v>InsightDesk</x:v>
      </x:c>
      <x:c r="F1706" s="17" t="str">
        <x:v>Pro</x:v>
      </x:c>
      <x:c r="G1706" s="21" t="n">
        <x:v>17126</x:v>
      </x:c>
      <x:c r="H1706" s="21" t="n">
        <x:v>19361</x:v>
      </x:c>
      <x:c r="I1706" s="17" t="str">
        <x:v>Correction</x:v>
      </x:c>
    </x:row>
    <x:row r="1707" ht="23" customHeight="1">
      <x:c r="A1707" s="17" t="str">
        <x:v>U01701</x:v>
      </x:c>
      <x:c r="B1707" s="18" t="n">
        <x:v>46295</x:v>
      </x:c>
      <x:c r="C1707" s="17" t="str">
        <x:v>W0114</x:v>
      </x:c>
      <x:c r="D1707" s="17" t="str">
        <x:v>C002</x:v>
      </x:c>
      <x:c r="E1707" s="17" t="str">
        <x:v>InsightDesk</x:v>
      </x:c>
      <x:c r="F1707" s="17" t="str">
        <x:v>Pro</x:v>
      </x:c>
      <x:c r="G1707" s="21" t="n">
        <x:v>15250</x:v>
      </x:c>
      <x:c r="H1707" s="21" t="n">
        <x:v>9523</x:v>
      </x:c>
      <x:c r="I1707" s="17" t="str">
        <x:v>Correction</x:v>
      </x:c>
    </x:row>
    <x:row r="1708" ht="23" customHeight="1">
      <x:c r="A1708" s="17" t="str">
        <x:v>U01702</x:v>
      </x:c>
      <x:c r="B1708" s="18" t="n">
        <x:v>46295</x:v>
      </x:c>
      <x:c r="C1708" s="17" t="str">
        <x:v>W0114</x:v>
      </x:c>
      <x:c r="D1708" s="17" t="str">
        <x:v>C002</x:v>
      </x:c>
      <x:c r="E1708" s="17" t="str">
        <x:v>InsightDesk</x:v>
      </x:c>
      <x:c r="F1708" s="17" t="str">
        <x:v>Pro</x:v>
      </x:c>
      <x:c r="G1708" s="21" t="n">
        <x:v>6349</x:v>
      </x:c>
      <x:c r="H1708" s="21" t="n">
        <x:v>7840</x:v>
      </x:c>
      <x:c r="I1708" s="17" t="str">
        <x:v>Correction</x:v>
      </x:c>
    </x:row>
    <x:row r="1709" ht="23" customHeight="1">
      <x:c r="A1709" s="17" t="str">
        <x:v>U01703</x:v>
      </x:c>
      <x:c r="B1709" s="18" t="n">
        <x:v>46295</x:v>
      </x:c>
      <x:c r="C1709" s="17" t="str">
        <x:v>W0114</x:v>
      </x:c>
      <x:c r="D1709" s="17" t="str">
        <x:v>C002</x:v>
      </x:c>
      <x:c r="E1709" s="17" t="str">
        <x:v>InsightDesk</x:v>
      </x:c>
      <x:c r="F1709" s="17" t="str">
        <x:v>Pro</x:v>
      </x:c>
      <x:c r="G1709" s="21" t="n">
        <x:v>14411</x:v>
      </x:c>
      <x:c r="H1709" s="21" t="n">
        <x:v>10203</x:v>
      </x:c>
      <x:c r="I1709" s="17" t="str">
        <x:v>Correction</x:v>
      </x:c>
    </x:row>
    <x:row r="1710" ht="23" customHeight="1">
      <x:c r="A1710" s="17" t="str">
        <x:v>U01704</x:v>
      </x:c>
      <x:c r="B1710" s="18" t="n">
        <x:v>46295</x:v>
      </x:c>
      <x:c r="C1710" s="17" t="str">
        <x:v>W0114</x:v>
      </x:c>
      <x:c r="D1710" s="17" t="str">
        <x:v>C002</x:v>
      </x:c>
      <x:c r="E1710" s="17" t="str">
        <x:v>InsightDesk</x:v>
      </x:c>
      <x:c r="F1710" s="17" t="str">
        <x:v>Pro</x:v>
      </x:c>
      <x:c r="G1710" s="21" t="n">
        <x:v>8219</x:v>
      </x:c>
      <x:c r="H1710" s="21" t="n">
        <x:v>13117</x:v>
      </x:c>
      <x:c r="I1710" s="17" t="str">
        <x:v>Followup</x:v>
      </x:c>
    </x:row>
    <x:row r="1711" ht="23" customHeight="1">
      <x:c r="A1711" s="17" t="str">
        <x:v>U01705</x:v>
      </x:c>
      <x:c r="B1711" s="18" t="n">
        <x:v>46275</x:v>
      </x:c>
      <x:c r="C1711" s="17" t="str">
        <x:v>W0115</x:v>
      </x:c>
      <x:c r="D1711" s="17" t="str">
        <x:v>C002</x:v>
      </x:c>
      <x:c r="E1711" s="17" t="str">
        <x:v>InsightDesk</x:v>
      </x:c>
      <x:c r="F1711" s="17" t="str">
        <x:v>Pro</x:v>
      </x:c>
      <x:c r="G1711" s="21" t="n">
        <x:v>18935</x:v>
      </x:c>
      <x:c r="H1711" s="21" t="n">
        <x:v>8667</x:v>
      </x:c>
      <x:c r="I1711" s="17" t="str">
        <x:v>First attempt</x:v>
      </x:c>
    </x:row>
    <x:row r="1712" ht="23" customHeight="1">
      <x:c r="A1712" s="17" t="str">
        <x:v>U01706</x:v>
      </x:c>
      <x:c r="B1712" s="18" t="n">
        <x:v>46275</x:v>
      </x:c>
      <x:c r="C1712" s="17" t="str">
        <x:v>W0115</x:v>
      </x:c>
      <x:c r="D1712" s="17" t="str">
        <x:v>C002</x:v>
      </x:c>
      <x:c r="E1712" s="17" t="str">
        <x:v>InsightDesk</x:v>
      </x:c>
      <x:c r="F1712" s="17" t="str">
        <x:v>Pro</x:v>
      </x:c>
      <x:c r="G1712" s="21" t="n">
        <x:v>18500</x:v>
      </x:c>
      <x:c r="H1712" s="21" t="n">
        <x:v>16619</x:v>
      </x:c>
      <x:c r="I1712" s="17" t="str">
        <x:v>Correction</x:v>
      </x:c>
    </x:row>
    <x:row r="1713" ht="23" customHeight="1">
      <x:c r="A1713" s="17" t="str">
        <x:v>U01707</x:v>
      </x:c>
      <x:c r="B1713" s="18" t="n">
        <x:v>46275</x:v>
      </x:c>
      <x:c r="C1713" s="17" t="str">
        <x:v>W0115</x:v>
      </x:c>
      <x:c r="D1713" s="17" t="str">
        <x:v>C002</x:v>
      </x:c>
      <x:c r="E1713" s="17" t="str">
        <x:v>InsightDesk</x:v>
      </x:c>
      <x:c r="F1713" s="17" t="str">
        <x:v>Pro</x:v>
      </x:c>
      <x:c r="G1713" s="21" t="n">
        <x:v>16635</x:v>
      </x:c>
      <x:c r="H1713" s="21" t="n">
        <x:v>12882</x:v>
      </x:c>
      <x:c r="I1713" s="17" t="str">
        <x:v>Correction</x:v>
      </x:c>
    </x:row>
    <x:row r="1714" ht="23" customHeight="1">
      <x:c r="A1714" s="17" t="str">
        <x:v>U01708</x:v>
      </x:c>
      <x:c r="B1714" s="18" t="n">
        <x:v>46275</x:v>
      </x:c>
      <x:c r="C1714" s="17" t="str">
        <x:v>W0115</x:v>
      </x:c>
      <x:c r="D1714" s="17" t="str">
        <x:v>C002</x:v>
      </x:c>
      <x:c r="E1714" s="17" t="str">
        <x:v>InsightDesk</x:v>
      </x:c>
      <x:c r="F1714" s="17" t="str">
        <x:v>Pro</x:v>
      </x:c>
      <x:c r="G1714" s="21" t="n">
        <x:v>21474</x:v>
      </x:c>
      <x:c r="H1714" s="21" t="n">
        <x:v>11202</x:v>
      </x:c>
      <x:c r="I1714" s="17" t="str">
        <x:v>Followup</x:v>
      </x:c>
    </x:row>
    <x:row r="1715" ht="23" customHeight="1">
      <x:c r="A1715" s="17" t="str">
        <x:v>U01709</x:v>
      </x:c>
      <x:c r="B1715" s="18" t="n">
        <x:v>46275</x:v>
      </x:c>
      <x:c r="C1715" s="17" t="str">
        <x:v>W0115</x:v>
      </x:c>
      <x:c r="D1715" s="17" t="str">
        <x:v>C002</x:v>
      </x:c>
      <x:c r="E1715" s="17" t="str">
        <x:v>InsightDesk</x:v>
      </x:c>
      <x:c r="F1715" s="17" t="str">
        <x:v>Pro</x:v>
      </x:c>
      <x:c r="G1715" s="21" t="n">
        <x:v>12474</x:v>
      </x:c>
      <x:c r="H1715" s="21" t="n">
        <x:v>5127</x:v>
      </x:c>
      <x:c r="I1715" s="17" t="str">
        <x:v>Correction</x:v>
      </x:c>
    </x:row>
    <x:row r="1716" ht="23" customHeight="1">
      <x:c r="A1716" s="17" t="str">
        <x:v>U01710</x:v>
      </x:c>
      <x:c r="B1716" s="18" t="n">
        <x:v>46276</x:v>
      </x:c>
      <x:c r="C1716" s="17" t="str">
        <x:v>W0115</x:v>
      </x:c>
      <x:c r="D1716" s="17" t="str">
        <x:v>C002</x:v>
      </x:c>
      <x:c r="E1716" s="17" t="str">
        <x:v>InsightDesk</x:v>
      </x:c>
      <x:c r="F1716" s="17" t="str">
        <x:v>Pro</x:v>
      </x:c>
      <x:c r="G1716" s="21" t="n">
        <x:v>13010</x:v>
      </x:c>
      <x:c r="H1716" s="21" t="n">
        <x:v>14726</x:v>
      </x:c>
      <x:c r="I1716" s="17" t="str">
        <x:v>Followup</x:v>
      </x:c>
    </x:row>
    <x:row r="1717" ht="23" customHeight="1">
      <x:c r="A1717" s="17" t="str">
        <x:v>U01711</x:v>
      </x:c>
      <x:c r="B1717" s="18" t="n">
        <x:v>46276</x:v>
      </x:c>
      <x:c r="C1717" s="17" t="str">
        <x:v>W0115</x:v>
      </x:c>
      <x:c r="D1717" s="17" t="str">
        <x:v>C002</x:v>
      </x:c>
      <x:c r="E1717" s="17" t="str">
        <x:v>InsightDesk</x:v>
      </x:c>
      <x:c r="F1717" s="17" t="str">
        <x:v>Pro</x:v>
      </x:c>
      <x:c r="G1717" s="21" t="n">
        <x:v>13190</x:v>
      </x:c>
      <x:c r="H1717" s="21" t="n">
        <x:v>9961</x:v>
      </x:c>
      <x:c r="I1717" s="17" t="str">
        <x:v>Correction</x:v>
      </x:c>
    </x:row>
    <x:row r="1718" ht="23" customHeight="1">
      <x:c r="A1718" s="17" t="str">
        <x:v>U01712</x:v>
      </x:c>
      <x:c r="B1718" s="18" t="n">
        <x:v>46276</x:v>
      </x:c>
      <x:c r="C1718" s="17" t="str">
        <x:v>W0115</x:v>
      </x:c>
      <x:c r="D1718" s="17" t="str">
        <x:v>C002</x:v>
      </x:c>
      <x:c r="E1718" s="17" t="str">
        <x:v>InsightDesk</x:v>
      </x:c>
      <x:c r="F1718" s="17" t="str">
        <x:v>Pro</x:v>
      </x:c>
      <x:c r="G1718" s="21" t="n">
        <x:v>10062</x:v>
      </x:c>
      <x:c r="H1718" s="21" t="n">
        <x:v>9883</x:v>
      </x:c>
      <x:c r="I1718" s="17" t="str">
        <x:v>Correction</x:v>
      </x:c>
    </x:row>
    <x:row r="1719" ht="23" customHeight="1">
      <x:c r="A1719" s="17" t="str">
        <x:v>U01713</x:v>
      </x:c>
      <x:c r="B1719" s="18" t="n">
        <x:v>46276</x:v>
      </x:c>
      <x:c r="C1719" s="17" t="str">
        <x:v>W0115</x:v>
      </x:c>
      <x:c r="D1719" s="17" t="str">
        <x:v>C002</x:v>
      </x:c>
      <x:c r="E1719" s="17" t="str">
        <x:v>InsightDesk</x:v>
      </x:c>
      <x:c r="F1719" s="17" t="str">
        <x:v>Pro</x:v>
      </x:c>
      <x:c r="G1719" s="21" t="n">
        <x:v>7482</x:v>
      </x:c>
      <x:c r="H1719" s="21" t="n">
        <x:v>5715</x:v>
      </x:c>
      <x:c r="I1719" s="17" t="str">
        <x:v>Correction</x:v>
      </x:c>
    </x:row>
    <x:row r="1720" ht="23" customHeight="1">
      <x:c r="A1720" s="17" t="str">
        <x:v>U01714</x:v>
      </x:c>
      <x:c r="B1720" s="18" t="n">
        <x:v>46279</x:v>
      </x:c>
      <x:c r="C1720" s="17" t="str">
        <x:v>W0115</x:v>
      </x:c>
      <x:c r="D1720" s="17" t="str">
        <x:v>C002</x:v>
      </x:c>
      <x:c r="E1720" s="17" t="str">
        <x:v>InsightDesk</x:v>
      </x:c>
      <x:c r="F1720" s="17" t="str">
        <x:v>Pro</x:v>
      </x:c>
      <x:c r="G1720" s="21" t="n">
        <x:v>9231</x:v>
      </x:c>
      <x:c r="H1720" s="21" t="n">
        <x:v>9767</x:v>
      </x:c>
      <x:c r="I1720" s="17" t="str">
        <x:v>Followup</x:v>
      </x:c>
    </x:row>
    <x:row r="1721" ht="23" customHeight="1">
      <x:c r="A1721" s="17" t="str">
        <x:v>U01715</x:v>
      </x:c>
      <x:c r="B1721" s="18" t="n">
        <x:v>46279</x:v>
      </x:c>
      <x:c r="C1721" s="17" t="str">
        <x:v>W0115</x:v>
      </x:c>
      <x:c r="D1721" s="17" t="str">
        <x:v>C002</x:v>
      </x:c>
      <x:c r="E1721" s="17" t="str">
        <x:v>InsightDesk</x:v>
      </x:c>
      <x:c r="F1721" s="17" t="str">
        <x:v>Pro</x:v>
      </x:c>
      <x:c r="G1721" s="21" t="n">
        <x:v>20018</x:v>
      </x:c>
      <x:c r="H1721" s="21" t="n">
        <x:v>15486</x:v>
      </x:c>
      <x:c r="I1721" s="17" t="str">
        <x:v>Correction</x:v>
      </x:c>
    </x:row>
    <x:row r="1722" ht="23" customHeight="1">
      <x:c r="A1722" s="17" t="str">
        <x:v>U01716</x:v>
      </x:c>
      <x:c r="B1722" s="18" t="n">
        <x:v>46279</x:v>
      </x:c>
      <x:c r="C1722" s="17" t="str">
        <x:v>W0115</x:v>
      </x:c>
      <x:c r="D1722" s="17" t="str">
        <x:v>C002</x:v>
      </x:c>
      <x:c r="E1722" s="17" t="str">
        <x:v>InsightDesk</x:v>
      </x:c>
      <x:c r="F1722" s="17" t="str">
        <x:v>Pro</x:v>
      </x:c>
      <x:c r="G1722" s="21" t="n">
        <x:v>21581</x:v>
      </x:c>
      <x:c r="H1722" s="21" t="n">
        <x:v>10291</x:v>
      </x:c>
      <x:c r="I1722" s="17" t="str">
        <x:v>Followup</x:v>
      </x:c>
    </x:row>
    <x:row r="1723" ht="23" customHeight="1">
      <x:c r="A1723" s="17" t="str">
        <x:v>U01717</x:v>
      </x:c>
      <x:c r="B1723" s="18" t="n">
        <x:v>46279</x:v>
      </x:c>
      <x:c r="C1723" s="17" t="str">
        <x:v>W0115</x:v>
      </x:c>
      <x:c r="D1723" s="17" t="str">
        <x:v>C002</x:v>
      </x:c>
      <x:c r="E1723" s="17" t="str">
        <x:v>InsightDesk</x:v>
      </x:c>
      <x:c r="F1723" s="17" t="str">
        <x:v>Pro</x:v>
      </x:c>
      <x:c r="G1723" s="21" t="n">
        <x:v>16505</x:v>
      </x:c>
      <x:c r="H1723" s="21" t="n">
        <x:v>6011</x:v>
      </x:c>
      <x:c r="I1723" s="17" t="str">
        <x:v>Correction</x:v>
      </x:c>
    </x:row>
    <x:row r="1724" ht="23" customHeight="1">
      <x:c r="A1724" s="17" t="str">
        <x:v>U01718</x:v>
      </x:c>
      <x:c r="B1724" s="18" t="n">
        <x:v>46279</x:v>
      </x:c>
      <x:c r="C1724" s="17" t="str">
        <x:v>W0115</x:v>
      </x:c>
      <x:c r="D1724" s="17" t="str">
        <x:v>C002</x:v>
      </x:c>
      <x:c r="E1724" s="17" t="str">
        <x:v>InsightDesk</x:v>
      </x:c>
      <x:c r="F1724" s="17" t="str">
        <x:v>Pro</x:v>
      </x:c>
      <x:c r="G1724" s="21" t="n">
        <x:v>18867</x:v>
      </x:c>
      <x:c r="H1724" s="21" t="n">
        <x:v>13343</x:v>
      </x:c>
      <x:c r="I1724" s="17" t="str">
        <x:v>Followup</x:v>
      </x:c>
    </x:row>
    <x:row r="1725" ht="23" customHeight="1">
      <x:c r="A1725" s="17" t="str">
        <x:v>U01719</x:v>
      </x:c>
      <x:c r="B1725" s="18" t="n">
        <x:v>46280</x:v>
      </x:c>
      <x:c r="C1725" s="17" t="str">
        <x:v>W0115</x:v>
      </x:c>
      <x:c r="D1725" s="17" t="str">
        <x:v>C002</x:v>
      </x:c>
      <x:c r="E1725" s="17" t="str">
        <x:v>InsightDesk</x:v>
      </x:c>
      <x:c r="F1725" s="17" t="str">
        <x:v>Pro</x:v>
      </x:c>
      <x:c r="G1725" s="21" t="n">
        <x:v>14066</x:v>
      </x:c>
      <x:c r="H1725" s="21" t="n">
        <x:v>5987</x:v>
      </x:c>
      <x:c r="I1725" s="17" t="str">
        <x:v>Followup</x:v>
      </x:c>
    </x:row>
    <x:row r="1726" ht="23" customHeight="1">
      <x:c r="A1726" s="17" t="str">
        <x:v>U01720</x:v>
      </x:c>
      <x:c r="B1726" s="18" t="n">
        <x:v>46280</x:v>
      </x:c>
      <x:c r="C1726" s="17" t="str">
        <x:v>W0115</x:v>
      </x:c>
      <x:c r="D1726" s="17" t="str">
        <x:v>C002</x:v>
      </x:c>
      <x:c r="E1726" s="17" t="str">
        <x:v>InsightDesk</x:v>
      </x:c>
      <x:c r="F1726" s="17" t="str">
        <x:v>Pro</x:v>
      </x:c>
      <x:c r="G1726" s="21" t="n">
        <x:v>16654</x:v>
      </x:c>
      <x:c r="H1726" s="21" t="n">
        <x:v>15839</x:v>
      </x:c>
      <x:c r="I1726" s="17" t="str">
        <x:v>Followup</x:v>
      </x:c>
    </x:row>
    <x:row r="1727" ht="23" customHeight="1">
      <x:c r="A1727" s="17" t="str">
        <x:v>U01721</x:v>
      </x:c>
      <x:c r="B1727" s="18" t="n">
        <x:v>46280</x:v>
      </x:c>
      <x:c r="C1727" s="17" t="str">
        <x:v>W0115</x:v>
      </x:c>
      <x:c r="D1727" s="17" t="str">
        <x:v>C002</x:v>
      </x:c>
      <x:c r="E1727" s="17" t="str">
        <x:v>InsightDesk</x:v>
      </x:c>
      <x:c r="F1727" s="17" t="str">
        <x:v>Pro</x:v>
      </x:c>
      <x:c r="G1727" s="21" t="n">
        <x:v>12065</x:v>
      </x:c>
      <x:c r="H1727" s="21" t="n">
        <x:v>9913</x:v>
      </x:c>
      <x:c r="I1727" s="17" t="str">
        <x:v>Followup</x:v>
      </x:c>
    </x:row>
    <x:row r="1728" ht="23" customHeight="1">
      <x:c r="A1728" s="17" t="str">
        <x:v>U01722</x:v>
      </x:c>
      <x:c r="B1728" s="18" t="n">
        <x:v>46280</x:v>
      </x:c>
      <x:c r="C1728" s="17" t="str">
        <x:v>W0115</x:v>
      </x:c>
      <x:c r="D1728" s="17" t="str">
        <x:v>C002</x:v>
      </x:c>
      <x:c r="E1728" s="17" t="str">
        <x:v>InsightDesk</x:v>
      </x:c>
      <x:c r="F1728" s="17" t="str">
        <x:v>Pro</x:v>
      </x:c>
      <x:c r="G1728" s="21" t="n">
        <x:v>16744</x:v>
      </x:c>
      <x:c r="H1728" s="21" t="n">
        <x:v>4586</x:v>
      </x:c>
      <x:c r="I1728" s="17" t="str">
        <x:v>Correction</x:v>
      </x:c>
    </x:row>
    <x:row r="1729" ht="23" customHeight="1">
      <x:c r="A1729" s="17" t="str">
        <x:v>U01723</x:v>
      </x:c>
      <x:c r="B1729" s="18" t="n">
        <x:v>46286</x:v>
      </x:c>
      <x:c r="C1729" s="17" t="str">
        <x:v>W0116</x:v>
      </x:c>
      <x:c r="D1729" s="17" t="str">
        <x:v>C002</x:v>
      </x:c>
      <x:c r="E1729" s="17" t="str">
        <x:v>CopyStudio</x:v>
      </x:c>
      <x:c r="F1729" s="17" t="str">
        <x:v>Pro</x:v>
      </x:c>
      <x:c r="G1729" s="21" t="n">
        <x:v>13799</x:v>
      </x:c>
      <x:c r="H1729" s="21" t="n">
        <x:v>16026</x:v>
      </x:c>
      <x:c r="I1729" s="17" t="str">
        <x:v>First attempt</x:v>
      </x:c>
    </x:row>
    <x:row r="1730" ht="23" customHeight="1">
      <x:c r="A1730" s="17" t="str">
        <x:v>U01724</x:v>
      </x:c>
      <x:c r="B1730" s="18" t="n">
        <x:v>46286</x:v>
      </x:c>
      <x:c r="C1730" s="17" t="str">
        <x:v>W0116</x:v>
      </x:c>
      <x:c r="D1730" s="17" t="str">
        <x:v>C002</x:v>
      </x:c>
      <x:c r="E1730" s="17" t="str">
        <x:v>CopyStudio</x:v>
      </x:c>
      <x:c r="F1730" s="17" t="str">
        <x:v>Pro</x:v>
      </x:c>
      <x:c r="G1730" s="21" t="n">
        <x:v>20473</x:v>
      </x:c>
      <x:c r="H1730" s="21" t="n">
        <x:v>12357</x:v>
      </x:c>
      <x:c r="I1730" s="17" t="str">
        <x:v>Followup</x:v>
      </x:c>
    </x:row>
    <x:row r="1731" ht="23" customHeight="1">
      <x:c r="A1731" s="17" t="str">
        <x:v>U01725</x:v>
      </x:c>
      <x:c r="B1731" s="18" t="n">
        <x:v>46286</x:v>
      </x:c>
      <x:c r="C1731" s="17" t="str">
        <x:v>W0116</x:v>
      </x:c>
      <x:c r="D1731" s="17" t="str">
        <x:v>C002</x:v>
      </x:c>
      <x:c r="E1731" s="17" t="str">
        <x:v>CopyStudio</x:v>
      </x:c>
      <x:c r="F1731" s="17" t="str">
        <x:v>Pro</x:v>
      </x:c>
      <x:c r="G1731" s="21" t="n">
        <x:v>14784</x:v>
      </x:c>
      <x:c r="H1731" s="21" t="n">
        <x:v>10272</x:v>
      </x:c>
      <x:c r="I1731" s="17" t="str">
        <x:v>Correction</x:v>
      </x:c>
    </x:row>
    <x:row r="1732" ht="23" customHeight="1">
      <x:c r="A1732" s="17" t="str">
        <x:v>U01726</x:v>
      </x:c>
      <x:c r="B1732" s="18" t="n">
        <x:v>46286</x:v>
      </x:c>
      <x:c r="C1732" s="17" t="str">
        <x:v>W0116</x:v>
      </x:c>
      <x:c r="D1732" s="17" t="str">
        <x:v>C002</x:v>
      </x:c>
      <x:c r="E1732" s="17" t="str">
        <x:v>CopyStudio</x:v>
      </x:c>
      <x:c r="F1732" s="17" t="str">
        <x:v>Pro</x:v>
      </x:c>
      <x:c r="G1732" s="21" t="n">
        <x:v>8793</x:v>
      </x:c>
      <x:c r="H1732" s="21" t="n">
        <x:v>4866</x:v>
      </x:c>
      <x:c r="I1732" s="17" t="str">
        <x:v>Followup</x:v>
      </x:c>
    </x:row>
    <x:row r="1733" ht="23" customHeight="1">
      <x:c r="A1733" s="17" t="str">
        <x:v>U01727</x:v>
      </x:c>
      <x:c r="B1733" s="18" t="n">
        <x:v>46286</x:v>
      </x:c>
      <x:c r="C1733" s="17" t="str">
        <x:v>W0116</x:v>
      </x:c>
      <x:c r="D1733" s="17" t="str">
        <x:v>C002</x:v>
      </x:c>
      <x:c r="E1733" s="17" t="str">
        <x:v>CopyStudio</x:v>
      </x:c>
      <x:c r="F1733" s="17" t="str">
        <x:v>Pro</x:v>
      </x:c>
      <x:c r="G1733" s="21" t="n">
        <x:v>19165</x:v>
      </x:c>
      <x:c r="H1733" s="21" t="n">
        <x:v>6121</x:v>
      </x:c>
      <x:c r="I1733" s="17" t="str">
        <x:v>Correction</x:v>
      </x:c>
    </x:row>
    <x:row r="1734" ht="23" customHeight="1">
      <x:c r="A1734" s="17" t="str">
        <x:v>U01728</x:v>
      </x:c>
      <x:c r="B1734" s="18" t="n">
        <x:v>46286</x:v>
      </x:c>
      <x:c r="C1734" s="17" t="str">
        <x:v>W0116</x:v>
      </x:c>
      <x:c r="D1734" s="17" t="str">
        <x:v>C002</x:v>
      </x:c>
      <x:c r="E1734" s="17" t="str">
        <x:v>CopyStudio</x:v>
      </x:c>
      <x:c r="F1734" s="17" t="str">
        <x:v>Pro</x:v>
      </x:c>
      <x:c r="G1734" s="21" t="n">
        <x:v>21739</x:v>
      </x:c>
      <x:c r="H1734" s="21" t="n">
        <x:v>12421</x:v>
      </x:c>
      <x:c r="I1734" s="17" t="str">
        <x:v>Correction</x:v>
      </x:c>
    </x:row>
    <x:row r="1735" ht="23" customHeight="1">
      <x:c r="A1735" s="17" t="str">
        <x:v>U01729</x:v>
      </x:c>
      <x:c r="B1735" s="18" t="n">
        <x:v>46286</x:v>
      </x:c>
      <x:c r="C1735" s="17" t="str">
        <x:v>W0116</x:v>
      </x:c>
      <x:c r="D1735" s="17" t="str">
        <x:v>C002</x:v>
      </x:c>
      <x:c r="E1735" s="17" t="str">
        <x:v>CopyStudio</x:v>
      </x:c>
      <x:c r="F1735" s="17" t="str">
        <x:v>Pro</x:v>
      </x:c>
      <x:c r="G1735" s="21" t="n">
        <x:v>7560</x:v>
      </x:c>
      <x:c r="H1735" s="21" t="n">
        <x:v>14476</x:v>
      </x:c>
      <x:c r="I1735" s="17" t="str">
        <x:v>Followup</x:v>
      </x:c>
    </x:row>
    <x:row r="1736" ht="23" customHeight="1">
      <x:c r="A1736" s="17" t="str">
        <x:v>U01730</x:v>
      </x:c>
      <x:c r="B1736" s="18" t="n">
        <x:v>46287</x:v>
      </x:c>
      <x:c r="C1736" s="17" t="str">
        <x:v>W0116</x:v>
      </x:c>
      <x:c r="D1736" s="17" t="str">
        <x:v>C002</x:v>
      </x:c>
      <x:c r="E1736" s="17" t="str">
        <x:v>CopyStudio</x:v>
      </x:c>
      <x:c r="F1736" s="17" t="str">
        <x:v>Pro</x:v>
      </x:c>
      <x:c r="G1736" s="21" t="n">
        <x:v>9774</x:v>
      </x:c>
      <x:c r="H1736" s="21" t="n">
        <x:v>16191</x:v>
      </x:c>
      <x:c r="I1736" s="17" t="str">
        <x:v>Followup</x:v>
      </x:c>
    </x:row>
    <x:row r="1737" ht="23" customHeight="1">
      <x:c r="A1737" s="17" t="str">
        <x:v>U01731</x:v>
      </x:c>
      <x:c r="B1737" s="18" t="n">
        <x:v>46287</x:v>
      </x:c>
      <x:c r="C1737" s="17" t="str">
        <x:v>W0116</x:v>
      </x:c>
      <x:c r="D1737" s="17" t="str">
        <x:v>C002</x:v>
      </x:c>
      <x:c r="E1737" s="17" t="str">
        <x:v>CopyStudio</x:v>
      </x:c>
      <x:c r="F1737" s="17" t="str">
        <x:v>Pro</x:v>
      </x:c>
      <x:c r="G1737" s="21" t="n">
        <x:v>9977</x:v>
      </x:c>
      <x:c r="H1737" s="21" t="n">
        <x:v>11831</x:v>
      </x:c>
      <x:c r="I1737" s="17" t="str">
        <x:v>Correction</x:v>
      </x:c>
    </x:row>
    <x:row r="1738" ht="23" customHeight="1">
      <x:c r="A1738" s="17" t="str">
        <x:v>U01732</x:v>
      </x:c>
      <x:c r="B1738" s="18" t="n">
        <x:v>46287</x:v>
      </x:c>
      <x:c r="C1738" s="17" t="str">
        <x:v>W0116</x:v>
      </x:c>
      <x:c r="D1738" s="17" t="str">
        <x:v>C002</x:v>
      </x:c>
      <x:c r="E1738" s="17" t="str">
        <x:v>CopyStudio</x:v>
      </x:c>
      <x:c r="F1738" s="17" t="str">
        <x:v>Pro</x:v>
      </x:c>
      <x:c r="G1738" s="21" t="n">
        <x:v>17133</x:v>
      </x:c>
      <x:c r="H1738" s="21" t="n">
        <x:v>6461</x:v>
      </x:c>
      <x:c r="I1738" s="17" t="str">
        <x:v>Followup</x:v>
      </x:c>
    </x:row>
    <x:row r="1739" ht="23" customHeight="1">
      <x:c r="A1739" s="17" t="str">
        <x:v>U01733</x:v>
      </x:c>
      <x:c r="B1739" s="18" t="n">
        <x:v>46287</x:v>
      </x:c>
      <x:c r="C1739" s="17" t="str">
        <x:v>W0116</x:v>
      </x:c>
      <x:c r="D1739" s="17" t="str">
        <x:v>C002</x:v>
      </x:c>
      <x:c r="E1739" s="17" t="str">
        <x:v>CopyStudio</x:v>
      </x:c>
      <x:c r="F1739" s="17" t="str">
        <x:v>Pro</x:v>
      </x:c>
      <x:c r="G1739" s="21" t="n">
        <x:v>13376</x:v>
      </x:c>
      <x:c r="H1739" s="21" t="n">
        <x:v>4910</x:v>
      </x:c>
      <x:c r="I1739" s="17" t="str">
        <x:v>Followup</x:v>
      </x:c>
    </x:row>
    <x:row r="1740" ht="23" customHeight="1">
      <x:c r="A1740" s="17" t="str">
        <x:v>U01734</x:v>
      </x:c>
      <x:c r="B1740" s="18" t="n">
        <x:v>46287</x:v>
      </x:c>
      <x:c r="C1740" s="17" t="str">
        <x:v>W0116</x:v>
      </x:c>
      <x:c r="D1740" s="17" t="str">
        <x:v>C002</x:v>
      </x:c>
      <x:c r="E1740" s="17" t="str">
        <x:v>CopyStudio</x:v>
      </x:c>
      <x:c r="F1740" s="17" t="str">
        <x:v>Pro</x:v>
      </x:c>
      <x:c r="G1740" s="21" t="n">
        <x:v>20595</x:v>
      </x:c>
      <x:c r="H1740" s="21" t="n">
        <x:v>4445</x:v>
      </x:c>
      <x:c r="I1740" s="17" t="str">
        <x:v>Followup</x:v>
      </x:c>
    </x:row>
    <x:row r="1741" ht="23" customHeight="1">
      <x:c r="A1741" s="17" t="str">
        <x:v>U01735</x:v>
      </x:c>
      <x:c r="B1741" s="18" t="n">
        <x:v>46287</x:v>
      </x:c>
      <x:c r="C1741" s="17" t="str">
        <x:v>W0116</x:v>
      </x:c>
      <x:c r="D1741" s="17" t="str">
        <x:v>C002</x:v>
      </x:c>
      <x:c r="E1741" s="17" t="str">
        <x:v>CopyStudio</x:v>
      </x:c>
      <x:c r="F1741" s="17" t="str">
        <x:v>Pro</x:v>
      </x:c>
      <x:c r="G1741" s="21" t="n">
        <x:v>17780</x:v>
      </x:c>
      <x:c r="H1741" s="21" t="n">
        <x:v>7223</x:v>
      </x:c>
      <x:c r="I1741" s="17" t="str">
        <x:v>Followup</x:v>
      </x:c>
    </x:row>
    <x:row r="1742" ht="23" customHeight="1">
      <x:c r="A1742" s="17" t="str">
        <x:v>U01736</x:v>
      </x:c>
      <x:c r="B1742" s="18" t="n">
        <x:v>46287</x:v>
      </x:c>
      <x:c r="C1742" s="17" t="str">
        <x:v>W0116</x:v>
      </x:c>
      <x:c r="D1742" s="17" t="str">
        <x:v>C002</x:v>
      </x:c>
      <x:c r="E1742" s="17" t="str">
        <x:v>CopyStudio</x:v>
      </x:c>
      <x:c r="F1742" s="17" t="str">
        <x:v>Pro</x:v>
      </x:c>
      <x:c r="G1742" s="21" t="n">
        <x:v>16179</x:v>
      </x:c>
      <x:c r="H1742" s="21" t="n">
        <x:v>11123</x:v>
      </x:c>
      <x:c r="I1742" s="17" t="str">
        <x:v>Followup</x:v>
      </x:c>
    </x:row>
    <x:row r="1743" ht="23" customHeight="1">
      <x:c r="A1743" s="17" t="str">
        <x:v>U01737</x:v>
      </x:c>
      <x:c r="B1743" s="18" t="n">
        <x:v>46288</x:v>
      </x:c>
      <x:c r="C1743" s="17" t="str">
        <x:v>W0116</x:v>
      </x:c>
      <x:c r="D1743" s="17" t="str">
        <x:v>C002</x:v>
      </x:c>
      <x:c r="E1743" s="17" t="str">
        <x:v>CopyStudio</x:v>
      </x:c>
      <x:c r="F1743" s="17" t="str">
        <x:v>Pro</x:v>
      </x:c>
      <x:c r="G1743" s="21" t="n">
        <x:v>19620</x:v>
      </x:c>
      <x:c r="H1743" s="21" t="n">
        <x:v>11358</x:v>
      </x:c>
      <x:c r="I1743" s="17" t="str">
        <x:v>Correction</x:v>
      </x:c>
    </x:row>
    <x:row r="1744" ht="23" customHeight="1">
      <x:c r="A1744" s="17" t="str">
        <x:v>U01738</x:v>
      </x:c>
      <x:c r="B1744" s="18" t="n">
        <x:v>46288</x:v>
      </x:c>
      <x:c r="C1744" s="17" t="str">
        <x:v>W0116</x:v>
      </x:c>
      <x:c r="D1744" s="17" t="str">
        <x:v>C002</x:v>
      </x:c>
      <x:c r="E1744" s="17" t="str">
        <x:v>CopyStudio</x:v>
      </x:c>
      <x:c r="F1744" s="17" t="str">
        <x:v>Pro</x:v>
      </x:c>
      <x:c r="G1744" s="21" t="n">
        <x:v>17422</x:v>
      </x:c>
      <x:c r="H1744" s="21" t="n">
        <x:v>14980</x:v>
      </x:c>
      <x:c r="I1744" s="17" t="str">
        <x:v>Correction</x:v>
      </x:c>
    </x:row>
    <x:row r="1745" ht="23" customHeight="1">
      <x:c r="A1745" s="17" t="str">
        <x:v>U01739</x:v>
      </x:c>
      <x:c r="B1745" s="18" t="n">
        <x:v>46288</x:v>
      </x:c>
      <x:c r="C1745" s="17" t="str">
        <x:v>W0116</x:v>
      </x:c>
      <x:c r="D1745" s="17" t="str">
        <x:v>C002</x:v>
      </x:c>
      <x:c r="E1745" s="17" t="str">
        <x:v>CopyStudio</x:v>
      </x:c>
      <x:c r="F1745" s="17" t="str">
        <x:v>Pro</x:v>
      </x:c>
      <x:c r="G1745" s="21" t="n">
        <x:v>16150</x:v>
      </x:c>
      <x:c r="H1745" s="21" t="n">
        <x:v>6379</x:v>
      </x:c>
      <x:c r="I1745" s="17" t="str">
        <x:v>Followup</x:v>
      </x:c>
    </x:row>
    <x:row r="1746" ht="23" customHeight="1">
      <x:c r="A1746" s="17" t="str">
        <x:v>U01740</x:v>
      </x:c>
      <x:c r="B1746" s="18" t="n">
        <x:v>46288</x:v>
      </x:c>
      <x:c r="C1746" s="17" t="str">
        <x:v>W0116</x:v>
      </x:c>
      <x:c r="D1746" s="17" t="str">
        <x:v>C002</x:v>
      </x:c>
      <x:c r="E1746" s="17" t="str">
        <x:v>CopyStudio</x:v>
      </x:c>
      <x:c r="F1746" s="17" t="str">
        <x:v>Pro</x:v>
      </x:c>
      <x:c r="G1746" s="21" t="n">
        <x:v>20965</x:v>
      </x:c>
      <x:c r="H1746" s="21" t="n">
        <x:v>6145</x:v>
      </x:c>
      <x:c r="I1746" s="17" t="str">
        <x:v>Followup</x:v>
      </x:c>
    </x:row>
    <x:row r="1747" ht="23" customHeight="1">
      <x:c r="A1747" s="17" t="str">
        <x:v>U01741</x:v>
      </x:c>
      <x:c r="B1747" s="18" t="n">
        <x:v>46288</x:v>
      </x:c>
      <x:c r="C1747" s="17" t="str">
        <x:v>W0116</x:v>
      </x:c>
      <x:c r="D1747" s="17" t="str">
        <x:v>C002</x:v>
      </x:c>
      <x:c r="E1747" s="17" t="str">
        <x:v>CopyStudio</x:v>
      </x:c>
      <x:c r="F1747" s="17" t="str">
        <x:v>Pro</x:v>
      </x:c>
      <x:c r="G1747" s="21" t="n">
        <x:v>12474</x:v>
      </x:c>
      <x:c r="H1747" s="21" t="n">
        <x:v>4984</x:v>
      </x:c>
      <x:c r="I1747" s="17" t="str">
        <x:v>Correction</x:v>
      </x:c>
    </x:row>
    <x:row r="1748" ht="23" customHeight="1">
      <x:c r="A1748" s="17" t="str">
        <x:v>U01742</x:v>
      </x:c>
      <x:c r="B1748" s="18" t="n">
        <x:v>46288</x:v>
      </x:c>
      <x:c r="C1748" s="17" t="str">
        <x:v>W0116</x:v>
      </x:c>
      <x:c r="D1748" s="17" t="str">
        <x:v>C002</x:v>
      </x:c>
      <x:c r="E1748" s="17" t="str">
        <x:v>CopyStudio</x:v>
      </x:c>
      <x:c r="F1748" s="17" t="str">
        <x:v>Pro</x:v>
      </x:c>
      <x:c r="G1748" s="21" t="n">
        <x:v>19731</x:v>
      </x:c>
      <x:c r="H1748" s="21" t="n">
        <x:v>11658</x:v>
      </x:c>
      <x:c r="I1748" s="17" t="str">
        <x:v>Correction</x:v>
      </x:c>
    </x:row>
    <x:row r="1749" ht="23" customHeight="1">
      <x:c r="A1749" s="17" t="str">
        <x:v>U01743</x:v>
      </x:c>
      <x:c r="B1749" s="18" t="n">
        <x:v>46288</x:v>
      </x:c>
      <x:c r="C1749" s="17" t="str">
        <x:v>W0116</x:v>
      </x:c>
      <x:c r="D1749" s="17" t="str">
        <x:v>C002</x:v>
      </x:c>
      <x:c r="E1749" s="17" t="str">
        <x:v>CopyStudio</x:v>
      </x:c>
      <x:c r="F1749" s="17" t="str">
        <x:v>Pro</x:v>
      </x:c>
      <x:c r="G1749" s="21" t="n">
        <x:v>13010</x:v>
      </x:c>
      <x:c r="H1749" s="21" t="n">
        <x:v>12447</x:v>
      </x:c>
      <x:c r="I1749" s="17" t="str">
        <x:v>Correction</x:v>
      </x:c>
    </x:row>
    <x:row r="1750" ht="23" customHeight="1">
      <x:c r="A1750" s="17" t="str">
        <x:v>U01744</x:v>
      </x:c>
      <x:c r="B1750" s="18" t="n">
        <x:v>46289</x:v>
      </x:c>
      <x:c r="C1750" s="17" t="str">
        <x:v>W0116</x:v>
      </x:c>
      <x:c r="D1750" s="17" t="str">
        <x:v>C002</x:v>
      </x:c>
      <x:c r="E1750" s="17" t="str">
        <x:v>CopyStudio</x:v>
      </x:c>
      <x:c r="F1750" s="17" t="str">
        <x:v>Pro</x:v>
      </x:c>
      <x:c r="G1750" s="21" t="n">
        <x:v>17358</x:v>
      </x:c>
      <x:c r="H1750" s="21" t="n">
        <x:v>5034</x:v>
      </x:c>
      <x:c r="I1750" s="17" t="str">
        <x:v>Correction</x:v>
      </x:c>
    </x:row>
    <x:row r="1751" ht="23" customHeight="1">
      <x:c r="A1751" s="17" t="str">
        <x:v>U01745</x:v>
      </x:c>
      <x:c r="B1751" s="18" t="n">
        <x:v>46289</x:v>
      </x:c>
      <x:c r="C1751" s="17" t="str">
        <x:v>W0116</x:v>
      </x:c>
      <x:c r="D1751" s="17" t="str">
        <x:v>C002</x:v>
      </x:c>
      <x:c r="E1751" s="17" t="str">
        <x:v>CopyStudio</x:v>
      </x:c>
      <x:c r="F1751" s="17" t="str">
        <x:v>Pro</x:v>
      </x:c>
      <x:c r="G1751" s="21" t="n">
        <x:v>13456</x:v>
      </x:c>
      <x:c r="H1751" s="21" t="n">
        <x:v>8680</x:v>
      </x:c>
      <x:c r="I1751" s="17" t="str">
        <x:v>Correction</x:v>
      </x:c>
    </x:row>
    <x:row r="1752" ht="23" customHeight="1">
      <x:c r="A1752" s="17" t="str">
        <x:v>U01746</x:v>
      </x:c>
      <x:c r="B1752" s="18" t="n">
        <x:v>46289</x:v>
      </x:c>
      <x:c r="C1752" s="17" t="str">
        <x:v>W0116</x:v>
      </x:c>
      <x:c r="D1752" s="17" t="str">
        <x:v>C002</x:v>
      </x:c>
      <x:c r="E1752" s="17" t="str">
        <x:v>CopyStudio</x:v>
      </x:c>
      <x:c r="F1752" s="17" t="str">
        <x:v>Pro</x:v>
      </x:c>
      <x:c r="G1752" s="21" t="n">
        <x:v>10624</x:v>
      </x:c>
      <x:c r="H1752" s="21" t="n">
        <x:v>7717</x:v>
      </x:c>
      <x:c r="I1752" s="17" t="str">
        <x:v>Correction</x:v>
      </x:c>
    </x:row>
    <x:row r="1753" ht="23" customHeight="1">
      <x:c r="A1753" s="17" t="str">
        <x:v>U01747</x:v>
      </x:c>
      <x:c r="B1753" s="18" t="n">
        <x:v>46289</x:v>
      </x:c>
      <x:c r="C1753" s="17" t="str">
        <x:v>W0116</x:v>
      </x:c>
      <x:c r="D1753" s="17" t="str">
        <x:v>C002</x:v>
      </x:c>
      <x:c r="E1753" s="17" t="str">
        <x:v>CopyStudio</x:v>
      </x:c>
      <x:c r="F1753" s="17" t="str">
        <x:v>Pro</x:v>
      </x:c>
      <x:c r="G1753" s="21" t="n">
        <x:v>14751</x:v>
      </x:c>
      <x:c r="H1753" s="21" t="n">
        <x:v>14505</x:v>
      </x:c>
      <x:c r="I1753" s="17" t="str">
        <x:v>Correction</x:v>
      </x:c>
    </x:row>
    <x:row r="1754" ht="23" customHeight="1">
      <x:c r="A1754" s="17" t="str">
        <x:v>U01748</x:v>
      </x:c>
      <x:c r="B1754" s="18" t="n">
        <x:v>46289</x:v>
      </x:c>
      <x:c r="C1754" s="17" t="str">
        <x:v>W0116</x:v>
      </x:c>
      <x:c r="D1754" s="17" t="str">
        <x:v>C002</x:v>
      </x:c>
      <x:c r="E1754" s="17" t="str">
        <x:v>CopyStudio</x:v>
      </x:c>
      <x:c r="F1754" s="17" t="str">
        <x:v>Pro</x:v>
      </x:c>
      <x:c r="G1754" s="21" t="n">
        <x:v>19830</x:v>
      </x:c>
      <x:c r="H1754" s="21" t="n">
        <x:v>5092</x:v>
      </x:c>
      <x:c r="I1754" s="17" t="str">
        <x:v>Correction</x:v>
      </x:c>
    </x:row>
    <x:row r="1755" ht="23" customHeight="1">
      <x:c r="A1755" s="17" t="str">
        <x:v>U01749</x:v>
      </x:c>
      <x:c r="B1755" s="18" t="n">
        <x:v>46289</x:v>
      </x:c>
      <x:c r="C1755" s="17" t="str">
        <x:v>W0116</x:v>
      </x:c>
      <x:c r="D1755" s="17" t="str">
        <x:v>C002</x:v>
      </x:c>
      <x:c r="E1755" s="17" t="str">
        <x:v>CopyStudio</x:v>
      </x:c>
      <x:c r="F1755" s="17" t="str">
        <x:v>Pro</x:v>
      </x:c>
      <x:c r="G1755" s="21" t="n">
        <x:v>16055</x:v>
      </x:c>
      <x:c r="H1755" s="21" t="n">
        <x:v>16122</x:v>
      </x:c>
      <x:c r="I1755" s="17" t="str">
        <x:v>Correction</x:v>
      </x:c>
    </x:row>
    <x:row r="1756" ht="23" customHeight="1">
      <x:c r="A1756" s="17" t="str">
        <x:v>U01750</x:v>
      </x:c>
      <x:c r="B1756" s="18" t="n">
        <x:v>46289</x:v>
      </x:c>
      <x:c r="C1756" s="17" t="str">
        <x:v>W0119</x:v>
      </x:c>
      <x:c r="D1756" s="17" t="str">
        <x:v>C002</x:v>
      </x:c>
      <x:c r="E1756" s="17" t="str">
        <x:v>CampaignChat</x:v>
      </x:c>
      <x:c r="F1756" s="17" t="str">
        <x:v>Pro</x:v>
      </x:c>
      <x:c r="G1756" s="21" t="n">
        <x:v>30800</x:v>
      </x:c>
      <x:c r="H1756" s="21" t="n">
        <x:v>20563</x:v>
      </x:c>
      <x:c r="I1756" s="17" t="str">
        <x:v>First attempt</x:v>
      </x:c>
    </x:row>
    <x:row r="1757" ht="23" customHeight="1">
      <x:c r="A1757" s="17" t="str">
        <x:v>U01751</x:v>
      </x:c>
      <x:c r="B1757" s="18" t="n">
        <x:v>46289</x:v>
      </x:c>
      <x:c r="C1757" s="17" t="str">
        <x:v>W0119</x:v>
      </x:c>
      <x:c r="D1757" s="17" t="str">
        <x:v>C002</x:v>
      </x:c>
      <x:c r="E1757" s="17" t="str">
        <x:v>CampaignChat</x:v>
      </x:c>
      <x:c r="F1757" s="17" t="str">
        <x:v>Pro</x:v>
      </x:c>
      <x:c r="G1757" s="21" t="n">
        <x:v>30792</x:v>
      </x:c>
      <x:c r="H1757" s="21" t="n">
        <x:v>13992</x:v>
      </x:c>
      <x:c r="I1757" s="17" t="str">
        <x:v>Correction</x:v>
      </x:c>
    </x:row>
    <x:row r="1758" ht="23" customHeight="1">
      <x:c r="A1758" s="17" t="str">
        <x:v>U01752</x:v>
      </x:c>
      <x:c r="B1758" s="18" t="n">
        <x:v>46289</x:v>
      </x:c>
      <x:c r="C1758" s="17" t="str">
        <x:v>W0119</x:v>
      </x:c>
      <x:c r="D1758" s="17" t="str">
        <x:v>C002</x:v>
      </x:c>
      <x:c r="E1758" s="17" t="str">
        <x:v>CampaignChat</x:v>
      </x:c>
      <x:c r="F1758" s="17" t="str">
        <x:v>Pro</x:v>
      </x:c>
      <x:c r="G1758" s="21" t="n">
        <x:v>24675</x:v>
      </x:c>
      <x:c r="H1758" s="21" t="n">
        <x:v>15796</x:v>
      </x:c>
      <x:c r="I1758" s="17" t="str">
        <x:v>Followup</x:v>
      </x:c>
    </x:row>
    <x:row r="1759" ht="23" customHeight="1">
      <x:c r="A1759" s="17" t="str">
        <x:v>U01753</x:v>
      </x:c>
      <x:c r="B1759" s="18" t="n">
        <x:v>46289</x:v>
      </x:c>
      <x:c r="C1759" s="17" t="str">
        <x:v>W0119</x:v>
      </x:c>
      <x:c r="D1759" s="17" t="str">
        <x:v>C002</x:v>
      </x:c>
      <x:c r="E1759" s="17" t="str">
        <x:v>CampaignChat</x:v>
      </x:c>
      <x:c r="F1759" s="17" t="str">
        <x:v>Pro</x:v>
      </x:c>
      <x:c r="G1759" s="21" t="n">
        <x:v>28786</x:v>
      </x:c>
      <x:c r="H1759" s="21" t="n">
        <x:v>15175</x:v>
      </x:c>
      <x:c r="I1759" s="17" t="str">
        <x:v>Followup</x:v>
      </x:c>
    </x:row>
    <x:row r="1760" ht="23" customHeight="1">
      <x:c r="A1760" s="17" t="str">
        <x:v>U01754</x:v>
      </x:c>
      <x:c r="B1760" s="18" t="n">
        <x:v>46289</x:v>
      </x:c>
      <x:c r="C1760" s="17" t="str">
        <x:v>W0119</x:v>
      </x:c>
      <x:c r="D1760" s="17" t="str">
        <x:v>C002</x:v>
      </x:c>
      <x:c r="E1760" s="17" t="str">
        <x:v>CampaignChat</x:v>
      </x:c>
      <x:c r="F1760" s="17" t="str">
        <x:v>Pro</x:v>
      </x:c>
      <x:c r="G1760" s="21" t="n">
        <x:v>13564</x:v>
      </x:c>
      <x:c r="H1760" s="21" t="n">
        <x:v>13388</x:v>
      </x:c>
      <x:c r="I1760" s="17" t="str">
        <x:v>Correction</x:v>
      </x:c>
    </x:row>
    <x:row r="1761" ht="23" customHeight="1">
      <x:c r="A1761" s="17" t="str">
        <x:v>U01755</x:v>
      </x:c>
      <x:c r="B1761" s="18" t="n">
        <x:v>46289</x:v>
      </x:c>
      <x:c r="C1761" s="17" t="str">
        <x:v>W0119</x:v>
      </x:c>
      <x:c r="D1761" s="17" t="str">
        <x:v>C002</x:v>
      </x:c>
      <x:c r="E1761" s="17" t="str">
        <x:v>CampaignChat</x:v>
      </x:c>
      <x:c r="F1761" s="17" t="str">
        <x:v>Pro</x:v>
      </x:c>
      <x:c r="G1761" s="21" t="n">
        <x:v>12045</x:v>
      </x:c>
      <x:c r="H1761" s="21" t="n">
        <x:v>16203</x:v>
      </x:c>
      <x:c r="I1761" s="17" t="str">
        <x:v>Correction</x:v>
      </x:c>
    </x:row>
    <x:row r="1762" ht="23" customHeight="1">
      <x:c r="A1762" s="17" t="str">
        <x:v>U01756</x:v>
      </x:c>
      <x:c r="B1762" s="18" t="n">
        <x:v>46290</x:v>
      </x:c>
      <x:c r="C1762" s="17" t="str">
        <x:v>W0119</x:v>
      </x:c>
      <x:c r="D1762" s="17" t="str">
        <x:v>C002</x:v>
      </x:c>
      <x:c r="E1762" s="17" t="str">
        <x:v>CampaignChat</x:v>
      </x:c>
      <x:c r="F1762" s="17" t="str">
        <x:v>Pro</x:v>
      </x:c>
      <x:c r="G1762" s="21" t="n">
        <x:v>20772</x:v>
      </x:c>
      <x:c r="H1762" s="21" t="n">
        <x:v>8255</x:v>
      </x:c>
      <x:c r="I1762" s="17" t="str">
        <x:v>Correction</x:v>
      </x:c>
    </x:row>
    <x:row r="1763" ht="23" customHeight="1">
      <x:c r="A1763" s="17" t="str">
        <x:v>U01757</x:v>
      </x:c>
      <x:c r="B1763" s="18" t="n">
        <x:v>46290</x:v>
      </x:c>
      <x:c r="C1763" s="17" t="str">
        <x:v>W0119</x:v>
      </x:c>
      <x:c r="D1763" s="17" t="str">
        <x:v>C002</x:v>
      </x:c>
      <x:c r="E1763" s="17" t="str">
        <x:v>CampaignChat</x:v>
      </x:c>
      <x:c r="F1763" s="17" t="str">
        <x:v>Pro</x:v>
      </x:c>
      <x:c r="G1763" s="21" t="n">
        <x:v>30377</x:v>
      </x:c>
      <x:c r="H1763" s="21" t="n">
        <x:v>6396</x:v>
      </x:c>
      <x:c r="I1763" s="17" t="str">
        <x:v>Correction</x:v>
      </x:c>
    </x:row>
    <x:row r="1764" ht="23" customHeight="1">
      <x:c r="A1764" s="17" t="str">
        <x:v>U01758</x:v>
      </x:c>
      <x:c r="B1764" s="18" t="n">
        <x:v>46290</x:v>
      </x:c>
      <x:c r="C1764" s="17" t="str">
        <x:v>W0119</x:v>
      </x:c>
      <x:c r="D1764" s="17" t="str">
        <x:v>C002</x:v>
      </x:c>
      <x:c r="E1764" s="17" t="str">
        <x:v>CampaignChat</x:v>
      </x:c>
      <x:c r="F1764" s="17" t="str">
        <x:v>Pro</x:v>
      </x:c>
      <x:c r="G1764" s="21" t="n">
        <x:v>11985</x:v>
      </x:c>
      <x:c r="H1764" s="21" t="n">
        <x:v>13047</x:v>
      </x:c>
      <x:c r="I1764" s="17" t="str">
        <x:v>Correction</x:v>
      </x:c>
    </x:row>
    <x:row r="1765" ht="23" customHeight="1">
      <x:c r="A1765" s="17" t="str">
        <x:v>U01759</x:v>
      </x:c>
      <x:c r="B1765" s="18" t="n">
        <x:v>46290</x:v>
      </x:c>
      <x:c r="C1765" s="17" t="str">
        <x:v>W0119</x:v>
      </x:c>
      <x:c r="D1765" s="17" t="str">
        <x:v>C002</x:v>
      </x:c>
      <x:c r="E1765" s="17" t="str">
        <x:v>CampaignChat</x:v>
      </x:c>
      <x:c r="F1765" s="17" t="str">
        <x:v>Pro</x:v>
      </x:c>
      <x:c r="G1765" s="21" t="n">
        <x:v>21785</x:v>
      </x:c>
      <x:c r="H1765" s="21" t="n">
        <x:v>18845</x:v>
      </x:c>
      <x:c r="I1765" s="17" t="str">
        <x:v>Followup</x:v>
      </x:c>
    </x:row>
    <x:row r="1766" ht="23" customHeight="1">
      <x:c r="A1766" s="17" t="str">
        <x:v>U01760</x:v>
      </x:c>
      <x:c r="B1766" s="18" t="n">
        <x:v>46290</x:v>
      </x:c>
      <x:c r="C1766" s="17" t="str">
        <x:v>W0119</x:v>
      </x:c>
      <x:c r="D1766" s="17" t="str">
        <x:v>C002</x:v>
      </x:c>
      <x:c r="E1766" s="17" t="str">
        <x:v>CampaignChat</x:v>
      </x:c>
      <x:c r="F1766" s="17" t="str">
        <x:v>Pro</x:v>
      </x:c>
      <x:c r="G1766" s="21" t="n">
        <x:v>16408</x:v>
      </x:c>
      <x:c r="H1766" s="21" t="n">
        <x:v>15538</x:v>
      </x:c>
      <x:c r="I1766" s="17" t="str">
        <x:v>Correction</x:v>
      </x:c>
    </x:row>
    <x:row r="1767" ht="23" customHeight="1">
      <x:c r="A1767" s="17" t="str">
        <x:v>U01761</x:v>
      </x:c>
      <x:c r="B1767" s="18" t="n">
        <x:v>46290</x:v>
      </x:c>
      <x:c r="C1767" s="17" t="str">
        <x:v>W0119</x:v>
      </x:c>
      <x:c r="D1767" s="17" t="str">
        <x:v>C002</x:v>
      </x:c>
      <x:c r="E1767" s="17" t="str">
        <x:v>CampaignChat</x:v>
      </x:c>
      <x:c r="F1767" s="17" t="str">
        <x:v>Pro</x:v>
      </x:c>
      <x:c r="G1767" s="21" t="n">
        <x:v>22259</x:v>
      </x:c>
      <x:c r="H1767" s="21" t="n">
        <x:v>17640</x:v>
      </x:c>
      <x:c r="I1767" s="17" t="str">
        <x:v>Followup</x:v>
      </x:c>
    </x:row>
    <x:row r="1768" ht="23" customHeight="1">
      <x:c r="A1768" s="17" t="str">
        <x:v>U01762</x:v>
      </x:c>
      <x:c r="B1768" s="18" t="n">
        <x:v>46293</x:v>
      </x:c>
      <x:c r="C1768" s="17" t="str">
        <x:v>W0119</x:v>
      </x:c>
      <x:c r="D1768" s="17" t="str">
        <x:v>C002</x:v>
      </x:c>
      <x:c r="E1768" s="17" t="str">
        <x:v>CampaignChat</x:v>
      </x:c>
      <x:c r="F1768" s="17" t="str">
        <x:v>Pro</x:v>
      </x:c>
      <x:c r="G1768" s="21" t="n">
        <x:v>24345</x:v>
      </x:c>
      <x:c r="H1768" s="21" t="n">
        <x:v>7480</x:v>
      </x:c>
      <x:c r="I1768" s="17" t="str">
        <x:v>Correction</x:v>
      </x:c>
    </x:row>
    <x:row r="1769" ht="23" customHeight="1">
      <x:c r="A1769" s="17" t="str">
        <x:v>U01763</x:v>
      </x:c>
      <x:c r="B1769" s="18" t="n">
        <x:v>46293</x:v>
      </x:c>
      <x:c r="C1769" s="17" t="str">
        <x:v>W0119</x:v>
      </x:c>
      <x:c r="D1769" s="17" t="str">
        <x:v>C002</x:v>
      </x:c>
      <x:c r="E1769" s="17" t="str">
        <x:v>CampaignChat</x:v>
      </x:c>
      <x:c r="F1769" s="17" t="str">
        <x:v>Pro</x:v>
      </x:c>
      <x:c r="G1769" s="21" t="n">
        <x:v>26278</x:v>
      </x:c>
      <x:c r="H1769" s="21" t="n">
        <x:v>15490</x:v>
      </x:c>
      <x:c r="I1769" s="17" t="str">
        <x:v>Followup</x:v>
      </x:c>
    </x:row>
    <x:row r="1770" ht="23" customHeight="1">
      <x:c r="A1770" s="17" t="str">
        <x:v>U01764</x:v>
      </x:c>
      <x:c r="B1770" s="18" t="n">
        <x:v>46293</x:v>
      </x:c>
      <x:c r="C1770" s="17" t="str">
        <x:v>W0119</x:v>
      </x:c>
      <x:c r="D1770" s="17" t="str">
        <x:v>C002</x:v>
      </x:c>
      <x:c r="E1770" s="17" t="str">
        <x:v>CampaignChat</x:v>
      </x:c>
      <x:c r="F1770" s="17" t="str">
        <x:v>Pro</x:v>
      </x:c>
      <x:c r="G1770" s="21" t="n">
        <x:v>28812</x:v>
      </x:c>
      <x:c r="H1770" s="21" t="n">
        <x:v>17054</x:v>
      </x:c>
      <x:c r="I1770" s="17" t="str">
        <x:v>Followup</x:v>
      </x:c>
    </x:row>
    <x:row r="1771" ht="23" customHeight="1">
      <x:c r="A1771" s="17" t="str">
        <x:v>U01765</x:v>
      </x:c>
      <x:c r="B1771" s="18" t="n">
        <x:v>46293</x:v>
      </x:c>
      <x:c r="C1771" s="17" t="str">
        <x:v>W0119</x:v>
      </x:c>
      <x:c r="D1771" s="17" t="str">
        <x:v>C002</x:v>
      </x:c>
      <x:c r="E1771" s="17" t="str">
        <x:v>CampaignChat</x:v>
      </x:c>
      <x:c r="F1771" s="17" t="str">
        <x:v>Pro</x:v>
      </x:c>
      <x:c r="G1771" s="21" t="n">
        <x:v>21551</x:v>
      </x:c>
      <x:c r="H1771" s="21" t="n">
        <x:v>10791</x:v>
      </x:c>
      <x:c r="I1771" s="17" t="str">
        <x:v>Followup</x:v>
      </x:c>
    </x:row>
    <x:row r="1772" ht="23" customHeight="1">
      <x:c r="A1772" s="17" t="str">
        <x:v>U01766</x:v>
      </x:c>
      <x:c r="B1772" s="18" t="n">
        <x:v>46293</x:v>
      </x:c>
      <x:c r="C1772" s="17" t="str">
        <x:v>W0119</x:v>
      </x:c>
      <x:c r="D1772" s="17" t="str">
        <x:v>C002</x:v>
      </x:c>
      <x:c r="E1772" s="17" t="str">
        <x:v>CampaignChat</x:v>
      </x:c>
      <x:c r="F1772" s="17" t="str">
        <x:v>Pro</x:v>
      </x:c>
      <x:c r="G1772" s="21" t="n">
        <x:v>12046</x:v>
      </x:c>
      <x:c r="H1772" s="21" t="n">
        <x:v>12229</x:v>
      </x:c>
      <x:c r="I1772" s="17" t="str">
        <x:v>Correction</x:v>
      </x:c>
    </x:row>
    <x:row r="1773" ht="23" customHeight="1">
      <x:c r="A1773" s="17" t="str">
        <x:v>U01767</x:v>
      </x:c>
      <x:c r="B1773" s="18" t="n">
        <x:v>46293</x:v>
      </x:c>
      <x:c r="C1773" s="17" t="str">
        <x:v>W0119</x:v>
      </x:c>
      <x:c r="D1773" s="17" t="str">
        <x:v>C002</x:v>
      </x:c>
      <x:c r="E1773" s="17" t="str">
        <x:v>CampaignChat</x:v>
      </x:c>
      <x:c r="F1773" s="17" t="str">
        <x:v>Pro</x:v>
      </x:c>
      <x:c r="G1773" s="21" t="n">
        <x:v>16155</x:v>
      </x:c>
      <x:c r="H1773" s="21" t="n">
        <x:v>11266</x:v>
      </x:c>
      <x:c r="I1773" s="17" t="str">
        <x:v>Followup</x:v>
      </x:c>
    </x:row>
    <x:row r="1774" ht="23" customHeight="1">
      <x:c r="A1774" s="17" t="str">
        <x:v>U01768</x:v>
      </x:c>
      <x:c r="B1774" s="18" t="n">
        <x:v>46294</x:v>
      </x:c>
      <x:c r="C1774" s="17" t="str">
        <x:v>W0119</x:v>
      </x:c>
      <x:c r="D1774" s="17" t="str">
        <x:v>C002</x:v>
      </x:c>
      <x:c r="E1774" s="17" t="str">
        <x:v>CampaignChat</x:v>
      </x:c>
      <x:c r="F1774" s="17" t="str">
        <x:v>Pro</x:v>
      </x:c>
      <x:c r="G1774" s="21" t="n">
        <x:v>14146</x:v>
      </x:c>
      <x:c r="H1774" s="21" t="n">
        <x:v>19819</x:v>
      </x:c>
      <x:c r="I1774" s="17" t="str">
        <x:v>Correction</x:v>
      </x:c>
    </x:row>
    <x:row r="1775" ht="23" customHeight="1">
      <x:c r="A1775" s="17" t="str">
        <x:v>U01769</x:v>
      </x:c>
      <x:c r="B1775" s="18" t="n">
        <x:v>46294</x:v>
      </x:c>
      <x:c r="C1775" s="17" t="str">
        <x:v>W0119</x:v>
      </x:c>
      <x:c r="D1775" s="17" t="str">
        <x:v>C002</x:v>
      </x:c>
      <x:c r="E1775" s="17" t="str">
        <x:v>CampaignChat</x:v>
      </x:c>
      <x:c r="F1775" s="17" t="str">
        <x:v>Pro</x:v>
      </x:c>
      <x:c r="G1775" s="21" t="n">
        <x:v>13097</x:v>
      </x:c>
      <x:c r="H1775" s="21" t="n">
        <x:v>20046</x:v>
      </x:c>
      <x:c r="I1775" s="17" t="str">
        <x:v>Followup</x:v>
      </x:c>
    </x:row>
    <x:row r="1776" ht="23" customHeight="1">
      <x:c r="A1776" s="17" t="str">
        <x:v>U01770</x:v>
      </x:c>
      <x:c r="B1776" s="18" t="n">
        <x:v>46294</x:v>
      </x:c>
      <x:c r="C1776" s="17" t="str">
        <x:v>W0119</x:v>
      </x:c>
      <x:c r="D1776" s="17" t="str">
        <x:v>C002</x:v>
      </x:c>
      <x:c r="E1776" s="17" t="str">
        <x:v>CampaignChat</x:v>
      </x:c>
      <x:c r="F1776" s="17" t="str">
        <x:v>Pro</x:v>
      </x:c>
      <x:c r="G1776" s="21" t="n">
        <x:v>14678</x:v>
      </x:c>
      <x:c r="H1776" s="21" t="n">
        <x:v>11694</x:v>
      </x:c>
      <x:c r="I1776" s="17" t="str">
        <x:v>Correction</x:v>
      </x:c>
    </x:row>
    <x:row r="1777" ht="23" customHeight="1">
      <x:c r="A1777" s="17" t="str">
        <x:v>U01771</x:v>
      </x:c>
      <x:c r="B1777" s="18" t="n">
        <x:v>46294</x:v>
      </x:c>
      <x:c r="C1777" s="17" t="str">
        <x:v>W0119</x:v>
      </x:c>
      <x:c r="D1777" s="17" t="str">
        <x:v>C002</x:v>
      </x:c>
      <x:c r="E1777" s="17" t="str">
        <x:v>CampaignChat</x:v>
      </x:c>
      <x:c r="F1777" s="17" t="str">
        <x:v>Pro</x:v>
      </x:c>
      <x:c r="G1777" s="21" t="n">
        <x:v>20168</x:v>
      </x:c>
      <x:c r="H1777" s="21" t="n">
        <x:v>16228</x:v>
      </x:c>
      <x:c r="I1777" s="17" t="str">
        <x:v>Correction</x:v>
      </x:c>
    </x:row>
    <x:row r="1778" ht="23" customHeight="1">
      <x:c r="A1778" s="17" t="str">
        <x:v>U01772</x:v>
      </x:c>
      <x:c r="B1778" s="18" t="n">
        <x:v>46294</x:v>
      </x:c>
      <x:c r="C1778" s="17" t="str">
        <x:v>W0119</x:v>
      </x:c>
      <x:c r="D1778" s="17" t="str">
        <x:v>C002</x:v>
      </x:c>
      <x:c r="E1778" s="17" t="str">
        <x:v>CampaignChat</x:v>
      </x:c>
      <x:c r="F1778" s="17" t="str">
        <x:v>Pro</x:v>
      </x:c>
      <x:c r="G1778" s="21" t="n">
        <x:v>13222</x:v>
      </x:c>
      <x:c r="H1778" s="21" t="n">
        <x:v>9687</x:v>
      </x:c>
      <x:c r="I1778" s="17" t="str">
        <x:v>Followup</x:v>
      </x:c>
    </x:row>
    <x:row r="1779" ht="23" customHeight="1">
      <x:c r="A1779" s="17" t="str">
        <x:v>U01773</x:v>
      </x:c>
      <x:c r="B1779" s="18" t="n">
        <x:v>46294</x:v>
      </x:c>
      <x:c r="C1779" s="17" t="str">
        <x:v>W0119</x:v>
      </x:c>
      <x:c r="D1779" s="17" t="str">
        <x:v>C002</x:v>
      </x:c>
      <x:c r="E1779" s="17" t="str">
        <x:v>CampaignChat</x:v>
      </x:c>
      <x:c r="F1779" s="17" t="str">
        <x:v>Pro</x:v>
      </x:c>
      <x:c r="G1779" s="21" t="n">
        <x:v>18876</x:v>
      </x:c>
      <x:c r="H1779" s="21" t="n">
        <x:v>21367</x:v>
      </x:c>
      <x:c r="I1779" s="17" t="str">
        <x:v>Followup</x:v>
      </x:c>
    </x:row>
    <x:row r="1780" ht="23" customHeight="1">
      <x:c r="A1780" s="17" t="str">
        <x:v>U01774</x:v>
      </x:c>
      <x:c r="B1780" s="18" t="n">
        <x:v>46274</x:v>
      </x:c>
      <x:c r="C1780" s="17" t="str">
        <x:v>W0120</x:v>
      </x:c>
      <x:c r="D1780" s="17" t="str">
        <x:v>C002</x:v>
      </x:c>
      <x:c r="E1780" s="17" t="str">
        <x:v>DataFlow</x:v>
      </x:c>
      <x:c r="F1780" s="17" t="str">
        <x:v>Pro</x:v>
      </x:c>
      <x:c r="G1780" s="21" t="n">
        <x:v>13745</x:v>
      </x:c>
      <x:c r="H1780" s="21" t="n">
        <x:v>17152</x:v>
      </x:c>
      <x:c r="I1780" s="17" t="str">
        <x:v>First attempt</x:v>
      </x:c>
    </x:row>
    <x:row r="1781" ht="23" customHeight="1">
      <x:c r="A1781" s="17" t="str">
        <x:v>U01775</x:v>
      </x:c>
      <x:c r="B1781" s="18" t="n">
        <x:v>46274</x:v>
      </x:c>
      <x:c r="C1781" s="17" t="str">
        <x:v>W0120</x:v>
      </x:c>
      <x:c r="D1781" s="17" t="str">
        <x:v>C002</x:v>
      </x:c>
      <x:c r="E1781" s="17" t="str">
        <x:v>DataFlow</x:v>
      </x:c>
      <x:c r="F1781" s="17" t="str">
        <x:v>Pro</x:v>
      </x:c>
      <x:c r="G1781" s="21" t="n">
        <x:v>23321</x:v>
      </x:c>
      <x:c r="H1781" s="21" t="n">
        <x:v>9584</x:v>
      </x:c>
      <x:c r="I1781" s="17" t="str">
        <x:v>Followup</x:v>
      </x:c>
    </x:row>
    <x:row r="1782" ht="23" customHeight="1">
      <x:c r="A1782" s="17" t="str">
        <x:v>U01776</x:v>
      </x:c>
      <x:c r="B1782" s="18" t="n">
        <x:v>46274</x:v>
      </x:c>
      <x:c r="C1782" s="17" t="str">
        <x:v>W0120</x:v>
      </x:c>
      <x:c r="D1782" s="17" t="str">
        <x:v>C002</x:v>
      </x:c>
      <x:c r="E1782" s="17" t="str">
        <x:v>DataFlow</x:v>
      </x:c>
      <x:c r="F1782" s="17" t="str">
        <x:v>Pro</x:v>
      </x:c>
      <x:c r="G1782" s="21" t="n">
        <x:v>19099</x:v>
      </x:c>
      <x:c r="H1782" s="21" t="n">
        <x:v>16289</x:v>
      </x:c>
      <x:c r="I1782" s="17" t="str">
        <x:v>Followup</x:v>
      </x:c>
    </x:row>
    <x:row r="1783" ht="23" customHeight="1">
      <x:c r="A1783" s="17" t="str">
        <x:v>U01777</x:v>
      </x:c>
      <x:c r="B1783" s="18" t="n">
        <x:v>46274</x:v>
      </x:c>
      <x:c r="C1783" s="17" t="str">
        <x:v>W0120</x:v>
      </x:c>
      <x:c r="D1783" s="17" t="str">
        <x:v>C002</x:v>
      </x:c>
      <x:c r="E1783" s="17" t="str">
        <x:v>DataFlow</x:v>
      </x:c>
      <x:c r="F1783" s="17" t="str">
        <x:v>Pro</x:v>
      </x:c>
      <x:c r="G1783" s="21" t="n">
        <x:v>11214</x:v>
      </x:c>
      <x:c r="H1783" s="21" t="n">
        <x:v>14684</x:v>
      </x:c>
      <x:c r="I1783" s="17" t="str">
        <x:v>Followup</x:v>
      </x:c>
    </x:row>
    <x:row r="1784" ht="23" customHeight="1">
      <x:c r="A1784" s="17" t="str">
        <x:v>U01778</x:v>
      </x:c>
      <x:c r="B1784" s="18" t="n">
        <x:v>46274</x:v>
      </x:c>
      <x:c r="C1784" s="17" t="str">
        <x:v>W0120</x:v>
      </x:c>
      <x:c r="D1784" s="17" t="str">
        <x:v>C002</x:v>
      </x:c>
      <x:c r="E1784" s="17" t="str">
        <x:v>DataFlow</x:v>
      </x:c>
      <x:c r="F1784" s="17" t="str">
        <x:v>Pro</x:v>
      </x:c>
      <x:c r="G1784" s="21" t="n">
        <x:v>25143</x:v>
      </x:c>
      <x:c r="H1784" s="21" t="n">
        <x:v>12265</x:v>
      </x:c>
      <x:c r="I1784" s="17" t="str">
        <x:v>Followup</x:v>
      </x:c>
    </x:row>
    <x:row r="1785" ht="23" customHeight="1">
      <x:c r="A1785" s="17" t="str">
        <x:v>U01779</x:v>
      </x:c>
      <x:c r="B1785" s="18" t="n">
        <x:v>46274</x:v>
      </x:c>
      <x:c r="C1785" s="17" t="str">
        <x:v>W0120</x:v>
      </x:c>
      <x:c r="D1785" s="17" t="str">
        <x:v>C002</x:v>
      </x:c>
      <x:c r="E1785" s="17" t="str">
        <x:v>DataFlow</x:v>
      </x:c>
      <x:c r="F1785" s="17" t="str">
        <x:v>Pro</x:v>
      </x:c>
      <x:c r="G1785" s="21" t="n">
        <x:v>16834</x:v>
      </x:c>
      <x:c r="H1785" s="21" t="n">
        <x:v>18609</x:v>
      </x:c>
      <x:c r="I1785" s="17" t="str">
        <x:v>Followup</x:v>
      </x:c>
    </x:row>
    <x:row r="1786" ht="23" customHeight="1">
      <x:c r="A1786" s="17" t="str">
        <x:v>U01780</x:v>
      </x:c>
      <x:c r="B1786" s="18" t="n">
        <x:v>46274</x:v>
      </x:c>
      <x:c r="C1786" s="17" t="str">
        <x:v>W0120</x:v>
      </x:c>
      <x:c r="D1786" s="17" t="str">
        <x:v>C002</x:v>
      </x:c>
      <x:c r="E1786" s="17" t="str">
        <x:v>DataFlow</x:v>
      </x:c>
      <x:c r="F1786" s="17" t="str">
        <x:v>Pro</x:v>
      </x:c>
      <x:c r="G1786" s="21" t="n">
        <x:v>14729</x:v>
      </x:c>
      <x:c r="H1786" s="21" t="n">
        <x:v>19305</x:v>
      </x:c>
      <x:c r="I1786" s="17" t="str">
        <x:v>Followup</x:v>
      </x:c>
    </x:row>
    <x:row r="1787" ht="23" customHeight="1">
      <x:c r="A1787" s="17" t="str">
        <x:v>U01781</x:v>
      </x:c>
      <x:c r="B1787" s="18" t="n">
        <x:v>46275</x:v>
      </x:c>
      <x:c r="C1787" s="17" t="str">
        <x:v>W0120</x:v>
      </x:c>
      <x:c r="D1787" s="17" t="str">
        <x:v>C002</x:v>
      </x:c>
      <x:c r="E1787" s="17" t="str">
        <x:v>DataFlow</x:v>
      </x:c>
      <x:c r="F1787" s="17" t="str">
        <x:v>Pro</x:v>
      </x:c>
      <x:c r="G1787" s="21" t="n">
        <x:v>18377</x:v>
      </x:c>
      <x:c r="H1787" s="21" t="n">
        <x:v>10089</x:v>
      </x:c>
      <x:c r="I1787" s="17" t="str">
        <x:v>Correction</x:v>
      </x:c>
    </x:row>
    <x:row r="1788" ht="23" customHeight="1">
      <x:c r="A1788" s="17" t="str">
        <x:v>U01782</x:v>
      </x:c>
      <x:c r="B1788" s="18" t="n">
        <x:v>46275</x:v>
      </x:c>
      <x:c r="C1788" s="17" t="str">
        <x:v>W0120</x:v>
      </x:c>
      <x:c r="D1788" s="17" t="str">
        <x:v>C002</x:v>
      </x:c>
      <x:c r="E1788" s="17" t="str">
        <x:v>DataFlow</x:v>
      </x:c>
      <x:c r="F1788" s="17" t="str">
        <x:v>Pro</x:v>
      </x:c>
      <x:c r="G1788" s="21" t="n">
        <x:v>21424</x:v>
      </x:c>
      <x:c r="H1788" s="21" t="n">
        <x:v>10367</x:v>
      </x:c>
      <x:c r="I1788" s="17" t="str">
        <x:v>Followup</x:v>
      </x:c>
    </x:row>
    <x:row r="1789" ht="23" customHeight="1">
      <x:c r="A1789" s="17" t="str">
        <x:v>U01783</x:v>
      </x:c>
      <x:c r="B1789" s="18" t="n">
        <x:v>46275</x:v>
      </x:c>
      <x:c r="C1789" s="17" t="str">
        <x:v>W0120</x:v>
      </x:c>
      <x:c r="D1789" s="17" t="str">
        <x:v>C002</x:v>
      </x:c>
      <x:c r="E1789" s="17" t="str">
        <x:v>DataFlow</x:v>
      </x:c>
      <x:c r="F1789" s="17" t="str">
        <x:v>Pro</x:v>
      </x:c>
      <x:c r="G1789" s="21" t="n">
        <x:v>17878</x:v>
      </x:c>
      <x:c r="H1789" s="21" t="n">
        <x:v>18115</x:v>
      </x:c>
      <x:c r="I1789" s="17" t="str">
        <x:v>Correction</x:v>
      </x:c>
    </x:row>
    <x:row r="1790" ht="23" customHeight="1">
      <x:c r="A1790" s="17" t="str">
        <x:v>U01784</x:v>
      </x:c>
      <x:c r="B1790" s="18" t="n">
        <x:v>46275</x:v>
      </x:c>
      <x:c r="C1790" s="17" t="str">
        <x:v>W0120</x:v>
      </x:c>
      <x:c r="D1790" s="17" t="str">
        <x:v>C002</x:v>
      </x:c>
      <x:c r="E1790" s="17" t="str">
        <x:v>DataFlow</x:v>
      </x:c>
      <x:c r="F1790" s="17" t="str">
        <x:v>Pro</x:v>
      </x:c>
      <x:c r="G1790" s="21" t="n">
        <x:v>23505</x:v>
      </x:c>
      <x:c r="H1790" s="21" t="n">
        <x:v>17869</x:v>
      </x:c>
      <x:c r="I1790" s="17" t="str">
        <x:v>Correction</x:v>
      </x:c>
    </x:row>
    <x:row r="1791" ht="23" customHeight="1">
      <x:c r="A1791" s="17" t="str">
        <x:v>U01785</x:v>
      </x:c>
      <x:c r="B1791" s="18" t="n">
        <x:v>46275</x:v>
      </x:c>
      <x:c r="C1791" s="17" t="str">
        <x:v>W0120</x:v>
      </x:c>
      <x:c r="D1791" s="17" t="str">
        <x:v>C002</x:v>
      </x:c>
      <x:c r="E1791" s="17" t="str">
        <x:v>DataFlow</x:v>
      </x:c>
      <x:c r="F1791" s="17" t="str">
        <x:v>Pro</x:v>
      </x:c>
      <x:c r="G1791" s="21" t="n">
        <x:v>16596</x:v>
      </x:c>
      <x:c r="H1791" s="21" t="n">
        <x:v>9490</x:v>
      </x:c>
      <x:c r="I1791" s="17" t="str">
        <x:v>Followup</x:v>
      </x:c>
    </x:row>
    <x:row r="1792" ht="23" customHeight="1">
      <x:c r="A1792" s="17" t="str">
        <x:v>U01786</x:v>
      </x:c>
      <x:c r="B1792" s="18" t="n">
        <x:v>46275</x:v>
      </x:c>
      <x:c r="C1792" s="17" t="str">
        <x:v>W0120</x:v>
      </x:c>
      <x:c r="D1792" s="17" t="str">
        <x:v>C002</x:v>
      </x:c>
      <x:c r="E1792" s="17" t="str">
        <x:v>DataFlow</x:v>
      </x:c>
      <x:c r="F1792" s="17" t="str">
        <x:v>Pro</x:v>
      </x:c>
      <x:c r="G1792" s="21" t="n">
        <x:v>9687</x:v>
      </x:c>
      <x:c r="H1792" s="21" t="n">
        <x:v>6071</x:v>
      </x:c>
      <x:c r="I1792" s="17" t="str">
        <x:v>Correction</x:v>
      </x:c>
    </x:row>
    <x:row r="1793" ht="23" customHeight="1">
      <x:c r="A1793" s="17" t="str">
        <x:v>U01787</x:v>
      </x:c>
      <x:c r="B1793" s="18" t="n">
        <x:v>46275</x:v>
      </x:c>
      <x:c r="C1793" s="17" t="str">
        <x:v>W0120</x:v>
      </x:c>
      <x:c r="D1793" s="17" t="str">
        <x:v>C002</x:v>
      </x:c>
      <x:c r="E1793" s="17" t="str">
        <x:v>DataFlow</x:v>
      </x:c>
      <x:c r="F1793" s="17" t="str">
        <x:v>Pro</x:v>
      </x:c>
      <x:c r="G1793" s="21" t="n">
        <x:v>20770</x:v>
      </x:c>
      <x:c r="H1793" s="21" t="n">
        <x:v>17151</x:v>
      </x:c>
      <x:c r="I1793" s="17" t="str">
        <x:v>Correction</x:v>
      </x:c>
    </x:row>
    <x:row r="1794" ht="23" customHeight="1">
      <x:c r="A1794" s="17" t="str">
        <x:v>U01788</x:v>
      </x:c>
      <x:c r="B1794" s="18" t="n">
        <x:v>46276</x:v>
      </x:c>
      <x:c r="C1794" s="17" t="str">
        <x:v>W0120</x:v>
      </x:c>
      <x:c r="D1794" s="17" t="str">
        <x:v>C002</x:v>
      </x:c>
      <x:c r="E1794" s="17" t="str">
        <x:v>DataFlow</x:v>
      </x:c>
      <x:c r="F1794" s="17" t="str">
        <x:v>Pro</x:v>
      </x:c>
      <x:c r="G1794" s="21" t="n">
        <x:v>18271</x:v>
      </x:c>
      <x:c r="H1794" s="21" t="n">
        <x:v>9427</x:v>
      </x:c>
      <x:c r="I1794" s="17" t="str">
        <x:v>Followup</x:v>
      </x:c>
    </x:row>
    <x:row r="1795" ht="23" customHeight="1">
      <x:c r="A1795" s="17" t="str">
        <x:v>U01789</x:v>
      </x:c>
      <x:c r="B1795" s="18" t="n">
        <x:v>46276</x:v>
      </x:c>
      <x:c r="C1795" s="17" t="str">
        <x:v>W0120</x:v>
      </x:c>
      <x:c r="D1795" s="17" t="str">
        <x:v>C002</x:v>
      </x:c>
      <x:c r="E1795" s="17" t="str">
        <x:v>DataFlow</x:v>
      </x:c>
      <x:c r="F1795" s="17" t="str">
        <x:v>Pro</x:v>
      </x:c>
      <x:c r="G1795" s="21" t="n">
        <x:v>23134</x:v>
      </x:c>
      <x:c r="H1795" s="21" t="n">
        <x:v>12218</x:v>
      </x:c>
      <x:c r="I1795" s="17" t="str">
        <x:v>Correction</x:v>
      </x:c>
    </x:row>
    <x:row r="1796" ht="23" customHeight="1">
      <x:c r="A1796" s="17" t="str">
        <x:v>U01790</x:v>
      </x:c>
      <x:c r="B1796" s="18" t="n">
        <x:v>46276</x:v>
      </x:c>
      <x:c r="C1796" s="17" t="str">
        <x:v>W0120</x:v>
      </x:c>
      <x:c r="D1796" s="17" t="str">
        <x:v>C002</x:v>
      </x:c>
      <x:c r="E1796" s="17" t="str">
        <x:v>DataFlow</x:v>
      </x:c>
      <x:c r="F1796" s="17" t="str">
        <x:v>Pro</x:v>
      </x:c>
      <x:c r="G1796" s="21" t="n">
        <x:v>14572</x:v>
      </x:c>
      <x:c r="H1796" s="21" t="n">
        <x:v>11169</x:v>
      </x:c>
      <x:c r="I1796" s="17" t="str">
        <x:v>Correction</x:v>
      </x:c>
    </x:row>
    <x:row r="1797" ht="23" customHeight="1">
      <x:c r="A1797" s="17" t="str">
        <x:v>U01791</x:v>
      </x:c>
      <x:c r="B1797" s="18" t="n">
        <x:v>46276</x:v>
      </x:c>
      <x:c r="C1797" s="17" t="str">
        <x:v>W0120</x:v>
      </x:c>
      <x:c r="D1797" s="17" t="str">
        <x:v>C002</x:v>
      </x:c>
      <x:c r="E1797" s="17" t="str">
        <x:v>DataFlow</x:v>
      </x:c>
      <x:c r="F1797" s="17" t="str">
        <x:v>Pro</x:v>
      </x:c>
      <x:c r="G1797" s="21" t="n">
        <x:v>25142</x:v>
      </x:c>
      <x:c r="H1797" s="21" t="n">
        <x:v>11082</x:v>
      </x:c>
      <x:c r="I1797" s="17" t="str">
        <x:v>Followup</x:v>
      </x:c>
    </x:row>
    <x:row r="1798" ht="23" customHeight="1">
      <x:c r="A1798" s="17" t="str">
        <x:v>U01792</x:v>
      </x:c>
      <x:c r="B1798" s="18" t="n">
        <x:v>46276</x:v>
      </x:c>
      <x:c r="C1798" s="17" t="str">
        <x:v>W0120</x:v>
      </x:c>
      <x:c r="D1798" s="17" t="str">
        <x:v>C002</x:v>
      </x:c>
      <x:c r="E1798" s="17" t="str">
        <x:v>DataFlow</x:v>
      </x:c>
      <x:c r="F1798" s="17" t="str">
        <x:v>Pro</x:v>
      </x:c>
      <x:c r="G1798" s="21" t="n">
        <x:v>18739</x:v>
      </x:c>
      <x:c r="H1798" s="21" t="n">
        <x:v>20567</x:v>
      </x:c>
      <x:c r="I1798" s="17" t="str">
        <x:v>Followup</x:v>
      </x:c>
    </x:row>
    <x:row r="1799" ht="23" customHeight="1">
      <x:c r="A1799" s="17" t="str">
        <x:v>U01793</x:v>
      </x:c>
      <x:c r="B1799" s="18" t="n">
        <x:v>46276</x:v>
      </x:c>
      <x:c r="C1799" s="17" t="str">
        <x:v>W0120</x:v>
      </x:c>
      <x:c r="D1799" s="17" t="str">
        <x:v>C002</x:v>
      </x:c>
      <x:c r="E1799" s="17" t="str">
        <x:v>DataFlow</x:v>
      </x:c>
      <x:c r="F1799" s="17" t="str">
        <x:v>Pro</x:v>
      </x:c>
      <x:c r="G1799" s="21" t="n">
        <x:v>17506</x:v>
      </x:c>
      <x:c r="H1799" s="21" t="n">
        <x:v>8513</x:v>
      </x:c>
      <x:c r="I1799" s="17" t="str">
        <x:v>Followup</x:v>
      </x:c>
    </x:row>
    <x:row r="1800" ht="23" customHeight="1">
      <x:c r="A1800" s="17" t="str">
        <x:v>U01794</x:v>
      </x:c>
      <x:c r="B1800" s="18" t="n">
        <x:v>46276</x:v>
      </x:c>
      <x:c r="C1800" s="17" t="str">
        <x:v>W0120</x:v>
      </x:c>
      <x:c r="D1800" s="17" t="str">
        <x:v>C002</x:v>
      </x:c>
      <x:c r="E1800" s="17" t="str">
        <x:v>DataFlow</x:v>
      </x:c>
      <x:c r="F1800" s="17" t="str">
        <x:v>Pro</x:v>
      </x:c>
      <x:c r="G1800" s="21" t="n">
        <x:v>15743</x:v>
      </x:c>
      <x:c r="H1800" s="21" t="n">
        <x:v>12810</x:v>
      </x:c>
      <x:c r="I1800" s="17" t="str">
        <x:v>Followup</x:v>
      </x:c>
    </x:row>
    <x:row r="1801" ht="23" customHeight="1">
      <x:c r="A1801" s="17" t="str">
        <x:v>U01795</x:v>
      </x:c>
      <x:c r="B1801" s="18" t="n">
        <x:v>46279</x:v>
      </x:c>
      <x:c r="C1801" s="17" t="str">
        <x:v>W0120</x:v>
      </x:c>
      <x:c r="D1801" s="17" t="str">
        <x:v>C002</x:v>
      </x:c>
      <x:c r="E1801" s="17" t="str">
        <x:v>DataFlow</x:v>
      </x:c>
      <x:c r="F1801" s="17" t="str">
        <x:v>Pro</x:v>
      </x:c>
      <x:c r="G1801" s="21" t="n">
        <x:v>19030</x:v>
      </x:c>
      <x:c r="H1801" s="21" t="n">
        <x:v>17736</x:v>
      </x:c>
      <x:c r="I1801" s="17" t="str">
        <x:v>Followup</x:v>
      </x:c>
    </x:row>
    <x:row r="1802" ht="23" customHeight="1">
      <x:c r="A1802" s="17" t="str">
        <x:v>U01796</x:v>
      </x:c>
      <x:c r="B1802" s="18" t="n">
        <x:v>46279</x:v>
      </x:c>
      <x:c r="C1802" s="17" t="str">
        <x:v>W0120</x:v>
      </x:c>
      <x:c r="D1802" s="17" t="str">
        <x:v>C002</x:v>
      </x:c>
      <x:c r="E1802" s="17" t="str">
        <x:v>DataFlow</x:v>
      </x:c>
      <x:c r="F1802" s="17" t="str">
        <x:v>Pro</x:v>
      </x:c>
      <x:c r="G1802" s="21" t="n">
        <x:v>12494</x:v>
      </x:c>
      <x:c r="H1802" s="21" t="n">
        <x:v>19807</x:v>
      </x:c>
      <x:c r="I1802" s="17" t="str">
        <x:v>Correction</x:v>
      </x:c>
    </x:row>
    <x:row r="1803" ht="23" customHeight="1">
      <x:c r="A1803" s="17" t="str">
        <x:v>U01797</x:v>
      </x:c>
      <x:c r="B1803" s="18" t="n">
        <x:v>46279</x:v>
      </x:c>
      <x:c r="C1803" s="17" t="str">
        <x:v>W0120</x:v>
      </x:c>
      <x:c r="D1803" s="17" t="str">
        <x:v>C002</x:v>
      </x:c>
      <x:c r="E1803" s="17" t="str">
        <x:v>DataFlow</x:v>
      </x:c>
      <x:c r="F1803" s="17" t="str">
        <x:v>Pro</x:v>
      </x:c>
      <x:c r="G1803" s="21" t="n">
        <x:v>22455</x:v>
      </x:c>
      <x:c r="H1803" s="21" t="n">
        <x:v>16624</x:v>
      </x:c>
      <x:c r="I1803" s="17" t="str">
        <x:v>Correction</x:v>
      </x:c>
    </x:row>
    <x:row r="1804" ht="23" customHeight="1">
      <x:c r="A1804" s="17" t="str">
        <x:v>U01798</x:v>
      </x:c>
      <x:c r="B1804" s="18" t="n">
        <x:v>46279</x:v>
      </x:c>
      <x:c r="C1804" s="17" t="str">
        <x:v>W0120</x:v>
      </x:c>
      <x:c r="D1804" s="17" t="str">
        <x:v>C002</x:v>
      </x:c>
      <x:c r="E1804" s="17" t="str">
        <x:v>DataFlow</x:v>
      </x:c>
      <x:c r="F1804" s="17" t="str">
        <x:v>Pro</x:v>
      </x:c>
      <x:c r="G1804" s="21" t="n">
        <x:v>21175</x:v>
      </x:c>
      <x:c r="H1804" s="21" t="n">
        <x:v>20692</x:v>
      </x:c>
      <x:c r="I1804" s="17" t="str">
        <x:v>Followup</x:v>
      </x:c>
    </x:row>
    <x:row r="1805" ht="23" customHeight="1">
      <x:c r="A1805" s="17" t="str">
        <x:v>U01799</x:v>
      </x:c>
      <x:c r="B1805" s="18" t="n">
        <x:v>46279</x:v>
      </x:c>
      <x:c r="C1805" s="17" t="str">
        <x:v>W0120</x:v>
      </x:c>
      <x:c r="D1805" s="17" t="str">
        <x:v>C002</x:v>
      </x:c>
      <x:c r="E1805" s="17" t="str">
        <x:v>DataFlow</x:v>
      </x:c>
      <x:c r="F1805" s="17" t="str">
        <x:v>Pro</x:v>
      </x:c>
      <x:c r="G1805" s="21" t="n">
        <x:v>11125</x:v>
      </x:c>
      <x:c r="H1805" s="21" t="n">
        <x:v>21584</x:v>
      </x:c>
      <x:c r="I1805" s="17" t="str">
        <x:v>Followup</x:v>
      </x:c>
    </x:row>
    <x:row r="1806" ht="23" customHeight="1">
      <x:c r="A1806" s="17" t="str">
        <x:v>U01800</x:v>
      </x:c>
      <x:c r="B1806" s="18" t="n">
        <x:v>46279</x:v>
      </x:c>
      <x:c r="C1806" s="17" t="str">
        <x:v>W0120</x:v>
      </x:c>
      <x:c r="D1806" s="17" t="str">
        <x:v>C002</x:v>
      </x:c>
      <x:c r="E1806" s="17" t="str">
        <x:v>DataFlow</x:v>
      </x:c>
      <x:c r="F1806" s="17" t="str">
        <x:v>Pro</x:v>
      </x:c>
      <x:c r="G1806" s="21" t="n">
        <x:v>24661</x:v>
      </x:c>
      <x:c r="H1806" s="21" t="n">
        <x:v>6166</x:v>
      </x:c>
      <x:c r="I1806" s="17" t="str">
        <x:v>Followup</x:v>
      </x:c>
    </x:row>
    <x:row r="1807" ht="23" customHeight="1">
      <x:c r="A1807" s="17" t="str">
        <x:v>U01801</x:v>
      </x:c>
      <x:c r="B1807" s="18" t="n">
        <x:v>46289</x:v>
      </x:c>
      <x:c r="C1807" s="17" t="str">
        <x:v>W0122</x:v>
      </x:c>
      <x:c r="D1807" s="17" t="str">
        <x:v>C003</x:v>
      </x:c>
      <x:c r="E1807" s="17" t="str">
        <x:v>CampaignChat</x:v>
      </x:c>
      <x:c r="F1807" s="17" t="str">
        <x:v>Lite</x:v>
      </x:c>
      <x:c r="G1807" s="21" t="n">
        <x:v>31167</x:v>
      </x:c>
      <x:c r="H1807" s="21" t="n">
        <x:v>6716</x:v>
      </x:c>
      <x:c r="I1807" s="17" t="str">
        <x:v>First attempt</x:v>
      </x:c>
    </x:row>
    <x:row r="1808" ht="23" customHeight="1">
      <x:c r="A1808" s="17" t="str">
        <x:v>U01802</x:v>
      </x:c>
      <x:c r="B1808" s="18" t="n">
        <x:v>46289</x:v>
      </x:c>
      <x:c r="C1808" s="17" t="str">
        <x:v>W0122</x:v>
      </x:c>
      <x:c r="D1808" s="17" t="str">
        <x:v>C003</x:v>
      </x:c>
      <x:c r="E1808" s="17" t="str">
        <x:v>CampaignChat</x:v>
      </x:c>
      <x:c r="F1808" s="17" t="str">
        <x:v>Lite</x:v>
      </x:c>
      <x:c r="G1808" s="21" t="n">
        <x:v>11258</x:v>
      </x:c>
      <x:c r="H1808" s="21" t="n">
        <x:v>6714</x:v>
      </x:c>
      <x:c r="I1808" s="17" t="str">
        <x:v>Correction</x:v>
      </x:c>
    </x:row>
    <x:row r="1809" ht="23" customHeight="1">
      <x:c r="A1809" s="17" t="str">
        <x:v>U01803</x:v>
      </x:c>
      <x:c r="B1809" s="18" t="n">
        <x:v>46289</x:v>
      </x:c>
      <x:c r="C1809" s="17" t="str">
        <x:v>W0122</x:v>
      </x:c>
      <x:c r="D1809" s="17" t="str">
        <x:v>C003</x:v>
      </x:c>
      <x:c r="E1809" s="17" t="str">
        <x:v>CampaignChat</x:v>
      </x:c>
      <x:c r="F1809" s="17" t="str">
        <x:v>Lite</x:v>
      </x:c>
      <x:c r="G1809" s="21" t="n">
        <x:v>20900</x:v>
      </x:c>
      <x:c r="H1809" s="21" t="n">
        <x:v>3951</x:v>
      </x:c>
      <x:c r="I1809" s="17" t="str">
        <x:v>Followup</x:v>
      </x:c>
    </x:row>
    <x:row r="1810" ht="23" customHeight="1">
      <x:c r="A1810" s="17" t="str">
        <x:v>U01804</x:v>
      </x:c>
      <x:c r="B1810" s="18" t="n">
        <x:v>46290</x:v>
      </x:c>
      <x:c r="C1810" s="17" t="str">
        <x:v>W0122</x:v>
      </x:c>
      <x:c r="D1810" s="17" t="str">
        <x:v>C003</x:v>
      </x:c>
      <x:c r="E1810" s="17" t="str">
        <x:v>CampaignChat</x:v>
      </x:c>
      <x:c r="F1810" s="17" t="str">
        <x:v>Lite</x:v>
      </x:c>
      <x:c r="G1810" s="21" t="n">
        <x:v>19793</x:v>
      </x:c>
      <x:c r="H1810" s="21" t="n">
        <x:v>3488</x:v>
      </x:c>
      <x:c r="I1810" s="17" t="str">
        <x:v>Followup</x:v>
      </x:c>
    </x:row>
    <x:row r="1811" ht="23" customHeight="1">
      <x:c r="A1811" s="17" t="str">
        <x:v>U01805</x:v>
      </x:c>
      <x:c r="B1811" s="18" t="n">
        <x:v>46290</x:v>
      </x:c>
      <x:c r="C1811" s="17" t="str">
        <x:v>W0122</x:v>
      </x:c>
      <x:c r="D1811" s="17" t="str">
        <x:v>C003</x:v>
      </x:c>
      <x:c r="E1811" s="17" t="str">
        <x:v>CampaignChat</x:v>
      </x:c>
      <x:c r="F1811" s="17" t="str">
        <x:v>Lite</x:v>
      </x:c>
      <x:c r="G1811" s="21" t="n">
        <x:v>23866</x:v>
      </x:c>
      <x:c r="H1811" s="21" t="n">
        <x:v>2683</x:v>
      </x:c>
      <x:c r="I1811" s="17" t="str">
        <x:v>Correction</x:v>
      </x:c>
    </x:row>
    <x:row r="1812" ht="23" customHeight="1">
      <x:c r="A1812" s="17" t="str">
        <x:v>U01806</x:v>
      </x:c>
      <x:c r="B1812" s="18" t="n">
        <x:v>46290</x:v>
      </x:c>
      <x:c r="C1812" s="17" t="str">
        <x:v>W0122</x:v>
      </x:c>
      <x:c r="D1812" s="17" t="str">
        <x:v>C003</x:v>
      </x:c>
      <x:c r="E1812" s="17" t="str">
        <x:v>CampaignChat</x:v>
      </x:c>
      <x:c r="F1812" s="17" t="str">
        <x:v>Lite</x:v>
      </x:c>
      <x:c r="G1812" s="21" t="n">
        <x:v>21916</x:v>
      </x:c>
      <x:c r="H1812" s="21" t="n">
        <x:v>5468</x:v>
      </x:c>
      <x:c r="I1812" s="17" t="str">
        <x:v>Followup</x:v>
      </x:c>
    </x:row>
    <x:row r="1813" ht="23" customHeight="1">
      <x:c r="A1813" s="17" t="str">
        <x:v>U01807</x:v>
      </x:c>
      <x:c r="B1813" s="18" t="n">
        <x:v>46293</x:v>
      </x:c>
      <x:c r="C1813" s="17" t="str">
        <x:v>W0122</x:v>
      </x:c>
      <x:c r="D1813" s="17" t="str">
        <x:v>C003</x:v>
      </x:c>
      <x:c r="E1813" s="17" t="str">
        <x:v>CampaignChat</x:v>
      </x:c>
      <x:c r="F1813" s="17" t="str">
        <x:v>Lite</x:v>
      </x:c>
      <x:c r="G1813" s="21" t="n">
        <x:v>18424</x:v>
      </x:c>
      <x:c r="H1813" s="21" t="n">
        <x:v>4114</x:v>
      </x:c>
      <x:c r="I1813" s="17" t="str">
        <x:v>Followup</x:v>
      </x:c>
    </x:row>
    <x:row r="1814" ht="23" customHeight="1">
      <x:c r="A1814" s="17" t="str">
        <x:v>U01808</x:v>
      </x:c>
      <x:c r="B1814" s="18" t="n">
        <x:v>46293</x:v>
      </x:c>
      <x:c r="C1814" s="17" t="str">
        <x:v>W0122</x:v>
      </x:c>
      <x:c r="D1814" s="17" t="str">
        <x:v>C003</x:v>
      </x:c>
      <x:c r="E1814" s="17" t="str">
        <x:v>CampaignChat</x:v>
      </x:c>
      <x:c r="F1814" s="17" t="str">
        <x:v>Lite</x:v>
      </x:c>
      <x:c r="G1814" s="21" t="n">
        <x:v>31532</x:v>
      </x:c>
      <x:c r="H1814" s="21" t="n">
        <x:v>4175</x:v>
      </x:c>
      <x:c r="I1814" s="17" t="str">
        <x:v>Followup</x:v>
      </x:c>
    </x:row>
    <x:row r="1815" ht="23" customHeight="1">
      <x:c r="A1815" s="17" t="str">
        <x:v>U01809</x:v>
      </x:c>
      <x:c r="B1815" s="18" t="n">
        <x:v>46293</x:v>
      </x:c>
      <x:c r="C1815" s="17" t="str">
        <x:v>W0122</x:v>
      </x:c>
      <x:c r="D1815" s="17" t="str">
        <x:v>C003</x:v>
      </x:c>
      <x:c r="E1815" s="17" t="str">
        <x:v>CampaignChat</x:v>
      </x:c>
      <x:c r="F1815" s="17" t="str">
        <x:v>Lite</x:v>
      </x:c>
      <x:c r="G1815" s="21" t="n">
        <x:v>15969</x:v>
      </x:c>
      <x:c r="H1815" s="21" t="n">
        <x:v>3325</x:v>
      </x:c>
      <x:c r="I1815" s="17" t="str">
        <x:v>Followup</x:v>
      </x:c>
    </x:row>
    <x:row r="1816" ht="23" customHeight="1">
      <x:c r="A1816" s="17" t="str">
        <x:v>U01810</x:v>
      </x:c>
      <x:c r="B1816" s="18" t="n">
        <x:v>46294</x:v>
      </x:c>
      <x:c r="C1816" s="17" t="str">
        <x:v>W0122</x:v>
      </x:c>
      <x:c r="D1816" s="17" t="str">
        <x:v>C003</x:v>
      </x:c>
      <x:c r="E1816" s="17" t="str">
        <x:v>CampaignChat</x:v>
      </x:c>
      <x:c r="F1816" s="17" t="str">
        <x:v>Lite</x:v>
      </x:c>
      <x:c r="G1816" s="21" t="n">
        <x:v>11299</x:v>
      </x:c>
      <x:c r="H1816" s="21" t="n">
        <x:v>5171</x:v>
      </x:c>
      <x:c r="I1816" s="17" t="str">
        <x:v>Correction</x:v>
      </x:c>
    </x:row>
    <x:row r="1817" ht="23" customHeight="1">
      <x:c r="A1817" s="17" t="str">
        <x:v>U01811</x:v>
      </x:c>
      <x:c r="B1817" s="18" t="n">
        <x:v>46294</x:v>
      </x:c>
      <x:c r="C1817" s="17" t="str">
        <x:v>W0122</x:v>
      </x:c>
      <x:c r="D1817" s="17" t="str">
        <x:v>C003</x:v>
      </x:c>
      <x:c r="E1817" s="17" t="str">
        <x:v>CampaignChat</x:v>
      </x:c>
      <x:c r="F1817" s="17" t="str">
        <x:v>Lite</x:v>
      </x:c>
      <x:c r="G1817" s="21" t="n">
        <x:v>13395</x:v>
      </x:c>
      <x:c r="H1817" s="21" t="n">
        <x:v>5881</x:v>
      </x:c>
      <x:c r="I1817" s="17" t="str">
        <x:v>Followup</x:v>
      </x:c>
    </x:row>
    <x:row r="1818" ht="23" customHeight="1">
      <x:c r="A1818" s="17" t="str">
        <x:v>U01812</x:v>
      </x:c>
      <x:c r="B1818" s="18" t="n">
        <x:v>46294</x:v>
      </x:c>
      <x:c r="C1818" s="17" t="str">
        <x:v>W0122</x:v>
      </x:c>
      <x:c r="D1818" s="17" t="str">
        <x:v>C003</x:v>
      </x:c>
      <x:c r="E1818" s="17" t="str">
        <x:v>CampaignChat</x:v>
      </x:c>
      <x:c r="F1818" s="17" t="str">
        <x:v>Lite</x:v>
      </x:c>
      <x:c r="G1818" s="21" t="n">
        <x:v>29843</x:v>
      </x:c>
      <x:c r="H1818" s="21" t="n">
        <x:v>5791</x:v>
      </x:c>
      <x:c r="I1818" s="17" t="str">
        <x:v>Followup</x:v>
      </x:c>
    </x:row>
    <x:row r="1819" ht="23" customHeight="1">
      <x:c r="A1819" s="17" t="str">
        <x:v>U01813</x:v>
      </x:c>
      <x:c r="B1819" s="18" t="n">
        <x:v>46274</x:v>
      </x:c>
      <x:c r="C1819" s="17" t="str">
        <x:v>W0123</x:v>
      </x:c>
      <x:c r="D1819" s="17" t="str">
        <x:v>C003</x:v>
      </x:c>
      <x:c r="E1819" s="17" t="str">
        <x:v>DataFlow</x:v>
      </x:c>
      <x:c r="F1819" s="17" t="str">
        <x:v>Lite</x:v>
      </x:c>
      <x:c r="G1819" s="21" t="n">
        <x:v>24640</x:v>
      </x:c>
      <x:c r="H1819" s="21" t="n">
        <x:v>10080</x:v>
      </x:c>
      <x:c r="I1819" s="17" t="str">
        <x:v>First attempt</x:v>
      </x:c>
    </x:row>
    <x:row r="1820" ht="23" customHeight="1">
      <x:c r="A1820" s="17" t="str">
        <x:v>U01814</x:v>
      </x:c>
      <x:c r="B1820" s="18" t="n">
        <x:v>46274</x:v>
      </x:c>
      <x:c r="C1820" s="17" t="str">
        <x:v>W0123</x:v>
      </x:c>
      <x:c r="D1820" s="17" t="str">
        <x:v>C003</x:v>
      </x:c>
      <x:c r="E1820" s="17" t="str">
        <x:v>DataFlow</x:v>
      </x:c>
      <x:c r="F1820" s="17" t="str">
        <x:v>Lite</x:v>
      </x:c>
      <x:c r="G1820" s="21" t="n">
        <x:v>17687</x:v>
      </x:c>
      <x:c r="H1820" s="21" t="n">
        <x:v>4359</x:v>
      </x:c>
      <x:c r="I1820" s="17" t="str">
        <x:v>Followup</x:v>
      </x:c>
    </x:row>
    <x:row r="1821" ht="23" customHeight="1">
      <x:c r="A1821" s="17" t="str">
        <x:v>U01815</x:v>
      </x:c>
      <x:c r="B1821" s="18" t="n">
        <x:v>46274</x:v>
      </x:c>
      <x:c r="C1821" s="17" t="str">
        <x:v>W0123</x:v>
      </x:c>
      <x:c r="D1821" s="17" t="str">
        <x:v>C003</x:v>
      </x:c>
      <x:c r="E1821" s="17" t="str">
        <x:v>DataFlow</x:v>
      </x:c>
      <x:c r="F1821" s="17" t="str">
        <x:v>Lite</x:v>
      </x:c>
      <x:c r="G1821" s="21" t="n">
        <x:v>21866</x:v>
      </x:c>
      <x:c r="H1821" s="21" t="n">
        <x:v>8845</x:v>
      </x:c>
      <x:c r="I1821" s="17" t="str">
        <x:v>Followup</x:v>
      </x:c>
    </x:row>
    <x:row r="1822" ht="23" customHeight="1">
      <x:c r="A1822" s="17" t="str">
        <x:v>U01816</x:v>
      </x:c>
      <x:c r="B1822" s="18" t="n">
        <x:v>46275</x:v>
      </x:c>
      <x:c r="C1822" s="17" t="str">
        <x:v>W0123</x:v>
      </x:c>
      <x:c r="D1822" s="17" t="str">
        <x:v>C003</x:v>
      </x:c>
      <x:c r="E1822" s="17" t="str">
        <x:v>DataFlow</x:v>
      </x:c>
      <x:c r="F1822" s="17" t="str">
        <x:v>Lite</x:v>
      </x:c>
      <x:c r="G1822" s="21" t="n">
        <x:v>28448</x:v>
      </x:c>
      <x:c r="H1822" s="21" t="n">
        <x:v>8171</x:v>
      </x:c>
      <x:c r="I1822" s="17" t="str">
        <x:v>Followup</x:v>
      </x:c>
    </x:row>
    <x:row r="1823" ht="23" customHeight="1">
      <x:c r="A1823" s="17" t="str">
        <x:v>U01817</x:v>
      </x:c>
      <x:c r="B1823" s="18" t="n">
        <x:v>46275</x:v>
      </x:c>
      <x:c r="C1823" s="17" t="str">
        <x:v>W0123</x:v>
      </x:c>
      <x:c r="D1823" s="17" t="str">
        <x:v>C003</x:v>
      </x:c>
      <x:c r="E1823" s="17" t="str">
        <x:v>DataFlow</x:v>
      </x:c>
      <x:c r="F1823" s="17" t="str">
        <x:v>Lite</x:v>
      </x:c>
      <x:c r="G1823" s="21" t="n">
        <x:v>23186</x:v>
      </x:c>
      <x:c r="H1823" s="21" t="n">
        <x:v>9048</x:v>
      </x:c>
      <x:c r="I1823" s="17" t="str">
        <x:v>Followup</x:v>
      </x:c>
    </x:row>
    <x:row r="1824" ht="23" customHeight="1">
      <x:c r="A1824" s="17" t="str">
        <x:v>U01818</x:v>
      </x:c>
      <x:c r="B1824" s="18" t="n">
        <x:v>46276</x:v>
      </x:c>
      <x:c r="C1824" s="17" t="str">
        <x:v>W0123</x:v>
      </x:c>
      <x:c r="D1824" s="17" t="str">
        <x:v>C003</x:v>
      </x:c>
      <x:c r="E1824" s="17" t="str">
        <x:v>DataFlow</x:v>
      </x:c>
      <x:c r="F1824" s="17" t="str">
        <x:v>Lite</x:v>
      </x:c>
      <x:c r="G1824" s="21" t="n">
        <x:v>19269</x:v>
      </x:c>
      <x:c r="H1824" s="21" t="n">
        <x:v>4718</x:v>
      </x:c>
      <x:c r="I1824" s="17" t="str">
        <x:v>Correction</x:v>
      </x:c>
    </x:row>
    <x:row r="1825" ht="23" customHeight="1">
      <x:c r="A1825" s="17" t="str">
        <x:v>U01819</x:v>
      </x:c>
      <x:c r="B1825" s="18" t="n">
        <x:v>46276</x:v>
      </x:c>
      <x:c r="C1825" s="17" t="str">
        <x:v>W0123</x:v>
      </x:c>
      <x:c r="D1825" s="17" t="str">
        <x:v>C003</x:v>
      </x:c>
      <x:c r="E1825" s="17" t="str">
        <x:v>DataFlow</x:v>
      </x:c>
      <x:c r="F1825" s="17" t="str">
        <x:v>Lite</x:v>
      </x:c>
      <x:c r="G1825" s="21" t="n">
        <x:v>14669</x:v>
      </x:c>
      <x:c r="H1825" s="21" t="n">
        <x:v>3427</x:v>
      </x:c>
      <x:c r="I1825" s="17" t="str">
        <x:v>Followup</x:v>
      </x:c>
    </x:row>
    <x:row r="1826" ht="23" customHeight="1">
      <x:c r="A1826" s="17" t="str">
        <x:v>U01820</x:v>
      </x:c>
      <x:c r="B1826" s="18" t="n">
        <x:v>46279</x:v>
      </x:c>
      <x:c r="C1826" s="17" t="str">
        <x:v>W0123</x:v>
      </x:c>
      <x:c r="D1826" s="17" t="str">
        <x:v>C003</x:v>
      </x:c>
      <x:c r="E1826" s="17" t="str">
        <x:v>DataFlow</x:v>
      </x:c>
      <x:c r="F1826" s="17" t="str">
        <x:v>Lite</x:v>
      </x:c>
      <x:c r="G1826" s="21" t="n">
        <x:v>27648</x:v>
      </x:c>
      <x:c r="H1826" s="21" t="n">
        <x:v>8540</x:v>
      </x:c>
      <x:c r="I1826" s="17" t="str">
        <x:v>Followup</x:v>
      </x:c>
    </x:row>
    <x:row r="1827" ht="23" customHeight="1">
      <x:c r="A1827" s="17" t="str">
        <x:v>U01821</x:v>
      </x:c>
      <x:c r="B1827" s="18" t="n">
        <x:v>46279</x:v>
      </x:c>
      <x:c r="C1827" s="17" t="str">
        <x:v>W0123</x:v>
      </x:c>
      <x:c r="D1827" s="17" t="str">
        <x:v>C003</x:v>
      </x:c>
      <x:c r="E1827" s="17" t="str">
        <x:v>DataFlow</x:v>
      </x:c>
      <x:c r="F1827" s="17" t="str">
        <x:v>Lite</x:v>
      </x:c>
      <x:c r="G1827" s="21" t="n">
        <x:v>16656</x:v>
      </x:c>
      <x:c r="H1827" s="21" t="n">
        <x:v>5908</x:v>
      </x:c>
      <x:c r="I1827" s="17" t="str">
        <x:v>Followup</x:v>
      </x:c>
    </x:row>
    <x:row r="1828" ht="23" customHeight="1">
      <x:c r="A1828" s="17" t="str">
        <x:v>U01822</x:v>
      </x:c>
      <x:c r="B1828" s="18" t="n">
        <x:v>46283</x:v>
      </x:c>
      <x:c r="C1828" s="17" t="str">
        <x:v>W0124</x:v>
      </x:c>
      <x:c r="D1828" s="17" t="str">
        <x:v>C003</x:v>
      </x:c>
      <x:c r="E1828" s="17" t="str">
        <x:v>DataFlow</x:v>
      </x:c>
      <x:c r="F1828" s="17" t="str">
        <x:v>Lite</x:v>
      </x:c>
      <x:c r="G1828" s="21" t="n">
        <x:v>19974</x:v>
      </x:c>
      <x:c r="H1828" s="21" t="n">
        <x:v>4851</x:v>
      </x:c>
      <x:c r="I1828" s="17" t="str">
        <x:v>First attempt</x:v>
      </x:c>
    </x:row>
    <x:row r="1829" ht="23" customHeight="1">
      <x:c r="A1829" s="17" t="str">
        <x:v>U01823</x:v>
      </x:c>
      <x:c r="B1829" s="18" t="n">
        <x:v>46283</x:v>
      </x:c>
      <x:c r="C1829" s="17" t="str">
        <x:v>W0124</x:v>
      </x:c>
      <x:c r="D1829" s="17" t="str">
        <x:v>C003</x:v>
      </x:c>
      <x:c r="E1829" s="17" t="str">
        <x:v>DataFlow</x:v>
      </x:c>
      <x:c r="F1829" s="17" t="str">
        <x:v>Lite</x:v>
      </x:c>
      <x:c r="G1829" s="21" t="n">
        <x:v>28305</x:v>
      </x:c>
      <x:c r="H1829" s="21" t="n">
        <x:v>1894</x:v>
      </x:c>
      <x:c r="I1829" s="17" t="str">
        <x:v>Followup</x:v>
      </x:c>
    </x:row>
    <x:row r="1830" ht="23" customHeight="1">
      <x:c r="A1830" s="17" t="str">
        <x:v>U01824</x:v>
      </x:c>
      <x:c r="B1830" s="18" t="n">
        <x:v>46283</x:v>
      </x:c>
      <x:c r="C1830" s="17" t="str">
        <x:v>W0124</x:v>
      </x:c>
      <x:c r="D1830" s="17" t="str">
        <x:v>C003</x:v>
      </x:c>
      <x:c r="E1830" s="17" t="str">
        <x:v>DataFlow</x:v>
      </x:c>
      <x:c r="F1830" s="17" t="str">
        <x:v>Lite</x:v>
      </x:c>
      <x:c r="G1830" s="21" t="n">
        <x:v>35914</x:v>
      </x:c>
      <x:c r="H1830" s="21" t="n">
        <x:v>3133</x:v>
      </x:c>
      <x:c r="I1830" s="17" t="str">
        <x:v>Followup</x:v>
      </x:c>
    </x:row>
    <x:row r="1831" ht="23" customHeight="1">
      <x:c r="A1831" s="17" t="str">
        <x:v>U01825</x:v>
      </x:c>
      <x:c r="B1831" s="18" t="n">
        <x:v>46286</x:v>
      </x:c>
      <x:c r="C1831" s="17" t="str">
        <x:v>W0124</x:v>
      </x:c>
      <x:c r="D1831" s="17" t="str">
        <x:v>C003</x:v>
      </x:c>
      <x:c r="E1831" s="17" t="str">
        <x:v>DataFlow</x:v>
      </x:c>
      <x:c r="F1831" s="17" t="str">
        <x:v>Lite</x:v>
      </x:c>
      <x:c r="G1831" s="21" t="n">
        <x:v>24124</x:v>
      </x:c>
      <x:c r="H1831" s="21" t="n">
        <x:v>1988</x:v>
      </x:c>
      <x:c r="I1831" s="17" t="str">
        <x:v>Followup</x:v>
      </x:c>
    </x:row>
    <x:row r="1832" ht="23" customHeight="1">
      <x:c r="A1832" s="17" t="str">
        <x:v>U01826</x:v>
      </x:c>
      <x:c r="B1832" s="18" t="n">
        <x:v>46286</x:v>
      </x:c>
      <x:c r="C1832" s="17" t="str">
        <x:v>W0124</x:v>
      </x:c>
      <x:c r="D1832" s="17" t="str">
        <x:v>C003</x:v>
      </x:c>
      <x:c r="E1832" s="17" t="str">
        <x:v>DataFlow</x:v>
      </x:c>
      <x:c r="F1832" s="17" t="str">
        <x:v>Lite</x:v>
      </x:c>
      <x:c r="G1832" s="21" t="n">
        <x:v>38056</x:v>
      </x:c>
      <x:c r="H1832" s="21" t="n">
        <x:v>3595</x:v>
      </x:c>
      <x:c r="I1832" s="17" t="str">
        <x:v>Followup</x:v>
      </x:c>
    </x:row>
    <x:row r="1833" ht="23" customHeight="1">
      <x:c r="A1833" s="17" t="str">
        <x:v>U01827</x:v>
      </x:c>
      <x:c r="B1833" s="18" t="n">
        <x:v>46287</x:v>
      </x:c>
      <x:c r="C1833" s="17" t="str">
        <x:v>W0124</x:v>
      </x:c>
      <x:c r="D1833" s="17" t="str">
        <x:v>C003</x:v>
      </x:c>
      <x:c r="E1833" s="17" t="str">
        <x:v>DataFlow</x:v>
      </x:c>
      <x:c r="F1833" s="17" t="str">
        <x:v>Lite</x:v>
      </x:c>
      <x:c r="G1833" s="21" t="n">
        <x:v>44270</x:v>
      </x:c>
      <x:c r="H1833" s="21" t="n">
        <x:v>2400</x:v>
      </x:c>
      <x:c r="I1833" s="17" t="str">
        <x:v>Correction</x:v>
      </x:c>
    </x:row>
    <x:row r="1834" ht="23" customHeight="1">
      <x:c r="A1834" s="17" t="str">
        <x:v>U01828</x:v>
      </x:c>
      <x:c r="B1834" s="18" t="n">
        <x:v>46287</x:v>
      </x:c>
      <x:c r="C1834" s="17" t="str">
        <x:v>W0124</x:v>
      </x:c>
      <x:c r="D1834" s="17" t="str">
        <x:v>C003</x:v>
      </x:c>
      <x:c r="E1834" s="17" t="str">
        <x:v>DataFlow</x:v>
      </x:c>
      <x:c r="F1834" s="17" t="str">
        <x:v>Lite</x:v>
      </x:c>
      <x:c r="G1834" s="21" t="n">
        <x:v>21523</x:v>
      </x:c>
      <x:c r="H1834" s="21" t="n">
        <x:v>4465</x:v>
      </x:c>
      <x:c r="I1834" s="17" t="str">
        <x:v>Followup</x:v>
      </x:c>
    </x:row>
    <x:row r="1835" ht="23" customHeight="1">
      <x:c r="A1835" s="17" t="str">
        <x:v>U01829</x:v>
      </x:c>
      <x:c r="B1835" s="18" t="n">
        <x:v>46287</x:v>
      </x:c>
      <x:c r="C1835" s="17" t="str">
        <x:v>W0124</x:v>
      </x:c>
      <x:c r="D1835" s="17" t="str">
        <x:v>C003</x:v>
      </x:c>
      <x:c r="E1835" s="17" t="str">
        <x:v>DataFlow</x:v>
      </x:c>
      <x:c r="F1835" s="17" t="str">
        <x:v>Lite</x:v>
      </x:c>
      <x:c r="G1835" s="21" t="n">
        <x:v>29439</x:v>
      </x:c>
      <x:c r="H1835" s="21" t="n">
        <x:v>3052</x:v>
      </x:c>
      <x:c r="I1835" s="17" t="str">
        <x:v>Followup</x:v>
      </x:c>
    </x:row>
    <x:row r="1836" ht="23" customHeight="1">
      <x:c r="A1836" s="17" t="str">
        <x:v>U01830</x:v>
      </x:c>
      <x:c r="B1836" s="18" t="n">
        <x:v>46288</x:v>
      </x:c>
      <x:c r="C1836" s="17" t="str">
        <x:v>W0124</x:v>
      </x:c>
      <x:c r="D1836" s="17" t="str">
        <x:v>C003</x:v>
      </x:c>
      <x:c r="E1836" s="17" t="str">
        <x:v>DataFlow</x:v>
      </x:c>
      <x:c r="F1836" s="17" t="str">
        <x:v>Lite</x:v>
      </x:c>
      <x:c r="G1836" s="21" t="n">
        <x:v>19473</x:v>
      </x:c>
      <x:c r="H1836" s="21" t="n">
        <x:v>3339</x:v>
      </x:c>
      <x:c r="I1836" s="17" t="str">
        <x:v>Correction</x:v>
      </x:c>
    </x:row>
    <x:row r="1837" ht="23" customHeight="1">
      <x:c r="A1837" s="17" t="str">
        <x:v>U01831</x:v>
      </x:c>
      <x:c r="B1837" s="18" t="n">
        <x:v>46288</x:v>
      </x:c>
      <x:c r="C1837" s="17" t="str">
        <x:v>W0124</x:v>
      </x:c>
      <x:c r="D1837" s="17" t="str">
        <x:v>C003</x:v>
      </x:c>
      <x:c r="E1837" s="17" t="str">
        <x:v>DataFlow</x:v>
      </x:c>
      <x:c r="F1837" s="17" t="str">
        <x:v>Lite</x:v>
      </x:c>
      <x:c r="G1837" s="21" t="n">
        <x:v>25164</x:v>
      </x:c>
      <x:c r="H1837" s="21" t="n">
        <x:v>2211</x:v>
      </x:c>
      <x:c r="I1837" s="17" t="str">
        <x:v>Followup</x:v>
      </x:c>
    </x:row>
    <x:row r="1838" ht="23" customHeight="1">
      <x:c r="A1838" s="17" t="str">
        <x:v>U01832</x:v>
      </x:c>
      <x:c r="B1838" s="18" t="n">
        <x:v>46267</x:v>
      </x:c>
      <x:c r="C1838" s="17" t="str">
        <x:v>W0125</x:v>
      </x:c>
      <x:c r="D1838" s="17" t="str">
        <x:v>C003</x:v>
      </x:c>
      <x:c r="E1838" s="17" t="str">
        <x:v>InsightDesk</x:v>
      </x:c>
      <x:c r="F1838" s="17" t="str">
        <x:v>Lite</x:v>
      </x:c>
      <x:c r="G1838" s="21" t="n">
        <x:v>27888</x:v>
      </x:c>
      <x:c r="H1838" s="21" t="n">
        <x:v>3375</x:v>
      </x:c>
      <x:c r="I1838" s="17" t="str">
        <x:v>First attempt</x:v>
      </x:c>
    </x:row>
    <x:row r="1839" ht="23" customHeight="1">
      <x:c r="A1839" s="17" t="str">
        <x:v>U01833</x:v>
      </x:c>
      <x:c r="B1839" s="18" t="n">
        <x:v>46267</x:v>
      </x:c>
      <x:c r="C1839" s="17" t="str">
        <x:v>W0125</x:v>
      </x:c>
      <x:c r="D1839" s="17" t="str">
        <x:v>C003</x:v>
      </x:c>
      <x:c r="E1839" s="17" t="str">
        <x:v>InsightDesk</x:v>
      </x:c>
      <x:c r="F1839" s="17" t="str">
        <x:v>Lite</x:v>
      </x:c>
      <x:c r="G1839" s="21" t="n">
        <x:v>11800</x:v>
      </x:c>
      <x:c r="H1839" s="21" t="n">
        <x:v>5412</x:v>
      </x:c>
      <x:c r="I1839" s="17" t="str">
        <x:v>Followup</x:v>
      </x:c>
    </x:row>
    <x:row r="1840" ht="23" customHeight="1">
      <x:c r="A1840" s="17" t="str">
        <x:v>U01834</x:v>
      </x:c>
      <x:c r="B1840" s="18" t="n">
        <x:v>46267</x:v>
      </x:c>
      <x:c r="C1840" s="17" t="str">
        <x:v>W0125</x:v>
      </x:c>
      <x:c r="D1840" s="17" t="str">
        <x:v>C003</x:v>
      </x:c>
      <x:c r="E1840" s="17" t="str">
        <x:v>InsightDesk</x:v>
      </x:c>
      <x:c r="F1840" s="17" t="str">
        <x:v>Lite</x:v>
      </x:c>
      <x:c r="G1840" s="21" t="n">
        <x:v>23023</x:v>
      </x:c>
      <x:c r="H1840" s="21" t="n">
        <x:v>5913</x:v>
      </x:c>
      <x:c r="I1840" s="17" t="str">
        <x:v>Followup</x:v>
      </x:c>
    </x:row>
    <x:row r="1841" ht="23" customHeight="1">
      <x:c r="A1841" s="17" t="str">
        <x:v>U01835</x:v>
      </x:c>
      <x:c r="B1841" s="18" t="n">
        <x:v>46267</x:v>
      </x:c>
      <x:c r="C1841" s="17" t="str">
        <x:v>W0125</x:v>
      </x:c>
      <x:c r="D1841" s="17" t="str">
        <x:v>C003</x:v>
      </x:c>
      <x:c r="E1841" s="17" t="str">
        <x:v>InsightDesk</x:v>
      </x:c>
      <x:c r="F1841" s="17" t="str">
        <x:v>Lite</x:v>
      </x:c>
      <x:c r="G1841" s="21" t="n">
        <x:v>29147</x:v>
      </x:c>
      <x:c r="H1841" s="21" t="n">
        <x:v>4380</x:v>
      </x:c>
      <x:c r="I1841" s="17" t="str">
        <x:v>Followup</x:v>
      </x:c>
    </x:row>
    <x:row r="1842" ht="23" customHeight="1">
      <x:c r="A1842" s="17" t="str">
        <x:v>U01836</x:v>
      </x:c>
      <x:c r="B1842" s="18" t="n">
        <x:v>46268</x:v>
      </x:c>
      <x:c r="C1842" s="17" t="str">
        <x:v>W0125</x:v>
      </x:c>
      <x:c r="D1842" s="17" t="str">
        <x:v>C003</x:v>
      </x:c>
      <x:c r="E1842" s="17" t="str">
        <x:v>InsightDesk</x:v>
      </x:c>
      <x:c r="F1842" s="17" t="str">
        <x:v>Lite</x:v>
      </x:c>
      <x:c r="G1842" s="21" t="n">
        <x:v>25523</x:v>
      </x:c>
      <x:c r="H1842" s="21" t="n">
        <x:v>4135</x:v>
      </x:c>
      <x:c r="I1842" s="17" t="str">
        <x:v>Followup</x:v>
      </x:c>
    </x:row>
    <x:row r="1843" ht="23" customHeight="1">
      <x:c r="A1843" s="17" t="str">
        <x:v>U01837</x:v>
      </x:c>
      <x:c r="B1843" s="18" t="n">
        <x:v>46268</x:v>
      </x:c>
      <x:c r="C1843" s="17" t="str">
        <x:v>W0125</x:v>
      </x:c>
      <x:c r="D1843" s="17" t="str">
        <x:v>C003</x:v>
      </x:c>
      <x:c r="E1843" s="17" t="str">
        <x:v>InsightDesk</x:v>
      </x:c>
      <x:c r="F1843" s="17" t="str">
        <x:v>Lite</x:v>
      </x:c>
      <x:c r="G1843" s="21" t="n">
        <x:v>24485</x:v>
      </x:c>
      <x:c r="H1843" s="21" t="n">
        <x:v>3212</x:v>
      </x:c>
      <x:c r="I1843" s="17" t="str">
        <x:v>Followup</x:v>
      </x:c>
    </x:row>
    <x:row r="1844" ht="23" customHeight="1">
      <x:c r="A1844" s="17" t="str">
        <x:v>U01838</x:v>
      </x:c>
      <x:c r="B1844" s="18" t="n">
        <x:v>46268</x:v>
      </x:c>
      <x:c r="C1844" s="17" t="str">
        <x:v>W0125</x:v>
      </x:c>
      <x:c r="D1844" s="17" t="str">
        <x:v>C003</x:v>
      </x:c>
      <x:c r="E1844" s="17" t="str">
        <x:v>InsightDesk</x:v>
      </x:c>
      <x:c r="F1844" s="17" t="str">
        <x:v>Lite</x:v>
      </x:c>
      <x:c r="G1844" s="21" t="n">
        <x:v>25363</x:v>
      </x:c>
      <x:c r="H1844" s="21" t="n">
        <x:v>4535</x:v>
      </x:c>
      <x:c r="I1844" s="17" t="str">
        <x:v>Followup</x:v>
      </x:c>
    </x:row>
    <x:row r="1845" ht="23" customHeight="1">
      <x:c r="A1845" s="17" t="str">
        <x:v>U01839</x:v>
      </x:c>
      <x:c r="B1845" s="18" t="n">
        <x:v>46269</x:v>
      </x:c>
      <x:c r="C1845" s="17" t="str">
        <x:v>W0125</x:v>
      </x:c>
      <x:c r="D1845" s="17" t="str">
        <x:v>C003</x:v>
      </x:c>
      <x:c r="E1845" s="17" t="str">
        <x:v>InsightDesk</x:v>
      </x:c>
      <x:c r="F1845" s="17" t="str">
        <x:v>Lite</x:v>
      </x:c>
      <x:c r="G1845" s="21" t="n">
        <x:v>19889</x:v>
      </x:c>
      <x:c r="H1845" s="21" t="n">
        <x:v>3090</x:v>
      </x:c>
      <x:c r="I1845" s="17" t="str">
        <x:v>Followup</x:v>
      </x:c>
    </x:row>
    <x:row r="1846" ht="23" customHeight="1">
      <x:c r="A1846" s="17" t="str">
        <x:v>U01840</x:v>
      </x:c>
      <x:c r="B1846" s="18" t="n">
        <x:v>46269</x:v>
      </x:c>
      <x:c r="C1846" s="17" t="str">
        <x:v>W0125</x:v>
      </x:c>
      <x:c r="D1846" s="17" t="str">
        <x:v>C003</x:v>
      </x:c>
      <x:c r="E1846" s="17" t="str">
        <x:v>InsightDesk</x:v>
      </x:c>
      <x:c r="F1846" s="17" t="str">
        <x:v>Lite</x:v>
      </x:c>
      <x:c r="G1846" s="21" t="n">
        <x:v>12420</x:v>
      </x:c>
      <x:c r="H1846" s="21" t="n">
        <x:v>6432</x:v>
      </x:c>
      <x:c r="I1846" s="17" t="str">
        <x:v>Correction</x:v>
      </x:c>
    </x:row>
    <x:row r="1847" ht="23" customHeight="1">
      <x:c r="A1847" s="17" t="str">
        <x:v>U01841</x:v>
      </x:c>
      <x:c r="B1847" s="18" t="n">
        <x:v>46269</x:v>
      </x:c>
      <x:c r="C1847" s="17" t="str">
        <x:v>W0125</x:v>
      </x:c>
      <x:c r="D1847" s="17" t="str">
        <x:v>C003</x:v>
      </x:c>
      <x:c r="E1847" s="17" t="str">
        <x:v>InsightDesk</x:v>
      </x:c>
      <x:c r="F1847" s="17" t="str">
        <x:v>Lite</x:v>
      </x:c>
      <x:c r="G1847" s="21" t="n">
        <x:v>12161</x:v>
      </x:c>
      <x:c r="H1847" s="21" t="n">
        <x:v>7840</x:v>
      </x:c>
      <x:c r="I1847" s="17" t="str">
        <x:v>Followup</x:v>
      </x:c>
    </x:row>
    <x:row r="1848" ht="23" customHeight="1">
      <x:c r="A1848" s="17" t="str">
        <x:v>U01842</x:v>
      </x:c>
      <x:c r="B1848" s="18" t="n">
        <x:v>46269</x:v>
      </x:c>
      <x:c r="C1848" s="17" t="str">
        <x:v>W0125</x:v>
      </x:c>
      <x:c r="D1848" s="17" t="str">
        <x:v>C003</x:v>
      </x:c>
      <x:c r="E1848" s="17" t="str">
        <x:v>InsightDesk</x:v>
      </x:c>
      <x:c r="F1848" s="17" t="str">
        <x:v>Lite</x:v>
      </x:c>
      <x:c r="G1848" s="21" t="n">
        <x:v>20572</x:v>
      </x:c>
      <x:c r="H1848" s="21" t="n">
        <x:v>4511</x:v>
      </x:c>
      <x:c r="I1848" s="17" t="str">
        <x:v>Followup</x:v>
      </x:c>
    </x:row>
    <x:row r="1849" ht="23" customHeight="1">
      <x:c r="A1849" s="17" t="str">
        <x:v>U01843</x:v>
      </x:c>
      <x:c r="B1849" s="18" t="n">
        <x:v>46273</x:v>
      </x:c>
      <x:c r="C1849" s="17" t="str">
        <x:v>W0125</x:v>
      </x:c>
      <x:c r="D1849" s="17" t="str">
        <x:v>C003</x:v>
      </x:c>
      <x:c r="E1849" s="17" t="str">
        <x:v>InsightDesk</x:v>
      </x:c>
      <x:c r="F1849" s="17" t="str">
        <x:v>Lite</x:v>
      </x:c>
      <x:c r="G1849" s="21" t="n">
        <x:v>26121</x:v>
      </x:c>
      <x:c r="H1849" s="21" t="n">
        <x:v>5186</x:v>
      </x:c>
      <x:c r="I1849" s="17" t="str">
        <x:v>Followup</x:v>
      </x:c>
    </x:row>
    <x:row r="1850" ht="23" customHeight="1">
      <x:c r="A1850" s="17" t="str">
        <x:v>U01844</x:v>
      </x:c>
      <x:c r="B1850" s="18" t="n">
        <x:v>46273</x:v>
      </x:c>
      <x:c r="C1850" s="17" t="str">
        <x:v>W0125</x:v>
      </x:c>
      <x:c r="D1850" s="17" t="str">
        <x:v>C003</x:v>
      </x:c>
      <x:c r="E1850" s="17" t="str">
        <x:v>InsightDesk</x:v>
      </x:c>
      <x:c r="F1850" s="17" t="str">
        <x:v>Lite</x:v>
      </x:c>
      <x:c r="G1850" s="21" t="n">
        <x:v>29449</x:v>
      </x:c>
      <x:c r="H1850" s="21" t="n">
        <x:v>4474</x:v>
      </x:c>
      <x:c r="I1850" s="17" t="str">
        <x:v>Correction</x:v>
      </x:c>
    </x:row>
    <x:row r="1851" ht="23" customHeight="1">
      <x:c r="A1851" s="17" t="str">
        <x:v>U01845</x:v>
      </x:c>
      <x:c r="B1851" s="18" t="n">
        <x:v>46273</x:v>
      </x:c>
      <x:c r="C1851" s="17" t="str">
        <x:v>W0125</x:v>
      </x:c>
      <x:c r="D1851" s="17" t="str">
        <x:v>C003</x:v>
      </x:c>
      <x:c r="E1851" s="17" t="str">
        <x:v>InsightDesk</x:v>
      </x:c>
      <x:c r="F1851" s="17" t="str">
        <x:v>Lite</x:v>
      </x:c>
      <x:c r="G1851" s="21" t="n">
        <x:v>20013</x:v>
      </x:c>
      <x:c r="H1851" s="21" t="n">
        <x:v>8161</x:v>
      </x:c>
      <x:c r="I1851" s="17" t="str">
        <x:v>Followup</x:v>
      </x:c>
    </x:row>
    <x:row r="1852" ht="23" customHeight="1">
      <x:c r="A1852" s="17" t="str">
        <x:v>U01846</x:v>
      </x:c>
      <x:c r="B1852" s="18" t="n">
        <x:v>46279</x:v>
      </x:c>
      <x:c r="C1852" s="17" t="str">
        <x:v>W0126</x:v>
      </x:c>
      <x:c r="D1852" s="17" t="str">
        <x:v>C003</x:v>
      </x:c>
      <x:c r="E1852" s="17" t="str">
        <x:v>InsightDesk</x:v>
      </x:c>
      <x:c r="F1852" s="17" t="str">
        <x:v>Lite</x:v>
      </x:c>
      <x:c r="G1852" s="21" t="n">
        <x:v>34552</x:v>
      </x:c>
      <x:c r="H1852" s="21" t="n">
        <x:v>8064</x:v>
      </x:c>
      <x:c r="I1852" s="17" t="str">
        <x:v>First attempt</x:v>
      </x:c>
    </x:row>
    <x:row r="1853" ht="23" customHeight="1">
      <x:c r="A1853" s="17" t="str">
        <x:v>U01847</x:v>
      </x:c>
      <x:c r="B1853" s="18" t="n">
        <x:v>46279</x:v>
      </x:c>
      <x:c r="C1853" s="17" t="str">
        <x:v>W0126</x:v>
      </x:c>
      <x:c r="D1853" s="17" t="str">
        <x:v>C003</x:v>
      </x:c>
      <x:c r="E1853" s="17" t="str">
        <x:v>InsightDesk</x:v>
      </x:c>
      <x:c r="F1853" s="17" t="str">
        <x:v>Lite</x:v>
      </x:c>
      <x:c r="G1853" s="21" t="n">
        <x:v>47760</x:v>
      </x:c>
      <x:c r="H1853" s="21" t="n">
        <x:v>7283</x:v>
      </x:c>
      <x:c r="I1853" s="17" t="str">
        <x:v>Followup</x:v>
      </x:c>
    </x:row>
    <x:row r="1854" ht="23" customHeight="1">
      <x:c r="A1854" s="17" t="str">
        <x:v>U01848</x:v>
      </x:c>
      <x:c r="B1854" s="18" t="n">
        <x:v>46279</x:v>
      </x:c>
      <x:c r="C1854" s="17" t="str">
        <x:v>W0126</x:v>
      </x:c>
      <x:c r="D1854" s="17" t="str">
        <x:v>C003</x:v>
      </x:c>
      <x:c r="E1854" s="17" t="str">
        <x:v>InsightDesk</x:v>
      </x:c>
      <x:c r="F1854" s="17" t="str">
        <x:v>Lite</x:v>
      </x:c>
      <x:c r="G1854" s="21" t="n">
        <x:v>25169</x:v>
      </x:c>
      <x:c r="H1854" s="21" t="n">
        <x:v>7113</x:v>
      </x:c>
      <x:c r="I1854" s="17" t="str">
        <x:v>Followup</x:v>
      </x:c>
    </x:row>
    <x:row r="1855" ht="23" customHeight="1">
      <x:c r="A1855" s="17" t="str">
        <x:v>U01849</x:v>
      </x:c>
      <x:c r="B1855" s="18" t="n">
        <x:v>46280</x:v>
      </x:c>
      <x:c r="C1855" s="17" t="str">
        <x:v>W0126</x:v>
      </x:c>
      <x:c r="D1855" s="17" t="str">
        <x:v>C003</x:v>
      </x:c>
      <x:c r="E1855" s="17" t="str">
        <x:v>InsightDesk</x:v>
      </x:c>
      <x:c r="F1855" s="17" t="str">
        <x:v>Lite</x:v>
      </x:c>
      <x:c r="G1855" s="21" t="n">
        <x:v>27819</x:v>
      </x:c>
      <x:c r="H1855" s="21" t="n">
        <x:v>7479</x:v>
      </x:c>
      <x:c r="I1855" s="17" t="str">
        <x:v>Correction</x:v>
      </x:c>
    </x:row>
    <x:row r="1856" ht="23" customHeight="1">
      <x:c r="A1856" s="17" t="str">
        <x:v>U01850</x:v>
      </x:c>
      <x:c r="B1856" s="18" t="n">
        <x:v>46280</x:v>
      </x:c>
      <x:c r="C1856" s="17" t="str">
        <x:v>W0126</x:v>
      </x:c>
      <x:c r="D1856" s="17" t="str">
        <x:v>C003</x:v>
      </x:c>
      <x:c r="E1856" s="17" t="str">
        <x:v>InsightDesk</x:v>
      </x:c>
      <x:c r="F1856" s="17" t="str">
        <x:v>Lite</x:v>
      </x:c>
      <x:c r="G1856" s="21" t="n">
        <x:v>17977</x:v>
      </x:c>
      <x:c r="H1856" s="21" t="n">
        <x:v>4649</x:v>
      </x:c>
      <x:c r="I1856" s="17" t="str">
        <x:v>Correction</x:v>
      </x:c>
    </x:row>
    <x:row r="1857" ht="23" customHeight="1">
      <x:c r="A1857" s="17" t="str">
        <x:v>U01851</x:v>
      </x:c>
      <x:c r="B1857" s="18" t="n">
        <x:v>46281</x:v>
      </x:c>
      <x:c r="C1857" s="17" t="str">
        <x:v>W0126</x:v>
      </x:c>
      <x:c r="D1857" s="17" t="str">
        <x:v>C003</x:v>
      </x:c>
      <x:c r="E1857" s="17" t="str">
        <x:v>InsightDesk</x:v>
      </x:c>
      <x:c r="F1857" s="17" t="str">
        <x:v>Lite</x:v>
      </x:c>
      <x:c r="G1857" s="21" t="n">
        <x:v>48968</x:v>
      </x:c>
      <x:c r="H1857" s="21" t="n">
        <x:v>3555</x:v>
      </x:c>
      <x:c r="I1857" s="17" t="str">
        <x:v>Followup</x:v>
      </x:c>
    </x:row>
    <x:row r="1858" ht="23" customHeight="1">
      <x:c r="A1858" s="17" t="str">
        <x:v>U01852</x:v>
      </x:c>
      <x:c r="B1858" s="18" t="n">
        <x:v>46281</x:v>
      </x:c>
      <x:c r="C1858" s="17" t="str">
        <x:v>W0126</x:v>
      </x:c>
      <x:c r="D1858" s="17" t="str">
        <x:v>C003</x:v>
      </x:c>
      <x:c r="E1858" s="17" t="str">
        <x:v>InsightDesk</x:v>
      </x:c>
      <x:c r="F1858" s="17" t="str">
        <x:v>Lite</x:v>
      </x:c>
      <x:c r="G1858" s="21" t="n">
        <x:v>33804</x:v>
      </x:c>
      <x:c r="H1858" s="21" t="n">
        <x:v>6962</x:v>
      </x:c>
      <x:c r="I1858" s="17" t="str">
        <x:v>Followup</x:v>
      </x:c>
    </x:row>
    <x:row r="1859" ht="23" customHeight="1">
      <x:c r="A1859" s="17" t="str">
        <x:v>U01853</x:v>
      </x:c>
      <x:c r="B1859" s="18" t="n">
        <x:v>46282</x:v>
      </x:c>
      <x:c r="C1859" s="17" t="str">
        <x:v>W0126</x:v>
      </x:c>
      <x:c r="D1859" s="17" t="str">
        <x:v>C003</x:v>
      </x:c>
      <x:c r="E1859" s="17" t="str">
        <x:v>InsightDesk</x:v>
      </x:c>
      <x:c r="F1859" s="17" t="str">
        <x:v>Lite</x:v>
      </x:c>
      <x:c r="G1859" s="21" t="n">
        <x:v>26563</x:v>
      </x:c>
      <x:c r="H1859" s="21" t="n">
        <x:v>2639</x:v>
      </x:c>
      <x:c r="I1859" s="17" t="str">
        <x:v>Followup</x:v>
      </x:c>
    </x:row>
    <x:row r="1860" ht="23" customHeight="1">
      <x:c r="A1860" s="17" t="str">
        <x:v>U01854</x:v>
      </x:c>
      <x:c r="B1860" s="18" t="n">
        <x:v>46282</x:v>
      </x:c>
      <x:c r="C1860" s="17" t="str">
        <x:v>W0126</x:v>
      </x:c>
      <x:c r="D1860" s="17" t="str">
        <x:v>C003</x:v>
      </x:c>
      <x:c r="E1860" s="17" t="str">
        <x:v>InsightDesk</x:v>
      </x:c>
      <x:c r="F1860" s="17" t="str">
        <x:v>Lite</x:v>
      </x:c>
      <x:c r="G1860" s="21" t="n">
        <x:v>41190</x:v>
      </x:c>
      <x:c r="H1860" s="21" t="n">
        <x:v>5408</x:v>
      </x:c>
      <x:c r="I1860" s="17" t="str">
        <x:v>Followup</x:v>
      </x:c>
    </x:row>
    <x:row r="1861" ht="23" customHeight="1">
      <x:c r="A1861" s="17" t="str">
        <x:v>U01855</x:v>
      </x:c>
      <x:c r="B1861" s="18" t="n">
        <x:v>46273</x:v>
      </x:c>
      <x:c r="C1861" s="17" t="str">
        <x:v>W0128</x:v>
      </x:c>
      <x:c r="D1861" s="17" t="str">
        <x:v>C003</x:v>
      </x:c>
      <x:c r="E1861" s="17" t="str">
        <x:v>CopyStudio</x:v>
      </x:c>
      <x:c r="F1861" s="17" t="str">
        <x:v>Lite</x:v>
      </x:c>
      <x:c r="G1861" s="21" t="n">
        <x:v>15875</x:v>
      </x:c>
      <x:c r="H1861" s="21" t="n">
        <x:v>6481</x:v>
      </x:c>
      <x:c r="I1861" s="17" t="str">
        <x:v>First attempt</x:v>
      </x:c>
    </x:row>
    <x:row r="1862" ht="23" customHeight="1">
      <x:c r="A1862" s="17" t="str">
        <x:v>U01856</x:v>
      </x:c>
      <x:c r="B1862" s="18" t="n">
        <x:v>46273</x:v>
      </x:c>
      <x:c r="C1862" s="17" t="str">
        <x:v>W0128</x:v>
      </x:c>
      <x:c r="D1862" s="17" t="str">
        <x:v>C003</x:v>
      </x:c>
      <x:c r="E1862" s="17" t="str">
        <x:v>CopyStudio</x:v>
      </x:c>
      <x:c r="F1862" s="17" t="str">
        <x:v>Lite</x:v>
      </x:c>
      <x:c r="G1862" s="21" t="n">
        <x:v>41410</x:v>
      </x:c>
      <x:c r="H1862" s="21" t="n">
        <x:v>8752</x:v>
      </x:c>
      <x:c r="I1862" s="17" t="str">
        <x:v>Followup</x:v>
      </x:c>
    </x:row>
    <x:row r="1863" ht="23" customHeight="1">
      <x:c r="A1863" s="17" t="str">
        <x:v>U01857</x:v>
      </x:c>
      <x:c r="B1863" s="18" t="n">
        <x:v>46273</x:v>
      </x:c>
      <x:c r="C1863" s="17" t="str">
        <x:v>W0128</x:v>
      </x:c>
      <x:c r="D1863" s="17" t="str">
        <x:v>C003</x:v>
      </x:c>
      <x:c r="E1863" s="17" t="str">
        <x:v>CopyStudio</x:v>
      </x:c>
      <x:c r="F1863" s="17" t="str">
        <x:v>Lite</x:v>
      </x:c>
      <x:c r="G1863" s="21" t="n">
        <x:v>32069</x:v>
      </x:c>
      <x:c r="H1863" s="21" t="n">
        <x:v>8390</x:v>
      </x:c>
      <x:c r="I1863" s="17" t="str">
        <x:v>Followup</x:v>
      </x:c>
    </x:row>
    <x:row r="1864" ht="23" customHeight="1">
      <x:c r="A1864" s="17" t="str">
        <x:v>U01858</x:v>
      </x:c>
      <x:c r="B1864" s="18" t="n">
        <x:v>46274</x:v>
      </x:c>
      <x:c r="C1864" s="17" t="str">
        <x:v>W0128</x:v>
      </x:c>
      <x:c r="D1864" s="17" t="str">
        <x:v>C003</x:v>
      </x:c>
      <x:c r="E1864" s="17" t="str">
        <x:v>CopyStudio</x:v>
      </x:c>
      <x:c r="F1864" s="17" t="str">
        <x:v>Lite</x:v>
      </x:c>
      <x:c r="G1864" s="21" t="n">
        <x:v>37217</x:v>
      </x:c>
      <x:c r="H1864" s="21" t="n">
        <x:v>3443</x:v>
      </x:c>
      <x:c r="I1864" s="17" t="str">
        <x:v>Followup</x:v>
      </x:c>
    </x:row>
    <x:row r="1865" ht="23" customHeight="1">
      <x:c r="A1865" s="17" t="str">
        <x:v>U01859</x:v>
      </x:c>
      <x:c r="B1865" s="18" t="n">
        <x:v>46274</x:v>
      </x:c>
      <x:c r="C1865" s="17" t="str">
        <x:v>W0128</x:v>
      </x:c>
      <x:c r="D1865" s="17" t="str">
        <x:v>C003</x:v>
      </x:c>
      <x:c r="E1865" s="17" t="str">
        <x:v>CopyStudio</x:v>
      </x:c>
      <x:c r="F1865" s="17" t="str">
        <x:v>Lite</x:v>
      </x:c>
      <x:c r="G1865" s="21" t="n">
        <x:v>31412</x:v>
      </x:c>
      <x:c r="H1865" s="21" t="n">
        <x:v>7112</x:v>
      </x:c>
      <x:c r="I1865" s="17" t="str">
        <x:v>Correction</x:v>
      </x:c>
    </x:row>
    <x:row r="1866" ht="23" customHeight="1">
      <x:c r="A1866" s="17" t="str">
        <x:v>U01860</x:v>
      </x:c>
      <x:c r="B1866" s="18" t="n">
        <x:v>46274</x:v>
      </x:c>
      <x:c r="C1866" s="17" t="str">
        <x:v>W0128</x:v>
      </x:c>
      <x:c r="D1866" s="17" t="str">
        <x:v>C003</x:v>
      </x:c>
      <x:c r="E1866" s="17" t="str">
        <x:v>CopyStudio</x:v>
      </x:c>
      <x:c r="F1866" s="17" t="str">
        <x:v>Lite</x:v>
      </x:c>
      <x:c r="G1866" s="21" t="n">
        <x:v>40856</x:v>
      </x:c>
      <x:c r="H1866" s="21" t="n">
        <x:v>7105</x:v>
      </x:c>
      <x:c r="I1866" s="17" t="str">
        <x:v>Followup</x:v>
      </x:c>
    </x:row>
    <x:row r="1867" ht="23" customHeight="1">
      <x:c r="A1867" s="17" t="str">
        <x:v>U01861</x:v>
      </x:c>
      <x:c r="B1867" s="18" t="n">
        <x:v>46275</x:v>
      </x:c>
      <x:c r="C1867" s="17" t="str">
        <x:v>W0128</x:v>
      </x:c>
      <x:c r="D1867" s="17" t="str">
        <x:v>C003</x:v>
      </x:c>
      <x:c r="E1867" s="17" t="str">
        <x:v>CopyStudio</x:v>
      </x:c>
      <x:c r="F1867" s="17" t="str">
        <x:v>Lite</x:v>
      </x:c>
      <x:c r="G1867" s="21" t="n">
        <x:v>42325</x:v>
      </x:c>
      <x:c r="H1867" s="21" t="n">
        <x:v>4120</x:v>
      </x:c>
      <x:c r="I1867" s="17" t="str">
        <x:v>Followup</x:v>
      </x:c>
    </x:row>
    <x:row r="1868" ht="23" customHeight="1">
      <x:c r="A1868" s="17" t="str">
        <x:v>U01862</x:v>
      </x:c>
      <x:c r="B1868" s="18" t="n">
        <x:v>46275</x:v>
      </x:c>
      <x:c r="C1868" s="17" t="str">
        <x:v>W0128</x:v>
      </x:c>
      <x:c r="D1868" s="17" t="str">
        <x:v>C003</x:v>
      </x:c>
      <x:c r="E1868" s="17" t="str">
        <x:v>CopyStudio</x:v>
      </x:c>
      <x:c r="F1868" s="17" t="str">
        <x:v>Lite</x:v>
      </x:c>
      <x:c r="G1868" s="21" t="n">
        <x:v>19477</x:v>
      </x:c>
      <x:c r="H1868" s="21" t="n">
        <x:v>7272</x:v>
      </x:c>
      <x:c r="I1868" s="17" t="str">
        <x:v>Followup</x:v>
      </x:c>
    </x:row>
    <x:row r="1869" ht="23" customHeight="1">
      <x:c r="A1869" s="17" t="str">
        <x:v>U01863</x:v>
      </x:c>
      <x:c r="B1869" s="18" t="n">
        <x:v>46275</x:v>
      </x:c>
      <x:c r="C1869" s="17" t="str">
        <x:v>W0128</x:v>
      </x:c>
      <x:c r="D1869" s="17" t="str">
        <x:v>C003</x:v>
      </x:c>
      <x:c r="E1869" s="17" t="str">
        <x:v>CopyStudio</x:v>
      </x:c>
      <x:c r="F1869" s="17" t="str">
        <x:v>Lite</x:v>
      </x:c>
      <x:c r="G1869" s="21" t="n">
        <x:v>37168</x:v>
      </x:c>
      <x:c r="H1869" s="21" t="n">
        <x:v>5387</x:v>
      </x:c>
      <x:c r="I1869" s="17" t="str">
        <x:v>Followup</x:v>
      </x:c>
    </x:row>
    <x:row r="1870" ht="23" customHeight="1">
      <x:c r="A1870" s="17" t="str">
        <x:v>U01864</x:v>
      </x:c>
      <x:c r="B1870" s="18" t="n">
        <x:v>46276</x:v>
      </x:c>
      <x:c r="C1870" s="17" t="str">
        <x:v>W0128</x:v>
      </x:c>
      <x:c r="D1870" s="17" t="str">
        <x:v>C003</x:v>
      </x:c>
      <x:c r="E1870" s="17" t="str">
        <x:v>CopyStudio</x:v>
      </x:c>
      <x:c r="F1870" s="17" t="str">
        <x:v>Lite</x:v>
      </x:c>
      <x:c r="G1870" s="21" t="n">
        <x:v>25752</x:v>
      </x:c>
      <x:c r="H1870" s="21" t="n">
        <x:v>2297</x:v>
      </x:c>
      <x:c r="I1870" s="17" t="str">
        <x:v>Followup</x:v>
      </x:c>
    </x:row>
    <x:row r="1871" ht="23" customHeight="1">
      <x:c r="A1871" s="17" t="str">
        <x:v>U01865</x:v>
      </x:c>
      <x:c r="B1871" s="18" t="n">
        <x:v>46276</x:v>
      </x:c>
      <x:c r="C1871" s="17" t="str">
        <x:v>W0128</x:v>
      </x:c>
      <x:c r="D1871" s="17" t="str">
        <x:v>C003</x:v>
      </x:c>
      <x:c r="E1871" s="17" t="str">
        <x:v>CopyStudio</x:v>
      </x:c>
      <x:c r="F1871" s="17" t="str">
        <x:v>Lite</x:v>
      </x:c>
      <x:c r="G1871" s="21" t="n">
        <x:v>16057</x:v>
      </x:c>
      <x:c r="H1871" s="21" t="n">
        <x:v>4345</x:v>
      </x:c>
      <x:c r="I1871" s="17" t="str">
        <x:v>Correction</x:v>
      </x:c>
    </x:row>
    <x:row r="1872" ht="23" customHeight="1">
      <x:c r="A1872" s="17" t="str">
        <x:v>U01866</x:v>
      </x:c>
      <x:c r="B1872" s="18" t="n">
        <x:v>46282</x:v>
      </x:c>
      <x:c r="C1872" s="17" t="str">
        <x:v>W0129</x:v>
      </x:c>
      <x:c r="D1872" s="17" t="str">
        <x:v>C003</x:v>
      </x:c>
      <x:c r="E1872" s="17" t="str">
        <x:v>CampaignChat</x:v>
      </x:c>
      <x:c r="F1872" s="17" t="str">
        <x:v>Lite</x:v>
      </x:c>
      <x:c r="G1872" s="21" t="n">
        <x:v>35588</x:v>
      </x:c>
      <x:c r="H1872" s="21" t="n">
        <x:v>3160</x:v>
      </x:c>
      <x:c r="I1872" s="17" t="str">
        <x:v>First attempt</x:v>
      </x:c>
    </x:row>
    <x:row r="1873" ht="23" customHeight="1">
      <x:c r="A1873" s="17" t="str">
        <x:v>U01867</x:v>
      </x:c>
      <x:c r="B1873" s="18" t="n">
        <x:v>46282</x:v>
      </x:c>
      <x:c r="C1873" s="17" t="str">
        <x:v>W0129</x:v>
      </x:c>
      <x:c r="D1873" s="17" t="str">
        <x:v>C003</x:v>
      </x:c>
      <x:c r="E1873" s="17" t="str">
        <x:v>CampaignChat</x:v>
      </x:c>
      <x:c r="F1873" s="17" t="str">
        <x:v>Lite</x:v>
      </x:c>
      <x:c r="G1873" s="21" t="n">
        <x:v>44821</x:v>
      </x:c>
      <x:c r="H1873" s="21" t="n">
        <x:v>3569</x:v>
      </x:c>
      <x:c r="I1873" s="17" t="str">
        <x:v>Followup</x:v>
      </x:c>
    </x:row>
    <x:row r="1874" ht="23" customHeight="1">
      <x:c r="A1874" s="17" t="str">
        <x:v>U01868</x:v>
      </x:c>
      <x:c r="B1874" s="18" t="n">
        <x:v>46282</x:v>
      </x:c>
      <x:c r="C1874" s="17" t="str">
        <x:v>W0129</x:v>
      </x:c>
      <x:c r="D1874" s="17" t="str">
        <x:v>C003</x:v>
      </x:c>
      <x:c r="E1874" s="17" t="str">
        <x:v>CampaignChat</x:v>
      </x:c>
      <x:c r="F1874" s="17" t="str">
        <x:v>Lite</x:v>
      </x:c>
      <x:c r="G1874" s="21" t="n">
        <x:v>38811</x:v>
      </x:c>
      <x:c r="H1874" s="21" t="n">
        <x:v>2110</x:v>
      </x:c>
      <x:c r="I1874" s="17" t="str">
        <x:v>Followup</x:v>
      </x:c>
    </x:row>
    <x:row r="1875" ht="23" customHeight="1">
      <x:c r="A1875" s="17" t="str">
        <x:v>U01869</x:v>
      </x:c>
      <x:c r="B1875" s="18" t="n">
        <x:v>46283</x:v>
      </x:c>
      <x:c r="C1875" s="17" t="str">
        <x:v>W0129</x:v>
      </x:c>
      <x:c r="D1875" s="17" t="str">
        <x:v>C003</x:v>
      </x:c>
      <x:c r="E1875" s="17" t="str">
        <x:v>CampaignChat</x:v>
      </x:c>
      <x:c r="F1875" s="17" t="str">
        <x:v>Lite</x:v>
      </x:c>
      <x:c r="G1875" s="21" t="n">
        <x:v>21681</x:v>
      </x:c>
      <x:c r="H1875" s="21" t="n">
        <x:v>4742</x:v>
      </x:c>
      <x:c r="I1875" s="17" t="str">
        <x:v>Correction</x:v>
      </x:c>
    </x:row>
    <x:row r="1876" ht="23" customHeight="1">
      <x:c r="A1876" s="17" t="str">
        <x:v>U01870</x:v>
      </x:c>
      <x:c r="B1876" s="18" t="n">
        <x:v>46283</x:v>
      </x:c>
      <x:c r="C1876" s="17" t="str">
        <x:v>W0129</x:v>
      </x:c>
      <x:c r="D1876" s="17" t="str">
        <x:v>C003</x:v>
      </x:c>
      <x:c r="E1876" s="17" t="str">
        <x:v>CampaignChat</x:v>
      </x:c>
      <x:c r="F1876" s="17" t="str">
        <x:v>Lite</x:v>
      </x:c>
      <x:c r="G1876" s="21" t="n">
        <x:v>36991</x:v>
      </x:c>
      <x:c r="H1876" s="21" t="n">
        <x:v>6367</x:v>
      </x:c>
      <x:c r="I1876" s="17" t="str">
        <x:v>Correction</x:v>
      </x:c>
    </x:row>
    <x:row r="1877" ht="23" customHeight="1">
      <x:c r="A1877" s="17" t="str">
        <x:v>U01871</x:v>
      </x:c>
      <x:c r="B1877" s="18" t="n">
        <x:v>46283</x:v>
      </x:c>
      <x:c r="C1877" s="17" t="str">
        <x:v>W0129</x:v>
      </x:c>
      <x:c r="D1877" s="17" t="str">
        <x:v>C003</x:v>
      </x:c>
      <x:c r="E1877" s="17" t="str">
        <x:v>CampaignChat</x:v>
      </x:c>
      <x:c r="F1877" s="17" t="str">
        <x:v>Lite</x:v>
      </x:c>
      <x:c r="G1877" s="21" t="n">
        <x:v>19868</x:v>
      </x:c>
      <x:c r="H1877" s="21" t="n">
        <x:v>5779</x:v>
      </x:c>
      <x:c r="I1877" s="17" t="str">
        <x:v>Followup</x:v>
      </x:c>
    </x:row>
    <x:row r="1878" ht="23" customHeight="1">
      <x:c r="A1878" s="17" t="str">
        <x:v>U01872</x:v>
      </x:c>
      <x:c r="B1878" s="18" t="n">
        <x:v>46286</x:v>
      </x:c>
      <x:c r="C1878" s="17" t="str">
        <x:v>W0129</x:v>
      </x:c>
      <x:c r="D1878" s="17" t="str">
        <x:v>C003</x:v>
      </x:c>
      <x:c r="E1878" s="17" t="str">
        <x:v>CampaignChat</x:v>
      </x:c>
      <x:c r="F1878" s="17" t="str">
        <x:v>Lite</x:v>
      </x:c>
      <x:c r="G1878" s="21" t="n">
        <x:v>19538</x:v>
      </x:c>
      <x:c r="H1878" s="21" t="n">
        <x:v>3030</x:v>
      </x:c>
      <x:c r="I1878" s="17" t="str">
        <x:v>Followup</x:v>
      </x:c>
    </x:row>
    <x:row r="1879" ht="23" customHeight="1">
      <x:c r="A1879" s="17" t="str">
        <x:v>U01873</x:v>
      </x:c>
      <x:c r="B1879" s="18" t="n">
        <x:v>46286</x:v>
      </x:c>
      <x:c r="C1879" s="17" t="str">
        <x:v>W0129</x:v>
      </x:c>
      <x:c r="D1879" s="17" t="str">
        <x:v>C003</x:v>
      </x:c>
      <x:c r="E1879" s="17" t="str">
        <x:v>CampaignChat</x:v>
      </x:c>
      <x:c r="F1879" s="17" t="str">
        <x:v>Lite</x:v>
      </x:c>
      <x:c r="G1879" s="21" t="n">
        <x:v>25444</x:v>
      </x:c>
      <x:c r="H1879" s="21" t="n">
        <x:v>6988</x:v>
      </x:c>
      <x:c r="I1879" s="17" t="str">
        <x:v>Followup</x:v>
      </x:c>
    </x:row>
    <x:row r="1880" ht="23" customHeight="1">
      <x:c r="A1880" s="17" t="str">
        <x:v>U01874</x:v>
      </x:c>
      <x:c r="B1880" s="18" t="n">
        <x:v>46286</x:v>
      </x:c>
      <x:c r="C1880" s="17" t="str">
        <x:v>W0129</x:v>
      </x:c>
      <x:c r="D1880" s="17" t="str">
        <x:v>C003</x:v>
      </x:c>
      <x:c r="E1880" s="17" t="str">
        <x:v>CampaignChat</x:v>
      </x:c>
      <x:c r="F1880" s="17" t="str">
        <x:v>Lite</x:v>
      </x:c>
      <x:c r="G1880" s="21" t="n">
        <x:v>27541</x:v>
      </x:c>
      <x:c r="H1880" s="21" t="n">
        <x:v>2727</x:v>
      </x:c>
      <x:c r="I1880" s="17" t="str">
        <x:v>Followup</x:v>
      </x:c>
    </x:row>
    <x:row r="1881" ht="23" customHeight="1">
      <x:c r="A1881" s="17" t="str">
        <x:v>U01875</x:v>
      </x:c>
      <x:c r="B1881" s="18" t="n">
        <x:v>46287</x:v>
      </x:c>
      <x:c r="C1881" s="17" t="str">
        <x:v>W0129</x:v>
      </x:c>
      <x:c r="D1881" s="17" t="str">
        <x:v>C003</x:v>
      </x:c>
      <x:c r="E1881" s="17" t="str">
        <x:v>CampaignChat</x:v>
      </x:c>
      <x:c r="F1881" s="17" t="str">
        <x:v>Lite</x:v>
      </x:c>
      <x:c r="G1881" s="21" t="n">
        <x:v>32902</x:v>
      </x:c>
      <x:c r="H1881" s="21" t="n">
        <x:v>4194</x:v>
      </x:c>
      <x:c r="I1881" s="17" t="str">
        <x:v>Followup</x:v>
      </x:c>
    </x:row>
    <x:row r="1882" ht="23" customHeight="1">
      <x:c r="A1882" s="17" t="str">
        <x:v>U01876</x:v>
      </x:c>
      <x:c r="B1882" s="18" t="n">
        <x:v>46287</x:v>
      </x:c>
      <x:c r="C1882" s="17" t="str">
        <x:v>W0129</x:v>
      </x:c>
      <x:c r="D1882" s="17" t="str">
        <x:v>C003</x:v>
      </x:c>
      <x:c r="E1882" s="17" t="str">
        <x:v>CampaignChat</x:v>
      </x:c>
      <x:c r="F1882" s="17" t="str">
        <x:v>Lite</x:v>
      </x:c>
      <x:c r="G1882" s="21" t="n">
        <x:v>27165</x:v>
      </x:c>
      <x:c r="H1882" s="21" t="n">
        <x:v>5875</x:v>
      </x:c>
      <x:c r="I1882" s="17" t="str">
        <x:v>Correction</x:v>
      </x:c>
    </x:row>
    <x:row r="1883" ht="23" customHeight="1">
      <x:c r="A1883" s="17" t="str">
        <x:v>U01877</x:v>
      </x:c>
      <x:c r="B1883" s="18" t="n">
        <x:v>46287</x:v>
      </x:c>
      <x:c r="C1883" s="17" t="str">
        <x:v>W0129</x:v>
      </x:c>
      <x:c r="D1883" s="17" t="str">
        <x:v>C003</x:v>
      </x:c>
      <x:c r="E1883" s="17" t="str">
        <x:v>CampaignChat</x:v>
      </x:c>
      <x:c r="F1883" s="17" t="str">
        <x:v>Lite</x:v>
      </x:c>
      <x:c r="G1883" s="21" t="n">
        <x:v>48533</x:v>
      </x:c>
      <x:c r="H1883" s="21" t="n">
        <x:v>2594</x:v>
      </x:c>
      <x:c r="I1883" s="17" t="str">
        <x:v>Followup</x:v>
      </x:c>
    </x:row>
    <x:row r="1884" ht="23" customHeight="1">
      <x:c r="A1884" s="17" t="str">
        <x:v>U01878</x:v>
      </x:c>
      <x:c r="B1884" s="18" t="n">
        <x:v>46266</x:v>
      </x:c>
      <x:c r="C1884" s="17" t="str">
        <x:v>W0130</x:v>
      </x:c>
      <x:c r="D1884" s="17" t="str">
        <x:v>C003</x:v>
      </x:c>
      <x:c r="E1884" s="17" t="str">
        <x:v>InsightDesk</x:v>
      </x:c>
      <x:c r="F1884" s="17" t="str">
        <x:v>Lite</x:v>
      </x:c>
      <x:c r="G1884" s="21" t="n">
        <x:v>69486</x:v>
      </x:c>
      <x:c r="H1884" s="21" t="n">
        <x:v>3820</x:v>
      </x:c>
      <x:c r="I1884" s="17" t="str">
        <x:v>First attempt</x:v>
      </x:c>
    </x:row>
    <x:row r="1885" ht="23" customHeight="1">
      <x:c r="A1885" s="17" t="str">
        <x:v>U01879</x:v>
      </x:c>
      <x:c r="B1885" s="18" t="n">
        <x:v>46266</x:v>
      </x:c>
      <x:c r="C1885" s="17" t="str">
        <x:v>W0130</x:v>
      </x:c>
      <x:c r="D1885" s="17" t="str">
        <x:v>C003</x:v>
      </x:c>
      <x:c r="E1885" s="17" t="str">
        <x:v>InsightDesk</x:v>
      </x:c>
      <x:c r="F1885" s="17" t="str">
        <x:v>Lite</x:v>
      </x:c>
      <x:c r="G1885" s="21" t="n">
        <x:v>28393</x:v>
      </x:c>
      <x:c r="H1885" s="21" t="n">
        <x:v>2786</x:v>
      </x:c>
      <x:c r="I1885" s="17" t="str">
        <x:v>Correction</x:v>
      </x:c>
    </x:row>
    <x:row r="1886" ht="23" customHeight="1">
      <x:c r="A1886" s="17" t="str">
        <x:v>U01880</x:v>
      </x:c>
      <x:c r="B1886" s="18" t="n">
        <x:v>46266</x:v>
      </x:c>
      <x:c r="C1886" s="17" t="str">
        <x:v>W0130</x:v>
      </x:c>
      <x:c r="D1886" s="17" t="str">
        <x:v>C003</x:v>
      </x:c>
      <x:c r="E1886" s="17" t="str">
        <x:v>InsightDesk</x:v>
      </x:c>
      <x:c r="F1886" s="17" t="str">
        <x:v>Lite</x:v>
      </x:c>
      <x:c r="G1886" s="21" t="n">
        <x:v>30803</x:v>
      </x:c>
      <x:c r="H1886" s="21" t="n">
        <x:v>4624</x:v>
      </x:c>
      <x:c r="I1886" s="17" t="str">
        <x:v>Followup</x:v>
      </x:c>
    </x:row>
    <x:row r="1887" ht="23" customHeight="1">
      <x:c r="A1887" s="17" t="str">
        <x:v>U01881</x:v>
      </x:c>
      <x:c r="B1887" s="18" t="n">
        <x:v>46266</x:v>
      </x:c>
      <x:c r="C1887" s="17" t="str">
        <x:v>W0130</x:v>
      </x:c>
      <x:c r="D1887" s="17" t="str">
        <x:v>C003</x:v>
      </x:c>
      <x:c r="E1887" s="17" t="str">
        <x:v>InsightDesk</x:v>
      </x:c>
      <x:c r="F1887" s="17" t="str">
        <x:v>Lite</x:v>
      </x:c>
      <x:c r="G1887" s="21" t="n">
        <x:v>38859</x:v>
      </x:c>
      <x:c r="H1887" s="21" t="n">
        <x:v>5661</x:v>
      </x:c>
      <x:c r="I1887" s="17" t="str">
        <x:v>Followup</x:v>
      </x:c>
    </x:row>
    <x:row r="1888" ht="23" customHeight="1">
      <x:c r="A1888" s="17" t="str">
        <x:v>U01882</x:v>
      </x:c>
      <x:c r="B1888" s="18" t="n">
        <x:v>46267</x:v>
      </x:c>
      <x:c r="C1888" s="17" t="str">
        <x:v>W0130</x:v>
      </x:c>
      <x:c r="D1888" s="17" t="str">
        <x:v>C003</x:v>
      </x:c>
      <x:c r="E1888" s="17" t="str">
        <x:v>InsightDesk</x:v>
      </x:c>
      <x:c r="F1888" s="17" t="str">
        <x:v>Lite</x:v>
      </x:c>
      <x:c r="G1888" s="21" t="n">
        <x:v>24633</x:v>
      </x:c>
      <x:c r="H1888" s="21" t="n">
        <x:v>3846</x:v>
      </x:c>
      <x:c r="I1888" s="17" t="str">
        <x:v>Followup</x:v>
      </x:c>
    </x:row>
    <x:row r="1889" ht="23" customHeight="1">
      <x:c r="A1889" s="17" t="str">
        <x:v>U01883</x:v>
      </x:c>
      <x:c r="B1889" s="18" t="n">
        <x:v>46267</x:v>
      </x:c>
      <x:c r="C1889" s="17" t="str">
        <x:v>W0130</x:v>
      </x:c>
      <x:c r="D1889" s="17" t="str">
        <x:v>C003</x:v>
      </x:c>
      <x:c r="E1889" s="17" t="str">
        <x:v>InsightDesk</x:v>
      </x:c>
      <x:c r="F1889" s="17" t="str">
        <x:v>Lite</x:v>
      </x:c>
      <x:c r="G1889" s="21" t="n">
        <x:v>26122</x:v>
      </x:c>
      <x:c r="H1889" s="21" t="n">
        <x:v>2578</x:v>
      </x:c>
      <x:c r="I1889" s="17" t="str">
        <x:v>Followup</x:v>
      </x:c>
    </x:row>
    <x:row r="1890" ht="23" customHeight="1">
      <x:c r="A1890" s="17" t="str">
        <x:v>U01884</x:v>
      </x:c>
      <x:c r="B1890" s="18" t="n">
        <x:v>46267</x:v>
      </x:c>
      <x:c r="C1890" s="17" t="str">
        <x:v>W0130</x:v>
      </x:c>
      <x:c r="D1890" s="17" t="str">
        <x:v>C003</x:v>
      </x:c>
      <x:c r="E1890" s="17" t="str">
        <x:v>InsightDesk</x:v>
      </x:c>
      <x:c r="F1890" s="17" t="str">
        <x:v>Lite</x:v>
      </x:c>
      <x:c r="G1890" s="21" t="n">
        <x:v>36627</x:v>
      </x:c>
      <x:c r="H1890" s="21" t="n">
        <x:v>6600</x:v>
      </x:c>
      <x:c r="I1890" s="17" t="str">
        <x:v>Followup</x:v>
      </x:c>
    </x:row>
    <x:row r="1891" ht="23" customHeight="1">
      <x:c r="A1891" s="17" t="str">
        <x:v>U01885</x:v>
      </x:c>
      <x:c r="B1891" s="18" t="n">
        <x:v>46268</x:v>
      </x:c>
      <x:c r="C1891" s="17" t="str">
        <x:v>W0130</x:v>
      </x:c>
      <x:c r="D1891" s="17" t="str">
        <x:v>C003</x:v>
      </x:c>
      <x:c r="E1891" s="17" t="str">
        <x:v>InsightDesk</x:v>
      </x:c>
      <x:c r="F1891" s="17" t="str">
        <x:v>Lite</x:v>
      </x:c>
      <x:c r="G1891" s="21" t="n">
        <x:v>31250</x:v>
      </x:c>
      <x:c r="H1891" s="21" t="n">
        <x:v>4828</x:v>
      </x:c>
      <x:c r="I1891" s="17" t="str">
        <x:v>Followup</x:v>
      </x:c>
    </x:row>
    <x:row r="1892" ht="23" customHeight="1">
      <x:c r="A1892" s="17" t="str">
        <x:v>U01886</x:v>
      </x:c>
      <x:c r="B1892" s="18" t="n">
        <x:v>46268</x:v>
      </x:c>
      <x:c r="C1892" s="17" t="str">
        <x:v>W0130</x:v>
      </x:c>
      <x:c r="D1892" s="17" t="str">
        <x:v>C003</x:v>
      </x:c>
      <x:c r="E1892" s="17" t="str">
        <x:v>InsightDesk</x:v>
      </x:c>
      <x:c r="F1892" s="17" t="str">
        <x:v>Lite</x:v>
      </x:c>
      <x:c r="G1892" s="21" t="n">
        <x:v>44935</x:v>
      </x:c>
      <x:c r="H1892" s="21" t="n">
        <x:v>6866</x:v>
      </x:c>
      <x:c r="I1892" s="17" t="str">
        <x:v>Followup</x:v>
      </x:c>
    </x:row>
    <x:row r="1893" ht="23" customHeight="1">
      <x:c r="A1893" s="17" t="str">
        <x:v>U01887</x:v>
      </x:c>
      <x:c r="B1893" s="18" t="n">
        <x:v>46268</x:v>
      </x:c>
      <x:c r="C1893" s="17" t="str">
        <x:v>W0130</x:v>
      </x:c>
      <x:c r="D1893" s="17" t="str">
        <x:v>C003</x:v>
      </x:c>
      <x:c r="E1893" s="17" t="str">
        <x:v>InsightDesk</x:v>
      </x:c>
      <x:c r="F1893" s="17" t="str">
        <x:v>Lite</x:v>
      </x:c>
      <x:c r="G1893" s="21" t="n">
        <x:v>35054</x:v>
      </x:c>
      <x:c r="H1893" s="21" t="n">
        <x:v>2277</x:v>
      </x:c>
      <x:c r="I1893" s="17" t="str">
        <x:v>Correction</x:v>
      </x:c>
    </x:row>
    <x:row r="1894" ht="23" customHeight="1">
      <x:c r="A1894" s="17" t="str">
        <x:v>U01888</x:v>
      </x:c>
      <x:c r="B1894" s="18" t="n">
        <x:v>46268</x:v>
      </x:c>
      <x:c r="C1894" s="17" t="str">
        <x:v>W0130</x:v>
      </x:c>
      <x:c r="D1894" s="17" t="str">
        <x:v>C003</x:v>
      </x:c>
      <x:c r="E1894" s="17" t="str">
        <x:v>InsightDesk</x:v>
      </x:c>
      <x:c r="F1894" s="17" t="str">
        <x:v>Lite</x:v>
      </x:c>
      <x:c r="G1894" s="21" t="n">
        <x:v>49657</x:v>
      </x:c>
      <x:c r="H1894" s="21" t="n">
        <x:v>7045</x:v>
      </x:c>
      <x:c r="I1894" s="17" t="str">
        <x:v>Followup</x:v>
      </x:c>
    </x:row>
    <x:row r="1895" ht="23" customHeight="1">
      <x:c r="A1895" s="17" t="str">
        <x:v>U01889</x:v>
      </x:c>
      <x:c r="B1895" s="18" t="n">
        <x:v>46269</x:v>
      </x:c>
      <x:c r="C1895" s="17" t="str">
        <x:v>W0130</x:v>
      </x:c>
      <x:c r="D1895" s="17" t="str">
        <x:v>C003</x:v>
      </x:c>
      <x:c r="E1895" s="17" t="str">
        <x:v>InsightDesk</x:v>
      </x:c>
      <x:c r="F1895" s="17" t="str">
        <x:v>Lite</x:v>
      </x:c>
      <x:c r="G1895" s="21" t="n">
        <x:v>29007</x:v>
      </x:c>
      <x:c r="H1895" s="21" t="n">
        <x:v>1848</x:v>
      </x:c>
      <x:c r="I1895" s="17" t="str">
        <x:v>Followup</x:v>
      </x:c>
    </x:row>
    <x:row r="1896" ht="23" customHeight="1">
      <x:c r="A1896" s="17" t="str">
        <x:v>U01890</x:v>
      </x:c>
      <x:c r="B1896" s="18" t="n">
        <x:v>46269</x:v>
      </x:c>
      <x:c r="C1896" s="17" t="str">
        <x:v>W0130</x:v>
      </x:c>
      <x:c r="D1896" s="17" t="str">
        <x:v>C003</x:v>
      </x:c>
      <x:c r="E1896" s="17" t="str">
        <x:v>InsightDesk</x:v>
      </x:c>
      <x:c r="F1896" s="17" t="str">
        <x:v>Lite</x:v>
      </x:c>
      <x:c r="G1896" s="21" t="n">
        <x:v>35902</x:v>
      </x:c>
      <x:c r="H1896" s="21" t="n">
        <x:v>6166</x:v>
      </x:c>
      <x:c r="I1896" s="17" t="str">
        <x:v>Followup</x:v>
      </x:c>
    </x:row>
    <x:row r="1897" ht="23" customHeight="1">
      <x:c r="A1897" s="17" t="str">
        <x:v>U01891</x:v>
      </x:c>
      <x:c r="B1897" s="18" t="n">
        <x:v>46269</x:v>
      </x:c>
      <x:c r="C1897" s="17" t="str">
        <x:v>W0130</x:v>
      </x:c>
      <x:c r="D1897" s="17" t="str">
        <x:v>C003</x:v>
      </x:c>
      <x:c r="E1897" s="17" t="str">
        <x:v>InsightDesk</x:v>
      </x:c>
      <x:c r="F1897" s="17" t="str">
        <x:v>Lite</x:v>
      </x:c>
      <x:c r="G1897" s="21" t="n">
        <x:v>36913</x:v>
      </x:c>
      <x:c r="H1897" s="21" t="n">
        <x:v>6003</x:v>
      </x:c>
      <x:c r="I1897" s="17" t="str">
        <x:v>Followup</x:v>
      </x:c>
    </x:row>
    <x:row r="1898" ht="23" customHeight="1">
      <x:c r="A1898" s="17" t="str">
        <x:v>U01892</x:v>
      </x:c>
      <x:c r="B1898" s="18" t="n">
        <x:v>46269</x:v>
      </x:c>
      <x:c r="C1898" s="17" t="str">
        <x:v>W0133</x:v>
      </x:c>
      <x:c r="D1898" s="17" t="str">
        <x:v>C003</x:v>
      </x:c>
      <x:c r="E1898" s="17" t="str">
        <x:v>InsightDesk</x:v>
      </x:c>
      <x:c r="F1898" s="17" t="str">
        <x:v>Lite</x:v>
      </x:c>
      <x:c r="G1898" s="21" t="n">
        <x:v>25138</x:v>
      </x:c>
      <x:c r="H1898" s="21" t="n">
        <x:v>6933</x:v>
      </x:c>
      <x:c r="I1898" s="17" t="str">
        <x:v>First attempt</x:v>
      </x:c>
    </x:row>
    <x:row r="1899" ht="23" customHeight="1">
      <x:c r="A1899" s="17" t="str">
        <x:v>U01893</x:v>
      </x:c>
      <x:c r="B1899" s="18" t="n">
        <x:v>46269</x:v>
      </x:c>
      <x:c r="C1899" s="17" t="str">
        <x:v>W0133</x:v>
      </x:c>
      <x:c r="D1899" s="17" t="str">
        <x:v>C003</x:v>
      </x:c>
      <x:c r="E1899" s="17" t="str">
        <x:v>InsightDesk</x:v>
      </x:c>
      <x:c r="F1899" s="17" t="str">
        <x:v>Lite</x:v>
      </x:c>
      <x:c r="G1899" s="21" t="n">
        <x:v>33936</x:v>
      </x:c>
      <x:c r="H1899" s="21" t="n">
        <x:v>5918</x:v>
      </x:c>
      <x:c r="I1899" s="17" t="str">
        <x:v>Correction</x:v>
      </x:c>
    </x:row>
    <x:row r="1900" ht="23" customHeight="1">
      <x:c r="A1900" s="17" t="str">
        <x:v>U01894</x:v>
      </x:c>
      <x:c r="B1900" s="18" t="n">
        <x:v>46269</x:v>
      </x:c>
      <x:c r="C1900" s="17" t="str">
        <x:v>W0133</x:v>
      </x:c>
      <x:c r="D1900" s="17" t="str">
        <x:v>C003</x:v>
      </x:c>
      <x:c r="E1900" s="17" t="str">
        <x:v>InsightDesk</x:v>
      </x:c>
      <x:c r="F1900" s="17" t="str">
        <x:v>Lite</x:v>
      </x:c>
      <x:c r="G1900" s="21" t="n">
        <x:v>18520</x:v>
      </x:c>
      <x:c r="H1900" s="21" t="n">
        <x:v>7862</x:v>
      </x:c>
      <x:c r="I1900" s="17" t="str">
        <x:v>Followup</x:v>
      </x:c>
    </x:row>
    <x:row r="1901" ht="23" customHeight="1">
      <x:c r="A1901" s="17" t="str">
        <x:v>U01895</x:v>
      </x:c>
      <x:c r="B1901" s="18" t="n">
        <x:v>46269</x:v>
      </x:c>
      <x:c r="C1901" s="17" t="str">
        <x:v>W0133</x:v>
      </x:c>
      <x:c r="D1901" s="17" t="str">
        <x:v>C003</x:v>
      </x:c>
      <x:c r="E1901" s="17" t="str">
        <x:v>InsightDesk</x:v>
      </x:c>
      <x:c r="F1901" s="17" t="str">
        <x:v>Lite</x:v>
      </x:c>
      <x:c r="G1901" s="21" t="n">
        <x:v>35284</x:v>
      </x:c>
      <x:c r="H1901" s="21" t="n">
        <x:v>2378</x:v>
      </x:c>
      <x:c r="I1901" s="17" t="str">
        <x:v>Correction</x:v>
      </x:c>
    </x:row>
    <x:row r="1902" ht="23" customHeight="1">
      <x:c r="A1902" s="17" t="str">
        <x:v>U01896</x:v>
      </x:c>
      <x:c r="B1902" s="18" t="n">
        <x:v>46273</x:v>
      </x:c>
      <x:c r="C1902" s="17" t="str">
        <x:v>W0133</x:v>
      </x:c>
      <x:c r="D1902" s="17" t="str">
        <x:v>C003</x:v>
      </x:c>
      <x:c r="E1902" s="17" t="str">
        <x:v>InsightDesk</x:v>
      </x:c>
      <x:c r="F1902" s="17" t="str">
        <x:v>Lite</x:v>
      </x:c>
      <x:c r="G1902" s="21" t="n">
        <x:v>27810</x:v>
      </x:c>
      <x:c r="H1902" s="21" t="n">
        <x:v>4894</x:v>
      </x:c>
      <x:c r="I1902" s="17" t="str">
        <x:v>Followup</x:v>
      </x:c>
    </x:row>
    <x:row r="1903" ht="23" customHeight="1">
      <x:c r="A1903" s="17" t="str">
        <x:v>U01897</x:v>
      </x:c>
      <x:c r="B1903" s="18" t="n">
        <x:v>46273</x:v>
      </x:c>
      <x:c r="C1903" s="17" t="str">
        <x:v>W0133</x:v>
      </x:c>
      <x:c r="D1903" s="17" t="str">
        <x:v>C003</x:v>
      </x:c>
      <x:c r="E1903" s="17" t="str">
        <x:v>InsightDesk</x:v>
      </x:c>
      <x:c r="F1903" s="17" t="str">
        <x:v>Lite</x:v>
      </x:c>
      <x:c r="G1903" s="21" t="n">
        <x:v>15829</x:v>
      </x:c>
      <x:c r="H1903" s="21" t="n">
        <x:v>3720</x:v>
      </x:c>
      <x:c r="I1903" s="17" t="str">
        <x:v>Followup</x:v>
      </x:c>
    </x:row>
    <x:row r="1904" ht="23" customHeight="1">
      <x:c r="A1904" s="17" t="str">
        <x:v>U01898</x:v>
      </x:c>
      <x:c r="B1904" s="18" t="n">
        <x:v>46273</x:v>
      </x:c>
      <x:c r="C1904" s="17" t="str">
        <x:v>W0133</x:v>
      </x:c>
      <x:c r="D1904" s="17" t="str">
        <x:v>C003</x:v>
      </x:c>
      <x:c r="E1904" s="17" t="str">
        <x:v>InsightDesk</x:v>
      </x:c>
      <x:c r="F1904" s="17" t="str">
        <x:v>Lite</x:v>
      </x:c>
      <x:c r="G1904" s="21" t="n">
        <x:v>14425</x:v>
      </x:c>
      <x:c r="H1904" s="21" t="n">
        <x:v>4924</x:v>
      </x:c>
      <x:c r="I1904" s="17" t="str">
        <x:v>Correction</x:v>
      </x:c>
    </x:row>
    <x:row r="1905" ht="23" customHeight="1">
      <x:c r="A1905" s="17" t="str">
        <x:v>U01899</x:v>
      </x:c>
      <x:c r="B1905" s="18" t="n">
        <x:v>46274</x:v>
      </x:c>
      <x:c r="C1905" s="17" t="str">
        <x:v>W0133</x:v>
      </x:c>
      <x:c r="D1905" s="17" t="str">
        <x:v>C003</x:v>
      </x:c>
      <x:c r="E1905" s="17" t="str">
        <x:v>InsightDesk</x:v>
      </x:c>
      <x:c r="F1905" s="17" t="str">
        <x:v>Lite</x:v>
      </x:c>
      <x:c r="G1905" s="21" t="n">
        <x:v>28199</x:v>
      </x:c>
      <x:c r="H1905" s="21" t="n">
        <x:v>7031</x:v>
      </x:c>
      <x:c r="I1905" s="17" t="str">
        <x:v>Followup</x:v>
      </x:c>
    </x:row>
    <x:row r="1906" ht="23" customHeight="1">
      <x:c r="A1906" s="17" t="str">
        <x:v>U01900</x:v>
      </x:c>
      <x:c r="B1906" s="18" t="n">
        <x:v>46274</x:v>
      </x:c>
      <x:c r="C1906" s="17" t="str">
        <x:v>W0133</x:v>
      </x:c>
      <x:c r="D1906" s="17" t="str">
        <x:v>C003</x:v>
      </x:c>
      <x:c r="E1906" s="17" t="str">
        <x:v>InsightDesk</x:v>
      </x:c>
      <x:c r="F1906" s="17" t="str">
        <x:v>Lite</x:v>
      </x:c>
      <x:c r="G1906" s="21" t="n">
        <x:v>41213</x:v>
      </x:c>
      <x:c r="H1906" s="21" t="n">
        <x:v>4698</x:v>
      </x:c>
      <x:c r="I1906" s="17" t="str">
        <x:v>Followup</x:v>
      </x:c>
    </x:row>
    <x:row r="1907" ht="23" customHeight="1">
      <x:c r="A1907" s="17" t="str">
        <x:v>U01901</x:v>
      </x:c>
      <x:c r="B1907" s="18" t="n">
        <x:v>46274</x:v>
      </x:c>
      <x:c r="C1907" s="17" t="str">
        <x:v>W0133</x:v>
      </x:c>
      <x:c r="D1907" s="17" t="str">
        <x:v>C003</x:v>
      </x:c>
      <x:c r="E1907" s="17" t="str">
        <x:v>InsightDesk</x:v>
      </x:c>
      <x:c r="F1907" s="17" t="str">
        <x:v>Lite</x:v>
      </x:c>
      <x:c r="G1907" s="21" t="n">
        <x:v>38528</x:v>
      </x:c>
      <x:c r="H1907" s="21" t="n">
        <x:v>6026</x:v>
      </x:c>
      <x:c r="I1907" s="17" t="str">
        <x:v>Followup</x:v>
      </x:c>
    </x:row>
    <x:row r="1908" ht="23" customHeight="1">
      <x:c r="A1908" s="17" t="str">
        <x:v>U01902</x:v>
      </x:c>
      <x:c r="B1908" s="18" t="n">
        <x:v>46275</x:v>
      </x:c>
      <x:c r="C1908" s="17" t="str">
        <x:v>W0133</x:v>
      </x:c>
      <x:c r="D1908" s="17" t="str">
        <x:v>C003</x:v>
      </x:c>
      <x:c r="E1908" s="17" t="str">
        <x:v>InsightDesk</x:v>
      </x:c>
      <x:c r="F1908" s="17" t="str">
        <x:v>Lite</x:v>
      </x:c>
      <x:c r="G1908" s="21" t="n">
        <x:v>33052</x:v>
      </x:c>
      <x:c r="H1908" s="21" t="n">
        <x:v>7571</x:v>
      </x:c>
      <x:c r="I1908" s="17" t="str">
        <x:v>Followup</x:v>
      </x:c>
    </x:row>
    <x:row r="1909" ht="23" customHeight="1">
      <x:c r="A1909" s="17" t="str">
        <x:v>U01903</x:v>
      </x:c>
      <x:c r="B1909" s="18" t="n">
        <x:v>46275</x:v>
      </x:c>
      <x:c r="C1909" s="17" t="str">
        <x:v>W0133</x:v>
      </x:c>
      <x:c r="D1909" s="17" t="str">
        <x:v>C003</x:v>
      </x:c>
      <x:c r="E1909" s="17" t="str">
        <x:v>InsightDesk</x:v>
      </x:c>
      <x:c r="F1909" s="17" t="str">
        <x:v>Lite</x:v>
      </x:c>
      <x:c r="G1909" s="21" t="n">
        <x:v>32063</x:v>
      </x:c>
      <x:c r="H1909" s="21" t="n">
        <x:v>7181</x:v>
      </x:c>
      <x:c r="I1909" s="17" t="str">
        <x:v>Followup</x:v>
      </x:c>
    </x:row>
    <x:row r="1910" ht="23" customHeight="1">
      <x:c r="A1910" s="17" t="str">
        <x:v>U01904</x:v>
      </x:c>
      <x:c r="B1910" s="18" t="n">
        <x:v>46275</x:v>
      </x:c>
      <x:c r="C1910" s="17" t="str">
        <x:v>W0133</x:v>
      </x:c>
      <x:c r="D1910" s="17" t="str">
        <x:v>C003</x:v>
      </x:c>
      <x:c r="E1910" s="17" t="str">
        <x:v>InsightDesk</x:v>
      </x:c>
      <x:c r="F1910" s="17" t="str">
        <x:v>Lite</x:v>
      </x:c>
      <x:c r="G1910" s="21" t="n">
        <x:v>17531</x:v>
      </x:c>
      <x:c r="H1910" s="21" t="n">
        <x:v>7703</x:v>
      </x:c>
      <x:c r="I1910" s="17" t="str">
        <x:v>Followup</x:v>
      </x:c>
    </x:row>
    <x:row r="1911" ht="23" customHeight="1">
      <x:c r="A1911" s="17" t="str">
        <x:v>U01905</x:v>
      </x:c>
      <x:c r="B1911" s="18" t="n">
        <x:v>46281</x:v>
      </x:c>
      <x:c r="C1911" s="17" t="str">
        <x:v>W0134</x:v>
      </x:c>
      <x:c r="D1911" s="17" t="str">
        <x:v>C003</x:v>
      </x:c>
      <x:c r="E1911" s="17" t="str">
        <x:v>CopyStudio</x:v>
      </x:c>
      <x:c r="F1911" s="17" t="str">
        <x:v>Lite</x:v>
      </x:c>
      <x:c r="G1911" s="21" t="n">
        <x:v>24666</x:v>
      </x:c>
      <x:c r="H1911" s="21" t="n">
        <x:v>3958</x:v>
      </x:c>
      <x:c r="I1911" s="17" t="str">
        <x:v>First attempt</x:v>
      </x:c>
    </x:row>
    <x:row r="1912" ht="23" customHeight="1">
      <x:c r="A1912" s="17" t="str">
        <x:v>U01906</x:v>
      </x:c>
      <x:c r="B1912" s="18" t="n">
        <x:v>46281</x:v>
      </x:c>
      <x:c r="C1912" s="17" t="str">
        <x:v>W0134</x:v>
      </x:c>
      <x:c r="D1912" s="17" t="str">
        <x:v>C003</x:v>
      </x:c>
      <x:c r="E1912" s="17" t="str">
        <x:v>CopyStudio</x:v>
      </x:c>
      <x:c r="F1912" s="17" t="str">
        <x:v>Lite</x:v>
      </x:c>
      <x:c r="G1912" s="21" t="n">
        <x:v>28102</x:v>
      </x:c>
      <x:c r="H1912" s="21" t="n">
        <x:v>2463</x:v>
      </x:c>
      <x:c r="I1912" s="17" t="str">
        <x:v>Followup</x:v>
      </x:c>
    </x:row>
    <x:row r="1913" ht="23" customHeight="1">
      <x:c r="A1913" s="17" t="str">
        <x:v>U01907</x:v>
      </x:c>
      <x:c r="B1913" s="18" t="n">
        <x:v>46281</x:v>
      </x:c>
      <x:c r="C1913" s="17" t="str">
        <x:v>W0134</x:v>
      </x:c>
      <x:c r="D1913" s="17" t="str">
        <x:v>C003</x:v>
      </x:c>
      <x:c r="E1913" s="17" t="str">
        <x:v>CopyStudio</x:v>
      </x:c>
      <x:c r="F1913" s="17" t="str">
        <x:v>Lite</x:v>
      </x:c>
      <x:c r="G1913" s="21" t="n">
        <x:v>39974</x:v>
      </x:c>
      <x:c r="H1913" s="21" t="n">
        <x:v>7392</x:v>
      </x:c>
      <x:c r="I1913" s="17" t="str">
        <x:v>Followup</x:v>
      </x:c>
    </x:row>
    <x:row r="1914" ht="23" customHeight="1">
      <x:c r="A1914" s="17" t="str">
        <x:v>U01908</x:v>
      </x:c>
      <x:c r="B1914" s="18" t="n">
        <x:v>46281</x:v>
      </x:c>
      <x:c r="C1914" s="17" t="str">
        <x:v>W0134</x:v>
      </x:c>
      <x:c r="D1914" s="17" t="str">
        <x:v>C003</x:v>
      </x:c>
      <x:c r="E1914" s="17" t="str">
        <x:v>CopyStudio</x:v>
      </x:c>
      <x:c r="F1914" s="17" t="str">
        <x:v>Lite</x:v>
      </x:c>
      <x:c r="G1914" s="21" t="n">
        <x:v>31270</x:v>
      </x:c>
      <x:c r="H1914" s="21" t="n">
        <x:v>9235</x:v>
      </x:c>
      <x:c r="I1914" s="17" t="str">
        <x:v>Followup</x:v>
      </x:c>
    </x:row>
    <x:row r="1915" ht="23" customHeight="1">
      <x:c r="A1915" s="17" t="str">
        <x:v>U01909</x:v>
      </x:c>
      <x:c r="B1915" s="18" t="n">
        <x:v>46282</x:v>
      </x:c>
      <x:c r="C1915" s="17" t="str">
        <x:v>W0134</x:v>
      </x:c>
      <x:c r="D1915" s="17" t="str">
        <x:v>C003</x:v>
      </x:c>
      <x:c r="E1915" s="17" t="str">
        <x:v>CopyStudio</x:v>
      </x:c>
      <x:c r="F1915" s="17" t="str">
        <x:v>Lite</x:v>
      </x:c>
      <x:c r="G1915" s="21" t="n">
        <x:v>44432</x:v>
      </x:c>
      <x:c r="H1915" s="21" t="n">
        <x:v>7006</x:v>
      </x:c>
      <x:c r="I1915" s="17" t="str">
        <x:v>Correction</x:v>
      </x:c>
    </x:row>
    <x:row r="1916" ht="23" customHeight="1">
      <x:c r="A1916" s="17" t="str">
        <x:v>U01910</x:v>
      </x:c>
      <x:c r="B1916" s="18" t="n">
        <x:v>46282</x:v>
      </x:c>
      <x:c r="C1916" s="17" t="str">
        <x:v>W0134</x:v>
      </x:c>
      <x:c r="D1916" s="17" t="str">
        <x:v>C003</x:v>
      </x:c>
      <x:c r="E1916" s="17" t="str">
        <x:v>CopyStudio</x:v>
      </x:c>
      <x:c r="F1916" s="17" t="str">
        <x:v>Lite</x:v>
      </x:c>
      <x:c r="G1916" s="21" t="n">
        <x:v>19740</x:v>
      </x:c>
      <x:c r="H1916" s="21" t="n">
        <x:v>8940</x:v>
      </x:c>
      <x:c r="I1916" s="17" t="str">
        <x:v>Followup</x:v>
      </x:c>
    </x:row>
    <x:row r="1917" ht="23" customHeight="1">
      <x:c r="A1917" s="17" t="str">
        <x:v>U01911</x:v>
      </x:c>
      <x:c r="B1917" s="18" t="n">
        <x:v>46282</x:v>
      </x:c>
      <x:c r="C1917" s="17" t="str">
        <x:v>W0134</x:v>
      </x:c>
      <x:c r="D1917" s="17" t="str">
        <x:v>C003</x:v>
      </x:c>
      <x:c r="E1917" s="17" t="str">
        <x:v>CopyStudio</x:v>
      </x:c>
      <x:c r="F1917" s="17" t="str">
        <x:v>Lite</x:v>
      </x:c>
      <x:c r="G1917" s="21" t="n">
        <x:v>32119</x:v>
      </x:c>
      <x:c r="H1917" s="21" t="n">
        <x:v>7947</x:v>
      </x:c>
      <x:c r="I1917" s="17" t="str">
        <x:v>Correction</x:v>
      </x:c>
    </x:row>
    <x:row r="1918" ht="23" customHeight="1">
      <x:c r="A1918" s="17" t="str">
        <x:v>U01912</x:v>
      </x:c>
      <x:c r="B1918" s="18" t="n">
        <x:v>46283</x:v>
      </x:c>
      <x:c r="C1918" s="17" t="str">
        <x:v>W0134</x:v>
      </x:c>
      <x:c r="D1918" s="17" t="str">
        <x:v>C003</x:v>
      </x:c>
      <x:c r="E1918" s="17" t="str">
        <x:v>CopyStudio</x:v>
      </x:c>
      <x:c r="F1918" s="17" t="str">
        <x:v>Lite</x:v>
      </x:c>
      <x:c r="G1918" s="21" t="n">
        <x:v>33655</x:v>
      </x:c>
      <x:c r="H1918" s="21" t="n">
        <x:v>7066</x:v>
      </x:c>
      <x:c r="I1918" s="17" t="str">
        <x:v>Correction</x:v>
      </x:c>
    </x:row>
    <x:row r="1919" ht="23" customHeight="1">
      <x:c r="A1919" s="17" t="str">
        <x:v>U01913</x:v>
      </x:c>
      <x:c r="B1919" s="18" t="n">
        <x:v>46283</x:v>
      </x:c>
      <x:c r="C1919" s="17" t="str">
        <x:v>W0134</x:v>
      </x:c>
      <x:c r="D1919" s="17" t="str">
        <x:v>C003</x:v>
      </x:c>
      <x:c r="E1919" s="17" t="str">
        <x:v>CopyStudio</x:v>
      </x:c>
      <x:c r="F1919" s="17" t="str">
        <x:v>Lite</x:v>
      </x:c>
      <x:c r="G1919" s="21" t="n">
        <x:v>16423</x:v>
      </x:c>
      <x:c r="H1919" s="21" t="n">
        <x:v>7187</x:v>
      </x:c>
      <x:c r="I1919" s="17" t="str">
        <x:v>Followup</x:v>
      </x:c>
    </x:row>
    <x:row r="1920" ht="23" customHeight="1">
      <x:c r="A1920" s="17" t="str">
        <x:v>U01914</x:v>
      </x:c>
      <x:c r="B1920" s="18" t="n">
        <x:v>46283</x:v>
      </x:c>
      <x:c r="C1920" s="17" t="str">
        <x:v>W0134</x:v>
      </x:c>
      <x:c r="D1920" s="17" t="str">
        <x:v>C003</x:v>
      </x:c>
      <x:c r="E1920" s="17" t="str">
        <x:v>CopyStudio</x:v>
      </x:c>
      <x:c r="F1920" s="17" t="str">
        <x:v>Lite</x:v>
      </x:c>
      <x:c r="G1920" s="21" t="n">
        <x:v>30671</x:v>
      </x:c>
      <x:c r="H1920" s="21" t="n">
        <x:v>3309</x:v>
      </x:c>
      <x:c r="I1920" s="17" t="str">
        <x:v>Followup</x:v>
      </x:c>
    </x:row>
    <x:row r="1921" ht="23" customHeight="1">
      <x:c r="A1921" s="17" t="str">
        <x:v>U01915</x:v>
      </x:c>
      <x:c r="B1921" s="18" t="n">
        <x:v>46283</x:v>
      </x:c>
      <x:c r="C1921" s="17" t="str">
        <x:v>W0134</x:v>
      </x:c>
      <x:c r="D1921" s="17" t="str">
        <x:v>C003</x:v>
      </x:c>
      <x:c r="E1921" s="17" t="str">
        <x:v>CopyStudio</x:v>
      </x:c>
      <x:c r="F1921" s="17" t="str">
        <x:v>Lite</x:v>
      </x:c>
      <x:c r="G1921" s="21" t="n">
        <x:v>16917</x:v>
      </x:c>
      <x:c r="H1921" s="21" t="n">
        <x:v>8833</x:v>
      </x:c>
      <x:c r="I1921" s="17" t="str">
        <x:v>Followup</x:v>
      </x:c>
    </x:row>
    <x:row r="1922" ht="23" customHeight="1">
      <x:c r="A1922" s="17" t="str">
        <x:v>U01916</x:v>
      </x:c>
      <x:c r="B1922" s="18" t="n">
        <x:v>46286</x:v>
      </x:c>
      <x:c r="C1922" s="17" t="str">
        <x:v>W0134</x:v>
      </x:c>
      <x:c r="D1922" s="17" t="str">
        <x:v>C003</x:v>
      </x:c>
      <x:c r="E1922" s="17" t="str">
        <x:v>CopyStudio</x:v>
      </x:c>
      <x:c r="F1922" s="17" t="str">
        <x:v>Lite</x:v>
      </x:c>
      <x:c r="G1922" s="21" t="n">
        <x:v>28306</x:v>
      </x:c>
      <x:c r="H1922" s="21" t="n">
        <x:v>7039</x:v>
      </x:c>
      <x:c r="I1922" s="17" t="str">
        <x:v>Followup</x:v>
      </x:c>
    </x:row>
    <x:row r="1923" ht="23" customHeight="1">
      <x:c r="A1923" s="17" t="str">
        <x:v>U01917</x:v>
      </x:c>
      <x:c r="B1923" s="18" t="n">
        <x:v>46286</x:v>
      </x:c>
      <x:c r="C1923" s="17" t="str">
        <x:v>W0134</x:v>
      </x:c>
      <x:c r="D1923" s="17" t="str">
        <x:v>C003</x:v>
      </x:c>
      <x:c r="E1923" s="17" t="str">
        <x:v>CopyStudio</x:v>
      </x:c>
      <x:c r="F1923" s="17" t="str">
        <x:v>Lite</x:v>
      </x:c>
      <x:c r="G1923" s="21" t="n">
        <x:v>21257</x:v>
      </x:c>
      <x:c r="H1923" s="21" t="n">
        <x:v>4498</x:v>
      </x:c>
      <x:c r="I1923" s="17" t="str">
        <x:v>Followup</x:v>
      </x:c>
    </x:row>
    <x:row r="1924" ht="23" customHeight="1">
      <x:c r="A1924" s="17" t="str">
        <x:v>U01918</x:v>
      </x:c>
      <x:c r="B1924" s="18" t="n">
        <x:v>46286</x:v>
      </x:c>
      <x:c r="C1924" s="17" t="str">
        <x:v>W0134</x:v>
      </x:c>
      <x:c r="D1924" s="17" t="str">
        <x:v>C003</x:v>
      </x:c>
      <x:c r="E1924" s="17" t="str">
        <x:v>CopyStudio</x:v>
      </x:c>
      <x:c r="F1924" s="17" t="str">
        <x:v>Lite</x:v>
      </x:c>
      <x:c r="G1924" s="21" t="n">
        <x:v>43113</x:v>
      </x:c>
      <x:c r="H1924" s="21" t="n">
        <x:v>3293</x:v>
      </x:c>
      <x:c r="I1924" s="17" t="str">
        <x:v>Followup</x:v>
      </x:c>
    </x:row>
    <x:row r="1925" ht="23" customHeight="1">
      <x:c r="A1925" s="17" t="str">
        <x:v>U01919</x:v>
      </x:c>
      <x:c r="B1925" s="18" t="n">
        <x:v>46290</x:v>
      </x:c>
      <x:c r="C1925" s="17" t="str">
        <x:v>W0135</x:v>
      </x:c>
      <x:c r="D1925" s="17" t="str">
        <x:v>C003</x:v>
      </x:c>
      <x:c r="E1925" s="17" t="str">
        <x:v>CopyStudio</x:v>
      </x:c>
      <x:c r="F1925" s="17" t="str">
        <x:v>Lite</x:v>
      </x:c>
      <x:c r="G1925" s="21" t="n">
        <x:v>24453</x:v>
      </x:c>
      <x:c r="H1925" s="21" t="n">
        <x:v>3647</x:v>
      </x:c>
      <x:c r="I1925" s="17" t="str">
        <x:v>First attempt</x:v>
      </x:c>
    </x:row>
    <x:row r="1926" ht="23" customHeight="1">
      <x:c r="A1926" s="17" t="str">
        <x:v>U01920</x:v>
      </x:c>
      <x:c r="B1926" s="18" t="n">
        <x:v>46290</x:v>
      </x:c>
      <x:c r="C1926" s="17" t="str">
        <x:v>W0135</x:v>
      </x:c>
      <x:c r="D1926" s="17" t="str">
        <x:v>C003</x:v>
      </x:c>
      <x:c r="E1926" s="17" t="str">
        <x:v>CopyStudio</x:v>
      </x:c>
      <x:c r="F1926" s="17" t="str">
        <x:v>Lite</x:v>
      </x:c>
      <x:c r="G1926" s="21" t="n">
        <x:v>27279</x:v>
      </x:c>
      <x:c r="H1926" s="21" t="n">
        <x:v>3038</x:v>
      </x:c>
      <x:c r="I1926" s="17" t="str">
        <x:v>Followup</x:v>
      </x:c>
    </x:row>
    <x:row r="1927" ht="23" customHeight="1">
      <x:c r="A1927" s="17" t="str">
        <x:v>U01921</x:v>
      </x:c>
      <x:c r="B1927" s="18" t="n">
        <x:v>46290</x:v>
      </x:c>
      <x:c r="C1927" s="17" t="str">
        <x:v>W0135</x:v>
      </x:c>
      <x:c r="D1927" s="17" t="str">
        <x:v>C003</x:v>
      </x:c>
      <x:c r="E1927" s="17" t="str">
        <x:v>CopyStudio</x:v>
      </x:c>
      <x:c r="F1927" s="17" t="str">
        <x:v>Lite</x:v>
      </x:c>
      <x:c r="G1927" s="21" t="n">
        <x:v>21383</x:v>
      </x:c>
      <x:c r="H1927" s="21" t="n">
        <x:v>3329</x:v>
      </x:c>
      <x:c r="I1927" s="17" t="str">
        <x:v>Followup</x:v>
      </x:c>
    </x:row>
    <x:row r="1928" ht="23" customHeight="1">
      <x:c r="A1928" s="17" t="str">
        <x:v>U01922</x:v>
      </x:c>
      <x:c r="B1928" s="18" t="n">
        <x:v>46290</x:v>
      </x:c>
      <x:c r="C1928" s="17" t="str">
        <x:v>W0135</x:v>
      </x:c>
      <x:c r="D1928" s="17" t="str">
        <x:v>C003</x:v>
      </x:c>
      <x:c r="E1928" s="17" t="str">
        <x:v>CopyStudio</x:v>
      </x:c>
      <x:c r="F1928" s="17" t="str">
        <x:v>Lite</x:v>
      </x:c>
      <x:c r="G1928" s="21" t="n">
        <x:v>30831</x:v>
      </x:c>
      <x:c r="H1928" s="21" t="n">
        <x:v>2595</x:v>
      </x:c>
      <x:c r="I1928" s="17" t="str">
        <x:v>Followup</x:v>
      </x:c>
    </x:row>
    <x:row r="1929" ht="23" customHeight="1">
      <x:c r="A1929" s="17" t="str">
        <x:v>U01923</x:v>
      </x:c>
      <x:c r="B1929" s="18" t="n">
        <x:v>46293</x:v>
      </x:c>
      <x:c r="C1929" s="17" t="str">
        <x:v>W0135</x:v>
      </x:c>
      <x:c r="D1929" s="17" t="str">
        <x:v>C003</x:v>
      </x:c>
      <x:c r="E1929" s="17" t="str">
        <x:v>CopyStudio</x:v>
      </x:c>
      <x:c r="F1929" s="17" t="str">
        <x:v>Lite</x:v>
      </x:c>
      <x:c r="G1929" s="21" t="n">
        <x:v>24846</x:v>
      </x:c>
      <x:c r="H1929" s="21" t="n">
        <x:v>1884</x:v>
      </x:c>
      <x:c r="I1929" s="17" t="str">
        <x:v>Followup</x:v>
      </x:c>
    </x:row>
    <x:row r="1930" ht="23" customHeight="1">
      <x:c r="A1930" s="17" t="str">
        <x:v>U01924</x:v>
      </x:c>
      <x:c r="B1930" s="18" t="n">
        <x:v>46293</x:v>
      </x:c>
      <x:c r="C1930" s="17" t="str">
        <x:v>W0135</x:v>
      </x:c>
      <x:c r="D1930" s="17" t="str">
        <x:v>C003</x:v>
      </x:c>
      <x:c r="E1930" s="17" t="str">
        <x:v>CopyStudio</x:v>
      </x:c>
      <x:c r="F1930" s="17" t="str">
        <x:v>Lite</x:v>
      </x:c>
      <x:c r="G1930" s="21" t="n">
        <x:v>21022</x:v>
      </x:c>
      <x:c r="H1930" s="21" t="n">
        <x:v>4795</x:v>
      </x:c>
      <x:c r="I1930" s="17" t="str">
        <x:v>Correction</x:v>
      </x:c>
    </x:row>
    <x:row r="1931" ht="23" customHeight="1">
      <x:c r="A1931" s="17" t="str">
        <x:v>U01925</x:v>
      </x:c>
      <x:c r="B1931" s="18" t="n">
        <x:v>46293</x:v>
      </x:c>
      <x:c r="C1931" s="17" t="str">
        <x:v>W0135</x:v>
      </x:c>
      <x:c r="D1931" s="17" t="str">
        <x:v>C003</x:v>
      </x:c>
      <x:c r="E1931" s="17" t="str">
        <x:v>CopyStudio</x:v>
      </x:c>
      <x:c r="F1931" s="17" t="str">
        <x:v>Lite</x:v>
      </x:c>
      <x:c r="G1931" s="21" t="n">
        <x:v>25873</x:v>
      </x:c>
      <x:c r="H1931" s="21" t="n">
        <x:v>2973</x:v>
      </x:c>
      <x:c r="I1931" s="17" t="str">
        <x:v>Followup</x:v>
      </x:c>
    </x:row>
    <x:row r="1932" ht="23" customHeight="1">
      <x:c r="A1932" s="17" t="str">
        <x:v>U01926</x:v>
      </x:c>
      <x:c r="B1932" s="18" t="n">
        <x:v>46293</x:v>
      </x:c>
      <x:c r="C1932" s="17" t="str">
        <x:v>W0135</x:v>
      </x:c>
      <x:c r="D1932" s="17" t="str">
        <x:v>C003</x:v>
      </x:c>
      <x:c r="E1932" s="17" t="str">
        <x:v>CopyStudio</x:v>
      </x:c>
      <x:c r="F1932" s="17" t="str">
        <x:v>Lite</x:v>
      </x:c>
      <x:c r="G1932" s="21" t="n">
        <x:v>20694</x:v>
      </x:c>
      <x:c r="H1932" s="21" t="n">
        <x:v>7211</x:v>
      </x:c>
      <x:c r="I1932" s="17" t="str">
        <x:v>Correction</x:v>
      </x:c>
    </x:row>
    <x:row r="1933" ht="23" customHeight="1">
      <x:c r="A1933" s="17" t="str">
        <x:v>U01927</x:v>
      </x:c>
      <x:c r="B1933" s="18" t="n">
        <x:v>46294</x:v>
      </x:c>
      <x:c r="C1933" s="17" t="str">
        <x:v>W0135</x:v>
      </x:c>
      <x:c r="D1933" s="17" t="str">
        <x:v>C003</x:v>
      </x:c>
      <x:c r="E1933" s="17" t="str">
        <x:v>CopyStudio</x:v>
      </x:c>
      <x:c r="F1933" s="17" t="str">
        <x:v>Lite</x:v>
      </x:c>
      <x:c r="G1933" s="21" t="n">
        <x:v>24531</x:v>
      </x:c>
      <x:c r="H1933" s="21" t="n">
        <x:v>1989</x:v>
      </x:c>
      <x:c r="I1933" s="17" t="str">
        <x:v>Followup</x:v>
      </x:c>
    </x:row>
    <x:row r="1934" ht="23" customHeight="1">
      <x:c r="A1934" s="17" t="str">
        <x:v>U01928</x:v>
      </x:c>
      <x:c r="B1934" s="18" t="n">
        <x:v>46294</x:v>
      </x:c>
      <x:c r="C1934" s="17" t="str">
        <x:v>W0135</x:v>
      </x:c>
      <x:c r="D1934" s="17" t="str">
        <x:v>C003</x:v>
      </x:c>
      <x:c r="E1934" s="17" t="str">
        <x:v>CopyStudio</x:v>
      </x:c>
      <x:c r="F1934" s="17" t="str">
        <x:v>Lite</x:v>
      </x:c>
      <x:c r="G1934" s="21" t="n">
        <x:v>30236</x:v>
      </x:c>
      <x:c r="H1934" s="21" t="n">
        <x:v>5910</x:v>
      </x:c>
      <x:c r="I1934" s="17" t="str">
        <x:v>Followup</x:v>
      </x:c>
    </x:row>
    <x:row r="1935" ht="23" customHeight="1">
      <x:c r="A1935" s="17" t="str">
        <x:v>U01929</x:v>
      </x:c>
      <x:c r="B1935" s="18" t="n">
        <x:v>46294</x:v>
      </x:c>
      <x:c r="C1935" s="17" t="str">
        <x:v>W0135</x:v>
      </x:c>
      <x:c r="D1935" s="17" t="str">
        <x:v>C003</x:v>
      </x:c>
      <x:c r="E1935" s="17" t="str">
        <x:v>CopyStudio</x:v>
      </x:c>
      <x:c r="F1935" s="17" t="str">
        <x:v>Lite</x:v>
      </x:c>
      <x:c r="G1935" s="21" t="n">
        <x:v>30303</x:v>
      </x:c>
      <x:c r="H1935" s="21" t="n">
        <x:v>6536</x:v>
      </x:c>
      <x:c r="I1935" s="17" t="str">
        <x:v>Followup</x:v>
      </x:c>
    </x:row>
    <x:row r="1936" ht="23" customHeight="1">
      <x:c r="A1936" s="17" t="str">
        <x:v>U01930</x:v>
      </x:c>
      <x:c r="B1936" s="18" t="n">
        <x:v>46294</x:v>
      </x:c>
      <x:c r="C1936" s="17" t="str">
        <x:v>W0135</x:v>
      </x:c>
      <x:c r="D1936" s="17" t="str">
        <x:v>C003</x:v>
      </x:c>
      <x:c r="E1936" s="17" t="str">
        <x:v>CopyStudio</x:v>
      </x:c>
      <x:c r="F1936" s="17" t="str">
        <x:v>Lite</x:v>
      </x:c>
      <x:c r="G1936" s="21" t="n">
        <x:v>28114</x:v>
      </x:c>
      <x:c r="H1936" s="21" t="n">
        <x:v>5583</x:v>
      </x:c>
      <x:c r="I1936" s="17" t="str">
        <x:v>Followup</x:v>
      </x:c>
    </x:row>
    <x:row r="1937" ht="23" customHeight="1">
      <x:c r="A1937" s="17" t="str">
        <x:v>U01931</x:v>
      </x:c>
      <x:c r="B1937" s="18" t="n">
        <x:v>46295</x:v>
      </x:c>
      <x:c r="C1937" s="17" t="str">
        <x:v>W0135</x:v>
      </x:c>
      <x:c r="D1937" s="17" t="str">
        <x:v>C003</x:v>
      </x:c>
      <x:c r="E1937" s="17" t="str">
        <x:v>CopyStudio</x:v>
      </x:c>
      <x:c r="F1937" s="17" t="str">
        <x:v>Lite</x:v>
      </x:c>
      <x:c r="G1937" s="21" t="n">
        <x:v>33935</x:v>
      </x:c>
      <x:c r="H1937" s="21" t="n">
        <x:v>6296</x:v>
      </x:c>
      <x:c r="I1937" s="17" t="str">
        <x:v>Correction</x:v>
      </x:c>
    </x:row>
    <x:row r="1938" ht="23" customHeight="1">
      <x:c r="A1938" s="17" t="str">
        <x:v>U01932</x:v>
      </x:c>
      <x:c r="B1938" s="18" t="n">
        <x:v>46295</x:v>
      </x:c>
      <x:c r="C1938" s="17" t="str">
        <x:v>W0135</x:v>
      </x:c>
      <x:c r="D1938" s="17" t="str">
        <x:v>C003</x:v>
      </x:c>
      <x:c r="E1938" s="17" t="str">
        <x:v>CopyStudio</x:v>
      </x:c>
      <x:c r="F1938" s="17" t="str">
        <x:v>Lite</x:v>
      </x:c>
      <x:c r="G1938" s="21" t="n">
        <x:v>18099</x:v>
      </x:c>
      <x:c r="H1938" s="21" t="n">
        <x:v>7171</x:v>
      </x:c>
      <x:c r="I1938" s="17" t="str">
        <x:v>Followup</x:v>
      </x:c>
    </x:row>
    <x:row r="1939" ht="23" customHeight="1">
      <x:c r="A1939" s="17" t="str">
        <x:v>U01933</x:v>
      </x:c>
      <x:c r="B1939" s="18" t="n">
        <x:v>46295</x:v>
      </x:c>
      <x:c r="C1939" s="17" t="str">
        <x:v>W0135</x:v>
      </x:c>
      <x:c r="D1939" s="17" t="str">
        <x:v>C003</x:v>
      </x:c>
      <x:c r="E1939" s="17" t="str">
        <x:v>CopyStudio</x:v>
      </x:c>
      <x:c r="F1939" s="17" t="str">
        <x:v>Lite</x:v>
      </x:c>
      <x:c r="G1939" s="21" t="n">
        <x:v>23976</x:v>
      </x:c>
      <x:c r="H1939" s="21" t="n">
        <x:v>5019</x:v>
      </x:c>
      <x:c r="I1939" s="17" t="str">
        <x:v>Correction</x:v>
      </x:c>
    </x:row>
    <x:row r="1940" ht="23" customHeight="1">
      <x:c r="A1940" s="17" t="str">
        <x:v>U01934</x:v>
      </x:c>
      <x:c r="B1940" s="18" t="n">
        <x:v>46275</x:v>
      </x:c>
      <x:c r="C1940" s="17" t="str">
        <x:v>W0136</x:v>
      </x:c>
      <x:c r="D1940" s="17" t="str">
        <x:v>C003</x:v>
      </x:c>
      <x:c r="E1940" s="17" t="str">
        <x:v>CopyStudio</x:v>
      </x:c>
      <x:c r="F1940" s="17" t="str">
        <x:v>Lite</x:v>
      </x:c>
      <x:c r="G1940" s="21" t="n">
        <x:v>24615</x:v>
      </x:c>
      <x:c r="H1940" s="21" t="n">
        <x:v>10049</x:v>
      </x:c>
      <x:c r="I1940" s="17" t="str">
        <x:v>First attempt</x:v>
      </x:c>
    </x:row>
    <x:row r="1941" ht="23" customHeight="1">
      <x:c r="A1941" s="17" t="str">
        <x:v>U01935</x:v>
      </x:c>
      <x:c r="B1941" s="18" t="n">
        <x:v>46275</x:v>
      </x:c>
      <x:c r="C1941" s="17" t="str">
        <x:v>W0136</x:v>
      </x:c>
      <x:c r="D1941" s="17" t="str">
        <x:v>C003</x:v>
      </x:c>
      <x:c r="E1941" s="17" t="str">
        <x:v>CopyStudio</x:v>
      </x:c>
      <x:c r="F1941" s="17" t="str">
        <x:v>Lite</x:v>
      </x:c>
      <x:c r="G1941" s="21" t="n">
        <x:v>24450</x:v>
      </x:c>
      <x:c r="H1941" s="21" t="n">
        <x:v>9213</x:v>
      </x:c>
      <x:c r="I1941" s="17" t="str">
        <x:v>Correction</x:v>
      </x:c>
    </x:row>
    <x:row r="1942" ht="23" customHeight="1">
      <x:c r="A1942" s="17" t="str">
        <x:v>U01936</x:v>
      </x:c>
      <x:c r="B1942" s="18" t="n">
        <x:v>46275</x:v>
      </x:c>
      <x:c r="C1942" s="17" t="str">
        <x:v>W0136</x:v>
      </x:c>
      <x:c r="D1942" s="17" t="str">
        <x:v>C003</x:v>
      </x:c>
      <x:c r="E1942" s="17" t="str">
        <x:v>CopyStudio</x:v>
      </x:c>
      <x:c r="F1942" s="17" t="str">
        <x:v>Lite</x:v>
      </x:c>
      <x:c r="G1942" s="21" t="n">
        <x:v>27494</x:v>
      </x:c>
      <x:c r="H1942" s="21" t="n">
        <x:v>4177</x:v>
      </x:c>
      <x:c r="I1942" s="17" t="str">
        <x:v>Followup</x:v>
      </x:c>
    </x:row>
    <x:row r="1943" ht="23" customHeight="1">
      <x:c r="A1943" s="17" t="str">
        <x:v>U01937</x:v>
      </x:c>
      <x:c r="B1943" s="18" t="n">
        <x:v>46276</x:v>
      </x:c>
      <x:c r="C1943" s="17" t="str">
        <x:v>W0136</x:v>
      </x:c>
      <x:c r="D1943" s="17" t="str">
        <x:v>C003</x:v>
      </x:c>
      <x:c r="E1943" s="17" t="str">
        <x:v>CopyStudio</x:v>
      </x:c>
      <x:c r="F1943" s="17" t="str">
        <x:v>Lite</x:v>
      </x:c>
      <x:c r="G1943" s="21" t="n">
        <x:v>29842</x:v>
      </x:c>
      <x:c r="H1943" s="21" t="n">
        <x:v>5609</x:v>
      </x:c>
      <x:c r="I1943" s="17" t="str">
        <x:v>Followup</x:v>
      </x:c>
    </x:row>
    <x:row r="1944" ht="23" customHeight="1">
      <x:c r="A1944" s="17" t="str">
        <x:v>U01938</x:v>
      </x:c>
      <x:c r="B1944" s="18" t="n">
        <x:v>46276</x:v>
      </x:c>
      <x:c r="C1944" s="17" t="str">
        <x:v>W0136</x:v>
      </x:c>
      <x:c r="D1944" s="17" t="str">
        <x:v>C003</x:v>
      </x:c>
      <x:c r="E1944" s="17" t="str">
        <x:v>CopyStudio</x:v>
      </x:c>
      <x:c r="F1944" s="17" t="str">
        <x:v>Lite</x:v>
      </x:c>
      <x:c r="G1944" s="21" t="n">
        <x:v>18009</x:v>
      </x:c>
      <x:c r="H1944" s="21" t="n">
        <x:v>8231</x:v>
      </x:c>
      <x:c r="I1944" s="17" t="str">
        <x:v>Followup</x:v>
      </x:c>
    </x:row>
    <x:row r="1945" ht="23" customHeight="1">
      <x:c r="A1945" s="17" t="str">
        <x:v>U01939</x:v>
      </x:c>
      <x:c r="B1945" s="18" t="n">
        <x:v>46276</x:v>
      </x:c>
      <x:c r="C1945" s="17" t="str">
        <x:v>W0136</x:v>
      </x:c>
      <x:c r="D1945" s="17" t="str">
        <x:v>C003</x:v>
      </x:c>
      <x:c r="E1945" s="17" t="str">
        <x:v>CopyStudio</x:v>
      </x:c>
      <x:c r="F1945" s="17" t="str">
        <x:v>Lite</x:v>
      </x:c>
      <x:c r="G1945" s="21" t="n">
        <x:v>20279</x:v>
      </x:c>
      <x:c r="H1945" s="21" t="n">
        <x:v>4290</x:v>
      </x:c>
      <x:c r="I1945" s="17" t="str">
        <x:v>Followup</x:v>
      </x:c>
    </x:row>
    <x:row r="1946" ht="23" customHeight="1">
      <x:c r="A1946" s="17" t="str">
        <x:v>U01940</x:v>
      </x:c>
      <x:c r="B1946" s="18" t="n">
        <x:v>46279</x:v>
      </x:c>
      <x:c r="C1946" s="17" t="str">
        <x:v>W0136</x:v>
      </x:c>
      <x:c r="D1946" s="17" t="str">
        <x:v>C003</x:v>
      </x:c>
      <x:c r="E1946" s="17" t="str">
        <x:v>CopyStudio</x:v>
      </x:c>
      <x:c r="F1946" s="17" t="str">
        <x:v>Lite</x:v>
      </x:c>
      <x:c r="G1946" s="21" t="n">
        <x:v>12831</x:v>
      </x:c>
      <x:c r="H1946" s="21" t="n">
        <x:v>6285</x:v>
      </x:c>
      <x:c r="I1946" s="17" t="str">
        <x:v>Followup</x:v>
      </x:c>
    </x:row>
    <x:row r="1947" ht="23" customHeight="1">
      <x:c r="A1947" s="17" t="str">
        <x:v>U01941</x:v>
      </x:c>
      <x:c r="B1947" s="18" t="n">
        <x:v>46279</x:v>
      </x:c>
      <x:c r="C1947" s="17" t="str">
        <x:v>W0136</x:v>
      </x:c>
      <x:c r="D1947" s="17" t="str">
        <x:v>C003</x:v>
      </x:c>
      <x:c r="E1947" s="17" t="str">
        <x:v>CopyStudio</x:v>
      </x:c>
      <x:c r="F1947" s="17" t="str">
        <x:v>Lite</x:v>
      </x:c>
      <x:c r="G1947" s="21" t="n">
        <x:v>28023</x:v>
      </x:c>
      <x:c r="H1947" s="21" t="n">
        <x:v>8691</x:v>
      </x:c>
      <x:c r="I1947" s="17" t="str">
        <x:v>Correction</x:v>
      </x:c>
    </x:row>
    <x:row r="1948" ht="23" customHeight="1">
      <x:c r="A1948" s="17" t="str">
        <x:v>U01942</x:v>
      </x:c>
      <x:c r="B1948" s="18" t="n">
        <x:v>46279</x:v>
      </x:c>
      <x:c r="C1948" s="17" t="str">
        <x:v>W0136</x:v>
      </x:c>
      <x:c r="D1948" s="17" t="str">
        <x:v>C003</x:v>
      </x:c>
      <x:c r="E1948" s="17" t="str">
        <x:v>CopyStudio</x:v>
      </x:c>
      <x:c r="F1948" s="17" t="str">
        <x:v>Lite</x:v>
      </x:c>
      <x:c r="G1948" s="21" t="n">
        <x:v>17152</x:v>
      </x:c>
      <x:c r="H1948" s="21" t="n">
        <x:v>4126</x:v>
      </x:c>
      <x:c r="I1948" s="17" t="str">
        <x:v>Followup</x:v>
      </x:c>
    </x:row>
    <x:row r="1949" ht="23" customHeight="1">
      <x:c r="A1949" s="17" t="str">
        <x:v>U01943</x:v>
      </x:c>
      <x:c r="B1949" s="18" t="n">
        <x:v>46280</x:v>
      </x:c>
      <x:c r="C1949" s="17" t="str">
        <x:v>W0136</x:v>
      </x:c>
      <x:c r="D1949" s="17" t="str">
        <x:v>C003</x:v>
      </x:c>
      <x:c r="E1949" s="17" t="str">
        <x:v>CopyStudio</x:v>
      </x:c>
      <x:c r="F1949" s="17" t="str">
        <x:v>Lite</x:v>
      </x:c>
      <x:c r="G1949" s="21" t="n">
        <x:v>19318</x:v>
      </x:c>
      <x:c r="H1949" s="21" t="n">
        <x:v>8752</x:v>
      </x:c>
      <x:c r="I1949" s="17" t="str">
        <x:v>Followup</x:v>
      </x:c>
    </x:row>
    <x:row r="1950" ht="23" customHeight="1">
      <x:c r="A1950" s="17" t="str">
        <x:v>U01944</x:v>
      </x:c>
      <x:c r="B1950" s="18" t="n">
        <x:v>46280</x:v>
      </x:c>
      <x:c r="C1950" s="17" t="str">
        <x:v>W0136</x:v>
      </x:c>
      <x:c r="D1950" s="17" t="str">
        <x:v>C003</x:v>
      </x:c>
      <x:c r="E1950" s="17" t="str">
        <x:v>CopyStudio</x:v>
      </x:c>
      <x:c r="F1950" s="17" t="str">
        <x:v>Lite</x:v>
      </x:c>
      <x:c r="G1950" s="21" t="n">
        <x:v>23595</x:v>
      </x:c>
      <x:c r="H1950" s="21" t="n">
        <x:v>5736</x:v>
      </x:c>
      <x:c r="I1950" s="17" t="str">
        <x:v>Correction</x:v>
      </x:c>
    </x:row>
    <x:row r="1951" ht="23" customHeight="1">
      <x:c r="A1951" s="17" t="str">
        <x:v>U01945</x:v>
      </x:c>
      <x:c r="B1951" s="18" t="n">
        <x:v>46280</x:v>
      </x:c>
      <x:c r="C1951" s="17" t="str">
        <x:v>W0136</x:v>
      </x:c>
      <x:c r="D1951" s="17" t="str">
        <x:v>C003</x:v>
      </x:c>
      <x:c r="E1951" s="17" t="str">
        <x:v>CopyStudio</x:v>
      </x:c>
      <x:c r="F1951" s="17" t="str">
        <x:v>Lite</x:v>
      </x:c>
      <x:c r="G1951" s="21" t="n">
        <x:v>14016</x:v>
      </x:c>
      <x:c r="H1951" s="21" t="n">
        <x:v>7158</x:v>
      </x:c>
      <x:c r="I1951" s="17" t="str">
        <x:v>Followup</x:v>
      </x:c>
    </x:row>
    <x:row r="1952" ht="23" customHeight="1">
      <x:c r="A1952" s="17" t="str">
        <x:v>U01946</x:v>
      </x:c>
      <x:c r="B1952" s="18" t="n">
        <x:v>46286</x:v>
      </x:c>
      <x:c r="C1952" s="17" t="str">
        <x:v>W0137</x:v>
      </x:c>
      <x:c r="D1952" s="17" t="str">
        <x:v>C003</x:v>
      </x:c>
      <x:c r="E1952" s="17" t="str">
        <x:v>CampaignChat</x:v>
      </x:c>
      <x:c r="F1952" s="17" t="str">
        <x:v>Lite</x:v>
      </x:c>
      <x:c r="G1952" s="21" t="n">
        <x:v>22221</x:v>
      </x:c>
      <x:c r="H1952" s="21" t="n">
        <x:v>6230</x:v>
      </x:c>
      <x:c r="I1952" s="17" t="str">
        <x:v>First attempt</x:v>
      </x:c>
    </x:row>
    <x:row r="1953" ht="23" customHeight="1">
      <x:c r="A1953" s="17" t="str">
        <x:v>U01947</x:v>
      </x:c>
      <x:c r="B1953" s="18" t="n">
        <x:v>46286</x:v>
      </x:c>
      <x:c r="C1953" s="17" t="str">
        <x:v>W0137</x:v>
      </x:c>
      <x:c r="D1953" s="17" t="str">
        <x:v>C003</x:v>
      </x:c>
      <x:c r="E1953" s="17" t="str">
        <x:v>CampaignChat</x:v>
      </x:c>
      <x:c r="F1953" s="17" t="str">
        <x:v>Lite</x:v>
      </x:c>
      <x:c r="G1953" s="21" t="n">
        <x:v>24648</x:v>
      </x:c>
      <x:c r="H1953" s="21" t="n">
        <x:v>6395</x:v>
      </x:c>
      <x:c r="I1953" s="17" t="str">
        <x:v>Correction</x:v>
      </x:c>
    </x:row>
    <x:row r="1954" ht="23" customHeight="1">
      <x:c r="A1954" s="17" t="str">
        <x:v>U01948</x:v>
      </x:c>
      <x:c r="B1954" s="18" t="n">
        <x:v>46286</x:v>
      </x:c>
      <x:c r="C1954" s="17" t="str">
        <x:v>W0137</x:v>
      </x:c>
      <x:c r="D1954" s="17" t="str">
        <x:v>C003</x:v>
      </x:c>
      <x:c r="E1954" s="17" t="str">
        <x:v>CampaignChat</x:v>
      </x:c>
      <x:c r="F1954" s="17" t="str">
        <x:v>Lite</x:v>
      </x:c>
      <x:c r="G1954" s="21" t="n">
        <x:v>14200</x:v>
      </x:c>
      <x:c r="H1954" s="21" t="n">
        <x:v>2064</x:v>
      </x:c>
      <x:c r="I1954" s="17" t="str">
        <x:v>Followup</x:v>
      </x:c>
    </x:row>
    <x:row r="1955" ht="23" customHeight="1">
      <x:c r="A1955" s="17" t="str">
        <x:v>U01949</x:v>
      </x:c>
      <x:c r="B1955" s="18" t="n">
        <x:v>46287</x:v>
      </x:c>
      <x:c r="C1955" s="17" t="str">
        <x:v>W0137</x:v>
      </x:c>
      <x:c r="D1955" s="17" t="str">
        <x:v>C003</x:v>
      </x:c>
      <x:c r="E1955" s="17" t="str">
        <x:v>CampaignChat</x:v>
      </x:c>
      <x:c r="F1955" s="17" t="str">
        <x:v>Lite</x:v>
      </x:c>
      <x:c r="G1955" s="21" t="n">
        <x:v>11359</x:v>
      </x:c>
      <x:c r="H1955" s="21" t="n">
        <x:v>1819</x:v>
      </x:c>
      <x:c r="I1955" s="17" t="str">
        <x:v>Followup</x:v>
      </x:c>
    </x:row>
    <x:row r="1956" ht="23" customHeight="1">
      <x:c r="A1956" s="17" t="str">
        <x:v>U01950</x:v>
      </x:c>
      <x:c r="B1956" s="18" t="n">
        <x:v>46287</x:v>
      </x:c>
      <x:c r="C1956" s="17" t="str">
        <x:v>W0137</x:v>
      </x:c>
      <x:c r="D1956" s="17" t="str">
        <x:v>C003</x:v>
      </x:c>
      <x:c r="E1956" s="17" t="str">
        <x:v>CampaignChat</x:v>
      </x:c>
      <x:c r="F1956" s="17" t="str">
        <x:v>Lite</x:v>
      </x:c>
      <x:c r="G1956" s="21" t="n">
        <x:v>26979</x:v>
      </x:c>
      <x:c r="H1956" s="21" t="n">
        <x:v>5709</x:v>
      </x:c>
      <x:c r="I1956" s="17" t="str">
        <x:v>Correction</x:v>
      </x:c>
    </x:row>
    <x:row r="1957" ht="23" customHeight="1">
      <x:c r="A1957" s="17" t="str">
        <x:v>U01951</x:v>
      </x:c>
      <x:c r="B1957" s="18" t="n">
        <x:v>46288</x:v>
      </x:c>
      <x:c r="C1957" s="17" t="str">
        <x:v>W0137</x:v>
      </x:c>
      <x:c r="D1957" s="17" t="str">
        <x:v>C003</x:v>
      </x:c>
      <x:c r="E1957" s="17" t="str">
        <x:v>CampaignChat</x:v>
      </x:c>
      <x:c r="F1957" s="17" t="str">
        <x:v>Lite</x:v>
      </x:c>
      <x:c r="G1957" s="21" t="n">
        <x:v>14830</x:v>
      </x:c>
      <x:c r="H1957" s="21" t="n">
        <x:v>2933</x:v>
      </x:c>
      <x:c r="I1957" s="17" t="str">
        <x:v>Followup</x:v>
      </x:c>
    </x:row>
    <x:row r="1958" ht="23" customHeight="1">
      <x:c r="A1958" s="17" t="str">
        <x:v>U01952</x:v>
      </x:c>
      <x:c r="B1958" s="18" t="n">
        <x:v>46288</x:v>
      </x:c>
      <x:c r="C1958" s="17" t="str">
        <x:v>W0137</x:v>
      </x:c>
      <x:c r="D1958" s="17" t="str">
        <x:v>C003</x:v>
      </x:c>
      <x:c r="E1958" s="17" t="str">
        <x:v>CampaignChat</x:v>
      </x:c>
      <x:c r="F1958" s="17" t="str">
        <x:v>Lite</x:v>
      </x:c>
      <x:c r="G1958" s="21" t="n">
        <x:v>27496</x:v>
      </x:c>
      <x:c r="H1958" s="21" t="n">
        <x:v>4166</x:v>
      </x:c>
      <x:c r="I1958" s="17" t="str">
        <x:v>Followup</x:v>
      </x:c>
    </x:row>
    <x:row r="1959" ht="23" customHeight="1">
      <x:c r="A1959" s="17" t="str">
        <x:v>U01953</x:v>
      </x:c>
      <x:c r="B1959" s="18" t="n">
        <x:v>46289</x:v>
      </x:c>
      <x:c r="C1959" s="17" t="str">
        <x:v>W0137</x:v>
      </x:c>
      <x:c r="D1959" s="17" t="str">
        <x:v>C003</x:v>
      </x:c>
      <x:c r="E1959" s="17" t="str">
        <x:v>CampaignChat</x:v>
      </x:c>
      <x:c r="F1959" s="17" t="str">
        <x:v>Lite</x:v>
      </x:c>
      <x:c r="G1959" s="21" t="n">
        <x:v>12883</x:v>
      </x:c>
      <x:c r="H1959" s="21" t="n">
        <x:v>4810</x:v>
      </x:c>
      <x:c r="I1959" s="17" t="str">
        <x:v>Followup</x:v>
      </x:c>
    </x:row>
    <x:row r="1960" ht="23" customHeight="1">
      <x:c r="A1960" s="17" t="str">
        <x:v>U01954</x:v>
      </x:c>
      <x:c r="B1960" s="18" t="n">
        <x:v>46289</x:v>
      </x:c>
      <x:c r="C1960" s="17" t="str">
        <x:v>W0137</x:v>
      </x:c>
      <x:c r="D1960" s="17" t="str">
        <x:v>C003</x:v>
      </x:c>
      <x:c r="E1960" s="17" t="str">
        <x:v>CampaignChat</x:v>
      </x:c>
      <x:c r="F1960" s="17" t="str">
        <x:v>Lite</x:v>
      </x:c>
      <x:c r="G1960" s="21" t="n">
        <x:v>16314</x:v>
      </x:c>
      <x:c r="H1960" s="21" t="n">
        <x:v>3588</x:v>
      </x:c>
      <x:c r="I1960" s="17" t="str">
        <x:v>Followup</x:v>
      </x:c>
    </x:row>
    <x:row r="1961" ht="23" customHeight="1">
      <x:c r="A1961" s="17" t="str">
        <x:v>U01955</x:v>
      </x:c>
      <x:c r="B1961" s="18" t="n">
        <x:v>46289</x:v>
      </x:c>
      <x:c r="C1961" s="17" t="str">
        <x:v>W0140</x:v>
      </x:c>
      <x:c r="D1961" s="17" t="str">
        <x:v>C003</x:v>
      </x:c>
      <x:c r="E1961" s="17" t="str">
        <x:v>DataFlow</x:v>
      </x:c>
      <x:c r="F1961" s="17" t="str">
        <x:v>Lite</x:v>
      </x:c>
      <x:c r="G1961" s="21" t="n">
        <x:v>18742</x:v>
      </x:c>
      <x:c r="H1961" s="21" t="n">
        <x:v>4469</x:v>
      </x:c>
      <x:c r="I1961" s="17" t="str">
        <x:v>First attempt</x:v>
      </x:c>
    </x:row>
    <x:row r="1962" ht="23" customHeight="1">
      <x:c r="A1962" s="17" t="str">
        <x:v>U01956</x:v>
      </x:c>
      <x:c r="B1962" s="18" t="n">
        <x:v>46289</x:v>
      </x:c>
      <x:c r="C1962" s="17" t="str">
        <x:v>W0140</x:v>
      </x:c>
      <x:c r="D1962" s="17" t="str">
        <x:v>C003</x:v>
      </x:c>
      <x:c r="E1962" s="17" t="str">
        <x:v>DataFlow</x:v>
      </x:c>
      <x:c r="F1962" s="17" t="str">
        <x:v>Lite</x:v>
      </x:c>
      <x:c r="G1962" s="21" t="n">
        <x:v>33454</x:v>
      </x:c>
      <x:c r="H1962" s="21" t="n">
        <x:v>5803</x:v>
      </x:c>
      <x:c r="I1962" s="17" t="str">
        <x:v>Followup</x:v>
      </x:c>
    </x:row>
    <x:row r="1963" ht="23" customHeight="1">
      <x:c r="A1963" s="17" t="str">
        <x:v>U01957</x:v>
      </x:c>
      <x:c r="B1963" s="18" t="n">
        <x:v>46289</x:v>
      </x:c>
      <x:c r="C1963" s="17" t="str">
        <x:v>W0140</x:v>
      </x:c>
      <x:c r="D1963" s="17" t="str">
        <x:v>C003</x:v>
      </x:c>
      <x:c r="E1963" s="17" t="str">
        <x:v>DataFlow</x:v>
      </x:c>
      <x:c r="F1963" s="17" t="str">
        <x:v>Lite</x:v>
      </x:c>
      <x:c r="G1963" s="21" t="n">
        <x:v>21868</x:v>
      </x:c>
      <x:c r="H1963" s="21" t="n">
        <x:v>5848</x:v>
      </x:c>
      <x:c r="I1963" s="17" t="str">
        <x:v>Followup</x:v>
      </x:c>
    </x:row>
    <x:row r="1964" ht="23" customHeight="1">
      <x:c r="A1964" s="17" t="str">
        <x:v>U01958</x:v>
      </x:c>
      <x:c r="B1964" s="18" t="n">
        <x:v>46289</x:v>
      </x:c>
      <x:c r="C1964" s="17" t="str">
        <x:v>W0140</x:v>
      </x:c>
      <x:c r="D1964" s="17" t="str">
        <x:v>C003</x:v>
      </x:c>
      <x:c r="E1964" s="17" t="str">
        <x:v>DataFlow</x:v>
      </x:c>
      <x:c r="F1964" s="17" t="str">
        <x:v>Lite</x:v>
      </x:c>
      <x:c r="G1964" s="21" t="n">
        <x:v>32336</x:v>
      </x:c>
      <x:c r="H1964" s="21" t="n">
        <x:v>9489</x:v>
      </x:c>
      <x:c r="I1964" s="17" t="str">
        <x:v>Followup</x:v>
      </x:c>
    </x:row>
    <x:row r="1965" ht="23" customHeight="1">
      <x:c r="A1965" s="17" t="str">
        <x:v>U01959</x:v>
      </x:c>
      <x:c r="B1965" s="18" t="n">
        <x:v>46289</x:v>
      </x:c>
      <x:c r="C1965" s="17" t="str">
        <x:v>W0140</x:v>
      </x:c>
      <x:c r="D1965" s="17" t="str">
        <x:v>C003</x:v>
      </x:c>
      <x:c r="E1965" s="17" t="str">
        <x:v>DataFlow</x:v>
      </x:c>
      <x:c r="F1965" s="17" t="str">
        <x:v>Lite</x:v>
      </x:c>
      <x:c r="G1965" s="21" t="n">
        <x:v>24111</x:v>
      </x:c>
      <x:c r="H1965" s="21" t="n">
        <x:v>5993</x:v>
      </x:c>
      <x:c r="I1965" s="17" t="str">
        <x:v>Correction</x:v>
      </x:c>
    </x:row>
    <x:row r="1966" ht="23" customHeight="1">
      <x:c r="A1966" s="17" t="str">
        <x:v>U01960</x:v>
      </x:c>
      <x:c r="B1966" s="18" t="n">
        <x:v>46290</x:v>
      </x:c>
      <x:c r="C1966" s="17" t="str">
        <x:v>W0140</x:v>
      </x:c>
      <x:c r="D1966" s="17" t="str">
        <x:v>C003</x:v>
      </x:c>
      <x:c r="E1966" s="17" t="str">
        <x:v>DataFlow</x:v>
      </x:c>
      <x:c r="F1966" s="17" t="str">
        <x:v>Lite</x:v>
      </x:c>
      <x:c r="G1966" s="21" t="n">
        <x:v>32474</x:v>
      </x:c>
      <x:c r="H1966" s="21" t="n">
        <x:v>10623</x:v>
      </x:c>
      <x:c r="I1966" s="17" t="str">
        <x:v>Followup</x:v>
      </x:c>
    </x:row>
    <x:row r="1967" ht="23" customHeight="1">
      <x:c r="A1967" s="17" t="str">
        <x:v>U01961</x:v>
      </x:c>
      <x:c r="B1967" s="18" t="n">
        <x:v>46290</x:v>
      </x:c>
      <x:c r="C1967" s="17" t="str">
        <x:v>W0140</x:v>
      </x:c>
      <x:c r="D1967" s="17" t="str">
        <x:v>C003</x:v>
      </x:c>
      <x:c r="E1967" s="17" t="str">
        <x:v>DataFlow</x:v>
      </x:c>
      <x:c r="F1967" s="17" t="str">
        <x:v>Lite</x:v>
      </x:c>
      <x:c r="G1967" s="21" t="n">
        <x:v>32782</x:v>
      </x:c>
      <x:c r="H1967" s="21" t="n">
        <x:v>6141</x:v>
      </x:c>
      <x:c r="I1967" s="17" t="str">
        <x:v>Followup</x:v>
      </x:c>
    </x:row>
    <x:row r="1968" ht="23" customHeight="1">
      <x:c r="A1968" s="17" t="str">
        <x:v>U01962</x:v>
      </x:c>
      <x:c r="B1968" s="18" t="n">
        <x:v>46290</x:v>
      </x:c>
      <x:c r="C1968" s="17" t="str">
        <x:v>W0140</x:v>
      </x:c>
      <x:c r="D1968" s="17" t="str">
        <x:v>C003</x:v>
      </x:c>
      <x:c r="E1968" s="17" t="str">
        <x:v>DataFlow</x:v>
      </x:c>
      <x:c r="F1968" s="17" t="str">
        <x:v>Lite</x:v>
      </x:c>
      <x:c r="G1968" s="21" t="n">
        <x:v>15684</x:v>
      </x:c>
      <x:c r="H1968" s="21" t="n">
        <x:v>4244</x:v>
      </x:c>
      <x:c r="I1968" s="17" t="str">
        <x:v>Correction</x:v>
      </x:c>
    </x:row>
    <x:row r="1969" ht="23" customHeight="1">
      <x:c r="A1969" s="17" t="str">
        <x:v>U01963</x:v>
      </x:c>
      <x:c r="B1969" s="18" t="n">
        <x:v>46290</x:v>
      </x:c>
      <x:c r="C1969" s="17" t="str">
        <x:v>W0140</x:v>
      </x:c>
      <x:c r="D1969" s="17" t="str">
        <x:v>C003</x:v>
      </x:c>
      <x:c r="E1969" s="17" t="str">
        <x:v>DataFlow</x:v>
      </x:c>
      <x:c r="F1969" s="17" t="str">
        <x:v>Lite</x:v>
      </x:c>
      <x:c r="G1969" s="21" t="n">
        <x:v>14990</x:v>
      </x:c>
      <x:c r="H1969" s="21" t="n">
        <x:v>3829</x:v>
      </x:c>
      <x:c r="I1969" s="17" t="str">
        <x:v>Correction</x:v>
      </x:c>
    </x:row>
    <x:row r="1970" ht="23" customHeight="1">
      <x:c r="A1970" s="17" t="str">
        <x:v>U01964</x:v>
      </x:c>
      <x:c r="B1970" s="18" t="n">
        <x:v>46290</x:v>
      </x:c>
      <x:c r="C1970" s="17" t="str">
        <x:v>W0140</x:v>
      </x:c>
      <x:c r="D1970" s="17" t="str">
        <x:v>C003</x:v>
      </x:c>
      <x:c r="E1970" s="17" t="str">
        <x:v>DataFlow</x:v>
      </x:c>
      <x:c r="F1970" s="17" t="str">
        <x:v>Lite</x:v>
      </x:c>
      <x:c r="G1970" s="21" t="n">
        <x:v>36080</x:v>
      </x:c>
      <x:c r="H1970" s="21" t="n">
        <x:v>3957</x:v>
      </x:c>
      <x:c r="I1970" s="17" t="str">
        <x:v>Followup</x:v>
      </x:c>
    </x:row>
    <x:row r="1971" ht="23" customHeight="1">
      <x:c r="A1971" s="17" t="str">
        <x:v>U01965</x:v>
      </x:c>
      <x:c r="B1971" s="18" t="n">
        <x:v>46293</x:v>
      </x:c>
      <x:c r="C1971" s="17" t="str">
        <x:v>W0140</x:v>
      </x:c>
      <x:c r="D1971" s="17" t="str">
        <x:v>C003</x:v>
      </x:c>
      <x:c r="E1971" s="17" t="str">
        <x:v>DataFlow</x:v>
      </x:c>
      <x:c r="F1971" s="17" t="str">
        <x:v>Lite</x:v>
      </x:c>
      <x:c r="G1971" s="21" t="n">
        <x:v>35048</x:v>
      </x:c>
      <x:c r="H1971" s="21" t="n">
        <x:v>4359</x:v>
      </x:c>
      <x:c r="I1971" s="17" t="str">
        <x:v>Followup</x:v>
      </x:c>
    </x:row>
    <x:row r="1972" ht="23" customHeight="1">
      <x:c r="A1972" s="17" t="str">
        <x:v>U01966</x:v>
      </x:c>
      <x:c r="B1972" s="18" t="n">
        <x:v>46293</x:v>
      </x:c>
      <x:c r="C1972" s="17" t="str">
        <x:v>W0140</x:v>
      </x:c>
      <x:c r="D1972" s="17" t="str">
        <x:v>C003</x:v>
      </x:c>
      <x:c r="E1972" s="17" t="str">
        <x:v>DataFlow</x:v>
      </x:c>
      <x:c r="F1972" s="17" t="str">
        <x:v>Lite</x:v>
      </x:c>
      <x:c r="G1972" s="21" t="n">
        <x:v>40772</x:v>
      </x:c>
      <x:c r="H1972" s="21" t="n">
        <x:v>8452</x:v>
      </x:c>
      <x:c r="I1972" s="17" t="str">
        <x:v>Correction</x:v>
      </x:c>
    </x:row>
    <x:row r="1973" ht="23" customHeight="1">
      <x:c r="A1973" s="17" t="str">
        <x:v>U01967</x:v>
      </x:c>
      <x:c r="B1973" s="18" t="n">
        <x:v>46293</x:v>
      </x:c>
      <x:c r="C1973" s="17" t="str">
        <x:v>W0140</x:v>
      </x:c>
      <x:c r="D1973" s="17" t="str">
        <x:v>C003</x:v>
      </x:c>
      <x:c r="E1973" s="17" t="str">
        <x:v>DataFlow</x:v>
      </x:c>
      <x:c r="F1973" s="17" t="str">
        <x:v>Lite</x:v>
      </x:c>
      <x:c r="G1973" s="21" t="n">
        <x:v>17411</x:v>
      </x:c>
      <x:c r="H1973" s="21" t="n">
        <x:v>7345</x:v>
      </x:c>
      <x:c r="I1973" s="17" t="str">
        <x:v>Correction</x:v>
      </x:c>
    </x:row>
    <x:row r="1974" ht="23" customHeight="1">
      <x:c r="A1974" s="17" t="str">
        <x:v>U01968</x:v>
      </x:c>
      <x:c r="B1974" s="18" t="n">
        <x:v>46293</x:v>
      </x:c>
      <x:c r="C1974" s="17" t="str">
        <x:v>W0140</x:v>
      </x:c>
      <x:c r="D1974" s="17" t="str">
        <x:v>C003</x:v>
      </x:c>
      <x:c r="E1974" s="17" t="str">
        <x:v>DataFlow</x:v>
      </x:c>
      <x:c r="F1974" s="17" t="str">
        <x:v>Lite</x:v>
      </x:c>
      <x:c r="G1974" s="21" t="n">
        <x:v>30709</x:v>
      </x:c>
      <x:c r="H1974" s="21" t="n">
        <x:v>10279</x:v>
      </x:c>
      <x:c r="I1974" s="17" t="str">
        <x:v>Followup</x:v>
      </x:c>
    </x:row>
    <x:row r="1975" ht="23" customHeight="1">
      <x:c r="A1975" s="17" t="str">
        <x:v>U01969</x:v>
      </x:c>
      <x:c r="B1975" s="18" t="n">
        <x:v>46293</x:v>
      </x:c>
      <x:c r="C1975" s="17" t="str">
        <x:v>W0140</x:v>
      </x:c>
      <x:c r="D1975" s="17" t="str">
        <x:v>C003</x:v>
      </x:c>
      <x:c r="E1975" s="17" t="str">
        <x:v>DataFlow</x:v>
      </x:c>
      <x:c r="F1975" s="17" t="str">
        <x:v>Lite</x:v>
      </x:c>
      <x:c r="G1975" s="21" t="n">
        <x:v>17648</x:v>
      </x:c>
      <x:c r="H1975" s="21" t="n">
        <x:v>2785</x:v>
      </x:c>
      <x:c r="I1975" s="17" t="str">
        <x:v>Followup</x:v>
      </x:c>
    </x:row>
    <x:row r="1976" ht="23" customHeight="1">
      <x:c r="A1976" s="17" t="str">
        <x:v>U01970</x:v>
      </x:c>
      <x:c r="B1976" s="18" t="n">
        <x:v>46294</x:v>
      </x:c>
      <x:c r="C1976" s="17" t="str">
        <x:v>W0140</x:v>
      </x:c>
      <x:c r="D1976" s="17" t="str">
        <x:v>C003</x:v>
      </x:c>
      <x:c r="E1976" s="17" t="str">
        <x:v>DataFlow</x:v>
      </x:c>
      <x:c r="F1976" s="17" t="str">
        <x:v>Lite</x:v>
      </x:c>
      <x:c r="G1976" s="21" t="n">
        <x:v>41973</x:v>
      </x:c>
      <x:c r="H1976" s="21" t="n">
        <x:v>5302</x:v>
      </x:c>
      <x:c r="I1976" s="17" t="str">
        <x:v>Followup</x:v>
      </x:c>
    </x:row>
    <x:row r="1977" ht="23" customHeight="1">
      <x:c r="A1977" s="17" t="str">
        <x:v>U01971</x:v>
      </x:c>
      <x:c r="B1977" s="18" t="n">
        <x:v>46294</x:v>
      </x:c>
      <x:c r="C1977" s="17" t="str">
        <x:v>W0140</x:v>
      </x:c>
      <x:c r="D1977" s="17" t="str">
        <x:v>C003</x:v>
      </x:c>
      <x:c r="E1977" s="17" t="str">
        <x:v>DataFlow</x:v>
      </x:c>
      <x:c r="F1977" s="17" t="str">
        <x:v>Lite</x:v>
      </x:c>
      <x:c r="G1977" s="21" t="n">
        <x:v>24044</x:v>
      </x:c>
      <x:c r="H1977" s="21" t="n">
        <x:v>4853</x:v>
      </x:c>
      <x:c r="I1977" s="17" t="str">
        <x:v>Followup</x:v>
      </x:c>
    </x:row>
    <x:row r="1978" ht="23" customHeight="1">
      <x:c r="A1978" s="17" t="str">
        <x:v>U01972</x:v>
      </x:c>
      <x:c r="B1978" s="18" t="n">
        <x:v>46294</x:v>
      </x:c>
      <x:c r="C1978" s="17" t="str">
        <x:v>W0140</x:v>
      </x:c>
      <x:c r="D1978" s="17" t="str">
        <x:v>C003</x:v>
      </x:c>
      <x:c r="E1978" s="17" t="str">
        <x:v>DataFlow</x:v>
      </x:c>
      <x:c r="F1978" s="17" t="str">
        <x:v>Lite</x:v>
      </x:c>
      <x:c r="G1978" s="21" t="n">
        <x:v>35342</x:v>
      </x:c>
      <x:c r="H1978" s="21" t="n">
        <x:v>10014</x:v>
      </x:c>
      <x:c r="I1978" s="17" t="str">
        <x:v>Followup</x:v>
      </x:c>
    </x:row>
    <x:row r="1979" ht="23" customHeight="1">
      <x:c r="A1979" s="17" t="str">
        <x:v>U01973</x:v>
      </x:c>
      <x:c r="B1979" s="18" t="n">
        <x:v>46294</x:v>
      </x:c>
      <x:c r="C1979" s="17" t="str">
        <x:v>W0140</x:v>
      </x:c>
      <x:c r="D1979" s="17" t="str">
        <x:v>C003</x:v>
      </x:c>
      <x:c r="E1979" s="17" t="str">
        <x:v>DataFlow</x:v>
      </x:c>
      <x:c r="F1979" s="17" t="str">
        <x:v>Lite</x:v>
      </x:c>
      <x:c r="G1979" s="21" t="n">
        <x:v>41898</x:v>
      </x:c>
      <x:c r="H1979" s="21" t="n">
        <x:v>10691</x:v>
      </x:c>
      <x:c r="I1979" s="17" t="str">
        <x:v>Correction</x:v>
      </x:c>
    </x:row>
    <x:row r="1980" ht="23" customHeight="1">
      <x:c r="A1980" s="17" t="str">
        <x:v>U01974</x:v>
      </x:c>
      <x:c r="B1980" s="18" t="n">
        <x:v>46283</x:v>
      </x:c>
      <x:c r="C1980" s="17" t="str">
        <x:v>W0142</x:v>
      </x:c>
      <x:c r="D1980" s="17" t="str">
        <x:v>C003</x:v>
      </x:c>
      <x:c r="E1980" s="17" t="str">
        <x:v>InsightDesk</x:v>
      </x:c>
      <x:c r="F1980" s="17" t="str">
        <x:v>Lite</x:v>
      </x:c>
      <x:c r="G1980" s="21" t="n">
        <x:v>26748</x:v>
      </x:c>
      <x:c r="H1980" s="21" t="n">
        <x:v>4729</x:v>
      </x:c>
      <x:c r="I1980" s="17" t="str">
        <x:v>First attempt</x:v>
      </x:c>
    </x:row>
    <x:row r="1981" ht="23" customHeight="1">
      <x:c r="A1981" s="17" t="str">
        <x:v>U01975</x:v>
      </x:c>
      <x:c r="B1981" s="18" t="n">
        <x:v>46283</x:v>
      </x:c>
      <x:c r="C1981" s="17" t="str">
        <x:v>W0142</x:v>
      </x:c>
      <x:c r="D1981" s="17" t="str">
        <x:v>C003</x:v>
      </x:c>
      <x:c r="E1981" s="17" t="str">
        <x:v>InsightDesk</x:v>
      </x:c>
      <x:c r="F1981" s="17" t="str">
        <x:v>Lite</x:v>
      </x:c>
      <x:c r="G1981" s="21" t="n">
        <x:v>12979</x:v>
      </x:c>
      <x:c r="H1981" s="21" t="n">
        <x:v>4935</x:v>
      </x:c>
      <x:c r="I1981" s="17" t="str">
        <x:v>Followup</x:v>
      </x:c>
    </x:row>
    <x:row r="1982" ht="23" customHeight="1">
      <x:c r="A1982" s="17" t="str">
        <x:v>U01976</x:v>
      </x:c>
      <x:c r="B1982" s="18" t="n">
        <x:v>46283</x:v>
      </x:c>
      <x:c r="C1982" s="17" t="str">
        <x:v>W0142</x:v>
      </x:c>
      <x:c r="D1982" s="17" t="str">
        <x:v>C003</x:v>
      </x:c>
      <x:c r="E1982" s="17" t="str">
        <x:v>InsightDesk</x:v>
      </x:c>
      <x:c r="F1982" s="17" t="str">
        <x:v>Lite</x:v>
      </x:c>
      <x:c r="G1982" s="21" t="n">
        <x:v>16489</x:v>
      </x:c>
      <x:c r="H1982" s="21" t="n">
        <x:v>4249</x:v>
      </x:c>
      <x:c r="I1982" s="17" t="str">
        <x:v>Followup</x:v>
      </x:c>
    </x:row>
    <x:row r="1983" ht="23" customHeight="1">
      <x:c r="A1983" s="17" t="str">
        <x:v>U01977</x:v>
      </x:c>
      <x:c r="B1983" s="18" t="n">
        <x:v>46286</x:v>
      </x:c>
      <x:c r="C1983" s="17" t="str">
        <x:v>W0142</x:v>
      </x:c>
      <x:c r="D1983" s="17" t="str">
        <x:v>C003</x:v>
      </x:c>
      <x:c r="E1983" s="17" t="str">
        <x:v>InsightDesk</x:v>
      </x:c>
      <x:c r="F1983" s="17" t="str">
        <x:v>Lite</x:v>
      </x:c>
      <x:c r="G1983" s="21" t="n">
        <x:v>30368</x:v>
      </x:c>
      <x:c r="H1983" s="21" t="n">
        <x:v>10707</x:v>
      </x:c>
      <x:c r="I1983" s="17" t="str">
        <x:v>Followup</x:v>
      </x:c>
    </x:row>
    <x:row r="1984" ht="23" customHeight="1">
      <x:c r="A1984" s="17" t="str">
        <x:v>U01978</x:v>
      </x:c>
      <x:c r="B1984" s="18" t="n">
        <x:v>46286</x:v>
      </x:c>
      <x:c r="C1984" s="17" t="str">
        <x:v>W0142</x:v>
      </x:c>
      <x:c r="D1984" s="17" t="str">
        <x:v>C003</x:v>
      </x:c>
      <x:c r="E1984" s="17" t="str">
        <x:v>InsightDesk</x:v>
      </x:c>
      <x:c r="F1984" s="17" t="str">
        <x:v>Lite</x:v>
      </x:c>
      <x:c r="G1984" s="21" t="n">
        <x:v>22624</x:v>
      </x:c>
      <x:c r="H1984" s="21" t="n">
        <x:v>10447</x:v>
      </x:c>
      <x:c r="I1984" s="17" t="str">
        <x:v>Followup</x:v>
      </x:c>
    </x:row>
    <x:row r="1985" ht="23" customHeight="1">
      <x:c r="A1985" s="17" t="str">
        <x:v>U01979</x:v>
      </x:c>
      <x:c r="B1985" s="18" t="n">
        <x:v>46287</x:v>
      </x:c>
      <x:c r="C1985" s="17" t="str">
        <x:v>W0142</x:v>
      </x:c>
      <x:c r="D1985" s="17" t="str">
        <x:v>C003</x:v>
      </x:c>
      <x:c r="E1985" s="17" t="str">
        <x:v>InsightDesk</x:v>
      </x:c>
      <x:c r="F1985" s="17" t="str">
        <x:v>Lite</x:v>
      </x:c>
      <x:c r="G1985" s="21" t="n">
        <x:v>20451</x:v>
      </x:c>
      <x:c r="H1985" s="21" t="n">
        <x:v>10538</x:v>
      </x:c>
      <x:c r="I1985" s="17" t="str">
        <x:v>Followup</x:v>
      </x:c>
    </x:row>
    <x:row r="1986" ht="23" customHeight="1">
      <x:c r="A1986" s="17" t="str">
        <x:v>U01980</x:v>
      </x:c>
      <x:c r="B1986" s="18" t="n">
        <x:v>46287</x:v>
      </x:c>
      <x:c r="C1986" s="17" t="str">
        <x:v>W0142</x:v>
      </x:c>
      <x:c r="D1986" s="17" t="str">
        <x:v>C003</x:v>
      </x:c>
      <x:c r="E1986" s="17" t="str">
        <x:v>InsightDesk</x:v>
      </x:c>
      <x:c r="F1986" s="17" t="str">
        <x:v>Lite</x:v>
      </x:c>
      <x:c r="G1986" s="21" t="n">
        <x:v>19739</x:v>
      </x:c>
      <x:c r="H1986" s="21" t="n">
        <x:v>11449</x:v>
      </x:c>
      <x:c r="I1986" s="17" t="str">
        <x:v>Followup</x:v>
      </x:c>
    </x:row>
    <x:row r="1987" ht="23" customHeight="1">
      <x:c r="A1987" s="17" t="str">
        <x:v>U01981</x:v>
      </x:c>
      <x:c r="B1987" s="18" t="n">
        <x:v>46287</x:v>
      </x:c>
      <x:c r="C1987" s="17" t="str">
        <x:v>W0142</x:v>
      </x:c>
      <x:c r="D1987" s="17" t="str">
        <x:v>C003</x:v>
      </x:c>
      <x:c r="E1987" s="17" t="str">
        <x:v>InsightDesk</x:v>
      </x:c>
      <x:c r="F1987" s="17" t="str">
        <x:v>Lite</x:v>
      </x:c>
      <x:c r="G1987" s="21" t="n">
        <x:v>14288</x:v>
      </x:c>
      <x:c r="H1987" s="21" t="n">
        <x:v>5153</x:v>
      </x:c>
      <x:c r="I1987" s="17" t="str">
        <x:v>Followup</x:v>
      </x:c>
    </x:row>
    <x:row r="1988" ht="23" customHeight="1">
      <x:c r="A1988" s="17" t="str">
        <x:v>U01982</x:v>
      </x:c>
      <x:c r="B1988" s="18" t="n">
        <x:v>46288</x:v>
      </x:c>
      <x:c r="C1988" s="17" t="str">
        <x:v>W0142</x:v>
      </x:c>
      <x:c r="D1988" s="17" t="str">
        <x:v>C003</x:v>
      </x:c>
      <x:c r="E1988" s="17" t="str">
        <x:v>InsightDesk</x:v>
      </x:c>
      <x:c r="F1988" s="17" t="str">
        <x:v>Lite</x:v>
      </x:c>
      <x:c r="G1988" s="21" t="n">
        <x:v>16990</x:v>
      </x:c>
      <x:c r="H1988" s="21" t="n">
        <x:v>4814</x:v>
      </x:c>
      <x:c r="I1988" s="17" t="str">
        <x:v>Correction</x:v>
      </x:c>
    </x:row>
    <x:row r="1989" ht="23" customHeight="1">
      <x:c r="A1989" s="17" t="str">
        <x:v>U01983</x:v>
      </x:c>
      <x:c r="B1989" s="18" t="n">
        <x:v>46288</x:v>
      </x:c>
      <x:c r="C1989" s="17" t="str">
        <x:v>W0142</x:v>
      </x:c>
      <x:c r="D1989" s="17" t="str">
        <x:v>C003</x:v>
      </x:c>
      <x:c r="E1989" s="17" t="str">
        <x:v>InsightDesk</x:v>
      </x:c>
      <x:c r="F1989" s="17" t="str">
        <x:v>Lite</x:v>
      </x:c>
      <x:c r="G1989" s="21" t="n">
        <x:v>26961</x:v>
      </x:c>
      <x:c r="H1989" s="21" t="n">
        <x:v>10467</x:v>
      </x:c>
      <x:c r="I1989" s="17" t="str">
        <x:v>Correction</x:v>
      </x:c>
    </x:row>
    <x:row r="1990" ht="23" customHeight="1">
      <x:c r="A1990" s="17" t="str">
        <x:v>U01984</x:v>
      </x:c>
      <x:c r="B1990" s="18" t="n">
        <x:v>46267</x:v>
      </x:c>
      <x:c r="C1990" s="17" t="str">
        <x:v>W0143</x:v>
      </x:c>
      <x:c r="D1990" s="17" t="str">
        <x:v>C003</x:v>
      </x:c>
      <x:c r="E1990" s="17" t="str">
        <x:v>CopyStudio</x:v>
      </x:c>
      <x:c r="F1990" s="17" t="str">
        <x:v>Lite</x:v>
      </x:c>
      <x:c r="G1990" s="21" t="n">
        <x:v>42411</x:v>
      </x:c>
      <x:c r="H1990" s="21" t="n">
        <x:v>4421</x:v>
      </x:c>
      <x:c r="I1990" s="17" t="str">
        <x:v>First attempt</x:v>
      </x:c>
    </x:row>
    <x:row r="1991" ht="23" customHeight="1">
      <x:c r="A1991" s="17" t="str">
        <x:v>U01985</x:v>
      </x:c>
      <x:c r="B1991" s="18" t="n">
        <x:v>46267</x:v>
      </x:c>
      <x:c r="C1991" s="17" t="str">
        <x:v>W0143</x:v>
      </x:c>
      <x:c r="D1991" s="17" t="str">
        <x:v>C003</x:v>
      </x:c>
      <x:c r="E1991" s="17" t="str">
        <x:v>CopyStudio</x:v>
      </x:c>
      <x:c r="F1991" s="17" t="str">
        <x:v>Lite</x:v>
      </x:c>
      <x:c r="G1991" s="21" t="n">
        <x:v>21937</x:v>
      </x:c>
      <x:c r="H1991" s="21" t="n">
        <x:v>5713</x:v>
      </x:c>
      <x:c r="I1991" s="17" t="str">
        <x:v>Followup</x:v>
      </x:c>
    </x:row>
    <x:row r="1992" ht="23" customHeight="1">
      <x:c r="A1992" s="17" t="str">
        <x:v>U01986</x:v>
      </x:c>
      <x:c r="B1992" s="18" t="n">
        <x:v>46267</x:v>
      </x:c>
      <x:c r="C1992" s="17" t="str">
        <x:v>W0143</x:v>
      </x:c>
      <x:c r="D1992" s="17" t="str">
        <x:v>C003</x:v>
      </x:c>
      <x:c r="E1992" s="17" t="str">
        <x:v>CopyStudio</x:v>
      </x:c>
      <x:c r="F1992" s="17" t="str">
        <x:v>Lite</x:v>
      </x:c>
      <x:c r="G1992" s="21" t="n">
        <x:v>18744</x:v>
      </x:c>
      <x:c r="H1992" s="21" t="n">
        <x:v>7244</x:v>
      </x:c>
      <x:c r="I1992" s="17" t="str">
        <x:v>Followup</x:v>
      </x:c>
    </x:row>
    <x:row r="1993" ht="23" customHeight="1">
      <x:c r="A1993" s="17" t="str">
        <x:v>U01987</x:v>
      </x:c>
      <x:c r="B1993" s="18" t="n">
        <x:v>46268</x:v>
      </x:c>
      <x:c r="C1993" s="17" t="str">
        <x:v>W0143</x:v>
      </x:c>
      <x:c r="D1993" s="17" t="str">
        <x:v>C003</x:v>
      </x:c>
      <x:c r="E1993" s="17" t="str">
        <x:v>CopyStudio</x:v>
      </x:c>
      <x:c r="F1993" s="17" t="str">
        <x:v>Lite</x:v>
      </x:c>
      <x:c r="G1993" s="21" t="n">
        <x:v>54389</x:v>
      </x:c>
      <x:c r="H1993" s="21" t="n">
        <x:v>6892</x:v>
      </x:c>
      <x:c r="I1993" s="17" t="str">
        <x:v>Correction</x:v>
      </x:c>
    </x:row>
    <x:row r="1994" ht="23" customHeight="1">
      <x:c r="A1994" s="17" t="str">
        <x:v>U01988</x:v>
      </x:c>
      <x:c r="B1994" s="18" t="n">
        <x:v>46268</x:v>
      </x:c>
      <x:c r="C1994" s="17" t="str">
        <x:v>W0143</x:v>
      </x:c>
      <x:c r="D1994" s="17" t="str">
        <x:v>C003</x:v>
      </x:c>
      <x:c r="E1994" s="17" t="str">
        <x:v>CopyStudio</x:v>
      </x:c>
      <x:c r="F1994" s="17" t="str">
        <x:v>Lite</x:v>
      </x:c>
      <x:c r="G1994" s="21" t="n">
        <x:v>52912</x:v>
      </x:c>
      <x:c r="H1994" s="21" t="n">
        <x:v>6632</x:v>
      </x:c>
      <x:c r="I1994" s="17" t="str">
        <x:v>Followup</x:v>
      </x:c>
    </x:row>
    <x:row r="1995" ht="23" customHeight="1">
      <x:c r="A1995" s="17" t="str">
        <x:v>U01989</x:v>
      </x:c>
      <x:c r="B1995" s="18" t="n">
        <x:v>46268</x:v>
      </x:c>
      <x:c r="C1995" s="17" t="str">
        <x:v>W0143</x:v>
      </x:c>
      <x:c r="D1995" s="17" t="str">
        <x:v>C003</x:v>
      </x:c>
      <x:c r="E1995" s="17" t="str">
        <x:v>CopyStudio</x:v>
      </x:c>
      <x:c r="F1995" s="17" t="str">
        <x:v>Lite</x:v>
      </x:c>
      <x:c r="G1995" s="21" t="n">
        <x:v>48061</x:v>
      </x:c>
      <x:c r="H1995" s="21" t="n">
        <x:v>4205</x:v>
      </x:c>
      <x:c r="I1995" s="17" t="str">
        <x:v>Correction</x:v>
      </x:c>
    </x:row>
    <x:row r="1996" ht="23" customHeight="1">
      <x:c r="A1996" s="17" t="str">
        <x:v>U01990</x:v>
      </x:c>
      <x:c r="B1996" s="18" t="n">
        <x:v>46269</x:v>
      </x:c>
      <x:c r="C1996" s="17" t="str">
        <x:v>W0143</x:v>
      </x:c>
      <x:c r="D1996" s="17" t="str">
        <x:v>C003</x:v>
      </x:c>
      <x:c r="E1996" s="17" t="str">
        <x:v>CopyStudio</x:v>
      </x:c>
      <x:c r="F1996" s="17" t="str">
        <x:v>Lite</x:v>
      </x:c>
      <x:c r="G1996" s="21" t="n">
        <x:v>43525</x:v>
      </x:c>
      <x:c r="H1996" s="21" t="n">
        <x:v>3262</x:v>
      </x:c>
      <x:c r="I1996" s="17" t="str">
        <x:v>Followup</x:v>
      </x:c>
    </x:row>
    <x:row r="1997" ht="23" customHeight="1">
      <x:c r="A1997" s="17" t="str">
        <x:v>U01991</x:v>
      </x:c>
      <x:c r="B1997" s="18" t="n">
        <x:v>46269</x:v>
      </x:c>
      <x:c r="C1997" s="17" t="str">
        <x:v>W0143</x:v>
      </x:c>
      <x:c r="D1997" s="17" t="str">
        <x:v>C003</x:v>
      </x:c>
      <x:c r="E1997" s="17" t="str">
        <x:v>CopyStudio</x:v>
      </x:c>
      <x:c r="F1997" s="17" t="str">
        <x:v>Lite</x:v>
      </x:c>
      <x:c r="G1997" s="21" t="n">
        <x:v>32159</x:v>
      </x:c>
      <x:c r="H1997" s="21" t="n">
        <x:v>7405</x:v>
      </x:c>
      <x:c r="I1997" s="17" t="str">
        <x:v>Followup</x:v>
      </x:c>
    </x:row>
    <x:row r="1998" ht="23" customHeight="1">
      <x:c r="A1998" s="17" t="str">
        <x:v>U01992</x:v>
      </x:c>
      <x:c r="B1998" s="18" t="n">
        <x:v>46269</x:v>
      </x:c>
      <x:c r="C1998" s="17" t="str">
        <x:v>W0143</x:v>
      </x:c>
      <x:c r="D1998" s="17" t="str">
        <x:v>C003</x:v>
      </x:c>
      <x:c r="E1998" s="17" t="str">
        <x:v>CopyStudio</x:v>
      </x:c>
      <x:c r="F1998" s="17" t="str">
        <x:v>Lite</x:v>
      </x:c>
      <x:c r="G1998" s="21" t="n">
        <x:v>21165</x:v>
      </x:c>
      <x:c r="H1998" s="21" t="n">
        <x:v>7034</x:v>
      </x:c>
      <x:c r="I1998" s="17" t="str">
        <x:v>Followup</x:v>
      </x:c>
    </x:row>
    <x:row r="1999" ht="23" customHeight="1">
      <x:c r="A1999" s="17" t="str">
        <x:v>U01993</x:v>
      </x:c>
      <x:c r="B1999" s="18" t="n">
        <x:v>46273</x:v>
      </x:c>
      <x:c r="C1999" s="17" t="str">
        <x:v>W0143</x:v>
      </x:c>
      <x:c r="D1999" s="17" t="str">
        <x:v>C003</x:v>
      </x:c>
      <x:c r="E1999" s="17" t="str">
        <x:v>CopyStudio</x:v>
      </x:c>
      <x:c r="F1999" s="17" t="str">
        <x:v>Lite</x:v>
      </x:c>
      <x:c r="G1999" s="21" t="n">
        <x:v>30329</x:v>
      </x:c>
      <x:c r="H1999" s="21" t="n">
        <x:v>5890</x:v>
      </x:c>
      <x:c r="I1999" s="17" t="str">
        <x:v>Correction</x:v>
      </x:c>
    </x:row>
    <x:row r="2000" ht="23" customHeight="1">
      <x:c r="A2000" s="17" t="str">
        <x:v>U01994</x:v>
      </x:c>
      <x:c r="B2000" s="18" t="n">
        <x:v>46273</x:v>
      </x:c>
      <x:c r="C2000" s="17" t="str">
        <x:v>W0143</x:v>
      </x:c>
      <x:c r="D2000" s="17" t="str">
        <x:v>C003</x:v>
      </x:c>
      <x:c r="E2000" s="17" t="str">
        <x:v>CopyStudio</x:v>
      </x:c>
      <x:c r="F2000" s="17" t="str">
        <x:v>Lite</x:v>
      </x:c>
      <x:c r="G2000" s="21" t="n">
        <x:v>24540</x:v>
      </x:c>
      <x:c r="H2000" s="21" t="n">
        <x:v>6976</x:v>
      </x:c>
      <x:c r="I2000" s="17" t="str">
        <x:v>Followup</x:v>
      </x:c>
    </x:row>
    <x:row r="2001" ht="23" customHeight="1">
      <x:c r="A2001" s="17" t="str">
        <x:v>U01995</x:v>
      </x:c>
      <x:c r="B2001" s="18" t="n">
        <x:v>46273</x:v>
      </x:c>
      <x:c r="C2001" s="17" t="str">
        <x:v>W0143</x:v>
      </x:c>
      <x:c r="D2001" s="17" t="str">
        <x:v>C003</x:v>
      </x:c>
      <x:c r="E2001" s="17" t="str">
        <x:v>CopyStudio</x:v>
      </x:c>
      <x:c r="F2001" s="17" t="str">
        <x:v>Lite</x:v>
      </x:c>
      <x:c r="G2001" s="21" t="n">
        <x:v>44297</x:v>
      </x:c>
      <x:c r="H2001" s="21" t="n">
        <x:v>6534</x:v>
      </x:c>
      <x:c r="I2001" s="17" t="str">
        <x:v>Followup</x:v>
      </x:c>
    </x:row>
    <x:row r="2002" ht="23" customHeight="1">
      <x:c r="A2002" s="17" t="str">
        <x:v>U01996</x:v>
      </x:c>
      <x:c r="B2002" s="18" t="n">
        <x:v>46279</x:v>
      </x:c>
      <x:c r="C2002" s="17" t="str">
        <x:v>W0144</x:v>
      </x:c>
      <x:c r="D2002" s="17" t="str">
        <x:v>C003</x:v>
      </x:c>
      <x:c r="E2002" s="17" t="str">
        <x:v>CopyStudio</x:v>
      </x:c>
      <x:c r="F2002" s="17" t="str">
        <x:v>Lite</x:v>
      </x:c>
      <x:c r="G2002" s="21" t="n">
        <x:v>25662</x:v>
      </x:c>
      <x:c r="H2002" s="21" t="n">
        <x:v>7487</x:v>
      </x:c>
      <x:c r="I2002" s="17" t="str">
        <x:v>First attempt</x:v>
      </x:c>
    </x:row>
    <x:row r="2003" ht="23" customHeight="1">
      <x:c r="A2003" s="17" t="str">
        <x:v>U01997</x:v>
      </x:c>
      <x:c r="B2003" s="18" t="n">
        <x:v>46279</x:v>
      </x:c>
      <x:c r="C2003" s="17" t="str">
        <x:v>W0144</x:v>
      </x:c>
      <x:c r="D2003" s="17" t="str">
        <x:v>C003</x:v>
      </x:c>
      <x:c r="E2003" s="17" t="str">
        <x:v>CopyStudio</x:v>
      </x:c>
      <x:c r="F2003" s="17" t="str">
        <x:v>Lite</x:v>
      </x:c>
      <x:c r="G2003" s="21" t="n">
        <x:v>31870</x:v>
      </x:c>
      <x:c r="H2003" s="21" t="n">
        <x:v>5015</x:v>
      </x:c>
      <x:c r="I2003" s="17" t="str">
        <x:v>Correction</x:v>
      </x:c>
    </x:row>
    <x:row r="2004" ht="23" customHeight="1">
      <x:c r="A2004" s="17" t="str">
        <x:v>U01998</x:v>
      </x:c>
      <x:c r="B2004" s="18" t="n">
        <x:v>46279</x:v>
      </x:c>
      <x:c r="C2004" s="17" t="str">
        <x:v>W0144</x:v>
      </x:c>
      <x:c r="D2004" s="17" t="str">
        <x:v>C003</x:v>
      </x:c>
      <x:c r="E2004" s="17" t="str">
        <x:v>CopyStudio</x:v>
      </x:c>
      <x:c r="F2004" s="17" t="str">
        <x:v>Lite</x:v>
      </x:c>
      <x:c r="G2004" s="21" t="n">
        <x:v>30003</x:v>
      </x:c>
      <x:c r="H2004" s="21" t="n">
        <x:v>4383</x:v>
      </x:c>
      <x:c r="I2004" s="17" t="str">
        <x:v>Correction</x:v>
      </x:c>
    </x:row>
    <x:row r="2005" ht="23" customHeight="1">
      <x:c r="A2005" s="17" t="str">
        <x:v>U01999</x:v>
      </x:c>
      <x:c r="B2005" s="18" t="n">
        <x:v>46280</x:v>
      </x:c>
      <x:c r="C2005" s="17" t="str">
        <x:v>W0144</x:v>
      </x:c>
      <x:c r="D2005" s="17" t="str">
        <x:v>C003</x:v>
      </x:c>
      <x:c r="E2005" s="17" t="str">
        <x:v>CopyStudio</x:v>
      </x:c>
      <x:c r="F2005" s="17" t="str">
        <x:v>Lite</x:v>
      </x:c>
      <x:c r="G2005" s="21" t="n">
        <x:v>12417</x:v>
      </x:c>
      <x:c r="H2005" s="21" t="n">
        <x:v>10841</x:v>
      </x:c>
      <x:c r="I2005" s="17" t="str">
        <x:v>Followup</x:v>
      </x:c>
    </x:row>
    <x:row r="2006" ht="23" customHeight="1">
      <x:c r="A2006" s="17" t="str">
        <x:v>U02000</x:v>
      </x:c>
      <x:c r="B2006" s="18" t="n">
        <x:v>46280</x:v>
      </x:c>
      <x:c r="C2006" s="17" t="str">
        <x:v>W0144</x:v>
      </x:c>
      <x:c r="D2006" s="17" t="str">
        <x:v>C003</x:v>
      </x:c>
      <x:c r="E2006" s="17" t="str">
        <x:v>CopyStudio</x:v>
      </x:c>
      <x:c r="F2006" s="17" t="str">
        <x:v>Lite</x:v>
      </x:c>
      <x:c r="G2006" s="21" t="n">
        <x:v>30310</x:v>
      </x:c>
      <x:c r="H2006" s="21" t="n">
        <x:v>11222</x:v>
      </x:c>
      <x:c r="I2006" s="17" t="str">
        <x:v>Followup</x:v>
      </x:c>
    </x:row>
    <x:row r="2007" ht="23" customHeight="1">
      <x:c r="A2007" s="17" t="str">
        <x:v>U02001</x:v>
      </x:c>
      <x:c r="B2007" s="18" t="n">
        <x:v>46280</x:v>
      </x:c>
      <x:c r="C2007" s="17" t="str">
        <x:v>W0144</x:v>
      </x:c>
      <x:c r="D2007" s="17" t="str">
        <x:v>C003</x:v>
      </x:c>
      <x:c r="E2007" s="17" t="str">
        <x:v>CopyStudio</x:v>
      </x:c>
      <x:c r="F2007" s="17" t="str">
        <x:v>Lite</x:v>
      </x:c>
      <x:c r="G2007" s="21" t="n">
        <x:v>14454</x:v>
      </x:c>
      <x:c r="H2007" s="21" t="n">
        <x:v>8481</x:v>
      </x:c>
      <x:c r="I2007" s="17" t="str">
        <x:v>Followup</x:v>
      </x:c>
    </x:row>
    <x:row r="2008" ht="23" customHeight="1">
      <x:c r="A2008" s="17" t="str">
        <x:v>U02002</x:v>
      </x:c>
      <x:c r="B2008" s="18" t="n">
        <x:v>46281</x:v>
      </x:c>
      <x:c r="C2008" s="17" t="str">
        <x:v>W0144</x:v>
      </x:c>
      <x:c r="D2008" s="17" t="str">
        <x:v>C003</x:v>
      </x:c>
      <x:c r="E2008" s="17" t="str">
        <x:v>CopyStudio</x:v>
      </x:c>
      <x:c r="F2008" s="17" t="str">
        <x:v>Lite</x:v>
      </x:c>
      <x:c r="G2008" s="21" t="n">
        <x:v>31846</x:v>
      </x:c>
      <x:c r="H2008" s="21" t="n">
        <x:v>10960</x:v>
      </x:c>
      <x:c r="I2008" s="17" t="str">
        <x:v>Followup</x:v>
      </x:c>
    </x:row>
    <x:row r="2009" ht="23" customHeight="1">
      <x:c r="A2009" s="17" t="str">
        <x:v>U02003</x:v>
      </x:c>
      <x:c r="B2009" s="18" t="n">
        <x:v>46281</x:v>
      </x:c>
      <x:c r="C2009" s="17" t="str">
        <x:v>W0144</x:v>
      </x:c>
      <x:c r="D2009" s="17" t="str">
        <x:v>C003</x:v>
      </x:c>
      <x:c r="E2009" s="17" t="str">
        <x:v>CopyStudio</x:v>
      </x:c>
      <x:c r="F2009" s="17" t="str">
        <x:v>Lite</x:v>
      </x:c>
      <x:c r="G2009" s="21" t="n">
        <x:v>14287</x:v>
      </x:c>
      <x:c r="H2009" s="21" t="n">
        <x:v>4274</x:v>
      </x:c>
      <x:c r="I2009" s="17" t="str">
        <x:v>Followup</x:v>
      </x:c>
    </x:row>
    <x:row r="2010" ht="23" customHeight="1">
      <x:c r="A2010" s="17" t="str">
        <x:v>U02004</x:v>
      </x:c>
      <x:c r="B2010" s="18" t="n">
        <x:v>46281</x:v>
      </x:c>
      <x:c r="C2010" s="17" t="str">
        <x:v>W0144</x:v>
      </x:c>
      <x:c r="D2010" s="17" t="str">
        <x:v>C003</x:v>
      </x:c>
      <x:c r="E2010" s="17" t="str">
        <x:v>CopyStudio</x:v>
      </x:c>
      <x:c r="F2010" s="17" t="str">
        <x:v>Lite</x:v>
      </x:c>
      <x:c r="G2010" s="21" t="n">
        <x:v>31412</x:v>
      </x:c>
      <x:c r="H2010" s="21" t="n">
        <x:v>8430</x:v>
      </x:c>
      <x:c r="I2010" s="17" t="str">
        <x:v>Followup</x:v>
      </x:c>
    </x:row>
    <x:row r="2011" ht="23" customHeight="1">
      <x:c r="A2011" s="17" t="str">
        <x:v>U02005</x:v>
      </x:c>
      <x:c r="B2011" s="18" t="n">
        <x:v>46282</x:v>
      </x:c>
      <x:c r="C2011" s="17" t="str">
        <x:v>W0144</x:v>
      </x:c>
      <x:c r="D2011" s="17" t="str">
        <x:v>C003</x:v>
      </x:c>
      <x:c r="E2011" s="17" t="str">
        <x:v>CopyStudio</x:v>
      </x:c>
      <x:c r="F2011" s="17" t="str">
        <x:v>Lite</x:v>
      </x:c>
      <x:c r="G2011" s="21" t="n">
        <x:v>25682</x:v>
      </x:c>
      <x:c r="H2011" s="21" t="n">
        <x:v>4112</x:v>
      </x:c>
      <x:c r="I2011" s="17" t="str">
        <x:v>Followup</x:v>
      </x:c>
    </x:row>
    <x:row r="2012" ht="23" customHeight="1">
      <x:c r="A2012" s="17" t="str">
        <x:v>U02006</x:v>
      </x:c>
      <x:c r="B2012" s="18" t="n">
        <x:v>46282</x:v>
      </x:c>
      <x:c r="C2012" s="17" t="str">
        <x:v>W0144</x:v>
      </x:c>
      <x:c r="D2012" s="17" t="str">
        <x:v>C003</x:v>
      </x:c>
      <x:c r="E2012" s="17" t="str">
        <x:v>CopyStudio</x:v>
      </x:c>
      <x:c r="F2012" s="17" t="str">
        <x:v>Lite</x:v>
      </x:c>
      <x:c r="G2012" s="21" t="n">
        <x:v>26177</x:v>
      </x:c>
      <x:c r="H2012" s="21" t="n">
        <x:v>3998</x:v>
      </x:c>
      <x:c r="I2012" s="17" t="str">
        <x:v>Followup</x:v>
      </x:c>
    </x:row>
    <x:row r="2013" ht="23" customHeight="1">
      <x:c r="A2013" s="17" t="str">
        <x:v>U02007</x:v>
      </x:c>
      <x:c r="B2013" s="18" t="n">
        <x:v>46282</x:v>
      </x:c>
      <x:c r="C2013" s="17" t="str">
        <x:v>W0147</x:v>
      </x:c>
      <x:c r="D2013" s="17" t="str">
        <x:v>C003</x:v>
      </x:c>
      <x:c r="E2013" s="17" t="str">
        <x:v>DataFlow</x:v>
      </x:c>
      <x:c r="F2013" s="17" t="str">
        <x:v>Lite</x:v>
      </x:c>
      <x:c r="G2013" s="21" t="n">
        <x:v>30352</x:v>
      </x:c>
      <x:c r="H2013" s="21" t="n">
        <x:v>3315</x:v>
      </x:c>
      <x:c r="I2013" s="17" t="str">
        <x:v>First attempt</x:v>
      </x:c>
    </x:row>
    <x:row r="2014" ht="23" customHeight="1">
      <x:c r="A2014" s="17" t="str">
        <x:v>U02008</x:v>
      </x:c>
      <x:c r="B2014" s="18" t="n">
        <x:v>46282</x:v>
      </x:c>
      <x:c r="C2014" s="17" t="str">
        <x:v>W0147</x:v>
      </x:c>
      <x:c r="D2014" s="17" t="str">
        <x:v>C003</x:v>
      </x:c>
      <x:c r="E2014" s="17" t="str">
        <x:v>DataFlow</x:v>
      </x:c>
      <x:c r="F2014" s="17" t="str">
        <x:v>Lite</x:v>
      </x:c>
      <x:c r="G2014" s="21" t="n">
        <x:v>45604</x:v>
      </x:c>
      <x:c r="H2014" s="21" t="n">
        <x:v>2607</x:v>
      </x:c>
      <x:c r="I2014" s="17" t="str">
        <x:v>Followup</x:v>
      </x:c>
    </x:row>
    <x:row r="2015" ht="23" customHeight="1">
      <x:c r="A2015" s="17" t="str">
        <x:v>U02009</x:v>
      </x:c>
      <x:c r="B2015" s="18" t="n">
        <x:v>46283</x:v>
      </x:c>
      <x:c r="C2015" s="17" t="str">
        <x:v>W0147</x:v>
      </x:c>
      <x:c r="D2015" s="17" t="str">
        <x:v>C003</x:v>
      </x:c>
      <x:c r="E2015" s="17" t="str">
        <x:v>DataFlow</x:v>
      </x:c>
      <x:c r="F2015" s="17" t="str">
        <x:v>Lite</x:v>
      </x:c>
      <x:c r="G2015" s="21" t="n">
        <x:v>34070</x:v>
      </x:c>
      <x:c r="H2015" s="21" t="n">
        <x:v>6202</x:v>
      </x:c>
      <x:c r="I2015" s="17" t="str">
        <x:v>Followup</x:v>
      </x:c>
    </x:row>
    <x:row r="2016" ht="23" customHeight="1">
      <x:c r="A2016" s="17" t="str">
        <x:v>U02010</x:v>
      </x:c>
      <x:c r="B2016" s="18" t="n">
        <x:v>46283</x:v>
      </x:c>
      <x:c r="C2016" s="17" t="str">
        <x:v>W0147</x:v>
      </x:c>
      <x:c r="D2016" s="17" t="str">
        <x:v>C003</x:v>
      </x:c>
      <x:c r="E2016" s="17" t="str">
        <x:v>DataFlow</x:v>
      </x:c>
      <x:c r="F2016" s="17" t="str">
        <x:v>Lite</x:v>
      </x:c>
      <x:c r="G2016" s="21" t="n">
        <x:v>27611</x:v>
      </x:c>
      <x:c r="H2016" s="21" t="n">
        <x:v>4366</x:v>
      </x:c>
      <x:c r="I2016" s="17" t="str">
        <x:v>Correction</x:v>
      </x:c>
    </x:row>
    <x:row r="2017" ht="23" customHeight="1">
      <x:c r="A2017" s="17" t="str">
        <x:v>U02011</x:v>
      </x:c>
      <x:c r="B2017" s="18" t="n">
        <x:v>46286</x:v>
      </x:c>
      <x:c r="C2017" s="17" t="str">
        <x:v>W0147</x:v>
      </x:c>
      <x:c r="D2017" s="17" t="str">
        <x:v>C003</x:v>
      </x:c>
      <x:c r="E2017" s="17" t="str">
        <x:v>DataFlow</x:v>
      </x:c>
      <x:c r="F2017" s="17" t="str">
        <x:v>Lite</x:v>
      </x:c>
      <x:c r="G2017" s="21" t="n">
        <x:v>33443</x:v>
      </x:c>
      <x:c r="H2017" s="21" t="n">
        <x:v>4051</x:v>
      </x:c>
      <x:c r="I2017" s="17" t="str">
        <x:v>Followup</x:v>
      </x:c>
    </x:row>
    <x:row r="2018" ht="23" customHeight="1">
      <x:c r="A2018" s="17" t="str">
        <x:v>U02012</x:v>
      </x:c>
      <x:c r="B2018" s="18" t="n">
        <x:v>46286</x:v>
      </x:c>
      <x:c r="C2018" s="17" t="str">
        <x:v>W0147</x:v>
      </x:c>
      <x:c r="D2018" s="17" t="str">
        <x:v>C003</x:v>
      </x:c>
      <x:c r="E2018" s="17" t="str">
        <x:v>DataFlow</x:v>
      </x:c>
      <x:c r="F2018" s="17" t="str">
        <x:v>Lite</x:v>
      </x:c>
      <x:c r="G2018" s="21" t="n">
        <x:v>18709</x:v>
      </x:c>
      <x:c r="H2018" s="21" t="n">
        <x:v>6173</x:v>
      </x:c>
      <x:c r="I2018" s="17" t="str">
        <x:v>Followup</x:v>
      </x:c>
    </x:row>
    <x:row r="2019" ht="23" customHeight="1">
      <x:c r="A2019" s="17" t="str">
        <x:v>U02013</x:v>
      </x:c>
      <x:c r="B2019" s="18" t="n">
        <x:v>46287</x:v>
      </x:c>
      <x:c r="C2019" s="17" t="str">
        <x:v>W0147</x:v>
      </x:c>
      <x:c r="D2019" s="17" t="str">
        <x:v>C003</x:v>
      </x:c>
      <x:c r="E2019" s="17" t="str">
        <x:v>DataFlow</x:v>
      </x:c>
      <x:c r="F2019" s="17" t="str">
        <x:v>Lite</x:v>
      </x:c>
      <x:c r="G2019" s="21" t="n">
        <x:v>41912</x:v>
      </x:c>
      <x:c r="H2019" s="21" t="n">
        <x:v>5954</x:v>
      </x:c>
      <x:c r="I2019" s="17" t="str">
        <x:v>Followup</x:v>
      </x:c>
    </x:row>
    <x:row r="2020" ht="23" customHeight="1">
      <x:c r="A2020" s="17" t="str">
        <x:v>U02014</x:v>
      </x:c>
      <x:c r="B2020" s="18" t="n">
        <x:v>46287</x:v>
      </x:c>
      <x:c r="C2020" s="17" t="str">
        <x:v>W0147</x:v>
      </x:c>
      <x:c r="D2020" s="17" t="str">
        <x:v>C003</x:v>
      </x:c>
      <x:c r="E2020" s="17" t="str">
        <x:v>DataFlow</x:v>
      </x:c>
      <x:c r="F2020" s="17" t="str">
        <x:v>Lite</x:v>
      </x:c>
      <x:c r="G2020" s="21" t="n">
        <x:v>36683</x:v>
      </x:c>
      <x:c r="H2020" s="21" t="n">
        <x:v>3121</x:v>
      </x:c>
      <x:c r="I2020" s="17" t="str">
        <x:v>Followup</x:v>
      </x:c>
    </x:row>
    <x:row r="2021" ht="23" customHeight="1">
      <x:c r="A2021" s="17" t="str">
        <x:v>U02015</x:v>
      </x:c>
      <x:c r="B2021" s="18" t="n">
        <x:v>46266</x:v>
      </x:c>
      <x:c r="C2021" s="17" t="str">
        <x:v>W0148</x:v>
      </x:c>
      <x:c r="D2021" s="17" t="str">
        <x:v>C003</x:v>
      </x:c>
      <x:c r="E2021" s="17" t="str">
        <x:v>DataFlow</x:v>
      </x:c>
      <x:c r="F2021" s="17" t="str">
        <x:v>Lite</x:v>
      </x:c>
      <x:c r="G2021" s="21" t="n">
        <x:v>42868</x:v>
      </x:c>
      <x:c r="H2021" s="21" t="n">
        <x:v>3305</x:v>
      </x:c>
      <x:c r="I2021" s="17" t="str">
        <x:v>First attempt</x:v>
      </x:c>
    </x:row>
    <x:row r="2022" ht="23" customHeight="1">
      <x:c r="A2022" s="17" t="str">
        <x:v>U02016</x:v>
      </x:c>
      <x:c r="B2022" s="18" t="n">
        <x:v>46266</x:v>
      </x:c>
      <x:c r="C2022" s="17" t="str">
        <x:v>W0148</x:v>
      </x:c>
      <x:c r="D2022" s="17" t="str">
        <x:v>C003</x:v>
      </x:c>
      <x:c r="E2022" s="17" t="str">
        <x:v>DataFlow</x:v>
      </x:c>
      <x:c r="F2022" s="17" t="str">
        <x:v>Lite</x:v>
      </x:c>
      <x:c r="G2022" s="21" t="n">
        <x:v>19337</x:v>
      </x:c>
      <x:c r="H2022" s="21" t="n">
        <x:v>3676</x:v>
      </x:c>
      <x:c r="I2022" s="17" t="str">
        <x:v>Followup</x:v>
      </x:c>
    </x:row>
    <x:row r="2023" ht="23" customHeight="1">
      <x:c r="A2023" s="17" t="str">
        <x:v>U02017</x:v>
      </x:c>
      <x:c r="B2023" s="18" t="n">
        <x:v>46266</x:v>
      </x:c>
      <x:c r="C2023" s="17" t="str">
        <x:v>W0148</x:v>
      </x:c>
      <x:c r="D2023" s="17" t="str">
        <x:v>C003</x:v>
      </x:c>
      <x:c r="E2023" s="17" t="str">
        <x:v>DataFlow</x:v>
      </x:c>
      <x:c r="F2023" s="17" t="str">
        <x:v>Lite</x:v>
      </x:c>
      <x:c r="G2023" s="21" t="n">
        <x:v>21622</x:v>
      </x:c>
      <x:c r="H2023" s="21" t="n">
        <x:v>2343</x:v>
      </x:c>
      <x:c r="I2023" s="17" t="str">
        <x:v>Correction</x:v>
      </x:c>
    </x:row>
    <x:row r="2024" ht="23" customHeight="1">
      <x:c r="A2024" s="17" t="str">
        <x:v>U02018</x:v>
      </x:c>
      <x:c r="B2024" s="18" t="n">
        <x:v>46267</x:v>
      </x:c>
      <x:c r="C2024" s="17" t="str">
        <x:v>W0148</x:v>
      </x:c>
      <x:c r="D2024" s="17" t="str">
        <x:v>C003</x:v>
      </x:c>
      <x:c r="E2024" s="17" t="str">
        <x:v>DataFlow</x:v>
      </x:c>
      <x:c r="F2024" s="17" t="str">
        <x:v>Lite</x:v>
      </x:c>
      <x:c r="G2024" s="21" t="n">
        <x:v>39249</x:v>
      </x:c>
      <x:c r="H2024" s="21" t="n">
        <x:v>1799</x:v>
      </x:c>
      <x:c r="I2024" s="17" t="str">
        <x:v>Followup</x:v>
      </x:c>
    </x:row>
    <x:row r="2025" ht="23" customHeight="1">
      <x:c r="A2025" s="17" t="str">
        <x:v>U02019</x:v>
      </x:c>
      <x:c r="B2025" s="18" t="n">
        <x:v>46267</x:v>
      </x:c>
      <x:c r="C2025" s="17" t="str">
        <x:v>W0148</x:v>
      </x:c>
      <x:c r="D2025" s="17" t="str">
        <x:v>C003</x:v>
      </x:c>
      <x:c r="E2025" s="17" t="str">
        <x:v>DataFlow</x:v>
      </x:c>
      <x:c r="F2025" s="17" t="str">
        <x:v>Lite</x:v>
      </x:c>
      <x:c r="G2025" s="21" t="n">
        <x:v>32966</x:v>
      </x:c>
      <x:c r="H2025" s="21" t="n">
        <x:v>2556</x:v>
      </x:c>
      <x:c r="I2025" s="17" t="str">
        <x:v>Followup</x:v>
      </x:c>
    </x:row>
    <x:row r="2026" ht="23" customHeight="1">
      <x:c r="A2026" s="17" t="str">
        <x:v>U02020</x:v>
      </x:c>
      <x:c r="B2026" s="18" t="n">
        <x:v>46267</x:v>
      </x:c>
      <x:c r="C2026" s="17" t="str">
        <x:v>W0148</x:v>
      </x:c>
      <x:c r="D2026" s="17" t="str">
        <x:v>C003</x:v>
      </x:c>
      <x:c r="E2026" s="17" t="str">
        <x:v>DataFlow</x:v>
      </x:c>
      <x:c r="F2026" s="17" t="str">
        <x:v>Lite</x:v>
      </x:c>
      <x:c r="G2026" s="21" t="n">
        <x:v>20596</x:v>
      </x:c>
      <x:c r="H2026" s="21" t="n">
        <x:v>2638</x:v>
      </x:c>
      <x:c r="I2026" s="17" t="str">
        <x:v>Correction</x:v>
      </x:c>
    </x:row>
    <x:row r="2027" ht="23" customHeight="1">
      <x:c r="A2027" s="17" t="str">
        <x:v>U02021</x:v>
      </x:c>
      <x:c r="B2027" s="18" t="n">
        <x:v>46268</x:v>
      </x:c>
      <x:c r="C2027" s="17" t="str">
        <x:v>W0148</x:v>
      </x:c>
      <x:c r="D2027" s="17" t="str">
        <x:v>C003</x:v>
      </x:c>
      <x:c r="E2027" s="17" t="str">
        <x:v>DataFlow</x:v>
      </x:c>
      <x:c r="F2027" s="17" t="str">
        <x:v>Lite</x:v>
      </x:c>
      <x:c r="G2027" s="21" t="n">
        <x:v>25606</x:v>
      </x:c>
      <x:c r="H2027" s="21" t="n">
        <x:v>3628</x:v>
      </x:c>
      <x:c r="I2027" s="17" t="str">
        <x:v>Correction</x:v>
      </x:c>
    </x:row>
    <x:row r="2028" ht="23" customHeight="1">
      <x:c r="A2028" s="17" t="str">
        <x:v>U02022</x:v>
      </x:c>
      <x:c r="B2028" s="18" t="n">
        <x:v>46268</x:v>
      </x:c>
      <x:c r="C2028" s="17" t="str">
        <x:v>W0148</x:v>
      </x:c>
      <x:c r="D2028" s="17" t="str">
        <x:v>C003</x:v>
      </x:c>
      <x:c r="E2028" s="17" t="str">
        <x:v>DataFlow</x:v>
      </x:c>
      <x:c r="F2028" s="17" t="str">
        <x:v>Lite</x:v>
      </x:c>
      <x:c r="G2028" s="21" t="n">
        <x:v>33428</x:v>
      </x:c>
      <x:c r="H2028" s="21" t="n">
        <x:v>4144</x:v>
      </x:c>
      <x:c r="I2028" s="17" t="str">
        <x:v>Followup</x:v>
      </x:c>
    </x:row>
    <x:row r="2029" ht="23" customHeight="1">
      <x:c r="A2029" s="17" t="str">
        <x:v>U02023</x:v>
      </x:c>
      <x:c r="B2029" s="18" t="n">
        <x:v>46268</x:v>
      </x:c>
      <x:c r="C2029" s="17" t="str">
        <x:v>W0148</x:v>
      </x:c>
      <x:c r="D2029" s="17" t="str">
        <x:v>C003</x:v>
      </x:c>
      <x:c r="E2029" s="17" t="str">
        <x:v>DataFlow</x:v>
      </x:c>
      <x:c r="F2029" s="17" t="str">
        <x:v>Lite</x:v>
      </x:c>
      <x:c r="G2029" s="21" t="n">
        <x:v>30231</x:v>
      </x:c>
      <x:c r="H2029" s="21" t="n">
        <x:v>4112</x:v>
      </x:c>
      <x:c r="I2029" s="17" t="str">
        <x:v>Followup</x:v>
      </x:c>
    </x:row>
    <x:row r="2030" ht="23" customHeight="1">
      <x:c r="A2030" s="17" t="str">
        <x:v>U02024</x:v>
      </x:c>
      <x:c r="B2030" s="18" t="n">
        <x:v>46269</x:v>
      </x:c>
      <x:c r="C2030" s="17" t="str">
        <x:v>W0148</x:v>
      </x:c>
      <x:c r="D2030" s="17" t="str">
        <x:v>C003</x:v>
      </x:c>
      <x:c r="E2030" s="17" t="str">
        <x:v>DataFlow</x:v>
      </x:c>
      <x:c r="F2030" s="17" t="str">
        <x:v>Lite</x:v>
      </x:c>
      <x:c r="G2030" s="21" t="n">
        <x:v>25740</x:v>
      </x:c>
      <x:c r="H2030" s="21" t="n">
        <x:v>3759</x:v>
      </x:c>
      <x:c r="I2030" s="17" t="str">
        <x:v>Followup</x:v>
      </x:c>
    </x:row>
    <x:row r="2031" ht="23" customHeight="1">
      <x:c r="A2031" s="17" t="str">
        <x:v>U02025</x:v>
      </x:c>
      <x:c r="B2031" s="18" t="n">
        <x:v>46269</x:v>
      </x:c>
      <x:c r="C2031" s="17" t="str">
        <x:v>W0148</x:v>
      </x:c>
      <x:c r="D2031" s="17" t="str">
        <x:v>C003</x:v>
      </x:c>
      <x:c r="E2031" s="17" t="str">
        <x:v>DataFlow</x:v>
      </x:c>
      <x:c r="F2031" s="17" t="str">
        <x:v>Lite</x:v>
      </x:c>
      <x:c r="G2031" s="21" t="n">
        <x:v>29987</x:v>
      </x:c>
      <x:c r="H2031" s="21" t="n">
        <x:v>2337</x:v>
      </x:c>
      <x:c r="I2031" s="17" t="str">
        <x:v>Followup</x:v>
      </x:c>
    </x:row>
    <x:row r="2032" ht="23" customHeight="1">
      <x:c r="A2032" s="17" t="str">
        <x:v>U02026</x:v>
      </x:c>
      <x:c r="B2032" s="18" t="n">
        <x:v>46269</x:v>
      </x:c>
      <x:c r="C2032" s="17" t="str">
        <x:v>W0148</x:v>
      </x:c>
      <x:c r="D2032" s="17" t="str">
        <x:v>C003</x:v>
      </x:c>
      <x:c r="E2032" s="17" t="str">
        <x:v>DataFlow</x:v>
      </x:c>
      <x:c r="F2032" s="17" t="str">
        <x:v>Lite</x:v>
      </x:c>
      <x:c r="G2032" s="21" t="n">
        <x:v>35033</x:v>
      </x:c>
      <x:c r="H2032" s="21" t="n">
        <x:v>2913</x:v>
      </x:c>
      <x:c r="I2032" s="17" t="str">
        <x:v>Followup</x:v>
      </x:c>
    </x:row>
    <x:row r="2033" ht="23" customHeight="1">
      <x:c r="A2033" s="17" t="str">
        <x:v>U02027</x:v>
      </x:c>
      <x:c r="B2033" s="18" t="n">
        <x:v>46276</x:v>
      </x:c>
      <x:c r="C2033" s="17" t="str">
        <x:v>W0149</x:v>
      </x:c>
      <x:c r="D2033" s="17" t="str">
        <x:v>C003</x:v>
      </x:c>
      <x:c r="E2033" s="17" t="str">
        <x:v>CopyStudio</x:v>
      </x:c>
      <x:c r="F2033" s="17" t="str">
        <x:v>Lite</x:v>
      </x:c>
      <x:c r="G2033" s="21" t="n">
        <x:v>23554</x:v>
      </x:c>
      <x:c r="H2033" s="21" t="n">
        <x:v>5715</x:v>
      </x:c>
      <x:c r="I2033" s="17" t="str">
        <x:v>First attempt</x:v>
      </x:c>
    </x:row>
    <x:row r="2034" ht="23" customHeight="1">
      <x:c r="A2034" s="17" t="str">
        <x:v>U02028</x:v>
      </x:c>
      <x:c r="B2034" s="18" t="n">
        <x:v>46276</x:v>
      </x:c>
      <x:c r="C2034" s="17" t="str">
        <x:v>W0149</x:v>
      </x:c>
      <x:c r="D2034" s="17" t="str">
        <x:v>C003</x:v>
      </x:c>
      <x:c r="E2034" s="17" t="str">
        <x:v>CopyStudio</x:v>
      </x:c>
      <x:c r="F2034" s="17" t="str">
        <x:v>Lite</x:v>
      </x:c>
      <x:c r="G2034" s="21" t="n">
        <x:v>49902</x:v>
      </x:c>
      <x:c r="H2034" s="21" t="n">
        <x:v>6275</x:v>
      </x:c>
      <x:c r="I2034" s="17" t="str">
        <x:v>Followup</x:v>
      </x:c>
    </x:row>
    <x:row r="2035" ht="23" customHeight="1">
      <x:c r="A2035" s="17" t="str">
        <x:v>U02029</x:v>
      </x:c>
      <x:c r="B2035" s="18" t="n">
        <x:v>46276</x:v>
      </x:c>
      <x:c r="C2035" s="17" t="str">
        <x:v>W0149</x:v>
      </x:c>
      <x:c r="D2035" s="17" t="str">
        <x:v>C003</x:v>
      </x:c>
      <x:c r="E2035" s="17" t="str">
        <x:v>CopyStudio</x:v>
      </x:c>
      <x:c r="F2035" s="17" t="str">
        <x:v>Lite</x:v>
      </x:c>
      <x:c r="G2035" s="21" t="n">
        <x:v>31712</x:v>
      </x:c>
      <x:c r="H2035" s="21" t="n">
        <x:v>6170</x:v>
      </x:c>
      <x:c r="I2035" s="17" t="str">
        <x:v>Followup</x:v>
      </x:c>
    </x:row>
    <x:row r="2036" ht="23" customHeight="1">
      <x:c r="A2036" s="17" t="str">
        <x:v>U02030</x:v>
      </x:c>
      <x:c r="B2036" s="18" t="n">
        <x:v>46276</x:v>
      </x:c>
      <x:c r="C2036" s="17" t="str">
        <x:v>W0149</x:v>
      </x:c>
      <x:c r="D2036" s="17" t="str">
        <x:v>C003</x:v>
      </x:c>
      <x:c r="E2036" s="17" t="str">
        <x:v>CopyStudio</x:v>
      </x:c>
      <x:c r="F2036" s="17" t="str">
        <x:v>Lite</x:v>
      </x:c>
      <x:c r="G2036" s="21" t="n">
        <x:v>45527</x:v>
      </x:c>
      <x:c r="H2036" s="21" t="n">
        <x:v>4552</x:v>
      </x:c>
      <x:c r="I2036" s="17" t="str">
        <x:v>Correction</x:v>
      </x:c>
    </x:row>
    <x:row r="2037" ht="23" customHeight="1">
      <x:c r="A2037" s="17" t="str">
        <x:v>U02031</x:v>
      </x:c>
      <x:c r="B2037" s="18" t="n">
        <x:v>46279</x:v>
      </x:c>
      <x:c r="C2037" s="17" t="str">
        <x:v>W0149</x:v>
      </x:c>
      <x:c r="D2037" s="17" t="str">
        <x:v>C003</x:v>
      </x:c>
      <x:c r="E2037" s="17" t="str">
        <x:v>CopyStudio</x:v>
      </x:c>
      <x:c r="F2037" s="17" t="str">
        <x:v>Lite</x:v>
      </x:c>
      <x:c r="G2037" s="21" t="n">
        <x:v>53297</x:v>
      </x:c>
      <x:c r="H2037" s="21" t="n">
        <x:v>6293</x:v>
      </x:c>
      <x:c r="I2037" s="17" t="str">
        <x:v>Followup</x:v>
      </x:c>
    </x:row>
    <x:row r="2038" ht="23" customHeight="1">
      <x:c r="A2038" s="17" t="str">
        <x:v>U02032</x:v>
      </x:c>
      <x:c r="B2038" s="18" t="n">
        <x:v>46279</x:v>
      </x:c>
      <x:c r="C2038" s="17" t="str">
        <x:v>W0149</x:v>
      </x:c>
      <x:c r="D2038" s="17" t="str">
        <x:v>C003</x:v>
      </x:c>
      <x:c r="E2038" s="17" t="str">
        <x:v>CopyStudio</x:v>
      </x:c>
      <x:c r="F2038" s="17" t="str">
        <x:v>Lite</x:v>
      </x:c>
      <x:c r="G2038" s="21" t="n">
        <x:v>33618</x:v>
      </x:c>
      <x:c r="H2038" s="21" t="n">
        <x:v>2590</x:v>
      </x:c>
      <x:c r="I2038" s="17" t="str">
        <x:v>Followup</x:v>
      </x:c>
    </x:row>
    <x:row r="2039" ht="23" customHeight="1">
      <x:c r="A2039" s="17" t="str">
        <x:v>U02033</x:v>
      </x:c>
      <x:c r="B2039" s="18" t="n">
        <x:v>46279</x:v>
      </x:c>
      <x:c r="C2039" s="17" t="str">
        <x:v>W0149</x:v>
      </x:c>
      <x:c r="D2039" s="17" t="str">
        <x:v>C003</x:v>
      </x:c>
      <x:c r="E2039" s="17" t="str">
        <x:v>CopyStudio</x:v>
      </x:c>
      <x:c r="F2039" s="17" t="str">
        <x:v>Lite</x:v>
      </x:c>
      <x:c r="G2039" s="21" t="n">
        <x:v>22780</x:v>
      </x:c>
      <x:c r="H2039" s="21" t="n">
        <x:v>6351</x:v>
      </x:c>
      <x:c r="I2039" s="17" t="str">
        <x:v>Followup</x:v>
      </x:c>
    </x:row>
    <x:row r="2040" ht="23" customHeight="1">
      <x:c r="A2040" s="17" t="str">
        <x:v>U02034</x:v>
      </x:c>
      <x:c r="B2040" s="18" t="n">
        <x:v>46280</x:v>
      </x:c>
      <x:c r="C2040" s="17" t="str">
        <x:v>W0149</x:v>
      </x:c>
      <x:c r="D2040" s="17" t="str">
        <x:v>C003</x:v>
      </x:c>
      <x:c r="E2040" s="17" t="str">
        <x:v>CopyStudio</x:v>
      </x:c>
      <x:c r="F2040" s="17" t="str">
        <x:v>Lite</x:v>
      </x:c>
      <x:c r="G2040" s="21" t="n">
        <x:v>52220</x:v>
      </x:c>
      <x:c r="H2040" s="21" t="n">
        <x:v>5112</x:v>
      </x:c>
      <x:c r="I2040" s="17" t="str">
        <x:v>Followup</x:v>
      </x:c>
    </x:row>
    <x:row r="2041" ht="23" customHeight="1">
      <x:c r="A2041" s="17" t="str">
        <x:v>U02035</x:v>
      </x:c>
      <x:c r="B2041" s="18" t="n">
        <x:v>46280</x:v>
      </x:c>
      <x:c r="C2041" s="17" t="str">
        <x:v>W0149</x:v>
      </x:c>
      <x:c r="D2041" s="17" t="str">
        <x:v>C003</x:v>
      </x:c>
      <x:c r="E2041" s="17" t="str">
        <x:v>CopyStudio</x:v>
      </x:c>
      <x:c r="F2041" s="17" t="str">
        <x:v>Lite</x:v>
      </x:c>
      <x:c r="G2041" s="21" t="n">
        <x:v>37119</x:v>
      </x:c>
      <x:c r="H2041" s="21" t="n">
        <x:v>5616</x:v>
      </x:c>
      <x:c r="I2041" s="17" t="str">
        <x:v>Followup</x:v>
      </x:c>
    </x:row>
    <x:row r="2042" ht="23" customHeight="1">
      <x:c r="A2042" s="17" t="str">
        <x:v>U02036</x:v>
      </x:c>
      <x:c r="B2042" s="18" t="n">
        <x:v>46280</x:v>
      </x:c>
      <x:c r="C2042" s="17" t="str">
        <x:v>W0149</x:v>
      </x:c>
      <x:c r="D2042" s="17" t="str">
        <x:v>C003</x:v>
      </x:c>
      <x:c r="E2042" s="17" t="str">
        <x:v>CopyStudio</x:v>
      </x:c>
      <x:c r="F2042" s="17" t="str">
        <x:v>Lite</x:v>
      </x:c>
      <x:c r="G2042" s="21" t="n">
        <x:v>32094</x:v>
      </x:c>
      <x:c r="H2042" s="21" t="n">
        <x:v>6297</x:v>
      </x:c>
      <x:c r="I2042" s="17" t="str">
        <x:v>Correction</x:v>
      </x:c>
    </x:row>
    <x:row r="2043" ht="23" customHeight="1">
      <x:c r="A2043" s="17" t="str">
        <x:v>U02037</x:v>
      </x:c>
      <x:c r="B2043" s="18" t="n">
        <x:v>46281</x:v>
      </x:c>
      <x:c r="C2043" s="17" t="str">
        <x:v>W0149</x:v>
      </x:c>
      <x:c r="D2043" s="17" t="str">
        <x:v>C003</x:v>
      </x:c>
      <x:c r="E2043" s="17" t="str">
        <x:v>CopyStudio</x:v>
      </x:c>
      <x:c r="F2043" s="17" t="str">
        <x:v>Lite</x:v>
      </x:c>
      <x:c r="G2043" s="21" t="n">
        <x:v>36654</x:v>
      </x:c>
      <x:c r="H2043" s="21" t="n">
        <x:v>5323</x:v>
      </x:c>
      <x:c r="I2043" s="17" t="str">
        <x:v>Followup</x:v>
      </x:c>
    </x:row>
    <x:row r="2044" ht="23" customHeight="1">
      <x:c r="A2044" s="17" t="str">
        <x:v>U02038</x:v>
      </x:c>
      <x:c r="B2044" s="18" t="n">
        <x:v>46281</x:v>
      </x:c>
      <x:c r="C2044" s="17" t="str">
        <x:v>W0149</x:v>
      </x:c>
      <x:c r="D2044" s="17" t="str">
        <x:v>C003</x:v>
      </x:c>
      <x:c r="E2044" s="17" t="str">
        <x:v>CopyStudio</x:v>
      </x:c>
      <x:c r="F2044" s="17" t="str">
        <x:v>Lite</x:v>
      </x:c>
      <x:c r="G2044" s="21" t="n">
        <x:v>25645</x:v>
      </x:c>
      <x:c r="H2044" s="21" t="n">
        <x:v>3539</x:v>
      </x:c>
      <x:c r="I2044" s="17" t="str">
        <x:v>Followup</x:v>
      </x:c>
    </x:row>
    <x:row r="2045" ht="23" customHeight="1">
      <x:c r="A2045" s="17" t="str">
        <x:v>U02039</x:v>
      </x:c>
      <x:c r="B2045" s="18" t="n">
        <x:v>46281</x:v>
      </x:c>
      <x:c r="C2045" s="17" t="str">
        <x:v>W0149</x:v>
      </x:c>
      <x:c r="D2045" s="17" t="str">
        <x:v>C003</x:v>
      </x:c>
      <x:c r="E2045" s="17" t="str">
        <x:v>CopyStudio</x:v>
      </x:c>
      <x:c r="F2045" s="17" t="str">
        <x:v>Lite</x:v>
      </x:c>
      <x:c r="G2045" s="21" t="n">
        <x:v>30578</x:v>
      </x:c>
      <x:c r="H2045" s="21" t="n">
        <x:v>4220</x:v>
      </x:c>
      <x:c r="I2045" s="17" t="str">
        <x:v>Correction</x:v>
      </x:c>
    </x:row>
    <x:row r="2046" ht="23" customHeight="1">
      <x:c r="A2046" s="17" t="str">
        <x:v>U02040</x:v>
      </x:c>
      <x:c r="B2046" s="18" t="n">
        <x:v>46287</x:v>
      </x:c>
      <x:c r="C2046" s="17" t="str">
        <x:v>W0150</x:v>
      </x:c>
      <x:c r="D2046" s="17" t="str">
        <x:v>C003</x:v>
      </x:c>
      <x:c r="E2046" s="17" t="str">
        <x:v>InsightDesk</x:v>
      </x:c>
      <x:c r="F2046" s="17" t="str">
        <x:v>Lite</x:v>
      </x:c>
      <x:c r="G2046" s="21" t="n">
        <x:v>41004</x:v>
      </x:c>
      <x:c r="H2046" s="21" t="n">
        <x:v>12172</x:v>
      </x:c>
      <x:c r="I2046" s="17" t="str">
        <x:v>First attempt</x:v>
      </x:c>
    </x:row>
    <x:row r="2047" ht="23" customHeight="1">
      <x:c r="A2047" s="17" t="str">
        <x:v>U02041</x:v>
      </x:c>
      <x:c r="B2047" s="18" t="n">
        <x:v>46287</x:v>
      </x:c>
      <x:c r="C2047" s="17" t="str">
        <x:v>W0150</x:v>
      </x:c>
      <x:c r="D2047" s="17" t="str">
        <x:v>C003</x:v>
      </x:c>
      <x:c r="E2047" s="17" t="str">
        <x:v>InsightDesk</x:v>
      </x:c>
      <x:c r="F2047" s="17" t="str">
        <x:v>Lite</x:v>
      </x:c>
      <x:c r="G2047" s="21" t="n">
        <x:v>26810</x:v>
      </x:c>
      <x:c r="H2047" s="21" t="n">
        <x:v>6880</x:v>
      </x:c>
      <x:c r="I2047" s="17" t="str">
        <x:v>Followup</x:v>
      </x:c>
    </x:row>
    <x:row r="2048" ht="23" customHeight="1">
      <x:c r="A2048" s="17" t="str">
        <x:v>U02042</x:v>
      </x:c>
      <x:c r="B2048" s="18" t="n">
        <x:v>46287</x:v>
      </x:c>
      <x:c r="C2048" s="17" t="str">
        <x:v>W0150</x:v>
      </x:c>
      <x:c r="D2048" s="17" t="str">
        <x:v>C003</x:v>
      </x:c>
      <x:c r="E2048" s="17" t="str">
        <x:v>InsightDesk</x:v>
      </x:c>
      <x:c r="F2048" s="17" t="str">
        <x:v>Lite</x:v>
      </x:c>
      <x:c r="G2048" s="21" t="n">
        <x:v>31157</x:v>
      </x:c>
      <x:c r="H2048" s="21" t="n">
        <x:v>9989</x:v>
      </x:c>
      <x:c r="I2048" s="17" t="str">
        <x:v>Followup</x:v>
      </x:c>
    </x:row>
    <x:row r="2049" ht="23" customHeight="1">
      <x:c r="A2049" s="17" t="str">
        <x:v>U02043</x:v>
      </x:c>
      <x:c r="B2049" s="18" t="n">
        <x:v>46288</x:v>
      </x:c>
      <x:c r="C2049" s="17" t="str">
        <x:v>W0150</x:v>
      </x:c>
      <x:c r="D2049" s="17" t="str">
        <x:v>C003</x:v>
      </x:c>
      <x:c r="E2049" s="17" t="str">
        <x:v>InsightDesk</x:v>
      </x:c>
      <x:c r="F2049" s="17" t="str">
        <x:v>Lite</x:v>
      </x:c>
      <x:c r="G2049" s="21" t="n">
        <x:v>33836</x:v>
      </x:c>
      <x:c r="H2049" s="21" t="n">
        <x:v>4094</x:v>
      </x:c>
      <x:c r="I2049" s="17" t="str">
        <x:v>Correction</x:v>
      </x:c>
    </x:row>
    <x:row r="2050" ht="23" customHeight="1">
      <x:c r="A2050" s="17" t="str">
        <x:v>U02044</x:v>
      </x:c>
      <x:c r="B2050" s="18" t="n">
        <x:v>46288</x:v>
      </x:c>
      <x:c r="C2050" s="17" t="str">
        <x:v>W0150</x:v>
      </x:c>
      <x:c r="D2050" s="17" t="str">
        <x:v>C003</x:v>
      </x:c>
      <x:c r="E2050" s="17" t="str">
        <x:v>InsightDesk</x:v>
      </x:c>
      <x:c r="F2050" s="17" t="str">
        <x:v>Lite</x:v>
      </x:c>
      <x:c r="G2050" s="21" t="n">
        <x:v>24957</x:v>
      </x:c>
      <x:c r="H2050" s="21" t="n">
        <x:v>6518</x:v>
      </x:c>
      <x:c r="I2050" s="17" t="str">
        <x:v>Followup</x:v>
      </x:c>
    </x:row>
    <x:row r="2051" ht="23" customHeight="1">
      <x:c r="A2051" s="17" t="str">
        <x:v>U02045</x:v>
      </x:c>
      <x:c r="B2051" s="18" t="n">
        <x:v>46288</x:v>
      </x:c>
      <x:c r="C2051" s="17" t="str">
        <x:v>W0150</x:v>
      </x:c>
      <x:c r="D2051" s="17" t="str">
        <x:v>C003</x:v>
      </x:c>
      <x:c r="E2051" s="17" t="str">
        <x:v>InsightDesk</x:v>
      </x:c>
      <x:c r="F2051" s="17" t="str">
        <x:v>Lite</x:v>
      </x:c>
      <x:c r="G2051" s="21" t="n">
        <x:v>33860</x:v>
      </x:c>
      <x:c r="H2051" s="21" t="n">
        <x:v>4047</x:v>
      </x:c>
      <x:c r="I2051" s="17" t="str">
        <x:v>Correction</x:v>
      </x:c>
    </x:row>
    <x:row r="2052" ht="23" customHeight="1">
      <x:c r="A2052" s="17" t="str">
        <x:v>U02046</x:v>
      </x:c>
      <x:c r="B2052" s="18" t="n">
        <x:v>46289</x:v>
      </x:c>
      <x:c r="C2052" s="17" t="str">
        <x:v>W0150</x:v>
      </x:c>
      <x:c r="D2052" s="17" t="str">
        <x:v>C003</x:v>
      </x:c>
      <x:c r="E2052" s="17" t="str">
        <x:v>InsightDesk</x:v>
      </x:c>
      <x:c r="F2052" s="17" t="str">
        <x:v>Lite</x:v>
      </x:c>
      <x:c r="G2052" s="21" t="n">
        <x:v>18706</x:v>
      </x:c>
      <x:c r="H2052" s="21" t="n">
        <x:v>7174</x:v>
      </x:c>
      <x:c r="I2052" s="17" t="str">
        <x:v>Followup</x:v>
      </x:c>
    </x:row>
    <x:row r="2053" ht="23" customHeight="1">
      <x:c r="A2053" s="17" t="str">
        <x:v>U02047</x:v>
      </x:c>
      <x:c r="B2053" s="18" t="n">
        <x:v>46289</x:v>
      </x:c>
      <x:c r="C2053" s="17" t="str">
        <x:v>W0150</x:v>
      </x:c>
      <x:c r="D2053" s="17" t="str">
        <x:v>C003</x:v>
      </x:c>
      <x:c r="E2053" s="17" t="str">
        <x:v>InsightDesk</x:v>
      </x:c>
      <x:c r="F2053" s="17" t="str">
        <x:v>Lite</x:v>
      </x:c>
      <x:c r="G2053" s="21" t="n">
        <x:v>35457</x:v>
      </x:c>
      <x:c r="H2053" s="21" t="n">
        <x:v>5603</x:v>
      </x:c>
      <x:c r="I2053" s="17" t="str">
        <x:v>Correction</x:v>
      </x:c>
    </x:row>
    <x:row r="2054" ht="23" customHeight="1">
      <x:c r="A2054" s="17" t="str">
        <x:v>U02048</x:v>
      </x:c>
      <x:c r="B2054" s="18" t="n">
        <x:v>46289</x:v>
      </x:c>
      <x:c r="C2054" s="17" t="str">
        <x:v>W0150</x:v>
      </x:c>
      <x:c r="D2054" s="17" t="str">
        <x:v>C003</x:v>
      </x:c>
      <x:c r="E2054" s="17" t="str">
        <x:v>InsightDesk</x:v>
      </x:c>
      <x:c r="F2054" s="17" t="str">
        <x:v>Lite</x:v>
      </x:c>
      <x:c r="G2054" s="21" t="n">
        <x:v>48433</x:v>
      </x:c>
      <x:c r="H2054" s="21" t="n">
        <x:v>12094</x:v>
      </x:c>
      <x:c r="I2054" s="17" t="str">
        <x:v>Followup</x:v>
      </x:c>
    </x:row>
    <x:row r="2055" ht="23" customHeight="1">
      <x:c r="A2055" s="17" t="str">
        <x:v>U02049</x:v>
      </x:c>
      <x:c r="B2055" s="18" t="n">
        <x:v>46290</x:v>
      </x:c>
      <x:c r="C2055" s="17" t="str">
        <x:v>W0150</x:v>
      </x:c>
      <x:c r="D2055" s="17" t="str">
        <x:v>C003</x:v>
      </x:c>
      <x:c r="E2055" s="17" t="str">
        <x:v>InsightDesk</x:v>
      </x:c>
      <x:c r="F2055" s="17" t="str">
        <x:v>Lite</x:v>
      </x:c>
      <x:c r="G2055" s="21" t="n">
        <x:v>48753</x:v>
      </x:c>
      <x:c r="H2055" s="21" t="n">
        <x:v>7647</x:v>
      </x:c>
      <x:c r="I2055" s="17" t="str">
        <x:v>Followup</x:v>
      </x:c>
    </x:row>
    <x:row r="2056" ht="23" customHeight="1">
      <x:c r="A2056" s="17" t="str">
        <x:v>U02050</x:v>
      </x:c>
      <x:c r="B2056" s="18" t="n">
        <x:v>46290</x:v>
      </x:c>
      <x:c r="C2056" s="17" t="str">
        <x:v>W0150</x:v>
      </x:c>
      <x:c r="D2056" s="17" t="str">
        <x:v>C003</x:v>
      </x:c>
      <x:c r="E2056" s="17" t="str">
        <x:v>InsightDesk</x:v>
      </x:c>
      <x:c r="F2056" s="17" t="str">
        <x:v>Lite</x:v>
      </x:c>
      <x:c r="G2056" s="21" t="n">
        <x:v>39562</x:v>
      </x:c>
      <x:c r="H2056" s="21" t="n">
        <x:v>3818</x:v>
      </x:c>
      <x:c r="I2056" s="17" t="str">
        <x:v>Followup</x:v>
      </x:c>
    </x:row>
    <x:row r="2057" ht="23" customHeight="1">
      <x:c r="A2057" s="17" t="str">
        <x:v>U02051</x:v>
      </x:c>
      <x:c r="B2057" s="18" t="n">
        <x:v>46290</x:v>
      </x:c>
      <x:c r="C2057" s="17" t="str">
        <x:v>W0150</x:v>
      </x:c>
      <x:c r="D2057" s="17" t="str">
        <x:v>C003</x:v>
      </x:c>
      <x:c r="E2057" s="17" t="str">
        <x:v>InsightDesk</x:v>
      </x:c>
      <x:c r="F2057" s="17" t="str">
        <x:v>Lite</x:v>
      </x:c>
      <x:c r="G2057" s="21" t="n">
        <x:v>47298</x:v>
      </x:c>
      <x:c r="H2057" s="21" t="n">
        <x:v>6025</x:v>
      </x:c>
      <x:c r="I2057" s="17" t="str">
        <x:v>Followup</x:v>
      </x:c>
    </x:row>
    <x:row r="2058" ht="23" customHeight="1">
      <x:c r="A2058" s="17" t="str">
        <x:v>U02052</x:v>
      </x:c>
      <x:c r="B2058" s="18" t="n">
        <x:v>46269</x:v>
      </x:c>
      <x:c r="C2058" s="17" t="str">
        <x:v>W0151</x:v>
      </x:c>
      <x:c r="D2058" s="17" t="str">
        <x:v>C003</x:v>
      </x:c>
      <x:c r="E2058" s="17" t="str">
        <x:v>CopyStudio</x:v>
      </x:c>
      <x:c r="F2058" s="17" t="str">
        <x:v>Lite</x:v>
      </x:c>
      <x:c r="G2058" s="21" t="n">
        <x:v>37927</x:v>
      </x:c>
      <x:c r="H2058" s="21" t="n">
        <x:v>5212</x:v>
      </x:c>
      <x:c r="I2058" s="17" t="str">
        <x:v>First attempt</x:v>
      </x:c>
    </x:row>
    <x:row r="2059" ht="23" customHeight="1">
      <x:c r="A2059" s="17" t="str">
        <x:v>U02053</x:v>
      </x:c>
      <x:c r="B2059" s="18" t="n">
        <x:v>46269</x:v>
      </x:c>
      <x:c r="C2059" s="17" t="str">
        <x:v>W0151</x:v>
      </x:c>
      <x:c r="D2059" s="17" t="str">
        <x:v>C003</x:v>
      </x:c>
      <x:c r="E2059" s="17" t="str">
        <x:v>CopyStudio</x:v>
      </x:c>
      <x:c r="F2059" s="17" t="str">
        <x:v>Lite</x:v>
      </x:c>
      <x:c r="G2059" s="21" t="n">
        <x:v>25478</x:v>
      </x:c>
      <x:c r="H2059" s="21" t="n">
        <x:v>5206</x:v>
      </x:c>
      <x:c r="I2059" s="17" t="str">
        <x:v>Correction</x:v>
      </x:c>
    </x:row>
    <x:row r="2060" ht="23" customHeight="1">
      <x:c r="A2060" s="17" t="str">
        <x:v>U02054</x:v>
      </x:c>
      <x:c r="B2060" s="18" t="n">
        <x:v>46269</x:v>
      </x:c>
      <x:c r="C2060" s="17" t="str">
        <x:v>W0151</x:v>
      </x:c>
      <x:c r="D2060" s="17" t="str">
        <x:v>C003</x:v>
      </x:c>
      <x:c r="E2060" s="17" t="str">
        <x:v>CopyStudio</x:v>
      </x:c>
      <x:c r="F2060" s="17" t="str">
        <x:v>Lite</x:v>
      </x:c>
      <x:c r="G2060" s="21" t="n">
        <x:v>31228</x:v>
      </x:c>
      <x:c r="H2060" s="21" t="n">
        <x:v>2725</x:v>
      </x:c>
      <x:c r="I2060" s="17" t="str">
        <x:v>Followup</x:v>
      </x:c>
    </x:row>
    <x:row r="2061" ht="23" customHeight="1">
      <x:c r="A2061" s="17" t="str">
        <x:v>U02055</x:v>
      </x:c>
      <x:c r="B2061" s="18" t="n">
        <x:v>46269</x:v>
      </x:c>
      <x:c r="C2061" s="17" t="str">
        <x:v>W0151</x:v>
      </x:c>
      <x:c r="D2061" s="17" t="str">
        <x:v>C003</x:v>
      </x:c>
      <x:c r="E2061" s="17" t="str">
        <x:v>CopyStudio</x:v>
      </x:c>
      <x:c r="F2061" s="17" t="str">
        <x:v>Lite</x:v>
      </x:c>
      <x:c r="G2061" s="21" t="n">
        <x:v>24006</x:v>
      </x:c>
      <x:c r="H2061" s="21" t="n">
        <x:v>2625</x:v>
      </x:c>
      <x:c r="I2061" s="17" t="str">
        <x:v>Followup</x:v>
      </x:c>
    </x:row>
    <x:row r="2062" ht="23" customHeight="1">
      <x:c r="A2062" s="17" t="str">
        <x:v>U02056</x:v>
      </x:c>
      <x:c r="B2062" s="18" t="n">
        <x:v>46269</x:v>
      </x:c>
      <x:c r="C2062" s="17" t="str">
        <x:v>W0151</x:v>
      </x:c>
      <x:c r="D2062" s="17" t="str">
        <x:v>C003</x:v>
      </x:c>
      <x:c r="E2062" s="17" t="str">
        <x:v>CopyStudio</x:v>
      </x:c>
      <x:c r="F2062" s="17" t="str">
        <x:v>Lite</x:v>
      </x:c>
      <x:c r="G2062" s="21" t="n">
        <x:v>20496</x:v>
      </x:c>
      <x:c r="H2062" s="21" t="n">
        <x:v>4820</x:v>
      </x:c>
      <x:c r="I2062" s="17" t="str">
        <x:v>Correction</x:v>
      </x:c>
    </x:row>
    <x:row r="2063" ht="23" customHeight="1">
      <x:c r="A2063" s="17" t="str">
        <x:v>U02057</x:v>
      </x:c>
      <x:c r="B2063" s="18" t="n">
        <x:v>46273</x:v>
      </x:c>
      <x:c r="C2063" s="17" t="str">
        <x:v>W0151</x:v>
      </x:c>
      <x:c r="D2063" s="17" t="str">
        <x:v>C003</x:v>
      </x:c>
      <x:c r="E2063" s="17" t="str">
        <x:v>CopyStudio</x:v>
      </x:c>
      <x:c r="F2063" s="17" t="str">
        <x:v>Lite</x:v>
      </x:c>
      <x:c r="G2063" s="21" t="n">
        <x:v>38833</x:v>
      </x:c>
      <x:c r="H2063" s="21" t="n">
        <x:v>6331</x:v>
      </x:c>
      <x:c r="I2063" s="17" t="str">
        <x:v>Correction</x:v>
      </x:c>
    </x:row>
    <x:row r="2064" ht="23" customHeight="1">
      <x:c r="A2064" s="17" t="str">
        <x:v>U02058</x:v>
      </x:c>
      <x:c r="B2064" s="18" t="n">
        <x:v>46273</x:v>
      </x:c>
      <x:c r="C2064" s="17" t="str">
        <x:v>W0151</x:v>
      </x:c>
      <x:c r="D2064" s="17" t="str">
        <x:v>C003</x:v>
      </x:c>
      <x:c r="E2064" s="17" t="str">
        <x:v>CopyStudio</x:v>
      </x:c>
      <x:c r="F2064" s="17" t="str">
        <x:v>Lite</x:v>
      </x:c>
      <x:c r="G2064" s="21" t="n">
        <x:v>40897</x:v>
      </x:c>
      <x:c r="H2064" s="21" t="n">
        <x:v>5590</x:v>
      </x:c>
      <x:c r="I2064" s="17" t="str">
        <x:v>Followup</x:v>
      </x:c>
    </x:row>
    <x:row r="2065" ht="23" customHeight="1">
      <x:c r="A2065" s="17" t="str">
        <x:v>U02059</x:v>
      </x:c>
      <x:c r="B2065" s="18" t="n">
        <x:v>46273</x:v>
      </x:c>
      <x:c r="C2065" s="17" t="str">
        <x:v>W0151</x:v>
      </x:c>
      <x:c r="D2065" s="17" t="str">
        <x:v>C003</x:v>
      </x:c>
      <x:c r="E2065" s="17" t="str">
        <x:v>CopyStudio</x:v>
      </x:c>
      <x:c r="F2065" s="17" t="str">
        <x:v>Lite</x:v>
      </x:c>
      <x:c r="G2065" s="21" t="n">
        <x:v>24482</x:v>
      </x:c>
      <x:c r="H2065" s="21" t="n">
        <x:v>5668</x:v>
      </x:c>
      <x:c r="I2065" s="17" t="str">
        <x:v>Followup</x:v>
      </x:c>
    </x:row>
    <x:row r="2066" ht="23" customHeight="1">
      <x:c r="A2066" s="17" t="str">
        <x:v>U02060</x:v>
      </x:c>
      <x:c r="B2066" s="18" t="n">
        <x:v>46273</x:v>
      </x:c>
      <x:c r="C2066" s="17" t="str">
        <x:v>W0151</x:v>
      </x:c>
      <x:c r="D2066" s="17" t="str">
        <x:v>C003</x:v>
      </x:c>
      <x:c r="E2066" s="17" t="str">
        <x:v>CopyStudio</x:v>
      </x:c>
      <x:c r="F2066" s="17" t="str">
        <x:v>Lite</x:v>
      </x:c>
      <x:c r="G2066" s="21" t="n">
        <x:v>29433</x:v>
      </x:c>
      <x:c r="H2066" s="21" t="n">
        <x:v>3870</x:v>
      </x:c>
      <x:c r="I2066" s="17" t="str">
        <x:v>Followup</x:v>
      </x:c>
    </x:row>
    <x:row r="2067" ht="23" customHeight="1">
      <x:c r="A2067" s="17" t="str">
        <x:v>U02061</x:v>
      </x:c>
      <x:c r="B2067" s="18" t="n">
        <x:v>46274</x:v>
      </x:c>
      <x:c r="C2067" s="17" t="str">
        <x:v>W0151</x:v>
      </x:c>
      <x:c r="D2067" s="17" t="str">
        <x:v>C003</x:v>
      </x:c>
      <x:c r="E2067" s="17" t="str">
        <x:v>CopyStudio</x:v>
      </x:c>
      <x:c r="F2067" s="17" t="str">
        <x:v>Lite</x:v>
      </x:c>
      <x:c r="G2067" s="21" t="n">
        <x:v>26574</x:v>
      </x:c>
      <x:c r="H2067" s="21" t="n">
        <x:v>2430</x:v>
      </x:c>
      <x:c r="I2067" s="17" t="str">
        <x:v>Followup</x:v>
      </x:c>
    </x:row>
    <x:row r="2068" ht="23" customHeight="1">
      <x:c r="A2068" s="17" t="str">
        <x:v>U02062</x:v>
      </x:c>
      <x:c r="B2068" s="18" t="n">
        <x:v>46274</x:v>
      </x:c>
      <x:c r="C2068" s="17" t="str">
        <x:v>W0151</x:v>
      </x:c>
      <x:c r="D2068" s="17" t="str">
        <x:v>C003</x:v>
      </x:c>
      <x:c r="E2068" s="17" t="str">
        <x:v>CopyStudio</x:v>
      </x:c>
      <x:c r="F2068" s="17" t="str">
        <x:v>Lite</x:v>
      </x:c>
      <x:c r="G2068" s="21" t="n">
        <x:v>46781</x:v>
      </x:c>
      <x:c r="H2068" s="21" t="n">
        <x:v>2007</x:v>
      </x:c>
      <x:c r="I2068" s="17" t="str">
        <x:v>Followup</x:v>
      </x:c>
    </x:row>
    <x:row r="2069" ht="23" customHeight="1">
      <x:c r="A2069" s="17" t="str">
        <x:v>U02063</x:v>
      </x:c>
      <x:c r="B2069" s="18" t="n">
        <x:v>46274</x:v>
      </x:c>
      <x:c r="C2069" s="17" t="str">
        <x:v>W0151</x:v>
      </x:c>
      <x:c r="D2069" s="17" t="str">
        <x:v>C003</x:v>
      </x:c>
      <x:c r="E2069" s="17" t="str">
        <x:v>CopyStudio</x:v>
      </x:c>
      <x:c r="F2069" s="17" t="str">
        <x:v>Lite</x:v>
      </x:c>
      <x:c r="G2069" s="21" t="n">
        <x:v>40704</x:v>
      </x:c>
      <x:c r="H2069" s="21" t="n">
        <x:v>6424</x:v>
      </x:c>
      <x:c r="I2069" s="17" t="str">
        <x:v>Followup</x:v>
      </x:c>
    </x:row>
    <x:row r="2070" ht="23" customHeight="1">
      <x:c r="A2070" s="17" t="str">
        <x:v>U02064</x:v>
      </x:c>
      <x:c r="B2070" s="18" t="n">
        <x:v>46274</x:v>
      </x:c>
      <x:c r="C2070" s="17" t="str">
        <x:v>W0151</x:v>
      </x:c>
      <x:c r="D2070" s="17" t="str">
        <x:v>C003</x:v>
      </x:c>
      <x:c r="E2070" s="17" t="str">
        <x:v>CopyStudio</x:v>
      </x:c>
      <x:c r="F2070" s="17" t="str">
        <x:v>Lite</x:v>
      </x:c>
      <x:c r="G2070" s="21" t="n">
        <x:v>35566</x:v>
      </x:c>
      <x:c r="H2070" s="21" t="n">
        <x:v>4239</x:v>
      </x:c>
      <x:c r="I2070" s="17" t="str">
        <x:v>Followup</x:v>
      </x:c>
    </x:row>
    <x:row r="2071" ht="23" customHeight="1">
      <x:c r="A2071" s="17" t="str">
        <x:v>U02065</x:v>
      </x:c>
      <x:c r="B2071" s="18" t="n">
        <x:v>46274</x:v>
      </x:c>
      <x:c r="C2071" s="17" t="str">
        <x:v>W0151</x:v>
      </x:c>
      <x:c r="D2071" s="17" t="str">
        <x:v>C003</x:v>
      </x:c>
      <x:c r="E2071" s="17" t="str">
        <x:v>CopyStudio</x:v>
      </x:c>
      <x:c r="F2071" s="17" t="str">
        <x:v>Lite</x:v>
      </x:c>
      <x:c r="G2071" s="21" t="n">
        <x:v>44195</x:v>
      </x:c>
      <x:c r="H2071" s="21" t="n">
        <x:v>3713</x:v>
      </x:c>
      <x:c r="I2071" s="17" t="str">
        <x:v>Followup</x:v>
      </x:c>
    </x:row>
    <x:row r="2072" ht="23" customHeight="1">
      <x:c r="A2072" s="17" t="str">
        <x:v>U02066</x:v>
      </x:c>
      <x:c r="B2072" s="18" t="n">
        <x:v>46275</x:v>
      </x:c>
      <x:c r="C2072" s="17" t="str">
        <x:v>W0151</x:v>
      </x:c>
      <x:c r="D2072" s="17" t="str">
        <x:v>C003</x:v>
      </x:c>
      <x:c r="E2072" s="17" t="str">
        <x:v>CopyStudio</x:v>
      </x:c>
      <x:c r="F2072" s="17" t="str">
        <x:v>Lite</x:v>
      </x:c>
      <x:c r="G2072" s="21" t="n">
        <x:v>38162</x:v>
      </x:c>
      <x:c r="H2072" s="21" t="n">
        <x:v>3747</x:v>
      </x:c>
      <x:c r="I2072" s="17" t="str">
        <x:v>Followup</x:v>
      </x:c>
    </x:row>
    <x:row r="2073" ht="23" customHeight="1">
      <x:c r="A2073" s="17" t="str">
        <x:v>U02067</x:v>
      </x:c>
      <x:c r="B2073" s="18" t="n">
        <x:v>46275</x:v>
      </x:c>
      <x:c r="C2073" s="17" t="str">
        <x:v>W0151</x:v>
      </x:c>
      <x:c r="D2073" s="17" t="str">
        <x:v>C003</x:v>
      </x:c>
      <x:c r="E2073" s="17" t="str">
        <x:v>CopyStudio</x:v>
      </x:c>
      <x:c r="F2073" s="17" t="str">
        <x:v>Lite</x:v>
      </x:c>
      <x:c r="G2073" s="21" t="n">
        <x:v>34188</x:v>
      </x:c>
      <x:c r="H2073" s="21" t="n">
        <x:v>2237</x:v>
      </x:c>
      <x:c r="I2073" s="17" t="str">
        <x:v>Followup</x:v>
      </x:c>
    </x:row>
    <x:row r="2074" ht="23" customHeight="1">
      <x:c r="A2074" s="17" t="str">
        <x:v>U02068</x:v>
      </x:c>
      <x:c r="B2074" s="18" t="n">
        <x:v>46275</x:v>
      </x:c>
      <x:c r="C2074" s="17" t="str">
        <x:v>W0151</x:v>
      </x:c>
      <x:c r="D2074" s="17" t="str">
        <x:v>C003</x:v>
      </x:c>
      <x:c r="E2074" s="17" t="str">
        <x:v>CopyStudio</x:v>
      </x:c>
      <x:c r="F2074" s="17" t="str">
        <x:v>Lite</x:v>
      </x:c>
      <x:c r="G2074" s="21" t="n">
        <x:v>46477</x:v>
      </x:c>
      <x:c r="H2074" s="21" t="n">
        <x:v>4918</x:v>
      </x:c>
      <x:c r="I2074" s="17" t="str">
        <x:v>Followup</x:v>
      </x:c>
    </x:row>
    <x:row r="2075" ht="23" customHeight="1">
      <x:c r="A2075" s="17" t="str">
        <x:v>U02069</x:v>
      </x:c>
      <x:c r="B2075" s="18" t="n">
        <x:v>46275</x:v>
      </x:c>
      <x:c r="C2075" s="17" t="str">
        <x:v>W0151</x:v>
      </x:c>
      <x:c r="D2075" s="17" t="str">
        <x:v>C003</x:v>
      </x:c>
      <x:c r="E2075" s="17" t="str">
        <x:v>CopyStudio</x:v>
      </x:c>
      <x:c r="F2075" s="17" t="str">
        <x:v>Lite</x:v>
      </x:c>
      <x:c r="G2075" s="21" t="n">
        <x:v>25069</x:v>
      </x:c>
      <x:c r="H2075" s="21" t="n">
        <x:v>2493</x:v>
      </x:c>
      <x:c r="I2075" s="17" t="str">
        <x:v>Followup</x:v>
      </x:c>
    </x:row>
    <x:row r="2076" ht="23" customHeight="1">
      <x:c r="A2076" s="17" t="str">
        <x:v>U02070</x:v>
      </x:c>
      <x:c r="B2076" s="18" t="n">
        <x:v>46290</x:v>
      </x:c>
      <x:c r="C2076" s="17" t="str">
        <x:v>W0153</x:v>
      </x:c>
      <x:c r="D2076" s="17" t="str">
        <x:v>C003</x:v>
      </x:c>
      <x:c r="E2076" s="17" t="str">
        <x:v>CopyStudio</x:v>
      </x:c>
      <x:c r="F2076" s="17" t="str">
        <x:v>Lite</x:v>
      </x:c>
      <x:c r="G2076" s="21" t="n">
        <x:v>24858</x:v>
      </x:c>
      <x:c r="H2076" s="21" t="n">
        <x:v>5196</x:v>
      </x:c>
      <x:c r="I2076" s="17" t="str">
        <x:v>First attempt</x:v>
      </x:c>
    </x:row>
    <x:row r="2077" ht="23" customHeight="1">
      <x:c r="A2077" s="17" t="str">
        <x:v>U02071</x:v>
      </x:c>
      <x:c r="B2077" s="18" t="n">
        <x:v>46290</x:v>
      </x:c>
      <x:c r="C2077" s="17" t="str">
        <x:v>W0153</x:v>
      </x:c>
      <x:c r="D2077" s="17" t="str">
        <x:v>C003</x:v>
      </x:c>
      <x:c r="E2077" s="17" t="str">
        <x:v>CopyStudio</x:v>
      </x:c>
      <x:c r="F2077" s="17" t="str">
        <x:v>Lite</x:v>
      </x:c>
      <x:c r="G2077" s="21" t="n">
        <x:v>19006</x:v>
      </x:c>
      <x:c r="H2077" s="21" t="n">
        <x:v>6084</x:v>
      </x:c>
      <x:c r="I2077" s="17" t="str">
        <x:v>Correction</x:v>
      </x:c>
    </x:row>
    <x:row r="2078" ht="23" customHeight="1">
      <x:c r="A2078" s="17" t="str">
        <x:v>U02072</x:v>
      </x:c>
      <x:c r="B2078" s="18" t="n">
        <x:v>46290</x:v>
      </x:c>
      <x:c r="C2078" s="17" t="str">
        <x:v>W0153</x:v>
      </x:c>
      <x:c r="D2078" s="17" t="str">
        <x:v>C003</x:v>
      </x:c>
      <x:c r="E2078" s="17" t="str">
        <x:v>CopyStudio</x:v>
      </x:c>
      <x:c r="F2078" s="17" t="str">
        <x:v>Lite</x:v>
      </x:c>
      <x:c r="G2078" s="21" t="n">
        <x:v>40171</x:v>
      </x:c>
      <x:c r="H2078" s="21" t="n">
        <x:v>10174</x:v>
      </x:c>
      <x:c r="I2078" s="17" t="str">
        <x:v>Followup</x:v>
      </x:c>
    </x:row>
    <x:row r="2079" ht="23" customHeight="1">
      <x:c r="A2079" s="17" t="str">
        <x:v>U02073</x:v>
      </x:c>
      <x:c r="B2079" s="18" t="n">
        <x:v>46293</x:v>
      </x:c>
      <x:c r="C2079" s="17" t="str">
        <x:v>W0153</x:v>
      </x:c>
      <x:c r="D2079" s="17" t="str">
        <x:v>C003</x:v>
      </x:c>
      <x:c r="E2079" s="17" t="str">
        <x:v>CopyStudio</x:v>
      </x:c>
      <x:c r="F2079" s="17" t="str">
        <x:v>Lite</x:v>
      </x:c>
      <x:c r="G2079" s="21" t="n">
        <x:v>34796</x:v>
      </x:c>
      <x:c r="H2079" s="21" t="n">
        <x:v>9274</x:v>
      </x:c>
      <x:c r="I2079" s="17" t="str">
        <x:v>Followup</x:v>
      </x:c>
    </x:row>
    <x:row r="2080" ht="23" customHeight="1">
      <x:c r="A2080" s="17" t="str">
        <x:v>U02074</x:v>
      </x:c>
      <x:c r="B2080" s="18" t="n">
        <x:v>46293</x:v>
      </x:c>
      <x:c r="C2080" s="17" t="str">
        <x:v>W0153</x:v>
      </x:c>
      <x:c r="D2080" s="17" t="str">
        <x:v>C003</x:v>
      </x:c>
      <x:c r="E2080" s="17" t="str">
        <x:v>CopyStudio</x:v>
      </x:c>
      <x:c r="F2080" s="17" t="str">
        <x:v>Lite</x:v>
      </x:c>
      <x:c r="G2080" s="21" t="n">
        <x:v>22306</x:v>
      </x:c>
      <x:c r="H2080" s="21" t="n">
        <x:v>5310</x:v>
      </x:c>
      <x:c r="I2080" s="17" t="str">
        <x:v>Followup</x:v>
      </x:c>
    </x:row>
    <x:row r="2081" ht="23" customHeight="1">
      <x:c r="A2081" s="17" t="str">
        <x:v>U02075</x:v>
      </x:c>
      <x:c r="B2081" s="18" t="n">
        <x:v>46293</x:v>
      </x:c>
      <x:c r="C2081" s="17" t="str">
        <x:v>W0153</x:v>
      </x:c>
      <x:c r="D2081" s="17" t="str">
        <x:v>C003</x:v>
      </x:c>
      <x:c r="E2081" s="17" t="str">
        <x:v>CopyStudio</x:v>
      </x:c>
      <x:c r="F2081" s="17" t="str">
        <x:v>Lite</x:v>
      </x:c>
      <x:c r="G2081" s="21" t="n">
        <x:v>20658</x:v>
      </x:c>
      <x:c r="H2081" s="21" t="n">
        <x:v>8199</x:v>
      </x:c>
      <x:c r="I2081" s="17" t="str">
        <x:v>Followup</x:v>
      </x:c>
    </x:row>
    <x:row r="2082" ht="23" customHeight="1">
      <x:c r="A2082" s="17" t="str">
        <x:v>U02076</x:v>
      </x:c>
      <x:c r="B2082" s="18" t="n">
        <x:v>46294</x:v>
      </x:c>
      <x:c r="C2082" s="17" t="str">
        <x:v>W0153</x:v>
      </x:c>
      <x:c r="D2082" s="17" t="str">
        <x:v>C003</x:v>
      </x:c>
      <x:c r="E2082" s="17" t="str">
        <x:v>CopyStudio</x:v>
      </x:c>
      <x:c r="F2082" s="17" t="str">
        <x:v>Lite</x:v>
      </x:c>
      <x:c r="G2082" s="21" t="n">
        <x:v>34141</x:v>
      </x:c>
      <x:c r="H2082" s="21" t="n">
        <x:v>4025</x:v>
      </x:c>
      <x:c r="I2082" s="17" t="str">
        <x:v>Followup</x:v>
      </x:c>
    </x:row>
    <x:row r="2083" ht="23" customHeight="1">
      <x:c r="A2083" s="17" t="str">
        <x:v>U02077</x:v>
      </x:c>
      <x:c r="B2083" s="18" t="n">
        <x:v>46294</x:v>
      </x:c>
      <x:c r="C2083" s="17" t="str">
        <x:v>W0153</x:v>
      </x:c>
      <x:c r="D2083" s="17" t="str">
        <x:v>C003</x:v>
      </x:c>
      <x:c r="E2083" s="17" t="str">
        <x:v>CopyStudio</x:v>
      </x:c>
      <x:c r="F2083" s="17" t="str">
        <x:v>Lite</x:v>
      </x:c>
      <x:c r="G2083" s="21" t="n">
        <x:v>30359</x:v>
      </x:c>
      <x:c r="H2083" s="21" t="n">
        <x:v>4872</x:v>
      </x:c>
      <x:c r="I2083" s="17" t="str">
        <x:v>Followup</x:v>
      </x:c>
    </x:row>
    <x:row r="2084" ht="23" customHeight="1">
      <x:c r="A2084" s="17" t="str">
        <x:v>U02078</x:v>
      </x:c>
      <x:c r="B2084" s="18" t="n">
        <x:v>46294</x:v>
      </x:c>
      <x:c r="C2084" s="17" t="str">
        <x:v>W0153</x:v>
      </x:c>
      <x:c r="D2084" s="17" t="str">
        <x:v>C003</x:v>
      </x:c>
      <x:c r="E2084" s="17" t="str">
        <x:v>CopyStudio</x:v>
      </x:c>
      <x:c r="F2084" s="17" t="str">
        <x:v>Lite</x:v>
      </x:c>
      <x:c r="G2084" s="21" t="n">
        <x:v>33680</x:v>
      </x:c>
      <x:c r="H2084" s="21" t="n">
        <x:v>4738</x:v>
      </x:c>
      <x:c r="I2084" s="17" t="str">
        <x:v>Followup</x:v>
      </x:c>
    </x:row>
    <x:row r="2085" ht="23" customHeight="1">
      <x:c r="A2085" s="17" t="str">
        <x:v>U02079</x:v>
      </x:c>
      <x:c r="B2085" s="18" t="n">
        <x:v>46295</x:v>
      </x:c>
      <x:c r="C2085" s="17" t="str">
        <x:v>W0153</x:v>
      </x:c>
      <x:c r="D2085" s="17" t="str">
        <x:v>C003</x:v>
      </x:c>
      <x:c r="E2085" s="17" t="str">
        <x:v>CopyStudio</x:v>
      </x:c>
      <x:c r="F2085" s="17" t="str">
        <x:v>Lite</x:v>
      </x:c>
      <x:c r="G2085" s="21" t="n">
        <x:v>31924</x:v>
      </x:c>
      <x:c r="H2085" s="21" t="n">
        <x:v>4015</x:v>
      </x:c>
      <x:c r="I2085" s="17" t="str">
        <x:v>Followup</x:v>
      </x:c>
    </x:row>
    <x:row r="2086" ht="23" customHeight="1">
      <x:c r="A2086" s="17" t="str">
        <x:v>U02080</x:v>
      </x:c>
      <x:c r="B2086" s="18" t="n">
        <x:v>46295</x:v>
      </x:c>
      <x:c r="C2086" s="17" t="str">
        <x:v>W0153</x:v>
      </x:c>
      <x:c r="D2086" s="17" t="str">
        <x:v>C003</x:v>
      </x:c>
      <x:c r="E2086" s="17" t="str">
        <x:v>CopyStudio</x:v>
      </x:c>
      <x:c r="F2086" s="17" t="str">
        <x:v>Lite</x:v>
      </x:c>
      <x:c r="G2086" s="21" t="n">
        <x:v>32922</x:v>
      </x:c>
      <x:c r="H2086" s="21" t="n">
        <x:v>4656</x:v>
      </x:c>
      <x:c r="I2086" s="17" t="str">
        <x:v>Correction</x:v>
      </x:c>
    </x:row>
    <x:row r="2087" ht="23" customHeight="1">
      <x:c r="A2087" s="17" t="str">
        <x:v>U02081</x:v>
      </x:c>
      <x:c r="B2087" s="18" t="n">
        <x:v>46275</x:v>
      </x:c>
      <x:c r="C2087" s="17" t="str">
        <x:v>W0154</x:v>
      </x:c>
      <x:c r="D2087" s="17" t="str">
        <x:v>C003</x:v>
      </x:c>
      <x:c r="E2087" s="17" t="str">
        <x:v>CampaignChat</x:v>
      </x:c>
      <x:c r="F2087" s="17" t="str">
        <x:v>Lite</x:v>
      </x:c>
      <x:c r="G2087" s="21" t="n">
        <x:v>20063</x:v>
      </x:c>
      <x:c r="H2087" s="21" t="n">
        <x:v>3435</x:v>
      </x:c>
      <x:c r="I2087" s="17" t="str">
        <x:v>First attempt</x:v>
      </x:c>
    </x:row>
    <x:row r="2088" ht="23" customHeight="1">
      <x:c r="A2088" s="17" t="str">
        <x:v>U02082</x:v>
      </x:c>
      <x:c r="B2088" s="18" t="n">
        <x:v>46275</x:v>
      </x:c>
      <x:c r="C2088" s="17" t="str">
        <x:v>W0154</x:v>
      </x:c>
      <x:c r="D2088" s="17" t="str">
        <x:v>C003</x:v>
      </x:c>
      <x:c r="E2088" s="17" t="str">
        <x:v>CampaignChat</x:v>
      </x:c>
      <x:c r="F2088" s="17" t="str">
        <x:v>Lite</x:v>
      </x:c>
      <x:c r="G2088" s="21" t="n">
        <x:v>27828</x:v>
      </x:c>
      <x:c r="H2088" s="21" t="n">
        <x:v>3740</x:v>
      </x:c>
      <x:c r="I2088" s="17" t="str">
        <x:v>Followup</x:v>
      </x:c>
    </x:row>
    <x:row r="2089" ht="23" customHeight="1">
      <x:c r="A2089" s="17" t="str">
        <x:v>U02083</x:v>
      </x:c>
      <x:c r="B2089" s="18" t="n">
        <x:v>46275</x:v>
      </x:c>
      <x:c r="C2089" s="17" t="str">
        <x:v>W0154</x:v>
      </x:c>
      <x:c r="D2089" s="17" t="str">
        <x:v>C003</x:v>
      </x:c>
      <x:c r="E2089" s="17" t="str">
        <x:v>CampaignChat</x:v>
      </x:c>
      <x:c r="F2089" s="17" t="str">
        <x:v>Lite</x:v>
      </x:c>
      <x:c r="G2089" s="21" t="n">
        <x:v>25871</x:v>
      </x:c>
      <x:c r="H2089" s="21" t="n">
        <x:v>5870</x:v>
      </x:c>
      <x:c r="I2089" s="17" t="str">
        <x:v>Followup</x:v>
      </x:c>
    </x:row>
    <x:row r="2090" ht="23" customHeight="1">
      <x:c r="A2090" s="17" t="str">
        <x:v>U02084</x:v>
      </x:c>
      <x:c r="B2090" s="18" t="n">
        <x:v>46275</x:v>
      </x:c>
      <x:c r="C2090" s="17" t="str">
        <x:v>W0154</x:v>
      </x:c>
      <x:c r="D2090" s="17" t="str">
        <x:v>C003</x:v>
      </x:c>
      <x:c r="E2090" s="17" t="str">
        <x:v>CampaignChat</x:v>
      </x:c>
      <x:c r="F2090" s="17" t="str">
        <x:v>Lite</x:v>
      </x:c>
      <x:c r="G2090" s="21" t="n">
        <x:v>18089</x:v>
      </x:c>
      <x:c r="H2090" s="21" t="n">
        <x:v>6486</x:v>
      </x:c>
      <x:c r="I2090" s="17" t="str">
        <x:v>Followup</x:v>
      </x:c>
    </x:row>
    <x:row r="2091" ht="23" customHeight="1">
      <x:c r="A2091" s="17" t="str">
        <x:v>U02085</x:v>
      </x:c>
      <x:c r="B2091" s="18" t="n">
        <x:v>46276</x:v>
      </x:c>
      <x:c r="C2091" s="17" t="str">
        <x:v>W0154</x:v>
      </x:c>
      <x:c r="D2091" s="17" t="str">
        <x:v>C003</x:v>
      </x:c>
      <x:c r="E2091" s="17" t="str">
        <x:v>CampaignChat</x:v>
      </x:c>
      <x:c r="F2091" s="17" t="str">
        <x:v>Lite</x:v>
      </x:c>
      <x:c r="G2091" s="21" t="n">
        <x:v>23507</x:v>
      </x:c>
      <x:c r="H2091" s="21" t="n">
        <x:v>6066</x:v>
      </x:c>
      <x:c r="I2091" s="17" t="str">
        <x:v>Followup</x:v>
      </x:c>
    </x:row>
    <x:row r="2092" ht="23" customHeight="1">
      <x:c r="A2092" s="17" t="str">
        <x:v>U02086</x:v>
      </x:c>
      <x:c r="B2092" s="18" t="n">
        <x:v>46276</x:v>
      </x:c>
      <x:c r="C2092" s="17" t="str">
        <x:v>W0154</x:v>
      </x:c>
      <x:c r="D2092" s="17" t="str">
        <x:v>C003</x:v>
      </x:c>
      <x:c r="E2092" s="17" t="str">
        <x:v>CampaignChat</x:v>
      </x:c>
      <x:c r="F2092" s="17" t="str">
        <x:v>Lite</x:v>
      </x:c>
      <x:c r="G2092" s="21" t="n">
        <x:v>29936</x:v>
      </x:c>
      <x:c r="H2092" s="21" t="n">
        <x:v>9376</x:v>
      </x:c>
      <x:c r="I2092" s="17" t="str">
        <x:v>Followup</x:v>
      </x:c>
    </x:row>
    <x:row r="2093" ht="23" customHeight="1">
      <x:c r="A2093" s="17" t="str">
        <x:v>U02087</x:v>
      </x:c>
      <x:c r="B2093" s="18" t="n">
        <x:v>46276</x:v>
      </x:c>
      <x:c r="C2093" s="17" t="str">
        <x:v>W0154</x:v>
      </x:c>
      <x:c r="D2093" s="17" t="str">
        <x:v>C003</x:v>
      </x:c>
      <x:c r="E2093" s="17" t="str">
        <x:v>CampaignChat</x:v>
      </x:c>
      <x:c r="F2093" s="17" t="str">
        <x:v>Lite</x:v>
      </x:c>
      <x:c r="G2093" s="21" t="n">
        <x:v>22213</x:v>
      </x:c>
      <x:c r="H2093" s="21" t="n">
        <x:v>2719</x:v>
      </x:c>
      <x:c r="I2093" s="17" t="str">
        <x:v>Followup</x:v>
      </x:c>
    </x:row>
    <x:row r="2094" ht="23" customHeight="1">
      <x:c r="A2094" s="17" t="str">
        <x:v>U02088</x:v>
      </x:c>
      <x:c r="B2094" s="18" t="n">
        <x:v>46279</x:v>
      </x:c>
      <x:c r="C2094" s="17" t="str">
        <x:v>W0154</x:v>
      </x:c>
      <x:c r="D2094" s="17" t="str">
        <x:v>C003</x:v>
      </x:c>
      <x:c r="E2094" s="17" t="str">
        <x:v>CampaignChat</x:v>
      </x:c>
      <x:c r="F2094" s="17" t="str">
        <x:v>Lite</x:v>
      </x:c>
      <x:c r="G2094" s="21" t="n">
        <x:v>15031</x:v>
      </x:c>
      <x:c r="H2094" s="21" t="n">
        <x:v>9540</x:v>
      </x:c>
      <x:c r="I2094" s="17" t="str">
        <x:v>Followup</x:v>
      </x:c>
    </x:row>
    <x:row r="2095" ht="23" customHeight="1">
      <x:c r="A2095" s="17" t="str">
        <x:v>U02089</x:v>
      </x:c>
      <x:c r="B2095" s="18" t="n">
        <x:v>46279</x:v>
      </x:c>
      <x:c r="C2095" s="17" t="str">
        <x:v>W0154</x:v>
      </x:c>
      <x:c r="D2095" s="17" t="str">
        <x:v>C003</x:v>
      </x:c>
      <x:c r="E2095" s="17" t="str">
        <x:v>CampaignChat</x:v>
      </x:c>
      <x:c r="F2095" s="17" t="str">
        <x:v>Lite</x:v>
      </x:c>
      <x:c r="G2095" s="21" t="n">
        <x:v>10541</x:v>
      </x:c>
      <x:c r="H2095" s="21" t="n">
        <x:v>4063</x:v>
      </x:c>
      <x:c r="I2095" s="17" t="str">
        <x:v>Followup</x:v>
      </x:c>
    </x:row>
    <x:row r="2096" ht="23" customHeight="1">
      <x:c r="A2096" s="17" t="str">
        <x:v>U02090</x:v>
      </x:c>
      <x:c r="B2096" s="18" t="n">
        <x:v>46279</x:v>
      </x:c>
      <x:c r="C2096" s="17" t="str">
        <x:v>W0154</x:v>
      </x:c>
      <x:c r="D2096" s="17" t="str">
        <x:v>C003</x:v>
      </x:c>
      <x:c r="E2096" s="17" t="str">
        <x:v>CampaignChat</x:v>
      </x:c>
      <x:c r="F2096" s="17" t="str">
        <x:v>Lite</x:v>
      </x:c>
      <x:c r="G2096" s="21" t="n">
        <x:v>27490</x:v>
      </x:c>
      <x:c r="H2096" s="21" t="n">
        <x:v>5513</x:v>
      </x:c>
      <x:c r="I2096" s="17" t="str">
        <x:v>Followup</x:v>
      </x:c>
    </x:row>
    <x:row r="2097" ht="23" customHeight="1">
      <x:c r="A2097" s="17" t="str">
        <x:v>U02091</x:v>
      </x:c>
      <x:c r="B2097" s="18" t="n">
        <x:v>46279</x:v>
      </x:c>
      <x:c r="C2097" s="17" t="str">
        <x:v>W0154</x:v>
      </x:c>
      <x:c r="D2097" s="17" t="str">
        <x:v>C003</x:v>
      </x:c>
      <x:c r="E2097" s="17" t="str">
        <x:v>CampaignChat</x:v>
      </x:c>
      <x:c r="F2097" s="17" t="str">
        <x:v>Lite</x:v>
      </x:c>
      <x:c r="G2097" s="21" t="n">
        <x:v>23146</x:v>
      </x:c>
      <x:c r="H2097" s="21" t="n">
        <x:v>7361</x:v>
      </x:c>
      <x:c r="I2097" s="17" t="str">
        <x:v>Correction</x:v>
      </x:c>
    </x:row>
    <x:row r="2098" ht="23" customHeight="1">
      <x:c r="A2098" s="17" t="str">
        <x:v>U02092</x:v>
      </x:c>
      <x:c r="B2098" s="18" t="n">
        <x:v>46280</x:v>
      </x:c>
      <x:c r="C2098" s="17" t="str">
        <x:v>W0154</x:v>
      </x:c>
      <x:c r="D2098" s="17" t="str">
        <x:v>C003</x:v>
      </x:c>
      <x:c r="E2098" s="17" t="str">
        <x:v>CampaignChat</x:v>
      </x:c>
      <x:c r="F2098" s="17" t="str">
        <x:v>Lite</x:v>
      </x:c>
      <x:c r="G2098" s="21" t="n">
        <x:v>23689</x:v>
      </x:c>
      <x:c r="H2098" s="21" t="n">
        <x:v>9520</x:v>
      </x:c>
      <x:c r="I2098" s="17" t="str">
        <x:v>Correction</x:v>
      </x:c>
    </x:row>
    <x:row r="2099" ht="23" customHeight="1">
      <x:c r="A2099" s="17" t="str">
        <x:v>U02093</x:v>
      </x:c>
      <x:c r="B2099" s="18" t="n">
        <x:v>46280</x:v>
      </x:c>
      <x:c r="C2099" s="17" t="str">
        <x:v>W0154</x:v>
      </x:c>
      <x:c r="D2099" s="17" t="str">
        <x:v>C003</x:v>
      </x:c>
      <x:c r="E2099" s="17" t="str">
        <x:v>CampaignChat</x:v>
      </x:c>
      <x:c r="F2099" s="17" t="str">
        <x:v>Lite</x:v>
      </x:c>
      <x:c r="G2099" s="21" t="n">
        <x:v>12898</x:v>
      </x:c>
      <x:c r="H2099" s="21" t="n">
        <x:v>3055</x:v>
      </x:c>
      <x:c r="I2099" s="17" t="str">
        <x:v>Correction</x:v>
      </x:c>
    </x:row>
    <x:row r="2100" ht="23" customHeight="1">
      <x:c r="A2100" s="17" t="str">
        <x:v>U02094</x:v>
      </x:c>
      <x:c r="B2100" s="18" t="n">
        <x:v>46280</x:v>
      </x:c>
      <x:c r="C2100" s="17" t="str">
        <x:v>W0154</x:v>
      </x:c>
      <x:c r="D2100" s="17" t="str">
        <x:v>C003</x:v>
      </x:c>
      <x:c r="E2100" s="17" t="str">
        <x:v>CampaignChat</x:v>
      </x:c>
      <x:c r="F2100" s="17" t="str">
        <x:v>Lite</x:v>
      </x:c>
      <x:c r="G2100" s="21" t="n">
        <x:v>25813</x:v>
      </x:c>
      <x:c r="H2100" s="21" t="n">
        <x:v>4224</x:v>
      </x:c>
      <x:c r="I2100" s="17" t="str">
        <x:v>Correction</x:v>
      </x:c>
    </x:row>
    <x:row r="2101" ht="23" customHeight="1">
      <x:c r="A2101" s="17" t="str">
        <x:v>U02095</x:v>
      </x:c>
      <x:c r="B2101" s="18" t="n">
        <x:v>46286</x:v>
      </x:c>
      <x:c r="C2101" s="17" t="str">
        <x:v>W0155</x:v>
      </x:c>
      <x:c r="D2101" s="17" t="str">
        <x:v>C003</x:v>
      </x:c>
      <x:c r="E2101" s="17" t="str">
        <x:v>DataFlow</x:v>
      </x:c>
      <x:c r="F2101" s="17" t="str">
        <x:v>Lite</x:v>
      </x:c>
      <x:c r="G2101" s="21" t="n">
        <x:v>32003</x:v>
      </x:c>
      <x:c r="H2101" s="21" t="n">
        <x:v>7297</x:v>
      </x:c>
      <x:c r="I2101" s="17" t="str">
        <x:v>First attempt</x:v>
      </x:c>
    </x:row>
    <x:row r="2102" ht="23" customHeight="1">
      <x:c r="A2102" s="17" t="str">
        <x:v>U02096</x:v>
      </x:c>
      <x:c r="B2102" s="18" t="n">
        <x:v>46286</x:v>
      </x:c>
      <x:c r="C2102" s="17" t="str">
        <x:v>W0155</x:v>
      </x:c>
      <x:c r="D2102" s="17" t="str">
        <x:v>C003</x:v>
      </x:c>
      <x:c r="E2102" s="17" t="str">
        <x:v>DataFlow</x:v>
      </x:c>
      <x:c r="F2102" s="17" t="str">
        <x:v>Lite</x:v>
      </x:c>
      <x:c r="G2102" s="21" t="n">
        <x:v>39805</x:v>
      </x:c>
      <x:c r="H2102" s="21" t="n">
        <x:v>6268</x:v>
      </x:c>
      <x:c r="I2102" s="17" t="str">
        <x:v>Followup</x:v>
      </x:c>
    </x:row>
    <x:row r="2103" ht="23" customHeight="1">
      <x:c r="A2103" s="17" t="str">
        <x:v>U02097</x:v>
      </x:c>
      <x:c r="B2103" s="18" t="n">
        <x:v>46286</x:v>
      </x:c>
      <x:c r="C2103" s="17" t="str">
        <x:v>W0155</x:v>
      </x:c>
      <x:c r="D2103" s="17" t="str">
        <x:v>C003</x:v>
      </x:c>
      <x:c r="E2103" s="17" t="str">
        <x:v>DataFlow</x:v>
      </x:c>
      <x:c r="F2103" s="17" t="str">
        <x:v>Lite</x:v>
      </x:c>
      <x:c r="G2103" s="21" t="n">
        <x:v>34936</x:v>
      </x:c>
      <x:c r="H2103" s="21" t="n">
        <x:v>5606</x:v>
      </x:c>
      <x:c r="I2103" s="17" t="str">
        <x:v>Correction</x:v>
      </x:c>
    </x:row>
    <x:row r="2104" ht="23" customHeight="1">
      <x:c r="A2104" s="17" t="str">
        <x:v>U02098</x:v>
      </x:c>
      <x:c r="B2104" s="18" t="n">
        <x:v>46287</x:v>
      </x:c>
      <x:c r="C2104" s="17" t="str">
        <x:v>W0155</x:v>
      </x:c>
      <x:c r="D2104" s="17" t="str">
        <x:v>C003</x:v>
      </x:c>
      <x:c r="E2104" s="17" t="str">
        <x:v>DataFlow</x:v>
      </x:c>
      <x:c r="F2104" s="17" t="str">
        <x:v>Lite</x:v>
      </x:c>
      <x:c r="G2104" s="21" t="n">
        <x:v>46481</x:v>
      </x:c>
      <x:c r="H2104" s="21" t="n">
        <x:v>4599</x:v>
      </x:c>
      <x:c r="I2104" s="17" t="str">
        <x:v>Followup</x:v>
      </x:c>
    </x:row>
    <x:row r="2105" ht="23" customHeight="1">
      <x:c r="A2105" s="17" t="str">
        <x:v>U02099</x:v>
      </x:c>
      <x:c r="B2105" s="18" t="n">
        <x:v>46287</x:v>
      </x:c>
      <x:c r="C2105" s="17" t="str">
        <x:v>W0155</x:v>
      </x:c>
      <x:c r="D2105" s="17" t="str">
        <x:v>C003</x:v>
      </x:c>
      <x:c r="E2105" s="17" t="str">
        <x:v>DataFlow</x:v>
      </x:c>
      <x:c r="F2105" s="17" t="str">
        <x:v>Lite</x:v>
      </x:c>
      <x:c r="G2105" s="21" t="n">
        <x:v>36248</x:v>
      </x:c>
      <x:c r="H2105" s="21" t="n">
        <x:v>5823</x:v>
      </x:c>
      <x:c r="I2105" s="17" t="str">
        <x:v>Followup</x:v>
      </x:c>
    </x:row>
    <x:row r="2106" ht="23" customHeight="1">
      <x:c r="A2106" s="17" t="str">
        <x:v>U02100</x:v>
      </x:c>
      <x:c r="B2106" s="18" t="n">
        <x:v>46287</x:v>
      </x:c>
      <x:c r="C2106" s="17" t="str">
        <x:v>W0155</x:v>
      </x:c>
      <x:c r="D2106" s="17" t="str">
        <x:v>C003</x:v>
      </x:c>
      <x:c r="E2106" s="17" t="str">
        <x:v>DataFlow</x:v>
      </x:c>
      <x:c r="F2106" s="17" t="str">
        <x:v>Lite</x:v>
      </x:c>
      <x:c r="G2106" s="21" t="n">
        <x:v>33848</x:v>
      </x:c>
      <x:c r="H2106" s="21" t="n">
        <x:v>2939</x:v>
      </x:c>
      <x:c r="I2106" s="17" t="str">
        <x:v>Followup</x:v>
      </x:c>
    </x:row>
    <x:row r="2107" ht="23" customHeight="1">
      <x:c r="A2107" s="17" t="str">
        <x:v>U02101</x:v>
      </x:c>
      <x:c r="B2107" s="18" t="n">
        <x:v>46288</x:v>
      </x:c>
      <x:c r="C2107" s="17" t="str">
        <x:v>W0155</x:v>
      </x:c>
      <x:c r="D2107" s="17" t="str">
        <x:v>C003</x:v>
      </x:c>
      <x:c r="E2107" s="17" t="str">
        <x:v>DataFlow</x:v>
      </x:c>
      <x:c r="F2107" s="17" t="str">
        <x:v>Lite</x:v>
      </x:c>
      <x:c r="G2107" s="21" t="n">
        <x:v>18649</x:v>
      </x:c>
      <x:c r="H2107" s="21" t="n">
        <x:v>5644</x:v>
      </x:c>
      <x:c r="I2107" s="17" t="str">
        <x:v>Correction</x:v>
      </x:c>
    </x:row>
    <x:row r="2108" ht="23" customHeight="1">
      <x:c r="A2108" s="17" t="str">
        <x:v>U02102</x:v>
      </x:c>
      <x:c r="B2108" s="18" t="n">
        <x:v>46288</x:v>
      </x:c>
      <x:c r="C2108" s="17" t="str">
        <x:v>W0155</x:v>
      </x:c>
      <x:c r="D2108" s="17" t="str">
        <x:v>C003</x:v>
      </x:c>
      <x:c r="E2108" s="17" t="str">
        <x:v>DataFlow</x:v>
      </x:c>
      <x:c r="F2108" s="17" t="str">
        <x:v>Lite</x:v>
      </x:c>
      <x:c r="G2108" s="21" t="n">
        <x:v>22324</x:v>
      </x:c>
      <x:c r="H2108" s="21" t="n">
        <x:v>7132</x:v>
      </x:c>
      <x:c r="I2108" s="17" t="str">
        <x:v>Followup</x:v>
      </x:c>
    </x:row>
    <x:row r="2109" ht="23" customHeight="1">
      <x:c r="A2109" s="17" t="str">
        <x:v>U02103</x:v>
      </x:c>
      <x:c r="B2109" s="18" t="n">
        <x:v>46288</x:v>
      </x:c>
      <x:c r="C2109" s="17" t="str">
        <x:v>W0155</x:v>
      </x:c>
      <x:c r="D2109" s="17" t="str">
        <x:v>C003</x:v>
      </x:c>
      <x:c r="E2109" s="17" t="str">
        <x:v>DataFlow</x:v>
      </x:c>
      <x:c r="F2109" s="17" t="str">
        <x:v>Lite</x:v>
      </x:c>
      <x:c r="G2109" s="21" t="n">
        <x:v>19090</x:v>
      </x:c>
      <x:c r="H2109" s="21" t="n">
        <x:v>4834</x:v>
      </x:c>
      <x:c r="I2109" s="17" t="str">
        <x:v>Followup</x:v>
      </x:c>
    </x:row>
    <x:row r="2110" ht="23" customHeight="1">
      <x:c r="A2110" s="17" t="str">
        <x:v>U02104</x:v>
      </x:c>
      <x:c r="B2110" s="18" t="n">
        <x:v>46289</x:v>
      </x:c>
      <x:c r="C2110" s="17" t="str">
        <x:v>W0155</x:v>
      </x:c>
      <x:c r="D2110" s="17" t="str">
        <x:v>C003</x:v>
      </x:c>
      <x:c r="E2110" s="17" t="str">
        <x:v>DataFlow</x:v>
      </x:c>
      <x:c r="F2110" s="17" t="str">
        <x:v>Lite</x:v>
      </x:c>
      <x:c r="G2110" s="21" t="n">
        <x:v>36841</x:v>
      </x:c>
      <x:c r="H2110" s="21" t="n">
        <x:v>10422</x:v>
      </x:c>
      <x:c r="I2110" s="17" t="str">
        <x:v>Followup</x:v>
      </x:c>
    </x:row>
    <x:row r="2111" ht="23" customHeight="1">
      <x:c r="A2111" s="17" t="str">
        <x:v>U02105</x:v>
      </x:c>
      <x:c r="B2111" s="18" t="n">
        <x:v>46289</x:v>
      </x:c>
      <x:c r="C2111" s="17" t="str">
        <x:v>W0155</x:v>
      </x:c>
      <x:c r="D2111" s="17" t="str">
        <x:v>C003</x:v>
      </x:c>
      <x:c r="E2111" s="17" t="str">
        <x:v>DataFlow</x:v>
      </x:c>
      <x:c r="F2111" s="17" t="str">
        <x:v>Lite</x:v>
      </x:c>
      <x:c r="G2111" s="21" t="n">
        <x:v>25966</x:v>
      </x:c>
      <x:c r="H2111" s="21" t="n">
        <x:v>7738</x:v>
      </x:c>
      <x:c r="I2111" s="17" t="str">
        <x:v>Followup</x:v>
      </x:c>
    </x:row>
    <x:row r="2112" ht="23" customHeight="1">
      <x:c r="A2112" s="17" t="str">
        <x:v>U02106</x:v>
      </x:c>
      <x:c r="B2112" s="18" t="n">
        <x:v>46289</x:v>
      </x:c>
      <x:c r="C2112" s="17" t="str">
        <x:v>W0155</x:v>
      </x:c>
      <x:c r="D2112" s="17" t="str">
        <x:v>C003</x:v>
      </x:c>
      <x:c r="E2112" s="17" t="str">
        <x:v>DataFlow</x:v>
      </x:c>
      <x:c r="F2112" s="17" t="str">
        <x:v>Lite</x:v>
      </x:c>
      <x:c r="G2112" s="21" t="n">
        <x:v>41813</x:v>
      </x:c>
      <x:c r="H2112" s="21" t="n">
        <x:v>5363</x:v>
      </x:c>
      <x:c r="I2112" s="17" t="str">
        <x:v>Followup</x:v>
      </x:c>
    </x:row>
    <x:row r="2113" ht="23" customHeight="1">
      <x:c r="A2113" s="17" t="str">
        <x:v>U02107</x:v>
      </x:c>
      <x:c r="B2113" s="18" t="n">
        <x:v>46268</x:v>
      </x:c>
      <x:c r="C2113" s="17" t="str">
        <x:v>W0156</x:v>
      </x:c>
      <x:c r="D2113" s="17" t="str">
        <x:v>C003</x:v>
      </x:c>
      <x:c r="E2113" s="17" t="str">
        <x:v>DataFlow</x:v>
      </x:c>
      <x:c r="F2113" s="17" t="str">
        <x:v>Lite</x:v>
      </x:c>
      <x:c r="G2113" s="21" t="n">
        <x:v>18295</x:v>
      </x:c>
      <x:c r="H2113" s="21" t="n">
        <x:v>5610</x:v>
      </x:c>
      <x:c r="I2113" s="17" t="str">
        <x:v>First attempt</x:v>
      </x:c>
    </x:row>
    <x:row r="2114" ht="23" customHeight="1">
      <x:c r="A2114" s="17" t="str">
        <x:v>U02108</x:v>
      </x:c>
      <x:c r="B2114" s="18" t="n">
        <x:v>46268</x:v>
      </x:c>
      <x:c r="C2114" s="17" t="str">
        <x:v>W0156</x:v>
      </x:c>
      <x:c r="D2114" s="17" t="str">
        <x:v>C003</x:v>
      </x:c>
      <x:c r="E2114" s="17" t="str">
        <x:v>DataFlow</x:v>
      </x:c>
      <x:c r="F2114" s="17" t="str">
        <x:v>Lite</x:v>
      </x:c>
      <x:c r="G2114" s="21" t="n">
        <x:v>8193</x:v>
      </x:c>
      <x:c r="H2114" s="21" t="n">
        <x:v>5419</x:v>
      </x:c>
      <x:c r="I2114" s="17" t="str">
        <x:v>Followup</x:v>
      </x:c>
    </x:row>
    <x:row r="2115" ht="23" customHeight="1">
      <x:c r="A2115" s="17" t="str">
        <x:v>U02109</x:v>
      </x:c>
      <x:c r="B2115" s="18" t="n">
        <x:v>46268</x:v>
      </x:c>
      <x:c r="C2115" s="17" t="str">
        <x:v>W0156</x:v>
      </x:c>
      <x:c r="D2115" s="17" t="str">
        <x:v>C003</x:v>
      </x:c>
      <x:c r="E2115" s="17" t="str">
        <x:v>DataFlow</x:v>
      </x:c>
      <x:c r="F2115" s="17" t="str">
        <x:v>Lite</x:v>
      </x:c>
      <x:c r="G2115" s="21" t="n">
        <x:v>11733</x:v>
      </x:c>
      <x:c r="H2115" s="21" t="n">
        <x:v>3246</x:v>
      </x:c>
      <x:c r="I2115" s="17" t="str">
        <x:v>Correction</x:v>
      </x:c>
    </x:row>
    <x:row r="2116" ht="23" customHeight="1">
      <x:c r="A2116" s="17" t="str">
        <x:v>U02110</x:v>
      </x:c>
      <x:c r="B2116" s="18" t="n">
        <x:v>46268</x:v>
      </x:c>
      <x:c r="C2116" s="17" t="str">
        <x:v>W0156</x:v>
      </x:c>
      <x:c r="D2116" s="17" t="str">
        <x:v>C003</x:v>
      </x:c>
      <x:c r="E2116" s="17" t="str">
        <x:v>DataFlow</x:v>
      </x:c>
      <x:c r="F2116" s="17" t="str">
        <x:v>Lite</x:v>
      </x:c>
      <x:c r="G2116" s="21" t="n">
        <x:v>14087</x:v>
      </x:c>
      <x:c r="H2116" s="21" t="n">
        <x:v>4870</x:v>
      </x:c>
      <x:c r="I2116" s="17" t="str">
        <x:v>Followup</x:v>
      </x:c>
    </x:row>
    <x:row r="2117" ht="23" customHeight="1">
      <x:c r="A2117" s="17" t="str">
        <x:v>U02111</x:v>
      </x:c>
      <x:c r="B2117" s="18" t="n">
        <x:v>46269</x:v>
      </x:c>
      <x:c r="C2117" s="17" t="str">
        <x:v>W0156</x:v>
      </x:c>
      <x:c r="D2117" s="17" t="str">
        <x:v>C003</x:v>
      </x:c>
      <x:c r="E2117" s="17" t="str">
        <x:v>DataFlow</x:v>
      </x:c>
      <x:c r="F2117" s="17" t="str">
        <x:v>Lite</x:v>
      </x:c>
      <x:c r="G2117" s="21" t="n">
        <x:v>13789</x:v>
      </x:c>
      <x:c r="H2117" s="21" t="n">
        <x:v>3135</x:v>
      </x:c>
      <x:c r="I2117" s="17" t="str">
        <x:v>Correction</x:v>
      </x:c>
    </x:row>
    <x:row r="2118" ht="23" customHeight="1">
      <x:c r="A2118" s="17" t="str">
        <x:v>U02112</x:v>
      </x:c>
      <x:c r="B2118" s="18" t="n">
        <x:v>46269</x:v>
      </x:c>
      <x:c r="C2118" s="17" t="str">
        <x:v>W0156</x:v>
      </x:c>
      <x:c r="D2118" s="17" t="str">
        <x:v>C003</x:v>
      </x:c>
      <x:c r="E2118" s="17" t="str">
        <x:v>DataFlow</x:v>
      </x:c>
      <x:c r="F2118" s="17" t="str">
        <x:v>Lite</x:v>
      </x:c>
      <x:c r="G2118" s="21" t="n">
        <x:v>18875</x:v>
      </x:c>
      <x:c r="H2118" s="21" t="n">
        <x:v>5707</x:v>
      </x:c>
      <x:c r="I2118" s="17" t="str">
        <x:v>Followup</x:v>
      </x:c>
    </x:row>
    <x:row r="2119" ht="23" customHeight="1">
      <x:c r="A2119" s="17" t="str">
        <x:v>U02113</x:v>
      </x:c>
      <x:c r="B2119" s="18" t="n">
        <x:v>46269</x:v>
      </x:c>
      <x:c r="C2119" s="17" t="str">
        <x:v>W0156</x:v>
      </x:c>
      <x:c r="D2119" s="17" t="str">
        <x:v>C003</x:v>
      </x:c>
      <x:c r="E2119" s="17" t="str">
        <x:v>DataFlow</x:v>
      </x:c>
      <x:c r="F2119" s="17" t="str">
        <x:v>Lite</x:v>
      </x:c>
      <x:c r="G2119" s="21" t="n">
        <x:v>12222</x:v>
      </x:c>
      <x:c r="H2119" s="21" t="n">
        <x:v>5276</x:v>
      </x:c>
      <x:c r="I2119" s="17" t="str">
        <x:v>Correction</x:v>
      </x:c>
    </x:row>
    <x:row r="2120" ht="23" customHeight="1">
      <x:c r="A2120" s="17" t="str">
        <x:v>U02114</x:v>
      </x:c>
      <x:c r="B2120" s="18" t="n">
        <x:v>46273</x:v>
      </x:c>
      <x:c r="C2120" s="17" t="str">
        <x:v>W0156</x:v>
      </x:c>
      <x:c r="D2120" s="17" t="str">
        <x:v>C003</x:v>
      </x:c>
      <x:c r="E2120" s="17" t="str">
        <x:v>DataFlow</x:v>
      </x:c>
      <x:c r="F2120" s="17" t="str">
        <x:v>Lite</x:v>
      </x:c>
      <x:c r="G2120" s="21" t="n">
        <x:v>21101</x:v>
      </x:c>
      <x:c r="H2120" s="21" t="n">
        <x:v>3688</x:v>
      </x:c>
      <x:c r="I2120" s="17" t="str">
        <x:v>Followup</x:v>
      </x:c>
    </x:row>
    <x:row r="2121" ht="23" customHeight="1">
      <x:c r="A2121" s="17" t="str">
        <x:v>U02115</x:v>
      </x:c>
      <x:c r="B2121" s="18" t="n">
        <x:v>46273</x:v>
      </x:c>
      <x:c r="C2121" s="17" t="str">
        <x:v>W0156</x:v>
      </x:c>
      <x:c r="D2121" s="17" t="str">
        <x:v>C003</x:v>
      </x:c>
      <x:c r="E2121" s="17" t="str">
        <x:v>DataFlow</x:v>
      </x:c>
      <x:c r="F2121" s="17" t="str">
        <x:v>Lite</x:v>
      </x:c>
      <x:c r="G2121" s="21" t="n">
        <x:v>15878</x:v>
      </x:c>
      <x:c r="H2121" s="21" t="n">
        <x:v>4208</x:v>
      </x:c>
      <x:c r="I2121" s="17" t="str">
        <x:v>Followup</x:v>
      </x:c>
    </x:row>
    <x:row r="2122" ht="23" customHeight="1">
      <x:c r="A2122" s="17" t="str">
        <x:v>U02116</x:v>
      </x:c>
      <x:c r="B2122" s="18" t="n">
        <x:v>46273</x:v>
      </x:c>
      <x:c r="C2122" s="17" t="str">
        <x:v>W0156</x:v>
      </x:c>
      <x:c r="D2122" s="17" t="str">
        <x:v>C003</x:v>
      </x:c>
      <x:c r="E2122" s="17" t="str">
        <x:v>DataFlow</x:v>
      </x:c>
      <x:c r="F2122" s="17" t="str">
        <x:v>Lite</x:v>
      </x:c>
      <x:c r="G2122" s="21" t="n">
        <x:v>12526</x:v>
      </x:c>
      <x:c r="H2122" s="21" t="n">
        <x:v>6091</x:v>
      </x:c>
      <x:c r="I2122" s="17" t="str">
        <x:v>Followup</x:v>
      </x:c>
    </x:row>
    <x:row r="2123" ht="23" customHeight="1">
      <x:c r="A2123" s="17" t="str">
        <x:v>U02117</x:v>
      </x:c>
      <x:c r="B2123" s="18" t="n">
        <x:v>46274</x:v>
      </x:c>
      <x:c r="C2123" s="17" t="str">
        <x:v>W0156</x:v>
      </x:c>
      <x:c r="D2123" s="17" t="str">
        <x:v>C003</x:v>
      </x:c>
      <x:c r="E2123" s="17" t="str">
        <x:v>DataFlow</x:v>
      </x:c>
      <x:c r="F2123" s="17" t="str">
        <x:v>Lite</x:v>
      </x:c>
      <x:c r="G2123" s="21" t="n">
        <x:v>16082</x:v>
      </x:c>
      <x:c r="H2123" s="21" t="n">
        <x:v>3823</x:v>
      </x:c>
      <x:c r="I2123" s="17" t="str">
        <x:v>Followup</x:v>
      </x:c>
    </x:row>
    <x:row r="2124" ht="23" customHeight="1">
      <x:c r="A2124" s="17" t="str">
        <x:v>U02118</x:v>
      </x:c>
      <x:c r="B2124" s="18" t="n">
        <x:v>46274</x:v>
      </x:c>
      <x:c r="C2124" s="17" t="str">
        <x:v>W0156</x:v>
      </x:c>
      <x:c r="D2124" s="17" t="str">
        <x:v>C003</x:v>
      </x:c>
      <x:c r="E2124" s="17" t="str">
        <x:v>DataFlow</x:v>
      </x:c>
      <x:c r="F2124" s="17" t="str">
        <x:v>Lite</x:v>
      </x:c>
      <x:c r="G2124" s="21" t="n">
        <x:v>16470</x:v>
      </x:c>
      <x:c r="H2124" s="21" t="n">
        <x:v>5477</x:v>
      </x:c>
      <x:c r="I2124" s="17" t="str">
        <x:v>Correction</x:v>
      </x:c>
    </x:row>
    <x:row r="2125" ht="23" customHeight="1">
      <x:c r="A2125" s="17" t="str">
        <x:v>U02119</x:v>
      </x:c>
      <x:c r="B2125" s="18" t="n">
        <x:v>46274</x:v>
      </x:c>
      <x:c r="C2125" s="17" t="str">
        <x:v>W0156</x:v>
      </x:c>
      <x:c r="D2125" s="17" t="str">
        <x:v>C003</x:v>
      </x:c>
      <x:c r="E2125" s="17" t="str">
        <x:v>DataFlow</x:v>
      </x:c>
      <x:c r="F2125" s="17" t="str">
        <x:v>Lite</x:v>
      </x:c>
      <x:c r="G2125" s="21" t="n">
        <x:v>10007</x:v>
      </x:c>
      <x:c r="H2125" s="21" t="n">
        <x:v>4391</x:v>
      </x:c>
      <x:c r="I2125" s="17" t="str">
        <x:v>Followup</x:v>
      </x:c>
    </x:row>
    <x:row r="2126" ht="23" customHeight="1">
      <x:c r="A2126" s="17" t="str">
        <x:v>U02120</x:v>
      </x:c>
      <x:c r="B2126" s="18" t="n">
        <x:v>46280</x:v>
      </x:c>
      <x:c r="C2126" s="17" t="str">
        <x:v>W0157</x:v>
      </x:c>
      <x:c r="D2126" s="17" t="str">
        <x:v>C003</x:v>
      </x:c>
      <x:c r="E2126" s="17" t="str">
        <x:v>InsightDesk</x:v>
      </x:c>
      <x:c r="F2126" s="17" t="str">
        <x:v>Lite</x:v>
      </x:c>
      <x:c r="G2126" s="21" t="n">
        <x:v>25968</x:v>
      </x:c>
      <x:c r="H2126" s="21" t="n">
        <x:v>3463</x:v>
      </x:c>
      <x:c r="I2126" s="17" t="str">
        <x:v>First attempt</x:v>
      </x:c>
    </x:row>
    <x:row r="2127" ht="23" customHeight="1">
      <x:c r="A2127" s="17" t="str">
        <x:v>U02121</x:v>
      </x:c>
      <x:c r="B2127" s="18" t="n">
        <x:v>46280</x:v>
      </x:c>
      <x:c r="C2127" s="17" t="str">
        <x:v>W0157</x:v>
      </x:c>
      <x:c r="D2127" s="17" t="str">
        <x:v>C003</x:v>
      </x:c>
      <x:c r="E2127" s="17" t="str">
        <x:v>InsightDesk</x:v>
      </x:c>
      <x:c r="F2127" s="17" t="str">
        <x:v>Lite</x:v>
      </x:c>
      <x:c r="G2127" s="21" t="n">
        <x:v>14947</x:v>
      </x:c>
      <x:c r="H2127" s="21" t="n">
        <x:v>4334</x:v>
      </x:c>
      <x:c r="I2127" s="17" t="str">
        <x:v>Followup</x:v>
      </x:c>
    </x:row>
    <x:row r="2128" ht="23" customHeight="1">
      <x:c r="A2128" s="17" t="str">
        <x:v>U02122</x:v>
      </x:c>
      <x:c r="B2128" s="18" t="n">
        <x:v>46280</x:v>
      </x:c>
      <x:c r="C2128" s="17" t="str">
        <x:v>W0157</x:v>
      </x:c>
      <x:c r="D2128" s="17" t="str">
        <x:v>C003</x:v>
      </x:c>
      <x:c r="E2128" s="17" t="str">
        <x:v>InsightDesk</x:v>
      </x:c>
      <x:c r="F2128" s="17" t="str">
        <x:v>Lite</x:v>
      </x:c>
      <x:c r="G2128" s="21" t="n">
        <x:v>13925</x:v>
      </x:c>
      <x:c r="H2128" s="21" t="n">
        <x:v>3468</x:v>
      </x:c>
      <x:c r="I2128" s="17" t="str">
        <x:v>Correction</x:v>
      </x:c>
    </x:row>
    <x:row r="2129" ht="23" customHeight="1">
      <x:c r="A2129" s="17" t="str">
        <x:v>U02123</x:v>
      </x:c>
      <x:c r="B2129" s="18" t="n">
        <x:v>46281</x:v>
      </x:c>
      <x:c r="C2129" s="17" t="str">
        <x:v>W0157</x:v>
      </x:c>
      <x:c r="D2129" s="17" t="str">
        <x:v>C003</x:v>
      </x:c>
      <x:c r="E2129" s="17" t="str">
        <x:v>InsightDesk</x:v>
      </x:c>
      <x:c r="F2129" s="17" t="str">
        <x:v>Lite</x:v>
      </x:c>
      <x:c r="G2129" s="21" t="n">
        <x:v>27361</x:v>
      </x:c>
      <x:c r="H2129" s="21" t="n">
        <x:v>5301</x:v>
      </x:c>
      <x:c r="I2129" s="17" t="str">
        <x:v>Followup</x:v>
      </x:c>
    </x:row>
    <x:row r="2130" ht="23" customHeight="1">
      <x:c r="A2130" s="17" t="str">
        <x:v>U02124</x:v>
      </x:c>
      <x:c r="B2130" s="18" t="n">
        <x:v>46281</x:v>
      </x:c>
      <x:c r="C2130" s="17" t="str">
        <x:v>W0157</x:v>
      </x:c>
      <x:c r="D2130" s="17" t="str">
        <x:v>C003</x:v>
      </x:c>
      <x:c r="E2130" s="17" t="str">
        <x:v>InsightDesk</x:v>
      </x:c>
      <x:c r="F2130" s="17" t="str">
        <x:v>Lite</x:v>
      </x:c>
      <x:c r="G2130" s="21" t="n">
        <x:v>20521</x:v>
      </x:c>
      <x:c r="H2130" s="21" t="n">
        <x:v>6108</x:v>
      </x:c>
      <x:c r="I2130" s="17" t="str">
        <x:v>Followup</x:v>
      </x:c>
    </x:row>
    <x:row r="2131" ht="23" customHeight="1">
      <x:c r="A2131" s="17" t="str">
        <x:v>U02125</x:v>
      </x:c>
      <x:c r="B2131" s="18" t="n">
        <x:v>46281</x:v>
      </x:c>
      <x:c r="C2131" s="17" t="str">
        <x:v>W0157</x:v>
      </x:c>
      <x:c r="D2131" s="17" t="str">
        <x:v>C003</x:v>
      </x:c>
      <x:c r="E2131" s="17" t="str">
        <x:v>InsightDesk</x:v>
      </x:c>
      <x:c r="F2131" s="17" t="str">
        <x:v>Lite</x:v>
      </x:c>
      <x:c r="G2131" s="21" t="n">
        <x:v>13043</x:v>
      </x:c>
      <x:c r="H2131" s="21" t="n">
        <x:v>5779</x:v>
      </x:c>
      <x:c r="I2131" s="17" t="str">
        <x:v>Correction</x:v>
      </x:c>
    </x:row>
    <x:row r="2132" ht="23" customHeight="1">
      <x:c r="A2132" s="17" t="str">
        <x:v>U02126</x:v>
      </x:c>
      <x:c r="B2132" s="18" t="n">
        <x:v>46282</x:v>
      </x:c>
      <x:c r="C2132" s="17" t="str">
        <x:v>W0157</x:v>
      </x:c>
      <x:c r="D2132" s="17" t="str">
        <x:v>C003</x:v>
      </x:c>
      <x:c r="E2132" s="17" t="str">
        <x:v>InsightDesk</x:v>
      </x:c>
      <x:c r="F2132" s="17" t="str">
        <x:v>Lite</x:v>
      </x:c>
      <x:c r="G2132" s="21" t="n">
        <x:v>28456</x:v>
      </x:c>
      <x:c r="H2132" s="21" t="n">
        <x:v>6929</x:v>
      </x:c>
      <x:c r="I2132" s="17" t="str">
        <x:v>Followup</x:v>
      </x:c>
    </x:row>
    <x:row r="2133" ht="23" customHeight="1">
      <x:c r="A2133" s="17" t="str">
        <x:v>U02127</x:v>
      </x:c>
      <x:c r="B2133" s="18" t="n">
        <x:v>46282</x:v>
      </x:c>
      <x:c r="C2133" s="17" t="str">
        <x:v>W0157</x:v>
      </x:c>
      <x:c r="D2133" s="17" t="str">
        <x:v>C003</x:v>
      </x:c>
      <x:c r="E2133" s="17" t="str">
        <x:v>InsightDesk</x:v>
      </x:c>
      <x:c r="F2133" s="17" t="str">
        <x:v>Lite</x:v>
      </x:c>
      <x:c r="G2133" s="21" t="n">
        <x:v>18375</x:v>
      </x:c>
      <x:c r="H2133" s="21" t="n">
        <x:v>5592</x:v>
      </x:c>
      <x:c r="I2133" s="17" t="str">
        <x:v>Followup</x:v>
      </x:c>
    </x:row>
    <x:row r="2134" ht="23" customHeight="1">
      <x:c r="A2134" s="17" t="str">
        <x:v>U02128</x:v>
      </x:c>
      <x:c r="B2134" s="18" t="n">
        <x:v>46282</x:v>
      </x:c>
      <x:c r="C2134" s="17" t="str">
        <x:v>W0157</x:v>
      </x:c>
      <x:c r="D2134" s="17" t="str">
        <x:v>C003</x:v>
      </x:c>
      <x:c r="E2134" s="17" t="str">
        <x:v>InsightDesk</x:v>
      </x:c>
      <x:c r="F2134" s="17" t="str">
        <x:v>Lite</x:v>
      </x:c>
      <x:c r="G2134" s="21" t="n">
        <x:v>13750</x:v>
      </x:c>
      <x:c r="H2134" s="21" t="n">
        <x:v>4028</x:v>
      </x:c>
      <x:c r="I2134" s="17" t="str">
        <x:v>Followup</x:v>
      </x:c>
    </x:row>
    <x:row r="2135" ht="23" customHeight="1">
      <x:c r="A2135" s="17" t="str">
        <x:v>U02129</x:v>
      </x:c>
      <x:c r="B2135" s="18" t="n">
        <x:v>46283</x:v>
      </x:c>
      <x:c r="C2135" s="17" t="str">
        <x:v>W0157</x:v>
      </x:c>
      <x:c r="D2135" s="17" t="str">
        <x:v>C003</x:v>
      </x:c>
      <x:c r="E2135" s="17" t="str">
        <x:v>InsightDesk</x:v>
      </x:c>
      <x:c r="F2135" s="17" t="str">
        <x:v>Lite</x:v>
      </x:c>
      <x:c r="G2135" s="21" t="n">
        <x:v>18960</x:v>
      </x:c>
      <x:c r="H2135" s="21" t="n">
        <x:v>6702</x:v>
      </x:c>
      <x:c r="I2135" s="17" t="str">
        <x:v>Followup</x:v>
      </x:c>
    </x:row>
    <x:row r="2136" ht="23" customHeight="1">
      <x:c r="A2136" s="17" t="str">
        <x:v>U02130</x:v>
      </x:c>
      <x:c r="B2136" s="18" t="n">
        <x:v>46283</x:v>
      </x:c>
      <x:c r="C2136" s="17" t="str">
        <x:v>W0157</x:v>
      </x:c>
      <x:c r="D2136" s="17" t="str">
        <x:v>C003</x:v>
      </x:c>
      <x:c r="E2136" s="17" t="str">
        <x:v>InsightDesk</x:v>
      </x:c>
      <x:c r="F2136" s="17" t="str">
        <x:v>Lite</x:v>
      </x:c>
      <x:c r="G2136" s="21" t="n">
        <x:v>27374</x:v>
      </x:c>
      <x:c r="H2136" s="21" t="n">
        <x:v>5560</x:v>
      </x:c>
      <x:c r="I2136" s="17" t="str">
        <x:v>Correction</x:v>
      </x:c>
    </x:row>
    <x:row r="2137" ht="23" customHeight="1">
      <x:c r="A2137" s="17" t="str">
        <x:v>U02131</x:v>
      </x:c>
      <x:c r="B2137" s="18" t="n">
        <x:v>46283</x:v>
      </x:c>
      <x:c r="C2137" s="17" t="str">
        <x:v>W0157</x:v>
      </x:c>
      <x:c r="D2137" s="17" t="str">
        <x:v>C003</x:v>
      </x:c>
      <x:c r="E2137" s="17" t="str">
        <x:v>InsightDesk</x:v>
      </x:c>
      <x:c r="F2137" s="17" t="str">
        <x:v>Lite</x:v>
      </x:c>
      <x:c r="G2137" s="21" t="n">
        <x:v>17698</x:v>
      </x:c>
      <x:c r="H2137" s="21" t="n">
        <x:v>5966</x:v>
      </x:c>
      <x:c r="I2137" s="17" t="str">
        <x:v>Followup</x:v>
      </x:c>
    </x:row>
    <x:row r="2138" ht="23" customHeight="1">
      <x:c r="A2138" s="17" t="str">
        <x:v>U02132</x:v>
      </x:c>
      <x:c r="B2138" s="18" t="n">
        <x:v>46289</x:v>
      </x:c>
      <x:c r="C2138" s="17" t="str">
        <x:v>W0158</x:v>
      </x:c>
      <x:c r="D2138" s="17" t="str">
        <x:v>C003</x:v>
      </x:c>
      <x:c r="E2138" s="17" t="str">
        <x:v>InsightDesk</x:v>
      </x:c>
      <x:c r="F2138" s="17" t="str">
        <x:v>Lite</x:v>
      </x:c>
      <x:c r="G2138" s="21" t="n">
        <x:v>15060</x:v>
      </x:c>
      <x:c r="H2138" s="21" t="n">
        <x:v>5010</x:v>
      </x:c>
      <x:c r="I2138" s="17" t="str">
        <x:v>First attempt</x:v>
      </x:c>
    </x:row>
    <x:row r="2139" ht="23" customHeight="1">
      <x:c r="A2139" s="17" t="str">
        <x:v>U02133</x:v>
      </x:c>
      <x:c r="B2139" s="18" t="n">
        <x:v>46289</x:v>
      </x:c>
      <x:c r="C2139" s="17" t="str">
        <x:v>W0158</x:v>
      </x:c>
      <x:c r="D2139" s="17" t="str">
        <x:v>C003</x:v>
      </x:c>
      <x:c r="E2139" s="17" t="str">
        <x:v>InsightDesk</x:v>
      </x:c>
      <x:c r="F2139" s="17" t="str">
        <x:v>Lite</x:v>
      </x:c>
      <x:c r="G2139" s="21" t="n">
        <x:v>18981</x:v>
      </x:c>
      <x:c r="H2139" s="21" t="n">
        <x:v>6953</x:v>
      </x:c>
      <x:c r="I2139" s="17" t="str">
        <x:v>Followup</x:v>
      </x:c>
    </x:row>
    <x:row r="2140" ht="23" customHeight="1">
      <x:c r="A2140" s="17" t="str">
        <x:v>U02134</x:v>
      </x:c>
      <x:c r="B2140" s="18" t="n">
        <x:v>46289</x:v>
      </x:c>
      <x:c r="C2140" s="17" t="str">
        <x:v>W0158</x:v>
      </x:c>
      <x:c r="D2140" s="17" t="str">
        <x:v>C003</x:v>
      </x:c>
      <x:c r="E2140" s="17" t="str">
        <x:v>InsightDesk</x:v>
      </x:c>
      <x:c r="F2140" s="17" t="str">
        <x:v>Lite</x:v>
      </x:c>
      <x:c r="G2140" s="21" t="n">
        <x:v>12061</x:v>
      </x:c>
      <x:c r="H2140" s="21" t="n">
        <x:v>7320</x:v>
      </x:c>
      <x:c r="I2140" s="17" t="str">
        <x:v>Correction</x:v>
      </x:c>
    </x:row>
    <x:row r="2141" ht="23" customHeight="1">
      <x:c r="A2141" s="17" t="str">
        <x:v>U02135</x:v>
      </x:c>
      <x:c r="B2141" s="18" t="n">
        <x:v>46289</x:v>
      </x:c>
      <x:c r="C2141" s="17" t="str">
        <x:v>W0158</x:v>
      </x:c>
      <x:c r="D2141" s="17" t="str">
        <x:v>C003</x:v>
      </x:c>
      <x:c r="E2141" s="17" t="str">
        <x:v>InsightDesk</x:v>
      </x:c>
      <x:c r="F2141" s="17" t="str">
        <x:v>Lite</x:v>
      </x:c>
      <x:c r="G2141" s="21" t="n">
        <x:v>16187</x:v>
      </x:c>
      <x:c r="H2141" s="21" t="n">
        <x:v>5774</x:v>
      </x:c>
      <x:c r="I2141" s="17" t="str">
        <x:v>Followup</x:v>
      </x:c>
    </x:row>
    <x:row r="2142" ht="23" customHeight="1">
      <x:c r="A2142" s="17" t="str">
        <x:v>U02136</x:v>
      </x:c>
      <x:c r="B2142" s="18" t="n">
        <x:v>46290</x:v>
      </x:c>
      <x:c r="C2142" s="17" t="str">
        <x:v>W0158</x:v>
      </x:c>
      <x:c r="D2142" s="17" t="str">
        <x:v>C003</x:v>
      </x:c>
      <x:c r="E2142" s="17" t="str">
        <x:v>InsightDesk</x:v>
      </x:c>
      <x:c r="F2142" s="17" t="str">
        <x:v>Lite</x:v>
      </x:c>
      <x:c r="G2142" s="21" t="n">
        <x:v>22611</x:v>
      </x:c>
      <x:c r="H2142" s="21" t="n">
        <x:v>3236</x:v>
      </x:c>
      <x:c r="I2142" s="17" t="str">
        <x:v>Correction</x:v>
      </x:c>
    </x:row>
    <x:row r="2143" ht="23" customHeight="1">
      <x:c r="A2143" s="17" t="str">
        <x:v>U02137</x:v>
      </x:c>
      <x:c r="B2143" s="18" t="n">
        <x:v>46290</x:v>
      </x:c>
      <x:c r="C2143" s="17" t="str">
        <x:v>W0158</x:v>
      </x:c>
      <x:c r="D2143" s="17" t="str">
        <x:v>C003</x:v>
      </x:c>
      <x:c r="E2143" s="17" t="str">
        <x:v>InsightDesk</x:v>
      </x:c>
      <x:c r="F2143" s="17" t="str">
        <x:v>Lite</x:v>
      </x:c>
      <x:c r="G2143" s="21" t="n">
        <x:v>26117</x:v>
      </x:c>
      <x:c r="H2143" s="21" t="n">
        <x:v>7150</x:v>
      </x:c>
      <x:c r="I2143" s="17" t="str">
        <x:v>Followup</x:v>
      </x:c>
    </x:row>
    <x:row r="2144" ht="23" customHeight="1">
      <x:c r="A2144" s="17" t="str">
        <x:v>U02138</x:v>
      </x:c>
      <x:c r="B2144" s="18" t="n">
        <x:v>46290</x:v>
      </x:c>
      <x:c r="C2144" s="17" t="str">
        <x:v>W0158</x:v>
      </x:c>
      <x:c r="D2144" s="17" t="str">
        <x:v>C003</x:v>
      </x:c>
      <x:c r="E2144" s="17" t="str">
        <x:v>InsightDesk</x:v>
      </x:c>
      <x:c r="F2144" s="17" t="str">
        <x:v>Lite</x:v>
      </x:c>
      <x:c r="G2144" s="21" t="n">
        <x:v>22459</x:v>
      </x:c>
      <x:c r="H2144" s="21" t="n">
        <x:v>3909</x:v>
      </x:c>
      <x:c r="I2144" s="17" t="str">
        <x:v>Followup</x:v>
      </x:c>
    </x:row>
    <x:row r="2145" ht="23" customHeight="1">
      <x:c r="A2145" s="17" t="str">
        <x:v>U02139</x:v>
      </x:c>
      <x:c r="B2145" s="18" t="n">
        <x:v>46293</x:v>
      </x:c>
      <x:c r="C2145" s="17" t="str">
        <x:v>W0158</x:v>
      </x:c>
      <x:c r="D2145" s="17" t="str">
        <x:v>C003</x:v>
      </x:c>
      <x:c r="E2145" s="17" t="str">
        <x:v>InsightDesk</x:v>
      </x:c>
      <x:c r="F2145" s="17" t="str">
        <x:v>Lite</x:v>
      </x:c>
      <x:c r="G2145" s="21" t="n">
        <x:v>12412</x:v>
      </x:c>
      <x:c r="H2145" s="21" t="n">
        <x:v>7442</x:v>
      </x:c>
      <x:c r="I2145" s="17" t="str">
        <x:v>Followup</x:v>
      </x:c>
    </x:row>
    <x:row r="2146" ht="23" customHeight="1">
      <x:c r="A2146" s="17" t="str">
        <x:v>U02140</x:v>
      </x:c>
      <x:c r="B2146" s="18" t="n">
        <x:v>46293</x:v>
      </x:c>
      <x:c r="C2146" s="17" t="str">
        <x:v>W0158</x:v>
      </x:c>
      <x:c r="D2146" s="17" t="str">
        <x:v>C003</x:v>
      </x:c>
      <x:c r="E2146" s="17" t="str">
        <x:v>InsightDesk</x:v>
      </x:c>
      <x:c r="F2146" s="17" t="str">
        <x:v>Lite</x:v>
      </x:c>
      <x:c r="G2146" s="21" t="n">
        <x:v>25707</x:v>
      </x:c>
      <x:c r="H2146" s="21" t="n">
        <x:v>3208</x:v>
      </x:c>
      <x:c r="I2146" s="17" t="str">
        <x:v>Followup</x:v>
      </x:c>
    </x:row>
    <x:row r="2147" ht="23" customHeight="1">
      <x:c r="A2147" s="17" t="str">
        <x:v>U02141</x:v>
      </x:c>
      <x:c r="B2147" s="18" t="n">
        <x:v>46293</x:v>
      </x:c>
      <x:c r="C2147" s="17" t="str">
        <x:v>W0158</x:v>
      </x:c>
      <x:c r="D2147" s="17" t="str">
        <x:v>C003</x:v>
      </x:c>
      <x:c r="E2147" s="17" t="str">
        <x:v>InsightDesk</x:v>
      </x:c>
      <x:c r="F2147" s="17" t="str">
        <x:v>Lite</x:v>
      </x:c>
      <x:c r="G2147" s="21" t="n">
        <x:v>14996</x:v>
      </x:c>
      <x:c r="H2147" s="21" t="n">
        <x:v>6165</x:v>
      </x:c>
      <x:c r="I2147" s="17" t="str">
        <x:v>Followup</x:v>
      </x:c>
    </x:row>
    <x:row r="2148" ht="23" customHeight="1">
      <x:c r="A2148" s="17" t="str">
        <x:v>U02142</x:v>
      </x:c>
      <x:c r="B2148" s="18" t="n">
        <x:v>46294</x:v>
      </x:c>
      <x:c r="C2148" s="17" t="str">
        <x:v>W0158</x:v>
      </x:c>
      <x:c r="D2148" s="17" t="str">
        <x:v>C003</x:v>
      </x:c>
      <x:c r="E2148" s="17" t="str">
        <x:v>InsightDesk</x:v>
      </x:c>
      <x:c r="F2148" s="17" t="str">
        <x:v>Lite</x:v>
      </x:c>
      <x:c r="G2148" s="21" t="n">
        <x:v>14418</x:v>
      </x:c>
      <x:c r="H2148" s="21" t="n">
        <x:v>6488</x:v>
      </x:c>
      <x:c r="I2148" s="17" t="str">
        <x:v>Correction</x:v>
      </x:c>
    </x:row>
    <x:row r="2149" ht="23" customHeight="1">
      <x:c r="A2149" s="17" t="str">
        <x:v>U02143</x:v>
      </x:c>
      <x:c r="B2149" s="18" t="n">
        <x:v>46294</x:v>
      </x:c>
      <x:c r="C2149" s="17" t="str">
        <x:v>W0158</x:v>
      </x:c>
      <x:c r="D2149" s="17" t="str">
        <x:v>C003</x:v>
      </x:c>
      <x:c r="E2149" s="17" t="str">
        <x:v>InsightDesk</x:v>
      </x:c>
      <x:c r="F2149" s="17" t="str">
        <x:v>Lite</x:v>
      </x:c>
      <x:c r="G2149" s="21" t="n">
        <x:v>23275</x:v>
      </x:c>
      <x:c r="H2149" s="21" t="n">
        <x:v>2415</x:v>
      </x:c>
      <x:c r="I2149" s="17" t="str">
        <x:v>Followup</x:v>
      </x:c>
    </x:row>
    <x:row r="2150" ht="23" customHeight="1">
      <x:c r="A2150" s="17" t="str">
        <x:v>U02144</x:v>
      </x:c>
      <x:c r="B2150" s="18" t="n">
        <x:v>46294</x:v>
      </x:c>
      <x:c r="C2150" s="17" t="str">
        <x:v>W0158</x:v>
      </x:c>
      <x:c r="D2150" s="17" t="str">
        <x:v>C003</x:v>
      </x:c>
      <x:c r="E2150" s="17" t="str">
        <x:v>InsightDesk</x:v>
      </x:c>
      <x:c r="F2150" s="17" t="str">
        <x:v>Lite</x:v>
      </x:c>
      <x:c r="G2150" s="21" t="n">
        <x:v>14711</x:v>
      </x:c>
      <x:c r="H2150" s="21" t="n">
        <x:v>2658</x:v>
      </x:c>
      <x:c r="I2150" s="17" t="str">
        <x:v>Followup</x:v>
      </x:c>
    </x:row>
    <x:row r="2151" ht="23" customHeight="1">
      <x:c r="A2151" s="17" t="str">
        <x:v>U02145</x:v>
      </x:c>
      <x:c r="B2151" s="18" t="n">
        <x:v>46274</x:v>
      </x:c>
      <x:c r="C2151" s="17" t="str">
        <x:v>W0159</x:v>
      </x:c>
      <x:c r="D2151" s="17" t="str">
        <x:v>C003</x:v>
      </x:c>
      <x:c r="E2151" s="17" t="str">
        <x:v>CopyStudio</x:v>
      </x:c>
      <x:c r="F2151" s="17" t="str">
        <x:v>Lite</x:v>
      </x:c>
      <x:c r="G2151" s="21" t="n">
        <x:v>18700</x:v>
      </x:c>
      <x:c r="H2151" s="21" t="n">
        <x:v>7994</x:v>
      </x:c>
      <x:c r="I2151" s="17" t="str">
        <x:v>First attempt</x:v>
      </x:c>
    </x:row>
    <x:row r="2152" ht="23" customHeight="1">
      <x:c r="A2152" s="17" t="str">
        <x:v>U02146</x:v>
      </x:c>
      <x:c r="B2152" s="18" t="n">
        <x:v>46274</x:v>
      </x:c>
      <x:c r="C2152" s="17" t="str">
        <x:v>W0159</x:v>
      </x:c>
      <x:c r="D2152" s="17" t="str">
        <x:v>C003</x:v>
      </x:c>
      <x:c r="E2152" s="17" t="str">
        <x:v>CopyStudio</x:v>
      </x:c>
      <x:c r="F2152" s="17" t="str">
        <x:v>Lite</x:v>
      </x:c>
      <x:c r="G2152" s="21" t="n">
        <x:v>14513</x:v>
      </x:c>
      <x:c r="H2152" s="21" t="n">
        <x:v>9080</x:v>
      </x:c>
      <x:c r="I2152" s="17" t="str">
        <x:v>Followup</x:v>
      </x:c>
    </x:row>
    <x:row r="2153" ht="23" customHeight="1">
      <x:c r="A2153" s="17" t="str">
        <x:v>U02147</x:v>
      </x:c>
      <x:c r="B2153" s="18" t="n">
        <x:v>46274</x:v>
      </x:c>
      <x:c r="C2153" s="17" t="str">
        <x:v>W0159</x:v>
      </x:c>
      <x:c r="D2153" s="17" t="str">
        <x:v>C003</x:v>
      </x:c>
      <x:c r="E2153" s="17" t="str">
        <x:v>CopyStudio</x:v>
      </x:c>
      <x:c r="F2153" s="17" t="str">
        <x:v>Lite</x:v>
      </x:c>
      <x:c r="G2153" s="21" t="n">
        <x:v>28741</x:v>
      </x:c>
      <x:c r="H2153" s="21" t="n">
        <x:v>6300</x:v>
      </x:c>
      <x:c r="I2153" s="17" t="str">
        <x:v>Correction</x:v>
      </x:c>
    </x:row>
    <x:row r="2154" ht="23" customHeight="1">
      <x:c r="A2154" s="17" t="str">
        <x:v>U02148</x:v>
      </x:c>
      <x:c r="B2154" s="18" t="n">
        <x:v>46275</x:v>
      </x:c>
      <x:c r="C2154" s="17" t="str">
        <x:v>W0159</x:v>
      </x:c>
      <x:c r="D2154" s="17" t="str">
        <x:v>C003</x:v>
      </x:c>
      <x:c r="E2154" s="17" t="str">
        <x:v>CopyStudio</x:v>
      </x:c>
      <x:c r="F2154" s="17" t="str">
        <x:v>Lite</x:v>
      </x:c>
      <x:c r="G2154" s="21" t="n">
        <x:v>15763</x:v>
      </x:c>
      <x:c r="H2154" s="21" t="n">
        <x:v>6050</x:v>
      </x:c>
      <x:c r="I2154" s="17" t="str">
        <x:v>Followup</x:v>
      </x:c>
    </x:row>
    <x:row r="2155" ht="23" customHeight="1">
      <x:c r="A2155" s="17" t="str">
        <x:v>U02149</x:v>
      </x:c>
      <x:c r="B2155" s="18" t="n">
        <x:v>46275</x:v>
      </x:c>
      <x:c r="C2155" s="17" t="str">
        <x:v>W0159</x:v>
      </x:c>
      <x:c r="D2155" s="17" t="str">
        <x:v>C003</x:v>
      </x:c>
      <x:c r="E2155" s="17" t="str">
        <x:v>CopyStudio</x:v>
      </x:c>
      <x:c r="F2155" s="17" t="str">
        <x:v>Lite</x:v>
      </x:c>
      <x:c r="G2155" s="21" t="n">
        <x:v>15542</x:v>
      </x:c>
      <x:c r="H2155" s="21" t="n">
        <x:v>4840</x:v>
      </x:c>
      <x:c r="I2155" s="17" t="str">
        <x:v>Followup</x:v>
      </x:c>
    </x:row>
    <x:row r="2156" ht="23" customHeight="1">
      <x:c r="A2156" s="17" t="str">
        <x:v>U02150</x:v>
      </x:c>
      <x:c r="B2156" s="18" t="n">
        <x:v>46276</x:v>
      </x:c>
      <x:c r="C2156" s="17" t="str">
        <x:v>W0159</x:v>
      </x:c>
      <x:c r="D2156" s="17" t="str">
        <x:v>C003</x:v>
      </x:c>
      <x:c r="E2156" s="17" t="str">
        <x:v>CopyStudio</x:v>
      </x:c>
      <x:c r="F2156" s="17" t="str">
        <x:v>Lite</x:v>
      </x:c>
      <x:c r="G2156" s="21" t="n">
        <x:v>27237</x:v>
      </x:c>
      <x:c r="H2156" s="21" t="n">
        <x:v>6255</x:v>
      </x:c>
      <x:c r="I2156" s="17" t="str">
        <x:v>Followup</x:v>
      </x:c>
    </x:row>
    <x:row r="2157" ht="23" customHeight="1">
      <x:c r="A2157" s="17" t="str">
        <x:v>U02151</x:v>
      </x:c>
      <x:c r="B2157" s="18" t="n">
        <x:v>46276</x:v>
      </x:c>
      <x:c r="C2157" s="17" t="str">
        <x:v>W0159</x:v>
      </x:c>
      <x:c r="D2157" s="17" t="str">
        <x:v>C003</x:v>
      </x:c>
      <x:c r="E2157" s="17" t="str">
        <x:v>CopyStudio</x:v>
      </x:c>
      <x:c r="F2157" s="17" t="str">
        <x:v>Lite</x:v>
      </x:c>
      <x:c r="G2157" s="21" t="n">
        <x:v>12338</x:v>
      </x:c>
      <x:c r="H2157" s="21" t="n">
        <x:v>5269</x:v>
      </x:c>
      <x:c r="I2157" s="17" t="str">
        <x:v>Followup</x:v>
      </x:c>
    </x:row>
    <x:row r="2158" ht="23" customHeight="1">
      <x:c r="A2158" s="17" t="str">
        <x:v>U02152</x:v>
      </x:c>
      <x:c r="B2158" s="18" t="n">
        <x:v>46276</x:v>
      </x:c>
      <x:c r="C2158" s="17" t="str">
        <x:v>W0159</x:v>
      </x:c>
      <x:c r="D2158" s="17" t="str">
        <x:v>C003</x:v>
      </x:c>
      <x:c r="E2158" s="17" t="str">
        <x:v>CopyStudio</x:v>
      </x:c>
      <x:c r="F2158" s="17" t="str">
        <x:v>Lite</x:v>
      </x:c>
      <x:c r="G2158" s="21" t="n">
        <x:v>19385</x:v>
      </x:c>
      <x:c r="H2158" s="21" t="n">
        <x:v>8078</x:v>
      </x:c>
      <x:c r="I2158" s="17" t="str">
        <x:v>Followup</x:v>
      </x:c>
    </x:row>
    <x:row r="2159" ht="23" customHeight="1">
      <x:c r="A2159" s="17" t="str">
        <x:v>U02153</x:v>
      </x:c>
      <x:c r="B2159" s="18" t="n">
        <x:v>46279</x:v>
      </x:c>
      <x:c r="C2159" s="17" t="str">
        <x:v>W0159</x:v>
      </x:c>
      <x:c r="D2159" s="17" t="str">
        <x:v>C003</x:v>
      </x:c>
      <x:c r="E2159" s="17" t="str">
        <x:v>CopyStudio</x:v>
      </x:c>
      <x:c r="F2159" s="17" t="str">
        <x:v>Lite</x:v>
      </x:c>
      <x:c r="G2159" s="21" t="n">
        <x:v>14452</x:v>
      </x:c>
      <x:c r="H2159" s="21" t="n">
        <x:v>9492</x:v>
      </x:c>
      <x:c r="I2159" s="17" t="str">
        <x:v>Followup</x:v>
      </x:c>
    </x:row>
    <x:row r="2160" ht="23" customHeight="1">
      <x:c r="A2160" s="17" t="str">
        <x:v>U02154</x:v>
      </x:c>
      <x:c r="B2160" s="18" t="n">
        <x:v>46279</x:v>
      </x:c>
      <x:c r="C2160" s="17" t="str">
        <x:v>W0159</x:v>
      </x:c>
      <x:c r="D2160" s="17" t="str">
        <x:v>C003</x:v>
      </x:c>
      <x:c r="E2160" s="17" t="str">
        <x:v>CopyStudio</x:v>
      </x:c>
      <x:c r="F2160" s="17" t="str">
        <x:v>Lite</x:v>
      </x:c>
      <x:c r="G2160" s="21" t="n">
        <x:v>14338</x:v>
      </x:c>
      <x:c r="H2160" s="21" t="n">
        <x:v>3775</x:v>
      </x:c>
      <x:c r="I2160" s="17" t="str">
        <x:v>Followup</x:v>
      </x:c>
    </x:row>
    <x:row r="2161" ht="23" customHeight="1">
      <x:c r="A2161" s="17" t="str">
        <x:v>U02155</x:v>
      </x:c>
      <x:c r="B2161" s="18" t="n">
        <x:v>46279</x:v>
      </x:c>
      <x:c r="C2161" s="17" t="str">
        <x:v>W0162</x:v>
      </x:c>
      <x:c r="D2161" s="17" t="str">
        <x:v>C003</x:v>
      </x:c>
      <x:c r="E2161" s="17" t="str">
        <x:v>CopyStudio</x:v>
      </x:c>
      <x:c r="F2161" s="17" t="str">
        <x:v>Lite</x:v>
      </x:c>
      <x:c r="G2161" s="21" t="n">
        <x:v>19509</x:v>
      </x:c>
      <x:c r="H2161" s="21" t="n">
        <x:v>8037</x:v>
      </x:c>
      <x:c r="I2161" s="17" t="str">
        <x:v>First attempt</x:v>
      </x:c>
    </x:row>
    <x:row r="2162" ht="23" customHeight="1">
      <x:c r="A2162" s="17" t="str">
        <x:v>U02156</x:v>
      </x:c>
      <x:c r="B2162" s="18" t="n">
        <x:v>46279</x:v>
      </x:c>
      <x:c r="C2162" s="17" t="str">
        <x:v>W0162</x:v>
      </x:c>
      <x:c r="D2162" s="17" t="str">
        <x:v>C003</x:v>
      </x:c>
      <x:c r="E2162" s="17" t="str">
        <x:v>CopyStudio</x:v>
      </x:c>
      <x:c r="F2162" s="17" t="str">
        <x:v>Lite</x:v>
      </x:c>
      <x:c r="G2162" s="21" t="n">
        <x:v>20129</x:v>
      </x:c>
      <x:c r="H2162" s="21" t="n">
        <x:v>9400</x:v>
      </x:c>
      <x:c r="I2162" s="17" t="str">
        <x:v>Followup</x:v>
      </x:c>
    </x:row>
    <x:row r="2163" ht="23" customHeight="1">
      <x:c r="A2163" s="17" t="str">
        <x:v>U02157</x:v>
      </x:c>
      <x:c r="B2163" s="18" t="n">
        <x:v>46279</x:v>
      </x:c>
      <x:c r="C2163" s="17" t="str">
        <x:v>W0162</x:v>
      </x:c>
      <x:c r="D2163" s="17" t="str">
        <x:v>C003</x:v>
      </x:c>
      <x:c r="E2163" s="17" t="str">
        <x:v>CopyStudio</x:v>
      </x:c>
      <x:c r="F2163" s="17" t="str">
        <x:v>Lite</x:v>
      </x:c>
      <x:c r="G2163" s="21" t="n">
        <x:v>14831</x:v>
      </x:c>
      <x:c r="H2163" s="21" t="n">
        <x:v>3341</x:v>
      </x:c>
      <x:c r="I2163" s="17" t="str">
        <x:v>Followup</x:v>
      </x:c>
    </x:row>
    <x:row r="2164" ht="23" customHeight="1">
      <x:c r="A2164" s="17" t="str">
        <x:v>U02158</x:v>
      </x:c>
      <x:c r="B2164" s="18" t="n">
        <x:v>46279</x:v>
      </x:c>
      <x:c r="C2164" s="17" t="str">
        <x:v>W0162</x:v>
      </x:c>
      <x:c r="D2164" s="17" t="str">
        <x:v>C003</x:v>
      </x:c>
      <x:c r="E2164" s="17" t="str">
        <x:v>CopyStudio</x:v>
      </x:c>
      <x:c r="F2164" s="17" t="str">
        <x:v>Lite</x:v>
      </x:c>
      <x:c r="G2164" s="21" t="n">
        <x:v>27296</x:v>
      </x:c>
      <x:c r="H2164" s="21" t="n">
        <x:v>7198</x:v>
      </x:c>
      <x:c r="I2164" s="17" t="str">
        <x:v>Followup</x:v>
      </x:c>
    </x:row>
    <x:row r="2165" ht="23" customHeight="1">
      <x:c r="A2165" s="17" t="str">
        <x:v>U02159</x:v>
      </x:c>
      <x:c r="B2165" s="18" t="n">
        <x:v>46280</x:v>
      </x:c>
      <x:c r="C2165" s="17" t="str">
        <x:v>W0162</x:v>
      </x:c>
      <x:c r="D2165" s="17" t="str">
        <x:v>C003</x:v>
      </x:c>
      <x:c r="E2165" s="17" t="str">
        <x:v>CopyStudio</x:v>
      </x:c>
      <x:c r="F2165" s="17" t="str">
        <x:v>Lite</x:v>
      </x:c>
      <x:c r="G2165" s="21" t="n">
        <x:v>14258</x:v>
      </x:c>
      <x:c r="H2165" s="21" t="n">
        <x:v>6948</x:v>
      </x:c>
      <x:c r="I2165" s="17" t="str">
        <x:v>Followup</x:v>
      </x:c>
    </x:row>
    <x:row r="2166" ht="23" customHeight="1">
      <x:c r="A2166" s="17" t="str">
        <x:v>U02160</x:v>
      </x:c>
      <x:c r="B2166" s="18" t="n">
        <x:v>46280</x:v>
      </x:c>
      <x:c r="C2166" s="17" t="str">
        <x:v>W0162</x:v>
      </x:c>
      <x:c r="D2166" s="17" t="str">
        <x:v>C003</x:v>
      </x:c>
      <x:c r="E2166" s="17" t="str">
        <x:v>CopyStudio</x:v>
      </x:c>
      <x:c r="F2166" s="17" t="str">
        <x:v>Lite</x:v>
      </x:c>
      <x:c r="G2166" s="21" t="n">
        <x:v>27614</x:v>
      </x:c>
      <x:c r="H2166" s="21" t="n">
        <x:v>9839</x:v>
      </x:c>
      <x:c r="I2166" s="17" t="str">
        <x:v>Correction</x:v>
      </x:c>
    </x:row>
    <x:row r="2167" ht="23" customHeight="1">
      <x:c r="A2167" s="17" t="str">
        <x:v>U02161</x:v>
      </x:c>
      <x:c r="B2167" s="18" t="n">
        <x:v>46280</x:v>
      </x:c>
      <x:c r="C2167" s="17" t="str">
        <x:v>W0162</x:v>
      </x:c>
      <x:c r="D2167" s="17" t="str">
        <x:v>C003</x:v>
      </x:c>
      <x:c r="E2167" s="17" t="str">
        <x:v>CopyStudio</x:v>
      </x:c>
      <x:c r="F2167" s="17" t="str">
        <x:v>Lite</x:v>
      </x:c>
      <x:c r="G2167" s="21" t="n">
        <x:v>31699</x:v>
      </x:c>
      <x:c r="H2167" s="21" t="n">
        <x:v>10418</x:v>
      </x:c>
      <x:c r="I2167" s="17" t="str">
        <x:v>Correction</x:v>
      </x:c>
    </x:row>
    <x:row r="2168" ht="23" customHeight="1">
      <x:c r="A2168" s="17" t="str">
        <x:v>U02162</x:v>
      </x:c>
      <x:c r="B2168" s="18" t="n">
        <x:v>46281</x:v>
      </x:c>
      <x:c r="C2168" s="17" t="str">
        <x:v>W0162</x:v>
      </x:c>
      <x:c r="D2168" s="17" t="str">
        <x:v>C003</x:v>
      </x:c>
      <x:c r="E2168" s="17" t="str">
        <x:v>CopyStudio</x:v>
      </x:c>
      <x:c r="F2168" s="17" t="str">
        <x:v>Lite</x:v>
      </x:c>
      <x:c r="G2168" s="21" t="n">
        <x:v>16233</x:v>
      </x:c>
      <x:c r="H2168" s="21" t="n">
        <x:v>5114</x:v>
      </x:c>
      <x:c r="I2168" s="17" t="str">
        <x:v>Followup</x:v>
      </x:c>
    </x:row>
    <x:row r="2169" ht="23" customHeight="1">
      <x:c r="A2169" s="17" t="str">
        <x:v>U02163</x:v>
      </x:c>
      <x:c r="B2169" s="18" t="n">
        <x:v>46281</x:v>
      </x:c>
      <x:c r="C2169" s="17" t="str">
        <x:v>W0162</x:v>
      </x:c>
      <x:c r="D2169" s="17" t="str">
        <x:v>C003</x:v>
      </x:c>
      <x:c r="E2169" s="17" t="str">
        <x:v>CopyStudio</x:v>
      </x:c>
      <x:c r="F2169" s="17" t="str">
        <x:v>Lite</x:v>
      </x:c>
      <x:c r="G2169" s="21" t="n">
        <x:v>20325</x:v>
      </x:c>
      <x:c r="H2169" s="21" t="n">
        <x:v>4652</x:v>
      </x:c>
      <x:c r="I2169" s="17" t="str">
        <x:v>Correction</x:v>
      </x:c>
    </x:row>
    <x:row r="2170" ht="23" customHeight="1">
      <x:c r="A2170" s="17" t="str">
        <x:v>U02164</x:v>
      </x:c>
      <x:c r="B2170" s="18" t="n">
        <x:v>46281</x:v>
      </x:c>
      <x:c r="C2170" s="17" t="str">
        <x:v>W0162</x:v>
      </x:c>
      <x:c r="D2170" s="17" t="str">
        <x:v>C003</x:v>
      </x:c>
      <x:c r="E2170" s="17" t="str">
        <x:v>CopyStudio</x:v>
      </x:c>
      <x:c r="F2170" s="17" t="str">
        <x:v>Lite</x:v>
      </x:c>
      <x:c r="G2170" s="21" t="n">
        <x:v>16071</x:v>
      </x:c>
      <x:c r="H2170" s="21" t="n">
        <x:v>5311</x:v>
      </x:c>
      <x:c r="I2170" s="17" t="str">
        <x:v>Followup</x:v>
      </x:c>
    </x:row>
    <x:row r="2171" ht="23" customHeight="1">
      <x:c r="A2171" s="17" t="str">
        <x:v>U02165</x:v>
      </x:c>
      <x:c r="B2171" s="18" t="n">
        <x:v>46282</x:v>
      </x:c>
      <x:c r="C2171" s="17" t="str">
        <x:v>W0162</x:v>
      </x:c>
      <x:c r="D2171" s="17" t="str">
        <x:v>C003</x:v>
      </x:c>
      <x:c r="E2171" s="17" t="str">
        <x:v>CopyStudio</x:v>
      </x:c>
      <x:c r="F2171" s="17" t="str">
        <x:v>Lite</x:v>
      </x:c>
      <x:c r="G2171" s="21" t="n">
        <x:v>26499</x:v>
      </x:c>
      <x:c r="H2171" s="21" t="n">
        <x:v>5768</x:v>
      </x:c>
      <x:c r="I2171" s="17" t="str">
        <x:v>Followup</x:v>
      </x:c>
    </x:row>
    <x:row r="2172" ht="23" customHeight="1">
      <x:c r="A2172" s="17" t="str">
        <x:v>U02166</x:v>
      </x:c>
      <x:c r="B2172" s="18" t="n">
        <x:v>46282</x:v>
      </x:c>
      <x:c r="C2172" s="17" t="str">
        <x:v>W0162</x:v>
      </x:c>
      <x:c r="D2172" s="17" t="str">
        <x:v>C003</x:v>
      </x:c>
      <x:c r="E2172" s="17" t="str">
        <x:v>CopyStudio</x:v>
      </x:c>
      <x:c r="F2172" s="17" t="str">
        <x:v>Lite</x:v>
      </x:c>
      <x:c r="G2172" s="21" t="n">
        <x:v>28123</x:v>
      </x:c>
      <x:c r="H2172" s="21" t="n">
        <x:v>9980</x:v>
      </x:c>
      <x:c r="I2172" s="17" t="str">
        <x:v>Followup</x:v>
      </x:c>
    </x:row>
    <x:row r="2173" ht="23" customHeight="1">
      <x:c r="A2173" s="17" t="str">
        <x:v>U02167</x:v>
      </x:c>
      <x:c r="B2173" s="18" t="n">
        <x:v>46282</x:v>
      </x:c>
      <x:c r="C2173" s="17" t="str">
        <x:v>W0162</x:v>
      </x:c>
      <x:c r="D2173" s="17" t="str">
        <x:v>C003</x:v>
      </x:c>
      <x:c r="E2173" s="17" t="str">
        <x:v>CopyStudio</x:v>
      </x:c>
      <x:c r="F2173" s="17" t="str">
        <x:v>Lite</x:v>
      </x:c>
      <x:c r="G2173" s="21" t="n">
        <x:v>30660</x:v>
      </x:c>
      <x:c r="H2173" s="21" t="n">
        <x:v>10436</x:v>
      </x:c>
      <x:c r="I2173" s="17" t="str">
        <x:v>Followup</x:v>
      </x:c>
    </x:row>
    <x:row r="2174" ht="23" customHeight="1">
      <x:c r="A2174" s="17" t="str">
        <x:v>U02168</x:v>
      </x:c>
      <x:c r="B2174" s="18" t="n">
        <x:v>46273</x:v>
      </x:c>
      <x:c r="C2174" s="17" t="str">
        <x:v>W0164</x:v>
      </x:c>
      <x:c r="D2174" s="17" t="str">
        <x:v>C003</x:v>
      </x:c>
      <x:c r="E2174" s="17" t="str">
        <x:v>DataFlow</x:v>
      </x:c>
      <x:c r="F2174" s="17" t="str">
        <x:v>Lite</x:v>
      </x:c>
      <x:c r="G2174" s="21" t="n">
        <x:v>19886</x:v>
      </x:c>
      <x:c r="H2174" s="21" t="n">
        <x:v>4672</x:v>
      </x:c>
      <x:c r="I2174" s="17" t="str">
        <x:v>First attempt</x:v>
      </x:c>
    </x:row>
    <x:row r="2175" ht="23" customHeight="1">
      <x:c r="A2175" s="17" t="str">
        <x:v>U02169</x:v>
      </x:c>
      <x:c r="B2175" s="18" t="n">
        <x:v>46273</x:v>
      </x:c>
      <x:c r="C2175" s="17" t="str">
        <x:v>W0164</x:v>
      </x:c>
      <x:c r="D2175" s="17" t="str">
        <x:v>C003</x:v>
      </x:c>
      <x:c r="E2175" s="17" t="str">
        <x:v>DataFlow</x:v>
      </x:c>
      <x:c r="F2175" s="17" t="str">
        <x:v>Lite</x:v>
      </x:c>
      <x:c r="G2175" s="21" t="n">
        <x:v>25949</x:v>
      </x:c>
      <x:c r="H2175" s="21" t="n">
        <x:v>7931</x:v>
      </x:c>
      <x:c r="I2175" s="17" t="str">
        <x:v>Followup</x:v>
      </x:c>
    </x:row>
    <x:row r="2176" ht="23" customHeight="1">
      <x:c r="A2176" s="17" t="str">
        <x:v>U02170</x:v>
      </x:c>
      <x:c r="B2176" s="18" t="n">
        <x:v>46274</x:v>
      </x:c>
      <x:c r="C2176" s="17" t="str">
        <x:v>W0164</x:v>
      </x:c>
      <x:c r="D2176" s="17" t="str">
        <x:v>C003</x:v>
      </x:c>
      <x:c r="E2176" s="17" t="str">
        <x:v>DataFlow</x:v>
      </x:c>
      <x:c r="F2176" s="17" t="str">
        <x:v>Lite</x:v>
      </x:c>
      <x:c r="G2176" s="21" t="n">
        <x:v>49759</x:v>
      </x:c>
      <x:c r="H2176" s="21" t="n">
        <x:v>6379</x:v>
      </x:c>
      <x:c r="I2176" s="17" t="str">
        <x:v>Followup</x:v>
      </x:c>
    </x:row>
    <x:row r="2177" ht="23" customHeight="1">
      <x:c r="A2177" s="17" t="str">
        <x:v>U02171</x:v>
      </x:c>
      <x:c r="B2177" s="18" t="n">
        <x:v>46274</x:v>
      </x:c>
      <x:c r="C2177" s="17" t="str">
        <x:v>W0164</x:v>
      </x:c>
      <x:c r="D2177" s="17" t="str">
        <x:v>C003</x:v>
      </x:c>
      <x:c r="E2177" s="17" t="str">
        <x:v>DataFlow</x:v>
      </x:c>
      <x:c r="F2177" s="17" t="str">
        <x:v>Lite</x:v>
      </x:c>
      <x:c r="G2177" s="21" t="n">
        <x:v>46619</x:v>
      </x:c>
      <x:c r="H2177" s="21" t="n">
        <x:v>7858</x:v>
      </x:c>
      <x:c r="I2177" s="17" t="str">
        <x:v>Followup</x:v>
      </x:c>
    </x:row>
    <x:row r="2178" ht="23" customHeight="1">
      <x:c r="A2178" s="17" t="str">
        <x:v>U02172</x:v>
      </x:c>
      <x:c r="B2178" s="18" t="n">
        <x:v>46275</x:v>
      </x:c>
      <x:c r="C2178" s="17" t="str">
        <x:v>W0164</x:v>
      </x:c>
      <x:c r="D2178" s="17" t="str">
        <x:v>C003</x:v>
      </x:c>
      <x:c r="E2178" s="17" t="str">
        <x:v>DataFlow</x:v>
      </x:c>
      <x:c r="F2178" s="17" t="str">
        <x:v>Lite</x:v>
      </x:c>
      <x:c r="G2178" s="21" t="n">
        <x:v>30513</x:v>
      </x:c>
      <x:c r="H2178" s="21" t="n">
        <x:v>2482</x:v>
      </x:c>
      <x:c r="I2178" s="17" t="str">
        <x:v>Followup</x:v>
      </x:c>
    </x:row>
    <x:row r="2179" ht="23" customHeight="1">
      <x:c r="A2179" s="17" t="str">
        <x:v>U02173</x:v>
      </x:c>
      <x:c r="B2179" s="18" t="n">
        <x:v>46275</x:v>
      </x:c>
      <x:c r="C2179" s="17" t="str">
        <x:v>W0164</x:v>
      </x:c>
      <x:c r="D2179" s="17" t="str">
        <x:v>C003</x:v>
      </x:c>
      <x:c r="E2179" s="17" t="str">
        <x:v>DataFlow</x:v>
      </x:c>
      <x:c r="F2179" s="17" t="str">
        <x:v>Lite</x:v>
      </x:c>
      <x:c r="G2179" s="21" t="n">
        <x:v>29637</x:v>
      </x:c>
      <x:c r="H2179" s="21" t="n">
        <x:v>4734</x:v>
      </x:c>
      <x:c r="I2179" s="17" t="str">
        <x:v>Followup</x:v>
      </x:c>
    </x:row>
    <x:row r="2180" ht="23" customHeight="1">
      <x:c r="A2180" s="17" t="str">
        <x:v>U02174</x:v>
      </x:c>
      <x:c r="B2180" s="18" t="n">
        <x:v>46276</x:v>
      </x:c>
      <x:c r="C2180" s="17" t="str">
        <x:v>W0164</x:v>
      </x:c>
      <x:c r="D2180" s="17" t="str">
        <x:v>C003</x:v>
      </x:c>
      <x:c r="E2180" s="17" t="str">
        <x:v>DataFlow</x:v>
      </x:c>
      <x:c r="F2180" s="17" t="str">
        <x:v>Lite</x:v>
      </x:c>
      <x:c r="G2180" s="21" t="n">
        <x:v>35411</x:v>
      </x:c>
      <x:c r="H2180" s="21" t="n">
        <x:v>7006</x:v>
      </x:c>
      <x:c r="I2180" s="17" t="str">
        <x:v>Followup</x:v>
      </x:c>
    </x:row>
    <x:row r="2181" ht="23" customHeight="1">
      <x:c r="A2181" s="17" t="str">
        <x:v>U02175</x:v>
      </x:c>
      <x:c r="B2181" s="18" t="n">
        <x:v>46276</x:v>
      </x:c>
      <x:c r="C2181" s="17" t="str">
        <x:v>W0164</x:v>
      </x:c>
      <x:c r="D2181" s="17" t="str">
        <x:v>C003</x:v>
      </x:c>
      <x:c r="E2181" s="17" t="str">
        <x:v>DataFlow</x:v>
      </x:c>
      <x:c r="F2181" s="17" t="str">
        <x:v>Lite</x:v>
      </x:c>
      <x:c r="G2181" s="21" t="n">
        <x:v>22794</x:v>
      </x:c>
      <x:c r="H2181" s="21" t="n">
        <x:v>3759</x:v>
      </x:c>
      <x:c r="I2181" s="17" t="str">
        <x:v>Correction</x:v>
      </x:c>
    </x:row>
    <x:row r="2182" ht="23" customHeight="1">
      <x:c r="A2182" s="17" t="str">
        <x:v>U02176</x:v>
      </x:c>
      <x:c r="B2182" s="18" t="n">
        <x:v>46282</x:v>
      </x:c>
      <x:c r="C2182" s="17" t="str">
        <x:v>W0165</x:v>
      </x:c>
      <x:c r="D2182" s="17" t="str">
        <x:v>C003</x:v>
      </x:c>
      <x:c r="E2182" s="17" t="str">
        <x:v>InsightDesk</x:v>
      </x:c>
      <x:c r="F2182" s="17" t="str">
        <x:v>Lite</x:v>
      </x:c>
      <x:c r="G2182" s="21" t="n">
        <x:v>24314</x:v>
      </x:c>
      <x:c r="H2182" s="21" t="n">
        <x:v>5459</x:v>
      </x:c>
      <x:c r="I2182" s="17" t="str">
        <x:v>First attempt</x:v>
      </x:c>
    </x:row>
    <x:row r="2183" ht="23" customHeight="1">
      <x:c r="A2183" s="17" t="str">
        <x:v>U02177</x:v>
      </x:c>
      <x:c r="B2183" s="18" t="n">
        <x:v>46282</x:v>
      </x:c>
      <x:c r="C2183" s="17" t="str">
        <x:v>W0165</x:v>
      </x:c>
      <x:c r="D2183" s="17" t="str">
        <x:v>C003</x:v>
      </x:c>
      <x:c r="E2183" s="17" t="str">
        <x:v>InsightDesk</x:v>
      </x:c>
      <x:c r="F2183" s="17" t="str">
        <x:v>Lite</x:v>
      </x:c>
      <x:c r="G2183" s="21" t="n">
        <x:v>20380</x:v>
      </x:c>
      <x:c r="H2183" s="21" t="n">
        <x:v>4455</x:v>
      </x:c>
      <x:c r="I2183" s="17" t="str">
        <x:v>Followup</x:v>
      </x:c>
    </x:row>
    <x:row r="2184" ht="23" customHeight="1">
      <x:c r="A2184" s="17" t="str">
        <x:v>U02178</x:v>
      </x:c>
      <x:c r="B2184" s="18" t="n">
        <x:v>46282</x:v>
      </x:c>
      <x:c r="C2184" s="17" t="str">
        <x:v>W0165</x:v>
      </x:c>
      <x:c r="D2184" s="17" t="str">
        <x:v>C003</x:v>
      </x:c>
      <x:c r="E2184" s="17" t="str">
        <x:v>InsightDesk</x:v>
      </x:c>
      <x:c r="F2184" s="17" t="str">
        <x:v>Lite</x:v>
      </x:c>
      <x:c r="G2184" s="21" t="n">
        <x:v>26864</x:v>
      </x:c>
      <x:c r="H2184" s="21" t="n">
        <x:v>3724</x:v>
      </x:c>
      <x:c r="I2184" s="17" t="str">
        <x:v>Followup</x:v>
      </x:c>
    </x:row>
    <x:row r="2185" ht="23" customHeight="1">
      <x:c r="A2185" s="17" t="str">
        <x:v>U02179</x:v>
      </x:c>
      <x:c r="B2185" s="18" t="n">
        <x:v>46283</x:v>
      </x:c>
      <x:c r="C2185" s="17" t="str">
        <x:v>W0165</x:v>
      </x:c>
      <x:c r="D2185" s="17" t="str">
        <x:v>C003</x:v>
      </x:c>
      <x:c r="E2185" s="17" t="str">
        <x:v>InsightDesk</x:v>
      </x:c>
      <x:c r="F2185" s="17" t="str">
        <x:v>Lite</x:v>
      </x:c>
      <x:c r="G2185" s="21" t="n">
        <x:v>13735</x:v>
      </x:c>
      <x:c r="H2185" s="21" t="n">
        <x:v>3360</x:v>
      </x:c>
      <x:c r="I2185" s="17" t="str">
        <x:v>Correction</x:v>
      </x:c>
    </x:row>
    <x:row r="2186" ht="23" customHeight="1">
      <x:c r="A2186" s="17" t="str">
        <x:v>U02180</x:v>
      </x:c>
      <x:c r="B2186" s="18" t="n">
        <x:v>46283</x:v>
      </x:c>
      <x:c r="C2186" s="17" t="str">
        <x:v>W0165</x:v>
      </x:c>
      <x:c r="D2186" s="17" t="str">
        <x:v>C003</x:v>
      </x:c>
      <x:c r="E2186" s="17" t="str">
        <x:v>InsightDesk</x:v>
      </x:c>
      <x:c r="F2186" s="17" t="str">
        <x:v>Lite</x:v>
      </x:c>
      <x:c r="G2186" s="21" t="n">
        <x:v>14103</x:v>
      </x:c>
      <x:c r="H2186" s="21" t="n">
        <x:v>3513</x:v>
      </x:c>
      <x:c r="I2186" s="17" t="str">
        <x:v>Followup</x:v>
      </x:c>
    </x:row>
    <x:row r="2187" ht="23" customHeight="1">
      <x:c r="A2187" s="17" t="str">
        <x:v>U02181</x:v>
      </x:c>
      <x:c r="B2187" s="18" t="n">
        <x:v>46283</x:v>
      </x:c>
      <x:c r="C2187" s="17" t="str">
        <x:v>W0165</x:v>
      </x:c>
      <x:c r="D2187" s="17" t="str">
        <x:v>C003</x:v>
      </x:c>
      <x:c r="E2187" s="17" t="str">
        <x:v>InsightDesk</x:v>
      </x:c>
      <x:c r="F2187" s="17" t="str">
        <x:v>Lite</x:v>
      </x:c>
      <x:c r="G2187" s="21" t="n">
        <x:v>34166</x:v>
      </x:c>
      <x:c r="H2187" s="21" t="n">
        <x:v>6243</x:v>
      </x:c>
      <x:c r="I2187" s="17" t="str">
        <x:v>Followup</x:v>
      </x:c>
    </x:row>
    <x:row r="2188" ht="23" customHeight="1">
      <x:c r="A2188" s="17" t="str">
        <x:v>U02182</x:v>
      </x:c>
      <x:c r="B2188" s="18" t="n">
        <x:v>46286</x:v>
      </x:c>
      <x:c r="C2188" s="17" t="str">
        <x:v>W0165</x:v>
      </x:c>
      <x:c r="D2188" s="17" t="str">
        <x:v>C003</x:v>
      </x:c>
      <x:c r="E2188" s="17" t="str">
        <x:v>InsightDesk</x:v>
      </x:c>
      <x:c r="F2188" s="17" t="str">
        <x:v>Lite</x:v>
      </x:c>
      <x:c r="G2188" s="21" t="n">
        <x:v>23483</x:v>
      </x:c>
      <x:c r="H2188" s="21" t="n">
        <x:v>4036</x:v>
      </x:c>
      <x:c r="I2188" s="17" t="str">
        <x:v>Followup</x:v>
      </x:c>
    </x:row>
    <x:row r="2189" ht="23" customHeight="1">
      <x:c r="A2189" s="17" t="str">
        <x:v>U02183</x:v>
      </x:c>
      <x:c r="B2189" s="18" t="n">
        <x:v>46286</x:v>
      </x:c>
      <x:c r="C2189" s="17" t="str">
        <x:v>W0165</x:v>
      </x:c>
      <x:c r="D2189" s="17" t="str">
        <x:v>C003</x:v>
      </x:c>
      <x:c r="E2189" s="17" t="str">
        <x:v>InsightDesk</x:v>
      </x:c>
      <x:c r="F2189" s="17" t="str">
        <x:v>Lite</x:v>
      </x:c>
      <x:c r="G2189" s="21" t="n">
        <x:v>17760</x:v>
      </x:c>
      <x:c r="H2189" s="21" t="n">
        <x:v>4925</x:v>
      </x:c>
      <x:c r="I2189" s="17" t="str">
        <x:v>Followup</x:v>
      </x:c>
    </x:row>
    <x:row r="2190" ht="23" customHeight="1">
      <x:c r="A2190" s="17" t="str">
        <x:v>U02184</x:v>
      </x:c>
      <x:c r="B2190" s="18" t="n">
        <x:v>46286</x:v>
      </x:c>
      <x:c r="C2190" s="17" t="str">
        <x:v>W0165</x:v>
      </x:c>
      <x:c r="D2190" s="17" t="str">
        <x:v>C003</x:v>
      </x:c>
      <x:c r="E2190" s="17" t="str">
        <x:v>InsightDesk</x:v>
      </x:c>
      <x:c r="F2190" s="17" t="str">
        <x:v>Lite</x:v>
      </x:c>
      <x:c r="G2190" s="21" t="n">
        <x:v>22097</x:v>
      </x:c>
      <x:c r="H2190" s="21" t="n">
        <x:v>1822</x:v>
      </x:c>
      <x:c r="I2190" s="17" t="str">
        <x:v>Followup</x:v>
      </x:c>
    </x:row>
    <x:row r="2191" ht="23" customHeight="1">
      <x:c r="A2191" s="17" t="str">
        <x:v>U02185</x:v>
      </x:c>
      <x:c r="B2191" s="18" t="n">
        <x:v>46287</x:v>
      </x:c>
      <x:c r="C2191" s="17" t="str">
        <x:v>W0165</x:v>
      </x:c>
      <x:c r="D2191" s="17" t="str">
        <x:v>C003</x:v>
      </x:c>
      <x:c r="E2191" s="17" t="str">
        <x:v>InsightDesk</x:v>
      </x:c>
      <x:c r="F2191" s="17" t="str">
        <x:v>Lite</x:v>
      </x:c>
      <x:c r="G2191" s="21" t="n">
        <x:v>19128</x:v>
      </x:c>
      <x:c r="H2191" s="21" t="n">
        <x:v>1763</x:v>
      </x:c>
      <x:c r="I2191" s="17" t="str">
        <x:v>Followup</x:v>
      </x:c>
    </x:row>
    <x:row r="2192" ht="23" customHeight="1">
      <x:c r="A2192" s="17" t="str">
        <x:v>U02186</x:v>
      </x:c>
      <x:c r="B2192" s="18" t="n">
        <x:v>46287</x:v>
      </x:c>
      <x:c r="C2192" s="17" t="str">
        <x:v>W0165</x:v>
      </x:c>
      <x:c r="D2192" s="17" t="str">
        <x:v>C003</x:v>
      </x:c>
      <x:c r="E2192" s="17" t="str">
        <x:v>InsightDesk</x:v>
      </x:c>
      <x:c r="F2192" s="17" t="str">
        <x:v>Lite</x:v>
      </x:c>
      <x:c r="G2192" s="21" t="n">
        <x:v>27433</x:v>
      </x:c>
      <x:c r="H2192" s="21" t="n">
        <x:v>1693</x:v>
      </x:c>
      <x:c r="I2192" s="17" t="str">
        <x:v>Correction</x:v>
      </x:c>
    </x:row>
    <x:row r="2193" ht="23" customHeight="1">
      <x:c r="A2193" s="17" t="str">
        <x:v>U02187</x:v>
      </x:c>
      <x:c r="B2193" s="18" t="n">
        <x:v>46287</x:v>
      </x:c>
      <x:c r="C2193" s="17" t="str">
        <x:v>W0165</x:v>
      </x:c>
      <x:c r="D2193" s="17" t="str">
        <x:v>C003</x:v>
      </x:c>
      <x:c r="E2193" s="17" t="str">
        <x:v>InsightDesk</x:v>
      </x:c>
      <x:c r="F2193" s="17" t="str">
        <x:v>Lite</x:v>
      </x:c>
      <x:c r="G2193" s="21" t="n">
        <x:v>21774</x:v>
      </x:c>
      <x:c r="H2193" s="21" t="n">
        <x:v>4350</x:v>
      </x:c>
      <x:c r="I2193" s="17" t="str">
        <x:v>Followup</x:v>
      </x:c>
    </x:row>
    <x:row r="2194" ht="23" customHeight="1">
      <x:c r="A2194" s="17" t="str">
        <x:v>U02188</x:v>
      </x:c>
      <x:c r="B2194" s="18" t="n">
        <x:v>46266</x:v>
      </x:c>
      <x:c r="C2194" s="17" t="str">
        <x:v>W0166</x:v>
      </x:c>
      <x:c r="D2194" s="17" t="str">
        <x:v>C003</x:v>
      </x:c>
      <x:c r="E2194" s="17" t="str">
        <x:v>DataFlow</x:v>
      </x:c>
      <x:c r="F2194" s="17" t="str">
        <x:v>Lite</x:v>
      </x:c>
      <x:c r="G2194" s="21" t="n">
        <x:v>15839</x:v>
      </x:c>
      <x:c r="H2194" s="21" t="n">
        <x:v>2277</x:v>
      </x:c>
      <x:c r="I2194" s="17" t="str">
        <x:v>First attempt</x:v>
      </x:c>
    </x:row>
    <x:row r="2195" ht="23" customHeight="1">
      <x:c r="A2195" s="17" t="str">
        <x:v>U02189</x:v>
      </x:c>
      <x:c r="B2195" s="18" t="n">
        <x:v>46266</x:v>
      </x:c>
      <x:c r="C2195" s="17" t="str">
        <x:v>W0166</x:v>
      </x:c>
      <x:c r="D2195" s="17" t="str">
        <x:v>C003</x:v>
      </x:c>
      <x:c r="E2195" s="17" t="str">
        <x:v>DataFlow</x:v>
      </x:c>
      <x:c r="F2195" s="17" t="str">
        <x:v>Lite</x:v>
      </x:c>
      <x:c r="G2195" s="21" t="n">
        <x:v>26357</x:v>
      </x:c>
      <x:c r="H2195" s="21" t="n">
        <x:v>6061</x:v>
      </x:c>
      <x:c r="I2195" s="17" t="str">
        <x:v>Followup</x:v>
      </x:c>
    </x:row>
    <x:row r="2196" ht="23" customHeight="1">
      <x:c r="A2196" s="17" t="str">
        <x:v>U02190</x:v>
      </x:c>
      <x:c r="B2196" s="18" t="n">
        <x:v>46266</x:v>
      </x:c>
      <x:c r="C2196" s="17" t="str">
        <x:v>W0166</x:v>
      </x:c>
      <x:c r="D2196" s="17" t="str">
        <x:v>C003</x:v>
      </x:c>
      <x:c r="E2196" s="17" t="str">
        <x:v>DataFlow</x:v>
      </x:c>
      <x:c r="F2196" s="17" t="str">
        <x:v>Lite</x:v>
      </x:c>
      <x:c r="G2196" s="21" t="n">
        <x:v>15832</x:v>
      </x:c>
      <x:c r="H2196" s="21" t="n">
        <x:v>3803</x:v>
      </x:c>
      <x:c r="I2196" s="17" t="str">
        <x:v>Followup</x:v>
      </x:c>
    </x:row>
    <x:row r="2197" ht="23" customHeight="1">
      <x:c r="A2197" s="17" t="str">
        <x:v>U02191</x:v>
      </x:c>
      <x:c r="B2197" s="18" t="n">
        <x:v>46266</x:v>
      </x:c>
      <x:c r="C2197" s="17" t="str">
        <x:v>W0166</x:v>
      </x:c>
      <x:c r="D2197" s="17" t="str">
        <x:v>C003</x:v>
      </x:c>
      <x:c r="E2197" s="17" t="str">
        <x:v>DataFlow</x:v>
      </x:c>
      <x:c r="F2197" s="17" t="str">
        <x:v>Lite</x:v>
      </x:c>
      <x:c r="G2197" s="21" t="n">
        <x:v>32788</x:v>
      </x:c>
      <x:c r="H2197" s="21" t="n">
        <x:v>6387</x:v>
      </x:c>
      <x:c r="I2197" s="17" t="str">
        <x:v>Followup</x:v>
      </x:c>
    </x:row>
    <x:row r="2198" ht="23" customHeight="1">
      <x:c r="A2198" s="17" t="str">
        <x:v>U02192</x:v>
      </x:c>
      <x:c r="B2198" s="18" t="n">
        <x:v>46266</x:v>
      </x:c>
      <x:c r="C2198" s="17" t="str">
        <x:v>W0166</x:v>
      </x:c>
      <x:c r="D2198" s="17" t="str">
        <x:v>C003</x:v>
      </x:c>
      <x:c r="E2198" s="17" t="str">
        <x:v>DataFlow</x:v>
      </x:c>
      <x:c r="F2198" s="17" t="str">
        <x:v>Lite</x:v>
      </x:c>
      <x:c r="G2198" s="21" t="n">
        <x:v>14500</x:v>
      </x:c>
      <x:c r="H2198" s="21" t="n">
        <x:v>5681</x:v>
      </x:c>
      <x:c r="I2198" s="17" t="str">
        <x:v>Followup</x:v>
      </x:c>
    </x:row>
    <x:row r="2199" ht="23" customHeight="1">
      <x:c r="A2199" s="17" t="str">
        <x:v>U02193</x:v>
      </x:c>
      <x:c r="B2199" s="18" t="n">
        <x:v>46267</x:v>
      </x:c>
      <x:c r="C2199" s="17" t="str">
        <x:v>W0166</x:v>
      </x:c>
      <x:c r="D2199" s="17" t="str">
        <x:v>C003</x:v>
      </x:c>
      <x:c r="E2199" s="17" t="str">
        <x:v>DataFlow</x:v>
      </x:c>
      <x:c r="F2199" s="17" t="str">
        <x:v>Lite</x:v>
      </x:c>
      <x:c r="G2199" s="21" t="n">
        <x:v>25480</x:v>
      </x:c>
      <x:c r="H2199" s="21" t="n">
        <x:v>6849</x:v>
      </x:c>
      <x:c r="I2199" s="17" t="str">
        <x:v>Followup</x:v>
      </x:c>
    </x:row>
    <x:row r="2200" ht="23" customHeight="1">
      <x:c r="A2200" s="17" t="str">
        <x:v>U02194</x:v>
      </x:c>
      <x:c r="B2200" s="18" t="n">
        <x:v>46267</x:v>
      </x:c>
      <x:c r="C2200" s="17" t="str">
        <x:v>W0166</x:v>
      </x:c>
      <x:c r="D2200" s="17" t="str">
        <x:v>C003</x:v>
      </x:c>
      <x:c r="E2200" s="17" t="str">
        <x:v>DataFlow</x:v>
      </x:c>
      <x:c r="F2200" s="17" t="str">
        <x:v>Lite</x:v>
      </x:c>
      <x:c r="G2200" s="21" t="n">
        <x:v>21244</x:v>
      </x:c>
      <x:c r="H2200" s="21" t="n">
        <x:v>3404</x:v>
      </x:c>
      <x:c r="I2200" s="17" t="str">
        <x:v>Followup</x:v>
      </x:c>
    </x:row>
    <x:row r="2201" ht="23" customHeight="1">
      <x:c r="A2201" s="17" t="str">
        <x:v>U02195</x:v>
      </x:c>
      <x:c r="B2201" s="18" t="n">
        <x:v>46267</x:v>
      </x:c>
      <x:c r="C2201" s="17" t="str">
        <x:v>W0166</x:v>
      </x:c>
      <x:c r="D2201" s="17" t="str">
        <x:v>C003</x:v>
      </x:c>
      <x:c r="E2201" s="17" t="str">
        <x:v>DataFlow</x:v>
      </x:c>
      <x:c r="F2201" s="17" t="str">
        <x:v>Lite</x:v>
      </x:c>
      <x:c r="G2201" s="21" t="n">
        <x:v>26037</x:v>
      </x:c>
      <x:c r="H2201" s="21" t="n">
        <x:v>5385</x:v>
      </x:c>
      <x:c r="I2201" s="17" t="str">
        <x:v>Followup</x:v>
      </x:c>
    </x:row>
    <x:row r="2202" ht="23" customHeight="1">
      <x:c r="A2202" s="17" t="str">
        <x:v>U02196</x:v>
      </x:c>
      <x:c r="B2202" s="18" t="n">
        <x:v>46267</x:v>
      </x:c>
      <x:c r="C2202" s="17" t="str">
        <x:v>W0166</x:v>
      </x:c>
      <x:c r="D2202" s="17" t="str">
        <x:v>C003</x:v>
      </x:c>
      <x:c r="E2202" s="17" t="str">
        <x:v>DataFlow</x:v>
      </x:c>
      <x:c r="F2202" s="17" t="str">
        <x:v>Lite</x:v>
      </x:c>
      <x:c r="G2202" s="21" t="n">
        <x:v>29097</x:v>
      </x:c>
      <x:c r="H2202" s="21" t="n">
        <x:v>7382</x:v>
      </x:c>
      <x:c r="I2202" s="17" t="str">
        <x:v>Followup</x:v>
      </x:c>
    </x:row>
    <x:row r="2203" ht="23" customHeight="1">
      <x:c r="A2203" s="17" t="str">
        <x:v>U02197</x:v>
      </x:c>
      <x:c r="B2203" s="18" t="n">
        <x:v>46267</x:v>
      </x:c>
      <x:c r="C2203" s="17" t="str">
        <x:v>W0166</x:v>
      </x:c>
      <x:c r="D2203" s="17" t="str">
        <x:v>C003</x:v>
      </x:c>
      <x:c r="E2203" s="17" t="str">
        <x:v>DataFlow</x:v>
      </x:c>
      <x:c r="F2203" s="17" t="str">
        <x:v>Lite</x:v>
      </x:c>
      <x:c r="G2203" s="21" t="n">
        <x:v>35194</x:v>
      </x:c>
      <x:c r="H2203" s="21" t="n">
        <x:v>3335</x:v>
      </x:c>
      <x:c r="I2203" s="17" t="str">
        <x:v>Followup</x:v>
      </x:c>
    </x:row>
    <x:row r="2204" ht="23" customHeight="1">
      <x:c r="A2204" s="17" t="str">
        <x:v>U02198</x:v>
      </x:c>
      <x:c r="B2204" s="18" t="n">
        <x:v>46268</x:v>
      </x:c>
      <x:c r="C2204" s="17" t="str">
        <x:v>W0166</x:v>
      </x:c>
      <x:c r="D2204" s="17" t="str">
        <x:v>C003</x:v>
      </x:c>
      <x:c r="E2204" s="17" t="str">
        <x:v>DataFlow</x:v>
      </x:c>
      <x:c r="F2204" s="17" t="str">
        <x:v>Lite</x:v>
      </x:c>
      <x:c r="G2204" s="21" t="n">
        <x:v>21348</x:v>
      </x:c>
      <x:c r="H2204" s="21" t="n">
        <x:v>6500</x:v>
      </x:c>
      <x:c r="I2204" s="17" t="str">
        <x:v>Followup</x:v>
      </x:c>
    </x:row>
    <x:row r="2205" ht="23" customHeight="1">
      <x:c r="A2205" s="17" t="str">
        <x:v>U02199</x:v>
      </x:c>
      <x:c r="B2205" s="18" t="n">
        <x:v>46268</x:v>
      </x:c>
      <x:c r="C2205" s="17" t="str">
        <x:v>W0166</x:v>
      </x:c>
      <x:c r="D2205" s="17" t="str">
        <x:v>C003</x:v>
      </x:c>
      <x:c r="E2205" s="17" t="str">
        <x:v>DataFlow</x:v>
      </x:c>
      <x:c r="F2205" s="17" t="str">
        <x:v>Lite</x:v>
      </x:c>
      <x:c r="G2205" s="21" t="n">
        <x:v>13070</x:v>
      </x:c>
      <x:c r="H2205" s="21" t="n">
        <x:v>2861</x:v>
      </x:c>
      <x:c r="I2205" s="17" t="str">
        <x:v>Followup</x:v>
      </x:c>
    </x:row>
    <x:row r="2206" ht="23" customHeight="1">
      <x:c r="A2206" s="17" t="str">
        <x:v>U02200</x:v>
      </x:c>
      <x:c r="B2206" s="18" t="n">
        <x:v>46268</x:v>
      </x:c>
      <x:c r="C2206" s="17" t="str">
        <x:v>W0166</x:v>
      </x:c>
      <x:c r="D2206" s="17" t="str">
        <x:v>C003</x:v>
      </x:c>
      <x:c r="E2206" s="17" t="str">
        <x:v>DataFlow</x:v>
      </x:c>
      <x:c r="F2206" s="17" t="str">
        <x:v>Lite</x:v>
      </x:c>
      <x:c r="G2206" s="21" t="n">
        <x:v>15332</x:v>
      </x:c>
      <x:c r="H2206" s="21" t="n">
        <x:v>2152</x:v>
      </x:c>
      <x:c r="I2206" s="17" t="str">
        <x:v>Correction</x:v>
      </x:c>
    </x:row>
    <x:row r="2207" ht="23" customHeight="1">
      <x:c r="A2207" s="17" t="str">
        <x:v>U02201</x:v>
      </x:c>
      <x:c r="B2207" s="18" t="n">
        <x:v>46268</x:v>
      </x:c>
      <x:c r="C2207" s="17" t="str">
        <x:v>W0166</x:v>
      </x:c>
      <x:c r="D2207" s="17" t="str">
        <x:v>C003</x:v>
      </x:c>
      <x:c r="E2207" s="17" t="str">
        <x:v>DataFlow</x:v>
      </x:c>
      <x:c r="F2207" s="17" t="str">
        <x:v>Lite</x:v>
      </x:c>
      <x:c r="G2207" s="21" t="n">
        <x:v>33121</x:v>
      </x:c>
      <x:c r="H2207" s="21" t="n">
        <x:v>5816</x:v>
      </x:c>
      <x:c r="I2207" s="17" t="str">
        <x:v>Followup</x:v>
      </x:c>
    </x:row>
    <x:row r="2208" ht="23" customHeight="1">
      <x:c r="A2208" s="17" t="str">
        <x:v>U02202</x:v>
      </x:c>
      <x:c r="B2208" s="18" t="n">
        <x:v>46268</x:v>
      </x:c>
      <x:c r="C2208" s="17" t="str">
        <x:v>W0166</x:v>
      </x:c>
      <x:c r="D2208" s="17" t="str">
        <x:v>C003</x:v>
      </x:c>
      <x:c r="E2208" s="17" t="str">
        <x:v>DataFlow</x:v>
      </x:c>
      <x:c r="F2208" s="17" t="str">
        <x:v>Lite</x:v>
      </x:c>
      <x:c r="G2208" s="21" t="n">
        <x:v>30741</x:v>
      </x:c>
      <x:c r="H2208" s="21" t="n">
        <x:v>3696</x:v>
      </x:c>
      <x:c r="I2208" s="17" t="str">
        <x:v>Followup</x:v>
      </x:c>
    </x:row>
    <x:row r="2209" ht="23" customHeight="1">
      <x:c r="A2209" s="17" t="str">
        <x:v>U02203</x:v>
      </x:c>
      <x:c r="B2209" s="18" t="n">
        <x:v>46269</x:v>
      </x:c>
      <x:c r="C2209" s="17" t="str">
        <x:v>W0166</x:v>
      </x:c>
      <x:c r="D2209" s="17" t="str">
        <x:v>C003</x:v>
      </x:c>
      <x:c r="E2209" s="17" t="str">
        <x:v>DataFlow</x:v>
      </x:c>
      <x:c r="F2209" s="17" t="str">
        <x:v>Lite</x:v>
      </x:c>
      <x:c r="G2209" s="21" t="n">
        <x:v>28006</x:v>
      </x:c>
      <x:c r="H2209" s="21" t="n">
        <x:v>4663</x:v>
      </x:c>
      <x:c r="I2209" s="17" t="str">
        <x:v>Correction</x:v>
      </x:c>
    </x:row>
    <x:row r="2210" ht="23" customHeight="1">
      <x:c r="A2210" s="17" t="str">
        <x:v>U02204</x:v>
      </x:c>
      <x:c r="B2210" s="18" t="n">
        <x:v>46269</x:v>
      </x:c>
      <x:c r="C2210" s="17" t="str">
        <x:v>W0166</x:v>
      </x:c>
      <x:c r="D2210" s="17" t="str">
        <x:v>C003</x:v>
      </x:c>
      <x:c r="E2210" s="17" t="str">
        <x:v>DataFlow</x:v>
      </x:c>
      <x:c r="F2210" s="17" t="str">
        <x:v>Lite</x:v>
      </x:c>
      <x:c r="G2210" s="21" t="n">
        <x:v>18256</x:v>
      </x:c>
      <x:c r="H2210" s="21" t="n">
        <x:v>6421</x:v>
      </x:c>
      <x:c r="I2210" s="17" t="str">
        <x:v>Followup</x:v>
      </x:c>
    </x:row>
    <x:row r="2211" ht="23" customHeight="1">
      <x:c r="A2211" s="17" t="str">
        <x:v>U02205</x:v>
      </x:c>
      <x:c r="B2211" s="18" t="n">
        <x:v>46269</x:v>
      </x:c>
      <x:c r="C2211" s="17" t="str">
        <x:v>W0166</x:v>
      </x:c>
      <x:c r="D2211" s="17" t="str">
        <x:v>C003</x:v>
      </x:c>
      <x:c r="E2211" s="17" t="str">
        <x:v>DataFlow</x:v>
      </x:c>
      <x:c r="F2211" s="17" t="str">
        <x:v>Lite</x:v>
      </x:c>
      <x:c r="G2211" s="21" t="n">
        <x:v>22531</x:v>
      </x:c>
      <x:c r="H2211" s="21" t="n">
        <x:v>3732</x:v>
      </x:c>
      <x:c r="I2211" s="17" t="str">
        <x:v>Correction</x:v>
      </x:c>
    </x:row>
    <x:row r="2212" ht="23" customHeight="1">
      <x:c r="A2212" s="17" t="str">
        <x:v>U02206</x:v>
      </x:c>
      <x:c r="B2212" s="18" t="n">
        <x:v>46269</x:v>
      </x:c>
      <x:c r="C2212" s="17" t="str">
        <x:v>W0166</x:v>
      </x:c>
      <x:c r="D2212" s="17" t="str">
        <x:v>C003</x:v>
      </x:c>
      <x:c r="E2212" s="17" t="str">
        <x:v>DataFlow</x:v>
      </x:c>
      <x:c r="F2212" s="17" t="str">
        <x:v>Lite</x:v>
      </x:c>
      <x:c r="G2212" s="21" t="n">
        <x:v>19402</x:v>
      </x:c>
      <x:c r="H2212" s="21" t="n">
        <x:v>5178</x:v>
      </x:c>
      <x:c r="I2212" s="17" t="str">
        <x:v>Followup</x:v>
      </x:c>
    </x:row>
    <x:row r="2213" ht="23" customHeight="1">
      <x:c r="A2213" s="17" t="str">
        <x:v>U02207</x:v>
      </x:c>
      <x:c r="B2213" s="18" t="n">
        <x:v>46269</x:v>
      </x:c>
      <x:c r="C2213" s="17" t="str">
        <x:v>W0166</x:v>
      </x:c>
      <x:c r="D2213" s="17" t="str">
        <x:v>C003</x:v>
      </x:c>
      <x:c r="E2213" s="17" t="str">
        <x:v>DataFlow</x:v>
      </x:c>
      <x:c r="F2213" s="17" t="str">
        <x:v>Lite</x:v>
      </x:c>
      <x:c r="G2213" s="21" t="n">
        <x:v>19344</x:v>
      </x:c>
      <x:c r="H2213" s="21" t="n">
        <x:v>3750</x:v>
      </x:c>
      <x:c r="I2213" s="17" t="str">
        <x:v>Followup</x:v>
      </x:c>
    </x:row>
    <x:row r="2214" ht="23" customHeight="1">
      <x:c r="A2214" s="17" t="str">
        <x:v>U02208</x:v>
      </x:c>
      <x:c r="B2214" s="18" t="n">
        <x:v>46269</x:v>
      </x:c>
      <x:c r="C2214" s="17" t="str">
        <x:v>W0169</x:v>
      </x:c>
      <x:c r="D2214" s="17" t="str">
        <x:v>C003</x:v>
      </x:c>
      <x:c r="E2214" s="17" t="str">
        <x:v>CampaignChat</x:v>
      </x:c>
      <x:c r="F2214" s="17" t="str">
        <x:v>Lite</x:v>
      </x:c>
      <x:c r="G2214" s="21" t="n">
        <x:v>25587</x:v>
      </x:c>
      <x:c r="H2214" s="21" t="n">
        <x:v>9452</x:v>
      </x:c>
      <x:c r="I2214" s="17" t="str">
        <x:v>First attempt</x:v>
      </x:c>
    </x:row>
    <x:row r="2215" ht="23" customHeight="1">
      <x:c r="A2215" s="17" t="str">
        <x:v>U02209</x:v>
      </x:c>
      <x:c r="B2215" s="18" t="n">
        <x:v>46269</x:v>
      </x:c>
      <x:c r="C2215" s="17" t="str">
        <x:v>W0169</x:v>
      </x:c>
      <x:c r="D2215" s="17" t="str">
        <x:v>C003</x:v>
      </x:c>
      <x:c r="E2215" s="17" t="str">
        <x:v>CampaignChat</x:v>
      </x:c>
      <x:c r="F2215" s="17" t="str">
        <x:v>Lite</x:v>
      </x:c>
      <x:c r="G2215" s="21" t="n">
        <x:v>19694</x:v>
      </x:c>
      <x:c r="H2215" s="21" t="n">
        <x:v>9738</x:v>
      </x:c>
      <x:c r="I2215" s="17" t="str">
        <x:v>Followup</x:v>
      </x:c>
    </x:row>
    <x:row r="2216" ht="23" customHeight="1">
      <x:c r="A2216" s="17" t="str">
        <x:v>U02210</x:v>
      </x:c>
      <x:c r="B2216" s="18" t="n">
        <x:v>46269</x:v>
      </x:c>
      <x:c r="C2216" s="17" t="str">
        <x:v>W0169</x:v>
      </x:c>
      <x:c r="D2216" s="17" t="str">
        <x:v>C003</x:v>
      </x:c>
      <x:c r="E2216" s="17" t="str">
        <x:v>CampaignChat</x:v>
      </x:c>
      <x:c r="F2216" s="17" t="str">
        <x:v>Lite</x:v>
      </x:c>
      <x:c r="G2216" s="21" t="n">
        <x:v>32632</x:v>
      </x:c>
      <x:c r="H2216" s="21" t="n">
        <x:v>8579</x:v>
      </x:c>
      <x:c r="I2216" s="17" t="str">
        <x:v>Correction</x:v>
      </x:c>
    </x:row>
    <x:row r="2217" ht="23" customHeight="1">
      <x:c r="A2217" s="17" t="str">
        <x:v>U02211</x:v>
      </x:c>
      <x:c r="B2217" s="18" t="n">
        <x:v>46269</x:v>
      </x:c>
      <x:c r="C2217" s="17" t="str">
        <x:v>W0169</x:v>
      </x:c>
      <x:c r="D2217" s="17" t="str">
        <x:v>C003</x:v>
      </x:c>
      <x:c r="E2217" s="17" t="str">
        <x:v>CampaignChat</x:v>
      </x:c>
      <x:c r="F2217" s="17" t="str">
        <x:v>Lite</x:v>
      </x:c>
      <x:c r="G2217" s="21" t="n">
        <x:v>24015</x:v>
      </x:c>
      <x:c r="H2217" s="21" t="n">
        <x:v>9555</x:v>
      </x:c>
      <x:c r="I2217" s="17" t="str">
        <x:v>Followup</x:v>
      </x:c>
    </x:row>
    <x:row r="2218" ht="23" customHeight="1">
      <x:c r="A2218" s="17" t="str">
        <x:v>U02212</x:v>
      </x:c>
      <x:c r="B2218" s="18" t="n">
        <x:v>46269</x:v>
      </x:c>
      <x:c r="C2218" s="17" t="str">
        <x:v>W0169</x:v>
      </x:c>
      <x:c r="D2218" s="17" t="str">
        <x:v>C003</x:v>
      </x:c>
      <x:c r="E2218" s="17" t="str">
        <x:v>CampaignChat</x:v>
      </x:c>
      <x:c r="F2218" s="17" t="str">
        <x:v>Lite</x:v>
      </x:c>
      <x:c r="G2218" s="21" t="n">
        <x:v>15449</x:v>
      </x:c>
      <x:c r="H2218" s="21" t="n">
        <x:v>9524</x:v>
      </x:c>
      <x:c r="I2218" s="17" t="str">
        <x:v>Followup</x:v>
      </x:c>
    </x:row>
    <x:row r="2219" ht="23" customHeight="1">
      <x:c r="A2219" s="17" t="str">
        <x:v>U02213</x:v>
      </x:c>
      <x:c r="B2219" s="18" t="n">
        <x:v>46273</x:v>
      </x:c>
      <x:c r="C2219" s="17" t="str">
        <x:v>W0169</x:v>
      </x:c>
      <x:c r="D2219" s="17" t="str">
        <x:v>C003</x:v>
      </x:c>
      <x:c r="E2219" s="17" t="str">
        <x:v>CampaignChat</x:v>
      </x:c>
      <x:c r="F2219" s="17" t="str">
        <x:v>Lite</x:v>
      </x:c>
      <x:c r="G2219" s="21" t="n">
        <x:v>33856</x:v>
      </x:c>
      <x:c r="H2219" s="21" t="n">
        <x:v>8748</x:v>
      </x:c>
      <x:c r="I2219" s="17" t="str">
        <x:v>Followup</x:v>
      </x:c>
    </x:row>
    <x:row r="2220" ht="23" customHeight="1">
      <x:c r="A2220" s="17" t="str">
        <x:v>U02214</x:v>
      </x:c>
      <x:c r="B2220" s="18" t="n">
        <x:v>46273</x:v>
      </x:c>
      <x:c r="C2220" s="17" t="str">
        <x:v>W0169</x:v>
      </x:c>
      <x:c r="D2220" s="17" t="str">
        <x:v>C003</x:v>
      </x:c>
      <x:c r="E2220" s="17" t="str">
        <x:v>CampaignChat</x:v>
      </x:c>
      <x:c r="F2220" s="17" t="str">
        <x:v>Lite</x:v>
      </x:c>
      <x:c r="G2220" s="21" t="n">
        <x:v>26884</x:v>
      </x:c>
      <x:c r="H2220" s="21" t="n">
        <x:v>9174</x:v>
      </x:c>
      <x:c r="I2220" s="17" t="str">
        <x:v>Correction</x:v>
      </x:c>
    </x:row>
    <x:row r="2221" ht="23" customHeight="1">
      <x:c r="A2221" s="17" t="str">
        <x:v>U02215</x:v>
      </x:c>
      <x:c r="B2221" s="18" t="n">
        <x:v>46273</x:v>
      </x:c>
      <x:c r="C2221" s="17" t="str">
        <x:v>W0169</x:v>
      </x:c>
      <x:c r="D2221" s="17" t="str">
        <x:v>C003</x:v>
      </x:c>
      <x:c r="E2221" s="17" t="str">
        <x:v>CampaignChat</x:v>
      </x:c>
      <x:c r="F2221" s="17" t="str">
        <x:v>Lite</x:v>
      </x:c>
      <x:c r="G2221" s="21" t="n">
        <x:v>38716</x:v>
      </x:c>
      <x:c r="H2221" s="21" t="n">
        <x:v>3237</x:v>
      </x:c>
      <x:c r="I2221" s="17" t="str">
        <x:v>Correction</x:v>
      </x:c>
    </x:row>
    <x:row r="2222" ht="23" customHeight="1">
      <x:c r="A2222" s="17" t="str">
        <x:v>U02216</x:v>
      </x:c>
      <x:c r="B2222" s="18" t="n">
        <x:v>46273</x:v>
      </x:c>
      <x:c r="C2222" s="17" t="str">
        <x:v>W0169</x:v>
      </x:c>
      <x:c r="D2222" s="17" t="str">
        <x:v>C003</x:v>
      </x:c>
      <x:c r="E2222" s="17" t="str">
        <x:v>CampaignChat</x:v>
      </x:c>
      <x:c r="F2222" s="17" t="str">
        <x:v>Lite</x:v>
      </x:c>
      <x:c r="G2222" s="21" t="n">
        <x:v>29849</x:v>
      </x:c>
      <x:c r="H2222" s="21" t="n">
        <x:v>4146</x:v>
      </x:c>
      <x:c r="I2222" s="17" t="str">
        <x:v>Correction</x:v>
      </x:c>
    </x:row>
    <x:row r="2223" ht="23" customHeight="1">
      <x:c r="A2223" s="17" t="str">
        <x:v>U02217</x:v>
      </x:c>
      <x:c r="B2223" s="18" t="n">
        <x:v>46274</x:v>
      </x:c>
      <x:c r="C2223" s="17" t="str">
        <x:v>W0169</x:v>
      </x:c>
      <x:c r="D2223" s="17" t="str">
        <x:v>C003</x:v>
      </x:c>
      <x:c r="E2223" s="17" t="str">
        <x:v>CampaignChat</x:v>
      </x:c>
      <x:c r="F2223" s="17" t="str">
        <x:v>Lite</x:v>
      </x:c>
      <x:c r="G2223" s="21" t="n">
        <x:v>16259</x:v>
      </x:c>
      <x:c r="H2223" s="21" t="n">
        <x:v>9198</x:v>
      </x:c>
      <x:c r="I2223" s="17" t="str">
        <x:v>Followup</x:v>
      </x:c>
    </x:row>
    <x:row r="2224" ht="23" customHeight="1">
      <x:c r="A2224" s="17" t="str">
        <x:v>U02218</x:v>
      </x:c>
      <x:c r="B2224" s="18" t="n">
        <x:v>46274</x:v>
      </x:c>
      <x:c r="C2224" s="17" t="str">
        <x:v>W0169</x:v>
      </x:c>
      <x:c r="D2224" s="17" t="str">
        <x:v>C003</x:v>
      </x:c>
      <x:c r="E2224" s="17" t="str">
        <x:v>CampaignChat</x:v>
      </x:c>
      <x:c r="F2224" s="17" t="str">
        <x:v>Lite</x:v>
      </x:c>
      <x:c r="G2224" s="21" t="n">
        <x:v>22722</x:v>
      </x:c>
      <x:c r="H2224" s="21" t="n">
        <x:v>4980</x:v>
      </x:c>
      <x:c r="I2224" s="17" t="str">
        <x:v>Followup</x:v>
      </x:c>
    </x:row>
    <x:row r="2225" ht="23" customHeight="1">
      <x:c r="A2225" s="17" t="str">
        <x:v>U02219</x:v>
      </x:c>
      <x:c r="B2225" s="18" t="n">
        <x:v>46274</x:v>
      </x:c>
      <x:c r="C2225" s="17" t="str">
        <x:v>W0169</x:v>
      </x:c>
      <x:c r="D2225" s="17" t="str">
        <x:v>C003</x:v>
      </x:c>
      <x:c r="E2225" s="17" t="str">
        <x:v>CampaignChat</x:v>
      </x:c>
      <x:c r="F2225" s="17" t="str">
        <x:v>Lite</x:v>
      </x:c>
      <x:c r="G2225" s="21" t="n">
        <x:v>23285</x:v>
      </x:c>
      <x:c r="H2225" s="21" t="n">
        <x:v>8871</x:v>
      </x:c>
      <x:c r="I2225" s="17" t="str">
        <x:v>Followup</x:v>
      </x:c>
    </x:row>
    <x:row r="2226" ht="23" customHeight="1">
      <x:c r="A2226" s="17" t="str">
        <x:v>U02220</x:v>
      </x:c>
      <x:c r="B2226" s="18" t="n">
        <x:v>46274</x:v>
      </x:c>
      <x:c r="C2226" s="17" t="str">
        <x:v>W0169</x:v>
      </x:c>
      <x:c r="D2226" s="17" t="str">
        <x:v>C003</x:v>
      </x:c>
      <x:c r="E2226" s="17" t="str">
        <x:v>CampaignChat</x:v>
      </x:c>
      <x:c r="F2226" s="17" t="str">
        <x:v>Lite</x:v>
      </x:c>
      <x:c r="G2226" s="21" t="n">
        <x:v>23559</x:v>
      </x:c>
      <x:c r="H2226" s="21" t="n">
        <x:v>6554</x:v>
      </x:c>
      <x:c r="I2226" s="17" t="str">
        <x:v>Followup</x:v>
      </x:c>
    </x:row>
    <x:row r="2227" ht="23" customHeight="1">
      <x:c r="A2227" s="17" t="str">
        <x:v>U02221</x:v>
      </x:c>
      <x:c r="B2227" s="18" t="n">
        <x:v>46274</x:v>
      </x:c>
      <x:c r="C2227" s="17" t="str">
        <x:v>W0169</x:v>
      </x:c>
      <x:c r="D2227" s="17" t="str">
        <x:v>C003</x:v>
      </x:c>
      <x:c r="E2227" s="17" t="str">
        <x:v>CampaignChat</x:v>
      </x:c>
      <x:c r="F2227" s="17" t="str">
        <x:v>Lite</x:v>
      </x:c>
      <x:c r="G2227" s="21" t="n">
        <x:v>21588</x:v>
      </x:c>
      <x:c r="H2227" s="21" t="n">
        <x:v>4388</x:v>
      </x:c>
      <x:c r="I2227" s="17" t="str">
        <x:v>Followup</x:v>
      </x:c>
    </x:row>
    <x:row r="2228" ht="23" customHeight="1">
      <x:c r="A2228" s="17" t="str">
        <x:v>U02222</x:v>
      </x:c>
      <x:c r="B2228" s="18" t="n">
        <x:v>46275</x:v>
      </x:c>
      <x:c r="C2228" s="17" t="str">
        <x:v>W0169</x:v>
      </x:c>
      <x:c r="D2228" s="17" t="str">
        <x:v>C003</x:v>
      </x:c>
      <x:c r="E2228" s="17" t="str">
        <x:v>CampaignChat</x:v>
      </x:c>
      <x:c r="F2228" s="17" t="str">
        <x:v>Lite</x:v>
      </x:c>
      <x:c r="G2228" s="21" t="n">
        <x:v>18637</x:v>
      </x:c>
      <x:c r="H2228" s="21" t="n">
        <x:v>3788</x:v>
      </x:c>
      <x:c r="I2228" s="17" t="str">
        <x:v>Followup</x:v>
      </x:c>
    </x:row>
    <x:row r="2229" ht="23" customHeight="1">
      <x:c r="A2229" s="17" t="str">
        <x:v>U02223</x:v>
      </x:c>
      <x:c r="B2229" s="18" t="n">
        <x:v>46275</x:v>
      </x:c>
      <x:c r="C2229" s="17" t="str">
        <x:v>W0169</x:v>
      </x:c>
      <x:c r="D2229" s="17" t="str">
        <x:v>C003</x:v>
      </x:c>
      <x:c r="E2229" s="17" t="str">
        <x:v>CampaignChat</x:v>
      </x:c>
      <x:c r="F2229" s="17" t="str">
        <x:v>Lite</x:v>
      </x:c>
      <x:c r="G2229" s="21" t="n">
        <x:v>33400</x:v>
      </x:c>
      <x:c r="H2229" s="21" t="n">
        <x:v>4095</x:v>
      </x:c>
      <x:c r="I2229" s="17" t="str">
        <x:v>Followup</x:v>
      </x:c>
    </x:row>
    <x:row r="2230" ht="23" customHeight="1">
      <x:c r="A2230" s="17" t="str">
        <x:v>U02224</x:v>
      </x:c>
      <x:c r="B2230" s="18" t="n">
        <x:v>46275</x:v>
      </x:c>
      <x:c r="C2230" s="17" t="str">
        <x:v>W0169</x:v>
      </x:c>
      <x:c r="D2230" s="17" t="str">
        <x:v>C003</x:v>
      </x:c>
      <x:c r="E2230" s="17" t="str">
        <x:v>CampaignChat</x:v>
      </x:c>
      <x:c r="F2230" s="17" t="str">
        <x:v>Lite</x:v>
      </x:c>
      <x:c r="G2230" s="21" t="n">
        <x:v>22570</x:v>
      </x:c>
      <x:c r="H2230" s="21" t="n">
        <x:v>3600</x:v>
      </x:c>
      <x:c r="I2230" s="17" t="str">
        <x:v>Followup</x:v>
      </x:c>
    </x:row>
    <x:row r="2231" ht="23" customHeight="1">
      <x:c r="A2231" s="17" t="str">
        <x:v>U02225</x:v>
      </x:c>
      <x:c r="B2231" s="18" t="n">
        <x:v>46275</x:v>
      </x:c>
      <x:c r="C2231" s="17" t="str">
        <x:v>W0169</x:v>
      </x:c>
      <x:c r="D2231" s="17" t="str">
        <x:v>C003</x:v>
      </x:c>
      <x:c r="E2231" s="17" t="str">
        <x:v>CampaignChat</x:v>
      </x:c>
      <x:c r="F2231" s="17" t="str">
        <x:v>Lite</x:v>
      </x:c>
      <x:c r="G2231" s="21" t="n">
        <x:v>32679</x:v>
      </x:c>
      <x:c r="H2231" s="21" t="n">
        <x:v>9813</x:v>
      </x:c>
      <x:c r="I2231" s="17" t="str">
        <x:v>Followup</x:v>
      </x:c>
    </x:row>
    <x:row r="2232" ht="23" customHeight="1">
      <x:c r="A2232" s="17" t="str">
        <x:v>U02226</x:v>
      </x:c>
      <x:c r="B2232" s="18" t="n">
        <x:v>46290</x:v>
      </x:c>
      <x:c r="C2232" s="17" t="str">
        <x:v>W0171</x:v>
      </x:c>
      <x:c r="D2232" s="17" t="str">
        <x:v>C003</x:v>
      </x:c>
      <x:c r="E2232" s="17" t="str">
        <x:v>DataFlow</x:v>
      </x:c>
      <x:c r="F2232" s="17" t="str">
        <x:v>Lite</x:v>
      </x:c>
      <x:c r="G2232" s="21" t="n">
        <x:v>20452</x:v>
      </x:c>
      <x:c r="H2232" s="21" t="n">
        <x:v>6366</x:v>
      </x:c>
      <x:c r="I2232" s="17" t="str">
        <x:v>First attempt</x:v>
      </x:c>
    </x:row>
    <x:row r="2233" ht="23" customHeight="1">
      <x:c r="A2233" s="17" t="str">
        <x:v>U02227</x:v>
      </x:c>
      <x:c r="B2233" s="18" t="n">
        <x:v>46290</x:v>
      </x:c>
      <x:c r="C2233" s="17" t="str">
        <x:v>W0171</x:v>
      </x:c>
      <x:c r="D2233" s="17" t="str">
        <x:v>C003</x:v>
      </x:c>
      <x:c r="E2233" s="17" t="str">
        <x:v>DataFlow</x:v>
      </x:c>
      <x:c r="F2233" s="17" t="str">
        <x:v>Lite</x:v>
      </x:c>
      <x:c r="G2233" s="21" t="n">
        <x:v>13431</x:v>
      </x:c>
      <x:c r="H2233" s="21" t="n">
        <x:v>5428</x:v>
      </x:c>
      <x:c r="I2233" s="17" t="str">
        <x:v>Followup</x:v>
      </x:c>
    </x:row>
    <x:row r="2234" ht="23" customHeight="1">
      <x:c r="A2234" s="17" t="str">
        <x:v>U02228</x:v>
      </x:c>
      <x:c r="B2234" s="18" t="n">
        <x:v>46290</x:v>
      </x:c>
      <x:c r="C2234" s="17" t="str">
        <x:v>W0171</x:v>
      </x:c>
      <x:c r="D2234" s="17" t="str">
        <x:v>C003</x:v>
      </x:c>
      <x:c r="E2234" s="17" t="str">
        <x:v>DataFlow</x:v>
      </x:c>
      <x:c r="F2234" s="17" t="str">
        <x:v>Lite</x:v>
      </x:c>
      <x:c r="G2234" s="21" t="n">
        <x:v>17883</x:v>
      </x:c>
      <x:c r="H2234" s="21" t="n">
        <x:v>5449</x:v>
      </x:c>
      <x:c r="I2234" s="17" t="str">
        <x:v>Followup</x:v>
      </x:c>
    </x:row>
    <x:row r="2235" ht="23" customHeight="1">
      <x:c r="A2235" s="17" t="str">
        <x:v>U02229</x:v>
      </x:c>
      <x:c r="B2235" s="18" t="n">
        <x:v>46293</x:v>
      </x:c>
      <x:c r="C2235" s="17" t="str">
        <x:v>W0171</x:v>
      </x:c>
      <x:c r="D2235" s="17" t="str">
        <x:v>C003</x:v>
      </x:c>
      <x:c r="E2235" s="17" t="str">
        <x:v>DataFlow</x:v>
      </x:c>
      <x:c r="F2235" s="17" t="str">
        <x:v>Lite</x:v>
      </x:c>
      <x:c r="G2235" s="21" t="n">
        <x:v>14245</x:v>
      </x:c>
      <x:c r="H2235" s="21" t="n">
        <x:v>5579</x:v>
      </x:c>
      <x:c r="I2235" s="17" t="str">
        <x:v>Correction</x:v>
      </x:c>
    </x:row>
    <x:row r="2236" ht="23" customHeight="1">
      <x:c r="A2236" s="17" t="str">
        <x:v>U02230</x:v>
      </x:c>
      <x:c r="B2236" s="18" t="n">
        <x:v>46293</x:v>
      </x:c>
      <x:c r="C2236" s="17" t="str">
        <x:v>W0171</x:v>
      </x:c>
      <x:c r="D2236" s="17" t="str">
        <x:v>C003</x:v>
      </x:c>
      <x:c r="E2236" s="17" t="str">
        <x:v>DataFlow</x:v>
      </x:c>
      <x:c r="F2236" s="17" t="str">
        <x:v>Lite</x:v>
      </x:c>
      <x:c r="G2236" s="21" t="n">
        <x:v>12323</x:v>
      </x:c>
      <x:c r="H2236" s="21" t="n">
        <x:v>10362</x:v>
      </x:c>
      <x:c r="I2236" s="17" t="str">
        <x:v>Followup</x:v>
      </x:c>
    </x:row>
    <x:row r="2237" ht="23" customHeight="1">
      <x:c r="A2237" s="17" t="str">
        <x:v>U02231</x:v>
      </x:c>
      <x:c r="B2237" s="18" t="n">
        <x:v>46293</x:v>
      </x:c>
      <x:c r="C2237" s="17" t="str">
        <x:v>W0171</x:v>
      </x:c>
      <x:c r="D2237" s="17" t="str">
        <x:v>C003</x:v>
      </x:c>
      <x:c r="E2237" s="17" t="str">
        <x:v>DataFlow</x:v>
      </x:c>
      <x:c r="F2237" s="17" t="str">
        <x:v>Lite</x:v>
      </x:c>
      <x:c r="G2237" s="21" t="n">
        <x:v>14003</x:v>
      </x:c>
      <x:c r="H2237" s="21" t="n">
        <x:v>8717</x:v>
      </x:c>
      <x:c r="I2237" s="17" t="str">
        <x:v>Followup</x:v>
      </x:c>
    </x:row>
    <x:row r="2238" ht="23" customHeight="1">
      <x:c r="A2238" s="17" t="str">
        <x:v>U02232</x:v>
      </x:c>
      <x:c r="B2238" s="18" t="n">
        <x:v>46294</x:v>
      </x:c>
      <x:c r="C2238" s="17" t="str">
        <x:v>W0171</x:v>
      </x:c>
      <x:c r="D2238" s="17" t="str">
        <x:v>C003</x:v>
      </x:c>
      <x:c r="E2238" s="17" t="str">
        <x:v>DataFlow</x:v>
      </x:c>
      <x:c r="F2238" s="17" t="str">
        <x:v>Lite</x:v>
      </x:c>
      <x:c r="G2238" s="21" t="n">
        <x:v>15557</x:v>
      </x:c>
      <x:c r="H2238" s="21" t="n">
        <x:v>4500</x:v>
      </x:c>
      <x:c r="I2238" s="17" t="str">
        <x:v>Correction</x:v>
      </x:c>
    </x:row>
    <x:row r="2239" ht="23" customHeight="1">
      <x:c r="A2239" s="17" t="str">
        <x:v>U02233</x:v>
      </x:c>
      <x:c r="B2239" s="18" t="n">
        <x:v>46294</x:v>
      </x:c>
      <x:c r="C2239" s="17" t="str">
        <x:v>W0171</x:v>
      </x:c>
      <x:c r="D2239" s="17" t="str">
        <x:v>C003</x:v>
      </x:c>
      <x:c r="E2239" s="17" t="str">
        <x:v>DataFlow</x:v>
      </x:c>
      <x:c r="F2239" s="17" t="str">
        <x:v>Lite</x:v>
      </x:c>
      <x:c r="G2239" s="21" t="n">
        <x:v>9324</x:v>
      </x:c>
      <x:c r="H2239" s="21" t="n">
        <x:v>9647</x:v>
      </x:c>
      <x:c r="I2239" s="17" t="str">
        <x:v>Correction</x:v>
      </x:c>
    </x:row>
    <x:row r="2240" ht="23" customHeight="1">
      <x:c r="A2240" s="17" t="str">
        <x:v>U02234</x:v>
      </x:c>
      <x:c r="B2240" s="18" t="n">
        <x:v>46294</x:v>
      </x:c>
      <x:c r="C2240" s="17" t="str">
        <x:v>W0171</x:v>
      </x:c>
      <x:c r="D2240" s="17" t="str">
        <x:v>C003</x:v>
      </x:c>
      <x:c r="E2240" s="17" t="str">
        <x:v>DataFlow</x:v>
      </x:c>
      <x:c r="F2240" s="17" t="str">
        <x:v>Lite</x:v>
      </x:c>
      <x:c r="G2240" s="21" t="n">
        <x:v>11076</x:v>
      </x:c>
      <x:c r="H2240" s="21" t="n">
        <x:v>3107</x:v>
      </x:c>
      <x:c r="I2240" s="17" t="str">
        <x:v>Followup</x:v>
      </x:c>
    </x:row>
    <x:row r="2241" ht="23" customHeight="1">
      <x:c r="A2241" s="17" t="str">
        <x:v>U02235</x:v>
      </x:c>
      <x:c r="B2241" s="18" t="n">
        <x:v>46295</x:v>
      </x:c>
      <x:c r="C2241" s="17" t="str">
        <x:v>W0171</x:v>
      </x:c>
      <x:c r="D2241" s="17" t="str">
        <x:v>C003</x:v>
      </x:c>
      <x:c r="E2241" s="17" t="str">
        <x:v>DataFlow</x:v>
      </x:c>
      <x:c r="F2241" s="17" t="str">
        <x:v>Lite</x:v>
      </x:c>
      <x:c r="G2241" s="21" t="n">
        <x:v>16796</x:v>
      </x:c>
      <x:c r="H2241" s="21" t="n">
        <x:v>6239</x:v>
      </x:c>
      <x:c r="I2241" s="17" t="str">
        <x:v>Followup</x:v>
      </x:c>
    </x:row>
    <x:row r="2242" ht="23" customHeight="1">
      <x:c r="A2242" s="17" t="str">
        <x:v>U02236</x:v>
      </x:c>
      <x:c r="B2242" s="18" t="n">
        <x:v>46295</x:v>
      </x:c>
      <x:c r="C2242" s="17" t="str">
        <x:v>W0171</x:v>
      </x:c>
      <x:c r="D2242" s="17" t="str">
        <x:v>C003</x:v>
      </x:c>
      <x:c r="E2242" s="17" t="str">
        <x:v>DataFlow</x:v>
      </x:c>
      <x:c r="F2242" s="17" t="str">
        <x:v>Lite</x:v>
      </x:c>
      <x:c r="G2242" s="21" t="n">
        <x:v>16416</x:v>
      </x:c>
      <x:c r="H2242" s="21" t="n">
        <x:v>3229</x:v>
      </x:c>
      <x:c r="I2242" s="17" t="str">
        <x:v>Followup</x:v>
      </x:c>
    </x:row>
    <x:row r="2243" ht="23" customHeight="1">
      <x:c r="A2243" s="17" t="str">
        <x:v>U02237</x:v>
      </x:c>
      <x:c r="B2243" s="18" t="n">
        <x:v>46275</x:v>
      </x:c>
      <x:c r="C2243" s="17" t="str">
        <x:v>W0172</x:v>
      </x:c>
      <x:c r="D2243" s="17" t="str">
        <x:v>C003</x:v>
      </x:c>
      <x:c r="E2243" s="17" t="str">
        <x:v>DataFlow</x:v>
      </x:c>
      <x:c r="F2243" s="17" t="str">
        <x:v>Lite</x:v>
      </x:c>
      <x:c r="G2243" s="21" t="n">
        <x:v>16883</x:v>
      </x:c>
      <x:c r="H2243" s="21" t="n">
        <x:v>6381</x:v>
      </x:c>
      <x:c r="I2243" s="17" t="str">
        <x:v>First attempt</x:v>
      </x:c>
    </x:row>
    <x:row r="2244" ht="23" customHeight="1">
      <x:c r="A2244" s="17" t="str">
        <x:v>U02238</x:v>
      </x:c>
      <x:c r="B2244" s="18" t="n">
        <x:v>46275</x:v>
      </x:c>
      <x:c r="C2244" s="17" t="str">
        <x:v>W0172</x:v>
      </x:c>
      <x:c r="D2244" s="17" t="str">
        <x:v>C003</x:v>
      </x:c>
      <x:c r="E2244" s="17" t="str">
        <x:v>DataFlow</x:v>
      </x:c>
      <x:c r="F2244" s="17" t="str">
        <x:v>Lite</x:v>
      </x:c>
      <x:c r="G2244" s="21" t="n">
        <x:v>14042</x:v>
      </x:c>
      <x:c r="H2244" s="21" t="n">
        <x:v>6605</x:v>
      </x:c>
      <x:c r="I2244" s="17" t="str">
        <x:v>Correction</x:v>
      </x:c>
    </x:row>
    <x:row r="2245" ht="23" customHeight="1">
      <x:c r="A2245" s="17" t="str">
        <x:v>U02239</x:v>
      </x:c>
      <x:c r="B2245" s="18" t="n">
        <x:v>46275</x:v>
      </x:c>
      <x:c r="C2245" s="17" t="str">
        <x:v>W0172</x:v>
      </x:c>
      <x:c r="D2245" s="17" t="str">
        <x:v>C003</x:v>
      </x:c>
      <x:c r="E2245" s="17" t="str">
        <x:v>DataFlow</x:v>
      </x:c>
      <x:c r="F2245" s="17" t="str">
        <x:v>Lite</x:v>
      </x:c>
      <x:c r="G2245" s="21" t="n">
        <x:v>11835</x:v>
      </x:c>
      <x:c r="H2245" s="21" t="n">
        <x:v>4044</x:v>
      </x:c>
      <x:c r="I2245" s="17" t="str">
        <x:v>Followup</x:v>
      </x:c>
    </x:row>
    <x:row r="2246" ht="23" customHeight="1">
      <x:c r="A2246" s="17" t="str">
        <x:v>U02240</x:v>
      </x:c>
      <x:c r="B2246" s="18" t="n">
        <x:v>46275</x:v>
      </x:c>
      <x:c r="C2246" s="17" t="str">
        <x:v>W0172</x:v>
      </x:c>
      <x:c r="D2246" s="17" t="str">
        <x:v>C003</x:v>
      </x:c>
      <x:c r="E2246" s="17" t="str">
        <x:v>DataFlow</x:v>
      </x:c>
      <x:c r="F2246" s="17" t="str">
        <x:v>Lite</x:v>
      </x:c>
      <x:c r="G2246" s="21" t="n">
        <x:v>10314</x:v>
      </x:c>
      <x:c r="H2246" s="21" t="n">
        <x:v>8503</x:v>
      </x:c>
      <x:c r="I2246" s="17" t="str">
        <x:v>Followup</x:v>
      </x:c>
    </x:row>
    <x:row r="2247" ht="23" customHeight="1">
      <x:c r="A2247" s="17" t="str">
        <x:v>U02241</x:v>
      </x:c>
      <x:c r="B2247" s="18" t="n">
        <x:v>46276</x:v>
      </x:c>
      <x:c r="C2247" s="17" t="str">
        <x:v>W0172</x:v>
      </x:c>
      <x:c r="D2247" s="17" t="str">
        <x:v>C003</x:v>
      </x:c>
      <x:c r="E2247" s="17" t="str">
        <x:v>DataFlow</x:v>
      </x:c>
      <x:c r="F2247" s="17" t="str">
        <x:v>Lite</x:v>
      </x:c>
      <x:c r="G2247" s="21" t="n">
        <x:v>12051</x:v>
      </x:c>
      <x:c r="H2247" s="21" t="n">
        <x:v>7478</x:v>
      </x:c>
      <x:c r="I2247" s="17" t="str">
        <x:v>Followup</x:v>
      </x:c>
    </x:row>
    <x:row r="2248" ht="23" customHeight="1">
      <x:c r="A2248" s="17" t="str">
        <x:v>U02242</x:v>
      </x:c>
      <x:c r="B2248" s="18" t="n">
        <x:v>46276</x:v>
      </x:c>
      <x:c r="C2248" s="17" t="str">
        <x:v>W0172</x:v>
      </x:c>
      <x:c r="D2248" s="17" t="str">
        <x:v>C003</x:v>
      </x:c>
      <x:c r="E2248" s="17" t="str">
        <x:v>DataFlow</x:v>
      </x:c>
      <x:c r="F2248" s="17" t="str">
        <x:v>Lite</x:v>
      </x:c>
      <x:c r="G2248" s="21" t="n">
        <x:v>17952</x:v>
      </x:c>
      <x:c r="H2248" s="21" t="n">
        <x:v>4479</x:v>
      </x:c>
      <x:c r="I2248" s="17" t="str">
        <x:v>Followup</x:v>
      </x:c>
    </x:row>
    <x:row r="2249" ht="23" customHeight="1">
      <x:c r="A2249" s="17" t="str">
        <x:v>U02243</x:v>
      </x:c>
      <x:c r="B2249" s="18" t="n">
        <x:v>46276</x:v>
      </x:c>
      <x:c r="C2249" s="17" t="str">
        <x:v>W0172</x:v>
      </x:c>
      <x:c r="D2249" s="17" t="str">
        <x:v>C003</x:v>
      </x:c>
      <x:c r="E2249" s="17" t="str">
        <x:v>DataFlow</x:v>
      </x:c>
      <x:c r="F2249" s="17" t="str">
        <x:v>Lite</x:v>
      </x:c>
      <x:c r="G2249" s="21" t="n">
        <x:v>19720</x:v>
      </x:c>
      <x:c r="H2249" s="21" t="n">
        <x:v>4868</x:v>
      </x:c>
      <x:c r="I2249" s="17" t="str">
        <x:v>Followup</x:v>
      </x:c>
    </x:row>
    <x:row r="2250" ht="23" customHeight="1">
      <x:c r="A2250" s="17" t="str">
        <x:v>U02244</x:v>
      </x:c>
      <x:c r="B2250" s="18" t="n">
        <x:v>46276</x:v>
      </x:c>
      <x:c r="C2250" s="17" t="str">
        <x:v>W0172</x:v>
      </x:c>
      <x:c r="D2250" s="17" t="str">
        <x:v>C003</x:v>
      </x:c>
      <x:c r="E2250" s="17" t="str">
        <x:v>DataFlow</x:v>
      </x:c>
      <x:c r="F2250" s="17" t="str">
        <x:v>Lite</x:v>
      </x:c>
      <x:c r="G2250" s="21" t="n">
        <x:v>17679</x:v>
      </x:c>
      <x:c r="H2250" s="21" t="n">
        <x:v>5262</x:v>
      </x:c>
      <x:c r="I2250" s="17" t="str">
        <x:v>Correction</x:v>
      </x:c>
    </x:row>
    <x:row r="2251" ht="23" customHeight="1">
      <x:c r="A2251" s="17" t="str">
        <x:v>U02245</x:v>
      </x:c>
      <x:c r="B2251" s="18" t="n">
        <x:v>46279</x:v>
      </x:c>
      <x:c r="C2251" s="17" t="str">
        <x:v>W0172</x:v>
      </x:c>
      <x:c r="D2251" s="17" t="str">
        <x:v>C003</x:v>
      </x:c>
      <x:c r="E2251" s="17" t="str">
        <x:v>DataFlow</x:v>
      </x:c>
      <x:c r="F2251" s="17" t="str">
        <x:v>Lite</x:v>
      </x:c>
      <x:c r="G2251" s="21" t="n">
        <x:v>10954</x:v>
      </x:c>
      <x:c r="H2251" s="21" t="n">
        <x:v>6787</x:v>
      </x:c>
      <x:c r="I2251" s="17" t="str">
        <x:v>Followup</x:v>
      </x:c>
    </x:row>
    <x:row r="2252" ht="23" customHeight="1">
      <x:c r="A2252" s="17" t="str">
        <x:v>U02246</x:v>
      </x:c>
      <x:c r="B2252" s="18" t="n">
        <x:v>46279</x:v>
      </x:c>
      <x:c r="C2252" s="17" t="str">
        <x:v>W0172</x:v>
      </x:c>
      <x:c r="D2252" s="17" t="str">
        <x:v>C003</x:v>
      </x:c>
      <x:c r="E2252" s="17" t="str">
        <x:v>DataFlow</x:v>
      </x:c>
      <x:c r="F2252" s="17" t="str">
        <x:v>Lite</x:v>
      </x:c>
      <x:c r="G2252" s="21" t="n">
        <x:v>12240</x:v>
      </x:c>
      <x:c r="H2252" s="21" t="n">
        <x:v>7617</x:v>
      </x:c>
      <x:c r="I2252" s="17" t="str">
        <x:v>Followup</x:v>
      </x:c>
    </x:row>
    <x:row r="2253" ht="23" customHeight="1">
      <x:c r="A2253" s="17" t="str">
        <x:v>U02247</x:v>
      </x:c>
      <x:c r="B2253" s="18" t="n">
        <x:v>46279</x:v>
      </x:c>
      <x:c r="C2253" s="17" t="str">
        <x:v>W0172</x:v>
      </x:c>
      <x:c r="D2253" s="17" t="str">
        <x:v>C003</x:v>
      </x:c>
      <x:c r="E2253" s="17" t="str">
        <x:v>DataFlow</x:v>
      </x:c>
      <x:c r="F2253" s="17" t="str">
        <x:v>Lite</x:v>
      </x:c>
      <x:c r="G2253" s="21" t="n">
        <x:v>18157</x:v>
      </x:c>
      <x:c r="H2253" s="21" t="n">
        <x:v>8186</x:v>
      </x:c>
      <x:c r="I2253" s="17" t="str">
        <x:v>Followup</x:v>
      </x:c>
    </x:row>
    <x:row r="2254" ht="23" customHeight="1">
      <x:c r="A2254" s="17" t="str">
        <x:v>U02248</x:v>
      </x:c>
      <x:c r="B2254" s="18" t="n">
        <x:v>46279</x:v>
      </x:c>
      <x:c r="C2254" s="17" t="str">
        <x:v>W0172</x:v>
      </x:c>
      <x:c r="D2254" s="17" t="str">
        <x:v>C003</x:v>
      </x:c>
      <x:c r="E2254" s="17" t="str">
        <x:v>DataFlow</x:v>
      </x:c>
      <x:c r="F2254" s="17" t="str">
        <x:v>Lite</x:v>
      </x:c>
      <x:c r="G2254" s="21" t="n">
        <x:v>20508</x:v>
      </x:c>
      <x:c r="H2254" s="21" t="n">
        <x:v>3300</x:v>
      </x:c>
      <x:c r="I2254" s="17" t="str">
        <x:v>Followup</x:v>
      </x:c>
    </x:row>
    <x:row r="2255" ht="23" customHeight="1">
      <x:c r="A2255" s="17" t="str">
        <x:v>U02249</x:v>
      </x:c>
      <x:c r="B2255" s="18" t="n">
        <x:v>46280</x:v>
      </x:c>
      <x:c r="C2255" s="17" t="str">
        <x:v>W0172</x:v>
      </x:c>
      <x:c r="D2255" s="17" t="str">
        <x:v>C003</x:v>
      </x:c>
      <x:c r="E2255" s="17" t="str">
        <x:v>DataFlow</x:v>
      </x:c>
      <x:c r="F2255" s="17" t="str">
        <x:v>Lite</x:v>
      </x:c>
      <x:c r="G2255" s="21" t="n">
        <x:v>14929</x:v>
      </x:c>
      <x:c r="H2255" s="21" t="n">
        <x:v>2763</x:v>
      </x:c>
      <x:c r="I2255" s="17" t="str">
        <x:v>Followup</x:v>
      </x:c>
    </x:row>
    <x:row r="2256" ht="23" customHeight="1">
      <x:c r="A2256" s="17" t="str">
        <x:v>U02250</x:v>
      </x:c>
      <x:c r="B2256" s="18" t="n">
        <x:v>46280</x:v>
      </x:c>
      <x:c r="C2256" s="17" t="str">
        <x:v>W0172</x:v>
      </x:c>
      <x:c r="D2256" s="17" t="str">
        <x:v>C003</x:v>
      </x:c>
      <x:c r="E2256" s="17" t="str">
        <x:v>DataFlow</x:v>
      </x:c>
      <x:c r="F2256" s="17" t="str">
        <x:v>Lite</x:v>
      </x:c>
      <x:c r="G2256" s="21" t="n">
        <x:v>12758</x:v>
      </x:c>
      <x:c r="H2256" s="21" t="n">
        <x:v>5898</x:v>
      </x:c>
      <x:c r="I2256" s="17" t="str">
        <x:v>Followup</x:v>
      </x:c>
    </x:row>
    <x:row r="2257" ht="23" customHeight="1">
      <x:c r="A2257" s="17" t="str">
        <x:v>U02251</x:v>
      </x:c>
      <x:c r="B2257" s="18" t="n">
        <x:v>46280</x:v>
      </x:c>
      <x:c r="C2257" s="17" t="str">
        <x:v>W0172</x:v>
      </x:c>
      <x:c r="D2257" s="17" t="str">
        <x:v>C003</x:v>
      </x:c>
      <x:c r="E2257" s="17" t="str">
        <x:v>DataFlow</x:v>
      </x:c>
      <x:c r="F2257" s="17" t="str">
        <x:v>Lite</x:v>
      </x:c>
      <x:c r="G2257" s="21" t="n">
        <x:v>14187</x:v>
      </x:c>
      <x:c r="H2257" s="21" t="n">
        <x:v>7295</x:v>
      </x:c>
      <x:c r="I2257" s="17" t="str">
        <x:v>Followup</x:v>
      </x:c>
    </x:row>
    <x:row r="2258" ht="23" customHeight="1">
      <x:c r="A2258" s="17" t="str">
        <x:v>U02252</x:v>
      </x:c>
      <x:c r="B2258" s="18" t="n">
        <x:v>46280</x:v>
      </x:c>
      <x:c r="C2258" s="17" t="str">
        <x:v>W0172</x:v>
      </x:c>
      <x:c r="D2258" s="17" t="str">
        <x:v>C003</x:v>
      </x:c>
      <x:c r="E2258" s="17" t="str">
        <x:v>DataFlow</x:v>
      </x:c>
      <x:c r="F2258" s="17" t="str">
        <x:v>Lite</x:v>
      </x:c>
      <x:c r="G2258" s="21" t="n">
        <x:v>15997</x:v>
      </x:c>
      <x:c r="H2258" s="21" t="n">
        <x:v>5498</x:v>
      </x:c>
      <x:c r="I2258" s="17" t="str">
        <x:v>Correction</x:v>
      </x:c>
    </x:row>
    <x:row r="2259" ht="23" customHeight="1">
      <x:c r="A2259" s="17" t="str">
        <x:v>U02253</x:v>
      </x:c>
      <x:c r="B2259" s="18" t="n">
        <x:v>46268</x:v>
      </x:c>
      <x:c r="C2259" s="17" t="str">
        <x:v>W0174</x:v>
      </x:c>
      <x:c r="D2259" s="17" t="str">
        <x:v>C003</x:v>
      </x:c>
      <x:c r="E2259" s="17" t="str">
        <x:v>InsightDesk</x:v>
      </x:c>
      <x:c r="F2259" s="17" t="str">
        <x:v>Lite</x:v>
      </x:c>
      <x:c r="G2259" s="21" t="n">
        <x:v>19707</x:v>
      </x:c>
      <x:c r="H2259" s="21" t="n">
        <x:v>7257</x:v>
      </x:c>
      <x:c r="I2259" s="17" t="str">
        <x:v>First attempt</x:v>
      </x:c>
    </x:row>
    <x:row r="2260" ht="23" customHeight="1">
      <x:c r="A2260" s="17" t="str">
        <x:v>U02254</x:v>
      </x:c>
      <x:c r="B2260" s="18" t="n">
        <x:v>46268</x:v>
      </x:c>
      <x:c r="C2260" s="17" t="str">
        <x:v>W0174</x:v>
      </x:c>
      <x:c r="D2260" s="17" t="str">
        <x:v>C003</x:v>
      </x:c>
      <x:c r="E2260" s="17" t="str">
        <x:v>InsightDesk</x:v>
      </x:c>
      <x:c r="F2260" s="17" t="str">
        <x:v>Lite</x:v>
      </x:c>
      <x:c r="G2260" s="21" t="n">
        <x:v>32013</x:v>
      </x:c>
      <x:c r="H2260" s="21" t="n">
        <x:v>4034</x:v>
      </x:c>
      <x:c r="I2260" s="17" t="str">
        <x:v>Followup</x:v>
      </x:c>
    </x:row>
    <x:row r="2261" ht="23" customHeight="1">
      <x:c r="A2261" s="17" t="str">
        <x:v>U02255</x:v>
      </x:c>
      <x:c r="B2261" s="18" t="n">
        <x:v>46268</x:v>
      </x:c>
      <x:c r="C2261" s="17" t="str">
        <x:v>W0174</x:v>
      </x:c>
      <x:c r="D2261" s="17" t="str">
        <x:v>C003</x:v>
      </x:c>
      <x:c r="E2261" s="17" t="str">
        <x:v>InsightDesk</x:v>
      </x:c>
      <x:c r="F2261" s="17" t="str">
        <x:v>Lite</x:v>
      </x:c>
      <x:c r="G2261" s="21" t="n">
        <x:v>20960</x:v>
      </x:c>
      <x:c r="H2261" s="21" t="n">
        <x:v>9019</x:v>
      </x:c>
      <x:c r="I2261" s="17" t="str">
        <x:v>Followup</x:v>
      </x:c>
    </x:row>
    <x:row r="2262" ht="23" customHeight="1">
      <x:c r="A2262" s="17" t="str">
        <x:v>U02256</x:v>
      </x:c>
      <x:c r="B2262" s="18" t="n">
        <x:v>46269</x:v>
      </x:c>
      <x:c r="C2262" s="17" t="str">
        <x:v>W0174</x:v>
      </x:c>
      <x:c r="D2262" s="17" t="str">
        <x:v>C003</x:v>
      </x:c>
      <x:c r="E2262" s="17" t="str">
        <x:v>InsightDesk</x:v>
      </x:c>
      <x:c r="F2262" s="17" t="str">
        <x:v>Lite</x:v>
      </x:c>
      <x:c r="G2262" s="21" t="n">
        <x:v>33103</x:v>
      </x:c>
      <x:c r="H2262" s="21" t="n">
        <x:v>6739</x:v>
      </x:c>
      <x:c r="I2262" s="17" t="str">
        <x:v>Followup</x:v>
      </x:c>
    </x:row>
    <x:row r="2263" ht="23" customHeight="1">
      <x:c r="A2263" s="17" t="str">
        <x:v>U02257</x:v>
      </x:c>
      <x:c r="B2263" s="18" t="n">
        <x:v>46269</x:v>
      </x:c>
      <x:c r="C2263" s="17" t="str">
        <x:v>W0174</x:v>
      </x:c>
      <x:c r="D2263" s="17" t="str">
        <x:v>C003</x:v>
      </x:c>
      <x:c r="E2263" s="17" t="str">
        <x:v>InsightDesk</x:v>
      </x:c>
      <x:c r="F2263" s="17" t="str">
        <x:v>Lite</x:v>
      </x:c>
      <x:c r="G2263" s="21" t="n">
        <x:v>21831</x:v>
      </x:c>
      <x:c r="H2263" s="21" t="n">
        <x:v>6756</x:v>
      </x:c>
      <x:c r="I2263" s="17" t="str">
        <x:v>Correction</x:v>
      </x:c>
    </x:row>
    <x:row r="2264" ht="23" customHeight="1">
      <x:c r="A2264" s="17" t="str">
        <x:v>U02258</x:v>
      </x:c>
      <x:c r="B2264" s="18" t="n">
        <x:v>46273</x:v>
      </x:c>
      <x:c r="C2264" s="17" t="str">
        <x:v>W0174</x:v>
      </x:c>
      <x:c r="D2264" s="17" t="str">
        <x:v>C003</x:v>
      </x:c>
      <x:c r="E2264" s="17" t="str">
        <x:v>InsightDesk</x:v>
      </x:c>
      <x:c r="F2264" s="17" t="str">
        <x:v>Lite</x:v>
      </x:c>
      <x:c r="G2264" s="21" t="n">
        <x:v>15328</x:v>
      </x:c>
      <x:c r="H2264" s="21" t="n">
        <x:v>5352</x:v>
      </x:c>
      <x:c r="I2264" s="17" t="str">
        <x:v>Correction</x:v>
      </x:c>
    </x:row>
    <x:row r="2265" ht="23" customHeight="1">
      <x:c r="A2265" s="17" t="str">
        <x:v>U02259</x:v>
      </x:c>
      <x:c r="B2265" s="18" t="n">
        <x:v>46273</x:v>
      </x:c>
      <x:c r="C2265" s="17" t="str">
        <x:v>W0174</x:v>
      </x:c>
      <x:c r="D2265" s="17" t="str">
        <x:v>C003</x:v>
      </x:c>
      <x:c r="E2265" s="17" t="str">
        <x:v>InsightDesk</x:v>
      </x:c>
      <x:c r="F2265" s="17" t="str">
        <x:v>Lite</x:v>
      </x:c>
      <x:c r="G2265" s="21" t="n">
        <x:v>14005</x:v>
      </x:c>
      <x:c r="H2265" s="21" t="n">
        <x:v>6990</x:v>
      </x:c>
      <x:c r="I2265" s="17" t="str">
        <x:v>Followup</x:v>
      </x:c>
    </x:row>
    <x:row r="2266" ht="23" customHeight="1">
      <x:c r="A2266" s="17" t="str">
        <x:v>U02260</x:v>
      </x:c>
      <x:c r="B2266" s="18" t="n">
        <x:v>46273</x:v>
      </x:c>
      <x:c r="C2266" s="17" t="str">
        <x:v>W0174</x:v>
      </x:c>
      <x:c r="D2266" s="17" t="str">
        <x:v>C003</x:v>
      </x:c>
      <x:c r="E2266" s="17" t="str">
        <x:v>InsightDesk</x:v>
      </x:c>
      <x:c r="F2266" s="17" t="str">
        <x:v>Lite</x:v>
      </x:c>
      <x:c r="G2266" s="21" t="n">
        <x:v>28474</x:v>
      </x:c>
      <x:c r="H2266" s="21" t="n">
        <x:v>5341</x:v>
      </x:c>
      <x:c r="I2266" s="17" t="str">
        <x:v>Followup</x:v>
      </x:c>
    </x:row>
    <x:row r="2267" ht="23" customHeight="1">
      <x:c r="A2267" s="17" t="str">
        <x:v>U02261</x:v>
      </x:c>
      <x:c r="B2267" s="18" t="n">
        <x:v>46274</x:v>
      </x:c>
      <x:c r="C2267" s="17" t="str">
        <x:v>W0174</x:v>
      </x:c>
      <x:c r="D2267" s="17" t="str">
        <x:v>C003</x:v>
      </x:c>
      <x:c r="E2267" s="17" t="str">
        <x:v>InsightDesk</x:v>
      </x:c>
      <x:c r="F2267" s="17" t="str">
        <x:v>Lite</x:v>
      </x:c>
      <x:c r="G2267" s="21" t="n">
        <x:v>25332</x:v>
      </x:c>
      <x:c r="H2267" s="21" t="n">
        <x:v>8194</x:v>
      </x:c>
      <x:c r="I2267" s="17" t="str">
        <x:v>Followup</x:v>
      </x:c>
    </x:row>
    <x:row r="2268" ht="23" customHeight="1">
      <x:c r="A2268" s="17" t="str">
        <x:v>U02262</x:v>
      </x:c>
      <x:c r="B2268" s="18" t="n">
        <x:v>46274</x:v>
      </x:c>
      <x:c r="C2268" s="17" t="str">
        <x:v>W0174</x:v>
      </x:c>
      <x:c r="D2268" s="17" t="str">
        <x:v>C003</x:v>
      </x:c>
      <x:c r="E2268" s="17" t="str">
        <x:v>InsightDesk</x:v>
      </x:c>
      <x:c r="F2268" s="17" t="str">
        <x:v>Lite</x:v>
      </x:c>
      <x:c r="G2268" s="21" t="n">
        <x:v>33270</x:v>
      </x:c>
      <x:c r="H2268" s="21" t="n">
        <x:v>8422</x:v>
      </x:c>
      <x:c r="I2268" s="17" t="str">
        <x:v>Followup</x:v>
      </x:c>
    </x:row>
    <x:row r="2269" ht="23" customHeight="1">
      <x:c r="A2269" s="17" t="str">
        <x:v>U02263</x:v>
      </x:c>
      <x:c r="B2269" s="18" t="n">
        <x:v>46280</x:v>
      </x:c>
      <x:c r="C2269" s="17" t="str">
        <x:v>W0175</x:v>
      </x:c>
      <x:c r="D2269" s="17" t="str">
        <x:v>C003</x:v>
      </x:c>
      <x:c r="E2269" s="17" t="str">
        <x:v>CopyStudio</x:v>
      </x:c>
      <x:c r="F2269" s="17" t="str">
        <x:v>Lite</x:v>
      </x:c>
      <x:c r="G2269" s="21" t="n">
        <x:v>37674</x:v>
      </x:c>
      <x:c r="H2269" s="21" t="n">
        <x:v>9957</x:v>
      </x:c>
      <x:c r="I2269" s="17" t="str">
        <x:v>First attempt</x:v>
      </x:c>
    </x:row>
    <x:row r="2270" ht="23" customHeight="1">
      <x:c r="A2270" s="17" t="str">
        <x:v>U02264</x:v>
      </x:c>
      <x:c r="B2270" s="18" t="n">
        <x:v>46280</x:v>
      </x:c>
      <x:c r="C2270" s="17" t="str">
        <x:v>W0175</x:v>
      </x:c>
      <x:c r="D2270" s="17" t="str">
        <x:v>C003</x:v>
      </x:c>
      <x:c r="E2270" s="17" t="str">
        <x:v>CopyStudio</x:v>
      </x:c>
      <x:c r="F2270" s="17" t="str">
        <x:v>Lite</x:v>
      </x:c>
      <x:c r="G2270" s="21" t="n">
        <x:v>20502</x:v>
      </x:c>
      <x:c r="H2270" s="21" t="n">
        <x:v>9820</x:v>
      </x:c>
      <x:c r="I2270" s="17" t="str">
        <x:v>Followup</x:v>
      </x:c>
    </x:row>
    <x:row r="2271" ht="23" customHeight="1">
      <x:c r="A2271" s="17" t="str">
        <x:v>U02265</x:v>
      </x:c>
      <x:c r="B2271" s="18" t="n">
        <x:v>46280</x:v>
      </x:c>
      <x:c r="C2271" s="17" t="str">
        <x:v>W0175</x:v>
      </x:c>
      <x:c r="D2271" s="17" t="str">
        <x:v>C003</x:v>
      </x:c>
      <x:c r="E2271" s="17" t="str">
        <x:v>CopyStudio</x:v>
      </x:c>
      <x:c r="F2271" s="17" t="str">
        <x:v>Lite</x:v>
      </x:c>
      <x:c r="G2271" s="21" t="n">
        <x:v>33737</x:v>
      </x:c>
      <x:c r="H2271" s="21" t="n">
        <x:v>6201</x:v>
      </x:c>
      <x:c r="I2271" s="17" t="str">
        <x:v>Followup</x:v>
      </x:c>
    </x:row>
    <x:row r="2272" ht="23" customHeight="1">
      <x:c r="A2272" s="17" t="str">
        <x:v>U02266</x:v>
      </x:c>
      <x:c r="B2272" s="18" t="n">
        <x:v>46280</x:v>
      </x:c>
      <x:c r="C2272" s="17" t="str">
        <x:v>W0175</x:v>
      </x:c>
      <x:c r="D2272" s="17" t="str">
        <x:v>C003</x:v>
      </x:c>
      <x:c r="E2272" s="17" t="str">
        <x:v>CopyStudio</x:v>
      </x:c>
      <x:c r="F2272" s="17" t="str">
        <x:v>Lite</x:v>
      </x:c>
      <x:c r="G2272" s="21" t="n">
        <x:v>19890</x:v>
      </x:c>
      <x:c r="H2272" s="21" t="n">
        <x:v>5678</x:v>
      </x:c>
      <x:c r="I2272" s="17" t="str">
        <x:v>Followup</x:v>
      </x:c>
    </x:row>
    <x:row r="2273" ht="23" customHeight="1">
      <x:c r="A2273" s="17" t="str">
        <x:v>U02267</x:v>
      </x:c>
      <x:c r="B2273" s="18" t="n">
        <x:v>46280</x:v>
      </x:c>
      <x:c r="C2273" s="17" t="str">
        <x:v>W0175</x:v>
      </x:c>
      <x:c r="D2273" s="17" t="str">
        <x:v>C003</x:v>
      </x:c>
      <x:c r="E2273" s="17" t="str">
        <x:v>CopyStudio</x:v>
      </x:c>
      <x:c r="F2273" s="17" t="str">
        <x:v>Lite</x:v>
      </x:c>
      <x:c r="G2273" s="21" t="n">
        <x:v>20867</x:v>
      </x:c>
      <x:c r="H2273" s="21" t="n">
        <x:v>4297</x:v>
      </x:c>
      <x:c r="I2273" s="17" t="str">
        <x:v>Followup</x:v>
      </x:c>
    </x:row>
    <x:row r="2274" ht="23" customHeight="1">
      <x:c r="A2274" s="17" t="str">
        <x:v>U02268</x:v>
      </x:c>
      <x:c r="B2274" s="18" t="n">
        <x:v>46281</x:v>
      </x:c>
      <x:c r="C2274" s="17" t="str">
        <x:v>W0175</x:v>
      </x:c>
      <x:c r="D2274" s="17" t="str">
        <x:v>C003</x:v>
      </x:c>
      <x:c r="E2274" s="17" t="str">
        <x:v>CopyStudio</x:v>
      </x:c>
      <x:c r="F2274" s="17" t="str">
        <x:v>Lite</x:v>
      </x:c>
      <x:c r="G2274" s="21" t="n">
        <x:v>39251</x:v>
      </x:c>
      <x:c r="H2274" s="21" t="n">
        <x:v>5581</x:v>
      </x:c>
      <x:c r="I2274" s="17" t="str">
        <x:v>Followup</x:v>
      </x:c>
    </x:row>
    <x:row r="2275" ht="23" customHeight="1">
      <x:c r="A2275" s="17" t="str">
        <x:v>U02269</x:v>
      </x:c>
      <x:c r="B2275" s="18" t="n">
        <x:v>46281</x:v>
      </x:c>
      <x:c r="C2275" s="17" t="str">
        <x:v>W0175</x:v>
      </x:c>
      <x:c r="D2275" s="17" t="str">
        <x:v>C003</x:v>
      </x:c>
      <x:c r="E2275" s="17" t="str">
        <x:v>CopyStudio</x:v>
      </x:c>
      <x:c r="F2275" s="17" t="str">
        <x:v>Lite</x:v>
      </x:c>
      <x:c r="G2275" s="21" t="n">
        <x:v>15680</x:v>
      </x:c>
      <x:c r="H2275" s="21" t="n">
        <x:v>6929</x:v>
      </x:c>
      <x:c r="I2275" s="17" t="str">
        <x:v>Followup</x:v>
      </x:c>
    </x:row>
    <x:row r="2276" ht="23" customHeight="1">
      <x:c r="A2276" s="17" t="str">
        <x:v>U02270</x:v>
      </x:c>
      <x:c r="B2276" s="18" t="n">
        <x:v>46281</x:v>
      </x:c>
      <x:c r="C2276" s="17" t="str">
        <x:v>W0175</x:v>
      </x:c>
      <x:c r="D2276" s="17" t="str">
        <x:v>C003</x:v>
      </x:c>
      <x:c r="E2276" s="17" t="str">
        <x:v>CopyStudio</x:v>
      </x:c>
      <x:c r="F2276" s="17" t="str">
        <x:v>Lite</x:v>
      </x:c>
      <x:c r="G2276" s="21" t="n">
        <x:v>28623</x:v>
      </x:c>
      <x:c r="H2276" s="21" t="n">
        <x:v>10407</x:v>
      </x:c>
      <x:c r="I2276" s="17" t="str">
        <x:v>Followup</x:v>
      </x:c>
    </x:row>
    <x:row r="2277" ht="23" customHeight="1">
      <x:c r="A2277" s="17" t="str">
        <x:v>U02271</x:v>
      </x:c>
      <x:c r="B2277" s="18" t="n">
        <x:v>46281</x:v>
      </x:c>
      <x:c r="C2277" s="17" t="str">
        <x:v>W0175</x:v>
      </x:c>
      <x:c r="D2277" s="17" t="str">
        <x:v>C003</x:v>
      </x:c>
      <x:c r="E2277" s="17" t="str">
        <x:v>CopyStudio</x:v>
      </x:c>
      <x:c r="F2277" s="17" t="str">
        <x:v>Lite</x:v>
      </x:c>
      <x:c r="G2277" s="21" t="n">
        <x:v>19466</x:v>
      </x:c>
      <x:c r="H2277" s="21" t="n">
        <x:v>5680</x:v>
      </x:c>
      <x:c r="I2277" s="17" t="str">
        <x:v>Followup</x:v>
      </x:c>
    </x:row>
    <x:row r="2278" ht="23" customHeight="1">
      <x:c r="A2278" s="17" t="str">
        <x:v>U02272</x:v>
      </x:c>
      <x:c r="B2278" s="18" t="n">
        <x:v>46281</x:v>
      </x:c>
      <x:c r="C2278" s="17" t="str">
        <x:v>W0175</x:v>
      </x:c>
      <x:c r="D2278" s="17" t="str">
        <x:v>C003</x:v>
      </x:c>
      <x:c r="E2278" s="17" t="str">
        <x:v>CopyStudio</x:v>
      </x:c>
      <x:c r="F2278" s="17" t="str">
        <x:v>Lite</x:v>
      </x:c>
      <x:c r="G2278" s="21" t="n">
        <x:v>16066</x:v>
      </x:c>
      <x:c r="H2278" s="21" t="n">
        <x:v>5934</x:v>
      </x:c>
      <x:c r="I2278" s="17" t="str">
        <x:v>Followup</x:v>
      </x:c>
    </x:row>
    <x:row r="2279" ht="23" customHeight="1">
      <x:c r="A2279" s="17" t="str">
        <x:v>U02273</x:v>
      </x:c>
      <x:c r="B2279" s="18" t="n">
        <x:v>46282</x:v>
      </x:c>
      <x:c r="C2279" s="17" t="str">
        <x:v>W0175</x:v>
      </x:c>
      <x:c r="D2279" s="17" t="str">
        <x:v>C003</x:v>
      </x:c>
      <x:c r="E2279" s="17" t="str">
        <x:v>CopyStudio</x:v>
      </x:c>
      <x:c r="F2279" s="17" t="str">
        <x:v>Lite</x:v>
      </x:c>
      <x:c r="G2279" s="21" t="n">
        <x:v>27799</x:v>
      </x:c>
      <x:c r="H2279" s="21" t="n">
        <x:v>12633</x:v>
      </x:c>
      <x:c r="I2279" s="17" t="str">
        <x:v>Correction</x:v>
      </x:c>
    </x:row>
    <x:row r="2280" ht="23" customHeight="1">
      <x:c r="A2280" s="17" t="str">
        <x:v>U02274</x:v>
      </x:c>
      <x:c r="B2280" s="18" t="n">
        <x:v>46282</x:v>
      </x:c>
      <x:c r="C2280" s="17" t="str">
        <x:v>W0175</x:v>
      </x:c>
      <x:c r="D2280" s="17" t="str">
        <x:v>C003</x:v>
      </x:c>
      <x:c r="E2280" s="17" t="str">
        <x:v>CopyStudio</x:v>
      </x:c>
      <x:c r="F2280" s="17" t="str">
        <x:v>Lite</x:v>
      </x:c>
      <x:c r="G2280" s="21" t="n">
        <x:v>17009</x:v>
      </x:c>
      <x:c r="H2280" s="21" t="n">
        <x:v>4062</x:v>
      </x:c>
      <x:c r="I2280" s="17" t="str">
        <x:v>Followup</x:v>
      </x:c>
    </x:row>
    <x:row r="2281" ht="23" customHeight="1">
      <x:c r="A2281" s="17" t="str">
        <x:v>U02275</x:v>
      </x:c>
      <x:c r="B2281" s="18" t="n">
        <x:v>46282</x:v>
      </x:c>
      <x:c r="C2281" s="17" t="str">
        <x:v>W0175</x:v>
      </x:c>
      <x:c r="D2281" s="17" t="str">
        <x:v>C003</x:v>
      </x:c>
      <x:c r="E2281" s="17" t="str">
        <x:v>CopyStudio</x:v>
      </x:c>
      <x:c r="F2281" s="17" t="str">
        <x:v>Lite</x:v>
      </x:c>
      <x:c r="G2281" s="21" t="n">
        <x:v>42100</x:v>
      </x:c>
      <x:c r="H2281" s="21" t="n">
        <x:v>7796</x:v>
      </x:c>
      <x:c r="I2281" s="17" t="str">
        <x:v>Correction</x:v>
      </x:c>
    </x:row>
    <x:row r="2282" ht="23" customHeight="1">
      <x:c r="A2282" s="17" t="str">
        <x:v>U02276</x:v>
      </x:c>
      <x:c r="B2282" s="18" t="n">
        <x:v>46282</x:v>
      </x:c>
      <x:c r="C2282" s="17" t="str">
        <x:v>W0175</x:v>
      </x:c>
      <x:c r="D2282" s="17" t="str">
        <x:v>C003</x:v>
      </x:c>
      <x:c r="E2282" s="17" t="str">
        <x:v>CopyStudio</x:v>
      </x:c>
      <x:c r="F2282" s="17" t="str">
        <x:v>Lite</x:v>
      </x:c>
      <x:c r="G2282" s="21" t="n">
        <x:v>31344</x:v>
      </x:c>
      <x:c r="H2282" s="21" t="n">
        <x:v>3476</x:v>
      </x:c>
      <x:c r="I2282" s="17" t="str">
        <x:v>Followup</x:v>
      </x:c>
    </x:row>
    <x:row r="2283" ht="23" customHeight="1">
      <x:c r="A2283" s="17" t="str">
        <x:v>U02277</x:v>
      </x:c>
      <x:c r="B2283" s="18" t="n">
        <x:v>46282</x:v>
      </x:c>
      <x:c r="C2283" s="17" t="str">
        <x:v>W0175</x:v>
      </x:c>
      <x:c r="D2283" s="17" t="str">
        <x:v>C003</x:v>
      </x:c>
      <x:c r="E2283" s="17" t="str">
        <x:v>CopyStudio</x:v>
      </x:c>
      <x:c r="F2283" s="17" t="str">
        <x:v>Lite</x:v>
      </x:c>
      <x:c r="G2283" s="21" t="n">
        <x:v>24704</x:v>
      </x:c>
      <x:c r="H2283" s="21" t="n">
        <x:v>6521</x:v>
      </x:c>
      <x:c r="I2283" s="17" t="str">
        <x:v>Followup</x:v>
      </x:c>
    </x:row>
    <x:row r="2284" ht="23" customHeight="1">
      <x:c r="A2284" s="17" t="str">
        <x:v>U02278</x:v>
      </x:c>
      <x:c r="B2284" s="18" t="n">
        <x:v>46283</x:v>
      </x:c>
      <x:c r="C2284" s="17" t="str">
        <x:v>W0175</x:v>
      </x:c>
      <x:c r="D2284" s="17" t="str">
        <x:v>C003</x:v>
      </x:c>
      <x:c r="E2284" s="17" t="str">
        <x:v>CopyStudio</x:v>
      </x:c>
      <x:c r="F2284" s="17" t="str">
        <x:v>Lite</x:v>
      </x:c>
      <x:c r="G2284" s="21" t="n">
        <x:v>38188</x:v>
      </x:c>
      <x:c r="H2284" s="21" t="n">
        <x:v>7163</x:v>
      </x:c>
      <x:c r="I2284" s="17" t="str">
        <x:v>Followup</x:v>
      </x:c>
    </x:row>
    <x:row r="2285" ht="23" customHeight="1">
      <x:c r="A2285" s="17" t="str">
        <x:v>U02279</x:v>
      </x:c>
      <x:c r="B2285" s="18" t="n">
        <x:v>46283</x:v>
      </x:c>
      <x:c r="C2285" s="17" t="str">
        <x:v>W0175</x:v>
      </x:c>
      <x:c r="D2285" s="17" t="str">
        <x:v>C003</x:v>
      </x:c>
      <x:c r="E2285" s="17" t="str">
        <x:v>CopyStudio</x:v>
      </x:c>
      <x:c r="F2285" s="17" t="str">
        <x:v>Lite</x:v>
      </x:c>
      <x:c r="G2285" s="21" t="n">
        <x:v>14538</x:v>
      </x:c>
      <x:c r="H2285" s="21" t="n">
        <x:v>7392</x:v>
      </x:c>
      <x:c r="I2285" s="17" t="str">
        <x:v>Followup</x:v>
      </x:c>
    </x:row>
    <x:row r="2286" ht="23" customHeight="1">
      <x:c r="A2286" s="17" t="str">
        <x:v>U02280</x:v>
      </x:c>
      <x:c r="B2286" s="18" t="n">
        <x:v>46283</x:v>
      </x:c>
      <x:c r="C2286" s="17" t="str">
        <x:v>W0175</x:v>
      </x:c>
      <x:c r="D2286" s="17" t="str">
        <x:v>C003</x:v>
      </x:c>
      <x:c r="E2286" s="17" t="str">
        <x:v>CopyStudio</x:v>
      </x:c>
      <x:c r="F2286" s="17" t="str">
        <x:v>Lite</x:v>
      </x:c>
      <x:c r="G2286" s="21" t="n">
        <x:v>31277</x:v>
      </x:c>
      <x:c r="H2286" s="21" t="n">
        <x:v>11336</x:v>
      </x:c>
      <x:c r="I2286" s="17" t="str">
        <x:v>Followup</x:v>
      </x:c>
    </x:row>
    <x:row r="2287" ht="23" customHeight="1">
      <x:c r="A2287" s="17" t="str">
        <x:v>U02281</x:v>
      </x:c>
      <x:c r="B2287" s="18" t="n">
        <x:v>46283</x:v>
      </x:c>
      <x:c r="C2287" s="17" t="str">
        <x:v>W0175</x:v>
      </x:c>
      <x:c r="D2287" s="17" t="str">
        <x:v>C003</x:v>
      </x:c>
      <x:c r="E2287" s="17" t="str">
        <x:v>CopyStudio</x:v>
      </x:c>
      <x:c r="F2287" s="17" t="str">
        <x:v>Lite</x:v>
      </x:c>
      <x:c r="G2287" s="21" t="n">
        <x:v>15660</x:v>
      </x:c>
      <x:c r="H2287" s="21" t="n">
        <x:v>9752</x:v>
      </x:c>
      <x:c r="I2287" s="17" t="str">
        <x:v>Correction</x:v>
      </x:c>
    </x:row>
    <x:row r="2288" ht="23" customHeight="1">
      <x:c r="A2288" s="17" t="str">
        <x:v>U02282</x:v>
      </x:c>
      <x:c r="B2288" s="18" t="n">
        <x:v>46274</x:v>
      </x:c>
      <x:c r="C2288" s="17" t="str">
        <x:v>W0177</x:v>
      </x:c>
      <x:c r="D2288" s="17" t="str">
        <x:v>C003</x:v>
      </x:c>
      <x:c r="E2288" s="17" t="str">
        <x:v>CampaignChat</x:v>
      </x:c>
      <x:c r="F2288" s="17" t="str">
        <x:v>Lite</x:v>
      </x:c>
      <x:c r="G2288" s="21" t="n">
        <x:v>45021</x:v>
      </x:c>
      <x:c r="H2288" s="21" t="n">
        <x:v>2080</x:v>
      </x:c>
      <x:c r="I2288" s="17" t="str">
        <x:v>First attempt</x:v>
      </x:c>
    </x:row>
    <x:row r="2289" ht="23" customHeight="1">
      <x:c r="A2289" s="17" t="str">
        <x:v>U02283</x:v>
      </x:c>
      <x:c r="B2289" s="18" t="n">
        <x:v>46274</x:v>
      </x:c>
      <x:c r="C2289" s="17" t="str">
        <x:v>W0177</x:v>
      </x:c>
      <x:c r="D2289" s="17" t="str">
        <x:v>C003</x:v>
      </x:c>
      <x:c r="E2289" s="17" t="str">
        <x:v>CampaignChat</x:v>
      </x:c>
      <x:c r="F2289" s="17" t="str">
        <x:v>Lite</x:v>
      </x:c>
      <x:c r="G2289" s="21" t="n">
        <x:v>21593</x:v>
      </x:c>
      <x:c r="H2289" s="21" t="n">
        <x:v>2557</x:v>
      </x:c>
      <x:c r="I2289" s="17" t="str">
        <x:v>Followup</x:v>
      </x:c>
    </x:row>
    <x:row r="2290" ht="23" customHeight="1">
      <x:c r="A2290" s="17" t="str">
        <x:v>U02284</x:v>
      </x:c>
      <x:c r="B2290" s="18" t="n">
        <x:v>46274</x:v>
      </x:c>
      <x:c r="C2290" s="17" t="str">
        <x:v>W0177</x:v>
      </x:c>
      <x:c r="D2290" s="17" t="str">
        <x:v>C003</x:v>
      </x:c>
      <x:c r="E2290" s="17" t="str">
        <x:v>CampaignChat</x:v>
      </x:c>
      <x:c r="F2290" s="17" t="str">
        <x:v>Lite</x:v>
      </x:c>
      <x:c r="G2290" s="21" t="n">
        <x:v>36788</x:v>
      </x:c>
      <x:c r="H2290" s="21" t="n">
        <x:v>4499</x:v>
      </x:c>
      <x:c r="I2290" s="17" t="str">
        <x:v>Followup</x:v>
      </x:c>
    </x:row>
    <x:row r="2291" ht="23" customHeight="1">
      <x:c r="A2291" s="17" t="str">
        <x:v>U02285</x:v>
      </x:c>
      <x:c r="B2291" s="18" t="n">
        <x:v>46275</x:v>
      </x:c>
      <x:c r="C2291" s="17" t="str">
        <x:v>W0177</x:v>
      </x:c>
      <x:c r="D2291" s="17" t="str">
        <x:v>C003</x:v>
      </x:c>
      <x:c r="E2291" s="17" t="str">
        <x:v>CampaignChat</x:v>
      </x:c>
      <x:c r="F2291" s="17" t="str">
        <x:v>Lite</x:v>
      </x:c>
      <x:c r="G2291" s="21" t="n">
        <x:v>37721</x:v>
      </x:c>
      <x:c r="H2291" s="21" t="n">
        <x:v>1958</x:v>
      </x:c>
      <x:c r="I2291" s="17" t="str">
        <x:v>Followup</x:v>
      </x:c>
    </x:row>
    <x:row r="2292" ht="23" customHeight="1">
      <x:c r="A2292" s="17" t="str">
        <x:v>U02286</x:v>
      </x:c>
      <x:c r="B2292" s="18" t="n">
        <x:v>46275</x:v>
      </x:c>
      <x:c r="C2292" s="17" t="str">
        <x:v>W0177</x:v>
      </x:c>
      <x:c r="D2292" s="17" t="str">
        <x:v>C003</x:v>
      </x:c>
      <x:c r="E2292" s="17" t="str">
        <x:v>CampaignChat</x:v>
      </x:c>
      <x:c r="F2292" s="17" t="str">
        <x:v>Lite</x:v>
      </x:c>
      <x:c r="G2292" s="21" t="n">
        <x:v>27949</x:v>
      </x:c>
      <x:c r="H2292" s="21" t="n">
        <x:v>3406</x:v>
      </x:c>
      <x:c r="I2292" s="17" t="str">
        <x:v>Followup</x:v>
      </x:c>
    </x:row>
    <x:row r="2293" ht="23" customHeight="1">
      <x:c r="A2293" s="17" t="str">
        <x:v>U02287</x:v>
      </x:c>
      <x:c r="B2293" s="18" t="n">
        <x:v>46275</x:v>
      </x:c>
      <x:c r="C2293" s="17" t="str">
        <x:v>W0177</x:v>
      </x:c>
      <x:c r="D2293" s="17" t="str">
        <x:v>C003</x:v>
      </x:c>
      <x:c r="E2293" s="17" t="str">
        <x:v>CampaignChat</x:v>
      </x:c>
      <x:c r="F2293" s="17" t="str">
        <x:v>Lite</x:v>
      </x:c>
      <x:c r="G2293" s="21" t="n">
        <x:v>36159</x:v>
      </x:c>
      <x:c r="H2293" s="21" t="n">
        <x:v>3227</x:v>
      </x:c>
      <x:c r="I2293" s="17" t="str">
        <x:v>Followup</x:v>
      </x:c>
    </x:row>
    <x:row r="2294" ht="23" customHeight="1">
      <x:c r="A2294" s="17" t="str">
        <x:v>U02288</x:v>
      </x:c>
      <x:c r="B2294" s="18" t="n">
        <x:v>46276</x:v>
      </x:c>
      <x:c r="C2294" s="17" t="str">
        <x:v>W0177</x:v>
      </x:c>
      <x:c r="D2294" s="17" t="str">
        <x:v>C003</x:v>
      </x:c>
      <x:c r="E2294" s="17" t="str">
        <x:v>CampaignChat</x:v>
      </x:c>
      <x:c r="F2294" s="17" t="str">
        <x:v>Lite</x:v>
      </x:c>
      <x:c r="G2294" s="21" t="n">
        <x:v>39913</x:v>
      </x:c>
      <x:c r="H2294" s="21" t="n">
        <x:v>3700</x:v>
      </x:c>
      <x:c r="I2294" s="17" t="str">
        <x:v>Correction</x:v>
      </x:c>
    </x:row>
    <x:row r="2295" ht="23" customHeight="1">
      <x:c r="A2295" s="17" t="str">
        <x:v>U02289</x:v>
      </x:c>
      <x:c r="B2295" s="18" t="n">
        <x:v>46276</x:v>
      </x:c>
      <x:c r="C2295" s="17" t="str">
        <x:v>W0177</x:v>
      </x:c>
      <x:c r="D2295" s="17" t="str">
        <x:v>C003</x:v>
      </x:c>
      <x:c r="E2295" s="17" t="str">
        <x:v>CampaignChat</x:v>
      </x:c>
      <x:c r="F2295" s="17" t="str">
        <x:v>Lite</x:v>
      </x:c>
      <x:c r="G2295" s="21" t="n">
        <x:v>29820</x:v>
      </x:c>
      <x:c r="H2295" s="21" t="n">
        <x:v>3533</x:v>
      </x:c>
      <x:c r="I2295" s="17" t="str">
        <x:v>Correction</x:v>
      </x:c>
    </x:row>
    <x:row r="2296" ht="23" customHeight="1">
      <x:c r="A2296" s="17" t="str">
        <x:v>U02290</x:v>
      </x:c>
      <x:c r="B2296" s="18" t="n">
        <x:v>46276</x:v>
      </x:c>
      <x:c r="C2296" s="17" t="str">
        <x:v>W0177</x:v>
      </x:c>
      <x:c r="D2296" s="17" t="str">
        <x:v>C003</x:v>
      </x:c>
      <x:c r="E2296" s="17" t="str">
        <x:v>CampaignChat</x:v>
      </x:c>
      <x:c r="F2296" s="17" t="str">
        <x:v>Lite</x:v>
      </x:c>
      <x:c r="G2296" s="21" t="n">
        <x:v>44781</x:v>
      </x:c>
      <x:c r="H2296" s="21" t="n">
        <x:v>1886</x:v>
      </x:c>
      <x:c r="I2296" s="17" t="str">
        <x:v>Correction</x:v>
      </x:c>
    </x:row>
    <x:row r="2297" ht="23" customHeight="1">
      <x:c r="A2297" s="17" t="str">
        <x:v>U02291</x:v>
      </x:c>
      <x:c r="B2297" s="18" t="n">
        <x:v>46279</x:v>
      </x:c>
      <x:c r="C2297" s="17" t="str">
        <x:v>W0177</x:v>
      </x:c>
      <x:c r="D2297" s="17" t="str">
        <x:v>C003</x:v>
      </x:c>
      <x:c r="E2297" s="17" t="str">
        <x:v>CampaignChat</x:v>
      </x:c>
      <x:c r="F2297" s="17" t="str">
        <x:v>Lite</x:v>
      </x:c>
      <x:c r="G2297" s="21" t="n">
        <x:v>25400</x:v>
      </x:c>
      <x:c r="H2297" s="21" t="n">
        <x:v>3547</x:v>
      </x:c>
      <x:c r="I2297" s="17" t="str">
        <x:v>Followup</x:v>
      </x:c>
    </x:row>
    <x:row r="2298" ht="23" customHeight="1">
      <x:c r="A2298" s="17" t="str">
        <x:v>U02292</x:v>
      </x:c>
      <x:c r="B2298" s="18" t="n">
        <x:v>46279</x:v>
      </x:c>
      <x:c r="C2298" s="17" t="str">
        <x:v>W0177</x:v>
      </x:c>
      <x:c r="D2298" s="17" t="str">
        <x:v>C003</x:v>
      </x:c>
      <x:c r="E2298" s="17" t="str">
        <x:v>CampaignChat</x:v>
      </x:c>
      <x:c r="F2298" s="17" t="str">
        <x:v>Lite</x:v>
      </x:c>
      <x:c r="G2298" s="21" t="n">
        <x:v>42844</x:v>
      </x:c>
      <x:c r="H2298" s="21" t="n">
        <x:v>4277</x:v>
      </x:c>
      <x:c r="I2298" s="17" t="str">
        <x:v>Followup</x:v>
      </x:c>
    </x:row>
    <x:row r="2299" ht="23" customHeight="1">
      <x:c r="A2299" s="17" t="str">
        <x:v>U02293</x:v>
      </x:c>
      <x:c r="B2299" s="18" t="n">
        <x:v>46283</x:v>
      </x:c>
      <x:c r="C2299" s="17" t="str">
        <x:v>W0178</x:v>
      </x:c>
      <x:c r="D2299" s="17" t="str">
        <x:v>C003</x:v>
      </x:c>
      <x:c r="E2299" s="17" t="str">
        <x:v>CampaignChat</x:v>
      </x:c>
      <x:c r="F2299" s="17" t="str">
        <x:v>Lite</x:v>
      </x:c>
      <x:c r="G2299" s="21" t="n">
        <x:v>35807</x:v>
      </x:c>
      <x:c r="H2299" s="21" t="n">
        <x:v>6941</x:v>
      </x:c>
      <x:c r="I2299" s="17" t="str">
        <x:v>First attempt</x:v>
      </x:c>
    </x:row>
    <x:row r="2300" ht="23" customHeight="1">
      <x:c r="A2300" s="17" t="str">
        <x:v>U02294</x:v>
      </x:c>
      <x:c r="B2300" s="18" t="n">
        <x:v>46283</x:v>
      </x:c>
      <x:c r="C2300" s="17" t="str">
        <x:v>W0178</x:v>
      </x:c>
      <x:c r="D2300" s="17" t="str">
        <x:v>C003</x:v>
      </x:c>
      <x:c r="E2300" s="17" t="str">
        <x:v>CampaignChat</x:v>
      </x:c>
      <x:c r="F2300" s="17" t="str">
        <x:v>Lite</x:v>
      </x:c>
      <x:c r="G2300" s="21" t="n">
        <x:v>23147</x:v>
      </x:c>
      <x:c r="H2300" s="21" t="n">
        <x:v>8016</x:v>
      </x:c>
      <x:c r="I2300" s="17" t="str">
        <x:v>Followup</x:v>
      </x:c>
    </x:row>
    <x:row r="2301" ht="23" customHeight="1">
      <x:c r="A2301" s="17" t="str">
        <x:v>U02295</x:v>
      </x:c>
      <x:c r="B2301" s="18" t="n">
        <x:v>46283</x:v>
      </x:c>
      <x:c r="C2301" s="17" t="str">
        <x:v>W0178</x:v>
      </x:c>
      <x:c r="D2301" s="17" t="str">
        <x:v>C003</x:v>
      </x:c>
      <x:c r="E2301" s="17" t="str">
        <x:v>CampaignChat</x:v>
      </x:c>
      <x:c r="F2301" s="17" t="str">
        <x:v>Lite</x:v>
      </x:c>
      <x:c r="G2301" s="21" t="n">
        <x:v>18309</x:v>
      </x:c>
      <x:c r="H2301" s="21" t="n">
        <x:v>2987</x:v>
      </x:c>
      <x:c r="I2301" s="17" t="str">
        <x:v>Followup</x:v>
      </x:c>
    </x:row>
    <x:row r="2302" ht="23" customHeight="1">
      <x:c r="A2302" s="17" t="str">
        <x:v>U02296</x:v>
      </x:c>
      <x:c r="B2302" s="18" t="n">
        <x:v>46283</x:v>
      </x:c>
      <x:c r="C2302" s="17" t="str">
        <x:v>W0178</x:v>
      </x:c>
      <x:c r="D2302" s="17" t="str">
        <x:v>C003</x:v>
      </x:c>
      <x:c r="E2302" s="17" t="str">
        <x:v>CampaignChat</x:v>
      </x:c>
      <x:c r="F2302" s="17" t="str">
        <x:v>Lite</x:v>
      </x:c>
      <x:c r="G2302" s="21" t="n">
        <x:v>20666</x:v>
      </x:c>
      <x:c r="H2302" s="21" t="n">
        <x:v>5513</x:v>
      </x:c>
      <x:c r="I2302" s="17" t="str">
        <x:v>Followup</x:v>
      </x:c>
    </x:row>
    <x:row r="2303" ht="23" customHeight="1">
      <x:c r="A2303" s="17" t="str">
        <x:v>U02297</x:v>
      </x:c>
      <x:c r="B2303" s="18" t="n">
        <x:v>46286</x:v>
      </x:c>
      <x:c r="C2303" s="17" t="str">
        <x:v>W0178</x:v>
      </x:c>
      <x:c r="D2303" s="17" t="str">
        <x:v>C003</x:v>
      </x:c>
      <x:c r="E2303" s="17" t="str">
        <x:v>CampaignChat</x:v>
      </x:c>
      <x:c r="F2303" s="17" t="str">
        <x:v>Lite</x:v>
      </x:c>
      <x:c r="G2303" s="21" t="n">
        <x:v>28946</x:v>
      </x:c>
      <x:c r="H2303" s="21" t="n">
        <x:v>7832</x:v>
      </x:c>
      <x:c r="I2303" s="17" t="str">
        <x:v>Correction</x:v>
      </x:c>
    </x:row>
    <x:row r="2304" ht="23" customHeight="1">
      <x:c r="A2304" s="17" t="str">
        <x:v>U02298</x:v>
      </x:c>
      <x:c r="B2304" s="18" t="n">
        <x:v>46286</x:v>
      </x:c>
      <x:c r="C2304" s="17" t="str">
        <x:v>W0178</x:v>
      </x:c>
      <x:c r="D2304" s="17" t="str">
        <x:v>C003</x:v>
      </x:c>
      <x:c r="E2304" s="17" t="str">
        <x:v>CampaignChat</x:v>
      </x:c>
      <x:c r="F2304" s="17" t="str">
        <x:v>Lite</x:v>
      </x:c>
      <x:c r="G2304" s="21" t="n">
        <x:v>15790</x:v>
      </x:c>
      <x:c r="H2304" s="21" t="n">
        <x:v>7379</x:v>
      </x:c>
      <x:c r="I2304" s="17" t="str">
        <x:v>Followup</x:v>
      </x:c>
    </x:row>
    <x:row r="2305" ht="23" customHeight="1">
      <x:c r="A2305" s="17" t="str">
        <x:v>U02299</x:v>
      </x:c>
      <x:c r="B2305" s="18" t="n">
        <x:v>46286</x:v>
      </x:c>
      <x:c r="C2305" s="17" t="str">
        <x:v>W0178</x:v>
      </x:c>
      <x:c r="D2305" s="17" t="str">
        <x:v>C003</x:v>
      </x:c>
      <x:c r="E2305" s="17" t="str">
        <x:v>CampaignChat</x:v>
      </x:c>
      <x:c r="F2305" s="17" t="str">
        <x:v>Lite</x:v>
      </x:c>
      <x:c r="G2305" s="21" t="n">
        <x:v>29071</x:v>
      </x:c>
      <x:c r="H2305" s="21" t="n">
        <x:v>8038</x:v>
      </x:c>
      <x:c r="I2305" s="17" t="str">
        <x:v>Correction</x:v>
      </x:c>
    </x:row>
    <x:row r="2306" ht="23" customHeight="1">
      <x:c r="A2306" s="17" t="str">
        <x:v>U02300</x:v>
      </x:c>
      <x:c r="B2306" s="18" t="n">
        <x:v>46287</x:v>
      </x:c>
      <x:c r="C2306" s="17" t="str">
        <x:v>W0178</x:v>
      </x:c>
      <x:c r="D2306" s="17" t="str">
        <x:v>C003</x:v>
      </x:c>
      <x:c r="E2306" s="17" t="str">
        <x:v>CampaignChat</x:v>
      </x:c>
      <x:c r="F2306" s="17" t="str">
        <x:v>Lite</x:v>
      </x:c>
      <x:c r="G2306" s="21" t="n">
        <x:v>17965</x:v>
      </x:c>
      <x:c r="H2306" s="21" t="n">
        <x:v>7902</x:v>
      </x:c>
      <x:c r="I2306" s="17" t="str">
        <x:v>Correction</x:v>
      </x:c>
    </x:row>
    <x:row r="2307" ht="23" customHeight="1">
      <x:c r="A2307" s="17" t="str">
        <x:v>U02301</x:v>
      </x:c>
      <x:c r="B2307" s="18" t="n">
        <x:v>46287</x:v>
      </x:c>
      <x:c r="C2307" s="17" t="str">
        <x:v>W0178</x:v>
      </x:c>
      <x:c r="D2307" s="17" t="str">
        <x:v>C003</x:v>
      </x:c>
      <x:c r="E2307" s="17" t="str">
        <x:v>CampaignChat</x:v>
      </x:c>
      <x:c r="F2307" s="17" t="str">
        <x:v>Lite</x:v>
      </x:c>
      <x:c r="G2307" s="21" t="n">
        <x:v>17980</x:v>
      </x:c>
      <x:c r="H2307" s="21" t="n">
        <x:v>5293</x:v>
      </x:c>
      <x:c r="I2307" s="17" t="str">
        <x:v>Followup</x:v>
      </x:c>
    </x:row>
    <x:row r="2308" ht="23" customHeight="1">
      <x:c r="A2308" s="17" t="str">
        <x:v>U02302</x:v>
      </x:c>
      <x:c r="B2308" s="18" t="n">
        <x:v>46287</x:v>
      </x:c>
      <x:c r="C2308" s="17" t="str">
        <x:v>W0178</x:v>
      </x:c>
      <x:c r="D2308" s="17" t="str">
        <x:v>C003</x:v>
      </x:c>
      <x:c r="E2308" s="17" t="str">
        <x:v>CampaignChat</x:v>
      </x:c>
      <x:c r="F2308" s="17" t="str">
        <x:v>Lite</x:v>
      </x:c>
      <x:c r="G2308" s="21" t="n">
        <x:v>15066</x:v>
      </x:c>
      <x:c r="H2308" s="21" t="n">
        <x:v>7748</x:v>
      </x:c>
      <x:c r="I2308" s="17" t="str">
        <x:v>Followup</x:v>
      </x:c>
    </x:row>
    <x:row r="2309" ht="23" customHeight="1">
      <x:c r="A2309" s="17" t="str">
        <x:v>U02303</x:v>
      </x:c>
      <x:c r="B2309" s="18" t="n">
        <x:v>46288</x:v>
      </x:c>
      <x:c r="C2309" s="17" t="str">
        <x:v>W0178</x:v>
      </x:c>
      <x:c r="D2309" s="17" t="str">
        <x:v>C003</x:v>
      </x:c>
      <x:c r="E2309" s="17" t="str">
        <x:v>CampaignChat</x:v>
      </x:c>
      <x:c r="F2309" s="17" t="str">
        <x:v>Lite</x:v>
      </x:c>
      <x:c r="G2309" s="21" t="n">
        <x:v>16504</x:v>
      </x:c>
      <x:c r="H2309" s="21" t="n">
        <x:v>7168</x:v>
      </x:c>
      <x:c r="I2309" s="17" t="str">
        <x:v>Followup</x:v>
      </x:c>
    </x:row>
    <x:row r="2310" ht="23" customHeight="1">
      <x:c r="A2310" s="17" t="str">
        <x:v>U02304</x:v>
      </x:c>
      <x:c r="B2310" s="18" t="n">
        <x:v>46288</x:v>
      </x:c>
      <x:c r="C2310" s="17" t="str">
        <x:v>W0178</x:v>
      </x:c>
      <x:c r="D2310" s="17" t="str">
        <x:v>C003</x:v>
      </x:c>
      <x:c r="E2310" s="17" t="str">
        <x:v>CampaignChat</x:v>
      </x:c>
      <x:c r="F2310" s="17" t="str">
        <x:v>Lite</x:v>
      </x:c>
      <x:c r="G2310" s="21" t="n">
        <x:v>17344</x:v>
      </x:c>
      <x:c r="H2310" s="21" t="n">
        <x:v>7682</x:v>
      </x:c>
      <x:c r="I2310" s="17" t="str">
        <x:v>Followup</x:v>
      </x:c>
    </x:row>
    <x:row r="2311" ht="23" customHeight="1">
      <x:c r="A2311" s="17" t="str">
        <x:v>U02305</x:v>
      </x:c>
      <x:c r="B2311" s="18" t="n">
        <x:v>46288</x:v>
      </x:c>
      <x:c r="C2311" s="17" t="str">
        <x:v>W0178</x:v>
      </x:c>
      <x:c r="D2311" s="17" t="str">
        <x:v>C003</x:v>
      </x:c>
      <x:c r="E2311" s="17" t="str">
        <x:v>CampaignChat</x:v>
      </x:c>
      <x:c r="F2311" s="17" t="str">
        <x:v>Lite</x:v>
      </x:c>
      <x:c r="G2311" s="21" t="n">
        <x:v>35910</x:v>
      </x:c>
      <x:c r="H2311" s="21" t="n">
        <x:v>5430</x:v>
      </x:c>
      <x:c r="I2311" s="17" t="str">
        <x:v>Followup</x:v>
      </x:c>
    </x:row>
    <x:row r="2312" ht="23" customHeight="1">
      <x:c r="A2312" s="17" t="str">
        <x:v>U02306</x:v>
      </x:c>
      <x:c r="B2312" s="18" t="n">
        <x:v>46267</x:v>
      </x:c>
      <x:c r="C2312" s="17" t="str">
        <x:v>W0179</x:v>
      </x:c>
      <x:c r="D2312" s="17" t="str">
        <x:v>C003</x:v>
      </x:c>
      <x:c r="E2312" s="17" t="str">
        <x:v>DataFlow</x:v>
      </x:c>
      <x:c r="F2312" s="17" t="str">
        <x:v>Lite</x:v>
      </x:c>
      <x:c r="G2312" s="21" t="n">
        <x:v>33855</x:v>
      </x:c>
      <x:c r="H2312" s="21" t="n">
        <x:v>4010</x:v>
      </x:c>
      <x:c r="I2312" s="17" t="str">
        <x:v>First attempt</x:v>
      </x:c>
    </x:row>
    <x:row r="2313" ht="23" customHeight="1">
      <x:c r="A2313" s="17" t="str">
        <x:v>U02307</x:v>
      </x:c>
      <x:c r="B2313" s="18" t="n">
        <x:v>46267</x:v>
      </x:c>
      <x:c r="C2313" s="17" t="str">
        <x:v>W0179</x:v>
      </x:c>
      <x:c r="D2313" s="17" t="str">
        <x:v>C003</x:v>
      </x:c>
      <x:c r="E2313" s="17" t="str">
        <x:v>DataFlow</x:v>
      </x:c>
      <x:c r="F2313" s="17" t="str">
        <x:v>Lite</x:v>
      </x:c>
      <x:c r="G2313" s="21" t="n">
        <x:v>28078</x:v>
      </x:c>
      <x:c r="H2313" s="21" t="n">
        <x:v>3757</x:v>
      </x:c>
      <x:c r="I2313" s="17" t="str">
        <x:v>Followup</x:v>
      </x:c>
    </x:row>
    <x:row r="2314" ht="23" customHeight="1">
      <x:c r="A2314" s="17" t="str">
        <x:v>U02308</x:v>
      </x:c>
      <x:c r="B2314" s="18" t="n">
        <x:v>46267</x:v>
      </x:c>
      <x:c r="C2314" s="17" t="str">
        <x:v>W0179</x:v>
      </x:c>
      <x:c r="D2314" s="17" t="str">
        <x:v>C003</x:v>
      </x:c>
      <x:c r="E2314" s="17" t="str">
        <x:v>DataFlow</x:v>
      </x:c>
      <x:c r="F2314" s="17" t="str">
        <x:v>Lite</x:v>
      </x:c>
      <x:c r="G2314" s="21" t="n">
        <x:v>18290</x:v>
      </x:c>
      <x:c r="H2314" s="21" t="n">
        <x:v>4531</x:v>
      </x:c>
      <x:c r="I2314" s="17" t="str">
        <x:v>Followup</x:v>
      </x:c>
    </x:row>
    <x:row r="2315" ht="23" customHeight="1">
      <x:c r="A2315" s="17" t="str">
        <x:v>U02309</x:v>
      </x:c>
      <x:c r="B2315" s="18" t="n">
        <x:v>46268</x:v>
      </x:c>
      <x:c r="C2315" s="17" t="str">
        <x:v>W0179</x:v>
      </x:c>
      <x:c r="D2315" s="17" t="str">
        <x:v>C003</x:v>
      </x:c>
      <x:c r="E2315" s="17" t="str">
        <x:v>DataFlow</x:v>
      </x:c>
      <x:c r="F2315" s="17" t="str">
        <x:v>Lite</x:v>
      </x:c>
      <x:c r="G2315" s="21" t="n">
        <x:v>32367</x:v>
      </x:c>
      <x:c r="H2315" s="21" t="n">
        <x:v>4640</x:v>
      </x:c>
      <x:c r="I2315" s="17" t="str">
        <x:v>Followup</x:v>
      </x:c>
    </x:row>
    <x:row r="2316" ht="23" customHeight="1">
      <x:c r="A2316" s="17" t="str">
        <x:v>U02310</x:v>
      </x:c>
      <x:c r="B2316" s="18" t="n">
        <x:v>46268</x:v>
      </x:c>
      <x:c r="C2316" s="17" t="str">
        <x:v>W0179</x:v>
      </x:c>
      <x:c r="D2316" s="17" t="str">
        <x:v>C003</x:v>
      </x:c>
      <x:c r="E2316" s="17" t="str">
        <x:v>DataFlow</x:v>
      </x:c>
      <x:c r="F2316" s="17" t="str">
        <x:v>Lite</x:v>
      </x:c>
      <x:c r="G2316" s="21" t="n">
        <x:v>38389</x:v>
      </x:c>
      <x:c r="H2316" s="21" t="n">
        <x:v>2388</x:v>
      </x:c>
      <x:c r="I2316" s="17" t="str">
        <x:v>Followup</x:v>
      </x:c>
    </x:row>
    <x:row r="2317" ht="23" customHeight="1">
      <x:c r="A2317" s="17" t="str">
        <x:v>U02311</x:v>
      </x:c>
      <x:c r="B2317" s="18" t="n">
        <x:v>46268</x:v>
      </x:c>
      <x:c r="C2317" s="17" t="str">
        <x:v>W0179</x:v>
      </x:c>
      <x:c r="D2317" s="17" t="str">
        <x:v>C003</x:v>
      </x:c>
      <x:c r="E2317" s="17" t="str">
        <x:v>DataFlow</x:v>
      </x:c>
      <x:c r="F2317" s="17" t="str">
        <x:v>Lite</x:v>
      </x:c>
      <x:c r="G2317" s="21" t="n">
        <x:v>20135</x:v>
      </x:c>
      <x:c r="H2317" s="21" t="n">
        <x:v>4787</x:v>
      </x:c>
      <x:c r="I2317" s="17" t="str">
        <x:v>Correction</x:v>
      </x:c>
    </x:row>
    <x:row r="2318" ht="23" customHeight="1">
      <x:c r="A2318" s="17" t="str">
        <x:v>U02312</x:v>
      </x:c>
      <x:c r="B2318" s="18" t="n">
        <x:v>46269</x:v>
      </x:c>
      <x:c r="C2318" s="17" t="str">
        <x:v>W0179</x:v>
      </x:c>
      <x:c r="D2318" s="17" t="str">
        <x:v>C003</x:v>
      </x:c>
      <x:c r="E2318" s="17" t="str">
        <x:v>DataFlow</x:v>
      </x:c>
      <x:c r="F2318" s="17" t="str">
        <x:v>Lite</x:v>
      </x:c>
      <x:c r="G2318" s="21" t="n">
        <x:v>15093</x:v>
      </x:c>
      <x:c r="H2318" s="21" t="n">
        <x:v>2037</x:v>
      </x:c>
      <x:c r="I2318" s="17" t="str">
        <x:v>Followup</x:v>
      </x:c>
    </x:row>
    <x:row r="2319" ht="23" customHeight="1">
      <x:c r="A2319" s="17" t="str">
        <x:v>U02313</x:v>
      </x:c>
      <x:c r="B2319" s="18" t="n">
        <x:v>46269</x:v>
      </x:c>
      <x:c r="C2319" s="17" t="str">
        <x:v>W0179</x:v>
      </x:c>
      <x:c r="D2319" s="17" t="str">
        <x:v>C003</x:v>
      </x:c>
      <x:c r="E2319" s="17" t="str">
        <x:v>DataFlow</x:v>
      </x:c>
      <x:c r="F2319" s="17" t="str">
        <x:v>Lite</x:v>
      </x:c>
      <x:c r="G2319" s="21" t="n">
        <x:v>30880</x:v>
      </x:c>
      <x:c r="H2319" s="21" t="n">
        <x:v>4835</x:v>
      </x:c>
      <x:c r="I2319" s="17" t="str">
        <x:v>Followup</x:v>
      </x:c>
    </x:row>
    <x:row r="2320" ht="23" customHeight="1">
      <x:c r="A2320" s="17" t="str">
        <x:v>U02314</x:v>
      </x:c>
      <x:c r="B2320" s="18" t="n">
        <x:v>46269</x:v>
      </x:c>
      <x:c r="C2320" s="17" t="str">
        <x:v>W0179</x:v>
      </x:c>
      <x:c r="D2320" s="17" t="str">
        <x:v>C003</x:v>
      </x:c>
      <x:c r="E2320" s="17" t="str">
        <x:v>DataFlow</x:v>
      </x:c>
      <x:c r="F2320" s="17" t="str">
        <x:v>Lite</x:v>
      </x:c>
      <x:c r="G2320" s="21" t="n">
        <x:v>16564</x:v>
      </x:c>
      <x:c r="H2320" s="21" t="n">
        <x:v>3883</x:v>
      </x:c>
      <x:c r="I2320" s="17" t="str">
        <x:v>Followup</x:v>
      </x:c>
    </x:row>
    <x:row r="2321" ht="23" customHeight="1">
      <x:c r="A2321" s="17" t="str">
        <x:v>U02315</x:v>
      </x:c>
      <x:c r="B2321" s="18" t="n">
        <x:v>46273</x:v>
      </x:c>
      <x:c r="C2321" s="17" t="str">
        <x:v>W0179</x:v>
      </x:c>
      <x:c r="D2321" s="17" t="str">
        <x:v>C003</x:v>
      </x:c>
      <x:c r="E2321" s="17" t="str">
        <x:v>DataFlow</x:v>
      </x:c>
      <x:c r="F2321" s="17" t="str">
        <x:v>Lite</x:v>
      </x:c>
      <x:c r="G2321" s="21" t="n">
        <x:v>22109</x:v>
      </x:c>
      <x:c r="H2321" s="21" t="n">
        <x:v>5357</x:v>
      </x:c>
      <x:c r="I2321" s="17" t="str">
        <x:v>Followup</x:v>
      </x:c>
    </x:row>
    <x:row r="2322" ht="23" customHeight="1">
      <x:c r="A2322" s="17" t="str">
        <x:v>U02316</x:v>
      </x:c>
      <x:c r="B2322" s="18" t="n">
        <x:v>46273</x:v>
      </x:c>
      <x:c r="C2322" s="17" t="str">
        <x:v>W0179</x:v>
      </x:c>
      <x:c r="D2322" s="17" t="str">
        <x:v>C003</x:v>
      </x:c>
      <x:c r="E2322" s="17" t="str">
        <x:v>DataFlow</x:v>
      </x:c>
      <x:c r="F2322" s="17" t="str">
        <x:v>Lite</x:v>
      </x:c>
      <x:c r="G2322" s="21" t="n">
        <x:v>33713</x:v>
      </x:c>
      <x:c r="H2322" s="21" t="n">
        <x:v>3785</x:v>
      </x:c>
      <x:c r="I2322" s="17" t="str">
        <x:v>Correction</x:v>
      </x:c>
    </x:row>
    <x:row r="2323" ht="23" customHeight="1">
      <x:c r="A2323" s="17" t="str">
        <x:v>U02317</x:v>
      </x:c>
      <x:c r="B2323" s="18" t="n">
        <x:v>46273</x:v>
      </x:c>
      <x:c r="C2323" s="17" t="str">
        <x:v>W0179</x:v>
      </x:c>
      <x:c r="D2323" s="17" t="str">
        <x:v>C003</x:v>
      </x:c>
      <x:c r="E2323" s="17" t="str">
        <x:v>DataFlow</x:v>
      </x:c>
      <x:c r="F2323" s="17" t="str">
        <x:v>Lite</x:v>
      </x:c>
      <x:c r="G2323" s="21" t="n">
        <x:v>29958</x:v>
      </x:c>
      <x:c r="H2323" s="21" t="n">
        <x:v>4317</x:v>
      </x:c>
      <x:c r="I2323" s="17" t="str">
        <x:v>Followup</x:v>
      </x:c>
    </x:row>
    <x:row r="2324" ht="23" customHeight="1">
      <x:c r="A2324" s="17" t="str">
        <x:v>U02318</x:v>
      </x:c>
      <x:c r="B2324" s="18" t="n">
        <x:v>46279</x:v>
      </x:c>
      <x:c r="C2324" s="17" t="str">
        <x:v>W0180</x:v>
      </x:c>
      <x:c r="D2324" s="17" t="str">
        <x:v>C003</x:v>
      </x:c>
      <x:c r="E2324" s="17" t="str">
        <x:v>InsightDesk</x:v>
      </x:c>
      <x:c r="F2324" s="17" t="str">
        <x:v>Lite</x:v>
      </x:c>
      <x:c r="G2324" s="21" t="n">
        <x:v>44700</x:v>
      </x:c>
      <x:c r="H2324" s="21" t="n">
        <x:v>7879</x:v>
      </x:c>
      <x:c r="I2324" s="17" t="str">
        <x:v>First attempt</x:v>
      </x:c>
    </x:row>
    <x:row r="2325" ht="23" customHeight="1">
      <x:c r="A2325" s="17" t="str">
        <x:v>U02319</x:v>
      </x:c>
      <x:c r="B2325" s="18" t="n">
        <x:v>46279</x:v>
      </x:c>
      <x:c r="C2325" s="17" t="str">
        <x:v>W0180</x:v>
      </x:c>
      <x:c r="D2325" s="17" t="str">
        <x:v>C003</x:v>
      </x:c>
      <x:c r="E2325" s="17" t="str">
        <x:v>InsightDesk</x:v>
      </x:c>
      <x:c r="F2325" s="17" t="str">
        <x:v>Lite</x:v>
      </x:c>
      <x:c r="G2325" s="21" t="n">
        <x:v>26656</x:v>
      </x:c>
      <x:c r="H2325" s="21" t="n">
        <x:v>8533</x:v>
      </x:c>
      <x:c r="I2325" s="17" t="str">
        <x:v>Followup</x:v>
      </x:c>
    </x:row>
    <x:row r="2326" ht="23" customHeight="1">
      <x:c r="A2326" s="17" t="str">
        <x:v>U02320</x:v>
      </x:c>
      <x:c r="B2326" s="18" t="n">
        <x:v>46279</x:v>
      </x:c>
      <x:c r="C2326" s="17" t="str">
        <x:v>W0180</x:v>
      </x:c>
      <x:c r="D2326" s="17" t="str">
        <x:v>C003</x:v>
      </x:c>
      <x:c r="E2326" s="17" t="str">
        <x:v>InsightDesk</x:v>
      </x:c>
      <x:c r="F2326" s="17" t="str">
        <x:v>Lite</x:v>
      </x:c>
      <x:c r="G2326" s="21" t="n">
        <x:v>23527</x:v>
      </x:c>
      <x:c r="H2326" s="21" t="n">
        <x:v>7662</x:v>
      </x:c>
      <x:c r="I2326" s="17" t="str">
        <x:v>Correction</x:v>
      </x:c>
    </x:row>
    <x:row r="2327" ht="23" customHeight="1">
      <x:c r="A2327" s="17" t="str">
        <x:v>U02321</x:v>
      </x:c>
      <x:c r="B2327" s="18" t="n">
        <x:v>46279</x:v>
      </x:c>
      <x:c r="C2327" s="17" t="str">
        <x:v>W0180</x:v>
      </x:c>
      <x:c r="D2327" s="17" t="str">
        <x:v>C003</x:v>
      </x:c>
      <x:c r="E2327" s="17" t="str">
        <x:v>InsightDesk</x:v>
      </x:c>
      <x:c r="F2327" s="17" t="str">
        <x:v>Lite</x:v>
      </x:c>
      <x:c r="G2327" s="21" t="n">
        <x:v>39830</x:v>
      </x:c>
      <x:c r="H2327" s="21" t="n">
        <x:v>3854</x:v>
      </x:c>
      <x:c r="I2327" s="17" t="str">
        <x:v>Correction</x:v>
      </x:c>
    </x:row>
    <x:row r="2328" ht="23" customHeight="1">
      <x:c r="A2328" s="17" t="str">
        <x:v>U02322</x:v>
      </x:c>
      <x:c r="B2328" s="18" t="n">
        <x:v>46280</x:v>
      </x:c>
      <x:c r="C2328" s="17" t="str">
        <x:v>W0180</x:v>
      </x:c>
      <x:c r="D2328" s="17" t="str">
        <x:v>C003</x:v>
      </x:c>
      <x:c r="E2328" s="17" t="str">
        <x:v>InsightDesk</x:v>
      </x:c>
      <x:c r="F2328" s="17" t="str">
        <x:v>Lite</x:v>
      </x:c>
      <x:c r="G2328" s="21" t="n">
        <x:v>29238</x:v>
      </x:c>
      <x:c r="H2328" s="21" t="n">
        <x:v>9067</x:v>
      </x:c>
      <x:c r="I2328" s="17" t="str">
        <x:v>Followup</x:v>
      </x:c>
    </x:row>
    <x:row r="2329" ht="23" customHeight="1">
      <x:c r="A2329" s="17" t="str">
        <x:v>U02323</x:v>
      </x:c>
      <x:c r="B2329" s="18" t="n">
        <x:v>46280</x:v>
      </x:c>
      <x:c r="C2329" s="17" t="str">
        <x:v>W0180</x:v>
      </x:c>
      <x:c r="D2329" s="17" t="str">
        <x:v>C003</x:v>
      </x:c>
      <x:c r="E2329" s="17" t="str">
        <x:v>InsightDesk</x:v>
      </x:c>
      <x:c r="F2329" s="17" t="str">
        <x:v>Lite</x:v>
      </x:c>
      <x:c r="G2329" s="21" t="n">
        <x:v>42723</x:v>
      </x:c>
      <x:c r="H2329" s="21" t="n">
        <x:v>8954</x:v>
      </x:c>
      <x:c r="I2329" s="17" t="str">
        <x:v>Followup</x:v>
      </x:c>
    </x:row>
    <x:row r="2330" ht="23" customHeight="1">
      <x:c r="A2330" s="17" t="str">
        <x:v>U02324</x:v>
      </x:c>
      <x:c r="B2330" s="18" t="n">
        <x:v>46280</x:v>
      </x:c>
      <x:c r="C2330" s="17" t="str">
        <x:v>W0180</x:v>
      </x:c>
      <x:c r="D2330" s="17" t="str">
        <x:v>C003</x:v>
      </x:c>
      <x:c r="E2330" s="17" t="str">
        <x:v>InsightDesk</x:v>
      </x:c>
      <x:c r="F2330" s="17" t="str">
        <x:v>Lite</x:v>
      </x:c>
      <x:c r="G2330" s="21" t="n">
        <x:v>35233</x:v>
      </x:c>
      <x:c r="H2330" s="21" t="n">
        <x:v>8810</x:v>
      </x:c>
      <x:c r="I2330" s="17" t="str">
        <x:v>Followup</x:v>
      </x:c>
    </x:row>
    <x:row r="2331" ht="23" customHeight="1">
      <x:c r="A2331" s="17" t="str">
        <x:v>U02325</x:v>
      </x:c>
      <x:c r="B2331" s="18" t="n">
        <x:v>46281</x:v>
      </x:c>
      <x:c r="C2331" s="17" t="str">
        <x:v>W0180</x:v>
      </x:c>
      <x:c r="D2331" s="17" t="str">
        <x:v>C003</x:v>
      </x:c>
      <x:c r="E2331" s="17" t="str">
        <x:v>InsightDesk</x:v>
      </x:c>
      <x:c r="F2331" s="17" t="str">
        <x:v>Lite</x:v>
      </x:c>
      <x:c r="G2331" s="21" t="n">
        <x:v>35227</x:v>
      </x:c>
      <x:c r="H2331" s="21" t="n">
        <x:v>6556</x:v>
      </x:c>
      <x:c r="I2331" s="17" t="str">
        <x:v>Followup</x:v>
      </x:c>
    </x:row>
    <x:row r="2332" ht="23" customHeight="1">
      <x:c r="A2332" s="17" t="str">
        <x:v>U02326</x:v>
      </x:c>
      <x:c r="B2332" s="18" t="n">
        <x:v>46281</x:v>
      </x:c>
      <x:c r="C2332" s="17" t="str">
        <x:v>W0180</x:v>
      </x:c>
      <x:c r="D2332" s="17" t="str">
        <x:v>C003</x:v>
      </x:c>
      <x:c r="E2332" s="17" t="str">
        <x:v>InsightDesk</x:v>
      </x:c>
      <x:c r="F2332" s="17" t="str">
        <x:v>Lite</x:v>
      </x:c>
      <x:c r="G2332" s="21" t="n">
        <x:v>28195</x:v>
      </x:c>
      <x:c r="H2332" s="21" t="n">
        <x:v>3626</x:v>
      </x:c>
      <x:c r="I2332" s="17" t="str">
        <x:v>Followup</x:v>
      </x:c>
    </x:row>
    <x:row r="2333" ht="23" customHeight="1">
      <x:c r="A2333" s="17" t="str">
        <x:v>U02327</x:v>
      </x:c>
      <x:c r="B2333" s="18" t="n">
        <x:v>46281</x:v>
      </x:c>
      <x:c r="C2333" s="17" t="str">
        <x:v>W0180</x:v>
      </x:c>
      <x:c r="D2333" s="17" t="str">
        <x:v>C003</x:v>
      </x:c>
      <x:c r="E2333" s="17" t="str">
        <x:v>InsightDesk</x:v>
      </x:c>
      <x:c r="F2333" s="17" t="str">
        <x:v>Lite</x:v>
      </x:c>
      <x:c r="G2333" s="21" t="n">
        <x:v>32767</x:v>
      </x:c>
      <x:c r="H2333" s="21" t="n">
        <x:v>10489</x:v>
      </x:c>
      <x:c r="I2333" s="17" t="str">
        <x:v>Followup</x:v>
      </x:c>
    </x:row>
    <x:row r="2334" ht="23" customHeight="1">
      <x:c r="A2334" s="17" t="str">
        <x:v>U02328</x:v>
      </x:c>
      <x:c r="B2334" s="18" t="n">
        <x:v>46281</x:v>
      </x:c>
      <x:c r="C2334" s="17" t="str">
        <x:v>W0180</x:v>
      </x:c>
      <x:c r="D2334" s="17" t="str">
        <x:v>C003</x:v>
      </x:c>
      <x:c r="E2334" s="17" t="str">
        <x:v>InsightDesk</x:v>
      </x:c>
      <x:c r="F2334" s="17" t="str">
        <x:v>Lite</x:v>
      </x:c>
      <x:c r="G2334" s="21" t="n">
        <x:v>32740</x:v>
      </x:c>
      <x:c r="H2334" s="21" t="n">
        <x:v>9619</x:v>
      </x:c>
      <x:c r="I2334" s="17" t="str">
        <x:v>Followup</x:v>
      </x:c>
    </x:row>
    <x:row r="2335" ht="23" customHeight="1">
      <x:c r="A2335" s="17" t="str">
        <x:v>U02329</x:v>
      </x:c>
      <x:c r="B2335" s="18" t="n">
        <x:v>46282</x:v>
      </x:c>
      <x:c r="C2335" s="17" t="str">
        <x:v>W0180</x:v>
      </x:c>
      <x:c r="D2335" s="17" t="str">
        <x:v>C003</x:v>
      </x:c>
      <x:c r="E2335" s="17" t="str">
        <x:v>InsightDesk</x:v>
      </x:c>
      <x:c r="F2335" s="17" t="str">
        <x:v>Lite</x:v>
      </x:c>
      <x:c r="G2335" s="21" t="n">
        <x:v>29419</x:v>
      </x:c>
      <x:c r="H2335" s="21" t="n">
        <x:v>8000</x:v>
      </x:c>
      <x:c r="I2335" s="17" t="str">
        <x:v>Followup</x:v>
      </x:c>
    </x:row>
    <x:row r="2336" ht="23" customHeight="1">
      <x:c r="A2336" s="17" t="str">
        <x:v>U02330</x:v>
      </x:c>
      <x:c r="B2336" s="18" t="n">
        <x:v>46282</x:v>
      </x:c>
      <x:c r="C2336" s="17" t="str">
        <x:v>W0180</x:v>
      </x:c>
      <x:c r="D2336" s="17" t="str">
        <x:v>C003</x:v>
      </x:c>
      <x:c r="E2336" s="17" t="str">
        <x:v>InsightDesk</x:v>
      </x:c>
      <x:c r="F2336" s="17" t="str">
        <x:v>Lite</x:v>
      </x:c>
      <x:c r="G2336" s="21" t="n">
        <x:v>39227</x:v>
      </x:c>
      <x:c r="H2336" s="21" t="n">
        <x:v>4543</x:v>
      </x:c>
      <x:c r="I2336" s="17" t="str">
        <x:v>Followup</x:v>
      </x:c>
    </x:row>
    <x:row r="2337" ht="23" customHeight="1">
      <x:c r="A2337" s="17" t="str">
        <x:v>U02331</x:v>
      </x:c>
      <x:c r="B2337" s="18" t="n">
        <x:v>46282</x:v>
      </x:c>
      <x:c r="C2337" s="17" t="str">
        <x:v>W0180</x:v>
      </x:c>
      <x:c r="D2337" s="17" t="str">
        <x:v>C003</x:v>
      </x:c>
      <x:c r="E2337" s="17" t="str">
        <x:v>InsightDesk</x:v>
      </x:c>
      <x:c r="F2337" s="17" t="str">
        <x:v>Lite</x:v>
      </x:c>
      <x:c r="G2337" s="21" t="n">
        <x:v>38510</x:v>
      </x:c>
      <x:c r="H2337" s="21" t="n">
        <x:v>5738</x:v>
      </x:c>
      <x:c r="I2337" s="17" t="str">
        <x:v>Followup</x:v>
      </x:c>
    </x:row>
    <x:row r="2338" ht="23" customHeight="1">
      <x:c r="A2338" s="17" t="str">
        <x:v>U02332</x:v>
      </x:c>
      <x:c r="B2338" s="18" t="n">
        <x:v>46280</x:v>
      </x:c>
      <x:c r="C2338" s="17" t="str">
        <x:v>W0121</x:v>
      </x:c>
      <x:c r="D2338" s="17" t="str">
        <x:v>C003</x:v>
      </x:c>
      <x:c r="E2338" s="17" t="str">
        <x:v>CampaignChat</x:v>
      </x:c>
      <x:c r="F2338" s="17" t="str">
        <x:v>Pro</x:v>
      </x:c>
      <x:c r="G2338" s="21" t="n">
        <x:v>23090</x:v>
      </x:c>
      <x:c r="H2338" s="21" t="n">
        <x:v>13354</x:v>
      </x:c>
      <x:c r="I2338" s="17" t="str">
        <x:v>First attempt</x:v>
      </x:c>
    </x:row>
    <x:row r="2339" ht="23" customHeight="1">
      <x:c r="A2339" s="17" t="str">
        <x:v>U02333</x:v>
      </x:c>
      <x:c r="B2339" s="18" t="n">
        <x:v>46280</x:v>
      </x:c>
      <x:c r="C2339" s="17" t="str">
        <x:v>W0121</x:v>
      </x:c>
      <x:c r="D2339" s="17" t="str">
        <x:v>C003</x:v>
      </x:c>
      <x:c r="E2339" s="17" t="str">
        <x:v>CampaignChat</x:v>
      </x:c>
      <x:c r="F2339" s="17" t="str">
        <x:v>Pro</x:v>
      </x:c>
      <x:c r="G2339" s="21" t="n">
        <x:v>24737</x:v>
      </x:c>
      <x:c r="H2339" s="21" t="n">
        <x:v>8648</x:v>
      </x:c>
      <x:c r="I2339" s="17" t="str">
        <x:v>Correction</x:v>
      </x:c>
    </x:row>
    <x:row r="2340" ht="23" customHeight="1">
      <x:c r="A2340" s="17" t="str">
        <x:v>U02334</x:v>
      </x:c>
      <x:c r="B2340" s="18" t="n">
        <x:v>46280</x:v>
      </x:c>
      <x:c r="C2340" s="17" t="str">
        <x:v>W0121</x:v>
      </x:c>
      <x:c r="D2340" s="17" t="str">
        <x:v>C003</x:v>
      </x:c>
      <x:c r="E2340" s="17" t="str">
        <x:v>CampaignChat</x:v>
      </x:c>
      <x:c r="F2340" s="17" t="str">
        <x:v>Pro</x:v>
      </x:c>
      <x:c r="G2340" s="21" t="n">
        <x:v>29810</x:v>
      </x:c>
      <x:c r="H2340" s="21" t="n">
        <x:v>6343</x:v>
      </x:c>
      <x:c r="I2340" s="17" t="str">
        <x:v>Followup</x:v>
      </x:c>
    </x:row>
    <x:row r="2341" ht="23" customHeight="1">
      <x:c r="A2341" s="17" t="str">
        <x:v>U02335</x:v>
      </x:c>
      <x:c r="B2341" s="18" t="n">
        <x:v>46280</x:v>
      </x:c>
      <x:c r="C2341" s="17" t="str">
        <x:v>W0121</x:v>
      </x:c>
      <x:c r="D2341" s="17" t="str">
        <x:v>C003</x:v>
      </x:c>
      <x:c r="E2341" s="17" t="str">
        <x:v>CampaignChat</x:v>
      </x:c>
      <x:c r="F2341" s="17" t="str">
        <x:v>Pro</x:v>
      </x:c>
      <x:c r="G2341" s="21" t="n">
        <x:v>24359</x:v>
      </x:c>
      <x:c r="H2341" s="21" t="n">
        <x:v>3832</x:v>
      </x:c>
      <x:c r="I2341" s="17" t="str">
        <x:v>Followup</x:v>
      </x:c>
    </x:row>
    <x:row r="2342" ht="23" customHeight="1">
      <x:c r="A2342" s="17" t="str">
        <x:v>U02336</x:v>
      </x:c>
      <x:c r="B2342" s="18" t="n">
        <x:v>46281</x:v>
      </x:c>
      <x:c r="C2342" s="17" t="str">
        <x:v>W0121</x:v>
      </x:c>
      <x:c r="D2342" s="17" t="str">
        <x:v>C003</x:v>
      </x:c>
      <x:c r="E2342" s="17" t="str">
        <x:v>CampaignChat</x:v>
      </x:c>
      <x:c r="F2342" s="17" t="str">
        <x:v>Pro</x:v>
      </x:c>
      <x:c r="G2342" s="21" t="n">
        <x:v>16674</x:v>
      </x:c>
      <x:c r="H2342" s="21" t="n">
        <x:v>9308</x:v>
      </x:c>
      <x:c r="I2342" s="17" t="str">
        <x:v>Followup</x:v>
      </x:c>
    </x:row>
    <x:row r="2343" ht="23" customHeight="1">
      <x:c r="A2343" s="17" t="str">
        <x:v>U02337</x:v>
      </x:c>
      <x:c r="B2343" s="18" t="n">
        <x:v>46281</x:v>
      </x:c>
      <x:c r="C2343" s="17" t="str">
        <x:v>W0121</x:v>
      </x:c>
      <x:c r="D2343" s="17" t="str">
        <x:v>C003</x:v>
      </x:c>
      <x:c r="E2343" s="17" t="str">
        <x:v>CampaignChat</x:v>
      </x:c>
      <x:c r="F2343" s="17" t="str">
        <x:v>Pro</x:v>
      </x:c>
      <x:c r="G2343" s="21" t="n">
        <x:v>17866</x:v>
      </x:c>
      <x:c r="H2343" s="21" t="n">
        <x:v>9408</x:v>
      </x:c>
      <x:c r="I2343" s="17" t="str">
        <x:v>Correction</x:v>
      </x:c>
    </x:row>
    <x:row r="2344" ht="23" customHeight="1">
      <x:c r="A2344" s="17" t="str">
        <x:v>U02338</x:v>
      </x:c>
      <x:c r="B2344" s="18" t="n">
        <x:v>46281</x:v>
      </x:c>
      <x:c r="C2344" s="17" t="str">
        <x:v>W0121</x:v>
      </x:c>
      <x:c r="D2344" s="17" t="str">
        <x:v>C003</x:v>
      </x:c>
      <x:c r="E2344" s="17" t="str">
        <x:v>CampaignChat</x:v>
      </x:c>
      <x:c r="F2344" s="17" t="str">
        <x:v>Pro</x:v>
      </x:c>
      <x:c r="G2344" s="21" t="n">
        <x:v>25730</x:v>
      </x:c>
      <x:c r="H2344" s="21" t="n">
        <x:v>12542</x:v>
      </x:c>
      <x:c r="I2344" s="17" t="str">
        <x:v>Followup</x:v>
      </x:c>
    </x:row>
    <x:row r="2345" ht="23" customHeight="1">
      <x:c r="A2345" s="17" t="str">
        <x:v>U02339</x:v>
      </x:c>
      <x:c r="B2345" s="18" t="n">
        <x:v>46282</x:v>
      </x:c>
      <x:c r="C2345" s="17" t="str">
        <x:v>W0121</x:v>
      </x:c>
      <x:c r="D2345" s="17" t="str">
        <x:v>C003</x:v>
      </x:c>
      <x:c r="E2345" s="17" t="str">
        <x:v>CampaignChat</x:v>
      </x:c>
      <x:c r="F2345" s="17" t="str">
        <x:v>Pro</x:v>
      </x:c>
      <x:c r="G2345" s="21" t="n">
        <x:v>35382</x:v>
      </x:c>
      <x:c r="H2345" s="21" t="n">
        <x:v>10214</x:v>
      </x:c>
      <x:c r="I2345" s="17" t="str">
        <x:v>Followup</x:v>
      </x:c>
    </x:row>
    <x:row r="2346" ht="23" customHeight="1">
      <x:c r="A2346" s="17" t="str">
        <x:v>U02340</x:v>
      </x:c>
      <x:c r="B2346" s="18" t="n">
        <x:v>46282</x:v>
      </x:c>
      <x:c r="C2346" s="17" t="str">
        <x:v>W0121</x:v>
      </x:c>
      <x:c r="D2346" s="17" t="str">
        <x:v>C003</x:v>
      </x:c>
      <x:c r="E2346" s="17" t="str">
        <x:v>CampaignChat</x:v>
      </x:c>
      <x:c r="F2346" s="17" t="str">
        <x:v>Pro</x:v>
      </x:c>
      <x:c r="G2346" s="21" t="n">
        <x:v>23983</x:v>
      </x:c>
      <x:c r="H2346" s="21" t="n">
        <x:v>13488</x:v>
      </x:c>
      <x:c r="I2346" s="17" t="str">
        <x:v>Followup</x:v>
      </x:c>
    </x:row>
    <x:row r="2347" ht="23" customHeight="1">
      <x:c r="A2347" s="17" t="str">
        <x:v>U02341</x:v>
      </x:c>
      <x:c r="B2347" s="18" t="n">
        <x:v>46282</x:v>
      </x:c>
      <x:c r="C2347" s="17" t="str">
        <x:v>W0121</x:v>
      </x:c>
      <x:c r="D2347" s="17" t="str">
        <x:v>C003</x:v>
      </x:c>
      <x:c r="E2347" s="17" t="str">
        <x:v>CampaignChat</x:v>
      </x:c>
      <x:c r="F2347" s="17" t="str">
        <x:v>Pro</x:v>
      </x:c>
      <x:c r="G2347" s="21" t="n">
        <x:v>21904</x:v>
      </x:c>
      <x:c r="H2347" s="21" t="n">
        <x:v>3915</x:v>
      </x:c>
      <x:c r="I2347" s="17" t="str">
        <x:v>Followup</x:v>
      </x:c>
    </x:row>
    <x:row r="2348" ht="23" customHeight="1">
      <x:c r="A2348" s="17" t="str">
        <x:v>U02342</x:v>
      </x:c>
      <x:c r="B2348" s="18" t="n">
        <x:v>46283</x:v>
      </x:c>
      <x:c r="C2348" s="17" t="str">
        <x:v>W0121</x:v>
      </x:c>
      <x:c r="D2348" s="17" t="str">
        <x:v>C003</x:v>
      </x:c>
      <x:c r="E2348" s="17" t="str">
        <x:v>CampaignChat</x:v>
      </x:c>
      <x:c r="F2348" s="17" t="str">
        <x:v>Pro</x:v>
      </x:c>
      <x:c r="G2348" s="21" t="n">
        <x:v>34482</x:v>
      </x:c>
      <x:c r="H2348" s="21" t="n">
        <x:v>10914</x:v>
      </x:c>
      <x:c r="I2348" s="17" t="str">
        <x:v>Followup</x:v>
      </x:c>
    </x:row>
    <x:row r="2349" ht="23" customHeight="1">
      <x:c r="A2349" s="17" t="str">
        <x:v>U02343</x:v>
      </x:c>
      <x:c r="B2349" s="18" t="n">
        <x:v>46283</x:v>
      </x:c>
      <x:c r="C2349" s="17" t="str">
        <x:v>W0121</x:v>
      </x:c>
      <x:c r="D2349" s="17" t="str">
        <x:v>C003</x:v>
      </x:c>
      <x:c r="E2349" s="17" t="str">
        <x:v>CampaignChat</x:v>
      </x:c>
      <x:c r="F2349" s="17" t="str">
        <x:v>Pro</x:v>
      </x:c>
      <x:c r="G2349" s="21" t="n">
        <x:v>40846</x:v>
      </x:c>
      <x:c r="H2349" s="21" t="n">
        <x:v>8065</x:v>
      </x:c>
      <x:c r="I2349" s="17" t="str">
        <x:v>Correction</x:v>
      </x:c>
    </x:row>
    <x:row r="2350" ht="23" customHeight="1">
      <x:c r="A2350" s="17" t="str">
        <x:v>U02344</x:v>
      </x:c>
      <x:c r="B2350" s="18" t="n">
        <x:v>46283</x:v>
      </x:c>
      <x:c r="C2350" s="17" t="str">
        <x:v>W0121</x:v>
      </x:c>
      <x:c r="D2350" s="17" t="str">
        <x:v>C003</x:v>
      </x:c>
      <x:c r="E2350" s="17" t="str">
        <x:v>CampaignChat</x:v>
      </x:c>
      <x:c r="F2350" s="17" t="str">
        <x:v>Pro</x:v>
      </x:c>
      <x:c r="G2350" s="21" t="n">
        <x:v>29851</x:v>
      </x:c>
      <x:c r="H2350" s="21" t="n">
        <x:v>11650</x:v>
      </x:c>
      <x:c r="I2350" s="17" t="str">
        <x:v>Followup</x:v>
      </x:c>
    </x:row>
    <x:row r="2351" ht="23" customHeight="1">
      <x:c r="A2351" s="17" t="str">
        <x:v>U02345</x:v>
      </x:c>
      <x:c r="B2351" s="18" t="n">
        <x:v>46288</x:v>
      </x:c>
      <x:c r="C2351" s="17" t="str">
        <x:v>W0127</x:v>
      </x:c>
      <x:c r="D2351" s="17" t="str">
        <x:v>C003</x:v>
      </x:c>
      <x:c r="E2351" s="17" t="str">
        <x:v>CopyStudio</x:v>
      </x:c>
      <x:c r="F2351" s="17" t="str">
        <x:v>Pro</x:v>
      </x:c>
      <x:c r="G2351" s="21" t="n">
        <x:v>11504</x:v>
      </x:c>
      <x:c r="H2351" s="21" t="n">
        <x:v>3760</x:v>
      </x:c>
      <x:c r="I2351" s="17" t="str">
        <x:v>First attempt</x:v>
      </x:c>
    </x:row>
    <x:row r="2352" ht="23" customHeight="1">
      <x:c r="A2352" s="17" t="str">
        <x:v>U02346</x:v>
      </x:c>
      <x:c r="B2352" s="18" t="n">
        <x:v>46288</x:v>
      </x:c>
      <x:c r="C2352" s="17" t="str">
        <x:v>W0127</x:v>
      </x:c>
      <x:c r="D2352" s="17" t="str">
        <x:v>C003</x:v>
      </x:c>
      <x:c r="E2352" s="17" t="str">
        <x:v>CopyStudio</x:v>
      </x:c>
      <x:c r="F2352" s="17" t="str">
        <x:v>Pro</x:v>
      </x:c>
      <x:c r="G2352" s="21" t="n">
        <x:v>11340</x:v>
      </x:c>
      <x:c r="H2352" s="21" t="n">
        <x:v>6737</x:v>
      </x:c>
      <x:c r="I2352" s="17" t="str">
        <x:v>Correction</x:v>
      </x:c>
    </x:row>
    <x:row r="2353" ht="23" customHeight="1">
      <x:c r="A2353" s="17" t="str">
        <x:v>U02347</x:v>
      </x:c>
      <x:c r="B2353" s="18" t="n">
        <x:v>46288</x:v>
      </x:c>
      <x:c r="C2353" s="17" t="str">
        <x:v>W0127</x:v>
      </x:c>
      <x:c r="D2353" s="17" t="str">
        <x:v>C003</x:v>
      </x:c>
      <x:c r="E2353" s="17" t="str">
        <x:v>CopyStudio</x:v>
      </x:c>
      <x:c r="F2353" s="17" t="str">
        <x:v>Pro</x:v>
      </x:c>
      <x:c r="G2353" s="21" t="n">
        <x:v>27224</x:v>
      </x:c>
      <x:c r="H2353" s="21" t="n">
        <x:v>6841</x:v>
      </x:c>
      <x:c r="I2353" s="17" t="str">
        <x:v>Followup</x:v>
      </x:c>
    </x:row>
    <x:row r="2354" ht="23" customHeight="1">
      <x:c r="A2354" s="17" t="str">
        <x:v>U02348</x:v>
      </x:c>
      <x:c r="B2354" s="18" t="n">
        <x:v>46289</x:v>
      </x:c>
      <x:c r="C2354" s="17" t="str">
        <x:v>W0127</x:v>
      </x:c>
      <x:c r="D2354" s="17" t="str">
        <x:v>C003</x:v>
      </x:c>
      <x:c r="E2354" s="17" t="str">
        <x:v>CopyStudio</x:v>
      </x:c>
      <x:c r="F2354" s="17" t="str">
        <x:v>Pro</x:v>
      </x:c>
      <x:c r="G2354" s="21" t="n">
        <x:v>22538</x:v>
      </x:c>
      <x:c r="H2354" s="21" t="n">
        <x:v>2805</x:v>
      </x:c>
      <x:c r="I2354" s="17" t="str">
        <x:v>Followup</x:v>
      </x:c>
    </x:row>
    <x:row r="2355" ht="23" customHeight="1">
      <x:c r="A2355" s="17" t="str">
        <x:v>U02349</x:v>
      </x:c>
      <x:c r="B2355" s="18" t="n">
        <x:v>46289</x:v>
      </x:c>
      <x:c r="C2355" s="17" t="str">
        <x:v>W0127</x:v>
      </x:c>
      <x:c r="D2355" s="17" t="str">
        <x:v>C003</x:v>
      </x:c>
      <x:c r="E2355" s="17" t="str">
        <x:v>CopyStudio</x:v>
      </x:c>
      <x:c r="F2355" s="17" t="str">
        <x:v>Pro</x:v>
      </x:c>
      <x:c r="G2355" s="21" t="n">
        <x:v>24552</x:v>
      </x:c>
      <x:c r="H2355" s="21" t="n">
        <x:v>4679</x:v>
      </x:c>
      <x:c r="I2355" s="17" t="str">
        <x:v>Followup</x:v>
      </x:c>
    </x:row>
    <x:row r="2356" ht="23" customHeight="1">
      <x:c r="A2356" s="17" t="str">
        <x:v>U02350</x:v>
      </x:c>
      <x:c r="B2356" s="18" t="n">
        <x:v>46289</x:v>
      </x:c>
      <x:c r="C2356" s="17" t="str">
        <x:v>W0127</x:v>
      </x:c>
      <x:c r="D2356" s="17" t="str">
        <x:v>C003</x:v>
      </x:c>
      <x:c r="E2356" s="17" t="str">
        <x:v>CopyStudio</x:v>
      </x:c>
      <x:c r="F2356" s="17" t="str">
        <x:v>Pro</x:v>
      </x:c>
      <x:c r="G2356" s="21" t="n">
        <x:v>17617</x:v>
      </x:c>
      <x:c r="H2356" s="21" t="n">
        <x:v>6994</x:v>
      </x:c>
      <x:c r="I2356" s="17" t="str">
        <x:v>Followup</x:v>
      </x:c>
    </x:row>
    <x:row r="2357" ht="23" customHeight="1">
      <x:c r="A2357" s="17" t="str">
        <x:v>U02351</x:v>
      </x:c>
      <x:c r="B2357" s="18" t="n">
        <x:v>46290</x:v>
      </x:c>
      <x:c r="C2357" s="17" t="str">
        <x:v>W0127</x:v>
      </x:c>
      <x:c r="D2357" s="17" t="str">
        <x:v>C003</x:v>
      </x:c>
      <x:c r="E2357" s="17" t="str">
        <x:v>CopyStudio</x:v>
      </x:c>
      <x:c r="F2357" s="17" t="str">
        <x:v>Pro</x:v>
      </x:c>
      <x:c r="G2357" s="21" t="n">
        <x:v>20183</x:v>
      </x:c>
      <x:c r="H2357" s="21" t="n">
        <x:v>3669</x:v>
      </x:c>
      <x:c r="I2357" s="17" t="str">
        <x:v>Followup</x:v>
      </x:c>
    </x:row>
    <x:row r="2358" ht="23" customHeight="1">
      <x:c r="A2358" s="17" t="str">
        <x:v>U02352</x:v>
      </x:c>
      <x:c r="B2358" s="18" t="n">
        <x:v>46290</x:v>
      </x:c>
      <x:c r="C2358" s="17" t="str">
        <x:v>W0127</x:v>
      </x:c>
      <x:c r="D2358" s="17" t="str">
        <x:v>C003</x:v>
      </x:c>
      <x:c r="E2358" s="17" t="str">
        <x:v>CopyStudio</x:v>
      </x:c>
      <x:c r="F2358" s="17" t="str">
        <x:v>Pro</x:v>
      </x:c>
      <x:c r="G2358" s="21" t="n">
        <x:v>22246</x:v>
      </x:c>
      <x:c r="H2358" s="21" t="n">
        <x:v>5015</x:v>
      </x:c>
      <x:c r="I2358" s="17" t="str">
        <x:v>Followup</x:v>
      </x:c>
    </x:row>
    <x:row r="2359" ht="23" customHeight="1">
      <x:c r="A2359" s="17" t="str">
        <x:v>U02353</x:v>
      </x:c>
      <x:c r="B2359" s="18" t="n">
        <x:v>46290</x:v>
      </x:c>
      <x:c r="C2359" s="17" t="str">
        <x:v>W0127</x:v>
      </x:c>
      <x:c r="D2359" s="17" t="str">
        <x:v>C003</x:v>
      </x:c>
      <x:c r="E2359" s="17" t="str">
        <x:v>CopyStudio</x:v>
      </x:c>
      <x:c r="F2359" s="17" t="str">
        <x:v>Pro</x:v>
      </x:c>
      <x:c r="G2359" s="21" t="n">
        <x:v>26949</x:v>
      </x:c>
      <x:c r="H2359" s="21" t="n">
        <x:v>6111</x:v>
      </x:c>
      <x:c r="I2359" s="17" t="str">
        <x:v>Correction</x:v>
      </x:c>
    </x:row>
    <x:row r="2360" ht="23" customHeight="1">
      <x:c r="A2360" s="17" t="str">
        <x:v>U02354</x:v>
      </x:c>
      <x:c r="B2360" s="18" t="n">
        <x:v>46293</x:v>
      </x:c>
      <x:c r="C2360" s="17" t="str">
        <x:v>W0127</x:v>
      </x:c>
      <x:c r="D2360" s="17" t="str">
        <x:v>C003</x:v>
      </x:c>
      <x:c r="E2360" s="17" t="str">
        <x:v>CopyStudio</x:v>
      </x:c>
      <x:c r="F2360" s="17" t="str">
        <x:v>Pro</x:v>
      </x:c>
      <x:c r="G2360" s="21" t="n">
        <x:v>20345</x:v>
      </x:c>
      <x:c r="H2360" s="21" t="n">
        <x:v>7110</x:v>
      </x:c>
      <x:c r="I2360" s="17" t="str">
        <x:v>Followup</x:v>
      </x:c>
    </x:row>
    <x:row r="2361" ht="23" customHeight="1">
      <x:c r="A2361" s="17" t="str">
        <x:v>U02355</x:v>
      </x:c>
      <x:c r="B2361" s="18" t="n">
        <x:v>46293</x:v>
      </x:c>
      <x:c r="C2361" s="17" t="str">
        <x:v>W0127</x:v>
      </x:c>
      <x:c r="D2361" s="17" t="str">
        <x:v>C003</x:v>
      </x:c>
      <x:c r="E2361" s="17" t="str">
        <x:v>CopyStudio</x:v>
      </x:c>
      <x:c r="F2361" s="17" t="str">
        <x:v>Pro</x:v>
      </x:c>
      <x:c r="G2361" s="21" t="n">
        <x:v>27327</x:v>
      </x:c>
      <x:c r="H2361" s="21" t="n">
        <x:v>9801</x:v>
      </x:c>
      <x:c r="I2361" s="17" t="str">
        <x:v>Followup</x:v>
      </x:c>
    </x:row>
    <x:row r="2362" ht="23" customHeight="1">
      <x:c r="A2362" s="17" t="str">
        <x:v>U02356</x:v>
      </x:c>
      <x:c r="B2362" s="18" t="n">
        <x:v>46276</x:v>
      </x:c>
      <x:c r="C2362" s="17" t="str">
        <x:v>W0131</x:v>
      </x:c>
      <x:c r="D2362" s="17" t="str">
        <x:v>C003</x:v>
      </x:c>
      <x:c r="E2362" s="17" t="str">
        <x:v>DataFlow</x:v>
      </x:c>
      <x:c r="F2362" s="17" t="str">
        <x:v>Pro</x:v>
      </x:c>
      <x:c r="G2362" s="21" t="n">
        <x:v>30796</x:v>
      </x:c>
      <x:c r="H2362" s="21" t="n">
        <x:v>5270</x:v>
      </x:c>
      <x:c r="I2362" s="17" t="str">
        <x:v>First attempt</x:v>
      </x:c>
    </x:row>
    <x:row r="2363" ht="23" customHeight="1">
      <x:c r="A2363" s="17" t="str">
        <x:v>U02357</x:v>
      </x:c>
      <x:c r="B2363" s="18" t="n">
        <x:v>46276</x:v>
      </x:c>
      <x:c r="C2363" s="17" t="str">
        <x:v>W0131</x:v>
      </x:c>
      <x:c r="D2363" s="17" t="str">
        <x:v>C003</x:v>
      </x:c>
      <x:c r="E2363" s="17" t="str">
        <x:v>DataFlow</x:v>
      </x:c>
      <x:c r="F2363" s="17" t="str">
        <x:v>Pro</x:v>
      </x:c>
      <x:c r="G2363" s="21" t="n">
        <x:v>27138</x:v>
      </x:c>
      <x:c r="H2363" s="21" t="n">
        <x:v>6919</x:v>
      </x:c>
      <x:c r="I2363" s="17" t="str">
        <x:v>Correction</x:v>
      </x:c>
    </x:row>
    <x:row r="2364" ht="23" customHeight="1">
      <x:c r="A2364" s="17" t="str">
        <x:v>U02358</x:v>
      </x:c>
      <x:c r="B2364" s="18" t="n">
        <x:v>46276</x:v>
      </x:c>
      <x:c r="C2364" s="17" t="str">
        <x:v>W0131</x:v>
      </x:c>
      <x:c r="D2364" s="17" t="str">
        <x:v>C003</x:v>
      </x:c>
      <x:c r="E2364" s="17" t="str">
        <x:v>DataFlow</x:v>
      </x:c>
      <x:c r="F2364" s="17" t="str">
        <x:v>Pro</x:v>
      </x:c>
      <x:c r="G2364" s="21" t="n">
        <x:v>12884</x:v>
      </x:c>
      <x:c r="H2364" s="21" t="n">
        <x:v>10033</x:v>
      </x:c>
      <x:c r="I2364" s="17" t="str">
        <x:v>Followup</x:v>
      </x:c>
    </x:row>
    <x:row r="2365" ht="23" customHeight="1">
      <x:c r="A2365" s="17" t="str">
        <x:v>U02359</x:v>
      </x:c>
      <x:c r="B2365" s="18" t="n">
        <x:v>46279</x:v>
      </x:c>
      <x:c r="C2365" s="17" t="str">
        <x:v>W0131</x:v>
      </x:c>
      <x:c r="D2365" s="17" t="str">
        <x:v>C003</x:v>
      </x:c>
      <x:c r="E2365" s="17" t="str">
        <x:v>DataFlow</x:v>
      </x:c>
      <x:c r="F2365" s="17" t="str">
        <x:v>Pro</x:v>
      </x:c>
      <x:c r="G2365" s="21" t="n">
        <x:v>16061</x:v>
      </x:c>
      <x:c r="H2365" s="21" t="n">
        <x:v>4404</x:v>
      </x:c>
      <x:c r="I2365" s="17" t="str">
        <x:v>Correction</x:v>
      </x:c>
    </x:row>
    <x:row r="2366" ht="23" customHeight="1">
      <x:c r="A2366" s="17" t="str">
        <x:v>U02360</x:v>
      </x:c>
      <x:c r="B2366" s="18" t="n">
        <x:v>46279</x:v>
      </x:c>
      <x:c r="C2366" s="17" t="str">
        <x:v>W0131</x:v>
      </x:c>
      <x:c r="D2366" s="17" t="str">
        <x:v>C003</x:v>
      </x:c>
      <x:c r="E2366" s="17" t="str">
        <x:v>DataFlow</x:v>
      </x:c>
      <x:c r="F2366" s="17" t="str">
        <x:v>Pro</x:v>
      </x:c>
      <x:c r="G2366" s="21" t="n">
        <x:v>28038</x:v>
      </x:c>
      <x:c r="H2366" s="21" t="n">
        <x:v>7107</x:v>
      </x:c>
      <x:c r="I2366" s="17" t="str">
        <x:v>Correction</x:v>
      </x:c>
    </x:row>
    <x:row r="2367" ht="23" customHeight="1">
      <x:c r="A2367" s="17" t="str">
        <x:v>U02361</x:v>
      </x:c>
      <x:c r="B2367" s="18" t="n">
        <x:v>46280</x:v>
      </x:c>
      <x:c r="C2367" s="17" t="str">
        <x:v>W0131</x:v>
      </x:c>
      <x:c r="D2367" s="17" t="str">
        <x:v>C003</x:v>
      </x:c>
      <x:c r="E2367" s="17" t="str">
        <x:v>DataFlow</x:v>
      </x:c>
      <x:c r="F2367" s="17" t="str">
        <x:v>Pro</x:v>
      </x:c>
      <x:c r="G2367" s="21" t="n">
        <x:v>26072</x:v>
      </x:c>
      <x:c r="H2367" s="21" t="n">
        <x:v>3335</x:v>
      </x:c>
      <x:c r="I2367" s="17" t="str">
        <x:v>Followup</x:v>
      </x:c>
    </x:row>
    <x:row r="2368" ht="23" customHeight="1">
      <x:c r="A2368" s="17" t="str">
        <x:v>U02362</x:v>
      </x:c>
      <x:c r="B2368" s="18" t="n">
        <x:v>46280</x:v>
      </x:c>
      <x:c r="C2368" s="17" t="str">
        <x:v>W0131</x:v>
      </x:c>
      <x:c r="D2368" s="17" t="str">
        <x:v>C003</x:v>
      </x:c>
      <x:c r="E2368" s="17" t="str">
        <x:v>DataFlow</x:v>
      </x:c>
      <x:c r="F2368" s="17" t="str">
        <x:v>Pro</x:v>
      </x:c>
      <x:c r="G2368" s="21" t="n">
        <x:v>10995</x:v>
      </x:c>
      <x:c r="H2368" s="21" t="n">
        <x:v>8808</x:v>
      </x:c>
      <x:c r="I2368" s="17" t="str">
        <x:v>Followup</x:v>
      </x:c>
    </x:row>
    <x:row r="2369" ht="23" customHeight="1">
      <x:c r="A2369" s="17" t="str">
        <x:v>U02363</x:v>
      </x:c>
      <x:c r="B2369" s="18" t="n">
        <x:v>46281</x:v>
      </x:c>
      <x:c r="C2369" s="17" t="str">
        <x:v>W0131</x:v>
      </x:c>
      <x:c r="D2369" s="17" t="str">
        <x:v>C003</x:v>
      </x:c>
      <x:c r="E2369" s="17" t="str">
        <x:v>DataFlow</x:v>
      </x:c>
      <x:c r="F2369" s="17" t="str">
        <x:v>Pro</x:v>
      </x:c>
      <x:c r="G2369" s="21" t="n">
        <x:v>21435</x:v>
      </x:c>
      <x:c r="H2369" s="21" t="n">
        <x:v>7949</x:v>
      </x:c>
      <x:c r="I2369" s="17" t="str">
        <x:v>Followup</x:v>
      </x:c>
    </x:row>
    <x:row r="2370" ht="23" customHeight="1">
      <x:c r="A2370" s="17" t="str">
        <x:v>U02364</x:v>
      </x:c>
      <x:c r="B2370" s="18" t="n">
        <x:v>46281</x:v>
      </x:c>
      <x:c r="C2370" s="17" t="str">
        <x:v>W0131</x:v>
      </x:c>
      <x:c r="D2370" s="17" t="str">
        <x:v>C003</x:v>
      </x:c>
      <x:c r="E2370" s="17" t="str">
        <x:v>DataFlow</x:v>
      </x:c>
      <x:c r="F2370" s="17" t="str">
        <x:v>Pro</x:v>
      </x:c>
      <x:c r="G2370" s="21" t="n">
        <x:v>11432</x:v>
      </x:c>
      <x:c r="H2370" s="21" t="n">
        <x:v>9841</x:v>
      </x:c>
      <x:c r="I2370" s="17" t="str">
        <x:v>Followup</x:v>
      </x:c>
    </x:row>
    <x:row r="2371" ht="23" customHeight="1">
      <x:c r="A2371" s="17" t="str">
        <x:v>U02365</x:v>
      </x:c>
      <x:c r="B2371" s="18" t="n">
        <x:v>46287</x:v>
      </x:c>
      <x:c r="C2371" s="17" t="str">
        <x:v>W0132</x:v>
      </x:c>
      <x:c r="D2371" s="17" t="str">
        <x:v>C003</x:v>
      </x:c>
      <x:c r="E2371" s="17" t="str">
        <x:v>DataFlow</x:v>
      </x:c>
      <x:c r="F2371" s="17" t="str">
        <x:v>Pro</x:v>
      </x:c>
      <x:c r="G2371" s="21" t="n">
        <x:v>32440</x:v>
      </x:c>
      <x:c r="H2371" s="21" t="n">
        <x:v>9454</x:v>
      </x:c>
      <x:c r="I2371" s="17" t="str">
        <x:v>First attempt</x:v>
      </x:c>
    </x:row>
    <x:row r="2372" ht="23" customHeight="1">
      <x:c r="A2372" s="17" t="str">
        <x:v>U02366</x:v>
      </x:c>
      <x:c r="B2372" s="18" t="n">
        <x:v>46287</x:v>
      </x:c>
      <x:c r="C2372" s="17" t="str">
        <x:v>W0132</x:v>
      </x:c>
      <x:c r="D2372" s="17" t="str">
        <x:v>C003</x:v>
      </x:c>
      <x:c r="E2372" s="17" t="str">
        <x:v>DataFlow</x:v>
      </x:c>
      <x:c r="F2372" s="17" t="str">
        <x:v>Pro</x:v>
      </x:c>
      <x:c r="G2372" s="21" t="n">
        <x:v>11960</x:v>
      </x:c>
      <x:c r="H2372" s="21" t="n">
        <x:v>4113</x:v>
      </x:c>
      <x:c r="I2372" s="17" t="str">
        <x:v>Followup</x:v>
      </x:c>
    </x:row>
    <x:row r="2373" ht="23" customHeight="1">
      <x:c r="A2373" s="17" t="str">
        <x:v>U02367</x:v>
      </x:c>
      <x:c r="B2373" s="18" t="n">
        <x:v>46287</x:v>
      </x:c>
      <x:c r="C2373" s="17" t="str">
        <x:v>W0132</x:v>
      </x:c>
      <x:c r="D2373" s="17" t="str">
        <x:v>C003</x:v>
      </x:c>
      <x:c r="E2373" s="17" t="str">
        <x:v>DataFlow</x:v>
      </x:c>
      <x:c r="F2373" s="17" t="str">
        <x:v>Pro</x:v>
      </x:c>
      <x:c r="G2373" s="21" t="n">
        <x:v>33590</x:v>
      </x:c>
      <x:c r="H2373" s="21" t="n">
        <x:v>7493</x:v>
      </x:c>
      <x:c r="I2373" s="17" t="str">
        <x:v>Followup</x:v>
      </x:c>
    </x:row>
    <x:row r="2374" ht="23" customHeight="1">
      <x:c r="A2374" s="17" t="str">
        <x:v>U02368</x:v>
      </x:c>
      <x:c r="B2374" s="18" t="n">
        <x:v>46288</x:v>
      </x:c>
      <x:c r="C2374" s="17" t="str">
        <x:v>W0132</x:v>
      </x:c>
      <x:c r="D2374" s="17" t="str">
        <x:v>C003</x:v>
      </x:c>
      <x:c r="E2374" s="17" t="str">
        <x:v>DataFlow</x:v>
      </x:c>
      <x:c r="F2374" s="17" t="str">
        <x:v>Pro</x:v>
      </x:c>
      <x:c r="G2374" s="21" t="n">
        <x:v>14258</x:v>
      </x:c>
      <x:c r="H2374" s="21" t="n">
        <x:v>5307</x:v>
      </x:c>
      <x:c r="I2374" s="17" t="str">
        <x:v>Followup</x:v>
      </x:c>
    </x:row>
    <x:row r="2375" ht="23" customHeight="1">
      <x:c r="A2375" s="17" t="str">
        <x:v>U02369</x:v>
      </x:c>
      <x:c r="B2375" s="18" t="n">
        <x:v>46288</x:v>
      </x:c>
      <x:c r="C2375" s="17" t="str">
        <x:v>W0132</x:v>
      </x:c>
      <x:c r="D2375" s="17" t="str">
        <x:v>C003</x:v>
      </x:c>
      <x:c r="E2375" s="17" t="str">
        <x:v>DataFlow</x:v>
      </x:c>
      <x:c r="F2375" s="17" t="str">
        <x:v>Pro</x:v>
      </x:c>
      <x:c r="G2375" s="21" t="n">
        <x:v>33759</x:v>
      </x:c>
      <x:c r="H2375" s="21" t="n">
        <x:v>12158</x:v>
      </x:c>
      <x:c r="I2375" s="17" t="str">
        <x:v>Followup</x:v>
      </x:c>
    </x:row>
    <x:row r="2376" ht="23" customHeight="1">
      <x:c r="A2376" s="17" t="str">
        <x:v>U02370</x:v>
      </x:c>
      <x:c r="B2376" s="18" t="n">
        <x:v>46288</x:v>
      </x:c>
      <x:c r="C2376" s="17" t="str">
        <x:v>W0132</x:v>
      </x:c>
      <x:c r="D2376" s="17" t="str">
        <x:v>C003</x:v>
      </x:c>
      <x:c r="E2376" s="17" t="str">
        <x:v>DataFlow</x:v>
      </x:c>
      <x:c r="F2376" s="17" t="str">
        <x:v>Pro</x:v>
      </x:c>
      <x:c r="G2376" s="21" t="n">
        <x:v>19270</x:v>
      </x:c>
      <x:c r="H2376" s="21" t="n">
        <x:v>12771</x:v>
      </x:c>
      <x:c r="I2376" s="17" t="str">
        <x:v>Followup</x:v>
      </x:c>
    </x:row>
    <x:row r="2377" ht="23" customHeight="1">
      <x:c r="A2377" s="17" t="str">
        <x:v>U02371</x:v>
      </x:c>
      <x:c r="B2377" s="18" t="n">
        <x:v>46289</x:v>
      </x:c>
      <x:c r="C2377" s="17" t="str">
        <x:v>W0132</x:v>
      </x:c>
      <x:c r="D2377" s="17" t="str">
        <x:v>C003</x:v>
      </x:c>
      <x:c r="E2377" s="17" t="str">
        <x:v>DataFlow</x:v>
      </x:c>
      <x:c r="F2377" s="17" t="str">
        <x:v>Pro</x:v>
      </x:c>
      <x:c r="G2377" s="21" t="n">
        <x:v>26633</x:v>
      </x:c>
      <x:c r="H2377" s="21" t="n">
        <x:v>10405</x:v>
      </x:c>
      <x:c r="I2377" s="17" t="str">
        <x:v>Followup</x:v>
      </x:c>
    </x:row>
    <x:row r="2378" ht="23" customHeight="1">
      <x:c r="A2378" s="17" t="str">
        <x:v>U02372</x:v>
      </x:c>
      <x:c r="B2378" s="18" t="n">
        <x:v>46289</x:v>
      </x:c>
      <x:c r="C2378" s="17" t="str">
        <x:v>W0132</x:v>
      </x:c>
      <x:c r="D2378" s="17" t="str">
        <x:v>C003</x:v>
      </x:c>
      <x:c r="E2378" s="17" t="str">
        <x:v>DataFlow</x:v>
      </x:c>
      <x:c r="F2378" s="17" t="str">
        <x:v>Pro</x:v>
      </x:c>
      <x:c r="G2378" s="21" t="n">
        <x:v>21481</x:v>
      </x:c>
      <x:c r="H2378" s="21" t="n">
        <x:v>6668</x:v>
      </x:c>
      <x:c r="I2378" s="17" t="str">
        <x:v>Correction</x:v>
      </x:c>
    </x:row>
    <x:row r="2379" ht="23" customHeight="1">
      <x:c r="A2379" s="17" t="str">
        <x:v>U02373</x:v>
      </x:c>
      <x:c r="B2379" s="18" t="n">
        <x:v>46289</x:v>
      </x:c>
      <x:c r="C2379" s="17" t="str">
        <x:v>W0132</x:v>
      </x:c>
      <x:c r="D2379" s="17" t="str">
        <x:v>C003</x:v>
      </x:c>
      <x:c r="E2379" s="17" t="str">
        <x:v>DataFlow</x:v>
      </x:c>
      <x:c r="F2379" s="17" t="str">
        <x:v>Pro</x:v>
      </x:c>
      <x:c r="G2379" s="21" t="n">
        <x:v>27245</x:v>
      </x:c>
      <x:c r="H2379" s="21" t="n">
        <x:v>14922</x:v>
      </x:c>
      <x:c r="I2379" s="17" t="str">
        <x:v>Followup</x:v>
      </x:c>
    </x:row>
    <x:row r="2380" ht="23" customHeight="1">
      <x:c r="A2380" s="17" t="str">
        <x:v>U02374</x:v>
      </x:c>
      <x:c r="B2380" s="18" t="n">
        <x:v>46290</x:v>
      </x:c>
      <x:c r="C2380" s="17" t="str">
        <x:v>W0132</x:v>
      </x:c>
      <x:c r="D2380" s="17" t="str">
        <x:v>C003</x:v>
      </x:c>
      <x:c r="E2380" s="17" t="str">
        <x:v>DataFlow</x:v>
      </x:c>
      <x:c r="F2380" s="17" t="str">
        <x:v>Pro</x:v>
      </x:c>
      <x:c r="G2380" s="21" t="n">
        <x:v>24102</x:v>
      </x:c>
      <x:c r="H2380" s="21" t="n">
        <x:v>9902</x:v>
      </x:c>
      <x:c r="I2380" s="17" t="str">
        <x:v>Followup</x:v>
      </x:c>
    </x:row>
    <x:row r="2381" ht="23" customHeight="1">
      <x:c r="A2381" s="17" t="str">
        <x:v>U02375</x:v>
      </x:c>
      <x:c r="B2381" s="18" t="n">
        <x:v>46290</x:v>
      </x:c>
      <x:c r="C2381" s="17" t="str">
        <x:v>W0132</x:v>
      </x:c>
      <x:c r="D2381" s="17" t="str">
        <x:v>C003</x:v>
      </x:c>
      <x:c r="E2381" s="17" t="str">
        <x:v>DataFlow</x:v>
      </x:c>
      <x:c r="F2381" s="17" t="str">
        <x:v>Pro</x:v>
      </x:c>
      <x:c r="G2381" s="21" t="n">
        <x:v>12034</x:v>
      </x:c>
      <x:c r="H2381" s="21" t="n">
        <x:v>8329</x:v>
      </x:c>
      <x:c r="I2381" s="17" t="str">
        <x:v>Correction</x:v>
      </x:c>
    </x:row>
    <x:row r="2382" ht="23" customHeight="1">
      <x:c r="A2382" s="17" t="str">
        <x:v>U02376</x:v>
      </x:c>
      <x:c r="B2382" s="18" t="n">
        <x:v>46290</x:v>
      </x:c>
      <x:c r="C2382" s="17" t="str">
        <x:v>W0132</x:v>
      </x:c>
      <x:c r="D2382" s="17" t="str">
        <x:v>C003</x:v>
      </x:c>
      <x:c r="E2382" s="17" t="str">
        <x:v>DataFlow</x:v>
      </x:c>
      <x:c r="F2382" s="17" t="str">
        <x:v>Pro</x:v>
      </x:c>
      <x:c r="G2382" s="21" t="n">
        <x:v>27578</x:v>
      </x:c>
      <x:c r="H2382" s="21" t="n">
        <x:v>10557</x:v>
      </x:c>
      <x:c r="I2382" s="17" t="str">
        <x:v>Followup</x:v>
      </x:c>
    </x:row>
    <x:row r="2383" ht="23" customHeight="1">
      <x:c r="A2383" s="17" t="str">
        <x:v>U02377</x:v>
      </x:c>
      <x:c r="B2383" s="18" t="n">
        <x:v>46268</x:v>
      </x:c>
      <x:c r="C2383" s="17" t="str">
        <x:v>W0138</x:v>
      </x:c>
      <x:c r="D2383" s="17" t="str">
        <x:v>C003</x:v>
      </x:c>
      <x:c r="E2383" s="17" t="str">
        <x:v>CampaignChat</x:v>
      </x:c>
      <x:c r="F2383" s="17" t="str">
        <x:v>Pro</x:v>
      </x:c>
      <x:c r="G2383" s="21" t="n">
        <x:v>17514</x:v>
      </x:c>
      <x:c r="H2383" s="21" t="n">
        <x:v>5114</x:v>
      </x:c>
      <x:c r="I2383" s="17" t="str">
        <x:v>First attempt</x:v>
      </x:c>
    </x:row>
    <x:row r="2384" ht="23" customHeight="1">
      <x:c r="A2384" s="17" t="str">
        <x:v>U02378</x:v>
      </x:c>
      <x:c r="B2384" s="18" t="n">
        <x:v>46268</x:v>
      </x:c>
      <x:c r="C2384" s="17" t="str">
        <x:v>W0138</x:v>
      </x:c>
      <x:c r="D2384" s="17" t="str">
        <x:v>C003</x:v>
      </x:c>
      <x:c r="E2384" s="17" t="str">
        <x:v>CampaignChat</x:v>
      </x:c>
      <x:c r="F2384" s="17" t="str">
        <x:v>Pro</x:v>
      </x:c>
      <x:c r="G2384" s="21" t="n">
        <x:v>7395</x:v>
      </x:c>
      <x:c r="H2384" s="21" t="n">
        <x:v>8147</x:v>
      </x:c>
      <x:c r="I2384" s="17" t="str">
        <x:v>Followup</x:v>
      </x:c>
    </x:row>
    <x:row r="2385" ht="23" customHeight="1">
      <x:c r="A2385" s="17" t="str">
        <x:v>U02379</x:v>
      </x:c>
      <x:c r="B2385" s="18" t="n">
        <x:v>46268</x:v>
      </x:c>
      <x:c r="C2385" s="17" t="str">
        <x:v>W0138</x:v>
      </x:c>
      <x:c r="D2385" s="17" t="str">
        <x:v>C003</x:v>
      </x:c>
      <x:c r="E2385" s="17" t="str">
        <x:v>CampaignChat</x:v>
      </x:c>
      <x:c r="F2385" s="17" t="str">
        <x:v>Pro</x:v>
      </x:c>
      <x:c r="G2385" s="21" t="n">
        <x:v>17012</x:v>
      </x:c>
      <x:c r="H2385" s="21" t="n">
        <x:v>12961</x:v>
      </x:c>
      <x:c r="I2385" s="17" t="str">
        <x:v>Followup</x:v>
      </x:c>
    </x:row>
    <x:row r="2386" ht="23" customHeight="1">
      <x:c r="A2386" s="17" t="str">
        <x:v>U02380</x:v>
      </x:c>
      <x:c r="B2386" s="18" t="n">
        <x:v>46268</x:v>
      </x:c>
      <x:c r="C2386" s="17" t="str">
        <x:v>W0138</x:v>
      </x:c>
      <x:c r="D2386" s="17" t="str">
        <x:v>C003</x:v>
      </x:c>
      <x:c r="E2386" s="17" t="str">
        <x:v>CampaignChat</x:v>
      </x:c>
      <x:c r="F2386" s="17" t="str">
        <x:v>Pro</x:v>
      </x:c>
      <x:c r="G2386" s="21" t="n">
        <x:v>17307</x:v>
      </x:c>
      <x:c r="H2386" s="21" t="n">
        <x:v>12226</x:v>
      </x:c>
      <x:c r="I2386" s="17" t="str">
        <x:v>Correction</x:v>
      </x:c>
    </x:row>
    <x:row r="2387" ht="23" customHeight="1">
      <x:c r="A2387" s="17" t="str">
        <x:v>U02381</x:v>
      </x:c>
      <x:c r="B2387" s="18" t="n">
        <x:v>46269</x:v>
      </x:c>
      <x:c r="C2387" s="17" t="str">
        <x:v>W0138</x:v>
      </x:c>
      <x:c r="D2387" s="17" t="str">
        <x:v>C003</x:v>
      </x:c>
      <x:c r="E2387" s="17" t="str">
        <x:v>CampaignChat</x:v>
      </x:c>
      <x:c r="F2387" s="17" t="str">
        <x:v>Pro</x:v>
      </x:c>
      <x:c r="G2387" s="21" t="n">
        <x:v>12764</x:v>
      </x:c>
      <x:c r="H2387" s="21" t="n">
        <x:v>12383</x:v>
      </x:c>
      <x:c r="I2387" s="17" t="str">
        <x:v>Followup</x:v>
      </x:c>
    </x:row>
    <x:row r="2388" ht="23" customHeight="1">
      <x:c r="A2388" s="17" t="str">
        <x:v>U02382</x:v>
      </x:c>
      <x:c r="B2388" s="18" t="n">
        <x:v>46269</x:v>
      </x:c>
      <x:c r="C2388" s="17" t="str">
        <x:v>W0138</x:v>
      </x:c>
      <x:c r="D2388" s="17" t="str">
        <x:v>C003</x:v>
      </x:c>
      <x:c r="E2388" s="17" t="str">
        <x:v>CampaignChat</x:v>
      </x:c>
      <x:c r="F2388" s="17" t="str">
        <x:v>Pro</x:v>
      </x:c>
      <x:c r="G2388" s="21" t="n">
        <x:v>17184</x:v>
      </x:c>
      <x:c r="H2388" s="21" t="n">
        <x:v>16186</x:v>
      </x:c>
      <x:c r="I2388" s="17" t="str">
        <x:v>Followup</x:v>
      </x:c>
    </x:row>
    <x:row r="2389" ht="23" customHeight="1">
      <x:c r="A2389" s="17" t="str">
        <x:v>U02383</x:v>
      </x:c>
      <x:c r="B2389" s="18" t="n">
        <x:v>46269</x:v>
      </x:c>
      <x:c r="C2389" s="17" t="str">
        <x:v>W0138</x:v>
      </x:c>
      <x:c r="D2389" s="17" t="str">
        <x:v>C003</x:v>
      </x:c>
      <x:c r="E2389" s="17" t="str">
        <x:v>CampaignChat</x:v>
      </x:c>
      <x:c r="F2389" s="17" t="str">
        <x:v>Pro</x:v>
      </x:c>
      <x:c r="G2389" s="21" t="n">
        <x:v>13368</x:v>
      </x:c>
      <x:c r="H2389" s="21" t="n">
        <x:v>4872</x:v>
      </x:c>
      <x:c r="I2389" s="17" t="str">
        <x:v>Followup</x:v>
      </x:c>
    </x:row>
    <x:row r="2390" ht="23" customHeight="1">
      <x:c r="A2390" s="17" t="str">
        <x:v>U02384</x:v>
      </x:c>
      <x:c r="B2390" s="18" t="n">
        <x:v>46273</x:v>
      </x:c>
      <x:c r="C2390" s="17" t="str">
        <x:v>W0138</x:v>
      </x:c>
      <x:c r="D2390" s="17" t="str">
        <x:v>C003</x:v>
      </x:c>
      <x:c r="E2390" s="17" t="str">
        <x:v>CampaignChat</x:v>
      </x:c>
      <x:c r="F2390" s="17" t="str">
        <x:v>Pro</x:v>
      </x:c>
      <x:c r="G2390" s="21" t="n">
        <x:v>15145</x:v>
      </x:c>
      <x:c r="H2390" s="21" t="n">
        <x:v>15648</x:v>
      </x:c>
      <x:c r="I2390" s="17" t="str">
        <x:v>Followup</x:v>
      </x:c>
    </x:row>
    <x:row r="2391" ht="23" customHeight="1">
      <x:c r="A2391" s="17" t="str">
        <x:v>U02385</x:v>
      </x:c>
      <x:c r="B2391" s="18" t="n">
        <x:v>46273</x:v>
      </x:c>
      <x:c r="C2391" s="17" t="str">
        <x:v>W0138</x:v>
      </x:c>
      <x:c r="D2391" s="17" t="str">
        <x:v>C003</x:v>
      </x:c>
      <x:c r="E2391" s="17" t="str">
        <x:v>CampaignChat</x:v>
      </x:c>
      <x:c r="F2391" s="17" t="str">
        <x:v>Pro</x:v>
      </x:c>
      <x:c r="G2391" s="21" t="n">
        <x:v>15245</x:v>
      </x:c>
      <x:c r="H2391" s="21" t="n">
        <x:v>5564</x:v>
      </x:c>
      <x:c r="I2391" s="17" t="str">
        <x:v>Correction</x:v>
      </x:c>
    </x:row>
    <x:row r="2392" ht="23" customHeight="1">
      <x:c r="A2392" s="17" t="str">
        <x:v>U02386</x:v>
      </x:c>
      <x:c r="B2392" s="18" t="n">
        <x:v>46273</x:v>
      </x:c>
      <x:c r="C2392" s="17" t="str">
        <x:v>W0138</x:v>
      </x:c>
      <x:c r="D2392" s="17" t="str">
        <x:v>C003</x:v>
      </x:c>
      <x:c r="E2392" s="17" t="str">
        <x:v>CampaignChat</x:v>
      </x:c>
      <x:c r="F2392" s="17" t="str">
        <x:v>Pro</x:v>
      </x:c>
      <x:c r="G2392" s="21" t="n">
        <x:v>12798</x:v>
      </x:c>
      <x:c r="H2392" s="21" t="n">
        <x:v>11287</x:v>
      </x:c>
      <x:c r="I2392" s="17" t="str">
        <x:v>Followup</x:v>
      </x:c>
    </x:row>
    <x:row r="2393" ht="23" customHeight="1">
      <x:c r="A2393" s="17" t="str">
        <x:v>U02387</x:v>
      </x:c>
      <x:c r="B2393" s="18" t="n">
        <x:v>46274</x:v>
      </x:c>
      <x:c r="C2393" s="17" t="str">
        <x:v>W0138</x:v>
      </x:c>
      <x:c r="D2393" s="17" t="str">
        <x:v>C003</x:v>
      </x:c>
      <x:c r="E2393" s="17" t="str">
        <x:v>CampaignChat</x:v>
      </x:c>
      <x:c r="F2393" s="17" t="str">
        <x:v>Pro</x:v>
      </x:c>
      <x:c r="G2393" s="21" t="n">
        <x:v>18220</x:v>
      </x:c>
      <x:c r="H2393" s="21" t="n">
        <x:v>11392</x:v>
      </x:c>
      <x:c r="I2393" s="17" t="str">
        <x:v>Correction</x:v>
      </x:c>
    </x:row>
    <x:row r="2394" ht="23" customHeight="1">
      <x:c r="A2394" s="17" t="str">
        <x:v>U02388</x:v>
      </x:c>
      <x:c r="B2394" s="18" t="n">
        <x:v>46274</x:v>
      </x:c>
      <x:c r="C2394" s="17" t="str">
        <x:v>W0138</x:v>
      </x:c>
      <x:c r="D2394" s="17" t="str">
        <x:v>C003</x:v>
      </x:c>
      <x:c r="E2394" s="17" t="str">
        <x:v>CampaignChat</x:v>
      </x:c>
      <x:c r="F2394" s="17" t="str">
        <x:v>Pro</x:v>
      </x:c>
      <x:c r="G2394" s="21" t="n">
        <x:v>13410</x:v>
      </x:c>
      <x:c r="H2394" s="21" t="n">
        <x:v>8014</x:v>
      </x:c>
      <x:c r="I2394" s="17" t="str">
        <x:v>Followup</x:v>
      </x:c>
    </x:row>
    <x:row r="2395" ht="23" customHeight="1">
      <x:c r="A2395" s="17" t="str">
        <x:v>U02389</x:v>
      </x:c>
      <x:c r="B2395" s="18" t="n">
        <x:v>46274</x:v>
      </x:c>
      <x:c r="C2395" s="17" t="str">
        <x:v>W0138</x:v>
      </x:c>
      <x:c r="D2395" s="17" t="str">
        <x:v>C003</x:v>
      </x:c>
      <x:c r="E2395" s="17" t="str">
        <x:v>CampaignChat</x:v>
      </x:c>
      <x:c r="F2395" s="17" t="str">
        <x:v>Pro</x:v>
      </x:c>
      <x:c r="G2395" s="21" t="n">
        <x:v>11795</x:v>
      </x:c>
      <x:c r="H2395" s="21" t="n">
        <x:v>14162</x:v>
      </x:c>
      <x:c r="I2395" s="17" t="str">
        <x:v>Followup</x:v>
      </x:c>
    </x:row>
    <x:row r="2396" ht="23" customHeight="1">
      <x:c r="A2396" s="17" t="str">
        <x:v>U02390</x:v>
      </x:c>
      <x:c r="B2396" s="18" t="n">
        <x:v>46280</x:v>
      </x:c>
      <x:c r="C2396" s="17" t="str">
        <x:v>W0139</x:v>
      </x:c>
      <x:c r="D2396" s="17" t="str">
        <x:v>C003</x:v>
      </x:c>
      <x:c r="E2396" s="17" t="str">
        <x:v>DataFlow</x:v>
      </x:c>
      <x:c r="F2396" s="17" t="str">
        <x:v>Pro</x:v>
      </x:c>
      <x:c r="G2396" s="21" t="n">
        <x:v>22666</x:v>
      </x:c>
      <x:c r="H2396" s="21" t="n">
        <x:v>12147</x:v>
      </x:c>
      <x:c r="I2396" s="17" t="str">
        <x:v>First attempt</x:v>
      </x:c>
    </x:row>
    <x:row r="2397" ht="23" customHeight="1">
      <x:c r="A2397" s="17" t="str">
        <x:v>U02391</x:v>
      </x:c>
      <x:c r="B2397" s="18" t="n">
        <x:v>46280</x:v>
      </x:c>
      <x:c r="C2397" s="17" t="str">
        <x:v>W0139</x:v>
      </x:c>
      <x:c r="D2397" s="17" t="str">
        <x:v>C003</x:v>
      </x:c>
      <x:c r="E2397" s="17" t="str">
        <x:v>DataFlow</x:v>
      </x:c>
      <x:c r="F2397" s="17" t="str">
        <x:v>Pro</x:v>
      </x:c>
      <x:c r="G2397" s="21" t="n">
        <x:v>15483</x:v>
      </x:c>
      <x:c r="H2397" s="21" t="n">
        <x:v>9333</x:v>
      </x:c>
      <x:c r="I2397" s="17" t="str">
        <x:v>Correction</x:v>
      </x:c>
    </x:row>
    <x:row r="2398" ht="23" customHeight="1">
      <x:c r="A2398" s="17" t="str">
        <x:v>U02392</x:v>
      </x:c>
      <x:c r="B2398" s="18" t="n">
        <x:v>46281</x:v>
      </x:c>
      <x:c r="C2398" s="17" t="str">
        <x:v>W0139</x:v>
      </x:c>
      <x:c r="D2398" s="17" t="str">
        <x:v>C003</x:v>
      </x:c>
      <x:c r="E2398" s="17" t="str">
        <x:v>DataFlow</x:v>
      </x:c>
      <x:c r="F2398" s="17" t="str">
        <x:v>Pro</x:v>
      </x:c>
      <x:c r="G2398" s="21" t="n">
        <x:v>9486</x:v>
      </x:c>
      <x:c r="H2398" s="21" t="n">
        <x:v>12374</x:v>
      </x:c>
      <x:c r="I2398" s="17" t="str">
        <x:v>Followup</x:v>
      </x:c>
    </x:row>
    <x:row r="2399" ht="23" customHeight="1">
      <x:c r="A2399" s="17" t="str">
        <x:v>U02393</x:v>
      </x:c>
      <x:c r="B2399" s="18" t="n">
        <x:v>46281</x:v>
      </x:c>
      <x:c r="C2399" s="17" t="str">
        <x:v>W0139</x:v>
      </x:c>
      <x:c r="D2399" s="17" t="str">
        <x:v>C003</x:v>
      </x:c>
      <x:c r="E2399" s="17" t="str">
        <x:v>DataFlow</x:v>
      </x:c>
      <x:c r="F2399" s="17" t="str">
        <x:v>Pro</x:v>
      </x:c>
      <x:c r="G2399" s="21" t="n">
        <x:v>18054</x:v>
      </x:c>
      <x:c r="H2399" s="21" t="n">
        <x:v>10967</x:v>
      </x:c>
      <x:c r="I2399" s="17" t="str">
        <x:v>Followup</x:v>
      </x:c>
    </x:row>
    <x:row r="2400" ht="23" customHeight="1">
      <x:c r="A2400" s="17" t="str">
        <x:v>U02394</x:v>
      </x:c>
      <x:c r="B2400" s="18" t="n">
        <x:v>46282</x:v>
      </x:c>
      <x:c r="C2400" s="17" t="str">
        <x:v>W0139</x:v>
      </x:c>
      <x:c r="D2400" s="17" t="str">
        <x:v>C003</x:v>
      </x:c>
      <x:c r="E2400" s="17" t="str">
        <x:v>DataFlow</x:v>
      </x:c>
      <x:c r="F2400" s="17" t="str">
        <x:v>Pro</x:v>
      </x:c>
      <x:c r="G2400" s="21" t="n">
        <x:v>15483</x:v>
      </x:c>
      <x:c r="H2400" s="21" t="n">
        <x:v>6863</x:v>
      </x:c>
      <x:c r="I2400" s="17" t="str">
        <x:v>Followup</x:v>
      </x:c>
    </x:row>
    <x:row r="2401" ht="23" customHeight="1">
      <x:c r="A2401" s="17" t="str">
        <x:v>U02395</x:v>
      </x:c>
      <x:c r="B2401" s="18" t="n">
        <x:v>46282</x:v>
      </x:c>
      <x:c r="C2401" s="17" t="str">
        <x:v>W0139</x:v>
      </x:c>
      <x:c r="D2401" s="17" t="str">
        <x:v>C003</x:v>
      </x:c>
      <x:c r="E2401" s="17" t="str">
        <x:v>DataFlow</x:v>
      </x:c>
      <x:c r="F2401" s="17" t="str">
        <x:v>Pro</x:v>
      </x:c>
      <x:c r="G2401" s="21" t="n">
        <x:v>14479</x:v>
      </x:c>
      <x:c r="H2401" s="21" t="n">
        <x:v>4334</x:v>
      </x:c>
      <x:c r="I2401" s="17" t="str">
        <x:v>Followup</x:v>
      </x:c>
    </x:row>
    <x:row r="2402" ht="23" customHeight="1">
      <x:c r="A2402" s="17" t="str">
        <x:v>U02396</x:v>
      </x:c>
      <x:c r="B2402" s="18" t="n">
        <x:v>46283</x:v>
      </x:c>
      <x:c r="C2402" s="17" t="str">
        <x:v>W0139</x:v>
      </x:c>
      <x:c r="D2402" s="17" t="str">
        <x:v>C003</x:v>
      </x:c>
      <x:c r="E2402" s="17" t="str">
        <x:v>DataFlow</x:v>
      </x:c>
      <x:c r="F2402" s="17" t="str">
        <x:v>Pro</x:v>
      </x:c>
      <x:c r="G2402" s="21" t="n">
        <x:v>16856</x:v>
      </x:c>
      <x:c r="H2402" s="21" t="n">
        <x:v>10490</x:v>
      </x:c>
      <x:c r="I2402" s="17" t="str">
        <x:v>Correction</x:v>
      </x:c>
    </x:row>
    <x:row r="2403" ht="23" customHeight="1">
      <x:c r="A2403" s="17" t="str">
        <x:v>U02397</x:v>
      </x:c>
      <x:c r="B2403" s="18" t="n">
        <x:v>46283</x:v>
      </x:c>
      <x:c r="C2403" s="17" t="str">
        <x:v>W0139</x:v>
      </x:c>
      <x:c r="D2403" s="17" t="str">
        <x:v>C003</x:v>
      </x:c>
      <x:c r="E2403" s="17" t="str">
        <x:v>DataFlow</x:v>
      </x:c>
      <x:c r="F2403" s="17" t="str">
        <x:v>Pro</x:v>
      </x:c>
      <x:c r="G2403" s="21" t="n">
        <x:v>13684</x:v>
      </x:c>
      <x:c r="H2403" s="21" t="n">
        <x:v>4727</x:v>
      </x:c>
      <x:c r="I2403" s="17" t="str">
        <x:v>Followup</x:v>
      </x:c>
    </x:row>
    <x:row r="2404" ht="23" customHeight="1">
      <x:c r="A2404" s="17" t="str">
        <x:v>U02398</x:v>
      </x:c>
      <x:c r="B2404" s="18" t="n">
        <x:v>46274</x:v>
      </x:c>
      <x:c r="C2404" s="17" t="str">
        <x:v>W0141</x:v>
      </x:c>
      <x:c r="D2404" s="17" t="str">
        <x:v>C003</x:v>
      </x:c>
      <x:c r="E2404" s="17" t="str">
        <x:v>DataFlow</x:v>
      </x:c>
      <x:c r="F2404" s="17" t="str">
        <x:v>Pro</x:v>
      </x:c>
      <x:c r="G2404" s="21" t="n">
        <x:v>16552</x:v>
      </x:c>
      <x:c r="H2404" s="21" t="n">
        <x:v>5416</x:v>
      </x:c>
      <x:c r="I2404" s="17" t="str">
        <x:v>First attempt</x:v>
      </x:c>
    </x:row>
    <x:row r="2405" ht="23" customHeight="1">
      <x:c r="A2405" s="17" t="str">
        <x:v>U02399</x:v>
      </x:c>
      <x:c r="B2405" s="18" t="n">
        <x:v>46274</x:v>
      </x:c>
      <x:c r="C2405" s="17" t="str">
        <x:v>W0141</x:v>
      </x:c>
      <x:c r="D2405" s="17" t="str">
        <x:v>C003</x:v>
      </x:c>
      <x:c r="E2405" s="17" t="str">
        <x:v>DataFlow</x:v>
      </x:c>
      <x:c r="F2405" s="17" t="str">
        <x:v>Pro</x:v>
      </x:c>
      <x:c r="G2405" s="21" t="n">
        <x:v>24094</x:v>
      </x:c>
      <x:c r="H2405" s="21" t="n">
        <x:v>11886</x:v>
      </x:c>
      <x:c r="I2405" s="17" t="str">
        <x:v>Correction</x:v>
      </x:c>
    </x:row>
    <x:row r="2406" ht="23" customHeight="1">
      <x:c r="A2406" s="17" t="str">
        <x:v>U02400</x:v>
      </x:c>
      <x:c r="B2406" s="18" t="n">
        <x:v>46274</x:v>
      </x:c>
      <x:c r="C2406" s="17" t="str">
        <x:v>W0141</x:v>
      </x:c>
      <x:c r="D2406" s="17" t="str">
        <x:v>C003</x:v>
      </x:c>
      <x:c r="E2406" s="17" t="str">
        <x:v>DataFlow</x:v>
      </x:c>
      <x:c r="F2406" s="17" t="str">
        <x:v>Pro</x:v>
      </x:c>
      <x:c r="G2406" s="21" t="n">
        <x:v>26642</x:v>
      </x:c>
      <x:c r="H2406" s="21" t="n">
        <x:v>10061</x:v>
      </x:c>
      <x:c r="I2406" s="17" t="str">
        <x:v>Followup</x:v>
      </x:c>
    </x:row>
    <x:row r="2407" ht="23" customHeight="1">
      <x:c r="A2407" s="17" t="str">
        <x:v>U02401</x:v>
      </x:c>
      <x:c r="B2407" s="18" t="n">
        <x:v>46275</x:v>
      </x:c>
      <x:c r="C2407" s="17" t="str">
        <x:v>W0141</x:v>
      </x:c>
      <x:c r="D2407" s="17" t="str">
        <x:v>C003</x:v>
      </x:c>
      <x:c r="E2407" s="17" t="str">
        <x:v>DataFlow</x:v>
      </x:c>
      <x:c r="F2407" s="17" t="str">
        <x:v>Pro</x:v>
      </x:c>
      <x:c r="G2407" s="21" t="n">
        <x:v>22335</x:v>
      </x:c>
      <x:c r="H2407" s="21" t="n">
        <x:v>3803</x:v>
      </x:c>
      <x:c r="I2407" s="17" t="str">
        <x:v>Followup</x:v>
      </x:c>
    </x:row>
    <x:row r="2408" ht="23" customHeight="1">
      <x:c r="A2408" s="17" t="str">
        <x:v>U02402</x:v>
      </x:c>
      <x:c r="B2408" s="18" t="n">
        <x:v>46275</x:v>
      </x:c>
      <x:c r="C2408" s="17" t="str">
        <x:v>W0141</x:v>
      </x:c>
      <x:c r="D2408" s="17" t="str">
        <x:v>C003</x:v>
      </x:c>
      <x:c r="E2408" s="17" t="str">
        <x:v>DataFlow</x:v>
      </x:c>
      <x:c r="F2408" s="17" t="str">
        <x:v>Pro</x:v>
      </x:c>
      <x:c r="G2408" s="21" t="n">
        <x:v>25981</x:v>
      </x:c>
      <x:c r="H2408" s="21" t="n">
        <x:v>12823</x:v>
      </x:c>
      <x:c r="I2408" s="17" t="str">
        <x:v>Followup</x:v>
      </x:c>
    </x:row>
    <x:row r="2409" ht="23" customHeight="1">
      <x:c r="A2409" s="17" t="str">
        <x:v>U02403</x:v>
      </x:c>
      <x:c r="B2409" s="18" t="n">
        <x:v>46276</x:v>
      </x:c>
      <x:c r="C2409" s="17" t="str">
        <x:v>W0141</x:v>
      </x:c>
      <x:c r="D2409" s="17" t="str">
        <x:v>C003</x:v>
      </x:c>
      <x:c r="E2409" s="17" t="str">
        <x:v>DataFlow</x:v>
      </x:c>
      <x:c r="F2409" s="17" t="str">
        <x:v>Pro</x:v>
      </x:c>
      <x:c r="G2409" s="21" t="n">
        <x:v>27219</x:v>
      </x:c>
      <x:c r="H2409" s="21" t="n">
        <x:v>6491</x:v>
      </x:c>
      <x:c r="I2409" s="17" t="str">
        <x:v>Followup</x:v>
      </x:c>
    </x:row>
    <x:row r="2410" ht="23" customHeight="1">
      <x:c r="A2410" s="17" t="str">
        <x:v>U02404</x:v>
      </x:c>
      <x:c r="B2410" s="18" t="n">
        <x:v>46276</x:v>
      </x:c>
      <x:c r="C2410" s="17" t="str">
        <x:v>W0141</x:v>
      </x:c>
      <x:c r="D2410" s="17" t="str">
        <x:v>C003</x:v>
      </x:c>
      <x:c r="E2410" s="17" t="str">
        <x:v>DataFlow</x:v>
      </x:c>
      <x:c r="F2410" s="17" t="str">
        <x:v>Pro</x:v>
      </x:c>
      <x:c r="G2410" s="21" t="n">
        <x:v>26621</x:v>
      </x:c>
      <x:c r="H2410" s="21" t="n">
        <x:v>4001</x:v>
      </x:c>
      <x:c r="I2410" s="17" t="str">
        <x:v>Followup</x:v>
      </x:c>
    </x:row>
    <x:row r="2411" ht="23" customHeight="1">
      <x:c r="A2411" s="17" t="str">
        <x:v>U02405</x:v>
      </x:c>
      <x:c r="B2411" s="18" t="n">
        <x:v>46279</x:v>
      </x:c>
      <x:c r="C2411" s="17" t="str">
        <x:v>W0141</x:v>
      </x:c>
      <x:c r="D2411" s="17" t="str">
        <x:v>C003</x:v>
      </x:c>
      <x:c r="E2411" s="17" t="str">
        <x:v>DataFlow</x:v>
      </x:c>
      <x:c r="F2411" s="17" t="str">
        <x:v>Pro</x:v>
      </x:c>
      <x:c r="G2411" s="21" t="n">
        <x:v>11890</x:v>
      </x:c>
      <x:c r="H2411" s="21" t="n">
        <x:v>9344</x:v>
      </x:c>
      <x:c r="I2411" s="17" t="str">
        <x:v>Correction</x:v>
      </x:c>
    </x:row>
    <x:row r="2412" ht="23" customHeight="1">
      <x:c r="A2412" s="17" t="str">
        <x:v>U02406</x:v>
      </x:c>
      <x:c r="B2412" s="18" t="n">
        <x:v>46279</x:v>
      </x:c>
      <x:c r="C2412" s="17" t="str">
        <x:v>W0141</x:v>
      </x:c>
      <x:c r="D2412" s="17" t="str">
        <x:v>C003</x:v>
      </x:c>
      <x:c r="E2412" s="17" t="str">
        <x:v>DataFlow</x:v>
      </x:c>
      <x:c r="F2412" s="17" t="str">
        <x:v>Pro</x:v>
      </x:c>
      <x:c r="G2412" s="21" t="n">
        <x:v>25669</x:v>
      </x:c>
      <x:c r="H2412" s="21" t="n">
        <x:v>9010</x:v>
      </x:c>
      <x:c r="I2412" s="17" t="str">
        <x:v>Followup</x:v>
      </x:c>
    </x:row>
    <x:row r="2413" ht="23" customHeight="1">
      <x:c r="A2413" s="17" t="str">
        <x:v>U02407</x:v>
      </x:c>
      <x:c r="B2413" s="18" t="n">
        <x:v>46288</x:v>
      </x:c>
      <x:c r="C2413" s="17" t="str">
        <x:v>W0145</x:v>
      </x:c>
      <x:c r="D2413" s="17" t="str">
        <x:v>C003</x:v>
      </x:c>
      <x:c r="E2413" s="17" t="str">
        <x:v>CampaignChat</x:v>
      </x:c>
      <x:c r="F2413" s="17" t="str">
        <x:v>Pro</x:v>
      </x:c>
      <x:c r="G2413" s="21" t="n">
        <x:v>8972</x:v>
      </x:c>
      <x:c r="H2413" s="21" t="n">
        <x:v>10711</x:v>
      </x:c>
      <x:c r="I2413" s="17" t="str">
        <x:v>First attempt</x:v>
      </x:c>
    </x:row>
    <x:row r="2414" ht="23" customHeight="1">
      <x:c r="A2414" s="17" t="str">
        <x:v>U02408</x:v>
      </x:c>
      <x:c r="B2414" s="18" t="n">
        <x:v>46288</x:v>
      </x:c>
      <x:c r="C2414" s="17" t="str">
        <x:v>W0145</x:v>
      </x:c>
      <x:c r="D2414" s="17" t="str">
        <x:v>C003</x:v>
      </x:c>
      <x:c r="E2414" s="17" t="str">
        <x:v>CampaignChat</x:v>
      </x:c>
      <x:c r="F2414" s="17" t="str">
        <x:v>Pro</x:v>
      </x:c>
      <x:c r="G2414" s="21" t="n">
        <x:v>21442</x:v>
      </x:c>
      <x:c r="H2414" s="21" t="n">
        <x:v>5471</x:v>
      </x:c>
      <x:c r="I2414" s="17" t="str">
        <x:v>Followup</x:v>
      </x:c>
    </x:row>
    <x:row r="2415" ht="23" customHeight="1">
      <x:c r="A2415" s="17" t="str">
        <x:v>U02409</x:v>
      </x:c>
      <x:c r="B2415" s="18" t="n">
        <x:v>46289</x:v>
      </x:c>
      <x:c r="C2415" s="17" t="str">
        <x:v>W0145</x:v>
      </x:c>
      <x:c r="D2415" s="17" t="str">
        <x:v>C003</x:v>
      </x:c>
      <x:c r="E2415" s="17" t="str">
        <x:v>CampaignChat</x:v>
      </x:c>
      <x:c r="F2415" s="17" t="str">
        <x:v>Pro</x:v>
      </x:c>
      <x:c r="G2415" s="21" t="n">
        <x:v>12045</x:v>
      </x:c>
      <x:c r="H2415" s="21" t="n">
        <x:v>15962</x:v>
      </x:c>
      <x:c r="I2415" s="17" t="str">
        <x:v>Followup</x:v>
      </x:c>
    </x:row>
    <x:row r="2416" ht="23" customHeight="1">
      <x:c r="A2416" s="17" t="str">
        <x:v>U02410</x:v>
      </x:c>
      <x:c r="B2416" s="18" t="n">
        <x:v>46289</x:v>
      </x:c>
      <x:c r="C2416" s="17" t="str">
        <x:v>W0145</x:v>
      </x:c>
      <x:c r="D2416" s="17" t="str">
        <x:v>C003</x:v>
      </x:c>
      <x:c r="E2416" s="17" t="str">
        <x:v>CampaignChat</x:v>
      </x:c>
      <x:c r="F2416" s="17" t="str">
        <x:v>Pro</x:v>
      </x:c>
      <x:c r="G2416" s="21" t="n">
        <x:v>17818</x:v>
      </x:c>
      <x:c r="H2416" s="21" t="n">
        <x:v>10315</x:v>
      </x:c>
      <x:c r="I2416" s="17" t="str">
        <x:v>Correction</x:v>
      </x:c>
    </x:row>
    <x:row r="2417" ht="23" customHeight="1">
      <x:c r="A2417" s="17" t="str">
        <x:v>U02411</x:v>
      </x:c>
      <x:c r="B2417" s="18" t="n">
        <x:v>46290</x:v>
      </x:c>
      <x:c r="C2417" s="17" t="str">
        <x:v>W0145</x:v>
      </x:c>
      <x:c r="D2417" s="17" t="str">
        <x:v>C003</x:v>
      </x:c>
      <x:c r="E2417" s="17" t="str">
        <x:v>CampaignChat</x:v>
      </x:c>
      <x:c r="F2417" s="17" t="str">
        <x:v>Pro</x:v>
      </x:c>
      <x:c r="G2417" s="21" t="n">
        <x:v>15194</x:v>
      </x:c>
      <x:c r="H2417" s="21" t="n">
        <x:v>13761</x:v>
      </x:c>
      <x:c r="I2417" s="17" t="str">
        <x:v>Followup</x:v>
      </x:c>
    </x:row>
    <x:row r="2418" ht="23" customHeight="1">
      <x:c r="A2418" s="17" t="str">
        <x:v>U02412</x:v>
      </x:c>
      <x:c r="B2418" s="18" t="n">
        <x:v>46290</x:v>
      </x:c>
      <x:c r="C2418" s="17" t="str">
        <x:v>W0145</x:v>
      </x:c>
      <x:c r="D2418" s="17" t="str">
        <x:v>C003</x:v>
      </x:c>
      <x:c r="E2418" s="17" t="str">
        <x:v>CampaignChat</x:v>
      </x:c>
      <x:c r="F2418" s="17" t="str">
        <x:v>Pro</x:v>
      </x:c>
      <x:c r="G2418" s="21" t="n">
        <x:v>11177</x:v>
      </x:c>
      <x:c r="H2418" s="21" t="n">
        <x:v>9299</x:v>
      </x:c>
      <x:c r="I2418" s="17" t="str">
        <x:v>Followup</x:v>
      </x:c>
    </x:row>
    <x:row r="2419" ht="23" customHeight="1">
      <x:c r="A2419" s="17" t="str">
        <x:v>U02413</x:v>
      </x:c>
      <x:c r="B2419" s="18" t="n">
        <x:v>46293</x:v>
      </x:c>
      <x:c r="C2419" s="17" t="str">
        <x:v>W0145</x:v>
      </x:c>
      <x:c r="D2419" s="17" t="str">
        <x:v>C003</x:v>
      </x:c>
      <x:c r="E2419" s="17" t="str">
        <x:v>CampaignChat</x:v>
      </x:c>
      <x:c r="F2419" s="17" t="str">
        <x:v>Pro</x:v>
      </x:c>
      <x:c r="G2419" s="21" t="n">
        <x:v>22054</x:v>
      </x:c>
      <x:c r="H2419" s="21" t="n">
        <x:v>9210</x:v>
      </x:c>
      <x:c r="I2419" s="17" t="str">
        <x:v>Followup</x:v>
      </x:c>
    </x:row>
    <x:row r="2420" ht="23" customHeight="1">
      <x:c r="A2420" s="17" t="str">
        <x:v>U02414</x:v>
      </x:c>
      <x:c r="B2420" s="18" t="n">
        <x:v>46293</x:v>
      </x:c>
      <x:c r="C2420" s="17" t="str">
        <x:v>W0145</x:v>
      </x:c>
      <x:c r="D2420" s="17" t="str">
        <x:v>C003</x:v>
      </x:c>
      <x:c r="E2420" s="17" t="str">
        <x:v>CampaignChat</x:v>
      </x:c>
      <x:c r="F2420" s="17" t="str">
        <x:v>Pro</x:v>
      </x:c>
      <x:c r="G2420" s="21" t="n">
        <x:v>21362</x:v>
      </x:c>
      <x:c r="H2420" s="21" t="n">
        <x:v>10580</x:v>
      </x:c>
      <x:c r="I2420" s="17" t="str">
        <x:v>Correction</x:v>
      </x:c>
    </x:row>
    <x:row r="2421" ht="23" customHeight="1">
      <x:c r="A2421" s="17" t="str">
        <x:v>U02415</x:v>
      </x:c>
      <x:c r="B2421" s="18" t="n">
        <x:v>46273</x:v>
      </x:c>
      <x:c r="C2421" s="17" t="str">
        <x:v>W0146</x:v>
      </x:c>
      <x:c r="D2421" s="17" t="str">
        <x:v>C003</x:v>
      </x:c>
      <x:c r="E2421" s="17" t="str">
        <x:v>CampaignChat</x:v>
      </x:c>
      <x:c r="F2421" s="17" t="str">
        <x:v>Pro</x:v>
      </x:c>
      <x:c r="G2421" s="21" t="n">
        <x:v>26356</x:v>
      </x:c>
      <x:c r="H2421" s="21" t="n">
        <x:v>5704</x:v>
      </x:c>
      <x:c r="I2421" s="17" t="str">
        <x:v>First attempt</x:v>
      </x:c>
    </x:row>
    <x:row r="2422" ht="23" customHeight="1">
      <x:c r="A2422" s="17" t="str">
        <x:v>U02416</x:v>
      </x:c>
      <x:c r="B2422" s="18" t="n">
        <x:v>46273</x:v>
      </x:c>
      <x:c r="C2422" s="17" t="str">
        <x:v>W0146</x:v>
      </x:c>
      <x:c r="D2422" s="17" t="str">
        <x:v>C003</x:v>
      </x:c>
      <x:c r="E2422" s="17" t="str">
        <x:v>CampaignChat</x:v>
      </x:c>
      <x:c r="F2422" s="17" t="str">
        <x:v>Pro</x:v>
      </x:c>
      <x:c r="G2422" s="21" t="n">
        <x:v>34141</x:v>
      </x:c>
      <x:c r="H2422" s="21" t="n">
        <x:v>6393</x:v>
      </x:c>
      <x:c r="I2422" s="17" t="str">
        <x:v>Followup</x:v>
      </x:c>
    </x:row>
    <x:row r="2423" ht="23" customHeight="1">
      <x:c r="A2423" s="17" t="str">
        <x:v>U02417</x:v>
      </x:c>
      <x:c r="B2423" s="18" t="n">
        <x:v>46273</x:v>
      </x:c>
      <x:c r="C2423" s="17" t="str">
        <x:v>W0146</x:v>
      </x:c>
      <x:c r="D2423" s="17" t="str">
        <x:v>C003</x:v>
      </x:c>
      <x:c r="E2423" s="17" t="str">
        <x:v>CampaignChat</x:v>
      </x:c>
      <x:c r="F2423" s="17" t="str">
        <x:v>Pro</x:v>
      </x:c>
      <x:c r="G2423" s="21" t="n">
        <x:v>17206</x:v>
      </x:c>
      <x:c r="H2423" s="21" t="n">
        <x:v>7861</x:v>
      </x:c>
      <x:c r="I2423" s="17" t="str">
        <x:v>Followup</x:v>
      </x:c>
    </x:row>
    <x:row r="2424" ht="23" customHeight="1">
      <x:c r="A2424" s="17" t="str">
        <x:v>U02418</x:v>
      </x:c>
      <x:c r="B2424" s="18" t="n">
        <x:v>46274</x:v>
      </x:c>
      <x:c r="C2424" s="17" t="str">
        <x:v>W0146</x:v>
      </x:c>
      <x:c r="D2424" s="17" t="str">
        <x:v>C003</x:v>
      </x:c>
      <x:c r="E2424" s="17" t="str">
        <x:v>CampaignChat</x:v>
      </x:c>
      <x:c r="F2424" s="17" t="str">
        <x:v>Pro</x:v>
      </x:c>
      <x:c r="G2424" s="21" t="n">
        <x:v>29955</x:v>
      </x:c>
      <x:c r="H2424" s="21" t="n">
        <x:v>8599</x:v>
      </x:c>
      <x:c r="I2424" s="17" t="str">
        <x:v>Followup</x:v>
      </x:c>
    </x:row>
    <x:row r="2425" ht="23" customHeight="1">
      <x:c r="A2425" s="17" t="str">
        <x:v>U02419</x:v>
      </x:c>
      <x:c r="B2425" s="18" t="n">
        <x:v>46274</x:v>
      </x:c>
      <x:c r="C2425" s="17" t="str">
        <x:v>W0146</x:v>
      </x:c>
      <x:c r="D2425" s="17" t="str">
        <x:v>C003</x:v>
      </x:c>
      <x:c r="E2425" s="17" t="str">
        <x:v>CampaignChat</x:v>
      </x:c>
      <x:c r="F2425" s="17" t="str">
        <x:v>Pro</x:v>
      </x:c>
      <x:c r="G2425" s="21" t="n">
        <x:v>22144</x:v>
      </x:c>
      <x:c r="H2425" s="21" t="n">
        <x:v>7956</x:v>
      </x:c>
      <x:c r="I2425" s="17" t="str">
        <x:v>Correction</x:v>
      </x:c>
    </x:row>
    <x:row r="2426" ht="23" customHeight="1">
      <x:c r="A2426" s="17" t="str">
        <x:v>U02420</x:v>
      </x:c>
      <x:c r="B2426" s="18" t="n">
        <x:v>46275</x:v>
      </x:c>
      <x:c r="C2426" s="17" t="str">
        <x:v>W0146</x:v>
      </x:c>
      <x:c r="D2426" s="17" t="str">
        <x:v>C003</x:v>
      </x:c>
      <x:c r="E2426" s="17" t="str">
        <x:v>CampaignChat</x:v>
      </x:c>
      <x:c r="F2426" s="17" t="str">
        <x:v>Pro</x:v>
      </x:c>
      <x:c r="G2426" s="21" t="n">
        <x:v>22167</x:v>
      </x:c>
      <x:c r="H2426" s="21" t="n">
        <x:v>5022</x:v>
      </x:c>
      <x:c r="I2426" s="17" t="str">
        <x:v>Followup</x:v>
      </x:c>
    </x:row>
    <x:row r="2427" ht="23" customHeight="1">
      <x:c r="A2427" s="17" t="str">
        <x:v>U02421</x:v>
      </x:c>
      <x:c r="B2427" s="18" t="n">
        <x:v>46275</x:v>
      </x:c>
      <x:c r="C2427" s="17" t="str">
        <x:v>W0146</x:v>
      </x:c>
      <x:c r="D2427" s="17" t="str">
        <x:v>C003</x:v>
      </x:c>
      <x:c r="E2427" s="17" t="str">
        <x:v>CampaignChat</x:v>
      </x:c>
      <x:c r="F2427" s="17" t="str">
        <x:v>Pro</x:v>
      </x:c>
      <x:c r="G2427" s="21" t="n">
        <x:v>36425</x:v>
      </x:c>
      <x:c r="H2427" s="21" t="n">
        <x:v>7770</x:v>
      </x:c>
      <x:c r="I2427" s="17" t="str">
        <x:v>Followup</x:v>
      </x:c>
    </x:row>
    <x:row r="2428" ht="23" customHeight="1">
      <x:c r="A2428" s="17" t="str">
        <x:v>U02422</x:v>
      </x:c>
      <x:c r="B2428" s="18" t="n">
        <x:v>46276</x:v>
      </x:c>
      <x:c r="C2428" s="17" t="str">
        <x:v>W0146</x:v>
      </x:c>
      <x:c r="D2428" s="17" t="str">
        <x:v>C003</x:v>
      </x:c>
      <x:c r="E2428" s="17" t="str">
        <x:v>CampaignChat</x:v>
      </x:c>
      <x:c r="F2428" s="17" t="str">
        <x:v>Pro</x:v>
      </x:c>
      <x:c r="G2428" s="21" t="n">
        <x:v>18313</x:v>
      </x:c>
      <x:c r="H2428" s="21" t="n">
        <x:v>4260</x:v>
      </x:c>
      <x:c r="I2428" s="17" t="str">
        <x:v>Followup</x:v>
      </x:c>
    </x:row>
    <x:row r="2429" ht="23" customHeight="1">
      <x:c r="A2429" s="17" t="str">
        <x:v>U02423</x:v>
      </x:c>
      <x:c r="B2429" s="18" t="n">
        <x:v>46276</x:v>
      </x:c>
      <x:c r="C2429" s="17" t="str">
        <x:v>W0146</x:v>
      </x:c>
      <x:c r="D2429" s="17" t="str">
        <x:v>C003</x:v>
      </x:c>
      <x:c r="E2429" s="17" t="str">
        <x:v>CampaignChat</x:v>
      </x:c>
      <x:c r="F2429" s="17" t="str">
        <x:v>Pro</x:v>
      </x:c>
      <x:c r="G2429" s="21" t="n">
        <x:v>27487</x:v>
      </x:c>
      <x:c r="H2429" s="21" t="n">
        <x:v>8015</x:v>
      </x:c>
      <x:c r="I2429" s="17" t="str">
        <x:v>Followup</x:v>
      </x:c>
    </x:row>
    <x:row r="2430" ht="23" customHeight="1">
      <x:c r="A2430" s="17" t="str">
        <x:v>U02424</x:v>
      </x:c>
      <x:c r="B2430" s="18" t="n">
        <x:v>46281</x:v>
      </x:c>
      <x:c r="C2430" s="17" t="str">
        <x:v>W0152</x:v>
      </x:c>
      <x:c r="D2430" s="17" t="str">
        <x:v>C003</x:v>
      </x:c>
      <x:c r="E2430" s="17" t="str">
        <x:v>CopyStudio</x:v>
      </x:c>
      <x:c r="F2430" s="17" t="str">
        <x:v>Pro</x:v>
      </x:c>
      <x:c r="G2430" s="21" t="n">
        <x:v>20534</x:v>
      </x:c>
      <x:c r="H2430" s="21" t="n">
        <x:v>8762</x:v>
      </x:c>
      <x:c r="I2430" s="17" t="str">
        <x:v>First attempt</x:v>
      </x:c>
    </x:row>
    <x:row r="2431" ht="23" customHeight="1">
      <x:c r="A2431" s="17" t="str">
        <x:v>U02425</x:v>
      </x:c>
      <x:c r="B2431" s="18" t="n">
        <x:v>46281</x:v>
      </x:c>
      <x:c r="C2431" s="17" t="str">
        <x:v>W0152</x:v>
      </x:c>
      <x:c r="D2431" s="17" t="str">
        <x:v>C003</x:v>
      </x:c>
      <x:c r="E2431" s="17" t="str">
        <x:v>CopyStudio</x:v>
      </x:c>
      <x:c r="F2431" s="17" t="str">
        <x:v>Pro</x:v>
      </x:c>
      <x:c r="G2431" s="21" t="n">
        <x:v>38763</x:v>
      </x:c>
      <x:c r="H2431" s="21" t="n">
        <x:v>4683</x:v>
      </x:c>
      <x:c r="I2431" s="17" t="str">
        <x:v>Followup</x:v>
      </x:c>
    </x:row>
    <x:row r="2432" ht="23" customHeight="1">
      <x:c r="A2432" s="17" t="str">
        <x:v>U02426</x:v>
      </x:c>
      <x:c r="B2432" s="18" t="n">
        <x:v>46281</x:v>
      </x:c>
      <x:c r="C2432" s="17" t="str">
        <x:v>W0152</x:v>
      </x:c>
      <x:c r="D2432" s="17" t="str">
        <x:v>C003</x:v>
      </x:c>
      <x:c r="E2432" s="17" t="str">
        <x:v>CopyStudio</x:v>
      </x:c>
      <x:c r="F2432" s="17" t="str">
        <x:v>Pro</x:v>
      </x:c>
      <x:c r="G2432" s="21" t="n">
        <x:v>23686</x:v>
      </x:c>
      <x:c r="H2432" s="21" t="n">
        <x:v>3831</x:v>
      </x:c>
      <x:c r="I2432" s="17" t="str">
        <x:v>Followup</x:v>
      </x:c>
    </x:row>
    <x:row r="2433" ht="23" customHeight="1">
      <x:c r="A2433" s="17" t="str">
        <x:v>U02427</x:v>
      </x:c>
      <x:c r="B2433" s="18" t="n">
        <x:v>46282</x:v>
      </x:c>
      <x:c r="C2433" s="17" t="str">
        <x:v>W0152</x:v>
      </x:c>
      <x:c r="D2433" s="17" t="str">
        <x:v>C003</x:v>
      </x:c>
      <x:c r="E2433" s="17" t="str">
        <x:v>CopyStudio</x:v>
      </x:c>
      <x:c r="F2433" s="17" t="str">
        <x:v>Pro</x:v>
      </x:c>
      <x:c r="G2433" s="21" t="n">
        <x:v>25520</x:v>
      </x:c>
      <x:c r="H2433" s="21" t="n">
        <x:v>9208</x:v>
      </x:c>
      <x:c r="I2433" s="17" t="str">
        <x:v>Followup</x:v>
      </x:c>
    </x:row>
    <x:row r="2434" ht="23" customHeight="1">
      <x:c r="A2434" s="17" t="str">
        <x:v>U02428</x:v>
      </x:c>
      <x:c r="B2434" s="18" t="n">
        <x:v>46282</x:v>
      </x:c>
      <x:c r="C2434" s="17" t="str">
        <x:v>W0152</x:v>
      </x:c>
      <x:c r="D2434" s="17" t="str">
        <x:v>C003</x:v>
      </x:c>
      <x:c r="E2434" s="17" t="str">
        <x:v>CopyStudio</x:v>
      </x:c>
      <x:c r="F2434" s="17" t="str">
        <x:v>Pro</x:v>
      </x:c>
      <x:c r="G2434" s="21" t="n">
        <x:v>14915</x:v>
      </x:c>
      <x:c r="H2434" s="21" t="n">
        <x:v>3752</x:v>
      </x:c>
      <x:c r="I2434" s="17" t="str">
        <x:v>Correction</x:v>
      </x:c>
    </x:row>
    <x:row r="2435" ht="23" customHeight="1">
      <x:c r="A2435" s="17" t="str">
        <x:v>U02429</x:v>
      </x:c>
      <x:c r="B2435" s="18" t="n">
        <x:v>46283</x:v>
      </x:c>
      <x:c r="C2435" s="17" t="str">
        <x:v>W0152</x:v>
      </x:c>
      <x:c r="D2435" s="17" t="str">
        <x:v>C003</x:v>
      </x:c>
      <x:c r="E2435" s="17" t="str">
        <x:v>CopyStudio</x:v>
      </x:c>
      <x:c r="F2435" s="17" t="str">
        <x:v>Pro</x:v>
      </x:c>
      <x:c r="G2435" s="21" t="n">
        <x:v>28011</x:v>
      </x:c>
      <x:c r="H2435" s="21" t="n">
        <x:v>9012</x:v>
      </x:c>
      <x:c r="I2435" s="17" t="str">
        <x:v>Followup</x:v>
      </x:c>
    </x:row>
    <x:row r="2436" ht="23" customHeight="1">
      <x:c r="A2436" s="17" t="str">
        <x:v>U02430</x:v>
      </x:c>
      <x:c r="B2436" s="18" t="n">
        <x:v>46283</x:v>
      </x:c>
      <x:c r="C2436" s="17" t="str">
        <x:v>W0152</x:v>
      </x:c>
      <x:c r="D2436" s="17" t="str">
        <x:v>C003</x:v>
      </x:c>
      <x:c r="E2436" s="17" t="str">
        <x:v>CopyStudio</x:v>
      </x:c>
      <x:c r="F2436" s="17" t="str">
        <x:v>Pro</x:v>
      </x:c>
      <x:c r="G2436" s="21" t="n">
        <x:v>24572</x:v>
      </x:c>
      <x:c r="H2436" s="21" t="n">
        <x:v>7394</x:v>
      </x:c>
      <x:c r="I2436" s="17" t="str">
        <x:v>Followup</x:v>
      </x:c>
    </x:row>
    <x:row r="2437" ht="23" customHeight="1">
      <x:c r="A2437" s="17" t="str">
        <x:v>U02431</x:v>
      </x:c>
      <x:c r="B2437" s="18" t="n">
        <x:v>46283</x:v>
      </x:c>
      <x:c r="C2437" s="17" t="str">
        <x:v>W0152</x:v>
      </x:c>
      <x:c r="D2437" s="17" t="str">
        <x:v>C003</x:v>
      </x:c>
      <x:c r="E2437" s="17" t="str">
        <x:v>CopyStudio</x:v>
      </x:c>
      <x:c r="F2437" s="17" t="str">
        <x:v>Pro</x:v>
      </x:c>
      <x:c r="G2437" s="21" t="n">
        <x:v>16704</x:v>
      </x:c>
      <x:c r="H2437" s="21" t="n">
        <x:v>5970</x:v>
      </x:c>
      <x:c r="I2437" s="17" t="str">
        <x:v>Followup</x:v>
      </x:c>
    </x:row>
    <x:row r="2438" ht="23" customHeight="1">
      <x:c r="A2438" s="17" t="str">
        <x:v>U02432</x:v>
      </x:c>
      <x:c r="B2438" s="18" t="n">
        <x:v>46286</x:v>
      </x:c>
      <x:c r="C2438" s="17" t="str">
        <x:v>W0152</x:v>
      </x:c>
      <x:c r="D2438" s="17" t="str">
        <x:v>C003</x:v>
      </x:c>
      <x:c r="E2438" s="17" t="str">
        <x:v>CopyStudio</x:v>
      </x:c>
      <x:c r="F2438" s="17" t="str">
        <x:v>Pro</x:v>
      </x:c>
      <x:c r="G2438" s="21" t="n">
        <x:v>16137</x:v>
      </x:c>
      <x:c r="H2438" s="21" t="n">
        <x:v>8308</x:v>
      </x:c>
      <x:c r="I2438" s="17" t="str">
        <x:v>Correction</x:v>
      </x:c>
    </x:row>
    <x:row r="2439" ht="23" customHeight="1">
      <x:c r="A2439" s="17" t="str">
        <x:v>U02433</x:v>
      </x:c>
      <x:c r="B2439" s="18" t="n">
        <x:v>46286</x:v>
      </x:c>
      <x:c r="C2439" s="17" t="str">
        <x:v>W0152</x:v>
      </x:c>
      <x:c r="D2439" s="17" t="str">
        <x:v>C003</x:v>
      </x:c>
      <x:c r="E2439" s="17" t="str">
        <x:v>CopyStudio</x:v>
      </x:c>
      <x:c r="F2439" s="17" t="str">
        <x:v>Pro</x:v>
      </x:c>
      <x:c r="G2439" s="21" t="n">
        <x:v>19937</x:v>
      </x:c>
      <x:c r="H2439" s="21" t="n">
        <x:v>7797</x:v>
      </x:c>
      <x:c r="I2439" s="17" t="str">
        <x:v>Followup</x:v>
      </x:c>
    </x:row>
    <x:row r="2440" ht="23" customHeight="1">
      <x:c r="A2440" s="17" t="str">
        <x:v>U02434</x:v>
      </x:c>
      <x:c r="B2440" s="18" t="n">
        <x:v>46283</x:v>
      </x:c>
      <x:c r="C2440" s="17" t="str">
        <x:v>W0160</x:v>
      </x:c>
      <x:c r="D2440" s="17" t="str">
        <x:v>C003</x:v>
      </x:c>
      <x:c r="E2440" s="17" t="str">
        <x:v>CopyStudio</x:v>
      </x:c>
      <x:c r="F2440" s="17" t="str">
        <x:v>Pro</x:v>
      </x:c>
      <x:c r="G2440" s="21" t="n">
        <x:v>17253</x:v>
      </x:c>
      <x:c r="H2440" s="21" t="n">
        <x:v>9028</x:v>
      </x:c>
      <x:c r="I2440" s="17" t="str">
        <x:v>First attempt</x:v>
      </x:c>
    </x:row>
    <x:row r="2441" ht="23" customHeight="1">
      <x:c r="A2441" s="17" t="str">
        <x:v>U02435</x:v>
      </x:c>
      <x:c r="B2441" s="18" t="n">
        <x:v>46283</x:v>
      </x:c>
      <x:c r="C2441" s="17" t="str">
        <x:v>W0160</x:v>
      </x:c>
      <x:c r="D2441" s="17" t="str">
        <x:v>C003</x:v>
      </x:c>
      <x:c r="E2441" s="17" t="str">
        <x:v>CopyStudio</x:v>
      </x:c>
      <x:c r="F2441" s="17" t="str">
        <x:v>Pro</x:v>
      </x:c>
      <x:c r="G2441" s="21" t="n">
        <x:v>16595</x:v>
      </x:c>
      <x:c r="H2441" s="21" t="n">
        <x:v>5086</x:v>
      </x:c>
      <x:c r="I2441" s="17" t="str">
        <x:v>Followup</x:v>
      </x:c>
    </x:row>
    <x:row r="2442" ht="23" customHeight="1">
      <x:c r="A2442" s="17" t="str">
        <x:v>U02436</x:v>
      </x:c>
      <x:c r="B2442" s="18" t="n">
        <x:v>46283</x:v>
      </x:c>
      <x:c r="C2442" s="17" t="str">
        <x:v>W0160</x:v>
      </x:c>
      <x:c r="D2442" s="17" t="str">
        <x:v>C003</x:v>
      </x:c>
      <x:c r="E2442" s="17" t="str">
        <x:v>CopyStudio</x:v>
      </x:c>
      <x:c r="F2442" s="17" t="str">
        <x:v>Pro</x:v>
      </x:c>
      <x:c r="G2442" s="21" t="n">
        <x:v>7964</x:v>
      </x:c>
      <x:c r="H2442" s="21" t="n">
        <x:v>3628</x:v>
      </x:c>
      <x:c r="I2442" s="17" t="str">
        <x:v>Followup</x:v>
      </x:c>
    </x:row>
    <x:row r="2443" ht="23" customHeight="1">
      <x:c r="A2443" s="17" t="str">
        <x:v>U02437</x:v>
      </x:c>
      <x:c r="B2443" s="18" t="n">
        <x:v>46286</x:v>
      </x:c>
      <x:c r="C2443" s="17" t="str">
        <x:v>W0160</x:v>
      </x:c>
      <x:c r="D2443" s="17" t="str">
        <x:v>C003</x:v>
      </x:c>
      <x:c r="E2443" s="17" t="str">
        <x:v>CopyStudio</x:v>
      </x:c>
      <x:c r="F2443" s="17" t="str">
        <x:v>Pro</x:v>
      </x:c>
      <x:c r="G2443" s="21" t="n">
        <x:v>12069</x:v>
      </x:c>
      <x:c r="H2443" s="21" t="n">
        <x:v>3350</x:v>
      </x:c>
      <x:c r="I2443" s="17" t="str">
        <x:v>Followup</x:v>
      </x:c>
    </x:row>
    <x:row r="2444" ht="23" customHeight="1">
      <x:c r="A2444" s="17" t="str">
        <x:v>U02438</x:v>
      </x:c>
      <x:c r="B2444" s="18" t="n">
        <x:v>46286</x:v>
      </x:c>
      <x:c r="C2444" s="17" t="str">
        <x:v>W0160</x:v>
      </x:c>
      <x:c r="D2444" s="17" t="str">
        <x:v>C003</x:v>
      </x:c>
      <x:c r="E2444" s="17" t="str">
        <x:v>CopyStudio</x:v>
      </x:c>
      <x:c r="F2444" s="17" t="str">
        <x:v>Pro</x:v>
      </x:c>
      <x:c r="G2444" s="21" t="n">
        <x:v>10107</x:v>
      </x:c>
      <x:c r="H2444" s="21" t="n">
        <x:v>5667</x:v>
      </x:c>
      <x:c r="I2444" s="17" t="str">
        <x:v>Followup</x:v>
      </x:c>
    </x:row>
    <x:row r="2445" ht="23" customHeight="1">
      <x:c r="A2445" s="17" t="str">
        <x:v>U02439</x:v>
      </x:c>
      <x:c r="B2445" s="18" t="n">
        <x:v>46287</x:v>
      </x:c>
      <x:c r="C2445" s="17" t="str">
        <x:v>W0160</x:v>
      </x:c>
      <x:c r="D2445" s="17" t="str">
        <x:v>C003</x:v>
      </x:c>
      <x:c r="E2445" s="17" t="str">
        <x:v>CopyStudio</x:v>
      </x:c>
      <x:c r="F2445" s="17" t="str">
        <x:v>Pro</x:v>
      </x:c>
      <x:c r="G2445" s="21" t="n">
        <x:v>14382</x:v>
      </x:c>
      <x:c r="H2445" s="21" t="n">
        <x:v>2681</x:v>
      </x:c>
      <x:c r="I2445" s="17" t="str">
        <x:v>Correction</x:v>
      </x:c>
    </x:row>
    <x:row r="2446" ht="23" customHeight="1">
      <x:c r="A2446" s="17" t="str">
        <x:v>U02440</x:v>
      </x:c>
      <x:c r="B2446" s="18" t="n">
        <x:v>46287</x:v>
      </x:c>
      <x:c r="C2446" s="17" t="str">
        <x:v>W0160</x:v>
      </x:c>
      <x:c r="D2446" s="17" t="str">
        <x:v>C003</x:v>
      </x:c>
      <x:c r="E2446" s="17" t="str">
        <x:v>CopyStudio</x:v>
      </x:c>
      <x:c r="F2446" s="17" t="str">
        <x:v>Pro</x:v>
      </x:c>
      <x:c r="G2446" s="21" t="n">
        <x:v>11356</x:v>
      </x:c>
      <x:c r="H2446" s="21" t="n">
        <x:v>9427</x:v>
      </x:c>
      <x:c r="I2446" s="17" t="str">
        <x:v>Followup</x:v>
      </x:c>
    </x:row>
    <x:row r="2447" ht="23" customHeight="1">
      <x:c r="A2447" s="17" t="str">
        <x:v>U02441</x:v>
      </x:c>
      <x:c r="B2447" s="18" t="n">
        <x:v>46288</x:v>
      </x:c>
      <x:c r="C2447" s="17" t="str">
        <x:v>W0160</x:v>
      </x:c>
      <x:c r="D2447" s="17" t="str">
        <x:v>C003</x:v>
      </x:c>
      <x:c r="E2447" s="17" t="str">
        <x:v>CopyStudio</x:v>
      </x:c>
      <x:c r="F2447" s="17" t="str">
        <x:v>Pro</x:v>
      </x:c>
      <x:c r="G2447" s="21" t="n">
        <x:v>9024</x:v>
      </x:c>
      <x:c r="H2447" s="21" t="n">
        <x:v>4085</x:v>
      </x:c>
      <x:c r="I2447" s="17" t="str">
        <x:v>Correction</x:v>
      </x:c>
    </x:row>
    <x:row r="2448" ht="23" customHeight="1">
      <x:c r="A2448" s="17" t="str">
        <x:v>U02442</x:v>
      </x:c>
      <x:c r="B2448" s="18" t="n">
        <x:v>46288</x:v>
      </x:c>
      <x:c r="C2448" s="17" t="str">
        <x:v>W0160</x:v>
      </x:c>
      <x:c r="D2448" s="17" t="str">
        <x:v>C003</x:v>
      </x:c>
      <x:c r="E2448" s="17" t="str">
        <x:v>CopyStudio</x:v>
      </x:c>
      <x:c r="F2448" s="17" t="str">
        <x:v>Pro</x:v>
      </x:c>
      <x:c r="G2448" s="21" t="n">
        <x:v>8656</x:v>
      </x:c>
      <x:c r="H2448" s="21" t="n">
        <x:v>5441</x:v>
      </x:c>
      <x:c r="I2448" s="17" t="str">
        <x:v>Followup</x:v>
      </x:c>
    </x:row>
    <x:row r="2449" ht="23" customHeight="1">
      <x:c r="A2449" s="17" t="str">
        <x:v>U02443</x:v>
      </x:c>
      <x:c r="B2449" s="18" t="n">
        <x:v>46267</x:v>
      </x:c>
      <x:c r="C2449" s="17" t="str">
        <x:v>W0161</x:v>
      </x:c>
      <x:c r="D2449" s="17" t="str">
        <x:v>C003</x:v>
      </x:c>
      <x:c r="E2449" s="17" t="str">
        <x:v>CampaignChat</x:v>
      </x:c>
      <x:c r="F2449" s="17" t="str">
        <x:v>Pro</x:v>
      </x:c>
      <x:c r="G2449" s="21" t="n">
        <x:v>14956</x:v>
      </x:c>
      <x:c r="H2449" s="21" t="n">
        <x:v>8573</x:v>
      </x:c>
      <x:c r="I2449" s="17" t="str">
        <x:v>First attempt</x:v>
      </x:c>
    </x:row>
    <x:row r="2450" ht="23" customHeight="1">
      <x:c r="A2450" s="17" t="str">
        <x:v>U02444</x:v>
      </x:c>
      <x:c r="B2450" s="18" t="n">
        <x:v>46267</x:v>
      </x:c>
      <x:c r="C2450" s="17" t="str">
        <x:v>W0161</x:v>
      </x:c>
      <x:c r="D2450" s="17" t="str">
        <x:v>C003</x:v>
      </x:c>
      <x:c r="E2450" s="17" t="str">
        <x:v>CampaignChat</x:v>
      </x:c>
      <x:c r="F2450" s="17" t="str">
        <x:v>Pro</x:v>
      </x:c>
      <x:c r="G2450" s="21" t="n">
        <x:v>22193</x:v>
      </x:c>
      <x:c r="H2450" s="21" t="n">
        <x:v>5818</x:v>
      </x:c>
      <x:c r="I2450" s="17" t="str">
        <x:v>Followup</x:v>
      </x:c>
    </x:row>
    <x:row r="2451" ht="23" customHeight="1">
      <x:c r="A2451" s="17" t="str">
        <x:v>U02445</x:v>
      </x:c>
      <x:c r="B2451" s="18" t="n">
        <x:v>46267</x:v>
      </x:c>
      <x:c r="C2451" s="17" t="str">
        <x:v>W0161</x:v>
      </x:c>
      <x:c r="D2451" s="17" t="str">
        <x:v>C003</x:v>
      </x:c>
      <x:c r="E2451" s="17" t="str">
        <x:v>CampaignChat</x:v>
      </x:c>
      <x:c r="F2451" s="17" t="str">
        <x:v>Pro</x:v>
      </x:c>
      <x:c r="G2451" s="21" t="n">
        <x:v>19769</x:v>
      </x:c>
      <x:c r="H2451" s="21" t="n">
        <x:v>12080</x:v>
      </x:c>
      <x:c r="I2451" s="17" t="str">
        <x:v>Correction</x:v>
      </x:c>
    </x:row>
    <x:row r="2452" ht="23" customHeight="1">
      <x:c r="A2452" s="17" t="str">
        <x:v>U02446</x:v>
      </x:c>
      <x:c r="B2452" s="18" t="n">
        <x:v>46268</x:v>
      </x:c>
      <x:c r="C2452" s="17" t="str">
        <x:v>W0161</x:v>
      </x:c>
      <x:c r="D2452" s="17" t="str">
        <x:v>C003</x:v>
      </x:c>
      <x:c r="E2452" s="17" t="str">
        <x:v>CampaignChat</x:v>
      </x:c>
      <x:c r="F2452" s="17" t="str">
        <x:v>Pro</x:v>
      </x:c>
      <x:c r="G2452" s="21" t="n">
        <x:v>21840</x:v>
      </x:c>
      <x:c r="H2452" s="21" t="n">
        <x:v>12025</x:v>
      </x:c>
      <x:c r="I2452" s="17" t="str">
        <x:v>Followup</x:v>
      </x:c>
    </x:row>
    <x:row r="2453" ht="23" customHeight="1">
      <x:c r="A2453" s="17" t="str">
        <x:v>U02447</x:v>
      </x:c>
      <x:c r="B2453" s="18" t="n">
        <x:v>46268</x:v>
      </x:c>
      <x:c r="C2453" s="17" t="str">
        <x:v>W0161</x:v>
      </x:c>
      <x:c r="D2453" s="17" t="str">
        <x:v>C003</x:v>
      </x:c>
      <x:c r="E2453" s="17" t="str">
        <x:v>CampaignChat</x:v>
      </x:c>
      <x:c r="F2453" s="17" t="str">
        <x:v>Pro</x:v>
      </x:c>
      <x:c r="G2453" s="21" t="n">
        <x:v>19590</x:v>
      </x:c>
      <x:c r="H2453" s="21" t="n">
        <x:v>5366</x:v>
      </x:c>
      <x:c r="I2453" s="17" t="str">
        <x:v>Followup</x:v>
      </x:c>
    </x:row>
    <x:row r="2454" ht="23" customHeight="1">
      <x:c r="A2454" s="17" t="str">
        <x:v>U02448</x:v>
      </x:c>
      <x:c r="B2454" s="18" t="n">
        <x:v>46269</x:v>
      </x:c>
      <x:c r="C2454" s="17" t="str">
        <x:v>W0161</x:v>
      </x:c>
      <x:c r="D2454" s="17" t="str">
        <x:v>C003</x:v>
      </x:c>
      <x:c r="E2454" s="17" t="str">
        <x:v>CampaignChat</x:v>
      </x:c>
      <x:c r="F2454" s="17" t="str">
        <x:v>Pro</x:v>
      </x:c>
      <x:c r="G2454" s="21" t="n">
        <x:v>20120</x:v>
      </x:c>
      <x:c r="H2454" s="21" t="n">
        <x:v>11920</x:v>
      </x:c>
      <x:c r="I2454" s="17" t="str">
        <x:v>Followup</x:v>
      </x:c>
    </x:row>
    <x:row r="2455" ht="23" customHeight="1">
      <x:c r="A2455" s="17" t="str">
        <x:v>U02449</x:v>
      </x:c>
      <x:c r="B2455" s="18" t="n">
        <x:v>46269</x:v>
      </x:c>
      <x:c r="C2455" s="17" t="str">
        <x:v>W0161</x:v>
      </x:c>
      <x:c r="D2455" s="17" t="str">
        <x:v>C003</x:v>
      </x:c>
      <x:c r="E2455" s="17" t="str">
        <x:v>CampaignChat</x:v>
      </x:c>
      <x:c r="F2455" s="17" t="str">
        <x:v>Pro</x:v>
      </x:c>
      <x:c r="G2455" s="21" t="n">
        <x:v>19539</x:v>
      </x:c>
      <x:c r="H2455" s="21" t="n">
        <x:v>9567</x:v>
      </x:c>
      <x:c r="I2455" s="17" t="str">
        <x:v>Followup</x:v>
      </x:c>
    </x:row>
    <x:row r="2456" ht="23" customHeight="1">
      <x:c r="A2456" s="17" t="str">
        <x:v>U02450</x:v>
      </x:c>
      <x:c r="B2456" s="18" t="n">
        <x:v>46269</x:v>
      </x:c>
      <x:c r="C2456" s="17" t="str">
        <x:v>W0161</x:v>
      </x:c>
      <x:c r="D2456" s="17" t="str">
        <x:v>C003</x:v>
      </x:c>
      <x:c r="E2456" s="17" t="str">
        <x:v>CampaignChat</x:v>
      </x:c>
      <x:c r="F2456" s="17" t="str">
        <x:v>Pro</x:v>
      </x:c>
      <x:c r="G2456" s="21" t="n">
        <x:v>33566</x:v>
      </x:c>
      <x:c r="H2456" s="21" t="n">
        <x:v>11675</x:v>
      </x:c>
      <x:c r="I2456" s="17" t="str">
        <x:v>Followup</x:v>
      </x:c>
    </x:row>
    <x:row r="2457" ht="23" customHeight="1">
      <x:c r="A2457" s="17" t="str">
        <x:v>U02451</x:v>
      </x:c>
      <x:c r="B2457" s="18" t="n">
        <x:v>46273</x:v>
      </x:c>
      <x:c r="C2457" s="17" t="str">
        <x:v>W0161</x:v>
      </x:c>
      <x:c r="D2457" s="17" t="str">
        <x:v>C003</x:v>
      </x:c>
      <x:c r="E2457" s="17" t="str">
        <x:v>CampaignChat</x:v>
      </x:c>
      <x:c r="F2457" s="17" t="str">
        <x:v>Pro</x:v>
      </x:c>
      <x:c r="G2457" s="21" t="n">
        <x:v>32952</x:v>
      </x:c>
      <x:c r="H2457" s="21" t="n">
        <x:v>9790</x:v>
      </x:c>
      <x:c r="I2457" s="17" t="str">
        <x:v>Followup</x:v>
      </x:c>
    </x:row>
    <x:row r="2458" ht="23" customHeight="1">
      <x:c r="A2458" s="17" t="str">
        <x:v>U02452</x:v>
      </x:c>
      <x:c r="B2458" s="18" t="n">
        <x:v>46273</x:v>
      </x:c>
      <x:c r="C2458" s="17" t="str">
        <x:v>W0161</x:v>
      </x:c>
      <x:c r="D2458" s="17" t="str">
        <x:v>C003</x:v>
      </x:c>
      <x:c r="E2458" s="17" t="str">
        <x:v>CampaignChat</x:v>
      </x:c>
      <x:c r="F2458" s="17" t="str">
        <x:v>Pro</x:v>
      </x:c>
      <x:c r="G2458" s="21" t="n">
        <x:v>35660</x:v>
      </x:c>
      <x:c r="H2458" s="21" t="n">
        <x:v>8531</x:v>
      </x:c>
      <x:c r="I2458" s="17" t="str">
        <x:v>Correction</x:v>
      </x:c>
    </x:row>
    <x:row r="2459" ht="23" customHeight="1">
      <x:c r="A2459" s="17" t="str">
        <x:v>U02453</x:v>
      </x:c>
      <x:c r="B2459" s="18" t="n">
        <x:v>46288</x:v>
      </x:c>
      <x:c r="C2459" s="17" t="str">
        <x:v>W0163</x:v>
      </x:c>
      <x:c r="D2459" s="17" t="str">
        <x:v>C003</x:v>
      </x:c>
      <x:c r="E2459" s="17" t="str">
        <x:v>InsightDesk</x:v>
      </x:c>
      <x:c r="F2459" s="17" t="str">
        <x:v>Pro</x:v>
      </x:c>
      <x:c r="G2459" s="21" t="n">
        <x:v>42019</x:v>
      </x:c>
      <x:c r="H2459" s="21" t="n">
        <x:v>13218</x:v>
      </x:c>
      <x:c r="I2459" s="17" t="str">
        <x:v>First attempt</x:v>
      </x:c>
    </x:row>
    <x:row r="2460" ht="23" customHeight="1">
      <x:c r="A2460" s="17" t="str">
        <x:v>U02454</x:v>
      </x:c>
      <x:c r="B2460" s="18" t="n">
        <x:v>46288</x:v>
      </x:c>
      <x:c r="C2460" s="17" t="str">
        <x:v>W0163</x:v>
      </x:c>
      <x:c r="D2460" s="17" t="str">
        <x:v>C003</x:v>
      </x:c>
      <x:c r="E2460" s="17" t="str">
        <x:v>InsightDesk</x:v>
      </x:c>
      <x:c r="F2460" s="17" t="str">
        <x:v>Pro</x:v>
      </x:c>
      <x:c r="G2460" s="21" t="n">
        <x:v>37576</x:v>
      </x:c>
      <x:c r="H2460" s="21" t="n">
        <x:v>7872</x:v>
      </x:c>
      <x:c r="I2460" s="17" t="str">
        <x:v>Followup</x:v>
      </x:c>
    </x:row>
    <x:row r="2461" ht="23" customHeight="1">
      <x:c r="A2461" s="17" t="str">
        <x:v>U02455</x:v>
      </x:c>
      <x:c r="B2461" s="18" t="n">
        <x:v>46288</x:v>
      </x:c>
      <x:c r="C2461" s="17" t="str">
        <x:v>W0163</x:v>
      </x:c>
      <x:c r="D2461" s="17" t="str">
        <x:v>C003</x:v>
      </x:c>
      <x:c r="E2461" s="17" t="str">
        <x:v>InsightDesk</x:v>
      </x:c>
      <x:c r="F2461" s="17" t="str">
        <x:v>Pro</x:v>
      </x:c>
      <x:c r="G2461" s="21" t="n">
        <x:v>17597</x:v>
      </x:c>
      <x:c r="H2461" s="21" t="n">
        <x:v>6860</x:v>
      </x:c>
      <x:c r="I2461" s="17" t="str">
        <x:v>Followup</x:v>
      </x:c>
    </x:row>
    <x:row r="2462" ht="23" customHeight="1">
      <x:c r="A2462" s="17" t="str">
        <x:v>U02456</x:v>
      </x:c>
      <x:c r="B2462" s="18" t="n">
        <x:v>46289</x:v>
      </x:c>
      <x:c r="C2462" s="17" t="str">
        <x:v>W0163</x:v>
      </x:c>
      <x:c r="D2462" s="17" t="str">
        <x:v>C003</x:v>
      </x:c>
      <x:c r="E2462" s="17" t="str">
        <x:v>InsightDesk</x:v>
      </x:c>
      <x:c r="F2462" s="17" t="str">
        <x:v>Pro</x:v>
      </x:c>
      <x:c r="G2462" s="21" t="n">
        <x:v>20822</x:v>
      </x:c>
      <x:c r="H2462" s="21" t="n">
        <x:v>9636</x:v>
      </x:c>
      <x:c r="I2462" s="17" t="str">
        <x:v>Followup</x:v>
      </x:c>
    </x:row>
    <x:row r="2463" ht="23" customHeight="1">
      <x:c r="A2463" s="17" t="str">
        <x:v>U02457</x:v>
      </x:c>
      <x:c r="B2463" s="18" t="n">
        <x:v>46289</x:v>
      </x:c>
      <x:c r="C2463" s="17" t="str">
        <x:v>W0163</x:v>
      </x:c>
      <x:c r="D2463" s="17" t="str">
        <x:v>C003</x:v>
      </x:c>
      <x:c r="E2463" s="17" t="str">
        <x:v>InsightDesk</x:v>
      </x:c>
      <x:c r="F2463" s="17" t="str">
        <x:v>Pro</x:v>
      </x:c>
      <x:c r="G2463" s="21" t="n">
        <x:v>38244</x:v>
      </x:c>
      <x:c r="H2463" s="21" t="n">
        <x:v>10509</x:v>
      </x:c>
      <x:c r="I2463" s="17" t="str">
        <x:v>Correction</x:v>
      </x:c>
    </x:row>
    <x:row r="2464" ht="23" customHeight="1">
      <x:c r="A2464" s="17" t="str">
        <x:v>U02458</x:v>
      </x:c>
      <x:c r="B2464" s="18" t="n">
        <x:v>46289</x:v>
      </x:c>
      <x:c r="C2464" s="17" t="str">
        <x:v>W0163</x:v>
      </x:c>
      <x:c r="D2464" s="17" t="str">
        <x:v>C003</x:v>
      </x:c>
      <x:c r="E2464" s="17" t="str">
        <x:v>InsightDesk</x:v>
      </x:c>
      <x:c r="F2464" s="17" t="str">
        <x:v>Pro</x:v>
      </x:c>
      <x:c r="G2464" s="21" t="n">
        <x:v>30446</x:v>
      </x:c>
      <x:c r="H2464" s="21" t="n">
        <x:v>11944</x:v>
      </x:c>
      <x:c r="I2464" s="17" t="str">
        <x:v>Followup</x:v>
      </x:c>
    </x:row>
    <x:row r="2465" ht="23" customHeight="1">
      <x:c r="A2465" s="17" t="str">
        <x:v>U02459</x:v>
      </x:c>
      <x:c r="B2465" s="18" t="n">
        <x:v>46290</x:v>
      </x:c>
      <x:c r="C2465" s="17" t="str">
        <x:v>W0163</x:v>
      </x:c>
      <x:c r="D2465" s="17" t="str">
        <x:v>C003</x:v>
      </x:c>
      <x:c r="E2465" s="17" t="str">
        <x:v>InsightDesk</x:v>
      </x:c>
      <x:c r="F2465" s="17" t="str">
        <x:v>Pro</x:v>
      </x:c>
      <x:c r="G2465" s="21" t="n">
        <x:v>20764</x:v>
      </x:c>
      <x:c r="H2465" s="21" t="n">
        <x:v>9104</x:v>
      </x:c>
      <x:c r="I2465" s="17" t="str">
        <x:v>Correction</x:v>
      </x:c>
    </x:row>
    <x:row r="2466" ht="23" customHeight="1">
      <x:c r="A2466" s="17" t="str">
        <x:v>U02460</x:v>
      </x:c>
      <x:c r="B2466" s="18" t="n">
        <x:v>46290</x:v>
      </x:c>
      <x:c r="C2466" s="17" t="str">
        <x:v>W0163</x:v>
      </x:c>
      <x:c r="D2466" s="17" t="str">
        <x:v>C003</x:v>
      </x:c>
      <x:c r="E2466" s="17" t="str">
        <x:v>InsightDesk</x:v>
      </x:c>
      <x:c r="F2466" s="17" t="str">
        <x:v>Pro</x:v>
      </x:c>
      <x:c r="G2466" s="21" t="n">
        <x:v>16146</x:v>
      </x:c>
      <x:c r="H2466" s="21" t="n">
        <x:v>8738</x:v>
      </x:c>
      <x:c r="I2466" s="17" t="str">
        <x:v>Followup</x:v>
      </x:c>
    </x:row>
    <x:row r="2467" ht="23" customHeight="1">
      <x:c r="A2467" s="17" t="str">
        <x:v>U02461</x:v>
      </x:c>
      <x:c r="B2467" s="18" t="n">
        <x:v>46290</x:v>
      </x:c>
      <x:c r="C2467" s="17" t="str">
        <x:v>W0163</x:v>
      </x:c>
      <x:c r="D2467" s="17" t="str">
        <x:v>C003</x:v>
      </x:c>
      <x:c r="E2467" s="17" t="str">
        <x:v>InsightDesk</x:v>
      </x:c>
      <x:c r="F2467" s="17" t="str">
        <x:v>Pro</x:v>
      </x:c>
      <x:c r="G2467" s="21" t="n">
        <x:v>15974</x:v>
      </x:c>
      <x:c r="H2467" s="21" t="n">
        <x:v>4282</x:v>
      </x:c>
      <x:c r="I2467" s="17" t="str">
        <x:v>Followup</x:v>
      </x:c>
    </x:row>
    <x:row r="2468" ht="23" customHeight="1">
      <x:c r="A2468" s="17" t="str">
        <x:v>U02462</x:v>
      </x:c>
      <x:c r="B2468" s="18" t="n">
        <x:v>46293</x:v>
      </x:c>
      <x:c r="C2468" s="17" t="str">
        <x:v>W0163</x:v>
      </x:c>
      <x:c r="D2468" s="17" t="str">
        <x:v>C003</x:v>
      </x:c>
      <x:c r="E2468" s="17" t="str">
        <x:v>InsightDesk</x:v>
      </x:c>
      <x:c r="F2468" s="17" t="str">
        <x:v>Pro</x:v>
      </x:c>
      <x:c r="G2468" s="21" t="n">
        <x:v>40865</x:v>
      </x:c>
      <x:c r="H2468" s="21" t="n">
        <x:v>5424</x:v>
      </x:c>
      <x:c r="I2468" s="17" t="str">
        <x:v>Followup</x:v>
      </x:c>
    </x:row>
    <x:row r="2469" ht="23" customHeight="1">
      <x:c r="A2469" s="17" t="str">
        <x:v>U02463</x:v>
      </x:c>
      <x:c r="B2469" s="18" t="n">
        <x:v>46293</x:v>
      </x:c>
      <x:c r="C2469" s="17" t="str">
        <x:v>W0163</x:v>
      </x:c>
      <x:c r="D2469" s="17" t="str">
        <x:v>C003</x:v>
      </x:c>
      <x:c r="E2469" s="17" t="str">
        <x:v>InsightDesk</x:v>
      </x:c>
      <x:c r="F2469" s="17" t="str">
        <x:v>Pro</x:v>
      </x:c>
      <x:c r="G2469" s="21" t="n">
        <x:v>33725</x:v>
      </x:c>
      <x:c r="H2469" s="21" t="n">
        <x:v>8823</x:v>
      </x:c>
      <x:c r="I2469" s="17" t="str">
        <x:v>Followup</x:v>
      </x:c>
    </x:row>
    <x:row r="2470" ht="23" customHeight="1">
      <x:c r="A2470" s="17" t="str">
        <x:v>U02464</x:v>
      </x:c>
      <x:c r="B2470" s="18" t="n">
        <x:v>46276</x:v>
      </x:c>
      <x:c r="C2470" s="17" t="str">
        <x:v>W0167</x:v>
      </x:c>
      <x:c r="D2470" s="17" t="str">
        <x:v>C003</x:v>
      </x:c>
      <x:c r="E2470" s="17" t="str">
        <x:v>InsightDesk</x:v>
      </x:c>
      <x:c r="F2470" s="17" t="str">
        <x:v>Pro</x:v>
      </x:c>
      <x:c r="G2470" s="21" t="n">
        <x:v>20740</x:v>
      </x:c>
      <x:c r="H2470" s="21" t="n">
        <x:v>6546</x:v>
      </x:c>
      <x:c r="I2470" s="17" t="str">
        <x:v>First attempt</x:v>
      </x:c>
    </x:row>
    <x:row r="2471" ht="23" customHeight="1">
      <x:c r="A2471" s="17" t="str">
        <x:v>U02465</x:v>
      </x:c>
      <x:c r="B2471" s="18" t="n">
        <x:v>46276</x:v>
      </x:c>
      <x:c r="C2471" s="17" t="str">
        <x:v>W0167</x:v>
      </x:c>
      <x:c r="D2471" s="17" t="str">
        <x:v>C003</x:v>
      </x:c>
      <x:c r="E2471" s="17" t="str">
        <x:v>InsightDesk</x:v>
      </x:c>
      <x:c r="F2471" s="17" t="str">
        <x:v>Pro</x:v>
      </x:c>
      <x:c r="G2471" s="21" t="n">
        <x:v>13551</x:v>
      </x:c>
      <x:c r="H2471" s="21" t="n">
        <x:v>10664</x:v>
      </x:c>
      <x:c r="I2471" s="17" t="str">
        <x:v>Followup</x:v>
      </x:c>
    </x:row>
    <x:row r="2472" ht="23" customHeight="1">
      <x:c r="A2472" s="17" t="str">
        <x:v>U02466</x:v>
      </x:c>
      <x:c r="B2472" s="18" t="n">
        <x:v>46276</x:v>
      </x:c>
      <x:c r="C2472" s="17" t="str">
        <x:v>W0167</x:v>
      </x:c>
      <x:c r="D2472" s="17" t="str">
        <x:v>C003</x:v>
      </x:c>
      <x:c r="E2472" s="17" t="str">
        <x:v>InsightDesk</x:v>
      </x:c>
      <x:c r="F2472" s="17" t="str">
        <x:v>Pro</x:v>
      </x:c>
      <x:c r="G2472" s="21" t="n">
        <x:v>15568</x:v>
      </x:c>
      <x:c r="H2472" s="21" t="n">
        <x:v>18349</x:v>
      </x:c>
      <x:c r="I2472" s="17" t="str">
        <x:v>Followup</x:v>
      </x:c>
    </x:row>
    <x:row r="2473" ht="23" customHeight="1">
      <x:c r="A2473" s="17" t="str">
        <x:v>U02467</x:v>
      </x:c>
      <x:c r="B2473" s="18" t="n">
        <x:v>46279</x:v>
      </x:c>
      <x:c r="C2473" s="17" t="str">
        <x:v>W0167</x:v>
      </x:c>
      <x:c r="D2473" s="17" t="str">
        <x:v>C003</x:v>
      </x:c>
      <x:c r="E2473" s="17" t="str">
        <x:v>InsightDesk</x:v>
      </x:c>
      <x:c r="F2473" s="17" t="str">
        <x:v>Pro</x:v>
      </x:c>
      <x:c r="G2473" s="21" t="n">
        <x:v>26049</x:v>
      </x:c>
      <x:c r="H2473" s="21" t="n">
        <x:v>14827</x:v>
      </x:c>
      <x:c r="I2473" s="17" t="str">
        <x:v>Followup</x:v>
      </x:c>
    </x:row>
    <x:row r="2474" ht="23" customHeight="1">
      <x:c r="A2474" s="17" t="str">
        <x:v>U02468</x:v>
      </x:c>
      <x:c r="B2474" s="18" t="n">
        <x:v>46279</x:v>
      </x:c>
      <x:c r="C2474" s="17" t="str">
        <x:v>W0167</x:v>
      </x:c>
      <x:c r="D2474" s="17" t="str">
        <x:v>C003</x:v>
      </x:c>
      <x:c r="E2474" s="17" t="str">
        <x:v>InsightDesk</x:v>
      </x:c>
      <x:c r="F2474" s="17" t="str">
        <x:v>Pro</x:v>
      </x:c>
      <x:c r="G2474" s="21" t="n">
        <x:v>12442</x:v>
      </x:c>
      <x:c r="H2474" s="21" t="n">
        <x:v>9061</x:v>
      </x:c>
      <x:c r="I2474" s="17" t="str">
        <x:v>Followup</x:v>
      </x:c>
    </x:row>
    <x:row r="2475" ht="23" customHeight="1">
      <x:c r="A2475" s="17" t="str">
        <x:v>U02469</x:v>
      </x:c>
      <x:c r="B2475" s="18" t="n">
        <x:v>46280</x:v>
      </x:c>
      <x:c r="C2475" s="17" t="str">
        <x:v>W0167</x:v>
      </x:c>
      <x:c r="D2475" s="17" t="str">
        <x:v>C003</x:v>
      </x:c>
      <x:c r="E2475" s="17" t="str">
        <x:v>InsightDesk</x:v>
      </x:c>
      <x:c r="F2475" s="17" t="str">
        <x:v>Pro</x:v>
      </x:c>
      <x:c r="G2475" s="21" t="n">
        <x:v>31556</x:v>
      </x:c>
      <x:c r="H2475" s="21" t="n">
        <x:v>6326</x:v>
      </x:c>
      <x:c r="I2475" s="17" t="str">
        <x:v>Followup</x:v>
      </x:c>
    </x:row>
    <x:row r="2476" ht="23" customHeight="1">
      <x:c r="A2476" s="17" t="str">
        <x:v>U02470</x:v>
      </x:c>
      <x:c r="B2476" s="18" t="n">
        <x:v>46280</x:v>
      </x:c>
      <x:c r="C2476" s="17" t="str">
        <x:v>W0167</x:v>
      </x:c>
      <x:c r="D2476" s="17" t="str">
        <x:v>C003</x:v>
      </x:c>
      <x:c r="E2476" s="17" t="str">
        <x:v>InsightDesk</x:v>
      </x:c>
      <x:c r="F2476" s="17" t="str">
        <x:v>Pro</x:v>
      </x:c>
      <x:c r="G2476" s="21" t="n">
        <x:v>21245</x:v>
      </x:c>
      <x:c r="H2476" s="21" t="n">
        <x:v>14455</x:v>
      </x:c>
      <x:c r="I2476" s="17" t="str">
        <x:v>Followup</x:v>
      </x:c>
    </x:row>
    <x:row r="2477" ht="23" customHeight="1">
      <x:c r="A2477" s="17" t="str">
        <x:v>U02471</x:v>
      </x:c>
      <x:c r="B2477" s="18" t="n">
        <x:v>46281</x:v>
      </x:c>
      <x:c r="C2477" s="17" t="str">
        <x:v>W0167</x:v>
      </x:c>
      <x:c r="D2477" s="17" t="str">
        <x:v>C003</x:v>
      </x:c>
      <x:c r="E2477" s="17" t="str">
        <x:v>InsightDesk</x:v>
      </x:c>
      <x:c r="F2477" s="17" t="str">
        <x:v>Pro</x:v>
      </x:c>
      <x:c r="G2477" s="21" t="n">
        <x:v>12526</x:v>
      </x:c>
      <x:c r="H2477" s="21" t="n">
        <x:v>7377</x:v>
      </x:c>
      <x:c r="I2477" s="17" t="str">
        <x:v>Correction</x:v>
      </x:c>
    </x:row>
    <x:row r="2478" ht="23" customHeight="1">
      <x:c r="A2478" s="17" t="str">
        <x:v>U02472</x:v>
      </x:c>
      <x:c r="B2478" s="18" t="n">
        <x:v>46281</x:v>
      </x:c>
      <x:c r="C2478" s="17" t="str">
        <x:v>W0167</x:v>
      </x:c>
      <x:c r="D2478" s="17" t="str">
        <x:v>C003</x:v>
      </x:c>
      <x:c r="E2478" s="17" t="str">
        <x:v>InsightDesk</x:v>
      </x:c>
      <x:c r="F2478" s="17" t="str">
        <x:v>Pro</x:v>
      </x:c>
      <x:c r="G2478" s="21" t="n">
        <x:v>22937</x:v>
      </x:c>
      <x:c r="H2478" s="21" t="n">
        <x:v>6710</x:v>
      </x:c>
      <x:c r="I2478" s="17" t="str">
        <x:v>Correction</x:v>
      </x:c>
    </x:row>
    <x:row r="2479" ht="23" customHeight="1">
      <x:c r="A2479" s="17" t="str">
        <x:v>U02473</x:v>
      </x:c>
      <x:c r="B2479" s="18" t="n">
        <x:v>46287</x:v>
      </x:c>
      <x:c r="C2479" s="17" t="str">
        <x:v>W0168</x:v>
      </x:c>
      <x:c r="D2479" s="17" t="str">
        <x:v>C003</x:v>
      </x:c>
      <x:c r="E2479" s="17" t="str">
        <x:v>CopyStudio</x:v>
      </x:c>
      <x:c r="F2479" s="17" t="str">
        <x:v>Pro</x:v>
      </x:c>
      <x:c r="G2479" s="21" t="n">
        <x:v>21686</x:v>
      </x:c>
      <x:c r="H2479" s="21" t="n">
        <x:v>6209</x:v>
      </x:c>
      <x:c r="I2479" s="17" t="str">
        <x:v>First attempt</x:v>
      </x:c>
    </x:row>
    <x:row r="2480" ht="23" customHeight="1">
      <x:c r="A2480" s="17" t="str">
        <x:v>U02474</x:v>
      </x:c>
      <x:c r="B2480" s="18" t="n">
        <x:v>46287</x:v>
      </x:c>
      <x:c r="C2480" s="17" t="str">
        <x:v>W0168</x:v>
      </x:c>
      <x:c r="D2480" s="17" t="str">
        <x:v>C003</x:v>
      </x:c>
      <x:c r="E2480" s="17" t="str">
        <x:v>CopyStudio</x:v>
      </x:c>
      <x:c r="F2480" s="17" t="str">
        <x:v>Pro</x:v>
      </x:c>
      <x:c r="G2480" s="21" t="n">
        <x:v>19361</x:v>
      </x:c>
      <x:c r="H2480" s="21" t="n">
        <x:v>9008</x:v>
      </x:c>
      <x:c r="I2480" s="17" t="str">
        <x:v>Correction</x:v>
      </x:c>
    </x:row>
    <x:row r="2481" ht="23" customHeight="1">
      <x:c r="A2481" s="17" t="str">
        <x:v>U02475</x:v>
      </x:c>
      <x:c r="B2481" s="18" t="n">
        <x:v>46287</x:v>
      </x:c>
      <x:c r="C2481" s="17" t="str">
        <x:v>W0168</x:v>
      </x:c>
      <x:c r="D2481" s="17" t="str">
        <x:v>C003</x:v>
      </x:c>
      <x:c r="E2481" s="17" t="str">
        <x:v>CopyStudio</x:v>
      </x:c>
      <x:c r="F2481" s="17" t="str">
        <x:v>Pro</x:v>
      </x:c>
      <x:c r="G2481" s="21" t="n">
        <x:v>18134</x:v>
      </x:c>
      <x:c r="H2481" s="21" t="n">
        <x:v>12232</x:v>
      </x:c>
      <x:c r="I2481" s="17" t="str">
        <x:v>Followup</x:v>
      </x:c>
    </x:row>
    <x:row r="2482" ht="23" customHeight="1">
      <x:c r="A2482" s="17" t="str">
        <x:v>U02476</x:v>
      </x:c>
      <x:c r="B2482" s="18" t="n">
        <x:v>46288</x:v>
      </x:c>
      <x:c r="C2482" s="17" t="str">
        <x:v>W0168</x:v>
      </x:c>
      <x:c r="D2482" s="17" t="str">
        <x:v>C003</x:v>
      </x:c>
      <x:c r="E2482" s="17" t="str">
        <x:v>CopyStudio</x:v>
      </x:c>
      <x:c r="F2482" s="17" t="str">
        <x:v>Pro</x:v>
      </x:c>
      <x:c r="G2482" s="21" t="n">
        <x:v>22113</x:v>
      </x:c>
      <x:c r="H2482" s="21" t="n">
        <x:v>4416</x:v>
      </x:c>
      <x:c r="I2482" s="17" t="str">
        <x:v>Followup</x:v>
      </x:c>
    </x:row>
    <x:row r="2483" ht="23" customHeight="1">
      <x:c r="A2483" s="17" t="str">
        <x:v>U02477</x:v>
      </x:c>
      <x:c r="B2483" s="18" t="n">
        <x:v>46288</x:v>
      </x:c>
      <x:c r="C2483" s="17" t="str">
        <x:v>W0168</x:v>
      </x:c>
      <x:c r="D2483" s="17" t="str">
        <x:v>C003</x:v>
      </x:c>
      <x:c r="E2483" s="17" t="str">
        <x:v>CopyStudio</x:v>
      </x:c>
      <x:c r="F2483" s="17" t="str">
        <x:v>Pro</x:v>
      </x:c>
      <x:c r="G2483" s="21" t="n">
        <x:v>20249</x:v>
      </x:c>
      <x:c r="H2483" s="21" t="n">
        <x:v>5781</x:v>
      </x:c>
      <x:c r="I2483" s="17" t="str">
        <x:v>Followup</x:v>
      </x:c>
    </x:row>
    <x:row r="2484" ht="23" customHeight="1">
      <x:c r="A2484" s="17" t="str">
        <x:v>U02478</x:v>
      </x:c>
      <x:c r="B2484" s="18" t="n">
        <x:v>46289</x:v>
      </x:c>
      <x:c r="C2484" s="17" t="str">
        <x:v>W0168</x:v>
      </x:c>
      <x:c r="D2484" s="17" t="str">
        <x:v>C003</x:v>
      </x:c>
      <x:c r="E2484" s="17" t="str">
        <x:v>CopyStudio</x:v>
      </x:c>
      <x:c r="F2484" s="17" t="str">
        <x:v>Pro</x:v>
      </x:c>
      <x:c r="G2484" s="21" t="n">
        <x:v>14861</x:v>
      </x:c>
      <x:c r="H2484" s="21" t="n">
        <x:v>10793</x:v>
      </x:c>
      <x:c r="I2484" s="17" t="str">
        <x:v>Followup</x:v>
      </x:c>
    </x:row>
    <x:row r="2485" ht="23" customHeight="1">
      <x:c r="A2485" s="17" t="str">
        <x:v>U02479</x:v>
      </x:c>
      <x:c r="B2485" s="18" t="n">
        <x:v>46289</x:v>
      </x:c>
      <x:c r="C2485" s="17" t="str">
        <x:v>W0168</x:v>
      </x:c>
      <x:c r="D2485" s="17" t="str">
        <x:v>C003</x:v>
      </x:c>
      <x:c r="E2485" s="17" t="str">
        <x:v>CopyStudio</x:v>
      </x:c>
      <x:c r="F2485" s="17" t="str">
        <x:v>Pro</x:v>
      </x:c>
      <x:c r="G2485" s="21" t="n">
        <x:v>16855</x:v>
      </x:c>
      <x:c r="H2485" s="21" t="n">
        <x:v>6753</x:v>
      </x:c>
      <x:c r="I2485" s="17" t="str">
        <x:v>Followup</x:v>
      </x:c>
    </x:row>
    <x:row r="2486" ht="23" customHeight="1">
      <x:c r="A2486" s="17" t="str">
        <x:v>U02480</x:v>
      </x:c>
      <x:c r="B2486" s="18" t="n">
        <x:v>46290</x:v>
      </x:c>
      <x:c r="C2486" s="17" t="str">
        <x:v>W0168</x:v>
      </x:c>
      <x:c r="D2486" s="17" t="str">
        <x:v>C003</x:v>
      </x:c>
      <x:c r="E2486" s="17" t="str">
        <x:v>CopyStudio</x:v>
      </x:c>
      <x:c r="F2486" s="17" t="str">
        <x:v>Pro</x:v>
      </x:c>
      <x:c r="G2486" s="21" t="n">
        <x:v>7997</x:v>
      </x:c>
      <x:c r="H2486" s="21" t="n">
        <x:v>4568</x:v>
      </x:c>
      <x:c r="I2486" s="17" t="str">
        <x:v>Correction</x:v>
      </x:c>
    </x:row>
    <x:row r="2487" ht="23" customHeight="1">
      <x:c r="A2487" s="17" t="str">
        <x:v>U02481</x:v>
      </x:c>
      <x:c r="B2487" s="18" t="n">
        <x:v>46290</x:v>
      </x:c>
      <x:c r="C2487" s="17" t="str">
        <x:v>W0168</x:v>
      </x:c>
      <x:c r="D2487" s="17" t="str">
        <x:v>C003</x:v>
      </x:c>
      <x:c r="E2487" s="17" t="str">
        <x:v>CopyStudio</x:v>
      </x:c>
      <x:c r="F2487" s="17" t="str">
        <x:v>Pro</x:v>
      </x:c>
      <x:c r="G2487" s="21" t="n">
        <x:v>9359</x:v>
      </x:c>
      <x:c r="H2487" s="21" t="n">
        <x:v>5860</x:v>
      </x:c>
      <x:c r="I2487" s="17" t="str">
        <x:v>Followup</x:v>
      </x:c>
    </x:row>
    <x:row r="2488" ht="23" customHeight="1">
      <x:c r="A2488" s="17" t="str">
        <x:v>U02482</x:v>
      </x:c>
      <x:c r="B2488" s="18" t="n">
        <x:v>46281</x:v>
      </x:c>
      <x:c r="C2488" s="17" t="str">
        <x:v>W0170</x:v>
      </x:c>
      <x:c r="D2488" s="17" t="str">
        <x:v>C003</x:v>
      </x:c>
      <x:c r="E2488" s="17" t="str">
        <x:v>CampaignChat</x:v>
      </x:c>
      <x:c r="F2488" s="17" t="str">
        <x:v>Pro</x:v>
      </x:c>
      <x:c r="G2488" s="21" t="n">
        <x:v>23401</x:v>
      </x:c>
      <x:c r="H2488" s="21" t="n">
        <x:v>2543</x:v>
      </x:c>
      <x:c r="I2488" s="17" t="str">
        <x:v>First attempt</x:v>
      </x:c>
    </x:row>
    <x:row r="2489" ht="23" customHeight="1">
      <x:c r="A2489" s="17" t="str">
        <x:v>U02483</x:v>
      </x:c>
      <x:c r="B2489" s="18" t="n">
        <x:v>46281</x:v>
      </x:c>
      <x:c r="C2489" s="17" t="str">
        <x:v>W0170</x:v>
      </x:c>
      <x:c r="D2489" s="17" t="str">
        <x:v>C003</x:v>
      </x:c>
      <x:c r="E2489" s="17" t="str">
        <x:v>CampaignChat</x:v>
      </x:c>
      <x:c r="F2489" s="17" t="str">
        <x:v>Pro</x:v>
      </x:c>
      <x:c r="G2489" s="21" t="n">
        <x:v>10939</x:v>
      </x:c>
      <x:c r="H2489" s="21" t="n">
        <x:v>2878</x:v>
      </x:c>
      <x:c r="I2489" s="17" t="str">
        <x:v>Correction</x:v>
      </x:c>
    </x:row>
    <x:row r="2490" ht="23" customHeight="1">
      <x:c r="A2490" s="17" t="str">
        <x:v>U02484</x:v>
      </x:c>
      <x:c r="B2490" s="18" t="n">
        <x:v>46281</x:v>
      </x:c>
      <x:c r="C2490" s="17" t="str">
        <x:v>W0170</x:v>
      </x:c>
      <x:c r="D2490" s="17" t="str">
        <x:v>C003</x:v>
      </x:c>
      <x:c r="E2490" s="17" t="str">
        <x:v>CampaignChat</x:v>
      </x:c>
      <x:c r="F2490" s="17" t="str">
        <x:v>Pro</x:v>
      </x:c>
      <x:c r="G2490" s="21" t="n">
        <x:v>22513</x:v>
      </x:c>
      <x:c r="H2490" s="21" t="n">
        <x:v>3931</x:v>
      </x:c>
      <x:c r="I2490" s="17" t="str">
        <x:v>Followup</x:v>
      </x:c>
    </x:row>
    <x:row r="2491" ht="23" customHeight="1">
      <x:c r="A2491" s="17" t="str">
        <x:v>U02485</x:v>
      </x:c>
      <x:c r="B2491" s="18" t="n">
        <x:v>46282</x:v>
      </x:c>
      <x:c r="C2491" s="17" t="str">
        <x:v>W0170</x:v>
      </x:c>
      <x:c r="D2491" s="17" t="str">
        <x:v>C003</x:v>
      </x:c>
      <x:c r="E2491" s="17" t="str">
        <x:v>CampaignChat</x:v>
      </x:c>
      <x:c r="F2491" s="17" t="str">
        <x:v>Pro</x:v>
      </x:c>
      <x:c r="G2491" s="21" t="n">
        <x:v>23764</x:v>
      </x:c>
      <x:c r="H2491" s="21" t="n">
        <x:v>7373</x:v>
      </x:c>
      <x:c r="I2491" s="17" t="str">
        <x:v>Followup</x:v>
      </x:c>
    </x:row>
    <x:row r="2492" ht="23" customHeight="1">
      <x:c r="A2492" s="17" t="str">
        <x:v>U02486</x:v>
      </x:c>
      <x:c r="B2492" s="18" t="n">
        <x:v>46282</x:v>
      </x:c>
      <x:c r="C2492" s="17" t="str">
        <x:v>W0170</x:v>
      </x:c>
      <x:c r="D2492" s="17" t="str">
        <x:v>C003</x:v>
      </x:c>
      <x:c r="E2492" s="17" t="str">
        <x:v>CampaignChat</x:v>
      </x:c>
      <x:c r="F2492" s="17" t="str">
        <x:v>Pro</x:v>
      </x:c>
      <x:c r="G2492" s="21" t="n">
        <x:v>30166</x:v>
      </x:c>
      <x:c r="H2492" s="21" t="n">
        <x:v>6266</x:v>
      </x:c>
      <x:c r="I2492" s="17" t="str">
        <x:v>Correction</x:v>
      </x:c>
    </x:row>
    <x:row r="2493" ht="23" customHeight="1">
      <x:c r="A2493" s="17" t="str">
        <x:v>U02487</x:v>
      </x:c>
      <x:c r="B2493" s="18" t="n">
        <x:v>46282</x:v>
      </x:c>
      <x:c r="C2493" s="17" t="str">
        <x:v>W0170</x:v>
      </x:c>
      <x:c r="D2493" s="17" t="str">
        <x:v>C003</x:v>
      </x:c>
      <x:c r="E2493" s="17" t="str">
        <x:v>CampaignChat</x:v>
      </x:c>
      <x:c r="F2493" s="17" t="str">
        <x:v>Pro</x:v>
      </x:c>
      <x:c r="G2493" s="21" t="n">
        <x:v>15151</x:v>
      </x:c>
      <x:c r="H2493" s="21" t="n">
        <x:v>4155</x:v>
      </x:c>
      <x:c r="I2493" s="17" t="str">
        <x:v>Followup</x:v>
      </x:c>
    </x:row>
    <x:row r="2494" ht="23" customHeight="1">
      <x:c r="A2494" s="17" t="str">
        <x:v>U02488</x:v>
      </x:c>
      <x:c r="B2494" s="18" t="n">
        <x:v>46283</x:v>
      </x:c>
      <x:c r="C2494" s="17" t="str">
        <x:v>W0170</x:v>
      </x:c>
      <x:c r="D2494" s="17" t="str">
        <x:v>C003</x:v>
      </x:c>
      <x:c r="E2494" s="17" t="str">
        <x:v>CampaignChat</x:v>
      </x:c>
      <x:c r="F2494" s="17" t="str">
        <x:v>Pro</x:v>
      </x:c>
      <x:c r="G2494" s="21" t="n">
        <x:v>11538</x:v>
      </x:c>
      <x:c r="H2494" s="21" t="n">
        <x:v>4850</x:v>
      </x:c>
      <x:c r="I2494" s="17" t="str">
        <x:v>Followup</x:v>
      </x:c>
    </x:row>
    <x:row r="2495" ht="23" customHeight="1">
      <x:c r="A2495" s="17" t="str">
        <x:v>U02489</x:v>
      </x:c>
      <x:c r="B2495" s="18" t="n">
        <x:v>46283</x:v>
      </x:c>
      <x:c r="C2495" s="17" t="str">
        <x:v>W0170</x:v>
      </x:c>
      <x:c r="D2495" s="17" t="str">
        <x:v>C003</x:v>
      </x:c>
      <x:c r="E2495" s="17" t="str">
        <x:v>CampaignChat</x:v>
      </x:c>
      <x:c r="F2495" s="17" t="str">
        <x:v>Pro</x:v>
      </x:c>
      <x:c r="G2495" s="21" t="n">
        <x:v>29907</x:v>
      </x:c>
      <x:c r="H2495" s="21" t="n">
        <x:v>3320</x:v>
      </x:c>
      <x:c r="I2495" s="17" t="str">
        <x:v>Followup</x:v>
      </x:c>
    </x:row>
    <x:row r="2496" ht="23" customHeight="1">
      <x:c r="A2496" s="17" t="str">
        <x:v>U02490</x:v>
      </x:c>
      <x:c r="B2496" s="18" t="n">
        <x:v>46283</x:v>
      </x:c>
      <x:c r="C2496" s="17" t="str">
        <x:v>W0170</x:v>
      </x:c>
      <x:c r="D2496" s="17" t="str">
        <x:v>C003</x:v>
      </x:c>
      <x:c r="E2496" s="17" t="str">
        <x:v>CampaignChat</x:v>
      </x:c>
      <x:c r="F2496" s="17" t="str">
        <x:v>Pro</x:v>
      </x:c>
      <x:c r="G2496" s="21" t="n">
        <x:v>10546</x:v>
      </x:c>
      <x:c r="H2496" s="21" t="n">
        <x:v>7795</x:v>
      </x:c>
      <x:c r="I2496" s="17" t="str">
        <x:v>Followup</x:v>
      </x:c>
    </x:row>
    <x:row r="2497" ht="23" customHeight="1">
      <x:c r="A2497" s="17" t="str">
        <x:v>U02491</x:v>
      </x:c>
      <x:c r="B2497" s="18" t="n">
        <x:v>46286</x:v>
      </x:c>
      <x:c r="C2497" s="17" t="str">
        <x:v>W0170</x:v>
      </x:c>
      <x:c r="D2497" s="17" t="str">
        <x:v>C003</x:v>
      </x:c>
      <x:c r="E2497" s="17" t="str">
        <x:v>CampaignChat</x:v>
      </x:c>
      <x:c r="F2497" s="17" t="str">
        <x:v>Pro</x:v>
      </x:c>
      <x:c r="G2497" s="21" t="n">
        <x:v>23788</x:v>
      </x:c>
      <x:c r="H2497" s="21" t="n">
        <x:v>4151</x:v>
      </x:c>
      <x:c r="I2497" s="17" t="str">
        <x:v>Followup</x:v>
      </x:c>
    </x:row>
    <x:row r="2498" ht="23" customHeight="1">
      <x:c r="A2498" s="17" t="str">
        <x:v>U02492</x:v>
      </x:c>
      <x:c r="B2498" s="18" t="n">
        <x:v>46286</x:v>
      </x:c>
      <x:c r="C2498" s="17" t="str">
        <x:v>W0170</x:v>
      </x:c>
      <x:c r="D2498" s="17" t="str">
        <x:v>C003</x:v>
      </x:c>
      <x:c r="E2498" s="17" t="str">
        <x:v>CampaignChat</x:v>
      </x:c>
      <x:c r="F2498" s="17" t="str">
        <x:v>Pro</x:v>
      </x:c>
      <x:c r="G2498" s="21" t="n">
        <x:v>22872</x:v>
      </x:c>
      <x:c r="H2498" s="21" t="n">
        <x:v>5522</x:v>
      </x:c>
      <x:c r="I2498" s="17" t="str">
        <x:v>Followup</x:v>
      </x:c>
    </x:row>
    <x:row r="2499" ht="23" customHeight="1">
      <x:c r="A2499" s="17" t="str">
        <x:v>U02493</x:v>
      </x:c>
      <x:c r="B2499" s="18" t="n">
        <x:v>46286</x:v>
      </x:c>
      <x:c r="C2499" s="17" t="str">
        <x:v>W0170</x:v>
      </x:c>
      <x:c r="D2499" s="17" t="str">
        <x:v>C003</x:v>
      </x:c>
      <x:c r="E2499" s="17" t="str">
        <x:v>CampaignChat</x:v>
      </x:c>
      <x:c r="F2499" s="17" t="str">
        <x:v>Pro</x:v>
      </x:c>
      <x:c r="G2499" s="21" t="n">
        <x:v>18069</x:v>
      </x:c>
      <x:c r="H2499" s="21" t="n">
        <x:v>5437</x:v>
      </x:c>
      <x:c r="I2499" s="17" t="str">
        <x:v>Followup</x:v>
      </x:c>
    </x:row>
    <x:row r="2500" ht="23" customHeight="1">
      <x:c r="A2500" s="17" t="str">
        <x:v>U02494</x:v>
      </x:c>
      <x:c r="B2500" s="18" t="n">
        <x:v>46286</x:v>
      </x:c>
      <x:c r="C2500" s="17" t="str">
        <x:v>W0173</x:v>
      </x:c>
      <x:c r="D2500" s="17" t="str">
        <x:v>C003</x:v>
      </x:c>
      <x:c r="E2500" s="17" t="str">
        <x:v>InsightDesk</x:v>
      </x:c>
      <x:c r="F2500" s="17" t="str">
        <x:v>Pro</x:v>
      </x:c>
      <x:c r="G2500" s="21" t="n">
        <x:v>20545</x:v>
      </x:c>
      <x:c r="H2500" s="21" t="n">
        <x:v>5527</x:v>
      </x:c>
      <x:c r="I2500" s="17" t="str">
        <x:v>First attempt</x:v>
      </x:c>
    </x:row>
    <x:row r="2501" ht="23" customHeight="1">
      <x:c r="A2501" s="17" t="str">
        <x:v>U02495</x:v>
      </x:c>
      <x:c r="B2501" s="18" t="n">
        <x:v>46286</x:v>
      </x:c>
      <x:c r="C2501" s="17" t="str">
        <x:v>W0173</x:v>
      </x:c>
      <x:c r="D2501" s="17" t="str">
        <x:v>C003</x:v>
      </x:c>
      <x:c r="E2501" s="17" t="str">
        <x:v>InsightDesk</x:v>
      </x:c>
      <x:c r="F2501" s="17" t="str">
        <x:v>Pro</x:v>
      </x:c>
      <x:c r="G2501" s="21" t="n">
        <x:v>20574</x:v>
      </x:c>
      <x:c r="H2501" s="21" t="n">
        <x:v>8672</x:v>
      </x:c>
      <x:c r="I2501" s="17" t="str">
        <x:v>Followup</x:v>
      </x:c>
    </x:row>
    <x:row r="2502" ht="23" customHeight="1">
      <x:c r="A2502" s="17" t="str">
        <x:v>U02496</x:v>
      </x:c>
      <x:c r="B2502" s="18" t="n">
        <x:v>46286</x:v>
      </x:c>
      <x:c r="C2502" s="17" t="str">
        <x:v>W0173</x:v>
      </x:c>
      <x:c r="D2502" s="17" t="str">
        <x:v>C003</x:v>
      </x:c>
      <x:c r="E2502" s="17" t="str">
        <x:v>InsightDesk</x:v>
      </x:c>
      <x:c r="F2502" s="17" t="str">
        <x:v>Pro</x:v>
      </x:c>
      <x:c r="G2502" s="21" t="n">
        <x:v>12725</x:v>
      </x:c>
      <x:c r="H2502" s="21" t="n">
        <x:v>5894</x:v>
      </x:c>
      <x:c r="I2502" s="17" t="str">
        <x:v>Followup</x:v>
      </x:c>
    </x:row>
    <x:row r="2503" ht="23" customHeight="1">
      <x:c r="A2503" s="17" t="str">
        <x:v>U02497</x:v>
      </x:c>
      <x:c r="B2503" s="18" t="n">
        <x:v>46286</x:v>
      </x:c>
      <x:c r="C2503" s="17" t="str">
        <x:v>W0173</x:v>
      </x:c>
      <x:c r="D2503" s="17" t="str">
        <x:v>C003</x:v>
      </x:c>
      <x:c r="E2503" s="17" t="str">
        <x:v>InsightDesk</x:v>
      </x:c>
      <x:c r="F2503" s="17" t="str">
        <x:v>Pro</x:v>
      </x:c>
      <x:c r="G2503" s="21" t="n">
        <x:v>16075</x:v>
      </x:c>
      <x:c r="H2503" s="21" t="n">
        <x:v>8727</x:v>
      </x:c>
      <x:c r="I2503" s="17" t="str">
        <x:v>Correction</x:v>
      </x:c>
    </x:row>
    <x:row r="2504" ht="23" customHeight="1">
      <x:c r="A2504" s="17" t="str">
        <x:v>U02498</x:v>
      </x:c>
      <x:c r="B2504" s="18" t="n">
        <x:v>46287</x:v>
      </x:c>
      <x:c r="C2504" s="17" t="str">
        <x:v>W0173</x:v>
      </x:c>
      <x:c r="D2504" s="17" t="str">
        <x:v>C003</x:v>
      </x:c>
      <x:c r="E2504" s="17" t="str">
        <x:v>InsightDesk</x:v>
      </x:c>
      <x:c r="F2504" s="17" t="str">
        <x:v>Pro</x:v>
      </x:c>
      <x:c r="G2504" s="21" t="n">
        <x:v>18533</x:v>
      </x:c>
      <x:c r="H2504" s="21" t="n">
        <x:v>3558</x:v>
      </x:c>
      <x:c r="I2504" s="17" t="str">
        <x:v>Followup</x:v>
      </x:c>
    </x:row>
    <x:row r="2505" ht="23" customHeight="1">
      <x:c r="A2505" s="17" t="str">
        <x:v>U02499</x:v>
      </x:c>
      <x:c r="B2505" s="18" t="n">
        <x:v>46287</x:v>
      </x:c>
      <x:c r="C2505" s="17" t="str">
        <x:v>W0173</x:v>
      </x:c>
      <x:c r="D2505" s="17" t="str">
        <x:v>C003</x:v>
      </x:c>
      <x:c r="E2505" s="17" t="str">
        <x:v>InsightDesk</x:v>
      </x:c>
      <x:c r="F2505" s="17" t="str">
        <x:v>Pro</x:v>
      </x:c>
      <x:c r="G2505" s="21" t="n">
        <x:v>14792</x:v>
      </x:c>
      <x:c r="H2505" s="21" t="n">
        <x:v>10886</x:v>
      </x:c>
      <x:c r="I2505" s="17" t="str">
        <x:v>Followup</x:v>
      </x:c>
    </x:row>
    <x:row r="2506" ht="23" customHeight="1">
      <x:c r="A2506" s="17" t="str">
        <x:v>U02500</x:v>
      </x:c>
      <x:c r="B2506" s="18" t="n">
        <x:v>46287</x:v>
      </x:c>
      <x:c r="C2506" s="17" t="str">
        <x:v>W0173</x:v>
      </x:c>
      <x:c r="D2506" s="17" t="str">
        <x:v>C003</x:v>
      </x:c>
      <x:c r="E2506" s="17" t="str">
        <x:v>InsightDesk</x:v>
      </x:c>
      <x:c r="F2506" s="17" t="str">
        <x:v>Pro</x:v>
      </x:c>
      <x:c r="G2506" s="21" t="n">
        <x:v>12941</x:v>
      </x:c>
      <x:c r="H2506" s="21" t="n">
        <x:v>4580</x:v>
      </x:c>
      <x:c r="I2506" s="17" t="str">
        <x:v>Correction</x:v>
      </x:c>
    </x:row>
    <x:row r="2507" ht="23" customHeight="1">
      <x:c r="A2507" s="17" t="str">
        <x:v>U02501</x:v>
      </x:c>
      <x:c r="B2507" s="18" t="n">
        <x:v>46288</x:v>
      </x:c>
      <x:c r="C2507" s="17" t="str">
        <x:v>W0173</x:v>
      </x:c>
      <x:c r="D2507" s="17" t="str">
        <x:v>C003</x:v>
      </x:c>
      <x:c r="E2507" s="17" t="str">
        <x:v>InsightDesk</x:v>
      </x:c>
      <x:c r="F2507" s="17" t="str">
        <x:v>Pro</x:v>
      </x:c>
      <x:c r="G2507" s="21" t="n">
        <x:v>11701</x:v>
      </x:c>
      <x:c r="H2507" s="21" t="n">
        <x:v>6213</x:v>
      </x:c>
      <x:c r="I2507" s="17" t="str">
        <x:v>Followup</x:v>
      </x:c>
    </x:row>
    <x:row r="2508" ht="23" customHeight="1">
      <x:c r="A2508" s="17" t="str">
        <x:v>U02502</x:v>
      </x:c>
      <x:c r="B2508" s="18" t="n">
        <x:v>46288</x:v>
      </x:c>
      <x:c r="C2508" s="17" t="str">
        <x:v>W0173</x:v>
      </x:c>
      <x:c r="D2508" s="17" t="str">
        <x:v>C003</x:v>
      </x:c>
      <x:c r="E2508" s="17" t="str">
        <x:v>InsightDesk</x:v>
      </x:c>
      <x:c r="F2508" s="17" t="str">
        <x:v>Pro</x:v>
      </x:c>
      <x:c r="G2508" s="21" t="n">
        <x:v>7391</x:v>
      </x:c>
      <x:c r="H2508" s="21" t="n">
        <x:v>5189</x:v>
      </x:c>
      <x:c r="I2508" s="17" t="str">
        <x:v>Followup</x:v>
      </x:c>
    </x:row>
    <x:row r="2509" ht="23" customHeight="1">
      <x:c r="A2509" s="17" t="str">
        <x:v>U02503</x:v>
      </x:c>
      <x:c r="B2509" s="18" t="n">
        <x:v>46288</x:v>
      </x:c>
      <x:c r="C2509" s="17" t="str">
        <x:v>W0173</x:v>
      </x:c>
      <x:c r="D2509" s="17" t="str">
        <x:v>C003</x:v>
      </x:c>
      <x:c r="E2509" s="17" t="str">
        <x:v>InsightDesk</x:v>
      </x:c>
      <x:c r="F2509" s="17" t="str">
        <x:v>Pro</x:v>
      </x:c>
      <x:c r="G2509" s="21" t="n">
        <x:v>17715</x:v>
      </x:c>
      <x:c r="H2509" s="21" t="n">
        <x:v>10419</x:v>
      </x:c>
      <x:c r="I2509" s="17" t="str">
        <x:v>Correction</x:v>
      </x:c>
    </x:row>
    <x:row r="2510" ht="23" customHeight="1">
      <x:c r="A2510" s="17" t="str">
        <x:v>U02504</x:v>
      </x:c>
      <x:c r="B2510" s="18" t="n">
        <x:v>46289</x:v>
      </x:c>
      <x:c r="C2510" s="17" t="str">
        <x:v>W0173</x:v>
      </x:c>
      <x:c r="D2510" s="17" t="str">
        <x:v>C003</x:v>
      </x:c>
      <x:c r="E2510" s="17" t="str">
        <x:v>InsightDesk</x:v>
      </x:c>
      <x:c r="F2510" s="17" t="str">
        <x:v>Pro</x:v>
      </x:c>
      <x:c r="G2510" s="21" t="n">
        <x:v>16941</x:v>
      </x:c>
      <x:c r="H2510" s="21" t="n">
        <x:v>6035</x:v>
      </x:c>
      <x:c r="I2510" s="17" t="str">
        <x:v>Followup</x:v>
      </x:c>
    </x:row>
    <x:row r="2511" ht="23" customHeight="1">
      <x:c r="A2511" s="17" t="str">
        <x:v>U02505</x:v>
      </x:c>
      <x:c r="B2511" s="18" t="n">
        <x:v>46289</x:v>
      </x:c>
      <x:c r="C2511" s="17" t="str">
        <x:v>W0173</x:v>
      </x:c>
      <x:c r="D2511" s="17" t="str">
        <x:v>C003</x:v>
      </x:c>
      <x:c r="E2511" s="17" t="str">
        <x:v>InsightDesk</x:v>
      </x:c>
      <x:c r="F2511" s="17" t="str">
        <x:v>Pro</x:v>
      </x:c>
      <x:c r="G2511" s="21" t="n">
        <x:v>16197</x:v>
      </x:c>
      <x:c r="H2511" s="21" t="n">
        <x:v>9806</x:v>
      </x:c>
      <x:c r="I2511" s="17" t="str">
        <x:v>Followup</x:v>
      </x:c>
    </x:row>
    <x:row r="2512" ht="23" customHeight="1">
      <x:c r="A2512" s="17" t="str">
        <x:v>U02506</x:v>
      </x:c>
      <x:c r="B2512" s="18" t="n">
        <x:v>46289</x:v>
      </x:c>
      <x:c r="C2512" s="17" t="str">
        <x:v>W0173</x:v>
      </x:c>
      <x:c r="D2512" s="17" t="str">
        <x:v>C003</x:v>
      </x:c>
      <x:c r="E2512" s="17" t="str">
        <x:v>InsightDesk</x:v>
      </x:c>
      <x:c r="F2512" s="17" t="str">
        <x:v>Pro</x:v>
      </x:c>
      <x:c r="G2512" s="21" t="n">
        <x:v>20289</x:v>
      </x:c>
      <x:c r="H2512" s="21" t="n">
        <x:v>9356</x:v>
      </x:c>
      <x:c r="I2512" s="17" t="str">
        <x:v>Followup</x:v>
      </x:c>
    </x:row>
    <x:row r="2513" ht="23" customHeight="1">
      <x:c r="A2513" s="17" t="str">
        <x:v>U02507</x:v>
      </x:c>
      <x:c r="B2513" s="18" t="n">
        <x:v>46289</x:v>
      </x:c>
      <x:c r="C2513" s="17" t="str">
        <x:v>W0176</x:v>
      </x:c>
      <x:c r="D2513" s="17" t="str">
        <x:v>C003</x:v>
      </x:c>
      <x:c r="E2513" s="17" t="str">
        <x:v>CopyStudio</x:v>
      </x:c>
      <x:c r="F2513" s="17" t="str">
        <x:v>Pro</x:v>
      </x:c>
      <x:c r="G2513" s="21" t="n">
        <x:v>31104</x:v>
      </x:c>
      <x:c r="H2513" s="21" t="n">
        <x:v>3408</x:v>
      </x:c>
      <x:c r="I2513" s="17" t="str">
        <x:v>First attempt</x:v>
      </x:c>
    </x:row>
    <x:row r="2514" ht="23" customHeight="1">
      <x:c r="A2514" s="17" t="str">
        <x:v>U02508</x:v>
      </x:c>
      <x:c r="B2514" s="18" t="n">
        <x:v>46289</x:v>
      </x:c>
      <x:c r="C2514" s="17" t="str">
        <x:v>W0176</x:v>
      </x:c>
      <x:c r="D2514" s="17" t="str">
        <x:v>C003</x:v>
      </x:c>
      <x:c r="E2514" s="17" t="str">
        <x:v>CopyStudio</x:v>
      </x:c>
      <x:c r="F2514" s="17" t="str">
        <x:v>Pro</x:v>
      </x:c>
      <x:c r="G2514" s="21" t="n">
        <x:v>28246</x:v>
      </x:c>
      <x:c r="H2514" s="21" t="n">
        <x:v>3026</x:v>
      </x:c>
      <x:c r="I2514" s="17" t="str">
        <x:v>Followup</x:v>
      </x:c>
    </x:row>
    <x:row r="2515" ht="23" customHeight="1">
      <x:c r="A2515" s="17" t="str">
        <x:v>U02509</x:v>
      </x:c>
      <x:c r="B2515" s="18" t="n">
        <x:v>46289</x:v>
      </x:c>
      <x:c r="C2515" s="17" t="str">
        <x:v>W0176</x:v>
      </x:c>
      <x:c r="D2515" s="17" t="str">
        <x:v>C003</x:v>
      </x:c>
      <x:c r="E2515" s="17" t="str">
        <x:v>CopyStudio</x:v>
      </x:c>
      <x:c r="F2515" s="17" t="str">
        <x:v>Pro</x:v>
      </x:c>
      <x:c r="G2515" s="21" t="n">
        <x:v>21811</x:v>
      </x:c>
      <x:c r="H2515" s="21" t="n">
        <x:v>11020</x:v>
      </x:c>
      <x:c r="I2515" s="17" t="str">
        <x:v>Correction</x:v>
      </x:c>
    </x:row>
    <x:row r="2516" ht="23" customHeight="1">
      <x:c r="A2516" s="17" t="str">
        <x:v>U02510</x:v>
      </x:c>
      <x:c r="B2516" s="18" t="n">
        <x:v>46289</x:v>
      </x:c>
      <x:c r="C2516" s="17" t="str">
        <x:v>W0176</x:v>
      </x:c>
      <x:c r="D2516" s="17" t="str">
        <x:v>C003</x:v>
      </x:c>
      <x:c r="E2516" s="17" t="str">
        <x:v>CopyStudio</x:v>
      </x:c>
      <x:c r="F2516" s="17" t="str">
        <x:v>Pro</x:v>
      </x:c>
      <x:c r="G2516" s="21" t="n">
        <x:v>32380</x:v>
      </x:c>
      <x:c r="H2516" s="21" t="n">
        <x:v>3959</x:v>
      </x:c>
      <x:c r="I2516" s="17" t="str">
        <x:v>Followup</x:v>
      </x:c>
    </x:row>
    <x:row r="2517" ht="23" customHeight="1">
      <x:c r="A2517" s="17" t="str">
        <x:v>U02511</x:v>
      </x:c>
      <x:c r="B2517" s="18" t="n">
        <x:v>46290</x:v>
      </x:c>
      <x:c r="C2517" s="17" t="str">
        <x:v>W0176</x:v>
      </x:c>
      <x:c r="D2517" s="17" t="str">
        <x:v>C003</x:v>
      </x:c>
      <x:c r="E2517" s="17" t="str">
        <x:v>CopyStudio</x:v>
      </x:c>
      <x:c r="F2517" s="17" t="str">
        <x:v>Pro</x:v>
      </x:c>
      <x:c r="G2517" s="21" t="n">
        <x:v>22938</x:v>
      </x:c>
      <x:c r="H2517" s="21" t="n">
        <x:v>4053</x:v>
      </x:c>
      <x:c r="I2517" s="17" t="str">
        <x:v>Correction</x:v>
      </x:c>
    </x:row>
    <x:row r="2518" ht="23" customHeight="1">
      <x:c r="A2518" s="17" t="str">
        <x:v>U02512</x:v>
      </x:c>
      <x:c r="B2518" s="18" t="n">
        <x:v>46290</x:v>
      </x:c>
      <x:c r="C2518" s="17" t="str">
        <x:v>W0176</x:v>
      </x:c>
      <x:c r="D2518" s="17" t="str">
        <x:v>C003</x:v>
      </x:c>
      <x:c r="E2518" s="17" t="str">
        <x:v>CopyStudio</x:v>
      </x:c>
      <x:c r="F2518" s="17" t="str">
        <x:v>Pro</x:v>
      </x:c>
      <x:c r="G2518" s="21" t="n">
        <x:v>19543</x:v>
      </x:c>
      <x:c r="H2518" s="21" t="n">
        <x:v>5912</x:v>
      </x:c>
      <x:c r="I2518" s="17" t="str">
        <x:v>Followup</x:v>
      </x:c>
    </x:row>
    <x:row r="2519" ht="23" customHeight="1">
      <x:c r="A2519" s="17" t="str">
        <x:v>U02513</x:v>
      </x:c>
      <x:c r="B2519" s="18" t="n">
        <x:v>46290</x:v>
      </x:c>
      <x:c r="C2519" s="17" t="str">
        <x:v>W0176</x:v>
      </x:c>
      <x:c r="D2519" s="17" t="str">
        <x:v>C003</x:v>
      </x:c>
      <x:c r="E2519" s="17" t="str">
        <x:v>CopyStudio</x:v>
      </x:c>
      <x:c r="F2519" s="17" t="str">
        <x:v>Pro</x:v>
      </x:c>
      <x:c r="G2519" s="21" t="n">
        <x:v>38674</x:v>
      </x:c>
      <x:c r="H2519" s="21" t="n">
        <x:v>4124</x:v>
      </x:c>
      <x:c r="I2519" s="17" t="str">
        <x:v>Followup</x:v>
      </x:c>
    </x:row>
    <x:row r="2520" ht="23" customHeight="1">
      <x:c r="A2520" s="17" t="str">
        <x:v>U02514</x:v>
      </x:c>
      <x:c r="B2520" s="18" t="n">
        <x:v>46293</x:v>
      </x:c>
      <x:c r="C2520" s="17" t="str">
        <x:v>W0176</x:v>
      </x:c>
      <x:c r="D2520" s="17" t="str">
        <x:v>C003</x:v>
      </x:c>
      <x:c r="E2520" s="17" t="str">
        <x:v>CopyStudio</x:v>
      </x:c>
      <x:c r="F2520" s="17" t="str">
        <x:v>Pro</x:v>
      </x:c>
      <x:c r="G2520" s="21" t="n">
        <x:v>18774</x:v>
      </x:c>
      <x:c r="H2520" s="21" t="n">
        <x:v>4396</x:v>
      </x:c>
      <x:c r="I2520" s="17" t="str">
        <x:v>Correction</x:v>
      </x:c>
    </x:row>
    <x:row r="2521" ht="23" customHeight="1">
      <x:c r="A2521" s="17" t="str">
        <x:v>U02515</x:v>
      </x:c>
      <x:c r="B2521" s="18" t="n">
        <x:v>46293</x:v>
      </x:c>
      <x:c r="C2521" s="17" t="str">
        <x:v>W0176</x:v>
      </x:c>
      <x:c r="D2521" s="17" t="str">
        <x:v>C003</x:v>
      </x:c>
      <x:c r="E2521" s="17" t="str">
        <x:v>CopyStudio</x:v>
      </x:c>
      <x:c r="F2521" s="17" t="str">
        <x:v>Pro</x:v>
      </x:c>
      <x:c r="G2521" s="21" t="n">
        <x:v>39884</x:v>
      </x:c>
      <x:c r="H2521" s="21" t="n">
        <x:v>11337</x:v>
      </x:c>
      <x:c r="I2521" s="17" t="str">
        <x:v>Followup</x:v>
      </x:c>
    </x:row>
    <x:row r="2522" ht="23" customHeight="1">
      <x:c r="A2522" s="17" t="str">
        <x:v>U02516</x:v>
      </x:c>
      <x:c r="B2522" s="18" t="n">
        <x:v>46293</x:v>
      </x:c>
      <x:c r="C2522" s="17" t="str">
        <x:v>W0176</x:v>
      </x:c>
      <x:c r="D2522" s="17" t="str">
        <x:v>C003</x:v>
      </x:c>
      <x:c r="E2522" s="17" t="str">
        <x:v>CopyStudio</x:v>
      </x:c>
      <x:c r="F2522" s="17" t="str">
        <x:v>Pro</x:v>
      </x:c>
      <x:c r="G2522" s="21" t="n">
        <x:v>38710</x:v>
      </x:c>
      <x:c r="H2522" s="21" t="n">
        <x:v>7403</x:v>
      </x:c>
      <x:c r="I2522" s="17" t="str">
        <x:v>Followup</x:v>
      </x:c>
    </x:row>
    <x:row r="2523" ht="23" customHeight="1">
      <x:c r="A2523" s="17" t="str">
        <x:v>U02517</x:v>
      </x:c>
      <x:c r="B2523" s="18" t="n">
        <x:v>46293</x:v>
      </x:c>
      <x:c r="C2523" s="17" t="str">
        <x:v>W0176</x:v>
      </x:c>
      <x:c r="D2523" s="17" t="str">
        <x:v>C003</x:v>
      </x:c>
      <x:c r="E2523" s="17" t="str">
        <x:v>CopyStudio</x:v>
      </x:c>
      <x:c r="F2523" s="17" t="str">
        <x:v>Pro</x:v>
      </x:c>
      <x:c r="G2523" s="21" t="n">
        <x:v>31602</x:v>
      </x:c>
      <x:c r="H2523" s="21" t="n">
        <x:v>4036</x:v>
      </x:c>
      <x:c r="I2523" s="17" t="str">
        <x:v>Correction</x:v>
      </x:c>
    </x:row>
    <x:row r="2524" ht="23" customHeight="1">
      <x:c r="A2524" s="17" t="str">
        <x:v>U02518</x:v>
      </x:c>
      <x:c r="B2524" s="18" t="n">
        <x:v>46294</x:v>
      </x:c>
      <x:c r="C2524" s="17" t="str">
        <x:v>W0176</x:v>
      </x:c>
      <x:c r="D2524" s="17" t="str">
        <x:v>C003</x:v>
      </x:c>
      <x:c r="E2524" s="17" t="str">
        <x:v>CopyStudio</x:v>
      </x:c>
      <x:c r="F2524" s="17" t="str">
        <x:v>Pro</x:v>
      </x:c>
      <x:c r="G2524" s="21" t="n">
        <x:v>24520</x:v>
      </x:c>
      <x:c r="H2524" s="21" t="n">
        <x:v>9991</x:v>
      </x:c>
      <x:c r="I2524" s="17" t="str">
        <x:v>Followup</x:v>
      </x:c>
    </x:row>
    <x:row r="2525" ht="23" customHeight="1">
      <x:c r="A2525" s="17" t="str">
        <x:v>U02519</x:v>
      </x:c>
      <x:c r="B2525" s="18" t="n">
        <x:v>46294</x:v>
      </x:c>
      <x:c r="C2525" s="17" t="str">
        <x:v>W0176</x:v>
      </x:c>
      <x:c r="D2525" s="17" t="str">
        <x:v>C003</x:v>
      </x:c>
      <x:c r="E2525" s="17" t="str">
        <x:v>CopyStudio</x:v>
      </x:c>
      <x:c r="F2525" s="17" t="str">
        <x:v>Pro</x:v>
      </x:c>
      <x:c r="G2525" s="21" t="n">
        <x:v>27698</x:v>
      </x:c>
      <x:c r="H2525" s="21" t="n">
        <x:v>8486</x:v>
      </x:c>
      <x:c r="I2525" s="17" t="str">
        <x:v>Followup</x:v>
      </x:c>
    </x:row>
    <x:row r="2526" ht="23" customHeight="1">
      <x:c r="A2526" s="17" t="str">
        <x:v>U02520</x:v>
      </x:c>
      <x:c r="B2526" s="18" t="n">
        <x:v>46294</x:v>
      </x:c>
      <x:c r="C2526" s="17" t="str">
        <x:v>W0176</x:v>
      </x:c>
      <x:c r="D2526" s="17" t="str">
        <x:v>C003</x:v>
      </x:c>
      <x:c r="E2526" s="17" t="str">
        <x:v>CopyStudio</x:v>
      </x:c>
      <x:c r="F2526" s="17" t="str">
        <x:v>Pro</x:v>
      </x:c>
      <x:c r="G2526" s="21" t="n">
        <x:v>20917</x:v>
      </x:c>
      <x:c r="H2526" s="21" t="n">
        <x:v>7103</x:v>
      </x:c>
      <x:c r="I2526" s="17" t="str">
        <x:v>Followup</x:v>
      </x:c>
    </x:row>
    <x:row r="2527" ht="23" customHeight="1">
      <x:c r="A2527" s="17" t="str">
        <x:v>U02521</x:v>
      </x:c>
      <x:c r="B2527" s="18" t="n">
        <x:v>46267</x:v>
      </x:c>
      <x:c r="C2527" s="17" t="str">
        <x:v>W0182</x:v>
      </x:c>
      <x:c r="D2527" s="17" t="str">
        <x:v>C004</x:v>
      </x:c>
      <x:c r="E2527" s="17" t="str">
        <x:v>CampaignChat</x:v>
      </x:c>
      <x:c r="F2527" s="17" t="str">
        <x:v>Lite</x:v>
      </x:c>
      <x:c r="G2527" s="21" t="n">
        <x:v>17085</x:v>
      </x:c>
      <x:c r="H2527" s="21" t="n">
        <x:v>5274</x:v>
      </x:c>
      <x:c r="I2527" s="17" t="str">
        <x:v>First attempt</x:v>
      </x:c>
    </x:row>
    <x:row r="2528" ht="23" customHeight="1">
      <x:c r="A2528" s="17" t="str">
        <x:v>U02522</x:v>
      </x:c>
      <x:c r="B2528" s="18" t="n">
        <x:v>46267</x:v>
      </x:c>
      <x:c r="C2528" s="17" t="str">
        <x:v>W0182</x:v>
      </x:c>
      <x:c r="D2528" s="17" t="str">
        <x:v>C004</x:v>
      </x:c>
      <x:c r="E2528" s="17" t="str">
        <x:v>CampaignChat</x:v>
      </x:c>
      <x:c r="F2528" s="17" t="str">
        <x:v>Lite</x:v>
      </x:c>
      <x:c r="G2528" s="21" t="n">
        <x:v>21678</x:v>
      </x:c>
      <x:c r="H2528" s="21" t="n">
        <x:v>7088</x:v>
      </x:c>
      <x:c r="I2528" s="17" t="str">
        <x:v>Followup</x:v>
      </x:c>
    </x:row>
    <x:row r="2529" ht="23" customHeight="1">
      <x:c r="A2529" s="17" t="str">
        <x:v>U02523</x:v>
      </x:c>
      <x:c r="B2529" s="18" t="n">
        <x:v>46267</x:v>
      </x:c>
      <x:c r="C2529" s="17" t="str">
        <x:v>W0182</x:v>
      </x:c>
      <x:c r="D2529" s="17" t="str">
        <x:v>C004</x:v>
      </x:c>
      <x:c r="E2529" s="17" t="str">
        <x:v>CampaignChat</x:v>
      </x:c>
      <x:c r="F2529" s="17" t="str">
        <x:v>Lite</x:v>
      </x:c>
      <x:c r="G2529" s="21" t="n">
        <x:v>10462</x:v>
      </x:c>
      <x:c r="H2529" s="21" t="n">
        <x:v>4924</x:v>
      </x:c>
      <x:c r="I2529" s="17" t="str">
        <x:v>Correction</x:v>
      </x:c>
    </x:row>
    <x:row r="2530" ht="23" customHeight="1">
      <x:c r="A2530" s="17" t="str">
        <x:v>U02524</x:v>
      </x:c>
      <x:c r="B2530" s="18" t="n">
        <x:v>46267</x:v>
      </x:c>
      <x:c r="C2530" s="17" t="str">
        <x:v>W0182</x:v>
      </x:c>
      <x:c r="D2530" s="17" t="str">
        <x:v>C004</x:v>
      </x:c>
      <x:c r="E2530" s="17" t="str">
        <x:v>CampaignChat</x:v>
      </x:c>
      <x:c r="F2530" s="17" t="str">
        <x:v>Lite</x:v>
      </x:c>
      <x:c r="G2530" s="21" t="n">
        <x:v>16029</x:v>
      </x:c>
      <x:c r="H2530" s="21" t="n">
        <x:v>2542</x:v>
      </x:c>
      <x:c r="I2530" s="17" t="str">
        <x:v>Followup</x:v>
      </x:c>
    </x:row>
    <x:row r="2531" ht="23" customHeight="1">
      <x:c r="A2531" s="17" t="str">
        <x:v>U02525</x:v>
      </x:c>
      <x:c r="B2531" s="18" t="n">
        <x:v>46267</x:v>
      </x:c>
      <x:c r="C2531" s="17" t="str">
        <x:v>W0182</x:v>
      </x:c>
      <x:c r="D2531" s="17" t="str">
        <x:v>C004</x:v>
      </x:c>
      <x:c r="E2531" s="17" t="str">
        <x:v>CampaignChat</x:v>
      </x:c>
      <x:c r="F2531" s="17" t="str">
        <x:v>Lite</x:v>
      </x:c>
      <x:c r="G2531" s="21" t="n">
        <x:v>14664</x:v>
      </x:c>
      <x:c r="H2531" s="21" t="n">
        <x:v>8646</x:v>
      </x:c>
      <x:c r="I2531" s="17" t="str">
        <x:v>Followup</x:v>
      </x:c>
    </x:row>
    <x:row r="2532" ht="23" customHeight="1">
      <x:c r="A2532" s="17" t="str">
        <x:v>U02526</x:v>
      </x:c>
      <x:c r="B2532" s="18" t="n">
        <x:v>46268</x:v>
      </x:c>
      <x:c r="C2532" s="17" t="str">
        <x:v>W0182</x:v>
      </x:c>
      <x:c r="D2532" s="17" t="str">
        <x:v>C004</x:v>
      </x:c>
      <x:c r="E2532" s="17" t="str">
        <x:v>CampaignChat</x:v>
      </x:c>
      <x:c r="F2532" s="17" t="str">
        <x:v>Lite</x:v>
      </x:c>
      <x:c r="G2532" s="21" t="n">
        <x:v>24176</x:v>
      </x:c>
      <x:c r="H2532" s="21" t="n">
        <x:v>4744</x:v>
      </x:c>
      <x:c r="I2532" s="17" t="str">
        <x:v>Followup</x:v>
      </x:c>
    </x:row>
    <x:row r="2533" ht="23" customHeight="1">
      <x:c r="A2533" s="17" t="str">
        <x:v>U02527</x:v>
      </x:c>
      <x:c r="B2533" s="18" t="n">
        <x:v>46268</x:v>
      </x:c>
      <x:c r="C2533" s="17" t="str">
        <x:v>W0182</x:v>
      </x:c>
      <x:c r="D2533" s="17" t="str">
        <x:v>C004</x:v>
      </x:c>
      <x:c r="E2533" s="17" t="str">
        <x:v>CampaignChat</x:v>
      </x:c>
      <x:c r="F2533" s="17" t="str">
        <x:v>Lite</x:v>
      </x:c>
      <x:c r="G2533" s="21" t="n">
        <x:v>10586</x:v>
      </x:c>
      <x:c r="H2533" s="21" t="n">
        <x:v>7379</x:v>
      </x:c>
      <x:c r="I2533" s="17" t="str">
        <x:v>Followup</x:v>
      </x:c>
    </x:row>
    <x:row r="2534" ht="23" customHeight="1">
      <x:c r="A2534" s="17" t="str">
        <x:v>U02528</x:v>
      </x:c>
      <x:c r="B2534" s="18" t="n">
        <x:v>46268</x:v>
      </x:c>
      <x:c r="C2534" s="17" t="str">
        <x:v>W0182</x:v>
      </x:c>
      <x:c r="D2534" s="17" t="str">
        <x:v>C004</x:v>
      </x:c>
      <x:c r="E2534" s="17" t="str">
        <x:v>CampaignChat</x:v>
      </x:c>
      <x:c r="F2534" s="17" t="str">
        <x:v>Lite</x:v>
      </x:c>
      <x:c r="G2534" s="21" t="n">
        <x:v>24540</x:v>
      </x:c>
      <x:c r="H2534" s="21" t="n">
        <x:v>4566</x:v>
      </x:c>
      <x:c r="I2534" s="17" t="str">
        <x:v>Followup</x:v>
      </x:c>
    </x:row>
    <x:row r="2535" ht="23" customHeight="1">
      <x:c r="A2535" s="17" t="str">
        <x:v>U02529</x:v>
      </x:c>
      <x:c r="B2535" s="18" t="n">
        <x:v>46268</x:v>
      </x:c>
      <x:c r="C2535" s="17" t="str">
        <x:v>W0182</x:v>
      </x:c>
      <x:c r="D2535" s="17" t="str">
        <x:v>C004</x:v>
      </x:c>
      <x:c r="E2535" s="17" t="str">
        <x:v>CampaignChat</x:v>
      </x:c>
      <x:c r="F2535" s="17" t="str">
        <x:v>Lite</x:v>
      </x:c>
      <x:c r="G2535" s="21" t="n">
        <x:v>15534</x:v>
      </x:c>
      <x:c r="H2535" s="21" t="n">
        <x:v>4684</x:v>
      </x:c>
      <x:c r="I2535" s="17" t="str">
        <x:v>Correction</x:v>
      </x:c>
    </x:row>
    <x:row r="2536" ht="23" customHeight="1">
      <x:c r="A2536" s="17" t="str">
        <x:v>U02530</x:v>
      </x:c>
      <x:c r="B2536" s="18" t="n">
        <x:v>46269</x:v>
      </x:c>
      <x:c r="C2536" s="17" t="str">
        <x:v>W0182</x:v>
      </x:c>
      <x:c r="D2536" s="17" t="str">
        <x:v>C004</x:v>
      </x:c>
      <x:c r="E2536" s="17" t="str">
        <x:v>CampaignChat</x:v>
      </x:c>
      <x:c r="F2536" s="17" t="str">
        <x:v>Lite</x:v>
      </x:c>
      <x:c r="G2536" s="21" t="n">
        <x:v>14262</x:v>
      </x:c>
      <x:c r="H2536" s="21" t="n">
        <x:v>8148</x:v>
      </x:c>
      <x:c r="I2536" s="17" t="str">
        <x:v>Followup</x:v>
      </x:c>
    </x:row>
    <x:row r="2537" ht="23" customHeight="1">
      <x:c r="A2537" s="17" t="str">
        <x:v>U02531</x:v>
      </x:c>
      <x:c r="B2537" s="18" t="n">
        <x:v>46269</x:v>
      </x:c>
      <x:c r="C2537" s="17" t="str">
        <x:v>W0182</x:v>
      </x:c>
      <x:c r="D2537" s="17" t="str">
        <x:v>C004</x:v>
      </x:c>
      <x:c r="E2537" s="17" t="str">
        <x:v>CampaignChat</x:v>
      </x:c>
      <x:c r="F2537" s="17" t="str">
        <x:v>Lite</x:v>
      </x:c>
      <x:c r="G2537" s="21" t="n">
        <x:v>18879</x:v>
      </x:c>
      <x:c r="H2537" s="21" t="n">
        <x:v>8385</x:v>
      </x:c>
      <x:c r="I2537" s="17" t="str">
        <x:v>Correction</x:v>
      </x:c>
    </x:row>
    <x:row r="2538" ht="23" customHeight="1">
      <x:c r="A2538" s="17" t="str">
        <x:v>U02532</x:v>
      </x:c>
      <x:c r="B2538" s="18" t="n">
        <x:v>46269</x:v>
      </x:c>
      <x:c r="C2538" s="17" t="str">
        <x:v>W0182</x:v>
      </x:c>
      <x:c r="D2538" s="17" t="str">
        <x:v>C004</x:v>
      </x:c>
      <x:c r="E2538" s="17" t="str">
        <x:v>CampaignChat</x:v>
      </x:c>
      <x:c r="F2538" s="17" t="str">
        <x:v>Lite</x:v>
      </x:c>
      <x:c r="G2538" s="21" t="n">
        <x:v>9750</x:v>
      </x:c>
      <x:c r="H2538" s="21" t="n">
        <x:v>5116</x:v>
      </x:c>
      <x:c r="I2538" s="17" t="str">
        <x:v>Followup</x:v>
      </x:c>
    </x:row>
    <x:row r="2539" ht="23" customHeight="1">
      <x:c r="A2539" s="17" t="str">
        <x:v>U02533</x:v>
      </x:c>
      <x:c r="B2539" s="18" t="n">
        <x:v>46269</x:v>
      </x:c>
      <x:c r="C2539" s="17" t="str">
        <x:v>W0182</x:v>
      </x:c>
      <x:c r="D2539" s="17" t="str">
        <x:v>C004</x:v>
      </x:c>
      <x:c r="E2539" s="17" t="str">
        <x:v>CampaignChat</x:v>
      </x:c>
      <x:c r="F2539" s="17" t="str">
        <x:v>Lite</x:v>
      </x:c>
      <x:c r="G2539" s="21" t="n">
        <x:v>9179</x:v>
      </x:c>
      <x:c r="H2539" s="21" t="n">
        <x:v>4902</x:v>
      </x:c>
      <x:c r="I2539" s="17" t="str">
        <x:v>Followup</x:v>
      </x:c>
    </x:row>
    <x:row r="2540" ht="23" customHeight="1">
      <x:c r="A2540" s="17" t="str">
        <x:v>U02534</x:v>
      </x:c>
      <x:c r="B2540" s="18" t="n">
        <x:v>46273</x:v>
      </x:c>
      <x:c r="C2540" s="17" t="str">
        <x:v>W0182</x:v>
      </x:c>
      <x:c r="D2540" s="17" t="str">
        <x:v>C004</x:v>
      </x:c>
      <x:c r="E2540" s="17" t="str">
        <x:v>CampaignChat</x:v>
      </x:c>
      <x:c r="F2540" s="17" t="str">
        <x:v>Lite</x:v>
      </x:c>
      <x:c r="G2540" s="21" t="n">
        <x:v>20322</x:v>
      </x:c>
      <x:c r="H2540" s="21" t="n">
        <x:v>4627</x:v>
      </x:c>
      <x:c r="I2540" s="17" t="str">
        <x:v>Correction</x:v>
      </x:c>
    </x:row>
    <x:row r="2541" ht="23" customHeight="1">
      <x:c r="A2541" s="17" t="str">
        <x:v>U02535</x:v>
      </x:c>
      <x:c r="B2541" s="18" t="n">
        <x:v>46273</x:v>
      </x:c>
      <x:c r="C2541" s="17" t="str">
        <x:v>W0182</x:v>
      </x:c>
      <x:c r="D2541" s="17" t="str">
        <x:v>C004</x:v>
      </x:c>
      <x:c r="E2541" s="17" t="str">
        <x:v>CampaignChat</x:v>
      </x:c>
      <x:c r="F2541" s="17" t="str">
        <x:v>Lite</x:v>
      </x:c>
      <x:c r="G2541" s="21" t="n">
        <x:v>11094</x:v>
      </x:c>
      <x:c r="H2541" s="21" t="n">
        <x:v>6621</x:v>
      </x:c>
      <x:c r="I2541" s="17" t="str">
        <x:v>Followup</x:v>
      </x:c>
    </x:row>
    <x:row r="2542" ht="23" customHeight="1">
      <x:c r="A2542" s="17" t="str">
        <x:v>U02536</x:v>
      </x:c>
      <x:c r="B2542" s="18" t="n">
        <x:v>46273</x:v>
      </x:c>
      <x:c r="C2542" s="17" t="str">
        <x:v>W0182</x:v>
      </x:c>
      <x:c r="D2542" s="17" t="str">
        <x:v>C004</x:v>
      </x:c>
      <x:c r="E2542" s="17" t="str">
        <x:v>CampaignChat</x:v>
      </x:c>
      <x:c r="F2542" s="17" t="str">
        <x:v>Lite</x:v>
      </x:c>
      <x:c r="G2542" s="21" t="n">
        <x:v>10469</x:v>
      </x:c>
      <x:c r="H2542" s="21" t="n">
        <x:v>6736</x:v>
      </x:c>
      <x:c r="I2542" s="17" t="str">
        <x:v>Followup</x:v>
      </x:c>
    </x:row>
    <x:row r="2543" ht="23" customHeight="1">
      <x:c r="A2543" s="17" t="str">
        <x:v>U02537</x:v>
      </x:c>
      <x:c r="B2543" s="18" t="n">
        <x:v>46273</x:v>
      </x:c>
      <x:c r="C2543" s="17" t="str">
        <x:v>W0182</x:v>
      </x:c>
      <x:c r="D2543" s="17" t="str">
        <x:v>C004</x:v>
      </x:c>
      <x:c r="E2543" s="17" t="str">
        <x:v>CampaignChat</x:v>
      </x:c>
      <x:c r="F2543" s="17" t="str">
        <x:v>Lite</x:v>
      </x:c>
      <x:c r="G2543" s="21" t="n">
        <x:v>24208</x:v>
      </x:c>
      <x:c r="H2543" s="21" t="n">
        <x:v>4734</x:v>
      </x:c>
      <x:c r="I2543" s="17" t="str">
        <x:v>Followup</x:v>
      </x:c>
    </x:row>
    <x:row r="2544" ht="23" customHeight="1">
      <x:c r="A2544" s="17" t="str">
        <x:v>U02538</x:v>
      </x:c>
      <x:c r="B2544" s="18" t="n">
        <x:v>46279</x:v>
      </x:c>
      <x:c r="C2544" s="17" t="str">
        <x:v>W0183</x:v>
      </x:c>
      <x:c r="D2544" s="17" t="str">
        <x:v>C004</x:v>
      </x:c>
      <x:c r="E2544" s="17" t="str">
        <x:v>CopyStudio</x:v>
      </x:c>
      <x:c r="F2544" s="17" t="str">
        <x:v>Lite</x:v>
      </x:c>
      <x:c r="G2544" s="21" t="n">
        <x:v>31087</x:v>
      </x:c>
      <x:c r="H2544" s="21" t="n">
        <x:v>4207</x:v>
      </x:c>
      <x:c r="I2544" s="17" t="str">
        <x:v>First attempt</x:v>
      </x:c>
    </x:row>
    <x:row r="2545" ht="23" customHeight="1">
      <x:c r="A2545" s="17" t="str">
        <x:v>U02539</x:v>
      </x:c>
      <x:c r="B2545" s="18" t="n">
        <x:v>46279</x:v>
      </x:c>
      <x:c r="C2545" s="17" t="str">
        <x:v>W0183</x:v>
      </x:c>
      <x:c r="D2545" s="17" t="str">
        <x:v>C004</x:v>
      </x:c>
      <x:c r="E2545" s="17" t="str">
        <x:v>CopyStudio</x:v>
      </x:c>
      <x:c r="F2545" s="17" t="str">
        <x:v>Lite</x:v>
      </x:c>
      <x:c r="G2545" s="21" t="n">
        <x:v>30757</x:v>
      </x:c>
      <x:c r="H2545" s="21" t="n">
        <x:v>5265</x:v>
      </x:c>
      <x:c r="I2545" s="17" t="str">
        <x:v>Correction</x:v>
      </x:c>
    </x:row>
    <x:row r="2546" ht="23" customHeight="1">
      <x:c r="A2546" s="17" t="str">
        <x:v>U02540</x:v>
      </x:c>
      <x:c r="B2546" s="18" t="n">
        <x:v>46279</x:v>
      </x:c>
      <x:c r="C2546" s="17" t="str">
        <x:v>W0183</x:v>
      </x:c>
      <x:c r="D2546" s="17" t="str">
        <x:v>C004</x:v>
      </x:c>
      <x:c r="E2546" s="17" t="str">
        <x:v>CopyStudio</x:v>
      </x:c>
      <x:c r="F2546" s="17" t="str">
        <x:v>Lite</x:v>
      </x:c>
      <x:c r="G2546" s="21" t="n">
        <x:v>29721</x:v>
      </x:c>
      <x:c r="H2546" s="21" t="n">
        <x:v>4128</x:v>
      </x:c>
      <x:c r="I2546" s="17" t="str">
        <x:v>Followup</x:v>
      </x:c>
    </x:row>
    <x:row r="2547" ht="23" customHeight="1">
      <x:c r="A2547" s="17" t="str">
        <x:v>U02541</x:v>
      </x:c>
      <x:c r="B2547" s="18" t="n">
        <x:v>46280</x:v>
      </x:c>
      <x:c r="C2547" s="17" t="str">
        <x:v>W0183</x:v>
      </x:c>
      <x:c r="D2547" s="17" t="str">
        <x:v>C004</x:v>
      </x:c>
      <x:c r="E2547" s="17" t="str">
        <x:v>CopyStudio</x:v>
      </x:c>
      <x:c r="F2547" s="17" t="str">
        <x:v>Lite</x:v>
      </x:c>
      <x:c r="G2547" s="21" t="n">
        <x:v>24592</x:v>
      </x:c>
      <x:c r="H2547" s="21" t="n">
        <x:v>3626</x:v>
      </x:c>
      <x:c r="I2547" s="17" t="str">
        <x:v>Followup</x:v>
      </x:c>
    </x:row>
    <x:row r="2548" ht="23" customHeight="1">
      <x:c r="A2548" s="17" t="str">
        <x:v>U02542</x:v>
      </x:c>
      <x:c r="B2548" s="18" t="n">
        <x:v>46280</x:v>
      </x:c>
      <x:c r="C2548" s="17" t="str">
        <x:v>W0183</x:v>
      </x:c>
      <x:c r="D2548" s="17" t="str">
        <x:v>C004</x:v>
      </x:c>
      <x:c r="E2548" s="17" t="str">
        <x:v>CopyStudio</x:v>
      </x:c>
      <x:c r="F2548" s="17" t="str">
        <x:v>Lite</x:v>
      </x:c>
      <x:c r="G2548" s="21" t="n">
        <x:v>24762</x:v>
      </x:c>
      <x:c r="H2548" s="21" t="n">
        <x:v>4669</x:v>
      </x:c>
      <x:c r="I2548" s="17" t="str">
        <x:v>Followup</x:v>
      </x:c>
    </x:row>
    <x:row r="2549" ht="23" customHeight="1">
      <x:c r="A2549" s="17" t="str">
        <x:v>U02543</x:v>
      </x:c>
      <x:c r="B2549" s="18" t="n">
        <x:v>46280</x:v>
      </x:c>
      <x:c r="C2549" s="17" t="str">
        <x:v>W0183</x:v>
      </x:c>
      <x:c r="D2549" s="17" t="str">
        <x:v>C004</x:v>
      </x:c>
      <x:c r="E2549" s="17" t="str">
        <x:v>CopyStudio</x:v>
      </x:c>
      <x:c r="F2549" s="17" t="str">
        <x:v>Lite</x:v>
      </x:c>
      <x:c r="G2549" s="21" t="n">
        <x:v>32120</x:v>
      </x:c>
      <x:c r="H2549" s="21" t="n">
        <x:v>4726</x:v>
      </x:c>
      <x:c r="I2549" s="17" t="str">
        <x:v>Followup</x:v>
      </x:c>
    </x:row>
    <x:row r="2550" ht="23" customHeight="1">
      <x:c r="A2550" s="17" t="str">
        <x:v>U02544</x:v>
      </x:c>
      <x:c r="B2550" s="18" t="n">
        <x:v>46281</x:v>
      </x:c>
      <x:c r="C2550" s="17" t="str">
        <x:v>W0183</x:v>
      </x:c>
      <x:c r="D2550" s="17" t="str">
        <x:v>C004</x:v>
      </x:c>
      <x:c r="E2550" s="17" t="str">
        <x:v>CopyStudio</x:v>
      </x:c>
      <x:c r="F2550" s="17" t="str">
        <x:v>Lite</x:v>
      </x:c>
      <x:c r="G2550" s="21" t="n">
        <x:v>24648</x:v>
      </x:c>
      <x:c r="H2550" s="21" t="n">
        <x:v>5620</x:v>
      </x:c>
      <x:c r="I2550" s="17" t="str">
        <x:v>Correction</x:v>
      </x:c>
    </x:row>
    <x:row r="2551" ht="23" customHeight="1">
      <x:c r="A2551" s="17" t="str">
        <x:v>U02545</x:v>
      </x:c>
      <x:c r="B2551" s="18" t="n">
        <x:v>46281</x:v>
      </x:c>
      <x:c r="C2551" s="17" t="str">
        <x:v>W0183</x:v>
      </x:c>
      <x:c r="D2551" s="17" t="str">
        <x:v>C004</x:v>
      </x:c>
      <x:c r="E2551" s="17" t="str">
        <x:v>CopyStudio</x:v>
      </x:c>
      <x:c r="F2551" s="17" t="str">
        <x:v>Lite</x:v>
      </x:c>
      <x:c r="G2551" s="21" t="n">
        <x:v>28842</x:v>
      </x:c>
      <x:c r="H2551" s="21" t="n">
        <x:v>2864</x:v>
      </x:c>
      <x:c r="I2551" s="17" t="str">
        <x:v>Followup</x:v>
      </x:c>
    </x:row>
    <x:row r="2552" ht="23" customHeight="1">
      <x:c r="A2552" s="17" t="str">
        <x:v>U02546</x:v>
      </x:c>
      <x:c r="B2552" s="18" t="n">
        <x:v>46281</x:v>
      </x:c>
      <x:c r="C2552" s="17" t="str">
        <x:v>W0183</x:v>
      </x:c>
      <x:c r="D2552" s="17" t="str">
        <x:v>C004</x:v>
      </x:c>
      <x:c r="E2552" s="17" t="str">
        <x:v>CopyStudio</x:v>
      </x:c>
      <x:c r="F2552" s="17" t="str">
        <x:v>Lite</x:v>
      </x:c>
      <x:c r="G2552" s="21" t="n">
        <x:v>16783</x:v>
      </x:c>
      <x:c r="H2552" s="21" t="n">
        <x:v>7644</x:v>
      </x:c>
      <x:c r="I2552" s="17" t="str">
        <x:v>Followup</x:v>
      </x:c>
    </x:row>
    <x:row r="2553" ht="23" customHeight="1">
      <x:c r="A2553" s="17" t="str">
        <x:v>U02547</x:v>
      </x:c>
      <x:c r="B2553" s="18" t="n">
        <x:v>46282</x:v>
      </x:c>
      <x:c r="C2553" s="17" t="str">
        <x:v>W0183</x:v>
      </x:c>
      <x:c r="D2553" s="17" t="str">
        <x:v>C004</x:v>
      </x:c>
      <x:c r="E2553" s="17" t="str">
        <x:v>CopyStudio</x:v>
      </x:c>
      <x:c r="F2553" s="17" t="str">
        <x:v>Lite</x:v>
      </x:c>
      <x:c r="G2553" s="21" t="n">
        <x:v>27115</x:v>
      </x:c>
      <x:c r="H2553" s="21" t="n">
        <x:v>4802</x:v>
      </x:c>
      <x:c r="I2553" s="17" t="str">
        <x:v>Followup</x:v>
      </x:c>
    </x:row>
    <x:row r="2554" ht="23" customHeight="1">
      <x:c r="A2554" s="17" t="str">
        <x:v>U02548</x:v>
      </x:c>
      <x:c r="B2554" s="18" t="n">
        <x:v>46282</x:v>
      </x:c>
      <x:c r="C2554" s="17" t="str">
        <x:v>W0183</x:v>
      </x:c>
      <x:c r="D2554" s="17" t="str">
        <x:v>C004</x:v>
      </x:c>
      <x:c r="E2554" s="17" t="str">
        <x:v>CopyStudio</x:v>
      </x:c>
      <x:c r="F2554" s="17" t="str">
        <x:v>Lite</x:v>
      </x:c>
      <x:c r="G2554" s="21" t="n">
        <x:v>11498</x:v>
      </x:c>
      <x:c r="H2554" s="21" t="n">
        <x:v>3947</x:v>
      </x:c>
      <x:c r="I2554" s="17" t="str">
        <x:v>Followup</x:v>
      </x:c>
    </x:row>
    <x:row r="2555" ht="23" customHeight="1">
      <x:c r="A2555" s="17" t="str">
        <x:v>U02549</x:v>
      </x:c>
      <x:c r="B2555" s="18" t="n">
        <x:v>46282</x:v>
      </x:c>
      <x:c r="C2555" s="17" t="str">
        <x:v>W0183</x:v>
      </x:c>
      <x:c r="D2555" s="17" t="str">
        <x:v>C004</x:v>
      </x:c>
      <x:c r="E2555" s="17" t="str">
        <x:v>CopyStudio</x:v>
      </x:c>
      <x:c r="F2555" s="17" t="str">
        <x:v>Lite</x:v>
      </x:c>
      <x:c r="G2555" s="21" t="n">
        <x:v>25984</x:v>
      </x:c>
      <x:c r="H2555" s="21" t="n">
        <x:v>9764</x:v>
      </x:c>
      <x:c r="I2555" s="17" t="str">
        <x:v>Correction</x:v>
      </x:c>
    </x:row>
    <x:row r="2556" ht="23" customHeight="1">
      <x:c r="A2556" s="17" t="str">
        <x:v>U02550</x:v>
      </x:c>
      <x:c r="B2556" s="18" t="n">
        <x:v>46273</x:v>
      </x:c>
      <x:c r="C2556" s="17" t="str">
        <x:v>W0185</x:v>
      </x:c>
      <x:c r="D2556" s="17" t="str">
        <x:v>C004</x:v>
      </x:c>
      <x:c r="E2556" s="17" t="str">
        <x:v>InsightDesk</x:v>
      </x:c>
      <x:c r="F2556" s="17" t="str">
        <x:v>Lite</x:v>
      </x:c>
      <x:c r="G2556" s="21" t="n">
        <x:v>25786</x:v>
      </x:c>
      <x:c r="H2556" s="21" t="n">
        <x:v>1545</x:v>
      </x:c>
      <x:c r="I2556" s="17" t="str">
        <x:v>First attempt</x:v>
      </x:c>
    </x:row>
    <x:row r="2557" ht="23" customHeight="1">
      <x:c r="A2557" s="17" t="str">
        <x:v>U02551</x:v>
      </x:c>
      <x:c r="B2557" s="18" t="n">
        <x:v>46273</x:v>
      </x:c>
      <x:c r="C2557" s="17" t="str">
        <x:v>W0185</x:v>
      </x:c>
      <x:c r="D2557" s="17" t="str">
        <x:v>C004</x:v>
      </x:c>
      <x:c r="E2557" s="17" t="str">
        <x:v>InsightDesk</x:v>
      </x:c>
      <x:c r="F2557" s="17" t="str">
        <x:v>Lite</x:v>
      </x:c>
      <x:c r="G2557" s="21" t="n">
        <x:v>13906</x:v>
      </x:c>
      <x:c r="H2557" s="21" t="n">
        <x:v>2925</x:v>
      </x:c>
      <x:c r="I2557" s="17" t="str">
        <x:v>Followup</x:v>
      </x:c>
    </x:row>
    <x:row r="2558" ht="23" customHeight="1">
      <x:c r="A2558" s="17" t="str">
        <x:v>U02552</x:v>
      </x:c>
      <x:c r="B2558" s="18" t="n">
        <x:v>46273</x:v>
      </x:c>
      <x:c r="C2558" s="17" t="str">
        <x:v>W0185</x:v>
      </x:c>
      <x:c r="D2558" s="17" t="str">
        <x:v>C004</x:v>
      </x:c>
      <x:c r="E2558" s="17" t="str">
        <x:v>InsightDesk</x:v>
      </x:c>
      <x:c r="F2558" s="17" t="str">
        <x:v>Lite</x:v>
      </x:c>
      <x:c r="G2558" s="21" t="n">
        <x:v>11161</x:v>
      </x:c>
      <x:c r="H2558" s="21" t="n">
        <x:v>4162</x:v>
      </x:c>
      <x:c r="I2558" s="17" t="str">
        <x:v>Followup</x:v>
      </x:c>
    </x:row>
    <x:row r="2559" ht="23" customHeight="1">
      <x:c r="A2559" s="17" t="str">
        <x:v>U02553</x:v>
      </x:c>
      <x:c r="B2559" s="18" t="n">
        <x:v>46273</x:v>
      </x:c>
      <x:c r="C2559" s="17" t="str">
        <x:v>W0185</x:v>
      </x:c>
      <x:c r="D2559" s="17" t="str">
        <x:v>C004</x:v>
      </x:c>
      <x:c r="E2559" s="17" t="str">
        <x:v>InsightDesk</x:v>
      </x:c>
      <x:c r="F2559" s="17" t="str">
        <x:v>Lite</x:v>
      </x:c>
      <x:c r="G2559" s="21" t="n">
        <x:v>13084</x:v>
      </x:c>
      <x:c r="H2559" s="21" t="n">
        <x:v>3366</x:v>
      </x:c>
      <x:c r="I2559" s="17" t="str">
        <x:v>Followup</x:v>
      </x:c>
    </x:row>
    <x:row r="2560" ht="23" customHeight="1">
      <x:c r="A2560" s="17" t="str">
        <x:v>U02554</x:v>
      </x:c>
      <x:c r="B2560" s="18" t="n">
        <x:v>46274</x:v>
      </x:c>
      <x:c r="C2560" s="17" t="str">
        <x:v>W0185</x:v>
      </x:c>
      <x:c r="D2560" s="17" t="str">
        <x:v>C004</x:v>
      </x:c>
      <x:c r="E2560" s="17" t="str">
        <x:v>InsightDesk</x:v>
      </x:c>
      <x:c r="F2560" s="17" t="str">
        <x:v>Lite</x:v>
      </x:c>
      <x:c r="G2560" s="21" t="n">
        <x:v>14591</x:v>
      </x:c>
      <x:c r="H2560" s="21" t="n">
        <x:v>2529</x:v>
      </x:c>
      <x:c r="I2560" s="17" t="str">
        <x:v>Followup</x:v>
      </x:c>
    </x:row>
    <x:row r="2561" ht="23" customHeight="1">
      <x:c r="A2561" s="17" t="str">
        <x:v>U02555</x:v>
      </x:c>
      <x:c r="B2561" s="18" t="n">
        <x:v>46274</x:v>
      </x:c>
      <x:c r="C2561" s="17" t="str">
        <x:v>W0185</x:v>
      </x:c>
      <x:c r="D2561" s="17" t="str">
        <x:v>C004</x:v>
      </x:c>
      <x:c r="E2561" s="17" t="str">
        <x:v>InsightDesk</x:v>
      </x:c>
      <x:c r="F2561" s="17" t="str">
        <x:v>Lite</x:v>
      </x:c>
      <x:c r="G2561" s="21" t="n">
        <x:v>9953</x:v>
      </x:c>
      <x:c r="H2561" s="21" t="n">
        <x:v>3231</x:v>
      </x:c>
      <x:c r="I2561" s="17" t="str">
        <x:v>Correction</x:v>
      </x:c>
    </x:row>
    <x:row r="2562" ht="23" customHeight="1">
      <x:c r="A2562" s="17" t="str">
        <x:v>U02556</x:v>
      </x:c>
      <x:c r="B2562" s="18" t="n">
        <x:v>46274</x:v>
      </x:c>
      <x:c r="C2562" s="17" t="str">
        <x:v>W0185</x:v>
      </x:c>
      <x:c r="D2562" s="17" t="str">
        <x:v>C004</x:v>
      </x:c>
      <x:c r="E2562" s="17" t="str">
        <x:v>InsightDesk</x:v>
      </x:c>
      <x:c r="F2562" s="17" t="str">
        <x:v>Lite</x:v>
      </x:c>
      <x:c r="G2562" s="21" t="n">
        <x:v>21883</x:v>
      </x:c>
      <x:c r="H2562" s="21" t="n">
        <x:v>2885</x:v>
      </x:c>
      <x:c r="I2562" s="17" t="str">
        <x:v>Correction</x:v>
      </x:c>
    </x:row>
    <x:row r="2563" ht="23" customHeight="1">
      <x:c r="A2563" s="17" t="str">
        <x:v>U02557</x:v>
      </x:c>
      <x:c r="B2563" s="18" t="n">
        <x:v>46275</x:v>
      </x:c>
      <x:c r="C2563" s="17" t="str">
        <x:v>W0185</x:v>
      </x:c>
      <x:c r="D2563" s="17" t="str">
        <x:v>C004</x:v>
      </x:c>
      <x:c r="E2563" s="17" t="str">
        <x:v>InsightDesk</x:v>
      </x:c>
      <x:c r="F2563" s="17" t="str">
        <x:v>Lite</x:v>
      </x:c>
      <x:c r="G2563" s="21" t="n">
        <x:v>17643</x:v>
      </x:c>
      <x:c r="H2563" s="21" t="n">
        <x:v>2449</x:v>
      </x:c>
      <x:c r="I2563" s="17" t="str">
        <x:v>Followup</x:v>
      </x:c>
    </x:row>
    <x:row r="2564" ht="23" customHeight="1">
      <x:c r="A2564" s="17" t="str">
        <x:v>U02558</x:v>
      </x:c>
      <x:c r="B2564" s="18" t="n">
        <x:v>46275</x:v>
      </x:c>
      <x:c r="C2564" s="17" t="str">
        <x:v>W0185</x:v>
      </x:c>
      <x:c r="D2564" s="17" t="str">
        <x:v>C004</x:v>
      </x:c>
      <x:c r="E2564" s="17" t="str">
        <x:v>InsightDesk</x:v>
      </x:c>
      <x:c r="F2564" s="17" t="str">
        <x:v>Lite</x:v>
      </x:c>
      <x:c r="G2564" s="21" t="n">
        <x:v>13647</x:v>
      </x:c>
      <x:c r="H2564" s="21" t="n">
        <x:v>2332</x:v>
      </x:c>
      <x:c r="I2564" s="17" t="str">
        <x:v>Followup</x:v>
      </x:c>
    </x:row>
    <x:row r="2565" ht="23" customHeight="1">
      <x:c r="A2565" s="17" t="str">
        <x:v>U02559</x:v>
      </x:c>
      <x:c r="B2565" s="18" t="n">
        <x:v>46275</x:v>
      </x:c>
      <x:c r="C2565" s="17" t="str">
        <x:v>W0185</x:v>
      </x:c>
      <x:c r="D2565" s="17" t="str">
        <x:v>C004</x:v>
      </x:c>
      <x:c r="E2565" s="17" t="str">
        <x:v>InsightDesk</x:v>
      </x:c>
      <x:c r="F2565" s="17" t="str">
        <x:v>Lite</x:v>
      </x:c>
      <x:c r="G2565" s="21" t="n">
        <x:v>27019</x:v>
      </x:c>
      <x:c r="H2565" s="21" t="n">
        <x:v>1730</x:v>
      </x:c>
      <x:c r="I2565" s="17" t="str">
        <x:v>Followup</x:v>
      </x:c>
    </x:row>
    <x:row r="2566" ht="23" customHeight="1">
      <x:c r="A2566" s="17" t="str">
        <x:v>U02560</x:v>
      </x:c>
      <x:c r="B2566" s="18" t="n">
        <x:v>46275</x:v>
      </x:c>
      <x:c r="C2566" s="17" t="str">
        <x:v>W0185</x:v>
      </x:c>
      <x:c r="D2566" s="17" t="str">
        <x:v>C004</x:v>
      </x:c>
      <x:c r="E2566" s="17" t="str">
        <x:v>InsightDesk</x:v>
      </x:c>
      <x:c r="F2566" s="17" t="str">
        <x:v>Lite</x:v>
      </x:c>
      <x:c r="G2566" s="21" t="n">
        <x:v>10831</x:v>
      </x:c>
      <x:c r="H2566" s="21" t="n">
        <x:v>2297</x:v>
      </x:c>
      <x:c r="I2566" s="17" t="str">
        <x:v>Followup</x:v>
      </x:c>
    </x:row>
    <x:row r="2567" ht="23" customHeight="1">
      <x:c r="A2567" s="17" t="str">
        <x:v>U02561</x:v>
      </x:c>
      <x:c r="B2567" s="18" t="n">
        <x:v>46276</x:v>
      </x:c>
      <x:c r="C2567" s="17" t="str">
        <x:v>W0185</x:v>
      </x:c>
      <x:c r="D2567" s="17" t="str">
        <x:v>C004</x:v>
      </x:c>
      <x:c r="E2567" s="17" t="str">
        <x:v>InsightDesk</x:v>
      </x:c>
      <x:c r="F2567" s="17" t="str">
        <x:v>Lite</x:v>
      </x:c>
      <x:c r="G2567" s="21" t="n">
        <x:v>10717</x:v>
      </x:c>
      <x:c r="H2567" s="21" t="n">
        <x:v>3203</x:v>
      </x:c>
      <x:c r="I2567" s="17" t="str">
        <x:v>Followup</x:v>
      </x:c>
    </x:row>
    <x:row r="2568" ht="23" customHeight="1">
      <x:c r="A2568" s="17" t="str">
        <x:v>U02562</x:v>
      </x:c>
      <x:c r="B2568" s="18" t="n">
        <x:v>46276</x:v>
      </x:c>
      <x:c r="C2568" s="17" t="str">
        <x:v>W0185</x:v>
      </x:c>
      <x:c r="D2568" s="17" t="str">
        <x:v>C004</x:v>
      </x:c>
      <x:c r="E2568" s="17" t="str">
        <x:v>InsightDesk</x:v>
      </x:c>
      <x:c r="F2568" s="17" t="str">
        <x:v>Lite</x:v>
      </x:c>
      <x:c r="G2568" s="21" t="n">
        <x:v>15526</x:v>
      </x:c>
      <x:c r="H2568" s="21" t="n">
        <x:v>1360</x:v>
      </x:c>
      <x:c r="I2568" s="17" t="str">
        <x:v>Followup</x:v>
      </x:c>
    </x:row>
    <x:row r="2569" ht="23" customHeight="1">
      <x:c r="A2569" s="17" t="str">
        <x:v>U02563</x:v>
      </x:c>
      <x:c r="B2569" s="18" t="n">
        <x:v>46276</x:v>
      </x:c>
      <x:c r="C2569" s="17" t="str">
        <x:v>W0185</x:v>
      </x:c>
      <x:c r="D2569" s="17" t="str">
        <x:v>C004</x:v>
      </x:c>
      <x:c r="E2569" s="17" t="str">
        <x:v>InsightDesk</x:v>
      </x:c>
      <x:c r="F2569" s="17" t="str">
        <x:v>Lite</x:v>
      </x:c>
      <x:c r="G2569" s="21" t="n">
        <x:v>23868</x:v>
      </x:c>
      <x:c r="H2569" s="21" t="n">
        <x:v>1369</x:v>
      </x:c>
      <x:c r="I2569" s="17" t="str">
        <x:v>Followup</x:v>
      </x:c>
    </x:row>
    <x:row r="2570" ht="23" customHeight="1">
      <x:c r="A2570" s="17" t="str">
        <x:v>U02564</x:v>
      </x:c>
      <x:c r="B2570" s="18" t="n">
        <x:v>46266</x:v>
      </x:c>
      <x:c r="C2570" s="17" t="str">
        <x:v>W0187</x:v>
      </x:c>
      <x:c r="D2570" s="17" t="str">
        <x:v>C004</x:v>
      </x:c>
      <x:c r="E2570" s="17" t="str">
        <x:v>InsightDesk</x:v>
      </x:c>
      <x:c r="F2570" s="17" t="str">
        <x:v>Lite</x:v>
      </x:c>
      <x:c r="G2570" s="21" t="n">
        <x:v>33043</x:v>
      </x:c>
      <x:c r="H2570" s="21" t="n">
        <x:v>2913</x:v>
      </x:c>
      <x:c r="I2570" s="17" t="str">
        <x:v>First attempt</x:v>
      </x:c>
    </x:row>
    <x:row r="2571" ht="23" customHeight="1">
      <x:c r="A2571" s="17" t="str">
        <x:v>U02565</x:v>
      </x:c>
      <x:c r="B2571" s="18" t="n">
        <x:v>46266</x:v>
      </x:c>
      <x:c r="C2571" s="17" t="str">
        <x:v>W0187</x:v>
      </x:c>
      <x:c r="D2571" s="17" t="str">
        <x:v>C004</x:v>
      </x:c>
      <x:c r="E2571" s="17" t="str">
        <x:v>InsightDesk</x:v>
      </x:c>
      <x:c r="F2571" s="17" t="str">
        <x:v>Lite</x:v>
      </x:c>
      <x:c r="G2571" s="21" t="n">
        <x:v>33125</x:v>
      </x:c>
      <x:c r="H2571" s="21" t="n">
        <x:v>2034</x:v>
      </x:c>
      <x:c r="I2571" s="17" t="str">
        <x:v>Followup</x:v>
      </x:c>
    </x:row>
    <x:row r="2572" ht="23" customHeight="1">
      <x:c r="A2572" s="17" t="str">
        <x:v>U02566</x:v>
      </x:c>
      <x:c r="B2572" s="18" t="n">
        <x:v>46266</x:v>
      </x:c>
      <x:c r="C2572" s="17" t="str">
        <x:v>W0187</x:v>
      </x:c>
      <x:c r="D2572" s="17" t="str">
        <x:v>C004</x:v>
      </x:c>
      <x:c r="E2572" s="17" t="str">
        <x:v>InsightDesk</x:v>
      </x:c>
      <x:c r="F2572" s="17" t="str">
        <x:v>Lite</x:v>
      </x:c>
      <x:c r="G2572" s="21" t="n">
        <x:v>20492</x:v>
      </x:c>
      <x:c r="H2572" s="21" t="n">
        <x:v>3836</x:v>
      </x:c>
      <x:c r="I2572" s="17" t="str">
        <x:v>Followup</x:v>
      </x:c>
    </x:row>
    <x:row r="2573" ht="23" customHeight="1">
      <x:c r="A2573" s="17" t="str">
        <x:v>U02567</x:v>
      </x:c>
      <x:c r="B2573" s="18" t="n">
        <x:v>46266</x:v>
      </x:c>
      <x:c r="C2573" s="17" t="str">
        <x:v>W0187</x:v>
      </x:c>
      <x:c r="D2573" s="17" t="str">
        <x:v>C004</x:v>
      </x:c>
      <x:c r="E2573" s="17" t="str">
        <x:v>InsightDesk</x:v>
      </x:c>
      <x:c r="F2573" s="17" t="str">
        <x:v>Lite</x:v>
      </x:c>
      <x:c r="G2573" s="21" t="n">
        <x:v>28994</x:v>
      </x:c>
      <x:c r="H2573" s="21" t="n">
        <x:v>2984</x:v>
      </x:c>
      <x:c r="I2573" s="17" t="str">
        <x:v>Followup</x:v>
      </x:c>
    </x:row>
    <x:row r="2574" ht="23" customHeight="1">
      <x:c r="A2574" s="17" t="str">
        <x:v>U02568</x:v>
      </x:c>
      <x:c r="B2574" s="18" t="n">
        <x:v>46267</x:v>
      </x:c>
      <x:c r="C2574" s="17" t="str">
        <x:v>W0187</x:v>
      </x:c>
      <x:c r="D2574" s="17" t="str">
        <x:v>C004</x:v>
      </x:c>
      <x:c r="E2574" s="17" t="str">
        <x:v>InsightDesk</x:v>
      </x:c>
      <x:c r="F2574" s="17" t="str">
        <x:v>Lite</x:v>
      </x:c>
      <x:c r="G2574" s="21" t="n">
        <x:v>27278</x:v>
      </x:c>
      <x:c r="H2574" s="21" t="n">
        <x:v>2134</x:v>
      </x:c>
      <x:c r="I2574" s="17" t="str">
        <x:v>Followup</x:v>
      </x:c>
    </x:row>
    <x:row r="2575" ht="23" customHeight="1">
      <x:c r="A2575" s="17" t="str">
        <x:v>U02569</x:v>
      </x:c>
      <x:c r="B2575" s="18" t="n">
        <x:v>46267</x:v>
      </x:c>
      <x:c r="C2575" s="17" t="str">
        <x:v>W0187</x:v>
      </x:c>
      <x:c r="D2575" s="17" t="str">
        <x:v>C004</x:v>
      </x:c>
      <x:c r="E2575" s="17" t="str">
        <x:v>InsightDesk</x:v>
      </x:c>
      <x:c r="F2575" s="17" t="str">
        <x:v>Lite</x:v>
      </x:c>
      <x:c r="G2575" s="21" t="n">
        <x:v>12958</x:v>
      </x:c>
      <x:c r="H2575" s="21" t="n">
        <x:v>5006</x:v>
      </x:c>
      <x:c r="I2575" s="17" t="str">
        <x:v>Followup</x:v>
      </x:c>
    </x:row>
    <x:row r="2576" ht="23" customHeight="1">
      <x:c r="A2576" s="17" t="str">
        <x:v>U02570</x:v>
      </x:c>
      <x:c r="B2576" s="18" t="n">
        <x:v>46267</x:v>
      </x:c>
      <x:c r="C2576" s="17" t="str">
        <x:v>W0187</x:v>
      </x:c>
      <x:c r="D2576" s="17" t="str">
        <x:v>C004</x:v>
      </x:c>
      <x:c r="E2576" s="17" t="str">
        <x:v>InsightDesk</x:v>
      </x:c>
      <x:c r="F2576" s="17" t="str">
        <x:v>Lite</x:v>
      </x:c>
      <x:c r="G2576" s="21" t="n">
        <x:v>34514</x:v>
      </x:c>
      <x:c r="H2576" s="21" t="n">
        <x:v>3984</x:v>
      </x:c>
      <x:c r="I2576" s="17" t="str">
        <x:v>Followup</x:v>
      </x:c>
    </x:row>
    <x:row r="2577" ht="23" customHeight="1">
      <x:c r="A2577" s="17" t="str">
        <x:v>U02571</x:v>
      </x:c>
      <x:c r="B2577" s="18" t="n">
        <x:v>46267</x:v>
      </x:c>
      <x:c r="C2577" s="17" t="str">
        <x:v>W0187</x:v>
      </x:c>
      <x:c r="D2577" s="17" t="str">
        <x:v>C004</x:v>
      </x:c>
      <x:c r="E2577" s="17" t="str">
        <x:v>InsightDesk</x:v>
      </x:c>
      <x:c r="F2577" s="17" t="str">
        <x:v>Lite</x:v>
      </x:c>
      <x:c r="G2577" s="21" t="n">
        <x:v>20127</x:v>
      </x:c>
      <x:c r="H2577" s="21" t="n">
        <x:v>4848</x:v>
      </x:c>
      <x:c r="I2577" s="17" t="str">
        <x:v>Followup</x:v>
      </x:c>
    </x:row>
    <x:row r="2578" ht="23" customHeight="1">
      <x:c r="A2578" s="17" t="str">
        <x:v>U02572</x:v>
      </x:c>
      <x:c r="B2578" s="18" t="n">
        <x:v>46268</x:v>
      </x:c>
      <x:c r="C2578" s="17" t="str">
        <x:v>W0187</x:v>
      </x:c>
      <x:c r="D2578" s="17" t="str">
        <x:v>C004</x:v>
      </x:c>
      <x:c r="E2578" s="17" t="str">
        <x:v>InsightDesk</x:v>
      </x:c>
      <x:c r="F2578" s="17" t="str">
        <x:v>Lite</x:v>
      </x:c>
      <x:c r="G2578" s="21" t="n">
        <x:v>22471</x:v>
      </x:c>
      <x:c r="H2578" s="21" t="n">
        <x:v>3930</x:v>
      </x:c>
      <x:c r="I2578" s="17" t="str">
        <x:v>Followup</x:v>
      </x:c>
    </x:row>
    <x:row r="2579" ht="23" customHeight="1">
      <x:c r="A2579" s="17" t="str">
        <x:v>U02573</x:v>
      </x:c>
      <x:c r="B2579" s="18" t="n">
        <x:v>46268</x:v>
      </x:c>
      <x:c r="C2579" s="17" t="str">
        <x:v>W0187</x:v>
      </x:c>
      <x:c r="D2579" s="17" t="str">
        <x:v>C004</x:v>
      </x:c>
      <x:c r="E2579" s="17" t="str">
        <x:v>InsightDesk</x:v>
      </x:c>
      <x:c r="F2579" s="17" t="str">
        <x:v>Lite</x:v>
      </x:c>
      <x:c r="G2579" s="21" t="n">
        <x:v>27023</x:v>
      </x:c>
      <x:c r="H2579" s="21" t="n">
        <x:v>2281</x:v>
      </x:c>
      <x:c r="I2579" s="17" t="str">
        <x:v>Followup</x:v>
      </x:c>
    </x:row>
    <x:row r="2580" ht="23" customHeight="1">
      <x:c r="A2580" s="17" t="str">
        <x:v>U02574</x:v>
      </x:c>
      <x:c r="B2580" s="18" t="n">
        <x:v>46268</x:v>
      </x:c>
      <x:c r="C2580" s="17" t="str">
        <x:v>W0187</x:v>
      </x:c>
      <x:c r="D2580" s="17" t="str">
        <x:v>C004</x:v>
      </x:c>
      <x:c r="E2580" s="17" t="str">
        <x:v>InsightDesk</x:v>
      </x:c>
      <x:c r="F2580" s="17" t="str">
        <x:v>Lite</x:v>
      </x:c>
      <x:c r="G2580" s="21" t="n">
        <x:v>13667</x:v>
      </x:c>
      <x:c r="H2580" s="21" t="n">
        <x:v>2608</x:v>
      </x:c>
      <x:c r="I2580" s="17" t="str">
        <x:v>Correction</x:v>
      </x:c>
    </x:row>
    <x:row r="2581" ht="23" customHeight="1">
      <x:c r="A2581" s="17" t="str">
        <x:v>U02575</x:v>
      </x:c>
      <x:c r="B2581" s="18" t="n">
        <x:v>46268</x:v>
      </x:c>
      <x:c r="C2581" s="17" t="str">
        <x:v>W0187</x:v>
      </x:c>
      <x:c r="D2581" s="17" t="str">
        <x:v>C004</x:v>
      </x:c>
      <x:c r="E2581" s="17" t="str">
        <x:v>InsightDesk</x:v>
      </x:c>
      <x:c r="F2581" s="17" t="str">
        <x:v>Lite</x:v>
      </x:c>
      <x:c r="G2581" s="21" t="n">
        <x:v>30642</x:v>
      </x:c>
      <x:c r="H2581" s="21" t="n">
        <x:v>5244</x:v>
      </x:c>
      <x:c r="I2581" s="17" t="str">
        <x:v>Followup</x:v>
      </x:c>
    </x:row>
    <x:row r="2582" ht="23" customHeight="1">
      <x:c r="A2582" s="17" t="str">
        <x:v>U02576</x:v>
      </x:c>
      <x:c r="B2582" s="18" t="n">
        <x:v>46269</x:v>
      </x:c>
      <x:c r="C2582" s="17" t="str">
        <x:v>W0187</x:v>
      </x:c>
      <x:c r="D2582" s="17" t="str">
        <x:v>C004</x:v>
      </x:c>
      <x:c r="E2582" s="17" t="str">
        <x:v>InsightDesk</x:v>
      </x:c>
      <x:c r="F2582" s="17" t="str">
        <x:v>Lite</x:v>
      </x:c>
      <x:c r="G2582" s="21" t="n">
        <x:v>25595</x:v>
      </x:c>
      <x:c r="H2582" s="21" t="n">
        <x:v>3771</x:v>
      </x:c>
      <x:c r="I2582" s="17" t="str">
        <x:v>Followup</x:v>
      </x:c>
    </x:row>
    <x:row r="2583" ht="23" customHeight="1">
      <x:c r="A2583" s="17" t="str">
        <x:v>U02577</x:v>
      </x:c>
      <x:c r="B2583" s="18" t="n">
        <x:v>46269</x:v>
      </x:c>
      <x:c r="C2583" s="17" t="str">
        <x:v>W0187</x:v>
      </x:c>
      <x:c r="D2583" s="17" t="str">
        <x:v>C004</x:v>
      </x:c>
      <x:c r="E2583" s="17" t="str">
        <x:v>InsightDesk</x:v>
      </x:c>
      <x:c r="F2583" s="17" t="str">
        <x:v>Lite</x:v>
      </x:c>
      <x:c r="G2583" s="21" t="n">
        <x:v>29068</x:v>
      </x:c>
      <x:c r="H2583" s="21" t="n">
        <x:v>2278</x:v>
      </x:c>
      <x:c r="I2583" s="17" t="str">
        <x:v>Followup</x:v>
      </x:c>
    </x:row>
    <x:row r="2584" ht="23" customHeight="1">
      <x:c r="A2584" s="17" t="str">
        <x:v>U02578</x:v>
      </x:c>
      <x:c r="B2584" s="18" t="n">
        <x:v>46269</x:v>
      </x:c>
      <x:c r="C2584" s="17" t="str">
        <x:v>W0187</x:v>
      </x:c>
      <x:c r="D2584" s="17" t="str">
        <x:v>C004</x:v>
      </x:c>
      <x:c r="E2584" s="17" t="str">
        <x:v>InsightDesk</x:v>
      </x:c>
      <x:c r="F2584" s="17" t="str">
        <x:v>Lite</x:v>
      </x:c>
      <x:c r="G2584" s="21" t="n">
        <x:v>17285</x:v>
      </x:c>
      <x:c r="H2584" s="21" t="n">
        <x:v>1899</x:v>
      </x:c>
      <x:c r="I2584" s="17" t="str">
        <x:v>Correction</x:v>
      </x:c>
    </x:row>
    <x:row r="2585" ht="23" customHeight="1">
      <x:c r="A2585" s="17" t="str">
        <x:v>U02579</x:v>
      </x:c>
      <x:c r="B2585" s="18" t="n">
        <x:v>46276</x:v>
      </x:c>
      <x:c r="C2585" s="17" t="str">
        <x:v>W0188</x:v>
      </x:c>
      <x:c r="D2585" s="17" t="str">
        <x:v>C004</x:v>
      </x:c>
      <x:c r="E2585" s="17" t="str">
        <x:v>CampaignChat</x:v>
      </x:c>
      <x:c r="F2585" s="17" t="str">
        <x:v>Lite</x:v>
      </x:c>
      <x:c r="G2585" s="21" t="n">
        <x:v>15696</x:v>
      </x:c>
      <x:c r="H2585" s="21" t="n">
        <x:v>3669</x:v>
      </x:c>
      <x:c r="I2585" s="17" t="str">
        <x:v>First attempt</x:v>
      </x:c>
    </x:row>
    <x:row r="2586" ht="23" customHeight="1">
      <x:c r="A2586" s="17" t="str">
        <x:v>U02580</x:v>
      </x:c>
      <x:c r="B2586" s="18" t="n">
        <x:v>46276</x:v>
      </x:c>
      <x:c r="C2586" s="17" t="str">
        <x:v>W0188</x:v>
      </x:c>
      <x:c r="D2586" s="17" t="str">
        <x:v>C004</x:v>
      </x:c>
      <x:c r="E2586" s="17" t="str">
        <x:v>CampaignChat</x:v>
      </x:c>
      <x:c r="F2586" s="17" t="str">
        <x:v>Lite</x:v>
      </x:c>
      <x:c r="G2586" s="21" t="n">
        <x:v>19369</x:v>
      </x:c>
      <x:c r="H2586" s="21" t="n">
        <x:v>4198</x:v>
      </x:c>
      <x:c r="I2586" s="17" t="str">
        <x:v>Followup</x:v>
      </x:c>
    </x:row>
    <x:row r="2587" ht="23" customHeight="1">
      <x:c r="A2587" s="17" t="str">
        <x:v>U02581</x:v>
      </x:c>
      <x:c r="B2587" s="18" t="n">
        <x:v>46276</x:v>
      </x:c>
      <x:c r="C2587" s="17" t="str">
        <x:v>W0188</x:v>
      </x:c>
      <x:c r="D2587" s="17" t="str">
        <x:v>C004</x:v>
      </x:c>
      <x:c r="E2587" s="17" t="str">
        <x:v>CampaignChat</x:v>
      </x:c>
      <x:c r="F2587" s="17" t="str">
        <x:v>Lite</x:v>
      </x:c>
      <x:c r="G2587" s="21" t="n">
        <x:v>19240</x:v>
      </x:c>
      <x:c r="H2587" s="21" t="n">
        <x:v>5351</x:v>
      </x:c>
      <x:c r="I2587" s="17" t="str">
        <x:v>Followup</x:v>
      </x:c>
    </x:row>
    <x:row r="2588" ht="23" customHeight="1">
      <x:c r="A2588" s="17" t="str">
        <x:v>U02582</x:v>
      </x:c>
      <x:c r="B2588" s="18" t="n">
        <x:v>46276</x:v>
      </x:c>
      <x:c r="C2588" s="17" t="str">
        <x:v>W0188</x:v>
      </x:c>
      <x:c r="D2588" s="17" t="str">
        <x:v>C004</x:v>
      </x:c>
      <x:c r="E2588" s="17" t="str">
        <x:v>CampaignChat</x:v>
      </x:c>
      <x:c r="F2588" s="17" t="str">
        <x:v>Lite</x:v>
      </x:c>
      <x:c r="G2588" s="21" t="n">
        <x:v>7970</x:v>
      </x:c>
      <x:c r="H2588" s="21" t="n">
        <x:v>4055</x:v>
      </x:c>
      <x:c r="I2588" s="17" t="str">
        <x:v>Followup</x:v>
      </x:c>
    </x:row>
    <x:row r="2589" ht="23" customHeight="1">
      <x:c r="A2589" s="17" t="str">
        <x:v>U02583</x:v>
      </x:c>
      <x:c r="B2589" s="18" t="n">
        <x:v>46279</x:v>
      </x:c>
      <x:c r="C2589" s="17" t="str">
        <x:v>W0188</x:v>
      </x:c>
      <x:c r="D2589" s="17" t="str">
        <x:v>C004</x:v>
      </x:c>
      <x:c r="E2589" s="17" t="str">
        <x:v>CampaignChat</x:v>
      </x:c>
      <x:c r="F2589" s="17" t="str">
        <x:v>Lite</x:v>
      </x:c>
      <x:c r="G2589" s="21" t="n">
        <x:v>11321</x:v>
      </x:c>
      <x:c r="H2589" s="21" t="n">
        <x:v>4624</x:v>
      </x:c>
      <x:c r="I2589" s="17" t="str">
        <x:v>Correction</x:v>
      </x:c>
    </x:row>
    <x:row r="2590" ht="23" customHeight="1">
      <x:c r="A2590" s="17" t="str">
        <x:v>U02584</x:v>
      </x:c>
      <x:c r="B2590" s="18" t="n">
        <x:v>46279</x:v>
      </x:c>
      <x:c r="C2590" s="17" t="str">
        <x:v>W0188</x:v>
      </x:c>
      <x:c r="D2590" s="17" t="str">
        <x:v>C004</x:v>
      </x:c>
      <x:c r="E2590" s="17" t="str">
        <x:v>CampaignChat</x:v>
      </x:c>
      <x:c r="F2590" s="17" t="str">
        <x:v>Lite</x:v>
      </x:c>
      <x:c r="G2590" s="21" t="n">
        <x:v>15837</x:v>
      </x:c>
      <x:c r="H2590" s="21" t="n">
        <x:v>5249</x:v>
      </x:c>
      <x:c r="I2590" s="17" t="str">
        <x:v>Followup</x:v>
      </x:c>
    </x:row>
    <x:row r="2591" ht="23" customHeight="1">
      <x:c r="A2591" s="17" t="str">
        <x:v>U02585</x:v>
      </x:c>
      <x:c r="B2591" s="18" t="n">
        <x:v>46279</x:v>
      </x:c>
      <x:c r="C2591" s="17" t="str">
        <x:v>W0188</x:v>
      </x:c>
      <x:c r="D2591" s="17" t="str">
        <x:v>C004</x:v>
      </x:c>
      <x:c r="E2591" s="17" t="str">
        <x:v>CampaignChat</x:v>
      </x:c>
      <x:c r="F2591" s="17" t="str">
        <x:v>Lite</x:v>
      </x:c>
      <x:c r="G2591" s="21" t="n">
        <x:v>19618</x:v>
      </x:c>
      <x:c r="H2591" s="21" t="n">
        <x:v>2286</x:v>
      </x:c>
      <x:c r="I2591" s="17" t="str">
        <x:v>Followup</x:v>
      </x:c>
    </x:row>
    <x:row r="2592" ht="23" customHeight="1">
      <x:c r="A2592" s="17" t="str">
        <x:v>U02586</x:v>
      </x:c>
      <x:c r="B2592" s="18" t="n">
        <x:v>46280</x:v>
      </x:c>
      <x:c r="C2592" s="17" t="str">
        <x:v>W0188</x:v>
      </x:c>
      <x:c r="D2592" s="17" t="str">
        <x:v>C004</x:v>
      </x:c>
      <x:c r="E2592" s="17" t="str">
        <x:v>CampaignChat</x:v>
      </x:c>
      <x:c r="F2592" s="17" t="str">
        <x:v>Lite</x:v>
      </x:c>
      <x:c r="G2592" s="21" t="n">
        <x:v>9490</x:v>
      </x:c>
      <x:c r="H2592" s="21" t="n">
        <x:v>2520</x:v>
      </x:c>
      <x:c r="I2592" s="17" t="str">
        <x:v>Followup</x:v>
      </x:c>
    </x:row>
    <x:row r="2593" ht="23" customHeight="1">
      <x:c r="A2593" s="17" t="str">
        <x:v>U02587</x:v>
      </x:c>
      <x:c r="B2593" s="18" t="n">
        <x:v>46280</x:v>
      </x:c>
      <x:c r="C2593" s="17" t="str">
        <x:v>W0188</x:v>
      </x:c>
      <x:c r="D2593" s="17" t="str">
        <x:v>C004</x:v>
      </x:c>
      <x:c r="E2593" s="17" t="str">
        <x:v>CampaignChat</x:v>
      </x:c>
      <x:c r="F2593" s="17" t="str">
        <x:v>Lite</x:v>
      </x:c>
      <x:c r="G2593" s="21" t="n">
        <x:v>17660</x:v>
      </x:c>
      <x:c r="H2593" s="21" t="n">
        <x:v>4123</x:v>
      </x:c>
      <x:c r="I2593" s="17" t="str">
        <x:v>Followup</x:v>
      </x:c>
    </x:row>
    <x:row r="2594" ht="23" customHeight="1">
      <x:c r="A2594" s="17" t="str">
        <x:v>U02588</x:v>
      </x:c>
      <x:c r="B2594" s="18" t="n">
        <x:v>46280</x:v>
      </x:c>
      <x:c r="C2594" s="17" t="str">
        <x:v>W0188</x:v>
      </x:c>
      <x:c r="D2594" s="17" t="str">
        <x:v>C004</x:v>
      </x:c>
      <x:c r="E2594" s="17" t="str">
        <x:v>CampaignChat</x:v>
      </x:c>
      <x:c r="F2594" s="17" t="str">
        <x:v>Lite</x:v>
      </x:c>
      <x:c r="G2594" s="21" t="n">
        <x:v>16814</x:v>
      </x:c>
      <x:c r="H2594" s="21" t="n">
        <x:v>4805</x:v>
      </x:c>
      <x:c r="I2594" s="17" t="str">
        <x:v>Correction</x:v>
      </x:c>
    </x:row>
    <x:row r="2595" ht="23" customHeight="1">
      <x:c r="A2595" s="17" t="str">
        <x:v>U02589</x:v>
      </x:c>
      <x:c r="B2595" s="18" t="n">
        <x:v>46281</x:v>
      </x:c>
      <x:c r="C2595" s="17" t="str">
        <x:v>W0188</x:v>
      </x:c>
      <x:c r="D2595" s="17" t="str">
        <x:v>C004</x:v>
      </x:c>
      <x:c r="E2595" s="17" t="str">
        <x:v>CampaignChat</x:v>
      </x:c>
      <x:c r="F2595" s="17" t="str">
        <x:v>Lite</x:v>
      </x:c>
      <x:c r="G2595" s="21" t="n">
        <x:v>12980</x:v>
      </x:c>
      <x:c r="H2595" s="21" t="n">
        <x:v>5094</x:v>
      </x:c>
      <x:c r="I2595" s="17" t="str">
        <x:v>Followup</x:v>
      </x:c>
    </x:row>
    <x:row r="2596" ht="23" customHeight="1">
      <x:c r="A2596" s="17" t="str">
        <x:v>U02590</x:v>
      </x:c>
      <x:c r="B2596" s="18" t="n">
        <x:v>46281</x:v>
      </x:c>
      <x:c r="C2596" s="17" t="str">
        <x:v>W0188</x:v>
      </x:c>
      <x:c r="D2596" s="17" t="str">
        <x:v>C004</x:v>
      </x:c>
      <x:c r="E2596" s="17" t="str">
        <x:v>CampaignChat</x:v>
      </x:c>
      <x:c r="F2596" s="17" t="str">
        <x:v>Lite</x:v>
      </x:c>
      <x:c r="G2596" s="21" t="n">
        <x:v>11521</x:v>
      </x:c>
      <x:c r="H2596" s="21" t="n">
        <x:v>3681</x:v>
      </x:c>
      <x:c r="I2596" s="17" t="str">
        <x:v>Correction</x:v>
      </x:c>
    </x:row>
    <x:row r="2597" ht="23" customHeight="1">
      <x:c r="A2597" s="17" t="str">
        <x:v>U02591</x:v>
      </x:c>
      <x:c r="B2597" s="18" t="n">
        <x:v>46281</x:v>
      </x:c>
      <x:c r="C2597" s="17" t="str">
        <x:v>W0188</x:v>
      </x:c>
      <x:c r="D2597" s="17" t="str">
        <x:v>C004</x:v>
      </x:c>
      <x:c r="E2597" s="17" t="str">
        <x:v>CampaignChat</x:v>
      </x:c>
      <x:c r="F2597" s="17" t="str">
        <x:v>Lite</x:v>
      </x:c>
      <x:c r="G2597" s="21" t="n">
        <x:v>13548</x:v>
      </x:c>
      <x:c r="H2597" s="21" t="n">
        <x:v>5070</x:v>
      </x:c>
      <x:c r="I2597" s="17" t="str">
        <x:v>Followup</x:v>
      </x:c>
    </x:row>
    <x:row r="2598" ht="23" customHeight="1">
      <x:c r="A2598" s="17" t="str">
        <x:v>U02592</x:v>
      </x:c>
      <x:c r="B2598" s="18" t="n">
        <x:v>46287</x:v>
      </x:c>
      <x:c r="C2598" s="17" t="str">
        <x:v>W0189</x:v>
      </x:c>
      <x:c r="D2598" s="17" t="str">
        <x:v>C004</x:v>
      </x:c>
      <x:c r="E2598" s="17" t="str">
        <x:v>InsightDesk</x:v>
      </x:c>
      <x:c r="F2598" s="17" t="str">
        <x:v>Lite</x:v>
      </x:c>
      <x:c r="G2598" s="21" t="n">
        <x:v>14221</x:v>
      </x:c>
      <x:c r="H2598" s="21" t="n">
        <x:v>2792</x:v>
      </x:c>
      <x:c r="I2598" s="17" t="str">
        <x:v>First attempt</x:v>
      </x:c>
    </x:row>
    <x:row r="2599" ht="23" customHeight="1">
      <x:c r="A2599" s="17" t="str">
        <x:v>U02593</x:v>
      </x:c>
      <x:c r="B2599" s="18" t="n">
        <x:v>46287</x:v>
      </x:c>
      <x:c r="C2599" s="17" t="str">
        <x:v>W0189</x:v>
      </x:c>
      <x:c r="D2599" s="17" t="str">
        <x:v>C004</x:v>
      </x:c>
      <x:c r="E2599" s="17" t="str">
        <x:v>InsightDesk</x:v>
      </x:c>
      <x:c r="F2599" s="17" t="str">
        <x:v>Lite</x:v>
      </x:c>
      <x:c r="G2599" s="21" t="n">
        <x:v>12455</x:v>
      </x:c>
      <x:c r="H2599" s="21" t="n">
        <x:v>2325</x:v>
      </x:c>
      <x:c r="I2599" s="17" t="str">
        <x:v>Followup</x:v>
      </x:c>
    </x:row>
    <x:row r="2600" ht="23" customHeight="1">
      <x:c r="A2600" s="17" t="str">
        <x:v>U02594</x:v>
      </x:c>
      <x:c r="B2600" s="18" t="n">
        <x:v>46287</x:v>
      </x:c>
      <x:c r="C2600" s="17" t="str">
        <x:v>W0189</x:v>
      </x:c>
      <x:c r="D2600" s="17" t="str">
        <x:v>C004</x:v>
      </x:c>
      <x:c r="E2600" s="17" t="str">
        <x:v>InsightDesk</x:v>
      </x:c>
      <x:c r="F2600" s="17" t="str">
        <x:v>Lite</x:v>
      </x:c>
      <x:c r="G2600" s="21" t="n">
        <x:v>9455</x:v>
      </x:c>
      <x:c r="H2600" s="21" t="n">
        <x:v>3582</x:v>
      </x:c>
      <x:c r="I2600" s="17" t="str">
        <x:v>Correction</x:v>
      </x:c>
    </x:row>
    <x:row r="2601" ht="23" customHeight="1">
      <x:c r="A2601" s="17" t="str">
        <x:v>U02595</x:v>
      </x:c>
      <x:c r="B2601" s="18" t="n">
        <x:v>46287</x:v>
      </x:c>
      <x:c r="C2601" s="17" t="str">
        <x:v>W0189</x:v>
      </x:c>
      <x:c r="D2601" s="17" t="str">
        <x:v>C004</x:v>
      </x:c>
      <x:c r="E2601" s="17" t="str">
        <x:v>InsightDesk</x:v>
      </x:c>
      <x:c r="F2601" s="17" t="str">
        <x:v>Lite</x:v>
      </x:c>
      <x:c r="G2601" s="21" t="n">
        <x:v>16486</x:v>
      </x:c>
      <x:c r="H2601" s="21" t="n">
        <x:v>4519</x:v>
      </x:c>
      <x:c r="I2601" s="17" t="str">
        <x:v>Followup</x:v>
      </x:c>
    </x:row>
    <x:row r="2602" ht="23" customHeight="1">
      <x:c r="A2602" s="17" t="str">
        <x:v>U02596</x:v>
      </x:c>
      <x:c r="B2602" s="18" t="n">
        <x:v>46288</x:v>
      </x:c>
      <x:c r="C2602" s="17" t="str">
        <x:v>W0189</x:v>
      </x:c>
      <x:c r="D2602" s="17" t="str">
        <x:v>C004</x:v>
      </x:c>
      <x:c r="E2602" s="17" t="str">
        <x:v>InsightDesk</x:v>
      </x:c>
      <x:c r="F2602" s="17" t="str">
        <x:v>Lite</x:v>
      </x:c>
      <x:c r="G2602" s="21" t="n">
        <x:v>13002</x:v>
      </x:c>
      <x:c r="H2602" s="21" t="n">
        <x:v>2468</x:v>
      </x:c>
      <x:c r="I2602" s="17" t="str">
        <x:v>Followup</x:v>
      </x:c>
    </x:row>
    <x:row r="2603" ht="23" customHeight="1">
      <x:c r="A2603" s="17" t="str">
        <x:v>U02597</x:v>
      </x:c>
      <x:c r="B2603" s="18" t="n">
        <x:v>46288</x:v>
      </x:c>
      <x:c r="C2603" s="17" t="str">
        <x:v>W0189</x:v>
      </x:c>
      <x:c r="D2603" s="17" t="str">
        <x:v>C004</x:v>
      </x:c>
      <x:c r="E2603" s="17" t="str">
        <x:v>InsightDesk</x:v>
      </x:c>
      <x:c r="F2603" s="17" t="str">
        <x:v>Lite</x:v>
      </x:c>
      <x:c r="G2603" s="21" t="n">
        <x:v>20162</x:v>
      </x:c>
      <x:c r="H2603" s="21" t="n">
        <x:v>6836</x:v>
      </x:c>
      <x:c r="I2603" s="17" t="str">
        <x:v>Followup</x:v>
      </x:c>
    </x:row>
    <x:row r="2604" ht="23" customHeight="1">
      <x:c r="A2604" s="17" t="str">
        <x:v>U02598</x:v>
      </x:c>
      <x:c r="B2604" s="18" t="n">
        <x:v>46288</x:v>
      </x:c>
      <x:c r="C2604" s="17" t="str">
        <x:v>W0189</x:v>
      </x:c>
      <x:c r="D2604" s="17" t="str">
        <x:v>C004</x:v>
      </x:c>
      <x:c r="E2604" s="17" t="str">
        <x:v>InsightDesk</x:v>
      </x:c>
      <x:c r="F2604" s="17" t="str">
        <x:v>Lite</x:v>
      </x:c>
      <x:c r="G2604" s="21" t="n">
        <x:v>25292</x:v>
      </x:c>
      <x:c r="H2604" s="21" t="n">
        <x:v>4864</x:v>
      </x:c>
      <x:c r="I2604" s="17" t="str">
        <x:v>Followup</x:v>
      </x:c>
    </x:row>
    <x:row r="2605" ht="23" customHeight="1">
      <x:c r="A2605" s="17" t="str">
        <x:v>U02599</x:v>
      </x:c>
      <x:c r="B2605" s="18" t="n">
        <x:v>46288</x:v>
      </x:c>
      <x:c r="C2605" s="17" t="str">
        <x:v>W0189</x:v>
      </x:c>
      <x:c r="D2605" s="17" t="str">
        <x:v>C004</x:v>
      </x:c>
      <x:c r="E2605" s="17" t="str">
        <x:v>InsightDesk</x:v>
      </x:c>
      <x:c r="F2605" s="17" t="str">
        <x:v>Lite</x:v>
      </x:c>
      <x:c r="G2605" s="21" t="n">
        <x:v>19304</x:v>
      </x:c>
      <x:c r="H2605" s="21" t="n">
        <x:v>6713</x:v>
      </x:c>
      <x:c r="I2605" s="17" t="str">
        <x:v>Followup</x:v>
      </x:c>
    </x:row>
    <x:row r="2606" ht="23" customHeight="1">
      <x:c r="A2606" s="17" t="str">
        <x:v>U02600</x:v>
      </x:c>
      <x:c r="B2606" s="18" t="n">
        <x:v>46289</x:v>
      </x:c>
      <x:c r="C2606" s="17" t="str">
        <x:v>W0189</x:v>
      </x:c>
      <x:c r="D2606" s="17" t="str">
        <x:v>C004</x:v>
      </x:c>
      <x:c r="E2606" s="17" t="str">
        <x:v>InsightDesk</x:v>
      </x:c>
      <x:c r="F2606" s="17" t="str">
        <x:v>Lite</x:v>
      </x:c>
      <x:c r="G2606" s="21" t="n">
        <x:v>11148</x:v>
      </x:c>
      <x:c r="H2606" s="21" t="n">
        <x:v>4841</x:v>
      </x:c>
      <x:c r="I2606" s="17" t="str">
        <x:v>Followup</x:v>
      </x:c>
    </x:row>
    <x:row r="2607" ht="23" customHeight="1">
      <x:c r="A2607" s="17" t="str">
        <x:v>U02601</x:v>
      </x:c>
      <x:c r="B2607" s="18" t="n">
        <x:v>46289</x:v>
      </x:c>
      <x:c r="C2607" s="17" t="str">
        <x:v>W0189</x:v>
      </x:c>
      <x:c r="D2607" s="17" t="str">
        <x:v>C004</x:v>
      </x:c>
      <x:c r="E2607" s="17" t="str">
        <x:v>InsightDesk</x:v>
      </x:c>
      <x:c r="F2607" s="17" t="str">
        <x:v>Lite</x:v>
      </x:c>
      <x:c r="G2607" s="21" t="n">
        <x:v>11264</x:v>
      </x:c>
      <x:c r="H2607" s="21" t="n">
        <x:v>7378</x:v>
      </x:c>
      <x:c r="I2607" s="17" t="str">
        <x:v>Correction</x:v>
      </x:c>
    </x:row>
    <x:row r="2608" ht="23" customHeight="1">
      <x:c r="A2608" s="17" t="str">
        <x:v>U02602</x:v>
      </x:c>
      <x:c r="B2608" s="18" t="n">
        <x:v>46289</x:v>
      </x:c>
      <x:c r="C2608" s="17" t="str">
        <x:v>W0189</x:v>
      </x:c>
      <x:c r="D2608" s="17" t="str">
        <x:v>C004</x:v>
      </x:c>
      <x:c r="E2608" s="17" t="str">
        <x:v>InsightDesk</x:v>
      </x:c>
      <x:c r="F2608" s="17" t="str">
        <x:v>Lite</x:v>
      </x:c>
      <x:c r="G2608" s="21" t="n">
        <x:v>23226</x:v>
      </x:c>
      <x:c r="H2608" s="21" t="n">
        <x:v>3998</x:v>
      </x:c>
      <x:c r="I2608" s="17" t="str">
        <x:v>Followup</x:v>
      </x:c>
    </x:row>
    <x:row r="2609" ht="23" customHeight="1">
      <x:c r="A2609" s="17" t="str">
        <x:v>U02603</x:v>
      </x:c>
      <x:c r="B2609" s="18" t="n">
        <x:v>46289</x:v>
      </x:c>
      <x:c r="C2609" s="17" t="str">
        <x:v>W0189</x:v>
      </x:c>
      <x:c r="D2609" s="17" t="str">
        <x:v>C004</x:v>
      </x:c>
      <x:c r="E2609" s="17" t="str">
        <x:v>InsightDesk</x:v>
      </x:c>
      <x:c r="F2609" s="17" t="str">
        <x:v>Lite</x:v>
      </x:c>
      <x:c r="G2609" s="21" t="n">
        <x:v>18609</x:v>
      </x:c>
      <x:c r="H2609" s="21" t="n">
        <x:v>8167</x:v>
      </x:c>
      <x:c r="I2609" s="17" t="str">
        <x:v>Followup</x:v>
      </x:c>
    </x:row>
    <x:row r="2610" ht="23" customHeight="1">
      <x:c r="A2610" s="17" t="str">
        <x:v>U02604</x:v>
      </x:c>
      <x:c r="B2610" s="18" t="n">
        <x:v>46290</x:v>
      </x:c>
      <x:c r="C2610" s="17" t="str">
        <x:v>W0189</x:v>
      </x:c>
      <x:c r="D2610" s="17" t="str">
        <x:v>C004</x:v>
      </x:c>
      <x:c r="E2610" s="17" t="str">
        <x:v>InsightDesk</x:v>
      </x:c>
      <x:c r="F2610" s="17" t="str">
        <x:v>Lite</x:v>
      </x:c>
      <x:c r="G2610" s="21" t="n">
        <x:v>23833</x:v>
      </x:c>
      <x:c r="H2610" s="21" t="n">
        <x:v>5357</x:v>
      </x:c>
      <x:c r="I2610" s="17" t="str">
        <x:v>Followup</x:v>
      </x:c>
    </x:row>
    <x:row r="2611" ht="23" customHeight="1">
      <x:c r="A2611" s="17" t="str">
        <x:v>U02605</x:v>
      </x:c>
      <x:c r="B2611" s="18" t="n">
        <x:v>46290</x:v>
      </x:c>
      <x:c r="C2611" s="17" t="str">
        <x:v>W0189</x:v>
      </x:c>
      <x:c r="D2611" s="17" t="str">
        <x:v>C004</x:v>
      </x:c>
      <x:c r="E2611" s="17" t="str">
        <x:v>InsightDesk</x:v>
      </x:c>
      <x:c r="F2611" s="17" t="str">
        <x:v>Lite</x:v>
      </x:c>
      <x:c r="G2611" s="21" t="n">
        <x:v>22549</x:v>
      </x:c>
      <x:c r="H2611" s="21" t="n">
        <x:v>4163</x:v>
      </x:c>
      <x:c r="I2611" s="17" t="str">
        <x:v>Correction</x:v>
      </x:c>
    </x:row>
    <x:row r="2612" ht="23" customHeight="1">
      <x:c r="A2612" s="17" t="str">
        <x:v>U02606</x:v>
      </x:c>
      <x:c r="B2612" s="18" t="n">
        <x:v>46290</x:v>
      </x:c>
      <x:c r="C2612" s="17" t="str">
        <x:v>W0189</x:v>
      </x:c>
      <x:c r="D2612" s="17" t="str">
        <x:v>C004</x:v>
      </x:c>
      <x:c r="E2612" s="17" t="str">
        <x:v>InsightDesk</x:v>
      </x:c>
      <x:c r="F2612" s="17" t="str">
        <x:v>Lite</x:v>
      </x:c>
      <x:c r="G2612" s="21" t="n">
        <x:v>12906</x:v>
      </x:c>
      <x:c r="H2612" s="21" t="n">
        <x:v>4803</x:v>
      </x:c>
      <x:c r="I2612" s="17" t="str">
        <x:v>Followup</x:v>
      </x:c>
    </x:row>
    <x:row r="2613" ht="23" customHeight="1">
      <x:c r="A2613" s="17" t="str">
        <x:v>U02607</x:v>
      </x:c>
      <x:c r="B2613" s="18" t="n">
        <x:v>46269</x:v>
      </x:c>
      <x:c r="C2613" s="17" t="str">
        <x:v>W0190</x:v>
      </x:c>
      <x:c r="D2613" s="17" t="str">
        <x:v>C004</x:v>
      </x:c>
      <x:c r="E2613" s="17" t="str">
        <x:v>CampaignChat</x:v>
      </x:c>
      <x:c r="F2613" s="17" t="str">
        <x:v>Lite</x:v>
      </x:c>
      <x:c r="G2613" s="21" t="n">
        <x:v>24788</x:v>
      </x:c>
      <x:c r="H2613" s="21" t="n">
        <x:v>3974</x:v>
      </x:c>
      <x:c r="I2613" s="17" t="str">
        <x:v>First attempt</x:v>
      </x:c>
    </x:row>
    <x:row r="2614" ht="23" customHeight="1">
      <x:c r="A2614" s="17" t="str">
        <x:v>U02608</x:v>
      </x:c>
      <x:c r="B2614" s="18" t="n">
        <x:v>46269</x:v>
      </x:c>
      <x:c r="C2614" s="17" t="str">
        <x:v>W0190</x:v>
      </x:c>
      <x:c r="D2614" s="17" t="str">
        <x:v>C004</x:v>
      </x:c>
      <x:c r="E2614" s="17" t="str">
        <x:v>CampaignChat</x:v>
      </x:c>
      <x:c r="F2614" s="17" t="str">
        <x:v>Lite</x:v>
      </x:c>
      <x:c r="G2614" s="21" t="n">
        <x:v>14930</x:v>
      </x:c>
      <x:c r="H2614" s="21" t="n">
        <x:v>5530</x:v>
      </x:c>
      <x:c r="I2614" s="17" t="str">
        <x:v>Followup</x:v>
      </x:c>
    </x:row>
    <x:row r="2615" ht="23" customHeight="1">
      <x:c r="A2615" s="17" t="str">
        <x:v>U02609</x:v>
      </x:c>
      <x:c r="B2615" s="18" t="n">
        <x:v>46269</x:v>
      </x:c>
      <x:c r="C2615" s="17" t="str">
        <x:v>W0190</x:v>
      </x:c>
      <x:c r="D2615" s="17" t="str">
        <x:v>C004</x:v>
      </x:c>
      <x:c r="E2615" s="17" t="str">
        <x:v>CampaignChat</x:v>
      </x:c>
      <x:c r="F2615" s="17" t="str">
        <x:v>Lite</x:v>
      </x:c>
      <x:c r="G2615" s="21" t="n">
        <x:v>18862</x:v>
      </x:c>
      <x:c r="H2615" s="21" t="n">
        <x:v>5151</x:v>
      </x:c>
      <x:c r="I2615" s="17" t="str">
        <x:v>Followup</x:v>
      </x:c>
    </x:row>
    <x:row r="2616" ht="23" customHeight="1">
      <x:c r="A2616" s="17" t="str">
        <x:v>U02610</x:v>
      </x:c>
      <x:c r="B2616" s="18" t="n">
        <x:v>46273</x:v>
      </x:c>
      <x:c r="C2616" s="17" t="str">
        <x:v>W0190</x:v>
      </x:c>
      <x:c r="D2616" s="17" t="str">
        <x:v>C004</x:v>
      </x:c>
      <x:c r="E2616" s="17" t="str">
        <x:v>CampaignChat</x:v>
      </x:c>
      <x:c r="F2616" s="17" t="str">
        <x:v>Lite</x:v>
      </x:c>
      <x:c r="G2616" s="21" t="n">
        <x:v>29623</x:v>
      </x:c>
      <x:c r="H2616" s="21" t="n">
        <x:v>4610</x:v>
      </x:c>
      <x:c r="I2616" s="17" t="str">
        <x:v>Followup</x:v>
      </x:c>
    </x:row>
    <x:row r="2617" ht="23" customHeight="1">
      <x:c r="A2617" s="17" t="str">
        <x:v>U02611</x:v>
      </x:c>
      <x:c r="B2617" s="18" t="n">
        <x:v>46273</x:v>
      </x:c>
      <x:c r="C2617" s="17" t="str">
        <x:v>W0190</x:v>
      </x:c>
      <x:c r="D2617" s="17" t="str">
        <x:v>C004</x:v>
      </x:c>
      <x:c r="E2617" s="17" t="str">
        <x:v>CampaignChat</x:v>
      </x:c>
      <x:c r="F2617" s="17" t="str">
        <x:v>Lite</x:v>
      </x:c>
      <x:c r="G2617" s="21" t="n">
        <x:v>16535</x:v>
      </x:c>
      <x:c r="H2617" s="21" t="n">
        <x:v>5422</x:v>
      </x:c>
      <x:c r="I2617" s="17" t="str">
        <x:v>Correction</x:v>
      </x:c>
    </x:row>
    <x:row r="2618" ht="23" customHeight="1">
      <x:c r="A2618" s="17" t="str">
        <x:v>U02612</x:v>
      </x:c>
      <x:c r="B2618" s="18" t="n">
        <x:v>46273</x:v>
      </x:c>
      <x:c r="C2618" s="17" t="str">
        <x:v>W0190</x:v>
      </x:c>
      <x:c r="D2618" s="17" t="str">
        <x:v>C004</x:v>
      </x:c>
      <x:c r="E2618" s="17" t="str">
        <x:v>CampaignChat</x:v>
      </x:c>
      <x:c r="F2618" s="17" t="str">
        <x:v>Lite</x:v>
      </x:c>
      <x:c r="G2618" s="21" t="n">
        <x:v>19561</x:v>
      </x:c>
      <x:c r="H2618" s="21" t="n">
        <x:v>3694</x:v>
      </x:c>
      <x:c r="I2618" s="17" t="str">
        <x:v>Followup</x:v>
      </x:c>
    </x:row>
    <x:row r="2619" ht="23" customHeight="1">
      <x:c r="A2619" s="17" t="str">
        <x:v>U02613</x:v>
      </x:c>
      <x:c r="B2619" s="18" t="n">
        <x:v>46274</x:v>
      </x:c>
      <x:c r="C2619" s="17" t="str">
        <x:v>W0190</x:v>
      </x:c>
      <x:c r="D2619" s="17" t="str">
        <x:v>C004</x:v>
      </x:c>
      <x:c r="E2619" s="17" t="str">
        <x:v>CampaignChat</x:v>
      </x:c>
      <x:c r="F2619" s="17" t="str">
        <x:v>Lite</x:v>
      </x:c>
      <x:c r="G2619" s="21" t="n">
        <x:v>29947</x:v>
      </x:c>
      <x:c r="H2619" s="21" t="n">
        <x:v>3226</x:v>
      </x:c>
      <x:c r="I2619" s="17" t="str">
        <x:v>Followup</x:v>
      </x:c>
    </x:row>
    <x:row r="2620" ht="23" customHeight="1">
      <x:c r="A2620" s="17" t="str">
        <x:v>U02614</x:v>
      </x:c>
      <x:c r="B2620" s="18" t="n">
        <x:v>46274</x:v>
      </x:c>
      <x:c r="C2620" s="17" t="str">
        <x:v>W0190</x:v>
      </x:c>
      <x:c r="D2620" s="17" t="str">
        <x:v>C004</x:v>
      </x:c>
      <x:c r="E2620" s="17" t="str">
        <x:v>CampaignChat</x:v>
      </x:c>
      <x:c r="F2620" s="17" t="str">
        <x:v>Lite</x:v>
      </x:c>
      <x:c r="G2620" s="21" t="n">
        <x:v>26990</x:v>
      </x:c>
      <x:c r="H2620" s="21" t="n">
        <x:v>2646</x:v>
      </x:c>
      <x:c r="I2620" s="17" t="str">
        <x:v>Correction</x:v>
      </x:c>
    </x:row>
    <x:row r="2621" ht="23" customHeight="1">
      <x:c r="A2621" s="17" t="str">
        <x:v>U02615</x:v>
      </x:c>
      <x:c r="B2621" s="18" t="n">
        <x:v>46274</x:v>
      </x:c>
      <x:c r="C2621" s="17" t="str">
        <x:v>W0190</x:v>
      </x:c>
      <x:c r="D2621" s="17" t="str">
        <x:v>C004</x:v>
      </x:c>
      <x:c r="E2621" s="17" t="str">
        <x:v>CampaignChat</x:v>
      </x:c>
      <x:c r="F2621" s="17" t="str">
        <x:v>Lite</x:v>
      </x:c>
      <x:c r="G2621" s="21" t="n">
        <x:v>18513</x:v>
      </x:c>
      <x:c r="H2621" s="21" t="n">
        <x:v>4214</x:v>
      </x:c>
      <x:c r="I2621" s="17" t="str">
        <x:v>Followup</x:v>
      </x:c>
    </x:row>
    <x:row r="2622" ht="23" customHeight="1">
      <x:c r="A2622" s="17" t="str">
        <x:v>U02616</x:v>
      </x:c>
      <x:c r="B2622" s="18" t="n">
        <x:v>46275</x:v>
      </x:c>
      <x:c r="C2622" s="17" t="str">
        <x:v>W0190</x:v>
      </x:c>
      <x:c r="D2622" s="17" t="str">
        <x:v>C004</x:v>
      </x:c>
      <x:c r="E2622" s="17" t="str">
        <x:v>CampaignChat</x:v>
      </x:c>
      <x:c r="F2622" s="17" t="str">
        <x:v>Lite</x:v>
      </x:c>
      <x:c r="G2622" s="21" t="n">
        <x:v>34894</x:v>
      </x:c>
      <x:c r="H2622" s="21" t="n">
        <x:v>5464</x:v>
      </x:c>
      <x:c r="I2622" s="17" t="str">
        <x:v>Followup</x:v>
      </x:c>
    </x:row>
    <x:row r="2623" ht="23" customHeight="1">
      <x:c r="A2623" s="17" t="str">
        <x:v>U02617</x:v>
      </x:c>
      <x:c r="B2623" s="18" t="n">
        <x:v>46275</x:v>
      </x:c>
      <x:c r="C2623" s="17" t="str">
        <x:v>W0190</x:v>
      </x:c>
      <x:c r="D2623" s="17" t="str">
        <x:v>C004</x:v>
      </x:c>
      <x:c r="E2623" s="17" t="str">
        <x:v>CampaignChat</x:v>
      </x:c>
      <x:c r="F2623" s="17" t="str">
        <x:v>Lite</x:v>
      </x:c>
      <x:c r="G2623" s="21" t="n">
        <x:v>14770</x:v>
      </x:c>
      <x:c r="H2623" s="21" t="n">
        <x:v>4602</x:v>
      </x:c>
      <x:c r="I2623" s="17" t="str">
        <x:v>Correction</x:v>
      </x:c>
    </x:row>
    <x:row r="2624" ht="23" customHeight="1">
      <x:c r="A2624" s="17" t="str">
        <x:v>U02618</x:v>
      </x:c>
      <x:c r="B2624" s="18" t="n">
        <x:v>46289</x:v>
      </x:c>
      <x:c r="C2624" s="17" t="str">
        <x:v>W0197</x:v>
      </x:c>
      <x:c r="D2624" s="17" t="str">
        <x:v>C004</x:v>
      </x:c>
      <x:c r="E2624" s="17" t="str">
        <x:v>InsightDesk</x:v>
      </x:c>
      <x:c r="F2624" s="17" t="str">
        <x:v>Lite</x:v>
      </x:c>
      <x:c r="G2624" s="21" t="n">
        <x:v>20400</x:v>
      </x:c>
      <x:c r="H2624" s="21" t="n">
        <x:v>4497</x:v>
      </x:c>
      <x:c r="I2624" s="17" t="str">
        <x:v>First attempt</x:v>
      </x:c>
    </x:row>
    <x:row r="2625" ht="23" customHeight="1">
      <x:c r="A2625" s="17" t="str">
        <x:v>U02619</x:v>
      </x:c>
      <x:c r="B2625" s="18" t="n">
        <x:v>46289</x:v>
      </x:c>
      <x:c r="C2625" s="17" t="str">
        <x:v>W0197</x:v>
      </x:c>
      <x:c r="D2625" s="17" t="str">
        <x:v>C004</x:v>
      </x:c>
      <x:c r="E2625" s="17" t="str">
        <x:v>InsightDesk</x:v>
      </x:c>
      <x:c r="F2625" s="17" t="str">
        <x:v>Lite</x:v>
      </x:c>
      <x:c r="G2625" s="21" t="n">
        <x:v>25970</x:v>
      </x:c>
      <x:c r="H2625" s="21" t="n">
        <x:v>2636</x:v>
      </x:c>
      <x:c r="I2625" s="17" t="str">
        <x:v>Followup</x:v>
      </x:c>
    </x:row>
    <x:row r="2626" ht="23" customHeight="1">
      <x:c r="A2626" s="17" t="str">
        <x:v>U02620</x:v>
      </x:c>
      <x:c r="B2626" s="18" t="n">
        <x:v>46289</x:v>
      </x:c>
      <x:c r="C2626" s="17" t="str">
        <x:v>W0197</x:v>
      </x:c>
      <x:c r="D2626" s="17" t="str">
        <x:v>C004</x:v>
      </x:c>
      <x:c r="E2626" s="17" t="str">
        <x:v>InsightDesk</x:v>
      </x:c>
      <x:c r="F2626" s="17" t="str">
        <x:v>Lite</x:v>
      </x:c>
      <x:c r="G2626" s="21" t="n">
        <x:v>10609</x:v>
      </x:c>
      <x:c r="H2626" s="21" t="n">
        <x:v>2955</x:v>
      </x:c>
      <x:c r="I2626" s="17" t="str">
        <x:v>Followup</x:v>
      </x:c>
    </x:row>
    <x:row r="2627" ht="23" customHeight="1">
      <x:c r="A2627" s="17" t="str">
        <x:v>U02621</x:v>
      </x:c>
      <x:c r="B2627" s="18" t="n">
        <x:v>46290</x:v>
      </x:c>
      <x:c r="C2627" s="17" t="str">
        <x:v>W0197</x:v>
      </x:c>
      <x:c r="D2627" s="17" t="str">
        <x:v>C004</x:v>
      </x:c>
      <x:c r="E2627" s="17" t="str">
        <x:v>InsightDesk</x:v>
      </x:c>
      <x:c r="F2627" s="17" t="str">
        <x:v>Lite</x:v>
      </x:c>
      <x:c r="G2627" s="21" t="n">
        <x:v>28221</x:v>
      </x:c>
      <x:c r="H2627" s="21" t="n">
        <x:v>5707</x:v>
      </x:c>
      <x:c r="I2627" s="17" t="str">
        <x:v>Followup</x:v>
      </x:c>
    </x:row>
    <x:row r="2628" ht="23" customHeight="1">
      <x:c r="A2628" s="17" t="str">
        <x:v>U02622</x:v>
      </x:c>
      <x:c r="B2628" s="18" t="n">
        <x:v>46290</x:v>
      </x:c>
      <x:c r="C2628" s="17" t="str">
        <x:v>W0197</x:v>
      </x:c>
      <x:c r="D2628" s="17" t="str">
        <x:v>C004</x:v>
      </x:c>
      <x:c r="E2628" s="17" t="str">
        <x:v>InsightDesk</x:v>
      </x:c>
      <x:c r="F2628" s="17" t="str">
        <x:v>Lite</x:v>
      </x:c>
      <x:c r="G2628" s="21" t="n">
        <x:v>16518</x:v>
      </x:c>
      <x:c r="H2628" s="21" t="n">
        <x:v>2206</x:v>
      </x:c>
      <x:c r="I2628" s="17" t="str">
        <x:v>Followup</x:v>
      </x:c>
    </x:row>
    <x:row r="2629" ht="23" customHeight="1">
      <x:c r="A2629" s="17" t="str">
        <x:v>U02623</x:v>
      </x:c>
      <x:c r="B2629" s="18" t="n">
        <x:v>46293</x:v>
      </x:c>
      <x:c r="C2629" s="17" t="str">
        <x:v>W0197</x:v>
      </x:c>
      <x:c r="D2629" s="17" t="str">
        <x:v>C004</x:v>
      </x:c>
      <x:c r="E2629" s="17" t="str">
        <x:v>InsightDesk</x:v>
      </x:c>
      <x:c r="F2629" s="17" t="str">
        <x:v>Lite</x:v>
      </x:c>
      <x:c r="G2629" s="21" t="n">
        <x:v>12300</x:v>
      </x:c>
      <x:c r="H2629" s="21" t="n">
        <x:v>5320</x:v>
      </x:c>
      <x:c r="I2629" s="17" t="str">
        <x:v>Followup</x:v>
      </x:c>
    </x:row>
    <x:row r="2630" ht="23" customHeight="1">
      <x:c r="A2630" s="17" t="str">
        <x:v>U02624</x:v>
      </x:c>
      <x:c r="B2630" s="18" t="n">
        <x:v>46293</x:v>
      </x:c>
      <x:c r="C2630" s="17" t="str">
        <x:v>W0197</x:v>
      </x:c>
      <x:c r="D2630" s="17" t="str">
        <x:v>C004</x:v>
      </x:c>
      <x:c r="E2630" s="17" t="str">
        <x:v>InsightDesk</x:v>
      </x:c>
      <x:c r="F2630" s="17" t="str">
        <x:v>Lite</x:v>
      </x:c>
      <x:c r="G2630" s="21" t="n">
        <x:v>11608</x:v>
      </x:c>
      <x:c r="H2630" s="21" t="n">
        <x:v>6637</x:v>
      </x:c>
      <x:c r="I2630" s="17" t="str">
        <x:v>Followup</x:v>
      </x:c>
    </x:row>
    <x:row r="2631" ht="23" customHeight="1">
      <x:c r="A2631" s="17" t="str">
        <x:v>U02625</x:v>
      </x:c>
      <x:c r="B2631" s="18" t="n">
        <x:v>46293</x:v>
      </x:c>
      <x:c r="C2631" s="17" t="str">
        <x:v>W0197</x:v>
      </x:c>
      <x:c r="D2631" s="17" t="str">
        <x:v>C004</x:v>
      </x:c>
      <x:c r="E2631" s="17" t="str">
        <x:v>InsightDesk</x:v>
      </x:c>
      <x:c r="F2631" s="17" t="str">
        <x:v>Lite</x:v>
      </x:c>
      <x:c r="G2631" s="21" t="n">
        <x:v>19144</x:v>
      </x:c>
      <x:c r="H2631" s="21" t="n">
        <x:v>3322</x:v>
      </x:c>
      <x:c r="I2631" s="17" t="str">
        <x:v>Correction</x:v>
      </x:c>
    </x:row>
    <x:row r="2632" ht="23" customHeight="1">
      <x:c r="A2632" s="17" t="str">
        <x:v>U02626</x:v>
      </x:c>
      <x:c r="B2632" s="18" t="n">
        <x:v>46294</x:v>
      </x:c>
      <x:c r="C2632" s="17" t="str">
        <x:v>W0197</x:v>
      </x:c>
      <x:c r="D2632" s="17" t="str">
        <x:v>C004</x:v>
      </x:c>
      <x:c r="E2632" s="17" t="str">
        <x:v>InsightDesk</x:v>
      </x:c>
      <x:c r="F2632" s="17" t="str">
        <x:v>Lite</x:v>
      </x:c>
      <x:c r="G2632" s="21" t="n">
        <x:v>27297</x:v>
      </x:c>
      <x:c r="H2632" s="21" t="n">
        <x:v>3043</x:v>
      </x:c>
      <x:c r="I2632" s="17" t="str">
        <x:v>Followup</x:v>
      </x:c>
    </x:row>
    <x:row r="2633" ht="23" customHeight="1">
      <x:c r="A2633" s="17" t="str">
        <x:v>U02627</x:v>
      </x:c>
      <x:c r="B2633" s="18" t="n">
        <x:v>46294</x:v>
      </x:c>
      <x:c r="C2633" s="17" t="str">
        <x:v>W0197</x:v>
      </x:c>
      <x:c r="D2633" s="17" t="str">
        <x:v>C004</x:v>
      </x:c>
      <x:c r="E2633" s="17" t="str">
        <x:v>InsightDesk</x:v>
      </x:c>
      <x:c r="F2633" s="17" t="str">
        <x:v>Lite</x:v>
      </x:c>
      <x:c r="G2633" s="21" t="n">
        <x:v>24023</x:v>
      </x:c>
      <x:c r="H2633" s="21" t="n">
        <x:v>7099</x:v>
      </x:c>
      <x:c r="I2633" s="17" t="str">
        <x:v>Followup</x:v>
      </x:c>
    </x:row>
    <x:row r="2634" ht="23" customHeight="1">
      <x:c r="A2634" s="17" t="str">
        <x:v>U02628</x:v>
      </x:c>
      <x:c r="B2634" s="18" t="n">
        <x:v>46274</x:v>
      </x:c>
      <x:c r="C2634" s="17" t="str">
        <x:v>W0198</x:v>
      </x:c>
      <x:c r="D2634" s="17" t="str">
        <x:v>C004</x:v>
      </x:c>
      <x:c r="E2634" s="17" t="str">
        <x:v>DataFlow</x:v>
      </x:c>
      <x:c r="F2634" s="17" t="str">
        <x:v>Lite</x:v>
      </x:c>
      <x:c r="G2634" s="21" t="n">
        <x:v>15161</x:v>
      </x:c>
      <x:c r="H2634" s="21" t="n">
        <x:v>4749</x:v>
      </x:c>
      <x:c r="I2634" s="17" t="str">
        <x:v>First attempt</x:v>
      </x:c>
    </x:row>
    <x:row r="2635" ht="23" customHeight="1">
      <x:c r="A2635" s="17" t="str">
        <x:v>U02629</x:v>
      </x:c>
      <x:c r="B2635" s="18" t="n">
        <x:v>46274</x:v>
      </x:c>
      <x:c r="C2635" s="17" t="str">
        <x:v>W0198</x:v>
      </x:c>
      <x:c r="D2635" s="17" t="str">
        <x:v>C004</x:v>
      </x:c>
      <x:c r="E2635" s="17" t="str">
        <x:v>DataFlow</x:v>
      </x:c>
      <x:c r="F2635" s="17" t="str">
        <x:v>Lite</x:v>
      </x:c>
      <x:c r="G2635" s="21" t="n">
        <x:v>25793</x:v>
      </x:c>
      <x:c r="H2635" s="21" t="n">
        <x:v>3154</x:v>
      </x:c>
      <x:c r="I2635" s="17" t="str">
        <x:v>Followup</x:v>
      </x:c>
    </x:row>
    <x:row r="2636" ht="23" customHeight="1">
      <x:c r="A2636" s="17" t="str">
        <x:v>U02630</x:v>
      </x:c>
      <x:c r="B2636" s="18" t="n">
        <x:v>46274</x:v>
      </x:c>
      <x:c r="C2636" s="17" t="str">
        <x:v>W0198</x:v>
      </x:c>
      <x:c r="D2636" s="17" t="str">
        <x:v>C004</x:v>
      </x:c>
      <x:c r="E2636" s="17" t="str">
        <x:v>DataFlow</x:v>
      </x:c>
      <x:c r="F2636" s="17" t="str">
        <x:v>Lite</x:v>
      </x:c>
      <x:c r="G2636" s="21" t="n">
        <x:v>28859</x:v>
      </x:c>
      <x:c r="H2636" s="21" t="n">
        <x:v>6646</x:v>
      </x:c>
      <x:c r="I2636" s="17" t="str">
        <x:v>Followup</x:v>
      </x:c>
    </x:row>
    <x:row r="2637" ht="23" customHeight="1">
      <x:c r="A2637" s="17" t="str">
        <x:v>U02631</x:v>
      </x:c>
      <x:c r="B2637" s="18" t="n">
        <x:v>46275</x:v>
      </x:c>
      <x:c r="C2637" s="17" t="str">
        <x:v>W0198</x:v>
      </x:c>
      <x:c r="D2637" s="17" t="str">
        <x:v>C004</x:v>
      </x:c>
      <x:c r="E2637" s="17" t="str">
        <x:v>DataFlow</x:v>
      </x:c>
      <x:c r="F2637" s="17" t="str">
        <x:v>Lite</x:v>
      </x:c>
      <x:c r="G2637" s="21" t="n">
        <x:v>15722</x:v>
      </x:c>
      <x:c r="H2637" s="21" t="n">
        <x:v>5573</x:v>
      </x:c>
      <x:c r="I2637" s="17" t="str">
        <x:v>Followup</x:v>
      </x:c>
    </x:row>
    <x:row r="2638" ht="23" customHeight="1">
      <x:c r="A2638" s="17" t="str">
        <x:v>U02632</x:v>
      </x:c>
      <x:c r="B2638" s="18" t="n">
        <x:v>46275</x:v>
      </x:c>
      <x:c r="C2638" s="17" t="str">
        <x:v>W0198</x:v>
      </x:c>
      <x:c r="D2638" s="17" t="str">
        <x:v>C004</x:v>
      </x:c>
      <x:c r="E2638" s="17" t="str">
        <x:v>DataFlow</x:v>
      </x:c>
      <x:c r="F2638" s="17" t="str">
        <x:v>Lite</x:v>
      </x:c>
      <x:c r="G2638" s="21" t="n">
        <x:v>29228</x:v>
      </x:c>
      <x:c r="H2638" s="21" t="n">
        <x:v>7726</x:v>
      </x:c>
      <x:c r="I2638" s="17" t="str">
        <x:v>Followup</x:v>
      </x:c>
    </x:row>
    <x:row r="2639" ht="23" customHeight="1">
      <x:c r="A2639" s="17" t="str">
        <x:v>U02633</x:v>
      </x:c>
      <x:c r="B2639" s="18" t="n">
        <x:v>46275</x:v>
      </x:c>
      <x:c r="C2639" s="17" t="str">
        <x:v>W0198</x:v>
      </x:c>
      <x:c r="D2639" s="17" t="str">
        <x:v>C004</x:v>
      </x:c>
      <x:c r="E2639" s="17" t="str">
        <x:v>DataFlow</x:v>
      </x:c>
      <x:c r="F2639" s="17" t="str">
        <x:v>Lite</x:v>
      </x:c>
      <x:c r="G2639" s="21" t="n">
        <x:v>24960</x:v>
      </x:c>
      <x:c r="H2639" s="21" t="n">
        <x:v>6656</x:v>
      </x:c>
      <x:c r="I2639" s="17" t="str">
        <x:v>Correction</x:v>
      </x:c>
    </x:row>
    <x:row r="2640" ht="23" customHeight="1">
      <x:c r="A2640" s="17" t="str">
        <x:v>U02634</x:v>
      </x:c>
      <x:c r="B2640" s="18" t="n">
        <x:v>46276</x:v>
      </x:c>
      <x:c r="C2640" s="17" t="str">
        <x:v>W0198</x:v>
      </x:c>
      <x:c r="D2640" s="17" t="str">
        <x:v>C004</x:v>
      </x:c>
      <x:c r="E2640" s="17" t="str">
        <x:v>DataFlow</x:v>
      </x:c>
      <x:c r="F2640" s="17" t="str">
        <x:v>Lite</x:v>
      </x:c>
      <x:c r="G2640" s="21" t="n">
        <x:v>21650</x:v>
      </x:c>
      <x:c r="H2640" s="21" t="n">
        <x:v>2527</x:v>
      </x:c>
      <x:c r="I2640" s="17" t="str">
        <x:v>Correction</x:v>
      </x:c>
    </x:row>
    <x:row r="2641" ht="23" customHeight="1">
      <x:c r="A2641" s="17" t="str">
        <x:v>U02635</x:v>
      </x:c>
      <x:c r="B2641" s="18" t="n">
        <x:v>46276</x:v>
      </x:c>
      <x:c r="C2641" s="17" t="str">
        <x:v>W0198</x:v>
      </x:c>
      <x:c r="D2641" s="17" t="str">
        <x:v>C004</x:v>
      </x:c>
      <x:c r="E2641" s="17" t="str">
        <x:v>DataFlow</x:v>
      </x:c>
      <x:c r="F2641" s="17" t="str">
        <x:v>Lite</x:v>
      </x:c>
      <x:c r="G2641" s="21" t="n">
        <x:v>19247</x:v>
      </x:c>
      <x:c r="H2641" s="21" t="n">
        <x:v>6856</x:v>
      </x:c>
      <x:c r="I2641" s="17" t="str">
        <x:v>Followup</x:v>
      </x:c>
    </x:row>
    <x:row r="2642" ht="23" customHeight="1">
      <x:c r="A2642" s="17" t="str">
        <x:v>U02636</x:v>
      </x:c>
      <x:c r="B2642" s="18" t="n">
        <x:v>46276</x:v>
      </x:c>
      <x:c r="C2642" s="17" t="str">
        <x:v>W0198</x:v>
      </x:c>
      <x:c r="D2642" s="17" t="str">
        <x:v>C004</x:v>
      </x:c>
      <x:c r="E2642" s="17" t="str">
        <x:v>DataFlow</x:v>
      </x:c>
      <x:c r="F2642" s="17" t="str">
        <x:v>Lite</x:v>
      </x:c>
      <x:c r="G2642" s="21" t="n">
        <x:v>18482</x:v>
      </x:c>
      <x:c r="H2642" s="21" t="n">
        <x:v>4774</x:v>
      </x:c>
      <x:c r="I2642" s="17" t="str">
        <x:v>Followup</x:v>
      </x:c>
    </x:row>
    <x:row r="2643" ht="23" customHeight="1">
      <x:c r="A2643" s="17" t="str">
        <x:v>U02637</x:v>
      </x:c>
      <x:c r="B2643" s="18" t="n">
        <x:v>46279</x:v>
      </x:c>
      <x:c r="C2643" s="17" t="str">
        <x:v>W0198</x:v>
      </x:c>
      <x:c r="D2643" s="17" t="str">
        <x:v>C004</x:v>
      </x:c>
      <x:c r="E2643" s="17" t="str">
        <x:v>DataFlow</x:v>
      </x:c>
      <x:c r="F2643" s="17" t="str">
        <x:v>Lite</x:v>
      </x:c>
      <x:c r="G2643" s="21" t="n">
        <x:v>11191</x:v>
      </x:c>
      <x:c r="H2643" s="21" t="n">
        <x:v>3329</x:v>
      </x:c>
      <x:c r="I2643" s="17" t="str">
        <x:v>Followup</x:v>
      </x:c>
    </x:row>
    <x:row r="2644" ht="23" customHeight="1">
      <x:c r="A2644" s="17" t="str">
        <x:v>U02638</x:v>
      </x:c>
      <x:c r="B2644" s="18" t="n">
        <x:v>46279</x:v>
      </x:c>
      <x:c r="C2644" s="17" t="str">
        <x:v>W0198</x:v>
      </x:c>
      <x:c r="D2644" s="17" t="str">
        <x:v>C004</x:v>
      </x:c>
      <x:c r="E2644" s="17" t="str">
        <x:v>DataFlow</x:v>
      </x:c>
      <x:c r="F2644" s="17" t="str">
        <x:v>Lite</x:v>
      </x:c>
      <x:c r="G2644" s="21" t="n">
        <x:v>28345</x:v>
      </x:c>
      <x:c r="H2644" s="21" t="n">
        <x:v>3121</x:v>
      </x:c>
      <x:c r="I2644" s="17" t="str">
        <x:v>Followup</x:v>
      </x:c>
    </x:row>
    <x:row r="2645" ht="23" customHeight="1">
      <x:c r="A2645" s="17" t="str">
        <x:v>U02639</x:v>
      </x:c>
      <x:c r="B2645" s="18" t="n">
        <x:v>46267</x:v>
      </x:c>
      <x:c r="C2645" s="17" t="str">
        <x:v>W0200</x:v>
      </x:c>
      <x:c r="D2645" s="17" t="str">
        <x:v>C004</x:v>
      </x:c>
      <x:c r="E2645" s="17" t="str">
        <x:v>InsightDesk</x:v>
      </x:c>
      <x:c r="F2645" s="17" t="str">
        <x:v>Lite</x:v>
      </x:c>
      <x:c r="G2645" s="21" t="n">
        <x:v>10218</x:v>
      </x:c>
      <x:c r="H2645" s="21" t="n">
        <x:v>4837</x:v>
      </x:c>
      <x:c r="I2645" s="17" t="str">
        <x:v>First attempt</x:v>
      </x:c>
    </x:row>
    <x:row r="2646" ht="23" customHeight="1">
      <x:c r="A2646" s="17" t="str">
        <x:v>U02640</x:v>
      </x:c>
      <x:c r="B2646" s="18" t="n">
        <x:v>46267</x:v>
      </x:c>
      <x:c r="C2646" s="17" t="str">
        <x:v>W0200</x:v>
      </x:c>
      <x:c r="D2646" s="17" t="str">
        <x:v>C004</x:v>
      </x:c>
      <x:c r="E2646" s="17" t="str">
        <x:v>InsightDesk</x:v>
      </x:c>
      <x:c r="F2646" s="17" t="str">
        <x:v>Lite</x:v>
      </x:c>
      <x:c r="G2646" s="21" t="n">
        <x:v>22890</x:v>
      </x:c>
      <x:c r="H2646" s="21" t="n">
        <x:v>3089</x:v>
      </x:c>
      <x:c r="I2646" s="17" t="str">
        <x:v>Followup</x:v>
      </x:c>
    </x:row>
    <x:row r="2647" ht="23" customHeight="1">
      <x:c r="A2647" s="17" t="str">
        <x:v>U02641</x:v>
      </x:c>
      <x:c r="B2647" s="18" t="n">
        <x:v>46267</x:v>
      </x:c>
      <x:c r="C2647" s="17" t="str">
        <x:v>W0200</x:v>
      </x:c>
      <x:c r="D2647" s="17" t="str">
        <x:v>C004</x:v>
      </x:c>
      <x:c r="E2647" s="17" t="str">
        <x:v>InsightDesk</x:v>
      </x:c>
      <x:c r="F2647" s="17" t="str">
        <x:v>Lite</x:v>
      </x:c>
      <x:c r="G2647" s="21" t="n">
        <x:v>17639</x:v>
      </x:c>
      <x:c r="H2647" s="21" t="n">
        <x:v>4771</x:v>
      </x:c>
      <x:c r="I2647" s="17" t="str">
        <x:v>Followup</x:v>
      </x:c>
    </x:row>
    <x:row r="2648" ht="23" customHeight="1">
      <x:c r="A2648" s="17" t="str">
        <x:v>U02642</x:v>
      </x:c>
      <x:c r="B2648" s="18" t="n">
        <x:v>46267</x:v>
      </x:c>
      <x:c r="C2648" s="17" t="str">
        <x:v>W0200</x:v>
      </x:c>
      <x:c r="D2648" s="17" t="str">
        <x:v>C004</x:v>
      </x:c>
      <x:c r="E2648" s="17" t="str">
        <x:v>InsightDesk</x:v>
      </x:c>
      <x:c r="F2648" s="17" t="str">
        <x:v>Lite</x:v>
      </x:c>
      <x:c r="G2648" s="21" t="n">
        <x:v>11165</x:v>
      </x:c>
      <x:c r="H2648" s="21" t="n">
        <x:v>4802</x:v>
      </x:c>
      <x:c r="I2648" s="17" t="str">
        <x:v>Followup</x:v>
      </x:c>
    </x:row>
    <x:row r="2649" ht="23" customHeight="1">
      <x:c r="A2649" s="17" t="str">
        <x:v>U02643</x:v>
      </x:c>
      <x:c r="B2649" s="18" t="n">
        <x:v>46268</x:v>
      </x:c>
      <x:c r="C2649" s="17" t="str">
        <x:v>W0200</x:v>
      </x:c>
      <x:c r="D2649" s="17" t="str">
        <x:v>C004</x:v>
      </x:c>
      <x:c r="E2649" s="17" t="str">
        <x:v>InsightDesk</x:v>
      </x:c>
      <x:c r="F2649" s="17" t="str">
        <x:v>Lite</x:v>
      </x:c>
      <x:c r="G2649" s="21" t="n">
        <x:v>16318</x:v>
      </x:c>
      <x:c r="H2649" s="21" t="n">
        <x:v>4370</x:v>
      </x:c>
      <x:c r="I2649" s="17" t="str">
        <x:v>Followup</x:v>
      </x:c>
    </x:row>
    <x:row r="2650" ht="23" customHeight="1">
      <x:c r="A2650" s="17" t="str">
        <x:v>U02644</x:v>
      </x:c>
      <x:c r="B2650" s="18" t="n">
        <x:v>46268</x:v>
      </x:c>
      <x:c r="C2650" s="17" t="str">
        <x:v>W0200</x:v>
      </x:c>
      <x:c r="D2650" s="17" t="str">
        <x:v>C004</x:v>
      </x:c>
      <x:c r="E2650" s="17" t="str">
        <x:v>InsightDesk</x:v>
      </x:c>
      <x:c r="F2650" s="17" t="str">
        <x:v>Lite</x:v>
      </x:c>
      <x:c r="G2650" s="21" t="n">
        <x:v>13053</x:v>
      </x:c>
      <x:c r="H2650" s="21" t="n">
        <x:v>4340</x:v>
      </x:c>
      <x:c r="I2650" s="17" t="str">
        <x:v>Followup</x:v>
      </x:c>
    </x:row>
    <x:row r="2651" ht="23" customHeight="1">
      <x:c r="A2651" s="17" t="str">
        <x:v>U02645</x:v>
      </x:c>
      <x:c r="B2651" s="18" t="n">
        <x:v>46268</x:v>
      </x:c>
      <x:c r="C2651" s="17" t="str">
        <x:v>W0200</x:v>
      </x:c>
      <x:c r="D2651" s="17" t="str">
        <x:v>C004</x:v>
      </x:c>
      <x:c r="E2651" s="17" t="str">
        <x:v>InsightDesk</x:v>
      </x:c>
      <x:c r="F2651" s="17" t="str">
        <x:v>Lite</x:v>
      </x:c>
      <x:c r="G2651" s="21" t="n">
        <x:v>14367</x:v>
      </x:c>
      <x:c r="H2651" s="21" t="n">
        <x:v>3284</x:v>
      </x:c>
      <x:c r="I2651" s="17" t="str">
        <x:v>Correction</x:v>
      </x:c>
    </x:row>
    <x:row r="2652" ht="23" customHeight="1">
      <x:c r="A2652" s="17" t="str">
        <x:v>U02646</x:v>
      </x:c>
      <x:c r="B2652" s="18" t="n">
        <x:v>46269</x:v>
      </x:c>
      <x:c r="C2652" s="17" t="str">
        <x:v>W0200</x:v>
      </x:c>
      <x:c r="D2652" s="17" t="str">
        <x:v>C004</x:v>
      </x:c>
      <x:c r="E2652" s="17" t="str">
        <x:v>InsightDesk</x:v>
      </x:c>
      <x:c r="F2652" s="17" t="str">
        <x:v>Lite</x:v>
      </x:c>
      <x:c r="G2652" s="21" t="n">
        <x:v>11274</x:v>
      </x:c>
      <x:c r="H2652" s="21" t="n">
        <x:v>2948</x:v>
      </x:c>
      <x:c r="I2652" s="17" t="str">
        <x:v>Followup</x:v>
      </x:c>
    </x:row>
    <x:row r="2653" ht="23" customHeight="1">
      <x:c r="A2653" s="17" t="str">
        <x:v>U02647</x:v>
      </x:c>
      <x:c r="B2653" s="18" t="n">
        <x:v>46269</x:v>
      </x:c>
      <x:c r="C2653" s="17" t="str">
        <x:v>W0200</x:v>
      </x:c>
      <x:c r="D2653" s="17" t="str">
        <x:v>C004</x:v>
      </x:c>
      <x:c r="E2653" s="17" t="str">
        <x:v>InsightDesk</x:v>
      </x:c>
      <x:c r="F2653" s="17" t="str">
        <x:v>Lite</x:v>
      </x:c>
      <x:c r="G2653" s="21" t="n">
        <x:v>22476</x:v>
      </x:c>
      <x:c r="H2653" s="21" t="n">
        <x:v>3908</x:v>
      </x:c>
      <x:c r="I2653" s="17" t="str">
        <x:v>Correction</x:v>
      </x:c>
    </x:row>
    <x:row r="2654" ht="23" customHeight="1">
      <x:c r="A2654" s="17" t="str">
        <x:v>U02648</x:v>
      </x:c>
      <x:c r="B2654" s="18" t="n">
        <x:v>46269</x:v>
      </x:c>
      <x:c r="C2654" s="17" t="str">
        <x:v>W0200</x:v>
      </x:c>
      <x:c r="D2654" s="17" t="str">
        <x:v>C004</x:v>
      </x:c>
      <x:c r="E2654" s="17" t="str">
        <x:v>InsightDesk</x:v>
      </x:c>
      <x:c r="F2654" s="17" t="str">
        <x:v>Lite</x:v>
      </x:c>
      <x:c r="G2654" s="21" t="n">
        <x:v>14373</x:v>
      </x:c>
      <x:c r="H2654" s="21" t="n">
        <x:v>4568</x:v>
      </x:c>
      <x:c r="I2654" s="17" t="str">
        <x:v>Correction</x:v>
      </x:c>
    </x:row>
    <x:row r="2655" ht="23" customHeight="1">
      <x:c r="A2655" s="17" t="str">
        <x:v>U02649</x:v>
      </x:c>
      <x:c r="B2655" s="18" t="n">
        <x:v>46273</x:v>
      </x:c>
      <x:c r="C2655" s="17" t="str">
        <x:v>W0200</x:v>
      </x:c>
      <x:c r="D2655" s="17" t="str">
        <x:v>C004</x:v>
      </x:c>
      <x:c r="E2655" s="17" t="str">
        <x:v>InsightDesk</x:v>
      </x:c>
      <x:c r="F2655" s="17" t="str">
        <x:v>Lite</x:v>
      </x:c>
      <x:c r="G2655" s="21" t="n">
        <x:v>21394</x:v>
      </x:c>
      <x:c r="H2655" s="21" t="n">
        <x:v>3329</x:v>
      </x:c>
      <x:c r="I2655" s="17" t="str">
        <x:v>Followup</x:v>
      </x:c>
    </x:row>
    <x:row r="2656" ht="23" customHeight="1">
      <x:c r="A2656" s="17" t="str">
        <x:v>U02650</x:v>
      </x:c>
      <x:c r="B2656" s="18" t="n">
        <x:v>46273</x:v>
      </x:c>
      <x:c r="C2656" s="17" t="str">
        <x:v>W0200</x:v>
      </x:c>
      <x:c r="D2656" s="17" t="str">
        <x:v>C004</x:v>
      </x:c>
      <x:c r="E2656" s="17" t="str">
        <x:v>InsightDesk</x:v>
      </x:c>
      <x:c r="F2656" s="17" t="str">
        <x:v>Lite</x:v>
      </x:c>
      <x:c r="G2656" s="21" t="n">
        <x:v>17331</x:v>
      </x:c>
      <x:c r="H2656" s="21" t="n">
        <x:v>1779</x:v>
      </x:c>
      <x:c r="I2656" s="17" t="str">
        <x:v>Correction</x:v>
      </x:c>
    </x:row>
    <x:row r="2657" ht="23" customHeight="1">
      <x:c r="A2657" s="17" t="str">
        <x:v>U02651</x:v>
      </x:c>
      <x:c r="B2657" s="18" t="n">
        <x:v>46273</x:v>
      </x:c>
      <x:c r="C2657" s="17" t="str">
        <x:v>W0200</x:v>
      </x:c>
      <x:c r="D2657" s="17" t="str">
        <x:v>C004</x:v>
      </x:c>
      <x:c r="E2657" s="17" t="str">
        <x:v>InsightDesk</x:v>
      </x:c>
      <x:c r="F2657" s="17" t="str">
        <x:v>Lite</x:v>
      </x:c>
      <x:c r="G2657" s="21" t="n">
        <x:v>16643</x:v>
      </x:c>
      <x:c r="H2657" s="21" t="n">
        <x:v>4678</x:v>
      </x:c>
      <x:c r="I2657" s="17" t="str">
        <x:v>Followup</x:v>
      </x:c>
    </x:row>
    <x:row r="2658" ht="23" customHeight="1">
      <x:c r="A2658" s="17" t="str">
        <x:v>U02652</x:v>
      </x:c>
      <x:c r="B2658" s="18" t="n">
        <x:v>46279</x:v>
      </x:c>
      <x:c r="C2658" s="17" t="str">
        <x:v>W0201</x:v>
      </x:c>
      <x:c r="D2658" s="17" t="str">
        <x:v>C004</x:v>
      </x:c>
      <x:c r="E2658" s="17" t="str">
        <x:v>InsightDesk</x:v>
      </x:c>
      <x:c r="F2658" s="17" t="str">
        <x:v>Lite</x:v>
      </x:c>
      <x:c r="G2658" s="21" t="n">
        <x:v>13477</x:v>
      </x:c>
      <x:c r="H2658" s="21" t="n">
        <x:v>4098</x:v>
      </x:c>
      <x:c r="I2658" s="17" t="str">
        <x:v>First attempt</x:v>
      </x:c>
    </x:row>
    <x:row r="2659" ht="23" customHeight="1">
      <x:c r="A2659" s="17" t="str">
        <x:v>U02653</x:v>
      </x:c>
      <x:c r="B2659" s="18" t="n">
        <x:v>46279</x:v>
      </x:c>
      <x:c r="C2659" s="17" t="str">
        <x:v>W0201</x:v>
      </x:c>
      <x:c r="D2659" s="17" t="str">
        <x:v>C004</x:v>
      </x:c>
      <x:c r="E2659" s="17" t="str">
        <x:v>InsightDesk</x:v>
      </x:c>
      <x:c r="F2659" s="17" t="str">
        <x:v>Lite</x:v>
      </x:c>
      <x:c r="G2659" s="21" t="n">
        <x:v>18958</x:v>
      </x:c>
      <x:c r="H2659" s="21" t="n">
        <x:v>5142</x:v>
      </x:c>
      <x:c r="I2659" s="17" t="str">
        <x:v>Correction</x:v>
      </x:c>
    </x:row>
    <x:row r="2660" ht="23" customHeight="1">
      <x:c r="A2660" s="17" t="str">
        <x:v>U02654</x:v>
      </x:c>
      <x:c r="B2660" s="18" t="n">
        <x:v>46279</x:v>
      </x:c>
      <x:c r="C2660" s="17" t="str">
        <x:v>W0201</x:v>
      </x:c>
      <x:c r="D2660" s="17" t="str">
        <x:v>C004</x:v>
      </x:c>
      <x:c r="E2660" s="17" t="str">
        <x:v>InsightDesk</x:v>
      </x:c>
      <x:c r="F2660" s="17" t="str">
        <x:v>Lite</x:v>
      </x:c>
      <x:c r="G2660" s="21" t="n">
        <x:v>16439</x:v>
      </x:c>
      <x:c r="H2660" s="21" t="n">
        <x:v>2378</x:v>
      </x:c>
      <x:c r="I2660" s="17" t="str">
        <x:v>Followup</x:v>
      </x:c>
    </x:row>
    <x:row r="2661" ht="23" customHeight="1">
      <x:c r="A2661" s="17" t="str">
        <x:v>U02655</x:v>
      </x:c>
      <x:c r="B2661" s="18" t="n">
        <x:v>46280</x:v>
      </x:c>
      <x:c r="C2661" s="17" t="str">
        <x:v>W0201</x:v>
      </x:c>
      <x:c r="D2661" s="17" t="str">
        <x:v>C004</x:v>
      </x:c>
      <x:c r="E2661" s="17" t="str">
        <x:v>InsightDesk</x:v>
      </x:c>
      <x:c r="F2661" s="17" t="str">
        <x:v>Lite</x:v>
      </x:c>
      <x:c r="G2661" s="21" t="n">
        <x:v>18533</x:v>
      </x:c>
      <x:c r="H2661" s="21" t="n">
        <x:v>3828</x:v>
      </x:c>
      <x:c r="I2661" s="17" t="str">
        <x:v>Correction</x:v>
      </x:c>
    </x:row>
    <x:row r="2662" ht="23" customHeight="1">
      <x:c r="A2662" s="17" t="str">
        <x:v>U02656</x:v>
      </x:c>
      <x:c r="B2662" s="18" t="n">
        <x:v>46280</x:v>
      </x:c>
      <x:c r="C2662" s="17" t="str">
        <x:v>W0201</x:v>
      </x:c>
      <x:c r="D2662" s="17" t="str">
        <x:v>C004</x:v>
      </x:c>
      <x:c r="E2662" s="17" t="str">
        <x:v>InsightDesk</x:v>
      </x:c>
      <x:c r="F2662" s="17" t="str">
        <x:v>Lite</x:v>
      </x:c>
      <x:c r="G2662" s="21" t="n">
        <x:v>14552</x:v>
      </x:c>
      <x:c r="H2662" s="21" t="n">
        <x:v>2847</x:v>
      </x:c>
      <x:c r="I2662" s="17" t="str">
        <x:v>Followup</x:v>
      </x:c>
    </x:row>
    <x:row r="2663" ht="23" customHeight="1">
      <x:c r="A2663" s="17" t="str">
        <x:v>U02657</x:v>
      </x:c>
      <x:c r="B2663" s="18" t="n">
        <x:v>46280</x:v>
      </x:c>
      <x:c r="C2663" s="17" t="str">
        <x:v>W0201</x:v>
      </x:c>
      <x:c r="D2663" s="17" t="str">
        <x:v>C004</x:v>
      </x:c>
      <x:c r="E2663" s="17" t="str">
        <x:v>InsightDesk</x:v>
      </x:c>
      <x:c r="F2663" s="17" t="str">
        <x:v>Lite</x:v>
      </x:c>
      <x:c r="G2663" s="21" t="n">
        <x:v>17634</x:v>
      </x:c>
      <x:c r="H2663" s="21" t="n">
        <x:v>3607</x:v>
      </x:c>
      <x:c r="I2663" s="17" t="str">
        <x:v>Followup</x:v>
      </x:c>
    </x:row>
    <x:row r="2664" ht="23" customHeight="1">
      <x:c r="A2664" s="17" t="str">
        <x:v>U02658</x:v>
      </x:c>
      <x:c r="B2664" s="18" t="n">
        <x:v>46281</x:v>
      </x:c>
      <x:c r="C2664" s="17" t="str">
        <x:v>W0201</x:v>
      </x:c>
      <x:c r="D2664" s="17" t="str">
        <x:v>C004</x:v>
      </x:c>
      <x:c r="E2664" s="17" t="str">
        <x:v>InsightDesk</x:v>
      </x:c>
      <x:c r="F2664" s="17" t="str">
        <x:v>Lite</x:v>
      </x:c>
      <x:c r="G2664" s="21" t="n">
        <x:v>12529</x:v>
      </x:c>
      <x:c r="H2664" s="21" t="n">
        <x:v>3194</x:v>
      </x:c>
      <x:c r="I2664" s="17" t="str">
        <x:v>Followup</x:v>
      </x:c>
    </x:row>
    <x:row r="2665" ht="23" customHeight="1">
      <x:c r="A2665" s="17" t="str">
        <x:v>U02659</x:v>
      </x:c>
      <x:c r="B2665" s="18" t="n">
        <x:v>46281</x:v>
      </x:c>
      <x:c r="C2665" s="17" t="str">
        <x:v>W0201</x:v>
      </x:c>
      <x:c r="D2665" s="17" t="str">
        <x:v>C004</x:v>
      </x:c>
      <x:c r="E2665" s="17" t="str">
        <x:v>InsightDesk</x:v>
      </x:c>
      <x:c r="F2665" s="17" t="str">
        <x:v>Lite</x:v>
      </x:c>
      <x:c r="G2665" s="21" t="n">
        <x:v>11831</x:v>
      </x:c>
      <x:c r="H2665" s="21" t="n">
        <x:v>2555</x:v>
      </x:c>
      <x:c r="I2665" s="17" t="str">
        <x:v>Followup</x:v>
      </x:c>
    </x:row>
    <x:row r="2666" ht="23" customHeight="1">
      <x:c r="A2666" s="17" t="str">
        <x:v>U02660</x:v>
      </x:c>
      <x:c r="B2666" s="18" t="n">
        <x:v>46281</x:v>
      </x:c>
      <x:c r="C2666" s="17" t="str">
        <x:v>W0201</x:v>
      </x:c>
      <x:c r="D2666" s="17" t="str">
        <x:v>C004</x:v>
      </x:c>
      <x:c r="E2666" s="17" t="str">
        <x:v>InsightDesk</x:v>
      </x:c>
      <x:c r="F2666" s="17" t="str">
        <x:v>Lite</x:v>
      </x:c>
      <x:c r="G2666" s="21" t="n">
        <x:v>23521</x:v>
      </x:c>
      <x:c r="H2666" s="21" t="n">
        <x:v>4713</x:v>
      </x:c>
      <x:c r="I2666" s="17" t="str">
        <x:v>Correction</x:v>
      </x:c>
    </x:row>
    <x:row r="2667" ht="23" customHeight="1">
      <x:c r="A2667" s="17" t="str">
        <x:v>U02661</x:v>
      </x:c>
      <x:c r="B2667" s="18" t="n">
        <x:v>46282</x:v>
      </x:c>
      <x:c r="C2667" s="17" t="str">
        <x:v>W0201</x:v>
      </x:c>
      <x:c r="D2667" s="17" t="str">
        <x:v>C004</x:v>
      </x:c>
      <x:c r="E2667" s="17" t="str">
        <x:v>InsightDesk</x:v>
      </x:c>
      <x:c r="F2667" s="17" t="str">
        <x:v>Lite</x:v>
      </x:c>
      <x:c r="G2667" s="21" t="n">
        <x:v>22100</x:v>
      </x:c>
      <x:c r="H2667" s="21" t="n">
        <x:v>5916</x:v>
      </x:c>
      <x:c r="I2667" s="17" t="str">
        <x:v>Followup</x:v>
      </x:c>
    </x:row>
    <x:row r="2668" ht="23" customHeight="1">
      <x:c r="A2668" s="17" t="str">
        <x:v>U02662</x:v>
      </x:c>
      <x:c r="B2668" s="18" t="n">
        <x:v>46282</x:v>
      </x:c>
      <x:c r="C2668" s="17" t="str">
        <x:v>W0201</x:v>
      </x:c>
      <x:c r="D2668" s="17" t="str">
        <x:v>C004</x:v>
      </x:c>
      <x:c r="E2668" s="17" t="str">
        <x:v>InsightDesk</x:v>
      </x:c>
      <x:c r="F2668" s="17" t="str">
        <x:v>Lite</x:v>
      </x:c>
      <x:c r="G2668" s="21" t="n">
        <x:v>11115</x:v>
      </x:c>
      <x:c r="H2668" s="21" t="n">
        <x:v>4322</x:v>
      </x:c>
      <x:c r="I2668" s="17" t="str">
        <x:v>Followup</x:v>
      </x:c>
    </x:row>
    <x:row r="2669" ht="23" customHeight="1">
      <x:c r="A2669" s="17" t="str">
        <x:v>U02663</x:v>
      </x:c>
      <x:c r="B2669" s="18" t="n">
        <x:v>46273</x:v>
      </x:c>
      <x:c r="C2669" s="17" t="str">
        <x:v>W0203</x:v>
      </x:c>
      <x:c r="D2669" s="17" t="str">
        <x:v>C004</x:v>
      </x:c>
      <x:c r="E2669" s="17" t="str">
        <x:v>CopyStudio</x:v>
      </x:c>
      <x:c r="F2669" s="17" t="str">
        <x:v>Lite</x:v>
      </x:c>
      <x:c r="G2669" s="21" t="n">
        <x:v>28310</x:v>
      </x:c>
      <x:c r="H2669" s="21" t="n">
        <x:v>5807</x:v>
      </x:c>
      <x:c r="I2669" s="17" t="str">
        <x:v>First attempt</x:v>
      </x:c>
    </x:row>
    <x:row r="2670" ht="23" customHeight="1">
      <x:c r="A2670" s="17" t="str">
        <x:v>U02664</x:v>
      </x:c>
      <x:c r="B2670" s="18" t="n">
        <x:v>46273</x:v>
      </x:c>
      <x:c r="C2670" s="17" t="str">
        <x:v>W0203</x:v>
      </x:c>
      <x:c r="D2670" s="17" t="str">
        <x:v>C004</x:v>
      </x:c>
      <x:c r="E2670" s="17" t="str">
        <x:v>CopyStudio</x:v>
      </x:c>
      <x:c r="F2670" s="17" t="str">
        <x:v>Lite</x:v>
      </x:c>
      <x:c r="G2670" s="21" t="n">
        <x:v>17742</x:v>
      </x:c>
      <x:c r="H2670" s="21" t="n">
        <x:v>3519</x:v>
      </x:c>
      <x:c r="I2670" s="17" t="str">
        <x:v>Correction</x:v>
      </x:c>
    </x:row>
    <x:row r="2671" ht="23" customHeight="1">
      <x:c r="A2671" s="17" t="str">
        <x:v>U02665</x:v>
      </x:c>
      <x:c r="B2671" s="18" t="n">
        <x:v>46273</x:v>
      </x:c>
      <x:c r="C2671" s="17" t="str">
        <x:v>W0203</x:v>
      </x:c>
      <x:c r="D2671" s="17" t="str">
        <x:v>C004</x:v>
      </x:c>
      <x:c r="E2671" s="17" t="str">
        <x:v>CopyStudio</x:v>
      </x:c>
      <x:c r="F2671" s="17" t="str">
        <x:v>Lite</x:v>
      </x:c>
      <x:c r="G2671" s="21" t="n">
        <x:v>17999</x:v>
      </x:c>
      <x:c r="H2671" s="21" t="n">
        <x:v>4941</x:v>
      </x:c>
      <x:c r="I2671" s="17" t="str">
        <x:v>Followup</x:v>
      </x:c>
    </x:row>
    <x:row r="2672" ht="23" customHeight="1">
      <x:c r="A2672" s="17" t="str">
        <x:v>U02666</x:v>
      </x:c>
      <x:c r="B2672" s="18" t="n">
        <x:v>46274</x:v>
      </x:c>
      <x:c r="C2672" s="17" t="str">
        <x:v>W0203</x:v>
      </x:c>
      <x:c r="D2672" s="17" t="str">
        <x:v>C004</x:v>
      </x:c>
      <x:c r="E2672" s="17" t="str">
        <x:v>CopyStudio</x:v>
      </x:c>
      <x:c r="F2672" s="17" t="str">
        <x:v>Lite</x:v>
      </x:c>
      <x:c r="G2672" s="21" t="n">
        <x:v>27631</x:v>
      </x:c>
      <x:c r="H2672" s="21" t="n">
        <x:v>3755</x:v>
      </x:c>
      <x:c r="I2672" s="17" t="str">
        <x:v>Followup</x:v>
      </x:c>
    </x:row>
    <x:row r="2673" ht="23" customHeight="1">
      <x:c r="A2673" s="17" t="str">
        <x:v>U02667</x:v>
      </x:c>
      <x:c r="B2673" s="18" t="n">
        <x:v>46274</x:v>
      </x:c>
      <x:c r="C2673" s="17" t="str">
        <x:v>W0203</x:v>
      </x:c>
      <x:c r="D2673" s="17" t="str">
        <x:v>C004</x:v>
      </x:c>
      <x:c r="E2673" s="17" t="str">
        <x:v>CopyStudio</x:v>
      </x:c>
      <x:c r="F2673" s="17" t="str">
        <x:v>Lite</x:v>
      </x:c>
      <x:c r="G2673" s="21" t="n">
        <x:v>13301</x:v>
      </x:c>
      <x:c r="H2673" s="21" t="n">
        <x:v>4475</x:v>
      </x:c>
      <x:c r="I2673" s="17" t="str">
        <x:v>Followup</x:v>
      </x:c>
    </x:row>
    <x:row r="2674" ht="23" customHeight="1">
      <x:c r="A2674" s="17" t="str">
        <x:v>U02668</x:v>
      </x:c>
      <x:c r="B2674" s="18" t="n">
        <x:v>46274</x:v>
      </x:c>
      <x:c r="C2674" s="17" t="str">
        <x:v>W0203</x:v>
      </x:c>
      <x:c r="D2674" s="17" t="str">
        <x:v>C004</x:v>
      </x:c>
      <x:c r="E2674" s="17" t="str">
        <x:v>CopyStudio</x:v>
      </x:c>
      <x:c r="F2674" s="17" t="str">
        <x:v>Lite</x:v>
      </x:c>
      <x:c r="G2674" s="21" t="n">
        <x:v>28531</x:v>
      </x:c>
      <x:c r="H2674" s="21" t="n">
        <x:v>5649</x:v>
      </x:c>
      <x:c r="I2674" s="17" t="str">
        <x:v>Followup</x:v>
      </x:c>
    </x:row>
    <x:row r="2675" ht="23" customHeight="1">
      <x:c r="A2675" s="17" t="str">
        <x:v>U02669</x:v>
      </x:c>
      <x:c r="B2675" s="18" t="n">
        <x:v>46275</x:v>
      </x:c>
      <x:c r="C2675" s="17" t="str">
        <x:v>W0203</x:v>
      </x:c>
      <x:c r="D2675" s="17" t="str">
        <x:v>C004</x:v>
      </x:c>
      <x:c r="E2675" s="17" t="str">
        <x:v>CopyStudio</x:v>
      </x:c>
      <x:c r="F2675" s="17" t="str">
        <x:v>Lite</x:v>
      </x:c>
      <x:c r="G2675" s="21" t="n">
        <x:v>28809</x:v>
      </x:c>
      <x:c r="H2675" s="21" t="n">
        <x:v>2396</x:v>
      </x:c>
      <x:c r="I2675" s="17" t="str">
        <x:v>Followup</x:v>
      </x:c>
    </x:row>
    <x:row r="2676" ht="23" customHeight="1">
      <x:c r="A2676" s="17" t="str">
        <x:v>U02670</x:v>
      </x:c>
      <x:c r="B2676" s="18" t="n">
        <x:v>46275</x:v>
      </x:c>
      <x:c r="C2676" s="17" t="str">
        <x:v>W0203</x:v>
      </x:c>
      <x:c r="D2676" s="17" t="str">
        <x:v>C004</x:v>
      </x:c>
      <x:c r="E2676" s="17" t="str">
        <x:v>CopyStudio</x:v>
      </x:c>
      <x:c r="F2676" s="17" t="str">
        <x:v>Lite</x:v>
      </x:c>
      <x:c r="G2676" s="21" t="n">
        <x:v>16461</x:v>
      </x:c>
      <x:c r="H2676" s="21" t="n">
        <x:v>6097</x:v>
      </x:c>
      <x:c r="I2676" s="17" t="str">
        <x:v>Followup</x:v>
      </x:c>
    </x:row>
    <x:row r="2677" ht="23" customHeight="1">
      <x:c r="A2677" s="17" t="str">
        <x:v>U02671</x:v>
      </x:c>
      <x:c r="B2677" s="18" t="n">
        <x:v>46275</x:v>
      </x:c>
      <x:c r="C2677" s="17" t="str">
        <x:v>W0203</x:v>
      </x:c>
      <x:c r="D2677" s="17" t="str">
        <x:v>C004</x:v>
      </x:c>
      <x:c r="E2677" s="17" t="str">
        <x:v>CopyStudio</x:v>
      </x:c>
      <x:c r="F2677" s="17" t="str">
        <x:v>Lite</x:v>
      </x:c>
      <x:c r="G2677" s="21" t="n">
        <x:v>29417</x:v>
      </x:c>
      <x:c r="H2677" s="21" t="n">
        <x:v>2841</x:v>
      </x:c>
      <x:c r="I2677" s="17" t="str">
        <x:v>Followup</x:v>
      </x:c>
    </x:row>
    <x:row r="2678" ht="23" customHeight="1">
      <x:c r="A2678" s="17" t="str">
        <x:v>U02672</x:v>
      </x:c>
      <x:c r="B2678" s="18" t="n">
        <x:v>46276</x:v>
      </x:c>
      <x:c r="C2678" s="17" t="str">
        <x:v>W0203</x:v>
      </x:c>
      <x:c r="D2678" s="17" t="str">
        <x:v>C004</x:v>
      </x:c>
      <x:c r="E2678" s="17" t="str">
        <x:v>CopyStudio</x:v>
      </x:c>
      <x:c r="F2678" s="17" t="str">
        <x:v>Lite</x:v>
      </x:c>
      <x:c r="G2678" s="21" t="n">
        <x:v>17892</x:v>
      </x:c>
      <x:c r="H2678" s="21" t="n">
        <x:v>5550</x:v>
      </x:c>
      <x:c r="I2678" s="17" t="str">
        <x:v>Correction</x:v>
      </x:c>
    </x:row>
    <x:row r="2679" ht="23" customHeight="1">
      <x:c r="A2679" s="17" t="str">
        <x:v>U02673</x:v>
      </x:c>
      <x:c r="B2679" s="18" t="n">
        <x:v>46276</x:v>
      </x:c>
      <x:c r="C2679" s="17" t="str">
        <x:v>W0203</x:v>
      </x:c>
      <x:c r="D2679" s="17" t="str">
        <x:v>C004</x:v>
      </x:c>
      <x:c r="E2679" s="17" t="str">
        <x:v>CopyStudio</x:v>
      </x:c>
      <x:c r="F2679" s="17" t="str">
        <x:v>Lite</x:v>
      </x:c>
      <x:c r="G2679" s="21" t="n">
        <x:v>21233</x:v>
      </x:c>
      <x:c r="H2679" s="21" t="n">
        <x:v>3348</x:v>
      </x:c>
      <x:c r="I2679" s="17" t="str">
        <x:v>Followup</x:v>
      </x:c>
    </x:row>
    <x:row r="2680" ht="23" customHeight="1">
      <x:c r="A2680" s="17" t="str">
        <x:v>U02674</x:v>
      </x:c>
      <x:c r="B2680" s="18" t="n">
        <x:v>46276</x:v>
      </x:c>
      <x:c r="C2680" s="17" t="str">
        <x:v>W0203</x:v>
      </x:c>
      <x:c r="D2680" s="17" t="str">
        <x:v>C004</x:v>
      </x:c>
      <x:c r="E2680" s="17" t="str">
        <x:v>CopyStudio</x:v>
      </x:c>
      <x:c r="F2680" s="17" t="str">
        <x:v>Lite</x:v>
      </x:c>
      <x:c r="G2680" s="21" t="n">
        <x:v>12844</x:v>
      </x:c>
      <x:c r="H2680" s="21" t="n">
        <x:v>3996</x:v>
      </x:c>
      <x:c r="I2680" s="17" t="str">
        <x:v>Followup</x:v>
      </x:c>
    </x:row>
    <x:row r="2681" ht="23" customHeight="1">
      <x:c r="A2681" s="17" t="str">
        <x:v>U02675</x:v>
      </x:c>
      <x:c r="B2681" s="18" t="n">
        <x:v>46282</x:v>
      </x:c>
      <x:c r="C2681" s="17" t="str">
        <x:v>W0204</x:v>
      </x:c>
      <x:c r="D2681" s="17" t="str">
        <x:v>C004</x:v>
      </x:c>
      <x:c r="E2681" s="17" t="str">
        <x:v>CampaignChat</x:v>
      </x:c>
      <x:c r="F2681" s="17" t="str">
        <x:v>Lite</x:v>
      </x:c>
      <x:c r="G2681" s="21" t="n">
        <x:v>8938</x:v>
      </x:c>
      <x:c r="H2681" s="21" t="n">
        <x:v>5669</x:v>
      </x:c>
      <x:c r="I2681" s="17" t="str">
        <x:v>First attempt</x:v>
      </x:c>
    </x:row>
    <x:row r="2682" ht="23" customHeight="1">
      <x:c r="A2682" s="17" t="str">
        <x:v>U02676</x:v>
      </x:c>
      <x:c r="B2682" s="18" t="n">
        <x:v>46282</x:v>
      </x:c>
      <x:c r="C2682" s="17" t="str">
        <x:v>W0204</x:v>
      </x:c>
      <x:c r="D2682" s="17" t="str">
        <x:v>C004</x:v>
      </x:c>
      <x:c r="E2682" s="17" t="str">
        <x:v>CampaignChat</x:v>
      </x:c>
      <x:c r="F2682" s="17" t="str">
        <x:v>Lite</x:v>
      </x:c>
      <x:c r="G2682" s="21" t="n">
        <x:v>15069</x:v>
      </x:c>
      <x:c r="H2682" s="21" t="n">
        <x:v>6830</x:v>
      </x:c>
      <x:c r="I2682" s="17" t="str">
        <x:v>Followup</x:v>
      </x:c>
    </x:row>
    <x:row r="2683" ht="23" customHeight="1">
      <x:c r="A2683" s="17" t="str">
        <x:v>U02677</x:v>
      </x:c>
      <x:c r="B2683" s="18" t="n">
        <x:v>46282</x:v>
      </x:c>
      <x:c r="C2683" s="17" t="str">
        <x:v>W0204</x:v>
      </x:c>
      <x:c r="D2683" s="17" t="str">
        <x:v>C004</x:v>
      </x:c>
      <x:c r="E2683" s="17" t="str">
        <x:v>CampaignChat</x:v>
      </x:c>
      <x:c r="F2683" s="17" t="str">
        <x:v>Lite</x:v>
      </x:c>
      <x:c r="G2683" s="21" t="n">
        <x:v>20143</x:v>
      </x:c>
      <x:c r="H2683" s="21" t="n">
        <x:v>3866</x:v>
      </x:c>
      <x:c r="I2683" s="17" t="str">
        <x:v>Followup</x:v>
      </x:c>
    </x:row>
    <x:row r="2684" ht="23" customHeight="1">
      <x:c r="A2684" s="17" t="str">
        <x:v>U02678</x:v>
      </x:c>
      <x:c r="B2684" s="18" t="n">
        <x:v>46282</x:v>
      </x:c>
      <x:c r="C2684" s="17" t="str">
        <x:v>W0204</x:v>
      </x:c>
      <x:c r="D2684" s="17" t="str">
        <x:v>C004</x:v>
      </x:c>
      <x:c r="E2684" s="17" t="str">
        <x:v>CampaignChat</x:v>
      </x:c>
      <x:c r="F2684" s="17" t="str">
        <x:v>Lite</x:v>
      </x:c>
      <x:c r="G2684" s="21" t="n">
        <x:v>16826</x:v>
      </x:c>
      <x:c r="H2684" s="21" t="n">
        <x:v>6766</x:v>
      </x:c>
      <x:c r="I2684" s="17" t="str">
        <x:v>Followup</x:v>
      </x:c>
    </x:row>
    <x:row r="2685" ht="23" customHeight="1">
      <x:c r="A2685" s="17" t="str">
        <x:v>U02679</x:v>
      </x:c>
      <x:c r="B2685" s="18" t="n">
        <x:v>46282</x:v>
      </x:c>
      <x:c r="C2685" s="17" t="str">
        <x:v>W0204</x:v>
      </x:c>
      <x:c r="D2685" s="17" t="str">
        <x:v>C004</x:v>
      </x:c>
      <x:c r="E2685" s="17" t="str">
        <x:v>CampaignChat</x:v>
      </x:c>
      <x:c r="F2685" s="17" t="str">
        <x:v>Lite</x:v>
      </x:c>
      <x:c r="G2685" s="21" t="n">
        <x:v>19419</x:v>
      </x:c>
      <x:c r="H2685" s="21" t="n">
        <x:v>2999</x:v>
      </x:c>
      <x:c r="I2685" s="17" t="str">
        <x:v>Correction</x:v>
      </x:c>
    </x:row>
    <x:row r="2686" ht="23" customHeight="1">
      <x:c r="A2686" s="17" t="str">
        <x:v>U02680</x:v>
      </x:c>
      <x:c r="B2686" s="18" t="n">
        <x:v>46283</x:v>
      </x:c>
      <x:c r="C2686" s="17" t="str">
        <x:v>W0204</x:v>
      </x:c>
      <x:c r="D2686" s="17" t="str">
        <x:v>C004</x:v>
      </x:c>
      <x:c r="E2686" s="17" t="str">
        <x:v>CampaignChat</x:v>
      </x:c>
      <x:c r="F2686" s="17" t="str">
        <x:v>Lite</x:v>
      </x:c>
      <x:c r="G2686" s="21" t="n">
        <x:v>14779</x:v>
      </x:c>
      <x:c r="H2686" s="21" t="n">
        <x:v>5038</x:v>
      </x:c>
      <x:c r="I2686" s="17" t="str">
        <x:v>Followup</x:v>
      </x:c>
    </x:row>
    <x:row r="2687" ht="23" customHeight="1">
      <x:c r="A2687" s="17" t="str">
        <x:v>U02681</x:v>
      </x:c>
      <x:c r="B2687" s="18" t="n">
        <x:v>46283</x:v>
      </x:c>
      <x:c r="C2687" s="17" t="str">
        <x:v>W0204</x:v>
      </x:c>
      <x:c r="D2687" s="17" t="str">
        <x:v>C004</x:v>
      </x:c>
      <x:c r="E2687" s="17" t="str">
        <x:v>CampaignChat</x:v>
      </x:c>
      <x:c r="F2687" s="17" t="str">
        <x:v>Lite</x:v>
      </x:c>
      <x:c r="G2687" s="21" t="n">
        <x:v>14082</x:v>
      </x:c>
      <x:c r="H2687" s="21" t="n">
        <x:v>2117</x:v>
      </x:c>
      <x:c r="I2687" s="17" t="str">
        <x:v>Followup</x:v>
      </x:c>
    </x:row>
    <x:row r="2688" ht="23" customHeight="1">
      <x:c r="A2688" s="17" t="str">
        <x:v>U02682</x:v>
      </x:c>
      <x:c r="B2688" s="18" t="n">
        <x:v>46283</x:v>
      </x:c>
      <x:c r="C2688" s="17" t="str">
        <x:v>W0204</x:v>
      </x:c>
      <x:c r="D2688" s="17" t="str">
        <x:v>C004</x:v>
      </x:c>
      <x:c r="E2688" s="17" t="str">
        <x:v>CampaignChat</x:v>
      </x:c>
      <x:c r="F2688" s="17" t="str">
        <x:v>Lite</x:v>
      </x:c>
      <x:c r="G2688" s="21" t="n">
        <x:v>13255</x:v>
      </x:c>
      <x:c r="H2688" s="21" t="n">
        <x:v>8056</x:v>
      </x:c>
      <x:c r="I2688" s="17" t="str">
        <x:v>Correction</x:v>
      </x:c>
    </x:row>
    <x:row r="2689" ht="23" customHeight="1">
      <x:c r="A2689" s="17" t="str">
        <x:v>U02683</x:v>
      </x:c>
      <x:c r="B2689" s="18" t="n">
        <x:v>46283</x:v>
      </x:c>
      <x:c r="C2689" s="17" t="str">
        <x:v>W0204</x:v>
      </x:c>
      <x:c r="D2689" s="17" t="str">
        <x:v>C004</x:v>
      </x:c>
      <x:c r="E2689" s="17" t="str">
        <x:v>CampaignChat</x:v>
      </x:c>
      <x:c r="F2689" s="17" t="str">
        <x:v>Lite</x:v>
      </x:c>
      <x:c r="G2689" s="21" t="n">
        <x:v>17508</x:v>
      </x:c>
      <x:c r="H2689" s="21" t="n">
        <x:v>2419</x:v>
      </x:c>
      <x:c r="I2689" s="17" t="str">
        <x:v>Correction</x:v>
      </x:c>
    </x:row>
    <x:row r="2690" ht="23" customHeight="1">
      <x:c r="A2690" s="17" t="str">
        <x:v>U02684</x:v>
      </x:c>
      <x:c r="B2690" s="18" t="n">
        <x:v>46283</x:v>
      </x:c>
      <x:c r="C2690" s="17" t="str">
        <x:v>W0204</x:v>
      </x:c>
      <x:c r="D2690" s="17" t="str">
        <x:v>C004</x:v>
      </x:c>
      <x:c r="E2690" s="17" t="str">
        <x:v>CampaignChat</x:v>
      </x:c>
      <x:c r="F2690" s="17" t="str">
        <x:v>Lite</x:v>
      </x:c>
      <x:c r="G2690" s="21" t="n">
        <x:v>15501</x:v>
      </x:c>
      <x:c r="H2690" s="21" t="n">
        <x:v>7965</x:v>
      </x:c>
      <x:c r="I2690" s="17" t="str">
        <x:v>Followup</x:v>
      </x:c>
    </x:row>
    <x:row r="2691" ht="23" customHeight="1">
      <x:c r="A2691" s="17" t="str">
        <x:v>U02685</x:v>
      </x:c>
      <x:c r="B2691" s="18" t="n">
        <x:v>46286</x:v>
      </x:c>
      <x:c r="C2691" s="17" t="str">
        <x:v>W0204</x:v>
      </x:c>
      <x:c r="D2691" s="17" t="str">
        <x:v>C004</x:v>
      </x:c>
      <x:c r="E2691" s="17" t="str">
        <x:v>CampaignChat</x:v>
      </x:c>
      <x:c r="F2691" s="17" t="str">
        <x:v>Lite</x:v>
      </x:c>
      <x:c r="G2691" s="21" t="n">
        <x:v>22671</x:v>
      </x:c>
      <x:c r="H2691" s="21" t="n">
        <x:v>6406</x:v>
      </x:c>
      <x:c r="I2691" s="17" t="str">
        <x:v>Followup</x:v>
      </x:c>
    </x:row>
    <x:row r="2692" ht="23" customHeight="1">
      <x:c r="A2692" s="17" t="str">
        <x:v>U02686</x:v>
      </x:c>
      <x:c r="B2692" s="18" t="n">
        <x:v>46286</x:v>
      </x:c>
      <x:c r="C2692" s="17" t="str">
        <x:v>W0204</x:v>
      </x:c>
      <x:c r="D2692" s="17" t="str">
        <x:v>C004</x:v>
      </x:c>
      <x:c r="E2692" s="17" t="str">
        <x:v>CampaignChat</x:v>
      </x:c>
      <x:c r="F2692" s="17" t="str">
        <x:v>Lite</x:v>
      </x:c>
      <x:c r="G2692" s="21" t="n">
        <x:v>12848</x:v>
      </x:c>
      <x:c r="H2692" s="21" t="n">
        <x:v>6998</x:v>
      </x:c>
      <x:c r="I2692" s="17" t="str">
        <x:v>Followup</x:v>
      </x:c>
    </x:row>
    <x:row r="2693" ht="23" customHeight="1">
      <x:c r="A2693" s="17" t="str">
        <x:v>U02687</x:v>
      </x:c>
      <x:c r="B2693" s="18" t="n">
        <x:v>46286</x:v>
      </x:c>
      <x:c r="C2693" s="17" t="str">
        <x:v>W0204</x:v>
      </x:c>
      <x:c r="D2693" s="17" t="str">
        <x:v>C004</x:v>
      </x:c>
      <x:c r="E2693" s="17" t="str">
        <x:v>CampaignChat</x:v>
      </x:c>
      <x:c r="F2693" s="17" t="str">
        <x:v>Lite</x:v>
      </x:c>
      <x:c r="G2693" s="21" t="n">
        <x:v>20539</x:v>
      </x:c>
      <x:c r="H2693" s="21" t="n">
        <x:v>4388</x:v>
      </x:c>
      <x:c r="I2693" s="17" t="str">
        <x:v>Correction</x:v>
      </x:c>
    </x:row>
    <x:row r="2694" ht="23" customHeight="1">
      <x:c r="A2694" s="17" t="str">
        <x:v>U02688</x:v>
      </x:c>
      <x:c r="B2694" s="18" t="n">
        <x:v>46286</x:v>
      </x:c>
      <x:c r="C2694" s="17" t="str">
        <x:v>W0204</x:v>
      </x:c>
      <x:c r="D2694" s="17" t="str">
        <x:v>C004</x:v>
      </x:c>
      <x:c r="E2694" s="17" t="str">
        <x:v>CampaignChat</x:v>
      </x:c>
      <x:c r="F2694" s="17" t="str">
        <x:v>Lite</x:v>
      </x:c>
      <x:c r="G2694" s="21" t="n">
        <x:v>11547</x:v>
      </x:c>
      <x:c r="H2694" s="21" t="n">
        <x:v>6638</x:v>
      </x:c>
      <x:c r="I2694" s="17" t="str">
        <x:v>Followup</x:v>
      </x:c>
    </x:row>
    <x:row r="2695" ht="23" customHeight="1">
      <x:c r="A2695" s="17" t="str">
        <x:v>U02689</x:v>
      </x:c>
      <x:c r="B2695" s="18" t="n">
        <x:v>46286</x:v>
      </x:c>
      <x:c r="C2695" s="17" t="str">
        <x:v>W0204</x:v>
      </x:c>
      <x:c r="D2695" s="17" t="str">
        <x:v>C004</x:v>
      </x:c>
      <x:c r="E2695" s="17" t="str">
        <x:v>CampaignChat</x:v>
      </x:c>
      <x:c r="F2695" s="17" t="str">
        <x:v>Lite</x:v>
      </x:c>
      <x:c r="G2695" s="21" t="n">
        <x:v>16892</x:v>
      </x:c>
      <x:c r="H2695" s="21" t="n">
        <x:v>8193</x:v>
      </x:c>
      <x:c r="I2695" s="17" t="str">
        <x:v>Correction</x:v>
      </x:c>
    </x:row>
    <x:row r="2696" ht="23" customHeight="1">
      <x:c r="A2696" s="17" t="str">
        <x:v>U02690</x:v>
      </x:c>
      <x:c r="B2696" s="18" t="n">
        <x:v>46287</x:v>
      </x:c>
      <x:c r="C2696" s="17" t="str">
        <x:v>W0204</x:v>
      </x:c>
      <x:c r="D2696" s="17" t="str">
        <x:v>C004</x:v>
      </x:c>
      <x:c r="E2696" s="17" t="str">
        <x:v>CampaignChat</x:v>
      </x:c>
      <x:c r="F2696" s="17" t="str">
        <x:v>Lite</x:v>
      </x:c>
      <x:c r="G2696" s="21" t="n">
        <x:v>17724</x:v>
      </x:c>
      <x:c r="H2696" s="21" t="n">
        <x:v>5371</x:v>
      </x:c>
      <x:c r="I2696" s="17" t="str">
        <x:v>Followup</x:v>
      </x:c>
    </x:row>
    <x:row r="2697" ht="23" customHeight="1">
      <x:c r="A2697" s="17" t="str">
        <x:v>U02691</x:v>
      </x:c>
      <x:c r="B2697" s="18" t="n">
        <x:v>46287</x:v>
      </x:c>
      <x:c r="C2697" s="17" t="str">
        <x:v>W0204</x:v>
      </x:c>
      <x:c r="D2697" s="17" t="str">
        <x:v>C004</x:v>
      </x:c>
      <x:c r="E2697" s="17" t="str">
        <x:v>CampaignChat</x:v>
      </x:c>
      <x:c r="F2697" s="17" t="str">
        <x:v>Lite</x:v>
      </x:c>
      <x:c r="G2697" s="21" t="n">
        <x:v>18903</x:v>
      </x:c>
      <x:c r="H2697" s="21" t="n">
        <x:v>6720</x:v>
      </x:c>
      <x:c r="I2697" s="17" t="str">
        <x:v>Followup</x:v>
      </x:c>
    </x:row>
    <x:row r="2698" ht="23" customHeight="1">
      <x:c r="A2698" s="17" t="str">
        <x:v>U02692</x:v>
      </x:c>
      <x:c r="B2698" s="18" t="n">
        <x:v>46287</x:v>
      </x:c>
      <x:c r="C2698" s="17" t="str">
        <x:v>W0204</x:v>
      </x:c>
      <x:c r="D2698" s="17" t="str">
        <x:v>C004</x:v>
      </x:c>
      <x:c r="E2698" s="17" t="str">
        <x:v>CampaignChat</x:v>
      </x:c>
      <x:c r="F2698" s="17" t="str">
        <x:v>Lite</x:v>
      </x:c>
      <x:c r="G2698" s="21" t="n">
        <x:v>9325</x:v>
      </x:c>
      <x:c r="H2698" s="21" t="n">
        <x:v>7987</x:v>
      </x:c>
      <x:c r="I2698" s="17" t="str">
        <x:v>Followup</x:v>
      </x:c>
    </x:row>
    <x:row r="2699" ht="23" customHeight="1">
      <x:c r="A2699" s="17" t="str">
        <x:v>U02693</x:v>
      </x:c>
      <x:c r="B2699" s="18" t="n">
        <x:v>46287</x:v>
      </x:c>
      <x:c r="C2699" s="17" t="str">
        <x:v>W0204</x:v>
      </x:c>
      <x:c r="D2699" s="17" t="str">
        <x:v>C004</x:v>
      </x:c>
      <x:c r="E2699" s="17" t="str">
        <x:v>CampaignChat</x:v>
      </x:c>
      <x:c r="F2699" s="17" t="str">
        <x:v>Lite</x:v>
      </x:c>
      <x:c r="G2699" s="21" t="n">
        <x:v>20144</x:v>
      </x:c>
      <x:c r="H2699" s="21" t="n">
        <x:v>5470</x:v>
      </x:c>
      <x:c r="I2699" s="17" t="str">
        <x:v>Followup</x:v>
      </x:c>
    </x:row>
    <x:row r="2700" ht="23" customHeight="1">
      <x:c r="A2700" s="17" t="str">
        <x:v>U02694</x:v>
      </x:c>
      <x:c r="B2700" s="18" t="n">
        <x:v>46266</x:v>
      </x:c>
      <x:c r="C2700" s="17" t="str">
        <x:v>W0205</x:v>
      </x:c>
      <x:c r="D2700" s="17" t="str">
        <x:v>C004</x:v>
      </x:c>
      <x:c r="E2700" s="17" t="str">
        <x:v>CampaignChat</x:v>
      </x:c>
      <x:c r="F2700" s="17" t="str">
        <x:v>Lite</x:v>
      </x:c>
      <x:c r="G2700" s="21" t="n">
        <x:v>23489</x:v>
      </x:c>
      <x:c r="H2700" s="21" t="n">
        <x:v>6001</x:v>
      </x:c>
      <x:c r="I2700" s="17" t="str">
        <x:v>First attempt</x:v>
      </x:c>
    </x:row>
    <x:row r="2701" ht="23" customHeight="1">
      <x:c r="A2701" s="17" t="str">
        <x:v>U02695</x:v>
      </x:c>
      <x:c r="B2701" s="18" t="n">
        <x:v>46266</x:v>
      </x:c>
      <x:c r="C2701" s="17" t="str">
        <x:v>W0205</x:v>
      </x:c>
      <x:c r="D2701" s="17" t="str">
        <x:v>C004</x:v>
      </x:c>
      <x:c r="E2701" s="17" t="str">
        <x:v>CampaignChat</x:v>
      </x:c>
      <x:c r="F2701" s="17" t="str">
        <x:v>Lite</x:v>
      </x:c>
      <x:c r="G2701" s="21" t="n">
        <x:v>41060</x:v>
      </x:c>
      <x:c r="H2701" s="21" t="n">
        <x:v>6982</x:v>
      </x:c>
      <x:c r="I2701" s="17" t="str">
        <x:v>Followup</x:v>
      </x:c>
    </x:row>
    <x:row r="2702" ht="23" customHeight="1">
      <x:c r="A2702" s="17" t="str">
        <x:v>U02696</x:v>
      </x:c>
      <x:c r="B2702" s="18" t="n">
        <x:v>46266</x:v>
      </x:c>
      <x:c r="C2702" s="17" t="str">
        <x:v>W0205</x:v>
      </x:c>
      <x:c r="D2702" s="17" t="str">
        <x:v>C004</x:v>
      </x:c>
      <x:c r="E2702" s="17" t="str">
        <x:v>CampaignChat</x:v>
      </x:c>
      <x:c r="F2702" s="17" t="str">
        <x:v>Lite</x:v>
      </x:c>
      <x:c r="G2702" s="21" t="n">
        <x:v>32617</x:v>
      </x:c>
      <x:c r="H2702" s="21" t="n">
        <x:v>4419</x:v>
      </x:c>
      <x:c r="I2702" s="17" t="str">
        <x:v>Followup</x:v>
      </x:c>
    </x:row>
    <x:row r="2703" ht="23" customHeight="1">
      <x:c r="A2703" s="17" t="str">
        <x:v>U02697</x:v>
      </x:c>
      <x:c r="B2703" s="18" t="n">
        <x:v>46266</x:v>
      </x:c>
      <x:c r="C2703" s="17" t="str">
        <x:v>W0205</x:v>
      </x:c>
      <x:c r="D2703" s="17" t="str">
        <x:v>C004</x:v>
      </x:c>
      <x:c r="E2703" s="17" t="str">
        <x:v>CampaignChat</x:v>
      </x:c>
      <x:c r="F2703" s="17" t="str">
        <x:v>Lite</x:v>
      </x:c>
      <x:c r="G2703" s="21" t="n">
        <x:v>20723</x:v>
      </x:c>
      <x:c r="H2703" s="21" t="n">
        <x:v>2542</x:v>
      </x:c>
      <x:c r="I2703" s="17" t="str">
        <x:v>Followup</x:v>
      </x:c>
    </x:row>
    <x:row r="2704" ht="23" customHeight="1">
      <x:c r="A2704" s="17" t="str">
        <x:v>U02698</x:v>
      </x:c>
      <x:c r="B2704" s="18" t="n">
        <x:v>46266</x:v>
      </x:c>
      <x:c r="C2704" s="17" t="str">
        <x:v>W0205</x:v>
      </x:c>
      <x:c r="D2704" s="17" t="str">
        <x:v>C004</x:v>
      </x:c>
      <x:c r="E2704" s="17" t="str">
        <x:v>CampaignChat</x:v>
      </x:c>
      <x:c r="F2704" s="17" t="str">
        <x:v>Lite</x:v>
      </x:c>
      <x:c r="G2704" s="21" t="n">
        <x:v>32514</x:v>
      </x:c>
      <x:c r="H2704" s="21" t="n">
        <x:v>3481</x:v>
      </x:c>
      <x:c r="I2704" s="17" t="str">
        <x:v>Correction</x:v>
      </x:c>
    </x:row>
    <x:row r="2705" ht="23" customHeight="1">
      <x:c r="A2705" s="17" t="str">
        <x:v>U02699</x:v>
      </x:c>
      <x:c r="B2705" s="18" t="n">
        <x:v>46267</x:v>
      </x:c>
      <x:c r="C2705" s="17" t="str">
        <x:v>W0205</x:v>
      </x:c>
      <x:c r="D2705" s="17" t="str">
        <x:v>C004</x:v>
      </x:c>
      <x:c r="E2705" s="17" t="str">
        <x:v>CampaignChat</x:v>
      </x:c>
      <x:c r="F2705" s="17" t="str">
        <x:v>Lite</x:v>
      </x:c>
      <x:c r="G2705" s="21" t="n">
        <x:v>27455</x:v>
      </x:c>
      <x:c r="H2705" s="21" t="n">
        <x:v>4899</x:v>
      </x:c>
      <x:c r="I2705" s="17" t="str">
        <x:v>Followup</x:v>
      </x:c>
    </x:row>
    <x:row r="2706" ht="23" customHeight="1">
      <x:c r="A2706" s="17" t="str">
        <x:v>U02700</x:v>
      </x:c>
      <x:c r="B2706" s="18" t="n">
        <x:v>46267</x:v>
      </x:c>
      <x:c r="C2706" s="17" t="str">
        <x:v>W0205</x:v>
      </x:c>
      <x:c r="D2706" s="17" t="str">
        <x:v>C004</x:v>
      </x:c>
      <x:c r="E2706" s="17" t="str">
        <x:v>CampaignChat</x:v>
      </x:c>
      <x:c r="F2706" s="17" t="str">
        <x:v>Lite</x:v>
      </x:c>
      <x:c r="G2706" s="21" t="n">
        <x:v>25596</x:v>
      </x:c>
      <x:c r="H2706" s="21" t="n">
        <x:v>3532</x:v>
      </x:c>
      <x:c r="I2706" s="17" t="str">
        <x:v>Correction</x:v>
      </x:c>
    </x:row>
    <x:row r="2707" ht="23" customHeight="1">
      <x:c r="A2707" s="17" t="str">
        <x:v>U02701</x:v>
      </x:c>
      <x:c r="B2707" s="18" t="n">
        <x:v>46267</x:v>
      </x:c>
      <x:c r="C2707" s="17" t="str">
        <x:v>W0205</x:v>
      </x:c>
      <x:c r="D2707" s="17" t="str">
        <x:v>C004</x:v>
      </x:c>
      <x:c r="E2707" s="17" t="str">
        <x:v>CampaignChat</x:v>
      </x:c>
      <x:c r="F2707" s="17" t="str">
        <x:v>Lite</x:v>
      </x:c>
      <x:c r="G2707" s="21" t="n">
        <x:v>37431</x:v>
      </x:c>
      <x:c r="H2707" s="21" t="n">
        <x:v>4849</x:v>
      </x:c>
      <x:c r="I2707" s="17" t="str">
        <x:v>Followup</x:v>
      </x:c>
    </x:row>
    <x:row r="2708" ht="23" customHeight="1">
      <x:c r="A2708" s="17" t="str">
        <x:v>U02702</x:v>
      </x:c>
      <x:c r="B2708" s="18" t="n">
        <x:v>46267</x:v>
      </x:c>
      <x:c r="C2708" s="17" t="str">
        <x:v>W0205</x:v>
      </x:c>
      <x:c r="D2708" s="17" t="str">
        <x:v>C004</x:v>
      </x:c>
      <x:c r="E2708" s="17" t="str">
        <x:v>CampaignChat</x:v>
      </x:c>
      <x:c r="F2708" s="17" t="str">
        <x:v>Lite</x:v>
      </x:c>
      <x:c r="G2708" s="21" t="n">
        <x:v>28387</x:v>
      </x:c>
      <x:c r="H2708" s="21" t="n">
        <x:v>7621</x:v>
      </x:c>
      <x:c r="I2708" s="17" t="str">
        <x:v>Followup</x:v>
      </x:c>
    </x:row>
    <x:row r="2709" ht="23" customHeight="1">
      <x:c r="A2709" s="17" t="str">
        <x:v>U02703</x:v>
      </x:c>
      <x:c r="B2709" s="18" t="n">
        <x:v>46267</x:v>
      </x:c>
      <x:c r="C2709" s="17" t="str">
        <x:v>W0205</x:v>
      </x:c>
      <x:c r="D2709" s="17" t="str">
        <x:v>C004</x:v>
      </x:c>
      <x:c r="E2709" s="17" t="str">
        <x:v>CampaignChat</x:v>
      </x:c>
      <x:c r="F2709" s="17" t="str">
        <x:v>Lite</x:v>
      </x:c>
      <x:c r="G2709" s="21" t="n">
        <x:v>15840</x:v>
      </x:c>
      <x:c r="H2709" s="21" t="n">
        <x:v>3689</x:v>
      </x:c>
      <x:c r="I2709" s="17" t="str">
        <x:v>Followup</x:v>
      </x:c>
    </x:row>
    <x:row r="2710" ht="23" customHeight="1">
      <x:c r="A2710" s="17" t="str">
        <x:v>U02704</x:v>
      </x:c>
      <x:c r="B2710" s="18" t="n">
        <x:v>46268</x:v>
      </x:c>
      <x:c r="C2710" s="17" t="str">
        <x:v>W0205</x:v>
      </x:c>
      <x:c r="D2710" s="17" t="str">
        <x:v>C004</x:v>
      </x:c>
      <x:c r="E2710" s="17" t="str">
        <x:v>CampaignChat</x:v>
      </x:c>
      <x:c r="F2710" s="17" t="str">
        <x:v>Lite</x:v>
      </x:c>
      <x:c r="G2710" s="21" t="n">
        <x:v>26632</x:v>
      </x:c>
      <x:c r="H2710" s="21" t="n">
        <x:v>4852</x:v>
      </x:c>
      <x:c r="I2710" s="17" t="str">
        <x:v>Followup</x:v>
      </x:c>
    </x:row>
    <x:row r="2711" ht="23" customHeight="1">
      <x:c r="A2711" s="17" t="str">
        <x:v>U02705</x:v>
      </x:c>
      <x:c r="B2711" s="18" t="n">
        <x:v>46268</x:v>
      </x:c>
      <x:c r="C2711" s="17" t="str">
        <x:v>W0205</x:v>
      </x:c>
      <x:c r="D2711" s="17" t="str">
        <x:v>C004</x:v>
      </x:c>
      <x:c r="E2711" s="17" t="str">
        <x:v>CampaignChat</x:v>
      </x:c>
      <x:c r="F2711" s="17" t="str">
        <x:v>Lite</x:v>
      </x:c>
      <x:c r="G2711" s="21" t="n">
        <x:v>40086</x:v>
      </x:c>
      <x:c r="H2711" s="21" t="n">
        <x:v>7581</x:v>
      </x:c>
      <x:c r="I2711" s="17" t="str">
        <x:v>Followup</x:v>
      </x:c>
    </x:row>
    <x:row r="2712" ht="23" customHeight="1">
      <x:c r="A2712" s="17" t="str">
        <x:v>U02706</x:v>
      </x:c>
      <x:c r="B2712" s="18" t="n">
        <x:v>46268</x:v>
      </x:c>
      <x:c r="C2712" s="17" t="str">
        <x:v>W0205</x:v>
      </x:c>
      <x:c r="D2712" s="17" t="str">
        <x:v>C004</x:v>
      </x:c>
      <x:c r="E2712" s="17" t="str">
        <x:v>CampaignChat</x:v>
      </x:c>
      <x:c r="F2712" s="17" t="str">
        <x:v>Lite</x:v>
      </x:c>
      <x:c r="G2712" s="21" t="n">
        <x:v>21209</x:v>
      </x:c>
      <x:c r="H2712" s="21" t="n">
        <x:v>4017</x:v>
      </x:c>
      <x:c r="I2712" s="17" t="str">
        <x:v>Correction</x:v>
      </x:c>
    </x:row>
    <x:row r="2713" ht="23" customHeight="1">
      <x:c r="A2713" s="17" t="str">
        <x:v>U02707</x:v>
      </x:c>
      <x:c r="B2713" s="18" t="n">
        <x:v>46268</x:v>
      </x:c>
      <x:c r="C2713" s="17" t="str">
        <x:v>W0205</x:v>
      </x:c>
      <x:c r="D2713" s="17" t="str">
        <x:v>C004</x:v>
      </x:c>
      <x:c r="E2713" s="17" t="str">
        <x:v>CampaignChat</x:v>
      </x:c>
      <x:c r="F2713" s="17" t="str">
        <x:v>Lite</x:v>
      </x:c>
      <x:c r="G2713" s="21" t="n">
        <x:v>24205</x:v>
      </x:c>
      <x:c r="H2713" s="21" t="n">
        <x:v>7145</x:v>
      </x:c>
      <x:c r="I2713" s="17" t="str">
        <x:v>Followup</x:v>
      </x:c>
    </x:row>
    <x:row r="2714" ht="23" customHeight="1">
      <x:c r="A2714" s="17" t="str">
        <x:v>U02708</x:v>
      </x:c>
      <x:c r="B2714" s="18" t="n">
        <x:v>46268</x:v>
      </x:c>
      <x:c r="C2714" s="17" t="str">
        <x:v>W0205</x:v>
      </x:c>
      <x:c r="D2714" s="17" t="str">
        <x:v>C004</x:v>
      </x:c>
      <x:c r="E2714" s="17" t="str">
        <x:v>CampaignChat</x:v>
      </x:c>
      <x:c r="F2714" s="17" t="str">
        <x:v>Lite</x:v>
      </x:c>
      <x:c r="G2714" s="21" t="n">
        <x:v>24505</x:v>
      </x:c>
      <x:c r="H2714" s="21" t="n">
        <x:v>5679</x:v>
      </x:c>
      <x:c r="I2714" s="17" t="str">
        <x:v>Followup</x:v>
      </x:c>
    </x:row>
    <x:row r="2715" ht="23" customHeight="1">
      <x:c r="A2715" s="17" t="str">
        <x:v>U02709</x:v>
      </x:c>
      <x:c r="B2715" s="18" t="n">
        <x:v>46269</x:v>
      </x:c>
      <x:c r="C2715" s="17" t="str">
        <x:v>W0205</x:v>
      </x:c>
      <x:c r="D2715" s="17" t="str">
        <x:v>C004</x:v>
      </x:c>
      <x:c r="E2715" s="17" t="str">
        <x:v>CampaignChat</x:v>
      </x:c>
      <x:c r="F2715" s="17" t="str">
        <x:v>Lite</x:v>
      </x:c>
      <x:c r="G2715" s="21" t="n">
        <x:v>18870</x:v>
      </x:c>
      <x:c r="H2715" s="21" t="n">
        <x:v>5372</x:v>
      </x:c>
      <x:c r="I2715" s="17" t="str">
        <x:v>Followup</x:v>
      </x:c>
    </x:row>
    <x:row r="2716" ht="23" customHeight="1">
      <x:c r="A2716" s="17" t="str">
        <x:v>U02710</x:v>
      </x:c>
      <x:c r="B2716" s="18" t="n">
        <x:v>46269</x:v>
      </x:c>
      <x:c r="C2716" s="17" t="str">
        <x:v>W0205</x:v>
      </x:c>
      <x:c r="D2716" s="17" t="str">
        <x:v>C004</x:v>
      </x:c>
      <x:c r="E2716" s="17" t="str">
        <x:v>CampaignChat</x:v>
      </x:c>
      <x:c r="F2716" s="17" t="str">
        <x:v>Lite</x:v>
      </x:c>
      <x:c r="G2716" s="21" t="n">
        <x:v>21800</x:v>
      </x:c>
      <x:c r="H2716" s="21" t="n">
        <x:v>8198</x:v>
      </x:c>
      <x:c r="I2716" s="17" t="str">
        <x:v>Followup</x:v>
      </x:c>
    </x:row>
    <x:row r="2717" ht="23" customHeight="1">
      <x:c r="A2717" s="17" t="str">
        <x:v>U02711</x:v>
      </x:c>
      <x:c r="B2717" s="18" t="n">
        <x:v>46269</x:v>
      </x:c>
      <x:c r="C2717" s="17" t="str">
        <x:v>W0205</x:v>
      </x:c>
      <x:c r="D2717" s="17" t="str">
        <x:v>C004</x:v>
      </x:c>
      <x:c r="E2717" s="17" t="str">
        <x:v>CampaignChat</x:v>
      </x:c>
      <x:c r="F2717" s="17" t="str">
        <x:v>Lite</x:v>
      </x:c>
      <x:c r="G2717" s="21" t="n">
        <x:v>19680</x:v>
      </x:c>
      <x:c r="H2717" s="21" t="n">
        <x:v>4773</x:v>
      </x:c>
      <x:c r="I2717" s="17" t="str">
        <x:v>Followup</x:v>
      </x:c>
    </x:row>
    <x:row r="2718" ht="23" customHeight="1">
      <x:c r="A2718" s="17" t="str">
        <x:v>U02712</x:v>
      </x:c>
      <x:c r="B2718" s="18" t="n">
        <x:v>46269</x:v>
      </x:c>
      <x:c r="C2718" s="17" t="str">
        <x:v>W0205</x:v>
      </x:c>
      <x:c r="D2718" s="17" t="str">
        <x:v>C004</x:v>
      </x:c>
      <x:c r="E2718" s="17" t="str">
        <x:v>CampaignChat</x:v>
      </x:c>
      <x:c r="F2718" s="17" t="str">
        <x:v>Lite</x:v>
      </x:c>
      <x:c r="G2718" s="21" t="n">
        <x:v>25878</x:v>
      </x:c>
      <x:c r="H2718" s="21" t="n">
        <x:v>3805</x:v>
      </x:c>
      <x:c r="I2718" s="17" t="str">
        <x:v>Followup</x:v>
      </x:c>
    </x:row>
    <x:row r="2719" ht="23" customHeight="1">
      <x:c r="A2719" s="17" t="str">
        <x:v>U02713</x:v>
      </x:c>
      <x:c r="B2719" s="18" t="n">
        <x:v>46281</x:v>
      </x:c>
      <x:c r="C2719" s="17" t="str">
        <x:v>W0209</x:v>
      </x:c>
      <x:c r="D2719" s="17" t="str">
        <x:v>C004</x:v>
      </x:c>
      <x:c r="E2719" s="17" t="str">
        <x:v>DataFlow</x:v>
      </x:c>
      <x:c r="F2719" s="17" t="str">
        <x:v>Lite</x:v>
      </x:c>
      <x:c r="G2719" s="21" t="n">
        <x:v>31854</x:v>
      </x:c>
      <x:c r="H2719" s="21" t="n">
        <x:v>3548</x:v>
      </x:c>
      <x:c r="I2719" s="17" t="str">
        <x:v>First attempt</x:v>
      </x:c>
    </x:row>
    <x:row r="2720" ht="23" customHeight="1">
      <x:c r="A2720" s="17" t="str">
        <x:v>U02714</x:v>
      </x:c>
      <x:c r="B2720" s="18" t="n">
        <x:v>46281</x:v>
      </x:c>
      <x:c r="C2720" s="17" t="str">
        <x:v>W0209</x:v>
      </x:c>
      <x:c r="D2720" s="17" t="str">
        <x:v>C004</x:v>
      </x:c>
      <x:c r="E2720" s="17" t="str">
        <x:v>DataFlow</x:v>
      </x:c>
      <x:c r="F2720" s="17" t="str">
        <x:v>Lite</x:v>
      </x:c>
      <x:c r="G2720" s="21" t="n">
        <x:v>14909</x:v>
      </x:c>
      <x:c r="H2720" s="21" t="n">
        <x:v>2595</x:v>
      </x:c>
      <x:c r="I2720" s="17" t="str">
        <x:v>Followup</x:v>
      </x:c>
    </x:row>
    <x:row r="2721" ht="23" customHeight="1">
      <x:c r="A2721" s="17" t="str">
        <x:v>U02715</x:v>
      </x:c>
      <x:c r="B2721" s="18" t="n">
        <x:v>46281</x:v>
      </x:c>
      <x:c r="C2721" s="17" t="str">
        <x:v>W0209</x:v>
      </x:c>
      <x:c r="D2721" s="17" t="str">
        <x:v>C004</x:v>
      </x:c>
      <x:c r="E2721" s="17" t="str">
        <x:v>DataFlow</x:v>
      </x:c>
      <x:c r="F2721" s="17" t="str">
        <x:v>Lite</x:v>
      </x:c>
      <x:c r="G2721" s="21" t="n">
        <x:v>30011</x:v>
      </x:c>
      <x:c r="H2721" s="21" t="n">
        <x:v>4522</x:v>
      </x:c>
      <x:c r="I2721" s="17" t="str">
        <x:v>Correction</x:v>
      </x:c>
    </x:row>
    <x:row r="2722" ht="23" customHeight="1">
      <x:c r="A2722" s="17" t="str">
        <x:v>U02716</x:v>
      </x:c>
      <x:c r="B2722" s="18" t="n">
        <x:v>46281</x:v>
      </x:c>
      <x:c r="C2722" s="17" t="str">
        <x:v>W0209</x:v>
      </x:c>
      <x:c r="D2722" s="17" t="str">
        <x:v>C004</x:v>
      </x:c>
      <x:c r="E2722" s="17" t="str">
        <x:v>DataFlow</x:v>
      </x:c>
      <x:c r="F2722" s="17" t="str">
        <x:v>Lite</x:v>
      </x:c>
      <x:c r="G2722" s="21" t="n">
        <x:v>14626</x:v>
      </x:c>
      <x:c r="H2722" s="21" t="n">
        <x:v>2781</x:v>
      </x:c>
      <x:c r="I2722" s="17" t="str">
        <x:v>Followup</x:v>
      </x:c>
    </x:row>
    <x:row r="2723" ht="23" customHeight="1">
      <x:c r="A2723" s="17" t="str">
        <x:v>U02717</x:v>
      </x:c>
      <x:c r="B2723" s="18" t="n">
        <x:v>46282</x:v>
      </x:c>
      <x:c r="C2723" s="17" t="str">
        <x:v>W0209</x:v>
      </x:c>
      <x:c r="D2723" s="17" t="str">
        <x:v>C004</x:v>
      </x:c>
      <x:c r="E2723" s="17" t="str">
        <x:v>DataFlow</x:v>
      </x:c>
      <x:c r="F2723" s="17" t="str">
        <x:v>Lite</x:v>
      </x:c>
      <x:c r="G2723" s="21" t="n">
        <x:v>21987</x:v>
      </x:c>
      <x:c r="H2723" s="21" t="n">
        <x:v>2628</x:v>
      </x:c>
      <x:c r="I2723" s="17" t="str">
        <x:v>Followup</x:v>
      </x:c>
    </x:row>
    <x:row r="2724" ht="23" customHeight="1">
      <x:c r="A2724" s="17" t="str">
        <x:v>U02718</x:v>
      </x:c>
      <x:c r="B2724" s="18" t="n">
        <x:v>46282</x:v>
      </x:c>
      <x:c r="C2724" s="17" t="str">
        <x:v>W0209</x:v>
      </x:c>
      <x:c r="D2724" s="17" t="str">
        <x:v>C004</x:v>
      </x:c>
      <x:c r="E2724" s="17" t="str">
        <x:v>DataFlow</x:v>
      </x:c>
      <x:c r="F2724" s="17" t="str">
        <x:v>Lite</x:v>
      </x:c>
      <x:c r="G2724" s="21" t="n">
        <x:v>20731</x:v>
      </x:c>
      <x:c r="H2724" s="21" t="n">
        <x:v>2644</x:v>
      </x:c>
      <x:c r="I2724" s="17" t="str">
        <x:v>Followup</x:v>
      </x:c>
    </x:row>
    <x:row r="2725" ht="23" customHeight="1">
      <x:c r="A2725" s="17" t="str">
        <x:v>U02719</x:v>
      </x:c>
      <x:c r="B2725" s="18" t="n">
        <x:v>46282</x:v>
      </x:c>
      <x:c r="C2725" s="17" t="str">
        <x:v>W0209</x:v>
      </x:c>
      <x:c r="D2725" s="17" t="str">
        <x:v>C004</x:v>
      </x:c>
      <x:c r="E2725" s="17" t="str">
        <x:v>DataFlow</x:v>
      </x:c>
      <x:c r="F2725" s="17" t="str">
        <x:v>Lite</x:v>
      </x:c>
      <x:c r="G2725" s="21" t="n">
        <x:v>13834</x:v>
      </x:c>
      <x:c r="H2725" s="21" t="n">
        <x:v>2151</x:v>
      </x:c>
      <x:c r="I2725" s="17" t="str">
        <x:v>Followup</x:v>
      </x:c>
    </x:row>
    <x:row r="2726" ht="23" customHeight="1">
      <x:c r="A2726" s="17" t="str">
        <x:v>U02720</x:v>
      </x:c>
      <x:c r="B2726" s="18" t="n">
        <x:v>46282</x:v>
      </x:c>
      <x:c r="C2726" s="17" t="str">
        <x:v>W0209</x:v>
      </x:c>
      <x:c r="D2726" s="17" t="str">
        <x:v>C004</x:v>
      </x:c>
      <x:c r="E2726" s="17" t="str">
        <x:v>DataFlow</x:v>
      </x:c>
      <x:c r="F2726" s="17" t="str">
        <x:v>Lite</x:v>
      </x:c>
      <x:c r="G2726" s="21" t="n">
        <x:v>21629</x:v>
      </x:c>
      <x:c r="H2726" s="21" t="n">
        <x:v>1387</x:v>
      </x:c>
      <x:c r="I2726" s="17" t="str">
        <x:v>Followup</x:v>
      </x:c>
    </x:row>
    <x:row r="2727" ht="23" customHeight="1">
      <x:c r="A2727" s="17" t="str">
        <x:v>U02721</x:v>
      </x:c>
      <x:c r="B2727" s="18" t="n">
        <x:v>46283</x:v>
      </x:c>
      <x:c r="C2727" s="17" t="str">
        <x:v>W0209</x:v>
      </x:c>
      <x:c r="D2727" s="17" t="str">
        <x:v>C004</x:v>
      </x:c>
      <x:c r="E2727" s="17" t="str">
        <x:v>DataFlow</x:v>
      </x:c>
      <x:c r="F2727" s="17" t="str">
        <x:v>Lite</x:v>
      </x:c>
      <x:c r="G2727" s="21" t="n">
        <x:v>14056</x:v>
      </x:c>
      <x:c r="H2727" s="21" t="n">
        <x:v>3136</x:v>
      </x:c>
      <x:c r="I2727" s="17" t="str">
        <x:v>Followup</x:v>
      </x:c>
    </x:row>
    <x:row r="2728" ht="23" customHeight="1">
      <x:c r="A2728" s="17" t="str">
        <x:v>U02722</x:v>
      </x:c>
      <x:c r="B2728" s="18" t="n">
        <x:v>46283</x:v>
      </x:c>
      <x:c r="C2728" s="17" t="str">
        <x:v>W0209</x:v>
      </x:c>
      <x:c r="D2728" s="17" t="str">
        <x:v>C004</x:v>
      </x:c>
      <x:c r="E2728" s="17" t="str">
        <x:v>DataFlow</x:v>
      </x:c>
      <x:c r="F2728" s="17" t="str">
        <x:v>Lite</x:v>
      </x:c>
      <x:c r="G2728" s="21" t="n">
        <x:v>24281</x:v>
      </x:c>
      <x:c r="H2728" s="21" t="n">
        <x:v>1868</x:v>
      </x:c>
      <x:c r="I2728" s="17" t="str">
        <x:v>Followup</x:v>
      </x:c>
    </x:row>
    <x:row r="2729" ht="23" customHeight="1">
      <x:c r="A2729" s="17" t="str">
        <x:v>U02723</x:v>
      </x:c>
      <x:c r="B2729" s="18" t="n">
        <x:v>46283</x:v>
      </x:c>
      <x:c r="C2729" s="17" t="str">
        <x:v>W0209</x:v>
      </x:c>
      <x:c r="D2729" s="17" t="str">
        <x:v>C004</x:v>
      </x:c>
      <x:c r="E2729" s="17" t="str">
        <x:v>DataFlow</x:v>
      </x:c>
      <x:c r="F2729" s="17" t="str">
        <x:v>Lite</x:v>
      </x:c>
      <x:c r="G2729" s="21" t="n">
        <x:v>31842</x:v>
      </x:c>
      <x:c r="H2729" s="21" t="n">
        <x:v>2181</x:v>
      </x:c>
      <x:c r="I2729" s="17" t="str">
        <x:v>Correction</x:v>
      </x:c>
    </x:row>
    <x:row r="2730" ht="23" customHeight="1">
      <x:c r="A2730" s="17" t="str">
        <x:v>U02724</x:v>
      </x:c>
      <x:c r="B2730" s="18" t="n">
        <x:v>46283</x:v>
      </x:c>
      <x:c r="C2730" s="17" t="str">
        <x:v>W0209</x:v>
      </x:c>
      <x:c r="D2730" s="17" t="str">
        <x:v>C004</x:v>
      </x:c>
      <x:c r="E2730" s="17" t="str">
        <x:v>DataFlow</x:v>
      </x:c>
      <x:c r="F2730" s="17" t="str">
        <x:v>Lite</x:v>
      </x:c>
      <x:c r="G2730" s="21" t="n">
        <x:v>12919</x:v>
      </x:c>
      <x:c r="H2730" s="21" t="n">
        <x:v>2910</x:v>
      </x:c>
      <x:c r="I2730" s="17" t="str">
        <x:v>Correction</x:v>
      </x:c>
    </x:row>
    <x:row r="2731" ht="23" customHeight="1">
      <x:c r="A2731" s="17" t="str">
        <x:v>U02725</x:v>
      </x:c>
      <x:c r="B2731" s="18" t="n">
        <x:v>46286</x:v>
      </x:c>
      <x:c r="C2731" s="17" t="str">
        <x:v>W0209</x:v>
      </x:c>
      <x:c r="D2731" s="17" t="str">
        <x:v>C004</x:v>
      </x:c>
      <x:c r="E2731" s="17" t="str">
        <x:v>DataFlow</x:v>
      </x:c>
      <x:c r="F2731" s="17" t="str">
        <x:v>Lite</x:v>
      </x:c>
      <x:c r="G2731" s="21" t="n">
        <x:v>17018</x:v>
      </x:c>
      <x:c r="H2731" s="21" t="n">
        <x:v>2299</x:v>
      </x:c>
      <x:c r="I2731" s="17" t="str">
        <x:v>Correction</x:v>
      </x:c>
    </x:row>
    <x:row r="2732" ht="23" customHeight="1">
      <x:c r="A2732" s="17" t="str">
        <x:v>U02726</x:v>
      </x:c>
      <x:c r="B2732" s="18" t="n">
        <x:v>46286</x:v>
      </x:c>
      <x:c r="C2732" s="17" t="str">
        <x:v>W0209</x:v>
      </x:c>
      <x:c r="D2732" s="17" t="str">
        <x:v>C004</x:v>
      </x:c>
      <x:c r="E2732" s="17" t="str">
        <x:v>DataFlow</x:v>
      </x:c>
      <x:c r="F2732" s="17" t="str">
        <x:v>Lite</x:v>
      </x:c>
      <x:c r="G2732" s="21" t="n">
        <x:v>29577</x:v>
      </x:c>
      <x:c r="H2732" s="21" t="n">
        <x:v>2790</x:v>
      </x:c>
      <x:c r="I2732" s="17" t="str">
        <x:v>Followup</x:v>
      </x:c>
    </x:row>
    <x:row r="2733" ht="23" customHeight="1">
      <x:c r="A2733" s="17" t="str">
        <x:v>U02727</x:v>
      </x:c>
      <x:c r="B2733" s="18" t="n">
        <x:v>46286</x:v>
      </x:c>
      <x:c r="C2733" s="17" t="str">
        <x:v>W0209</x:v>
      </x:c>
      <x:c r="D2733" s="17" t="str">
        <x:v>C004</x:v>
      </x:c>
      <x:c r="E2733" s="17" t="str">
        <x:v>DataFlow</x:v>
      </x:c>
      <x:c r="F2733" s="17" t="str">
        <x:v>Lite</x:v>
      </x:c>
      <x:c r="G2733" s="21" t="n">
        <x:v>28172</x:v>
      </x:c>
      <x:c r="H2733" s="21" t="n">
        <x:v>2270</x:v>
      </x:c>
      <x:c r="I2733" s="17" t="str">
        <x:v>Followup</x:v>
      </x:c>
    </x:row>
    <x:row r="2734" ht="23" customHeight="1">
      <x:c r="A2734" s="17" t="str">
        <x:v>U02728</x:v>
      </x:c>
      <x:c r="B2734" s="18" t="n">
        <x:v>46286</x:v>
      </x:c>
      <x:c r="C2734" s="17" t="str">
        <x:v>W0209</x:v>
      </x:c>
      <x:c r="D2734" s="17" t="str">
        <x:v>C004</x:v>
      </x:c>
      <x:c r="E2734" s="17" t="str">
        <x:v>DataFlow</x:v>
      </x:c>
      <x:c r="F2734" s="17" t="str">
        <x:v>Lite</x:v>
      </x:c>
      <x:c r="G2734" s="21" t="n">
        <x:v>11608</x:v>
      </x:c>
      <x:c r="H2734" s="21" t="n">
        <x:v>3122</x:v>
      </x:c>
      <x:c r="I2734" s="17" t="str">
        <x:v>Correction</x:v>
      </x:c>
    </x:row>
    <x:row r="2735" ht="23" customHeight="1">
      <x:c r="A2735" s="17" t="str">
        <x:v>U02729</x:v>
      </x:c>
      <x:c r="B2735" s="18" t="n">
        <x:v>46290</x:v>
      </x:c>
      <x:c r="C2735" s="17" t="str">
        <x:v>W0210</x:v>
      </x:c>
      <x:c r="D2735" s="17" t="str">
        <x:v>C004</x:v>
      </x:c>
      <x:c r="E2735" s="17" t="str">
        <x:v>InsightDesk</x:v>
      </x:c>
      <x:c r="F2735" s="17" t="str">
        <x:v>Lite</x:v>
      </x:c>
      <x:c r="G2735" s="21" t="n">
        <x:v>23905</x:v>
      </x:c>
      <x:c r="H2735" s="21" t="n">
        <x:v>3760</x:v>
      </x:c>
      <x:c r="I2735" s="17" t="str">
        <x:v>First attempt</x:v>
      </x:c>
    </x:row>
    <x:row r="2736" ht="23" customHeight="1">
      <x:c r="A2736" s="17" t="str">
        <x:v>U02730</x:v>
      </x:c>
      <x:c r="B2736" s="18" t="n">
        <x:v>46290</x:v>
      </x:c>
      <x:c r="C2736" s="17" t="str">
        <x:v>W0210</x:v>
      </x:c>
      <x:c r="D2736" s="17" t="str">
        <x:v>C004</x:v>
      </x:c>
      <x:c r="E2736" s="17" t="str">
        <x:v>InsightDesk</x:v>
      </x:c>
      <x:c r="F2736" s="17" t="str">
        <x:v>Lite</x:v>
      </x:c>
      <x:c r="G2736" s="21" t="n">
        <x:v>16984</x:v>
      </x:c>
      <x:c r="H2736" s="21" t="n">
        <x:v>5399</x:v>
      </x:c>
      <x:c r="I2736" s="17" t="str">
        <x:v>Followup</x:v>
      </x:c>
    </x:row>
    <x:row r="2737" ht="23" customHeight="1">
      <x:c r="A2737" s="17" t="str">
        <x:v>U02731</x:v>
      </x:c>
      <x:c r="B2737" s="18" t="n">
        <x:v>46290</x:v>
      </x:c>
      <x:c r="C2737" s="17" t="str">
        <x:v>W0210</x:v>
      </x:c>
      <x:c r="D2737" s="17" t="str">
        <x:v>C004</x:v>
      </x:c>
      <x:c r="E2737" s="17" t="str">
        <x:v>InsightDesk</x:v>
      </x:c>
      <x:c r="F2737" s="17" t="str">
        <x:v>Lite</x:v>
      </x:c>
      <x:c r="G2737" s="21" t="n">
        <x:v>32795</x:v>
      </x:c>
      <x:c r="H2737" s="21" t="n">
        <x:v>5180</x:v>
      </x:c>
      <x:c r="I2737" s="17" t="str">
        <x:v>Followup</x:v>
      </x:c>
    </x:row>
    <x:row r="2738" ht="23" customHeight="1">
      <x:c r="A2738" s="17" t="str">
        <x:v>U02732</x:v>
      </x:c>
      <x:c r="B2738" s="18" t="n">
        <x:v>46290</x:v>
      </x:c>
      <x:c r="C2738" s="17" t="str">
        <x:v>W0210</x:v>
      </x:c>
      <x:c r="D2738" s="17" t="str">
        <x:v>C004</x:v>
      </x:c>
      <x:c r="E2738" s="17" t="str">
        <x:v>InsightDesk</x:v>
      </x:c>
      <x:c r="F2738" s="17" t="str">
        <x:v>Lite</x:v>
      </x:c>
      <x:c r="G2738" s="21" t="n">
        <x:v>27334</x:v>
      </x:c>
      <x:c r="H2738" s="21" t="n">
        <x:v>3701</x:v>
      </x:c>
      <x:c r="I2738" s="17" t="str">
        <x:v>Followup</x:v>
      </x:c>
    </x:row>
    <x:row r="2739" ht="23" customHeight="1">
      <x:c r="A2739" s="17" t="str">
        <x:v>U02733</x:v>
      </x:c>
      <x:c r="B2739" s="18" t="n">
        <x:v>46293</x:v>
      </x:c>
      <x:c r="C2739" s="17" t="str">
        <x:v>W0210</x:v>
      </x:c>
      <x:c r="D2739" s="17" t="str">
        <x:v>C004</x:v>
      </x:c>
      <x:c r="E2739" s="17" t="str">
        <x:v>InsightDesk</x:v>
      </x:c>
      <x:c r="F2739" s="17" t="str">
        <x:v>Lite</x:v>
      </x:c>
      <x:c r="G2739" s="21" t="n">
        <x:v>18876</x:v>
      </x:c>
      <x:c r="H2739" s="21" t="n">
        <x:v>9006</x:v>
      </x:c>
      <x:c r="I2739" s="17" t="str">
        <x:v>Correction</x:v>
      </x:c>
    </x:row>
    <x:row r="2740" ht="23" customHeight="1">
      <x:c r="A2740" s="17" t="str">
        <x:v>U02734</x:v>
      </x:c>
      <x:c r="B2740" s="18" t="n">
        <x:v>46293</x:v>
      </x:c>
      <x:c r="C2740" s="17" t="str">
        <x:v>W0210</x:v>
      </x:c>
      <x:c r="D2740" s="17" t="str">
        <x:v>C004</x:v>
      </x:c>
      <x:c r="E2740" s="17" t="str">
        <x:v>InsightDesk</x:v>
      </x:c>
      <x:c r="F2740" s="17" t="str">
        <x:v>Lite</x:v>
      </x:c>
      <x:c r="G2740" s="21" t="n">
        <x:v>26179</x:v>
      </x:c>
      <x:c r="H2740" s="21" t="n">
        <x:v>6089</x:v>
      </x:c>
      <x:c r="I2740" s="17" t="str">
        <x:v>Followup</x:v>
      </x:c>
    </x:row>
    <x:row r="2741" ht="23" customHeight="1">
      <x:c r="A2741" s="17" t="str">
        <x:v>U02735</x:v>
      </x:c>
      <x:c r="B2741" s="18" t="n">
        <x:v>46293</x:v>
      </x:c>
      <x:c r="C2741" s="17" t="str">
        <x:v>W0210</x:v>
      </x:c>
      <x:c r="D2741" s="17" t="str">
        <x:v>C004</x:v>
      </x:c>
      <x:c r="E2741" s="17" t="str">
        <x:v>InsightDesk</x:v>
      </x:c>
      <x:c r="F2741" s="17" t="str">
        <x:v>Lite</x:v>
      </x:c>
      <x:c r="G2741" s="21" t="n">
        <x:v>12972</x:v>
      </x:c>
      <x:c r="H2741" s="21" t="n">
        <x:v>5336</x:v>
      </x:c>
      <x:c r="I2741" s="17" t="str">
        <x:v>Followup</x:v>
      </x:c>
    </x:row>
    <x:row r="2742" ht="23" customHeight="1">
      <x:c r="A2742" s="17" t="str">
        <x:v>U02736</x:v>
      </x:c>
      <x:c r="B2742" s="18" t="n">
        <x:v>46293</x:v>
      </x:c>
      <x:c r="C2742" s="17" t="str">
        <x:v>W0210</x:v>
      </x:c>
      <x:c r="D2742" s="17" t="str">
        <x:v>C004</x:v>
      </x:c>
      <x:c r="E2742" s="17" t="str">
        <x:v>InsightDesk</x:v>
      </x:c>
      <x:c r="F2742" s="17" t="str">
        <x:v>Lite</x:v>
      </x:c>
      <x:c r="G2742" s="21" t="n">
        <x:v>20155</x:v>
      </x:c>
      <x:c r="H2742" s="21" t="n">
        <x:v>3940</x:v>
      </x:c>
      <x:c r="I2742" s="17" t="str">
        <x:v>Followup</x:v>
      </x:c>
    </x:row>
    <x:row r="2743" ht="23" customHeight="1">
      <x:c r="A2743" s="17" t="str">
        <x:v>U02737</x:v>
      </x:c>
      <x:c r="B2743" s="18" t="n">
        <x:v>46294</x:v>
      </x:c>
      <x:c r="C2743" s="17" t="str">
        <x:v>W0210</x:v>
      </x:c>
      <x:c r="D2743" s="17" t="str">
        <x:v>C004</x:v>
      </x:c>
      <x:c r="E2743" s="17" t="str">
        <x:v>InsightDesk</x:v>
      </x:c>
      <x:c r="F2743" s="17" t="str">
        <x:v>Lite</x:v>
      </x:c>
      <x:c r="G2743" s="21" t="n">
        <x:v>34466</x:v>
      </x:c>
      <x:c r="H2743" s="21" t="n">
        <x:v>3407</x:v>
      </x:c>
      <x:c r="I2743" s="17" t="str">
        <x:v>Correction</x:v>
      </x:c>
    </x:row>
    <x:row r="2744" ht="23" customHeight="1">
      <x:c r="A2744" s="17" t="str">
        <x:v>U02738</x:v>
      </x:c>
      <x:c r="B2744" s="18" t="n">
        <x:v>46294</x:v>
      </x:c>
      <x:c r="C2744" s="17" t="str">
        <x:v>W0210</x:v>
      </x:c>
      <x:c r="D2744" s="17" t="str">
        <x:v>C004</x:v>
      </x:c>
      <x:c r="E2744" s="17" t="str">
        <x:v>InsightDesk</x:v>
      </x:c>
      <x:c r="F2744" s="17" t="str">
        <x:v>Lite</x:v>
      </x:c>
      <x:c r="G2744" s="21" t="n">
        <x:v>21881</x:v>
      </x:c>
      <x:c r="H2744" s="21" t="n">
        <x:v>8760</x:v>
      </x:c>
      <x:c r="I2744" s="17" t="str">
        <x:v>Followup</x:v>
      </x:c>
    </x:row>
    <x:row r="2745" ht="23" customHeight="1">
      <x:c r="A2745" s="17" t="str">
        <x:v>U02739</x:v>
      </x:c>
      <x:c r="B2745" s="18" t="n">
        <x:v>46294</x:v>
      </x:c>
      <x:c r="C2745" s="17" t="str">
        <x:v>W0210</x:v>
      </x:c>
      <x:c r="D2745" s="17" t="str">
        <x:v>C004</x:v>
      </x:c>
      <x:c r="E2745" s="17" t="str">
        <x:v>InsightDesk</x:v>
      </x:c>
      <x:c r="F2745" s="17" t="str">
        <x:v>Lite</x:v>
      </x:c>
      <x:c r="G2745" s="21" t="n">
        <x:v>29272</x:v>
      </x:c>
      <x:c r="H2745" s="21" t="n">
        <x:v>2820</x:v>
      </x:c>
      <x:c r="I2745" s="17" t="str">
        <x:v>Followup</x:v>
      </x:c>
    </x:row>
    <x:row r="2746" ht="23" customHeight="1">
      <x:c r="A2746" s="17" t="str">
        <x:v>U02740</x:v>
      </x:c>
      <x:c r="B2746" s="18" t="n">
        <x:v>46294</x:v>
      </x:c>
      <x:c r="C2746" s="17" t="str">
        <x:v>W0210</x:v>
      </x:c>
      <x:c r="D2746" s="17" t="str">
        <x:v>C004</x:v>
      </x:c>
      <x:c r="E2746" s="17" t="str">
        <x:v>InsightDesk</x:v>
      </x:c>
      <x:c r="F2746" s="17" t="str">
        <x:v>Lite</x:v>
      </x:c>
      <x:c r="G2746" s="21" t="n">
        <x:v>24510</x:v>
      </x:c>
      <x:c r="H2746" s="21" t="n">
        <x:v>6659</x:v>
      </x:c>
      <x:c r="I2746" s="17" t="str">
        <x:v>Followup</x:v>
      </x:c>
    </x:row>
    <x:row r="2747" ht="23" customHeight="1">
      <x:c r="A2747" s="17" t="str">
        <x:v>U02741</x:v>
      </x:c>
      <x:c r="B2747" s="18" t="n">
        <x:v>46295</x:v>
      </x:c>
      <x:c r="C2747" s="17" t="str">
        <x:v>W0210</x:v>
      </x:c>
      <x:c r="D2747" s="17" t="str">
        <x:v>C004</x:v>
      </x:c>
      <x:c r="E2747" s="17" t="str">
        <x:v>InsightDesk</x:v>
      </x:c>
      <x:c r="F2747" s="17" t="str">
        <x:v>Lite</x:v>
      </x:c>
      <x:c r="G2747" s="21" t="n">
        <x:v>31940</x:v>
      </x:c>
      <x:c r="H2747" s="21" t="n">
        <x:v>9558</x:v>
      </x:c>
      <x:c r="I2747" s="17" t="str">
        <x:v>Correction</x:v>
      </x:c>
    </x:row>
    <x:row r="2748" ht="23" customHeight="1">
      <x:c r="A2748" s="17" t="str">
        <x:v>U02742</x:v>
      </x:c>
      <x:c r="B2748" s="18" t="n">
        <x:v>46295</x:v>
      </x:c>
      <x:c r="C2748" s="17" t="str">
        <x:v>W0210</x:v>
      </x:c>
      <x:c r="D2748" s="17" t="str">
        <x:v>C004</x:v>
      </x:c>
      <x:c r="E2748" s="17" t="str">
        <x:v>InsightDesk</x:v>
      </x:c>
      <x:c r="F2748" s="17" t="str">
        <x:v>Lite</x:v>
      </x:c>
      <x:c r="G2748" s="21" t="n">
        <x:v>24531</x:v>
      </x:c>
      <x:c r="H2748" s="21" t="n">
        <x:v>4668</x:v>
      </x:c>
      <x:c r="I2748" s="17" t="str">
        <x:v>Followup</x:v>
      </x:c>
    </x:row>
    <x:row r="2749" ht="23" customHeight="1">
      <x:c r="A2749" s="17" t="str">
        <x:v>U02743</x:v>
      </x:c>
      <x:c r="B2749" s="18" t="n">
        <x:v>46295</x:v>
      </x:c>
      <x:c r="C2749" s="17" t="str">
        <x:v>W0210</x:v>
      </x:c>
      <x:c r="D2749" s="17" t="str">
        <x:v>C004</x:v>
      </x:c>
      <x:c r="E2749" s="17" t="str">
        <x:v>InsightDesk</x:v>
      </x:c>
      <x:c r="F2749" s="17" t="str">
        <x:v>Lite</x:v>
      </x:c>
      <x:c r="G2749" s="21" t="n">
        <x:v>28989</x:v>
      </x:c>
      <x:c r="H2749" s="21" t="n">
        <x:v>3052</x:v>
      </x:c>
      <x:c r="I2749" s="17" t="str">
        <x:v>Followup</x:v>
      </x:c>
    </x:row>
    <x:row r="2750" ht="23" customHeight="1">
      <x:c r="A2750" s="17" t="str">
        <x:v>U02744</x:v>
      </x:c>
      <x:c r="B2750" s="18" t="n">
        <x:v>46295</x:v>
      </x:c>
      <x:c r="C2750" s="17" t="str">
        <x:v>W0210</x:v>
      </x:c>
      <x:c r="D2750" s="17" t="str">
        <x:v>C004</x:v>
      </x:c>
      <x:c r="E2750" s="17" t="str">
        <x:v>InsightDesk</x:v>
      </x:c>
      <x:c r="F2750" s="17" t="str">
        <x:v>Lite</x:v>
      </x:c>
      <x:c r="G2750" s="21" t="n">
        <x:v>31306</x:v>
      </x:c>
      <x:c r="H2750" s="21" t="n">
        <x:v>8554</x:v>
      </x:c>
      <x:c r="I2750" s="17" t="str">
        <x:v>Followup</x:v>
      </x:c>
    </x:row>
    <x:row r="2751" ht="23" customHeight="1">
      <x:c r="A2751" s="17" t="str">
        <x:v>U02745</x:v>
      </x:c>
      <x:c r="B2751" s="18" t="n">
        <x:v>46286</x:v>
      </x:c>
      <x:c r="C2751" s="17" t="str">
        <x:v>W0212</x:v>
      </x:c>
      <x:c r="D2751" s="17" t="str">
        <x:v>C004</x:v>
      </x:c>
      <x:c r="E2751" s="17" t="str">
        <x:v>CampaignChat</x:v>
      </x:c>
      <x:c r="F2751" s="17" t="str">
        <x:v>Lite</x:v>
      </x:c>
      <x:c r="G2751" s="21" t="n">
        <x:v>19793</x:v>
      </x:c>
      <x:c r="H2751" s="21" t="n">
        <x:v>3663</x:v>
      </x:c>
      <x:c r="I2751" s="17" t="str">
        <x:v>First attempt</x:v>
      </x:c>
    </x:row>
    <x:row r="2752" ht="23" customHeight="1">
      <x:c r="A2752" s="17" t="str">
        <x:v>U02746</x:v>
      </x:c>
      <x:c r="B2752" s="18" t="n">
        <x:v>46286</x:v>
      </x:c>
      <x:c r="C2752" s="17" t="str">
        <x:v>W0212</x:v>
      </x:c>
      <x:c r="D2752" s="17" t="str">
        <x:v>C004</x:v>
      </x:c>
      <x:c r="E2752" s="17" t="str">
        <x:v>CampaignChat</x:v>
      </x:c>
      <x:c r="F2752" s="17" t="str">
        <x:v>Lite</x:v>
      </x:c>
      <x:c r="G2752" s="21" t="n">
        <x:v>29170</x:v>
      </x:c>
      <x:c r="H2752" s="21" t="n">
        <x:v>2948</x:v>
      </x:c>
      <x:c r="I2752" s="17" t="str">
        <x:v>Followup</x:v>
      </x:c>
    </x:row>
    <x:row r="2753" ht="23" customHeight="1">
      <x:c r="A2753" s="17" t="str">
        <x:v>U02747</x:v>
      </x:c>
      <x:c r="B2753" s="18" t="n">
        <x:v>46286</x:v>
      </x:c>
      <x:c r="C2753" s="17" t="str">
        <x:v>W0212</x:v>
      </x:c>
      <x:c r="D2753" s="17" t="str">
        <x:v>C004</x:v>
      </x:c>
      <x:c r="E2753" s="17" t="str">
        <x:v>CampaignChat</x:v>
      </x:c>
      <x:c r="F2753" s="17" t="str">
        <x:v>Lite</x:v>
      </x:c>
      <x:c r="G2753" s="21" t="n">
        <x:v>24972</x:v>
      </x:c>
      <x:c r="H2753" s="21" t="n">
        <x:v>2627</x:v>
      </x:c>
      <x:c r="I2753" s="17" t="str">
        <x:v>Followup</x:v>
      </x:c>
    </x:row>
    <x:row r="2754" ht="23" customHeight="1">
      <x:c r="A2754" s="17" t="str">
        <x:v>U02748</x:v>
      </x:c>
      <x:c r="B2754" s="18" t="n">
        <x:v>46286</x:v>
      </x:c>
      <x:c r="C2754" s="17" t="str">
        <x:v>W0212</x:v>
      </x:c>
      <x:c r="D2754" s="17" t="str">
        <x:v>C004</x:v>
      </x:c>
      <x:c r="E2754" s="17" t="str">
        <x:v>CampaignChat</x:v>
      </x:c>
      <x:c r="F2754" s="17" t="str">
        <x:v>Lite</x:v>
      </x:c>
      <x:c r="G2754" s="21" t="n">
        <x:v>36804</x:v>
      </x:c>
      <x:c r="H2754" s="21" t="n">
        <x:v>1090</x:v>
      </x:c>
      <x:c r="I2754" s="17" t="str">
        <x:v>Followup</x:v>
      </x:c>
    </x:row>
    <x:row r="2755" ht="23" customHeight="1">
      <x:c r="A2755" s="17" t="str">
        <x:v>U02749</x:v>
      </x:c>
      <x:c r="B2755" s="18" t="n">
        <x:v>46286</x:v>
      </x:c>
      <x:c r="C2755" s="17" t="str">
        <x:v>W0212</x:v>
      </x:c>
      <x:c r="D2755" s="17" t="str">
        <x:v>C004</x:v>
      </x:c>
      <x:c r="E2755" s="17" t="str">
        <x:v>CampaignChat</x:v>
      </x:c>
      <x:c r="F2755" s="17" t="str">
        <x:v>Lite</x:v>
      </x:c>
      <x:c r="G2755" s="21" t="n">
        <x:v>34950</x:v>
      </x:c>
      <x:c r="H2755" s="21" t="n">
        <x:v>2498</x:v>
      </x:c>
      <x:c r="I2755" s="17" t="str">
        <x:v>Followup</x:v>
      </x:c>
    </x:row>
    <x:row r="2756" ht="23" customHeight="1">
      <x:c r="A2756" s="17" t="str">
        <x:v>U02750</x:v>
      </x:c>
      <x:c r="B2756" s="18" t="n">
        <x:v>46287</x:v>
      </x:c>
      <x:c r="C2756" s="17" t="str">
        <x:v>W0212</x:v>
      </x:c>
      <x:c r="D2756" s="17" t="str">
        <x:v>C004</x:v>
      </x:c>
      <x:c r="E2756" s="17" t="str">
        <x:v>CampaignChat</x:v>
      </x:c>
      <x:c r="F2756" s="17" t="str">
        <x:v>Lite</x:v>
      </x:c>
      <x:c r="G2756" s="21" t="n">
        <x:v>15303</x:v>
      </x:c>
      <x:c r="H2756" s="21" t="n">
        <x:v>2143</x:v>
      </x:c>
      <x:c r="I2756" s="17" t="str">
        <x:v>Followup</x:v>
      </x:c>
    </x:row>
    <x:row r="2757" ht="23" customHeight="1">
      <x:c r="A2757" s="17" t="str">
        <x:v>U02751</x:v>
      </x:c>
      <x:c r="B2757" s="18" t="n">
        <x:v>46287</x:v>
      </x:c>
      <x:c r="C2757" s="17" t="str">
        <x:v>W0212</x:v>
      </x:c>
      <x:c r="D2757" s="17" t="str">
        <x:v>C004</x:v>
      </x:c>
      <x:c r="E2757" s="17" t="str">
        <x:v>CampaignChat</x:v>
      </x:c>
      <x:c r="F2757" s="17" t="str">
        <x:v>Lite</x:v>
      </x:c>
      <x:c r="G2757" s="21" t="n">
        <x:v>41591</x:v>
      </x:c>
      <x:c r="H2757" s="21" t="n">
        <x:v>2996</x:v>
      </x:c>
      <x:c r="I2757" s="17" t="str">
        <x:v>Followup</x:v>
      </x:c>
    </x:row>
    <x:row r="2758" ht="23" customHeight="1">
      <x:c r="A2758" s="17" t="str">
        <x:v>U02752</x:v>
      </x:c>
      <x:c r="B2758" s="18" t="n">
        <x:v>46287</x:v>
      </x:c>
      <x:c r="C2758" s="17" t="str">
        <x:v>W0212</x:v>
      </x:c>
      <x:c r="D2758" s="17" t="str">
        <x:v>C004</x:v>
      </x:c>
      <x:c r="E2758" s="17" t="str">
        <x:v>CampaignChat</x:v>
      </x:c>
      <x:c r="F2758" s="17" t="str">
        <x:v>Lite</x:v>
      </x:c>
      <x:c r="G2758" s="21" t="n">
        <x:v>40284</x:v>
      </x:c>
      <x:c r="H2758" s="21" t="n">
        <x:v>2378</x:v>
      </x:c>
      <x:c r="I2758" s="17" t="str">
        <x:v>Correction</x:v>
      </x:c>
    </x:row>
    <x:row r="2759" ht="23" customHeight="1">
      <x:c r="A2759" s="17" t="str">
        <x:v>U02753</x:v>
      </x:c>
      <x:c r="B2759" s="18" t="n">
        <x:v>46287</x:v>
      </x:c>
      <x:c r="C2759" s="17" t="str">
        <x:v>W0212</x:v>
      </x:c>
      <x:c r="D2759" s="17" t="str">
        <x:v>C004</x:v>
      </x:c>
      <x:c r="E2759" s="17" t="str">
        <x:v>CampaignChat</x:v>
      </x:c>
      <x:c r="F2759" s="17" t="str">
        <x:v>Lite</x:v>
      </x:c>
      <x:c r="G2759" s="21" t="n">
        <x:v>41902</x:v>
      </x:c>
      <x:c r="H2759" s="21" t="n">
        <x:v>3615</x:v>
      </x:c>
      <x:c r="I2759" s="17" t="str">
        <x:v>Correction</x:v>
      </x:c>
    </x:row>
    <x:row r="2760" ht="23" customHeight="1">
      <x:c r="A2760" s="17" t="str">
        <x:v>U02754</x:v>
      </x:c>
      <x:c r="B2760" s="18" t="n">
        <x:v>46288</x:v>
      </x:c>
      <x:c r="C2760" s="17" t="str">
        <x:v>W0212</x:v>
      </x:c>
      <x:c r="D2760" s="17" t="str">
        <x:v>C004</x:v>
      </x:c>
      <x:c r="E2760" s="17" t="str">
        <x:v>CampaignChat</x:v>
      </x:c>
      <x:c r="F2760" s="17" t="str">
        <x:v>Lite</x:v>
      </x:c>
      <x:c r="G2760" s="21" t="n">
        <x:v>30933</x:v>
      </x:c>
      <x:c r="H2760" s="21" t="n">
        <x:v>1254</x:v>
      </x:c>
      <x:c r="I2760" s="17" t="str">
        <x:v>Followup</x:v>
      </x:c>
    </x:row>
    <x:row r="2761" ht="23" customHeight="1">
      <x:c r="A2761" s="17" t="str">
        <x:v>U02755</x:v>
      </x:c>
      <x:c r="B2761" s="18" t="n">
        <x:v>46288</x:v>
      </x:c>
      <x:c r="C2761" s="17" t="str">
        <x:v>W0212</x:v>
      </x:c>
      <x:c r="D2761" s="17" t="str">
        <x:v>C004</x:v>
      </x:c>
      <x:c r="E2761" s="17" t="str">
        <x:v>CampaignChat</x:v>
      </x:c>
      <x:c r="F2761" s="17" t="str">
        <x:v>Lite</x:v>
      </x:c>
      <x:c r="G2761" s="21" t="n">
        <x:v>27287</x:v>
      </x:c>
      <x:c r="H2761" s="21" t="n">
        <x:v>3703</x:v>
      </x:c>
      <x:c r="I2761" s="17" t="str">
        <x:v>Followup</x:v>
      </x:c>
    </x:row>
    <x:row r="2762" ht="23" customHeight="1">
      <x:c r="A2762" s="17" t="str">
        <x:v>U02756</x:v>
      </x:c>
      <x:c r="B2762" s="18" t="n">
        <x:v>46288</x:v>
      </x:c>
      <x:c r="C2762" s="17" t="str">
        <x:v>W0212</x:v>
      </x:c>
      <x:c r="D2762" s="17" t="str">
        <x:v>C004</x:v>
      </x:c>
      <x:c r="E2762" s="17" t="str">
        <x:v>CampaignChat</x:v>
      </x:c>
      <x:c r="F2762" s="17" t="str">
        <x:v>Lite</x:v>
      </x:c>
      <x:c r="G2762" s="21" t="n">
        <x:v>17183</x:v>
      </x:c>
      <x:c r="H2762" s="21" t="n">
        <x:v>3836</x:v>
      </x:c>
      <x:c r="I2762" s="17" t="str">
        <x:v>Followup</x:v>
      </x:c>
    </x:row>
    <x:row r="2763" ht="23" customHeight="1">
      <x:c r="A2763" s="17" t="str">
        <x:v>U02757</x:v>
      </x:c>
      <x:c r="B2763" s="18" t="n">
        <x:v>46288</x:v>
      </x:c>
      <x:c r="C2763" s="17" t="str">
        <x:v>W0212</x:v>
      </x:c>
      <x:c r="D2763" s="17" t="str">
        <x:v>C004</x:v>
      </x:c>
      <x:c r="E2763" s="17" t="str">
        <x:v>CampaignChat</x:v>
      </x:c>
      <x:c r="F2763" s="17" t="str">
        <x:v>Lite</x:v>
      </x:c>
      <x:c r="G2763" s="21" t="n">
        <x:v>37082</x:v>
      </x:c>
      <x:c r="H2763" s="21" t="n">
        <x:v>2672</x:v>
      </x:c>
      <x:c r="I2763" s="17" t="str">
        <x:v>Followup</x:v>
      </x:c>
    </x:row>
    <x:row r="2764" ht="23" customHeight="1">
      <x:c r="A2764" s="17" t="str">
        <x:v>U02758</x:v>
      </x:c>
      <x:c r="B2764" s="18" t="n">
        <x:v>46288</x:v>
      </x:c>
      <x:c r="C2764" s="17" t="str">
        <x:v>W0212</x:v>
      </x:c>
      <x:c r="D2764" s="17" t="str">
        <x:v>C004</x:v>
      </x:c>
      <x:c r="E2764" s="17" t="str">
        <x:v>CampaignChat</x:v>
      </x:c>
      <x:c r="F2764" s="17" t="str">
        <x:v>Lite</x:v>
      </x:c>
      <x:c r="G2764" s="21" t="n">
        <x:v>28993</x:v>
      </x:c>
      <x:c r="H2764" s="21" t="n">
        <x:v>1078</x:v>
      </x:c>
      <x:c r="I2764" s="17" t="str">
        <x:v>Followup</x:v>
      </x:c>
    </x:row>
    <x:row r="2765" ht="23" customHeight="1">
      <x:c r="A2765" s="17" t="str">
        <x:v>U02759</x:v>
      </x:c>
      <x:c r="B2765" s="18" t="n">
        <x:v>46289</x:v>
      </x:c>
      <x:c r="C2765" s="17" t="str">
        <x:v>W0212</x:v>
      </x:c>
      <x:c r="D2765" s="17" t="str">
        <x:v>C004</x:v>
      </x:c>
      <x:c r="E2765" s="17" t="str">
        <x:v>CampaignChat</x:v>
      </x:c>
      <x:c r="F2765" s="17" t="str">
        <x:v>Lite</x:v>
      </x:c>
      <x:c r="G2765" s="21" t="n">
        <x:v>36122</x:v>
      </x:c>
      <x:c r="H2765" s="21" t="n">
        <x:v>2537</x:v>
      </x:c>
      <x:c r="I2765" s="17" t="str">
        <x:v>Correction</x:v>
      </x:c>
    </x:row>
    <x:row r="2766" ht="23" customHeight="1">
      <x:c r="A2766" s="17" t="str">
        <x:v>U02760</x:v>
      </x:c>
      <x:c r="B2766" s="18" t="n">
        <x:v>46289</x:v>
      </x:c>
      <x:c r="C2766" s="17" t="str">
        <x:v>W0212</x:v>
      </x:c>
      <x:c r="D2766" s="17" t="str">
        <x:v>C004</x:v>
      </x:c>
      <x:c r="E2766" s="17" t="str">
        <x:v>CampaignChat</x:v>
      </x:c>
      <x:c r="F2766" s="17" t="str">
        <x:v>Lite</x:v>
      </x:c>
      <x:c r="G2766" s="21" t="n">
        <x:v>17425</x:v>
      </x:c>
      <x:c r="H2766" s="21" t="n">
        <x:v>3662</x:v>
      </x:c>
      <x:c r="I2766" s="17" t="str">
        <x:v>Followup</x:v>
      </x:c>
    </x:row>
    <x:row r="2767" ht="23" customHeight="1">
      <x:c r="A2767" s="17" t="str">
        <x:v>U02761</x:v>
      </x:c>
      <x:c r="B2767" s="18" t="n">
        <x:v>46289</x:v>
      </x:c>
      <x:c r="C2767" s="17" t="str">
        <x:v>W0212</x:v>
      </x:c>
      <x:c r="D2767" s="17" t="str">
        <x:v>C004</x:v>
      </x:c>
      <x:c r="E2767" s="17" t="str">
        <x:v>CampaignChat</x:v>
      </x:c>
      <x:c r="F2767" s="17" t="str">
        <x:v>Lite</x:v>
      </x:c>
      <x:c r="G2767" s="21" t="n">
        <x:v>29042</x:v>
      </x:c>
      <x:c r="H2767" s="21" t="n">
        <x:v>4088</x:v>
      </x:c>
      <x:c r="I2767" s="17" t="str">
        <x:v>Correction</x:v>
      </x:c>
    </x:row>
    <x:row r="2768" ht="23" customHeight="1">
      <x:c r="A2768" s="17" t="str">
        <x:v>U02762</x:v>
      </x:c>
      <x:c r="B2768" s="18" t="n">
        <x:v>46289</x:v>
      </x:c>
      <x:c r="C2768" s="17" t="str">
        <x:v>W0212</x:v>
      </x:c>
      <x:c r="D2768" s="17" t="str">
        <x:v>C004</x:v>
      </x:c>
      <x:c r="E2768" s="17" t="str">
        <x:v>CampaignChat</x:v>
      </x:c>
      <x:c r="F2768" s="17" t="str">
        <x:v>Lite</x:v>
      </x:c>
      <x:c r="G2768" s="21" t="n">
        <x:v>15491</x:v>
      </x:c>
      <x:c r="H2768" s="21" t="n">
        <x:v>1742</x:v>
      </x:c>
      <x:c r="I2768" s="17" t="str">
        <x:v>Followup</x:v>
      </x:c>
    </x:row>
    <x:row r="2769" ht="23" customHeight="1">
      <x:c r="A2769" s="17" t="str">
        <x:v>U02763</x:v>
      </x:c>
      <x:c r="B2769" s="18" t="n">
        <x:v>46268</x:v>
      </x:c>
      <x:c r="C2769" s="17" t="str">
        <x:v>W0213</x:v>
      </x:c>
      <x:c r="D2769" s="17" t="str">
        <x:v>C004</x:v>
      </x:c>
      <x:c r="E2769" s="17" t="str">
        <x:v>CampaignChat</x:v>
      </x:c>
      <x:c r="F2769" s="17" t="str">
        <x:v>Lite</x:v>
      </x:c>
      <x:c r="G2769" s="21" t="n">
        <x:v>14843</x:v>
      </x:c>
      <x:c r="H2769" s="21" t="n">
        <x:v>2882</x:v>
      </x:c>
      <x:c r="I2769" s="17" t="str">
        <x:v>First attempt</x:v>
      </x:c>
    </x:row>
    <x:row r="2770" ht="23" customHeight="1">
      <x:c r="A2770" s="17" t="str">
        <x:v>U02764</x:v>
      </x:c>
      <x:c r="B2770" s="18" t="n">
        <x:v>46268</x:v>
      </x:c>
      <x:c r="C2770" s="17" t="str">
        <x:v>W0213</x:v>
      </x:c>
      <x:c r="D2770" s="17" t="str">
        <x:v>C004</x:v>
      </x:c>
      <x:c r="E2770" s="17" t="str">
        <x:v>CampaignChat</x:v>
      </x:c>
      <x:c r="F2770" s="17" t="str">
        <x:v>Lite</x:v>
      </x:c>
      <x:c r="G2770" s="21" t="n">
        <x:v>8137</x:v>
      </x:c>
      <x:c r="H2770" s="21" t="n">
        <x:v>6285</x:v>
      </x:c>
      <x:c r="I2770" s="17" t="str">
        <x:v>Followup</x:v>
      </x:c>
    </x:row>
    <x:row r="2771" ht="23" customHeight="1">
      <x:c r="A2771" s="17" t="str">
        <x:v>U02765</x:v>
      </x:c>
      <x:c r="B2771" s="18" t="n">
        <x:v>46268</x:v>
      </x:c>
      <x:c r="C2771" s="17" t="str">
        <x:v>W0213</x:v>
      </x:c>
      <x:c r="D2771" s="17" t="str">
        <x:v>C004</x:v>
      </x:c>
      <x:c r="E2771" s="17" t="str">
        <x:v>CampaignChat</x:v>
      </x:c>
      <x:c r="F2771" s="17" t="str">
        <x:v>Lite</x:v>
      </x:c>
      <x:c r="G2771" s="21" t="n">
        <x:v>10268</x:v>
      </x:c>
      <x:c r="H2771" s="21" t="n">
        <x:v>5716</x:v>
      </x:c>
      <x:c r="I2771" s="17" t="str">
        <x:v>Followup</x:v>
      </x:c>
    </x:row>
    <x:row r="2772" ht="23" customHeight="1">
      <x:c r="A2772" s="17" t="str">
        <x:v>U02766</x:v>
      </x:c>
      <x:c r="B2772" s="18" t="n">
        <x:v>46269</x:v>
      </x:c>
      <x:c r="C2772" s="17" t="str">
        <x:v>W0213</x:v>
      </x:c>
      <x:c r="D2772" s="17" t="str">
        <x:v>C004</x:v>
      </x:c>
      <x:c r="E2772" s="17" t="str">
        <x:v>CampaignChat</x:v>
      </x:c>
      <x:c r="F2772" s="17" t="str">
        <x:v>Lite</x:v>
      </x:c>
      <x:c r="G2772" s="21" t="n">
        <x:v>9807</x:v>
      </x:c>
      <x:c r="H2772" s="21" t="n">
        <x:v>3234</x:v>
      </x:c>
      <x:c r="I2772" s="17" t="str">
        <x:v>Followup</x:v>
      </x:c>
    </x:row>
    <x:row r="2773" ht="23" customHeight="1">
      <x:c r="A2773" s="17" t="str">
        <x:v>U02767</x:v>
      </x:c>
      <x:c r="B2773" s="18" t="n">
        <x:v>46269</x:v>
      </x:c>
      <x:c r="C2773" s="17" t="str">
        <x:v>W0213</x:v>
      </x:c>
      <x:c r="D2773" s="17" t="str">
        <x:v>C004</x:v>
      </x:c>
      <x:c r="E2773" s="17" t="str">
        <x:v>CampaignChat</x:v>
      </x:c>
      <x:c r="F2773" s="17" t="str">
        <x:v>Lite</x:v>
      </x:c>
      <x:c r="G2773" s="21" t="n">
        <x:v>17866</x:v>
      </x:c>
      <x:c r="H2773" s="21" t="n">
        <x:v>3206</x:v>
      </x:c>
      <x:c r="I2773" s="17" t="str">
        <x:v>Followup</x:v>
      </x:c>
    </x:row>
    <x:row r="2774" ht="23" customHeight="1">
      <x:c r="A2774" s="17" t="str">
        <x:v>U02768</x:v>
      </x:c>
      <x:c r="B2774" s="18" t="n">
        <x:v>46269</x:v>
      </x:c>
      <x:c r="C2774" s="17" t="str">
        <x:v>W0213</x:v>
      </x:c>
      <x:c r="D2774" s="17" t="str">
        <x:v>C004</x:v>
      </x:c>
      <x:c r="E2774" s="17" t="str">
        <x:v>CampaignChat</x:v>
      </x:c>
      <x:c r="F2774" s="17" t="str">
        <x:v>Lite</x:v>
      </x:c>
      <x:c r="G2774" s="21" t="n">
        <x:v>11031</x:v>
      </x:c>
      <x:c r="H2774" s="21" t="n">
        <x:v>4134</x:v>
      </x:c>
      <x:c r="I2774" s="17" t="str">
        <x:v>Correction</x:v>
      </x:c>
    </x:row>
    <x:row r="2775" ht="23" customHeight="1">
      <x:c r="A2775" s="17" t="str">
        <x:v>U02769</x:v>
      </x:c>
      <x:c r="B2775" s="18" t="n">
        <x:v>46273</x:v>
      </x:c>
      <x:c r="C2775" s="17" t="str">
        <x:v>W0213</x:v>
      </x:c>
      <x:c r="D2775" s="17" t="str">
        <x:v>C004</x:v>
      </x:c>
      <x:c r="E2775" s="17" t="str">
        <x:v>CampaignChat</x:v>
      </x:c>
      <x:c r="F2775" s="17" t="str">
        <x:v>Lite</x:v>
      </x:c>
      <x:c r="G2775" s="21" t="n">
        <x:v>8228</x:v>
      </x:c>
      <x:c r="H2775" s="21" t="n">
        <x:v>6639</x:v>
      </x:c>
      <x:c r="I2775" s="17" t="str">
        <x:v>Followup</x:v>
      </x:c>
    </x:row>
    <x:row r="2776" ht="23" customHeight="1">
      <x:c r="A2776" s="17" t="str">
        <x:v>U02770</x:v>
      </x:c>
      <x:c r="B2776" s="18" t="n">
        <x:v>46273</x:v>
      </x:c>
      <x:c r="C2776" s="17" t="str">
        <x:v>W0213</x:v>
      </x:c>
      <x:c r="D2776" s="17" t="str">
        <x:v>C004</x:v>
      </x:c>
      <x:c r="E2776" s="17" t="str">
        <x:v>CampaignChat</x:v>
      </x:c>
      <x:c r="F2776" s="17" t="str">
        <x:v>Lite</x:v>
      </x:c>
      <x:c r="G2776" s="21" t="n">
        <x:v>14762</x:v>
      </x:c>
      <x:c r="H2776" s="21" t="n">
        <x:v>4864</x:v>
      </x:c>
      <x:c r="I2776" s="17" t="str">
        <x:v>Followup</x:v>
      </x:c>
    </x:row>
    <x:row r="2777" ht="23" customHeight="1">
      <x:c r="A2777" s="17" t="str">
        <x:v>U02771</x:v>
      </x:c>
      <x:c r="B2777" s="18" t="n">
        <x:v>46273</x:v>
      </x:c>
      <x:c r="C2777" s="17" t="str">
        <x:v>W0213</x:v>
      </x:c>
      <x:c r="D2777" s="17" t="str">
        <x:v>C004</x:v>
      </x:c>
      <x:c r="E2777" s="17" t="str">
        <x:v>CampaignChat</x:v>
      </x:c>
      <x:c r="F2777" s="17" t="str">
        <x:v>Lite</x:v>
      </x:c>
      <x:c r="G2777" s="21" t="n">
        <x:v>19367</x:v>
      </x:c>
      <x:c r="H2777" s="21" t="n">
        <x:v>3732</x:v>
      </x:c>
      <x:c r="I2777" s="17" t="str">
        <x:v>Followup</x:v>
      </x:c>
    </x:row>
    <x:row r="2778" ht="23" customHeight="1">
      <x:c r="A2778" s="17" t="str">
        <x:v>U02772</x:v>
      </x:c>
      <x:c r="B2778" s="18" t="n">
        <x:v>46274</x:v>
      </x:c>
      <x:c r="C2778" s="17" t="str">
        <x:v>W0213</x:v>
      </x:c>
      <x:c r="D2778" s="17" t="str">
        <x:v>C004</x:v>
      </x:c>
      <x:c r="E2778" s="17" t="str">
        <x:v>CampaignChat</x:v>
      </x:c>
      <x:c r="F2778" s="17" t="str">
        <x:v>Lite</x:v>
      </x:c>
      <x:c r="G2778" s="21" t="n">
        <x:v>13679</x:v>
      </x:c>
      <x:c r="H2778" s="21" t="n">
        <x:v>6284</x:v>
      </x:c>
      <x:c r="I2778" s="17" t="str">
        <x:v>Correction</x:v>
      </x:c>
    </x:row>
    <x:row r="2779" ht="23" customHeight="1">
      <x:c r="A2779" s="17" t="str">
        <x:v>U02773</x:v>
      </x:c>
      <x:c r="B2779" s="18" t="n">
        <x:v>46274</x:v>
      </x:c>
      <x:c r="C2779" s="17" t="str">
        <x:v>W0213</x:v>
      </x:c>
      <x:c r="D2779" s="17" t="str">
        <x:v>C004</x:v>
      </x:c>
      <x:c r="E2779" s="17" t="str">
        <x:v>CampaignChat</x:v>
      </x:c>
      <x:c r="F2779" s="17" t="str">
        <x:v>Lite</x:v>
      </x:c>
      <x:c r="G2779" s="21" t="n">
        <x:v>22345</x:v>
      </x:c>
      <x:c r="H2779" s="21" t="n">
        <x:v>5096</x:v>
      </x:c>
      <x:c r="I2779" s="17" t="str">
        <x:v>Correction</x:v>
      </x:c>
    </x:row>
    <x:row r="2780" ht="23" customHeight="1">
      <x:c r="A2780" s="17" t="str">
        <x:v>U02774</x:v>
      </x:c>
      <x:c r="B2780" s="18" t="n">
        <x:v>46280</x:v>
      </x:c>
      <x:c r="C2780" s="17" t="str">
        <x:v>W0214</x:v>
      </x:c>
      <x:c r="D2780" s="17" t="str">
        <x:v>C004</x:v>
      </x:c>
      <x:c r="E2780" s="17" t="str">
        <x:v>DataFlow</x:v>
      </x:c>
      <x:c r="F2780" s="17" t="str">
        <x:v>Lite</x:v>
      </x:c>
      <x:c r="G2780" s="21" t="n">
        <x:v>28100</x:v>
      </x:c>
      <x:c r="H2780" s="21" t="n">
        <x:v>1852</x:v>
      </x:c>
      <x:c r="I2780" s="17" t="str">
        <x:v>First attempt</x:v>
      </x:c>
    </x:row>
    <x:row r="2781" ht="23" customHeight="1">
      <x:c r="A2781" s="17" t="str">
        <x:v>U02775</x:v>
      </x:c>
      <x:c r="B2781" s="18" t="n">
        <x:v>46280</x:v>
      </x:c>
      <x:c r="C2781" s="17" t="str">
        <x:v>W0214</x:v>
      </x:c>
      <x:c r="D2781" s="17" t="str">
        <x:v>C004</x:v>
      </x:c>
      <x:c r="E2781" s="17" t="str">
        <x:v>DataFlow</x:v>
      </x:c>
      <x:c r="F2781" s="17" t="str">
        <x:v>Lite</x:v>
      </x:c>
      <x:c r="G2781" s="21" t="n">
        <x:v>21304</x:v>
      </x:c>
      <x:c r="H2781" s="21" t="n">
        <x:v>3272</x:v>
      </x:c>
      <x:c r="I2781" s="17" t="str">
        <x:v>Followup</x:v>
      </x:c>
    </x:row>
    <x:row r="2782" ht="23" customHeight="1">
      <x:c r="A2782" s="17" t="str">
        <x:v>U02776</x:v>
      </x:c>
      <x:c r="B2782" s="18" t="n">
        <x:v>46280</x:v>
      </x:c>
      <x:c r="C2782" s="17" t="str">
        <x:v>W0214</x:v>
      </x:c>
      <x:c r="D2782" s="17" t="str">
        <x:v>C004</x:v>
      </x:c>
      <x:c r="E2782" s="17" t="str">
        <x:v>DataFlow</x:v>
      </x:c>
      <x:c r="F2782" s="17" t="str">
        <x:v>Lite</x:v>
      </x:c>
      <x:c r="G2782" s="21" t="n">
        <x:v>26052</x:v>
      </x:c>
      <x:c r="H2782" s="21" t="n">
        <x:v>3816</x:v>
      </x:c>
      <x:c r="I2782" s="17" t="str">
        <x:v>Followup</x:v>
      </x:c>
    </x:row>
    <x:row r="2783" ht="23" customHeight="1">
      <x:c r="A2783" s="17" t="str">
        <x:v>U02777</x:v>
      </x:c>
      <x:c r="B2783" s="18" t="n">
        <x:v>46280</x:v>
      </x:c>
      <x:c r="C2783" s="17" t="str">
        <x:v>W0214</x:v>
      </x:c>
      <x:c r="D2783" s="17" t="str">
        <x:v>C004</x:v>
      </x:c>
      <x:c r="E2783" s="17" t="str">
        <x:v>DataFlow</x:v>
      </x:c>
      <x:c r="F2783" s="17" t="str">
        <x:v>Lite</x:v>
      </x:c>
      <x:c r="G2783" s="21" t="n">
        <x:v>15310</x:v>
      </x:c>
      <x:c r="H2783" s="21" t="n">
        <x:v>4259</x:v>
      </x:c>
      <x:c r="I2783" s="17" t="str">
        <x:v>Followup</x:v>
      </x:c>
    </x:row>
    <x:row r="2784" ht="23" customHeight="1">
      <x:c r="A2784" s="17" t="str">
        <x:v>U02778</x:v>
      </x:c>
      <x:c r="B2784" s="18" t="n">
        <x:v>46281</x:v>
      </x:c>
      <x:c r="C2784" s="17" t="str">
        <x:v>W0214</x:v>
      </x:c>
      <x:c r="D2784" s="17" t="str">
        <x:v>C004</x:v>
      </x:c>
      <x:c r="E2784" s="17" t="str">
        <x:v>DataFlow</x:v>
      </x:c>
      <x:c r="F2784" s="17" t="str">
        <x:v>Lite</x:v>
      </x:c>
      <x:c r="G2784" s="21" t="n">
        <x:v>28914</x:v>
      </x:c>
      <x:c r="H2784" s="21" t="n">
        <x:v>3504</x:v>
      </x:c>
      <x:c r="I2784" s="17" t="str">
        <x:v>Correction</x:v>
      </x:c>
    </x:row>
    <x:row r="2785" ht="23" customHeight="1">
      <x:c r="A2785" s="17" t="str">
        <x:v>U02779</x:v>
      </x:c>
      <x:c r="B2785" s="18" t="n">
        <x:v>46281</x:v>
      </x:c>
      <x:c r="C2785" s="17" t="str">
        <x:v>W0214</x:v>
      </x:c>
      <x:c r="D2785" s="17" t="str">
        <x:v>C004</x:v>
      </x:c>
      <x:c r="E2785" s="17" t="str">
        <x:v>DataFlow</x:v>
      </x:c>
      <x:c r="F2785" s="17" t="str">
        <x:v>Lite</x:v>
      </x:c>
      <x:c r="G2785" s="21" t="n">
        <x:v>20455</x:v>
      </x:c>
      <x:c r="H2785" s="21" t="n">
        <x:v>2100</x:v>
      </x:c>
      <x:c r="I2785" s="17" t="str">
        <x:v>Followup</x:v>
      </x:c>
    </x:row>
    <x:row r="2786" ht="23" customHeight="1">
      <x:c r="A2786" s="17" t="str">
        <x:v>U02780</x:v>
      </x:c>
      <x:c r="B2786" s="18" t="n">
        <x:v>46281</x:v>
      </x:c>
      <x:c r="C2786" s="17" t="str">
        <x:v>W0214</x:v>
      </x:c>
      <x:c r="D2786" s="17" t="str">
        <x:v>C004</x:v>
      </x:c>
      <x:c r="E2786" s="17" t="str">
        <x:v>DataFlow</x:v>
      </x:c>
      <x:c r="F2786" s="17" t="str">
        <x:v>Lite</x:v>
      </x:c>
      <x:c r="G2786" s="21" t="n">
        <x:v>24173</x:v>
      </x:c>
      <x:c r="H2786" s="21" t="n">
        <x:v>2665</x:v>
      </x:c>
      <x:c r="I2786" s="17" t="str">
        <x:v>Followup</x:v>
      </x:c>
    </x:row>
    <x:row r="2787" ht="23" customHeight="1">
      <x:c r="A2787" s="17" t="str">
        <x:v>U02781</x:v>
      </x:c>
      <x:c r="B2787" s="18" t="n">
        <x:v>46281</x:v>
      </x:c>
      <x:c r="C2787" s="17" t="str">
        <x:v>W0214</x:v>
      </x:c>
      <x:c r="D2787" s="17" t="str">
        <x:v>C004</x:v>
      </x:c>
      <x:c r="E2787" s="17" t="str">
        <x:v>DataFlow</x:v>
      </x:c>
      <x:c r="F2787" s="17" t="str">
        <x:v>Lite</x:v>
      </x:c>
      <x:c r="G2787" s="21" t="n">
        <x:v>11753</x:v>
      </x:c>
      <x:c r="H2787" s="21" t="n">
        <x:v>3152</x:v>
      </x:c>
      <x:c r="I2787" s="17" t="str">
        <x:v>Followup</x:v>
      </x:c>
    </x:row>
    <x:row r="2788" ht="23" customHeight="1">
      <x:c r="A2788" s="17" t="str">
        <x:v>U02782</x:v>
      </x:c>
      <x:c r="B2788" s="18" t="n">
        <x:v>46282</x:v>
      </x:c>
      <x:c r="C2788" s="17" t="str">
        <x:v>W0214</x:v>
      </x:c>
      <x:c r="D2788" s="17" t="str">
        <x:v>C004</x:v>
      </x:c>
      <x:c r="E2788" s="17" t="str">
        <x:v>DataFlow</x:v>
      </x:c>
      <x:c r="F2788" s="17" t="str">
        <x:v>Lite</x:v>
      </x:c>
      <x:c r="G2788" s="21" t="n">
        <x:v>16762</x:v>
      </x:c>
      <x:c r="H2788" s="21" t="n">
        <x:v>2439</x:v>
      </x:c>
      <x:c r="I2788" s="17" t="str">
        <x:v>Followup</x:v>
      </x:c>
    </x:row>
    <x:row r="2789" ht="23" customHeight="1">
      <x:c r="A2789" s="17" t="str">
        <x:v>U02783</x:v>
      </x:c>
      <x:c r="B2789" s="18" t="n">
        <x:v>46282</x:v>
      </x:c>
      <x:c r="C2789" s="17" t="str">
        <x:v>W0214</x:v>
      </x:c>
      <x:c r="D2789" s="17" t="str">
        <x:v>C004</x:v>
      </x:c>
      <x:c r="E2789" s="17" t="str">
        <x:v>DataFlow</x:v>
      </x:c>
      <x:c r="F2789" s="17" t="str">
        <x:v>Lite</x:v>
      </x:c>
      <x:c r="G2789" s="21" t="n">
        <x:v>18733</x:v>
      </x:c>
      <x:c r="H2789" s="21" t="n">
        <x:v>3359</x:v>
      </x:c>
      <x:c r="I2789" s="17" t="str">
        <x:v>Correction</x:v>
      </x:c>
    </x:row>
    <x:row r="2790" ht="23" customHeight="1">
      <x:c r="A2790" s="17" t="str">
        <x:v>U02784</x:v>
      </x:c>
      <x:c r="B2790" s="18" t="n">
        <x:v>46282</x:v>
      </x:c>
      <x:c r="C2790" s="17" t="str">
        <x:v>W0214</x:v>
      </x:c>
      <x:c r="D2790" s="17" t="str">
        <x:v>C004</x:v>
      </x:c>
      <x:c r="E2790" s="17" t="str">
        <x:v>DataFlow</x:v>
      </x:c>
      <x:c r="F2790" s="17" t="str">
        <x:v>Lite</x:v>
      </x:c>
      <x:c r="G2790" s="21" t="n">
        <x:v>19816</x:v>
      </x:c>
      <x:c r="H2790" s="21" t="n">
        <x:v>2229</x:v>
      </x:c>
      <x:c r="I2790" s="17" t="str">
        <x:v>Correction</x:v>
      </x:c>
    </x:row>
    <x:row r="2791" ht="23" customHeight="1">
      <x:c r="A2791" s="17" t="str">
        <x:v>U02785</x:v>
      </x:c>
      <x:c r="B2791" s="18" t="n">
        <x:v>46282</x:v>
      </x:c>
      <x:c r="C2791" s="17" t="str">
        <x:v>W0214</x:v>
      </x:c>
      <x:c r="D2791" s="17" t="str">
        <x:v>C004</x:v>
      </x:c>
      <x:c r="E2791" s="17" t="str">
        <x:v>DataFlow</x:v>
      </x:c>
      <x:c r="F2791" s="17" t="str">
        <x:v>Lite</x:v>
      </x:c>
      <x:c r="G2791" s="21" t="n">
        <x:v>15224</x:v>
      </x:c>
      <x:c r="H2791" s="21" t="n">
        <x:v>2988</x:v>
      </x:c>
      <x:c r="I2791" s="17" t="str">
        <x:v>Followup</x:v>
      </x:c>
    </x:row>
    <x:row r="2792" ht="23" customHeight="1">
      <x:c r="A2792" s="17" t="str">
        <x:v>U02786</x:v>
      </x:c>
      <x:c r="B2792" s="18" t="n">
        <x:v>46283</x:v>
      </x:c>
      <x:c r="C2792" s="17" t="str">
        <x:v>W0214</x:v>
      </x:c>
      <x:c r="D2792" s="17" t="str">
        <x:v>C004</x:v>
      </x:c>
      <x:c r="E2792" s="17" t="str">
        <x:v>DataFlow</x:v>
      </x:c>
      <x:c r="F2792" s="17" t="str">
        <x:v>Lite</x:v>
      </x:c>
      <x:c r="G2792" s="21" t="n">
        <x:v>24122</x:v>
      </x:c>
      <x:c r="H2792" s="21" t="n">
        <x:v>1396</x:v>
      </x:c>
      <x:c r="I2792" s="17" t="str">
        <x:v>Followup</x:v>
      </x:c>
    </x:row>
    <x:row r="2793" ht="23" customHeight="1">
      <x:c r="A2793" s="17" t="str">
        <x:v>U02787</x:v>
      </x:c>
      <x:c r="B2793" s="18" t="n">
        <x:v>46283</x:v>
      </x:c>
      <x:c r="C2793" s="17" t="str">
        <x:v>W0214</x:v>
      </x:c>
      <x:c r="D2793" s="17" t="str">
        <x:v>C004</x:v>
      </x:c>
      <x:c r="E2793" s="17" t="str">
        <x:v>DataFlow</x:v>
      </x:c>
      <x:c r="F2793" s="17" t="str">
        <x:v>Lite</x:v>
      </x:c>
      <x:c r="G2793" s="21" t="n">
        <x:v>18683</x:v>
      </x:c>
      <x:c r="H2793" s="21" t="n">
        <x:v>2322</x:v>
      </x:c>
      <x:c r="I2793" s="17" t="str">
        <x:v>Followup</x:v>
      </x:c>
    </x:row>
    <x:row r="2794" ht="23" customHeight="1">
      <x:c r="A2794" s="17" t="str">
        <x:v>U02788</x:v>
      </x:c>
      <x:c r="B2794" s="18" t="n">
        <x:v>46283</x:v>
      </x:c>
      <x:c r="C2794" s="17" t="str">
        <x:v>W0214</x:v>
      </x:c>
      <x:c r="D2794" s="17" t="str">
        <x:v>C004</x:v>
      </x:c>
      <x:c r="E2794" s="17" t="str">
        <x:v>DataFlow</x:v>
      </x:c>
      <x:c r="F2794" s="17" t="str">
        <x:v>Lite</x:v>
      </x:c>
      <x:c r="G2794" s="21" t="n">
        <x:v>21672</x:v>
      </x:c>
      <x:c r="H2794" s="21" t="n">
        <x:v>2877</x:v>
      </x:c>
      <x:c r="I2794" s="17" t="str">
        <x:v>Correction</x:v>
      </x:c>
    </x:row>
    <x:row r="2795" ht="23" customHeight="1">
      <x:c r="A2795" s="17" t="str">
        <x:v>U02789</x:v>
      </x:c>
      <x:c r="B2795" s="18" t="n">
        <x:v>46289</x:v>
      </x:c>
      <x:c r="C2795" s="17" t="str">
        <x:v>W0215</x:v>
      </x:c>
      <x:c r="D2795" s="17" t="str">
        <x:v>C004</x:v>
      </x:c>
      <x:c r="E2795" s="17" t="str">
        <x:v>CampaignChat</x:v>
      </x:c>
      <x:c r="F2795" s="17" t="str">
        <x:v>Lite</x:v>
      </x:c>
      <x:c r="G2795" s="21" t="n">
        <x:v>13512</x:v>
      </x:c>
      <x:c r="H2795" s="21" t="n">
        <x:v>4709</x:v>
      </x:c>
      <x:c r="I2795" s="17" t="str">
        <x:v>First attempt</x:v>
      </x:c>
    </x:row>
    <x:row r="2796" ht="23" customHeight="1">
      <x:c r="A2796" s="17" t="str">
        <x:v>U02790</x:v>
      </x:c>
      <x:c r="B2796" s="18" t="n">
        <x:v>46289</x:v>
      </x:c>
      <x:c r="C2796" s="17" t="str">
        <x:v>W0215</x:v>
      </x:c>
      <x:c r="D2796" s="17" t="str">
        <x:v>C004</x:v>
      </x:c>
      <x:c r="E2796" s="17" t="str">
        <x:v>CampaignChat</x:v>
      </x:c>
      <x:c r="F2796" s="17" t="str">
        <x:v>Lite</x:v>
      </x:c>
      <x:c r="G2796" s="21" t="n">
        <x:v>12869</x:v>
      </x:c>
      <x:c r="H2796" s="21" t="n">
        <x:v>3837</x:v>
      </x:c>
      <x:c r="I2796" s="17" t="str">
        <x:v>Followup</x:v>
      </x:c>
    </x:row>
    <x:row r="2797" ht="23" customHeight="1">
      <x:c r="A2797" s="17" t="str">
        <x:v>U02791</x:v>
      </x:c>
      <x:c r="B2797" s="18" t="n">
        <x:v>46289</x:v>
      </x:c>
      <x:c r="C2797" s="17" t="str">
        <x:v>W0215</x:v>
      </x:c>
      <x:c r="D2797" s="17" t="str">
        <x:v>C004</x:v>
      </x:c>
      <x:c r="E2797" s="17" t="str">
        <x:v>CampaignChat</x:v>
      </x:c>
      <x:c r="F2797" s="17" t="str">
        <x:v>Lite</x:v>
      </x:c>
      <x:c r="G2797" s="21" t="n">
        <x:v>14036</x:v>
      </x:c>
      <x:c r="H2797" s="21" t="n">
        <x:v>4446</x:v>
      </x:c>
      <x:c r="I2797" s="17" t="str">
        <x:v>Followup</x:v>
      </x:c>
    </x:row>
    <x:row r="2798" ht="23" customHeight="1">
      <x:c r="A2798" s="17" t="str">
        <x:v>U02792</x:v>
      </x:c>
      <x:c r="B2798" s="18" t="n">
        <x:v>46290</x:v>
      </x:c>
      <x:c r="C2798" s="17" t="str">
        <x:v>W0215</x:v>
      </x:c>
      <x:c r="D2798" s="17" t="str">
        <x:v>C004</x:v>
      </x:c>
      <x:c r="E2798" s="17" t="str">
        <x:v>CampaignChat</x:v>
      </x:c>
      <x:c r="F2798" s="17" t="str">
        <x:v>Lite</x:v>
      </x:c>
      <x:c r="G2798" s="21" t="n">
        <x:v>14698</x:v>
      </x:c>
      <x:c r="H2798" s="21" t="n">
        <x:v>4123</x:v>
      </x:c>
      <x:c r="I2798" s="17" t="str">
        <x:v>Followup</x:v>
      </x:c>
    </x:row>
    <x:row r="2799" ht="23" customHeight="1">
      <x:c r="A2799" s="17" t="str">
        <x:v>U02793</x:v>
      </x:c>
      <x:c r="B2799" s="18" t="n">
        <x:v>46290</x:v>
      </x:c>
      <x:c r="C2799" s="17" t="str">
        <x:v>W0215</x:v>
      </x:c>
      <x:c r="D2799" s="17" t="str">
        <x:v>C004</x:v>
      </x:c>
      <x:c r="E2799" s="17" t="str">
        <x:v>CampaignChat</x:v>
      </x:c>
      <x:c r="F2799" s="17" t="str">
        <x:v>Lite</x:v>
      </x:c>
      <x:c r="G2799" s="21" t="n">
        <x:v>13456</x:v>
      </x:c>
      <x:c r="H2799" s="21" t="n">
        <x:v>4361</x:v>
      </x:c>
      <x:c r="I2799" s="17" t="str">
        <x:v>Correction</x:v>
      </x:c>
    </x:row>
    <x:row r="2800" ht="23" customHeight="1">
      <x:c r="A2800" s="17" t="str">
        <x:v>U02794</x:v>
      </x:c>
      <x:c r="B2800" s="18" t="n">
        <x:v>46290</x:v>
      </x:c>
      <x:c r="C2800" s="17" t="str">
        <x:v>W0215</x:v>
      </x:c>
      <x:c r="D2800" s="17" t="str">
        <x:v>C004</x:v>
      </x:c>
      <x:c r="E2800" s="17" t="str">
        <x:v>CampaignChat</x:v>
      </x:c>
      <x:c r="F2800" s="17" t="str">
        <x:v>Lite</x:v>
      </x:c>
      <x:c r="G2800" s="21" t="n">
        <x:v>19900</x:v>
      </x:c>
      <x:c r="H2800" s="21" t="n">
        <x:v>5583</x:v>
      </x:c>
      <x:c r="I2800" s="17" t="str">
        <x:v>Followup</x:v>
      </x:c>
    </x:row>
    <x:row r="2801" ht="23" customHeight="1">
      <x:c r="A2801" s="17" t="str">
        <x:v>U02795</x:v>
      </x:c>
      <x:c r="B2801" s="18" t="n">
        <x:v>46293</x:v>
      </x:c>
      <x:c r="C2801" s="17" t="str">
        <x:v>W0215</x:v>
      </x:c>
      <x:c r="D2801" s="17" t="str">
        <x:v>C004</x:v>
      </x:c>
      <x:c r="E2801" s="17" t="str">
        <x:v>CampaignChat</x:v>
      </x:c>
      <x:c r="F2801" s="17" t="str">
        <x:v>Lite</x:v>
      </x:c>
      <x:c r="G2801" s="21" t="n">
        <x:v>10151</x:v>
      </x:c>
      <x:c r="H2801" s="21" t="n">
        <x:v>4928</x:v>
      </x:c>
      <x:c r="I2801" s="17" t="str">
        <x:v>Correction</x:v>
      </x:c>
    </x:row>
    <x:row r="2802" ht="23" customHeight="1">
      <x:c r="A2802" s="17" t="str">
        <x:v>U02796</x:v>
      </x:c>
      <x:c r="B2802" s="18" t="n">
        <x:v>46293</x:v>
      </x:c>
      <x:c r="C2802" s="17" t="str">
        <x:v>W0215</x:v>
      </x:c>
      <x:c r="D2802" s="17" t="str">
        <x:v>C004</x:v>
      </x:c>
      <x:c r="E2802" s="17" t="str">
        <x:v>CampaignChat</x:v>
      </x:c>
      <x:c r="F2802" s="17" t="str">
        <x:v>Lite</x:v>
      </x:c>
      <x:c r="G2802" s="21" t="n">
        <x:v>13911</x:v>
      </x:c>
      <x:c r="H2802" s="21" t="n">
        <x:v>4417</x:v>
      </x:c>
      <x:c r="I2802" s="17" t="str">
        <x:v>Correction</x:v>
      </x:c>
    </x:row>
    <x:row r="2803" ht="23" customHeight="1">
      <x:c r="A2803" s="17" t="str">
        <x:v>U02797</x:v>
      </x:c>
      <x:c r="B2803" s="18" t="n">
        <x:v>46293</x:v>
      </x:c>
      <x:c r="C2803" s="17" t="str">
        <x:v>W0215</x:v>
      </x:c>
      <x:c r="D2803" s="17" t="str">
        <x:v>C004</x:v>
      </x:c>
      <x:c r="E2803" s="17" t="str">
        <x:v>CampaignChat</x:v>
      </x:c>
      <x:c r="F2803" s="17" t="str">
        <x:v>Lite</x:v>
      </x:c>
      <x:c r="G2803" s="21" t="n">
        <x:v>13353</x:v>
      </x:c>
      <x:c r="H2803" s="21" t="n">
        <x:v>3543</x:v>
      </x:c>
      <x:c r="I2803" s="17" t="str">
        <x:v>Followup</x:v>
      </x:c>
    </x:row>
    <x:row r="2804" ht="23" customHeight="1">
      <x:c r="A2804" s="17" t="str">
        <x:v>U02798</x:v>
      </x:c>
      <x:c r="B2804" s="18" t="n">
        <x:v>46294</x:v>
      </x:c>
      <x:c r="C2804" s="17" t="str">
        <x:v>W0215</x:v>
      </x:c>
      <x:c r="D2804" s="17" t="str">
        <x:v>C004</x:v>
      </x:c>
      <x:c r="E2804" s="17" t="str">
        <x:v>CampaignChat</x:v>
      </x:c>
      <x:c r="F2804" s="17" t="str">
        <x:v>Lite</x:v>
      </x:c>
      <x:c r="G2804" s="21" t="n">
        <x:v>8729</x:v>
      </x:c>
      <x:c r="H2804" s="21" t="n">
        <x:v>4422</x:v>
      </x:c>
      <x:c r="I2804" s="17" t="str">
        <x:v>Followup</x:v>
      </x:c>
    </x:row>
    <x:row r="2805" ht="23" customHeight="1">
      <x:c r="A2805" s="17" t="str">
        <x:v>U02799</x:v>
      </x:c>
      <x:c r="B2805" s="18" t="n">
        <x:v>46294</x:v>
      </x:c>
      <x:c r="C2805" s="17" t="str">
        <x:v>W0215</x:v>
      </x:c>
      <x:c r="D2805" s="17" t="str">
        <x:v>C004</x:v>
      </x:c>
      <x:c r="E2805" s="17" t="str">
        <x:v>CampaignChat</x:v>
      </x:c>
      <x:c r="F2805" s="17" t="str">
        <x:v>Lite</x:v>
      </x:c>
      <x:c r="G2805" s="21" t="n">
        <x:v>9399</x:v>
      </x:c>
      <x:c r="H2805" s="21" t="n">
        <x:v>1898</x:v>
      </x:c>
      <x:c r="I2805" s="17" t="str">
        <x:v>Followup</x:v>
      </x:c>
    </x:row>
    <x:row r="2806" ht="23" customHeight="1">
      <x:c r="A2806" s="17" t="str">
        <x:v>U02800</x:v>
      </x:c>
      <x:c r="B2806" s="18" t="n">
        <x:v>46294</x:v>
      </x:c>
      <x:c r="C2806" s="17" t="str">
        <x:v>W0215</x:v>
      </x:c>
      <x:c r="D2806" s="17" t="str">
        <x:v>C004</x:v>
      </x:c>
      <x:c r="E2806" s="17" t="str">
        <x:v>CampaignChat</x:v>
      </x:c>
      <x:c r="F2806" s="17" t="str">
        <x:v>Lite</x:v>
      </x:c>
      <x:c r="G2806" s="21" t="n">
        <x:v>8299</x:v>
      </x:c>
      <x:c r="H2806" s="21" t="n">
        <x:v>3264</x:v>
      </x:c>
      <x:c r="I2806" s="17" t="str">
        <x:v>Followup</x:v>
      </x:c>
    </x:row>
    <x:row r="2807" ht="23" customHeight="1">
      <x:c r="A2807" s="17" t="str">
        <x:v>U02801</x:v>
      </x:c>
      <x:c r="B2807" s="18" t="n">
        <x:v>46274</x:v>
      </x:c>
      <x:c r="C2807" s="17" t="str">
        <x:v>W0216</x:v>
      </x:c>
      <x:c r="D2807" s="17" t="str">
        <x:v>C004</x:v>
      </x:c>
      <x:c r="E2807" s="17" t="str">
        <x:v>DataFlow</x:v>
      </x:c>
      <x:c r="F2807" s="17" t="str">
        <x:v>Lite</x:v>
      </x:c>
      <x:c r="G2807" s="21" t="n">
        <x:v>17956</x:v>
      </x:c>
      <x:c r="H2807" s="21" t="n">
        <x:v>1115</x:v>
      </x:c>
      <x:c r="I2807" s="17" t="str">
        <x:v>First attempt</x:v>
      </x:c>
    </x:row>
    <x:row r="2808" ht="23" customHeight="1">
      <x:c r="A2808" s="17" t="str">
        <x:v>U02802</x:v>
      </x:c>
      <x:c r="B2808" s="18" t="n">
        <x:v>46274</x:v>
      </x:c>
      <x:c r="C2808" s="17" t="str">
        <x:v>W0216</x:v>
      </x:c>
      <x:c r="D2808" s="17" t="str">
        <x:v>C004</x:v>
      </x:c>
      <x:c r="E2808" s="17" t="str">
        <x:v>DataFlow</x:v>
      </x:c>
      <x:c r="F2808" s="17" t="str">
        <x:v>Lite</x:v>
      </x:c>
      <x:c r="G2808" s="21" t="n">
        <x:v>12231</x:v>
      </x:c>
      <x:c r="H2808" s="21" t="n">
        <x:v>1717</x:v>
      </x:c>
      <x:c r="I2808" s="17" t="str">
        <x:v>Followup</x:v>
      </x:c>
    </x:row>
    <x:row r="2809" ht="23" customHeight="1">
      <x:c r="A2809" s="17" t="str">
        <x:v>U02803</x:v>
      </x:c>
      <x:c r="B2809" s="18" t="n">
        <x:v>46274</x:v>
      </x:c>
      <x:c r="C2809" s="17" t="str">
        <x:v>W0216</x:v>
      </x:c>
      <x:c r="D2809" s="17" t="str">
        <x:v>C004</x:v>
      </x:c>
      <x:c r="E2809" s="17" t="str">
        <x:v>DataFlow</x:v>
      </x:c>
      <x:c r="F2809" s="17" t="str">
        <x:v>Lite</x:v>
      </x:c>
      <x:c r="G2809" s="21" t="n">
        <x:v>19594</x:v>
      </x:c>
      <x:c r="H2809" s="21" t="n">
        <x:v>1341</x:v>
      </x:c>
      <x:c r="I2809" s="17" t="str">
        <x:v>Followup</x:v>
      </x:c>
    </x:row>
    <x:row r="2810" ht="23" customHeight="1">
      <x:c r="A2810" s="17" t="str">
        <x:v>U02804</x:v>
      </x:c>
      <x:c r="B2810" s="18" t="n">
        <x:v>46274</x:v>
      </x:c>
      <x:c r="C2810" s="17" t="str">
        <x:v>W0216</x:v>
      </x:c>
      <x:c r="D2810" s="17" t="str">
        <x:v>C004</x:v>
      </x:c>
      <x:c r="E2810" s="17" t="str">
        <x:v>DataFlow</x:v>
      </x:c>
      <x:c r="F2810" s="17" t="str">
        <x:v>Lite</x:v>
      </x:c>
      <x:c r="G2810" s="21" t="n">
        <x:v>8299</x:v>
      </x:c>
      <x:c r="H2810" s="21" t="n">
        <x:v>3910</x:v>
      </x:c>
      <x:c r="I2810" s="17" t="str">
        <x:v>Followup</x:v>
      </x:c>
    </x:row>
    <x:row r="2811" ht="23" customHeight="1">
      <x:c r="A2811" s="17" t="str">
        <x:v>U02805</x:v>
      </x:c>
      <x:c r="B2811" s="18" t="n">
        <x:v>46274</x:v>
      </x:c>
      <x:c r="C2811" s="17" t="str">
        <x:v>W0216</x:v>
      </x:c>
      <x:c r="D2811" s="17" t="str">
        <x:v>C004</x:v>
      </x:c>
      <x:c r="E2811" s="17" t="str">
        <x:v>DataFlow</x:v>
      </x:c>
      <x:c r="F2811" s="17" t="str">
        <x:v>Lite</x:v>
      </x:c>
      <x:c r="G2811" s="21" t="n">
        <x:v>18279</x:v>
      </x:c>
      <x:c r="H2811" s="21" t="n">
        <x:v>2133</x:v>
      </x:c>
      <x:c r="I2811" s="17" t="str">
        <x:v>Correction</x:v>
      </x:c>
    </x:row>
    <x:row r="2812" ht="23" customHeight="1">
      <x:c r="A2812" s="17" t="str">
        <x:v>U02806</x:v>
      </x:c>
      <x:c r="B2812" s="18" t="n">
        <x:v>46275</x:v>
      </x:c>
      <x:c r="C2812" s="17" t="str">
        <x:v>W0216</x:v>
      </x:c>
      <x:c r="D2812" s="17" t="str">
        <x:v>C004</x:v>
      </x:c>
      <x:c r="E2812" s="17" t="str">
        <x:v>DataFlow</x:v>
      </x:c>
      <x:c r="F2812" s="17" t="str">
        <x:v>Lite</x:v>
      </x:c>
      <x:c r="G2812" s="21" t="n">
        <x:v>8538</x:v>
      </x:c>
      <x:c r="H2812" s="21" t="n">
        <x:v>2454</x:v>
      </x:c>
      <x:c r="I2812" s="17" t="str">
        <x:v>Followup</x:v>
      </x:c>
    </x:row>
    <x:row r="2813" ht="23" customHeight="1">
      <x:c r="A2813" s="17" t="str">
        <x:v>U02807</x:v>
      </x:c>
      <x:c r="B2813" s="18" t="n">
        <x:v>46275</x:v>
      </x:c>
      <x:c r="C2813" s="17" t="str">
        <x:v>W0216</x:v>
      </x:c>
      <x:c r="D2813" s="17" t="str">
        <x:v>C004</x:v>
      </x:c>
      <x:c r="E2813" s="17" t="str">
        <x:v>DataFlow</x:v>
      </x:c>
      <x:c r="F2813" s="17" t="str">
        <x:v>Lite</x:v>
      </x:c>
      <x:c r="G2813" s="21" t="n">
        <x:v>17683</x:v>
      </x:c>
      <x:c r="H2813" s="21" t="n">
        <x:v>4097</x:v>
      </x:c>
      <x:c r="I2813" s="17" t="str">
        <x:v>Followup</x:v>
      </x:c>
    </x:row>
    <x:row r="2814" ht="23" customHeight="1">
      <x:c r="A2814" s="17" t="str">
        <x:v>U02808</x:v>
      </x:c>
      <x:c r="B2814" s="18" t="n">
        <x:v>46275</x:v>
      </x:c>
      <x:c r="C2814" s="17" t="str">
        <x:v>W0216</x:v>
      </x:c>
      <x:c r="D2814" s="17" t="str">
        <x:v>C004</x:v>
      </x:c>
      <x:c r="E2814" s="17" t="str">
        <x:v>DataFlow</x:v>
      </x:c>
      <x:c r="F2814" s="17" t="str">
        <x:v>Lite</x:v>
      </x:c>
      <x:c r="G2814" s="21" t="n">
        <x:v>12179</x:v>
      </x:c>
      <x:c r="H2814" s="21" t="n">
        <x:v>2856</x:v>
      </x:c>
      <x:c r="I2814" s="17" t="str">
        <x:v>Followup</x:v>
      </x:c>
    </x:row>
    <x:row r="2815" ht="23" customHeight="1">
      <x:c r="A2815" s="17" t="str">
        <x:v>U02809</x:v>
      </x:c>
      <x:c r="B2815" s="18" t="n">
        <x:v>46275</x:v>
      </x:c>
      <x:c r="C2815" s="17" t="str">
        <x:v>W0216</x:v>
      </x:c>
      <x:c r="D2815" s="17" t="str">
        <x:v>C004</x:v>
      </x:c>
      <x:c r="E2815" s="17" t="str">
        <x:v>DataFlow</x:v>
      </x:c>
      <x:c r="F2815" s="17" t="str">
        <x:v>Lite</x:v>
      </x:c>
      <x:c r="G2815" s="21" t="n">
        <x:v>12042</x:v>
      </x:c>
      <x:c r="H2815" s="21" t="n">
        <x:v>2817</x:v>
      </x:c>
      <x:c r="I2815" s="17" t="str">
        <x:v>Followup</x:v>
      </x:c>
    </x:row>
    <x:row r="2816" ht="23" customHeight="1">
      <x:c r="A2816" s="17" t="str">
        <x:v>U02810</x:v>
      </x:c>
      <x:c r="B2816" s="18" t="n">
        <x:v>46276</x:v>
      </x:c>
      <x:c r="C2816" s="17" t="str">
        <x:v>W0216</x:v>
      </x:c>
      <x:c r="D2816" s="17" t="str">
        <x:v>C004</x:v>
      </x:c>
      <x:c r="E2816" s="17" t="str">
        <x:v>DataFlow</x:v>
      </x:c>
      <x:c r="F2816" s="17" t="str">
        <x:v>Lite</x:v>
      </x:c>
      <x:c r="G2816" s="21" t="n">
        <x:v>10829</x:v>
      </x:c>
      <x:c r="H2816" s="21" t="n">
        <x:v>2098</x:v>
      </x:c>
      <x:c r="I2816" s="17" t="str">
        <x:v>Followup</x:v>
      </x:c>
    </x:row>
    <x:row r="2817" ht="23" customHeight="1">
      <x:c r="A2817" s="17" t="str">
        <x:v>U02811</x:v>
      </x:c>
      <x:c r="B2817" s="18" t="n">
        <x:v>46276</x:v>
      </x:c>
      <x:c r="C2817" s="17" t="str">
        <x:v>W0216</x:v>
      </x:c>
      <x:c r="D2817" s="17" t="str">
        <x:v>C004</x:v>
      </x:c>
      <x:c r="E2817" s="17" t="str">
        <x:v>DataFlow</x:v>
      </x:c>
      <x:c r="F2817" s="17" t="str">
        <x:v>Lite</x:v>
      </x:c>
      <x:c r="G2817" s="21" t="n">
        <x:v>16010</x:v>
      </x:c>
      <x:c r="H2817" s="21" t="n">
        <x:v>3534</x:v>
      </x:c>
      <x:c r="I2817" s="17" t="str">
        <x:v>Followup</x:v>
      </x:c>
    </x:row>
    <x:row r="2818" ht="23" customHeight="1">
      <x:c r="A2818" s="17" t="str">
        <x:v>U02812</x:v>
      </x:c>
      <x:c r="B2818" s="18" t="n">
        <x:v>46276</x:v>
      </x:c>
      <x:c r="C2818" s="17" t="str">
        <x:v>W0216</x:v>
      </x:c>
      <x:c r="D2818" s="17" t="str">
        <x:v>C004</x:v>
      </x:c>
      <x:c r="E2818" s="17" t="str">
        <x:v>DataFlow</x:v>
      </x:c>
      <x:c r="F2818" s="17" t="str">
        <x:v>Lite</x:v>
      </x:c>
      <x:c r="G2818" s="21" t="n">
        <x:v>7645</x:v>
      </x:c>
      <x:c r="H2818" s="21" t="n">
        <x:v>1622</x:v>
      </x:c>
      <x:c r="I2818" s="17" t="str">
        <x:v>Followup</x:v>
      </x:c>
    </x:row>
    <x:row r="2819" ht="23" customHeight="1">
      <x:c r="A2819" s="17" t="str">
        <x:v>U02813</x:v>
      </x:c>
      <x:c r="B2819" s="18" t="n">
        <x:v>46276</x:v>
      </x:c>
      <x:c r="C2819" s="17" t="str">
        <x:v>W0216</x:v>
      </x:c>
      <x:c r="D2819" s="17" t="str">
        <x:v>C004</x:v>
      </x:c>
      <x:c r="E2819" s="17" t="str">
        <x:v>DataFlow</x:v>
      </x:c>
      <x:c r="F2819" s="17" t="str">
        <x:v>Lite</x:v>
      </x:c>
      <x:c r="G2819" s="21" t="n">
        <x:v>18655</x:v>
      </x:c>
      <x:c r="H2819" s="21" t="n">
        <x:v>1612</x:v>
      </x:c>
      <x:c r="I2819" s="17" t="str">
        <x:v>Correction</x:v>
      </x:c>
    </x:row>
    <x:row r="2820" ht="23" customHeight="1">
      <x:c r="A2820" s="17" t="str">
        <x:v>U02814</x:v>
      </x:c>
      <x:c r="B2820" s="18" t="n">
        <x:v>46276</x:v>
      </x:c>
      <x:c r="C2820" s="17" t="str">
        <x:v>W0216</x:v>
      </x:c>
      <x:c r="D2820" s="17" t="str">
        <x:v>C004</x:v>
      </x:c>
      <x:c r="E2820" s="17" t="str">
        <x:v>DataFlow</x:v>
      </x:c>
      <x:c r="F2820" s="17" t="str">
        <x:v>Lite</x:v>
      </x:c>
      <x:c r="G2820" s="21" t="n">
        <x:v>14539</x:v>
      </x:c>
      <x:c r="H2820" s="21" t="n">
        <x:v>3163</x:v>
      </x:c>
      <x:c r="I2820" s="17" t="str">
        <x:v>Correction</x:v>
      </x:c>
    </x:row>
    <x:row r="2821" ht="23" customHeight="1">
      <x:c r="A2821" s="17" t="str">
        <x:v>U02815</x:v>
      </x:c>
      <x:c r="B2821" s="18" t="n">
        <x:v>46279</x:v>
      </x:c>
      <x:c r="C2821" s="17" t="str">
        <x:v>W0216</x:v>
      </x:c>
      <x:c r="D2821" s="17" t="str">
        <x:v>C004</x:v>
      </x:c>
      <x:c r="E2821" s="17" t="str">
        <x:v>DataFlow</x:v>
      </x:c>
      <x:c r="F2821" s="17" t="str">
        <x:v>Lite</x:v>
      </x:c>
      <x:c r="G2821" s="21" t="n">
        <x:v>13610</x:v>
      </x:c>
      <x:c r="H2821" s="21" t="n">
        <x:v>2576</x:v>
      </x:c>
      <x:c r="I2821" s="17" t="str">
        <x:v>Followup</x:v>
      </x:c>
    </x:row>
    <x:row r="2822" ht="23" customHeight="1">
      <x:c r="A2822" s="17" t="str">
        <x:v>U02816</x:v>
      </x:c>
      <x:c r="B2822" s="18" t="n">
        <x:v>46279</x:v>
      </x:c>
      <x:c r="C2822" s="17" t="str">
        <x:v>W0216</x:v>
      </x:c>
      <x:c r="D2822" s="17" t="str">
        <x:v>C004</x:v>
      </x:c>
      <x:c r="E2822" s="17" t="str">
        <x:v>DataFlow</x:v>
      </x:c>
      <x:c r="F2822" s="17" t="str">
        <x:v>Lite</x:v>
      </x:c>
      <x:c r="G2822" s="21" t="n">
        <x:v>13693</x:v>
      </x:c>
      <x:c r="H2822" s="21" t="n">
        <x:v>3371</x:v>
      </x:c>
      <x:c r="I2822" s="17" t="str">
        <x:v>Followup</x:v>
      </x:c>
    </x:row>
    <x:row r="2823" ht="23" customHeight="1">
      <x:c r="A2823" s="17" t="str">
        <x:v>U02817</x:v>
      </x:c>
      <x:c r="B2823" s="18" t="n">
        <x:v>46279</x:v>
      </x:c>
      <x:c r="C2823" s="17" t="str">
        <x:v>W0216</x:v>
      </x:c>
      <x:c r="D2823" s="17" t="str">
        <x:v>C004</x:v>
      </x:c>
      <x:c r="E2823" s="17" t="str">
        <x:v>DataFlow</x:v>
      </x:c>
      <x:c r="F2823" s="17" t="str">
        <x:v>Lite</x:v>
      </x:c>
      <x:c r="G2823" s="21" t="n">
        <x:v>12685</x:v>
      </x:c>
      <x:c r="H2823" s="21" t="n">
        <x:v>3744</x:v>
      </x:c>
      <x:c r="I2823" s="17" t="str">
        <x:v>Followup</x:v>
      </x:c>
    </x:row>
    <x:row r="2824" ht="23" customHeight="1">
      <x:c r="A2824" s="17" t="str">
        <x:v>U02818</x:v>
      </x:c>
      <x:c r="B2824" s="18" t="n">
        <x:v>46279</x:v>
      </x:c>
      <x:c r="C2824" s="17" t="str">
        <x:v>W0216</x:v>
      </x:c>
      <x:c r="D2824" s="17" t="str">
        <x:v>C004</x:v>
      </x:c>
      <x:c r="E2824" s="17" t="str">
        <x:v>DataFlow</x:v>
      </x:c>
      <x:c r="F2824" s="17" t="str">
        <x:v>Lite</x:v>
      </x:c>
      <x:c r="G2824" s="21" t="n">
        <x:v>14956</x:v>
      </x:c>
      <x:c r="H2824" s="21" t="n">
        <x:v>1424</x:v>
      </x:c>
      <x:c r="I2824" s="17" t="str">
        <x:v>Followup</x:v>
      </x:c>
    </x:row>
    <x:row r="2825" ht="23" customHeight="1">
      <x:c r="A2825" s="17" t="str">
        <x:v>U02819</x:v>
      </x:c>
      <x:c r="B2825" s="18" t="n">
        <x:v>46267</x:v>
      </x:c>
      <x:c r="C2825" s="17" t="str">
        <x:v>W0218</x:v>
      </x:c>
      <x:c r="D2825" s="17" t="str">
        <x:v>C004</x:v>
      </x:c>
      <x:c r="E2825" s="17" t="str">
        <x:v>CopyStudio</x:v>
      </x:c>
      <x:c r="F2825" s="17" t="str">
        <x:v>Lite</x:v>
      </x:c>
      <x:c r="G2825" s="21" t="n">
        <x:v>24749</x:v>
      </x:c>
      <x:c r="H2825" s="21" t="n">
        <x:v>4017</x:v>
      </x:c>
      <x:c r="I2825" s="17" t="str">
        <x:v>First attempt</x:v>
      </x:c>
    </x:row>
    <x:row r="2826" ht="23" customHeight="1">
      <x:c r="A2826" s="17" t="str">
        <x:v>U02820</x:v>
      </x:c>
      <x:c r="B2826" s="18" t="n">
        <x:v>46267</x:v>
      </x:c>
      <x:c r="C2826" s="17" t="str">
        <x:v>W0218</x:v>
      </x:c>
      <x:c r="D2826" s="17" t="str">
        <x:v>C004</x:v>
      </x:c>
      <x:c r="E2826" s="17" t="str">
        <x:v>CopyStudio</x:v>
      </x:c>
      <x:c r="F2826" s="17" t="str">
        <x:v>Lite</x:v>
      </x:c>
      <x:c r="G2826" s="21" t="n">
        <x:v>34654</x:v>
      </x:c>
      <x:c r="H2826" s="21" t="n">
        <x:v>9132</x:v>
      </x:c>
      <x:c r="I2826" s="17" t="str">
        <x:v>Followup</x:v>
      </x:c>
    </x:row>
    <x:row r="2827" ht="23" customHeight="1">
      <x:c r="A2827" s="17" t="str">
        <x:v>U02821</x:v>
      </x:c>
      <x:c r="B2827" s="18" t="n">
        <x:v>46267</x:v>
      </x:c>
      <x:c r="C2827" s="17" t="str">
        <x:v>W0218</x:v>
      </x:c>
      <x:c r="D2827" s="17" t="str">
        <x:v>C004</x:v>
      </x:c>
      <x:c r="E2827" s="17" t="str">
        <x:v>CopyStudio</x:v>
      </x:c>
      <x:c r="F2827" s="17" t="str">
        <x:v>Lite</x:v>
      </x:c>
      <x:c r="G2827" s="21" t="n">
        <x:v>43569</x:v>
      </x:c>
      <x:c r="H2827" s="21" t="n">
        <x:v>8112</x:v>
      </x:c>
      <x:c r="I2827" s="17" t="str">
        <x:v>Followup</x:v>
      </x:c>
    </x:row>
    <x:row r="2828" ht="23" customHeight="1">
      <x:c r="A2828" s="17" t="str">
        <x:v>U02822</x:v>
      </x:c>
      <x:c r="B2828" s="18" t="n">
        <x:v>46268</x:v>
      </x:c>
      <x:c r="C2828" s="17" t="str">
        <x:v>W0218</x:v>
      </x:c>
      <x:c r="D2828" s="17" t="str">
        <x:v>C004</x:v>
      </x:c>
      <x:c r="E2828" s="17" t="str">
        <x:v>CopyStudio</x:v>
      </x:c>
      <x:c r="F2828" s="17" t="str">
        <x:v>Lite</x:v>
      </x:c>
      <x:c r="G2828" s="21" t="n">
        <x:v>37112</x:v>
      </x:c>
      <x:c r="H2828" s="21" t="n">
        <x:v>5978</x:v>
      </x:c>
      <x:c r="I2828" s="17" t="str">
        <x:v>Followup</x:v>
      </x:c>
    </x:row>
    <x:row r="2829" ht="23" customHeight="1">
      <x:c r="A2829" s="17" t="str">
        <x:v>U02823</x:v>
      </x:c>
      <x:c r="B2829" s="18" t="n">
        <x:v>46268</x:v>
      </x:c>
      <x:c r="C2829" s="17" t="str">
        <x:v>W0218</x:v>
      </x:c>
      <x:c r="D2829" s="17" t="str">
        <x:v>C004</x:v>
      </x:c>
      <x:c r="E2829" s="17" t="str">
        <x:v>CopyStudio</x:v>
      </x:c>
      <x:c r="F2829" s="17" t="str">
        <x:v>Lite</x:v>
      </x:c>
      <x:c r="G2829" s="21" t="n">
        <x:v>23801</x:v>
      </x:c>
      <x:c r="H2829" s="21" t="n">
        <x:v>2865</x:v>
      </x:c>
      <x:c r="I2829" s="17" t="str">
        <x:v>Correction</x:v>
      </x:c>
    </x:row>
    <x:row r="2830" ht="23" customHeight="1">
      <x:c r="A2830" s="17" t="str">
        <x:v>U02824</x:v>
      </x:c>
      <x:c r="B2830" s="18" t="n">
        <x:v>46269</x:v>
      </x:c>
      <x:c r="C2830" s="17" t="str">
        <x:v>W0218</x:v>
      </x:c>
      <x:c r="D2830" s="17" t="str">
        <x:v>C004</x:v>
      </x:c>
      <x:c r="E2830" s="17" t="str">
        <x:v>CopyStudio</x:v>
      </x:c>
      <x:c r="F2830" s="17" t="str">
        <x:v>Lite</x:v>
      </x:c>
      <x:c r="G2830" s="21" t="n">
        <x:v>33736</x:v>
      </x:c>
      <x:c r="H2830" s="21" t="n">
        <x:v>3794</x:v>
      </x:c>
      <x:c r="I2830" s="17" t="str">
        <x:v>Followup</x:v>
      </x:c>
    </x:row>
    <x:row r="2831" ht="23" customHeight="1">
      <x:c r="A2831" s="17" t="str">
        <x:v>U02825</x:v>
      </x:c>
      <x:c r="B2831" s="18" t="n">
        <x:v>46269</x:v>
      </x:c>
      <x:c r="C2831" s="17" t="str">
        <x:v>W0218</x:v>
      </x:c>
      <x:c r="D2831" s="17" t="str">
        <x:v>C004</x:v>
      </x:c>
      <x:c r="E2831" s="17" t="str">
        <x:v>CopyStudio</x:v>
      </x:c>
      <x:c r="F2831" s="17" t="str">
        <x:v>Lite</x:v>
      </x:c>
      <x:c r="G2831" s="21" t="n">
        <x:v>23420</x:v>
      </x:c>
      <x:c r="H2831" s="21" t="n">
        <x:v>2892</x:v>
      </x:c>
      <x:c r="I2831" s="17" t="str">
        <x:v>Followup</x:v>
      </x:c>
    </x:row>
    <x:row r="2832" ht="23" customHeight="1">
      <x:c r="A2832" s="17" t="str">
        <x:v>U02826</x:v>
      </x:c>
      <x:c r="B2832" s="18" t="n">
        <x:v>46273</x:v>
      </x:c>
      <x:c r="C2832" s="17" t="str">
        <x:v>W0218</x:v>
      </x:c>
      <x:c r="D2832" s="17" t="str">
        <x:v>C004</x:v>
      </x:c>
      <x:c r="E2832" s="17" t="str">
        <x:v>CopyStudio</x:v>
      </x:c>
      <x:c r="F2832" s="17" t="str">
        <x:v>Lite</x:v>
      </x:c>
      <x:c r="G2832" s="21" t="n">
        <x:v>26411</x:v>
      </x:c>
      <x:c r="H2832" s="21" t="n">
        <x:v>3227</x:v>
      </x:c>
      <x:c r="I2832" s="17" t="str">
        <x:v>Correction</x:v>
      </x:c>
    </x:row>
    <x:row r="2833" ht="23" customHeight="1">
      <x:c r="A2833" s="17" t="str">
        <x:v>U02827</x:v>
      </x:c>
      <x:c r="B2833" s="18" t="n">
        <x:v>46273</x:v>
      </x:c>
      <x:c r="C2833" s="17" t="str">
        <x:v>W0218</x:v>
      </x:c>
      <x:c r="D2833" s="17" t="str">
        <x:v>C004</x:v>
      </x:c>
      <x:c r="E2833" s="17" t="str">
        <x:v>CopyStudio</x:v>
      </x:c>
      <x:c r="F2833" s="17" t="str">
        <x:v>Lite</x:v>
      </x:c>
      <x:c r="G2833" s="21" t="n">
        <x:v>20573</x:v>
      </x:c>
      <x:c r="H2833" s="21" t="n">
        <x:v>9017</x:v>
      </x:c>
      <x:c r="I2833" s="17" t="str">
        <x:v>Followup</x:v>
      </x:c>
    </x:row>
    <x:row r="2834" ht="23" customHeight="1">
      <x:c r="A2834" s="17" t="str">
        <x:v>U02828</x:v>
      </x:c>
      <x:c r="B2834" s="18" t="n">
        <x:v>46279</x:v>
      </x:c>
      <x:c r="C2834" s="17" t="str">
        <x:v>W0219</x:v>
      </x:c>
      <x:c r="D2834" s="17" t="str">
        <x:v>C004</x:v>
      </x:c>
      <x:c r="E2834" s="17" t="str">
        <x:v>CopyStudio</x:v>
      </x:c>
      <x:c r="F2834" s="17" t="str">
        <x:v>Lite</x:v>
      </x:c>
      <x:c r="G2834" s="21" t="n">
        <x:v>20411</x:v>
      </x:c>
      <x:c r="H2834" s="21" t="n">
        <x:v>3341</x:v>
      </x:c>
      <x:c r="I2834" s="17" t="str">
        <x:v>First attempt</x:v>
      </x:c>
    </x:row>
    <x:row r="2835" ht="23" customHeight="1">
      <x:c r="A2835" s="17" t="str">
        <x:v>U02829</x:v>
      </x:c>
      <x:c r="B2835" s="18" t="n">
        <x:v>46279</x:v>
      </x:c>
      <x:c r="C2835" s="17" t="str">
        <x:v>W0219</x:v>
      </x:c>
      <x:c r="D2835" s="17" t="str">
        <x:v>C004</x:v>
      </x:c>
      <x:c r="E2835" s="17" t="str">
        <x:v>CopyStudio</x:v>
      </x:c>
      <x:c r="F2835" s="17" t="str">
        <x:v>Lite</x:v>
      </x:c>
      <x:c r="G2835" s="21" t="n">
        <x:v>18509</x:v>
      </x:c>
      <x:c r="H2835" s="21" t="n">
        <x:v>2290</x:v>
      </x:c>
      <x:c r="I2835" s="17" t="str">
        <x:v>Followup</x:v>
      </x:c>
    </x:row>
    <x:row r="2836" ht="23" customHeight="1">
      <x:c r="A2836" s="17" t="str">
        <x:v>U02830</x:v>
      </x:c>
      <x:c r="B2836" s="18" t="n">
        <x:v>46279</x:v>
      </x:c>
      <x:c r="C2836" s="17" t="str">
        <x:v>W0219</x:v>
      </x:c>
      <x:c r="D2836" s="17" t="str">
        <x:v>C004</x:v>
      </x:c>
      <x:c r="E2836" s="17" t="str">
        <x:v>CopyStudio</x:v>
      </x:c>
      <x:c r="F2836" s="17" t="str">
        <x:v>Lite</x:v>
      </x:c>
      <x:c r="G2836" s="21" t="n">
        <x:v>20996</x:v>
      </x:c>
      <x:c r="H2836" s="21" t="n">
        <x:v>6057</x:v>
      </x:c>
      <x:c r="I2836" s="17" t="str">
        <x:v>Correction</x:v>
      </x:c>
    </x:row>
    <x:row r="2837" ht="23" customHeight="1">
      <x:c r="A2837" s="17" t="str">
        <x:v>U02831</x:v>
      </x:c>
      <x:c r="B2837" s="18" t="n">
        <x:v>46279</x:v>
      </x:c>
      <x:c r="C2837" s="17" t="str">
        <x:v>W0219</x:v>
      </x:c>
      <x:c r="D2837" s="17" t="str">
        <x:v>C004</x:v>
      </x:c>
      <x:c r="E2837" s="17" t="str">
        <x:v>CopyStudio</x:v>
      </x:c>
      <x:c r="F2837" s="17" t="str">
        <x:v>Lite</x:v>
      </x:c>
      <x:c r="G2837" s="21" t="n">
        <x:v>12967</x:v>
      </x:c>
      <x:c r="H2837" s="21" t="n">
        <x:v>2356</x:v>
      </x:c>
      <x:c r="I2837" s="17" t="str">
        <x:v>Followup</x:v>
      </x:c>
    </x:row>
    <x:row r="2838" ht="23" customHeight="1">
      <x:c r="A2838" s="17" t="str">
        <x:v>U02832</x:v>
      </x:c>
      <x:c r="B2838" s="18" t="n">
        <x:v>46280</x:v>
      </x:c>
      <x:c r="C2838" s="17" t="str">
        <x:v>W0219</x:v>
      </x:c>
      <x:c r="D2838" s="17" t="str">
        <x:v>C004</x:v>
      </x:c>
      <x:c r="E2838" s="17" t="str">
        <x:v>CopyStudio</x:v>
      </x:c>
      <x:c r="F2838" s="17" t="str">
        <x:v>Lite</x:v>
      </x:c>
      <x:c r="G2838" s="21" t="n">
        <x:v>12677</x:v>
      </x:c>
      <x:c r="H2838" s="21" t="n">
        <x:v>5811</x:v>
      </x:c>
      <x:c r="I2838" s="17" t="str">
        <x:v>Followup</x:v>
      </x:c>
    </x:row>
    <x:row r="2839" ht="23" customHeight="1">
      <x:c r="A2839" s="17" t="str">
        <x:v>U02833</x:v>
      </x:c>
      <x:c r="B2839" s="18" t="n">
        <x:v>46280</x:v>
      </x:c>
      <x:c r="C2839" s="17" t="str">
        <x:v>W0219</x:v>
      </x:c>
      <x:c r="D2839" s="17" t="str">
        <x:v>C004</x:v>
      </x:c>
      <x:c r="E2839" s="17" t="str">
        <x:v>CopyStudio</x:v>
      </x:c>
      <x:c r="F2839" s="17" t="str">
        <x:v>Lite</x:v>
      </x:c>
      <x:c r="G2839" s="21" t="n">
        <x:v>18840</x:v>
      </x:c>
      <x:c r="H2839" s="21" t="n">
        <x:v>2958</x:v>
      </x:c>
      <x:c r="I2839" s="17" t="str">
        <x:v>Followup</x:v>
      </x:c>
    </x:row>
    <x:row r="2840" ht="23" customHeight="1">
      <x:c r="A2840" s="17" t="str">
        <x:v>U02834</x:v>
      </x:c>
      <x:c r="B2840" s="18" t="n">
        <x:v>46280</x:v>
      </x:c>
      <x:c r="C2840" s="17" t="str">
        <x:v>W0219</x:v>
      </x:c>
      <x:c r="D2840" s="17" t="str">
        <x:v>C004</x:v>
      </x:c>
      <x:c r="E2840" s="17" t="str">
        <x:v>CopyStudio</x:v>
      </x:c>
      <x:c r="F2840" s="17" t="str">
        <x:v>Lite</x:v>
      </x:c>
      <x:c r="G2840" s="21" t="n">
        <x:v>13131</x:v>
      </x:c>
      <x:c r="H2840" s="21" t="n">
        <x:v>3504</x:v>
      </x:c>
      <x:c r="I2840" s="17" t="str">
        <x:v>Followup</x:v>
      </x:c>
    </x:row>
    <x:row r="2841" ht="23" customHeight="1">
      <x:c r="A2841" s="17" t="str">
        <x:v>U02835</x:v>
      </x:c>
      <x:c r="B2841" s="18" t="n">
        <x:v>46281</x:v>
      </x:c>
      <x:c r="C2841" s="17" t="str">
        <x:v>W0219</x:v>
      </x:c>
      <x:c r="D2841" s="17" t="str">
        <x:v>C004</x:v>
      </x:c>
      <x:c r="E2841" s="17" t="str">
        <x:v>CopyStudio</x:v>
      </x:c>
      <x:c r="F2841" s="17" t="str">
        <x:v>Lite</x:v>
      </x:c>
      <x:c r="G2841" s="21" t="n">
        <x:v>13384</x:v>
      </x:c>
      <x:c r="H2841" s="21" t="n">
        <x:v>5052</x:v>
      </x:c>
      <x:c r="I2841" s="17" t="str">
        <x:v>Followup</x:v>
      </x:c>
    </x:row>
    <x:row r="2842" ht="23" customHeight="1">
      <x:c r="A2842" s="17" t="str">
        <x:v>U02836</x:v>
      </x:c>
      <x:c r="B2842" s="18" t="n">
        <x:v>46281</x:v>
      </x:c>
      <x:c r="C2842" s="17" t="str">
        <x:v>W0219</x:v>
      </x:c>
      <x:c r="D2842" s="17" t="str">
        <x:v>C004</x:v>
      </x:c>
      <x:c r="E2842" s="17" t="str">
        <x:v>CopyStudio</x:v>
      </x:c>
      <x:c r="F2842" s="17" t="str">
        <x:v>Lite</x:v>
      </x:c>
      <x:c r="G2842" s="21" t="n">
        <x:v>12137</x:v>
      </x:c>
      <x:c r="H2842" s="21" t="n">
        <x:v>3339</x:v>
      </x:c>
      <x:c r="I2842" s="17" t="str">
        <x:v>Correction</x:v>
      </x:c>
    </x:row>
    <x:row r="2843" ht="23" customHeight="1">
      <x:c r="A2843" s="17" t="str">
        <x:v>U02837</x:v>
      </x:c>
      <x:c r="B2843" s="18" t="n">
        <x:v>46281</x:v>
      </x:c>
      <x:c r="C2843" s="17" t="str">
        <x:v>W0219</x:v>
      </x:c>
      <x:c r="D2843" s="17" t="str">
        <x:v>C004</x:v>
      </x:c>
      <x:c r="E2843" s="17" t="str">
        <x:v>CopyStudio</x:v>
      </x:c>
      <x:c r="F2843" s="17" t="str">
        <x:v>Lite</x:v>
      </x:c>
      <x:c r="G2843" s="21" t="n">
        <x:v>28890</x:v>
      </x:c>
      <x:c r="H2843" s="21" t="n">
        <x:v>3704</x:v>
      </x:c>
      <x:c r="I2843" s="17" t="str">
        <x:v>Followup</x:v>
      </x:c>
    </x:row>
    <x:row r="2844" ht="23" customHeight="1">
      <x:c r="A2844" s="17" t="str">
        <x:v>U02838</x:v>
      </x:c>
      <x:c r="B2844" s="18" t="n">
        <x:v>46281</x:v>
      </x:c>
      <x:c r="C2844" s="17" t="str">
        <x:v>W0219</x:v>
      </x:c>
      <x:c r="D2844" s="17" t="str">
        <x:v>C004</x:v>
      </x:c>
      <x:c r="E2844" s="17" t="str">
        <x:v>CopyStudio</x:v>
      </x:c>
      <x:c r="F2844" s="17" t="str">
        <x:v>Lite</x:v>
      </x:c>
      <x:c r="G2844" s="21" t="n">
        <x:v>14788</x:v>
      </x:c>
      <x:c r="H2844" s="21" t="n">
        <x:v>2510</x:v>
      </x:c>
      <x:c r="I2844" s="17" t="str">
        <x:v>Followup</x:v>
      </x:c>
    </x:row>
    <x:row r="2845" ht="23" customHeight="1">
      <x:c r="A2845" s="17" t="str">
        <x:v>U02839</x:v>
      </x:c>
      <x:c r="B2845" s="18" t="n">
        <x:v>46282</x:v>
      </x:c>
      <x:c r="C2845" s="17" t="str">
        <x:v>W0219</x:v>
      </x:c>
      <x:c r="D2845" s="17" t="str">
        <x:v>C004</x:v>
      </x:c>
      <x:c r="E2845" s="17" t="str">
        <x:v>CopyStudio</x:v>
      </x:c>
      <x:c r="F2845" s="17" t="str">
        <x:v>Lite</x:v>
      </x:c>
      <x:c r="G2845" s="21" t="n">
        <x:v>17128</x:v>
      </x:c>
      <x:c r="H2845" s="21" t="n">
        <x:v>1818</x:v>
      </x:c>
      <x:c r="I2845" s="17" t="str">
        <x:v>Followup</x:v>
      </x:c>
    </x:row>
    <x:row r="2846" ht="23" customHeight="1">
      <x:c r="A2846" s="17" t="str">
        <x:v>U02840</x:v>
      </x:c>
      <x:c r="B2846" s="18" t="n">
        <x:v>46282</x:v>
      </x:c>
      <x:c r="C2846" s="17" t="str">
        <x:v>W0219</x:v>
      </x:c>
      <x:c r="D2846" s="17" t="str">
        <x:v>C004</x:v>
      </x:c>
      <x:c r="E2846" s="17" t="str">
        <x:v>CopyStudio</x:v>
      </x:c>
      <x:c r="F2846" s="17" t="str">
        <x:v>Lite</x:v>
      </x:c>
      <x:c r="G2846" s="21" t="n">
        <x:v>24574</x:v>
      </x:c>
      <x:c r="H2846" s="21" t="n">
        <x:v>5830</x:v>
      </x:c>
      <x:c r="I2846" s="17" t="str">
        <x:v>Followup</x:v>
      </x:c>
    </x:row>
    <x:row r="2847" ht="23" customHeight="1">
      <x:c r="A2847" s="17" t="str">
        <x:v>U02841</x:v>
      </x:c>
      <x:c r="B2847" s="18" t="n">
        <x:v>46282</x:v>
      </x:c>
      <x:c r="C2847" s="17" t="str">
        <x:v>W0219</x:v>
      </x:c>
      <x:c r="D2847" s="17" t="str">
        <x:v>C004</x:v>
      </x:c>
      <x:c r="E2847" s="17" t="str">
        <x:v>CopyStudio</x:v>
      </x:c>
      <x:c r="F2847" s="17" t="str">
        <x:v>Lite</x:v>
      </x:c>
      <x:c r="G2847" s="21" t="n">
        <x:v>24067</x:v>
      </x:c>
      <x:c r="H2847" s="21" t="n">
        <x:v>1980</x:v>
      </x:c>
      <x:c r="I2847" s="17" t="str">
        <x:v>Correction</x:v>
      </x:c>
    </x:row>
    <x:row r="2848" ht="23" customHeight="1">
      <x:c r="A2848" s="17" t="str">
        <x:v>U02842</x:v>
      </x:c>
      <x:c r="B2848" s="18" t="n">
        <x:v>46288</x:v>
      </x:c>
      <x:c r="C2848" s="17" t="str">
        <x:v>W0220</x:v>
      </x:c>
      <x:c r="D2848" s="17" t="str">
        <x:v>C004</x:v>
      </x:c>
      <x:c r="E2848" s="17" t="str">
        <x:v>CampaignChat</x:v>
      </x:c>
      <x:c r="F2848" s="17" t="str">
        <x:v>Lite</x:v>
      </x:c>
      <x:c r="G2848" s="21" t="n">
        <x:v>17973</x:v>
      </x:c>
      <x:c r="H2848" s="21" t="n">
        <x:v>3621</x:v>
      </x:c>
      <x:c r="I2848" s="17" t="str">
        <x:v>First attempt</x:v>
      </x:c>
    </x:row>
    <x:row r="2849" ht="23" customHeight="1">
      <x:c r="A2849" s="17" t="str">
        <x:v>U02843</x:v>
      </x:c>
      <x:c r="B2849" s="18" t="n">
        <x:v>46288</x:v>
      </x:c>
      <x:c r="C2849" s="17" t="str">
        <x:v>W0220</x:v>
      </x:c>
      <x:c r="D2849" s="17" t="str">
        <x:v>C004</x:v>
      </x:c>
      <x:c r="E2849" s="17" t="str">
        <x:v>CampaignChat</x:v>
      </x:c>
      <x:c r="F2849" s="17" t="str">
        <x:v>Lite</x:v>
      </x:c>
      <x:c r="G2849" s="21" t="n">
        <x:v>28296</x:v>
      </x:c>
      <x:c r="H2849" s="21" t="n">
        <x:v>4877</x:v>
      </x:c>
      <x:c r="I2849" s="17" t="str">
        <x:v>Correction</x:v>
      </x:c>
    </x:row>
    <x:row r="2850" ht="23" customHeight="1">
      <x:c r="A2850" s="17" t="str">
        <x:v>U02844</x:v>
      </x:c>
      <x:c r="B2850" s="18" t="n">
        <x:v>46288</x:v>
      </x:c>
      <x:c r="C2850" s="17" t="str">
        <x:v>W0220</x:v>
      </x:c>
      <x:c r="D2850" s="17" t="str">
        <x:v>C004</x:v>
      </x:c>
      <x:c r="E2850" s="17" t="str">
        <x:v>CampaignChat</x:v>
      </x:c>
      <x:c r="F2850" s="17" t="str">
        <x:v>Lite</x:v>
      </x:c>
      <x:c r="G2850" s="21" t="n">
        <x:v>30114</x:v>
      </x:c>
      <x:c r="H2850" s="21" t="n">
        <x:v>5401</x:v>
      </x:c>
      <x:c r="I2850" s="17" t="str">
        <x:v>Followup</x:v>
      </x:c>
    </x:row>
    <x:row r="2851" ht="23" customHeight="1">
      <x:c r="A2851" s="17" t="str">
        <x:v>U02845</x:v>
      </x:c>
      <x:c r="B2851" s="18" t="n">
        <x:v>46289</x:v>
      </x:c>
      <x:c r="C2851" s="17" t="str">
        <x:v>W0220</x:v>
      </x:c>
      <x:c r="D2851" s="17" t="str">
        <x:v>C004</x:v>
      </x:c>
      <x:c r="E2851" s="17" t="str">
        <x:v>CampaignChat</x:v>
      </x:c>
      <x:c r="F2851" s="17" t="str">
        <x:v>Lite</x:v>
      </x:c>
      <x:c r="G2851" s="21" t="n">
        <x:v>24956</x:v>
      </x:c>
      <x:c r="H2851" s="21" t="n">
        <x:v>5374</x:v>
      </x:c>
      <x:c r="I2851" s="17" t="str">
        <x:v>Correction</x:v>
      </x:c>
    </x:row>
    <x:row r="2852" ht="23" customHeight="1">
      <x:c r="A2852" s="17" t="str">
        <x:v>U02846</x:v>
      </x:c>
      <x:c r="B2852" s="18" t="n">
        <x:v>46289</x:v>
      </x:c>
      <x:c r="C2852" s="17" t="str">
        <x:v>W0220</x:v>
      </x:c>
      <x:c r="D2852" s="17" t="str">
        <x:v>C004</x:v>
      </x:c>
      <x:c r="E2852" s="17" t="str">
        <x:v>CampaignChat</x:v>
      </x:c>
      <x:c r="F2852" s="17" t="str">
        <x:v>Lite</x:v>
      </x:c>
      <x:c r="G2852" s="21" t="n">
        <x:v>22421</x:v>
      </x:c>
      <x:c r="H2852" s="21" t="n">
        <x:v>3191</x:v>
      </x:c>
      <x:c r="I2852" s="17" t="str">
        <x:v>Correction</x:v>
      </x:c>
    </x:row>
    <x:row r="2853" ht="23" customHeight="1">
      <x:c r="A2853" s="17" t="str">
        <x:v>U02847</x:v>
      </x:c>
      <x:c r="B2853" s="18" t="n">
        <x:v>46290</x:v>
      </x:c>
      <x:c r="C2853" s="17" t="str">
        <x:v>W0220</x:v>
      </x:c>
      <x:c r="D2853" s="17" t="str">
        <x:v>C004</x:v>
      </x:c>
      <x:c r="E2853" s="17" t="str">
        <x:v>CampaignChat</x:v>
      </x:c>
      <x:c r="F2853" s="17" t="str">
        <x:v>Lite</x:v>
      </x:c>
      <x:c r="G2853" s="21" t="n">
        <x:v>20397</x:v>
      </x:c>
      <x:c r="H2853" s="21" t="n">
        <x:v>4568</x:v>
      </x:c>
      <x:c r="I2853" s="17" t="str">
        <x:v>Followup</x:v>
      </x:c>
    </x:row>
    <x:row r="2854" ht="23" customHeight="1">
      <x:c r="A2854" s="17" t="str">
        <x:v>U02848</x:v>
      </x:c>
      <x:c r="B2854" s="18" t="n">
        <x:v>46290</x:v>
      </x:c>
      <x:c r="C2854" s="17" t="str">
        <x:v>W0220</x:v>
      </x:c>
      <x:c r="D2854" s="17" t="str">
        <x:v>C004</x:v>
      </x:c>
      <x:c r="E2854" s="17" t="str">
        <x:v>CampaignChat</x:v>
      </x:c>
      <x:c r="F2854" s="17" t="str">
        <x:v>Lite</x:v>
      </x:c>
      <x:c r="G2854" s="21" t="n">
        <x:v>18041</x:v>
      </x:c>
      <x:c r="H2854" s="21" t="n">
        <x:v>2447</x:v>
      </x:c>
      <x:c r="I2854" s="17" t="str">
        <x:v>Followup</x:v>
      </x:c>
    </x:row>
    <x:row r="2855" ht="23" customHeight="1">
      <x:c r="A2855" s="17" t="str">
        <x:v>U02849</x:v>
      </x:c>
      <x:c r="B2855" s="18" t="n">
        <x:v>46290</x:v>
      </x:c>
      <x:c r="C2855" s="17" t="str">
        <x:v>W0220</x:v>
      </x:c>
      <x:c r="D2855" s="17" t="str">
        <x:v>C004</x:v>
      </x:c>
      <x:c r="E2855" s="17" t="str">
        <x:v>CampaignChat</x:v>
      </x:c>
      <x:c r="F2855" s="17" t="str">
        <x:v>Lite</x:v>
      </x:c>
      <x:c r="G2855" s="21" t="n">
        <x:v>16663</x:v>
      </x:c>
      <x:c r="H2855" s="21" t="n">
        <x:v>6445</x:v>
      </x:c>
      <x:c r="I2855" s="17" t="str">
        <x:v>Followup</x:v>
      </x:c>
    </x:row>
    <x:row r="2856" ht="23" customHeight="1">
      <x:c r="A2856" s="17" t="str">
        <x:v>U02850</x:v>
      </x:c>
      <x:c r="B2856" s="18" t="n">
        <x:v>46293</x:v>
      </x:c>
      <x:c r="C2856" s="17" t="str">
        <x:v>W0220</x:v>
      </x:c>
      <x:c r="D2856" s="17" t="str">
        <x:v>C004</x:v>
      </x:c>
      <x:c r="E2856" s="17" t="str">
        <x:v>CampaignChat</x:v>
      </x:c>
      <x:c r="F2856" s="17" t="str">
        <x:v>Lite</x:v>
      </x:c>
      <x:c r="G2856" s="21" t="n">
        <x:v>13006</x:v>
      </x:c>
      <x:c r="H2856" s="21" t="n">
        <x:v>5490</x:v>
      </x:c>
      <x:c r="I2856" s="17" t="str">
        <x:v>Followup</x:v>
      </x:c>
    </x:row>
    <x:row r="2857" ht="23" customHeight="1">
      <x:c r="A2857" s="17" t="str">
        <x:v>U02851</x:v>
      </x:c>
      <x:c r="B2857" s="18" t="n">
        <x:v>46293</x:v>
      </x:c>
      <x:c r="C2857" s="17" t="str">
        <x:v>W0220</x:v>
      </x:c>
      <x:c r="D2857" s="17" t="str">
        <x:v>C004</x:v>
      </x:c>
      <x:c r="E2857" s="17" t="str">
        <x:v>CampaignChat</x:v>
      </x:c>
      <x:c r="F2857" s="17" t="str">
        <x:v>Lite</x:v>
      </x:c>
      <x:c r="G2857" s="21" t="n">
        <x:v>19593</x:v>
      </x:c>
      <x:c r="H2857" s="21" t="n">
        <x:v>6345</x:v>
      </x:c>
      <x:c r="I2857" s="17" t="str">
        <x:v>Followup</x:v>
      </x:c>
    </x:row>
    <x:row r="2858" ht="23" customHeight="1">
      <x:c r="A2858" s="17" t="str">
        <x:v>U02852</x:v>
      </x:c>
      <x:c r="B2858" s="18" t="n">
        <x:v>46266</x:v>
      </x:c>
      <x:c r="C2858" s="17" t="str">
        <x:v>W0223</x:v>
      </x:c>
      <x:c r="D2858" s="17" t="str">
        <x:v>C004</x:v>
      </x:c>
      <x:c r="E2858" s="17" t="str">
        <x:v>DataFlow</x:v>
      </x:c>
      <x:c r="F2858" s="17" t="str">
        <x:v>Lite</x:v>
      </x:c>
      <x:c r="G2858" s="21" t="n">
        <x:v>8962</x:v>
      </x:c>
      <x:c r="H2858" s="21" t="n">
        <x:v>4949</x:v>
      </x:c>
      <x:c r="I2858" s="17" t="str">
        <x:v>First attempt</x:v>
      </x:c>
    </x:row>
    <x:row r="2859" ht="23" customHeight="1">
      <x:c r="A2859" s="17" t="str">
        <x:v>U02853</x:v>
      </x:c>
      <x:c r="B2859" s="18" t="n">
        <x:v>46266</x:v>
      </x:c>
      <x:c r="C2859" s="17" t="str">
        <x:v>W0223</x:v>
      </x:c>
      <x:c r="D2859" s="17" t="str">
        <x:v>C004</x:v>
      </x:c>
      <x:c r="E2859" s="17" t="str">
        <x:v>DataFlow</x:v>
      </x:c>
      <x:c r="F2859" s="17" t="str">
        <x:v>Lite</x:v>
      </x:c>
      <x:c r="G2859" s="21" t="n">
        <x:v>18399</x:v>
      </x:c>
      <x:c r="H2859" s="21" t="n">
        <x:v>1775</x:v>
      </x:c>
      <x:c r="I2859" s="17" t="str">
        <x:v>Followup</x:v>
      </x:c>
    </x:row>
    <x:row r="2860" ht="23" customHeight="1">
      <x:c r="A2860" s="17" t="str">
        <x:v>U02854</x:v>
      </x:c>
      <x:c r="B2860" s="18" t="n">
        <x:v>46266</x:v>
      </x:c>
      <x:c r="C2860" s="17" t="str">
        <x:v>W0223</x:v>
      </x:c>
      <x:c r="D2860" s="17" t="str">
        <x:v>C004</x:v>
      </x:c>
      <x:c r="E2860" s="17" t="str">
        <x:v>DataFlow</x:v>
      </x:c>
      <x:c r="F2860" s="17" t="str">
        <x:v>Lite</x:v>
      </x:c>
      <x:c r="G2860" s="21" t="n">
        <x:v>21601</x:v>
      </x:c>
      <x:c r="H2860" s="21" t="n">
        <x:v>4606</x:v>
      </x:c>
      <x:c r="I2860" s="17" t="str">
        <x:v>Followup</x:v>
      </x:c>
    </x:row>
    <x:row r="2861" ht="23" customHeight="1">
      <x:c r="A2861" s="17" t="str">
        <x:v>U02855</x:v>
      </x:c>
      <x:c r="B2861" s="18" t="n">
        <x:v>46267</x:v>
      </x:c>
      <x:c r="C2861" s="17" t="str">
        <x:v>W0223</x:v>
      </x:c>
      <x:c r="D2861" s="17" t="str">
        <x:v>C004</x:v>
      </x:c>
      <x:c r="E2861" s="17" t="str">
        <x:v>DataFlow</x:v>
      </x:c>
      <x:c r="F2861" s="17" t="str">
        <x:v>Lite</x:v>
      </x:c>
      <x:c r="G2861" s="21" t="n">
        <x:v>20918</x:v>
      </x:c>
      <x:c r="H2861" s="21" t="n">
        <x:v>2652</x:v>
      </x:c>
      <x:c r="I2861" s="17" t="str">
        <x:v>Followup</x:v>
      </x:c>
    </x:row>
    <x:row r="2862" ht="23" customHeight="1">
      <x:c r="A2862" s="17" t="str">
        <x:v>U02856</x:v>
      </x:c>
      <x:c r="B2862" s="18" t="n">
        <x:v>46267</x:v>
      </x:c>
      <x:c r="C2862" s="17" t="str">
        <x:v>W0223</x:v>
      </x:c>
      <x:c r="D2862" s="17" t="str">
        <x:v>C004</x:v>
      </x:c>
      <x:c r="E2862" s="17" t="str">
        <x:v>DataFlow</x:v>
      </x:c>
      <x:c r="F2862" s="17" t="str">
        <x:v>Lite</x:v>
      </x:c>
      <x:c r="G2862" s="21" t="n">
        <x:v>21529</x:v>
      </x:c>
      <x:c r="H2862" s="21" t="n">
        <x:v>4591</x:v>
      </x:c>
      <x:c r="I2862" s="17" t="str">
        <x:v>Followup</x:v>
      </x:c>
    </x:row>
    <x:row r="2863" ht="23" customHeight="1">
      <x:c r="A2863" s="17" t="str">
        <x:v>U02857</x:v>
      </x:c>
      <x:c r="B2863" s="18" t="n">
        <x:v>46267</x:v>
      </x:c>
      <x:c r="C2863" s="17" t="str">
        <x:v>W0223</x:v>
      </x:c>
      <x:c r="D2863" s="17" t="str">
        <x:v>C004</x:v>
      </x:c>
      <x:c r="E2863" s="17" t="str">
        <x:v>DataFlow</x:v>
      </x:c>
      <x:c r="F2863" s="17" t="str">
        <x:v>Lite</x:v>
      </x:c>
      <x:c r="G2863" s="21" t="n">
        <x:v>13165</x:v>
      </x:c>
      <x:c r="H2863" s="21" t="n">
        <x:v>4757</x:v>
      </x:c>
      <x:c r="I2863" s="17" t="str">
        <x:v>Followup</x:v>
      </x:c>
    </x:row>
    <x:row r="2864" ht="23" customHeight="1">
      <x:c r="A2864" s="17" t="str">
        <x:v>U02858</x:v>
      </x:c>
      <x:c r="B2864" s="18" t="n">
        <x:v>46268</x:v>
      </x:c>
      <x:c r="C2864" s="17" t="str">
        <x:v>W0223</x:v>
      </x:c>
      <x:c r="D2864" s="17" t="str">
        <x:v>C004</x:v>
      </x:c>
      <x:c r="E2864" s="17" t="str">
        <x:v>DataFlow</x:v>
      </x:c>
      <x:c r="F2864" s="17" t="str">
        <x:v>Lite</x:v>
      </x:c>
      <x:c r="G2864" s="21" t="n">
        <x:v>21708</x:v>
      </x:c>
      <x:c r="H2864" s="21" t="n">
        <x:v>4851</x:v>
      </x:c>
      <x:c r="I2864" s="17" t="str">
        <x:v>Correction</x:v>
      </x:c>
    </x:row>
    <x:row r="2865" ht="23" customHeight="1">
      <x:c r="A2865" s="17" t="str">
        <x:v>U02859</x:v>
      </x:c>
      <x:c r="B2865" s="18" t="n">
        <x:v>46268</x:v>
      </x:c>
      <x:c r="C2865" s="17" t="str">
        <x:v>W0223</x:v>
      </x:c>
      <x:c r="D2865" s="17" t="str">
        <x:v>C004</x:v>
      </x:c>
      <x:c r="E2865" s="17" t="str">
        <x:v>DataFlow</x:v>
      </x:c>
      <x:c r="F2865" s="17" t="str">
        <x:v>Lite</x:v>
      </x:c>
      <x:c r="G2865" s="21" t="n">
        <x:v>17945</x:v>
      </x:c>
      <x:c r="H2865" s="21" t="n">
        <x:v>4416</x:v>
      </x:c>
      <x:c r="I2865" s="17" t="str">
        <x:v>Followup</x:v>
      </x:c>
    </x:row>
    <x:row r="2866" ht="23" customHeight="1">
      <x:c r="A2866" s="17" t="str">
        <x:v>U02860</x:v>
      </x:c>
      <x:c r="B2866" s="18" t="n">
        <x:v>46268</x:v>
      </x:c>
      <x:c r="C2866" s="17" t="str">
        <x:v>W0223</x:v>
      </x:c>
      <x:c r="D2866" s="17" t="str">
        <x:v>C004</x:v>
      </x:c>
      <x:c r="E2866" s="17" t="str">
        <x:v>DataFlow</x:v>
      </x:c>
      <x:c r="F2866" s="17" t="str">
        <x:v>Lite</x:v>
      </x:c>
      <x:c r="G2866" s="21" t="n">
        <x:v>22913</x:v>
      </x:c>
      <x:c r="H2866" s="21" t="n">
        <x:v>3715</x:v>
      </x:c>
      <x:c r="I2866" s="17" t="str">
        <x:v>Correction</x:v>
      </x:c>
    </x:row>
    <x:row r="2867" ht="23" customHeight="1">
      <x:c r="A2867" s="17" t="str">
        <x:v>U02861</x:v>
      </x:c>
      <x:c r="B2867" s="18" t="n">
        <x:v>46269</x:v>
      </x:c>
      <x:c r="C2867" s="17" t="str">
        <x:v>W0223</x:v>
      </x:c>
      <x:c r="D2867" s="17" t="str">
        <x:v>C004</x:v>
      </x:c>
      <x:c r="E2867" s="17" t="str">
        <x:v>DataFlow</x:v>
      </x:c>
      <x:c r="F2867" s="17" t="str">
        <x:v>Lite</x:v>
      </x:c>
      <x:c r="G2867" s="21" t="n">
        <x:v>21482</x:v>
      </x:c>
      <x:c r="H2867" s="21" t="n">
        <x:v>1457</x:v>
      </x:c>
      <x:c r="I2867" s="17" t="str">
        <x:v>Followup</x:v>
      </x:c>
    </x:row>
    <x:row r="2868" ht="23" customHeight="1">
      <x:c r="A2868" s="17" t="str">
        <x:v>U02862</x:v>
      </x:c>
      <x:c r="B2868" s="18" t="n">
        <x:v>46269</x:v>
      </x:c>
      <x:c r="C2868" s="17" t="str">
        <x:v>W0223</x:v>
      </x:c>
      <x:c r="D2868" s="17" t="str">
        <x:v>C004</x:v>
      </x:c>
      <x:c r="E2868" s="17" t="str">
        <x:v>DataFlow</x:v>
      </x:c>
      <x:c r="F2868" s="17" t="str">
        <x:v>Lite</x:v>
      </x:c>
      <x:c r="G2868" s="21" t="n">
        <x:v>15178</x:v>
      </x:c>
      <x:c r="H2868" s="21" t="n">
        <x:v>2185</x:v>
      </x:c>
      <x:c r="I2868" s="17" t="str">
        <x:v>Correction</x:v>
      </x:c>
    </x:row>
    <x:row r="2869" ht="23" customHeight="1">
      <x:c r="A2869" s="17" t="str">
        <x:v>U02863</x:v>
      </x:c>
      <x:c r="B2869" s="18" t="n">
        <x:v>46287</x:v>
      </x:c>
      <x:c r="C2869" s="17" t="str">
        <x:v>W0225</x:v>
      </x:c>
      <x:c r="D2869" s="17" t="str">
        <x:v>C004</x:v>
      </x:c>
      <x:c r="E2869" s="17" t="str">
        <x:v>InsightDesk</x:v>
      </x:c>
      <x:c r="F2869" s="17" t="str">
        <x:v>Lite</x:v>
      </x:c>
      <x:c r="G2869" s="21" t="n">
        <x:v>9636</x:v>
      </x:c>
      <x:c r="H2869" s="21" t="n">
        <x:v>5731</x:v>
      </x:c>
      <x:c r="I2869" s="17" t="str">
        <x:v>First attempt</x:v>
      </x:c>
    </x:row>
    <x:row r="2870" ht="23" customHeight="1">
      <x:c r="A2870" s="17" t="str">
        <x:v>U02864</x:v>
      </x:c>
      <x:c r="B2870" s="18" t="n">
        <x:v>46287</x:v>
      </x:c>
      <x:c r="C2870" s="17" t="str">
        <x:v>W0225</x:v>
      </x:c>
      <x:c r="D2870" s="17" t="str">
        <x:v>C004</x:v>
      </x:c>
      <x:c r="E2870" s="17" t="str">
        <x:v>InsightDesk</x:v>
      </x:c>
      <x:c r="F2870" s="17" t="str">
        <x:v>Lite</x:v>
      </x:c>
      <x:c r="G2870" s="21" t="n">
        <x:v>21182</x:v>
      </x:c>
      <x:c r="H2870" s="21" t="n">
        <x:v>1663</x:v>
      </x:c>
      <x:c r="I2870" s="17" t="str">
        <x:v>Correction</x:v>
      </x:c>
    </x:row>
    <x:row r="2871" ht="23" customHeight="1">
      <x:c r="A2871" s="17" t="str">
        <x:v>U02865</x:v>
      </x:c>
      <x:c r="B2871" s="18" t="n">
        <x:v>46287</x:v>
      </x:c>
      <x:c r="C2871" s="17" t="str">
        <x:v>W0225</x:v>
      </x:c>
      <x:c r="D2871" s="17" t="str">
        <x:v>C004</x:v>
      </x:c>
      <x:c r="E2871" s="17" t="str">
        <x:v>InsightDesk</x:v>
      </x:c>
      <x:c r="F2871" s="17" t="str">
        <x:v>Lite</x:v>
      </x:c>
      <x:c r="G2871" s="21" t="n">
        <x:v>23558</x:v>
      </x:c>
      <x:c r="H2871" s="21" t="n">
        <x:v>4011</x:v>
      </x:c>
      <x:c r="I2871" s="17" t="str">
        <x:v>Correction</x:v>
      </x:c>
    </x:row>
    <x:row r="2872" ht="23" customHeight="1">
      <x:c r="A2872" s="17" t="str">
        <x:v>U02866</x:v>
      </x:c>
      <x:c r="B2872" s="18" t="n">
        <x:v>46287</x:v>
      </x:c>
      <x:c r="C2872" s="17" t="str">
        <x:v>W0225</x:v>
      </x:c>
      <x:c r="D2872" s="17" t="str">
        <x:v>C004</x:v>
      </x:c>
      <x:c r="E2872" s="17" t="str">
        <x:v>InsightDesk</x:v>
      </x:c>
      <x:c r="F2872" s="17" t="str">
        <x:v>Lite</x:v>
      </x:c>
      <x:c r="G2872" s="21" t="n">
        <x:v>9983</x:v>
      </x:c>
      <x:c r="H2872" s="21" t="n">
        <x:v>3900</x:v>
      </x:c>
      <x:c r="I2872" s="17" t="str">
        <x:v>Followup</x:v>
      </x:c>
    </x:row>
    <x:row r="2873" ht="23" customHeight="1">
      <x:c r="A2873" s="17" t="str">
        <x:v>U02867</x:v>
      </x:c>
      <x:c r="B2873" s="18" t="n">
        <x:v>46288</x:v>
      </x:c>
      <x:c r="C2873" s="17" t="str">
        <x:v>W0225</x:v>
      </x:c>
      <x:c r="D2873" s="17" t="str">
        <x:v>C004</x:v>
      </x:c>
      <x:c r="E2873" s="17" t="str">
        <x:v>InsightDesk</x:v>
      </x:c>
      <x:c r="F2873" s="17" t="str">
        <x:v>Lite</x:v>
      </x:c>
      <x:c r="G2873" s="21" t="n">
        <x:v>18126</x:v>
      </x:c>
      <x:c r="H2873" s="21" t="n">
        <x:v>3785</x:v>
      </x:c>
      <x:c r="I2873" s="17" t="str">
        <x:v>Followup</x:v>
      </x:c>
    </x:row>
    <x:row r="2874" ht="23" customHeight="1">
      <x:c r="A2874" s="17" t="str">
        <x:v>U02868</x:v>
      </x:c>
      <x:c r="B2874" s="18" t="n">
        <x:v>46288</x:v>
      </x:c>
      <x:c r="C2874" s="17" t="str">
        <x:v>W0225</x:v>
      </x:c>
      <x:c r="D2874" s="17" t="str">
        <x:v>C004</x:v>
      </x:c>
      <x:c r="E2874" s="17" t="str">
        <x:v>InsightDesk</x:v>
      </x:c>
      <x:c r="F2874" s="17" t="str">
        <x:v>Lite</x:v>
      </x:c>
      <x:c r="G2874" s="21" t="n">
        <x:v>15173</x:v>
      </x:c>
      <x:c r="H2874" s="21" t="n">
        <x:v>5240</x:v>
      </x:c>
      <x:c r="I2874" s="17" t="str">
        <x:v>Followup</x:v>
      </x:c>
    </x:row>
    <x:row r="2875" ht="23" customHeight="1">
      <x:c r="A2875" s="17" t="str">
        <x:v>U02869</x:v>
      </x:c>
      <x:c r="B2875" s="18" t="n">
        <x:v>46288</x:v>
      </x:c>
      <x:c r="C2875" s="17" t="str">
        <x:v>W0225</x:v>
      </x:c>
      <x:c r="D2875" s="17" t="str">
        <x:v>C004</x:v>
      </x:c>
      <x:c r="E2875" s="17" t="str">
        <x:v>InsightDesk</x:v>
      </x:c>
      <x:c r="F2875" s="17" t="str">
        <x:v>Lite</x:v>
      </x:c>
      <x:c r="G2875" s="21" t="n">
        <x:v>13273</x:v>
      </x:c>
      <x:c r="H2875" s="21" t="n">
        <x:v>4718</x:v>
      </x:c>
      <x:c r="I2875" s="17" t="str">
        <x:v>Followup</x:v>
      </x:c>
    </x:row>
    <x:row r="2876" ht="23" customHeight="1">
      <x:c r="A2876" s="17" t="str">
        <x:v>U02870</x:v>
      </x:c>
      <x:c r="B2876" s="18" t="n">
        <x:v>46289</x:v>
      </x:c>
      <x:c r="C2876" s="17" t="str">
        <x:v>W0225</x:v>
      </x:c>
      <x:c r="D2876" s="17" t="str">
        <x:v>C004</x:v>
      </x:c>
      <x:c r="E2876" s="17" t="str">
        <x:v>InsightDesk</x:v>
      </x:c>
      <x:c r="F2876" s="17" t="str">
        <x:v>Lite</x:v>
      </x:c>
      <x:c r="G2876" s="21" t="n">
        <x:v>20033</x:v>
      </x:c>
      <x:c r="H2876" s="21" t="n">
        <x:v>4037</x:v>
      </x:c>
      <x:c r="I2876" s="17" t="str">
        <x:v>Followup</x:v>
      </x:c>
    </x:row>
    <x:row r="2877" ht="23" customHeight="1">
      <x:c r="A2877" s="17" t="str">
        <x:v>U02871</x:v>
      </x:c>
      <x:c r="B2877" s="18" t="n">
        <x:v>46289</x:v>
      </x:c>
      <x:c r="C2877" s="17" t="str">
        <x:v>W0225</x:v>
      </x:c>
      <x:c r="D2877" s="17" t="str">
        <x:v>C004</x:v>
      </x:c>
      <x:c r="E2877" s="17" t="str">
        <x:v>InsightDesk</x:v>
      </x:c>
      <x:c r="F2877" s="17" t="str">
        <x:v>Lite</x:v>
      </x:c>
      <x:c r="G2877" s="21" t="n">
        <x:v>21267</x:v>
      </x:c>
      <x:c r="H2877" s="21" t="n">
        <x:v>5917</x:v>
      </x:c>
      <x:c r="I2877" s="17" t="str">
        <x:v>Followup</x:v>
      </x:c>
    </x:row>
    <x:row r="2878" ht="23" customHeight="1">
      <x:c r="A2878" s="17" t="str">
        <x:v>U02872</x:v>
      </x:c>
      <x:c r="B2878" s="18" t="n">
        <x:v>46289</x:v>
      </x:c>
      <x:c r="C2878" s="17" t="str">
        <x:v>W0225</x:v>
      </x:c>
      <x:c r="D2878" s="17" t="str">
        <x:v>C004</x:v>
      </x:c>
      <x:c r="E2878" s="17" t="str">
        <x:v>InsightDesk</x:v>
      </x:c>
      <x:c r="F2878" s="17" t="str">
        <x:v>Lite</x:v>
      </x:c>
      <x:c r="G2878" s="21" t="n">
        <x:v>15523</x:v>
      </x:c>
      <x:c r="H2878" s="21" t="n">
        <x:v>3322</x:v>
      </x:c>
      <x:c r="I2878" s="17" t="str">
        <x:v>Followup</x:v>
      </x:c>
    </x:row>
    <x:row r="2879" ht="23" customHeight="1">
      <x:c r="A2879" s="17" t="str">
        <x:v>U02873</x:v>
      </x:c>
      <x:c r="B2879" s="18" t="n">
        <x:v>46290</x:v>
      </x:c>
      <x:c r="C2879" s="17" t="str">
        <x:v>W0225</x:v>
      </x:c>
      <x:c r="D2879" s="17" t="str">
        <x:v>C004</x:v>
      </x:c>
      <x:c r="E2879" s="17" t="str">
        <x:v>InsightDesk</x:v>
      </x:c>
      <x:c r="F2879" s="17" t="str">
        <x:v>Lite</x:v>
      </x:c>
      <x:c r="G2879" s="21" t="n">
        <x:v>18566</x:v>
      </x:c>
      <x:c r="H2879" s="21" t="n">
        <x:v>4061</x:v>
      </x:c>
      <x:c r="I2879" s="17" t="str">
        <x:v>Followup</x:v>
      </x:c>
    </x:row>
    <x:row r="2880" ht="23" customHeight="1">
      <x:c r="A2880" s="17" t="str">
        <x:v>U02874</x:v>
      </x:c>
      <x:c r="B2880" s="18" t="n">
        <x:v>46290</x:v>
      </x:c>
      <x:c r="C2880" s="17" t="str">
        <x:v>W0225</x:v>
      </x:c>
      <x:c r="D2880" s="17" t="str">
        <x:v>C004</x:v>
      </x:c>
      <x:c r="E2880" s="17" t="str">
        <x:v>InsightDesk</x:v>
      </x:c>
      <x:c r="F2880" s="17" t="str">
        <x:v>Lite</x:v>
      </x:c>
      <x:c r="G2880" s="21" t="n">
        <x:v>14063</x:v>
      </x:c>
      <x:c r="H2880" s="21" t="n">
        <x:v>5243</x:v>
      </x:c>
      <x:c r="I2880" s="17" t="str">
        <x:v>Followup</x:v>
      </x:c>
    </x:row>
    <x:row r="2881" ht="23" customHeight="1">
      <x:c r="A2881" s="17" t="str">
        <x:v>U02875</x:v>
      </x:c>
      <x:c r="B2881" s="18" t="n">
        <x:v>46290</x:v>
      </x:c>
      <x:c r="C2881" s="17" t="str">
        <x:v>W0225</x:v>
      </x:c>
      <x:c r="D2881" s="17" t="str">
        <x:v>C004</x:v>
      </x:c>
      <x:c r="E2881" s="17" t="str">
        <x:v>InsightDesk</x:v>
      </x:c>
      <x:c r="F2881" s="17" t="str">
        <x:v>Lite</x:v>
      </x:c>
      <x:c r="G2881" s="21" t="n">
        <x:v>13413</x:v>
      </x:c>
      <x:c r="H2881" s="21" t="n">
        <x:v>5649</x:v>
      </x:c>
      <x:c r="I2881" s="17" t="str">
        <x:v>Followup</x:v>
      </x:c>
    </x:row>
    <x:row r="2882" ht="23" customHeight="1">
      <x:c r="A2882" s="17" t="str">
        <x:v>U02876</x:v>
      </x:c>
      <x:c r="B2882" s="18" t="n">
        <x:v>46269</x:v>
      </x:c>
      <x:c r="C2882" s="17" t="str">
        <x:v>W0226</x:v>
      </x:c>
      <x:c r="D2882" s="17" t="str">
        <x:v>C004</x:v>
      </x:c>
      <x:c r="E2882" s="17" t="str">
        <x:v>CopyStudio</x:v>
      </x:c>
      <x:c r="F2882" s="17" t="str">
        <x:v>Lite</x:v>
      </x:c>
      <x:c r="G2882" s="21" t="n">
        <x:v>25452</x:v>
      </x:c>
      <x:c r="H2882" s="21" t="n">
        <x:v>3110</x:v>
      </x:c>
      <x:c r="I2882" s="17" t="str">
        <x:v>First attempt</x:v>
      </x:c>
    </x:row>
    <x:row r="2883" ht="23" customHeight="1">
      <x:c r="A2883" s="17" t="str">
        <x:v>U02877</x:v>
      </x:c>
      <x:c r="B2883" s="18" t="n">
        <x:v>46269</x:v>
      </x:c>
      <x:c r="C2883" s="17" t="str">
        <x:v>W0226</x:v>
      </x:c>
      <x:c r="D2883" s="17" t="str">
        <x:v>C004</x:v>
      </x:c>
      <x:c r="E2883" s="17" t="str">
        <x:v>CopyStudio</x:v>
      </x:c>
      <x:c r="F2883" s="17" t="str">
        <x:v>Lite</x:v>
      </x:c>
      <x:c r="G2883" s="21" t="n">
        <x:v>21028</x:v>
      </x:c>
      <x:c r="H2883" s="21" t="n">
        <x:v>3452</x:v>
      </x:c>
      <x:c r="I2883" s="17" t="str">
        <x:v>Followup</x:v>
      </x:c>
    </x:row>
    <x:row r="2884" ht="23" customHeight="1">
      <x:c r="A2884" s="17" t="str">
        <x:v>U02878</x:v>
      </x:c>
      <x:c r="B2884" s="18" t="n">
        <x:v>46269</x:v>
      </x:c>
      <x:c r="C2884" s="17" t="str">
        <x:v>W0226</x:v>
      </x:c>
      <x:c r="D2884" s="17" t="str">
        <x:v>C004</x:v>
      </x:c>
      <x:c r="E2884" s="17" t="str">
        <x:v>CopyStudio</x:v>
      </x:c>
      <x:c r="F2884" s="17" t="str">
        <x:v>Lite</x:v>
      </x:c>
      <x:c r="G2884" s="21" t="n">
        <x:v>15527</x:v>
      </x:c>
      <x:c r="H2884" s="21" t="n">
        <x:v>2508</x:v>
      </x:c>
      <x:c r="I2884" s="17" t="str">
        <x:v>Followup</x:v>
      </x:c>
    </x:row>
    <x:row r="2885" ht="23" customHeight="1">
      <x:c r="A2885" s="17" t="str">
        <x:v>U02879</x:v>
      </x:c>
      <x:c r="B2885" s="18" t="n">
        <x:v>46269</x:v>
      </x:c>
      <x:c r="C2885" s="17" t="str">
        <x:v>W0226</x:v>
      </x:c>
      <x:c r="D2885" s="17" t="str">
        <x:v>C004</x:v>
      </x:c>
      <x:c r="E2885" s="17" t="str">
        <x:v>CopyStudio</x:v>
      </x:c>
      <x:c r="F2885" s="17" t="str">
        <x:v>Lite</x:v>
      </x:c>
      <x:c r="G2885" s="21" t="n">
        <x:v>14206</x:v>
      </x:c>
      <x:c r="H2885" s="21" t="n">
        <x:v>1359</x:v>
      </x:c>
      <x:c r="I2885" s="17" t="str">
        <x:v>Followup</x:v>
      </x:c>
    </x:row>
    <x:row r="2886" ht="23" customHeight="1">
      <x:c r="A2886" s="17" t="str">
        <x:v>U02880</x:v>
      </x:c>
      <x:c r="B2886" s="18" t="n">
        <x:v>46273</x:v>
      </x:c>
      <x:c r="C2886" s="17" t="str">
        <x:v>W0226</x:v>
      </x:c>
      <x:c r="D2886" s="17" t="str">
        <x:v>C004</x:v>
      </x:c>
      <x:c r="E2886" s="17" t="str">
        <x:v>CopyStudio</x:v>
      </x:c>
      <x:c r="F2886" s="17" t="str">
        <x:v>Lite</x:v>
      </x:c>
      <x:c r="G2886" s="21" t="n">
        <x:v>27237</x:v>
      </x:c>
      <x:c r="H2886" s="21" t="n">
        <x:v>3702</x:v>
      </x:c>
      <x:c r="I2886" s="17" t="str">
        <x:v>Correction</x:v>
      </x:c>
    </x:row>
    <x:row r="2887" ht="23" customHeight="1">
      <x:c r="A2887" s="17" t="str">
        <x:v>U02881</x:v>
      </x:c>
      <x:c r="B2887" s="18" t="n">
        <x:v>46273</x:v>
      </x:c>
      <x:c r="C2887" s="17" t="str">
        <x:v>W0226</x:v>
      </x:c>
      <x:c r="D2887" s="17" t="str">
        <x:v>C004</x:v>
      </x:c>
      <x:c r="E2887" s="17" t="str">
        <x:v>CopyStudio</x:v>
      </x:c>
      <x:c r="F2887" s="17" t="str">
        <x:v>Lite</x:v>
      </x:c>
      <x:c r="G2887" s="21" t="n">
        <x:v>27894</x:v>
      </x:c>
      <x:c r="H2887" s="21" t="n">
        <x:v>2972</x:v>
      </x:c>
      <x:c r="I2887" s="17" t="str">
        <x:v>Followup</x:v>
      </x:c>
    </x:row>
    <x:row r="2888" ht="23" customHeight="1">
      <x:c r="A2888" s="17" t="str">
        <x:v>U02882</x:v>
      </x:c>
      <x:c r="B2888" s="18" t="n">
        <x:v>46273</x:v>
      </x:c>
      <x:c r="C2888" s="17" t="str">
        <x:v>W0226</x:v>
      </x:c>
      <x:c r="D2888" s="17" t="str">
        <x:v>C004</x:v>
      </x:c>
      <x:c r="E2888" s="17" t="str">
        <x:v>CopyStudio</x:v>
      </x:c>
      <x:c r="F2888" s="17" t="str">
        <x:v>Lite</x:v>
      </x:c>
      <x:c r="G2888" s="21" t="n">
        <x:v>17258</x:v>
      </x:c>
      <x:c r="H2888" s="21" t="n">
        <x:v>2357</x:v>
      </x:c>
      <x:c r="I2888" s="17" t="str">
        <x:v>Correction</x:v>
      </x:c>
    </x:row>
    <x:row r="2889" ht="23" customHeight="1">
      <x:c r="A2889" s="17" t="str">
        <x:v>U02883</x:v>
      </x:c>
      <x:c r="B2889" s="18" t="n">
        <x:v>46273</x:v>
      </x:c>
      <x:c r="C2889" s="17" t="str">
        <x:v>W0226</x:v>
      </x:c>
      <x:c r="D2889" s="17" t="str">
        <x:v>C004</x:v>
      </x:c>
      <x:c r="E2889" s="17" t="str">
        <x:v>CopyStudio</x:v>
      </x:c>
      <x:c r="F2889" s="17" t="str">
        <x:v>Lite</x:v>
      </x:c>
      <x:c r="G2889" s="21" t="n">
        <x:v>33365</x:v>
      </x:c>
      <x:c r="H2889" s="21" t="n">
        <x:v>3310</x:v>
      </x:c>
      <x:c r="I2889" s="17" t="str">
        <x:v>Followup</x:v>
      </x:c>
    </x:row>
    <x:row r="2890" ht="23" customHeight="1">
      <x:c r="A2890" s="17" t="str">
        <x:v>U02884</x:v>
      </x:c>
      <x:c r="B2890" s="18" t="n">
        <x:v>46274</x:v>
      </x:c>
      <x:c r="C2890" s="17" t="str">
        <x:v>W0226</x:v>
      </x:c>
      <x:c r="D2890" s="17" t="str">
        <x:v>C004</x:v>
      </x:c>
      <x:c r="E2890" s="17" t="str">
        <x:v>CopyStudio</x:v>
      </x:c>
      <x:c r="F2890" s="17" t="str">
        <x:v>Lite</x:v>
      </x:c>
      <x:c r="G2890" s="21" t="n">
        <x:v>32938</x:v>
      </x:c>
      <x:c r="H2890" s="21" t="n">
        <x:v>3684</x:v>
      </x:c>
      <x:c r="I2890" s="17" t="str">
        <x:v>Followup</x:v>
      </x:c>
    </x:row>
    <x:row r="2891" ht="23" customHeight="1">
      <x:c r="A2891" s="17" t="str">
        <x:v>U02885</x:v>
      </x:c>
      <x:c r="B2891" s="18" t="n">
        <x:v>46274</x:v>
      </x:c>
      <x:c r="C2891" s="17" t="str">
        <x:v>W0226</x:v>
      </x:c>
      <x:c r="D2891" s="17" t="str">
        <x:v>C004</x:v>
      </x:c>
      <x:c r="E2891" s="17" t="str">
        <x:v>CopyStudio</x:v>
      </x:c>
      <x:c r="F2891" s="17" t="str">
        <x:v>Lite</x:v>
      </x:c>
      <x:c r="G2891" s="21" t="n">
        <x:v>19090</x:v>
      </x:c>
      <x:c r="H2891" s="21" t="n">
        <x:v>1844</x:v>
      </x:c>
      <x:c r="I2891" s="17" t="str">
        <x:v>Followup</x:v>
      </x:c>
    </x:row>
    <x:row r="2892" ht="23" customHeight="1">
      <x:c r="A2892" s="17" t="str">
        <x:v>U02886</x:v>
      </x:c>
      <x:c r="B2892" s="18" t="n">
        <x:v>46274</x:v>
      </x:c>
      <x:c r="C2892" s="17" t="str">
        <x:v>W0226</x:v>
      </x:c>
      <x:c r="D2892" s="17" t="str">
        <x:v>C004</x:v>
      </x:c>
      <x:c r="E2892" s="17" t="str">
        <x:v>CopyStudio</x:v>
      </x:c>
      <x:c r="F2892" s="17" t="str">
        <x:v>Lite</x:v>
      </x:c>
      <x:c r="G2892" s="21" t="n">
        <x:v>17495</x:v>
      </x:c>
      <x:c r="H2892" s="21" t="n">
        <x:v>1596</x:v>
      </x:c>
      <x:c r="I2892" s="17" t="str">
        <x:v>Followup</x:v>
      </x:c>
    </x:row>
    <x:row r="2893" ht="23" customHeight="1">
      <x:c r="A2893" s="17" t="str">
        <x:v>U02887</x:v>
      </x:c>
      <x:c r="B2893" s="18" t="n">
        <x:v>46274</x:v>
      </x:c>
      <x:c r="C2893" s="17" t="str">
        <x:v>W0226</x:v>
      </x:c>
      <x:c r="D2893" s="17" t="str">
        <x:v>C004</x:v>
      </x:c>
      <x:c r="E2893" s="17" t="str">
        <x:v>CopyStudio</x:v>
      </x:c>
      <x:c r="F2893" s="17" t="str">
        <x:v>Lite</x:v>
      </x:c>
      <x:c r="G2893" s="21" t="n">
        <x:v>30218</x:v>
      </x:c>
      <x:c r="H2893" s="21" t="n">
        <x:v>1076</x:v>
      </x:c>
      <x:c r="I2893" s="17" t="str">
        <x:v>Followup</x:v>
      </x:c>
    </x:row>
    <x:row r="2894" ht="23" customHeight="1">
      <x:c r="A2894" s="17" t="str">
        <x:v>U02888</x:v>
      </x:c>
      <x:c r="B2894" s="18" t="n">
        <x:v>46275</x:v>
      </x:c>
      <x:c r="C2894" s="17" t="str">
        <x:v>W0226</x:v>
      </x:c>
      <x:c r="D2894" s="17" t="str">
        <x:v>C004</x:v>
      </x:c>
      <x:c r="E2894" s="17" t="str">
        <x:v>CopyStudio</x:v>
      </x:c>
      <x:c r="F2894" s="17" t="str">
        <x:v>Lite</x:v>
      </x:c>
      <x:c r="G2894" s="21" t="n">
        <x:v>32092</x:v>
      </x:c>
      <x:c r="H2894" s="21" t="n">
        <x:v>3556</x:v>
      </x:c>
      <x:c r="I2894" s="17" t="str">
        <x:v>Followup</x:v>
      </x:c>
    </x:row>
    <x:row r="2895" ht="23" customHeight="1">
      <x:c r="A2895" s="17" t="str">
        <x:v>U02889</x:v>
      </x:c>
      <x:c r="B2895" s="18" t="n">
        <x:v>46275</x:v>
      </x:c>
      <x:c r="C2895" s="17" t="str">
        <x:v>W0226</x:v>
      </x:c>
      <x:c r="D2895" s="17" t="str">
        <x:v>C004</x:v>
      </x:c>
      <x:c r="E2895" s="17" t="str">
        <x:v>CopyStudio</x:v>
      </x:c>
      <x:c r="F2895" s="17" t="str">
        <x:v>Lite</x:v>
      </x:c>
      <x:c r="G2895" s="21" t="n">
        <x:v>35055</x:v>
      </x:c>
      <x:c r="H2895" s="21" t="n">
        <x:v>3628</x:v>
      </x:c>
      <x:c r="I2895" s="17" t="str">
        <x:v>Followup</x:v>
      </x:c>
    </x:row>
    <x:row r="2896" ht="23" customHeight="1">
      <x:c r="A2896" s="17" t="str">
        <x:v>U02890</x:v>
      </x:c>
      <x:c r="B2896" s="18" t="n">
        <x:v>46275</x:v>
      </x:c>
      <x:c r="C2896" s="17" t="str">
        <x:v>W0226</x:v>
      </x:c>
      <x:c r="D2896" s="17" t="str">
        <x:v>C004</x:v>
      </x:c>
      <x:c r="E2896" s="17" t="str">
        <x:v>CopyStudio</x:v>
      </x:c>
      <x:c r="F2896" s="17" t="str">
        <x:v>Lite</x:v>
      </x:c>
      <x:c r="G2896" s="21" t="n">
        <x:v>27500</x:v>
      </x:c>
      <x:c r="H2896" s="21" t="n">
        <x:v>1145</x:v>
      </x:c>
      <x:c r="I2896" s="17" t="str">
        <x:v>Followup</x:v>
      </x:c>
    </x:row>
    <x:row r="2897" ht="23" customHeight="1">
      <x:c r="A2897" s="17" t="str">
        <x:v>U02891</x:v>
      </x:c>
      <x:c r="B2897" s="18" t="n">
        <x:v>46275</x:v>
      </x:c>
      <x:c r="C2897" s="17" t="str">
        <x:v>W0226</x:v>
      </x:c>
      <x:c r="D2897" s="17" t="str">
        <x:v>C004</x:v>
      </x:c>
      <x:c r="E2897" s="17" t="str">
        <x:v>CopyStudio</x:v>
      </x:c>
      <x:c r="F2897" s="17" t="str">
        <x:v>Lite</x:v>
      </x:c>
      <x:c r="G2897" s="21" t="n">
        <x:v>20603</x:v>
      </x:c>
      <x:c r="H2897" s="21" t="n">
        <x:v>2594</x:v>
      </x:c>
      <x:c r="I2897" s="17" t="str">
        <x:v>Followup</x:v>
      </x:c>
    </x:row>
    <x:row r="2898" ht="23" customHeight="1">
      <x:c r="A2898" s="17" t="str">
        <x:v>U02892</x:v>
      </x:c>
      <x:c r="B2898" s="18" t="n">
        <x:v>46290</x:v>
      </x:c>
      <x:c r="C2898" s="17" t="str">
        <x:v>W0228</x:v>
      </x:c>
      <x:c r="D2898" s="17" t="str">
        <x:v>C004</x:v>
      </x:c>
      <x:c r="E2898" s="17" t="str">
        <x:v>CampaignChat</x:v>
      </x:c>
      <x:c r="F2898" s="17" t="str">
        <x:v>Lite</x:v>
      </x:c>
      <x:c r="G2898" s="21" t="n">
        <x:v>20379</x:v>
      </x:c>
      <x:c r="H2898" s="21" t="n">
        <x:v>3989</x:v>
      </x:c>
      <x:c r="I2898" s="17" t="str">
        <x:v>First attempt</x:v>
      </x:c>
    </x:row>
    <x:row r="2899" ht="23" customHeight="1">
      <x:c r="A2899" s="17" t="str">
        <x:v>U02893</x:v>
      </x:c>
      <x:c r="B2899" s="18" t="n">
        <x:v>46290</x:v>
      </x:c>
      <x:c r="C2899" s="17" t="str">
        <x:v>W0228</x:v>
      </x:c>
      <x:c r="D2899" s="17" t="str">
        <x:v>C004</x:v>
      </x:c>
      <x:c r="E2899" s="17" t="str">
        <x:v>CampaignChat</x:v>
      </x:c>
      <x:c r="F2899" s="17" t="str">
        <x:v>Lite</x:v>
      </x:c>
      <x:c r="G2899" s="21" t="n">
        <x:v>26302</x:v>
      </x:c>
      <x:c r="H2899" s="21" t="n">
        <x:v>3014</x:v>
      </x:c>
      <x:c r="I2899" s="17" t="str">
        <x:v>Followup</x:v>
      </x:c>
    </x:row>
    <x:row r="2900" ht="23" customHeight="1">
      <x:c r="A2900" s="17" t="str">
        <x:v>U02894</x:v>
      </x:c>
      <x:c r="B2900" s="18" t="n">
        <x:v>46290</x:v>
      </x:c>
      <x:c r="C2900" s="17" t="str">
        <x:v>W0228</x:v>
      </x:c>
      <x:c r="D2900" s="17" t="str">
        <x:v>C004</x:v>
      </x:c>
      <x:c r="E2900" s="17" t="str">
        <x:v>CampaignChat</x:v>
      </x:c>
      <x:c r="F2900" s="17" t="str">
        <x:v>Lite</x:v>
      </x:c>
      <x:c r="G2900" s="21" t="n">
        <x:v>16585</x:v>
      </x:c>
      <x:c r="H2900" s="21" t="n">
        <x:v>4158</x:v>
      </x:c>
      <x:c r="I2900" s="17" t="str">
        <x:v>Correction</x:v>
      </x:c>
    </x:row>
    <x:row r="2901" ht="23" customHeight="1">
      <x:c r="A2901" s="17" t="str">
        <x:v>U02895</x:v>
      </x:c>
      <x:c r="B2901" s="18" t="n">
        <x:v>46290</x:v>
      </x:c>
      <x:c r="C2901" s="17" t="str">
        <x:v>W0228</x:v>
      </x:c>
      <x:c r="D2901" s="17" t="str">
        <x:v>C004</x:v>
      </x:c>
      <x:c r="E2901" s="17" t="str">
        <x:v>CampaignChat</x:v>
      </x:c>
      <x:c r="F2901" s="17" t="str">
        <x:v>Lite</x:v>
      </x:c>
      <x:c r="G2901" s="21" t="n">
        <x:v>23515</x:v>
      </x:c>
      <x:c r="H2901" s="21" t="n">
        <x:v>1879</x:v>
      </x:c>
      <x:c r="I2901" s="17" t="str">
        <x:v>Followup</x:v>
      </x:c>
    </x:row>
    <x:row r="2902" ht="23" customHeight="1">
      <x:c r="A2902" s="17" t="str">
        <x:v>U02896</x:v>
      </x:c>
      <x:c r="B2902" s="18" t="n">
        <x:v>46293</x:v>
      </x:c>
      <x:c r="C2902" s="17" t="str">
        <x:v>W0228</x:v>
      </x:c>
      <x:c r="D2902" s="17" t="str">
        <x:v>C004</x:v>
      </x:c>
      <x:c r="E2902" s="17" t="str">
        <x:v>CampaignChat</x:v>
      </x:c>
      <x:c r="F2902" s="17" t="str">
        <x:v>Lite</x:v>
      </x:c>
      <x:c r="G2902" s="21" t="n">
        <x:v>25455</x:v>
      </x:c>
      <x:c r="H2902" s="21" t="n">
        <x:v>1200</x:v>
      </x:c>
      <x:c r="I2902" s="17" t="str">
        <x:v>Followup</x:v>
      </x:c>
    </x:row>
    <x:row r="2903" ht="23" customHeight="1">
      <x:c r="A2903" s="17" t="str">
        <x:v>U02897</x:v>
      </x:c>
      <x:c r="B2903" s="18" t="n">
        <x:v>46293</x:v>
      </x:c>
      <x:c r="C2903" s="17" t="str">
        <x:v>W0228</x:v>
      </x:c>
      <x:c r="D2903" s="17" t="str">
        <x:v>C004</x:v>
      </x:c>
      <x:c r="E2903" s="17" t="str">
        <x:v>CampaignChat</x:v>
      </x:c>
      <x:c r="F2903" s="17" t="str">
        <x:v>Lite</x:v>
      </x:c>
      <x:c r="G2903" s="21" t="n">
        <x:v>27487</x:v>
      </x:c>
      <x:c r="H2903" s="21" t="n">
        <x:v>3189</x:v>
      </x:c>
      <x:c r="I2903" s="17" t="str">
        <x:v>Followup</x:v>
      </x:c>
    </x:row>
    <x:row r="2904" ht="23" customHeight="1">
      <x:c r="A2904" s="17" t="str">
        <x:v>U02898</x:v>
      </x:c>
      <x:c r="B2904" s="18" t="n">
        <x:v>46293</x:v>
      </x:c>
      <x:c r="C2904" s="17" t="str">
        <x:v>W0228</x:v>
      </x:c>
      <x:c r="D2904" s="17" t="str">
        <x:v>C004</x:v>
      </x:c>
      <x:c r="E2904" s="17" t="str">
        <x:v>CampaignChat</x:v>
      </x:c>
      <x:c r="F2904" s="17" t="str">
        <x:v>Lite</x:v>
      </x:c>
      <x:c r="G2904" s="21" t="n">
        <x:v>28003</x:v>
      </x:c>
      <x:c r="H2904" s="21" t="n">
        <x:v>4336</x:v>
      </x:c>
      <x:c r="I2904" s="17" t="str">
        <x:v>Followup</x:v>
      </x:c>
    </x:row>
    <x:row r="2905" ht="23" customHeight="1">
      <x:c r="A2905" s="17" t="str">
        <x:v>U02899</x:v>
      </x:c>
      <x:c r="B2905" s="18" t="n">
        <x:v>46294</x:v>
      </x:c>
      <x:c r="C2905" s="17" t="str">
        <x:v>W0228</x:v>
      </x:c>
      <x:c r="D2905" s="17" t="str">
        <x:v>C004</x:v>
      </x:c>
      <x:c r="E2905" s="17" t="str">
        <x:v>CampaignChat</x:v>
      </x:c>
      <x:c r="F2905" s="17" t="str">
        <x:v>Lite</x:v>
      </x:c>
      <x:c r="G2905" s="21" t="n">
        <x:v>26052</x:v>
      </x:c>
      <x:c r="H2905" s="21" t="n">
        <x:v>3023</x:v>
      </x:c>
      <x:c r="I2905" s="17" t="str">
        <x:v>Correction</x:v>
      </x:c>
    </x:row>
    <x:row r="2906" ht="23" customHeight="1">
      <x:c r="A2906" s="17" t="str">
        <x:v>U02900</x:v>
      </x:c>
      <x:c r="B2906" s="18" t="n">
        <x:v>46294</x:v>
      </x:c>
      <x:c r="C2906" s="17" t="str">
        <x:v>W0228</x:v>
      </x:c>
      <x:c r="D2906" s="17" t="str">
        <x:v>C004</x:v>
      </x:c>
      <x:c r="E2906" s="17" t="str">
        <x:v>CampaignChat</x:v>
      </x:c>
      <x:c r="F2906" s="17" t="str">
        <x:v>Lite</x:v>
      </x:c>
      <x:c r="G2906" s="21" t="n">
        <x:v>21112</x:v>
      </x:c>
      <x:c r="H2906" s="21" t="n">
        <x:v>2414</x:v>
      </x:c>
      <x:c r="I2906" s="17" t="str">
        <x:v>Correction</x:v>
      </x:c>
    </x:row>
    <x:row r="2907" ht="23" customHeight="1">
      <x:c r="A2907" s="17" t="str">
        <x:v>U02901</x:v>
      </x:c>
      <x:c r="B2907" s="18" t="n">
        <x:v>46294</x:v>
      </x:c>
      <x:c r="C2907" s="17" t="str">
        <x:v>W0228</x:v>
      </x:c>
      <x:c r="D2907" s="17" t="str">
        <x:v>C004</x:v>
      </x:c>
      <x:c r="E2907" s="17" t="str">
        <x:v>CampaignChat</x:v>
      </x:c>
      <x:c r="F2907" s="17" t="str">
        <x:v>Lite</x:v>
      </x:c>
      <x:c r="G2907" s="21" t="n">
        <x:v>31627</x:v>
      </x:c>
      <x:c r="H2907" s="21" t="n">
        <x:v>2810</x:v>
      </x:c>
      <x:c r="I2907" s="17" t="str">
        <x:v>Followup</x:v>
      </x:c>
    </x:row>
    <x:row r="2908" ht="23" customHeight="1">
      <x:c r="A2908" s="17" t="str">
        <x:v>U02902</x:v>
      </x:c>
      <x:c r="B2908" s="18" t="n">
        <x:v>46294</x:v>
      </x:c>
      <x:c r="C2908" s="17" t="str">
        <x:v>W0228</x:v>
      </x:c>
      <x:c r="D2908" s="17" t="str">
        <x:v>C004</x:v>
      </x:c>
      <x:c r="E2908" s="17" t="str">
        <x:v>CampaignChat</x:v>
      </x:c>
      <x:c r="F2908" s="17" t="str">
        <x:v>Lite</x:v>
      </x:c>
      <x:c r="G2908" s="21" t="n">
        <x:v>21694</x:v>
      </x:c>
      <x:c r="H2908" s="21" t="n">
        <x:v>4095</x:v>
      </x:c>
      <x:c r="I2908" s="17" t="str">
        <x:v>Followup</x:v>
      </x:c>
    </x:row>
    <x:row r="2909" ht="23" customHeight="1">
      <x:c r="A2909" s="17" t="str">
        <x:v>U02903</x:v>
      </x:c>
      <x:c r="B2909" s="18" t="n">
        <x:v>46295</x:v>
      </x:c>
      <x:c r="C2909" s="17" t="str">
        <x:v>W0228</x:v>
      </x:c>
      <x:c r="D2909" s="17" t="str">
        <x:v>C004</x:v>
      </x:c>
      <x:c r="E2909" s="17" t="str">
        <x:v>CampaignChat</x:v>
      </x:c>
      <x:c r="F2909" s="17" t="str">
        <x:v>Lite</x:v>
      </x:c>
      <x:c r="G2909" s="21" t="n">
        <x:v>19002</x:v>
      </x:c>
      <x:c r="H2909" s="21" t="n">
        <x:v>4006</x:v>
      </x:c>
      <x:c r="I2909" s="17" t="str">
        <x:v>Followup</x:v>
      </x:c>
    </x:row>
    <x:row r="2910" ht="23" customHeight="1">
      <x:c r="A2910" s="17" t="str">
        <x:v>U02904</x:v>
      </x:c>
      <x:c r="B2910" s="18" t="n">
        <x:v>46295</x:v>
      </x:c>
      <x:c r="C2910" s="17" t="str">
        <x:v>W0228</x:v>
      </x:c>
      <x:c r="D2910" s="17" t="str">
        <x:v>C004</x:v>
      </x:c>
      <x:c r="E2910" s="17" t="str">
        <x:v>CampaignChat</x:v>
      </x:c>
      <x:c r="F2910" s="17" t="str">
        <x:v>Lite</x:v>
      </x:c>
      <x:c r="G2910" s="21" t="n">
        <x:v>23027</x:v>
      </x:c>
      <x:c r="H2910" s="21" t="n">
        <x:v>2175</x:v>
      </x:c>
      <x:c r="I2910" s="17" t="str">
        <x:v>Correction</x:v>
      </x:c>
    </x:row>
    <x:row r="2911" ht="23" customHeight="1">
      <x:c r="A2911" s="17" t="str">
        <x:v>U02905</x:v>
      </x:c>
      <x:c r="B2911" s="18" t="n">
        <x:v>46295</x:v>
      </x:c>
      <x:c r="C2911" s="17" t="str">
        <x:v>W0228</x:v>
      </x:c>
      <x:c r="D2911" s="17" t="str">
        <x:v>C004</x:v>
      </x:c>
      <x:c r="E2911" s="17" t="str">
        <x:v>CampaignChat</x:v>
      </x:c>
      <x:c r="F2911" s="17" t="str">
        <x:v>Lite</x:v>
      </x:c>
      <x:c r="G2911" s="21" t="n">
        <x:v>13823</x:v>
      </x:c>
      <x:c r="H2911" s="21" t="n">
        <x:v>3290</x:v>
      </x:c>
      <x:c r="I2911" s="17" t="str">
        <x:v>Followup</x:v>
      </x:c>
    </x:row>
    <x:row r="2912" ht="23" customHeight="1">
      <x:c r="A2912" s="17" t="str">
        <x:v>U02906</x:v>
      </x:c>
      <x:c r="B2912" s="18" t="n">
        <x:v>46275</x:v>
      </x:c>
      <x:c r="C2912" s="17" t="str">
        <x:v>W0229</x:v>
      </x:c>
      <x:c r="D2912" s="17" t="str">
        <x:v>C004</x:v>
      </x:c>
      <x:c r="E2912" s="17" t="str">
        <x:v>CampaignChat</x:v>
      </x:c>
      <x:c r="F2912" s="17" t="str">
        <x:v>Lite</x:v>
      </x:c>
      <x:c r="G2912" s="21" t="n">
        <x:v>16893</x:v>
      </x:c>
      <x:c r="H2912" s="21" t="n">
        <x:v>6009</x:v>
      </x:c>
      <x:c r="I2912" s="17" t="str">
        <x:v>First attempt</x:v>
      </x:c>
    </x:row>
    <x:row r="2913" ht="23" customHeight="1">
      <x:c r="A2913" s="17" t="str">
        <x:v>U02907</x:v>
      </x:c>
      <x:c r="B2913" s="18" t="n">
        <x:v>46275</x:v>
      </x:c>
      <x:c r="C2913" s="17" t="str">
        <x:v>W0229</x:v>
      </x:c>
      <x:c r="D2913" s="17" t="str">
        <x:v>C004</x:v>
      </x:c>
      <x:c r="E2913" s="17" t="str">
        <x:v>CampaignChat</x:v>
      </x:c>
      <x:c r="F2913" s="17" t="str">
        <x:v>Lite</x:v>
      </x:c>
      <x:c r="G2913" s="21" t="n">
        <x:v>14236</x:v>
      </x:c>
      <x:c r="H2913" s="21" t="n">
        <x:v>3581</x:v>
      </x:c>
      <x:c r="I2913" s="17" t="str">
        <x:v>Followup</x:v>
      </x:c>
    </x:row>
    <x:row r="2914" ht="23" customHeight="1">
      <x:c r="A2914" s="17" t="str">
        <x:v>U02908</x:v>
      </x:c>
      <x:c r="B2914" s="18" t="n">
        <x:v>46275</x:v>
      </x:c>
      <x:c r="C2914" s="17" t="str">
        <x:v>W0229</x:v>
      </x:c>
      <x:c r="D2914" s="17" t="str">
        <x:v>C004</x:v>
      </x:c>
      <x:c r="E2914" s="17" t="str">
        <x:v>CampaignChat</x:v>
      </x:c>
      <x:c r="F2914" s="17" t="str">
        <x:v>Lite</x:v>
      </x:c>
      <x:c r="G2914" s="21" t="n">
        <x:v>14420</x:v>
      </x:c>
      <x:c r="H2914" s="21" t="n">
        <x:v>5875</x:v>
      </x:c>
      <x:c r="I2914" s="17" t="str">
        <x:v>Followup</x:v>
      </x:c>
    </x:row>
    <x:row r="2915" ht="23" customHeight="1">
      <x:c r="A2915" s="17" t="str">
        <x:v>U02909</x:v>
      </x:c>
      <x:c r="B2915" s="18" t="n">
        <x:v>46275</x:v>
      </x:c>
      <x:c r="C2915" s="17" t="str">
        <x:v>W0229</x:v>
      </x:c>
      <x:c r="D2915" s="17" t="str">
        <x:v>C004</x:v>
      </x:c>
      <x:c r="E2915" s="17" t="str">
        <x:v>CampaignChat</x:v>
      </x:c>
      <x:c r="F2915" s="17" t="str">
        <x:v>Lite</x:v>
      </x:c>
      <x:c r="G2915" s="21" t="n">
        <x:v>14158</x:v>
      </x:c>
      <x:c r="H2915" s="21" t="n">
        <x:v>5001</x:v>
      </x:c>
      <x:c r="I2915" s="17" t="str">
        <x:v>Followup</x:v>
      </x:c>
    </x:row>
    <x:row r="2916" ht="23" customHeight="1">
      <x:c r="A2916" s="17" t="str">
        <x:v>U02910</x:v>
      </x:c>
      <x:c r="B2916" s="18" t="n">
        <x:v>46276</x:v>
      </x:c>
      <x:c r="C2916" s="17" t="str">
        <x:v>W0229</x:v>
      </x:c>
      <x:c r="D2916" s="17" t="str">
        <x:v>C004</x:v>
      </x:c>
      <x:c r="E2916" s="17" t="str">
        <x:v>CampaignChat</x:v>
      </x:c>
      <x:c r="F2916" s="17" t="str">
        <x:v>Lite</x:v>
      </x:c>
      <x:c r="G2916" s="21" t="n">
        <x:v>15314</x:v>
      </x:c>
      <x:c r="H2916" s="21" t="n">
        <x:v>4993</x:v>
      </x:c>
      <x:c r="I2916" s="17" t="str">
        <x:v>Correction</x:v>
      </x:c>
    </x:row>
    <x:row r="2917" ht="23" customHeight="1">
      <x:c r="A2917" s="17" t="str">
        <x:v>U02911</x:v>
      </x:c>
      <x:c r="B2917" s="18" t="n">
        <x:v>46276</x:v>
      </x:c>
      <x:c r="C2917" s="17" t="str">
        <x:v>W0229</x:v>
      </x:c>
      <x:c r="D2917" s="17" t="str">
        <x:v>C004</x:v>
      </x:c>
      <x:c r="E2917" s="17" t="str">
        <x:v>CampaignChat</x:v>
      </x:c>
      <x:c r="F2917" s="17" t="str">
        <x:v>Lite</x:v>
      </x:c>
      <x:c r="G2917" s="21" t="n">
        <x:v>10726</x:v>
      </x:c>
      <x:c r="H2917" s="21" t="n">
        <x:v>4629</x:v>
      </x:c>
      <x:c r="I2917" s="17" t="str">
        <x:v>Correction</x:v>
      </x:c>
    </x:row>
    <x:row r="2918" ht="23" customHeight="1">
      <x:c r="A2918" s="17" t="str">
        <x:v>U02912</x:v>
      </x:c>
      <x:c r="B2918" s="18" t="n">
        <x:v>46276</x:v>
      </x:c>
      <x:c r="C2918" s="17" t="str">
        <x:v>W0229</x:v>
      </x:c>
      <x:c r="D2918" s="17" t="str">
        <x:v>C004</x:v>
      </x:c>
      <x:c r="E2918" s="17" t="str">
        <x:v>CampaignChat</x:v>
      </x:c>
      <x:c r="F2918" s="17" t="str">
        <x:v>Lite</x:v>
      </x:c>
      <x:c r="G2918" s="21" t="n">
        <x:v>10200</x:v>
      </x:c>
      <x:c r="H2918" s="21" t="n">
        <x:v>5029</x:v>
      </x:c>
      <x:c r="I2918" s="17" t="str">
        <x:v>Followup</x:v>
      </x:c>
    </x:row>
    <x:row r="2919" ht="23" customHeight="1">
      <x:c r="A2919" s="17" t="str">
        <x:v>U02913</x:v>
      </x:c>
      <x:c r="B2919" s="18" t="n">
        <x:v>46279</x:v>
      </x:c>
      <x:c r="C2919" s="17" t="str">
        <x:v>W0229</x:v>
      </x:c>
      <x:c r="D2919" s="17" t="str">
        <x:v>C004</x:v>
      </x:c>
      <x:c r="E2919" s="17" t="str">
        <x:v>CampaignChat</x:v>
      </x:c>
      <x:c r="F2919" s="17" t="str">
        <x:v>Lite</x:v>
      </x:c>
      <x:c r="G2919" s="21" t="n">
        <x:v>6560</x:v>
      </x:c>
      <x:c r="H2919" s="21" t="n">
        <x:v>6023</x:v>
      </x:c>
      <x:c r="I2919" s="17" t="str">
        <x:v>Followup</x:v>
      </x:c>
    </x:row>
    <x:row r="2920" ht="23" customHeight="1">
      <x:c r="A2920" s="17" t="str">
        <x:v>U02914</x:v>
      </x:c>
      <x:c r="B2920" s="18" t="n">
        <x:v>46279</x:v>
      </x:c>
      <x:c r="C2920" s="17" t="str">
        <x:v>W0229</x:v>
      </x:c>
      <x:c r="D2920" s="17" t="str">
        <x:v>C004</x:v>
      </x:c>
      <x:c r="E2920" s="17" t="str">
        <x:v>CampaignChat</x:v>
      </x:c>
      <x:c r="F2920" s="17" t="str">
        <x:v>Lite</x:v>
      </x:c>
      <x:c r="G2920" s="21" t="n">
        <x:v>17589</x:v>
      </x:c>
      <x:c r="H2920" s="21" t="n">
        <x:v>4158</x:v>
      </x:c>
      <x:c r="I2920" s="17" t="str">
        <x:v>Followup</x:v>
      </x:c>
    </x:row>
    <x:row r="2921" ht="23" customHeight="1">
      <x:c r="A2921" s="17" t="str">
        <x:v>U02915</x:v>
      </x:c>
      <x:c r="B2921" s="18" t="n">
        <x:v>46279</x:v>
      </x:c>
      <x:c r="C2921" s="17" t="str">
        <x:v>W0229</x:v>
      </x:c>
      <x:c r="D2921" s="17" t="str">
        <x:v>C004</x:v>
      </x:c>
      <x:c r="E2921" s="17" t="str">
        <x:v>CampaignChat</x:v>
      </x:c>
      <x:c r="F2921" s="17" t="str">
        <x:v>Lite</x:v>
      </x:c>
      <x:c r="G2921" s="21" t="n">
        <x:v>15387</x:v>
      </x:c>
      <x:c r="H2921" s="21" t="n">
        <x:v>3602</x:v>
      </x:c>
      <x:c r="I2921" s="17" t="str">
        <x:v>Followup</x:v>
      </x:c>
    </x:row>
    <x:row r="2922" ht="23" customHeight="1">
      <x:c r="A2922" s="17" t="str">
        <x:v>U02916</x:v>
      </x:c>
      <x:c r="B2922" s="18" t="n">
        <x:v>46280</x:v>
      </x:c>
      <x:c r="C2922" s="17" t="str">
        <x:v>W0229</x:v>
      </x:c>
      <x:c r="D2922" s="17" t="str">
        <x:v>C004</x:v>
      </x:c>
      <x:c r="E2922" s="17" t="str">
        <x:v>CampaignChat</x:v>
      </x:c>
      <x:c r="F2922" s="17" t="str">
        <x:v>Lite</x:v>
      </x:c>
      <x:c r="G2922" s="21" t="n">
        <x:v>6500</x:v>
      </x:c>
      <x:c r="H2922" s="21" t="n">
        <x:v>4324</x:v>
      </x:c>
      <x:c r="I2922" s="17" t="str">
        <x:v>Followup</x:v>
      </x:c>
    </x:row>
    <x:row r="2923" ht="23" customHeight="1">
      <x:c r="A2923" s="17" t="str">
        <x:v>U02917</x:v>
      </x:c>
      <x:c r="B2923" s="18" t="n">
        <x:v>46280</x:v>
      </x:c>
      <x:c r="C2923" s="17" t="str">
        <x:v>W0229</x:v>
      </x:c>
      <x:c r="D2923" s="17" t="str">
        <x:v>C004</x:v>
      </x:c>
      <x:c r="E2923" s="17" t="str">
        <x:v>CampaignChat</x:v>
      </x:c>
      <x:c r="F2923" s="17" t="str">
        <x:v>Lite</x:v>
      </x:c>
      <x:c r="G2923" s="21" t="n">
        <x:v>13405</x:v>
      </x:c>
      <x:c r="H2923" s="21" t="n">
        <x:v>6125</x:v>
      </x:c>
      <x:c r="I2923" s="17" t="str">
        <x:v>Followup</x:v>
      </x:c>
    </x:row>
    <x:row r="2924" ht="23" customHeight="1">
      <x:c r="A2924" s="17" t="str">
        <x:v>U02918</x:v>
      </x:c>
      <x:c r="B2924" s="18" t="n">
        <x:v>46280</x:v>
      </x:c>
      <x:c r="C2924" s="17" t="str">
        <x:v>W0229</x:v>
      </x:c>
      <x:c r="D2924" s="17" t="str">
        <x:v>C004</x:v>
      </x:c>
      <x:c r="E2924" s="17" t="str">
        <x:v>CampaignChat</x:v>
      </x:c>
      <x:c r="F2924" s="17" t="str">
        <x:v>Lite</x:v>
      </x:c>
      <x:c r="G2924" s="21" t="n">
        <x:v>17442</x:v>
      </x:c>
      <x:c r="H2924" s="21" t="n">
        <x:v>2920</x:v>
      </x:c>
      <x:c r="I2924" s="17" t="str">
        <x:v>Correction</x:v>
      </x:c>
    </x:row>
    <x:row r="2925" ht="23" customHeight="1">
      <x:c r="A2925" s="17" t="str">
        <x:v>U02919</x:v>
      </x:c>
      <x:c r="B2925" s="18" t="n">
        <x:v>46286</x:v>
      </x:c>
      <x:c r="C2925" s="17" t="str">
        <x:v>W0230</x:v>
      </x:c>
      <x:c r="D2925" s="17" t="str">
        <x:v>C004</x:v>
      </x:c>
      <x:c r="E2925" s="17" t="str">
        <x:v>DataFlow</x:v>
      </x:c>
      <x:c r="F2925" s="17" t="str">
        <x:v>Lite</x:v>
      </x:c>
      <x:c r="G2925" s="21" t="n">
        <x:v>7034</x:v>
      </x:c>
      <x:c r="H2925" s="21" t="n">
        <x:v>1664</x:v>
      </x:c>
      <x:c r="I2925" s="17" t="str">
        <x:v>First attempt</x:v>
      </x:c>
    </x:row>
    <x:row r="2926" ht="23" customHeight="1">
      <x:c r="A2926" s="17" t="str">
        <x:v>U02920</x:v>
      </x:c>
      <x:c r="B2926" s="18" t="n">
        <x:v>46286</x:v>
      </x:c>
      <x:c r="C2926" s="17" t="str">
        <x:v>W0230</x:v>
      </x:c>
      <x:c r="D2926" s="17" t="str">
        <x:v>C004</x:v>
      </x:c>
      <x:c r="E2926" s="17" t="str">
        <x:v>DataFlow</x:v>
      </x:c>
      <x:c r="F2926" s="17" t="str">
        <x:v>Lite</x:v>
      </x:c>
      <x:c r="G2926" s="21" t="n">
        <x:v>18595</x:v>
      </x:c>
      <x:c r="H2926" s="21" t="n">
        <x:v>1382</x:v>
      </x:c>
      <x:c r="I2926" s="17" t="str">
        <x:v>Followup</x:v>
      </x:c>
    </x:row>
    <x:row r="2927" ht="23" customHeight="1">
      <x:c r="A2927" s="17" t="str">
        <x:v>U02921</x:v>
      </x:c>
      <x:c r="B2927" s="18" t="n">
        <x:v>46286</x:v>
      </x:c>
      <x:c r="C2927" s="17" t="str">
        <x:v>W0230</x:v>
      </x:c>
      <x:c r="D2927" s="17" t="str">
        <x:v>C004</x:v>
      </x:c>
      <x:c r="E2927" s="17" t="str">
        <x:v>DataFlow</x:v>
      </x:c>
      <x:c r="F2927" s="17" t="str">
        <x:v>Lite</x:v>
      </x:c>
      <x:c r="G2927" s="21" t="n">
        <x:v>18137</x:v>
      </x:c>
      <x:c r="H2927" s="21" t="n">
        <x:v>4530</x:v>
      </x:c>
      <x:c r="I2927" s="17" t="str">
        <x:v>Followup</x:v>
      </x:c>
    </x:row>
    <x:row r="2928" ht="23" customHeight="1">
      <x:c r="A2928" s="17" t="str">
        <x:v>U02922</x:v>
      </x:c>
      <x:c r="B2928" s="18" t="n">
        <x:v>46287</x:v>
      </x:c>
      <x:c r="C2928" s="17" t="str">
        <x:v>W0230</x:v>
      </x:c>
      <x:c r="D2928" s="17" t="str">
        <x:v>C004</x:v>
      </x:c>
      <x:c r="E2928" s="17" t="str">
        <x:v>DataFlow</x:v>
      </x:c>
      <x:c r="F2928" s="17" t="str">
        <x:v>Lite</x:v>
      </x:c>
      <x:c r="G2928" s="21" t="n">
        <x:v>18092</x:v>
      </x:c>
      <x:c r="H2928" s="21" t="n">
        <x:v>4102</x:v>
      </x:c>
      <x:c r="I2928" s="17" t="str">
        <x:v>Followup</x:v>
      </x:c>
    </x:row>
    <x:row r="2929" ht="23" customHeight="1">
      <x:c r="A2929" s="17" t="str">
        <x:v>U02923</x:v>
      </x:c>
      <x:c r="B2929" s="18" t="n">
        <x:v>46287</x:v>
      </x:c>
      <x:c r="C2929" s="17" t="str">
        <x:v>W0230</x:v>
      </x:c>
      <x:c r="D2929" s="17" t="str">
        <x:v>C004</x:v>
      </x:c>
      <x:c r="E2929" s="17" t="str">
        <x:v>DataFlow</x:v>
      </x:c>
      <x:c r="F2929" s="17" t="str">
        <x:v>Lite</x:v>
      </x:c>
      <x:c r="G2929" s="21" t="n">
        <x:v>18119</x:v>
      </x:c>
      <x:c r="H2929" s="21" t="n">
        <x:v>4891</x:v>
      </x:c>
      <x:c r="I2929" s="17" t="str">
        <x:v>Followup</x:v>
      </x:c>
    </x:row>
    <x:row r="2930" ht="23" customHeight="1">
      <x:c r="A2930" s="17" t="str">
        <x:v>U02924</x:v>
      </x:c>
      <x:c r="B2930" s="18" t="n">
        <x:v>46287</x:v>
      </x:c>
      <x:c r="C2930" s="17" t="str">
        <x:v>W0230</x:v>
      </x:c>
      <x:c r="D2930" s="17" t="str">
        <x:v>C004</x:v>
      </x:c>
      <x:c r="E2930" s="17" t="str">
        <x:v>DataFlow</x:v>
      </x:c>
      <x:c r="F2930" s="17" t="str">
        <x:v>Lite</x:v>
      </x:c>
      <x:c r="G2930" s="21" t="n">
        <x:v>14112</x:v>
      </x:c>
      <x:c r="H2930" s="21" t="n">
        <x:v>1823</x:v>
      </x:c>
      <x:c r="I2930" s="17" t="str">
        <x:v>Correction</x:v>
      </x:c>
    </x:row>
    <x:row r="2931" ht="23" customHeight="1">
      <x:c r="A2931" s="17" t="str">
        <x:v>U02925</x:v>
      </x:c>
      <x:c r="B2931" s="18" t="n">
        <x:v>46288</x:v>
      </x:c>
      <x:c r="C2931" s="17" t="str">
        <x:v>W0230</x:v>
      </x:c>
      <x:c r="D2931" s="17" t="str">
        <x:v>C004</x:v>
      </x:c>
      <x:c r="E2931" s="17" t="str">
        <x:v>DataFlow</x:v>
      </x:c>
      <x:c r="F2931" s="17" t="str">
        <x:v>Lite</x:v>
      </x:c>
      <x:c r="G2931" s="21" t="n">
        <x:v>15145</x:v>
      </x:c>
      <x:c r="H2931" s="21" t="n">
        <x:v>3996</x:v>
      </x:c>
      <x:c r="I2931" s="17" t="str">
        <x:v>Followup</x:v>
      </x:c>
    </x:row>
    <x:row r="2932" ht="23" customHeight="1">
      <x:c r="A2932" s="17" t="str">
        <x:v>U02926</x:v>
      </x:c>
      <x:c r="B2932" s="18" t="n">
        <x:v>46288</x:v>
      </x:c>
      <x:c r="C2932" s="17" t="str">
        <x:v>W0230</x:v>
      </x:c>
      <x:c r="D2932" s="17" t="str">
        <x:v>C004</x:v>
      </x:c>
      <x:c r="E2932" s="17" t="str">
        <x:v>DataFlow</x:v>
      </x:c>
      <x:c r="F2932" s="17" t="str">
        <x:v>Lite</x:v>
      </x:c>
      <x:c r="G2932" s="21" t="n">
        <x:v>11717</x:v>
      </x:c>
      <x:c r="H2932" s="21" t="n">
        <x:v>3052</x:v>
      </x:c>
      <x:c r="I2932" s="17" t="str">
        <x:v>Followup</x:v>
      </x:c>
    </x:row>
    <x:row r="2933" ht="23" customHeight="1">
      <x:c r="A2933" s="17" t="str">
        <x:v>U02927</x:v>
      </x:c>
      <x:c r="B2933" s="18" t="n">
        <x:v>46288</x:v>
      </x:c>
      <x:c r="C2933" s="17" t="str">
        <x:v>W0230</x:v>
      </x:c>
      <x:c r="D2933" s="17" t="str">
        <x:v>C004</x:v>
      </x:c>
      <x:c r="E2933" s="17" t="str">
        <x:v>DataFlow</x:v>
      </x:c>
      <x:c r="F2933" s="17" t="str">
        <x:v>Lite</x:v>
      </x:c>
      <x:c r="G2933" s="21" t="n">
        <x:v>14036</x:v>
      </x:c>
      <x:c r="H2933" s="21" t="n">
        <x:v>3988</x:v>
      </x:c>
      <x:c r="I2933" s="17" t="str">
        <x:v>Followup</x:v>
      </x:c>
    </x:row>
    <x:row r="2934" ht="23" customHeight="1">
      <x:c r="A2934" s="17" t="str">
        <x:v>U02928</x:v>
      </x:c>
      <x:c r="B2934" s="18" t="n">
        <x:v>46289</x:v>
      </x:c>
      <x:c r="C2934" s="17" t="str">
        <x:v>W0230</x:v>
      </x:c>
      <x:c r="D2934" s="17" t="str">
        <x:v>C004</x:v>
      </x:c>
      <x:c r="E2934" s="17" t="str">
        <x:v>DataFlow</x:v>
      </x:c>
      <x:c r="F2934" s="17" t="str">
        <x:v>Lite</x:v>
      </x:c>
      <x:c r="G2934" s="21" t="n">
        <x:v>7917</x:v>
      </x:c>
      <x:c r="H2934" s="21" t="n">
        <x:v>5057</x:v>
      </x:c>
      <x:c r="I2934" s="17" t="str">
        <x:v>Correction</x:v>
      </x:c>
    </x:row>
    <x:row r="2935" ht="23" customHeight="1">
      <x:c r="A2935" s="17" t="str">
        <x:v>U02929</x:v>
      </x:c>
      <x:c r="B2935" s="18" t="n">
        <x:v>46289</x:v>
      </x:c>
      <x:c r="C2935" s="17" t="str">
        <x:v>W0230</x:v>
      </x:c>
      <x:c r="D2935" s="17" t="str">
        <x:v>C004</x:v>
      </x:c>
      <x:c r="E2935" s="17" t="str">
        <x:v>DataFlow</x:v>
      </x:c>
      <x:c r="F2935" s="17" t="str">
        <x:v>Lite</x:v>
      </x:c>
      <x:c r="G2935" s="21" t="n">
        <x:v>6758</x:v>
      </x:c>
      <x:c r="H2935" s="21" t="n">
        <x:v>2020</x:v>
      </x:c>
      <x:c r="I2935" s="17" t="str">
        <x:v>Followup</x:v>
      </x:c>
    </x:row>
    <x:row r="2936" ht="23" customHeight="1">
      <x:c r="A2936" s="17" t="str">
        <x:v>U02930</x:v>
      </x:c>
      <x:c r="B2936" s="18" t="n">
        <x:v>46289</x:v>
      </x:c>
      <x:c r="C2936" s="17" t="str">
        <x:v>W0230</x:v>
      </x:c>
      <x:c r="D2936" s="17" t="str">
        <x:v>C004</x:v>
      </x:c>
      <x:c r="E2936" s="17" t="str">
        <x:v>DataFlow</x:v>
      </x:c>
      <x:c r="F2936" s="17" t="str">
        <x:v>Lite</x:v>
      </x:c>
      <x:c r="G2936" s="21" t="n">
        <x:v>16912</x:v>
      </x:c>
      <x:c r="H2936" s="21" t="n">
        <x:v>2491</x:v>
      </x:c>
      <x:c r="I2936" s="17" t="str">
        <x:v>Followup</x:v>
      </x:c>
    </x:row>
    <x:row r="2937" ht="23" customHeight="1">
      <x:c r="A2937" s="17" t="str">
        <x:v>U02931</x:v>
      </x:c>
      <x:c r="B2937" s="18" t="n">
        <x:v>46280</x:v>
      </x:c>
      <x:c r="C2937" s="17" t="str">
        <x:v>W0232</x:v>
      </x:c>
      <x:c r="D2937" s="17" t="str">
        <x:v>C004</x:v>
      </x:c>
      <x:c r="E2937" s="17" t="str">
        <x:v>InsightDesk</x:v>
      </x:c>
      <x:c r="F2937" s="17" t="str">
        <x:v>Lite</x:v>
      </x:c>
      <x:c r="G2937" s="21" t="n">
        <x:v>24807</x:v>
      </x:c>
      <x:c r="H2937" s="21" t="n">
        <x:v>2459</x:v>
      </x:c>
      <x:c r="I2937" s="17" t="str">
        <x:v>First attempt</x:v>
      </x:c>
    </x:row>
    <x:row r="2938" ht="23" customHeight="1">
      <x:c r="A2938" s="17" t="str">
        <x:v>U02932</x:v>
      </x:c>
      <x:c r="B2938" s="18" t="n">
        <x:v>46280</x:v>
      </x:c>
      <x:c r="C2938" s="17" t="str">
        <x:v>W0232</x:v>
      </x:c>
      <x:c r="D2938" s="17" t="str">
        <x:v>C004</x:v>
      </x:c>
      <x:c r="E2938" s="17" t="str">
        <x:v>InsightDesk</x:v>
      </x:c>
      <x:c r="F2938" s="17" t="str">
        <x:v>Lite</x:v>
      </x:c>
      <x:c r="G2938" s="21" t="n">
        <x:v>19823</x:v>
      </x:c>
      <x:c r="H2938" s="21" t="n">
        <x:v>4392</x:v>
      </x:c>
      <x:c r="I2938" s="17" t="str">
        <x:v>Correction</x:v>
      </x:c>
    </x:row>
    <x:row r="2939" ht="23" customHeight="1">
      <x:c r="A2939" s="17" t="str">
        <x:v>U02933</x:v>
      </x:c>
      <x:c r="B2939" s="18" t="n">
        <x:v>46280</x:v>
      </x:c>
      <x:c r="C2939" s="17" t="str">
        <x:v>W0232</x:v>
      </x:c>
      <x:c r="D2939" s="17" t="str">
        <x:v>C004</x:v>
      </x:c>
      <x:c r="E2939" s="17" t="str">
        <x:v>InsightDesk</x:v>
      </x:c>
      <x:c r="F2939" s="17" t="str">
        <x:v>Lite</x:v>
      </x:c>
      <x:c r="G2939" s="21" t="n">
        <x:v>23738</x:v>
      </x:c>
      <x:c r="H2939" s="21" t="n">
        <x:v>3185</x:v>
      </x:c>
      <x:c r="I2939" s="17" t="str">
        <x:v>Followup</x:v>
      </x:c>
    </x:row>
    <x:row r="2940" ht="23" customHeight="1">
      <x:c r="A2940" s="17" t="str">
        <x:v>U02934</x:v>
      </x:c>
      <x:c r="B2940" s="18" t="n">
        <x:v>46281</x:v>
      </x:c>
      <x:c r="C2940" s="17" t="str">
        <x:v>W0232</x:v>
      </x:c>
      <x:c r="D2940" s="17" t="str">
        <x:v>C004</x:v>
      </x:c>
      <x:c r="E2940" s="17" t="str">
        <x:v>InsightDesk</x:v>
      </x:c>
      <x:c r="F2940" s="17" t="str">
        <x:v>Lite</x:v>
      </x:c>
      <x:c r="G2940" s="21" t="n">
        <x:v>28535</x:v>
      </x:c>
      <x:c r="H2940" s="21" t="n">
        <x:v>3517</x:v>
      </x:c>
      <x:c r="I2940" s="17" t="str">
        <x:v>Followup</x:v>
      </x:c>
    </x:row>
    <x:row r="2941" ht="23" customHeight="1">
      <x:c r="A2941" s="17" t="str">
        <x:v>U02935</x:v>
      </x:c>
      <x:c r="B2941" s="18" t="n">
        <x:v>46281</x:v>
      </x:c>
      <x:c r="C2941" s="17" t="str">
        <x:v>W0232</x:v>
      </x:c>
      <x:c r="D2941" s="17" t="str">
        <x:v>C004</x:v>
      </x:c>
      <x:c r="E2941" s="17" t="str">
        <x:v>InsightDesk</x:v>
      </x:c>
      <x:c r="F2941" s="17" t="str">
        <x:v>Lite</x:v>
      </x:c>
      <x:c r="G2941" s="21" t="n">
        <x:v>23880</x:v>
      </x:c>
      <x:c r="H2941" s="21" t="n">
        <x:v>3563</x:v>
      </x:c>
      <x:c r="I2941" s="17" t="str">
        <x:v>Followup</x:v>
      </x:c>
    </x:row>
    <x:row r="2942" ht="23" customHeight="1">
      <x:c r="A2942" s="17" t="str">
        <x:v>U02936</x:v>
      </x:c>
      <x:c r="B2942" s="18" t="n">
        <x:v>46282</x:v>
      </x:c>
      <x:c r="C2942" s="17" t="str">
        <x:v>W0232</x:v>
      </x:c>
      <x:c r="D2942" s="17" t="str">
        <x:v>C004</x:v>
      </x:c>
      <x:c r="E2942" s="17" t="str">
        <x:v>InsightDesk</x:v>
      </x:c>
      <x:c r="F2942" s="17" t="str">
        <x:v>Lite</x:v>
      </x:c>
      <x:c r="G2942" s="21" t="n">
        <x:v>19953</x:v>
      </x:c>
      <x:c r="H2942" s="21" t="n">
        <x:v>4860</x:v>
      </x:c>
      <x:c r="I2942" s="17" t="str">
        <x:v>Followup</x:v>
      </x:c>
    </x:row>
    <x:row r="2943" ht="23" customHeight="1">
      <x:c r="A2943" s="17" t="str">
        <x:v>U02937</x:v>
      </x:c>
      <x:c r="B2943" s="18" t="n">
        <x:v>46282</x:v>
      </x:c>
      <x:c r="C2943" s="17" t="str">
        <x:v>W0232</x:v>
      </x:c>
      <x:c r="D2943" s="17" t="str">
        <x:v>C004</x:v>
      </x:c>
      <x:c r="E2943" s="17" t="str">
        <x:v>InsightDesk</x:v>
      </x:c>
      <x:c r="F2943" s="17" t="str">
        <x:v>Lite</x:v>
      </x:c>
      <x:c r="G2943" s="21" t="n">
        <x:v>33613</x:v>
      </x:c>
      <x:c r="H2943" s="21" t="n">
        <x:v>2440</x:v>
      </x:c>
      <x:c r="I2943" s="17" t="str">
        <x:v>Followup</x:v>
      </x:c>
    </x:row>
    <x:row r="2944" ht="23" customHeight="1">
      <x:c r="A2944" s="17" t="str">
        <x:v>U02938</x:v>
      </x:c>
      <x:c r="B2944" s="18" t="n">
        <x:v>46283</x:v>
      </x:c>
      <x:c r="C2944" s="17" t="str">
        <x:v>W0232</x:v>
      </x:c>
      <x:c r="D2944" s="17" t="str">
        <x:v>C004</x:v>
      </x:c>
      <x:c r="E2944" s="17" t="str">
        <x:v>InsightDesk</x:v>
      </x:c>
      <x:c r="F2944" s="17" t="str">
        <x:v>Lite</x:v>
      </x:c>
      <x:c r="G2944" s="21" t="n">
        <x:v>21532</x:v>
      </x:c>
      <x:c r="H2944" s="21" t="n">
        <x:v>3884</x:v>
      </x:c>
      <x:c r="I2944" s="17" t="str">
        <x:v>Followup</x:v>
      </x:c>
    </x:row>
    <x:row r="2945" ht="23" customHeight="1">
      <x:c r="A2945" s="17" t="str">
        <x:v>U02939</x:v>
      </x:c>
      <x:c r="B2945" s="18" t="n">
        <x:v>46283</x:v>
      </x:c>
      <x:c r="C2945" s="17" t="str">
        <x:v>W0232</x:v>
      </x:c>
      <x:c r="D2945" s="17" t="str">
        <x:v>C004</x:v>
      </x:c>
      <x:c r="E2945" s="17" t="str">
        <x:v>InsightDesk</x:v>
      </x:c>
      <x:c r="F2945" s="17" t="str">
        <x:v>Lite</x:v>
      </x:c>
      <x:c r="G2945" s="21" t="n">
        <x:v>17761</x:v>
      </x:c>
      <x:c r="H2945" s="21" t="n">
        <x:v>3855</x:v>
      </x:c>
      <x:c r="I2945" s="17" t="str">
        <x:v>Followup</x:v>
      </x:c>
    </x:row>
    <x:row r="2946" ht="23" customHeight="1">
      <x:c r="A2946" s="17" t="str">
        <x:v>U02940</x:v>
      </x:c>
      <x:c r="B2946" s="18" t="n">
        <x:v>46274</x:v>
      </x:c>
      <x:c r="C2946" s="17" t="str">
        <x:v>W0234</x:v>
      </x:c>
      <x:c r="D2946" s="17" t="str">
        <x:v>C004</x:v>
      </x:c>
      <x:c r="E2946" s="17" t="str">
        <x:v>CopyStudio</x:v>
      </x:c>
      <x:c r="F2946" s="17" t="str">
        <x:v>Lite</x:v>
      </x:c>
      <x:c r="G2946" s="21" t="n">
        <x:v>17806</x:v>
      </x:c>
      <x:c r="H2946" s="21" t="n">
        <x:v>5621</x:v>
      </x:c>
      <x:c r="I2946" s="17" t="str">
        <x:v>First attempt</x:v>
      </x:c>
    </x:row>
    <x:row r="2947" ht="23" customHeight="1">
      <x:c r="A2947" s="17" t="str">
        <x:v>U02941</x:v>
      </x:c>
      <x:c r="B2947" s="18" t="n">
        <x:v>46274</x:v>
      </x:c>
      <x:c r="C2947" s="17" t="str">
        <x:v>W0234</x:v>
      </x:c>
      <x:c r="D2947" s="17" t="str">
        <x:v>C004</x:v>
      </x:c>
      <x:c r="E2947" s="17" t="str">
        <x:v>CopyStudio</x:v>
      </x:c>
      <x:c r="F2947" s="17" t="str">
        <x:v>Lite</x:v>
      </x:c>
      <x:c r="G2947" s="21" t="n">
        <x:v>17140</x:v>
      </x:c>
      <x:c r="H2947" s="21" t="n">
        <x:v>7764</x:v>
      </x:c>
      <x:c r="I2947" s="17" t="str">
        <x:v>Correction</x:v>
      </x:c>
    </x:row>
    <x:row r="2948" ht="23" customHeight="1">
      <x:c r="A2948" s="17" t="str">
        <x:v>U02942</x:v>
      </x:c>
      <x:c r="B2948" s="18" t="n">
        <x:v>46274</x:v>
      </x:c>
      <x:c r="C2948" s="17" t="str">
        <x:v>W0234</x:v>
      </x:c>
      <x:c r="D2948" s="17" t="str">
        <x:v>C004</x:v>
      </x:c>
      <x:c r="E2948" s="17" t="str">
        <x:v>CopyStudio</x:v>
      </x:c>
      <x:c r="F2948" s="17" t="str">
        <x:v>Lite</x:v>
      </x:c>
      <x:c r="G2948" s="21" t="n">
        <x:v>12570</x:v>
      </x:c>
      <x:c r="H2948" s="21" t="n">
        <x:v>5779</x:v>
      </x:c>
      <x:c r="I2948" s="17" t="str">
        <x:v>Followup</x:v>
      </x:c>
    </x:row>
    <x:row r="2949" ht="23" customHeight="1">
      <x:c r="A2949" s="17" t="str">
        <x:v>U02943</x:v>
      </x:c>
      <x:c r="B2949" s="18" t="n">
        <x:v>46274</x:v>
      </x:c>
      <x:c r="C2949" s="17" t="str">
        <x:v>W0234</x:v>
      </x:c>
      <x:c r="D2949" s="17" t="str">
        <x:v>C004</x:v>
      </x:c>
      <x:c r="E2949" s="17" t="str">
        <x:v>CopyStudio</x:v>
      </x:c>
      <x:c r="F2949" s="17" t="str">
        <x:v>Lite</x:v>
      </x:c>
      <x:c r="G2949" s="21" t="n">
        <x:v>12751</x:v>
      </x:c>
      <x:c r="H2949" s="21" t="n">
        <x:v>5222</x:v>
      </x:c>
      <x:c r="I2949" s="17" t="str">
        <x:v>Correction</x:v>
      </x:c>
    </x:row>
    <x:row r="2950" ht="23" customHeight="1">
      <x:c r="A2950" s="17" t="str">
        <x:v>U02944</x:v>
      </x:c>
      <x:c r="B2950" s="18" t="n">
        <x:v>46274</x:v>
      </x:c>
      <x:c r="C2950" s="17" t="str">
        <x:v>W0234</x:v>
      </x:c>
      <x:c r="D2950" s="17" t="str">
        <x:v>C004</x:v>
      </x:c>
      <x:c r="E2950" s="17" t="str">
        <x:v>CopyStudio</x:v>
      </x:c>
      <x:c r="F2950" s="17" t="str">
        <x:v>Lite</x:v>
      </x:c>
      <x:c r="G2950" s="21" t="n">
        <x:v>14770</x:v>
      </x:c>
      <x:c r="H2950" s="21" t="n">
        <x:v>2378</x:v>
      </x:c>
      <x:c r="I2950" s="17" t="str">
        <x:v>Followup</x:v>
      </x:c>
    </x:row>
    <x:row r="2951" ht="23" customHeight="1">
      <x:c r="A2951" s="17" t="str">
        <x:v>U02945</x:v>
      </x:c>
      <x:c r="B2951" s="18" t="n">
        <x:v>46275</x:v>
      </x:c>
      <x:c r="C2951" s="17" t="str">
        <x:v>W0234</x:v>
      </x:c>
      <x:c r="D2951" s="17" t="str">
        <x:v>C004</x:v>
      </x:c>
      <x:c r="E2951" s="17" t="str">
        <x:v>CopyStudio</x:v>
      </x:c>
      <x:c r="F2951" s="17" t="str">
        <x:v>Lite</x:v>
      </x:c>
      <x:c r="G2951" s="21" t="n">
        <x:v>12237</x:v>
      </x:c>
      <x:c r="H2951" s="21" t="n">
        <x:v>5128</x:v>
      </x:c>
      <x:c r="I2951" s="17" t="str">
        <x:v>Followup</x:v>
      </x:c>
    </x:row>
    <x:row r="2952" ht="23" customHeight="1">
      <x:c r="A2952" s="17" t="str">
        <x:v>U02946</x:v>
      </x:c>
      <x:c r="B2952" s="18" t="n">
        <x:v>46275</x:v>
      </x:c>
      <x:c r="C2952" s="17" t="str">
        <x:v>W0234</x:v>
      </x:c>
      <x:c r="D2952" s="17" t="str">
        <x:v>C004</x:v>
      </x:c>
      <x:c r="E2952" s="17" t="str">
        <x:v>CopyStudio</x:v>
      </x:c>
      <x:c r="F2952" s="17" t="str">
        <x:v>Lite</x:v>
      </x:c>
      <x:c r="G2952" s="21" t="n">
        <x:v>18206</x:v>
      </x:c>
      <x:c r="H2952" s="21" t="n">
        <x:v>2571</x:v>
      </x:c>
      <x:c r="I2952" s="17" t="str">
        <x:v>Followup</x:v>
      </x:c>
    </x:row>
    <x:row r="2953" ht="23" customHeight="1">
      <x:c r="A2953" s="17" t="str">
        <x:v>U02947</x:v>
      </x:c>
      <x:c r="B2953" s="18" t="n">
        <x:v>46275</x:v>
      </x:c>
      <x:c r="C2953" s="17" t="str">
        <x:v>W0234</x:v>
      </x:c>
      <x:c r="D2953" s="17" t="str">
        <x:v>C004</x:v>
      </x:c>
      <x:c r="E2953" s="17" t="str">
        <x:v>CopyStudio</x:v>
      </x:c>
      <x:c r="F2953" s="17" t="str">
        <x:v>Lite</x:v>
      </x:c>
      <x:c r="G2953" s="21" t="n">
        <x:v>10599</x:v>
      </x:c>
      <x:c r="H2953" s="21" t="n">
        <x:v>4208</x:v>
      </x:c>
      <x:c r="I2953" s="17" t="str">
        <x:v>Correction</x:v>
      </x:c>
    </x:row>
    <x:row r="2954" ht="23" customHeight="1">
      <x:c r="A2954" s="17" t="str">
        <x:v>U02948</x:v>
      </x:c>
      <x:c r="B2954" s="18" t="n">
        <x:v>46275</x:v>
      </x:c>
      <x:c r="C2954" s="17" t="str">
        <x:v>W0234</x:v>
      </x:c>
      <x:c r="D2954" s="17" t="str">
        <x:v>C004</x:v>
      </x:c>
      <x:c r="E2954" s="17" t="str">
        <x:v>CopyStudio</x:v>
      </x:c>
      <x:c r="F2954" s="17" t="str">
        <x:v>Lite</x:v>
      </x:c>
      <x:c r="G2954" s="21" t="n">
        <x:v>14779</x:v>
      </x:c>
      <x:c r="H2954" s="21" t="n">
        <x:v>5986</x:v>
      </x:c>
      <x:c r="I2954" s="17" t="str">
        <x:v>Followup</x:v>
      </x:c>
    </x:row>
    <x:row r="2955" ht="23" customHeight="1">
      <x:c r="A2955" s="17" t="str">
        <x:v>U02949</x:v>
      </x:c>
      <x:c r="B2955" s="18" t="n">
        <x:v>46275</x:v>
      </x:c>
      <x:c r="C2955" s="17" t="str">
        <x:v>W0234</x:v>
      </x:c>
      <x:c r="D2955" s="17" t="str">
        <x:v>C004</x:v>
      </x:c>
      <x:c r="E2955" s="17" t="str">
        <x:v>CopyStudio</x:v>
      </x:c>
      <x:c r="F2955" s="17" t="str">
        <x:v>Lite</x:v>
      </x:c>
      <x:c r="G2955" s="21" t="n">
        <x:v>16607</x:v>
      </x:c>
      <x:c r="H2955" s="21" t="n">
        <x:v>2481</x:v>
      </x:c>
      <x:c r="I2955" s="17" t="str">
        <x:v>Followup</x:v>
      </x:c>
    </x:row>
    <x:row r="2956" ht="23" customHeight="1">
      <x:c r="A2956" s="17" t="str">
        <x:v>U02950</x:v>
      </x:c>
      <x:c r="B2956" s="18" t="n">
        <x:v>46276</x:v>
      </x:c>
      <x:c r="C2956" s="17" t="str">
        <x:v>W0234</x:v>
      </x:c>
      <x:c r="D2956" s="17" t="str">
        <x:v>C004</x:v>
      </x:c>
      <x:c r="E2956" s="17" t="str">
        <x:v>CopyStudio</x:v>
      </x:c>
      <x:c r="F2956" s="17" t="str">
        <x:v>Lite</x:v>
      </x:c>
      <x:c r="G2956" s="21" t="n">
        <x:v>11276</x:v>
      </x:c>
      <x:c r="H2956" s="21" t="n">
        <x:v>2817</x:v>
      </x:c>
      <x:c r="I2956" s="17" t="str">
        <x:v>Followup</x:v>
      </x:c>
    </x:row>
    <x:row r="2957" ht="23" customHeight="1">
      <x:c r="A2957" s="17" t="str">
        <x:v>U02951</x:v>
      </x:c>
      <x:c r="B2957" s="18" t="n">
        <x:v>46276</x:v>
      </x:c>
      <x:c r="C2957" s="17" t="str">
        <x:v>W0234</x:v>
      </x:c>
      <x:c r="D2957" s="17" t="str">
        <x:v>C004</x:v>
      </x:c>
      <x:c r="E2957" s="17" t="str">
        <x:v>CopyStudio</x:v>
      </x:c>
      <x:c r="F2957" s="17" t="str">
        <x:v>Lite</x:v>
      </x:c>
      <x:c r="G2957" s="21" t="n">
        <x:v>18326</x:v>
      </x:c>
      <x:c r="H2957" s="21" t="n">
        <x:v>2368</x:v>
      </x:c>
      <x:c r="I2957" s="17" t="str">
        <x:v>Followup</x:v>
      </x:c>
    </x:row>
    <x:row r="2958" ht="23" customHeight="1">
      <x:c r="A2958" s="17" t="str">
        <x:v>U02952</x:v>
      </x:c>
      <x:c r="B2958" s="18" t="n">
        <x:v>46276</x:v>
      </x:c>
      <x:c r="C2958" s="17" t="str">
        <x:v>W0234</x:v>
      </x:c>
      <x:c r="D2958" s="17" t="str">
        <x:v>C004</x:v>
      </x:c>
      <x:c r="E2958" s="17" t="str">
        <x:v>CopyStudio</x:v>
      </x:c>
      <x:c r="F2958" s="17" t="str">
        <x:v>Lite</x:v>
      </x:c>
      <x:c r="G2958" s="21" t="n">
        <x:v>15627</x:v>
      </x:c>
      <x:c r="H2958" s="21" t="n">
        <x:v>4545</x:v>
      </x:c>
      <x:c r="I2958" s="17" t="str">
        <x:v>Followup</x:v>
      </x:c>
    </x:row>
    <x:row r="2959" ht="23" customHeight="1">
      <x:c r="A2959" s="17" t="str">
        <x:v>U02953</x:v>
      </x:c>
      <x:c r="B2959" s="18" t="n">
        <x:v>46276</x:v>
      </x:c>
      <x:c r="C2959" s="17" t="str">
        <x:v>W0234</x:v>
      </x:c>
      <x:c r="D2959" s="17" t="str">
        <x:v>C004</x:v>
      </x:c>
      <x:c r="E2959" s="17" t="str">
        <x:v>CopyStudio</x:v>
      </x:c>
      <x:c r="F2959" s="17" t="str">
        <x:v>Lite</x:v>
      </x:c>
      <x:c r="G2959" s="21" t="n">
        <x:v>9177</x:v>
      </x:c>
      <x:c r="H2959" s="21" t="n">
        <x:v>7482</x:v>
      </x:c>
      <x:c r="I2959" s="17" t="str">
        <x:v>Followup</x:v>
      </x:c>
    </x:row>
    <x:row r="2960" ht="23" customHeight="1">
      <x:c r="A2960" s="17" t="str">
        <x:v>U02954</x:v>
      </x:c>
      <x:c r="B2960" s="18" t="n">
        <x:v>46276</x:v>
      </x:c>
      <x:c r="C2960" s="17" t="str">
        <x:v>W0234</x:v>
      </x:c>
      <x:c r="D2960" s="17" t="str">
        <x:v>C004</x:v>
      </x:c>
      <x:c r="E2960" s="17" t="str">
        <x:v>CopyStudio</x:v>
      </x:c>
      <x:c r="F2960" s="17" t="str">
        <x:v>Lite</x:v>
      </x:c>
      <x:c r="G2960" s="21" t="n">
        <x:v>25025</x:v>
      </x:c>
      <x:c r="H2960" s="21" t="n">
        <x:v>5857</x:v>
      </x:c>
      <x:c r="I2960" s="17" t="str">
        <x:v>Followup</x:v>
      </x:c>
    </x:row>
    <x:row r="2961" ht="23" customHeight="1">
      <x:c r="A2961" s="17" t="str">
        <x:v>U02955</x:v>
      </x:c>
      <x:c r="B2961" s="18" t="n">
        <x:v>46279</x:v>
      </x:c>
      <x:c r="C2961" s="17" t="str">
        <x:v>W0234</x:v>
      </x:c>
      <x:c r="D2961" s="17" t="str">
        <x:v>C004</x:v>
      </x:c>
      <x:c r="E2961" s="17" t="str">
        <x:v>CopyStudio</x:v>
      </x:c>
      <x:c r="F2961" s="17" t="str">
        <x:v>Lite</x:v>
      </x:c>
      <x:c r="G2961" s="21" t="n">
        <x:v>13907</x:v>
      </x:c>
      <x:c r="H2961" s="21" t="n">
        <x:v>6575</x:v>
      </x:c>
      <x:c r="I2961" s="17" t="str">
        <x:v>Correction</x:v>
      </x:c>
    </x:row>
    <x:row r="2962" ht="23" customHeight="1">
      <x:c r="A2962" s="17" t="str">
        <x:v>U02956</x:v>
      </x:c>
      <x:c r="B2962" s="18" t="n">
        <x:v>46279</x:v>
      </x:c>
      <x:c r="C2962" s="17" t="str">
        <x:v>W0234</x:v>
      </x:c>
      <x:c r="D2962" s="17" t="str">
        <x:v>C004</x:v>
      </x:c>
      <x:c r="E2962" s="17" t="str">
        <x:v>CopyStudio</x:v>
      </x:c>
      <x:c r="F2962" s="17" t="str">
        <x:v>Lite</x:v>
      </x:c>
      <x:c r="G2962" s="21" t="n">
        <x:v>11097</x:v>
      </x:c>
      <x:c r="H2962" s="21" t="n">
        <x:v>7624</x:v>
      </x:c>
      <x:c r="I2962" s="17" t="str">
        <x:v>Followup</x:v>
      </x:c>
    </x:row>
    <x:row r="2963" ht="23" customHeight="1">
      <x:c r="A2963" s="17" t="str">
        <x:v>U02957</x:v>
      </x:c>
      <x:c r="B2963" s="18" t="n">
        <x:v>46279</x:v>
      </x:c>
      <x:c r="C2963" s="17" t="str">
        <x:v>W0234</x:v>
      </x:c>
      <x:c r="D2963" s="17" t="str">
        <x:v>C004</x:v>
      </x:c>
      <x:c r="E2963" s="17" t="str">
        <x:v>CopyStudio</x:v>
      </x:c>
      <x:c r="F2963" s="17" t="str">
        <x:v>Lite</x:v>
      </x:c>
      <x:c r="G2963" s="21" t="n">
        <x:v>10447</x:v>
      </x:c>
      <x:c r="H2963" s="21" t="n">
        <x:v>4321</x:v>
      </x:c>
      <x:c r="I2963" s="17" t="str">
        <x:v>Followup</x:v>
      </x:c>
    </x:row>
    <x:row r="2964" ht="23" customHeight="1">
      <x:c r="A2964" s="17" t="str">
        <x:v>U02958</x:v>
      </x:c>
      <x:c r="B2964" s="18" t="n">
        <x:v>46279</x:v>
      </x:c>
      <x:c r="C2964" s="17" t="str">
        <x:v>W0234</x:v>
      </x:c>
      <x:c r="D2964" s="17" t="str">
        <x:v>C004</x:v>
      </x:c>
      <x:c r="E2964" s="17" t="str">
        <x:v>CopyStudio</x:v>
      </x:c>
      <x:c r="F2964" s="17" t="str">
        <x:v>Lite</x:v>
      </x:c>
      <x:c r="G2964" s="21" t="n">
        <x:v>17205</x:v>
      </x:c>
      <x:c r="H2964" s="21" t="n">
        <x:v>5476</x:v>
      </x:c>
      <x:c r="I2964" s="17" t="str">
        <x:v>Followup</x:v>
      </x:c>
    </x:row>
    <x:row r="2965" ht="23" customHeight="1">
      <x:c r="A2965" s="17" t="str">
        <x:v>U02959</x:v>
      </x:c>
      <x:c r="B2965" s="18" t="n">
        <x:v>46279</x:v>
      </x:c>
      <x:c r="C2965" s="17" t="str">
        <x:v>W0234</x:v>
      </x:c>
      <x:c r="D2965" s="17" t="str">
        <x:v>C004</x:v>
      </x:c>
      <x:c r="E2965" s="17" t="str">
        <x:v>CopyStudio</x:v>
      </x:c>
      <x:c r="F2965" s="17" t="str">
        <x:v>Lite</x:v>
      </x:c>
      <x:c r="G2965" s="21" t="n">
        <x:v>19872</x:v>
      </x:c>
      <x:c r="H2965" s="21" t="n">
        <x:v>7170</x:v>
      </x:c>
      <x:c r="I2965" s="17" t="str">
        <x:v>Followup</x:v>
      </x:c>
    </x:row>
    <x:row r="2966" ht="23" customHeight="1">
      <x:c r="A2966" s="17" t="str">
        <x:v>U02960</x:v>
      </x:c>
      <x:c r="B2966" s="18" t="n">
        <x:v>46283</x:v>
      </x:c>
      <x:c r="C2966" s="17" t="str">
        <x:v>W0235</x:v>
      </x:c>
      <x:c r="D2966" s="17" t="str">
        <x:v>C004</x:v>
      </x:c>
      <x:c r="E2966" s="17" t="str">
        <x:v>CopyStudio</x:v>
      </x:c>
      <x:c r="F2966" s="17" t="str">
        <x:v>Lite</x:v>
      </x:c>
      <x:c r="G2966" s="21" t="n">
        <x:v>20098</x:v>
      </x:c>
      <x:c r="H2966" s="21" t="n">
        <x:v>3839</x:v>
      </x:c>
      <x:c r="I2966" s="17" t="str">
        <x:v>First attempt</x:v>
      </x:c>
    </x:row>
    <x:row r="2967" ht="23" customHeight="1">
      <x:c r="A2967" s="17" t="str">
        <x:v>U02961</x:v>
      </x:c>
      <x:c r="B2967" s="18" t="n">
        <x:v>46283</x:v>
      </x:c>
      <x:c r="C2967" s="17" t="str">
        <x:v>W0235</x:v>
      </x:c>
      <x:c r="D2967" s="17" t="str">
        <x:v>C004</x:v>
      </x:c>
      <x:c r="E2967" s="17" t="str">
        <x:v>CopyStudio</x:v>
      </x:c>
      <x:c r="F2967" s="17" t="str">
        <x:v>Lite</x:v>
      </x:c>
      <x:c r="G2967" s="21" t="n">
        <x:v>18918</x:v>
      </x:c>
      <x:c r="H2967" s="21" t="n">
        <x:v>2039</x:v>
      </x:c>
      <x:c r="I2967" s="17" t="str">
        <x:v>Followup</x:v>
      </x:c>
    </x:row>
    <x:row r="2968" ht="23" customHeight="1">
      <x:c r="A2968" s="17" t="str">
        <x:v>U02962</x:v>
      </x:c>
      <x:c r="B2968" s="18" t="n">
        <x:v>46283</x:v>
      </x:c>
      <x:c r="C2968" s="17" t="str">
        <x:v>W0235</x:v>
      </x:c>
      <x:c r="D2968" s="17" t="str">
        <x:v>C004</x:v>
      </x:c>
      <x:c r="E2968" s="17" t="str">
        <x:v>CopyStudio</x:v>
      </x:c>
      <x:c r="F2968" s="17" t="str">
        <x:v>Lite</x:v>
      </x:c>
      <x:c r="G2968" s="21" t="n">
        <x:v>9863</x:v>
      </x:c>
      <x:c r="H2968" s="21" t="n">
        <x:v>3644</x:v>
      </x:c>
      <x:c r="I2968" s="17" t="str">
        <x:v>Correction</x:v>
      </x:c>
    </x:row>
    <x:row r="2969" ht="23" customHeight="1">
      <x:c r="A2969" s="17" t="str">
        <x:v>U02963</x:v>
      </x:c>
      <x:c r="B2969" s="18" t="n">
        <x:v>46286</x:v>
      </x:c>
      <x:c r="C2969" s="17" t="str">
        <x:v>W0235</x:v>
      </x:c>
      <x:c r="D2969" s="17" t="str">
        <x:v>C004</x:v>
      </x:c>
      <x:c r="E2969" s="17" t="str">
        <x:v>CopyStudio</x:v>
      </x:c>
      <x:c r="F2969" s="17" t="str">
        <x:v>Lite</x:v>
      </x:c>
      <x:c r="G2969" s="21" t="n">
        <x:v>16727</x:v>
      </x:c>
      <x:c r="H2969" s="21" t="n">
        <x:v>1606</x:v>
      </x:c>
      <x:c r="I2969" s="17" t="str">
        <x:v>Followup</x:v>
      </x:c>
    </x:row>
    <x:row r="2970" ht="23" customHeight="1">
      <x:c r="A2970" s="17" t="str">
        <x:v>U02964</x:v>
      </x:c>
      <x:c r="B2970" s="18" t="n">
        <x:v>46286</x:v>
      </x:c>
      <x:c r="C2970" s="17" t="str">
        <x:v>W0235</x:v>
      </x:c>
      <x:c r="D2970" s="17" t="str">
        <x:v>C004</x:v>
      </x:c>
      <x:c r="E2970" s="17" t="str">
        <x:v>CopyStudio</x:v>
      </x:c>
      <x:c r="F2970" s="17" t="str">
        <x:v>Lite</x:v>
      </x:c>
      <x:c r="G2970" s="21" t="n">
        <x:v>19509</x:v>
      </x:c>
      <x:c r="H2970" s="21" t="n">
        <x:v>3699</x:v>
      </x:c>
      <x:c r="I2970" s="17" t="str">
        <x:v>Followup</x:v>
      </x:c>
    </x:row>
    <x:row r="2971" ht="23" customHeight="1">
      <x:c r="A2971" s="17" t="str">
        <x:v>U02965</x:v>
      </x:c>
      <x:c r="B2971" s="18" t="n">
        <x:v>46286</x:v>
      </x:c>
      <x:c r="C2971" s="17" t="str">
        <x:v>W0235</x:v>
      </x:c>
      <x:c r="D2971" s="17" t="str">
        <x:v>C004</x:v>
      </x:c>
      <x:c r="E2971" s="17" t="str">
        <x:v>CopyStudio</x:v>
      </x:c>
      <x:c r="F2971" s="17" t="str">
        <x:v>Lite</x:v>
      </x:c>
      <x:c r="G2971" s="21" t="n">
        <x:v>19492</x:v>
      </x:c>
      <x:c r="H2971" s="21" t="n">
        <x:v>1646</x:v>
      </x:c>
      <x:c r="I2971" s="17" t="str">
        <x:v>Correction</x:v>
      </x:c>
    </x:row>
    <x:row r="2972" ht="23" customHeight="1">
      <x:c r="A2972" s="17" t="str">
        <x:v>U02966</x:v>
      </x:c>
      <x:c r="B2972" s="18" t="n">
        <x:v>46287</x:v>
      </x:c>
      <x:c r="C2972" s="17" t="str">
        <x:v>W0235</x:v>
      </x:c>
      <x:c r="D2972" s="17" t="str">
        <x:v>C004</x:v>
      </x:c>
      <x:c r="E2972" s="17" t="str">
        <x:v>CopyStudio</x:v>
      </x:c>
      <x:c r="F2972" s="17" t="str">
        <x:v>Lite</x:v>
      </x:c>
      <x:c r="G2972" s="21" t="n">
        <x:v>17536</x:v>
      </x:c>
      <x:c r="H2972" s="21" t="n">
        <x:v>1556</x:v>
      </x:c>
      <x:c r="I2972" s="17" t="str">
        <x:v>Followup</x:v>
      </x:c>
    </x:row>
    <x:row r="2973" ht="23" customHeight="1">
      <x:c r="A2973" s="17" t="str">
        <x:v>U02967</x:v>
      </x:c>
      <x:c r="B2973" s="18" t="n">
        <x:v>46287</x:v>
      </x:c>
      <x:c r="C2973" s="17" t="str">
        <x:v>W0235</x:v>
      </x:c>
      <x:c r="D2973" s="17" t="str">
        <x:v>C004</x:v>
      </x:c>
      <x:c r="E2973" s="17" t="str">
        <x:v>CopyStudio</x:v>
      </x:c>
      <x:c r="F2973" s="17" t="str">
        <x:v>Lite</x:v>
      </x:c>
      <x:c r="G2973" s="21" t="n">
        <x:v>14628</x:v>
      </x:c>
      <x:c r="H2973" s="21" t="n">
        <x:v>2307</x:v>
      </x:c>
      <x:c r="I2973" s="17" t="str">
        <x:v>Followup</x:v>
      </x:c>
    </x:row>
    <x:row r="2974" ht="23" customHeight="1">
      <x:c r="A2974" s="17" t="str">
        <x:v>U02968</x:v>
      </x:c>
      <x:c r="B2974" s="18" t="n">
        <x:v>46287</x:v>
      </x:c>
      <x:c r="C2974" s="17" t="str">
        <x:v>W0235</x:v>
      </x:c>
      <x:c r="D2974" s="17" t="str">
        <x:v>C004</x:v>
      </x:c>
      <x:c r="E2974" s="17" t="str">
        <x:v>CopyStudio</x:v>
      </x:c>
      <x:c r="F2974" s="17" t="str">
        <x:v>Lite</x:v>
      </x:c>
      <x:c r="G2974" s="21" t="n">
        <x:v>23794</x:v>
      </x:c>
      <x:c r="H2974" s="21" t="n">
        <x:v>3858</x:v>
      </x:c>
      <x:c r="I2974" s="17" t="str">
        <x:v>Followup</x:v>
      </x:c>
    </x:row>
    <x:row r="2975" ht="23" customHeight="1">
      <x:c r="A2975" s="17" t="str">
        <x:v>U02969</x:v>
      </x:c>
      <x:c r="B2975" s="18" t="n">
        <x:v>46288</x:v>
      </x:c>
      <x:c r="C2975" s="17" t="str">
        <x:v>W0235</x:v>
      </x:c>
      <x:c r="D2975" s="17" t="str">
        <x:v>C004</x:v>
      </x:c>
      <x:c r="E2975" s="17" t="str">
        <x:v>CopyStudio</x:v>
      </x:c>
      <x:c r="F2975" s="17" t="str">
        <x:v>Lite</x:v>
      </x:c>
      <x:c r="G2975" s="21" t="n">
        <x:v>16026</x:v>
      </x:c>
      <x:c r="H2975" s="21" t="n">
        <x:v>2843</x:v>
      </x:c>
      <x:c r="I2975" s="17" t="str">
        <x:v>Followup</x:v>
      </x:c>
    </x:row>
    <x:row r="2976" ht="23" customHeight="1">
      <x:c r="A2976" s="17" t="str">
        <x:v>U02970</x:v>
      </x:c>
      <x:c r="B2976" s="18" t="n">
        <x:v>46288</x:v>
      </x:c>
      <x:c r="C2976" s="17" t="str">
        <x:v>W0235</x:v>
      </x:c>
      <x:c r="D2976" s="17" t="str">
        <x:v>C004</x:v>
      </x:c>
      <x:c r="E2976" s="17" t="str">
        <x:v>CopyStudio</x:v>
      </x:c>
      <x:c r="F2976" s="17" t="str">
        <x:v>Lite</x:v>
      </x:c>
      <x:c r="G2976" s="21" t="n">
        <x:v>20365</x:v>
      </x:c>
      <x:c r="H2976" s="21" t="n">
        <x:v>3106</x:v>
      </x:c>
      <x:c r="I2976" s="17" t="str">
        <x:v>Correction</x:v>
      </x:c>
    </x:row>
    <x:row r="2977" ht="23" customHeight="1">
      <x:c r="A2977" s="17" t="str">
        <x:v>U02971</x:v>
      </x:c>
      <x:c r="B2977" s="18" t="n">
        <x:v>46288</x:v>
      </x:c>
      <x:c r="C2977" s="17" t="str">
        <x:v>W0235</x:v>
      </x:c>
      <x:c r="D2977" s="17" t="str">
        <x:v>C004</x:v>
      </x:c>
      <x:c r="E2977" s="17" t="str">
        <x:v>CopyStudio</x:v>
      </x:c>
      <x:c r="F2977" s="17" t="str">
        <x:v>Lite</x:v>
      </x:c>
      <x:c r="G2977" s="21" t="n">
        <x:v>17984</x:v>
      </x:c>
      <x:c r="H2977" s="21" t="n">
        <x:v>2720</x:v>
      </x:c>
      <x:c r="I2977" s="17" t="str">
        <x:v>Correction</x:v>
      </x:c>
    </x:row>
    <x:row r="2978" ht="23" customHeight="1">
      <x:c r="A2978" s="17" t="str">
        <x:v>U02972</x:v>
      </x:c>
      <x:c r="B2978" s="18" t="n">
        <x:v>46267</x:v>
      </x:c>
      <x:c r="C2978" s="17" t="str">
        <x:v>W0236</x:v>
      </x:c>
      <x:c r="D2978" s="17" t="str">
        <x:v>C004</x:v>
      </x:c>
      <x:c r="E2978" s="17" t="str">
        <x:v>CampaignChat</x:v>
      </x:c>
      <x:c r="F2978" s="17" t="str">
        <x:v>Lite</x:v>
      </x:c>
      <x:c r="G2978" s="21" t="n">
        <x:v>23511</x:v>
      </x:c>
      <x:c r="H2978" s="21" t="n">
        <x:v>2284</x:v>
      </x:c>
      <x:c r="I2978" s="17" t="str">
        <x:v>First attempt</x:v>
      </x:c>
    </x:row>
    <x:row r="2979" ht="23" customHeight="1">
      <x:c r="A2979" s="17" t="str">
        <x:v>U02973</x:v>
      </x:c>
      <x:c r="B2979" s="18" t="n">
        <x:v>46267</x:v>
      </x:c>
      <x:c r="C2979" s="17" t="str">
        <x:v>W0236</x:v>
      </x:c>
      <x:c r="D2979" s="17" t="str">
        <x:v>C004</x:v>
      </x:c>
      <x:c r="E2979" s="17" t="str">
        <x:v>CampaignChat</x:v>
      </x:c>
      <x:c r="F2979" s="17" t="str">
        <x:v>Lite</x:v>
      </x:c>
      <x:c r="G2979" s="21" t="n">
        <x:v>38939</x:v>
      </x:c>
      <x:c r="H2979" s="21" t="n">
        <x:v>3299</x:v>
      </x:c>
      <x:c r="I2979" s="17" t="str">
        <x:v>Followup</x:v>
      </x:c>
    </x:row>
    <x:row r="2980" ht="23" customHeight="1">
      <x:c r="A2980" s="17" t="str">
        <x:v>U02974</x:v>
      </x:c>
      <x:c r="B2980" s="18" t="n">
        <x:v>46267</x:v>
      </x:c>
      <x:c r="C2980" s="17" t="str">
        <x:v>W0236</x:v>
      </x:c>
      <x:c r="D2980" s="17" t="str">
        <x:v>C004</x:v>
      </x:c>
      <x:c r="E2980" s="17" t="str">
        <x:v>CampaignChat</x:v>
      </x:c>
      <x:c r="F2980" s="17" t="str">
        <x:v>Lite</x:v>
      </x:c>
      <x:c r="G2980" s="21" t="n">
        <x:v>48958</x:v>
      </x:c>
      <x:c r="H2980" s="21" t="n">
        <x:v>1700</x:v>
      </x:c>
      <x:c r="I2980" s="17" t="str">
        <x:v>Followup</x:v>
      </x:c>
    </x:row>
    <x:row r="2981" ht="23" customHeight="1">
      <x:c r="A2981" s="17" t="str">
        <x:v>U02975</x:v>
      </x:c>
      <x:c r="B2981" s="18" t="n">
        <x:v>46267</x:v>
      </x:c>
      <x:c r="C2981" s="17" t="str">
        <x:v>W0236</x:v>
      </x:c>
      <x:c r="D2981" s="17" t="str">
        <x:v>C004</x:v>
      </x:c>
      <x:c r="E2981" s="17" t="str">
        <x:v>CampaignChat</x:v>
      </x:c>
      <x:c r="F2981" s="17" t="str">
        <x:v>Lite</x:v>
      </x:c>
      <x:c r="G2981" s="21" t="n">
        <x:v>23221</x:v>
      </x:c>
      <x:c r="H2981" s="21" t="n">
        <x:v>2467</x:v>
      </x:c>
      <x:c r="I2981" s="17" t="str">
        <x:v>Correction</x:v>
      </x:c>
    </x:row>
    <x:row r="2982" ht="23" customHeight="1">
      <x:c r="A2982" s="17" t="str">
        <x:v>U02976</x:v>
      </x:c>
      <x:c r="B2982" s="18" t="n">
        <x:v>46267</x:v>
      </x:c>
      <x:c r="C2982" s="17" t="str">
        <x:v>W0236</x:v>
      </x:c>
      <x:c r="D2982" s="17" t="str">
        <x:v>C004</x:v>
      </x:c>
      <x:c r="E2982" s="17" t="str">
        <x:v>CampaignChat</x:v>
      </x:c>
      <x:c r="F2982" s="17" t="str">
        <x:v>Lite</x:v>
      </x:c>
      <x:c r="G2982" s="21" t="n">
        <x:v>47112</x:v>
      </x:c>
      <x:c r="H2982" s="21" t="n">
        <x:v>3204</x:v>
      </x:c>
      <x:c r="I2982" s="17" t="str">
        <x:v>Followup</x:v>
      </x:c>
    </x:row>
    <x:row r="2983" ht="23" customHeight="1">
      <x:c r="A2983" s="17" t="str">
        <x:v>U02977</x:v>
      </x:c>
      <x:c r="B2983" s="18" t="n">
        <x:v>46268</x:v>
      </x:c>
      <x:c r="C2983" s="17" t="str">
        <x:v>W0236</x:v>
      </x:c>
      <x:c r="D2983" s="17" t="str">
        <x:v>C004</x:v>
      </x:c>
      <x:c r="E2983" s="17" t="str">
        <x:v>CampaignChat</x:v>
      </x:c>
      <x:c r="F2983" s="17" t="str">
        <x:v>Lite</x:v>
      </x:c>
      <x:c r="G2983" s="21" t="n">
        <x:v>27680</x:v>
      </x:c>
      <x:c r="H2983" s="21" t="n">
        <x:v>2068</x:v>
      </x:c>
      <x:c r="I2983" s="17" t="str">
        <x:v>Followup</x:v>
      </x:c>
    </x:row>
    <x:row r="2984" ht="23" customHeight="1">
      <x:c r="A2984" s="17" t="str">
        <x:v>U02978</x:v>
      </x:c>
      <x:c r="B2984" s="18" t="n">
        <x:v>46268</x:v>
      </x:c>
      <x:c r="C2984" s="17" t="str">
        <x:v>W0236</x:v>
      </x:c>
      <x:c r="D2984" s="17" t="str">
        <x:v>C004</x:v>
      </x:c>
      <x:c r="E2984" s="17" t="str">
        <x:v>CampaignChat</x:v>
      </x:c>
      <x:c r="F2984" s="17" t="str">
        <x:v>Lite</x:v>
      </x:c>
      <x:c r="G2984" s="21" t="n">
        <x:v>28709</x:v>
      </x:c>
      <x:c r="H2984" s="21" t="n">
        <x:v>2533</x:v>
      </x:c>
      <x:c r="I2984" s="17" t="str">
        <x:v>Followup</x:v>
      </x:c>
    </x:row>
    <x:row r="2985" ht="23" customHeight="1">
      <x:c r="A2985" s="17" t="str">
        <x:v>U02979</x:v>
      </x:c>
      <x:c r="B2985" s="18" t="n">
        <x:v>46268</x:v>
      </x:c>
      <x:c r="C2985" s="17" t="str">
        <x:v>W0236</x:v>
      </x:c>
      <x:c r="D2985" s="17" t="str">
        <x:v>C004</x:v>
      </x:c>
      <x:c r="E2985" s="17" t="str">
        <x:v>CampaignChat</x:v>
      </x:c>
      <x:c r="F2985" s="17" t="str">
        <x:v>Lite</x:v>
      </x:c>
      <x:c r="G2985" s="21" t="n">
        <x:v>35776</x:v>
      </x:c>
      <x:c r="H2985" s="21" t="n">
        <x:v>2621</x:v>
      </x:c>
      <x:c r="I2985" s="17" t="str">
        <x:v>Followup</x:v>
      </x:c>
    </x:row>
    <x:row r="2986" ht="23" customHeight="1">
      <x:c r="A2986" s="17" t="str">
        <x:v>U02980</x:v>
      </x:c>
      <x:c r="B2986" s="18" t="n">
        <x:v>46268</x:v>
      </x:c>
      <x:c r="C2986" s="17" t="str">
        <x:v>W0236</x:v>
      </x:c>
      <x:c r="D2986" s="17" t="str">
        <x:v>C004</x:v>
      </x:c>
      <x:c r="E2986" s="17" t="str">
        <x:v>CampaignChat</x:v>
      </x:c>
      <x:c r="F2986" s="17" t="str">
        <x:v>Lite</x:v>
      </x:c>
      <x:c r="G2986" s="21" t="n">
        <x:v>22726</x:v>
      </x:c>
      <x:c r="H2986" s="21" t="n">
        <x:v>1812</x:v>
      </x:c>
      <x:c r="I2986" s="17" t="str">
        <x:v>Followup</x:v>
      </x:c>
    </x:row>
    <x:row r="2987" ht="23" customHeight="1">
      <x:c r="A2987" s="17" t="str">
        <x:v>U02981</x:v>
      </x:c>
      <x:c r="B2987" s="18" t="n">
        <x:v>46269</x:v>
      </x:c>
      <x:c r="C2987" s="17" t="str">
        <x:v>W0236</x:v>
      </x:c>
      <x:c r="D2987" s="17" t="str">
        <x:v>C004</x:v>
      </x:c>
      <x:c r="E2987" s="17" t="str">
        <x:v>CampaignChat</x:v>
      </x:c>
      <x:c r="F2987" s="17" t="str">
        <x:v>Lite</x:v>
      </x:c>
      <x:c r="G2987" s="21" t="n">
        <x:v>31046</x:v>
      </x:c>
      <x:c r="H2987" s="21" t="n">
        <x:v>3595</x:v>
      </x:c>
      <x:c r="I2987" s="17" t="str">
        <x:v>Correction</x:v>
      </x:c>
    </x:row>
    <x:row r="2988" ht="23" customHeight="1">
      <x:c r="A2988" s="17" t="str">
        <x:v>U02982</x:v>
      </x:c>
      <x:c r="B2988" s="18" t="n">
        <x:v>46269</x:v>
      </x:c>
      <x:c r="C2988" s="17" t="str">
        <x:v>W0236</x:v>
      </x:c>
      <x:c r="D2988" s="17" t="str">
        <x:v>C004</x:v>
      </x:c>
      <x:c r="E2988" s="17" t="str">
        <x:v>CampaignChat</x:v>
      </x:c>
      <x:c r="F2988" s="17" t="str">
        <x:v>Lite</x:v>
      </x:c>
      <x:c r="G2988" s="21" t="n">
        <x:v>16550</x:v>
      </x:c>
      <x:c r="H2988" s="21" t="n">
        <x:v>3608</x:v>
      </x:c>
      <x:c r="I2988" s="17" t="str">
        <x:v>Correction</x:v>
      </x:c>
    </x:row>
    <x:row r="2989" ht="23" customHeight="1">
      <x:c r="A2989" s="17" t="str">
        <x:v>U02983</x:v>
      </x:c>
      <x:c r="B2989" s="18" t="n">
        <x:v>46269</x:v>
      </x:c>
      <x:c r="C2989" s="17" t="str">
        <x:v>W0236</x:v>
      </x:c>
      <x:c r="D2989" s="17" t="str">
        <x:v>C004</x:v>
      </x:c>
      <x:c r="E2989" s="17" t="str">
        <x:v>CampaignChat</x:v>
      </x:c>
      <x:c r="F2989" s="17" t="str">
        <x:v>Lite</x:v>
      </x:c>
      <x:c r="G2989" s="21" t="n">
        <x:v>21900</x:v>
      </x:c>
      <x:c r="H2989" s="21" t="n">
        <x:v>2934</x:v>
      </x:c>
      <x:c r="I2989" s="17" t="str">
        <x:v>Followup</x:v>
      </x:c>
    </x:row>
    <x:row r="2990" ht="23" customHeight="1">
      <x:c r="A2990" s="17" t="str">
        <x:v>U02984</x:v>
      </x:c>
      <x:c r="B2990" s="18" t="n">
        <x:v>46269</x:v>
      </x:c>
      <x:c r="C2990" s="17" t="str">
        <x:v>W0236</x:v>
      </x:c>
      <x:c r="D2990" s="17" t="str">
        <x:v>C004</x:v>
      </x:c>
      <x:c r="E2990" s="17" t="str">
        <x:v>CampaignChat</x:v>
      </x:c>
      <x:c r="F2990" s="17" t="str">
        <x:v>Lite</x:v>
      </x:c>
      <x:c r="G2990" s="21" t="n">
        <x:v>38329</x:v>
      </x:c>
      <x:c r="H2990" s="21" t="n">
        <x:v>3619</x:v>
      </x:c>
      <x:c r="I2990" s="17" t="str">
        <x:v>Followup</x:v>
      </x:c>
    </x:row>
    <x:row r="2991" ht="23" customHeight="1">
      <x:c r="A2991" s="17" t="str">
        <x:v>U02985</x:v>
      </x:c>
      <x:c r="B2991" s="18" t="n">
        <x:v>46273</x:v>
      </x:c>
      <x:c r="C2991" s="17" t="str">
        <x:v>W0236</x:v>
      </x:c>
      <x:c r="D2991" s="17" t="str">
        <x:v>C004</x:v>
      </x:c>
      <x:c r="E2991" s="17" t="str">
        <x:v>CampaignChat</x:v>
      </x:c>
      <x:c r="F2991" s="17" t="str">
        <x:v>Lite</x:v>
      </x:c>
      <x:c r="G2991" s="21" t="n">
        <x:v>20101</x:v>
      </x:c>
      <x:c r="H2991" s="21" t="n">
        <x:v>2695</x:v>
      </x:c>
      <x:c r="I2991" s="17" t="str">
        <x:v>Correction</x:v>
      </x:c>
    </x:row>
    <x:row r="2992" ht="23" customHeight="1">
      <x:c r="A2992" s="17" t="str">
        <x:v>U02986</x:v>
      </x:c>
      <x:c r="B2992" s="18" t="n">
        <x:v>46273</x:v>
      </x:c>
      <x:c r="C2992" s="17" t="str">
        <x:v>W0236</x:v>
      </x:c>
      <x:c r="D2992" s="17" t="str">
        <x:v>C004</x:v>
      </x:c>
      <x:c r="E2992" s="17" t="str">
        <x:v>CampaignChat</x:v>
      </x:c>
      <x:c r="F2992" s="17" t="str">
        <x:v>Lite</x:v>
      </x:c>
      <x:c r="G2992" s="21" t="n">
        <x:v>34864</x:v>
      </x:c>
      <x:c r="H2992" s="21" t="n">
        <x:v>1130</x:v>
      </x:c>
      <x:c r="I2992" s="17" t="str">
        <x:v>Followup</x:v>
      </x:c>
    </x:row>
    <x:row r="2993" ht="23" customHeight="1">
      <x:c r="A2993" s="17" t="str">
        <x:v>U02987</x:v>
      </x:c>
      <x:c r="B2993" s="18" t="n">
        <x:v>46273</x:v>
      </x:c>
      <x:c r="C2993" s="17" t="str">
        <x:v>W0236</x:v>
      </x:c>
      <x:c r="D2993" s="17" t="str">
        <x:v>C004</x:v>
      </x:c>
      <x:c r="E2993" s="17" t="str">
        <x:v>CampaignChat</x:v>
      </x:c>
      <x:c r="F2993" s="17" t="str">
        <x:v>Lite</x:v>
      </x:c>
      <x:c r="G2993" s="21" t="n">
        <x:v>19374</x:v>
      </x:c>
      <x:c r="H2993" s="21" t="n">
        <x:v>3033</x:v>
      </x:c>
      <x:c r="I2993" s="17" t="str">
        <x:v>Followup</x:v>
      </x:c>
    </x:row>
    <x:row r="2994" ht="23" customHeight="1">
      <x:c r="A2994" s="17" t="str">
        <x:v>U02988</x:v>
      </x:c>
      <x:c r="B2994" s="18" t="n">
        <x:v>46273</x:v>
      </x:c>
      <x:c r="C2994" s="17" t="str">
        <x:v>W0236</x:v>
      </x:c>
      <x:c r="D2994" s="17" t="str">
        <x:v>C004</x:v>
      </x:c>
      <x:c r="E2994" s="17" t="str">
        <x:v>CampaignChat</x:v>
      </x:c>
      <x:c r="F2994" s="17" t="str">
        <x:v>Lite</x:v>
      </x:c>
      <x:c r="G2994" s="21" t="n">
        <x:v>31262</x:v>
      </x:c>
      <x:c r="H2994" s="21" t="n">
        <x:v>2519</x:v>
      </x:c>
      <x:c r="I2994" s="17" t="str">
        <x:v>Followup</x:v>
      </x:c>
    </x:row>
    <x:row r="2995" ht="23" customHeight="1">
      <x:c r="A2995" s="17" t="str">
        <x:v>U02989</x:v>
      </x:c>
      <x:c r="B2995" s="18" t="n">
        <x:v>46279</x:v>
      </x:c>
      <x:c r="C2995" s="17" t="str">
        <x:v>W0237</x:v>
      </x:c>
      <x:c r="D2995" s="17" t="str">
        <x:v>C004</x:v>
      </x:c>
      <x:c r="E2995" s="17" t="str">
        <x:v>CampaignChat</x:v>
      </x:c>
      <x:c r="F2995" s="17" t="str">
        <x:v>Lite</x:v>
      </x:c>
      <x:c r="G2995" s="21" t="n">
        <x:v>9216</x:v>
      </x:c>
      <x:c r="H2995" s="21" t="n">
        <x:v>5143</x:v>
      </x:c>
      <x:c r="I2995" s="17" t="str">
        <x:v>First attempt</x:v>
      </x:c>
    </x:row>
    <x:row r="2996" ht="23" customHeight="1">
      <x:c r="A2996" s="17" t="str">
        <x:v>U02990</x:v>
      </x:c>
      <x:c r="B2996" s="18" t="n">
        <x:v>46279</x:v>
      </x:c>
      <x:c r="C2996" s="17" t="str">
        <x:v>W0237</x:v>
      </x:c>
      <x:c r="D2996" s="17" t="str">
        <x:v>C004</x:v>
      </x:c>
      <x:c r="E2996" s="17" t="str">
        <x:v>CampaignChat</x:v>
      </x:c>
      <x:c r="F2996" s="17" t="str">
        <x:v>Lite</x:v>
      </x:c>
      <x:c r="G2996" s="21" t="n">
        <x:v>17694</x:v>
      </x:c>
      <x:c r="H2996" s="21" t="n">
        <x:v>4168</x:v>
      </x:c>
      <x:c r="I2996" s="17" t="str">
        <x:v>Followup</x:v>
      </x:c>
    </x:row>
    <x:row r="2997" ht="23" customHeight="1">
      <x:c r="A2997" s="17" t="str">
        <x:v>U02991</x:v>
      </x:c>
      <x:c r="B2997" s="18" t="n">
        <x:v>46279</x:v>
      </x:c>
      <x:c r="C2997" s="17" t="str">
        <x:v>W0237</x:v>
      </x:c>
      <x:c r="D2997" s="17" t="str">
        <x:v>C004</x:v>
      </x:c>
      <x:c r="E2997" s="17" t="str">
        <x:v>CampaignChat</x:v>
      </x:c>
      <x:c r="F2997" s="17" t="str">
        <x:v>Lite</x:v>
      </x:c>
      <x:c r="G2997" s="21" t="n">
        <x:v>10131</x:v>
      </x:c>
      <x:c r="H2997" s="21" t="n">
        <x:v>4207</x:v>
      </x:c>
      <x:c r="I2997" s="17" t="str">
        <x:v>Correction</x:v>
      </x:c>
    </x:row>
    <x:row r="2998" ht="23" customHeight="1">
      <x:c r="A2998" s="17" t="str">
        <x:v>U02992</x:v>
      </x:c>
      <x:c r="B2998" s="18" t="n">
        <x:v>46279</x:v>
      </x:c>
      <x:c r="C2998" s="17" t="str">
        <x:v>W0237</x:v>
      </x:c>
      <x:c r="D2998" s="17" t="str">
        <x:v>C004</x:v>
      </x:c>
      <x:c r="E2998" s="17" t="str">
        <x:v>CampaignChat</x:v>
      </x:c>
      <x:c r="F2998" s="17" t="str">
        <x:v>Lite</x:v>
      </x:c>
      <x:c r="G2998" s="21" t="n">
        <x:v>10912</x:v>
      </x:c>
      <x:c r="H2998" s="21" t="n">
        <x:v>3645</x:v>
      </x:c>
      <x:c r="I2998" s="17" t="str">
        <x:v>Followup</x:v>
      </x:c>
    </x:row>
    <x:row r="2999" ht="23" customHeight="1">
      <x:c r="A2999" s="17" t="str">
        <x:v>U02993</x:v>
      </x:c>
      <x:c r="B2999" s="18" t="n">
        <x:v>46280</x:v>
      </x:c>
      <x:c r="C2999" s="17" t="str">
        <x:v>W0237</x:v>
      </x:c>
      <x:c r="D2999" s="17" t="str">
        <x:v>C004</x:v>
      </x:c>
      <x:c r="E2999" s="17" t="str">
        <x:v>CampaignChat</x:v>
      </x:c>
      <x:c r="F2999" s="17" t="str">
        <x:v>Lite</x:v>
      </x:c>
      <x:c r="G2999" s="21" t="n">
        <x:v>16754</x:v>
      </x:c>
      <x:c r="H2999" s="21" t="n">
        <x:v>5091</x:v>
      </x:c>
      <x:c r="I2999" s="17" t="str">
        <x:v>Correction</x:v>
      </x:c>
    </x:row>
    <x:row r="3000" ht="23" customHeight="1">
      <x:c r="A3000" s="17" t="str">
        <x:v>U02994</x:v>
      </x:c>
      <x:c r="B3000" s="18" t="n">
        <x:v>46280</x:v>
      </x:c>
      <x:c r="C3000" s="17" t="str">
        <x:v>W0237</x:v>
      </x:c>
      <x:c r="D3000" s="17" t="str">
        <x:v>C004</x:v>
      </x:c>
      <x:c r="E3000" s="17" t="str">
        <x:v>CampaignChat</x:v>
      </x:c>
      <x:c r="F3000" s="17" t="str">
        <x:v>Lite</x:v>
      </x:c>
      <x:c r="G3000" s="21" t="n">
        <x:v>16068</x:v>
      </x:c>
      <x:c r="H3000" s="21" t="n">
        <x:v>7011</x:v>
      </x:c>
      <x:c r="I3000" s="17" t="str">
        <x:v>Followup</x:v>
      </x:c>
    </x:row>
    <x:row r="3001" ht="23" customHeight="1">
      <x:c r="A3001" s="17" t="str">
        <x:v>U02995</x:v>
      </x:c>
      <x:c r="B3001" s="18" t="n">
        <x:v>46280</x:v>
      </x:c>
      <x:c r="C3001" s="17" t="str">
        <x:v>W0237</x:v>
      </x:c>
      <x:c r="D3001" s="17" t="str">
        <x:v>C004</x:v>
      </x:c>
      <x:c r="E3001" s="17" t="str">
        <x:v>CampaignChat</x:v>
      </x:c>
      <x:c r="F3001" s="17" t="str">
        <x:v>Lite</x:v>
      </x:c>
      <x:c r="G3001" s="21" t="n">
        <x:v>15660</x:v>
      </x:c>
      <x:c r="H3001" s="21" t="n">
        <x:v>3492</x:v>
      </x:c>
      <x:c r="I3001" s="17" t="str">
        <x:v>Followup</x:v>
      </x:c>
    </x:row>
    <x:row r="3002" ht="23" customHeight="1">
      <x:c r="A3002" s="17" t="str">
        <x:v>U02996</x:v>
      </x:c>
      <x:c r="B3002" s="18" t="n">
        <x:v>46280</x:v>
      </x:c>
      <x:c r="C3002" s="17" t="str">
        <x:v>W0237</x:v>
      </x:c>
      <x:c r="D3002" s="17" t="str">
        <x:v>C004</x:v>
      </x:c>
      <x:c r="E3002" s="17" t="str">
        <x:v>CampaignChat</x:v>
      </x:c>
      <x:c r="F3002" s="17" t="str">
        <x:v>Lite</x:v>
      </x:c>
      <x:c r="G3002" s="21" t="n">
        <x:v>17850</x:v>
      </x:c>
      <x:c r="H3002" s="21" t="n">
        <x:v>6355</x:v>
      </x:c>
      <x:c r="I3002" s="17" t="str">
        <x:v>Followup</x:v>
      </x:c>
    </x:row>
    <x:row r="3003" ht="23" customHeight="1">
      <x:c r="A3003" s="17" t="str">
        <x:v>U02997</x:v>
      </x:c>
      <x:c r="B3003" s="18" t="n">
        <x:v>46281</x:v>
      </x:c>
      <x:c r="C3003" s="17" t="str">
        <x:v>W0237</x:v>
      </x:c>
      <x:c r="D3003" s="17" t="str">
        <x:v>C004</x:v>
      </x:c>
      <x:c r="E3003" s="17" t="str">
        <x:v>CampaignChat</x:v>
      </x:c>
      <x:c r="F3003" s="17" t="str">
        <x:v>Lite</x:v>
      </x:c>
      <x:c r="G3003" s="21" t="n">
        <x:v>18931</x:v>
      </x:c>
      <x:c r="H3003" s="21" t="n">
        <x:v>5417</x:v>
      </x:c>
      <x:c r="I3003" s="17" t="str">
        <x:v>Followup</x:v>
      </x:c>
    </x:row>
    <x:row r="3004" ht="23" customHeight="1">
      <x:c r="A3004" s="17" t="str">
        <x:v>U02998</x:v>
      </x:c>
      <x:c r="B3004" s="18" t="n">
        <x:v>46281</x:v>
      </x:c>
      <x:c r="C3004" s="17" t="str">
        <x:v>W0237</x:v>
      </x:c>
      <x:c r="D3004" s="17" t="str">
        <x:v>C004</x:v>
      </x:c>
      <x:c r="E3004" s="17" t="str">
        <x:v>CampaignChat</x:v>
      </x:c>
      <x:c r="F3004" s="17" t="str">
        <x:v>Lite</x:v>
      </x:c>
      <x:c r="G3004" s="21" t="n">
        <x:v>7888</x:v>
      </x:c>
      <x:c r="H3004" s="21" t="n">
        <x:v>2471</x:v>
      </x:c>
      <x:c r="I3004" s="17" t="str">
        <x:v>Followup</x:v>
      </x:c>
    </x:row>
    <x:row r="3005" ht="23" customHeight="1">
      <x:c r="A3005" s="17" t="str">
        <x:v>U02999</x:v>
      </x:c>
      <x:c r="B3005" s="18" t="n">
        <x:v>46281</x:v>
      </x:c>
      <x:c r="C3005" s="17" t="str">
        <x:v>W0237</x:v>
      </x:c>
      <x:c r="D3005" s="17" t="str">
        <x:v>C004</x:v>
      </x:c>
      <x:c r="E3005" s="17" t="str">
        <x:v>CampaignChat</x:v>
      </x:c>
      <x:c r="F3005" s="17" t="str">
        <x:v>Lite</x:v>
      </x:c>
      <x:c r="G3005" s="21" t="n">
        <x:v>8542</x:v>
      </x:c>
      <x:c r="H3005" s="21" t="n">
        <x:v>2591</x:v>
      </x:c>
      <x:c r="I3005" s="17" t="str">
        <x:v>Followup</x:v>
      </x:c>
    </x:row>
    <x:row r="3006" ht="23" customHeight="1">
      <x:c r="A3006" s="17" t="str">
        <x:v>U03000</x:v>
      </x:c>
      <x:c r="B3006" s="18" t="n">
        <x:v>46281</x:v>
      </x:c>
      <x:c r="C3006" s="17" t="str">
        <x:v>W0237</x:v>
      </x:c>
      <x:c r="D3006" s="17" t="str">
        <x:v>C004</x:v>
      </x:c>
      <x:c r="E3006" s="17" t="str">
        <x:v>CampaignChat</x:v>
      </x:c>
      <x:c r="F3006" s="17" t="str">
        <x:v>Lite</x:v>
      </x:c>
      <x:c r="G3006" s="21" t="n">
        <x:v>12793</x:v>
      </x:c>
      <x:c r="H3006" s="21" t="n">
        <x:v>3665</x:v>
      </x:c>
      <x:c r="I3006" s="17" t="str">
        <x:v>Followup</x:v>
      </x:c>
    </x:row>
    <x:row r="3007" ht="23" customHeight="1">
      <x:c r="A3007" s="17" t="str">
        <x:v>U03001</x:v>
      </x:c>
      <x:c r="B3007" s="18" t="n">
        <x:v>46282</x:v>
      </x:c>
      <x:c r="C3007" s="17" t="str">
        <x:v>W0237</x:v>
      </x:c>
      <x:c r="D3007" s="17" t="str">
        <x:v>C004</x:v>
      </x:c>
      <x:c r="E3007" s="17" t="str">
        <x:v>CampaignChat</x:v>
      </x:c>
      <x:c r="F3007" s="17" t="str">
        <x:v>Lite</x:v>
      </x:c>
      <x:c r="G3007" s="21" t="n">
        <x:v>15593</x:v>
      </x:c>
      <x:c r="H3007" s="21" t="n">
        <x:v>7589</x:v>
      </x:c>
      <x:c r="I3007" s="17" t="str">
        <x:v>Followup</x:v>
      </x:c>
    </x:row>
    <x:row r="3008" ht="23" customHeight="1">
      <x:c r="A3008" s="17" t="str">
        <x:v>U03002</x:v>
      </x:c>
      <x:c r="B3008" s="18" t="n">
        <x:v>46282</x:v>
      </x:c>
      <x:c r="C3008" s="17" t="str">
        <x:v>W0237</x:v>
      </x:c>
      <x:c r="D3008" s="17" t="str">
        <x:v>C004</x:v>
      </x:c>
      <x:c r="E3008" s="17" t="str">
        <x:v>CampaignChat</x:v>
      </x:c>
      <x:c r="F3008" s="17" t="str">
        <x:v>Lite</x:v>
      </x:c>
      <x:c r="G3008" s="21" t="n">
        <x:v>16673</x:v>
      </x:c>
      <x:c r="H3008" s="21" t="n">
        <x:v>7124</x:v>
      </x:c>
      <x:c r="I3008" s="17" t="str">
        <x:v>Correction</x:v>
      </x:c>
    </x:row>
    <x:row r="3009" ht="23" customHeight="1">
      <x:c r="A3009" s="17" t="str">
        <x:v>U03003</x:v>
      </x:c>
      <x:c r="B3009" s="18" t="n">
        <x:v>46282</x:v>
      </x:c>
      <x:c r="C3009" s="17" t="str">
        <x:v>W0237</x:v>
      </x:c>
      <x:c r="D3009" s="17" t="str">
        <x:v>C004</x:v>
      </x:c>
      <x:c r="E3009" s="17" t="str">
        <x:v>CampaignChat</x:v>
      </x:c>
      <x:c r="F3009" s="17" t="str">
        <x:v>Lite</x:v>
      </x:c>
      <x:c r="G3009" s="21" t="n">
        <x:v>10304</x:v>
      </x:c>
      <x:c r="H3009" s="21" t="n">
        <x:v>5901</x:v>
      </x:c>
      <x:c r="I3009" s="17" t="str">
        <x:v>Followup</x:v>
      </x:c>
    </x:row>
    <x:row r="3010" ht="23" customHeight="1">
      <x:c r="A3010" s="17" t="str">
        <x:v>U03004</x:v>
      </x:c>
      <x:c r="B3010" s="18" t="n">
        <x:v>46273</x:v>
      </x:c>
      <x:c r="C3010" s="17" t="str">
        <x:v>W0239</x:v>
      </x:c>
      <x:c r="D3010" s="17" t="str">
        <x:v>C004</x:v>
      </x:c>
      <x:c r="E3010" s="17" t="str">
        <x:v>DataFlow</x:v>
      </x:c>
      <x:c r="F3010" s="17" t="str">
        <x:v>Lite</x:v>
      </x:c>
      <x:c r="G3010" s="21" t="n">
        <x:v>23294</x:v>
      </x:c>
      <x:c r="H3010" s="21" t="n">
        <x:v>4532</x:v>
      </x:c>
      <x:c r="I3010" s="17" t="str">
        <x:v>First attempt</x:v>
      </x:c>
    </x:row>
    <x:row r="3011" ht="23" customHeight="1">
      <x:c r="A3011" s="17" t="str">
        <x:v>U03005</x:v>
      </x:c>
      <x:c r="B3011" s="18" t="n">
        <x:v>46273</x:v>
      </x:c>
      <x:c r="C3011" s="17" t="str">
        <x:v>W0239</x:v>
      </x:c>
      <x:c r="D3011" s="17" t="str">
        <x:v>C004</x:v>
      </x:c>
      <x:c r="E3011" s="17" t="str">
        <x:v>DataFlow</x:v>
      </x:c>
      <x:c r="F3011" s="17" t="str">
        <x:v>Lite</x:v>
      </x:c>
      <x:c r="G3011" s="21" t="n">
        <x:v>38223</x:v>
      </x:c>
      <x:c r="H3011" s="21" t="n">
        <x:v>2188</x:v>
      </x:c>
      <x:c r="I3011" s="17" t="str">
        <x:v>Followup</x:v>
      </x:c>
    </x:row>
    <x:row r="3012" ht="23" customHeight="1">
      <x:c r="A3012" s="17" t="str">
        <x:v>U03006</x:v>
      </x:c>
      <x:c r="B3012" s="18" t="n">
        <x:v>46273</x:v>
      </x:c>
      <x:c r="C3012" s="17" t="str">
        <x:v>W0239</x:v>
      </x:c>
      <x:c r="D3012" s="17" t="str">
        <x:v>C004</x:v>
      </x:c>
      <x:c r="E3012" s="17" t="str">
        <x:v>DataFlow</x:v>
      </x:c>
      <x:c r="F3012" s="17" t="str">
        <x:v>Lite</x:v>
      </x:c>
      <x:c r="G3012" s="21" t="n">
        <x:v>35505</x:v>
      </x:c>
      <x:c r="H3012" s="21" t="n">
        <x:v>1334</x:v>
      </x:c>
      <x:c r="I3012" s="17" t="str">
        <x:v>Followup</x:v>
      </x:c>
    </x:row>
    <x:row r="3013" ht="23" customHeight="1">
      <x:c r="A3013" s="17" t="str">
        <x:v>U03007</x:v>
      </x:c>
      <x:c r="B3013" s="18" t="n">
        <x:v>46273</x:v>
      </x:c>
      <x:c r="C3013" s="17" t="str">
        <x:v>W0239</x:v>
      </x:c>
      <x:c r="D3013" s="17" t="str">
        <x:v>C004</x:v>
      </x:c>
      <x:c r="E3013" s="17" t="str">
        <x:v>DataFlow</x:v>
      </x:c>
      <x:c r="F3013" s="17" t="str">
        <x:v>Lite</x:v>
      </x:c>
      <x:c r="G3013" s="21" t="n">
        <x:v>40810</x:v>
      </x:c>
      <x:c r="H3013" s="21" t="n">
        <x:v>1868</x:v>
      </x:c>
      <x:c r="I3013" s="17" t="str">
        <x:v>Followup</x:v>
      </x:c>
    </x:row>
    <x:row r="3014" ht="23" customHeight="1">
      <x:c r="A3014" s="17" t="str">
        <x:v>U03008</x:v>
      </x:c>
      <x:c r="B3014" s="18" t="n">
        <x:v>46274</x:v>
      </x:c>
      <x:c r="C3014" s="17" t="str">
        <x:v>W0239</x:v>
      </x:c>
      <x:c r="D3014" s="17" t="str">
        <x:v>C004</x:v>
      </x:c>
      <x:c r="E3014" s="17" t="str">
        <x:v>DataFlow</x:v>
      </x:c>
      <x:c r="F3014" s="17" t="str">
        <x:v>Lite</x:v>
      </x:c>
      <x:c r="G3014" s="21" t="n">
        <x:v>38101</x:v>
      </x:c>
      <x:c r="H3014" s="21" t="n">
        <x:v>2054</x:v>
      </x:c>
      <x:c r="I3014" s="17" t="str">
        <x:v>Correction</x:v>
      </x:c>
    </x:row>
    <x:row r="3015" ht="23" customHeight="1">
      <x:c r="A3015" s="17" t="str">
        <x:v>U03009</x:v>
      </x:c>
      <x:c r="B3015" s="18" t="n">
        <x:v>46274</x:v>
      </x:c>
      <x:c r="C3015" s="17" t="str">
        <x:v>W0239</x:v>
      </x:c>
      <x:c r="D3015" s="17" t="str">
        <x:v>C004</x:v>
      </x:c>
      <x:c r="E3015" s="17" t="str">
        <x:v>DataFlow</x:v>
      </x:c>
      <x:c r="F3015" s="17" t="str">
        <x:v>Lite</x:v>
      </x:c>
      <x:c r="G3015" s="21" t="n">
        <x:v>23499</x:v>
      </x:c>
      <x:c r="H3015" s="21" t="n">
        <x:v>2041</x:v>
      </x:c>
      <x:c r="I3015" s="17" t="str">
        <x:v>Followup</x:v>
      </x:c>
    </x:row>
    <x:row r="3016" ht="23" customHeight="1">
      <x:c r="A3016" s="17" t="str">
        <x:v>U03010</x:v>
      </x:c>
      <x:c r="B3016" s="18" t="n">
        <x:v>46274</x:v>
      </x:c>
      <x:c r="C3016" s="17" t="str">
        <x:v>W0239</x:v>
      </x:c>
      <x:c r="D3016" s="17" t="str">
        <x:v>C004</x:v>
      </x:c>
      <x:c r="E3016" s="17" t="str">
        <x:v>DataFlow</x:v>
      </x:c>
      <x:c r="F3016" s="17" t="str">
        <x:v>Lite</x:v>
      </x:c>
      <x:c r="G3016" s="21" t="n">
        <x:v>24321</x:v>
      </x:c>
      <x:c r="H3016" s="21" t="n">
        <x:v>3312</x:v>
      </x:c>
      <x:c r="I3016" s="17" t="str">
        <x:v>Followup</x:v>
      </x:c>
    </x:row>
    <x:row r="3017" ht="23" customHeight="1">
      <x:c r="A3017" s="17" t="str">
        <x:v>U03011</x:v>
      </x:c>
      <x:c r="B3017" s="18" t="n">
        <x:v>46274</x:v>
      </x:c>
      <x:c r="C3017" s="17" t="str">
        <x:v>W0239</x:v>
      </x:c>
      <x:c r="D3017" s="17" t="str">
        <x:v>C004</x:v>
      </x:c>
      <x:c r="E3017" s="17" t="str">
        <x:v>DataFlow</x:v>
      </x:c>
      <x:c r="F3017" s="17" t="str">
        <x:v>Lite</x:v>
      </x:c>
      <x:c r="G3017" s="21" t="n">
        <x:v>28894</x:v>
      </x:c>
      <x:c r="H3017" s="21" t="n">
        <x:v>2791</x:v>
      </x:c>
      <x:c r="I3017" s="17" t="str">
        <x:v>Followup</x:v>
      </x:c>
    </x:row>
    <x:row r="3018" ht="23" customHeight="1">
      <x:c r="A3018" s="17" t="str">
        <x:v>U03012</x:v>
      </x:c>
      <x:c r="B3018" s="18" t="n">
        <x:v>46275</x:v>
      </x:c>
      <x:c r="C3018" s="17" t="str">
        <x:v>W0239</x:v>
      </x:c>
      <x:c r="D3018" s="17" t="str">
        <x:v>C004</x:v>
      </x:c>
      <x:c r="E3018" s="17" t="str">
        <x:v>DataFlow</x:v>
      </x:c>
      <x:c r="F3018" s="17" t="str">
        <x:v>Lite</x:v>
      </x:c>
      <x:c r="G3018" s="21" t="n">
        <x:v>16837</x:v>
      </x:c>
      <x:c r="H3018" s="21" t="n">
        <x:v>4554</x:v>
      </x:c>
      <x:c r="I3018" s="17" t="str">
        <x:v>Correction</x:v>
      </x:c>
    </x:row>
    <x:row r="3019" ht="23" customHeight="1">
      <x:c r="A3019" s="17" t="str">
        <x:v>U03013</x:v>
      </x:c>
      <x:c r="B3019" s="18" t="n">
        <x:v>46275</x:v>
      </x:c>
      <x:c r="C3019" s="17" t="str">
        <x:v>W0239</x:v>
      </x:c>
      <x:c r="D3019" s="17" t="str">
        <x:v>C004</x:v>
      </x:c>
      <x:c r="E3019" s="17" t="str">
        <x:v>DataFlow</x:v>
      </x:c>
      <x:c r="F3019" s="17" t="str">
        <x:v>Lite</x:v>
      </x:c>
      <x:c r="G3019" s="21" t="n">
        <x:v>27177</x:v>
      </x:c>
      <x:c r="H3019" s="21" t="n">
        <x:v>1503</x:v>
      </x:c>
      <x:c r="I3019" s="17" t="str">
        <x:v>Correction</x:v>
      </x:c>
    </x:row>
    <x:row r="3020" ht="23" customHeight="1">
      <x:c r="A3020" s="17" t="str">
        <x:v>U03014</x:v>
      </x:c>
      <x:c r="B3020" s="18" t="n">
        <x:v>46275</x:v>
      </x:c>
      <x:c r="C3020" s="17" t="str">
        <x:v>W0239</x:v>
      </x:c>
      <x:c r="D3020" s="17" t="str">
        <x:v>C004</x:v>
      </x:c>
      <x:c r="E3020" s="17" t="str">
        <x:v>DataFlow</x:v>
      </x:c>
      <x:c r="F3020" s="17" t="str">
        <x:v>Lite</x:v>
      </x:c>
      <x:c r="G3020" s="21" t="n">
        <x:v>35986</x:v>
      </x:c>
      <x:c r="H3020" s="21" t="n">
        <x:v>2936</x:v>
      </x:c>
      <x:c r="I3020" s="17" t="str">
        <x:v>Followup</x:v>
      </x:c>
    </x:row>
    <x:row r="3021" ht="23" customHeight="1">
      <x:c r="A3021" s="17" t="str">
        <x:v>U03015</x:v>
      </x:c>
      <x:c r="B3021" s="18" t="n">
        <x:v>46275</x:v>
      </x:c>
      <x:c r="C3021" s="17" t="str">
        <x:v>W0239</x:v>
      </x:c>
      <x:c r="D3021" s="17" t="str">
        <x:v>C004</x:v>
      </x:c>
      <x:c r="E3021" s="17" t="str">
        <x:v>DataFlow</x:v>
      </x:c>
      <x:c r="F3021" s="17" t="str">
        <x:v>Lite</x:v>
      </x:c>
      <x:c r="G3021" s="21" t="n">
        <x:v>41752</x:v>
      </x:c>
      <x:c r="H3021" s="21" t="n">
        <x:v>1806</x:v>
      </x:c>
      <x:c r="I3021" s="17" t="str">
        <x:v>Followup</x:v>
      </x:c>
    </x:row>
    <x:row r="3022" ht="23" customHeight="1">
      <x:c r="A3022" s="17" t="str">
        <x:v>U03016</x:v>
      </x:c>
      <x:c r="B3022" s="18" t="n">
        <x:v>46276</x:v>
      </x:c>
      <x:c r="C3022" s="17" t="str">
        <x:v>W0239</x:v>
      </x:c>
      <x:c r="D3022" s="17" t="str">
        <x:v>C004</x:v>
      </x:c>
      <x:c r="E3022" s="17" t="str">
        <x:v>DataFlow</x:v>
      </x:c>
      <x:c r="F3022" s="17" t="str">
        <x:v>Lite</x:v>
      </x:c>
      <x:c r="G3022" s="21" t="n">
        <x:v>14574</x:v>
      </x:c>
      <x:c r="H3022" s="21" t="n">
        <x:v>1614</x:v>
      </x:c>
      <x:c r="I3022" s="17" t="str">
        <x:v>Followup</x:v>
      </x:c>
    </x:row>
    <x:row r="3023" ht="23" customHeight="1">
      <x:c r="A3023" s="17" t="str">
        <x:v>U03017</x:v>
      </x:c>
      <x:c r="B3023" s="18" t="n">
        <x:v>46276</x:v>
      </x:c>
      <x:c r="C3023" s="17" t="str">
        <x:v>W0239</x:v>
      </x:c>
      <x:c r="D3023" s="17" t="str">
        <x:v>C004</x:v>
      </x:c>
      <x:c r="E3023" s="17" t="str">
        <x:v>DataFlow</x:v>
      </x:c>
      <x:c r="F3023" s="17" t="str">
        <x:v>Lite</x:v>
      </x:c>
      <x:c r="G3023" s="21" t="n">
        <x:v>18689</x:v>
      </x:c>
      <x:c r="H3023" s="21" t="n">
        <x:v>2843</x:v>
      </x:c>
      <x:c r="I3023" s="17" t="str">
        <x:v>Followup</x:v>
      </x:c>
    </x:row>
    <x:row r="3024" ht="23" customHeight="1">
      <x:c r="A3024" s="17" t="str">
        <x:v>U03018</x:v>
      </x:c>
      <x:c r="B3024" s="18" t="n">
        <x:v>46276</x:v>
      </x:c>
      <x:c r="C3024" s="17" t="str">
        <x:v>W0239</x:v>
      </x:c>
      <x:c r="D3024" s="17" t="str">
        <x:v>C004</x:v>
      </x:c>
      <x:c r="E3024" s="17" t="str">
        <x:v>DataFlow</x:v>
      </x:c>
      <x:c r="F3024" s="17" t="str">
        <x:v>Lite</x:v>
      </x:c>
      <x:c r="G3024" s="21" t="n">
        <x:v>26712</x:v>
      </x:c>
      <x:c r="H3024" s="21" t="n">
        <x:v>2146</x:v>
      </x:c>
      <x:c r="I3024" s="17" t="str">
        <x:v>Followup</x:v>
      </x:c>
    </x:row>
    <x:row r="3025" ht="23" customHeight="1">
      <x:c r="A3025" s="17" t="str">
        <x:v>U03019</x:v>
      </x:c>
      <x:c r="B3025" s="18" t="n">
        <x:v>46283</x:v>
      </x:c>
      <x:c r="C3025" s="17" t="str">
        <x:v>W0181</x:v>
      </x:c>
      <x:c r="D3025" s="17" t="str">
        <x:v>C004</x:v>
      </x:c>
      <x:c r="E3025" s="17" t="str">
        <x:v>CampaignChat</x:v>
      </x:c>
      <x:c r="F3025" s="17" t="str">
        <x:v>Pro</x:v>
      </x:c>
      <x:c r="G3025" s="21" t="n">
        <x:v>17852</x:v>
      </x:c>
      <x:c r="H3025" s="21" t="n">
        <x:v>9021</x:v>
      </x:c>
      <x:c r="I3025" s="17" t="str">
        <x:v>First attempt</x:v>
      </x:c>
    </x:row>
    <x:row r="3026" ht="23" customHeight="1">
      <x:c r="A3026" s="17" t="str">
        <x:v>U03020</x:v>
      </x:c>
      <x:c r="B3026" s="18" t="n">
        <x:v>46283</x:v>
      </x:c>
      <x:c r="C3026" s="17" t="str">
        <x:v>W0181</x:v>
      </x:c>
      <x:c r="D3026" s="17" t="str">
        <x:v>C004</x:v>
      </x:c>
      <x:c r="E3026" s="17" t="str">
        <x:v>CampaignChat</x:v>
      </x:c>
      <x:c r="F3026" s="17" t="str">
        <x:v>Pro</x:v>
      </x:c>
      <x:c r="G3026" s="21" t="n">
        <x:v>7279</x:v>
      </x:c>
      <x:c r="H3026" s="21" t="n">
        <x:v>4182</x:v>
      </x:c>
      <x:c r="I3026" s="17" t="str">
        <x:v>Followup</x:v>
      </x:c>
    </x:row>
    <x:row r="3027" ht="23" customHeight="1">
      <x:c r="A3027" s="17" t="str">
        <x:v>U03021</x:v>
      </x:c>
      <x:c r="B3027" s="18" t="n">
        <x:v>46283</x:v>
      </x:c>
      <x:c r="C3027" s="17" t="str">
        <x:v>W0181</x:v>
      </x:c>
      <x:c r="D3027" s="17" t="str">
        <x:v>C004</x:v>
      </x:c>
      <x:c r="E3027" s="17" t="str">
        <x:v>CampaignChat</x:v>
      </x:c>
      <x:c r="F3027" s="17" t="str">
        <x:v>Pro</x:v>
      </x:c>
      <x:c r="G3027" s="21" t="n">
        <x:v>8592</x:v>
      </x:c>
      <x:c r="H3027" s="21" t="n">
        <x:v>9377</x:v>
      </x:c>
      <x:c r="I3027" s="17" t="str">
        <x:v>Correction</x:v>
      </x:c>
    </x:row>
    <x:row r="3028" ht="23" customHeight="1">
      <x:c r="A3028" s="17" t="str">
        <x:v>U03022</x:v>
      </x:c>
      <x:c r="B3028" s="18" t="n">
        <x:v>46286</x:v>
      </x:c>
      <x:c r="C3028" s="17" t="str">
        <x:v>W0181</x:v>
      </x:c>
      <x:c r="D3028" s="17" t="str">
        <x:v>C004</x:v>
      </x:c>
      <x:c r="E3028" s="17" t="str">
        <x:v>CampaignChat</x:v>
      </x:c>
      <x:c r="F3028" s="17" t="str">
        <x:v>Pro</x:v>
      </x:c>
      <x:c r="G3028" s="21" t="n">
        <x:v>11712</x:v>
      </x:c>
      <x:c r="H3028" s="21" t="n">
        <x:v>10735</x:v>
      </x:c>
      <x:c r="I3028" s="17" t="str">
        <x:v>Followup</x:v>
      </x:c>
    </x:row>
    <x:row r="3029" ht="23" customHeight="1">
      <x:c r="A3029" s="17" t="str">
        <x:v>U03023</x:v>
      </x:c>
      <x:c r="B3029" s="18" t="n">
        <x:v>46286</x:v>
      </x:c>
      <x:c r="C3029" s="17" t="str">
        <x:v>W0181</x:v>
      </x:c>
      <x:c r="D3029" s="17" t="str">
        <x:v>C004</x:v>
      </x:c>
      <x:c r="E3029" s="17" t="str">
        <x:v>CampaignChat</x:v>
      </x:c>
      <x:c r="F3029" s="17" t="str">
        <x:v>Pro</x:v>
      </x:c>
      <x:c r="G3029" s="21" t="n">
        <x:v>8674</x:v>
      </x:c>
      <x:c r="H3029" s="21" t="n">
        <x:v>3475</x:v>
      </x:c>
      <x:c r="I3029" s="17" t="str">
        <x:v>Followup</x:v>
      </x:c>
    </x:row>
    <x:row r="3030" ht="23" customHeight="1">
      <x:c r="A3030" s="17" t="str">
        <x:v>U03024</x:v>
      </x:c>
      <x:c r="B3030" s="18" t="n">
        <x:v>46287</x:v>
      </x:c>
      <x:c r="C3030" s="17" t="str">
        <x:v>W0181</x:v>
      </x:c>
      <x:c r="D3030" s="17" t="str">
        <x:v>C004</x:v>
      </x:c>
      <x:c r="E3030" s="17" t="str">
        <x:v>CampaignChat</x:v>
      </x:c>
      <x:c r="F3030" s="17" t="str">
        <x:v>Pro</x:v>
      </x:c>
      <x:c r="G3030" s="21" t="n">
        <x:v>15168</x:v>
      </x:c>
      <x:c r="H3030" s="21" t="n">
        <x:v>10367</x:v>
      </x:c>
      <x:c r="I3030" s="17" t="str">
        <x:v>Followup</x:v>
      </x:c>
    </x:row>
    <x:row r="3031" ht="23" customHeight="1">
      <x:c r="A3031" s="17" t="str">
        <x:v>U03025</x:v>
      </x:c>
      <x:c r="B3031" s="18" t="n">
        <x:v>46287</x:v>
      </x:c>
      <x:c r="C3031" s="17" t="str">
        <x:v>W0181</x:v>
      </x:c>
      <x:c r="D3031" s="17" t="str">
        <x:v>C004</x:v>
      </x:c>
      <x:c r="E3031" s="17" t="str">
        <x:v>CampaignChat</x:v>
      </x:c>
      <x:c r="F3031" s="17" t="str">
        <x:v>Pro</x:v>
      </x:c>
      <x:c r="G3031" s="21" t="n">
        <x:v>16947</x:v>
      </x:c>
      <x:c r="H3031" s="21" t="n">
        <x:v>8849</x:v>
      </x:c>
      <x:c r="I3031" s="17" t="str">
        <x:v>Correction</x:v>
      </x:c>
    </x:row>
    <x:row r="3032" ht="23" customHeight="1">
      <x:c r="A3032" s="17" t="str">
        <x:v>U03026</x:v>
      </x:c>
      <x:c r="B3032" s="18" t="n">
        <x:v>46288</x:v>
      </x:c>
      <x:c r="C3032" s="17" t="str">
        <x:v>W0181</x:v>
      </x:c>
      <x:c r="D3032" s="17" t="str">
        <x:v>C004</x:v>
      </x:c>
      <x:c r="E3032" s="17" t="str">
        <x:v>CampaignChat</x:v>
      </x:c>
      <x:c r="F3032" s="17" t="str">
        <x:v>Pro</x:v>
      </x:c>
      <x:c r="G3032" s="21" t="n">
        <x:v>8329</x:v>
      </x:c>
      <x:c r="H3032" s="21" t="n">
        <x:v>11039</x:v>
      </x:c>
      <x:c r="I3032" s="17" t="str">
        <x:v>Followup</x:v>
      </x:c>
    </x:row>
    <x:row r="3033" ht="23" customHeight="1">
      <x:c r="A3033" s="17" t="str">
        <x:v>U03027</x:v>
      </x:c>
      <x:c r="B3033" s="18" t="n">
        <x:v>46288</x:v>
      </x:c>
      <x:c r="C3033" s="17" t="str">
        <x:v>W0181</x:v>
      </x:c>
      <x:c r="D3033" s="17" t="str">
        <x:v>C004</x:v>
      </x:c>
      <x:c r="E3033" s="17" t="str">
        <x:v>CampaignChat</x:v>
      </x:c>
      <x:c r="F3033" s="17" t="str">
        <x:v>Pro</x:v>
      </x:c>
      <x:c r="G3033" s="21" t="n">
        <x:v>8300</x:v>
      </x:c>
      <x:c r="H3033" s="21" t="n">
        <x:v>7156</x:v>
      </x:c>
      <x:c r="I3033" s="17" t="str">
        <x:v>Followup</x:v>
      </x:c>
    </x:row>
    <x:row r="3034" ht="23" customHeight="1">
      <x:c r="A3034" s="17" t="str">
        <x:v>U03028</x:v>
      </x:c>
      <x:c r="B3034" s="18" t="n">
        <x:v>46288</x:v>
      </x:c>
      <x:c r="C3034" s="17" t="str">
        <x:v>W0184</x:v>
      </x:c>
      <x:c r="D3034" s="17" t="str">
        <x:v>C004</x:v>
      </x:c>
      <x:c r="E3034" s="17" t="str">
        <x:v>InsightDesk</x:v>
      </x:c>
      <x:c r="F3034" s="17" t="str">
        <x:v>Pro</x:v>
      </x:c>
      <x:c r="G3034" s="21" t="n">
        <x:v>7783</x:v>
      </x:c>
      <x:c r="H3034" s="21" t="n">
        <x:v>4423</x:v>
      </x:c>
      <x:c r="I3034" s="17" t="str">
        <x:v>First attempt</x:v>
      </x:c>
    </x:row>
    <x:row r="3035" ht="23" customHeight="1">
      <x:c r="A3035" s="17" t="str">
        <x:v>U03029</x:v>
      </x:c>
      <x:c r="B3035" s="18" t="n">
        <x:v>46288</x:v>
      </x:c>
      <x:c r="C3035" s="17" t="str">
        <x:v>W0184</x:v>
      </x:c>
      <x:c r="D3035" s="17" t="str">
        <x:v>C004</x:v>
      </x:c>
      <x:c r="E3035" s="17" t="str">
        <x:v>InsightDesk</x:v>
      </x:c>
      <x:c r="F3035" s="17" t="str">
        <x:v>Pro</x:v>
      </x:c>
      <x:c r="G3035" s="21" t="n">
        <x:v>8417</x:v>
      </x:c>
      <x:c r="H3035" s="21" t="n">
        <x:v>13937</x:v>
      </x:c>
      <x:c r="I3035" s="17" t="str">
        <x:v>Followup</x:v>
      </x:c>
    </x:row>
    <x:row r="3036" ht="23" customHeight="1">
      <x:c r="A3036" s="17" t="str">
        <x:v>U03030</x:v>
      </x:c>
      <x:c r="B3036" s="18" t="n">
        <x:v>46288</x:v>
      </x:c>
      <x:c r="C3036" s="17" t="str">
        <x:v>W0184</x:v>
      </x:c>
      <x:c r="D3036" s="17" t="str">
        <x:v>C004</x:v>
      </x:c>
      <x:c r="E3036" s="17" t="str">
        <x:v>InsightDesk</x:v>
      </x:c>
      <x:c r="F3036" s="17" t="str">
        <x:v>Pro</x:v>
      </x:c>
      <x:c r="G3036" s="21" t="n">
        <x:v>21998</x:v>
      </x:c>
      <x:c r="H3036" s="21" t="n">
        <x:v>11941</x:v>
      </x:c>
      <x:c r="I3036" s="17" t="str">
        <x:v>Correction</x:v>
      </x:c>
    </x:row>
    <x:row r="3037" ht="23" customHeight="1">
      <x:c r="A3037" s="17" t="str">
        <x:v>U03031</x:v>
      </x:c>
      <x:c r="B3037" s="18" t="n">
        <x:v>46288</x:v>
      </x:c>
      <x:c r="C3037" s="17" t="str">
        <x:v>W0184</x:v>
      </x:c>
      <x:c r="D3037" s="17" t="str">
        <x:v>C004</x:v>
      </x:c>
      <x:c r="E3037" s="17" t="str">
        <x:v>InsightDesk</x:v>
      </x:c>
      <x:c r="F3037" s="17" t="str">
        <x:v>Pro</x:v>
      </x:c>
      <x:c r="G3037" s="21" t="n">
        <x:v>15901</x:v>
      </x:c>
      <x:c r="H3037" s="21" t="n">
        <x:v>12816</x:v>
      </x:c>
      <x:c r="I3037" s="17" t="str">
        <x:v>Followup</x:v>
      </x:c>
    </x:row>
    <x:row r="3038" ht="23" customHeight="1">
      <x:c r="A3038" s="17" t="str">
        <x:v>U03032</x:v>
      </x:c>
      <x:c r="B3038" s="18" t="n">
        <x:v>46288</x:v>
      </x:c>
      <x:c r="C3038" s="17" t="str">
        <x:v>W0184</x:v>
      </x:c>
      <x:c r="D3038" s="17" t="str">
        <x:v>C004</x:v>
      </x:c>
      <x:c r="E3038" s="17" t="str">
        <x:v>InsightDesk</x:v>
      </x:c>
      <x:c r="F3038" s="17" t="str">
        <x:v>Pro</x:v>
      </x:c>
      <x:c r="G3038" s="21" t="n">
        <x:v>12776</x:v>
      </x:c>
      <x:c r="H3038" s="21" t="n">
        <x:v>10830</x:v>
      </x:c>
      <x:c r="I3038" s="17" t="str">
        <x:v>Followup</x:v>
      </x:c>
    </x:row>
    <x:row r="3039" ht="23" customHeight="1">
      <x:c r="A3039" s="17" t="str">
        <x:v>U03033</x:v>
      </x:c>
      <x:c r="B3039" s="18" t="n">
        <x:v>46289</x:v>
      </x:c>
      <x:c r="C3039" s="17" t="str">
        <x:v>W0184</x:v>
      </x:c>
      <x:c r="D3039" s="17" t="str">
        <x:v>C004</x:v>
      </x:c>
      <x:c r="E3039" s="17" t="str">
        <x:v>InsightDesk</x:v>
      </x:c>
      <x:c r="F3039" s="17" t="str">
        <x:v>Pro</x:v>
      </x:c>
      <x:c r="G3039" s="21" t="n">
        <x:v>17108</x:v>
      </x:c>
      <x:c r="H3039" s="21" t="n">
        <x:v>7462</x:v>
      </x:c>
      <x:c r="I3039" s="17" t="str">
        <x:v>Followup</x:v>
      </x:c>
    </x:row>
    <x:row r="3040" ht="23" customHeight="1">
      <x:c r="A3040" s="17" t="str">
        <x:v>U03034</x:v>
      </x:c>
      <x:c r="B3040" s="18" t="n">
        <x:v>46289</x:v>
      </x:c>
      <x:c r="C3040" s="17" t="str">
        <x:v>W0184</x:v>
      </x:c>
      <x:c r="D3040" s="17" t="str">
        <x:v>C004</x:v>
      </x:c>
      <x:c r="E3040" s="17" t="str">
        <x:v>InsightDesk</x:v>
      </x:c>
      <x:c r="F3040" s="17" t="str">
        <x:v>Pro</x:v>
      </x:c>
      <x:c r="G3040" s="21" t="n">
        <x:v>17579</x:v>
      </x:c>
      <x:c r="H3040" s="21" t="n">
        <x:v>7767</x:v>
      </x:c>
      <x:c r="I3040" s="17" t="str">
        <x:v>Followup</x:v>
      </x:c>
    </x:row>
    <x:row r="3041" ht="23" customHeight="1">
      <x:c r="A3041" s="17" t="str">
        <x:v>U03035</x:v>
      </x:c>
      <x:c r="B3041" s="18" t="n">
        <x:v>46289</x:v>
      </x:c>
      <x:c r="C3041" s="17" t="str">
        <x:v>W0184</x:v>
      </x:c>
      <x:c r="D3041" s="17" t="str">
        <x:v>C004</x:v>
      </x:c>
      <x:c r="E3041" s="17" t="str">
        <x:v>InsightDesk</x:v>
      </x:c>
      <x:c r="F3041" s="17" t="str">
        <x:v>Pro</x:v>
      </x:c>
      <x:c r="G3041" s="21" t="n">
        <x:v>10836</x:v>
      </x:c>
      <x:c r="H3041" s="21" t="n">
        <x:v>9208</x:v>
      </x:c>
      <x:c r="I3041" s="17" t="str">
        <x:v>Followup</x:v>
      </x:c>
    </x:row>
    <x:row r="3042" ht="23" customHeight="1">
      <x:c r="A3042" s="17" t="str">
        <x:v>U03036</x:v>
      </x:c>
      <x:c r="B3042" s="18" t="n">
        <x:v>46289</x:v>
      </x:c>
      <x:c r="C3042" s="17" t="str">
        <x:v>W0184</x:v>
      </x:c>
      <x:c r="D3042" s="17" t="str">
        <x:v>C004</x:v>
      </x:c>
      <x:c r="E3042" s="17" t="str">
        <x:v>InsightDesk</x:v>
      </x:c>
      <x:c r="F3042" s="17" t="str">
        <x:v>Pro</x:v>
      </x:c>
      <x:c r="G3042" s="21" t="n">
        <x:v>15766</x:v>
      </x:c>
      <x:c r="H3042" s="21" t="n">
        <x:v>7122</x:v>
      </x:c>
      <x:c r="I3042" s="17" t="str">
        <x:v>Followup</x:v>
      </x:c>
    </x:row>
    <x:row r="3043" ht="23" customHeight="1">
      <x:c r="A3043" s="17" t="str">
        <x:v>U03037</x:v>
      </x:c>
      <x:c r="B3043" s="18" t="n">
        <x:v>46289</x:v>
      </x:c>
      <x:c r="C3043" s="17" t="str">
        <x:v>W0184</x:v>
      </x:c>
      <x:c r="D3043" s="17" t="str">
        <x:v>C004</x:v>
      </x:c>
      <x:c r="E3043" s="17" t="str">
        <x:v>InsightDesk</x:v>
      </x:c>
      <x:c r="F3043" s="17" t="str">
        <x:v>Pro</x:v>
      </x:c>
      <x:c r="G3043" s="21" t="n">
        <x:v>21763</x:v>
      </x:c>
      <x:c r="H3043" s="21" t="n">
        <x:v>16741</x:v>
      </x:c>
      <x:c r="I3043" s="17" t="str">
        <x:v>Correction</x:v>
      </x:c>
    </x:row>
    <x:row r="3044" ht="23" customHeight="1">
      <x:c r="A3044" s="17" t="str">
        <x:v>U03038</x:v>
      </x:c>
      <x:c r="B3044" s="18" t="n">
        <x:v>46290</x:v>
      </x:c>
      <x:c r="C3044" s="17" t="str">
        <x:v>W0184</x:v>
      </x:c>
      <x:c r="D3044" s="17" t="str">
        <x:v>C004</x:v>
      </x:c>
      <x:c r="E3044" s="17" t="str">
        <x:v>InsightDesk</x:v>
      </x:c>
      <x:c r="F3044" s="17" t="str">
        <x:v>Pro</x:v>
      </x:c>
      <x:c r="G3044" s="21" t="n">
        <x:v>11419</x:v>
      </x:c>
      <x:c r="H3044" s="21" t="n">
        <x:v>9757</x:v>
      </x:c>
      <x:c r="I3044" s="17" t="str">
        <x:v>Followup</x:v>
      </x:c>
    </x:row>
    <x:row r="3045" ht="23" customHeight="1">
      <x:c r="A3045" s="17" t="str">
        <x:v>U03039</x:v>
      </x:c>
      <x:c r="B3045" s="18" t="n">
        <x:v>46290</x:v>
      </x:c>
      <x:c r="C3045" s="17" t="str">
        <x:v>W0184</x:v>
      </x:c>
      <x:c r="D3045" s="17" t="str">
        <x:v>C004</x:v>
      </x:c>
      <x:c r="E3045" s="17" t="str">
        <x:v>InsightDesk</x:v>
      </x:c>
      <x:c r="F3045" s="17" t="str">
        <x:v>Pro</x:v>
      </x:c>
      <x:c r="G3045" s="21" t="n">
        <x:v>20384</x:v>
      </x:c>
      <x:c r="H3045" s="21" t="n">
        <x:v>13531</x:v>
      </x:c>
      <x:c r="I3045" s="17" t="str">
        <x:v>Followup</x:v>
      </x:c>
    </x:row>
    <x:row r="3046" ht="23" customHeight="1">
      <x:c r="A3046" s="17" t="str">
        <x:v>U03040</x:v>
      </x:c>
      <x:c r="B3046" s="18" t="n">
        <x:v>46290</x:v>
      </x:c>
      <x:c r="C3046" s="17" t="str">
        <x:v>W0184</x:v>
      </x:c>
      <x:c r="D3046" s="17" t="str">
        <x:v>C004</x:v>
      </x:c>
      <x:c r="E3046" s="17" t="str">
        <x:v>InsightDesk</x:v>
      </x:c>
      <x:c r="F3046" s="17" t="str">
        <x:v>Pro</x:v>
      </x:c>
      <x:c r="G3046" s="21" t="n">
        <x:v>19151</x:v>
      </x:c>
      <x:c r="H3046" s="21" t="n">
        <x:v>10131</x:v>
      </x:c>
      <x:c r="I3046" s="17" t="str">
        <x:v>Correction</x:v>
      </x:c>
    </x:row>
    <x:row r="3047" ht="23" customHeight="1">
      <x:c r="A3047" s="17" t="str">
        <x:v>U03041</x:v>
      </x:c>
      <x:c r="B3047" s="18" t="n">
        <x:v>46290</x:v>
      </x:c>
      <x:c r="C3047" s="17" t="str">
        <x:v>W0184</x:v>
      </x:c>
      <x:c r="D3047" s="17" t="str">
        <x:v>C004</x:v>
      </x:c>
      <x:c r="E3047" s="17" t="str">
        <x:v>InsightDesk</x:v>
      </x:c>
      <x:c r="F3047" s="17" t="str">
        <x:v>Pro</x:v>
      </x:c>
      <x:c r="G3047" s="21" t="n">
        <x:v>11976</x:v>
      </x:c>
      <x:c r="H3047" s="21" t="n">
        <x:v>12189</x:v>
      </x:c>
      <x:c r="I3047" s="17" t="str">
        <x:v>Correction</x:v>
      </x:c>
    </x:row>
    <x:row r="3048" ht="23" customHeight="1">
      <x:c r="A3048" s="17" t="str">
        <x:v>U03042</x:v>
      </x:c>
      <x:c r="B3048" s="18" t="n">
        <x:v>46290</x:v>
      </x:c>
      <x:c r="C3048" s="17" t="str">
        <x:v>W0184</x:v>
      </x:c>
      <x:c r="D3048" s="17" t="str">
        <x:v>C004</x:v>
      </x:c>
      <x:c r="E3048" s="17" t="str">
        <x:v>InsightDesk</x:v>
      </x:c>
      <x:c r="F3048" s="17" t="str">
        <x:v>Pro</x:v>
      </x:c>
      <x:c r="G3048" s="21" t="n">
        <x:v>14103</x:v>
      </x:c>
      <x:c r="H3048" s="21" t="n">
        <x:v>16476</x:v>
      </x:c>
      <x:c r="I3048" s="17" t="str">
        <x:v>Followup</x:v>
      </x:c>
    </x:row>
    <x:row r="3049" ht="23" customHeight="1">
      <x:c r="A3049" s="17" t="str">
        <x:v>U03043</x:v>
      </x:c>
      <x:c r="B3049" s="18" t="n">
        <x:v>46293</x:v>
      </x:c>
      <x:c r="C3049" s="17" t="str">
        <x:v>W0184</x:v>
      </x:c>
      <x:c r="D3049" s="17" t="str">
        <x:v>C004</x:v>
      </x:c>
      <x:c r="E3049" s="17" t="str">
        <x:v>InsightDesk</x:v>
      </x:c>
      <x:c r="F3049" s="17" t="str">
        <x:v>Pro</x:v>
      </x:c>
      <x:c r="G3049" s="21" t="n">
        <x:v>16643</x:v>
      </x:c>
      <x:c r="H3049" s="21" t="n">
        <x:v>10715</x:v>
      </x:c>
      <x:c r="I3049" s="17" t="str">
        <x:v>Correction</x:v>
      </x:c>
    </x:row>
    <x:row r="3050" ht="23" customHeight="1">
      <x:c r="A3050" s="17" t="str">
        <x:v>U03044</x:v>
      </x:c>
      <x:c r="B3050" s="18" t="n">
        <x:v>46293</x:v>
      </x:c>
      <x:c r="C3050" s="17" t="str">
        <x:v>W0184</x:v>
      </x:c>
      <x:c r="D3050" s="17" t="str">
        <x:v>C004</x:v>
      </x:c>
      <x:c r="E3050" s="17" t="str">
        <x:v>InsightDesk</x:v>
      </x:c>
      <x:c r="F3050" s="17" t="str">
        <x:v>Pro</x:v>
      </x:c>
      <x:c r="G3050" s="21" t="n">
        <x:v>10336</x:v>
      </x:c>
      <x:c r="H3050" s="21" t="n">
        <x:v>13433</x:v>
      </x:c>
      <x:c r="I3050" s="17" t="str">
        <x:v>Followup</x:v>
      </x:c>
    </x:row>
    <x:row r="3051" ht="23" customHeight="1">
      <x:c r="A3051" s="17" t="str">
        <x:v>U03045</x:v>
      </x:c>
      <x:c r="B3051" s="18" t="n">
        <x:v>46293</x:v>
      </x:c>
      <x:c r="C3051" s="17" t="str">
        <x:v>W0184</x:v>
      </x:c>
      <x:c r="D3051" s="17" t="str">
        <x:v>C004</x:v>
      </x:c>
      <x:c r="E3051" s="17" t="str">
        <x:v>InsightDesk</x:v>
      </x:c>
      <x:c r="F3051" s="17" t="str">
        <x:v>Pro</x:v>
      </x:c>
      <x:c r="G3051" s="21" t="n">
        <x:v>17291</x:v>
      </x:c>
      <x:c r="H3051" s="21" t="n">
        <x:v>11315</x:v>
      </x:c>
      <x:c r="I3051" s="17" t="str">
        <x:v>Followup</x:v>
      </x:c>
    </x:row>
    <x:row r="3052" ht="23" customHeight="1">
      <x:c r="A3052" s="17" t="str">
        <x:v>U03046</x:v>
      </x:c>
      <x:c r="B3052" s="18" t="n">
        <x:v>46293</x:v>
      </x:c>
      <x:c r="C3052" s="17" t="str">
        <x:v>W0184</x:v>
      </x:c>
      <x:c r="D3052" s="17" t="str">
        <x:v>C004</x:v>
      </x:c>
      <x:c r="E3052" s="17" t="str">
        <x:v>InsightDesk</x:v>
      </x:c>
      <x:c r="F3052" s="17" t="str">
        <x:v>Pro</x:v>
      </x:c>
      <x:c r="G3052" s="21" t="n">
        <x:v>18080</x:v>
      </x:c>
      <x:c r="H3052" s="21" t="n">
        <x:v>12552</x:v>
      </x:c>
      <x:c r="I3052" s="17" t="str">
        <x:v>Followup</x:v>
      </x:c>
    </x:row>
    <x:row r="3053" ht="23" customHeight="1">
      <x:c r="A3053" s="17" t="str">
        <x:v>U03047</x:v>
      </x:c>
      <x:c r="B3053" s="18" t="n">
        <x:v>46293</x:v>
      </x:c>
      <x:c r="C3053" s="17" t="str">
        <x:v>W0184</x:v>
      </x:c>
      <x:c r="D3053" s="17" t="str">
        <x:v>C004</x:v>
      </x:c>
      <x:c r="E3053" s="17" t="str">
        <x:v>InsightDesk</x:v>
      </x:c>
      <x:c r="F3053" s="17" t="str">
        <x:v>Pro</x:v>
      </x:c>
      <x:c r="G3053" s="21" t="n">
        <x:v>21899</x:v>
      </x:c>
      <x:c r="H3053" s="21" t="n">
        <x:v>5953</x:v>
      </x:c>
      <x:c r="I3053" s="17" t="str">
        <x:v>Followup</x:v>
      </x:c>
    </x:row>
    <x:row r="3054" ht="23" customHeight="1">
      <x:c r="A3054" s="17" t="str">
        <x:v>U03048</x:v>
      </x:c>
      <x:c r="B3054" s="18" t="n">
        <x:v>46282</x:v>
      </x:c>
      <x:c r="C3054" s="17" t="str">
        <x:v>W0186</x:v>
      </x:c>
      <x:c r="D3054" s="17" t="str">
        <x:v>C004</x:v>
      </x:c>
      <x:c r="E3054" s="17" t="str">
        <x:v>CopyStudio</x:v>
      </x:c>
      <x:c r="F3054" s="17" t="str">
        <x:v>Pro</x:v>
      </x:c>
      <x:c r="G3054" s="21" t="n">
        <x:v>39156</x:v>
      </x:c>
      <x:c r="H3054" s="21" t="n">
        <x:v>7372</x:v>
      </x:c>
      <x:c r="I3054" s="17" t="str">
        <x:v>First attempt</x:v>
      </x:c>
    </x:row>
    <x:row r="3055" ht="23" customHeight="1">
      <x:c r="A3055" s="17" t="str">
        <x:v>U03049</x:v>
      </x:c>
      <x:c r="B3055" s="18" t="n">
        <x:v>46282</x:v>
      </x:c>
      <x:c r="C3055" s="17" t="str">
        <x:v>W0186</x:v>
      </x:c>
      <x:c r="D3055" s="17" t="str">
        <x:v>C004</x:v>
      </x:c>
      <x:c r="E3055" s="17" t="str">
        <x:v>CopyStudio</x:v>
      </x:c>
      <x:c r="F3055" s="17" t="str">
        <x:v>Pro</x:v>
      </x:c>
      <x:c r="G3055" s="21" t="n">
        <x:v>23604</x:v>
      </x:c>
      <x:c r="H3055" s="21" t="n">
        <x:v>11109</x:v>
      </x:c>
      <x:c r="I3055" s="17" t="str">
        <x:v>Correction</x:v>
      </x:c>
    </x:row>
    <x:row r="3056" ht="23" customHeight="1">
      <x:c r="A3056" s="17" t="str">
        <x:v>U03050</x:v>
      </x:c>
      <x:c r="B3056" s="18" t="n">
        <x:v>46282</x:v>
      </x:c>
      <x:c r="C3056" s="17" t="str">
        <x:v>W0186</x:v>
      </x:c>
      <x:c r="D3056" s="17" t="str">
        <x:v>C004</x:v>
      </x:c>
      <x:c r="E3056" s="17" t="str">
        <x:v>CopyStudio</x:v>
      </x:c>
      <x:c r="F3056" s="17" t="str">
        <x:v>Pro</x:v>
      </x:c>
      <x:c r="G3056" s="21" t="n">
        <x:v>16383</x:v>
      </x:c>
      <x:c r="H3056" s="21" t="n">
        <x:v>8848</x:v>
      </x:c>
      <x:c r="I3056" s="17" t="str">
        <x:v>Followup</x:v>
      </x:c>
    </x:row>
    <x:row r="3057" ht="23" customHeight="1">
      <x:c r="A3057" s="17" t="str">
        <x:v>U03051</x:v>
      </x:c>
      <x:c r="B3057" s="18" t="n">
        <x:v>46282</x:v>
      </x:c>
      <x:c r="C3057" s="17" t="str">
        <x:v>W0186</x:v>
      </x:c>
      <x:c r="D3057" s="17" t="str">
        <x:v>C004</x:v>
      </x:c>
      <x:c r="E3057" s="17" t="str">
        <x:v>CopyStudio</x:v>
      </x:c>
      <x:c r="F3057" s="17" t="str">
        <x:v>Pro</x:v>
      </x:c>
      <x:c r="G3057" s="21" t="n">
        <x:v>24222</x:v>
      </x:c>
      <x:c r="H3057" s="21" t="n">
        <x:v>6126</x:v>
      </x:c>
      <x:c r="I3057" s="17" t="str">
        <x:v>Followup</x:v>
      </x:c>
    </x:row>
    <x:row r="3058" ht="23" customHeight="1">
      <x:c r="A3058" s="17" t="str">
        <x:v>U03052</x:v>
      </x:c>
      <x:c r="B3058" s="18" t="n">
        <x:v>46283</x:v>
      </x:c>
      <x:c r="C3058" s="17" t="str">
        <x:v>W0186</x:v>
      </x:c>
      <x:c r="D3058" s="17" t="str">
        <x:v>C004</x:v>
      </x:c>
      <x:c r="E3058" s="17" t="str">
        <x:v>CopyStudio</x:v>
      </x:c>
      <x:c r="F3058" s="17" t="str">
        <x:v>Pro</x:v>
      </x:c>
      <x:c r="G3058" s="21" t="n">
        <x:v>20543</x:v>
      </x:c>
      <x:c r="H3058" s="21" t="n">
        <x:v>8771</x:v>
      </x:c>
      <x:c r="I3058" s="17" t="str">
        <x:v>Followup</x:v>
      </x:c>
    </x:row>
    <x:row r="3059" ht="23" customHeight="1">
      <x:c r="A3059" s="17" t="str">
        <x:v>U03053</x:v>
      </x:c>
      <x:c r="B3059" s="18" t="n">
        <x:v>46283</x:v>
      </x:c>
      <x:c r="C3059" s="17" t="str">
        <x:v>W0186</x:v>
      </x:c>
      <x:c r="D3059" s="17" t="str">
        <x:v>C004</x:v>
      </x:c>
      <x:c r="E3059" s="17" t="str">
        <x:v>CopyStudio</x:v>
      </x:c>
      <x:c r="F3059" s="17" t="str">
        <x:v>Pro</x:v>
      </x:c>
      <x:c r="G3059" s="21" t="n">
        <x:v>18535</x:v>
      </x:c>
      <x:c r="H3059" s="21" t="n">
        <x:v>5451</x:v>
      </x:c>
      <x:c r="I3059" s="17" t="str">
        <x:v>Followup</x:v>
      </x:c>
    </x:row>
    <x:row r="3060" ht="23" customHeight="1">
      <x:c r="A3060" s="17" t="str">
        <x:v>U03054</x:v>
      </x:c>
      <x:c r="B3060" s="18" t="n">
        <x:v>46283</x:v>
      </x:c>
      <x:c r="C3060" s="17" t="str">
        <x:v>W0186</x:v>
      </x:c>
      <x:c r="D3060" s="17" t="str">
        <x:v>C004</x:v>
      </x:c>
      <x:c r="E3060" s="17" t="str">
        <x:v>CopyStudio</x:v>
      </x:c>
      <x:c r="F3060" s="17" t="str">
        <x:v>Pro</x:v>
      </x:c>
      <x:c r="G3060" s="21" t="n">
        <x:v>24526</x:v>
      </x:c>
      <x:c r="H3060" s="21" t="n">
        <x:v>9652</x:v>
      </x:c>
      <x:c r="I3060" s="17" t="str">
        <x:v>Followup</x:v>
      </x:c>
    </x:row>
    <x:row r="3061" ht="23" customHeight="1">
      <x:c r="A3061" s="17" t="str">
        <x:v>U03055</x:v>
      </x:c>
      <x:c r="B3061" s="18" t="n">
        <x:v>46286</x:v>
      </x:c>
      <x:c r="C3061" s="17" t="str">
        <x:v>W0186</x:v>
      </x:c>
      <x:c r="D3061" s="17" t="str">
        <x:v>C004</x:v>
      </x:c>
      <x:c r="E3061" s="17" t="str">
        <x:v>CopyStudio</x:v>
      </x:c>
      <x:c r="F3061" s="17" t="str">
        <x:v>Pro</x:v>
      </x:c>
      <x:c r="G3061" s="21" t="n">
        <x:v>17609</x:v>
      </x:c>
      <x:c r="H3061" s="21" t="n">
        <x:v>6783</x:v>
      </x:c>
      <x:c r="I3061" s="17" t="str">
        <x:v>Correction</x:v>
      </x:c>
    </x:row>
    <x:row r="3062" ht="23" customHeight="1">
      <x:c r="A3062" s="17" t="str">
        <x:v>U03056</x:v>
      </x:c>
      <x:c r="B3062" s="18" t="n">
        <x:v>46286</x:v>
      </x:c>
      <x:c r="C3062" s="17" t="str">
        <x:v>W0186</x:v>
      </x:c>
      <x:c r="D3062" s="17" t="str">
        <x:v>C004</x:v>
      </x:c>
      <x:c r="E3062" s="17" t="str">
        <x:v>CopyStudio</x:v>
      </x:c>
      <x:c r="F3062" s="17" t="str">
        <x:v>Pro</x:v>
      </x:c>
      <x:c r="G3062" s="21" t="n">
        <x:v>30909</x:v>
      </x:c>
      <x:c r="H3062" s="21" t="n">
        <x:v>8587</x:v>
      </x:c>
      <x:c r="I3062" s="17" t="str">
        <x:v>Followup</x:v>
      </x:c>
    </x:row>
    <x:row r="3063" ht="23" customHeight="1">
      <x:c r="A3063" s="17" t="str">
        <x:v>U03057</x:v>
      </x:c>
      <x:c r="B3063" s="18" t="n">
        <x:v>46286</x:v>
      </x:c>
      <x:c r="C3063" s="17" t="str">
        <x:v>W0186</x:v>
      </x:c>
      <x:c r="D3063" s="17" t="str">
        <x:v>C004</x:v>
      </x:c>
      <x:c r="E3063" s="17" t="str">
        <x:v>CopyStudio</x:v>
      </x:c>
      <x:c r="F3063" s="17" t="str">
        <x:v>Pro</x:v>
      </x:c>
      <x:c r="G3063" s="21" t="n">
        <x:v>47712</x:v>
      </x:c>
      <x:c r="H3063" s="21" t="n">
        <x:v>10402</x:v>
      </x:c>
      <x:c r="I3063" s="17" t="str">
        <x:v>Followup</x:v>
      </x:c>
    </x:row>
    <x:row r="3064" ht="23" customHeight="1">
      <x:c r="A3064" s="17" t="str">
        <x:v>U03058</x:v>
      </x:c>
      <x:c r="B3064" s="18" t="n">
        <x:v>46287</x:v>
      </x:c>
      <x:c r="C3064" s="17" t="str">
        <x:v>W0186</x:v>
      </x:c>
      <x:c r="D3064" s="17" t="str">
        <x:v>C004</x:v>
      </x:c>
      <x:c r="E3064" s="17" t="str">
        <x:v>CopyStudio</x:v>
      </x:c>
      <x:c r="F3064" s="17" t="str">
        <x:v>Pro</x:v>
      </x:c>
      <x:c r="G3064" s="21" t="n">
        <x:v>20356</x:v>
      </x:c>
      <x:c r="H3064" s="21" t="n">
        <x:v>12166</x:v>
      </x:c>
      <x:c r="I3064" s="17" t="str">
        <x:v>Followup</x:v>
      </x:c>
    </x:row>
    <x:row r="3065" ht="23" customHeight="1">
      <x:c r="A3065" s="17" t="str">
        <x:v>U03059</x:v>
      </x:c>
      <x:c r="B3065" s="18" t="n">
        <x:v>46287</x:v>
      </x:c>
      <x:c r="C3065" s="17" t="str">
        <x:v>W0186</x:v>
      </x:c>
      <x:c r="D3065" s="17" t="str">
        <x:v>C004</x:v>
      </x:c>
      <x:c r="E3065" s="17" t="str">
        <x:v>CopyStudio</x:v>
      </x:c>
      <x:c r="F3065" s="17" t="str">
        <x:v>Pro</x:v>
      </x:c>
      <x:c r="G3065" s="21" t="n">
        <x:v>44144</x:v>
      </x:c>
      <x:c r="H3065" s="21" t="n">
        <x:v>10002</x:v>
      </x:c>
      <x:c r="I3065" s="17" t="str">
        <x:v>Correction</x:v>
      </x:c>
    </x:row>
    <x:row r="3066" ht="23" customHeight="1">
      <x:c r="A3066" s="17" t="str">
        <x:v>U03060</x:v>
      </x:c>
      <x:c r="B3066" s="18" t="n">
        <x:v>46287</x:v>
      </x:c>
      <x:c r="C3066" s="17" t="str">
        <x:v>W0186</x:v>
      </x:c>
      <x:c r="D3066" s="17" t="str">
        <x:v>C004</x:v>
      </x:c>
      <x:c r="E3066" s="17" t="str">
        <x:v>CopyStudio</x:v>
      </x:c>
      <x:c r="F3066" s="17" t="str">
        <x:v>Pro</x:v>
      </x:c>
      <x:c r="G3066" s="21" t="n">
        <x:v>40748</x:v>
      </x:c>
      <x:c r="H3066" s="21" t="n">
        <x:v>8370</x:v>
      </x:c>
      <x:c r="I3066" s="17" t="str">
        <x:v>Followup</x:v>
      </x:c>
    </x:row>
    <x:row r="3067" ht="23" customHeight="1">
      <x:c r="A3067" s="17" t="str">
        <x:v>U03061</x:v>
      </x:c>
      <x:c r="B3067" s="18" t="n">
        <x:v>46281</x:v>
      </x:c>
      <x:c r="C3067" s="17" t="str">
        <x:v>W0191</x:v>
      </x:c>
      <x:c r="D3067" s="17" t="str">
        <x:v>C004</x:v>
      </x:c>
      <x:c r="E3067" s="17" t="str">
        <x:v>CopyStudio</x:v>
      </x:c>
      <x:c r="F3067" s="17" t="str">
        <x:v>Pro</x:v>
      </x:c>
      <x:c r="G3067" s="21" t="n">
        <x:v>10211</x:v>
      </x:c>
      <x:c r="H3067" s="21" t="n">
        <x:v>7333</x:v>
      </x:c>
      <x:c r="I3067" s="17" t="str">
        <x:v>First attempt</x:v>
      </x:c>
    </x:row>
    <x:row r="3068" ht="23" customHeight="1">
      <x:c r="A3068" s="17" t="str">
        <x:v>U03062</x:v>
      </x:c>
      <x:c r="B3068" s="18" t="n">
        <x:v>46281</x:v>
      </x:c>
      <x:c r="C3068" s="17" t="str">
        <x:v>W0191</x:v>
      </x:c>
      <x:c r="D3068" s="17" t="str">
        <x:v>C004</x:v>
      </x:c>
      <x:c r="E3068" s="17" t="str">
        <x:v>CopyStudio</x:v>
      </x:c>
      <x:c r="F3068" s="17" t="str">
        <x:v>Pro</x:v>
      </x:c>
      <x:c r="G3068" s="21" t="n">
        <x:v>10308</x:v>
      </x:c>
      <x:c r="H3068" s="21" t="n">
        <x:v>4148</x:v>
      </x:c>
      <x:c r="I3068" s="17" t="str">
        <x:v>Followup</x:v>
      </x:c>
    </x:row>
    <x:row r="3069" ht="23" customHeight="1">
      <x:c r="A3069" s="17" t="str">
        <x:v>U03063</x:v>
      </x:c>
      <x:c r="B3069" s="18" t="n">
        <x:v>46281</x:v>
      </x:c>
      <x:c r="C3069" s="17" t="str">
        <x:v>W0191</x:v>
      </x:c>
      <x:c r="D3069" s="17" t="str">
        <x:v>C004</x:v>
      </x:c>
      <x:c r="E3069" s="17" t="str">
        <x:v>CopyStudio</x:v>
      </x:c>
      <x:c r="F3069" s="17" t="str">
        <x:v>Pro</x:v>
      </x:c>
      <x:c r="G3069" s="21" t="n">
        <x:v>15543</x:v>
      </x:c>
      <x:c r="H3069" s="21" t="n">
        <x:v>3932</x:v>
      </x:c>
      <x:c r="I3069" s="17" t="str">
        <x:v>Followup</x:v>
      </x:c>
    </x:row>
    <x:row r="3070" ht="23" customHeight="1">
      <x:c r="A3070" s="17" t="str">
        <x:v>U03064</x:v>
      </x:c>
      <x:c r="B3070" s="18" t="n">
        <x:v>46281</x:v>
      </x:c>
      <x:c r="C3070" s="17" t="str">
        <x:v>W0191</x:v>
      </x:c>
      <x:c r="D3070" s="17" t="str">
        <x:v>C004</x:v>
      </x:c>
      <x:c r="E3070" s="17" t="str">
        <x:v>CopyStudio</x:v>
      </x:c>
      <x:c r="F3070" s="17" t="str">
        <x:v>Pro</x:v>
      </x:c>
      <x:c r="G3070" s="21" t="n">
        <x:v>16399</x:v>
      </x:c>
      <x:c r="H3070" s="21" t="n">
        <x:v>8638</x:v>
      </x:c>
      <x:c r="I3070" s="17" t="str">
        <x:v>Followup</x:v>
      </x:c>
    </x:row>
    <x:row r="3071" ht="23" customHeight="1">
      <x:c r="A3071" s="17" t="str">
        <x:v>U03065</x:v>
      </x:c>
      <x:c r="B3071" s="18" t="n">
        <x:v>46282</x:v>
      </x:c>
      <x:c r="C3071" s="17" t="str">
        <x:v>W0191</x:v>
      </x:c>
      <x:c r="D3071" s="17" t="str">
        <x:v>C004</x:v>
      </x:c>
      <x:c r="E3071" s="17" t="str">
        <x:v>CopyStudio</x:v>
      </x:c>
      <x:c r="F3071" s="17" t="str">
        <x:v>Pro</x:v>
      </x:c>
      <x:c r="G3071" s="21" t="n">
        <x:v>7906</x:v>
      </x:c>
      <x:c r="H3071" s="21" t="n">
        <x:v>6815</x:v>
      </x:c>
      <x:c r="I3071" s="17" t="str">
        <x:v>Correction</x:v>
      </x:c>
    </x:row>
    <x:row r="3072" ht="23" customHeight="1">
      <x:c r="A3072" s="17" t="str">
        <x:v>U03066</x:v>
      </x:c>
      <x:c r="B3072" s="18" t="n">
        <x:v>46282</x:v>
      </x:c>
      <x:c r="C3072" s="17" t="str">
        <x:v>W0191</x:v>
      </x:c>
      <x:c r="D3072" s="17" t="str">
        <x:v>C004</x:v>
      </x:c>
      <x:c r="E3072" s="17" t="str">
        <x:v>CopyStudio</x:v>
      </x:c>
      <x:c r="F3072" s="17" t="str">
        <x:v>Pro</x:v>
      </x:c>
      <x:c r="G3072" s="21" t="n">
        <x:v>12891</x:v>
      </x:c>
      <x:c r="H3072" s="21" t="n">
        <x:v>7984</x:v>
      </x:c>
      <x:c r="I3072" s="17" t="str">
        <x:v>Followup</x:v>
      </x:c>
    </x:row>
    <x:row r="3073" ht="23" customHeight="1">
      <x:c r="A3073" s="17" t="str">
        <x:v>U03067</x:v>
      </x:c>
      <x:c r="B3073" s="18" t="n">
        <x:v>46282</x:v>
      </x:c>
      <x:c r="C3073" s="17" t="str">
        <x:v>W0191</x:v>
      </x:c>
      <x:c r="D3073" s="17" t="str">
        <x:v>C004</x:v>
      </x:c>
      <x:c r="E3073" s="17" t="str">
        <x:v>CopyStudio</x:v>
      </x:c>
      <x:c r="F3073" s="17" t="str">
        <x:v>Pro</x:v>
      </x:c>
      <x:c r="G3073" s="21" t="n">
        <x:v>6130</x:v>
      </x:c>
      <x:c r="H3073" s="21" t="n">
        <x:v>9174</x:v>
      </x:c>
      <x:c r="I3073" s="17" t="str">
        <x:v>Correction</x:v>
      </x:c>
    </x:row>
    <x:row r="3074" ht="23" customHeight="1">
      <x:c r="A3074" s="17" t="str">
        <x:v>U03068</x:v>
      </x:c>
      <x:c r="B3074" s="18" t="n">
        <x:v>46282</x:v>
      </x:c>
      <x:c r="C3074" s="17" t="str">
        <x:v>W0191</x:v>
      </x:c>
      <x:c r="D3074" s="17" t="str">
        <x:v>C004</x:v>
      </x:c>
      <x:c r="E3074" s="17" t="str">
        <x:v>CopyStudio</x:v>
      </x:c>
      <x:c r="F3074" s="17" t="str">
        <x:v>Pro</x:v>
      </x:c>
      <x:c r="G3074" s="21" t="n">
        <x:v>14439</x:v>
      </x:c>
      <x:c r="H3074" s="21" t="n">
        <x:v>6512</x:v>
      </x:c>
      <x:c r="I3074" s="17" t="str">
        <x:v>Followup</x:v>
      </x:c>
    </x:row>
    <x:row r="3075" ht="23" customHeight="1">
      <x:c r="A3075" s="17" t="str">
        <x:v>U03069</x:v>
      </x:c>
      <x:c r="B3075" s="18" t="n">
        <x:v>46283</x:v>
      </x:c>
      <x:c r="C3075" s="17" t="str">
        <x:v>W0191</x:v>
      </x:c>
      <x:c r="D3075" s="17" t="str">
        <x:v>C004</x:v>
      </x:c>
      <x:c r="E3075" s="17" t="str">
        <x:v>CopyStudio</x:v>
      </x:c>
      <x:c r="F3075" s="17" t="str">
        <x:v>Pro</x:v>
      </x:c>
      <x:c r="G3075" s="21" t="n">
        <x:v>12447</x:v>
      </x:c>
      <x:c r="H3075" s="21" t="n">
        <x:v>11008</x:v>
      </x:c>
      <x:c r="I3075" s="17" t="str">
        <x:v>Correction</x:v>
      </x:c>
    </x:row>
    <x:row r="3076" ht="23" customHeight="1">
      <x:c r="A3076" s="17" t="str">
        <x:v>U03070</x:v>
      </x:c>
      <x:c r="B3076" s="18" t="n">
        <x:v>46283</x:v>
      </x:c>
      <x:c r="C3076" s="17" t="str">
        <x:v>W0191</x:v>
      </x:c>
      <x:c r="D3076" s="17" t="str">
        <x:v>C004</x:v>
      </x:c>
      <x:c r="E3076" s="17" t="str">
        <x:v>CopyStudio</x:v>
      </x:c>
      <x:c r="F3076" s="17" t="str">
        <x:v>Pro</x:v>
      </x:c>
      <x:c r="G3076" s="21" t="n">
        <x:v>9990</x:v>
      </x:c>
      <x:c r="H3076" s="21" t="n">
        <x:v>7256</x:v>
      </x:c>
      <x:c r="I3076" s="17" t="str">
        <x:v>Followup</x:v>
      </x:c>
    </x:row>
    <x:row r="3077" ht="23" customHeight="1">
      <x:c r="A3077" s="17" t="str">
        <x:v>U03071</x:v>
      </x:c>
      <x:c r="B3077" s="18" t="n">
        <x:v>46283</x:v>
      </x:c>
      <x:c r="C3077" s="17" t="str">
        <x:v>W0191</x:v>
      </x:c>
      <x:c r="D3077" s="17" t="str">
        <x:v>C004</x:v>
      </x:c>
      <x:c r="E3077" s="17" t="str">
        <x:v>CopyStudio</x:v>
      </x:c>
      <x:c r="F3077" s="17" t="str">
        <x:v>Pro</x:v>
      </x:c>
      <x:c r="G3077" s="21" t="n">
        <x:v>11616</x:v>
      </x:c>
      <x:c r="H3077" s="21" t="n">
        <x:v>6760</x:v>
      </x:c>
      <x:c r="I3077" s="17" t="str">
        <x:v>Followup</x:v>
      </x:c>
    </x:row>
    <x:row r="3078" ht="23" customHeight="1">
      <x:c r="A3078" s="17" t="str">
        <x:v>U03072</x:v>
      </x:c>
      <x:c r="B3078" s="18" t="n">
        <x:v>46283</x:v>
      </x:c>
      <x:c r="C3078" s="17" t="str">
        <x:v>W0191</x:v>
      </x:c>
      <x:c r="D3078" s="17" t="str">
        <x:v>C004</x:v>
      </x:c>
      <x:c r="E3078" s="17" t="str">
        <x:v>CopyStudio</x:v>
      </x:c>
      <x:c r="F3078" s="17" t="str">
        <x:v>Pro</x:v>
      </x:c>
      <x:c r="G3078" s="21" t="n">
        <x:v>10603</x:v>
      </x:c>
      <x:c r="H3078" s="21" t="n">
        <x:v>4969</x:v>
      </x:c>
      <x:c r="I3078" s="17" t="str">
        <x:v>Followup</x:v>
      </x:c>
    </x:row>
    <x:row r="3079" ht="23" customHeight="1">
      <x:c r="A3079" s="17" t="str">
        <x:v>U03073</x:v>
      </x:c>
      <x:c r="B3079" s="18" t="n">
        <x:v>46286</x:v>
      </x:c>
      <x:c r="C3079" s="17" t="str">
        <x:v>W0191</x:v>
      </x:c>
      <x:c r="D3079" s="17" t="str">
        <x:v>C004</x:v>
      </x:c>
      <x:c r="E3079" s="17" t="str">
        <x:v>CopyStudio</x:v>
      </x:c>
      <x:c r="F3079" s="17" t="str">
        <x:v>Pro</x:v>
      </x:c>
      <x:c r="G3079" s="21" t="n">
        <x:v>14613</x:v>
      </x:c>
      <x:c r="H3079" s="21" t="n">
        <x:v>4142</x:v>
      </x:c>
      <x:c r="I3079" s="17" t="str">
        <x:v>Followup</x:v>
      </x:c>
    </x:row>
    <x:row r="3080" ht="23" customHeight="1">
      <x:c r="A3080" s="17" t="str">
        <x:v>U03074</x:v>
      </x:c>
      <x:c r="B3080" s="18" t="n">
        <x:v>46286</x:v>
      </x:c>
      <x:c r="C3080" s="17" t="str">
        <x:v>W0191</x:v>
      </x:c>
      <x:c r="D3080" s="17" t="str">
        <x:v>C004</x:v>
      </x:c>
      <x:c r="E3080" s="17" t="str">
        <x:v>CopyStudio</x:v>
      </x:c>
      <x:c r="F3080" s="17" t="str">
        <x:v>Pro</x:v>
      </x:c>
      <x:c r="G3080" s="21" t="n">
        <x:v>15192</x:v>
      </x:c>
      <x:c r="H3080" s="21" t="n">
        <x:v>4046</x:v>
      </x:c>
      <x:c r="I3080" s="17" t="str">
        <x:v>Followup</x:v>
      </x:c>
    </x:row>
    <x:row r="3081" ht="23" customHeight="1">
      <x:c r="A3081" s="17" t="str">
        <x:v>U03075</x:v>
      </x:c>
      <x:c r="B3081" s="18" t="n">
        <x:v>46286</x:v>
      </x:c>
      <x:c r="C3081" s="17" t="str">
        <x:v>W0191</x:v>
      </x:c>
      <x:c r="D3081" s="17" t="str">
        <x:v>C004</x:v>
      </x:c>
      <x:c r="E3081" s="17" t="str">
        <x:v>CopyStudio</x:v>
      </x:c>
      <x:c r="F3081" s="17" t="str">
        <x:v>Pro</x:v>
      </x:c>
      <x:c r="G3081" s="21" t="n">
        <x:v>11960</x:v>
      </x:c>
      <x:c r="H3081" s="21" t="n">
        <x:v>8230</x:v>
      </x:c>
      <x:c r="I3081" s="17" t="str">
        <x:v>Followup</x:v>
      </x:c>
    </x:row>
    <x:row r="3082" ht="23" customHeight="1">
      <x:c r="A3082" s="17" t="str">
        <x:v>U03076</x:v>
      </x:c>
      <x:c r="B3082" s="18" t="n">
        <x:v>46286</x:v>
      </x:c>
      <x:c r="C3082" s="17" t="str">
        <x:v>W0191</x:v>
      </x:c>
      <x:c r="D3082" s="17" t="str">
        <x:v>C004</x:v>
      </x:c>
      <x:c r="E3082" s="17" t="str">
        <x:v>CopyStudio</x:v>
      </x:c>
      <x:c r="F3082" s="17" t="str">
        <x:v>Pro</x:v>
      </x:c>
      <x:c r="G3082" s="21" t="n">
        <x:v>15400</x:v>
      </x:c>
      <x:c r="H3082" s="21" t="n">
        <x:v>10078</x:v>
      </x:c>
      <x:c r="I3082" s="17" t="str">
        <x:v>Followup</x:v>
      </x:c>
    </x:row>
    <x:row r="3083" ht="23" customHeight="1">
      <x:c r="A3083" s="17" t="str">
        <x:v>U03077</x:v>
      </x:c>
      <x:c r="B3083" s="18" t="n">
        <x:v>46290</x:v>
      </x:c>
      <x:c r="C3083" s="17" t="str">
        <x:v>W0192</x:v>
      </x:c>
      <x:c r="D3083" s="17" t="str">
        <x:v>C004</x:v>
      </x:c>
      <x:c r="E3083" s="17" t="str">
        <x:v>InsightDesk</x:v>
      </x:c>
      <x:c r="F3083" s="17" t="str">
        <x:v>Pro</x:v>
      </x:c>
      <x:c r="G3083" s="21" t="n">
        <x:v>26060</x:v>
      </x:c>
      <x:c r="H3083" s="21" t="n">
        <x:v>17693</x:v>
      </x:c>
      <x:c r="I3083" s="17" t="str">
        <x:v>First attempt</x:v>
      </x:c>
    </x:row>
    <x:row r="3084" ht="23" customHeight="1">
      <x:c r="A3084" s="17" t="str">
        <x:v>U03078</x:v>
      </x:c>
      <x:c r="B3084" s="18" t="n">
        <x:v>46290</x:v>
      </x:c>
      <x:c r="C3084" s="17" t="str">
        <x:v>W0192</x:v>
      </x:c>
      <x:c r="D3084" s="17" t="str">
        <x:v>C004</x:v>
      </x:c>
      <x:c r="E3084" s="17" t="str">
        <x:v>InsightDesk</x:v>
      </x:c>
      <x:c r="F3084" s="17" t="str">
        <x:v>Pro</x:v>
      </x:c>
      <x:c r="G3084" s="21" t="n">
        <x:v>29799</x:v>
      </x:c>
      <x:c r="H3084" s="21" t="n">
        <x:v>6026</x:v>
      </x:c>
      <x:c r="I3084" s="17" t="str">
        <x:v>Followup</x:v>
      </x:c>
    </x:row>
    <x:row r="3085" ht="23" customHeight="1">
      <x:c r="A3085" s="17" t="str">
        <x:v>U03079</x:v>
      </x:c>
      <x:c r="B3085" s="18" t="n">
        <x:v>46290</x:v>
      </x:c>
      <x:c r="C3085" s="17" t="str">
        <x:v>W0192</x:v>
      </x:c>
      <x:c r="D3085" s="17" t="str">
        <x:v>C004</x:v>
      </x:c>
      <x:c r="E3085" s="17" t="str">
        <x:v>InsightDesk</x:v>
      </x:c>
      <x:c r="F3085" s="17" t="str">
        <x:v>Pro</x:v>
      </x:c>
      <x:c r="G3085" s="21" t="n">
        <x:v>12873</x:v>
      </x:c>
      <x:c r="H3085" s="21" t="n">
        <x:v>14112</x:v>
      </x:c>
      <x:c r="I3085" s="17" t="str">
        <x:v>Correction</x:v>
      </x:c>
    </x:row>
    <x:row r="3086" ht="23" customHeight="1">
      <x:c r="A3086" s="17" t="str">
        <x:v>U03080</x:v>
      </x:c>
      <x:c r="B3086" s="18" t="n">
        <x:v>46290</x:v>
      </x:c>
      <x:c r="C3086" s="17" t="str">
        <x:v>W0192</x:v>
      </x:c>
      <x:c r="D3086" s="17" t="str">
        <x:v>C004</x:v>
      </x:c>
      <x:c r="E3086" s="17" t="str">
        <x:v>InsightDesk</x:v>
      </x:c>
      <x:c r="F3086" s="17" t="str">
        <x:v>Pro</x:v>
      </x:c>
      <x:c r="G3086" s="21" t="n">
        <x:v>28942</x:v>
      </x:c>
      <x:c r="H3086" s="21" t="n">
        <x:v>9503</x:v>
      </x:c>
      <x:c r="I3086" s="17" t="str">
        <x:v>Followup</x:v>
      </x:c>
    </x:row>
    <x:row r="3087" ht="23" customHeight="1">
      <x:c r="A3087" s="17" t="str">
        <x:v>U03081</x:v>
      </x:c>
      <x:c r="B3087" s="18" t="n">
        <x:v>46293</x:v>
      </x:c>
      <x:c r="C3087" s="17" t="str">
        <x:v>W0192</x:v>
      </x:c>
      <x:c r="D3087" s="17" t="str">
        <x:v>C004</x:v>
      </x:c>
      <x:c r="E3087" s="17" t="str">
        <x:v>InsightDesk</x:v>
      </x:c>
      <x:c r="F3087" s="17" t="str">
        <x:v>Pro</x:v>
      </x:c>
      <x:c r="G3087" s="21" t="n">
        <x:v>31971</x:v>
      </x:c>
      <x:c r="H3087" s="21" t="n">
        <x:v>20678</x:v>
      </x:c>
      <x:c r="I3087" s="17" t="str">
        <x:v>Followup</x:v>
      </x:c>
    </x:row>
    <x:row r="3088" ht="23" customHeight="1">
      <x:c r="A3088" s="17" t="str">
        <x:v>U03082</x:v>
      </x:c>
      <x:c r="B3088" s="18" t="n">
        <x:v>46293</x:v>
      </x:c>
      <x:c r="C3088" s="17" t="str">
        <x:v>W0192</x:v>
      </x:c>
      <x:c r="D3088" s="17" t="str">
        <x:v>C004</x:v>
      </x:c>
      <x:c r="E3088" s="17" t="str">
        <x:v>InsightDesk</x:v>
      </x:c>
      <x:c r="F3088" s="17" t="str">
        <x:v>Pro</x:v>
      </x:c>
      <x:c r="G3088" s="21" t="n">
        <x:v>19496</x:v>
      </x:c>
      <x:c r="H3088" s="21" t="n">
        <x:v>12414</x:v>
      </x:c>
      <x:c r="I3088" s="17" t="str">
        <x:v>Followup</x:v>
      </x:c>
    </x:row>
    <x:row r="3089" ht="23" customHeight="1">
      <x:c r="A3089" s="17" t="str">
        <x:v>U03083</x:v>
      </x:c>
      <x:c r="B3089" s="18" t="n">
        <x:v>46293</x:v>
      </x:c>
      <x:c r="C3089" s="17" t="str">
        <x:v>W0192</x:v>
      </x:c>
      <x:c r="D3089" s="17" t="str">
        <x:v>C004</x:v>
      </x:c>
      <x:c r="E3089" s="17" t="str">
        <x:v>InsightDesk</x:v>
      </x:c>
      <x:c r="F3089" s="17" t="str">
        <x:v>Pro</x:v>
      </x:c>
      <x:c r="G3089" s="21" t="n">
        <x:v>28153</x:v>
      </x:c>
      <x:c r="H3089" s="21" t="n">
        <x:v>6239</x:v>
      </x:c>
      <x:c r="I3089" s="17" t="str">
        <x:v>Correction</x:v>
      </x:c>
    </x:row>
    <x:row r="3090" ht="23" customHeight="1">
      <x:c r="A3090" s="17" t="str">
        <x:v>U03084</x:v>
      </x:c>
      <x:c r="B3090" s="18" t="n">
        <x:v>46294</x:v>
      </x:c>
      <x:c r="C3090" s="17" t="str">
        <x:v>W0192</x:v>
      </x:c>
      <x:c r="D3090" s="17" t="str">
        <x:v>C004</x:v>
      </x:c>
      <x:c r="E3090" s="17" t="str">
        <x:v>InsightDesk</x:v>
      </x:c>
      <x:c r="F3090" s="17" t="str">
        <x:v>Pro</x:v>
      </x:c>
      <x:c r="G3090" s="21" t="n">
        <x:v>29165</x:v>
      </x:c>
      <x:c r="H3090" s="21" t="n">
        <x:v>14313</x:v>
      </x:c>
      <x:c r="I3090" s="17" t="str">
        <x:v>Followup</x:v>
      </x:c>
    </x:row>
    <x:row r="3091" ht="23" customHeight="1">
      <x:c r="A3091" s="17" t="str">
        <x:v>U03085</x:v>
      </x:c>
      <x:c r="B3091" s="18" t="n">
        <x:v>46294</x:v>
      </x:c>
      <x:c r="C3091" s="17" t="str">
        <x:v>W0192</x:v>
      </x:c>
      <x:c r="D3091" s="17" t="str">
        <x:v>C004</x:v>
      </x:c>
      <x:c r="E3091" s="17" t="str">
        <x:v>InsightDesk</x:v>
      </x:c>
      <x:c r="F3091" s="17" t="str">
        <x:v>Pro</x:v>
      </x:c>
      <x:c r="G3091" s="21" t="n">
        <x:v>25538</x:v>
      </x:c>
      <x:c r="H3091" s="21" t="n">
        <x:v>16942</x:v>
      </x:c>
      <x:c r="I3091" s="17" t="str">
        <x:v>Followup</x:v>
      </x:c>
    </x:row>
    <x:row r="3092" ht="23" customHeight="1">
      <x:c r="A3092" s="17" t="str">
        <x:v>U03086</x:v>
      </x:c>
      <x:c r="B3092" s="18" t="n">
        <x:v>46294</x:v>
      </x:c>
      <x:c r="C3092" s="17" t="str">
        <x:v>W0192</x:v>
      </x:c>
      <x:c r="D3092" s="17" t="str">
        <x:v>C004</x:v>
      </x:c>
      <x:c r="E3092" s="17" t="str">
        <x:v>InsightDesk</x:v>
      </x:c>
      <x:c r="F3092" s="17" t="str">
        <x:v>Pro</x:v>
      </x:c>
      <x:c r="G3092" s="21" t="n">
        <x:v>23546</x:v>
      </x:c>
      <x:c r="H3092" s="21" t="n">
        <x:v>7831</x:v>
      </x:c>
      <x:c r="I3092" s="17" t="str">
        <x:v>Followup</x:v>
      </x:c>
    </x:row>
    <x:row r="3093" ht="23" customHeight="1">
      <x:c r="A3093" s="17" t="str">
        <x:v>U03087</x:v>
      </x:c>
      <x:c r="B3093" s="18" t="n">
        <x:v>46295</x:v>
      </x:c>
      <x:c r="C3093" s="17" t="str">
        <x:v>W0192</x:v>
      </x:c>
      <x:c r="D3093" s="17" t="str">
        <x:v>C004</x:v>
      </x:c>
      <x:c r="E3093" s="17" t="str">
        <x:v>InsightDesk</x:v>
      </x:c>
      <x:c r="F3093" s="17" t="str">
        <x:v>Pro</x:v>
      </x:c>
      <x:c r="G3093" s="21" t="n">
        <x:v>28422</x:v>
      </x:c>
      <x:c r="H3093" s="21" t="n">
        <x:v>16285</x:v>
      </x:c>
      <x:c r="I3093" s="17" t="str">
        <x:v>Followup</x:v>
      </x:c>
    </x:row>
    <x:row r="3094" ht="23" customHeight="1">
      <x:c r="A3094" s="17" t="str">
        <x:v>U03088</x:v>
      </x:c>
      <x:c r="B3094" s="18" t="n">
        <x:v>46295</x:v>
      </x:c>
      <x:c r="C3094" s="17" t="str">
        <x:v>W0192</x:v>
      </x:c>
      <x:c r="D3094" s="17" t="str">
        <x:v>C004</x:v>
      </x:c>
      <x:c r="E3094" s="17" t="str">
        <x:v>InsightDesk</x:v>
      </x:c>
      <x:c r="F3094" s="17" t="str">
        <x:v>Pro</x:v>
      </x:c>
      <x:c r="G3094" s="21" t="n">
        <x:v>32413</x:v>
      </x:c>
      <x:c r="H3094" s="21" t="n">
        <x:v>16389</x:v>
      </x:c>
      <x:c r="I3094" s="17" t="str">
        <x:v>Correction</x:v>
      </x:c>
    </x:row>
    <x:row r="3095" ht="23" customHeight="1">
      <x:c r="A3095" s="17" t="str">
        <x:v>U03089</x:v>
      </x:c>
      <x:c r="B3095" s="18" t="n">
        <x:v>46295</x:v>
      </x:c>
      <x:c r="C3095" s="17" t="str">
        <x:v>W0192</x:v>
      </x:c>
      <x:c r="D3095" s="17" t="str">
        <x:v>C004</x:v>
      </x:c>
      <x:c r="E3095" s="17" t="str">
        <x:v>InsightDesk</x:v>
      </x:c>
      <x:c r="F3095" s="17" t="str">
        <x:v>Pro</x:v>
      </x:c>
      <x:c r="G3095" s="21" t="n">
        <x:v>26944</x:v>
      </x:c>
      <x:c r="H3095" s="21" t="n">
        <x:v>13252</x:v>
      </x:c>
      <x:c r="I3095" s="17" t="str">
        <x:v>Followup</x:v>
      </x:c>
    </x:row>
    <x:row r="3096" ht="23" customHeight="1">
      <x:c r="A3096" s="17" t="str">
        <x:v>U03090</x:v>
      </x:c>
      <x:c r="B3096" s="18" t="n">
        <x:v>46275</x:v>
      </x:c>
      <x:c r="C3096" s="17" t="str">
        <x:v>W0193</x:v>
      </x:c>
      <x:c r="D3096" s="17" t="str">
        <x:v>C004</x:v>
      </x:c>
      <x:c r="E3096" s="17" t="str">
        <x:v>CopyStudio</x:v>
      </x:c>
      <x:c r="F3096" s="17" t="str">
        <x:v>Pro</x:v>
      </x:c>
      <x:c r="G3096" s="21" t="n">
        <x:v>15403</x:v>
      </x:c>
      <x:c r="H3096" s="21" t="n">
        <x:v>10406</x:v>
      </x:c>
      <x:c r="I3096" s="17" t="str">
        <x:v>First attempt</x:v>
      </x:c>
    </x:row>
    <x:row r="3097" ht="23" customHeight="1">
      <x:c r="A3097" s="17" t="str">
        <x:v>U03091</x:v>
      </x:c>
      <x:c r="B3097" s="18" t="n">
        <x:v>46275</x:v>
      </x:c>
      <x:c r="C3097" s="17" t="str">
        <x:v>W0193</x:v>
      </x:c>
      <x:c r="D3097" s="17" t="str">
        <x:v>C004</x:v>
      </x:c>
      <x:c r="E3097" s="17" t="str">
        <x:v>CopyStudio</x:v>
      </x:c>
      <x:c r="F3097" s="17" t="str">
        <x:v>Pro</x:v>
      </x:c>
      <x:c r="G3097" s="21" t="n">
        <x:v>23524</x:v>
      </x:c>
      <x:c r="H3097" s="21" t="n">
        <x:v>8686</x:v>
      </x:c>
      <x:c r="I3097" s="17" t="str">
        <x:v>Followup</x:v>
      </x:c>
    </x:row>
    <x:row r="3098" ht="23" customHeight="1">
      <x:c r="A3098" s="17" t="str">
        <x:v>U03092</x:v>
      </x:c>
      <x:c r="B3098" s="18" t="n">
        <x:v>46275</x:v>
      </x:c>
      <x:c r="C3098" s="17" t="str">
        <x:v>W0193</x:v>
      </x:c>
      <x:c r="D3098" s="17" t="str">
        <x:v>C004</x:v>
      </x:c>
      <x:c r="E3098" s="17" t="str">
        <x:v>CopyStudio</x:v>
      </x:c>
      <x:c r="F3098" s="17" t="str">
        <x:v>Pro</x:v>
      </x:c>
      <x:c r="G3098" s="21" t="n">
        <x:v>21275</x:v>
      </x:c>
      <x:c r="H3098" s="21" t="n">
        <x:v>10174</x:v>
      </x:c>
      <x:c r="I3098" s="17" t="str">
        <x:v>Followup</x:v>
      </x:c>
    </x:row>
    <x:row r="3099" ht="23" customHeight="1">
      <x:c r="A3099" s="17" t="str">
        <x:v>U03093</x:v>
      </x:c>
      <x:c r="B3099" s="18" t="n">
        <x:v>46275</x:v>
      </x:c>
      <x:c r="C3099" s="17" t="str">
        <x:v>W0193</x:v>
      </x:c>
      <x:c r="D3099" s="17" t="str">
        <x:v>C004</x:v>
      </x:c>
      <x:c r="E3099" s="17" t="str">
        <x:v>CopyStudio</x:v>
      </x:c>
      <x:c r="F3099" s="17" t="str">
        <x:v>Pro</x:v>
      </x:c>
      <x:c r="G3099" s="21" t="n">
        <x:v>25665</x:v>
      </x:c>
      <x:c r="H3099" s="21" t="n">
        <x:v>11373</x:v>
      </x:c>
      <x:c r="I3099" s="17" t="str">
        <x:v>Followup</x:v>
      </x:c>
    </x:row>
    <x:row r="3100" ht="23" customHeight="1">
      <x:c r="A3100" s="17" t="str">
        <x:v>U03094</x:v>
      </x:c>
      <x:c r="B3100" s="18" t="n">
        <x:v>46276</x:v>
      </x:c>
      <x:c r="C3100" s="17" t="str">
        <x:v>W0193</x:v>
      </x:c>
      <x:c r="D3100" s="17" t="str">
        <x:v>C004</x:v>
      </x:c>
      <x:c r="E3100" s="17" t="str">
        <x:v>CopyStudio</x:v>
      </x:c>
      <x:c r="F3100" s="17" t="str">
        <x:v>Pro</x:v>
      </x:c>
      <x:c r="G3100" s="21" t="n">
        <x:v>19454</x:v>
      </x:c>
      <x:c r="H3100" s="21" t="n">
        <x:v>3084</x:v>
      </x:c>
      <x:c r="I3100" s="17" t="str">
        <x:v>Followup</x:v>
      </x:c>
    </x:row>
    <x:row r="3101" ht="23" customHeight="1">
      <x:c r="A3101" s="17" t="str">
        <x:v>U03095</x:v>
      </x:c>
      <x:c r="B3101" s="18" t="n">
        <x:v>46276</x:v>
      </x:c>
      <x:c r="C3101" s="17" t="str">
        <x:v>W0193</x:v>
      </x:c>
      <x:c r="D3101" s="17" t="str">
        <x:v>C004</x:v>
      </x:c>
      <x:c r="E3101" s="17" t="str">
        <x:v>CopyStudio</x:v>
      </x:c>
      <x:c r="F3101" s="17" t="str">
        <x:v>Pro</x:v>
      </x:c>
      <x:c r="G3101" s="21" t="n">
        <x:v>19779</x:v>
      </x:c>
      <x:c r="H3101" s="21" t="n">
        <x:v>8842</x:v>
      </x:c>
      <x:c r="I3101" s="17" t="str">
        <x:v>Followup</x:v>
      </x:c>
    </x:row>
    <x:row r="3102" ht="23" customHeight="1">
      <x:c r="A3102" s="17" t="str">
        <x:v>U03096</x:v>
      </x:c>
      <x:c r="B3102" s="18" t="n">
        <x:v>46276</x:v>
      </x:c>
      <x:c r="C3102" s="17" t="str">
        <x:v>W0193</x:v>
      </x:c>
      <x:c r="D3102" s="17" t="str">
        <x:v>C004</x:v>
      </x:c>
      <x:c r="E3102" s="17" t="str">
        <x:v>CopyStudio</x:v>
      </x:c>
      <x:c r="F3102" s="17" t="str">
        <x:v>Pro</x:v>
      </x:c>
      <x:c r="G3102" s="21" t="n">
        <x:v>31491</x:v>
      </x:c>
      <x:c r="H3102" s="21" t="n">
        <x:v>10717</x:v>
      </x:c>
      <x:c r="I3102" s="17" t="str">
        <x:v>Correction</x:v>
      </x:c>
    </x:row>
    <x:row r="3103" ht="23" customHeight="1">
      <x:c r="A3103" s="17" t="str">
        <x:v>U03097</x:v>
      </x:c>
      <x:c r="B3103" s="18" t="n">
        <x:v>46279</x:v>
      </x:c>
      <x:c r="C3103" s="17" t="str">
        <x:v>W0193</x:v>
      </x:c>
      <x:c r="D3103" s="17" t="str">
        <x:v>C004</x:v>
      </x:c>
      <x:c r="E3103" s="17" t="str">
        <x:v>CopyStudio</x:v>
      </x:c>
      <x:c r="F3103" s="17" t="str">
        <x:v>Pro</x:v>
      </x:c>
      <x:c r="G3103" s="21" t="n">
        <x:v>24965</x:v>
      </x:c>
      <x:c r="H3103" s="21" t="n">
        <x:v>3260</x:v>
      </x:c>
      <x:c r="I3103" s="17" t="str">
        <x:v>Followup</x:v>
      </x:c>
    </x:row>
    <x:row r="3104" ht="23" customHeight="1">
      <x:c r="A3104" s="17" t="str">
        <x:v>U03098</x:v>
      </x:c>
      <x:c r="B3104" s="18" t="n">
        <x:v>46279</x:v>
      </x:c>
      <x:c r="C3104" s="17" t="str">
        <x:v>W0193</x:v>
      </x:c>
      <x:c r="D3104" s="17" t="str">
        <x:v>C004</x:v>
      </x:c>
      <x:c r="E3104" s="17" t="str">
        <x:v>CopyStudio</x:v>
      </x:c>
      <x:c r="F3104" s="17" t="str">
        <x:v>Pro</x:v>
      </x:c>
      <x:c r="G3104" s="21" t="n">
        <x:v>31770</x:v>
      </x:c>
      <x:c r="H3104" s="21" t="n">
        <x:v>11566</x:v>
      </x:c>
      <x:c r="I3104" s="17" t="str">
        <x:v>Correction</x:v>
      </x:c>
    </x:row>
    <x:row r="3105" ht="23" customHeight="1">
      <x:c r="A3105" s="17" t="str">
        <x:v>U03099</x:v>
      </x:c>
      <x:c r="B3105" s="18" t="n">
        <x:v>46279</x:v>
      </x:c>
      <x:c r="C3105" s="17" t="str">
        <x:v>W0193</x:v>
      </x:c>
      <x:c r="D3105" s="17" t="str">
        <x:v>C004</x:v>
      </x:c>
      <x:c r="E3105" s="17" t="str">
        <x:v>CopyStudio</x:v>
      </x:c>
      <x:c r="F3105" s="17" t="str">
        <x:v>Pro</x:v>
      </x:c>
      <x:c r="G3105" s="21" t="n">
        <x:v>24183</x:v>
      </x:c>
      <x:c r="H3105" s="21" t="n">
        <x:v>3368</x:v>
      </x:c>
      <x:c r="I3105" s="17" t="str">
        <x:v>Followup</x:v>
      </x:c>
    </x:row>
    <x:row r="3106" ht="23" customHeight="1">
      <x:c r="A3106" s="17" t="str">
        <x:v>U03100</x:v>
      </x:c>
      <x:c r="B3106" s="18" t="n">
        <x:v>46280</x:v>
      </x:c>
      <x:c r="C3106" s="17" t="str">
        <x:v>W0193</x:v>
      </x:c>
      <x:c r="D3106" s="17" t="str">
        <x:v>C004</x:v>
      </x:c>
      <x:c r="E3106" s="17" t="str">
        <x:v>CopyStudio</x:v>
      </x:c>
      <x:c r="F3106" s="17" t="str">
        <x:v>Pro</x:v>
      </x:c>
      <x:c r="G3106" s="21" t="n">
        <x:v>34137</x:v>
      </x:c>
      <x:c r="H3106" s="21" t="n">
        <x:v>7748</x:v>
      </x:c>
      <x:c r="I3106" s="17" t="str">
        <x:v>Followup</x:v>
      </x:c>
    </x:row>
    <x:row r="3107" ht="23" customHeight="1">
      <x:c r="A3107" s="17" t="str">
        <x:v>U03101</x:v>
      </x:c>
      <x:c r="B3107" s="18" t="n">
        <x:v>46280</x:v>
      </x:c>
      <x:c r="C3107" s="17" t="str">
        <x:v>W0193</x:v>
      </x:c>
      <x:c r="D3107" s="17" t="str">
        <x:v>C004</x:v>
      </x:c>
      <x:c r="E3107" s="17" t="str">
        <x:v>CopyStudio</x:v>
      </x:c>
      <x:c r="F3107" s="17" t="str">
        <x:v>Pro</x:v>
      </x:c>
      <x:c r="G3107" s="21" t="n">
        <x:v>29958</x:v>
      </x:c>
      <x:c r="H3107" s="21" t="n">
        <x:v>4396</x:v>
      </x:c>
      <x:c r="I3107" s="17" t="str">
        <x:v>Followup</x:v>
      </x:c>
    </x:row>
    <x:row r="3108" ht="23" customHeight="1">
      <x:c r="A3108" s="17" t="str">
        <x:v>U03102</x:v>
      </x:c>
      <x:c r="B3108" s="18" t="n">
        <x:v>46280</x:v>
      </x:c>
      <x:c r="C3108" s="17" t="str">
        <x:v>W0193</x:v>
      </x:c>
      <x:c r="D3108" s="17" t="str">
        <x:v>C004</x:v>
      </x:c>
      <x:c r="E3108" s="17" t="str">
        <x:v>CopyStudio</x:v>
      </x:c>
      <x:c r="F3108" s="17" t="str">
        <x:v>Pro</x:v>
      </x:c>
      <x:c r="G3108" s="21" t="n">
        <x:v>34863</x:v>
      </x:c>
      <x:c r="H3108" s="21" t="n">
        <x:v>7358</x:v>
      </x:c>
      <x:c r="I3108" s="17" t="str">
        <x:v>Correction</x:v>
      </x:c>
    </x:row>
    <x:row r="3109" ht="23" customHeight="1">
      <x:c r="A3109" s="17" t="str">
        <x:v>U03103</x:v>
      </x:c>
      <x:c r="B3109" s="18" t="n">
        <x:v>46286</x:v>
      </x:c>
      <x:c r="C3109" s="17" t="str">
        <x:v>W0194</x:v>
      </x:c>
      <x:c r="D3109" s="17" t="str">
        <x:v>C004</x:v>
      </x:c>
      <x:c r="E3109" s="17" t="str">
        <x:v>CopyStudio</x:v>
      </x:c>
      <x:c r="F3109" s="17" t="str">
        <x:v>Pro</x:v>
      </x:c>
      <x:c r="G3109" s="21" t="n">
        <x:v>9376</x:v>
      </x:c>
      <x:c r="H3109" s="21" t="n">
        <x:v>6971</x:v>
      </x:c>
      <x:c r="I3109" s="17" t="str">
        <x:v>First attempt</x:v>
      </x:c>
    </x:row>
    <x:row r="3110" ht="23" customHeight="1">
      <x:c r="A3110" s="17" t="str">
        <x:v>U03104</x:v>
      </x:c>
      <x:c r="B3110" s="18" t="n">
        <x:v>46286</x:v>
      </x:c>
      <x:c r="C3110" s="17" t="str">
        <x:v>W0194</x:v>
      </x:c>
      <x:c r="D3110" s="17" t="str">
        <x:v>C004</x:v>
      </x:c>
      <x:c r="E3110" s="17" t="str">
        <x:v>CopyStudio</x:v>
      </x:c>
      <x:c r="F3110" s="17" t="str">
        <x:v>Pro</x:v>
      </x:c>
      <x:c r="G3110" s="21" t="n">
        <x:v>13179</x:v>
      </x:c>
      <x:c r="H3110" s="21" t="n">
        <x:v>7356</x:v>
      </x:c>
      <x:c r="I3110" s="17" t="str">
        <x:v>Correction</x:v>
      </x:c>
    </x:row>
    <x:row r="3111" ht="23" customHeight="1">
      <x:c r="A3111" s="17" t="str">
        <x:v>U03105</x:v>
      </x:c>
      <x:c r="B3111" s="18" t="n">
        <x:v>46286</x:v>
      </x:c>
      <x:c r="C3111" s="17" t="str">
        <x:v>W0194</x:v>
      </x:c>
      <x:c r="D3111" s="17" t="str">
        <x:v>C004</x:v>
      </x:c>
      <x:c r="E3111" s="17" t="str">
        <x:v>CopyStudio</x:v>
      </x:c>
      <x:c r="F3111" s="17" t="str">
        <x:v>Pro</x:v>
      </x:c>
      <x:c r="G3111" s="21" t="n">
        <x:v>14638</x:v>
      </x:c>
      <x:c r="H3111" s="21" t="n">
        <x:v>6806</x:v>
      </x:c>
      <x:c r="I3111" s="17" t="str">
        <x:v>Followup</x:v>
      </x:c>
    </x:row>
    <x:row r="3112" ht="23" customHeight="1">
      <x:c r="A3112" s="17" t="str">
        <x:v>U03106</x:v>
      </x:c>
      <x:c r="B3112" s="18" t="n">
        <x:v>46287</x:v>
      </x:c>
      <x:c r="C3112" s="17" t="str">
        <x:v>W0194</x:v>
      </x:c>
      <x:c r="D3112" s="17" t="str">
        <x:v>C004</x:v>
      </x:c>
      <x:c r="E3112" s="17" t="str">
        <x:v>CopyStudio</x:v>
      </x:c>
      <x:c r="F3112" s="17" t="str">
        <x:v>Pro</x:v>
      </x:c>
      <x:c r="G3112" s="21" t="n">
        <x:v>12502</x:v>
      </x:c>
      <x:c r="H3112" s="21" t="n">
        <x:v>7029</x:v>
      </x:c>
      <x:c r="I3112" s="17" t="str">
        <x:v>Followup</x:v>
      </x:c>
    </x:row>
    <x:row r="3113" ht="23" customHeight="1">
      <x:c r="A3113" s="17" t="str">
        <x:v>U03107</x:v>
      </x:c>
      <x:c r="B3113" s="18" t="n">
        <x:v>46287</x:v>
      </x:c>
      <x:c r="C3113" s="17" t="str">
        <x:v>W0194</x:v>
      </x:c>
      <x:c r="D3113" s="17" t="str">
        <x:v>C004</x:v>
      </x:c>
      <x:c r="E3113" s="17" t="str">
        <x:v>CopyStudio</x:v>
      </x:c>
      <x:c r="F3113" s="17" t="str">
        <x:v>Pro</x:v>
      </x:c>
      <x:c r="G3113" s="21" t="n">
        <x:v>16516</x:v>
      </x:c>
      <x:c r="H3113" s="21" t="n">
        <x:v>5580</x:v>
      </x:c>
      <x:c r="I3113" s="17" t="str">
        <x:v>Followup</x:v>
      </x:c>
    </x:row>
    <x:row r="3114" ht="23" customHeight="1">
      <x:c r="A3114" s="17" t="str">
        <x:v>U03108</x:v>
      </x:c>
      <x:c r="B3114" s="18" t="n">
        <x:v>46288</x:v>
      </x:c>
      <x:c r="C3114" s="17" t="str">
        <x:v>W0194</x:v>
      </x:c>
      <x:c r="D3114" s="17" t="str">
        <x:v>C004</x:v>
      </x:c>
      <x:c r="E3114" s="17" t="str">
        <x:v>CopyStudio</x:v>
      </x:c>
      <x:c r="F3114" s="17" t="str">
        <x:v>Pro</x:v>
      </x:c>
      <x:c r="G3114" s="21" t="n">
        <x:v>8464</x:v>
      </x:c>
      <x:c r="H3114" s="21" t="n">
        <x:v>7624</x:v>
      </x:c>
      <x:c r="I3114" s="17" t="str">
        <x:v>Correction</x:v>
      </x:c>
    </x:row>
    <x:row r="3115" ht="23" customHeight="1">
      <x:c r="A3115" s="17" t="str">
        <x:v>U03109</x:v>
      </x:c>
      <x:c r="B3115" s="18" t="n">
        <x:v>46288</x:v>
      </x:c>
      <x:c r="C3115" s="17" t="str">
        <x:v>W0194</x:v>
      </x:c>
      <x:c r="D3115" s="17" t="str">
        <x:v>C004</x:v>
      </x:c>
      <x:c r="E3115" s="17" t="str">
        <x:v>CopyStudio</x:v>
      </x:c>
      <x:c r="F3115" s="17" t="str">
        <x:v>Pro</x:v>
      </x:c>
      <x:c r="G3115" s="21" t="n">
        <x:v>7830</x:v>
      </x:c>
      <x:c r="H3115" s="21" t="n">
        <x:v>3708</x:v>
      </x:c>
      <x:c r="I3115" s="17" t="str">
        <x:v>Followup</x:v>
      </x:c>
    </x:row>
    <x:row r="3116" ht="23" customHeight="1">
      <x:c r="A3116" s="17" t="str">
        <x:v>U03110</x:v>
      </x:c>
      <x:c r="B3116" s="18" t="n">
        <x:v>46288</x:v>
      </x:c>
      <x:c r="C3116" s="17" t="str">
        <x:v>W0194</x:v>
      </x:c>
      <x:c r="D3116" s="17" t="str">
        <x:v>C004</x:v>
      </x:c>
      <x:c r="E3116" s="17" t="str">
        <x:v>CopyStudio</x:v>
      </x:c>
      <x:c r="F3116" s="17" t="str">
        <x:v>Pro</x:v>
      </x:c>
      <x:c r="G3116" s="21" t="n">
        <x:v>7713</x:v>
      </x:c>
      <x:c r="H3116" s="21" t="n">
        <x:v>2229</x:v>
      </x:c>
      <x:c r="I3116" s="17" t="str">
        <x:v>Followup</x:v>
      </x:c>
    </x:row>
    <x:row r="3117" ht="23" customHeight="1">
      <x:c r="A3117" s="17" t="str">
        <x:v>U03111</x:v>
      </x:c>
      <x:c r="B3117" s="18" t="n">
        <x:v>46289</x:v>
      </x:c>
      <x:c r="C3117" s="17" t="str">
        <x:v>W0194</x:v>
      </x:c>
      <x:c r="D3117" s="17" t="str">
        <x:v>C004</x:v>
      </x:c>
      <x:c r="E3117" s="17" t="str">
        <x:v>CopyStudio</x:v>
      </x:c>
      <x:c r="F3117" s="17" t="str">
        <x:v>Pro</x:v>
      </x:c>
      <x:c r="G3117" s="21" t="n">
        <x:v>11447</x:v>
      </x:c>
      <x:c r="H3117" s="21" t="n">
        <x:v>8376</x:v>
      </x:c>
      <x:c r="I3117" s="17" t="str">
        <x:v>Correction</x:v>
      </x:c>
    </x:row>
    <x:row r="3118" ht="23" customHeight="1">
      <x:c r="A3118" s="17" t="str">
        <x:v>U03112</x:v>
      </x:c>
      <x:c r="B3118" s="18" t="n">
        <x:v>46289</x:v>
      </x:c>
      <x:c r="C3118" s="17" t="str">
        <x:v>W0194</x:v>
      </x:c>
      <x:c r="D3118" s="17" t="str">
        <x:v>C004</x:v>
      </x:c>
      <x:c r="E3118" s="17" t="str">
        <x:v>CopyStudio</x:v>
      </x:c>
      <x:c r="F3118" s="17" t="str">
        <x:v>Pro</x:v>
      </x:c>
      <x:c r="G3118" s="21" t="n">
        <x:v>14477</x:v>
      </x:c>
      <x:c r="H3118" s="21" t="n">
        <x:v>2610</x:v>
      </x:c>
      <x:c r="I3118" s="17" t="str">
        <x:v>Followup</x:v>
      </x:c>
    </x:row>
    <x:row r="3119" ht="23" customHeight="1">
      <x:c r="A3119" s="17" t="str">
        <x:v>U03113</x:v>
      </x:c>
      <x:c r="B3119" s="18" t="n">
        <x:v>46268</x:v>
      </x:c>
      <x:c r="C3119" s="17" t="str">
        <x:v>W0195</x:v>
      </x:c>
      <x:c r="D3119" s="17" t="str">
        <x:v>C004</x:v>
      </x:c>
      <x:c r="E3119" s="17" t="str">
        <x:v>CopyStudio</x:v>
      </x:c>
      <x:c r="F3119" s="17" t="str">
        <x:v>Pro</x:v>
      </x:c>
      <x:c r="G3119" s="21" t="n">
        <x:v>30809</x:v>
      </x:c>
      <x:c r="H3119" s="21" t="n">
        <x:v>3871</x:v>
      </x:c>
      <x:c r="I3119" s="17" t="str">
        <x:v>First attempt</x:v>
      </x:c>
    </x:row>
    <x:row r="3120" ht="23" customHeight="1">
      <x:c r="A3120" s="17" t="str">
        <x:v>U03114</x:v>
      </x:c>
      <x:c r="B3120" s="18" t="n">
        <x:v>46268</x:v>
      </x:c>
      <x:c r="C3120" s="17" t="str">
        <x:v>W0195</x:v>
      </x:c>
      <x:c r="D3120" s="17" t="str">
        <x:v>C004</x:v>
      </x:c>
      <x:c r="E3120" s="17" t="str">
        <x:v>CopyStudio</x:v>
      </x:c>
      <x:c r="F3120" s="17" t="str">
        <x:v>Pro</x:v>
      </x:c>
      <x:c r="G3120" s="21" t="n">
        <x:v>12848</x:v>
      </x:c>
      <x:c r="H3120" s="21" t="n">
        <x:v>2991</x:v>
      </x:c>
      <x:c r="I3120" s="17" t="str">
        <x:v>Followup</x:v>
      </x:c>
    </x:row>
    <x:row r="3121" ht="23" customHeight="1">
      <x:c r="A3121" s="17" t="str">
        <x:v>U03115</x:v>
      </x:c>
      <x:c r="B3121" s="18" t="n">
        <x:v>46268</x:v>
      </x:c>
      <x:c r="C3121" s="17" t="str">
        <x:v>W0195</x:v>
      </x:c>
      <x:c r="D3121" s="17" t="str">
        <x:v>C004</x:v>
      </x:c>
      <x:c r="E3121" s="17" t="str">
        <x:v>CopyStudio</x:v>
      </x:c>
      <x:c r="F3121" s="17" t="str">
        <x:v>Pro</x:v>
      </x:c>
      <x:c r="G3121" s="21" t="n">
        <x:v>20373</x:v>
      </x:c>
      <x:c r="H3121" s="21" t="n">
        <x:v>6903</x:v>
      </x:c>
      <x:c r="I3121" s="17" t="str">
        <x:v>Correction</x:v>
      </x:c>
    </x:row>
    <x:row r="3122" ht="23" customHeight="1">
      <x:c r="A3122" s="17" t="str">
        <x:v>U03116</x:v>
      </x:c>
      <x:c r="B3122" s="18" t="n">
        <x:v>46268</x:v>
      </x:c>
      <x:c r="C3122" s="17" t="str">
        <x:v>W0195</x:v>
      </x:c>
      <x:c r="D3122" s="17" t="str">
        <x:v>C004</x:v>
      </x:c>
      <x:c r="E3122" s="17" t="str">
        <x:v>CopyStudio</x:v>
      </x:c>
      <x:c r="F3122" s="17" t="str">
        <x:v>Pro</x:v>
      </x:c>
      <x:c r="G3122" s="21" t="n">
        <x:v>26056</x:v>
      </x:c>
      <x:c r="H3122" s="21" t="n">
        <x:v>5707</x:v>
      </x:c>
      <x:c r="I3122" s="17" t="str">
        <x:v>Followup</x:v>
      </x:c>
    </x:row>
    <x:row r="3123" ht="23" customHeight="1">
      <x:c r="A3123" s="17" t="str">
        <x:v>U03117</x:v>
      </x:c>
      <x:c r="B3123" s="18" t="n">
        <x:v>46269</x:v>
      </x:c>
      <x:c r="C3123" s="17" t="str">
        <x:v>W0195</x:v>
      </x:c>
      <x:c r="D3123" s="17" t="str">
        <x:v>C004</x:v>
      </x:c>
      <x:c r="E3123" s="17" t="str">
        <x:v>CopyStudio</x:v>
      </x:c>
      <x:c r="F3123" s="17" t="str">
        <x:v>Pro</x:v>
      </x:c>
      <x:c r="G3123" s="21" t="n">
        <x:v>10796</x:v>
      </x:c>
      <x:c r="H3123" s="21" t="n">
        <x:v>5196</x:v>
      </x:c>
      <x:c r="I3123" s="17" t="str">
        <x:v>Followup</x:v>
      </x:c>
    </x:row>
    <x:row r="3124" ht="23" customHeight="1">
      <x:c r="A3124" s="17" t="str">
        <x:v>U03118</x:v>
      </x:c>
      <x:c r="B3124" s="18" t="n">
        <x:v>46269</x:v>
      </x:c>
      <x:c r="C3124" s="17" t="str">
        <x:v>W0195</x:v>
      </x:c>
      <x:c r="D3124" s="17" t="str">
        <x:v>C004</x:v>
      </x:c>
      <x:c r="E3124" s="17" t="str">
        <x:v>CopyStudio</x:v>
      </x:c>
      <x:c r="F3124" s="17" t="str">
        <x:v>Pro</x:v>
      </x:c>
      <x:c r="G3124" s="21" t="n">
        <x:v>28883</x:v>
      </x:c>
      <x:c r="H3124" s="21" t="n">
        <x:v>5151</x:v>
      </x:c>
      <x:c r="I3124" s="17" t="str">
        <x:v>Followup</x:v>
      </x:c>
    </x:row>
    <x:row r="3125" ht="23" customHeight="1">
      <x:c r="A3125" s="17" t="str">
        <x:v>U03119</x:v>
      </x:c>
      <x:c r="B3125" s="18" t="n">
        <x:v>46269</x:v>
      </x:c>
      <x:c r="C3125" s="17" t="str">
        <x:v>W0195</x:v>
      </x:c>
      <x:c r="D3125" s="17" t="str">
        <x:v>C004</x:v>
      </x:c>
      <x:c r="E3125" s="17" t="str">
        <x:v>CopyStudio</x:v>
      </x:c>
      <x:c r="F3125" s="17" t="str">
        <x:v>Pro</x:v>
      </x:c>
      <x:c r="G3125" s="21" t="n">
        <x:v>16152</x:v>
      </x:c>
      <x:c r="H3125" s="21" t="n">
        <x:v>8602</x:v>
      </x:c>
      <x:c r="I3125" s="17" t="str">
        <x:v>Correction</x:v>
      </x:c>
    </x:row>
    <x:row r="3126" ht="23" customHeight="1">
      <x:c r="A3126" s="17" t="str">
        <x:v>U03120</x:v>
      </x:c>
      <x:c r="B3126" s="18" t="n">
        <x:v>46273</x:v>
      </x:c>
      <x:c r="C3126" s="17" t="str">
        <x:v>W0195</x:v>
      </x:c>
      <x:c r="D3126" s="17" t="str">
        <x:v>C004</x:v>
      </x:c>
      <x:c r="E3126" s="17" t="str">
        <x:v>CopyStudio</x:v>
      </x:c>
      <x:c r="F3126" s="17" t="str">
        <x:v>Pro</x:v>
      </x:c>
      <x:c r="G3126" s="21" t="n">
        <x:v>18963</x:v>
      </x:c>
      <x:c r="H3126" s="21" t="n">
        <x:v>8399</x:v>
      </x:c>
      <x:c r="I3126" s="17" t="str">
        <x:v>Followup</x:v>
      </x:c>
    </x:row>
    <x:row r="3127" ht="23" customHeight="1">
      <x:c r="A3127" s="17" t="str">
        <x:v>U03121</x:v>
      </x:c>
      <x:c r="B3127" s="18" t="n">
        <x:v>46273</x:v>
      </x:c>
      <x:c r="C3127" s="17" t="str">
        <x:v>W0195</x:v>
      </x:c>
      <x:c r="D3127" s="17" t="str">
        <x:v>C004</x:v>
      </x:c>
      <x:c r="E3127" s="17" t="str">
        <x:v>CopyStudio</x:v>
      </x:c>
      <x:c r="F3127" s="17" t="str">
        <x:v>Pro</x:v>
      </x:c>
      <x:c r="G3127" s="21" t="n">
        <x:v>15790</x:v>
      </x:c>
      <x:c r="H3127" s="21" t="n">
        <x:v>5002</x:v>
      </x:c>
      <x:c r="I3127" s="17" t="str">
        <x:v>Correction</x:v>
      </x:c>
    </x:row>
    <x:row r="3128" ht="23" customHeight="1">
      <x:c r="A3128" s="17" t="str">
        <x:v>U03122</x:v>
      </x:c>
      <x:c r="B3128" s="18" t="n">
        <x:v>46273</x:v>
      </x:c>
      <x:c r="C3128" s="17" t="str">
        <x:v>W0195</x:v>
      </x:c>
      <x:c r="D3128" s="17" t="str">
        <x:v>C004</x:v>
      </x:c>
      <x:c r="E3128" s="17" t="str">
        <x:v>CopyStudio</x:v>
      </x:c>
      <x:c r="F3128" s="17" t="str">
        <x:v>Pro</x:v>
      </x:c>
      <x:c r="G3128" s="21" t="n">
        <x:v>23105</x:v>
      </x:c>
      <x:c r="H3128" s="21" t="n">
        <x:v>5422</x:v>
      </x:c>
      <x:c r="I3128" s="17" t="str">
        <x:v>Followup</x:v>
      </x:c>
    </x:row>
    <x:row r="3129" ht="23" customHeight="1">
      <x:c r="A3129" s="17" t="str">
        <x:v>U03123</x:v>
      </x:c>
      <x:c r="B3129" s="18" t="n">
        <x:v>46274</x:v>
      </x:c>
      <x:c r="C3129" s="17" t="str">
        <x:v>W0195</x:v>
      </x:c>
      <x:c r="D3129" s="17" t="str">
        <x:v>C004</x:v>
      </x:c>
      <x:c r="E3129" s="17" t="str">
        <x:v>CopyStudio</x:v>
      </x:c>
      <x:c r="F3129" s="17" t="str">
        <x:v>Pro</x:v>
      </x:c>
      <x:c r="G3129" s="21" t="n">
        <x:v>31956</x:v>
      </x:c>
      <x:c r="H3129" s="21" t="n">
        <x:v>3403</x:v>
      </x:c>
      <x:c r="I3129" s="17" t="str">
        <x:v>Followup</x:v>
      </x:c>
    </x:row>
    <x:row r="3130" ht="23" customHeight="1">
      <x:c r="A3130" s="17" t="str">
        <x:v>U03124</x:v>
      </x:c>
      <x:c r="B3130" s="18" t="n">
        <x:v>46274</x:v>
      </x:c>
      <x:c r="C3130" s="17" t="str">
        <x:v>W0195</x:v>
      </x:c>
      <x:c r="D3130" s="17" t="str">
        <x:v>C004</x:v>
      </x:c>
      <x:c r="E3130" s="17" t="str">
        <x:v>CopyStudio</x:v>
      </x:c>
      <x:c r="F3130" s="17" t="str">
        <x:v>Pro</x:v>
      </x:c>
      <x:c r="G3130" s="21" t="n">
        <x:v>20951</x:v>
      </x:c>
      <x:c r="H3130" s="21" t="n">
        <x:v>4272</x:v>
      </x:c>
      <x:c r="I3130" s="17" t="str">
        <x:v>Followup</x:v>
      </x:c>
    </x:row>
    <x:row r="3131" ht="23" customHeight="1">
      <x:c r="A3131" s="17" t="str">
        <x:v>U03125</x:v>
      </x:c>
      <x:c r="B3131" s="18" t="n">
        <x:v>46274</x:v>
      </x:c>
      <x:c r="C3131" s="17" t="str">
        <x:v>W0195</x:v>
      </x:c>
      <x:c r="D3131" s="17" t="str">
        <x:v>C004</x:v>
      </x:c>
      <x:c r="E3131" s="17" t="str">
        <x:v>CopyStudio</x:v>
      </x:c>
      <x:c r="F3131" s="17" t="str">
        <x:v>Pro</x:v>
      </x:c>
      <x:c r="G3131" s="21" t="n">
        <x:v>20636</x:v>
      </x:c>
      <x:c r="H3131" s="21" t="n">
        <x:v>4442</x:v>
      </x:c>
      <x:c r="I3131" s="17" t="str">
        <x:v>Followup</x:v>
      </x:c>
    </x:row>
    <x:row r="3132" ht="23" customHeight="1">
      <x:c r="A3132" s="17" t="str">
        <x:v>U03126</x:v>
      </x:c>
      <x:c r="B3132" s="18" t="n">
        <x:v>46280</x:v>
      </x:c>
      <x:c r="C3132" s="17" t="str">
        <x:v>W0196</x:v>
      </x:c>
      <x:c r="D3132" s="17" t="str">
        <x:v>C004</x:v>
      </x:c>
      <x:c r="E3132" s="17" t="str">
        <x:v>CampaignChat</x:v>
      </x:c>
      <x:c r="F3132" s="17" t="str">
        <x:v>Pro</x:v>
      </x:c>
      <x:c r="G3132" s="21" t="n">
        <x:v>14276</x:v>
      </x:c>
      <x:c r="H3132" s="21" t="n">
        <x:v>9729</x:v>
      </x:c>
      <x:c r="I3132" s="17" t="str">
        <x:v>First attempt</x:v>
      </x:c>
    </x:row>
    <x:row r="3133" ht="23" customHeight="1">
      <x:c r="A3133" s="17" t="str">
        <x:v>U03127</x:v>
      </x:c>
      <x:c r="B3133" s="18" t="n">
        <x:v>46280</x:v>
      </x:c>
      <x:c r="C3133" s="17" t="str">
        <x:v>W0196</x:v>
      </x:c>
      <x:c r="D3133" s="17" t="str">
        <x:v>C004</x:v>
      </x:c>
      <x:c r="E3133" s="17" t="str">
        <x:v>CampaignChat</x:v>
      </x:c>
      <x:c r="F3133" s="17" t="str">
        <x:v>Pro</x:v>
      </x:c>
      <x:c r="G3133" s="21" t="n">
        <x:v>17839</x:v>
      </x:c>
      <x:c r="H3133" s="21" t="n">
        <x:v>4806</x:v>
      </x:c>
      <x:c r="I3133" s="17" t="str">
        <x:v>Followup</x:v>
      </x:c>
    </x:row>
    <x:row r="3134" ht="23" customHeight="1">
      <x:c r="A3134" s="17" t="str">
        <x:v>U03128</x:v>
      </x:c>
      <x:c r="B3134" s="18" t="n">
        <x:v>46280</x:v>
      </x:c>
      <x:c r="C3134" s="17" t="str">
        <x:v>W0196</x:v>
      </x:c>
      <x:c r="D3134" s="17" t="str">
        <x:v>C004</x:v>
      </x:c>
      <x:c r="E3134" s="17" t="str">
        <x:v>CampaignChat</x:v>
      </x:c>
      <x:c r="F3134" s="17" t="str">
        <x:v>Pro</x:v>
      </x:c>
      <x:c r="G3134" s="21" t="n">
        <x:v>28682</x:v>
      </x:c>
      <x:c r="H3134" s="21" t="n">
        <x:v>6458</x:v>
      </x:c>
      <x:c r="I3134" s="17" t="str">
        <x:v>Followup</x:v>
      </x:c>
    </x:row>
    <x:row r="3135" ht="23" customHeight="1">
      <x:c r="A3135" s="17" t="str">
        <x:v>U03129</x:v>
      </x:c>
      <x:c r="B3135" s="18" t="n">
        <x:v>46280</x:v>
      </x:c>
      <x:c r="C3135" s="17" t="str">
        <x:v>W0196</x:v>
      </x:c>
      <x:c r="D3135" s="17" t="str">
        <x:v>C004</x:v>
      </x:c>
      <x:c r="E3135" s="17" t="str">
        <x:v>CampaignChat</x:v>
      </x:c>
      <x:c r="F3135" s="17" t="str">
        <x:v>Pro</x:v>
      </x:c>
      <x:c r="G3135" s="21" t="n">
        <x:v>24161</x:v>
      </x:c>
      <x:c r="H3135" s="21" t="n">
        <x:v>13076</x:v>
      </x:c>
      <x:c r="I3135" s="17" t="str">
        <x:v>Correction</x:v>
      </x:c>
    </x:row>
    <x:row r="3136" ht="23" customHeight="1">
      <x:c r="A3136" s="17" t="str">
        <x:v>U03130</x:v>
      </x:c>
      <x:c r="B3136" s="18" t="n">
        <x:v>46281</x:v>
      </x:c>
      <x:c r="C3136" s="17" t="str">
        <x:v>W0196</x:v>
      </x:c>
      <x:c r="D3136" s="17" t="str">
        <x:v>C004</x:v>
      </x:c>
      <x:c r="E3136" s="17" t="str">
        <x:v>CampaignChat</x:v>
      </x:c>
      <x:c r="F3136" s="17" t="str">
        <x:v>Pro</x:v>
      </x:c>
      <x:c r="G3136" s="21" t="n">
        <x:v>31290</x:v>
      </x:c>
      <x:c r="H3136" s="21" t="n">
        <x:v>7194</x:v>
      </x:c>
      <x:c r="I3136" s="17" t="str">
        <x:v>Followup</x:v>
      </x:c>
    </x:row>
    <x:row r="3137" ht="23" customHeight="1">
      <x:c r="A3137" s="17" t="str">
        <x:v>U03131</x:v>
      </x:c>
      <x:c r="B3137" s="18" t="n">
        <x:v>46281</x:v>
      </x:c>
      <x:c r="C3137" s="17" t="str">
        <x:v>W0196</x:v>
      </x:c>
      <x:c r="D3137" s="17" t="str">
        <x:v>C004</x:v>
      </x:c>
      <x:c r="E3137" s="17" t="str">
        <x:v>CampaignChat</x:v>
      </x:c>
      <x:c r="F3137" s="17" t="str">
        <x:v>Pro</x:v>
      </x:c>
      <x:c r="G3137" s="21" t="n">
        <x:v>15574</x:v>
      </x:c>
      <x:c r="H3137" s="21" t="n">
        <x:v>6179</x:v>
      </x:c>
      <x:c r="I3137" s="17" t="str">
        <x:v>Correction</x:v>
      </x:c>
    </x:row>
    <x:row r="3138" ht="23" customHeight="1">
      <x:c r="A3138" s="17" t="str">
        <x:v>U03132</x:v>
      </x:c>
      <x:c r="B3138" s="18" t="n">
        <x:v>46281</x:v>
      </x:c>
      <x:c r="C3138" s="17" t="str">
        <x:v>W0196</x:v>
      </x:c>
      <x:c r="D3138" s="17" t="str">
        <x:v>C004</x:v>
      </x:c>
      <x:c r="E3138" s="17" t="str">
        <x:v>CampaignChat</x:v>
      </x:c>
      <x:c r="F3138" s="17" t="str">
        <x:v>Pro</x:v>
      </x:c>
      <x:c r="G3138" s="21" t="n">
        <x:v>33547</x:v>
      </x:c>
      <x:c r="H3138" s="21" t="n">
        <x:v>6620</x:v>
      </x:c>
      <x:c r="I3138" s="17" t="str">
        <x:v>Correction</x:v>
      </x:c>
    </x:row>
    <x:row r="3139" ht="23" customHeight="1">
      <x:c r="A3139" s="17" t="str">
        <x:v>U03133</x:v>
      </x:c>
      <x:c r="B3139" s="18" t="n">
        <x:v>46281</x:v>
      </x:c>
      <x:c r="C3139" s="17" t="str">
        <x:v>W0196</x:v>
      </x:c>
      <x:c r="D3139" s="17" t="str">
        <x:v>C004</x:v>
      </x:c>
      <x:c r="E3139" s="17" t="str">
        <x:v>CampaignChat</x:v>
      </x:c>
      <x:c r="F3139" s="17" t="str">
        <x:v>Pro</x:v>
      </x:c>
      <x:c r="G3139" s="21" t="n">
        <x:v>33038</x:v>
      </x:c>
      <x:c r="H3139" s="21" t="n">
        <x:v>13123</x:v>
      </x:c>
      <x:c r="I3139" s="17" t="str">
        <x:v>Followup</x:v>
      </x:c>
    </x:row>
    <x:row r="3140" ht="23" customHeight="1">
      <x:c r="A3140" s="17" t="str">
        <x:v>U03134</x:v>
      </x:c>
      <x:c r="B3140" s="18" t="n">
        <x:v>46282</x:v>
      </x:c>
      <x:c r="C3140" s="17" t="str">
        <x:v>W0196</x:v>
      </x:c>
      <x:c r="D3140" s="17" t="str">
        <x:v>C004</x:v>
      </x:c>
      <x:c r="E3140" s="17" t="str">
        <x:v>CampaignChat</x:v>
      </x:c>
      <x:c r="F3140" s="17" t="str">
        <x:v>Pro</x:v>
      </x:c>
      <x:c r="G3140" s="21" t="n">
        <x:v>33306</x:v>
      </x:c>
      <x:c r="H3140" s="21" t="n">
        <x:v>12311</x:v>
      </x:c>
      <x:c r="I3140" s="17" t="str">
        <x:v>Followup</x:v>
      </x:c>
    </x:row>
    <x:row r="3141" ht="23" customHeight="1">
      <x:c r="A3141" s="17" t="str">
        <x:v>U03135</x:v>
      </x:c>
      <x:c r="B3141" s="18" t="n">
        <x:v>46282</x:v>
      </x:c>
      <x:c r="C3141" s="17" t="str">
        <x:v>W0196</x:v>
      </x:c>
      <x:c r="D3141" s="17" t="str">
        <x:v>C004</x:v>
      </x:c>
      <x:c r="E3141" s="17" t="str">
        <x:v>CampaignChat</x:v>
      </x:c>
      <x:c r="F3141" s="17" t="str">
        <x:v>Pro</x:v>
      </x:c>
      <x:c r="G3141" s="21" t="n">
        <x:v>27497</x:v>
      </x:c>
      <x:c r="H3141" s="21" t="n">
        <x:v>8971</x:v>
      </x:c>
      <x:c r="I3141" s="17" t="str">
        <x:v>Followup</x:v>
      </x:c>
    </x:row>
    <x:row r="3142" ht="23" customHeight="1">
      <x:c r="A3142" s="17" t="str">
        <x:v>U03136</x:v>
      </x:c>
      <x:c r="B3142" s="18" t="n">
        <x:v>46282</x:v>
      </x:c>
      <x:c r="C3142" s="17" t="str">
        <x:v>W0196</x:v>
      </x:c>
      <x:c r="D3142" s="17" t="str">
        <x:v>C004</x:v>
      </x:c>
      <x:c r="E3142" s="17" t="str">
        <x:v>CampaignChat</x:v>
      </x:c>
      <x:c r="F3142" s="17" t="str">
        <x:v>Pro</x:v>
      </x:c>
      <x:c r="G3142" s="21" t="n">
        <x:v>30715</x:v>
      </x:c>
      <x:c r="H3142" s="21" t="n">
        <x:v>5157</x:v>
      </x:c>
      <x:c r="I3142" s="17" t="str">
        <x:v>Followup</x:v>
      </x:c>
    </x:row>
    <x:row r="3143" ht="23" customHeight="1">
      <x:c r="A3143" s="17" t="str">
        <x:v>U03137</x:v>
      </x:c>
      <x:c r="B3143" s="18" t="n">
        <x:v>46282</x:v>
      </x:c>
      <x:c r="C3143" s="17" t="str">
        <x:v>W0196</x:v>
      </x:c>
      <x:c r="D3143" s="17" t="str">
        <x:v>C004</x:v>
      </x:c>
      <x:c r="E3143" s="17" t="str">
        <x:v>CampaignChat</x:v>
      </x:c>
      <x:c r="F3143" s="17" t="str">
        <x:v>Pro</x:v>
      </x:c>
      <x:c r="G3143" s="21" t="n">
        <x:v>29991</x:v>
      </x:c>
      <x:c r="H3143" s="21" t="n">
        <x:v>9142</x:v>
      </x:c>
      <x:c r="I3143" s="17" t="str">
        <x:v>Followup</x:v>
      </x:c>
    </x:row>
    <x:row r="3144" ht="23" customHeight="1">
      <x:c r="A3144" s="17" t="str">
        <x:v>U03138</x:v>
      </x:c>
      <x:c r="B3144" s="18" t="n">
        <x:v>46283</x:v>
      </x:c>
      <x:c r="C3144" s="17" t="str">
        <x:v>W0196</x:v>
      </x:c>
      <x:c r="D3144" s="17" t="str">
        <x:v>C004</x:v>
      </x:c>
      <x:c r="E3144" s="17" t="str">
        <x:v>CampaignChat</x:v>
      </x:c>
      <x:c r="F3144" s="17" t="str">
        <x:v>Pro</x:v>
      </x:c>
      <x:c r="G3144" s="21" t="n">
        <x:v>20050</x:v>
      </x:c>
      <x:c r="H3144" s="21" t="n">
        <x:v>12265</x:v>
      </x:c>
      <x:c r="I3144" s="17" t="str">
        <x:v>Correction</x:v>
      </x:c>
    </x:row>
    <x:row r="3145" ht="23" customHeight="1">
      <x:c r="A3145" s="17" t="str">
        <x:v>U03139</x:v>
      </x:c>
      <x:c r="B3145" s="18" t="n">
        <x:v>46283</x:v>
      </x:c>
      <x:c r="C3145" s="17" t="str">
        <x:v>W0196</x:v>
      </x:c>
      <x:c r="D3145" s="17" t="str">
        <x:v>C004</x:v>
      </x:c>
      <x:c r="E3145" s="17" t="str">
        <x:v>CampaignChat</x:v>
      </x:c>
      <x:c r="F3145" s="17" t="str">
        <x:v>Pro</x:v>
      </x:c>
      <x:c r="G3145" s="21" t="n">
        <x:v>33779</x:v>
      </x:c>
      <x:c r="H3145" s="21" t="n">
        <x:v>8537</x:v>
      </x:c>
      <x:c r="I3145" s="17" t="str">
        <x:v>Followup</x:v>
      </x:c>
    </x:row>
    <x:row r="3146" ht="23" customHeight="1">
      <x:c r="A3146" s="17" t="str">
        <x:v>U03140</x:v>
      </x:c>
      <x:c r="B3146" s="18" t="n">
        <x:v>46283</x:v>
      </x:c>
      <x:c r="C3146" s="17" t="str">
        <x:v>W0196</x:v>
      </x:c>
      <x:c r="D3146" s="17" t="str">
        <x:v>C004</x:v>
      </x:c>
      <x:c r="E3146" s="17" t="str">
        <x:v>CampaignChat</x:v>
      </x:c>
      <x:c r="F3146" s="17" t="str">
        <x:v>Pro</x:v>
      </x:c>
      <x:c r="G3146" s="21" t="n">
        <x:v>38117</x:v>
      </x:c>
      <x:c r="H3146" s="21" t="n">
        <x:v>8311</x:v>
      </x:c>
      <x:c r="I3146" s="17" t="str">
        <x:v>Followup</x:v>
      </x:c>
    </x:row>
    <x:row r="3147" ht="23" customHeight="1">
      <x:c r="A3147" s="17" t="str">
        <x:v>U03141</x:v>
      </x:c>
      <x:c r="B3147" s="18" t="n">
        <x:v>46283</x:v>
      </x:c>
      <x:c r="C3147" s="17" t="str">
        <x:v>W0196</x:v>
      </x:c>
      <x:c r="D3147" s="17" t="str">
        <x:v>C004</x:v>
      </x:c>
      <x:c r="E3147" s="17" t="str">
        <x:v>CampaignChat</x:v>
      </x:c>
      <x:c r="F3147" s="17" t="str">
        <x:v>Pro</x:v>
      </x:c>
      <x:c r="G3147" s="21" t="n">
        <x:v>37818</x:v>
      </x:c>
      <x:c r="H3147" s="21" t="n">
        <x:v>10381</x:v>
      </x:c>
      <x:c r="I3147" s="17" t="str">
        <x:v>Followup</x:v>
      </x:c>
    </x:row>
    <x:row r="3148" ht="23" customHeight="1">
      <x:c r="A3148" s="17" t="str">
        <x:v>U03142</x:v>
      </x:c>
      <x:c r="B3148" s="18" t="n">
        <x:v>46283</x:v>
      </x:c>
      <x:c r="C3148" s="17" t="str">
        <x:v>W0199</x:v>
      </x:c>
      <x:c r="D3148" s="17" t="str">
        <x:v>C004</x:v>
      </x:c>
      <x:c r="E3148" s="17" t="str">
        <x:v>DataFlow</x:v>
      </x:c>
      <x:c r="F3148" s="17" t="str">
        <x:v>Pro</x:v>
      </x:c>
      <x:c r="G3148" s="21" t="n">
        <x:v>18056</x:v>
      </x:c>
      <x:c r="H3148" s="21" t="n">
        <x:v>11908</x:v>
      </x:c>
      <x:c r="I3148" s="17" t="str">
        <x:v>First attempt</x:v>
      </x:c>
    </x:row>
    <x:row r="3149" ht="23" customHeight="1">
      <x:c r="A3149" s="17" t="str">
        <x:v>U03143</x:v>
      </x:c>
      <x:c r="B3149" s="18" t="n">
        <x:v>46283</x:v>
      </x:c>
      <x:c r="C3149" s="17" t="str">
        <x:v>W0199</x:v>
      </x:c>
      <x:c r="D3149" s="17" t="str">
        <x:v>C004</x:v>
      </x:c>
      <x:c r="E3149" s="17" t="str">
        <x:v>DataFlow</x:v>
      </x:c>
      <x:c r="F3149" s="17" t="str">
        <x:v>Pro</x:v>
      </x:c>
      <x:c r="G3149" s="21" t="n">
        <x:v>13277</x:v>
      </x:c>
      <x:c r="H3149" s="21" t="n">
        <x:v>16996</x:v>
      </x:c>
      <x:c r="I3149" s="17" t="str">
        <x:v>Followup</x:v>
      </x:c>
    </x:row>
    <x:row r="3150" ht="23" customHeight="1">
      <x:c r="A3150" s="17" t="str">
        <x:v>U03144</x:v>
      </x:c>
      <x:c r="B3150" s="18" t="n">
        <x:v>46283</x:v>
      </x:c>
      <x:c r="C3150" s="17" t="str">
        <x:v>W0199</x:v>
      </x:c>
      <x:c r="D3150" s="17" t="str">
        <x:v>C004</x:v>
      </x:c>
      <x:c r="E3150" s="17" t="str">
        <x:v>DataFlow</x:v>
      </x:c>
      <x:c r="F3150" s="17" t="str">
        <x:v>Pro</x:v>
      </x:c>
      <x:c r="G3150" s="21" t="n">
        <x:v>15220</x:v>
      </x:c>
      <x:c r="H3150" s="21" t="n">
        <x:v>8234</x:v>
      </x:c>
      <x:c r="I3150" s="17" t="str">
        <x:v>Followup</x:v>
      </x:c>
    </x:row>
    <x:row r="3151" ht="23" customHeight="1">
      <x:c r="A3151" s="17" t="str">
        <x:v>U03145</x:v>
      </x:c>
      <x:c r="B3151" s="18" t="n">
        <x:v>46283</x:v>
      </x:c>
      <x:c r="C3151" s="17" t="str">
        <x:v>W0199</x:v>
      </x:c>
      <x:c r="D3151" s="17" t="str">
        <x:v>C004</x:v>
      </x:c>
      <x:c r="E3151" s="17" t="str">
        <x:v>DataFlow</x:v>
      </x:c>
      <x:c r="F3151" s="17" t="str">
        <x:v>Pro</x:v>
      </x:c>
      <x:c r="G3151" s="21" t="n">
        <x:v>23063</x:v>
      </x:c>
      <x:c r="H3151" s="21" t="n">
        <x:v>17588</x:v>
      </x:c>
      <x:c r="I3151" s="17" t="str">
        <x:v>Followup</x:v>
      </x:c>
    </x:row>
    <x:row r="3152" ht="23" customHeight="1">
      <x:c r="A3152" s="17" t="str">
        <x:v>U03146</x:v>
      </x:c>
      <x:c r="B3152" s="18" t="n">
        <x:v>46283</x:v>
      </x:c>
      <x:c r="C3152" s="17" t="str">
        <x:v>W0199</x:v>
      </x:c>
      <x:c r="D3152" s="17" t="str">
        <x:v>C004</x:v>
      </x:c>
      <x:c r="E3152" s="17" t="str">
        <x:v>DataFlow</x:v>
      </x:c>
      <x:c r="F3152" s="17" t="str">
        <x:v>Pro</x:v>
      </x:c>
      <x:c r="G3152" s="21" t="n">
        <x:v>10147</x:v>
      </x:c>
      <x:c r="H3152" s="21" t="n">
        <x:v>10275</x:v>
      </x:c>
      <x:c r="I3152" s="17" t="str">
        <x:v>Followup</x:v>
      </x:c>
    </x:row>
    <x:row r="3153" ht="23" customHeight="1">
      <x:c r="A3153" s="17" t="str">
        <x:v>U03147</x:v>
      </x:c>
      <x:c r="B3153" s="18" t="n">
        <x:v>46286</x:v>
      </x:c>
      <x:c r="C3153" s="17" t="str">
        <x:v>W0199</x:v>
      </x:c>
      <x:c r="D3153" s="17" t="str">
        <x:v>C004</x:v>
      </x:c>
      <x:c r="E3153" s="17" t="str">
        <x:v>DataFlow</x:v>
      </x:c>
      <x:c r="F3153" s="17" t="str">
        <x:v>Pro</x:v>
      </x:c>
      <x:c r="G3153" s="21" t="n">
        <x:v>24380</x:v>
      </x:c>
      <x:c r="H3153" s="21" t="n">
        <x:v>6389</x:v>
      </x:c>
      <x:c r="I3153" s="17" t="str">
        <x:v>Followup</x:v>
      </x:c>
    </x:row>
    <x:row r="3154" ht="23" customHeight="1">
      <x:c r="A3154" s="17" t="str">
        <x:v>U03148</x:v>
      </x:c>
      <x:c r="B3154" s="18" t="n">
        <x:v>46286</x:v>
      </x:c>
      <x:c r="C3154" s="17" t="str">
        <x:v>W0199</x:v>
      </x:c>
      <x:c r="D3154" s="17" t="str">
        <x:v>C004</x:v>
      </x:c>
      <x:c r="E3154" s="17" t="str">
        <x:v>DataFlow</x:v>
      </x:c>
      <x:c r="F3154" s="17" t="str">
        <x:v>Pro</x:v>
      </x:c>
      <x:c r="G3154" s="21" t="n">
        <x:v>17751</x:v>
      </x:c>
      <x:c r="H3154" s="21" t="n">
        <x:v>10692</x:v>
      </x:c>
      <x:c r="I3154" s="17" t="str">
        <x:v>Followup</x:v>
      </x:c>
    </x:row>
    <x:row r="3155" ht="23" customHeight="1">
      <x:c r="A3155" s="17" t="str">
        <x:v>U03149</x:v>
      </x:c>
      <x:c r="B3155" s="18" t="n">
        <x:v>46286</x:v>
      </x:c>
      <x:c r="C3155" s="17" t="str">
        <x:v>W0199</x:v>
      </x:c>
      <x:c r="D3155" s="17" t="str">
        <x:v>C004</x:v>
      </x:c>
      <x:c r="E3155" s="17" t="str">
        <x:v>DataFlow</x:v>
      </x:c>
      <x:c r="F3155" s="17" t="str">
        <x:v>Pro</x:v>
      </x:c>
      <x:c r="G3155" s="21" t="n">
        <x:v>10751</x:v>
      </x:c>
      <x:c r="H3155" s="21" t="n">
        <x:v>12892</x:v>
      </x:c>
      <x:c r="I3155" s="17" t="str">
        <x:v>Followup</x:v>
      </x:c>
    </x:row>
    <x:row r="3156" ht="23" customHeight="1">
      <x:c r="A3156" s="17" t="str">
        <x:v>U03150</x:v>
      </x:c>
      <x:c r="B3156" s="18" t="n">
        <x:v>46286</x:v>
      </x:c>
      <x:c r="C3156" s="17" t="str">
        <x:v>W0199</x:v>
      </x:c>
      <x:c r="D3156" s="17" t="str">
        <x:v>C004</x:v>
      </x:c>
      <x:c r="E3156" s="17" t="str">
        <x:v>DataFlow</x:v>
      </x:c>
      <x:c r="F3156" s="17" t="str">
        <x:v>Pro</x:v>
      </x:c>
      <x:c r="G3156" s="21" t="n">
        <x:v>17706</x:v>
      </x:c>
      <x:c r="H3156" s="21" t="n">
        <x:v>17275</x:v>
      </x:c>
      <x:c r="I3156" s="17" t="str">
        <x:v>Followup</x:v>
      </x:c>
    </x:row>
    <x:row r="3157" ht="23" customHeight="1">
      <x:c r="A3157" s="17" t="str">
        <x:v>U03151</x:v>
      </x:c>
      <x:c r="B3157" s="18" t="n">
        <x:v>46287</x:v>
      </x:c>
      <x:c r="C3157" s="17" t="str">
        <x:v>W0199</x:v>
      </x:c>
      <x:c r="D3157" s="17" t="str">
        <x:v>C004</x:v>
      </x:c>
      <x:c r="E3157" s="17" t="str">
        <x:v>DataFlow</x:v>
      </x:c>
      <x:c r="F3157" s="17" t="str">
        <x:v>Pro</x:v>
      </x:c>
      <x:c r="G3157" s="21" t="n">
        <x:v>22476</x:v>
      </x:c>
      <x:c r="H3157" s="21" t="n">
        <x:v>14882</x:v>
      </x:c>
      <x:c r="I3157" s="17" t="str">
        <x:v>Correction</x:v>
      </x:c>
    </x:row>
    <x:row r="3158" ht="23" customHeight="1">
      <x:c r="A3158" s="17" t="str">
        <x:v>U03152</x:v>
      </x:c>
      <x:c r="B3158" s="18" t="n">
        <x:v>46287</x:v>
      </x:c>
      <x:c r="C3158" s="17" t="str">
        <x:v>W0199</x:v>
      </x:c>
      <x:c r="D3158" s="17" t="str">
        <x:v>C004</x:v>
      </x:c>
      <x:c r="E3158" s="17" t="str">
        <x:v>DataFlow</x:v>
      </x:c>
      <x:c r="F3158" s="17" t="str">
        <x:v>Pro</x:v>
      </x:c>
      <x:c r="G3158" s="21" t="n">
        <x:v>21194</x:v>
      </x:c>
      <x:c r="H3158" s="21" t="n">
        <x:v>14014</x:v>
      </x:c>
      <x:c r="I3158" s="17" t="str">
        <x:v>Correction</x:v>
      </x:c>
    </x:row>
    <x:row r="3159" ht="23" customHeight="1">
      <x:c r="A3159" s="17" t="str">
        <x:v>U03153</x:v>
      </x:c>
      <x:c r="B3159" s="18" t="n">
        <x:v>46287</x:v>
      </x:c>
      <x:c r="C3159" s="17" t="str">
        <x:v>W0199</x:v>
      </x:c>
      <x:c r="D3159" s="17" t="str">
        <x:v>C004</x:v>
      </x:c>
      <x:c r="E3159" s="17" t="str">
        <x:v>DataFlow</x:v>
      </x:c>
      <x:c r="F3159" s="17" t="str">
        <x:v>Pro</x:v>
      </x:c>
      <x:c r="G3159" s="21" t="n">
        <x:v>22351</x:v>
      </x:c>
      <x:c r="H3159" s="21" t="n">
        <x:v>8919</x:v>
      </x:c>
      <x:c r="I3159" s="17" t="str">
        <x:v>Correction</x:v>
      </x:c>
    </x:row>
    <x:row r="3160" ht="23" customHeight="1">
      <x:c r="A3160" s="17" t="str">
        <x:v>U03154</x:v>
      </x:c>
      <x:c r="B3160" s="18" t="n">
        <x:v>46287</x:v>
      </x:c>
      <x:c r="C3160" s="17" t="str">
        <x:v>W0199</x:v>
      </x:c>
      <x:c r="D3160" s="17" t="str">
        <x:v>C004</x:v>
      </x:c>
      <x:c r="E3160" s="17" t="str">
        <x:v>DataFlow</x:v>
      </x:c>
      <x:c r="F3160" s="17" t="str">
        <x:v>Pro</x:v>
      </x:c>
      <x:c r="G3160" s="21" t="n">
        <x:v>26343</x:v>
      </x:c>
      <x:c r="H3160" s="21" t="n">
        <x:v>16182</x:v>
      </x:c>
      <x:c r="I3160" s="17" t="str">
        <x:v>Followup</x:v>
      </x:c>
    </x:row>
    <x:row r="3161" ht="23" customHeight="1">
      <x:c r="A3161" s="17" t="str">
        <x:v>U03155</x:v>
      </x:c>
      <x:c r="B3161" s="18" t="n">
        <x:v>46288</x:v>
      </x:c>
      <x:c r="C3161" s="17" t="str">
        <x:v>W0199</x:v>
      </x:c>
      <x:c r="D3161" s="17" t="str">
        <x:v>C004</x:v>
      </x:c>
      <x:c r="E3161" s="17" t="str">
        <x:v>DataFlow</x:v>
      </x:c>
      <x:c r="F3161" s="17" t="str">
        <x:v>Pro</x:v>
      </x:c>
      <x:c r="G3161" s="21" t="n">
        <x:v>9815</x:v>
      </x:c>
      <x:c r="H3161" s="21" t="n">
        <x:v>18139</x:v>
      </x:c>
      <x:c r="I3161" s="17" t="str">
        <x:v>Followup</x:v>
      </x:c>
    </x:row>
    <x:row r="3162" ht="23" customHeight="1">
      <x:c r="A3162" s="17" t="str">
        <x:v>U03156</x:v>
      </x:c>
      <x:c r="B3162" s="18" t="n">
        <x:v>46288</x:v>
      </x:c>
      <x:c r="C3162" s="17" t="str">
        <x:v>W0199</x:v>
      </x:c>
      <x:c r="D3162" s="17" t="str">
        <x:v>C004</x:v>
      </x:c>
      <x:c r="E3162" s="17" t="str">
        <x:v>DataFlow</x:v>
      </x:c>
      <x:c r="F3162" s="17" t="str">
        <x:v>Pro</x:v>
      </x:c>
      <x:c r="G3162" s="21" t="n">
        <x:v>18975</x:v>
      </x:c>
      <x:c r="H3162" s="21" t="n">
        <x:v>17312</x:v>
      </x:c>
      <x:c r="I3162" s="17" t="str">
        <x:v>Correction</x:v>
      </x:c>
    </x:row>
    <x:row r="3163" ht="23" customHeight="1">
      <x:c r="A3163" s="17" t="str">
        <x:v>U03157</x:v>
      </x:c>
      <x:c r="B3163" s="18" t="n">
        <x:v>46288</x:v>
      </x:c>
      <x:c r="C3163" s="17" t="str">
        <x:v>W0199</x:v>
      </x:c>
      <x:c r="D3163" s="17" t="str">
        <x:v>C004</x:v>
      </x:c>
      <x:c r="E3163" s="17" t="str">
        <x:v>DataFlow</x:v>
      </x:c>
      <x:c r="F3163" s="17" t="str">
        <x:v>Pro</x:v>
      </x:c>
      <x:c r="G3163" s="21" t="n">
        <x:v>26856</x:v>
      </x:c>
      <x:c r="H3163" s="21" t="n">
        <x:v>7522</x:v>
      </x:c>
      <x:c r="I3163" s="17" t="str">
        <x:v>Followup</x:v>
      </x:c>
    </x:row>
    <x:row r="3164" ht="23" customHeight="1">
      <x:c r="A3164" s="17" t="str">
        <x:v>U03158</x:v>
      </x:c>
      <x:c r="B3164" s="18" t="n">
        <x:v>46288</x:v>
      </x:c>
      <x:c r="C3164" s="17" t="str">
        <x:v>W0199</x:v>
      </x:c>
      <x:c r="D3164" s="17" t="str">
        <x:v>C004</x:v>
      </x:c>
      <x:c r="E3164" s="17" t="str">
        <x:v>DataFlow</x:v>
      </x:c>
      <x:c r="F3164" s="17" t="str">
        <x:v>Pro</x:v>
      </x:c>
      <x:c r="G3164" s="21" t="n">
        <x:v>15805</x:v>
      </x:c>
      <x:c r="H3164" s="21" t="n">
        <x:v>5204</x:v>
      </x:c>
      <x:c r="I3164" s="17" t="str">
        <x:v>Followup</x:v>
      </x:c>
    </x:row>
    <x:row r="3165" ht="23" customHeight="1">
      <x:c r="A3165" s="17" t="str">
        <x:v>U03159</x:v>
      </x:c>
      <x:c r="B3165" s="18" t="n">
        <x:v>46288</x:v>
      </x:c>
      <x:c r="C3165" s="17" t="str">
        <x:v>W0202</x:v>
      </x:c>
      <x:c r="D3165" s="17" t="str">
        <x:v>C004</x:v>
      </x:c>
      <x:c r="E3165" s="17" t="str">
        <x:v>CopyStudio</x:v>
      </x:c>
      <x:c r="F3165" s="17" t="str">
        <x:v>Pro</x:v>
      </x:c>
      <x:c r="G3165" s="21" t="n">
        <x:v>28925</x:v>
      </x:c>
      <x:c r="H3165" s="21" t="n">
        <x:v>6218</x:v>
      </x:c>
      <x:c r="I3165" s="17" t="str">
        <x:v>First attempt</x:v>
      </x:c>
    </x:row>
    <x:row r="3166" ht="23" customHeight="1">
      <x:c r="A3166" s="17" t="str">
        <x:v>U03160</x:v>
      </x:c>
      <x:c r="B3166" s="18" t="n">
        <x:v>46288</x:v>
      </x:c>
      <x:c r="C3166" s="17" t="str">
        <x:v>W0202</x:v>
      </x:c>
      <x:c r="D3166" s="17" t="str">
        <x:v>C004</x:v>
      </x:c>
      <x:c r="E3166" s="17" t="str">
        <x:v>CopyStudio</x:v>
      </x:c>
      <x:c r="F3166" s="17" t="str">
        <x:v>Pro</x:v>
      </x:c>
      <x:c r="G3166" s="21" t="n">
        <x:v>28957</x:v>
      </x:c>
      <x:c r="H3166" s="21" t="n">
        <x:v>3510</x:v>
      </x:c>
      <x:c r="I3166" s="17" t="str">
        <x:v>Correction</x:v>
      </x:c>
    </x:row>
    <x:row r="3167" ht="23" customHeight="1">
      <x:c r="A3167" s="17" t="str">
        <x:v>U03161</x:v>
      </x:c>
      <x:c r="B3167" s="18" t="n">
        <x:v>46288</x:v>
      </x:c>
      <x:c r="C3167" s="17" t="str">
        <x:v>W0202</x:v>
      </x:c>
      <x:c r="D3167" s="17" t="str">
        <x:v>C004</x:v>
      </x:c>
      <x:c r="E3167" s="17" t="str">
        <x:v>CopyStudio</x:v>
      </x:c>
      <x:c r="F3167" s="17" t="str">
        <x:v>Pro</x:v>
      </x:c>
      <x:c r="G3167" s="21" t="n">
        <x:v>18017</x:v>
      </x:c>
      <x:c r="H3167" s="21" t="n">
        <x:v>7787</x:v>
      </x:c>
      <x:c r="I3167" s="17" t="str">
        <x:v>Followup</x:v>
      </x:c>
    </x:row>
    <x:row r="3168" ht="23" customHeight="1">
      <x:c r="A3168" s="17" t="str">
        <x:v>U03162</x:v>
      </x:c>
      <x:c r="B3168" s="18" t="n">
        <x:v>46288</x:v>
      </x:c>
      <x:c r="C3168" s="17" t="str">
        <x:v>W0202</x:v>
      </x:c>
      <x:c r="D3168" s="17" t="str">
        <x:v>C004</x:v>
      </x:c>
      <x:c r="E3168" s="17" t="str">
        <x:v>CopyStudio</x:v>
      </x:c>
      <x:c r="F3168" s="17" t="str">
        <x:v>Pro</x:v>
      </x:c>
      <x:c r="G3168" s="21" t="n">
        <x:v>23112</x:v>
      </x:c>
      <x:c r="H3168" s="21" t="n">
        <x:v>8036</x:v>
      </x:c>
      <x:c r="I3168" s="17" t="str">
        <x:v>Correction</x:v>
      </x:c>
    </x:row>
    <x:row r="3169" ht="23" customHeight="1">
      <x:c r="A3169" s="17" t="str">
        <x:v>U03163</x:v>
      </x:c>
      <x:c r="B3169" s="18" t="n">
        <x:v>46289</x:v>
      </x:c>
      <x:c r="C3169" s="17" t="str">
        <x:v>W0202</x:v>
      </x:c>
      <x:c r="D3169" s="17" t="str">
        <x:v>C004</x:v>
      </x:c>
      <x:c r="E3169" s="17" t="str">
        <x:v>CopyStudio</x:v>
      </x:c>
      <x:c r="F3169" s="17" t="str">
        <x:v>Pro</x:v>
      </x:c>
      <x:c r="G3169" s="21" t="n">
        <x:v>33514</x:v>
      </x:c>
      <x:c r="H3169" s="21" t="n">
        <x:v>8512</x:v>
      </x:c>
      <x:c r="I3169" s="17" t="str">
        <x:v>Followup</x:v>
      </x:c>
    </x:row>
    <x:row r="3170" ht="23" customHeight="1">
      <x:c r="A3170" s="17" t="str">
        <x:v>U03164</x:v>
      </x:c>
      <x:c r="B3170" s="18" t="n">
        <x:v>46289</x:v>
      </x:c>
      <x:c r="C3170" s="17" t="str">
        <x:v>W0202</x:v>
      </x:c>
      <x:c r="D3170" s="17" t="str">
        <x:v>C004</x:v>
      </x:c>
      <x:c r="E3170" s="17" t="str">
        <x:v>CopyStudio</x:v>
      </x:c>
      <x:c r="F3170" s="17" t="str">
        <x:v>Pro</x:v>
      </x:c>
      <x:c r="G3170" s="21" t="n">
        <x:v>31096</x:v>
      </x:c>
      <x:c r="H3170" s="21" t="n">
        <x:v>4783</x:v>
      </x:c>
      <x:c r="I3170" s="17" t="str">
        <x:v>Followup</x:v>
      </x:c>
    </x:row>
    <x:row r="3171" ht="23" customHeight="1">
      <x:c r="A3171" s="17" t="str">
        <x:v>U03165</x:v>
      </x:c>
      <x:c r="B3171" s="18" t="n">
        <x:v>46289</x:v>
      </x:c>
      <x:c r="C3171" s="17" t="str">
        <x:v>W0202</x:v>
      </x:c>
      <x:c r="D3171" s="17" t="str">
        <x:v>C004</x:v>
      </x:c>
      <x:c r="E3171" s="17" t="str">
        <x:v>CopyStudio</x:v>
      </x:c>
      <x:c r="F3171" s="17" t="str">
        <x:v>Pro</x:v>
      </x:c>
      <x:c r="G3171" s="21" t="n">
        <x:v>20563</x:v>
      </x:c>
      <x:c r="H3171" s="21" t="n">
        <x:v>6655</x:v>
      </x:c>
      <x:c r="I3171" s="17" t="str">
        <x:v>Followup</x:v>
      </x:c>
    </x:row>
    <x:row r="3172" ht="23" customHeight="1">
      <x:c r="A3172" s="17" t="str">
        <x:v>U03166</x:v>
      </x:c>
      <x:c r="B3172" s="18" t="n">
        <x:v>46290</x:v>
      </x:c>
      <x:c r="C3172" s="17" t="str">
        <x:v>W0202</x:v>
      </x:c>
      <x:c r="D3172" s="17" t="str">
        <x:v>C004</x:v>
      </x:c>
      <x:c r="E3172" s="17" t="str">
        <x:v>CopyStudio</x:v>
      </x:c>
      <x:c r="F3172" s="17" t="str">
        <x:v>Pro</x:v>
      </x:c>
      <x:c r="G3172" s="21" t="n">
        <x:v>15578</x:v>
      </x:c>
      <x:c r="H3172" s="21" t="n">
        <x:v>6512</x:v>
      </x:c>
      <x:c r="I3172" s="17" t="str">
        <x:v>Followup</x:v>
      </x:c>
    </x:row>
    <x:row r="3173" ht="23" customHeight="1">
      <x:c r="A3173" s="17" t="str">
        <x:v>U03167</x:v>
      </x:c>
      <x:c r="B3173" s="18" t="n">
        <x:v>46290</x:v>
      </x:c>
      <x:c r="C3173" s="17" t="str">
        <x:v>W0202</x:v>
      </x:c>
      <x:c r="D3173" s="17" t="str">
        <x:v>C004</x:v>
      </x:c>
      <x:c r="E3173" s="17" t="str">
        <x:v>CopyStudio</x:v>
      </x:c>
      <x:c r="F3173" s="17" t="str">
        <x:v>Pro</x:v>
      </x:c>
      <x:c r="G3173" s="21" t="n">
        <x:v>24218</x:v>
      </x:c>
      <x:c r="H3173" s="21" t="n">
        <x:v>7935</x:v>
      </x:c>
      <x:c r="I3173" s="17" t="str">
        <x:v>Followup</x:v>
      </x:c>
    </x:row>
    <x:row r="3174" ht="23" customHeight="1">
      <x:c r="A3174" s="17" t="str">
        <x:v>U03168</x:v>
      </x:c>
      <x:c r="B3174" s="18" t="n">
        <x:v>46290</x:v>
      </x:c>
      <x:c r="C3174" s="17" t="str">
        <x:v>W0202</x:v>
      </x:c>
      <x:c r="D3174" s="17" t="str">
        <x:v>C004</x:v>
      </x:c>
      <x:c r="E3174" s="17" t="str">
        <x:v>CopyStudio</x:v>
      </x:c>
      <x:c r="F3174" s="17" t="str">
        <x:v>Pro</x:v>
      </x:c>
      <x:c r="G3174" s="21" t="n">
        <x:v>26617</x:v>
      </x:c>
      <x:c r="H3174" s="21" t="n">
        <x:v>5776</x:v>
      </x:c>
      <x:c r="I3174" s="17" t="str">
        <x:v>Followup</x:v>
      </x:c>
    </x:row>
    <x:row r="3175" ht="23" customHeight="1">
      <x:c r="A3175" s="17" t="str">
        <x:v>U03169</x:v>
      </x:c>
      <x:c r="B3175" s="18" t="n">
        <x:v>46293</x:v>
      </x:c>
      <x:c r="C3175" s="17" t="str">
        <x:v>W0202</x:v>
      </x:c>
      <x:c r="D3175" s="17" t="str">
        <x:v>C004</x:v>
      </x:c>
      <x:c r="E3175" s="17" t="str">
        <x:v>CopyStudio</x:v>
      </x:c>
      <x:c r="F3175" s="17" t="str">
        <x:v>Pro</x:v>
      </x:c>
      <x:c r="G3175" s="21" t="n">
        <x:v>24793</x:v>
      </x:c>
      <x:c r="H3175" s="21" t="n">
        <x:v>8548</x:v>
      </x:c>
      <x:c r="I3175" s="17" t="str">
        <x:v>Correction</x:v>
      </x:c>
    </x:row>
    <x:row r="3176" ht="23" customHeight="1">
      <x:c r="A3176" s="17" t="str">
        <x:v>U03170</x:v>
      </x:c>
      <x:c r="B3176" s="18" t="n">
        <x:v>46293</x:v>
      </x:c>
      <x:c r="C3176" s="17" t="str">
        <x:v>W0202</x:v>
      </x:c>
      <x:c r="D3176" s="17" t="str">
        <x:v>C004</x:v>
      </x:c>
      <x:c r="E3176" s="17" t="str">
        <x:v>CopyStudio</x:v>
      </x:c>
      <x:c r="F3176" s="17" t="str">
        <x:v>Pro</x:v>
      </x:c>
      <x:c r="G3176" s="21" t="n">
        <x:v>20545</x:v>
      </x:c>
      <x:c r="H3176" s="21" t="n">
        <x:v>10026</x:v>
      </x:c>
      <x:c r="I3176" s="17" t="str">
        <x:v>Followup</x:v>
      </x:c>
    </x:row>
    <x:row r="3177" ht="23" customHeight="1">
      <x:c r="A3177" s="17" t="str">
        <x:v>U03171</x:v>
      </x:c>
      <x:c r="B3177" s="18" t="n">
        <x:v>46293</x:v>
      </x:c>
      <x:c r="C3177" s="17" t="str">
        <x:v>W0202</x:v>
      </x:c>
      <x:c r="D3177" s="17" t="str">
        <x:v>C004</x:v>
      </x:c>
      <x:c r="E3177" s="17" t="str">
        <x:v>CopyStudio</x:v>
      </x:c>
      <x:c r="F3177" s="17" t="str">
        <x:v>Pro</x:v>
      </x:c>
      <x:c r="G3177" s="21" t="n">
        <x:v>19091</x:v>
      </x:c>
      <x:c r="H3177" s="21" t="n">
        <x:v>3692</x:v>
      </x:c>
      <x:c r="I3177" s="17" t="str">
        <x:v>Followup</x:v>
      </x:c>
    </x:row>
    <x:row r="3178" ht="23" customHeight="1">
      <x:c r="A3178" s="17" t="str">
        <x:v>U03172</x:v>
      </x:c>
      <x:c r="B3178" s="18" t="n">
        <x:v>46276</x:v>
      </x:c>
      <x:c r="C3178" s="17" t="str">
        <x:v>W0206</x:v>
      </x:c>
      <x:c r="D3178" s="17" t="str">
        <x:v>C004</x:v>
      </x:c>
      <x:c r="E3178" s="17" t="str">
        <x:v>DataFlow</x:v>
      </x:c>
      <x:c r="F3178" s="17" t="str">
        <x:v>Pro</x:v>
      </x:c>
      <x:c r="G3178" s="21" t="n">
        <x:v>37264</x:v>
      </x:c>
      <x:c r="H3178" s="21" t="n">
        <x:v>4898</x:v>
      </x:c>
      <x:c r="I3178" s="17" t="str">
        <x:v>First attempt</x:v>
      </x:c>
    </x:row>
    <x:row r="3179" ht="23" customHeight="1">
      <x:c r="A3179" s="17" t="str">
        <x:v>U03173</x:v>
      </x:c>
      <x:c r="B3179" s="18" t="n">
        <x:v>46276</x:v>
      </x:c>
      <x:c r="C3179" s="17" t="str">
        <x:v>W0206</x:v>
      </x:c>
      <x:c r="D3179" s="17" t="str">
        <x:v>C004</x:v>
      </x:c>
      <x:c r="E3179" s="17" t="str">
        <x:v>DataFlow</x:v>
      </x:c>
      <x:c r="F3179" s="17" t="str">
        <x:v>Pro</x:v>
      </x:c>
      <x:c r="G3179" s="21" t="n">
        <x:v>15945</x:v>
      </x:c>
      <x:c r="H3179" s="21" t="n">
        <x:v>5204</x:v>
      </x:c>
      <x:c r="I3179" s="17" t="str">
        <x:v>Followup</x:v>
      </x:c>
    </x:row>
    <x:row r="3180" ht="23" customHeight="1">
      <x:c r="A3180" s="17" t="str">
        <x:v>U03174</x:v>
      </x:c>
      <x:c r="B3180" s="18" t="n">
        <x:v>46276</x:v>
      </x:c>
      <x:c r="C3180" s="17" t="str">
        <x:v>W0206</x:v>
      </x:c>
      <x:c r="D3180" s="17" t="str">
        <x:v>C004</x:v>
      </x:c>
      <x:c r="E3180" s="17" t="str">
        <x:v>DataFlow</x:v>
      </x:c>
      <x:c r="F3180" s="17" t="str">
        <x:v>Pro</x:v>
      </x:c>
      <x:c r="G3180" s="21" t="n">
        <x:v>15177</x:v>
      </x:c>
      <x:c r="H3180" s="21" t="n">
        <x:v>5478</x:v>
      </x:c>
      <x:c r="I3180" s="17" t="str">
        <x:v>Followup</x:v>
      </x:c>
    </x:row>
    <x:row r="3181" ht="23" customHeight="1">
      <x:c r="A3181" s="17" t="str">
        <x:v>U03175</x:v>
      </x:c>
      <x:c r="B3181" s="18" t="n">
        <x:v>46276</x:v>
      </x:c>
      <x:c r="C3181" s="17" t="str">
        <x:v>W0206</x:v>
      </x:c>
      <x:c r="D3181" s="17" t="str">
        <x:v>C004</x:v>
      </x:c>
      <x:c r="E3181" s="17" t="str">
        <x:v>DataFlow</x:v>
      </x:c>
      <x:c r="F3181" s="17" t="str">
        <x:v>Pro</x:v>
      </x:c>
      <x:c r="G3181" s="21" t="n">
        <x:v>33763</x:v>
      </x:c>
      <x:c r="H3181" s="21" t="n">
        <x:v>5757</x:v>
      </x:c>
      <x:c r="I3181" s="17" t="str">
        <x:v>Followup</x:v>
      </x:c>
    </x:row>
    <x:row r="3182" ht="23" customHeight="1">
      <x:c r="A3182" s="17" t="str">
        <x:v>U03176</x:v>
      </x:c>
      <x:c r="B3182" s="18" t="n">
        <x:v>46279</x:v>
      </x:c>
      <x:c r="C3182" s="17" t="str">
        <x:v>W0206</x:v>
      </x:c>
      <x:c r="D3182" s="17" t="str">
        <x:v>C004</x:v>
      </x:c>
      <x:c r="E3182" s="17" t="str">
        <x:v>DataFlow</x:v>
      </x:c>
      <x:c r="F3182" s="17" t="str">
        <x:v>Pro</x:v>
      </x:c>
      <x:c r="G3182" s="21" t="n">
        <x:v>15726</x:v>
      </x:c>
      <x:c r="H3182" s="21" t="n">
        <x:v>3225</x:v>
      </x:c>
      <x:c r="I3182" s="17" t="str">
        <x:v>Followup</x:v>
      </x:c>
    </x:row>
    <x:row r="3183" ht="23" customHeight="1">
      <x:c r="A3183" s="17" t="str">
        <x:v>U03177</x:v>
      </x:c>
      <x:c r="B3183" s="18" t="n">
        <x:v>46279</x:v>
      </x:c>
      <x:c r="C3183" s="17" t="str">
        <x:v>W0206</x:v>
      </x:c>
      <x:c r="D3183" s="17" t="str">
        <x:v>C004</x:v>
      </x:c>
      <x:c r="E3183" s="17" t="str">
        <x:v>DataFlow</x:v>
      </x:c>
      <x:c r="F3183" s="17" t="str">
        <x:v>Pro</x:v>
      </x:c>
      <x:c r="G3183" s="21" t="n">
        <x:v>27461</x:v>
      </x:c>
      <x:c r="H3183" s="21" t="n">
        <x:v>7455</x:v>
      </x:c>
      <x:c r="I3183" s="17" t="str">
        <x:v>Correction</x:v>
      </x:c>
    </x:row>
    <x:row r="3184" ht="23" customHeight="1">
      <x:c r="A3184" s="17" t="str">
        <x:v>U03178</x:v>
      </x:c>
      <x:c r="B3184" s="18" t="n">
        <x:v>46279</x:v>
      </x:c>
      <x:c r="C3184" s="17" t="str">
        <x:v>W0206</x:v>
      </x:c>
      <x:c r="D3184" s="17" t="str">
        <x:v>C004</x:v>
      </x:c>
      <x:c r="E3184" s="17" t="str">
        <x:v>DataFlow</x:v>
      </x:c>
      <x:c r="F3184" s="17" t="str">
        <x:v>Pro</x:v>
      </x:c>
      <x:c r="G3184" s="21" t="n">
        <x:v>34332</x:v>
      </x:c>
      <x:c r="H3184" s="21" t="n">
        <x:v>6646</x:v>
      </x:c>
      <x:c r="I3184" s="17" t="str">
        <x:v>Followup</x:v>
      </x:c>
    </x:row>
    <x:row r="3185" ht="23" customHeight="1">
      <x:c r="A3185" s="17" t="str">
        <x:v>U03179</x:v>
      </x:c>
      <x:c r="B3185" s="18" t="n">
        <x:v>46280</x:v>
      </x:c>
      <x:c r="C3185" s="17" t="str">
        <x:v>W0206</x:v>
      </x:c>
      <x:c r="D3185" s="17" t="str">
        <x:v>C004</x:v>
      </x:c>
      <x:c r="E3185" s="17" t="str">
        <x:v>DataFlow</x:v>
      </x:c>
      <x:c r="F3185" s="17" t="str">
        <x:v>Pro</x:v>
      </x:c>
      <x:c r="G3185" s="21" t="n">
        <x:v>19851</x:v>
      </x:c>
      <x:c r="H3185" s="21" t="n">
        <x:v>7163</x:v>
      </x:c>
      <x:c r="I3185" s="17" t="str">
        <x:v>Followup</x:v>
      </x:c>
    </x:row>
    <x:row r="3186" ht="23" customHeight="1">
      <x:c r="A3186" s="17" t="str">
        <x:v>U03180</x:v>
      </x:c>
      <x:c r="B3186" s="18" t="n">
        <x:v>46280</x:v>
      </x:c>
      <x:c r="C3186" s="17" t="str">
        <x:v>W0206</x:v>
      </x:c>
      <x:c r="D3186" s="17" t="str">
        <x:v>C004</x:v>
      </x:c>
      <x:c r="E3186" s="17" t="str">
        <x:v>DataFlow</x:v>
      </x:c>
      <x:c r="F3186" s="17" t="str">
        <x:v>Pro</x:v>
      </x:c>
      <x:c r="G3186" s="21" t="n">
        <x:v>20284</x:v>
      </x:c>
      <x:c r="H3186" s="21" t="n">
        <x:v>2649</x:v>
      </x:c>
      <x:c r="I3186" s="17" t="str">
        <x:v>Correction</x:v>
      </x:c>
    </x:row>
    <x:row r="3187" ht="23" customHeight="1">
      <x:c r="A3187" s="17" t="str">
        <x:v>U03181</x:v>
      </x:c>
      <x:c r="B3187" s="18" t="n">
        <x:v>46280</x:v>
      </x:c>
      <x:c r="C3187" s="17" t="str">
        <x:v>W0206</x:v>
      </x:c>
      <x:c r="D3187" s="17" t="str">
        <x:v>C004</x:v>
      </x:c>
      <x:c r="E3187" s="17" t="str">
        <x:v>DataFlow</x:v>
      </x:c>
      <x:c r="F3187" s="17" t="str">
        <x:v>Pro</x:v>
      </x:c>
      <x:c r="G3187" s="21" t="n">
        <x:v>34000</x:v>
      </x:c>
      <x:c r="H3187" s="21" t="n">
        <x:v>5200</x:v>
      </x:c>
      <x:c r="I3187" s="17" t="str">
        <x:v>Followup</x:v>
      </x:c>
    </x:row>
    <x:row r="3188" ht="23" customHeight="1">
      <x:c r="A3188" s="17" t="str">
        <x:v>U03182</x:v>
      </x:c>
      <x:c r="B3188" s="18" t="n">
        <x:v>46280</x:v>
      </x:c>
      <x:c r="C3188" s="17" t="str">
        <x:v>W0206</x:v>
      </x:c>
      <x:c r="D3188" s="17" t="str">
        <x:v>C004</x:v>
      </x:c>
      <x:c r="E3188" s="17" t="str">
        <x:v>DataFlow</x:v>
      </x:c>
      <x:c r="F3188" s="17" t="str">
        <x:v>Pro</x:v>
      </x:c>
      <x:c r="G3188" s="21" t="n">
        <x:v>27014</x:v>
      </x:c>
      <x:c r="H3188" s="21" t="n">
        <x:v>7286</x:v>
      </x:c>
      <x:c r="I3188" s="17" t="str">
        <x:v>Correction</x:v>
      </x:c>
    </x:row>
    <x:row r="3189" ht="23" customHeight="1">
      <x:c r="A3189" s="17" t="str">
        <x:v>U03183</x:v>
      </x:c>
      <x:c r="B3189" s="18" t="n">
        <x:v>46281</x:v>
      </x:c>
      <x:c r="C3189" s="17" t="str">
        <x:v>W0206</x:v>
      </x:c>
      <x:c r="D3189" s="17" t="str">
        <x:v>C004</x:v>
      </x:c>
      <x:c r="E3189" s="17" t="str">
        <x:v>DataFlow</x:v>
      </x:c>
      <x:c r="F3189" s="17" t="str">
        <x:v>Pro</x:v>
      </x:c>
      <x:c r="G3189" s="21" t="n">
        <x:v>36524</x:v>
      </x:c>
      <x:c r="H3189" s="21" t="n">
        <x:v>4645</x:v>
      </x:c>
      <x:c r="I3189" s="17" t="str">
        <x:v>Followup</x:v>
      </x:c>
    </x:row>
    <x:row r="3190" ht="23" customHeight="1">
      <x:c r="A3190" s="17" t="str">
        <x:v>U03184</x:v>
      </x:c>
      <x:c r="B3190" s="18" t="n">
        <x:v>46281</x:v>
      </x:c>
      <x:c r="C3190" s="17" t="str">
        <x:v>W0206</x:v>
      </x:c>
      <x:c r="D3190" s="17" t="str">
        <x:v>C004</x:v>
      </x:c>
      <x:c r="E3190" s="17" t="str">
        <x:v>DataFlow</x:v>
      </x:c>
      <x:c r="F3190" s="17" t="str">
        <x:v>Pro</x:v>
      </x:c>
      <x:c r="G3190" s="21" t="n">
        <x:v>37315</x:v>
      </x:c>
      <x:c r="H3190" s="21" t="n">
        <x:v>5571</x:v>
      </x:c>
      <x:c r="I3190" s="17" t="str">
        <x:v>Followup</x:v>
      </x:c>
    </x:row>
    <x:row r="3191" ht="23" customHeight="1">
      <x:c r="A3191" s="17" t="str">
        <x:v>U03185</x:v>
      </x:c>
      <x:c r="B3191" s="18" t="n">
        <x:v>46281</x:v>
      </x:c>
      <x:c r="C3191" s="17" t="str">
        <x:v>W0206</x:v>
      </x:c>
      <x:c r="D3191" s="17" t="str">
        <x:v>C004</x:v>
      </x:c>
      <x:c r="E3191" s="17" t="str">
        <x:v>DataFlow</x:v>
      </x:c>
      <x:c r="F3191" s="17" t="str">
        <x:v>Pro</x:v>
      </x:c>
      <x:c r="G3191" s="21" t="n">
        <x:v>28257</x:v>
      </x:c>
      <x:c r="H3191" s="21" t="n">
        <x:v>6338</x:v>
      </x:c>
      <x:c r="I3191" s="17" t="str">
        <x:v>Followup</x:v>
      </x:c>
    </x:row>
    <x:row r="3192" ht="23" customHeight="1">
      <x:c r="A3192" s="17" t="str">
        <x:v>U03186</x:v>
      </x:c>
      <x:c r="B3192" s="18" t="n">
        <x:v>46287</x:v>
      </x:c>
      <x:c r="C3192" s="17" t="str">
        <x:v>W0207</x:v>
      </x:c>
      <x:c r="D3192" s="17" t="str">
        <x:v>C004</x:v>
      </x:c>
      <x:c r="E3192" s="17" t="str">
        <x:v>DataFlow</x:v>
      </x:c>
      <x:c r="F3192" s="17" t="str">
        <x:v>Pro</x:v>
      </x:c>
      <x:c r="G3192" s="21" t="n">
        <x:v>25117</x:v>
      </x:c>
      <x:c r="H3192" s="21" t="n">
        <x:v>6523</x:v>
      </x:c>
      <x:c r="I3192" s="17" t="str">
        <x:v>First attempt</x:v>
      </x:c>
    </x:row>
    <x:row r="3193" ht="23" customHeight="1">
      <x:c r="A3193" s="17" t="str">
        <x:v>U03187</x:v>
      </x:c>
      <x:c r="B3193" s="18" t="n">
        <x:v>46287</x:v>
      </x:c>
      <x:c r="C3193" s="17" t="str">
        <x:v>W0207</x:v>
      </x:c>
      <x:c r="D3193" s="17" t="str">
        <x:v>C004</x:v>
      </x:c>
      <x:c r="E3193" s="17" t="str">
        <x:v>DataFlow</x:v>
      </x:c>
      <x:c r="F3193" s="17" t="str">
        <x:v>Pro</x:v>
      </x:c>
      <x:c r="G3193" s="21" t="n">
        <x:v>10922</x:v>
      </x:c>
      <x:c r="H3193" s="21" t="n">
        <x:v>7718</x:v>
      </x:c>
      <x:c r="I3193" s="17" t="str">
        <x:v>Followup</x:v>
      </x:c>
    </x:row>
    <x:row r="3194" ht="23" customHeight="1">
      <x:c r="A3194" s="17" t="str">
        <x:v>U03188</x:v>
      </x:c>
      <x:c r="B3194" s="18" t="n">
        <x:v>46287</x:v>
      </x:c>
      <x:c r="C3194" s="17" t="str">
        <x:v>W0207</x:v>
      </x:c>
      <x:c r="D3194" s="17" t="str">
        <x:v>C004</x:v>
      </x:c>
      <x:c r="E3194" s="17" t="str">
        <x:v>DataFlow</x:v>
      </x:c>
      <x:c r="F3194" s="17" t="str">
        <x:v>Pro</x:v>
      </x:c>
      <x:c r="G3194" s="21" t="n">
        <x:v>20509</x:v>
      </x:c>
      <x:c r="H3194" s="21" t="n">
        <x:v>7392</x:v>
      </x:c>
      <x:c r="I3194" s="17" t="str">
        <x:v>Followup</x:v>
      </x:c>
    </x:row>
    <x:row r="3195" ht="23" customHeight="1">
      <x:c r="A3195" s="17" t="str">
        <x:v>U03189</x:v>
      </x:c>
      <x:c r="B3195" s="18" t="n">
        <x:v>46287</x:v>
      </x:c>
      <x:c r="C3195" s="17" t="str">
        <x:v>W0207</x:v>
      </x:c>
      <x:c r="D3195" s="17" t="str">
        <x:v>C004</x:v>
      </x:c>
      <x:c r="E3195" s="17" t="str">
        <x:v>DataFlow</x:v>
      </x:c>
      <x:c r="F3195" s="17" t="str">
        <x:v>Pro</x:v>
      </x:c>
      <x:c r="G3195" s="21" t="n">
        <x:v>15759</x:v>
      </x:c>
      <x:c r="H3195" s="21" t="n">
        <x:v>3242</x:v>
      </x:c>
      <x:c r="I3195" s="17" t="str">
        <x:v>Followup</x:v>
      </x:c>
    </x:row>
    <x:row r="3196" ht="23" customHeight="1">
      <x:c r="A3196" s="17" t="str">
        <x:v>U03190</x:v>
      </x:c>
      <x:c r="B3196" s="18" t="n">
        <x:v>46288</x:v>
      </x:c>
      <x:c r="C3196" s="17" t="str">
        <x:v>W0207</x:v>
      </x:c>
      <x:c r="D3196" s="17" t="str">
        <x:v>C004</x:v>
      </x:c>
      <x:c r="E3196" s="17" t="str">
        <x:v>DataFlow</x:v>
      </x:c>
      <x:c r="F3196" s="17" t="str">
        <x:v>Pro</x:v>
      </x:c>
      <x:c r="G3196" s="21" t="n">
        <x:v>13493</x:v>
      </x:c>
      <x:c r="H3196" s="21" t="n">
        <x:v>5476</x:v>
      </x:c>
      <x:c r="I3196" s="17" t="str">
        <x:v>Followup</x:v>
      </x:c>
    </x:row>
    <x:row r="3197" ht="23" customHeight="1">
      <x:c r="A3197" s="17" t="str">
        <x:v>U03191</x:v>
      </x:c>
      <x:c r="B3197" s="18" t="n">
        <x:v>46288</x:v>
      </x:c>
      <x:c r="C3197" s="17" t="str">
        <x:v>W0207</x:v>
      </x:c>
      <x:c r="D3197" s="17" t="str">
        <x:v>C004</x:v>
      </x:c>
      <x:c r="E3197" s="17" t="str">
        <x:v>DataFlow</x:v>
      </x:c>
      <x:c r="F3197" s="17" t="str">
        <x:v>Pro</x:v>
      </x:c>
      <x:c r="G3197" s="21" t="n">
        <x:v>12990</x:v>
      </x:c>
      <x:c r="H3197" s="21" t="n">
        <x:v>4216</x:v>
      </x:c>
      <x:c r="I3197" s="17" t="str">
        <x:v>Followup</x:v>
      </x:c>
    </x:row>
    <x:row r="3198" ht="23" customHeight="1">
      <x:c r="A3198" s="17" t="str">
        <x:v>U03192</x:v>
      </x:c>
      <x:c r="B3198" s="18" t="n">
        <x:v>46288</x:v>
      </x:c>
      <x:c r="C3198" s="17" t="str">
        <x:v>W0207</x:v>
      </x:c>
      <x:c r="D3198" s="17" t="str">
        <x:v>C004</x:v>
      </x:c>
      <x:c r="E3198" s="17" t="str">
        <x:v>DataFlow</x:v>
      </x:c>
      <x:c r="F3198" s="17" t="str">
        <x:v>Pro</x:v>
      </x:c>
      <x:c r="G3198" s="21" t="n">
        <x:v>20189</x:v>
      </x:c>
      <x:c r="H3198" s="21" t="n">
        <x:v>7037</x:v>
      </x:c>
      <x:c r="I3198" s="17" t="str">
        <x:v>Followup</x:v>
      </x:c>
    </x:row>
    <x:row r="3199" ht="23" customHeight="1">
      <x:c r="A3199" s="17" t="str">
        <x:v>U03193</x:v>
      </x:c>
      <x:c r="B3199" s="18" t="n">
        <x:v>46289</x:v>
      </x:c>
      <x:c r="C3199" s="17" t="str">
        <x:v>W0207</x:v>
      </x:c>
      <x:c r="D3199" s="17" t="str">
        <x:v>C004</x:v>
      </x:c>
      <x:c r="E3199" s="17" t="str">
        <x:v>DataFlow</x:v>
      </x:c>
      <x:c r="F3199" s="17" t="str">
        <x:v>Pro</x:v>
      </x:c>
      <x:c r="G3199" s="21" t="n">
        <x:v>21381</x:v>
      </x:c>
      <x:c r="H3199" s="21" t="n">
        <x:v>6619</x:v>
      </x:c>
      <x:c r="I3199" s="17" t="str">
        <x:v>Followup</x:v>
      </x:c>
    </x:row>
    <x:row r="3200" ht="23" customHeight="1">
      <x:c r="A3200" s="17" t="str">
        <x:v>U03194</x:v>
      </x:c>
      <x:c r="B3200" s="18" t="n">
        <x:v>46289</x:v>
      </x:c>
      <x:c r="C3200" s="17" t="str">
        <x:v>W0207</x:v>
      </x:c>
      <x:c r="D3200" s="17" t="str">
        <x:v>C004</x:v>
      </x:c>
      <x:c r="E3200" s="17" t="str">
        <x:v>DataFlow</x:v>
      </x:c>
      <x:c r="F3200" s="17" t="str">
        <x:v>Pro</x:v>
      </x:c>
      <x:c r="G3200" s="21" t="n">
        <x:v>26004</x:v>
      </x:c>
      <x:c r="H3200" s="21" t="n">
        <x:v>6205</x:v>
      </x:c>
      <x:c r="I3200" s="17" t="str">
        <x:v>Correction</x:v>
      </x:c>
    </x:row>
    <x:row r="3201" ht="23" customHeight="1">
      <x:c r="A3201" s="17" t="str">
        <x:v>U03195</x:v>
      </x:c>
      <x:c r="B3201" s="18" t="n">
        <x:v>46289</x:v>
      </x:c>
      <x:c r="C3201" s="17" t="str">
        <x:v>W0207</x:v>
      </x:c>
      <x:c r="D3201" s="17" t="str">
        <x:v>C004</x:v>
      </x:c>
      <x:c r="E3201" s="17" t="str">
        <x:v>DataFlow</x:v>
      </x:c>
      <x:c r="F3201" s="17" t="str">
        <x:v>Pro</x:v>
      </x:c>
      <x:c r="G3201" s="21" t="n">
        <x:v>19087</x:v>
      </x:c>
      <x:c r="H3201" s="21" t="n">
        <x:v>6032</x:v>
      </x:c>
      <x:c r="I3201" s="17" t="str">
        <x:v>Correction</x:v>
      </x:c>
    </x:row>
    <x:row r="3202" ht="23" customHeight="1">
      <x:c r="A3202" s="17" t="str">
        <x:v>U03196</x:v>
      </x:c>
      <x:c r="B3202" s="18" t="n">
        <x:v>46290</x:v>
      </x:c>
      <x:c r="C3202" s="17" t="str">
        <x:v>W0207</x:v>
      </x:c>
      <x:c r="D3202" s="17" t="str">
        <x:v>C004</x:v>
      </x:c>
      <x:c r="E3202" s="17" t="str">
        <x:v>DataFlow</x:v>
      </x:c>
      <x:c r="F3202" s="17" t="str">
        <x:v>Pro</x:v>
      </x:c>
      <x:c r="G3202" s="21" t="n">
        <x:v>12722</x:v>
      </x:c>
      <x:c r="H3202" s="21" t="n">
        <x:v>5356</x:v>
      </x:c>
      <x:c r="I3202" s="17" t="str">
        <x:v>Followup</x:v>
      </x:c>
    </x:row>
    <x:row r="3203" ht="23" customHeight="1">
      <x:c r="A3203" s="17" t="str">
        <x:v>U03197</x:v>
      </x:c>
      <x:c r="B3203" s="18" t="n">
        <x:v>46290</x:v>
      </x:c>
      <x:c r="C3203" s="17" t="str">
        <x:v>W0207</x:v>
      </x:c>
      <x:c r="D3203" s="17" t="str">
        <x:v>C004</x:v>
      </x:c>
      <x:c r="E3203" s="17" t="str">
        <x:v>DataFlow</x:v>
      </x:c>
      <x:c r="F3203" s="17" t="str">
        <x:v>Pro</x:v>
      </x:c>
      <x:c r="G3203" s="21" t="n">
        <x:v>22007</x:v>
      </x:c>
      <x:c r="H3203" s="21" t="n">
        <x:v>7616</x:v>
      </x:c>
      <x:c r="I3203" s="17" t="str">
        <x:v>Followup</x:v>
      </x:c>
    </x:row>
    <x:row r="3204" ht="23" customHeight="1">
      <x:c r="A3204" s="17" t="str">
        <x:v>U03198</x:v>
      </x:c>
      <x:c r="B3204" s="18" t="n">
        <x:v>46290</x:v>
      </x:c>
      <x:c r="C3204" s="17" t="str">
        <x:v>W0207</x:v>
      </x:c>
      <x:c r="D3204" s="17" t="str">
        <x:v>C004</x:v>
      </x:c>
      <x:c r="E3204" s="17" t="str">
        <x:v>DataFlow</x:v>
      </x:c>
      <x:c r="F3204" s="17" t="str">
        <x:v>Pro</x:v>
      </x:c>
      <x:c r="G3204" s="21" t="n">
        <x:v>26511</x:v>
      </x:c>
      <x:c r="H3204" s="21" t="n">
        <x:v>5634</x:v>
      </x:c>
      <x:c r="I3204" s="17" t="str">
        <x:v>Followup</x:v>
      </x:c>
    </x:row>
    <x:row r="3205" ht="23" customHeight="1">
      <x:c r="A3205" s="17" t="str">
        <x:v>U03199</x:v>
      </x:c>
      <x:c r="B3205" s="18" t="n">
        <x:v>46269</x:v>
      </x:c>
      <x:c r="C3205" s="17" t="str">
        <x:v>W0208</x:v>
      </x:c>
      <x:c r="D3205" s="17" t="str">
        <x:v>C004</x:v>
      </x:c>
      <x:c r="E3205" s="17" t="str">
        <x:v>InsightDesk</x:v>
      </x:c>
      <x:c r="F3205" s="17" t="str">
        <x:v>Pro</x:v>
      </x:c>
      <x:c r="G3205" s="21" t="n">
        <x:v>18726</x:v>
      </x:c>
      <x:c r="H3205" s="21" t="n">
        <x:v>12260</x:v>
      </x:c>
      <x:c r="I3205" s="17" t="str">
        <x:v>First attempt</x:v>
      </x:c>
    </x:row>
    <x:row r="3206" ht="23" customHeight="1">
      <x:c r="A3206" s="17" t="str">
        <x:v>U03200</x:v>
      </x:c>
      <x:c r="B3206" s="18" t="n">
        <x:v>46269</x:v>
      </x:c>
      <x:c r="C3206" s="17" t="str">
        <x:v>W0208</x:v>
      </x:c>
      <x:c r="D3206" s="17" t="str">
        <x:v>C004</x:v>
      </x:c>
      <x:c r="E3206" s="17" t="str">
        <x:v>InsightDesk</x:v>
      </x:c>
      <x:c r="F3206" s="17" t="str">
        <x:v>Pro</x:v>
      </x:c>
      <x:c r="G3206" s="21" t="n">
        <x:v>33296</x:v>
      </x:c>
      <x:c r="H3206" s="21" t="n">
        <x:v>10970</x:v>
      </x:c>
      <x:c r="I3206" s="17" t="str">
        <x:v>Followup</x:v>
      </x:c>
    </x:row>
    <x:row r="3207" ht="23" customHeight="1">
      <x:c r="A3207" s="17" t="str">
        <x:v>U03201</x:v>
      </x:c>
      <x:c r="B3207" s="18" t="n">
        <x:v>46269</x:v>
      </x:c>
      <x:c r="C3207" s="17" t="str">
        <x:v>W0208</x:v>
      </x:c>
      <x:c r="D3207" s="17" t="str">
        <x:v>C004</x:v>
      </x:c>
      <x:c r="E3207" s="17" t="str">
        <x:v>InsightDesk</x:v>
      </x:c>
      <x:c r="F3207" s="17" t="str">
        <x:v>Pro</x:v>
      </x:c>
      <x:c r="G3207" s="21" t="n">
        <x:v>17073</x:v>
      </x:c>
      <x:c r="H3207" s="21" t="n">
        <x:v>5760</x:v>
      </x:c>
      <x:c r="I3207" s="17" t="str">
        <x:v>Followup</x:v>
      </x:c>
    </x:row>
    <x:row r="3208" ht="23" customHeight="1">
      <x:c r="A3208" s="17" t="str">
        <x:v>U03202</x:v>
      </x:c>
      <x:c r="B3208" s="18" t="n">
        <x:v>46273</x:v>
      </x:c>
      <x:c r="C3208" s="17" t="str">
        <x:v>W0208</x:v>
      </x:c>
      <x:c r="D3208" s="17" t="str">
        <x:v>C004</x:v>
      </x:c>
      <x:c r="E3208" s="17" t="str">
        <x:v>InsightDesk</x:v>
      </x:c>
      <x:c r="F3208" s="17" t="str">
        <x:v>Pro</x:v>
      </x:c>
      <x:c r="G3208" s="21" t="n">
        <x:v>27430</x:v>
      </x:c>
      <x:c r="H3208" s="21" t="n">
        <x:v>6194</x:v>
      </x:c>
      <x:c r="I3208" s="17" t="str">
        <x:v>Followup</x:v>
      </x:c>
    </x:row>
    <x:row r="3209" ht="23" customHeight="1">
      <x:c r="A3209" s="17" t="str">
        <x:v>U03203</x:v>
      </x:c>
      <x:c r="B3209" s="18" t="n">
        <x:v>46273</x:v>
      </x:c>
      <x:c r="C3209" s="17" t="str">
        <x:v>W0208</x:v>
      </x:c>
      <x:c r="D3209" s="17" t="str">
        <x:v>C004</x:v>
      </x:c>
      <x:c r="E3209" s="17" t="str">
        <x:v>InsightDesk</x:v>
      </x:c>
      <x:c r="F3209" s="17" t="str">
        <x:v>Pro</x:v>
      </x:c>
      <x:c r="G3209" s="21" t="n">
        <x:v>31019</x:v>
      </x:c>
      <x:c r="H3209" s="21" t="n">
        <x:v>10740</x:v>
      </x:c>
      <x:c r="I3209" s="17" t="str">
        <x:v>Followup</x:v>
      </x:c>
    </x:row>
    <x:row r="3210" ht="23" customHeight="1">
      <x:c r="A3210" s="17" t="str">
        <x:v>U03204</x:v>
      </x:c>
      <x:c r="B3210" s="18" t="n">
        <x:v>46273</x:v>
      </x:c>
      <x:c r="C3210" s="17" t="str">
        <x:v>W0208</x:v>
      </x:c>
      <x:c r="D3210" s="17" t="str">
        <x:v>C004</x:v>
      </x:c>
      <x:c r="E3210" s="17" t="str">
        <x:v>InsightDesk</x:v>
      </x:c>
      <x:c r="F3210" s="17" t="str">
        <x:v>Pro</x:v>
      </x:c>
      <x:c r="G3210" s="21" t="n">
        <x:v>25406</x:v>
      </x:c>
      <x:c r="H3210" s="21" t="n">
        <x:v>8010</x:v>
      </x:c>
      <x:c r="I3210" s="17" t="str">
        <x:v>Followup</x:v>
      </x:c>
    </x:row>
    <x:row r="3211" ht="23" customHeight="1">
      <x:c r="A3211" s="17" t="str">
        <x:v>U03205</x:v>
      </x:c>
      <x:c r="B3211" s="18" t="n">
        <x:v>46274</x:v>
      </x:c>
      <x:c r="C3211" s="17" t="str">
        <x:v>W0208</x:v>
      </x:c>
      <x:c r="D3211" s="17" t="str">
        <x:v>C004</x:v>
      </x:c>
      <x:c r="E3211" s="17" t="str">
        <x:v>InsightDesk</x:v>
      </x:c>
      <x:c r="F3211" s="17" t="str">
        <x:v>Pro</x:v>
      </x:c>
      <x:c r="G3211" s="21" t="n">
        <x:v>24938</x:v>
      </x:c>
      <x:c r="H3211" s="21" t="n">
        <x:v>12199</x:v>
      </x:c>
      <x:c r="I3211" s="17" t="str">
        <x:v>Followup</x:v>
      </x:c>
    </x:row>
    <x:row r="3212" ht="23" customHeight="1">
      <x:c r="A3212" s="17" t="str">
        <x:v>U03206</x:v>
      </x:c>
      <x:c r="B3212" s="18" t="n">
        <x:v>46274</x:v>
      </x:c>
      <x:c r="C3212" s="17" t="str">
        <x:v>W0208</x:v>
      </x:c>
      <x:c r="D3212" s="17" t="str">
        <x:v>C004</x:v>
      </x:c>
      <x:c r="E3212" s="17" t="str">
        <x:v>InsightDesk</x:v>
      </x:c>
      <x:c r="F3212" s="17" t="str">
        <x:v>Pro</x:v>
      </x:c>
      <x:c r="G3212" s="21" t="n">
        <x:v>31262</x:v>
      </x:c>
      <x:c r="H3212" s="21" t="n">
        <x:v>8005</x:v>
      </x:c>
      <x:c r="I3212" s="17" t="str">
        <x:v>Followup</x:v>
      </x:c>
    </x:row>
    <x:row r="3213" ht="23" customHeight="1">
      <x:c r="A3213" s="17" t="str">
        <x:v>U03207</x:v>
      </x:c>
      <x:c r="B3213" s="18" t="n">
        <x:v>46274</x:v>
      </x:c>
      <x:c r="C3213" s="17" t="str">
        <x:v>W0208</x:v>
      </x:c>
      <x:c r="D3213" s="17" t="str">
        <x:v>C004</x:v>
      </x:c>
      <x:c r="E3213" s="17" t="str">
        <x:v>InsightDesk</x:v>
      </x:c>
      <x:c r="F3213" s="17" t="str">
        <x:v>Pro</x:v>
      </x:c>
      <x:c r="G3213" s="21" t="n">
        <x:v>21970</x:v>
      </x:c>
      <x:c r="H3213" s="21" t="n">
        <x:v>7670</x:v>
      </x:c>
      <x:c r="I3213" s="17" t="str">
        <x:v>Followup</x:v>
      </x:c>
    </x:row>
    <x:row r="3214" ht="23" customHeight="1">
      <x:c r="A3214" s="17" t="str">
        <x:v>U03208</x:v>
      </x:c>
      <x:c r="B3214" s="18" t="n">
        <x:v>46275</x:v>
      </x:c>
      <x:c r="C3214" s="17" t="str">
        <x:v>W0208</x:v>
      </x:c>
      <x:c r="D3214" s="17" t="str">
        <x:v>C004</x:v>
      </x:c>
      <x:c r="E3214" s="17" t="str">
        <x:v>InsightDesk</x:v>
      </x:c>
      <x:c r="F3214" s="17" t="str">
        <x:v>Pro</x:v>
      </x:c>
      <x:c r="G3214" s="21" t="n">
        <x:v>22957</x:v>
      </x:c>
      <x:c r="H3214" s="21" t="n">
        <x:v>13936</x:v>
      </x:c>
      <x:c r="I3214" s="17" t="str">
        <x:v>Correction</x:v>
      </x:c>
    </x:row>
    <x:row r="3215" ht="23" customHeight="1">
      <x:c r="A3215" s="17" t="str">
        <x:v>U03209</x:v>
      </x:c>
      <x:c r="B3215" s="18" t="n">
        <x:v>46275</x:v>
      </x:c>
      <x:c r="C3215" s="17" t="str">
        <x:v>W0208</x:v>
      </x:c>
      <x:c r="D3215" s="17" t="str">
        <x:v>C004</x:v>
      </x:c>
      <x:c r="E3215" s="17" t="str">
        <x:v>InsightDesk</x:v>
      </x:c>
      <x:c r="F3215" s="17" t="str">
        <x:v>Pro</x:v>
      </x:c>
      <x:c r="G3215" s="21" t="n">
        <x:v>18959</x:v>
      </x:c>
      <x:c r="H3215" s="21" t="n">
        <x:v>4089</x:v>
      </x:c>
      <x:c r="I3215" s="17" t="str">
        <x:v>Followup</x:v>
      </x:c>
    </x:row>
    <x:row r="3216" ht="23" customHeight="1">
      <x:c r="A3216" s="17" t="str">
        <x:v>U03210</x:v>
      </x:c>
      <x:c r="B3216" s="18" t="n">
        <x:v>46275</x:v>
      </x:c>
      <x:c r="C3216" s="17" t="str">
        <x:v>W0211</x:v>
      </x:c>
      <x:c r="D3216" s="17" t="str">
        <x:v>C004</x:v>
      </x:c>
      <x:c r="E3216" s="17" t="str">
        <x:v>CopyStudio</x:v>
      </x:c>
      <x:c r="F3216" s="17" t="str">
        <x:v>Pro</x:v>
      </x:c>
      <x:c r="G3216" s="21" t="n">
        <x:v>25972</x:v>
      </x:c>
      <x:c r="H3216" s="21" t="n">
        <x:v>7959</x:v>
      </x:c>
      <x:c r="I3216" s="17" t="str">
        <x:v>First attempt</x:v>
      </x:c>
    </x:row>
    <x:row r="3217" ht="23" customHeight="1">
      <x:c r="A3217" s="17" t="str">
        <x:v>U03211</x:v>
      </x:c>
      <x:c r="B3217" s="18" t="n">
        <x:v>46275</x:v>
      </x:c>
      <x:c r="C3217" s="17" t="str">
        <x:v>W0211</x:v>
      </x:c>
      <x:c r="D3217" s="17" t="str">
        <x:v>C004</x:v>
      </x:c>
      <x:c r="E3217" s="17" t="str">
        <x:v>CopyStudio</x:v>
      </x:c>
      <x:c r="F3217" s="17" t="str">
        <x:v>Pro</x:v>
      </x:c>
      <x:c r="G3217" s="21" t="n">
        <x:v>24532</x:v>
      </x:c>
      <x:c r="H3217" s="21" t="n">
        <x:v>8267</x:v>
      </x:c>
      <x:c r="I3217" s="17" t="str">
        <x:v>Followup</x:v>
      </x:c>
    </x:row>
    <x:row r="3218" ht="23" customHeight="1">
      <x:c r="A3218" s="17" t="str">
        <x:v>U03212</x:v>
      </x:c>
      <x:c r="B3218" s="18" t="n">
        <x:v>46275</x:v>
      </x:c>
      <x:c r="C3218" s="17" t="str">
        <x:v>W0211</x:v>
      </x:c>
      <x:c r="D3218" s="17" t="str">
        <x:v>C004</x:v>
      </x:c>
      <x:c r="E3218" s="17" t="str">
        <x:v>CopyStudio</x:v>
      </x:c>
      <x:c r="F3218" s="17" t="str">
        <x:v>Pro</x:v>
      </x:c>
      <x:c r="G3218" s="21" t="n">
        <x:v>30542</x:v>
      </x:c>
      <x:c r="H3218" s="21" t="n">
        <x:v>6309</x:v>
      </x:c>
      <x:c r="I3218" s="17" t="str">
        <x:v>Followup</x:v>
      </x:c>
    </x:row>
    <x:row r="3219" ht="23" customHeight="1">
      <x:c r="A3219" s="17" t="str">
        <x:v>U03213</x:v>
      </x:c>
      <x:c r="B3219" s="18" t="n">
        <x:v>46276</x:v>
      </x:c>
      <x:c r="C3219" s="17" t="str">
        <x:v>W0211</x:v>
      </x:c>
      <x:c r="D3219" s="17" t="str">
        <x:v>C004</x:v>
      </x:c>
      <x:c r="E3219" s="17" t="str">
        <x:v>CopyStudio</x:v>
      </x:c>
      <x:c r="F3219" s="17" t="str">
        <x:v>Pro</x:v>
      </x:c>
      <x:c r="G3219" s="21" t="n">
        <x:v>26889</x:v>
      </x:c>
      <x:c r="H3219" s="21" t="n">
        <x:v>9179</x:v>
      </x:c>
      <x:c r="I3219" s="17" t="str">
        <x:v>Followup</x:v>
      </x:c>
    </x:row>
    <x:row r="3220" ht="23" customHeight="1">
      <x:c r="A3220" s="17" t="str">
        <x:v>U03214</x:v>
      </x:c>
      <x:c r="B3220" s="18" t="n">
        <x:v>46276</x:v>
      </x:c>
      <x:c r="C3220" s="17" t="str">
        <x:v>W0211</x:v>
      </x:c>
      <x:c r="D3220" s="17" t="str">
        <x:v>C004</x:v>
      </x:c>
      <x:c r="E3220" s="17" t="str">
        <x:v>CopyStudio</x:v>
      </x:c>
      <x:c r="F3220" s="17" t="str">
        <x:v>Pro</x:v>
      </x:c>
      <x:c r="G3220" s="21" t="n">
        <x:v>29468</x:v>
      </x:c>
      <x:c r="H3220" s="21" t="n">
        <x:v>3780</x:v>
      </x:c>
      <x:c r="I3220" s="17" t="str">
        <x:v>Followup</x:v>
      </x:c>
    </x:row>
    <x:row r="3221" ht="23" customHeight="1">
      <x:c r="A3221" s="17" t="str">
        <x:v>U03215</x:v>
      </x:c>
      <x:c r="B3221" s="18" t="n">
        <x:v>46279</x:v>
      </x:c>
      <x:c r="C3221" s="17" t="str">
        <x:v>W0211</x:v>
      </x:c>
      <x:c r="D3221" s="17" t="str">
        <x:v>C004</x:v>
      </x:c>
      <x:c r="E3221" s="17" t="str">
        <x:v>CopyStudio</x:v>
      </x:c>
      <x:c r="F3221" s="17" t="str">
        <x:v>Pro</x:v>
      </x:c>
      <x:c r="G3221" s="21" t="n">
        <x:v>19865</x:v>
      </x:c>
      <x:c r="H3221" s="21" t="n">
        <x:v>2620</x:v>
      </x:c>
      <x:c r="I3221" s="17" t="str">
        <x:v>Correction</x:v>
      </x:c>
    </x:row>
    <x:row r="3222" ht="23" customHeight="1">
      <x:c r="A3222" s="17" t="str">
        <x:v>U03216</x:v>
      </x:c>
      <x:c r="B3222" s="18" t="n">
        <x:v>46279</x:v>
      </x:c>
      <x:c r="C3222" s="17" t="str">
        <x:v>W0211</x:v>
      </x:c>
      <x:c r="D3222" s="17" t="str">
        <x:v>C004</x:v>
      </x:c>
      <x:c r="E3222" s="17" t="str">
        <x:v>CopyStudio</x:v>
      </x:c>
      <x:c r="F3222" s="17" t="str">
        <x:v>Pro</x:v>
      </x:c>
      <x:c r="G3222" s="21" t="n">
        <x:v>25739</x:v>
      </x:c>
      <x:c r="H3222" s="21" t="n">
        <x:v>4358</x:v>
      </x:c>
      <x:c r="I3222" s="17" t="str">
        <x:v>Correction</x:v>
      </x:c>
    </x:row>
    <x:row r="3223" ht="23" customHeight="1">
      <x:c r="A3223" s="17" t="str">
        <x:v>U03217</x:v>
      </x:c>
      <x:c r="B3223" s="18" t="n">
        <x:v>46279</x:v>
      </x:c>
      <x:c r="C3223" s="17" t="str">
        <x:v>W0211</x:v>
      </x:c>
      <x:c r="D3223" s="17" t="str">
        <x:v>C004</x:v>
      </x:c>
      <x:c r="E3223" s="17" t="str">
        <x:v>CopyStudio</x:v>
      </x:c>
      <x:c r="F3223" s="17" t="str">
        <x:v>Pro</x:v>
      </x:c>
      <x:c r="G3223" s="21" t="n">
        <x:v>26462</x:v>
      </x:c>
      <x:c r="H3223" s="21" t="n">
        <x:v>3532</x:v>
      </x:c>
      <x:c r="I3223" s="17" t="str">
        <x:v>Followup</x:v>
      </x:c>
    </x:row>
    <x:row r="3224" ht="23" customHeight="1">
      <x:c r="A3224" s="17" t="str">
        <x:v>U03218</x:v>
      </x:c>
      <x:c r="B3224" s="18" t="n">
        <x:v>46280</x:v>
      </x:c>
      <x:c r="C3224" s="17" t="str">
        <x:v>W0211</x:v>
      </x:c>
      <x:c r="D3224" s="17" t="str">
        <x:v>C004</x:v>
      </x:c>
      <x:c r="E3224" s="17" t="str">
        <x:v>CopyStudio</x:v>
      </x:c>
      <x:c r="F3224" s="17" t="str">
        <x:v>Pro</x:v>
      </x:c>
      <x:c r="G3224" s="21" t="n">
        <x:v>32605</x:v>
      </x:c>
      <x:c r="H3224" s="21" t="n">
        <x:v>9273</x:v>
      </x:c>
      <x:c r="I3224" s="17" t="str">
        <x:v>Correction</x:v>
      </x:c>
    </x:row>
    <x:row r="3225" ht="23" customHeight="1">
      <x:c r="A3225" s="17" t="str">
        <x:v>U03219</x:v>
      </x:c>
      <x:c r="B3225" s="18" t="n">
        <x:v>46280</x:v>
      </x:c>
      <x:c r="C3225" s="17" t="str">
        <x:v>W0211</x:v>
      </x:c>
      <x:c r="D3225" s="17" t="str">
        <x:v>C004</x:v>
      </x:c>
      <x:c r="E3225" s="17" t="str">
        <x:v>CopyStudio</x:v>
      </x:c>
      <x:c r="F3225" s="17" t="str">
        <x:v>Pro</x:v>
      </x:c>
      <x:c r="G3225" s="21" t="n">
        <x:v>32795</x:v>
      </x:c>
      <x:c r="H3225" s="21" t="n">
        <x:v>8729</x:v>
      </x:c>
      <x:c r="I3225" s="17" t="str">
        <x:v>Followup</x:v>
      </x:c>
    </x:row>
    <x:row r="3226" ht="23" customHeight="1">
      <x:c r="A3226" s="17" t="str">
        <x:v>U03220</x:v>
      </x:c>
      <x:c r="B3226" s="18" t="n">
        <x:v>46283</x:v>
      </x:c>
      <x:c r="C3226" s="17" t="str">
        <x:v>W0217</x:v>
      </x:c>
      <x:c r="D3226" s="17" t="str">
        <x:v>C004</x:v>
      </x:c>
      <x:c r="E3226" s="17" t="str">
        <x:v>InsightDesk</x:v>
      </x:c>
      <x:c r="F3226" s="17" t="str">
        <x:v>Pro</x:v>
      </x:c>
      <x:c r="G3226" s="21" t="n">
        <x:v>11338</x:v>
      </x:c>
      <x:c r="H3226" s="21" t="n">
        <x:v>6534</x:v>
      </x:c>
      <x:c r="I3226" s="17" t="str">
        <x:v>First attempt</x:v>
      </x:c>
    </x:row>
    <x:row r="3227" ht="23" customHeight="1">
      <x:c r="A3227" s="17" t="str">
        <x:v>U03221</x:v>
      </x:c>
      <x:c r="B3227" s="18" t="n">
        <x:v>46283</x:v>
      </x:c>
      <x:c r="C3227" s="17" t="str">
        <x:v>W0217</x:v>
      </x:c>
      <x:c r="D3227" s="17" t="str">
        <x:v>C004</x:v>
      </x:c>
      <x:c r="E3227" s="17" t="str">
        <x:v>InsightDesk</x:v>
      </x:c>
      <x:c r="F3227" s="17" t="str">
        <x:v>Pro</x:v>
      </x:c>
      <x:c r="G3227" s="21" t="n">
        <x:v>19454</x:v>
      </x:c>
      <x:c r="H3227" s="21" t="n">
        <x:v>4197</x:v>
      </x:c>
      <x:c r="I3227" s="17" t="str">
        <x:v>Followup</x:v>
      </x:c>
    </x:row>
    <x:row r="3228" ht="23" customHeight="1">
      <x:c r="A3228" s="17" t="str">
        <x:v>U03222</x:v>
      </x:c>
      <x:c r="B3228" s="18" t="n">
        <x:v>46283</x:v>
      </x:c>
      <x:c r="C3228" s="17" t="str">
        <x:v>W0217</x:v>
      </x:c>
      <x:c r="D3228" s="17" t="str">
        <x:v>C004</x:v>
      </x:c>
      <x:c r="E3228" s="17" t="str">
        <x:v>InsightDesk</x:v>
      </x:c>
      <x:c r="F3228" s="17" t="str">
        <x:v>Pro</x:v>
      </x:c>
      <x:c r="G3228" s="21" t="n">
        <x:v>13771</x:v>
      </x:c>
      <x:c r="H3228" s="21" t="n">
        <x:v>4428</x:v>
      </x:c>
      <x:c r="I3228" s="17" t="str">
        <x:v>Followup</x:v>
      </x:c>
    </x:row>
    <x:row r="3229" ht="23" customHeight="1">
      <x:c r="A3229" s="17" t="str">
        <x:v>U03223</x:v>
      </x:c>
      <x:c r="B3229" s="18" t="n">
        <x:v>46283</x:v>
      </x:c>
      <x:c r="C3229" s="17" t="str">
        <x:v>W0217</x:v>
      </x:c>
      <x:c r="D3229" s="17" t="str">
        <x:v>C004</x:v>
      </x:c>
      <x:c r="E3229" s="17" t="str">
        <x:v>InsightDesk</x:v>
      </x:c>
      <x:c r="F3229" s="17" t="str">
        <x:v>Pro</x:v>
      </x:c>
      <x:c r="G3229" s="21" t="n">
        <x:v>8952</x:v>
      </x:c>
      <x:c r="H3229" s="21" t="n">
        <x:v>9613</x:v>
      </x:c>
      <x:c r="I3229" s="17" t="str">
        <x:v>Correction</x:v>
      </x:c>
    </x:row>
    <x:row r="3230" ht="23" customHeight="1">
      <x:c r="A3230" s="17" t="str">
        <x:v>U03224</x:v>
      </x:c>
      <x:c r="B3230" s="18" t="n">
        <x:v>46283</x:v>
      </x:c>
      <x:c r="C3230" s="17" t="str">
        <x:v>W0217</x:v>
      </x:c>
      <x:c r="D3230" s="17" t="str">
        <x:v>C004</x:v>
      </x:c>
      <x:c r="E3230" s="17" t="str">
        <x:v>InsightDesk</x:v>
      </x:c>
      <x:c r="F3230" s="17" t="str">
        <x:v>Pro</x:v>
      </x:c>
      <x:c r="G3230" s="21" t="n">
        <x:v>16046</x:v>
      </x:c>
      <x:c r="H3230" s="21" t="n">
        <x:v>5765</x:v>
      </x:c>
      <x:c r="I3230" s="17" t="str">
        <x:v>Followup</x:v>
      </x:c>
    </x:row>
    <x:row r="3231" ht="23" customHeight="1">
      <x:c r="A3231" s="17" t="str">
        <x:v>U03225</x:v>
      </x:c>
      <x:c r="B3231" s="18" t="n">
        <x:v>46283</x:v>
      </x:c>
      <x:c r="C3231" s="17" t="str">
        <x:v>W0217</x:v>
      </x:c>
      <x:c r="D3231" s="17" t="str">
        <x:v>C004</x:v>
      </x:c>
      <x:c r="E3231" s="17" t="str">
        <x:v>InsightDesk</x:v>
      </x:c>
      <x:c r="F3231" s="17" t="str">
        <x:v>Pro</x:v>
      </x:c>
      <x:c r="G3231" s="21" t="n">
        <x:v>18088</x:v>
      </x:c>
      <x:c r="H3231" s="21" t="n">
        <x:v>11495</x:v>
      </x:c>
      <x:c r="I3231" s="17" t="str">
        <x:v>Followup</x:v>
      </x:c>
    </x:row>
    <x:row r="3232" ht="23" customHeight="1">
      <x:c r="A3232" s="17" t="str">
        <x:v>U03226</x:v>
      </x:c>
      <x:c r="B3232" s="18" t="n">
        <x:v>46286</x:v>
      </x:c>
      <x:c r="C3232" s="17" t="str">
        <x:v>W0217</x:v>
      </x:c>
      <x:c r="D3232" s="17" t="str">
        <x:v>C004</x:v>
      </x:c>
      <x:c r="E3232" s="17" t="str">
        <x:v>InsightDesk</x:v>
      </x:c>
      <x:c r="F3232" s="17" t="str">
        <x:v>Pro</x:v>
      </x:c>
      <x:c r="G3232" s="21" t="n">
        <x:v>12700</x:v>
      </x:c>
      <x:c r="H3232" s="21" t="n">
        <x:v>11260</x:v>
      </x:c>
      <x:c r="I3232" s="17" t="str">
        <x:v>Followup</x:v>
      </x:c>
    </x:row>
    <x:row r="3233" ht="23" customHeight="1">
      <x:c r="A3233" s="17" t="str">
        <x:v>U03227</x:v>
      </x:c>
      <x:c r="B3233" s="18" t="n">
        <x:v>46286</x:v>
      </x:c>
      <x:c r="C3233" s="17" t="str">
        <x:v>W0217</x:v>
      </x:c>
      <x:c r="D3233" s="17" t="str">
        <x:v>C004</x:v>
      </x:c>
      <x:c r="E3233" s="17" t="str">
        <x:v>InsightDesk</x:v>
      </x:c>
      <x:c r="F3233" s="17" t="str">
        <x:v>Pro</x:v>
      </x:c>
      <x:c r="G3233" s="21" t="n">
        <x:v>18669</x:v>
      </x:c>
      <x:c r="H3233" s="21" t="n">
        <x:v>4609</x:v>
      </x:c>
      <x:c r="I3233" s="17" t="str">
        <x:v>Followup</x:v>
      </x:c>
    </x:row>
    <x:row r="3234" ht="23" customHeight="1">
      <x:c r="A3234" s="17" t="str">
        <x:v>U03228</x:v>
      </x:c>
      <x:c r="B3234" s="18" t="n">
        <x:v>46286</x:v>
      </x:c>
      <x:c r="C3234" s="17" t="str">
        <x:v>W0217</x:v>
      </x:c>
      <x:c r="D3234" s="17" t="str">
        <x:v>C004</x:v>
      </x:c>
      <x:c r="E3234" s="17" t="str">
        <x:v>InsightDesk</x:v>
      </x:c>
      <x:c r="F3234" s="17" t="str">
        <x:v>Pro</x:v>
      </x:c>
      <x:c r="G3234" s="21" t="n">
        <x:v>16024</x:v>
      </x:c>
      <x:c r="H3234" s="21" t="n">
        <x:v>4440</x:v>
      </x:c>
      <x:c r="I3234" s="17" t="str">
        <x:v>Followup</x:v>
      </x:c>
    </x:row>
    <x:row r="3235" ht="23" customHeight="1">
      <x:c r="A3235" s="17" t="str">
        <x:v>U03229</x:v>
      </x:c>
      <x:c r="B3235" s="18" t="n">
        <x:v>46286</x:v>
      </x:c>
      <x:c r="C3235" s="17" t="str">
        <x:v>W0217</x:v>
      </x:c>
      <x:c r="D3235" s="17" t="str">
        <x:v>C004</x:v>
      </x:c>
      <x:c r="E3235" s="17" t="str">
        <x:v>InsightDesk</x:v>
      </x:c>
      <x:c r="F3235" s="17" t="str">
        <x:v>Pro</x:v>
      </x:c>
      <x:c r="G3235" s="21" t="n">
        <x:v>16398</x:v>
      </x:c>
      <x:c r="H3235" s="21" t="n">
        <x:v>10621</x:v>
      </x:c>
      <x:c r="I3235" s="17" t="str">
        <x:v>Followup</x:v>
      </x:c>
    </x:row>
    <x:row r="3236" ht="23" customHeight="1">
      <x:c r="A3236" s="17" t="str">
        <x:v>U03230</x:v>
      </x:c>
      <x:c r="B3236" s="18" t="n">
        <x:v>46286</x:v>
      </x:c>
      <x:c r="C3236" s="17" t="str">
        <x:v>W0217</x:v>
      </x:c>
      <x:c r="D3236" s="17" t="str">
        <x:v>C004</x:v>
      </x:c>
      <x:c r="E3236" s="17" t="str">
        <x:v>InsightDesk</x:v>
      </x:c>
      <x:c r="F3236" s="17" t="str">
        <x:v>Pro</x:v>
      </x:c>
      <x:c r="G3236" s="21" t="n">
        <x:v>10537</x:v>
      </x:c>
      <x:c r="H3236" s="21" t="n">
        <x:v>4702</x:v>
      </x:c>
      <x:c r="I3236" s="17" t="str">
        <x:v>Correction</x:v>
      </x:c>
    </x:row>
    <x:row r="3237" ht="23" customHeight="1">
      <x:c r="A3237" s="17" t="str">
        <x:v>U03231</x:v>
      </x:c>
      <x:c r="B3237" s="18" t="n">
        <x:v>46287</x:v>
      </x:c>
      <x:c r="C3237" s="17" t="str">
        <x:v>W0217</x:v>
      </x:c>
      <x:c r="D3237" s="17" t="str">
        <x:v>C004</x:v>
      </x:c>
      <x:c r="E3237" s="17" t="str">
        <x:v>InsightDesk</x:v>
      </x:c>
      <x:c r="F3237" s="17" t="str">
        <x:v>Pro</x:v>
      </x:c>
      <x:c r="G3237" s="21" t="n">
        <x:v>18652</x:v>
      </x:c>
      <x:c r="H3237" s="21" t="n">
        <x:v>3965</x:v>
      </x:c>
      <x:c r="I3237" s="17" t="str">
        <x:v>Correction</x:v>
      </x:c>
    </x:row>
    <x:row r="3238" ht="23" customHeight="1">
      <x:c r="A3238" s="17" t="str">
        <x:v>U03232</x:v>
      </x:c>
      <x:c r="B3238" s="18" t="n">
        <x:v>46287</x:v>
      </x:c>
      <x:c r="C3238" s="17" t="str">
        <x:v>W0217</x:v>
      </x:c>
      <x:c r="D3238" s="17" t="str">
        <x:v>C004</x:v>
      </x:c>
      <x:c r="E3238" s="17" t="str">
        <x:v>InsightDesk</x:v>
      </x:c>
      <x:c r="F3238" s="17" t="str">
        <x:v>Pro</x:v>
      </x:c>
      <x:c r="G3238" s="21" t="n">
        <x:v>14669</x:v>
      </x:c>
      <x:c r="H3238" s="21" t="n">
        <x:v>5385</x:v>
      </x:c>
      <x:c r="I3238" s="17" t="str">
        <x:v>Correction</x:v>
      </x:c>
    </x:row>
    <x:row r="3239" ht="23" customHeight="1">
      <x:c r="A3239" s="17" t="str">
        <x:v>U03233</x:v>
      </x:c>
      <x:c r="B3239" s="18" t="n">
        <x:v>46287</x:v>
      </x:c>
      <x:c r="C3239" s="17" t="str">
        <x:v>W0217</x:v>
      </x:c>
      <x:c r="D3239" s="17" t="str">
        <x:v>C004</x:v>
      </x:c>
      <x:c r="E3239" s="17" t="str">
        <x:v>InsightDesk</x:v>
      </x:c>
      <x:c r="F3239" s="17" t="str">
        <x:v>Pro</x:v>
      </x:c>
      <x:c r="G3239" s="21" t="n">
        <x:v>13054</x:v>
      </x:c>
      <x:c r="H3239" s="21" t="n">
        <x:v>9370</x:v>
      </x:c>
      <x:c r="I3239" s="17" t="str">
        <x:v>Followup</x:v>
      </x:c>
    </x:row>
    <x:row r="3240" ht="23" customHeight="1">
      <x:c r="A3240" s="17" t="str">
        <x:v>U03234</x:v>
      </x:c>
      <x:c r="B3240" s="18" t="n">
        <x:v>46287</x:v>
      </x:c>
      <x:c r="C3240" s="17" t="str">
        <x:v>W0217</x:v>
      </x:c>
      <x:c r="D3240" s="17" t="str">
        <x:v>C004</x:v>
      </x:c>
      <x:c r="E3240" s="17" t="str">
        <x:v>InsightDesk</x:v>
      </x:c>
      <x:c r="F3240" s="17" t="str">
        <x:v>Pro</x:v>
      </x:c>
      <x:c r="G3240" s="21" t="n">
        <x:v>13333</x:v>
      </x:c>
      <x:c r="H3240" s="21" t="n">
        <x:v>7714</x:v>
      </x:c>
      <x:c r="I3240" s="17" t="str">
        <x:v>Followup</x:v>
      </x:c>
    </x:row>
    <x:row r="3241" ht="23" customHeight="1">
      <x:c r="A3241" s="17" t="str">
        <x:v>U03235</x:v>
      </x:c>
      <x:c r="B3241" s="18" t="n">
        <x:v>46287</x:v>
      </x:c>
      <x:c r="C3241" s="17" t="str">
        <x:v>W0217</x:v>
      </x:c>
      <x:c r="D3241" s="17" t="str">
        <x:v>C004</x:v>
      </x:c>
      <x:c r="E3241" s="17" t="str">
        <x:v>InsightDesk</x:v>
      </x:c>
      <x:c r="F3241" s="17" t="str">
        <x:v>Pro</x:v>
      </x:c>
      <x:c r="G3241" s="21" t="n">
        <x:v>19494</x:v>
      </x:c>
      <x:c r="H3241" s="21" t="n">
        <x:v>7109</x:v>
      </x:c>
      <x:c r="I3241" s="17" t="str">
        <x:v>Followup</x:v>
      </x:c>
    </x:row>
    <x:row r="3242" ht="23" customHeight="1">
      <x:c r="A3242" s="17" t="str">
        <x:v>U03236</x:v>
      </x:c>
      <x:c r="B3242" s="18" t="n">
        <x:v>46287</x:v>
      </x:c>
      <x:c r="C3242" s="17" t="str">
        <x:v>W0217</x:v>
      </x:c>
      <x:c r="D3242" s="17" t="str">
        <x:v>C004</x:v>
      </x:c>
      <x:c r="E3242" s="17" t="str">
        <x:v>InsightDesk</x:v>
      </x:c>
      <x:c r="F3242" s="17" t="str">
        <x:v>Pro</x:v>
      </x:c>
      <x:c r="G3242" s="21" t="n">
        <x:v>8380</x:v>
      </x:c>
      <x:c r="H3242" s="21" t="n">
        <x:v>11443</x:v>
      </x:c>
      <x:c r="I3242" s="17" t="str">
        <x:v>Followup</x:v>
      </x:c>
    </x:row>
    <x:row r="3243" ht="23" customHeight="1">
      <x:c r="A3243" s="17" t="str">
        <x:v>U03237</x:v>
      </x:c>
      <x:c r="B3243" s="18" t="n">
        <x:v>46288</x:v>
      </x:c>
      <x:c r="C3243" s="17" t="str">
        <x:v>W0217</x:v>
      </x:c>
      <x:c r="D3243" s="17" t="str">
        <x:v>C004</x:v>
      </x:c>
      <x:c r="E3243" s="17" t="str">
        <x:v>InsightDesk</x:v>
      </x:c>
      <x:c r="F3243" s="17" t="str">
        <x:v>Pro</x:v>
      </x:c>
      <x:c r="G3243" s="21" t="n">
        <x:v>9443</x:v>
      </x:c>
      <x:c r="H3243" s="21" t="n">
        <x:v>10321</x:v>
      </x:c>
      <x:c r="I3243" s="17" t="str">
        <x:v>Followup</x:v>
      </x:c>
    </x:row>
    <x:row r="3244" ht="23" customHeight="1">
      <x:c r="A3244" s="17" t="str">
        <x:v>U03238</x:v>
      </x:c>
      <x:c r="B3244" s="18" t="n">
        <x:v>46288</x:v>
      </x:c>
      <x:c r="C3244" s="17" t="str">
        <x:v>W0217</x:v>
      </x:c>
      <x:c r="D3244" s="17" t="str">
        <x:v>C004</x:v>
      </x:c>
      <x:c r="E3244" s="17" t="str">
        <x:v>InsightDesk</x:v>
      </x:c>
      <x:c r="F3244" s="17" t="str">
        <x:v>Pro</x:v>
      </x:c>
      <x:c r="G3244" s="21" t="n">
        <x:v>7609</x:v>
      </x:c>
      <x:c r="H3244" s="21" t="n">
        <x:v>7421</x:v>
      </x:c>
      <x:c r="I3244" s="17" t="str">
        <x:v>Followup</x:v>
      </x:c>
    </x:row>
    <x:row r="3245" ht="23" customHeight="1">
      <x:c r="A3245" s="17" t="str">
        <x:v>U03239</x:v>
      </x:c>
      <x:c r="B3245" s="18" t="n">
        <x:v>46288</x:v>
      </x:c>
      <x:c r="C3245" s="17" t="str">
        <x:v>W0217</x:v>
      </x:c>
      <x:c r="D3245" s="17" t="str">
        <x:v>C004</x:v>
      </x:c>
      <x:c r="E3245" s="17" t="str">
        <x:v>InsightDesk</x:v>
      </x:c>
      <x:c r="F3245" s="17" t="str">
        <x:v>Pro</x:v>
      </x:c>
      <x:c r="G3245" s="21" t="n">
        <x:v>14255</x:v>
      </x:c>
      <x:c r="H3245" s="21" t="n">
        <x:v>10092</x:v>
      </x:c>
      <x:c r="I3245" s="17" t="str">
        <x:v>Followup</x:v>
      </x:c>
    </x:row>
    <x:row r="3246" ht="23" customHeight="1">
      <x:c r="A3246" s="17" t="str">
        <x:v>U03240</x:v>
      </x:c>
      <x:c r="B3246" s="18" t="n">
        <x:v>46288</x:v>
      </x:c>
      <x:c r="C3246" s="17" t="str">
        <x:v>W0217</x:v>
      </x:c>
      <x:c r="D3246" s="17" t="str">
        <x:v>C004</x:v>
      </x:c>
      <x:c r="E3246" s="17" t="str">
        <x:v>InsightDesk</x:v>
      </x:c>
      <x:c r="F3246" s="17" t="str">
        <x:v>Pro</x:v>
      </x:c>
      <x:c r="G3246" s="21" t="n">
        <x:v>12911</x:v>
      </x:c>
      <x:c r="H3246" s="21" t="n">
        <x:v>8281</x:v>
      </x:c>
      <x:c r="I3246" s="17" t="str">
        <x:v>Followup</x:v>
      </x:c>
    </x:row>
    <x:row r="3247" ht="23" customHeight="1">
      <x:c r="A3247" s="17" t="str">
        <x:v>U03241</x:v>
      </x:c>
      <x:c r="B3247" s="18" t="n">
        <x:v>46288</x:v>
      </x:c>
      <x:c r="C3247" s="17" t="str">
        <x:v>W0217</x:v>
      </x:c>
      <x:c r="D3247" s="17" t="str">
        <x:v>C004</x:v>
      </x:c>
      <x:c r="E3247" s="17" t="str">
        <x:v>InsightDesk</x:v>
      </x:c>
      <x:c r="F3247" s="17" t="str">
        <x:v>Pro</x:v>
      </x:c>
      <x:c r="G3247" s="21" t="n">
        <x:v>18610</x:v>
      </x:c>
      <x:c r="H3247" s="21" t="n">
        <x:v>5912</x:v>
      </x:c>
      <x:c r="I3247" s="17" t="str">
        <x:v>Followup</x:v>
      </x:c>
    </x:row>
    <x:row r="3248" ht="23" customHeight="1">
      <x:c r="A3248" s="17" t="str">
        <x:v>U03242</x:v>
      </x:c>
      <x:c r="B3248" s="18" t="n">
        <x:v>46273</x:v>
      </x:c>
      <x:c r="C3248" s="17" t="str">
        <x:v>W0221</x:v>
      </x:c>
      <x:c r="D3248" s="17" t="str">
        <x:v>C004</x:v>
      </x:c>
      <x:c r="E3248" s="17" t="str">
        <x:v>CampaignChat</x:v>
      </x:c>
      <x:c r="F3248" s="17" t="str">
        <x:v>Pro</x:v>
      </x:c>
      <x:c r="G3248" s="21" t="n">
        <x:v>23718</x:v>
      </x:c>
      <x:c r="H3248" s="21" t="n">
        <x:v>6050</x:v>
      </x:c>
      <x:c r="I3248" s="17" t="str">
        <x:v>First attempt</x:v>
      </x:c>
    </x:row>
    <x:row r="3249" ht="23" customHeight="1">
      <x:c r="A3249" s="17" t="str">
        <x:v>U03243</x:v>
      </x:c>
      <x:c r="B3249" s="18" t="n">
        <x:v>46273</x:v>
      </x:c>
      <x:c r="C3249" s="17" t="str">
        <x:v>W0221</x:v>
      </x:c>
      <x:c r="D3249" s="17" t="str">
        <x:v>C004</x:v>
      </x:c>
      <x:c r="E3249" s="17" t="str">
        <x:v>CampaignChat</x:v>
      </x:c>
      <x:c r="F3249" s="17" t="str">
        <x:v>Pro</x:v>
      </x:c>
      <x:c r="G3249" s="21" t="n">
        <x:v>23840</x:v>
      </x:c>
      <x:c r="H3249" s="21" t="n">
        <x:v>11328</x:v>
      </x:c>
      <x:c r="I3249" s="17" t="str">
        <x:v>Followup</x:v>
      </x:c>
    </x:row>
    <x:row r="3250" ht="23" customHeight="1">
      <x:c r="A3250" s="17" t="str">
        <x:v>U03244</x:v>
      </x:c>
      <x:c r="B3250" s="18" t="n">
        <x:v>46273</x:v>
      </x:c>
      <x:c r="C3250" s="17" t="str">
        <x:v>W0221</x:v>
      </x:c>
      <x:c r="D3250" s="17" t="str">
        <x:v>C004</x:v>
      </x:c>
      <x:c r="E3250" s="17" t="str">
        <x:v>CampaignChat</x:v>
      </x:c>
      <x:c r="F3250" s="17" t="str">
        <x:v>Pro</x:v>
      </x:c>
      <x:c r="G3250" s="21" t="n">
        <x:v>20917</x:v>
      </x:c>
      <x:c r="H3250" s="21" t="n">
        <x:v>12423</x:v>
      </x:c>
      <x:c r="I3250" s="17" t="str">
        <x:v>Followup</x:v>
      </x:c>
    </x:row>
    <x:row r="3251" ht="23" customHeight="1">
      <x:c r="A3251" s="17" t="str">
        <x:v>U03245</x:v>
      </x:c>
      <x:c r="B3251" s="18" t="n">
        <x:v>46273</x:v>
      </x:c>
      <x:c r="C3251" s="17" t="str">
        <x:v>W0221</x:v>
      </x:c>
      <x:c r="D3251" s="17" t="str">
        <x:v>C004</x:v>
      </x:c>
      <x:c r="E3251" s="17" t="str">
        <x:v>CampaignChat</x:v>
      </x:c>
      <x:c r="F3251" s="17" t="str">
        <x:v>Pro</x:v>
      </x:c>
      <x:c r="G3251" s="21" t="n">
        <x:v>26315</x:v>
      </x:c>
      <x:c r="H3251" s="21" t="n">
        <x:v>14045</x:v>
      </x:c>
      <x:c r="I3251" s="17" t="str">
        <x:v>Followup</x:v>
      </x:c>
    </x:row>
    <x:row r="3252" ht="23" customHeight="1">
      <x:c r="A3252" s="17" t="str">
        <x:v>U03246</x:v>
      </x:c>
      <x:c r="B3252" s="18" t="n">
        <x:v>46273</x:v>
      </x:c>
      <x:c r="C3252" s="17" t="str">
        <x:v>W0221</x:v>
      </x:c>
      <x:c r="D3252" s="17" t="str">
        <x:v>C004</x:v>
      </x:c>
      <x:c r="E3252" s="17" t="str">
        <x:v>CampaignChat</x:v>
      </x:c>
      <x:c r="F3252" s="17" t="str">
        <x:v>Pro</x:v>
      </x:c>
      <x:c r="G3252" s="21" t="n">
        <x:v>27740</x:v>
      </x:c>
      <x:c r="H3252" s="21" t="n">
        <x:v>17881</x:v>
      </x:c>
      <x:c r="I3252" s="17" t="str">
        <x:v>Followup</x:v>
      </x:c>
    </x:row>
    <x:row r="3253" ht="23" customHeight="1">
      <x:c r="A3253" s="17" t="str">
        <x:v>U03247</x:v>
      </x:c>
      <x:c r="B3253" s="18" t="n">
        <x:v>46273</x:v>
      </x:c>
      <x:c r="C3253" s="17" t="str">
        <x:v>W0221</x:v>
      </x:c>
      <x:c r="D3253" s="17" t="str">
        <x:v>C004</x:v>
      </x:c>
      <x:c r="E3253" s="17" t="str">
        <x:v>CampaignChat</x:v>
      </x:c>
      <x:c r="F3253" s="17" t="str">
        <x:v>Pro</x:v>
      </x:c>
      <x:c r="G3253" s="21" t="n">
        <x:v>24803</x:v>
      </x:c>
      <x:c r="H3253" s="21" t="n">
        <x:v>8382</x:v>
      </x:c>
      <x:c r="I3253" s="17" t="str">
        <x:v>Followup</x:v>
      </x:c>
    </x:row>
    <x:row r="3254" ht="23" customHeight="1">
      <x:c r="A3254" s="17" t="str">
        <x:v>U03248</x:v>
      </x:c>
      <x:c r="B3254" s="18" t="n">
        <x:v>46274</x:v>
      </x:c>
      <x:c r="C3254" s="17" t="str">
        <x:v>W0221</x:v>
      </x:c>
      <x:c r="D3254" s="17" t="str">
        <x:v>C004</x:v>
      </x:c>
      <x:c r="E3254" s="17" t="str">
        <x:v>CampaignChat</x:v>
      </x:c>
      <x:c r="F3254" s="17" t="str">
        <x:v>Pro</x:v>
      </x:c>
      <x:c r="G3254" s="21" t="n">
        <x:v>18062</x:v>
      </x:c>
      <x:c r="H3254" s="21" t="n">
        <x:v>16156</x:v>
      </x:c>
      <x:c r="I3254" s="17" t="str">
        <x:v>Correction</x:v>
      </x:c>
    </x:row>
    <x:row r="3255" ht="23" customHeight="1">
      <x:c r="A3255" s="17" t="str">
        <x:v>U03249</x:v>
      </x:c>
      <x:c r="B3255" s="18" t="n">
        <x:v>46274</x:v>
      </x:c>
      <x:c r="C3255" s="17" t="str">
        <x:v>W0221</x:v>
      </x:c>
      <x:c r="D3255" s="17" t="str">
        <x:v>C004</x:v>
      </x:c>
      <x:c r="E3255" s="17" t="str">
        <x:v>CampaignChat</x:v>
      </x:c>
      <x:c r="F3255" s="17" t="str">
        <x:v>Pro</x:v>
      </x:c>
      <x:c r="G3255" s="21" t="n">
        <x:v>15171</x:v>
      </x:c>
      <x:c r="H3255" s="21" t="n">
        <x:v>9457</x:v>
      </x:c>
      <x:c r="I3255" s="17" t="str">
        <x:v>Correction</x:v>
      </x:c>
    </x:row>
    <x:row r="3256" ht="23" customHeight="1">
      <x:c r="A3256" s="17" t="str">
        <x:v>U03250</x:v>
      </x:c>
      <x:c r="B3256" s="18" t="n">
        <x:v>46274</x:v>
      </x:c>
      <x:c r="C3256" s="17" t="str">
        <x:v>W0221</x:v>
      </x:c>
      <x:c r="D3256" s="17" t="str">
        <x:v>C004</x:v>
      </x:c>
      <x:c r="E3256" s="17" t="str">
        <x:v>CampaignChat</x:v>
      </x:c>
      <x:c r="F3256" s="17" t="str">
        <x:v>Pro</x:v>
      </x:c>
      <x:c r="G3256" s="21" t="n">
        <x:v>33162</x:v>
      </x:c>
      <x:c r="H3256" s="21" t="n">
        <x:v>17521</x:v>
      </x:c>
      <x:c r="I3256" s="17" t="str">
        <x:v>Followup</x:v>
      </x:c>
    </x:row>
    <x:row r="3257" ht="23" customHeight="1">
      <x:c r="A3257" s="17" t="str">
        <x:v>U03251</x:v>
      </x:c>
      <x:c r="B3257" s="18" t="n">
        <x:v>46274</x:v>
      </x:c>
      <x:c r="C3257" s="17" t="str">
        <x:v>W0221</x:v>
      </x:c>
      <x:c r="D3257" s="17" t="str">
        <x:v>C004</x:v>
      </x:c>
      <x:c r="E3257" s="17" t="str">
        <x:v>CampaignChat</x:v>
      </x:c>
      <x:c r="F3257" s="17" t="str">
        <x:v>Pro</x:v>
      </x:c>
      <x:c r="G3257" s="21" t="n">
        <x:v>25206</x:v>
      </x:c>
      <x:c r="H3257" s="21" t="n">
        <x:v>13030</x:v>
      </x:c>
      <x:c r="I3257" s="17" t="str">
        <x:v>Followup</x:v>
      </x:c>
    </x:row>
    <x:row r="3258" ht="23" customHeight="1">
      <x:c r="A3258" s="17" t="str">
        <x:v>U03252</x:v>
      </x:c>
      <x:c r="B3258" s="18" t="n">
        <x:v>46274</x:v>
      </x:c>
      <x:c r="C3258" s="17" t="str">
        <x:v>W0221</x:v>
      </x:c>
      <x:c r="D3258" s="17" t="str">
        <x:v>C004</x:v>
      </x:c>
      <x:c r="E3258" s="17" t="str">
        <x:v>CampaignChat</x:v>
      </x:c>
      <x:c r="F3258" s="17" t="str">
        <x:v>Pro</x:v>
      </x:c>
      <x:c r="G3258" s="21" t="n">
        <x:v>26146</x:v>
      </x:c>
      <x:c r="H3258" s="21" t="n">
        <x:v>17194</x:v>
      </x:c>
      <x:c r="I3258" s="17" t="str">
        <x:v>Followup</x:v>
      </x:c>
    </x:row>
    <x:row r="3259" ht="23" customHeight="1">
      <x:c r="A3259" s="17" t="str">
        <x:v>U03253</x:v>
      </x:c>
      <x:c r="B3259" s="18" t="n">
        <x:v>46274</x:v>
      </x:c>
      <x:c r="C3259" s="17" t="str">
        <x:v>W0221</x:v>
      </x:c>
      <x:c r="D3259" s="17" t="str">
        <x:v>C004</x:v>
      </x:c>
      <x:c r="E3259" s="17" t="str">
        <x:v>CampaignChat</x:v>
      </x:c>
      <x:c r="F3259" s="17" t="str">
        <x:v>Pro</x:v>
      </x:c>
      <x:c r="G3259" s="21" t="n">
        <x:v>24273</x:v>
      </x:c>
      <x:c r="H3259" s="21" t="n">
        <x:v>5643</x:v>
      </x:c>
      <x:c r="I3259" s="17" t="str">
        <x:v>Followup</x:v>
      </x:c>
    </x:row>
    <x:row r="3260" ht="23" customHeight="1">
      <x:c r="A3260" s="17" t="str">
        <x:v>U03254</x:v>
      </x:c>
      <x:c r="B3260" s="18" t="n">
        <x:v>46275</x:v>
      </x:c>
      <x:c r="C3260" s="17" t="str">
        <x:v>W0221</x:v>
      </x:c>
      <x:c r="D3260" s="17" t="str">
        <x:v>C004</x:v>
      </x:c>
      <x:c r="E3260" s="17" t="str">
        <x:v>CampaignChat</x:v>
      </x:c>
      <x:c r="F3260" s="17" t="str">
        <x:v>Pro</x:v>
      </x:c>
      <x:c r="G3260" s="21" t="n">
        <x:v>25191</x:v>
      </x:c>
      <x:c r="H3260" s="21" t="n">
        <x:v>6449</x:v>
      </x:c>
      <x:c r="I3260" s="17" t="str">
        <x:v>Correction</x:v>
      </x:c>
    </x:row>
    <x:row r="3261" ht="23" customHeight="1">
      <x:c r="A3261" s="17" t="str">
        <x:v>U03255</x:v>
      </x:c>
      <x:c r="B3261" s="18" t="n">
        <x:v>46275</x:v>
      </x:c>
      <x:c r="C3261" s="17" t="str">
        <x:v>W0221</x:v>
      </x:c>
      <x:c r="D3261" s="17" t="str">
        <x:v>C004</x:v>
      </x:c>
      <x:c r="E3261" s="17" t="str">
        <x:v>CampaignChat</x:v>
      </x:c>
      <x:c r="F3261" s="17" t="str">
        <x:v>Pro</x:v>
      </x:c>
      <x:c r="G3261" s="21" t="n">
        <x:v>28784</x:v>
      </x:c>
      <x:c r="H3261" s="21" t="n">
        <x:v>18305</x:v>
      </x:c>
      <x:c r="I3261" s="17" t="str">
        <x:v>Followup</x:v>
      </x:c>
    </x:row>
    <x:row r="3262" ht="23" customHeight="1">
      <x:c r="A3262" s="17" t="str">
        <x:v>U03256</x:v>
      </x:c>
      <x:c r="B3262" s="18" t="n">
        <x:v>46275</x:v>
      </x:c>
      <x:c r="C3262" s="17" t="str">
        <x:v>W0221</x:v>
      </x:c>
      <x:c r="D3262" s="17" t="str">
        <x:v>C004</x:v>
      </x:c>
      <x:c r="E3262" s="17" t="str">
        <x:v>CampaignChat</x:v>
      </x:c>
      <x:c r="F3262" s="17" t="str">
        <x:v>Pro</x:v>
      </x:c>
      <x:c r="G3262" s="21" t="n">
        <x:v>12879</x:v>
      </x:c>
      <x:c r="H3262" s="21" t="n">
        <x:v>20417</x:v>
      </x:c>
      <x:c r="I3262" s="17" t="str">
        <x:v>Followup</x:v>
      </x:c>
    </x:row>
    <x:row r="3263" ht="23" customHeight="1">
      <x:c r="A3263" s="17" t="str">
        <x:v>U03257</x:v>
      </x:c>
      <x:c r="B3263" s="18" t="n">
        <x:v>46275</x:v>
      </x:c>
      <x:c r="C3263" s="17" t="str">
        <x:v>W0221</x:v>
      </x:c>
      <x:c r="D3263" s="17" t="str">
        <x:v>C004</x:v>
      </x:c>
      <x:c r="E3263" s="17" t="str">
        <x:v>CampaignChat</x:v>
      </x:c>
      <x:c r="F3263" s="17" t="str">
        <x:v>Pro</x:v>
      </x:c>
      <x:c r="G3263" s="21" t="n">
        <x:v>28142</x:v>
      </x:c>
      <x:c r="H3263" s="21" t="n">
        <x:v>19135</x:v>
      </x:c>
      <x:c r="I3263" s="17" t="str">
        <x:v>Followup</x:v>
      </x:c>
    </x:row>
    <x:row r="3264" ht="23" customHeight="1">
      <x:c r="A3264" s="17" t="str">
        <x:v>U03258</x:v>
      </x:c>
      <x:c r="B3264" s="18" t="n">
        <x:v>46275</x:v>
      </x:c>
      <x:c r="C3264" s="17" t="str">
        <x:v>W0221</x:v>
      </x:c>
      <x:c r="D3264" s="17" t="str">
        <x:v>C004</x:v>
      </x:c>
      <x:c r="E3264" s="17" t="str">
        <x:v>CampaignChat</x:v>
      </x:c>
      <x:c r="F3264" s="17" t="str">
        <x:v>Pro</x:v>
      </x:c>
      <x:c r="G3264" s="21" t="n">
        <x:v>23188</x:v>
      </x:c>
      <x:c r="H3264" s="21" t="n">
        <x:v>7167</x:v>
      </x:c>
      <x:c r="I3264" s="17" t="str">
        <x:v>Followup</x:v>
      </x:c>
    </x:row>
    <x:row r="3265" ht="23" customHeight="1">
      <x:c r="A3265" s="17" t="str">
        <x:v>U03259</x:v>
      </x:c>
      <x:c r="B3265" s="18" t="n">
        <x:v>46275</x:v>
      </x:c>
      <x:c r="C3265" s="17" t="str">
        <x:v>W0221</x:v>
      </x:c>
      <x:c r="D3265" s="17" t="str">
        <x:v>C004</x:v>
      </x:c>
      <x:c r="E3265" s="17" t="str">
        <x:v>CampaignChat</x:v>
      </x:c>
      <x:c r="F3265" s="17" t="str">
        <x:v>Pro</x:v>
      </x:c>
      <x:c r="G3265" s="21" t="n">
        <x:v>29130</x:v>
      </x:c>
      <x:c r="H3265" s="21" t="n">
        <x:v>9776</x:v>
      </x:c>
      <x:c r="I3265" s="17" t="str">
        <x:v>Followup</x:v>
      </x:c>
    </x:row>
    <x:row r="3266" ht="23" customHeight="1">
      <x:c r="A3266" s="17" t="str">
        <x:v>U03260</x:v>
      </x:c>
      <x:c r="B3266" s="18" t="n">
        <x:v>46276</x:v>
      </x:c>
      <x:c r="C3266" s="17" t="str">
        <x:v>W0221</x:v>
      </x:c>
      <x:c r="D3266" s="17" t="str">
        <x:v>C004</x:v>
      </x:c>
      <x:c r="E3266" s="17" t="str">
        <x:v>CampaignChat</x:v>
      </x:c>
      <x:c r="F3266" s="17" t="str">
        <x:v>Pro</x:v>
      </x:c>
      <x:c r="G3266" s="21" t="n">
        <x:v>19581</x:v>
      </x:c>
      <x:c r="H3266" s="21" t="n">
        <x:v>18792</x:v>
      </x:c>
      <x:c r="I3266" s="17" t="str">
        <x:v>Correction</x:v>
      </x:c>
    </x:row>
    <x:row r="3267" ht="23" customHeight="1">
      <x:c r="A3267" s="17" t="str">
        <x:v>U03261</x:v>
      </x:c>
      <x:c r="B3267" s="18" t="n">
        <x:v>46276</x:v>
      </x:c>
      <x:c r="C3267" s="17" t="str">
        <x:v>W0221</x:v>
      </x:c>
      <x:c r="D3267" s="17" t="str">
        <x:v>C004</x:v>
      </x:c>
      <x:c r="E3267" s="17" t="str">
        <x:v>CampaignChat</x:v>
      </x:c>
      <x:c r="F3267" s="17" t="str">
        <x:v>Pro</x:v>
      </x:c>
      <x:c r="G3267" s="21" t="n">
        <x:v>34218</x:v>
      </x:c>
      <x:c r="H3267" s="21" t="n">
        <x:v>18015</x:v>
      </x:c>
      <x:c r="I3267" s="17" t="str">
        <x:v>Followup</x:v>
      </x:c>
    </x:row>
    <x:row r="3268" ht="23" customHeight="1">
      <x:c r="A3268" s="17" t="str">
        <x:v>U03262</x:v>
      </x:c>
      <x:c r="B3268" s="18" t="n">
        <x:v>46276</x:v>
      </x:c>
      <x:c r="C3268" s="17" t="str">
        <x:v>W0221</x:v>
      </x:c>
      <x:c r="D3268" s="17" t="str">
        <x:v>C004</x:v>
      </x:c>
      <x:c r="E3268" s="17" t="str">
        <x:v>CampaignChat</x:v>
      </x:c>
      <x:c r="F3268" s="17" t="str">
        <x:v>Pro</x:v>
      </x:c>
      <x:c r="G3268" s="21" t="n">
        <x:v>33444</x:v>
      </x:c>
      <x:c r="H3268" s="21" t="n">
        <x:v>12802</x:v>
      </x:c>
      <x:c r="I3268" s="17" t="str">
        <x:v>Followup</x:v>
      </x:c>
    </x:row>
    <x:row r="3269" ht="23" customHeight="1">
      <x:c r="A3269" s="17" t="str">
        <x:v>U03263</x:v>
      </x:c>
      <x:c r="B3269" s="18" t="n">
        <x:v>46276</x:v>
      </x:c>
      <x:c r="C3269" s="17" t="str">
        <x:v>W0221</x:v>
      </x:c>
      <x:c r="D3269" s="17" t="str">
        <x:v>C004</x:v>
      </x:c>
      <x:c r="E3269" s="17" t="str">
        <x:v>CampaignChat</x:v>
      </x:c>
      <x:c r="F3269" s="17" t="str">
        <x:v>Pro</x:v>
      </x:c>
      <x:c r="G3269" s="21" t="n">
        <x:v>30184</x:v>
      </x:c>
      <x:c r="H3269" s="21" t="n">
        <x:v>17122</x:v>
      </x:c>
      <x:c r="I3269" s="17" t="str">
        <x:v>Followup</x:v>
      </x:c>
    </x:row>
    <x:row r="3270" ht="23" customHeight="1">
      <x:c r="A3270" s="17" t="str">
        <x:v>U03264</x:v>
      </x:c>
      <x:c r="B3270" s="18" t="n">
        <x:v>46276</x:v>
      </x:c>
      <x:c r="C3270" s="17" t="str">
        <x:v>W0221</x:v>
      </x:c>
      <x:c r="D3270" s="17" t="str">
        <x:v>C004</x:v>
      </x:c>
      <x:c r="E3270" s="17" t="str">
        <x:v>CampaignChat</x:v>
      </x:c>
      <x:c r="F3270" s="17" t="str">
        <x:v>Pro</x:v>
      </x:c>
      <x:c r="G3270" s="21" t="n">
        <x:v>19118</x:v>
      </x:c>
      <x:c r="H3270" s="21" t="n">
        <x:v>9768</x:v>
      </x:c>
      <x:c r="I3270" s="17" t="str">
        <x:v>Followup</x:v>
      </x:c>
    </x:row>
    <x:row r="3271" ht="23" customHeight="1">
      <x:c r="A3271" s="17" t="str">
        <x:v>U03265</x:v>
      </x:c>
      <x:c r="B3271" s="18" t="n">
        <x:v>46282</x:v>
      </x:c>
      <x:c r="C3271" s="17" t="str">
        <x:v>W0222</x:v>
      </x:c>
      <x:c r="D3271" s="17" t="str">
        <x:v>C004</x:v>
      </x:c>
      <x:c r="E3271" s="17" t="str">
        <x:v>DataFlow</x:v>
      </x:c>
      <x:c r="F3271" s="17" t="str">
        <x:v>Pro</x:v>
      </x:c>
      <x:c r="G3271" s="21" t="n">
        <x:v>11186</x:v>
      </x:c>
      <x:c r="H3271" s="21" t="n">
        <x:v>6298</x:v>
      </x:c>
      <x:c r="I3271" s="17" t="str">
        <x:v>First attempt</x:v>
      </x:c>
    </x:row>
    <x:row r="3272" ht="23" customHeight="1">
      <x:c r="A3272" s="17" t="str">
        <x:v>U03266</x:v>
      </x:c>
      <x:c r="B3272" s="18" t="n">
        <x:v>46282</x:v>
      </x:c>
      <x:c r="C3272" s="17" t="str">
        <x:v>W0222</x:v>
      </x:c>
      <x:c r="D3272" s="17" t="str">
        <x:v>C004</x:v>
      </x:c>
      <x:c r="E3272" s="17" t="str">
        <x:v>DataFlow</x:v>
      </x:c>
      <x:c r="F3272" s="17" t="str">
        <x:v>Pro</x:v>
      </x:c>
      <x:c r="G3272" s="21" t="n">
        <x:v>10713</x:v>
      </x:c>
      <x:c r="H3272" s="21" t="n">
        <x:v>11497</x:v>
      </x:c>
      <x:c r="I3272" s="17" t="str">
        <x:v>Followup</x:v>
      </x:c>
    </x:row>
    <x:row r="3273" ht="23" customHeight="1">
      <x:c r="A3273" s="17" t="str">
        <x:v>U03267</x:v>
      </x:c>
      <x:c r="B3273" s="18" t="n">
        <x:v>46282</x:v>
      </x:c>
      <x:c r="C3273" s="17" t="str">
        <x:v>W0222</x:v>
      </x:c>
      <x:c r="D3273" s="17" t="str">
        <x:v>C004</x:v>
      </x:c>
      <x:c r="E3273" s="17" t="str">
        <x:v>DataFlow</x:v>
      </x:c>
      <x:c r="F3273" s="17" t="str">
        <x:v>Pro</x:v>
      </x:c>
      <x:c r="G3273" s="21" t="n">
        <x:v>10089</x:v>
      </x:c>
      <x:c r="H3273" s="21" t="n">
        <x:v>11909</x:v>
      </x:c>
      <x:c r="I3273" s="17" t="str">
        <x:v>Followup</x:v>
      </x:c>
    </x:row>
    <x:row r="3274" ht="23" customHeight="1">
      <x:c r="A3274" s="17" t="str">
        <x:v>U03268</x:v>
      </x:c>
      <x:c r="B3274" s="18" t="n">
        <x:v>46283</x:v>
      </x:c>
      <x:c r="C3274" s="17" t="str">
        <x:v>W0222</x:v>
      </x:c>
      <x:c r="D3274" s="17" t="str">
        <x:v>C004</x:v>
      </x:c>
      <x:c r="E3274" s="17" t="str">
        <x:v>DataFlow</x:v>
      </x:c>
      <x:c r="F3274" s="17" t="str">
        <x:v>Pro</x:v>
      </x:c>
      <x:c r="G3274" s="21" t="n">
        <x:v>13521</x:v>
      </x:c>
      <x:c r="H3274" s="21" t="n">
        <x:v>9934</x:v>
      </x:c>
      <x:c r="I3274" s="17" t="str">
        <x:v>Correction</x:v>
      </x:c>
    </x:row>
    <x:row r="3275" ht="23" customHeight="1">
      <x:c r="A3275" s="17" t="str">
        <x:v>U03269</x:v>
      </x:c>
      <x:c r="B3275" s="18" t="n">
        <x:v>46283</x:v>
      </x:c>
      <x:c r="C3275" s="17" t="str">
        <x:v>W0222</x:v>
      </x:c>
      <x:c r="D3275" s="17" t="str">
        <x:v>C004</x:v>
      </x:c>
      <x:c r="E3275" s="17" t="str">
        <x:v>DataFlow</x:v>
      </x:c>
      <x:c r="F3275" s="17" t="str">
        <x:v>Pro</x:v>
      </x:c>
      <x:c r="G3275" s="21" t="n">
        <x:v>13089</x:v>
      </x:c>
      <x:c r="H3275" s="21" t="n">
        <x:v>11250</x:v>
      </x:c>
      <x:c r="I3275" s="17" t="str">
        <x:v>Correction</x:v>
      </x:c>
    </x:row>
    <x:row r="3276" ht="23" customHeight="1">
      <x:c r="A3276" s="17" t="str">
        <x:v>U03270</x:v>
      </x:c>
      <x:c r="B3276" s="18" t="n">
        <x:v>46283</x:v>
      </x:c>
      <x:c r="C3276" s="17" t="str">
        <x:v>W0222</x:v>
      </x:c>
      <x:c r="D3276" s="17" t="str">
        <x:v>C004</x:v>
      </x:c>
      <x:c r="E3276" s="17" t="str">
        <x:v>DataFlow</x:v>
      </x:c>
      <x:c r="F3276" s="17" t="str">
        <x:v>Pro</x:v>
      </x:c>
      <x:c r="G3276" s="21" t="n">
        <x:v>16420</x:v>
      </x:c>
      <x:c r="H3276" s="21" t="n">
        <x:v>10907</x:v>
      </x:c>
      <x:c r="I3276" s="17" t="str">
        <x:v>Followup</x:v>
      </x:c>
    </x:row>
    <x:row r="3277" ht="23" customHeight="1">
      <x:c r="A3277" s="17" t="str">
        <x:v>U03271</x:v>
      </x:c>
      <x:c r="B3277" s="18" t="n">
        <x:v>46286</x:v>
      </x:c>
      <x:c r="C3277" s="17" t="str">
        <x:v>W0222</x:v>
      </x:c>
      <x:c r="D3277" s="17" t="str">
        <x:v>C004</x:v>
      </x:c>
      <x:c r="E3277" s="17" t="str">
        <x:v>DataFlow</x:v>
      </x:c>
      <x:c r="F3277" s="17" t="str">
        <x:v>Pro</x:v>
      </x:c>
      <x:c r="G3277" s="21" t="n">
        <x:v>11649</x:v>
      </x:c>
      <x:c r="H3277" s="21" t="n">
        <x:v>14290</x:v>
      </x:c>
      <x:c r="I3277" s="17" t="str">
        <x:v>Followup</x:v>
      </x:c>
    </x:row>
    <x:row r="3278" ht="23" customHeight="1">
      <x:c r="A3278" s="17" t="str">
        <x:v>U03272</x:v>
      </x:c>
      <x:c r="B3278" s="18" t="n">
        <x:v>46286</x:v>
      </x:c>
      <x:c r="C3278" s="17" t="str">
        <x:v>W0222</x:v>
      </x:c>
      <x:c r="D3278" s="17" t="str">
        <x:v>C004</x:v>
      </x:c>
      <x:c r="E3278" s="17" t="str">
        <x:v>DataFlow</x:v>
      </x:c>
      <x:c r="F3278" s="17" t="str">
        <x:v>Pro</x:v>
      </x:c>
      <x:c r="G3278" s="21" t="n">
        <x:v>12231</x:v>
      </x:c>
      <x:c r="H3278" s="21" t="n">
        <x:v>14678</x:v>
      </x:c>
      <x:c r="I3278" s="17" t="str">
        <x:v>Correction</x:v>
      </x:c>
    </x:row>
    <x:row r="3279" ht="23" customHeight="1">
      <x:c r="A3279" s="17" t="str">
        <x:v>U03273</x:v>
      </x:c>
      <x:c r="B3279" s="18" t="n">
        <x:v>46286</x:v>
      </x:c>
      <x:c r="C3279" s="17" t="str">
        <x:v>W0222</x:v>
      </x:c>
      <x:c r="D3279" s="17" t="str">
        <x:v>C004</x:v>
      </x:c>
      <x:c r="E3279" s="17" t="str">
        <x:v>DataFlow</x:v>
      </x:c>
      <x:c r="F3279" s="17" t="str">
        <x:v>Pro</x:v>
      </x:c>
      <x:c r="G3279" s="21" t="n">
        <x:v>14783</x:v>
      </x:c>
      <x:c r="H3279" s="21" t="n">
        <x:v>4406</x:v>
      </x:c>
      <x:c r="I3279" s="17" t="str">
        <x:v>Followup</x:v>
      </x:c>
    </x:row>
    <x:row r="3280" ht="23" customHeight="1">
      <x:c r="A3280" s="17" t="str">
        <x:v>U03274</x:v>
      </x:c>
      <x:c r="B3280" s="18" t="n">
        <x:v>46287</x:v>
      </x:c>
      <x:c r="C3280" s="17" t="str">
        <x:v>W0222</x:v>
      </x:c>
      <x:c r="D3280" s="17" t="str">
        <x:v>C004</x:v>
      </x:c>
      <x:c r="E3280" s="17" t="str">
        <x:v>DataFlow</x:v>
      </x:c>
      <x:c r="F3280" s="17" t="str">
        <x:v>Pro</x:v>
      </x:c>
      <x:c r="G3280" s="21" t="n">
        <x:v>7669</x:v>
      </x:c>
      <x:c r="H3280" s="21" t="n">
        <x:v>13776</x:v>
      </x:c>
      <x:c r="I3280" s="17" t="str">
        <x:v>Followup</x:v>
      </x:c>
    </x:row>
    <x:row r="3281" ht="23" customHeight="1">
      <x:c r="A3281" s="17" t="str">
        <x:v>U03275</x:v>
      </x:c>
      <x:c r="B3281" s="18" t="n">
        <x:v>46287</x:v>
      </x:c>
      <x:c r="C3281" s="17" t="str">
        <x:v>W0222</x:v>
      </x:c>
      <x:c r="D3281" s="17" t="str">
        <x:v>C004</x:v>
      </x:c>
      <x:c r="E3281" s="17" t="str">
        <x:v>DataFlow</x:v>
      </x:c>
      <x:c r="F3281" s="17" t="str">
        <x:v>Pro</x:v>
      </x:c>
      <x:c r="G3281" s="21" t="n">
        <x:v>8543</x:v>
      </x:c>
      <x:c r="H3281" s="21" t="n">
        <x:v>7085</x:v>
      </x:c>
      <x:c r="I3281" s="17" t="str">
        <x:v>Followup</x:v>
      </x:c>
    </x:row>
    <x:row r="3282" ht="23" customHeight="1">
      <x:c r="A3282" s="17" t="str">
        <x:v>U03276</x:v>
      </x:c>
      <x:c r="B3282" s="18" t="n">
        <x:v>46287</x:v>
      </x:c>
      <x:c r="C3282" s="17" t="str">
        <x:v>W0222</x:v>
      </x:c>
      <x:c r="D3282" s="17" t="str">
        <x:v>C004</x:v>
      </x:c>
      <x:c r="E3282" s="17" t="str">
        <x:v>DataFlow</x:v>
      </x:c>
      <x:c r="F3282" s="17" t="str">
        <x:v>Pro</x:v>
      </x:c>
      <x:c r="G3282" s="21" t="n">
        <x:v>14083</x:v>
      </x:c>
      <x:c r="H3282" s="21" t="n">
        <x:v>8842</x:v>
      </x:c>
      <x:c r="I3282" s="17" t="str">
        <x:v>Followup</x:v>
      </x:c>
    </x:row>
    <x:row r="3283" ht="23" customHeight="1">
      <x:c r="A3283" s="17" t="str">
        <x:v>U03277</x:v>
      </x:c>
      <x:c r="B3283" s="18" t="n">
        <x:v>46276</x:v>
      </x:c>
      <x:c r="C3283" s="17" t="str">
        <x:v>W0224</x:v>
      </x:c>
      <x:c r="D3283" s="17" t="str">
        <x:v>C004</x:v>
      </x:c>
      <x:c r="E3283" s="17" t="str">
        <x:v>DataFlow</x:v>
      </x:c>
      <x:c r="F3283" s="17" t="str">
        <x:v>Pro</x:v>
      </x:c>
      <x:c r="G3283" s="21" t="n">
        <x:v>40506</x:v>
      </x:c>
      <x:c r="H3283" s="21" t="n">
        <x:v>9365</x:v>
      </x:c>
      <x:c r="I3283" s="17" t="str">
        <x:v>First attempt</x:v>
      </x:c>
    </x:row>
    <x:row r="3284" ht="23" customHeight="1">
      <x:c r="A3284" s="17" t="str">
        <x:v>U03278</x:v>
      </x:c>
      <x:c r="B3284" s="18" t="n">
        <x:v>46276</x:v>
      </x:c>
      <x:c r="C3284" s="17" t="str">
        <x:v>W0224</x:v>
      </x:c>
      <x:c r="D3284" s="17" t="str">
        <x:v>C004</x:v>
      </x:c>
      <x:c r="E3284" s="17" t="str">
        <x:v>DataFlow</x:v>
      </x:c>
      <x:c r="F3284" s="17" t="str">
        <x:v>Pro</x:v>
      </x:c>
      <x:c r="G3284" s="21" t="n">
        <x:v>31387</x:v>
      </x:c>
      <x:c r="H3284" s="21" t="n">
        <x:v>3584</x:v>
      </x:c>
      <x:c r="I3284" s="17" t="str">
        <x:v>Followup</x:v>
      </x:c>
    </x:row>
    <x:row r="3285" ht="23" customHeight="1">
      <x:c r="A3285" s="17" t="str">
        <x:v>U03279</x:v>
      </x:c>
      <x:c r="B3285" s="18" t="n">
        <x:v>46276</x:v>
      </x:c>
      <x:c r="C3285" s="17" t="str">
        <x:v>W0224</x:v>
      </x:c>
      <x:c r="D3285" s="17" t="str">
        <x:v>C004</x:v>
      </x:c>
      <x:c r="E3285" s="17" t="str">
        <x:v>DataFlow</x:v>
      </x:c>
      <x:c r="F3285" s="17" t="str">
        <x:v>Pro</x:v>
      </x:c>
      <x:c r="G3285" s="21" t="n">
        <x:v>37047</x:v>
      </x:c>
      <x:c r="H3285" s="21" t="n">
        <x:v>4889</x:v>
      </x:c>
      <x:c r="I3285" s="17" t="str">
        <x:v>Followup</x:v>
      </x:c>
    </x:row>
    <x:row r="3286" ht="23" customHeight="1">
      <x:c r="A3286" s="17" t="str">
        <x:v>U03280</x:v>
      </x:c>
      <x:c r="B3286" s="18" t="n">
        <x:v>46276</x:v>
      </x:c>
      <x:c r="C3286" s="17" t="str">
        <x:v>W0224</x:v>
      </x:c>
      <x:c r="D3286" s="17" t="str">
        <x:v>C004</x:v>
      </x:c>
      <x:c r="E3286" s="17" t="str">
        <x:v>DataFlow</x:v>
      </x:c>
      <x:c r="F3286" s="17" t="str">
        <x:v>Pro</x:v>
      </x:c>
      <x:c r="G3286" s="21" t="n">
        <x:v>19005</x:v>
      </x:c>
      <x:c r="H3286" s="21" t="n">
        <x:v>4153</x:v>
      </x:c>
      <x:c r="I3286" s="17" t="str">
        <x:v>Followup</x:v>
      </x:c>
    </x:row>
    <x:row r="3287" ht="23" customHeight="1">
      <x:c r="A3287" s="17" t="str">
        <x:v>U03281</x:v>
      </x:c>
      <x:c r="B3287" s="18" t="n">
        <x:v>46279</x:v>
      </x:c>
      <x:c r="C3287" s="17" t="str">
        <x:v>W0224</x:v>
      </x:c>
      <x:c r="D3287" s="17" t="str">
        <x:v>C004</x:v>
      </x:c>
      <x:c r="E3287" s="17" t="str">
        <x:v>DataFlow</x:v>
      </x:c>
      <x:c r="F3287" s="17" t="str">
        <x:v>Pro</x:v>
      </x:c>
      <x:c r="G3287" s="21" t="n">
        <x:v>38155</x:v>
      </x:c>
      <x:c r="H3287" s="21" t="n">
        <x:v>3942</x:v>
      </x:c>
      <x:c r="I3287" s="17" t="str">
        <x:v>Followup</x:v>
      </x:c>
    </x:row>
    <x:row r="3288" ht="23" customHeight="1">
      <x:c r="A3288" s="17" t="str">
        <x:v>U03282</x:v>
      </x:c>
      <x:c r="B3288" s="18" t="n">
        <x:v>46279</x:v>
      </x:c>
      <x:c r="C3288" s="17" t="str">
        <x:v>W0224</x:v>
      </x:c>
      <x:c r="D3288" s="17" t="str">
        <x:v>C004</x:v>
      </x:c>
      <x:c r="E3288" s="17" t="str">
        <x:v>DataFlow</x:v>
      </x:c>
      <x:c r="F3288" s="17" t="str">
        <x:v>Pro</x:v>
      </x:c>
      <x:c r="G3288" s="21" t="n">
        <x:v>15811</x:v>
      </x:c>
      <x:c r="H3288" s="21" t="n">
        <x:v>9302</x:v>
      </x:c>
      <x:c r="I3288" s="17" t="str">
        <x:v>Followup</x:v>
      </x:c>
    </x:row>
    <x:row r="3289" ht="23" customHeight="1">
      <x:c r="A3289" s="17" t="str">
        <x:v>U03283</x:v>
      </x:c>
      <x:c r="B3289" s="18" t="n">
        <x:v>46279</x:v>
      </x:c>
      <x:c r="C3289" s="17" t="str">
        <x:v>W0224</x:v>
      </x:c>
      <x:c r="D3289" s="17" t="str">
        <x:v>C004</x:v>
      </x:c>
      <x:c r="E3289" s="17" t="str">
        <x:v>DataFlow</x:v>
      </x:c>
      <x:c r="F3289" s="17" t="str">
        <x:v>Pro</x:v>
      </x:c>
      <x:c r="G3289" s="21" t="n">
        <x:v>31469</x:v>
      </x:c>
      <x:c r="H3289" s="21" t="n">
        <x:v>9885</x:v>
      </x:c>
      <x:c r="I3289" s="17" t="str">
        <x:v>Followup</x:v>
      </x:c>
    </x:row>
    <x:row r="3290" ht="23" customHeight="1">
      <x:c r="A3290" s="17" t="str">
        <x:v>U03284</x:v>
      </x:c>
      <x:c r="B3290" s="18" t="n">
        <x:v>46279</x:v>
      </x:c>
      <x:c r="C3290" s="17" t="str">
        <x:v>W0224</x:v>
      </x:c>
      <x:c r="D3290" s="17" t="str">
        <x:v>C004</x:v>
      </x:c>
      <x:c r="E3290" s="17" t="str">
        <x:v>DataFlow</x:v>
      </x:c>
      <x:c r="F3290" s="17" t="str">
        <x:v>Pro</x:v>
      </x:c>
      <x:c r="G3290" s="21" t="n">
        <x:v>30852</x:v>
      </x:c>
      <x:c r="H3290" s="21" t="n">
        <x:v>10415</x:v>
      </x:c>
      <x:c r="I3290" s="17" t="str">
        <x:v>Correction</x:v>
      </x:c>
    </x:row>
    <x:row r="3291" ht="23" customHeight="1">
      <x:c r="A3291" s="17" t="str">
        <x:v>U03285</x:v>
      </x:c>
      <x:c r="B3291" s="18" t="n">
        <x:v>46280</x:v>
      </x:c>
      <x:c r="C3291" s="17" t="str">
        <x:v>W0224</x:v>
      </x:c>
      <x:c r="D3291" s="17" t="str">
        <x:v>C004</x:v>
      </x:c>
      <x:c r="E3291" s="17" t="str">
        <x:v>DataFlow</x:v>
      </x:c>
      <x:c r="F3291" s="17" t="str">
        <x:v>Pro</x:v>
      </x:c>
      <x:c r="G3291" s="21" t="n">
        <x:v>28838</x:v>
      </x:c>
      <x:c r="H3291" s="21" t="n">
        <x:v>6528</x:v>
      </x:c>
      <x:c r="I3291" s="17" t="str">
        <x:v>Followup</x:v>
      </x:c>
    </x:row>
    <x:row r="3292" ht="23" customHeight="1">
      <x:c r="A3292" s="17" t="str">
        <x:v>U03286</x:v>
      </x:c>
      <x:c r="B3292" s="18" t="n">
        <x:v>46280</x:v>
      </x:c>
      <x:c r="C3292" s="17" t="str">
        <x:v>W0224</x:v>
      </x:c>
      <x:c r="D3292" s="17" t="str">
        <x:v>C004</x:v>
      </x:c>
      <x:c r="E3292" s="17" t="str">
        <x:v>DataFlow</x:v>
      </x:c>
      <x:c r="F3292" s="17" t="str">
        <x:v>Pro</x:v>
      </x:c>
      <x:c r="G3292" s="21" t="n">
        <x:v>28103</x:v>
      </x:c>
      <x:c r="H3292" s="21" t="n">
        <x:v>3970</x:v>
      </x:c>
      <x:c r="I3292" s="17" t="str">
        <x:v>Followup</x:v>
      </x:c>
    </x:row>
    <x:row r="3293" ht="23" customHeight="1">
      <x:c r="A3293" s="17" t="str">
        <x:v>U03287</x:v>
      </x:c>
      <x:c r="B3293" s="18" t="n">
        <x:v>46280</x:v>
      </x:c>
      <x:c r="C3293" s="17" t="str">
        <x:v>W0224</x:v>
      </x:c>
      <x:c r="D3293" s="17" t="str">
        <x:v>C004</x:v>
      </x:c>
      <x:c r="E3293" s="17" t="str">
        <x:v>DataFlow</x:v>
      </x:c>
      <x:c r="F3293" s="17" t="str">
        <x:v>Pro</x:v>
      </x:c>
      <x:c r="G3293" s="21" t="n">
        <x:v>29059</x:v>
      </x:c>
      <x:c r="H3293" s="21" t="n">
        <x:v>10057</x:v>
      </x:c>
      <x:c r="I3293" s="17" t="str">
        <x:v>Followup</x:v>
      </x:c>
    </x:row>
    <x:row r="3294" ht="23" customHeight="1">
      <x:c r="A3294" s="17" t="str">
        <x:v>U03288</x:v>
      </x:c>
      <x:c r="B3294" s="18" t="n">
        <x:v>46280</x:v>
      </x:c>
      <x:c r="C3294" s="17" t="str">
        <x:v>W0224</x:v>
      </x:c>
      <x:c r="D3294" s="17" t="str">
        <x:v>C004</x:v>
      </x:c>
      <x:c r="E3294" s="17" t="str">
        <x:v>DataFlow</x:v>
      </x:c>
      <x:c r="F3294" s="17" t="str">
        <x:v>Pro</x:v>
      </x:c>
      <x:c r="G3294" s="21" t="n">
        <x:v>16604</x:v>
      </x:c>
      <x:c r="H3294" s="21" t="n">
        <x:v>3446</x:v>
      </x:c>
      <x:c r="I3294" s="17" t="str">
        <x:v>Correction</x:v>
      </x:c>
    </x:row>
    <x:row r="3295" ht="23" customHeight="1">
      <x:c r="A3295" s="17" t="str">
        <x:v>U03289</x:v>
      </x:c>
      <x:c r="B3295" s="18" t="n">
        <x:v>46281</x:v>
      </x:c>
      <x:c r="C3295" s="17" t="str">
        <x:v>W0224</x:v>
      </x:c>
      <x:c r="D3295" s="17" t="str">
        <x:v>C004</x:v>
      </x:c>
      <x:c r="E3295" s="17" t="str">
        <x:v>DataFlow</x:v>
      </x:c>
      <x:c r="F3295" s="17" t="str">
        <x:v>Pro</x:v>
      </x:c>
      <x:c r="G3295" s="21" t="n">
        <x:v>16179</x:v>
      </x:c>
      <x:c r="H3295" s="21" t="n">
        <x:v>4597</x:v>
      </x:c>
      <x:c r="I3295" s="17" t="str">
        <x:v>Followup</x:v>
      </x:c>
    </x:row>
    <x:row r="3296" ht="23" customHeight="1">
      <x:c r="A3296" s="17" t="str">
        <x:v>U03290</x:v>
      </x:c>
      <x:c r="B3296" s="18" t="n">
        <x:v>46281</x:v>
      </x:c>
      <x:c r="C3296" s="17" t="str">
        <x:v>W0224</x:v>
      </x:c>
      <x:c r="D3296" s="17" t="str">
        <x:v>C004</x:v>
      </x:c>
      <x:c r="E3296" s="17" t="str">
        <x:v>DataFlow</x:v>
      </x:c>
      <x:c r="F3296" s="17" t="str">
        <x:v>Pro</x:v>
      </x:c>
      <x:c r="G3296" s="21" t="n">
        <x:v>25918</x:v>
      </x:c>
      <x:c r="H3296" s="21" t="n">
        <x:v>7870</x:v>
      </x:c>
      <x:c r="I3296" s="17" t="str">
        <x:v>Followup</x:v>
      </x:c>
    </x:row>
    <x:row r="3297" ht="23" customHeight="1">
      <x:c r="A3297" s="17" t="str">
        <x:v>U03291</x:v>
      </x:c>
      <x:c r="B3297" s="18" t="n">
        <x:v>46281</x:v>
      </x:c>
      <x:c r="C3297" s="17" t="str">
        <x:v>W0224</x:v>
      </x:c>
      <x:c r="D3297" s="17" t="str">
        <x:v>C004</x:v>
      </x:c>
      <x:c r="E3297" s="17" t="str">
        <x:v>DataFlow</x:v>
      </x:c>
      <x:c r="F3297" s="17" t="str">
        <x:v>Pro</x:v>
      </x:c>
      <x:c r="G3297" s="21" t="n">
        <x:v>34056</x:v>
      </x:c>
      <x:c r="H3297" s="21" t="n">
        <x:v>10674</x:v>
      </x:c>
      <x:c r="I3297" s="17" t="str">
        <x:v>Followup</x:v>
      </x:c>
    </x:row>
    <x:row r="3298" ht="23" customHeight="1">
      <x:c r="A3298" s="17" t="str">
        <x:v>U03292</x:v>
      </x:c>
      <x:c r="B3298" s="18" t="n">
        <x:v>46281</x:v>
      </x:c>
      <x:c r="C3298" s="17" t="str">
        <x:v>W0224</x:v>
      </x:c>
      <x:c r="D3298" s="17" t="str">
        <x:v>C004</x:v>
      </x:c>
      <x:c r="E3298" s="17" t="str">
        <x:v>DataFlow</x:v>
      </x:c>
      <x:c r="F3298" s="17" t="str">
        <x:v>Pro</x:v>
      </x:c>
      <x:c r="G3298" s="21" t="n">
        <x:v>36296</x:v>
      </x:c>
      <x:c r="H3298" s="21" t="n">
        <x:v>9721</x:v>
      </x:c>
      <x:c r="I3298" s="17" t="str">
        <x:v>Correction</x:v>
      </x:c>
    </x:row>
    <x:row r="3299" ht="23" customHeight="1">
      <x:c r="A3299" s="17" t="str">
        <x:v>U03293</x:v>
      </x:c>
      <x:c r="B3299" s="18" t="n">
        <x:v>46281</x:v>
      </x:c>
      <x:c r="C3299" s="17" t="str">
        <x:v>W0227</x:v>
      </x:c>
      <x:c r="D3299" s="17" t="str">
        <x:v>C004</x:v>
      </x:c>
      <x:c r="E3299" s="17" t="str">
        <x:v>DataFlow</x:v>
      </x:c>
      <x:c r="F3299" s="17" t="str">
        <x:v>Pro</x:v>
      </x:c>
      <x:c r="G3299" s="21" t="n">
        <x:v>12449</x:v>
      </x:c>
      <x:c r="H3299" s="21" t="n">
        <x:v>10441</x:v>
      </x:c>
      <x:c r="I3299" s="17" t="str">
        <x:v>First attempt</x:v>
      </x:c>
    </x:row>
    <x:row r="3300" ht="23" customHeight="1">
      <x:c r="A3300" s="17" t="str">
        <x:v>U03294</x:v>
      </x:c>
      <x:c r="B3300" s="18" t="n">
        <x:v>46281</x:v>
      </x:c>
      <x:c r="C3300" s="17" t="str">
        <x:v>W0227</x:v>
      </x:c>
      <x:c r="D3300" s="17" t="str">
        <x:v>C004</x:v>
      </x:c>
      <x:c r="E3300" s="17" t="str">
        <x:v>DataFlow</x:v>
      </x:c>
      <x:c r="F3300" s="17" t="str">
        <x:v>Pro</x:v>
      </x:c>
      <x:c r="G3300" s="21" t="n">
        <x:v>24747</x:v>
      </x:c>
      <x:c r="H3300" s="21" t="n">
        <x:v>8707</x:v>
      </x:c>
      <x:c r="I3300" s="17" t="str">
        <x:v>Followup</x:v>
      </x:c>
    </x:row>
    <x:row r="3301" ht="23" customHeight="1">
      <x:c r="A3301" s="17" t="str">
        <x:v>U03295</x:v>
      </x:c>
      <x:c r="B3301" s="18" t="n">
        <x:v>46281</x:v>
      </x:c>
      <x:c r="C3301" s="17" t="str">
        <x:v>W0227</x:v>
      </x:c>
      <x:c r="D3301" s="17" t="str">
        <x:v>C004</x:v>
      </x:c>
      <x:c r="E3301" s="17" t="str">
        <x:v>DataFlow</x:v>
      </x:c>
      <x:c r="F3301" s="17" t="str">
        <x:v>Pro</x:v>
      </x:c>
      <x:c r="G3301" s="21" t="n">
        <x:v>9728</x:v>
      </x:c>
      <x:c r="H3301" s="21" t="n">
        <x:v>5920</x:v>
      </x:c>
      <x:c r="I3301" s="17" t="str">
        <x:v>Followup</x:v>
      </x:c>
    </x:row>
    <x:row r="3302" ht="23" customHeight="1">
      <x:c r="A3302" s="17" t="str">
        <x:v>U03296</x:v>
      </x:c>
      <x:c r="B3302" s="18" t="n">
        <x:v>46281</x:v>
      </x:c>
      <x:c r="C3302" s="17" t="str">
        <x:v>W0227</x:v>
      </x:c>
      <x:c r="D3302" s="17" t="str">
        <x:v>C004</x:v>
      </x:c>
      <x:c r="E3302" s="17" t="str">
        <x:v>DataFlow</x:v>
      </x:c>
      <x:c r="F3302" s="17" t="str">
        <x:v>Pro</x:v>
      </x:c>
      <x:c r="G3302" s="21" t="n">
        <x:v>12052</x:v>
      </x:c>
      <x:c r="H3302" s="21" t="n">
        <x:v>4308</x:v>
      </x:c>
      <x:c r="I3302" s="17" t="str">
        <x:v>Correction</x:v>
      </x:c>
    </x:row>
    <x:row r="3303" ht="23" customHeight="1">
      <x:c r="A3303" s="17" t="str">
        <x:v>U03297</x:v>
      </x:c>
      <x:c r="B3303" s="18" t="n">
        <x:v>46282</x:v>
      </x:c>
      <x:c r="C3303" s="17" t="str">
        <x:v>W0227</x:v>
      </x:c>
      <x:c r="D3303" s="17" t="str">
        <x:v>C004</x:v>
      </x:c>
      <x:c r="E3303" s="17" t="str">
        <x:v>DataFlow</x:v>
      </x:c>
      <x:c r="F3303" s="17" t="str">
        <x:v>Pro</x:v>
      </x:c>
      <x:c r="G3303" s="21" t="n">
        <x:v>25563</x:v>
      </x:c>
      <x:c r="H3303" s="21" t="n">
        <x:v>13661</x:v>
      </x:c>
      <x:c r="I3303" s="17" t="str">
        <x:v>Followup</x:v>
      </x:c>
    </x:row>
    <x:row r="3304" ht="23" customHeight="1">
      <x:c r="A3304" s="17" t="str">
        <x:v>U03298</x:v>
      </x:c>
      <x:c r="B3304" s="18" t="n">
        <x:v>46282</x:v>
      </x:c>
      <x:c r="C3304" s="17" t="str">
        <x:v>W0227</x:v>
      </x:c>
      <x:c r="D3304" s="17" t="str">
        <x:v>C004</x:v>
      </x:c>
      <x:c r="E3304" s="17" t="str">
        <x:v>DataFlow</x:v>
      </x:c>
      <x:c r="F3304" s="17" t="str">
        <x:v>Pro</x:v>
      </x:c>
      <x:c r="G3304" s="21" t="n">
        <x:v>18810</x:v>
      </x:c>
      <x:c r="H3304" s="21" t="n">
        <x:v>11869</x:v>
      </x:c>
      <x:c r="I3304" s="17" t="str">
        <x:v>Followup</x:v>
      </x:c>
    </x:row>
    <x:row r="3305" ht="23" customHeight="1">
      <x:c r="A3305" s="17" t="str">
        <x:v>U03299</x:v>
      </x:c>
      <x:c r="B3305" s="18" t="n">
        <x:v>46282</x:v>
      </x:c>
      <x:c r="C3305" s="17" t="str">
        <x:v>W0227</x:v>
      </x:c>
      <x:c r="D3305" s="17" t="str">
        <x:v>C004</x:v>
      </x:c>
      <x:c r="E3305" s="17" t="str">
        <x:v>DataFlow</x:v>
      </x:c>
      <x:c r="F3305" s="17" t="str">
        <x:v>Pro</x:v>
      </x:c>
      <x:c r="G3305" s="21" t="n">
        <x:v>24903</x:v>
      </x:c>
      <x:c r="H3305" s="21" t="n">
        <x:v>15097</x:v>
      </x:c>
      <x:c r="I3305" s="17" t="str">
        <x:v>Correction</x:v>
      </x:c>
    </x:row>
    <x:row r="3306" ht="23" customHeight="1">
      <x:c r="A3306" s="17" t="str">
        <x:v>U03300</x:v>
      </x:c>
      <x:c r="B3306" s="18" t="n">
        <x:v>46282</x:v>
      </x:c>
      <x:c r="C3306" s="17" t="str">
        <x:v>W0227</x:v>
      </x:c>
      <x:c r="D3306" s="17" t="str">
        <x:v>C004</x:v>
      </x:c>
      <x:c r="E3306" s="17" t="str">
        <x:v>DataFlow</x:v>
      </x:c>
      <x:c r="F3306" s="17" t="str">
        <x:v>Pro</x:v>
      </x:c>
      <x:c r="G3306" s="21" t="n">
        <x:v>20888</x:v>
      </x:c>
      <x:c r="H3306" s="21" t="n">
        <x:v>7526</x:v>
      </x:c>
      <x:c r="I3306" s="17" t="str">
        <x:v>Followup</x:v>
      </x:c>
    </x:row>
    <x:row r="3307" ht="23" customHeight="1">
      <x:c r="A3307" s="17" t="str">
        <x:v>U03301</x:v>
      </x:c>
      <x:c r="B3307" s="18" t="n">
        <x:v>46283</x:v>
      </x:c>
      <x:c r="C3307" s="17" t="str">
        <x:v>W0227</x:v>
      </x:c>
      <x:c r="D3307" s="17" t="str">
        <x:v>C004</x:v>
      </x:c>
      <x:c r="E3307" s="17" t="str">
        <x:v>DataFlow</x:v>
      </x:c>
      <x:c r="F3307" s="17" t="str">
        <x:v>Pro</x:v>
      </x:c>
      <x:c r="G3307" s="21" t="n">
        <x:v>12000</x:v>
      </x:c>
      <x:c r="H3307" s="21" t="n">
        <x:v>9320</x:v>
      </x:c>
      <x:c r="I3307" s="17" t="str">
        <x:v>Followup</x:v>
      </x:c>
    </x:row>
    <x:row r="3308" ht="23" customHeight="1">
      <x:c r="A3308" s="17" t="str">
        <x:v>U03302</x:v>
      </x:c>
      <x:c r="B3308" s="18" t="n">
        <x:v>46283</x:v>
      </x:c>
      <x:c r="C3308" s="17" t="str">
        <x:v>W0227</x:v>
      </x:c>
      <x:c r="D3308" s="17" t="str">
        <x:v>C004</x:v>
      </x:c>
      <x:c r="E3308" s="17" t="str">
        <x:v>DataFlow</x:v>
      </x:c>
      <x:c r="F3308" s="17" t="str">
        <x:v>Pro</x:v>
      </x:c>
      <x:c r="G3308" s="21" t="n">
        <x:v>17732</x:v>
      </x:c>
      <x:c r="H3308" s="21" t="n">
        <x:v>14820</x:v>
      </x:c>
      <x:c r="I3308" s="17" t="str">
        <x:v>Followup</x:v>
      </x:c>
    </x:row>
    <x:row r="3309" ht="23" customHeight="1">
      <x:c r="A3309" s="17" t="str">
        <x:v>U03303</x:v>
      </x:c>
      <x:c r="B3309" s="18" t="n">
        <x:v>46283</x:v>
      </x:c>
      <x:c r="C3309" s="17" t="str">
        <x:v>W0227</x:v>
      </x:c>
      <x:c r="D3309" s="17" t="str">
        <x:v>C004</x:v>
      </x:c>
      <x:c r="E3309" s="17" t="str">
        <x:v>DataFlow</x:v>
      </x:c>
      <x:c r="F3309" s="17" t="str">
        <x:v>Pro</x:v>
      </x:c>
      <x:c r="G3309" s="21" t="n">
        <x:v>19654</x:v>
      </x:c>
      <x:c r="H3309" s="21" t="n">
        <x:v>4340</x:v>
      </x:c>
      <x:c r="I3309" s="17" t="str">
        <x:v>Followup</x:v>
      </x:c>
    </x:row>
    <x:row r="3310" ht="23" customHeight="1">
      <x:c r="A3310" s="17" t="str">
        <x:v>U03304</x:v>
      </x:c>
      <x:c r="B3310" s="18" t="n">
        <x:v>46283</x:v>
      </x:c>
      <x:c r="C3310" s="17" t="str">
        <x:v>W0227</x:v>
      </x:c>
      <x:c r="D3310" s="17" t="str">
        <x:v>C004</x:v>
      </x:c>
      <x:c r="E3310" s="17" t="str">
        <x:v>DataFlow</x:v>
      </x:c>
      <x:c r="F3310" s="17" t="str">
        <x:v>Pro</x:v>
      </x:c>
      <x:c r="G3310" s="21" t="n">
        <x:v>18137</x:v>
      </x:c>
      <x:c r="H3310" s="21" t="n">
        <x:v>11851</x:v>
      </x:c>
      <x:c r="I3310" s="17" t="str">
        <x:v>Followup</x:v>
      </x:c>
    </x:row>
    <x:row r="3311" ht="23" customHeight="1">
      <x:c r="A3311" s="17" t="str">
        <x:v>U03305</x:v>
      </x:c>
      <x:c r="B3311" s="18" t="n">
        <x:v>46286</x:v>
      </x:c>
      <x:c r="C3311" s="17" t="str">
        <x:v>W0227</x:v>
      </x:c>
      <x:c r="D3311" s="17" t="str">
        <x:v>C004</x:v>
      </x:c>
      <x:c r="E3311" s="17" t="str">
        <x:v>DataFlow</x:v>
      </x:c>
      <x:c r="F3311" s="17" t="str">
        <x:v>Pro</x:v>
      </x:c>
      <x:c r="G3311" s="21" t="n">
        <x:v>26960</x:v>
      </x:c>
      <x:c r="H3311" s="21" t="n">
        <x:v>13394</x:v>
      </x:c>
      <x:c r="I3311" s="17" t="str">
        <x:v>Followup</x:v>
      </x:c>
    </x:row>
    <x:row r="3312" ht="23" customHeight="1">
      <x:c r="A3312" s="17" t="str">
        <x:v>U03306</x:v>
      </x:c>
      <x:c r="B3312" s="18" t="n">
        <x:v>46286</x:v>
      </x:c>
      <x:c r="C3312" s="17" t="str">
        <x:v>W0227</x:v>
      </x:c>
      <x:c r="D3312" s="17" t="str">
        <x:v>C004</x:v>
      </x:c>
      <x:c r="E3312" s="17" t="str">
        <x:v>DataFlow</x:v>
      </x:c>
      <x:c r="F3312" s="17" t="str">
        <x:v>Pro</x:v>
      </x:c>
      <x:c r="G3312" s="21" t="n">
        <x:v>20552</x:v>
      </x:c>
      <x:c r="H3312" s="21" t="n">
        <x:v>13984</x:v>
      </x:c>
      <x:c r="I3312" s="17" t="str">
        <x:v>Followup</x:v>
      </x:c>
    </x:row>
    <x:row r="3313" ht="23" customHeight="1">
      <x:c r="A3313" s="17" t="str">
        <x:v>U03307</x:v>
      </x:c>
      <x:c r="B3313" s="18" t="n">
        <x:v>46286</x:v>
      </x:c>
      <x:c r="C3313" s="17" t="str">
        <x:v>W0227</x:v>
      </x:c>
      <x:c r="D3313" s="17" t="str">
        <x:v>C004</x:v>
      </x:c>
      <x:c r="E3313" s="17" t="str">
        <x:v>DataFlow</x:v>
      </x:c>
      <x:c r="F3313" s="17" t="str">
        <x:v>Pro</x:v>
      </x:c>
      <x:c r="G3313" s="21" t="n">
        <x:v>12978</x:v>
      </x:c>
      <x:c r="H3313" s="21" t="n">
        <x:v>9753</x:v>
      </x:c>
      <x:c r="I3313" s="17" t="str">
        <x:v>Followup</x:v>
      </x:c>
    </x:row>
    <x:row r="3314" ht="23" customHeight="1">
      <x:c r="A3314" s="17" t="str">
        <x:v>U03308</x:v>
      </x:c>
      <x:c r="B3314" s="18" t="n">
        <x:v>46268</x:v>
      </x:c>
      <x:c r="C3314" s="17" t="str">
        <x:v>W0231</x:v>
      </x:c>
      <x:c r="D3314" s="17" t="str">
        <x:v>C004</x:v>
      </x:c>
      <x:c r="E3314" s="17" t="str">
        <x:v>DataFlow</x:v>
      </x:c>
      <x:c r="F3314" s="17" t="str">
        <x:v>Pro</x:v>
      </x:c>
      <x:c r="G3314" s="21" t="n">
        <x:v>32227</x:v>
      </x:c>
      <x:c r="H3314" s="21" t="n">
        <x:v>11927</x:v>
      </x:c>
      <x:c r="I3314" s="17" t="str">
        <x:v>First attempt</x:v>
      </x:c>
    </x:row>
    <x:row r="3315" ht="23" customHeight="1">
      <x:c r="A3315" s="17" t="str">
        <x:v>U03309</x:v>
      </x:c>
      <x:c r="B3315" s="18" t="n">
        <x:v>46268</x:v>
      </x:c>
      <x:c r="C3315" s="17" t="str">
        <x:v>W0231</x:v>
      </x:c>
      <x:c r="D3315" s="17" t="str">
        <x:v>C004</x:v>
      </x:c>
      <x:c r="E3315" s="17" t="str">
        <x:v>DataFlow</x:v>
      </x:c>
      <x:c r="F3315" s="17" t="str">
        <x:v>Pro</x:v>
      </x:c>
      <x:c r="G3315" s="21" t="n">
        <x:v>23008</x:v>
      </x:c>
      <x:c r="H3315" s="21" t="n">
        <x:v>5624</x:v>
      </x:c>
      <x:c r="I3315" s="17" t="str">
        <x:v>Followup</x:v>
      </x:c>
    </x:row>
    <x:row r="3316" ht="23" customHeight="1">
      <x:c r="A3316" s="17" t="str">
        <x:v>U03310</x:v>
      </x:c>
      <x:c r="B3316" s="18" t="n">
        <x:v>46268</x:v>
      </x:c>
      <x:c r="C3316" s="17" t="str">
        <x:v>W0231</x:v>
      </x:c>
      <x:c r="D3316" s="17" t="str">
        <x:v>C004</x:v>
      </x:c>
      <x:c r="E3316" s="17" t="str">
        <x:v>DataFlow</x:v>
      </x:c>
      <x:c r="F3316" s="17" t="str">
        <x:v>Pro</x:v>
      </x:c>
      <x:c r="G3316" s="21" t="n">
        <x:v>14560</x:v>
      </x:c>
      <x:c r="H3316" s="21" t="n">
        <x:v>9266</x:v>
      </x:c>
      <x:c r="I3316" s="17" t="str">
        <x:v>Correction</x:v>
      </x:c>
    </x:row>
    <x:row r="3317" ht="23" customHeight="1">
      <x:c r="A3317" s="17" t="str">
        <x:v>U03311</x:v>
      </x:c>
      <x:c r="B3317" s="18" t="n">
        <x:v>46269</x:v>
      </x:c>
      <x:c r="C3317" s="17" t="str">
        <x:v>W0231</x:v>
      </x:c>
      <x:c r="D3317" s="17" t="str">
        <x:v>C004</x:v>
      </x:c>
      <x:c r="E3317" s="17" t="str">
        <x:v>DataFlow</x:v>
      </x:c>
      <x:c r="F3317" s="17" t="str">
        <x:v>Pro</x:v>
      </x:c>
      <x:c r="G3317" s="21" t="n">
        <x:v>25508</x:v>
      </x:c>
      <x:c r="H3317" s="21" t="n">
        <x:v>11008</x:v>
      </x:c>
      <x:c r="I3317" s="17" t="str">
        <x:v>Followup</x:v>
      </x:c>
    </x:row>
    <x:row r="3318" ht="23" customHeight="1">
      <x:c r="A3318" s="17" t="str">
        <x:v>U03312</x:v>
      </x:c>
      <x:c r="B3318" s="18" t="n">
        <x:v>46269</x:v>
      </x:c>
      <x:c r="C3318" s="17" t="str">
        <x:v>W0231</x:v>
      </x:c>
      <x:c r="D3318" s="17" t="str">
        <x:v>C004</x:v>
      </x:c>
      <x:c r="E3318" s="17" t="str">
        <x:v>DataFlow</x:v>
      </x:c>
      <x:c r="F3318" s="17" t="str">
        <x:v>Pro</x:v>
      </x:c>
      <x:c r="G3318" s="21" t="n">
        <x:v>27862</x:v>
      </x:c>
      <x:c r="H3318" s="21" t="n">
        <x:v>5341</x:v>
      </x:c>
      <x:c r="I3318" s="17" t="str">
        <x:v>Followup</x:v>
      </x:c>
    </x:row>
    <x:row r="3319" ht="23" customHeight="1">
      <x:c r="A3319" s="17" t="str">
        <x:v>U03313</x:v>
      </x:c>
      <x:c r="B3319" s="18" t="n">
        <x:v>46269</x:v>
      </x:c>
      <x:c r="C3319" s="17" t="str">
        <x:v>W0231</x:v>
      </x:c>
      <x:c r="D3319" s="17" t="str">
        <x:v>C004</x:v>
      </x:c>
      <x:c r="E3319" s="17" t="str">
        <x:v>DataFlow</x:v>
      </x:c>
      <x:c r="F3319" s="17" t="str">
        <x:v>Pro</x:v>
      </x:c>
      <x:c r="G3319" s="21" t="n">
        <x:v>12616</x:v>
      </x:c>
      <x:c r="H3319" s="21" t="n">
        <x:v>10943</x:v>
      </x:c>
      <x:c r="I3319" s="17" t="str">
        <x:v>Followup</x:v>
      </x:c>
    </x:row>
    <x:row r="3320" ht="23" customHeight="1">
      <x:c r="A3320" s="17" t="str">
        <x:v>U03314</x:v>
      </x:c>
      <x:c r="B3320" s="18" t="n">
        <x:v>46273</x:v>
      </x:c>
      <x:c r="C3320" s="17" t="str">
        <x:v>W0231</x:v>
      </x:c>
      <x:c r="D3320" s="17" t="str">
        <x:v>C004</x:v>
      </x:c>
      <x:c r="E3320" s="17" t="str">
        <x:v>DataFlow</x:v>
      </x:c>
      <x:c r="F3320" s="17" t="str">
        <x:v>Pro</x:v>
      </x:c>
      <x:c r="G3320" s="21" t="n">
        <x:v>33695</x:v>
      </x:c>
      <x:c r="H3320" s="21" t="n">
        <x:v>11722</x:v>
      </x:c>
      <x:c r="I3320" s="17" t="str">
        <x:v>Followup</x:v>
      </x:c>
    </x:row>
    <x:row r="3321" ht="23" customHeight="1">
      <x:c r="A3321" s="17" t="str">
        <x:v>U03315</x:v>
      </x:c>
      <x:c r="B3321" s="18" t="n">
        <x:v>46273</x:v>
      </x:c>
      <x:c r="C3321" s="17" t="str">
        <x:v>W0231</x:v>
      </x:c>
      <x:c r="D3321" s="17" t="str">
        <x:v>C004</x:v>
      </x:c>
      <x:c r="E3321" s="17" t="str">
        <x:v>DataFlow</x:v>
      </x:c>
      <x:c r="F3321" s="17" t="str">
        <x:v>Pro</x:v>
      </x:c>
      <x:c r="G3321" s="21" t="n">
        <x:v>24137</x:v>
      </x:c>
      <x:c r="H3321" s="21" t="n">
        <x:v>11619</x:v>
      </x:c>
      <x:c r="I3321" s="17" t="str">
        <x:v>Followup</x:v>
      </x:c>
    </x:row>
    <x:row r="3322" ht="23" customHeight="1">
      <x:c r="A3322" s="17" t="str">
        <x:v>U03316</x:v>
      </x:c>
      <x:c r="B3322" s="18" t="n">
        <x:v>46273</x:v>
      </x:c>
      <x:c r="C3322" s="17" t="str">
        <x:v>W0231</x:v>
      </x:c>
      <x:c r="D3322" s="17" t="str">
        <x:v>C004</x:v>
      </x:c>
      <x:c r="E3322" s="17" t="str">
        <x:v>DataFlow</x:v>
      </x:c>
      <x:c r="F3322" s="17" t="str">
        <x:v>Pro</x:v>
      </x:c>
      <x:c r="G3322" s="21" t="n">
        <x:v>11664</x:v>
      </x:c>
      <x:c r="H3322" s="21" t="n">
        <x:v>8270</x:v>
      </x:c>
      <x:c r="I3322" s="17" t="str">
        <x:v>Correction</x:v>
      </x:c>
    </x:row>
    <x:row r="3323" ht="23" customHeight="1">
      <x:c r="A3323" s="17" t="str">
        <x:v>U03317</x:v>
      </x:c>
      <x:c r="B3323" s="18" t="n">
        <x:v>46274</x:v>
      </x:c>
      <x:c r="C3323" s="17" t="str">
        <x:v>W0231</x:v>
      </x:c>
      <x:c r="D3323" s="17" t="str">
        <x:v>C004</x:v>
      </x:c>
      <x:c r="E3323" s="17" t="str">
        <x:v>DataFlow</x:v>
      </x:c>
      <x:c r="F3323" s="17" t="str">
        <x:v>Pro</x:v>
      </x:c>
      <x:c r="G3323" s="21" t="n">
        <x:v>29999</x:v>
      </x:c>
      <x:c r="H3323" s="21" t="n">
        <x:v>5173</x:v>
      </x:c>
      <x:c r="I3323" s="17" t="str">
        <x:v>Followup</x:v>
      </x:c>
    </x:row>
    <x:row r="3324" ht="23" customHeight="1">
      <x:c r="A3324" s="17" t="str">
        <x:v>U03318</x:v>
      </x:c>
      <x:c r="B3324" s="18" t="n">
        <x:v>46274</x:v>
      </x:c>
      <x:c r="C3324" s="17" t="str">
        <x:v>W0231</x:v>
      </x:c>
      <x:c r="D3324" s="17" t="str">
        <x:v>C004</x:v>
      </x:c>
      <x:c r="E3324" s="17" t="str">
        <x:v>DataFlow</x:v>
      </x:c>
      <x:c r="F3324" s="17" t="str">
        <x:v>Pro</x:v>
      </x:c>
      <x:c r="G3324" s="21" t="n">
        <x:v>17385</x:v>
      </x:c>
      <x:c r="H3324" s="21" t="n">
        <x:v>7974</x:v>
      </x:c>
      <x:c r="I3324" s="17" t="str">
        <x:v>Correction</x:v>
      </x:c>
    </x:row>
    <x:row r="3325" ht="23" customHeight="1">
      <x:c r="A3325" s="17" t="str">
        <x:v>U03319</x:v>
      </x:c>
      <x:c r="B3325" s="18" t="n">
        <x:v>46289</x:v>
      </x:c>
      <x:c r="C3325" s="17" t="str">
        <x:v>W0233</x:v>
      </x:c>
      <x:c r="D3325" s="17" t="str">
        <x:v>C004</x:v>
      </x:c>
      <x:c r="E3325" s="17" t="str">
        <x:v>InsightDesk</x:v>
      </x:c>
      <x:c r="F3325" s="17" t="str">
        <x:v>Pro</x:v>
      </x:c>
      <x:c r="G3325" s="21" t="n">
        <x:v>15818</x:v>
      </x:c>
      <x:c r="H3325" s="21" t="n">
        <x:v>7122</x:v>
      </x:c>
      <x:c r="I3325" s="17" t="str">
        <x:v>First attempt</x:v>
      </x:c>
    </x:row>
    <x:row r="3326" ht="23" customHeight="1">
      <x:c r="A3326" s="17" t="str">
        <x:v>U03320</x:v>
      </x:c>
      <x:c r="B3326" s="18" t="n">
        <x:v>46289</x:v>
      </x:c>
      <x:c r="C3326" s="17" t="str">
        <x:v>W0233</x:v>
      </x:c>
      <x:c r="D3326" s="17" t="str">
        <x:v>C004</x:v>
      </x:c>
      <x:c r="E3326" s="17" t="str">
        <x:v>InsightDesk</x:v>
      </x:c>
      <x:c r="F3326" s="17" t="str">
        <x:v>Pro</x:v>
      </x:c>
      <x:c r="G3326" s="21" t="n">
        <x:v>13137</x:v>
      </x:c>
      <x:c r="H3326" s="21" t="n">
        <x:v>8785</x:v>
      </x:c>
      <x:c r="I3326" s="17" t="str">
        <x:v>Correction</x:v>
      </x:c>
    </x:row>
    <x:row r="3327" ht="23" customHeight="1">
      <x:c r="A3327" s="17" t="str">
        <x:v>U03321</x:v>
      </x:c>
      <x:c r="B3327" s="18" t="n">
        <x:v>46289</x:v>
      </x:c>
      <x:c r="C3327" s="17" t="str">
        <x:v>W0233</x:v>
      </x:c>
      <x:c r="D3327" s="17" t="str">
        <x:v>C004</x:v>
      </x:c>
      <x:c r="E3327" s="17" t="str">
        <x:v>InsightDesk</x:v>
      </x:c>
      <x:c r="F3327" s="17" t="str">
        <x:v>Pro</x:v>
      </x:c>
      <x:c r="G3327" s="21" t="n">
        <x:v>9729</x:v>
      </x:c>
      <x:c r="H3327" s="21" t="n">
        <x:v>5789</x:v>
      </x:c>
      <x:c r="I3327" s="17" t="str">
        <x:v>Followup</x:v>
      </x:c>
    </x:row>
    <x:row r="3328" ht="23" customHeight="1">
      <x:c r="A3328" s="17" t="str">
        <x:v>U03322</x:v>
      </x:c>
      <x:c r="B3328" s="18" t="n">
        <x:v>46290</x:v>
      </x:c>
      <x:c r="C3328" s="17" t="str">
        <x:v>W0233</x:v>
      </x:c>
      <x:c r="D3328" s="17" t="str">
        <x:v>C004</x:v>
      </x:c>
      <x:c r="E3328" s="17" t="str">
        <x:v>InsightDesk</x:v>
      </x:c>
      <x:c r="F3328" s="17" t="str">
        <x:v>Pro</x:v>
      </x:c>
      <x:c r="G3328" s="21" t="n">
        <x:v>14359</x:v>
      </x:c>
      <x:c r="H3328" s="21" t="n">
        <x:v>6186</x:v>
      </x:c>
      <x:c r="I3328" s="17" t="str">
        <x:v>Followup</x:v>
      </x:c>
    </x:row>
    <x:row r="3329" ht="23" customHeight="1">
      <x:c r="A3329" s="17" t="str">
        <x:v>U03323</x:v>
      </x:c>
      <x:c r="B3329" s="18" t="n">
        <x:v>46290</x:v>
      </x:c>
      <x:c r="C3329" s="17" t="str">
        <x:v>W0233</x:v>
      </x:c>
      <x:c r="D3329" s="17" t="str">
        <x:v>C004</x:v>
      </x:c>
      <x:c r="E3329" s="17" t="str">
        <x:v>InsightDesk</x:v>
      </x:c>
      <x:c r="F3329" s="17" t="str">
        <x:v>Pro</x:v>
      </x:c>
      <x:c r="G3329" s="21" t="n">
        <x:v>12289</x:v>
      </x:c>
      <x:c r="H3329" s="21" t="n">
        <x:v>5143</x:v>
      </x:c>
      <x:c r="I3329" s="17" t="str">
        <x:v>Followup</x:v>
      </x:c>
    </x:row>
    <x:row r="3330" ht="23" customHeight="1">
      <x:c r="A3330" s="17" t="str">
        <x:v>U03324</x:v>
      </x:c>
      <x:c r="B3330" s="18" t="n">
        <x:v>46290</x:v>
      </x:c>
      <x:c r="C3330" s="17" t="str">
        <x:v>W0233</x:v>
      </x:c>
      <x:c r="D3330" s="17" t="str">
        <x:v>C004</x:v>
      </x:c>
      <x:c r="E3330" s="17" t="str">
        <x:v>InsightDesk</x:v>
      </x:c>
      <x:c r="F3330" s="17" t="str">
        <x:v>Pro</x:v>
      </x:c>
      <x:c r="G3330" s="21" t="n">
        <x:v>11857</x:v>
      </x:c>
      <x:c r="H3330" s="21" t="n">
        <x:v>8289</x:v>
      </x:c>
      <x:c r="I3330" s="17" t="str">
        <x:v>Followup</x:v>
      </x:c>
    </x:row>
    <x:row r="3331" ht="23" customHeight="1">
      <x:c r="A3331" s="17" t="str">
        <x:v>U03325</x:v>
      </x:c>
      <x:c r="B3331" s="18" t="n">
        <x:v>46293</x:v>
      </x:c>
      <x:c r="C3331" s="17" t="str">
        <x:v>W0233</x:v>
      </x:c>
      <x:c r="D3331" s="17" t="str">
        <x:v>C004</x:v>
      </x:c>
      <x:c r="E3331" s="17" t="str">
        <x:v>InsightDesk</x:v>
      </x:c>
      <x:c r="F3331" s="17" t="str">
        <x:v>Pro</x:v>
      </x:c>
      <x:c r="G3331" s="21" t="n">
        <x:v>13393</x:v>
      </x:c>
      <x:c r="H3331" s="21" t="n">
        <x:v>7083</x:v>
      </x:c>
      <x:c r="I3331" s="17" t="str">
        <x:v>Followup</x:v>
      </x:c>
    </x:row>
    <x:row r="3332" ht="23" customHeight="1">
      <x:c r="A3332" s="17" t="str">
        <x:v>U03326</x:v>
      </x:c>
      <x:c r="B3332" s="18" t="n">
        <x:v>46293</x:v>
      </x:c>
      <x:c r="C3332" s="17" t="str">
        <x:v>W0233</x:v>
      </x:c>
      <x:c r="D3332" s="17" t="str">
        <x:v>C004</x:v>
      </x:c>
      <x:c r="E3332" s="17" t="str">
        <x:v>InsightDesk</x:v>
      </x:c>
      <x:c r="F3332" s="17" t="str">
        <x:v>Pro</x:v>
      </x:c>
      <x:c r="G3332" s="21" t="n">
        <x:v>16503</x:v>
      </x:c>
      <x:c r="H3332" s="21" t="n">
        <x:v>8442</x:v>
      </x:c>
      <x:c r="I3332" s="17" t="str">
        <x:v>Followup</x:v>
      </x:c>
    </x:row>
    <x:row r="3333" ht="23" customHeight="1">
      <x:c r="A3333" s="17" t="str">
        <x:v>U03327</x:v>
      </x:c>
      <x:c r="B3333" s="18" t="n">
        <x:v>46293</x:v>
      </x:c>
      <x:c r="C3333" s="17" t="str">
        <x:v>W0233</x:v>
      </x:c>
      <x:c r="D3333" s="17" t="str">
        <x:v>C004</x:v>
      </x:c>
      <x:c r="E3333" s="17" t="str">
        <x:v>InsightDesk</x:v>
      </x:c>
      <x:c r="F3333" s="17" t="str">
        <x:v>Pro</x:v>
      </x:c>
      <x:c r="G3333" s="21" t="n">
        <x:v>8905</x:v>
      </x:c>
      <x:c r="H3333" s="21" t="n">
        <x:v>3690</x:v>
      </x:c>
      <x:c r="I3333" s="17" t="str">
        <x:v>Correction</x:v>
      </x:c>
    </x:row>
    <x:row r="3334" ht="23" customHeight="1">
      <x:c r="A3334" s="17" t="str">
        <x:v>U03328</x:v>
      </x:c>
      <x:c r="B3334" s="18" t="n">
        <x:v>46294</x:v>
      </x:c>
      <x:c r="C3334" s="17" t="str">
        <x:v>W0233</x:v>
      </x:c>
      <x:c r="D3334" s="17" t="str">
        <x:v>C004</x:v>
      </x:c>
      <x:c r="E3334" s="17" t="str">
        <x:v>InsightDesk</x:v>
      </x:c>
      <x:c r="F3334" s="17" t="str">
        <x:v>Pro</x:v>
      </x:c>
      <x:c r="G3334" s="21" t="n">
        <x:v>18112</x:v>
      </x:c>
      <x:c r="H3334" s="21" t="n">
        <x:v>5676</x:v>
      </x:c>
      <x:c r="I3334" s="17" t="str">
        <x:v>Followup</x:v>
      </x:c>
    </x:row>
    <x:row r="3335" ht="23" customHeight="1">
      <x:c r="A3335" s="17" t="str">
        <x:v>U03329</x:v>
      </x:c>
      <x:c r="B3335" s="18" t="n">
        <x:v>46294</x:v>
      </x:c>
      <x:c r="C3335" s="17" t="str">
        <x:v>W0233</x:v>
      </x:c>
      <x:c r="D3335" s="17" t="str">
        <x:v>C004</x:v>
      </x:c>
      <x:c r="E3335" s="17" t="str">
        <x:v>InsightDesk</x:v>
      </x:c>
      <x:c r="F3335" s="17" t="str">
        <x:v>Pro</x:v>
      </x:c>
      <x:c r="G3335" s="21" t="n">
        <x:v>15417</x:v>
      </x:c>
      <x:c r="H3335" s="21" t="n">
        <x:v>4268</x:v>
      </x:c>
      <x:c r="I3335" s="17" t="str">
        <x:v>Followup</x:v>
      </x:c>
    </x:row>
    <x:row r="3336" ht="23" customHeight="1">
      <x:c r="A3336" s="17" t="str">
        <x:v>U03330</x:v>
      </x:c>
      <x:c r="B3336" s="18" t="n">
        <x:v>46288</x:v>
      </x:c>
      <x:c r="C3336" s="17" t="str">
        <x:v>W0238</x:v>
      </x:c>
      <x:c r="D3336" s="17" t="str">
        <x:v>C004</x:v>
      </x:c>
      <x:c r="E3336" s="17" t="str">
        <x:v>DataFlow</x:v>
      </x:c>
      <x:c r="F3336" s="17" t="str">
        <x:v>Pro</x:v>
      </x:c>
      <x:c r="G3336" s="21" t="n">
        <x:v>21373</x:v>
      </x:c>
      <x:c r="H3336" s="21" t="n">
        <x:v>11760</x:v>
      </x:c>
      <x:c r="I3336" s="17" t="str">
        <x:v>First attempt</x:v>
      </x:c>
    </x:row>
    <x:row r="3337" ht="23" customHeight="1">
      <x:c r="A3337" s="17" t="str">
        <x:v>U03331</x:v>
      </x:c>
      <x:c r="B3337" s="18" t="n">
        <x:v>46288</x:v>
      </x:c>
      <x:c r="C3337" s="17" t="str">
        <x:v>W0238</x:v>
      </x:c>
      <x:c r="D3337" s="17" t="str">
        <x:v>C004</x:v>
      </x:c>
      <x:c r="E3337" s="17" t="str">
        <x:v>DataFlow</x:v>
      </x:c>
      <x:c r="F3337" s="17" t="str">
        <x:v>Pro</x:v>
      </x:c>
      <x:c r="G3337" s="21" t="n">
        <x:v>24582</x:v>
      </x:c>
      <x:c r="H3337" s="21" t="n">
        <x:v>9753</x:v>
      </x:c>
      <x:c r="I3337" s="17" t="str">
        <x:v>Followup</x:v>
      </x:c>
    </x:row>
    <x:row r="3338" ht="23" customHeight="1">
      <x:c r="A3338" s="17" t="str">
        <x:v>U03332</x:v>
      </x:c>
      <x:c r="B3338" s="18" t="n">
        <x:v>46288</x:v>
      </x:c>
      <x:c r="C3338" s="17" t="str">
        <x:v>W0238</x:v>
      </x:c>
      <x:c r="D3338" s="17" t="str">
        <x:v>C004</x:v>
      </x:c>
      <x:c r="E3338" s="17" t="str">
        <x:v>DataFlow</x:v>
      </x:c>
      <x:c r="F3338" s="17" t="str">
        <x:v>Pro</x:v>
      </x:c>
      <x:c r="G3338" s="21" t="n">
        <x:v>16912</x:v>
      </x:c>
      <x:c r="H3338" s="21" t="n">
        <x:v>12010</x:v>
      </x:c>
      <x:c r="I3338" s="17" t="str">
        <x:v>Followup</x:v>
      </x:c>
    </x:row>
    <x:row r="3339" ht="23" customHeight="1">
      <x:c r="A3339" s="17" t="str">
        <x:v>U03333</x:v>
      </x:c>
      <x:c r="B3339" s="18" t="n">
        <x:v>46288</x:v>
      </x:c>
      <x:c r="C3339" s="17" t="str">
        <x:v>W0238</x:v>
      </x:c>
      <x:c r="D3339" s="17" t="str">
        <x:v>C004</x:v>
      </x:c>
      <x:c r="E3339" s="17" t="str">
        <x:v>DataFlow</x:v>
      </x:c>
      <x:c r="F3339" s="17" t="str">
        <x:v>Pro</x:v>
      </x:c>
      <x:c r="G3339" s="21" t="n">
        <x:v>13725</x:v>
      </x:c>
      <x:c r="H3339" s="21" t="n">
        <x:v>13922</x:v>
      </x:c>
      <x:c r="I3339" s="17" t="str">
        <x:v>Followup</x:v>
      </x:c>
    </x:row>
    <x:row r="3340" ht="23" customHeight="1">
      <x:c r="A3340" s="17" t="str">
        <x:v>U03334</x:v>
      </x:c>
      <x:c r="B3340" s="18" t="n">
        <x:v>46289</x:v>
      </x:c>
      <x:c r="C3340" s="17" t="str">
        <x:v>W0238</x:v>
      </x:c>
      <x:c r="D3340" s="17" t="str">
        <x:v>C004</x:v>
      </x:c>
      <x:c r="E3340" s="17" t="str">
        <x:v>DataFlow</x:v>
      </x:c>
      <x:c r="F3340" s="17" t="str">
        <x:v>Pro</x:v>
      </x:c>
      <x:c r="G3340" s="21" t="n">
        <x:v>13314</x:v>
      </x:c>
      <x:c r="H3340" s="21" t="n">
        <x:v>8641</x:v>
      </x:c>
      <x:c r="I3340" s="17" t="str">
        <x:v>Followup</x:v>
      </x:c>
    </x:row>
    <x:row r="3341" ht="23" customHeight="1">
      <x:c r="A3341" s="17" t="str">
        <x:v>U03335</x:v>
      </x:c>
      <x:c r="B3341" s="18" t="n">
        <x:v>46289</x:v>
      </x:c>
      <x:c r="C3341" s="17" t="str">
        <x:v>W0238</x:v>
      </x:c>
      <x:c r="D3341" s="17" t="str">
        <x:v>C004</x:v>
      </x:c>
      <x:c r="E3341" s="17" t="str">
        <x:v>DataFlow</x:v>
      </x:c>
      <x:c r="F3341" s="17" t="str">
        <x:v>Pro</x:v>
      </x:c>
      <x:c r="G3341" s="21" t="n">
        <x:v>15595</x:v>
      </x:c>
      <x:c r="H3341" s="21" t="n">
        <x:v>7675</x:v>
      </x:c>
      <x:c r="I3341" s="17" t="str">
        <x:v>Correction</x:v>
      </x:c>
    </x:row>
    <x:row r="3342" ht="23" customHeight="1">
      <x:c r="A3342" s="17" t="str">
        <x:v>U03336</x:v>
      </x:c>
      <x:c r="B3342" s="18" t="n">
        <x:v>46289</x:v>
      </x:c>
      <x:c r="C3342" s="17" t="str">
        <x:v>W0238</x:v>
      </x:c>
      <x:c r="D3342" s="17" t="str">
        <x:v>C004</x:v>
      </x:c>
      <x:c r="E3342" s="17" t="str">
        <x:v>DataFlow</x:v>
      </x:c>
      <x:c r="F3342" s="17" t="str">
        <x:v>Pro</x:v>
      </x:c>
      <x:c r="G3342" s="21" t="n">
        <x:v>11085</x:v>
      </x:c>
      <x:c r="H3342" s="21" t="n">
        <x:v>6283</x:v>
      </x:c>
      <x:c r="I3342" s="17" t="str">
        <x:v>Followup</x:v>
      </x:c>
    </x:row>
    <x:row r="3343" ht="23" customHeight="1">
      <x:c r="A3343" s="17" t="str">
        <x:v>U03337</x:v>
      </x:c>
      <x:c r="B3343" s="18" t="n">
        <x:v>46289</x:v>
      </x:c>
      <x:c r="C3343" s="17" t="str">
        <x:v>W0238</x:v>
      </x:c>
      <x:c r="D3343" s="17" t="str">
        <x:v>C004</x:v>
      </x:c>
      <x:c r="E3343" s="17" t="str">
        <x:v>DataFlow</x:v>
      </x:c>
      <x:c r="F3343" s="17" t="str">
        <x:v>Pro</x:v>
      </x:c>
      <x:c r="G3343" s="21" t="n">
        <x:v>21903</x:v>
      </x:c>
      <x:c r="H3343" s="21" t="n">
        <x:v>8020</x:v>
      </x:c>
      <x:c r="I3343" s="17" t="str">
        <x:v>Followup</x:v>
      </x:c>
    </x:row>
    <x:row r="3344" ht="23" customHeight="1">
      <x:c r="A3344" s="17" t="str">
        <x:v>U03338</x:v>
      </x:c>
      <x:c r="B3344" s="18" t="n">
        <x:v>46290</x:v>
      </x:c>
      <x:c r="C3344" s="17" t="str">
        <x:v>W0238</x:v>
      </x:c>
      <x:c r="D3344" s="17" t="str">
        <x:v>C004</x:v>
      </x:c>
      <x:c r="E3344" s="17" t="str">
        <x:v>DataFlow</x:v>
      </x:c>
      <x:c r="F3344" s="17" t="str">
        <x:v>Pro</x:v>
      </x:c>
      <x:c r="G3344" s="21" t="n">
        <x:v>17600</x:v>
      </x:c>
      <x:c r="H3344" s="21" t="n">
        <x:v>8872</x:v>
      </x:c>
      <x:c r="I3344" s="17" t="str">
        <x:v>Correction</x:v>
      </x:c>
    </x:row>
    <x:row r="3345" ht="23" customHeight="1">
      <x:c r="A3345" s="17" t="str">
        <x:v>U03339</x:v>
      </x:c>
      <x:c r="B3345" s="18" t="n">
        <x:v>46290</x:v>
      </x:c>
      <x:c r="C3345" s="17" t="str">
        <x:v>W0238</x:v>
      </x:c>
      <x:c r="D3345" s="17" t="str">
        <x:v>C004</x:v>
      </x:c>
      <x:c r="E3345" s="17" t="str">
        <x:v>DataFlow</x:v>
      </x:c>
      <x:c r="F3345" s="17" t="str">
        <x:v>Pro</x:v>
      </x:c>
      <x:c r="G3345" s="21" t="n">
        <x:v>16851</x:v>
      </x:c>
      <x:c r="H3345" s="21" t="n">
        <x:v>5903</x:v>
      </x:c>
      <x:c r="I3345" s="17" t="str">
        <x:v>Followup</x:v>
      </x:c>
    </x:row>
    <x:row r="3346" ht="23" customHeight="1">
      <x:c r="A3346" s="17" t="str">
        <x:v>U03340</x:v>
      </x:c>
      <x:c r="B3346" s="18" t="n">
        <x:v>46290</x:v>
      </x:c>
      <x:c r="C3346" s="17" t="str">
        <x:v>W0238</x:v>
      </x:c>
      <x:c r="D3346" s="17" t="str">
        <x:v>C004</x:v>
      </x:c>
      <x:c r="E3346" s="17" t="str">
        <x:v>DataFlow</x:v>
      </x:c>
      <x:c r="F3346" s="17" t="str">
        <x:v>Pro</x:v>
      </x:c>
      <x:c r="G3346" s="21" t="n">
        <x:v>14617</x:v>
      </x:c>
      <x:c r="H3346" s="21" t="n">
        <x:v>15048</x:v>
      </x:c>
      <x:c r="I3346" s="17" t="str">
        <x:v>Followup</x:v>
      </x:c>
    </x:row>
    <x:row r="3347" ht="23" customHeight="1">
      <x:c r="A3347" s="17" t="str">
        <x:v>U03341</x:v>
      </x:c>
      <x:c r="B3347" s="18" t="n">
        <x:v>46290</x:v>
      </x:c>
      <x:c r="C3347" s="17" t="str">
        <x:v>W0238</x:v>
      </x:c>
      <x:c r="D3347" s="17" t="str">
        <x:v>C004</x:v>
      </x:c>
      <x:c r="E3347" s="17" t="str">
        <x:v>DataFlow</x:v>
      </x:c>
      <x:c r="F3347" s="17" t="str">
        <x:v>Pro</x:v>
      </x:c>
      <x:c r="G3347" s="21" t="n">
        <x:v>10266</x:v>
      </x:c>
      <x:c r="H3347" s="21" t="n">
        <x:v>14154</x:v>
      </x:c>
      <x:c r="I3347" s="17" t="str">
        <x:v>Followup</x:v>
      </x:c>
    </x:row>
    <x:row r="3348" ht="23" customHeight="1">
      <x:c r="A3348" s="17" t="str">
        <x:v>U03342</x:v>
      </x:c>
      <x:c r="B3348" s="18" t="n">
        <x:v>46293</x:v>
      </x:c>
      <x:c r="C3348" s="17" t="str">
        <x:v>W0238</x:v>
      </x:c>
      <x:c r="D3348" s="17" t="str">
        <x:v>C004</x:v>
      </x:c>
      <x:c r="E3348" s="17" t="str">
        <x:v>DataFlow</x:v>
      </x:c>
      <x:c r="F3348" s="17" t="str">
        <x:v>Pro</x:v>
      </x:c>
      <x:c r="G3348" s="21" t="n">
        <x:v>17305</x:v>
      </x:c>
      <x:c r="H3348" s="21" t="n">
        <x:v>4149</x:v>
      </x:c>
      <x:c r="I3348" s="17" t="str">
        <x:v>Correction</x:v>
      </x:c>
    </x:row>
    <x:row r="3349" ht="23" customHeight="1">
      <x:c r="A3349" s="17" t="str">
        <x:v>U03343</x:v>
      </x:c>
      <x:c r="B3349" s="18" t="n">
        <x:v>46293</x:v>
      </x:c>
      <x:c r="C3349" s="17" t="str">
        <x:v>W0238</x:v>
      </x:c>
      <x:c r="D3349" s="17" t="str">
        <x:v>C004</x:v>
      </x:c>
      <x:c r="E3349" s="17" t="str">
        <x:v>DataFlow</x:v>
      </x:c>
      <x:c r="F3349" s="17" t="str">
        <x:v>Pro</x:v>
      </x:c>
      <x:c r="G3349" s="21" t="n">
        <x:v>9196</x:v>
      </x:c>
      <x:c r="H3349" s="21" t="n">
        <x:v>6422</x:v>
      </x:c>
      <x:c r="I3349" s="17" t="str">
        <x:v>Followup</x:v>
      </x:c>
    </x:row>
    <x:row r="3350" ht="23" customHeight="1">
      <x:c r="A3350" s="17" t="str">
        <x:v>U03344</x:v>
      </x:c>
      <x:c r="B3350" s="18" t="n">
        <x:v>46293</x:v>
      </x:c>
      <x:c r="C3350" s="17" t="str">
        <x:v>W0238</x:v>
      </x:c>
      <x:c r="D3350" s="17" t="str">
        <x:v>C004</x:v>
      </x:c>
      <x:c r="E3350" s="17" t="str">
        <x:v>DataFlow</x:v>
      </x:c>
      <x:c r="F3350" s="17" t="str">
        <x:v>Pro</x:v>
      </x:c>
      <x:c r="G3350" s="21" t="n">
        <x:v>15401</x:v>
      </x:c>
      <x:c r="H3350" s="21" t="n">
        <x:v>13655</x:v>
      </x:c>
      <x:c r="I3350" s="17" t="str">
        <x:v>Followup</x:v>
      </x:c>
    </x:row>
    <x:row r="3351" ht="23" customHeight="1">
      <x:c r="A3351" s="17" t="str">
        <x:v>U03345</x:v>
      </x:c>
      <x:c r="B3351" s="18" t="n">
        <x:v>46293</x:v>
      </x:c>
      <x:c r="C3351" s="17" t="str">
        <x:v>W0238</x:v>
      </x:c>
      <x:c r="D3351" s="17" t="str">
        <x:v>C004</x:v>
      </x:c>
      <x:c r="E3351" s="17" t="str">
        <x:v>DataFlow</x:v>
      </x:c>
      <x:c r="F3351" s="17" t="str">
        <x:v>Pro</x:v>
      </x:c>
      <x:c r="G3351" s="21" t="n">
        <x:v>20172</x:v>
      </x:c>
      <x:c r="H3351" s="21" t="n">
        <x:v>13798</x:v>
      </x:c>
      <x:c r="I3351" s="17" t="str">
        <x:v>Followup</x:v>
      </x:c>
    </x:row>
    <x:row r="3352" ht="23" customHeight="1">
      <x:c r="A3352" s="17" t="str">
        <x:v>U03346</x:v>
      </x:c>
      <x:c r="B3352" s="18" t="n">
        <x:v>46282</x:v>
      </x:c>
      <x:c r="C3352" s="17" t="str">
        <x:v>W0240</x:v>
      </x:c>
      <x:c r="D3352" s="17" t="str">
        <x:v>C004</x:v>
      </x:c>
      <x:c r="E3352" s="17" t="str">
        <x:v>InsightDesk</x:v>
      </x:c>
      <x:c r="F3352" s="17" t="str">
        <x:v>Pro</x:v>
      </x:c>
      <x:c r="G3352" s="21" t="n">
        <x:v>23756</x:v>
      </x:c>
      <x:c r="H3352" s="21" t="n">
        <x:v>5381</x:v>
      </x:c>
      <x:c r="I3352" s="17" t="str">
        <x:v>First attempt</x:v>
      </x:c>
    </x:row>
    <x:row r="3353" ht="23" customHeight="1">
      <x:c r="A3353" s="17" t="str">
        <x:v>U03347</x:v>
      </x:c>
      <x:c r="B3353" s="18" t="n">
        <x:v>46282</x:v>
      </x:c>
      <x:c r="C3353" s="17" t="str">
        <x:v>W0240</x:v>
      </x:c>
      <x:c r="D3353" s="17" t="str">
        <x:v>C004</x:v>
      </x:c>
      <x:c r="E3353" s="17" t="str">
        <x:v>InsightDesk</x:v>
      </x:c>
      <x:c r="F3353" s="17" t="str">
        <x:v>Pro</x:v>
      </x:c>
      <x:c r="G3353" s="21" t="n">
        <x:v>13226</x:v>
      </x:c>
      <x:c r="H3353" s="21" t="n">
        <x:v>7847</x:v>
      </x:c>
      <x:c r="I3353" s="17" t="str">
        <x:v>Followup</x:v>
      </x:c>
    </x:row>
    <x:row r="3354" ht="23" customHeight="1">
      <x:c r="A3354" s="17" t="str">
        <x:v>U03348</x:v>
      </x:c>
      <x:c r="B3354" s="18" t="n">
        <x:v>46282</x:v>
      </x:c>
      <x:c r="C3354" s="17" t="str">
        <x:v>W0240</x:v>
      </x:c>
      <x:c r="D3354" s="17" t="str">
        <x:v>C004</x:v>
      </x:c>
      <x:c r="E3354" s="17" t="str">
        <x:v>InsightDesk</x:v>
      </x:c>
      <x:c r="F3354" s="17" t="str">
        <x:v>Pro</x:v>
      </x:c>
      <x:c r="G3354" s="21" t="n">
        <x:v>24084</x:v>
      </x:c>
      <x:c r="H3354" s="21" t="n">
        <x:v>12734</x:v>
      </x:c>
      <x:c r="I3354" s="17" t="str">
        <x:v>Followup</x:v>
      </x:c>
    </x:row>
    <x:row r="3355" ht="23" customHeight="1">
      <x:c r="A3355" s="17" t="str">
        <x:v>U03349</x:v>
      </x:c>
      <x:c r="B3355" s="18" t="n">
        <x:v>46282</x:v>
      </x:c>
      <x:c r="C3355" s="17" t="str">
        <x:v>W0240</x:v>
      </x:c>
      <x:c r="D3355" s="17" t="str">
        <x:v>C004</x:v>
      </x:c>
      <x:c r="E3355" s="17" t="str">
        <x:v>InsightDesk</x:v>
      </x:c>
      <x:c r="F3355" s="17" t="str">
        <x:v>Pro</x:v>
      </x:c>
      <x:c r="G3355" s="21" t="n">
        <x:v>19995</x:v>
      </x:c>
      <x:c r="H3355" s="21" t="n">
        <x:v>8434</x:v>
      </x:c>
      <x:c r="I3355" s="17" t="str">
        <x:v>Followup</x:v>
      </x:c>
    </x:row>
    <x:row r="3356" ht="23" customHeight="1">
      <x:c r="A3356" s="17" t="str">
        <x:v>U03350</x:v>
      </x:c>
      <x:c r="B3356" s="18" t="n">
        <x:v>46283</x:v>
      </x:c>
      <x:c r="C3356" s="17" t="str">
        <x:v>W0240</x:v>
      </x:c>
      <x:c r="D3356" s="17" t="str">
        <x:v>C004</x:v>
      </x:c>
      <x:c r="E3356" s="17" t="str">
        <x:v>InsightDesk</x:v>
      </x:c>
      <x:c r="F3356" s="17" t="str">
        <x:v>Pro</x:v>
      </x:c>
      <x:c r="G3356" s="21" t="n">
        <x:v>17219</x:v>
      </x:c>
      <x:c r="H3356" s="21" t="n">
        <x:v>11145</x:v>
      </x:c>
      <x:c r="I3356" s="17" t="str">
        <x:v>Correction</x:v>
      </x:c>
    </x:row>
    <x:row r="3357" ht="23" customHeight="1">
      <x:c r="A3357" s="17" t="str">
        <x:v>U03351</x:v>
      </x:c>
      <x:c r="B3357" s="18" t="n">
        <x:v>46283</x:v>
      </x:c>
      <x:c r="C3357" s="17" t="str">
        <x:v>W0240</x:v>
      </x:c>
      <x:c r="D3357" s="17" t="str">
        <x:v>C004</x:v>
      </x:c>
      <x:c r="E3357" s="17" t="str">
        <x:v>InsightDesk</x:v>
      </x:c>
      <x:c r="F3357" s="17" t="str">
        <x:v>Pro</x:v>
      </x:c>
      <x:c r="G3357" s="21" t="n">
        <x:v>14431</x:v>
      </x:c>
      <x:c r="H3357" s="21" t="n">
        <x:v>5883</x:v>
      </x:c>
      <x:c r="I3357" s="17" t="str">
        <x:v>Correction</x:v>
      </x:c>
    </x:row>
    <x:row r="3358" ht="23" customHeight="1">
      <x:c r="A3358" s="17" t="str">
        <x:v>U03352</x:v>
      </x:c>
      <x:c r="B3358" s="18" t="n">
        <x:v>46283</x:v>
      </x:c>
      <x:c r="C3358" s="17" t="str">
        <x:v>W0240</x:v>
      </x:c>
      <x:c r="D3358" s="17" t="str">
        <x:v>C004</x:v>
      </x:c>
      <x:c r="E3358" s="17" t="str">
        <x:v>InsightDesk</x:v>
      </x:c>
      <x:c r="F3358" s="17" t="str">
        <x:v>Pro</x:v>
      </x:c>
      <x:c r="G3358" s="21" t="n">
        <x:v>20419</x:v>
      </x:c>
      <x:c r="H3358" s="21" t="n">
        <x:v>12916</x:v>
      </x:c>
      <x:c r="I3358" s="17" t="str">
        <x:v>Followup</x:v>
      </x:c>
    </x:row>
    <x:row r="3359" ht="23" customHeight="1">
      <x:c r="A3359" s="17" t="str">
        <x:v>U03353</x:v>
      </x:c>
      <x:c r="B3359" s="18" t="n">
        <x:v>46283</x:v>
      </x:c>
      <x:c r="C3359" s="17" t="str">
        <x:v>W0240</x:v>
      </x:c>
      <x:c r="D3359" s="17" t="str">
        <x:v>C004</x:v>
      </x:c>
      <x:c r="E3359" s="17" t="str">
        <x:v>InsightDesk</x:v>
      </x:c>
      <x:c r="F3359" s="17" t="str">
        <x:v>Pro</x:v>
      </x:c>
      <x:c r="G3359" s="21" t="n">
        <x:v>11696</x:v>
      </x:c>
      <x:c r="H3359" s="21" t="n">
        <x:v>7333</x:v>
      </x:c>
      <x:c r="I3359" s="17" t="str">
        <x:v>Followup</x:v>
      </x:c>
    </x:row>
    <x:row r="3360" ht="23" customHeight="1">
      <x:c r="A3360" s="17" t="str">
        <x:v>U03354</x:v>
      </x:c>
      <x:c r="B3360" s="18" t="n">
        <x:v>46286</x:v>
      </x:c>
      <x:c r="C3360" s="17" t="str">
        <x:v>W0240</x:v>
      </x:c>
      <x:c r="D3360" s="17" t="str">
        <x:v>C004</x:v>
      </x:c>
      <x:c r="E3360" s="17" t="str">
        <x:v>InsightDesk</x:v>
      </x:c>
      <x:c r="F3360" s="17" t="str">
        <x:v>Pro</x:v>
      </x:c>
      <x:c r="G3360" s="21" t="n">
        <x:v>10932</x:v>
      </x:c>
      <x:c r="H3360" s="21" t="n">
        <x:v>10869</x:v>
      </x:c>
      <x:c r="I3360" s="17" t="str">
        <x:v>Correction</x:v>
      </x:c>
    </x:row>
    <x:row r="3361" ht="23" customHeight="1">
      <x:c r="A3361" s="17" t="str">
        <x:v>U03355</x:v>
      </x:c>
      <x:c r="B3361" s="18" t="n">
        <x:v>46286</x:v>
      </x:c>
      <x:c r="C3361" s="17" t="str">
        <x:v>W0240</x:v>
      </x:c>
      <x:c r="D3361" s="17" t="str">
        <x:v>C004</x:v>
      </x:c>
      <x:c r="E3361" s="17" t="str">
        <x:v>InsightDesk</x:v>
      </x:c>
      <x:c r="F3361" s="17" t="str">
        <x:v>Pro</x:v>
      </x:c>
      <x:c r="G3361" s="21" t="n">
        <x:v>18820</x:v>
      </x:c>
      <x:c r="H3361" s="21" t="n">
        <x:v>8165</x:v>
      </x:c>
      <x:c r="I3361" s="17" t="str">
        <x:v>Followup</x:v>
      </x:c>
    </x:row>
    <x:row r="3362" ht="23" customHeight="1">
      <x:c r="A3362" s="17" t="str">
        <x:v>U03356</x:v>
      </x:c>
      <x:c r="B3362" s="18" t="n">
        <x:v>46286</x:v>
      </x:c>
      <x:c r="C3362" s="17" t="str">
        <x:v>W0240</x:v>
      </x:c>
      <x:c r="D3362" s="17" t="str">
        <x:v>C004</x:v>
      </x:c>
      <x:c r="E3362" s="17" t="str">
        <x:v>InsightDesk</x:v>
      </x:c>
      <x:c r="F3362" s="17" t="str">
        <x:v>Pro</x:v>
      </x:c>
      <x:c r="G3362" s="21" t="n">
        <x:v>21189</x:v>
      </x:c>
      <x:c r="H3362" s="21" t="n">
        <x:v>6099</x:v>
      </x:c>
      <x:c r="I3362" s="17" t="str">
        <x:v>Followup</x:v>
      </x:c>
    </x:row>
    <x:row r="3363" ht="23" customHeight="1">
      <x:c r="A3363" s="17" t="str">
        <x:v>U03357</x:v>
      </x:c>
      <x:c r="B3363" s="18" t="n">
        <x:v>46286</x:v>
      </x:c>
      <x:c r="C3363" s="17" t="str">
        <x:v>W0240</x:v>
      </x:c>
      <x:c r="D3363" s="17" t="str">
        <x:v>C004</x:v>
      </x:c>
      <x:c r="E3363" s="17" t="str">
        <x:v>InsightDesk</x:v>
      </x:c>
      <x:c r="F3363" s="17" t="str">
        <x:v>Pro</x:v>
      </x:c>
      <x:c r="G3363" s="21" t="n">
        <x:v>10346</x:v>
      </x:c>
      <x:c r="H3363" s="21" t="n">
        <x:v>4736</x:v>
      </x:c>
      <x:c r="I3363" s="17" t="str">
        <x:v>Followup</x:v>
      </x:c>
    </x:row>
    <x:row r="3364" ht="23" customHeight="1">
      <x:c r="A3364" s="17" t="str">
        <x:v>U03358</x:v>
      </x:c>
      <x:c r="B3364" s="18" t="n">
        <x:v>46287</x:v>
      </x:c>
      <x:c r="C3364" s="17" t="str">
        <x:v>W0240</x:v>
      </x:c>
      <x:c r="D3364" s="17" t="str">
        <x:v>C004</x:v>
      </x:c>
      <x:c r="E3364" s="17" t="str">
        <x:v>InsightDesk</x:v>
      </x:c>
      <x:c r="F3364" s="17" t="str">
        <x:v>Pro</x:v>
      </x:c>
      <x:c r="G3364" s="21" t="n">
        <x:v>23270</x:v>
      </x:c>
      <x:c r="H3364" s="21" t="n">
        <x:v>5216</x:v>
      </x:c>
      <x:c r="I3364" s="17" t="str">
        <x:v>Followup</x:v>
      </x:c>
    </x:row>
    <x:row r="3365" ht="23" customHeight="1">
      <x:c r="A3365" s="17" t="str">
        <x:v>U03359</x:v>
      </x:c>
      <x:c r="B3365" s="18" t="n">
        <x:v>46287</x:v>
      </x:c>
      <x:c r="C3365" s="17" t="str">
        <x:v>W0240</x:v>
      </x:c>
      <x:c r="D3365" s="17" t="str">
        <x:v>C004</x:v>
      </x:c>
      <x:c r="E3365" s="17" t="str">
        <x:v>InsightDesk</x:v>
      </x:c>
      <x:c r="F3365" s="17" t="str">
        <x:v>Pro</x:v>
      </x:c>
      <x:c r="G3365" s="21" t="n">
        <x:v>19567</x:v>
      </x:c>
      <x:c r="H3365" s="21" t="n">
        <x:v>6292</x:v>
      </x:c>
      <x:c r="I3365" s="17" t="str">
        <x:v>Followup</x:v>
      </x:c>
    </x:row>
    <x:row r="3366" ht="23" customHeight="1">
      <x:c r="A3366" s="17" t="str">
        <x:v>U03360</x:v>
      </x:c>
      <x:c r="B3366" s="18" t="n">
        <x:v>46287</x:v>
      </x:c>
      <x:c r="C3366" s="17" t="str">
        <x:v>W0240</x:v>
      </x:c>
      <x:c r="D3366" s="17" t="str">
        <x:v>C004</x:v>
      </x:c>
      <x:c r="E3366" s="17" t="str">
        <x:v>InsightDesk</x:v>
      </x:c>
      <x:c r="F3366" s="17" t="str">
        <x:v>Pro</x:v>
      </x:c>
      <x:c r="G3366" s="21" t="n">
        <x:v>15173</x:v>
      </x:c>
      <x:c r="H3366" s="21" t="n">
        <x:v>11187</x:v>
      </x:c>
      <x:c r="I3366" s="17" t="str">
        <x:v>Followup</x:v>
      </x:c>
    </x:row>
  </x:sheetData>
  <x:pageMargins left="0.7" right="0.7" top="0.75" bottom="0.75" header="0.3" footer="0.3"/>
  <x:tableParts count="1">
    <x:tablePart xmlns:r="http://schemas.openxmlformats.org/officeDocument/2006/relationships" r:id="Rf225bd4bc25044ea"/>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8" hidden="0" customWidth="1"/>
    <x:col min="2" max="2" width="23" hidden="0" customWidth="1"/>
    <x:col min="3" max="3" width="23" hidden="0" customWidth="1"/>
  </x:cols>
  <x:sheetData>
    <x:row r="1" ht="23" customHeight="1">
      <x:c r="A1" s="3"/>
      <x:c r="B1" s="3"/>
      <x:c r="C1" s="3"/>
    </x:row>
    <x:row r="2" ht="29" customHeight="1">
      <x:c r="A2" s="4" t="str">
        <x:v>Fixed fictional model prices</x:v>
      </x:c>
      <x:c r="B2" s="3"/>
      <x:c r="C2" s="3"/>
    </x:row>
    <x:row r="3" ht="23" customHeight="1">
      <x:c r="A3" s="5" t="str">
        <x:v>Source: https://github.com/GlassHouse97/AI-Cost-Efficiency-Portfolio-Project/blob/main/DATA/TRACKS/portfolio-project/model_pricing.csv</x:v>
      </x:c>
      <x:c r="B3" s="3"/>
      <x:c r="C3" s="3"/>
    </x:row>
    <x:row r="4" ht="23" customHeight="1">
      <x:c r="A4" s="5" t="str">
        <x:v>Original source values are retained. Dates and numeric fields are typed for Excel.</x:v>
      </x:c>
      <x:c r="B4" s="3"/>
      <x:c r="C4" s="3"/>
    </x:row>
    <x:row r="5" ht="23" customHeight="1">
      <x:c r="A5" s="3"/>
      <x:c r="B5" s="3"/>
      <x:c r="C5" s="3"/>
    </x:row>
    <x:row r="6" ht="44" customHeight="1">
      <x:c r="A6" s="14" t="str">
        <x:v>model</x:v>
      </x:c>
      <x:c r="B6" s="15" t="str">
        <x:v>input_rate_usd_per_million</x:v>
      </x:c>
      <x:c r="C6" s="16" t="str">
        <x:v>output_rate_usd_per_million</x:v>
      </x:c>
    </x:row>
    <x:row r="7" ht="23" customHeight="1">
      <x:c r="A7" s="17" t="str">
        <x:v>Lite</x:v>
      </x:c>
      <x:c r="B7" s="20" t="n">
        <x:v>10</x:v>
      </x:c>
      <x:c r="C7" s="20" t="n">
        <x:v>30</x:v>
      </x:c>
    </x:row>
    <x:row r="8" ht="23" customHeight="1">
      <x:c r="A8" s="17" t="str">
        <x:v>Pro</x:v>
      </x:c>
      <x:c r="B8" s="20" t="n">
        <x:v>40</x:v>
      </x:c>
      <x:c r="C8" s="20" t="n">
        <x:v>100</x:v>
      </x:c>
    </x:row>
  </x:sheetData>
  <x:pageMargins left="0.7" right="0.7" top="0.75" bottom="0.75" header="0.3" footer="0.3"/>
  <x:tableParts count="1">
    <x:tablePart xmlns:r="http://schemas.openxmlformats.org/officeDocument/2006/relationships" r:id="R22990f21fddb41f8"/>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8" hidden="0" customWidth="1"/>
    <x:col min="2" max="2" width="24" hidden="0" customWidth="1"/>
    <x:col min="3" max="3" width="18" hidden="0" customWidth="1"/>
    <x:col min="4" max="4" width="18" hidden="0" customWidth="1"/>
  </x:cols>
  <x:sheetData>
    <x:row r="1" ht="23" customHeight="1">
      <x:c r="A1" s="3"/>
      <x:c r="B1" s="3"/>
      <x:c r="C1" s="3"/>
      <x:c r="D1" s="3"/>
    </x:row>
    <x:row r="2" ht="29" customHeight="1">
      <x:c r="A2" s="4" t="str">
        <x:v>Whole campaign financial inputs</x:v>
      </x:c>
      <x:c r="B2" s="3"/>
      <x:c r="C2" s="3"/>
      <x:c r="D2" s="3"/>
    </x:row>
    <x:row r="3" ht="23" customHeight="1">
      <x:c r="A3" s="5" t="str">
        <x:v>Source: https://github.com/GlassHouse97/AI-Cost-Efficiency-Portfolio-Project/blob/main/DATA/TRACKS/portfolio-project/campaigns.csv</x:v>
      </x:c>
      <x:c r="B3" s="3"/>
      <x:c r="C3" s="3"/>
      <x:c r="D3" s="3"/>
    </x:row>
    <x:row r="4" ht="23" customHeight="1">
      <x:c r="A4" s="5" t="str">
        <x:v>Original source values are retained. Dates and numeric fields are typed for Excel.</x:v>
      </x:c>
      <x:c r="B4" s="3"/>
      <x:c r="C4" s="3"/>
      <x:c r="D4" s="3"/>
    </x:row>
    <x:row r="5" ht="23" customHeight="1">
      <x:c r="A5" s="3"/>
      <x:c r="B5" s="3"/>
      <x:c r="C5" s="3"/>
      <x:c r="D5" s="3"/>
    </x:row>
    <x:row r="6" ht="44" customHeight="1">
      <x:c r="A6" s="14" t="str">
        <x:v>campaign_id</x:v>
      </x:c>
      <x:c r="B6" s="15" t="str">
        <x:v>campaign_name</x:v>
      </x:c>
      <x:c r="C6" s="15" t="str">
        <x:v>campaign_revenue_usd</x:v>
      </x:c>
      <x:c r="D6" s="16" t="str">
        <x:v>other_campaign_cost_usd</x:v>
      </x:c>
    </x:row>
    <x:row r="7" ht="23" customHeight="1">
      <x:c r="A7" s="17" t="str">
        <x:v>C001</x:v>
      </x:c>
      <x:c r="B7" s="17" t="str">
        <x:v>Campaign 1</x:v>
      </x:c>
      <x:c r="C7" s="23" t="n">
        <x:v>25000</x:v>
      </x:c>
      <x:c r="D7" s="23" t="n">
        <x:v>10000</x:v>
      </x:c>
    </x:row>
    <x:row r="8" ht="23" customHeight="1">
      <x:c r="A8" s="17" t="str">
        <x:v>C002</x:v>
      </x:c>
      <x:c r="B8" s="17" t="str">
        <x:v>Campaign 2</x:v>
      </x:c>
      <x:c r="C8" s="23" t="n">
        <x:v>20000</x:v>
      </x:c>
      <x:c r="D8" s="23" t="n">
        <x:v>7500</x:v>
      </x:c>
    </x:row>
    <x:row r="9" ht="23" customHeight="1">
      <x:c r="A9" s="17" t="str">
        <x:v>C003</x:v>
      </x:c>
      <x:c r="B9" s="17" t="str">
        <x:v>Campaign 3</x:v>
      </x:c>
      <x:c r="C9" s="23" t="n">
        <x:v>23000</x:v>
      </x:c>
      <x:c r="D9" s="23" t="n">
        <x:v>9500</x:v>
      </x:c>
    </x:row>
    <x:row r="10" ht="23" customHeight="1">
      <x:c r="A10" s="17" t="str">
        <x:v>C004</x:v>
      </x:c>
      <x:c r="B10" s="17" t="str">
        <x:v>Campaign 4</x:v>
      </x:c>
      <x:c r="C10" s="23" t="n">
        <x:v>27000</x:v>
      </x:c>
      <x:c r="D10" s="23" t="n">
        <x:v>12000</x:v>
      </x:c>
    </x:row>
  </x:sheetData>
  <x:pageMargins left="0.7" right="0.7" top="0.75" bottom="0.75" header="0.3" footer="0.3"/>
  <x:tableParts count="1">
    <x:tablePart xmlns:r="http://schemas.openxmlformats.org/officeDocument/2006/relationships" r:id="R5fddb89498604815"/>
  </x:tableParts>
</x:worksheet>
</file>

<file path=xl/worksheets/sheet13.xml><?xml version="1.0" encoding="utf-8"?>
<x:worksheet xmlns:x="http://schemas.openxmlformats.org/spreadsheetml/2006/main">
  <x:sheetPr>
    <x:tabColor rgb="FF9BA8B4"/>
  </x:sheetPr>
  <x:sheetViews>
    <x:sheetView showGridLines="0" workbookViewId="0">
      <x:pane ySplit="6" topLeftCell="A7" activePane="bottomLeft" state="frozen"/>
    </x:sheetView>
  </x:sheetViews>
  <x:sheetFormatPr defaultRowHeight="15"/>
  <x:cols>
    <x:col min="1" max="1" width="8" hidden="0" customWidth="1"/>
    <x:col min="2" max="2" width="41" hidden="0" customWidth="1"/>
    <x:col min="3" max="3" width="100" hidden="0" customWidth="1"/>
    <x:col min="4" max="4" width="20" hidden="0" customWidth="1"/>
    <x:col min="5" max="5" width="20" hidden="0" customWidth="1"/>
    <x:col min="6" max="6" width="50" hidden="0" customWidth="1"/>
  </x:cols>
  <x:sheetData>
    <x:row r="1" ht="23" customHeight="1">
      <x:c r="A1" s="3"/>
      <x:c r="B1" s="3"/>
      <x:c r="C1" s="3"/>
      <x:c r="D1" s="3"/>
      <x:c r="E1" s="3"/>
      <x:c r="F1" s="3"/>
    </x:row>
    <x:row r="2" ht="29" customHeight="1">
      <x:c r="A2" s="4" t="str">
        <x:v>Preparation and reconciliation</x:v>
      </x:c>
      <x:c r="B2" s="3"/>
      <x:c r="C2" s="3"/>
      <x:c r="D2" s="3"/>
      <x:c r="E2" s="3"/>
      <x:c r="F2" s="3"/>
    </x:row>
    <x:row r="3" ht="23" customHeight="1">
      <x:c r="A3" s="3" t="str">
        <x:v>Method: https://github.com/GlassHouse97/AI-Cost-Efficiency-Portfolio-Project/blob/main/QUESTIONS/TRACKS/portfolio-project/README.md</x:v>
      </x:c>
      <x:c r="B3" s="3"/>
      <x:c r="C3" s="3"/>
      <x:c r="D3" s="3"/>
      <x:c r="E3" s="3"/>
      <x:c r="F3" s="3"/>
    </x:row>
    <x:row r="4" ht="23" customHeight="1">
      <x:c r="A4" s="3" t="str">
        <x:v>The ten required preparation steps are completed below. These checks do not feed business calculations.</x:v>
      </x:c>
      <x:c r="B4" s="3"/>
      <x:c r="C4" s="3"/>
      <x:c r="D4" s="3"/>
      <x:c r="E4" s="3"/>
      <x:c r="F4" s="3"/>
    </x:row>
    <x:row r="5" ht="23" customHeight="1">
      <x:c r="A5" s="3"/>
      <x:c r="B5" s="3"/>
      <x:c r="C5" s="3"/>
      <x:c r="D5" s="3"/>
      <x:c r="E5" s="3"/>
      <x:c r="F5" s="3"/>
    </x:row>
    <x:row r="6" ht="44" customHeight="1">
      <x:c r="A6" s="14" t="str">
        <x:v>Step</x:v>
      </x:c>
      <x:c r="B6" s="15" t="str">
        <x:v>Preparation completed</x:v>
      </x:c>
      <x:c r="C6" s="16" t="str">
        <x:v>Evidence</x:v>
      </x:c>
      <x:c r="D6" s="3"/>
      <x:c r="E6" s="3"/>
      <x:c r="F6" s="3"/>
    </x:row>
    <x:row r="7" ht="65" customHeight="1">
      <x:c r="A7" s="52" t="n">
        <x:v>1</x:v>
      </x:c>
      <x:c r="B7" s="52" t="str">
        <x:v>Preserved raw data and typed fields</x:v>
      </x:c>
      <x:c r="C7" s="52" t="str">
        <x:v>Raw Work Log has 242 rows. Raw AI Usage has 3,360. Model Pricing has 2. Campaign Inputs has 4. Dates are sortable Excel dates. Tokens are nonnegative integers. Hours and rates are numbers. Flags are Yes or No.</x:v>
      </x:c>
      <x:c r="D7" s="3"/>
      <x:c r="E7" s="3"/>
      <x:c r="F7" s="3"/>
    </x:row>
    <x:row r="8" ht="65" customHeight="1">
      <x:c r="A8" s="52" t="n">
        <x:v>2</x:v>
      </x:c>
      <x:c r="B8" s="52" t="str">
        <x:v>Removed exact repeated IDs and normalized departments</x:v>
      </x:c>
      <x:c r="C8" s="52" t="str">
        <x:v>Removed W0018 and W0087 repeats, retaining 240 tasks. All four source keys are unique after deduplication. Ten retained task department labels were trimmed and capitalized. Conflicting duplicates fail the build.</x:v>
      </x:c>
      <x:c r="D8" s="3"/>
      <x:c r="E8" s="3"/>
      <x:c r="F8" s="3"/>
    </x:row>
    <x:row r="9" ht="65" customHeight="1">
      <x:c r="A9" s="52" t="n">
        <x:v>3</x:v>
      </x:c>
      <x:c r="B9" s="52" t="str">
        <x:v>Validated relationships and task model/product consistency</x:v>
      </x:c>
      <x:c r="C9" s="52" t="str">
        <x:v>Every prompt has one task and an agreeing campaign. Each task has one product, one model and one First attempt. Every model has exactly one price. Prompt dates do not follow task completion.</x:v>
      </x:c>
      <x:c r="D9" s="3"/>
      <x:c r="E9" s="3"/>
      <x:c r="F9" s="3"/>
    </x:row>
    <x:row r="10" ht="65" customHeight="1">
      <x:c r="A10" s="52" t="n">
        <x:v>4</x:v>
      </x:c>
      <x:c r="B10" s="52" t="str">
        <x:v>Priced each prompt from the model table</x:v>
      </x:c>
      <x:c r="C10" s="52" t="str">
        <x:v>Priced Usage uses exact model lookups. Separate input and output costs are calculated at full precision, without rounding prompts to cents.</x:v>
      </x:c>
      <x:c r="D10" s="3"/>
      <x:c r="E10" s="3"/>
      <x:c r="F10" s="3"/>
    </x:row>
    <x:row r="11" ht="65" customHeight="1">
      <x:c r="A11" s="52" t="n">
        <x:v>5</x:v>
      </x:c>
      <x:c r="B11" s="52" t="str">
        <x:v>Aggregated prompts before joining task hours</x:v>
      </x:c>
      <x:c r="C11" s="52" t="str">
        <x:v>Prompt Totals has one row per task. SUMIFS and COUNTIFS calculate tokens, separate costs, prompt counts and reasons. Hours are absent from this table.</x:v>
      </x:c>
      <x:c r="D11" s="3"/>
      <x:c r="E11" s="3"/>
      <x:c r="F11" s="3"/>
    </x:row>
    <x:row r="12" ht="65" customHeight="1">
      <x:c r="A12" s="52" t="n">
        <x:v>6</x:v>
      </x:c>
      <x:c r="B12" s="52" t="str">
        <x:v>Joined the cleaned task table and calculated value</x:v>
      </x:c>
      <x:c r="C12" s="52" t="str">
        <x:v>Tasks combines one prompt aggregate with one cleaned task. Hours saved are baseline less actual hours. Time value uses Solution C5. Net AI value deducts AI fees. Rework is already included in actual hours.</x:v>
      </x:c>
      <x:c r="D12" s="3"/>
      <x:c r="E12" s="3"/>
      <x:c r="F12" s="3"/>
    </x:row>
    <x:row r="13" ht="65" customHeight="1">
      <x:c r="A13" s="52" t="n">
        <x:v>7</x:v>
      </x:c>
      <x:c r="B13" s="52" t="str">
        <x:v>Grouped complete tasks and calculated ratios from totals</x:v>
      </x:c>
      <x:c r="C13" s="52" t="str">
        <x:v>Campaigns and Mix group by campaign, product, model and department. Workflow groups comparable task types and observations. ROI, cost per prompt and shares divide summed components. Zero denominators display N/A.</x:v>
      </x:c>
      <x:c r="D13" s="3"/>
      <x:c r="E13" s="3"/>
      <x:c r="F13" s="3"/>
    </x:row>
    <x:row r="14" ht="65" customHeight="1">
      <x:c r="A14" s="52" t="n">
        <x:v>8</x:v>
      </x:c>
      <x:c r="B14" s="52" t="str">
        <x:v>Joined finances after aggregation to campaign</x:v>
      </x:c>
      <x:c r="C14" s="52" t="str">
        <x:v>Campaigns includes one financial row per campaign. Profit deducts other spending, actual labor value and AI fees. Revenue is never repeated on task or prompt records.</x:v>
      </x:c>
      <x:c r="D14" s="3"/>
      <x:c r="E14" s="3"/>
      <x:c r="F14" s="3"/>
    </x:row>
    <x:row r="15" ht="65" customHeight="1">
      <x:c r="A15" s="52" t="n">
        <x:v>9</x:v>
      </x:c>
      <x:c r="B15" s="52" t="str">
        <x:v>Retained prompt usage dates for daily spending</x:v>
      </x:c>
      <x:c r="C15" s="52" t="str">
        <x:v>Daily Usage groups Priced Usage by usage_date and campaign. No full task hours, revenue or whole campaign profit is assigned to a prompt date.</x:v>
      </x:c>
      <x:c r="D15" s="3"/>
      <x:c r="E15" s="3"/>
      <x:c r="F15" s="3"/>
    </x:row>
    <x:row r="16" ht="65" customHeight="1">
      <x:c r="A16" s="52" t="n">
        <x:v>10</x:v>
      </x:c>
      <x:c r="B16" s="52" t="str">
        <x:v>Reconciled totals and tested baseline sensitivity</x:v>
      </x:c>
      <x:c r="C16" s="52" t="str">
        <x:v>The checks below compare workbook totals with independent source calculations. Campaigns shows baseline 20% lower and higher. Solution answers all six analytical questions and provides two editable charts.</x:v>
      </x:c>
      <x:c r="D16" s="3"/>
      <x:c r="E16" s="3"/>
      <x:c r="F16" s="3"/>
    </x:row>
    <x:row r="17" ht="23" customHeight="1">
      <x:c r="A17" s="3"/>
      <x:c r="B17" s="3"/>
      <x:c r="C17" s="3"/>
      <x:c r="D17" s="3"/>
      <x:c r="E17" s="3"/>
      <x:c r="F17" s="3"/>
    </x:row>
    <x:row r="18" ht="23" customHeight="1">
      <x:c r="A18" s="3"/>
      <x:c r="B18" s="3"/>
      <x:c r="C18" s="3"/>
      <x:c r="D18" s="3"/>
      <x:c r="E18" s="3"/>
      <x:c r="F18" s="3"/>
    </x:row>
    <x:row r="19" ht="28" customHeight="1">
      <x:c r="A19" s="3"/>
      <x:c r="B19" s="47" t="str">
        <x:v>Reconciliation against the supplied source case</x:v>
      </x:c>
      <x:c r="C19" s="3"/>
      <x:c r="D19" s="3"/>
      <x:c r="E19" s="3"/>
      <x:c r="F19" s="3"/>
    </x:row>
    <x:row r="20" ht="44" customHeight="1">
      <x:c r="A20" s="3"/>
      <x:c r="B20" s="14" t="str">
        <x:v>Check</x:v>
      </x:c>
      <x:c r="C20" s="15" t="str">
        <x:v>Workbook</x:v>
      </x:c>
      <x:c r="D20" s="15" t="str">
        <x:v>Source control</x:v>
      </x:c>
      <x:c r="E20" s="16" t="str">
        <x:v>Difference</x:v>
      </x:c>
      <x:c r="F20" s="3"/>
    </x:row>
    <x:row r="21" ht="23" customHeight="1">
      <x:c r="A21" s="3"/>
      <x:c r="B21" s="3" t="str">
        <x:v>Unique tasks</x:v>
      </x:c>
      <x:c r="C21" s="58" t="n">
        <x:f>COUNTA('Tasks'!$A$7:$A$246)</x:f>
        <x:v>240</x:v>
      </x:c>
      <x:c r="D21" s="17" t="n">
        <x:v>240</x:v>
      </x:c>
      <x:c r="E21" s="57" t="n">
        <x:f>ROUND(C21-D21,6)</x:f>
        <x:v>0</x:v>
      </x:c>
      <x:c r="F21" s="3"/>
    </x:row>
    <x:row r="22" ht="23" customHeight="1">
      <x:c r="A22" s="3"/>
      <x:c r="B22" s="3" t="str">
        <x:v>Priced prompts</x:v>
      </x:c>
      <x:c r="C22" s="58" t="n">
        <x:f>COUNTA('Priced Usage'!$A$7:$A$3366)</x:f>
        <x:v>3360</x:v>
      </x:c>
      <x:c r="D22" s="17" t="n">
        <x:v>3360</x:v>
      </x:c>
      <x:c r="E22" s="57" t="n">
        <x:f>ROUND(C22-D22,6)</x:f>
        <x:v>0</x:v>
      </x:c>
      <x:c r="F22" s="3"/>
    </x:row>
    <x:row r="23" ht="23" customHeight="1">
      <x:c r="A23" s="3"/>
      <x:c r="B23" s="3" t="str">
        <x:v>Input tokens</x:v>
      </x:c>
      <x:c r="C23" s="58" t="n">
        <x:f>SUM('Priced Usage'!$G$7:$G$3366)</x:f>
        <x:v>89000000</x:v>
      </x:c>
      <x:c r="D23" s="17" t="n">
        <x:v>89000000</x:v>
      </x:c>
      <x:c r="E23" s="57" t="n">
        <x:f>ROUND(C23-D23,6)</x:f>
        <x:v>0</x:v>
      </x:c>
      <x:c r="F23" s="3"/>
    </x:row>
    <x:row r="24" ht="23" customHeight="1">
      <x:c r="A24" s="3"/>
      <x:c r="B24" s="3" t="str">
        <x:v>Output tokens</x:v>
      </x:c>
      <x:c r="C24" s="58" t="n">
        <x:f>SUM('Priced Usage'!$H$7:$H$3366)</x:f>
        <x:v>24500000</x:v>
      </x:c>
      <x:c r="D24" s="17" t="n">
        <x:v>24500000</x:v>
      </x:c>
      <x:c r="E24" s="57" t="n">
        <x:f>ROUND(C24-D24,6)</x:f>
        <x:v>0</x:v>
      </x:c>
      <x:c r="F24" s="3"/>
    </x:row>
    <x:row r="25" ht="23" customHeight="1">
      <x:c r="A25" s="3"/>
      <x:c r="B25" s="3" t="str">
        <x:v>Input cost USD</x:v>
      </x:c>
      <x:c r="C25" s="56" t="n">
        <x:f>SUM('Priced Usage'!$M$7:$M$3366)</x:f>
        <x:v>1639.999999999998</x:v>
      </x:c>
      <x:c r="D25" s="57" t="n">
        <x:v>1639.999999999998</x:v>
      </x:c>
      <x:c r="E25" s="57" t="n">
        <x:f>ROUND(C25-D25,6)</x:f>
        <x:v>0</x:v>
      </x:c>
      <x:c r="F25" s="3"/>
    </x:row>
    <x:row r="26" ht="23" customHeight="1">
      <x:c r="A26" s="3"/>
      <x:c r="B26" s="3" t="str">
        <x:v>Output cost USD</x:v>
      </x:c>
      <x:c r="C26" s="56" t="n">
        <x:f>SUM('Priced Usage'!$N$7:$N$3366)</x:f>
        <x:v>1540.000000000001</x:v>
      </x:c>
      <x:c r="D26" s="57" t="n">
        <x:v>1540.000000000001</x:v>
      </x:c>
      <x:c r="E26" s="57" t="n">
        <x:f>ROUND(C26-D26,6)</x:f>
        <x:v>0</x:v>
      </x:c>
      <x:c r="F26" s="3"/>
    </x:row>
    <x:row r="27" ht="23" customHeight="1">
      <x:c r="A27" s="3"/>
      <x:c r="B27" s="3" t="str">
        <x:v>AI cost USD</x:v>
      </x:c>
      <x:c r="C27" s="56" t="n">
        <x:f>SUM('Tasks'!$U$7:$U$246)</x:f>
        <x:v>3179.999999999999</x:v>
      </x:c>
      <x:c r="D27" s="57" t="n">
        <x:v>3180.000000000006</x:v>
      </x:c>
      <x:c r="E27" s="57" t="n">
        <x:f>ROUND(C27-D27,6)</x:f>
        <x:v>0</x:v>
      </x:c>
      <x:c r="F27" s="3"/>
    </x:row>
    <x:row r="28" ht="23" customHeight="1">
      <x:c r="A28" s="3"/>
      <x:c r="B28" s="3" t="str">
        <x:v>Baseline hours</x:v>
      </x:c>
      <x:c r="C28" s="56" t="n">
        <x:f>SUM('Tasks'!$G$7:$G$246)</x:f>
        <x:v>920.0000000000006</x:v>
      </x:c>
      <x:c r="D28" s="57" t="n">
        <x:v>920.0000000000006</x:v>
      </x:c>
      <x:c r="E28" s="57" t="n">
        <x:f>ROUND(C28-D28,6)</x:f>
        <x:v>0</x:v>
      </x:c>
      <x:c r="F28" s="3"/>
    </x:row>
    <x:row r="29" ht="23" customHeight="1">
      <x:c r="A29" s="3"/>
      <x:c r="B29" s="3" t="str">
        <x:v>Actual hours</x:v>
      </x:c>
      <x:c r="C29" s="56" t="n">
        <x:f>SUM('Tasks'!$H$7:$H$246)</x:f>
        <x:v>800.0000000000001</x:v>
      </x:c>
      <x:c r="D29" s="57" t="n">
        <x:v>800.0000000000001</x:v>
      </x:c>
      <x:c r="E29" s="57" t="n">
        <x:f>ROUND(C29-D29,6)</x:f>
        <x:v>0</x:v>
      </x:c>
      <x:c r="F29" s="3"/>
    </x:row>
    <x:row r="30" ht="23" customHeight="1">
      <x:c r="A30" s="3"/>
      <x:c r="B30" s="3" t="str">
        <x:v>Hours saved</x:v>
      </x:c>
      <x:c r="C30" s="56" t="n">
        <x:f>SUM('Tasks'!$Y$7:$Y$246)</x:f>
        <x:v>119.99999999999996</x:v>
      </x:c>
      <x:c r="D30" s="57" t="n">
        <x:v>119.99999999999996</x:v>
      </x:c>
      <x:c r="E30" s="57" t="n">
        <x:f>ROUND(C30-D30,6)</x:f>
        <x:v>0</x:v>
      </x:c>
      <x:c r="F30" s="3"/>
    </x:row>
    <x:row r="31" ht="23" customHeight="1">
      <x:c r="A31" s="3"/>
      <x:c r="B31" s="3" t="str">
        <x:v>Net AI value USD at $50/hour</x:v>
      </x:c>
      <x:c r="C31" s="56" t="n">
        <x:f>'Campaigns'!P11</x:f>
        <x:v>2820.000000000002</x:v>
      </x:c>
      <x:c r="D31" s="57" t="n">
        <x:v>2820</x:v>
      </x:c>
      <x:c r="E31" s="57" t="n">
        <x:f>ROUND(C31-D31,6)</x:f>
        <x:v>0</x:v>
      </x:c>
      <x:c r="F31" s="3"/>
    </x:row>
    <x:row r="32" ht="23" customHeight="1">
      <x:c r="A32" s="3"/>
      <x:c r="B32" s="3" t="str">
        <x:v>Campaign result USD at $50/hour</x:v>
      </x:c>
      <x:c r="C32" s="56" t="n">
        <x:f>'Campaigns'!AC11</x:f>
        <x:v>12820</x:v>
      </x:c>
      <x:c r="D32" s="57" t="n">
        <x:v>12820</x:v>
      </x:c>
      <x:c r="E32" s="57" t="n">
        <x:f>ROUND(C32-D32,6)</x:f>
        <x:v>0</x:v>
      </x:c>
      <x:c r="F32" s="3"/>
    </x:row>
    <x:row r="33" ht="23" customHeight="1">
      <x:c r="A33" s="3"/>
      <x:c r="B33" s="3" t="str">
        <x:v>Task / prompt AI cost difference</x:v>
      </x:c>
      <x:c r="C33" s="56" t="n">
        <x:f>ROUND(SUM('Tasks'!$U$7:$U$246)-SUM('Priced Usage'!$O$7:$O$3366),6)</x:f>
        <x:v>0</x:v>
      </x:c>
      <x:c r="D33" s="57" t="n">
        <x:v>0</x:v>
      </x:c>
      <x:c r="E33" s="57" t="n">
        <x:f>ROUND(C33-D33,6)</x:f>
        <x:v>0</x:v>
      </x:c>
      <x:c r="F33" s="3"/>
    </x:row>
    <x:row r="34" ht="23" customHeight="1">
      <x:c r="A34" s="3"/>
      <x:c r="B34" s="3" t="str">
        <x:v>Daily / prompt AI cost difference</x:v>
      </x:c>
      <x:c r="C34" s="56" t="n">
        <x:f>ROUND(SUM('Daily Usage'!$H$7:$H$90)-SUM('Priced Usage'!$O$7:$O$3366),6)</x:f>
        <x:v>0</x:v>
      </x:c>
      <x:c r="D34" s="57" t="n">
        <x:v>0</x:v>
      </x:c>
      <x:c r="E34" s="57" t="n">
        <x:f>ROUND(C34-D34,6)</x:f>
        <x:v>0</x:v>
      </x:c>
      <x:c r="F34" s="3"/>
    </x:row>
    <x:row r="35" ht="23" customHeight="1">
      <x:c r="A35" s="3"/>
      <x:c r="B35" s="3" t="str">
        <x:v>Campaign / task AI cost difference</x:v>
      </x:c>
      <x:c r="C35" s="56" t="n">
        <x:f>ROUND('Campaigns'!I11-SUM('Tasks'!$U$7:$U$246),6)</x:f>
        <x:v>0</x:v>
      </x:c>
      <x:c r="D35" s="57" t="n">
        <x:v>0</x:v>
      </x:c>
      <x:c r="E35" s="57" t="n">
        <x:f>ROUND(C35-D35,6)</x:f>
        <x:v>0</x:v>
      </x:c>
      <x:c r="F35" s="3"/>
    </x:row>
    <x:row r="36" ht="23" customHeight="1">
      <x:c r="A36" s="3"/>
      <x:c r="B36" s="3" t="str">
        <x:v>Prompt counts / original records</x:v>
      </x:c>
      <x:c r="C36" s="56" t="n">
        <x:f>SUM('Prompt Totals'!$H$7:$H$246)-COUNTA('Raw AI Usage'!$A$7:$A$3366)</x:f>
        <x:v>0</x:v>
      </x:c>
      <x:c r="D36" s="57" t="n">
        <x:v>0</x:v>
      </x:c>
      <x:c r="E36" s="57" t="n">
        <x:f>ROUND(C36-D36,6)</x:f>
        <x:v>0</x:v>
      </x:c>
      <x:c r="F36" s="3"/>
    </x:row>
    <x:row r="37" ht="23" customHeight="1">
      <x:c r="A37" s="3"/>
      <x:c r="B37" s="3" t="str">
        <x:v>First attempts / unique tasks</x:v>
      </x:c>
      <x:c r="C37" s="56" t="n">
        <x:f>SUM('Prompt Totals'!$L$7:$L$246)-COUNTA('Tasks'!$A$7:$A$246)</x:f>
        <x:v>0</x:v>
      </x:c>
      <x:c r="D37" s="57" t="n">
        <x:v>0</x:v>
      </x:c>
      <x:c r="E37" s="57" t="n">
        <x:f>ROUND(C37-D37,6)</x:f>
        <x:v>0</x:v>
      </x:c>
      <x:c r="F37" s="3"/>
    </x:row>
    <x:row r="38" ht="23" customHeight="1">
      <x:c r="A38" s="3"/>
      <x:c r="B38" s="3"/>
      <x:c r="C38" s="3"/>
      <x:c r="D38" s="3"/>
      <x:c r="E38" s="3"/>
      <x:c r="F38" s="3"/>
    </x:row>
    <x:row r="39" ht="23" customHeight="1">
      <x:c r="A39" s="3"/>
      <x:c r="B39" s="3"/>
      <x:c r="C39" s="3"/>
      <x:c r="D39" s="3"/>
      <x:c r="E39" s="3"/>
      <x:c r="F39" s="3"/>
    </x:row>
    <x:row r="40" ht="28" customHeight="1">
      <x:c r="A40" s="3"/>
      <x:c r="B40" s="47" t="str">
        <x:v>Using or refreshing the prepared data</x:v>
      </x:c>
      <x:c r="C40" s="3"/>
      <x:c r="D40" s="3"/>
      <x:c r="E40" s="3"/>
      <x:c r="F40" s="3"/>
    </x:row>
    <x:row r="41" ht="23" customHeight="1">
      <x:c r="A41" s="3"/>
      <x:c r="B41" s="3"/>
      <x:c r="C41" s="3"/>
      <x:c r="D41" s="3"/>
      <x:c r="E41" s="3"/>
      <x:c r="F41" s="3"/>
    </x:row>
    <x:row r="42" ht="23" customHeight="1">
      <x:c r="A42" s="3"/>
      <x:c r="B42" s="5" t="str">
        <x:v>The source controls above describe the supplied reference case. Differences after deliberate edits are expected.</x:v>
      </x:c>
      <x:c r="C42" s="3"/>
      <x:c r="D42" s="3"/>
      <x:c r="E42" s="3"/>
      <x:c r="F42" s="3"/>
    </x:row>
    <x:row r="43" ht="23" customHeight="1">
      <x:c r="A43" s="3"/>
      <x:c r="B43" s="5" t="str">
        <x:v>Tasks contains typed, deduplicated source fields plus live formulas. Original rows remain in Raw Work Log.</x:v>
      </x:c>
      <x:c r="C43" s="3"/>
      <x:c r="D43" s="3"/>
      <x:c r="E43" s="3"/>
      <x:c r="F43" s="3"/>
    </x:row>
    <x:row r="44" ht="23" customHeight="1">
      <x:c r="A44" s="3"/>
      <x:c r="B44" s="5" t="str">
        <x:v>Priced Usage contains prepared prompt fields. Original prompt rows remain in Raw AI Usage.</x:v>
      </x:c>
      <x:c r="C44" s="3"/>
      <x:c r="D44" s="3"/>
      <x:c r="E44" s="3"/>
      <x:c r="F44" s="3"/>
    </x:row>
    <x:row r="45" ht="23" customHeight="1">
      <x:c r="A45" s="3"/>
      <x:c r="B45" s="5" t="str">
        <x:v>Editing existing task hours, prompt tokens, model rates, campaign finances or Solution C5 recalculates results.</x:v>
      </x:c>
      <x:c r="C45" s="3"/>
      <x:c r="D45" s="3"/>
      <x:c r="E45" s="3"/>
      <x:c r="F45" s="3"/>
    </x:row>
    <x:row r="46" ht="23" customHeight="1">
      <x:c r="A46" s="3"/>
      <x:c r="B46" s="5" t="str">
        <x:v>New source rows or changed keys, dates, categories and group membership require rebuilding the workbook.</x:v>
      </x:c>
      <x:c r="C46" s="3"/>
      <x:c r="D46" s="3"/>
      <x:c r="E46" s="3"/>
      <x:c r="F46" s="3"/>
    </x:row>
    <x:row r="47" ht="23" customHeight="1">
      <x:c r="A47" s="3"/>
      <x:c r="B47" s="5" t="str">
        <x:v>The builder repeats validation and reconstructs groups. Manual table filters do not change summary scope.</x:v>
      </x:c>
      <x:c r="C47" s="3"/>
      <x:c r="D47" s="3"/>
      <x:c r="E47" s="3"/>
      <x:c r="F47" s="3"/>
    </x:row>
    <x:row r="48" ht="23" customHeight="1">
      <x:c r="A48" s="3"/>
      <x:c r="B48" s="5" t="str">
        <x:v>Source: four synthetic CSVs in DATA/TRACKS/portfolio-project. MIT code/text. CC0 1.0 synthetic data.</x:v>
      </x:c>
      <x:c r="C48" s="3"/>
      <x:c r="D48" s="3"/>
      <x:c r="E48" s="3"/>
      <x:c r="F48" s="3"/>
    </x:row>
    <x:row r="49" ht="23" customHeight="1">
      <x:c r="A49" s="3"/>
      <x:c r="B49" s="5" t="str">
        <x:v>Hourly assumption source: the Portfolio Project learner brief. Prices are supplied fictional rates, not vendor quotes.</x:v>
      </x:c>
      <x:c r="C49" s="3"/>
      <x:c r="D49" s="3"/>
      <x:c r="E49" s="3"/>
      <x:c r="F49" s="3"/>
    </x:row>
    <x:row r="50" ht="23" customHeight="1">
      <x:c r="A50" s="3"/>
      <x:c r="B50" s="5" t="str">
        <x:v>Baseline sensitivity changes baseline hours only. These simple formulas reuse campaign totals and do not forecast.</x:v>
      </x:c>
      <x:c r="C50" s="3"/>
      <x:c r="D50" s="3"/>
      <x:c r="E50" s="3"/>
      <x:c r="F50" s="3"/>
    </x:row>
    <x:row r="51" ht="23" customHeight="1">
      <x:c r="A51" s="3"/>
      <x:c r="B51" s="5" t="str">
        <x:v>The written conclusions describe the original case. Review them after changing assumptions or source inputs.</x:v>
      </x:c>
      <x:c r="C51" s="3"/>
      <x:c r="D51" s="3"/>
      <x:c r="E51" s="3"/>
      <x:c r="F51" s="3"/>
    </x:row>
    <x:row r="52" ht="23" customHeight="1">
      <x:c r="A52" s="3"/>
      <x:c r="B52" s="3"/>
      <x:c r="C52" s="3"/>
      <x:c r="D52" s="3"/>
      <x:c r="E52" s="3"/>
      <x:c r="F52" s="3"/>
    </x:row>
    <x:row r="53" ht="23" customHeight="1">
      <x:c r="A53" s="3"/>
      <x:c r="B53" s="3"/>
      <x:c r="C53" s="3"/>
      <x:c r="D53" s="3"/>
      <x:c r="E53" s="3"/>
      <x:c r="F53" s="3"/>
    </x:row>
    <x:row r="54" ht="23" customHeight="1">
      <x:c r="A54" s="3"/>
      <x:c r="B54" s="3"/>
      <x:c r="C54" s="3"/>
      <x:c r="D54" s="3"/>
      <x:c r="E54" s="3"/>
      <x:c r="F54" s="3"/>
    </x:row>
    <x:row r="55" ht="23" customHeight="1">
      <x:c r="A55" s="3"/>
      <x:c r="B55" s="3"/>
      <x:c r="C55" s="3"/>
      <x:c r="D55" s="3"/>
      <x:c r="E55" s="3"/>
      <x:c r="F55" s="3"/>
    </x:row>
    <x:row r="56" ht="23" customHeight="1">
      <x:c r="A56" s="3"/>
      <x:c r="B56" s="3"/>
      <x:c r="C56" s="3"/>
      <x:c r="D56" s="3"/>
      <x:c r="E56" s="3"/>
      <x:c r="F56" s="3"/>
    </x:row>
    <x:row r="57" ht="23" customHeight="1">
      <x:c r="A57" s="3"/>
      <x:c r="B57" s="3"/>
      <x:c r="C57" s="3"/>
      <x:c r="D57" s="3"/>
      <x:c r="E57" s="3"/>
      <x:c r="F57" s="3"/>
    </x:row>
  </x:sheetData>
  <x:conditionalFormatting sqref="E21:E37">
    <x:cfRule type="cellIs" dxfId="10" priority="1" operator="notBetween">
      <x:formula>-0.000001</x:formula>
      <x:formula>0.000001</x:formula>
    </x:cfRule>
  </x:conditionalFormatting>
  <x:pageMargins left="0.7" right="0.7" top="0.75" bottom="0.75" header="0.3" footer="0.3"/>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3" hidden="0" customWidth="1"/>
    <x:col min="2" max="2" width="39" hidden="0" customWidth="1"/>
    <x:col min="3" max="3" width="35" hidden="0" customWidth="1"/>
    <x:col min="4" max="4" width="85" hidden="0" customWidth="1"/>
  </x:cols>
  <x:sheetData>
    <x:row r="1" ht="23" customHeight="1">
      <x:c r="A1" s="3"/>
      <x:c r="B1" s="3"/>
      <x:c r="C1" s="3"/>
      <x:c r="D1" s="3"/>
    </x:row>
    <x:row r="2" ht="29" customHeight="1">
      <x:c r="A2" s="4" t="str">
        <x:v>Source and prepared field definitions</x:v>
      </x:c>
      <x:c r="B2" s="3"/>
      <x:c r="C2" s="3"/>
      <x:c r="D2" s="3"/>
    </x:row>
    <x:row r="3" ht="23" customHeight="1">
      <x:c r="A3" s="3"/>
      <x:c r="B3" s="3"/>
      <x:c r="C3" s="3"/>
      <x:c r="D3" s="3"/>
    </x:row>
    <x:row r="4" ht="23" customHeight="1">
      <x:c r="A4" s="5" t="str">
        <x:v>Original input meanings and every prepared column are documented here. Formulas remain visible in their working tables.</x:v>
      </x:c>
      <x:c r="B4" s="3"/>
      <x:c r="C4" s="3"/>
      <x:c r="D4" s="3"/>
    </x:row>
    <x:row r="5" ht="23" customHeight="1">
      <x:c r="A5" s="3"/>
      <x:c r="B5" s="3"/>
      <x:c r="C5" s="3"/>
      <x:c r="D5" s="3"/>
    </x:row>
    <x:row r="6" ht="44" customHeight="1">
      <x:c r="A6" s="14" t="str">
        <x:v>worksheet</x:v>
      </x:c>
      <x:c r="B6" s="15" t="str">
        <x:v>column</x:v>
      </x:c>
      <x:c r="C6" s="15" t="str">
        <x:v>type_and_units</x:v>
      </x:c>
      <x:c r="D6" s="16" t="str">
        <x:v>meaning</x:v>
      </x:c>
    </x:row>
    <x:row r="7" ht="46" customHeight="1">
      <x:c r="A7" s="55" t="str">
        <x:v>Campaign Inputs</x:v>
      </x:c>
      <x:c r="B7" s="55" t="str">
        <x:v>campaign_id</x:v>
      </x:c>
      <x:c r="C7" s="55" t="str">
        <x:v>Text identifier</x:v>
      </x:c>
      <x:c r="D7" s="55" t="str">
        <x:v>Identifier assigned to the campaign. The same identifier appears in work_log and ai_usage.</x:v>
      </x:c>
    </x:row>
    <x:row r="8" ht="46" customHeight="1">
      <x:c r="A8" s="55" t="str">
        <x:v>Campaign Inputs</x:v>
      </x:c>
      <x:c r="B8" s="55" t="str">
        <x:v>campaign_name</x:v>
      </x:c>
      <x:c r="C8" s="55" t="str">
        <x:v>Text</x:v>
      </x:c>
      <x:c r="D8" s="55" t="str">
        <x:v>Display name of the campaign: Campaign 1, Campaign 2, Campaign 3, or Campaign 4.</x:v>
      </x:c>
    </x:row>
    <x:row r="9" ht="46" customHeight="1">
      <x:c r="A9" s="55" t="str">
        <x:v>Campaign Inputs</x:v>
      </x:c>
      <x:c r="B9" s="55" t="str">
        <x:v>campaign_revenue_usd</x:v>
      </x:c>
      <x:c r="C9" s="55" t="str">
        <x:v>Decimal, USD</x:v>
      </x:c>
      <x:c r="D9" s="55" t="str">
        <x:v>Revenue for the complete campaign, rather than for an individual task, employee, or prompt.</x:v>
      </x:c>
    </x:row>
    <x:row r="10" ht="46" customHeight="1">
      <x:c r="A10" s="55" t="str">
        <x:v>Campaign Inputs</x:v>
      </x:c>
      <x:c r="B10" s="55" t="str">
        <x:v>other_campaign_cost_usd</x:v>
      </x:c>
      <x:c r="C10" s="55" t="str">
        <x:v>Decimal, USD</x:v>
      </x:c>
      <x:c r="D10" s="55" t="str">
        <x:v>Spending for the complete campaign excluding human labor time and AI fees.</x:v>
      </x:c>
    </x:row>
    <x:row r="11" ht="46" customHeight="1">
      <x:c r="A11" s="55" t="str">
        <x:v>Raw Work Log</x:v>
      </x:c>
      <x:c r="B11" s="55" t="str">
        <x:v>work_item_id</x:v>
      </x:c>
      <x:c r="C11" s="55" t="str">
        <x:v>Text identifier</x:v>
      </x:c>
      <x:c r="D11" s="55" t="str">
        <x:v>Identifier assigned to the completed task. The same identifier appears on its prompt records in ai_usage.</x:v>
      </x:c>
    </x:row>
    <x:row r="12" ht="46" customHeight="1">
      <x:c r="A12" s="55" t="str">
        <x:v>Raw Work Log</x:v>
      </x:c>
      <x:c r="B12" s="55" t="str">
        <x:v>completion_date</x:v>
      </x:c>
      <x:c r="C12" s="55" t="str">
        <x:v>Date, YYYY-MM-DD</x:v>
      </x:c>
      <x:c r="D12" s="55" t="str">
        <x:v>Date the task was completed. It is distinct from usage_date, which records when an individual prompt occurred.</x:v>
      </x:c>
    </x:row>
    <x:row r="13" ht="46" customHeight="1">
      <x:c r="A13" s="55" t="str">
        <x:v>Raw Work Log</x:v>
      </x:c>
      <x:c r="B13" s="55" t="str">
        <x:v>campaign_id</x:v>
      </x:c>
      <x:c r="C13" s="55" t="str">
        <x:v>Text identifier</x:v>
      </x:c>
      <x:c r="D13" s="55" t="str">
        <x:v>Campaign associated with the task, identified by campaign_id in the campaigns table.</x:v>
      </x:c>
    </x:row>
    <x:row r="14" ht="46" customHeight="1">
      <x:c r="A14" s="55" t="str">
        <x:v>Raw Work Log</x:v>
      </x:c>
      <x:c r="B14" s="55" t="str">
        <x:v>department</x:v>
      </x:c>
      <x:c r="C14" s="55" t="str">
        <x:v>Text</x:v>
      </x:c>
      <x:c r="D14" s="55" t="str">
        <x:v>Department responsible for the task. The business departments are Content, Creative, Marketing Operations, and Analytics.</x:v>
      </x:c>
    </x:row>
    <x:row r="15" ht="46" customHeight="1">
      <x:c r="A15" s="55" t="str">
        <x:v>Raw Work Log</x:v>
      </x:c>
      <x:c r="B15" s="55" t="str">
        <x:v>employee</x:v>
      </x:c>
      <x:c r="C15" s="55" t="str">
        <x:v>Text</x:v>
      </x:c>
      <x:c r="D15" s="55" t="str">
        <x:v>Fictional employee responsible for the task.</x:v>
      </x:c>
    </x:row>
    <x:row r="16" ht="46" customHeight="1">
      <x:c r="A16" s="55" t="str">
        <x:v>Raw Work Log</x:v>
      </x:c>
      <x:c r="B16" s="55" t="str">
        <x:v>task_type</x:v>
      </x:c>
      <x:c r="C16" s="55" t="str">
        <x:v>Text</x:v>
      </x:c>
      <x:c r="D16" s="55" t="str">
        <x:v>Description of the work performed, such as Write ad copy or Draft email sequence.</x:v>
      </x:c>
    </x:row>
    <x:row r="17" ht="46" customHeight="1">
      <x:c r="A17" s="55" t="str">
        <x:v>Raw Work Log</x:v>
      </x:c>
      <x:c r="B17" s="55" t="str">
        <x:v>baseline_hours</x:v>
      </x:c>
      <x:c r="C17" s="55" t="str">
        <x:v>Decimal, hours</x:v>
      </x:c>
      <x:c r="D17" s="55" t="str">
        <x:v>Estimated human effort to complete the same task at acceptable quality without AI.</x:v>
      </x:c>
    </x:row>
    <x:row r="18" ht="46" customHeight="1">
      <x:c r="A18" s="55" t="str">
        <x:v>Raw Work Log</x:v>
      </x:c>
      <x:c r="B18" s="55" t="str">
        <x:v>actual_hours</x:v>
      </x:c>
      <x:c r="C18" s="55" t="str">
        <x:v>Decimal, hours</x:v>
      </x:c>
      <x:c r="D18" s="55" t="str">
        <x:v>Total human effort while using AI, including preparation, prompting, review, and rework.</x:v>
      </x:c>
    </x:row>
    <x:row r="19" ht="46" customHeight="1">
      <x:c r="A19" s="55" t="str">
        <x:v>Raw Work Log</x:v>
      </x:c>
      <x:c r="B19" s="55" t="str">
        <x:v>rework_hours</x:v>
      </x:c>
      <x:c r="C19" s="55" t="str">
        <x:v>Decimal, hours</x:v>
      </x:c>
      <x:c r="D19" s="55" t="str">
        <x:v>Portion of actual_hours spent correcting or redoing work. These hours are already included in actual_hours.</x:v>
      </x:c>
    </x:row>
    <x:row r="20" ht="46" customHeight="1">
      <x:c r="A20" s="55" t="str">
        <x:v>Raw Work Log</x:v>
      </x:c>
      <x:c r="B20" s="55" t="str">
        <x:v>issue_tag</x:v>
      </x:c>
      <x:c r="C20" s="55" t="str">
        <x:v>Text category</x:v>
      </x:c>
      <x:c r="D20" s="55" t="str">
        <x:v>Primary recorded issue: None, Unclear prompt, Brief changed, or Data problem. None means no issue was recorded.</x:v>
      </x:c>
    </x:row>
    <x:row r="21" ht="46" customHeight="1">
      <x:c r="A21" s="55" t="str">
        <x:v>Raw Work Log</x:v>
      </x:c>
      <x:c r="B21" s="55" t="str">
        <x:v>brief_changed</x:v>
      </x:c>
      <x:c r="C21" s="55" t="str">
        <x:v>Text flag, Yes or No</x:v>
      </x:c>
      <x:c r="D21" s="55" t="str">
        <x:v>Recorded observation of whether the task's brief changed during the work.</x:v>
      </x:c>
    </x:row>
    <x:row r="22" ht="46" customHeight="1">
      <x:c r="A22" s="55" t="str">
        <x:v>Raw Work Log</x:v>
      </x:c>
      <x:c r="B22" s="55" t="str">
        <x:v>prompt_template_used</x:v>
      </x:c>
      <x:c r="C22" s="55" t="str">
        <x:v>Text flag, Yes or No</x:v>
      </x:c>
      <x:c r="D22" s="55" t="str">
        <x:v>Recorded observation of whether the employee used a prompt template for the task.</x:v>
      </x:c>
    </x:row>
    <x:row r="23" ht="46" customHeight="1">
      <x:c r="A23" s="55" t="str">
        <x:v>Raw AI Usage</x:v>
      </x:c>
      <x:c r="B23" s="55" t="str">
        <x:v>usage_id</x:v>
      </x:c>
      <x:c r="C23" s="55" t="str">
        <x:v>Text identifier</x:v>
      </x:c>
      <x:c r="D23" s="55" t="str">
        <x:v>Unique identifier for one employee prompt. Followups and corrections are separate prompt records.</x:v>
      </x:c>
    </x:row>
    <x:row r="24" ht="46" customHeight="1">
      <x:c r="A24" s="55" t="str">
        <x:v>Raw AI Usage</x:v>
      </x:c>
      <x:c r="B24" s="55" t="str">
        <x:v>usage_date</x:v>
      </x:c>
      <x:c r="C24" s="55" t="str">
        <x:v>Date, YYYY-MM-DD</x:v>
      </x:c>
      <x:c r="D24" s="55" t="str">
        <x:v>Date the prompt occurred. It falls on or before the linked task's completion_date.</x:v>
      </x:c>
    </x:row>
    <x:row r="25" ht="46" customHeight="1">
      <x:c r="A25" s="55" t="str">
        <x:v>Raw AI Usage</x:v>
      </x:c>
      <x:c r="B25" s="55" t="str">
        <x:v>work_item_id</x:v>
      </x:c>
      <x:c r="C25" s="55" t="str">
        <x:v>Text identifier</x:v>
      </x:c>
      <x:c r="D25" s="55" t="str">
        <x:v>Task associated with the prompt, identified by work_item_id in work_log.</x:v>
      </x:c>
    </x:row>
    <x:row r="26" ht="46" customHeight="1">
      <x:c r="A26" s="55" t="str">
        <x:v>Raw AI Usage</x:v>
      </x:c>
      <x:c r="B26" s="55" t="str">
        <x:v>campaign_id</x:v>
      </x:c>
      <x:c r="C26" s="55" t="str">
        <x:v>Text identifier</x:v>
      </x:c>
      <x:c r="D26" s="55" t="str">
        <x:v>Campaign associated with the prompt. It is the same campaign assigned to the linked task and identified in campaigns.</x:v>
      </x:c>
    </x:row>
    <x:row r="27" ht="46" customHeight="1">
      <x:c r="A27" s="55" t="str">
        <x:v>Raw AI Usage</x:v>
      </x:c>
      <x:c r="B27" s="55" t="str">
        <x:v>product</x:v>
      </x:c>
      <x:c r="C27" s="55" t="str">
        <x:v>Text</x:v>
      </x:c>
      <x:c r="D27" s="55" t="str">
        <x:v>AI application used for the prompt: CampaignChat, CopyStudio, DataFlow, or InsightDesk. Each task uses one product.</x:v>
      </x:c>
    </x:row>
    <x:row r="28" ht="46" customHeight="1">
      <x:c r="A28" s="55" t="str">
        <x:v>Raw AI Usage</x:v>
      </x:c>
      <x:c r="B28" s="55" t="str">
        <x:v>model</x:v>
      </x:c>
      <x:c r="C28" s="55" t="str">
        <x:v>Text</x:v>
      </x:c>
      <x:c r="D28" s="55" t="str">
        <x:v>Fictional AI model used for the prompt: Lite or Pro. The name corresponds to model in model_pricing. Each task uses one model.</x:v>
      </x:c>
    </x:row>
    <x:row r="29" ht="46" customHeight="1">
      <x:c r="A29" s="55" t="str">
        <x:v>Raw AI Usage</x:v>
      </x:c>
      <x:c r="B29" s="55" t="str">
        <x:v>input_tokens</x:v>
      </x:c>
      <x:c r="C29" s="55" t="str">
        <x:v>Integer, tokens</x:v>
      </x:c>
      <x:c r="D29" s="55" t="str">
        <x:v>Text units sent to AI in this prompt, including instructions and supporting context.</x:v>
      </x:c>
    </x:row>
    <x:row r="30" ht="46" customHeight="1">
      <x:c r="A30" s="55" t="str">
        <x:v>Raw AI Usage</x:v>
      </x:c>
      <x:c r="B30" s="55" t="str">
        <x:v>output_tokens</x:v>
      </x:c>
      <x:c r="C30" s="55" t="str">
        <x:v>Integer, tokens</x:v>
      </x:c>
      <x:c r="D30" s="55" t="str">
        <x:v>Text units returned by AI for this prompt.</x:v>
      </x:c>
    </x:row>
    <x:row r="31" ht="46" customHeight="1">
      <x:c r="A31" s="55" t="str">
        <x:v>Raw AI Usage</x:v>
      </x:c>
      <x:c r="B31" s="55" t="str">
        <x:v>prompt_reason</x:v>
      </x:c>
      <x:c r="C31" s="55" t="str">
        <x:v>Text category</x:v>
      </x:c>
      <x:c r="D31" s="55" t="str">
        <x:v>Purpose recorded for the interaction: First attempt, Followup, or Correction.</x:v>
      </x:c>
    </x:row>
    <x:row r="32" ht="46" customHeight="1">
      <x:c r="A32" s="55" t="str">
        <x:v>Model Pricing</x:v>
      </x:c>
      <x:c r="B32" s="55" t="str">
        <x:v>model</x:v>
      </x:c>
      <x:c r="C32" s="55" t="str">
        <x:v>Text identifier</x:v>
      </x:c>
      <x:c r="D32" s="55" t="str">
        <x:v>Fictional model whose prices appear on this row: Lite or Pro. The same name appears in ai_usage.</x:v>
      </x:c>
    </x:row>
    <x:row r="33" ht="46" customHeight="1">
      <x:c r="A33" s="55" t="str">
        <x:v>Model Pricing</x:v>
      </x:c>
      <x:c r="B33" s="55" t="str">
        <x:v>input_rate_usd_per_million</x:v>
      </x:c>
      <x:c r="C33" s="55" t="str">
        <x:v>Decimal, USD per 1,000,000 input tokens</x:v>
      </x:c>
      <x:c r="D33" s="55" t="str">
        <x:v>Price for the model to process one million input tokens. The same price applies across all products.</x:v>
      </x:c>
    </x:row>
    <x:row r="34" ht="46" customHeight="1">
      <x:c r="A34" s="55" t="str">
        <x:v>Model Pricing</x:v>
      </x:c>
      <x:c r="B34" s="55" t="str">
        <x:v>output_rate_usd_per_million</x:v>
      </x:c>
      <x:c r="C34" s="55" t="str">
        <x:v>Decimal, USD per 1,000,000 output tokens</x:v>
      </x:c>
      <x:c r="D34" s="55" t="str">
        <x:v>Price for the model to produce one million output tokens. The same price applies across all products.</x:v>
      </x:c>
    </x:row>
    <x:row r="35" ht="46" customHeight="1">
      <x:c r="A35" s="55" t="str">
        <x:v>Priced Usage</x:v>
      </x:c>
      <x:c r="B35" s="55" t="str">
        <x:v>usage_id</x:v>
      </x:c>
      <x:c r="C35" s="55" t="str">
        <x:v>Text identifier</x:v>
      </x:c>
      <x:c r="D35" s="55" t="str">
        <x:v>Unique identifier for one employee prompt. Followups and corrections are separate prompt records.</x:v>
      </x:c>
    </x:row>
    <x:row r="36" ht="46" customHeight="1">
      <x:c r="A36" s="55" t="str">
        <x:v>Priced Usage</x:v>
      </x:c>
      <x:c r="B36" s="55" t="str">
        <x:v>usage_date</x:v>
      </x:c>
      <x:c r="C36" s="55" t="str">
        <x:v>Date, YYYY-MM-DD</x:v>
      </x:c>
      <x:c r="D36" s="55" t="str">
        <x:v>Date the prompt occurred. It falls on or before the linked task's completion_date.</x:v>
      </x:c>
    </x:row>
    <x:row r="37" ht="46" customHeight="1">
      <x:c r="A37" s="55" t="str">
        <x:v>Priced Usage</x:v>
      </x:c>
      <x:c r="B37" s="55" t="str">
        <x:v>work_item_id</x:v>
      </x:c>
      <x:c r="C37" s="55" t="str">
        <x:v>Text identifier</x:v>
      </x:c>
      <x:c r="D37" s="55" t="str">
        <x:v>Task associated with the prompt, identified by work_item_id in work_log.</x:v>
      </x:c>
    </x:row>
    <x:row r="38" ht="46" customHeight="1">
      <x:c r="A38" s="55" t="str">
        <x:v>Priced Usage</x:v>
      </x:c>
      <x:c r="B38" s="55" t="str">
        <x:v>campaign_id</x:v>
      </x:c>
      <x:c r="C38" s="55" t="str">
        <x:v>Text identifier</x:v>
      </x:c>
      <x:c r="D38" s="55" t="str">
        <x:v>Campaign associated with the task, prompt or reported group. The identifier connects to Campaign Inputs.</x:v>
      </x:c>
    </x:row>
    <x:row r="39" ht="46" customHeight="1">
      <x:c r="A39" s="55" t="str">
        <x:v>Priced Usage</x:v>
      </x:c>
      <x:c r="B39" s="55" t="str">
        <x:v>product</x:v>
      </x:c>
      <x:c r="C39" s="55" t="str">
        <x:v>Text</x:v>
      </x:c>
      <x:c r="D39" s="55" t="str">
        <x:v>AI application used for the prompt: CampaignChat, CopyStudio, DataFlow, or InsightDesk. Each task uses one product.</x:v>
      </x:c>
    </x:row>
    <x:row r="40" ht="46" customHeight="1">
      <x:c r="A40" s="55" t="str">
        <x:v>Priced Usage</x:v>
      </x:c>
      <x:c r="B40" s="55" t="str">
        <x:v>model</x:v>
      </x:c>
      <x:c r="C40" s="55" t="str">
        <x:v>Text identifier</x:v>
      </x:c>
      <x:c r="D40" s="55" t="str">
        <x:v>Fictional model used by the task or prompt. Lite and Pro connect to the model prices in Model Pricing.</x:v>
      </x:c>
    </x:row>
    <x:row r="41" ht="46" customHeight="1">
      <x:c r="A41" s="55" t="str">
        <x:v>Priced Usage</x:v>
      </x:c>
      <x:c r="B41" s="55" t="str">
        <x:v>input_tokens</x:v>
      </x:c>
      <x:c r="C41" s="55" t="str">
        <x:v>Integer, tokens</x:v>
      </x:c>
      <x:c r="D41" s="55" t="str">
        <x:v>Text units sent to AI in this prompt, including instructions and supporting context.</x:v>
      </x:c>
    </x:row>
    <x:row r="42" ht="46" customHeight="1">
      <x:c r="A42" s="55" t="str">
        <x:v>Priced Usage</x:v>
      </x:c>
      <x:c r="B42" s="55" t="str">
        <x:v>output_tokens</x:v>
      </x:c>
      <x:c r="C42" s="55" t="str">
        <x:v>Integer, tokens</x:v>
      </x:c>
      <x:c r="D42" s="55" t="str">
        <x:v>Text units returned by AI for this prompt.</x:v>
      </x:c>
    </x:row>
    <x:row r="43" ht="46" customHeight="1">
      <x:c r="A43" s="55" t="str">
        <x:v>Priced Usage</x:v>
      </x:c>
      <x:c r="B43" s="55" t="str">
        <x:v>prompt_reason</x:v>
      </x:c>
      <x:c r="C43" s="55" t="str">
        <x:v>Text category</x:v>
      </x:c>
      <x:c r="D43" s="55" t="str">
        <x:v>Purpose recorded for the interaction: First attempt, Followup, or Correction.</x:v>
      </x:c>
    </x:row>
    <x:row r="44" ht="46" customHeight="1">
      <x:c r="A44" s="55" t="str">
        <x:v>Priced Usage</x:v>
      </x:c>
      <x:c r="B44" s="55" t="str">
        <x:v>input_rate_usd_per_million</x:v>
      </x:c>
      <x:c r="C44" s="55" t="str">
        <x:v>USD per million input tokens</x:v>
      </x:c>
      <x:c r="D44" s="55" t="str">
        <x:v>Exact model lookup from Model Pricing.</x:v>
      </x:c>
    </x:row>
    <x:row r="45" ht="46" customHeight="1">
      <x:c r="A45" s="55" t="str">
        <x:v>Priced Usage</x:v>
      </x:c>
      <x:c r="B45" s="55" t="str">
        <x:v>output_rate_usd_per_million</x:v>
      </x:c>
      <x:c r="C45" s="55" t="str">
        <x:v>USD per million output tokens</x:v>
      </x:c>
      <x:c r="D45" s="55" t="str">
        <x:v>Exact model lookup from Model Pricing.</x:v>
      </x:c>
    </x:row>
    <x:row r="46" ht="46" customHeight="1">
      <x:c r="A46" s="55" t="str">
        <x:v>Priced Usage</x:v>
      </x:c>
      <x:c r="B46" s="55" t="str">
        <x:v>total_tokens</x:v>
      </x:c>
      <x:c r="C46" s="55" t="str">
        <x:v>Integer, tokens</x:v>
      </x:c>
      <x:c r="D46" s="55" t="str">
        <x:v>Input tokens plus output tokens for the stated record or group.</x:v>
      </x:c>
    </x:row>
    <x:row r="47" ht="46" customHeight="1">
      <x:c r="A47" s="55" t="str">
        <x:v>Priced Usage</x:v>
      </x:c>
      <x:c r="B47" s="55" t="str">
        <x:v>input_cost_usd</x:v>
      </x:c>
      <x:c r="C47" s="55" t="str">
        <x:v>Decimal, USD</x:v>
      </x:c>
      <x:c r="D47" s="55" t="str">
        <x:v>Input tokens multiplied by the model input price, divided by one million. Sum prompt costs before reporting.</x:v>
      </x:c>
    </x:row>
    <x:row r="48" ht="46" customHeight="1">
      <x:c r="A48" s="55" t="str">
        <x:v>Priced Usage</x:v>
      </x:c>
      <x:c r="B48" s="55" t="str">
        <x:v>output_cost_usd</x:v>
      </x:c>
      <x:c r="C48" s="55" t="str">
        <x:v>Decimal, USD</x:v>
      </x:c>
      <x:c r="D48" s="55" t="str">
        <x:v>Output tokens multiplied by the model output price, divided by one million.</x:v>
      </x:c>
    </x:row>
    <x:row r="49" ht="46" customHeight="1">
      <x:c r="A49" s="55" t="str">
        <x:v>Priced Usage</x:v>
      </x:c>
      <x:c r="B49" s="55" t="str">
        <x:v>ai_cost_usd</x:v>
      </x:c>
      <x:c r="C49" s="55" t="str">
        <x:v>Decimal, USD</x:v>
      </x:c>
      <x:c r="D49" s="55" t="str">
        <x:v>Input cost plus output cost. Values retain full precision before display.</x:v>
      </x:c>
    </x:row>
    <x:row r="50" ht="46" customHeight="1">
      <x:c r="A50" s="55" t="str">
        <x:v>Prompt Totals</x:v>
      </x:c>
      <x:c r="B50" s="55" t="str">
        <x:v>work_item_id</x:v>
      </x:c>
      <x:c r="C50" s="55" t="str">
        <x:v>Text identifier</x:v>
      </x:c>
      <x:c r="D50" s="55" t="str">
        <x:v>Task associated with the prompt, identified by work_item_id in work_log.</x:v>
      </x:c>
    </x:row>
    <x:row r="51" ht="46" customHeight="1">
      <x:c r="A51" s="55" t="str">
        <x:v>Prompt Totals</x:v>
      </x:c>
      <x:c r="B51" s="55" t="str">
        <x:v>campaign_id</x:v>
      </x:c>
      <x:c r="C51" s="55" t="str">
        <x:v>Text identifier</x:v>
      </x:c>
      <x:c r="D51" s="55" t="str">
        <x:v>Campaign associated with the task, prompt or reported group. The identifier connects to Campaign Inputs.</x:v>
      </x:c>
    </x:row>
    <x:row r="52" ht="46" customHeight="1">
      <x:c r="A52" s="55" t="str">
        <x:v>Prompt Totals</x:v>
      </x:c>
      <x:c r="B52" s="55" t="str">
        <x:v>product</x:v>
      </x:c>
      <x:c r="C52" s="55" t="str">
        <x:v>Text</x:v>
      </x:c>
      <x:c r="D52" s="55" t="str">
        <x:v>AI application used for the prompt: CampaignChat, CopyStudio, DataFlow, or InsightDesk. Each task uses one product.</x:v>
      </x:c>
    </x:row>
    <x:row r="53" ht="46" customHeight="1">
      <x:c r="A53" s="55" t="str">
        <x:v>Prompt Totals</x:v>
      </x:c>
      <x:c r="B53" s="55" t="str">
        <x:v>model</x:v>
      </x:c>
      <x:c r="C53" s="55" t="str">
        <x:v>Text identifier</x:v>
      </x:c>
      <x:c r="D53" s="55" t="str">
        <x:v>Fictional model used by the task or prompt. Lite and Pro connect to the model prices in Model Pricing.</x:v>
      </x:c>
    </x:row>
    <x:row r="54" ht="46" customHeight="1">
      <x:c r="A54" s="55" t="str">
        <x:v>Prompt Totals</x:v>
      </x:c>
      <x:c r="B54" s="55" t="str">
        <x:v>input_tokens</x:v>
      </x:c>
      <x:c r="C54" s="55" t="str">
        <x:v>Integer, tokens</x:v>
      </x:c>
      <x:c r="D54" s="55" t="str">
        <x:v>Text units sent to AI in this prompt, including instructions and supporting context.</x:v>
      </x:c>
    </x:row>
    <x:row r="55" ht="46" customHeight="1">
      <x:c r="A55" s="55" t="str">
        <x:v>Prompt Totals</x:v>
      </x:c>
      <x:c r="B55" s="55" t="str">
        <x:v>output_tokens</x:v>
      </x:c>
      <x:c r="C55" s="55" t="str">
        <x:v>Integer, tokens</x:v>
      </x:c>
      <x:c r="D55" s="55" t="str">
        <x:v>Text units returned by AI for this prompt.</x:v>
      </x:c>
    </x:row>
    <x:row r="56" ht="46" customHeight="1">
      <x:c r="A56" s="55" t="str">
        <x:v>Prompt Totals</x:v>
      </x:c>
      <x:c r="B56" s="55" t="str">
        <x:v>total_tokens</x:v>
      </x:c>
      <x:c r="C56" s="55" t="str">
        <x:v>Integer, tokens</x:v>
      </x:c>
      <x:c r="D56" s="55" t="str">
        <x:v>Input tokens plus output tokens for the stated record or group.</x:v>
      </x:c>
    </x:row>
    <x:row r="57" ht="46" customHeight="1">
      <x:c r="A57" s="55" t="str">
        <x:v>Prompt Totals</x:v>
      </x:c>
      <x:c r="B57" s="55" t="str">
        <x:v>prompt_count</x:v>
      </x:c>
      <x:c r="C57" s="55" t="str">
        <x:v>Integer, prompts</x:v>
      </x:c>
      <x:c r="D57" s="55" t="str">
        <x:v>Count of distinct prepared prompt records. Followups and corrections count as separate prompts.</x:v>
      </x:c>
    </x:row>
    <x:row r="58" ht="46" customHeight="1">
      <x:c r="A58" s="55" t="str">
        <x:v>Prompt Totals</x:v>
      </x:c>
      <x:c r="B58" s="55" t="str">
        <x:v>input_cost_usd</x:v>
      </x:c>
      <x:c r="C58" s="55" t="str">
        <x:v>Decimal, USD</x:v>
      </x:c>
      <x:c r="D58" s="55" t="str">
        <x:v>Input tokens multiplied by the model input price, divided by one million. Sum prompt costs before reporting.</x:v>
      </x:c>
    </x:row>
    <x:row r="59" ht="46" customHeight="1">
      <x:c r="A59" s="55" t="str">
        <x:v>Prompt Totals</x:v>
      </x:c>
      <x:c r="B59" s="55" t="str">
        <x:v>output_cost_usd</x:v>
      </x:c>
      <x:c r="C59" s="55" t="str">
        <x:v>Decimal, USD</x:v>
      </x:c>
      <x:c r="D59" s="55" t="str">
        <x:v>Output tokens multiplied by the model output price, divided by one million.</x:v>
      </x:c>
    </x:row>
    <x:row r="60" ht="46" customHeight="1">
      <x:c r="A60" s="55" t="str">
        <x:v>Prompt Totals</x:v>
      </x:c>
      <x:c r="B60" s="55" t="str">
        <x:v>ai_cost_usd</x:v>
      </x:c>
      <x:c r="C60" s="55" t="str">
        <x:v>Decimal, USD</x:v>
      </x:c>
      <x:c r="D60" s="55" t="str">
        <x:v>Input cost plus output cost. Values retain full precision before display.</x:v>
      </x:c>
    </x:row>
    <x:row r="61" ht="46" customHeight="1">
      <x:c r="A61" s="55" t="str">
        <x:v>Prompt Totals</x:v>
      </x:c>
      <x:c r="B61" s="55" t="str">
        <x:v>first_attempt_prompts</x:v>
      </x:c>
      <x:c r="C61" s="55" t="str">
        <x:v>Integer, prompts</x:v>
      </x:c>
      <x:c r="D61" s="55" t="str">
        <x:v>Count of prompt records with prompt_reason First attempt.</x:v>
      </x:c>
    </x:row>
    <x:row r="62" ht="46" customHeight="1">
      <x:c r="A62" s="55" t="str">
        <x:v>Prompt Totals</x:v>
      </x:c>
      <x:c r="B62" s="55" t="str">
        <x:v>followup_prompts</x:v>
      </x:c>
      <x:c r="C62" s="55" t="str">
        <x:v>Integer, prompts</x:v>
      </x:c>
      <x:c r="D62" s="55" t="str">
        <x:v>Count of prompt records with prompt_reason Followup.</x:v>
      </x:c>
    </x:row>
    <x:row r="63" ht="46" customHeight="1">
      <x:c r="A63" s="55" t="str">
        <x:v>Prompt Totals</x:v>
      </x:c>
      <x:c r="B63" s="55" t="str">
        <x:v>correction_prompts</x:v>
      </x:c>
      <x:c r="C63" s="55" t="str">
        <x:v>Integer, prompts</x:v>
      </x:c>
      <x:c r="D63" s="55" t="str">
        <x:v>Count of prompt records with prompt_reason Correction.</x:v>
      </x:c>
    </x:row>
    <x:row r="64" ht="46" customHeight="1">
      <x:c r="A64" s="55" t="str">
        <x:v>Tasks</x:v>
      </x:c>
      <x:c r="B64" s="55" t="str">
        <x:v>work_item_id</x:v>
      </x:c>
      <x:c r="C64" s="55" t="str">
        <x:v>Text identifier</x:v>
      </x:c>
      <x:c r="D64" s="55" t="str">
        <x:v>Task associated with the prompt, identified by work_item_id in work_log.</x:v>
      </x:c>
    </x:row>
    <x:row r="65" ht="46" customHeight="1">
      <x:c r="A65" s="55" t="str">
        <x:v>Tasks</x:v>
      </x:c>
      <x:c r="B65" s="55" t="str">
        <x:v>completion_date</x:v>
      </x:c>
      <x:c r="C65" s="55" t="str">
        <x:v>Date, YYYY-MM-DD</x:v>
      </x:c>
      <x:c r="D65" s="55" t="str">
        <x:v>Date the task was completed. It is distinct from usage_date, which records when an individual prompt occurred.</x:v>
      </x:c>
    </x:row>
    <x:row r="66" ht="46" customHeight="1">
      <x:c r="A66" s="55" t="str">
        <x:v>Tasks</x:v>
      </x:c>
      <x:c r="B66" s="55" t="str">
        <x:v>campaign_id</x:v>
      </x:c>
      <x:c r="C66" s="55" t="str">
        <x:v>Text identifier</x:v>
      </x:c>
      <x:c r="D66" s="55" t="str">
        <x:v>Campaign associated with the task, prompt or reported group. The identifier connects to Campaign Inputs.</x:v>
      </x:c>
    </x:row>
    <x:row r="67" ht="46" customHeight="1">
      <x:c r="A67" s="55" t="str">
        <x:v>Tasks</x:v>
      </x:c>
      <x:c r="B67" s="55" t="str">
        <x:v>department</x:v>
      </x:c>
      <x:c r="C67" s="55" t="str">
        <x:v>Text</x:v>
      </x:c>
      <x:c r="D67" s="55" t="str">
        <x:v>Department responsible for the task. The business departments are Content, Creative, Marketing Operations, and Analytics.</x:v>
      </x:c>
    </x:row>
    <x:row r="68" ht="46" customHeight="1">
      <x:c r="A68" s="55" t="str">
        <x:v>Tasks</x:v>
      </x:c>
      <x:c r="B68" s="55" t="str">
        <x:v>employee</x:v>
      </x:c>
      <x:c r="C68" s="55" t="str">
        <x:v>Text</x:v>
      </x:c>
      <x:c r="D68" s="55" t="str">
        <x:v>Fictional employee responsible for the task.</x:v>
      </x:c>
    </x:row>
    <x:row r="69" ht="46" customHeight="1">
      <x:c r="A69" s="55" t="str">
        <x:v>Tasks</x:v>
      </x:c>
      <x:c r="B69" s="55" t="str">
        <x:v>task_type</x:v>
      </x:c>
      <x:c r="C69" s="55" t="str">
        <x:v>Text</x:v>
      </x:c>
      <x:c r="D69" s="55" t="str">
        <x:v>Description of the work performed, such as Write ad copy or Draft email sequence.</x:v>
      </x:c>
    </x:row>
    <x:row r="70" ht="46" customHeight="1">
      <x:c r="A70" s="55" t="str">
        <x:v>Tasks</x:v>
      </x:c>
      <x:c r="B70" s="55" t="str">
        <x:v>baseline_hours</x:v>
      </x:c>
      <x:c r="C70" s="55" t="str">
        <x:v>Decimal, hours</x:v>
      </x:c>
      <x:c r="D70" s="55" t="str">
        <x:v>Estimated human effort to complete the same task at acceptable quality without AI.</x:v>
      </x:c>
    </x:row>
    <x:row r="71" ht="46" customHeight="1">
      <x:c r="A71" s="55" t="str">
        <x:v>Tasks</x:v>
      </x:c>
      <x:c r="B71" s="55" t="str">
        <x:v>actual_hours</x:v>
      </x:c>
      <x:c r="C71" s="55" t="str">
        <x:v>Decimal, hours</x:v>
      </x:c>
      <x:c r="D71" s="55" t="str">
        <x:v>Total human effort while using AI, including preparation, prompting, review, and rework.</x:v>
      </x:c>
    </x:row>
    <x:row r="72" ht="46" customHeight="1">
      <x:c r="A72" s="55" t="str">
        <x:v>Tasks</x:v>
      </x:c>
      <x:c r="B72" s="55" t="str">
        <x:v>rework_hours</x:v>
      </x:c>
      <x:c r="C72" s="55" t="str">
        <x:v>Decimal, hours</x:v>
      </x:c>
      <x:c r="D72" s="55" t="str">
        <x:v>Portion of actual_hours spent correcting or redoing work. These hours are already included in actual_hours.</x:v>
      </x:c>
    </x:row>
    <x:row r="73" ht="46" customHeight="1">
      <x:c r="A73" s="55" t="str">
        <x:v>Tasks</x:v>
      </x:c>
      <x:c r="B73" s="55" t="str">
        <x:v>issue_tag</x:v>
      </x:c>
      <x:c r="C73" s="55" t="str">
        <x:v>Text category</x:v>
      </x:c>
      <x:c r="D73" s="55" t="str">
        <x:v>Primary recorded issue: None, Unclear prompt, Brief changed, or Data problem. None means no issue was recorded.</x:v>
      </x:c>
    </x:row>
    <x:row r="74" ht="46" customHeight="1">
      <x:c r="A74" s="55" t="str">
        <x:v>Tasks</x:v>
      </x:c>
      <x:c r="B74" s="55" t="str">
        <x:v>brief_changed</x:v>
      </x:c>
      <x:c r="C74" s="55" t="str">
        <x:v>Text flag, Yes or No</x:v>
      </x:c>
      <x:c r="D74" s="55" t="str">
        <x:v>Recorded observation of whether the task's brief changed during the work.</x:v>
      </x:c>
    </x:row>
    <x:row r="75" ht="46" customHeight="1">
      <x:c r="A75" s="55" t="str">
        <x:v>Tasks</x:v>
      </x:c>
      <x:c r="B75" s="55" t="str">
        <x:v>prompt_template_used</x:v>
      </x:c>
      <x:c r="C75" s="55" t="str">
        <x:v>Text flag, Yes or No</x:v>
      </x:c>
      <x:c r="D75" s="55" t="str">
        <x:v>Recorded observation of whether the employee used a prompt template for the task.</x:v>
      </x:c>
    </x:row>
    <x:row r="76" ht="46" customHeight="1">
      <x:c r="A76" s="55" t="str">
        <x:v>Tasks</x:v>
      </x:c>
      <x:c r="B76" s="55" t="str">
        <x:v>product</x:v>
      </x:c>
      <x:c r="C76" s="55" t="str">
        <x:v>Text</x:v>
      </x:c>
      <x:c r="D76" s="55" t="str">
        <x:v>AI application used for the prompt: CampaignChat, CopyStudio, DataFlow, or InsightDesk. Each task uses one product.</x:v>
      </x:c>
    </x:row>
    <x:row r="77" ht="46" customHeight="1">
      <x:c r="A77" s="55" t="str">
        <x:v>Tasks</x:v>
      </x:c>
      <x:c r="B77" s="55" t="str">
        <x:v>model</x:v>
      </x:c>
      <x:c r="C77" s="55" t="str">
        <x:v>Text identifier</x:v>
      </x:c>
      <x:c r="D77" s="55" t="str">
        <x:v>Fictional model used by the task or prompt. Lite and Pro connect to the model prices in Model Pricing.</x:v>
      </x:c>
    </x:row>
    <x:row r="78" ht="46" customHeight="1">
      <x:c r="A78" s="55" t="str">
        <x:v>Tasks</x:v>
      </x:c>
      <x:c r="B78" s="55" t="str">
        <x:v>input_tokens</x:v>
      </x:c>
      <x:c r="C78" s="55" t="str">
        <x:v>Integer, tokens</x:v>
      </x:c>
      <x:c r="D78" s="55" t="str">
        <x:v>Text units sent to AI in this prompt, including instructions and supporting context.</x:v>
      </x:c>
    </x:row>
    <x:row r="79" ht="46" customHeight="1">
      <x:c r="A79" s="55" t="str">
        <x:v>Tasks</x:v>
      </x:c>
      <x:c r="B79" s="55" t="str">
        <x:v>output_tokens</x:v>
      </x:c>
      <x:c r="C79" s="55" t="str">
        <x:v>Integer, tokens</x:v>
      </x:c>
      <x:c r="D79" s="55" t="str">
        <x:v>Text units returned by AI for this prompt.</x:v>
      </x:c>
    </x:row>
    <x:row r="80" ht="46" customHeight="1">
      <x:c r="A80" s="55" t="str">
        <x:v>Tasks</x:v>
      </x:c>
      <x:c r="B80" s="55" t="str">
        <x:v>total_tokens</x:v>
      </x:c>
      <x:c r="C80" s="55" t="str">
        <x:v>Integer, tokens</x:v>
      </x:c>
      <x:c r="D80" s="55" t="str">
        <x:v>Input tokens plus output tokens for the stated record or group.</x:v>
      </x:c>
    </x:row>
    <x:row r="81" ht="46" customHeight="1">
      <x:c r="A81" s="55" t="str">
        <x:v>Tasks</x:v>
      </x:c>
      <x:c r="B81" s="55" t="str">
        <x:v>prompt_count</x:v>
      </x:c>
      <x:c r="C81" s="55" t="str">
        <x:v>Integer, prompts</x:v>
      </x:c>
      <x:c r="D81" s="55" t="str">
        <x:v>Count of distinct prepared prompt records. Followups and corrections count as separate prompts.</x:v>
      </x:c>
    </x:row>
    <x:row r="82" ht="46" customHeight="1">
      <x:c r="A82" s="55" t="str">
        <x:v>Tasks</x:v>
      </x:c>
      <x:c r="B82" s="55" t="str">
        <x:v>input_cost_usd</x:v>
      </x:c>
      <x:c r="C82" s="55" t="str">
        <x:v>Decimal, USD</x:v>
      </x:c>
      <x:c r="D82" s="55" t="str">
        <x:v>Input tokens multiplied by the model input price, divided by one million. Sum prompt costs before reporting.</x:v>
      </x:c>
    </x:row>
    <x:row r="83" ht="46" customHeight="1">
      <x:c r="A83" s="55" t="str">
        <x:v>Tasks</x:v>
      </x:c>
      <x:c r="B83" s="55" t="str">
        <x:v>output_cost_usd</x:v>
      </x:c>
      <x:c r="C83" s="55" t="str">
        <x:v>Decimal, USD</x:v>
      </x:c>
      <x:c r="D83" s="55" t="str">
        <x:v>Output tokens multiplied by the model output price, divided by one million.</x:v>
      </x:c>
    </x:row>
    <x:row r="84" ht="46" customHeight="1">
      <x:c r="A84" s="55" t="str">
        <x:v>Tasks</x:v>
      </x:c>
      <x:c r="B84" s="55" t="str">
        <x:v>ai_cost_usd</x:v>
      </x:c>
      <x:c r="C84" s="55" t="str">
        <x:v>Decimal, USD</x:v>
      </x:c>
      <x:c r="D84" s="55" t="str">
        <x:v>Input cost plus output cost. Values retain full precision before display.</x:v>
      </x:c>
    </x:row>
    <x:row r="85" ht="46" customHeight="1">
      <x:c r="A85" s="55" t="str">
        <x:v>Tasks</x:v>
      </x:c>
      <x:c r="B85" s="55" t="str">
        <x:v>first_attempt_prompts</x:v>
      </x:c>
      <x:c r="C85" s="55" t="str">
        <x:v>Integer, prompts</x:v>
      </x:c>
      <x:c r="D85" s="55" t="str">
        <x:v>Count of prompt records with prompt_reason First attempt.</x:v>
      </x:c>
    </x:row>
    <x:row r="86" ht="46" customHeight="1">
      <x:c r="A86" s="55" t="str">
        <x:v>Tasks</x:v>
      </x:c>
      <x:c r="B86" s="55" t="str">
        <x:v>followup_prompts</x:v>
      </x:c>
      <x:c r="C86" s="55" t="str">
        <x:v>Integer, prompts</x:v>
      </x:c>
      <x:c r="D86" s="55" t="str">
        <x:v>Count of prompt records with prompt_reason Followup.</x:v>
      </x:c>
    </x:row>
    <x:row r="87" ht="46" customHeight="1">
      <x:c r="A87" s="55" t="str">
        <x:v>Tasks</x:v>
      </x:c>
      <x:c r="B87" s="55" t="str">
        <x:v>correction_prompts</x:v>
      </x:c>
      <x:c r="C87" s="55" t="str">
        <x:v>Integer, prompts</x:v>
      </x:c>
      <x:c r="D87" s="55" t="str">
        <x:v>Count of prompt records with prompt_reason Correction.</x:v>
      </x:c>
    </x:row>
    <x:row r="88" ht="46" customHeight="1">
      <x:c r="A88" s="55" t="str">
        <x:v>Tasks</x:v>
      </x:c>
      <x:c r="B88" s="55" t="str">
        <x:v>hours_saved</x:v>
      </x:c>
      <x:c r="C88" s="55" t="str">
        <x:v>Decimal, hours</x:v>
      </x:c>
      <x:c r="D88" s="55" t="str">
        <x:v>Baseline hours less actual hours. A negative result means more effort than the no AI estimate.</x:v>
      </x:c>
    </x:row>
    <x:row r="89" ht="46" customHeight="1">
      <x:c r="A89" s="55" t="str">
        <x:v>Tasks</x:v>
      </x:c>
      <x:c r="B89" s="55" t="str">
        <x:v>time_value_usd</x:v>
      </x:c>
      <x:c r="C89" s="55" t="str">
        <x:v>Decimal, USD</x:v>
      </x:c>
      <x:c r="D89" s="55" t="str">
        <x:v>Hours saved multiplied by the hourly value in Solution C5.</x:v>
      </x:c>
    </x:row>
    <x:row r="90" ht="46" customHeight="1">
      <x:c r="A90" s="55" t="str">
        <x:v>Tasks</x:v>
      </x:c>
      <x:c r="B90" s="55" t="str">
        <x:v>net_ai_value_usd</x:v>
      </x:c>
      <x:c r="C90" s="55" t="str">
        <x:v>Decimal, USD</x:v>
      </x:c>
      <x:c r="D90" s="55" t="str">
        <x:v>Time value less AI cost. Estimated staff capacity value rather than payroll cash savings.</x:v>
      </x:c>
    </x:row>
    <x:row r="91" ht="46" customHeight="1">
      <x:c r="A91" s="55" t="str">
        <x:v>Campaigns</x:v>
      </x:c>
      <x:c r="B91" s="55" t="str">
        <x:v>campaign_id</x:v>
      </x:c>
      <x:c r="C91" s="55" t="str">
        <x:v>Text identifier</x:v>
      </x:c>
      <x:c r="D91" s="55" t="str">
        <x:v>Campaign being summarized. ALL includes all four campaigns. FOCAL includes Campaigns 1 and 2. Other rows represent one complete campaign.</x:v>
      </x:c>
    </x:row>
    <x:row r="92" ht="46" customHeight="1">
      <x:c r="A92" s="55" t="str">
        <x:v>Campaigns</x:v>
      </x:c>
      <x:c r="B92" s="55" t="str">
        <x:v>campaign_name</x:v>
      </x:c>
      <x:c r="C92" s="55" t="str">
        <x:v>Text</x:v>
      </x:c>
      <x:c r="D92" s="55" t="str">
        <x:v>Display name of the campaign: Campaign 1, Campaign 2, Campaign 3, or Campaign 4.</x:v>
      </x:c>
    </x:row>
    <x:row r="93" ht="46" customHeight="1">
      <x:c r="A93" s="55" t="str">
        <x:v>Campaigns</x:v>
      </x:c>
      <x:c r="B93" s="55" t="str">
        <x:v>tasks</x:v>
      </x:c>
      <x:c r="C93" s="55" t="str">
        <x:v>Integer, tasks</x:v>
      </x:c>
      <x:c r="D93" s="55" t="str">
        <x:v>Count of complete cleaned tasks in this group.</x:v>
      </x:c>
    </x:row>
    <x:row r="94" ht="46" customHeight="1">
      <x:c r="A94" s="55" t="str">
        <x:v>Campaigns</x:v>
      </x:c>
      <x:c r="B94" s="55" t="str">
        <x:v>input_tokens</x:v>
      </x:c>
      <x:c r="C94" s="55" t="str">
        <x:v>Integer, tokens</x:v>
      </x:c>
      <x:c r="D94" s="55" t="str">
        <x:v>Text units sent to AI in this prompt, including instructions and supporting context.</x:v>
      </x:c>
    </x:row>
    <x:row r="95" ht="46" customHeight="1">
      <x:c r="A95" s="55" t="str">
        <x:v>Campaigns</x:v>
      </x:c>
      <x:c r="B95" s="55" t="str">
        <x:v>output_tokens</x:v>
      </x:c>
      <x:c r="C95" s="55" t="str">
        <x:v>Integer, tokens</x:v>
      </x:c>
      <x:c r="D95" s="55" t="str">
        <x:v>Text units returned by AI for this prompt.</x:v>
      </x:c>
    </x:row>
    <x:row r="96" ht="46" customHeight="1">
      <x:c r="A96" s="55" t="str">
        <x:v>Campaigns</x:v>
      </x:c>
      <x:c r="B96" s="55" t="str">
        <x:v>total_tokens</x:v>
      </x:c>
      <x:c r="C96" s="55" t="str">
        <x:v>Integer, tokens</x:v>
      </x:c>
      <x:c r="D96" s="55" t="str">
        <x:v>Input tokens plus output tokens for the stated record or group.</x:v>
      </x:c>
    </x:row>
    <x:row r="97" ht="46" customHeight="1">
      <x:c r="A97" s="55" t="str">
        <x:v>Campaigns</x:v>
      </x:c>
      <x:c r="B97" s="55" t="str">
        <x:v>input_cost_usd</x:v>
      </x:c>
      <x:c r="C97" s="55" t="str">
        <x:v>Decimal, USD</x:v>
      </x:c>
      <x:c r="D97" s="55" t="str">
        <x:v>Input tokens multiplied by the model input price, divided by one million. Sum prompt costs before reporting.</x:v>
      </x:c>
    </x:row>
    <x:row r="98" ht="46" customHeight="1">
      <x:c r="A98" s="55" t="str">
        <x:v>Campaigns</x:v>
      </x:c>
      <x:c r="B98" s="55" t="str">
        <x:v>output_cost_usd</x:v>
      </x:c>
      <x:c r="C98" s="55" t="str">
        <x:v>Decimal, USD</x:v>
      </x:c>
      <x:c r="D98" s="55" t="str">
        <x:v>Output tokens multiplied by the model output price, divided by one million.</x:v>
      </x:c>
    </x:row>
    <x:row r="99" ht="46" customHeight="1">
      <x:c r="A99" s="55" t="str">
        <x:v>Campaigns</x:v>
      </x:c>
      <x:c r="B99" s="55" t="str">
        <x:v>ai_cost_usd</x:v>
      </x:c>
      <x:c r="C99" s="55" t="str">
        <x:v>Decimal, USD</x:v>
      </x:c>
      <x:c r="D99" s="55" t="str">
        <x:v>Input cost plus output cost. Values retain full precision before display.</x:v>
      </x:c>
    </x:row>
    <x:row r="100" ht="46" customHeight="1">
      <x:c r="A100" s="55" t="str">
        <x:v>Campaigns</x:v>
      </x:c>
      <x:c r="B100" s="55" t="str">
        <x:v>prompt_count</x:v>
      </x:c>
      <x:c r="C100" s="55" t="str">
        <x:v>Integer, prompts</x:v>
      </x:c>
      <x:c r="D100" s="55" t="str">
        <x:v>Count of distinct prepared prompt records. Followups and corrections count as separate prompts.</x:v>
      </x:c>
    </x:row>
    <x:row r="101" ht="46" customHeight="1">
      <x:c r="A101" s="55" t="str">
        <x:v>Campaigns</x:v>
      </x:c>
      <x:c r="B101" s="55" t="str">
        <x:v>cost_per_prompt_usd</x:v>
      </x:c>
      <x:c r="C101" s="55" t="str">
        <x:v>Decimal, USD per prompt</x:v>
      </x:c>
      <x:c r="D101" s="55" t="str">
        <x:v>Total AI cost divided by total prompt count. N/A when no prompts exist.</x:v>
      </x:c>
    </x:row>
    <x:row r="102" ht="46" customHeight="1">
      <x:c r="A102" s="55" t="str">
        <x:v>Campaigns</x:v>
      </x:c>
      <x:c r="B102" s="55" t="str">
        <x:v>baseline_hours</x:v>
      </x:c>
      <x:c r="C102" s="55" t="str">
        <x:v>Decimal, hours</x:v>
      </x:c>
      <x:c r="D102" s="55" t="str">
        <x:v>Estimated human effort to complete the same task at acceptable quality without AI.</x:v>
      </x:c>
    </x:row>
    <x:row r="103" ht="46" customHeight="1">
      <x:c r="A103" s="55" t="str">
        <x:v>Campaigns</x:v>
      </x:c>
      <x:c r="B103" s="55" t="str">
        <x:v>actual_hours</x:v>
      </x:c>
      <x:c r="C103" s="55" t="str">
        <x:v>Decimal, hours</x:v>
      </x:c>
      <x:c r="D103" s="55" t="str">
        <x:v>Total human effort while using AI, including preparation, prompting, review, and rework.</x:v>
      </x:c>
    </x:row>
    <x:row r="104" ht="46" customHeight="1">
      <x:c r="A104" s="55" t="str">
        <x:v>Campaigns</x:v>
      </x:c>
      <x:c r="B104" s="55" t="str">
        <x:v>hours_saved</x:v>
      </x:c>
      <x:c r="C104" s="55" t="str">
        <x:v>Decimal, hours</x:v>
      </x:c>
      <x:c r="D104" s="55" t="str">
        <x:v>Baseline hours less actual hours. A negative result means more effort than the no AI estimate.</x:v>
      </x:c>
    </x:row>
    <x:row r="105" ht="46" customHeight="1">
      <x:c r="A105" s="55" t="str">
        <x:v>Campaigns</x:v>
      </x:c>
      <x:c r="B105" s="55" t="str">
        <x:v>time_value_usd</x:v>
      </x:c>
      <x:c r="C105" s="55" t="str">
        <x:v>Decimal, USD</x:v>
      </x:c>
      <x:c r="D105" s="55" t="str">
        <x:v>Hours saved multiplied by the hourly value in Solution C5.</x:v>
      </x:c>
    </x:row>
    <x:row r="106" ht="46" customHeight="1">
      <x:c r="A106" s="55" t="str">
        <x:v>Campaigns</x:v>
      </x:c>
      <x:c r="B106" s="55" t="str">
        <x:v>net_ai_value_usd</x:v>
      </x:c>
      <x:c r="C106" s="55" t="str">
        <x:v>Decimal, USD</x:v>
      </x:c>
      <x:c r="D106" s="55" t="str">
        <x:v>Time value less AI cost. Estimated staff capacity value rather than payroll cash savings.</x:v>
      </x:c>
    </x:row>
    <x:row r="107" ht="46" customHeight="1">
      <x:c r="A107" s="55" t="str">
        <x:v>Campaigns</x:v>
      </x:c>
      <x:c r="B107" s="55" t="str">
        <x:v>ai_roi</x:v>
      </x:c>
      <x:c r="C107" s="55" t="str">
        <x:v>Fraction, displayed as percent</x:v>
      </x:c>
      <x:c r="D107" s="55" t="str">
        <x:v>Total net AI value divided by total AI cost. N/A when AI cost is zero. May be below minus 100 percent.</x:v>
      </x:c>
    </x:row>
    <x:row r="108" ht="46" customHeight="1">
      <x:c r="A108" s="55" t="str">
        <x:v>Campaigns</x:v>
      </x:c>
      <x:c r="B108" s="55" t="str">
        <x:v>rework_hours</x:v>
      </x:c>
      <x:c r="C108" s="55" t="str">
        <x:v>Decimal, hours</x:v>
      </x:c>
      <x:c r="D108" s="55" t="str">
        <x:v>Portion of actual_hours spent correcting or redoing work. These hours are already included in actual_hours.</x:v>
      </x:c>
    </x:row>
    <x:row r="109" ht="46" customHeight="1">
      <x:c r="A109" s="55" t="str">
        <x:v>Campaigns</x:v>
      </x:c>
      <x:c r="B109" s="55" t="str">
        <x:v>rework_share</x:v>
      </x:c>
      <x:c r="C109" s="55" t="str">
        <x:v>Fraction, displayed as percent</x:v>
      </x:c>
      <x:c r="D109" s="55" t="str">
        <x:v>Total rework hours divided by total actual hours. Rework is already included in actual hours.</x:v>
      </x:c>
    </x:row>
    <x:row r="110" ht="46" customHeight="1">
      <x:c r="A110" s="55" t="str">
        <x:v>Campaigns</x:v>
      </x:c>
      <x:c r="B110" s="55" t="str">
        <x:v>correction_prompts</x:v>
      </x:c>
      <x:c r="C110" s="55" t="str">
        <x:v>Integer, prompts</x:v>
      </x:c>
      <x:c r="D110" s="55" t="str">
        <x:v>Count of prompt records with prompt_reason Correction.</x:v>
      </x:c>
    </x:row>
    <x:row r="111" ht="46" customHeight="1">
      <x:c r="A111" s="55" t="str">
        <x:v>Campaigns</x:v>
      </x:c>
      <x:c r="B111" s="55" t="str">
        <x:v>correction_share</x:v>
      </x:c>
      <x:c r="C111" s="55" t="str">
        <x:v>Fraction, displayed as percent</x:v>
      </x:c>
      <x:c r="D111" s="55" t="str">
        <x:v>Correction prompt count divided by total prompt count.</x:v>
      </x:c>
    </x:row>
    <x:row r="112" ht="46" customHeight="1">
      <x:c r="A112" s="55" t="str">
        <x:v>Campaigns</x:v>
      </x:c>
      <x:c r="B112" s="55" t="str">
        <x:v>template_tasks</x:v>
      </x:c>
      <x:c r="C112" s="55" t="str">
        <x:v>Integer, tasks</x:v>
      </x:c>
      <x:c r="D112" s="55" t="str">
        <x:v>Tasks with prompt_template_used Yes in the group.</x:v>
      </x:c>
    </x:row>
    <x:row r="113" ht="46" customHeight="1">
      <x:c r="A113" s="55" t="str">
        <x:v>Campaigns</x:v>
      </x:c>
      <x:c r="B113" s="55" t="str">
        <x:v>changed_brief_tasks</x:v>
      </x:c>
      <x:c r="C113" s="55" t="str">
        <x:v>Integer, tasks</x:v>
      </x:c>
      <x:c r="D113" s="55" t="str">
        <x:v>Tasks with brief_changed Yes in the group.</x:v>
      </x:c>
    </x:row>
    <x:row r="114" ht="46" customHeight="1">
      <x:c r="A114" s="55" t="str">
        <x:v>Campaigns</x:v>
      </x:c>
      <x:c r="B114" s="55" t="str">
        <x:v>positive_net_value_tasks</x:v>
      </x:c>
      <x:c r="C114" s="55" t="str">
        <x:v>Integer, tasks</x:v>
      </x:c>
      <x:c r="D114" s="55" t="str">
        <x:v>Tasks with net AI value greater than zero.</x:v>
      </x:c>
    </x:row>
    <x:row r="115" ht="46" customHeight="1">
      <x:c r="A115" s="55" t="str">
        <x:v>Campaigns</x:v>
      </x:c>
      <x:c r="B115" s="55" t="str">
        <x:v>negative_net_value_tasks</x:v>
      </x:c>
      <x:c r="C115" s="55" t="str">
        <x:v>Integer, tasks</x:v>
      </x:c>
      <x:c r="D115" s="55" t="str">
        <x:v>Tasks with net AI value less than zero.</x:v>
      </x:c>
    </x:row>
    <x:row r="116" ht="46" customHeight="1">
      <x:c r="A116" s="55" t="str">
        <x:v>Campaigns</x:v>
      </x:c>
      <x:c r="B116" s="55" t="str">
        <x:v>campaign_revenue_usd</x:v>
      </x:c>
      <x:c r="C116" s="55" t="str">
        <x:v>Decimal, USD</x:v>
      </x:c>
      <x:c r="D116" s="55" t="str">
        <x:v>Revenue for the complete campaign, rather than for an individual task, employee, or prompt.</x:v>
      </x:c>
    </x:row>
    <x:row r="117" ht="46" customHeight="1">
      <x:c r="A117" s="55" t="str">
        <x:v>Campaigns</x:v>
      </x:c>
      <x:c r="B117" s="55" t="str">
        <x:v>other_campaign_cost_usd</x:v>
      </x:c>
      <x:c r="C117" s="55" t="str">
        <x:v>Decimal, USD</x:v>
      </x:c>
      <x:c r="D117" s="55" t="str">
        <x:v>Spending for the complete campaign excluding human labor time and AI fees.</x:v>
      </x:c>
    </x:row>
    <x:row r="118" ht="46" customHeight="1">
      <x:c r="A118" s="55" t="str">
        <x:v>Campaigns</x:v>
      </x:c>
      <x:c r="B118" s="55" t="str">
        <x:v>actual_staff_cost_usd</x:v>
      </x:c>
      <x:c r="C118" s="55" t="str">
        <x:v>Decimal, USD</x:v>
      </x:c>
      <x:c r="D118" s="55" t="str">
        <x:v>Complete campaign actual hours multiplied by Solution C5.</x:v>
      </x:c>
    </x:row>
    <x:row r="119" ht="46" customHeight="1">
      <x:c r="A119" s="55" t="str">
        <x:v>Campaigns</x:v>
      </x:c>
      <x:c r="B119" s="55" t="str">
        <x:v>campaign_result_usd</x:v>
      </x:c>
      <x:c r="C119" s="55" t="str">
        <x:v>Decimal, USD</x:v>
      </x:c>
      <x:c r="D119" s="55" t="str">
        <x:v>Campaign revenue less other campaign spending, actual staff value and AI fees. Revenue enters once per campaign.</x:v>
      </x:c>
    </x:row>
    <x:row r="120" ht="46" customHeight="1">
      <x:c r="A120" s="55" t="str">
        <x:v>Campaigns</x:v>
      </x:c>
      <x:c r="B120" s="55" t="str">
        <x:v>net_ai_value_lower20_usd</x:v>
      </x:c>
      <x:c r="C120" s="55" t="str">
        <x:v>Decimal, USD</x:v>
      </x:c>
      <x:c r="D120" s="55" t="str">
        <x:v>Net AI value with baseline hours multiplied by 0.8. All other inputs remain fixed.</x:v>
      </x:c>
    </x:row>
    <x:row r="121" ht="46" customHeight="1">
      <x:c r="A121" s="55" t="str">
        <x:v>Campaigns</x:v>
      </x:c>
      <x:c r="B121" s="55" t="str">
        <x:v>net_ai_value_higher20_usd</x:v>
      </x:c>
      <x:c r="C121" s="55" t="str">
        <x:v>Decimal, USD</x:v>
      </x:c>
      <x:c r="D121" s="55" t="str">
        <x:v>Net AI value with baseline hours multiplied by 1.2. All other inputs remain fixed.</x:v>
      </x:c>
    </x:row>
    <x:row r="122" ht="46" customHeight="1">
      <x:c r="A122" s="55" t="str">
        <x:v>Mix</x:v>
      </x:c>
      <x:c r="B122" s="55" t="str">
        <x:v>campaign_id</x:v>
      </x:c>
      <x:c r="C122" s="55" t="str">
        <x:v>Text identifier</x:v>
      </x:c>
      <x:c r="D122" s="55" t="str">
        <x:v>Campaign associated with the task, prompt or reported group. The identifier connects to Campaign Inputs.</x:v>
      </x:c>
    </x:row>
    <x:row r="123" ht="46" customHeight="1">
      <x:c r="A123" s="55" t="str">
        <x:v>Mix</x:v>
      </x:c>
      <x:c r="B123" s="55" t="str">
        <x:v>dimension</x:v>
      </x:c>
      <x:c r="C123" s="55" t="str">
        <x:v>Text category</x:v>
      </x:c>
      <x:c r="D123" s="55" t="str">
        <x:v>Field used to group observations. Different dimensions overlap and must not be added together.</x:v>
      </x:c>
    </x:row>
    <x:row r="124" ht="46" customHeight="1">
      <x:c r="A124" s="55" t="str">
        <x:v>Mix</x:v>
      </x:c>
      <x:c r="B124" s="55" t="str">
        <x:v>group</x:v>
      </x:c>
      <x:c r="C124" s="55" t="str">
        <x:v>Text category</x:v>
      </x:c>
      <x:c r="D124" s="55" t="str">
        <x:v>Selected product, model or department value within the specified dimension.</x:v>
      </x:c>
    </x:row>
    <x:row r="125" ht="46" customHeight="1">
      <x:c r="A125" s="55" t="str">
        <x:v>Mix</x:v>
      </x:c>
      <x:c r="B125" s="55" t="str">
        <x:v>tasks</x:v>
      </x:c>
      <x:c r="C125" s="55" t="str">
        <x:v>Integer, tasks</x:v>
      </x:c>
      <x:c r="D125" s="55" t="str">
        <x:v>Count of complete cleaned tasks in this group.</x:v>
      </x:c>
    </x:row>
    <x:row r="126" ht="46" customHeight="1">
      <x:c r="A126" s="55" t="str">
        <x:v>Mix</x:v>
      </x:c>
      <x:c r="B126" s="55" t="str">
        <x:v>input_tokens</x:v>
      </x:c>
      <x:c r="C126" s="55" t="str">
        <x:v>Integer, tokens</x:v>
      </x:c>
      <x:c r="D126" s="55" t="str">
        <x:v>Text units sent to AI in this prompt, including instructions and supporting context.</x:v>
      </x:c>
    </x:row>
    <x:row r="127" ht="46" customHeight="1">
      <x:c r="A127" s="55" t="str">
        <x:v>Mix</x:v>
      </x:c>
      <x:c r="B127" s="55" t="str">
        <x:v>output_tokens</x:v>
      </x:c>
      <x:c r="C127" s="55" t="str">
        <x:v>Integer, tokens</x:v>
      </x:c>
      <x:c r="D127" s="55" t="str">
        <x:v>Text units returned by AI for this prompt.</x:v>
      </x:c>
    </x:row>
    <x:row r="128" ht="46" customHeight="1">
      <x:c r="A128" s="55" t="str">
        <x:v>Mix</x:v>
      </x:c>
      <x:c r="B128" s="55" t="str">
        <x:v>total_tokens</x:v>
      </x:c>
      <x:c r="C128" s="55" t="str">
        <x:v>Integer, tokens</x:v>
      </x:c>
      <x:c r="D128" s="55" t="str">
        <x:v>Input tokens plus output tokens for the stated record or group.</x:v>
      </x:c>
    </x:row>
    <x:row r="129" ht="46" customHeight="1">
      <x:c r="A129" s="55" t="str">
        <x:v>Mix</x:v>
      </x:c>
      <x:c r="B129" s="55" t="str">
        <x:v>input_cost_usd</x:v>
      </x:c>
      <x:c r="C129" s="55" t="str">
        <x:v>Decimal, USD</x:v>
      </x:c>
      <x:c r="D129" s="55" t="str">
        <x:v>Input tokens multiplied by the model input price, divided by one million. Sum prompt costs before reporting.</x:v>
      </x:c>
    </x:row>
    <x:row r="130" ht="46" customHeight="1">
      <x:c r="A130" s="55" t="str">
        <x:v>Mix</x:v>
      </x:c>
      <x:c r="B130" s="55" t="str">
        <x:v>output_cost_usd</x:v>
      </x:c>
      <x:c r="C130" s="55" t="str">
        <x:v>Decimal, USD</x:v>
      </x:c>
      <x:c r="D130" s="55" t="str">
        <x:v>Output tokens multiplied by the model output price, divided by one million.</x:v>
      </x:c>
    </x:row>
    <x:row r="131" ht="46" customHeight="1">
      <x:c r="A131" s="55" t="str">
        <x:v>Mix</x:v>
      </x:c>
      <x:c r="B131" s="55" t="str">
        <x:v>ai_cost_usd</x:v>
      </x:c>
      <x:c r="C131" s="55" t="str">
        <x:v>Decimal, USD</x:v>
      </x:c>
      <x:c r="D131" s="55" t="str">
        <x:v>Input cost plus output cost. Values retain full precision before display.</x:v>
      </x:c>
    </x:row>
    <x:row r="132" ht="46" customHeight="1">
      <x:c r="A132" s="55" t="str">
        <x:v>Mix</x:v>
      </x:c>
      <x:c r="B132" s="55" t="str">
        <x:v>prompt_count</x:v>
      </x:c>
      <x:c r="C132" s="55" t="str">
        <x:v>Integer, prompts</x:v>
      </x:c>
      <x:c r="D132" s="55" t="str">
        <x:v>Count of distinct prepared prompt records. Followups and corrections count as separate prompts.</x:v>
      </x:c>
    </x:row>
    <x:row r="133" ht="46" customHeight="1">
      <x:c r="A133" s="55" t="str">
        <x:v>Mix</x:v>
      </x:c>
      <x:c r="B133" s="55" t="str">
        <x:v>cost_per_prompt_usd</x:v>
      </x:c>
      <x:c r="C133" s="55" t="str">
        <x:v>Decimal, USD per prompt</x:v>
      </x:c>
      <x:c r="D133" s="55" t="str">
        <x:v>Total AI cost divided by total prompt count. N/A when no prompts exist.</x:v>
      </x:c>
    </x:row>
    <x:row r="134" ht="46" customHeight="1">
      <x:c r="A134" s="55" t="str">
        <x:v>Mix</x:v>
      </x:c>
      <x:c r="B134" s="55" t="str">
        <x:v>baseline_hours</x:v>
      </x:c>
      <x:c r="C134" s="55" t="str">
        <x:v>Decimal, hours</x:v>
      </x:c>
      <x:c r="D134" s="55" t="str">
        <x:v>Estimated human effort to complete the same task at acceptable quality without AI.</x:v>
      </x:c>
    </x:row>
    <x:row r="135" ht="46" customHeight="1">
      <x:c r="A135" s="55" t="str">
        <x:v>Mix</x:v>
      </x:c>
      <x:c r="B135" s="55" t="str">
        <x:v>actual_hours</x:v>
      </x:c>
      <x:c r="C135" s="55" t="str">
        <x:v>Decimal, hours</x:v>
      </x:c>
      <x:c r="D135" s="55" t="str">
        <x:v>Total human effort while using AI, including preparation, prompting, review, and rework.</x:v>
      </x:c>
    </x:row>
    <x:row r="136" ht="46" customHeight="1">
      <x:c r="A136" s="55" t="str">
        <x:v>Mix</x:v>
      </x:c>
      <x:c r="B136" s="55" t="str">
        <x:v>hours_saved</x:v>
      </x:c>
      <x:c r="C136" s="55" t="str">
        <x:v>Decimal, hours</x:v>
      </x:c>
      <x:c r="D136" s="55" t="str">
        <x:v>Baseline hours less actual hours. A negative result means more effort than the no AI estimate.</x:v>
      </x:c>
    </x:row>
    <x:row r="137" ht="46" customHeight="1">
      <x:c r="A137" s="55" t="str">
        <x:v>Mix</x:v>
      </x:c>
      <x:c r="B137" s="55" t="str">
        <x:v>time_value_usd</x:v>
      </x:c>
      <x:c r="C137" s="55" t="str">
        <x:v>Decimal, USD</x:v>
      </x:c>
      <x:c r="D137" s="55" t="str">
        <x:v>Hours saved multiplied by the hourly value in Solution C5.</x:v>
      </x:c>
    </x:row>
    <x:row r="138" ht="46" customHeight="1">
      <x:c r="A138" s="55" t="str">
        <x:v>Mix</x:v>
      </x:c>
      <x:c r="B138" s="55" t="str">
        <x:v>net_ai_value_usd</x:v>
      </x:c>
      <x:c r="C138" s="55" t="str">
        <x:v>Decimal, USD</x:v>
      </x:c>
      <x:c r="D138" s="55" t="str">
        <x:v>Time value less AI cost. Estimated staff capacity value rather than payroll cash savings.</x:v>
      </x:c>
    </x:row>
    <x:row r="139" ht="46" customHeight="1">
      <x:c r="A139" s="55" t="str">
        <x:v>Mix</x:v>
      </x:c>
      <x:c r="B139" s="55" t="str">
        <x:v>ai_roi</x:v>
      </x:c>
      <x:c r="C139" s="55" t="str">
        <x:v>Fraction, displayed as percent</x:v>
      </x:c>
      <x:c r="D139" s="55" t="str">
        <x:v>Total net AI value divided by total AI cost. N/A when AI cost is zero. May be below minus 100 percent.</x:v>
      </x:c>
    </x:row>
    <x:row r="140" ht="46" customHeight="1">
      <x:c r="A140" s="55" t="str">
        <x:v>Mix</x:v>
      </x:c>
      <x:c r="B140" s="55" t="str">
        <x:v>rework_hours</x:v>
      </x:c>
      <x:c r="C140" s="55" t="str">
        <x:v>Decimal, hours</x:v>
      </x:c>
      <x:c r="D140" s="55" t="str">
        <x:v>Portion of actual_hours spent correcting or redoing work. These hours are already included in actual_hours.</x:v>
      </x:c>
    </x:row>
    <x:row r="141" ht="46" customHeight="1">
      <x:c r="A141" s="55" t="str">
        <x:v>Mix</x:v>
      </x:c>
      <x:c r="B141" s="55" t="str">
        <x:v>rework_share</x:v>
      </x:c>
      <x:c r="C141" s="55" t="str">
        <x:v>Fraction, displayed as percent</x:v>
      </x:c>
      <x:c r="D141" s="55" t="str">
        <x:v>Total rework hours divided by total actual hours. Rework is already included in actual hours.</x:v>
      </x:c>
    </x:row>
    <x:row r="142" ht="46" customHeight="1">
      <x:c r="A142" s="55" t="str">
        <x:v>Mix</x:v>
      </x:c>
      <x:c r="B142" s="55" t="str">
        <x:v>correction_prompts</x:v>
      </x:c>
      <x:c r="C142" s="55" t="str">
        <x:v>Integer, prompts</x:v>
      </x:c>
      <x:c r="D142" s="55" t="str">
        <x:v>Count of prompt records with prompt_reason Correction.</x:v>
      </x:c>
    </x:row>
    <x:row r="143" ht="46" customHeight="1">
      <x:c r="A143" s="55" t="str">
        <x:v>Mix</x:v>
      </x:c>
      <x:c r="B143" s="55" t="str">
        <x:v>correction_share</x:v>
      </x:c>
      <x:c r="C143" s="55" t="str">
        <x:v>Fraction, displayed as percent</x:v>
      </x:c>
      <x:c r="D143" s="55" t="str">
        <x:v>Correction prompt count divided by total prompt count.</x:v>
      </x:c>
    </x:row>
    <x:row r="144" ht="46" customHeight="1">
      <x:c r="A144" s="55" t="str">
        <x:v>Mix</x:v>
      </x:c>
      <x:c r="B144" s="55" t="str">
        <x:v>template_tasks</x:v>
      </x:c>
      <x:c r="C144" s="55" t="str">
        <x:v>Integer, tasks</x:v>
      </x:c>
      <x:c r="D144" s="55" t="str">
        <x:v>Tasks with prompt_template_used Yes in the group.</x:v>
      </x:c>
    </x:row>
    <x:row r="145" ht="46" customHeight="1">
      <x:c r="A145" s="55" t="str">
        <x:v>Mix</x:v>
      </x:c>
      <x:c r="B145" s="55" t="str">
        <x:v>changed_brief_tasks</x:v>
      </x:c>
      <x:c r="C145" s="55" t="str">
        <x:v>Integer, tasks</x:v>
      </x:c>
      <x:c r="D145" s="55" t="str">
        <x:v>Tasks with brief_changed Yes in the group.</x:v>
      </x:c>
    </x:row>
    <x:row r="146" ht="46" customHeight="1">
      <x:c r="A146" s="55" t="str">
        <x:v>Mix</x:v>
      </x:c>
      <x:c r="B146" s="55" t="str">
        <x:v>positive_net_value_tasks</x:v>
      </x:c>
      <x:c r="C146" s="55" t="str">
        <x:v>Integer, tasks</x:v>
      </x:c>
      <x:c r="D146" s="55" t="str">
        <x:v>Tasks with net AI value greater than zero.</x:v>
      </x:c>
    </x:row>
    <x:row r="147" ht="46" customHeight="1">
      <x:c r="A147" s="55" t="str">
        <x:v>Mix</x:v>
      </x:c>
      <x:c r="B147" s="55" t="str">
        <x:v>negative_net_value_tasks</x:v>
      </x:c>
      <x:c r="C147" s="55" t="str">
        <x:v>Integer, tasks</x:v>
      </x:c>
      <x:c r="D147" s="55" t="str">
        <x:v>Tasks with net AI value less than zero.</x:v>
      </x:c>
    </x:row>
    <x:row r="148" ht="46" customHeight="1">
      <x:c r="A148" s="55" t="str">
        <x:v>Workflow</x:v>
      </x:c>
      <x:c r="B148" s="55" t="str">
        <x:v>campaign_id</x:v>
      </x:c>
      <x:c r="C148" s="55" t="str">
        <x:v>Text identifier</x:v>
      </x:c>
      <x:c r="D148" s="55" t="str">
        <x:v>Campaign associated with the task, prompt or reported group. The identifier connects to Campaign Inputs.</x:v>
      </x:c>
    </x:row>
    <x:row r="149" ht="46" customHeight="1">
      <x:c r="A149" s="55" t="str">
        <x:v>Workflow</x:v>
      </x:c>
      <x:c r="B149" s="55" t="str">
        <x:v>task_type</x:v>
      </x:c>
      <x:c r="C149" s="55" t="str">
        <x:v>Text</x:v>
      </x:c>
      <x:c r="D149" s="55" t="str">
        <x:v>Type of completed work in the cohort. All task types summarizes the entire campaign for this observation.</x:v>
      </x:c>
    </x:row>
    <x:row r="150" ht="46" customHeight="1">
      <x:c r="A150" s="55" t="str">
        <x:v>Workflow</x:v>
      </x:c>
      <x:c r="B150" s="55" t="str">
        <x:v>dimension</x:v>
      </x:c>
      <x:c r="C150" s="55" t="str">
        <x:v>Text category</x:v>
      </x:c>
      <x:c r="D150" s="55" t="str">
        <x:v>Field used to group observations. Different dimensions overlap and must not be added together.</x:v>
      </x:c>
    </x:row>
    <x:row r="151" ht="46" customHeight="1">
      <x:c r="A151" s="55" t="str">
        <x:v>Workflow</x:v>
      </x:c>
      <x:c r="B151" s="55" t="str">
        <x:v>flag</x:v>
      </x:c>
      <x:c r="C151" s="55" t="str">
        <x:v>Text, Yes or No</x:v>
      </x:c>
      <x:c r="D151" s="55" t="str">
        <x:v>Observed template or changed brief flag for the cohort.</x:v>
      </x:c>
    </x:row>
    <x:row r="152" ht="46" customHeight="1">
      <x:c r="A152" s="55" t="str">
        <x:v>Workflow</x:v>
      </x:c>
      <x:c r="B152" s="55" t="str">
        <x:v>tasks</x:v>
      </x:c>
      <x:c r="C152" s="55" t="str">
        <x:v>Integer, tasks</x:v>
      </x:c>
      <x:c r="D152" s="55" t="str">
        <x:v>Count of complete cleaned tasks in this group.</x:v>
      </x:c>
    </x:row>
    <x:row r="153" ht="46" customHeight="1">
      <x:c r="A153" s="55" t="str">
        <x:v>Workflow</x:v>
      </x:c>
      <x:c r="B153" s="55" t="str">
        <x:v>input_tokens</x:v>
      </x:c>
      <x:c r="C153" s="55" t="str">
        <x:v>Integer, tokens</x:v>
      </x:c>
      <x:c r="D153" s="55" t="str">
        <x:v>Text units sent to AI in this prompt, including instructions and supporting context.</x:v>
      </x:c>
    </x:row>
    <x:row r="154" ht="46" customHeight="1">
      <x:c r="A154" s="55" t="str">
        <x:v>Workflow</x:v>
      </x:c>
      <x:c r="B154" s="55" t="str">
        <x:v>output_tokens</x:v>
      </x:c>
      <x:c r="C154" s="55" t="str">
        <x:v>Integer, tokens</x:v>
      </x:c>
      <x:c r="D154" s="55" t="str">
        <x:v>Text units returned by AI for this prompt.</x:v>
      </x:c>
    </x:row>
    <x:row r="155" ht="46" customHeight="1">
      <x:c r="A155" s="55" t="str">
        <x:v>Workflow</x:v>
      </x:c>
      <x:c r="B155" s="55" t="str">
        <x:v>total_tokens</x:v>
      </x:c>
      <x:c r="C155" s="55" t="str">
        <x:v>Integer, tokens</x:v>
      </x:c>
      <x:c r="D155" s="55" t="str">
        <x:v>Input tokens plus output tokens for the stated record or group.</x:v>
      </x:c>
    </x:row>
    <x:row r="156" ht="46" customHeight="1">
      <x:c r="A156" s="55" t="str">
        <x:v>Workflow</x:v>
      </x:c>
      <x:c r="B156" s="55" t="str">
        <x:v>input_cost_usd</x:v>
      </x:c>
      <x:c r="C156" s="55" t="str">
        <x:v>Decimal, USD</x:v>
      </x:c>
      <x:c r="D156" s="55" t="str">
        <x:v>Input tokens multiplied by the model input price, divided by one million. Sum prompt costs before reporting.</x:v>
      </x:c>
    </x:row>
    <x:row r="157" ht="46" customHeight="1">
      <x:c r="A157" s="55" t="str">
        <x:v>Workflow</x:v>
      </x:c>
      <x:c r="B157" s="55" t="str">
        <x:v>output_cost_usd</x:v>
      </x:c>
      <x:c r="C157" s="55" t="str">
        <x:v>Decimal, USD</x:v>
      </x:c>
      <x:c r="D157" s="55" t="str">
        <x:v>Output tokens multiplied by the model output price, divided by one million.</x:v>
      </x:c>
    </x:row>
    <x:row r="158" ht="46" customHeight="1">
      <x:c r="A158" s="55" t="str">
        <x:v>Workflow</x:v>
      </x:c>
      <x:c r="B158" s="55" t="str">
        <x:v>ai_cost_usd</x:v>
      </x:c>
      <x:c r="C158" s="55" t="str">
        <x:v>Decimal, USD</x:v>
      </x:c>
      <x:c r="D158" s="55" t="str">
        <x:v>Input cost plus output cost. Values retain full precision before display.</x:v>
      </x:c>
    </x:row>
    <x:row r="159" ht="46" customHeight="1">
      <x:c r="A159" s="55" t="str">
        <x:v>Workflow</x:v>
      </x:c>
      <x:c r="B159" s="55" t="str">
        <x:v>prompt_count</x:v>
      </x:c>
      <x:c r="C159" s="55" t="str">
        <x:v>Integer, prompts</x:v>
      </x:c>
      <x:c r="D159" s="55" t="str">
        <x:v>Count of distinct prepared prompt records. Followups and corrections count as separate prompts.</x:v>
      </x:c>
    </x:row>
    <x:row r="160" ht="46" customHeight="1">
      <x:c r="A160" s="55" t="str">
        <x:v>Workflow</x:v>
      </x:c>
      <x:c r="B160" s="55" t="str">
        <x:v>cost_per_prompt_usd</x:v>
      </x:c>
      <x:c r="C160" s="55" t="str">
        <x:v>Decimal, USD per prompt</x:v>
      </x:c>
      <x:c r="D160" s="55" t="str">
        <x:v>Total AI cost divided by total prompt count. N/A when no prompts exist.</x:v>
      </x:c>
    </x:row>
    <x:row r="161" ht="46" customHeight="1">
      <x:c r="A161" s="55" t="str">
        <x:v>Workflow</x:v>
      </x:c>
      <x:c r="B161" s="55" t="str">
        <x:v>baseline_hours</x:v>
      </x:c>
      <x:c r="C161" s="55" t="str">
        <x:v>Decimal, hours</x:v>
      </x:c>
      <x:c r="D161" s="55" t="str">
        <x:v>Estimated human effort to complete the same task at acceptable quality without AI.</x:v>
      </x:c>
    </x:row>
    <x:row r="162" ht="46" customHeight="1">
      <x:c r="A162" s="55" t="str">
        <x:v>Workflow</x:v>
      </x:c>
      <x:c r="B162" s="55" t="str">
        <x:v>actual_hours</x:v>
      </x:c>
      <x:c r="C162" s="55" t="str">
        <x:v>Decimal, hours</x:v>
      </x:c>
      <x:c r="D162" s="55" t="str">
        <x:v>Total human effort while using AI, including preparation, prompting, review, and rework.</x:v>
      </x:c>
    </x:row>
    <x:row r="163" ht="46" customHeight="1">
      <x:c r="A163" s="55" t="str">
        <x:v>Workflow</x:v>
      </x:c>
      <x:c r="B163" s="55" t="str">
        <x:v>hours_saved</x:v>
      </x:c>
      <x:c r="C163" s="55" t="str">
        <x:v>Decimal, hours</x:v>
      </x:c>
      <x:c r="D163" s="55" t="str">
        <x:v>Baseline hours less actual hours. A negative result means more effort than the no AI estimate.</x:v>
      </x:c>
    </x:row>
    <x:row r="164" ht="46" customHeight="1">
      <x:c r="A164" s="55" t="str">
        <x:v>Workflow</x:v>
      </x:c>
      <x:c r="B164" s="55" t="str">
        <x:v>time_value_usd</x:v>
      </x:c>
      <x:c r="C164" s="55" t="str">
        <x:v>Decimal, USD</x:v>
      </x:c>
      <x:c r="D164" s="55" t="str">
        <x:v>Hours saved multiplied by the hourly value in Solution C5.</x:v>
      </x:c>
    </x:row>
    <x:row r="165" ht="46" customHeight="1">
      <x:c r="A165" s="55" t="str">
        <x:v>Workflow</x:v>
      </x:c>
      <x:c r="B165" s="55" t="str">
        <x:v>net_ai_value_usd</x:v>
      </x:c>
      <x:c r="C165" s="55" t="str">
        <x:v>Decimal, USD</x:v>
      </x:c>
      <x:c r="D165" s="55" t="str">
        <x:v>Time value less AI cost. Estimated staff capacity value rather than payroll cash savings.</x:v>
      </x:c>
    </x:row>
    <x:row r="166" ht="46" customHeight="1">
      <x:c r="A166" s="55" t="str">
        <x:v>Workflow</x:v>
      </x:c>
      <x:c r="B166" s="55" t="str">
        <x:v>ai_roi</x:v>
      </x:c>
      <x:c r="C166" s="55" t="str">
        <x:v>Fraction, displayed as percent</x:v>
      </x:c>
      <x:c r="D166" s="55" t="str">
        <x:v>Total net AI value divided by total AI cost. N/A when AI cost is zero. May be below minus 100 percent.</x:v>
      </x:c>
    </x:row>
    <x:row r="167" ht="46" customHeight="1">
      <x:c r="A167" s="55" t="str">
        <x:v>Workflow</x:v>
      </x:c>
      <x:c r="B167" s="55" t="str">
        <x:v>rework_hours</x:v>
      </x:c>
      <x:c r="C167" s="55" t="str">
        <x:v>Decimal, hours</x:v>
      </x:c>
      <x:c r="D167" s="55" t="str">
        <x:v>Portion of actual_hours spent correcting or redoing work. These hours are already included in actual_hours.</x:v>
      </x:c>
    </x:row>
    <x:row r="168" ht="46" customHeight="1">
      <x:c r="A168" s="55" t="str">
        <x:v>Workflow</x:v>
      </x:c>
      <x:c r="B168" s="55" t="str">
        <x:v>rework_share</x:v>
      </x:c>
      <x:c r="C168" s="55" t="str">
        <x:v>Fraction, displayed as percent</x:v>
      </x:c>
      <x:c r="D168" s="55" t="str">
        <x:v>Total rework hours divided by total actual hours. Rework is already included in actual hours.</x:v>
      </x:c>
    </x:row>
    <x:row r="169" ht="46" customHeight="1">
      <x:c r="A169" s="55" t="str">
        <x:v>Workflow</x:v>
      </x:c>
      <x:c r="B169" s="55" t="str">
        <x:v>correction_prompts</x:v>
      </x:c>
      <x:c r="C169" s="55" t="str">
        <x:v>Integer, prompts</x:v>
      </x:c>
      <x:c r="D169" s="55" t="str">
        <x:v>Count of prompt records with prompt_reason Correction.</x:v>
      </x:c>
    </x:row>
    <x:row r="170" ht="46" customHeight="1">
      <x:c r="A170" s="55" t="str">
        <x:v>Workflow</x:v>
      </x:c>
      <x:c r="B170" s="55" t="str">
        <x:v>correction_share</x:v>
      </x:c>
      <x:c r="C170" s="55" t="str">
        <x:v>Fraction, displayed as percent</x:v>
      </x:c>
      <x:c r="D170" s="55" t="str">
        <x:v>Correction prompt count divided by total prompt count.</x:v>
      </x:c>
    </x:row>
    <x:row r="171" ht="46" customHeight="1">
      <x:c r="A171" s="55" t="str">
        <x:v>Workflow</x:v>
      </x:c>
      <x:c r="B171" s="55" t="str">
        <x:v>template_tasks</x:v>
      </x:c>
      <x:c r="C171" s="55" t="str">
        <x:v>Integer, tasks</x:v>
      </x:c>
      <x:c r="D171" s="55" t="str">
        <x:v>Tasks with prompt_template_used Yes in the group.</x:v>
      </x:c>
    </x:row>
    <x:row r="172" ht="46" customHeight="1">
      <x:c r="A172" s="55" t="str">
        <x:v>Workflow</x:v>
      </x:c>
      <x:c r="B172" s="55" t="str">
        <x:v>changed_brief_tasks</x:v>
      </x:c>
      <x:c r="C172" s="55" t="str">
        <x:v>Integer, tasks</x:v>
      </x:c>
      <x:c r="D172" s="55" t="str">
        <x:v>Tasks with brief_changed Yes in the group.</x:v>
      </x:c>
    </x:row>
    <x:row r="173" ht="46" customHeight="1">
      <x:c r="A173" s="55" t="str">
        <x:v>Workflow</x:v>
      </x:c>
      <x:c r="B173" s="55" t="str">
        <x:v>positive_net_value_tasks</x:v>
      </x:c>
      <x:c r="C173" s="55" t="str">
        <x:v>Integer, tasks</x:v>
      </x:c>
      <x:c r="D173" s="55" t="str">
        <x:v>Tasks with net AI value greater than zero.</x:v>
      </x:c>
    </x:row>
    <x:row r="174" ht="46" customHeight="1">
      <x:c r="A174" s="55" t="str">
        <x:v>Workflow</x:v>
      </x:c>
      <x:c r="B174" s="55" t="str">
        <x:v>negative_net_value_tasks</x:v>
      </x:c>
      <x:c r="C174" s="55" t="str">
        <x:v>Integer, tasks</x:v>
      </x:c>
      <x:c r="D174" s="55" t="str">
        <x:v>Tasks with net AI value less than zero.</x:v>
      </x:c>
    </x:row>
    <x:row r="175" ht="46" customHeight="1">
      <x:c r="A175" s="55" t="str">
        <x:v>Workflow</x:v>
      </x:c>
      <x:c r="B175" s="55" t="str">
        <x:v>corrections_per_task</x:v>
      </x:c>
      <x:c r="C175" s="55" t="str">
        <x:v>Decimal, prompts per task</x:v>
      </x:c>
      <x:c r="D175" s="55" t="str">
        <x:v>Correction prompt count divided by task count in the same cohort.</x:v>
      </x:c>
    </x:row>
    <x:row r="176" ht="46" customHeight="1">
      <x:c r="A176" s="55" t="str">
        <x:v>Workflow</x:v>
      </x:c>
      <x:c r="B176" s="55" t="str">
        <x:v>ai_cost_per_task_usd</x:v>
      </x:c>
      <x:c r="C176" s="55" t="str">
        <x:v>Decimal, USD per task</x:v>
      </x:c>
      <x:c r="D176" s="55" t="str">
        <x:v>AI spending divided by task count in the same cohort.</x:v>
      </x:c>
    </x:row>
    <x:row r="177" ht="46" customHeight="1">
      <x:c r="A177" s="55" t="str">
        <x:v>Workflow</x:v>
      </x:c>
      <x:c r="B177" s="55" t="str">
        <x:v>hours_saved_per_task</x:v>
      </x:c>
      <x:c r="C177" s="55" t="str">
        <x:v>Decimal, hours per task</x:v>
      </x:c>
      <x:c r="D177" s="55" t="str">
        <x:v>Hours saved divided by task count in the same cohort.</x:v>
      </x:c>
    </x:row>
    <x:row r="178" ht="46" customHeight="1">
      <x:c r="A178" s="55" t="str">
        <x:v>Daily Usage</x:v>
      </x:c>
      <x:c r="B178" s="55" t="str">
        <x:v>usage_date</x:v>
      </x:c>
      <x:c r="C178" s="55" t="str">
        <x:v>Date, YYYY-MM-DD</x:v>
      </x:c>
      <x:c r="D178" s="55" t="str">
        <x:v>Date the prompt occurred. It falls on or before the linked task's completion_date.</x:v>
      </x:c>
    </x:row>
    <x:row r="179" ht="46" customHeight="1">
      <x:c r="A179" s="55" t="str">
        <x:v>Daily Usage</x:v>
      </x:c>
      <x:c r="B179" s="55" t="str">
        <x:v>campaign_id</x:v>
      </x:c>
      <x:c r="C179" s="55" t="str">
        <x:v>Text identifier</x:v>
      </x:c>
      <x:c r="D179" s="55" t="str">
        <x:v>Campaign associated with the task, prompt or reported group. The identifier connects to Campaign Inputs.</x:v>
      </x:c>
    </x:row>
    <x:row r="180" ht="46" customHeight="1">
      <x:c r="A180" s="55" t="str">
        <x:v>Daily Usage</x:v>
      </x:c>
      <x:c r="B180" s="55" t="str">
        <x:v>input_tokens</x:v>
      </x:c>
      <x:c r="C180" s="55" t="str">
        <x:v>Integer, tokens</x:v>
      </x:c>
      <x:c r="D180" s="55" t="str">
        <x:v>Text units sent to AI in this prompt, including instructions and supporting context.</x:v>
      </x:c>
    </x:row>
    <x:row r="181" ht="46" customHeight="1">
      <x:c r="A181" s="55" t="str">
        <x:v>Daily Usage</x:v>
      </x:c>
      <x:c r="B181" s="55" t="str">
        <x:v>output_tokens</x:v>
      </x:c>
      <x:c r="C181" s="55" t="str">
        <x:v>Integer, tokens</x:v>
      </x:c>
      <x:c r="D181" s="55" t="str">
        <x:v>Text units returned by AI for this prompt.</x:v>
      </x:c>
    </x:row>
    <x:row r="182" ht="46" customHeight="1">
      <x:c r="A182" s="55" t="str">
        <x:v>Daily Usage</x:v>
      </x:c>
      <x:c r="B182" s="55" t="str">
        <x:v>total_tokens</x:v>
      </x:c>
      <x:c r="C182" s="55" t="str">
        <x:v>Integer, tokens</x:v>
      </x:c>
      <x:c r="D182" s="55" t="str">
        <x:v>Input tokens plus output tokens for the stated record or group.</x:v>
      </x:c>
    </x:row>
    <x:row r="183" ht="46" customHeight="1">
      <x:c r="A183" s="55" t="str">
        <x:v>Daily Usage</x:v>
      </x:c>
      <x:c r="B183" s="55" t="str">
        <x:v>input_cost_usd</x:v>
      </x:c>
      <x:c r="C183" s="55" t="str">
        <x:v>Decimal, USD</x:v>
      </x:c>
      <x:c r="D183" s="55" t="str">
        <x:v>Input tokens multiplied by the model input price, divided by one million. Sum prompt costs before reporting.</x:v>
      </x:c>
    </x:row>
    <x:row r="184" ht="46" customHeight="1">
      <x:c r="A184" s="55" t="str">
        <x:v>Daily Usage</x:v>
      </x:c>
      <x:c r="B184" s="55" t="str">
        <x:v>output_cost_usd</x:v>
      </x:c>
      <x:c r="C184" s="55" t="str">
        <x:v>Decimal, USD</x:v>
      </x:c>
      <x:c r="D184" s="55" t="str">
        <x:v>Output tokens multiplied by the model output price, divided by one million.</x:v>
      </x:c>
    </x:row>
    <x:row r="185" ht="46" customHeight="1">
      <x:c r="A185" s="55" t="str">
        <x:v>Daily Usage</x:v>
      </x:c>
      <x:c r="B185" s="55" t="str">
        <x:v>ai_cost_usd</x:v>
      </x:c>
      <x:c r="C185" s="55" t="str">
        <x:v>Decimal, USD</x:v>
      </x:c>
      <x:c r="D185" s="55" t="str">
        <x:v>Input cost plus output cost. Values retain full precision before display.</x:v>
      </x:c>
    </x:row>
    <x:row r="186" ht="46" customHeight="1">
      <x:c r="A186" s="55" t="str">
        <x:v>Daily Usage</x:v>
      </x:c>
      <x:c r="B186" s="55" t="str">
        <x:v>prompt_count</x:v>
      </x:c>
      <x:c r="C186" s="55" t="str">
        <x:v>Integer, prompts</x:v>
      </x:c>
      <x:c r="D186" s="55" t="str">
        <x:v>Count of distinct prepared prompt records. Followups and corrections count as separate prompts.</x:v>
      </x:c>
    </x:row>
    <x:row r="187" ht="46" customHeight="1">
      <x:c r="A187" s="55" t="str">
        <x:v>Daily Usage</x:v>
      </x:c>
      <x:c r="B187" s="55" t="str">
        <x:v>correction_prompts</x:v>
      </x:c>
      <x:c r="C187" s="55" t="str">
        <x:v>Integer, prompts</x:v>
      </x:c>
      <x:c r="D187" s="55" t="str">
        <x:v>Count of prompt records with prompt_reason Correction.</x:v>
      </x:c>
    </x:row>
    <x:row r="188" ht="46" customHeight="1">
      <x:c r="A188" s="55" t="str">
        <x:v>Daily Usage</x:v>
      </x:c>
      <x:c r="B188" s="55" t="str">
        <x:v>correction_share</x:v>
      </x:c>
      <x:c r="C188" s="55" t="str">
        <x:v>Fraction, displayed as percent</x:v>
      </x:c>
      <x:c r="D188" s="55" t="str">
        <x:v>Correction prompt count divided by total prompt count.</x:v>
      </x:c>
    </x:row>
  </x:sheetData>
  <x:pageMargins left="0.7" right="0.7" top="0.75" bottom="0.75" header="0.3" footer="0.3"/>
  <x:tableParts count="1">
    <x:tablePart xmlns:r="http://schemas.openxmlformats.org/officeDocument/2006/relationships" r:id="Re6f9692a168c4fda"/>
  </x:tableParts>
</x:worksheet>
</file>